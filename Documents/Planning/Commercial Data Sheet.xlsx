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never" hidePivotFieldList="1"/>
  <mc:AlternateContent xmlns:mc="http://schemas.openxmlformats.org/markup-compatibility/2006">
    <mc:Choice Requires="x15">
      <x15ac:absPath xmlns:x15ac="http://schemas.microsoft.com/office/spreadsheetml/2010/11/ac" url="D:\DESKTOP\FY 2026-27\"/>
    </mc:Choice>
  </mc:AlternateContent>
  <xr:revisionPtr revIDLastSave="0" documentId="13_ncr:1_{81118DDA-4B60-452B-8A6B-336E3874C72C}" xr6:coauthVersionLast="47" xr6:coauthVersionMax="47" xr10:uidLastSave="{00000000-0000-0000-0000-000000000000}"/>
  <bookViews>
    <workbookView xWindow="-120" yWindow="-120" windowWidth="29040" windowHeight="15720" firstSheet="1" activeTab="1" xr2:uid="{00000000-000D-0000-FFFF-FFFF00000000}"/>
  </bookViews>
  <sheets>
    <sheet name="Sheet1" sheetId="14" state="hidden" r:id="rId1"/>
    <sheet name="Home" sheetId="3" r:id="rId2"/>
    <sheet name="Commercial" sheetId="2" r:id="rId3"/>
    <sheet name="Pivot" sheetId="13" r:id="rId4"/>
    <sheet name="Billing Data" sheetId="12" r:id="rId5"/>
  </sheets>
  <externalReferences>
    <externalReference r:id="rId6"/>
    <externalReference r:id="rId7"/>
  </externalReferences>
  <definedNames>
    <definedName name="_xlnm._FilterDatabase" localSheetId="4" hidden="1">'Billing Data'!$A$2:$N$6555</definedName>
    <definedName name="_xlnm._FilterDatabase" localSheetId="2" hidden="1">Commercial!$A$2:$Z$6552</definedName>
    <definedName name="Customer_Name">OFFSET(#REF!,,,COUNTIF(#REF!,"*?")-1)</definedName>
    <definedName name="daf">OFFSET('[1]Raw material'!$D$2,,,COUNTIF('[1]Raw material'!$D:$D,"*?")-1)</definedName>
    <definedName name="Products">OFFSET([2]Product!$D$2,,,COUNTIF([2]Product!$D:$D,"*?")-1)</definedName>
    <definedName name="Raw_Material">OFFSET('[2]Raw material'!$D$2,,,COUNTIF('[2]Raw material'!$D:$D,"*?")-1)</definedName>
    <definedName name="Slicer_Month">#N/A</definedName>
  </definedNames>
  <calcPr calcId="191029"/>
  <pivotCaches>
    <pivotCache cacheId="0" r:id="rId8"/>
    <pivotCache cacheId="1" r:id="rId9"/>
    <pivotCache cacheId="9" r:id="rId10"/>
    <pivotCache cacheId="15"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1" i="3" l="1"/>
  <c r="M954" i="12"/>
  <c r="M953" i="12"/>
  <c r="M952" i="12"/>
  <c r="M951" i="12"/>
  <c r="M950" i="12"/>
  <c r="M949" i="12"/>
  <c r="M948" i="12"/>
  <c r="M947" i="12"/>
  <c r="M946" i="12"/>
  <c r="M945" i="12"/>
  <c r="M944" i="12"/>
  <c r="M943" i="12"/>
  <c r="M942" i="12"/>
  <c r="M941" i="12"/>
  <c r="M940" i="12"/>
  <c r="R209" i="2"/>
  <c r="P209" i="2"/>
  <c r="N209" i="2"/>
  <c r="M209" i="2"/>
  <c r="V208" i="2"/>
  <c r="U208" i="2"/>
  <c r="N208" i="2"/>
  <c r="M208" i="2"/>
  <c r="P208" i="2" s="1"/>
  <c r="R208" i="2" s="1"/>
  <c r="M939" i="12"/>
  <c r="M938" i="12"/>
  <c r="M937" i="12"/>
  <c r="M936" i="12"/>
  <c r="M935" i="12"/>
  <c r="V207" i="2"/>
  <c r="U207" i="2"/>
  <c r="N207" i="2"/>
  <c r="M207" i="2"/>
  <c r="P207" i="2" s="1"/>
  <c r="R207" i="2" s="1"/>
  <c r="M934" i="12"/>
  <c r="M933" i="12"/>
  <c r="M932" i="12"/>
  <c r="M931" i="12"/>
  <c r="M930" i="12"/>
  <c r="M929" i="12"/>
  <c r="M928" i="12"/>
  <c r="M927" i="12"/>
  <c r="M926" i="12"/>
  <c r="M925" i="12"/>
  <c r="M924" i="12"/>
  <c r="M923" i="12"/>
  <c r="M922" i="12"/>
  <c r="M921" i="12"/>
  <c r="M920" i="12"/>
  <c r="M919" i="12"/>
  <c r="M918" i="12"/>
  <c r="M917" i="12"/>
  <c r="M916" i="12"/>
  <c r="N206" i="2"/>
  <c r="M206" i="2"/>
  <c r="P206" i="2" s="1"/>
  <c r="R206" i="2" s="1"/>
  <c r="R205" i="2"/>
  <c r="O205" i="2"/>
  <c r="P205" i="2" s="1"/>
  <c r="V196" i="2"/>
  <c r="V197" i="2"/>
  <c r="V198" i="2"/>
  <c r="V199" i="2"/>
  <c r="V200" i="2"/>
  <c r="V201" i="2"/>
  <c r="V202" i="2"/>
  <c r="V203" i="2"/>
  <c r="V204" i="2"/>
  <c r="V205" i="2"/>
  <c r="U198" i="2"/>
  <c r="U199" i="2"/>
  <c r="U200" i="2"/>
  <c r="U201" i="2"/>
  <c r="U202" i="2"/>
  <c r="U203" i="2"/>
  <c r="U204" i="2"/>
  <c r="U205" i="2"/>
  <c r="U206" i="2"/>
  <c r="N204" i="2"/>
  <c r="M204" i="2"/>
  <c r="P204" i="2" s="1"/>
  <c r="R204" i="2" s="1"/>
  <c r="K911" i="12"/>
  <c r="M911" i="12" s="1"/>
  <c r="M915" i="12"/>
  <c r="M914" i="12"/>
  <c r="M913" i="12"/>
  <c r="M912" i="12"/>
  <c r="M910" i="12"/>
  <c r="M909" i="12"/>
  <c r="M908" i="12"/>
  <c r="M907" i="12"/>
  <c r="M906" i="12"/>
  <c r="M905" i="12"/>
  <c r="M904" i="12"/>
  <c r="M903" i="12"/>
  <c r="M902" i="12"/>
  <c r="M901" i="12"/>
  <c r="M900" i="12"/>
  <c r="M899" i="12"/>
  <c r="M898" i="12"/>
  <c r="M897" i="12"/>
  <c r="M896" i="12"/>
  <c r="M895" i="12"/>
  <c r="M894" i="12"/>
  <c r="M893" i="12"/>
  <c r="M892" i="12"/>
  <c r="M891" i="12"/>
  <c r="M890" i="12"/>
  <c r="M889" i="12"/>
  <c r="M888" i="12"/>
  <c r="R203" i="2"/>
  <c r="O203" i="2"/>
  <c r="P203" i="2" s="1"/>
  <c r="R202" i="2"/>
  <c r="P202" i="2"/>
  <c r="N202" i="2"/>
  <c r="M202" i="2"/>
  <c r="R201" i="2"/>
  <c r="N201" i="2"/>
  <c r="M201" i="2"/>
  <c r="P201" i="2" s="1"/>
  <c r="R200" i="2"/>
  <c r="P200" i="2"/>
  <c r="O200" i="2"/>
  <c r="K857" i="12"/>
  <c r="M857" i="12"/>
  <c r="K834" i="12"/>
  <c r="M834" i="12" s="1"/>
  <c r="A855" i="12"/>
  <c r="B855" i="12"/>
  <c r="A856" i="12"/>
  <c r="B856" i="12"/>
  <c r="A857" i="12"/>
  <c r="B857" i="12"/>
  <c r="A858" i="12"/>
  <c r="B858" i="12"/>
  <c r="A859" i="12"/>
  <c r="B859" i="12"/>
  <c r="A860" i="12"/>
  <c r="B860" i="12"/>
  <c r="A861" i="12"/>
  <c r="B861" i="12"/>
  <c r="A862" i="12"/>
  <c r="B862" i="12"/>
  <c r="A863" i="12"/>
  <c r="B863" i="12"/>
  <c r="A864" i="12"/>
  <c r="B864" i="12"/>
  <c r="A865" i="12"/>
  <c r="B865" i="12"/>
  <c r="A866" i="12"/>
  <c r="B866" i="12"/>
  <c r="A867" i="12"/>
  <c r="B867" i="12"/>
  <c r="M887" i="12"/>
  <c r="M886" i="12"/>
  <c r="M885" i="12"/>
  <c r="M884" i="12"/>
  <c r="M883" i="12"/>
  <c r="M882" i="12"/>
  <c r="M881" i="12"/>
  <c r="M880" i="12"/>
  <c r="M879" i="12"/>
  <c r="M878" i="12"/>
  <c r="R199" i="2"/>
  <c r="O199" i="2"/>
  <c r="P199" i="2" s="1"/>
  <c r="N198" i="2"/>
  <c r="M198" i="2"/>
  <c r="P198" i="2" s="1"/>
  <c r="R198" i="2" s="1"/>
  <c r="M877" i="12"/>
  <c r="M876" i="12"/>
  <c r="M875" i="12"/>
  <c r="M874" i="12"/>
  <c r="M873" i="12"/>
  <c r="M872" i="12"/>
  <c r="M871" i="12"/>
  <c r="M870" i="12"/>
  <c r="M869" i="12"/>
  <c r="M868" i="12"/>
  <c r="M867" i="12"/>
  <c r="M866" i="12"/>
  <c r="M865" i="12"/>
  <c r="M864" i="12"/>
  <c r="M863" i="12"/>
  <c r="M862" i="12"/>
  <c r="M861" i="12"/>
  <c r="M860" i="12"/>
  <c r="M859" i="12"/>
  <c r="M858" i="12"/>
  <c r="M856" i="12"/>
  <c r="R197" i="2"/>
  <c r="N197" i="2"/>
  <c r="M197" i="2"/>
  <c r="P197" i="2" s="1"/>
  <c r="R196" i="2"/>
  <c r="P196" i="2"/>
  <c r="O196" i="2"/>
  <c r="R195" i="2"/>
  <c r="O195" i="2"/>
  <c r="P195" i="2" s="1"/>
  <c r="M194" i="2"/>
  <c r="P194" i="2" s="1"/>
  <c r="R194" i="2" s="1"/>
  <c r="N194" i="2"/>
  <c r="R193" i="2"/>
  <c r="P193" i="2"/>
  <c r="N193" i="2"/>
  <c r="M193" i="2"/>
  <c r="N192" i="2"/>
  <c r="M192" i="2"/>
  <c r="P192" i="2" s="1"/>
  <c r="R192" i="2" s="1"/>
  <c r="N31" i="3"/>
  <c r="I31" i="3" s="1"/>
  <c r="M855" i="12"/>
  <c r="M854" i="12"/>
  <c r="M853" i="12"/>
  <c r="M852" i="12"/>
  <c r="M851" i="12"/>
  <c r="M850" i="12"/>
  <c r="M849" i="12"/>
  <c r="N191" i="2"/>
  <c r="M191" i="2"/>
  <c r="P191" i="2" s="1"/>
  <c r="R191" i="2" s="1"/>
  <c r="M848" i="12"/>
  <c r="M847" i="12"/>
  <c r="M846" i="12"/>
  <c r="M845" i="12"/>
  <c r="M844" i="12"/>
  <c r="M843" i="12"/>
  <c r="M842" i="12"/>
  <c r="M841" i="12"/>
  <c r="M840" i="12"/>
  <c r="M839" i="12"/>
  <c r="M838" i="12"/>
  <c r="M837" i="12"/>
  <c r="R190" i="2"/>
  <c r="O190" i="2"/>
  <c r="P190" i="2" s="1"/>
  <c r="N189" i="2"/>
  <c r="M189" i="2"/>
  <c r="P189" i="2" s="1"/>
  <c r="R189" i="2" s="1"/>
  <c r="N188" i="2"/>
  <c r="M188" i="2"/>
  <c r="P188" i="2" s="1"/>
  <c r="R188" i="2" s="1"/>
  <c r="M836" i="12"/>
  <c r="M835" i="12"/>
  <c r="M833" i="12"/>
  <c r="M832" i="12"/>
  <c r="M831" i="12"/>
  <c r="M830" i="12"/>
  <c r="M829" i="12"/>
  <c r="M828" i="12"/>
  <c r="M827" i="12"/>
  <c r="M826" i="12"/>
  <c r="M825" i="12"/>
  <c r="M824" i="12"/>
  <c r="M823" i="12"/>
  <c r="M822" i="12"/>
  <c r="M821" i="12"/>
  <c r="M820" i="12"/>
  <c r="M819" i="12"/>
  <c r="U187" i="2"/>
  <c r="V187" i="2" s="1"/>
  <c r="N187" i="2"/>
  <c r="M187" i="2"/>
  <c r="P187" i="2" s="1"/>
  <c r="R187" i="2" s="1"/>
  <c r="N186" i="2"/>
  <c r="M186" i="2"/>
  <c r="P186" i="2" s="1"/>
  <c r="R186" i="2" s="1"/>
  <c r="U180" i="2"/>
  <c r="U181" i="2"/>
  <c r="U182" i="2"/>
  <c r="U183" i="2"/>
  <c r="U184" i="2"/>
  <c r="U185" i="2"/>
  <c r="U186" i="2"/>
  <c r="U188" i="2"/>
  <c r="U189" i="2"/>
  <c r="U190" i="2"/>
  <c r="U191" i="2"/>
  <c r="U192" i="2"/>
  <c r="U193" i="2"/>
  <c r="U194" i="2"/>
  <c r="U195" i="2"/>
  <c r="U196" i="2"/>
  <c r="U197" i="2"/>
  <c r="N185" i="2"/>
  <c r="M185" i="2"/>
  <c r="P185" i="2" s="1"/>
  <c r="R185" i="2" s="1"/>
  <c r="R184" i="2"/>
  <c r="O184" i="2"/>
  <c r="P184" i="2" s="1"/>
  <c r="M818" i="12"/>
  <c r="M817" i="12"/>
  <c r="M816" i="12"/>
  <c r="M815" i="12"/>
  <c r="M814" i="12"/>
  <c r="M813" i="12"/>
  <c r="M812" i="12"/>
  <c r="N183" i="2"/>
  <c r="M183" i="2"/>
  <c r="P183" i="2" s="1"/>
  <c r="R183" i="2" s="1"/>
  <c r="M811" i="12"/>
  <c r="M810" i="12"/>
  <c r="M809" i="12"/>
  <c r="M808" i="12"/>
  <c r="M807" i="12"/>
  <c r="M806" i="12"/>
  <c r="M805" i="12"/>
  <c r="M804" i="12"/>
  <c r="M803" i="12"/>
  <c r="M802" i="12"/>
  <c r="M801" i="12"/>
  <c r="U174" i="2"/>
  <c r="U175" i="2"/>
  <c r="U176" i="2"/>
  <c r="U177" i="2"/>
  <c r="U178" i="2"/>
  <c r="U179" i="2"/>
  <c r="N182" i="2"/>
  <c r="M182" i="2"/>
  <c r="P182" i="2" s="1"/>
  <c r="R182" i="2" s="1"/>
  <c r="O181" i="2"/>
  <c r="P181" i="2"/>
  <c r="R181" i="2" s="1"/>
  <c r="O180" i="2"/>
  <c r="P180" i="2" s="1"/>
  <c r="R180" i="2" s="1"/>
  <c r="M800" i="12"/>
  <c r="M799" i="12"/>
  <c r="M798" i="12"/>
  <c r="M797" i="12"/>
  <c r="M796" i="12"/>
  <c r="M795" i="12"/>
  <c r="M794" i="12"/>
  <c r="M793" i="12"/>
  <c r="O179" i="2"/>
  <c r="P179" i="2" s="1"/>
  <c r="R179" i="2" s="1"/>
  <c r="O178" i="2"/>
  <c r="P178" i="2" s="1"/>
  <c r="R178" i="2" s="1"/>
  <c r="K792" i="12"/>
  <c r="M792" i="12" s="1"/>
  <c r="M791" i="12"/>
  <c r="M790" i="12"/>
  <c r="M789" i="12"/>
  <c r="M788" i="12"/>
  <c r="M787" i="12"/>
  <c r="M786" i="12"/>
  <c r="M785" i="12"/>
  <c r="N177" i="2"/>
  <c r="M177" i="2"/>
  <c r="P177" i="2" s="1"/>
  <c r="R177" i="2" s="1"/>
  <c r="U155" i="2"/>
  <c r="U156" i="2"/>
  <c r="V156" i="2" s="1"/>
  <c r="U157" i="2"/>
  <c r="V157" i="2" s="1"/>
  <c r="U158" i="2"/>
  <c r="V158" i="2" s="1"/>
  <c r="U159" i="2"/>
  <c r="V159" i="2" s="1"/>
  <c r="U160" i="2"/>
  <c r="V160" i="2" s="1"/>
  <c r="U161" i="2"/>
  <c r="V161" i="2" s="1"/>
  <c r="U162" i="2"/>
  <c r="V162" i="2" s="1"/>
  <c r="U163" i="2"/>
  <c r="V163" i="2" s="1"/>
  <c r="U164" i="2"/>
  <c r="V164" i="2" s="1"/>
  <c r="U165" i="2"/>
  <c r="V165" i="2" s="1"/>
  <c r="U166" i="2"/>
  <c r="V166" i="2" s="1"/>
  <c r="U167" i="2"/>
  <c r="V167" i="2" s="1"/>
  <c r="U168" i="2"/>
  <c r="V168" i="2" s="1"/>
  <c r="U169" i="2"/>
  <c r="V169" i="2" s="1"/>
  <c r="U170" i="2"/>
  <c r="V170" i="2" s="1"/>
  <c r="U171" i="2"/>
  <c r="V171" i="2" s="1"/>
  <c r="U172" i="2"/>
  <c r="V172" i="2" s="1"/>
  <c r="U173" i="2"/>
  <c r="V173" i="2" s="1"/>
  <c r="V174" i="2"/>
  <c r="V175" i="2"/>
  <c r="V176" i="2"/>
  <c r="O176" i="2"/>
  <c r="P176" i="2" s="1"/>
  <c r="R176" i="2" s="1"/>
  <c r="M784" i="12"/>
  <c r="M783" i="12"/>
  <c r="M782" i="12"/>
  <c r="M781" i="12"/>
  <c r="M780" i="12"/>
  <c r="M779" i="12"/>
  <c r="M778" i="12"/>
  <c r="M175" i="2"/>
  <c r="N175" i="2"/>
  <c r="P175" i="2"/>
  <c r="R175" i="2" s="1"/>
  <c r="M777" i="12"/>
  <c r="M776" i="12"/>
  <c r="M775" i="12"/>
  <c r="M774" i="12"/>
  <c r="M773" i="12"/>
  <c r="M772" i="12"/>
  <c r="M771" i="12"/>
  <c r="M770" i="12"/>
  <c r="M769" i="12"/>
  <c r="M768" i="12"/>
  <c r="M767" i="12"/>
  <c r="M766" i="12"/>
  <c r="M765" i="12"/>
  <c r="M764" i="12"/>
  <c r="B168" i="2"/>
  <c r="B169" i="2"/>
  <c r="B170" i="2"/>
  <c r="B171" i="2"/>
  <c r="B172" i="2"/>
  <c r="B173" i="2"/>
  <c r="B174" i="2"/>
  <c r="B175" i="2"/>
  <c r="B176" i="2"/>
  <c r="A172" i="2"/>
  <c r="A173" i="2"/>
  <c r="A174" i="2"/>
  <c r="A175" i="2"/>
  <c r="A176" i="2"/>
  <c r="N174" i="2"/>
  <c r="M174" i="2"/>
  <c r="P174" i="2" s="1"/>
  <c r="R174" i="2" s="1"/>
  <c r="N173" i="2"/>
  <c r="M173" i="2"/>
  <c r="P173" i="2" s="1"/>
  <c r="R173" i="2" s="1"/>
  <c r="M763" i="12"/>
  <c r="M762" i="12"/>
  <c r="M761" i="12"/>
  <c r="M760" i="12"/>
  <c r="M759" i="12"/>
  <c r="M758" i="12"/>
  <c r="M757" i="12"/>
  <c r="M756" i="12"/>
  <c r="M755" i="12"/>
  <c r="M754" i="12"/>
  <c r="M753" i="12"/>
  <c r="M752" i="12"/>
  <c r="M751" i="12"/>
  <c r="O172" i="2"/>
  <c r="P172" i="2" s="1"/>
  <c r="R172" i="2" s="1"/>
  <c r="M171" i="2"/>
  <c r="P171" i="2" s="1"/>
  <c r="R171" i="2" s="1"/>
  <c r="N171" i="2"/>
  <c r="M170" i="2"/>
  <c r="P170" i="2" s="1"/>
  <c r="R170" i="2" s="1"/>
  <c r="N170" i="2"/>
  <c r="M750" i="12"/>
  <c r="M749" i="12"/>
  <c r="M748" i="12"/>
  <c r="M747" i="12"/>
  <c r="M746" i="12"/>
  <c r="M745" i="12"/>
  <c r="M744" i="12"/>
  <c r="M743" i="12"/>
  <c r="M742" i="12"/>
  <c r="M741" i="12"/>
  <c r="M740" i="12"/>
  <c r="M739" i="12"/>
  <c r="M738" i="12"/>
  <c r="M737" i="12"/>
  <c r="M736" i="12"/>
  <c r="M735" i="12"/>
  <c r="M734" i="12"/>
  <c r="M733" i="12"/>
  <c r="M732" i="12"/>
  <c r="M731" i="12"/>
  <c r="M729" i="12"/>
  <c r="M730" i="12"/>
  <c r="M728" i="12"/>
  <c r="M727" i="12"/>
  <c r="M726" i="12"/>
  <c r="M725" i="12"/>
  <c r="M724" i="12"/>
  <c r="M723" i="12"/>
  <c r="M722" i="12"/>
  <c r="M721" i="12"/>
  <c r="M720" i="12"/>
  <c r="M719" i="12"/>
  <c r="M718" i="12"/>
  <c r="M717" i="12"/>
  <c r="M169" i="2"/>
  <c r="N169" i="2"/>
  <c r="M168" i="2"/>
  <c r="N168" i="2"/>
  <c r="M167" i="2"/>
  <c r="N167" i="2"/>
  <c r="P167" i="2"/>
  <c r="R167" i="2" s="1"/>
  <c r="M166" i="2"/>
  <c r="N166" i="2"/>
  <c r="M165" i="2"/>
  <c r="N165" i="2"/>
  <c r="M164" i="2"/>
  <c r="N164" i="2"/>
  <c r="M163" i="2"/>
  <c r="N163" i="2"/>
  <c r="P163" i="2"/>
  <c r="R163" i="2" s="1"/>
  <c r="N162" i="2"/>
  <c r="M162" i="2"/>
  <c r="P162" i="2" s="1"/>
  <c r="R162" i="2" s="1"/>
  <c r="N161" i="2"/>
  <c r="M161" i="2"/>
  <c r="P161" i="2" s="1"/>
  <c r="R161" i="2" s="1"/>
  <c r="N160" i="2"/>
  <c r="M160" i="2"/>
  <c r="P160" i="2" s="1"/>
  <c r="R160" i="2" s="1"/>
  <c r="N159" i="2"/>
  <c r="M159" i="2"/>
  <c r="P159" i="2" s="1"/>
  <c r="R159" i="2" s="1"/>
  <c r="O158" i="2"/>
  <c r="P158" i="2" s="1"/>
  <c r="R158" i="2" s="1"/>
  <c r="O157" i="2"/>
  <c r="P157" i="2" s="1"/>
  <c r="R157" i="2" s="1"/>
  <c r="M156" i="2"/>
  <c r="N156" i="2"/>
  <c r="M155" i="2"/>
  <c r="N155" i="2"/>
  <c r="N154" i="2"/>
  <c r="M154" i="2"/>
  <c r="P154" i="2" s="1"/>
  <c r="R154" i="2" s="1"/>
  <c r="U144" i="2"/>
  <c r="V144" i="2" s="1"/>
  <c r="U145" i="2"/>
  <c r="V145" i="2" s="1"/>
  <c r="U146" i="2"/>
  <c r="V146" i="2" s="1"/>
  <c r="U147" i="2"/>
  <c r="V147" i="2" s="1"/>
  <c r="U148" i="2"/>
  <c r="V148" i="2" s="1"/>
  <c r="U149" i="2"/>
  <c r="V149" i="2" s="1"/>
  <c r="U150" i="2"/>
  <c r="U151" i="2"/>
  <c r="U152" i="2"/>
  <c r="U153" i="2"/>
  <c r="U154" i="2"/>
  <c r="N153" i="2"/>
  <c r="M153" i="2"/>
  <c r="P153" i="2" s="1"/>
  <c r="R153" i="2" s="1"/>
  <c r="M716" i="12"/>
  <c r="M715" i="12"/>
  <c r="M714" i="12"/>
  <c r="M713" i="12"/>
  <c r="M712" i="12"/>
  <c r="M711" i="12"/>
  <c r="M710" i="12"/>
  <c r="N152" i="2"/>
  <c r="M152" i="2"/>
  <c r="P152" i="2" s="1"/>
  <c r="R152" i="2" s="1"/>
  <c r="N151" i="2"/>
  <c r="M151" i="2"/>
  <c r="P151" i="2" s="1"/>
  <c r="R151" i="2" s="1"/>
  <c r="O31" i="3"/>
  <c r="J31" i="3" s="1"/>
  <c r="M709" i="12"/>
  <c r="M708" i="12"/>
  <c r="M707" i="12"/>
  <c r="M706" i="12"/>
  <c r="M705" i="12"/>
  <c r="M704" i="12"/>
  <c r="M703" i="12"/>
  <c r="M702" i="12"/>
  <c r="M701" i="12"/>
  <c r="M700" i="12"/>
  <c r="M699" i="12"/>
  <c r="M698" i="12"/>
  <c r="M697" i="12"/>
  <c r="M696" i="12"/>
  <c r="M695" i="12"/>
  <c r="M694" i="12"/>
  <c r="M693" i="12"/>
  <c r="M692" i="12"/>
  <c r="O150" i="2"/>
  <c r="P150" i="2" s="1"/>
  <c r="R150" i="2" s="1"/>
  <c r="O149" i="2"/>
  <c r="P149" i="2" s="1"/>
  <c r="R149" i="2" s="1"/>
  <c r="O148" i="2"/>
  <c r="P148" i="2" s="1"/>
  <c r="R148" i="2" s="1"/>
  <c r="M147" i="2"/>
  <c r="N147" i="2"/>
  <c r="P147" i="2" s="1"/>
  <c r="R147" i="2" s="1"/>
  <c r="G30" i="3"/>
  <c r="M691" i="12"/>
  <c r="M690" i="12"/>
  <c r="M689" i="12"/>
  <c r="M688" i="12"/>
  <c r="M687" i="12"/>
  <c r="M686" i="12"/>
  <c r="M685" i="12"/>
  <c r="M684" i="12"/>
  <c r="M683" i="12"/>
  <c r="M682" i="12"/>
  <c r="M681" i="12"/>
  <c r="M680" i="12"/>
  <c r="M679" i="12"/>
  <c r="M678" i="12"/>
  <c r="M677" i="12"/>
  <c r="M676" i="12"/>
  <c r="M675" i="12"/>
  <c r="M674" i="12"/>
  <c r="M673" i="12"/>
  <c r="M672" i="12"/>
  <c r="M671" i="12"/>
  <c r="M670" i="12"/>
  <c r="M669" i="12"/>
  <c r="M668" i="12"/>
  <c r="M667" i="12"/>
  <c r="M666" i="12"/>
  <c r="M665" i="12"/>
  <c r="M664" i="12"/>
  <c r="M663" i="12"/>
  <c r="M662" i="12"/>
  <c r="M661" i="12"/>
  <c r="M660" i="12"/>
  <c r="M659" i="12"/>
  <c r="M658" i="12"/>
  <c r="M657" i="12"/>
  <c r="M656" i="12"/>
  <c r="N146" i="2"/>
  <c r="M146" i="2"/>
  <c r="P146" i="2" s="1"/>
  <c r="R146" i="2" s="1"/>
  <c r="M145" i="2"/>
  <c r="N145" i="2"/>
  <c r="P145" i="2"/>
  <c r="R145" i="2" s="1"/>
  <c r="N144" i="2"/>
  <c r="M144" i="2"/>
  <c r="P144" i="2" s="1"/>
  <c r="R144" i="2" s="1"/>
  <c r="M143" i="2"/>
  <c r="N143" i="2"/>
  <c r="N142" i="2"/>
  <c r="M142" i="2"/>
  <c r="P142" i="2" s="1"/>
  <c r="R142" i="2" s="1"/>
  <c r="U142" i="2"/>
  <c r="V142" i="2" s="1"/>
  <c r="M141" i="2"/>
  <c r="N141" i="2"/>
  <c r="M655" i="12"/>
  <c r="M654" i="12"/>
  <c r="M653" i="12"/>
  <c r="M652" i="12"/>
  <c r="M651" i="12"/>
  <c r="M650" i="12"/>
  <c r="M649" i="12"/>
  <c r="M648" i="12"/>
  <c r="M647" i="12"/>
  <c r="M646" i="12"/>
  <c r="M645" i="12"/>
  <c r="M644" i="12"/>
  <c r="M643" i="12"/>
  <c r="M642" i="12"/>
  <c r="M641" i="12"/>
  <c r="M640" i="12"/>
  <c r="M639" i="12"/>
  <c r="M638" i="12"/>
  <c r="M637" i="12"/>
  <c r="M636" i="12"/>
  <c r="M635" i="12"/>
  <c r="M634" i="12"/>
  <c r="M140" i="2"/>
  <c r="N140" i="2"/>
  <c r="M139" i="2"/>
  <c r="N139" i="2"/>
  <c r="N138" i="2"/>
  <c r="M138" i="2"/>
  <c r="P138" i="2" s="1"/>
  <c r="R138" i="2" s="1"/>
  <c r="M137" i="2"/>
  <c r="N137" i="2"/>
  <c r="P137" i="2"/>
  <c r="R137" i="2" s="1"/>
  <c r="M136" i="2"/>
  <c r="N136" i="2"/>
  <c r="M135" i="2"/>
  <c r="N135" i="2"/>
  <c r="P135" i="2"/>
  <c r="R135" i="2" s="1"/>
  <c r="M633" i="12"/>
  <c r="M632" i="12"/>
  <c r="M631" i="12"/>
  <c r="M630" i="12"/>
  <c r="M629" i="12"/>
  <c r="M628" i="12"/>
  <c r="M627" i="12"/>
  <c r="M626" i="12"/>
  <c r="M134" i="2"/>
  <c r="N134" i="2"/>
  <c r="N133" i="2"/>
  <c r="M133" i="2"/>
  <c r="P133" i="2" s="1"/>
  <c r="R133" i="2" s="1"/>
  <c r="M132" i="2"/>
  <c r="N132" i="2"/>
  <c r="P132" i="2"/>
  <c r="M625" i="12"/>
  <c r="M624" i="12"/>
  <c r="M623" i="12"/>
  <c r="M622" i="12"/>
  <c r="M621" i="12"/>
  <c r="M620" i="12"/>
  <c r="M619" i="12"/>
  <c r="M618" i="12"/>
  <c r="M617" i="12"/>
  <c r="M616" i="12"/>
  <c r="M615" i="12"/>
  <c r="M614" i="12"/>
  <c r="M613" i="12"/>
  <c r="M612" i="12"/>
  <c r="M611" i="12"/>
  <c r="M610" i="12"/>
  <c r="M609" i="12"/>
  <c r="M608" i="12"/>
  <c r="M607" i="12"/>
  <c r="M606" i="12"/>
  <c r="M605" i="12"/>
  <c r="M604" i="12"/>
  <c r="K602" i="12"/>
  <c r="M603" i="12"/>
  <c r="M595" i="12"/>
  <c r="M596" i="12"/>
  <c r="M597" i="12"/>
  <c r="M598" i="12"/>
  <c r="M599" i="12"/>
  <c r="M600" i="12"/>
  <c r="M601" i="12"/>
  <c r="M594" i="12"/>
  <c r="M593" i="12"/>
  <c r="M131" i="2"/>
  <c r="N131" i="2"/>
  <c r="P131" i="2"/>
  <c r="R131" i="2" s="1"/>
  <c r="N130" i="2"/>
  <c r="M130" i="2"/>
  <c r="P130" i="2" s="1"/>
  <c r="R130" i="2" s="1"/>
  <c r="N129" i="2"/>
  <c r="M129" i="2"/>
  <c r="U129" i="2"/>
  <c r="M128" i="2"/>
  <c r="U125" i="2"/>
  <c r="U126" i="2"/>
  <c r="V126" i="2" s="1"/>
  <c r="U127" i="2"/>
  <c r="V127" i="2" s="1"/>
  <c r="U128" i="2"/>
  <c r="V128" i="2" s="1"/>
  <c r="U130" i="2"/>
  <c r="V130" i="2" s="1"/>
  <c r="U131" i="2"/>
  <c r="V131" i="2" s="1"/>
  <c r="U132" i="2"/>
  <c r="U133" i="2"/>
  <c r="V133" i="2" s="1"/>
  <c r="U134" i="2"/>
  <c r="V134" i="2" s="1"/>
  <c r="U135" i="2"/>
  <c r="V135" i="2" s="1"/>
  <c r="U136" i="2"/>
  <c r="V136" i="2" s="1"/>
  <c r="U137" i="2"/>
  <c r="V137" i="2" s="1"/>
  <c r="U138" i="2"/>
  <c r="V138" i="2" s="1"/>
  <c r="U139" i="2"/>
  <c r="V139" i="2" s="1"/>
  <c r="U140" i="2"/>
  <c r="V140" i="2" s="1"/>
  <c r="U141" i="2"/>
  <c r="V141" i="2" s="1"/>
  <c r="U143" i="2"/>
  <c r="V143" i="2" s="1"/>
  <c r="N128" i="2"/>
  <c r="N127" i="2"/>
  <c r="M127" i="2"/>
  <c r="P127" i="2" s="1"/>
  <c r="R127" i="2" s="1"/>
  <c r="N126" i="2"/>
  <c r="M126" i="2"/>
  <c r="M592" i="12"/>
  <c r="M591" i="12"/>
  <c r="M590" i="12"/>
  <c r="N125" i="2"/>
  <c r="M125" i="2"/>
  <c r="M581" i="12"/>
  <c r="M582" i="12"/>
  <c r="M583" i="12"/>
  <c r="M584" i="12"/>
  <c r="M585" i="12"/>
  <c r="M586" i="12"/>
  <c r="M587" i="12"/>
  <c r="M588" i="12"/>
  <c r="M589" i="12"/>
  <c r="M580" i="12"/>
  <c r="M579" i="12"/>
  <c r="M578" i="12"/>
  <c r="K577" i="12"/>
  <c r="M576" i="12"/>
  <c r="M575" i="12"/>
  <c r="O124" i="2"/>
  <c r="P124" i="2" s="1"/>
  <c r="R124" i="2" s="1"/>
  <c r="O123" i="2"/>
  <c r="P123" i="2" s="1"/>
  <c r="R123" i="2" s="1"/>
  <c r="O122" i="2"/>
  <c r="N121" i="2"/>
  <c r="M121" i="2"/>
  <c r="M574" i="12"/>
  <c r="M573" i="12"/>
  <c r="M572" i="12"/>
  <c r="M571" i="12"/>
  <c r="M570" i="12"/>
  <c r="M569" i="12"/>
  <c r="M568" i="12"/>
  <c r="M567" i="12"/>
  <c r="M566" i="12"/>
  <c r="M565" i="12"/>
  <c r="M564" i="12"/>
  <c r="M563" i="12"/>
  <c r="M562" i="12"/>
  <c r="U112" i="2"/>
  <c r="U113" i="2"/>
  <c r="V113" i="2" s="1"/>
  <c r="U114" i="2"/>
  <c r="V114" i="2" s="1"/>
  <c r="U115" i="2"/>
  <c r="V115" i="2" s="1"/>
  <c r="U116" i="2"/>
  <c r="V116" i="2" s="1"/>
  <c r="U117" i="2"/>
  <c r="V117" i="2" s="1"/>
  <c r="U118" i="2"/>
  <c r="V118" i="2" s="1"/>
  <c r="U119" i="2"/>
  <c r="V119" i="2" s="1"/>
  <c r="U120" i="2"/>
  <c r="U121" i="2"/>
  <c r="U122" i="2"/>
  <c r="V122" i="2" s="1"/>
  <c r="U123" i="2"/>
  <c r="V123" i="2" s="1"/>
  <c r="U124" i="2"/>
  <c r="V124" i="2" s="1"/>
  <c r="N120" i="2"/>
  <c r="M120" i="2"/>
  <c r="O119" i="2"/>
  <c r="P119" i="2" s="1"/>
  <c r="R119" i="2" s="1"/>
  <c r="O118" i="2"/>
  <c r="M561" i="12"/>
  <c r="M560" i="12"/>
  <c r="M559" i="12"/>
  <c r="M558" i="12"/>
  <c r="M557" i="12"/>
  <c r="M556" i="12"/>
  <c r="M555" i="12"/>
  <c r="M554" i="12"/>
  <c r="M553" i="12"/>
  <c r="M552" i="12"/>
  <c r="M551" i="12"/>
  <c r="M550" i="12"/>
  <c r="M549" i="12"/>
  <c r="M548" i="12"/>
  <c r="M547" i="12"/>
  <c r="M546" i="12"/>
  <c r="M545" i="12"/>
  <c r="M544" i="12"/>
  <c r="M543" i="12"/>
  <c r="M542" i="12"/>
  <c r="M541" i="12"/>
  <c r="M540" i="12"/>
  <c r="M539" i="12"/>
  <c r="M538" i="12"/>
  <c r="M537" i="12"/>
  <c r="M536" i="12"/>
  <c r="N117" i="2"/>
  <c r="M117" i="2"/>
  <c r="P117" i="2" s="1"/>
  <c r="R117" i="2" s="1"/>
  <c r="N116" i="2"/>
  <c r="M116" i="2"/>
  <c r="O115" i="2"/>
  <c r="N114" i="2"/>
  <c r="M114" i="2"/>
  <c r="U108" i="2"/>
  <c r="U109" i="2"/>
  <c r="U110" i="2"/>
  <c r="U111" i="2"/>
  <c r="N113" i="2"/>
  <c r="M113" i="2"/>
  <c r="O112" i="2"/>
  <c r="M111" i="2"/>
  <c r="N111" i="2"/>
  <c r="M535" i="12"/>
  <c r="M534" i="12"/>
  <c r="M533" i="12"/>
  <c r="M532" i="12"/>
  <c r="M531" i="12"/>
  <c r="M530" i="12"/>
  <c r="M529" i="12"/>
  <c r="M528" i="12"/>
  <c r="M527" i="12"/>
  <c r="M526" i="12"/>
  <c r="M525" i="12"/>
  <c r="K524" i="12"/>
  <c r="M523" i="12"/>
  <c r="M522" i="12"/>
  <c r="M521" i="12"/>
  <c r="M520" i="12"/>
  <c r="M519" i="12"/>
  <c r="M518" i="12"/>
  <c r="N110" i="2"/>
  <c r="M110" i="2"/>
  <c r="P110" i="2" s="1"/>
  <c r="R110" i="2" s="1"/>
  <c r="N109" i="2"/>
  <c r="M109" i="2"/>
  <c r="N108" i="2"/>
  <c r="M108" i="2"/>
  <c r="M107" i="2"/>
  <c r="N107" i="2"/>
  <c r="P107" i="2" s="1"/>
  <c r="O30" i="3"/>
  <c r="J30" i="3" s="1"/>
  <c r="K516" i="12"/>
  <c r="M515" i="12"/>
  <c r="M514" i="12"/>
  <c r="M513" i="12"/>
  <c r="K505" i="12"/>
  <c r="K466" i="12"/>
  <c r="A427" i="12"/>
  <c r="B427" i="12"/>
  <c r="A428" i="12"/>
  <c r="B428" i="12"/>
  <c r="A429" i="12"/>
  <c r="B429" i="12"/>
  <c r="A430" i="12"/>
  <c r="B430" i="12"/>
  <c r="A431" i="12"/>
  <c r="B431" i="12"/>
  <c r="A432" i="12"/>
  <c r="B432" i="12"/>
  <c r="A433" i="12"/>
  <c r="B433" i="12"/>
  <c r="A434" i="12"/>
  <c r="B434" i="12"/>
  <c r="A435" i="12"/>
  <c r="B435" i="12"/>
  <c r="A436" i="12"/>
  <c r="B436" i="12"/>
  <c r="A437" i="12"/>
  <c r="B437" i="12"/>
  <c r="A438" i="12"/>
  <c r="B438" i="12"/>
  <c r="A439" i="12"/>
  <c r="B439" i="12"/>
  <c r="A440" i="12"/>
  <c r="B440" i="12"/>
  <c r="M435" i="12"/>
  <c r="K432" i="12"/>
  <c r="M429" i="12"/>
  <c r="M428" i="12"/>
  <c r="M427" i="12"/>
  <c r="M517" i="12"/>
  <c r="N106" i="2"/>
  <c r="M106" i="2"/>
  <c r="M512" i="12"/>
  <c r="M511" i="12"/>
  <c r="M510" i="12"/>
  <c r="M509" i="12"/>
  <c r="M508" i="12"/>
  <c r="M507" i="12"/>
  <c r="M503" i="12"/>
  <c r="M504" i="12"/>
  <c r="M506" i="12"/>
  <c r="M502" i="12"/>
  <c r="M501" i="12"/>
  <c r="M500" i="12"/>
  <c r="M499" i="12"/>
  <c r="M498" i="12"/>
  <c r="M497" i="12"/>
  <c r="M496" i="12"/>
  <c r="M495" i="12"/>
  <c r="M494" i="12"/>
  <c r="M493" i="12"/>
  <c r="O105" i="2"/>
  <c r="N104" i="2"/>
  <c r="M104" i="2"/>
  <c r="M103" i="2"/>
  <c r="N103" i="2"/>
  <c r="P103" i="2"/>
  <c r="M492" i="12"/>
  <c r="M491" i="12"/>
  <c r="M490" i="12"/>
  <c r="M489" i="12"/>
  <c r="M488" i="12"/>
  <c r="M487" i="12"/>
  <c r="M486" i="12"/>
  <c r="M485" i="12"/>
  <c r="M484" i="12"/>
  <c r="M483" i="12"/>
  <c r="M482" i="12"/>
  <c r="M481" i="12"/>
  <c r="M480" i="12"/>
  <c r="M479" i="12"/>
  <c r="M478" i="12"/>
  <c r="M477" i="12"/>
  <c r="M476" i="12"/>
  <c r="M475" i="12"/>
  <c r="M474" i="12"/>
  <c r="M473" i="12"/>
  <c r="M472" i="12"/>
  <c r="M471" i="12"/>
  <c r="M470" i="12"/>
  <c r="M469" i="12"/>
  <c r="M468" i="12"/>
  <c r="M463" i="12"/>
  <c r="M464" i="12"/>
  <c r="M465" i="12"/>
  <c r="M467" i="12"/>
  <c r="M462" i="12"/>
  <c r="M461" i="12"/>
  <c r="M460" i="12"/>
  <c r="M459" i="12"/>
  <c r="M458" i="12"/>
  <c r="M457" i="12"/>
  <c r="M456" i="12"/>
  <c r="M455" i="12"/>
  <c r="M454" i="12"/>
  <c r="M453" i="12"/>
  <c r="M452" i="12"/>
  <c r="M451" i="12"/>
  <c r="M450" i="12"/>
  <c r="M449" i="12"/>
  <c r="M448" i="12"/>
  <c r="M447" i="12"/>
  <c r="M446" i="12"/>
  <c r="M445" i="12"/>
  <c r="M444" i="12"/>
  <c r="M443" i="12"/>
  <c r="M442" i="12"/>
  <c r="M441" i="12"/>
  <c r="M440" i="12"/>
  <c r="M439" i="12"/>
  <c r="M438" i="12"/>
  <c r="M437" i="12"/>
  <c r="N102" i="2"/>
  <c r="M102" i="2"/>
  <c r="P102" i="2" s="1"/>
  <c r="R102" i="2" s="1"/>
  <c r="U96" i="2"/>
  <c r="V96" i="2" s="1"/>
  <c r="U97" i="2"/>
  <c r="V97" i="2" s="1"/>
  <c r="U98" i="2"/>
  <c r="V98" i="2" s="1"/>
  <c r="U99" i="2"/>
  <c r="V99" i="2" s="1"/>
  <c r="U100" i="2"/>
  <c r="V100" i="2" s="1"/>
  <c r="U101" i="2"/>
  <c r="V101" i="2" s="1"/>
  <c r="U102" i="2"/>
  <c r="V102" i="2" s="1"/>
  <c r="U103" i="2"/>
  <c r="U104" i="2"/>
  <c r="U105" i="2"/>
  <c r="V105" i="2" s="1"/>
  <c r="U106" i="2"/>
  <c r="V106" i="2" s="1"/>
  <c r="U107" i="2"/>
  <c r="M101" i="2"/>
  <c r="N101" i="2"/>
  <c r="M100" i="2"/>
  <c r="N100" i="2"/>
  <c r="P100" i="2"/>
  <c r="R100" i="2" s="1"/>
  <c r="N99" i="2"/>
  <c r="M99" i="2"/>
  <c r="P99" i="2" s="1"/>
  <c r="R99" i="2" s="1"/>
  <c r="N98" i="2"/>
  <c r="M98" i="2"/>
  <c r="U86" i="2"/>
  <c r="U87" i="2"/>
  <c r="U88" i="2"/>
  <c r="U89" i="2"/>
  <c r="U90" i="2"/>
  <c r="U91" i="2"/>
  <c r="U92" i="2"/>
  <c r="U93" i="2"/>
  <c r="U94" i="2"/>
  <c r="U95" i="2"/>
  <c r="N97" i="2"/>
  <c r="M97" i="2"/>
  <c r="N96" i="2"/>
  <c r="M96" i="2"/>
  <c r="O95" i="2"/>
  <c r="P95" i="2" s="1"/>
  <c r="R95" i="2" s="1"/>
  <c r="O94" i="2"/>
  <c r="P94" i="2" s="1"/>
  <c r="R94" i="2" s="1"/>
  <c r="O93" i="2"/>
  <c r="M92" i="2"/>
  <c r="N92" i="2"/>
  <c r="M91" i="2"/>
  <c r="N91" i="2"/>
  <c r="P91" i="2" s="1"/>
  <c r="R91" i="2" s="1"/>
  <c r="M90" i="2"/>
  <c r="P90" i="2" s="1"/>
  <c r="R90" i="2" s="1"/>
  <c r="N90" i="2"/>
  <c r="M89" i="2"/>
  <c r="N89" i="2"/>
  <c r="M88" i="2"/>
  <c r="N88" i="2"/>
  <c r="P88" i="2" s="1"/>
  <c r="R88" i="2" s="1"/>
  <c r="N87" i="2"/>
  <c r="M87" i="2"/>
  <c r="P87" i="2" s="1"/>
  <c r="R87" i="2" s="1"/>
  <c r="M436" i="12"/>
  <c r="M433" i="12"/>
  <c r="M434" i="12"/>
  <c r="M431" i="12"/>
  <c r="M430" i="12"/>
  <c r="M426" i="12"/>
  <c r="N86" i="2"/>
  <c r="M86" i="2"/>
  <c r="U81" i="2"/>
  <c r="U82" i="2"/>
  <c r="U83" i="2"/>
  <c r="U84" i="2"/>
  <c r="U85" i="2"/>
  <c r="N85" i="2"/>
  <c r="M85" i="2"/>
  <c r="N30" i="3"/>
  <c r="I30" i="3" s="1"/>
  <c r="M425" i="12"/>
  <c r="M424" i="12"/>
  <c r="M423" i="12"/>
  <c r="K421" i="12"/>
  <c r="M422" i="12"/>
  <c r="M420" i="12"/>
  <c r="M419" i="12"/>
  <c r="M418" i="12"/>
  <c r="M417" i="12"/>
  <c r="M416" i="12"/>
  <c r="M415" i="12"/>
  <c r="M414" i="12"/>
  <c r="M413" i="12"/>
  <c r="M412" i="12"/>
  <c r="M411" i="12"/>
  <c r="M410" i="12"/>
  <c r="M409" i="12"/>
  <c r="M408" i="12"/>
  <c r="M407" i="12"/>
  <c r="M406" i="12"/>
  <c r="M405" i="12"/>
  <c r="N84" i="2"/>
  <c r="M84" i="2"/>
  <c r="P84" i="2" s="1"/>
  <c r="R84" i="2" s="1"/>
  <c r="N83" i="2"/>
  <c r="M83" i="2"/>
  <c r="O82" i="2"/>
  <c r="U74" i="2"/>
  <c r="U75" i="2"/>
  <c r="U76" i="2"/>
  <c r="U77" i="2"/>
  <c r="U78" i="2"/>
  <c r="U79" i="2"/>
  <c r="U80" i="2"/>
  <c r="N81" i="2"/>
  <c r="M81" i="2"/>
  <c r="G29" i="3"/>
  <c r="M404" i="12"/>
  <c r="M403" i="12"/>
  <c r="M402" i="12"/>
  <c r="M401" i="12"/>
  <c r="M400" i="12"/>
  <c r="M399" i="12"/>
  <c r="M398" i="12"/>
  <c r="M397" i="12"/>
  <c r="M396" i="12"/>
  <c r="M395" i="12"/>
  <c r="M394" i="12"/>
  <c r="M393" i="12"/>
  <c r="M392" i="12"/>
  <c r="O80" i="2"/>
  <c r="P80" i="2" s="1"/>
  <c r="R80" i="2" s="1"/>
  <c r="O79" i="2"/>
  <c r="P79" i="2" s="1"/>
  <c r="R79" i="2" s="1"/>
  <c r="M391" i="12"/>
  <c r="M390" i="12"/>
  <c r="M389" i="12"/>
  <c r="M388" i="12"/>
  <c r="M387" i="12"/>
  <c r="O78" i="2"/>
  <c r="P78" i="2" s="1"/>
  <c r="R78" i="2" s="1"/>
  <c r="M386" i="12"/>
  <c r="M385" i="12"/>
  <c r="M384" i="12"/>
  <c r="M383" i="12"/>
  <c r="M382" i="12"/>
  <c r="M381" i="12"/>
  <c r="M380" i="12"/>
  <c r="M379" i="12"/>
  <c r="M378" i="12"/>
  <c r="M377" i="12"/>
  <c r="M376" i="12"/>
  <c r="M375" i="12"/>
  <c r="M374" i="12"/>
  <c r="M373" i="12"/>
  <c r="M372" i="12"/>
  <c r="M371" i="12"/>
  <c r="M370" i="12"/>
  <c r="M369" i="12"/>
  <c r="M368" i="12"/>
  <c r="M367" i="12"/>
  <c r="M366" i="12"/>
  <c r="M365" i="12"/>
  <c r="M364" i="12"/>
  <c r="M363" i="12"/>
  <c r="M362" i="12"/>
  <c r="M361" i="12"/>
  <c r="M360" i="12"/>
  <c r="M359" i="12"/>
  <c r="M358" i="12"/>
  <c r="M357" i="12"/>
  <c r="M356" i="12"/>
  <c r="M355" i="12"/>
  <c r="M354" i="12"/>
  <c r="O77" i="2"/>
  <c r="M76" i="2"/>
  <c r="N76" i="2"/>
  <c r="N75" i="2"/>
  <c r="M75" i="2"/>
  <c r="P75" i="2" s="1"/>
  <c r="R75" i="2" s="1"/>
  <c r="N74" i="2"/>
  <c r="M74" i="2"/>
  <c r="U68" i="2"/>
  <c r="U69" i="2"/>
  <c r="U70" i="2"/>
  <c r="U71" i="2"/>
  <c r="U72" i="2"/>
  <c r="U73" i="2"/>
  <c r="M73" i="2"/>
  <c r="N73" i="2"/>
  <c r="M353" i="12"/>
  <c r="M352" i="12"/>
  <c r="M351" i="12"/>
  <c r="M350" i="12"/>
  <c r="M349" i="12"/>
  <c r="N72" i="2"/>
  <c r="M72" i="2"/>
  <c r="P72" i="2" s="1"/>
  <c r="R72" i="2" s="1"/>
  <c r="M71" i="2"/>
  <c r="N71" i="2"/>
  <c r="P71" i="2" s="1"/>
  <c r="K339" i="12"/>
  <c r="M339" i="12" s="1"/>
  <c r="M348" i="12"/>
  <c r="M347" i="12"/>
  <c r="M346" i="12"/>
  <c r="M345" i="12"/>
  <c r="M344" i="12"/>
  <c r="M343" i="12"/>
  <c r="M342" i="12"/>
  <c r="M341" i="12"/>
  <c r="M340" i="12"/>
  <c r="M338" i="12"/>
  <c r="M337" i="12"/>
  <c r="M336" i="12"/>
  <c r="M335" i="12"/>
  <c r="M332" i="12"/>
  <c r="M331" i="12"/>
  <c r="M330" i="12"/>
  <c r="J330" i="12"/>
  <c r="O29" i="3"/>
  <c r="N29" i="3"/>
  <c r="P134" i="2" l="1"/>
  <c r="R134" i="2" s="1"/>
  <c r="P76" i="2"/>
  <c r="R76" i="2" s="1"/>
  <c r="P169" i="2"/>
  <c r="R169" i="2" s="1"/>
  <c r="P168" i="2"/>
  <c r="R168" i="2" s="1"/>
  <c r="P166" i="2"/>
  <c r="R166" i="2" s="1"/>
  <c r="P165" i="2"/>
  <c r="R165" i="2" s="1"/>
  <c r="P164" i="2"/>
  <c r="R164" i="2" s="1"/>
  <c r="P156" i="2"/>
  <c r="R156" i="2" s="1"/>
  <c r="P155" i="2"/>
  <c r="R155" i="2" s="1"/>
  <c r="P92" i="2"/>
  <c r="R92" i="2" s="1"/>
  <c r="P143" i="2"/>
  <c r="R143" i="2" s="1"/>
  <c r="P141" i="2"/>
  <c r="R141" i="2" s="1"/>
  <c r="P139" i="2"/>
  <c r="R139" i="2" s="1"/>
  <c r="P140" i="2"/>
  <c r="R140" i="2" s="1"/>
  <c r="P136" i="2"/>
  <c r="R136" i="2" s="1"/>
  <c r="P111" i="2"/>
  <c r="R111" i="2" s="1"/>
  <c r="P101" i="2"/>
  <c r="R101" i="2" s="1"/>
  <c r="P73" i="2"/>
  <c r="R73" i="2" s="1"/>
  <c r="R132" i="2"/>
  <c r="V132" i="2"/>
  <c r="M602" i="12"/>
  <c r="P129" i="2"/>
  <c r="R129" i="2" s="1"/>
  <c r="V129" i="2"/>
  <c r="P128" i="2"/>
  <c r="R128" i="2" s="1"/>
  <c r="P126" i="2"/>
  <c r="R126" i="2" s="1"/>
  <c r="V125" i="2"/>
  <c r="P125" i="2"/>
  <c r="R125" i="2" s="1"/>
  <c r="M577" i="12"/>
  <c r="P122" i="2"/>
  <c r="R122" i="2" s="1"/>
  <c r="P121" i="2"/>
  <c r="R121" i="2" s="1"/>
  <c r="V121" i="2"/>
  <c r="V120" i="2"/>
  <c r="P120" i="2"/>
  <c r="R120" i="2" s="1"/>
  <c r="P118" i="2"/>
  <c r="R118" i="2" s="1"/>
  <c r="P116" i="2"/>
  <c r="R116" i="2" s="1"/>
  <c r="P115" i="2"/>
  <c r="R115" i="2" s="1"/>
  <c r="P114" i="2"/>
  <c r="R114" i="2" s="1"/>
  <c r="P113" i="2"/>
  <c r="R113" i="2" s="1"/>
  <c r="P112" i="2"/>
  <c r="R112" i="2" s="1"/>
  <c r="M524" i="12"/>
  <c r="P109" i="2"/>
  <c r="R109" i="2" s="1"/>
  <c r="V108" i="2"/>
  <c r="P108" i="2"/>
  <c r="R108" i="2" s="1"/>
  <c r="V107" i="2"/>
  <c r="R107" i="2"/>
  <c r="M516" i="12"/>
  <c r="M505" i="12"/>
  <c r="M466" i="12"/>
  <c r="M432" i="12"/>
  <c r="P106" i="2"/>
  <c r="R106" i="2" s="1"/>
  <c r="P105" i="2"/>
  <c r="R105" i="2" s="1"/>
  <c r="V104" i="2"/>
  <c r="P104" i="2"/>
  <c r="R104" i="2" s="1"/>
  <c r="V103" i="2"/>
  <c r="R103" i="2"/>
  <c r="P98" i="2"/>
  <c r="R98" i="2" s="1"/>
  <c r="P97" i="2"/>
  <c r="R97" i="2" s="1"/>
  <c r="P96" i="2"/>
  <c r="R96" i="2" s="1"/>
  <c r="P93" i="2"/>
  <c r="R93" i="2" s="1"/>
  <c r="P89" i="2"/>
  <c r="R89" i="2" s="1"/>
  <c r="P86" i="2"/>
  <c r="R86" i="2" s="1"/>
  <c r="P85" i="2"/>
  <c r="R85" i="2" s="1"/>
  <c r="M421" i="12"/>
  <c r="P83" i="2"/>
  <c r="R83" i="2" s="1"/>
  <c r="P82" i="2"/>
  <c r="R82" i="2" s="1"/>
  <c r="P81" i="2"/>
  <c r="J29" i="3"/>
  <c r="I29" i="3"/>
  <c r="P77" i="2"/>
  <c r="R77" i="2" s="1"/>
  <c r="P74" i="2"/>
  <c r="R74" i="2" s="1"/>
  <c r="R71" i="2"/>
  <c r="M334" i="12"/>
  <c r="M333" i="12"/>
  <c r="N70" i="2"/>
  <c r="M70" i="2"/>
  <c r="P70" i="2" s="1"/>
  <c r="R70" i="2" s="1"/>
  <c r="N69" i="2"/>
  <c r="M69" i="2"/>
  <c r="U62" i="2"/>
  <c r="U63" i="2"/>
  <c r="U64" i="2"/>
  <c r="U65" i="2"/>
  <c r="U66" i="2"/>
  <c r="U67" i="2"/>
  <c r="N68" i="2"/>
  <c r="M68" i="2"/>
  <c r="P68" i="2" s="1"/>
  <c r="R68" i="2" s="1"/>
  <c r="M329" i="12"/>
  <c r="M328" i="12"/>
  <c r="M327" i="12"/>
  <c r="M326" i="12"/>
  <c r="M325" i="12"/>
  <c r="M324" i="12"/>
  <c r="M323" i="12"/>
  <c r="M322" i="12"/>
  <c r="M321" i="12"/>
  <c r="M320" i="12"/>
  <c r="M319" i="12"/>
  <c r="P69" i="2" l="1"/>
  <c r="R69" i="2" s="1"/>
  <c r="R81" i="2"/>
  <c r="M318" i="12"/>
  <c r="M317" i="12"/>
  <c r="M316" i="12"/>
  <c r="N67" i="2"/>
  <c r="M67" i="2"/>
  <c r="N66" i="2"/>
  <c r="M66" i="2"/>
  <c r="P66" i="2" s="1"/>
  <c r="R66" i="2" s="1"/>
  <c r="N65" i="2"/>
  <c r="M65" i="2"/>
  <c r="P65" i="2" s="1"/>
  <c r="R65" i="2" s="1"/>
  <c r="M315" i="12"/>
  <c r="M314" i="12"/>
  <c r="M313" i="12"/>
  <c r="M312" i="12"/>
  <c r="M311" i="12"/>
  <c r="M310" i="12"/>
  <c r="M309" i="12"/>
  <c r="M308" i="12"/>
  <c r="M307" i="12"/>
  <c r="P67" i="2" l="1"/>
  <c r="R67" i="2" s="1"/>
  <c r="M306" i="12"/>
  <c r="M305" i="12"/>
  <c r="M304" i="12"/>
  <c r="M303" i="12"/>
  <c r="M302" i="12"/>
  <c r="M301" i="12"/>
  <c r="M300" i="12"/>
  <c r="M299" i="12"/>
  <c r="M298" i="12"/>
  <c r="M297" i="12"/>
  <c r="O64" i="2"/>
  <c r="P64" i="2" s="1"/>
  <c r="R64" i="2" s="1"/>
  <c r="O63" i="2"/>
  <c r="P63" i="2" s="1"/>
  <c r="R63" i="2" s="1"/>
  <c r="K287" i="12"/>
  <c r="M296" i="12"/>
  <c r="M295" i="12"/>
  <c r="M294" i="12"/>
  <c r="M293" i="12"/>
  <c r="N62" i="2"/>
  <c r="M62" i="2"/>
  <c r="M292" i="12"/>
  <c r="M291" i="12"/>
  <c r="P62" i="2" l="1"/>
  <c r="R62" i="2" s="1"/>
  <c r="N61" i="2"/>
  <c r="M61" i="2"/>
  <c r="P61" i="2" s="1"/>
  <c r="R61" i="2" s="1"/>
  <c r="M290" i="12"/>
  <c r="M289" i="12"/>
  <c r="M288" i="12"/>
  <c r="M287" i="12"/>
  <c r="M286" i="12" l="1"/>
  <c r="M285" i="12"/>
  <c r="M284" i="12"/>
  <c r="M283" i="12"/>
  <c r="M282" i="12"/>
  <c r="M281" i="12"/>
  <c r="M280" i="12"/>
  <c r="M279" i="12"/>
  <c r="M278" i="12"/>
  <c r="M277" i="12"/>
  <c r="M276" i="12"/>
  <c r="M275" i="12"/>
  <c r="M274" i="12"/>
  <c r="M273" i="12"/>
  <c r="M272" i="12"/>
  <c r="M271" i="12"/>
  <c r="M270" i="12" l="1"/>
  <c r="M269" i="12"/>
  <c r="V62" i="2"/>
  <c r="V63" i="2"/>
  <c r="V64"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109" i="2"/>
  <c r="V110" i="2"/>
  <c r="V111" i="2"/>
  <c r="V112" i="2"/>
  <c r="V150" i="2"/>
  <c r="V151" i="2"/>
  <c r="V152" i="2"/>
  <c r="V153" i="2"/>
  <c r="V154" i="2"/>
  <c r="V155" i="2"/>
  <c r="V177" i="2"/>
  <c r="V178" i="2"/>
  <c r="V179" i="2"/>
  <c r="V180" i="2"/>
  <c r="V181" i="2"/>
  <c r="V182" i="2"/>
  <c r="V183" i="2"/>
  <c r="V184" i="2"/>
  <c r="V185" i="2"/>
  <c r="V186" i="2"/>
  <c r="V188" i="2"/>
  <c r="V189" i="2"/>
  <c r="V190" i="2"/>
  <c r="V191" i="2"/>
  <c r="V192" i="2"/>
  <c r="V193" i="2"/>
  <c r="V194" i="2"/>
  <c r="V195" i="2"/>
  <c r="V206"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N60" i="2"/>
  <c r="M60" i="2"/>
  <c r="P60" i="2" s="1"/>
  <c r="R60" i="2" s="1"/>
  <c r="O59" i="2"/>
  <c r="P59" i="2" s="1"/>
  <c r="R59" i="2" s="1"/>
  <c r="O58" i="2"/>
  <c r="P58" i="2" s="1"/>
  <c r="R58" i="2" s="1"/>
  <c r="N57" i="2"/>
  <c r="M57" i="2"/>
  <c r="P57" i="2" s="1"/>
  <c r="R57" i="2" s="1"/>
  <c r="M268" i="12"/>
  <c r="M267" i="12"/>
  <c r="M266" i="12"/>
  <c r="M265" i="12"/>
  <c r="M264" i="12"/>
  <c r="O56" i="2" l="1"/>
  <c r="P56" i="2" s="1"/>
  <c r="R56" i="2" s="1"/>
  <c r="K261" i="12"/>
  <c r="M261" i="12" s="1"/>
  <c r="M263" i="12"/>
  <c r="M262" i="12"/>
  <c r="M260" i="12"/>
  <c r="M259" i="12"/>
  <c r="M258" i="12"/>
  <c r="M257" i="12"/>
  <c r="M256" i="12"/>
  <c r="N55" i="2" l="1"/>
  <c r="M55" i="2"/>
  <c r="P55" i="2" s="1"/>
  <c r="R55" i="2" s="1"/>
  <c r="N54" i="2"/>
  <c r="M54" i="2"/>
  <c r="M255" i="12"/>
  <c r="M254" i="12"/>
  <c r="M253" i="12"/>
  <c r="M252" i="12"/>
  <c r="M251" i="12"/>
  <c r="M250" i="12"/>
  <c r="M249" i="12"/>
  <c r="M248" i="12"/>
  <c r="P54" i="2" l="1"/>
  <c r="R54" i="2" s="1"/>
  <c r="O53" i="2"/>
  <c r="P53" i="2" s="1"/>
  <c r="R53" i="2" s="1"/>
  <c r="N52" i="2"/>
  <c r="M52" i="2"/>
  <c r="N51" i="2"/>
  <c r="M51" i="2"/>
  <c r="P52" i="2" l="1"/>
  <c r="R52" i="2" s="1"/>
  <c r="P51" i="2"/>
  <c r="R51" i="2" s="1"/>
  <c r="O50" i="2"/>
  <c r="P50" i="2" s="1"/>
  <c r="R50" i="2" s="1"/>
  <c r="N49" i="2"/>
  <c r="M49" i="2"/>
  <c r="M247" i="12"/>
  <c r="M246" i="12"/>
  <c r="U43" i="2"/>
  <c r="V43" i="2" s="1"/>
  <c r="U44" i="2"/>
  <c r="V44" i="2" s="1"/>
  <c r="U45" i="2"/>
  <c r="V45" i="2" s="1"/>
  <c r="U46" i="2"/>
  <c r="V46" i="2" s="1"/>
  <c r="U47" i="2"/>
  <c r="V47" i="2" s="1"/>
  <c r="U48" i="2"/>
  <c r="V48" i="2" s="1"/>
  <c r="U49" i="2"/>
  <c r="V49" i="2" s="1"/>
  <c r="U50" i="2"/>
  <c r="V50" i="2" s="1"/>
  <c r="U51" i="2"/>
  <c r="V51" i="2" s="1"/>
  <c r="U52" i="2"/>
  <c r="V52" i="2" s="1"/>
  <c r="U53" i="2"/>
  <c r="V53" i="2" s="1"/>
  <c r="U54" i="2"/>
  <c r="V54" i="2" s="1"/>
  <c r="U55" i="2"/>
  <c r="V55" i="2" s="1"/>
  <c r="U56" i="2"/>
  <c r="V56" i="2" s="1"/>
  <c r="U57" i="2"/>
  <c r="V57" i="2" s="1"/>
  <c r="U58" i="2"/>
  <c r="V58" i="2" s="1"/>
  <c r="U59" i="2"/>
  <c r="V59" i="2" s="1"/>
  <c r="U60" i="2"/>
  <c r="V60" i="2" s="1"/>
  <c r="U61" i="2"/>
  <c r="V61" i="2" s="1"/>
  <c r="V65" i="2"/>
  <c r="V66" i="2"/>
  <c r="N48" i="2"/>
  <c r="M48" i="2"/>
  <c r="P48" i="2" s="1"/>
  <c r="R48" i="2" s="1"/>
  <c r="M245" i="12"/>
  <c r="M244" i="12"/>
  <c r="M243" i="12"/>
  <c r="M242" i="12"/>
  <c r="M241" i="12"/>
  <c r="M240" i="12"/>
  <c r="M239" i="12"/>
  <c r="M238" i="12"/>
  <c r="M237" i="12"/>
  <c r="M236" i="12"/>
  <c r="P49" i="2" l="1"/>
  <c r="R49" i="2" s="1"/>
  <c r="M235" i="12"/>
  <c r="M234" i="12"/>
  <c r="M233" i="12"/>
  <c r="M232" i="12"/>
  <c r="M231" i="12"/>
  <c r="M230" i="12"/>
  <c r="M229" i="12"/>
  <c r="M228" i="12"/>
  <c r="M227" i="12"/>
  <c r="M226" i="12"/>
  <c r="M225" i="12"/>
  <c r="M224" i="12"/>
  <c r="M223" i="12"/>
  <c r="O47" i="2"/>
  <c r="P47" i="2" s="1"/>
  <c r="R47" i="2" s="1"/>
  <c r="M46" i="2"/>
  <c r="N46" i="2"/>
  <c r="N45" i="2"/>
  <c r="M45" i="2"/>
  <c r="N44" i="2"/>
  <c r="M44" i="2"/>
  <c r="P44" i="2" s="1"/>
  <c r="R44" i="2" s="1"/>
  <c r="N43" i="2"/>
  <c r="M43" i="2"/>
  <c r="P45" i="2" l="1"/>
  <c r="R45" i="2" s="1"/>
  <c r="P46" i="2"/>
  <c r="R46" i="2" s="1"/>
  <c r="P43" i="2"/>
  <c r="R43" i="2" s="1"/>
  <c r="N42" i="2"/>
  <c r="M42" i="2"/>
  <c r="P42" i="2" s="1"/>
  <c r="R42" i="2" s="1"/>
  <c r="M222" i="12"/>
  <c r="M221" i="12"/>
  <c r="M220" i="12"/>
  <c r="M219" i="12"/>
  <c r="M218" i="12"/>
  <c r="M217" i="12"/>
  <c r="M216" i="12"/>
  <c r="G28" i="3"/>
  <c r="M215" i="12" l="1"/>
  <c r="M214" i="12"/>
  <c r="M213" i="12"/>
  <c r="M212" i="12"/>
  <c r="M211" i="12"/>
  <c r="O41" i="2"/>
  <c r="P41" i="2" s="1"/>
  <c r="R41" i="2" s="1"/>
  <c r="U29" i="2"/>
  <c r="U30" i="2"/>
  <c r="U31" i="2"/>
  <c r="V31" i="2" s="1"/>
  <c r="U32" i="2"/>
  <c r="V32" i="2" s="1"/>
  <c r="U33" i="2"/>
  <c r="V33" i="2" s="1"/>
  <c r="U34" i="2"/>
  <c r="V34" i="2" s="1"/>
  <c r="U35" i="2"/>
  <c r="V35" i="2" s="1"/>
  <c r="U36" i="2"/>
  <c r="V36" i="2" s="1"/>
  <c r="U37" i="2"/>
  <c r="V37" i="2" s="1"/>
  <c r="U38" i="2"/>
  <c r="V38" i="2" s="1"/>
  <c r="U39" i="2"/>
  <c r="V39" i="2" s="1"/>
  <c r="U40" i="2"/>
  <c r="V40" i="2" s="1"/>
  <c r="U41" i="2"/>
  <c r="V41" i="2" s="1"/>
  <c r="U42" i="2"/>
  <c r="V42" i="2" s="1"/>
  <c r="N40" i="2"/>
  <c r="M40" i="2"/>
  <c r="N39" i="2"/>
  <c r="M39" i="2"/>
  <c r="M210" i="12"/>
  <c r="P39" i="2" l="1"/>
  <c r="R39" i="2" s="1"/>
  <c r="P40" i="2"/>
  <c r="R40" i="2" s="1"/>
  <c r="M209" i="12"/>
  <c r="M208" i="12"/>
  <c r="M207" i="12"/>
  <c r="O38" i="2"/>
  <c r="P38" i="2" s="1"/>
  <c r="R38" i="2" s="1"/>
  <c r="K202" i="12"/>
  <c r="M206" i="12"/>
  <c r="M205" i="12"/>
  <c r="M204" i="12"/>
  <c r="M203" i="12"/>
  <c r="M202" i="12"/>
  <c r="M201" i="12"/>
  <c r="M200" i="12"/>
  <c r="M199" i="12"/>
  <c r="M198" i="12"/>
  <c r="N37" i="2"/>
  <c r="M37" i="2"/>
  <c r="M197" i="12"/>
  <c r="M196" i="12"/>
  <c r="M195" i="12"/>
  <c r="M194" i="12"/>
  <c r="M193" i="12"/>
  <c r="M192" i="12"/>
  <c r="M191" i="12"/>
  <c r="M190" i="12"/>
  <c r="O36" i="2"/>
  <c r="P36" i="2" s="1"/>
  <c r="R36" i="2" s="1"/>
  <c r="N35" i="2"/>
  <c r="M35" i="2"/>
  <c r="P35" i="2" s="1"/>
  <c r="R35" i="2" s="1"/>
  <c r="M189" i="12"/>
  <c r="N34" i="2"/>
  <c r="M34" i="2"/>
  <c r="P37" i="2" l="1"/>
  <c r="R37" i="2" s="1"/>
  <c r="P34" i="2"/>
  <c r="R34" i="2" s="1"/>
  <c r="K184" i="12"/>
  <c r="M188" i="12"/>
  <c r="M187" i="12"/>
  <c r="M186" i="12"/>
  <c r="M185" i="12"/>
  <c r="M183" i="12"/>
  <c r="M182" i="12"/>
  <c r="M181" i="12"/>
  <c r="M180" i="12"/>
  <c r="M179" i="12"/>
  <c r="M178" i="12"/>
  <c r="M177" i="12"/>
  <c r="M176" i="12"/>
  <c r="M175" i="12"/>
  <c r="M174" i="12"/>
  <c r="M184" i="12" l="1"/>
  <c r="M173" i="12"/>
  <c r="M172" i="12"/>
  <c r="M171" i="12"/>
  <c r="M170" i="12"/>
  <c r="N33" i="2"/>
  <c r="M33" i="2"/>
  <c r="N32" i="2"/>
  <c r="M32" i="2"/>
  <c r="K165" i="12"/>
  <c r="M165" i="12" s="1"/>
  <c r="M169" i="12"/>
  <c r="M168" i="12"/>
  <c r="M167" i="12"/>
  <c r="M166" i="12"/>
  <c r="M164" i="12"/>
  <c r="M163" i="12"/>
  <c r="M162" i="12"/>
  <c r="M161" i="12"/>
  <c r="N31" i="2"/>
  <c r="M31" i="2"/>
  <c r="M160" i="12"/>
  <c r="M159" i="12"/>
  <c r="M158" i="12"/>
  <c r="M157" i="12"/>
  <c r="M156" i="12"/>
  <c r="M155" i="12"/>
  <c r="M154" i="12"/>
  <c r="M153" i="12"/>
  <c r="M152" i="12"/>
  <c r="M151" i="12"/>
  <c r="M150" i="12"/>
  <c r="M149" i="12"/>
  <c r="M148" i="12"/>
  <c r="M147" i="12"/>
  <c r="M146" i="12"/>
  <c r="M145" i="12"/>
  <c r="M144" i="12"/>
  <c r="M143" i="12"/>
  <c r="O30" i="2"/>
  <c r="P30" i="2" s="1"/>
  <c r="R30" i="2" s="1"/>
  <c r="V29" i="2"/>
  <c r="O29" i="2"/>
  <c r="P29" i="2" s="1"/>
  <c r="R29" i="2" s="1"/>
  <c r="M142" i="12"/>
  <c r="M141" i="12"/>
  <c r="M140" i="12"/>
  <c r="M139" i="12"/>
  <c r="M138" i="12"/>
  <c r="M137" i="12"/>
  <c r="P31" i="2" l="1"/>
  <c r="R31" i="2" s="1"/>
  <c r="P33" i="2"/>
  <c r="R33" i="2" s="1"/>
  <c r="P32" i="2"/>
  <c r="R32" i="2" s="1"/>
  <c r="M136" i="12"/>
  <c r="M135" i="12"/>
  <c r="M134" i="12"/>
  <c r="M133" i="12"/>
  <c r="M132" i="12"/>
  <c r="M131" i="12"/>
  <c r="M130" i="12"/>
  <c r="M129" i="12"/>
  <c r="M128" i="12"/>
  <c r="M127" i="12"/>
  <c r="M126" i="12"/>
  <c r="M125" i="12"/>
  <c r="M124" i="12"/>
  <c r="M123" i="12"/>
  <c r="M122" i="12"/>
  <c r="M121" i="12"/>
  <c r="M120" i="12"/>
  <c r="M119" i="12"/>
  <c r="M118" i="12"/>
  <c r="M117" i="12"/>
  <c r="M116" i="12"/>
  <c r="M115" i="12"/>
  <c r="M114" i="12"/>
  <c r="V30" i="2"/>
  <c r="U25" i="2"/>
  <c r="V25" i="2" s="1"/>
  <c r="U26" i="2"/>
  <c r="V26" i="2" s="1"/>
  <c r="U27" i="2"/>
  <c r="V27" i="2" s="1"/>
  <c r="U28" i="2"/>
  <c r="V28" i="2" s="1"/>
  <c r="N28" i="2"/>
  <c r="M28" i="2"/>
  <c r="P28" i="2" s="1"/>
  <c r="R28" i="2" s="1"/>
  <c r="O27" i="2"/>
  <c r="P27" i="2" s="1"/>
  <c r="R27" i="2" s="1"/>
  <c r="M26" i="2"/>
  <c r="N26" i="2"/>
  <c r="N25" i="2"/>
  <c r="M25" i="2"/>
  <c r="P25" i="2" l="1"/>
  <c r="R25" i="2" s="1"/>
  <c r="P26" i="2"/>
  <c r="R26" i="2" s="1"/>
  <c r="U15" i="2"/>
  <c r="V15" i="2" s="1"/>
  <c r="U16" i="2"/>
  <c r="V16" i="2" s="1"/>
  <c r="U17" i="2"/>
  <c r="V17" i="2" s="1"/>
  <c r="U18" i="2"/>
  <c r="V18" i="2" s="1"/>
  <c r="U19" i="2"/>
  <c r="V19" i="2" s="1"/>
  <c r="U20" i="2"/>
  <c r="V20" i="2" s="1"/>
  <c r="U21" i="2"/>
  <c r="V21" i="2" s="1"/>
  <c r="U22" i="2"/>
  <c r="V22" i="2" s="1"/>
  <c r="U23" i="2"/>
  <c r="V23" i="2" s="1"/>
  <c r="U24" i="2"/>
  <c r="V24" i="2" s="1"/>
  <c r="M24" i="2"/>
  <c r="N24" i="2"/>
  <c r="M23" i="2"/>
  <c r="N23" i="2"/>
  <c r="M22" i="2"/>
  <c r="N22" i="2"/>
  <c r="M21" i="2"/>
  <c r="N21" i="2"/>
  <c r="M20" i="2"/>
  <c r="N20" i="2"/>
  <c r="M113" i="12"/>
  <c r="M112" i="12"/>
  <c r="M111" i="12"/>
  <c r="M110" i="12"/>
  <c r="M109" i="12"/>
  <c r="M108" i="12"/>
  <c r="M107" i="12"/>
  <c r="M106" i="12"/>
  <c r="M19" i="2"/>
  <c r="N19" i="2"/>
  <c r="N18" i="2"/>
  <c r="M18" i="2"/>
  <c r="M105" i="12"/>
  <c r="M104" i="12"/>
  <c r="M103" i="12"/>
  <c r="M102" i="12"/>
  <c r="M101" i="12"/>
  <c r="M100" i="12"/>
  <c r="M99" i="12"/>
  <c r="N17" i="2"/>
  <c r="M17" i="2"/>
  <c r="P17" i="2" s="1"/>
  <c r="R17" i="2" s="1"/>
  <c r="P21" i="2" l="1"/>
  <c r="R21" i="2" s="1"/>
  <c r="P20" i="2"/>
  <c r="R20" i="2" s="1"/>
  <c r="P19" i="2"/>
  <c r="R19" i="2" s="1"/>
  <c r="P18" i="2"/>
  <c r="R18" i="2" s="1"/>
  <c r="P23" i="2"/>
  <c r="R23" i="2" s="1"/>
  <c r="P24" i="2"/>
  <c r="R24" i="2" s="1"/>
  <c r="P22" i="2"/>
  <c r="R22" i="2" s="1"/>
  <c r="M16" i="2"/>
  <c r="N16" i="2"/>
  <c r="P16" i="2" l="1"/>
  <c r="R16" i="2" s="1"/>
  <c r="M98" i="12"/>
  <c r="M97" i="12"/>
  <c r="M96" i="12"/>
  <c r="M95" i="12"/>
  <c r="M94" i="12"/>
  <c r="M93" i="12"/>
  <c r="M92" i="12"/>
  <c r="M91" i="12"/>
  <c r="M90" i="12"/>
  <c r="M89" i="12"/>
  <c r="M88" i="12"/>
  <c r="M87" i="12"/>
  <c r="M86" i="12"/>
  <c r="M85" i="12"/>
  <c r="M84" i="12"/>
  <c r="M83" i="12"/>
  <c r="M82" i="12"/>
  <c r="M81" i="12"/>
  <c r="M80" i="12"/>
  <c r="M79" i="12"/>
  <c r="M78" i="12"/>
  <c r="M77" i="12"/>
  <c r="M76" i="12"/>
  <c r="M75" i="12"/>
  <c r="M74" i="12"/>
  <c r="M73" i="12"/>
  <c r="M72" i="12"/>
  <c r="M71" i="12"/>
  <c r="M70" i="12"/>
  <c r="M69" i="12"/>
  <c r="M68" i="12"/>
  <c r="M67" i="12"/>
  <c r="M66" i="12"/>
  <c r="M65" i="12"/>
  <c r="M64" i="12"/>
  <c r="M63" i="12"/>
  <c r="M62" i="12"/>
  <c r="M61" i="12"/>
  <c r="M60" i="12"/>
  <c r="M59" i="12"/>
  <c r="M58" i="12"/>
  <c r="M57" i="12"/>
  <c r="M56" i="12"/>
  <c r="N15" i="2"/>
  <c r="M15" i="2"/>
  <c r="P15" i="2" s="1"/>
  <c r="R15" i="2" s="1"/>
  <c r="U5" i="2"/>
  <c r="V5" i="2" s="1"/>
  <c r="U6" i="2"/>
  <c r="V6" i="2" s="1"/>
  <c r="U7" i="2"/>
  <c r="V7" i="2" s="1"/>
  <c r="U8" i="2"/>
  <c r="V8" i="2" s="1"/>
  <c r="U9" i="2"/>
  <c r="V9" i="2" s="1"/>
  <c r="U10" i="2"/>
  <c r="V10" i="2" s="1"/>
  <c r="U11" i="2"/>
  <c r="V11" i="2" s="1"/>
  <c r="U12" i="2"/>
  <c r="V12" i="2" s="1"/>
  <c r="U13" i="2"/>
  <c r="V13" i="2" s="1"/>
  <c r="U14" i="2"/>
  <c r="V14" i="2" s="1"/>
  <c r="M14" i="2"/>
  <c r="N14" i="2"/>
  <c r="N13" i="2"/>
  <c r="M13" i="2"/>
  <c r="O12" i="2"/>
  <c r="P12" i="2" s="1"/>
  <c r="R12" i="2" s="1"/>
  <c r="O28" i="3"/>
  <c r="P13" i="2" l="1"/>
  <c r="R13" i="2" s="1"/>
  <c r="P14" i="2"/>
  <c r="R14" i="2" s="1"/>
  <c r="J28" i="3"/>
  <c r="N11" i="2"/>
  <c r="M11" i="2"/>
  <c r="M10" i="2"/>
  <c r="N10" i="2"/>
  <c r="P10" i="2" l="1"/>
  <c r="R10" i="2" s="1"/>
  <c r="P11" i="2"/>
  <c r="R11" i="2" s="1"/>
  <c r="K53" i="12"/>
  <c r="M53" i="12" s="1"/>
  <c r="M55" i="12"/>
  <c r="M54" i="12"/>
  <c r="M52" i="12"/>
  <c r="M51" i="12"/>
  <c r="M50" i="12"/>
  <c r="M49" i="12" l="1"/>
  <c r="M48" i="12"/>
  <c r="M47" i="12"/>
  <c r="M9" i="2"/>
  <c r="N9" i="2"/>
  <c r="P9" i="2" s="1"/>
  <c r="R9" i="2" s="1"/>
  <c r="K43" i="12"/>
  <c r="M43" i="12" s="1"/>
  <c r="M46" i="12"/>
  <c r="M45" i="12"/>
  <c r="M44" i="12"/>
  <c r="M42" i="12"/>
  <c r="M41" i="12"/>
  <c r="M40" i="12"/>
  <c r="M39" i="12"/>
  <c r="A35" i="12"/>
  <c r="B35" i="12"/>
  <c r="A36" i="12"/>
  <c r="B36" i="12"/>
  <c r="A37" i="12"/>
  <c r="B37" i="12"/>
  <c r="A38" i="12"/>
  <c r="B38" i="12"/>
  <c r="M36" i="12"/>
  <c r="M38" i="12"/>
  <c r="M37" i="12"/>
  <c r="M35" i="12"/>
  <c r="M34" i="12"/>
  <c r="B31" i="12"/>
  <c r="A31" i="12"/>
  <c r="M31" i="12"/>
  <c r="M33" i="12"/>
  <c r="M32" i="12"/>
  <c r="M30" i="12"/>
  <c r="M29" i="12"/>
  <c r="M28" i="12"/>
  <c r="M27" i="12"/>
  <c r="M26" i="12"/>
  <c r="M25" i="12"/>
  <c r="M24" i="12"/>
  <c r="N8" i="2"/>
  <c r="M8" i="2"/>
  <c r="N7" i="2"/>
  <c r="M7" i="2"/>
  <c r="N28" i="3"/>
  <c r="P8" i="2" l="1"/>
  <c r="R8" i="2" s="1"/>
  <c r="P7" i="2"/>
  <c r="R7" i="2" s="1"/>
  <c r="I28" i="3"/>
  <c r="N6" i="2"/>
  <c r="M6" i="2"/>
  <c r="P6" i="2" l="1"/>
  <c r="R6" i="2" s="1"/>
  <c r="M23" i="12"/>
  <c r="M22" i="12"/>
  <c r="M21" i="12"/>
  <c r="M20" i="12"/>
  <c r="M19" i="12"/>
  <c r="M18" i="12"/>
  <c r="M17" i="12"/>
  <c r="M16" i="12"/>
  <c r="M15" i="12"/>
  <c r="M14" i="12"/>
  <c r="M13" i="12"/>
  <c r="M12" i="12"/>
  <c r="M11" i="12"/>
  <c r="M10" i="12"/>
  <c r="M9" i="12"/>
  <c r="M8" i="12"/>
  <c r="M7" i="12"/>
  <c r="M6" i="12"/>
  <c r="M5" i="12"/>
  <c r="M4" i="12"/>
  <c r="M3" i="12"/>
  <c r="N5" i="2"/>
  <c r="M5" i="2"/>
  <c r="P5" i="2" s="1"/>
  <c r="R5" i="2" s="1"/>
  <c r="U4" i="2"/>
  <c r="V4" i="2" s="1"/>
  <c r="N4" i="2"/>
  <c r="M4" i="2"/>
  <c r="U3" i="2"/>
  <c r="V3" i="2" s="1"/>
  <c r="N3" i="2"/>
  <c r="M3" i="2"/>
  <c r="P3" i="2" s="1"/>
  <c r="R3" i="2" s="1"/>
  <c r="P4" i="2" l="1"/>
  <c r="R4" i="2" s="1"/>
  <c r="B3685" i="12"/>
  <c r="A769" i="2" l="1"/>
  <c r="B769" i="2"/>
  <c r="A770" i="2"/>
  <c r="B770" i="2"/>
  <c r="A771" i="2"/>
  <c r="B771" i="2"/>
  <c r="A772" i="2"/>
  <c r="B772" i="2"/>
  <c r="A773" i="2"/>
  <c r="B773" i="2"/>
  <c r="A774" i="2"/>
  <c r="B774" i="2"/>
  <c r="A775" i="2"/>
  <c r="B775" i="2"/>
  <c r="A776" i="2"/>
  <c r="B776" i="2"/>
  <c r="A777" i="2"/>
  <c r="B777" i="2"/>
  <c r="B2933" i="12" l="1"/>
  <c r="A2933" i="12"/>
  <c r="A639" i="2" l="1"/>
  <c r="A2907" i="12"/>
  <c r="A637" i="2"/>
  <c r="A2890" i="12"/>
  <c r="B626" i="2"/>
  <c r="B627" i="2"/>
  <c r="B628" i="2"/>
  <c r="B629" i="2"/>
  <c r="B630" i="2"/>
  <c r="B631" i="2"/>
  <c r="B632" i="2"/>
  <c r="B633" i="2"/>
  <c r="B634" i="2"/>
  <c r="B635" i="2"/>
  <c r="B636" i="2"/>
  <c r="B637" i="2"/>
  <c r="B638" i="2"/>
  <c r="B639" i="2"/>
  <c r="B640" i="2"/>
  <c r="B641" i="2"/>
  <c r="B642" i="2"/>
  <c r="B643" i="2"/>
  <c r="B644" i="2"/>
  <c r="B645" i="2"/>
  <c r="B646" i="2"/>
  <c r="B647" i="2"/>
  <c r="B648" i="2"/>
  <c r="B649" i="2"/>
  <c r="A627" i="2"/>
  <c r="A628" i="2"/>
  <c r="A629" i="2"/>
  <c r="A630" i="2"/>
  <c r="A631" i="2"/>
  <c r="A632" i="2"/>
  <c r="A633" i="2"/>
  <c r="A634" i="2"/>
  <c r="A635" i="2"/>
  <c r="A636" i="2"/>
  <c r="A638" i="2"/>
  <c r="A640" i="2"/>
  <c r="A641" i="2"/>
  <c r="A642" i="2"/>
  <c r="A643" i="2"/>
  <c r="A644" i="2"/>
  <c r="A645" i="2"/>
  <c r="B571" i="2" l="1"/>
  <c r="A570" i="2"/>
  <c r="A2616" i="12"/>
  <c r="A2615" i="12"/>
  <c r="A2614" i="12"/>
  <c r="A2466" i="12" l="1"/>
  <c r="A2467" i="12"/>
  <c r="A2468" i="12"/>
  <c r="A2469" i="12"/>
  <c r="A2470" i="12"/>
  <c r="A2471" i="12"/>
  <c r="A2472" i="12"/>
  <c r="A2473" i="12"/>
  <c r="A2474" i="12"/>
  <c r="A2475" i="12"/>
  <c r="A2476" i="12"/>
  <c r="A2477" i="12"/>
  <c r="A2478" i="12"/>
  <c r="A2479" i="12"/>
  <c r="A2480" i="12"/>
  <c r="A2481" i="12"/>
  <c r="A2482" i="12"/>
  <c r="A2483" i="12"/>
  <c r="B2466" i="12"/>
  <c r="B2467" i="12"/>
  <c r="B2468" i="12"/>
  <c r="B2469" i="12"/>
  <c r="B2470" i="12"/>
  <c r="B2471" i="12"/>
  <c r="B2472" i="12"/>
  <c r="B2473" i="12"/>
  <c r="B2474" i="12"/>
  <c r="B2475" i="12"/>
  <c r="B2476" i="12"/>
  <c r="B2477" i="12"/>
  <c r="B2478" i="12"/>
  <c r="B2479" i="12"/>
  <c r="B2480" i="12"/>
  <c r="B2481" i="12"/>
  <c r="B2482" i="12"/>
  <c r="B2483" i="12"/>
  <c r="B2374" i="12" l="1"/>
  <c r="A2374" i="12"/>
  <c r="A2364" i="12" l="1"/>
  <c r="B2364" i="12"/>
  <c r="B1995" i="12" l="1"/>
  <c r="A1995" i="12"/>
  <c r="A440" i="2"/>
  <c r="A383" i="2" l="1"/>
  <c r="Q1792" i="12"/>
  <c r="B1782" i="12"/>
  <c r="A1782" i="12"/>
  <c r="B1774" i="12"/>
  <c r="A1768" i="12"/>
  <c r="B1768" i="12"/>
  <c r="B1687" i="12" l="1"/>
  <c r="A1687" i="12"/>
  <c r="A361" i="2" l="1"/>
  <c r="B361" i="2"/>
  <c r="A1566" i="12" l="1"/>
  <c r="B1566" i="12"/>
  <c r="A1567" i="12"/>
  <c r="B1567" i="12"/>
  <c r="A1568" i="12"/>
  <c r="B1568" i="12"/>
  <c r="A1569" i="12"/>
  <c r="B1569" i="12"/>
  <c r="A1570" i="12"/>
  <c r="B1570" i="12"/>
  <c r="A1571" i="12"/>
  <c r="B1571" i="12"/>
  <c r="A1572" i="12"/>
  <c r="B1572" i="12"/>
  <c r="A1573" i="12"/>
  <c r="B1573" i="12"/>
  <c r="A1574" i="12"/>
  <c r="B1574" i="12"/>
  <c r="A1575" i="12"/>
  <c r="B1575" i="12"/>
  <c r="A1576" i="12"/>
  <c r="B1576" i="12"/>
  <c r="A1577" i="12"/>
  <c r="B1577" i="12"/>
  <c r="A1578" i="12"/>
  <c r="B1578" i="12"/>
  <c r="A1579" i="12"/>
  <c r="B1579" i="12"/>
  <c r="A1580" i="12"/>
  <c r="B1580" i="12"/>
  <c r="A1565" i="12"/>
  <c r="B1565" i="12"/>
  <c r="A348" i="2" l="1"/>
  <c r="B1513" i="12" l="1"/>
  <c r="A1513" i="12"/>
  <c r="A1509" i="12"/>
  <c r="B1509" i="12"/>
  <c r="A1510" i="12"/>
  <c r="B1510" i="12"/>
  <c r="A1511" i="12"/>
  <c r="B1511" i="12"/>
  <c r="A1512" i="12"/>
  <c r="B1512" i="12"/>
  <c r="A1514" i="12"/>
  <c r="B1514" i="12"/>
  <c r="A1515" i="12"/>
  <c r="B1515" i="12"/>
  <c r="A1516" i="12"/>
  <c r="B1516" i="12"/>
  <c r="A1517" i="12"/>
  <c r="B1517" i="12"/>
  <c r="A1518" i="12"/>
  <c r="B1518" i="12"/>
  <c r="A1519" i="12"/>
  <c r="B1519" i="12"/>
  <c r="A1520" i="12"/>
  <c r="B1520" i="12"/>
  <c r="A1521" i="12"/>
  <c r="B1521" i="12"/>
  <c r="A1522" i="12"/>
  <c r="B1522" i="12"/>
  <c r="A1523" i="12"/>
  <c r="B1523" i="12"/>
  <c r="A1524" i="12"/>
  <c r="B1524" i="12"/>
  <c r="A1525" i="12"/>
  <c r="B1525" i="12"/>
  <c r="A1526" i="12"/>
  <c r="B1526" i="12"/>
  <c r="A1527" i="12"/>
  <c r="B1527" i="12"/>
  <c r="A1528" i="12"/>
  <c r="B1528" i="12"/>
  <c r="A1529" i="12"/>
  <c r="B1529" i="12"/>
  <c r="A1530" i="12"/>
  <c r="B1530" i="12"/>
  <c r="A1531" i="12"/>
  <c r="B1531" i="12"/>
  <c r="A1532" i="12"/>
  <c r="B1532" i="12"/>
  <c r="A1533" i="12"/>
  <c r="B1533" i="12"/>
  <c r="A1534" i="12"/>
  <c r="B1534" i="12"/>
  <c r="A1535" i="12"/>
  <c r="B1535" i="12"/>
  <c r="A1536" i="12"/>
  <c r="B1536" i="12"/>
  <c r="A1537" i="12"/>
  <c r="B1537" i="12"/>
  <c r="A1538" i="12"/>
  <c r="B1538" i="12"/>
  <c r="A1539" i="12"/>
  <c r="B1539" i="12"/>
  <c r="A1540" i="12"/>
  <c r="B1540" i="12"/>
  <c r="A1541" i="12"/>
  <c r="B1541" i="12"/>
  <c r="A1542" i="12"/>
  <c r="B1542" i="12"/>
  <c r="A1543" i="12"/>
  <c r="B1543" i="12"/>
  <c r="A1544" i="12"/>
  <c r="B1544" i="12"/>
  <c r="A1545" i="12"/>
  <c r="B1545" i="12"/>
  <c r="A1546" i="12"/>
  <c r="B1546" i="12"/>
  <c r="A1547" i="12"/>
  <c r="B1547" i="12"/>
  <c r="A1548" i="12"/>
  <c r="B1548" i="12"/>
  <c r="A1549" i="12"/>
  <c r="B1549" i="12"/>
  <c r="A1550" i="12"/>
  <c r="B1550" i="12"/>
  <c r="A1551" i="12"/>
  <c r="B1551" i="12"/>
  <c r="A1552" i="12"/>
  <c r="B1552" i="12"/>
  <c r="A1553" i="12"/>
  <c r="B1553" i="12"/>
  <c r="A1554" i="12"/>
  <c r="B1554" i="12"/>
  <c r="A1555" i="12"/>
  <c r="B1555" i="12"/>
  <c r="A1556" i="12"/>
  <c r="B1556" i="12"/>
  <c r="A1557" i="12"/>
  <c r="B1557" i="12"/>
  <c r="A1558" i="12"/>
  <c r="B1558" i="12"/>
  <c r="A1559" i="12"/>
  <c r="B1559" i="12"/>
  <c r="B1508" i="12"/>
  <c r="A1508" i="12"/>
  <c r="O1792" i="12" l="1"/>
  <c r="B923" i="12" l="1"/>
  <c r="A923" i="12"/>
  <c r="U892" i="2" l="1"/>
  <c r="V892" i="2" s="1"/>
  <c r="U893" i="2"/>
  <c r="V893" i="2" s="1"/>
  <c r="U894" i="2"/>
  <c r="V894" i="2" s="1"/>
  <c r="U895" i="2"/>
  <c r="V895" i="2" s="1"/>
  <c r="U896" i="2"/>
  <c r="V896" i="2" s="1"/>
  <c r="U897" i="2"/>
  <c r="V897" i="2" s="1"/>
  <c r="U898" i="2"/>
  <c r="V898" i="2" s="1"/>
  <c r="U899" i="2"/>
  <c r="V899" i="2" s="1"/>
  <c r="U900" i="2"/>
  <c r="V900" i="2" s="1"/>
  <c r="U901" i="2"/>
  <c r="V901" i="2" s="1"/>
  <c r="U902" i="2"/>
  <c r="V902" i="2" s="1"/>
  <c r="U903" i="2"/>
  <c r="V903" i="2" s="1"/>
  <c r="U904" i="2"/>
  <c r="V904" i="2" s="1"/>
  <c r="U905" i="2"/>
  <c r="V905" i="2" s="1"/>
  <c r="U906" i="2"/>
  <c r="V906" i="2" s="1"/>
  <c r="U907" i="2"/>
  <c r="V907" i="2" s="1"/>
  <c r="U908" i="2"/>
  <c r="V908" i="2" s="1"/>
  <c r="U909" i="2"/>
  <c r="V909" i="2" s="1"/>
  <c r="U910" i="2"/>
  <c r="V910" i="2" s="1"/>
  <c r="U911" i="2"/>
  <c r="V911" i="2" s="1"/>
  <c r="U912" i="2"/>
  <c r="V912" i="2" s="1"/>
  <c r="U913" i="2"/>
  <c r="V913" i="2" s="1"/>
  <c r="U914" i="2"/>
  <c r="V914" i="2" s="1"/>
  <c r="U915" i="2"/>
  <c r="V915" i="2" s="1"/>
  <c r="U916" i="2"/>
  <c r="V916" i="2" s="1"/>
  <c r="U917" i="2"/>
  <c r="V917" i="2" s="1"/>
  <c r="U918" i="2"/>
  <c r="V918" i="2" s="1"/>
  <c r="U919" i="2"/>
  <c r="V919" i="2" s="1"/>
  <c r="U920" i="2"/>
  <c r="V920" i="2" s="1"/>
  <c r="U921" i="2"/>
  <c r="V921" i="2" s="1"/>
  <c r="U922" i="2"/>
  <c r="V922" i="2" s="1"/>
  <c r="U923" i="2"/>
  <c r="V923" i="2" s="1"/>
  <c r="U924" i="2"/>
  <c r="V924" i="2" s="1"/>
  <c r="U925" i="2"/>
  <c r="V925" i="2" s="1"/>
  <c r="U926" i="2"/>
  <c r="V926" i="2" s="1"/>
  <c r="U927" i="2"/>
  <c r="V927" i="2" s="1"/>
  <c r="U928" i="2"/>
  <c r="V928" i="2" s="1"/>
  <c r="U929" i="2"/>
  <c r="V929" i="2" s="1"/>
  <c r="U930" i="2"/>
  <c r="V930" i="2" s="1"/>
  <c r="U931" i="2"/>
  <c r="V931" i="2" s="1"/>
  <c r="U932" i="2"/>
  <c r="V932" i="2" s="1"/>
  <c r="U933" i="2"/>
  <c r="V933" i="2" s="1"/>
  <c r="U934" i="2"/>
  <c r="V934" i="2" s="1"/>
  <c r="U935" i="2"/>
  <c r="V935" i="2" s="1"/>
  <c r="U936" i="2"/>
  <c r="V936" i="2" s="1"/>
  <c r="U937" i="2"/>
  <c r="V937" i="2" s="1"/>
  <c r="U938" i="2"/>
  <c r="V938" i="2" s="1"/>
  <c r="U939" i="2"/>
  <c r="V939" i="2" s="1"/>
  <c r="U940" i="2"/>
  <c r="V940" i="2" s="1"/>
  <c r="U941" i="2"/>
  <c r="V941" i="2" s="1"/>
  <c r="U942" i="2"/>
  <c r="V942" i="2" s="1"/>
  <c r="U943" i="2"/>
  <c r="V943" i="2" s="1"/>
  <c r="U944" i="2"/>
  <c r="V944" i="2" s="1"/>
  <c r="U945" i="2"/>
  <c r="V945" i="2" s="1"/>
  <c r="U946" i="2"/>
  <c r="V946" i="2" s="1"/>
  <c r="U947" i="2"/>
  <c r="V947" i="2" s="1"/>
  <c r="U948" i="2"/>
  <c r="V948" i="2" s="1"/>
  <c r="U949" i="2"/>
  <c r="V949" i="2" s="1"/>
  <c r="U950" i="2"/>
  <c r="V950" i="2" s="1"/>
  <c r="U951" i="2"/>
  <c r="V951" i="2" s="1"/>
  <c r="U952" i="2"/>
  <c r="V952" i="2" s="1"/>
  <c r="U953" i="2"/>
  <c r="V953" i="2" s="1"/>
  <c r="U954" i="2"/>
  <c r="V954" i="2" s="1"/>
  <c r="U955" i="2"/>
  <c r="V955" i="2" s="1"/>
  <c r="U956" i="2"/>
  <c r="V956" i="2" s="1"/>
  <c r="U957" i="2"/>
  <c r="V957" i="2" s="1"/>
  <c r="U958" i="2"/>
  <c r="V958" i="2" s="1"/>
  <c r="U959" i="2"/>
  <c r="V959" i="2" s="1"/>
  <c r="U960" i="2"/>
  <c r="V960" i="2" s="1"/>
  <c r="U961" i="2"/>
  <c r="V961" i="2" s="1"/>
  <c r="U962" i="2"/>
  <c r="V962" i="2" s="1"/>
  <c r="U963" i="2"/>
  <c r="V963" i="2" s="1"/>
  <c r="U964" i="2"/>
  <c r="V964" i="2" s="1"/>
  <c r="U965" i="2"/>
  <c r="V965" i="2" s="1"/>
  <c r="U966" i="2"/>
  <c r="V966" i="2" s="1"/>
  <c r="U967" i="2"/>
  <c r="V967" i="2" s="1"/>
  <c r="U968" i="2"/>
  <c r="V968" i="2" s="1"/>
  <c r="U969" i="2"/>
  <c r="V969" i="2" s="1"/>
  <c r="U970" i="2"/>
  <c r="V970" i="2" s="1"/>
  <c r="U971" i="2"/>
  <c r="V971" i="2" s="1"/>
  <c r="U972" i="2"/>
  <c r="V972" i="2" s="1"/>
  <c r="U973" i="2"/>
  <c r="V973" i="2" s="1"/>
  <c r="U974" i="2"/>
  <c r="V974" i="2" s="1"/>
  <c r="U975" i="2"/>
  <c r="V975" i="2" s="1"/>
  <c r="U976" i="2"/>
  <c r="V976" i="2" s="1"/>
  <c r="U977" i="2"/>
  <c r="V977" i="2" s="1"/>
  <c r="U978" i="2"/>
  <c r="V978" i="2" s="1"/>
  <c r="U979" i="2"/>
  <c r="V979" i="2" s="1"/>
  <c r="U980" i="2"/>
  <c r="V980" i="2" s="1"/>
  <c r="U981" i="2"/>
  <c r="V981" i="2" s="1"/>
  <c r="U982" i="2"/>
  <c r="V982" i="2" s="1"/>
  <c r="U983" i="2"/>
  <c r="V983" i="2" s="1"/>
  <c r="U984" i="2"/>
  <c r="V984" i="2" s="1"/>
  <c r="U985" i="2"/>
  <c r="V985" i="2" s="1"/>
  <c r="U986" i="2"/>
  <c r="V986" i="2" s="1"/>
  <c r="U987" i="2"/>
  <c r="V987" i="2" s="1"/>
  <c r="U988" i="2"/>
  <c r="V988" i="2" s="1"/>
  <c r="U989" i="2"/>
  <c r="V989" i="2" s="1"/>
  <c r="U990" i="2"/>
  <c r="V990" i="2" s="1"/>
  <c r="U991" i="2"/>
  <c r="V991" i="2" s="1"/>
  <c r="U992" i="2"/>
  <c r="V992" i="2" s="1"/>
  <c r="U993" i="2"/>
  <c r="V993" i="2" s="1"/>
  <c r="U994" i="2"/>
  <c r="V994" i="2" s="1"/>
  <c r="U995" i="2"/>
  <c r="V995" i="2" s="1"/>
  <c r="U996" i="2"/>
  <c r="V996" i="2" s="1"/>
  <c r="U997" i="2"/>
  <c r="V997" i="2" s="1"/>
  <c r="U998" i="2"/>
  <c r="V998" i="2" s="1"/>
  <c r="U999" i="2"/>
  <c r="V999" i="2" s="1"/>
  <c r="U1000" i="2"/>
  <c r="V1000" i="2" s="1"/>
  <c r="U1001" i="2"/>
  <c r="V1001" i="2" s="1"/>
  <c r="U1002" i="2"/>
  <c r="V1002" i="2" s="1"/>
  <c r="U1003" i="2"/>
  <c r="V1003" i="2" s="1"/>
  <c r="U1004" i="2"/>
  <c r="V1004" i="2" s="1"/>
  <c r="U1005" i="2"/>
  <c r="V1005" i="2" s="1"/>
  <c r="U1006" i="2"/>
  <c r="V1006" i="2" s="1"/>
  <c r="U1007" i="2"/>
  <c r="V1007" i="2" s="1"/>
  <c r="U1008" i="2"/>
  <c r="V1008" i="2" s="1"/>
  <c r="U1009" i="2"/>
  <c r="V1009" i="2" s="1"/>
  <c r="U1010" i="2"/>
  <c r="V1010" i="2" s="1"/>
  <c r="U1011" i="2"/>
  <c r="V1011" i="2" s="1"/>
  <c r="U1012" i="2"/>
  <c r="V1012" i="2" s="1"/>
  <c r="U1013" i="2"/>
  <c r="V1013" i="2" s="1"/>
  <c r="U1014" i="2"/>
  <c r="V1014" i="2" s="1"/>
  <c r="U1015" i="2"/>
  <c r="V1015" i="2" s="1"/>
  <c r="U1016" i="2"/>
  <c r="V1016" i="2" s="1"/>
  <c r="U1017" i="2"/>
  <c r="V1017" i="2" s="1"/>
  <c r="U1018" i="2"/>
  <c r="V1018" i="2" s="1"/>
  <c r="U1019" i="2"/>
  <c r="V1019" i="2" s="1"/>
  <c r="U1020" i="2"/>
  <c r="V1020" i="2" s="1"/>
  <c r="U1021" i="2"/>
  <c r="V1021" i="2" s="1"/>
  <c r="U1022" i="2"/>
  <c r="V1022" i="2" s="1"/>
  <c r="U1023" i="2"/>
  <c r="V1023" i="2" s="1"/>
  <c r="U1024" i="2"/>
  <c r="V1024" i="2" s="1"/>
  <c r="U1025" i="2"/>
  <c r="V1025" i="2" s="1"/>
  <c r="U1026" i="2"/>
  <c r="V1026" i="2" s="1"/>
  <c r="U1027" i="2"/>
  <c r="V1027" i="2" s="1"/>
  <c r="U1028" i="2"/>
  <c r="V1028" i="2" s="1"/>
  <c r="U1029" i="2"/>
  <c r="V1029" i="2" s="1"/>
  <c r="U1030" i="2"/>
  <c r="V1030" i="2" s="1"/>
  <c r="U1031" i="2"/>
  <c r="V1031" i="2" s="1"/>
  <c r="U1032" i="2"/>
  <c r="V1032" i="2" s="1"/>
  <c r="U1033" i="2"/>
  <c r="V1033" i="2" s="1"/>
  <c r="U1034" i="2"/>
  <c r="V1034" i="2" s="1"/>
  <c r="U1035" i="2"/>
  <c r="V1035" i="2" s="1"/>
  <c r="U1036" i="2"/>
  <c r="V1036" i="2" s="1"/>
  <c r="U1037" i="2"/>
  <c r="V1037" i="2" s="1"/>
  <c r="U1038" i="2"/>
  <c r="V1038" i="2" s="1"/>
  <c r="U1039" i="2"/>
  <c r="V1039" i="2" s="1"/>
  <c r="U1040" i="2"/>
  <c r="V1040" i="2" s="1"/>
  <c r="U1041" i="2"/>
  <c r="V1041" i="2" s="1"/>
  <c r="U1042" i="2"/>
  <c r="V1042" i="2" s="1"/>
  <c r="U1043" i="2"/>
  <c r="V1043" i="2" s="1"/>
  <c r="U1044" i="2"/>
  <c r="V1044" i="2" s="1"/>
  <c r="U1045" i="2"/>
  <c r="V1045" i="2" s="1"/>
  <c r="U1046" i="2"/>
  <c r="V1046" i="2" s="1"/>
  <c r="U1047" i="2"/>
  <c r="V1047" i="2" s="1"/>
  <c r="U1048" i="2"/>
  <c r="V1048" i="2" s="1"/>
  <c r="U1049" i="2"/>
  <c r="V1049" i="2" s="1"/>
  <c r="U1050" i="2"/>
  <c r="V1050" i="2" s="1"/>
  <c r="U1051" i="2"/>
  <c r="V1051" i="2" s="1"/>
  <c r="U1052" i="2"/>
  <c r="V1052" i="2" s="1"/>
  <c r="U1053" i="2"/>
  <c r="V1053" i="2" s="1"/>
  <c r="U1054" i="2"/>
  <c r="V1054" i="2" s="1"/>
  <c r="U1055" i="2"/>
  <c r="V1055" i="2" s="1"/>
  <c r="U1056" i="2"/>
  <c r="V1056" i="2" s="1"/>
  <c r="U1057" i="2"/>
  <c r="V1057" i="2" s="1"/>
  <c r="U1058" i="2"/>
  <c r="V1058" i="2" s="1"/>
  <c r="U1059" i="2"/>
  <c r="V1059" i="2" s="1"/>
  <c r="U1060" i="2"/>
  <c r="V1060" i="2" s="1"/>
  <c r="U1061" i="2"/>
  <c r="V1061" i="2" s="1"/>
  <c r="U1062" i="2"/>
  <c r="V1062" i="2" s="1"/>
  <c r="U1063" i="2"/>
  <c r="V1063" i="2" s="1"/>
  <c r="U1064" i="2"/>
  <c r="V1064" i="2" s="1"/>
  <c r="U1065" i="2"/>
  <c r="V1065" i="2" s="1"/>
  <c r="U1066" i="2"/>
  <c r="V1066" i="2" s="1"/>
  <c r="U1067" i="2"/>
  <c r="V1067" i="2" s="1"/>
  <c r="U1068" i="2"/>
  <c r="V1068" i="2" s="1"/>
  <c r="U1069" i="2"/>
  <c r="V1069" i="2" s="1"/>
  <c r="U1070" i="2"/>
  <c r="V1070" i="2" s="1"/>
  <c r="U1071" i="2"/>
  <c r="V1071" i="2" s="1"/>
  <c r="U1072" i="2"/>
  <c r="V1072" i="2" s="1"/>
  <c r="U1073" i="2"/>
  <c r="V1073" i="2" s="1"/>
  <c r="U1074" i="2"/>
  <c r="V1074" i="2" s="1"/>
  <c r="U1075" i="2"/>
  <c r="V1075" i="2" s="1"/>
  <c r="U1076" i="2"/>
  <c r="V1076" i="2" s="1"/>
  <c r="U1077" i="2"/>
  <c r="V1077" i="2" s="1"/>
  <c r="U1078" i="2"/>
  <c r="V1078" i="2" s="1"/>
  <c r="U1079" i="2"/>
  <c r="V1079" i="2" s="1"/>
  <c r="U1080" i="2"/>
  <c r="V1080" i="2" s="1"/>
  <c r="U1081" i="2"/>
  <c r="V1081" i="2" s="1"/>
  <c r="U1082" i="2"/>
  <c r="V1082" i="2" s="1"/>
  <c r="U1083" i="2"/>
  <c r="V1083" i="2" s="1"/>
  <c r="A670" i="12" l="1"/>
  <c r="B670" i="12"/>
  <c r="B669" i="12"/>
  <c r="A669" i="12"/>
  <c r="B668" i="12"/>
  <c r="A668" i="12"/>
  <c r="O1793" i="12" l="1"/>
  <c r="P1793" i="12" s="1"/>
  <c r="Q1793" i="12" s="1"/>
  <c r="B576" i="12" l="1"/>
  <c r="A576" i="12"/>
  <c r="B538" i="12" l="1"/>
  <c r="A538" i="12"/>
  <c r="B104" i="2" l="1"/>
  <c r="A72" i="2" l="1"/>
  <c r="B87" i="12" l="1"/>
  <c r="O985" i="2" l="1"/>
  <c r="O984" i="2"/>
  <c r="O977" i="2"/>
  <c r="O976" i="2"/>
  <c r="O973" i="2" l="1"/>
  <c r="O972" i="2"/>
  <c r="B6555" i="12"/>
  <c r="A6555" i="12"/>
  <c r="O967" i="2" l="1"/>
  <c r="O966" i="2"/>
  <c r="O958" i="2" l="1"/>
  <c r="O956" i="2" l="1"/>
  <c r="O955" i="2"/>
  <c r="O954" i="2"/>
  <c r="O948" i="2" l="1"/>
  <c r="O937" i="2" l="1"/>
  <c r="O936" i="2"/>
  <c r="O933" i="2" l="1"/>
  <c r="O926" i="2"/>
  <c r="O925" i="2"/>
  <c r="O904" i="2"/>
  <c r="O903" i="2"/>
  <c r="O902" i="2"/>
  <c r="O901" i="2"/>
  <c r="O900" i="2"/>
  <c r="O899" i="2" l="1"/>
  <c r="B3870" i="12" l="1"/>
  <c r="A3870" i="12"/>
  <c r="B824" i="2" l="1"/>
  <c r="A824" i="2"/>
  <c r="B823" i="2"/>
  <c r="A823" i="2"/>
  <c r="B3655" i="12" l="1"/>
  <c r="A3655" i="12"/>
  <c r="B3645" i="12" l="1"/>
  <c r="A3645" i="12"/>
  <c r="B3644" i="12"/>
  <c r="A3644" i="12"/>
  <c r="B820" i="2"/>
  <c r="A821" i="2"/>
  <c r="B821" i="2"/>
  <c r="A820" i="2"/>
  <c r="B819" i="2"/>
  <c r="A819" i="2"/>
  <c r="B818" i="2"/>
  <c r="A818" i="2"/>
  <c r="B817" i="2"/>
  <c r="A817" i="2"/>
  <c r="B816" i="2"/>
  <c r="A816" i="2"/>
  <c r="B815" i="2"/>
  <c r="B814" i="2" l="1"/>
  <c r="A814" i="2"/>
  <c r="A815" i="2"/>
  <c r="B813" i="2"/>
  <c r="A813" i="2"/>
  <c r="B812" i="2" l="1"/>
  <c r="B811" i="2"/>
  <c r="A812" i="2"/>
  <c r="A811" i="2"/>
  <c r="B810" i="2"/>
  <c r="A810" i="2"/>
  <c r="B809" i="2" l="1"/>
  <c r="B808" i="2"/>
  <c r="B807" i="2"/>
  <c r="B806" i="2"/>
  <c r="A809" i="2"/>
  <c r="A808" i="2"/>
  <c r="A807" i="2"/>
  <c r="A806" i="2"/>
  <c r="A805" i="2"/>
  <c r="B805" i="2"/>
  <c r="B804" i="2"/>
  <c r="A804" i="2"/>
  <c r="B803" i="2" l="1"/>
  <c r="B802" i="2"/>
  <c r="B801" i="2"/>
  <c r="B800" i="2"/>
  <c r="A803" i="2"/>
  <c r="A802" i="2"/>
  <c r="A801" i="2"/>
  <c r="A800" i="2"/>
  <c r="A799" i="2"/>
  <c r="B799" i="2"/>
  <c r="B798" i="2" l="1"/>
  <c r="B797" i="2"/>
  <c r="A798" i="2"/>
  <c r="A797" i="2"/>
  <c r="A796" i="2"/>
  <c r="A795" i="2" l="1"/>
  <c r="B796" i="2"/>
  <c r="B795" i="2"/>
  <c r="B794" i="2"/>
  <c r="B793" i="2"/>
  <c r="B792" i="2"/>
  <c r="B791" i="2"/>
  <c r="B790" i="2"/>
  <c r="B789" i="2"/>
  <c r="B788" i="2"/>
  <c r="B787" i="2"/>
  <c r="B786" i="2"/>
  <c r="B785" i="2"/>
  <c r="A794" i="2"/>
  <c r="A793" i="2"/>
  <c r="A792" i="2"/>
  <c r="A791" i="2"/>
  <c r="A790" i="2"/>
  <c r="A789" i="2"/>
  <c r="A788" i="2"/>
  <c r="A787" i="2"/>
  <c r="A786" i="2"/>
  <c r="A785" i="2"/>
  <c r="B784" i="2"/>
  <c r="B783" i="2" l="1"/>
  <c r="B782" i="2"/>
  <c r="A784" i="2"/>
  <c r="A783" i="2"/>
  <c r="A782" i="2"/>
  <c r="A781" i="2"/>
  <c r="B781" i="2"/>
  <c r="A780" i="2" l="1"/>
  <c r="B780" i="2"/>
  <c r="B779" i="2"/>
  <c r="A779" i="2"/>
  <c r="A778" i="2"/>
  <c r="B778" i="2"/>
  <c r="B3379" i="12" l="1"/>
  <c r="A3379" i="12"/>
  <c r="A768" i="2"/>
  <c r="B768" i="2"/>
  <c r="A767" i="2" l="1"/>
  <c r="B767" i="2"/>
  <c r="B766" i="2" l="1"/>
  <c r="A766" i="2"/>
  <c r="B765" i="2"/>
  <c r="A765" i="2"/>
  <c r="A764" i="2"/>
  <c r="B764" i="2" l="1"/>
  <c r="B763" i="2" l="1"/>
  <c r="A763" i="2"/>
  <c r="B762" i="2"/>
  <c r="A762" i="2"/>
  <c r="B761" i="2"/>
  <c r="A761" i="2"/>
  <c r="B760" i="2"/>
  <c r="B759" i="2"/>
  <c r="A760" i="2"/>
  <c r="A759" i="2"/>
  <c r="A758" i="2"/>
  <c r="B758" i="2"/>
  <c r="B738" i="2"/>
  <c r="B739" i="2"/>
  <c r="B740" i="2"/>
  <c r="B741" i="2"/>
  <c r="B742" i="2"/>
  <c r="B743" i="2"/>
  <c r="B744" i="2"/>
  <c r="B745" i="2"/>
  <c r="B746" i="2"/>
  <c r="B747" i="2"/>
  <c r="B748" i="2"/>
  <c r="B749" i="2"/>
  <c r="B750" i="2"/>
  <c r="B751" i="2"/>
  <c r="B752" i="2"/>
  <c r="B753" i="2"/>
  <c r="B754" i="2"/>
  <c r="B755" i="2"/>
  <c r="B756" i="2"/>
  <c r="B757" i="2"/>
  <c r="B737" i="2"/>
  <c r="A737" i="2"/>
  <c r="A738" i="2"/>
  <c r="A739" i="2"/>
  <c r="A740" i="2"/>
  <c r="A741" i="2"/>
  <c r="A742" i="2"/>
  <c r="A743" i="2"/>
  <c r="A744" i="2"/>
  <c r="A745" i="2"/>
  <c r="A746" i="2"/>
  <c r="A747" i="2"/>
  <c r="A748" i="2"/>
  <c r="A749" i="2"/>
  <c r="A750" i="2"/>
  <c r="A751" i="2"/>
  <c r="A752" i="2"/>
  <c r="A753" i="2"/>
  <c r="A754" i="2"/>
  <c r="A755" i="2"/>
  <c r="A756" i="2"/>
  <c r="A757" i="2"/>
  <c r="A736" i="2"/>
  <c r="A735" i="2"/>
  <c r="B736" i="2"/>
  <c r="B735" i="2"/>
  <c r="B734" i="2"/>
  <c r="B733" i="2"/>
  <c r="B732" i="2"/>
  <c r="A734" i="2"/>
  <c r="A733" i="2"/>
  <c r="A732" i="2"/>
  <c r="A731" i="2"/>
  <c r="B731" i="2"/>
  <c r="B730" i="2" l="1"/>
  <c r="A730" i="2"/>
  <c r="A729" i="2"/>
  <c r="B729" i="2"/>
  <c r="B728" i="2"/>
  <c r="B727" i="2" l="1"/>
  <c r="A728" i="2"/>
  <c r="A727" i="2"/>
  <c r="A726" i="2"/>
  <c r="B726" i="2"/>
  <c r="A725" i="2"/>
  <c r="B725" i="2"/>
  <c r="B3221" i="12" l="1"/>
  <c r="A3221" i="12"/>
  <c r="B724" i="2"/>
  <c r="A724" i="2"/>
  <c r="A723" i="2" l="1"/>
  <c r="B723" i="2"/>
  <c r="A722" i="2"/>
  <c r="B722" i="2"/>
  <c r="B721" i="2" l="1"/>
  <c r="A721" i="2"/>
  <c r="B720" i="2"/>
  <c r="B719" i="2"/>
  <c r="B718" i="2"/>
  <c r="B717" i="2" l="1"/>
  <c r="A720" i="2"/>
  <c r="A719" i="2"/>
  <c r="A718" i="2"/>
  <c r="A717" i="2"/>
  <c r="B716" i="2"/>
  <c r="B715" i="2"/>
  <c r="A716" i="2"/>
  <c r="A715" i="2"/>
  <c r="A714" i="2"/>
  <c r="B714" i="2"/>
  <c r="A713" i="2" l="1"/>
  <c r="A712" i="2"/>
  <c r="B713" i="2"/>
  <c r="A3046" i="12" l="1"/>
  <c r="B3046" i="12"/>
  <c r="A3047" i="12"/>
  <c r="B3047" i="12"/>
  <c r="B2890" i="12" l="1"/>
  <c r="B2889" i="12"/>
  <c r="B2888" i="12"/>
  <c r="B2886" i="12"/>
  <c r="B2885" i="12"/>
  <c r="B2884" i="12"/>
  <c r="B2883" i="12"/>
  <c r="B2887" i="12"/>
  <c r="B712" i="2" l="1"/>
  <c r="A711" i="2"/>
  <c r="B711" i="2"/>
  <c r="A1958" i="12" l="1"/>
  <c r="B1958" i="12"/>
  <c r="B1420" i="12" l="1"/>
  <c r="B1419" i="12"/>
  <c r="B1418" i="12"/>
  <c r="B1417" i="12"/>
  <c r="B1416" i="12"/>
  <c r="B1415" i="12"/>
  <c r="A176" i="12" l="1"/>
  <c r="B176" i="12"/>
  <c r="A704" i="2" l="1"/>
  <c r="B704" i="2"/>
  <c r="A705" i="2"/>
  <c r="B705" i="2"/>
  <c r="A706" i="2"/>
  <c r="B706" i="2"/>
  <c r="A707" i="2"/>
  <c r="B707" i="2"/>
  <c r="A708" i="2"/>
  <c r="B708" i="2"/>
  <c r="A709" i="2"/>
  <c r="B709" i="2"/>
  <c r="A710" i="2"/>
  <c r="B710" i="2"/>
  <c r="A2213" i="12" l="1"/>
  <c r="B2213" i="12"/>
  <c r="A2228" i="12" l="1"/>
  <c r="B2228" i="12"/>
  <c r="Q1" i="2" l="1"/>
  <c r="B513" i="2" l="1"/>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512"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511" i="2"/>
  <c r="B511" i="2"/>
  <c r="A510" i="2" l="1"/>
  <c r="B510" i="2"/>
  <c r="A1721" i="12" l="1"/>
  <c r="A821" i="12" l="1"/>
  <c r="B821" i="12"/>
  <c r="A822" i="12"/>
  <c r="B822" i="12"/>
  <c r="A823" i="12"/>
  <c r="B823" i="12"/>
  <c r="A824" i="12"/>
  <c r="B824" i="12"/>
  <c r="A825" i="12"/>
  <c r="B825" i="12"/>
  <c r="A826" i="12"/>
  <c r="B826" i="12"/>
  <c r="A827" i="12"/>
  <c r="B827" i="12"/>
  <c r="A828" i="12"/>
  <c r="B828" i="12"/>
  <c r="A829" i="12"/>
  <c r="B829" i="12"/>
  <c r="A830" i="12"/>
  <c r="B830" i="12"/>
  <c r="A831" i="12"/>
  <c r="B831" i="12"/>
  <c r="A832" i="12"/>
  <c r="B832" i="12"/>
  <c r="A833" i="12"/>
  <c r="B833" i="12"/>
  <c r="A834" i="12"/>
  <c r="B834" i="12"/>
  <c r="A835" i="12"/>
  <c r="B835" i="12"/>
  <c r="A836" i="12"/>
  <c r="B836" i="12"/>
  <c r="A837" i="12"/>
  <c r="B837" i="12"/>
  <c r="A838" i="12"/>
  <c r="B838" i="12"/>
  <c r="A839" i="12"/>
  <c r="B839" i="12"/>
  <c r="A840" i="12"/>
  <c r="B840" i="12"/>
  <c r="A841" i="12"/>
  <c r="B841" i="12"/>
  <c r="A842" i="12"/>
  <c r="B842" i="12"/>
  <c r="A843" i="12"/>
  <c r="B843" i="12"/>
  <c r="A844" i="12"/>
  <c r="B844" i="12"/>
  <c r="A845" i="12"/>
  <c r="B845" i="12"/>
  <c r="A846" i="12"/>
  <c r="B846" i="12"/>
  <c r="A847" i="12"/>
  <c r="B847" i="12"/>
  <c r="A848" i="12"/>
  <c r="B848" i="12"/>
  <c r="A849" i="12"/>
  <c r="B849" i="12"/>
  <c r="A850" i="12"/>
  <c r="B850" i="12"/>
  <c r="A851" i="12"/>
  <c r="B851" i="12"/>
  <c r="A852" i="12"/>
  <c r="B852" i="12"/>
  <c r="A853" i="12"/>
  <c r="B853" i="12"/>
  <c r="A854" i="12"/>
  <c r="B854" i="12"/>
  <c r="A868" i="12"/>
  <c r="B868" i="12"/>
  <c r="A869" i="12"/>
  <c r="B869" i="12"/>
  <c r="A870" i="12"/>
  <c r="B870" i="12"/>
  <c r="A871" i="12"/>
  <c r="B871" i="12"/>
  <c r="A872" i="12"/>
  <c r="B872" i="12"/>
  <c r="A873" i="12"/>
  <c r="B873" i="12"/>
  <c r="A874" i="12"/>
  <c r="B874" i="12"/>
  <c r="A875" i="12"/>
  <c r="B875" i="12"/>
  <c r="A876" i="12"/>
  <c r="B876" i="12"/>
  <c r="A877" i="12"/>
  <c r="B877" i="12"/>
  <c r="A878" i="12"/>
  <c r="B878" i="12"/>
  <c r="A879" i="12"/>
  <c r="B879" i="12"/>
  <c r="A880" i="12"/>
  <c r="B880" i="12"/>
  <c r="A881" i="12"/>
  <c r="B881" i="12"/>
  <c r="A882" i="12"/>
  <c r="B882" i="12"/>
  <c r="A883" i="12"/>
  <c r="B883" i="12"/>
  <c r="A884" i="12"/>
  <c r="B884" i="12"/>
  <c r="A885" i="12"/>
  <c r="B885" i="12"/>
  <c r="A886" i="12"/>
  <c r="B886" i="12"/>
  <c r="A887" i="12"/>
  <c r="B887" i="12"/>
  <c r="A888" i="12"/>
  <c r="B888" i="12"/>
  <c r="A889" i="12"/>
  <c r="B889" i="12"/>
  <c r="A890" i="12"/>
  <c r="B890" i="12"/>
  <c r="A891" i="12"/>
  <c r="B891" i="12"/>
  <c r="A892" i="12"/>
  <c r="B892" i="12"/>
  <c r="A893" i="12"/>
  <c r="B893" i="12"/>
  <c r="A894" i="12"/>
  <c r="B894" i="12"/>
  <c r="A895" i="12"/>
  <c r="B895" i="12"/>
  <c r="A896" i="12"/>
  <c r="B896" i="12"/>
  <c r="A897" i="12"/>
  <c r="B897" i="12"/>
  <c r="A898" i="12"/>
  <c r="B898" i="12"/>
  <c r="A899" i="12"/>
  <c r="B899" i="12"/>
  <c r="A900" i="12"/>
  <c r="B900" i="12"/>
  <c r="A901" i="12"/>
  <c r="B901" i="12"/>
  <c r="A902" i="12"/>
  <c r="B902" i="12"/>
  <c r="A903" i="12"/>
  <c r="B903" i="12"/>
  <c r="A904" i="12"/>
  <c r="B904" i="12"/>
  <c r="A905" i="12"/>
  <c r="B905" i="12"/>
  <c r="A906" i="12"/>
  <c r="B906" i="12"/>
  <c r="A907" i="12"/>
  <c r="B907" i="12"/>
  <c r="A908" i="12"/>
  <c r="B908" i="12"/>
  <c r="A909" i="12"/>
  <c r="B909" i="12"/>
  <c r="A910" i="12"/>
  <c r="B910" i="12"/>
  <c r="A911" i="12"/>
  <c r="B911" i="12"/>
  <c r="A912" i="12"/>
  <c r="B912" i="12"/>
  <c r="A913" i="12"/>
  <c r="B913" i="12"/>
  <c r="A914" i="12"/>
  <c r="B914" i="12"/>
  <c r="A915" i="12"/>
  <c r="B915" i="12"/>
  <c r="A916" i="12"/>
  <c r="B916" i="12"/>
  <c r="A917" i="12"/>
  <c r="B917" i="12"/>
  <c r="A918" i="12"/>
  <c r="B918" i="12"/>
  <c r="A919" i="12"/>
  <c r="B919" i="12"/>
  <c r="A920" i="12"/>
  <c r="B920" i="12"/>
  <c r="A921" i="12"/>
  <c r="B921" i="12"/>
  <c r="A922" i="12"/>
  <c r="B922" i="12"/>
  <c r="A924" i="12"/>
  <c r="B924" i="12"/>
  <c r="A925" i="12"/>
  <c r="B925" i="12"/>
  <c r="A926" i="12"/>
  <c r="B926" i="12"/>
  <c r="A927" i="12"/>
  <c r="B927" i="12"/>
  <c r="A928" i="12"/>
  <c r="B928" i="12"/>
  <c r="A929" i="12"/>
  <c r="B929" i="12"/>
  <c r="A930" i="12"/>
  <c r="B930" i="12"/>
  <c r="A931" i="12"/>
  <c r="B931" i="12"/>
  <c r="A932" i="12"/>
  <c r="B932" i="12"/>
  <c r="A933" i="12"/>
  <c r="B933" i="12"/>
  <c r="A934" i="12"/>
  <c r="B934" i="12"/>
  <c r="A935" i="12"/>
  <c r="B935" i="12"/>
  <c r="A936" i="12"/>
  <c r="B936" i="12"/>
  <c r="A937" i="12"/>
  <c r="B937" i="12"/>
  <c r="A938" i="12"/>
  <c r="B938" i="12"/>
  <c r="A939" i="12"/>
  <c r="B939" i="12"/>
  <c r="A940" i="12"/>
  <c r="B940" i="12"/>
  <c r="A941" i="12"/>
  <c r="B941" i="12"/>
  <c r="A942" i="12"/>
  <c r="B942" i="12"/>
  <c r="A943" i="12"/>
  <c r="B943" i="12"/>
  <c r="A944" i="12"/>
  <c r="B944" i="12"/>
  <c r="A945" i="12"/>
  <c r="B945" i="12"/>
  <c r="A946" i="12"/>
  <c r="B946" i="12"/>
  <c r="A947" i="12"/>
  <c r="B947" i="12"/>
  <c r="A948" i="12"/>
  <c r="B948" i="12"/>
  <c r="A949" i="12"/>
  <c r="B949" i="12"/>
  <c r="A950" i="12"/>
  <c r="B950" i="12"/>
  <c r="A951" i="12"/>
  <c r="B951" i="12"/>
  <c r="A952" i="12"/>
  <c r="B952" i="12"/>
  <c r="A953" i="12"/>
  <c r="B953" i="12"/>
  <c r="A954" i="12"/>
  <c r="B954" i="12"/>
  <c r="A955" i="12"/>
  <c r="B955" i="12"/>
  <c r="A956" i="12"/>
  <c r="B956" i="12"/>
  <c r="A957" i="12"/>
  <c r="B957" i="12"/>
  <c r="A958" i="12"/>
  <c r="B958" i="12"/>
  <c r="A959" i="12"/>
  <c r="B959" i="12"/>
  <c r="A960" i="12"/>
  <c r="B960" i="12"/>
  <c r="A961" i="12"/>
  <c r="B961" i="12"/>
  <c r="A962" i="12"/>
  <c r="B962" i="12"/>
  <c r="A963" i="12"/>
  <c r="B963" i="12"/>
  <c r="A964" i="12"/>
  <c r="B964" i="12"/>
  <c r="A965" i="12"/>
  <c r="B965" i="12"/>
  <c r="A966" i="12"/>
  <c r="B966" i="12"/>
  <c r="A967" i="12"/>
  <c r="B967" i="12"/>
  <c r="A968" i="12"/>
  <c r="B968" i="12"/>
  <c r="A969" i="12"/>
  <c r="B969" i="12"/>
  <c r="A970" i="12"/>
  <c r="B970" i="12"/>
  <c r="A971" i="12"/>
  <c r="B971" i="12"/>
  <c r="A972" i="12"/>
  <c r="B972" i="12"/>
  <c r="A973" i="12"/>
  <c r="B973" i="12"/>
  <c r="A974" i="12"/>
  <c r="B974" i="12"/>
  <c r="A975" i="12"/>
  <c r="B975" i="12"/>
  <c r="A976" i="12"/>
  <c r="B976" i="12"/>
  <c r="A977" i="12"/>
  <c r="B977" i="12"/>
  <c r="A978" i="12"/>
  <c r="B978" i="12"/>
  <c r="A979" i="12"/>
  <c r="B979" i="12"/>
  <c r="A980" i="12"/>
  <c r="B980" i="12"/>
  <c r="A981" i="12"/>
  <c r="B981" i="12"/>
  <c r="A982" i="12"/>
  <c r="B982" i="12"/>
  <c r="A983" i="12"/>
  <c r="B983" i="12"/>
  <c r="A984" i="12"/>
  <c r="B984" i="12"/>
  <c r="A985" i="12"/>
  <c r="B985" i="12"/>
  <c r="A986" i="12"/>
  <c r="B986" i="12"/>
  <c r="A987" i="12"/>
  <c r="B987" i="12"/>
  <c r="A988" i="12"/>
  <c r="B988" i="12"/>
  <c r="A989" i="12"/>
  <c r="B989" i="12"/>
  <c r="A990" i="12"/>
  <c r="B990" i="12"/>
  <c r="A991" i="12"/>
  <c r="B991" i="12"/>
  <c r="A992" i="12"/>
  <c r="B992" i="12"/>
  <c r="A993" i="12"/>
  <c r="B993" i="12"/>
  <c r="A994" i="12"/>
  <c r="B994" i="12"/>
  <c r="A995" i="12"/>
  <c r="B995" i="12"/>
  <c r="A996" i="12"/>
  <c r="B996" i="12"/>
  <c r="A997" i="12"/>
  <c r="B997" i="12"/>
  <c r="A998" i="12"/>
  <c r="B998" i="12"/>
  <c r="A999" i="12"/>
  <c r="B999" i="12"/>
  <c r="A1000" i="12"/>
  <c r="B1000" i="12"/>
  <c r="A1001" i="12"/>
  <c r="B1001" i="12"/>
  <c r="A1002" i="12"/>
  <c r="B1002" i="12"/>
  <c r="A1003" i="12"/>
  <c r="B1003" i="12"/>
  <c r="A1004" i="12"/>
  <c r="B1004" i="12"/>
  <c r="A1005" i="12"/>
  <c r="B1005" i="12"/>
  <c r="A1006" i="12"/>
  <c r="B1006" i="12"/>
  <c r="A1007" i="12"/>
  <c r="B1007" i="12"/>
  <c r="A1008" i="12"/>
  <c r="B1008" i="12"/>
  <c r="A1009" i="12"/>
  <c r="B1009" i="12"/>
  <c r="A1010" i="12"/>
  <c r="B1010" i="12"/>
  <c r="A1011" i="12"/>
  <c r="B1011" i="12"/>
  <c r="A1012" i="12"/>
  <c r="B1012" i="12"/>
  <c r="A1013" i="12"/>
  <c r="B1013" i="12"/>
  <c r="A1014" i="12"/>
  <c r="B1014" i="12"/>
  <c r="A1015" i="12"/>
  <c r="B1015" i="12"/>
  <c r="A1016" i="12"/>
  <c r="B1016" i="12"/>
  <c r="A1017" i="12"/>
  <c r="B1017" i="12"/>
  <c r="A1018" i="12"/>
  <c r="B1018" i="12"/>
  <c r="A1019" i="12"/>
  <c r="B1019" i="12"/>
  <c r="A1020" i="12"/>
  <c r="B1020" i="12"/>
  <c r="A1021" i="12"/>
  <c r="B1021" i="12"/>
  <c r="A1022" i="12"/>
  <c r="B1022" i="12"/>
  <c r="A1023" i="12"/>
  <c r="B1023" i="12"/>
  <c r="A1024" i="12"/>
  <c r="B1024" i="12"/>
  <c r="A1025" i="12"/>
  <c r="B1025" i="12"/>
  <c r="A1026" i="12"/>
  <c r="B1026" i="12"/>
  <c r="A1027" i="12"/>
  <c r="B1027" i="12"/>
  <c r="A1028" i="12"/>
  <c r="B1028" i="12"/>
  <c r="A1029" i="12"/>
  <c r="B1029" i="12"/>
  <c r="A1030" i="12"/>
  <c r="B1030" i="12"/>
  <c r="A1031" i="12"/>
  <c r="B1031" i="12"/>
  <c r="A1032" i="12"/>
  <c r="B1032" i="12"/>
  <c r="A1033" i="12"/>
  <c r="B1033" i="12"/>
  <c r="A1034" i="12"/>
  <c r="B1034" i="12"/>
  <c r="A1035" i="12"/>
  <c r="B1035" i="12"/>
  <c r="A1036" i="12"/>
  <c r="B1036" i="12"/>
  <c r="A1037" i="12"/>
  <c r="B1037" i="12"/>
  <c r="A1038" i="12"/>
  <c r="B1038" i="12"/>
  <c r="A1039" i="12"/>
  <c r="B1039" i="12"/>
  <c r="A1040" i="12"/>
  <c r="B1040" i="12"/>
  <c r="A1041" i="12"/>
  <c r="B1041" i="12"/>
  <c r="A1042" i="12"/>
  <c r="B1042" i="12"/>
  <c r="A1043" i="12"/>
  <c r="B1043" i="12"/>
  <c r="A1044" i="12"/>
  <c r="B1044" i="12"/>
  <c r="A1045" i="12"/>
  <c r="B1045" i="12"/>
  <c r="A1046" i="12"/>
  <c r="B1046" i="12"/>
  <c r="A1047" i="12"/>
  <c r="B1047" i="12"/>
  <c r="A1048" i="12"/>
  <c r="B1048" i="12"/>
  <c r="A1049" i="12"/>
  <c r="B1049" i="12"/>
  <c r="A1050" i="12"/>
  <c r="B1050" i="12"/>
  <c r="A1051" i="12"/>
  <c r="B1051" i="12"/>
  <c r="A1052" i="12"/>
  <c r="B1052" i="12"/>
  <c r="A1053" i="12"/>
  <c r="B1053" i="12"/>
  <c r="A1054" i="12"/>
  <c r="B1054" i="12"/>
  <c r="A1055" i="12"/>
  <c r="B1055" i="12"/>
  <c r="A1056" i="12"/>
  <c r="B1056" i="12"/>
  <c r="A1057" i="12"/>
  <c r="B1057" i="12"/>
  <c r="A1058" i="12"/>
  <c r="B1058" i="12"/>
  <c r="A1059" i="12"/>
  <c r="B1059" i="12"/>
  <c r="A1060" i="12"/>
  <c r="B1060" i="12"/>
  <c r="A1061" i="12"/>
  <c r="B1061" i="12"/>
  <c r="A1062" i="12"/>
  <c r="B1062" i="12"/>
  <c r="A1063" i="12"/>
  <c r="B1063" i="12"/>
  <c r="A1064" i="12"/>
  <c r="B1064" i="12"/>
  <c r="A1065" i="12"/>
  <c r="B1065" i="12"/>
  <c r="A1066" i="12"/>
  <c r="B1066" i="12"/>
  <c r="A1067" i="12"/>
  <c r="B1067" i="12"/>
  <c r="A1068" i="12"/>
  <c r="B1068" i="12"/>
  <c r="A1069" i="12"/>
  <c r="B1069" i="12"/>
  <c r="A1070" i="12"/>
  <c r="B1070" i="12"/>
  <c r="A1071" i="12"/>
  <c r="B1071" i="12"/>
  <c r="A1072" i="12"/>
  <c r="B1072" i="12"/>
  <c r="A1073" i="12"/>
  <c r="B1073" i="12"/>
  <c r="A1074" i="12"/>
  <c r="B1074" i="12"/>
  <c r="A1075" i="12"/>
  <c r="B1075" i="12"/>
  <c r="A1076" i="12"/>
  <c r="B1076" i="12"/>
  <c r="A1077" i="12"/>
  <c r="B1077" i="12"/>
  <c r="A1078" i="12"/>
  <c r="B1078" i="12"/>
  <c r="A1079" i="12"/>
  <c r="B1079" i="12"/>
  <c r="A1080" i="12"/>
  <c r="B1080" i="12"/>
  <c r="A1081" i="12"/>
  <c r="B1081" i="12"/>
  <c r="A1082" i="12"/>
  <c r="B1082" i="12"/>
  <c r="A1083" i="12"/>
  <c r="B1083" i="12"/>
  <c r="A1084" i="12"/>
  <c r="B1084" i="12"/>
  <c r="A1085" i="12"/>
  <c r="B1085" i="12"/>
  <c r="A1086" i="12"/>
  <c r="B1086" i="12"/>
  <c r="A1087" i="12"/>
  <c r="B1087" i="12"/>
  <c r="A1088" i="12"/>
  <c r="B1088" i="12"/>
  <c r="A1089" i="12"/>
  <c r="B1089" i="12"/>
  <c r="A1090" i="12"/>
  <c r="B1090" i="12"/>
  <c r="A1091" i="12"/>
  <c r="B1091" i="12"/>
  <c r="A1092" i="12"/>
  <c r="B1092" i="12"/>
  <c r="A1093" i="12"/>
  <c r="B1093" i="12"/>
  <c r="A1094" i="12"/>
  <c r="B1094" i="12"/>
  <c r="A1095" i="12"/>
  <c r="B1095" i="12"/>
  <c r="A1096" i="12"/>
  <c r="B1096" i="12"/>
  <c r="A1097" i="12"/>
  <c r="B1097" i="12"/>
  <c r="A1098" i="12"/>
  <c r="B1098" i="12"/>
  <c r="A1099" i="12"/>
  <c r="B1099" i="12"/>
  <c r="A1100" i="12"/>
  <c r="B1100" i="12"/>
  <c r="A1101" i="12"/>
  <c r="B1101" i="12"/>
  <c r="A1102" i="12"/>
  <c r="B1102" i="12"/>
  <c r="A1103" i="12"/>
  <c r="B1103" i="12"/>
  <c r="A1104" i="12"/>
  <c r="B1104" i="12"/>
  <c r="A1105" i="12"/>
  <c r="B1105" i="12"/>
  <c r="A1106" i="12"/>
  <c r="B1106" i="12"/>
  <c r="A1107" i="12"/>
  <c r="B1107" i="12"/>
  <c r="A1108" i="12"/>
  <c r="B1108" i="12"/>
  <c r="A1109" i="12"/>
  <c r="B1109" i="12"/>
  <c r="A1110" i="12"/>
  <c r="B1110" i="12"/>
  <c r="A1111" i="12"/>
  <c r="B1111" i="12"/>
  <c r="A1112" i="12"/>
  <c r="B1112" i="12"/>
  <c r="A1113" i="12"/>
  <c r="B1113" i="12"/>
  <c r="A1114" i="12"/>
  <c r="B1114" i="12"/>
  <c r="A1115" i="12"/>
  <c r="B1115" i="12"/>
  <c r="A1116" i="12"/>
  <c r="B1116" i="12"/>
  <c r="A1117" i="12"/>
  <c r="B1117" i="12"/>
  <c r="A1118" i="12"/>
  <c r="B1118" i="12"/>
  <c r="A1119" i="12"/>
  <c r="B1119" i="12"/>
  <c r="A1120" i="12"/>
  <c r="B1120" i="12"/>
  <c r="A1121" i="12"/>
  <c r="B1121" i="12"/>
  <c r="A1122" i="12"/>
  <c r="B1122" i="12"/>
  <c r="A1123" i="12"/>
  <c r="B1123" i="12"/>
  <c r="A1124" i="12"/>
  <c r="B1124" i="12"/>
  <c r="A1125" i="12"/>
  <c r="B1125" i="12"/>
  <c r="A1126" i="12"/>
  <c r="B1126" i="12"/>
  <c r="A1127" i="12"/>
  <c r="B1127" i="12"/>
  <c r="A1128" i="12"/>
  <c r="B1128" i="12"/>
  <c r="A1129" i="12"/>
  <c r="B1129" i="12"/>
  <c r="A1130" i="12"/>
  <c r="B1130" i="12"/>
  <c r="A1131" i="12"/>
  <c r="B1131" i="12"/>
  <c r="A1132" i="12"/>
  <c r="B1132" i="12"/>
  <c r="A1133" i="12"/>
  <c r="B1133" i="12"/>
  <c r="A1134" i="12"/>
  <c r="B1134" i="12"/>
  <c r="A1135" i="12"/>
  <c r="B1135" i="12"/>
  <c r="A1136" i="12"/>
  <c r="B1136" i="12"/>
  <c r="A1137" i="12"/>
  <c r="B1137" i="12"/>
  <c r="A1138" i="12"/>
  <c r="B1138" i="12"/>
  <c r="A1139" i="12"/>
  <c r="B1139" i="12"/>
  <c r="A1140" i="12"/>
  <c r="B1140" i="12"/>
  <c r="A1141" i="12"/>
  <c r="B1141" i="12"/>
  <c r="A1142" i="12"/>
  <c r="B1142" i="12"/>
  <c r="A1143" i="12"/>
  <c r="B1143" i="12"/>
  <c r="A1144" i="12"/>
  <c r="B1144" i="12"/>
  <c r="A1145" i="12"/>
  <c r="B1145" i="12"/>
  <c r="A1146" i="12"/>
  <c r="B1146" i="12"/>
  <c r="A1147" i="12"/>
  <c r="B1147" i="12"/>
  <c r="A1148" i="12"/>
  <c r="B1148" i="12"/>
  <c r="A1149" i="12"/>
  <c r="B1149" i="12"/>
  <c r="A1150" i="12"/>
  <c r="B1150" i="12"/>
  <c r="A1151" i="12"/>
  <c r="B1151" i="12"/>
  <c r="A1152" i="12"/>
  <c r="B1152" i="12"/>
  <c r="A1153" i="12"/>
  <c r="B1153" i="12"/>
  <c r="A1154" i="12"/>
  <c r="B1154" i="12"/>
  <c r="A1155" i="12"/>
  <c r="B1155" i="12"/>
  <c r="A1156" i="12"/>
  <c r="B1156" i="12"/>
  <c r="A1157" i="12"/>
  <c r="B1157" i="12"/>
  <c r="A1158" i="12"/>
  <c r="B1158" i="12"/>
  <c r="A1159" i="12"/>
  <c r="B1159" i="12"/>
  <c r="A1160" i="12"/>
  <c r="B1160" i="12"/>
  <c r="A1161" i="12"/>
  <c r="B1161" i="12"/>
  <c r="A1162" i="12"/>
  <c r="B1162" i="12"/>
  <c r="A1163" i="12"/>
  <c r="B1163" i="12"/>
  <c r="A1164" i="12"/>
  <c r="B1164" i="12"/>
  <c r="A1165" i="12"/>
  <c r="B1165" i="12"/>
  <c r="A1166" i="12"/>
  <c r="B1166" i="12"/>
  <c r="A1167" i="12"/>
  <c r="B1167" i="12"/>
  <c r="A1168" i="12"/>
  <c r="B1168" i="12"/>
  <c r="A1169" i="12"/>
  <c r="B1169" i="12"/>
  <c r="A1170" i="12"/>
  <c r="B1170" i="12"/>
  <c r="A1171" i="12"/>
  <c r="B1171" i="12"/>
  <c r="A1172" i="12"/>
  <c r="B1172" i="12"/>
  <c r="A1173" i="12"/>
  <c r="B1173" i="12"/>
  <c r="A1174" i="12"/>
  <c r="B1174" i="12"/>
  <c r="A1175" i="12"/>
  <c r="B1175" i="12"/>
  <c r="A1176" i="12"/>
  <c r="B1176" i="12"/>
  <c r="A1177" i="12"/>
  <c r="B1177" i="12"/>
  <c r="A1178" i="12"/>
  <c r="B1178" i="12"/>
  <c r="A1179" i="12"/>
  <c r="B1179" i="12"/>
  <c r="A1180" i="12"/>
  <c r="B1180" i="12"/>
  <c r="A1181" i="12"/>
  <c r="B1181" i="12"/>
  <c r="A1182" i="12"/>
  <c r="B1182" i="12"/>
  <c r="A1183" i="12"/>
  <c r="B1183" i="12"/>
  <c r="A1184" i="12"/>
  <c r="B1184" i="12"/>
  <c r="A1185" i="12"/>
  <c r="B1185" i="12"/>
  <c r="A1186" i="12"/>
  <c r="B1186" i="12"/>
  <c r="A1187" i="12"/>
  <c r="B1187" i="12"/>
  <c r="A1188" i="12"/>
  <c r="B1188" i="12"/>
  <c r="A1189" i="12"/>
  <c r="B1189" i="12"/>
  <c r="A1190" i="12"/>
  <c r="B1190" i="12"/>
  <c r="A1191" i="12"/>
  <c r="B1191" i="12"/>
  <c r="A1192" i="12"/>
  <c r="B1192" i="12"/>
  <c r="A1193" i="12"/>
  <c r="B1193" i="12"/>
  <c r="A1194" i="12"/>
  <c r="B1194" i="12"/>
  <c r="A1195" i="12"/>
  <c r="B1195" i="12"/>
  <c r="A1196" i="12"/>
  <c r="B1196" i="12"/>
  <c r="A1197" i="12"/>
  <c r="B1197" i="12"/>
  <c r="A1198" i="12"/>
  <c r="B1198" i="12"/>
  <c r="A1199" i="12"/>
  <c r="B1199" i="12"/>
  <c r="A1200" i="12"/>
  <c r="B1200" i="12"/>
  <c r="A1201" i="12"/>
  <c r="B1201" i="12"/>
  <c r="A1202" i="12"/>
  <c r="B1202" i="12"/>
  <c r="A1203" i="12"/>
  <c r="B1203" i="12"/>
  <c r="A1204" i="12"/>
  <c r="B1204" i="12"/>
  <c r="A1205" i="12"/>
  <c r="B1205" i="12"/>
  <c r="A1206" i="12"/>
  <c r="B1206" i="12"/>
  <c r="A1207" i="12"/>
  <c r="B1207" i="12"/>
  <c r="A1208" i="12"/>
  <c r="B1208" i="12"/>
  <c r="A1209" i="12"/>
  <c r="B1209" i="12"/>
  <c r="A1210" i="12"/>
  <c r="B1210" i="12"/>
  <c r="A1211" i="12"/>
  <c r="B1211" i="12"/>
  <c r="A1212" i="12"/>
  <c r="B1212" i="12"/>
  <c r="A1213" i="12"/>
  <c r="B1213" i="12"/>
  <c r="A1214" i="12"/>
  <c r="B1214" i="12"/>
  <c r="A1215" i="12"/>
  <c r="B1215" i="12"/>
  <c r="A1216" i="12"/>
  <c r="B1216" i="12"/>
  <c r="A1217" i="12"/>
  <c r="B1217" i="12"/>
  <c r="A1218" i="12"/>
  <c r="B1218" i="12"/>
  <c r="A1219" i="12"/>
  <c r="B1219" i="12"/>
  <c r="A1220" i="12"/>
  <c r="B1220" i="12"/>
  <c r="A1221" i="12"/>
  <c r="B1221" i="12"/>
  <c r="A1222" i="12"/>
  <c r="B1222" i="12"/>
  <c r="A1223" i="12"/>
  <c r="B1223" i="12"/>
  <c r="A1224" i="12"/>
  <c r="B1224" i="12"/>
  <c r="A1225" i="12"/>
  <c r="B1225" i="12"/>
  <c r="A1226" i="12"/>
  <c r="B1226" i="12"/>
  <c r="A1227" i="12"/>
  <c r="B1227" i="12"/>
  <c r="A1228" i="12"/>
  <c r="B1228" i="12"/>
  <c r="A1229" i="12"/>
  <c r="B1229" i="12"/>
  <c r="A1230" i="12"/>
  <c r="B1230" i="12"/>
  <c r="A1231" i="12"/>
  <c r="B1231" i="12"/>
  <c r="A1232" i="12"/>
  <c r="B1232" i="12"/>
  <c r="A1233" i="12"/>
  <c r="B1233" i="12"/>
  <c r="A1234" i="12"/>
  <c r="B1234" i="12"/>
  <c r="A1235" i="12"/>
  <c r="B1235" i="12"/>
  <c r="A1236" i="12"/>
  <c r="B1236" i="12"/>
  <c r="A1237" i="12"/>
  <c r="B1237" i="12"/>
  <c r="A1238" i="12"/>
  <c r="B1238" i="12"/>
  <c r="A1239" i="12"/>
  <c r="B1239" i="12"/>
  <c r="A1240" i="12"/>
  <c r="B1240" i="12"/>
  <c r="A1241" i="12"/>
  <c r="B1241" i="12"/>
  <c r="A1242" i="12"/>
  <c r="B1242" i="12"/>
  <c r="A1243" i="12"/>
  <c r="B1243" i="12"/>
  <c r="A1244" i="12"/>
  <c r="B1244" i="12"/>
  <c r="A1245" i="12"/>
  <c r="B1245" i="12"/>
  <c r="A1246" i="12"/>
  <c r="B1246" i="12"/>
  <c r="A1247" i="12"/>
  <c r="B1247" i="12"/>
  <c r="A1248" i="12"/>
  <c r="B1248" i="12"/>
  <c r="A1249" i="12"/>
  <c r="B1249" i="12"/>
  <c r="A1250" i="12"/>
  <c r="B1250" i="12"/>
  <c r="A1251" i="12"/>
  <c r="B1251" i="12"/>
  <c r="A1252" i="12"/>
  <c r="B1252" i="12"/>
  <c r="A1253" i="12"/>
  <c r="B1253" i="12"/>
  <c r="A1254" i="12"/>
  <c r="B1254" i="12"/>
  <c r="A1255" i="12"/>
  <c r="B1255" i="12"/>
  <c r="A1256" i="12"/>
  <c r="B1256" i="12"/>
  <c r="A1257" i="12"/>
  <c r="B1257" i="12"/>
  <c r="A1258" i="12"/>
  <c r="B1258" i="12"/>
  <c r="A1259" i="12"/>
  <c r="B1259" i="12"/>
  <c r="A1260" i="12"/>
  <c r="B1260" i="12"/>
  <c r="A1261" i="12"/>
  <c r="B1261" i="12"/>
  <c r="A1262" i="12"/>
  <c r="B1262" i="12"/>
  <c r="A1263" i="12"/>
  <c r="B1263" i="12"/>
  <c r="A1264" i="12"/>
  <c r="B1264" i="12"/>
  <c r="A1265" i="12"/>
  <c r="B1265" i="12"/>
  <c r="A1266" i="12"/>
  <c r="B1266" i="12"/>
  <c r="A1267" i="12"/>
  <c r="B1267" i="12"/>
  <c r="A1268" i="12"/>
  <c r="B1268" i="12"/>
  <c r="A1269" i="12"/>
  <c r="B1269" i="12"/>
  <c r="A1270" i="12"/>
  <c r="B1270" i="12"/>
  <c r="A1271" i="12"/>
  <c r="B1271" i="12"/>
  <c r="A1272" i="12"/>
  <c r="B1272" i="12"/>
  <c r="A1273" i="12"/>
  <c r="B1273" i="12"/>
  <c r="A1274" i="12"/>
  <c r="B1274" i="12"/>
  <c r="A1275" i="12"/>
  <c r="B1275" i="12"/>
  <c r="A1276" i="12"/>
  <c r="B1276" i="12"/>
  <c r="A1277" i="12"/>
  <c r="B1277" i="12"/>
  <c r="A1278" i="12"/>
  <c r="B1278" i="12"/>
  <c r="A1279" i="12"/>
  <c r="B1279" i="12"/>
  <c r="A1280" i="12"/>
  <c r="B1280" i="12"/>
  <c r="A1281" i="12"/>
  <c r="B1281" i="12"/>
  <c r="A1282" i="12"/>
  <c r="B1282" i="12"/>
  <c r="A1283" i="12"/>
  <c r="B1283" i="12"/>
  <c r="A1284" i="12"/>
  <c r="B1284" i="12"/>
  <c r="A1285" i="12"/>
  <c r="B1285" i="12"/>
  <c r="A1286" i="12"/>
  <c r="B1286" i="12"/>
  <c r="A1287" i="12"/>
  <c r="B1287" i="12"/>
  <c r="A1288" i="12"/>
  <c r="B1288" i="12"/>
  <c r="A1289" i="12"/>
  <c r="B1289" i="12"/>
  <c r="A1290" i="12"/>
  <c r="B1290" i="12"/>
  <c r="A1291" i="12"/>
  <c r="B1291" i="12"/>
  <c r="A1292" i="12"/>
  <c r="B1292" i="12"/>
  <c r="A1293" i="12"/>
  <c r="B1293" i="12"/>
  <c r="A1294" i="12"/>
  <c r="B1294" i="12"/>
  <c r="A1295" i="12"/>
  <c r="B1295" i="12"/>
  <c r="A1296" i="12"/>
  <c r="B1296" i="12"/>
  <c r="A1297" i="12"/>
  <c r="B1297" i="12"/>
  <c r="A1298" i="12"/>
  <c r="B1298" i="12"/>
  <c r="A1299" i="12"/>
  <c r="B1299" i="12"/>
  <c r="A1300" i="12"/>
  <c r="B1300" i="12"/>
  <c r="A1301" i="12"/>
  <c r="B1301" i="12"/>
  <c r="A1302" i="12"/>
  <c r="B1302" i="12"/>
  <c r="A1303" i="12"/>
  <c r="B1303" i="12"/>
  <c r="A1304" i="12"/>
  <c r="B1304" i="12"/>
  <c r="A1305" i="12"/>
  <c r="B1305" i="12"/>
  <c r="A1306" i="12"/>
  <c r="B1306" i="12"/>
  <c r="A1307" i="12"/>
  <c r="B1307" i="12"/>
  <c r="A1308" i="12"/>
  <c r="B1308" i="12"/>
  <c r="A1309" i="12"/>
  <c r="B1309" i="12"/>
  <c r="A1310" i="12"/>
  <c r="B1310" i="12"/>
  <c r="A1311" i="12"/>
  <c r="B1311" i="12"/>
  <c r="A1312" i="12"/>
  <c r="B1312" i="12"/>
  <c r="A1313" i="12"/>
  <c r="B1313" i="12"/>
  <c r="A1314" i="12"/>
  <c r="B1314" i="12"/>
  <c r="A1315" i="12"/>
  <c r="B1315" i="12"/>
  <c r="A1316" i="12"/>
  <c r="B1316" i="12"/>
  <c r="A1317" i="12"/>
  <c r="B1317" i="12"/>
  <c r="A1318" i="12"/>
  <c r="B1318" i="12"/>
  <c r="A1319" i="12"/>
  <c r="B1319" i="12"/>
  <c r="A1320" i="12"/>
  <c r="B1320" i="12"/>
  <c r="A1321" i="12"/>
  <c r="B1321" i="12"/>
  <c r="A1322" i="12"/>
  <c r="B1322" i="12"/>
  <c r="A1323" i="12"/>
  <c r="B1323" i="12"/>
  <c r="A1324" i="12"/>
  <c r="B1324" i="12"/>
  <c r="A1325" i="12"/>
  <c r="B1325" i="12"/>
  <c r="A1326" i="12"/>
  <c r="B1326" i="12"/>
  <c r="A1327" i="12"/>
  <c r="B1327" i="12"/>
  <c r="A1328" i="12"/>
  <c r="B1328" i="12"/>
  <c r="A1329" i="12"/>
  <c r="B1329" i="12"/>
  <c r="A1330" i="12"/>
  <c r="B1330" i="12"/>
  <c r="A1331" i="12"/>
  <c r="B1331" i="12"/>
  <c r="A1332" i="12"/>
  <c r="B1332" i="12"/>
  <c r="A1333" i="12"/>
  <c r="B1333" i="12"/>
  <c r="A1334" i="12"/>
  <c r="B1334" i="12"/>
  <c r="A1335" i="12"/>
  <c r="B1335" i="12"/>
  <c r="A1336" i="12"/>
  <c r="B1336" i="12"/>
  <c r="A1337" i="12"/>
  <c r="B1337" i="12"/>
  <c r="A1338" i="12"/>
  <c r="B1338" i="12"/>
  <c r="A1339" i="12"/>
  <c r="B1339" i="12"/>
  <c r="A1340" i="12"/>
  <c r="B1340" i="12"/>
  <c r="A1341" i="12"/>
  <c r="B1341" i="12"/>
  <c r="A1342" i="12"/>
  <c r="B1342" i="12"/>
  <c r="A1343" i="12"/>
  <c r="B1343" i="12"/>
  <c r="A1344" i="12"/>
  <c r="B1344" i="12"/>
  <c r="A1345" i="12"/>
  <c r="B1345" i="12"/>
  <c r="A1346" i="12"/>
  <c r="B1346" i="12"/>
  <c r="A1347" i="12"/>
  <c r="B1347" i="12"/>
  <c r="A1348" i="12"/>
  <c r="B1348" i="12"/>
  <c r="A1349" i="12"/>
  <c r="B1349" i="12"/>
  <c r="A1350" i="12"/>
  <c r="B1350" i="12"/>
  <c r="A1351" i="12"/>
  <c r="B1351" i="12"/>
  <c r="A1352" i="12"/>
  <c r="B1352" i="12"/>
  <c r="A1353" i="12"/>
  <c r="B1353" i="12"/>
  <c r="A1354" i="12"/>
  <c r="B1354" i="12"/>
  <c r="A1355" i="12"/>
  <c r="B1355" i="12"/>
  <c r="A1356" i="12"/>
  <c r="B1356" i="12"/>
  <c r="A1357" i="12"/>
  <c r="B1357" i="12"/>
  <c r="A1358" i="12"/>
  <c r="B1358" i="12"/>
  <c r="A1359" i="12"/>
  <c r="B1359" i="12"/>
  <c r="A1360" i="12"/>
  <c r="B1360" i="12"/>
  <c r="A1361" i="12"/>
  <c r="B1361" i="12"/>
  <c r="A1362" i="12"/>
  <c r="B1362" i="12"/>
  <c r="A1363" i="12"/>
  <c r="B1363" i="12"/>
  <c r="A1364" i="12"/>
  <c r="B1364" i="12"/>
  <c r="A1365" i="12"/>
  <c r="B1365" i="12"/>
  <c r="A1366" i="12"/>
  <c r="B1366" i="12"/>
  <c r="A1367" i="12"/>
  <c r="B1367" i="12"/>
  <c r="A1368" i="12"/>
  <c r="B1368" i="12"/>
  <c r="A1369" i="12"/>
  <c r="B1369" i="12"/>
  <c r="A1370" i="12"/>
  <c r="B1370" i="12"/>
  <c r="A1371" i="12"/>
  <c r="B1371" i="12"/>
  <c r="A1372" i="12"/>
  <c r="B1372" i="12"/>
  <c r="A1373" i="12"/>
  <c r="B1373" i="12"/>
  <c r="A1374" i="12"/>
  <c r="B1374" i="12"/>
  <c r="A1375" i="12"/>
  <c r="B1375" i="12"/>
  <c r="A1376" i="12"/>
  <c r="B1376" i="12"/>
  <c r="A1377" i="12"/>
  <c r="B1377" i="12"/>
  <c r="A1378" i="12"/>
  <c r="B1378" i="12"/>
  <c r="A1379" i="12"/>
  <c r="B1379" i="12"/>
  <c r="A1380" i="12"/>
  <c r="B1380" i="12"/>
  <c r="A1381" i="12"/>
  <c r="B1381" i="12"/>
  <c r="A1382" i="12"/>
  <c r="B1382" i="12"/>
  <c r="A1383" i="12"/>
  <c r="B1383" i="12"/>
  <c r="A1384" i="12"/>
  <c r="B1384" i="12"/>
  <c r="A1385" i="12"/>
  <c r="B1385" i="12"/>
  <c r="A1386" i="12"/>
  <c r="B1386" i="12"/>
  <c r="A1387" i="12"/>
  <c r="B1387" i="12"/>
  <c r="A1388" i="12"/>
  <c r="B1388" i="12"/>
  <c r="A1389" i="12"/>
  <c r="B1389" i="12"/>
  <c r="A1390" i="12"/>
  <c r="B1390" i="12"/>
  <c r="A1391" i="12"/>
  <c r="B1391" i="12"/>
  <c r="A1392" i="12"/>
  <c r="B1392" i="12"/>
  <c r="A1393" i="12"/>
  <c r="B1393" i="12"/>
  <c r="A1394" i="12"/>
  <c r="B1394" i="12"/>
  <c r="A1395" i="12"/>
  <c r="B1395" i="12"/>
  <c r="A1396" i="12"/>
  <c r="B1396" i="12"/>
  <c r="A1397" i="12"/>
  <c r="B1397" i="12"/>
  <c r="A1398" i="12"/>
  <c r="B1398" i="12"/>
  <c r="A1399" i="12"/>
  <c r="B1399" i="12"/>
  <c r="A1400" i="12"/>
  <c r="B1400" i="12"/>
  <c r="A1401" i="12"/>
  <c r="B1401" i="12"/>
  <c r="A1402" i="12"/>
  <c r="B1402" i="12"/>
  <c r="A1403" i="12"/>
  <c r="B1403" i="12"/>
  <c r="A1404" i="12"/>
  <c r="B1404" i="12"/>
  <c r="A1405" i="12"/>
  <c r="B1405" i="12"/>
  <c r="A1406" i="12"/>
  <c r="B1406" i="12"/>
  <c r="A1407" i="12"/>
  <c r="B1407" i="12"/>
  <c r="A1408" i="12"/>
  <c r="B1408" i="12"/>
  <c r="A1409" i="12"/>
  <c r="B1409" i="12"/>
  <c r="A1410" i="12"/>
  <c r="B1410" i="12"/>
  <c r="A1411" i="12"/>
  <c r="B1411" i="12"/>
  <c r="A1412" i="12"/>
  <c r="B1412" i="12"/>
  <c r="A1413" i="12"/>
  <c r="B1413" i="12"/>
  <c r="A1414" i="12"/>
  <c r="B1414" i="12"/>
  <c r="A1415" i="12"/>
  <c r="A1416" i="12"/>
  <c r="A1417" i="12"/>
  <c r="A1418" i="12"/>
  <c r="A1419" i="12"/>
  <c r="A1420" i="12"/>
  <c r="A1421" i="12"/>
  <c r="B1421" i="12"/>
  <c r="A1422" i="12"/>
  <c r="B1422" i="12"/>
  <c r="A1423" i="12"/>
  <c r="B1423" i="12"/>
  <c r="A1424" i="12"/>
  <c r="B1424" i="12"/>
  <c r="A1425" i="12"/>
  <c r="B1425" i="12"/>
  <c r="A1426" i="12"/>
  <c r="B1426" i="12"/>
  <c r="A1427" i="12"/>
  <c r="B1427" i="12"/>
  <c r="A1428" i="12"/>
  <c r="B1428" i="12"/>
  <c r="A1429" i="12"/>
  <c r="B1429" i="12"/>
  <c r="A1430" i="12"/>
  <c r="B1430" i="12"/>
  <c r="A1431" i="12"/>
  <c r="B1431" i="12"/>
  <c r="A1432" i="12"/>
  <c r="B1432" i="12"/>
  <c r="A1433" i="12"/>
  <c r="B1433" i="12"/>
  <c r="A1434" i="12"/>
  <c r="B1434" i="12"/>
  <c r="A1435" i="12"/>
  <c r="B1435" i="12"/>
  <c r="A1436" i="12"/>
  <c r="B1436" i="12"/>
  <c r="A1437" i="12"/>
  <c r="B1437" i="12"/>
  <c r="A1438" i="12"/>
  <c r="B1438" i="12"/>
  <c r="A1439" i="12"/>
  <c r="B1439" i="12"/>
  <c r="A1440" i="12"/>
  <c r="B1440" i="12"/>
  <c r="A1441" i="12"/>
  <c r="B1441" i="12"/>
  <c r="A1442" i="12"/>
  <c r="B1442" i="12"/>
  <c r="A1443" i="12"/>
  <c r="B1443" i="12"/>
  <c r="A1444" i="12"/>
  <c r="B1444" i="12"/>
  <c r="A1445" i="12"/>
  <c r="B1445" i="12"/>
  <c r="A1446" i="12"/>
  <c r="B1446" i="12"/>
  <c r="A1447" i="12"/>
  <c r="B1447" i="12"/>
  <c r="A1448" i="12"/>
  <c r="B1448" i="12"/>
  <c r="A1449" i="12"/>
  <c r="B1449" i="12"/>
  <c r="A1450" i="12"/>
  <c r="B1450" i="12"/>
  <c r="A1451" i="12"/>
  <c r="B1451" i="12"/>
  <c r="A1452" i="12"/>
  <c r="B1452" i="12"/>
  <c r="A1453" i="12"/>
  <c r="B1453" i="12"/>
  <c r="A1454" i="12"/>
  <c r="B1454" i="12"/>
  <c r="A1455" i="12"/>
  <c r="B1455" i="12"/>
  <c r="A1456" i="12"/>
  <c r="B1456" i="12"/>
  <c r="A1457" i="12"/>
  <c r="B1457" i="12"/>
  <c r="A1458" i="12"/>
  <c r="B1458" i="12"/>
  <c r="A1459" i="12"/>
  <c r="B1459" i="12"/>
  <c r="A1460" i="12"/>
  <c r="B1460" i="12"/>
  <c r="A1461" i="12"/>
  <c r="B1461" i="12"/>
  <c r="A1462" i="12"/>
  <c r="B1462" i="12"/>
  <c r="A1463" i="12"/>
  <c r="B1463" i="12"/>
  <c r="A1464" i="12"/>
  <c r="B1464" i="12"/>
  <c r="A1465" i="12"/>
  <c r="B1465" i="12"/>
  <c r="A1466" i="12"/>
  <c r="B1466" i="12"/>
  <c r="A1467" i="12"/>
  <c r="B1467" i="12"/>
  <c r="A1468" i="12"/>
  <c r="B1468" i="12"/>
  <c r="A1469" i="12"/>
  <c r="B1469" i="12"/>
  <c r="A1470" i="12"/>
  <c r="B1470" i="12"/>
  <c r="A1471" i="12"/>
  <c r="B1471" i="12"/>
  <c r="A1472" i="12"/>
  <c r="B1472" i="12"/>
  <c r="A1473" i="12"/>
  <c r="B1473" i="12"/>
  <c r="A1474" i="12"/>
  <c r="B1474" i="12"/>
  <c r="A1475" i="12"/>
  <c r="B1475" i="12"/>
  <c r="A1476" i="12"/>
  <c r="B1476" i="12"/>
  <c r="A1477" i="12"/>
  <c r="B1477" i="12"/>
  <c r="A1478" i="12"/>
  <c r="B1478" i="12"/>
  <c r="A1479" i="12"/>
  <c r="B1479" i="12"/>
  <c r="A1480" i="12"/>
  <c r="B1480" i="12"/>
  <c r="A1481" i="12"/>
  <c r="B1481" i="12"/>
  <c r="A1482" i="12"/>
  <c r="B1482" i="12"/>
  <c r="A1483" i="12"/>
  <c r="B1483" i="12"/>
  <c r="A1484" i="12"/>
  <c r="B1484" i="12"/>
  <c r="A1485" i="12"/>
  <c r="B1485" i="12"/>
  <c r="A1486" i="12"/>
  <c r="B1486" i="12"/>
  <c r="A1487" i="12"/>
  <c r="B1487" i="12"/>
  <c r="A1488" i="12"/>
  <c r="B1488" i="12"/>
  <c r="A1489" i="12"/>
  <c r="B1489" i="12"/>
  <c r="A1490" i="12"/>
  <c r="B1490" i="12"/>
  <c r="A1491" i="12"/>
  <c r="B1491" i="12"/>
  <c r="A1492" i="12"/>
  <c r="B1492" i="12"/>
  <c r="A1493" i="12"/>
  <c r="B1493" i="12"/>
  <c r="A1494" i="12"/>
  <c r="B1494" i="12"/>
  <c r="A1495" i="12"/>
  <c r="B1495" i="12"/>
  <c r="A1496" i="12"/>
  <c r="B1496" i="12"/>
  <c r="A1497" i="12"/>
  <c r="B1497" i="12"/>
  <c r="A1498" i="12"/>
  <c r="B1498" i="12"/>
  <c r="A1499" i="12"/>
  <c r="B1499" i="12"/>
  <c r="A1500" i="12"/>
  <c r="B1500" i="12"/>
  <c r="A1501" i="12"/>
  <c r="B1501" i="12"/>
  <c r="A1502" i="12"/>
  <c r="B1502" i="12"/>
  <c r="A1503" i="12"/>
  <c r="B1503" i="12"/>
  <c r="A1504" i="12"/>
  <c r="B1504" i="12"/>
  <c r="A1505" i="12"/>
  <c r="B1505" i="12"/>
  <c r="A1506" i="12"/>
  <c r="B1506" i="12"/>
  <c r="A1507" i="12"/>
  <c r="B1507" i="12"/>
  <c r="A1560" i="12"/>
  <c r="B1560" i="12"/>
  <c r="A1561" i="12"/>
  <c r="B1561" i="12"/>
  <c r="A1562" i="12"/>
  <c r="B1562" i="12"/>
  <c r="A1563" i="12"/>
  <c r="B1563" i="12"/>
  <c r="A1564" i="12"/>
  <c r="B1564" i="12"/>
  <c r="A1581" i="12"/>
  <c r="B1581" i="12"/>
  <c r="A1582" i="12"/>
  <c r="B1582" i="12"/>
  <c r="A1583" i="12"/>
  <c r="B1583" i="12"/>
  <c r="A1584" i="12"/>
  <c r="B1584" i="12"/>
  <c r="A1585" i="12"/>
  <c r="B1585" i="12"/>
  <c r="A1586" i="12"/>
  <c r="B1586" i="12"/>
  <c r="A1587" i="12"/>
  <c r="B1587" i="12"/>
  <c r="A1588" i="12"/>
  <c r="B1588" i="12"/>
  <c r="A1589" i="12"/>
  <c r="B1589" i="12"/>
  <c r="A1590" i="12"/>
  <c r="B1590" i="12"/>
  <c r="A1591" i="12"/>
  <c r="B1591" i="12"/>
  <c r="A1592" i="12"/>
  <c r="B1592" i="12"/>
  <c r="A1593" i="12"/>
  <c r="B1593" i="12"/>
  <c r="A1594" i="12"/>
  <c r="B1594" i="12"/>
  <c r="A1595" i="12"/>
  <c r="B1595" i="12"/>
  <c r="A1596" i="12"/>
  <c r="B1596" i="12"/>
  <c r="A1597" i="12"/>
  <c r="B1597" i="12"/>
  <c r="A1598" i="12"/>
  <c r="B1598" i="12"/>
  <c r="A1599" i="12"/>
  <c r="B1599" i="12"/>
  <c r="A1600" i="12"/>
  <c r="B1600" i="12"/>
  <c r="A1601" i="12"/>
  <c r="B1601" i="12"/>
  <c r="A1602" i="12"/>
  <c r="B1602" i="12"/>
  <c r="A1603" i="12"/>
  <c r="B1603" i="12"/>
  <c r="A1604" i="12"/>
  <c r="B1604" i="12"/>
  <c r="A1605" i="12"/>
  <c r="B1605" i="12"/>
  <c r="A1606" i="12"/>
  <c r="B1606" i="12"/>
  <c r="A1607" i="12"/>
  <c r="B1607" i="12"/>
  <c r="A1608" i="12"/>
  <c r="B1608" i="12"/>
  <c r="A1609" i="12"/>
  <c r="B1609" i="12"/>
  <c r="A1610" i="12"/>
  <c r="B1610" i="12"/>
  <c r="A1611" i="12"/>
  <c r="B1611" i="12"/>
  <c r="A1612" i="12"/>
  <c r="B1612" i="12"/>
  <c r="A1613" i="12"/>
  <c r="B1613" i="12"/>
  <c r="A1614" i="12"/>
  <c r="B1614" i="12"/>
  <c r="A1615" i="12"/>
  <c r="B1615" i="12"/>
  <c r="A1616" i="12"/>
  <c r="B1616" i="12"/>
  <c r="A1617" i="12"/>
  <c r="B1617" i="12"/>
  <c r="A1618" i="12"/>
  <c r="B1618" i="12"/>
  <c r="A1619" i="12"/>
  <c r="B1619" i="12"/>
  <c r="A1620" i="12"/>
  <c r="B1620" i="12"/>
  <c r="A1621" i="12"/>
  <c r="B1621" i="12"/>
  <c r="A1622" i="12"/>
  <c r="B1622" i="12"/>
  <c r="A1623" i="12"/>
  <c r="B1623" i="12"/>
  <c r="A1624" i="12"/>
  <c r="B1624" i="12"/>
  <c r="A1625" i="12"/>
  <c r="B1625" i="12"/>
  <c r="A1626" i="12"/>
  <c r="B1626" i="12"/>
  <c r="A1627" i="12"/>
  <c r="B1627" i="12"/>
  <c r="A1628" i="12"/>
  <c r="B1628" i="12"/>
  <c r="A1629" i="12"/>
  <c r="B1629" i="12"/>
  <c r="A1630" i="12"/>
  <c r="B1630" i="12"/>
  <c r="A1631" i="12"/>
  <c r="B1631" i="12"/>
  <c r="A1632" i="12"/>
  <c r="B1632" i="12"/>
  <c r="A1633" i="12"/>
  <c r="B1633" i="12"/>
  <c r="A1634" i="12"/>
  <c r="B1634" i="12"/>
  <c r="A1635" i="12"/>
  <c r="B1635" i="12"/>
  <c r="A1636" i="12"/>
  <c r="B1636" i="12"/>
  <c r="A1637" i="12"/>
  <c r="B1637" i="12"/>
  <c r="A1638" i="12"/>
  <c r="B1638" i="12"/>
  <c r="A1639" i="12"/>
  <c r="B1639" i="12"/>
  <c r="A1640" i="12"/>
  <c r="B1640" i="12"/>
  <c r="A1641" i="12"/>
  <c r="B1641" i="12"/>
  <c r="A1642" i="12"/>
  <c r="B1642" i="12"/>
  <c r="A1643" i="12"/>
  <c r="B1643" i="12"/>
  <c r="A1644" i="12"/>
  <c r="B1644" i="12"/>
  <c r="A1645" i="12"/>
  <c r="B1645" i="12"/>
  <c r="A1646" i="12"/>
  <c r="B1646" i="12"/>
  <c r="A1647" i="12"/>
  <c r="B1647" i="12"/>
  <c r="A1648" i="12"/>
  <c r="B1648" i="12"/>
  <c r="A1649" i="12"/>
  <c r="B1649" i="12"/>
  <c r="A1650" i="12"/>
  <c r="B1650" i="12"/>
  <c r="A1651" i="12"/>
  <c r="B1651" i="12"/>
  <c r="A1652" i="12"/>
  <c r="B1652" i="12"/>
  <c r="A1653" i="12"/>
  <c r="B1653" i="12"/>
  <c r="A1654" i="12"/>
  <c r="B1654" i="12"/>
  <c r="A1655" i="12"/>
  <c r="B1655" i="12"/>
  <c r="A1656" i="12"/>
  <c r="B1656" i="12"/>
  <c r="A1657" i="12"/>
  <c r="B1657" i="12"/>
  <c r="A1658" i="12"/>
  <c r="B1658" i="12"/>
  <c r="A1659" i="12"/>
  <c r="B1659" i="12"/>
  <c r="A1660" i="12"/>
  <c r="B1660" i="12"/>
  <c r="A1661" i="12"/>
  <c r="B1661" i="12"/>
  <c r="A1662" i="12"/>
  <c r="B1662" i="12"/>
  <c r="A1663" i="12"/>
  <c r="B1663" i="12"/>
  <c r="A1664" i="12"/>
  <c r="B1664" i="12"/>
  <c r="A1665" i="12"/>
  <c r="B1665" i="12"/>
  <c r="A1666" i="12"/>
  <c r="B1666" i="12"/>
  <c r="A1667" i="12"/>
  <c r="B1667" i="12"/>
  <c r="A1668" i="12"/>
  <c r="B1668" i="12"/>
  <c r="A1669" i="12"/>
  <c r="B1669" i="12"/>
  <c r="A1670" i="12"/>
  <c r="B1670" i="12"/>
  <c r="A1671" i="12"/>
  <c r="B1671" i="12"/>
  <c r="A1672" i="12"/>
  <c r="B1672" i="12"/>
  <c r="A1673" i="12"/>
  <c r="B1673" i="12"/>
  <c r="A1674" i="12"/>
  <c r="B1674" i="12"/>
  <c r="A1675" i="12"/>
  <c r="B1675" i="12"/>
  <c r="A1676" i="12"/>
  <c r="B1676" i="12"/>
  <c r="A1677" i="12"/>
  <c r="B1677" i="12"/>
  <c r="A1678" i="12"/>
  <c r="B1678" i="12"/>
  <c r="A1679" i="12"/>
  <c r="B1679" i="12"/>
  <c r="A1680" i="12"/>
  <c r="B1680" i="12"/>
  <c r="A1681" i="12"/>
  <c r="B1681" i="12"/>
  <c r="A1682" i="12"/>
  <c r="B1682" i="12"/>
  <c r="A1683" i="12"/>
  <c r="B1683" i="12"/>
  <c r="A1684" i="12"/>
  <c r="B1684" i="12"/>
  <c r="A1685" i="12"/>
  <c r="B1685" i="12"/>
  <c r="A1686" i="12"/>
  <c r="B1686" i="12"/>
  <c r="A1688" i="12"/>
  <c r="B1688" i="12"/>
  <c r="A1689" i="12"/>
  <c r="B1689" i="12"/>
  <c r="A1690" i="12"/>
  <c r="B1690" i="12"/>
  <c r="A1691" i="12"/>
  <c r="B1691" i="12"/>
  <c r="A1692" i="12"/>
  <c r="B1692" i="12"/>
  <c r="A1693" i="12"/>
  <c r="B1693" i="12"/>
  <c r="A1694" i="12"/>
  <c r="B1694" i="12"/>
  <c r="A1695" i="12"/>
  <c r="B1695" i="12"/>
  <c r="A1696" i="12"/>
  <c r="B1696" i="12"/>
  <c r="A1697" i="12"/>
  <c r="B1697" i="12"/>
  <c r="A1698" i="12"/>
  <c r="B1698" i="12"/>
  <c r="A1699" i="12"/>
  <c r="B1699" i="12"/>
  <c r="A1700" i="12"/>
  <c r="B1700" i="12"/>
  <c r="A1701" i="12"/>
  <c r="B1701" i="12"/>
  <c r="A1702" i="12"/>
  <c r="B1702" i="12"/>
  <c r="A1703" i="12"/>
  <c r="B1703" i="12"/>
  <c r="A1704" i="12"/>
  <c r="B1704" i="12"/>
  <c r="A1705" i="12"/>
  <c r="B1705" i="12"/>
  <c r="A1706" i="12"/>
  <c r="B1706" i="12"/>
  <c r="A1707" i="12"/>
  <c r="B1707" i="12"/>
  <c r="A1708" i="12"/>
  <c r="B1708" i="12"/>
  <c r="A1709" i="12"/>
  <c r="B1709" i="12"/>
  <c r="A1710" i="12"/>
  <c r="B1710" i="12"/>
  <c r="A1711" i="12"/>
  <c r="B1711" i="12"/>
  <c r="A1712" i="12"/>
  <c r="B1712" i="12"/>
  <c r="A1713" i="12"/>
  <c r="B1713" i="12"/>
  <c r="A1714" i="12"/>
  <c r="B1714" i="12"/>
  <c r="A1715" i="12"/>
  <c r="B1715" i="12"/>
  <c r="A1716" i="12"/>
  <c r="B1716" i="12"/>
  <c r="A1717" i="12"/>
  <c r="B1717" i="12"/>
  <c r="A1718" i="12"/>
  <c r="B1718" i="12"/>
  <c r="A1719" i="12"/>
  <c r="B1719" i="12"/>
  <c r="A1720" i="12"/>
  <c r="B1720" i="12"/>
  <c r="B1721" i="12"/>
  <c r="A1722" i="12"/>
  <c r="B1722" i="12"/>
  <c r="A1723" i="12"/>
  <c r="B1723" i="12"/>
  <c r="A1724" i="12"/>
  <c r="B1724" i="12"/>
  <c r="A1725" i="12"/>
  <c r="B1725" i="12"/>
  <c r="A1726" i="12"/>
  <c r="B1726" i="12"/>
  <c r="A1727" i="12"/>
  <c r="B1727" i="12"/>
  <c r="A1728" i="12"/>
  <c r="B1728" i="12"/>
  <c r="A1729" i="12"/>
  <c r="B1729" i="12"/>
  <c r="A1730" i="12"/>
  <c r="B1730" i="12"/>
  <c r="A1731" i="12"/>
  <c r="B1731" i="12"/>
  <c r="A1732" i="12"/>
  <c r="B1732" i="12"/>
  <c r="A1733" i="12"/>
  <c r="B1733" i="12"/>
  <c r="A1734" i="12"/>
  <c r="B1734" i="12"/>
  <c r="A1735" i="12"/>
  <c r="B1735" i="12"/>
  <c r="A1736" i="12"/>
  <c r="B1736" i="12"/>
  <c r="A1737" i="12"/>
  <c r="B1737" i="12"/>
  <c r="A1738" i="12"/>
  <c r="B1738" i="12"/>
  <c r="A1739" i="12"/>
  <c r="B1739" i="12"/>
  <c r="A1740" i="12"/>
  <c r="B1740" i="12"/>
  <c r="A1741" i="12"/>
  <c r="B1741" i="12"/>
  <c r="A1742" i="12"/>
  <c r="B1742" i="12"/>
  <c r="A1743" i="12"/>
  <c r="B1743" i="12"/>
  <c r="A1744" i="12"/>
  <c r="B1744" i="12"/>
  <c r="A1745" i="12"/>
  <c r="B1745" i="12"/>
  <c r="A1746" i="12"/>
  <c r="B1746" i="12"/>
  <c r="A1747" i="12"/>
  <c r="B1747" i="12"/>
  <c r="A1748" i="12"/>
  <c r="B1748" i="12"/>
  <c r="A1749" i="12"/>
  <c r="B1749" i="12"/>
  <c r="A1750" i="12"/>
  <c r="B1750" i="12"/>
  <c r="A1751" i="12"/>
  <c r="B1751" i="12"/>
  <c r="A1752" i="12"/>
  <c r="B1752" i="12"/>
  <c r="A1753" i="12"/>
  <c r="B1753" i="12"/>
  <c r="A1754" i="12"/>
  <c r="B1754" i="12"/>
  <c r="A1755" i="12"/>
  <c r="B1755" i="12"/>
  <c r="A1756" i="12"/>
  <c r="B1756" i="12"/>
  <c r="A1757" i="12"/>
  <c r="B1757" i="12"/>
  <c r="A1758" i="12"/>
  <c r="B1758" i="12"/>
  <c r="A1759" i="12"/>
  <c r="B1759" i="12"/>
  <c r="A1760" i="12"/>
  <c r="B1760" i="12"/>
  <c r="A1761" i="12"/>
  <c r="B1761" i="12"/>
  <c r="A1762" i="12"/>
  <c r="B1762" i="12"/>
  <c r="A1763" i="12"/>
  <c r="B1763" i="12"/>
  <c r="A1764" i="12"/>
  <c r="B1764" i="12"/>
  <c r="A1765" i="12"/>
  <c r="B1765" i="12"/>
  <c r="A1766" i="12"/>
  <c r="B1766" i="12"/>
  <c r="A1767" i="12"/>
  <c r="B1767" i="12"/>
  <c r="A1769" i="12"/>
  <c r="B1769" i="12"/>
  <c r="A1770" i="12"/>
  <c r="B1770" i="12"/>
  <c r="A1771" i="12"/>
  <c r="B1771" i="12"/>
  <c r="A1772" i="12"/>
  <c r="B1772" i="12"/>
  <c r="A1773" i="12"/>
  <c r="B1773" i="12"/>
  <c r="A1774" i="12"/>
  <c r="A1775" i="12"/>
  <c r="B1775" i="12"/>
  <c r="A1776" i="12"/>
  <c r="B1776" i="12"/>
  <c r="A1777" i="12"/>
  <c r="B1777" i="12"/>
  <c r="A1778" i="12"/>
  <c r="B1778" i="12"/>
  <c r="A1779" i="12"/>
  <c r="B1779" i="12"/>
  <c r="A1780" i="12"/>
  <c r="B1780" i="12"/>
  <c r="A1781" i="12"/>
  <c r="B1781" i="12"/>
  <c r="A1783" i="12"/>
  <c r="B1783" i="12"/>
  <c r="A1784" i="12"/>
  <c r="B1784" i="12"/>
  <c r="A1785" i="12"/>
  <c r="B1785" i="12"/>
  <c r="A1786" i="12"/>
  <c r="B1786" i="12"/>
  <c r="A1787" i="12"/>
  <c r="B1787" i="12"/>
  <c r="A1788" i="12"/>
  <c r="B1788" i="12"/>
  <c r="A1789" i="12"/>
  <c r="B1789" i="12"/>
  <c r="A1790" i="12"/>
  <c r="B1790" i="12"/>
  <c r="A1791" i="12"/>
  <c r="B1791" i="12"/>
  <c r="A1792" i="12"/>
  <c r="B1792" i="12"/>
  <c r="A1793" i="12"/>
  <c r="B1793" i="12"/>
  <c r="A1794" i="12"/>
  <c r="B1794" i="12"/>
  <c r="A1795" i="12"/>
  <c r="B1795" i="12"/>
  <c r="A1796" i="12"/>
  <c r="B1796" i="12"/>
  <c r="A1797" i="12"/>
  <c r="B1797" i="12"/>
  <c r="A1798" i="12"/>
  <c r="B1798" i="12"/>
  <c r="A1799" i="12"/>
  <c r="B1799" i="12"/>
  <c r="A1800" i="12"/>
  <c r="B1800" i="12"/>
  <c r="A1801" i="12"/>
  <c r="B1801" i="12"/>
  <c r="A1802" i="12"/>
  <c r="B1802" i="12"/>
  <c r="A1803" i="12"/>
  <c r="B1803" i="12"/>
  <c r="A1804" i="12"/>
  <c r="B1804" i="12"/>
  <c r="A1805" i="12"/>
  <c r="B1805" i="12"/>
  <c r="A1806" i="12"/>
  <c r="B1806" i="12"/>
  <c r="A1807" i="12"/>
  <c r="B1807" i="12"/>
  <c r="A1808" i="12"/>
  <c r="B1808" i="12"/>
  <c r="A1809" i="12"/>
  <c r="B1809" i="12"/>
  <c r="A1810" i="12"/>
  <c r="B1810" i="12"/>
  <c r="A1811" i="12"/>
  <c r="B1811" i="12"/>
  <c r="A1812" i="12"/>
  <c r="B1812" i="12"/>
  <c r="A1813" i="12"/>
  <c r="B1813" i="12"/>
  <c r="A1814" i="12"/>
  <c r="B1814" i="12"/>
  <c r="A1815" i="12"/>
  <c r="B1815" i="12"/>
  <c r="A1816" i="12"/>
  <c r="B1816" i="12"/>
  <c r="A1817" i="12"/>
  <c r="B1817" i="12"/>
  <c r="A1818" i="12"/>
  <c r="B1818" i="12"/>
  <c r="A1819" i="12"/>
  <c r="B1819" i="12"/>
  <c r="A1820" i="12"/>
  <c r="B1820" i="12"/>
  <c r="A1821" i="12"/>
  <c r="B1821" i="12"/>
  <c r="A1822" i="12"/>
  <c r="B1822" i="12"/>
  <c r="A1823" i="12"/>
  <c r="B1823" i="12"/>
  <c r="A1824" i="12"/>
  <c r="B1824" i="12"/>
  <c r="A1825" i="12"/>
  <c r="B1825" i="12"/>
  <c r="A1826" i="12"/>
  <c r="B1826" i="12"/>
  <c r="A1827" i="12"/>
  <c r="B1827" i="12"/>
  <c r="A1828" i="12"/>
  <c r="B1828" i="12"/>
  <c r="A1829" i="12"/>
  <c r="B1829" i="12"/>
  <c r="A1830" i="12"/>
  <c r="B1830" i="12"/>
  <c r="A1831" i="12"/>
  <c r="B1831" i="12"/>
  <c r="A1832" i="12"/>
  <c r="B1832" i="12"/>
  <c r="A1833" i="12"/>
  <c r="B1833" i="12"/>
  <c r="A1834" i="12"/>
  <c r="B1834" i="12"/>
  <c r="A1835" i="12"/>
  <c r="B1835" i="12"/>
  <c r="A1836" i="12"/>
  <c r="B1836" i="12"/>
  <c r="A1837" i="12"/>
  <c r="B1837" i="12"/>
  <c r="A1838" i="12"/>
  <c r="B1838" i="12"/>
  <c r="A1839" i="12"/>
  <c r="B1839" i="12"/>
  <c r="A1840" i="12"/>
  <c r="B1840" i="12"/>
  <c r="A1841" i="12"/>
  <c r="B1841" i="12"/>
  <c r="A1842" i="12"/>
  <c r="B1842" i="12"/>
  <c r="A1843" i="12"/>
  <c r="B1843" i="12"/>
  <c r="A1844" i="12"/>
  <c r="B1844" i="12"/>
  <c r="A1845" i="12"/>
  <c r="B1845" i="12"/>
  <c r="A1846" i="12"/>
  <c r="B1846" i="12"/>
  <c r="A1847" i="12"/>
  <c r="B1847" i="12"/>
  <c r="A1848" i="12"/>
  <c r="B1848" i="12"/>
  <c r="A1849" i="12"/>
  <c r="B1849" i="12"/>
  <c r="A1850" i="12"/>
  <c r="B1850" i="12"/>
  <c r="A1851" i="12"/>
  <c r="B1851" i="12"/>
  <c r="A1852" i="12"/>
  <c r="B1852" i="12"/>
  <c r="A1853" i="12"/>
  <c r="B1853" i="12"/>
  <c r="A1854" i="12"/>
  <c r="B1854" i="12"/>
  <c r="A1855" i="12"/>
  <c r="B1855" i="12"/>
  <c r="A1856" i="12"/>
  <c r="B1856" i="12"/>
  <c r="A1857" i="12"/>
  <c r="B1857" i="12"/>
  <c r="A1858" i="12"/>
  <c r="B1858" i="12"/>
  <c r="A1859" i="12"/>
  <c r="B1859" i="12"/>
  <c r="A1860" i="12"/>
  <c r="B1860" i="12"/>
  <c r="A1861" i="12"/>
  <c r="B1861" i="12"/>
  <c r="A1862" i="12"/>
  <c r="B1862" i="12"/>
  <c r="A1863" i="12"/>
  <c r="B1863" i="12"/>
  <c r="A1864" i="12"/>
  <c r="B1864" i="12"/>
  <c r="A1865" i="12"/>
  <c r="B1865" i="12"/>
  <c r="A1866" i="12"/>
  <c r="B1866" i="12"/>
  <c r="A1867" i="12"/>
  <c r="B1867" i="12"/>
  <c r="A1868" i="12"/>
  <c r="B1868" i="12"/>
  <c r="A1869" i="12"/>
  <c r="B1869" i="12"/>
  <c r="A1870" i="12"/>
  <c r="B1870" i="12"/>
  <c r="A1871" i="12"/>
  <c r="B1871" i="12"/>
  <c r="A1872" i="12"/>
  <c r="B1872" i="12"/>
  <c r="A1873" i="12"/>
  <c r="B1873" i="12"/>
  <c r="A1874" i="12"/>
  <c r="B1874" i="12"/>
  <c r="A1875" i="12"/>
  <c r="B1875" i="12"/>
  <c r="A1876" i="12"/>
  <c r="B1876" i="12"/>
  <c r="A1877" i="12"/>
  <c r="B1877" i="12"/>
  <c r="A1878" i="12"/>
  <c r="B1878" i="12"/>
  <c r="A1879" i="12"/>
  <c r="B1879" i="12"/>
  <c r="A1880" i="12"/>
  <c r="B1880" i="12"/>
  <c r="A1881" i="12"/>
  <c r="B1881" i="12"/>
  <c r="A1882" i="12"/>
  <c r="B1882" i="12"/>
  <c r="A1883" i="12"/>
  <c r="B1883" i="12"/>
  <c r="A1884" i="12"/>
  <c r="B1884" i="12"/>
  <c r="A1885" i="12"/>
  <c r="B1885" i="12"/>
  <c r="A1886" i="12"/>
  <c r="B1886" i="12"/>
  <c r="A1887" i="12"/>
  <c r="B1887" i="12"/>
  <c r="A1888" i="12"/>
  <c r="B1888" i="12"/>
  <c r="A1889" i="12"/>
  <c r="B1889" i="12"/>
  <c r="A1890" i="12"/>
  <c r="B1890" i="12"/>
  <c r="A1891" i="12"/>
  <c r="B1891" i="12"/>
  <c r="A1892" i="12"/>
  <c r="B1892" i="12"/>
  <c r="A1893" i="12"/>
  <c r="B1893" i="12"/>
  <c r="A1894" i="12"/>
  <c r="B1894" i="12"/>
  <c r="A1895" i="12"/>
  <c r="B1895" i="12"/>
  <c r="A1896" i="12"/>
  <c r="B1896" i="12"/>
  <c r="A1897" i="12"/>
  <c r="B1897" i="12"/>
  <c r="A1898" i="12"/>
  <c r="B1898" i="12"/>
  <c r="A1899" i="12"/>
  <c r="B1899" i="12"/>
  <c r="A1900" i="12"/>
  <c r="B1900" i="12"/>
  <c r="A1901" i="12"/>
  <c r="B1901" i="12"/>
  <c r="A1902" i="12"/>
  <c r="B1902" i="12"/>
  <c r="A1903" i="12"/>
  <c r="B1903" i="12"/>
  <c r="A1904" i="12"/>
  <c r="B1904" i="12"/>
  <c r="A1905" i="12"/>
  <c r="B1905" i="12"/>
  <c r="A1906" i="12"/>
  <c r="B1906" i="12"/>
  <c r="A1907" i="12"/>
  <c r="B1907" i="12"/>
  <c r="A1908" i="12"/>
  <c r="B1908" i="12"/>
  <c r="A1909" i="12"/>
  <c r="B1909" i="12"/>
  <c r="A1910" i="12"/>
  <c r="B1910" i="12"/>
  <c r="A1911" i="12"/>
  <c r="B1911" i="12"/>
  <c r="A1912" i="12"/>
  <c r="B1912" i="12"/>
  <c r="A1913" i="12"/>
  <c r="B1913" i="12"/>
  <c r="A1914" i="12"/>
  <c r="B1914" i="12"/>
  <c r="A1915" i="12"/>
  <c r="B1915" i="12"/>
  <c r="A1916" i="12"/>
  <c r="B1916" i="12"/>
  <c r="A1917" i="12"/>
  <c r="B1917" i="12"/>
  <c r="A1918" i="12"/>
  <c r="B1918" i="12"/>
  <c r="A1919" i="12"/>
  <c r="B1919" i="12"/>
  <c r="A1920" i="12"/>
  <c r="B1920" i="12"/>
  <c r="A1921" i="12"/>
  <c r="B1921" i="12"/>
  <c r="A1922" i="12"/>
  <c r="B1922" i="12"/>
  <c r="A1923" i="12"/>
  <c r="B1923" i="12"/>
  <c r="A1924" i="12"/>
  <c r="B1924" i="12"/>
  <c r="A1925" i="12"/>
  <c r="B1925" i="12"/>
  <c r="A1926" i="12"/>
  <c r="B1926" i="12"/>
  <c r="A1927" i="12"/>
  <c r="B1927" i="12"/>
  <c r="A1928" i="12"/>
  <c r="B1928" i="12"/>
  <c r="A1929" i="12"/>
  <c r="B1929" i="12"/>
  <c r="A1930" i="12"/>
  <c r="B1930" i="12"/>
  <c r="A1931" i="12"/>
  <c r="B1931" i="12"/>
  <c r="A1932" i="12"/>
  <c r="B1932" i="12"/>
  <c r="A1933" i="12"/>
  <c r="B1933" i="12"/>
  <c r="A1934" i="12"/>
  <c r="B1934" i="12"/>
  <c r="A1935" i="12"/>
  <c r="B1935" i="12"/>
  <c r="A1936" i="12"/>
  <c r="B1936" i="12"/>
  <c r="A1937" i="12"/>
  <c r="B1937" i="12"/>
  <c r="A1938" i="12"/>
  <c r="B1938" i="12"/>
  <c r="A1939" i="12"/>
  <c r="B1939" i="12"/>
  <c r="A1940" i="12"/>
  <c r="B1940" i="12"/>
  <c r="A1941" i="12"/>
  <c r="B1941" i="12"/>
  <c r="A1942" i="12"/>
  <c r="B1942" i="12"/>
  <c r="A1943" i="12"/>
  <c r="B1943" i="12"/>
  <c r="A1944" i="12"/>
  <c r="B1944" i="12"/>
  <c r="A1945" i="12"/>
  <c r="B1945" i="12"/>
  <c r="A1946" i="12"/>
  <c r="B1946" i="12"/>
  <c r="A1947" i="12"/>
  <c r="B1947" i="12"/>
  <c r="A1948" i="12"/>
  <c r="B1948" i="12"/>
  <c r="A1949" i="12"/>
  <c r="B1949" i="12"/>
  <c r="A1950" i="12"/>
  <c r="B1950" i="12"/>
  <c r="A1951" i="12"/>
  <c r="B1951" i="12"/>
  <c r="A1952" i="12"/>
  <c r="B1952" i="12"/>
  <c r="A1953" i="12"/>
  <c r="B1953" i="12"/>
  <c r="A1954" i="12"/>
  <c r="B1954" i="12"/>
  <c r="A1955" i="12"/>
  <c r="B1955" i="12"/>
  <c r="A1956" i="12"/>
  <c r="B1956" i="12"/>
  <c r="A1957" i="12"/>
  <c r="B1957" i="12"/>
  <c r="A1959" i="12"/>
  <c r="B1959" i="12"/>
  <c r="A1960" i="12"/>
  <c r="B1960" i="12"/>
  <c r="A1961" i="12"/>
  <c r="B1961" i="12"/>
  <c r="A1962" i="12"/>
  <c r="B1962" i="12"/>
  <c r="A1963" i="12"/>
  <c r="B1963" i="12"/>
  <c r="A1964" i="12"/>
  <c r="B1964" i="12"/>
  <c r="A1965" i="12"/>
  <c r="B1965" i="12"/>
  <c r="A1966" i="12"/>
  <c r="B1966" i="12"/>
  <c r="A1967" i="12"/>
  <c r="B1967" i="12"/>
  <c r="A1968" i="12"/>
  <c r="B1968" i="12"/>
  <c r="A1969" i="12"/>
  <c r="B1969" i="12"/>
  <c r="A1970" i="12"/>
  <c r="B1970" i="12"/>
  <c r="A1971" i="12"/>
  <c r="B1971" i="12"/>
  <c r="A1972" i="12"/>
  <c r="B1972" i="12"/>
  <c r="A1973" i="12"/>
  <c r="B1973" i="12"/>
  <c r="A1974" i="12"/>
  <c r="B1974" i="12"/>
  <c r="A1975" i="12"/>
  <c r="B1975" i="12"/>
  <c r="A1976" i="12"/>
  <c r="B1976" i="12"/>
  <c r="A1977" i="12"/>
  <c r="B1977" i="12"/>
  <c r="A1978" i="12"/>
  <c r="B1978" i="12"/>
  <c r="A1979" i="12"/>
  <c r="B1979" i="12"/>
  <c r="A1980" i="12"/>
  <c r="B1980" i="12"/>
  <c r="A1981" i="12"/>
  <c r="B1981" i="12"/>
  <c r="A1982" i="12"/>
  <c r="B1982" i="12"/>
  <c r="A1983" i="12"/>
  <c r="B1983" i="12"/>
  <c r="A1984" i="12"/>
  <c r="B1984" i="12"/>
  <c r="A1985" i="12"/>
  <c r="B1985" i="12"/>
  <c r="A1986" i="12"/>
  <c r="B1986" i="12"/>
  <c r="A1987" i="12"/>
  <c r="B1987" i="12"/>
  <c r="A1988" i="12"/>
  <c r="B1988" i="12"/>
  <c r="A1989" i="12"/>
  <c r="B1989" i="12"/>
  <c r="A1990" i="12"/>
  <c r="B1990" i="12"/>
  <c r="A1991" i="12"/>
  <c r="B1991" i="12"/>
  <c r="A1992" i="12"/>
  <c r="B1992" i="12"/>
  <c r="A1993" i="12"/>
  <c r="B1993" i="12"/>
  <c r="A1994" i="12"/>
  <c r="B1994" i="12"/>
  <c r="A1996" i="12"/>
  <c r="B1996" i="12"/>
  <c r="A1997" i="12"/>
  <c r="B1997" i="12"/>
  <c r="A1998" i="12"/>
  <c r="B1998" i="12"/>
  <c r="A1999" i="12"/>
  <c r="B1999" i="12"/>
  <c r="A2000" i="12"/>
  <c r="B2000" i="12"/>
  <c r="A2001" i="12"/>
  <c r="B2001" i="12"/>
  <c r="A2002" i="12"/>
  <c r="B2002" i="12"/>
  <c r="A2003" i="12"/>
  <c r="B2003" i="12"/>
  <c r="A2004" i="12"/>
  <c r="B2004" i="12"/>
  <c r="A2005" i="12"/>
  <c r="B2005" i="12"/>
  <c r="A2006" i="12"/>
  <c r="B2006" i="12"/>
  <c r="A2007" i="12"/>
  <c r="B2007" i="12"/>
  <c r="A2008" i="12"/>
  <c r="B2008" i="12"/>
  <c r="A2009" i="12"/>
  <c r="B2009" i="12"/>
  <c r="A2010" i="12"/>
  <c r="B2010" i="12"/>
  <c r="A2011" i="12"/>
  <c r="B2011" i="12"/>
  <c r="A2012" i="12"/>
  <c r="B2012" i="12"/>
  <c r="A2013" i="12"/>
  <c r="B2013" i="12"/>
  <c r="A2014" i="12"/>
  <c r="B2014" i="12"/>
  <c r="A2015" i="12"/>
  <c r="B2015" i="12"/>
  <c r="A2016" i="12"/>
  <c r="B2016" i="12"/>
  <c r="A2017" i="12"/>
  <c r="B2017" i="12"/>
  <c r="A2018" i="12"/>
  <c r="B2018" i="12"/>
  <c r="A2019" i="12"/>
  <c r="B2019" i="12"/>
  <c r="A2020" i="12"/>
  <c r="B2020" i="12"/>
  <c r="A2021" i="12"/>
  <c r="B2021" i="12"/>
  <c r="A2022" i="12"/>
  <c r="B2022" i="12"/>
  <c r="A2023" i="12"/>
  <c r="B2023" i="12"/>
  <c r="A2024" i="12"/>
  <c r="B2024" i="12"/>
  <c r="A2025" i="12"/>
  <c r="B2025" i="12"/>
  <c r="A2026" i="12"/>
  <c r="B2026" i="12"/>
  <c r="A2027" i="12"/>
  <c r="B2027" i="12"/>
  <c r="A2028" i="12"/>
  <c r="B2028" i="12"/>
  <c r="A2029" i="12"/>
  <c r="B2029" i="12"/>
  <c r="A2030" i="12"/>
  <c r="B2030" i="12"/>
  <c r="A2031" i="12"/>
  <c r="B2031" i="12"/>
  <c r="A2032" i="12"/>
  <c r="B2032" i="12"/>
  <c r="A2033" i="12"/>
  <c r="B2033" i="12"/>
  <c r="A2034" i="12"/>
  <c r="B2034" i="12"/>
  <c r="A2035" i="12"/>
  <c r="B2035" i="12"/>
  <c r="A2036" i="12"/>
  <c r="B2036" i="12"/>
  <c r="A2037" i="12"/>
  <c r="B2037" i="12"/>
  <c r="A2038" i="12"/>
  <c r="B2038" i="12"/>
  <c r="A2039" i="12"/>
  <c r="B2039" i="12"/>
  <c r="A2040" i="12"/>
  <c r="B2040" i="12"/>
  <c r="A2041" i="12"/>
  <c r="B2041" i="12"/>
  <c r="A2042" i="12"/>
  <c r="B2042" i="12"/>
  <c r="A2043" i="12"/>
  <c r="B2043" i="12"/>
  <c r="A2044" i="12"/>
  <c r="B2044" i="12"/>
  <c r="A2045" i="12"/>
  <c r="B2045" i="12"/>
  <c r="A2046" i="12"/>
  <c r="B2046" i="12"/>
  <c r="A2047" i="12"/>
  <c r="B2047" i="12"/>
  <c r="A2048" i="12"/>
  <c r="B2048" i="12"/>
  <c r="A2049" i="12"/>
  <c r="B2049" i="12"/>
  <c r="A2050" i="12"/>
  <c r="B2050" i="12"/>
  <c r="A2051" i="12"/>
  <c r="B2051" i="12"/>
  <c r="A2052" i="12"/>
  <c r="B2052" i="12"/>
  <c r="A2053" i="12"/>
  <c r="B2053" i="12"/>
  <c r="A2054" i="12"/>
  <c r="B2054" i="12"/>
  <c r="A2055" i="12"/>
  <c r="B2055" i="12"/>
  <c r="A2056" i="12"/>
  <c r="B2056" i="12"/>
  <c r="A2057" i="12"/>
  <c r="B2057" i="12"/>
  <c r="A2058" i="12"/>
  <c r="B2058" i="12"/>
  <c r="A2059" i="12"/>
  <c r="B2059" i="12"/>
  <c r="A2060" i="12"/>
  <c r="B2060" i="12"/>
  <c r="A2061" i="12"/>
  <c r="B2061" i="12"/>
  <c r="A2062" i="12"/>
  <c r="B2062" i="12"/>
  <c r="A2063" i="12"/>
  <c r="B2063" i="12"/>
  <c r="A2064" i="12"/>
  <c r="B2064" i="12"/>
  <c r="A2065" i="12"/>
  <c r="B2065" i="12"/>
  <c r="A2066" i="12"/>
  <c r="B2066" i="12"/>
  <c r="A2067" i="12"/>
  <c r="B2067" i="12"/>
  <c r="A2068" i="12"/>
  <c r="B2068" i="12"/>
  <c r="A2069" i="12"/>
  <c r="B2069" i="12"/>
  <c r="A2070" i="12"/>
  <c r="B2070" i="12"/>
  <c r="A2071" i="12"/>
  <c r="B2071" i="12"/>
  <c r="A2072" i="12"/>
  <c r="B2072" i="12"/>
  <c r="A2073" i="12"/>
  <c r="B2073" i="12"/>
  <c r="A2074" i="12"/>
  <c r="B2074" i="12"/>
  <c r="A2075" i="12"/>
  <c r="B2075" i="12"/>
  <c r="A2076" i="12"/>
  <c r="B2076" i="12"/>
  <c r="A2077" i="12"/>
  <c r="B2077" i="12"/>
  <c r="A2078" i="12"/>
  <c r="B2078" i="12"/>
  <c r="A2079" i="12"/>
  <c r="B2079" i="12"/>
  <c r="A2080" i="12"/>
  <c r="B2080" i="12"/>
  <c r="A2081" i="12"/>
  <c r="B2081" i="12"/>
  <c r="A2082" i="12"/>
  <c r="B2082" i="12"/>
  <c r="A2083" i="12"/>
  <c r="B2083" i="12"/>
  <c r="A2084" i="12"/>
  <c r="B2084" i="12"/>
  <c r="A2085" i="12"/>
  <c r="B2085" i="12"/>
  <c r="A2086" i="12"/>
  <c r="B2086" i="12"/>
  <c r="A2087" i="12"/>
  <c r="B2087" i="12"/>
  <c r="A2088" i="12"/>
  <c r="B2088" i="12"/>
  <c r="A2089" i="12"/>
  <c r="B2089" i="12"/>
  <c r="A2090" i="12"/>
  <c r="B2090" i="12"/>
  <c r="A2091" i="12"/>
  <c r="B2091" i="12"/>
  <c r="A2092" i="12"/>
  <c r="B2092" i="12"/>
  <c r="A2093" i="12"/>
  <c r="B2093" i="12"/>
  <c r="A2094" i="12"/>
  <c r="B2094" i="12"/>
  <c r="A2095" i="12"/>
  <c r="B2095" i="12"/>
  <c r="A2096" i="12"/>
  <c r="B2096" i="12"/>
  <c r="A2097" i="12"/>
  <c r="B2097" i="12"/>
  <c r="A2098" i="12"/>
  <c r="B2098" i="12"/>
  <c r="A2099" i="12"/>
  <c r="B2099" i="12"/>
  <c r="A2100" i="12"/>
  <c r="B2100" i="12"/>
  <c r="A2101" i="12"/>
  <c r="B2101" i="12"/>
  <c r="A2102" i="12"/>
  <c r="B2102" i="12"/>
  <c r="A2103" i="12"/>
  <c r="B2103" i="12"/>
  <c r="A2104" i="12"/>
  <c r="B2104" i="12"/>
  <c r="A2105" i="12"/>
  <c r="B2105" i="12"/>
  <c r="A2106" i="12"/>
  <c r="B2106" i="12"/>
  <c r="A2107" i="12"/>
  <c r="B2107" i="12"/>
  <c r="A2108" i="12"/>
  <c r="B2108" i="12"/>
  <c r="A2109" i="12"/>
  <c r="B2109" i="12"/>
  <c r="A2110" i="12"/>
  <c r="B2110" i="12"/>
  <c r="A2111" i="12"/>
  <c r="B2111" i="12"/>
  <c r="A2112" i="12"/>
  <c r="B2112" i="12"/>
  <c r="A2113" i="12"/>
  <c r="B2113" i="12"/>
  <c r="A2114" i="12"/>
  <c r="B2114" i="12"/>
  <c r="A2115" i="12"/>
  <c r="B2115" i="12"/>
  <c r="A2116" i="12"/>
  <c r="B2116" i="12"/>
  <c r="A2117" i="12"/>
  <c r="B2117" i="12"/>
  <c r="A2118" i="12"/>
  <c r="B2118" i="12"/>
  <c r="A2119" i="12"/>
  <c r="B2119" i="12"/>
  <c r="A2120" i="12"/>
  <c r="B2120" i="12"/>
  <c r="A2121" i="12"/>
  <c r="B2121" i="12"/>
  <c r="A2122" i="12"/>
  <c r="B2122" i="12"/>
  <c r="A2123" i="12"/>
  <c r="B2123" i="12"/>
  <c r="A2124" i="12"/>
  <c r="B2124" i="12"/>
  <c r="A2125" i="12"/>
  <c r="B2125" i="12"/>
  <c r="A2126" i="12"/>
  <c r="B2126" i="12"/>
  <c r="A2127" i="12"/>
  <c r="B2127" i="12"/>
  <c r="A2128" i="12"/>
  <c r="B2128" i="12"/>
  <c r="A2129" i="12"/>
  <c r="B2129" i="12"/>
  <c r="A2130" i="12"/>
  <c r="B2130" i="12"/>
  <c r="A2131" i="12"/>
  <c r="B2131" i="12"/>
  <c r="A2132" i="12"/>
  <c r="B2132" i="12"/>
  <c r="A2133" i="12"/>
  <c r="B2133" i="12"/>
  <c r="A2134" i="12"/>
  <c r="B2134" i="12"/>
  <c r="A2135" i="12"/>
  <c r="B2135" i="12"/>
  <c r="A2136" i="12"/>
  <c r="B2136" i="12"/>
  <c r="A2137" i="12"/>
  <c r="B2137" i="12"/>
  <c r="A2138" i="12"/>
  <c r="B2138" i="12"/>
  <c r="A2139" i="12"/>
  <c r="B2139" i="12"/>
  <c r="A2140" i="12"/>
  <c r="B2140" i="12"/>
  <c r="A2141" i="12"/>
  <c r="B2141" i="12"/>
  <c r="A2142" i="12"/>
  <c r="B2142" i="12"/>
  <c r="A2143" i="12"/>
  <c r="B2143" i="12"/>
  <c r="A2144" i="12"/>
  <c r="B2144" i="12"/>
  <c r="A2145" i="12"/>
  <c r="B2145" i="12"/>
  <c r="A2146" i="12"/>
  <c r="B2146" i="12"/>
  <c r="A2147" i="12"/>
  <c r="B2147" i="12"/>
  <c r="A2148" i="12"/>
  <c r="B2148" i="12"/>
  <c r="A2149" i="12"/>
  <c r="B2149" i="12"/>
  <c r="A2150" i="12"/>
  <c r="B2150" i="12"/>
  <c r="A2151" i="12"/>
  <c r="B2151" i="12"/>
  <c r="A2152" i="12"/>
  <c r="B2152" i="12"/>
  <c r="A2153" i="12"/>
  <c r="B2153" i="12"/>
  <c r="A2154" i="12"/>
  <c r="B2154" i="12"/>
  <c r="A2155" i="12"/>
  <c r="B2155" i="12"/>
  <c r="A2156" i="12"/>
  <c r="B2156" i="12"/>
  <c r="A2157" i="12"/>
  <c r="B2157" i="12"/>
  <c r="A2158" i="12"/>
  <c r="B2158" i="12"/>
  <c r="A2159" i="12"/>
  <c r="B2159" i="12"/>
  <c r="A2160" i="12"/>
  <c r="B2160" i="12"/>
  <c r="A2161" i="12"/>
  <c r="B2161" i="12"/>
  <c r="A2162" i="12"/>
  <c r="B2162" i="12"/>
  <c r="A2163" i="12"/>
  <c r="B2163" i="12"/>
  <c r="A2164" i="12"/>
  <c r="B2164" i="12"/>
  <c r="A2165" i="12"/>
  <c r="B2165" i="12"/>
  <c r="A2166" i="12"/>
  <c r="B2166" i="12"/>
  <c r="A2167" i="12"/>
  <c r="B2167" i="12"/>
  <c r="A2168" i="12"/>
  <c r="B2168" i="12"/>
  <c r="A2169" i="12"/>
  <c r="B2169" i="12"/>
  <c r="A2170" i="12"/>
  <c r="B2170" i="12"/>
  <c r="A2171" i="12"/>
  <c r="B2171" i="12"/>
  <c r="A2172" i="12"/>
  <c r="B2172" i="12"/>
  <c r="A2173" i="12"/>
  <c r="B2173" i="12"/>
  <c r="A2174" i="12"/>
  <c r="B2174" i="12"/>
  <c r="A2175" i="12"/>
  <c r="B2175" i="12"/>
  <c r="A2176" i="12"/>
  <c r="B2176" i="12"/>
  <c r="A2177" i="12"/>
  <c r="B2177" i="12"/>
  <c r="A2178" i="12"/>
  <c r="B2178" i="12"/>
  <c r="A2179" i="12"/>
  <c r="B2179" i="12"/>
  <c r="A2180" i="12"/>
  <c r="B2180" i="12"/>
  <c r="A2181" i="12"/>
  <c r="B2181" i="12"/>
  <c r="A2182" i="12"/>
  <c r="B2182" i="12"/>
  <c r="A2183" i="12"/>
  <c r="B2183" i="12"/>
  <c r="A2184" i="12"/>
  <c r="B2184" i="12"/>
  <c r="A2185" i="12"/>
  <c r="B2185" i="12"/>
  <c r="A2186" i="12"/>
  <c r="B2186" i="12"/>
  <c r="A2187" i="12"/>
  <c r="B2187" i="12"/>
  <c r="A2188" i="12"/>
  <c r="B2188" i="12"/>
  <c r="A2189" i="12"/>
  <c r="B2189" i="12"/>
  <c r="A2190" i="12"/>
  <c r="B2190" i="12"/>
  <c r="A2191" i="12"/>
  <c r="B2191" i="12"/>
  <c r="A2192" i="12"/>
  <c r="B2192" i="12"/>
  <c r="A2193" i="12"/>
  <c r="B2193" i="12"/>
  <c r="A2194" i="12"/>
  <c r="B2194" i="12"/>
  <c r="A2195" i="12"/>
  <c r="B2195" i="12"/>
  <c r="A2196" i="12"/>
  <c r="B2196" i="12"/>
  <c r="A2197" i="12"/>
  <c r="B2197" i="12"/>
  <c r="A2198" i="12"/>
  <c r="B2198" i="12"/>
  <c r="A2199" i="12"/>
  <c r="B2199" i="12"/>
  <c r="A2200" i="12"/>
  <c r="B2200" i="12"/>
  <c r="A2201" i="12"/>
  <c r="B2201" i="12"/>
  <c r="A2202" i="12"/>
  <c r="B2202" i="12"/>
  <c r="A2203" i="12"/>
  <c r="B2203" i="12"/>
  <c r="A2204" i="12"/>
  <c r="B2204" i="12"/>
  <c r="A2205" i="12"/>
  <c r="B2205" i="12"/>
  <c r="A2206" i="12"/>
  <c r="B2206" i="12"/>
  <c r="A2207" i="12"/>
  <c r="B2207" i="12"/>
  <c r="A2208" i="12"/>
  <c r="B2208" i="12"/>
  <c r="A2209" i="12"/>
  <c r="B2209" i="12"/>
  <c r="A2210" i="12"/>
  <c r="B2210" i="12"/>
  <c r="A2211" i="12"/>
  <c r="B2211" i="12"/>
  <c r="A2212" i="12"/>
  <c r="B2212" i="12"/>
  <c r="A2214" i="12"/>
  <c r="B2214" i="12"/>
  <c r="A2215" i="12"/>
  <c r="B2215" i="12"/>
  <c r="A2216" i="12"/>
  <c r="B2216" i="12"/>
  <c r="A2217" i="12"/>
  <c r="B2217" i="12"/>
  <c r="A2218" i="12"/>
  <c r="B2218" i="12"/>
  <c r="A2219" i="12"/>
  <c r="B2219" i="12"/>
  <c r="A2220" i="12"/>
  <c r="B2220" i="12"/>
  <c r="A2221" i="12"/>
  <c r="B2221" i="12"/>
  <c r="A2222" i="12"/>
  <c r="B2222" i="12"/>
  <c r="A2223" i="12"/>
  <c r="B2223" i="12"/>
  <c r="A2224" i="12"/>
  <c r="B2224" i="12"/>
  <c r="A2225" i="12"/>
  <c r="B2225" i="12"/>
  <c r="A2226" i="12"/>
  <c r="B2226" i="12"/>
  <c r="A2227" i="12"/>
  <c r="B2227" i="12"/>
  <c r="A2229" i="12"/>
  <c r="B2229" i="12"/>
  <c r="A2230" i="12"/>
  <c r="B2230" i="12"/>
  <c r="A2231" i="12"/>
  <c r="B2231" i="12"/>
  <c r="A2232" i="12"/>
  <c r="B2232" i="12"/>
  <c r="A2233" i="12"/>
  <c r="B2233" i="12"/>
  <c r="A2234" i="12"/>
  <c r="B2234" i="12"/>
  <c r="A2235" i="12"/>
  <c r="B2235" i="12"/>
  <c r="A2236" i="12"/>
  <c r="B2236" i="12"/>
  <c r="A2237" i="12"/>
  <c r="B2237" i="12"/>
  <c r="A2238" i="12"/>
  <c r="B2238" i="12"/>
  <c r="A2239" i="12"/>
  <c r="B2239" i="12"/>
  <c r="A2240" i="12"/>
  <c r="B2240" i="12"/>
  <c r="A2241" i="12"/>
  <c r="B2241" i="12"/>
  <c r="A2242" i="12"/>
  <c r="B2242" i="12"/>
  <c r="A2243" i="12"/>
  <c r="B2243" i="12"/>
  <c r="A2244" i="12"/>
  <c r="B2244" i="12"/>
  <c r="A2245" i="12"/>
  <c r="B2245" i="12"/>
  <c r="A2246" i="12"/>
  <c r="B2246" i="12"/>
  <c r="A2247" i="12"/>
  <c r="B2247" i="12"/>
  <c r="A2248" i="12"/>
  <c r="B2248" i="12"/>
  <c r="A2249" i="12"/>
  <c r="B2249" i="12"/>
  <c r="A2250" i="12"/>
  <c r="B2250" i="12"/>
  <c r="A2251" i="12"/>
  <c r="B2251" i="12"/>
  <c r="A2252" i="12"/>
  <c r="B2252" i="12"/>
  <c r="A2253" i="12"/>
  <c r="B2253" i="12"/>
  <c r="A2254" i="12"/>
  <c r="B2254" i="12"/>
  <c r="A2255" i="12"/>
  <c r="B2255" i="12"/>
  <c r="A2256" i="12"/>
  <c r="B2256" i="12"/>
  <c r="A2257" i="12"/>
  <c r="B2257" i="12"/>
  <c r="A2258" i="12"/>
  <c r="B2258" i="12"/>
  <c r="A2259" i="12"/>
  <c r="B2259" i="12"/>
  <c r="A2260" i="12"/>
  <c r="B2260" i="12"/>
  <c r="A2261" i="12"/>
  <c r="B2261" i="12"/>
  <c r="A2262" i="12"/>
  <c r="B2262" i="12"/>
  <c r="A2263" i="12"/>
  <c r="B2263" i="12"/>
  <c r="A2264" i="12"/>
  <c r="B2264" i="12"/>
  <c r="A2265" i="12"/>
  <c r="B2265" i="12"/>
  <c r="A2266" i="12"/>
  <c r="B2266" i="12"/>
  <c r="A2267" i="12"/>
  <c r="B2267" i="12"/>
  <c r="A2268" i="12"/>
  <c r="B2268" i="12"/>
  <c r="A2269" i="12"/>
  <c r="B2269" i="12"/>
  <c r="A2270" i="12"/>
  <c r="B2270" i="12"/>
  <c r="A2271" i="12"/>
  <c r="B2271" i="12"/>
  <c r="A2272" i="12"/>
  <c r="B2272" i="12"/>
  <c r="A2273" i="12"/>
  <c r="B2273" i="12"/>
  <c r="A2274" i="12"/>
  <c r="B2274" i="12"/>
  <c r="A2275" i="12"/>
  <c r="B2275" i="12"/>
  <c r="A2276" i="12"/>
  <c r="B2276" i="12"/>
  <c r="A2277" i="12"/>
  <c r="B2277" i="12"/>
  <c r="A2278" i="12"/>
  <c r="B2278" i="12"/>
  <c r="A2279" i="12"/>
  <c r="B2279" i="12"/>
  <c r="A2280" i="12"/>
  <c r="B2280" i="12"/>
  <c r="A2281" i="12"/>
  <c r="B2281" i="12"/>
  <c r="A2282" i="12"/>
  <c r="B2282" i="12"/>
  <c r="A2283" i="12"/>
  <c r="B2283" i="12"/>
  <c r="A2284" i="12"/>
  <c r="B2284" i="12"/>
  <c r="A2285" i="12"/>
  <c r="B2285" i="12"/>
  <c r="A2286" i="12"/>
  <c r="B2286" i="12"/>
  <c r="A2287" i="12"/>
  <c r="B2287" i="12"/>
  <c r="A2288" i="12"/>
  <c r="B2288" i="12"/>
  <c r="A2289" i="12"/>
  <c r="B2289" i="12"/>
  <c r="A2290" i="12"/>
  <c r="B2290" i="12"/>
  <c r="A2291" i="12"/>
  <c r="B2291" i="12"/>
  <c r="A2292" i="12"/>
  <c r="B2292" i="12"/>
  <c r="A2293" i="12"/>
  <c r="B2293" i="12"/>
  <c r="A2294" i="12"/>
  <c r="B2294" i="12"/>
  <c r="A2295" i="12"/>
  <c r="B2295" i="12"/>
  <c r="A2296" i="12"/>
  <c r="B2296" i="12"/>
  <c r="A2297" i="12"/>
  <c r="B2297" i="12"/>
  <c r="A2298" i="12"/>
  <c r="B2298" i="12"/>
  <c r="A2299" i="12"/>
  <c r="B2299" i="12"/>
  <c r="A2300" i="12"/>
  <c r="B2300" i="12"/>
  <c r="A2301" i="12"/>
  <c r="B2301" i="12"/>
  <c r="A2302" i="12"/>
  <c r="B2302" i="12"/>
  <c r="A2303" i="12"/>
  <c r="B2303" i="12"/>
  <c r="A2304" i="12"/>
  <c r="B2304" i="12"/>
  <c r="A2305" i="12"/>
  <c r="B2305" i="12"/>
  <c r="A2306" i="12"/>
  <c r="B2306" i="12"/>
  <c r="A2307" i="12"/>
  <c r="B2307" i="12"/>
  <c r="A2308" i="12"/>
  <c r="B2308" i="12"/>
  <c r="A2309" i="12"/>
  <c r="B2309" i="12"/>
  <c r="A2310" i="12"/>
  <c r="B2310" i="12"/>
  <c r="A2311" i="12"/>
  <c r="B2311" i="12"/>
  <c r="A2312" i="12"/>
  <c r="B2312" i="12"/>
  <c r="A2313" i="12"/>
  <c r="B2313" i="12"/>
  <c r="A2314" i="12"/>
  <c r="B2314" i="12"/>
  <c r="A2315" i="12"/>
  <c r="B2315" i="12"/>
  <c r="A2316" i="12"/>
  <c r="B2316" i="12"/>
  <c r="A2317" i="12"/>
  <c r="B2317" i="12"/>
  <c r="A2318" i="12"/>
  <c r="B2318" i="12"/>
  <c r="A2319" i="12"/>
  <c r="B2319" i="12"/>
  <c r="A2320" i="12"/>
  <c r="B2320" i="12"/>
  <c r="A2321" i="12"/>
  <c r="B2321" i="12"/>
  <c r="A2322" i="12"/>
  <c r="B2322" i="12"/>
  <c r="A2323" i="12"/>
  <c r="B2323" i="12"/>
  <c r="A2324" i="12"/>
  <c r="B2324" i="12"/>
  <c r="A2325" i="12"/>
  <c r="B2325" i="12"/>
  <c r="A2326" i="12"/>
  <c r="B2326" i="12"/>
  <c r="A2327" i="12"/>
  <c r="B2327" i="12"/>
  <c r="A2328" i="12"/>
  <c r="B2328" i="12"/>
  <c r="A2329" i="12"/>
  <c r="B2329" i="12"/>
  <c r="A2330" i="12"/>
  <c r="B2330" i="12"/>
  <c r="A2331" i="12"/>
  <c r="B2331" i="12"/>
  <c r="A2332" i="12"/>
  <c r="B2332" i="12"/>
  <c r="A2333" i="12"/>
  <c r="B2333" i="12"/>
  <c r="A2334" i="12"/>
  <c r="B2334" i="12"/>
  <c r="A2335" i="12"/>
  <c r="B2335" i="12"/>
  <c r="A2336" i="12"/>
  <c r="B2336" i="12"/>
  <c r="A2337" i="12"/>
  <c r="B2337" i="12"/>
  <c r="A2338" i="12"/>
  <c r="B2338" i="12"/>
  <c r="A2339" i="12"/>
  <c r="B2339" i="12"/>
  <c r="A2340" i="12"/>
  <c r="B2340" i="12"/>
  <c r="A2341" i="12"/>
  <c r="B2341" i="12"/>
  <c r="A2342" i="12"/>
  <c r="B2342" i="12"/>
  <c r="A2343" i="12"/>
  <c r="B2343" i="12"/>
  <c r="A2344" i="12"/>
  <c r="B2344" i="12"/>
  <c r="A2345" i="12"/>
  <c r="B2345" i="12"/>
  <c r="A2346" i="12"/>
  <c r="B2346" i="12"/>
  <c r="A2347" i="12"/>
  <c r="B2347" i="12"/>
  <c r="A2348" i="12"/>
  <c r="B2348" i="12"/>
  <c r="A2349" i="12"/>
  <c r="B2349" i="12"/>
  <c r="A2350" i="12"/>
  <c r="B2350" i="12"/>
  <c r="A2351" i="12"/>
  <c r="B2351" i="12"/>
  <c r="A2352" i="12"/>
  <c r="B2352" i="12"/>
  <c r="A2353" i="12"/>
  <c r="B2353" i="12"/>
  <c r="A2354" i="12"/>
  <c r="B2354" i="12"/>
  <c r="A2355" i="12"/>
  <c r="B2355" i="12"/>
  <c r="A2356" i="12"/>
  <c r="B2356" i="12"/>
  <c r="A2357" i="12"/>
  <c r="B2357" i="12"/>
  <c r="A2358" i="12"/>
  <c r="B2358" i="12"/>
  <c r="A2359" i="12"/>
  <c r="B2359" i="12"/>
  <c r="A2360" i="12"/>
  <c r="B2360" i="12"/>
  <c r="A2361" i="12"/>
  <c r="B2361" i="12"/>
  <c r="A2362" i="12"/>
  <c r="B2362" i="12"/>
  <c r="A2363" i="12"/>
  <c r="B2363" i="12"/>
  <c r="A2365" i="12"/>
  <c r="B2365" i="12"/>
  <c r="A2366" i="12"/>
  <c r="B2366" i="12"/>
  <c r="A2367" i="12"/>
  <c r="B2367" i="12"/>
  <c r="A2368" i="12"/>
  <c r="B2368" i="12"/>
  <c r="A2369" i="12"/>
  <c r="B2369" i="12"/>
  <c r="A2370" i="12"/>
  <c r="B2370" i="12"/>
  <c r="A2371" i="12"/>
  <c r="B2371" i="12"/>
  <c r="A2372" i="12"/>
  <c r="B2372" i="12"/>
  <c r="A2373" i="12"/>
  <c r="B2373" i="12"/>
  <c r="A2375" i="12"/>
  <c r="B2375" i="12"/>
  <c r="A2376" i="12"/>
  <c r="B2376" i="12"/>
  <c r="A2377" i="12"/>
  <c r="B2377" i="12"/>
  <c r="A2378" i="12"/>
  <c r="B2378" i="12"/>
  <c r="A2379" i="12"/>
  <c r="B2379" i="12"/>
  <c r="A2380" i="12"/>
  <c r="B2380" i="12"/>
  <c r="A2381" i="12"/>
  <c r="B2381" i="12"/>
  <c r="A2382" i="12"/>
  <c r="B2382" i="12"/>
  <c r="A2383" i="12"/>
  <c r="B2383" i="12"/>
  <c r="A2384" i="12"/>
  <c r="B2384" i="12"/>
  <c r="A2385" i="12"/>
  <c r="B2385" i="12"/>
  <c r="A2386" i="12"/>
  <c r="B2386" i="12"/>
  <c r="A2387" i="12"/>
  <c r="B2387" i="12"/>
  <c r="A2388" i="12"/>
  <c r="B2388" i="12"/>
  <c r="A2389" i="12"/>
  <c r="B2389" i="12"/>
  <c r="A2390" i="12"/>
  <c r="B2390" i="12"/>
  <c r="A2391" i="12"/>
  <c r="B2391" i="12"/>
  <c r="A2392" i="12"/>
  <c r="B2392" i="12"/>
  <c r="A2393" i="12"/>
  <c r="B2393" i="12"/>
  <c r="A2394" i="12"/>
  <c r="B2394" i="12"/>
  <c r="A2395" i="12"/>
  <c r="B2395" i="12"/>
  <c r="A2396" i="12"/>
  <c r="B2396" i="12"/>
  <c r="A2397" i="12"/>
  <c r="B2397" i="12"/>
  <c r="A2398" i="12"/>
  <c r="B2398" i="12"/>
  <c r="A2399" i="12"/>
  <c r="B2399" i="12"/>
  <c r="A2400" i="12"/>
  <c r="B2400" i="12"/>
  <c r="A2401" i="12"/>
  <c r="B2401" i="12"/>
  <c r="A2402" i="12"/>
  <c r="B2402" i="12"/>
  <c r="A2403" i="12"/>
  <c r="B2403" i="12"/>
  <c r="A2404" i="12"/>
  <c r="B2404" i="12"/>
  <c r="A2405" i="12"/>
  <c r="B2405" i="12"/>
  <c r="A2406" i="12"/>
  <c r="B2406" i="12"/>
  <c r="A2407" i="12"/>
  <c r="B2407" i="12"/>
  <c r="A2408" i="12"/>
  <c r="B2408" i="12"/>
  <c r="A2409" i="12"/>
  <c r="B2409" i="12"/>
  <c r="A2410" i="12"/>
  <c r="B2410" i="12"/>
  <c r="A2411" i="12"/>
  <c r="B2411" i="12"/>
  <c r="A2412" i="12"/>
  <c r="B2412" i="12"/>
  <c r="A2413" i="12"/>
  <c r="B2413" i="12"/>
  <c r="A2414" i="12"/>
  <c r="B2414" i="12"/>
  <c r="A2415" i="12"/>
  <c r="B2415" i="12"/>
  <c r="A2416" i="12"/>
  <c r="B2416" i="12"/>
  <c r="A2417" i="12"/>
  <c r="B2417" i="12"/>
  <c r="A2418" i="12"/>
  <c r="B2418" i="12"/>
  <c r="A2419" i="12"/>
  <c r="B2419" i="12"/>
  <c r="A2420" i="12"/>
  <c r="B2420" i="12"/>
  <c r="A2421" i="12"/>
  <c r="B2421" i="12"/>
  <c r="A2422" i="12"/>
  <c r="B2422" i="12"/>
  <c r="A2423" i="12"/>
  <c r="B2423" i="12"/>
  <c r="A2424" i="12"/>
  <c r="B2424" i="12"/>
  <c r="A2425" i="12"/>
  <c r="B2425" i="12"/>
  <c r="A2426" i="12"/>
  <c r="B2426" i="12"/>
  <c r="A2427" i="12"/>
  <c r="B2427" i="12"/>
  <c r="A2428" i="12"/>
  <c r="B2428" i="12"/>
  <c r="A2429" i="12"/>
  <c r="B2429" i="12"/>
  <c r="A2430" i="12"/>
  <c r="B2430" i="12"/>
  <c r="A2431" i="12"/>
  <c r="B2431" i="12"/>
  <c r="A2432" i="12"/>
  <c r="B2432" i="12"/>
  <c r="A2433" i="12"/>
  <c r="B2433" i="12"/>
  <c r="A2434" i="12"/>
  <c r="B2434" i="12"/>
  <c r="A2435" i="12"/>
  <c r="B2435" i="12"/>
  <c r="A2436" i="12"/>
  <c r="B2436" i="12"/>
  <c r="A2437" i="12"/>
  <c r="B2437" i="12"/>
  <c r="A2438" i="12"/>
  <c r="B2438" i="12"/>
  <c r="A2439" i="12"/>
  <c r="B2439" i="12"/>
  <c r="A2440" i="12"/>
  <c r="B2440" i="12"/>
  <c r="A2441" i="12"/>
  <c r="B2441" i="12"/>
  <c r="A2442" i="12"/>
  <c r="B2442" i="12"/>
  <c r="A2443" i="12"/>
  <c r="B2443" i="12"/>
  <c r="A2444" i="12"/>
  <c r="B2444" i="12"/>
  <c r="A2445" i="12"/>
  <c r="B2445" i="12"/>
  <c r="A2446" i="12"/>
  <c r="B2446" i="12"/>
  <c r="A2447" i="12"/>
  <c r="B2447" i="12"/>
  <c r="A2448" i="12"/>
  <c r="B2448" i="12"/>
  <c r="A2449" i="12"/>
  <c r="B2449" i="12"/>
  <c r="A2450" i="12"/>
  <c r="B2450" i="12"/>
  <c r="A2451" i="12"/>
  <c r="B2451" i="12"/>
  <c r="A2452" i="12"/>
  <c r="B2452" i="12"/>
  <c r="A2453" i="12"/>
  <c r="B2453" i="12"/>
  <c r="A2454" i="12"/>
  <c r="B2454" i="12"/>
  <c r="A2455" i="12"/>
  <c r="B2455" i="12"/>
  <c r="A2456" i="12"/>
  <c r="B2456" i="12"/>
  <c r="A2457" i="12"/>
  <c r="B2457" i="12"/>
  <c r="A2458" i="12"/>
  <c r="B2458" i="12"/>
  <c r="A2459" i="12"/>
  <c r="B2459" i="12"/>
  <c r="A2460" i="12"/>
  <c r="B2460" i="12"/>
  <c r="A2461" i="12"/>
  <c r="B2461" i="12"/>
  <c r="A2462" i="12"/>
  <c r="B2462" i="12"/>
  <c r="A2463" i="12"/>
  <c r="B2463" i="12"/>
  <c r="A2464" i="12"/>
  <c r="B2464" i="12"/>
  <c r="A2465" i="12"/>
  <c r="B2465" i="12"/>
  <c r="A2484" i="12"/>
  <c r="B2484" i="12"/>
  <c r="A2485" i="12"/>
  <c r="B2485" i="12"/>
  <c r="A2486" i="12"/>
  <c r="B2486" i="12"/>
  <c r="A2487" i="12"/>
  <c r="B2487" i="12"/>
  <c r="A2488" i="12"/>
  <c r="B2488" i="12"/>
  <c r="A2489" i="12"/>
  <c r="B2489" i="12"/>
  <c r="A2490" i="12"/>
  <c r="B2490" i="12"/>
  <c r="A2491" i="12"/>
  <c r="B2491" i="12"/>
  <c r="A2492" i="12"/>
  <c r="B2492" i="12"/>
  <c r="A2493" i="12"/>
  <c r="B2493" i="12"/>
  <c r="A2494" i="12"/>
  <c r="B2494" i="12"/>
  <c r="A2495" i="12"/>
  <c r="B2495" i="12"/>
  <c r="A2496" i="12"/>
  <c r="B2496" i="12"/>
  <c r="A2497" i="12"/>
  <c r="B2497" i="12"/>
  <c r="A2498" i="12"/>
  <c r="B2498" i="12"/>
  <c r="A2499" i="12"/>
  <c r="B2499" i="12"/>
  <c r="A2500" i="12"/>
  <c r="B2500" i="12"/>
  <c r="A2501" i="12"/>
  <c r="B2501" i="12"/>
  <c r="A2502" i="12"/>
  <c r="B2502" i="12"/>
  <c r="A2503" i="12"/>
  <c r="B2503" i="12"/>
  <c r="A2504" i="12"/>
  <c r="B2504" i="12"/>
  <c r="A2505" i="12"/>
  <c r="B2505" i="12"/>
  <c r="A2506" i="12"/>
  <c r="B2506" i="12"/>
  <c r="A2507" i="12"/>
  <c r="B2507" i="12"/>
  <c r="A2508" i="12"/>
  <c r="B2508" i="12"/>
  <c r="A2509" i="12"/>
  <c r="B2509" i="12"/>
  <c r="A2510" i="12"/>
  <c r="B2510" i="12"/>
  <c r="A2511" i="12"/>
  <c r="B2511" i="12"/>
  <c r="A2512" i="12"/>
  <c r="B2512" i="12"/>
  <c r="A2513" i="12"/>
  <c r="B2513" i="12"/>
  <c r="A2514" i="12"/>
  <c r="B2514" i="12"/>
  <c r="A2515" i="12"/>
  <c r="B2515" i="12"/>
  <c r="A2516" i="12"/>
  <c r="B2516" i="12"/>
  <c r="A2517" i="12"/>
  <c r="B2517" i="12"/>
  <c r="A2518" i="12"/>
  <c r="B2518" i="12"/>
  <c r="A2519" i="12"/>
  <c r="B2519" i="12"/>
  <c r="A2520" i="12"/>
  <c r="B2520" i="12"/>
  <c r="A2521" i="12"/>
  <c r="B2521" i="12"/>
  <c r="A2522" i="12"/>
  <c r="B2522" i="12"/>
  <c r="A2523" i="12"/>
  <c r="B2523" i="12"/>
  <c r="A2524" i="12"/>
  <c r="B2524" i="12"/>
  <c r="A2525" i="12"/>
  <c r="B2525" i="12"/>
  <c r="A2526" i="12"/>
  <c r="B2526" i="12"/>
  <c r="A2527" i="12"/>
  <c r="B2527" i="12"/>
  <c r="A2528" i="12"/>
  <c r="B2528" i="12"/>
  <c r="A2529" i="12"/>
  <c r="B2529" i="12"/>
  <c r="A2530" i="12"/>
  <c r="B2530" i="12"/>
  <c r="A2531" i="12"/>
  <c r="B2531" i="12"/>
  <c r="A2532" i="12"/>
  <c r="B2532" i="12"/>
  <c r="A2533" i="12"/>
  <c r="B2533" i="12"/>
  <c r="A2534" i="12"/>
  <c r="B2534" i="12"/>
  <c r="A2535" i="12"/>
  <c r="B2535" i="12"/>
  <c r="A2536" i="12"/>
  <c r="B2536" i="12"/>
  <c r="A2537" i="12"/>
  <c r="B2537" i="12"/>
  <c r="A2538" i="12"/>
  <c r="B2538" i="12"/>
  <c r="A2539" i="12"/>
  <c r="B2539" i="12"/>
  <c r="A2540" i="12"/>
  <c r="B2540" i="12"/>
  <c r="A2541" i="12"/>
  <c r="B2541" i="12"/>
  <c r="A2542" i="12"/>
  <c r="B2542" i="12"/>
  <c r="A2543" i="12"/>
  <c r="B2543" i="12"/>
  <c r="A2544" i="12"/>
  <c r="B2544" i="12"/>
  <c r="A2545" i="12"/>
  <c r="B2545" i="12"/>
  <c r="A2546" i="12"/>
  <c r="B2546" i="12"/>
  <c r="A2547" i="12"/>
  <c r="B2547" i="12"/>
  <c r="A2548" i="12"/>
  <c r="B2548" i="12"/>
  <c r="A2549" i="12"/>
  <c r="B2549" i="12"/>
  <c r="A2550" i="12"/>
  <c r="B2550" i="12"/>
  <c r="A2551" i="12"/>
  <c r="B2551" i="12"/>
  <c r="A2552" i="12"/>
  <c r="B2552" i="12"/>
  <c r="A2553" i="12"/>
  <c r="B2553" i="12"/>
  <c r="A2554" i="12"/>
  <c r="B2554" i="12"/>
  <c r="A2555" i="12"/>
  <c r="B2555" i="12"/>
  <c r="A2556" i="12"/>
  <c r="B2556" i="12"/>
  <c r="A2557" i="12"/>
  <c r="B2557" i="12"/>
  <c r="A2558" i="12"/>
  <c r="B2558" i="12"/>
  <c r="A2559" i="12"/>
  <c r="B2559" i="12"/>
  <c r="A2560" i="12"/>
  <c r="B2560" i="12"/>
  <c r="A2561" i="12"/>
  <c r="B2561" i="12"/>
  <c r="A2562" i="12"/>
  <c r="B2562" i="12"/>
  <c r="A2563" i="12"/>
  <c r="B2563" i="12"/>
  <c r="A2564" i="12"/>
  <c r="B2564" i="12"/>
  <c r="A2565" i="12"/>
  <c r="B2565" i="12"/>
  <c r="A2566" i="12"/>
  <c r="B2566" i="12"/>
  <c r="A2567" i="12"/>
  <c r="B2567" i="12"/>
  <c r="A2568" i="12"/>
  <c r="B2568" i="12"/>
  <c r="A2569" i="12"/>
  <c r="B2569" i="12"/>
  <c r="A2570" i="12"/>
  <c r="B2570" i="12"/>
  <c r="A2571" i="12"/>
  <c r="B2571" i="12"/>
  <c r="A2572" i="12"/>
  <c r="B2572" i="12"/>
  <c r="A2573" i="12"/>
  <c r="B2573" i="12"/>
  <c r="A2574" i="12"/>
  <c r="B2574" i="12"/>
  <c r="A2575" i="12"/>
  <c r="B2575" i="12"/>
  <c r="A2576" i="12"/>
  <c r="B2576" i="12"/>
  <c r="A2577" i="12"/>
  <c r="B2577" i="12"/>
  <c r="A2578" i="12"/>
  <c r="B2578" i="12"/>
  <c r="A2579" i="12"/>
  <c r="B2579" i="12"/>
  <c r="A2580" i="12"/>
  <c r="B2580" i="12"/>
  <c r="A2581" i="12"/>
  <c r="B2581" i="12"/>
  <c r="A2582" i="12"/>
  <c r="B2582" i="12"/>
  <c r="A2583" i="12"/>
  <c r="B2583" i="12"/>
  <c r="A2584" i="12"/>
  <c r="B2584" i="12"/>
  <c r="A2585" i="12"/>
  <c r="B2585" i="12"/>
  <c r="A2586" i="12"/>
  <c r="B2586" i="12"/>
  <c r="A2587" i="12"/>
  <c r="B2587" i="12"/>
  <c r="A2588" i="12"/>
  <c r="B2588" i="12"/>
  <c r="A2589" i="12"/>
  <c r="B2589" i="12"/>
  <c r="A2590" i="12"/>
  <c r="B2590" i="12"/>
  <c r="A2591" i="12"/>
  <c r="B2591" i="12"/>
  <c r="A2592" i="12"/>
  <c r="B2592" i="12"/>
  <c r="A2593" i="12"/>
  <c r="B2593" i="12"/>
  <c r="A2594" i="12"/>
  <c r="B2594" i="12"/>
  <c r="A2595" i="12"/>
  <c r="B2595" i="12"/>
  <c r="A2596" i="12"/>
  <c r="B2596" i="12"/>
  <c r="A2597" i="12"/>
  <c r="B2597" i="12"/>
  <c r="A2598" i="12"/>
  <c r="B2598" i="12"/>
  <c r="A2599" i="12"/>
  <c r="B2599" i="12"/>
  <c r="A2600" i="12"/>
  <c r="B2600" i="12"/>
  <c r="A2601" i="12"/>
  <c r="B2601" i="12"/>
  <c r="A2602" i="12"/>
  <c r="B2602" i="12"/>
  <c r="A2603" i="12"/>
  <c r="B2603" i="12"/>
  <c r="A2604" i="12"/>
  <c r="B2604" i="12"/>
  <c r="A2605" i="12"/>
  <c r="B2605" i="12"/>
  <c r="A2606" i="12"/>
  <c r="B2606" i="12"/>
  <c r="A2607" i="12"/>
  <c r="B2607" i="12"/>
  <c r="A2608" i="12"/>
  <c r="B2608" i="12"/>
  <c r="A2609" i="12"/>
  <c r="B2609" i="12"/>
  <c r="A2610" i="12"/>
  <c r="B2610" i="12"/>
  <c r="A2611" i="12"/>
  <c r="B2611" i="12"/>
  <c r="A2612" i="12"/>
  <c r="B2612" i="12"/>
  <c r="A2613" i="12"/>
  <c r="B2613" i="12"/>
  <c r="B2614" i="12"/>
  <c r="B2615" i="12"/>
  <c r="B2616" i="12"/>
  <c r="A2617" i="12"/>
  <c r="B2617" i="12"/>
  <c r="A2618" i="12"/>
  <c r="B2618" i="12"/>
  <c r="A2619" i="12"/>
  <c r="B2619" i="12"/>
  <c r="A2620" i="12"/>
  <c r="B2620" i="12"/>
  <c r="A2621" i="12"/>
  <c r="B2621" i="12"/>
  <c r="A2622" i="12"/>
  <c r="B2622" i="12"/>
  <c r="A2623" i="12"/>
  <c r="B2623" i="12"/>
  <c r="A2624" i="12"/>
  <c r="B2624" i="12"/>
  <c r="A2625" i="12"/>
  <c r="B2625" i="12"/>
  <c r="A2626" i="12"/>
  <c r="B2626" i="12"/>
  <c r="A2627" i="12"/>
  <c r="B2627" i="12"/>
  <c r="A2628" i="12"/>
  <c r="B2628" i="12"/>
  <c r="A2629" i="12"/>
  <c r="B2629" i="12"/>
  <c r="A2630" i="12"/>
  <c r="B2630" i="12"/>
  <c r="A2631" i="12"/>
  <c r="B2631" i="12"/>
  <c r="A2632" i="12"/>
  <c r="B2632" i="12"/>
  <c r="A2633" i="12"/>
  <c r="B2633" i="12"/>
  <c r="A2634" i="12"/>
  <c r="B2634" i="12"/>
  <c r="A2635" i="12"/>
  <c r="B2635" i="12"/>
  <c r="A2636" i="12"/>
  <c r="B2636" i="12"/>
  <c r="A2637" i="12"/>
  <c r="B2637" i="12"/>
  <c r="A2638" i="12"/>
  <c r="B2638" i="12"/>
  <c r="A2639" i="12"/>
  <c r="B2639" i="12"/>
  <c r="A2640" i="12"/>
  <c r="B2640" i="12"/>
  <c r="A2641" i="12"/>
  <c r="B2641" i="12"/>
  <c r="A2642" i="12"/>
  <c r="B2642" i="12"/>
  <c r="A2643" i="12"/>
  <c r="B2643" i="12"/>
  <c r="A2644" i="12"/>
  <c r="B2644" i="12"/>
  <c r="A2645" i="12"/>
  <c r="B2645" i="12"/>
  <c r="A2646" i="12"/>
  <c r="B2646" i="12"/>
  <c r="A2647" i="12"/>
  <c r="B2647" i="12"/>
  <c r="A2648" i="12"/>
  <c r="B2648" i="12"/>
  <c r="A2649" i="12"/>
  <c r="B2649" i="12"/>
  <c r="A2650" i="12"/>
  <c r="B2650" i="12"/>
  <c r="A2651" i="12"/>
  <c r="B2651" i="12"/>
  <c r="A2652" i="12"/>
  <c r="B2652" i="12"/>
  <c r="A2653" i="12"/>
  <c r="B2653" i="12"/>
  <c r="A2654" i="12"/>
  <c r="B2654" i="12"/>
  <c r="A2655" i="12"/>
  <c r="B2655" i="12"/>
  <c r="A2656" i="12"/>
  <c r="B2656" i="12"/>
  <c r="A2657" i="12"/>
  <c r="B2657" i="12"/>
  <c r="A2658" i="12"/>
  <c r="B2658" i="12"/>
  <c r="A2659" i="12"/>
  <c r="B2659" i="12"/>
  <c r="A2660" i="12"/>
  <c r="B2660" i="12"/>
  <c r="A2661" i="12"/>
  <c r="B2661" i="12"/>
  <c r="A2662" i="12"/>
  <c r="B2662" i="12"/>
  <c r="A2663" i="12"/>
  <c r="B2663" i="12"/>
  <c r="A2664" i="12"/>
  <c r="B2664" i="12"/>
  <c r="A2665" i="12"/>
  <c r="B2665" i="12"/>
  <c r="A2666" i="12"/>
  <c r="B2666" i="12"/>
  <c r="A2667" i="12"/>
  <c r="B2667" i="12"/>
  <c r="A2668" i="12"/>
  <c r="B2668" i="12"/>
  <c r="A2669" i="12"/>
  <c r="B2669" i="12"/>
  <c r="A2670" i="12"/>
  <c r="B2670" i="12"/>
  <c r="A2671" i="12"/>
  <c r="B2671" i="12"/>
  <c r="A2672" i="12"/>
  <c r="B2672" i="12"/>
  <c r="A2673" i="12"/>
  <c r="B2673" i="12"/>
  <c r="A2674" i="12"/>
  <c r="B2674" i="12"/>
  <c r="A2675" i="12"/>
  <c r="B2675" i="12"/>
  <c r="A2676" i="12"/>
  <c r="B2676" i="12"/>
  <c r="A2677" i="12"/>
  <c r="B2677" i="12"/>
  <c r="A2678" i="12"/>
  <c r="B2678" i="12"/>
  <c r="A2679" i="12"/>
  <c r="B2679" i="12"/>
  <c r="A2680" i="12"/>
  <c r="B2680" i="12"/>
  <c r="A2681" i="12"/>
  <c r="B2681" i="12"/>
  <c r="A2682" i="12"/>
  <c r="B2682" i="12"/>
  <c r="A2683" i="12"/>
  <c r="B2683" i="12"/>
  <c r="A2684" i="12"/>
  <c r="B2684" i="12"/>
  <c r="A2685" i="12"/>
  <c r="B2685" i="12"/>
  <c r="A2686" i="12"/>
  <c r="B2686" i="12"/>
  <c r="A2687" i="12"/>
  <c r="B2687" i="12"/>
  <c r="A2688" i="12"/>
  <c r="B2688" i="12"/>
  <c r="A2689" i="12"/>
  <c r="B2689" i="12"/>
  <c r="A2690" i="12"/>
  <c r="B2690" i="12"/>
  <c r="A2691" i="12"/>
  <c r="B2691" i="12"/>
  <c r="A2692" i="12"/>
  <c r="B2692" i="12"/>
  <c r="A2693" i="12"/>
  <c r="B2693" i="12"/>
  <c r="A2694" i="12"/>
  <c r="B2694" i="12"/>
  <c r="A2695" i="12"/>
  <c r="B2695" i="12"/>
  <c r="A2696" i="12"/>
  <c r="B2696" i="12"/>
  <c r="A2697" i="12"/>
  <c r="B2697" i="12"/>
  <c r="A2698" i="12"/>
  <c r="B2698" i="12"/>
  <c r="A2699" i="12"/>
  <c r="B2699" i="12"/>
  <c r="A2700" i="12"/>
  <c r="B2700" i="12"/>
  <c r="A2701" i="12"/>
  <c r="B2701" i="12"/>
  <c r="A2702" i="12"/>
  <c r="B2702" i="12"/>
  <c r="A2703" i="12"/>
  <c r="B2703" i="12"/>
  <c r="A2704" i="12"/>
  <c r="B2704" i="12"/>
  <c r="A2705" i="12"/>
  <c r="B2705" i="12"/>
  <c r="A2706" i="12"/>
  <c r="B2706" i="12"/>
  <c r="A2707" i="12"/>
  <c r="B2707" i="12"/>
  <c r="A2708" i="12"/>
  <c r="B2708" i="12"/>
  <c r="A2709" i="12"/>
  <c r="B2709" i="12"/>
  <c r="A2710" i="12"/>
  <c r="B2710" i="12"/>
  <c r="A2711" i="12"/>
  <c r="B2711" i="12"/>
  <c r="A2712" i="12"/>
  <c r="B2712" i="12"/>
  <c r="A2713" i="12"/>
  <c r="B2713" i="12"/>
  <c r="A2714" i="12"/>
  <c r="B2714" i="12"/>
  <c r="A2715" i="12"/>
  <c r="B2715" i="12"/>
  <c r="A2716" i="12"/>
  <c r="B2716" i="12"/>
  <c r="A2717" i="12"/>
  <c r="B2717" i="12"/>
  <c r="A2718" i="12"/>
  <c r="B2718" i="12"/>
  <c r="A2719" i="12"/>
  <c r="B2719" i="12"/>
  <c r="A2720" i="12"/>
  <c r="B2720" i="12"/>
  <c r="A2721" i="12"/>
  <c r="B2721" i="12"/>
  <c r="A2722" i="12"/>
  <c r="B2722" i="12"/>
  <c r="A2723" i="12"/>
  <c r="B2723" i="12"/>
  <c r="A2724" i="12"/>
  <c r="B2724" i="12"/>
  <c r="A2725" i="12"/>
  <c r="B2725" i="12"/>
  <c r="A2726" i="12"/>
  <c r="B2726" i="12"/>
  <c r="A2727" i="12"/>
  <c r="B2727" i="12"/>
  <c r="A2728" i="12"/>
  <c r="B2728" i="12"/>
  <c r="A2729" i="12"/>
  <c r="B2729" i="12"/>
  <c r="A2730" i="12"/>
  <c r="B2730" i="12"/>
  <c r="A2731" i="12"/>
  <c r="B2731" i="12"/>
  <c r="A2732" i="12"/>
  <c r="B2732" i="12"/>
  <c r="A2733" i="12"/>
  <c r="B2733" i="12"/>
  <c r="A2734" i="12"/>
  <c r="B2734" i="12"/>
  <c r="A2735" i="12"/>
  <c r="B2735" i="12"/>
  <c r="A2736" i="12"/>
  <c r="B2736" i="12"/>
  <c r="A2737" i="12"/>
  <c r="B2737" i="12"/>
  <c r="A2738" i="12"/>
  <c r="B2738" i="12"/>
  <c r="A2739" i="12"/>
  <c r="B2739" i="12"/>
  <c r="A2740" i="12"/>
  <c r="B2740" i="12"/>
  <c r="A2741" i="12"/>
  <c r="B2741" i="12"/>
  <c r="A2742" i="12"/>
  <c r="B2742" i="12"/>
  <c r="A2743" i="12"/>
  <c r="B2743" i="12"/>
  <c r="A2744" i="12"/>
  <c r="B2744" i="12"/>
  <c r="A2745" i="12"/>
  <c r="B2745" i="12"/>
  <c r="A2746" i="12"/>
  <c r="B2746" i="12"/>
  <c r="A2747" i="12"/>
  <c r="B2747" i="12"/>
  <c r="A2748" i="12"/>
  <c r="B2748" i="12"/>
  <c r="A2749" i="12"/>
  <c r="B2749" i="12"/>
  <c r="A2750" i="12"/>
  <c r="B2750" i="12"/>
  <c r="A2751" i="12"/>
  <c r="B2751" i="12"/>
  <c r="A2752" i="12"/>
  <c r="B2752" i="12"/>
  <c r="A2753" i="12"/>
  <c r="B2753" i="12"/>
  <c r="A2754" i="12"/>
  <c r="B2754" i="12"/>
  <c r="A2755" i="12"/>
  <c r="B2755" i="12"/>
  <c r="A2756" i="12"/>
  <c r="B2756" i="12"/>
  <c r="A2757" i="12"/>
  <c r="B2757" i="12"/>
  <c r="A2758" i="12"/>
  <c r="B2758" i="12"/>
  <c r="A2759" i="12"/>
  <c r="B2759" i="12"/>
  <c r="A2760" i="12"/>
  <c r="B2760" i="12"/>
  <c r="A2761" i="12"/>
  <c r="B2761" i="12"/>
  <c r="A2762" i="12"/>
  <c r="B2762" i="12"/>
  <c r="A2763" i="12"/>
  <c r="B2763" i="12"/>
  <c r="A2764" i="12"/>
  <c r="B2764" i="12"/>
  <c r="A2765" i="12"/>
  <c r="B2765" i="12"/>
  <c r="A2766" i="12"/>
  <c r="B2766" i="12"/>
  <c r="A2767" i="12"/>
  <c r="B2767" i="12"/>
  <c r="A2768" i="12"/>
  <c r="B2768" i="12"/>
  <c r="A2769" i="12"/>
  <c r="B2769" i="12"/>
  <c r="A2770" i="12"/>
  <c r="B2770" i="12"/>
  <c r="A2771" i="12"/>
  <c r="B2771" i="12"/>
  <c r="A2772" i="12"/>
  <c r="B2772" i="12"/>
  <c r="A2773" i="12"/>
  <c r="B2773" i="12"/>
  <c r="A2774" i="12"/>
  <c r="B2774" i="12"/>
  <c r="A2775" i="12"/>
  <c r="B2775" i="12"/>
  <c r="A2776" i="12"/>
  <c r="B2776" i="12"/>
  <c r="A2777" i="12"/>
  <c r="B2777" i="12"/>
  <c r="A2778" i="12"/>
  <c r="B2778" i="12"/>
  <c r="A2779" i="12"/>
  <c r="B2779" i="12"/>
  <c r="A2780" i="12"/>
  <c r="B2780" i="12"/>
  <c r="A2781" i="12"/>
  <c r="B2781" i="12"/>
  <c r="A2782" i="12"/>
  <c r="B2782" i="12"/>
  <c r="A2783" i="12"/>
  <c r="B2783" i="12"/>
  <c r="A2784" i="12"/>
  <c r="B2784" i="12"/>
  <c r="A2785" i="12"/>
  <c r="B2785" i="12"/>
  <c r="A2786" i="12"/>
  <c r="B2786" i="12"/>
  <c r="A2787" i="12"/>
  <c r="B2787" i="12"/>
  <c r="A2788" i="12"/>
  <c r="B2788" i="12"/>
  <c r="A2789" i="12"/>
  <c r="B2789" i="12"/>
  <c r="A2790" i="12"/>
  <c r="B2790" i="12"/>
  <c r="A2791" i="12"/>
  <c r="B2791" i="12"/>
  <c r="A2792" i="12"/>
  <c r="B2792" i="12"/>
  <c r="A2793" i="12"/>
  <c r="B2793" i="12"/>
  <c r="A2794" i="12"/>
  <c r="B2794" i="12"/>
  <c r="A2795" i="12"/>
  <c r="B2795" i="12"/>
  <c r="A2796" i="12"/>
  <c r="B2796" i="12"/>
  <c r="A2797" i="12"/>
  <c r="B2797" i="12"/>
  <c r="A2798" i="12"/>
  <c r="B2798" i="12"/>
  <c r="A2799" i="12"/>
  <c r="B2799" i="12"/>
  <c r="A2800" i="12"/>
  <c r="B2800" i="12"/>
  <c r="A2801" i="12"/>
  <c r="B2801" i="12"/>
  <c r="A2802" i="12"/>
  <c r="B2802" i="12"/>
  <c r="A2803" i="12"/>
  <c r="B2803" i="12"/>
  <c r="A2804" i="12"/>
  <c r="B2804" i="12"/>
  <c r="A2805" i="12"/>
  <c r="B2805" i="12"/>
  <c r="A2806" i="12"/>
  <c r="B2806" i="12"/>
  <c r="A2807" i="12"/>
  <c r="B2807" i="12"/>
  <c r="A2808" i="12"/>
  <c r="B2808" i="12"/>
  <c r="A2809" i="12"/>
  <c r="B2809" i="12"/>
  <c r="A2810" i="12"/>
  <c r="B2810" i="12"/>
  <c r="A2811" i="12"/>
  <c r="B2811" i="12"/>
  <c r="A2812" i="12"/>
  <c r="B2812" i="12"/>
  <c r="A2813" i="12"/>
  <c r="B2813" i="12"/>
  <c r="A2814" i="12"/>
  <c r="B2814" i="12"/>
  <c r="A2815" i="12"/>
  <c r="B2815" i="12"/>
  <c r="A2816" i="12"/>
  <c r="B2816" i="12"/>
  <c r="A2817" i="12"/>
  <c r="B2817" i="12"/>
  <c r="A2818" i="12"/>
  <c r="B2818" i="12"/>
  <c r="A2819" i="12"/>
  <c r="B2819" i="12"/>
  <c r="A2820" i="12"/>
  <c r="B2820" i="12"/>
  <c r="A2821" i="12"/>
  <c r="B2821" i="12"/>
  <c r="A2822" i="12"/>
  <c r="B2822" i="12"/>
  <c r="A2823" i="12"/>
  <c r="B2823" i="12"/>
  <c r="A2824" i="12"/>
  <c r="B2824" i="12"/>
  <c r="A2825" i="12"/>
  <c r="B2825" i="12"/>
  <c r="A2826" i="12"/>
  <c r="B2826" i="12"/>
  <c r="A2827" i="12"/>
  <c r="B2827" i="12"/>
  <c r="A2828" i="12"/>
  <c r="B2828" i="12"/>
  <c r="A2829" i="12"/>
  <c r="B2829" i="12"/>
  <c r="A2830" i="12"/>
  <c r="B2830" i="12"/>
  <c r="A2831" i="12"/>
  <c r="B2831" i="12"/>
  <c r="A2832" i="12"/>
  <c r="B2832" i="12"/>
  <c r="A2833" i="12"/>
  <c r="B2833" i="12"/>
  <c r="A2834" i="12"/>
  <c r="B2834" i="12"/>
  <c r="A2835" i="12"/>
  <c r="B2835" i="12"/>
  <c r="A2836" i="12"/>
  <c r="B2836" i="12"/>
  <c r="A2837" i="12"/>
  <c r="B2837" i="12"/>
  <c r="A2838" i="12"/>
  <c r="B2838" i="12"/>
  <c r="A2839" i="12"/>
  <c r="B2839" i="12"/>
  <c r="A2840" i="12"/>
  <c r="B2840" i="12"/>
  <c r="A2841" i="12"/>
  <c r="B2841" i="12"/>
  <c r="A2842" i="12"/>
  <c r="B2842" i="12"/>
  <c r="A2843" i="12"/>
  <c r="B2843" i="12"/>
  <c r="A2844" i="12"/>
  <c r="B2844" i="12"/>
  <c r="A2845" i="12"/>
  <c r="B2845" i="12"/>
  <c r="A2846" i="12"/>
  <c r="B2846" i="12"/>
  <c r="A2847" i="12"/>
  <c r="B2847" i="12"/>
  <c r="A2848" i="12"/>
  <c r="B2848" i="12"/>
  <c r="A2849" i="12"/>
  <c r="B2849" i="12"/>
  <c r="A2850" i="12"/>
  <c r="B2850" i="12"/>
  <c r="A2851" i="12"/>
  <c r="B2851" i="12"/>
  <c r="A2852" i="12"/>
  <c r="B2852" i="12"/>
  <c r="A2853" i="12"/>
  <c r="B2853" i="12"/>
  <c r="A2854" i="12"/>
  <c r="B2854" i="12"/>
  <c r="A2855" i="12"/>
  <c r="B2855" i="12"/>
  <c r="A2856" i="12"/>
  <c r="B2856" i="12"/>
  <c r="A2857" i="12"/>
  <c r="B2857" i="12"/>
  <c r="A2858" i="12"/>
  <c r="B2858" i="12"/>
  <c r="A2859" i="12"/>
  <c r="B2859" i="12"/>
  <c r="A2860" i="12"/>
  <c r="B2860" i="12"/>
  <c r="A2861" i="12"/>
  <c r="B2861" i="12"/>
  <c r="A2862" i="12"/>
  <c r="B2862" i="12"/>
  <c r="A2863" i="12"/>
  <c r="B2863" i="12"/>
  <c r="A2864" i="12"/>
  <c r="B2864" i="12"/>
  <c r="A2865" i="12"/>
  <c r="B2865" i="12"/>
  <c r="A2866" i="12"/>
  <c r="B2866" i="12"/>
  <c r="A2867" i="12"/>
  <c r="B2867" i="12"/>
  <c r="A2868" i="12"/>
  <c r="B2868" i="12"/>
  <c r="A2869" i="12"/>
  <c r="B2869" i="12"/>
  <c r="A2870" i="12"/>
  <c r="B2870" i="12"/>
  <c r="A2871" i="12"/>
  <c r="B2871" i="12"/>
  <c r="A2872" i="12"/>
  <c r="B2872" i="12"/>
  <c r="A2873" i="12"/>
  <c r="B2873" i="12"/>
  <c r="A2874" i="12"/>
  <c r="B2874" i="12"/>
  <c r="A2875" i="12"/>
  <c r="B2875" i="12"/>
  <c r="A2876" i="12"/>
  <c r="B2876" i="12"/>
  <c r="A2877" i="12"/>
  <c r="B2877" i="12"/>
  <c r="A2878" i="12"/>
  <c r="B2878" i="12"/>
  <c r="A2879" i="12"/>
  <c r="B2879" i="12"/>
  <c r="A2880" i="12"/>
  <c r="B2880" i="12"/>
  <c r="A2881" i="12"/>
  <c r="B2881" i="12"/>
  <c r="A2882" i="12"/>
  <c r="B2882" i="12"/>
  <c r="A2883" i="12"/>
  <c r="A2884" i="12"/>
  <c r="A2885" i="12"/>
  <c r="A2886" i="12"/>
  <c r="A2887" i="12"/>
  <c r="A2888" i="12"/>
  <c r="A2889" i="12"/>
  <c r="A2891" i="12"/>
  <c r="B2891" i="12"/>
  <c r="A2892" i="12"/>
  <c r="B2892" i="12"/>
  <c r="A2893" i="12"/>
  <c r="B2893" i="12"/>
  <c r="A2894" i="12"/>
  <c r="B2894" i="12"/>
  <c r="A2895" i="12"/>
  <c r="B2895" i="12"/>
  <c r="A2896" i="12"/>
  <c r="B2896" i="12"/>
  <c r="A2897" i="12"/>
  <c r="B2897" i="12"/>
  <c r="A2898" i="12"/>
  <c r="B2898" i="12"/>
  <c r="A2899" i="12"/>
  <c r="B2899" i="12"/>
  <c r="A2900" i="12"/>
  <c r="B2900" i="12"/>
  <c r="A2901" i="12"/>
  <c r="B2901" i="12"/>
  <c r="A2902" i="12"/>
  <c r="B2902" i="12"/>
  <c r="A2903" i="12"/>
  <c r="B2903" i="12"/>
  <c r="A2904" i="12"/>
  <c r="B2904" i="12"/>
  <c r="A2905" i="12"/>
  <c r="B2905" i="12"/>
  <c r="A2906" i="12"/>
  <c r="B2906" i="12"/>
  <c r="B2907" i="12"/>
  <c r="A2908" i="12"/>
  <c r="B2908" i="12"/>
  <c r="A2909" i="12"/>
  <c r="B2909" i="12"/>
  <c r="A2910" i="12"/>
  <c r="B2910" i="12"/>
  <c r="A2911" i="12"/>
  <c r="B2911" i="12"/>
  <c r="A2912" i="12"/>
  <c r="B2912" i="12"/>
  <c r="A2913" i="12"/>
  <c r="B2913" i="12"/>
  <c r="A2914" i="12"/>
  <c r="B2914" i="12"/>
  <c r="A2915" i="12"/>
  <c r="B2915" i="12"/>
  <c r="A2916" i="12"/>
  <c r="B2916" i="12"/>
  <c r="A2917" i="12"/>
  <c r="B2917" i="12"/>
  <c r="A2918" i="12"/>
  <c r="B2918" i="12"/>
  <c r="A2919" i="12"/>
  <c r="B2919" i="12"/>
  <c r="A2920" i="12"/>
  <c r="B2920" i="12"/>
  <c r="A2921" i="12"/>
  <c r="B2921" i="12"/>
  <c r="A2922" i="12"/>
  <c r="B2922" i="12"/>
  <c r="A2923" i="12"/>
  <c r="B2923" i="12"/>
  <c r="A2924" i="12"/>
  <c r="B2924" i="12"/>
  <c r="A2925" i="12"/>
  <c r="B2925" i="12"/>
  <c r="A2926" i="12"/>
  <c r="B2926" i="12"/>
  <c r="A2927" i="12"/>
  <c r="B2927" i="12"/>
  <c r="A2928" i="12"/>
  <c r="B2928" i="12"/>
  <c r="A2929" i="12"/>
  <c r="B2929" i="12"/>
  <c r="A2930" i="12"/>
  <c r="B2930" i="12"/>
  <c r="A2931" i="12"/>
  <c r="B2931" i="12"/>
  <c r="A2932" i="12"/>
  <c r="B2932" i="12"/>
  <c r="A2934" i="12"/>
  <c r="B2934" i="12"/>
  <c r="A2935" i="12"/>
  <c r="B2935" i="12"/>
  <c r="A2936" i="12"/>
  <c r="B2936" i="12"/>
  <c r="A2937" i="12"/>
  <c r="B2937" i="12"/>
  <c r="A2938" i="12"/>
  <c r="B2938" i="12"/>
  <c r="A2939" i="12"/>
  <c r="B2939" i="12"/>
  <c r="A2940" i="12"/>
  <c r="B2940" i="12"/>
  <c r="A2941" i="12"/>
  <c r="B2941" i="12"/>
  <c r="A2942" i="12"/>
  <c r="B2942" i="12"/>
  <c r="A2943" i="12"/>
  <c r="B2943" i="12"/>
  <c r="A2944" i="12"/>
  <c r="B2944" i="12"/>
  <c r="A2945" i="12"/>
  <c r="B2945" i="12"/>
  <c r="A2946" i="12"/>
  <c r="B2946" i="12"/>
  <c r="A2947" i="12"/>
  <c r="B2947" i="12"/>
  <c r="A2948" i="12"/>
  <c r="B2948" i="12"/>
  <c r="A2949" i="12"/>
  <c r="B2949" i="12"/>
  <c r="A2950" i="12"/>
  <c r="B2950" i="12"/>
  <c r="A2951" i="12"/>
  <c r="B2951" i="12"/>
  <c r="A2952" i="12"/>
  <c r="B2952" i="12"/>
  <c r="A2953" i="12"/>
  <c r="B2953" i="12"/>
  <c r="A2954" i="12"/>
  <c r="B2954" i="12"/>
  <c r="A2955" i="12"/>
  <c r="B2955" i="12"/>
  <c r="A2956" i="12"/>
  <c r="B2956" i="12"/>
  <c r="A2957" i="12"/>
  <c r="B2957" i="12"/>
  <c r="A2958" i="12"/>
  <c r="B2958" i="12"/>
  <c r="A2959" i="12"/>
  <c r="B2959" i="12"/>
  <c r="A2960" i="12"/>
  <c r="B2960" i="12"/>
  <c r="A2961" i="12"/>
  <c r="B2961" i="12"/>
  <c r="A2962" i="12"/>
  <c r="B2962" i="12"/>
  <c r="A2963" i="12"/>
  <c r="B2963" i="12"/>
  <c r="A2964" i="12"/>
  <c r="B2964" i="12"/>
  <c r="A2965" i="12"/>
  <c r="B2965" i="12"/>
  <c r="A2966" i="12"/>
  <c r="B2966" i="12"/>
  <c r="A2967" i="12"/>
  <c r="B2967" i="12"/>
  <c r="A2968" i="12"/>
  <c r="B2968" i="12"/>
  <c r="A2969" i="12"/>
  <c r="B2969" i="12"/>
  <c r="A2970" i="12"/>
  <c r="B2970" i="12"/>
  <c r="A2971" i="12"/>
  <c r="B2971" i="12"/>
  <c r="A2972" i="12"/>
  <c r="B2972" i="12"/>
  <c r="A2973" i="12"/>
  <c r="B2973" i="12"/>
  <c r="A2974" i="12"/>
  <c r="B2974" i="12"/>
  <c r="A2975" i="12"/>
  <c r="B2975" i="12"/>
  <c r="A2976" i="12"/>
  <c r="B2976" i="12"/>
  <c r="A2977" i="12"/>
  <c r="B2977" i="12"/>
  <c r="A2978" i="12"/>
  <c r="B2978" i="12"/>
  <c r="A2979" i="12"/>
  <c r="B2979" i="12"/>
  <c r="A2980" i="12"/>
  <c r="B2980" i="12"/>
  <c r="A2981" i="12"/>
  <c r="B2981" i="12"/>
  <c r="A2982" i="12"/>
  <c r="B2982" i="12"/>
  <c r="A2983" i="12"/>
  <c r="B2983" i="12"/>
  <c r="A2984" i="12"/>
  <c r="B2984" i="12"/>
  <c r="A2985" i="12"/>
  <c r="B2985" i="12"/>
  <c r="A2986" i="12"/>
  <c r="B2986" i="12"/>
  <c r="A2987" i="12"/>
  <c r="B2987" i="12"/>
  <c r="A2988" i="12"/>
  <c r="B2988" i="12"/>
  <c r="A2989" i="12"/>
  <c r="B2989" i="12"/>
  <c r="A2990" i="12"/>
  <c r="B2990" i="12"/>
  <c r="A2991" i="12"/>
  <c r="B2991" i="12"/>
  <c r="A2992" i="12"/>
  <c r="B2992" i="12"/>
  <c r="A2993" i="12"/>
  <c r="B2993" i="12"/>
  <c r="A2994" i="12"/>
  <c r="B2994" i="12"/>
  <c r="A2995" i="12"/>
  <c r="B2995" i="12"/>
  <c r="A2996" i="12"/>
  <c r="B2996" i="12"/>
  <c r="A2997" i="12"/>
  <c r="B2997" i="12"/>
  <c r="A2998" i="12"/>
  <c r="B2998" i="12"/>
  <c r="A2999" i="12"/>
  <c r="B2999" i="12"/>
  <c r="A3000" i="12"/>
  <c r="B3000" i="12"/>
  <c r="A3001" i="12"/>
  <c r="B3001" i="12"/>
  <c r="A3002" i="12"/>
  <c r="B3002" i="12"/>
  <c r="A3003" i="12"/>
  <c r="B3003" i="12"/>
  <c r="A3004" i="12"/>
  <c r="B3004" i="12"/>
  <c r="A3005" i="12"/>
  <c r="B3005" i="12"/>
  <c r="A3006" i="12"/>
  <c r="B3006" i="12"/>
  <c r="A3007" i="12"/>
  <c r="B3007" i="12"/>
  <c r="A3008" i="12"/>
  <c r="B3008" i="12"/>
  <c r="A3009" i="12"/>
  <c r="B3009" i="12"/>
  <c r="A3010" i="12"/>
  <c r="B3010" i="12"/>
  <c r="A3011" i="12"/>
  <c r="B3011" i="12"/>
  <c r="A3012" i="12"/>
  <c r="B3012" i="12"/>
  <c r="A3013" i="12"/>
  <c r="B3013" i="12"/>
  <c r="A3014" i="12"/>
  <c r="B3014" i="12"/>
  <c r="A3015" i="12"/>
  <c r="B3015" i="12"/>
  <c r="A3016" i="12"/>
  <c r="B3016" i="12"/>
  <c r="A3017" i="12"/>
  <c r="B3017" i="12"/>
  <c r="A3018" i="12"/>
  <c r="B3018" i="12"/>
  <c r="A3019" i="12"/>
  <c r="B3019" i="12"/>
  <c r="A3020" i="12"/>
  <c r="B3020" i="12"/>
  <c r="A3021" i="12"/>
  <c r="B3021" i="12"/>
  <c r="A3022" i="12"/>
  <c r="B3022" i="12"/>
  <c r="A3023" i="12"/>
  <c r="B3023" i="12"/>
  <c r="A3024" i="12"/>
  <c r="B3024" i="12"/>
  <c r="A3025" i="12"/>
  <c r="B3025" i="12"/>
  <c r="A3026" i="12"/>
  <c r="B3026" i="12"/>
  <c r="A3027" i="12"/>
  <c r="B3027" i="12"/>
  <c r="A3028" i="12"/>
  <c r="B3028" i="12"/>
  <c r="A3029" i="12"/>
  <c r="B3029" i="12"/>
  <c r="A3030" i="12"/>
  <c r="B3030" i="12"/>
  <c r="A3031" i="12"/>
  <c r="B3031" i="12"/>
  <c r="A3032" i="12"/>
  <c r="B3032" i="12"/>
  <c r="A3033" i="12"/>
  <c r="B3033" i="12"/>
  <c r="A3034" i="12"/>
  <c r="B3034" i="12"/>
  <c r="A3035" i="12"/>
  <c r="B3035" i="12"/>
  <c r="A3036" i="12"/>
  <c r="B3036" i="12"/>
  <c r="A3037" i="12"/>
  <c r="B3037" i="12"/>
  <c r="A3038" i="12"/>
  <c r="B3038" i="12"/>
  <c r="A3039" i="12"/>
  <c r="B3039" i="12"/>
  <c r="A3040" i="12"/>
  <c r="B3040" i="12"/>
  <c r="A3041" i="12"/>
  <c r="B3041" i="12"/>
  <c r="A3042" i="12"/>
  <c r="B3042" i="12"/>
  <c r="A3043" i="12"/>
  <c r="B3043" i="12"/>
  <c r="A3044" i="12"/>
  <c r="B3044" i="12"/>
  <c r="A3045" i="12"/>
  <c r="B3045" i="12"/>
  <c r="A3048" i="12"/>
  <c r="B3048" i="12"/>
  <c r="A3049" i="12"/>
  <c r="B3049" i="12"/>
  <c r="A3050" i="12"/>
  <c r="B3050" i="12"/>
  <c r="A3051" i="12"/>
  <c r="B3051" i="12"/>
  <c r="A3052" i="12"/>
  <c r="B3052" i="12"/>
  <c r="A3053" i="12"/>
  <c r="B3053" i="12"/>
  <c r="A3054" i="12"/>
  <c r="B3054" i="12"/>
  <c r="A3055" i="12"/>
  <c r="B3055" i="12"/>
  <c r="A3056" i="12"/>
  <c r="B3056" i="12"/>
  <c r="A3057" i="12"/>
  <c r="B3057" i="12"/>
  <c r="A3058" i="12"/>
  <c r="B3058" i="12"/>
  <c r="A3059" i="12"/>
  <c r="B3059" i="12"/>
  <c r="A3060" i="12"/>
  <c r="B3060" i="12"/>
  <c r="A3061" i="12"/>
  <c r="B3061" i="12"/>
  <c r="A3062" i="12"/>
  <c r="B3062" i="12"/>
  <c r="A3063" i="12"/>
  <c r="B3063" i="12"/>
  <c r="A3064" i="12"/>
  <c r="B3064" i="12"/>
  <c r="A3065" i="12"/>
  <c r="B3065" i="12"/>
  <c r="A3066" i="12"/>
  <c r="B3066" i="12"/>
  <c r="A3067" i="12"/>
  <c r="B3067" i="12"/>
  <c r="A3068" i="12"/>
  <c r="B3068" i="12"/>
  <c r="A3069" i="12"/>
  <c r="B3069" i="12"/>
  <c r="A3070" i="12"/>
  <c r="B3070" i="12"/>
  <c r="A3071" i="12"/>
  <c r="B3071" i="12"/>
  <c r="A3072" i="12"/>
  <c r="B3072" i="12"/>
  <c r="A3073" i="12"/>
  <c r="B3073" i="12"/>
  <c r="A3074" i="12"/>
  <c r="B3074" i="12"/>
  <c r="A3075" i="12"/>
  <c r="B3075" i="12"/>
  <c r="A3076" i="12"/>
  <c r="B3076" i="12"/>
  <c r="A3077" i="12"/>
  <c r="B3077" i="12"/>
  <c r="A3078" i="12"/>
  <c r="B3078" i="12"/>
  <c r="A3079" i="12"/>
  <c r="B3079" i="12"/>
  <c r="A3080" i="12"/>
  <c r="B3080" i="12"/>
  <c r="A3081" i="12"/>
  <c r="B3081" i="12"/>
  <c r="A3082" i="12"/>
  <c r="B3082" i="12"/>
  <c r="A3083" i="12"/>
  <c r="B3083" i="12"/>
  <c r="A3084" i="12"/>
  <c r="B3084" i="12"/>
  <c r="A3085" i="12"/>
  <c r="B3085" i="12"/>
  <c r="A3086" i="12"/>
  <c r="B3086" i="12"/>
  <c r="A3087" i="12"/>
  <c r="B3087" i="12"/>
  <c r="A3088" i="12"/>
  <c r="B3088" i="12"/>
  <c r="A3089" i="12"/>
  <c r="B3089" i="12"/>
  <c r="A3090" i="12"/>
  <c r="B3090" i="12"/>
  <c r="A3091" i="12"/>
  <c r="B3091" i="12"/>
  <c r="A3092" i="12"/>
  <c r="B3092" i="12"/>
  <c r="A3093" i="12"/>
  <c r="B3093" i="12"/>
  <c r="A3094" i="12"/>
  <c r="B3094" i="12"/>
  <c r="A3095" i="12"/>
  <c r="B3095" i="12"/>
  <c r="A3096" i="12"/>
  <c r="B3096" i="12"/>
  <c r="A3097" i="12"/>
  <c r="B3097" i="12"/>
  <c r="A3098" i="12"/>
  <c r="B3098" i="12"/>
  <c r="A3099" i="12"/>
  <c r="B3099" i="12"/>
  <c r="A3100" i="12"/>
  <c r="B3100" i="12"/>
  <c r="A3101" i="12"/>
  <c r="B3101" i="12"/>
  <c r="A3102" i="12"/>
  <c r="B3102" i="12"/>
  <c r="A3103" i="12"/>
  <c r="B3103" i="12"/>
  <c r="A3104" i="12"/>
  <c r="B3104" i="12"/>
  <c r="A3105" i="12"/>
  <c r="B3105" i="12"/>
  <c r="A3106" i="12"/>
  <c r="B3106" i="12"/>
  <c r="A3107" i="12"/>
  <c r="B3107" i="12"/>
  <c r="A3108" i="12"/>
  <c r="B3108" i="12"/>
  <c r="A3109" i="12"/>
  <c r="B3109" i="12"/>
  <c r="A3110" i="12"/>
  <c r="B3110" i="12"/>
  <c r="A3111" i="12"/>
  <c r="B3111" i="12"/>
  <c r="A3112" i="12"/>
  <c r="B3112" i="12"/>
  <c r="A3113" i="12"/>
  <c r="B3113" i="12"/>
  <c r="A3114" i="12"/>
  <c r="B3114" i="12"/>
  <c r="A3115" i="12"/>
  <c r="B3115" i="12"/>
  <c r="A3116" i="12"/>
  <c r="B3116" i="12"/>
  <c r="A3117" i="12"/>
  <c r="B3117" i="12"/>
  <c r="A3118" i="12"/>
  <c r="B3118" i="12"/>
  <c r="A3119" i="12"/>
  <c r="B3119" i="12"/>
  <c r="A3120" i="12"/>
  <c r="B3120" i="12"/>
  <c r="A3121" i="12"/>
  <c r="B3121" i="12"/>
  <c r="A3122" i="12"/>
  <c r="B3122" i="12"/>
  <c r="A3123" i="12"/>
  <c r="B3123" i="12"/>
  <c r="A3124" i="12"/>
  <c r="B3124" i="12"/>
  <c r="A3125" i="12"/>
  <c r="B3125" i="12"/>
  <c r="A3126" i="12"/>
  <c r="B3126" i="12"/>
  <c r="A3127" i="12"/>
  <c r="B3127" i="12"/>
  <c r="A3128" i="12"/>
  <c r="B3128" i="12"/>
  <c r="A3129" i="12"/>
  <c r="B3129" i="12"/>
  <c r="A3130" i="12"/>
  <c r="B3130" i="12"/>
  <c r="A3131" i="12"/>
  <c r="B3131" i="12"/>
  <c r="A3132" i="12"/>
  <c r="B3132" i="12"/>
  <c r="A3133" i="12"/>
  <c r="B3133" i="12"/>
  <c r="A3134" i="12"/>
  <c r="B3134" i="12"/>
  <c r="A3135" i="12"/>
  <c r="B3135" i="12"/>
  <c r="A3136" i="12"/>
  <c r="B3136" i="12"/>
  <c r="A3137" i="12"/>
  <c r="B3137" i="12"/>
  <c r="A3138" i="12"/>
  <c r="B3138" i="12"/>
  <c r="A3139" i="12"/>
  <c r="B3139" i="12"/>
  <c r="A3140" i="12"/>
  <c r="B3140" i="12"/>
  <c r="A3141" i="12"/>
  <c r="B3141" i="12"/>
  <c r="A3142" i="12"/>
  <c r="B3142" i="12"/>
  <c r="A3143" i="12"/>
  <c r="B3143" i="12"/>
  <c r="A3144" i="12"/>
  <c r="B3144" i="12"/>
  <c r="A3145" i="12"/>
  <c r="B3145" i="12"/>
  <c r="A3146" i="12"/>
  <c r="B3146" i="12"/>
  <c r="A3147" i="12"/>
  <c r="B3147" i="12"/>
  <c r="A3148" i="12"/>
  <c r="B3148" i="12"/>
  <c r="A3149" i="12"/>
  <c r="B3149" i="12"/>
  <c r="A3150" i="12"/>
  <c r="B3150" i="12"/>
  <c r="A3151" i="12"/>
  <c r="B3151" i="12"/>
  <c r="A3152" i="12"/>
  <c r="B3152" i="12"/>
  <c r="A3153" i="12"/>
  <c r="B3153" i="12"/>
  <c r="A3154" i="12"/>
  <c r="B3154" i="12"/>
  <c r="A3155" i="12"/>
  <c r="B3155" i="12"/>
  <c r="A3156" i="12"/>
  <c r="B3156" i="12"/>
  <c r="A3157" i="12"/>
  <c r="B3157" i="12"/>
  <c r="A3158" i="12"/>
  <c r="B3158" i="12"/>
  <c r="A3159" i="12"/>
  <c r="B3159" i="12"/>
  <c r="A3160" i="12"/>
  <c r="B3160" i="12"/>
  <c r="A3161" i="12"/>
  <c r="B3161" i="12"/>
  <c r="A3162" i="12"/>
  <c r="B3162" i="12"/>
  <c r="A3163" i="12"/>
  <c r="B3163" i="12"/>
  <c r="A3164" i="12"/>
  <c r="B3164" i="12"/>
  <c r="A3165" i="12"/>
  <c r="B3165" i="12"/>
  <c r="A3166" i="12"/>
  <c r="B3166" i="12"/>
  <c r="A3167" i="12"/>
  <c r="B3167" i="12"/>
  <c r="A3168" i="12"/>
  <c r="B3168" i="12"/>
  <c r="A3169" i="12"/>
  <c r="B3169" i="12"/>
  <c r="A3170" i="12"/>
  <c r="B3170" i="12"/>
  <c r="A3171" i="12"/>
  <c r="B3171" i="12"/>
  <c r="A3172" i="12"/>
  <c r="B3172" i="12"/>
  <c r="A3173" i="12"/>
  <c r="B3173" i="12"/>
  <c r="A3174" i="12"/>
  <c r="B3174" i="12"/>
  <c r="A3175" i="12"/>
  <c r="B3175" i="12"/>
  <c r="A3176" i="12"/>
  <c r="B3176" i="12"/>
  <c r="A3177" i="12"/>
  <c r="B3177" i="12"/>
  <c r="A3178" i="12"/>
  <c r="B3178" i="12"/>
  <c r="A3179" i="12"/>
  <c r="B3179" i="12"/>
  <c r="A3180" i="12"/>
  <c r="B3180" i="12"/>
  <c r="A3181" i="12"/>
  <c r="B3181" i="12"/>
  <c r="A3182" i="12"/>
  <c r="B3182" i="12"/>
  <c r="A3183" i="12"/>
  <c r="B3183" i="12"/>
  <c r="A3184" i="12"/>
  <c r="B3184" i="12"/>
  <c r="A3185" i="12"/>
  <c r="B3185" i="12"/>
  <c r="A3186" i="12"/>
  <c r="B3186" i="12"/>
  <c r="A3187" i="12"/>
  <c r="B3187" i="12"/>
  <c r="A3188" i="12"/>
  <c r="B3188" i="12"/>
  <c r="A3189" i="12"/>
  <c r="B3189" i="12"/>
  <c r="A3190" i="12"/>
  <c r="B3190" i="12"/>
  <c r="A3191" i="12"/>
  <c r="B3191" i="12"/>
  <c r="A3192" i="12"/>
  <c r="B3192" i="12"/>
  <c r="A3193" i="12"/>
  <c r="B3193" i="12"/>
  <c r="A3194" i="12"/>
  <c r="B3194" i="12"/>
  <c r="A3195" i="12"/>
  <c r="B3195" i="12"/>
  <c r="A3196" i="12"/>
  <c r="B3196" i="12"/>
  <c r="A3197" i="12"/>
  <c r="B3197" i="12"/>
  <c r="A3198" i="12"/>
  <c r="B3198" i="12"/>
  <c r="A3199" i="12"/>
  <c r="B3199" i="12"/>
  <c r="A3200" i="12"/>
  <c r="B3200" i="12"/>
  <c r="A3201" i="12"/>
  <c r="B3201" i="12"/>
  <c r="A3202" i="12"/>
  <c r="B3202" i="12"/>
  <c r="A3203" i="12"/>
  <c r="B3203" i="12"/>
  <c r="A3204" i="12"/>
  <c r="B3204" i="12"/>
  <c r="A3205" i="12"/>
  <c r="B3205" i="12"/>
  <c r="A3206" i="12"/>
  <c r="B3206" i="12"/>
  <c r="A3207" i="12"/>
  <c r="B3207" i="12"/>
  <c r="A3208" i="12"/>
  <c r="B3208" i="12"/>
  <c r="A3209" i="12"/>
  <c r="B3209" i="12"/>
  <c r="A3210" i="12"/>
  <c r="B3210" i="12"/>
  <c r="A3211" i="12"/>
  <c r="B3211" i="12"/>
  <c r="A3212" i="12"/>
  <c r="B3212" i="12"/>
  <c r="A3213" i="12"/>
  <c r="B3213" i="12"/>
  <c r="A3214" i="12"/>
  <c r="B3214" i="12"/>
  <c r="A3215" i="12"/>
  <c r="B3215" i="12"/>
  <c r="A3216" i="12"/>
  <c r="B3216" i="12"/>
  <c r="A3217" i="12"/>
  <c r="B3217" i="12"/>
  <c r="A3218" i="12"/>
  <c r="B3218" i="12"/>
  <c r="A3219" i="12"/>
  <c r="B3219" i="12"/>
  <c r="A3220" i="12"/>
  <c r="B3220" i="12"/>
  <c r="A3222" i="12"/>
  <c r="B3222" i="12"/>
  <c r="A3223" i="12"/>
  <c r="B3223" i="12"/>
  <c r="A3224" i="12"/>
  <c r="B3224" i="12"/>
  <c r="A3225" i="12"/>
  <c r="B3225" i="12"/>
  <c r="A3226" i="12"/>
  <c r="B3226" i="12"/>
  <c r="A3227" i="12"/>
  <c r="B3227" i="12"/>
  <c r="A3228" i="12"/>
  <c r="B3228" i="12"/>
  <c r="A3229" i="12"/>
  <c r="B3229" i="12"/>
  <c r="A3230" i="12"/>
  <c r="B3230" i="12"/>
  <c r="A3231" i="12"/>
  <c r="B3231" i="12"/>
  <c r="A3232" i="12"/>
  <c r="B3232" i="12"/>
  <c r="A3233" i="12"/>
  <c r="B3233" i="12"/>
  <c r="A3234" i="12"/>
  <c r="B3234" i="12"/>
  <c r="A3235" i="12"/>
  <c r="B3235" i="12"/>
  <c r="A3236" i="12"/>
  <c r="B3236" i="12"/>
  <c r="A3237" i="12"/>
  <c r="B3237" i="12"/>
  <c r="A3238" i="12"/>
  <c r="B3238" i="12"/>
  <c r="A3239" i="12"/>
  <c r="B3239" i="12"/>
  <c r="A3240" i="12"/>
  <c r="B3240" i="12"/>
  <c r="A3241" i="12"/>
  <c r="B3241" i="12"/>
  <c r="A3242" i="12"/>
  <c r="B3242" i="12"/>
  <c r="A3243" i="12"/>
  <c r="B3243" i="12"/>
  <c r="A3244" i="12"/>
  <c r="B3244" i="12"/>
  <c r="A3245" i="12"/>
  <c r="B3245" i="12"/>
  <c r="A3246" i="12"/>
  <c r="B3246" i="12"/>
  <c r="A3247" i="12"/>
  <c r="B3247" i="12"/>
  <c r="A3248" i="12"/>
  <c r="B3248" i="12"/>
  <c r="A3249" i="12"/>
  <c r="B3249" i="12"/>
  <c r="A3250" i="12"/>
  <c r="B3250" i="12"/>
  <c r="A3251" i="12"/>
  <c r="B3251" i="12"/>
  <c r="A3252" i="12"/>
  <c r="B3252" i="12"/>
  <c r="A3253" i="12"/>
  <c r="B3253" i="12"/>
  <c r="A3254" i="12"/>
  <c r="B3254" i="12"/>
  <c r="A3255" i="12"/>
  <c r="B3255" i="12"/>
  <c r="A3256" i="12"/>
  <c r="B3256" i="12"/>
  <c r="A3257" i="12"/>
  <c r="B3257" i="12"/>
  <c r="A3258" i="12"/>
  <c r="B3258" i="12"/>
  <c r="A3259" i="12"/>
  <c r="B3259" i="12"/>
  <c r="A3260" i="12"/>
  <c r="B3260" i="12"/>
  <c r="A3261" i="12"/>
  <c r="B3261" i="12"/>
  <c r="A3262" i="12"/>
  <c r="B3262" i="12"/>
  <c r="A3263" i="12"/>
  <c r="B3263" i="12"/>
  <c r="A3264" i="12"/>
  <c r="B3264" i="12"/>
  <c r="A3265" i="12"/>
  <c r="B3265" i="12"/>
  <c r="A3266" i="12"/>
  <c r="B3266" i="12"/>
  <c r="A3267" i="12"/>
  <c r="B3267" i="12"/>
  <c r="A3268" i="12"/>
  <c r="B3268" i="12"/>
  <c r="A3269" i="12"/>
  <c r="B3269" i="12"/>
  <c r="A3270" i="12"/>
  <c r="B3270" i="12"/>
  <c r="A3271" i="12"/>
  <c r="B3271" i="12"/>
  <c r="A3272" i="12"/>
  <c r="B3272" i="12"/>
  <c r="A3273" i="12"/>
  <c r="B3273" i="12"/>
  <c r="A3274" i="12"/>
  <c r="B3274" i="12"/>
  <c r="A3275" i="12"/>
  <c r="B3275" i="12"/>
  <c r="A3276" i="12"/>
  <c r="B3276" i="12"/>
  <c r="A3277" i="12"/>
  <c r="B3277" i="12"/>
  <c r="A3278" i="12"/>
  <c r="B3278" i="12"/>
  <c r="A3279" i="12"/>
  <c r="B3279" i="12"/>
  <c r="A3280" i="12"/>
  <c r="B3280" i="12"/>
  <c r="A3281" i="12"/>
  <c r="B3281" i="12"/>
  <c r="A3282" i="12"/>
  <c r="B3282" i="12"/>
  <c r="A3283" i="12"/>
  <c r="B3283" i="12"/>
  <c r="A3284" i="12"/>
  <c r="B3284" i="12"/>
  <c r="A3285" i="12"/>
  <c r="B3285" i="12"/>
  <c r="A3286" i="12"/>
  <c r="B3286" i="12"/>
  <c r="A3287" i="12"/>
  <c r="B3287" i="12"/>
  <c r="A3288" i="12"/>
  <c r="B3288" i="12"/>
  <c r="A3289" i="12"/>
  <c r="B3289" i="12"/>
  <c r="A3290" i="12"/>
  <c r="B3290" i="12"/>
  <c r="A3291" i="12"/>
  <c r="B3291" i="12"/>
  <c r="A3292" i="12"/>
  <c r="B3292" i="12"/>
  <c r="A3293" i="12"/>
  <c r="B3293" i="12"/>
  <c r="A3294" i="12"/>
  <c r="B3294" i="12"/>
  <c r="A3295" i="12"/>
  <c r="B3295" i="12"/>
  <c r="A3296" i="12"/>
  <c r="B3296" i="12"/>
  <c r="A3297" i="12"/>
  <c r="B3297" i="12"/>
  <c r="A3298" i="12"/>
  <c r="B3298" i="12"/>
  <c r="A3299" i="12"/>
  <c r="B3299" i="12"/>
  <c r="A3300" i="12"/>
  <c r="B3300" i="12"/>
  <c r="A3301" i="12"/>
  <c r="B3301" i="12"/>
  <c r="A3302" i="12"/>
  <c r="B3302" i="12"/>
  <c r="A3303" i="12"/>
  <c r="B3303" i="12"/>
  <c r="A3304" i="12"/>
  <c r="B3304" i="12"/>
  <c r="A3305" i="12"/>
  <c r="B3305" i="12"/>
  <c r="A3306" i="12"/>
  <c r="B3306" i="12"/>
  <c r="A3307" i="12"/>
  <c r="B3307" i="12"/>
  <c r="A3308" i="12"/>
  <c r="B3308" i="12"/>
  <c r="A3309" i="12"/>
  <c r="B3309" i="12"/>
  <c r="A3310" i="12"/>
  <c r="B3310" i="12"/>
  <c r="A3311" i="12"/>
  <c r="B3311" i="12"/>
  <c r="A3312" i="12"/>
  <c r="B3312" i="12"/>
  <c r="A3313" i="12"/>
  <c r="B3313" i="12"/>
  <c r="A3314" i="12"/>
  <c r="B3314" i="12"/>
  <c r="A3315" i="12"/>
  <c r="B3315" i="12"/>
  <c r="A3316" i="12"/>
  <c r="B3316" i="12"/>
  <c r="A3317" i="12"/>
  <c r="B3317" i="12"/>
  <c r="A3318" i="12"/>
  <c r="B3318" i="12"/>
  <c r="A3319" i="12"/>
  <c r="B3319" i="12"/>
  <c r="A3320" i="12"/>
  <c r="B3320" i="12"/>
  <c r="A3321" i="12"/>
  <c r="B3321" i="12"/>
  <c r="A3322" i="12"/>
  <c r="B3322" i="12"/>
  <c r="A3323" i="12"/>
  <c r="B3323" i="12"/>
  <c r="A3324" i="12"/>
  <c r="B3324" i="12"/>
  <c r="A3325" i="12"/>
  <c r="B3325" i="12"/>
  <c r="A3326" i="12"/>
  <c r="B3326" i="12"/>
  <c r="A3327" i="12"/>
  <c r="B3327" i="12"/>
  <c r="A3328" i="12"/>
  <c r="B3328" i="12"/>
  <c r="A3329" i="12"/>
  <c r="B3329" i="12"/>
  <c r="A3330" i="12"/>
  <c r="B3330" i="12"/>
  <c r="A3331" i="12"/>
  <c r="B3331" i="12"/>
  <c r="A3332" i="12"/>
  <c r="B3332" i="12"/>
  <c r="A3333" i="12"/>
  <c r="B3333" i="12"/>
  <c r="A3334" i="12"/>
  <c r="B3334" i="12"/>
  <c r="A3335" i="12"/>
  <c r="B3335" i="12"/>
  <c r="A3336" i="12"/>
  <c r="B3336" i="12"/>
  <c r="A3337" i="12"/>
  <c r="B3337" i="12"/>
  <c r="A3338" i="12"/>
  <c r="B3338" i="12"/>
  <c r="A3339" i="12"/>
  <c r="B3339" i="12"/>
  <c r="A3340" i="12"/>
  <c r="B3340" i="12"/>
  <c r="A3341" i="12"/>
  <c r="B3341" i="12"/>
  <c r="A3342" i="12"/>
  <c r="B3342" i="12"/>
  <c r="A3343" i="12"/>
  <c r="B3343" i="12"/>
  <c r="A3344" i="12"/>
  <c r="B3344" i="12"/>
  <c r="A3345" i="12"/>
  <c r="B3345" i="12"/>
  <c r="A3346" i="12"/>
  <c r="B3346" i="12"/>
  <c r="A3347" i="12"/>
  <c r="B3347" i="12"/>
  <c r="A3348" i="12"/>
  <c r="B3348" i="12"/>
  <c r="A3349" i="12"/>
  <c r="B3349" i="12"/>
  <c r="A3350" i="12"/>
  <c r="B3350" i="12"/>
  <c r="A3351" i="12"/>
  <c r="B3351" i="12"/>
  <c r="A3352" i="12"/>
  <c r="B3352" i="12"/>
  <c r="A3353" i="12"/>
  <c r="B3353" i="12"/>
  <c r="A3354" i="12"/>
  <c r="B3354" i="12"/>
  <c r="A3355" i="12"/>
  <c r="B3355" i="12"/>
  <c r="A3356" i="12"/>
  <c r="B3356" i="12"/>
  <c r="A3357" i="12"/>
  <c r="B3357" i="12"/>
  <c r="A3358" i="12"/>
  <c r="B3358" i="12"/>
  <c r="A3359" i="12"/>
  <c r="B3359" i="12"/>
  <c r="A3360" i="12"/>
  <c r="B3360" i="12"/>
  <c r="A3361" i="12"/>
  <c r="B3361" i="12"/>
  <c r="A3362" i="12"/>
  <c r="B3362" i="12"/>
  <c r="A3363" i="12"/>
  <c r="B3363" i="12"/>
  <c r="A3364" i="12"/>
  <c r="B3364" i="12"/>
  <c r="A3365" i="12"/>
  <c r="B3365" i="12"/>
  <c r="A3366" i="12"/>
  <c r="B3366" i="12"/>
  <c r="A3367" i="12"/>
  <c r="B3367" i="12"/>
  <c r="A3368" i="12"/>
  <c r="B3368" i="12"/>
  <c r="A3369" i="12"/>
  <c r="B3369" i="12"/>
  <c r="A3370" i="12"/>
  <c r="B3370" i="12"/>
  <c r="A3371" i="12"/>
  <c r="B3371" i="12"/>
  <c r="A3372" i="12"/>
  <c r="B3372" i="12"/>
  <c r="A3373" i="12"/>
  <c r="B3373" i="12"/>
  <c r="A3374" i="12"/>
  <c r="B3374" i="12"/>
  <c r="A3375" i="12"/>
  <c r="B3375" i="12"/>
  <c r="A3376" i="12"/>
  <c r="B3376" i="12"/>
  <c r="A3377" i="12"/>
  <c r="B3377" i="12"/>
  <c r="A3378" i="12"/>
  <c r="B3378" i="12"/>
  <c r="A3380" i="12"/>
  <c r="B3380" i="12"/>
  <c r="A3381" i="12"/>
  <c r="B3381" i="12"/>
  <c r="A3382" i="12"/>
  <c r="B3382" i="12"/>
  <c r="A3383" i="12"/>
  <c r="B3383" i="12"/>
  <c r="A3384" i="12"/>
  <c r="B3384" i="12"/>
  <c r="A3385" i="12"/>
  <c r="B3385" i="12"/>
  <c r="A3386" i="12"/>
  <c r="B3386" i="12"/>
  <c r="A3387" i="12"/>
  <c r="B3387" i="12"/>
  <c r="A3388" i="12"/>
  <c r="B3388" i="12"/>
  <c r="A3389" i="12"/>
  <c r="B3389" i="12"/>
  <c r="A3390" i="12"/>
  <c r="B3390" i="12"/>
  <c r="A3391" i="12"/>
  <c r="B3391" i="12"/>
  <c r="A3392" i="12"/>
  <c r="B3392" i="12"/>
  <c r="A3393" i="12"/>
  <c r="B3393" i="12"/>
  <c r="A3394" i="12"/>
  <c r="B3394" i="12"/>
  <c r="A3395" i="12"/>
  <c r="B3395" i="12"/>
  <c r="A3396" i="12"/>
  <c r="B3396" i="12"/>
  <c r="A3397" i="12"/>
  <c r="B3397" i="12"/>
  <c r="A3398" i="12"/>
  <c r="B3398" i="12"/>
  <c r="A3399" i="12"/>
  <c r="B3399" i="12"/>
  <c r="A3400" i="12"/>
  <c r="B3400" i="12"/>
  <c r="A3401" i="12"/>
  <c r="B3401" i="12"/>
  <c r="A3402" i="12"/>
  <c r="B3402" i="12"/>
  <c r="A3403" i="12"/>
  <c r="B3403" i="12"/>
  <c r="A3404" i="12"/>
  <c r="B3404" i="12"/>
  <c r="A3405" i="12"/>
  <c r="B3405" i="12"/>
  <c r="A3406" i="12"/>
  <c r="B3406" i="12"/>
  <c r="A3407" i="12"/>
  <c r="B3407" i="12"/>
  <c r="A3408" i="12"/>
  <c r="B3408" i="12"/>
  <c r="A3409" i="12"/>
  <c r="B3409" i="12"/>
  <c r="A3410" i="12"/>
  <c r="B3410" i="12"/>
  <c r="A3411" i="12"/>
  <c r="B3411" i="12"/>
  <c r="A3412" i="12"/>
  <c r="B3412" i="12"/>
  <c r="A3413" i="12"/>
  <c r="B3413" i="12"/>
  <c r="A3414" i="12"/>
  <c r="B3414" i="12"/>
  <c r="A3415" i="12"/>
  <c r="B3415" i="12"/>
  <c r="A3416" i="12"/>
  <c r="B3416" i="12"/>
  <c r="A3417" i="12"/>
  <c r="B3417" i="12"/>
  <c r="A3418" i="12"/>
  <c r="B3418" i="12"/>
  <c r="A3419" i="12"/>
  <c r="B3419" i="12"/>
  <c r="A3420" i="12"/>
  <c r="B3420" i="12"/>
  <c r="A3421" i="12"/>
  <c r="B3421" i="12"/>
  <c r="A3422" i="12"/>
  <c r="B3422" i="12"/>
  <c r="A3423" i="12"/>
  <c r="B3423" i="12"/>
  <c r="A3424" i="12"/>
  <c r="B3424" i="12"/>
  <c r="A3425" i="12"/>
  <c r="B3425" i="12"/>
  <c r="A3426" i="12"/>
  <c r="B3426" i="12"/>
  <c r="A3427" i="12"/>
  <c r="B3427" i="12"/>
  <c r="A3428" i="12"/>
  <c r="B3428" i="12"/>
  <c r="A3429" i="12"/>
  <c r="B3429" i="12"/>
  <c r="A3430" i="12"/>
  <c r="B3430" i="12"/>
  <c r="A3431" i="12"/>
  <c r="B3431" i="12"/>
  <c r="A3432" i="12"/>
  <c r="B3432" i="12"/>
  <c r="A3433" i="12"/>
  <c r="B3433" i="12"/>
  <c r="A3434" i="12"/>
  <c r="B3434" i="12"/>
  <c r="A3435" i="12"/>
  <c r="B3435" i="12"/>
  <c r="A3436" i="12"/>
  <c r="B3436" i="12"/>
  <c r="A3437" i="12"/>
  <c r="B3437" i="12"/>
  <c r="A3438" i="12"/>
  <c r="B3438" i="12"/>
  <c r="A3439" i="12"/>
  <c r="B3439" i="12"/>
  <c r="A3440" i="12"/>
  <c r="B3440" i="12"/>
  <c r="A3441" i="12"/>
  <c r="B3441" i="12"/>
  <c r="A3442" i="12"/>
  <c r="B3442" i="12"/>
  <c r="A3443" i="12"/>
  <c r="B3443" i="12"/>
  <c r="A3444" i="12"/>
  <c r="B3444" i="12"/>
  <c r="A3445" i="12"/>
  <c r="B3445" i="12"/>
  <c r="A3446" i="12"/>
  <c r="B3446" i="12"/>
  <c r="A3447" i="12"/>
  <c r="B3447" i="12"/>
  <c r="A3448" i="12"/>
  <c r="B3448" i="12"/>
  <c r="A3449" i="12"/>
  <c r="B3449" i="12"/>
  <c r="A3450" i="12"/>
  <c r="B3450" i="12"/>
  <c r="A3451" i="12"/>
  <c r="B3451" i="12"/>
  <c r="A3452" i="12"/>
  <c r="B3452" i="12"/>
  <c r="A3453" i="12"/>
  <c r="B3453" i="12"/>
  <c r="A3454" i="12"/>
  <c r="B3454" i="12"/>
  <c r="A3455" i="12"/>
  <c r="B3455" i="12"/>
  <c r="A3456" i="12"/>
  <c r="B3456" i="12"/>
  <c r="A3457" i="12"/>
  <c r="B3457" i="12"/>
  <c r="A3458" i="12"/>
  <c r="B3458" i="12"/>
  <c r="A3459" i="12"/>
  <c r="B3459" i="12"/>
  <c r="A3460" i="12"/>
  <c r="B3460" i="12"/>
  <c r="A3461" i="12"/>
  <c r="B3461" i="12"/>
  <c r="A3462" i="12"/>
  <c r="B3462" i="12"/>
  <c r="A3463" i="12"/>
  <c r="B3463" i="12"/>
  <c r="A3464" i="12"/>
  <c r="B3464" i="12"/>
  <c r="A3465" i="12"/>
  <c r="B3465" i="12"/>
  <c r="A3466" i="12"/>
  <c r="B3466" i="12"/>
  <c r="A3467" i="12"/>
  <c r="B3467" i="12"/>
  <c r="A3468" i="12"/>
  <c r="B3468" i="12"/>
  <c r="A3469" i="12"/>
  <c r="B3469" i="12"/>
  <c r="A3470" i="12"/>
  <c r="B3470" i="12"/>
  <c r="A3471" i="12"/>
  <c r="B3471" i="12"/>
  <c r="A3472" i="12"/>
  <c r="B3472" i="12"/>
  <c r="A3473" i="12"/>
  <c r="B3473" i="12"/>
  <c r="A3474" i="12"/>
  <c r="B3474" i="12"/>
  <c r="A3475" i="12"/>
  <c r="B3475" i="12"/>
  <c r="A3476" i="12"/>
  <c r="B3476" i="12"/>
  <c r="A3477" i="12"/>
  <c r="B3477" i="12"/>
  <c r="A3478" i="12"/>
  <c r="B3478" i="12"/>
  <c r="A3479" i="12"/>
  <c r="B3479" i="12"/>
  <c r="A3480" i="12"/>
  <c r="B3480" i="12"/>
  <c r="A3481" i="12"/>
  <c r="B3481" i="12"/>
  <c r="A3482" i="12"/>
  <c r="B3482" i="12"/>
  <c r="A3483" i="12"/>
  <c r="B3483" i="12"/>
  <c r="A3484" i="12"/>
  <c r="B3484" i="12"/>
  <c r="A3485" i="12"/>
  <c r="B3485" i="12"/>
  <c r="A3486" i="12"/>
  <c r="B3486" i="12"/>
  <c r="A3487" i="12"/>
  <c r="B3487" i="12"/>
  <c r="A3488" i="12"/>
  <c r="B3488" i="12"/>
  <c r="A3489" i="12"/>
  <c r="B3489" i="12"/>
  <c r="A3490" i="12"/>
  <c r="B3490" i="12"/>
  <c r="A3491" i="12"/>
  <c r="B3491" i="12"/>
  <c r="A3492" i="12"/>
  <c r="B3492" i="12"/>
  <c r="A3493" i="12"/>
  <c r="B3493" i="12"/>
  <c r="A3494" i="12"/>
  <c r="B3494" i="12"/>
  <c r="A3495" i="12"/>
  <c r="B3495" i="12"/>
  <c r="A3496" i="12"/>
  <c r="B3496" i="12"/>
  <c r="A3497" i="12"/>
  <c r="B3497" i="12"/>
  <c r="A3498" i="12"/>
  <c r="B3498" i="12"/>
  <c r="A3499" i="12"/>
  <c r="B3499" i="12"/>
  <c r="A3500" i="12"/>
  <c r="B3500" i="12"/>
  <c r="A3501" i="12"/>
  <c r="B3501" i="12"/>
  <c r="A3502" i="12"/>
  <c r="B3502" i="12"/>
  <c r="A3503" i="12"/>
  <c r="B3503" i="12"/>
  <c r="A3504" i="12"/>
  <c r="B3504" i="12"/>
  <c r="A3505" i="12"/>
  <c r="B3505" i="12"/>
  <c r="A3506" i="12"/>
  <c r="B3506" i="12"/>
  <c r="A3507" i="12"/>
  <c r="B3507" i="12"/>
  <c r="A3508" i="12"/>
  <c r="B3508" i="12"/>
  <c r="A3509" i="12"/>
  <c r="B3509" i="12"/>
  <c r="A3510" i="12"/>
  <c r="B3510" i="12"/>
  <c r="A3511" i="12"/>
  <c r="B3511" i="12"/>
  <c r="A3512" i="12"/>
  <c r="B3512" i="12"/>
  <c r="A3513" i="12"/>
  <c r="B3513" i="12"/>
  <c r="A3514" i="12"/>
  <c r="B3514" i="12"/>
  <c r="A3515" i="12"/>
  <c r="B3515" i="12"/>
  <c r="A3516" i="12"/>
  <c r="B3516" i="12"/>
  <c r="A3517" i="12"/>
  <c r="B3517" i="12"/>
  <c r="A3518" i="12"/>
  <c r="B3518" i="12"/>
  <c r="A3519" i="12"/>
  <c r="B3519" i="12"/>
  <c r="A3520" i="12"/>
  <c r="B3520" i="12"/>
  <c r="A3521" i="12"/>
  <c r="B3521" i="12"/>
  <c r="A3522" i="12"/>
  <c r="B3522" i="12"/>
  <c r="A3523" i="12"/>
  <c r="B3523" i="12"/>
  <c r="A3524" i="12"/>
  <c r="B3524" i="12"/>
  <c r="A3525" i="12"/>
  <c r="B3525" i="12"/>
  <c r="A3526" i="12"/>
  <c r="B3526" i="12"/>
  <c r="A3527" i="12"/>
  <c r="B3527" i="12"/>
  <c r="A3528" i="12"/>
  <c r="B3528" i="12"/>
  <c r="A3529" i="12"/>
  <c r="B3529" i="12"/>
  <c r="A3530" i="12"/>
  <c r="B3530" i="12"/>
  <c r="A3531" i="12"/>
  <c r="B3531" i="12"/>
  <c r="A3532" i="12"/>
  <c r="B3532" i="12"/>
  <c r="A3533" i="12"/>
  <c r="B3533" i="12"/>
  <c r="A3534" i="12"/>
  <c r="B3534" i="12"/>
  <c r="A3535" i="12"/>
  <c r="B3535" i="12"/>
  <c r="A3536" i="12"/>
  <c r="B3536" i="12"/>
  <c r="A3537" i="12"/>
  <c r="B3537" i="12"/>
  <c r="A3538" i="12"/>
  <c r="B3538" i="12"/>
  <c r="A3539" i="12"/>
  <c r="B3539" i="12"/>
  <c r="A3540" i="12"/>
  <c r="B3540" i="12"/>
  <c r="A3541" i="12"/>
  <c r="B3541" i="12"/>
  <c r="A3542" i="12"/>
  <c r="B3542" i="12"/>
  <c r="A3543" i="12"/>
  <c r="B3543" i="12"/>
  <c r="A3544" i="12"/>
  <c r="B3544" i="12"/>
  <c r="A3545" i="12"/>
  <c r="B3545" i="12"/>
  <c r="A3546" i="12"/>
  <c r="B3546" i="12"/>
  <c r="A3547" i="12"/>
  <c r="B3547" i="12"/>
  <c r="A3548" i="12"/>
  <c r="B3548" i="12"/>
  <c r="A3549" i="12"/>
  <c r="B3549" i="12"/>
  <c r="A3550" i="12"/>
  <c r="B3550" i="12"/>
  <c r="A3551" i="12"/>
  <c r="B3551" i="12"/>
  <c r="A3552" i="12"/>
  <c r="B3552" i="12"/>
  <c r="A3553" i="12"/>
  <c r="B3553" i="12"/>
  <c r="A3554" i="12"/>
  <c r="B3554" i="12"/>
  <c r="A3555" i="12"/>
  <c r="B3555" i="12"/>
  <c r="A3556" i="12"/>
  <c r="B3556" i="12"/>
  <c r="A3557" i="12"/>
  <c r="B3557" i="12"/>
  <c r="A3558" i="12"/>
  <c r="B3558" i="12"/>
  <c r="A3559" i="12"/>
  <c r="B3559" i="12"/>
  <c r="A3560" i="12"/>
  <c r="B3560" i="12"/>
  <c r="A3561" i="12"/>
  <c r="B3561" i="12"/>
  <c r="A3562" i="12"/>
  <c r="B3562" i="12"/>
  <c r="A3563" i="12"/>
  <c r="B3563" i="12"/>
  <c r="A3564" i="12"/>
  <c r="B3564" i="12"/>
  <c r="A3565" i="12"/>
  <c r="B3565" i="12"/>
  <c r="A3566" i="12"/>
  <c r="B3566" i="12"/>
  <c r="A3567" i="12"/>
  <c r="B3567" i="12"/>
  <c r="A3568" i="12"/>
  <c r="B3568" i="12"/>
  <c r="A3569" i="12"/>
  <c r="B3569" i="12"/>
  <c r="A3570" i="12"/>
  <c r="B3570" i="12"/>
  <c r="A3571" i="12"/>
  <c r="B3571" i="12"/>
  <c r="A3572" i="12"/>
  <c r="B3572" i="12"/>
  <c r="A3573" i="12"/>
  <c r="B3573" i="12"/>
  <c r="A3574" i="12"/>
  <c r="B3574" i="12"/>
  <c r="A3575" i="12"/>
  <c r="B3575" i="12"/>
  <c r="A3576" i="12"/>
  <c r="B3576" i="12"/>
  <c r="A3577" i="12"/>
  <c r="B3577" i="12"/>
  <c r="A3578" i="12"/>
  <c r="B3578" i="12"/>
  <c r="A3579" i="12"/>
  <c r="B3579" i="12"/>
  <c r="A3580" i="12"/>
  <c r="B3580" i="12"/>
  <c r="A3581" i="12"/>
  <c r="B3581" i="12"/>
  <c r="A3582" i="12"/>
  <c r="B3582" i="12"/>
  <c r="A3583" i="12"/>
  <c r="B3583" i="12"/>
  <c r="A3584" i="12"/>
  <c r="B3584" i="12"/>
  <c r="A3585" i="12"/>
  <c r="B3585" i="12"/>
  <c r="A3586" i="12"/>
  <c r="B3586" i="12"/>
  <c r="A3587" i="12"/>
  <c r="B3587" i="12"/>
  <c r="A3588" i="12"/>
  <c r="B3588" i="12"/>
  <c r="A3589" i="12"/>
  <c r="B3589" i="12"/>
  <c r="A3590" i="12"/>
  <c r="B3590" i="12"/>
  <c r="A3591" i="12"/>
  <c r="B3591" i="12"/>
  <c r="A3592" i="12"/>
  <c r="B3592" i="12"/>
  <c r="A3593" i="12"/>
  <c r="B3593" i="12"/>
  <c r="A3594" i="12"/>
  <c r="B3594" i="12"/>
  <c r="A3595" i="12"/>
  <c r="B3595" i="12"/>
  <c r="A3596" i="12"/>
  <c r="B3596" i="12"/>
  <c r="A3597" i="12"/>
  <c r="B3597" i="12"/>
  <c r="A3598" i="12"/>
  <c r="B3598" i="12"/>
  <c r="A3599" i="12"/>
  <c r="B3599" i="12"/>
  <c r="A3600" i="12"/>
  <c r="B3600" i="12"/>
  <c r="A3601" i="12"/>
  <c r="B3601" i="12"/>
  <c r="A3602" i="12"/>
  <c r="B3602" i="12"/>
  <c r="A3603" i="12"/>
  <c r="B3603" i="12"/>
  <c r="A3604" i="12"/>
  <c r="B3604" i="12"/>
  <c r="A3605" i="12"/>
  <c r="B3605" i="12"/>
  <c r="A3606" i="12"/>
  <c r="B3606" i="12"/>
  <c r="A3607" i="12"/>
  <c r="B3607" i="12"/>
  <c r="A3608" i="12"/>
  <c r="B3608" i="12"/>
  <c r="A3609" i="12"/>
  <c r="B3609" i="12"/>
  <c r="A3610" i="12"/>
  <c r="B3610" i="12"/>
  <c r="A3611" i="12"/>
  <c r="B3611" i="12"/>
  <c r="A3612" i="12"/>
  <c r="B3612" i="12"/>
  <c r="A3613" i="12"/>
  <c r="B3613" i="12"/>
  <c r="A3614" i="12"/>
  <c r="B3614" i="12"/>
  <c r="A3615" i="12"/>
  <c r="B3615" i="12"/>
  <c r="A3616" i="12"/>
  <c r="B3616" i="12"/>
  <c r="A3617" i="12"/>
  <c r="B3617" i="12"/>
  <c r="A3618" i="12"/>
  <c r="B3618" i="12"/>
  <c r="A3619" i="12"/>
  <c r="B3619" i="12"/>
  <c r="A3620" i="12"/>
  <c r="B3620" i="12"/>
  <c r="A3621" i="12"/>
  <c r="B3621" i="12"/>
  <c r="A3622" i="12"/>
  <c r="B3622" i="12"/>
  <c r="A3623" i="12"/>
  <c r="B3623" i="12"/>
  <c r="A3624" i="12"/>
  <c r="B3624" i="12"/>
  <c r="A3625" i="12"/>
  <c r="B3625" i="12"/>
  <c r="A3626" i="12"/>
  <c r="B3626" i="12"/>
  <c r="A3627" i="12"/>
  <c r="B3627" i="12"/>
  <c r="A3628" i="12"/>
  <c r="B3628" i="12"/>
  <c r="A3629" i="12"/>
  <c r="B3629" i="12"/>
  <c r="A3630" i="12"/>
  <c r="B3630" i="12"/>
  <c r="A3631" i="12"/>
  <c r="B3631" i="12"/>
  <c r="A3632" i="12"/>
  <c r="B3632" i="12"/>
  <c r="A3633" i="12"/>
  <c r="B3633" i="12"/>
  <c r="A3634" i="12"/>
  <c r="B3634" i="12"/>
  <c r="A3635" i="12"/>
  <c r="B3635" i="12"/>
  <c r="A3636" i="12"/>
  <c r="B3636" i="12"/>
  <c r="A3637" i="12"/>
  <c r="B3637" i="12"/>
  <c r="A3638" i="12"/>
  <c r="B3638" i="12"/>
  <c r="A3639" i="12"/>
  <c r="B3639" i="12"/>
  <c r="A3640" i="12"/>
  <c r="B3640" i="12"/>
  <c r="A3641" i="12"/>
  <c r="B3641" i="12"/>
  <c r="A3642" i="12"/>
  <c r="B3642" i="12"/>
  <c r="A3643" i="12"/>
  <c r="B3643" i="12"/>
  <c r="A3646" i="12"/>
  <c r="B3646" i="12"/>
  <c r="A3647" i="12"/>
  <c r="B3647" i="12"/>
  <c r="A3648" i="12"/>
  <c r="B3648" i="12"/>
  <c r="A3649" i="12"/>
  <c r="B3649" i="12"/>
  <c r="A3650" i="12"/>
  <c r="B3650" i="12"/>
  <c r="A3651" i="12"/>
  <c r="B3651" i="12"/>
  <c r="A3652" i="12"/>
  <c r="B3652" i="12"/>
  <c r="A3653" i="12"/>
  <c r="B3653" i="12"/>
  <c r="A3654" i="12"/>
  <c r="B3654" i="12"/>
  <c r="A3656" i="12"/>
  <c r="B3656" i="12"/>
  <c r="A3657" i="12"/>
  <c r="B3657" i="12"/>
  <c r="A3658" i="12"/>
  <c r="B3658" i="12"/>
  <c r="A3659" i="12"/>
  <c r="B3659" i="12"/>
  <c r="A3660" i="12"/>
  <c r="B3660" i="12"/>
  <c r="A3661" i="12"/>
  <c r="B3661" i="12"/>
  <c r="A3662" i="12"/>
  <c r="B3662" i="12"/>
  <c r="A3663" i="12"/>
  <c r="B3663" i="12"/>
  <c r="A3664" i="12"/>
  <c r="B3664" i="12"/>
  <c r="A3665" i="12"/>
  <c r="B3665" i="12"/>
  <c r="A3666" i="12"/>
  <c r="B3666" i="12"/>
  <c r="A3667" i="12"/>
  <c r="B3667" i="12"/>
  <c r="A3668" i="12"/>
  <c r="B3668" i="12"/>
  <c r="A3669" i="12"/>
  <c r="B3669" i="12"/>
  <c r="A3670" i="12"/>
  <c r="B3670" i="12"/>
  <c r="A3671" i="12"/>
  <c r="B3671" i="12"/>
  <c r="A3672" i="12"/>
  <c r="B3672" i="12"/>
  <c r="A3673" i="12"/>
  <c r="B3673" i="12"/>
  <c r="A3674" i="12"/>
  <c r="B3674" i="12"/>
  <c r="A3675" i="12"/>
  <c r="B3675" i="12"/>
  <c r="A3676" i="12"/>
  <c r="B3676" i="12"/>
  <c r="A3677" i="12"/>
  <c r="B3677" i="12"/>
  <c r="A3678" i="12"/>
  <c r="B3678" i="12"/>
  <c r="A3679" i="12"/>
  <c r="B3679" i="12"/>
  <c r="A3680" i="12"/>
  <c r="B3680" i="12"/>
  <c r="A3681" i="12"/>
  <c r="B3681" i="12"/>
  <c r="A3682" i="12"/>
  <c r="B3682" i="12"/>
  <c r="A3683" i="12"/>
  <c r="B3683" i="12"/>
  <c r="A3684" i="12"/>
  <c r="B3684" i="12"/>
  <c r="A3685" i="12"/>
  <c r="A3686" i="12"/>
  <c r="B3686" i="12"/>
  <c r="A3687" i="12"/>
  <c r="B3687" i="12"/>
  <c r="A3688" i="12"/>
  <c r="B3688" i="12"/>
  <c r="A3689" i="12"/>
  <c r="B3689" i="12"/>
  <c r="A3690" i="12"/>
  <c r="B3690" i="12"/>
  <c r="A3691" i="12"/>
  <c r="B3691" i="12"/>
  <c r="A3692" i="12"/>
  <c r="B3692" i="12"/>
  <c r="A3693" i="12"/>
  <c r="B3693" i="12"/>
  <c r="A3694" i="12"/>
  <c r="B3694" i="12"/>
  <c r="A3695" i="12"/>
  <c r="B3695" i="12"/>
  <c r="A3696" i="12"/>
  <c r="B3696" i="12"/>
  <c r="A3697" i="12"/>
  <c r="B3697" i="12"/>
  <c r="A3698" i="12"/>
  <c r="B3698" i="12"/>
  <c r="A3699" i="12"/>
  <c r="B3699" i="12"/>
  <c r="A3700" i="12"/>
  <c r="B3700" i="12"/>
  <c r="A3701" i="12"/>
  <c r="B3701" i="12"/>
  <c r="A3702" i="12"/>
  <c r="B3702" i="12"/>
  <c r="A3703" i="12"/>
  <c r="B3703" i="12"/>
  <c r="A3704" i="12"/>
  <c r="B3704" i="12"/>
  <c r="A3705" i="12"/>
  <c r="B3705" i="12"/>
  <c r="A3706" i="12"/>
  <c r="B3706" i="12"/>
  <c r="A3707" i="12"/>
  <c r="B3707" i="12"/>
  <c r="A3708" i="12"/>
  <c r="B3708" i="12"/>
  <c r="A3709" i="12"/>
  <c r="B3709" i="12"/>
  <c r="A3710" i="12"/>
  <c r="B3710" i="12"/>
  <c r="A3711" i="12"/>
  <c r="B3711" i="12"/>
  <c r="A3712" i="12"/>
  <c r="B3712" i="12"/>
  <c r="A3713" i="12"/>
  <c r="B3713" i="12"/>
  <c r="A3714" i="12"/>
  <c r="B3714" i="12"/>
  <c r="A3715" i="12"/>
  <c r="B3715" i="12"/>
  <c r="A3716" i="12"/>
  <c r="B3716" i="12"/>
  <c r="A3717" i="12"/>
  <c r="B3717" i="12"/>
  <c r="A3718" i="12"/>
  <c r="B3718" i="12"/>
  <c r="A3719" i="12"/>
  <c r="B3719" i="12"/>
  <c r="A3720" i="12"/>
  <c r="B3720" i="12"/>
  <c r="A3721" i="12"/>
  <c r="B3721" i="12"/>
  <c r="A3722" i="12"/>
  <c r="B3722" i="12"/>
  <c r="A3723" i="12"/>
  <c r="B3723" i="12"/>
  <c r="A3724" i="12"/>
  <c r="B3724" i="12"/>
  <c r="A3725" i="12"/>
  <c r="B3725" i="12"/>
  <c r="A3726" i="12"/>
  <c r="B3726" i="12"/>
  <c r="A3727" i="12"/>
  <c r="B3727" i="12"/>
  <c r="A3728" i="12"/>
  <c r="B3728" i="12"/>
  <c r="A3729" i="12"/>
  <c r="B3729" i="12"/>
  <c r="A3730" i="12"/>
  <c r="B3730" i="12"/>
  <c r="A3731" i="12"/>
  <c r="B3731" i="12"/>
  <c r="A3732" i="12"/>
  <c r="B3732" i="12"/>
  <c r="A3733" i="12"/>
  <c r="B3733" i="12"/>
  <c r="A3734" i="12"/>
  <c r="B3734" i="12"/>
  <c r="A3735" i="12"/>
  <c r="B3735" i="12"/>
  <c r="A3736" i="12"/>
  <c r="B3736" i="12"/>
  <c r="A3737" i="12"/>
  <c r="B3737" i="12"/>
  <c r="A3738" i="12"/>
  <c r="B3738" i="12"/>
  <c r="A3739" i="12"/>
  <c r="B3739" i="12"/>
  <c r="A3740" i="12"/>
  <c r="B3740" i="12"/>
  <c r="A3741" i="12"/>
  <c r="B3741" i="12"/>
  <c r="A3742" i="12"/>
  <c r="B3742" i="12"/>
  <c r="A3743" i="12"/>
  <c r="B3743" i="12"/>
  <c r="A3744" i="12"/>
  <c r="B3744" i="12"/>
  <c r="A3745" i="12"/>
  <c r="B3745" i="12"/>
  <c r="A3746" i="12"/>
  <c r="B3746" i="12"/>
  <c r="A3747" i="12"/>
  <c r="B3747" i="12"/>
  <c r="A3748" i="12"/>
  <c r="B3748" i="12"/>
  <c r="A3749" i="12"/>
  <c r="B3749" i="12"/>
  <c r="A3750" i="12"/>
  <c r="B3750" i="12"/>
  <c r="A3751" i="12"/>
  <c r="B3751" i="12"/>
  <c r="A3752" i="12"/>
  <c r="B3752" i="12"/>
  <c r="A3753" i="12"/>
  <c r="B3753" i="12"/>
  <c r="A3754" i="12"/>
  <c r="B3754" i="12"/>
  <c r="A3755" i="12"/>
  <c r="B3755" i="12"/>
  <c r="A3756" i="12"/>
  <c r="B3756" i="12"/>
  <c r="A3757" i="12"/>
  <c r="B3757" i="12"/>
  <c r="A3758" i="12"/>
  <c r="B3758" i="12"/>
  <c r="A3759" i="12"/>
  <c r="B3759" i="12"/>
  <c r="A3760" i="12"/>
  <c r="B3760" i="12"/>
  <c r="A3761" i="12"/>
  <c r="B3761" i="12"/>
  <c r="A3762" i="12"/>
  <c r="B3762" i="12"/>
  <c r="A3763" i="12"/>
  <c r="B3763" i="12"/>
  <c r="A3764" i="12"/>
  <c r="B3764" i="12"/>
  <c r="A3765" i="12"/>
  <c r="B3765" i="12"/>
  <c r="A3766" i="12"/>
  <c r="B3766" i="12"/>
  <c r="A3767" i="12"/>
  <c r="B3767" i="12"/>
  <c r="A3768" i="12"/>
  <c r="B3768" i="12"/>
  <c r="A3769" i="12"/>
  <c r="B3769" i="12"/>
  <c r="A3770" i="12"/>
  <c r="B3770" i="12"/>
  <c r="A3771" i="12"/>
  <c r="B3771" i="12"/>
  <c r="A3772" i="12"/>
  <c r="B3772" i="12"/>
  <c r="A3773" i="12"/>
  <c r="B3773" i="12"/>
  <c r="A3774" i="12"/>
  <c r="B3774" i="12"/>
  <c r="A3775" i="12"/>
  <c r="B3775" i="12"/>
  <c r="A3776" i="12"/>
  <c r="B3776" i="12"/>
  <c r="A3777" i="12"/>
  <c r="B3777" i="12"/>
  <c r="A3778" i="12"/>
  <c r="B3778" i="12"/>
  <c r="A3779" i="12"/>
  <c r="B3779" i="12"/>
  <c r="A3780" i="12"/>
  <c r="B3780" i="12"/>
  <c r="A3781" i="12"/>
  <c r="B3781" i="12"/>
  <c r="A3782" i="12"/>
  <c r="B3782" i="12"/>
  <c r="A3783" i="12"/>
  <c r="B3783" i="12"/>
  <c r="A3784" i="12"/>
  <c r="B3784" i="12"/>
  <c r="A3785" i="12"/>
  <c r="B3785" i="12"/>
  <c r="A3786" i="12"/>
  <c r="B3786" i="12"/>
  <c r="A3787" i="12"/>
  <c r="B3787" i="12"/>
  <c r="A3788" i="12"/>
  <c r="B3788" i="12"/>
  <c r="A3789" i="12"/>
  <c r="B3789" i="12"/>
  <c r="A3790" i="12"/>
  <c r="B3790" i="12"/>
  <c r="A3791" i="12"/>
  <c r="B3791" i="12"/>
  <c r="A3792" i="12"/>
  <c r="B3792" i="12"/>
  <c r="A3793" i="12"/>
  <c r="B3793" i="12"/>
  <c r="A3794" i="12"/>
  <c r="B3794" i="12"/>
  <c r="A3795" i="12"/>
  <c r="B3795" i="12"/>
  <c r="A3796" i="12"/>
  <c r="B3796" i="12"/>
  <c r="A3797" i="12"/>
  <c r="B3797" i="12"/>
  <c r="A3798" i="12"/>
  <c r="B3798" i="12"/>
  <c r="A3799" i="12"/>
  <c r="B3799" i="12"/>
  <c r="A3800" i="12"/>
  <c r="B3800" i="12"/>
  <c r="A3801" i="12"/>
  <c r="B3801" i="12"/>
  <c r="A3802" i="12"/>
  <c r="B3802" i="12"/>
  <c r="A3803" i="12"/>
  <c r="B3803" i="12"/>
  <c r="A3804" i="12"/>
  <c r="B3804" i="12"/>
  <c r="A3805" i="12"/>
  <c r="B3805" i="12"/>
  <c r="A3806" i="12"/>
  <c r="B3806" i="12"/>
  <c r="A3807" i="12"/>
  <c r="B3807" i="12"/>
  <c r="A3808" i="12"/>
  <c r="B3808" i="12"/>
  <c r="A3809" i="12"/>
  <c r="B3809" i="12"/>
  <c r="A3810" i="12"/>
  <c r="B3810" i="12"/>
  <c r="A3811" i="12"/>
  <c r="B3811" i="12"/>
  <c r="A3812" i="12"/>
  <c r="B3812" i="12"/>
  <c r="A3813" i="12"/>
  <c r="B3813" i="12"/>
  <c r="A3814" i="12"/>
  <c r="B3814" i="12"/>
  <c r="A3815" i="12"/>
  <c r="B3815" i="12"/>
  <c r="A3816" i="12"/>
  <c r="B3816" i="12"/>
  <c r="A3817" i="12"/>
  <c r="B3817" i="12"/>
  <c r="A3818" i="12"/>
  <c r="B3818" i="12"/>
  <c r="A3819" i="12"/>
  <c r="B3819" i="12"/>
  <c r="A3820" i="12"/>
  <c r="B3820" i="12"/>
  <c r="A3821" i="12"/>
  <c r="B3821" i="12"/>
  <c r="A3822" i="12"/>
  <c r="B3822" i="12"/>
  <c r="A3823" i="12"/>
  <c r="B3823" i="12"/>
  <c r="A3824" i="12"/>
  <c r="B3824" i="12"/>
  <c r="A3825" i="12"/>
  <c r="B3825" i="12"/>
  <c r="A3826" i="12"/>
  <c r="B3826" i="12"/>
  <c r="A3827" i="12"/>
  <c r="B3827" i="12"/>
  <c r="A3828" i="12"/>
  <c r="B3828" i="12"/>
  <c r="A3829" i="12"/>
  <c r="B3829" i="12"/>
  <c r="A3830" i="12"/>
  <c r="B3830" i="12"/>
  <c r="A3831" i="12"/>
  <c r="B3831" i="12"/>
  <c r="A3832" i="12"/>
  <c r="B3832" i="12"/>
  <c r="A3833" i="12"/>
  <c r="B3833" i="12"/>
  <c r="A3834" i="12"/>
  <c r="B3834" i="12"/>
  <c r="A3835" i="12"/>
  <c r="B3835" i="12"/>
  <c r="A3836" i="12"/>
  <c r="B3836" i="12"/>
  <c r="A3837" i="12"/>
  <c r="B3837" i="12"/>
  <c r="A3838" i="12"/>
  <c r="B3838" i="12"/>
  <c r="A3839" i="12"/>
  <c r="B3839" i="12"/>
  <c r="A3840" i="12"/>
  <c r="B3840" i="12"/>
  <c r="A3841" i="12"/>
  <c r="B3841" i="12"/>
  <c r="A3842" i="12"/>
  <c r="B3842" i="12"/>
  <c r="A3843" i="12"/>
  <c r="B3843" i="12"/>
  <c r="A3844" i="12"/>
  <c r="B3844" i="12"/>
  <c r="A3845" i="12"/>
  <c r="B3845" i="12"/>
  <c r="A3846" i="12"/>
  <c r="B3846" i="12"/>
  <c r="A3847" i="12"/>
  <c r="B3847" i="12"/>
  <c r="A3848" i="12"/>
  <c r="B3848" i="12"/>
  <c r="A3849" i="12"/>
  <c r="B3849" i="12"/>
  <c r="A3850" i="12"/>
  <c r="B3850" i="12"/>
  <c r="A3851" i="12"/>
  <c r="B3851" i="12"/>
  <c r="A3852" i="12"/>
  <c r="B3852" i="12"/>
  <c r="A3853" i="12"/>
  <c r="B3853" i="12"/>
  <c r="A3854" i="12"/>
  <c r="B3854" i="12"/>
  <c r="A3855" i="12"/>
  <c r="B3855" i="12"/>
  <c r="A3856" i="12"/>
  <c r="B3856" i="12"/>
  <c r="A3857" i="12"/>
  <c r="B3857" i="12"/>
  <c r="A3858" i="12"/>
  <c r="B3858" i="12"/>
  <c r="A3859" i="12"/>
  <c r="B3859" i="12"/>
  <c r="A3860" i="12"/>
  <c r="B3860" i="12"/>
  <c r="A3861" i="12"/>
  <c r="B3861" i="12"/>
  <c r="A3862" i="12"/>
  <c r="B3862" i="12"/>
  <c r="A3863" i="12"/>
  <c r="B3863" i="12"/>
  <c r="A3864" i="12"/>
  <c r="B3864" i="12"/>
  <c r="A3865" i="12"/>
  <c r="B3865" i="12"/>
  <c r="A3866" i="12"/>
  <c r="B3866" i="12"/>
  <c r="A3867" i="12"/>
  <c r="B3867" i="12"/>
  <c r="A3868" i="12"/>
  <c r="B3868" i="12"/>
  <c r="A3869" i="12"/>
  <c r="B3869" i="12"/>
  <c r="A3871" i="12"/>
  <c r="B3871" i="12"/>
  <c r="A3872" i="12"/>
  <c r="B3872" i="12"/>
  <c r="A3873" i="12"/>
  <c r="B3873" i="12"/>
  <c r="A3874" i="12"/>
  <c r="B3874" i="12"/>
  <c r="A3875" i="12"/>
  <c r="B3875" i="12"/>
  <c r="A3876" i="12"/>
  <c r="B3876" i="12"/>
  <c r="A3877" i="12"/>
  <c r="B3877" i="12"/>
  <c r="A3878" i="12"/>
  <c r="B3878" i="12"/>
  <c r="A3879" i="12"/>
  <c r="B3879" i="12"/>
  <c r="A3880" i="12"/>
  <c r="B3880" i="12"/>
  <c r="A3881" i="12"/>
  <c r="B3881" i="12"/>
  <c r="A3882" i="12"/>
  <c r="B3882" i="12"/>
  <c r="A3883" i="12"/>
  <c r="B3883" i="12"/>
  <c r="A3884" i="12"/>
  <c r="B3884" i="12"/>
  <c r="A3885" i="12"/>
  <c r="B3885" i="12"/>
  <c r="A3886" i="12"/>
  <c r="B3886" i="12"/>
  <c r="A3887" i="12"/>
  <c r="B3887" i="12"/>
  <c r="A3888" i="12"/>
  <c r="B3888" i="12"/>
  <c r="A3889" i="12"/>
  <c r="B3889" i="12"/>
  <c r="A3890" i="12"/>
  <c r="B3890" i="12"/>
  <c r="A3891" i="12"/>
  <c r="B3891" i="12"/>
  <c r="A3892" i="12"/>
  <c r="B3892" i="12"/>
  <c r="A3893" i="12"/>
  <c r="B3893" i="12"/>
  <c r="A3894" i="12"/>
  <c r="B3894" i="12"/>
  <c r="A3895" i="12"/>
  <c r="B3895" i="12"/>
  <c r="A3896" i="12"/>
  <c r="B3896" i="12"/>
  <c r="A3897" i="12"/>
  <c r="B3897" i="12"/>
  <c r="A3898" i="12"/>
  <c r="B3898" i="12"/>
  <c r="A3899" i="12"/>
  <c r="B3899" i="12"/>
  <c r="A3900" i="12"/>
  <c r="B3900" i="12"/>
  <c r="A3901" i="12"/>
  <c r="B3901" i="12"/>
  <c r="A3902" i="12"/>
  <c r="B3902" i="12"/>
  <c r="A3903" i="12"/>
  <c r="B3903" i="12"/>
  <c r="A3904" i="12"/>
  <c r="B3904" i="12"/>
  <c r="A3905" i="12"/>
  <c r="B3905" i="12"/>
  <c r="A3906" i="12"/>
  <c r="B3906" i="12"/>
  <c r="A3907" i="12"/>
  <c r="B3907" i="12"/>
  <c r="A3908" i="12"/>
  <c r="B3908" i="12"/>
  <c r="A3909" i="12"/>
  <c r="B3909" i="12"/>
  <c r="A3910" i="12"/>
  <c r="B3910" i="12"/>
  <c r="A3911" i="12"/>
  <c r="B3911" i="12"/>
  <c r="A3912" i="12"/>
  <c r="B3912" i="12"/>
  <c r="A3913" i="12"/>
  <c r="B3913" i="12"/>
  <c r="A3914" i="12"/>
  <c r="B3914" i="12"/>
  <c r="A3915" i="12"/>
  <c r="B3915" i="12"/>
  <c r="A3916" i="12"/>
  <c r="B3916" i="12"/>
  <c r="A3917" i="12"/>
  <c r="B3917" i="12"/>
  <c r="A3918" i="12"/>
  <c r="B3918" i="12"/>
  <c r="A3919" i="12"/>
  <c r="B3919" i="12"/>
  <c r="A3920" i="12"/>
  <c r="B3920" i="12"/>
  <c r="A3921" i="12"/>
  <c r="B3921" i="12"/>
  <c r="A3922" i="12"/>
  <c r="B3922" i="12"/>
  <c r="A3923" i="12"/>
  <c r="B3923" i="12"/>
  <c r="A3924" i="12"/>
  <c r="B3924" i="12"/>
  <c r="A3925" i="12"/>
  <c r="B3925" i="12"/>
  <c r="A3926" i="12"/>
  <c r="B3926" i="12"/>
  <c r="A3927" i="12"/>
  <c r="B3927" i="12"/>
  <c r="A3928" i="12"/>
  <c r="B3928" i="12"/>
  <c r="A3929" i="12"/>
  <c r="B3929" i="12"/>
  <c r="A3930" i="12"/>
  <c r="B3930" i="12"/>
  <c r="A3931" i="12"/>
  <c r="B3931" i="12"/>
  <c r="A3932" i="12"/>
  <c r="B3932" i="12"/>
  <c r="A3933" i="12"/>
  <c r="B3933" i="12"/>
  <c r="A3934" i="12"/>
  <c r="B3934" i="12"/>
  <c r="A3935" i="12"/>
  <c r="B3935" i="12"/>
  <c r="A3936" i="12"/>
  <c r="B3936" i="12"/>
  <c r="A3937" i="12"/>
  <c r="B3937" i="12"/>
  <c r="A3938" i="12"/>
  <c r="B3938" i="12"/>
  <c r="A3939" i="12"/>
  <c r="B3939" i="12"/>
  <c r="A3940" i="12"/>
  <c r="B3940" i="12"/>
  <c r="A3941" i="12"/>
  <c r="B3941" i="12"/>
  <c r="A3942" i="12"/>
  <c r="B3942" i="12"/>
  <c r="A3943" i="12"/>
  <c r="B3943" i="12"/>
  <c r="A3944" i="12"/>
  <c r="B3944" i="12"/>
  <c r="A3945" i="12"/>
  <c r="B3945" i="12"/>
  <c r="A3946" i="12"/>
  <c r="B3946" i="12"/>
  <c r="A3947" i="12"/>
  <c r="B3947" i="12"/>
  <c r="A3948" i="12"/>
  <c r="B3948" i="12"/>
  <c r="A3949" i="12"/>
  <c r="B3949" i="12"/>
  <c r="A3950" i="12"/>
  <c r="B3950" i="12"/>
  <c r="A3951" i="12"/>
  <c r="B3951" i="12"/>
  <c r="A3952" i="12"/>
  <c r="B3952" i="12"/>
  <c r="A3953" i="12"/>
  <c r="B3953" i="12"/>
  <c r="A3954" i="12"/>
  <c r="B3954" i="12"/>
  <c r="A3955" i="12"/>
  <c r="B3955" i="12"/>
  <c r="A3956" i="12"/>
  <c r="B3956" i="12"/>
  <c r="A3957" i="12"/>
  <c r="B3957" i="12"/>
  <c r="A3958" i="12"/>
  <c r="B3958" i="12"/>
  <c r="A3959" i="12"/>
  <c r="B3959" i="12"/>
  <c r="A3960" i="12"/>
  <c r="B3960" i="12"/>
  <c r="A3961" i="12"/>
  <c r="B3961" i="12"/>
  <c r="A3962" i="12"/>
  <c r="B3962" i="12"/>
  <c r="A3963" i="12"/>
  <c r="B3963" i="12"/>
  <c r="A3964" i="12"/>
  <c r="B3964" i="12"/>
  <c r="A3965" i="12"/>
  <c r="B3965" i="12"/>
  <c r="A3966" i="12"/>
  <c r="B3966" i="12"/>
  <c r="A3967" i="12"/>
  <c r="B3967" i="12"/>
  <c r="A3968" i="12"/>
  <c r="B3968" i="12"/>
  <c r="A3969" i="12"/>
  <c r="B3969" i="12"/>
  <c r="A3970" i="12"/>
  <c r="B3970" i="12"/>
  <c r="A3971" i="12"/>
  <c r="B3971" i="12"/>
  <c r="A3972" i="12"/>
  <c r="B3972" i="12"/>
  <c r="A3973" i="12"/>
  <c r="B3973" i="12"/>
  <c r="A3974" i="12"/>
  <c r="B3974" i="12"/>
  <c r="A3975" i="12"/>
  <c r="B3975" i="12"/>
  <c r="A3976" i="12"/>
  <c r="B3976" i="12"/>
  <c r="A3977" i="12"/>
  <c r="B3977" i="12"/>
  <c r="A3978" i="12"/>
  <c r="B3978" i="12"/>
  <c r="A3979" i="12"/>
  <c r="B3979" i="12"/>
  <c r="A3980" i="12"/>
  <c r="B3980" i="12"/>
  <c r="A3981" i="12"/>
  <c r="B3981" i="12"/>
  <c r="A3982" i="12"/>
  <c r="B3982" i="12"/>
  <c r="A3983" i="12"/>
  <c r="B3983" i="12"/>
  <c r="A3984" i="12"/>
  <c r="B3984" i="12"/>
  <c r="A3985" i="12"/>
  <c r="B3985" i="12"/>
  <c r="A3986" i="12"/>
  <c r="B3986" i="12"/>
  <c r="A3987" i="12"/>
  <c r="B3987" i="12"/>
  <c r="A3988" i="12"/>
  <c r="B3988" i="12"/>
  <c r="A3989" i="12"/>
  <c r="B3989" i="12"/>
  <c r="A3990" i="12"/>
  <c r="B3990" i="12"/>
  <c r="A3991" i="12"/>
  <c r="B3991" i="12"/>
  <c r="A3992" i="12"/>
  <c r="B3992" i="12"/>
  <c r="A3993" i="12"/>
  <c r="B3993" i="12"/>
  <c r="A3994" i="12"/>
  <c r="B3994" i="12"/>
  <c r="A3995" i="12"/>
  <c r="B3995" i="12"/>
  <c r="A3996" i="12"/>
  <c r="B3996" i="12"/>
  <c r="A3997" i="12"/>
  <c r="B3997" i="12"/>
  <c r="A3998" i="12"/>
  <c r="B3998" i="12"/>
  <c r="A3999" i="12"/>
  <c r="B3999" i="12"/>
  <c r="A4000" i="12"/>
  <c r="B4000" i="12"/>
  <c r="A4001" i="12"/>
  <c r="B4001" i="12"/>
  <c r="A4002" i="12"/>
  <c r="B4002" i="12"/>
  <c r="A4003" i="12"/>
  <c r="B4003" i="12"/>
  <c r="A4004" i="12"/>
  <c r="B4004" i="12"/>
  <c r="A4005" i="12"/>
  <c r="B4005" i="12"/>
  <c r="A4006" i="12"/>
  <c r="B4006" i="12"/>
  <c r="A4007" i="12"/>
  <c r="B4007" i="12"/>
  <c r="A4008" i="12"/>
  <c r="B4008" i="12"/>
  <c r="A4009" i="12"/>
  <c r="B4009" i="12"/>
  <c r="A4010" i="12"/>
  <c r="B4010" i="12"/>
  <c r="A4011" i="12"/>
  <c r="B4011" i="12"/>
  <c r="A4012" i="12"/>
  <c r="B4012" i="12"/>
  <c r="A4013" i="12"/>
  <c r="B4013" i="12"/>
  <c r="A4014" i="12"/>
  <c r="B4014" i="12"/>
  <c r="A4015" i="12"/>
  <c r="B4015" i="12"/>
  <c r="A4016" i="12"/>
  <c r="B4016" i="12"/>
  <c r="A4017" i="12"/>
  <c r="B4017" i="12"/>
  <c r="A4018" i="12"/>
  <c r="B4018" i="12"/>
  <c r="A4019" i="12"/>
  <c r="B4019" i="12"/>
  <c r="A4020" i="12"/>
  <c r="B4020" i="12"/>
  <c r="A4021" i="12"/>
  <c r="B4021" i="12"/>
  <c r="A4022" i="12"/>
  <c r="B4022" i="12"/>
  <c r="A4023" i="12"/>
  <c r="B4023" i="12"/>
  <c r="A4024" i="12"/>
  <c r="B4024" i="12"/>
  <c r="A4025" i="12"/>
  <c r="B4025" i="12"/>
  <c r="A4026" i="12"/>
  <c r="B4026" i="12"/>
  <c r="A4027" i="12"/>
  <c r="B4027" i="12"/>
  <c r="A4028" i="12"/>
  <c r="B4028" i="12"/>
  <c r="A4029" i="12"/>
  <c r="B4029" i="12"/>
  <c r="A4030" i="12"/>
  <c r="B4030" i="12"/>
  <c r="A4031" i="12"/>
  <c r="B4031" i="12"/>
  <c r="A4032" i="12"/>
  <c r="B4032" i="12"/>
  <c r="A4033" i="12"/>
  <c r="B4033" i="12"/>
  <c r="A4034" i="12"/>
  <c r="B4034" i="12"/>
  <c r="A4035" i="12"/>
  <c r="B4035" i="12"/>
  <c r="A4036" i="12"/>
  <c r="B4036" i="12"/>
  <c r="A4037" i="12"/>
  <c r="B4037" i="12"/>
  <c r="A4038" i="12"/>
  <c r="B4038" i="12"/>
  <c r="A4039" i="12"/>
  <c r="B4039" i="12"/>
  <c r="A4040" i="12"/>
  <c r="B4040" i="12"/>
  <c r="A4041" i="12"/>
  <c r="B4041" i="12"/>
  <c r="A4042" i="12"/>
  <c r="B4042" i="12"/>
  <c r="A4043" i="12"/>
  <c r="B4043" i="12"/>
  <c r="A4044" i="12"/>
  <c r="B4044" i="12"/>
  <c r="A4045" i="12"/>
  <c r="B4045" i="12"/>
  <c r="A4046" i="12"/>
  <c r="B4046" i="12"/>
  <c r="A4047" i="12"/>
  <c r="B4047" i="12"/>
  <c r="A4048" i="12"/>
  <c r="B4048" i="12"/>
  <c r="A4049" i="12"/>
  <c r="B4049" i="12"/>
  <c r="A4050" i="12"/>
  <c r="B4050" i="12"/>
  <c r="A4051" i="12"/>
  <c r="B4051" i="12"/>
  <c r="A4052" i="12"/>
  <c r="B4052" i="12"/>
  <c r="A4053" i="12"/>
  <c r="B4053" i="12"/>
  <c r="A4054" i="12"/>
  <c r="B4054" i="12"/>
  <c r="A4055" i="12"/>
  <c r="B4055" i="12"/>
  <c r="A4056" i="12"/>
  <c r="B4056" i="12"/>
  <c r="A4057" i="12"/>
  <c r="B4057" i="12"/>
  <c r="A4058" i="12"/>
  <c r="B4058" i="12"/>
  <c r="A4059" i="12"/>
  <c r="B4059" i="12"/>
  <c r="A4060" i="12"/>
  <c r="B4060" i="12"/>
  <c r="A4061" i="12"/>
  <c r="B4061" i="12"/>
  <c r="A4062" i="12"/>
  <c r="B4062" i="12"/>
  <c r="A4063" i="12"/>
  <c r="B4063" i="12"/>
  <c r="A4064" i="12"/>
  <c r="B4064" i="12"/>
  <c r="A4065" i="12"/>
  <c r="B4065" i="12"/>
  <c r="A4066" i="12"/>
  <c r="B4066" i="12"/>
  <c r="A4067" i="12"/>
  <c r="B4067" i="12"/>
  <c r="A4068" i="12"/>
  <c r="B4068" i="12"/>
  <c r="A4069" i="12"/>
  <c r="B4069" i="12"/>
  <c r="A4070" i="12"/>
  <c r="B4070" i="12"/>
  <c r="A4071" i="12"/>
  <c r="B4071" i="12"/>
  <c r="A4072" i="12"/>
  <c r="B4072" i="12"/>
  <c r="A4073" i="12"/>
  <c r="B4073" i="12"/>
  <c r="A4074" i="12"/>
  <c r="B4074" i="12"/>
  <c r="A4075" i="12"/>
  <c r="B4075" i="12"/>
  <c r="A4076" i="12"/>
  <c r="B4076" i="12"/>
  <c r="A4077" i="12"/>
  <c r="B4077" i="12"/>
  <c r="A4078" i="12"/>
  <c r="B4078" i="12"/>
  <c r="A4079" i="12"/>
  <c r="B4079" i="12"/>
  <c r="A4080" i="12"/>
  <c r="B4080" i="12"/>
  <c r="A4081" i="12"/>
  <c r="B4081" i="12"/>
  <c r="A4082" i="12"/>
  <c r="B4082" i="12"/>
  <c r="A4083" i="12"/>
  <c r="B4083" i="12"/>
  <c r="A4084" i="12"/>
  <c r="B4084" i="12"/>
  <c r="A4085" i="12"/>
  <c r="B4085" i="12"/>
  <c r="A4086" i="12"/>
  <c r="B4086" i="12"/>
  <c r="A4087" i="12"/>
  <c r="B4087" i="12"/>
  <c r="A4088" i="12"/>
  <c r="B4088" i="12"/>
  <c r="A4089" i="12"/>
  <c r="B4089" i="12"/>
  <c r="A4090" i="12"/>
  <c r="B4090" i="12"/>
  <c r="A4091" i="12"/>
  <c r="B4091" i="12"/>
  <c r="A4092" i="12"/>
  <c r="B4092" i="12"/>
  <c r="A4093" i="12"/>
  <c r="B4093" i="12"/>
  <c r="A4094" i="12"/>
  <c r="B4094" i="12"/>
  <c r="A4095" i="12"/>
  <c r="B4095" i="12"/>
  <c r="A4096" i="12"/>
  <c r="B4096" i="12"/>
  <c r="A4097" i="12"/>
  <c r="B4097" i="12"/>
  <c r="A4098" i="12"/>
  <c r="B4098" i="12"/>
  <c r="A4099" i="12"/>
  <c r="B4099" i="12"/>
  <c r="A4100" i="12"/>
  <c r="B4100" i="12"/>
  <c r="A4101" i="12"/>
  <c r="B4101" i="12"/>
  <c r="A4102" i="12"/>
  <c r="B4102" i="12"/>
  <c r="A4103" i="12"/>
  <c r="B4103" i="12"/>
  <c r="A4104" i="12"/>
  <c r="B4104" i="12"/>
  <c r="A4105" i="12"/>
  <c r="B4105" i="12"/>
  <c r="A4106" i="12"/>
  <c r="B4106" i="12"/>
  <c r="A4107" i="12"/>
  <c r="B4107" i="12"/>
  <c r="A4108" i="12"/>
  <c r="B4108" i="12"/>
  <c r="A4109" i="12"/>
  <c r="B4109" i="12"/>
  <c r="A4110" i="12"/>
  <c r="B4110" i="12"/>
  <c r="A4111" i="12"/>
  <c r="B4111" i="12"/>
  <c r="A4112" i="12"/>
  <c r="B4112" i="12"/>
  <c r="A4113" i="12"/>
  <c r="B4113" i="12"/>
  <c r="A4114" i="12"/>
  <c r="B4114" i="12"/>
  <c r="A4115" i="12"/>
  <c r="B4115" i="12"/>
  <c r="A4116" i="12"/>
  <c r="B4116" i="12"/>
  <c r="A4117" i="12"/>
  <c r="B4117" i="12"/>
  <c r="A4118" i="12"/>
  <c r="B4118" i="12"/>
  <c r="A4119" i="12"/>
  <c r="B4119" i="12"/>
  <c r="A4120" i="12"/>
  <c r="B4120" i="12"/>
  <c r="A4121" i="12"/>
  <c r="B4121" i="12"/>
  <c r="A4122" i="12"/>
  <c r="B4122" i="12"/>
  <c r="A4123" i="12"/>
  <c r="B4123" i="12"/>
  <c r="A4124" i="12"/>
  <c r="B4124" i="12"/>
  <c r="A4125" i="12"/>
  <c r="B4125" i="12"/>
  <c r="A4126" i="12"/>
  <c r="B4126" i="12"/>
  <c r="A4127" i="12"/>
  <c r="B4127" i="12"/>
  <c r="A4128" i="12"/>
  <c r="B4128" i="12"/>
  <c r="A4129" i="12"/>
  <c r="B4129" i="12"/>
  <c r="A4130" i="12"/>
  <c r="B4130" i="12"/>
  <c r="A4131" i="12"/>
  <c r="B4131" i="12"/>
  <c r="A4132" i="12"/>
  <c r="B4132" i="12"/>
  <c r="A4133" i="12"/>
  <c r="B4133" i="12"/>
  <c r="A4134" i="12"/>
  <c r="B4134" i="12"/>
  <c r="A4135" i="12"/>
  <c r="B4135" i="12"/>
  <c r="A4136" i="12"/>
  <c r="B4136" i="12"/>
  <c r="A4137" i="12"/>
  <c r="B4137" i="12"/>
  <c r="A4138" i="12"/>
  <c r="B4138" i="12"/>
  <c r="A4139" i="12"/>
  <c r="B4139" i="12"/>
  <c r="A4140" i="12"/>
  <c r="B4140" i="12"/>
  <c r="A4141" i="12"/>
  <c r="B4141" i="12"/>
  <c r="A4142" i="12"/>
  <c r="B4142" i="12"/>
  <c r="A4143" i="12"/>
  <c r="B4143" i="12"/>
  <c r="A4144" i="12"/>
  <c r="B4144" i="12"/>
  <c r="A4145" i="12"/>
  <c r="B4145" i="12"/>
  <c r="A4146" i="12"/>
  <c r="B4146" i="12"/>
  <c r="A4147" i="12"/>
  <c r="B4147" i="12"/>
  <c r="A4148" i="12"/>
  <c r="B4148" i="12"/>
  <c r="A4149" i="12"/>
  <c r="B4149" i="12"/>
  <c r="A4150" i="12"/>
  <c r="B4150" i="12"/>
  <c r="A4151" i="12"/>
  <c r="B4151" i="12"/>
  <c r="A4152" i="12"/>
  <c r="B4152" i="12"/>
  <c r="A4153" i="12"/>
  <c r="B4153" i="12"/>
  <c r="A4154" i="12"/>
  <c r="B4154" i="12"/>
  <c r="A4155" i="12"/>
  <c r="B4155" i="12"/>
  <c r="A4156" i="12"/>
  <c r="B4156" i="12"/>
  <c r="A4157" i="12"/>
  <c r="B4157" i="12"/>
  <c r="A4158" i="12"/>
  <c r="B4158" i="12"/>
  <c r="A4159" i="12"/>
  <c r="B4159" i="12"/>
  <c r="A4160" i="12"/>
  <c r="B4160" i="12"/>
  <c r="A4161" i="12"/>
  <c r="B4161" i="12"/>
  <c r="A4162" i="12"/>
  <c r="B4162" i="12"/>
  <c r="A4163" i="12"/>
  <c r="B4163" i="12"/>
  <c r="A4164" i="12"/>
  <c r="B4164" i="12"/>
  <c r="A4165" i="12"/>
  <c r="B4165" i="12"/>
  <c r="A4166" i="12"/>
  <c r="B4166" i="12"/>
  <c r="A4167" i="12"/>
  <c r="B4167" i="12"/>
  <c r="A4168" i="12"/>
  <c r="B4168" i="12"/>
  <c r="A4169" i="12"/>
  <c r="B4169" i="12"/>
  <c r="A4170" i="12"/>
  <c r="B4170" i="12"/>
  <c r="A4171" i="12"/>
  <c r="B4171" i="12"/>
  <c r="A4172" i="12"/>
  <c r="B4172" i="12"/>
  <c r="A4173" i="12"/>
  <c r="B4173" i="12"/>
  <c r="A4174" i="12"/>
  <c r="B4174" i="12"/>
  <c r="A4175" i="12"/>
  <c r="B4175" i="12"/>
  <c r="A4176" i="12"/>
  <c r="B4176" i="12"/>
  <c r="A4177" i="12"/>
  <c r="B4177" i="12"/>
  <c r="A4178" i="12"/>
  <c r="B4178" i="12"/>
  <c r="A4179" i="12"/>
  <c r="B4179" i="12"/>
  <c r="A4180" i="12"/>
  <c r="B4180" i="12"/>
  <c r="A4181" i="12"/>
  <c r="B4181" i="12"/>
  <c r="A4182" i="12"/>
  <c r="B4182" i="12"/>
  <c r="A4183" i="12"/>
  <c r="B4183" i="12"/>
  <c r="A4184" i="12"/>
  <c r="B4184" i="12"/>
  <c r="A4185" i="12"/>
  <c r="B4185" i="12"/>
  <c r="A4186" i="12"/>
  <c r="B4186" i="12"/>
  <c r="A4187" i="12"/>
  <c r="B4187" i="12"/>
  <c r="A4188" i="12"/>
  <c r="B4188" i="12"/>
  <c r="A4189" i="12"/>
  <c r="B4189" i="12"/>
  <c r="A4190" i="12"/>
  <c r="B4190" i="12"/>
  <c r="A4191" i="12"/>
  <c r="B4191" i="12"/>
  <c r="A4192" i="12"/>
  <c r="B4192" i="12"/>
  <c r="A4193" i="12"/>
  <c r="B4193" i="12"/>
  <c r="A4194" i="12"/>
  <c r="B4194" i="12"/>
  <c r="A4195" i="12"/>
  <c r="B4195" i="12"/>
  <c r="A4196" i="12"/>
  <c r="B4196" i="12"/>
  <c r="A4197" i="12"/>
  <c r="B4197" i="12"/>
  <c r="A4198" i="12"/>
  <c r="B4198" i="12"/>
  <c r="A4199" i="12"/>
  <c r="B4199" i="12"/>
  <c r="A4200" i="12"/>
  <c r="B4200" i="12"/>
  <c r="A4201" i="12"/>
  <c r="B4201" i="12"/>
  <c r="A4202" i="12"/>
  <c r="B4202" i="12"/>
  <c r="A4203" i="12"/>
  <c r="B4203" i="12"/>
  <c r="A4204" i="12"/>
  <c r="B4204" i="12"/>
  <c r="A4205" i="12"/>
  <c r="B4205" i="12"/>
  <c r="A4206" i="12"/>
  <c r="B4206" i="12"/>
  <c r="A4207" i="12"/>
  <c r="B4207" i="12"/>
  <c r="A4208" i="12"/>
  <c r="B4208" i="12"/>
  <c r="A4209" i="12"/>
  <c r="B4209" i="12"/>
  <c r="A4210" i="12"/>
  <c r="B4210" i="12"/>
  <c r="A4211" i="12"/>
  <c r="B4211" i="12"/>
  <c r="A4212" i="12"/>
  <c r="B4212" i="12"/>
  <c r="A4213" i="12"/>
  <c r="B4213" i="12"/>
  <c r="A4214" i="12"/>
  <c r="B4214" i="12"/>
  <c r="A4215" i="12"/>
  <c r="B4215" i="12"/>
  <c r="A4216" i="12"/>
  <c r="B4216" i="12"/>
  <c r="A4217" i="12"/>
  <c r="B4217" i="12"/>
  <c r="A4218" i="12"/>
  <c r="B4218" i="12"/>
  <c r="A4219" i="12"/>
  <c r="B4219" i="12"/>
  <c r="A4220" i="12"/>
  <c r="B4220" i="12"/>
  <c r="A4221" i="12"/>
  <c r="B4221" i="12"/>
  <c r="A4222" i="12"/>
  <c r="B4222" i="12"/>
  <c r="A4223" i="12"/>
  <c r="B4223" i="12"/>
  <c r="A4224" i="12"/>
  <c r="B4224" i="12"/>
  <c r="A4225" i="12"/>
  <c r="B4225" i="12"/>
  <c r="A4226" i="12"/>
  <c r="B4226" i="12"/>
  <c r="A4227" i="12"/>
  <c r="B4227" i="12"/>
  <c r="A4228" i="12"/>
  <c r="B4228" i="12"/>
  <c r="A4229" i="12"/>
  <c r="B4229" i="12"/>
  <c r="A4230" i="12"/>
  <c r="B4230" i="12"/>
  <c r="A4231" i="12"/>
  <c r="B4231" i="12"/>
  <c r="A4232" i="12"/>
  <c r="B4232" i="12"/>
  <c r="A4233" i="12"/>
  <c r="B4233" i="12"/>
  <c r="A4234" i="12"/>
  <c r="B4234" i="12"/>
  <c r="A4235" i="12"/>
  <c r="B4235" i="12"/>
  <c r="A4236" i="12"/>
  <c r="B4236" i="12"/>
  <c r="A4237" i="12"/>
  <c r="B4237" i="12"/>
  <c r="A4238" i="12"/>
  <c r="B4238" i="12"/>
  <c r="A4239" i="12"/>
  <c r="B4239" i="12"/>
  <c r="A4240" i="12"/>
  <c r="B4240" i="12"/>
  <c r="A4241" i="12"/>
  <c r="B4241" i="12"/>
  <c r="A4242" i="12"/>
  <c r="B4242" i="12"/>
  <c r="A4243" i="12"/>
  <c r="B4243" i="12"/>
  <c r="A4244" i="12"/>
  <c r="B4244" i="12"/>
  <c r="A4245" i="12"/>
  <c r="B4245" i="12"/>
  <c r="A4246" i="12"/>
  <c r="B4246" i="12"/>
  <c r="A4247" i="12"/>
  <c r="B4247" i="12"/>
  <c r="A4248" i="12"/>
  <c r="B4248" i="12"/>
  <c r="A4249" i="12"/>
  <c r="B4249" i="12"/>
  <c r="A4250" i="12"/>
  <c r="B4250" i="12"/>
  <c r="A4251" i="12"/>
  <c r="B4251" i="12"/>
  <c r="A4252" i="12"/>
  <c r="B4252" i="12"/>
  <c r="A4253" i="12"/>
  <c r="B4253" i="12"/>
  <c r="A4254" i="12"/>
  <c r="B4254" i="12"/>
  <c r="A4255" i="12"/>
  <c r="B4255" i="12"/>
  <c r="A4256" i="12"/>
  <c r="B4256" i="12"/>
  <c r="A4257" i="12"/>
  <c r="B4257" i="12"/>
  <c r="A4258" i="12"/>
  <c r="B4258" i="12"/>
  <c r="A4259" i="12"/>
  <c r="B4259" i="12"/>
  <c r="A4260" i="12"/>
  <c r="B4260" i="12"/>
  <c r="A4261" i="12"/>
  <c r="B4261" i="12"/>
  <c r="A4262" i="12"/>
  <c r="B4262" i="12"/>
  <c r="A4263" i="12"/>
  <c r="B4263" i="12"/>
  <c r="A4264" i="12"/>
  <c r="B4264" i="12"/>
  <c r="A4265" i="12"/>
  <c r="B4265" i="12"/>
  <c r="A4266" i="12"/>
  <c r="B4266" i="12"/>
  <c r="A4267" i="12"/>
  <c r="B4267" i="12"/>
  <c r="A4268" i="12"/>
  <c r="B4268" i="12"/>
  <c r="A4269" i="12"/>
  <c r="B4269" i="12"/>
  <c r="A4270" i="12"/>
  <c r="B4270" i="12"/>
  <c r="A4271" i="12"/>
  <c r="B4271" i="12"/>
  <c r="A4272" i="12"/>
  <c r="B4272" i="12"/>
  <c r="A4273" i="12"/>
  <c r="B4273" i="12"/>
  <c r="A4274" i="12"/>
  <c r="B4274" i="12"/>
  <c r="A4275" i="12"/>
  <c r="B4275" i="12"/>
  <c r="A4276" i="12"/>
  <c r="B4276" i="12"/>
  <c r="A4277" i="12"/>
  <c r="B4277" i="12"/>
  <c r="A4278" i="12"/>
  <c r="B4278" i="12"/>
  <c r="A4279" i="12"/>
  <c r="B4279" i="12"/>
  <c r="A4280" i="12"/>
  <c r="B4280" i="12"/>
  <c r="A4281" i="12"/>
  <c r="B4281" i="12"/>
  <c r="A4282" i="12"/>
  <c r="B4282" i="12"/>
  <c r="A4283" i="12"/>
  <c r="B4283" i="12"/>
  <c r="A4284" i="12"/>
  <c r="B4284" i="12"/>
  <c r="A4285" i="12"/>
  <c r="B4285" i="12"/>
  <c r="A4286" i="12"/>
  <c r="B4286" i="12"/>
  <c r="A4287" i="12"/>
  <c r="B4287" i="12"/>
  <c r="A4288" i="12"/>
  <c r="B4288" i="12"/>
  <c r="A4289" i="12"/>
  <c r="B4289" i="12"/>
  <c r="A4290" i="12"/>
  <c r="B4290" i="12"/>
  <c r="A4291" i="12"/>
  <c r="B4291" i="12"/>
  <c r="A4292" i="12"/>
  <c r="B4292" i="12"/>
  <c r="A4293" i="12"/>
  <c r="B4293" i="12"/>
  <c r="A4294" i="12"/>
  <c r="B4294" i="12"/>
  <c r="A4295" i="12"/>
  <c r="B4295" i="12"/>
  <c r="A4296" i="12"/>
  <c r="B4296" i="12"/>
  <c r="A4297" i="12"/>
  <c r="B4297" i="12"/>
  <c r="A4298" i="12"/>
  <c r="B4298" i="12"/>
  <c r="A4299" i="12"/>
  <c r="B4299" i="12"/>
  <c r="A4300" i="12"/>
  <c r="B4300" i="12"/>
  <c r="A4301" i="12"/>
  <c r="B4301" i="12"/>
  <c r="A4302" i="12"/>
  <c r="B4302" i="12"/>
  <c r="A4303" i="12"/>
  <c r="B4303" i="12"/>
  <c r="A4304" i="12"/>
  <c r="B4304" i="12"/>
  <c r="A4305" i="12"/>
  <c r="B4305" i="12"/>
  <c r="A4306" i="12"/>
  <c r="B4306" i="12"/>
  <c r="A4307" i="12"/>
  <c r="B4307" i="12"/>
  <c r="A4308" i="12"/>
  <c r="B4308" i="12"/>
  <c r="A4309" i="12"/>
  <c r="B4309" i="12"/>
  <c r="A4310" i="12"/>
  <c r="B4310" i="12"/>
  <c r="A4311" i="12"/>
  <c r="B4311" i="12"/>
  <c r="A4312" i="12"/>
  <c r="B4312" i="12"/>
  <c r="A4313" i="12"/>
  <c r="B4313" i="12"/>
  <c r="A4314" i="12"/>
  <c r="B4314" i="12"/>
  <c r="A4315" i="12"/>
  <c r="B4315" i="12"/>
  <c r="A4316" i="12"/>
  <c r="B4316" i="12"/>
  <c r="A4317" i="12"/>
  <c r="B4317" i="12"/>
  <c r="A4318" i="12"/>
  <c r="B4318" i="12"/>
  <c r="A4319" i="12"/>
  <c r="B4319" i="12"/>
  <c r="A4320" i="12"/>
  <c r="B4320" i="12"/>
  <c r="A4321" i="12"/>
  <c r="B4321" i="12"/>
  <c r="A4322" i="12"/>
  <c r="B4322" i="12"/>
  <c r="A4323" i="12"/>
  <c r="B4323" i="12"/>
  <c r="A4324" i="12"/>
  <c r="B4324" i="12"/>
  <c r="A4325" i="12"/>
  <c r="B4325" i="12"/>
  <c r="A4326" i="12"/>
  <c r="B4326" i="12"/>
  <c r="A4327" i="12"/>
  <c r="B4327" i="12"/>
  <c r="A4328" i="12"/>
  <c r="B4328" i="12"/>
  <c r="A4329" i="12"/>
  <c r="B4329" i="12"/>
  <c r="A4330" i="12"/>
  <c r="B4330" i="12"/>
  <c r="A4331" i="12"/>
  <c r="B4331" i="12"/>
  <c r="A4332" i="12"/>
  <c r="B4332" i="12"/>
  <c r="A4333" i="12"/>
  <c r="B4333" i="12"/>
  <c r="A4334" i="12"/>
  <c r="B4334" i="12"/>
  <c r="A4335" i="12"/>
  <c r="B4335" i="12"/>
  <c r="A4336" i="12"/>
  <c r="B4336" i="12"/>
  <c r="A4337" i="12"/>
  <c r="B4337" i="12"/>
  <c r="A4338" i="12"/>
  <c r="B4338" i="12"/>
  <c r="A4339" i="12"/>
  <c r="B4339" i="12"/>
  <c r="A4340" i="12"/>
  <c r="B4340" i="12"/>
  <c r="A4341" i="12"/>
  <c r="B4341" i="12"/>
  <c r="A4342" i="12"/>
  <c r="B4342" i="12"/>
  <c r="A4343" i="12"/>
  <c r="B4343" i="12"/>
  <c r="A4344" i="12"/>
  <c r="B4344" i="12"/>
  <c r="A4345" i="12"/>
  <c r="B4345" i="12"/>
  <c r="A4346" i="12"/>
  <c r="B4346" i="12"/>
  <c r="A4347" i="12"/>
  <c r="B4347" i="12"/>
  <c r="A4348" i="12"/>
  <c r="B4348" i="12"/>
  <c r="A4349" i="12"/>
  <c r="B4349" i="12"/>
  <c r="A4350" i="12"/>
  <c r="B4350" i="12"/>
  <c r="A4351" i="12"/>
  <c r="B4351" i="12"/>
  <c r="A4352" i="12"/>
  <c r="B4352" i="12"/>
  <c r="A4353" i="12"/>
  <c r="B4353" i="12"/>
  <c r="A4354" i="12"/>
  <c r="B4354" i="12"/>
  <c r="A4355" i="12"/>
  <c r="B4355" i="12"/>
  <c r="A4356" i="12"/>
  <c r="B4356" i="12"/>
  <c r="A4357" i="12"/>
  <c r="B4357" i="12"/>
  <c r="A4358" i="12"/>
  <c r="B4358" i="12"/>
  <c r="A4359" i="12"/>
  <c r="B4359" i="12"/>
  <c r="A4360" i="12"/>
  <c r="B4360" i="12"/>
  <c r="A4361" i="12"/>
  <c r="B4361" i="12"/>
  <c r="A4362" i="12"/>
  <c r="B4362" i="12"/>
  <c r="A4363" i="12"/>
  <c r="B4363" i="12"/>
  <c r="A4364" i="12"/>
  <c r="B4364" i="12"/>
  <c r="A4365" i="12"/>
  <c r="B4365" i="12"/>
  <c r="A4366" i="12"/>
  <c r="B4366" i="12"/>
  <c r="A4367" i="12"/>
  <c r="B4367" i="12"/>
  <c r="A4368" i="12"/>
  <c r="B4368" i="12"/>
  <c r="A4369" i="12"/>
  <c r="B4369" i="12"/>
  <c r="A4370" i="12"/>
  <c r="B4370" i="12"/>
  <c r="A4371" i="12"/>
  <c r="B4371" i="12"/>
  <c r="A4372" i="12"/>
  <c r="B4372" i="12"/>
  <c r="A4373" i="12"/>
  <c r="B4373" i="12"/>
  <c r="A4374" i="12"/>
  <c r="B4374" i="12"/>
  <c r="A4375" i="12"/>
  <c r="B4375" i="12"/>
  <c r="A4376" i="12"/>
  <c r="B4376" i="12"/>
  <c r="A4377" i="12"/>
  <c r="B4377" i="12"/>
  <c r="A4378" i="12"/>
  <c r="B4378" i="12"/>
  <c r="A4379" i="12"/>
  <c r="B4379" i="12"/>
  <c r="A4380" i="12"/>
  <c r="B4380" i="12"/>
  <c r="A4381" i="12"/>
  <c r="B4381" i="12"/>
  <c r="A4382" i="12"/>
  <c r="B4382" i="12"/>
  <c r="A4383" i="12"/>
  <c r="B4383" i="12"/>
  <c r="A4384" i="12"/>
  <c r="B4384" i="12"/>
  <c r="A4385" i="12"/>
  <c r="B4385" i="12"/>
  <c r="A4386" i="12"/>
  <c r="B4386" i="12"/>
  <c r="A4387" i="12"/>
  <c r="B4387" i="12"/>
  <c r="A4388" i="12"/>
  <c r="B4388" i="12"/>
  <c r="A4389" i="12"/>
  <c r="B4389" i="12"/>
  <c r="A4390" i="12"/>
  <c r="B4390" i="12"/>
  <c r="A4391" i="12"/>
  <c r="B4391" i="12"/>
  <c r="A4392" i="12"/>
  <c r="B4392" i="12"/>
  <c r="A4393" i="12"/>
  <c r="B4393" i="12"/>
  <c r="A4394" i="12"/>
  <c r="B4394" i="12"/>
  <c r="A4395" i="12"/>
  <c r="B4395" i="12"/>
  <c r="A4396" i="12"/>
  <c r="B4396" i="12"/>
  <c r="A4397" i="12"/>
  <c r="B4397" i="12"/>
  <c r="A4398" i="12"/>
  <c r="B4398" i="12"/>
  <c r="A4399" i="12"/>
  <c r="B4399" i="12"/>
  <c r="A4400" i="12"/>
  <c r="B4400" i="12"/>
  <c r="A4401" i="12"/>
  <c r="B4401" i="12"/>
  <c r="A4402" i="12"/>
  <c r="B4402" i="12"/>
  <c r="A4403" i="12"/>
  <c r="B4403" i="12"/>
  <c r="A4404" i="12"/>
  <c r="B4404" i="12"/>
  <c r="A4405" i="12"/>
  <c r="B4405" i="12"/>
  <c r="A4406" i="12"/>
  <c r="B4406" i="12"/>
  <c r="A4407" i="12"/>
  <c r="B4407" i="12"/>
  <c r="A4408" i="12"/>
  <c r="B4408" i="12"/>
  <c r="A4409" i="12"/>
  <c r="B4409" i="12"/>
  <c r="A4410" i="12"/>
  <c r="B4410" i="12"/>
  <c r="A4411" i="12"/>
  <c r="B4411" i="12"/>
  <c r="A4412" i="12"/>
  <c r="B4412" i="12"/>
  <c r="A4413" i="12"/>
  <c r="B4413" i="12"/>
  <c r="A4414" i="12"/>
  <c r="B4414" i="12"/>
  <c r="A4415" i="12"/>
  <c r="B4415" i="12"/>
  <c r="A4416" i="12"/>
  <c r="B4416" i="12"/>
  <c r="A4417" i="12"/>
  <c r="B4417" i="12"/>
  <c r="A4418" i="12"/>
  <c r="B4418" i="12"/>
  <c r="A4419" i="12"/>
  <c r="B4419" i="12"/>
  <c r="A4420" i="12"/>
  <c r="B4420" i="12"/>
  <c r="A4421" i="12"/>
  <c r="B4421" i="12"/>
  <c r="A4422" i="12"/>
  <c r="B4422" i="12"/>
  <c r="A4423" i="12"/>
  <c r="B4423" i="12"/>
  <c r="A4424" i="12"/>
  <c r="B4424" i="12"/>
  <c r="A4425" i="12"/>
  <c r="B4425" i="12"/>
  <c r="A4426" i="12"/>
  <c r="B4426" i="12"/>
  <c r="A4427" i="12"/>
  <c r="B4427" i="12"/>
  <c r="A4428" i="12"/>
  <c r="B4428" i="12"/>
  <c r="A4429" i="12"/>
  <c r="B4429" i="12"/>
  <c r="A4430" i="12"/>
  <c r="B4430" i="12"/>
  <c r="A4431" i="12"/>
  <c r="B4431" i="12"/>
  <c r="A4432" i="12"/>
  <c r="B4432" i="12"/>
  <c r="A4433" i="12"/>
  <c r="B4433" i="12"/>
  <c r="A4434" i="12"/>
  <c r="B4434" i="12"/>
  <c r="A4435" i="12"/>
  <c r="B4435" i="12"/>
  <c r="A4436" i="12"/>
  <c r="B4436" i="12"/>
  <c r="A4437" i="12"/>
  <c r="B4437" i="12"/>
  <c r="A4438" i="12"/>
  <c r="B4438" i="12"/>
  <c r="A4439" i="12"/>
  <c r="B4439" i="12"/>
  <c r="A4440" i="12"/>
  <c r="B4440" i="12"/>
  <c r="A4441" i="12"/>
  <c r="B4441" i="12"/>
  <c r="A4442" i="12"/>
  <c r="B4442" i="12"/>
  <c r="A4443" i="12"/>
  <c r="B4443" i="12"/>
  <c r="A4444" i="12"/>
  <c r="B4444" i="12"/>
  <c r="A4445" i="12"/>
  <c r="B4445" i="12"/>
  <c r="A4446" i="12"/>
  <c r="B4446" i="12"/>
  <c r="A4447" i="12"/>
  <c r="B4447" i="12"/>
  <c r="A4448" i="12"/>
  <c r="B4448" i="12"/>
  <c r="A4449" i="12"/>
  <c r="B4449" i="12"/>
  <c r="A4450" i="12"/>
  <c r="B4450" i="12"/>
  <c r="A4451" i="12"/>
  <c r="B4451" i="12"/>
  <c r="A4452" i="12"/>
  <c r="B4452" i="12"/>
  <c r="A4453" i="12"/>
  <c r="B4453" i="12"/>
  <c r="A4454" i="12"/>
  <c r="B4454" i="12"/>
  <c r="A4455" i="12"/>
  <c r="B4455" i="12"/>
  <c r="A4456" i="12"/>
  <c r="B4456" i="12"/>
  <c r="A4457" i="12"/>
  <c r="B4457" i="12"/>
  <c r="A4458" i="12"/>
  <c r="B4458" i="12"/>
  <c r="A4459" i="12"/>
  <c r="B4459" i="12"/>
  <c r="A4460" i="12"/>
  <c r="B4460" i="12"/>
  <c r="A4461" i="12"/>
  <c r="B4461" i="12"/>
  <c r="A4462" i="12"/>
  <c r="B4462" i="12"/>
  <c r="A4463" i="12"/>
  <c r="B4463" i="12"/>
  <c r="A4464" i="12"/>
  <c r="B4464" i="12"/>
  <c r="A4465" i="12"/>
  <c r="B4465" i="12"/>
  <c r="A4466" i="12"/>
  <c r="B4466" i="12"/>
  <c r="A4467" i="12"/>
  <c r="B4467" i="12"/>
  <c r="A4468" i="12"/>
  <c r="B4468" i="12"/>
  <c r="A4469" i="12"/>
  <c r="B4469" i="12"/>
  <c r="A4470" i="12"/>
  <c r="B4470" i="12"/>
  <c r="A4471" i="12"/>
  <c r="B4471" i="12"/>
  <c r="A4472" i="12"/>
  <c r="B4472" i="12"/>
  <c r="A4473" i="12"/>
  <c r="B4473" i="12"/>
  <c r="A4474" i="12"/>
  <c r="B4474" i="12"/>
  <c r="A4475" i="12"/>
  <c r="B4475" i="12"/>
  <c r="A4476" i="12"/>
  <c r="B4476" i="12"/>
  <c r="A4477" i="12"/>
  <c r="B4477" i="12"/>
  <c r="A4478" i="12"/>
  <c r="B4478" i="12"/>
  <c r="A4479" i="12"/>
  <c r="B4479" i="12"/>
  <c r="A4480" i="12"/>
  <c r="B4480" i="12"/>
  <c r="A4481" i="12"/>
  <c r="B4481" i="12"/>
  <c r="A4482" i="12"/>
  <c r="B4482" i="12"/>
  <c r="A4483" i="12"/>
  <c r="B4483" i="12"/>
  <c r="A4484" i="12"/>
  <c r="B4484" i="12"/>
  <c r="A4485" i="12"/>
  <c r="B4485" i="12"/>
  <c r="A4486" i="12"/>
  <c r="B4486" i="12"/>
  <c r="A4487" i="12"/>
  <c r="B4487" i="12"/>
  <c r="A4488" i="12"/>
  <c r="B4488" i="12"/>
  <c r="A4489" i="12"/>
  <c r="B4489" i="12"/>
  <c r="A4490" i="12"/>
  <c r="B4490" i="12"/>
  <c r="A4491" i="12"/>
  <c r="B4491" i="12"/>
  <c r="A4492" i="12"/>
  <c r="B4492" i="12"/>
  <c r="A4493" i="12"/>
  <c r="B4493" i="12"/>
  <c r="A4494" i="12"/>
  <c r="B4494" i="12"/>
  <c r="A4495" i="12"/>
  <c r="B4495" i="12"/>
  <c r="A4496" i="12"/>
  <c r="B4496" i="12"/>
  <c r="A4497" i="12"/>
  <c r="B4497" i="12"/>
  <c r="A4498" i="12"/>
  <c r="B4498" i="12"/>
  <c r="A4499" i="12"/>
  <c r="B4499" i="12"/>
  <c r="A4500" i="12"/>
  <c r="B4500" i="12"/>
  <c r="A4501" i="12"/>
  <c r="B4501" i="12"/>
  <c r="A4502" i="12"/>
  <c r="B4502" i="12"/>
  <c r="A4503" i="12"/>
  <c r="B4503" i="12"/>
  <c r="A4504" i="12"/>
  <c r="B4504" i="12"/>
  <c r="A4505" i="12"/>
  <c r="B4505" i="12"/>
  <c r="A4506" i="12"/>
  <c r="B4506" i="12"/>
  <c r="A4507" i="12"/>
  <c r="B4507" i="12"/>
  <c r="A4508" i="12"/>
  <c r="B4508" i="12"/>
  <c r="A4509" i="12"/>
  <c r="B4509" i="12"/>
  <c r="A4510" i="12"/>
  <c r="B4510" i="12"/>
  <c r="A4511" i="12"/>
  <c r="B4511" i="12"/>
  <c r="A4512" i="12"/>
  <c r="B4512" i="12"/>
  <c r="A4513" i="12"/>
  <c r="B4513" i="12"/>
  <c r="A4514" i="12"/>
  <c r="B4514" i="12"/>
  <c r="A4515" i="12"/>
  <c r="B4515" i="12"/>
  <c r="A4516" i="12"/>
  <c r="B4516" i="12"/>
  <c r="A4517" i="12"/>
  <c r="B4517" i="12"/>
  <c r="A4518" i="12"/>
  <c r="B4518" i="12"/>
  <c r="A4519" i="12"/>
  <c r="B4519" i="12"/>
  <c r="A4520" i="12"/>
  <c r="B4520" i="12"/>
  <c r="A4521" i="12"/>
  <c r="B4521" i="12"/>
  <c r="A4522" i="12"/>
  <c r="B4522" i="12"/>
  <c r="A4523" i="12"/>
  <c r="B4523" i="12"/>
  <c r="A4524" i="12"/>
  <c r="B4524" i="12"/>
  <c r="A4525" i="12"/>
  <c r="B4525" i="12"/>
  <c r="A4526" i="12"/>
  <c r="B4526" i="12"/>
  <c r="A4527" i="12"/>
  <c r="B4527" i="12"/>
  <c r="A4528" i="12"/>
  <c r="B4528" i="12"/>
  <c r="A4529" i="12"/>
  <c r="B4529" i="12"/>
  <c r="A4530" i="12"/>
  <c r="B4530" i="12"/>
  <c r="A4531" i="12"/>
  <c r="B4531" i="12"/>
  <c r="A4532" i="12"/>
  <c r="B4532" i="12"/>
  <c r="A4533" i="12"/>
  <c r="B4533" i="12"/>
  <c r="A4534" i="12"/>
  <c r="B4534" i="12"/>
  <c r="A4535" i="12"/>
  <c r="B4535" i="12"/>
  <c r="A4536" i="12"/>
  <c r="B4536" i="12"/>
  <c r="A4537" i="12"/>
  <c r="B4537" i="12"/>
  <c r="A4538" i="12"/>
  <c r="B4538" i="12"/>
  <c r="A4539" i="12"/>
  <c r="B4539" i="12"/>
  <c r="A4540" i="12"/>
  <c r="B4540" i="12"/>
  <c r="A4541" i="12"/>
  <c r="B4541" i="12"/>
  <c r="A4542" i="12"/>
  <c r="B4542" i="12"/>
  <c r="A4543" i="12"/>
  <c r="B4543" i="12"/>
  <c r="A4544" i="12"/>
  <c r="B4544" i="12"/>
  <c r="A4545" i="12"/>
  <c r="B4545" i="12"/>
  <c r="A4546" i="12"/>
  <c r="B4546" i="12"/>
  <c r="A4547" i="12"/>
  <c r="B4547" i="12"/>
  <c r="A4548" i="12"/>
  <c r="B4548" i="12"/>
  <c r="A4549" i="12"/>
  <c r="B4549" i="12"/>
  <c r="A4550" i="12"/>
  <c r="B4550" i="12"/>
  <c r="A4551" i="12"/>
  <c r="B4551" i="12"/>
  <c r="A4552" i="12"/>
  <c r="B4552" i="12"/>
  <c r="A4553" i="12"/>
  <c r="B4553" i="12"/>
  <c r="A4554" i="12"/>
  <c r="B4554" i="12"/>
  <c r="A4555" i="12"/>
  <c r="B4555" i="12"/>
  <c r="A4556" i="12"/>
  <c r="B4556" i="12"/>
  <c r="A4557" i="12"/>
  <c r="B4557" i="12"/>
  <c r="A4558" i="12"/>
  <c r="B4558" i="12"/>
  <c r="A4559" i="12"/>
  <c r="B4559" i="12"/>
  <c r="A4560" i="12"/>
  <c r="B4560" i="12"/>
  <c r="A4561" i="12"/>
  <c r="B4561" i="12"/>
  <c r="A4562" i="12"/>
  <c r="B4562" i="12"/>
  <c r="A4563" i="12"/>
  <c r="B4563" i="12"/>
  <c r="A4564" i="12"/>
  <c r="B4564" i="12"/>
  <c r="A4565" i="12"/>
  <c r="B4565" i="12"/>
  <c r="A4566" i="12"/>
  <c r="B4566" i="12"/>
  <c r="A4567" i="12"/>
  <c r="B4567" i="12"/>
  <c r="A4568" i="12"/>
  <c r="B4568" i="12"/>
  <c r="A4569" i="12"/>
  <c r="B4569" i="12"/>
  <c r="A4570" i="12"/>
  <c r="B4570" i="12"/>
  <c r="A4571" i="12"/>
  <c r="B4571" i="12"/>
  <c r="A4572" i="12"/>
  <c r="B4572" i="12"/>
  <c r="A4573" i="12"/>
  <c r="B4573" i="12"/>
  <c r="A4574" i="12"/>
  <c r="B4574" i="12"/>
  <c r="A4575" i="12"/>
  <c r="B4575" i="12"/>
  <c r="A4576" i="12"/>
  <c r="B4576" i="12"/>
  <c r="A4577" i="12"/>
  <c r="B4577" i="12"/>
  <c r="A4578" i="12"/>
  <c r="B4578" i="12"/>
  <c r="A4579" i="12"/>
  <c r="B4579" i="12"/>
  <c r="A4580" i="12"/>
  <c r="B4580" i="12"/>
  <c r="A4581" i="12"/>
  <c r="B4581" i="12"/>
  <c r="A4582" i="12"/>
  <c r="B4582" i="12"/>
  <c r="A4583" i="12"/>
  <c r="B4583" i="12"/>
  <c r="A4584" i="12"/>
  <c r="B4584" i="12"/>
  <c r="A4585" i="12"/>
  <c r="B4585" i="12"/>
  <c r="A4586" i="12"/>
  <c r="B4586" i="12"/>
  <c r="A4587" i="12"/>
  <c r="B4587" i="12"/>
  <c r="A4588" i="12"/>
  <c r="B4588" i="12"/>
  <c r="A4589" i="12"/>
  <c r="B4589" i="12"/>
  <c r="A4590" i="12"/>
  <c r="B4590" i="12"/>
  <c r="A4591" i="12"/>
  <c r="B4591" i="12"/>
  <c r="A4592" i="12"/>
  <c r="B4592" i="12"/>
  <c r="A4593" i="12"/>
  <c r="B4593" i="12"/>
  <c r="A4594" i="12"/>
  <c r="B4594" i="12"/>
  <c r="A4595" i="12"/>
  <c r="B4595" i="12"/>
  <c r="A4596" i="12"/>
  <c r="B4596" i="12"/>
  <c r="A4597" i="12"/>
  <c r="B4597" i="12"/>
  <c r="A4598" i="12"/>
  <c r="B4598" i="12"/>
  <c r="A4599" i="12"/>
  <c r="B4599" i="12"/>
  <c r="A4600" i="12"/>
  <c r="B4600" i="12"/>
  <c r="A4601" i="12"/>
  <c r="B4601" i="12"/>
  <c r="A4602" i="12"/>
  <c r="B4602" i="12"/>
  <c r="A4603" i="12"/>
  <c r="B4603" i="12"/>
  <c r="A4604" i="12"/>
  <c r="B4604" i="12"/>
  <c r="A4605" i="12"/>
  <c r="B4605" i="12"/>
  <c r="A4606" i="12"/>
  <c r="B4606" i="12"/>
  <c r="A4607" i="12"/>
  <c r="B4607" i="12"/>
  <c r="A4608" i="12"/>
  <c r="B4608" i="12"/>
  <c r="A4609" i="12"/>
  <c r="B4609" i="12"/>
  <c r="A4610" i="12"/>
  <c r="B4610" i="12"/>
  <c r="A4611" i="12"/>
  <c r="B4611" i="12"/>
  <c r="A4612" i="12"/>
  <c r="B4612" i="12"/>
  <c r="A4613" i="12"/>
  <c r="B4613" i="12"/>
  <c r="A4614" i="12"/>
  <c r="B4614" i="12"/>
  <c r="A4615" i="12"/>
  <c r="B4615" i="12"/>
  <c r="A4616" i="12"/>
  <c r="B4616" i="12"/>
  <c r="A4617" i="12"/>
  <c r="B4617" i="12"/>
  <c r="A4618" i="12"/>
  <c r="B4618" i="12"/>
  <c r="A4619" i="12"/>
  <c r="B4619" i="12"/>
  <c r="A4620" i="12"/>
  <c r="B4620" i="12"/>
  <c r="A4621" i="12"/>
  <c r="B4621" i="12"/>
  <c r="A4622" i="12"/>
  <c r="B4622" i="12"/>
  <c r="A4623" i="12"/>
  <c r="B4623" i="12"/>
  <c r="A4624" i="12"/>
  <c r="B4624" i="12"/>
  <c r="A4625" i="12"/>
  <c r="B4625" i="12"/>
  <c r="A4626" i="12"/>
  <c r="B4626" i="12"/>
  <c r="A4627" i="12"/>
  <c r="B4627" i="12"/>
  <c r="A4628" i="12"/>
  <c r="B4628" i="12"/>
  <c r="A4629" i="12"/>
  <c r="B4629" i="12"/>
  <c r="A4630" i="12"/>
  <c r="B4630" i="12"/>
  <c r="A4631" i="12"/>
  <c r="B4631" i="12"/>
  <c r="A4632" i="12"/>
  <c r="B4632" i="12"/>
  <c r="A4633" i="12"/>
  <c r="B4633" i="12"/>
  <c r="A4634" i="12"/>
  <c r="B4634" i="12"/>
  <c r="A4635" i="12"/>
  <c r="B4635" i="12"/>
  <c r="A4636" i="12"/>
  <c r="B4636" i="12"/>
  <c r="A4637" i="12"/>
  <c r="B4637" i="12"/>
  <c r="A4638" i="12"/>
  <c r="B4638" i="12"/>
  <c r="A4639" i="12"/>
  <c r="B4639" i="12"/>
  <c r="A4640" i="12"/>
  <c r="B4640" i="12"/>
  <c r="A4641" i="12"/>
  <c r="B4641" i="12"/>
  <c r="A4642" i="12"/>
  <c r="B4642" i="12"/>
  <c r="A4643" i="12"/>
  <c r="B4643" i="12"/>
  <c r="A4644" i="12"/>
  <c r="B4644" i="12"/>
  <c r="A4645" i="12"/>
  <c r="B4645" i="12"/>
  <c r="A4646" i="12"/>
  <c r="B4646" i="12"/>
  <c r="A4647" i="12"/>
  <c r="B4647" i="12"/>
  <c r="A4648" i="12"/>
  <c r="B4648" i="12"/>
  <c r="A4649" i="12"/>
  <c r="B4649" i="12"/>
  <c r="A4650" i="12"/>
  <c r="B4650" i="12"/>
  <c r="A4651" i="12"/>
  <c r="B4651" i="12"/>
  <c r="A4652" i="12"/>
  <c r="B4652" i="12"/>
  <c r="A4653" i="12"/>
  <c r="B4653" i="12"/>
  <c r="A4654" i="12"/>
  <c r="B4654" i="12"/>
  <c r="A4655" i="12"/>
  <c r="B4655" i="12"/>
  <c r="A4656" i="12"/>
  <c r="B4656" i="12"/>
  <c r="A4657" i="12"/>
  <c r="B4657" i="12"/>
  <c r="A4658" i="12"/>
  <c r="B4658" i="12"/>
  <c r="A4659" i="12"/>
  <c r="B4659" i="12"/>
  <c r="A4660" i="12"/>
  <c r="B4660" i="12"/>
  <c r="A4661" i="12"/>
  <c r="B4661" i="12"/>
  <c r="A4662" i="12"/>
  <c r="B4662" i="12"/>
  <c r="A4663" i="12"/>
  <c r="B4663" i="12"/>
  <c r="A4664" i="12"/>
  <c r="B4664" i="12"/>
  <c r="A4665" i="12"/>
  <c r="B4665" i="12"/>
  <c r="A4666" i="12"/>
  <c r="B4666" i="12"/>
  <c r="A4667" i="12"/>
  <c r="B4667" i="12"/>
  <c r="A4668" i="12"/>
  <c r="B4668" i="12"/>
  <c r="A4669" i="12"/>
  <c r="B4669" i="12"/>
  <c r="A4670" i="12"/>
  <c r="B4670" i="12"/>
  <c r="A4671" i="12"/>
  <c r="B4671" i="12"/>
  <c r="A4672" i="12"/>
  <c r="B4672" i="12"/>
  <c r="A4673" i="12"/>
  <c r="B4673" i="12"/>
  <c r="A4674" i="12"/>
  <c r="B4674" i="12"/>
  <c r="A4675" i="12"/>
  <c r="B4675" i="12"/>
  <c r="A4676" i="12"/>
  <c r="B4676" i="12"/>
  <c r="A4677" i="12"/>
  <c r="B4677" i="12"/>
  <c r="A4678" i="12"/>
  <c r="B4678" i="12"/>
  <c r="A4679" i="12"/>
  <c r="B4679" i="12"/>
  <c r="A4680" i="12"/>
  <c r="B4680" i="12"/>
  <c r="A4681" i="12"/>
  <c r="B4681" i="12"/>
  <c r="A4682" i="12"/>
  <c r="B4682" i="12"/>
  <c r="A4683" i="12"/>
  <c r="B4683" i="12"/>
  <c r="A4684" i="12"/>
  <c r="B4684" i="12"/>
  <c r="A4685" i="12"/>
  <c r="B4685" i="12"/>
  <c r="A4686" i="12"/>
  <c r="B4686" i="12"/>
  <c r="A4687" i="12"/>
  <c r="B4687" i="12"/>
  <c r="A4688" i="12"/>
  <c r="B4688" i="12"/>
  <c r="A4689" i="12"/>
  <c r="B4689" i="12"/>
  <c r="A4690" i="12"/>
  <c r="B4690" i="12"/>
  <c r="A4691" i="12"/>
  <c r="B4691" i="12"/>
  <c r="A4692" i="12"/>
  <c r="B4692" i="12"/>
  <c r="A4693" i="12"/>
  <c r="B4693" i="12"/>
  <c r="A4694" i="12"/>
  <c r="B4694" i="12"/>
  <c r="A4695" i="12"/>
  <c r="B4695" i="12"/>
  <c r="A4696" i="12"/>
  <c r="B4696" i="12"/>
  <c r="A4697" i="12"/>
  <c r="B4697" i="12"/>
  <c r="A4698" i="12"/>
  <c r="B4698" i="12"/>
  <c r="A4699" i="12"/>
  <c r="B4699" i="12"/>
  <c r="A4700" i="12"/>
  <c r="B4700" i="12"/>
  <c r="A4701" i="12"/>
  <c r="B4701" i="12"/>
  <c r="A4702" i="12"/>
  <c r="B4702" i="12"/>
  <c r="A4703" i="12"/>
  <c r="B4703" i="12"/>
  <c r="A4704" i="12"/>
  <c r="B4704" i="12"/>
  <c r="A4705" i="12"/>
  <c r="B4705" i="12"/>
  <c r="A4706" i="12"/>
  <c r="B4706" i="12"/>
  <c r="A4707" i="12"/>
  <c r="B4707" i="12"/>
  <c r="A4708" i="12"/>
  <c r="B4708" i="12"/>
  <c r="A4709" i="12"/>
  <c r="B4709" i="12"/>
  <c r="A4710" i="12"/>
  <c r="B4710" i="12"/>
  <c r="A4711" i="12"/>
  <c r="B4711" i="12"/>
  <c r="A4712" i="12"/>
  <c r="B4712" i="12"/>
  <c r="A4713" i="12"/>
  <c r="B4713" i="12"/>
  <c r="A4714" i="12"/>
  <c r="B4714" i="12"/>
  <c r="A4715" i="12"/>
  <c r="B4715" i="12"/>
  <c r="A4716" i="12"/>
  <c r="B4716" i="12"/>
  <c r="A4717" i="12"/>
  <c r="B4717" i="12"/>
  <c r="A4718" i="12"/>
  <c r="B4718" i="12"/>
  <c r="A4719" i="12"/>
  <c r="B4719" i="12"/>
  <c r="A4720" i="12"/>
  <c r="B4720" i="12"/>
  <c r="A4721" i="12"/>
  <c r="B4721" i="12"/>
  <c r="A4722" i="12"/>
  <c r="B4722" i="12"/>
  <c r="A4723" i="12"/>
  <c r="B4723" i="12"/>
  <c r="A4724" i="12"/>
  <c r="B4724" i="12"/>
  <c r="A4725" i="12"/>
  <c r="B4725" i="12"/>
  <c r="A4726" i="12"/>
  <c r="B4726" i="12"/>
  <c r="A4727" i="12"/>
  <c r="B4727" i="12"/>
  <c r="A4728" i="12"/>
  <c r="B4728" i="12"/>
  <c r="A4729" i="12"/>
  <c r="B4729" i="12"/>
  <c r="A4730" i="12"/>
  <c r="B4730" i="12"/>
  <c r="A4731" i="12"/>
  <c r="B4731" i="12"/>
  <c r="A4732" i="12"/>
  <c r="B4732" i="12"/>
  <c r="A4733" i="12"/>
  <c r="B4733" i="12"/>
  <c r="A4734" i="12"/>
  <c r="B4734" i="12"/>
  <c r="A4735" i="12"/>
  <c r="B4735" i="12"/>
  <c r="A4736" i="12"/>
  <c r="B4736" i="12"/>
  <c r="A4737" i="12"/>
  <c r="B4737" i="12"/>
  <c r="A4738" i="12"/>
  <c r="B4738" i="12"/>
  <c r="A4739" i="12"/>
  <c r="B4739" i="12"/>
  <c r="A4740" i="12"/>
  <c r="B4740" i="12"/>
  <c r="A4741" i="12"/>
  <c r="B4741" i="12"/>
  <c r="A4742" i="12"/>
  <c r="B4742" i="12"/>
  <c r="A4743" i="12"/>
  <c r="B4743" i="12"/>
  <c r="A4744" i="12"/>
  <c r="B4744" i="12"/>
  <c r="A4745" i="12"/>
  <c r="B4745" i="12"/>
  <c r="A4746" i="12"/>
  <c r="B4746" i="12"/>
  <c r="A4747" i="12"/>
  <c r="B4747" i="12"/>
  <c r="A4748" i="12"/>
  <c r="B4748" i="12"/>
  <c r="A4749" i="12"/>
  <c r="B4749" i="12"/>
  <c r="A4750" i="12"/>
  <c r="B4750" i="12"/>
  <c r="A4751" i="12"/>
  <c r="B4751" i="12"/>
  <c r="A4752" i="12"/>
  <c r="B4752" i="12"/>
  <c r="A4753" i="12"/>
  <c r="B4753" i="12"/>
  <c r="A4754" i="12"/>
  <c r="B4754" i="12"/>
  <c r="A4755" i="12"/>
  <c r="B4755" i="12"/>
  <c r="A4756" i="12"/>
  <c r="B4756" i="12"/>
  <c r="A4757" i="12"/>
  <c r="B4757" i="12"/>
  <c r="A4758" i="12"/>
  <c r="B4758" i="12"/>
  <c r="A4759" i="12"/>
  <c r="B4759" i="12"/>
  <c r="A4760" i="12"/>
  <c r="B4760" i="12"/>
  <c r="A4761" i="12"/>
  <c r="B4761" i="12"/>
  <c r="A4762" i="12"/>
  <c r="B4762" i="12"/>
  <c r="A4763" i="12"/>
  <c r="B4763" i="12"/>
  <c r="A4764" i="12"/>
  <c r="B4764" i="12"/>
  <c r="A4765" i="12"/>
  <c r="B4765" i="12"/>
  <c r="A4766" i="12"/>
  <c r="B4766" i="12"/>
  <c r="A4767" i="12"/>
  <c r="B4767" i="12"/>
  <c r="A4768" i="12"/>
  <c r="B4768" i="12"/>
  <c r="A4769" i="12"/>
  <c r="B4769" i="12"/>
  <c r="A4770" i="12"/>
  <c r="B4770" i="12"/>
  <c r="A4771" i="12"/>
  <c r="B4771" i="12"/>
  <c r="A4772" i="12"/>
  <c r="B4772" i="12"/>
  <c r="A4773" i="12"/>
  <c r="B4773" i="12"/>
  <c r="A4774" i="12"/>
  <c r="B4774" i="12"/>
  <c r="A4775" i="12"/>
  <c r="B4775" i="12"/>
  <c r="A4776" i="12"/>
  <c r="B4776" i="12"/>
  <c r="A4777" i="12"/>
  <c r="B4777" i="12"/>
  <c r="A4778" i="12"/>
  <c r="B4778" i="12"/>
  <c r="A4779" i="12"/>
  <c r="B4779" i="12"/>
  <c r="A4780" i="12"/>
  <c r="B4780" i="12"/>
  <c r="A4781" i="12"/>
  <c r="B4781" i="12"/>
  <c r="A4782" i="12"/>
  <c r="B4782" i="12"/>
  <c r="A4783" i="12"/>
  <c r="B4783" i="12"/>
  <c r="A4784" i="12"/>
  <c r="B4784" i="12"/>
  <c r="A4785" i="12"/>
  <c r="B4785" i="12"/>
  <c r="A4786" i="12"/>
  <c r="B4786" i="12"/>
  <c r="A4787" i="12"/>
  <c r="B4787" i="12"/>
  <c r="A4788" i="12"/>
  <c r="B4788" i="12"/>
  <c r="A4789" i="12"/>
  <c r="B4789" i="12"/>
  <c r="A4790" i="12"/>
  <c r="B4790" i="12"/>
  <c r="A4791" i="12"/>
  <c r="B4791" i="12"/>
  <c r="A4792" i="12"/>
  <c r="B4792" i="12"/>
  <c r="A4793" i="12"/>
  <c r="B4793" i="12"/>
  <c r="A4794" i="12"/>
  <c r="B4794" i="12"/>
  <c r="A4795" i="12"/>
  <c r="B4795" i="12"/>
  <c r="A4796" i="12"/>
  <c r="B4796" i="12"/>
  <c r="A4797" i="12"/>
  <c r="B4797" i="12"/>
  <c r="A4798" i="12"/>
  <c r="B4798" i="12"/>
  <c r="A4799" i="12"/>
  <c r="B4799" i="12"/>
  <c r="A4800" i="12"/>
  <c r="B4800" i="12"/>
  <c r="A4801" i="12"/>
  <c r="B4801" i="12"/>
  <c r="A4802" i="12"/>
  <c r="B4802" i="12"/>
  <c r="A4803" i="12"/>
  <c r="B4803" i="12"/>
  <c r="A4804" i="12"/>
  <c r="B4804" i="12"/>
  <c r="A4805" i="12"/>
  <c r="B4805" i="12"/>
  <c r="A4806" i="12"/>
  <c r="B4806" i="12"/>
  <c r="A4807" i="12"/>
  <c r="B4807" i="12"/>
  <c r="A4808" i="12"/>
  <c r="B4808" i="12"/>
  <c r="A4809" i="12"/>
  <c r="B4809" i="12"/>
  <c r="A4810" i="12"/>
  <c r="B4810" i="12"/>
  <c r="A4811" i="12"/>
  <c r="B4811" i="12"/>
  <c r="A4812" i="12"/>
  <c r="B4812" i="12"/>
  <c r="A4813" i="12"/>
  <c r="B4813" i="12"/>
  <c r="A4814" i="12"/>
  <c r="B4814" i="12"/>
  <c r="A4815" i="12"/>
  <c r="B4815" i="12"/>
  <c r="A4816" i="12"/>
  <c r="B4816" i="12"/>
  <c r="A4817" i="12"/>
  <c r="B4817" i="12"/>
  <c r="A4818" i="12"/>
  <c r="B4818" i="12"/>
  <c r="A4819" i="12"/>
  <c r="B4819" i="12"/>
  <c r="A4820" i="12"/>
  <c r="B4820" i="12"/>
  <c r="A4821" i="12"/>
  <c r="B4821" i="12"/>
  <c r="A4822" i="12"/>
  <c r="B4822" i="12"/>
  <c r="A4823" i="12"/>
  <c r="B4823" i="12"/>
  <c r="A4824" i="12"/>
  <c r="B4824" i="12"/>
  <c r="A4825" i="12"/>
  <c r="B4825" i="12"/>
  <c r="A4826" i="12"/>
  <c r="B4826" i="12"/>
  <c r="A4827" i="12"/>
  <c r="B4827" i="12"/>
  <c r="A4828" i="12"/>
  <c r="B4828" i="12"/>
  <c r="A4829" i="12"/>
  <c r="B4829" i="12"/>
  <c r="A4830" i="12"/>
  <c r="B4830" i="12"/>
  <c r="A4831" i="12"/>
  <c r="B4831" i="12"/>
  <c r="A4832" i="12"/>
  <c r="B4832" i="12"/>
  <c r="A4833" i="12"/>
  <c r="B4833" i="12"/>
  <c r="A4834" i="12"/>
  <c r="B4834" i="12"/>
  <c r="A4835" i="12"/>
  <c r="B4835" i="12"/>
  <c r="A4836" i="12"/>
  <c r="B4836" i="12"/>
  <c r="A4837" i="12"/>
  <c r="B4837" i="12"/>
  <c r="A4838" i="12"/>
  <c r="B4838" i="12"/>
  <c r="A4839" i="12"/>
  <c r="B4839" i="12"/>
  <c r="A4840" i="12"/>
  <c r="B4840" i="12"/>
  <c r="A4841" i="12"/>
  <c r="B4841" i="12"/>
  <c r="A4842" i="12"/>
  <c r="B4842" i="12"/>
  <c r="A4843" i="12"/>
  <c r="B4843" i="12"/>
  <c r="A4844" i="12"/>
  <c r="B4844" i="12"/>
  <c r="A4845" i="12"/>
  <c r="B4845" i="12"/>
  <c r="A4846" i="12"/>
  <c r="B4846" i="12"/>
  <c r="A4847" i="12"/>
  <c r="B4847" i="12"/>
  <c r="A4848" i="12"/>
  <c r="B4848" i="12"/>
  <c r="A4849" i="12"/>
  <c r="B4849" i="12"/>
  <c r="A4850" i="12"/>
  <c r="B4850" i="12"/>
  <c r="A4851" i="12"/>
  <c r="B4851" i="12"/>
  <c r="A4852" i="12"/>
  <c r="B4852" i="12"/>
  <c r="A4853" i="12"/>
  <c r="B4853" i="12"/>
  <c r="A4854" i="12"/>
  <c r="B4854" i="12"/>
  <c r="A4855" i="12"/>
  <c r="B4855" i="12"/>
  <c r="A4856" i="12"/>
  <c r="B4856" i="12"/>
  <c r="A4857" i="12"/>
  <c r="B4857" i="12"/>
  <c r="A4858" i="12"/>
  <c r="B4858" i="12"/>
  <c r="A4859" i="12"/>
  <c r="B4859" i="12"/>
  <c r="A4860" i="12"/>
  <c r="B4860" i="12"/>
  <c r="A4861" i="12"/>
  <c r="B4861" i="12"/>
  <c r="A4862" i="12"/>
  <c r="B4862" i="12"/>
  <c r="A4863" i="12"/>
  <c r="B4863" i="12"/>
  <c r="A4864" i="12"/>
  <c r="B4864" i="12"/>
  <c r="A4865" i="12"/>
  <c r="B4865" i="12"/>
  <c r="A4866" i="12"/>
  <c r="B4866" i="12"/>
  <c r="A4867" i="12"/>
  <c r="B4867" i="12"/>
  <c r="A4868" i="12"/>
  <c r="B4868" i="12"/>
  <c r="A4869" i="12"/>
  <c r="B4869" i="12"/>
  <c r="A4870" i="12"/>
  <c r="B4870" i="12"/>
  <c r="A4871" i="12"/>
  <c r="B4871" i="12"/>
  <c r="A4872" i="12"/>
  <c r="B4872" i="12"/>
  <c r="A4873" i="12"/>
  <c r="B4873" i="12"/>
  <c r="A4874" i="12"/>
  <c r="B4874" i="12"/>
  <c r="A4875" i="12"/>
  <c r="B4875" i="12"/>
  <c r="A4876" i="12"/>
  <c r="B4876" i="12"/>
  <c r="A4877" i="12"/>
  <c r="B4877" i="12"/>
  <c r="A4878" i="12"/>
  <c r="B4878" i="12"/>
  <c r="A4879" i="12"/>
  <c r="B4879" i="12"/>
  <c r="A4880" i="12"/>
  <c r="B4880" i="12"/>
  <c r="A4881" i="12"/>
  <c r="B4881" i="12"/>
  <c r="A4882" i="12"/>
  <c r="B4882" i="12"/>
  <c r="A4883" i="12"/>
  <c r="B4883" i="12"/>
  <c r="A4884" i="12"/>
  <c r="B4884" i="12"/>
  <c r="A4885" i="12"/>
  <c r="B4885" i="12"/>
  <c r="A4886" i="12"/>
  <c r="B4886" i="12"/>
  <c r="A4887" i="12"/>
  <c r="B4887" i="12"/>
  <c r="A4888" i="12"/>
  <c r="B4888" i="12"/>
  <c r="A4889" i="12"/>
  <c r="B4889" i="12"/>
  <c r="A4890" i="12"/>
  <c r="B4890" i="12"/>
  <c r="A4891" i="12"/>
  <c r="B4891" i="12"/>
  <c r="A4892" i="12"/>
  <c r="B4892" i="12"/>
  <c r="A4893" i="12"/>
  <c r="B4893" i="12"/>
  <c r="A4894" i="12"/>
  <c r="B4894" i="12"/>
  <c r="A4895" i="12"/>
  <c r="B4895" i="12"/>
  <c r="A4896" i="12"/>
  <c r="B4896" i="12"/>
  <c r="A4897" i="12"/>
  <c r="B4897" i="12"/>
  <c r="A4898" i="12"/>
  <c r="B4898" i="12"/>
  <c r="A4899" i="12"/>
  <c r="B4899" i="12"/>
  <c r="A4900" i="12"/>
  <c r="B4900" i="12"/>
  <c r="A4901" i="12"/>
  <c r="B4901" i="12"/>
  <c r="A4902" i="12"/>
  <c r="B4902" i="12"/>
  <c r="A4903" i="12"/>
  <c r="B4903" i="12"/>
  <c r="A4904" i="12"/>
  <c r="B4904" i="12"/>
  <c r="A4905" i="12"/>
  <c r="B4905" i="12"/>
  <c r="A4906" i="12"/>
  <c r="B4906" i="12"/>
  <c r="A4907" i="12"/>
  <c r="B4907" i="12"/>
  <c r="A4908" i="12"/>
  <c r="B4908" i="12"/>
  <c r="A4909" i="12"/>
  <c r="B4909" i="12"/>
  <c r="A4910" i="12"/>
  <c r="B4910" i="12"/>
  <c r="A4911" i="12"/>
  <c r="B4911" i="12"/>
  <c r="A4912" i="12"/>
  <c r="B4912" i="12"/>
  <c r="A4913" i="12"/>
  <c r="B4913" i="12"/>
  <c r="A4914" i="12"/>
  <c r="B4914" i="12"/>
  <c r="A4915" i="12"/>
  <c r="B4915" i="12"/>
  <c r="A4916" i="12"/>
  <c r="B4916" i="12"/>
  <c r="A4917" i="12"/>
  <c r="B4917" i="12"/>
  <c r="A4918" i="12"/>
  <c r="B4918" i="12"/>
  <c r="A4919" i="12"/>
  <c r="B4919" i="12"/>
  <c r="A4920" i="12"/>
  <c r="B4920" i="12"/>
  <c r="A4921" i="12"/>
  <c r="B4921" i="12"/>
  <c r="A4922" i="12"/>
  <c r="B4922" i="12"/>
  <c r="A4923" i="12"/>
  <c r="B4923" i="12"/>
  <c r="A4924" i="12"/>
  <c r="B4924" i="12"/>
  <c r="A4925" i="12"/>
  <c r="B4925" i="12"/>
  <c r="A4926" i="12"/>
  <c r="B4926" i="12"/>
  <c r="A4927" i="12"/>
  <c r="B4927" i="12"/>
  <c r="A4928" i="12"/>
  <c r="B4928" i="12"/>
  <c r="A4929" i="12"/>
  <c r="B4929" i="12"/>
  <c r="A4930" i="12"/>
  <c r="B4930" i="12"/>
  <c r="A4931" i="12"/>
  <c r="B4931" i="12"/>
  <c r="A4932" i="12"/>
  <c r="B4932" i="12"/>
  <c r="A4933" i="12"/>
  <c r="B4933" i="12"/>
  <c r="A4934" i="12"/>
  <c r="B4934" i="12"/>
  <c r="A4935" i="12"/>
  <c r="B4935" i="12"/>
  <c r="A4936" i="12"/>
  <c r="B4936" i="12"/>
  <c r="A4937" i="12"/>
  <c r="B4937" i="12"/>
  <c r="A4938" i="12"/>
  <c r="B4938" i="12"/>
  <c r="A4939" i="12"/>
  <c r="B4939" i="12"/>
  <c r="A4940" i="12"/>
  <c r="B4940" i="12"/>
  <c r="A4941" i="12"/>
  <c r="B4941" i="12"/>
  <c r="A4942" i="12"/>
  <c r="B4942" i="12"/>
  <c r="A4943" i="12"/>
  <c r="B4943" i="12"/>
  <c r="A4944" i="12"/>
  <c r="B4944" i="12"/>
  <c r="A4945" i="12"/>
  <c r="B4945" i="12"/>
  <c r="A4946" i="12"/>
  <c r="B4946" i="12"/>
  <c r="A4947" i="12"/>
  <c r="B4947" i="12"/>
  <c r="A4948" i="12"/>
  <c r="B4948" i="12"/>
  <c r="A4949" i="12"/>
  <c r="B4949" i="12"/>
  <c r="A4950" i="12"/>
  <c r="B4950" i="12"/>
  <c r="A4951" i="12"/>
  <c r="B4951" i="12"/>
  <c r="A4952" i="12"/>
  <c r="B4952" i="12"/>
  <c r="A4953" i="12"/>
  <c r="B4953" i="12"/>
  <c r="A4954" i="12"/>
  <c r="B4954" i="12"/>
  <c r="A4955" i="12"/>
  <c r="B4955" i="12"/>
  <c r="A4956" i="12"/>
  <c r="B4956" i="12"/>
  <c r="A4957" i="12"/>
  <c r="B4957" i="12"/>
  <c r="A4958" i="12"/>
  <c r="B4958" i="12"/>
  <c r="A4959" i="12"/>
  <c r="B4959" i="12"/>
  <c r="A4960" i="12"/>
  <c r="B4960" i="12"/>
  <c r="A4961" i="12"/>
  <c r="B4961" i="12"/>
  <c r="A4962" i="12"/>
  <c r="B4962" i="12"/>
  <c r="A4963" i="12"/>
  <c r="B4963" i="12"/>
  <c r="A4964" i="12"/>
  <c r="B4964" i="12"/>
  <c r="A4965" i="12"/>
  <c r="B4965" i="12"/>
  <c r="A4966" i="12"/>
  <c r="B4966" i="12"/>
  <c r="A4967" i="12"/>
  <c r="B4967" i="12"/>
  <c r="A4968" i="12"/>
  <c r="B4968" i="12"/>
  <c r="A4969" i="12"/>
  <c r="B4969" i="12"/>
  <c r="A4970" i="12"/>
  <c r="B4970" i="12"/>
  <c r="A4971" i="12"/>
  <c r="B4971" i="12"/>
  <c r="A4972" i="12"/>
  <c r="B4972" i="12"/>
  <c r="A4973" i="12"/>
  <c r="B4973" i="12"/>
  <c r="A4974" i="12"/>
  <c r="B4974" i="12"/>
  <c r="A4975" i="12"/>
  <c r="B4975" i="12"/>
  <c r="A4976" i="12"/>
  <c r="B4976" i="12"/>
  <c r="A4977" i="12"/>
  <c r="B4977" i="12"/>
  <c r="A4978" i="12"/>
  <c r="B4978" i="12"/>
  <c r="A4979" i="12"/>
  <c r="B4979" i="12"/>
  <c r="A4980" i="12"/>
  <c r="B4980" i="12"/>
  <c r="A4981" i="12"/>
  <c r="B4981" i="12"/>
  <c r="A4982" i="12"/>
  <c r="B4982" i="12"/>
  <c r="A4983" i="12"/>
  <c r="B4983" i="12"/>
  <c r="A4984" i="12"/>
  <c r="B4984" i="12"/>
  <c r="A4985" i="12"/>
  <c r="B4985" i="12"/>
  <c r="A4986" i="12"/>
  <c r="B4986" i="12"/>
  <c r="A4987" i="12"/>
  <c r="B4987" i="12"/>
  <c r="A4988" i="12"/>
  <c r="B4988" i="12"/>
  <c r="A4989" i="12"/>
  <c r="B4989" i="12"/>
  <c r="A4990" i="12"/>
  <c r="B4990" i="12"/>
  <c r="A4991" i="12"/>
  <c r="B4991" i="12"/>
  <c r="A4992" i="12"/>
  <c r="B4992" i="12"/>
  <c r="A4993" i="12"/>
  <c r="B4993" i="12"/>
  <c r="A4994" i="12"/>
  <c r="B4994" i="12"/>
  <c r="A4995" i="12"/>
  <c r="B4995" i="12"/>
  <c r="A4996" i="12"/>
  <c r="B4996" i="12"/>
  <c r="A4997" i="12"/>
  <c r="B4997" i="12"/>
  <c r="A4998" i="12"/>
  <c r="B4998" i="12"/>
  <c r="A4999" i="12"/>
  <c r="B4999" i="12"/>
  <c r="A5000" i="12"/>
  <c r="B5000" i="12"/>
  <c r="A5001" i="12"/>
  <c r="B5001" i="12"/>
  <c r="A5002" i="12"/>
  <c r="B5002" i="12"/>
  <c r="A5003" i="12"/>
  <c r="B5003" i="12"/>
  <c r="A5004" i="12"/>
  <c r="B5004" i="12"/>
  <c r="A5005" i="12"/>
  <c r="B5005" i="12"/>
  <c r="A5006" i="12"/>
  <c r="B5006" i="12"/>
  <c r="A5007" i="12"/>
  <c r="B5007" i="12"/>
  <c r="A5008" i="12"/>
  <c r="B5008" i="12"/>
  <c r="A5009" i="12"/>
  <c r="B5009" i="12"/>
  <c r="A5010" i="12"/>
  <c r="B5010" i="12"/>
  <c r="A5011" i="12"/>
  <c r="B5011" i="12"/>
  <c r="A5012" i="12"/>
  <c r="B5012" i="12"/>
  <c r="A5013" i="12"/>
  <c r="B5013" i="12"/>
  <c r="A5014" i="12"/>
  <c r="B5014" i="12"/>
  <c r="A5015" i="12"/>
  <c r="B5015" i="12"/>
  <c r="A5016" i="12"/>
  <c r="B5016" i="12"/>
  <c r="A5017" i="12"/>
  <c r="B5017" i="12"/>
  <c r="A5018" i="12"/>
  <c r="B5018" i="12"/>
  <c r="A5019" i="12"/>
  <c r="B5019" i="12"/>
  <c r="A5020" i="12"/>
  <c r="B5020" i="12"/>
  <c r="A5021" i="12"/>
  <c r="B5021" i="12"/>
  <c r="A5022" i="12"/>
  <c r="B5022" i="12"/>
  <c r="A5023" i="12"/>
  <c r="B5023" i="12"/>
  <c r="A5024" i="12"/>
  <c r="B5024" i="12"/>
  <c r="A5025" i="12"/>
  <c r="B5025" i="12"/>
  <c r="A5026" i="12"/>
  <c r="B5026" i="12"/>
  <c r="A5027" i="12"/>
  <c r="B5027" i="12"/>
  <c r="A5028" i="12"/>
  <c r="B5028" i="12"/>
  <c r="A5029" i="12"/>
  <c r="B5029" i="12"/>
  <c r="A5030" i="12"/>
  <c r="B5030" i="12"/>
  <c r="A5031" i="12"/>
  <c r="B5031" i="12"/>
  <c r="A5032" i="12"/>
  <c r="B5032" i="12"/>
  <c r="A5033" i="12"/>
  <c r="B5033" i="12"/>
  <c r="A5034" i="12"/>
  <c r="B5034" i="12"/>
  <c r="A5035" i="12"/>
  <c r="B5035" i="12"/>
  <c r="A5036" i="12"/>
  <c r="B5036" i="12"/>
  <c r="A5037" i="12"/>
  <c r="B5037" i="12"/>
  <c r="A5038" i="12"/>
  <c r="B5038" i="12"/>
  <c r="A5039" i="12"/>
  <c r="B5039" i="12"/>
  <c r="A5040" i="12"/>
  <c r="B5040" i="12"/>
  <c r="A5041" i="12"/>
  <c r="B5041" i="12"/>
  <c r="A5042" i="12"/>
  <c r="B5042" i="12"/>
  <c r="A5043" i="12"/>
  <c r="B5043" i="12"/>
  <c r="A5044" i="12"/>
  <c r="B5044" i="12"/>
  <c r="A5045" i="12"/>
  <c r="B5045" i="12"/>
  <c r="A5046" i="12"/>
  <c r="B5046" i="12"/>
  <c r="A5047" i="12"/>
  <c r="B5047" i="12"/>
  <c r="A5048" i="12"/>
  <c r="B5048" i="12"/>
  <c r="A5049" i="12"/>
  <c r="B5049" i="12"/>
  <c r="A5050" i="12"/>
  <c r="B5050" i="12"/>
  <c r="A5051" i="12"/>
  <c r="B5051" i="12"/>
  <c r="A5052" i="12"/>
  <c r="B5052" i="12"/>
  <c r="A5053" i="12"/>
  <c r="B5053" i="12"/>
  <c r="A5054" i="12"/>
  <c r="B5054" i="12"/>
  <c r="A5055" i="12"/>
  <c r="B5055" i="12"/>
  <c r="A5056" i="12"/>
  <c r="B5056" i="12"/>
  <c r="A5057" i="12"/>
  <c r="B5057" i="12"/>
  <c r="A5058" i="12"/>
  <c r="B5058" i="12"/>
  <c r="A5059" i="12"/>
  <c r="B5059" i="12"/>
  <c r="A5060" i="12"/>
  <c r="B5060" i="12"/>
  <c r="A5061" i="12"/>
  <c r="B5061" i="12"/>
  <c r="A5062" i="12"/>
  <c r="B5062" i="12"/>
  <c r="A5063" i="12"/>
  <c r="B5063" i="12"/>
  <c r="A5064" i="12"/>
  <c r="B5064" i="12"/>
  <c r="A5065" i="12"/>
  <c r="B5065" i="12"/>
  <c r="A5066" i="12"/>
  <c r="B5066" i="12"/>
  <c r="A5067" i="12"/>
  <c r="B5067" i="12"/>
  <c r="A5068" i="12"/>
  <c r="B5068" i="12"/>
  <c r="A5069" i="12"/>
  <c r="B5069" i="12"/>
  <c r="A5070" i="12"/>
  <c r="B5070" i="12"/>
  <c r="A5071" i="12"/>
  <c r="B5071" i="12"/>
  <c r="A5072" i="12"/>
  <c r="B5072" i="12"/>
  <c r="A5073" i="12"/>
  <c r="B5073" i="12"/>
  <c r="A5074" i="12"/>
  <c r="B5074" i="12"/>
  <c r="A5075" i="12"/>
  <c r="B5075" i="12"/>
  <c r="A5076" i="12"/>
  <c r="B5076" i="12"/>
  <c r="A5077" i="12"/>
  <c r="B5077" i="12"/>
  <c r="A5078" i="12"/>
  <c r="B5078" i="12"/>
  <c r="A5079" i="12"/>
  <c r="B5079" i="12"/>
  <c r="A5080" i="12"/>
  <c r="B5080" i="12"/>
  <c r="A5081" i="12"/>
  <c r="B5081" i="12"/>
  <c r="A5082" i="12"/>
  <c r="B5082" i="12"/>
  <c r="A5083" i="12"/>
  <c r="B5083" i="12"/>
  <c r="A5084" i="12"/>
  <c r="B5084" i="12"/>
  <c r="A5085" i="12"/>
  <c r="B5085" i="12"/>
  <c r="A5086" i="12"/>
  <c r="B5086" i="12"/>
  <c r="A5087" i="12"/>
  <c r="B5087" i="12"/>
  <c r="A5088" i="12"/>
  <c r="B5088" i="12"/>
  <c r="A5089" i="12"/>
  <c r="B5089" i="12"/>
  <c r="A5090" i="12"/>
  <c r="B5090" i="12"/>
  <c r="A5091" i="12"/>
  <c r="B5091" i="12"/>
  <c r="A5092" i="12"/>
  <c r="B5092" i="12"/>
  <c r="A5093" i="12"/>
  <c r="B5093" i="12"/>
  <c r="A5094" i="12"/>
  <c r="B5094" i="12"/>
  <c r="A5095" i="12"/>
  <c r="B5095" i="12"/>
  <c r="A5096" i="12"/>
  <c r="B5096" i="12"/>
  <c r="A5097" i="12"/>
  <c r="B5097" i="12"/>
  <c r="A5098" i="12"/>
  <c r="B5098" i="12"/>
  <c r="A5099" i="12"/>
  <c r="B5099" i="12"/>
  <c r="A5100" i="12"/>
  <c r="B5100" i="12"/>
  <c r="A5101" i="12"/>
  <c r="B5101" i="12"/>
  <c r="A5102" i="12"/>
  <c r="B5102" i="12"/>
  <c r="A5103" i="12"/>
  <c r="B5103" i="12"/>
  <c r="A5104" i="12"/>
  <c r="B5104" i="12"/>
  <c r="A5105" i="12"/>
  <c r="B5105" i="12"/>
  <c r="A5106" i="12"/>
  <c r="B5106" i="12"/>
  <c r="A5107" i="12"/>
  <c r="B5107" i="12"/>
  <c r="A5108" i="12"/>
  <c r="B5108" i="12"/>
  <c r="A5109" i="12"/>
  <c r="B5109" i="12"/>
  <c r="A5110" i="12"/>
  <c r="B5110" i="12"/>
  <c r="A5111" i="12"/>
  <c r="B5111" i="12"/>
  <c r="A5112" i="12"/>
  <c r="B5112" i="12"/>
  <c r="A5113" i="12"/>
  <c r="B5113" i="12"/>
  <c r="A5114" i="12"/>
  <c r="B5114" i="12"/>
  <c r="A5115" i="12"/>
  <c r="B5115" i="12"/>
  <c r="A5116" i="12"/>
  <c r="B5116" i="12"/>
  <c r="A5117" i="12"/>
  <c r="B5117" i="12"/>
  <c r="A5118" i="12"/>
  <c r="B5118" i="12"/>
  <c r="A5119" i="12"/>
  <c r="B5119" i="12"/>
  <c r="A5120" i="12"/>
  <c r="B5120" i="12"/>
  <c r="A5121" i="12"/>
  <c r="B5121" i="12"/>
  <c r="A5122" i="12"/>
  <c r="B5122" i="12"/>
  <c r="A5123" i="12"/>
  <c r="B5123" i="12"/>
  <c r="A5124" i="12"/>
  <c r="B5124" i="12"/>
  <c r="A5125" i="12"/>
  <c r="B5125" i="12"/>
  <c r="A5126" i="12"/>
  <c r="B5126" i="12"/>
  <c r="A5127" i="12"/>
  <c r="B5127" i="12"/>
  <c r="A5128" i="12"/>
  <c r="B5128" i="12"/>
  <c r="A5129" i="12"/>
  <c r="B5129" i="12"/>
  <c r="A5130" i="12"/>
  <c r="B5130" i="12"/>
  <c r="A5131" i="12"/>
  <c r="B5131" i="12"/>
  <c r="A5132" i="12"/>
  <c r="B5132" i="12"/>
  <c r="A5133" i="12"/>
  <c r="B5133" i="12"/>
  <c r="A5134" i="12"/>
  <c r="B5134" i="12"/>
  <c r="A5135" i="12"/>
  <c r="B5135" i="12"/>
  <c r="A5136" i="12"/>
  <c r="B5136" i="12"/>
  <c r="A5137" i="12"/>
  <c r="B5137" i="12"/>
  <c r="A5138" i="12"/>
  <c r="B5138" i="12"/>
  <c r="A5139" i="12"/>
  <c r="B5139" i="12"/>
  <c r="A5140" i="12"/>
  <c r="B5140" i="12"/>
  <c r="A5141" i="12"/>
  <c r="B5141" i="12"/>
  <c r="A5142" i="12"/>
  <c r="B5142" i="12"/>
  <c r="A5143" i="12"/>
  <c r="B5143" i="12"/>
  <c r="A5144" i="12"/>
  <c r="B5144" i="12"/>
  <c r="A5145" i="12"/>
  <c r="B5145" i="12"/>
  <c r="A5146" i="12"/>
  <c r="B5146" i="12"/>
  <c r="A5147" i="12"/>
  <c r="B5147" i="12"/>
  <c r="A5148" i="12"/>
  <c r="B5148" i="12"/>
  <c r="A5149" i="12"/>
  <c r="B5149" i="12"/>
  <c r="A5150" i="12"/>
  <c r="B5150" i="12"/>
  <c r="A5151" i="12"/>
  <c r="B5151" i="12"/>
  <c r="A5152" i="12"/>
  <c r="B5152" i="12"/>
  <c r="A5153" i="12"/>
  <c r="B5153" i="12"/>
  <c r="A5154" i="12"/>
  <c r="B5154" i="12"/>
  <c r="A5155" i="12"/>
  <c r="B5155" i="12"/>
  <c r="A5156" i="12"/>
  <c r="B5156" i="12"/>
  <c r="A5157" i="12"/>
  <c r="B5157" i="12"/>
  <c r="A5158" i="12"/>
  <c r="B5158" i="12"/>
  <c r="A5159" i="12"/>
  <c r="B5159" i="12"/>
  <c r="A5160" i="12"/>
  <c r="B5160" i="12"/>
  <c r="A5161" i="12"/>
  <c r="B5161" i="12"/>
  <c r="A5162" i="12"/>
  <c r="B5162" i="12"/>
  <c r="A5163" i="12"/>
  <c r="B5163" i="12"/>
  <c r="A5164" i="12"/>
  <c r="B5164" i="12"/>
  <c r="A5165" i="12"/>
  <c r="B5165" i="12"/>
  <c r="A5166" i="12"/>
  <c r="B5166" i="12"/>
  <c r="A5167" i="12"/>
  <c r="B5167" i="12"/>
  <c r="A5168" i="12"/>
  <c r="B5168" i="12"/>
  <c r="A5169" i="12"/>
  <c r="B5169" i="12"/>
  <c r="A5170" i="12"/>
  <c r="B5170" i="12"/>
  <c r="A5171" i="12"/>
  <c r="B5171" i="12"/>
  <c r="A5172" i="12"/>
  <c r="B5172" i="12"/>
  <c r="A5173" i="12"/>
  <c r="B5173" i="12"/>
  <c r="A5174" i="12"/>
  <c r="B5174" i="12"/>
  <c r="A5175" i="12"/>
  <c r="B5175" i="12"/>
  <c r="A5176" i="12"/>
  <c r="B5176" i="12"/>
  <c r="A5177" i="12"/>
  <c r="B5177" i="12"/>
  <c r="A5178" i="12"/>
  <c r="B5178" i="12"/>
  <c r="A5179" i="12"/>
  <c r="B5179" i="12"/>
  <c r="A5180" i="12"/>
  <c r="B5180" i="12"/>
  <c r="A5181" i="12"/>
  <c r="B5181" i="12"/>
  <c r="A5182" i="12"/>
  <c r="B5182" i="12"/>
  <c r="A5183" i="12"/>
  <c r="B5183" i="12"/>
  <c r="A5184" i="12"/>
  <c r="B5184" i="12"/>
  <c r="A5185" i="12"/>
  <c r="B5185" i="12"/>
  <c r="A5186" i="12"/>
  <c r="B5186" i="12"/>
  <c r="A5187" i="12"/>
  <c r="B5187" i="12"/>
  <c r="A5188" i="12"/>
  <c r="B5188" i="12"/>
  <c r="A5189" i="12"/>
  <c r="B5189" i="12"/>
  <c r="A5190" i="12"/>
  <c r="B5190" i="12"/>
  <c r="A5191" i="12"/>
  <c r="B5191" i="12"/>
  <c r="A5192" i="12"/>
  <c r="B5192" i="12"/>
  <c r="A5193" i="12"/>
  <c r="B5193" i="12"/>
  <c r="A5194" i="12"/>
  <c r="B5194" i="12"/>
  <c r="A5195" i="12"/>
  <c r="B5195" i="12"/>
  <c r="A5196" i="12"/>
  <c r="B5196" i="12"/>
  <c r="A5197" i="12"/>
  <c r="B5197" i="12"/>
  <c r="A5198" i="12"/>
  <c r="B5198" i="12"/>
  <c r="A5199" i="12"/>
  <c r="B5199" i="12"/>
  <c r="A5200" i="12"/>
  <c r="B5200" i="12"/>
  <c r="A5201" i="12"/>
  <c r="B5201" i="12"/>
  <c r="A5202" i="12"/>
  <c r="B5202" i="12"/>
  <c r="A5203" i="12"/>
  <c r="B5203" i="12"/>
  <c r="A5204" i="12"/>
  <c r="B5204" i="12"/>
  <c r="A5205" i="12"/>
  <c r="B5205" i="12"/>
  <c r="A5206" i="12"/>
  <c r="B5206" i="12"/>
  <c r="A5207" i="12"/>
  <c r="B5207" i="12"/>
  <c r="A5208" i="12"/>
  <c r="B5208" i="12"/>
  <c r="A5209" i="12"/>
  <c r="B5209" i="12"/>
  <c r="A5210" i="12"/>
  <c r="B5210" i="12"/>
  <c r="A5211" i="12"/>
  <c r="B5211" i="12"/>
  <c r="A5212" i="12"/>
  <c r="B5212" i="12"/>
  <c r="A5213" i="12"/>
  <c r="B5213" i="12"/>
  <c r="A5214" i="12"/>
  <c r="B5214" i="12"/>
  <c r="A5215" i="12"/>
  <c r="B5215" i="12"/>
  <c r="A5216" i="12"/>
  <c r="B5216" i="12"/>
  <c r="A5217" i="12"/>
  <c r="B5217" i="12"/>
  <c r="A5218" i="12"/>
  <c r="B5218" i="12"/>
  <c r="A5219" i="12"/>
  <c r="B5219" i="12"/>
  <c r="A5220" i="12"/>
  <c r="B5220" i="12"/>
  <c r="A5221" i="12"/>
  <c r="B5221" i="12"/>
  <c r="A5222" i="12"/>
  <c r="B5222" i="12"/>
  <c r="A5223" i="12"/>
  <c r="B5223" i="12"/>
  <c r="A5224" i="12"/>
  <c r="B5224" i="12"/>
  <c r="A5225" i="12"/>
  <c r="B5225" i="12"/>
  <c r="A5226" i="12"/>
  <c r="B5226" i="12"/>
  <c r="A5227" i="12"/>
  <c r="B5227" i="12"/>
  <c r="A5228" i="12"/>
  <c r="B5228" i="12"/>
  <c r="A5229" i="12"/>
  <c r="B5229" i="12"/>
  <c r="A5230" i="12"/>
  <c r="B5230" i="12"/>
  <c r="A5231" i="12"/>
  <c r="B5231" i="12"/>
  <c r="A5232" i="12"/>
  <c r="B5232" i="12"/>
  <c r="A5233" i="12"/>
  <c r="B5233" i="12"/>
  <c r="A5234" i="12"/>
  <c r="B5234" i="12"/>
  <c r="A5235" i="12"/>
  <c r="B5235" i="12"/>
  <c r="A5236" i="12"/>
  <c r="B5236" i="12"/>
  <c r="A5237" i="12"/>
  <c r="B5237" i="12"/>
  <c r="A5238" i="12"/>
  <c r="B5238" i="12"/>
  <c r="A5239" i="12"/>
  <c r="B5239" i="12"/>
  <c r="A5240" i="12"/>
  <c r="B5240" i="12"/>
  <c r="A5241" i="12"/>
  <c r="B5241" i="12"/>
  <c r="A5242" i="12"/>
  <c r="B5242" i="12"/>
  <c r="A5243" i="12"/>
  <c r="B5243" i="12"/>
  <c r="A5244" i="12"/>
  <c r="B5244" i="12"/>
  <c r="A5245" i="12"/>
  <c r="B5245" i="12"/>
  <c r="A5246" i="12"/>
  <c r="B5246" i="12"/>
  <c r="A5247" i="12"/>
  <c r="B5247" i="12"/>
  <c r="A5248" i="12"/>
  <c r="B5248" i="12"/>
  <c r="A5249" i="12"/>
  <c r="B5249" i="12"/>
  <c r="A5250" i="12"/>
  <c r="B5250" i="12"/>
  <c r="A5251" i="12"/>
  <c r="B5251" i="12"/>
  <c r="A5252" i="12"/>
  <c r="B5252" i="12"/>
  <c r="A5253" i="12"/>
  <c r="B5253" i="12"/>
  <c r="A5254" i="12"/>
  <c r="B5254" i="12"/>
  <c r="A5255" i="12"/>
  <c r="B5255" i="12"/>
  <c r="A5256" i="12"/>
  <c r="B5256" i="12"/>
  <c r="A5257" i="12"/>
  <c r="B5257" i="12"/>
  <c r="A5258" i="12"/>
  <c r="B5258" i="12"/>
  <c r="A5259" i="12"/>
  <c r="B5259" i="12"/>
  <c r="A5260" i="12"/>
  <c r="B5260" i="12"/>
  <c r="A5261" i="12"/>
  <c r="B5261" i="12"/>
  <c r="A5262" i="12"/>
  <c r="B5262" i="12"/>
  <c r="A5263" i="12"/>
  <c r="B5263" i="12"/>
  <c r="A5264" i="12"/>
  <c r="B5264" i="12"/>
  <c r="A5265" i="12"/>
  <c r="B5265" i="12"/>
  <c r="A5266" i="12"/>
  <c r="B5266" i="12"/>
  <c r="A5267" i="12"/>
  <c r="B5267" i="12"/>
  <c r="A5268" i="12"/>
  <c r="B5268" i="12"/>
  <c r="A5269" i="12"/>
  <c r="B5269" i="12"/>
  <c r="A5270" i="12"/>
  <c r="B5270" i="12"/>
  <c r="A5271" i="12"/>
  <c r="B5271" i="12"/>
  <c r="A5272" i="12"/>
  <c r="B5272" i="12"/>
  <c r="A5273" i="12"/>
  <c r="B5273" i="12"/>
  <c r="A5274" i="12"/>
  <c r="B5274" i="12"/>
  <c r="A5275" i="12"/>
  <c r="B5275" i="12"/>
  <c r="A5276" i="12"/>
  <c r="B5276" i="12"/>
  <c r="A5277" i="12"/>
  <c r="B5277" i="12"/>
  <c r="A5278" i="12"/>
  <c r="B5278" i="12"/>
  <c r="A5279" i="12"/>
  <c r="B5279" i="12"/>
  <c r="A5280" i="12"/>
  <c r="B5280" i="12"/>
  <c r="A5281" i="12"/>
  <c r="B5281" i="12"/>
  <c r="A5282" i="12"/>
  <c r="B5282" i="12"/>
  <c r="A5283" i="12"/>
  <c r="B5283" i="12"/>
  <c r="A5284" i="12"/>
  <c r="B5284" i="12"/>
  <c r="A5285" i="12"/>
  <c r="B5285" i="12"/>
  <c r="A5286" i="12"/>
  <c r="B5286" i="12"/>
  <c r="A5287" i="12"/>
  <c r="B5287" i="12"/>
  <c r="A5288" i="12"/>
  <c r="B5288" i="12"/>
  <c r="A5289" i="12"/>
  <c r="B5289" i="12"/>
  <c r="A5290" i="12"/>
  <c r="B5290" i="12"/>
  <c r="A5291" i="12"/>
  <c r="B5291" i="12"/>
  <c r="A5292" i="12"/>
  <c r="B5292" i="12"/>
  <c r="A5293" i="12"/>
  <c r="B5293" i="12"/>
  <c r="A5294" i="12"/>
  <c r="B5294" i="12"/>
  <c r="A5295" i="12"/>
  <c r="B5295" i="12"/>
  <c r="A5296" i="12"/>
  <c r="B5296" i="12"/>
  <c r="A5297" i="12"/>
  <c r="B5297" i="12"/>
  <c r="A5298" i="12"/>
  <c r="B5298" i="12"/>
  <c r="A5299" i="12"/>
  <c r="B5299" i="12"/>
  <c r="A5300" i="12"/>
  <c r="B5300" i="12"/>
  <c r="A5301" i="12"/>
  <c r="B5301" i="12"/>
  <c r="A5302" i="12"/>
  <c r="B5302" i="12"/>
  <c r="A5303" i="12"/>
  <c r="B5303" i="12"/>
  <c r="A5304" i="12"/>
  <c r="B5304" i="12"/>
  <c r="A5305" i="12"/>
  <c r="B5305" i="12"/>
  <c r="A5306" i="12"/>
  <c r="B5306" i="12"/>
  <c r="A5307" i="12"/>
  <c r="B5307" i="12"/>
  <c r="A5308" i="12"/>
  <c r="B5308" i="12"/>
  <c r="A5309" i="12"/>
  <c r="B5309" i="12"/>
  <c r="A5310" i="12"/>
  <c r="B5310" i="12"/>
  <c r="A5311" i="12"/>
  <c r="B5311" i="12"/>
  <c r="A5312" i="12"/>
  <c r="B5312" i="12"/>
  <c r="A5313" i="12"/>
  <c r="B5313" i="12"/>
  <c r="A5314" i="12"/>
  <c r="B5314" i="12"/>
  <c r="A5315" i="12"/>
  <c r="B5315" i="12"/>
  <c r="A5316" i="12"/>
  <c r="B5316" i="12"/>
  <c r="A5317" i="12"/>
  <c r="B5317" i="12"/>
  <c r="A5318" i="12"/>
  <c r="B5318" i="12"/>
  <c r="A5319" i="12"/>
  <c r="B5319" i="12"/>
  <c r="A5320" i="12"/>
  <c r="B5320" i="12"/>
  <c r="A5321" i="12"/>
  <c r="B5321" i="12"/>
  <c r="A5322" i="12"/>
  <c r="B5322" i="12"/>
  <c r="A5323" i="12"/>
  <c r="B5323" i="12"/>
  <c r="A5324" i="12"/>
  <c r="B5324" i="12"/>
  <c r="A5325" i="12"/>
  <c r="B5325" i="12"/>
  <c r="A5326" i="12"/>
  <c r="B5326" i="12"/>
  <c r="A5327" i="12"/>
  <c r="B5327" i="12"/>
  <c r="A5328" i="12"/>
  <c r="B5328" i="12"/>
  <c r="A5329" i="12"/>
  <c r="B5329" i="12"/>
  <c r="A5330" i="12"/>
  <c r="B5330" i="12"/>
  <c r="A5331" i="12"/>
  <c r="B5331" i="12"/>
  <c r="A5332" i="12"/>
  <c r="B5332" i="12"/>
  <c r="A5333" i="12"/>
  <c r="B5333" i="12"/>
  <c r="A5334" i="12"/>
  <c r="B5334" i="12"/>
  <c r="A5335" i="12"/>
  <c r="B5335" i="12"/>
  <c r="A5336" i="12"/>
  <c r="B5336" i="12"/>
  <c r="A5337" i="12"/>
  <c r="B5337" i="12"/>
  <c r="A5338" i="12"/>
  <c r="B5338" i="12"/>
  <c r="A5339" i="12"/>
  <c r="B5339" i="12"/>
  <c r="A5340" i="12"/>
  <c r="B5340" i="12"/>
  <c r="A5341" i="12"/>
  <c r="B5341" i="12"/>
  <c r="A5342" i="12"/>
  <c r="B5342" i="12"/>
  <c r="A5343" i="12"/>
  <c r="B5343" i="12"/>
  <c r="A5344" i="12"/>
  <c r="B5344" i="12"/>
  <c r="A5345" i="12"/>
  <c r="B5345" i="12"/>
  <c r="A5346" i="12"/>
  <c r="B5346" i="12"/>
  <c r="A5347" i="12"/>
  <c r="B5347" i="12"/>
  <c r="A5348" i="12"/>
  <c r="B5348" i="12"/>
  <c r="A5349" i="12"/>
  <c r="B5349" i="12"/>
  <c r="A5350" i="12"/>
  <c r="B5350" i="12"/>
  <c r="A5351" i="12"/>
  <c r="B5351" i="12"/>
  <c r="A5352" i="12"/>
  <c r="B5352" i="12"/>
  <c r="A5353" i="12"/>
  <c r="B5353" i="12"/>
  <c r="A5354" i="12"/>
  <c r="B5354" i="12"/>
  <c r="A5355" i="12"/>
  <c r="B5355" i="12"/>
  <c r="A5356" i="12"/>
  <c r="B5356" i="12"/>
  <c r="A5357" i="12"/>
  <c r="B5357" i="12"/>
  <c r="A5358" i="12"/>
  <c r="B5358" i="12"/>
  <c r="A5359" i="12"/>
  <c r="B5359" i="12"/>
  <c r="A5360" i="12"/>
  <c r="B5360" i="12"/>
  <c r="A5361" i="12"/>
  <c r="B5361" i="12"/>
  <c r="A5362" i="12"/>
  <c r="B5362" i="12"/>
  <c r="A5363" i="12"/>
  <c r="B5363" i="12"/>
  <c r="A5364" i="12"/>
  <c r="B5364" i="12"/>
  <c r="A5365" i="12"/>
  <c r="B5365" i="12"/>
  <c r="A5366" i="12"/>
  <c r="B5366" i="12"/>
  <c r="A5367" i="12"/>
  <c r="B5367" i="12"/>
  <c r="A5368" i="12"/>
  <c r="B5368" i="12"/>
  <c r="A5369" i="12"/>
  <c r="B5369" i="12"/>
  <c r="A5370" i="12"/>
  <c r="B5370" i="12"/>
  <c r="A5371" i="12"/>
  <c r="B5371" i="12"/>
  <c r="A5372" i="12"/>
  <c r="B5372" i="12"/>
  <c r="A5373" i="12"/>
  <c r="B5373" i="12"/>
  <c r="A5374" i="12"/>
  <c r="B5374" i="12"/>
  <c r="A5375" i="12"/>
  <c r="B5375" i="12"/>
  <c r="A5376" i="12"/>
  <c r="B5376" i="12"/>
  <c r="A5377" i="12"/>
  <c r="B5377" i="12"/>
  <c r="A5378" i="12"/>
  <c r="B5378" i="12"/>
  <c r="A5379" i="12"/>
  <c r="B5379" i="12"/>
  <c r="A5380" i="12"/>
  <c r="B5380" i="12"/>
  <c r="A5381" i="12"/>
  <c r="B5381" i="12"/>
  <c r="A5382" i="12"/>
  <c r="B5382" i="12"/>
  <c r="A5383" i="12"/>
  <c r="B5383" i="12"/>
  <c r="A5384" i="12"/>
  <c r="B5384" i="12"/>
  <c r="A5385" i="12"/>
  <c r="B5385" i="12"/>
  <c r="A5386" i="12"/>
  <c r="B5386" i="12"/>
  <c r="A5387" i="12"/>
  <c r="B5387" i="12"/>
  <c r="A5388" i="12"/>
  <c r="B5388" i="12"/>
  <c r="A5389" i="12"/>
  <c r="B5389" i="12"/>
  <c r="A5390" i="12"/>
  <c r="B5390" i="12"/>
  <c r="A5391" i="12"/>
  <c r="B5391" i="12"/>
  <c r="A5392" i="12"/>
  <c r="B5392" i="12"/>
  <c r="A5393" i="12"/>
  <c r="B5393" i="12"/>
  <c r="A5394" i="12"/>
  <c r="B5394" i="12"/>
  <c r="A5395" i="12"/>
  <c r="B5395" i="12"/>
  <c r="A5396" i="12"/>
  <c r="B5396" i="12"/>
  <c r="A5397" i="12"/>
  <c r="B5397" i="12"/>
  <c r="A5398" i="12"/>
  <c r="B5398" i="12"/>
  <c r="A5399" i="12"/>
  <c r="B5399" i="12"/>
  <c r="A5400" i="12"/>
  <c r="B5400" i="12"/>
  <c r="A5401" i="12"/>
  <c r="B5401" i="12"/>
  <c r="A5402" i="12"/>
  <c r="B5402" i="12"/>
  <c r="A5403" i="12"/>
  <c r="B5403" i="12"/>
  <c r="A5404" i="12"/>
  <c r="B5404" i="12"/>
  <c r="A5405" i="12"/>
  <c r="B5405" i="12"/>
  <c r="A5406" i="12"/>
  <c r="B5406" i="12"/>
  <c r="A5407" i="12"/>
  <c r="B5407" i="12"/>
  <c r="A5408" i="12"/>
  <c r="B5408" i="12"/>
  <c r="A5409" i="12"/>
  <c r="B5409" i="12"/>
  <c r="A5410" i="12"/>
  <c r="B5410" i="12"/>
  <c r="A5411" i="12"/>
  <c r="B5411" i="12"/>
  <c r="A5412" i="12"/>
  <c r="B5412" i="12"/>
  <c r="A5413" i="12"/>
  <c r="B5413" i="12"/>
  <c r="A5414" i="12"/>
  <c r="B5414" i="12"/>
  <c r="A5415" i="12"/>
  <c r="B5415" i="12"/>
  <c r="A5416" i="12"/>
  <c r="B5416" i="12"/>
  <c r="A5417" i="12"/>
  <c r="B5417" i="12"/>
  <c r="A5418" i="12"/>
  <c r="B5418" i="12"/>
  <c r="A5419" i="12"/>
  <c r="B5419" i="12"/>
  <c r="A5420" i="12"/>
  <c r="B5420" i="12"/>
  <c r="A5421" i="12"/>
  <c r="B5421" i="12"/>
  <c r="A5422" i="12"/>
  <c r="B5422" i="12"/>
  <c r="A5423" i="12"/>
  <c r="B5423" i="12"/>
  <c r="A5424" i="12"/>
  <c r="B5424" i="12"/>
  <c r="A5425" i="12"/>
  <c r="B5425" i="12"/>
  <c r="A5426" i="12"/>
  <c r="B5426" i="12"/>
  <c r="A5427" i="12"/>
  <c r="B5427" i="12"/>
  <c r="A5428" i="12"/>
  <c r="B5428" i="12"/>
  <c r="A5429" i="12"/>
  <c r="B5429" i="12"/>
  <c r="A5430" i="12"/>
  <c r="B5430" i="12"/>
  <c r="A5431" i="12"/>
  <c r="B5431" i="12"/>
  <c r="A5432" i="12"/>
  <c r="B5432" i="12"/>
  <c r="A5433" i="12"/>
  <c r="B5433" i="12"/>
  <c r="A5434" i="12"/>
  <c r="B5434" i="12"/>
  <c r="A5435" i="12"/>
  <c r="B5435" i="12"/>
  <c r="A5436" i="12"/>
  <c r="B5436" i="12"/>
  <c r="A5437" i="12"/>
  <c r="B5437" i="12"/>
  <c r="A5438" i="12"/>
  <c r="B5438" i="12"/>
  <c r="A5439" i="12"/>
  <c r="B5439" i="12"/>
  <c r="A5440" i="12"/>
  <c r="B5440" i="12"/>
  <c r="A5441" i="12"/>
  <c r="B5441" i="12"/>
  <c r="A5442" i="12"/>
  <c r="B5442" i="12"/>
  <c r="A5443" i="12"/>
  <c r="B5443" i="12"/>
  <c r="A5444" i="12"/>
  <c r="B5444" i="12"/>
  <c r="A5445" i="12"/>
  <c r="B5445" i="12"/>
  <c r="A5446" i="12"/>
  <c r="B5446" i="12"/>
  <c r="A5447" i="12"/>
  <c r="B5447" i="12"/>
  <c r="A5448" i="12"/>
  <c r="B5448" i="12"/>
  <c r="A5449" i="12"/>
  <c r="B5449" i="12"/>
  <c r="A5450" i="12"/>
  <c r="B5450" i="12"/>
  <c r="A5451" i="12"/>
  <c r="B5451" i="12"/>
  <c r="A5452" i="12"/>
  <c r="B5452" i="12"/>
  <c r="A5453" i="12"/>
  <c r="B5453" i="12"/>
  <c r="A5454" i="12"/>
  <c r="B5454" i="12"/>
  <c r="A5455" i="12"/>
  <c r="B5455" i="12"/>
  <c r="A5456" i="12"/>
  <c r="B5456" i="12"/>
  <c r="A5457" i="12"/>
  <c r="B5457" i="12"/>
  <c r="A5458" i="12"/>
  <c r="B5458" i="12"/>
  <c r="A5459" i="12"/>
  <c r="B5459" i="12"/>
  <c r="A5460" i="12"/>
  <c r="B5460" i="12"/>
  <c r="A5461" i="12"/>
  <c r="B5461" i="12"/>
  <c r="A5462" i="12"/>
  <c r="B5462" i="12"/>
  <c r="A5463" i="12"/>
  <c r="B5463" i="12"/>
  <c r="A5464" i="12"/>
  <c r="B5464" i="12"/>
  <c r="A5465" i="12"/>
  <c r="B5465" i="12"/>
  <c r="A5466" i="12"/>
  <c r="B5466" i="12"/>
  <c r="A5467" i="12"/>
  <c r="B5467" i="12"/>
  <c r="A5468" i="12"/>
  <c r="B5468" i="12"/>
  <c r="A5469" i="12"/>
  <c r="B5469" i="12"/>
  <c r="A5470" i="12"/>
  <c r="B5470" i="12"/>
  <c r="A5471" i="12"/>
  <c r="B5471" i="12"/>
  <c r="A5472" i="12"/>
  <c r="B5472" i="12"/>
  <c r="A5473" i="12"/>
  <c r="B5473" i="12"/>
  <c r="A5474" i="12"/>
  <c r="B5474" i="12"/>
  <c r="A5475" i="12"/>
  <c r="B5475" i="12"/>
  <c r="A5476" i="12"/>
  <c r="B5476" i="12"/>
  <c r="A5477" i="12"/>
  <c r="B5477" i="12"/>
  <c r="A5478" i="12"/>
  <c r="B5478" i="12"/>
  <c r="A5479" i="12"/>
  <c r="B5479" i="12"/>
  <c r="A5480" i="12"/>
  <c r="B5480" i="12"/>
  <c r="A5481" i="12"/>
  <c r="B5481" i="12"/>
  <c r="A5482" i="12"/>
  <c r="B5482" i="12"/>
  <c r="A5483" i="12"/>
  <c r="B5483" i="12"/>
  <c r="A5484" i="12"/>
  <c r="B5484" i="12"/>
  <c r="A5485" i="12"/>
  <c r="B5485" i="12"/>
  <c r="A5486" i="12"/>
  <c r="B5486" i="12"/>
  <c r="A5487" i="12"/>
  <c r="B5487" i="12"/>
  <c r="A5488" i="12"/>
  <c r="B5488" i="12"/>
  <c r="A5489" i="12"/>
  <c r="B5489" i="12"/>
  <c r="A5490" i="12"/>
  <c r="B5490" i="12"/>
  <c r="A5491" i="12"/>
  <c r="B5491" i="12"/>
  <c r="A5492" i="12"/>
  <c r="B5492" i="12"/>
  <c r="A5493" i="12"/>
  <c r="B5493" i="12"/>
  <c r="A5494" i="12"/>
  <c r="B5494" i="12"/>
  <c r="A5495" i="12"/>
  <c r="B5495" i="12"/>
  <c r="A5496" i="12"/>
  <c r="B5496" i="12"/>
  <c r="A5497" i="12"/>
  <c r="B5497" i="12"/>
  <c r="A5498" i="12"/>
  <c r="B5498" i="12"/>
  <c r="A5499" i="12"/>
  <c r="B5499" i="12"/>
  <c r="A5500" i="12"/>
  <c r="B5500" i="12"/>
  <c r="A5501" i="12"/>
  <c r="B5501" i="12"/>
  <c r="A5502" i="12"/>
  <c r="B5502" i="12"/>
  <c r="A5503" i="12"/>
  <c r="B5503" i="12"/>
  <c r="A5504" i="12"/>
  <c r="B5504" i="12"/>
  <c r="A5505" i="12"/>
  <c r="B5505" i="12"/>
  <c r="A5506" i="12"/>
  <c r="B5506" i="12"/>
  <c r="A5507" i="12"/>
  <c r="B5507" i="12"/>
  <c r="A5508" i="12"/>
  <c r="B5508" i="12"/>
  <c r="A5509" i="12"/>
  <c r="B5509" i="12"/>
  <c r="A5510" i="12"/>
  <c r="B5510" i="12"/>
  <c r="A5511" i="12"/>
  <c r="B5511" i="12"/>
  <c r="A5512" i="12"/>
  <c r="B5512" i="12"/>
  <c r="A5513" i="12"/>
  <c r="B5513" i="12"/>
  <c r="A5514" i="12"/>
  <c r="B5514" i="12"/>
  <c r="A5515" i="12"/>
  <c r="B5515" i="12"/>
  <c r="A5516" i="12"/>
  <c r="B5516" i="12"/>
  <c r="A5517" i="12"/>
  <c r="B5517" i="12"/>
  <c r="A5518" i="12"/>
  <c r="B5518" i="12"/>
  <c r="A5519" i="12"/>
  <c r="B5519" i="12"/>
  <c r="A5520" i="12"/>
  <c r="B5520" i="12"/>
  <c r="A5521" i="12"/>
  <c r="B5521" i="12"/>
  <c r="A5522" i="12"/>
  <c r="B5522" i="12"/>
  <c r="A5523" i="12"/>
  <c r="B5523" i="12"/>
  <c r="A5524" i="12"/>
  <c r="B5524" i="12"/>
  <c r="A5525" i="12"/>
  <c r="B5525" i="12"/>
  <c r="A5526" i="12"/>
  <c r="B5526" i="12"/>
  <c r="A5527" i="12"/>
  <c r="B5527" i="12"/>
  <c r="A5528" i="12"/>
  <c r="B5528" i="12"/>
  <c r="A5529" i="12"/>
  <c r="B5529" i="12"/>
  <c r="A5530" i="12"/>
  <c r="B5530" i="12"/>
  <c r="A5531" i="12"/>
  <c r="B5531" i="12"/>
  <c r="A5532" i="12"/>
  <c r="B5532" i="12"/>
  <c r="A5533" i="12"/>
  <c r="B5533" i="12"/>
  <c r="A5534" i="12"/>
  <c r="B5534" i="12"/>
  <c r="A5535" i="12"/>
  <c r="B5535" i="12"/>
  <c r="A5536" i="12"/>
  <c r="B5536" i="12"/>
  <c r="A5537" i="12"/>
  <c r="B5537" i="12"/>
  <c r="A5538" i="12"/>
  <c r="B5538" i="12"/>
  <c r="A5539" i="12"/>
  <c r="B5539" i="12"/>
  <c r="A5540" i="12"/>
  <c r="B5540" i="12"/>
  <c r="A5541" i="12"/>
  <c r="B5541" i="12"/>
  <c r="A5542" i="12"/>
  <c r="B5542" i="12"/>
  <c r="A5543" i="12"/>
  <c r="B5543" i="12"/>
  <c r="A5544" i="12"/>
  <c r="B5544" i="12"/>
  <c r="A5545" i="12"/>
  <c r="B5545" i="12"/>
  <c r="A5546" i="12"/>
  <c r="B5546" i="12"/>
  <c r="A5547" i="12"/>
  <c r="B5547" i="12"/>
  <c r="A5548" i="12"/>
  <c r="B5548" i="12"/>
  <c r="A5549" i="12"/>
  <c r="B5549" i="12"/>
  <c r="A5550" i="12"/>
  <c r="B5550" i="12"/>
  <c r="A5551" i="12"/>
  <c r="B5551" i="12"/>
  <c r="A5552" i="12"/>
  <c r="B5552" i="12"/>
  <c r="A5553" i="12"/>
  <c r="B5553" i="12"/>
  <c r="A5554" i="12"/>
  <c r="B5554" i="12"/>
  <c r="A5555" i="12"/>
  <c r="B5555" i="12"/>
  <c r="A5556" i="12"/>
  <c r="B5556" i="12"/>
  <c r="A5557" i="12"/>
  <c r="B5557" i="12"/>
  <c r="A5558" i="12"/>
  <c r="B5558" i="12"/>
  <c r="A5559" i="12"/>
  <c r="B5559" i="12"/>
  <c r="A5560" i="12"/>
  <c r="B5560" i="12"/>
  <c r="A5561" i="12"/>
  <c r="B5561" i="12"/>
  <c r="A5562" i="12"/>
  <c r="B5562" i="12"/>
  <c r="A5563" i="12"/>
  <c r="B5563" i="12"/>
  <c r="A5564" i="12"/>
  <c r="B5564" i="12"/>
  <c r="A5565" i="12"/>
  <c r="B5565" i="12"/>
  <c r="A5566" i="12"/>
  <c r="B5566" i="12"/>
  <c r="A5567" i="12"/>
  <c r="B5567" i="12"/>
  <c r="A5568" i="12"/>
  <c r="B5568" i="12"/>
  <c r="A5569" i="12"/>
  <c r="B5569" i="12"/>
  <c r="A5570" i="12"/>
  <c r="B5570" i="12"/>
  <c r="A5571" i="12"/>
  <c r="B5571" i="12"/>
  <c r="A5572" i="12"/>
  <c r="B5572" i="12"/>
  <c r="A5573" i="12"/>
  <c r="B5573" i="12"/>
  <c r="A5574" i="12"/>
  <c r="B5574" i="12"/>
  <c r="A5575" i="12"/>
  <c r="B5575" i="12"/>
  <c r="A5576" i="12"/>
  <c r="B5576" i="12"/>
  <c r="A5577" i="12"/>
  <c r="B5577" i="12"/>
  <c r="A5578" i="12"/>
  <c r="B5578" i="12"/>
  <c r="A5579" i="12"/>
  <c r="B5579" i="12"/>
  <c r="A5580" i="12"/>
  <c r="B5580" i="12"/>
  <c r="A5581" i="12"/>
  <c r="B5581" i="12"/>
  <c r="A5582" i="12"/>
  <c r="B5582" i="12"/>
  <c r="A5583" i="12"/>
  <c r="B5583" i="12"/>
  <c r="A5584" i="12"/>
  <c r="B5584" i="12"/>
  <c r="A5585" i="12"/>
  <c r="B5585" i="12"/>
  <c r="A5586" i="12"/>
  <c r="B5586" i="12"/>
  <c r="A5587" i="12"/>
  <c r="B5587" i="12"/>
  <c r="A5588" i="12"/>
  <c r="B5588" i="12"/>
  <c r="A5589" i="12"/>
  <c r="B5589" i="12"/>
  <c r="A5590" i="12"/>
  <c r="B5590" i="12"/>
  <c r="A5591" i="12"/>
  <c r="B5591" i="12"/>
  <c r="A5592" i="12"/>
  <c r="B5592" i="12"/>
  <c r="A5593" i="12"/>
  <c r="B5593" i="12"/>
  <c r="A5594" i="12"/>
  <c r="B5594" i="12"/>
  <c r="A5595" i="12"/>
  <c r="B5595" i="12"/>
  <c r="A5596" i="12"/>
  <c r="B5596" i="12"/>
  <c r="A5597" i="12"/>
  <c r="B5597" i="12"/>
  <c r="A5598" i="12"/>
  <c r="B5598" i="12"/>
  <c r="A5599" i="12"/>
  <c r="B5599" i="12"/>
  <c r="A5600" i="12"/>
  <c r="B5600" i="12"/>
  <c r="A5601" i="12"/>
  <c r="B5601" i="12"/>
  <c r="A5602" i="12"/>
  <c r="B5602" i="12"/>
  <c r="A5603" i="12"/>
  <c r="B5603" i="12"/>
  <c r="A5604" i="12"/>
  <c r="B5604" i="12"/>
  <c r="A5605" i="12"/>
  <c r="B5605" i="12"/>
  <c r="A5606" i="12"/>
  <c r="B5606" i="12"/>
  <c r="A5607" i="12"/>
  <c r="B5607" i="12"/>
  <c r="A5608" i="12"/>
  <c r="B5608" i="12"/>
  <c r="A5609" i="12"/>
  <c r="B5609" i="12"/>
  <c r="A5610" i="12"/>
  <c r="B5610" i="12"/>
  <c r="A5611" i="12"/>
  <c r="B5611" i="12"/>
  <c r="A5612" i="12"/>
  <c r="B5612" i="12"/>
  <c r="A5613" i="12"/>
  <c r="B5613" i="12"/>
  <c r="A5614" i="12"/>
  <c r="B5614" i="12"/>
  <c r="A5615" i="12"/>
  <c r="B5615" i="12"/>
  <c r="A5616" i="12"/>
  <c r="B5616" i="12"/>
  <c r="A5617" i="12"/>
  <c r="B5617" i="12"/>
  <c r="A5618" i="12"/>
  <c r="B5618" i="12"/>
  <c r="A5619" i="12"/>
  <c r="B5619" i="12"/>
  <c r="A5620" i="12"/>
  <c r="B5620" i="12"/>
  <c r="A5621" i="12"/>
  <c r="B5621" i="12"/>
  <c r="A5622" i="12"/>
  <c r="B5622" i="12"/>
  <c r="A5623" i="12"/>
  <c r="B5623" i="12"/>
  <c r="A5624" i="12"/>
  <c r="B5624" i="12"/>
  <c r="A5625" i="12"/>
  <c r="B5625" i="12"/>
  <c r="A5626" i="12"/>
  <c r="B5626" i="12"/>
  <c r="A5627" i="12"/>
  <c r="B5627" i="12"/>
  <c r="A5628" i="12"/>
  <c r="B5628" i="12"/>
  <c r="A5629" i="12"/>
  <c r="B5629" i="12"/>
  <c r="A5630" i="12"/>
  <c r="B5630" i="12"/>
  <c r="A5631" i="12"/>
  <c r="B5631" i="12"/>
  <c r="A5632" i="12"/>
  <c r="B5632" i="12"/>
  <c r="A5633" i="12"/>
  <c r="B5633" i="12"/>
  <c r="A5634" i="12"/>
  <c r="B5634" i="12"/>
  <c r="A5635" i="12"/>
  <c r="B5635" i="12"/>
  <c r="A5636" i="12"/>
  <c r="B5636" i="12"/>
  <c r="A5637" i="12"/>
  <c r="B5637" i="12"/>
  <c r="A5638" i="12"/>
  <c r="B5638" i="12"/>
  <c r="A5639" i="12"/>
  <c r="B5639" i="12"/>
  <c r="A5640" i="12"/>
  <c r="B5640" i="12"/>
  <c r="A5641" i="12"/>
  <c r="B5641" i="12"/>
  <c r="A5642" i="12"/>
  <c r="B5642" i="12"/>
  <c r="A5643" i="12"/>
  <c r="B5643" i="12"/>
  <c r="A5644" i="12"/>
  <c r="B5644" i="12"/>
  <c r="A5645" i="12"/>
  <c r="B5645" i="12"/>
  <c r="A5646" i="12"/>
  <c r="B5646" i="12"/>
  <c r="A5647" i="12"/>
  <c r="B5647" i="12"/>
  <c r="A5648" i="12"/>
  <c r="B5648" i="12"/>
  <c r="A5649" i="12"/>
  <c r="B5649" i="12"/>
  <c r="A5650" i="12"/>
  <c r="B5650" i="12"/>
  <c r="A5651" i="12"/>
  <c r="B5651" i="12"/>
  <c r="A5652" i="12"/>
  <c r="B5652" i="12"/>
  <c r="A5653" i="12"/>
  <c r="B5653" i="12"/>
  <c r="A5654" i="12"/>
  <c r="B5654" i="12"/>
  <c r="A5655" i="12"/>
  <c r="B5655" i="12"/>
  <c r="A5656" i="12"/>
  <c r="B5656" i="12"/>
  <c r="A5657" i="12"/>
  <c r="B5657" i="12"/>
  <c r="A5658" i="12"/>
  <c r="B5658" i="12"/>
  <c r="A5659" i="12"/>
  <c r="B5659" i="12"/>
  <c r="A5660" i="12"/>
  <c r="B5660" i="12"/>
  <c r="A5661" i="12"/>
  <c r="B5661" i="12"/>
  <c r="A5662" i="12"/>
  <c r="B5662" i="12"/>
  <c r="A5663" i="12"/>
  <c r="B5663" i="12"/>
  <c r="A5664" i="12"/>
  <c r="B5664" i="12"/>
  <c r="A5665" i="12"/>
  <c r="B5665" i="12"/>
  <c r="A5666" i="12"/>
  <c r="B5666" i="12"/>
  <c r="A5667" i="12"/>
  <c r="B5667" i="12"/>
  <c r="A5668" i="12"/>
  <c r="B5668" i="12"/>
  <c r="A5669" i="12"/>
  <c r="B5669" i="12"/>
  <c r="A5670" i="12"/>
  <c r="B5670" i="12"/>
  <c r="A5671" i="12"/>
  <c r="B5671" i="12"/>
  <c r="A5672" i="12"/>
  <c r="B5672" i="12"/>
  <c r="A5673" i="12"/>
  <c r="B5673" i="12"/>
  <c r="A5674" i="12"/>
  <c r="B5674" i="12"/>
  <c r="A5675" i="12"/>
  <c r="B5675" i="12"/>
  <c r="A5676" i="12"/>
  <c r="B5676" i="12"/>
  <c r="A5677" i="12"/>
  <c r="B5677" i="12"/>
  <c r="A5678" i="12"/>
  <c r="B5678" i="12"/>
  <c r="A5679" i="12"/>
  <c r="B5679" i="12"/>
  <c r="A5680" i="12"/>
  <c r="B5680" i="12"/>
  <c r="A5681" i="12"/>
  <c r="B5681" i="12"/>
  <c r="A5682" i="12"/>
  <c r="B5682" i="12"/>
  <c r="A5683" i="12"/>
  <c r="B5683" i="12"/>
  <c r="A5684" i="12"/>
  <c r="B5684" i="12"/>
  <c r="A5685" i="12"/>
  <c r="B5685" i="12"/>
  <c r="A5686" i="12"/>
  <c r="B5686" i="12"/>
  <c r="A5687" i="12"/>
  <c r="B5687" i="12"/>
  <c r="A5688" i="12"/>
  <c r="B5688" i="12"/>
  <c r="A5689" i="12"/>
  <c r="B5689" i="12"/>
  <c r="A5690" i="12"/>
  <c r="B5690" i="12"/>
  <c r="A5691" i="12"/>
  <c r="B5691" i="12"/>
  <c r="A5692" i="12"/>
  <c r="B5692" i="12"/>
  <c r="A5693" i="12"/>
  <c r="B5693" i="12"/>
  <c r="A5694" i="12"/>
  <c r="B5694" i="12"/>
  <c r="A5695" i="12"/>
  <c r="B5695" i="12"/>
  <c r="A5696" i="12"/>
  <c r="B5696" i="12"/>
  <c r="A5697" i="12"/>
  <c r="B5697" i="12"/>
  <c r="A5698" i="12"/>
  <c r="B5698" i="12"/>
  <c r="A5699" i="12"/>
  <c r="B5699" i="12"/>
  <c r="A5700" i="12"/>
  <c r="B5700" i="12"/>
  <c r="A5701" i="12"/>
  <c r="B5701" i="12"/>
  <c r="A5702" i="12"/>
  <c r="B5702" i="12"/>
  <c r="A5703" i="12"/>
  <c r="B5703" i="12"/>
  <c r="A5704" i="12"/>
  <c r="B5704" i="12"/>
  <c r="A5705" i="12"/>
  <c r="B5705" i="12"/>
  <c r="A5706" i="12"/>
  <c r="B5706" i="12"/>
  <c r="A5707" i="12"/>
  <c r="B5707" i="12"/>
  <c r="A5708" i="12"/>
  <c r="B5708" i="12"/>
  <c r="A5709" i="12"/>
  <c r="B5709" i="12"/>
  <c r="A5710" i="12"/>
  <c r="B5710" i="12"/>
  <c r="A5711" i="12"/>
  <c r="B5711" i="12"/>
  <c r="A5712" i="12"/>
  <c r="B5712" i="12"/>
  <c r="A5713" i="12"/>
  <c r="B5713" i="12"/>
  <c r="A5714" i="12"/>
  <c r="B5714" i="12"/>
  <c r="A5715" i="12"/>
  <c r="B5715" i="12"/>
  <c r="A5716" i="12"/>
  <c r="B5716" i="12"/>
  <c r="A5717" i="12"/>
  <c r="B5717" i="12"/>
  <c r="A5718" i="12"/>
  <c r="B5718" i="12"/>
  <c r="A5719" i="12"/>
  <c r="B5719" i="12"/>
  <c r="A5720" i="12"/>
  <c r="B5720" i="12"/>
  <c r="A5721" i="12"/>
  <c r="B5721" i="12"/>
  <c r="A5722" i="12"/>
  <c r="B5722" i="12"/>
  <c r="A5723" i="12"/>
  <c r="B5723" i="12"/>
  <c r="A5724" i="12"/>
  <c r="B5724" i="12"/>
  <c r="A5725" i="12"/>
  <c r="B5725" i="12"/>
  <c r="A5726" i="12"/>
  <c r="B5726" i="12"/>
  <c r="A5727" i="12"/>
  <c r="B5727" i="12"/>
  <c r="A5728" i="12"/>
  <c r="B5728" i="12"/>
  <c r="A5729" i="12"/>
  <c r="B5729" i="12"/>
  <c r="A5730" i="12"/>
  <c r="B5730" i="12"/>
  <c r="A5731" i="12"/>
  <c r="B5731" i="12"/>
  <c r="A5732" i="12"/>
  <c r="B5732" i="12"/>
  <c r="A5733" i="12"/>
  <c r="B5733" i="12"/>
  <c r="A5734" i="12"/>
  <c r="B5734" i="12"/>
  <c r="A5735" i="12"/>
  <c r="B5735" i="12"/>
  <c r="A5736" i="12"/>
  <c r="B5736" i="12"/>
  <c r="A5737" i="12"/>
  <c r="B5737" i="12"/>
  <c r="A5738" i="12"/>
  <c r="B5738" i="12"/>
  <c r="A5739" i="12"/>
  <c r="B5739" i="12"/>
  <c r="A5740" i="12"/>
  <c r="B5740" i="12"/>
  <c r="A5741" i="12"/>
  <c r="B5741" i="12"/>
  <c r="A5742" i="12"/>
  <c r="B5742" i="12"/>
  <c r="A5743" i="12"/>
  <c r="B5743" i="12"/>
  <c r="A5744" i="12"/>
  <c r="B5744" i="12"/>
  <c r="A5745" i="12"/>
  <c r="B5745" i="12"/>
  <c r="A5746" i="12"/>
  <c r="B5746" i="12"/>
  <c r="A5747" i="12"/>
  <c r="B5747" i="12"/>
  <c r="A5748" i="12"/>
  <c r="B5748" i="12"/>
  <c r="A5749" i="12"/>
  <c r="B5749" i="12"/>
  <c r="A5750" i="12"/>
  <c r="B5750" i="12"/>
  <c r="A5751" i="12"/>
  <c r="B5751" i="12"/>
  <c r="A5752" i="12"/>
  <c r="B5752" i="12"/>
  <c r="A5753" i="12"/>
  <c r="B5753" i="12"/>
  <c r="A5754" i="12"/>
  <c r="B5754" i="12"/>
  <c r="A5755" i="12"/>
  <c r="B5755" i="12"/>
  <c r="A5756" i="12"/>
  <c r="B5756" i="12"/>
  <c r="A5757" i="12"/>
  <c r="B5757" i="12"/>
  <c r="A5758" i="12"/>
  <c r="B5758" i="12"/>
  <c r="A5759" i="12"/>
  <c r="B5759" i="12"/>
  <c r="A5760" i="12"/>
  <c r="B5760" i="12"/>
  <c r="A5761" i="12"/>
  <c r="B5761" i="12"/>
  <c r="A5762" i="12"/>
  <c r="B5762" i="12"/>
  <c r="A5763" i="12"/>
  <c r="B5763" i="12"/>
  <c r="A5764" i="12"/>
  <c r="B5764" i="12"/>
  <c r="A5765" i="12"/>
  <c r="B5765" i="12"/>
  <c r="A5766" i="12"/>
  <c r="B5766" i="12"/>
  <c r="A5767" i="12"/>
  <c r="B5767" i="12"/>
  <c r="A5768" i="12"/>
  <c r="B5768" i="12"/>
  <c r="A5769" i="12"/>
  <c r="B5769" i="12"/>
  <c r="A5770" i="12"/>
  <c r="B5770" i="12"/>
  <c r="A5771" i="12"/>
  <c r="B5771" i="12"/>
  <c r="A5772" i="12"/>
  <c r="B5772" i="12"/>
  <c r="A5773" i="12"/>
  <c r="B5773" i="12"/>
  <c r="A5774" i="12"/>
  <c r="B5774" i="12"/>
  <c r="A5775" i="12"/>
  <c r="B5775" i="12"/>
  <c r="A5776" i="12"/>
  <c r="B5776" i="12"/>
  <c r="A5777" i="12"/>
  <c r="B5777" i="12"/>
  <c r="A5778" i="12"/>
  <c r="B5778" i="12"/>
  <c r="A5779" i="12"/>
  <c r="B5779" i="12"/>
  <c r="A5780" i="12"/>
  <c r="B5780" i="12"/>
  <c r="A5781" i="12"/>
  <c r="B5781" i="12"/>
  <c r="A5782" i="12"/>
  <c r="B5782" i="12"/>
  <c r="A5783" i="12"/>
  <c r="B5783" i="12"/>
  <c r="A5784" i="12"/>
  <c r="B5784" i="12"/>
  <c r="A5785" i="12"/>
  <c r="B5785" i="12"/>
  <c r="A5786" i="12"/>
  <c r="B5786" i="12"/>
  <c r="A5787" i="12"/>
  <c r="B5787" i="12"/>
  <c r="A5788" i="12"/>
  <c r="B5788" i="12"/>
  <c r="A5789" i="12"/>
  <c r="B5789" i="12"/>
  <c r="A5790" i="12"/>
  <c r="B5790" i="12"/>
  <c r="A5791" i="12"/>
  <c r="B5791" i="12"/>
  <c r="A5792" i="12"/>
  <c r="B5792" i="12"/>
  <c r="A5793" i="12"/>
  <c r="B5793" i="12"/>
  <c r="A5794" i="12"/>
  <c r="B5794" i="12"/>
  <c r="A5795" i="12"/>
  <c r="B5795" i="12"/>
  <c r="A5796" i="12"/>
  <c r="B5796" i="12"/>
  <c r="A5797" i="12"/>
  <c r="B5797" i="12"/>
  <c r="A5798" i="12"/>
  <c r="B5798" i="12"/>
  <c r="A5799" i="12"/>
  <c r="B5799" i="12"/>
  <c r="A5800" i="12"/>
  <c r="B5800" i="12"/>
  <c r="A5801" i="12"/>
  <c r="B5801" i="12"/>
  <c r="A5802" i="12"/>
  <c r="B5802" i="12"/>
  <c r="A5803" i="12"/>
  <c r="B5803" i="12"/>
  <c r="A5804" i="12"/>
  <c r="B5804" i="12"/>
  <c r="A5805" i="12"/>
  <c r="B5805" i="12"/>
  <c r="A5806" i="12"/>
  <c r="B5806" i="12"/>
  <c r="A5807" i="12"/>
  <c r="B5807" i="12"/>
  <c r="A5808" i="12"/>
  <c r="B5808" i="12"/>
  <c r="A5809" i="12"/>
  <c r="B5809" i="12"/>
  <c r="A5810" i="12"/>
  <c r="B5810" i="12"/>
  <c r="A5811" i="12"/>
  <c r="B5811" i="12"/>
  <c r="A5812" i="12"/>
  <c r="B5812" i="12"/>
  <c r="A5813" i="12"/>
  <c r="B5813" i="12"/>
  <c r="A5814" i="12"/>
  <c r="B5814" i="12"/>
  <c r="A5815" i="12"/>
  <c r="B5815" i="12"/>
  <c r="A5816" i="12"/>
  <c r="B5816" i="12"/>
  <c r="A5817" i="12"/>
  <c r="B5817" i="12"/>
  <c r="A5818" i="12"/>
  <c r="B5818" i="12"/>
  <c r="A5819" i="12"/>
  <c r="B5819" i="12"/>
  <c r="A5820" i="12"/>
  <c r="B5820" i="12"/>
  <c r="A5821" i="12"/>
  <c r="B5821" i="12"/>
  <c r="A5822" i="12"/>
  <c r="B5822" i="12"/>
  <c r="A5823" i="12"/>
  <c r="B5823" i="12"/>
  <c r="A5824" i="12"/>
  <c r="B5824" i="12"/>
  <c r="A5825" i="12"/>
  <c r="B5825" i="12"/>
  <c r="A5826" i="12"/>
  <c r="B5826" i="12"/>
  <c r="A5827" i="12"/>
  <c r="B5827" i="12"/>
  <c r="A5828" i="12"/>
  <c r="B5828" i="12"/>
  <c r="A5829" i="12"/>
  <c r="B5829" i="12"/>
  <c r="A5830" i="12"/>
  <c r="B5830" i="12"/>
  <c r="A5831" i="12"/>
  <c r="B5831" i="12"/>
  <c r="A5832" i="12"/>
  <c r="B5832" i="12"/>
  <c r="A5833" i="12"/>
  <c r="B5833" i="12"/>
  <c r="A5834" i="12"/>
  <c r="B5834" i="12"/>
  <c r="A5835" i="12"/>
  <c r="B5835" i="12"/>
  <c r="A5836" i="12"/>
  <c r="B5836" i="12"/>
  <c r="A5837" i="12"/>
  <c r="B5837" i="12"/>
  <c r="A5838" i="12"/>
  <c r="B5838" i="12"/>
  <c r="A5839" i="12"/>
  <c r="B5839" i="12"/>
  <c r="A5840" i="12"/>
  <c r="B5840" i="12"/>
  <c r="A5841" i="12"/>
  <c r="B5841" i="12"/>
  <c r="A5842" i="12"/>
  <c r="B5842" i="12"/>
  <c r="A5843" i="12"/>
  <c r="B5843" i="12"/>
  <c r="A5844" i="12"/>
  <c r="B5844" i="12"/>
  <c r="A5845" i="12"/>
  <c r="B5845" i="12"/>
  <c r="A5846" i="12"/>
  <c r="B5846" i="12"/>
  <c r="A5847" i="12"/>
  <c r="B5847" i="12"/>
  <c r="A5848" i="12"/>
  <c r="B5848" i="12"/>
  <c r="A5849" i="12"/>
  <c r="B5849" i="12"/>
  <c r="A5850" i="12"/>
  <c r="B5850" i="12"/>
  <c r="A5851" i="12"/>
  <c r="B5851" i="12"/>
  <c r="A5852" i="12"/>
  <c r="B5852" i="12"/>
  <c r="A5853" i="12"/>
  <c r="B5853" i="12"/>
  <c r="A5854" i="12"/>
  <c r="B5854" i="12"/>
  <c r="A5855" i="12"/>
  <c r="B5855" i="12"/>
  <c r="A5856" i="12"/>
  <c r="B5856" i="12"/>
  <c r="A5857" i="12"/>
  <c r="B5857" i="12"/>
  <c r="A5858" i="12"/>
  <c r="B5858" i="12"/>
  <c r="A5859" i="12"/>
  <c r="B5859" i="12"/>
  <c r="A5860" i="12"/>
  <c r="B5860" i="12"/>
  <c r="A5861" i="12"/>
  <c r="B5861" i="12"/>
  <c r="A5862" i="12"/>
  <c r="B5862" i="12"/>
  <c r="A5863" i="12"/>
  <c r="B5863" i="12"/>
  <c r="A5864" i="12"/>
  <c r="B5864" i="12"/>
  <c r="A5865" i="12"/>
  <c r="B5865" i="12"/>
  <c r="A5866" i="12"/>
  <c r="B5866" i="12"/>
  <c r="A5867" i="12"/>
  <c r="B5867" i="12"/>
  <c r="A5868" i="12"/>
  <c r="B5868" i="12"/>
  <c r="A5869" i="12"/>
  <c r="B5869" i="12"/>
  <c r="A5870" i="12"/>
  <c r="B5870" i="12"/>
  <c r="A5871" i="12"/>
  <c r="B5871" i="12"/>
  <c r="A5872" i="12"/>
  <c r="B5872" i="12"/>
  <c r="A5873" i="12"/>
  <c r="B5873" i="12"/>
  <c r="A5874" i="12"/>
  <c r="B5874" i="12"/>
  <c r="A5875" i="12"/>
  <c r="B5875" i="12"/>
  <c r="A5876" i="12"/>
  <c r="B5876" i="12"/>
  <c r="A5877" i="12"/>
  <c r="B5877" i="12"/>
  <c r="A5878" i="12"/>
  <c r="B5878" i="12"/>
  <c r="A5879" i="12"/>
  <c r="B5879" i="12"/>
  <c r="A5880" i="12"/>
  <c r="B5880" i="12"/>
  <c r="A5881" i="12"/>
  <c r="B5881" i="12"/>
  <c r="A5882" i="12"/>
  <c r="B5882" i="12"/>
  <c r="A5883" i="12"/>
  <c r="B5883" i="12"/>
  <c r="A5884" i="12"/>
  <c r="B5884" i="12"/>
  <c r="A5885" i="12"/>
  <c r="B5885" i="12"/>
  <c r="A5886" i="12"/>
  <c r="B5886" i="12"/>
  <c r="A5887" i="12"/>
  <c r="B5887" i="12"/>
  <c r="A5888" i="12"/>
  <c r="B5888" i="12"/>
  <c r="A5889" i="12"/>
  <c r="B5889" i="12"/>
  <c r="A5890" i="12"/>
  <c r="B5890" i="12"/>
  <c r="A5891" i="12"/>
  <c r="B5891" i="12"/>
  <c r="A5892" i="12"/>
  <c r="B5892" i="12"/>
  <c r="A5893" i="12"/>
  <c r="B5893" i="12"/>
  <c r="A5894" i="12"/>
  <c r="B5894" i="12"/>
  <c r="A5895" i="12"/>
  <c r="B5895" i="12"/>
  <c r="A5896" i="12"/>
  <c r="B5896" i="12"/>
  <c r="A5897" i="12"/>
  <c r="B5897" i="12"/>
  <c r="A5898" i="12"/>
  <c r="B5898" i="12"/>
  <c r="A5899" i="12"/>
  <c r="B5899" i="12"/>
  <c r="A5900" i="12"/>
  <c r="B5900" i="12"/>
  <c r="A5901" i="12"/>
  <c r="B5901" i="12"/>
  <c r="A5902" i="12"/>
  <c r="B5902" i="12"/>
  <c r="A5903" i="12"/>
  <c r="B5903" i="12"/>
  <c r="A5904" i="12"/>
  <c r="B5904" i="12"/>
  <c r="A5905" i="12"/>
  <c r="B5905" i="12"/>
  <c r="A5906" i="12"/>
  <c r="B5906" i="12"/>
  <c r="A5907" i="12"/>
  <c r="B5907" i="12"/>
  <c r="A5908" i="12"/>
  <c r="B5908" i="12"/>
  <c r="A5909" i="12"/>
  <c r="B5909" i="12"/>
  <c r="A5910" i="12"/>
  <c r="B5910" i="12"/>
  <c r="A5911" i="12"/>
  <c r="B5911" i="12"/>
  <c r="A5912" i="12"/>
  <c r="B5912" i="12"/>
  <c r="A5913" i="12"/>
  <c r="B5913" i="12"/>
  <c r="A5914" i="12"/>
  <c r="B5914" i="12"/>
  <c r="A5915" i="12"/>
  <c r="B5915" i="12"/>
  <c r="A5916" i="12"/>
  <c r="B5916" i="12"/>
  <c r="A5917" i="12"/>
  <c r="B5917" i="12"/>
  <c r="A5918" i="12"/>
  <c r="B5918" i="12"/>
  <c r="A5919" i="12"/>
  <c r="B5919" i="12"/>
  <c r="A5920" i="12"/>
  <c r="B5920" i="12"/>
  <c r="A5921" i="12"/>
  <c r="B5921" i="12"/>
  <c r="A5922" i="12"/>
  <c r="B5922" i="12"/>
  <c r="A5923" i="12"/>
  <c r="B5923" i="12"/>
  <c r="A5924" i="12"/>
  <c r="B5924" i="12"/>
  <c r="A5925" i="12"/>
  <c r="B5925" i="12"/>
  <c r="A5926" i="12"/>
  <c r="B5926" i="12"/>
  <c r="A5927" i="12"/>
  <c r="B5927" i="12"/>
  <c r="A5928" i="12"/>
  <c r="B5928" i="12"/>
  <c r="A5929" i="12"/>
  <c r="B5929" i="12"/>
  <c r="A5930" i="12"/>
  <c r="B5930" i="12"/>
  <c r="A5931" i="12"/>
  <c r="B5931" i="12"/>
  <c r="A5932" i="12"/>
  <c r="B5932" i="12"/>
  <c r="A5933" i="12"/>
  <c r="B5933" i="12"/>
  <c r="A5934" i="12"/>
  <c r="B5934" i="12"/>
  <c r="A5935" i="12"/>
  <c r="B5935" i="12"/>
  <c r="A5936" i="12"/>
  <c r="B5936" i="12"/>
  <c r="A5937" i="12"/>
  <c r="B5937" i="12"/>
  <c r="A5938" i="12"/>
  <c r="B5938" i="12"/>
  <c r="A5939" i="12"/>
  <c r="B5939" i="12"/>
  <c r="A5940" i="12"/>
  <c r="B5940" i="12"/>
  <c r="A5941" i="12"/>
  <c r="B5941" i="12"/>
  <c r="A5942" i="12"/>
  <c r="B5942" i="12"/>
  <c r="A5943" i="12"/>
  <c r="B5943" i="12"/>
  <c r="A5944" i="12"/>
  <c r="B5944" i="12"/>
  <c r="A5945" i="12"/>
  <c r="B5945" i="12"/>
  <c r="A5946" i="12"/>
  <c r="B5946" i="12"/>
  <c r="A5947" i="12"/>
  <c r="B5947" i="12"/>
  <c r="A5948" i="12"/>
  <c r="B5948" i="12"/>
  <c r="A5949" i="12"/>
  <c r="B5949" i="12"/>
  <c r="A5950" i="12"/>
  <c r="B5950" i="12"/>
  <c r="A5951" i="12"/>
  <c r="B5951" i="12"/>
  <c r="A5952" i="12"/>
  <c r="B5952" i="12"/>
  <c r="A5953" i="12"/>
  <c r="B5953" i="12"/>
  <c r="A5954" i="12"/>
  <c r="B5954" i="12"/>
  <c r="A5955" i="12"/>
  <c r="B5955" i="12"/>
  <c r="A5956" i="12"/>
  <c r="B5956" i="12"/>
  <c r="A5957" i="12"/>
  <c r="B5957" i="12"/>
  <c r="A5958" i="12"/>
  <c r="B5958" i="12"/>
  <c r="A5959" i="12"/>
  <c r="B5959" i="12"/>
  <c r="A5960" i="12"/>
  <c r="B5960" i="12"/>
  <c r="A5961" i="12"/>
  <c r="B5961" i="12"/>
  <c r="A5962" i="12"/>
  <c r="B5962" i="12"/>
  <c r="A5963" i="12"/>
  <c r="B5963" i="12"/>
  <c r="A5964" i="12"/>
  <c r="B5964" i="12"/>
  <c r="A5965" i="12"/>
  <c r="B5965" i="12"/>
  <c r="A5966" i="12"/>
  <c r="B5966" i="12"/>
  <c r="A5967" i="12"/>
  <c r="B5967" i="12"/>
  <c r="A5968" i="12"/>
  <c r="B5968" i="12"/>
  <c r="A5969" i="12"/>
  <c r="B5969" i="12"/>
  <c r="A5970" i="12"/>
  <c r="B5970" i="12"/>
  <c r="A5971" i="12"/>
  <c r="B5971" i="12"/>
  <c r="A5972" i="12"/>
  <c r="B5972" i="12"/>
  <c r="A5973" i="12"/>
  <c r="B5973" i="12"/>
  <c r="A5974" i="12"/>
  <c r="B5974" i="12"/>
  <c r="A5975" i="12"/>
  <c r="B5975" i="12"/>
  <c r="A5976" i="12"/>
  <c r="B5976" i="12"/>
  <c r="A5977" i="12"/>
  <c r="B5977" i="12"/>
  <c r="A5978" i="12"/>
  <c r="B5978" i="12"/>
  <c r="A5979" i="12"/>
  <c r="B5979" i="12"/>
  <c r="A5980" i="12"/>
  <c r="B5980" i="12"/>
  <c r="A5981" i="12"/>
  <c r="B5981" i="12"/>
  <c r="A5982" i="12"/>
  <c r="B5982" i="12"/>
  <c r="A5983" i="12"/>
  <c r="B5983" i="12"/>
  <c r="A5984" i="12"/>
  <c r="B5984" i="12"/>
  <c r="A5985" i="12"/>
  <c r="B5985" i="12"/>
  <c r="A5986" i="12"/>
  <c r="B5986" i="12"/>
  <c r="A5987" i="12"/>
  <c r="B5987" i="12"/>
  <c r="A5988" i="12"/>
  <c r="B5988" i="12"/>
  <c r="A5989" i="12"/>
  <c r="B5989" i="12"/>
  <c r="A5990" i="12"/>
  <c r="B5990" i="12"/>
  <c r="A5991" i="12"/>
  <c r="B5991" i="12"/>
  <c r="A5992" i="12"/>
  <c r="B5992" i="12"/>
  <c r="A5993" i="12"/>
  <c r="B5993" i="12"/>
  <c r="A5994" i="12"/>
  <c r="B5994" i="12"/>
  <c r="A5995" i="12"/>
  <c r="B5995" i="12"/>
  <c r="A5996" i="12"/>
  <c r="B5996" i="12"/>
  <c r="A5997" i="12"/>
  <c r="B5997" i="12"/>
  <c r="A5998" i="12"/>
  <c r="B5998" i="12"/>
  <c r="A5999" i="12"/>
  <c r="B5999" i="12"/>
  <c r="A6000" i="12"/>
  <c r="B6000" i="12"/>
  <c r="A6001" i="12"/>
  <c r="B6001" i="12"/>
  <c r="A6002" i="12"/>
  <c r="B6002" i="12"/>
  <c r="A6003" i="12"/>
  <c r="B6003" i="12"/>
  <c r="A6004" i="12"/>
  <c r="B6004" i="12"/>
  <c r="A6005" i="12"/>
  <c r="B6005" i="12"/>
  <c r="A6006" i="12"/>
  <c r="B6006" i="12"/>
  <c r="A6007" i="12"/>
  <c r="B6007" i="12"/>
  <c r="A6008" i="12"/>
  <c r="B6008" i="12"/>
  <c r="A6009" i="12"/>
  <c r="B6009" i="12"/>
  <c r="A6010" i="12"/>
  <c r="B6010" i="12"/>
  <c r="A6011" i="12"/>
  <c r="B6011" i="12"/>
  <c r="A6012" i="12"/>
  <c r="B6012" i="12"/>
  <c r="A6013" i="12"/>
  <c r="B6013" i="12"/>
  <c r="A6014" i="12"/>
  <c r="B6014" i="12"/>
  <c r="A6015" i="12"/>
  <c r="B6015" i="12"/>
  <c r="A6016" i="12"/>
  <c r="B6016" i="12"/>
  <c r="A6017" i="12"/>
  <c r="B6017" i="12"/>
  <c r="A6018" i="12"/>
  <c r="B6018" i="12"/>
  <c r="A6019" i="12"/>
  <c r="B6019" i="12"/>
  <c r="A6020" i="12"/>
  <c r="B6020" i="12"/>
  <c r="A6021" i="12"/>
  <c r="B6021" i="12"/>
  <c r="A6022" i="12"/>
  <c r="B6022" i="12"/>
  <c r="A6023" i="12"/>
  <c r="B6023" i="12"/>
  <c r="A6024" i="12"/>
  <c r="B6024" i="12"/>
  <c r="A6025" i="12"/>
  <c r="B6025" i="12"/>
  <c r="A6026" i="12"/>
  <c r="B6026" i="12"/>
  <c r="A6027" i="12"/>
  <c r="B6027" i="12"/>
  <c r="A6028" i="12"/>
  <c r="B6028" i="12"/>
  <c r="A6029" i="12"/>
  <c r="B6029" i="12"/>
  <c r="A6030" i="12"/>
  <c r="B6030" i="12"/>
  <c r="A6031" i="12"/>
  <c r="B6031" i="12"/>
  <c r="A6032" i="12"/>
  <c r="B6032" i="12"/>
  <c r="A6033" i="12"/>
  <c r="B6033" i="12"/>
  <c r="A6034" i="12"/>
  <c r="B6034" i="12"/>
  <c r="A6035" i="12"/>
  <c r="B6035" i="12"/>
  <c r="A6036" i="12"/>
  <c r="B6036" i="12"/>
  <c r="A6037" i="12"/>
  <c r="B6037" i="12"/>
  <c r="A6038" i="12"/>
  <c r="B6038" i="12"/>
  <c r="A6039" i="12"/>
  <c r="B6039" i="12"/>
  <c r="A6040" i="12"/>
  <c r="B6040" i="12"/>
  <c r="A6041" i="12"/>
  <c r="B6041" i="12"/>
  <c r="A6042" i="12"/>
  <c r="B6042" i="12"/>
  <c r="A6043" i="12"/>
  <c r="B6043" i="12"/>
  <c r="A6044" i="12"/>
  <c r="B6044" i="12"/>
  <c r="A6045" i="12"/>
  <c r="B6045" i="12"/>
  <c r="A6046" i="12"/>
  <c r="B6046" i="12"/>
  <c r="A6047" i="12"/>
  <c r="B6047" i="12"/>
  <c r="A6048" i="12"/>
  <c r="B6048" i="12"/>
  <c r="A6049" i="12"/>
  <c r="B6049" i="12"/>
  <c r="A6050" i="12"/>
  <c r="B6050" i="12"/>
  <c r="A6051" i="12"/>
  <c r="B6051" i="12"/>
  <c r="A6052" i="12"/>
  <c r="B6052" i="12"/>
  <c r="A6053" i="12"/>
  <c r="B6053" i="12"/>
  <c r="A6054" i="12"/>
  <c r="B6054" i="12"/>
  <c r="A6055" i="12"/>
  <c r="B6055" i="12"/>
  <c r="A6056" i="12"/>
  <c r="B6056" i="12"/>
  <c r="A6057" i="12"/>
  <c r="B6057" i="12"/>
  <c r="A6058" i="12"/>
  <c r="B6058" i="12"/>
  <c r="A6059" i="12"/>
  <c r="B6059" i="12"/>
  <c r="A6060" i="12"/>
  <c r="B6060" i="12"/>
  <c r="A6061" i="12"/>
  <c r="B6061" i="12"/>
  <c r="A6062" i="12"/>
  <c r="B6062" i="12"/>
  <c r="A6063" i="12"/>
  <c r="B6063" i="12"/>
  <c r="A6064" i="12"/>
  <c r="B6064" i="12"/>
  <c r="A6065" i="12"/>
  <c r="B6065" i="12"/>
  <c r="A6066" i="12"/>
  <c r="B6066" i="12"/>
  <c r="A6067" i="12"/>
  <c r="B6067" i="12"/>
  <c r="A6068" i="12"/>
  <c r="B6068" i="12"/>
  <c r="A6069" i="12"/>
  <c r="B6069" i="12"/>
  <c r="A6070" i="12"/>
  <c r="B6070" i="12"/>
  <c r="A6071" i="12"/>
  <c r="B6071" i="12"/>
  <c r="A6072" i="12"/>
  <c r="B6072" i="12"/>
  <c r="A6073" i="12"/>
  <c r="B6073" i="12"/>
  <c r="A6074" i="12"/>
  <c r="B6074" i="12"/>
  <c r="A6075" i="12"/>
  <c r="B6075" i="12"/>
  <c r="A6076" i="12"/>
  <c r="B6076" i="12"/>
  <c r="A6077" i="12"/>
  <c r="B6077" i="12"/>
  <c r="A6078" i="12"/>
  <c r="B6078" i="12"/>
  <c r="A6079" i="12"/>
  <c r="B6079" i="12"/>
  <c r="A6080" i="12"/>
  <c r="B6080" i="12"/>
  <c r="A6081" i="12"/>
  <c r="B6081" i="12"/>
  <c r="A6082" i="12"/>
  <c r="B6082" i="12"/>
  <c r="A6083" i="12"/>
  <c r="B6083" i="12"/>
  <c r="A6084" i="12"/>
  <c r="B6084" i="12"/>
  <c r="A6085" i="12"/>
  <c r="B6085" i="12"/>
  <c r="A6086" i="12"/>
  <c r="B6086" i="12"/>
  <c r="A6087" i="12"/>
  <c r="B6087" i="12"/>
  <c r="A6088" i="12"/>
  <c r="B6088" i="12"/>
  <c r="A6089" i="12"/>
  <c r="B6089" i="12"/>
  <c r="A6090" i="12"/>
  <c r="B6090" i="12"/>
  <c r="A6091" i="12"/>
  <c r="B6091" i="12"/>
  <c r="A6092" i="12"/>
  <c r="B6092" i="12"/>
  <c r="A6093" i="12"/>
  <c r="B6093" i="12"/>
  <c r="A6094" i="12"/>
  <c r="B6094" i="12"/>
  <c r="A6095" i="12"/>
  <c r="B6095" i="12"/>
  <c r="A6096" i="12"/>
  <c r="B6096" i="12"/>
  <c r="A6097" i="12"/>
  <c r="B6097" i="12"/>
  <c r="A6098" i="12"/>
  <c r="B6098" i="12"/>
  <c r="A6099" i="12"/>
  <c r="B6099" i="12"/>
  <c r="A6100" i="12"/>
  <c r="B6100" i="12"/>
  <c r="A6101" i="12"/>
  <c r="B6101" i="12"/>
  <c r="A6102" i="12"/>
  <c r="B6102" i="12"/>
  <c r="A6103" i="12"/>
  <c r="B6103" i="12"/>
  <c r="A6104" i="12"/>
  <c r="B6104" i="12"/>
  <c r="A6105" i="12"/>
  <c r="B6105" i="12"/>
  <c r="A6106" i="12"/>
  <c r="B6106" i="12"/>
  <c r="A6107" i="12"/>
  <c r="B6107" i="12"/>
  <c r="A6108" i="12"/>
  <c r="B6108" i="12"/>
  <c r="A6109" i="12"/>
  <c r="B6109" i="12"/>
  <c r="A6110" i="12"/>
  <c r="B6110" i="12"/>
  <c r="A6111" i="12"/>
  <c r="B6111" i="12"/>
  <c r="A6112" i="12"/>
  <c r="B6112" i="12"/>
  <c r="A6113" i="12"/>
  <c r="B6113" i="12"/>
  <c r="A6114" i="12"/>
  <c r="B6114" i="12"/>
  <c r="A6115" i="12"/>
  <c r="B6115" i="12"/>
  <c r="A6116" i="12"/>
  <c r="B6116" i="12"/>
  <c r="A6117" i="12"/>
  <c r="B6117" i="12"/>
  <c r="A6118" i="12"/>
  <c r="B6118" i="12"/>
  <c r="A6119" i="12"/>
  <c r="B6119" i="12"/>
  <c r="A6120" i="12"/>
  <c r="B6120" i="12"/>
  <c r="A6121" i="12"/>
  <c r="B6121" i="12"/>
  <c r="A6122" i="12"/>
  <c r="B6122" i="12"/>
  <c r="A6123" i="12"/>
  <c r="B6123" i="12"/>
  <c r="A6124" i="12"/>
  <c r="B6124" i="12"/>
  <c r="A6125" i="12"/>
  <c r="B6125" i="12"/>
  <c r="A6126" i="12"/>
  <c r="B6126" i="12"/>
  <c r="A6127" i="12"/>
  <c r="B6127" i="12"/>
  <c r="A6128" i="12"/>
  <c r="B6128" i="12"/>
  <c r="A6129" i="12"/>
  <c r="B6129" i="12"/>
  <c r="A6130" i="12"/>
  <c r="B6130" i="12"/>
  <c r="A6131" i="12"/>
  <c r="B6131" i="12"/>
  <c r="A6132" i="12"/>
  <c r="B6132" i="12"/>
  <c r="A6133" i="12"/>
  <c r="B6133" i="12"/>
  <c r="A6134" i="12"/>
  <c r="B6134" i="12"/>
  <c r="A6135" i="12"/>
  <c r="B6135" i="12"/>
  <c r="A6136" i="12"/>
  <c r="B6136" i="12"/>
  <c r="A6137" i="12"/>
  <c r="B6137" i="12"/>
  <c r="A6138" i="12"/>
  <c r="B6138" i="12"/>
  <c r="A6139" i="12"/>
  <c r="B6139" i="12"/>
  <c r="A6140" i="12"/>
  <c r="B6140" i="12"/>
  <c r="A6141" i="12"/>
  <c r="B6141" i="12"/>
  <c r="A6142" i="12"/>
  <c r="B6142" i="12"/>
  <c r="A6143" i="12"/>
  <c r="B6143" i="12"/>
  <c r="A6144" i="12"/>
  <c r="B6144" i="12"/>
  <c r="A6145" i="12"/>
  <c r="B6145" i="12"/>
  <c r="A6146" i="12"/>
  <c r="B6146" i="12"/>
  <c r="A6147" i="12"/>
  <c r="B6147" i="12"/>
  <c r="A6148" i="12"/>
  <c r="B6148" i="12"/>
  <c r="A6149" i="12"/>
  <c r="B6149" i="12"/>
  <c r="A6150" i="12"/>
  <c r="B6150" i="12"/>
  <c r="A6151" i="12"/>
  <c r="B6151" i="12"/>
  <c r="A6152" i="12"/>
  <c r="B6152" i="12"/>
  <c r="A6153" i="12"/>
  <c r="B6153" i="12"/>
  <c r="A6154" i="12"/>
  <c r="B6154" i="12"/>
  <c r="A6155" i="12"/>
  <c r="B6155" i="12"/>
  <c r="A6156" i="12"/>
  <c r="B6156" i="12"/>
  <c r="A6157" i="12"/>
  <c r="B6157" i="12"/>
  <c r="A6158" i="12"/>
  <c r="B6158" i="12"/>
  <c r="A6159" i="12"/>
  <c r="B6159" i="12"/>
  <c r="A6160" i="12"/>
  <c r="B6160" i="12"/>
  <c r="A6161" i="12"/>
  <c r="B6161" i="12"/>
  <c r="A6162" i="12"/>
  <c r="B6162" i="12"/>
  <c r="A6163" i="12"/>
  <c r="B6163" i="12"/>
  <c r="A6164" i="12"/>
  <c r="B6164" i="12"/>
  <c r="A6165" i="12"/>
  <c r="B6165" i="12"/>
  <c r="A6166" i="12"/>
  <c r="B6166" i="12"/>
  <c r="A6167" i="12"/>
  <c r="B6167" i="12"/>
  <c r="A6168" i="12"/>
  <c r="B6168" i="12"/>
  <c r="A6169" i="12"/>
  <c r="B6169" i="12"/>
  <c r="A6170" i="12"/>
  <c r="B6170" i="12"/>
  <c r="A6171" i="12"/>
  <c r="B6171" i="12"/>
  <c r="A6172" i="12"/>
  <c r="B6172" i="12"/>
  <c r="A6173" i="12"/>
  <c r="B6173" i="12"/>
  <c r="A6174" i="12"/>
  <c r="B6174" i="12"/>
  <c r="A6175" i="12"/>
  <c r="B6175" i="12"/>
  <c r="A6176" i="12"/>
  <c r="B6176" i="12"/>
  <c r="A6177" i="12"/>
  <c r="B6177" i="12"/>
  <c r="A6178" i="12"/>
  <c r="B6178" i="12"/>
  <c r="A6179" i="12"/>
  <c r="B6179" i="12"/>
  <c r="A6180" i="12"/>
  <c r="B6180" i="12"/>
  <c r="A6181" i="12"/>
  <c r="B6181" i="12"/>
  <c r="A6182" i="12"/>
  <c r="B6182" i="12"/>
  <c r="A6183" i="12"/>
  <c r="B6183" i="12"/>
  <c r="A6184" i="12"/>
  <c r="B6184" i="12"/>
  <c r="A6185" i="12"/>
  <c r="B6185" i="12"/>
  <c r="A6186" i="12"/>
  <c r="B6186" i="12"/>
  <c r="A6187" i="12"/>
  <c r="B6187" i="12"/>
  <c r="A6188" i="12"/>
  <c r="B6188" i="12"/>
  <c r="A6189" i="12"/>
  <c r="B6189" i="12"/>
  <c r="A6190" i="12"/>
  <c r="B6190" i="12"/>
  <c r="A6191" i="12"/>
  <c r="B6191" i="12"/>
  <c r="A6192" i="12"/>
  <c r="B6192" i="12"/>
  <c r="A6193" i="12"/>
  <c r="B6193" i="12"/>
  <c r="A6194" i="12"/>
  <c r="B6194" i="12"/>
  <c r="A6195" i="12"/>
  <c r="B6195" i="12"/>
  <c r="A6196" i="12"/>
  <c r="B6196" i="12"/>
  <c r="A6197" i="12"/>
  <c r="B6197" i="12"/>
  <c r="A6198" i="12"/>
  <c r="B6198" i="12"/>
  <c r="A6199" i="12"/>
  <c r="B6199" i="12"/>
  <c r="A6200" i="12"/>
  <c r="B6200" i="12"/>
  <c r="A6201" i="12"/>
  <c r="B6201" i="12"/>
  <c r="A6202" i="12"/>
  <c r="B6202" i="12"/>
  <c r="A6203" i="12"/>
  <c r="B6203" i="12"/>
  <c r="A6204" i="12"/>
  <c r="B6204" i="12"/>
  <c r="A6205" i="12"/>
  <c r="B6205" i="12"/>
  <c r="A6206" i="12"/>
  <c r="B6206" i="12"/>
  <c r="A6207" i="12"/>
  <c r="B6207" i="12"/>
  <c r="A6208" i="12"/>
  <c r="B6208" i="12"/>
  <c r="A6209" i="12"/>
  <c r="B6209" i="12"/>
  <c r="A6210" i="12"/>
  <c r="B6210" i="12"/>
  <c r="A6211" i="12"/>
  <c r="B6211" i="12"/>
  <c r="A6212" i="12"/>
  <c r="B6212" i="12"/>
  <c r="A6213" i="12"/>
  <c r="B6213" i="12"/>
  <c r="A6214" i="12"/>
  <c r="B6214" i="12"/>
  <c r="A6215" i="12"/>
  <c r="B6215" i="12"/>
  <c r="A6216" i="12"/>
  <c r="B6216" i="12"/>
  <c r="A6217" i="12"/>
  <c r="B6217" i="12"/>
  <c r="A6218" i="12"/>
  <c r="B6218" i="12"/>
  <c r="A6219" i="12"/>
  <c r="B6219" i="12"/>
  <c r="A6220" i="12"/>
  <c r="B6220" i="12"/>
  <c r="A6221" i="12"/>
  <c r="B6221" i="12"/>
  <c r="A6222" i="12"/>
  <c r="B6222" i="12"/>
  <c r="A6223" i="12"/>
  <c r="B6223" i="12"/>
  <c r="A6224" i="12"/>
  <c r="B6224" i="12"/>
  <c r="A6225" i="12"/>
  <c r="B6225" i="12"/>
  <c r="A6226" i="12"/>
  <c r="B6226" i="12"/>
  <c r="A6227" i="12"/>
  <c r="B6227" i="12"/>
  <c r="A6228" i="12"/>
  <c r="B6228" i="12"/>
  <c r="A6229" i="12"/>
  <c r="B6229" i="12"/>
  <c r="A6230" i="12"/>
  <c r="B6230" i="12"/>
  <c r="A6231" i="12"/>
  <c r="B6231" i="12"/>
  <c r="A6232" i="12"/>
  <c r="B6232" i="12"/>
  <c r="A6233" i="12"/>
  <c r="B6233" i="12"/>
  <c r="A6234" i="12"/>
  <c r="B6234" i="12"/>
  <c r="A6235" i="12"/>
  <c r="B6235" i="12"/>
  <c r="A6236" i="12"/>
  <c r="B6236" i="12"/>
  <c r="A6237" i="12"/>
  <c r="B6237" i="12"/>
  <c r="A6238" i="12"/>
  <c r="B6238" i="12"/>
  <c r="A6239" i="12"/>
  <c r="B6239" i="12"/>
  <c r="A6240" i="12"/>
  <c r="B6240" i="12"/>
  <c r="A6241" i="12"/>
  <c r="B6241" i="12"/>
  <c r="A6242" i="12"/>
  <c r="B6242" i="12"/>
  <c r="A6243" i="12"/>
  <c r="B6243" i="12"/>
  <c r="A6244" i="12"/>
  <c r="B6244" i="12"/>
  <c r="A6245" i="12"/>
  <c r="B6245" i="12"/>
  <c r="A6246" i="12"/>
  <c r="B6246" i="12"/>
  <c r="A6247" i="12"/>
  <c r="B6247" i="12"/>
  <c r="A6248" i="12"/>
  <c r="B6248" i="12"/>
  <c r="A6249" i="12"/>
  <c r="B6249" i="12"/>
  <c r="A6250" i="12"/>
  <c r="B6250" i="12"/>
  <c r="A6251" i="12"/>
  <c r="B6251" i="12"/>
  <c r="A6252" i="12"/>
  <c r="B6252" i="12"/>
  <c r="A6253" i="12"/>
  <c r="B6253" i="12"/>
  <c r="A6254" i="12"/>
  <c r="B6254" i="12"/>
  <c r="A6255" i="12"/>
  <c r="B6255" i="12"/>
  <c r="A6256" i="12"/>
  <c r="B6256" i="12"/>
  <c r="A6257" i="12"/>
  <c r="B6257" i="12"/>
  <c r="A6258" i="12"/>
  <c r="B6258" i="12"/>
  <c r="A6259" i="12"/>
  <c r="B6259" i="12"/>
  <c r="A6260" i="12"/>
  <c r="B6260" i="12"/>
  <c r="A6261" i="12"/>
  <c r="B6261" i="12"/>
  <c r="A6262" i="12"/>
  <c r="B6262" i="12"/>
  <c r="A6263" i="12"/>
  <c r="B6263" i="12"/>
  <c r="A6264" i="12"/>
  <c r="B6264" i="12"/>
  <c r="A6265" i="12"/>
  <c r="B6265" i="12"/>
  <c r="A6266" i="12"/>
  <c r="B6266" i="12"/>
  <c r="A6267" i="12"/>
  <c r="B6267" i="12"/>
  <c r="A6268" i="12"/>
  <c r="B6268" i="12"/>
  <c r="A6269" i="12"/>
  <c r="B6269" i="12"/>
  <c r="A6270" i="12"/>
  <c r="B6270" i="12"/>
  <c r="A6271" i="12"/>
  <c r="B6271" i="12"/>
  <c r="A6272" i="12"/>
  <c r="B6272" i="12"/>
  <c r="A6273" i="12"/>
  <c r="B6273" i="12"/>
  <c r="A6274" i="12"/>
  <c r="B6274" i="12"/>
  <c r="A6275" i="12"/>
  <c r="B6275" i="12"/>
  <c r="A6276" i="12"/>
  <c r="B6276" i="12"/>
  <c r="A6277" i="12"/>
  <c r="B6277" i="12"/>
  <c r="A6278" i="12"/>
  <c r="B6278" i="12"/>
  <c r="A6279" i="12"/>
  <c r="B6279" i="12"/>
  <c r="A6280" i="12"/>
  <c r="B6280" i="12"/>
  <c r="A6281" i="12"/>
  <c r="B6281" i="12"/>
  <c r="A6282" i="12"/>
  <c r="B6282" i="12"/>
  <c r="A6283" i="12"/>
  <c r="B6283" i="12"/>
  <c r="A6284" i="12"/>
  <c r="B6284" i="12"/>
  <c r="A6285" i="12"/>
  <c r="B6285" i="12"/>
  <c r="A6286" i="12"/>
  <c r="B6286" i="12"/>
  <c r="A6287" i="12"/>
  <c r="B6287" i="12"/>
  <c r="A6288" i="12"/>
  <c r="B6288" i="12"/>
  <c r="A6289" i="12"/>
  <c r="B6289" i="12"/>
  <c r="A6290" i="12"/>
  <c r="B6290" i="12"/>
  <c r="A6291" i="12"/>
  <c r="B6291" i="12"/>
  <c r="A6292" i="12"/>
  <c r="B6292" i="12"/>
  <c r="A6293" i="12"/>
  <c r="B6293" i="12"/>
  <c r="A6294" i="12"/>
  <c r="B6294" i="12"/>
  <c r="A6295" i="12"/>
  <c r="B6295" i="12"/>
  <c r="A6296" i="12"/>
  <c r="B6296" i="12"/>
  <c r="A6297" i="12"/>
  <c r="B6297" i="12"/>
  <c r="A6298" i="12"/>
  <c r="B6298" i="12"/>
  <c r="A6299" i="12"/>
  <c r="B6299" i="12"/>
  <c r="A6300" i="12"/>
  <c r="B6300" i="12"/>
  <c r="A6301" i="12"/>
  <c r="B6301" i="12"/>
  <c r="A6302" i="12"/>
  <c r="B6302" i="12"/>
  <c r="A6303" i="12"/>
  <c r="B6303" i="12"/>
  <c r="A6304" i="12"/>
  <c r="B6304" i="12"/>
  <c r="A6305" i="12"/>
  <c r="B6305" i="12"/>
  <c r="A6306" i="12"/>
  <c r="B6306" i="12"/>
  <c r="A6307" i="12"/>
  <c r="B6307" i="12"/>
  <c r="A6308" i="12"/>
  <c r="B6308" i="12"/>
  <c r="A6309" i="12"/>
  <c r="B6309" i="12"/>
  <c r="A6310" i="12"/>
  <c r="B6310" i="12"/>
  <c r="A6311" i="12"/>
  <c r="B6311" i="12"/>
  <c r="A6312" i="12"/>
  <c r="B6312" i="12"/>
  <c r="A6313" i="12"/>
  <c r="B6313" i="12"/>
  <c r="A6314" i="12"/>
  <c r="B6314" i="12"/>
  <c r="A6315" i="12"/>
  <c r="B6315" i="12"/>
  <c r="A6316" i="12"/>
  <c r="B6316" i="12"/>
  <c r="A6317" i="12"/>
  <c r="B6317" i="12"/>
  <c r="A6318" i="12"/>
  <c r="B6318" i="12"/>
  <c r="A6319" i="12"/>
  <c r="B6319" i="12"/>
  <c r="A6320" i="12"/>
  <c r="B6320" i="12"/>
  <c r="A6321" i="12"/>
  <c r="B6321" i="12"/>
  <c r="A6322" i="12"/>
  <c r="B6322" i="12"/>
  <c r="A6323" i="12"/>
  <c r="B6323" i="12"/>
  <c r="A6324" i="12"/>
  <c r="B6324" i="12"/>
  <c r="A6325" i="12"/>
  <c r="B6325" i="12"/>
  <c r="A6326" i="12"/>
  <c r="B6326" i="12"/>
  <c r="A6327" i="12"/>
  <c r="B6327" i="12"/>
  <c r="A6328" i="12"/>
  <c r="B6328" i="12"/>
  <c r="A6329" i="12"/>
  <c r="B6329" i="12"/>
  <c r="A6330" i="12"/>
  <c r="B6330" i="12"/>
  <c r="A6331" i="12"/>
  <c r="B6331" i="12"/>
  <c r="A6332" i="12"/>
  <c r="B6332" i="12"/>
  <c r="A6333" i="12"/>
  <c r="B6333" i="12"/>
  <c r="A6334" i="12"/>
  <c r="B6334" i="12"/>
  <c r="A6335" i="12"/>
  <c r="B6335" i="12"/>
  <c r="A6336" i="12"/>
  <c r="B6336" i="12"/>
  <c r="A6337" i="12"/>
  <c r="B6337" i="12"/>
  <c r="A6338" i="12"/>
  <c r="B6338" i="12"/>
  <c r="A6339" i="12"/>
  <c r="B6339" i="12"/>
  <c r="A6340" i="12"/>
  <c r="B6340" i="12"/>
  <c r="A6341" i="12"/>
  <c r="B6341" i="12"/>
  <c r="A6342" i="12"/>
  <c r="B6342" i="12"/>
  <c r="A6343" i="12"/>
  <c r="B6343" i="12"/>
  <c r="A6344" i="12"/>
  <c r="B6344" i="12"/>
  <c r="A6345" i="12"/>
  <c r="B6345" i="12"/>
  <c r="A6346" i="12"/>
  <c r="B6346" i="12"/>
  <c r="A6347" i="12"/>
  <c r="B6347" i="12"/>
  <c r="A6348" i="12"/>
  <c r="B6348" i="12"/>
  <c r="A6349" i="12"/>
  <c r="B6349" i="12"/>
  <c r="A6350" i="12"/>
  <c r="B6350" i="12"/>
  <c r="A6351" i="12"/>
  <c r="B6351" i="12"/>
  <c r="A6352" i="12"/>
  <c r="B6352" i="12"/>
  <c r="A6353" i="12"/>
  <c r="B6353" i="12"/>
  <c r="A6354" i="12"/>
  <c r="B6354" i="12"/>
  <c r="A6355" i="12"/>
  <c r="B6355" i="12"/>
  <c r="A6356" i="12"/>
  <c r="B6356" i="12"/>
  <c r="A6357" i="12"/>
  <c r="B6357" i="12"/>
  <c r="A6358" i="12"/>
  <c r="B6358" i="12"/>
  <c r="A6359" i="12"/>
  <c r="B6359" i="12"/>
  <c r="A6360" i="12"/>
  <c r="B6360" i="12"/>
  <c r="A6361" i="12"/>
  <c r="B6361" i="12"/>
  <c r="A6362" i="12"/>
  <c r="B6362" i="12"/>
  <c r="A6363" i="12"/>
  <c r="B6363" i="12"/>
  <c r="A6364" i="12"/>
  <c r="B6364" i="12"/>
  <c r="A6365" i="12"/>
  <c r="B6365" i="12"/>
  <c r="A6366" i="12"/>
  <c r="B6366" i="12"/>
  <c r="A6367" i="12"/>
  <c r="B6367" i="12"/>
  <c r="A6368" i="12"/>
  <c r="B6368" i="12"/>
  <c r="A6369" i="12"/>
  <c r="B6369" i="12"/>
  <c r="A6370" i="12"/>
  <c r="B6370" i="12"/>
  <c r="A6371" i="12"/>
  <c r="B6371" i="12"/>
  <c r="A6372" i="12"/>
  <c r="B6372" i="12"/>
  <c r="A6373" i="12"/>
  <c r="B6373" i="12"/>
  <c r="A6374" i="12"/>
  <c r="B6374" i="12"/>
  <c r="A6375" i="12"/>
  <c r="B6375" i="12"/>
  <c r="A6376" i="12"/>
  <c r="B6376" i="12"/>
  <c r="A6377" i="12"/>
  <c r="B6377" i="12"/>
  <c r="A6378" i="12"/>
  <c r="B6378" i="12"/>
  <c r="A6379" i="12"/>
  <c r="B6379" i="12"/>
  <c r="A6380" i="12"/>
  <c r="B6380" i="12"/>
  <c r="A6381" i="12"/>
  <c r="B6381" i="12"/>
  <c r="A6382" i="12"/>
  <c r="B6382" i="12"/>
  <c r="A6383" i="12"/>
  <c r="B6383" i="12"/>
  <c r="A6384" i="12"/>
  <c r="B6384" i="12"/>
  <c r="A6385" i="12"/>
  <c r="B6385" i="12"/>
  <c r="A6386" i="12"/>
  <c r="B6386" i="12"/>
  <c r="A6387" i="12"/>
  <c r="B6387" i="12"/>
  <c r="A6388" i="12"/>
  <c r="B6388" i="12"/>
  <c r="A6389" i="12"/>
  <c r="B6389" i="12"/>
  <c r="A6390" i="12"/>
  <c r="B6390" i="12"/>
  <c r="A6391" i="12"/>
  <c r="B6391" i="12"/>
  <c r="A6392" i="12"/>
  <c r="B6392" i="12"/>
  <c r="A6393" i="12"/>
  <c r="B6393" i="12"/>
  <c r="A6394" i="12"/>
  <c r="B6394" i="12"/>
  <c r="A6395" i="12"/>
  <c r="B6395" i="12"/>
  <c r="A6396" i="12"/>
  <c r="B6396" i="12"/>
  <c r="A6397" i="12"/>
  <c r="B6397" i="12"/>
  <c r="A6398" i="12"/>
  <c r="B6398" i="12"/>
  <c r="A6399" i="12"/>
  <c r="B6399" i="12"/>
  <c r="A6400" i="12"/>
  <c r="B6400" i="12"/>
  <c r="A6401" i="12"/>
  <c r="B6401" i="12"/>
  <c r="A6402" i="12"/>
  <c r="B6402" i="12"/>
  <c r="A6403" i="12"/>
  <c r="B6403" i="12"/>
  <c r="A6404" i="12"/>
  <c r="B6404" i="12"/>
  <c r="A6405" i="12"/>
  <c r="B6405" i="12"/>
  <c r="A6406" i="12"/>
  <c r="B6406" i="12"/>
  <c r="A6407" i="12"/>
  <c r="B6407" i="12"/>
  <c r="A6408" i="12"/>
  <c r="B6408" i="12"/>
  <c r="A6409" i="12"/>
  <c r="B6409" i="12"/>
  <c r="A6410" i="12"/>
  <c r="B6410" i="12"/>
  <c r="A6411" i="12"/>
  <c r="B6411" i="12"/>
  <c r="A6412" i="12"/>
  <c r="B6412" i="12"/>
  <c r="A6413" i="12"/>
  <c r="B6413" i="12"/>
  <c r="A6414" i="12"/>
  <c r="B6414" i="12"/>
  <c r="A6415" i="12"/>
  <c r="B6415" i="12"/>
  <c r="A6416" i="12"/>
  <c r="B6416" i="12"/>
  <c r="A6417" i="12"/>
  <c r="B6417" i="12"/>
  <c r="A6418" i="12"/>
  <c r="B6418" i="12"/>
  <c r="A6419" i="12"/>
  <c r="B6419" i="12"/>
  <c r="A6420" i="12"/>
  <c r="B6420" i="12"/>
  <c r="A6421" i="12"/>
  <c r="B6421" i="12"/>
  <c r="A6422" i="12"/>
  <c r="B6422" i="12"/>
  <c r="A6423" i="12"/>
  <c r="B6423" i="12"/>
  <c r="A6424" i="12"/>
  <c r="B6424" i="12"/>
  <c r="A6425" i="12"/>
  <c r="B6425" i="12"/>
  <c r="A6426" i="12"/>
  <c r="B6426" i="12"/>
  <c r="A6427" i="12"/>
  <c r="B6427" i="12"/>
  <c r="A6428" i="12"/>
  <c r="B6428" i="12"/>
  <c r="A6429" i="12"/>
  <c r="B6429" i="12"/>
  <c r="A6430" i="12"/>
  <c r="B6430" i="12"/>
  <c r="A6431" i="12"/>
  <c r="B6431" i="12"/>
  <c r="A6432" i="12"/>
  <c r="B6432" i="12"/>
  <c r="A6433" i="12"/>
  <c r="B6433" i="12"/>
  <c r="A6434" i="12"/>
  <c r="B6434" i="12"/>
  <c r="A6435" i="12"/>
  <c r="B6435" i="12"/>
  <c r="A6436" i="12"/>
  <c r="B6436" i="12"/>
  <c r="A6437" i="12"/>
  <c r="B6437" i="12"/>
  <c r="A6438" i="12"/>
  <c r="B6438" i="12"/>
  <c r="A6439" i="12"/>
  <c r="B6439" i="12"/>
  <c r="A6440" i="12"/>
  <c r="B6440" i="12"/>
  <c r="A6441" i="12"/>
  <c r="B6441" i="12"/>
  <c r="A6442" i="12"/>
  <c r="B6442" i="12"/>
  <c r="A6443" i="12"/>
  <c r="B6443" i="12"/>
  <c r="A6444" i="12"/>
  <c r="B6444" i="12"/>
  <c r="A6445" i="12"/>
  <c r="B6445" i="12"/>
  <c r="A6446" i="12"/>
  <c r="B6446" i="12"/>
  <c r="A6447" i="12"/>
  <c r="B6447" i="12"/>
  <c r="A6448" i="12"/>
  <c r="B6448" i="12"/>
  <c r="A6449" i="12"/>
  <c r="B6449" i="12"/>
  <c r="A6450" i="12"/>
  <c r="B6450" i="12"/>
  <c r="A6451" i="12"/>
  <c r="B6451" i="12"/>
  <c r="A6452" i="12"/>
  <c r="B6452" i="12"/>
  <c r="A6453" i="12"/>
  <c r="B6453" i="12"/>
  <c r="A6454" i="12"/>
  <c r="B6454" i="12"/>
  <c r="A6455" i="12"/>
  <c r="B6455" i="12"/>
  <c r="A6456" i="12"/>
  <c r="B6456" i="12"/>
  <c r="A6457" i="12"/>
  <c r="B6457" i="12"/>
  <c r="A6458" i="12"/>
  <c r="B6458" i="12"/>
  <c r="A6459" i="12"/>
  <c r="B6459" i="12"/>
  <c r="A6460" i="12"/>
  <c r="B6460" i="12"/>
  <c r="A6461" i="12"/>
  <c r="B6461" i="12"/>
  <c r="A6462" i="12"/>
  <c r="B6462" i="12"/>
  <c r="A6463" i="12"/>
  <c r="B6463" i="12"/>
  <c r="A6464" i="12"/>
  <c r="B6464" i="12"/>
  <c r="A6465" i="12"/>
  <c r="B6465" i="12"/>
  <c r="A6466" i="12"/>
  <c r="B6466" i="12"/>
  <c r="A6467" i="12"/>
  <c r="B6467" i="12"/>
  <c r="A6468" i="12"/>
  <c r="B6468" i="12"/>
  <c r="A6469" i="12"/>
  <c r="B6469" i="12"/>
  <c r="A6470" i="12"/>
  <c r="B6470" i="12"/>
  <c r="A6471" i="12"/>
  <c r="B6471" i="12"/>
  <c r="A6472" i="12"/>
  <c r="B6472" i="12"/>
  <c r="A6473" i="12"/>
  <c r="B6473" i="12"/>
  <c r="A6474" i="12"/>
  <c r="B6474" i="12"/>
  <c r="A6475" i="12"/>
  <c r="B6475" i="12"/>
  <c r="A6476" i="12"/>
  <c r="B6476" i="12"/>
  <c r="A6477" i="12"/>
  <c r="B6477" i="12"/>
  <c r="A6478" i="12"/>
  <c r="B6478" i="12"/>
  <c r="A6479" i="12"/>
  <c r="B6479" i="12"/>
  <c r="A6480" i="12"/>
  <c r="B6480" i="12"/>
  <c r="A6481" i="12"/>
  <c r="B6481" i="12"/>
  <c r="A6482" i="12"/>
  <c r="B6482" i="12"/>
  <c r="A6483" i="12"/>
  <c r="B6483" i="12"/>
  <c r="A6484" i="12"/>
  <c r="B6484" i="12"/>
  <c r="A6485" i="12"/>
  <c r="B6485" i="12"/>
  <c r="A6486" i="12"/>
  <c r="B6486" i="12"/>
  <c r="A6487" i="12"/>
  <c r="B6487" i="12"/>
  <c r="A6488" i="12"/>
  <c r="B6488" i="12"/>
  <c r="A6489" i="12"/>
  <c r="B6489" i="12"/>
  <c r="A6490" i="12"/>
  <c r="B6490" i="12"/>
  <c r="A6491" i="12"/>
  <c r="B6491" i="12"/>
  <c r="A6492" i="12"/>
  <c r="B6492" i="12"/>
  <c r="A6493" i="12"/>
  <c r="B6493" i="12"/>
  <c r="A6494" i="12"/>
  <c r="B6494" i="12"/>
  <c r="A6495" i="12"/>
  <c r="B6495" i="12"/>
  <c r="A6496" i="12"/>
  <c r="B6496" i="12"/>
  <c r="A6497" i="12"/>
  <c r="B6497" i="12"/>
  <c r="A6498" i="12"/>
  <c r="B6498" i="12"/>
  <c r="A6499" i="12"/>
  <c r="B6499" i="12"/>
  <c r="A6500" i="12"/>
  <c r="B6500" i="12"/>
  <c r="A6501" i="12"/>
  <c r="B6501" i="12"/>
  <c r="A6502" i="12"/>
  <c r="B6502" i="12"/>
  <c r="A6503" i="12"/>
  <c r="B6503" i="12"/>
  <c r="A6504" i="12"/>
  <c r="B6504" i="12"/>
  <c r="A6505" i="12"/>
  <c r="B6505" i="12"/>
  <c r="A6506" i="12"/>
  <c r="B6506" i="12"/>
  <c r="A6507" i="12"/>
  <c r="B6507" i="12"/>
  <c r="A6508" i="12"/>
  <c r="B6508" i="12"/>
  <c r="A6509" i="12"/>
  <c r="B6509" i="12"/>
  <c r="A6510" i="12"/>
  <c r="B6510" i="12"/>
  <c r="A6511" i="12"/>
  <c r="B6511" i="12"/>
  <c r="A6512" i="12"/>
  <c r="B6512" i="12"/>
  <c r="A6513" i="12"/>
  <c r="B6513" i="12"/>
  <c r="A6514" i="12"/>
  <c r="B6514" i="12"/>
  <c r="A6515" i="12"/>
  <c r="B6515" i="12"/>
  <c r="A6516" i="12"/>
  <c r="B6516" i="12"/>
  <c r="A6517" i="12"/>
  <c r="B6517" i="12"/>
  <c r="A6518" i="12"/>
  <c r="B6518" i="12"/>
  <c r="A6519" i="12"/>
  <c r="B6519" i="12"/>
  <c r="A6520" i="12"/>
  <c r="B6520" i="12"/>
  <c r="A6521" i="12"/>
  <c r="B6521" i="12"/>
  <c r="A6522" i="12"/>
  <c r="B6522" i="12"/>
  <c r="A6523" i="12"/>
  <c r="B6523" i="12"/>
  <c r="A6524" i="12"/>
  <c r="B6524" i="12"/>
  <c r="A6525" i="12"/>
  <c r="B6525" i="12"/>
  <c r="A6526" i="12"/>
  <c r="B6526" i="12"/>
  <c r="A6527" i="12"/>
  <c r="B6527" i="12"/>
  <c r="A6528" i="12"/>
  <c r="B6528" i="12"/>
  <c r="A6529" i="12"/>
  <c r="B6529" i="12"/>
  <c r="A6530" i="12"/>
  <c r="B6530" i="12"/>
  <c r="A6531" i="12"/>
  <c r="B6531" i="12"/>
  <c r="A6532" i="12"/>
  <c r="B6532" i="12"/>
  <c r="A6533" i="12"/>
  <c r="B6533" i="12"/>
  <c r="A6534" i="12"/>
  <c r="B6534" i="12"/>
  <c r="A6535" i="12"/>
  <c r="B6535" i="12"/>
  <c r="A6536" i="12"/>
  <c r="B6536" i="12"/>
  <c r="A6537" i="12"/>
  <c r="B6537" i="12"/>
  <c r="A6538" i="12"/>
  <c r="B6538" i="12"/>
  <c r="A6539" i="12"/>
  <c r="B6539" i="12"/>
  <c r="A6540" i="12"/>
  <c r="B6540" i="12"/>
  <c r="A6541" i="12"/>
  <c r="B6541" i="12"/>
  <c r="A6542" i="12"/>
  <c r="B6542" i="12"/>
  <c r="A6543" i="12"/>
  <c r="B6543" i="12"/>
  <c r="A6544" i="12"/>
  <c r="B6544" i="12"/>
  <c r="A6545" i="12"/>
  <c r="B6545" i="12"/>
  <c r="A6546" i="12"/>
  <c r="B6546" i="12"/>
  <c r="A6547" i="12"/>
  <c r="B6547" i="12"/>
  <c r="A6548" i="12"/>
  <c r="B6548" i="12"/>
  <c r="A6549" i="12"/>
  <c r="B6549" i="12"/>
  <c r="A6550" i="12"/>
  <c r="B6550" i="12"/>
  <c r="A6551" i="12"/>
  <c r="B6551" i="12"/>
  <c r="A6552" i="12"/>
  <c r="B6552" i="12"/>
  <c r="A6553" i="12"/>
  <c r="B6553" i="12"/>
  <c r="A6554" i="12"/>
  <c r="B6554" i="12"/>
  <c r="A141" i="2" l="1"/>
  <c r="B141" i="2"/>
  <c r="A507" i="12" l="1"/>
  <c r="B507" i="12"/>
  <c r="A508" i="12"/>
  <c r="B508" i="12"/>
  <c r="A509" i="12"/>
  <c r="B509" i="12"/>
  <c r="A510" i="12"/>
  <c r="B510" i="12"/>
  <c r="A511" i="12"/>
  <c r="B511" i="12"/>
  <c r="A512" i="12"/>
  <c r="B512" i="12"/>
  <c r="A513" i="12"/>
  <c r="B513" i="12"/>
  <c r="A514" i="12"/>
  <c r="B514" i="12"/>
  <c r="A515" i="12"/>
  <c r="B515" i="12"/>
  <c r="A516" i="12"/>
  <c r="B516" i="12"/>
  <c r="A517" i="12"/>
  <c r="B517" i="12"/>
  <c r="A518" i="12"/>
  <c r="B518" i="12"/>
  <c r="A519" i="12"/>
  <c r="B519" i="12"/>
  <c r="A520" i="12"/>
  <c r="B520" i="12"/>
  <c r="A521" i="12"/>
  <c r="B521" i="12"/>
  <c r="A522" i="12"/>
  <c r="B522" i="12"/>
  <c r="A523" i="12"/>
  <c r="B523" i="12"/>
  <c r="A524" i="12"/>
  <c r="B524" i="12"/>
  <c r="A525" i="12"/>
  <c r="B525" i="12"/>
  <c r="A526" i="12"/>
  <c r="B526" i="12"/>
  <c r="A527" i="12"/>
  <c r="B527" i="12"/>
  <c r="A528" i="12"/>
  <c r="B528" i="12"/>
  <c r="A529" i="12"/>
  <c r="B529" i="12"/>
  <c r="A530" i="12"/>
  <c r="B530" i="12"/>
  <c r="A531" i="12"/>
  <c r="B531" i="12"/>
  <c r="A532" i="12"/>
  <c r="B532" i="12"/>
  <c r="A533" i="12"/>
  <c r="B533" i="12"/>
  <c r="A534" i="12"/>
  <c r="B534" i="12"/>
  <c r="A535" i="12"/>
  <c r="B535" i="12"/>
  <c r="A536" i="12"/>
  <c r="B536" i="12"/>
  <c r="A537" i="12"/>
  <c r="B537" i="12"/>
  <c r="A539" i="12"/>
  <c r="B539" i="12"/>
  <c r="A540" i="12"/>
  <c r="B540" i="12"/>
  <c r="A541" i="12"/>
  <c r="B541" i="12"/>
  <c r="A542" i="12"/>
  <c r="B542" i="12"/>
  <c r="A543" i="12"/>
  <c r="B543" i="12"/>
  <c r="A544" i="12"/>
  <c r="B544" i="12"/>
  <c r="A545" i="12"/>
  <c r="B545" i="12"/>
  <c r="A546" i="12"/>
  <c r="B546" i="12"/>
  <c r="A547" i="12"/>
  <c r="B547" i="12"/>
  <c r="A548" i="12"/>
  <c r="B548" i="12"/>
  <c r="A549" i="12"/>
  <c r="B549" i="12"/>
  <c r="A550" i="12"/>
  <c r="B550" i="12"/>
  <c r="A551" i="12"/>
  <c r="B551" i="12"/>
  <c r="A552" i="12"/>
  <c r="B552" i="12"/>
  <c r="A553" i="12"/>
  <c r="B553" i="12"/>
  <c r="A554" i="12"/>
  <c r="B554" i="12"/>
  <c r="A555" i="12"/>
  <c r="B555" i="12"/>
  <c r="A556" i="12"/>
  <c r="B556" i="12"/>
  <c r="A557" i="12"/>
  <c r="B557" i="12"/>
  <c r="A558" i="12"/>
  <c r="B558" i="12"/>
  <c r="A559" i="12"/>
  <c r="B559" i="12"/>
  <c r="A560" i="12"/>
  <c r="B560" i="12"/>
  <c r="A561" i="12"/>
  <c r="B561" i="12"/>
  <c r="A562" i="12"/>
  <c r="B562" i="12"/>
  <c r="A563" i="12"/>
  <c r="B563" i="12"/>
  <c r="A564" i="12"/>
  <c r="B564" i="12"/>
  <c r="A565" i="12"/>
  <c r="B565" i="12"/>
  <c r="A566" i="12"/>
  <c r="B566" i="12"/>
  <c r="A567" i="12"/>
  <c r="B567" i="12"/>
  <c r="A568" i="12"/>
  <c r="B568" i="12"/>
  <c r="A569" i="12"/>
  <c r="B569" i="12"/>
  <c r="A570" i="12"/>
  <c r="B570" i="12"/>
  <c r="A571" i="12"/>
  <c r="B571" i="12"/>
  <c r="A572" i="12"/>
  <c r="B572" i="12"/>
  <c r="A573" i="12"/>
  <c r="B573" i="12"/>
  <c r="A574" i="12"/>
  <c r="B574" i="12"/>
  <c r="A575" i="12"/>
  <c r="B575" i="12"/>
  <c r="A577" i="12"/>
  <c r="B577" i="12"/>
  <c r="A578" i="12"/>
  <c r="B578" i="12"/>
  <c r="A579" i="12"/>
  <c r="B579" i="12"/>
  <c r="A580" i="12"/>
  <c r="B580" i="12"/>
  <c r="A581" i="12"/>
  <c r="B581" i="12"/>
  <c r="A582" i="12"/>
  <c r="B582" i="12"/>
  <c r="A583" i="12"/>
  <c r="B583" i="12"/>
  <c r="A584" i="12"/>
  <c r="B584" i="12"/>
  <c r="A585" i="12"/>
  <c r="B585" i="12"/>
  <c r="A586" i="12"/>
  <c r="B586" i="12"/>
  <c r="A587" i="12"/>
  <c r="B587" i="12"/>
  <c r="A588" i="12"/>
  <c r="B588" i="12"/>
  <c r="A589" i="12"/>
  <c r="B589" i="12"/>
  <c r="A590" i="12"/>
  <c r="B590" i="12"/>
  <c r="A591" i="12"/>
  <c r="B591" i="12"/>
  <c r="A592" i="12"/>
  <c r="B592" i="12"/>
  <c r="A593" i="12"/>
  <c r="B593" i="12"/>
  <c r="A594" i="12"/>
  <c r="B594" i="12"/>
  <c r="A595" i="12"/>
  <c r="B595" i="12"/>
  <c r="A596" i="12"/>
  <c r="B596" i="12"/>
  <c r="A597" i="12"/>
  <c r="B597" i="12"/>
  <c r="A598" i="12"/>
  <c r="B598" i="12"/>
  <c r="A599" i="12"/>
  <c r="B599" i="12"/>
  <c r="A600" i="12"/>
  <c r="B600" i="12"/>
  <c r="A601" i="12"/>
  <c r="B601" i="12"/>
  <c r="A602" i="12"/>
  <c r="B602" i="12"/>
  <c r="A603" i="12"/>
  <c r="B603" i="12"/>
  <c r="A604" i="12"/>
  <c r="B604" i="12"/>
  <c r="A605" i="12"/>
  <c r="B605" i="12"/>
  <c r="A606" i="12"/>
  <c r="B606" i="12"/>
  <c r="A607" i="12"/>
  <c r="B607" i="12"/>
  <c r="A608" i="12"/>
  <c r="B608" i="12"/>
  <c r="A609" i="12"/>
  <c r="B609" i="12"/>
  <c r="A610" i="12"/>
  <c r="B610" i="12"/>
  <c r="A611" i="12"/>
  <c r="B611" i="12"/>
  <c r="A612" i="12"/>
  <c r="B612" i="12"/>
  <c r="A613" i="12"/>
  <c r="B613" i="12"/>
  <c r="A614" i="12"/>
  <c r="B614" i="12"/>
  <c r="A615" i="12"/>
  <c r="B615" i="12"/>
  <c r="A616" i="12"/>
  <c r="B616" i="12"/>
  <c r="A617" i="12"/>
  <c r="B617" i="12"/>
  <c r="A618" i="12"/>
  <c r="B618" i="12"/>
  <c r="A619" i="12"/>
  <c r="B619" i="12"/>
  <c r="A620" i="12"/>
  <c r="B620" i="12"/>
  <c r="A621" i="12"/>
  <c r="B621" i="12"/>
  <c r="A622" i="12"/>
  <c r="B622" i="12"/>
  <c r="A623" i="12"/>
  <c r="B623" i="12"/>
  <c r="A624" i="12"/>
  <c r="B624" i="12"/>
  <c r="A625" i="12"/>
  <c r="B625" i="12"/>
  <c r="A626" i="12"/>
  <c r="B626" i="12"/>
  <c r="A627" i="12"/>
  <c r="B627" i="12"/>
  <c r="A628" i="12"/>
  <c r="B628" i="12"/>
  <c r="A629" i="12"/>
  <c r="B629" i="12"/>
  <c r="A630" i="12"/>
  <c r="B630" i="12"/>
  <c r="A631" i="12"/>
  <c r="B631" i="12"/>
  <c r="A632" i="12"/>
  <c r="B632" i="12"/>
  <c r="A633" i="12"/>
  <c r="B633" i="12"/>
  <c r="A634" i="12"/>
  <c r="B634" i="12"/>
  <c r="A635" i="12"/>
  <c r="B635" i="12"/>
  <c r="A636" i="12"/>
  <c r="B636" i="12"/>
  <c r="A637" i="12"/>
  <c r="B637" i="12"/>
  <c r="A638" i="12"/>
  <c r="B638" i="12"/>
  <c r="A639" i="12"/>
  <c r="B639" i="12"/>
  <c r="A640" i="12"/>
  <c r="B640" i="12"/>
  <c r="A641" i="12"/>
  <c r="B641" i="12"/>
  <c r="A642" i="12"/>
  <c r="B642" i="12"/>
  <c r="A643" i="12"/>
  <c r="B643" i="12"/>
  <c r="A644" i="12"/>
  <c r="B644" i="12"/>
  <c r="A645" i="12"/>
  <c r="B645" i="12"/>
  <c r="A646" i="12"/>
  <c r="B646" i="12"/>
  <c r="A647" i="12"/>
  <c r="B647" i="12"/>
  <c r="A648" i="12"/>
  <c r="B648" i="12"/>
  <c r="A649" i="12"/>
  <c r="B649" i="12"/>
  <c r="A650" i="12"/>
  <c r="B650" i="12"/>
  <c r="A651" i="12"/>
  <c r="B651" i="12"/>
  <c r="A652" i="12"/>
  <c r="B652" i="12"/>
  <c r="A653" i="12"/>
  <c r="B653" i="12"/>
  <c r="A654" i="12"/>
  <c r="B654" i="12"/>
  <c r="A655" i="12"/>
  <c r="B655" i="12"/>
  <c r="A656" i="12"/>
  <c r="B656" i="12"/>
  <c r="A657" i="12"/>
  <c r="B657" i="12"/>
  <c r="A658" i="12"/>
  <c r="B658" i="12"/>
  <c r="A659" i="12"/>
  <c r="B659" i="12"/>
  <c r="A660" i="12"/>
  <c r="B660" i="12"/>
  <c r="A661" i="12"/>
  <c r="B661" i="12"/>
  <c r="A662" i="12"/>
  <c r="B662" i="12"/>
  <c r="A663" i="12"/>
  <c r="B663" i="12"/>
  <c r="A664" i="12"/>
  <c r="B664" i="12"/>
  <c r="A665" i="12"/>
  <c r="B665" i="12"/>
  <c r="A666" i="12"/>
  <c r="B666" i="12"/>
  <c r="A667" i="12"/>
  <c r="B667" i="12"/>
  <c r="A671" i="12"/>
  <c r="B671" i="12"/>
  <c r="A672" i="12"/>
  <c r="B672" i="12"/>
  <c r="A673" i="12"/>
  <c r="B673" i="12"/>
  <c r="A674" i="12"/>
  <c r="B674" i="12"/>
  <c r="A675" i="12"/>
  <c r="B675" i="12"/>
  <c r="A676" i="12"/>
  <c r="B676" i="12"/>
  <c r="A677" i="12"/>
  <c r="B677" i="12"/>
  <c r="A678" i="12"/>
  <c r="B678" i="12"/>
  <c r="A679" i="12"/>
  <c r="B679" i="12"/>
  <c r="A680" i="12"/>
  <c r="B680" i="12"/>
  <c r="A681" i="12"/>
  <c r="B681" i="12"/>
  <c r="A682" i="12"/>
  <c r="B682" i="12"/>
  <c r="A683" i="12"/>
  <c r="B683" i="12"/>
  <c r="A684" i="12"/>
  <c r="B684" i="12"/>
  <c r="A685" i="12"/>
  <c r="B685" i="12"/>
  <c r="A686" i="12"/>
  <c r="B686" i="12"/>
  <c r="A687" i="12"/>
  <c r="B687" i="12"/>
  <c r="A688" i="12"/>
  <c r="B688" i="12"/>
  <c r="A689" i="12"/>
  <c r="B689" i="12"/>
  <c r="A690" i="12"/>
  <c r="B690" i="12"/>
  <c r="A691" i="12"/>
  <c r="B691" i="12"/>
  <c r="A692" i="12"/>
  <c r="B692" i="12"/>
  <c r="A693" i="12"/>
  <c r="B693" i="12"/>
  <c r="A694" i="12"/>
  <c r="B694" i="12"/>
  <c r="A695" i="12"/>
  <c r="B695" i="12"/>
  <c r="A696" i="12"/>
  <c r="B696" i="12"/>
  <c r="A697" i="12"/>
  <c r="B697" i="12"/>
  <c r="A698" i="12"/>
  <c r="B698" i="12"/>
  <c r="A699" i="12"/>
  <c r="B699" i="12"/>
  <c r="A700" i="12"/>
  <c r="B700" i="12"/>
  <c r="A701" i="12"/>
  <c r="B701" i="12"/>
  <c r="A702" i="12"/>
  <c r="B702" i="12"/>
  <c r="A703" i="12"/>
  <c r="B703" i="12"/>
  <c r="A704" i="12"/>
  <c r="B704" i="12"/>
  <c r="A705" i="12"/>
  <c r="B705" i="12"/>
  <c r="A706" i="12"/>
  <c r="B706" i="12"/>
  <c r="A707" i="12"/>
  <c r="B707" i="12"/>
  <c r="A708" i="12"/>
  <c r="B708" i="12"/>
  <c r="A709" i="12"/>
  <c r="B709" i="12"/>
  <c r="A710" i="12"/>
  <c r="B710" i="12"/>
  <c r="A711" i="12"/>
  <c r="B711" i="12"/>
  <c r="A712" i="12"/>
  <c r="B712" i="12"/>
  <c r="A713" i="12"/>
  <c r="B713" i="12"/>
  <c r="A714" i="12"/>
  <c r="B714" i="12"/>
  <c r="A715" i="12"/>
  <c r="B715" i="12"/>
  <c r="A716" i="12"/>
  <c r="B716" i="12"/>
  <c r="A717" i="12"/>
  <c r="B717" i="12"/>
  <c r="A718" i="12"/>
  <c r="B718" i="12"/>
  <c r="A719" i="12"/>
  <c r="B719" i="12"/>
  <c r="A720" i="12"/>
  <c r="B720" i="12"/>
  <c r="A721" i="12"/>
  <c r="B721" i="12"/>
  <c r="A722" i="12"/>
  <c r="B722" i="12"/>
  <c r="A723" i="12"/>
  <c r="B723" i="12"/>
  <c r="A724" i="12"/>
  <c r="B724" i="12"/>
  <c r="A725" i="12"/>
  <c r="B725" i="12"/>
  <c r="A726" i="12"/>
  <c r="B726" i="12"/>
  <c r="A727" i="12"/>
  <c r="B727" i="12"/>
  <c r="A728" i="12"/>
  <c r="B728" i="12"/>
  <c r="A729" i="12"/>
  <c r="B729" i="12"/>
  <c r="A730" i="12"/>
  <c r="B730" i="12"/>
  <c r="A731" i="12"/>
  <c r="B731" i="12"/>
  <c r="A732" i="12"/>
  <c r="B732" i="12"/>
  <c r="A733" i="12"/>
  <c r="B733" i="12"/>
  <c r="A734" i="12"/>
  <c r="B734" i="12"/>
  <c r="A735" i="12"/>
  <c r="B735" i="12"/>
  <c r="A736" i="12"/>
  <c r="B736" i="12"/>
  <c r="A737" i="12"/>
  <c r="B737" i="12"/>
  <c r="A738" i="12"/>
  <c r="B738" i="12"/>
  <c r="A739" i="12"/>
  <c r="B739" i="12"/>
  <c r="A740" i="12"/>
  <c r="B740" i="12"/>
  <c r="A741" i="12"/>
  <c r="B741" i="12"/>
  <c r="A742" i="12"/>
  <c r="B742" i="12"/>
  <c r="A743" i="12"/>
  <c r="B743" i="12"/>
  <c r="A744" i="12"/>
  <c r="B744" i="12"/>
  <c r="A745" i="12"/>
  <c r="B745" i="12"/>
  <c r="A746" i="12"/>
  <c r="B746" i="12"/>
  <c r="A747" i="12"/>
  <c r="B747" i="12"/>
  <c r="A748" i="12"/>
  <c r="B748" i="12"/>
  <c r="A749" i="12"/>
  <c r="B749" i="12"/>
  <c r="A750" i="12"/>
  <c r="B750" i="12"/>
  <c r="A751" i="12"/>
  <c r="B751" i="12"/>
  <c r="A752" i="12"/>
  <c r="B752" i="12"/>
  <c r="A753" i="12"/>
  <c r="B753" i="12"/>
  <c r="A754" i="12"/>
  <c r="B754" i="12"/>
  <c r="A755" i="12"/>
  <c r="B755" i="12"/>
  <c r="A756" i="12"/>
  <c r="B756" i="12"/>
  <c r="A757" i="12"/>
  <c r="B757" i="12"/>
  <c r="A758" i="12"/>
  <c r="B758" i="12"/>
  <c r="A759" i="12"/>
  <c r="B759" i="12"/>
  <c r="A760" i="12"/>
  <c r="B760" i="12"/>
  <c r="A761" i="12"/>
  <c r="B761" i="12"/>
  <c r="A762" i="12"/>
  <c r="B762" i="12"/>
  <c r="A763" i="12"/>
  <c r="B763" i="12"/>
  <c r="A764" i="12"/>
  <c r="B764" i="12"/>
  <c r="A765" i="12"/>
  <c r="B765" i="12"/>
  <c r="A766" i="12"/>
  <c r="B766" i="12"/>
  <c r="A767" i="12"/>
  <c r="B767" i="12"/>
  <c r="A768" i="12"/>
  <c r="B768" i="12"/>
  <c r="A769" i="12"/>
  <c r="B769" i="12"/>
  <c r="A770" i="12"/>
  <c r="B770" i="12"/>
  <c r="A771" i="12"/>
  <c r="B771" i="12"/>
  <c r="A772" i="12"/>
  <c r="B772" i="12"/>
  <c r="A773" i="12"/>
  <c r="B773" i="12"/>
  <c r="A774" i="12"/>
  <c r="B774" i="12"/>
  <c r="A775" i="12"/>
  <c r="B775" i="12"/>
  <c r="A776" i="12"/>
  <c r="B776" i="12"/>
  <c r="A777" i="12"/>
  <c r="B777" i="12"/>
  <c r="A778" i="12"/>
  <c r="B778" i="12"/>
  <c r="A779" i="12"/>
  <c r="B779" i="12"/>
  <c r="A780" i="12"/>
  <c r="B780" i="12"/>
  <c r="A781" i="12"/>
  <c r="B781" i="12"/>
  <c r="A782" i="12"/>
  <c r="B782" i="12"/>
  <c r="A783" i="12"/>
  <c r="B783" i="12"/>
  <c r="A784" i="12"/>
  <c r="B784" i="12"/>
  <c r="A785" i="12"/>
  <c r="B785" i="12"/>
  <c r="A786" i="12"/>
  <c r="B786" i="12"/>
  <c r="A787" i="12"/>
  <c r="B787" i="12"/>
  <c r="A788" i="12"/>
  <c r="B788" i="12"/>
  <c r="A789" i="12"/>
  <c r="B789" i="12"/>
  <c r="A790" i="12"/>
  <c r="B790" i="12"/>
  <c r="A791" i="12"/>
  <c r="B791" i="12"/>
  <c r="A792" i="12"/>
  <c r="B792" i="12"/>
  <c r="A793" i="12"/>
  <c r="B793" i="12"/>
  <c r="A794" i="12"/>
  <c r="B794" i="12"/>
  <c r="A795" i="12"/>
  <c r="B795" i="12"/>
  <c r="A796" i="12"/>
  <c r="B796" i="12"/>
  <c r="A797" i="12"/>
  <c r="B797" i="12"/>
  <c r="A798" i="12"/>
  <c r="B798" i="12"/>
  <c r="A799" i="12"/>
  <c r="B799" i="12"/>
  <c r="A800" i="12"/>
  <c r="B800" i="12"/>
  <c r="A801" i="12"/>
  <c r="B801" i="12"/>
  <c r="A802" i="12"/>
  <c r="B802" i="12"/>
  <c r="A803" i="12"/>
  <c r="B803" i="12"/>
  <c r="A804" i="12"/>
  <c r="B804" i="12"/>
  <c r="A805" i="12"/>
  <c r="B805" i="12"/>
  <c r="A806" i="12"/>
  <c r="B806" i="12"/>
  <c r="A807" i="12"/>
  <c r="B807" i="12"/>
  <c r="A808" i="12"/>
  <c r="B808" i="12"/>
  <c r="A809" i="12"/>
  <c r="B809" i="12"/>
  <c r="A810" i="12"/>
  <c r="B810" i="12"/>
  <c r="A811" i="12"/>
  <c r="B811" i="12"/>
  <c r="A812" i="12"/>
  <c r="B812" i="12"/>
  <c r="A813" i="12"/>
  <c r="B813" i="12"/>
  <c r="A814" i="12"/>
  <c r="B814" i="12"/>
  <c r="A815" i="12"/>
  <c r="B815" i="12"/>
  <c r="A816" i="12"/>
  <c r="B816" i="12"/>
  <c r="A817" i="12"/>
  <c r="B817" i="12"/>
  <c r="A818" i="12"/>
  <c r="B818" i="12"/>
  <c r="A819" i="12"/>
  <c r="B819" i="12"/>
  <c r="A820" i="12"/>
  <c r="B820" i="12"/>
  <c r="A214" i="12" l="1"/>
  <c r="B214" i="12"/>
  <c r="A22" i="12" l="1"/>
  <c r="B22" i="12"/>
  <c r="A4" i="12" l="1"/>
  <c r="B4" i="12"/>
  <c r="A5" i="12"/>
  <c r="B5" i="12"/>
  <c r="A6" i="12"/>
  <c r="B6" i="12"/>
  <c r="A7" i="12"/>
  <c r="B7" i="12"/>
  <c r="A8" i="12"/>
  <c r="B8" i="12"/>
  <c r="A9" i="12"/>
  <c r="B9" i="12"/>
  <c r="A10" i="12"/>
  <c r="B10" i="12"/>
  <c r="A11" i="12"/>
  <c r="B11" i="12"/>
  <c r="A12" i="12"/>
  <c r="B12" i="12"/>
  <c r="A13" i="12"/>
  <c r="B13" i="12"/>
  <c r="A14" i="12"/>
  <c r="B14" i="12"/>
  <c r="A15" i="12"/>
  <c r="B15" i="12"/>
  <c r="A16" i="12"/>
  <c r="B16" i="12"/>
  <c r="A17" i="12"/>
  <c r="B17" i="12"/>
  <c r="A18" i="12"/>
  <c r="B18" i="12"/>
  <c r="A19" i="12"/>
  <c r="B19" i="12"/>
  <c r="A20" i="12"/>
  <c r="B20" i="12"/>
  <c r="A21" i="12"/>
  <c r="B21" i="12"/>
  <c r="A23" i="12"/>
  <c r="B23" i="12"/>
  <c r="A24" i="12"/>
  <c r="B24" i="12"/>
  <c r="A25" i="12"/>
  <c r="B25" i="12"/>
  <c r="A26" i="12"/>
  <c r="B26" i="12"/>
  <c r="A27" i="12"/>
  <c r="B27" i="12"/>
  <c r="A28" i="12"/>
  <c r="B28" i="12"/>
  <c r="A29" i="12"/>
  <c r="B29" i="12"/>
  <c r="A30" i="12"/>
  <c r="B30" i="12"/>
  <c r="A32" i="12"/>
  <c r="B32" i="12"/>
  <c r="A33" i="12"/>
  <c r="B33" i="12"/>
  <c r="A34" i="12"/>
  <c r="B34" i="12"/>
  <c r="A39" i="12"/>
  <c r="B39" i="12"/>
  <c r="A40" i="12"/>
  <c r="B40" i="12"/>
  <c r="A41" i="12"/>
  <c r="B41" i="12"/>
  <c r="A42" i="12"/>
  <c r="B42" i="12"/>
  <c r="A43" i="12"/>
  <c r="B43" i="12"/>
  <c r="A44" i="12"/>
  <c r="B44" i="12"/>
  <c r="A45" i="12"/>
  <c r="B45" i="12"/>
  <c r="A46" i="12"/>
  <c r="B46" i="12"/>
  <c r="A47" i="12"/>
  <c r="B47" i="12"/>
  <c r="A48" i="12"/>
  <c r="B48" i="12"/>
  <c r="A49" i="12"/>
  <c r="B49" i="12"/>
  <c r="A50" i="12"/>
  <c r="B50" i="12"/>
  <c r="A51" i="12"/>
  <c r="B51" i="12"/>
  <c r="A52" i="12"/>
  <c r="B52" i="12"/>
  <c r="A53" i="12"/>
  <c r="B53" i="12"/>
  <c r="A54" i="12"/>
  <c r="B54" i="12"/>
  <c r="A55" i="12"/>
  <c r="B55" i="12"/>
  <c r="A56" i="12"/>
  <c r="B56" i="12"/>
  <c r="A57" i="12"/>
  <c r="B57" i="12"/>
  <c r="A58" i="12"/>
  <c r="B58" i="12"/>
  <c r="A59" i="12"/>
  <c r="B59" i="12"/>
  <c r="A60" i="12"/>
  <c r="B60" i="12"/>
  <c r="A61" i="12"/>
  <c r="B61" i="12"/>
  <c r="A62" i="12"/>
  <c r="B62" i="12"/>
  <c r="A63" i="12"/>
  <c r="B63" i="12"/>
  <c r="A64" i="12"/>
  <c r="B64" i="12"/>
  <c r="A65" i="12"/>
  <c r="B65" i="12"/>
  <c r="A66" i="12"/>
  <c r="B66" i="12"/>
  <c r="A67" i="12"/>
  <c r="B67" i="12"/>
  <c r="A68" i="12"/>
  <c r="B68" i="12"/>
  <c r="A69" i="12"/>
  <c r="B69" i="12"/>
  <c r="A70" i="12"/>
  <c r="B70" i="12"/>
  <c r="A71" i="12"/>
  <c r="B71" i="12"/>
  <c r="A72" i="12"/>
  <c r="B72" i="12"/>
  <c r="A73" i="12"/>
  <c r="B73" i="12"/>
  <c r="A74" i="12"/>
  <c r="B74" i="12"/>
  <c r="A75" i="12"/>
  <c r="B75" i="12"/>
  <c r="A76" i="12"/>
  <c r="B76" i="12"/>
  <c r="A77" i="12"/>
  <c r="B77" i="12"/>
  <c r="A78" i="12"/>
  <c r="B78" i="12"/>
  <c r="A79" i="12"/>
  <c r="B79" i="12"/>
  <c r="A80" i="12"/>
  <c r="B80" i="12"/>
  <c r="A81" i="12"/>
  <c r="B81" i="12"/>
  <c r="A82" i="12"/>
  <c r="B82" i="12"/>
  <c r="A83" i="12"/>
  <c r="B83" i="12"/>
  <c r="A84" i="12"/>
  <c r="B84" i="12"/>
  <c r="A85" i="12"/>
  <c r="B85" i="12"/>
  <c r="A86" i="12"/>
  <c r="B86" i="12"/>
  <c r="A87" i="12"/>
  <c r="A88" i="12"/>
  <c r="B88" i="12"/>
  <c r="A89" i="12"/>
  <c r="B89" i="12"/>
  <c r="A90" i="12"/>
  <c r="B90" i="12"/>
  <c r="A91" i="12"/>
  <c r="B91" i="12"/>
  <c r="A92" i="12"/>
  <c r="B92" i="12"/>
  <c r="A93" i="12"/>
  <c r="B93" i="12"/>
  <c r="A94" i="12"/>
  <c r="B94" i="12"/>
  <c r="A95" i="12"/>
  <c r="B95" i="12"/>
  <c r="A96" i="12"/>
  <c r="B96" i="12"/>
  <c r="A97" i="12"/>
  <c r="B97" i="12"/>
  <c r="A98" i="12"/>
  <c r="B98" i="12"/>
  <c r="A99" i="12"/>
  <c r="B99" i="12"/>
  <c r="A100" i="12"/>
  <c r="B100" i="12"/>
  <c r="A101" i="12"/>
  <c r="B101" i="12"/>
  <c r="A102" i="12"/>
  <c r="B102" i="12"/>
  <c r="A103" i="12"/>
  <c r="B103" i="12"/>
  <c r="A104" i="12"/>
  <c r="B104" i="12"/>
  <c r="A105" i="12"/>
  <c r="B105" i="12"/>
  <c r="A106" i="12"/>
  <c r="B106" i="12"/>
  <c r="A107" i="12"/>
  <c r="B107" i="12"/>
  <c r="A108" i="12"/>
  <c r="B108" i="12"/>
  <c r="A109" i="12"/>
  <c r="B109" i="12"/>
  <c r="A110" i="12"/>
  <c r="B110" i="12"/>
  <c r="A111" i="12"/>
  <c r="B111" i="12"/>
  <c r="A112" i="12"/>
  <c r="B112" i="12"/>
  <c r="A113" i="12"/>
  <c r="B113" i="12"/>
  <c r="A114" i="12"/>
  <c r="B114" i="12"/>
  <c r="A115" i="12"/>
  <c r="B115" i="12"/>
  <c r="A116" i="12"/>
  <c r="B116" i="12"/>
  <c r="A117" i="12"/>
  <c r="B117" i="12"/>
  <c r="A118" i="12"/>
  <c r="B118" i="12"/>
  <c r="A119" i="12"/>
  <c r="B119" i="12"/>
  <c r="A120" i="12"/>
  <c r="B120" i="12"/>
  <c r="A121" i="12"/>
  <c r="B121" i="12"/>
  <c r="A122" i="12"/>
  <c r="B122" i="12"/>
  <c r="A123" i="12"/>
  <c r="B123" i="12"/>
  <c r="A124" i="12"/>
  <c r="B124" i="12"/>
  <c r="A125" i="12"/>
  <c r="B125" i="12"/>
  <c r="A126" i="12"/>
  <c r="B126" i="12"/>
  <c r="A127" i="12"/>
  <c r="B127" i="12"/>
  <c r="A128" i="12"/>
  <c r="B128" i="12"/>
  <c r="A129" i="12"/>
  <c r="B129" i="12"/>
  <c r="A130" i="12"/>
  <c r="B130" i="12"/>
  <c r="A131" i="12"/>
  <c r="B131" i="12"/>
  <c r="A132" i="12"/>
  <c r="B132" i="12"/>
  <c r="A133" i="12"/>
  <c r="B133" i="12"/>
  <c r="A134" i="12"/>
  <c r="B134" i="12"/>
  <c r="A135" i="12"/>
  <c r="B135" i="12"/>
  <c r="A136" i="12"/>
  <c r="B136" i="12"/>
  <c r="A137" i="12"/>
  <c r="B137" i="12"/>
  <c r="A138" i="12"/>
  <c r="B138" i="12"/>
  <c r="A139" i="12"/>
  <c r="B139" i="12"/>
  <c r="A140" i="12"/>
  <c r="B140" i="12"/>
  <c r="A141" i="12"/>
  <c r="B141" i="12"/>
  <c r="A142" i="12"/>
  <c r="B142" i="12"/>
  <c r="A143" i="12"/>
  <c r="B143" i="12"/>
  <c r="A144" i="12"/>
  <c r="B144" i="12"/>
  <c r="A145" i="12"/>
  <c r="B145" i="12"/>
  <c r="A146" i="12"/>
  <c r="B146" i="12"/>
  <c r="A147" i="12"/>
  <c r="B147" i="12"/>
  <c r="A148" i="12"/>
  <c r="B148" i="12"/>
  <c r="A149" i="12"/>
  <c r="B149" i="12"/>
  <c r="A150" i="12"/>
  <c r="B150" i="12"/>
  <c r="A151" i="12"/>
  <c r="B151" i="12"/>
  <c r="A152" i="12"/>
  <c r="B152" i="12"/>
  <c r="A153" i="12"/>
  <c r="B153" i="12"/>
  <c r="A154" i="12"/>
  <c r="B154" i="12"/>
  <c r="A155" i="12"/>
  <c r="B155" i="12"/>
  <c r="A156" i="12"/>
  <c r="B156" i="12"/>
  <c r="A157" i="12"/>
  <c r="B157" i="12"/>
  <c r="A158" i="12"/>
  <c r="B158" i="12"/>
  <c r="A159" i="12"/>
  <c r="B159" i="12"/>
  <c r="A160" i="12"/>
  <c r="B160" i="12"/>
  <c r="A161" i="12"/>
  <c r="B161" i="12"/>
  <c r="A162" i="12"/>
  <c r="B162" i="12"/>
  <c r="A163" i="12"/>
  <c r="B163" i="12"/>
  <c r="A164" i="12"/>
  <c r="B164" i="12"/>
  <c r="A165" i="12"/>
  <c r="B165" i="12"/>
  <c r="A166" i="12"/>
  <c r="B166" i="12"/>
  <c r="A167" i="12"/>
  <c r="B167" i="12"/>
  <c r="A168" i="12"/>
  <c r="B168" i="12"/>
  <c r="A169" i="12"/>
  <c r="B169" i="12"/>
  <c r="A170" i="12"/>
  <c r="B170" i="12"/>
  <c r="A171" i="12"/>
  <c r="B171" i="12"/>
  <c r="A172" i="12"/>
  <c r="B172" i="12"/>
  <c r="A173" i="12"/>
  <c r="B173" i="12"/>
  <c r="A174" i="12"/>
  <c r="B174" i="12"/>
  <c r="A175" i="12"/>
  <c r="B175" i="12"/>
  <c r="A177" i="12"/>
  <c r="B177" i="12"/>
  <c r="A178" i="12"/>
  <c r="B178" i="12"/>
  <c r="A179" i="12"/>
  <c r="B179" i="12"/>
  <c r="A180" i="12"/>
  <c r="B180" i="12"/>
  <c r="A181" i="12"/>
  <c r="B181" i="12"/>
  <c r="A182" i="12"/>
  <c r="B182" i="12"/>
  <c r="A183" i="12"/>
  <c r="B183" i="12"/>
  <c r="A184" i="12"/>
  <c r="B184" i="12"/>
  <c r="A185" i="12"/>
  <c r="B185" i="12"/>
  <c r="A186" i="12"/>
  <c r="B186" i="12"/>
  <c r="A187" i="12"/>
  <c r="B187" i="12"/>
  <c r="A188" i="12"/>
  <c r="B188" i="12"/>
  <c r="A189" i="12"/>
  <c r="B189" i="12"/>
  <c r="A190" i="12"/>
  <c r="B190" i="12"/>
  <c r="A191" i="12"/>
  <c r="B191" i="12"/>
  <c r="A192" i="12"/>
  <c r="B192" i="12"/>
  <c r="A193" i="12"/>
  <c r="B193" i="12"/>
  <c r="A194" i="12"/>
  <c r="B194" i="12"/>
  <c r="A195" i="12"/>
  <c r="B195" i="12"/>
  <c r="A196" i="12"/>
  <c r="B196" i="12"/>
  <c r="A197" i="12"/>
  <c r="B197" i="12"/>
  <c r="A198" i="12"/>
  <c r="B198" i="12"/>
  <c r="A199" i="12"/>
  <c r="B199" i="12"/>
  <c r="A200" i="12"/>
  <c r="B200" i="12"/>
  <c r="A201" i="12"/>
  <c r="B201" i="12"/>
  <c r="A202" i="12"/>
  <c r="B202" i="12"/>
  <c r="A203" i="12"/>
  <c r="B203" i="12"/>
  <c r="A204" i="12"/>
  <c r="B204" i="12"/>
  <c r="A205" i="12"/>
  <c r="B205" i="12"/>
  <c r="A206" i="12"/>
  <c r="B206" i="12"/>
  <c r="A207" i="12"/>
  <c r="B207" i="12"/>
  <c r="A208" i="12"/>
  <c r="B208" i="12"/>
  <c r="A209" i="12"/>
  <c r="B209" i="12"/>
  <c r="A210" i="12"/>
  <c r="B210" i="12"/>
  <c r="A211" i="12"/>
  <c r="B211" i="12"/>
  <c r="A212" i="12"/>
  <c r="B212" i="12"/>
  <c r="A213" i="12"/>
  <c r="B213" i="12"/>
  <c r="A215" i="12"/>
  <c r="B215" i="12"/>
  <c r="A216" i="12"/>
  <c r="B216" i="12"/>
  <c r="A217" i="12"/>
  <c r="B217" i="12"/>
  <c r="A218" i="12"/>
  <c r="B218" i="12"/>
  <c r="A219" i="12"/>
  <c r="B219" i="12"/>
  <c r="A220" i="12"/>
  <c r="B220" i="12"/>
  <c r="A221" i="12"/>
  <c r="B221" i="12"/>
  <c r="A222" i="12"/>
  <c r="B222" i="12"/>
  <c r="A223" i="12"/>
  <c r="B223" i="12"/>
  <c r="A224" i="12"/>
  <c r="B224" i="12"/>
  <c r="A225" i="12"/>
  <c r="B225" i="12"/>
  <c r="A226" i="12"/>
  <c r="B226" i="12"/>
  <c r="A227" i="12"/>
  <c r="B227" i="12"/>
  <c r="A228" i="12"/>
  <c r="B228" i="12"/>
  <c r="A229" i="12"/>
  <c r="B229" i="12"/>
  <c r="A230" i="12"/>
  <c r="B230" i="12"/>
  <c r="A231" i="12"/>
  <c r="B231" i="12"/>
  <c r="A232" i="12"/>
  <c r="B232" i="12"/>
  <c r="A233" i="12"/>
  <c r="B233" i="12"/>
  <c r="A234" i="12"/>
  <c r="B234" i="12"/>
  <c r="A235" i="12"/>
  <c r="B235" i="12"/>
  <c r="A236" i="12"/>
  <c r="B236" i="12"/>
  <c r="A237" i="12"/>
  <c r="B237" i="12"/>
  <c r="A238" i="12"/>
  <c r="B238" i="12"/>
  <c r="A239" i="12"/>
  <c r="B239" i="12"/>
  <c r="A240" i="12"/>
  <c r="B240" i="12"/>
  <c r="A241" i="12"/>
  <c r="B241" i="12"/>
  <c r="A242" i="12"/>
  <c r="B242" i="12"/>
  <c r="A243" i="12"/>
  <c r="B243" i="12"/>
  <c r="A244" i="12"/>
  <c r="B244" i="12"/>
  <c r="A245" i="12"/>
  <c r="B245" i="12"/>
  <c r="A246" i="12"/>
  <c r="B246" i="12"/>
  <c r="A247" i="12"/>
  <c r="B247" i="12"/>
  <c r="A248" i="12"/>
  <c r="B248" i="12"/>
  <c r="A249" i="12"/>
  <c r="B249" i="12"/>
  <c r="A250" i="12"/>
  <c r="B250" i="12"/>
  <c r="A251" i="12"/>
  <c r="B251" i="12"/>
  <c r="A252" i="12"/>
  <c r="B252" i="12"/>
  <c r="A253" i="12"/>
  <c r="B253" i="12"/>
  <c r="A254" i="12"/>
  <c r="B254" i="12"/>
  <c r="A255" i="12"/>
  <c r="B255" i="12"/>
  <c r="A256" i="12"/>
  <c r="B256" i="12"/>
  <c r="A257" i="12"/>
  <c r="B257" i="12"/>
  <c r="A258" i="12"/>
  <c r="B258" i="12"/>
  <c r="A259" i="12"/>
  <c r="B259" i="12"/>
  <c r="A260" i="12"/>
  <c r="B260" i="12"/>
  <c r="A261" i="12"/>
  <c r="B261" i="12"/>
  <c r="A262" i="12"/>
  <c r="B262" i="12"/>
  <c r="A263" i="12"/>
  <c r="B263" i="12"/>
  <c r="A264" i="12"/>
  <c r="B264" i="12"/>
  <c r="A265" i="12"/>
  <c r="B265" i="12"/>
  <c r="A266" i="12"/>
  <c r="B266" i="12"/>
  <c r="A267" i="12"/>
  <c r="B267" i="12"/>
  <c r="A268" i="12"/>
  <c r="B268" i="12"/>
  <c r="A269" i="12"/>
  <c r="B269" i="12"/>
  <c r="A270" i="12"/>
  <c r="B270" i="12"/>
  <c r="A271" i="12"/>
  <c r="B271" i="12"/>
  <c r="A272" i="12"/>
  <c r="B272" i="12"/>
  <c r="A273" i="12"/>
  <c r="B273" i="12"/>
  <c r="A274" i="12"/>
  <c r="B274" i="12"/>
  <c r="A275" i="12"/>
  <c r="B275" i="12"/>
  <c r="A276" i="12"/>
  <c r="B276" i="12"/>
  <c r="A277" i="12"/>
  <c r="B277" i="12"/>
  <c r="A278" i="12"/>
  <c r="B278" i="12"/>
  <c r="A279" i="12"/>
  <c r="B279" i="12"/>
  <c r="A280" i="12"/>
  <c r="B280" i="12"/>
  <c r="A281" i="12"/>
  <c r="B281" i="12"/>
  <c r="A282" i="12"/>
  <c r="B282" i="12"/>
  <c r="A283" i="12"/>
  <c r="B283" i="12"/>
  <c r="A284" i="12"/>
  <c r="B284" i="12"/>
  <c r="A285" i="12"/>
  <c r="B285" i="12"/>
  <c r="A286" i="12"/>
  <c r="B286" i="12"/>
  <c r="A287" i="12"/>
  <c r="B287" i="12"/>
  <c r="A288" i="12"/>
  <c r="B288" i="12"/>
  <c r="A289" i="12"/>
  <c r="B289" i="12"/>
  <c r="A290" i="12"/>
  <c r="B290" i="12"/>
  <c r="A291" i="12"/>
  <c r="B291" i="12"/>
  <c r="A292" i="12"/>
  <c r="B292" i="12"/>
  <c r="A293" i="12"/>
  <c r="B293" i="12"/>
  <c r="A294" i="12"/>
  <c r="B294" i="12"/>
  <c r="A295" i="12"/>
  <c r="B295" i="12"/>
  <c r="A296" i="12"/>
  <c r="B296" i="12"/>
  <c r="A297" i="12"/>
  <c r="B297" i="12"/>
  <c r="A298" i="12"/>
  <c r="B298" i="12"/>
  <c r="A299" i="12"/>
  <c r="B299" i="12"/>
  <c r="A300" i="12"/>
  <c r="B300" i="12"/>
  <c r="A301" i="12"/>
  <c r="B301" i="12"/>
  <c r="A302" i="12"/>
  <c r="B302" i="12"/>
  <c r="A303" i="12"/>
  <c r="B303" i="12"/>
  <c r="A304" i="12"/>
  <c r="B304" i="12"/>
  <c r="A305" i="12"/>
  <c r="B305" i="12"/>
  <c r="A306" i="12"/>
  <c r="B306" i="12"/>
  <c r="A307" i="12"/>
  <c r="B307" i="12"/>
  <c r="A308" i="12"/>
  <c r="B308" i="12"/>
  <c r="A309" i="12"/>
  <c r="B309" i="12"/>
  <c r="A310" i="12"/>
  <c r="B310" i="12"/>
  <c r="A311" i="12"/>
  <c r="B311" i="12"/>
  <c r="A312" i="12"/>
  <c r="B312" i="12"/>
  <c r="A313" i="12"/>
  <c r="B313" i="12"/>
  <c r="A314" i="12"/>
  <c r="B314" i="12"/>
  <c r="A315" i="12"/>
  <c r="B315" i="12"/>
  <c r="A316" i="12"/>
  <c r="B316" i="12"/>
  <c r="A317" i="12"/>
  <c r="B317" i="12"/>
  <c r="A318" i="12"/>
  <c r="B318" i="12"/>
  <c r="A319" i="12"/>
  <c r="B319" i="12"/>
  <c r="A320" i="12"/>
  <c r="B320" i="12"/>
  <c r="A321" i="12"/>
  <c r="B321" i="12"/>
  <c r="A322" i="12"/>
  <c r="B322" i="12"/>
  <c r="A323" i="12"/>
  <c r="B323" i="12"/>
  <c r="A324" i="12"/>
  <c r="B324" i="12"/>
  <c r="A325" i="12"/>
  <c r="B325" i="12"/>
  <c r="A326" i="12"/>
  <c r="B326" i="12"/>
  <c r="A327" i="12"/>
  <c r="B327" i="12"/>
  <c r="A328" i="12"/>
  <c r="B328" i="12"/>
  <c r="A329" i="12"/>
  <c r="B329" i="12"/>
  <c r="A330" i="12"/>
  <c r="B330" i="12"/>
  <c r="A331" i="12"/>
  <c r="B331" i="12"/>
  <c r="A332" i="12"/>
  <c r="B332" i="12"/>
  <c r="A333" i="12"/>
  <c r="B333" i="12"/>
  <c r="A334" i="12"/>
  <c r="B334" i="12"/>
  <c r="A335" i="12"/>
  <c r="B335" i="12"/>
  <c r="A336" i="12"/>
  <c r="B336" i="12"/>
  <c r="A337" i="12"/>
  <c r="B337" i="12"/>
  <c r="A338" i="12"/>
  <c r="B338" i="12"/>
  <c r="A339" i="12"/>
  <c r="B339" i="12"/>
  <c r="A340" i="12"/>
  <c r="B340" i="12"/>
  <c r="A341" i="12"/>
  <c r="B341" i="12"/>
  <c r="A342" i="12"/>
  <c r="B342" i="12"/>
  <c r="A343" i="12"/>
  <c r="B343" i="12"/>
  <c r="A344" i="12"/>
  <c r="B344" i="12"/>
  <c r="A345" i="12"/>
  <c r="B345" i="12"/>
  <c r="A346" i="12"/>
  <c r="B346" i="12"/>
  <c r="A347" i="12"/>
  <c r="B347" i="12"/>
  <c r="A348" i="12"/>
  <c r="B348" i="12"/>
  <c r="A349" i="12"/>
  <c r="B349" i="12"/>
  <c r="A350" i="12"/>
  <c r="B350" i="12"/>
  <c r="A351" i="12"/>
  <c r="B351" i="12"/>
  <c r="A352" i="12"/>
  <c r="B352" i="12"/>
  <c r="A353" i="12"/>
  <c r="B353" i="12"/>
  <c r="A354" i="12"/>
  <c r="B354" i="12"/>
  <c r="A355" i="12"/>
  <c r="B355" i="12"/>
  <c r="A356" i="12"/>
  <c r="B356" i="12"/>
  <c r="A357" i="12"/>
  <c r="B357" i="12"/>
  <c r="A358" i="12"/>
  <c r="B358" i="12"/>
  <c r="A359" i="12"/>
  <c r="B359" i="12"/>
  <c r="A360" i="12"/>
  <c r="B360" i="12"/>
  <c r="A361" i="12"/>
  <c r="B361" i="12"/>
  <c r="A362" i="12"/>
  <c r="B362" i="12"/>
  <c r="A363" i="12"/>
  <c r="B363" i="12"/>
  <c r="A364" i="12"/>
  <c r="B364" i="12"/>
  <c r="A365" i="12"/>
  <c r="B365" i="12"/>
  <c r="A366" i="12"/>
  <c r="B366" i="12"/>
  <c r="A367" i="12"/>
  <c r="B367" i="12"/>
  <c r="A368" i="12"/>
  <c r="B368" i="12"/>
  <c r="A369" i="12"/>
  <c r="B369" i="12"/>
  <c r="A370" i="12"/>
  <c r="B370" i="12"/>
  <c r="A371" i="12"/>
  <c r="B371" i="12"/>
  <c r="A372" i="12"/>
  <c r="B372" i="12"/>
  <c r="A373" i="12"/>
  <c r="B373" i="12"/>
  <c r="A374" i="12"/>
  <c r="B374" i="12"/>
  <c r="A375" i="12"/>
  <c r="B375" i="12"/>
  <c r="A376" i="12"/>
  <c r="B376" i="12"/>
  <c r="A377" i="12"/>
  <c r="B377" i="12"/>
  <c r="A378" i="12"/>
  <c r="B378" i="12"/>
  <c r="A379" i="12"/>
  <c r="B379" i="12"/>
  <c r="A380" i="12"/>
  <c r="B380" i="12"/>
  <c r="A381" i="12"/>
  <c r="B381" i="12"/>
  <c r="A382" i="12"/>
  <c r="B382" i="12"/>
  <c r="A383" i="12"/>
  <c r="B383" i="12"/>
  <c r="A384" i="12"/>
  <c r="B384" i="12"/>
  <c r="A385" i="12"/>
  <c r="B385" i="12"/>
  <c r="A386" i="12"/>
  <c r="B386" i="12"/>
  <c r="A387" i="12"/>
  <c r="B387" i="12"/>
  <c r="A388" i="12"/>
  <c r="B388" i="12"/>
  <c r="A389" i="12"/>
  <c r="B389" i="12"/>
  <c r="A390" i="12"/>
  <c r="B390" i="12"/>
  <c r="A391" i="12"/>
  <c r="B391" i="12"/>
  <c r="A392" i="12"/>
  <c r="B392" i="12"/>
  <c r="A393" i="12"/>
  <c r="B393" i="12"/>
  <c r="A394" i="12"/>
  <c r="B394" i="12"/>
  <c r="A395" i="12"/>
  <c r="B395" i="12"/>
  <c r="A396" i="12"/>
  <c r="B396" i="12"/>
  <c r="A397" i="12"/>
  <c r="B397" i="12"/>
  <c r="A398" i="12"/>
  <c r="B398" i="12"/>
  <c r="A399" i="12"/>
  <c r="B399" i="12"/>
  <c r="A400" i="12"/>
  <c r="B400" i="12"/>
  <c r="A401" i="12"/>
  <c r="B401" i="12"/>
  <c r="A402" i="12"/>
  <c r="B402" i="12"/>
  <c r="A403" i="12"/>
  <c r="B403" i="12"/>
  <c r="A404" i="12"/>
  <c r="B404" i="12"/>
  <c r="A405" i="12"/>
  <c r="B405" i="12"/>
  <c r="A406" i="12"/>
  <c r="B406" i="12"/>
  <c r="A407" i="12"/>
  <c r="B407" i="12"/>
  <c r="A408" i="12"/>
  <c r="B408" i="12"/>
  <c r="A409" i="12"/>
  <c r="B409" i="12"/>
  <c r="A410" i="12"/>
  <c r="B410" i="12"/>
  <c r="A411" i="12"/>
  <c r="B411" i="12"/>
  <c r="A412" i="12"/>
  <c r="B412" i="12"/>
  <c r="A413" i="12"/>
  <c r="B413" i="12"/>
  <c r="A414" i="12"/>
  <c r="B414" i="12"/>
  <c r="A415" i="12"/>
  <c r="B415" i="12"/>
  <c r="A416" i="12"/>
  <c r="B416" i="12"/>
  <c r="A417" i="12"/>
  <c r="B417" i="12"/>
  <c r="A418" i="12"/>
  <c r="B418" i="12"/>
  <c r="A419" i="12"/>
  <c r="B419" i="12"/>
  <c r="A420" i="12"/>
  <c r="B420" i="12"/>
  <c r="A421" i="12"/>
  <c r="B421" i="12"/>
  <c r="A422" i="12"/>
  <c r="B422" i="12"/>
  <c r="A423" i="12"/>
  <c r="B423" i="12"/>
  <c r="A424" i="12"/>
  <c r="B424" i="12"/>
  <c r="A425" i="12"/>
  <c r="B425" i="12"/>
  <c r="A426" i="12"/>
  <c r="B426" i="12"/>
  <c r="A441" i="12"/>
  <c r="B441" i="12"/>
  <c r="A442" i="12"/>
  <c r="B442" i="12"/>
  <c r="A443" i="12"/>
  <c r="B443" i="12"/>
  <c r="A444" i="12"/>
  <c r="B444" i="12"/>
  <c r="A445" i="12"/>
  <c r="B445" i="12"/>
  <c r="A446" i="12"/>
  <c r="B446" i="12"/>
  <c r="A447" i="12"/>
  <c r="B447" i="12"/>
  <c r="A448" i="12"/>
  <c r="B448" i="12"/>
  <c r="A449" i="12"/>
  <c r="B449" i="12"/>
  <c r="A450" i="12"/>
  <c r="B450" i="12"/>
  <c r="A451" i="12"/>
  <c r="B451" i="12"/>
  <c r="A452" i="12"/>
  <c r="B452" i="12"/>
  <c r="A453" i="12"/>
  <c r="B453" i="12"/>
  <c r="A454" i="12"/>
  <c r="B454" i="12"/>
  <c r="A455" i="12"/>
  <c r="B455" i="12"/>
  <c r="A456" i="12"/>
  <c r="B456" i="12"/>
  <c r="A457" i="12"/>
  <c r="B457" i="12"/>
  <c r="A458" i="12"/>
  <c r="B458" i="12"/>
  <c r="A459" i="12"/>
  <c r="B459" i="12"/>
  <c r="A460" i="12"/>
  <c r="B460" i="12"/>
  <c r="A461" i="12"/>
  <c r="B461" i="12"/>
  <c r="A462" i="12"/>
  <c r="B462" i="12"/>
  <c r="A463" i="12"/>
  <c r="B463" i="12"/>
  <c r="A464" i="12"/>
  <c r="B464" i="12"/>
  <c r="A465" i="12"/>
  <c r="B465" i="12"/>
  <c r="A466" i="12"/>
  <c r="B466" i="12"/>
  <c r="A467" i="12"/>
  <c r="B467" i="12"/>
  <c r="A468" i="12"/>
  <c r="B468" i="12"/>
  <c r="A469" i="12"/>
  <c r="B469" i="12"/>
  <c r="A470" i="12"/>
  <c r="B470" i="12"/>
  <c r="A471" i="12"/>
  <c r="B471" i="12"/>
  <c r="A472" i="12"/>
  <c r="B472" i="12"/>
  <c r="A473" i="12"/>
  <c r="B473" i="12"/>
  <c r="A474" i="12"/>
  <c r="B474" i="12"/>
  <c r="A475" i="12"/>
  <c r="B475" i="12"/>
  <c r="A476" i="12"/>
  <c r="B476" i="12"/>
  <c r="A477" i="12"/>
  <c r="B477" i="12"/>
  <c r="A478" i="12"/>
  <c r="B478" i="12"/>
  <c r="A479" i="12"/>
  <c r="B479" i="12"/>
  <c r="A480" i="12"/>
  <c r="B480" i="12"/>
  <c r="A481" i="12"/>
  <c r="B481" i="12"/>
  <c r="A482" i="12"/>
  <c r="B482" i="12"/>
  <c r="A483" i="12"/>
  <c r="B483" i="12"/>
  <c r="A484" i="12"/>
  <c r="B484" i="12"/>
  <c r="A485" i="12"/>
  <c r="B485" i="12"/>
  <c r="A486" i="12"/>
  <c r="B486" i="12"/>
  <c r="A487" i="12"/>
  <c r="B487" i="12"/>
  <c r="A488" i="12"/>
  <c r="B488" i="12"/>
  <c r="A489" i="12"/>
  <c r="B489" i="12"/>
  <c r="A490" i="12"/>
  <c r="B490" i="12"/>
  <c r="A491" i="12"/>
  <c r="B491" i="12"/>
  <c r="A492" i="12"/>
  <c r="B492" i="12"/>
  <c r="A493" i="12"/>
  <c r="B493" i="12"/>
  <c r="A494" i="12"/>
  <c r="B494" i="12"/>
  <c r="A495" i="12"/>
  <c r="B495" i="12"/>
  <c r="A496" i="12"/>
  <c r="B496" i="12"/>
  <c r="A497" i="12"/>
  <c r="B497" i="12"/>
  <c r="A498" i="12"/>
  <c r="B498" i="12"/>
  <c r="A499" i="12"/>
  <c r="B499" i="12"/>
  <c r="A500" i="12"/>
  <c r="B500" i="12"/>
  <c r="A501" i="12"/>
  <c r="B501" i="12"/>
  <c r="A502" i="12"/>
  <c r="B502" i="12"/>
  <c r="A503" i="12"/>
  <c r="B503" i="12"/>
  <c r="A504" i="12"/>
  <c r="B504" i="12"/>
  <c r="A505" i="12"/>
  <c r="B505" i="12"/>
  <c r="A506" i="12"/>
  <c r="B506" i="12"/>
  <c r="B3" i="12"/>
  <c r="A3" i="12"/>
  <c r="A432" i="2" l="1"/>
  <c r="B432" i="2"/>
  <c r="A433" i="2"/>
  <c r="B433" i="2"/>
  <c r="A434" i="2"/>
  <c r="B434" i="2"/>
  <c r="A435" i="2"/>
  <c r="B435" i="2"/>
  <c r="A436" i="2"/>
  <c r="B436" i="2"/>
  <c r="A437" i="2"/>
  <c r="B437" i="2"/>
  <c r="A438" i="2"/>
  <c r="B438" i="2"/>
  <c r="A439" i="2"/>
  <c r="B439" i="2"/>
  <c r="B440" i="2"/>
  <c r="A441" i="2"/>
  <c r="B441" i="2"/>
  <c r="A442" i="2"/>
  <c r="B442" i="2"/>
  <c r="A443" i="2"/>
  <c r="B443" i="2"/>
  <c r="A444" i="2"/>
  <c r="B444" i="2"/>
  <c r="A445" i="2"/>
  <c r="B445" i="2"/>
  <c r="A446" i="2"/>
  <c r="B446" i="2"/>
  <c r="A447" i="2"/>
  <c r="B447" i="2"/>
  <c r="A448" i="2"/>
  <c r="B448" i="2"/>
  <c r="A449" i="2"/>
  <c r="B449" i="2"/>
  <c r="A450" i="2"/>
  <c r="B450" i="2"/>
  <c r="A451" i="2"/>
  <c r="B451" i="2"/>
  <c r="A452" i="2"/>
  <c r="B452" i="2"/>
  <c r="A453" i="2"/>
  <c r="B453" i="2"/>
  <c r="A454" i="2"/>
  <c r="B454" i="2"/>
  <c r="A455" i="2"/>
  <c r="B455" i="2"/>
  <c r="A456" i="2"/>
  <c r="B456" i="2"/>
  <c r="A457" i="2"/>
  <c r="B457" i="2"/>
  <c r="A458" i="2"/>
  <c r="B458" i="2"/>
  <c r="A459" i="2"/>
  <c r="B459" i="2"/>
  <c r="A460" i="2"/>
  <c r="B460" i="2"/>
  <c r="A461" i="2"/>
  <c r="B461" i="2"/>
  <c r="A462" i="2"/>
  <c r="B462" i="2"/>
  <c r="A463" i="2"/>
  <c r="B463" i="2"/>
  <c r="A464" i="2"/>
  <c r="B464" i="2"/>
  <c r="A465" i="2"/>
  <c r="B465" i="2"/>
  <c r="A466" i="2"/>
  <c r="B466" i="2"/>
  <c r="A467" i="2"/>
  <c r="B467" i="2"/>
  <c r="A468" i="2"/>
  <c r="B468" i="2"/>
  <c r="A469" i="2"/>
  <c r="B469" i="2"/>
  <c r="A470" i="2"/>
  <c r="B470" i="2"/>
  <c r="A471" i="2"/>
  <c r="B471" i="2"/>
  <c r="A472" i="2"/>
  <c r="B472" i="2"/>
  <c r="A473" i="2"/>
  <c r="B473" i="2"/>
  <c r="A474" i="2"/>
  <c r="B474" i="2"/>
  <c r="A475" i="2"/>
  <c r="B475" i="2"/>
  <c r="A476" i="2"/>
  <c r="B476" i="2"/>
  <c r="A477" i="2"/>
  <c r="B477" i="2"/>
  <c r="A478" i="2"/>
  <c r="B478" i="2"/>
  <c r="A479" i="2"/>
  <c r="B479" i="2"/>
  <c r="A480" i="2"/>
  <c r="B480" i="2"/>
  <c r="A481" i="2"/>
  <c r="B481" i="2"/>
  <c r="A482" i="2"/>
  <c r="B482" i="2"/>
  <c r="A483" i="2"/>
  <c r="B483" i="2"/>
  <c r="A484" i="2"/>
  <c r="B484" i="2"/>
  <c r="A485" i="2"/>
  <c r="B485" i="2"/>
  <c r="A486" i="2"/>
  <c r="B486" i="2"/>
  <c r="A487" i="2"/>
  <c r="B487" i="2"/>
  <c r="A488" i="2"/>
  <c r="B488" i="2"/>
  <c r="A489" i="2"/>
  <c r="B489" i="2"/>
  <c r="A490" i="2"/>
  <c r="B490" i="2"/>
  <c r="A491" i="2"/>
  <c r="B491" i="2"/>
  <c r="A492" i="2"/>
  <c r="B492" i="2"/>
  <c r="A493" i="2"/>
  <c r="B493" i="2"/>
  <c r="A494" i="2"/>
  <c r="B494" i="2"/>
  <c r="A495" i="2"/>
  <c r="B495" i="2"/>
  <c r="A496" i="2"/>
  <c r="B496" i="2"/>
  <c r="A497" i="2"/>
  <c r="B497" i="2"/>
  <c r="A498" i="2"/>
  <c r="B498" i="2"/>
  <c r="A499" i="2"/>
  <c r="B499" i="2"/>
  <c r="A500" i="2"/>
  <c r="B500" i="2"/>
  <c r="A501" i="2"/>
  <c r="B501" i="2"/>
  <c r="A502" i="2"/>
  <c r="B502" i="2"/>
  <c r="A503" i="2"/>
  <c r="B503" i="2"/>
  <c r="A504" i="2"/>
  <c r="B504" i="2"/>
  <c r="A505" i="2"/>
  <c r="B505" i="2"/>
  <c r="A506" i="2"/>
  <c r="B506" i="2"/>
  <c r="A507" i="2"/>
  <c r="B507" i="2"/>
  <c r="A508" i="2"/>
  <c r="B508" i="2"/>
  <c r="A509" i="2"/>
  <c r="B509" i="2"/>
  <c r="A431" i="2"/>
  <c r="B431" i="2"/>
  <c r="B430" i="2"/>
  <c r="A430" i="2"/>
  <c r="A429" i="2"/>
  <c r="B429" i="2"/>
  <c r="A428" i="2" l="1"/>
  <c r="B428" i="2"/>
  <c r="B148" i="2" l="1"/>
  <c r="U6552" i="2" l="1"/>
  <c r="B6552" i="2"/>
  <c r="A6552" i="2"/>
  <c r="U6551" i="2"/>
  <c r="B6551" i="2"/>
  <c r="A6551" i="2"/>
  <c r="U6550" i="2"/>
  <c r="B6550" i="2"/>
  <c r="A6550" i="2"/>
  <c r="U6549" i="2"/>
  <c r="B6549" i="2"/>
  <c r="A6549" i="2"/>
  <c r="U6548" i="2"/>
  <c r="B6548" i="2"/>
  <c r="A6548" i="2"/>
  <c r="U6547" i="2"/>
  <c r="B6547" i="2"/>
  <c r="A6547" i="2"/>
  <c r="U6546" i="2"/>
  <c r="B6546" i="2"/>
  <c r="A6546" i="2"/>
  <c r="U6545" i="2"/>
  <c r="B6545" i="2"/>
  <c r="A6545" i="2"/>
  <c r="U6544" i="2"/>
  <c r="B6544" i="2"/>
  <c r="A6544" i="2"/>
  <c r="U6543" i="2"/>
  <c r="B6543" i="2"/>
  <c r="A6543" i="2"/>
  <c r="U6542" i="2"/>
  <c r="B6542" i="2"/>
  <c r="A6542" i="2"/>
  <c r="U6541" i="2"/>
  <c r="B6541" i="2"/>
  <c r="A6541" i="2"/>
  <c r="U6540" i="2"/>
  <c r="B6540" i="2"/>
  <c r="A6540" i="2"/>
  <c r="U6539" i="2"/>
  <c r="B6539" i="2"/>
  <c r="A6539" i="2"/>
  <c r="U6538" i="2"/>
  <c r="B6538" i="2"/>
  <c r="A6538" i="2"/>
  <c r="U6537" i="2"/>
  <c r="B6537" i="2"/>
  <c r="A6537" i="2"/>
  <c r="U6536" i="2"/>
  <c r="B6536" i="2"/>
  <c r="A6536" i="2"/>
  <c r="U6535" i="2"/>
  <c r="B6535" i="2"/>
  <c r="A6535" i="2"/>
  <c r="U6534" i="2"/>
  <c r="B6534" i="2"/>
  <c r="A6534" i="2"/>
  <c r="U6533" i="2"/>
  <c r="B6533" i="2"/>
  <c r="A6533" i="2"/>
  <c r="U6532" i="2"/>
  <c r="B6532" i="2"/>
  <c r="A6532" i="2"/>
  <c r="U6531" i="2"/>
  <c r="B6531" i="2"/>
  <c r="A6531" i="2"/>
  <c r="U6530" i="2"/>
  <c r="B6530" i="2"/>
  <c r="A6530" i="2"/>
  <c r="U6529" i="2"/>
  <c r="B6529" i="2"/>
  <c r="A6529" i="2"/>
  <c r="U6528" i="2"/>
  <c r="B6528" i="2"/>
  <c r="A6528" i="2"/>
  <c r="U6527" i="2"/>
  <c r="B6527" i="2"/>
  <c r="A6527" i="2"/>
  <c r="U6526" i="2"/>
  <c r="B6526" i="2"/>
  <c r="A6526" i="2"/>
  <c r="U6525" i="2"/>
  <c r="B6525" i="2"/>
  <c r="A6525" i="2"/>
  <c r="U6524" i="2"/>
  <c r="B6524" i="2"/>
  <c r="A6524" i="2"/>
  <c r="U6523" i="2"/>
  <c r="B6523" i="2"/>
  <c r="A6523" i="2"/>
  <c r="U6522" i="2"/>
  <c r="B6522" i="2"/>
  <c r="A6522" i="2"/>
  <c r="U6521" i="2"/>
  <c r="B6521" i="2"/>
  <c r="A6521" i="2"/>
  <c r="U6520" i="2"/>
  <c r="B6520" i="2"/>
  <c r="A6520" i="2"/>
  <c r="U6519" i="2"/>
  <c r="B6519" i="2"/>
  <c r="A6519" i="2"/>
  <c r="U6518" i="2"/>
  <c r="B6518" i="2"/>
  <c r="A6518" i="2"/>
  <c r="U6517" i="2"/>
  <c r="B6517" i="2"/>
  <c r="A6517" i="2"/>
  <c r="U6516" i="2"/>
  <c r="B6516" i="2"/>
  <c r="A6516" i="2"/>
  <c r="U6515" i="2"/>
  <c r="B6515" i="2"/>
  <c r="A6515" i="2"/>
  <c r="U6514" i="2"/>
  <c r="B6514" i="2"/>
  <c r="A6514" i="2"/>
  <c r="U6513" i="2"/>
  <c r="B6513" i="2"/>
  <c r="A6513" i="2"/>
  <c r="U6512" i="2"/>
  <c r="B6512" i="2"/>
  <c r="A6512" i="2"/>
  <c r="U6511" i="2"/>
  <c r="B6511" i="2"/>
  <c r="A6511" i="2"/>
  <c r="U6510" i="2"/>
  <c r="B6510" i="2"/>
  <c r="A6510" i="2"/>
  <c r="U6509" i="2"/>
  <c r="B6509" i="2"/>
  <c r="A6509" i="2"/>
  <c r="U6508" i="2"/>
  <c r="B6508" i="2"/>
  <c r="A6508" i="2"/>
  <c r="U6507" i="2"/>
  <c r="B6507" i="2"/>
  <c r="A6507" i="2"/>
  <c r="U6506" i="2"/>
  <c r="B6506" i="2"/>
  <c r="A6506" i="2"/>
  <c r="U6505" i="2"/>
  <c r="B6505" i="2"/>
  <c r="A6505" i="2"/>
  <c r="U6504" i="2"/>
  <c r="B6504" i="2"/>
  <c r="A6504" i="2"/>
  <c r="U6503" i="2"/>
  <c r="B6503" i="2"/>
  <c r="A6503" i="2"/>
  <c r="U6502" i="2"/>
  <c r="B6502" i="2"/>
  <c r="A6502" i="2"/>
  <c r="U6501" i="2"/>
  <c r="B6501" i="2"/>
  <c r="A6501" i="2"/>
  <c r="U6500" i="2"/>
  <c r="B6500" i="2"/>
  <c r="A6500" i="2"/>
  <c r="U6499" i="2"/>
  <c r="B6499" i="2"/>
  <c r="A6499" i="2"/>
  <c r="U6498" i="2"/>
  <c r="B6498" i="2"/>
  <c r="A6498" i="2"/>
  <c r="U6497" i="2"/>
  <c r="B6497" i="2"/>
  <c r="A6497" i="2"/>
  <c r="U6496" i="2"/>
  <c r="B6496" i="2"/>
  <c r="A6496" i="2"/>
  <c r="U6495" i="2"/>
  <c r="B6495" i="2"/>
  <c r="A6495" i="2"/>
  <c r="U6494" i="2"/>
  <c r="B6494" i="2"/>
  <c r="A6494" i="2"/>
  <c r="U6493" i="2"/>
  <c r="B6493" i="2"/>
  <c r="A6493" i="2"/>
  <c r="U6492" i="2"/>
  <c r="B6492" i="2"/>
  <c r="A6492" i="2"/>
  <c r="U6491" i="2"/>
  <c r="B6491" i="2"/>
  <c r="A6491" i="2"/>
  <c r="U6490" i="2"/>
  <c r="B6490" i="2"/>
  <c r="A6490" i="2"/>
  <c r="U6489" i="2"/>
  <c r="B6489" i="2"/>
  <c r="A6489" i="2"/>
  <c r="U6488" i="2"/>
  <c r="B6488" i="2"/>
  <c r="A6488" i="2"/>
  <c r="U6487" i="2"/>
  <c r="B6487" i="2"/>
  <c r="A6487" i="2"/>
  <c r="U6486" i="2"/>
  <c r="B6486" i="2"/>
  <c r="A6486" i="2"/>
  <c r="U6485" i="2"/>
  <c r="B6485" i="2"/>
  <c r="A6485" i="2"/>
  <c r="U6484" i="2"/>
  <c r="B6484" i="2"/>
  <c r="A6484" i="2"/>
  <c r="U6483" i="2"/>
  <c r="B6483" i="2"/>
  <c r="A6483" i="2"/>
  <c r="U6482" i="2"/>
  <c r="B6482" i="2"/>
  <c r="A6482" i="2"/>
  <c r="U6481" i="2"/>
  <c r="B6481" i="2"/>
  <c r="A6481" i="2"/>
  <c r="U6480" i="2"/>
  <c r="B6480" i="2"/>
  <c r="A6480" i="2"/>
  <c r="U6479" i="2"/>
  <c r="B6479" i="2"/>
  <c r="A6479" i="2"/>
  <c r="U6478" i="2"/>
  <c r="B6478" i="2"/>
  <c r="A6478" i="2"/>
  <c r="U6477" i="2"/>
  <c r="B6477" i="2"/>
  <c r="A6477" i="2"/>
  <c r="U6476" i="2"/>
  <c r="B6476" i="2"/>
  <c r="A6476" i="2"/>
  <c r="U6475" i="2"/>
  <c r="B6475" i="2"/>
  <c r="A6475" i="2"/>
  <c r="U6474" i="2"/>
  <c r="B6474" i="2"/>
  <c r="A6474" i="2"/>
  <c r="U6473" i="2"/>
  <c r="B6473" i="2"/>
  <c r="A6473" i="2"/>
  <c r="U6472" i="2"/>
  <c r="B6472" i="2"/>
  <c r="A6472" i="2"/>
  <c r="U6471" i="2"/>
  <c r="B6471" i="2"/>
  <c r="A6471" i="2"/>
  <c r="U6470" i="2"/>
  <c r="B6470" i="2"/>
  <c r="A6470" i="2"/>
  <c r="U6469" i="2"/>
  <c r="B6469" i="2"/>
  <c r="A6469" i="2"/>
  <c r="U6468" i="2"/>
  <c r="B6468" i="2"/>
  <c r="A6468" i="2"/>
  <c r="U6467" i="2"/>
  <c r="B6467" i="2"/>
  <c r="A6467" i="2"/>
  <c r="U6466" i="2"/>
  <c r="B6466" i="2"/>
  <c r="A6466" i="2"/>
  <c r="U6465" i="2"/>
  <c r="B6465" i="2"/>
  <c r="A6465" i="2"/>
  <c r="U6464" i="2"/>
  <c r="B6464" i="2"/>
  <c r="A6464" i="2"/>
  <c r="U6463" i="2"/>
  <c r="B6463" i="2"/>
  <c r="A6463" i="2"/>
  <c r="U6462" i="2"/>
  <c r="B6462" i="2"/>
  <c r="A6462" i="2"/>
  <c r="U6461" i="2"/>
  <c r="B6461" i="2"/>
  <c r="A6461" i="2"/>
  <c r="U6460" i="2"/>
  <c r="B6460" i="2"/>
  <c r="A6460" i="2"/>
  <c r="U6459" i="2"/>
  <c r="B6459" i="2"/>
  <c r="A6459" i="2"/>
  <c r="U6458" i="2"/>
  <c r="B6458" i="2"/>
  <c r="A6458" i="2"/>
  <c r="U6457" i="2"/>
  <c r="B6457" i="2"/>
  <c r="A6457" i="2"/>
  <c r="U6456" i="2"/>
  <c r="B6456" i="2"/>
  <c r="A6456" i="2"/>
  <c r="U6455" i="2"/>
  <c r="B6455" i="2"/>
  <c r="A6455" i="2"/>
  <c r="U6454" i="2"/>
  <c r="B6454" i="2"/>
  <c r="A6454" i="2"/>
  <c r="U6453" i="2"/>
  <c r="B6453" i="2"/>
  <c r="A6453" i="2"/>
  <c r="U6452" i="2"/>
  <c r="B6452" i="2"/>
  <c r="A6452" i="2"/>
  <c r="U6451" i="2"/>
  <c r="B6451" i="2"/>
  <c r="A6451" i="2"/>
  <c r="U6450" i="2"/>
  <c r="B6450" i="2"/>
  <c r="A6450" i="2"/>
  <c r="U6449" i="2"/>
  <c r="B6449" i="2"/>
  <c r="A6449" i="2"/>
  <c r="U6448" i="2"/>
  <c r="B6448" i="2"/>
  <c r="A6448" i="2"/>
  <c r="U6447" i="2"/>
  <c r="B6447" i="2"/>
  <c r="A6447" i="2"/>
  <c r="U6446" i="2"/>
  <c r="B6446" i="2"/>
  <c r="A6446" i="2"/>
  <c r="U6445" i="2"/>
  <c r="B6445" i="2"/>
  <c r="A6445" i="2"/>
  <c r="U6444" i="2"/>
  <c r="B6444" i="2"/>
  <c r="A6444" i="2"/>
  <c r="U6443" i="2"/>
  <c r="B6443" i="2"/>
  <c r="A6443" i="2"/>
  <c r="U6442" i="2"/>
  <c r="B6442" i="2"/>
  <c r="A6442" i="2"/>
  <c r="U6441" i="2"/>
  <c r="B6441" i="2"/>
  <c r="A6441" i="2"/>
  <c r="U6440" i="2"/>
  <c r="B6440" i="2"/>
  <c r="A6440" i="2"/>
  <c r="U6439" i="2"/>
  <c r="B6439" i="2"/>
  <c r="A6439" i="2"/>
  <c r="U6438" i="2"/>
  <c r="B6438" i="2"/>
  <c r="A6438" i="2"/>
  <c r="U6437" i="2"/>
  <c r="B6437" i="2"/>
  <c r="A6437" i="2"/>
  <c r="U6436" i="2"/>
  <c r="B6436" i="2"/>
  <c r="A6436" i="2"/>
  <c r="U6435" i="2"/>
  <c r="B6435" i="2"/>
  <c r="A6435" i="2"/>
  <c r="U6434" i="2"/>
  <c r="B6434" i="2"/>
  <c r="A6434" i="2"/>
  <c r="U6433" i="2"/>
  <c r="B6433" i="2"/>
  <c r="A6433" i="2"/>
  <c r="U6432" i="2"/>
  <c r="B6432" i="2"/>
  <c r="A6432" i="2"/>
  <c r="U6431" i="2"/>
  <c r="B6431" i="2"/>
  <c r="A6431" i="2"/>
  <c r="U6430" i="2"/>
  <c r="B6430" i="2"/>
  <c r="A6430" i="2"/>
  <c r="U6429" i="2"/>
  <c r="B6429" i="2"/>
  <c r="A6429" i="2"/>
  <c r="U6428" i="2"/>
  <c r="B6428" i="2"/>
  <c r="A6428" i="2"/>
  <c r="U6427" i="2"/>
  <c r="B6427" i="2"/>
  <c r="A6427" i="2"/>
  <c r="U6426" i="2"/>
  <c r="B6426" i="2"/>
  <c r="A6426" i="2"/>
  <c r="U6425" i="2"/>
  <c r="B6425" i="2"/>
  <c r="A6425" i="2"/>
  <c r="U6424" i="2"/>
  <c r="B6424" i="2"/>
  <c r="A6424" i="2"/>
  <c r="U6423" i="2"/>
  <c r="B6423" i="2"/>
  <c r="A6423" i="2"/>
  <c r="U6422" i="2"/>
  <c r="B6422" i="2"/>
  <c r="A6422" i="2"/>
  <c r="U6421" i="2"/>
  <c r="B6421" i="2"/>
  <c r="A6421" i="2"/>
  <c r="U6420" i="2"/>
  <c r="B6420" i="2"/>
  <c r="A6420" i="2"/>
  <c r="U6419" i="2"/>
  <c r="B6419" i="2"/>
  <c r="A6419" i="2"/>
  <c r="U6418" i="2"/>
  <c r="B6418" i="2"/>
  <c r="A6418" i="2"/>
  <c r="U6417" i="2"/>
  <c r="B6417" i="2"/>
  <c r="A6417" i="2"/>
  <c r="U6416" i="2"/>
  <c r="B6416" i="2"/>
  <c r="A6416" i="2"/>
  <c r="U6415" i="2"/>
  <c r="B6415" i="2"/>
  <c r="A6415" i="2"/>
  <c r="U6414" i="2"/>
  <c r="B6414" i="2"/>
  <c r="A6414" i="2"/>
  <c r="U6413" i="2"/>
  <c r="B6413" i="2"/>
  <c r="A6413" i="2"/>
  <c r="U6412" i="2"/>
  <c r="B6412" i="2"/>
  <c r="A6412" i="2"/>
  <c r="U6411" i="2"/>
  <c r="B6411" i="2"/>
  <c r="A6411" i="2"/>
  <c r="U6410" i="2"/>
  <c r="B6410" i="2"/>
  <c r="A6410" i="2"/>
  <c r="U6409" i="2"/>
  <c r="B6409" i="2"/>
  <c r="A6409" i="2"/>
  <c r="U6408" i="2"/>
  <c r="B6408" i="2"/>
  <c r="A6408" i="2"/>
  <c r="U6407" i="2"/>
  <c r="B6407" i="2"/>
  <c r="A6407" i="2"/>
  <c r="U6406" i="2"/>
  <c r="B6406" i="2"/>
  <c r="A6406" i="2"/>
  <c r="U6405" i="2"/>
  <c r="B6405" i="2"/>
  <c r="A6405" i="2"/>
  <c r="U6404" i="2"/>
  <c r="B6404" i="2"/>
  <c r="A6404" i="2"/>
  <c r="U6403" i="2"/>
  <c r="B6403" i="2"/>
  <c r="A6403" i="2"/>
  <c r="U6402" i="2"/>
  <c r="B6402" i="2"/>
  <c r="A6402" i="2"/>
  <c r="U6401" i="2"/>
  <c r="B6401" i="2"/>
  <c r="A6401" i="2"/>
  <c r="U6400" i="2"/>
  <c r="B6400" i="2"/>
  <c r="A6400" i="2"/>
  <c r="U6399" i="2"/>
  <c r="B6399" i="2"/>
  <c r="A6399" i="2"/>
  <c r="U6398" i="2"/>
  <c r="B6398" i="2"/>
  <c r="A6398" i="2"/>
  <c r="U6397" i="2"/>
  <c r="B6397" i="2"/>
  <c r="A6397" i="2"/>
  <c r="U6396" i="2"/>
  <c r="B6396" i="2"/>
  <c r="A6396" i="2"/>
  <c r="U6395" i="2"/>
  <c r="B6395" i="2"/>
  <c r="A6395" i="2"/>
  <c r="U6394" i="2"/>
  <c r="B6394" i="2"/>
  <c r="A6394" i="2"/>
  <c r="U6393" i="2"/>
  <c r="B6393" i="2"/>
  <c r="A6393" i="2"/>
  <c r="U6392" i="2"/>
  <c r="B6392" i="2"/>
  <c r="A6392" i="2"/>
  <c r="U6391" i="2"/>
  <c r="B6391" i="2"/>
  <c r="A6391" i="2"/>
  <c r="U6390" i="2"/>
  <c r="B6390" i="2"/>
  <c r="A6390" i="2"/>
  <c r="U6389" i="2"/>
  <c r="B6389" i="2"/>
  <c r="A6389" i="2"/>
  <c r="U6388" i="2"/>
  <c r="B6388" i="2"/>
  <c r="A6388" i="2"/>
  <c r="U6387" i="2"/>
  <c r="B6387" i="2"/>
  <c r="A6387" i="2"/>
  <c r="U6386" i="2"/>
  <c r="B6386" i="2"/>
  <c r="A6386" i="2"/>
  <c r="U6385" i="2"/>
  <c r="B6385" i="2"/>
  <c r="A6385" i="2"/>
  <c r="U6384" i="2"/>
  <c r="B6384" i="2"/>
  <c r="A6384" i="2"/>
  <c r="U6383" i="2"/>
  <c r="B6383" i="2"/>
  <c r="A6383" i="2"/>
  <c r="U6382" i="2"/>
  <c r="B6382" i="2"/>
  <c r="A6382" i="2"/>
  <c r="U6381" i="2"/>
  <c r="B6381" i="2"/>
  <c r="A6381" i="2"/>
  <c r="U6380" i="2"/>
  <c r="B6380" i="2"/>
  <c r="A6380" i="2"/>
  <c r="U6379" i="2"/>
  <c r="B6379" i="2"/>
  <c r="A6379" i="2"/>
  <c r="U6378" i="2"/>
  <c r="B6378" i="2"/>
  <c r="A6378" i="2"/>
  <c r="U6377" i="2"/>
  <c r="B6377" i="2"/>
  <c r="A6377" i="2"/>
  <c r="U6376" i="2"/>
  <c r="B6376" i="2"/>
  <c r="A6376" i="2"/>
  <c r="U6375" i="2"/>
  <c r="B6375" i="2"/>
  <c r="A6375" i="2"/>
  <c r="U6374" i="2"/>
  <c r="B6374" i="2"/>
  <c r="A6374" i="2"/>
  <c r="U6373" i="2"/>
  <c r="B6373" i="2"/>
  <c r="A6373" i="2"/>
  <c r="U6372" i="2"/>
  <c r="B6372" i="2"/>
  <c r="A6372" i="2"/>
  <c r="U6371" i="2"/>
  <c r="B6371" i="2"/>
  <c r="A6371" i="2"/>
  <c r="U6370" i="2"/>
  <c r="B6370" i="2"/>
  <c r="A6370" i="2"/>
  <c r="U6369" i="2"/>
  <c r="B6369" i="2"/>
  <c r="A6369" i="2"/>
  <c r="U6368" i="2"/>
  <c r="B6368" i="2"/>
  <c r="A6368" i="2"/>
  <c r="U6367" i="2"/>
  <c r="B6367" i="2"/>
  <c r="A6367" i="2"/>
  <c r="U6366" i="2"/>
  <c r="B6366" i="2"/>
  <c r="A6366" i="2"/>
  <c r="U6365" i="2"/>
  <c r="B6365" i="2"/>
  <c r="A6365" i="2"/>
  <c r="U6364" i="2"/>
  <c r="B6364" i="2"/>
  <c r="A6364" i="2"/>
  <c r="U6363" i="2"/>
  <c r="B6363" i="2"/>
  <c r="A6363" i="2"/>
  <c r="U6362" i="2"/>
  <c r="B6362" i="2"/>
  <c r="A6362" i="2"/>
  <c r="U6361" i="2"/>
  <c r="B6361" i="2"/>
  <c r="A6361" i="2"/>
  <c r="U6360" i="2"/>
  <c r="B6360" i="2"/>
  <c r="A6360" i="2"/>
  <c r="U6359" i="2"/>
  <c r="B6359" i="2"/>
  <c r="A6359" i="2"/>
  <c r="U6358" i="2"/>
  <c r="B6358" i="2"/>
  <c r="A6358" i="2"/>
  <c r="U6357" i="2"/>
  <c r="B6357" i="2"/>
  <c r="A6357" i="2"/>
  <c r="U6356" i="2"/>
  <c r="B6356" i="2"/>
  <c r="A6356" i="2"/>
  <c r="U6355" i="2"/>
  <c r="B6355" i="2"/>
  <c r="A6355" i="2"/>
  <c r="U6354" i="2"/>
  <c r="B6354" i="2"/>
  <c r="A6354" i="2"/>
  <c r="U6353" i="2"/>
  <c r="B6353" i="2"/>
  <c r="A6353" i="2"/>
  <c r="U6352" i="2"/>
  <c r="B6352" i="2"/>
  <c r="A6352" i="2"/>
  <c r="U6351" i="2"/>
  <c r="B6351" i="2"/>
  <c r="A6351" i="2"/>
  <c r="U6350" i="2"/>
  <c r="B6350" i="2"/>
  <c r="A6350" i="2"/>
  <c r="U6349" i="2"/>
  <c r="B6349" i="2"/>
  <c r="A6349" i="2"/>
  <c r="U6348" i="2"/>
  <c r="B6348" i="2"/>
  <c r="A6348" i="2"/>
  <c r="U6347" i="2"/>
  <c r="B6347" i="2"/>
  <c r="A6347" i="2"/>
  <c r="U6346" i="2"/>
  <c r="B6346" i="2"/>
  <c r="A6346" i="2"/>
  <c r="U6345" i="2"/>
  <c r="B6345" i="2"/>
  <c r="A6345" i="2"/>
  <c r="U6344" i="2"/>
  <c r="B6344" i="2"/>
  <c r="A6344" i="2"/>
  <c r="U6343" i="2"/>
  <c r="B6343" i="2"/>
  <c r="A6343" i="2"/>
  <c r="U6342" i="2"/>
  <c r="B6342" i="2"/>
  <c r="A6342" i="2"/>
  <c r="U6341" i="2"/>
  <c r="B6341" i="2"/>
  <c r="A6341" i="2"/>
  <c r="U6340" i="2"/>
  <c r="B6340" i="2"/>
  <c r="A6340" i="2"/>
  <c r="U6339" i="2"/>
  <c r="B6339" i="2"/>
  <c r="A6339" i="2"/>
  <c r="U6338" i="2"/>
  <c r="B6338" i="2"/>
  <c r="A6338" i="2"/>
  <c r="U6337" i="2"/>
  <c r="B6337" i="2"/>
  <c r="A6337" i="2"/>
  <c r="U6336" i="2"/>
  <c r="B6336" i="2"/>
  <c r="A6336" i="2"/>
  <c r="U6335" i="2"/>
  <c r="B6335" i="2"/>
  <c r="A6335" i="2"/>
  <c r="U6334" i="2"/>
  <c r="B6334" i="2"/>
  <c r="A6334" i="2"/>
  <c r="U6333" i="2"/>
  <c r="B6333" i="2"/>
  <c r="A6333" i="2"/>
  <c r="U6332" i="2"/>
  <c r="B6332" i="2"/>
  <c r="A6332" i="2"/>
  <c r="U6331" i="2"/>
  <c r="B6331" i="2"/>
  <c r="A6331" i="2"/>
  <c r="U6330" i="2"/>
  <c r="B6330" i="2"/>
  <c r="A6330" i="2"/>
  <c r="U6329" i="2"/>
  <c r="B6329" i="2"/>
  <c r="A6329" i="2"/>
  <c r="U6328" i="2"/>
  <c r="B6328" i="2"/>
  <c r="A6328" i="2"/>
  <c r="U6327" i="2"/>
  <c r="B6327" i="2"/>
  <c r="A6327" i="2"/>
  <c r="U6326" i="2"/>
  <c r="B6326" i="2"/>
  <c r="A6326" i="2"/>
  <c r="U6325" i="2"/>
  <c r="B6325" i="2"/>
  <c r="A6325" i="2"/>
  <c r="U6324" i="2"/>
  <c r="B6324" i="2"/>
  <c r="A6324" i="2"/>
  <c r="U6323" i="2"/>
  <c r="B6323" i="2"/>
  <c r="A6323" i="2"/>
  <c r="U6322" i="2"/>
  <c r="B6322" i="2"/>
  <c r="A6322" i="2"/>
  <c r="U6321" i="2"/>
  <c r="B6321" i="2"/>
  <c r="A6321" i="2"/>
  <c r="U6320" i="2"/>
  <c r="B6320" i="2"/>
  <c r="A6320" i="2"/>
  <c r="U6319" i="2"/>
  <c r="B6319" i="2"/>
  <c r="A6319" i="2"/>
  <c r="U6318" i="2"/>
  <c r="B6318" i="2"/>
  <c r="A6318" i="2"/>
  <c r="U6317" i="2"/>
  <c r="B6317" i="2"/>
  <c r="A6317" i="2"/>
  <c r="U6316" i="2"/>
  <c r="B6316" i="2"/>
  <c r="A6316" i="2"/>
  <c r="U6315" i="2"/>
  <c r="B6315" i="2"/>
  <c r="A6315" i="2"/>
  <c r="U6314" i="2"/>
  <c r="B6314" i="2"/>
  <c r="A6314" i="2"/>
  <c r="U6313" i="2"/>
  <c r="B6313" i="2"/>
  <c r="A6313" i="2"/>
  <c r="U6312" i="2"/>
  <c r="B6312" i="2"/>
  <c r="A6312" i="2"/>
  <c r="U6311" i="2"/>
  <c r="B6311" i="2"/>
  <c r="A6311" i="2"/>
  <c r="U6310" i="2"/>
  <c r="B6310" i="2"/>
  <c r="A6310" i="2"/>
  <c r="U6309" i="2"/>
  <c r="B6309" i="2"/>
  <c r="A6309" i="2"/>
  <c r="U6308" i="2"/>
  <c r="B6308" i="2"/>
  <c r="A6308" i="2"/>
  <c r="U6307" i="2"/>
  <c r="B6307" i="2"/>
  <c r="A6307" i="2"/>
  <c r="U6306" i="2"/>
  <c r="B6306" i="2"/>
  <c r="A6306" i="2"/>
  <c r="U6305" i="2"/>
  <c r="B6305" i="2"/>
  <c r="A6305" i="2"/>
  <c r="U6304" i="2"/>
  <c r="B6304" i="2"/>
  <c r="A6304" i="2"/>
  <c r="U6303" i="2"/>
  <c r="B6303" i="2"/>
  <c r="A6303" i="2"/>
  <c r="U6302" i="2"/>
  <c r="B6302" i="2"/>
  <c r="A6302" i="2"/>
  <c r="U6301" i="2"/>
  <c r="B6301" i="2"/>
  <c r="A6301" i="2"/>
  <c r="U6300" i="2"/>
  <c r="B6300" i="2"/>
  <c r="A6300" i="2"/>
  <c r="U6299" i="2"/>
  <c r="B6299" i="2"/>
  <c r="A6299" i="2"/>
  <c r="U6298" i="2"/>
  <c r="B6298" i="2"/>
  <c r="A6298" i="2"/>
  <c r="U6297" i="2"/>
  <c r="B6297" i="2"/>
  <c r="A6297" i="2"/>
  <c r="U6296" i="2"/>
  <c r="B6296" i="2"/>
  <c r="A6296" i="2"/>
  <c r="U6295" i="2"/>
  <c r="B6295" i="2"/>
  <c r="A6295" i="2"/>
  <c r="U6294" i="2"/>
  <c r="B6294" i="2"/>
  <c r="A6294" i="2"/>
  <c r="U6293" i="2"/>
  <c r="B6293" i="2"/>
  <c r="A6293" i="2"/>
  <c r="U6292" i="2"/>
  <c r="B6292" i="2"/>
  <c r="A6292" i="2"/>
  <c r="U6291" i="2"/>
  <c r="B6291" i="2"/>
  <c r="A6291" i="2"/>
  <c r="U6290" i="2"/>
  <c r="B6290" i="2"/>
  <c r="A6290" i="2"/>
  <c r="U6289" i="2"/>
  <c r="B6289" i="2"/>
  <c r="A6289" i="2"/>
  <c r="U6288" i="2"/>
  <c r="B6288" i="2"/>
  <c r="A6288" i="2"/>
  <c r="U6287" i="2"/>
  <c r="B6287" i="2"/>
  <c r="A6287" i="2"/>
  <c r="U6286" i="2"/>
  <c r="B6286" i="2"/>
  <c r="A6286" i="2"/>
  <c r="U6285" i="2"/>
  <c r="B6285" i="2"/>
  <c r="A6285" i="2"/>
  <c r="U6284" i="2"/>
  <c r="B6284" i="2"/>
  <c r="A6284" i="2"/>
  <c r="U6283" i="2"/>
  <c r="B6283" i="2"/>
  <c r="A6283" i="2"/>
  <c r="U6282" i="2"/>
  <c r="B6282" i="2"/>
  <c r="A6282" i="2"/>
  <c r="U6281" i="2"/>
  <c r="B6281" i="2"/>
  <c r="A6281" i="2"/>
  <c r="U6280" i="2"/>
  <c r="B6280" i="2"/>
  <c r="A6280" i="2"/>
  <c r="U6279" i="2"/>
  <c r="B6279" i="2"/>
  <c r="A6279" i="2"/>
  <c r="U6278" i="2"/>
  <c r="B6278" i="2"/>
  <c r="A6278" i="2"/>
  <c r="U6277" i="2"/>
  <c r="B6277" i="2"/>
  <c r="A6277" i="2"/>
  <c r="U6276" i="2"/>
  <c r="B6276" i="2"/>
  <c r="A6276" i="2"/>
  <c r="U6275" i="2"/>
  <c r="B6275" i="2"/>
  <c r="A6275" i="2"/>
  <c r="U6274" i="2"/>
  <c r="B6274" i="2"/>
  <c r="A6274" i="2"/>
  <c r="U6273" i="2"/>
  <c r="B6273" i="2"/>
  <c r="A6273" i="2"/>
  <c r="U6272" i="2"/>
  <c r="B6272" i="2"/>
  <c r="A6272" i="2"/>
  <c r="U6271" i="2"/>
  <c r="B6271" i="2"/>
  <c r="A6271" i="2"/>
  <c r="U6270" i="2"/>
  <c r="B6270" i="2"/>
  <c r="A6270" i="2"/>
  <c r="U6269" i="2"/>
  <c r="B6269" i="2"/>
  <c r="A6269" i="2"/>
  <c r="U6268" i="2"/>
  <c r="B6268" i="2"/>
  <c r="A6268" i="2"/>
  <c r="U6267" i="2"/>
  <c r="B6267" i="2"/>
  <c r="A6267" i="2"/>
  <c r="U6266" i="2"/>
  <c r="B6266" i="2"/>
  <c r="A6266" i="2"/>
  <c r="U6265" i="2"/>
  <c r="B6265" i="2"/>
  <c r="A6265" i="2"/>
  <c r="U6264" i="2"/>
  <c r="B6264" i="2"/>
  <c r="A6264" i="2"/>
  <c r="U6263" i="2"/>
  <c r="B6263" i="2"/>
  <c r="A6263" i="2"/>
  <c r="U6262" i="2"/>
  <c r="B6262" i="2"/>
  <c r="A6262" i="2"/>
  <c r="U6261" i="2"/>
  <c r="B6261" i="2"/>
  <c r="A6261" i="2"/>
  <c r="U6260" i="2"/>
  <c r="B6260" i="2"/>
  <c r="A6260" i="2"/>
  <c r="U6259" i="2"/>
  <c r="B6259" i="2"/>
  <c r="A6259" i="2"/>
  <c r="U6258" i="2"/>
  <c r="B6258" i="2"/>
  <c r="A6258" i="2"/>
  <c r="U6257" i="2"/>
  <c r="B6257" i="2"/>
  <c r="A6257" i="2"/>
  <c r="U6256" i="2"/>
  <c r="B6256" i="2"/>
  <c r="A6256" i="2"/>
  <c r="U6255" i="2"/>
  <c r="B6255" i="2"/>
  <c r="A6255" i="2"/>
  <c r="U6254" i="2"/>
  <c r="B6254" i="2"/>
  <c r="A6254" i="2"/>
  <c r="U6253" i="2"/>
  <c r="B6253" i="2"/>
  <c r="A6253" i="2"/>
  <c r="U6252" i="2"/>
  <c r="B6252" i="2"/>
  <c r="A6252" i="2"/>
  <c r="U6251" i="2"/>
  <c r="B6251" i="2"/>
  <c r="A6251" i="2"/>
  <c r="U6250" i="2"/>
  <c r="B6250" i="2"/>
  <c r="A6250" i="2"/>
  <c r="U6249" i="2"/>
  <c r="B6249" i="2"/>
  <c r="A6249" i="2"/>
  <c r="U6248" i="2"/>
  <c r="B6248" i="2"/>
  <c r="A6248" i="2"/>
  <c r="U6247" i="2"/>
  <c r="B6247" i="2"/>
  <c r="A6247" i="2"/>
  <c r="U6246" i="2"/>
  <c r="B6246" i="2"/>
  <c r="A6246" i="2"/>
  <c r="U6245" i="2"/>
  <c r="B6245" i="2"/>
  <c r="A6245" i="2"/>
  <c r="U6244" i="2"/>
  <c r="B6244" i="2"/>
  <c r="A6244" i="2"/>
  <c r="U6243" i="2"/>
  <c r="B6243" i="2"/>
  <c r="A6243" i="2"/>
  <c r="U6242" i="2"/>
  <c r="B6242" i="2"/>
  <c r="A6242" i="2"/>
  <c r="U6241" i="2"/>
  <c r="B6241" i="2"/>
  <c r="A6241" i="2"/>
  <c r="U6240" i="2"/>
  <c r="B6240" i="2"/>
  <c r="A6240" i="2"/>
  <c r="U6239" i="2"/>
  <c r="B6239" i="2"/>
  <c r="A6239" i="2"/>
  <c r="U6238" i="2"/>
  <c r="B6238" i="2"/>
  <c r="A6238" i="2"/>
  <c r="U6237" i="2"/>
  <c r="B6237" i="2"/>
  <c r="A6237" i="2"/>
  <c r="U6236" i="2"/>
  <c r="B6236" i="2"/>
  <c r="A6236" i="2"/>
  <c r="U6235" i="2"/>
  <c r="B6235" i="2"/>
  <c r="A6235" i="2"/>
  <c r="U6234" i="2"/>
  <c r="B6234" i="2"/>
  <c r="A6234" i="2"/>
  <c r="U6233" i="2"/>
  <c r="B6233" i="2"/>
  <c r="A6233" i="2"/>
  <c r="U6232" i="2"/>
  <c r="B6232" i="2"/>
  <c r="A6232" i="2"/>
  <c r="U6231" i="2"/>
  <c r="B6231" i="2"/>
  <c r="A6231" i="2"/>
  <c r="U6230" i="2"/>
  <c r="B6230" i="2"/>
  <c r="A6230" i="2"/>
  <c r="U6229" i="2"/>
  <c r="B6229" i="2"/>
  <c r="A6229" i="2"/>
  <c r="U6228" i="2"/>
  <c r="B6228" i="2"/>
  <c r="A6228" i="2"/>
  <c r="U6227" i="2"/>
  <c r="B6227" i="2"/>
  <c r="A6227" i="2"/>
  <c r="U6226" i="2"/>
  <c r="B6226" i="2"/>
  <c r="A6226" i="2"/>
  <c r="U6225" i="2"/>
  <c r="B6225" i="2"/>
  <c r="A6225" i="2"/>
  <c r="U6224" i="2"/>
  <c r="B6224" i="2"/>
  <c r="A6224" i="2"/>
  <c r="U6223" i="2"/>
  <c r="B6223" i="2"/>
  <c r="A6223" i="2"/>
  <c r="U6222" i="2"/>
  <c r="B6222" i="2"/>
  <c r="A6222" i="2"/>
  <c r="U6221" i="2"/>
  <c r="B6221" i="2"/>
  <c r="A6221" i="2"/>
  <c r="U6220" i="2"/>
  <c r="B6220" i="2"/>
  <c r="A6220" i="2"/>
  <c r="U6219" i="2"/>
  <c r="B6219" i="2"/>
  <c r="A6219" i="2"/>
  <c r="U6218" i="2"/>
  <c r="B6218" i="2"/>
  <c r="A6218" i="2"/>
  <c r="U6217" i="2"/>
  <c r="B6217" i="2"/>
  <c r="A6217" i="2"/>
  <c r="U6216" i="2"/>
  <c r="B6216" i="2"/>
  <c r="A6216" i="2"/>
  <c r="U6215" i="2"/>
  <c r="B6215" i="2"/>
  <c r="A6215" i="2"/>
  <c r="U6214" i="2"/>
  <c r="B6214" i="2"/>
  <c r="A6214" i="2"/>
  <c r="U6213" i="2"/>
  <c r="B6213" i="2"/>
  <c r="A6213" i="2"/>
  <c r="U6212" i="2"/>
  <c r="B6212" i="2"/>
  <c r="A6212" i="2"/>
  <c r="U6211" i="2"/>
  <c r="B6211" i="2"/>
  <c r="A6211" i="2"/>
  <c r="U6210" i="2"/>
  <c r="B6210" i="2"/>
  <c r="A6210" i="2"/>
  <c r="U6209" i="2"/>
  <c r="B6209" i="2"/>
  <c r="A6209" i="2"/>
  <c r="U6208" i="2"/>
  <c r="B6208" i="2"/>
  <c r="A6208" i="2"/>
  <c r="U6207" i="2"/>
  <c r="B6207" i="2"/>
  <c r="A6207" i="2"/>
  <c r="U6206" i="2"/>
  <c r="B6206" i="2"/>
  <c r="A6206" i="2"/>
  <c r="U6205" i="2"/>
  <c r="B6205" i="2"/>
  <c r="A6205" i="2"/>
  <c r="U6204" i="2"/>
  <c r="B6204" i="2"/>
  <c r="A6204" i="2"/>
  <c r="U6203" i="2"/>
  <c r="B6203" i="2"/>
  <c r="A6203" i="2"/>
  <c r="U6202" i="2"/>
  <c r="B6202" i="2"/>
  <c r="A6202" i="2"/>
  <c r="U6201" i="2"/>
  <c r="B6201" i="2"/>
  <c r="A6201" i="2"/>
  <c r="U6200" i="2"/>
  <c r="B6200" i="2"/>
  <c r="A6200" i="2"/>
  <c r="U6199" i="2"/>
  <c r="B6199" i="2"/>
  <c r="A6199" i="2"/>
  <c r="U6198" i="2"/>
  <c r="B6198" i="2"/>
  <c r="A6198" i="2"/>
  <c r="U6197" i="2"/>
  <c r="B6197" i="2"/>
  <c r="A6197" i="2"/>
  <c r="U6196" i="2"/>
  <c r="B6196" i="2"/>
  <c r="A6196" i="2"/>
  <c r="U6195" i="2"/>
  <c r="B6195" i="2"/>
  <c r="A6195" i="2"/>
  <c r="U6194" i="2"/>
  <c r="B6194" i="2"/>
  <c r="A6194" i="2"/>
  <c r="U6193" i="2"/>
  <c r="B6193" i="2"/>
  <c r="A6193" i="2"/>
  <c r="U6192" i="2"/>
  <c r="B6192" i="2"/>
  <c r="A6192" i="2"/>
  <c r="U6191" i="2"/>
  <c r="B6191" i="2"/>
  <c r="A6191" i="2"/>
  <c r="U6190" i="2"/>
  <c r="B6190" i="2"/>
  <c r="A6190" i="2"/>
  <c r="U6189" i="2"/>
  <c r="B6189" i="2"/>
  <c r="A6189" i="2"/>
  <c r="U6188" i="2"/>
  <c r="B6188" i="2"/>
  <c r="A6188" i="2"/>
  <c r="U6187" i="2"/>
  <c r="B6187" i="2"/>
  <c r="A6187" i="2"/>
  <c r="U6186" i="2"/>
  <c r="B6186" i="2"/>
  <c r="A6186" i="2"/>
  <c r="U6185" i="2"/>
  <c r="B6185" i="2"/>
  <c r="A6185" i="2"/>
  <c r="U6184" i="2"/>
  <c r="B6184" i="2"/>
  <c r="A6184" i="2"/>
  <c r="U6183" i="2"/>
  <c r="B6183" i="2"/>
  <c r="A6183" i="2"/>
  <c r="U6182" i="2"/>
  <c r="B6182" i="2"/>
  <c r="A6182" i="2"/>
  <c r="U6181" i="2"/>
  <c r="B6181" i="2"/>
  <c r="A6181" i="2"/>
  <c r="U6180" i="2"/>
  <c r="B6180" i="2"/>
  <c r="A6180" i="2"/>
  <c r="U6179" i="2"/>
  <c r="B6179" i="2"/>
  <c r="A6179" i="2"/>
  <c r="U6178" i="2"/>
  <c r="B6178" i="2"/>
  <c r="A6178" i="2"/>
  <c r="U6177" i="2"/>
  <c r="B6177" i="2"/>
  <c r="A6177" i="2"/>
  <c r="U6176" i="2"/>
  <c r="B6176" i="2"/>
  <c r="A6176" i="2"/>
  <c r="U6175" i="2"/>
  <c r="B6175" i="2"/>
  <c r="A6175" i="2"/>
  <c r="U6174" i="2"/>
  <c r="B6174" i="2"/>
  <c r="A6174" i="2"/>
  <c r="U6173" i="2"/>
  <c r="B6173" i="2"/>
  <c r="A6173" i="2"/>
  <c r="U6172" i="2"/>
  <c r="B6172" i="2"/>
  <c r="A6172" i="2"/>
  <c r="U6171" i="2"/>
  <c r="B6171" i="2"/>
  <c r="A6171" i="2"/>
  <c r="U6170" i="2"/>
  <c r="B6170" i="2"/>
  <c r="A6170" i="2"/>
  <c r="U6169" i="2"/>
  <c r="B6169" i="2"/>
  <c r="A6169" i="2"/>
  <c r="U6168" i="2"/>
  <c r="B6168" i="2"/>
  <c r="A6168" i="2"/>
  <c r="U6167" i="2"/>
  <c r="B6167" i="2"/>
  <c r="A6167" i="2"/>
  <c r="U6166" i="2"/>
  <c r="B6166" i="2"/>
  <c r="A6166" i="2"/>
  <c r="U6165" i="2"/>
  <c r="B6165" i="2"/>
  <c r="A6165" i="2"/>
  <c r="U6164" i="2"/>
  <c r="B6164" i="2"/>
  <c r="A6164" i="2"/>
  <c r="U6163" i="2"/>
  <c r="B6163" i="2"/>
  <c r="A6163" i="2"/>
  <c r="U6162" i="2"/>
  <c r="B6162" i="2"/>
  <c r="A6162" i="2"/>
  <c r="U6161" i="2"/>
  <c r="B6161" i="2"/>
  <c r="A6161" i="2"/>
  <c r="U6160" i="2"/>
  <c r="B6160" i="2"/>
  <c r="A6160" i="2"/>
  <c r="U6159" i="2"/>
  <c r="B6159" i="2"/>
  <c r="A6159" i="2"/>
  <c r="U6158" i="2"/>
  <c r="B6158" i="2"/>
  <c r="A6158" i="2"/>
  <c r="U6157" i="2"/>
  <c r="B6157" i="2"/>
  <c r="A6157" i="2"/>
  <c r="U6156" i="2"/>
  <c r="B6156" i="2"/>
  <c r="A6156" i="2"/>
  <c r="U6155" i="2"/>
  <c r="B6155" i="2"/>
  <c r="A6155" i="2"/>
  <c r="U6154" i="2"/>
  <c r="B6154" i="2"/>
  <c r="A6154" i="2"/>
  <c r="U6153" i="2"/>
  <c r="B6153" i="2"/>
  <c r="A6153" i="2"/>
  <c r="U6152" i="2"/>
  <c r="B6152" i="2"/>
  <c r="A6152" i="2"/>
  <c r="U6151" i="2"/>
  <c r="B6151" i="2"/>
  <c r="A6151" i="2"/>
  <c r="U6150" i="2"/>
  <c r="B6150" i="2"/>
  <c r="A6150" i="2"/>
  <c r="U6149" i="2"/>
  <c r="B6149" i="2"/>
  <c r="A6149" i="2"/>
  <c r="U6148" i="2"/>
  <c r="B6148" i="2"/>
  <c r="A6148" i="2"/>
  <c r="U6147" i="2"/>
  <c r="B6147" i="2"/>
  <c r="A6147" i="2"/>
  <c r="U6146" i="2"/>
  <c r="B6146" i="2"/>
  <c r="A6146" i="2"/>
  <c r="U6145" i="2"/>
  <c r="B6145" i="2"/>
  <c r="A6145" i="2"/>
  <c r="U6144" i="2"/>
  <c r="B6144" i="2"/>
  <c r="A6144" i="2"/>
  <c r="U6143" i="2"/>
  <c r="B6143" i="2"/>
  <c r="A6143" i="2"/>
  <c r="U6142" i="2"/>
  <c r="B6142" i="2"/>
  <c r="A6142" i="2"/>
  <c r="U6141" i="2"/>
  <c r="B6141" i="2"/>
  <c r="A6141" i="2"/>
  <c r="U6140" i="2"/>
  <c r="B6140" i="2"/>
  <c r="A6140" i="2"/>
  <c r="U6139" i="2"/>
  <c r="B6139" i="2"/>
  <c r="A6139" i="2"/>
  <c r="U6138" i="2"/>
  <c r="B6138" i="2"/>
  <c r="A6138" i="2"/>
  <c r="U6137" i="2"/>
  <c r="B6137" i="2"/>
  <c r="A6137" i="2"/>
  <c r="U6136" i="2"/>
  <c r="B6136" i="2"/>
  <c r="A6136" i="2"/>
  <c r="U6135" i="2"/>
  <c r="B6135" i="2"/>
  <c r="A6135" i="2"/>
  <c r="U6134" i="2"/>
  <c r="B6134" i="2"/>
  <c r="A6134" i="2"/>
  <c r="U6133" i="2"/>
  <c r="B6133" i="2"/>
  <c r="A6133" i="2"/>
  <c r="U6132" i="2"/>
  <c r="B6132" i="2"/>
  <c r="A6132" i="2"/>
  <c r="U6131" i="2"/>
  <c r="B6131" i="2"/>
  <c r="A6131" i="2"/>
  <c r="U6130" i="2"/>
  <c r="B6130" i="2"/>
  <c r="A6130" i="2"/>
  <c r="U6129" i="2"/>
  <c r="B6129" i="2"/>
  <c r="A6129" i="2"/>
  <c r="U6128" i="2"/>
  <c r="B6128" i="2"/>
  <c r="A6128" i="2"/>
  <c r="U6127" i="2"/>
  <c r="B6127" i="2"/>
  <c r="A6127" i="2"/>
  <c r="U6126" i="2"/>
  <c r="B6126" i="2"/>
  <c r="A6126" i="2"/>
  <c r="U6125" i="2"/>
  <c r="B6125" i="2"/>
  <c r="A6125" i="2"/>
  <c r="U6124" i="2"/>
  <c r="B6124" i="2"/>
  <c r="A6124" i="2"/>
  <c r="U6123" i="2"/>
  <c r="B6123" i="2"/>
  <c r="A6123" i="2"/>
  <c r="U6122" i="2"/>
  <c r="B6122" i="2"/>
  <c r="A6122" i="2"/>
  <c r="U6121" i="2"/>
  <c r="B6121" i="2"/>
  <c r="A6121" i="2"/>
  <c r="U6120" i="2"/>
  <c r="B6120" i="2"/>
  <c r="A6120" i="2"/>
  <c r="U6119" i="2"/>
  <c r="B6119" i="2"/>
  <c r="A6119" i="2"/>
  <c r="U6118" i="2"/>
  <c r="B6118" i="2"/>
  <c r="A6118" i="2"/>
  <c r="U6117" i="2"/>
  <c r="B6117" i="2"/>
  <c r="A6117" i="2"/>
  <c r="U6116" i="2"/>
  <c r="B6116" i="2"/>
  <c r="A6116" i="2"/>
  <c r="U6115" i="2"/>
  <c r="B6115" i="2"/>
  <c r="A6115" i="2"/>
  <c r="U6114" i="2"/>
  <c r="B6114" i="2"/>
  <c r="A6114" i="2"/>
  <c r="U6113" i="2"/>
  <c r="B6113" i="2"/>
  <c r="A6113" i="2"/>
  <c r="U6112" i="2"/>
  <c r="B6112" i="2"/>
  <c r="A6112" i="2"/>
  <c r="U6111" i="2"/>
  <c r="B6111" i="2"/>
  <c r="A6111" i="2"/>
  <c r="U6110" i="2"/>
  <c r="B6110" i="2"/>
  <c r="A6110" i="2"/>
  <c r="U6109" i="2"/>
  <c r="B6109" i="2"/>
  <c r="A6109" i="2"/>
  <c r="U6108" i="2"/>
  <c r="B6108" i="2"/>
  <c r="A6108" i="2"/>
  <c r="U6107" i="2"/>
  <c r="B6107" i="2"/>
  <c r="A6107" i="2"/>
  <c r="U6106" i="2"/>
  <c r="B6106" i="2"/>
  <c r="A6106" i="2"/>
  <c r="U6105" i="2"/>
  <c r="B6105" i="2"/>
  <c r="A6105" i="2"/>
  <c r="U6104" i="2"/>
  <c r="B6104" i="2"/>
  <c r="A6104" i="2"/>
  <c r="U6103" i="2"/>
  <c r="B6103" i="2"/>
  <c r="A6103" i="2"/>
  <c r="U6102" i="2"/>
  <c r="B6102" i="2"/>
  <c r="A6102" i="2"/>
  <c r="U6101" i="2"/>
  <c r="B6101" i="2"/>
  <c r="A6101" i="2"/>
  <c r="U6100" i="2"/>
  <c r="B6100" i="2"/>
  <c r="A6100" i="2"/>
  <c r="U6099" i="2"/>
  <c r="B6099" i="2"/>
  <c r="A6099" i="2"/>
  <c r="U6098" i="2"/>
  <c r="B6098" i="2"/>
  <c r="A6098" i="2"/>
  <c r="U6097" i="2"/>
  <c r="B6097" i="2"/>
  <c r="A6097" i="2"/>
  <c r="U6096" i="2"/>
  <c r="B6096" i="2"/>
  <c r="A6096" i="2"/>
  <c r="U6095" i="2"/>
  <c r="B6095" i="2"/>
  <c r="A6095" i="2"/>
  <c r="U6094" i="2"/>
  <c r="B6094" i="2"/>
  <c r="A6094" i="2"/>
  <c r="U6093" i="2"/>
  <c r="B6093" i="2"/>
  <c r="A6093" i="2"/>
  <c r="U6092" i="2"/>
  <c r="B6092" i="2"/>
  <c r="A6092" i="2"/>
  <c r="U6091" i="2"/>
  <c r="B6091" i="2"/>
  <c r="A6091" i="2"/>
  <c r="U6090" i="2"/>
  <c r="B6090" i="2"/>
  <c r="A6090" i="2"/>
  <c r="U6089" i="2"/>
  <c r="B6089" i="2"/>
  <c r="A6089" i="2"/>
  <c r="U6088" i="2"/>
  <c r="B6088" i="2"/>
  <c r="A6088" i="2"/>
  <c r="U6087" i="2"/>
  <c r="B6087" i="2"/>
  <c r="A6087" i="2"/>
  <c r="U6086" i="2"/>
  <c r="B6086" i="2"/>
  <c r="A6086" i="2"/>
  <c r="U6085" i="2"/>
  <c r="B6085" i="2"/>
  <c r="A6085" i="2"/>
  <c r="U6084" i="2"/>
  <c r="B6084" i="2"/>
  <c r="A6084" i="2"/>
  <c r="U6083" i="2"/>
  <c r="B6083" i="2"/>
  <c r="A6083" i="2"/>
  <c r="U6082" i="2"/>
  <c r="B6082" i="2"/>
  <c r="A6082" i="2"/>
  <c r="U6081" i="2"/>
  <c r="B6081" i="2"/>
  <c r="A6081" i="2"/>
  <c r="U6080" i="2"/>
  <c r="B6080" i="2"/>
  <c r="A6080" i="2"/>
  <c r="U6079" i="2"/>
  <c r="B6079" i="2"/>
  <c r="A6079" i="2"/>
  <c r="U6078" i="2"/>
  <c r="B6078" i="2"/>
  <c r="A6078" i="2"/>
  <c r="U6077" i="2"/>
  <c r="B6077" i="2"/>
  <c r="A6077" i="2"/>
  <c r="U6076" i="2"/>
  <c r="B6076" i="2"/>
  <c r="A6076" i="2"/>
  <c r="U6075" i="2"/>
  <c r="B6075" i="2"/>
  <c r="A6075" i="2"/>
  <c r="U6074" i="2"/>
  <c r="B6074" i="2"/>
  <c r="A6074" i="2"/>
  <c r="U6073" i="2"/>
  <c r="B6073" i="2"/>
  <c r="A6073" i="2"/>
  <c r="U6072" i="2"/>
  <c r="B6072" i="2"/>
  <c r="A6072" i="2"/>
  <c r="U6071" i="2"/>
  <c r="B6071" i="2"/>
  <c r="A6071" i="2"/>
  <c r="U6070" i="2"/>
  <c r="B6070" i="2"/>
  <c r="A6070" i="2"/>
  <c r="U6069" i="2"/>
  <c r="B6069" i="2"/>
  <c r="A6069" i="2"/>
  <c r="U6068" i="2"/>
  <c r="B6068" i="2"/>
  <c r="A6068" i="2"/>
  <c r="U6067" i="2"/>
  <c r="B6067" i="2"/>
  <c r="A6067" i="2"/>
  <c r="U6066" i="2"/>
  <c r="B6066" i="2"/>
  <c r="A6066" i="2"/>
  <c r="U6065" i="2"/>
  <c r="B6065" i="2"/>
  <c r="A6065" i="2"/>
  <c r="U6064" i="2"/>
  <c r="B6064" i="2"/>
  <c r="A6064" i="2"/>
  <c r="U6063" i="2"/>
  <c r="B6063" i="2"/>
  <c r="A6063" i="2"/>
  <c r="U6062" i="2"/>
  <c r="B6062" i="2"/>
  <c r="A6062" i="2"/>
  <c r="U6061" i="2"/>
  <c r="B6061" i="2"/>
  <c r="A6061" i="2"/>
  <c r="U6060" i="2"/>
  <c r="B6060" i="2"/>
  <c r="A6060" i="2"/>
  <c r="U6059" i="2"/>
  <c r="B6059" i="2"/>
  <c r="A6059" i="2"/>
  <c r="U6058" i="2"/>
  <c r="B6058" i="2"/>
  <c r="A6058" i="2"/>
  <c r="U6057" i="2"/>
  <c r="B6057" i="2"/>
  <c r="A6057" i="2"/>
  <c r="U6056" i="2"/>
  <c r="B6056" i="2"/>
  <c r="A6056" i="2"/>
  <c r="U6055" i="2"/>
  <c r="B6055" i="2"/>
  <c r="A6055" i="2"/>
  <c r="U6054" i="2"/>
  <c r="B6054" i="2"/>
  <c r="A6054" i="2"/>
  <c r="U6053" i="2"/>
  <c r="B6053" i="2"/>
  <c r="A6053" i="2"/>
  <c r="U6052" i="2"/>
  <c r="B6052" i="2"/>
  <c r="A6052" i="2"/>
  <c r="U6051" i="2"/>
  <c r="B6051" i="2"/>
  <c r="A6051" i="2"/>
  <c r="U6050" i="2"/>
  <c r="B6050" i="2"/>
  <c r="A6050" i="2"/>
  <c r="U6049" i="2"/>
  <c r="B6049" i="2"/>
  <c r="A6049" i="2"/>
  <c r="U6048" i="2"/>
  <c r="B6048" i="2"/>
  <c r="A6048" i="2"/>
  <c r="U6047" i="2"/>
  <c r="B6047" i="2"/>
  <c r="A6047" i="2"/>
  <c r="U6046" i="2"/>
  <c r="B6046" i="2"/>
  <c r="A6046" i="2"/>
  <c r="U6045" i="2"/>
  <c r="B6045" i="2"/>
  <c r="A6045" i="2"/>
  <c r="U6044" i="2"/>
  <c r="B6044" i="2"/>
  <c r="A6044" i="2"/>
  <c r="U6043" i="2"/>
  <c r="B6043" i="2"/>
  <c r="A6043" i="2"/>
  <c r="U6042" i="2"/>
  <c r="B6042" i="2"/>
  <c r="A6042" i="2"/>
  <c r="U6041" i="2"/>
  <c r="B6041" i="2"/>
  <c r="A6041" i="2"/>
  <c r="U6040" i="2"/>
  <c r="B6040" i="2"/>
  <c r="A6040" i="2"/>
  <c r="U6039" i="2"/>
  <c r="B6039" i="2"/>
  <c r="A6039" i="2"/>
  <c r="U6038" i="2"/>
  <c r="B6038" i="2"/>
  <c r="A6038" i="2"/>
  <c r="U6037" i="2"/>
  <c r="B6037" i="2"/>
  <c r="A6037" i="2"/>
  <c r="U6036" i="2"/>
  <c r="B6036" i="2"/>
  <c r="A6036" i="2"/>
  <c r="U6035" i="2"/>
  <c r="B6035" i="2"/>
  <c r="A6035" i="2"/>
  <c r="U6034" i="2"/>
  <c r="B6034" i="2"/>
  <c r="A6034" i="2"/>
  <c r="U6033" i="2"/>
  <c r="B6033" i="2"/>
  <c r="A6033" i="2"/>
  <c r="U6032" i="2"/>
  <c r="B6032" i="2"/>
  <c r="A6032" i="2"/>
  <c r="U6031" i="2"/>
  <c r="B6031" i="2"/>
  <c r="A6031" i="2"/>
  <c r="U6030" i="2"/>
  <c r="B6030" i="2"/>
  <c r="A6030" i="2"/>
  <c r="U6029" i="2"/>
  <c r="B6029" i="2"/>
  <c r="A6029" i="2"/>
  <c r="U6028" i="2"/>
  <c r="B6028" i="2"/>
  <c r="A6028" i="2"/>
  <c r="U6027" i="2"/>
  <c r="B6027" i="2"/>
  <c r="A6027" i="2"/>
  <c r="U6026" i="2"/>
  <c r="B6026" i="2"/>
  <c r="A6026" i="2"/>
  <c r="U6025" i="2"/>
  <c r="B6025" i="2"/>
  <c r="A6025" i="2"/>
  <c r="U6024" i="2"/>
  <c r="B6024" i="2"/>
  <c r="A6024" i="2"/>
  <c r="U6023" i="2"/>
  <c r="B6023" i="2"/>
  <c r="A6023" i="2"/>
  <c r="U6022" i="2"/>
  <c r="B6022" i="2"/>
  <c r="A6022" i="2"/>
  <c r="U6021" i="2"/>
  <c r="B6021" i="2"/>
  <c r="A6021" i="2"/>
  <c r="U6020" i="2"/>
  <c r="B6020" i="2"/>
  <c r="A6020" i="2"/>
  <c r="U6019" i="2"/>
  <c r="B6019" i="2"/>
  <c r="A6019" i="2"/>
  <c r="U6018" i="2"/>
  <c r="B6018" i="2"/>
  <c r="A6018" i="2"/>
  <c r="U6017" i="2"/>
  <c r="B6017" i="2"/>
  <c r="A6017" i="2"/>
  <c r="U6016" i="2"/>
  <c r="B6016" i="2"/>
  <c r="A6016" i="2"/>
  <c r="U6015" i="2"/>
  <c r="B6015" i="2"/>
  <c r="A6015" i="2"/>
  <c r="U6014" i="2"/>
  <c r="B6014" i="2"/>
  <c r="A6014" i="2"/>
  <c r="U6013" i="2"/>
  <c r="B6013" i="2"/>
  <c r="A6013" i="2"/>
  <c r="U6012" i="2"/>
  <c r="B6012" i="2"/>
  <c r="A6012" i="2"/>
  <c r="U6011" i="2"/>
  <c r="B6011" i="2"/>
  <c r="A6011" i="2"/>
  <c r="U6010" i="2"/>
  <c r="B6010" i="2"/>
  <c r="A6010" i="2"/>
  <c r="U6009" i="2"/>
  <c r="B6009" i="2"/>
  <c r="A6009" i="2"/>
  <c r="U6008" i="2"/>
  <c r="B6008" i="2"/>
  <c r="A6008" i="2"/>
  <c r="U6007" i="2"/>
  <c r="B6007" i="2"/>
  <c r="A6007" i="2"/>
  <c r="U6006" i="2"/>
  <c r="B6006" i="2"/>
  <c r="A6006" i="2"/>
  <c r="U6005" i="2"/>
  <c r="B6005" i="2"/>
  <c r="A6005" i="2"/>
  <c r="U6004" i="2"/>
  <c r="B6004" i="2"/>
  <c r="A6004" i="2"/>
  <c r="U6003" i="2"/>
  <c r="B6003" i="2"/>
  <c r="A6003" i="2"/>
  <c r="U6002" i="2"/>
  <c r="B6002" i="2"/>
  <c r="A6002" i="2"/>
  <c r="U6001" i="2"/>
  <c r="B6001" i="2"/>
  <c r="A6001" i="2"/>
  <c r="U6000" i="2"/>
  <c r="B6000" i="2"/>
  <c r="A6000" i="2"/>
  <c r="U5999" i="2"/>
  <c r="B5999" i="2"/>
  <c r="A5999" i="2"/>
  <c r="U5998" i="2"/>
  <c r="B5998" i="2"/>
  <c r="A5998" i="2"/>
  <c r="U5997" i="2"/>
  <c r="B5997" i="2"/>
  <c r="A5997" i="2"/>
  <c r="U5996" i="2"/>
  <c r="B5996" i="2"/>
  <c r="A5996" i="2"/>
  <c r="U5995" i="2"/>
  <c r="B5995" i="2"/>
  <c r="A5995" i="2"/>
  <c r="U5994" i="2"/>
  <c r="B5994" i="2"/>
  <c r="A5994" i="2"/>
  <c r="U5993" i="2"/>
  <c r="B5993" i="2"/>
  <c r="A5993" i="2"/>
  <c r="U5992" i="2"/>
  <c r="B5992" i="2"/>
  <c r="A5992" i="2"/>
  <c r="U5991" i="2"/>
  <c r="B5991" i="2"/>
  <c r="A5991" i="2"/>
  <c r="U5990" i="2"/>
  <c r="B5990" i="2"/>
  <c r="A5990" i="2"/>
  <c r="U5989" i="2"/>
  <c r="B5989" i="2"/>
  <c r="A5989" i="2"/>
  <c r="U5988" i="2"/>
  <c r="B5988" i="2"/>
  <c r="A5988" i="2"/>
  <c r="U5987" i="2"/>
  <c r="B5987" i="2"/>
  <c r="A5987" i="2"/>
  <c r="U5986" i="2"/>
  <c r="B5986" i="2"/>
  <c r="A5986" i="2"/>
  <c r="U5985" i="2"/>
  <c r="B5985" i="2"/>
  <c r="A5985" i="2"/>
  <c r="U5984" i="2"/>
  <c r="B5984" i="2"/>
  <c r="A5984" i="2"/>
  <c r="U5983" i="2"/>
  <c r="B5983" i="2"/>
  <c r="A5983" i="2"/>
  <c r="U5982" i="2"/>
  <c r="B5982" i="2"/>
  <c r="A5982" i="2"/>
  <c r="U5981" i="2"/>
  <c r="B5981" i="2"/>
  <c r="A5981" i="2"/>
  <c r="U5980" i="2"/>
  <c r="B5980" i="2"/>
  <c r="A5980" i="2"/>
  <c r="U5979" i="2"/>
  <c r="B5979" i="2"/>
  <c r="A5979" i="2"/>
  <c r="U5978" i="2"/>
  <c r="B5978" i="2"/>
  <c r="A5978" i="2"/>
  <c r="U5977" i="2"/>
  <c r="B5977" i="2"/>
  <c r="A5977" i="2"/>
  <c r="U5976" i="2"/>
  <c r="B5976" i="2"/>
  <c r="A5976" i="2"/>
  <c r="U5975" i="2"/>
  <c r="B5975" i="2"/>
  <c r="A5975" i="2"/>
  <c r="U5974" i="2"/>
  <c r="B5974" i="2"/>
  <c r="A5974" i="2"/>
  <c r="U5973" i="2"/>
  <c r="B5973" i="2"/>
  <c r="A5973" i="2"/>
  <c r="U5972" i="2"/>
  <c r="B5972" i="2"/>
  <c r="A5972" i="2"/>
  <c r="U5971" i="2"/>
  <c r="B5971" i="2"/>
  <c r="A5971" i="2"/>
  <c r="U5970" i="2"/>
  <c r="B5970" i="2"/>
  <c r="A5970" i="2"/>
  <c r="U5969" i="2"/>
  <c r="B5969" i="2"/>
  <c r="A5969" i="2"/>
  <c r="U5968" i="2"/>
  <c r="B5968" i="2"/>
  <c r="A5968" i="2"/>
  <c r="U5967" i="2"/>
  <c r="B5967" i="2"/>
  <c r="A5967" i="2"/>
  <c r="U5966" i="2"/>
  <c r="B5966" i="2"/>
  <c r="A5966" i="2"/>
  <c r="U5965" i="2"/>
  <c r="B5965" i="2"/>
  <c r="A5965" i="2"/>
  <c r="U5964" i="2"/>
  <c r="B5964" i="2"/>
  <c r="A5964" i="2"/>
  <c r="U5963" i="2"/>
  <c r="B5963" i="2"/>
  <c r="A5963" i="2"/>
  <c r="U5962" i="2"/>
  <c r="B5962" i="2"/>
  <c r="A5962" i="2"/>
  <c r="U5961" i="2"/>
  <c r="B5961" i="2"/>
  <c r="A5961" i="2"/>
  <c r="U5960" i="2"/>
  <c r="B5960" i="2"/>
  <c r="A5960" i="2"/>
  <c r="U5959" i="2"/>
  <c r="B5959" i="2"/>
  <c r="A5959" i="2"/>
  <c r="U5958" i="2"/>
  <c r="B5958" i="2"/>
  <c r="A5958" i="2"/>
  <c r="U5957" i="2"/>
  <c r="B5957" i="2"/>
  <c r="A5957" i="2"/>
  <c r="U5956" i="2"/>
  <c r="B5956" i="2"/>
  <c r="A5956" i="2"/>
  <c r="U5955" i="2"/>
  <c r="B5955" i="2"/>
  <c r="A5955" i="2"/>
  <c r="U5954" i="2"/>
  <c r="B5954" i="2"/>
  <c r="A5954" i="2"/>
  <c r="U5953" i="2"/>
  <c r="B5953" i="2"/>
  <c r="A5953" i="2"/>
  <c r="U5952" i="2"/>
  <c r="B5952" i="2"/>
  <c r="A5952" i="2"/>
  <c r="U5951" i="2"/>
  <c r="B5951" i="2"/>
  <c r="A5951" i="2"/>
  <c r="U5950" i="2"/>
  <c r="B5950" i="2"/>
  <c r="A5950" i="2"/>
  <c r="U5949" i="2"/>
  <c r="B5949" i="2"/>
  <c r="A5949" i="2"/>
  <c r="U5948" i="2"/>
  <c r="B5948" i="2"/>
  <c r="A5948" i="2"/>
  <c r="U5947" i="2"/>
  <c r="B5947" i="2"/>
  <c r="A5947" i="2"/>
  <c r="U5946" i="2"/>
  <c r="B5946" i="2"/>
  <c r="A5946" i="2"/>
  <c r="U5945" i="2"/>
  <c r="B5945" i="2"/>
  <c r="A5945" i="2"/>
  <c r="U5944" i="2"/>
  <c r="B5944" i="2"/>
  <c r="A5944" i="2"/>
  <c r="U5943" i="2"/>
  <c r="B5943" i="2"/>
  <c r="A5943" i="2"/>
  <c r="U5942" i="2"/>
  <c r="B5942" i="2"/>
  <c r="A5942" i="2"/>
  <c r="U5941" i="2"/>
  <c r="B5941" i="2"/>
  <c r="A5941" i="2"/>
  <c r="U5940" i="2"/>
  <c r="B5940" i="2"/>
  <c r="A5940" i="2"/>
  <c r="U5939" i="2"/>
  <c r="B5939" i="2"/>
  <c r="A5939" i="2"/>
  <c r="U5938" i="2"/>
  <c r="B5938" i="2"/>
  <c r="A5938" i="2"/>
  <c r="U5937" i="2"/>
  <c r="B5937" i="2"/>
  <c r="A5937" i="2"/>
  <c r="U5936" i="2"/>
  <c r="B5936" i="2"/>
  <c r="A5936" i="2"/>
  <c r="U5935" i="2"/>
  <c r="B5935" i="2"/>
  <c r="A5935" i="2"/>
  <c r="U5934" i="2"/>
  <c r="B5934" i="2"/>
  <c r="A5934" i="2"/>
  <c r="U5933" i="2"/>
  <c r="B5933" i="2"/>
  <c r="A5933" i="2"/>
  <c r="U5932" i="2"/>
  <c r="B5932" i="2"/>
  <c r="A5932" i="2"/>
  <c r="U5931" i="2"/>
  <c r="B5931" i="2"/>
  <c r="A5931" i="2"/>
  <c r="U5930" i="2"/>
  <c r="B5930" i="2"/>
  <c r="A5930" i="2"/>
  <c r="U5929" i="2"/>
  <c r="B5929" i="2"/>
  <c r="A5929" i="2"/>
  <c r="U5928" i="2"/>
  <c r="B5928" i="2"/>
  <c r="A5928" i="2"/>
  <c r="U5927" i="2"/>
  <c r="B5927" i="2"/>
  <c r="A5927" i="2"/>
  <c r="U5926" i="2"/>
  <c r="B5926" i="2"/>
  <c r="A5926" i="2"/>
  <c r="U5925" i="2"/>
  <c r="B5925" i="2"/>
  <c r="A5925" i="2"/>
  <c r="U5924" i="2"/>
  <c r="B5924" i="2"/>
  <c r="A5924" i="2"/>
  <c r="U5923" i="2"/>
  <c r="B5923" i="2"/>
  <c r="A5923" i="2"/>
  <c r="U5922" i="2"/>
  <c r="B5922" i="2"/>
  <c r="A5922" i="2"/>
  <c r="U5921" i="2"/>
  <c r="B5921" i="2"/>
  <c r="A5921" i="2"/>
  <c r="U5920" i="2"/>
  <c r="B5920" i="2"/>
  <c r="A5920" i="2"/>
  <c r="U5919" i="2"/>
  <c r="B5919" i="2"/>
  <c r="A5919" i="2"/>
  <c r="U5918" i="2"/>
  <c r="B5918" i="2"/>
  <c r="A5918" i="2"/>
  <c r="U5917" i="2"/>
  <c r="B5917" i="2"/>
  <c r="A5917" i="2"/>
  <c r="U5916" i="2"/>
  <c r="B5916" i="2"/>
  <c r="A5916" i="2"/>
  <c r="U5915" i="2"/>
  <c r="B5915" i="2"/>
  <c r="A5915" i="2"/>
  <c r="U5914" i="2"/>
  <c r="B5914" i="2"/>
  <c r="A5914" i="2"/>
  <c r="U5913" i="2"/>
  <c r="B5913" i="2"/>
  <c r="A5913" i="2"/>
  <c r="U5912" i="2"/>
  <c r="B5912" i="2"/>
  <c r="A5912" i="2"/>
  <c r="U5911" i="2"/>
  <c r="B5911" i="2"/>
  <c r="A5911" i="2"/>
  <c r="U5910" i="2"/>
  <c r="B5910" i="2"/>
  <c r="A5910" i="2"/>
  <c r="U5909" i="2"/>
  <c r="B5909" i="2"/>
  <c r="A5909" i="2"/>
  <c r="U5908" i="2"/>
  <c r="B5908" i="2"/>
  <c r="A5908" i="2"/>
  <c r="U5907" i="2"/>
  <c r="B5907" i="2"/>
  <c r="A5907" i="2"/>
  <c r="U5906" i="2"/>
  <c r="B5906" i="2"/>
  <c r="A5906" i="2"/>
  <c r="U5905" i="2"/>
  <c r="B5905" i="2"/>
  <c r="A5905" i="2"/>
  <c r="U5904" i="2"/>
  <c r="B5904" i="2"/>
  <c r="A5904" i="2"/>
  <c r="U5903" i="2"/>
  <c r="B5903" i="2"/>
  <c r="A5903" i="2"/>
  <c r="U5902" i="2"/>
  <c r="B5902" i="2"/>
  <c r="A5902" i="2"/>
  <c r="U5901" i="2"/>
  <c r="B5901" i="2"/>
  <c r="A5901" i="2"/>
  <c r="U5900" i="2"/>
  <c r="B5900" i="2"/>
  <c r="A5900" i="2"/>
  <c r="U5899" i="2"/>
  <c r="B5899" i="2"/>
  <c r="A5899" i="2"/>
  <c r="U5898" i="2"/>
  <c r="B5898" i="2"/>
  <c r="A5898" i="2"/>
  <c r="U5897" i="2"/>
  <c r="B5897" i="2"/>
  <c r="A5897" i="2"/>
  <c r="U5896" i="2"/>
  <c r="B5896" i="2"/>
  <c r="A5896" i="2"/>
  <c r="U5895" i="2"/>
  <c r="B5895" i="2"/>
  <c r="A5895" i="2"/>
  <c r="U5894" i="2"/>
  <c r="B5894" i="2"/>
  <c r="A5894" i="2"/>
  <c r="U5893" i="2"/>
  <c r="B5893" i="2"/>
  <c r="A5893" i="2"/>
  <c r="U5892" i="2"/>
  <c r="B5892" i="2"/>
  <c r="A5892" i="2"/>
  <c r="U5891" i="2"/>
  <c r="B5891" i="2"/>
  <c r="A5891" i="2"/>
  <c r="U5890" i="2"/>
  <c r="B5890" i="2"/>
  <c r="A5890" i="2"/>
  <c r="U5889" i="2"/>
  <c r="B5889" i="2"/>
  <c r="A5889" i="2"/>
  <c r="U5888" i="2"/>
  <c r="B5888" i="2"/>
  <c r="A5888" i="2"/>
  <c r="U5887" i="2"/>
  <c r="B5887" i="2"/>
  <c r="A5887" i="2"/>
  <c r="U5886" i="2"/>
  <c r="B5886" i="2"/>
  <c r="A5886" i="2"/>
  <c r="U5885" i="2"/>
  <c r="B5885" i="2"/>
  <c r="A5885" i="2"/>
  <c r="U5884" i="2"/>
  <c r="B5884" i="2"/>
  <c r="A5884" i="2"/>
  <c r="U5883" i="2"/>
  <c r="B5883" i="2"/>
  <c r="A5883" i="2"/>
  <c r="U5882" i="2"/>
  <c r="B5882" i="2"/>
  <c r="A5882" i="2"/>
  <c r="U5881" i="2"/>
  <c r="B5881" i="2"/>
  <c r="A5881" i="2"/>
  <c r="U5880" i="2"/>
  <c r="B5880" i="2"/>
  <c r="A5880" i="2"/>
  <c r="U5879" i="2"/>
  <c r="B5879" i="2"/>
  <c r="A5879" i="2"/>
  <c r="U5878" i="2"/>
  <c r="B5878" i="2"/>
  <c r="A5878" i="2"/>
  <c r="U5877" i="2"/>
  <c r="B5877" i="2"/>
  <c r="A5877" i="2"/>
  <c r="U5876" i="2"/>
  <c r="B5876" i="2"/>
  <c r="A5876" i="2"/>
  <c r="U5875" i="2"/>
  <c r="B5875" i="2"/>
  <c r="A5875" i="2"/>
  <c r="U5874" i="2"/>
  <c r="B5874" i="2"/>
  <c r="A5874" i="2"/>
  <c r="U5873" i="2"/>
  <c r="B5873" i="2"/>
  <c r="A5873" i="2"/>
  <c r="U5872" i="2"/>
  <c r="B5872" i="2"/>
  <c r="A5872" i="2"/>
  <c r="U5871" i="2"/>
  <c r="B5871" i="2"/>
  <c r="A5871" i="2"/>
  <c r="U5870" i="2"/>
  <c r="B5870" i="2"/>
  <c r="A5870" i="2"/>
  <c r="U5869" i="2"/>
  <c r="B5869" i="2"/>
  <c r="A5869" i="2"/>
  <c r="U5868" i="2"/>
  <c r="B5868" i="2"/>
  <c r="A5868" i="2"/>
  <c r="U5867" i="2"/>
  <c r="B5867" i="2"/>
  <c r="A5867" i="2"/>
  <c r="U5866" i="2"/>
  <c r="B5866" i="2"/>
  <c r="A5866" i="2"/>
  <c r="U5865" i="2"/>
  <c r="B5865" i="2"/>
  <c r="A5865" i="2"/>
  <c r="U5864" i="2"/>
  <c r="B5864" i="2"/>
  <c r="A5864" i="2"/>
  <c r="U5863" i="2"/>
  <c r="B5863" i="2"/>
  <c r="A5863" i="2"/>
  <c r="U5862" i="2"/>
  <c r="B5862" i="2"/>
  <c r="A5862" i="2"/>
  <c r="U5861" i="2"/>
  <c r="B5861" i="2"/>
  <c r="A5861" i="2"/>
  <c r="U5860" i="2"/>
  <c r="B5860" i="2"/>
  <c r="A5860" i="2"/>
  <c r="U5859" i="2"/>
  <c r="B5859" i="2"/>
  <c r="A5859" i="2"/>
  <c r="U5858" i="2"/>
  <c r="B5858" i="2"/>
  <c r="A5858" i="2"/>
  <c r="U5857" i="2"/>
  <c r="B5857" i="2"/>
  <c r="A5857" i="2"/>
  <c r="U5856" i="2"/>
  <c r="B5856" i="2"/>
  <c r="A5856" i="2"/>
  <c r="U5855" i="2"/>
  <c r="B5855" i="2"/>
  <c r="A5855" i="2"/>
  <c r="U5854" i="2"/>
  <c r="B5854" i="2"/>
  <c r="A5854" i="2"/>
  <c r="U5853" i="2"/>
  <c r="B5853" i="2"/>
  <c r="A5853" i="2"/>
  <c r="U5852" i="2"/>
  <c r="B5852" i="2"/>
  <c r="A5852" i="2"/>
  <c r="U5851" i="2"/>
  <c r="B5851" i="2"/>
  <c r="A5851" i="2"/>
  <c r="U5850" i="2"/>
  <c r="B5850" i="2"/>
  <c r="A5850" i="2"/>
  <c r="U5849" i="2"/>
  <c r="B5849" i="2"/>
  <c r="A5849" i="2"/>
  <c r="U5848" i="2"/>
  <c r="B5848" i="2"/>
  <c r="A5848" i="2"/>
  <c r="U5847" i="2"/>
  <c r="B5847" i="2"/>
  <c r="A5847" i="2"/>
  <c r="U5846" i="2"/>
  <c r="B5846" i="2"/>
  <c r="A5846" i="2"/>
  <c r="U5845" i="2"/>
  <c r="B5845" i="2"/>
  <c r="A5845" i="2"/>
  <c r="U5844" i="2"/>
  <c r="B5844" i="2"/>
  <c r="A5844" i="2"/>
  <c r="U5843" i="2"/>
  <c r="B5843" i="2"/>
  <c r="A5843" i="2"/>
  <c r="U5842" i="2"/>
  <c r="B5842" i="2"/>
  <c r="A5842" i="2"/>
  <c r="U5841" i="2"/>
  <c r="B5841" i="2"/>
  <c r="A5841" i="2"/>
  <c r="U5840" i="2"/>
  <c r="B5840" i="2"/>
  <c r="A5840" i="2"/>
  <c r="U5839" i="2"/>
  <c r="B5839" i="2"/>
  <c r="A5839" i="2"/>
  <c r="U5838" i="2"/>
  <c r="B5838" i="2"/>
  <c r="A5838" i="2"/>
  <c r="U5837" i="2"/>
  <c r="B5837" i="2"/>
  <c r="A5837" i="2"/>
  <c r="U5836" i="2"/>
  <c r="B5836" i="2"/>
  <c r="A5836" i="2"/>
  <c r="U5835" i="2"/>
  <c r="B5835" i="2"/>
  <c r="A5835" i="2"/>
  <c r="U5834" i="2"/>
  <c r="B5834" i="2"/>
  <c r="A5834" i="2"/>
  <c r="U5833" i="2"/>
  <c r="B5833" i="2"/>
  <c r="A5833" i="2"/>
  <c r="U5832" i="2"/>
  <c r="B5832" i="2"/>
  <c r="A5832" i="2"/>
  <c r="U5831" i="2"/>
  <c r="B5831" i="2"/>
  <c r="A5831" i="2"/>
  <c r="U5830" i="2"/>
  <c r="B5830" i="2"/>
  <c r="A5830" i="2"/>
  <c r="U5829" i="2"/>
  <c r="B5829" i="2"/>
  <c r="A5829" i="2"/>
  <c r="U5828" i="2"/>
  <c r="B5828" i="2"/>
  <c r="A5828" i="2"/>
  <c r="U5827" i="2"/>
  <c r="B5827" i="2"/>
  <c r="A5827" i="2"/>
  <c r="U5826" i="2"/>
  <c r="B5826" i="2"/>
  <c r="A5826" i="2"/>
  <c r="U5825" i="2"/>
  <c r="B5825" i="2"/>
  <c r="A5825" i="2"/>
  <c r="U5824" i="2"/>
  <c r="B5824" i="2"/>
  <c r="A5824" i="2"/>
  <c r="U5823" i="2"/>
  <c r="B5823" i="2"/>
  <c r="A5823" i="2"/>
  <c r="U5822" i="2"/>
  <c r="B5822" i="2"/>
  <c r="A5822" i="2"/>
  <c r="U5821" i="2"/>
  <c r="B5821" i="2"/>
  <c r="A5821" i="2"/>
  <c r="U5820" i="2"/>
  <c r="B5820" i="2"/>
  <c r="A5820" i="2"/>
  <c r="U5819" i="2"/>
  <c r="B5819" i="2"/>
  <c r="A5819" i="2"/>
  <c r="U5818" i="2"/>
  <c r="B5818" i="2"/>
  <c r="A5818" i="2"/>
  <c r="U5817" i="2"/>
  <c r="B5817" i="2"/>
  <c r="A5817" i="2"/>
  <c r="U5816" i="2"/>
  <c r="B5816" i="2"/>
  <c r="A5816" i="2"/>
  <c r="U5815" i="2"/>
  <c r="B5815" i="2"/>
  <c r="A5815" i="2"/>
  <c r="U5814" i="2"/>
  <c r="B5814" i="2"/>
  <c r="A5814" i="2"/>
  <c r="U5813" i="2"/>
  <c r="B5813" i="2"/>
  <c r="A5813" i="2"/>
  <c r="U5812" i="2"/>
  <c r="B5812" i="2"/>
  <c r="A5812" i="2"/>
  <c r="U5811" i="2"/>
  <c r="B5811" i="2"/>
  <c r="A5811" i="2"/>
  <c r="U5810" i="2"/>
  <c r="B5810" i="2"/>
  <c r="A5810" i="2"/>
  <c r="U5809" i="2"/>
  <c r="B5809" i="2"/>
  <c r="A5809" i="2"/>
  <c r="U5808" i="2"/>
  <c r="B5808" i="2"/>
  <c r="A5808" i="2"/>
  <c r="U5807" i="2"/>
  <c r="B5807" i="2"/>
  <c r="A5807" i="2"/>
  <c r="U5806" i="2"/>
  <c r="B5806" i="2"/>
  <c r="A5806" i="2"/>
  <c r="U5805" i="2"/>
  <c r="B5805" i="2"/>
  <c r="A5805" i="2"/>
  <c r="U5804" i="2"/>
  <c r="B5804" i="2"/>
  <c r="A5804" i="2"/>
  <c r="U5803" i="2"/>
  <c r="B5803" i="2"/>
  <c r="A5803" i="2"/>
  <c r="U5802" i="2"/>
  <c r="B5802" i="2"/>
  <c r="A5802" i="2"/>
  <c r="U5801" i="2"/>
  <c r="B5801" i="2"/>
  <c r="A5801" i="2"/>
  <c r="U5800" i="2"/>
  <c r="B5800" i="2"/>
  <c r="A5800" i="2"/>
  <c r="U5799" i="2"/>
  <c r="B5799" i="2"/>
  <c r="A5799" i="2"/>
  <c r="U5798" i="2"/>
  <c r="B5798" i="2"/>
  <c r="A5798" i="2"/>
  <c r="U5797" i="2"/>
  <c r="B5797" i="2"/>
  <c r="A5797" i="2"/>
  <c r="U5796" i="2"/>
  <c r="B5796" i="2"/>
  <c r="A5796" i="2"/>
  <c r="U5795" i="2"/>
  <c r="B5795" i="2"/>
  <c r="A5795" i="2"/>
  <c r="U5794" i="2"/>
  <c r="B5794" i="2"/>
  <c r="A5794" i="2"/>
  <c r="U5793" i="2"/>
  <c r="B5793" i="2"/>
  <c r="A5793" i="2"/>
  <c r="U5792" i="2"/>
  <c r="B5792" i="2"/>
  <c r="A5792" i="2"/>
  <c r="U5791" i="2"/>
  <c r="B5791" i="2"/>
  <c r="A5791" i="2"/>
  <c r="U5790" i="2"/>
  <c r="B5790" i="2"/>
  <c r="A5790" i="2"/>
  <c r="U5789" i="2"/>
  <c r="B5789" i="2"/>
  <c r="A5789" i="2"/>
  <c r="U5788" i="2"/>
  <c r="B5788" i="2"/>
  <c r="A5788" i="2"/>
  <c r="U5787" i="2"/>
  <c r="B5787" i="2"/>
  <c r="A5787" i="2"/>
  <c r="U5786" i="2"/>
  <c r="B5786" i="2"/>
  <c r="A5786" i="2"/>
  <c r="U5785" i="2"/>
  <c r="B5785" i="2"/>
  <c r="A5785" i="2"/>
  <c r="U5784" i="2"/>
  <c r="B5784" i="2"/>
  <c r="A5784" i="2"/>
  <c r="U5783" i="2"/>
  <c r="B5783" i="2"/>
  <c r="A5783" i="2"/>
  <c r="U5782" i="2"/>
  <c r="B5782" i="2"/>
  <c r="A5782" i="2"/>
  <c r="U5781" i="2"/>
  <c r="B5781" i="2"/>
  <c r="A5781" i="2"/>
  <c r="U5780" i="2"/>
  <c r="B5780" i="2"/>
  <c r="A5780" i="2"/>
  <c r="U5779" i="2"/>
  <c r="B5779" i="2"/>
  <c r="A5779" i="2"/>
  <c r="U5778" i="2"/>
  <c r="B5778" i="2"/>
  <c r="A5778" i="2"/>
  <c r="U5777" i="2"/>
  <c r="B5777" i="2"/>
  <c r="A5777" i="2"/>
  <c r="U5776" i="2"/>
  <c r="B5776" i="2"/>
  <c r="A5776" i="2"/>
  <c r="U5775" i="2"/>
  <c r="B5775" i="2"/>
  <c r="A5775" i="2"/>
  <c r="U5774" i="2"/>
  <c r="B5774" i="2"/>
  <c r="A5774" i="2"/>
  <c r="U5773" i="2"/>
  <c r="B5773" i="2"/>
  <c r="A5773" i="2"/>
  <c r="U5772" i="2"/>
  <c r="B5772" i="2"/>
  <c r="A5772" i="2"/>
  <c r="U5771" i="2"/>
  <c r="B5771" i="2"/>
  <c r="A5771" i="2"/>
  <c r="U5770" i="2"/>
  <c r="B5770" i="2"/>
  <c r="A5770" i="2"/>
  <c r="U5769" i="2"/>
  <c r="B5769" i="2"/>
  <c r="A5769" i="2"/>
  <c r="U5768" i="2"/>
  <c r="B5768" i="2"/>
  <c r="A5768" i="2"/>
  <c r="U5767" i="2"/>
  <c r="B5767" i="2"/>
  <c r="A5767" i="2"/>
  <c r="U5766" i="2"/>
  <c r="B5766" i="2"/>
  <c r="A5766" i="2"/>
  <c r="U5765" i="2"/>
  <c r="B5765" i="2"/>
  <c r="A5765" i="2"/>
  <c r="U5764" i="2"/>
  <c r="B5764" i="2"/>
  <c r="A5764" i="2"/>
  <c r="U5763" i="2"/>
  <c r="B5763" i="2"/>
  <c r="A5763" i="2"/>
  <c r="U5762" i="2"/>
  <c r="B5762" i="2"/>
  <c r="A5762" i="2"/>
  <c r="U5761" i="2"/>
  <c r="B5761" i="2"/>
  <c r="A5761" i="2"/>
  <c r="U5760" i="2"/>
  <c r="B5760" i="2"/>
  <c r="A5760" i="2"/>
  <c r="U5759" i="2"/>
  <c r="B5759" i="2"/>
  <c r="A5759" i="2"/>
  <c r="U5758" i="2"/>
  <c r="B5758" i="2"/>
  <c r="A5758" i="2"/>
  <c r="U5757" i="2"/>
  <c r="B5757" i="2"/>
  <c r="A5757" i="2"/>
  <c r="U5756" i="2"/>
  <c r="B5756" i="2"/>
  <c r="A5756" i="2"/>
  <c r="U5755" i="2"/>
  <c r="B5755" i="2"/>
  <c r="A5755" i="2"/>
  <c r="U5754" i="2"/>
  <c r="B5754" i="2"/>
  <c r="A5754" i="2"/>
  <c r="U5753" i="2"/>
  <c r="B5753" i="2"/>
  <c r="A5753" i="2"/>
  <c r="U5752" i="2"/>
  <c r="B5752" i="2"/>
  <c r="A5752" i="2"/>
  <c r="U5751" i="2"/>
  <c r="B5751" i="2"/>
  <c r="A5751" i="2"/>
  <c r="U5750" i="2"/>
  <c r="B5750" i="2"/>
  <c r="A5750" i="2"/>
  <c r="U5749" i="2"/>
  <c r="B5749" i="2"/>
  <c r="A5749" i="2"/>
  <c r="U5748" i="2"/>
  <c r="B5748" i="2"/>
  <c r="A5748" i="2"/>
  <c r="U5747" i="2"/>
  <c r="B5747" i="2"/>
  <c r="A5747" i="2"/>
  <c r="U5746" i="2"/>
  <c r="B5746" i="2"/>
  <c r="A5746" i="2"/>
  <c r="U5745" i="2"/>
  <c r="B5745" i="2"/>
  <c r="A5745" i="2"/>
  <c r="U5744" i="2"/>
  <c r="B5744" i="2"/>
  <c r="A5744" i="2"/>
  <c r="U5743" i="2"/>
  <c r="B5743" i="2"/>
  <c r="A5743" i="2"/>
  <c r="U5742" i="2"/>
  <c r="B5742" i="2"/>
  <c r="A5742" i="2"/>
  <c r="U5741" i="2"/>
  <c r="B5741" i="2"/>
  <c r="A5741" i="2"/>
  <c r="U5740" i="2"/>
  <c r="B5740" i="2"/>
  <c r="A5740" i="2"/>
  <c r="U5739" i="2"/>
  <c r="B5739" i="2"/>
  <c r="A5739" i="2"/>
  <c r="U5738" i="2"/>
  <c r="B5738" i="2"/>
  <c r="A5738" i="2"/>
  <c r="U5737" i="2"/>
  <c r="B5737" i="2"/>
  <c r="A5737" i="2"/>
  <c r="U5736" i="2"/>
  <c r="B5736" i="2"/>
  <c r="A5736" i="2"/>
  <c r="U5735" i="2"/>
  <c r="B5735" i="2"/>
  <c r="A5735" i="2"/>
  <c r="U5734" i="2"/>
  <c r="B5734" i="2"/>
  <c r="A5734" i="2"/>
  <c r="U5733" i="2"/>
  <c r="B5733" i="2"/>
  <c r="A5733" i="2"/>
  <c r="U5732" i="2"/>
  <c r="B5732" i="2"/>
  <c r="A5732" i="2"/>
  <c r="U5731" i="2"/>
  <c r="B5731" i="2"/>
  <c r="A5731" i="2"/>
  <c r="U5730" i="2"/>
  <c r="B5730" i="2"/>
  <c r="A5730" i="2"/>
  <c r="U5729" i="2"/>
  <c r="B5729" i="2"/>
  <c r="A5729" i="2"/>
  <c r="U5728" i="2"/>
  <c r="B5728" i="2"/>
  <c r="A5728" i="2"/>
  <c r="U5727" i="2"/>
  <c r="B5727" i="2"/>
  <c r="A5727" i="2"/>
  <c r="U5726" i="2"/>
  <c r="B5726" i="2"/>
  <c r="A5726" i="2"/>
  <c r="U5725" i="2"/>
  <c r="B5725" i="2"/>
  <c r="A5725" i="2"/>
  <c r="U5724" i="2"/>
  <c r="B5724" i="2"/>
  <c r="A5724" i="2"/>
  <c r="U5723" i="2"/>
  <c r="B5723" i="2"/>
  <c r="A5723" i="2"/>
  <c r="U5722" i="2"/>
  <c r="B5722" i="2"/>
  <c r="A5722" i="2"/>
  <c r="U5721" i="2"/>
  <c r="B5721" i="2"/>
  <c r="A5721" i="2"/>
  <c r="U5720" i="2"/>
  <c r="B5720" i="2"/>
  <c r="A5720" i="2"/>
  <c r="U5719" i="2"/>
  <c r="B5719" i="2"/>
  <c r="A5719" i="2"/>
  <c r="U5718" i="2"/>
  <c r="B5718" i="2"/>
  <c r="A5718" i="2"/>
  <c r="U5717" i="2"/>
  <c r="B5717" i="2"/>
  <c r="A5717" i="2"/>
  <c r="U5716" i="2"/>
  <c r="B5716" i="2"/>
  <c r="A5716" i="2"/>
  <c r="U5715" i="2"/>
  <c r="B5715" i="2"/>
  <c r="A5715" i="2"/>
  <c r="U5714" i="2"/>
  <c r="B5714" i="2"/>
  <c r="A5714" i="2"/>
  <c r="U5713" i="2"/>
  <c r="B5713" i="2"/>
  <c r="A5713" i="2"/>
  <c r="U5712" i="2"/>
  <c r="B5712" i="2"/>
  <c r="A5712" i="2"/>
  <c r="U5711" i="2"/>
  <c r="B5711" i="2"/>
  <c r="A5711" i="2"/>
  <c r="U5710" i="2"/>
  <c r="B5710" i="2"/>
  <c r="A5710" i="2"/>
  <c r="U5709" i="2"/>
  <c r="B5709" i="2"/>
  <c r="A5709" i="2"/>
  <c r="U5708" i="2"/>
  <c r="B5708" i="2"/>
  <c r="A5708" i="2"/>
  <c r="U5707" i="2"/>
  <c r="B5707" i="2"/>
  <c r="A5707" i="2"/>
  <c r="U5706" i="2"/>
  <c r="B5706" i="2"/>
  <c r="A5706" i="2"/>
  <c r="U5705" i="2"/>
  <c r="B5705" i="2"/>
  <c r="A5705" i="2"/>
  <c r="U5704" i="2"/>
  <c r="B5704" i="2"/>
  <c r="A5704" i="2"/>
  <c r="U5703" i="2"/>
  <c r="B5703" i="2"/>
  <c r="A5703" i="2"/>
  <c r="U5702" i="2"/>
  <c r="B5702" i="2"/>
  <c r="A5702" i="2"/>
  <c r="U5701" i="2"/>
  <c r="B5701" i="2"/>
  <c r="A5701" i="2"/>
  <c r="U5700" i="2"/>
  <c r="B5700" i="2"/>
  <c r="A5700" i="2"/>
  <c r="U5699" i="2"/>
  <c r="B5699" i="2"/>
  <c r="A5699" i="2"/>
  <c r="U5698" i="2"/>
  <c r="B5698" i="2"/>
  <c r="A5698" i="2"/>
  <c r="U5697" i="2"/>
  <c r="B5697" i="2"/>
  <c r="A5697" i="2"/>
  <c r="U5696" i="2"/>
  <c r="B5696" i="2"/>
  <c r="A5696" i="2"/>
  <c r="U5695" i="2"/>
  <c r="B5695" i="2"/>
  <c r="A5695" i="2"/>
  <c r="U5694" i="2"/>
  <c r="B5694" i="2"/>
  <c r="A5694" i="2"/>
  <c r="U5693" i="2"/>
  <c r="B5693" i="2"/>
  <c r="A5693" i="2"/>
  <c r="U5692" i="2"/>
  <c r="B5692" i="2"/>
  <c r="A5692" i="2"/>
  <c r="U5691" i="2"/>
  <c r="B5691" i="2"/>
  <c r="A5691" i="2"/>
  <c r="U5690" i="2"/>
  <c r="B5690" i="2"/>
  <c r="A5690" i="2"/>
  <c r="U5689" i="2"/>
  <c r="B5689" i="2"/>
  <c r="A5689" i="2"/>
  <c r="U5688" i="2"/>
  <c r="B5688" i="2"/>
  <c r="A5688" i="2"/>
  <c r="U5687" i="2"/>
  <c r="B5687" i="2"/>
  <c r="A5687" i="2"/>
  <c r="U5686" i="2"/>
  <c r="B5686" i="2"/>
  <c r="A5686" i="2"/>
  <c r="U5685" i="2"/>
  <c r="B5685" i="2"/>
  <c r="A5685" i="2"/>
  <c r="U5684" i="2"/>
  <c r="B5684" i="2"/>
  <c r="A5684" i="2"/>
  <c r="U5683" i="2"/>
  <c r="B5683" i="2"/>
  <c r="A5683" i="2"/>
  <c r="U5682" i="2"/>
  <c r="B5682" i="2"/>
  <c r="A5682" i="2"/>
  <c r="U5681" i="2"/>
  <c r="B5681" i="2"/>
  <c r="A5681" i="2"/>
  <c r="U5680" i="2"/>
  <c r="B5680" i="2"/>
  <c r="A5680" i="2"/>
  <c r="U5679" i="2"/>
  <c r="B5679" i="2"/>
  <c r="A5679" i="2"/>
  <c r="U5678" i="2"/>
  <c r="B5678" i="2"/>
  <c r="A5678" i="2"/>
  <c r="U5677" i="2"/>
  <c r="B5677" i="2"/>
  <c r="A5677" i="2"/>
  <c r="U5676" i="2"/>
  <c r="B5676" i="2"/>
  <c r="A5676" i="2"/>
  <c r="U5675" i="2"/>
  <c r="B5675" i="2"/>
  <c r="A5675" i="2"/>
  <c r="U5674" i="2"/>
  <c r="B5674" i="2"/>
  <c r="A5674" i="2"/>
  <c r="U5673" i="2"/>
  <c r="B5673" i="2"/>
  <c r="A5673" i="2"/>
  <c r="U5672" i="2"/>
  <c r="B5672" i="2"/>
  <c r="A5672" i="2"/>
  <c r="U5671" i="2"/>
  <c r="B5671" i="2"/>
  <c r="A5671" i="2"/>
  <c r="U5670" i="2"/>
  <c r="B5670" i="2"/>
  <c r="A5670" i="2"/>
  <c r="U5669" i="2"/>
  <c r="B5669" i="2"/>
  <c r="A5669" i="2"/>
  <c r="U5668" i="2"/>
  <c r="B5668" i="2"/>
  <c r="A5668" i="2"/>
  <c r="U5667" i="2"/>
  <c r="B5667" i="2"/>
  <c r="A5667" i="2"/>
  <c r="U5666" i="2"/>
  <c r="B5666" i="2"/>
  <c r="A5666" i="2"/>
  <c r="U5665" i="2"/>
  <c r="B5665" i="2"/>
  <c r="A5665" i="2"/>
  <c r="U5664" i="2"/>
  <c r="B5664" i="2"/>
  <c r="A5664" i="2"/>
  <c r="U5663" i="2"/>
  <c r="B5663" i="2"/>
  <c r="A5663" i="2"/>
  <c r="U5662" i="2"/>
  <c r="B5662" i="2"/>
  <c r="A5662" i="2"/>
  <c r="U5661" i="2"/>
  <c r="B5661" i="2"/>
  <c r="A5661" i="2"/>
  <c r="U5660" i="2"/>
  <c r="B5660" i="2"/>
  <c r="A5660" i="2"/>
  <c r="U5659" i="2"/>
  <c r="B5659" i="2"/>
  <c r="A5659" i="2"/>
  <c r="U5658" i="2"/>
  <c r="B5658" i="2"/>
  <c r="A5658" i="2"/>
  <c r="U5657" i="2"/>
  <c r="B5657" i="2"/>
  <c r="A5657" i="2"/>
  <c r="U5656" i="2"/>
  <c r="B5656" i="2"/>
  <c r="A5656" i="2"/>
  <c r="U5655" i="2"/>
  <c r="B5655" i="2"/>
  <c r="A5655" i="2"/>
  <c r="U5654" i="2"/>
  <c r="B5654" i="2"/>
  <c r="A5654" i="2"/>
  <c r="U5653" i="2"/>
  <c r="B5653" i="2"/>
  <c r="A5653" i="2"/>
  <c r="U5652" i="2"/>
  <c r="B5652" i="2"/>
  <c r="A5652" i="2"/>
  <c r="U5651" i="2"/>
  <c r="B5651" i="2"/>
  <c r="A5651" i="2"/>
  <c r="U5650" i="2"/>
  <c r="B5650" i="2"/>
  <c r="A5650" i="2"/>
  <c r="U5649" i="2"/>
  <c r="B5649" i="2"/>
  <c r="A5649" i="2"/>
  <c r="U5648" i="2"/>
  <c r="B5648" i="2"/>
  <c r="A5648" i="2"/>
  <c r="U5647" i="2"/>
  <c r="B5647" i="2"/>
  <c r="A5647" i="2"/>
  <c r="U5646" i="2"/>
  <c r="B5646" i="2"/>
  <c r="A5646" i="2"/>
  <c r="U5645" i="2"/>
  <c r="B5645" i="2"/>
  <c r="A5645" i="2"/>
  <c r="U5644" i="2"/>
  <c r="B5644" i="2"/>
  <c r="A5644" i="2"/>
  <c r="U5643" i="2"/>
  <c r="B5643" i="2"/>
  <c r="A5643" i="2"/>
  <c r="U5642" i="2"/>
  <c r="B5642" i="2"/>
  <c r="A5642" i="2"/>
  <c r="U5641" i="2"/>
  <c r="B5641" i="2"/>
  <c r="A5641" i="2"/>
  <c r="U5640" i="2"/>
  <c r="B5640" i="2"/>
  <c r="A5640" i="2"/>
  <c r="U5639" i="2"/>
  <c r="B5639" i="2"/>
  <c r="A5639" i="2"/>
  <c r="U5638" i="2"/>
  <c r="B5638" i="2"/>
  <c r="A5638" i="2"/>
  <c r="U5637" i="2"/>
  <c r="B5637" i="2"/>
  <c r="A5637" i="2"/>
  <c r="U5636" i="2"/>
  <c r="B5636" i="2"/>
  <c r="A5636" i="2"/>
  <c r="U5635" i="2"/>
  <c r="B5635" i="2"/>
  <c r="A5635" i="2"/>
  <c r="U5634" i="2"/>
  <c r="B5634" i="2"/>
  <c r="A5634" i="2"/>
  <c r="U5633" i="2"/>
  <c r="B5633" i="2"/>
  <c r="A5633" i="2"/>
  <c r="U5632" i="2"/>
  <c r="B5632" i="2"/>
  <c r="A5632" i="2"/>
  <c r="U5631" i="2"/>
  <c r="B5631" i="2"/>
  <c r="A5631" i="2"/>
  <c r="U5630" i="2"/>
  <c r="B5630" i="2"/>
  <c r="A5630" i="2"/>
  <c r="U5629" i="2"/>
  <c r="B5629" i="2"/>
  <c r="A5629" i="2"/>
  <c r="U5628" i="2"/>
  <c r="B5628" i="2"/>
  <c r="A5628" i="2"/>
  <c r="U5627" i="2"/>
  <c r="B5627" i="2"/>
  <c r="A5627" i="2"/>
  <c r="U5626" i="2"/>
  <c r="B5626" i="2"/>
  <c r="A5626" i="2"/>
  <c r="U5625" i="2"/>
  <c r="B5625" i="2"/>
  <c r="A5625" i="2"/>
  <c r="U5624" i="2"/>
  <c r="B5624" i="2"/>
  <c r="A5624" i="2"/>
  <c r="U5623" i="2"/>
  <c r="B5623" i="2"/>
  <c r="A5623" i="2"/>
  <c r="U5622" i="2"/>
  <c r="B5622" i="2"/>
  <c r="A5622" i="2"/>
  <c r="U5621" i="2"/>
  <c r="B5621" i="2"/>
  <c r="A5621" i="2"/>
  <c r="U5620" i="2"/>
  <c r="B5620" i="2"/>
  <c r="A5620" i="2"/>
  <c r="U5619" i="2"/>
  <c r="B5619" i="2"/>
  <c r="A5619" i="2"/>
  <c r="U5618" i="2"/>
  <c r="B5618" i="2"/>
  <c r="A5618" i="2"/>
  <c r="U5617" i="2"/>
  <c r="B5617" i="2"/>
  <c r="A5617" i="2"/>
  <c r="U5616" i="2"/>
  <c r="B5616" i="2"/>
  <c r="A5616" i="2"/>
  <c r="U5615" i="2"/>
  <c r="B5615" i="2"/>
  <c r="A5615" i="2"/>
  <c r="U5614" i="2"/>
  <c r="B5614" i="2"/>
  <c r="A5614" i="2"/>
  <c r="U5613" i="2"/>
  <c r="B5613" i="2"/>
  <c r="A5613" i="2"/>
  <c r="U5612" i="2"/>
  <c r="B5612" i="2"/>
  <c r="A5612" i="2"/>
  <c r="U5611" i="2"/>
  <c r="B5611" i="2"/>
  <c r="A5611" i="2"/>
  <c r="U5610" i="2"/>
  <c r="B5610" i="2"/>
  <c r="A5610" i="2"/>
  <c r="U5609" i="2"/>
  <c r="B5609" i="2"/>
  <c r="A5609" i="2"/>
  <c r="U5608" i="2"/>
  <c r="B5608" i="2"/>
  <c r="A5608" i="2"/>
  <c r="U5607" i="2"/>
  <c r="B5607" i="2"/>
  <c r="A5607" i="2"/>
  <c r="U5606" i="2"/>
  <c r="B5606" i="2"/>
  <c r="A5606" i="2"/>
  <c r="U5605" i="2"/>
  <c r="B5605" i="2"/>
  <c r="A5605" i="2"/>
  <c r="U5604" i="2"/>
  <c r="B5604" i="2"/>
  <c r="A5604" i="2"/>
  <c r="U5603" i="2"/>
  <c r="B5603" i="2"/>
  <c r="A5603" i="2"/>
  <c r="U5602" i="2"/>
  <c r="B5602" i="2"/>
  <c r="A5602" i="2"/>
  <c r="U5601" i="2"/>
  <c r="B5601" i="2"/>
  <c r="A5601" i="2"/>
  <c r="U5600" i="2"/>
  <c r="B5600" i="2"/>
  <c r="A5600" i="2"/>
  <c r="U5599" i="2"/>
  <c r="B5599" i="2"/>
  <c r="A5599" i="2"/>
  <c r="U5598" i="2"/>
  <c r="B5598" i="2"/>
  <c r="A5598" i="2"/>
  <c r="U5597" i="2"/>
  <c r="B5597" i="2"/>
  <c r="A5597" i="2"/>
  <c r="U5596" i="2"/>
  <c r="B5596" i="2"/>
  <c r="A5596" i="2"/>
  <c r="U5595" i="2"/>
  <c r="B5595" i="2"/>
  <c r="A5595" i="2"/>
  <c r="U5594" i="2"/>
  <c r="B5594" i="2"/>
  <c r="A5594" i="2"/>
  <c r="U5593" i="2"/>
  <c r="B5593" i="2"/>
  <c r="A5593" i="2"/>
  <c r="U5592" i="2"/>
  <c r="B5592" i="2"/>
  <c r="A5592" i="2"/>
  <c r="U5591" i="2"/>
  <c r="B5591" i="2"/>
  <c r="A5591" i="2"/>
  <c r="U5590" i="2"/>
  <c r="B5590" i="2"/>
  <c r="A5590" i="2"/>
  <c r="U5589" i="2"/>
  <c r="B5589" i="2"/>
  <c r="A5589" i="2"/>
  <c r="U5588" i="2"/>
  <c r="B5588" i="2"/>
  <c r="A5588" i="2"/>
  <c r="U5587" i="2"/>
  <c r="B5587" i="2"/>
  <c r="A5587" i="2"/>
  <c r="U5586" i="2"/>
  <c r="B5586" i="2"/>
  <c r="A5586" i="2"/>
  <c r="U5585" i="2"/>
  <c r="B5585" i="2"/>
  <c r="A5585" i="2"/>
  <c r="U5584" i="2"/>
  <c r="B5584" i="2"/>
  <c r="A5584" i="2"/>
  <c r="U5583" i="2"/>
  <c r="B5583" i="2"/>
  <c r="A5583" i="2"/>
  <c r="U5582" i="2"/>
  <c r="B5582" i="2"/>
  <c r="A5582" i="2"/>
  <c r="U5581" i="2"/>
  <c r="B5581" i="2"/>
  <c r="A5581" i="2"/>
  <c r="U5580" i="2"/>
  <c r="B5580" i="2"/>
  <c r="A5580" i="2"/>
  <c r="U5579" i="2"/>
  <c r="B5579" i="2"/>
  <c r="A5579" i="2"/>
  <c r="U5578" i="2"/>
  <c r="B5578" i="2"/>
  <c r="A5578" i="2"/>
  <c r="U5577" i="2"/>
  <c r="B5577" i="2"/>
  <c r="A5577" i="2"/>
  <c r="U5576" i="2"/>
  <c r="B5576" i="2"/>
  <c r="A5576" i="2"/>
  <c r="U5575" i="2"/>
  <c r="B5575" i="2"/>
  <c r="A5575" i="2"/>
  <c r="U5574" i="2"/>
  <c r="B5574" i="2"/>
  <c r="A5574" i="2"/>
  <c r="U5573" i="2"/>
  <c r="B5573" i="2"/>
  <c r="A5573" i="2"/>
  <c r="U5572" i="2"/>
  <c r="B5572" i="2"/>
  <c r="A5572" i="2"/>
  <c r="U5571" i="2"/>
  <c r="B5571" i="2"/>
  <c r="A5571" i="2"/>
  <c r="U5570" i="2"/>
  <c r="B5570" i="2"/>
  <c r="A5570" i="2"/>
  <c r="U5569" i="2"/>
  <c r="B5569" i="2"/>
  <c r="A5569" i="2"/>
  <c r="U5568" i="2"/>
  <c r="B5568" i="2"/>
  <c r="A5568" i="2"/>
  <c r="U5567" i="2"/>
  <c r="B5567" i="2"/>
  <c r="A5567" i="2"/>
  <c r="U5566" i="2"/>
  <c r="B5566" i="2"/>
  <c r="A5566" i="2"/>
  <c r="U5565" i="2"/>
  <c r="B5565" i="2"/>
  <c r="A5565" i="2"/>
  <c r="U5564" i="2"/>
  <c r="B5564" i="2"/>
  <c r="A5564" i="2"/>
  <c r="U5563" i="2"/>
  <c r="B5563" i="2"/>
  <c r="A5563" i="2"/>
  <c r="U5562" i="2"/>
  <c r="B5562" i="2"/>
  <c r="A5562" i="2"/>
  <c r="U5561" i="2"/>
  <c r="B5561" i="2"/>
  <c r="A5561" i="2"/>
  <c r="U5560" i="2"/>
  <c r="B5560" i="2"/>
  <c r="A5560" i="2"/>
  <c r="U5559" i="2"/>
  <c r="B5559" i="2"/>
  <c r="A5559" i="2"/>
  <c r="U5558" i="2"/>
  <c r="B5558" i="2"/>
  <c r="A5558" i="2"/>
  <c r="U5557" i="2"/>
  <c r="B5557" i="2"/>
  <c r="A5557" i="2"/>
  <c r="U5556" i="2"/>
  <c r="B5556" i="2"/>
  <c r="A5556" i="2"/>
  <c r="U5555" i="2"/>
  <c r="B5555" i="2"/>
  <c r="A5555" i="2"/>
  <c r="U5554" i="2"/>
  <c r="B5554" i="2"/>
  <c r="A5554" i="2"/>
  <c r="U5553" i="2"/>
  <c r="B5553" i="2"/>
  <c r="A5553" i="2"/>
  <c r="U5552" i="2"/>
  <c r="B5552" i="2"/>
  <c r="A5552" i="2"/>
  <c r="U5551" i="2"/>
  <c r="B5551" i="2"/>
  <c r="A5551" i="2"/>
  <c r="U5550" i="2"/>
  <c r="B5550" i="2"/>
  <c r="A5550" i="2"/>
  <c r="U5549" i="2"/>
  <c r="B5549" i="2"/>
  <c r="A5549" i="2"/>
  <c r="U5548" i="2"/>
  <c r="B5548" i="2"/>
  <c r="A5548" i="2"/>
  <c r="U5547" i="2"/>
  <c r="B5547" i="2"/>
  <c r="A5547" i="2"/>
  <c r="U5546" i="2"/>
  <c r="B5546" i="2"/>
  <c r="A5546" i="2"/>
  <c r="U5545" i="2"/>
  <c r="B5545" i="2"/>
  <c r="A5545" i="2"/>
  <c r="U5544" i="2"/>
  <c r="B5544" i="2"/>
  <c r="A5544" i="2"/>
  <c r="U5543" i="2"/>
  <c r="B5543" i="2"/>
  <c r="A5543" i="2"/>
  <c r="U5542" i="2"/>
  <c r="B5542" i="2"/>
  <c r="A5542" i="2"/>
  <c r="U5541" i="2"/>
  <c r="B5541" i="2"/>
  <c r="A5541" i="2"/>
  <c r="U5540" i="2"/>
  <c r="B5540" i="2"/>
  <c r="A5540" i="2"/>
  <c r="U5539" i="2"/>
  <c r="B5539" i="2"/>
  <c r="A5539" i="2"/>
  <c r="U5538" i="2"/>
  <c r="B5538" i="2"/>
  <c r="A5538" i="2"/>
  <c r="U5537" i="2"/>
  <c r="B5537" i="2"/>
  <c r="A5537" i="2"/>
  <c r="U5536" i="2"/>
  <c r="B5536" i="2"/>
  <c r="A5536" i="2"/>
  <c r="U5535" i="2"/>
  <c r="B5535" i="2"/>
  <c r="A5535" i="2"/>
  <c r="U5534" i="2"/>
  <c r="B5534" i="2"/>
  <c r="A5534" i="2"/>
  <c r="U5533" i="2"/>
  <c r="B5533" i="2"/>
  <c r="A5533" i="2"/>
  <c r="U5532" i="2"/>
  <c r="B5532" i="2"/>
  <c r="A5532" i="2"/>
  <c r="U5531" i="2"/>
  <c r="B5531" i="2"/>
  <c r="A5531" i="2"/>
  <c r="U5530" i="2"/>
  <c r="B5530" i="2"/>
  <c r="A5530" i="2"/>
  <c r="U5529" i="2"/>
  <c r="B5529" i="2"/>
  <c r="A5529" i="2"/>
  <c r="U5528" i="2"/>
  <c r="B5528" i="2"/>
  <c r="A5528" i="2"/>
  <c r="U5527" i="2"/>
  <c r="B5527" i="2"/>
  <c r="A5527" i="2"/>
  <c r="U5526" i="2"/>
  <c r="B5526" i="2"/>
  <c r="A5526" i="2"/>
  <c r="U5525" i="2"/>
  <c r="B5525" i="2"/>
  <c r="A5525" i="2"/>
  <c r="U5524" i="2"/>
  <c r="B5524" i="2"/>
  <c r="A5524" i="2"/>
  <c r="U5523" i="2"/>
  <c r="B5523" i="2"/>
  <c r="A5523" i="2"/>
  <c r="U5522" i="2"/>
  <c r="B5522" i="2"/>
  <c r="A5522" i="2"/>
  <c r="U5521" i="2"/>
  <c r="B5521" i="2"/>
  <c r="A5521" i="2"/>
  <c r="U5520" i="2"/>
  <c r="B5520" i="2"/>
  <c r="A5520" i="2"/>
  <c r="U5519" i="2"/>
  <c r="B5519" i="2"/>
  <c r="A5519" i="2"/>
  <c r="U5518" i="2"/>
  <c r="B5518" i="2"/>
  <c r="A5518" i="2"/>
  <c r="U5517" i="2"/>
  <c r="B5517" i="2"/>
  <c r="A5517" i="2"/>
  <c r="U5516" i="2"/>
  <c r="B5516" i="2"/>
  <c r="A5516" i="2"/>
  <c r="U5515" i="2"/>
  <c r="B5515" i="2"/>
  <c r="A5515" i="2"/>
  <c r="U5514" i="2"/>
  <c r="B5514" i="2"/>
  <c r="A5514" i="2"/>
  <c r="U5513" i="2"/>
  <c r="B5513" i="2"/>
  <c r="A5513" i="2"/>
  <c r="U5512" i="2"/>
  <c r="B5512" i="2"/>
  <c r="A5512" i="2"/>
  <c r="U5511" i="2"/>
  <c r="B5511" i="2"/>
  <c r="A5511" i="2"/>
  <c r="U5510" i="2"/>
  <c r="B5510" i="2"/>
  <c r="A5510" i="2"/>
  <c r="U5509" i="2"/>
  <c r="B5509" i="2"/>
  <c r="A5509" i="2"/>
  <c r="U5508" i="2"/>
  <c r="B5508" i="2"/>
  <c r="A5508" i="2"/>
  <c r="U5507" i="2"/>
  <c r="B5507" i="2"/>
  <c r="A5507" i="2"/>
  <c r="U5506" i="2"/>
  <c r="B5506" i="2"/>
  <c r="A5506" i="2"/>
  <c r="U5505" i="2"/>
  <c r="B5505" i="2"/>
  <c r="A5505" i="2"/>
  <c r="U5504" i="2"/>
  <c r="B5504" i="2"/>
  <c r="A5504" i="2"/>
  <c r="U5503" i="2"/>
  <c r="B5503" i="2"/>
  <c r="A5503" i="2"/>
  <c r="U5502" i="2"/>
  <c r="B5502" i="2"/>
  <c r="A5502" i="2"/>
  <c r="U5501" i="2"/>
  <c r="B5501" i="2"/>
  <c r="A5501" i="2"/>
  <c r="U5500" i="2"/>
  <c r="B5500" i="2"/>
  <c r="A5500" i="2"/>
  <c r="U5499" i="2"/>
  <c r="B5499" i="2"/>
  <c r="A5499" i="2"/>
  <c r="U5498" i="2"/>
  <c r="B5498" i="2"/>
  <c r="A5498" i="2"/>
  <c r="U5497" i="2"/>
  <c r="B5497" i="2"/>
  <c r="A5497" i="2"/>
  <c r="U5496" i="2"/>
  <c r="B5496" i="2"/>
  <c r="A5496" i="2"/>
  <c r="U5495" i="2"/>
  <c r="B5495" i="2"/>
  <c r="A5495" i="2"/>
  <c r="U5494" i="2"/>
  <c r="B5494" i="2"/>
  <c r="A5494" i="2"/>
  <c r="U5493" i="2"/>
  <c r="B5493" i="2"/>
  <c r="A5493" i="2"/>
  <c r="U5492" i="2"/>
  <c r="B5492" i="2"/>
  <c r="A5492" i="2"/>
  <c r="U5491" i="2"/>
  <c r="B5491" i="2"/>
  <c r="A5491" i="2"/>
  <c r="U5490" i="2"/>
  <c r="B5490" i="2"/>
  <c r="A5490" i="2"/>
  <c r="U5489" i="2"/>
  <c r="B5489" i="2"/>
  <c r="A5489" i="2"/>
  <c r="U5488" i="2"/>
  <c r="B5488" i="2"/>
  <c r="A5488" i="2"/>
  <c r="U5487" i="2"/>
  <c r="B5487" i="2"/>
  <c r="A5487" i="2"/>
  <c r="U5486" i="2"/>
  <c r="B5486" i="2"/>
  <c r="A5486" i="2"/>
  <c r="U5485" i="2"/>
  <c r="B5485" i="2"/>
  <c r="A5485" i="2"/>
  <c r="U5484" i="2"/>
  <c r="B5484" i="2"/>
  <c r="A5484" i="2"/>
  <c r="U5483" i="2"/>
  <c r="B5483" i="2"/>
  <c r="A5483" i="2"/>
  <c r="U5482" i="2"/>
  <c r="B5482" i="2"/>
  <c r="A5482" i="2"/>
  <c r="U5481" i="2"/>
  <c r="B5481" i="2"/>
  <c r="A5481" i="2"/>
  <c r="U5480" i="2"/>
  <c r="B5480" i="2"/>
  <c r="A5480" i="2"/>
  <c r="U5479" i="2"/>
  <c r="B5479" i="2"/>
  <c r="A5479" i="2"/>
  <c r="U5478" i="2"/>
  <c r="B5478" i="2"/>
  <c r="A5478" i="2"/>
  <c r="U5477" i="2"/>
  <c r="B5477" i="2"/>
  <c r="A5477" i="2"/>
  <c r="U5476" i="2"/>
  <c r="B5476" i="2"/>
  <c r="A5476" i="2"/>
  <c r="U5475" i="2"/>
  <c r="B5475" i="2"/>
  <c r="A5475" i="2"/>
  <c r="U5474" i="2"/>
  <c r="B5474" i="2"/>
  <c r="A5474" i="2"/>
  <c r="U5473" i="2"/>
  <c r="B5473" i="2"/>
  <c r="A5473" i="2"/>
  <c r="U5472" i="2"/>
  <c r="B5472" i="2"/>
  <c r="A5472" i="2"/>
  <c r="U5471" i="2"/>
  <c r="B5471" i="2"/>
  <c r="A5471" i="2"/>
  <c r="U5470" i="2"/>
  <c r="B5470" i="2"/>
  <c r="A5470" i="2"/>
  <c r="U5469" i="2"/>
  <c r="B5469" i="2"/>
  <c r="A5469" i="2"/>
  <c r="U5468" i="2"/>
  <c r="B5468" i="2"/>
  <c r="A5468" i="2"/>
  <c r="U5467" i="2"/>
  <c r="B5467" i="2"/>
  <c r="A5467" i="2"/>
  <c r="U5466" i="2"/>
  <c r="B5466" i="2"/>
  <c r="A5466" i="2"/>
  <c r="U5465" i="2"/>
  <c r="B5465" i="2"/>
  <c r="A5465" i="2"/>
  <c r="U5464" i="2"/>
  <c r="B5464" i="2"/>
  <c r="A5464" i="2"/>
  <c r="U5463" i="2"/>
  <c r="B5463" i="2"/>
  <c r="A5463" i="2"/>
  <c r="U5462" i="2"/>
  <c r="B5462" i="2"/>
  <c r="A5462" i="2"/>
  <c r="U5461" i="2"/>
  <c r="B5461" i="2"/>
  <c r="A5461" i="2"/>
  <c r="U5460" i="2"/>
  <c r="B5460" i="2"/>
  <c r="A5460" i="2"/>
  <c r="U5459" i="2"/>
  <c r="B5459" i="2"/>
  <c r="A5459" i="2"/>
  <c r="U5458" i="2"/>
  <c r="B5458" i="2"/>
  <c r="A5458" i="2"/>
  <c r="U5457" i="2"/>
  <c r="B5457" i="2"/>
  <c r="A5457" i="2"/>
  <c r="U5456" i="2"/>
  <c r="B5456" i="2"/>
  <c r="A5456" i="2"/>
  <c r="U5455" i="2"/>
  <c r="B5455" i="2"/>
  <c r="A5455" i="2"/>
  <c r="U5454" i="2"/>
  <c r="B5454" i="2"/>
  <c r="A5454" i="2"/>
  <c r="U5453" i="2"/>
  <c r="B5453" i="2"/>
  <c r="A5453" i="2"/>
  <c r="U5452" i="2"/>
  <c r="B5452" i="2"/>
  <c r="A5452" i="2"/>
  <c r="U5451" i="2"/>
  <c r="B5451" i="2"/>
  <c r="A5451" i="2"/>
  <c r="U5450" i="2"/>
  <c r="B5450" i="2"/>
  <c r="A5450" i="2"/>
  <c r="U5449" i="2"/>
  <c r="B5449" i="2"/>
  <c r="A5449" i="2"/>
  <c r="U5448" i="2"/>
  <c r="B5448" i="2"/>
  <c r="A5448" i="2"/>
  <c r="U5447" i="2"/>
  <c r="B5447" i="2"/>
  <c r="A5447" i="2"/>
  <c r="U5446" i="2"/>
  <c r="B5446" i="2"/>
  <c r="A5446" i="2"/>
  <c r="U5445" i="2"/>
  <c r="B5445" i="2"/>
  <c r="A5445" i="2"/>
  <c r="U5444" i="2"/>
  <c r="B5444" i="2"/>
  <c r="A5444" i="2"/>
  <c r="U5443" i="2"/>
  <c r="B5443" i="2"/>
  <c r="A5443" i="2"/>
  <c r="U5442" i="2"/>
  <c r="B5442" i="2"/>
  <c r="A5442" i="2"/>
  <c r="U5441" i="2"/>
  <c r="B5441" i="2"/>
  <c r="A5441" i="2"/>
  <c r="U5440" i="2"/>
  <c r="B5440" i="2"/>
  <c r="A5440" i="2"/>
  <c r="U5439" i="2"/>
  <c r="B5439" i="2"/>
  <c r="A5439" i="2"/>
  <c r="U5438" i="2"/>
  <c r="B5438" i="2"/>
  <c r="A5438" i="2"/>
  <c r="U5437" i="2"/>
  <c r="B5437" i="2"/>
  <c r="A5437" i="2"/>
  <c r="U5436" i="2"/>
  <c r="B5436" i="2"/>
  <c r="A5436" i="2"/>
  <c r="U5435" i="2"/>
  <c r="B5435" i="2"/>
  <c r="A5435" i="2"/>
  <c r="U5434" i="2"/>
  <c r="B5434" i="2"/>
  <c r="A5434" i="2"/>
  <c r="U5433" i="2"/>
  <c r="B5433" i="2"/>
  <c r="A5433" i="2"/>
  <c r="U5432" i="2"/>
  <c r="B5432" i="2"/>
  <c r="A5432" i="2"/>
  <c r="U5431" i="2"/>
  <c r="B5431" i="2"/>
  <c r="A5431" i="2"/>
  <c r="U5430" i="2"/>
  <c r="B5430" i="2"/>
  <c r="A5430" i="2"/>
  <c r="U5429" i="2"/>
  <c r="B5429" i="2"/>
  <c r="A5429" i="2"/>
  <c r="U5428" i="2"/>
  <c r="B5428" i="2"/>
  <c r="A5428" i="2"/>
  <c r="U5427" i="2"/>
  <c r="B5427" i="2"/>
  <c r="A5427" i="2"/>
  <c r="U5426" i="2"/>
  <c r="B5426" i="2"/>
  <c r="A5426" i="2"/>
  <c r="U5425" i="2"/>
  <c r="B5425" i="2"/>
  <c r="A5425" i="2"/>
  <c r="U5424" i="2"/>
  <c r="B5424" i="2"/>
  <c r="A5424" i="2"/>
  <c r="U5423" i="2"/>
  <c r="B5423" i="2"/>
  <c r="A5423" i="2"/>
  <c r="U5422" i="2"/>
  <c r="B5422" i="2"/>
  <c r="A5422" i="2"/>
  <c r="U5421" i="2"/>
  <c r="B5421" i="2"/>
  <c r="A5421" i="2"/>
  <c r="U5420" i="2"/>
  <c r="B5420" i="2"/>
  <c r="A5420" i="2"/>
  <c r="U5419" i="2"/>
  <c r="B5419" i="2"/>
  <c r="A5419" i="2"/>
  <c r="U5418" i="2"/>
  <c r="B5418" i="2"/>
  <c r="A5418" i="2"/>
  <c r="U5417" i="2"/>
  <c r="B5417" i="2"/>
  <c r="A5417" i="2"/>
  <c r="U5416" i="2"/>
  <c r="B5416" i="2"/>
  <c r="A5416" i="2"/>
  <c r="U5415" i="2"/>
  <c r="B5415" i="2"/>
  <c r="A5415" i="2"/>
  <c r="U5414" i="2"/>
  <c r="B5414" i="2"/>
  <c r="A5414" i="2"/>
  <c r="U5413" i="2"/>
  <c r="B5413" i="2"/>
  <c r="A5413" i="2"/>
  <c r="U5412" i="2"/>
  <c r="B5412" i="2"/>
  <c r="A5412" i="2"/>
  <c r="U5411" i="2"/>
  <c r="B5411" i="2"/>
  <c r="A5411" i="2"/>
  <c r="U5410" i="2"/>
  <c r="B5410" i="2"/>
  <c r="A5410" i="2"/>
  <c r="U5409" i="2"/>
  <c r="B5409" i="2"/>
  <c r="A5409" i="2"/>
  <c r="U5408" i="2"/>
  <c r="B5408" i="2"/>
  <c r="A5408" i="2"/>
  <c r="U5407" i="2"/>
  <c r="B5407" i="2"/>
  <c r="A5407" i="2"/>
  <c r="U5406" i="2"/>
  <c r="B5406" i="2"/>
  <c r="A5406" i="2"/>
  <c r="U5405" i="2"/>
  <c r="B5405" i="2"/>
  <c r="A5405" i="2"/>
  <c r="U5404" i="2"/>
  <c r="B5404" i="2"/>
  <c r="A5404" i="2"/>
  <c r="U5403" i="2"/>
  <c r="B5403" i="2"/>
  <c r="A5403" i="2"/>
  <c r="U5402" i="2"/>
  <c r="B5402" i="2"/>
  <c r="A5402" i="2"/>
  <c r="U5401" i="2"/>
  <c r="B5401" i="2"/>
  <c r="A5401" i="2"/>
  <c r="U5400" i="2"/>
  <c r="B5400" i="2"/>
  <c r="A5400" i="2"/>
  <c r="U5399" i="2"/>
  <c r="B5399" i="2"/>
  <c r="A5399" i="2"/>
  <c r="U5398" i="2"/>
  <c r="B5398" i="2"/>
  <c r="A5398" i="2"/>
  <c r="U5397" i="2"/>
  <c r="B5397" i="2"/>
  <c r="A5397" i="2"/>
  <c r="U5396" i="2"/>
  <c r="B5396" i="2"/>
  <c r="A5396" i="2"/>
  <c r="U5395" i="2"/>
  <c r="B5395" i="2"/>
  <c r="A5395" i="2"/>
  <c r="U5394" i="2"/>
  <c r="B5394" i="2"/>
  <c r="A5394" i="2"/>
  <c r="U5393" i="2"/>
  <c r="B5393" i="2"/>
  <c r="A5393" i="2"/>
  <c r="U5392" i="2"/>
  <c r="B5392" i="2"/>
  <c r="A5392" i="2"/>
  <c r="U5391" i="2"/>
  <c r="B5391" i="2"/>
  <c r="A5391" i="2"/>
  <c r="U5390" i="2"/>
  <c r="B5390" i="2"/>
  <c r="A5390" i="2"/>
  <c r="U5389" i="2"/>
  <c r="B5389" i="2"/>
  <c r="A5389" i="2"/>
  <c r="U5388" i="2"/>
  <c r="B5388" i="2"/>
  <c r="A5388" i="2"/>
  <c r="U5387" i="2"/>
  <c r="B5387" i="2"/>
  <c r="A5387" i="2"/>
  <c r="U5386" i="2"/>
  <c r="B5386" i="2"/>
  <c r="A5386" i="2"/>
  <c r="U5385" i="2"/>
  <c r="B5385" i="2"/>
  <c r="A5385" i="2"/>
  <c r="U5384" i="2"/>
  <c r="B5384" i="2"/>
  <c r="A5384" i="2"/>
  <c r="U5383" i="2"/>
  <c r="B5383" i="2"/>
  <c r="A5383" i="2"/>
  <c r="U5382" i="2"/>
  <c r="B5382" i="2"/>
  <c r="A5382" i="2"/>
  <c r="U5381" i="2"/>
  <c r="B5381" i="2"/>
  <c r="A5381" i="2"/>
  <c r="U5380" i="2"/>
  <c r="B5380" i="2"/>
  <c r="A5380" i="2"/>
  <c r="U5379" i="2"/>
  <c r="B5379" i="2"/>
  <c r="A5379" i="2"/>
  <c r="U5378" i="2"/>
  <c r="B5378" i="2"/>
  <c r="A5378" i="2"/>
  <c r="U5377" i="2"/>
  <c r="B5377" i="2"/>
  <c r="A5377" i="2"/>
  <c r="U5376" i="2"/>
  <c r="B5376" i="2"/>
  <c r="A5376" i="2"/>
  <c r="U5375" i="2"/>
  <c r="B5375" i="2"/>
  <c r="A5375" i="2"/>
  <c r="U5374" i="2"/>
  <c r="B5374" i="2"/>
  <c r="A5374" i="2"/>
  <c r="U5373" i="2"/>
  <c r="B5373" i="2"/>
  <c r="A5373" i="2"/>
  <c r="U5372" i="2"/>
  <c r="B5372" i="2"/>
  <c r="A5372" i="2"/>
  <c r="U5371" i="2"/>
  <c r="B5371" i="2"/>
  <c r="A5371" i="2"/>
  <c r="U5370" i="2"/>
  <c r="B5370" i="2"/>
  <c r="A5370" i="2"/>
  <c r="U5369" i="2"/>
  <c r="B5369" i="2"/>
  <c r="A5369" i="2"/>
  <c r="U5368" i="2"/>
  <c r="B5368" i="2"/>
  <c r="A5368" i="2"/>
  <c r="U5367" i="2"/>
  <c r="B5367" i="2"/>
  <c r="A5367" i="2"/>
  <c r="U5366" i="2"/>
  <c r="B5366" i="2"/>
  <c r="A5366" i="2"/>
  <c r="U5365" i="2"/>
  <c r="B5365" i="2"/>
  <c r="A5365" i="2"/>
  <c r="U5364" i="2"/>
  <c r="B5364" i="2"/>
  <c r="A5364" i="2"/>
  <c r="U5363" i="2"/>
  <c r="B5363" i="2"/>
  <c r="A5363" i="2"/>
  <c r="U5362" i="2"/>
  <c r="B5362" i="2"/>
  <c r="A5362" i="2"/>
  <c r="U5361" i="2"/>
  <c r="B5361" i="2"/>
  <c r="A5361" i="2"/>
  <c r="U5360" i="2"/>
  <c r="B5360" i="2"/>
  <c r="A5360" i="2"/>
  <c r="U5359" i="2"/>
  <c r="B5359" i="2"/>
  <c r="A5359" i="2"/>
  <c r="U5358" i="2"/>
  <c r="B5358" i="2"/>
  <c r="A5358" i="2"/>
  <c r="U5357" i="2"/>
  <c r="B5357" i="2"/>
  <c r="A5357" i="2"/>
  <c r="U5356" i="2"/>
  <c r="B5356" i="2"/>
  <c r="A5356" i="2"/>
  <c r="U5355" i="2"/>
  <c r="B5355" i="2"/>
  <c r="A5355" i="2"/>
  <c r="U5354" i="2"/>
  <c r="B5354" i="2"/>
  <c r="A5354" i="2"/>
  <c r="U5353" i="2"/>
  <c r="B5353" i="2"/>
  <c r="A5353" i="2"/>
  <c r="U5352" i="2"/>
  <c r="B5352" i="2"/>
  <c r="A5352" i="2"/>
  <c r="U5351" i="2"/>
  <c r="B5351" i="2"/>
  <c r="A5351" i="2"/>
  <c r="U5350" i="2"/>
  <c r="B5350" i="2"/>
  <c r="A5350" i="2"/>
  <c r="U5349" i="2"/>
  <c r="B5349" i="2"/>
  <c r="A5349" i="2"/>
  <c r="U5348" i="2"/>
  <c r="B5348" i="2"/>
  <c r="A5348" i="2"/>
  <c r="U5347" i="2"/>
  <c r="B5347" i="2"/>
  <c r="A5347" i="2"/>
  <c r="U5346" i="2"/>
  <c r="B5346" i="2"/>
  <c r="A5346" i="2"/>
  <c r="U5345" i="2"/>
  <c r="V5345" i="2" s="1"/>
  <c r="B5345" i="2"/>
  <c r="A5345" i="2"/>
  <c r="U5344" i="2"/>
  <c r="V5344" i="2" s="1"/>
  <c r="B5344" i="2"/>
  <c r="A5344" i="2"/>
  <c r="U5343" i="2"/>
  <c r="V5343" i="2" s="1"/>
  <c r="B5343" i="2"/>
  <c r="A5343" i="2"/>
  <c r="U5342" i="2"/>
  <c r="V5342" i="2" s="1"/>
  <c r="B5342" i="2"/>
  <c r="A5342" i="2"/>
  <c r="U5341" i="2"/>
  <c r="V5341" i="2" s="1"/>
  <c r="B5341" i="2"/>
  <c r="A5341" i="2"/>
  <c r="U5340" i="2"/>
  <c r="V5340" i="2" s="1"/>
  <c r="B5340" i="2"/>
  <c r="A5340" i="2"/>
  <c r="U5339" i="2"/>
  <c r="V5339" i="2" s="1"/>
  <c r="B5339" i="2"/>
  <c r="A5339" i="2"/>
  <c r="U5338" i="2"/>
  <c r="V5338" i="2" s="1"/>
  <c r="B5338" i="2"/>
  <c r="A5338" i="2"/>
  <c r="U5337" i="2"/>
  <c r="V5337" i="2" s="1"/>
  <c r="B5337" i="2"/>
  <c r="A5337" i="2"/>
  <c r="U5336" i="2"/>
  <c r="V5336" i="2" s="1"/>
  <c r="B5336" i="2"/>
  <c r="A5336" i="2"/>
  <c r="U5335" i="2"/>
  <c r="V5335" i="2" s="1"/>
  <c r="B5335" i="2"/>
  <c r="A5335" i="2"/>
  <c r="U5334" i="2"/>
  <c r="V5334" i="2" s="1"/>
  <c r="B5334" i="2"/>
  <c r="A5334" i="2"/>
  <c r="U5333" i="2"/>
  <c r="V5333" i="2" s="1"/>
  <c r="B5333" i="2"/>
  <c r="A5333" i="2"/>
  <c r="U5332" i="2"/>
  <c r="V5332" i="2" s="1"/>
  <c r="B5332" i="2"/>
  <c r="A5332" i="2"/>
  <c r="U5331" i="2"/>
  <c r="V5331" i="2" s="1"/>
  <c r="B5331" i="2"/>
  <c r="A5331" i="2"/>
  <c r="U5330" i="2"/>
  <c r="V5330" i="2" s="1"/>
  <c r="B5330" i="2"/>
  <c r="A5330" i="2"/>
  <c r="U5329" i="2"/>
  <c r="V5329" i="2" s="1"/>
  <c r="B5329" i="2"/>
  <c r="A5329" i="2"/>
  <c r="U5328" i="2"/>
  <c r="V5328" i="2" s="1"/>
  <c r="B5328" i="2"/>
  <c r="A5328" i="2"/>
  <c r="U5327" i="2"/>
  <c r="V5327" i="2" s="1"/>
  <c r="B5327" i="2"/>
  <c r="A5327" i="2"/>
  <c r="U5326" i="2"/>
  <c r="V5326" i="2" s="1"/>
  <c r="B5326" i="2"/>
  <c r="A5326" i="2"/>
  <c r="U5325" i="2"/>
  <c r="V5325" i="2" s="1"/>
  <c r="B5325" i="2"/>
  <c r="A5325" i="2"/>
  <c r="U5324" i="2"/>
  <c r="V5324" i="2" s="1"/>
  <c r="B5324" i="2"/>
  <c r="A5324" i="2"/>
  <c r="U5323" i="2"/>
  <c r="V5323" i="2" s="1"/>
  <c r="B5323" i="2"/>
  <c r="A5323" i="2"/>
  <c r="U5322" i="2"/>
  <c r="V5322" i="2" s="1"/>
  <c r="B5322" i="2"/>
  <c r="A5322" i="2"/>
  <c r="U5321" i="2"/>
  <c r="V5321" i="2" s="1"/>
  <c r="B5321" i="2"/>
  <c r="A5321" i="2"/>
  <c r="U5320" i="2"/>
  <c r="V5320" i="2" s="1"/>
  <c r="B5320" i="2"/>
  <c r="A5320" i="2"/>
  <c r="U5319" i="2"/>
  <c r="V5319" i="2" s="1"/>
  <c r="B5319" i="2"/>
  <c r="A5319" i="2"/>
  <c r="U5318" i="2"/>
  <c r="V5318" i="2" s="1"/>
  <c r="B5318" i="2"/>
  <c r="A5318" i="2"/>
  <c r="U5317" i="2"/>
  <c r="V5317" i="2" s="1"/>
  <c r="B5317" i="2"/>
  <c r="A5317" i="2"/>
  <c r="U5316" i="2"/>
  <c r="V5316" i="2" s="1"/>
  <c r="B5316" i="2"/>
  <c r="A5316" i="2"/>
  <c r="U5315" i="2"/>
  <c r="V5315" i="2" s="1"/>
  <c r="B5315" i="2"/>
  <c r="A5315" i="2"/>
  <c r="U5314" i="2"/>
  <c r="V5314" i="2" s="1"/>
  <c r="B5314" i="2"/>
  <c r="A5314" i="2"/>
  <c r="U5313" i="2"/>
  <c r="V5313" i="2" s="1"/>
  <c r="B5313" i="2"/>
  <c r="A5313" i="2"/>
  <c r="U5312" i="2"/>
  <c r="V5312" i="2" s="1"/>
  <c r="B5312" i="2"/>
  <c r="A5312" i="2"/>
  <c r="U5311" i="2"/>
  <c r="V5311" i="2" s="1"/>
  <c r="B5311" i="2"/>
  <c r="A5311" i="2"/>
  <c r="U5310" i="2"/>
  <c r="V5310" i="2" s="1"/>
  <c r="B5310" i="2"/>
  <c r="A5310" i="2"/>
  <c r="U5309" i="2"/>
  <c r="V5309" i="2" s="1"/>
  <c r="B5309" i="2"/>
  <c r="A5309" i="2"/>
  <c r="U5308" i="2"/>
  <c r="V5308" i="2" s="1"/>
  <c r="B5308" i="2"/>
  <c r="A5308" i="2"/>
  <c r="U5307" i="2"/>
  <c r="V5307" i="2" s="1"/>
  <c r="B5307" i="2"/>
  <c r="A5307" i="2"/>
  <c r="U5306" i="2"/>
  <c r="V5306" i="2" s="1"/>
  <c r="B5306" i="2"/>
  <c r="A5306" i="2"/>
  <c r="U5305" i="2"/>
  <c r="V5305" i="2" s="1"/>
  <c r="B5305" i="2"/>
  <c r="A5305" i="2"/>
  <c r="U5304" i="2"/>
  <c r="V5304" i="2" s="1"/>
  <c r="B5304" i="2"/>
  <c r="A5304" i="2"/>
  <c r="U5303" i="2"/>
  <c r="V5303" i="2" s="1"/>
  <c r="B5303" i="2"/>
  <c r="A5303" i="2"/>
  <c r="U5302" i="2"/>
  <c r="V5302" i="2" s="1"/>
  <c r="B5302" i="2"/>
  <c r="A5302" i="2"/>
  <c r="U5301" i="2"/>
  <c r="V5301" i="2" s="1"/>
  <c r="B5301" i="2"/>
  <c r="A5301" i="2"/>
  <c r="U5300" i="2"/>
  <c r="V5300" i="2" s="1"/>
  <c r="B5300" i="2"/>
  <c r="A5300" i="2"/>
  <c r="U5299" i="2"/>
  <c r="V5299" i="2" s="1"/>
  <c r="B5299" i="2"/>
  <c r="A5299" i="2"/>
  <c r="U5298" i="2"/>
  <c r="V5298" i="2" s="1"/>
  <c r="B5298" i="2"/>
  <c r="A5298" i="2"/>
  <c r="U5297" i="2"/>
  <c r="V5297" i="2" s="1"/>
  <c r="B5297" i="2"/>
  <c r="A5297" i="2"/>
  <c r="U5296" i="2"/>
  <c r="V5296" i="2" s="1"/>
  <c r="B5296" i="2"/>
  <c r="A5296" i="2"/>
  <c r="U5295" i="2"/>
  <c r="V5295" i="2" s="1"/>
  <c r="B5295" i="2"/>
  <c r="A5295" i="2"/>
  <c r="U5294" i="2"/>
  <c r="V5294" i="2" s="1"/>
  <c r="B5294" i="2"/>
  <c r="A5294" i="2"/>
  <c r="U5293" i="2"/>
  <c r="V5293" i="2" s="1"/>
  <c r="B5293" i="2"/>
  <c r="A5293" i="2"/>
  <c r="U5292" i="2"/>
  <c r="V5292" i="2" s="1"/>
  <c r="B5292" i="2"/>
  <c r="A5292" i="2"/>
  <c r="U5291" i="2"/>
  <c r="V5291" i="2" s="1"/>
  <c r="B5291" i="2"/>
  <c r="A5291" i="2"/>
  <c r="U5290" i="2"/>
  <c r="V5290" i="2" s="1"/>
  <c r="B5290" i="2"/>
  <c r="A5290" i="2"/>
  <c r="U5289" i="2"/>
  <c r="V5289" i="2" s="1"/>
  <c r="B5289" i="2"/>
  <c r="A5289" i="2"/>
  <c r="U5288" i="2"/>
  <c r="V5288" i="2" s="1"/>
  <c r="B5288" i="2"/>
  <c r="A5288" i="2"/>
  <c r="U5287" i="2"/>
  <c r="V5287" i="2" s="1"/>
  <c r="B5287" i="2"/>
  <c r="A5287" i="2"/>
  <c r="U5286" i="2"/>
  <c r="V5286" i="2" s="1"/>
  <c r="B5286" i="2"/>
  <c r="A5286" i="2"/>
  <c r="U5285" i="2"/>
  <c r="V5285" i="2" s="1"/>
  <c r="B5285" i="2"/>
  <c r="A5285" i="2"/>
  <c r="U5284" i="2"/>
  <c r="V5284" i="2" s="1"/>
  <c r="B5284" i="2"/>
  <c r="A5284" i="2"/>
  <c r="U5283" i="2"/>
  <c r="V5283" i="2" s="1"/>
  <c r="B5283" i="2"/>
  <c r="A5283" i="2"/>
  <c r="U5282" i="2"/>
  <c r="V5282" i="2" s="1"/>
  <c r="B5282" i="2"/>
  <c r="A5282" i="2"/>
  <c r="U5281" i="2"/>
  <c r="V5281" i="2" s="1"/>
  <c r="B5281" i="2"/>
  <c r="A5281" i="2"/>
  <c r="U5280" i="2"/>
  <c r="V5280" i="2" s="1"/>
  <c r="B5280" i="2"/>
  <c r="A5280" i="2"/>
  <c r="U5279" i="2"/>
  <c r="V5279" i="2" s="1"/>
  <c r="B5279" i="2"/>
  <c r="A5279" i="2"/>
  <c r="U5278" i="2"/>
  <c r="V5278" i="2" s="1"/>
  <c r="B5278" i="2"/>
  <c r="A5278" i="2"/>
  <c r="U5277" i="2"/>
  <c r="V5277" i="2" s="1"/>
  <c r="B5277" i="2"/>
  <c r="A5277" i="2"/>
  <c r="U5276" i="2"/>
  <c r="V5276" i="2" s="1"/>
  <c r="B5276" i="2"/>
  <c r="A5276" i="2"/>
  <c r="U5275" i="2"/>
  <c r="V5275" i="2" s="1"/>
  <c r="B5275" i="2"/>
  <c r="A5275" i="2"/>
  <c r="U5274" i="2"/>
  <c r="V5274" i="2" s="1"/>
  <c r="B5274" i="2"/>
  <c r="A5274" i="2"/>
  <c r="U5273" i="2"/>
  <c r="V5273" i="2" s="1"/>
  <c r="B5273" i="2"/>
  <c r="A5273" i="2"/>
  <c r="U5272" i="2"/>
  <c r="V5272" i="2" s="1"/>
  <c r="B5272" i="2"/>
  <c r="A5272" i="2"/>
  <c r="U5271" i="2"/>
  <c r="V5271" i="2" s="1"/>
  <c r="B5271" i="2"/>
  <c r="A5271" i="2"/>
  <c r="U5270" i="2"/>
  <c r="V5270" i="2" s="1"/>
  <c r="B5270" i="2"/>
  <c r="A5270" i="2"/>
  <c r="U5269" i="2"/>
  <c r="V5269" i="2" s="1"/>
  <c r="B5269" i="2"/>
  <c r="A5269" i="2"/>
  <c r="U5268" i="2"/>
  <c r="V5268" i="2" s="1"/>
  <c r="B5268" i="2"/>
  <c r="A5268" i="2"/>
  <c r="U5267" i="2"/>
  <c r="V5267" i="2" s="1"/>
  <c r="B5267" i="2"/>
  <c r="A5267" i="2"/>
  <c r="U5266" i="2"/>
  <c r="V5266" i="2" s="1"/>
  <c r="B5266" i="2"/>
  <c r="A5266" i="2"/>
  <c r="U5265" i="2"/>
  <c r="V5265" i="2" s="1"/>
  <c r="B5265" i="2"/>
  <c r="A5265" i="2"/>
  <c r="U5264" i="2"/>
  <c r="V5264" i="2" s="1"/>
  <c r="B5264" i="2"/>
  <c r="A5264" i="2"/>
  <c r="U5263" i="2"/>
  <c r="V5263" i="2" s="1"/>
  <c r="B5263" i="2"/>
  <c r="A5263" i="2"/>
  <c r="U5262" i="2"/>
  <c r="V5262" i="2" s="1"/>
  <c r="B5262" i="2"/>
  <c r="A5262" i="2"/>
  <c r="U5261" i="2"/>
  <c r="V5261" i="2" s="1"/>
  <c r="B5261" i="2"/>
  <c r="A5261" i="2"/>
  <c r="U5260" i="2"/>
  <c r="V5260" i="2" s="1"/>
  <c r="B5260" i="2"/>
  <c r="A5260" i="2"/>
  <c r="U5259" i="2"/>
  <c r="V5259" i="2" s="1"/>
  <c r="B5259" i="2"/>
  <c r="A5259" i="2"/>
  <c r="U5258" i="2"/>
  <c r="V5258" i="2" s="1"/>
  <c r="B5258" i="2"/>
  <c r="A5258" i="2"/>
  <c r="U5257" i="2"/>
  <c r="V5257" i="2" s="1"/>
  <c r="B5257" i="2"/>
  <c r="A5257" i="2"/>
  <c r="U5256" i="2"/>
  <c r="V5256" i="2" s="1"/>
  <c r="B5256" i="2"/>
  <c r="A5256" i="2"/>
  <c r="U5255" i="2"/>
  <c r="V5255" i="2" s="1"/>
  <c r="B5255" i="2"/>
  <c r="A5255" i="2"/>
  <c r="U5254" i="2"/>
  <c r="V5254" i="2" s="1"/>
  <c r="B5254" i="2"/>
  <c r="A5254" i="2"/>
  <c r="U5253" i="2"/>
  <c r="V5253" i="2" s="1"/>
  <c r="B5253" i="2"/>
  <c r="A5253" i="2"/>
  <c r="U5252" i="2"/>
  <c r="V5252" i="2" s="1"/>
  <c r="B5252" i="2"/>
  <c r="A5252" i="2"/>
  <c r="U5251" i="2"/>
  <c r="V5251" i="2" s="1"/>
  <c r="B5251" i="2"/>
  <c r="A5251" i="2"/>
  <c r="U5250" i="2"/>
  <c r="V5250" i="2" s="1"/>
  <c r="B5250" i="2"/>
  <c r="A5250" i="2"/>
  <c r="U5249" i="2"/>
  <c r="V5249" i="2" s="1"/>
  <c r="B5249" i="2"/>
  <c r="A5249" i="2"/>
  <c r="U5248" i="2"/>
  <c r="V5248" i="2" s="1"/>
  <c r="B5248" i="2"/>
  <c r="A5248" i="2"/>
  <c r="U5247" i="2"/>
  <c r="V5247" i="2" s="1"/>
  <c r="B5247" i="2"/>
  <c r="A5247" i="2"/>
  <c r="U5246" i="2"/>
  <c r="V5246" i="2" s="1"/>
  <c r="B5246" i="2"/>
  <c r="A5246" i="2"/>
  <c r="U5245" i="2"/>
  <c r="V5245" i="2" s="1"/>
  <c r="B5245" i="2"/>
  <c r="A5245" i="2"/>
  <c r="U5244" i="2"/>
  <c r="V5244" i="2" s="1"/>
  <c r="B5244" i="2"/>
  <c r="A5244" i="2"/>
  <c r="U5243" i="2"/>
  <c r="V5243" i="2" s="1"/>
  <c r="B5243" i="2"/>
  <c r="A5243" i="2"/>
  <c r="U5242" i="2"/>
  <c r="V5242" i="2" s="1"/>
  <c r="B5242" i="2"/>
  <c r="A5242" i="2"/>
  <c r="U5241" i="2"/>
  <c r="V5241" i="2" s="1"/>
  <c r="B5241" i="2"/>
  <c r="A5241" i="2"/>
  <c r="U5240" i="2"/>
  <c r="V5240" i="2" s="1"/>
  <c r="B5240" i="2"/>
  <c r="A5240" i="2"/>
  <c r="U5239" i="2"/>
  <c r="V5239" i="2" s="1"/>
  <c r="B5239" i="2"/>
  <c r="A5239" i="2"/>
  <c r="U5238" i="2"/>
  <c r="V5238" i="2" s="1"/>
  <c r="B5238" i="2"/>
  <c r="A5238" i="2"/>
  <c r="U5237" i="2"/>
  <c r="V5237" i="2" s="1"/>
  <c r="B5237" i="2"/>
  <c r="A5237" i="2"/>
  <c r="U5236" i="2"/>
  <c r="V5236" i="2" s="1"/>
  <c r="B5236" i="2"/>
  <c r="A5236" i="2"/>
  <c r="U5235" i="2"/>
  <c r="V5235" i="2" s="1"/>
  <c r="B5235" i="2"/>
  <c r="A5235" i="2"/>
  <c r="U5234" i="2"/>
  <c r="V5234" i="2" s="1"/>
  <c r="B5234" i="2"/>
  <c r="A5234" i="2"/>
  <c r="U5233" i="2"/>
  <c r="V5233" i="2" s="1"/>
  <c r="B5233" i="2"/>
  <c r="A5233" i="2"/>
  <c r="U5232" i="2"/>
  <c r="V5232" i="2" s="1"/>
  <c r="B5232" i="2"/>
  <c r="A5232" i="2"/>
  <c r="U5231" i="2"/>
  <c r="V5231" i="2" s="1"/>
  <c r="B5231" i="2"/>
  <c r="A5231" i="2"/>
  <c r="U5230" i="2"/>
  <c r="V5230" i="2" s="1"/>
  <c r="B5230" i="2"/>
  <c r="A5230" i="2"/>
  <c r="U5229" i="2"/>
  <c r="V5229" i="2" s="1"/>
  <c r="B5229" i="2"/>
  <c r="A5229" i="2"/>
  <c r="U5228" i="2"/>
  <c r="V5228" i="2" s="1"/>
  <c r="B5228" i="2"/>
  <c r="A5228" i="2"/>
  <c r="U5227" i="2"/>
  <c r="V5227" i="2" s="1"/>
  <c r="B5227" i="2"/>
  <c r="A5227" i="2"/>
  <c r="U5226" i="2"/>
  <c r="V5226" i="2" s="1"/>
  <c r="B5226" i="2"/>
  <c r="A5226" i="2"/>
  <c r="U5225" i="2"/>
  <c r="V5225" i="2" s="1"/>
  <c r="B5225" i="2"/>
  <c r="A5225" i="2"/>
  <c r="U5224" i="2"/>
  <c r="V5224" i="2" s="1"/>
  <c r="B5224" i="2"/>
  <c r="A5224" i="2"/>
  <c r="U5223" i="2"/>
  <c r="V5223" i="2" s="1"/>
  <c r="B5223" i="2"/>
  <c r="A5223" i="2"/>
  <c r="U5222" i="2"/>
  <c r="V5222" i="2" s="1"/>
  <c r="B5222" i="2"/>
  <c r="A5222" i="2"/>
  <c r="U5221" i="2"/>
  <c r="V5221" i="2" s="1"/>
  <c r="B5221" i="2"/>
  <c r="A5221" i="2"/>
  <c r="U5220" i="2"/>
  <c r="V5220" i="2" s="1"/>
  <c r="B5220" i="2"/>
  <c r="A5220" i="2"/>
  <c r="U5219" i="2"/>
  <c r="V5219" i="2" s="1"/>
  <c r="B5219" i="2"/>
  <c r="A5219" i="2"/>
  <c r="U5218" i="2"/>
  <c r="V5218" i="2" s="1"/>
  <c r="B5218" i="2"/>
  <c r="A5218" i="2"/>
  <c r="U5217" i="2"/>
  <c r="V5217" i="2" s="1"/>
  <c r="B5217" i="2"/>
  <c r="A5217" i="2"/>
  <c r="U5216" i="2"/>
  <c r="V5216" i="2" s="1"/>
  <c r="B5216" i="2"/>
  <c r="A5216" i="2"/>
  <c r="U5215" i="2"/>
  <c r="V5215" i="2" s="1"/>
  <c r="B5215" i="2"/>
  <c r="A5215" i="2"/>
  <c r="U5214" i="2"/>
  <c r="V5214" i="2" s="1"/>
  <c r="B5214" i="2"/>
  <c r="A5214" i="2"/>
  <c r="U5213" i="2"/>
  <c r="V5213" i="2" s="1"/>
  <c r="B5213" i="2"/>
  <c r="A5213" i="2"/>
  <c r="U5212" i="2"/>
  <c r="V5212" i="2" s="1"/>
  <c r="B5212" i="2"/>
  <c r="A5212" i="2"/>
  <c r="U5211" i="2"/>
  <c r="V5211" i="2" s="1"/>
  <c r="B5211" i="2"/>
  <c r="A5211" i="2"/>
  <c r="U5210" i="2"/>
  <c r="V5210" i="2" s="1"/>
  <c r="B5210" i="2"/>
  <c r="A5210" i="2"/>
  <c r="U5209" i="2"/>
  <c r="V5209" i="2" s="1"/>
  <c r="B5209" i="2"/>
  <c r="A5209" i="2"/>
  <c r="U5208" i="2"/>
  <c r="V5208" i="2" s="1"/>
  <c r="B5208" i="2"/>
  <c r="A5208" i="2"/>
  <c r="U5207" i="2"/>
  <c r="V5207" i="2" s="1"/>
  <c r="B5207" i="2"/>
  <c r="A5207" i="2"/>
  <c r="U5206" i="2"/>
  <c r="V5206" i="2" s="1"/>
  <c r="B5206" i="2"/>
  <c r="A5206" i="2"/>
  <c r="U5205" i="2"/>
  <c r="V5205" i="2" s="1"/>
  <c r="B5205" i="2"/>
  <c r="A5205" i="2"/>
  <c r="U5204" i="2"/>
  <c r="V5204" i="2" s="1"/>
  <c r="B5204" i="2"/>
  <c r="A5204" i="2"/>
  <c r="U5203" i="2"/>
  <c r="V5203" i="2" s="1"/>
  <c r="B5203" i="2"/>
  <c r="A5203" i="2"/>
  <c r="U5202" i="2"/>
  <c r="V5202" i="2" s="1"/>
  <c r="B5202" i="2"/>
  <c r="A5202" i="2"/>
  <c r="U5201" i="2"/>
  <c r="V5201" i="2" s="1"/>
  <c r="B5201" i="2"/>
  <c r="A5201" i="2"/>
  <c r="U5200" i="2"/>
  <c r="V5200" i="2" s="1"/>
  <c r="B5200" i="2"/>
  <c r="A5200" i="2"/>
  <c r="U5199" i="2"/>
  <c r="V5199" i="2" s="1"/>
  <c r="B5199" i="2"/>
  <c r="A5199" i="2"/>
  <c r="U5198" i="2"/>
  <c r="V5198" i="2" s="1"/>
  <c r="B5198" i="2"/>
  <c r="A5198" i="2"/>
  <c r="U5197" i="2"/>
  <c r="V5197" i="2" s="1"/>
  <c r="B5197" i="2"/>
  <c r="A5197" i="2"/>
  <c r="U5196" i="2"/>
  <c r="V5196" i="2" s="1"/>
  <c r="B5196" i="2"/>
  <c r="A5196" i="2"/>
  <c r="U5195" i="2"/>
  <c r="V5195" i="2" s="1"/>
  <c r="B5195" i="2"/>
  <c r="A5195" i="2"/>
  <c r="U5194" i="2"/>
  <c r="V5194" i="2" s="1"/>
  <c r="B5194" i="2"/>
  <c r="A5194" i="2"/>
  <c r="U5193" i="2"/>
  <c r="V5193" i="2" s="1"/>
  <c r="B5193" i="2"/>
  <c r="A5193" i="2"/>
  <c r="U5192" i="2"/>
  <c r="V5192" i="2" s="1"/>
  <c r="B5192" i="2"/>
  <c r="A5192" i="2"/>
  <c r="U5191" i="2"/>
  <c r="V5191" i="2" s="1"/>
  <c r="B5191" i="2"/>
  <c r="A5191" i="2"/>
  <c r="U5190" i="2"/>
  <c r="V5190" i="2" s="1"/>
  <c r="B5190" i="2"/>
  <c r="A5190" i="2"/>
  <c r="U5189" i="2"/>
  <c r="V5189" i="2" s="1"/>
  <c r="B5189" i="2"/>
  <c r="A5189" i="2"/>
  <c r="U5188" i="2"/>
  <c r="V5188" i="2" s="1"/>
  <c r="B5188" i="2"/>
  <c r="A5188" i="2"/>
  <c r="U5187" i="2"/>
  <c r="V5187" i="2" s="1"/>
  <c r="B5187" i="2"/>
  <c r="A5187" i="2"/>
  <c r="U5186" i="2"/>
  <c r="V5186" i="2" s="1"/>
  <c r="B5186" i="2"/>
  <c r="A5186" i="2"/>
  <c r="U5185" i="2"/>
  <c r="V5185" i="2" s="1"/>
  <c r="B5185" i="2"/>
  <c r="A5185" i="2"/>
  <c r="U5184" i="2"/>
  <c r="V5184" i="2" s="1"/>
  <c r="B5184" i="2"/>
  <c r="A5184" i="2"/>
  <c r="U5183" i="2"/>
  <c r="V5183" i="2" s="1"/>
  <c r="B5183" i="2"/>
  <c r="A5183" i="2"/>
  <c r="U5182" i="2"/>
  <c r="V5182" i="2" s="1"/>
  <c r="B5182" i="2"/>
  <c r="A5182" i="2"/>
  <c r="U5181" i="2"/>
  <c r="V5181" i="2" s="1"/>
  <c r="B5181" i="2"/>
  <c r="A5181" i="2"/>
  <c r="U5180" i="2"/>
  <c r="V5180" i="2" s="1"/>
  <c r="B5180" i="2"/>
  <c r="A5180" i="2"/>
  <c r="U5179" i="2"/>
  <c r="V5179" i="2" s="1"/>
  <c r="B5179" i="2"/>
  <c r="A5179" i="2"/>
  <c r="U5178" i="2"/>
  <c r="V5178" i="2" s="1"/>
  <c r="B5178" i="2"/>
  <c r="A5178" i="2"/>
  <c r="U5177" i="2"/>
  <c r="V5177" i="2" s="1"/>
  <c r="B5177" i="2"/>
  <c r="A5177" i="2"/>
  <c r="U5176" i="2"/>
  <c r="V5176" i="2" s="1"/>
  <c r="B5176" i="2"/>
  <c r="A5176" i="2"/>
  <c r="U5175" i="2"/>
  <c r="V5175" i="2" s="1"/>
  <c r="B5175" i="2"/>
  <c r="A5175" i="2"/>
  <c r="U5174" i="2"/>
  <c r="V5174" i="2" s="1"/>
  <c r="B5174" i="2"/>
  <c r="A5174" i="2"/>
  <c r="U5173" i="2"/>
  <c r="V5173" i="2" s="1"/>
  <c r="B5173" i="2"/>
  <c r="A5173" i="2"/>
  <c r="U5172" i="2"/>
  <c r="V5172" i="2" s="1"/>
  <c r="B5172" i="2"/>
  <c r="A5172" i="2"/>
  <c r="U5171" i="2"/>
  <c r="V5171" i="2" s="1"/>
  <c r="B5171" i="2"/>
  <c r="A5171" i="2"/>
  <c r="U5170" i="2"/>
  <c r="V5170" i="2" s="1"/>
  <c r="B5170" i="2"/>
  <c r="A5170" i="2"/>
  <c r="U5169" i="2"/>
  <c r="V5169" i="2" s="1"/>
  <c r="B5169" i="2"/>
  <c r="A5169" i="2"/>
  <c r="U5168" i="2"/>
  <c r="V5168" i="2" s="1"/>
  <c r="B5168" i="2"/>
  <c r="A5168" i="2"/>
  <c r="U5167" i="2"/>
  <c r="V5167" i="2" s="1"/>
  <c r="B5167" i="2"/>
  <c r="A5167" i="2"/>
  <c r="U5166" i="2"/>
  <c r="V5166" i="2" s="1"/>
  <c r="B5166" i="2"/>
  <c r="A5166" i="2"/>
  <c r="U5165" i="2"/>
  <c r="V5165" i="2" s="1"/>
  <c r="B5165" i="2"/>
  <c r="A5165" i="2"/>
  <c r="U5164" i="2"/>
  <c r="V5164" i="2" s="1"/>
  <c r="B5164" i="2"/>
  <c r="A5164" i="2"/>
  <c r="U5163" i="2"/>
  <c r="V5163" i="2" s="1"/>
  <c r="B5163" i="2"/>
  <c r="A5163" i="2"/>
  <c r="U5162" i="2"/>
  <c r="V5162" i="2" s="1"/>
  <c r="B5162" i="2"/>
  <c r="A5162" i="2"/>
  <c r="U5161" i="2"/>
  <c r="V5161" i="2" s="1"/>
  <c r="B5161" i="2"/>
  <c r="A5161" i="2"/>
  <c r="U5160" i="2"/>
  <c r="V5160" i="2" s="1"/>
  <c r="B5160" i="2"/>
  <c r="A5160" i="2"/>
  <c r="U5159" i="2"/>
  <c r="V5159" i="2" s="1"/>
  <c r="B5159" i="2"/>
  <c r="A5159" i="2"/>
  <c r="U5158" i="2"/>
  <c r="V5158" i="2" s="1"/>
  <c r="B5158" i="2"/>
  <c r="A5158" i="2"/>
  <c r="U5157" i="2"/>
  <c r="V5157" i="2" s="1"/>
  <c r="B5157" i="2"/>
  <c r="A5157" i="2"/>
  <c r="U5156" i="2"/>
  <c r="V5156" i="2" s="1"/>
  <c r="B5156" i="2"/>
  <c r="A5156" i="2"/>
  <c r="U5155" i="2"/>
  <c r="V5155" i="2" s="1"/>
  <c r="B5155" i="2"/>
  <c r="A5155" i="2"/>
  <c r="U5154" i="2"/>
  <c r="V5154" i="2" s="1"/>
  <c r="B5154" i="2"/>
  <c r="A5154" i="2"/>
  <c r="U5153" i="2"/>
  <c r="V5153" i="2" s="1"/>
  <c r="B5153" i="2"/>
  <c r="A5153" i="2"/>
  <c r="U5152" i="2"/>
  <c r="V5152" i="2" s="1"/>
  <c r="B5152" i="2"/>
  <c r="A5152" i="2"/>
  <c r="U5151" i="2"/>
  <c r="V5151" i="2" s="1"/>
  <c r="B5151" i="2"/>
  <c r="A5151" i="2"/>
  <c r="U5150" i="2"/>
  <c r="V5150" i="2" s="1"/>
  <c r="B5150" i="2"/>
  <c r="A5150" i="2"/>
  <c r="U5149" i="2"/>
  <c r="V5149" i="2" s="1"/>
  <c r="B5149" i="2"/>
  <c r="A5149" i="2"/>
  <c r="U5148" i="2"/>
  <c r="V5148" i="2" s="1"/>
  <c r="B5148" i="2"/>
  <c r="A5148" i="2"/>
  <c r="U5147" i="2"/>
  <c r="V5147" i="2" s="1"/>
  <c r="B5147" i="2"/>
  <c r="A5147" i="2"/>
  <c r="U5146" i="2"/>
  <c r="V5146" i="2" s="1"/>
  <c r="B5146" i="2"/>
  <c r="A5146" i="2"/>
  <c r="U5145" i="2"/>
  <c r="V5145" i="2" s="1"/>
  <c r="B5145" i="2"/>
  <c r="A5145" i="2"/>
  <c r="U5144" i="2"/>
  <c r="V5144" i="2" s="1"/>
  <c r="B5144" i="2"/>
  <c r="A5144" i="2"/>
  <c r="U5143" i="2"/>
  <c r="V5143" i="2" s="1"/>
  <c r="B5143" i="2"/>
  <c r="A5143" i="2"/>
  <c r="U5142" i="2"/>
  <c r="V5142" i="2" s="1"/>
  <c r="B5142" i="2"/>
  <c r="A5142" i="2"/>
  <c r="U5141" i="2"/>
  <c r="V5141" i="2" s="1"/>
  <c r="B5141" i="2"/>
  <c r="A5141" i="2"/>
  <c r="U5140" i="2"/>
  <c r="V5140" i="2" s="1"/>
  <c r="B5140" i="2"/>
  <c r="A5140" i="2"/>
  <c r="U5139" i="2"/>
  <c r="V5139" i="2" s="1"/>
  <c r="B5139" i="2"/>
  <c r="A5139" i="2"/>
  <c r="U5138" i="2"/>
  <c r="V5138" i="2" s="1"/>
  <c r="B5138" i="2"/>
  <c r="A5138" i="2"/>
  <c r="U5137" i="2"/>
  <c r="V5137" i="2" s="1"/>
  <c r="B5137" i="2"/>
  <c r="A5137" i="2"/>
  <c r="U5136" i="2"/>
  <c r="V5136" i="2" s="1"/>
  <c r="B5136" i="2"/>
  <c r="A5136" i="2"/>
  <c r="U5135" i="2"/>
  <c r="V5135" i="2" s="1"/>
  <c r="B5135" i="2"/>
  <c r="A5135" i="2"/>
  <c r="U5134" i="2"/>
  <c r="V5134" i="2" s="1"/>
  <c r="B5134" i="2"/>
  <c r="A5134" i="2"/>
  <c r="U5133" i="2"/>
  <c r="V5133" i="2" s="1"/>
  <c r="B5133" i="2"/>
  <c r="A5133" i="2"/>
  <c r="U5132" i="2"/>
  <c r="V5132" i="2" s="1"/>
  <c r="B5132" i="2"/>
  <c r="A5132" i="2"/>
  <c r="U5131" i="2"/>
  <c r="V5131" i="2" s="1"/>
  <c r="B5131" i="2"/>
  <c r="A5131" i="2"/>
  <c r="U5130" i="2"/>
  <c r="V5130" i="2" s="1"/>
  <c r="B5130" i="2"/>
  <c r="A5130" i="2"/>
  <c r="U5129" i="2"/>
  <c r="V5129" i="2" s="1"/>
  <c r="B5129" i="2"/>
  <c r="A5129" i="2"/>
  <c r="U5128" i="2"/>
  <c r="V5128" i="2" s="1"/>
  <c r="B5128" i="2"/>
  <c r="A5128" i="2"/>
  <c r="U5127" i="2"/>
  <c r="V5127" i="2" s="1"/>
  <c r="B5127" i="2"/>
  <c r="A5127" i="2"/>
  <c r="U5126" i="2"/>
  <c r="V5126" i="2" s="1"/>
  <c r="B5126" i="2"/>
  <c r="A5126" i="2"/>
  <c r="U5125" i="2"/>
  <c r="V5125" i="2" s="1"/>
  <c r="B5125" i="2"/>
  <c r="A5125" i="2"/>
  <c r="U5124" i="2"/>
  <c r="V5124" i="2" s="1"/>
  <c r="B5124" i="2"/>
  <c r="A5124" i="2"/>
  <c r="U5123" i="2"/>
  <c r="V5123" i="2" s="1"/>
  <c r="B5123" i="2"/>
  <c r="A5123" i="2"/>
  <c r="U5122" i="2"/>
  <c r="V5122" i="2" s="1"/>
  <c r="B5122" i="2"/>
  <c r="A5122" i="2"/>
  <c r="U5121" i="2"/>
  <c r="V5121" i="2" s="1"/>
  <c r="B5121" i="2"/>
  <c r="A5121" i="2"/>
  <c r="U5120" i="2"/>
  <c r="V5120" i="2" s="1"/>
  <c r="B5120" i="2"/>
  <c r="A5120" i="2"/>
  <c r="U5119" i="2"/>
  <c r="V5119" i="2" s="1"/>
  <c r="B5119" i="2"/>
  <c r="A5119" i="2"/>
  <c r="U5118" i="2"/>
  <c r="V5118" i="2" s="1"/>
  <c r="B5118" i="2"/>
  <c r="A5118" i="2"/>
  <c r="U5117" i="2"/>
  <c r="V5117" i="2" s="1"/>
  <c r="B5117" i="2"/>
  <c r="A5117" i="2"/>
  <c r="U5116" i="2"/>
  <c r="V5116" i="2" s="1"/>
  <c r="B5116" i="2"/>
  <c r="A5116" i="2"/>
  <c r="U5115" i="2"/>
  <c r="V5115" i="2" s="1"/>
  <c r="B5115" i="2"/>
  <c r="A5115" i="2"/>
  <c r="U5114" i="2"/>
  <c r="V5114" i="2" s="1"/>
  <c r="B5114" i="2"/>
  <c r="A5114" i="2"/>
  <c r="U5113" i="2"/>
  <c r="V5113" i="2" s="1"/>
  <c r="B5113" i="2"/>
  <c r="A5113" i="2"/>
  <c r="U5112" i="2"/>
  <c r="V5112" i="2" s="1"/>
  <c r="B5112" i="2"/>
  <c r="A5112" i="2"/>
  <c r="U5111" i="2"/>
  <c r="V5111" i="2" s="1"/>
  <c r="B5111" i="2"/>
  <c r="A5111" i="2"/>
  <c r="U5110" i="2"/>
  <c r="V5110" i="2" s="1"/>
  <c r="B5110" i="2"/>
  <c r="A5110" i="2"/>
  <c r="U5109" i="2"/>
  <c r="V5109" i="2" s="1"/>
  <c r="B5109" i="2"/>
  <c r="A5109" i="2"/>
  <c r="U5108" i="2"/>
  <c r="V5108" i="2" s="1"/>
  <c r="B5108" i="2"/>
  <c r="A5108" i="2"/>
  <c r="U5107" i="2"/>
  <c r="V5107" i="2" s="1"/>
  <c r="B5107" i="2"/>
  <c r="A5107" i="2"/>
  <c r="U5106" i="2"/>
  <c r="V5106" i="2" s="1"/>
  <c r="B5106" i="2"/>
  <c r="A5106" i="2"/>
  <c r="U5105" i="2"/>
  <c r="V5105" i="2" s="1"/>
  <c r="B5105" i="2"/>
  <c r="A5105" i="2"/>
  <c r="U5104" i="2"/>
  <c r="V5104" i="2" s="1"/>
  <c r="B5104" i="2"/>
  <c r="A5104" i="2"/>
  <c r="U5103" i="2"/>
  <c r="V5103" i="2" s="1"/>
  <c r="B5103" i="2"/>
  <c r="A5103" i="2"/>
  <c r="U5102" i="2"/>
  <c r="V5102" i="2" s="1"/>
  <c r="B5102" i="2"/>
  <c r="A5102" i="2"/>
  <c r="U5101" i="2"/>
  <c r="V5101" i="2" s="1"/>
  <c r="B5101" i="2"/>
  <c r="A5101" i="2"/>
  <c r="U5100" i="2"/>
  <c r="V5100" i="2" s="1"/>
  <c r="B5100" i="2"/>
  <c r="A5100" i="2"/>
  <c r="U5099" i="2"/>
  <c r="V5099" i="2" s="1"/>
  <c r="B5099" i="2"/>
  <c r="A5099" i="2"/>
  <c r="U5098" i="2"/>
  <c r="V5098" i="2" s="1"/>
  <c r="B5098" i="2"/>
  <c r="A5098" i="2"/>
  <c r="U5097" i="2"/>
  <c r="V5097" i="2" s="1"/>
  <c r="B5097" i="2"/>
  <c r="A5097" i="2"/>
  <c r="U5096" i="2"/>
  <c r="V5096" i="2" s="1"/>
  <c r="B5096" i="2"/>
  <c r="A5096" i="2"/>
  <c r="U5095" i="2"/>
  <c r="V5095" i="2" s="1"/>
  <c r="B5095" i="2"/>
  <c r="A5095" i="2"/>
  <c r="U5094" i="2"/>
  <c r="V5094" i="2" s="1"/>
  <c r="B5094" i="2"/>
  <c r="A5094" i="2"/>
  <c r="U5093" i="2"/>
  <c r="V5093" i="2" s="1"/>
  <c r="B5093" i="2"/>
  <c r="A5093" i="2"/>
  <c r="U5092" i="2"/>
  <c r="V5092" i="2" s="1"/>
  <c r="B5092" i="2"/>
  <c r="A5092" i="2"/>
  <c r="U5091" i="2"/>
  <c r="V5091" i="2" s="1"/>
  <c r="B5091" i="2"/>
  <c r="A5091" i="2"/>
  <c r="U5090" i="2"/>
  <c r="V5090" i="2" s="1"/>
  <c r="B5090" i="2"/>
  <c r="A5090" i="2"/>
  <c r="U5089" i="2"/>
  <c r="V5089" i="2" s="1"/>
  <c r="B5089" i="2"/>
  <c r="A5089" i="2"/>
  <c r="U5088" i="2"/>
  <c r="V5088" i="2" s="1"/>
  <c r="B5088" i="2"/>
  <c r="A5088" i="2"/>
  <c r="U5087" i="2"/>
  <c r="V5087" i="2" s="1"/>
  <c r="B5087" i="2"/>
  <c r="A5087" i="2"/>
  <c r="U5086" i="2"/>
  <c r="V5086" i="2" s="1"/>
  <c r="B5086" i="2"/>
  <c r="A5086" i="2"/>
  <c r="U5085" i="2"/>
  <c r="V5085" i="2" s="1"/>
  <c r="B5085" i="2"/>
  <c r="A5085" i="2"/>
  <c r="U5084" i="2"/>
  <c r="V5084" i="2" s="1"/>
  <c r="B5084" i="2"/>
  <c r="A5084" i="2"/>
  <c r="U5083" i="2"/>
  <c r="V5083" i="2" s="1"/>
  <c r="B5083" i="2"/>
  <c r="A5083" i="2"/>
  <c r="U5082" i="2"/>
  <c r="V5082" i="2" s="1"/>
  <c r="B5082" i="2"/>
  <c r="A5082" i="2"/>
  <c r="U5081" i="2"/>
  <c r="V5081" i="2" s="1"/>
  <c r="B5081" i="2"/>
  <c r="A5081" i="2"/>
  <c r="U5080" i="2"/>
  <c r="V5080" i="2" s="1"/>
  <c r="B5080" i="2"/>
  <c r="A5080" i="2"/>
  <c r="U5079" i="2"/>
  <c r="V5079" i="2" s="1"/>
  <c r="B5079" i="2"/>
  <c r="A5079" i="2"/>
  <c r="U5078" i="2"/>
  <c r="V5078" i="2" s="1"/>
  <c r="B5078" i="2"/>
  <c r="A5078" i="2"/>
  <c r="U5077" i="2"/>
  <c r="V5077" i="2" s="1"/>
  <c r="B5077" i="2"/>
  <c r="A5077" i="2"/>
  <c r="U5076" i="2"/>
  <c r="V5076" i="2" s="1"/>
  <c r="B5076" i="2"/>
  <c r="A5076" i="2"/>
  <c r="U5075" i="2"/>
  <c r="V5075" i="2" s="1"/>
  <c r="B5075" i="2"/>
  <c r="A5075" i="2"/>
  <c r="U5074" i="2"/>
  <c r="V5074" i="2" s="1"/>
  <c r="B5074" i="2"/>
  <c r="A5074" i="2"/>
  <c r="U5073" i="2"/>
  <c r="V5073" i="2" s="1"/>
  <c r="B5073" i="2"/>
  <c r="A5073" i="2"/>
  <c r="U5072" i="2"/>
  <c r="V5072" i="2" s="1"/>
  <c r="B5072" i="2"/>
  <c r="A5072" i="2"/>
  <c r="U5071" i="2"/>
  <c r="V5071" i="2" s="1"/>
  <c r="B5071" i="2"/>
  <c r="A5071" i="2"/>
  <c r="U5070" i="2"/>
  <c r="V5070" i="2" s="1"/>
  <c r="B5070" i="2"/>
  <c r="A5070" i="2"/>
  <c r="U5069" i="2"/>
  <c r="V5069" i="2" s="1"/>
  <c r="B5069" i="2"/>
  <c r="A5069" i="2"/>
  <c r="U5068" i="2"/>
  <c r="V5068" i="2" s="1"/>
  <c r="B5068" i="2"/>
  <c r="A5068" i="2"/>
  <c r="U5067" i="2"/>
  <c r="V5067" i="2" s="1"/>
  <c r="B5067" i="2"/>
  <c r="A5067" i="2"/>
  <c r="U5066" i="2"/>
  <c r="V5066" i="2" s="1"/>
  <c r="B5066" i="2"/>
  <c r="A5066" i="2"/>
  <c r="U5065" i="2"/>
  <c r="V5065" i="2" s="1"/>
  <c r="B5065" i="2"/>
  <c r="A5065" i="2"/>
  <c r="U5064" i="2"/>
  <c r="V5064" i="2" s="1"/>
  <c r="B5064" i="2"/>
  <c r="A5064" i="2"/>
  <c r="U5063" i="2"/>
  <c r="V5063" i="2" s="1"/>
  <c r="B5063" i="2"/>
  <c r="A5063" i="2"/>
  <c r="U5062" i="2"/>
  <c r="V5062" i="2" s="1"/>
  <c r="B5062" i="2"/>
  <c r="A5062" i="2"/>
  <c r="U5061" i="2"/>
  <c r="V5061" i="2" s="1"/>
  <c r="B5061" i="2"/>
  <c r="A5061" i="2"/>
  <c r="U5060" i="2"/>
  <c r="V5060" i="2" s="1"/>
  <c r="B5060" i="2"/>
  <c r="A5060" i="2"/>
  <c r="U5059" i="2"/>
  <c r="V5059" i="2" s="1"/>
  <c r="B5059" i="2"/>
  <c r="A5059" i="2"/>
  <c r="U5058" i="2"/>
  <c r="V5058" i="2" s="1"/>
  <c r="B5058" i="2"/>
  <c r="A5058" i="2"/>
  <c r="U5057" i="2"/>
  <c r="V5057" i="2" s="1"/>
  <c r="B5057" i="2"/>
  <c r="A5057" i="2"/>
  <c r="U5056" i="2"/>
  <c r="V5056" i="2" s="1"/>
  <c r="B5056" i="2"/>
  <c r="A5056" i="2"/>
  <c r="U5055" i="2"/>
  <c r="V5055" i="2" s="1"/>
  <c r="B5055" i="2"/>
  <c r="A5055" i="2"/>
  <c r="U5054" i="2"/>
  <c r="V5054" i="2" s="1"/>
  <c r="B5054" i="2"/>
  <c r="A5054" i="2"/>
  <c r="U5053" i="2"/>
  <c r="V5053" i="2" s="1"/>
  <c r="B5053" i="2"/>
  <c r="A5053" i="2"/>
  <c r="U5052" i="2"/>
  <c r="V5052" i="2" s="1"/>
  <c r="B5052" i="2"/>
  <c r="A5052" i="2"/>
  <c r="U5051" i="2"/>
  <c r="V5051" i="2" s="1"/>
  <c r="B5051" i="2"/>
  <c r="A5051" i="2"/>
  <c r="U5050" i="2"/>
  <c r="V5050" i="2" s="1"/>
  <c r="B5050" i="2"/>
  <c r="A5050" i="2"/>
  <c r="U5049" i="2"/>
  <c r="V5049" i="2" s="1"/>
  <c r="B5049" i="2"/>
  <c r="A5049" i="2"/>
  <c r="U5048" i="2"/>
  <c r="V5048" i="2" s="1"/>
  <c r="B5048" i="2"/>
  <c r="A5048" i="2"/>
  <c r="U5047" i="2"/>
  <c r="V5047" i="2" s="1"/>
  <c r="B5047" i="2"/>
  <c r="A5047" i="2"/>
  <c r="U5046" i="2"/>
  <c r="V5046" i="2" s="1"/>
  <c r="B5046" i="2"/>
  <c r="A5046" i="2"/>
  <c r="U5045" i="2"/>
  <c r="V5045" i="2" s="1"/>
  <c r="B5045" i="2"/>
  <c r="A5045" i="2"/>
  <c r="U5044" i="2"/>
  <c r="V5044" i="2" s="1"/>
  <c r="B5044" i="2"/>
  <c r="A5044" i="2"/>
  <c r="U5043" i="2"/>
  <c r="V5043" i="2" s="1"/>
  <c r="B5043" i="2"/>
  <c r="A5043" i="2"/>
  <c r="U5042" i="2"/>
  <c r="V5042" i="2" s="1"/>
  <c r="B5042" i="2"/>
  <c r="A5042" i="2"/>
  <c r="U5041" i="2"/>
  <c r="V5041" i="2" s="1"/>
  <c r="B5041" i="2"/>
  <c r="A5041" i="2"/>
  <c r="U5040" i="2"/>
  <c r="V5040" i="2" s="1"/>
  <c r="B5040" i="2"/>
  <c r="A5040" i="2"/>
  <c r="U5039" i="2"/>
  <c r="V5039" i="2" s="1"/>
  <c r="B5039" i="2"/>
  <c r="A5039" i="2"/>
  <c r="U5038" i="2"/>
  <c r="V5038" i="2" s="1"/>
  <c r="B5038" i="2"/>
  <c r="A5038" i="2"/>
  <c r="U5037" i="2"/>
  <c r="V5037" i="2" s="1"/>
  <c r="B5037" i="2"/>
  <c r="A5037" i="2"/>
  <c r="U5036" i="2"/>
  <c r="V5036" i="2" s="1"/>
  <c r="B5036" i="2"/>
  <c r="A5036" i="2"/>
  <c r="U5035" i="2"/>
  <c r="V5035" i="2" s="1"/>
  <c r="B5035" i="2"/>
  <c r="A5035" i="2"/>
  <c r="U5034" i="2"/>
  <c r="V5034" i="2" s="1"/>
  <c r="B5034" i="2"/>
  <c r="A5034" i="2"/>
  <c r="U5033" i="2"/>
  <c r="V5033" i="2" s="1"/>
  <c r="B5033" i="2"/>
  <c r="A5033" i="2"/>
  <c r="U5032" i="2"/>
  <c r="V5032" i="2" s="1"/>
  <c r="B5032" i="2"/>
  <c r="A5032" i="2"/>
  <c r="U5031" i="2"/>
  <c r="V5031" i="2" s="1"/>
  <c r="B5031" i="2"/>
  <c r="A5031" i="2"/>
  <c r="U5030" i="2"/>
  <c r="V5030" i="2" s="1"/>
  <c r="B5030" i="2"/>
  <c r="A5030" i="2"/>
  <c r="U5029" i="2"/>
  <c r="V5029" i="2" s="1"/>
  <c r="B5029" i="2"/>
  <c r="A5029" i="2"/>
  <c r="U5028" i="2"/>
  <c r="V5028" i="2" s="1"/>
  <c r="B5028" i="2"/>
  <c r="A5028" i="2"/>
  <c r="U5027" i="2"/>
  <c r="V5027" i="2" s="1"/>
  <c r="B5027" i="2"/>
  <c r="A5027" i="2"/>
  <c r="U5026" i="2"/>
  <c r="V5026" i="2" s="1"/>
  <c r="B5026" i="2"/>
  <c r="A5026" i="2"/>
  <c r="U5025" i="2"/>
  <c r="V5025" i="2" s="1"/>
  <c r="B5025" i="2"/>
  <c r="A5025" i="2"/>
  <c r="U5024" i="2"/>
  <c r="V5024" i="2" s="1"/>
  <c r="B5024" i="2"/>
  <c r="A5024" i="2"/>
  <c r="U5023" i="2"/>
  <c r="V5023" i="2" s="1"/>
  <c r="B5023" i="2"/>
  <c r="A5023" i="2"/>
  <c r="U5022" i="2"/>
  <c r="V5022" i="2" s="1"/>
  <c r="B5022" i="2"/>
  <c r="A5022" i="2"/>
  <c r="U5021" i="2"/>
  <c r="V5021" i="2" s="1"/>
  <c r="B5021" i="2"/>
  <c r="A5021" i="2"/>
  <c r="U5020" i="2"/>
  <c r="V5020" i="2" s="1"/>
  <c r="B5020" i="2"/>
  <c r="A5020" i="2"/>
  <c r="U5019" i="2"/>
  <c r="V5019" i="2" s="1"/>
  <c r="B5019" i="2"/>
  <c r="A5019" i="2"/>
  <c r="U5018" i="2"/>
  <c r="V5018" i="2" s="1"/>
  <c r="B5018" i="2"/>
  <c r="A5018" i="2"/>
  <c r="U5017" i="2"/>
  <c r="V5017" i="2" s="1"/>
  <c r="B5017" i="2"/>
  <c r="A5017" i="2"/>
  <c r="U5016" i="2"/>
  <c r="V5016" i="2" s="1"/>
  <c r="B5016" i="2"/>
  <c r="A5016" i="2"/>
  <c r="U5015" i="2"/>
  <c r="V5015" i="2" s="1"/>
  <c r="B5015" i="2"/>
  <c r="A5015" i="2"/>
  <c r="U5014" i="2"/>
  <c r="V5014" i="2" s="1"/>
  <c r="B5014" i="2"/>
  <c r="A5014" i="2"/>
  <c r="U5013" i="2"/>
  <c r="V5013" i="2" s="1"/>
  <c r="B5013" i="2"/>
  <c r="A5013" i="2"/>
  <c r="U5012" i="2"/>
  <c r="V5012" i="2" s="1"/>
  <c r="B5012" i="2"/>
  <c r="A5012" i="2"/>
  <c r="U5011" i="2"/>
  <c r="V5011" i="2" s="1"/>
  <c r="B5011" i="2"/>
  <c r="A5011" i="2"/>
  <c r="U5010" i="2"/>
  <c r="V5010" i="2" s="1"/>
  <c r="B5010" i="2"/>
  <c r="A5010" i="2"/>
  <c r="U5009" i="2"/>
  <c r="V5009" i="2" s="1"/>
  <c r="B5009" i="2"/>
  <c r="A5009" i="2"/>
  <c r="U5008" i="2"/>
  <c r="V5008" i="2" s="1"/>
  <c r="B5008" i="2"/>
  <c r="A5008" i="2"/>
  <c r="U5007" i="2"/>
  <c r="V5007" i="2" s="1"/>
  <c r="B5007" i="2"/>
  <c r="A5007" i="2"/>
  <c r="U5006" i="2"/>
  <c r="V5006" i="2" s="1"/>
  <c r="B5006" i="2"/>
  <c r="A5006" i="2"/>
  <c r="U5005" i="2"/>
  <c r="V5005" i="2" s="1"/>
  <c r="B5005" i="2"/>
  <c r="A5005" i="2"/>
  <c r="U5004" i="2"/>
  <c r="V5004" i="2" s="1"/>
  <c r="B5004" i="2"/>
  <c r="A5004" i="2"/>
  <c r="U5003" i="2"/>
  <c r="V5003" i="2" s="1"/>
  <c r="B5003" i="2"/>
  <c r="A5003" i="2"/>
  <c r="U5002" i="2"/>
  <c r="V5002" i="2" s="1"/>
  <c r="B5002" i="2"/>
  <c r="A5002" i="2"/>
  <c r="U5001" i="2"/>
  <c r="V5001" i="2" s="1"/>
  <c r="B5001" i="2"/>
  <c r="A5001" i="2"/>
  <c r="U5000" i="2"/>
  <c r="V5000" i="2" s="1"/>
  <c r="B5000" i="2"/>
  <c r="A5000" i="2"/>
  <c r="U4999" i="2"/>
  <c r="V4999" i="2" s="1"/>
  <c r="B4999" i="2"/>
  <c r="A4999" i="2"/>
  <c r="U4998" i="2"/>
  <c r="V4998" i="2" s="1"/>
  <c r="B4998" i="2"/>
  <c r="A4998" i="2"/>
  <c r="U4997" i="2"/>
  <c r="V4997" i="2" s="1"/>
  <c r="B4997" i="2"/>
  <c r="A4997" i="2"/>
  <c r="U4996" i="2"/>
  <c r="V4996" i="2" s="1"/>
  <c r="B4996" i="2"/>
  <c r="A4996" i="2"/>
  <c r="U4995" i="2"/>
  <c r="V4995" i="2" s="1"/>
  <c r="B4995" i="2"/>
  <c r="A4995" i="2"/>
  <c r="U4994" i="2"/>
  <c r="V4994" i="2" s="1"/>
  <c r="B4994" i="2"/>
  <c r="A4994" i="2"/>
  <c r="U4993" i="2"/>
  <c r="V4993" i="2" s="1"/>
  <c r="B4993" i="2"/>
  <c r="A4993" i="2"/>
  <c r="U4992" i="2"/>
  <c r="V4992" i="2" s="1"/>
  <c r="B4992" i="2"/>
  <c r="A4992" i="2"/>
  <c r="U4991" i="2"/>
  <c r="V4991" i="2" s="1"/>
  <c r="B4991" i="2"/>
  <c r="A4991" i="2"/>
  <c r="U4990" i="2"/>
  <c r="V4990" i="2" s="1"/>
  <c r="B4990" i="2"/>
  <c r="A4990" i="2"/>
  <c r="U4989" i="2"/>
  <c r="V4989" i="2" s="1"/>
  <c r="B4989" i="2"/>
  <c r="A4989" i="2"/>
  <c r="U4988" i="2"/>
  <c r="V4988" i="2" s="1"/>
  <c r="B4988" i="2"/>
  <c r="A4988" i="2"/>
  <c r="U4987" i="2"/>
  <c r="V4987" i="2" s="1"/>
  <c r="B4987" i="2"/>
  <c r="A4987" i="2"/>
  <c r="U4986" i="2"/>
  <c r="V4986" i="2" s="1"/>
  <c r="B4986" i="2"/>
  <c r="A4986" i="2"/>
  <c r="U4985" i="2"/>
  <c r="V4985" i="2" s="1"/>
  <c r="B4985" i="2"/>
  <c r="A4985" i="2"/>
  <c r="U4984" i="2"/>
  <c r="V4984" i="2" s="1"/>
  <c r="B4984" i="2"/>
  <c r="A4984" i="2"/>
  <c r="U4983" i="2"/>
  <c r="V4983" i="2" s="1"/>
  <c r="B4983" i="2"/>
  <c r="A4983" i="2"/>
  <c r="U4982" i="2"/>
  <c r="V4982" i="2" s="1"/>
  <c r="B4982" i="2"/>
  <c r="A4982" i="2"/>
  <c r="U4981" i="2"/>
  <c r="V4981" i="2" s="1"/>
  <c r="B4981" i="2"/>
  <c r="A4981" i="2"/>
  <c r="U4980" i="2"/>
  <c r="V4980" i="2" s="1"/>
  <c r="B4980" i="2"/>
  <c r="A4980" i="2"/>
  <c r="U4979" i="2"/>
  <c r="V4979" i="2" s="1"/>
  <c r="B4979" i="2"/>
  <c r="A4979" i="2"/>
  <c r="U4978" i="2"/>
  <c r="V4978" i="2" s="1"/>
  <c r="B4978" i="2"/>
  <c r="A4978" i="2"/>
  <c r="U4977" i="2"/>
  <c r="V4977" i="2" s="1"/>
  <c r="B4977" i="2"/>
  <c r="A4977" i="2"/>
  <c r="U4976" i="2"/>
  <c r="V4976" i="2" s="1"/>
  <c r="B4976" i="2"/>
  <c r="A4976" i="2"/>
  <c r="U4975" i="2"/>
  <c r="V4975" i="2" s="1"/>
  <c r="B4975" i="2"/>
  <c r="A4975" i="2"/>
  <c r="U4974" i="2"/>
  <c r="V4974" i="2" s="1"/>
  <c r="B4974" i="2"/>
  <c r="A4974" i="2"/>
  <c r="U4973" i="2"/>
  <c r="V4973" i="2" s="1"/>
  <c r="B4973" i="2"/>
  <c r="A4973" i="2"/>
  <c r="U4972" i="2"/>
  <c r="V4972" i="2" s="1"/>
  <c r="B4972" i="2"/>
  <c r="A4972" i="2"/>
  <c r="U4971" i="2"/>
  <c r="V4971" i="2" s="1"/>
  <c r="B4971" i="2"/>
  <c r="A4971" i="2"/>
  <c r="U4970" i="2"/>
  <c r="V4970" i="2" s="1"/>
  <c r="B4970" i="2"/>
  <c r="A4970" i="2"/>
  <c r="U4969" i="2"/>
  <c r="V4969" i="2" s="1"/>
  <c r="B4969" i="2"/>
  <c r="A4969" i="2"/>
  <c r="U4968" i="2"/>
  <c r="V4968" i="2" s="1"/>
  <c r="B4968" i="2"/>
  <c r="A4968" i="2"/>
  <c r="U4967" i="2"/>
  <c r="V4967" i="2" s="1"/>
  <c r="B4967" i="2"/>
  <c r="A4967" i="2"/>
  <c r="U4966" i="2"/>
  <c r="V4966" i="2" s="1"/>
  <c r="B4966" i="2"/>
  <c r="A4966" i="2"/>
  <c r="U4965" i="2"/>
  <c r="V4965" i="2" s="1"/>
  <c r="B4965" i="2"/>
  <c r="A4965" i="2"/>
  <c r="U4964" i="2"/>
  <c r="V4964" i="2" s="1"/>
  <c r="B4964" i="2"/>
  <c r="A4964" i="2"/>
  <c r="U4963" i="2"/>
  <c r="V4963" i="2" s="1"/>
  <c r="B4963" i="2"/>
  <c r="A4963" i="2"/>
  <c r="U4962" i="2"/>
  <c r="V4962" i="2" s="1"/>
  <c r="B4962" i="2"/>
  <c r="A4962" i="2"/>
  <c r="U4961" i="2"/>
  <c r="V4961" i="2" s="1"/>
  <c r="B4961" i="2"/>
  <c r="A4961" i="2"/>
  <c r="U4960" i="2"/>
  <c r="V4960" i="2" s="1"/>
  <c r="B4960" i="2"/>
  <c r="A4960" i="2"/>
  <c r="U4959" i="2"/>
  <c r="V4959" i="2" s="1"/>
  <c r="B4959" i="2"/>
  <c r="A4959" i="2"/>
  <c r="U4958" i="2"/>
  <c r="V4958" i="2" s="1"/>
  <c r="B4958" i="2"/>
  <c r="A4958" i="2"/>
  <c r="U4957" i="2"/>
  <c r="V4957" i="2" s="1"/>
  <c r="B4957" i="2"/>
  <c r="A4957" i="2"/>
  <c r="U4956" i="2"/>
  <c r="V4956" i="2" s="1"/>
  <c r="B4956" i="2"/>
  <c r="A4956" i="2"/>
  <c r="U4955" i="2"/>
  <c r="V4955" i="2" s="1"/>
  <c r="B4955" i="2"/>
  <c r="A4955" i="2"/>
  <c r="U4954" i="2"/>
  <c r="V4954" i="2" s="1"/>
  <c r="B4954" i="2"/>
  <c r="A4954" i="2"/>
  <c r="U4953" i="2"/>
  <c r="V4953" i="2" s="1"/>
  <c r="B4953" i="2"/>
  <c r="A4953" i="2"/>
  <c r="U4952" i="2"/>
  <c r="V4952" i="2" s="1"/>
  <c r="B4952" i="2"/>
  <c r="A4952" i="2"/>
  <c r="U4951" i="2"/>
  <c r="V4951" i="2" s="1"/>
  <c r="B4951" i="2"/>
  <c r="A4951" i="2"/>
  <c r="U4950" i="2"/>
  <c r="V4950" i="2" s="1"/>
  <c r="B4950" i="2"/>
  <c r="A4950" i="2"/>
  <c r="U4949" i="2"/>
  <c r="V4949" i="2" s="1"/>
  <c r="B4949" i="2"/>
  <c r="A4949" i="2"/>
  <c r="U4948" i="2"/>
  <c r="V4948" i="2" s="1"/>
  <c r="B4948" i="2"/>
  <c r="A4948" i="2"/>
  <c r="U4947" i="2"/>
  <c r="V4947" i="2" s="1"/>
  <c r="B4947" i="2"/>
  <c r="A4947" i="2"/>
  <c r="U4946" i="2"/>
  <c r="V4946" i="2" s="1"/>
  <c r="B4946" i="2"/>
  <c r="A4946" i="2"/>
  <c r="U4945" i="2"/>
  <c r="V4945" i="2" s="1"/>
  <c r="B4945" i="2"/>
  <c r="A4945" i="2"/>
  <c r="U4944" i="2"/>
  <c r="V4944" i="2" s="1"/>
  <c r="B4944" i="2"/>
  <c r="A4944" i="2"/>
  <c r="U4943" i="2"/>
  <c r="V4943" i="2" s="1"/>
  <c r="B4943" i="2"/>
  <c r="A4943" i="2"/>
  <c r="U4942" i="2"/>
  <c r="V4942" i="2" s="1"/>
  <c r="B4942" i="2"/>
  <c r="A4942" i="2"/>
  <c r="U4941" i="2"/>
  <c r="V4941" i="2" s="1"/>
  <c r="B4941" i="2"/>
  <c r="A4941" i="2"/>
  <c r="U4940" i="2"/>
  <c r="V4940" i="2" s="1"/>
  <c r="B4940" i="2"/>
  <c r="A4940" i="2"/>
  <c r="U4939" i="2"/>
  <c r="V4939" i="2" s="1"/>
  <c r="B4939" i="2"/>
  <c r="A4939" i="2"/>
  <c r="U4938" i="2"/>
  <c r="V4938" i="2" s="1"/>
  <c r="B4938" i="2"/>
  <c r="A4938" i="2"/>
  <c r="U4937" i="2"/>
  <c r="V4937" i="2" s="1"/>
  <c r="B4937" i="2"/>
  <c r="A4937" i="2"/>
  <c r="U4936" i="2"/>
  <c r="V4936" i="2" s="1"/>
  <c r="B4936" i="2"/>
  <c r="A4936" i="2"/>
  <c r="U4935" i="2"/>
  <c r="V4935" i="2" s="1"/>
  <c r="B4935" i="2"/>
  <c r="A4935" i="2"/>
  <c r="U4934" i="2"/>
  <c r="V4934" i="2" s="1"/>
  <c r="B4934" i="2"/>
  <c r="A4934" i="2"/>
  <c r="U4933" i="2"/>
  <c r="V4933" i="2" s="1"/>
  <c r="B4933" i="2"/>
  <c r="A4933" i="2"/>
  <c r="U4932" i="2"/>
  <c r="V4932" i="2" s="1"/>
  <c r="B4932" i="2"/>
  <c r="A4932" i="2"/>
  <c r="U4931" i="2"/>
  <c r="V4931" i="2" s="1"/>
  <c r="B4931" i="2"/>
  <c r="A4931" i="2"/>
  <c r="U4930" i="2"/>
  <c r="V4930" i="2" s="1"/>
  <c r="B4930" i="2"/>
  <c r="A4930" i="2"/>
  <c r="U4929" i="2"/>
  <c r="V4929" i="2" s="1"/>
  <c r="B4929" i="2"/>
  <c r="A4929" i="2"/>
  <c r="U4928" i="2"/>
  <c r="V4928" i="2" s="1"/>
  <c r="B4928" i="2"/>
  <c r="A4928" i="2"/>
  <c r="U4927" i="2"/>
  <c r="V4927" i="2" s="1"/>
  <c r="B4927" i="2"/>
  <c r="A4927" i="2"/>
  <c r="U4926" i="2"/>
  <c r="V4926" i="2" s="1"/>
  <c r="B4926" i="2"/>
  <c r="A4926" i="2"/>
  <c r="U4925" i="2"/>
  <c r="V4925" i="2" s="1"/>
  <c r="B4925" i="2"/>
  <c r="A4925" i="2"/>
  <c r="U4924" i="2"/>
  <c r="V4924" i="2" s="1"/>
  <c r="B4924" i="2"/>
  <c r="A4924" i="2"/>
  <c r="U4923" i="2"/>
  <c r="V4923" i="2" s="1"/>
  <c r="B4923" i="2"/>
  <c r="A4923" i="2"/>
  <c r="U4922" i="2"/>
  <c r="V4922" i="2" s="1"/>
  <c r="B4922" i="2"/>
  <c r="A4922" i="2"/>
  <c r="U4921" i="2"/>
  <c r="V4921" i="2" s="1"/>
  <c r="B4921" i="2"/>
  <c r="A4921" i="2"/>
  <c r="U4920" i="2"/>
  <c r="V4920" i="2" s="1"/>
  <c r="B4920" i="2"/>
  <c r="A4920" i="2"/>
  <c r="U4919" i="2"/>
  <c r="V4919" i="2" s="1"/>
  <c r="B4919" i="2"/>
  <c r="A4919" i="2"/>
  <c r="U4918" i="2"/>
  <c r="V4918" i="2" s="1"/>
  <c r="B4918" i="2"/>
  <c r="A4918" i="2"/>
  <c r="U4917" i="2"/>
  <c r="V4917" i="2" s="1"/>
  <c r="B4917" i="2"/>
  <c r="A4917" i="2"/>
  <c r="U4916" i="2"/>
  <c r="V4916" i="2" s="1"/>
  <c r="B4916" i="2"/>
  <c r="A4916" i="2"/>
  <c r="U4915" i="2"/>
  <c r="V4915" i="2" s="1"/>
  <c r="B4915" i="2"/>
  <c r="A4915" i="2"/>
  <c r="U4914" i="2"/>
  <c r="V4914" i="2" s="1"/>
  <c r="B4914" i="2"/>
  <c r="A4914" i="2"/>
  <c r="U4913" i="2"/>
  <c r="V4913" i="2" s="1"/>
  <c r="B4913" i="2"/>
  <c r="A4913" i="2"/>
  <c r="U4912" i="2"/>
  <c r="V4912" i="2" s="1"/>
  <c r="B4912" i="2"/>
  <c r="A4912" i="2"/>
  <c r="U4911" i="2"/>
  <c r="V4911" i="2" s="1"/>
  <c r="B4911" i="2"/>
  <c r="A4911" i="2"/>
  <c r="U4910" i="2"/>
  <c r="V4910" i="2" s="1"/>
  <c r="B4910" i="2"/>
  <c r="A4910" i="2"/>
  <c r="U4909" i="2"/>
  <c r="V4909" i="2" s="1"/>
  <c r="B4909" i="2"/>
  <c r="A4909" i="2"/>
  <c r="U4908" i="2"/>
  <c r="V4908" i="2" s="1"/>
  <c r="B4908" i="2"/>
  <c r="A4908" i="2"/>
  <c r="U4907" i="2"/>
  <c r="V4907" i="2" s="1"/>
  <c r="B4907" i="2"/>
  <c r="A4907" i="2"/>
  <c r="U4906" i="2"/>
  <c r="V4906" i="2" s="1"/>
  <c r="B4906" i="2"/>
  <c r="A4906" i="2"/>
  <c r="U4905" i="2"/>
  <c r="V4905" i="2" s="1"/>
  <c r="B4905" i="2"/>
  <c r="A4905" i="2"/>
  <c r="U4904" i="2"/>
  <c r="V4904" i="2" s="1"/>
  <c r="B4904" i="2"/>
  <c r="A4904" i="2"/>
  <c r="U4903" i="2"/>
  <c r="V4903" i="2" s="1"/>
  <c r="B4903" i="2"/>
  <c r="A4903" i="2"/>
  <c r="U4902" i="2"/>
  <c r="V4902" i="2" s="1"/>
  <c r="B4902" i="2"/>
  <c r="A4902" i="2"/>
  <c r="U4901" i="2"/>
  <c r="V4901" i="2" s="1"/>
  <c r="B4901" i="2"/>
  <c r="A4901" i="2"/>
  <c r="U4900" i="2"/>
  <c r="V4900" i="2" s="1"/>
  <c r="B4900" i="2"/>
  <c r="A4900" i="2"/>
  <c r="U4899" i="2"/>
  <c r="V4899" i="2" s="1"/>
  <c r="B4899" i="2"/>
  <c r="A4899" i="2"/>
  <c r="U4898" i="2"/>
  <c r="V4898" i="2" s="1"/>
  <c r="B4898" i="2"/>
  <c r="A4898" i="2"/>
  <c r="U4897" i="2"/>
  <c r="V4897" i="2" s="1"/>
  <c r="B4897" i="2"/>
  <c r="A4897" i="2"/>
  <c r="U4896" i="2"/>
  <c r="V4896" i="2" s="1"/>
  <c r="B4896" i="2"/>
  <c r="A4896" i="2"/>
  <c r="U4895" i="2"/>
  <c r="V4895" i="2" s="1"/>
  <c r="B4895" i="2"/>
  <c r="A4895" i="2"/>
  <c r="U4894" i="2"/>
  <c r="V4894" i="2" s="1"/>
  <c r="B4894" i="2"/>
  <c r="A4894" i="2"/>
  <c r="U4893" i="2"/>
  <c r="V4893" i="2" s="1"/>
  <c r="B4893" i="2"/>
  <c r="A4893" i="2"/>
  <c r="U4892" i="2"/>
  <c r="V4892" i="2" s="1"/>
  <c r="B4892" i="2"/>
  <c r="A4892" i="2"/>
  <c r="U4891" i="2"/>
  <c r="V4891" i="2" s="1"/>
  <c r="B4891" i="2"/>
  <c r="A4891" i="2"/>
  <c r="U4890" i="2"/>
  <c r="V4890" i="2" s="1"/>
  <c r="B4890" i="2"/>
  <c r="A4890" i="2"/>
  <c r="U4889" i="2"/>
  <c r="V4889" i="2" s="1"/>
  <c r="B4889" i="2"/>
  <c r="A4889" i="2"/>
  <c r="U4888" i="2"/>
  <c r="V4888" i="2" s="1"/>
  <c r="B4888" i="2"/>
  <c r="A4888" i="2"/>
  <c r="U4887" i="2"/>
  <c r="V4887" i="2" s="1"/>
  <c r="B4887" i="2"/>
  <c r="A4887" i="2"/>
  <c r="U4886" i="2"/>
  <c r="V4886" i="2" s="1"/>
  <c r="B4886" i="2"/>
  <c r="A4886" i="2"/>
  <c r="U4885" i="2"/>
  <c r="V4885" i="2" s="1"/>
  <c r="B4885" i="2"/>
  <c r="A4885" i="2"/>
  <c r="U4884" i="2"/>
  <c r="V4884" i="2" s="1"/>
  <c r="B4884" i="2"/>
  <c r="A4884" i="2"/>
  <c r="U4883" i="2"/>
  <c r="V4883" i="2" s="1"/>
  <c r="B4883" i="2"/>
  <c r="A4883" i="2"/>
  <c r="U4882" i="2"/>
  <c r="V4882" i="2" s="1"/>
  <c r="B4882" i="2"/>
  <c r="A4882" i="2"/>
  <c r="U4881" i="2"/>
  <c r="V4881" i="2" s="1"/>
  <c r="B4881" i="2"/>
  <c r="A4881" i="2"/>
  <c r="U4880" i="2"/>
  <c r="V4880" i="2" s="1"/>
  <c r="B4880" i="2"/>
  <c r="A4880" i="2"/>
  <c r="U4879" i="2"/>
  <c r="V4879" i="2" s="1"/>
  <c r="B4879" i="2"/>
  <c r="A4879" i="2"/>
  <c r="U4878" i="2"/>
  <c r="V4878" i="2" s="1"/>
  <c r="B4878" i="2"/>
  <c r="A4878" i="2"/>
  <c r="U4877" i="2"/>
  <c r="V4877" i="2" s="1"/>
  <c r="B4877" i="2"/>
  <c r="A4877" i="2"/>
  <c r="U4876" i="2"/>
  <c r="V4876" i="2" s="1"/>
  <c r="B4876" i="2"/>
  <c r="A4876" i="2"/>
  <c r="U4875" i="2"/>
  <c r="V4875" i="2" s="1"/>
  <c r="B4875" i="2"/>
  <c r="A4875" i="2"/>
  <c r="U4874" i="2"/>
  <c r="V4874" i="2" s="1"/>
  <c r="B4874" i="2"/>
  <c r="A4874" i="2"/>
  <c r="U4873" i="2"/>
  <c r="V4873" i="2" s="1"/>
  <c r="B4873" i="2"/>
  <c r="A4873" i="2"/>
  <c r="U4872" i="2"/>
  <c r="V4872" i="2" s="1"/>
  <c r="B4872" i="2"/>
  <c r="A4872" i="2"/>
  <c r="U4871" i="2"/>
  <c r="V4871" i="2" s="1"/>
  <c r="B4871" i="2"/>
  <c r="A4871" i="2"/>
  <c r="U4870" i="2"/>
  <c r="V4870" i="2" s="1"/>
  <c r="B4870" i="2"/>
  <c r="A4870" i="2"/>
  <c r="U4869" i="2"/>
  <c r="V4869" i="2" s="1"/>
  <c r="B4869" i="2"/>
  <c r="A4869" i="2"/>
  <c r="U4868" i="2"/>
  <c r="V4868" i="2" s="1"/>
  <c r="B4868" i="2"/>
  <c r="A4868" i="2"/>
  <c r="U4867" i="2"/>
  <c r="V4867" i="2" s="1"/>
  <c r="B4867" i="2"/>
  <c r="A4867" i="2"/>
  <c r="U4866" i="2"/>
  <c r="V4866" i="2" s="1"/>
  <c r="B4866" i="2"/>
  <c r="A4866" i="2"/>
  <c r="U4865" i="2"/>
  <c r="V4865" i="2" s="1"/>
  <c r="B4865" i="2"/>
  <c r="A4865" i="2"/>
  <c r="U4864" i="2"/>
  <c r="V4864" i="2" s="1"/>
  <c r="B4864" i="2"/>
  <c r="A4864" i="2"/>
  <c r="U4863" i="2"/>
  <c r="V4863" i="2" s="1"/>
  <c r="B4863" i="2"/>
  <c r="A4863" i="2"/>
  <c r="U4862" i="2"/>
  <c r="V4862" i="2" s="1"/>
  <c r="B4862" i="2"/>
  <c r="A4862" i="2"/>
  <c r="U4861" i="2"/>
  <c r="V4861" i="2" s="1"/>
  <c r="B4861" i="2"/>
  <c r="A4861" i="2"/>
  <c r="U4860" i="2"/>
  <c r="V4860" i="2" s="1"/>
  <c r="B4860" i="2"/>
  <c r="A4860" i="2"/>
  <c r="U4859" i="2"/>
  <c r="V4859" i="2" s="1"/>
  <c r="B4859" i="2"/>
  <c r="A4859" i="2"/>
  <c r="U4858" i="2"/>
  <c r="V4858" i="2" s="1"/>
  <c r="B4858" i="2"/>
  <c r="A4858" i="2"/>
  <c r="U4857" i="2"/>
  <c r="V4857" i="2" s="1"/>
  <c r="B4857" i="2"/>
  <c r="A4857" i="2"/>
  <c r="U4856" i="2"/>
  <c r="V4856" i="2" s="1"/>
  <c r="B4856" i="2"/>
  <c r="A4856" i="2"/>
  <c r="U4855" i="2"/>
  <c r="V4855" i="2" s="1"/>
  <c r="B4855" i="2"/>
  <c r="A4855" i="2"/>
  <c r="U4854" i="2"/>
  <c r="V4854" i="2" s="1"/>
  <c r="B4854" i="2"/>
  <c r="A4854" i="2"/>
  <c r="U4853" i="2"/>
  <c r="V4853" i="2" s="1"/>
  <c r="B4853" i="2"/>
  <c r="A4853" i="2"/>
  <c r="U4852" i="2"/>
  <c r="V4852" i="2" s="1"/>
  <c r="B4852" i="2"/>
  <c r="A4852" i="2"/>
  <c r="U4851" i="2"/>
  <c r="V4851" i="2" s="1"/>
  <c r="B4851" i="2"/>
  <c r="A4851" i="2"/>
  <c r="U4850" i="2"/>
  <c r="V4850" i="2" s="1"/>
  <c r="B4850" i="2"/>
  <c r="A4850" i="2"/>
  <c r="U4849" i="2"/>
  <c r="V4849" i="2" s="1"/>
  <c r="B4849" i="2"/>
  <c r="A4849" i="2"/>
  <c r="U4848" i="2"/>
  <c r="V4848" i="2" s="1"/>
  <c r="B4848" i="2"/>
  <c r="A4848" i="2"/>
  <c r="U4847" i="2"/>
  <c r="V4847" i="2" s="1"/>
  <c r="B4847" i="2"/>
  <c r="A4847" i="2"/>
  <c r="U4846" i="2"/>
  <c r="V4846" i="2" s="1"/>
  <c r="B4846" i="2"/>
  <c r="A4846" i="2"/>
  <c r="U4845" i="2"/>
  <c r="V4845" i="2" s="1"/>
  <c r="B4845" i="2"/>
  <c r="A4845" i="2"/>
  <c r="U4844" i="2"/>
  <c r="V4844" i="2" s="1"/>
  <c r="B4844" i="2"/>
  <c r="A4844" i="2"/>
  <c r="U4843" i="2"/>
  <c r="V4843" i="2" s="1"/>
  <c r="B4843" i="2"/>
  <c r="A4843" i="2"/>
  <c r="U4842" i="2"/>
  <c r="V4842" i="2" s="1"/>
  <c r="B4842" i="2"/>
  <c r="A4842" i="2"/>
  <c r="U4841" i="2"/>
  <c r="V4841" i="2" s="1"/>
  <c r="B4841" i="2"/>
  <c r="A4841" i="2"/>
  <c r="U4840" i="2"/>
  <c r="V4840" i="2" s="1"/>
  <c r="B4840" i="2"/>
  <c r="A4840" i="2"/>
  <c r="U4839" i="2"/>
  <c r="V4839" i="2" s="1"/>
  <c r="B4839" i="2"/>
  <c r="A4839" i="2"/>
  <c r="U4838" i="2"/>
  <c r="V4838" i="2" s="1"/>
  <c r="B4838" i="2"/>
  <c r="A4838" i="2"/>
  <c r="U4837" i="2"/>
  <c r="V4837" i="2" s="1"/>
  <c r="B4837" i="2"/>
  <c r="A4837" i="2"/>
  <c r="U4836" i="2"/>
  <c r="V4836" i="2" s="1"/>
  <c r="B4836" i="2"/>
  <c r="A4836" i="2"/>
  <c r="U4835" i="2"/>
  <c r="V4835" i="2" s="1"/>
  <c r="B4835" i="2"/>
  <c r="A4835" i="2"/>
  <c r="U4834" i="2"/>
  <c r="V4834" i="2" s="1"/>
  <c r="B4834" i="2"/>
  <c r="A4834" i="2"/>
  <c r="U4833" i="2"/>
  <c r="V4833" i="2" s="1"/>
  <c r="B4833" i="2"/>
  <c r="A4833" i="2"/>
  <c r="U4832" i="2"/>
  <c r="V4832" i="2" s="1"/>
  <c r="B4832" i="2"/>
  <c r="A4832" i="2"/>
  <c r="U4831" i="2"/>
  <c r="V4831" i="2" s="1"/>
  <c r="B4831" i="2"/>
  <c r="A4831" i="2"/>
  <c r="U4830" i="2"/>
  <c r="V4830" i="2" s="1"/>
  <c r="B4830" i="2"/>
  <c r="A4830" i="2"/>
  <c r="U4829" i="2"/>
  <c r="V4829" i="2" s="1"/>
  <c r="B4829" i="2"/>
  <c r="A4829" i="2"/>
  <c r="U4828" i="2"/>
  <c r="V4828" i="2" s="1"/>
  <c r="B4828" i="2"/>
  <c r="A4828" i="2"/>
  <c r="U4827" i="2"/>
  <c r="V4827" i="2" s="1"/>
  <c r="B4827" i="2"/>
  <c r="A4827" i="2"/>
  <c r="U4826" i="2"/>
  <c r="V4826" i="2" s="1"/>
  <c r="B4826" i="2"/>
  <c r="A4826" i="2"/>
  <c r="U4825" i="2"/>
  <c r="V4825" i="2" s="1"/>
  <c r="B4825" i="2"/>
  <c r="A4825" i="2"/>
  <c r="U4824" i="2"/>
  <c r="V4824" i="2" s="1"/>
  <c r="B4824" i="2"/>
  <c r="A4824" i="2"/>
  <c r="U4823" i="2"/>
  <c r="V4823" i="2" s="1"/>
  <c r="B4823" i="2"/>
  <c r="A4823" i="2"/>
  <c r="U4822" i="2"/>
  <c r="V4822" i="2" s="1"/>
  <c r="B4822" i="2"/>
  <c r="A4822" i="2"/>
  <c r="U4821" i="2"/>
  <c r="V4821" i="2" s="1"/>
  <c r="B4821" i="2"/>
  <c r="A4821" i="2"/>
  <c r="U4820" i="2"/>
  <c r="V4820" i="2" s="1"/>
  <c r="B4820" i="2"/>
  <c r="A4820" i="2"/>
  <c r="U4819" i="2"/>
  <c r="V4819" i="2" s="1"/>
  <c r="B4819" i="2"/>
  <c r="A4819" i="2"/>
  <c r="U4818" i="2"/>
  <c r="V4818" i="2" s="1"/>
  <c r="B4818" i="2"/>
  <c r="A4818" i="2"/>
  <c r="U4817" i="2"/>
  <c r="V4817" i="2" s="1"/>
  <c r="B4817" i="2"/>
  <c r="A4817" i="2"/>
  <c r="U4816" i="2"/>
  <c r="V4816" i="2" s="1"/>
  <c r="B4816" i="2"/>
  <c r="A4816" i="2"/>
  <c r="U4815" i="2"/>
  <c r="V4815" i="2" s="1"/>
  <c r="B4815" i="2"/>
  <c r="A4815" i="2"/>
  <c r="U4814" i="2"/>
  <c r="V4814" i="2" s="1"/>
  <c r="B4814" i="2"/>
  <c r="A4814" i="2"/>
  <c r="U4813" i="2"/>
  <c r="V4813" i="2" s="1"/>
  <c r="B4813" i="2"/>
  <c r="A4813" i="2"/>
  <c r="U4812" i="2"/>
  <c r="V4812" i="2" s="1"/>
  <c r="B4812" i="2"/>
  <c r="A4812" i="2"/>
  <c r="U4811" i="2"/>
  <c r="V4811" i="2" s="1"/>
  <c r="B4811" i="2"/>
  <c r="A4811" i="2"/>
  <c r="U4810" i="2"/>
  <c r="V4810" i="2" s="1"/>
  <c r="B4810" i="2"/>
  <c r="A4810" i="2"/>
  <c r="U4809" i="2"/>
  <c r="V4809" i="2" s="1"/>
  <c r="B4809" i="2"/>
  <c r="A4809" i="2"/>
  <c r="U4808" i="2"/>
  <c r="V4808" i="2" s="1"/>
  <c r="B4808" i="2"/>
  <c r="A4808" i="2"/>
  <c r="U4807" i="2"/>
  <c r="V4807" i="2" s="1"/>
  <c r="B4807" i="2"/>
  <c r="A4807" i="2"/>
  <c r="U4806" i="2"/>
  <c r="V4806" i="2" s="1"/>
  <c r="B4806" i="2"/>
  <c r="A4806" i="2"/>
  <c r="U4805" i="2"/>
  <c r="V4805" i="2" s="1"/>
  <c r="B4805" i="2"/>
  <c r="A4805" i="2"/>
  <c r="U4804" i="2"/>
  <c r="V4804" i="2" s="1"/>
  <c r="B4804" i="2"/>
  <c r="A4804" i="2"/>
  <c r="U4803" i="2"/>
  <c r="V4803" i="2" s="1"/>
  <c r="B4803" i="2"/>
  <c r="A4803" i="2"/>
  <c r="U4802" i="2"/>
  <c r="V4802" i="2" s="1"/>
  <c r="B4802" i="2"/>
  <c r="A4802" i="2"/>
  <c r="U4801" i="2"/>
  <c r="V4801" i="2" s="1"/>
  <c r="B4801" i="2"/>
  <c r="A4801" i="2"/>
  <c r="U4800" i="2"/>
  <c r="V4800" i="2" s="1"/>
  <c r="B4800" i="2"/>
  <c r="A4800" i="2"/>
  <c r="U4799" i="2"/>
  <c r="V4799" i="2" s="1"/>
  <c r="B4799" i="2"/>
  <c r="A4799" i="2"/>
  <c r="U4798" i="2"/>
  <c r="V4798" i="2" s="1"/>
  <c r="B4798" i="2"/>
  <c r="A4798" i="2"/>
  <c r="U4797" i="2"/>
  <c r="V4797" i="2" s="1"/>
  <c r="B4797" i="2"/>
  <c r="A4797" i="2"/>
  <c r="U4796" i="2"/>
  <c r="V4796" i="2" s="1"/>
  <c r="B4796" i="2"/>
  <c r="A4796" i="2"/>
  <c r="U4795" i="2"/>
  <c r="V4795" i="2" s="1"/>
  <c r="B4795" i="2"/>
  <c r="A4795" i="2"/>
  <c r="U4794" i="2"/>
  <c r="V4794" i="2" s="1"/>
  <c r="B4794" i="2"/>
  <c r="A4794" i="2"/>
  <c r="U4793" i="2"/>
  <c r="V4793" i="2" s="1"/>
  <c r="B4793" i="2"/>
  <c r="A4793" i="2"/>
  <c r="U4792" i="2"/>
  <c r="V4792" i="2" s="1"/>
  <c r="B4792" i="2"/>
  <c r="A4792" i="2"/>
  <c r="U4791" i="2"/>
  <c r="V4791" i="2" s="1"/>
  <c r="B4791" i="2"/>
  <c r="A4791" i="2"/>
  <c r="U4790" i="2"/>
  <c r="V4790" i="2" s="1"/>
  <c r="B4790" i="2"/>
  <c r="A4790" i="2"/>
  <c r="U4789" i="2"/>
  <c r="V4789" i="2" s="1"/>
  <c r="B4789" i="2"/>
  <c r="A4789" i="2"/>
  <c r="U4788" i="2"/>
  <c r="V4788" i="2" s="1"/>
  <c r="B4788" i="2"/>
  <c r="A4788" i="2"/>
  <c r="U4787" i="2"/>
  <c r="V4787" i="2" s="1"/>
  <c r="B4787" i="2"/>
  <c r="A4787" i="2"/>
  <c r="U4786" i="2"/>
  <c r="V4786" i="2" s="1"/>
  <c r="B4786" i="2"/>
  <c r="A4786" i="2"/>
  <c r="U4785" i="2"/>
  <c r="V4785" i="2" s="1"/>
  <c r="B4785" i="2"/>
  <c r="A4785" i="2"/>
  <c r="U4784" i="2"/>
  <c r="V4784" i="2" s="1"/>
  <c r="B4784" i="2"/>
  <c r="A4784" i="2"/>
  <c r="U4783" i="2"/>
  <c r="V4783" i="2" s="1"/>
  <c r="B4783" i="2"/>
  <c r="A4783" i="2"/>
  <c r="U4782" i="2"/>
  <c r="V4782" i="2" s="1"/>
  <c r="B4782" i="2"/>
  <c r="A4782" i="2"/>
  <c r="U4781" i="2"/>
  <c r="V4781" i="2" s="1"/>
  <c r="B4781" i="2"/>
  <c r="A4781" i="2"/>
  <c r="U4780" i="2"/>
  <c r="V4780" i="2" s="1"/>
  <c r="B4780" i="2"/>
  <c r="A4780" i="2"/>
  <c r="U4779" i="2"/>
  <c r="V4779" i="2" s="1"/>
  <c r="B4779" i="2"/>
  <c r="A4779" i="2"/>
  <c r="U4778" i="2"/>
  <c r="V4778" i="2" s="1"/>
  <c r="B4778" i="2"/>
  <c r="A4778" i="2"/>
  <c r="U4777" i="2"/>
  <c r="V4777" i="2" s="1"/>
  <c r="B4777" i="2"/>
  <c r="A4777" i="2"/>
  <c r="U4776" i="2"/>
  <c r="V4776" i="2" s="1"/>
  <c r="B4776" i="2"/>
  <c r="A4776" i="2"/>
  <c r="U4775" i="2"/>
  <c r="V4775" i="2" s="1"/>
  <c r="B4775" i="2"/>
  <c r="A4775" i="2"/>
  <c r="U4774" i="2"/>
  <c r="V4774" i="2" s="1"/>
  <c r="B4774" i="2"/>
  <c r="A4774" i="2"/>
  <c r="U4773" i="2"/>
  <c r="V4773" i="2" s="1"/>
  <c r="B4773" i="2"/>
  <c r="A4773" i="2"/>
  <c r="U4772" i="2"/>
  <c r="V4772" i="2" s="1"/>
  <c r="B4772" i="2"/>
  <c r="A4772" i="2"/>
  <c r="U4771" i="2"/>
  <c r="V4771" i="2" s="1"/>
  <c r="B4771" i="2"/>
  <c r="A4771" i="2"/>
  <c r="U4770" i="2"/>
  <c r="V4770" i="2" s="1"/>
  <c r="B4770" i="2"/>
  <c r="A4770" i="2"/>
  <c r="U4769" i="2"/>
  <c r="V4769" i="2" s="1"/>
  <c r="B4769" i="2"/>
  <c r="A4769" i="2"/>
  <c r="U4768" i="2"/>
  <c r="V4768" i="2" s="1"/>
  <c r="B4768" i="2"/>
  <c r="A4768" i="2"/>
  <c r="U4767" i="2"/>
  <c r="V4767" i="2" s="1"/>
  <c r="B4767" i="2"/>
  <c r="A4767" i="2"/>
  <c r="U4766" i="2"/>
  <c r="V4766" i="2" s="1"/>
  <c r="B4766" i="2"/>
  <c r="A4766" i="2"/>
  <c r="U4765" i="2"/>
  <c r="V4765" i="2" s="1"/>
  <c r="B4765" i="2"/>
  <c r="A4765" i="2"/>
  <c r="U4764" i="2"/>
  <c r="V4764" i="2" s="1"/>
  <c r="B4764" i="2"/>
  <c r="A4764" i="2"/>
  <c r="U4763" i="2"/>
  <c r="V4763" i="2" s="1"/>
  <c r="B4763" i="2"/>
  <c r="A4763" i="2"/>
  <c r="U4762" i="2"/>
  <c r="V4762" i="2" s="1"/>
  <c r="B4762" i="2"/>
  <c r="A4762" i="2"/>
  <c r="U4761" i="2"/>
  <c r="V4761" i="2" s="1"/>
  <c r="B4761" i="2"/>
  <c r="A4761" i="2"/>
  <c r="U4760" i="2"/>
  <c r="V4760" i="2" s="1"/>
  <c r="B4760" i="2"/>
  <c r="A4760" i="2"/>
  <c r="U4759" i="2"/>
  <c r="V4759" i="2" s="1"/>
  <c r="B4759" i="2"/>
  <c r="A4759" i="2"/>
  <c r="U4758" i="2"/>
  <c r="V4758" i="2" s="1"/>
  <c r="B4758" i="2"/>
  <c r="A4758" i="2"/>
  <c r="U4757" i="2"/>
  <c r="V4757" i="2" s="1"/>
  <c r="B4757" i="2"/>
  <c r="A4757" i="2"/>
  <c r="U4756" i="2"/>
  <c r="V4756" i="2" s="1"/>
  <c r="B4756" i="2"/>
  <c r="A4756" i="2"/>
  <c r="U4755" i="2"/>
  <c r="V4755" i="2" s="1"/>
  <c r="B4755" i="2"/>
  <c r="A4755" i="2"/>
  <c r="U4754" i="2"/>
  <c r="V4754" i="2" s="1"/>
  <c r="B4754" i="2"/>
  <c r="A4754" i="2"/>
  <c r="U4753" i="2"/>
  <c r="V4753" i="2" s="1"/>
  <c r="B4753" i="2"/>
  <c r="A4753" i="2"/>
  <c r="U4752" i="2"/>
  <c r="V4752" i="2" s="1"/>
  <c r="B4752" i="2"/>
  <c r="A4752" i="2"/>
  <c r="U4751" i="2"/>
  <c r="V4751" i="2" s="1"/>
  <c r="B4751" i="2"/>
  <c r="A4751" i="2"/>
  <c r="U4750" i="2"/>
  <c r="V4750" i="2" s="1"/>
  <c r="B4750" i="2"/>
  <c r="A4750" i="2"/>
  <c r="U4749" i="2"/>
  <c r="V4749" i="2" s="1"/>
  <c r="B4749" i="2"/>
  <c r="A4749" i="2"/>
  <c r="U4748" i="2"/>
  <c r="V4748" i="2" s="1"/>
  <c r="B4748" i="2"/>
  <c r="A4748" i="2"/>
  <c r="U4747" i="2"/>
  <c r="V4747" i="2" s="1"/>
  <c r="B4747" i="2"/>
  <c r="A4747" i="2"/>
  <c r="U4746" i="2"/>
  <c r="V4746" i="2" s="1"/>
  <c r="B4746" i="2"/>
  <c r="A4746" i="2"/>
  <c r="U4745" i="2"/>
  <c r="V4745" i="2" s="1"/>
  <c r="B4745" i="2"/>
  <c r="A4745" i="2"/>
  <c r="U4744" i="2"/>
  <c r="V4744" i="2" s="1"/>
  <c r="B4744" i="2"/>
  <c r="A4744" i="2"/>
  <c r="U4743" i="2"/>
  <c r="V4743" i="2" s="1"/>
  <c r="B4743" i="2"/>
  <c r="A4743" i="2"/>
  <c r="U4742" i="2"/>
  <c r="V4742" i="2" s="1"/>
  <c r="B4742" i="2"/>
  <c r="A4742" i="2"/>
  <c r="U4741" i="2"/>
  <c r="V4741" i="2" s="1"/>
  <c r="B4741" i="2"/>
  <c r="A4741" i="2"/>
  <c r="U4740" i="2"/>
  <c r="V4740" i="2" s="1"/>
  <c r="B4740" i="2"/>
  <c r="A4740" i="2"/>
  <c r="U4739" i="2"/>
  <c r="V4739" i="2" s="1"/>
  <c r="B4739" i="2"/>
  <c r="A4739" i="2"/>
  <c r="U4738" i="2"/>
  <c r="V4738" i="2" s="1"/>
  <c r="B4738" i="2"/>
  <c r="A4738" i="2"/>
  <c r="U4737" i="2"/>
  <c r="V4737" i="2" s="1"/>
  <c r="B4737" i="2"/>
  <c r="A4737" i="2"/>
  <c r="U4736" i="2"/>
  <c r="V4736" i="2" s="1"/>
  <c r="B4736" i="2"/>
  <c r="A4736" i="2"/>
  <c r="U4735" i="2"/>
  <c r="V4735" i="2" s="1"/>
  <c r="B4735" i="2"/>
  <c r="A4735" i="2"/>
  <c r="U4734" i="2"/>
  <c r="V4734" i="2" s="1"/>
  <c r="B4734" i="2"/>
  <c r="A4734" i="2"/>
  <c r="U4733" i="2"/>
  <c r="V4733" i="2" s="1"/>
  <c r="B4733" i="2"/>
  <c r="A4733" i="2"/>
  <c r="U4732" i="2"/>
  <c r="V4732" i="2" s="1"/>
  <c r="B4732" i="2"/>
  <c r="A4732" i="2"/>
  <c r="U4731" i="2"/>
  <c r="V4731" i="2" s="1"/>
  <c r="B4731" i="2"/>
  <c r="A4731" i="2"/>
  <c r="U4730" i="2"/>
  <c r="V4730" i="2" s="1"/>
  <c r="B4730" i="2"/>
  <c r="A4730" i="2"/>
  <c r="U4729" i="2"/>
  <c r="V4729" i="2" s="1"/>
  <c r="B4729" i="2"/>
  <c r="A4729" i="2"/>
  <c r="U4728" i="2"/>
  <c r="V4728" i="2" s="1"/>
  <c r="B4728" i="2"/>
  <c r="A4728" i="2"/>
  <c r="U4727" i="2"/>
  <c r="V4727" i="2" s="1"/>
  <c r="B4727" i="2"/>
  <c r="A4727" i="2"/>
  <c r="U4726" i="2"/>
  <c r="V4726" i="2" s="1"/>
  <c r="B4726" i="2"/>
  <c r="A4726" i="2"/>
  <c r="U4725" i="2"/>
  <c r="V4725" i="2" s="1"/>
  <c r="B4725" i="2"/>
  <c r="A4725" i="2"/>
  <c r="U4724" i="2"/>
  <c r="V4724" i="2" s="1"/>
  <c r="B4724" i="2"/>
  <c r="A4724" i="2"/>
  <c r="U4723" i="2"/>
  <c r="V4723" i="2" s="1"/>
  <c r="B4723" i="2"/>
  <c r="A4723" i="2"/>
  <c r="U4722" i="2"/>
  <c r="V4722" i="2" s="1"/>
  <c r="B4722" i="2"/>
  <c r="A4722" i="2"/>
  <c r="U4721" i="2"/>
  <c r="V4721" i="2" s="1"/>
  <c r="B4721" i="2"/>
  <c r="A4721" i="2"/>
  <c r="U4720" i="2"/>
  <c r="V4720" i="2" s="1"/>
  <c r="B4720" i="2"/>
  <c r="A4720" i="2"/>
  <c r="U4719" i="2"/>
  <c r="V4719" i="2" s="1"/>
  <c r="B4719" i="2"/>
  <c r="A4719" i="2"/>
  <c r="U4718" i="2"/>
  <c r="V4718" i="2" s="1"/>
  <c r="B4718" i="2"/>
  <c r="A4718" i="2"/>
  <c r="U4717" i="2"/>
  <c r="V4717" i="2" s="1"/>
  <c r="B4717" i="2"/>
  <c r="A4717" i="2"/>
  <c r="U4716" i="2"/>
  <c r="V4716" i="2" s="1"/>
  <c r="B4716" i="2"/>
  <c r="A4716" i="2"/>
  <c r="U4715" i="2"/>
  <c r="V4715" i="2" s="1"/>
  <c r="B4715" i="2"/>
  <c r="A4715" i="2"/>
  <c r="U4714" i="2"/>
  <c r="V4714" i="2" s="1"/>
  <c r="B4714" i="2"/>
  <c r="A4714" i="2"/>
  <c r="U4713" i="2"/>
  <c r="V4713" i="2" s="1"/>
  <c r="B4713" i="2"/>
  <c r="A4713" i="2"/>
  <c r="U4712" i="2"/>
  <c r="V4712" i="2" s="1"/>
  <c r="B4712" i="2"/>
  <c r="A4712" i="2"/>
  <c r="U4711" i="2"/>
  <c r="V4711" i="2" s="1"/>
  <c r="B4711" i="2"/>
  <c r="A4711" i="2"/>
  <c r="U4710" i="2"/>
  <c r="V4710" i="2" s="1"/>
  <c r="B4710" i="2"/>
  <c r="A4710" i="2"/>
  <c r="U4709" i="2"/>
  <c r="V4709" i="2" s="1"/>
  <c r="B4709" i="2"/>
  <c r="A4709" i="2"/>
  <c r="U4708" i="2"/>
  <c r="V4708" i="2" s="1"/>
  <c r="B4708" i="2"/>
  <c r="A4708" i="2"/>
  <c r="U4707" i="2"/>
  <c r="V4707" i="2" s="1"/>
  <c r="B4707" i="2"/>
  <c r="A4707" i="2"/>
  <c r="U4706" i="2"/>
  <c r="V4706" i="2" s="1"/>
  <c r="B4706" i="2"/>
  <c r="A4706" i="2"/>
  <c r="U4705" i="2"/>
  <c r="V4705" i="2" s="1"/>
  <c r="B4705" i="2"/>
  <c r="A4705" i="2"/>
  <c r="U4704" i="2"/>
  <c r="V4704" i="2" s="1"/>
  <c r="B4704" i="2"/>
  <c r="A4704" i="2"/>
  <c r="U4703" i="2"/>
  <c r="V4703" i="2" s="1"/>
  <c r="B4703" i="2"/>
  <c r="A4703" i="2"/>
  <c r="U4702" i="2"/>
  <c r="V4702" i="2" s="1"/>
  <c r="B4702" i="2"/>
  <c r="A4702" i="2"/>
  <c r="U4701" i="2"/>
  <c r="V4701" i="2" s="1"/>
  <c r="B4701" i="2"/>
  <c r="A4701" i="2"/>
  <c r="U4700" i="2"/>
  <c r="V4700" i="2" s="1"/>
  <c r="B4700" i="2"/>
  <c r="A4700" i="2"/>
  <c r="U4699" i="2"/>
  <c r="V4699" i="2" s="1"/>
  <c r="B4699" i="2"/>
  <c r="A4699" i="2"/>
  <c r="U4698" i="2"/>
  <c r="V4698" i="2" s="1"/>
  <c r="B4698" i="2"/>
  <c r="A4698" i="2"/>
  <c r="U4697" i="2"/>
  <c r="V4697" i="2" s="1"/>
  <c r="B4697" i="2"/>
  <c r="A4697" i="2"/>
  <c r="U4696" i="2"/>
  <c r="V4696" i="2" s="1"/>
  <c r="B4696" i="2"/>
  <c r="A4696" i="2"/>
  <c r="U4695" i="2"/>
  <c r="V4695" i="2" s="1"/>
  <c r="B4695" i="2"/>
  <c r="A4695" i="2"/>
  <c r="U4694" i="2"/>
  <c r="V4694" i="2" s="1"/>
  <c r="B4694" i="2"/>
  <c r="A4694" i="2"/>
  <c r="U4693" i="2"/>
  <c r="V4693" i="2" s="1"/>
  <c r="B4693" i="2"/>
  <c r="A4693" i="2"/>
  <c r="U4692" i="2"/>
  <c r="V4692" i="2" s="1"/>
  <c r="B4692" i="2"/>
  <c r="A4692" i="2"/>
  <c r="U4691" i="2"/>
  <c r="V4691" i="2" s="1"/>
  <c r="B4691" i="2"/>
  <c r="A4691" i="2"/>
  <c r="U4690" i="2"/>
  <c r="V4690" i="2" s="1"/>
  <c r="B4690" i="2"/>
  <c r="A4690" i="2"/>
  <c r="U4689" i="2"/>
  <c r="V4689" i="2" s="1"/>
  <c r="B4689" i="2"/>
  <c r="A4689" i="2"/>
  <c r="U4688" i="2"/>
  <c r="V4688" i="2" s="1"/>
  <c r="B4688" i="2"/>
  <c r="A4688" i="2"/>
  <c r="U4687" i="2"/>
  <c r="V4687" i="2" s="1"/>
  <c r="B4687" i="2"/>
  <c r="A4687" i="2"/>
  <c r="U4686" i="2"/>
  <c r="V4686" i="2" s="1"/>
  <c r="B4686" i="2"/>
  <c r="A4686" i="2"/>
  <c r="U4685" i="2"/>
  <c r="V4685" i="2" s="1"/>
  <c r="B4685" i="2"/>
  <c r="A4685" i="2"/>
  <c r="U4684" i="2"/>
  <c r="V4684" i="2" s="1"/>
  <c r="B4684" i="2"/>
  <c r="A4684" i="2"/>
  <c r="U4683" i="2"/>
  <c r="V4683" i="2" s="1"/>
  <c r="B4683" i="2"/>
  <c r="A4683" i="2"/>
  <c r="U4682" i="2"/>
  <c r="V4682" i="2" s="1"/>
  <c r="B4682" i="2"/>
  <c r="A4682" i="2"/>
  <c r="U4681" i="2"/>
  <c r="V4681" i="2" s="1"/>
  <c r="B4681" i="2"/>
  <c r="A4681" i="2"/>
  <c r="U4680" i="2"/>
  <c r="V4680" i="2" s="1"/>
  <c r="B4680" i="2"/>
  <c r="A4680" i="2"/>
  <c r="U4679" i="2"/>
  <c r="V4679" i="2" s="1"/>
  <c r="B4679" i="2"/>
  <c r="A4679" i="2"/>
  <c r="U4678" i="2"/>
  <c r="V4678" i="2" s="1"/>
  <c r="B4678" i="2"/>
  <c r="A4678" i="2"/>
  <c r="U4677" i="2"/>
  <c r="V4677" i="2" s="1"/>
  <c r="B4677" i="2"/>
  <c r="A4677" i="2"/>
  <c r="U4676" i="2"/>
  <c r="V4676" i="2" s="1"/>
  <c r="B4676" i="2"/>
  <c r="A4676" i="2"/>
  <c r="U4675" i="2"/>
  <c r="V4675" i="2" s="1"/>
  <c r="B4675" i="2"/>
  <c r="A4675" i="2"/>
  <c r="U4674" i="2"/>
  <c r="V4674" i="2" s="1"/>
  <c r="B4674" i="2"/>
  <c r="A4674" i="2"/>
  <c r="U4673" i="2"/>
  <c r="V4673" i="2" s="1"/>
  <c r="B4673" i="2"/>
  <c r="A4673" i="2"/>
  <c r="U4672" i="2"/>
  <c r="V4672" i="2" s="1"/>
  <c r="B4672" i="2"/>
  <c r="A4672" i="2"/>
  <c r="U4671" i="2"/>
  <c r="V4671" i="2" s="1"/>
  <c r="B4671" i="2"/>
  <c r="A4671" i="2"/>
  <c r="U4670" i="2"/>
  <c r="V4670" i="2" s="1"/>
  <c r="B4670" i="2"/>
  <c r="A4670" i="2"/>
  <c r="U4669" i="2"/>
  <c r="V4669" i="2" s="1"/>
  <c r="B4669" i="2"/>
  <c r="A4669" i="2"/>
  <c r="U4668" i="2"/>
  <c r="V4668" i="2" s="1"/>
  <c r="B4668" i="2"/>
  <c r="A4668" i="2"/>
  <c r="U4667" i="2"/>
  <c r="V4667" i="2" s="1"/>
  <c r="B4667" i="2"/>
  <c r="A4667" i="2"/>
  <c r="U4666" i="2"/>
  <c r="V4666" i="2" s="1"/>
  <c r="B4666" i="2"/>
  <c r="A4666" i="2"/>
  <c r="U4665" i="2"/>
  <c r="V4665" i="2" s="1"/>
  <c r="B4665" i="2"/>
  <c r="A4665" i="2"/>
  <c r="U4664" i="2"/>
  <c r="V4664" i="2" s="1"/>
  <c r="B4664" i="2"/>
  <c r="A4664" i="2"/>
  <c r="U4663" i="2"/>
  <c r="V4663" i="2" s="1"/>
  <c r="B4663" i="2"/>
  <c r="A4663" i="2"/>
  <c r="U4662" i="2"/>
  <c r="V4662" i="2" s="1"/>
  <c r="B4662" i="2"/>
  <c r="A4662" i="2"/>
  <c r="U4661" i="2"/>
  <c r="V4661" i="2" s="1"/>
  <c r="B4661" i="2"/>
  <c r="A4661" i="2"/>
  <c r="U4660" i="2"/>
  <c r="V4660" i="2" s="1"/>
  <c r="B4660" i="2"/>
  <c r="A4660" i="2"/>
  <c r="U4659" i="2"/>
  <c r="V4659" i="2" s="1"/>
  <c r="B4659" i="2"/>
  <c r="A4659" i="2"/>
  <c r="U4658" i="2"/>
  <c r="V4658" i="2" s="1"/>
  <c r="B4658" i="2"/>
  <c r="A4658" i="2"/>
  <c r="U4657" i="2"/>
  <c r="V4657" i="2" s="1"/>
  <c r="B4657" i="2"/>
  <c r="A4657" i="2"/>
  <c r="U4656" i="2"/>
  <c r="V4656" i="2" s="1"/>
  <c r="B4656" i="2"/>
  <c r="A4656" i="2"/>
  <c r="U4655" i="2"/>
  <c r="V4655" i="2" s="1"/>
  <c r="B4655" i="2"/>
  <c r="A4655" i="2"/>
  <c r="U4654" i="2"/>
  <c r="V4654" i="2" s="1"/>
  <c r="B4654" i="2"/>
  <c r="A4654" i="2"/>
  <c r="U4653" i="2"/>
  <c r="V4653" i="2" s="1"/>
  <c r="B4653" i="2"/>
  <c r="A4653" i="2"/>
  <c r="U4652" i="2"/>
  <c r="V4652" i="2" s="1"/>
  <c r="B4652" i="2"/>
  <c r="A4652" i="2"/>
  <c r="U4651" i="2"/>
  <c r="V4651" i="2" s="1"/>
  <c r="B4651" i="2"/>
  <c r="A4651" i="2"/>
  <c r="U4650" i="2"/>
  <c r="V4650" i="2" s="1"/>
  <c r="B4650" i="2"/>
  <c r="A4650" i="2"/>
  <c r="U4649" i="2"/>
  <c r="V4649" i="2" s="1"/>
  <c r="B4649" i="2"/>
  <c r="A4649" i="2"/>
  <c r="U4648" i="2"/>
  <c r="V4648" i="2" s="1"/>
  <c r="B4648" i="2"/>
  <c r="A4648" i="2"/>
  <c r="U4647" i="2"/>
  <c r="V4647" i="2" s="1"/>
  <c r="B4647" i="2"/>
  <c r="A4647" i="2"/>
  <c r="U4646" i="2"/>
  <c r="V4646" i="2" s="1"/>
  <c r="B4646" i="2"/>
  <c r="A4646" i="2"/>
  <c r="U4645" i="2"/>
  <c r="V4645" i="2" s="1"/>
  <c r="B4645" i="2"/>
  <c r="A4645" i="2"/>
  <c r="U4644" i="2"/>
  <c r="V4644" i="2" s="1"/>
  <c r="B4644" i="2"/>
  <c r="A4644" i="2"/>
  <c r="U4643" i="2"/>
  <c r="V4643" i="2" s="1"/>
  <c r="B4643" i="2"/>
  <c r="A4643" i="2"/>
  <c r="U4642" i="2"/>
  <c r="V4642" i="2" s="1"/>
  <c r="B4642" i="2"/>
  <c r="A4642" i="2"/>
  <c r="U4641" i="2"/>
  <c r="V4641" i="2" s="1"/>
  <c r="B4641" i="2"/>
  <c r="A4641" i="2"/>
  <c r="U4640" i="2"/>
  <c r="V4640" i="2" s="1"/>
  <c r="B4640" i="2"/>
  <c r="A4640" i="2"/>
  <c r="U4639" i="2"/>
  <c r="V4639" i="2" s="1"/>
  <c r="B4639" i="2"/>
  <c r="A4639" i="2"/>
  <c r="U4638" i="2"/>
  <c r="V4638" i="2" s="1"/>
  <c r="B4638" i="2"/>
  <c r="A4638" i="2"/>
  <c r="U4637" i="2"/>
  <c r="V4637" i="2" s="1"/>
  <c r="B4637" i="2"/>
  <c r="A4637" i="2"/>
  <c r="U4636" i="2"/>
  <c r="V4636" i="2" s="1"/>
  <c r="B4636" i="2"/>
  <c r="A4636" i="2"/>
  <c r="U4635" i="2"/>
  <c r="V4635" i="2" s="1"/>
  <c r="B4635" i="2"/>
  <c r="A4635" i="2"/>
  <c r="U4634" i="2"/>
  <c r="V4634" i="2" s="1"/>
  <c r="B4634" i="2"/>
  <c r="A4634" i="2"/>
  <c r="U4633" i="2"/>
  <c r="V4633" i="2" s="1"/>
  <c r="B4633" i="2"/>
  <c r="A4633" i="2"/>
  <c r="U4632" i="2"/>
  <c r="V4632" i="2" s="1"/>
  <c r="B4632" i="2"/>
  <c r="A4632" i="2"/>
  <c r="U4631" i="2"/>
  <c r="V4631" i="2" s="1"/>
  <c r="B4631" i="2"/>
  <c r="A4631" i="2"/>
  <c r="U4630" i="2"/>
  <c r="V4630" i="2" s="1"/>
  <c r="B4630" i="2"/>
  <c r="A4630" i="2"/>
  <c r="U4629" i="2"/>
  <c r="V4629" i="2" s="1"/>
  <c r="B4629" i="2"/>
  <c r="A4629" i="2"/>
  <c r="U4628" i="2"/>
  <c r="V4628" i="2" s="1"/>
  <c r="B4628" i="2"/>
  <c r="A4628" i="2"/>
  <c r="U4627" i="2"/>
  <c r="V4627" i="2" s="1"/>
  <c r="B4627" i="2"/>
  <c r="A4627" i="2"/>
  <c r="U4626" i="2"/>
  <c r="V4626" i="2" s="1"/>
  <c r="B4626" i="2"/>
  <c r="A4626" i="2"/>
  <c r="U4625" i="2"/>
  <c r="V4625" i="2" s="1"/>
  <c r="B4625" i="2"/>
  <c r="A4625" i="2"/>
  <c r="U4624" i="2"/>
  <c r="V4624" i="2" s="1"/>
  <c r="B4624" i="2"/>
  <c r="A4624" i="2"/>
  <c r="U4623" i="2"/>
  <c r="V4623" i="2" s="1"/>
  <c r="B4623" i="2"/>
  <c r="A4623" i="2"/>
  <c r="U4622" i="2"/>
  <c r="V4622" i="2" s="1"/>
  <c r="B4622" i="2"/>
  <c r="A4622" i="2"/>
  <c r="U4621" i="2"/>
  <c r="V4621" i="2" s="1"/>
  <c r="B4621" i="2"/>
  <c r="A4621" i="2"/>
  <c r="U4620" i="2"/>
  <c r="V4620" i="2" s="1"/>
  <c r="B4620" i="2"/>
  <c r="A4620" i="2"/>
  <c r="U4619" i="2"/>
  <c r="V4619" i="2" s="1"/>
  <c r="B4619" i="2"/>
  <c r="A4619" i="2"/>
  <c r="U4618" i="2"/>
  <c r="V4618" i="2" s="1"/>
  <c r="B4618" i="2"/>
  <c r="A4618" i="2"/>
  <c r="U4617" i="2"/>
  <c r="V4617" i="2" s="1"/>
  <c r="B4617" i="2"/>
  <c r="A4617" i="2"/>
  <c r="U4616" i="2"/>
  <c r="V4616" i="2" s="1"/>
  <c r="B4616" i="2"/>
  <c r="A4616" i="2"/>
  <c r="U4615" i="2"/>
  <c r="V4615" i="2" s="1"/>
  <c r="B4615" i="2"/>
  <c r="A4615" i="2"/>
  <c r="U4614" i="2"/>
  <c r="V4614" i="2" s="1"/>
  <c r="B4614" i="2"/>
  <c r="A4614" i="2"/>
  <c r="U4613" i="2"/>
  <c r="V4613" i="2" s="1"/>
  <c r="B4613" i="2"/>
  <c r="A4613" i="2"/>
  <c r="U4612" i="2"/>
  <c r="V4612" i="2" s="1"/>
  <c r="B4612" i="2"/>
  <c r="A4612" i="2"/>
  <c r="U4611" i="2"/>
  <c r="V4611" i="2" s="1"/>
  <c r="B4611" i="2"/>
  <c r="A4611" i="2"/>
  <c r="U4610" i="2"/>
  <c r="V4610" i="2" s="1"/>
  <c r="B4610" i="2"/>
  <c r="A4610" i="2"/>
  <c r="U4609" i="2"/>
  <c r="V4609" i="2" s="1"/>
  <c r="B4609" i="2"/>
  <c r="A4609" i="2"/>
  <c r="U4608" i="2"/>
  <c r="V4608" i="2" s="1"/>
  <c r="B4608" i="2"/>
  <c r="A4608" i="2"/>
  <c r="U4607" i="2"/>
  <c r="V4607" i="2" s="1"/>
  <c r="B4607" i="2"/>
  <c r="A4607" i="2"/>
  <c r="U4606" i="2"/>
  <c r="V4606" i="2" s="1"/>
  <c r="B4606" i="2"/>
  <c r="A4606" i="2"/>
  <c r="U4605" i="2"/>
  <c r="V4605" i="2" s="1"/>
  <c r="B4605" i="2"/>
  <c r="A4605" i="2"/>
  <c r="U4604" i="2"/>
  <c r="V4604" i="2" s="1"/>
  <c r="B4604" i="2"/>
  <c r="A4604" i="2"/>
  <c r="U4603" i="2"/>
  <c r="V4603" i="2" s="1"/>
  <c r="B4603" i="2"/>
  <c r="A4603" i="2"/>
  <c r="U4602" i="2"/>
  <c r="V4602" i="2" s="1"/>
  <c r="B4602" i="2"/>
  <c r="A4602" i="2"/>
  <c r="U4601" i="2"/>
  <c r="V4601" i="2" s="1"/>
  <c r="B4601" i="2"/>
  <c r="A4601" i="2"/>
  <c r="U4600" i="2"/>
  <c r="V4600" i="2" s="1"/>
  <c r="B4600" i="2"/>
  <c r="A4600" i="2"/>
  <c r="U4599" i="2"/>
  <c r="V4599" i="2" s="1"/>
  <c r="B4599" i="2"/>
  <c r="A4599" i="2"/>
  <c r="U4598" i="2"/>
  <c r="V4598" i="2" s="1"/>
  <c r="B4598" i="2"/>
  <c r="A4598" i="2"/>
  <c r="U4597" i="2"/>
  <c r="V4597" i="2" s="1"/>
  <c r="B4597" i="2"/>
  <c r="A4597" i="2"/>
  <c r="U4596" i="2"/>
  <c r="V4596" i="2" s="1"/>
  <c r="B4596" i="2"/>
  <c r="A4596" i="2"/>
  <c r="U4595" i="2"/>
  <c r="V4595" i="2" s="1"/>
  <c r="B4595" i="2"/>
  <c r="A4595" i="2"/>
  <c r="U4594" i="2"/>
  <c r="V4594" i="2" s="1"/>
  <c r="B4594" i="2"/>
  <c r="A4594" i="2"/>
  <c r="U4593" i="2"/>
  <c r="V4593" i="2" s="1"/>
  <c r="B4593" i="2"/>
  <c r="A4593" i="2"/>
  <c r="U4592" i="2"/>
  <c r="V4592" i="2" s="1"/>
  <c r="B4592" i="2"/>
  <c r="A4592" i="2"/>
  <c r="U4591" i="2"/>
  <c r="V4591" i="2" s="1"/>
  <c r="B4591" i="2"/>
  <c r="A4591" i="2"/>
  <c r="U4590" i="2"/>
  <c r="V4590" i="2" s="1"/>
  <c r="B4590" i="2"/>
  <c r="A4590" i="2"/>
  <c r="U4589" i="2"/>
  <c r="V4589" i="2" s="1"/>
  <c r="B4589" i="2"/>
  <c r="A4589" i="2"/>
  <c r="U4588" i="2"/>
  <c r="V4588" i="2" s="1"/>
  <c r="B4588" i="2"/>
  <c r="A4588" i="2"/>
  <c r="U4587" i="2"/>
  <c r="V4587" i="2" s="1"/>
  <c r="B4587" i="2"/>
  <c r="A4587" i="2"/>
  <c r="U4586" i="2"/>
  <c r="V4586" i="2" s="1"/>
  <c r="B4586" i="2"/>
  <c r="A4586" i="2"/>
  <c r="U4585" i="2"/>
  <c r="V4585" i="2" s="1"/>
  <c r="B4585" i="2"/>
  <c r="A4585" i="2"/>
  <c r="U4584" i="2"/>
  <c r="V4584" i="2" s="1"/>
  <c r="B4584" i="2"/>
  <c r="A4584" i="2"/>
  <c r="U4583" i="2"/>
  <c r="V4583" i="2" s="1"/>
  <c r="B4583" i="2"/>
  <c r="A4583" i="2"/>
  <c r="U4582" i="2"/>
  <c r="V4582" i="2" s="1"/>
  <c r="B4582" i="2"/>
  <c r="A4582" i="2"/>
  <c r="U4581" i="2"/>
  <c r="V4581" i="2" s="1"/>
  <c r="B4581" i="2"/>
  <c r="A4581" i="2"/>
  <c r="U4580" i="2"/>
  <c r="V4580" i="2" s="1"/>
  <c r="B4580" i="2"/>
  <c r="A4580" i="2"/>
  <c r="U4579" i="2"/>
  <c r="V4579" i="2" s="1"/>
  <c r="B4579" i="2"/>
  <c r="A4579" i="2"/>
  <c r="U4578" i="2"/>
  <c r="V4578" i="2" s="1"/>
  <c r="B4578" i="2"/>
  <c r="A4578" i="2"/>
  <c r="U4577" i="2"/>
  <c r="V4577" i="2" s="1"/>
  <c r="B4577" i="2"/>
  <c r="A4577" i="2"/>
  <c r="U4576" i="2"/>
  <c r="V4576" i="2" s="1"/>
  <c r="B4576" i="2"/>
  <c r="A4576" i="2"/>
  <c r="U4575" i="2"/>
  <c r="V4575" i="2" s="1"/>
  <c r="B4575" i="2"/>
  <c r="A4575" i="2"/>
  <c r="U4574" i="2"/>
  <c r="V4574" i="2" s="1"/>
  <c r="B4574" i="2"/>
  <c r="A4574" i="2"/>
  <c r="U4573" i="2"/>
  <c r="V4573" i="2" s="1"/>
  <c r="B4573" i="2"/>
  <c r="A4573" i="2"/>
  <c r="U4572" i="2"/>
  <c r="V4572" i="2" s="1"/>
  <c r="B4572" i="2"/>
  <c r="A4572" i="2"/>
  <c r="U4571" i="2"/>
  <c r="V4571" i="2" s="1"/>
  <c r="B4571" i="2"/>
  <c r="A4571" i="2"/>
  <c r="U4570" i="2"/>
  <c r="V4570" i="2" s="1"/>
  <c r="B4570" i="2"/>
  <c r="A4570" i="2"/>
  <c r="U4569" i="2"/>
  <c r="V4569" i="2" s="1"/>
  <c r="B4569" i="2"/>
  <c r="A4569" i="2"/>
  <c r="U4568" i="2"/>
  <c r="V4568" i="2" s="1"/>
  <c r="B4568" i="2"/>
  <c r="A4568" i="2"/>
  <c r="U4567" i="2"/>
  <c r="V4567" i="2" s="1"/>
  <c r="B4567" i="2"/>
  <c r="A4567" i="2"/>
  <c r="U4566" i="2"/>
  <c r="V4566" i="2" s="1"/>
  <c r="B4566" i="2"/>
  <c r="A4566" i="2"/>
  <c r="U4565" i="2"/>
  <c r="V4565" i="2" s="1"/>
  <c r="B4565" i="2"/>
  <c r="A4565" i="2"/>
  <c r="U4564" i="2"/>
  <c r="V4564" i="2" s="1"/>
  <c r="B4564" i="2"/>
  <c r="A4564" i="2"/>
  <c r="U4563" i="2"/>
  <c r="V4563" i="2" s="1"/>
  <c r="B4563" i="2"/>
  <c r="A4563" i="2"/>
  <c r="U4562" i="2"/>
  <c r="V4562" i="2" s="1"/>
  <c r="B4562" i="2"/>
  <c r="A4562" i="2"/>
  <c r="U4561" i="2"/>
  <c r="V4561" i="2" s="1"/>
  <c r="B4561" i="2"/>
  <c r="A4561" i="2"/>
  <c r="U4560" i="2"/>
  <c r="V4560" i="2" s="1"/>
  <c r="B4560" i="2"/>
  <c r="A4560" i="2"/>
  <c r="U4559" i="2"/>
  <c r="V4559" i="2" s="1"/>
  <c r="B4559" i="2"/>
  <c r="A4559" i="2"/>
  <c r="U4558" i="2"/>
  <c r="V4558" i="2" s="1"/>
  <c r="B4558" i="2"/>
  <c r="A4558" i="2"/>
  <c r="U4557" i="2"/>
  <c r="V4557" i="2" s="1"/>
  <c r="B4557" i="2"/>
  <c r="A4557" i="2"/>
  <c r="U4556" i="2"/>
  <c r="V4556" i="2" s="1"/>
  <c r="B4556" i="2"/>
  <c r="A4556" i="2"/>
  <c r="U4555" i="2"/>
  <c r="V4555" i="2" s="1"/>
  <c r="B4555" i="2"/>
  <c r="A4555" i="2"/>
  <c r="U4554" i="2"/>
  <c r="V4554" i="2" s="1"/>
  <c r="B4554" i="2"/>
  <c r="A4554" i="2"/>
  <c r="U4553" i="2"/>
  <c r="V4553" i="2" s="1"/>
  <c r="B4553" i="2"/>
  <c r="A4553" i="2"/>
  <c r="U4552" i="2"/>
  <c r="V4552" i="2" s="1"/>
  <c r="B4552" i="2"/>
  <c r="A4552" i="2"/>
  <c r="U4551" i="2"/>
  <c r="V4551" i="2" s="1"/>
  <c r="B4551" i="2"/>
  <c r="A4551" i="2"/>
  <c r="U4550" i="2"/>
  <c r="V4550" i="2" s="1"/>
  <c r="B4550" i="2"/>
  <c r="A4550" i="2"/>
  <c r="U4549" i="2"/>
  <c r="V4549" i="2" s="1"/>
  <c r="B4549" i="2"/>
  <c r="A4549" i="2"/>
  <c r="U4548" i="2"/>
  <c r="V4548" i="2" s="1"/>
  <c r="B4548" i="2"/>
  <c r="A4548" i="2"/>
  <c r="U4547" i="2"/>
  <c r="V4547" i="2" s="1"/>
  <c r="B4547" i="2"/>
  <c r="A4547" i="2"/>
  <c r="U4546" i="2"/>
  <c r="V4546" i="2" s="1"/>
  <c r="B4546" i="2"/>
  <c r="A4546" i="2"/>
  <c r="U4545" i="2"/>
  <c r="V4545" i="2" s="1"/>
  <c r="B4545" i="2"/>
  <c r="A4545" i="2"/>
  <c r="U4544" i="2"/>
  <c r="V4544" i="2" s="1"/>
  <c r="B4544" i="2"/>
  <c r="A4544" i="2"/>
  <c r="U4543" i="2"/>
  <c r="V4543" i="2" s="1"/>
  <c r="B4543" i="2"/>
  <c r="A4543" i="2"/>
  <c r="U4542" i="2"/>
  <c r="V4542" i="2" s="1"/>
  <c r="B4542" i="2"/>
  <c r="A4542" i="2"/>
  <c r="U4541" i="2"/>
  <c r="V4541" i="2" s="1"/>
  <c r="B4541" i="2"/>
  <c r="A4541" i="2"/>
  <c r="U4540" i="2"/>
  <c r="V4540" i="2" s="1"/>
  <c r="B4540" i="2"/>
  <c r="A4540" i="2"/>
  <c r="U4539" i="2"/>
  <c r="V4539" i="2" s="1"/>
  <c r="B4539" i="2"/>
  <c r="A4539" i="2"/>
  <c r="U4538" i="2"/>
  <c r="V4538" i="2" s="1"/>
  <c r="B4538" i="2"/>
  <c r="A4538" i="2"/>
  <c r="U4537" i="2"/>
  <c r="V4537" i="2" s="1"/>
  <c r="B4537" i="2"/>
  <c r="A4537" i="2"/>
  <c r="U4536" i="2"/>
  <c r="V4536" i="2" s="1"/>
  <c r="B4536" i="2"/>
  <c r="A4536" i="2"/>
  <c r="U4535" i="2"/>
  <c r="V4535" i="2" s="1"/>
  <c r="B4535" i="2"/>
  <c r="A4535" i="2"/>
  <c r="U4534" i="2"/>
  <c r="V4534" i="2" s="1"/>
  <c r="B4534" i="2"/>
  <c r="A4534" i="2"/>
  <c r="U4533" i="2"/>
  <c r="V4533" i="2" s="1"/>
  <c r="B4533" i="2"/>
  <c r="A4533" i="2"/>
  <c r="U4532" i="2"/>
  <c r="V4532" i="2" s="1"/>
  <c r="B4532" i="2"/>
  <c r="A4532" i="2"/>
  <c r="U4531" i="2"/>
  <c r="V4531" i="2" s="1"/>
  <c r="B4531" i="2"/>
  <c r="A4531" i="2"/>
  <c r="U4530" i="2"/>
  <c r="V4530" i="2" s="1"/>
  <c r="B4530" i="2"/>
  <c r="A4530" i="2"/>
  <c r="U4529" i="2"/>
  <c r="V4529" i="2" s="1"/>
  <c r="B4529" i="2"/>
  <c r="A4529" i="2"/>
  <c r="U4528" i="2"/>
  <c r="V4528" i="2" s="1"/>
  <c r="B4528" i="2"/>
  <c r="A4528" i="2"/>
  <c r="U4527" i="2"/>
  <c r="V4527" i="2" s="1"/>
  <c r="B4527" i="2"/>
  <c r="A4527" i="2"/>
  <c r="U4526" i="2"/>
  <c r="V4526" i="2" s="1"/>
  <c r="B4526" i="2"/>
  <c r="A4526" i="2"/>
  <c r="U4525" i="2"/>
  <c r="V4525" i="2" s="1"/>
  <c r="B4525" i="2"/>
  <c r="A4525" i="2"/>
  <c r="U4524" i="2"/>
  <c r="V4524" i="2" s="1"/>
  <c r="B4524" i="2"/>
  <c r="A4524" i="2"/>
  <c r="U4523" i="2"/>
  <c r="V4523" i="2" s="1"/>
  <c r="B4523" i="2"/>
  <c r="A4523" i="2"/>
  <c r="U4522" i="2"/>
  <c r="V4522" i="2" s="1"/>
  <c r="B4522" i="2"/>
  <c r="A4522" i="2"/>
  <c r="U4521" i="2"/>
  <c r="V4521" i="2" s="1"/>
  <c r="B4521" i="2"/>
  <c r="A4521" i="2"/>
  <c r="U4520" i="2"/>
  <c r="V4520" i="2" s="1"/>
  <c r="B4520" i="2"/>
  <c r="A4520" i="2"/>
  <c r="U4519" i="2"/>
  <c r="V4519" i="2" s="1"/>
  <c r="B4519" i="2"/>
  <c r="A4519" i="2"/>
  <c r="U4518" i="2"/>
  <c r="V4518" i="2" s="1"/>
  <c r="B4518" i="2"/>
  <c r="A4518" i="2"/>
  <c r="U4517" i="2"/>
  <c r="V4517" i="2" s="1"/>
  <c r="B4517" i="2"/>
  <c r="A4517" i="2"/>
  <c r="U4516" i="2"/>
  <c r="V4516" i="2" s="1"/>
  <c r="B4516" i="2"/>
  <c r="A4516" i="2"/>
  <c r="U4515" i="2"/>
  <c r="V4515" i="2" s="1"/>
  <c r="B4515" i="2"/>
  <c r="A4515" i="2"/>
  <c r="U4514" i="2"/>
  <c r="V4514" i="2" s="1"/>
  <c r="B4514" i="2"/>
  <c r="A4514" i="2"/>
  <c r="U4513" i="2"/>
  <c r="V4513" i="2" s="1"/>
  <c r="B4513" i="2"/>
  <c r="A4513" i="2"/>
  <c r="U4512" i="2"/>
  <c r="V4512" i="2" s="1"/>
  <c r="B4512" i="2"/>
  <c r="A4512" i="2"/>
  <c r="U4511" i="2"/>
  <c r="V4511" i="2" s="1"/>
  <c r="B4511" i="2"/>
  <c r="A4511" i="2"/>
  <c r="U4510" i="2"/>
  <c r="V4510" i="2" s="1"/>
  <c r="B4510" i="2"/>
  <c r="A4510" i="2"/>
  <c r="U4509" i="2"/>
  <c r="V4509" i="2" s="1"/>
  <c r="B4509" i="2"/>
  <c r="A4509" i="2"/>
  <c r="U4508" i="2"/>
  <c r="V4508" i="2" s="1"/>
  <c r="B4508" i="2"/>
  <c r="A4508" i="2"/>
  <c r="U4507" i="2"/>
  <c r="V4507" i="2" s="1"/>
  <c r="B4507" i="2"/>
  <c r="A4507" i="2"/>
  <c r="U4506" i="2"/>
  <c r="V4506" i="2" s="1"/>
  <c r="B4506" i="2"/>
  <c r="A4506" i="2"/>
  <c r="U4505" i="2"/>
  <c r="V4505" i="2" s="1"/>
  <c r="B4505" i="2"/>
  <c r="A4505" i="2"/>
  <c r="U4504" i="2"/>
  <c r="V4504" i="2" s="1"/>
  <c r="B4504" i="2"/>
  <c r="A4504" i="2"/>
  <c r="U4503" i="2"/>
  <c r="V4503" i="2" s="1"/>
  <c r="B4503" i="2"/>
  <c r="A4503" i="2"/>
  <c r="U4502" i="2"/>
  <c r="V4502" i="2" s="1"/>
  <c r="B4502" i="2"/>
  <c r="A4502" i="2"/>
  <c r="U4501" i="2"/>
  <c r="V4501" i="2" s="1"/>
  <c r="B4501" i="2"/>
  <c r="A4501" i="2"/>
  <c r="U4500" i="2"/>
  <c r="V4500" i="2" s="1"/>
  <c r="B4500" i="2"/>
  <c r="A4500" i="2"/>
  <c r="U4499" i="2"/>
  <c r="V4499" i="2" s="1"/>
  <c r="B4499" i="2"/>
  <c r="A4499" i="2"/>
  <c r="U4498" i="2"/>
  <c r="V4498" i="2" s="1"/>
  <c r="B4498" i="2"/>
  <c r="A4498" i="2"/>
  <c r="U4497" i="2"/>
  <c r="V4497" i="2" s="1"/>
  <c r="B4497" i="2"/>
  <c r="A4497" i="2"/>
  <c r="U4496" i="2"/>
  <c r="V4496" i="2" s="1"/>
  <c r="B4496" i="2"/>
  <c r="A4496" i="2"/>
  <c r="U4495" i="2"/>
  <c r="V4495" i="2" s="1"/>
  <c r="B4495" i="2"/>
  <c r="A4495" i="2"/>
  <c r="U4494" i="2"/>
  <c r="V4494" i="2" s="1"/>
  <c r="B4494" i="2"/>
  <c r="A4494" i="2"/>
  <c r="U4493" i="2"/>
  <c r="V4493" i="2" s="1"/>
  <c r="B4493" i="2"/>
  <c r="A4493" i="2"/>
  <c r="U4492" i="2"/>
  <c r="V4492" i="2" s="1"/>
  <c r="B4492" i="2"/>
  <c r="A4492" i="2"/>
  <c r="U4491" i="2"/>
  <c r="V4491" i="2" s="1"/>
  <c r="B4491" i="2"/>
  <c r="A4491" i="2"/>
  <c r="U4490" i="2"/>
  <c r="V4490" i="2" s="1"/>
  <c r="B4490" i="2"/>
  <c r="A4490" i="2"/>
  <c r="U4489" i="2"/>
  <c r="V4489" i="2" s="1"/>
  <c r="B4489" i="2"/>
  <c r="A4489" i="2"/>
  <c r="U4488" i="2"/>
  <c r="V4488" i="2" s="1"/>
  <c r="B4488" i="2"/>
  <c r="A4488" i="2"/>
  <c r="U4487" i="2"/>
  <c r="V4487" i="2" s="1"/>
  <c r="B4487" i="2"/>
  <c r="A4487" i="2"/>
  <c r="U4486" i="2"/>
  <c r="V4486" i="2" s="1"/>
  <c r="B4486" i="2"/>
  <c r="A4486" i="2"/>
  <c r="U4485" i="2"/>
  <c r="V4485" i="2" s="1"/>
  <c r="B4485" i="2"/>
  <c r="A4485" i="2"/>
  <c r="U4484" i="2"/>
  <c r="V4484" i="2" s="1"/>
  <c r="B4484" i="2"/>
  <c r="A4484" i="2"/>
  <c r="U4483" i="2"/>
  <c r="V4483" i="2" s="1"/>
  <c r="B4483" i="2"/>
  <c r="A4483" i="2"/>
  <c r="U4482" i="2"/>
  <c r="V4482" i="2" s="1"/>
  <c r="B4482" i="2"/>
  <c r="A4482" i="2"/>
  <c r="U4481" i="2"/>
  <c r="V4481" i="2" s="1"/>
  <c r="B4481" i="2"/>
  <c r="A4481" i="2"/>
  <c r="U4480" i="2"/>
  <c r="V4480" i="2" s="1"/>
  <c r="B4480" i="2"/>
  <c r="A4480" i="2"/>
  <c r="U4479" i="2"/>
  <c r="V4479" i="2" s="1"/>
  <c r="B4479" i="2"/>
  <c r="A4479" i="2"/>
  <c r="U4478" i="2"/>
  <c r="V4478" i="2" s="1"/>
  <c r="B4478" i="2"/>
  <c r="A4478" i="2"/>
  <c r="U4477" i="2"/>
  <c r="V4477" i="2" s="1"/>
  <c r="B4477" i="2"/>
  <c r="A4477" i="2"/>
  <c r="U4476" i="2"/>
  <c r="V4476" i="2" s="1"/>
  <c r="B4476" i="2"/>
  <c r="A4476" i="2"/>
  <c r="U4475" i="2"/>
  <c r="V4475" i="2" s="1"/>
  <c r="B4475" i="2"/>
  <c r="A4475" i="2"/>
  <c r="U4474" i="2"/>
  <c r="V4474" i="2" s="1"/>
  <c r="B4474" i="2"/>
  <c r="A4474" i="2"/>
  <c r="U4473" i="2"/>
  <c r="V4473" i="2" s="1"/>
  <c r="B4473" i="2"/>
  <c r="A4473" i="2"/>
  <c r="U4472" i="2"/>
  <c r="V4472" i="2" s="1"/>
  <c r="B4472" i="2"/>
  <c r="A4472" i="2"/>
  <c r="U4471" i="2"/>
  <c r="V4471" i="2" s="1"/>
  <c r="B4471" i="2"/>
  <c r="A4471" i="2"/>
  <c r="U4470" i="2"/>
  <c r="V4470" i="2" s="1"/>
  <c r="B4470" i="2"/>
  <c r="A4470" i="2"/>
  <c r="U4469" i="2"/>
  <c r="V4469" i="2" s="1"/>
  <c r="B4469" i="2"/>
  <c r="A4469" i="2"/>
  <c r="U4468" i="2"/>
  <c r="V4468" i="2" s="1"/>
  <c r="B4468" i="2"/>
  <c r="A4468" i="2"/>
  <c r="U4467" i="2"/>
  <c r="V4467" i="2" s="1"/>
  <c r="B4467" i="2"/>
  <c r="A4467" i="2"/>
  <c r="U4466" i="2"/>
  <c r="V4466" i="2" s="1"/>
  <c r="B4466" i="2"/>
  <c r="A4466" i="2"/>
  <c r="U4465" i="2"/>
  <c r="V4465" i="2" s="1"/>
  <c r="B4465" i="2"/>
  <c r="A4465" i="2"/>
  <c r="U4464" i="2"/>
  <c r="V4464" i="2" s="1"/>
  <c r="B4464" i="2"/>
  <c r="A4464" i="2"/>
  <c r="U4463" i="2"/>
  <c r="V4463" i="2" s="1"/>
  <c r="B4463" i="2"/>
  <c r="A4463" i="2"/>
  <c r="U4462" i="2"/>
  <c r="V4462" i="2" s="1"/>
  <c r="B4462" i="2"/>
  <c r="A4462" i="2"/>
  <c r="U4461" i="2"/>
  <c r="V4461" i="2" s="1"/>
  <c r="B4461" i="2"/>
  <c r="A4461" i="2"/>
  <c r="U4460" i="2"/>
  <c r="V4460" i="2" s="1"/>
  <c r="B4460" i="2"/>
  <c r="A4460" i="2"/>
  <c r="U4459" i="2"/>
  <c r="V4459" i="2" s="1"/>
  <c r="B4459" i="2"/>
  <c r="A4459" i="2"/>
  <c r="U4458" i="2"/>
  <c r="V4458" i="2" s="1"/>
  <c r="B4458" i="2"/>
  <c r="A4458" i="2"/>
  <c r="U4457" i="2"/>
  <c r="V4457" i="2" s="1"/>
  <c r="B4457" i="2"/>
  <c r="A4457" i="2"/>
  <c r="U4456" i="2"/>
  <c r="V4456" i="2" s="1"/>
  <c r="B4456" i="2"/>
  <c r="A4456" i="2"/>
  <c r="U4455" i="2"/>
  <c r="V4455" i="2" s="1"/>
  <c r="B4455" i="2"/>
  <c r="A4455" i="2"/>
  <c r="U4454" i="2"/>
  <c r="V4454" i="2" s="1"/>
  <c r="B4454" i="2"/>
  <c r="A4454" i="2"/>
  <c r="U4453" i="2"/>
  <c r="V4453" i="2" s="1"/>
  <c r="B4453" i="2"/>
  <c r="A4453" i="2"/>
  <c r="U4452" i="2"/>
  <c r="V4452" i="2" s="1"/>
  <c r="B4452" i="2"/>
  <c r="A4452" i="2"/>
  <c r="U4451" i="2"/>
  <c r="V4451" i="2" s="1"/>
  <c r="B4451" i="2"/>
  <c r="A4451" i="2"/>
  <c r="U4450" i="2"/>
  <c r="V4450" i="2" s="1"/>
  <c r="B4450" i="2"/>
  <c r="A4450" i="2"/>
  <c r="U4449" i="2"/>
  <c r="V4449" i="2" s="1"/>
  <c r="B4449" i="2"/>
  <c r="A4449" i="2"/>
  <c r="U4448" i="2"/>
  <c r="V4448" i="2" s="1"/>
  <c r="B4448" i="2"/>
  <c r="A4448" i="2"/>
  <c r="U4447" i="2"/>
  <c r="V4447" i="2" s="1"/>
  <c r="B4447" i="2"/>
  <c r="A4447" i="2"/>
  <c r="U4446" i="2"/>
  <c r="V4446" i="2" s="1"/>
  <c r="B4446" i="2"/>
  <c r="A4446" i="2"/>
  <c r="U4445" i="2"/>
  <c r="V4445" i="2" s="1"/>
  <c r="B4445" i="2"/>
  <c r="A4445" i="2"/>
  <c r="U4444" i="2"/>
  <c r="V4444" i="2" s="1"/>
  <c r="B4444" i="2"/>
  <c r="A4444" i="2"/>
  <c r="U4443" i="2"/>
  <c r="V4443" i="2" s="1"/>
  <c r="B4443" i="2"/>
  <c r="A4443" i="2"/>
  <c r="U4442" i="2"/>
  <c r="V4442" i="2" s="1"/>
  <c r="B4442" i="2"/>
  <c r="A4442" i="2"/>
  <c r="U4441" i="2"/>
  <c r="V4441" i="2" s="1"/>
  <c r="B4441" i="2"/>
  <c r="A4441" i="2"/>
  <c r="U4440" i="2"/>
  <c r="V4440" i="2" s="1"/>
  <c r="B4440" i="2"/>
  <c r="A4440" i="2"/>
  <c r="U4439" i="2"/>
  <c r="V4439" i="2" s="1"/>
  <c r="B4439" i="2"/>
  <c r="A4439" i="2"/>
  <c r="U4438" i="2"/>
  <c r="V4438" i="2" s="1"/>
  <c r="B4438" i="2"/>
  <c r="A4438" i="2"/>
  <c r="U4437" i="2"/>
  <c r="V4437" i="2" s="1"/>
  <c r="B4437" i="2"/>
  <c r="A4437" i="2"/>
  <c r="U4436" i="2"/>
  <c r="V4436" i="2" s="1"/>
  <c r="B4436" i="2"/>
  <c r="A4436" i="2"/>
  <c r="U4435" i="2"/>
  <c r="V4435" i="2" s="1"/>
  <c r="B4435" i="2"/>
  <c r="A4435" i="2"/>
  <c r="U4434" i="2"/>
  <c r="V4434" i="2" s="1"/>
  <c r="B4434" i="2"/>
  <c r="A4434" i="2"/>
  <c r="U4433" i="2"/>
  <c r="V4433" i="2" s="1"/>
  <c r="B4433" i="2"/>
  <c r="A4433" i="2"/>
  <c r="U4432" i="2"/>
  <c r="V4432" i="2" s="1"/>
  <c r="B4432" i="2"/>
  <c r="A4432" i="2"/>
  <c r="U4431" i="2"/>
  <c r="V4431" i="2" s="1"/>
  <c r="B4431" i="2"/>
  <c r="A4431" i="2"/>
  <c r="U4430" i="2"/>
  <c r="V4430" i="2" s="1"/>
  <c r="B4430" i="2"/>
  <c r="A4430" i="2"/>
  <c r="U4429" i="2"/>
  <c r="V4429" i="2" s="1"/>
  <c r="B4429" i="2"/>
  <c r="A4429" i="2"/>
  <c r="U4428" i="2"/>
  <c r="V4428" i="2" s="1"/>
  <c r="B4428" i="2"/>
  <c r="A4428" i="2"/>
  <c r="U4427" i="2"/>
  <c r="V4427" i="2" s="1"/>
  <c r="B4427" i="2"/>
  <c r="A4427" i="2"/>
  <c r="U4426" i="2"/>
  <c r="V4426" i="2" s="1"/>
  <c r="B4426" i="2"/>
  <c r="A4426" i="2"/>
  <c r="U4425" i="2"/>
  <c r="V4425" i="2" s="1"/>
  <c r="B4425" i="2"/>
  <c r="A4425" i="2"/>
  <c r="U4424" i="2"/>
  <c r="V4424" i="2" s="1"/>
  <c r="B4424" i="2"/>
  <c r="A4424" i="2"/>
  <c r="U4423" i="2"/>
  <c r="V4423" i="2" s="1"/>
  <c r="B4423" i="2"/>
  <c r="A4423" i="2"/>
  <c r="U4422" i="2"/>
  <c r="V4422" i="2" s="1"/>
  <c r="B4422" i="2"/>
  <c r="A4422" i="2"/>
  <c r="U4421" i="2"/>
  <c r="V4421" i="2" s="1"/>
  <c r="B4421" i="2"/>
  <c r="A4421" i="2"/>
  <c r="U4420" i="2"/>
  <c r="V4420" i="2" s="1"/>
  <c r="B4420" i="2"/>
  <c r="A4420" i="2"/>
  <c r="U4419" i="2"/>
  <c r="V4419" i="2" s="1"/>
  <c r="B4419" i="2"/>
  <c r="A4419" i="2"/>
  <c r="U4418" i="2"/>
  <c r="V4418" i="2" s="1"/>
  <c r="B4418" i="2"/>
  <c r="A4418" i="2"/>
  <c r="U4417" i="2"/>
  <c r="V4417" i="2" s="1"/>
  <c r="B4417" i="2"/>
  <c r="A4417" i="2"/>
  <c r="U4416" i="2"/>
  <c r="V4416" i="2" s="1"/>
  <c r="B4416" i="2"/>
  <c r="A4416" i="2"/>
  <c r="U4415" i="2"/>
  <c r="V4415" i="2" s="1"/>
  <c r="B4415" i="2"/>
  <c r="A4415" i="2"/>
  <c r="U4414" i="2"/>
  <c r="V4414" i="2" s="1"/>
  <c r="B4414" i="2"/>
  <c r="A4414" i="2"/>
  <c r="U4413" i="2"/>
  <c r="V4413" i="2" s="1"/>
  <c r="B4413" i="2"/>
  <c r="A4413" i="2"/>
  <c r="U4412" i="2"/>
  <c r="V4412" i="2" s="1"/>
  <c r="B4412" i="2"/>
  <c r="A4412" i="2"/>
  <c r="U4411" i="2"/>
  <c r="V4411" i="2" s="1"/>
  <c r="B4411" i="2"/>
  <c r="A4411" i="2"/>
  <c r="U4410" i="2"/>
  <c r="V4410" i="2" s="1"/>
  <c r="B4410" i="2"/>
  <c r="A4410" i="2"/>
  <c r="U4409" i="2"/>
  <c r="V4409" i="2" s="1"/>
  <c r="B4409" i="2"/>
  <c r="A4409" i="2"/>
  <c r="U4408" i="2"/>
  <c r="V4408" i="2" s="1"/>
  <c r="B4408" i="2"/>
  <c r="A4408" i="2"/>
  <c r="U4407" i="2"/>
  <c r="V4407" i="2" s="1"/>
  <c r="B4407" i="2"/>
  <c r="A4407" i="2"/>
  <c r="U4406" i="2"/>
  <c r="V4406" i="2" s="1"/>
  <c r="B4406" i="2"/>
  <c r="A4406" i="2"/>
  <c r="U4405" i="2"/>
  <c r="V4405" i="2" s="1"/>
  <c r="B4405" i="2"/>
  <c r="A4405" i="2"/>
  <c r="U4404" i="2"/>
  <c r="V4404" i="2" s="1"/>
  <c r="B4404" i="2"/>
  <c r="A4404" i="2"/>
  <c r="U4403" i="2"/>
  <c r="V4403" i="2" s="1"/>
  <c r="B4403" i="2"/>
  <c r="A4403" i="2"/>
  <c r="U4402" i="2"/>
  <c r="V4402" i="2" s="1"/>
  <c r="B4402" i="2"/>
  <c r="A4402" i="2"/>
  <c r="U4401" i="2"/>
  <c r="V4401" i="2" s="1"/>
  <c r="B4401" i="2"/>
  <c r="A4401" i="2"/>
  <c r="U4400" i="2"/>
  <c r="V4400" i="2" s="1"/>
  <c r="B4400" i="2"/>
  <c r="A4400" i="2"/>
  <c r="U4399" i="2"/>
  <c r="V4399" i="2" s="1"/>
  <c r="B4399" i="2"/>
  <c r="A4399" i="2"/>
  <c r="U4398" i="2"/>
  <c r="V4398" i="2" s="1"/>
  <c r="B4398" i="2"/>
  <c r="A4398" i="2"/>
  <c r="U4397" i="2"/>
  <c r="V4397" i="2" s="1"/>
  <c r="B4397" i="2"/>
  <c r="A4397" i="2"/>
  <c r="U4396" i="2"/>
  <c r="V4396" i="2" s="1"/>
  <c r="B4396" i="2"/>
  <c r="A4396" i="2"/>
  <c r="U4395" i="2"/>
  <c r="V4395" i="2" s="1"/>
  <c r="B4395" i="2"/>
  <c r="A4395" i="2"/>
  <c r="U4394" i="2"/>
  <c r="V4394" i="2" s="1"/>
  <c r="B4394" i="2"/>
  <c r="A4394" i="2"/>
  <c r="U4393" i="2"/>
  <c r="V4393" i="2" s="1"/>
  <c r="B4393" i="2"/>
  <c r="A4393" i="2"/>
  <c r="U4392" i="2"/>
  <c r="V4392" i="2" s="1"/>
  <c r="B4392" i="2"/>
  <c r="A4392" i="2"/>
  <c r="U4391" i="2"/>
  <c r="V4391" i="2" s="1"/>
  <c r="B4391" i="2"/>
  <c r="A4391" i="2"/>
  <c r="U4390" i="2"/>
  <c r="V4390" i="2" s="1"/>
  <c r="B4390" i="2"/>
  <c r="A4390" i="2"/>
  <c r="U4389" i="2"/>
  <c r="V4389" i="2" s="1"/>
  <c r="B4389" i="2"/>
  <c r="A4389" i="2"/>
  <c r="U4388" i="2"/>
  <c r="V4388" i="2" s="1"/>
  <c r="B4388" i="2"/>
  <c r="A4388" i="2"/>
  <c r="U4387" i="2"/>
  <c r="V4387" i="2" s="1"/>
  <c r="B4387" i="2"/>
  <c r="A4387" i="2"/>
  <c r="U4386" i="2"/>
  <c r="V4386" i="2" s="1"/>
  <c r="B4386" i="2"/>
  <c r="A4386" i="2"/>
  <c r="U4385" i="2"/>
  <c r="V4385" i="2" s="1"/>
  <c r="B4385" i="2"/>
  <c r="A4385" i="2"/>
  <c r="U4384" i="2"/>
  <c r="V4384" i="2" s="1"/>
  <c r="B4384" i="2"/>
  <c r="A4384" i="2"/>
  <c r="U4383" i="2"/>
  <c r="V4383" i="2" s="1"/>
  <c r="B4383" i="2"/>
  <c r="A4383" i="2"/>
  <c r="U4382" i="2"/>
  <c r="V4382" i="2" s="1"/>
  <c r="B4382" i="2"/>
  <c r="A4382" i="2"/>
  <c r="U4381" i="2"/>
  <c r="V4381" i="2" s="1"/>
  <c r="B4381" i="2"/>
  <c r="A4381" i="2"/>
  <c r="U4380" i="2"/>
  <c r="V4380" i="2" s="1"/>
  <c r="B4380" i="2"/>
  <c r="A4380" i="2"/>
  <c r="U4379" i="2"/>
  <c r="V4379" i="2" s="1"/>
  <c r="B4379" i="2"/>
  <c r="A4379" i="2"/>
  <c r="U4378" i="2"/>
  <c r="V4378" i="2" s="1"/>
  <c r="B4378" i="2"/>
  <c r="A4378" i="2"/>
  <c r="U4377" i="2"/>
  <c r="V4377" i="2" s="1"/>
  <c r="B4377" i="2"/>
  <c r="A4377" i="2"/>
  <c r="U4376" i="2"/>
  <c r="V4376" i="2" s="1"/>
  <c r="B4376" i="2"/>
  <c r="A4376" i="2"/>
  <c r="U4375" i="2"/>
  <c r="V4375" i="2" s="1"/>
  <c r="B4375" i="2"/>
  <c r="A4375" i="2"/>
  <c r="U4374" i="2"/>
  <c r="V4374" i="2" s="1"/>
  <c r="B4374" i="2"/>
  <c r="A4374" i="2"/>
  <c r="U4373" i="2"/>
  <c r="V4373" i="2" s="1"/>
  <c r="B4373" i="2"/>
  <c r="A4373" i="2"/>
  <c r="U4372" i="2"/>
  <c r="V4372" i="2" s="1"/>
  <c r="B4372" i="2"/>
  <c r="A4372" i="2"/>
  <c r="U4371" i="2"/>
  <c r="V4371" i="2" s="1"/>
  <c r="B4371" i="2"/>
  <c r="A4371" i="2"/>
  <c r="U4370" i="2"/>
  <c r="V4370" i="2" s="1"/>
  <c r="B4370" i="2"/>
  <c r="A4370" i="2"/>
  <c r="U4369" i="2"/>
  <c r="V4369" i="2" s="1"/>
  <c r="B4369" i="2"/>
  <c r="A4369" i="2"/>
  <c r="U4368" i="2"/>
  <c r="V4368" i="2" s="1"/>
  <c r="B4368" i="2"/>
  <c r="A4368" i="2"/>
  <c r="U4367" i="2"/>
  <c r="V4367" i="2" s="1"/>
  <c r="B4367" i="2"/>
  <c r="A4367" i="2"/>
  <c r="U4366" i="2"/>
  <c r="V4366" i="2" s="1"/>
  <c r="B4366" i="2"/>
  <c r="A4366" i="2"/>
  <c r="U4365" i="2"/>
  <c r="V4365" i="2" s="1"/>
  <c r="B4365" i="2"/>
  <c r="A4365" i="2"/>
  <c r="U4364" i="2"/>
  <c r="V4364" i="2" s="1"/>
  <c r="B4364" i="2"/>
  <c r="A4364" i="2"/>
  <c r="U4363" i="2"/>
  <c r="V4363" i="2" s="1"/>
  <c r="B4363" i="2"/>
  <c r="A4363" i="2"/>
  <c r="U4362" i="2"/>
  <c r="V4362" i="2" s="1"/>
  <c r="B4362" i="2"/>
  <c r="A4362" i="2"/>
  <c r="U4361" i="2"/>
  <c r="V4361" i="2" s="1"/>
  <c r="B4361" i="2"/>
  <c r="A4361" i="2"/>
  <c r="U4360" i="2"/>
  <c r="V4360" i="2" s="1"/>
  <c r="B4360" i="2"/>
  <c r="A4360" i="2"/>
  <c r="U4359" i="2"/>
  <c r="V4359" i="2" s="1"/>
  <c r="B4359" i="2"/>
  <c r="A4359" i="2"/>
  <c r="U4358" i="2"/>
  <c r="V4358" i="2" s="1"/>
  <c r="B4358" i="2"/>
  <c r="A4358" i="2"/>
  <c r="U4357" i="2"/>
  <c r="V4357" i="2" s="1"/>
  <c r="B4357" i="2"/>
  <c r="A4357" i="2"/>
  <c r="U4356" i="2"/>
  <c r="V4356" i="2" s="1"/>
  <c r="B4356" i="2"/>
  <c r="A4356" i="2"/>
  <c r="U4355" i="2"/>
  <c r="V4355" i="2" s="1"/>
  <c r="B4355" i="2"/>
  <c r="A4355" i="2"/>
  <c r="U4354" i="2"/>
  <c r="V4354" i="2" s="1"/>
  <c r="B4354" i="2"/>
  <c r="A4354" i="2"/>
  <c r="U4353" i="2"/>
  <c r="V4353" i="2" s="1"/>
  <c r="B4353" i="2"/>
  <c r="A4353" i="2"/>
  <c r="U4352" i="2"/>
  <c r="V4352" i="2" s="1"/>
  <c r="B4352" i="2"/>
  <c r="A4352" i="2"/>
  <c r="U4351" i="2"/>
  <c r="V4351" i="2" s="1"/>
  <c r="B4351" i="2"/>
  <c r="A4351" i="2"/>
  <c r="U4350" i="2"/>
  <c r="V4350" i="2" s="1"/>
  <c r="B4350" i="2"/>
  <c r="A4350" i="2"/>
  <c r="U4349" i="2"/>
  <c r="V4349" i="2" s="1"/>
  <c r="B4349" i="2"/>
  <c r="A4349" i="2"/>
  <c r="U4348" i="2"/>
  <c r="V4348" i="2" s="1"/>
  <c r="B4348" i="2"/>
  <c r="A4348" i="2"/>
  <c r="U4347" i="2"/>
  <c r="V4347" i="2" s="1"/>
  <c r="B4347" i="2"/>
  <c r="A4347" i="2"/>
  <c r="U4346" i="2"/>
  <c r="V4346" i="2" s="1"/>
  <c r="B4346" i="2"/>
  <c r="A4346" i="2"/>
  <c r="U4345" i="2"/>
  <c r="V4345" i="2" s="1"/>
  <c r="B4345" i="2"/>
  <c r="A4345" i="2"/>
  <c r="U4344" i="2"/>
  <c r="V4344" i="2" s="1"/>
  <c r="B4344" i="2"/>
  <c r="A4344" i="2"/>
  <c r="U4343" i="2"/>
  <c r="V4343" i="2" s="1"/>
  <c r="B4343" i="2"/>
  <c r="A4343" i="2"/>
  <c r="U4342" i="2"/>
  <c r="V4342" i="2" s="1"/>
  <c r="B4342" i="2"/>
  <c r="A4342" i="2"/>
  <c r="U4341" i="2"/>
  <c r="V4341" i="2" s="1"/>
  <c r="B4341" i="2"/>
  <c r="A4341" i="2"/>
  <c r="U4340" i="2"/>
  <c r="V4340" i="2" s="1"/>
  <c r="B4340" i="2"/>
  <c r="A4340" i="2"/>
  <c r="U4339" i="2"/>
  <c r="V4339" i="2" s="1"/>
  <c r="B4339" i="2"/>
  <c r="A4339" i="2"/>
  <c r="U4338" i="2"/>
  <c r="V4338" i="2" s="1"/>
  <c r="B4338" i="2"/>
  <c r="A4338" i="2"/>
  <c r="U4337" i="2"/>
  <c r="V4337" i="2" s="1"/>
  <c r="B4337" i="2"/>
  <c r="A4337" i="2"/>
  <c r="U4336" i="2"/>
  <c r="V4336" i="2" s="1"/>
  <c r="B4336" i="2"/>
  <c r="A4336" i="2"/>
  <c r="U4335" i="2"/>
  <c r="V4335" i="2" s="1"/>
  <c r="B4335" i="2"/>
  <c r="A4335" i="2"/>
  <c r="U4334" i="2"/>
  <c r="V4334" i="2" s="1"/>
  <c r="B4334" i="2"/>
  <c r="A4334" i="2"/>
  <c r="U4333" i="2"/>
  <c r="V4333" i="2" s="1"/>
  <c r="B4333" i="2"/>
  <c r="A4333" i="2"/>
  <c r="U4332" i="2"/>
  <c r="V4332" i="2" s="1"/>
  <c r="B4332" i="2"/>
  <c r="A4332" i="2"/>
  <c r="U4331" i="2"/>
  <c r="V4331" i="2" s="1"/>
  <c r="B4331" i="2"/>
  <c r="A4331" i="2"/>
  <c r="U4330" i="2"/>
  <c r="V4330" i="2" s="1"/>
  <c r="B4330" i="2"/>
  <c r="A4330" i="2"/>
  <c r="U4329" i="2"/>
  <c r="V4329" i="2" s="1"/>
  <c r="B4329" i="2"/>
  <c r="A4329" i="2"/>
  <c r="U4328" i="2"/>
  <c r="V4328" i="2" s="1"/>
  <c r="B4328" i="2"/>
  <c r="A4328" i="2"/>
  <c r="U4327" i="2"/>
  <c r="V4327" i="2" s="1"/>
  <c r="B4327" i="2"/>
  <c r="A4327" i="2"/>
  <c r="U4326" i="2"/>
  <c r="V4326" i="2" s="1"/>
  <c r="B4326" i="2"/>
  <c r="A4326" i="2"/>
  <c r="U4325" i="2"/>
  <c r="V4325" i="2" s="1"/>
  <c r="B4325" i="2"/>
  <c r="A4325" i="2"/>
  <c r="U4324" i="2"/>
  <c r="V4324" i="2" s="1"/>
  <c r="B4324" i="2"/>
  <c r="A4324" i="2"/>
  <c r="U4323" i="2"/>
  <c r="V4323" i="2" s="1"/>
  <c r="B4323" i="2"/>
  <c r="A4323" i="2"/>
  <c r="U4322" i="2"/>
  <c r="V4322" i="2" s="1"/>
  <c r="B4322" i="2"/>
  <c r="A4322" i="2"/>
  <c r="U4321" i="2"/>
  <c r="V4321" i="2" s="1"/>
  <c r="B4321" i="2"/>
  <c r="A4321" i="2"/>
  <c r="U4320" i="2"/>
  <c r="V4320" i="2" s="1"/>
  <c r="B4320" i="2"/>
  <c r="A4320" i="2"/>
  <c r="U4319" i="2"/>
  <c r="V4319" i="2" s="1"/>
  <c r="B4319" i="2"/>
  <c r="A4319" i="2"/>
  <c r="U4318" i="2"/>
  <c r="V4318" i="2" s="1"/>
  <c r="B4318" i="2"/>
  <c r="A4318" i="2"/>
  <c r="U4317" i="2"/>
  <c r="V4317" i="2" s="1"/>
  <c r="B4317" i="2"/>
  <c r="A4317" i="2"/>
  <c r="U4316" i="2"/>
  <c r="V4316" i="2" s="1"/>
  <c r="B4316" i="2"/>
  <c r="A4316" i="2"/>
  <c r="U4315" i="2"/>
  <c r="V4315" i="2" s="1"/>
  <c r="B4315" i="2"/>
  <c r="A4315" i="2"/>
  <c r="U4314" i="2"/>
  <c r="V4314" i="2" s="1"/>
  <c r="B4314" i="2"/>
  <c r="A4314" i="2"/>
  <c r="U4313" i="2"/>
  <c r="V4313" i="2" s="1"/>
  <c r="B4313" i="2"/>
  <c r="A4313" i="2"/>
  <c r="U4312" i="2"/>
  <c r="V4312" i="2" s="1"/>
  <c r="B4312" i="2"/>
  <c r="A4312" i="2"/>
  <c r="U4311" i="2"/>
  <c r="V4311" i="2" s="1"/>
  <c r="B4311" i="2"/>
  <c r="A4311" i="2"/>
  <c r="U4310" i="2"/>
  <c r="V4310" i="2" s="1"/>
  <c r="B4310" i="2"/>
  <c r="A4310" i="2"/>
  <c r="U4309" i="2"/>
  <c r="V4309" i="2" s="1"/>
  <c r="B4309" i="2"/>
  <c r="A4309" i="2"/>
  <c r="U4308" i="2"/>
  <c r="V4308" i="2" s="1"/>
  <c r="B4308" i="2"/>
  <c r="A4308" i="2"/>
  <c r="U4307" i="2"/>
  <c r="V4307" i="2" s="1"/>
  <c r="B4307" i="2"/>
  <c r="A4307" i="2"/>
  <c r="U4306" i="2"/>
  <c r="V4306" i="2" s="1"/>
  <c r="B4306" i="2"/>
  <c r="A4306" i="2"/>
  <c r="U4305" i="2"/>
  <c r="V4305" i="2" s="1"/>
  <c r="B4305" i="2"/>
  <c r="A4305" i="2"/>
  <c r="U4304" i="2"/>
  <c r="V4304" i="2" s="1"/>
  <c r="B4304" i="2"/>
  <c r="A4304" i="2"/>
  <c r="U4303" i="2"/>
  <c r="V4303" i="2" s="1"/>
  <c r="B4303" i="2"/>
  <c r="A4303" i="2"/>
  <c r="U4302" i="2"/>
  <c r="V4302" i="2" s="1"/>
  <c r="B4302" i="2"/>
  <c r="A4302" i="2"/>
  <c r="U4301" i="2"/>
  <c r="V4301" i="2" s="1"/>
  <c r="B4301" i="2"/>
  <c r="A4301" i="2"/>
  <c r="U4300" i="2"/>
  <c r="V4300" i="2" s="1"/>
  <c r="B4300" i="2"/>
  <c r="A4300" i="2"/>
  <c r="U4299" i="2"/>
  <c r="V4299" i="2" s="1"/>
  <c r="B4299" i="2"/>
  <c r="A4299" i="2"/>
  <c r="U4298" i="2"/>
  <c r="V4298" i="2" s="1"/>
  <c r="B4298" i="2"/>
  <c r="A4298" i="2"/>
  <c r="U4297" i="2"/>
  <c r="V4297" i="2" s="1"/>
  <c r="B4297" i="2"/>
  <c r="A4297" i="2"/>
  <c r="U4296" i="2"/>
  <c r="V4296" i="2" s="1"/>
  <c r="B4296" i="2"/>
  <c r="A4296" i="2"/>
  <c r="U4295" i="2"/>
  <c r="V4295" i="2" s="1"/>
  <c r="B4295" i="2"/>
  <c r="A4295" i="2"/>
  <c r="U4294" i="2"/>
  <c r="V4294" i="2" s="1"/>
  <c r="B4294" i="2"/>
  <c r="A4294" i="2"/>
  <c r="U4293" i="2"/>
  <c r="V4293" i="2" s="1"/>
  <c r="B4293" i="2"/>
  <c r="A4293" i="2"/>
  <c r="U4292" i="2"/>
  <c r="V4292" i="2" s="1"/>
  <c r="B4292" i="2"/>
  <c r="A4292" i="2"/>
  <c r="U4291" i="2"/>
  <c r="V4291" i="2" s="1"/>
  <c r="B4291" i="2"/>
  <c r="A4291" i="2"/>
  <c r="U4290" i="2"/>
  <c r="V4290" i="2" s="1"/>
  <c r="B4290" i="2"/>
  <c r="A4290" i="2"/>
  <c r="U4289" i="2"/>
  <c r="V4289" i="2" s="1"/>
  <c r="B4289" i="2"/>
  <c r="A4289" i="2"/>
  <c r="U4288" i="2"/>
  <c r="V4288" i="2" s="1"/>
  <c r="B4288" i="2"/>
  <c r="A4288" i="2"/>
  <c r="U4287" i="2"/>
  <c r="V4287" i="2" s="1"/>
  <c r="B4287" i="2"/>
  <c r="A4287" i="2"/>
  <c r="U4286" i="2"/>
  <c r="V4286" i="2" s="1"/>
  <c r="B4286" i="2"/>
  <c r="A4286" i="2"/>
  <c r="U4285" i="2"/>
  <c r="V4285" i="2" s="1"/>
  <c r="B4285" i="2"/>
  <c r="A4285" i="2"/>
  <c r="U4284" i="2"/>
  <c r="V4284" i="2" s="1"/>
  <c r="B4284" i="2"/>
  <c r="A4284" i="2"/>
  <c r="U4283" i="2"/>
  <c r="V4283" i="2" s="1"/>
  <c r="B4283" i="2"/>
  <c r="A4283" i="2"/>
  <c r="U4282" i="2"/>
  <c r="V4282" i="2" s="1"/>
  <c r="B4282" i="2"/>
  <c r="A4282" i="2"/>
  <c r="U4281" i="2"/>
  <c r="V4281" i="2" s="1"/>
  <c r="B4281" i="2"/>
  <c r="A4281" i="2"/>
  <c r="U4280" i="2"/>
  <c r="V4280" i="2" s="1"/>
  <c r="B4280" i="2"/>
  <c r="A4280" i="2"/>
  <c r="U4279" i="2"/>
  <c r="V4279" i="2" s="1"/>
  <c r="B4279" i="2"/>
  <c r="A4279" i="2"/>
  <c r="U4278" i="2"/>
  <c r="V4278" i="2" s="1"/>
  <c r="B4278" i="2"/>
  <c r="A4278" i="2"/>
  <c r="U4277" i="2"/>
  <c r="V4277" i="2" s="1"/>
  <c r="B4277" i="2"/>
  <c r="A4277" i="2"/>
  <c r="U4276" i="2"/>
  <c r="V4276" i="2" s="1"/>
  <c r="B4276" i="2"/>
  <c r="A4276" i="2"/>
  <c r="U4275" i="2"/>
  <c r="V4275" i="2" s="1"/>
  <c r="B4275" i="2"/>
  <c r="A4275" i="2"/>
  <c r="U4274" i="2"/>
  <c r="V4274" i="2" s="1"/>
  <c r="B4274" i="2"/>
  <c r="A4274" i="2"/>
  <c r="U4273" i="2"/>
  <c r="V4273" i="2" s="1"/>
  <c r="B4273" i="2"/>
  <c r="A4273" i="2"/>
  <c r="U4272" i="2"/>
  <c r="V4272" i="2" s="1"/>
  <c r="B4272" i="2"/>
  <c r="A4272" i="2"/>
  <c r="U4271" i="2"/>
  <c r="V4271" i="2" s="1"/>
  <c r="B4271" i="2"/>
  <c r="A4271" i="2"/>
  <c r="U4270" i="2"/>
  <c r="V4270" i="2" s="1"/>
  <c r="B4270" i="2"/>
  <c r="A4270" i="2"/>
  <c r="U4269" i="2"/>
  <c r="V4269" i="2" s="1"/>
  <c r="B4269" i="2"/>
  <c r="A4269" i="2"/>
  <c r="U4268" i="2"/>
  <c r="V4268" i="2" s="1"/>
  <c r="B4268" i="2"/>
  <c r="A4268" i="2"/>
  <c r="U4267" i="2"/>
  <c r="V4267" i="2" s="1"/>
  <c r="B4267" i="2"/>
  <c r="A4267" i="2"/>
  <c r="U4266" i="2"/>
  <c r="V4266" i="2" s="1"/>
  <c r="B4266" i="2"/>
  <c r="A4266" i="2"/>
  <c r="U4265" i="2"/>
  <c r="V4265" i="2" s="1"/>
  <c r="B4265" i="2"/>
  <c r="A4265" i="2"/>
  <c r="U4264" i="2"/>
  <c r="V4264" i="2" s="1"/>
  <c r="B4264" i="2"/>
  <c r="A4264" i="2"/>
  <c r="U4263" i="2"/>
  <c r="V4263" i="2" s="1"/>
  <c r="B4263" i="2"/>
  <c r="A4263" i="2"/>
  <c r="U4262" i="2"/>
  <c r="V4262" i="2" s="1"/>
  <c r="B4262" i="2"/>
  <c r="A4262" i="2"/>
  <c r="U4261" i="2"/>
  <c r="V4261" i="2" s="1"/>
  <c r="B4261" i="2"/>
  <c r="A4261" i="2"/>
  <c r="U4260" i="2"/>
  <c r="V4260" i="2" s="1"/>
  <c r="B4260" i="2"/>
  <c r="A4260" i="2"/>
  <c r="U4259" i="2"/>
  <c r="V4259" i="2" s="1"/>
  <c r="B4259" i="2"/>
  <c r="A4259" i="2"/>
  <c r="U4258" i="2"/>
  <c r="V4258" i="2" s="1"/>
  <c r="B4258" i="2"/>
  <c r="A4258" i="2"/>
  <c r="U4257" i="2"/>
  <c r="V4257" i="2" s="1"/>
  <c r="B4257" i="2"/>
  <c r="A4257" i="2"/>
  <c r="U4256" i="2"/>
  <c r="V4256" i="2" s="1"/>
  <c r="B4256" i="2"/>
  <c r="A4256" i="2"/>
  <c r="U4255" i="2"/>
  <c r="V4255" i="2" s="1"/>
  <c r="B4255" i="2"/>
  <c r="A4255" i="2"/>
  <c r="U4254" i="2"/>
  <c r="V4254" i="2" s="1"/>
  <c r="B4254" i="2"/>
  <c r="A4254" i="2"/>
  <c r="U4253" i="2"/>
  <c r="V4253" i="2" s="1"/>
  <c r="B4253" i="2"/>
  <c r="A4253" i="2"/>
  <c r="U4252" i="2"/>
  <c r="V4252" i="2" s="1"/>
  <c r="B4252" i="2"/>
  <c r="A4252" i="2"/>
  <c r="U4251" i="2"/>
  <c r="V4251" i="2" s="1"/>
  <c r="B4251" i="2"/>
  <c r="A4251" i="2"/>
  <c r="U4250" i="2"/>
  <c r="V4250" i="2" s="1"/>
  <c r="B4250" i="2"/>
  <c r="A4250" i="2"/>
  <c r="U4249" i="2"/>
  <c r="V4249" i="2" s="1"/>
  <c r="B4249" i="2"/>
  <c r="A4249" i="2"/>
  <c r="U4248" i="2"/>
  <c r="V4248" i="2" s="1"/>
  <c r="B4248" i="2"/>
  <c r="A4248" i="2"/>
  <c r="U4247" i="2"/>
  <c r="V4247" i="2" s="1"/>
  <c r="B4247" i="2"/>
  <c r="A4247" i="2"/>
  <c r="U4246" i="2"/>
  <c r="V4246" i="2" s="1"/>
  <c r="B4246" i="2"/>
  <c r="A4246" i="2"/>
  <c r="U4245" i="2"/>
  <c r="V4245" i="2" s="1"/>
  <c r="B4245" i="2"/>
  <c r="A4245" i="2"/>
  <c r="U4244" i="2"/>
  <c r="V4244" i="2" s="1"/>
  <c r="B4244" i="2"/>
  <c r="A4244" i="2"/>
  <c r="U4243" i="2"/>
  <c r="V4243" i="2" s="1"/>
  <c r="B4243" i="2"/>
  <c r="A4243" i="2"/>
  <c r="U4242" i="2"/>
  <c r="V4242" i="2" s="1"/>
  <c r="B4242" i="2"/>
  <c r="A4242" i="2"/>
  <c r="U4241" i="2"/>
  <c r="V4241" i="2" s="1"/>
  <c r="B4241" i="2"/>
  <c r="A4241" i="2"/>
  <c r="U4240" i="2"/>
  <c r="V4240" i="2" s="1"/>
  <c r="B4240" i="2"/>
  <c r="A4240" i="2"/>
  <c r="U4239" i="2"/>
  <c r="V4239" i="2" s="1"/>
  <c r="B4239" i="2"/>
  <c r="A4239" i="2"/>
  <c r="U4238" i="2"/>
  <c r="V4238" i="2" s="1"/>
  <c r="B4238" i="2"/>
  <c r="A4238" i="2"/>
  <c r="U4237" i="2"/>
  <c r="V4237" i="2" s="1"/>
  <c r="B4237" i="2"/>
  <c r="A4237" i="2"/>
  <c r="U4236" i="2"/>
  <c r="V4236" i="2" s="1"/>
  <c r="B4236" i="2"/>
  <c r="A4236" i="2"/>
  <c r="U4235" i="2"/>
  <c r="V4235" i="2" s="1"/>
  <c r="B4235" i="2"/>
  <c r="A4235" i="2"/>
  <c r="U4234" i="2"/>
  <c r="V4234" i="2" s="1"/>
  <c r="B4234" i="2"/>
  <c r="A4234" i="2"/>
  <c r="U4233" i="2"/>
  <c r="V4233" i="2" s="1"/>
  <c r="B4233" i="2"/>
  <c r="A4233" i="2"/>
  <c r="U4232" i="2"/>
  <c r="V4232" i="2" s="1"/>
  <c r="B4232" i="2"/>
  <c r="A4232" i="2"/>
  <c r="U4231" i="2"/>
  <c r="V4231" i="2" s="1"/>
  <c r="B4231" i="2"/>
  <c r="A4231" i="2"/>
  <c r="U4230" i="2"/>
  <c r="V4230" i="2" s="1"/>
  <c r="B4230" i="2"/>
  <c r="A4230" i="2"/>
  <c r="U4229" i="2"/>
  <c r="V4229" i="2" s="1"/>
  <c r="B4229" i="2"/>
  <c r="A4229" i="2"/>
  <c r="U4228" i="2"/>
  <c r="V4228" i="2" s="1"/>
  <c r="B4228" i="2"/>
  <c r="A4228" i="2"/>
  <c r="U4227" i="2"/>
  <c r="V4227" i="2" s="1"/>
  <c r="B4227" i="2"/>
  <c r="A4227" i="2"/>
  <c r="U4226" i="2"/>
  <c r="V4226" i="2" s="1"/>
  <c r="B4226" i="2"/>
  <c r="A4226" i="2"/>
  <c r="U4225" i="2"/>
  <c r="V4225" i="2" s="1"/>
  <c r="B4225" i="2"/>
  <c r="A4225" i="2"/>
  <c r="U4224" i="2"/>
  <c r="V4224" i="2" s="1"/>
  <c r="B4224" i="2"/>
  <c r="A4224" i="2"/>
  <c r="U4223" i="2"/>
  <c r="V4223" i="2" s="1"/>
  <c r="B4223" i="2"/>
  <c r="A4223" i="2"/>
  <c r="U4222" i="2"/>
  <c r="V4222" i="2" s="1"/>
  <c r="B4222" i="2"/>
  <c r="A4222" i="2"/>
  <c r="U4221" i="2"/>
  <c r="V4221" i="2" s="1"/>
  <c r="B4221" i="2"/>
  <c r="A4221" i="2"/>
  <c r="U4220" i="2"/>
  <c r="V4220" i="2" s="1"/>
  <c r="B4220" i="2"/>
  <c r="A4220" i="2"/>
  <c r="U4219" i="2"/>
  <c r="V4219" i="2" s="1"/>
  <c r="B4219" i="2"/>
  <c r="A4219" i="2"/>
  <c r="U4218" i="2"/>
  <c r="V4218" i="2" s="1"/>
  <c r="B4218" i="2"/>
  <c r="A4218" i="2"/>
  <c r="U4217" i="2"/>
  <c r="V4217" i="2" s="1"/>
  <c r="B4217" i="2"/>
  <c r="A4217" i="2"/>
  <c r="U4216" i="2"/>
  <c r="V4216" i="2" s="1"/>
  <c r="B4216" i="2"/>
  <c r="A4216" i="2"/>
  <c r="U4215" i="2"/>
  <c r="V4215" i="2" s="1"/>
  <c r="B4215" i="2"/>
  <c r="A4215" i="2"/>
  <c r="U4214" i="2"/>
  <c r="V4214" i="2" s="1"/>
  <c r="B4214" i="2"/>
  <c r="A4214" i="2"/>
  <c r="U4213" i="2"/>
  <c r="V4213" i="2" s="1"/>
  <c r="B4213" i="2"/>
  <c r="A4213" i="2"/>
  <c r="U4212" i="2"/>
  <c r="V4212" i="2" s="1"/>
  <c r="B4212" i="2"/>
  <c r="A4212" i="2"/>
  <c r="U4211" i="2"/>
  <c r="V4211" i="2" s="1"/>
  <c r="B4211" i="2"/>
  <c r="A4211" i="2"/>
  <c r="U4210" i="2"/>
  <c r="V4210" i="2" s="1"/>
  <c r="B4210" i="2"/>
  <c r="A4210" i="2"/>
  <c r="U4209" i="2"/>
  <c r="V4209" i="2" s="1"/>
  <c r="B4209" i="2"/>
  <c r="A4209" i="2"/>
  <c r="U4208" i="2"/>
  <c r="V4208" i="2" s="1"/>
  <c r="B4208" i="2"/>
  <c r="A4208" i="2"/>
  <c r="U4207" i="2"/>
  <c r="V4207" i="2" s="1"/>
  <c r="B4207" i="2"/>
  <c r="A4207" i="2"/>
  <c r="U4206" i="2"/>
  <c r="V4206" i="2" s="1"/>
  <c r="B4206" i="2"/>
  <c r="A4206" i="2"/>
  <c r="U4205" i="2"/>
  <c r="V4205" i="2" s="1"/>
  <c r="B4205" i="2"/>
  <c r="A4205" i="2"/>
  <c r="U4204" i="2"/>
  <c r="V4204" i="2" s="1"/>
  <c r="B4204" i="2"/>
  <c r="A4204" i="2"/>
  <c r="U4203" i="2"/>
  <c r="V4203" i="2" s="1"/>
  <c r="B4203" i="2"/>
  <c r="A4203" i="2"/>
  <c r="U4202" i="2"/>
  <c r="V4202" i="2" s="1"/>
  <c r="B4202" i="2"/>
  <c r="A4202" i="2"/>
  <c r="U4201" i="2"/>
  <c r="V4201" i="2" s="1"/>
  <c r="B4201" i="2"/>
  <c r="A4201" i="2"/>
  <c r="U4200" i="2"/>
  <c r="V4200" i="2" s="1"/>
  <c r="B4200" i="2"/>
  <c r="A4200" i="2"/>
  <c r="U4199" i="2"/>
  <c r="V4199" i="2" s="1"/>
  <c r="B4199" i="2"/>
  <c r="A4199" i="2"/>
  <c r="U4198" i="2"/>
  <c r="V4198" i="2" s="1"/>
  <c r="B4198" i="2"/>
  <c r="A4198" i="2"/>
  <c r="U4197" i="2"/>
  <c r="V4197" i="2" s="1"/>
  <c r="B4197" i="2"/>
  <c r="A4197" i="2"/>
  <c r="U4196" i="2"/>
  <c r="V4196" i="2" s="1"/>
  <c r="B4196" i="2"/>
  <c r="A4196" i="2"/>
  <c r="U4195" i="2"/>
  <c r="V4195" i="2" s="1"/>
  <c r="B4195" i="2"/>
  <c r="A4195" i="2"/>
  <c r="U4194" i="2"/>
  <c r="V4194" i="2" s="1"/>
  <c r="B4194" i="2"/>
  <c r="A4194" i="2"/>
  <c r="U4193" i="2"/>
  <c r="V4193" i="2" s="1"/>
  <c r="B4193" i="2"/>
  <c r="A4193" i="2"/>
  <c r="U4192" i="2"/>
  <c r="V4192" i="2" s="1"/>
  <c r="B4192" i="2"/>
  <c r="A4192" i="2"/>
  <c r="U4191" i="2"/>
  <c r="V4191" i="2" s="1"/>
  <c r="B4191" i="2"/>
  <c r="A4191" i="2"/>
  <c r="U4190" i="2"/>
  <c r="V4190" i="2" s="1"/>
  <c r="B4190" i="2"/>
  <c r="A4190" i="2"/>
  <c r="U4189" i="2"/>
  <c r="V4189" i="2" s="1"/>
  <c r="B4189" i="2"/>
  <c r="A4189" i="2"/>
  <c r="U4188" i="2"/>
  <c r="V4188" i="2" s="1"/>
  <c r="B4188" i="2"/>
  <c r="A4188" i="2"/>
  <c r="U4187" i="2"/>
  <c r="V4187" i="2" s="1"/>
  <c r="B4187" i="2"/>
  <c r="A4187" i="2"/>
  <c r="U4186" i="2"/>
  <c r="V4186" i="2" s="1"/>
  <c r="B4186" i="2"/>
  <c r="A4186" i="2"/>
  <c r="U4185" i="2"/>
  <c r="V4185" i="2" s="1"/>
  <c r="B4185" i="2"/>
  <c r="A4185" i="2"/>
  <c r="U4184" i="2"/>
  <c r="V4184" i="2" s="1"/>
  <c r="B4184" i="2"/>
  <c r="A4184" i="2"/>
  <c r="U4183" i="2"/>
  <c r="V4183" i="2" s="1"/>
  <c r="B4183" i="2"/>
  <c r="A4183" i="2"/>
  <c r="U4182" i="2"/>
  <c r="V4182" i="2" s="1"/>
  <c r="B4182" i="2"/>
  <c r="A4182" i="2"/>
  <c r="U4181" i="2"/>
  <c r="V4181" i="2" s="1"/>
  <c r="B4181" i="2"/>
  <c r="A4181" i="2"/>
  <c r="U4180" i="2"/>
  <c r="V4180" i="2" s="1"/>
  <c r="B4180" i="2"/>
  <c r="A4180" i="2"/>
  <c r="U4179" i="2"/>
  <c r="V4179" i="2" s="1"/>
  <c r="B4179" i="2"/>
  <c r="A4179" i="2"/>
  <c r="U4178" i="2"/>
  <c r="V4178" i="2" s="1"/>
  <c r="B4178" i="2"/>
  <c r="A4178" i="2"/>
  <c r="U4177" i="2"/>
  <c r="V4177" i="2" s="1"/>
  <c r="B4177" i="2"/>
  <c r="A4177" i="2"/>
  <c r="U4176" i="2"/>
  <c r="V4176" i="2" s="1"/>
  <c r="B4176" i="2"/>
  <c r="A4176" i="2"/>
  <c r="U4175" i="2"/>
  <c r="V4175" i="2" s="1"/>
  <c r="B4175" i="2"/>
  <c r="A4175" i="2"/>
  <c r="U4174" i="2"/>
  <c r="V4174" i="2" s="1"/>
  <c r="B4174" i="2"/>
  <c r="A4174" i="2"/>
  <c r="U4173" i="2"/>
  <c r="V4173" i="2" s="1"/>
  <c r="B4173" i="2"/>
  <c r="A4173" i="2"/>
  <c r="U4172" i="2"/>
  <c r="V4172" i="2" s="1"/>
  <c r="B4172" i="2"/>
  <c r="A4172" i="2"/>
  <c r="U4171" i="2"/>
  <c r="V4171" i="2" s="1"/>
  <c r="B4171" i="2"/>
  <c r="A4171" i="2"/>
  <c r="U4170" i="2"/>
  <c r="V4170" i="2" s="1"/>
  <c r="B4170" i="2"/>
  <c r="A4170" i="2"/>
  <c r="U4169" i="2"/>
  <c r="V4169" i="2" s="1"/>
  <c r="B4169" i="2"/>
  <c r="A4169" i="2"/>
  <c r="U4168" i="2"/>
  <c r="V4168" i="2" s="1"/>
  <c r="B4168" i="2"/>
  <c r="A4168" i="2"/>
  <c r="U4167" i="2"/>
  <c r="V4167" i="2" s="1"/>
  <c r="B4167" i="2"/>
  <c r="A4167" i="2"/>
  <c r="U4166" i="2"/>
  <c r="V4166" i="2" s="1"/>
  <c r="B4166" i="2"/>
  <c r="A4166" i="2"/>
  <c r="U4165" i="2"/>
  <c r="V4165" i="2" s="1"/>
  <c r="B4165" i="2"/>
  <c r="A4165" i="2"/>
  <c r="U4164" i="2"/>
  <c r="V4164" i="2" s="1"/>
  <c r="B4164" i="2"/>
  <c r="A4164" i="2"/>
  <c r="U4163" i="2"/>
  <c r="V4163" i="2" s="1"/>
  <c r="B4163" i="2"/>
  <c r="A4163" i="2"/>
  <c r="U4162" i="2"/>
  <c r="V4162" i="2" s="1"/>
  <c r="B4162" i="2"/>
  <c r="A4162" i="2"/>
  <c r="U4161" i="2"/>
  <c r="V4161" i="2" s="1"/>
  <c r="B4161" i="2"/>
  <c r="A4161" i="2"/>
  <c r="U4160" i="2"/>
  <c r="V4160" i="2" s="1"/>
  <c r="B4160" i="2"/>
  <c r="A4160" i="2"/>
  <c r="U4159" i="2"/>
  <c r="V4159" i="2" s="1"/>
  <c r="B4159" i="2"/>
  <c r="A4159" i="2"/>
  <c r="U4158" i="2"/>
  <c r="V4158" i="2" s="1"/>
  <c r="B4158" i="2"/>
  <c r="A4158" i="2"/>
  <c r="U4157" i="2"/>
  <c r="V4157" i="2" s="1"/>
  <c r="B4157" i="2"/>
  <c r="A4157" i="2"/>
  <c r="U4156" i="2"/>
  <c r="V4156" i="2" s="1"/>
  <c r="B4156" i="2"/>
  <c r="A4156" i="2"/>
  <c r="U4155" i="2"/>
  <c r="V4155" i="2" s="1"/>
  <c r="B4155" i="2"/>
  <c r="A4155" i="2"/>
  <c r="U4154" i="2"/>
  <c r="V4154" i="2" s="1"/>
  <c r="B4154" i="2"/>
  <c r="A4154" i="2"/>
  <c r="U4153" i="2"/>
  <c r="V4153" i="2" s="1"/>
  <c r="B4153" i="2"/>
  <c r="A4153" i="2"/>
  <c r="U4152" i="2"/>
  <c r="V4152" i="2" s="1"/>
  <c r="B4152" i="2"/>
  <c r="A4152" i="2"/>
  <c r="U4151" i="2"/>
  <c r="V4151" i="2" s="1"/>
  <c r="B4151" i="2"/>
  <c r="A4151" i="2"/>
  <c r="U4150" i="2"/>
  <c r="V4150" i="2" s="1"/>
  <c r="B4150" i="2"/>
  <c r="A4150" i="2"/>
  <c r="U4149" i="2"/>
  <c r="V4149" i="2" s="1"/>
  <c r="B4149" i="2"/>
  <c r="A4149" i="2"/>
  <c r="U4148" i="2"/>
  <c r="V4148" i="2" s="1"/>
  <c r="B4148" i="2"/>
  <c r="A4148" i="2"/>
  <c r="U4147" i="2"/>
  <c r="V4147" i="2" s="1"/>
  <c r="B4147" i="2"/>
  <c r="A4147" i="2"/>
  <c r="U4146" i="2"/>
  <c r="V4146" i="2" s="1"/>
  <c r="B4146" i="2"/>
  <c r="A4146" i="2"/>
  <c r="U4145" i="2"/>
  <c r="V4145" i="2" s="1"/>
  <c r="B4145" i="2"/>
  <c r="A4145" i="2"/>
  <c r="U4144" i="2"/>
  <c r="V4144" i="2" s="1"/>
  <c r="B4144" i="2"/>
  <c r="A4144" i="2"/>
  <c r="U4143" i="2"/>
  <c r="V4143" i="2" s="1"/>
  <c r="B4143" i="2"/>
  <c r="A4143" i="2"/>
  <c r="U4142" i="2"/>
  <c r="V4142" i="2" s="1"/>
  <c r="B4142" i="2"/>
  <c r="A4142" i="2"/>
  <c r="U4141" i="2"/>
  <c r="V4141" i="2" s="1"/>
  <c r="B4141" i="2"/>
  <c r="A4141" i="2"/>
  <c r="U4140" i="2"/>
  <c r="V4140" i="2" s="1"/>
  <c r="B4140" i="2"/>
  <c r="A4140" i="2"/>
  <c r="U4139" i="2"/>
  <c r="V4139" i="2" s="1"/>
  <c r="B4139" i="2"/>
  <c r="A4139" i="2"/>
  <c r="U4138" i="2"/>
  <c r="V4138" i="2" s="1"/>
  <c r="B4138" i="2"/>
  <c r="A4138" i="2"/>
  <c r="U4137" i="2"/>
  <c r="V4137" i="2" s="1"/>
  <c r="B4137" i="2"/>
  <c r="A4137" i="2"/>
  <c r="U4136" i="2"/>
  <c r="V4136" i="2" s="1"/>
  <c r="B4136" i="2"/>
  <c r="A4136" i="2"/>
  <c r="U4135" i="2"/>
  <c r="V4135" i="2" s="1"/>
  <c r="B4135" i="2"/>
  <c r="A4135" i="2"/>
  <c r="U4134" i="2"/>
  <c r="V4134" i="2" s="1"/>
  <c r="B4134" i="2"/>
  <c r="A4134" i="2"/>
  <c r="U4133" i="2"/>
  <c r="V4133" i="2" s="1"/>
  <c r="B4133" i="2"/>
  <c r="A4133" i="2"/>
  <c r="U4132" i="2"/>
  <c r="V4132" i="2" s="1"/>
  <c r="B4132" i="2"/>
  <c r="A4132" i="2"/>
  <c r="U4131" i="2"/>
  <c r="V4131" i="2" s="1"/>
  <c r="B4131" i="2"/>
  <c r="A4131" i="2"/>
  <c r="U4130" i="2"/>
  <c r="V4130" i="2" s="1"/>
  <c r="B4130" i="2"/>
  <c r="A4130" i="2"/>
  <c r="U4129" i="2"/>
  <c r="V4129" i="2" s="1"/>
  <c r="B4129" i="2"/>
  <c r="A4129" i="2"/>
  <c r="U4128" i="2"/>
  <c r="V4128" i="2" s="1"/>
  <c r="B4128" i="2"/>
  <c r="A4128" i="2"/>
  <c r="U4127" i="2"/>
  <c r="V4127" i="2" s="1"/>
  <c r="B4127" i="2"/>
  <c r="A4127" i="2"/>
  <c r="U4126" i="2"/>
  <c r="V4126" i="2" s="1"/>
  <c r="B4126" i="2"/>
  <c r="A4126" i="2"/>
  <c r="U4125" i="2"/>
  <c r="V4125" i="2" s="1"/>
  <c r="B4125" i="2"/>
  <c r="A4125" i="2"/>
  <c r="U4124" i="2"/>
  <c r="V4124" i="2" s="1"/>
  <c r="B4124" i="2"/>
  <c r="A4124" i="2"/>
  <c r="U4123" i="2"/>
  <c r="V4123" i="2" s="1"/>
  <c r="B4123" i="2"/>
  <c r="A4123" i="2"/>
  <c r="U4122" i="2"/>
  <c r="V4122" i="2" s="1"/>
  <c r="B4122" i="2"/>
  <c r="A4122" i="2"/>
  <c r="U4121" i="2"/>
  <c r="V4121" i="2" s="1"/>
  <c r="B4121" i="2"/>
  <c r="A4121" i="2"/>
  <c r="U4120" i="2"/>
  <c r="V4120" i="2" s="1"/>
  <c r="B4120" i="2"/>
  <c r="A4120" i="2"/>
  <c r="U4119" i="2"/>
  <c r="V4119" i="2" s="1"/>
  <c r="B4119" i="2"/>
  <c r="A4119" i="2"/>
  <c r="U4118" i="2"/>
  <c r="V4118" i="2" s="1"/>
  <c r="B4118" i="2"/>
  <c r="A4118" i="2"/>
  <c r="U4117" i="2"/>
  <c r="V4117" i="2" s="1"/>
  <c r="B4117" i="2"/>
  <c r="A4117" i="2"/>
  <c r="U4116" i="2"/>
  <c r="V4116" i="2" s="1"/>
  <c r="B4116" i="2"/>
  <c r="A4116" i="2"/>
  <c r="U4115" i="2"/>
  <c r="V4115" i="2" s="1"/>
  <c r="B4115" i="2"/>
  <c r="A4115" i="2"/>
  <c r="U4114" i="2"/>
  <c r="V4114" i="2" s="1"/>
  <c r="B4114" i="2"/>
  <c r="A4114" i="2"/>
  <c r="U4113" i="2"/>
  <c r="V4113" i="2" s="1"/>
  <c r="B4113" i="2"/>
  <c r="A4113" i="2"/>
  <c r="U4112" i="2"/>
  <c r="V4112" i="2" s="1"/>
  <c r="B4112" i="2"/>
  <c r="A4112" i="2"/>
  <c r="U4111" i="2"/>
  <c r="V4111" i="2" s="1"/>
  <c r="B4111" i="2"/>
  <c r="A4111" i="2"/>
  <c r="U4110" i="2"/>
  <c r="V4110" i="2" s="1"/>
  <c r="B4110" i="2"/>
  <c r="A4110" i="2"/>
  <c r="U4109" i="2"/>
  <c r="V4109" i="2" s="1"/>
  <c r="B4109" i="2"/>
  <c r="A4109" i="2"/>
  <c r="U4108" i="2"/>
  <c r="V4108" i="2" s="1"/>
  <c r="B4108" i="2"/>
  <c r="A4108" i="2"/>
  <c r="U4107" i="2"/>
  <c r="V4107" i="2" s="1"/>
  <c r="B4107" i="2"/>
  <c r="A4107" i="2"/>
  <c r="U4106" i="2"/>
  <c r="V4106" i="2" s="1"/>
  <c r="B4106" i="2"/>
  <c r="A4106" i="2"/>
  <c r="U4105" i="2"/>
  <c r="V4105" i="2" s="1"/>
  <c r="B4105" i="2"/>
  <c r="A4105" i="2"/>
  <c r="U4104" i="2"/>
  <c r="V4104" i="2" s="1"/>
  <c r="B4104" i="2"/>
  <c r="A4104" i="2"/>
  <c r="U4103" i="2"/>
  <c r="V4103" i="2" s="1"/>
  <c r="B4103" i="2"/>
  <c r="A4103" i="2"/>
  <c r="U4102" i="2"/>
  <c r="V4102" i="2" s="1"/>
  <c r="B4102" i="2"/>
  <c r="A4102" i="2"/>
  <c r="U4101" i="2"/>
  <c r="V4101" i="2" s="1"/>
  <c r="B4101" i="2"/>
  <c r="A4101" i="2"/>
  <c r="U4100" i="2"/>
  <c r="V4100" i="2" s="1"/>
  <c r="B4100" i="2"/>
  <c r="A4100" i="2"/>
  <c r="U4099" i="2"/>
  <c r="V4099" i="2" s="1"/>
  <c r="B4099" i="2"/>
  <c r="A4099" i="2"/>
  <c r="U4098" i="2"/>
  <c r="V4098" i="2" s="1"/>
  <c r="B4098" i="2"/>
  <c r="A4098" i="2"/>
  <c r="U4097" i="2"/>
  <c r="V4097" i="2" s="1"/>
  <c r="B4097" i="2"/>
  <c r="A4097" i="2"/>
  <c r="U4096" i="2"/>
  <c r="V4096" i="2" s="1"/>
  <c r="B4096" i="2"/>
  <c r="A4096" i="2"/>
  <c r="U4095" i="2"/>
  <c r="V4095" i="2" s="1"/>
  <c r="B4095" i="2"/>
  <c r="A4095" i="2"/>
  <c r="U4094" i="2"/>
  <c r="V4094" i="2" s="1"/>
  <c r="B4094" i="2"/>
  <c r="A4094" i="2"/>
  <c r="U4093" i="2"/>
  <c r="V4093" i="2" s="1"/>
  <c r="B4093" i="2"/>
  <c r="A4093" i="2"/>
  <c r="U4092" i="2"/>
  <c r="V4092" i="2" s="1"/>
  <c r="B4092" i="2"/>
  <c r="A4092" i="2"/>
  <c r="U4091" i="2"/>
  <c r="V4091" i="2" s="1"/>
  <c r="B4091" i="2"/>
  <c r="A4091" i="2"/>
  <c r="U4090" i="2"/>
  <c r="V4090" i="2" s="1"/>
  <c r="B4090" i="2"/>
  <c r="A4090" i="2"/>
  <c r="U4089" i="2"/>
  <c r="V4089" i="2" s="1"/>
  <c r="B4089" i="2"/>
  <c r="A4089" i="2"/>
  <c r="U4088" i="2"/>
  <c r="V4088" i="2" s="1"/>
  <c r="B4088" i="2"/>
  <c r="A4088" i="2"/>
  <c r="U4087" i="2"/>
  <c r="V4087" i="2" s="1"/>
  <c r="B4087" i="2"/>
  <c r="A4087" i="2"/>
  <c r="U4086" i="2"/>
  <c r="V4086" i="2" s="1"/>
  <c r="B4086" i="2"/>
  <c r="A4086" i="2"/>
  <c r="U4085" i="2"/>
  <c r="V4085" i="2" s="1"/>
  <c r="B4085" i="2"/>
  <c r="A4085" i="2"/>
  <c r="U4084" i="2"/>
  <c r="V4084" i="2" s="1"/>
  <c r="B4084" i="2"/>
  <c r="A4084" i="2"/>
  <c r="U4083" i="2"/>
  <c r="V4083" i="2" s="1"/>
  <c r="B4083" i="2"/>
  <c r="A4083" i="2"/>
  <c r="U4082" i="2"/>
  <c r="V4082" i="2" s="1"/>
  <c r="B4082" i="2"/>
  <c r="A4082" i="2"/>
  <c r="U4081" i="2"/>
  <c r="V4081" i="2" s="1"/>
  <c r="B4081" i="2"/>
  <c r="A4081" i="2"/>
  <c r="U4080" i="2"/>
  <c r="V4080" i="2" s="1"/>
  <c r="B4080" i="2"/>
  <c r="A4080" i="2"/>
  <c r="U4079" i="2"/>
  <c r="V4079" i="2" s="1"/>
  <c r="B4079" i="2"/>
  <c r="A4079" i="2"/>
  <c r="U4078" i="2"/>
  <c r="V4078" i="2" s="1"/>
  <c r="B4078" i="2"/>
  <c r="A4078" i="2"/>
  <c r="U4077" i="2"/>
  <c r="V4077" i="2" s="1"/>
  <c r="B4077" i="2"/>
  <c r="A4077" i="2"/>
  <c r="U4076" i="2"/>
  <c r="V4076" i="2" s="1"/>
  <c r="B4076" i="2"/>
  <c r="A4076" i="2"/>
  <c r="U4075" i="2"/>
  <c r="V4075" i="2" s="1"/>
  <c r="B4075" i="2"/>
  <c r="A4075" i="2"/>
  <c r="U4074" i="2"/>
  <c r="V4074" i="2" s="1"/>
  <c r="B4074" i="2"/>
  <c r="A4074" i="2"/>
  <c r="U4073" i="2"/>
  <c r="V4073" i="2" s="1"/>
  <c r="B4073" i="2"/>
  <c r="A4073" i="2"/>
  <c r="U4072" i="2"/>
  <c r="V4072" i="2" s="1"/>
  <c r="B4072" i="2"/>
  <c r="A4072" i="2"/>
  <c r="U4071" i="2"/>
  <c r="V4071" i="2" s="1"/>
  <c r="B4071" i="2"/>
  <c r="A4071" i="2"/>
  <c r="U4070" i="2"/>
  <c r="V4070" i="2" s="1"/>
  <c r="B4070" i="2"/>
  <c r="A4070" i="2"/>
  <c r="U4069" i="2"/>
  <c r="V4069" i="2" s="1"/>
  <c r="B4069" i="2"/>
  <c r="A4069" i="2"/>
  <c r="U4068" i="2"/>
  <c r="V4068" i="2" s="1"/>
  <c r="B4068" i="2"/>
  <c r="A4068" i="2"/>
  <c r="U4067" i="2"/>
  <c r="V4067" i="2" s="1"/>
  <c r="B4067" i="2"/>
  <c r="A4067" i="2"/>
  <c r="U4066" i="2"/>
  <c r="V4066" i="2" s="1"/>
  <c r="B4066" i="2"/>
  <c r="A4066" i="2"/>
  <c r="U4065" i="2"/>
  <c r="V4065" i="2" s="1"/>
  <c r="B4065" i="2"/>
  <c r="A4065" i="2"/>
  <c r="U4064" i="2"/>
  <c r="V4064" i="2" s="1"/>
  <c r="B4064" i="2"/>
  <c r="A4064" i="2"/>
  <c r="U4063" i="2"/>
  <c r="V4063" i="2" s="1"/>
  <c r="B4063" i="2"/>
  <c r="A4063" i="2"/>
  <c r="U4062" i="2"/>
  <c r="V4062" i="2" s="1"/>
  <c r="B4062" i="2"/>
  <c r="A4062" i="2"/>
  <c r="U4061" i="2"/>
  <c r="V4061" i="2" s="1"/>
  <c r="B4061" i="2"/>
  <c r="A4061" i="2"/>
  <c r="U4060" i="2"/>
  <c r="V4060" i="2" s="1"/>
  <c r="B4060" i="2"/>
  <c r="A4060" i="2"/>
  <c r="U4059" i="2"/>
  <c r="V4059" i="2" s="1"/>
  <c r="B4059" i="2"/>
  <c r="A4059" i="2"/>
  <c r="U4058" i="2"/>
  <c r="V4058" i="2" s="1"/>
  <c r="B4058" i="2"/>
  <c r="A4058" i="2"/>
  <c r="U4057" i="2"/>
  <c r="V4057" i="2" s="1"/>
  <c r="B4057" i="2"/>
  <c r="A4057" i="2"/>
  <c r="U4056" i="2"/>
  <c r="V4056" i="2" s="1"/>
  <c r="B4056" i="2"/>
  <c r="A4056" i="2"/>
  <c r="U4055" i="2"/>
  <c r="V4055" i="2" s="1"/>
  <c r="B4055" i="2"/>
  <c r="A4055" i="2"/>
  <c r="U4054" i="2"/>
  <c r="V4054" i="2" s="1"/>
  <c r="B4054" i="2"/>
  <c r="A4054" i="2"/>
  <c r="U4053" i="2"/>
  <c r="V4053" i="2" s="1"/>
  <c r="B4053" i="2"/>
  <c r="A4053" i="2"/>
  <c r="U4052" i="2"/>
  <c r="V4052" i="2" s="1"/>
  <c r="B4052" i="2"/>
  <c r="A4052" i="2"/>
  <c r="U4051" i="2"/>
  <c r="V4051" i="2" s="1"/>
  <c r="B4051" i="2"/>
  <c r="A4051" i="2"/>
  <c r="U4050" i="2"/>
  <c r="V4050" i="2" s="1"/>
  <c r="B4050" i="2"/>
  <c r="A4050" i="2"/>
  <c r="U4049" i="2"/>
  <c r="V4049" i="2" s="1"/>
  <c r="B4049" i="2"/>
  <c r="A4049" i="2"/>
  <c r="U4048" i="2"/>
  <c r="V4048" i="2" s="1"/>
  <c r="B4048" i="2"/>
  <c r="A4048" i="2"/>
  <c r="U4047" i="2"/>
  <c r="V4047" i="2" s="1"/>
  <c r="B4047" i="2"/>
  <c r="A4047" i="2"/>
  <c r="U4046" i="2"/>
  <c r="V4046" i="2" s="1"/>
  <c r="B4046" i="2"/>
  <c r="A4046" i="2"/>
  <c r="U4045" i="2"/>
  <c r="V4045" i="2" s="1"/>
  <c r="B4045" i="2"/>
  <c r="A4045" i="2"/>
  <c r="U4044" i="2"/>
  <c r="V4044" i="2" s="1"/>
  <c r="B4044" i="2"/>
  <c r="A4044" i="2"/>
  <c r="U4043" i="2"/>
  <c r="V4043" i="2" s="1"/>
  <c r="B4043" i="2"/>
  <c r="A4043" i="2"/>
  <c r="U4042" i="2"/>
  <c r="V4042" i="2" s="1"/>
  <c r="B4042" i="2"/>
  <c r="A4042" i="2"/>
  <c r="U4041" i="2"/>
  <c r="V4041" i="2" s="1"/>
  <c r="B4041" i="2"/>
  <c r="A4041" i="2"/>
  <c r="U4040" i="2"/>
  <c r="V4040" i="2" s="1"/>
  <c r="B4040" i="2"/>
  <c r="A4040" i="2"/>
  <c r="U4039" i="2"/>
  <c r="V4039" i="2" s="1"/>
  <c r="B4039" i="2"/>
  <c r="A4039" i="2"/>
  <c r="U4038" i="2"/>
  <c r="V4038" i="2" s="1"/>
  <c r="B4038" i="2"/>
  <c r="A4038" i="2"/>
  <c r="U4037" i="2"/>
  <c r="V4037" i="2" s="1"/>
  <c r="B4037" i="2"/>
  <c r="A4037" i="2"/>
  <c r="U4036" i="2"/>
  <c r="V4036" i="2" s="1"/>
  <c r="B4036" i="2"/>
  <c r="A4036" i="2"/>
  <c r="U4035" i="2"/>
  <c r="V4035" i="2" s="1"/>
  <c r="B4035" i="2"/>
  <c r="A4035" i="2"/>
  <c r="U4034" i="2"/>
  <c r="V4034" i="2" s="1"/>
  <c r="B4034" i="2"/>
  <c r="A4034" i="2"/>
  <c r="U4033" i="2"/>
  <c r="V4033" i="2" s="1"/>
  <c r="B4033" i="2"/>
  <c r="A4033" i="2"/>
  <c r="U4032" i="2"/>
  <c r="V4032" i="2" s="1"/>
  <c r="B4032" i="2"/>
  <c r="A4032" i="2"/>
  <c r="U4031" i="2"/>
  <c r="V4031" i="2" s="1"/>
  <c r="B4031" i="2"/>
  <c r="A4031" i="2"/>
  <c r="U4030" i="2"/>
  <c r="V4030" i="2" s="1"/>
  <c r="B4030" i="2"/>
  <c r="A4030" i="2"/>
  <c r="U4029" i="2"/>
  <c r="V4029" i="2" s="1"/>
  <c r="B4029" i="2"/>
  <c r="A4029" i="2"/>
  <c r="U4028" i="2"/>
  <c r="V4028" i="2" s="1"/>
  <c r="B4028" i="2"/>
  <c r="A4028" i="2"/>
  <c r="U4027" i="2"/>
  <c r="V4027" i="2" s="1"/>
  <c r="B4027" i="2"/>
  <c r="A4027" i="2"/>
  <c r="U4026" i="2"/>
  <c r="V4026" i="2" s="1"/>
  <c r="B4026" i="2"/>
  <c r="A4026" i="2"/>
  <c r="U4025" i="2"/>
  <c r="V4025" i="2" s="1"/>
  <c r="B4025" i="2"/>
  <c r="A4025" i="2"/>
  <c r="U4024" i="2"/>
  <c r="V4024" i="2" s="1"/>
  <c r="B4024" i="2"/>
  <c r="A4024" i="2"/>
  <c r="U4023" i="2"/>
  <c r="V4023" i="2" s="1"/>
  <c r="B4023" i="2"/>
  <c r="A4023" i="2"/>
  <c r="U4022" i="2"/>
  <c r="V4022" i="2" s="1"/>
  <c r="B4022" i="2"/>
  <c r="A4022" i="2"/>
  <c r="U4021" i="2"/>
  <c r="V4021" i="2" s="1"/>
  <c r="B4021" i="2"/>
  <c r="A4021" i="2"/>
  <c r="U4020" i="2"/>
  <c r="V4020" i="2" s="1"/>
  <c r="B4020" i="2"/>
  <c r="A4020" i="2"/>
  <c r="U4019" i="2"/>
  <c r="V4019" i="2" s="1"/>
  <c r="B4019" i="2"/>
  <c r="A4019" i="2"/>
  <c r="U4018" i="2"/>
  <c r="V4018" i="2" s="1"/>
  <c r="B4018" i="2"/>
  <c r="A4018" i="2"/>
  <c r="U4017" i="2"/>
  <c r="V4017" i="2" s="1"/>
  <c r="B4017" i="2"/>
  <c r="A4017" i="2"/>
  <c r="U4016" i="2"/>
  <c r="V4016" i="2" s="1"/>
  <c r="B4016" i="2"/>
  <c r="A4016" i="2"/>
  <c r="U4015" i="2"/>
  <c r="V4015" i="2" s="1"/>
  <c r="B4015" i="2"/>
  <c r="A4015" i="2"/>
  <c r="U4014" i="2"/>
  <c r="V4014" i="2" s="1"/>
  <c r="B4014" i="2"/>
  <c r="A4014" i="2"/>
  <c r="U4013" i="2"/>
  <c r="V4013" i="2" s="1"/>
  <c r="B4013" i="2"/>
  <c r="A4013" i="2"/>
  <c r="U4012" i="2"/>
  <c r="V4012" i="2" s="1"/>
  <c r="B4012" i="2"/>
  <c r="A4012" i="2"/>
  <c r="U4011" i="2"/>
  <c r="V4011" i="2" s="1"/>
  <c r="B4011" i="2"/>
  <c r="A4011" i="2"/>
  <c r="U4010" i="2"/>
  <c r="V4010" i="2" s="1"/>
  <c r="B4010" i="2"/>
  <c r="A4010" i="2"/>
  <c r="U4009" i="2"/>
  <c r="V4009" i="2" s="1"/>
  <c r="B4009" i="2"/>
  <c r="A4009" i="2"/>
  <c r="U4008" i="2"/>
  <c r="V4008" i="2" s="1"/>
  <c r="B4008" i="2"/>
  <c r="A4008" i="2"/>
  <c r="U4007" i="2"/>
  <c r="V4007" i="2" s="1"/>
  <c r="B4007" i="2"/>
  <c r="A4007" i="2"/>
  <c r="U4006" i="2"/>
  <c r="V4006" i="2" s="1"/>
  <c r="B4006" i="2"/>
  <c r="A4006" i="2"/>
  <c r="U4005" i="2"/>
  <c r="V4005" i="2" s="1"/>
  <c r="B4005" i="2"/>
  <c r="A4005" i="2"/>
  <c r="U4004" i="2"/>
  <c r="V4004" i="2" s="1"/>
  <c r="B4004" i="2"/>
  <c r="A4004" i="2"/>
  <c r="U4003" i="2"/>
  <c r="V4003" i="2" s="1"/>
  <c r="B4003" i="2"/>
  <c r="A4003" i="2"/>
  <c r="U4002" i="2"/>
  <c r="V4002" i="2" s="1"/>
  <c r="B4002" i="2"/>
  <c r="A4002" i="2"/>
  <c r="U4001" i="2"/>
  <c r="V4001" i="2" s="1"/>
  <c r="B4001" i="2"/>
  <c r="A4001" i="2"/>
  <c r="U4000" i="2"/>
  <c r="V4000" i="2" s="1"/>
  <c r="B4000" i="2"/>
  <c r="A4000" i="2"/>
  <c r="U3999" i="2"/>
  <c r="V3999" i="2" s="1"/>
  <c r="B3999" i="2"/>
  <c r="A3999" i="2"/>
  <c r="U3998" i="2"/>
  <c r="V3998" i="2" s="1"/>
  <c r="B3998" i="2"/>
  <c r="A3998" i="2"/>
  <c r="U3997" i="2"/>
  <c r="V3997" i="2" s="1"/>
  <c r="B3997" i="2"/>
  <c r="A3997" i="2"/>
  <c r="U3996" i="2"/>
  <c r="V3996" i="2" s="1"/>
  <c r="B3996" i="2"/>
  <c r="A3996" i="2"/>
  <c r="U3995" i="2"/>
  <c r="V3995" i="2" s="1"/>
  <c r="B3995" i="2"/>
  <c r="A3995" i="2"/>
  <c r="U3994" i="2"/>
  <c r="V3994" i="2" s="1"/>
  <c r="B3994" i="2"/>
  <c r="A3994" i="2"/>
  <c r="U3993" i="2"/>
  <c r="V3993" i="2" s="1"/>
  <c r="B3993" i="2"/>
  <c r="A3993" i="2"/>
  <c r="U3992" i="2"/>
  <c r="V3992" i="2" s="1"/>
  <c r="B3992" i="2"/>
  <c r="A3992" i="2"/>
  <c r="U3991" i="2"/>
  <c r="V3991" i="2" s="1"/>
  <c r="B3991" i="2"/>
  <c r="A3991" i="2"/>
  <c r="U3990" i="2"/>
  <c r="V3990" i="2" s="1"/>
  <c r="B3990" i="2"/>
  <c r="A3990" i="2"/>
  <c r="U3989" i="2"/>
  <c r="V3989" i="2" s="1"/>
  <c r="B3989" i="2"/>
  <c r="A3989" i="2"/>
  <c r="U3988" i="2"/>
  <c r="V3988" i="2" s="1"/>
  <c r="B3988" i="2"/>
  <c r="A3988" i="2"/>
  <c r="U3987" i="2"/>
  <c r="V3987" i="2" s="1"/>
  <c r="B3987" i="2"/>
  <c r="A3987" i="2"/>
  <c r="U3986" i="2"/>
  <c r="V3986" i="2" s="1"/>
  <c r="B3986" i="2"/>
  <c r="A3986" i="2"/>
  <c r="U3985" i="2"/>
  <c r="V3985" i="2" s="1"/>
  <c r="B3985" i="2"/>
  <c r="A3985" i="2"/>
  <c r="U3984" i="2"/>
  <c r="V3984" i="2" s="1"/>
  <c r="B3984" i="2"/>
  <c r="A3984" i="2"/>
  <c r="U3983" i="2"/>
  <c r="V3983" i="2" s="1"/>
  <c r="B3983" i="2"/>
  <c r="A3983" i="2"/>
  <c r="U3982" i="2"/>
  <c r="V3982" i="2" s="1"/>
  <c r="B3982" i="2"/>
  <c r="A3982" i="2"/>
  <c r="U3981" i="2"/>
  <c r="V3981" i="2" s="1"/>
  <c r="B3981" i="2"/>
  <c r="A3981" i="2"/>
  <c r="U3980" i="2"/>
  <c r="V3980" i="2" s="1"/>
  <c r="B3980" i="2"/>
  <c r="A3980" i="2"/>
  <c r="U3979" i="2"/>
  <c r="V3979" i="2" s="1"/>
  <c r="B3979" i="2"/>
  <c r="A3979" i="2"/>
  <c r="U3978" i="2"/>
  <c r="V3978" i="2" s="1"/>
  <c r="B3978" i="2"/>
  <c r="A3978" i="2"/>
  <c r="U3977" i="2"/>
  <c r="V3977" i="2" s="1"/>
  <c r="B3977" i="2"/>
  <c r="A3977" i="2"/>
  <c r="U3976" i="2"/>
  <c r="V3976" i="2" s="1"/>
  <c r="B3976" i="2"/>
  <c r="A3976" i="2"/>
  <c r="U3975" i="2"/>
  <c r="V3975" i="2" s="1"/>
  <c r="B3975" i="2"/>
  <c r="A3975" i="2"/>
  <c r="U3974" i="2"/>
  <c r="V3974" i="2" s="1"/>
  <c r="B3974" i="2"/>
  <c r="A3974" i="2"/>
  <c r="U3973" i="2"/>
  <c r="V3973" i="2" s="1"/>
  <c r="B3973" i="2"/>
  <c r="A3973" i="2"/>
  <c r="U3972" i="2"/>
  <c r="V3972" i="2" s="1"/>
  <c r="B3972" i="2"/>
  <c r="A3972" i="2"/>
  <c r="U3971" i="2"/>
  <c r="V3971" i="2" s="1"/>
  <c r="B3971" i="2"/>
  <c r="A3971" i="2"/>
  <c r="U3970" i="2"/>
  <c r="V3970" i="2" s="1"/>
  <c r="B3970" i="2"/>
  <c r="A3970" i="2"/>
  <c r="U3969" i="2"/>
  <c r="V3969" i="2" s="1"/>
  <c r="B3969" i="2"/>
  <c r="A3969" i="2"/>
  <c r="U3968" i="2"/>
  <c r="V3968" i="2" s="1"/>
  <c r="B3968" i="2"/>
  <c r="A3968" i="2"/>
  <c r="U3967" i="2"/>
  <c r="V3967" i="2" s="1"/>
  <c r="B3967" i="2"/>
  <c r="A3967" i="2"/>
  <c r="U3966" i="2"/>
  <c r="V3966" i="2" s="1"/>
  <c r="B3966" i="2"/>
  <c r="A3966" i="2"/>
  <c r="U3965" i="2"/>
  <c r="V3965" i="2" s="1"/>
  <c r="B3965" i="2"/>
  <c r="A3965" i="2"/>
  <c r="U3964" i="2"/>
  <c r="V3964" i="2" s="1"/>
  <c r="B3964" i="2"/>
  <c r="A3964" i="2"/>
  <c r="U3963" i="2"/>
  <c r="V3963" i="2" s="1"/>
  <c r="B3963" i="2"/>
  <c r="A3963" i="2"/>
  <c r="U3962" i="2"/>
  <c r="V3962" i="2" s="1"/>
  <c r="B3962" i="2"/>
  <c r="A3962" i="2"/>
  <c r="U3961" i="2"/>
  <c r="V3961" i="2" s="1"/>
  <c r="B3961" i="2"/>
  <c r="A3961" i="2"/>
  <c r="U3960" i="2"/>
  <c r="V3960" i="2" s="1"/>
  <c r="B3960" i="2"/>
  <c r="A3960" i="2"/>
  <c r="U3959" i="2"/>
  <c r="V3959" i="2" s="1"/>
  <c r="B3959" i="2"/>
  <c r="A3959" i="2"/>
  <c r="U3958" i="2"/>
  <c r="V3958" i="2" s="1"/>
  <c r="B3958" i="2"/>
  <c r="A3958" i="2"/>
  <c r="U3957" i="2"/>
  <c r="V3957" i="2" s="1"/>
  <c r="B3957" i="2"/>
  <c r="A3957" i="2"/>
  <c r="U3956" i="2"/>
  <c r="V3956" i="2" s="1"/>
  <c r="B3956" i="2"/>
  <c r="A3956" i="2"/>
  <c r="U3955" i="2"/>
  <c r="V3955" i="2" s="1"/>
  <c r="B3955" i="2"/>
  <c r="A3955" i="2"/>
  <c r="U3954" i="2"/>
  <c r="V3954" i="2" s="1"/>
  <c r="B3954" i="2"/>
  <c r="A3954" i="2"/>
  <c r="U3953" i="2"/>
  <c r="V3953" i="2" s="1"/>
  <c r="B3953" i="2"/>
  <c r="A3953" i="2"/>
  <c r="U3952" i="2"/>
  <c r="V3952" i="2" s="1"/>
  <c r="B3952" i="2"/>
  <c r="A3952" i="2"/>
  <c r="U3951" i="2"/>
  <c r="V3951" i="2" s="1"/>
  <c r="B3951" i="2"/>
  <c r="A3951" i="2"/>
  <c r="U3950" i="2"/>
  <c r="V3950" i="2" s="1"/>
  <c r="B3950" i="2"/>
  <c r="A3950" i="2"/>
  <c r="U3949" i="2"/>
  <c r="V3949" i="2" s="1"/>
  <c r="B3949" i="2"/>
  <c r="A3949" i="2"/>
  <c r="U3948" i="2"/>
  <c r="V3948" i="2" s="1"/>
  <c r="B3948" i="2"/>
  <c r="A3948" i="2"/>
  <c r="U3947" i="2"/>
  <c r="V3947" i="2" s="1"/>
  <c r="B3947" i="2"/>
  <c r="A3947" i="2"/>
  <c r="U3946" i="2"/>
  <c r="V3946" i="2" s="1"/>
  <c r="B3946" i="2"/>
  <c r="A3946" i="2"/>
  <c r="U3945" i="2"/>
  <c r="V3945" i="2" s="1"/>
  <c r="B3945" i="2"/>
  <c r="A3945" i="2"/>
  <c r="U3944" i="2"/>
  <c r="V3944" i="2" s="1"/>
  <c r="B3944" i="2"/>
  <c r="A3944" i="2"/>
  <c r="U3943" i="2"/>
  <c r="V3943" i="2" s="1"/>
  <c r="B3943" i="2"/>
  <c r="A3943" i="2"/>
  <c r="U3942" i="2"/>
  <c r="V3942" i="2" s="1"/>
  <c r="B3942" i="2"/>
  <c r="A3942" i="2"/>
  <c r="U3941" i="2"/>
  <c r="V3941" i="2" s="1"/>
  <c r="B3941" i="2"/>
  <c r="A3941" i="2"/>
  <c r="U3940" i="2"/>
  <c r="V3940" i="2" s="1"/>
  <c r="B3940" i="2"/>
  <c r="A3940" i="2"/>
  <c r="U3939" i="2"/>
  <c r="V3939" i="2" s="1"/>
  <c r="B3939" i="2"/>
  <c r="A3939" i="2"/>
  <c r="U3938" i="2"/>
  <c r="V3938" i="2" s="1"/>
  <c r="B3938" i="2"/>
  <c r="A3938" i="2"/>
  <c r="U3937" i="2"/>
  <c r="V3937" i="2" s="1"/>
  <c r="B3937" i="2"/>
  <c r="A3937" i="2"/>
  <c r="U3936" i="2"/>
  <c r="V3936" i="2" s="1"/>
  <c r="B3936" i="2"/>
  <c r="A3936" i="2"/>
  <c r="U3935" i="2"/>
  <c r="V3935" i="2" s="1"/>
  <c r="B3935" i="2"/>
  <c r="A3935" i="2"/>
  <c r="U3934" i="2"/>
  <c r="V3934" i="2" s="1"/>
  <c r="B3934" i="2"/>
  <c r="A3934" i="2"/>
  <c r="U3933" i="2"/>
  <c r="V3933" i="2" s="1"/>
  <c r="B3933" i="2"/>
  <c r="A3933" i="2"/>
  <c r="U3932" i="2"/>
  <c r="V3932" i="2" s="1"/>
  <c r="B3932" i="2"/>
  <c r="A3932" i="2"/>
  <c r="U3931" i="2"/>
  <c r="V3931" i="2" s="1"/>
  <c r="B3931" i="2"/>
  <c r="A3931" i="2"/>
  <c r="U3930" i="2"/>
  <c r="V3930" i="2" s="1"/>
  <c r="B3930" i="2"/>
  <c r="A3930" i="2"/>
  <c r="U3929" i="2"/>
  <c r="V3929" i="2" s="1"/>
  <c r="B3929" i="2"/>
  <c r="A3929" i="2"/>
  <c r="U3928" i="2"/>
  <c r="V3928" i="2" s="1"/>
  <c r="B3928" i="2"/>
  <c r="A3928" i="2"/>
  <c r="U3927" i="2"/>
  <c r="V3927" i="2" s="1"/>
  <c r="B3927" i="2"/>
  <c r="A3927" i="2"/>
  <c r="U3926" i="2"/>
  <c r="V3926" i="2" s="1"/>
  <c r="B3926" i="2"/>
  <c r="A3926" i="2"/>
  <c r="U3925" i="2"/>
  <c r="V3925" i="2" s="1"/>
  <c r="B3925" i="2"/>
  <c r="A3925" i="2"/>
  <c r="U3924" i="2"/>
  <c r="V3924" i="2" s="1"/>
  <c r="B3924" i="2"/>
  <c r="A3924" i="2"/>
  <c r="U3923" i="2"/>
  <c r="V3923" i="2" s="1"/>
  <c r="B3923" i="2"/>
  <c r="A3923" i="2"/>
  <c r="U3922" i="2"/>
  <c r="V3922" i="2" s="1"/>
  <c r="B3922" i="2"/>
  <c r="A3922" i="2"/>
  <c r="U3921" i="2"/>
  <c r="V3921" i="2" s="1"/>
  <c r="B3921" i="2"/>
  <c r="A3921" i="2"/>
  <c r="U3920" i="2"/>
  <c r="V3920" i="2" s="1"/>
  <c r="B3920" i="2"/>
  <c r="A3920" i="2"/>
  <c r="U3919" i="2"/>
  <c r="V3919" i="2" s="1"/>
  <c r="B3919" i="2"/>
  <c r="A3919" i="2"/>
  <c r="U3918" i="2"/>
  <c r="V3918" i="2" s="1"/>
  <c r="B3918" i="2"/>
  <c r="A3918" i="2"/>
  <c r="U3917" i="2"/>
  <c r="V3917" i="2" s="1"/>
  <c r="B3917" i="2"/>
  <c r="A3917" i="2"/>
  <c r="U3916" i="2"/>
  <c r="V3916" i="2" s="1"/>
  <c r="B3916" i="2"/>
  <c r="A3916" i="2"/>
  <c r="U3915" i="2"/>
  <c r="V3915" i="2" s="1"/>
  <c r="B3915" i="2"/>
  <c r="A3915" i="2"/>
  <c r="U3914" i="2"/>
  <c r="V3914" i="2" s="1"/>
  <c r="B3914" i="2"/>
  <c r="A3914" i="2"/>
  <c r="U3913" i="2"/>
  <c r="V3913" i="2" s="1"/>
  <c r="B3913" i="2"/>
  <c r="A3913" i="2"/>
  <c r="U3912" i="2"/>
  <c r="V3912" i="2" s="1"/>
  <c r="B3912" i="2"/>
  <c r="A3912" i="2"/>
  <c r="U3911" i="2"/>
  <c r="V3911" i="2" s="1"/>
  <c r="B3911" i="2"/>
  <c r="A3911" i="2"/>
  <c r="U3910" i="2"/>
  <c r="V3910" i="2" s="1"/>
  <c r="B3910" i="2"/>
  <c r="A3910" i="2"/>
  <c r="U3909" i="2"/>
  <c r="V3909" i="2" s="1"/>
  <c r="B3909" i="2"/>
  <c r="A3909" i="2"/>
  <c r="U3908" i="2"/>
  <c r="V3908" i="2" s="1"/>
  <c r="B3908" i="2"/>
  <c r="A3908" i="2"/>
  <c r="U3907" i="2"/>
  <c r="V3907" i="2" s="1"/>
  <c r="B3907" i="2"/>
  <c r="A3907" i="2"/>
  <c r="U3906" i="2"/>
  <c r="V3906" i="2" s="1"/>
  <c r="B3906" i="2"/>
  <c r="A3906" i="2"/>
  <c r="U3905" i="2"/>
  <c r="V3905" i="2" s="1"/>
  <c r="B3905" i="2"/>
  <c r="A3905" i="2"/>
  <c r="U3904" i="2"/>
  <c r="V3904" i="2" s="1"/>
  <c r="B3904" i="2"/>
  <c r="A3904" i="2"/>
  <c r="U3903" i="2"/>
  <c r="V3903" i="2" s="1"/>
  <c r="B3903" i="2"/>
  <c r="A3903" i="2"/>
  <c r="U3902" i="2"/>
  <c r="V3902" i="2" s="1"/>
  <c r="B3902" i="2"/>
  <c r="A3902" i="2"/>
  <c r="U3901" i="2"/>
  <c r="V3901" i="2" s="1"/>
  <c r="B3901" i="2"/>
  <c r="A3901" i="2"/>
  <c r="U3900" i="2"/>
  <c r="V3900" i="2" s="1"/>
  <c r="B3900" i="2"/>
  <c r="A3900" i="2"/>
  <c r="U3899" i="2"/>
  <c r="V3899" i="2" s="1"/>
  <c r="B3899" i="2"/>
  <c r="A3899" i="2"/>
  <c r="U3898" i="2"/>
  <c r="V3898" i="2" s="1"/>
  <c r="B3898" i="2"/>
  <c r="A3898" i="2"/>
  <c r="U3897" i="2"/>
  <c r="V3897" i="2" s="1"/>
  <c r="B3897" i="2"/>
  <c r="A3897" i="2"/>
  <c r="U3896" i="2"/>
  <c r="V3896" i="2" s="1"/>
  <c r="B3896" i="2"/>
  <c r="A3896" i="2"/>
  <c r="U3895" i="2"/>
  <c r="V3895" i="2" s="1"/>
  <c r="B3895" i="2"/>
  <c r="A3895" i="2"/>
  <c r="U3894" i="2"/>
  <c r="V3894" i="2" s="1"/>
  <c r="B3894" i="2"/>
  <c r="A3894" i="2"/>
  <c r="U3893" i="2"/>
  <c r="V3893" i="2" s="1"/>
  <c r="B3893" i="2"/>
  <c r="A3893" i="2"/>
  <c r="U3892" i="2"/>
  <c r="V3892" i="2" s="1"/>
  <c r="B3892" i="2"/>
  <c r="A3892" i="2"/>
  <c r="U3891" i="2"/>
  <c r="V3891" i="2" s="1"/>
  <c r="B3891" i="2"/>
  <c r="A3891" i="2"/>
  <c r="U3890" i="2"/>
  <c r="V3890" i="2" s="1"/>
  <c r="B3890" i="2"/>
  <c r="A3890" i="2"/>
  <c r="U3889" i="2"/>
  <c r="V3889" i="2" s="1"/>
  <c r="B3889" i="2"/>
  <c r="A3889" i="2"/>
  <c r="U3888" i="2"/>
  <c r="V3888" i="2" s="1"/>
  <c r="B3888" i="2"/>
  <c r="A3888" i="2"/>
  <c r="U3887" i="2"/>
  <c r="V3887" i="2" s="1"/>
  <c r="B3887" i="2"/>
  <c r="A3887" i="2"/>
  <c r="U3886" i="2"/>
  <c r="V3886" i="2" s="1"/>
  <c r="B3886" i="2"/>
  <c r="A3886" i="2"/>
  <c r="U3885" i="2"/>
  <c r="V3885" i="2" s="1"/>
  <c r="B3885" i="2"/>
  <c r="A3885" i="2"/>
  <c r="U3884" i="2"/>
  <c r="V3884" i="2" s="1"/>
  <c r="B3884" i="2"/>
  <c r="A3884" i="2"/>
  <c r="U3883" i="2"/>
  <c r="V3883" i="2" s="1"/>
  <c r="B3883" i="2"/>
  <c r="A3883" i="2"/>
  <c r="U3882" i="2"/>
  <c r="V3882" i="2" s="1"/>
  <c r="B3882" i="2"/>
  <c r="A3882" i="2"/>
  <c r="U3881" i="2"/>
  <c r="V3881" i="2" s="1"/>
  <c r="B3881" i="2"/>
  <c r="A3881" i="2"/>
  <c r="U3880" i="2"/>
  <c r="V3880" i="2" s="1"/>
  <c r="B3880" i="2"/>
  <c r="A3880" i="2"/>
  <c r="U3879" i="2"/>
  <c r="V3879" i="2" s="1"/>
  <c r="B3879" i="2"/>
  <c r="A3879" i="2"/>
  <c r="U3878" i="2"/>
  <c r="V3878" i="2" s="1"/>
  <c r="B3878" i="2"/>
  <c r="A3878" i="2"/>
  <c r="U3877" i="2"/>
  <c r="V3877" i="2" s="1"/>
  <c r="B3877" i="2"/>
  <c r="A3877" i="2"/>
  <c r="U3876" i="2"/>
  <c r="V3876" i="2" s="1"/>
  <c r="B3876" i="2"/>
  <c r="A3876" i="2"/>
  <c r="U3875" i="2"/>
  <c r="V3875" i="2" s="1"/>
  <c r="B3875" i="2"/>
  <c r="A3875" i="2"/>
  <c r="U3874" i="2"/>
  <c r="V3874" i="2" s="1"/>
  <c r="B3874" i="2"/>
  <c r="A3874" i="2"/>
  <c r="U3873" i="2"/>
  <c r="V3873" i="2" s="1"/>
  <c r="B3873" i="2"/>
  <c r="A3873" i="2"/>
  <c r="U3872" i="2"/>
  <c r="V3872" i="2" s="1"/>
  <c r="B3872" i="2"/>
  <c r="A3872" i="2"/>
  <c r="U3871" i="2"/>
  <c r="V3871" i="2" s="1"/>
  <c r="B3871" i="2"/>
  <c r="A3871" i="2"/>
  <c r="U3870" i="2"/>
  <c r="V3870" i="2" s="1"/>
  <c r="B3870" i="2"/>
  <c r="A3870" i="2"/>
  <c r="U3869" i="2"/>
  <c r="V3869" i="2" s="1"/>
  <c r="B3869" i="2"/>
  <c r="A3869" i="2"/>
  <c r="U3868" i="2"/>
  <c r="V3868" i="2" s="1"/>
  <c r="B3868" i="2"/>
  <c r="A3868" i="2"/>
  <c r="U3867" i="2"/>
  <c r="V3867" i="2" s="1"/>
  <c r="B3867" i="2"/>
  <c r="A3867" i="2"/>
  <c r="U3866" i="2"/>
  <c r="V3866" i="2" s="1"/>
  <c r="B3866" i="2"/>
  <c r="A3866" i="2"/>
  <c r="U3865" i="2"/>
  <c r="V3865" i="2" s="1"/>
  <c r="B3865" i="2"/>
  <c r="A3865" i="2"/>
  <c r="U3864" i="2"/>
  <c r="V3864" i="2" s="1"/>
  <c r="B3864" i="2"/>
  <c r="A3864" i="2"/>
  <c r="U3863" i="2"/>
  <c r="V3863" i="2" s="1"/>
  <c r="B3863" i="2"/>
  <c r="A3863" i="2"/>
  <c r="U3862" i="2"/>
  <c r="V3862" i="2" s="1"/>
  <c r="B3862" i="2"/>
  <c r="A3862" i="2"/>
  <c r="U3861" i="2"/>
  <c r="V3861" i="2" s="1"/>
  <c r="B3861" i="2"/>
  <c r="A3861" i="2"/>
  <c r="U3860" i="2"/>
  <c r="V3860" i="2" s="1"/>
  <c r="B3860" i="2"/>
  <c r="A3860" i="2"/>
  <c r="U3859" i="2"/>
  <c r="V3859" i="2" s="1"/>
  <c r="B3859" i="2"/>
  <c r="A3859" i="2"/>
  <c r="U3858" i="2"/>
  <c r="V3858" i="2" s="1"/>
  <c r="B3858" i="2"/>
  <c r="A3858" i="2"/>
  <c r="U3857" i="2"/>
  <c r="V3857" i="2" s="1"/>
  <c r="B3857" i="2"/>
  <c r="A3857" i="2"/>
  <c r="U3856" i="2"/>
  <c r="V3856" i="2" s="1"/>
  <c r="B3856" i="2"/>
  <c r="A3856" i="2"/>
  <c r="U3855" i="2"/>
  <c r="V3855" i="2" s="1"/>
  <c r="B3855" i="2"/>
  <c r="A3855" i="2"/>
  <c r="U3854" i="2"/>
  <c r="V3854" i="2" s="1"/>
  <c r="B3854" i="2"/>
  <c r="A3854" i="2"/>
  <c r="U3853" i="2"/>
  <c r="V3853" i="2" s="1"/>
  <c r="B3853" i="2"/>
  <c r="A3853" i="2"/>
  <c r="U3852" i="2"/>
  <c r="V3852" i="2" s="1"/>
  <c r="B3852" i="2"/>
  <c r="A3852" i="2"/>
  <c r="U3851" i="2"/>
  <c r="V3851" i="2" s="1"/>
  <c r="B3851" i="2"/>
  <c r="A3851" i="2"/>
  <c r="U3850" i="2"/>
  <c r="V3850" i="2" s="1"/>
  <c r="B3850" i="2"/>
  <c r="A3850" i="2"/>
  <c r="U3849" i="2"/>
  <c r="V3849" i="2" s="1"/>
  <c r="B3849" i="2"/>
  <c r="A3849" i="2"/>
  <c r="U3848" i="2"/>
  <c r="V3848" i="2" s="1"/>
  <c r="B3848" i="2"/>
  <c r="A3848" i="2"/>
  <c r="U3847" i="2"/>
  <c r="V3847" i="2" s="1"/>
  <c r="B3847" i="2"/>
  <c r="A3847" i="2"/>
  <c r="U3846" i="2"/>
  <c r="V3846" i="2" s="1"/>
  <c r="B3846" i="2"/>
  <c r="A3846" i="2"/>
  <c r="U3845" i="2"/>
  <c r="V3845" i="2" s="1"/>
  <c r="B3845" i="2"/>
  <c r="A3845" i="2"/>
  <c r="U3844" i="2"/>
  <c r="V3844" i="2" s="1"/>
  <c r="B3844" i="2"/>
  <c r="A3844" i="2"/>
  <c r="U3843" i="2"/>
  <c r="V3843" i="2" s="1"/>
  <c r="B3843" i="2"/>
  <c r="A3843" i="2"/>
  <c r="U3842" i="2"/>
  <c r="V3842" i="2" s="1"/>
  <c r="B3842" i="2"/>
  <c r="A3842" i="2"/>
  <c r="U3841" i="2"/>
  <c r="V3841" i="2" s="1"/>
  <c r="B3841" i="2"/>
  <c r="A3841" i="2"/>
  <c r="U3840" i="2"/>
  <c r="V3840" i="2" s="1"/>
  <c r="B3840" i="2"/>
  <c r="A3840" i="2"/>
  <c r="U3839" i="2"/>
  <c r="V3839" i="2" s="1"/>
  <c r="B3839" i="2"/>
  <c r="A3839" i="2"/>
  <c r="U3838" i="2"/>
  <c r="V3838" i="2" s="1"/>
  <c r="B3838" i="2"/>
  <c r="A3838" i="2"/>
  <c r="U3837" i="2"/>
  <c r="V3837" i="2" s="1"/>
  <c r="B3837" i="2"/>
  <c r="A3837" i="2"/>
  <c r="U3836" i="2"/>
  <c r="V3836" i="2" s="1"/>
  <c r="B3836" i="2"/>
  <c r="A3836" i="2"/>
  <c r="U3835" i="2"/>
  <c r="V3835" i="2" s="1"/>
  <c r="B3835" i="2"/>
  <c r="A3835" i="2"/>
  <c r="U3834" i="2"/>
  <c r="V3834" i="2" s="1"/>
  <c r="B3834" i="2"/>
  <c r="A3834" i="2"/>
  <c r="U3833" i="2"/>
  <c r="V3833" i="2" s="1"/>
  <c r="B3833" i="2"/>
  <c r="A3833" i="2"/>
  <c r="U3832" i="2"/>
  <c r="V3832" i="2" s="1"/>
  <c r="B3832" i="2"/>
  <c r="A3832" i="2"/>
  <c r="U3831" i="2"/>
  <c r="V3831" i="2" s="1"/>
  <c r="B3831" i="2"/>
  <c r="A3831" i="2"/>
  <c r="U3830" i="2"/>
  <c r="V3830" i="2" s="1"/>
  <c r="B3830" i="2"/>
  <c r="A3830" i="2"/>
  <c r="U3829" i="2"/>
  <c r="V3829" i="2" s="1"/>
  <c r="B3829" i="2"/>
  <c r="A3829" i="2"/>
  <c r="U3828" i="2"/>
  <c r="V3828" i="2" s="1"/>
  <c r="B3828" i="2"/>
  <c r="A3828" i="2"/>
  <c r="U3827" i="2"/>
  <c r="V3827" i="2" s="1"/>
  <c r="B3827" i="2"/>
  <c r="A3827" i="2"/>
  <c r="U3826" i="2"/>
  <c r="V3826" i="2" s="1"/>
  <c r="B3826" i="2"/>
  <c r="A3826" i="2"/>
  <c r="U3825" i="2"/>
  <c r="V3825" i="2" s="1"/>
  <c r="B3825" i="2"/>
  <c r="A3825" i="2"/>
  <c r="U3824" i="2"/>
  <c r="V3824" i="2" s="1"/>
  <c r="B3824" i="2"/>
  <c r="A3824" i="2"/>
  <c r="U3823" i="2"/>
  <c r="V3823" i="2" s="1"/>
  <c r="B3823" i="2"/>
  <c r="A3823" i="2"/>
  <c r="U3822" i="2"/>
  <c r="V3822" i="2" s="1"/>
  <c r="B3822" i="2"/>
  <c r="A3822" i="2"/>
  <c r="U3821" i="2"/>
  <c r="V3821" i="2" s="1"/>
  <c r="B3821" i="2"/>
  <c r="A3821" i="2"/>
  <c r="U3820" i="2"/>
  <c r="V3820" i="2" s="1"/>
  <c r="B3820" i="2"/>
  <c r="A3820" i="2"/>
  <c r="U3819" i="2"/>
  <c r="V3819" i="2" s="1"/>
  <c r="B3819" i="2"/>
  <c r="A3819" i="2"/>
  <c r="U3818" i="2"/>
  <c r="V3818" i="2" s="1"/>
  <c r="B3818" i="2"/>
  <c r="A3818" i="2"/>
  <c r="U3817" i="2"/>
  <c r="V3817" i="2" s="1"/>
  <c r="B3817" i="2"/>
  <c r="A3817" i="2"/>
  <c r="U3816" i="2"/>
  <c r="V3816" i="2" s="1"/>
  <c r="B3816" i="2"/>
  <c r="A3816" i="2"/>
  <c r="U3815" i="2"/>
  <c r="V3815" i="2" s="1"/>
  <c r="B3815" i="2"/>
  <c r="A3815" i="2"/>
  <c r="U3814" i="2"/>
  <c r="V3814" i="2" s="1"/>
  <c r="B3814" i="2"/>
  <c r="A3814" i="2"/>
  <c r="U3813" i="2"/>
  <c r="V3813" i="2" s="1"/>
  <c r="B3813" i="2"/>
  <c r="A3813" i="2"/>
  <c r="U3812" i="2"/>
  <c r="V3812" i="2" s="1"/>
  <c r="B3812" i="2"/>
  <c r="A3812" i="2"/>
  <c r="U3811" i="2"/>
  <c r="V3811" i="2" s="1"/>
  <c r="B3811" i="2"/>
  <c r="A3811" i="2"/>
  <c r="U3810" i="2"/>
  <c r="V3810" i="2" s="1"/>
  <c r="B3810" i="2"/>
  <c r="A3810" i="2"/>
  <c r="U3809" i="2"/>
  <c r="V3809" i="2" s="1"/>
  <c r="B3809" i="2"/>
  <c r="A3809" i="2"/>
  <c r="U3808" i="2"/>
  <c r="V3808" i="2" s="1"/>
  <c r="B3808" i="2"/>
  <c r="A3808" i="2"/>
  <c r="U3807" i="2"/>
  <c r="V3807" i="2" s="1"/>
  <c r="B3807" i="2"/>
  <c r="A3807" i="2"/>
  <c r="U3806" i="2"/>
  <c r="V3806" i="2" s="1"/>
  <c r="B3806" i="2"/>
  <c r="A3806" i="2"/>
  <c r="U3805" i="2"/>
  <c r="V3805" i="2" s="1"/>
  <c r="B3805" i="2"/>
  <c r="A3805" i="2"/>
  <c r="U3804" i="2"/>
  <c r="V3804" i="2" s="1"/>
  <c r="B3804" i="2"/>
  <c r="A3804" i="2"/>
  <c r="U3803" i="2"/>
  <c r="V3803" i="2" s="1"/>
  <c r="B3803" i="2"/>
  <c r="A3803" i="2"/>
  <c r="U3802" i="2"/>
  <c r="V3802" i="2" s="1"/>
  <c r="B3802" i="2"/>
  <c r="A3802" i="2"/>
  <c r="U3801" i="2"/>
  <c r="V3801" i="2" s="1"/>
  <c r="B3801" i="2"/>
  <c r="A3801" i="2"/>
  <c r="U3800" i="2"/>
  <c r="V3800" i="2" s="1"/>
  <c r="B3800" i="2"/>
  <c r="A3800" i="2"/>
  <c r="U3799" i="2"/>
  <c r="V3799" i="2" s="1"/>
  <c r="B3799" i="2"/>
  <c r="A3799" i="2"/>
  <c r="U3798" i="2"/>
  <c r="V3798" i="2" s="1"/>
  <c r="B3798" i="2"/>
  <c r="A3798" i="2"/>
  <c r="U3797" i="2"/>
  <c r="V3797" i="2" s="1"/>
  <c r="B3797" i="2"/>
  <c r="A3797" i="2"/>
  <c r="U3796" i="2"/>
  <c r="V3796" i="2" s="1"/>
  <c r="B3796" i="2"/>
  <c r="A3796" i="2"/>
  <c r="U3795" i="2"/>
  <c r="V3795" i="2" s="1"/>
  <c r="B3795" i="2"/>
  <c r="A3795" i="2"/>
  <c r="U3794" i="2"/>
  <c r="V3794" i="2" s="1"/>
  <c r="B3794" i="2"/>
  <c r="A3794" i="2"/>
  <c r="U3793" i="2"/>
  <c r="V3793" i="2" s="1"/>
  <c r="B3793" i="2"/>
  <c r="A3793" i="2"/>
  <c r="U3792" i="2"/>
  <c r="V3792" i="2" s="1"/>
  <c r="B3792" i="2"/>
  <c r="A3792" i="2"/>
  <c r="U3791" i="2"/>
  <c r="V3791" i="2" s="1"/>
  <c r="B3791" i="2"/>
  <c r="A3791" i="2"/>
  <c r="U3790" i="2"/>
  <c r="V3790" i="2" s="1"/>
  <c r="B3790" i="2"/>
  <c r="A3790" i="2"/>
  <c r="U3789" i="2"/>
  <c r="V3789" i="2" s="1"/>
  <c r="B3789" i="2"/>
  <c r="A3789" i="2"/>
  <c r="U3788" i="2"/>
  <c r="V3788" i="2" s="1"/>
  <c r="B3788" i="2"/>
  <c r="A3788" i="2"/>
  <c r="U3787" i="2"/>
  <c r="V3787" i="2" s="1"/>
  <c r="B3787" i="2"/>
  <c r="A3787" i="2"/>
  <c r="U3786" i="2"/>
  <c r="V3786" i="2" s="1"/>
  <c r="B3786" i="2"/>
  <c r="A3786" i="2"/>
  <c r="U3785" i="2"/>
  <c r="V3785" i="2" s="1"/>
  <c r="B3785" i="2"/>
  <c r="A3785" i="2"/>
  <c r="U3784" i="2"/>
  <c r="V3784" i="2" s="1"/>
  <c r="B3784" i="2"/>
  <c r="A3784" i="2"/>
  <c r="U3783" i="2"/>
  <c r="V3783" i="2" s="1"/>
  <c r="B3783" i="2"/>
  <c r="A3783" i="2"/>
  <c r="U3782" i="2"/>
  <c r="V3782" i="2" s="1"/>
  <c r="B3782" i="2"/>
  <c r="A3782" i="2"/>
  <c r="U3781" i="2"/>
  <c r="V3781" i="2" s="1"/>
  <c r="B3781" i="2"/>
  <c r="A3781" i="2"/>
  <c r="U3780" i="2"/>
  <c r="V3780" i="2" s="1"/>
  <c r="B3780" i="2"/>
  <c r="A3780" i="2"/>
  <c r="U3779" i="2"/>
  <c r="V3779" i="2" s="1"/>
  <c r="B3779" i="2"/>
  <c r="A3779" i="2"/>
  <c r="U3778" i="2"/>
  <c r="V3778" i="2" s="1"/>
  <c r="B3778" i="2"/>
  <c r="A3778" i="2"/>
  <c r="U3777" i="2"/>
  <c r="V3777" i="2" s="1"/>
  <c r="B3777" i="2"/>
  <c r="A3777" i="2"/>
  <c r="U3776" i="2"/>
  <c r="V3776" i="2" s="1"/>
  <c r="B3776" i="2"/>
  <c r="A3776" i="2"/>
  <c r="U3775" i="2"/>
  <c r="V3775" i="2" s="1"/>
  <c r="B3775" i="2"/>
  <c r="A3775" i="2"/>
  <c r="U3774" i="2"/>
  <c r="V3774" i="2" s="1"/>
  <c r="B3774" i="2"/>
  <c r="A3774" i="2"/>
  <c r="U3773" i="2"/>
  <c r="V3773" i="2" s="1"/>
  <c r="B3773" i="2"/>
  <c r="A3773" i="2"/>
  <c r="U3772" i="2"/>
  <c r="V3772" i="2" s="1"/>
  <c r="B3772" i="2"/>
  <c r="A3772" i="2"/>
  <c r="U3771" i="2"/>
  <c r="V3771" i="2" s="1"/>
  <c r="B3771" i="2"/>
  <c r="A3771" i="2"/>
  <c r="U3770" i="2"/>
  <c r="V3770" i="2" s="1"/>
  <c r="B3770" i="2"/>
  <c r="A3770" i="2"/>
  <c r="U3769" i="2"/>
  <c r="V3769" i="2" s="1"/>
  <c r="B3769" i="2"/>
  <c r="A3769" i="2"/>
  <c r="U3768" i="2"/>
  <c r="V3768" i="2" s="1"/>
  <c r="B3768" i="2"/>
  <c r="A3768" i="2"/>
  <c r="U3767" i="2"/>
  <c r="V3767" i="2" s="1"/>
  <c r="B3767" i="2"/>
  <c r="A3767" i="2"/>
  <c r="U3766" i="2"/>
  <c r="V3766" i="2" s="1"/>
  <c r="B3766" i="2"/>
  <c r="A3766" i="2"/>
  <c r="U3765" i="2"/>
  <c r="V3765" i="2" s="1"/>
  <c r="B3765" i="2"/>
  <c r="A3765" i="2"/>
  <c r="U3764" i="2"/>
  <c r="V3764" i="2" s="1"/>
  <c r="B3764" i="2"/>
  <c r="A3764" i="2"/>
  <c r="U3763" i="2"/>
  <c r="V3763" i="2" s="1"/>
  <c r="B3763" i="2"/>
  <c r="A3763" i="2"/>
  <c r="U3762" i="2"/>
  <c r="V3762" i="2" s="1"/>
  <c r="B3762" i="2"/>
  <c r="A3762" i="2"/>
  <c r="U3761" i="2"/>
  <c r="V3761" i="2" s="1"/>
  <c r="B3761" i="2"/>
  <c r="A3761" i="2"/>
  <c r="U3760" i="2"/>
  <c r="V3760" i="2" s="1"/>
  <c r="B3760" i="2"/>
  <c r="A3760" i="2"/>
  <c r="U3759" i="2"/>
  <c r="V3759" i="2" s="1"/>
  <c r="B3759" i="2"/>
  <c r="A3759" i="2"/>
  <c r="U3758" i="2"/>
  <c r="V3758" i="2" s="1"/>
  <c r="B3758" i="2"/>
  <c r="A3758" i="2"/>
  <c r="U3757" i="2"/>
  <c r="V3757" i="2" s="1"/>
  <c r="B3757" i="2"/>
  <c r="A3757" i="2"/>
  <c r="U3756" i="2"/>
  <c r="V3756" i="2" s="1"/>
  <c r="B3756" i="2"/>
  <c r="A3756" i="2"/>
  <c r="U3755" i="2"/>
  <c r="V3755" i="2" s="1"/>
  <c r="B3755" i="2"/>
  <c r="A3755" i="2"/>
  <c r="U3754" i="2"/>
  <c r="V3754" i="2" s="1"/>
  <c r="B3754" i="2"/>
  <c r="A3754" i="2"/>
  <c r="U3753" i="2"/>
  <c r="V3753" i="2" s="1"/>
  <c r="B3753" i="2"/>
  <c r="A3753" i="2"/>
  <c r="U3752" i="2"/>
  <c r="V3752" i="2" s="1"/>
  <c r="B3752" i="2"/>
  <c r="A3752" i="2"/>
  <c r="U3751" i="2"/>
  <c r="V3751" i="2" s="1"/>
  <c r="B3751" i="2"/>
  <c r="A3751" i="2"/>
  <c r="U3750" i="2"/>
  <c r="V3750" i="2" s="1"/>
  <c r="B3750" i="2"/>
  <c r="A3750" i="2"/>
  <c r="U3749" i="2"/>
  <c r="V3749" i="2" s="1"/>
  <c r="B3749" i="2"/>
  <c r="A3749" i="2"/>
  <c r="U3748" i="2"/>
  <c r="V3748" i="2" s="1"/>
  <c r="B3748" i="2"/>
  <c r="A3748" i="2"/>
  <c r="U3747" i="2"/>
  <c r="V3747" i="2" s="1"/>
  <c r="B3747" i="2"/>
  <c r="A3747" i="2"/>
  <c r="U3746" i="2"/>
  <c r="V3746" i="2" s="1"/>
  <c r="B3746" i="2"/>
  <c r="A3746" i="2"/>
  <c r="U3745" i="2"/>
  <c r="V3745" i="2" s="1"/>
  <c r="B3745" i="2"/>
  <c r="A3745" i="2"/>
  <c r="U3744" i="2"/>
  <c r="V3744" i="2" s="1"/>
  <c r="B3744" i="2"/>
  <c r="A3744" i="2"/>
  <c r="U3743" i="2"/>
  <c r="V3743" i="2" s="1"/>
  <c r="B3743" i="2"/>
  <c r="A3743" i="2"/>
  <c r="U3742" i="2"/>
  <c r="V3742" i="2" s="1"/>
  <c r="B3742" i="2"/>
  <c r="A3742" i="2"/>
  <c r="U3741" i="2"/>
  <c r="V3741" i="2" s="1"/>
  <c r="B3741" i="2"/>
  <c r="A3741" i="2"/>
  <c r="U3740" i="2"/>
  <c r="V3740" i="2" s="1"/>
  <c r="B3740" i="2"/>
  <c r="A3740" i="2"/>
  <c r="U3739" i="2"/>
  <c r="V3739" i="2" s="1"/>
  <c r="B3739" i="2"/>
  <c r="A3739" i="2"/>
  <c r="U3738" i="2"/>
  <c r="V3738" i="2" s="1"/>
  <c r="B3738" i="2"/>
  <c r="A3738" i="2"/>
  <c r="U3737" i="2"/>
  <c r="V3737" i="2" s="1"/>
  <c r="B3737" i="2"/>
  <c r="A3737" i="2"/>
  <c r="U3736" i="2"/>
  <c r="V3736" i="2" s="1"/>
  <c r="B3736" i="2"/>
  <c r="A3736" i="2"/>
  <c r="U3735" i="2"/>
  <c r="V3735" i="2" s="1"/>
  <c r="B3735" i="2"/>
  <c r="A3735" i="2"/>
  <c r="U3734" i="2"/>
  <c r="V3734" i="2" s="1"/>
  <c r="B3734" i="2"/>
  <c r="A3734" i="2"/>
  <c r="U3733" i="2"/>
  <c r="V3733" i="2" s="1"/>
  <c r="B3733" i="2"/>
  <c r="A3733" i="2"/>
  <c r="U3732" i="2"/>
  <c r="V3732" i="2" s="1"/>
  <c r="B3732" i="2"/>
  <c r="A3732" i="2"/>
  <c r="U3731" i="2"/>
  <c r="V3731" i="2" s="1"/>
  <c r="B3731" i="2"/>
  <c r="A3731" i="2"/>
  <c r="U3730" i="2"/>
  <c r="V3730" i="2" s="1"/>
  <c r="B3730" i="2"/>
  <c r="A3730" i="2"/>
  <c r="U3729" i="2"/>
  <c r="V3729" i="2" s="1"/>
  <c r="B3729" i="2"/>
  <c r="A3729" i="2"/>
  <c r="U3728" i="2"/>
  <c r="V3728" i="2" s="1"/>
  <c r="B3728" i="2"/>
  <c r="A3728" i="2"/>
  <c r="U3727" i="2"/>
  <c r="V3727" i="2" s="1"/>
  <c r="B3727" i="2"/>
  <c r="A3727" i="2"/>
  <c r="U3726" i="2"/>
  <c r="V3726" i="2" s="1"/>
  <c r="B3726" i="2"/>
  <c r="A3726" i="2"/>
  <c r="U3725" i="2"/>
  <c r="V3725" i="2" s="1"/>
  <c r="B3725" i="2"/>
  <c r="A3725" i="2"/>
  <c r="U3724" i="2"/>
  <c r="V3724" i="2" s="1"/>
  <c r="B3724" i="2"/>
  <c r="A3724" i="2"/>
  <c r="U3723" i="2"/>
  <c r="V3723" i="2" s="1"/>
  <c r="B3723" i="2"/>
  <c r="A3723" i="2"/>
  <c r="U3722" i="2"/>
  <c r="V3722" i="2" s="1"/>
  <c r="B3722" i="2"/>
  <c r="A3722" i="2"/>
  <c r="U3721" i="2"/>
  <c r="V3721" i="2" s="1"/>
  <c r="B3721" i="2"/>
  <c r="A3721" i="2"/>
  <c r="U3720" i="2"/>
  <c r="V3720" i="2" s="1"/>
  <c r="B3720" i="2"/>
  <c r="A3720" i="2"/>
  <c r="U3719" i="2"/>
  <c r="V3719" i="2" s="1"/>
  <c r="B3719" i="2"/>
  <c r="A3719" i="2"/>
  <c r="U3718" i="2"/>
  <c r="V3718" i="2" s="1"/>
  <c r="B3718" i="2"/>
  <c r="A3718" i="2"/>
  <c r="U3717" i="2"/>
  <c r="V3717" i="2" s="1"/>
  <c r="B3717" i="2"/>
  <c r="A3717" i="2"/>
  <c r="U3716" i="2"/>
  <c r="V3716" i="2" s="1"/>
  <c r="B3716" i="2"/>
  <c r="A3716" i="2"/>
  <c r="U3715" i="2"/>
  <c r="V3715" i="2" s="1"/>
  <c r="B3715" i="2"/>
  <c r="A3715" i="2"/>
  <c r="U3714" i="2"/>
  <c r="V3714" i="2" s="1"/>
  <c r="B3714" i="2"/>
  <c r="A3714" i="2"/>
  <c r="U3713" i="2"/>
  <c r="V3713" i="2" s="1"/>
  <c r="B3713" i="2"/>
  <c r="A3713" i="2"/>
  <c r="U3712" i="2"/>
  <c r="V3712" i="2" s="1"/>
  <c r="B3712" i="2"/>
  <c r="A3712" i="2"/>
  <c r="U3711" i="2"/>
  <c r="V3711" i="2" s="1"/>
  <c r="B3711" i="2"/>
  <c r="A3711" i="2"/>
  <c r="U3710" i="2"/>
  <c r="V3710" i="2" s="1"/>
  <c r="B3710" i="2"/>
  <c r="A3710" i="2"/>
  <c r="U3709" i="2"/>
  <c r="V3709" i="2" s="1"/>
  <c r="B3709" i="2"/>
  <c r="A3709" i="2"/>
  <c r="U3708" i="2"/>
  <c r="V3708" i="2" s="1"/>
  <c r="B3708" i="2"/>
  <c r="A3708" i="2"/>
  <c r="U3707" i="2"/>
  <c r="V3707" i="2" s="1"/>
  <c r="B3707" i="2"/>
  <c r="A3707" i="2"/>
  <c r="U3706" i="2"/>
  <c r="V3706" i="2" s="1"/>
  <c r="B3706" i="2"/>
  <c r="A3706" i="2"/>
  <c r="U3705" i="2"/>
  <c r="V3705" i="2" s="1"/>
  <c r="B3705" i="2"/>
  <c r="A3705" i="2"/>
  <c r="U3704" i="2"/>
  <c r="V3704" i="2" s="1"/>
  <c r="B3704" i="2"/>
  <c r="A3704" i="2"/>
  <c r="U3703" i="2"/>
  <c r="V3703" i="2" s="1"/>
  <c r="B3703" i="2"/>
  <c r="A3703" i="2"/>
  <c r="U3702" i="2"/>
  <c r="V3702" i="2" s="1"/>
  <c r="B3702" i="2"/>
  <c r="A3702" i="2"/>
  <c r="U3701" i="2"/>
  <c r="V3701" i="2" s="1"/>
  <c r="B3701" i="2"/>
  <c r="A3701" i="2"/>
  <c r="U3700" i="2"/>
  <c r="V3700" i="2" s="1"/>
  <c r="B3700" i="2"/>
  <c r="A3700" i="2"/>
  <c r="U3699" i="2"/>
  <c r="V3699" i="2" s="1"/>
  <c r="B3699" i="2"/>
  <c r="A3699" i="2"/>
  <c r="U3698" i="2"/>
  <c r="V3698" i="2" s="1"/>
  <c r="B3698" i="2"/>
  <c r="A3698" i="2"/>
  <c r="U3697" i="2"/>
  <c r="V3697" i="2" s="1"/>
  <c r="B3697" i="2"/>
  <c r="A3697" i="2"/>
  <c r="U3696" i="2"/>
  <c r="V3696" i="2" s="1"/>
  <c r="B3696" i="2"/>
  <c r="A3696" i="2"/>
  <c r="U3695" i="2"/>
  <c r="V3695" i="2" s="1"/>
  <c r="B3695" i="2"/>
  <c r="A3695" i="2"/>
  <c r="U3694" i="2"/>
  <c r="V3694" i="2" s="1"/>
  <c r="B3694" i="2"/>
  <c r="A3694" i="2"/>
  <c r="U3693" i="2"/>
  <c r="V3693" i="2" s="1"/>
  <c r="B3693" i="2"/>
  <c r="A3693" i="2"/>
  <c r="U3692" i="2"/>
  <c r="V3692" i="2" s="1"/>
  <c r="B3692" i="2"/>
  <c r="A3692" i="2"/>
  <c r="U3691" i="2"/>
  <c r="V3691" i="2" s="1"/>
  <c r="B3691" i="2"/>
  <c r="A3691" i="2"/>
  <c r="U3690" i="2"/>
  <c r="V3690" i="2" s="1"/>
  <c r="B3690" i="2"/>
  <c r="A3690" i="2"/>
  <c r="U3689" i="2"/>
  <c r="V3689" i="2" s="1"/>
  <c r="B3689" i="2"/>
  <c r="A3689" i="2"/>
  <c r="U3688" i="2"/>
  <c r="V3688" i="2" s="1"/>
  <c r="B3688" i="2"/>
  <c r="A3688" i="2"/>
  <c r="U3687" i="2"/>
  <c r="V3687" i="2" s="1"/>
  <c r="B3687" i="2"/>
  <c r="A3687" i="2"/>
  <c r="U3686" i="2"/>
  <c r="V3686" i="2" s="1"/>
  <c r="B3686" i="2"/>
  <c r="A3686" i="2"/>
  <c r="U3685" i="2"/>
  <c r="V3685" i="2" s="1"/>
  <c r="B3685" i="2"/>
  <c r="A3685" i="2"/>
  <c r="U3684" i="2"/>
  <c r="V3684" i="2" s="1"/>
  <c r="B3684" i="2"/>
  <c r="A3684" i="2"/>
  <c r="U3683" i="2"/>
  <c r="V3683" i="2" s="1"/>
  <c r="B3683" i="2"/>
  <c r="A3683" i="2"/>
  <c r="U3682" i="2"/>
  <c r="V3682" i="2" s="1"/>
  <c r="B3682" i="2"/>
  <c r="A3682" i="2"/>
  <c r="U3681" i="2"/>
  <c r="V3681" i="2" s="1"/>
  <c r="B3681" i="2"/>
  <c r="A3681" i="2"/>
  <c r="U3680" i="2"/>
  <c r="V3680" i="2" s="1"/>
  <c r="B3680" i="2"/>
  <c r="A3680" i="2"/>
  <c r="U3679" i="2"/>
  <c r="V3679" i="2" s="1"/>
  <c r="B3679" i="2"/>
  <c r="A3679" i="2"/>
  <c r="U3678" i="2"/>
  <c r="V3678" i="2" s="1"/>
  <c r="B3678" i="2"/>
  <c r="A3678" i="2"/>
  <c r="U3677" i="2"/>
  <c r="V3677" i="2" s="1"/>
  <c r="B3677" i="2"/>
  <c r="A3677" i="2"/>
  <c r="U3676" i="2"/>
  <c r="V3676" i="2" s="1"/>
  <c r="B3676" i="2"/>
  <c r="A3676" i="2"/>
  <c r="U3675" i="2"/>
  <c r="V3675" i="2" s="1"/>
  <c r="B3675" i="2"/>
  <c r="A3675" i="2"/>
  <c r="U3674" i="2"/>
  <c r="V3674" i="2" s="1"/>
  <c r="B3674" i="2"/>
  <c r="A3674" i="2"/>
  <c r="U3673" i="2"/>
  <c r="V3673" i="2" s="1"/>
  <c r="B3673" i="2"/>
  <c r="A3673" i="2"/>
  <c r="U3672" i="2"/>
  <c r="V3672" i="2" s="1"/>
  <c r="B3672" i="2"/>
  <c r="A3672" i="2"/>
  <c r="U3671" i="2"/>
  <c r="V3671" i="2" s="1"/>
  <c r="B3671" i="2"/>
  <c r="A3671" i="2"/>
  <c r="U3670" i="2"/>
  <c r="V3670" i="2" s="1"/>
  <c r="B3670" i="2"/>
  <c r="A3670" i="2"/>
  <c r="U3669" i="2"/>
  <c r="V3669" i="2" s="1"/>
  <c r="B3669" i="2"/>
  <c r="A3669" i="2"/>
  <c r="U3668" i="2"/>
  <c r="V3668" i="2" s="1"/>
  <c r="B3668" i="2"/>
  <c r="A3668" i="2"/>
  <c r="U3667" i="2"/>
  <c r="V3667" i="2" s="1"/>
  <c r="B3667" i="2"/>
  <c r="A3667" i="2"/>
  <c r="U3666" i="2"/>
  <c r="V3666" i="2" s="1"/>
  <c r="B3666" i="2"/>
  <c r="A3666" i="2"/>
  <c r="U3665" i="2"/>
  <c r="V3665" i="2" s="1"/>
  <c r="B3665" i="2"/>
  <c r="A3665" i="2"/>
  <c r="U3664" i="2"/>
  <c r="V3664" i="2" s="1"/>
  <c r="B3664" i="2"/>
  <c r="A3664" i="2"/>
  <c r="U3663" i="2"/>
  <c r="V3663" i="2" s="1"/>
  <c r="B3663" i="2"/>
  <c r="A3663" i="2"/>
  <c r="U3662" i="2"/>
  <c r="V3662" i="2" s="1"/>
  <c r="B3662" i="2"/>
  <c r="A3662" i="2"/>
  <c r="U3661" i="2"/>
  <c r="V3661" i="2" s="1"/>
  <c r="B3661" i="2"/>
  <c r="A3661" i="2"/>
  <c r="U3660" i="2"/>
  <c r="V3660" i="2" s="1"/>
  <c r="B3660" i="2"/>
  <c r="A3660" i="2"/>
  <c r="U3659" i="2"/>
  <c r="V3659" i="2" s="1"/>
  <c r="B3659" i="2"/>
  <c r="A3659" i="2"/>
  <c r="U3658" i="2"/>
  <c r="V3658" i="2" s="1"/>
  <c r="B3658" i="2"/>
  <c r="A3658" i="2"/>
  <c r="U3657" i="2"/>
  <c r="V3657" i="2" s="1"/>
  <c r="B3657" i="2"/>
  <c r="A3657" i="2"/>
  <c r="U3656" i="2"/>
  <c r="V3656" i="2" s="1"/>
  <c r="B3656" i="2"/>
  <c r="A3656" i="2"/>
  <c r="U3655" i="2"/>
  <c r="V3655" i="2" s="1"/>
  <c r="B3655" i="2"/>
  <c r="A3655" i="2"/>
  <c r="U3654" i="2"/>
  <c r="V3654" i="2" s="1"/>
  <c r="B3654" i="2"/>
  <c r="A3654" i="2"/>
  <c r="U3653" i="2"/>
  <c r="V3653" i="2" s="1"/>
  <c r="B3653" i="2"/>
  <c r="A3653" i="2"/>
  <c r="U3652" i="2"/>
  <c r="V3652" i="2" s="1"/>
  <c r="B3652" i="2"/>
  <c r="A3652" i="2"/>
  <c r="U3651" i="2"/>
  <c r="V3651" i="2" s="1"/>
  <c r="B3651" i="2"/>
  <c r="A3651" i="2"/>
  <c r="U3650" i="2"/>
  <c r="V3650" i="2" s="1"/>
  <c r="B3650" i="2"/>
  <c r="A3650" i="2"/>
  <c r="U3649" i="2"/>
  <c r="V3649" i="2" s="1"/>
  <c r="B3649" i="2"/>
  <c r="A3649" i="2"/>
  <c r="U3648" i="2"/>
  <c r="V3648" i="2" s="1"/>
  <c r="B3648" i="2"/>
  <c r="A3648" i="2"/>
  <c r="U3647" i="2"/>
  <c r="V3647" i="2" s="1"/>
  <c r="B3647" i="2"/>
  <c r="A3647" i="2"/>
  <c r="U3646" i="2"/>
  <c r="V3646" i="2" s="1"/>
  <c r="B3646" i="2"/>
  <c r="A3646" i="2"/>
  <c r="U3645" i="2"/>
  <c r="V3645" i="2" s="1"/>
  <c r="B3645" i="2"/>
  <c r="A3645" i="2"/>
  <c r="U3644" i="2"/>
  <c r="V3644" i="2" s="1"/>
  <c r="B3644" i="2"/>
  <c r="A3644" i="2"/>
  <c r="U3643" i="2"/>
  <c r="V3643" i="2" s="1"/>
  <c r="B3643" i="2"/>
  <c r="A3643" i="2"/>
  <c r="U3642" i="2"/>
  <c r="V3642" i="2" s="1"/>
  <c r="B3642" i="2"/>
  <c r="A3642" i="2"/>
  <c r="U3641" i="2"/>
  <c r="V3641" i="2" s="1"/>
  <c r="B3641" i="2"/>
  <c r="A3641" i="2"/>
  <c r="U3640" i="2"/>
  <c r="V3640" i="2" s="1"/>
  <c r="B3640" i="2"/>
  <c r="A3640" i="2"/>
  <c r="U3639" i="2"/>
  <c r="V3639" i="2" s="1"/>
  <c r="B3639" i="2"/>
  <c r="A3639" i="2"/>
  <c r="U3638" i="2"/>
  <c r="V3638" i="2" s="1"/>
  <c r="B3638" i="2"/>
  <c r="A3638" i="2"/>
  <c r="U3637" i="2"/>
  <c r="V3637" i="2" s="1"/>
  <c r="B3637" i="2"/>
  <c r="A3637" i="2"/>
  <c r="U3636" i="2"/>
  <c r="V3636" i="2" s="1"/>
  <c r="B3636" i="2"/>
  <c r="A3636" i="2"/>
  <c r="U3635" i="2"/>
  <c r="V3635" i="2" s="1"/>
  <c r="B3635" i="2"/>
  <c r="A3635" i="2"/>
  <c r="U3634" i="2"/>
  <c r="V3634" i="2" s="1"/>
  <c r="B3634" i="2"/>
  <c r="A3634" i="2"/>
  <c r="U3633" i="2"/>
  <c r="V3633" i="2" s="1"/>
  <c r="B3633" i="2"/>
  <c r="A3633" i="2"/>
  <c r="U3632" i="2"/>
  <c r="V3632" i="2" s="1"/>
  <c r="B3632" i="2"/>
  <c r="A3632" i="2"/>
  <c r="U3631" i="2"/>
  <c r="V3631" i="2" s="1"/>
  <c r="B3631" i="2"/>
  <c r="A3631" i="2"/>
  <c r="U3630" i="2"/>
  <c r="V3630" i="2" s="1"/>
  <c r="B3630" i="2"/>
  <c r="A3630" i="2"/>
  <c r="U3629" i="2"/>
  <c r="V3629" i="2" s="1"/>
  <c r="B3629" i="2"/>
  <c r="A3629" i="2"/>
  <c r="U3628" i="2"/>
  <c r="V3628" i="2" s="1"/>
  <c r="B3628" i="2"/>
  <c r="A3628" i="2"/>
  <c r="U3627" i="2"/>
  <c r="V3627" i="2" s="1"/>
  <c r="B3627" i="2"/>
  <c r="A3627" i="2"/>
  <c r="U3626" i="2"/>
  <c r="V3626" i="2" s="1"/>
  <c r="B3626" i="2"/>
  <c r="A3626" i="2"/>
  <c r="U3625" i="2"/>
  <c r="V3625" i="2" s="1"/>
  <c r="B3625" i="2"/>
  <c r="A3625" i="2"/>
  <c r="U3624" i="2"/>
  <c r="V3624" i="2" s="1"/>
  <c r="B3624" i="2"/>
  <c r="A3624" i="2"/>
  <c r="U3623" i="2"/>
  <c r="V3623" i="2" s="1"/>
  <c r="B3623" i="2"/>
  <c r="A3623" i="2"/>
  <c r="U3622" i="2"/>
  <c r="V3622" i="2" s="1"/>
  <c r="B3622" i="2"/>
  <c r="A3622" i="2"/>
  <c r="U3621" i="2"/>
  <c r="V3621" i="2" s="1"/>
  <c r="B3621" i="2"/>
  <c r="A3621" i="2"/>
  <c r="U3620" i="2"/>
  <c r="V3620" i="2" s="1"/>
  <c r="B3620" i="2"/>
  <c r="A3620" i="2"/>
  <c r="U3619" i="2"/>
  <c r="V3619" i="2" s="1"/>
  <c r="B3619" i="2"/>
  <c r="A3619" i="2"/>
  <c r="U3618" i="2"/>
  <c r="V3618" i="2" s="1"/>
  <c r="B3618" i="2"/>
  <c r="A3618" i="2"/>
  <c r="U3617" i="2"/>
  <c r="V3617" i="2" s="1"/>
  <c r="B3617" i="2"/>
  <c r="A3617" i="2"/>
  <c r="U3616" i="2"/>
  <c r="V3616" i="2" s="1"/>
  <c r="B3616" i="2"/>
  <c r="A3616" i="2"/>
  <c r="U3615" i="2"/>
  <c r="V3615" i="2" s="1"/>
  <c r="B3615" i="2"/>
  <c r="A3615" i="2"/>
  <c r="U3614" i="2"/>
  <c r="V3614" i="2" s="1"/>
  <c r="B3614" i="2"/>
  <c r="A3614" i="2"/>
  <c r="U3613" i="2"/>
  <c r="V3613" i="2" s="1"/>
  <c r="B3613" i="2"/>
  <c r="A3613" i="2"/>
  <c r="U3612" i="2"/>
  <c r="V3612" i="2" s="1"/>
  <c r="B3612" i="2"/>
  <c r="A3612" i="2"/>
  <c r="U3611" i="2"/>
  <c r="V3611" i="2" s="1"/>
  <c r="B3611" i="2"/>
  <c r="A3611" i="2"/>
  <c r="U3610" i="2"/>
  <c r="V3610" i="2" s="1"/>
  <c r="B3610" i="2"/>
  <c r="A3610" i="2"/>
  <c r="U3609" i="2"/>
  <c r="V3609" i="2" s="1"/>
  <c r="B3609" i="2"/>
  <c r="A3609" i="2"/>
  <c r="U3608" i="2"/>
  <c r="V3608" i="2" s="1"/>
  <c r="B3608" i="2"/>
  <c r="A3608" i="2"/>
  <c r="U3607" i="2"/>
  <c r="V3607" i="2" s="1"/>
  <c r="B3607" i="2"/>
  <c r="A3607" i="2"/>
  <c r="U3606" i="2"/>
  <c r="V3606" i="2" s="1"/>
  <c r="B3606" i="2"/>
  <c r="A3606" i="2"/>
  <c r="U3605" i="2"/>
  <c r="V3605" i="2" s="1"/>
  <c r="B3605" i="2"/>
  <c r="A3605" i="2"/>
  <c r="U3604" i="2"/>
  <c r="V3604" i="2" s="1"/>
  <c r="B3604" i="2"/>
  <c r="A3604" i="2"/>
  <c r="U3603" i="2"/>
  <c r="V3603" i="2" s="1"/>
  <c r="B3603" i="2"/>
  <c r="A3603" i="2"/>
  <c r="U3602" i="2"/>
  <c r="V3602" i="2" s="1"/>
  <c r="B3602" i="2"/>
  <c r="A3602" i="2"/>
  <c r="U3601" i="2"/>
  <c r="V3601" i="2" s="1"/>
  <c r="B3601" i="2"/>
  <c r="A3601" i="2"/>
  <c r="U3600" i="2"/>
  <c r="V3600" i="2" s="1"/>
  <c r="B3600" i="2"/>
  <c r="A3600" i="2"/>
  <c r="U3599" i="2"/>
  <c r="V3599" i="2" s="1"/>
  <c r="B3599" i="2"/>
  <c r="A3599" i="2"/>
  <c r="U3598" i="2"/>
  <c r="V3598" i="2" s="1"/>
  <c r="B3598" i="2"/>
  <c r="A3598" i="2"/>
  <c r="U3597" i="2"/>
  <c r="V3597" i="2" s="1"/>
  <c r="B3597" i="2"/>
  <c r="A3597" i="2"/>
  <c r="U3596" i="2"/>
  <c r="V3596" i="2" s="1"/>
  <c r="B3596" i="2"/>
  <c r="A3596" i="2"/>
  <c r="U3595" i="2"/>
  <c r="V3595" i="2" s="1"/>
  <c r="B3595" i="2"/>
  <c r="A3595" i="2"/>
  <c r="U3594" i="2"/>
  <c r="V3594" i="2" s="1"/>
  <c r="B3594" i="2"/>
  <c r="A3594" i="2"/>
  <c r="U3593" i="2"/>
  <c r="V3593" i="2" s="1"/>
  <c r="B3593" i="2"/>
  <c r="A3593" i="2"/>
  <c r="U3592" i="2"/>
  <c r="V3592" i="2" s="1"/>
  <c r="B3592" i="2"/>
  <c r="A3592" i="2"/>
  <c r="U3591" i="2"/>
  <c r="V3591" i="2" s="1"/>
  <c r="B3591" i="2"/>
  <c r="A3591" i="2"/>
  <c r="U3590" i="2"/>
  <c r="V3590" i="2" s="1"/>
  <c r="B3590" i="2"/>
  <c r="A3590" i="2"/>
  <c r="U3589" i="2"/>
  <c r="V3589" i="2" s="1"/>
  <c r="B3589" i="2"/>
  <c r="A3589" i="2"/>
  <c r="U3588" i="2"/>
  <c r="V3588" i="2" s="1"/>
  <c r="B3588" i="2"/>
  <c r="A3588" i="2"/>
  <c r="U3587" i="2"/>
  <c r="V3587" i="2" s="1"/>
  <c r="B3587" i="2"/>
  <c r="A3587" i="2"/>
  <c r="U3586" i="2"/>
  <c r="V3586" i="2" s="1"/>
  <c r="B3586" i="2"/>
  <c r="A3586" i="2"/>
  <c r="U3585" i="2"/>
  <c r="V3585" i="2" s="1"/>
  <c r="B3585" i="2"/>
  <c r="A3585" i="2"/>
  <c r="U3584" i="2"/>
  <c r="V3584" i="2" s="1"/>
  <c r="B3584" i="2"/>
  <c r="A3584" i="2"/>
  <c r="U3583" i="2"/>
  <c r="V3583" i="2" s="1"/>
  <c r="B3583" i="2"/>
  <c r="A3583" i="2"/>
  <c r="U3582" i="2"/>
  <c r="V3582" i="2" s="1"/>
  <c r="B3582" i="2"/>
  <c r="A3582" i="2"/>
  <c r="U3581" i="2"/>
  <c r="V3581" i="2" s="1"/>
  <c r="B3581" i="2"/>
  <c r="A3581" i="2"/>
  <c r="U3580" i="2"/>
  <c r="V3580" i="2" s="1"/>
  <c r="B3580" i="2"/>
  <c r="A3580" i="2"/>
  <c r="U3579" i="2"/>
  <c r="V3579" i="2" s="1"/>
  <c r="B3579" i="2"/>
  <c r="A3579" i="2"/>
  <c r="U3578" i="2"/>
  <c r="V3578" i="2" s="1"/>
  <c r="B3578" i="2"/>
  <c r="A3578" i="2"/>
  <c r="U3577" i="2"/>
  <c r="V3577" i="2" s="1"/>
  <c r="B3577" i="2"/>
  <c r="A3577" i="2"/>
  <c r="U3576" i="2"/>
  <c r="V3576" i="2" s="1"/>
  <c r="B3576" i="2"/>
  <c r="A3576" i="2"/>
  <c r="U3575" i="2"/>
  <c r="V3575" i="2" s="1"/>
  <c r="B3575" i="2"/>
  <c r="A3575" i="2"/>
  <c r="U3574" i="2"/>
  <c r="V3574" i="2" s="1"/>
  <c r="B3574" i="2"/>
  <c r="A3574" i="2"/>
  <c r="U3573" i="2"/>
  <c r="V3573" i="2" s="1"/>
  <c r="B3573" i="2"/>
  <c r="A3573" i="2"/>
  <c r="U3572" i="2"/>
  <c r="V3572" i="2" s="1"/>
  <c r="B3572" i="2"/>
  <c r="A3572" i="2"/>
  <c r="U3571" i="2"/>
  <c r="V3571" i="2" s="1"/>
  <c r="B3571" i="2"/>
  <c r="A3571" i="2"/>
  <c r="U3570" i="2"/>
  <c r="V3570" i="2" s="1"/>
  <c r="B3570" i="2"/>
  <c r="A3570" i="2"/>
  <c r="U3569" i="2"/>
  <c r="V3569" i="2" s="1"/>
  <c r="B3569" i="2"/>
  <c r="A3569" i="2"/>
  <c r="U3568" i="2"/>
  <c r="V3568" i="2" s="1"/>
  <c r="B3568" i="2"/>
  <c r="A3568" i="2"/>
  <c r="U3567" i="2"/>
  <c r="V3567" i="2" s="1"/>
  <c r="B3567" i="2"/>
  <c r="A3567" i="2"/>
  <c r="U3566" i="2"/>
  <c r="V3566" i="2" s="1"/>
  <c r="B3566" i="2"/>
  <c r="A3566" i="2"/>
  <c r="U3565" i="2"/>
  <c r="V3565" i="2" s="1"/>
  <c r="B3565" i="2"/>
  <c r="A3565" i="2"/>
  <c r="U3564" i="2"/>
  <c r="V3564" i="2" s="1"/>
  <c r="B3564" i="2"/>
  <c r="A3564" i="2"/>
  <c r="U3563" i="2"/>
  <c r="V3563" i="2" s="1"/>
  <c r="B3563" i="2"/>
  <c r="A3563" i="2"/>
  <c r="U3562" i="2"/>
  <c r="V3562" i="2" s="1"/>
  <c r="B3562" i="2"/>
  <c r="A3562" i="2"/>
  <c r="U3561" i="2"/>
  <c r="V3561" i="2" s="1"/>
  <c r="B3561" i="2"/>
  <c r="A3561" i="2"/>
  <c r="U3560" i="2"/>
  <c r="V3560" i="2" s="1"/>
  <c r="B3560" i="2"/>
  <c r="A3560" i="2"/>
  <c r="U3559" i="2"/>
  <c r="V3559" i="2" s="1"/>
  <c r="B3559" i="2"/>
  <c r="A3559" i="2"/>
  <c r="U3558" i="2"/>
  <c r="V3558" i="2" s="1"/>
  <c r="B3558" i="2"/>
  <c r="A3558" i="2"/>
  <c r="U3557" i="2"/>
  <c r="V3557" i="2" s="1"/>
  <c r="B3557" i="2"/>
  <c r="A3557" i="2"/>
  <c r="U3556" i="2"/>
  <c r="V3556" i="2" s="1"/>
  <c r="B3556" i="2"/>
  <c r="A3556" i="2"/>
  <c r="U3555" i="2"/>
  <c r="V3555" i="2" s="1"/>
  <c r="B3555" i="2"/>
  <c r="A3555" i="2"/>
  <c r="U3554" i="2"/>
  <c r="V3554" i="2" s="1"/>
  <c r="B3554" i="2"/>
  <c r="A3554" i="2"/>
  <c r="U3553" i="2"/>
  <c r="V3553" i="2" s="1"/>
  <c r="B3553" i="2"/>
  <c r="A3553" i="2"/>
  <c r="U3552" i="2"/>
  <c r="V3552" i="2" s="1"/>
  <c r="B3552" i="2"/>
  <c r="A3552" i="2"/>
  <c r="U3551" i="2"/>
  <c r="V3551" i="2" s="1"/>
  <c r="B3551" i="2"/>
  <c r="A3551" i="2"/>
  <c r="U3550" i="2"/>
  <c r="V3550" i="2" s="1"/>
  <c r="B3550" i="2"/>
  <c r="A3550" i="2"/>
  <c r="U3549" i="2"/>
  <c r="V3549" i="2" s="1"/>
  <c r="B3549" i="2"/>
  <c r="A3549" i="2"/>
  <c r="U3548" i="2"/>
  <c r="V3548" i="2" s="1"/>
  <c r="B3548" i="2"/>
  <c r="A3548" i="2"/>
  <c r="U3547" i="2"/>
  <c r="V3547" i="2" s="1"/>
  <c r="B3547" i="2"/>
  <c r="A3547" i="2"/>
  <c r="U3546" i="2"/>
  <c r="V3546" i="2" s="1"/>
  <c r="B3546" i="2"/>
  <c r="A3546" i="2"/>
  <c r="U3545" i="2"/>
  <c r="V3545" i="2" s="1"/>
  <c r="B3545" i="2"/>
  <c r="A3545" i="2"/>
  <c r="U3544" i="2"/>
  <c r="V3544" i="2" s="1"/>
  <c r="B3544" i="2"/>
  <c r="A3544" i="2"/>
  <c r="U3543" i="2"/>
  <c r="V3543" i="2" s="1"/>
  <c r="B3543" i="2"/>
  <c r="A3543" i="2"/>
  <c r="U3542" i="2"/>
  <c r="V3542" i="2" s="1"/>
  <c r="B3542" i="2"/>
  <c r="A3542" i="2"/>
  <c r="U3541" i="2"/>
  <c r="V3541" i="2" s="1"/>
  <c r="B3541" i="2"/>
  <c r="A3541" i="2"/>
  <c r="U3540" i="2"/>
  <c r="V3540" i="2" s="1"/>
  <c r="B3540" i="2"/>
  <c r="A3540" i="2"/>
  <c r="U3539" i="2"/>
  <c r="V3539" i="2" s="1"/>
  <c r="B3539" i="2"/>
  <c r="A3539" i="2"/>
  <c r="U3538" i="2"/>
  <c r="V3538" i="2" s="1"/>
  <c r="B3538" i="2"/>
  <c r="A3538" i="2"/>
  <c r="U3537" i="2"/>
  <c r="V3537" i="2" s="1"/>
  <c r="B3537" i="2"/>
  <c r="A3537" i="2"/>
  <c r="U3536" i="2"/>
  <c r="V3536" i="2" s="1"/>
  <c r="B3536" i="2"/>
  <c r="A3536" i="2"/>
  <c r="U3535" i="2"/>
  <c r="V3535" i="2" s="1"/>
  <c r="B3535" i="2"/>
  <c r="A3535" i="2"/>
  <c r="U3534" i="2"/>
  <c r="V3534" i="2" s="1"/>
  <c r="B3534" i="2"/>
  <c r="A3534" i="2"/>
  <c r="U3533" i="2"/>
  <c r="V3533" i="2" s="1"/>
  <c r="B3533" i="2"/>
  <c r="A3533" i="2"/>
  <c r="U3532" i="2"/>
  <c r="V3532" i="2" s="1"/>
  <c r="B3532" i="2"/>
  <c r="A3532" i="2"/>
  <c r="U3531" i="2"/>
  <c r="V3531" i="2" s="1"/>
  <c r="B3531" i="2"/>
  <c r="A3531" i="2"/>
  <c r="U3530" i="2"/>
  <c r="V3530" i="2" s="1"/>
  <c r="B3530" i="2"/>
  <c r="A3530" i="2"/>
  <c r="U3529" i="2"/>
  <c r="V3529" i="2" s="1"/>
  <c r="B3529" i="2"/>
  <c r="A3529" i="2"/>
  <c r="U3528" i="2"/>
  <c r="V3528" i="2" s="1"/>
  <c r="B3528" i="2"/>
  <c r="A3528" i="2"/>
  <c r="U3527" i="2"/>
  <c r="V3527" i="2" s="1"/>
  <c r="B3527" i="2"/>
  <c r="A3527" i="2"/>
  <c r="U3526" i="2"/>
  <c r="V3526" i="2" s="1"/>
  <c r="B3526" i="2"/>
  <c r="A3526" i="2"/>
  <c r="U3525" i="2"/>
  <c r="V3525" i="2" s="1"/>
  <c r="B3525" i="2"/>
  <c r="A3525" i="2"/>
  <c r="U3524" i="2"/>
  <c r="V3524" i="2" s="1"/>
  <c r="B3524" i="2"/>
  <c r="A3524" i="2"/>
  <c r="U3523" i="2"/>
  <c r="V3523" i="2" s="1"/>
  <c r="B3523" i="2"/>
  <c r="A3523" i="2"/>
  <c r="U3522" i="2"/>
  <c r="V3522" i="2" s="1"/>
  <c r="B3522" i="2"/>
  <c r="A3522" i="2"/>
  <c r="U3521" i="2"/>
  <c r="V3521" i="2" s="1"/>
  <c r="B3521" i="2"/>
  <c r="A3521" i="2"/>
  <c r="U3520" i="2"/>
  <c r="V3520" i="2" s="1"/>
  <c r="B3520" i="2"/>
  <c r="A3520" i="2"/>
  <c r="U3519" i="2"/>
  <c r="V3519" i="2" s="1"/>
  <c r="B3519" i="2"/>
  <c r="A3519" i="2"/>
  <c r="U3518" i="2"/>
  <c r="V3518" i="2" s="1"/>
  <c r="B3518" i="2"/>
  <c r="A3518" i="2"/>
  <c r="U3517" i="2"/>
  <c r="V3517" i="2" s="1"/>
  <c r="B3517" i="2"/>
  <c r="A3517" i="2"/>
  <c r="U3516" i="2"/>
  <c r="V3516" i="2" s="1"/>
  <c r="B3516" i="2"/>
  <c r="A3516" i="2"/>
  <c r="U3515" i="2"/>
  <c r="V3515" i="2" s="1"/>
  <c r="B3515" i="2"/>
  <c r="A3515" i="2"/>
  <c r="U3514" i="2"/>
  <c r="V3514" i="2" s="1"/>
  <c r="B3514" i="2"/>
  <c r="A3514" i="2"/>
  <c r="U3513" i="2"/>
  <c r="V3513" i="2" s="1"/>
  <c r="B3513" i="2"/>
  <c r="A3513" i="2"/>
  <c r="U3512" i="2"/>
  <c r="V3512" i="2" s="1"/>
  <c r="B3512" i="2"/>
  <c r="A3512" i="2"/>
  <c r="U3511" i="2"/>
  <c r="V3511" i="2" s="1"/>
  <c r="B3511" i="2"/>
  <c r="A3511" i="2"/>
  <c r="U3510" i="2"/>
  <c r="V3510" i="2" s="1"/>
  <c r="B3510" i="2"/>
  <c r="A3510" i="2"/>
  <c r="U3509" i="2"/>
  <c r="V3509" i="2" s="1"/>
  <c r="B3509" i="2"/>
  <c r="A3509" i="2"/>
  <c r="U3508" i="2"/>
  <c r="V3508" i="2" s="1"/>
  <c r="B3508" i="2"/>
  <c r="A3508" i="2"/>
  <c r="U3507" i="2"/>
  <c r="V3507" i="2" s="1"/>
  <c r="B3507" i="2"/>
  <c r="A3507" i="2"/>
  <c r="U3506" i="2"/>
  <c r="V3506" i="2" s="1"/>
  <c r="B3506" i="2"/>
  <c r="A3506" i="2"/>
  <c r="U3505" i="2"/>
  <c r="V3505" i="2" s="1"/>
  <c r="B3505" i="2"/>
  <c r="A3505" i="2"/>
  <c r="U3504" i="2"/>
  <c r="V3504" i="2" s="1"/>
  <c r="B3504" i="2"/>
  <c r="A3504" i="2"/>
  <c r="U3503" i="2"/>
  <c r="V3503" i="2" s="1"/>
  <c r="B3503" i="2"/>
  <c r="A3503" i="2"/>
  <c r="U3502" i="2"/>
  <c r="V3502" i="2" s="1"/>
  <c r="B3502" i="2"/>
  <c r="A3502" i="2"/>
  <c r="U3501" i="2"/>
  <c r="V3501" i="2" s="1"/>
  <c r="B3501" i="2"/>
  <c r="A3501" i="2"/>
  <c r="U3500" i="2"/>
  <c r="V3500" i="2" s="1"/>
  <c r="B3500" i="2"/>
  <c r="A3500" i="2"/>
  <c r="U3499" i="2"/>
  <c r="V3499" i="2" s="1"/>
  <c r="B3499" i="2"/>
  <c r="A3499" i="2"/>
  <c r="U3498" i="2"/>
  <c r="V3498" i="2" s="1"/>
  <c r="B3498" i="2"/>
  <c r="A3498" i="2"/>
  <c r="U3497" i="2"/>
  <c r="V3497" i="2" s="1"/>
  <c r="B3497" i="2"/>
  <c r="A3497" i="2"/>
  <c r="U3496" i="2"/>
  <c r="V3496" i="2" s="1"/>
  <c r="B3496" i="2"/>
  <c r="A3496" i="2"/>
  <c r="U3495" i="2"/>
  <c r="V3495" i="2" s="1"/>
  <c r="B3495" i="2"/>
  <c r="A3495" i="2"/>
  <c r="U3494" i="2"/>
  <c r="V3494" i="2" s="1"/>
  <c r="B3494" i="2"/>
  <c r="A3494" i="2"/>
  <c r="U3493" i="2"/>
  <c r="V3493" i="2" s="1"/>
  <c r="B3493" i="2"/>
  <c r="A3493" i="2"/>
  <c r="U3492" i="2"/>
  <c r="V3492" i="2" s="1"/>
  <c r="B3492" i="2"/>
  <c r="A3492" i="2"/>
  <c r="U3491" i="2"/>
  <c r="V3491" i="2" s="1"/>
  <c r="B3491" i="2"/>
  <c r="A3491" i="2"/>
  <c r="U3490" i="2"/>
  <c r="V3490" i="2" s="1"/>
  <c r="B3490" i="2"/>
  <c r="A3490" i="2"/>
  <c r="U3489" i="2"/>
  <c r="V3489" i="2" s="1"/>
  <c r="B3489" i="2"/>
  <c r="A3489" i="2"/>
  <c r="U3488" i="2"/>
  <c r="V3488" i="2" s="1"/>
  <c r="B3488" i="2"/>
  <c r="A3488" i="2"/>
  <c r="U3487" i="2"/>
  <c r="V3487" i="2" s="1"/>
  <c r="B3487" i="2"/>
  <c r="A3487" i="2"/>
  <c r="U3486" i="2"/>
  <c r="V3486" i="2" s="1"/>
  <c r="B3486" i="2"/>
  <c r="A3486" i="2"/>
  <c r="U3485" i="2"/>
  <c r="V3485" i="2" s="1"/>
  <c r="B3485" i="2"/>
  <c r="A3485" i="2"/>
  <c r="U3484" i="2"/>
  <c r="V3484" i="2" s="1"/>
  <c r="B3484" i="2"/>
  <c r="A3484" i="2"/>
  <c r="U3483" i="2"/>
  <c r="V3483" i="2" s="1"/>
  <c r="B3483" i="2"/>
  <c r="A3483" i="2"/>
  <c r="U3482" i="2"/>
  <c r="V3482" i="2" s="1"/>
  <c r="B3482" i="2"/>
  <c r="A3482" i="2"/>
  <c r="U3481" i="2"/>
  <c r="V3481" i="2" s="1"/>
  <c r="B3481" i="2"/>
  <c r="A3481" i="2"/>
  <c r="U3480" i="2"/>
  <c r="V3480" i="2" s="1"/>
  <c r="B3480" i="2"/>
  <c r="A3480" i="2"/>
  <c r="U3479" i="2"/>
  <c r="V3479" i="2" s="1"/>
  <c r="B3479" i="2"/>
  <c r="A3479" i="2"/>
  <c r="U3478" i="2"/>
  <c r="V3478" i="2" s="1"/>
  <c r="B3478" i="2"/>
  <c r="A3478" i="2"/>
  <c r="U3477" i="2"/>
  <c r="V3477" i="2" s="1"/>
  <c r="B3477" i="2"/>
  <c r="A3477" i="2"/>
  <c r="U3476" i="2"/>
  <c r="V3476" i="2" s="1"/>
  <c r="B3476" i="2"/>
  <c r="A3476" i="2"/>
  <c r="U3475" i="2"/>
  <c r="V3475" i="2" s="1"/>
  <c r="B3475" i="2"/>
  <c r="A3475" i="2"/>
  <c r="U3474" i="2"/>
  <c r="V3474" i="2" s="1"/>
  <c r="B3474" i="2"/>
  <c r="A3474" i="2"/>
  <c r="U3473" i="2"/>
  <c r="V3473" i="2" s="1"/>
  <c r="B3473" i="2"/>
  <c r="A3473" i="2"/>
  <c r="U3472" i="2"/>
  <c r="V3472" i="2" s="1"/>
  <c r="B3472" i="2"/>
  <c r="A3472" i="2"/>
  <c r="U3471" i="2"/>
  <c r="V3471" i="2" s="1"/>
  <c r="B3471" i="2"/>
  <c r="A3471" i="2"/>
  <c r="U3470" i="2"/>
  <c r="V3470" i="2" s="1"/>
  <c r="B3470" i="2"/>
  <c r="A3470" i="2"/>
  <c r="U3469" i="2"/>
  <c r="V3469" i="2" s="1"/>
  <c r="B3469" i="2"/>
  <c r="A3469" i="2"/>
  <c r="U3468" i="2"/>
  <c r="V3468" i="2" s="1"/>
  <c r="B3468" i="2"/>
  <c r="A3468" i="2"/>
  <c r="U3467" i="2"/>
  <c r="V3467" i="2" s="1"/>
  <c r="B3467" i="2"/>
  <c r="A3467" i="2"/>
  <c r="U3466" i="2"/>
  <c r="V3466" i="2" s="1"/>
  <c r="B3466" i="2"/>
  <c r="A3466" i="2"/>
  <c r="U3465" i="2"/>
  <c r="V3465" i="2" s="1"/>
  <c r="B3465" i="2"/>
  <c r="A3465" i="2"/>
  <c r="U3464" i="2"/>
  <c r="V3464" i="2" s="1"/>
  <c r="B3464" i="2"/>
  <c r="A3464" i="2"/>
  <c r="U3463" i="2"/>
  <c r="V3463" i="2" s="1"/>
  <c r="B3463" i="2"/>
  <c r="A3463" i="2"/>
  <c r="U3462" i="2"/>
  <c r="V3462" i="2" s="1"/>
  <c r="B3462" i="2"/>
  <c r="A3462" i="2"/>
  <c r="U3461" i="2"/>
  <c r="V3461" i="2" s="1"/>
  <c r="B3461" i="2"/>
  <c r="A3461" i="2"/>
  <c r="U3460" i="2"/>
  <c r="V3460" i="2" s="1"/>
  <c r="B3460" i="2"/>
  <c r="A3460" i="2"/>
  <c r="U3459" i="2"/>
  <c r="V3459" i="2" s="1"/>
  <c r="B3459" i="2"/>
  <c r="A3459" i="2"/>
  <c r="U3458" i="2"/>
  <c r="V3458" i="2" s="1"/>
  <c r="B3458" i="2"/>
  <c r="A3458" i="2"/>
  <c r="U3457" i="2"/>
  <c r="V3457" i="2" s="1"/>
  <c r="B3457" i="2"/>
  <c r="A3457" i="2"/>
  <c r="U3456" i="2"/>
  <c r="V3456" i="2" s="1"/>
  <c r="B3456" i="2"/>
  <c r="A3456" i="2"/>
  <c r="U3455" i="2"/>
  <c r="V3455" i="2" s="1"/>
  <c r="B3455" i="2"/>
  <c r="A3455" i="2"/>
  <c r="U3454" i="2"/>
  <c r="V3454" i="2" s="1"/>
  <c r="B3454" i="2"/>
  <c r="A3454" i="2"/>
  <c r="U3453" i="2"/>
  <c r="V3453" i="2" s="1"/>
  <c r="B3453" i="2"/>
  <c r="A3453" i="2"/>
  <c r="U3452" i="2"/>
  <c r="V3452" i="2" s="1"/>
  <c r="B3452" i="2"/>
  <c r="A3452" i="2"/>
  <c r="U3451" i="2"/>
  <c r="V3451" i="2" s="1"/>
  <c r="B3451" i="2"/>
  <c r="A3451" i="2"/>
  <c r="U3450" i="2"/>
  <c r="V3450" i="2" s="1"/>
  <c r="B3450" i="2"/>
  <c r="A3450" i="2"/>
  <c r="U3449" i="2"/>
  <c r="V3449" i="2" s="1"/>
  <c r="B3449" i="2"/>
  <c r="A3449" i="2"/>
  <c r="U3448" i="2"/>
  <c r="V3448" i="2" s="1"/>
  <c r="B3448" i="2"/>
  <c r="A3448" i="2"/>
  <c r="U3447" i="2"/>
  <c r="V3447" i="2" s="1"/>
  <c r="B3447" i="2"/>
  <c r="A3447" i="2"/>
  <c r="U3446" i="2"/>
  <c r="V3446" i="2" s="1"/>
  <c r="B3446" i="2"/>
  <c r="A3446" i="2"/>
  <c r="U3445" i="2"/>
  <c r="V3445" i="2" s="1"/>
  <c r="B3445" i="2"/>
  <c r="A3445" i="2"/>
  <c r="U3444" i="2"/>
  <c r="V3444" i="2" s="1"/>
  <c r="B3444" i="2"/>
  <c r="A3444" i="2"/>
  <c r="U3443" i="2"/>
  <c r="V3443" i="2" s="1"/>
  <c r="B3443" i="2"/>
  <c r="A3443" i="2"/>
  <c r="U3442" i="2"/>
  <c r="V3442" i="2" s="1"/>
  <c r="B3442" i="2"/>
  <c r="A3442" i="2"/>
  <c r="U3441" i="2"/>
  <c r="V3441" i="2" s="1"/>
  <c r="B3441" i="2"/>
  <c r="A3441" i="2"/>
  <c r="U3440" i="2"/>
  <c r="V3440" i="2" s="1"/>
  <c r="B3440" i="2"/>
  <c r="A3440" i="2"/>
  <c r="U3439" i="2"/>
  <c r="V3439" i="2" s="1"/>
  <c r="B3439" i="2"/>
  <c r="A3439" i="2"/>
  <c r="U3438" i="2"/>
  <c r="V3438" i="2" s="1"/>
  <c r="B3438" i="2"/>
  <c r="A3438" i="2"/>
  <c r="U3437" i="2"/>
  <c r="V3437" i="2" s="1"/>
  <c r="B3437" i="2"/>
  <c r="A3437" i="2"/>
  <c r="U3436" i="2"/>
  <c r="V3436" i="2" s="1"/>
  <c r="B3436" i="2"/>
  <c r="A3436" i="2"/>
  <c r="U3435" i="2"/>
  <c r="V3435" i="2" s="1"/>
  <c r="B3435" i="2"/>
  <c r="A3435" i="2"/>
  <c r="U3434" i="2"/>
  <c r="V3434" i="2" s="1"/>
  <c r="B3434" i="2"/>
  <c r="A3434" i="2"/>
  <c r="U3433" i="2"/>
  <c r="V3433" i="2" s="1"/>
  <c r="B3433" i="2"/>
  <c r="A3433" i="2"/>
  <c r="U3432" i="2"/>
  <c r="V3432" i="2" s="1"/>
  <c r="B3432" i="2"/>
  <c r="A3432" i="2"/>
  <c r="U3431" i="2"/>
  <c r="V3431" i="2" s="1"/>
  <c r="B3431" i="2"/>
  <c r="A3431" i="2"/>
  <c r="U3430" i="2"/>
  <c r="V3430" i="2" s="1"/>
  <c r="B3430" i="2"/>
  <c r="A3430" i="2"/>
  <c r="U3429" i="2"/>
  <c r="V3429" i="2" s="1"/>
  <c r="B3429" i="2"/>
  <c r="A3429" i="2"/>
  <c r="U3428" i="2"/>
  <c r="V3428" i="2" s="1"/>
  <c r="B3428" i="2"/>
  <c r="A3428" i="2"/>
  <c r="U3427" i="2"/>
  <c r="V3427" i="2" s="1"/>
  <c r="B3427" i="2"/>
  <c r="A3427" i="2"/>
  <c r="U3426" i="2"/>
  <c r="V3426" i="2" s="1"/>
  <c r="B3426" i="2"/>
  <c r="A3426" i="2"/>
  <c r="U3425" i="2"/>
  <c r="V3425" i="2" s="1"/>
  <c r="B3425" i="2"/>
  <c r="A3425" i="2"/>
  <c r="U3424" i="2"/>
  <c r="V3424" i="2" s="1"/>
  <c r="B3424" i="2"/>
  <c r="A3424" i="2"/>
  <c r="U3423" i="2"/>
  <c r="V3423" i="2" s="1"/>
  <c r="B3423" i="2"/>
  <c r="A3423" i="2"/>
  <c r="U3422" i="2"/>
  <c r="V3422" i="2" s="1"/>
  <c r="B3422" i="2"/>
  <c r="A3422" i="2"/>
  <c r="U3421" i="2"/>
  <c r="V3421" i="2" s="1"/>
  <c r="B3421" i="2"/>
  <c r="A3421" i="2"/>
  <c r="U3420" i="2"/>
  <c r="V3420" i="2" s="1"/>
  <c r="B3420" i="2"/>
  <c r="A3420" i="2"/>
  <c r="U3419" i="2"/>
  <c r="V3419" i="2" s="1"/>
  <c r="B3419" i="2"/>
  <c r="A3419" i="2"/>
  <c r="U3418" i="2"/>
  <c r="V3418" i="2" s="1"/>
  <c r="B3418" i="2"/>
  <c r="A3418" i="2"/>
  <c r="U3417" i="2"/>
  <c r="V3417" i="2" s="1"/>
  <c r="B3417" i="2"/>
  <c r="A3417" i="2"/>
  <c r="U3416" i="2"/>
  <c r="V3416" i="2" s="1"/>
  <c r="B3416" i="2"/>
  <c r="A3416" i="2"/>
  <c r="U3415" i="2"/>
  <c r="V3415" i="2" s="1"/>
  <c r="B3415" i="2"/>
  <c r="A3415" i="2"/>
  <c r="U3414" i="2"/>
  <c r="V3414" i="2" s="1"/>
  <c r="B3414" i="2"/>
  <c r="A3414" i="2"/>
  <c r="U3413" i="2"/>
  <c r="V3413" i="2" s="1"/>
  <c r="B3413" i="2"/>
  <c r="A3413" i="2"/>
  <c r="U3412" i="2"/>
  <c r="V3412" i="2" s="1"/>
  <c r="B3412" i="2"/>
  <c r="A3412" i="2"/>
  <c r="U3411" i="2"/>
  <c r="V3411" i="2" s="1"/>
  <c r="B3411" i="2"/>
  <c r="A3411" i="2"/>
  <c r="U3410" i="2"/>
  <c r="V3410" i="2" s="1"/>
  <c r="B3410" i="2"/>
  <c r="A3410" i="2"/>
  <c r="U3409" i="2"/>
  <c r="V3409" i="2" s="1"/>
  <c r="B3409" i="2"/>
  <c r="A3409" i="2"/>
  <c r="U3408" i="2"/>
  <c r="V3408" i="2" s="1"/>
  <c r="B3408" i="2"/>
  <c r="A3408" i="2"/>
  <c r="U3407" i="2"/>
  <c r="V3407" i="2" s="1"/>
  <c r="B3407" i="2"/>
  <c r="A3407" i="2"/>
  <c r="U3406" i="2"/>
  <c r="V3406" i="2" s="1"/>
  <c r="B3406" i="2"/>
  <c r="A3406" i="2"/>
  <c r="U3405" i="2"/>
  <c r="V3405" i="2" s="1"/>
  <c r="B3405" i="2"/>
  <c r="A3405" i="2"/>
  <c r="U3404" i="2"/>
  <c r="V3404" i="2" s="1"/>
  <c r="B3404" i="2"/>
  <c r="A3404" i="2"/>
  <c r="U3403" i="2"/>
  <c r="V3403" i="2" s="1"/>
  <c r="B3403" i="2"/>
  <c r="A3403" i="2"/>
  <c r="U3402" i="2"/>
  <c r="V3402" i="2" s="1"/>
  <c r="B3402" i="2"/>
  <c r="A3402" i="2"/>
  <c r="U3401" i="2"/>
  <c r="V3401" i="2" s="1"/>
  <c r="B3401" i="2"/>
  <c r="A3401" i="2"/>
  <c r="U3400" i="2"/>
  <c r="V3400" i="2" s="1"/>
  <c r="B3400" i="2"/>
  <c r="A3400" i="2"/>
  <c r="U3399" i="2"/>
  <c r="V3399" i="2" s="1"/>
  <c r="B3399" i="2"/>
  <c r="A3399" i="2"/>
  <c r="U3398" i="2"/>
  <c r="V3398" i="2" s="1"/>
  <c r="B3398" i="2"/>
  <c r="A3398" i="2"/>
  <c r="U3397" i="2"/>
  <c r="V3397" i="2" s="1"/>
  <c r="B3397" i="2"/>
  <c r="A3397" i="2"/>
  <c r="U3396" i="2"/>
  <c r="V3396" i="2" s="1"/>
  <c r="B3396" i="2"/>
  <c r="A3396" i="2"/>
  <c r="U3395" i="2"/>
  <c r="V3395" i="2" s="1"/>
  <c r="B3395" i="2"/>
  <c r="A3395" i="2"/>
  <c r="U3394" i="2"/>
  <c r="V3394" i="2" s="1"/>
  <c r="B3394" i="2"/>
  <c r="A3394" i="2"/>
  <c r="U3393" i="2"/>
  <c r="V3393" i="2" s="1"/>
  <c r="B3393" i="2"/>
  <c r="A3393" i="2"/>
  <c r="U3392" i="2"/>
  <c r="V3392" i="2" s="1"/>
  <c r="B3392" i="2"/>
  <c r="A3392" i="2"/>
  <c r="U3391" i="2"/>
  <c r="V3391" i="2" s="1"/>
  <c r="B3391" i="2"/>
  <c r="A3391" i="2"/>
  <c r="U3390" i="2"/>
  <c r="V3390" i="2" s="1"/>
  <c r="B3390" i="2"/>
  <c r="A3390" i="2"/>
  <c r="U3389" i="2"/>
  <c r="V3389" i="2" s="1"/>
  <c r="B3389" i="2"/>
  <c r="A3389" i="2"/>
  <c r="U3388" i="2"/>
  <c r="V3388" i="2" s="1"/>
  <c r="B3388" i="2"/>
  <c r="A3388" i="2"/>
  <c r="U3387" i="2"/>
  <c r="V3387" i="2" s="1"/>
  <c r="B3387" i="2"/>
  <c r="A3387" i="2"/>
  <c r="U3386" i="2"/>
  <c r="V3386" i="2" s="1"/>
  <c r="B3386" i="2"/>
  <c r="A3386" i="2"/>
  <c r="U3385" i="2"/>
  <c r="V3385" i="2" s="1"/>
  <c r="B3385" i="2"/>
  <c r="A3385" i="2"/>
  <c r="U3384" i="2"/>
  <c r="V3384" i="2" s="1"/>
  <c r="B3384" i="2"/>
  <c r="A3384" i="2"/>
  <c r="U3383" i="2"/>
  <c r="V3383" i="2" s="1"/>
  <c r="B3383" i="2"/>
  <c r="A3383" i="2"/>
  <c r="U3382" i="2"/>
  <c r="V3382" i="2" s="1"/>
  <c r="B3382" i="2"/>
  <c r="A3382" i="2"/>
  <c r="U3381" i="2"/>
  <c r="V3381" i="2" s="1"/>
  <c r="B3381" i="2"/>
  <c r="A3381" i="2"/>
  <c r="U3380" i="2"/>
  <c r="V3380" i="2" s="1"/>
  <c r="B3380" i="2"/>
  <c r="A3380" i="2"/>
  <c r="U3379" i="2"/>
  <c r="V3379" i="2" s="1"/>
  <c r="B3379" i="2"/>
  <c r="A3379" i="2"/>
  <c r="U3378" i="2"/>
  <c r="V3378" i="2" s="1"/>
  <c r="B3378" i="2"/>
  <c r="A3378" i="2"/>
  <c r="U3377" i="2"/>
  <c r="V3377" i="2" s="1"/>
  <c r="B3377" i="2"/>
  <c r="A3377" i="2"/>
  <c r="U3376" i="2"/>
  <c r="V3376" i="2" s="1"/>
  <c r="B3376" i="2"/>
  <c r="A3376" i="2"/>
  <c r="U3375" i="2"/>
  <c r="V3375" i="2" s="1"/>
  <c r="B3375" i="2"/>
  <c r="A3375" i="2"/>
  <c r="U3374" i="2"/>
  <c r="V3374" i="2" s="1"/>
  <c r="B3374" i="2"/>
  <c r="A3374" i="2"/>
  <c r="U3373" i="2"/>
  <c r="V3373" i="2" s="1"/>
  <c r="B3373" i="2"/>
  <c r="A3373" i="2"/>
  <c r="U3372" i="2"/>
  <c r="V3372" i="2" s="1"/>
  <c r="B3372" i="2"/>
  <c r="A3372" i="2"/>
  <c r="U3371" i="2"/>
  <c r="V3371" i="2" s="1"/>
  <c r="B3371" i="2"/>
  <c r="A3371" i="2"/>
  <c r="U3370" i="2"/>
  <c r="V3370" i="2" s="1"/>
  <c r="B3370" i="2"/>
  <c r="A3370" i="2"/>
  <c r="U3369" i="2"/>
  <c r="V3369" i="2" s="1"/>
  <c r="B3369" i="2"/>
  <c r="A3369" i="2"/>
  <c r="U3368" i="2"/>
  <c r="V3368" i="2" s="1"/>
  <c r="B3368" i="2"/>
  <c r="A3368" i="2"/>
  <c r="U3367" i="2"/>
  <c r="V3367" i="2" s="1"/>
  <c r="B3367" i="2"/>
  <c r="A3367" i="2"/>
  <c r="U3366" i="2"/>
  <c r="V3366" i="2" s="1"/>
  <c r="B3366" i="2"/>
  <c r="A3366" i="2"/>
  <c r="U3365" i="2"/>
  <c r="V3365" i="2" s="1"/>
  <c r="B3365" i="2"/>
  <c r="A3365" i="2"/>
  <c r="U3364" i="2"/>
  <c r="V3364" i="2" s="1"/>
  <c r="B3364" i="2"/>
  <c r="A3364" i="2"/>
  <c r="U3363" i="2"/>
  <c r="V3363" i="2" s="1"/>
  <c r="B3363" i="2"/>
  <c r="A3363" i="2"/>
  <c r="U3362" i="2"/>
  <c r="V3362" i="2" s="1"/>
  <c r="B3362" i="2"/>
  <c r="A3362" i="2"/>
  <c r="U3361" i="2"/>
  <c r="V3361" i="2" s="1"/>
  <c r="B3361" i="2"/>
  <c r="A3361" i="2"/>
  <c r="U3360" i="2"/>
  <c r="V3360" i="2" s="1"/>
  <c r="B3360" i="2"/>
  <c r="A3360" i="2"/>
  <c r="U3359" i="2"/>
  <c r="V3359" i="2" s="1"/>
  <c r="B3359" i="2"/>
  <c r="A3359" i="2"/>
  <c r="U3358" i="2"/>
  <c r="V3358" i="2" s="1"/>
  <c r="B3358" i="2"/>
  <c r="A3358" i="2"/>
  <c r="U3357" i="2"/>
  <c r="V3357" i="2" s="1"/>
  <c r="B3357" i="2"/>
  <c r="A3357" i="2"/>
  <c r="U3356" i="2"/>
  <c r="V3356" i="2" s="1"/>
  <c r="B3356" i="2"/>
  <c r="A3356" i="2"/>
  <c r="U3355" i="2"/>
  <c r="V3355" i="2" s="1"/>
  <c r="B3355" i="2"/>
  <c r="A3355" i="2"/>
  <c r="U3354" i="2"/>
  <c r="V3354" i="2" s="1"/>
  <c r="B3354" i="2"/>
  <c r="A3354" i="2"/>
  <c r="U3353" i="2"/>
  <c r="V3353" i="2" s="1"/>
  <c r="B3353" i="2"/>
  <c r="A3353" i="2"/>
  <c r="U3352" i="2"/>
  <c r="V3352" i="2" s="1"/>
  <c r="B3352" i="2"/>
  <c r="A3352" i="2"/>
  <c r="U3351" i="2"/>
  <c r="V3351" i="2" s="1"/>
  <c r="B3351" i="2"/>
  <c r="A3351" i="2"/>
  <c r="U3350" i="2"/>
  <c r="V3350" i="2" s="1"/>
  <c r="B3350" i="2"/>
  <c r="A3350" i="2"/>
  <c r="U3349" i="2"/>
  <c r="V3349" i="2" s="1"/>
  <c r="B3349" i="2"/>
  <c r="A3349" i="2"/>
  <c r="U3348" i="2"/>
  <c r="V3348" i="2" s="1"/>
  <c r="B3348" i="2"/>
  <c r="A3348" i="2"/>
  <c r="U3347" i="2"/>
  <c r="V3347" i="2" s="1"/>
  <c r="B3347" i="2"/>
  <c r="A3347" i="2"/>
  <c r="U3346" i="2"/>
  <c r="V3346" i="2" s="1"/>
  <c r="B3346" i="2"/>
  <c r="A3346" i="2"/>
  <c r="U3345" i="2"/>
  <c r="V3345" i="2" s="1"/>
  <c r="B3345" i="2"/>
  <c r="A3345" i="2"/>
  <c r="U3344" i="2"/>
  <c r="V3344" i="2" s="1"/>
  <c r="B3344" i="2"/>
  <c r="A3344" i="2"/>
  <c r="U3343" i="2"/>
  <c r="V3343" i="2" s="1"/>
  <c r="B3343" i="2"/>
  <c r="A3343" i="2"/>
  <c r="U3342" i="2"/>
  <c r="V3342" i="2" s="1"/>
  <c r="B3342" i="2"/>
  <c r="A3342" i="2"/>
  <c r="U3341" i="2"/>
  <c r="V3341" i="2" s="1"/>
  <c r="B3341" i="2"/>
  <c r="A3341" i="2"/>
  <c r="U3340" i="2"/>
  <c r="V3340" i="2" s="1"/>
  <c r="B3340" i="2"/>
  <c r="A3340" i="2"/>
  <c r="U3339" i="2"/>
  <c r="V3339" i="2" s="1"/>
  <c r="B3339" i="2"/>
  <c r="A3339" i="2"/>
  <c r="U3338" i="2"/>
  <c r="V3338" i="2" s="1"/>
  <c r="B3338" i="2"/>
  <c r="A3338" i="2"/>
  <c r="U3337" i="2"/>
  <c r="V3337" i="2" s="1"/>
  <c r="B3337" i="2"/>
  <c r="A3337" i="2"/>
  <c r="U3336" i="2"/>
  <c r="V3336" i="2" s="1"/>
  <c r="B3336" i="2"/>
  <c r="A3336" i="2"/>
  <c r="U3335" i="2"/>
  <c r="V3335" i="2" s="1"/>
  <c r="B3335" i="2"/>
  <c r="A3335" i="2"/>
  <c r="U3334" i="2"/>
  <c r="V3334" i="2" s="1"/>
  <c r="B3334" i="2"/>
  <c r="A3334" i="2"/>
  <c r="U3333" i="2"/>
  <c r="V3333" i="2" s="1"/>
  <c r="B3333" i="2"/>
  <c r="A3333" i="2"/>
  <c r="U3332" i="2"/>
  <c r="V3332" i="2" s="1"/>
  <c r="B3332" i="2"/>
  <c r="A3332" i="2"/>
  <c r="U3331" i="2"/>
  <c r="V3331" i="2" s="1"/>
  <c r="B3331" i="2"/>
  <c r="A3331" i="2"/>
  <c r="U3330" i="2"/>
  <c r="V3330" i="2" s="1"/>
  <c r="B3330" i="2"/>
  <c r="A3330" i="2"/>
  <c r="U3329" i="2"/>
  <c r="V3329" i="2" s="1"/>
  <c r="B3329" i="2"/>
  <c r="A3329" i="2"/>
  <c r="U3328" i="2"/>
  <c r="V3328" i="2" s="1"/>
  <c r="B3328" i="2"/>
  <c r="A3328" i="2"/>
  <c r="U3327" i="2"/>
  <c r="V3327" i="2" s="1"/>
  <c r="B3327" i="2"/>
  <c r="A3327" i="2"/>
  <c r="U3326" i="2"/>
  <c r="V3326" i="2" s="1"/>
  <c r="B3326" i="2"/>
  <c r="A3326" i="2"/>
  <c r="U3325" i="2"/>
  <c r="V3325" i="2" s="1"/>
  <c r="B3325" i="2"/>
  <c r="A3325" i="2"/>
  <c r="U3324" i="2"/>
  <c r="V3324" i="2" s="1"/>
  <c r="B3324" i="2"/>
  <c r="A3324" i="2"/>
  <c r="U3323" i="2"/>
  <c r="V3323" i="2" s="1"/>
  <c r="B3323" i="2"/>
  <c r="A3323" i="2"/>
  <c r="U3322" i="2"/>
  <c r="V3322" i="2" s="1"/>
  <c r="B3322" i="2"/>
  <c r="A3322" i="2"/>
  <c r="U3321" i="2"/>
  <c r="V3321" i="2" s="1"/>
  <c r="B3321" i="2"/>
  <c r="A3321" i="2"/>
  <c r="U3320" i="2"/>
  <c r="V3320" i="2" s="1"/>
  <c r="B3320" i="2"/>
  <c r="A3320" i="2"/>
  <c r="U3319" i="2"/>
  <c r="V3319" i="2" s="1"/>
  <c r="B3319" i="2"/>
  <c r="A3319" i="2"/>
  <c r="U3318" i="2"/>
  <c r="V3318" i="2" s="1"/>
  <c r="B3318" i="2"/>
  <c r="A3318" i="2"/>
  <c r="U3317" i="2"/>
  <c r="V3317" i="2" s="1"/>
  <c r="B3317" i="2"/>
  <c r="A3317" i="2"/>
  <c r="U3316" i="2"/>
  <c r="V3316" i="2" s="1"/>
  <c r="B3316" i="2"/>
  <c r="A3316" i="2"/>
  <c r="U3315" i="2"/>
  <c r="V3315" i="2" s="1"/>
  <c r="B3315" i="2"/>
  <c r="A3315" i="2"/>
  <c r="U3314" i="2"/>
  <c r="V3314" i="2" s="1"/>
  <c r="B3314" i="2"/>
  <c r="A3314" i="2"/>
  <c r="U3313" i="2"/>
  <c r="V3313" i="2" s="1"/>
  <c r="B3313" i="2"/>
  <c r="A3313" i="2"/>
  <c r="U3312" i="2"/>
  <c r="V3312" i="2" s="1"/>
  <c r="B3312" i="2"/>
  <c r="A3312" i="2"/>
  <c r="U3311" i="2"/>
  <c r="V3311" i="2" s="1"/>
  <c r="B3311" i="2"/>
  <c r="A3311" i="2"/>
  <c r="U3310" i="2"/>
  <c r="V3310" i="2" s="1"/>
  <c r="B3310" i="2"/>
  <c r="A3310" i="2"/>
  <c r="U3309" i="2"/>
  <c r="V3309" i="2" s="1"/>
  <c r="B3309" i="2"/>
  <c r="A3309" i="2"/>
  <c r="U3308" i="2"/>
  <c r="V3308" i="2" s="1"/>
  <c r="B3308" i="2"/>
  <c r="A3308" i="2"/>
  <c r="U3307" i="2"/>
  <c r="V3307" i="2" s="1"/>
  <c r="B3307" i="2"/>
  <c r="A3307" i="2"/>
  <c r="U3306" i="2"/>
  <c r="V3306" i="2" s="1"/>
  <c r="B3306" i="2"/>
  <c r="A3306" i="2"/>
  <c r="U3305" i="2"/>
  <c r="V3305" i="2" s="1"/>
  <c r="B3305" i="2"/>
  <c r="A3305" i="2"/>
  <c r="U3304" i="2"/>
  <c r="V3304" i="2" s="1"/>
  <c r="B3304" i="2"/>
  <c r="A3304" i="2"/>
  <c r="U3303" i="2"/>
  <c r="V3303" i="2" s="1"/>
  <c r="B3303" i="2"/>
  <c r="A3303" i="2"/>
  <c r="U3302" i="2"/>
  <c r="V3302" i="2" s="1"/>
  <c r="B3302" i="2"/>
  <c r="A3302" i="2"/>
  <c r="U3301" i="2"/>
  <c r="V3301" i="2" s="1"/>
  <c r="B3301" i="2"/>
  <c r="A3301" i="2"/>
  <c r="U3300" i="2"/>
  <c r="V3300" i="2" s="1"/>
  <c r="B3300" i="2"/>
  <c r="A3300" i="2"/>
  <c r="U3299" i="2"/>
  <c r="V3299" i="2" s="1"/>
  <c r="B3299" i="2"/>
  <c r="A3299" i="2"/>
  <c r="U3298" i="2"/>
  <c r="V3298" i="2" s="1"/>
  <c r="B3298" i="2"/>
  <c r="A3298" i="2"/>
  <c r="U3297" i="2"/>
  <c r="V3297" i="2" s="1"/>
  <c r="B3297" i="2"/>
  <c r="A3297" i="2"/>
  <c r="U3296" i="2"/>
  <c r="V3296" i="2" s="1"/>
  <c r="B3296" i="2"/>
  <c r="A3296" i="2"/>
  <c r="U3295" i="2"/>
  <c r="V3295" i="2" s="1"/>
  <c r="B3295" i="2"/>
  <c r="A3295" i="2"/>
  <c r="U3294" i="2"/>
  <c r="V3294" i="2" s="1"/>
  <c r="B3294" i="2"/>
  <c r="A3294" i="2"/>
  <c r="U3293" i="2"/>
  <c r="V3293" i="2" s="1"/>
  <c r="B3293" i="2"/>
  <c r="A3293" i="2"/>
  <c r="U3292" i="2"/>
  <c r="V3292" i="2" s="1"/>
  <c r="B3292" i="2"/>
  <c r="A3292" i="2"/>
  <c r="U3291" i="2"/>
  <c r="V3291" i="2" s="1"/>
  <c r="B3291" i="2"/>
  <c r="A3291" i="2"/>
  <c r="U3290" i="2"/>
  <c r="V3290" i="2" s="1"/>
  <c r="B3290" i="2"/>
  <c r="A3290" i="2"/>
  <c r="U3289" i="2"/>
  <c r="V3289" i="2" s="1"/>
  <c r="B3289" i="2"/>
  <c r="A3289" i="2"/>
  <c r="U3288" i="2"/>
  <c r="V3288" i="2" s="1"/>
  <c r="B3288" i="2"/>
  <c r="A3288" i="2"/>
  <c r="U3287" i="2"/>
  <c r="V3287" i="2" s="1"/>
  <c r="B3287" i="2"/>
  <c r="A3287" i="2"/>
  <c r="U3286" i="2"/>
  <c r="V3286" i="2" s="1"/>
  <c r="B3286" i="2"/>
  <c r="A3286" i="2"/>
  <c r="U3285" i="2"/>
  <c r="V3285" i="2" s="1"/>
  <c r="B3285" i="2"/>
  <c r="A3285" i="2"/>
  <c r="U3284" i="2"/>
  <c r="V3284" i="2" s="1"/>
  <c r="B3284" i="2"/>
  <c r="A3284" i="2"/>
  <c r="U3283" i="2"/>
  <c r="V3283" i="2" s="1"/>
  <c r="B3283" i="2"/>
  <c r="A3283" i="2"/>
  <c r="U3282" i="2"/>
  <c r="V3282" i="2" s="1"/>
  <c r="B3282" i="2"/>
  <c r="A3282" i="2"/>
  <c r="U3281" i="2"/>
  <c r="V3281" i="2" s="1"/>
  <c r="B3281" i="2"/>
  <c r="A3281" i="2"/>
  <c r="U3280" i="2"/>
  <c r="V3280" i="2" s="1"/>
  <c r="B3280" i="2"/>
  <c r="A3280" i="2"/>
  <c r="U3279" i="2"/>
  <c r="V3279" i="2" s="1"/>
  <c r="B3279" i="2"/>
  <c r="A3279" i="2"/>
  <c r="U3278" i="2"/>
  <c r="V3278" i="2" s="1"/>
  <c r="B3278" i="2"/>
  <c r="A3278" i="2"/>
  <c r="U3277" i="2"/>
  <c r="V3277" i="2" s="1"/>
  <c r="B3277" i="2"/>
  <c r="A3277" i="2"/>
  <c r="U3276" i="2"/>
  <c r="V3276" i="2" s="1"/>
  <c r="B3276" i="2"/>
  <c r="A3276" i="2"/>
  <c r="U3275" i="2"/>
  <c r="V3275" i="2" s="1"/>
  <c r="B3275" i="2"/>
  <c r="A3275" i="2"/>
  <c r="U3274" i="2"/>
  <c r="V3274" i="2" s="1"/>
  <c r="B3274" i="2"/>
  <c r="A3274" i="2"/>
  <c r="U3273" i="2"/>
  <c r="V3273" i="2" s="1"/>
  <c r="B3273" i="2"/>
  <c r="A3273" i="2"/>
  <c r="U3272" i="2"/>
  <c r="V3272" i="2" s="1"/>
  <c r="B3272" i="2"/>
  <c r="A3272" i="2"/>
  <c r="U3271" i="2"/>
  <c r="V3271" i="2" s="1"/>
  <c r="B3271" i="2"/>
  <c r="A3271" i="2"/>
  <c r="U3270" i="2"/>
  <c r="V3270" i="2" s="1"/>
  <c r="B3270" i="2"/>
  <c r="A3270" i="2"/>
  <c r="U3269" i="2"/>
  <c r="V3269" i="2" s="1"/>
  <c r="B3269" i="2"/>
  <c r="A3269" i="2"/>
  <c r="U3268" i="2"/>
  <c r="V3268" i="2" s="1"/>
  <c r="B3268" i="2"/>
  <c r="A3268" i="2"/>
  <c r="U3267" i="2"/>
  <c r="V3267" i="2" s="1"/>
  <c r="B3267" i="2"/>
  <c r="A3267" i="2"/>
  <c r="U3266" i="2"/>
  <c r="V3266" i="2" s="1"/>
  <c r="B3266" i="2"/>
  <c r="A3266" i="2"/>
  <c r="U3265" i="2"/>
  <c r="V3265" i="2" s="1"/>
  <c r="B3265" i="2"/>
  <c r="A3265" i="2"/>
  <c r="U3264" i="2"/>
  <c r="V3264" i="2" s="1"/>
  <c r="B3264" i="2"/>
  <c r="A3264" i="2"/>
  <c r="U3263" i="2"/>
  <c r="V3263" i="2" s="1"/>
  <c r="B3263" i="2"/>
  <c r="A3263" i="2"/>
  <c r="U3262" i="2"/>
  <c r="V3262" i="2" s="1"/>
  <c r="B3262" i="2"/>
  <c r="A3262" i="2"/>
  <c r="U3261" i="2"/>
  <c r="V3261" i="2" s="1"/>
  <c r="B3261" i="2"/>
  <c r="A3261" i="2"/>
  <c r="U3260" i="2"/>
  <c r="V3260" i="2" s="1"/>
  <c r="B3260" i="2"/>
  <c r="A3260" i="2"/>
  <c r="U3259" i="2"/>
  <c r="V3259" i="2" s="1"/>
  <c r="B3259" i="2"/>
  <c r="A3259" i="2"/>
  <c r="U3258" i="2"/>
  <c r="V3258" i="2" s="1"/>
  <c r="B3258" i="2"/>
  <c r="A3258" i="2"/>
  <c r="U3257" i="2"/>
  <c r="V3257" i="2" s="1"/>
  <c r="B3257" i="2"/>
  <c r="A3257" i="2"/>
  <c r="U3256" i="2"/>
  <c r="V3256" i="2" s="1"/>
  <c r="B3256" i="2"/>
  <c r="A3256" i="2"/>
  <c r="U3255" i="2"/>
  <c r="V3255" i="2" s="1"/>
  <c r="B3255" i="2"/>
  <c r="A3255" i="2"/>
  <c r="U3254" i="2"/>
  <c r="V3254" i="2" s="1"/>
  <c r="B3254" i="2"/>
  <c r="A3254" i="2"/>
  <c r="U3253" i="2"/>
  <c r="V3253" i="2" s="1"/>
  <c r="B3253" i="2"/>
  <c r="A3253" i="2"/>
  <c r="U3252" i="2"/>
  <c r="V3252" i="2" s="1"/>
  <c r="B3252" i="2"/>
  <c r="A3252" i="2"/>
  <c r="U3251" i="2"/>
  <c r="V3251" i="2" s="1"/>
  <c r="B3251" i="2"/>
  <c r="A3251" i="2"/>
  <c r="U3250" i="2"/>
  <c r="V3250" i="2" s="1"/>
  <c r="B3250" i="2"/>
  <c r="A3250" i="2"/>
  <c r="U3249" i="2"/>
  <c r="V3249" i="2" s="1"/>
  <c r="B3249" i="2"/>
  <c r="A3249" i="2"/>
  <c r="U3248" i="2"/>
  <c r="V3248" i="2" s="1"/>
  <c r="B3248" i="2"/>
  <c r="A3248" i="2"/>
  <c r="U3247" i="2"/>
  <c r="V3247" i="2" s="1"/>
  <c r="B3247" i="2"/>
  <c r="A3247" i="2"/>
  <c r="U3246" i="2"/>
  <c r="V3246" i="2" s="1"/>
  <c r="B3246" i="2"/>
  <c r="A3246" i="2"/>
  <c r="U3245" i="2"/>
  <c r="V3245" i="2" s="1"/>
  <c r="B3245" i="2"/>
  <c r="A3245" i="2"/>
  <c r="U3244" i="2"/>
  <c r="V3244" i="2" s="1"/>
  <c r="B3244" i="2"/>
  <c r="A3244" i="2"/>
  <c r="U3243" i="2"/>
  <c r="V3243" i="2" s="1"/>
  <c r="B3243" i="2"/>
  <c r="A3243" i="2"/>
  <c r="U3242" i="2"/>
  <c r="V3242" i="2" s="1"/>
  <c r="B3242" i="2"/>
  <c r="A3242" i="2"/>
  <c r="U3241" i="2"/>
  <c r="V3241" i="2" s="1"/>
  <c r="B3241" i="2"/>
  <c r="A3241" i="2"/>
  <c r="U3240" i="2"/>
  <c r="V3240" i="2" s="1"/>
  <c r="B3240" i="2"/>
  <c r="A3240" i="2"/>
  <c r="U3239" i="2"/>
  <c r="V3239" i="2" s="1"/>
  <c r="B3239" i="2"/>
  <c r="A3239" i="2"/>
  <c r="U3238" i="2"/>
  <c r="V3238" i="2" s="1"/>
  <c r="B3238" i="2"/>
  <c r="A3238" i="2"/>
  <c r="U3237" i="2"/>
  <c r="V3237" i="2" s="1"/>
  <c r="B3237" i="2"/>
  <c r="A3237" i="2"/>
  <c r="U3236" i="2"/>
  <c r="V3236" i="2" s="1"/>
  <c r="B3236" i="2"/>
  <c r="A3236" i="2"/>
  <c r="U3235" i="2"/>
  <c r="V3235" i="2" s="1"/>
  <c r="B3235" i="2"/>
  <c r="A3235" i="2"/>
  <c r="U3234" i="2"/>
  <c r="V3234" i="2" s="1"/>
  <c r="B3234" i="2"/>
  <c r="A3234" i="2"/>
  <c r="U3233" i="2"/>
  <c r="V3233" i="2" s="1"/>
  <c r="B3233" i="2"/>
  <c r="A3233" i="2"/>
  <c r="U3232" i="2"/>
  <c r="V3232" i="2" s="1"/>
  <c r="B3232" i="2"/>
  <c r="A3232" i="2"/>
  <c r="U3231" i="2"/>
  <c r="V3231" i="2" s="1"/>
  <c r="B3231" i="2"/>
  <c r="A3231" i="2"/>
  <c r="U3230" i="2"/>
  <c r="V3230" i="2" s="1"/>
  <c r="B3230" i="2"/>
  <c r="A3230" i="2"/>
  <c r="U3229" i="2"/>
  <c r="V3229" i="2" s="1"/>
  <c r="B3229" i="2"/>
  <c r="A3229" i="2"/>
  <c r="U3228" i="2"/>
  <c r="V3228" i="2" s="1"/>
  <c r="B3228" i="2"/>
  <c r="A3228" i="2"/>
  <c r="U3227" i="2"/>
  <c r="V3227" i="2" s="1"/>
  <c r="B3227" i="2"/>
  <c r="A3227" i="2"/>
  <c r="U3226" i="2"/>
  <c r="V3226" i="2" s="1"/>
  <c r="B3226" i="2"/>
  <c r="A3226" i="2"/>
  <c r="U3225" i="2"/>
  <c r="V3225" i="2" s="1"/>
  <c r="B3225" i="2"/>
  <c r="A3225" i="2"/>
  <c r="U3224" i="2"/>
  <c r="V3224" i="2" s="1"/>
  <c r="B3224" i="2"/>
  <c r="A3224" i="2"/>
  <c r="U3223" i="2"/>
  <c r="V3223" i="2" s="1"/>
  <c r="B3223" i="2"/>
  <c r="A3223" i="2"/>
  <c r="U3222" i="2"/>
  <c r="V3222" i="2" s="1"/>
  <c r="B3222" i="2"/>
  <c r="A3222" i="2"/>
  <c r="U3221" i="2"/>
  <c r="V3221" i="2" s="1"/>
  <c r="B3221" i="2"/>
  <c r="A3221" i="2"/>
  <c r="U3220" i="2"/>
  <c r="V3220" i="2" s="1"/>
  <c r="B3220" i="2"/>
  <c r="A3220" i="2"/>
  <c r="U3219" i="2"/>
  <c r="V3219" i="2" s="1"/>
  <c r="B3219" i="2"/>
  <c r="A3219" i="2"/>
  <c r="U3218" i="2"/>
  <c r="V3218" i="2" s="1"/>
  <c r="B3218" i="2"/>
  <c r="A3218" i="2"/>
  <c r="U3217" i="2"/>
  <c r="V3217" i="2" s="1"/>
  <c r="B3217" i="2"/>
  <c r="A3217" i="2"/>
  <c r="U3216" i="2"/>
  <c r="V3216" i="2" s="1"/>
  <c r="B3216" i="2"/>
  <c r="A3216" i="2"/>
  <c r="U3215" i="2"/>
  <c r="V3215" i="2" s="1"/>
  <c r="B3215" i="2"/>
  <c r="A3215" i="2"/>
  <c r="U3214" i="2"/>
  <c r="V3214" i="2" s="1"/>
  <c r="B3214" i="2"/>
  <c r="A3214" i="2"/>
  <c r="U3213" i="2"/>
  <c r="V3213" i="2" s="1"/>
  <c r="B3213" i="2"/>
  <c r="A3213" i="2"/>
  <c r="U3212" i="2"/>
  <c r="V3212" i="2" s="1"/>
  <c r="B3212" i="2"/>
  <c r="A3212" i="2"/>
  <c r="U3211" i="2"/>
  <c r="V3211" i="2" s="1"/>
  <c r="B3211" i="2"/>
  <c r="A3211" i="2"/>
  <c r="U3210" i="2"/>
  <c r="V3210" i="2" s="1"/>
  <c r="B3210" i="2"/>
  <c r="A3210" i="2"/>
  <c r="U3209" i="2"/>
  <c r="V3209" i="2" s="1"/>
  <c r="B3209" i="2"/>
  <c r="A3209" i="2"/>
  <c r="U3208" i="2"/>
  <c r="V3208" i="2" s="1"/>
  <c r="B3208" i="2"/>
  <c r="A3208" i="2"/>
  <c r="U3207" i="2"/>
  <c r="V3207" i="2" s="1"/>
  <c r="B3207" i="2"/>
  <c r="A3207" i="2"/>
  <c r="U3206" i="2"/>
  <c r="V3206" i="2" s="1"/>
  <c r="B3206" i="2"/>
  <c r="A3206" i="2"/>
  <c r="U3205" i="2"/>
  <c r="V3205" i="2" s="1"/>
  <c r="B3205" i="2"/>
  <c r="A3205" i="2"/>
  <c r="U3204" i="2"/>
  <c r="V3204" i="2" s="1"/>
  <c r="B3204" i="2"/>
  <c r="A3204" i="2"/>
  <c r="U3203" i="2"/>
  <c r="V3203" i="2" s="1"/>
  <c r="B3203" i="2"/>
  <c r="A3203" i="2"/>
  <c r="U3202" i="2"/>
  <c r="V3202" i="2" s="1"/>
  <c r="B3202" i="2"/>
  <c r="A3202" i="2"/>
  <c r="U3201" i="2"/>
  <c r="V3201" i="2" s="1"/>
  <c r="B3201" i="2"/>
  <c r="A3201" i="2"/>
  <c r="U3200" i="2"/>
  <c r="V3200" i="2" s="1"/>
  <c r="B3200" i="2"/>
  <c r="A3200" i="2"/>
  <c r="U3199" i="2"/>
  <c r="V3199" i="2" s="1"/>
  <c r="B3199" i="2"/>
  <c r="A3199" i="2"/>
  <c r="U3198" i="2"/>
  <c r="V3198" i="2" s="1"/>
  <c r="B3198" i="2"/>
  <c r="A3198" i="2"/>
  <c r="U3197" i="2"/>
  <c r="V3197" i="2" s="1"/>
  <c r="B3197" i="2"/>
  <c r="A3197" i="2"/>
  <c r="U3196" i="2"/>
  <c r="V3196" i="2" s="1"/>
  <c r="B3196" i="2"/>
  <c r="A3196" i="2"/>
  <c r="U3195" i="2"/>
  <c r="V3195" i="2" s="1"/>
  <c r="B3195" i="2"/>
  <c r="A3195" i="2"/>
  <c r="U3194" i="2"/>
  <c r="V3194" i="2" s="1"/>
  <c r="B3194" i="2"/>
  <c r="A3194" i="2"/>
  <c r="U3193" i="2"/>
  <c r="V3193" i="2" s="1"/>
  <c r="B3193" i="2"/>
  <c r="A3193" i="2"/>
  <c r="U3192" i="2"/>
  <c r="V3192" i="2" s="1"/>
  <c r="B3192" i="2"/>
  <c r="A3192" i="2"/>
  <c r="U3191" i="2"/>
  <c r="V3191" i="2" s="1"/>
  <c r="B3191" i="2"/>
  <c r="A3191" i="2"/>
  <c r="U3190" i="2"/>
  <c r="V3190" i="2" s="1"/>
  <c r="B3190" i="2"/>
  <c r="A3190" i="2"/>
  <c r="U3189" i="2"/>
  <c r="V3189" i="2" s="1"/>
  <c r="B3189" i="2"/>
  <c r="A3189" i="2"/>
  <c r="U3188" i="2"/>
  <c r="V3188" i="2" s="1"/>
  <c r="B3188" i="2"/>
  <c r="A3188" i="2"/>
  <c r="U3187" i="2"/>
  <c r="V3187" i="2" s="1"/>
  <c r="B3187" i="2"/>
  <c r="A3187" i="2"/>
  <c r="U3186" i="2"/>
  <c r="V3186" i="2" s="1"/>
  <c r="B3186" i="2"/>
  <c r="A3186" i="2"/>
  <c r="U3185" i="2"/>
  <c r="V3185" i="2" s="1"/>
  <c r="B3185" i="2"/>
  <c r="A3185" i="2"/>
  <c r="U3184" i="2"/>
  <c r="V3184" i="2" s="1"/>
  <c r="B3184" i="2"/>
  <c r="A3184" i="2"/>
  <c r="U3183" i="2"/>
  <c r="V3183" i="2" s="1"/>
  <c r="B3183" i="2"/>
  <c r="A3183" i="2"/>
  <c r="U3182" i="2"/>
  <c r="V3182" i="2" s="1"/>
  <c r="B3182" i="2"/>
  <c r="A3182" i="2"/>
  <c r="U3181" i="2"/>
  <c r="V3181" i="2" s="1"/>
  <c r="B3181" i="2"/>
  <c r="A3181" i="2"/>
  <c r="U3180" i="2"/>
  <c r="V3180" i="2" s="1"/>
  <c r="B3180" i="2"/>
  <c r="A3180" i="2"/>
  <c r="U3179" i="2"/>
  <c r="V3179" i="2" s="1"/>
  <c r="B3179" i="2"/>
  <c r="A3179" i="2"/>
  <c r="U3178" i="2"/>
  <c r="V3178" i="2" s="1"/>
  <c r="B3178" i="2"/>
  <c r="A3178" i="2"/>
  <c r="U3177" i="2"/>
  <c r="V3177" i="2" s="1"/>
  <c r="B3177" i="2"/>
  <c r="A3177" i="2"/>
  <c r="U3176" i="2"/>
  <c r="V3176" i="2" s="1"/>
  <c r="B3176" i="2"/>
  <c r="A3176" i="2"/>
  <c r="U3175" i="2"/>
  <c r="V3175" i="2" s="1"/>
  <c r="B3175" i="2"/>
  <c r="A3175" i="2"/>
  <c r="U3174" i="2"/>
  <c r="V3174" i="2" s="1"/>
  <c r="B3174" i="2"/>
  <c r="A3174" i="2"/>
  <c r="U3173" i="2"/>
  <c r="V3173" i="2" s="1"/>
  <c r="B3173" i="2"/>
  <c r="A3173" i="2"/>
  <c r="U3172" i="2"/>
  <c r="V3172" i="2" s="1"/>
  <c r="B3172" i="2"/>
  <c r="A3172" i="2"/>
  <c r="U3171" i="2"/>
  <c r="V3171" i="2" s="1"/>
  <c r="B3171" i="2"/>
  <c r="A3171" i="2"/>
  <c r="U3170" i="2"/>
  <c r="V3170" i="2" s="1"/>
  <c r="B3170" i="2"/>
  <c r="A3170" i="2"/>
  <c r="U3169" i="2"/>
  <c r="V3169" i="2" s="1"/>
  <c r="B3169" i="2"/>
  <c r="A3169" i="2"/>
  <c r="U3168" i="2"/>
  <c r="V3168" i="2" s="1"/>
  <c r="B3168" i="2"/>
  <c r="A3168" i="2"/>
  <c r="U3167" i="2"/>
  <c r="V3167" i="2" s="1"/>
  <c r="B3167" i="2"/>
  <c r="A3167" i="2"/>
  <c r="U3166" i="2"/>
  <c r="V3166" i="2" s="1"/>
  <c r="B3166" i="2"/>
  <c r="A3166" i="2"/>
  <c r="U3165" i="2"/>
  <c r="V3165" i="2" s="1"/>
  <c r="B3165" i="2"/>
  <c r="A3165" i="2"/>
  <c r="U3164" i="2"/>
  <c r="V3164" i="2" s="1"/>
  <c r="B3164" i="2"/>
  <c r="A3164" i="2"/>
  <c r="U3163" i="2"/>
  <c r="V3163" i="2" s="1"/>
  <c r="B3163" i="2"/>
  <c r="A3163" i="2"/>
  <c r="U3162" i="2"/>
  <c r="V3162" i="2" s="1"/>
  <c r="B3162" i="2"/>
  <c r="A3162" i="2"/>
  <c r="U3161" i="2"/>
  <c r="V3161" i="2" s="1"/>
  <c r="B3161" i="2"/>
  <c r="A3161" i="2"/>
  <c r="U3160" i="2"/>
  <c r="V3160" i="2" s="1"/>
  <c r="B3160" i="2"/>
  <c r="A3160" i="2"/>
  <c r="U3159" i="2"/>
  <c r="V3159" i="2" s="1"/>
  <c r="B3159" i="2"/>
  <c r="A3159" i="2"/>
  <c r="U3158" i="2"/>
  <c r="V3158" i="2" s="1"/>
  <c r="B3158" i="2"/>
  <c r="A3158" i="2"/>
  <c r="U3157" i="2"/>
  <c r="V3157" i="2" s="1"/>
  <c r="B3157" i="2"/>
  <c r="A3157" i="2"/>
  <c r="U3156" i="2"/>
  <c r="V3156" i="2" s="1"/>
  <c r="B3156" i="2"/>
  <c r="A3156" i="2"/>
  <c r="U3155" i="2"/>
  <c r="V3155" i="2" s="1"/>
  <c r="B3155" i="2"/>
  <c r="A3155" i="2"/>
  <c r="U3154" i="2"/>
  <c r="V3154" i="2" s="1"/>
  <c r="B3154" i="2"/>
  <c r="A3154" i="2"/>
  <c r="U3153" i="2"/>
  <c r="V3153" i="2" s="1"/>
  <c r="B3153" i="2"/>
  <c r="A3153" i="2"/>
  <c r="U3152" i="2"/>
  <c r="V3152" i="2" s="1"/>
  <c r="B3152" i="2"/>
  <c r="A3152" i="2"/>
  <c r="U3151" i="2"/>
  <c r="V3151" i="2" s="1"/>
  <c r="B3151" i="2"/>
  <c r="A3151" i="2"/>
  <c r="U3150" i="2"/>
  <c r="V3150" i="2" s="1"/>
  <c r="B3150" i="2"/>
  <c r="A3150" i="2"/>
  <c r="U3149" i="2"/>
  <c r="V3149" i="2" s="1"/>
  <c r="B3149" i="2"/>
  <c r="A3149" i="2"/>
  <c r="U3148" i="2"/>
  <c r="V3148" i="2" s="1"/>
  <c r="B3148" i="2"/>
  <c r="A3148" i="2"/>
  <c r="U3147" i="2"/>
  <c r="V3147" i="2" s="1"/>
  <c r="B3147" i="2"/>
  <c r="A3147" i="2"/>
  <c r="U3146" i="2"/>
  <c r="V3146" i="2" s="1"/>
  <c r="B3146" i="2"/>
  <c r="A3146" i="2"/>
  <c r="U3145" i="2"/>
  <c r="V3145" i="2" s="1"/>
  <c r="B3145" i="2"/>
  <c r="A3145" i="2"/>
  <c r="U3144" i="2"/>
  <c r="V3144" i="2" s="1"/>
  <c r="B3144" i="2"/>
  <c r="A3144" i="2"/>
  <c r="U3143" i="2"/>
  <c r="V3143" i="2" s="1"/>
  <c r="B3143" i="2"/>
  <c r="A3143" i="2"/>
  <c r="U3142" i="2"/>
  <c r="V3142" i="2" s="1"/>
  <c r="B3142" i="2"/>
  <c r="A3142" i="2"/>
  <c r="U3141" i="2"/>
  <c r="V3141" i="2" s="1"/>
  <c r="B3141" i="2"/>
  <c r="A3141" i="2"/>
  <c r="U3140" i="2"/>
  <c r="V3140" i="2" s="1"/>
  <c r="B3140" i="2"/>
  <c r="A3140" i="2"/>
  <c r="U3139" i="2"/>
  <c r="V3139" i="2" s="1"/>
  <c r="B3139" i="2"/>
  <c r="A3139" i="2"/>
  <c r="U3138" i="2"/>
  <c r="V3138" i="2" s="1"/>
  <c r="B3138" i="2"/>
  <c r="A3138" i="2"/>
  <c r="U3137" i="2"/>
  <c r="V3137" i="2" s="1"/>
  <c r="B3137" i="2"/>
  <c r="A3137" i="2"/>
  <c r="U3136" i="2"/>
  <c r="V3136" i="2" s="1"/>
  <c r="B3136" i="2"/>
  <c r="A3136" i="2"/>
  <c r="U3135" i="2"/>
  <c r="V3135" i="2" s="1"/>
  <c r="B3135" i="2"/>
  <c r="A3135" i="2"/>
  <c r="U3134" i="2"/>
  <c r="V3134" i="2" s="1"/>
  <c r="B3134" i="2"/>
  <c r="A3134" i="2"/>
  <c r="U3133" i="2"/>
  <c r="V3133" i="2" s="1"/>
  <c r="B3133" i="2"/>
  <c r="A3133" i="2"/>
  <c r="U3132" i="2"/>
  <c r="V3132" i="2" s="1"/>
  <c r="B3132" i="2"/>
  <c r="A3132" i="2"/>
  <c r="U3131" i="2"/>
  <c r="V3131" i="2" s="1"/>
  <c r="B3131" i="2"/>
  <c r="A3131" i="2"/>
  <c r="U3130" i="2"/>
  <c r="V3130" i="2" s="1"/>
  <c r="B3130" i="2"/>
  <c r="A3130" i="2"/>
  <c r="U3129" i="2"/>
  <c r="V3129" i="2" s="1"/>
  <c r="B3129" i="2"/>
  <c r="A3129" i="2"/>
  <c r="U3128" i="2"/>
  <c r="V3128" i="2" s="1"/>
  <c r="B3128" i="2"/>
  <c r="A3128" i="2"/>
  <c r="U3127" i="2"/>
  <c r="V3127" i="2" s="1"/>
  <c r="B3127" i="2"/>
  <c r="A3127" i="2"/>
  <c r="U3126" i="2"/>
  <c r="V3126" i="2" s="1"/>
  <c r="B3126" i="2"/>
  <c r="A3126" i="2"/>
  <c r="U3125" i="2"/>
  <c r="V3125" i="2" s="1"/>
  <c r="B3125" i="2"/>
  <c r="A3125" i="2"/>
  <c r="U3124" i="2"/>
  <c r="V3124" i="2" s="1"/>
  <c r="B3124" i="2"/>
  <c r="A3124" i="2"/>
  <c r="U3123" i="2"/>
  <c r="V3123" i="2" s="1"/>
  <c r="B3123" i="2"/>
  <c r="A3123" i="2"/>
  <c r="U3122" i="2"/>
  <c r="V3122" i="2" s="1"/>
  <c r="B3122" i="2"/>
  <c r="A3122" i="2"/>
  <c r="U3121" i="2"/>
  <c r="V3121" i="2" s="1"/>
  <c r="B3121" i="2"/>
  <c r="A3121" i="2"/>
  <c r="U3120" i="2"/>
  <c r="V3120" i="2" s="1"/>
  <c r="B3120" i="2"/>
  <c r="A3120" i="2"/>
  <c r="U3119" i="2"/>
  <c r="V3119" i="2" s="1"/>
  <c r="B3119" i="2"/>
  <c r="A3119" i="2"/>
  <c r="U3118" i="2"/>
  <c r="V3118" i="2" s="1"/>
  <c r="B3118" i="2"/>
  <c r="A3118" i="2"/>
  <c r="U3117" i="2"/>
  <c r="V3117" i="2" s="1"/>
  <c r="B3117" i="2"/>
  <c r="A3117" i="2"/>
  <c r="U3116" i="2"/>
  <c r="V3116" i="2" s="1"/>
  <c r="B3116" i="2"/>
  <c r="A3116" i="2"/>
  <c r="U3115" i="2"/>
  <c r="V3115" i="2" s="1"/>
  <c r="B3115" i="2"/>
  <c r="A3115" i="2"/>
  <c r="U3114" i="2"/>
  <c r="V3114" i="2" s="1"/>
  <c r="B3114" i="2"/>
  <c r="A3114" i="2"/>
  <c r="U3113" i="2"/>
  <c r="V3113" i="2" s="1"/>
  <c r="B3113" i="2"/>
  <c r="A3113" i="2"/>
  <c r="U3112" i="2"/>
  <c r="V3112" i="2" s="1"/>
  <c r="B3112" i="2"/>
  <c r="A3112" i="2"/>
  <c r="U3111" i="2"/>
  <c r="V3111" i="2" s="1"/>
  <c r="B3111" i="2"/>
  <c r="A3111" i="2"/>
  <c r="U3110" i="2"/>
  <c r="V3110" i="2" s="1"/>
  <c r="B3110" i="2"/>
  <c r="A3110" i="2"/>
  <c r="U3109" i="2"/>
  <c r="V3109" i="2" s="1"/>
  <c r="B3109" i="2"/>
  <c r="A3109" i="2"/>
  <c r="U3108" i="2"/>
  <c r="V3108" i="2" s="1"/>
  <c r="B3108" i="2"/>
  <c r="A3108" i="2"/>
  <c r="U3107" i="2"/>
  <c r="V3107" i="2" s="1"/>
  <c r="B3107" i="2"/>
  <c r="A3107" i="2"/>
  <c r="U3106" i="2"/>
  <c r="V3106" i="2" s="1"/>
  <c r="B3106" i="2"/>
  <c r="A3106" i="2"/>
  <c r="U3105" i="2"/>
  <c r="V3105" i="2" s="1"/>
  <c r="B3105" i="2"/>
  <c r="A3105" i="2"/>
  <c r="U3104" i="2"/>
  <c r="V3104" i="2" s="1"/>
  <c r="B3104" i="2"/>
  <c r="A3104" i="2"/>
  <c r="U3103" i="2"/>
  <c r="V3103" i="2" s="1"/>
  <c r="B3103" i="2"/>
  <c r="A3103" i="2"/>
  <c r="U3102" i="2"/>
  <c r="V3102" i="2" s="1"/>
  <c r="B3102" i="2"/>
  <c r="A3102" i="2"/>
  <c r="U3101" i="2"/>
  <c r="V3101" i="2" s="1"/>
  <c r="B3101" i="2"/>
  <c r="A3101" i="2"/>
  <c r="U3100" i="2"/>
  <c r="V3100" i="2" s="1"/>
  <c r="B3100" i="2"/>
  <c r="A3100" i="2"/>
  <c r="U3099" i="2"/>
  <c r="V3099" i="2" s="1"/>
  <c r="B3099" i="2"/>
  <c r="A3099" i="2"/>
  <c r="U3098" i="2"/>
  <c r="V3098" i="2" s="1"/>
  <c r="B3098" i="2"/>
  <c r="A3098" i="2"/>
  <c r="U3097" i="2"/>
  <c r="V3097" i="2" s="1"/>
  <c r="B3097" i="2"/>
  <c r="A3097" i="2"/>
  <c r="U3096" i="2"/>
  <c r="V3096" i="2" s="1"/>
  <c r="B3096" i="2"/>
  <c r="A3096" i="2"/>
  <c r="U3095" i="2"/>
  <c r="V3095" i="2" s="1"/>
  <c r="B3095" i="2"/>
  <c r="A3095" i="2"/>
  <c r="U3094" i="2"/>
  <c r="V3094" i="2" s="1"/>
  <c r="B3094" i="2"/>
  <c r="A3094" i="2"/>
  <c r="U3093" i="2"/>
  <c r="V3093" i="2" s="1"/>
  <c r="B3093" i="2"/>
  <c r="A3093" i="2"/>
  <c r="U3092" i="2"/>
  <c r="V3092" i="2" s="1"/>
  <c r="B3092" i="2"/>
  <c r="A3092" i="2"/>
  <c r="U3091" i="2"/>
  <c r="V3091" i="2" s="1"/>
  <c r="B3091" i="2"/>
  <c r="A3091" i="2"/>
  <c r="U3090" i="2"/>
  <c r="V3090" i="2" s="1"/>
  <c r="B3090" i="2"/>
  <c r="A3090" i="2"/>
  <c r="U3089" i="2"/>
  <c r="V3089" i="2" s="1"/>
  <c r="B3089" i="2"/>
  <c r="A3089" i="2"/>
  <c r="U3088" i="2"/>
  <c r="V3088" i="2" s="1"/>
  <c r="B3088" i="2"/>
  <c r="A3088" i="2"/>
  <c r="U3087" i="2"/>
  <c r="V3087" i="2" s="1"/>
  <c r="B3087" i="2"/>
  <c r="A3087" i="2"/>
  <c r="U3086" i="2"/>
  <c r="V3086" i="2" s="1"/>
  <c r="B3086" i="2"/>
  <c r="A3086" i="2"/>
  <c r="U3085" i="2"/>
  <c r="V3085" i="2" s="1"/>
  <c r="B3085" i="2"/>
  <c r="A3085" i="2"/>
  <c r="U3084" i="2"/>
  <c r="V3084" i="2" s="1"/>
  <c r="B3084" i="2"/>
  <c r="A3084" i="2"/>
  <c r="U3083" i="2"/>
  <c r="V3083" i="2" s="1"/>
  <c r="B3083" i="2"/>
  <c r="A3083" i="2"/>
  <c r="U3082" i="2"/>
  <c r="V3082" i="2" s="1"/>
  <c r="B3082" i="2"/>
  <c r="A3082" i="2"/>
  <c r="U3081" i="2"/>
  <c r="V3081" i="2" s="1"/>
  <c r="B3081" i="2"/>
  <c r="A3081" i="2"/>
  <c r="U3080" i="2"/>
  <c r="V3080" i="2" s="1"/>
  <c r="B3080" i="2"/>
  <c r="A3080" i="2"/>
  <c r="U3079" i="2"/>
  <c r="V3079" i="2" s="1"/>
  <c r="B3079" i="2"/>
  <c r="A3079" i="2"/>
  <c r="U3078" i="2"/>
  <c r="V3078" i="2" s="1"/>
  <c r="B3078" i="2"/>
  <c r="A3078" i="2"/>
  <c r="U3077" i="2"/>
  <c r="V3077" i="2" s="1"/>
  <c r="B3077" i="2"/>
  <c r="A3077" i="2"/>
  <c r="U3076" i="2"/>
  <c r="V3076" i="2" s="1"/>
  <c r="B3076" i="2"/>
  <c r="A3076" i="2"/>
  <c r="U3075" i="2"/>
  <c r="V3075" i="2" s="1"/>
  <c r="B3075" i="2"/>
  <c r="A3075" i="2"/>
  <c r="U3074" i="2"/>
  <c r="V3074" i="2" s="1"/>
  <c r="B3074" i="2"/>
  <c r="A3074" i="2"/>
  <c r="U3073" i="2"/>
  <c r="V3073" i="2" s="1"/>
  <c r="B3073" i="2"/>
  <c r="A3073" i="2"/>
  <c r="U3072" i="2"/>
  <c r="V3072" i="2" s="1"/>
  <c r="B3072" i="2"/>
  <c r="A3072" i="2"/>
  <c r="U3071" i="2"/>
  <c r="V3071" i="2" s="1"/>
  <c r="B3071" i="2"/>
  <c r="A3071" i="2"/>
  <c r="U3070" i="2"/>
  <c r="V3070" i="2" s="1"/>
  <c r="B3070" i="2"/>
  <c r="A3070" i="2"/>
  <c r="U3069" i="2"/>
  <c r="V3069" i="2" s="1"/>
  <c r="B3069" i="2"/>
  <c r="A3069" i="2"/>
  <c r="U3068" i="2"/>
  <c r="V3068" i="2" s="1"/>
  <c r="B3068" i="2"/>
  <c r="A3068" i="2"/>
  <c r="U3067" i="2"/>
  <c r="V3067" i="2" s="1"/>
  <c r="B3067" i="2"/>
  <c r="A3067" i="2"/>
  <c r="U3066" i="2"/>
  <c r="V3066" i="2" s="1"/>
  <c r="B3066" i="2"/>
  <c r="A3066" i="2"/>
  <c r="U3065" i="2"/>
  <c r="V3065" i="2" s="1"/>
  <c r="B3065" i="2"/>
  <c r="A3065" i="2"/>
  <c r="U3064" i="2"/>
  <c r="V3064" i="2" s="1"/>
  <c r="B3064" i="2"/>
  <c r="A3064" i="2"/>
  <c r="U3063" i="2"/>
  <c r="V3063" i="2" s="1"/>
  <c r="B3063" i="2"/>
  <c r="A3063" i="2"/>
  <c r="U3062" i="2"/>
  <c r="V3062" i="2" s="1"/>
  <c r="B3062" i="2"/>
  <c r="A3062" i="2"/>
  <c r="U3061" i="2"/>
  <c r="V3061" i="2" s="1"/>
  <c r="B3061" i="2"/>
  <c r="A3061" i="2"/>
  <c r="U3060" i="2"/>
  <c r="V3060" i="2" s="1"/>
  <c r="B3060" i="2"/>
  <c r="A3060" i="2"/>
  <c r="U3059" i="2"/>
  <c r="V3059" i="2" s="1"/>
  <c r="B3059" i="2"/>
  <c r="A3059" i="2"/>
  <c r="U3058" i="2"/>
  <c r="V3058" i="2" s="1"/>
  <c r="B3058" i="2"/>
  <c r="A3058" i="2"/>
  <c r="U3057" i="2"/>
  <c r="V3057" i="2" s="1"/>
  <c r="B3057" i="2"/>
  <c r="A3057" i="2"/>
  <c r="U3056" i="2"/>
  <c r="V3056" i="2" s="1"/>
  <c r="B3056" i="2"/>
  <c r="A3056" i="2"/>
  <c r="U3055" i="2"/>
  <c r="V3055" i="2" s="1"/>
  <c r="B3055" i="2"/>
  <c r="A3055" i="2"/>
  <c r="U3054" i="2"/>
  <c r="V3054" i="2" s="1"/>
  <c r="B3054" i="2"/>
  <c r="A3054" i="2"/>
  <c r="U3053" i="2"/>
  <c r="V3053" i="2" s="1"/>
  <c r="B3053" i="2"/>
  <c r="A3053" i="2"/>
  <c r="U3052" i="2"/>
  <c r="V3052" i="2" s="1"/>
  <c r="B3052" i="2"/>
  <c r="A3052" i="2"/>
  <c r="U3051" i="2"/>
  <c r="V3051" i="2" s="1"/>
  <c r="B3051" i="2"/>
  <c r="A3051" i="2"/>
  <c r="U3050" i="2"/>
  <c r="V3050" i="2" s="1"/>
  <c r="B3050" i="2"/>
  <c r="A3050" i="2"/>
  <c r="U3049" i="2"/>
  <c r="V3049" i="2" s="1"/>
  <c r="B3049" i="2"/>
  <c r="A3049" i="2"/>
  <c r="U3048" i="2"/>
  <c r="V3048" i="2" s="1"/>
  <c r="B3048" i="2"/>
  <c r="A3048" i="2"/>
  <c r="U3047" i="2"/>
  <c r="V3047" i="2" s="1"/>
  <c r="B3047" i="2"/>
  <c r="A3047" i="2"/>
  <c r="U3046" i="2"/>
  <c r="V3046" i="2" s="1"/>
  <c r="B3046" i="2"/>
  <c r="A3046" i="2"/>
  <c r="U3045" i="2"/>
  <c r="V3045" i="2" s="1"/>
  <c r="B3045" i="2"/>
  <c r="A3045" i="2"/>
  <c r="U3044" i="2"/>
  <c r="V3044" i="2" s="1"/>
  <c r="B3044" i="2"/>
  <c r="A3044" i="2"/>
  <c r="U3043" i="2"/>
  <c r="V3043" i="2" s="1"/>
  <c r="B3043" i="2"/>
  <c r="A3043" i="2"/>
  <c r="U3042" i="2"/>
  <c r="V3042" i="2" s="1"/>
  <c r="B3042" i="2"/>
  <c r="A3042" i="2"/>
  <c r="U3041" i="2"/>
  <c r="V3041" i="2" s="1"/>
  <c r="B3041" i="2"/>
  <c r="A3041" i="2"/>
  <c r="U3040" i="2"/>
  <c r="V3040" i="2" s="1"/>
  <c r="B3040" i="2"/>
  <c r="A3040" i="2"/>
  <c r="U3039" i="2"/>
  <c r="V3039" i="2" s="1"/>
  <c r="B3039" i="2"/>
  <c r="A3039" i="2"/>
  <c r="U3038" i="2"/>
  <c r="V3038" i="2" s="1"/>
  <c r="B3038" i="2"/>
  <c r="A3038" i="2"/>
  <c r="U3037" i="2"/>
  <c r="V3037" i="2" s="1"/>
  <c r="B3037" i="2"/>
  <c r="A3037" i="2"/>
  <c r="U3036" i="2"/>
  <c r="V3036" i="2" s="1"/>
  <c r="B3036" i="2"/>
  <c r="A3036" i="2"/>
  <c r="U3035" i="2"/>
  <c r="V3035" i="2" s="1"/>
  <c r="B3035" i="2"/>
  <c r="A3035" i="2"/>
  <c r="U3034" i="2"/>
  <c r="V3034" i="2" s="1"/>
  <c r="B3034" i="2"/>
  <c r="A3034" i="2"/>
  <c r="U3033" i="2"/>
  <c r="V3033" i="2" s="1"/>
  <c r="B3033" i="2"/>
  <c r="A3033" i="2"/>
  <c r="U3032" i="2"/>
  <c r="V3032" i="2" s="1"/>
  <c r="B3032" i="2"/>
  <c r="A3032" i="2"/>
  <c r="U3031" i="2"/>
  <c r="V3031" i="2" s="1"/>
  <c r="B3031" i="2"/>
  <c r="A3031" i="2"/>
  <c r="U3030" i="2"/>
  <c r="V3030" i="2" s="1"/>
  <c r="B3030" i="2"/>
  <c r="A3030" i="2"/>
  <c r="U3029" i="2"/>
  <c r="V3029" i="2" s="1"/>
  <c r="B3029" i="2"/>
  <c r="A3029" i="2"/>
  <c r="U3028" i="2"/>
  <c r="V3028" i="2" s="1"/>
  <c r="B3028" i="2"/>
  <c r="A3028" i="2"/>
  <c r="U3027" i="2"/>
  <c r="V3027" i="2" s="1"/>
  <c r="B3027" i="2"/>
  <c r="A3027" i="2"/>
  <c r="U3026" i="2"/>
  <c r="V3026" i="2" s="1"/>
  <c r="B3026" i="2"/>
  <c r="A3026" i="2"/>
  <c r="U3025" i="2"/>
  <c r="V3025" i="2" s="1"/>
  <c r="B3025" i="2"/>
  <c r="A3025" i="2"/>
  <c r="U3024" i="2"/>
  <c r="V3024" i="2" s="1"/>
  <c r="B3024" i="2"/>
  <c r="A3024" i="2"/>
  <c r="U3023" i="2"/>
  <c r="V3023" i="2" s="1"/>
  <c r="B3023" i="2"/>
  <c r="A3023" i="2"/>
  <c r="U3022" i="2"/>
  <c r="V3022" i="2" s="1"/>
  <c r="B3022" i="2"/>
  <c r="A3022" i="2"/>
  <c r="U3021" i="2"/>
  <c r="V3021" i="2" s="1"/>
  <c r="B3021" i="2"/>
  <c r="A3021" i="2"/>
  <c r="U3020" i="2"/>
  <c r="V3020" i="2" s="1"/>
  <c r="B3020" i="2"/>
  <c r="A3020" i="2"/>
  <c r="U3019" i="2"/>
  <c r="V3019" i="2" s="1"/>
  <c r="B3019" i="2"/>
  <c r="A3019" i="2"/>
  <c r="U3018" i="2"/>
  <c r="V3018" i="2" s="1"/>
  <c r="B3018" i="2"/>
  <c r="A3018" i="2"/>
  <c r="U3017" i="2"/>
  <c r="V3017" i="2" s="1"/>
  <c r="B3017" i="2"/>
  <c r="A3017" i="2"/>
  <c r="U3016" i="2"/>
  <c r="V3016" i="2" s="1"/>
  <c r="B3016" i="2"/>
  <c r="A3016" i="2"/>
  <c r="U3015" i="2"/>
  <c r="V3015" i="2" s="1"/>
  <c r="B3015" i="2"/>
  <c r="A3015" i="2"/>
  <c r="U3014" i="2"/>
  <c r="V3014" i="2" s="1"/>
  <c r="B3014" i="2"/>
  <c r="A3014" i="2"/>
  <c r="U3013" i="2"/>
  <c r="V3013" i="2" s="1"/>
  <c r="B3013" i="2"/>
  <c r="A3013" i="2"/>
  <c r="U3012" i="2"/>
  <c r="V3012" i="2" s="1"/>
  <c r="B3012" i="2"/>
  <c r="A3012" i="2"/>
  <c r="U3011" i="2"/>
  <c r="V3011" i="2" s="1"/>
  <c r="B3011" i="2"/>
  <c r="A3011" i="2"/>
  <c r="U3010" i="2"/>
  <c r="V3010" i="2" s="1"/>
  <c r="B3010" i="2"/>
  <c r="A3010" i="2"/>
  <c r="U3009" i="2"/>
  <c r="V3009" i="2" s="1"/>
  <c r="B3009" i="2"/>
  <c r="A3009" i="2"/>
  <c r="U3008" i="2"/>
  <c r="V3008" i="2" s="1"/>
  <c r="B3008" i="2"/>
  <c r="A3008" i="2"/>
  <c r="U3007" i="2"/>
  <c r="V3007" i="2" s="1"/>
  <c r="B3007" i="2"/>
  <c r="A3007" i="2"/>
  <c r="U3006" i="2"/>
  <c r="V3006" i="2" s="1"/>
  <c r="B3006" i="2"/>
  <c r="A3006" i="2"/>
  <c r="U3005" i="2"/>
  <c r="V3005" i="2" s="1"/>
  <c r="B3005" i="2"/>
  <c r="A3005" i="2"/>
  <c r="U3004" i="2"/>
  <c r="V3004" i="2" s="1"/>
  <c r="B3004" i="2"/>
  <c r="A3004" i="2"/>
  <c r="U3003" i="2"/>
  <c r="V3003" i="2" s="1"/>
  <c r="B3003" i="2"/>
  <c r="A3003" i="2"/>
  <c r="U3002" i="2"/>
  <c r="V3002" i="2" s="1"/>
  <c r="B3002" i="2"/>
  <c r="A3002" i="2"/>
  <c r="U3001" i="2"/>
  <c r="V3001" i="2" s="1"/>
  <c r="B3001" i="2"/>
  <c r="A3001" i="2"/>
  <c r="U3000" i="2"/>
  <c r="V3000" i="2" s="1"/>
  <c r="B3000" i="2"/>
  <c r="A3000" i="2"/>
  <c r="U2999" i="2"/>
  <c r="V2999" i="2" s="1"/>
  <c r="B2999" i="2"/>
  <c r="A2999" i="2"/>
  <c r="U2998" i="2"/>
  <c r="V2998" i="2" s="1"/>
  <c r="B2998" i="2"/>
  <c r="A2998" i="2"/>
  <c r="U2997" i="2"/>
  <c r="V2997" i="2" s="1"/>
  <c r="B2997" i="2"/>
  <c r="A2997" i="2"/>
  <c r="U2996" i="2"/>
  <c r="V2996" i="2" s="1"/>
  <c r="B2996" i="2"/>
  <c r="A2996" i="2"/>
  <c r="U2995" i="2"/>
  <c r="V2995" i="2" s="1"/>
  <c r="B2995" i="2"/>
  <c r="A2995" i="2"/>
  <c r="U2994" i="2"/>
  <c r="V2994" i="2" s="1"/>
  <c r="B2994" i="2"/>
  <c r="A2994" i="2"/>
  <c r="U2993" i="2"/>
  <c r="V2993" i="2" s="1"/>
  <c r="B2993" i="2"/>
  <c r="A2993" i="2"/>
  <c r="U2992" i="2"/>
  <c r="V2992" i="2" s="1"/>
  <c r="B2992" i="2"/>
  <c r="A2992" i="2"/>
  <c r="U2991" i="2"/>
  <c r="V2991" i="2" s="1"/>
  <c r="B2991" i="2"/>
  <c r="A2991" i="2"/>
  <c r="U2990" i="2"/>
  <c r="V2990" i="2" s="1"/>
  <c r="B2990" i="2"/>
  <c r="A2990" i="2"/>
  <c r="U2989" i="2"/>
  <c r="V2989" i="2" s="1"/>
  <c r="B2989" i="2"/>
  <c r="A2989" i="2"/>
  <c r="U2988" i="2"/>
  <c r="V2988" i="2" s="1"/>
  <c r="B2988" i="2"/>
  <c r="A2988" i="2"/>
  <c r="U2987" i="2"/>
  <c r="V2987" i="2" s="1"/>
  <c r="B2987" i="2"/>
  <c r="A2987" i="2"/>
  <c r="U2986" i="2"/>
  <c r="V2986" i="2" s="1"/>
  <c r="B2986" i="2"/>
  <c r="A2986" i="2"/>
  <c r="U2985" i="2"/>
  <c r="V2985" i="2" s="1"/>
  <c r="B2985" i="2"/>
  <c r="A2985" i="2"/>
  <c r="U2984" i="2"/>
  <c r="V2984" i="2" s="1"/>
  <c r="B2984" i="2"/>
  <c r="A2984" i="2"/>
  <c r="U2983" i="2"/>
  <c r="V2983" i="2" s="1"/>
  <c r="B2983" i="2"/>
  <c r="A2983" i="2"/>
  <c r="U2982" i="2"/>
  <c r="V2982" i="2" s="1"/>
  <c r="B2982" i="2"/>
  <c r="A2982" i="2"/>
  <c r="U2981" i="2"/>
  <c r="V2981" i="2" s="1"/>
  <c r="B2981" i="2"/>
  <c r="A2981" i="2"/>
  <c r="U2980" i="2"/>
  <c r="V2980" i="2" s="1"/>
  <c r="B2980" i="2"/>
  <c r="A2980" i="2"/>
  <c r="U2979" i="2"/>
  <c r="V2979" i="2" s="1"/>
  <c r="B2979" i="2"/>
  <c r="A2979" i="2"/>
  <c r="U2978" i="2"/>
  <c r="V2978" i="2" s="1"/>
  <c r="B2978" i="2"/>
  <c r="A2978" i="2"/>
  <c r="U2977" i="2"/>
  <c r="V2977" i="2" s="1"/>
  <c r="B2977" i="2"/>
  <c r="A2977" i="2"/>
  <c r="U2976" i="2"/>
  <c r="V2976" i="2" s="1"/>
  <c r="B2976" i="2"/>
  <c r="A2976" i="2"/>
  <c r="U2975" i="2"/>
  <c r="V2975" i="2" s="1"/>
  <c r="B2975" i="2"/>
  <c r="A2975" i="2"/>
  <c r="U2974" i="2"/>
  <c r="V2974" i="2" s="1"/>
  <c r="B2974" i="2"/>
  <c r="A2974" i="2"/>
  <c r="U2973" i="2"/>
  <c r="V2973" i="2" s="1"/>
  <c r="B2973" i="2"/>
  <c r="A2973" i="2"/>
  <c r="U2972" i="2"/>
  <c r="V2972" i="2" s="1"/>
  <c r="B2972" i="2"/>
  <c r="A2972" i="2"/>
  <c r="U2971" i="2"/>
  <c r="V2971" i="2" s="1"/>
  <c r="B2971" i="2"/>
  <c r="A2971" i="2"/>
  <c r="U2970" i="2"/>
  <c r="V2970" i="2" s="1"/>
  <c r="B2970" i="2"/>
  <c r="A2970" i="2"/>
  <c r="U2969" i="2"/>
  <c r="V2969" i="2" s="1"/>
  <c r="B2969" i="2"/>
  <c r="A2969" i="2"/>
  <c r="U2968" i="2"/>
  <c r="V2968" i="2" s="1"/>
  <c r="B2968" i="2"/>
  <c r="A2968" i="2"/>
  <c r="U2967" i="2"/>
  <c r="V2967" i="2" s="1"/>
  <c r="B2967" i="2"/>
  <c r="A2967" i="2"/>
  <c r="U2966" i="2"/>
  <c r="V2966" i="2" s="1"/>
  <c r="B2966" i="2"/>
  <c r="A2966" i="2"/>
  <c r="U2965" i="2"/>
  <c r="V2965" i="2" s="1"/>
  <c r="B2965" i="2"/>
  <c r="A2965" i="2"/>
  <c r="U2964" i="2"/>
  <c r="V2964" i="2" s="1"/>
  <c r="B2964" i="2"/>
  <c r="A2964" i="2"/>
  <c r="U2963" i="2"/>
  <c r="V2963" i="2" s="1"/>
  <c r="B2963" i="2"/>
  <c r="A2963" i="2"/>
  <c r="U2962" i="2"/>
  <c r="V2962" i="2" s="1"/>
  <c r="B2962" i="2"/>
  <c r="A2962" i="2"/>
  <c r="U2961" i="2"/>
  <c r="V2961" i="2" s="1"/>
  <c r="B2961" i="2"/>
  <c r="A2961" i="2"/>
  <c r="U2960" i="2"/>
  <c r="V2960" i="2" s="1"/>
  <c r="B2960" i="2"/>
  <c r="A2960" i="2"/>
  <c r="U2959" i="2"/>
  <c r="V2959" i="2" s="1"/>
  <c r="B2959" i="2"/>
  <c r="A2959" i="2"/>
  <c r="U2958" i="2"/>
  <c r="V2958" i="2" s="1"/>
  <c r="B2958" i="2"/>
  <c r="A2958" i="2"/>
  <c r="U2957" i="2"/>
  <c r="V2957" i="2" s="1"/>
  <c r="B2957" i="2"/>
  <c r="A2957" i="2"/>
  <c r="U2956" i="2"/>
  <c r="V2956" i="2" s="1"/>
  <c r="B2956" i="2"/>
  <c r="A2956" i="2"/>
  <c r="U2955" i="2"/>
  <c r="V2955" i="2" s="1"/>
  <c r="B2955" i="2"/>
  <c r="A2955" i="2"/>
  <c r="U2954" i="2"/>
  <c r="V2954" i="2" s="1"/>
  <c r="B2954" i="2"/>
  <c r="A2954" i="2"/>
  <c r="U2953" i="2"/>
  <c r="V2953" i="2" s="1"/>
  <c r="B2953" i="2"/>
  <c r="A2953" i="2"/>
  <c r="U2952" i="2"/>
  <c r="V2952" i="2" s="1"/>
  <c r="B2952" i="2"/>
  <c r="A2952" i="2"/>
  <c r="U2951" i="2"/>
  <c r="V2951" i="2" s="1"/>
  <c r="B2951" i="2"/>
  <c r="A2951" i="2"/>
  <c r="U2950" i="2"/>
  <c r="V2950" i="2" s="1"/>
  <c r="B2950" i="2"/>
  <c r="A2950" i="2"/>
  <c r="U2949" i="2"/>
  <c r="V2949" i="2" s="1"/>
  <c r="B2949" i="2"/>
  <c r="A2949" i="2"/>
  <c r="U2948" i="2"/>
  <c r="V2948" i="2" s="1"/>
  <c r="B2948" i="2"/>
  <c r="A2948" i="2"/>
  <c r="U2947" i="2"/>
  <c r="V2947" i="2" s="1"/>
  <c r="B2947" i="2"/>
  <c r="A2947" i="2"/>
  <c r="U2946" i="2"/>
  <c r="V2946" i="2" s="1"/>
  <c r="B2946" i="2"/>
  <c r="A2946" i="2"/>
  <c r="U2945" i="2"/>
  <c r="V2945" i="2" s="1"/>
  <c r="B2945" i="2"/>
  <c r="A2945" i="2"/>
  <c r="U2944" i="2"/>
  <c r="V2944" i="2" s="1"/>
  <c r="B2944" i="2"/>
  <c r="A2944" i="2"/>
  <c r="U2943" i="2"/>
  <c r="V2943" i="2" s="1"/>
  <c r="B2943" i="2"/>
  <c r="A2943" i="2"/>
  <c r="U2942" i="2"/>
  <c r="V2942" i="2" s="1"/>
  <c r="B2942" i="2"/>
  <c r="A2942" i="2"/>
  <c r="U2941" i="2"/>
  <c r="V2941" i="2" s="1"/>
  <c r="B2941" i="2"/>
  <c r="A2941" i="2"/>
  <c r="U2940" i="2"/>
  <c r="V2940" i="2" s="1"/>
  <c r="B2940" i="2"/>
  <c r="A2940" i="2"/>
  <c r="U2939" i="2"/>
  <c r="V2939" i="2" s="1"/>
  <c r="B2939" i="2"/>
  <c r="A2939" i="2"/>
  <c r="U2938" i="2"/>
  <c r="V2938" i="2" s="1"/>
  <c r="B2938" i="2"/>
  <c r="A2938" i="2"/>
  <c r="U2937" i="2"/>
  <c r="V2937" i="2" s="1"/>
  <c r="B2937" i="2"/>
  <c r="A2937" i="2"/>
  <c r="U2936" i="2"/>
  <c r="V2936" i="2" s="1"/>
  <c r="B2936" i="2"/>
  <c r="A2936" i="2"/>
  <c r="U2935" i="2"/>
  <c r="V2935" i="2" s="1"/>
  <c r="B2935" i="2"/>
  <c r="A2935" i="2"/>
  <c r="U2934" i="2"/>
  <c r="V2934" i="2" s="1"/>
  <c r="B2934" i="2"/>
  <c r="A2934" i="2"/>
  <c r="U2933" i="2"/>
  <c r="V2933" i="2" s="1"/>
  <c r="B2933" i="2"/>
  <c r="A2933" i="2"/>
  <c r="U2932" i="2"/>
  <c r="V2932" i="2" s="1"/>
  <c r="B2932" i="2"/>
  <c r="A2932" i="2"/>
  <c r="U2931" i="2"/>
  <c r="V2931" i="2" s="1"/>
  <c r="B2931" i="2"/>
  <c r="A2931" i="2"/>
  <c r="U2930" i="2"/>
  <c r="V2930" i="2" s="1"/>
  <c r="B2930" i="2"/>
  <c r="A2930" i="2"/>
  <c r="U2929" i="2"/>
  <c r="V2929" i="2" s="1"/>
  <c r="B2929" i="2"/>
  <c r="A2929" i="2"/>
  <c r="U2928" i="2"/>
  <c r="V2928" i="2" s="1"/>
  <c r="B2928" i="2"/>
  <c r="A2928" i="2"/>
  <c r="U2927" i="2"/>
  <c r="V2927" i="2" s="1"/>
  <c r="B2927" i="2"/>
  <c r="A2927" i="2"/>
  <c r="U2926" i="2"/>
  <c r="V2926" i="2" s="1"/>
  <c r="B2926" i="2"/>
  <c r="A2926" i="2"/>
  <c r="U2925" i="2"/>
  <c r="V2925" i="2" s="1"/>
  <c r="B2925" i="2"/>
  <c r="A2925" i="2"/>
  <c r="U2924" i="2"/>
  <c r="V2924" i="2" s="1"/>
  <c r="B2924" i="2"/>
  <c r="A2924" i="2"/>
  <c r="U2923" i="2"/>
  <c r="V2923" i="2" s="1"/>
  <c r="B2923" i="2"/>
  <c r="A2923" i="2"/>
  <c r="U2922" i="2"/>
  <c r="V2922" i="2" s="1"/>
  <c r="B2922" i="2"/>
  <c r="A2922" i="2"/>
  <c r="U2921" i="2"/>
  <c r="V2921" i="2" s="1"/>
  <c r="B2921" i="2"/>
  <c r="A2921" i="2"/>
  <c r="U2920" i="2"/>
  <c r="V2920" i="2" s="1"/>
  <c r="B2920" i="2"/>
  <c r="A2920" i="2"/>
  <c r="U2919" i="2"/>
  <c r="V2919" i="2" s="1"/>
  <c r="B2919" i="2"/>
  <c r="A2919" i="2"/>
  <c r="U2918" i="2"/>
  <c r="V2918" i="2" s="1"/>
  <c r="B2918" i="2"/>
  <c r="A2918" i="2"/>
  <c r="U2917" i="2"/>
  <c r="V2917" i="2" s="1"/>
  <c r="B2917" i="2"/>
  <c r="A2917" i="2"/>
  <c r="U2916" i="2"/>
  <c r="V2916" i="2" s="1"/>
  <c r="B2916" i="2"/>
  <c r="A2916" i="2"/>
  <c r="U2915" i="2"/>
  <c r="V2915" i="2" s="1"/>
  <c r="B2915" i="2"/>
  <c r="A2915" i="2"/>
  <c r="U2914" i="2"/>
  <c r="V2914" i="2" s="1"/>
  <c r="B2914" i="2"/>
  <c r="A2914" i="2"/>
  <c r="U2913" i="2"/>
  <c r="V2913" i="2" s="1"/>
  <c r="B2913" i="2"/>
  <c r="A2913" i="2"/>
  <c r="U2912" i="2"/>
  <c r="V2912" i="2" s="1"/>
  <c r="B2912" i="2"/>
  <c r="A2912" i="2"/>
  <c r="U2911" i="2"/>
  <c r="V2911" i="2" s="1"/>
  <c r="B2911" i="2"/>
  <c r="A2911" i="2"/>
  <c r="U2910" i="2"/>
  <c r="V2910" i="2" s="1"/>
  <c r="B2910" i="2"/>
  <c r="A2910" i="2"/>
  <c r="U2909" i="2"/>
  <c r="V2909" i="2" s="1"/>
  <c r="B2909" i="2"/>
  <c r="A2909" i="2"/>
  <c r="U2908" i="2"/>
  <c r="V2908" i="2" s="1"/>
  <c r="B2908" i="2"/>
  <c r="A2908" i="2"/>
  <c r="U2907" i="2"/>
  <c r="V2907" i="2" s="1"/>
  <c r="B2907" i="2"/>
  <c r="A2907" i="2"/>
  <c r="U2906" i="2"/>
  <c r="V2906" i="2" s="1"/>
  <c r="B2906" i="2"/>
  <c r="A2906" i="2"/>
  <c r="U2905" i="2"/>
  <c r="V2905" i="2" s="1"/>
  <c r="B2905" i="2"/>
  <c r="A2905" i="2"/>
  <c r="U2904" i="2"/>
  <c r="V2904" i="2" s="1"/>
  <c r="B2904" i="2"/>
  <c r="A2904" i="2"/>
  <c r="U2903" i="2"/>
  <c r="V2903" i="2" s="1"/>
  <c r="B2903" i="2"/>
  <c r="A2903" i="2"/>
  <c r="U2902" i="2"/>
  <c r="V2902" i="2" s="1"/>
  <c r="B2902" i="2"/>
  <c r="A2902" i="2"/>
  <c r="U2901" i="2"/>
  <c r="V2901" i="2" s="1"/>
  <c r="B2901" i="2"/>
  <c r="A2901" i="2"/>
  <c r="U2900" i="2"/>
  <c r="V2900" i="2" s="1"/>
  <c r="B2900" i="2"/>
  <c r="A2900" i="2"/>
  <c r="U2899" i="2"/>
  <c r="V2899" i="2" s="1"/>
  <c r="B2899" i="2"/>
  <c r="A2899" i="2"/>
  <c r="U2898" i="2"/>
  <c r="V2898" i="2" s="1"/>
  <c r="B2898" i="2"/>
  <c r="A2898" i="2"/>
  <c r="U2897" i="2"/>
  <c r="V2897" i="2" s="1"/>
  <c r="B2897" i="2"/>
  <c r="A2897" i="2"/>
  <c r="U2896" i="2"/>
  <c r="V2896" i="2" s="1"/>
  <c r="B2896" i="2"/>
  <c r="A2896" i="2"/>
  <c r="U2895" i="2"/>
  <c r="V2895" i="2" s="1"/>
  <c r="B2895" i="2"/>
  <c r="A2895" i="2"/>
  <c r="U2894" i="2"/>
  <c r="V2894" i="2" s="1"/>
  <c r="B2894" i="2"/>
  <c r="A2894" i="2"/>
  <c r="U2893" i="2"/>
  <c r="V2893" i="2" s="1"/>
  <c r="B2893" i="2"/>
  <c r="A2893" i="2"/>
  <c r="U2892" i="2"/>
  <c r="V2892" i="2" s="1"/>
  <c r="B2892" i="2"/>
  <c r="A2892" i="2"/>
  <c r="U2891" i="2"/>
  <c r="V2891" i="2" s="1"/>
  <c r="B2891" i="2"/>
  <c r="A2891" i="2"/>
  <c r="U2890" i="2"/>
  <c r="V2890" i="2" s="1"/>
  <c r="B2890" i="2"/>
  <c r="A2890" i="2"/>
  <c r="U2889" i="2"/>
  <c r="V2889" i="2" s="1"/>
  <c r="B2889" i="2"/>
  <c r="A2889" i="2"/>
  <c r="U2888" i="2"/>
  <c r="V2888" i="2" s="1"/>
  <c r="B2888" i="2"/>
  <c r="A2888" i="2"/>
  <c r="U2887" i="2"/>
  <c r="V2887" i="2" s="1"/>
  <c r="B2887" i="2"/>
  <c r="A2887" i="2"/>
  <c r="U2886" i="2"/>
  <c r="V2886" i="2" s="1"/>
  <c r="B2886" i="2"/>
  <c r="A2886" i="2"/>
  <c r="U2885" i="2"/>
  <c r="V2885" i="2" s="1"/>
  <c r="B2885" i="2"/>
  <c r="A2885" i="2"/>
  <c r="U2884" i="2"/>
  <c r="V2884" i="2" s="1"/>
  <c r="B2884" i="2"/>
  <c r="A2884" i="2"/>
  <c r="U2883" i="2"/>
  <c r="V2883" i="2" s="1"/>
  <c r="B2883" i="2"/>
  <c r="A2883" i="2"/>
  <c r="U2882" i="2"/>
  <c r="V2882" i="2" s="1"/>
  <c r="B2882" i="2"/>
  <c r="A2882" i="2"/>
  <c r="U2881" i="2"/>
  <c r="V2881" i="2" s="1"/>
  <c r="B2881" i="2"/>
  <c r="A2881" i="2"/>
  <c r="U2880" i="2"/>
  <c r="V2880" i="2" s="1"/>
  <c r="B2880" i="2"/>
  <c r="A2880" i="2"/>
  <c r="U2879" i="2"/>
  <c r="V2879" i="2" s="1"/>
  <c r="B2879" i="2"/>
  <c r="A2879" i="2"/>
  <c r="U2878" i="2"/>
  <c r="V2878" i="2" s="1"/>
  <c r="B2878" i="2"/>
  <c r="A2878" i="2"/>
  <c r="U2877" i="2"/>
  <c r="V2877" i="2" s="1"/>
  <c r="B2877" i="2"/>
  <c r="A2877" i="2"/>
  <c r="U2876" i="2"/>
  <c r="V2876" i="2" s="1"/>
  <c r="B2876" i="2"/>
  <c r="A2876" i="2"/>
  <c r="U2875" i="2"/>
  <c r="V2875" i="2" s="1"/>
  <c r="B2875" i="2"/>
  <c r="A2875" i="2"/>
  <c r="U2874" i="2"/>
  <c r="V2874" i="2" s="1"/>
  <c r="B2874" i="2"/>
  <c r="A2874" i="2"/>
  <c r="U2873" i="2"/>
  <c r="V2873" i="2" s="1"/>
  <c r="B2873" i="2"/>
  <c r="A2873" i="2"/>
  <c r="U2872" i="2"/>
  <c r="V2872" i="2" s="1"/>
  <c r="B2872" i="2"/>
  <c r="A2872" i="2"/>
  <c r="U2871" i="2"/>
  <c r="V2871" i="2" s="1"/>
  <c r="B2871" i="2"/>
  <c r="A2871" i="2"/>
  <c r="U2870" i="2"/>
  <c r="V2870" i="2" s="1"/>
  <c r="B2870" i="2"/>
  <c r="A2870" i="2"/>
  <c r="U2869" i="2"/>
  <c r="V2869" i="2" s="1"/>
  <c r="B2869" i="2"/>
  <c r="A2869" i="2"/>
  <c r="U2868" i="2"/>
  <c r="V2868" i="2" s="1"/>
  <c r="B2868" i="2"/>
  <c r="A2868" i="2"/>
  <c r="U2867" i="2"/>
  <c r="V2867" i="2" s="1"/>
  <c r="B2867" i="2"/>
  <c r="A2867" i="2"/>
  <c r="U2866" i="2"/>
  <c r="V2866" i="2" s="1"/>
  <c r="B2866" i="2"/>
  <c r="A2866" i="2"/>
  <c r="U2865" i="2"/>
  <c r="V2865" i="2" s="1"/>
  <c r="B2865" i="2"/>
  <c r="A2865" i="2"/>
  <c r="U2864" i="2"/>
  <c r="V2864" i="2" s="1"/>
  <c r="B2864" i="2"/>
  <c r="A2864" i="2"/>
  <c r="U2863" i="2"/>
  <c r="V2863" i="2" s="1"/>
  <c r="B2863" i="2"/>
  <c r="A2863" i="2"/>
  <c r="U2862" i="2"/>
  <c r="V2862" i="2" s="1"/>
  <c r="B2862" i="2"/>
  <c r="A2862" i="2"/>
  <c r="U2861" i="2"/>
  <c r="V2861" i="2" s="1"/>
  <c r="B2861" i="2"/>
  <c r="A2861" i="2"/>
  <c r="U2860" i="2"/>
  <c r="V2860" i="2" s="1"/>
  <c r="B2860" i="2"/>
  <c r="A2860" i="2"/>
  <c r="U2859" i="2"/>
  <c r="V2859" i="2" s="1"/>
  <c r="B2859" i="2"/>
  <c r="A2859" i="2"/>
  <c r="U2858" i="2"/>
  <c r="V2858" i="2" s="1"/>
  <c r="B2858" i="2"/>
  <c r="A2858" i="2"/>
  <c r="U2857" i="2"/>
  <c r="V2857" i="2" s="1"/>
  <c r="B2857" i="2"/>
  <c r="A2857" i="2"/>
  <c r="U2856" i="2"/>
  <c r="V2856" i="2" s="1"/>
  <c r="B2856" i="2"/>
  <c r="A2856" i="2"/>
  <c r="U2855" i="2"/>
  <c r="V2855" i="2" s="1"/>
  <c r="B2855" i="2"/>
  <c r="A2855" i="2"/>
  <c r="U2854" i="2"/>
  <c r="V2854" i="2" s="1"/>
  <c r="B2854" i="2"/>
  <c r="A2854" i="2"/>
  <c r="U2853" i="2"/>
  <c r="V2853" i="2" s="1"/>
  <c r="B2853" i="2"/>
  <c r="A2853" i="2"/>
  <c r="U2852" i="2"/>
  <c r="V2852" i="2" s="1"/>
  <c r="B2852" i="2"/>
  <c r="A2852" i="2"/>
  <c r="U2851" i="2"/>
  <c r="V2851" i="2" s="1"/>
  <c r="B2851" i="2"/>
  <c r="A2851" i="2"/>
  <c r="U2850" i="2"/>
  <c r="V2850" i="2" s="1"/>
  <c r="B2850" i="2"/>
  <c r="A2850" i="2"/>
  <c r="U2849" i="2"/>
  <c r="V2849" i="2" s="1"/>
  <c r="B2849" i="2"/>
  <c r="A2849" i="2"/>
  <c r="U2848" i="2"/>
  <c r="V2848" i="2" s="1"/>
  <c r="B2848" i="2"/>
  <c r="A2848" i="2"/>
  <c r="U2847" i="2"/>
  <c r="V2847" i="2" s="1"/>
  <c r="B2847" i="2"/>
  <c r="A2847" i="2"/>
  <c r="U2846" i="2"/>
  <c r="V2846" i="2" s="1"/>
  <c r="B2846" i="2"/>
  <c r="A2846" i="2"/>
  <c r="U2845" i="2"/>
  <c r="V2845" i="2" s="1"/>
  <c r="B2845" i="2"/>
  <c r="A2845" i="2"/>
  <c r="U2844" i="2"/>
  <c r="V2844" i="2" s="1"/>
  <c r="B2844" i="2"/>
  <c r="A2844" i="2"/>
  <c r="U2843" i="2"/>
  <c r="V2843" i="2" s="1"/>
  <c r="B2843" i="2"/>
  <c r="A2843" i="2"/>
  <c r="U2842" i="2"/>
  <c r="V2842" i="2" s="1"/>
  <c r="B2842" i="2"/>
  <c r="A2842" i="2"/>
  <c r="U2841" i="2"/>
  <c r="V2841" i="2" s="1"/>
  <c r="B2841" i="2"/>
  <c r="A2841" i="2"/>
  <c r="U2840" i="2"/>
  <c r="V2840" i="2" s="1"/>
  <c r="B2840" i="2"/>
  <c r="A2840" i="2"/>
  <c r="U2839" i="2"/>
  <c r="V2839" i="2" s="1"/>
  <c r="B2839" i="2"/>
  <c r="A2839" i="2"/>
  <c r="U2838" i="2"/>
  <c r="V2838" i="2" s="1"/>
  <c r="B2838" i="2"/>
  <c r="A2838" i="2"/>
  <c r="U2837" i="2"/>
  <c r="V2837" i="2" s="1"/>
  <c r="B2837" i="2"/>
  <c r="A2837" i="2"/>
  <c r="U2836" i="2"/>
  <c r="V2836" i="2" s="1"/>
  <c r="B2836" i="2"/>
  <c r="A2836" i="2"/>
  <c r="U2835" i="2"/>
  <c r="V2835" i="2" s="1"/>
  <c r="B2835" i="2"/>
  <c r="A2835" i="2"/>
  <c r="U2834" i="2"/>
  <c r="V2834" i="2" s="1"/>
  <c r="B2834" i="2"/>
  <c r="A2834" i="2"/>
  <c r="U2833" i="2"/>
  <c r="V2833" i="2" s="1"/>
  <c r="B2833" i="2"/>
  <c r="A2833" i="2"/>
  <c r="U2832" i="2"/>
  <c r="V2832" i="2" s="1"/>
  <c r="B2832" i="2"/>
  <c r="A2832" i="2"/>
  <c r="U2831" i="2"/>
  <c r="V2831" i="2" s="1"/>
  <c r="B2831" i="2"/>
  <c r="A2831" i="2"/>
  <c r="U2830" i="2"/>
  <c r="V2830" i="2" s="1"/>
  <c r="B2830" i="2"/>
  <c r="A2830" i="2"/>
  <c r="U2829" i="2"/>
  <c r="V2829" i="2" s="1"/>
  <c r="B2829" i="2"/>
  <c r="A2829" i="2"/>
  <c r="U2828" i="2"/>
  <c r="V2828" i="2" s="1"/>
  <c r="B2828" i="2"/>
  <c r="A2828" i="2"/>
  <c r="U2827" i="2"/>
  <c r="V2827" i="2" s="1"/>
  <c r="B2827" i="2"/>
  <c r="A2827" i="2"/>
  <c r="U2826" i="2"/>
  <c r="V2826" i="2" s="1"/>
  <c r="B2826" i="2"/>
  <c r="A2826" i="2"/>
  <c r="U2825" i="2"/>
  <c r="V2825" i="2" s="1"/>
  <c r="B2825" i="2"/>
  <c r="A2825" i="2"/>
  <c r="U2824" i="2"/>
  <c r="V2824" i="2" s="1"/>
  <c r="B2824" i="2"/>
  <c r="A2824" i="2"/>
  <c r="U2823" i="2"/>
  <c r="V2823" i="2" s="1"/>
  <c r="B2823" i="2"/>
  <c r="A2823" i="2"/>
  <c r="U2822" i="2"/>
  <c r="V2822" i="2" s="1"/>
  <c r="B2822" i="2"/>
  <c r="A2822" i="2"/>
  <c r="U2821" i="2"/>
  <c r="V2821" i="2" s="1"/>
  <c r="B2821" i="2"/>
  <c r="A2821" i="2"/>
  <c r="U2820" i="2"/>
  <c r="V2820" i="2" s="1"/>
  <c r="B2820" i="2"/>
  <c r="A2820" i="2"/>
  <c r="U2819" i="2"/>
  <c r="V2819" i="2" s="1"/>
  <c r="B2819" i="2"/>
  <c r="A2819" i="2"/>
  <c r="U2818" i="2"/>
  <c r="V2818" i="2" s="1"/>
  <c r="B2818" i="2"/>
  <c r="A2818" i="2"/>
  <c r="U2817" i="2"/>
  <c r="V2817" i="2" s="1"/>
  <c r="B2817" i="2"/>
  <c r="A2817" i="2"/>
  <c r="U2816" i="2"/>
  <c r="V2816" i="2" s="1"/>
  <c r="B2816" i="2"/>
  <c r="A2816" i="2"/>
  <c r="U2815" i="2"/>
  <c r="V2815" i="2" s="1"/>
  <c r="B2815" i="2"/>
  <c r="A2815" i="2"/>
  <c r="U2814" i="2"/>
  <c r="V2814" i="2" s="1"/>
  <c r="B2814" i="2"/>
  <c r="A2814" i="2"/>
  <c r="U2813" i="2"/>
  <c r="V2813" i="2" s="1"/>
  <c r="B2813" i="2"/>
  <c r="A2813" i="2"/>
  <c r="U2812" i="2"/>
  <c r="V2812" i="2" s="1"/>
  <c r="B2812" i="2"/>
  <c r="A2812" i="2"/>
  <c r="U2811" i="2"/>
  <c r="V2811" i="2" s="1"/>
  <c r="B2811" i="2"/>
  <c r="A2811" i="2"/>
  <c r="U2810" i="2"/>
  <c r="V2810" i="2" s="1"/>
  <c r="B2810" i="2"/>
  <c r="A2810" i="2"/>
  <c r="U2809" i="2"/>
  <c r="V2809" i="2" s="1"/>
  <c r="B2809" i="2"/>
  <c r="A2809" i="2"/>
  <c r="U2808" i="2"/>
  <c r="V2808" i="2" s="1"/>
  <c r="B2808" i="2"/>
  <c r="A2808" i="2"/>
  <c r="U2807" i="2"/>
  <c r="V2807" i="2" s="1"/>
  <c r="B2807" i="2"/>
  <c r="A2807" i="2"/>
  <c r="U2806" i="2"/>
  <c r="V2806" i="2" s="1"/>
  <c r="B2806" i="2"/>
  <c r="A2806" i="2"/>
  <c r="U2805" i="2"/>
  <c r="V2805" i="2" s="1"/>
  <c r="B2805" i="2"/>
  <c r="A2805" i="2"/>
  <c r="U2804" i="2"/>
  <c r="V2804" i="2" s="1"/>
  <c r="B2804" i="2"/>
  <c r="A2804" i="2"/>
  <c r="U2803" i="2"/>
  <c r="V2803" i="2" s="1"/>
  <c r="B2803" i="2"/>
  <c r="A2803" i="2"/>
  <c r="U2802" i="2"/>
  <c r="V2802" i="2" s="1"/>
  <c r="B2802" i="2"/>
  <c r="A2802" i="2"/>
  <c r="U2801" i="2"/>
  <c r="V2801" i="2" s="1"/>
  <c r="B2801" i="2"/>
  <c r="A2801" i="2"/>
  <c r="U2800" i="2"/>
  <c r="V2800" i="2" s="1"/>
  <c r="B2800" i="2"/>
  <c r="A2800" i="2"/>
  <c r="U2799" i="2"/>
  <c r="V2799" i="2" s="1"/>
  <c r="B2799" i="2"/>
  <c r="A2799" i="2"/>
  <c r="U2798" i="2"/>
  <c r="V2798" i="2" s="1"/>
  <c r="B2798" i="2"/>
  <c r="A2798" i="2"/>
  <c r="U2797" i="2"/>
  <c r="V2797" i="2" s="1"/>
  <c r="B2797" i="2"/>
  <c r="A2797" i="2"/>
  <c r="U2796" i="2"/>
  <c r="V2796" i="2" s="1"/>
  <c r="B2796" i="2"/>
  <c r="A2796" i="2"/>
  <c r="U2795" i="2"/>
  <c r="V2795" i="2" s="1"/>
  <c r="B2795" i="2"/>
  <c r="A2795" i="2"/>
  <c r="U2794" i="2"/>
  <c r="V2794" i="2" s="1"/>
  <c r="B2794" i="2"/>
  <c r="A2794" i="2"/>
  <c r="U2793" i="2"/>
  <c r="V2793" i="2" s="1"/>
  <c r="B2793" i="2"/>
  <c r="A2793" i="2"/>
  <c r="U2792" i="2"/>
  <c r="V2792" i="2" s="1"/>
  <c r="B2792" i="2"/>
  <c r="A2792" i="2"/>
  <c r="U2791" i="2"/>
  <c r="V2791" i="2" s="1"/>
  <c r="B2791" i="2"/>
  <c r="A2791" i="2"/>
  <c r="U2790" i="2"/>
  <c r="V2790" i="2" s="1"/>
  <c r="B2790" i="2"/>
  <c r="A2790" i="2"/>
  <c r="U2789" i="2"/>
  <c r="V2789" i="2" s="1"/>
  <c r="B2789" i="2"/>
  <c r="A2789" i="2"/>
  <c r="U2788" i="2"/>
  <c r="V2788" i="2" s="1"/>
  <c r="B2788" i="2"/>
  <c r="A2788" i="2"/>
  <c r="U2787" i="2"/>
  <c r="V2787" i="2" s="1"/>
  <c r="B2787" i="2"/>
  <c r="A2787" i="2"/>
  <c r="U2786" i="2"/>
  <c r="V2786" i="2" s="1"/>
  <c r="B2786" i="2"/>
  <c r="A2786" i="2"/>
  <c r="U2785" i="2"/>
  <c r="V2785" i="2" s="1"/>
  <c r="B2785" i="2"/>
  <c r="A2785" i="2"/>
  <c r="U2784" i="2"/>
  <c r="V2784" i="2" s="1"/>
  <c r="B2784" i="2"/>
  <c r="A2784" i="2"/>
  <c r="U2783" i="2"/>
  <c r="V2783" i="2" s="1"/>
  <c r="B2783" i="2"/>
  <c r="A2783" i="2"/>
  <c r="U2782" i="2"/>
  <c r="V2782" i="2" s="1"/>
  <c r="B2782" i="2"/>
  <c r="A2782" i="2"/>
  <c r="U2781" i="2"/>
  <c r="V2781" i="2" s="1"/>
  <c r="B2781" i="2"/>
  <c r="A2781" i="2"/>
  <c r="U2780" i="2"/>
  <c r="V2780" i="2" s="1"/>
  <c r="B2780" i="2"/>
  <c r="A2780" i="2"/>
  <c r="U2779" i="2"/>
  <c r="V2779" i="2" s="1"/>
  <c r="B2779" i="2"/>
  <c r="A2779" i="2"/>
  <c r="U2778" i="2"/>
  <c r="V2778" i="2" s="1"/>
  <c r="B2778" i="2"/>
  <c r="A2778" i="2"/>
  <c r="U2777" i="2"/>
  <c r="V2777" i="2" s="1"/>
  <c r="B2777" i="2"/>
  <c r="A2777" i="2"/>
  <c r="U2776" i="2"/>
  <c r="V2776" i="2" s="1"/>
  <c r="B2776" i="2"/>
  <c r="A2776" i="2"/>
  <c r="U2775" i="2"/>
  <c r="V2775" i="2" s="1"/>
  <c r="B2775" i="2"/>
  <c r="A2775" i="2"/>
  <c r="U2774" i="2"/>
  <c r="V2774" i="2" s="1"/>
  <c r="B2774" i="2"/>
  <c r="A2774" i="2"/>
  <c r="U2773" i="2"/>
  <c r="V2773" i="2" s="1"/>
  <c r="B2773" i="2"/>
  <c r="A2773" i="2"/>
  <c r="U2772" i="2"/>
  <c r="V2772" i="2" s="1"/>
  <c r="B2772" i="2"/>
  <c r="A2772" i="2"/>
  <c r="U2771" i="2"/>
  <c r="V2771" i="2" s="1"/>
  <c r="B2771" i="2"/>
  <c r="A2771" i="2"/>
  <c r="U2770" i="2"/>
  <c r="V2770" i="2" s="1"/>
  <c r="B2770" i="2"/>
  <c r="A2770" i="2"/>
  <c r="U2769" i="2"/>
  <c r="V2769" i="2" s="1"/>
  <c r="B2769" i="2"/>
  <c r="A2769" i="2"/>
  <c r="U2768" i="2"/>
  <c r="V2768" i="2" s="1"/>
  <c r="B2768" i="2"/>
  <c r="A2768" i="2"/>
  <c r="U2767" i="2"/>
  <c r="V2767" i="2" s="1"/>
  <c r="B2767" i="2"/>
  <c r="A2767" i="2"/>
  <c r="U2766" i="2"/>
  <c r="V2766" i="2" s="1"/>
  <c r="B2766" i="2"/>
  <c r="A2766" i="2"/>
  <c r="U2765" i="2"/>
  <c r="V2765" i="2" s="1"/>
  <c r="B2765" i="2"/>
  <c r="A2765" i="2"/>
  <c r="U2764" i="2"/>
  <c r="V2764" i="2" s="1"/>
  <c r="B2764" i="2"/>
  <c r="A2764" i="2"/>
  <c r="U2763" i="2"/>
  <c r="V2763" i="2" s="1"/>
  <c r="B2763" i="2"/>
  <c r="A2763" i="2"/>
  <c r="U2762" i="2"/>
  <c r="V2762" i="2" s="1"/>
  <c r="B2762" i="2"/>
  <c r="A2762" i="2"/>
  <c r="U2761" i="2"/>
  <c r="V2761" i="2" s="1"/>
  <c r="B2761" i="2"/>
  <c r="A2761" i="2"/>
  <c r="U2760" i="2"/>
  <c r="V2760" i="2" s="1"/>
  <c r="B2760" i="2"/>
  <c r="A2760" i="2"/>
  <c r="U2759" i="2"/>
  <c r="V2759" i="2" s="1"/>
  <c r="B2759" i="2"/>
  <c r="A2759" i="2"/>
  <c r="U2758" i="2"/>
  <c r="V2758" i="2" s="1"/>
  <c r="B2758" i="2"/>
  <c r="A2758" i="2"/>
  <c r="U2757" i="2"/>
  <c r="V2757" i="2" s="1"/>
  <c r="B2757" i="2"/>
  <c r="A2757" i="2"/>
  <c r="U2756" i="2"/>
  <c r="V2756" i="2" s="1"/>
  <c r="B2756" i="2"/>
  <c r="A2756" i="2"/>
  <c r="U2755" i="2"/>
  <c r="V2755" i="2" s="1"/>
  <c r="B2755" i="2"/>
  <c r="A2755" i="2"/>
  <c r="U2754" i="2"/>
  <c r="V2754" i="2" s="1"/>
  <c r="B2754" i="2"/>
  <c r="A2754" i="2"/>
  <c r="U2753" i="2"/>
  <c r="V2753" i="2" s="1"/>
  <c r="B2753" i="2"/>
  <c r="A2753" i="2"/>
  <c r="U2752" i="2"/>
  <c r="V2752" i="2" s="1"/>
  <c r="B2752" i="2"/>
  <c r="A2752" i="2"/>
  <c r="U2751" i="2"/>
  <c r="V2751" i="2" s="1"/>
  <c r="B2751" i="2"/>
  <c r="A2751" i="2"/>
  <c r="U2750" i="2"/>
  <c r="V2750" i="2" s="1"/>
  <c r="B2750" i="2"/>
  <c r="A2750" i="2"/>
  <c r="U2749" i="2"/>
  <c r="V2749" i="2" s="1"/>
  <c r="B2749" i="2"/>
  <c r="A2749" i="2"/>
  <c r="U2748" i="2"/>
  <c r="V2748" i="2" s="1"/>
  <c r="B2748" i="2"/>
  <c r="A2748" i="2"/>
  <c r="U2747" i="2"/>
  <c r="V2747" i="2" s="1"/>
  <c r="B2747" i="2"/>
  <c r="A2747" i="2"/>
  <c r="U2746" i="2"/>
  <c r="V2746" i="2" s="1"/>
  <c r="B2746" i="2"/>
  <c r="A2746" i="2"/>
  <c r="U2745" i="2"/>
  <c r="V2745" i="2" s="1"/>
  <c r="B2745" i="2"/>
  <c r="A2745" i="2"/>
  <c r="U2744" i="2"/>
  <c r="V2744" i="2" s="1"/>
  <c r="B2744" i="2"/>
  <c r="A2744" i="2"/>
  <c r="U2743" i="2"/>
  <c r="V2743" i="2" s="1"/>
  <c r="B2743" i="2"/>
  <c r="A2743" i="2"/>
  <c r="U2742" i="2"/>
  <c r="V2742" i="2" s="1"/>
  <c r="B2742" i="2"/>
  <c r="A2742" i="2"/>
  <c r="U2741" i="2"/>
  <c r="V2741" i="2" s="1"/>
  <c r="B2741" i="2"/>
  <c r="A2741" i="2"/>
  <c r="U2740" i="2"/>
  <c r="V2740" i="2" s="1"/>
  <c r="B2740" i="2"/>
  <c r="A2740" i="2"/>
  <c r="U2739" i="2"/>
  <c r="V2739" i="2" s="1"/>
  <c r="B2739" i="2"/>
  <c r="A2739" i="2"/>
  <c r="U2738" i="2"/>
  <c r="V2738" i="2" s="1"/>
  <c r="B2738" i="2"/>
  <c r="A2738" i="2"/>
  <c r="U2737" i="2"/>
  <c r="V2737" i="2" s="1"/>
  <c r="B2737" i="2"/>
  <c r="A2737" i="2"/>
  <c r="U2736" i="2"/>
  <c r="V2736" i="2" s="1"/>
  <c r="B2736" i="2"/>
  <c r="A2736" i="2"/>
  <c r="U2735" i="2"/>
  <c r="V2735" i="2" s="1"/>
  <c r="B2735" i="2"/>
  <c r="A2735" i="2"/>
  <c r="U2734" i="2"/>
  <c r="V2734" i="2" s="1"/>
  <c r="B2734" i="2"/>
  <c r="A2734" i="2"/>
  <c r="U2733" i="2"/>
  <c r="V2733" i="2" s="1"/>
  <c r="B2733" i="2"/>
  <c r="A2733" i="2"/>
  <c r="U2732" i="2"/>
  <c r="V2732" i="2" s="1"/>
  <c r="B2732" i="2"/>
  <c r="A2732" i="2"/>
  <c r="U2731" i="2"/>
  <c r="V2731" i="2" s="1"/>
  <c r="B2731" i="2"/>
  <c r="A2731" i="2"/>
  <c r="U2730" i="2"/>
  <c r="V2730" i="2" s="1"/>
  <c r="B2730" i="2"/>
  <c r="A2730" i="2"/>
  <c r="U2729" i="2"/>
  <c r="V2729" i="2" s="1"/>
  <c r="B2729" i="2"/>
  <c r="A2729" i="2"/>
  <c r="U2728" i="2"/>
  <c r="V2728" i="2" s="1"/>
  <c r="B2728" i="2"/>
  <c r="A2728" i="2"/>
  <c r="U2727" i="2"/>
  <c r="V2727" i="2" s="1"/>
  <c r="B2727" i="2"/>
  <c r="A2727" i="2"/>
  <c r="U2726" i="2"/>
  <c r="V2726" i="2" s="1"/>
  <c r="B2726" i="2"/>
  <c r="A2726" i="2"/>
  <c r="U2725" i="2"/>
  <c r="V2725" i="2" s="1"/>
  <c r="B2725" i="2"/>
  <c r="A2725" i="2"/>
  <c r="U2724" i="2"/>
  <c r="V2724" i="2" s="1"/>
  <c r="B2724" i="2"/>
  <c r="A2724" i="2"/>
  <c r="U2723" i="2"/>
  <c r="V2723" i="2" s="1"/>
  <c r="B2723" i="2"/>
  <c r="A2723" i="2"/>
  <c r="U2722" i="2"/>
  <c r="V2722" i="2" s="1"/>
  <c r="B2722" i="2"/>
  <c r="A2722" i="2"/>
  <c r="U2721" i="2"/>
  <c r="V2721" i="2" s="1"/>
  <c r="B2721" i="2"/>
  <c r="A2721" i="2"/>
  <c r="U2720" i="2"/>
  <c r="V2720" i="2" s="1"/>
  <c r="B2720" i="2"/>
  <c r="A2720" i="2"/>
  <c r="U2719" i="2"/>
  <c r="V2719" i="2" s="1"/>
  <c r="B2719" i="2"/>
  <c r="A2719" i="2"/>
  <c r="U2718" i="2"/>
  <c r="V2718" i="2" s="1"/>
  <c r="B2718" i="2"/>
  <c r="A2718" i="2"/>
  <c r="U2717" i="2"/>
  <c r="V2717" i="2" s="1"/>
  <c r="B2717" i="2"/>
  <c r="A2717" i="2"/>
  <c r="U2716" i="2"/>
  <c r="V2716" i="2" s="1"/>
  <c r="B2716" i="2"/>
  <c r="A2716" i="2"/>
  <c r="U2715" i="2"/>
  <c r="V2715" i="2" s="1"/>
  <c r="B2715" i="2"/>
  <c r="A2715" i="2"/>
  <c r="U2714" i="2"/>
  <c r="V2714" i="2" s="1"/>
  <c r="B2714" i="2"/>
  <c r="A2714" i="2"/>
  <c r="U2713" i="2"/>
  <c r="V2713" i="2" s="1"/>
  <c r="B2713" i="2"/>
  <c r="A2713" i="2"/>
  <c r="U2712" i="2"/>
  <c r="V2712" i="2" s="1"/>
  <c r="B2712" i="2"/>
  <c r="A2712" i="2"/>
  <c r="U2711" i="2"/>
  <c r="V2711" i="2" s="1"/>
  <c r="B2711" i="2"/>
  <c r="A2711" i="2"/>
  <c r="U2710" i="2"/>
  <c r="V2710" i="2" s="1"/>
  <c r="B2710" i="2"/>
  <c r="A2710" i="2"/>
  <c r="U2709" i="2"/>
  <c r="V2709" i="2" s="1"/>
  <c r="B2709" i="2"/>
  <c r="A2709" i="2"/>
  <c r="U2708" i="2"/>
  <c r="V2708" i="2" s="1"/>
  <c r="B2708" i="2"/>
  <c r="A2708" i="2"/>
  <c r="U2707" i="2"/>
  <c r="V2707" i="2" s="1"/>
  <c r="B2707" i="2"/>
  <c r="A2707" i="2"/>
  <c r="U2706" i="2"/>
  <c r="V2706" i="2" s="1"/>
  <c r="B2706" i="2"/>
  <c r="A2706" i="2"/>
  <c r="U2705" i="2"/>
  <c r="V2705" i="2" s="1"/>
  <c r="B2705" i="2"/>
  <c r="A2705" i="2"/>
  <c r="U2704" i="2"/>
  <c r="V2704" i="2" s="1"/>
  <c r="B2704" i="2"/>
  <c r="A2704" i="2"/>
  <c r="U2703" i="2"/>
  <c r="V2703" i="2" s="1"/>
  <c r="B2703" i="2"/>
  <c r="A2703" i="2"/>
  <c r="U2702" i="2"/>
  <c r="V2702" i="2" s="1"/>
  <c r="B2702" i="2"/>
  <c r="A2702" i="2"/>
  <c r="U2701" i="2"/>
  <c r="V2701" i="2" s="1"/>
  <c r="B2701" i="2"/>
  <c r="A2701" i="2"/>
  <c r="U2700" i="2"/>
  <c r="V2700" i="2" s="1"/>
  <c r="B2700" i="2"/>
  <c r="A2700" i="2"/>
  <c r="U2699" i="2"/>
  <c r="V2699" i="2" s="1"/>
  <c r="B2699" i="2"/>
  <c r="A2699" i="2"/>
  <c r="U2698" i="2"/>
  <c r="V2698" i="2" s="1"/>
  <c r="B2698" i="2"/>
  <c r="A2698" i="2"/>
  <c r="U2697" i="2"/>
  <c r="V2697" i="2" s="1"/>
  <c r="B2697" i="2"/>
  <c r="A2697" i="2"/>
  <c r="U2696" i="2"/>
  <c r="V2696" i="2" s="1"/>
  <c r="B2696" i="2"/>
  <c r="A2696" i="2"/>
  <c r="U2695" i="2"/>
  <c r="V2695" i="2" s="1"/>
  <c r="B2695" i="2"/>
  <c r="A2695" i="2"/>
  <c r="U2694" i="2"/>
  <c r="V2694" i="2" s="1"/>
  <c r="B2694" i="2"/>
  <c r="A2694" i="2"/>
  <c r="U2693" i="2"/>
  <c r="V2693" i="2" s="1"/>
  <c r="B2693" i="2"/>
  <c r="A2693" i="2"/>
  <c r="U2692" i="2"/>
  <c r="V2692" i="2" s="1"/>
  <c r="B2692" i="2"/>
  <c r="A2692" i="2"/>
  <c r="U2691" i="2"/>
  <c r="V2691" i="2" s="1"/>
  <c r="B2691" i="2"/>
  <c r="A2691" i="2"/>
  <c r="U2690" i="2"/>
  <c r="V2690" i="2" s="1"/>
  <c r="B2690" i="2"/>
  <c r="A2690" i="2"/>
  <c r="U2689" i="2"/>
  <c r="V2689" i="2" s="1"/>
  <c r="B2689" i="2"/>
  <c r="A2689" i="2"/>
  <c r="U2688" i="2"/>
  <c r="V2688" i="2" s="1"/>
  <c r="B2688" i="2"/>
  <c r="A2688" i="2"/>
  <c r="U2687" i="2"/>
  <c r="V2687" i="2" s="1"/>
  <c r="B2687" i="2"/>
  <c r="A2687" i="2"/>
  <c r="U2686" i="2"/>
  <c r="V2686" i="2" s="1"/>
  <c r="B2686" i="2"/>
  <c r="A2686" i="2"/>
  <c r="U2685" i="2"/>
  <c r="V2685" i="2" s="1"/>
  <c r="B2685" i="2"/>
  <c r="A2685" i="2"/>
  <c r="U2684" i="2"/>
  <c r="V2684" i="2" s="1"/>
  <c r="B2684" i="2"/>
  <c r="A2684" i="2"/>
  <c r="U2683" i="2"/>
  <c r="V2683" i="2" s="1"/>
  <c r="B2683" i="2"/>
  <c r="A2683" i="2"/>
  <c r="U2682" i="2"/>
  <c r="V2682" i="2" s="1"/>
  <c r="B2682" i="2"/>
  <c r="A2682" i="2"/>
  <c r="U2681" i="2"/>
  <c r="V2681" i="2" s="1"/>
  <c r="B2681" i="2"/>
  <c r="A2681" i="2"/>
  <c r="U2680" i="2"/>
  <c r="V2680" i="2" s="1"/>
  <c r="B2680" i="2"/>
  <c r="A2680" i="2"/>
  <c r="U2679" i="2"/>
  <c r="V2679" i="2" s="1"/>
  <c r="B2679" i="2"/>
  <c r="A2679" i="2"/>
  <c r="U2678" i="2"/>
  <c r="V2678" i="2" s="1"/>
  <c r="B2678" i="2"/>
  <c r="A2678" i="2"/>
  <c r="U2677" i="2"/>
  <c r="V2677" i="2" s="1"/>
  <c r="B2677" i="2"/>
  <c r="A2677" i="2"/>
  <c r="U2676" i="2"/>
  <c r="V2676" i="2" s="1"/>
  <c r="B2676" i="2"/>
  <c r="A2676" i="2"/>
  <c r="U2675" i="2"/>
  <c r="V2675" i="2" s="1"/>
  <c r="B2675" i="2"/>
  <c r="A2675" i="2"/>
  <c r="U2674" i="2"/>
  <c r="V2674" i="2" s="1"/>
  <c r="B2674" i="2"/>
  <c r="A2674" i="2"/>
  <c r="U2673" i="2"/>
  <c r="V2673" i="2" s="1"/>
  <c r="B2673" i="2"/>
  <c r="A2673" i="2"/>
  <c r="U2672" i="2"/>
  <c r="V2672" i="2" s="1"/>
  <c r="B2672" i="2"/>
  <c r="A2672" i="2"/>
  <c r="U2671" i="2"/>
  <c r="V2671" i="2" s="1"/>
  <c r="B2671" i="2"/>
  <c r="A2671" i="2"/>
  <c r="U2670" i="2"/>
  <c r="V2670" i="2" s="1"/>
  <c r="B2670" i="2"/>
  <c r="A2670" i="2"/>
  <c r="U2669" i="2"/>
  <c r="V2669" i="2" s="1"/>
  <c r="B2669" i="2"/>
  <c r="A2669" i="2"/>
  <c r="U2668" i="2"/>
  <c r="V2668" i="2" s="1"/>
  <c r="B2668" i="2"/>
  <c r="A2668" i="2"/>
  <c r="U2667" i="2"/>
  <c r="V2667" i="2" s="1"/>
  <c r="B2667" i="2"/>
  <c r="A2667" i="2"/>
  <c r="U2666" i="2"/>
  <c r="V2666" i="2" s="1"/>
  <c r="B2666" i="2"/>
  <c r="A2666" i="2"/>
  <c r="U2665" i="2"/>
  <c r="V2665" i="2" s="1"/>
  <c r="B2665" i="2"/>
  <c r="A2665" i="2"/>
  <c r="U2664" i="2"/>
  <c r="V2664" i="2" s="1"/>
  <c r="B2664" i="2"/>
  <c r="A2664" i="2"/>
  <c r="U2663" i="2"/>
  <c r="V2663" i="2" s="1"/>
  <c r="B2663" i="2"/>
  <c r="A2663" i="2"/>
  <c r="U2662" i="2"/>
  <c r="V2662" i="2" s="1"/>
  <c r="B2662" i="2"/>
  <c r="A2662" i="2"/>
  <c r="U2661" i="2"/>
  <c r="V2661" i="2" s="1"/>
  <c r="B2661" i="2"/>
  <c r="A2661" i="2"/>
  <c r="U2660" i="2"/>
  <c r="V2660" i="2" s="1"/>
  <c r="B2660" i="2"/>
  <c r="A2660" i="2"/>
  <c r="U2659" i="2"/>
  <c r="V2659" i="2" s="1"/>
  <c r="B2659" i="2"/>
  <c r="A2659" i="2"/>
  <c r="U2658" i="2"/>
  <c r="V2658" i="2" s="1"/>
  <c r="B2658" i="2"/>
  <c r="A2658" i="2"/>
  <c r="U2657" i="2"/>
  <c r="V2657" i="2" s="1"/>
  <c r="B2657" i="2"/>
  <c r="A2657" i="2"/>
  <c r="U2656" i="2"/>
  <c r="V2656" i="2" s="1"/>
  <c r="B2656" i="2"/>
  <c r="A2656" i="2"/>
  <c r="U2655" i="2"/>
  <c r="V2655" i="2" s="1"/>
  <c r="B2655" i="2"/>
  <c r="A2655" i="2"/>
  <c r="U2654" i="2"/>
  <c r="V2654" i="2" s="1"/>
  <c r="B2654" i="2"/>
  <c r="A2654" i="2"/>
  <c r="U2653" i="2"/>
  <c r="V2653" i="2" s="1"/>
  <c r="B2653" i="2"/>
  <c r="A2653" i="2"/>
  <c r="U2652" i="2"/>
  <c r="V2652" i="2" s="1"/>
  <c r="B2652" i="2"/>
  <c r="A2652" i="2"/>
  <c r="U2651" i="2"/>
  <c r="V2651" i="2" s="1"/>
  <c r="B2651" i="2"/>
  <c r="A2651" i="2"/>
  <c r="U2650" i="2"/>
  <c r="V2650" i="2" s="1"/>
  <c r="B2650" i="2"/>
  <c r="A2650" i="2"/>
  <c r="U2649" i="2"/>
  <c r="V2649" i="2" s="1"/>
  <c r="B2649" i="2"/>
  <c r="A2649" i="2"/>
  <c r="U2648" i="2"/>
  <c r="V2648" i="2" s="1"/>
  <c r="B2648" i="2"/>
  <c r="A2648" i="2"/>
  <c r="U2647" i="2"/>
  <c r="V2647" i="2" s="1"/>
  <c r="B2647" i="2"/>
  <c r="A2647" i="2"/>
  <c r="U2646" i="2"/>
  <c r="V2646" i="2" s="1"/>
  <c r="B2646" i="2"/>
  <c r="A2646" i="2"/>
  <c r="U2645" i="2"/>
  <c r="V2645" i="2" s="1"/>
  <c r="B2645" i="2"/>
  <c r="A2645" i="2"/>
  <c r="U2644" i="2"/>
  <c r="V2644" i="2" s="1"/>
  <c r="B2644" i="2"/>
  <c r="A2644" i="2"/>
  <c r="U2643" i="2"/>
  <c r="V2643" i="2" s="1"/>
  <c r="B2643" i="2"/>
  <c r="A2643" i="2"/>
  <c r="U2642" i="2"/>
  <c r="V2642" i="2" s="1"/>
  <c r="B2642" i="2"/>
  <c r="A2642" i="2"/>
  <c r="U2641" i="2"/>
  <c r="V2641" i="2" s="1"/>
  <c r="B2641" i="2"/>
  <c r="A2641" i="2"/>
  <c r="U2640" i="2"/>
  <c r="V2640" i="2" s="1"/>
  <c r="B2640" i="2"/>
  <c r="A2640" i="2"/>
  <c r="U2639" i="2"/>
  <c r="V2639" i="2" s="1"/>
  <c r="B2639" i="2"/>
  <c r="A2639" i="2"/>
  <c r="U2638" i="2"/>
  <c r="V2638" i="2" s="1"/>
  <c r="B2638" i="2"/>
  <c r="A2638" i="2"/>
  <c r="U2637" i="2"/>
  <c r="V2637" i="2" s="1"/>
  <c r="B2637" i="2"/>
  <c r="A2637" i="2"/>
  <c r="U2636" i="2"/>
  <c r="V2636" i="2" s="1"/>
  <c r="B2636" i="2"/>
  <c r="A2636" i="2"/>
  <c r="U2635" i="2"/>
  <c r="V2635" i="2" s="1"/>
  <c r="B2635" i="2"/>
  <c r="A2635" i="2"/>
  <c r="U2634" i="2"/>
  <c r="V2634" i="2" s="1"/>
  <c r="B2634" i="2"/>
  <c r="A2634" i="2"/>
  <c r="U2633" i="2"/>
  <c r="V2633" i="2" s="1"/>
  <c r="B2633" i="2"/>
  <c r="A2633" i="2"/>
  <c r="U2632" i="2"/>
  <c r="V2632" i="2" s="1"/>
  <c r="B2632" i="2"/>
  <c r="A2632" i="2"/>
  <c r="U2631" i="2"/>
  <c r="V2631" i="2" s="1"/>
  <c r="B2631" i="2"/>
  <c r="A2631" i="2"/>
  <c r="U2630" i="2"/>
  <c r="V2630" i="2" s="1"/>
  <c r="B2630" i="2"/>
  <c r="A2630" i="2"/>
  <c r="U2629" i="2"/>
  <c r="V2629" i="2" s="1"/>
  <c r="B2629" i="2"/>
  <c r="A2629" i="2"/>
  <c r="U2628" i="2"/>
  <c r="V2628" i="2" s="1"/>
  <c r="B2628" i="2"/>
  <c r="A2628" i="2"/>
  <c r="U2627" i="2"/>
  <c r="V2627" i="2" s="1"/>
  <c r="B2627" i="2"/>
  <c r="A2627" i="2"/>
  <c r="U2626" i="2"/>
  <c r="V2626" i="2" s="1"/>
  <c r="B2626" i="2"/>
  <c r="A2626" i="2"/>
  <c r="U2625" i="2"/>
  <c r="V2625" i="2" s="1"/>
  <c r="B2625" i="2"/>
  <c r="A2625" i="2"/>
  <c r="U2624" i="2"/>
  <c r="V2624" i="2" s="1"/>
  <c r="B2624" i="2"/>
  <c r="A2624" i="2"/>
  <c r="U2623" i="2"/>
  <c r="V2623" i="2" s="1"/>
  <c r="B2623" i="2"/>
  <c r="A2623" i="2"/>
  <c r="U2622" i="2"/>
  <c r="V2622" i="2" s="1"/>
  <c r="B2622" i="2"/>
  <c r="A2622" i="2"/>
  <c r="U2621" i="2"/>
  <c r="V2621" i="2" s="1"/>
  <c r="B2621" i="2"/>
  <c r="A2621" i="2"/>
  <c r="U2620" i="2"/>
  <c r="V2620" i="2" s="1"/>
  <c r="B2620" i="2"/>
  <c r="A2620" i="2"/>
  <c r="U2619" i="2"/>
  <c r="V2619" i="2" s="1"/>
  <c r="B2619" i="2"/>
  <c r="A2619" i="2"/>
  <c r="U2618" i="2"/>
  <c r="V2618" i="2" s="1"/>
  <c r="B2618" i="2"/>
  <c r="A2618" i="2"/>
  <c r="U2617" i="2"/>
  <c r="V2617" i="2" s="1"/>
  <c r="B2617" i="2"/>
  <c r="A2617" i="2"/>
  <c r="U2616" i="2"/>
  <c r="V2616" i="2" s="1"/>
  <c r="B2616" i="2"/>
  <c r="A2616" i="2"/>
  <c r="U2615" i="2"/>
  <c r="V2615" i="2" s="1"/>
  <c r="B2615" i="2"/>
  <c r="A2615" i="2"/>
  <c r="U2614" i="2"/>
  <c r="V2614" i="2" s="1"/>
  <c r="B2614" i="2"/>
  <c r="A2614" i="2"/>
  <c r="U2613" i="2"/>
  <c r="V2613" i="2" s="1"/>
  <c r="B2613" i="2"/>
  <c r="A2613" i="2"/>
  <c r="U2612" i="2"/>
  <c r="V2612" i="2" s="1"/>
  <c r="B2612" i="2"/>
  <c r="A2612" i="2"/>
  <c r="U2611" i="2"/>
  <c r="V2611" i="2" s="1"/>
  <c r="B2611" i="2"/>
  <c r="A2611" i="2"/>
  <c r="U2610" i="2"/>
  <c r="V2610" i="2" s="1"/>
  <c r="B2610" i="2"/>
  <c r="A2610" i="2"/>
  <c r="U2609" i="2"/>
  <c r="V2609" i="2" s="1"/>
  <c r="B2609" i="2"/>
  <c r="A2609" i="2"/>
  <c r="U2608" i="2"/>
  <c r="V2608" i="2" s="1"/>
  <c r="B2608" i="2"/>
  <c r="A2608" i="2"/>
  <c r="U2607" i="2"/>
  <c r="V2607" i="2" s="1"/>
  <c r="B2607" i="2"/>
  <c r="A2607" i="2"/>
  <c r="U2606" i="2"/>
  <c r="V2606" i="2" s="1"/>
  <c r="B2606" i="2"/>
  <c r="A2606" i="2"/>
  <c r="U2605" i="2"/>
  <c r="V2605" i="2" s="1"/>
  <c r="B2605" i="2"/>
  <c r="A2605" i="2"/>
  <c r="U2604" i="2"/>
  <c r="V2604" i="2" s="1"/>
  <c r="B2604" i="2"/>
  <c r="A2604" i="2"/>
  <c r="U2603" i="2"/>
  <c r="V2603" i="2" s="1"/>
  <c r="B2603" i="2"/>
  <c r="A2603" i="2"/>
  <c r="U2602" i="2"/>
  <c r="V2602" i="2" s="1"/>
  <c r="B2602" i="2"/>
  <c r="A2602" i="2"/>
  <c r="U2601" i="2"/>
  <c r="V2601" i="2" s="1"/>
  <c r="B2601" i="2"/>
  <c r="A2601" i="2"/>
  <c r="U2600" i="2"/>
  <c r="V2600" i="2" s="1"/>
  <c r="B2600" i="2"/>
  <c r="A2600" i="2"/>
  <c r="U2599" i="2"/>
  <c r="V2599" i="2" s="1"/>
  <c r="B2599" i="2"/>
  <c r="A2599" i="2"/>
  <c r="U2598" i="2"/>
  <c r="V2598" i="2" s="1"/>
  <c r="B2598" i="2"/>
  <c r="A2598" i="2"/>
  <c r="U2597" i="2"/>
  <c r="V2597" i="2" s="1"/>
  <c r="B2597" i="2"/>
  <c r="A2597" i="2"/>
  <c r="U2596" i="2"/>
  <c r="V2596" i="2" s="1"/>
  <c r="B2596" i="2"/>
  <c r="A2596" i="2"/>
  <c r="U2595" i="2"/>
  <c r="V2595" i="2" s="1"/>
  <c r="B2595" i="2"/>
  <c r="A2595" i="2"/>
  <c r="U2594" i="2"/>
  <c r="V2594" i="2" s="1"/>
  <c r="B2594" i="2"/>
  <c r="A2594" i="2"/>
  <c r="U2593" i="2"/>
  <c r="V2593" i="2" s="1"/>
  <c r="B2593" i="2"/>
  <c r="A2593" i="2"/>
  <c r="U2592" i="2"/>
  <c r="V2592" i="2" s="1"/>
  <c r="B2592" i="2"/>
  <c r="A2592" i="2"/>
  <c r="U2591" i="2"/>
  <c r="V2591" i="2" s="1"/>
  <c r="B2591" i="2"/>
  <c r="A2591" i="2"/>
  <c r="U2590" i="2"/>
  <c r="V2590" i="2" s="1"/>
  <c r="B2590" i="2"/>
  <c r="A2590" i="2"/>
  <c r="U2589" i="2"/>
  <c r="V2589" i="2" s="1"/>
  <c r="B2589" i="2"/>
  <c r="A2589" i="2"/>
  <c r="U2588" i="2"/>
  <c r="V2588" i="2" s="1"/>
  <c r="B2588" i="2"/>
  <c r="A2588" i="2"/>
  <c r="U2587" i="2"/>
  <c r="V2587" i="2" s="1"/>
  <c r="B2587" i="2"/>
  <c r="A2587" i="2"/>
  <c r="U2586" i="2"/>
  <c r="V2586" i="2" s="1"/>
  <c r="B2586" i="2"/>
  <c r="A2586" i="2"/>
  <c r="U2585" i="2"/>
  <c r="V2585" i="2" s="1"/>
  <c r="B2585" i="2"/>
  <c r="A2585" i="2"/>
  <c r="U2584" i="2"/>
  <c r="V2584" i="2" s="1"/>
  <c r="B2584" i="2"/>
  <c r="A2584" i="2"/>
  <c r="U2583" i="2"/>
  <c r="V2583" i="2" s="1"/>
  <c r="B2583" i="2"/>
  <c r="A2583" i="2"/>
  <c r="U2582" i="2"/>
  <c r="V2582" i="2" s="1"/>
  <c r="B2582" i="2"/>
  <c r="A2582" i="2"/>
  <c r="U2581" i="2"/>
  <c r="V2581" i="2" s="1"/>
  <c r="B2581" i="2"/>
  <c r="A2581" i="2"/>
  <c r="U2580" i="2"/>
  <c r="V2580" i="2" s="1"/>
  <c r="B2580" i="2"/>
  <c r="A2580" i="2"/>
  <c r="U2579" i="2"/>
  <c r="V2579" i="2" s="1"/>
  <c r="B2579" i="2"/>
  <c r="A2579" i="2"/>
  <c r="U2578" i="2"/>
  <c r="V2578" i="2" s="1"/>
  <c r="B2578" i="2"/>
  <c r="A2578" i="2"/>
  <c r="U2577" i="2"/>
  <c r="V2577" i="2" s="1"/>
  <c r="B2577" i="2"/>
  <c r="A2577" i="2"/>
  <c r="U2576" i="2"/>
  <c r="V2576" i="2" s="1"/>
  <c r="B2576" i="2"/>
  <c r="A2576" i="2"/>
  <c r="U2575" i="2"/>
  <c r="V2575" i="2" s="1"/>
  <c r="B2575" i="2"/>
  <c r="A2575" i="2"/>
  <c r="U2574" i="2"/>
  <c r="V2574" i="2" s="1"/>
  <c r="B2574" i="2"/>
  <c r="A2574" i="2"/>
  <c r="U2573" i="2"/>
  <c r="V2573" i="2" s="1"/>
  <c r="B2573" i="2"/>
  <c r="A2573" i="2"/>
  <c r="U2572" i="2"/>
  <c r="V2572" i="2" s="1"/>
  <c r="B2572" i="2"/>
  <c r="A2572" i="2"/>
  <c r="U2571" i="2"/>
  <c r="V2571" i="2" s="1"/>
  <c r="B2571" i="2"/>
  <c r="A2571" i="2"/>
  <c r="U2570" i="2"/>
  <c r="V2570" i="2" s="1"/>
  <c r="B2570" i="2"/>
  <c r="A2570" i="2"/>
  <c r="U2569" i="2"/>
  <c r="V2569" i="2" s="1"/>
  <c r="B2569" i="2"/>
  <c r="A2569" i="2"/>
  <c r="U2568" i="2"/>
  <c r="V2568" i="2" s="1"/>
  <c r="B2568" i="2"/>
  <c r="A2568" i="2"/>
  <c r="U2567" i="2"/>
  <c r="V2567" i="2" s="1"/>
  <c r="B2567" i="2"/>
  <c r="A2567" i="2"/>
  <c r="U2566" i="2"/>
  <c r="V2566" i="2" s="1"/>
  <c r="B2566" i="2"/>
  <c r="A2566" i="2"/>
  <c r="U2565" i="2"/>
  <c r="V2565" i="2" s="1"/>
  <c r="B2565" i="2"/>
  <c r="A2565" i="2"/>
  <c r="U2564" i="2"/>
  <c r="V2564" i="2" s="1"/>
  <c r="B2564" i="2"/>
  <c r="A2564" i="2"/>
  <c r="U2563" i="2"/>
  <c r="V2563" i="2" s="1"/>
  <c r="B2563" i="2"/>
  <c r="A2563" i="2"/>
  <c r="U2562" i="2"/>
  <c r="V2562" i="2" s="1"/>
  <c r="B2562" i="2"/>
  <c r="A2562" i="2"/>
  <c r="U2561" i="2"/>
  <c r="V2561" i="2" s="1"/>
  <c r="B2561" i="2"/>
  <c r="A2561" i="2"/>
  <c r="U2560" i="2"/>
  <c r="V2560" i="2" s="1"/>
  <c r="B2560" i="2"/>
  <c r="A2560" i="2"/>
  <c r="U2559" i="2"/>
  <c r="V2559" i="2" s="1"/>
  <c r="B2559" i="2"/>
  <c r="A2559" i="2"/>
  <c r="U2558" i="2"/>
  <c r="V2558" i="2" s="1"/>
  <c r="B2558" i="2"/>
  <c r="A2558" i="2"/>
  <c r="U2557" i="2"/>
  <c r="V2557" i="2" s="1"/>
  <c r="B2557" i="2"/>
  <c r="A2557" i="2"/>
  <c r="U2556" i="2"/>
  <c r="V2556" i="2" s="1"/>
  <c r="B2556" i="2"/>
  <c r="A2556" i="2"/>
  <c r="U2555" i="2"/>
  <c r="V2555" i="2" s="1"/>
  <c r="B2555" i="2"/>
  <c r="A2555" i="2"/>
  <c r="U2554" i="2"/>
  <c r="V2554" i="2" s="1"/>
  <c r="B2554" i="2"/>
  <c r="A2554" i="2"/>
  <c r="U2553" i="2"/>
  <c r="V2553" i="2" s="1"/>
  <c r="B2553" i="2"/>
  <c r="A2553" i="2"/>
  <c r="U2552" i="2"/>
  <c r="V2552" i="2" s="1"/>
  <c r="B2552" i="2"/>
  <c r="A2552" i="2"/>
  <c r="U2551" i="2"/>
  <c r="V2551" i="2" s="1"/>
  <c r="B2551" i="2"/>
  <c r="A2551" i="2"/>
  <c r="U2550" i="2"/>
  <c r="V2550" i="2" s="1"/>
  <c r="B2550" i="2"/>
  <c r="A2550" i="2"/>
  <c r="U2549" i="2"/>
  <c r="V2549" i="2" s="1"/>
  <c r="B2549" i="2"/>
  <c r="A2549" i="2"/>
  <c r="U2548" i="2"/>
  <c r="V2548" i="2" s="1"/>
  <c r="B2548" i="2"/>
  <c r="A2548" i="2"/>
  <c r="U2547" i="2"/>
  <c r="V2547" i="2" s="1"/>
  <c r="B2547" i="2"/>
  <c r="A2547" i="2"/>
  <c r="U2546" i="2"/>
  <c r="V2546" i="2" s="1"/>
  <c r="B2546" i="2"/>
  <c r="A2546" i="2"/>
  <c r="U2545" i="2"/>
  <c r="V2545" i="2" s="1"/>
  <c r="B2545" i="2"/>
  <c r="A2545" i="2"/>
  <c r="U2544" i="2"/>
  <c r="V2544" i="2" s="1"/>
  <c r="B2544" i="2"/>
  <c r="A2544" i="2"/>
  <c r="U2543" i="2"/>
  <c r="V2543" i="2" s="1"/>
  <c r="B2543" i="2"/>
  <c r="A2543" i="2"/>
  <c r="U2542" i="2"/>
  <c r="V2542" i="2" s="1"/>
  <c r="B2542" i="2"/>
  <c r="A2542" i="2"/>
  <c r="U2541" i="2"/>
  <c r="V2541" i="2" s="1"/>
  <c r="B2541" i="2"/>
  <c r="A2541" i="2"/>
  <c r="U2540" i="2"/>
  <c r="V2540" i="2" s="1"/>
  <c r="B2540" i="2"/>
  <c r="A2540" i="2"/>
  <c r="U2539" i="2"/>
  <c r="V2539" i="2" s="1"/>
  <c r="B2539" i="2"/>
  <c r="A2539" i="2"/>
  <c r="U2538" i="2"/>
  <c r="V2538" i="2" s="1"/>
  <c r="B2538" i="2"/>
  <c r="A2538" i="2"/>
  <c r="U2537" i="2"/>
  <c r="V2537" i="2" s="1"/>
  <c r="B2537" i="2"/>
  <c r="A2537" i="2"/>
  <c r="U2536" i="2"/>
  <c r="V2536" i="2" s="1"/>
  <c r="B2536" i="2"/>
  <c r="A2536" i="2"/>
  <c r="U2535" i="2"/>
  <c r="V2535" i="2" s="1"/>
  <c r="B2535" i="2"/>
  <c r="A2535" i="2"/>
  <c r="U2534" i="2"/>
  <c r="V2534" i="2" s="1"/>
  <c r="B2534" i="2"/>
  <c r="A2534" i="2"/>
  <c r="U2533" i="2"/>
  <c r="V2533" i="2" s="1"/>
  <c r="B2533" i="2"/>
  <c r="A2533" i="2"/>
  <c r="U2532" i="2"/>
  <c r="V2532" i="2" s="1"/>
  <c r="B2532" i="2"/>
  <c r="A2532" i="2"/>
  <c r="U2531" i="2"/>
  <c r="V2531" i="2" s="1"/>
  <c r="B2531" i="2"/>
  <c r="A2531" i="2"/>
  <c r="U2530" i="2"/>
  <c r="V2530" i="2" s="1"/>
  <c r="B2530" i="2"/>
  <c r="A2530" i="2"/>
  <c r="U2529" i="2"/>
  <c r="V2529" i="2" s="1"/>
  <c r="B2529" i="2"/>
  <c r="A2529" i="2"/>
  <c r="U2528" i="2"/>
  <c r="V2528" i="2" s="1"/>
  <c r="B2528" i="2"/>
  <c r="A2528" i="2"/>
  <c r="U2527" i="2"/>
  <c r="V2527" i="2" s="1"/>
  <c r="B2527" i="2"/>
  <c r="A2527" i="2"/>
  <c r="U2526" i="2"/>
  <c r="V2526" i="2" s="1"/>
  <c r="B2526" i="2"/>
  <c r="A2526" i="2"/>
  <c r="U2525" i="2"/>
  <c r="V2525" i="2" s="1"/>
  <c r="B2525" i="2"/>
  <c r="A2525" i="2"/>
  <c r="U2524" i="2"/>
  <c r="V2524" i="2" s="1"/>
  <c r="B2524" i="2"/>
  <c r="A2524" i="2"/>
  <c r="U2523" i="2"/>
  <c r="V2523" i="2" s="1"/>
  <c r="B2523" i="2"/>
  <c r="A2523" i="2"/>
  <c r="U2522" i="2"/>
  <c r="V2522" i="2" s="1"/>
  <c r="B2522" i="2"/>
  <c r="A2522" i="2"/>
  <c r="U2521" i="2"/>
  <c r="V2521" i="2" s="1"/>
  <c r="B2521" i="2"/>
  <c r="A2521" i="2"/>
  <c r="U2520" i="2"/>
  <c r="V2520" i="2" s="1"/>
  <c r="B2520" i="2"/>
  <c r="A2520" i="2"/>
  <c r="U2519" i="2"/>
  <c r="V2519" i="2" s="1"/>
  <c r="B2519" i="2"/>
  <c r="A2519" i="2"/>
  <c r="U2518" i="2"/>
  <c r="V2518" i="2" s="1"/>
  <c r="B2518" i="2"/>
  <c r="A2518" i="2"/>
  <c r="U2517" i="2"/>
  <c r="V2517" i="2" s="1"/>
  <c r="B2517" i="2"/>
  <c r="A2517" i="2"/>
  <c r="U2516" i="2"/>
  <c r="V2516" i="2" s="1"/>
  <c r="B2516" i="2"/>
  <c r="A2516" i="2"/>
  <c r="U2515" i="2"/>
  <c r="V2515" i="2" s="1"/>
  <c r="B2515" i="2"/>
  <c r="A2515" i="2"/>
  <c r="U2514" i="2"/>
  <c r="V2514" i="2" s="1"/>
  <c r="B2514" i="2"/>
  <c r="A2514" i="2"/>
  <c r="U2513" i="2"/>
  <c r="V2513" i="2" s="1"/>
  <c r="B2513" i="2"/>
  <c r="A2513" i="2"/>
  <c r="U2512" i="2"/>
  <c r="V2512" i="2" s="1"/>
  <c r="B2512" i="2"/>
  <c r="A2512" i="2"/>
  <c r="U2511" i="2"/>
  <c r="V2511" i="2" s="1"/>
  <c r="B2511" i="2"/>
  <c r="A2511" i="2"/>
  <c r="U2510" i="2"/>
  <c r="V2510" i="2" s="1"/>
  <c r="B2510" i="2"/>
  <c r="A2510" i="2"/>
  <c r="U2509" i="2"/>
  <c r="V2509" i="2" s="1"/>
  <c r="B2509" i="2"/>
  <c r="A2509" i="2"/>
  <c r="U2508" i="2"/>
  <c r="V2508" i="2" s="1"/>
  <c r="B2508" i="2"/>
  <c r="A2508" i="2"/>
  <c r="U2507" i="2"/>
  <c r="V2507" i="2" s="1"/>
  <c r="B2507" i="2"/>
  <c r="A2507" i="2"/>
  <c r="U2506" i="2"/>
  <c r="V2506" i="2" s="1"/>
  <c r="B2506" i="2"/>
  <c r="A2506" i="2"/>
  <c r="U2505" i="2"/>
  <c r="V2505" i="2" s="1"/>
  <c r="B2505" i="2"/>
  <c r="A2505" i="2"/>
  <c r="U2504" i="2"/>
  <c r="V2504" i="2" s="1"/>
  <c r="B2504" i="2"/>
  <c r="A2504" i="2"/>
  <c r="U2503" i="2"/>
  <c r="V2503" i="2" s="1"/>
  <c r="B2503" i="2"/>
  <c r="A2503" i="2"/>
  <c r="U2502" i="2"/>
  <c r="V2502" i="2" s="1"/>
  <c r="B2502" i="2"/>
  <c r="A2502" i="2"/>
  <c r="U2501" i="2"/>
  <c r="V2501" i="2" s="1"/>
  <c r="B2501" i="2"/>
  <c r="A2501" i="2"/>
  <c r="U2500" i="2"/>
  <c r="V2500" i="2" s="1"/>
  <c r="B2500" i="2"/>
  <c r="A2500" i="2"/>
  <c r="U2499" i="2"/>
  <c r="V2499" i="2" s="1"/>
  <c r="B2499" i="2"/>
  <c r="A2499" i="2"/>
  <c r="U2498" i="2"/>
  <c r="V2498" i="2" s="1"/>
  <c r="B2498" i="2"/>
  <c r="A2498" i="2"/>
  <c r="U2497" i="2"/>
  <c r="V2497" i="2" s="1"/>
  <c r="B2497" i="2"/>
  <c r="A2497" i="2"/>
  <c r="U2496" i="2"/>
  <c r="V2496" i="2" s="1"/>
  <c r="B2496" i="2"/>
  <c r="A2496" i="2"/>
  <c r="U2495" i="2"/>
  <c r="V2495" i="2" s="1"/>
  <c r="B2495" i="2"/>
  <c r="A2495" i="2"/>
  <c r="U2494" i="2"/>
  <c r="V2494" i="2" s="1"/>
  <c r="B2494" i="2"/>
  <c r="A2494" i="2"/>
  <c r="U2493" i="2"/>
  <c r="V2493" i="2" s="1"/>
  <c r="B2493" i="2"/>
  <c r="A2493" i="2"/>
  <c r="U2492" i="2"/>
  <c r="V2492" i="2" s="1"/>
  <c r="B2492" i="2"/>
  <c r="A2492" i="2"/>
  <c r="U2491" i="2"/>
  <c r="V2491" i="2" s="1"/>
  <c r="B2491" i="2"/>
  <c r="A2491" i="2"/>
  <c r="U2490" i="2"/>
  <c r="V2490" i="2" s="1"/>
  <c r="B2490" i="2"/>
  <c r="A2490" i="2"/>
  <c r="U2489" i="2"/>
  <c r="V2489" i="2" s="1"/>
  <c r="B2489" i="2"/>
  <c r="A2489" i="2"/>
  <c r="U2488" i="2"/>
  <c r="V2488" i="2" s="1"/>
  <c r="B2488" i="2"/>
  <c r="A2488" i="2"/>
  <c r="U2487" i="2"/>
  <c r="V2487" i="2" s="1"/>
  <c r="B2487" i="2"/>
  <c r="A2487" i="2"/>
  <c r="U2486" i="2"/>
  <c r="V2486" i="2" s="1"/>
  <c r="B2486" i="2"/>
  <c r="A2486" i="2"/>
  <c r="U2485" i="2"/>
  <c r="V2485" i="2" s="1"/>
  <c r="B2485" i="2"/>
  <c r="A2485" i="2"/>
  <c r="U2484" i="2"/>
  <c r="V2484" i="2" s="1"/>
  <c r="B2484" i="2"/>
  <c r="A2484" i="2"/>
  <c r="U2483" i="2"/>
  <c r="V2483" i="2" s="1"/>
  <c r="B2483" i="2"/>
  <c r="A2483" i="2"/>
  <c r="U2482" i="2"/>
  <c r="V2482" i="2" s="1"/>
  <c r="B2482" i="2"/>
  <c r="A2482" i="2"/>
  <c r="U2481" i="2"/>
  <c r="V2481" i="2" s="1"/>
  <c r="B2481" i="2"/>
  <c r="A2481" i="2"/>
  <c r="U2480" i="2"/>
  <c r="V2480" i="2" s="1"/>
  <c r="B2480" i="2"/>
  <c r="A2480" i="2"/>
  <c r="U2479" i="2"/>
  <c r="V2479" i="2" s="1"/>
  <c r="B2479" i="2"/>
  <c r="A2479" i="2"/>
  <c r="U2478" i="2"/>
  <c r="V2478" i="2" s="1"/>
  <c r="B2478" i="2"/>
  <c r="A2478" i="2"/>
  <c r="U2477" i="2"/>
  <c r="V2477" i="2" s="1"/>
  <c r="B2477" i="2"/>
  <c r="A2477" i="2"/>
  <c r="U2476" i="2"/>
  <c r="V2476" i="2" s="1"/>
  <c r="B2476" i="2"/>
  <c r="A2476" i="2"/>
  <c r="U2475" i="2"/>
  <c r="V2475" i="2" s="1"/>
  <c r="B2475" i="2"/>
  <c r="A2475" i="2"/>
  <c r="U2474" i="2"/>
  <c r="V2474" i="2" s="1"/>
  <c r="B2474" i="2"/>
  <c r="A2474" i="2"/>
  <c r="U2473" i="2"/>
  <c r="V2473" i="2" s="1"/>
  <c r="B2473" i="2"/>
  <c r="A2473" i="2"/>
  <c r="U2472" i="2"/>
  <c r="V2472" i="2" s="1"/>
  <c r="B2472" i="2"/>
  <c r="A2472" i="2"/>
  <c r="U2471" i="2"/>
  <c r="V2471" i="2" s="1"/>
  <c r="B2471" i="2"/>
  <c r="A2471" i="2"/>
  <c r="U2470" i="2"/>
  <c r="V2470" i="2" s="1"/>
  <c r="B2470" i="2"/>
  <c r="A2470" i="2"/>
  <c r="U2469" i="2"/>
  <c r="V2469" i="2" s="1"/>
  <c r="B2469" i="2"/>
  <c r="A2469" i="2"/>
  <c r="U2468" i="2"/>
  <c r="V2468" i="2" s="1"/>
  <c r="B2468" i="2"/>
  <c r="A2468" i="2"/>
  <c r="U2467" i="2"/>
  <c r="V2467" i="2" s="1"/>
  <c r="B2467" i="2"/>
  <c r="A2467" i="2"/>
  <c r="U2466" i="2"/>
  <c r="V2466" i="2" s="1"/>
  <c r="B2466" i="2"/>
  <c r="A2466" i="2"/>
  <c r="U2465" i="2"/>
  <c r="V2465" i="2" s="1"/>
  <c r="B2465" i="2"/>
  <c r="A2465" i="2"/>
  <c r="U2464" i="2"/>
  <c r="V2464" i="2" s="1"/>
  <c r="B2464" i="2"/>
  <c r="A2464" i="2"/>
  <c r="U2463" i="2"/>
  <c r="V2463" i="2" s="1"/>
  <c r="B2463" i="2"/>
  <c r="A2463" i="2"/>
  <c r="U2462" i="2"/>
  <c r="V2462" i="2" s="1"/>
  <c r="B2462" i="2"/>
  <c r="A2462" i="2"/>
  <c r="U2461" i="2"/>
  <c r="V2461" i="2" s="1"/>
  <c r="B2461" i="2"/>
  <c r="A2461" i="2"/>
  <c r="U2460" i="2"/>
  <c r="V2460" i="2" s="1"/>
  <c r="B2460" i="2"/>
  <c r="A2460" i="2"/>
  <c r="U2459" i="2"/>
  <c r="V2459" i="2" s="1"/>
  <c r="B2459" i="2"/>
  <c r="A2459" i="2"/>
  <c r="U2458" i="2"/>
  <c r="V2458" i="2" s="1"/>
  <c r="B2458" i="2"/>
  <c r="A2458" i="2"/>
  <c r="U2457" i="2"/>
  <c r="V2457" i="2" s="1"/>
  <c r="B2457" i="2"/>
  <c r="A2457" i="2"/>
  <c r="U2456" i="2"/>
  <c r="V2456" i="2" s="1"/>
  <c r="B2456" i="2"/>
  <c r="A2456" i="2"/>
  <c r="U2455" i="2"/>
  <c r="V2455" i="2" s="1"/>
  <c r="B2455" i="2"/>
  <c r="A2455" i="2"/>
  <c r="U2454" i="2"/>
  <c r="V2454" i="2" s="1"/>
  <c r="B2454" i="2"/>
  <c r="A2454" i="2"/>
  <c r="U2453" i="2"/>
  <c r="V2453" i="2" s="1"/>
  <c r="B2453" i="2"/>
  <c r="A2453" i="2"/>
  <c r="U2452" i="2"/>
  <c r="V2452" i="2" s="1"/>
  <c r="B2452" i="2"/>
  <c r="A2452" i="2"/>
  <c r="U2451" i="2"/>
  <c r="V2451" i="2" s="1"/>
  <c r="B2451" i="2"/>
  <c r="A2451" i="2"/>
  <c r="U2450" i="2"/>
  <c r="V2450" i="2" s="1"/>
  <c r="B2450" i="2"/>
  <c r="A2450" i="2"/>
  <c r="U2449" i="2"/>
  <c r="V2449" i="2" s="1"/>
  <c r="B2449" i="2"/>
  <c r="A2449" i="2"/>
  <c r="U2448" i="2"/>
  <c r="V2448" i="2" s="1"/>
  <c r="B2448" i="2"/>
  <c r="A2448" i="2"/>
  <c r="U2447" i="2"/>
  <c r="V2447" i="2" s="1"/>
  <c r="B2447" i="2"/>
  <c r="A2447" i="2"/>
  <c r="U2446" i="2"/>
  <c r="V2446" i="2" s="1"/>
  <c r="B2446" i="2"/>
  <c r="A2446" i="2"/>
  <c r="U2445" i="2"/>
  <c r="V2445" i="2" s="1"/>
  <c r="B2445" i="2"/>
  <c r="A2445" i="2"/>
  <c r="U2444" i="2"/>
  <c r="V2444" i="2" s="1"/>
  <c r="B2444" i="2"/>
  <c r="A2444" i="2"/>
  <c r="U2443" i="2"/>
  <c r="V2443" i="2" s="1"/>
  <c r="B2443" i="2"/>
  <c r="A2443" i="2"/>
  <c r="U2442" i="2"/>
  <c r="V2442" i="2" s="1"/>
  <c r="B2442" i="2"/>
  <c r="A2442" i="2"/>
  <c r="U2441" i="2"/>
  <c r="V2441" i="2" s="1"/>
  <c r="B2441" i="2"/>
  <c r="A2441" i="2"/>
  <c r="U2440" i="2"/>
  <c r="V2440" i="2" s="1"/>
  <c r="B2440" i="2"/>
  <c r="A2440" i="2"/>
  <c r="U2439" i="2"/>
  <c r="V2439" i="2" s="1"/>
  <c r="B2439" i="2"/>
  <c r="A2439" i="2"/>
  <c r="U2438" i="2"/>
  <c r="V2438" i="2" s="1"/>
  <c r="B2438" i="2"/>
  <c r="A2438" i="2"/>
  <c r="U2437" i="2"/>
  <c r="V2437" i="2" s="1"/>
  <c r="B2437" i="2"/>
  <c r="A2437" i="2"/>
  <c r="U2436" i="2"/>
  <c r="V2436" i="2" s="1"/>
  <c r="B2436" i="2"/>
  <c r="A2436" i="2"/>
  <c r="U2435" i="2"/>
  <c r="V2435" i="2" s="1"/>
  <c r="B2435" i="2"/>
  <c r="A2435" i="2"/>
  <c r="U2434" i="2"/>
  <c r="V2434" i="2" s="1"/>
  <c r="B2434" i="2"/>
  <c r="A2434" i="2"/>
  <c r="U2433" i="2"/>
  <c r="V2433" i="2" s="1"/>
  <c r="B2433" i="2"/>
  <c r="A2433" i="2"/>
  <c r="U2432" i="2"/>
  <c r="V2432" i="2" s="1"/>
  <c r="B2432" i="2"/>
  <c r="A2432" i="2"/>
  <c r="U2431" i="2"/>
  <c r="V2431" i="2" s="1"/>
  <c r="B2431" i="2"/>
  <c r="A2431" i="2"/>
  <c r="U2430" i="2"/>
  <c r="V2430" i="2" s="1"/>
  <c r="B2430" i="2"/>
  <c r="A2430" i="2"/>
  <c r="U2429" i="2"/>
  <c r="V2429" i="2" s="1"/>
  <c r="B2429" i="2"/>
  <c r="A2429" i="2"/>
  <c r="U2428" i="2"/>
  <c r="V2428" i="2" s="1"/>
  <c r="B2428" i="2"/>
  <c r="A2428" i="2"/>
  <c r="U2427" i="2"/>
  <c r="V2427" i="2" s="1"/>
  <c r="B2427" i="2"/>
  <c r="A2427" i="2"/>
  <c r="U2426" i="2"/>
  <c r="V2426" i="2" s="1"/>
  <c r="B2426" i="2"/>
  <c r="A2426" i="2"/>
  <c r="U2425" i="2"/>
  <c r="V2425" i="2" s="1"/>
  <c r="B2425" i="2"/>
  <c r="A2425" i="2"/>
  <c r="U2424" i="2"/>
  <c r="V2424" i="2" s="1"/>
  <c r="B2424" i="2"/>
  <c r="A2424" i="2"/>
  <c r="U2423" i="2"/>
  <c r="V2423" i="2" s="1"/>
  <c r="B2423" i="2"/>
  <c r="A2423" i="2"/>
  <c r="U2422" i="2"/>
  <c r="V2422" i="2" s="1"/>
  <c r="B2422" i="2"/>
  <c r="A2422" i="2"/>
  <c r="U2421" i="2"/>
  <c r="V2421" i="2" s="1"/>
  <c r="B2421" i="2"/>
  <c r="A2421" i="2"/>
  <c r="U2420" i="2"/>
  <c r="V2420" i="2" s="1"/>
  <c r="B2420" i="2"/>
  <c r="A2420" i="2"/>
  <c r="U2419" i="2"/>
  <c r="V2419" i="2" s="1"/>
  <c r="B2419" i="2"/>
  <c r="A2419" i="2"/>
  <c r="U2418" i="2"/>
  <c r="V2418" i="2" s="1"/>
  <c r="B2418" i="2"/>
  <c r="A2418" i="2"/>
  <c r="U2417" i="2"/>
  <c r="V2417" i="2" s="1"/>
  <c r="B2417" i="2"/>
  <c r="A2417" i="2"/>
  <c r="U2416" i="2"/>
  <c r="V2416" i="2" s="1"/>
  <c r="B2416" i="2"/>
  <c r="A2416" i="2"/>
  <c r="U2415" i="2"/>
  <c r="V2415" i="2" s="1"/>
  <c r="B2415" i="2"/>
  <c r="A2415" i="2"/>
  <c r="U2414" i="2"/>
  <c r="V2414" i="2" s="1"/>
  <c r="B2414" i="2"/>
  <c r="A2414" i="2"/>
  <c r="U2413" i="2"/>
  <c r="V2413" i="2" s="1"/>
  <c r="B2413" i="2"/>
  <c r="A2413" i="2"/>
  <c r="U2412" i="2"/>
  <c r="V2412" i="2" s="1"/>
  <c r="B2412" i="2"/>
  <c r="A2412" i="2"/>
  <c r="U2411" i="2"/>
  <c r="V2411" i="2" s="1"/>
  <c r="B2411" i="2"/>
  <c r="A2411" i="2"/>
  <c r="U2410" i="2"/>
  <c r="V2410" i="2" s="1"/>
  <c r="B2410" i="2"/>
  <c r="A2410" i="2"/>
  <c r="U2409" i="2"/>
  <c r="V2409" i="2" s="1"/>
  <c r="B2409" i="2"/>
  <c r="A2409" i="2"/>
  <c r="U2408" i="2"/>
  <c r="V2408" i="2" s="1"/>
  <c r="B2408" i="2"/>
  <c r="A2408" i="2"/>
  <c r="U2407" i="2"/>
  <c r="V2407" i="2" s="1"/>
  <c r="B2407" i="2"/>
  <c r="A2407" i="2"/>
  <c r="U2406" i="2"/>
  <c r="V2406" i="2" s="1"/>
  <c r="B2406" i="2"/>
  <c r="A2406" i="2"/>
  <c r="U2405" i="2"/>
  <c r="V2405" i="2" s="1"/>
  <c r="B2405" i="2"/>
  <c r="A2405" i="2"/>
  <c r="U2404" i="2"/>
  <c r="V2404" i="2" s="1"/>
  <c r="B2404" i="2"/>
  <c r="A2404" i="2"/>
  <c r="U2403" i="2"/>
  <c r="V2403" i="2" s="1"/>
  <c r="B2403" i="2"/>
  <c r="A2403" i="2"/>
  <c r="U2402" i="2"/>
  <c r="V2402" i="2" s="1"/>
  <c r="B2402" i="2"/>
  <c r="A2402" i="2"/>
  <c r="U2401" i="2"/>
  <c r="V2401" i="2" s="1"/>
  <c r="B2401" i="2"/>
  <c r="A2401" i="2"/>
  <c r="U2400" i="2"/>
  <c r="V2400" i="2" s="1"/>
  <c r="B2400" i="2"/>
  <c r="A2400" i="2"/>
  <c r="U2399" i="2"/>
  <c r="V2399" i="2" s="1"/>
  <c r="B2399" i="2"/>
  <c r="A2399" i="2"/>
  <c r="U2398" i="2"/>
  <c r="V2398" i="2" s="1"/>
  <c r="B2398" i="2"/>
  <c r="A2398" i="2"/>
  <c r="U2397" i="2"/>
  <c r="V2397" i="2" s="1"/>
  <c r="B2397" i="2"/>
  <c r="A2397" i="2"/>
  <c r="U2396" i="2"/>
  <c r="V2396" i="2" s="1"/>
  <c r="B2396" i="2"/>
  <c r="A2396" i="2"/>
  <c r="U2395" i="2"/>
  <c r="V2395" i="2" s="1"/>
  <c r="B2395" i="2"/>
  <c r="A2395" i="2"/>
  <c r="U2394" i="2"/>
  <c r="V2394" i="2" s="1"/>
  <c r="B2394" i="2"/>
  <c r="A2394" i="2"/>
  <c r="U2393" i="2"/>
  <c r="V2393" i="2" s="1"/>
  <c r="B2393" i="2"/>
  <c r="A2393" i="2"/>
  <c r="U2392" i="2"/>
  <c r="V2392" i="2" s="1"/>
  <c r="B2392" i="2"/>
  <c r="A2392" i="2"/>
  <c r="U2391" i="2"/>
  <c r="V2391" i="2" s="1"/>
  <c r="B2391" i="2"/>
  <c r="A2391" i="2"/>
  <c r="U2390" i="2"/>
  <c r="V2390" i="2" s="1"/>
  <c r="B2390" i="2"/>
  <c r="A2390" i="2"/>
  <c r="U2389" i="2"/>
  <c r="V2389" i="2" s="1"/>
  <c r="B2389" i="2"/>
  <c r="A2389" i="2"/>
  <c r="U2388" i="2"/>
  <c r="V2388" i="2" s="1"/>
  <c r="B2388" i="2"/>
  <c r="A2388" i="2"/>
  <c r="U2387" i="2"/>
  <c r="V2387" i="2" s="1"/>
  <c r="B2387" i="2"/>
  <c r="A2387" i="2"/>
  <c r="U2386" i="2"/>
  <c r="V2386" i="2" s="1"/>
  <c r="B2386" i="2"/>
  <c r="A2386" i="2"/>
  <c r="U2385" i="2"/>
  <c r="V2385" i="2" s="1"/>
  <c r="B2385" i="2"/>
  <c r="A2385" i="2"/>
  <c r="U2384" i="2"/>
  <c r="V2384" i="2" s="1"/>
  <c r="B2384" i="2"/>
  <c r="A2384" i="2"/>
  <c r="U2383" i="2"/>
  <c r="V2383" i="2" s="1"/>
  <c r="B2383" i="2"/>
  <c r="A2383" i="2"/>
  <c r="U2382" i="2"/>
  <c r="V2382" i="2" s="1"/>
  <c r="B2382" i="2"/>
  <c r="A2382" i="2"/>
  <c r="U2381" i="2"/>
  <c r="V2381" i="2" s="1"/>
  <c r="B2381" i="2"/>
  <c r="A2381" i="2"/>
  <c r="U2380" i="2"/>
  <c r="V2380" i="2" s="1"/>
  <c r="B2380" i="2"/>
  <c r="A2380" i="2"/>
  <c r="U2379" i="2"/>
  <c r="V2379" i="2" s="1"/>
  <c r="B2379" i="2"/>
  <c r="A2379" i="2"/>
  <c r="U2378" i="2"/>
  <c r="V2378" i="2" s="1"/>
  <c r="B2378" i="2"/>
  <c r="A2378" i="2"/>
  <c r="U2377" i="2"/>
  <c r="V2377" i="2" s="1"/>
  <c r="B2377" i="2"/>
  <c r="A2377" i="2"/>
  <c r="U2376" i="2"/>
  <c r="V2376" i="2" s="1"/>
  <c r="B2376" i="2"/>
  <c r="A2376" i="2"/>
  <c r="U2375" i="2"/>
  <c r="V2375" i="2" s="1"/>
  <c r="B2375" i="2"/>
  <c r="A2375" i="2"/>
  <c r="U2374" i="2"/>
  <c r="V2374" i="2" s="1"/>
  <c r="B2374" i="2"/>
  <c r="A2374" i="2"/>
  <c r="U2373" i="2"/>
  <c r="V2373" i="2" s="1"/>
  <c r="B2373" i="2"/>
  <c r="A2373" i="2"/>
  <c r="U2372" i="2"/>
  <c r="V2372" i="2" s="1"/>
  <c r="B2372" i="2"/>
  <c r="A2372" i="2"/>
  <c r="U2371" i="2"/>
  <c r="V2371" i="2" s="1"/>
  <c r="B2371" i="2"/>
  <c r="A2371" i="2"/>
  <c r="U2370" i="2"/>
  <c r="V2370" i="2" s="1"/>
  <c r="B2370" i="2"/>
  <c r="A2370" i="2"/>
  <c r="U2369" i="2"/>
  <c r="V2369" i="2" s="1"/>
  <c r="B2369" i="2"/>
  <c r="A2369" i="2"/>
  <c r="U2368" i="2"/>
  <c r="V2368" i="2" s="1"/>
  <c r="B2368" i="2"/>
  <c r="A2368" i="2"/>
  <c r="U2367" i="2"/>
  <c r="V2367" i="2" s="1"/>
  <c r="B2367" i="2"/>
  <c r="A2367" i="2"/>
  <c r="U2366" i="2"/>
  <c r="V2366" i="2" s="1"/>
  <c r="B2366" i="2"/>
  <c r="A2366" i="2"/>
  <c r="U2365" i="2"/>
  <c r="V2365" i="2" s="1"/>
  <c r="B2365" i="2"/>
  <c r="A2365" i="2"/>
  <c r="U2364" i="2"/>
  <c r="V2364" i="2" s="1"/>
  <c r="B2364" i="2"/>
  <c r="A2364" i="2"/>
  <c r="U2363" i="2"/>
  <c r="V2363" i="2" s="1"/>
  <c r="B2363" i="2"/>
  <c r="A2363" i="2"/>
  <c r="U2362" i="2"/>
  <c r="V2362" i="2" s="1"/>
  <c r="B2362" i="2"/>
  <c r="A2362" i="2"/>
  <c r="U2361" i="2"/>
  <c r="V2361" i="2" s="1"/>
  <c r="B2361" i="2"/>
  <c r="A2361" i="2"/>
  <c r="U2360" i="2"/>
  <c r="V2360" i="2" s="1"/>
  <c r="B2360" i="2"/>
  <c r="A2360" i="2"/>
  <c r="U2359" i="2"/>
  <c r="V2359" i="2" s="1"/>
  <c r="B2359" i="2"/>
  <c r="A2359" i="2"/>
  <c r="U2358" i="2"/>
  <c r="V2358" i="2" s="1"/>
  <c r="B2358" i="2"/>
  <c r="A2358" i="2"/>
  <c r="U2357" i="2"/>
  <c r="V2357" i="2" s="1"/>
  <c r="B2357" i="2"/>
  <c r="A2357" i="2"/>
  <c r="U2356" i="2"/>
  <c r="V2356" i="2" s="1"/>
  <c r="B2356" i="2"/>
  <c r="A2356" i="2"/>
  <c r="U2355" i="2"/>
  <c r="V2355" i="2" s="1"/>
  <c r="B2355" i="2"/>
  <c r="A2355" i="2"/>
  <c r="U2354" i="2"/>
  <c r="V2354" i="2" s="1"/>
  <c r="B2354" i="2"/>
  <c r="A2354" i="2"/>
  <c r="U2353" i="2"/>
  <c r="V2353" i="2" s="1"/>
  <c r="B2353" i="2"/>
  <c r="A2353" i="2"/>
  <c r="U2352" i="2"/>
  <c r="V2352" i="2" s="1"/>
  <c r="B2352" i="2"/>
  <c r="A2352" i="2"/>
  <c r="U2351" i="2"/>
  <c r="V2351" i="2" s="1"/>
  <c r="B2351" i="2"/>
  <c r="A2351" i="2"/>
  <c r="U2350" i="2"/>
  <c r="V2350" i="2" s="1"/>
  <c r="B2350" i="2"/>
  <c r="A2350" i="2"/>
  <c r="U2349" i="2"/>
  <c r="V2349" i="2" s="1"/>
  <c r="B2349" i="2"/>
  <c r="A2349" i="2"/>
  <c r="U2348" i="2"/>
  <c r="V2348" i="2" s="1"/>
  <c r="B2348" i="2"/>
  <c r="A2348" i="2"/>
  <c r="U2347" i="2"/>
  <c r="V2347" i="2" s="1"/>
  <c r="B2347" i="2"/>
  <c r="A2347" i="2"/>
  <c r="U2346" i="2"/>
  <c r="V2346" i="2" s="1"/>
  <c r="B2346" i="2"/>
  <c r="A2346" i="2"/>
  <c r="U2345" i="2"/>
  <c r="V2345" i="2" s="1"/>
  <c r="B2345" i="2"/>
  <c r="A2345" i="2"/>
  <c r="U2344" i="2"/>
  <c r="V2344" i="2" s="1"/>
  <c r="B2344" i="2"/>
  <c r="A2344" i="2"/>
  <c r="U2343" i="2"/>
  <c r="V2343" i="2" s="1"/>
  <c r="B2343" i="2"/>
  <c r="A2343" i="2"/>
  <c r="U2342" i="2"/>
  <c r="V2342" i="2" s="1"/>
  <c r="B2342" i="2"/>
  <c r="A2342" i="2"/>
  <c r="U2341" i="2"/>
  <c r="V2341" i="2" s="1"/>
  <c r="B2341" i="2"/>
  <c r="A2341" i="2"/>
  <c r="U2340" i="2"/>
  <c r="V2340" i="2" s="1"/>
  <c r="B2340" i="2"/>
  <c r="A2340" i="2"/>
  <c r="U2339" i="2"/>
  <c r="V2339" i="2" s="1"/>
  <c r="B2339" i="2"/>
  <c r="A2339" i="2"/>
  <c r="U2338" i="2"/>
  <c r="V2338" i="2" s="1"/>
  <c r="B2338" i="2"/>
  <c r="A2338" i="2"/>
  <c r="U2337" i="2"/>
  <c r="V2337" i="2" s="1"/>
  <c r="B2337" i="2"/>
  <c r="A2337" i="2"/>
  <c r="U2336" i="2"/>
  <c r="V2336" i="2" s="1"/>
  <c r="B2336" i="2"/>
  <c r="A2336" i="2"/>
  <c r="U2335" i="2"/>
  <c r="V2335" i="2" s="1"/>
  <c r="B2335" i="2"/>
  <c r="A2335" i="2"/>
  <c r="U2334" i="2"/>
  <c r="V2334" i="2" s="1"/>
  <c r="B2334" i="2"/>
  <c r="A2334" i="2"/>
  <c r="U2333" i="2"/>
  <c r="V2333" i="2" s="1"/>
  <c r="B2333" i="2"/>
  <c r="A2333" i="2"/>
  <c r="U2332" i="2"/>
  <c r="V2332" i="2" s="1"/>
  <c r="B2332" i="2"/>
  <c r="A2332" i="2"/>
  <c r="U2331" i="2"/>
  <c r="V2331" i="2" s="1"/>
  <c r="B2331" i="2"/>
  <c r="A2331" i="2"/>
  <c r="U2330" i="2"/>
  <c r="V2330" i="2" s="1"/>
  <c r="B2330" i="2"/>
  <c r="A2330" i="2"/>
  <c r="U2329" i="2"/>
  <c r="V2329" i="2" s="1"/>
  <c r="B2329" i="2"/>
  <c r="A2329" i="2"/>
  <c r="U2328" i="2"/>
  <c r="V2328" i="2" s="1"/>
  <c r="B2328" i="2"/>
  <c r="A2328" i="2"/>
  <c r="U2327" i="2"/>
  <c r="V2327" i="2" s="1"/>
  <c r="B2327" i="2"/>
  <c r="A2327" i="2"/>
  <c r="U2326" i="2"/>
  <c r="V2326" i="2" s="1"/>
  <c r="B2326" i="2"/>
  <c r="A2326" i="2"/>
  <c r="U2325" i="2"/>
  <c r="V2325" i="2" s="1"/>
  <c r="B2325" i="2"/>
  <c r="A2325" i="2"/>
  <c r="U2324" i="2"/>
  <c r="V2324" i="2" s="1"/>
  <c r="B2324" i="2"/>
  <c r="A2324" i="2"/>
  <c r="U2323" i="2"/>
  <c r="V2323" i="2" s="1"/>
  <c r="B2323" i="2"/>
  <c r="A2323" i="2"/>
  <c r="U2322" i="2"/>
  <c r="V2322" i="2" s="1"/>
  <c r="B2322" i="2"/>
  <c r="A2322" i="2"/>
  <c r="U2321" i="2"/>
  <c r="V2321" i="2" s="1"/>
  <c r="B2321" i="2"/>
  <c r="A2321" i="2"/>
  <c r="U2320" i="2"/>
  <c r="V2320" i="2" s="1"/>
  <c r="B2320" i="2"/>
  <c r="A2320" i="2"/>
  <c r="U2319" i="2"/>
  <c r="V2319" i="2" s="1"/>
  <c r="B2319" i="2"/>
  <c r="A2319" i="2"/>
  <c r="U2318" i="2"/>
  <c r="V2318" i="2" s="1"/>
  <c r="B2318" i="2"/>
  <c r="A2318" i="2"/>
  <c r="U2317" i="2"/>
  <c r="V2317" i="2" s="1"/>
  <c r="B2317" i="2"/>
  <c r="A2317" i="2"/>
  <c r="U2316" i="2"/>
  <c r="V2316" i="2" s="1"/>
  <c r="B2316" i="2"/>
  <c r="A2316" i="2"/>
  <c r="U2315" i="2"/>
  <c r="V2315" i="2" s="1"/>
  <c r="B2315" i="2"/>
  <c r="A2315" i="2"/>
  <c r="U2314" i="2"/>
  <c r="V2314" i="2" s="1"/>
  <c r="B2314" i="2"/>
  <c r="A2314" i="2"/>
  <c r="U2313" i="2"/>
  <c r="V2313" i="2" s="1"/>
  <c r="B2313" i="2"/>
  <c r="A2313" i="2"/>
  <c r="U2312" i="2"/>
  <c r="V2312" i="2" s="1"/>
  <c r="B2312" i="2"/>
  <c r="A2312" i="2"/>
  <c r="U2311" i="2"/>
  <c r="V2311" i="2" s="1"/>
  <c r="B2311" i="2"/>
  <c r="A2311" i="2"/>
  <c r="U2310" i="2"/>
  <c r="V2310" i="2" s="1"/>
  <c r="B2310" i="2"/>
  <c r="A2310" i="2"/>
  <c r="U2309" i="2"/>
  <c r="V2309" i="2" s="1"/>
  <c r="B2309" i="2"/>
  <c r="A2309" i="2"/>
  <c r="U2308" i="2"/>
  <c r="V2308" i="2" s="1"/>
  <c r="B2308" i="2"/>
  <c r="A2308" i="2"/>
  <c r="U2307" i="2"/>
  <c r="V2307" i="2" s="1"/>
  <c r="B2307" i="2"/>
  <c r="A2307" i="2"/>
  <c r="U2306" i="2"/>
  <c r="V2306" i="2" s="1"/>
  <c r="B2306" i="2"/>
  <c r="A2306" i="2"/>
  <c r="U2305" i="2"/>
  <c r="V2305" i="2" s="1"/>
  <c r="B2305" i="2"/>
  <c r="A2305" i="2"/>
  <c r="U2304" i="2"/>
  <c r="V2304" i="2" s="1"/>
  <c r="B2304" i="2"/>
  <c r="A2304" i="2"/>
  <c r="U2303" i="2"/>
  <c r="V2303" i="2" s="1"/>
  <c r="B2303" i="2"/>
  <c r="A2303" i="2"/>
  <c r="U2302" i="2"/>
  <c r="V2302" i="2" s="1"/>
  <c r="B2302" i="2"/>
  <c r="A2302" i="2"/>
  <c r="U2301" i="2"/>
  <c r="V2301" i="2" s="1"/>
  <c r="B2301" i="2"/>
  <c r="A2301" i="2"/>
  <c r="U2300" i="2"/>
  <c r="V2300" i="2" s="1"/>
  <c r="B2300" i="2"/>
  <c r="A2300" i="2"/>
  <c r="U2299" i="2"/>
  <c r="V2299" i="2" s="1"/>
  <c r="B2299" i="2"/>
  <c r="A2299" i="2"/>
  <c r="U2298" i="2"/>
  <c r="V2298" i="2" s="1"/>
  <c r="B2298" i="2"/>
  <c r="A2298" i="2"/>
  <c r="U2297" i="2"/>
  <c r="V2297" i="2" s="1"/>
  <c r="B2297" i="2"/>
  <c r="A2297" i="2"/>
  <c r="U2296" i="2"/>
  <c r="V2296" i="2" s="1"/>
  <c r="B2296" i="2"/>
  <c r="A2296" i="2"/>
  <c r="U2295" i="2"/>
  <c r="V2295" i="2" s="1"/>
  <c r="B2295" i="2"/>
  <c r="A2295" i="2"/>
  <c r="U2294" i="2"/>
  <c r="V2294" i="2" s="1"/>
  <c r="B2294" i="2"/>
  <c r="A2294" i="2"/>
  <c r="U2293" i="2"/>
  <c r="V2293" i="2" s="1"/>
  <c r="B2293" i="2"/>
  <c r="A2293" i="2"/>
  <c r="U2292" i="2"/>
  <c r="V2292" i="2" s="1"/>
  <c r="B2292" i="2"/>
  <c r="A2292" i="2"/>
  <c r="U2291" i="2"/>
  <c r="V2291" i="2" s="1"/>
  <c r="B2291" i="2"/>
  <c r="A2291" i="2"/>
  <c r="U2290" i="2"/>
  <c r="V2290" i="2" s="1"/>
  <c r="B2290" i="2"/>
  <c r="A2290" i="2"/>
  <c r="U2289" i="2"/>
  <c r="V2289" i="2" s="1"/>
  <c r="B2289" i="2"/>
  <c r="A2289" i="2"/>
  <c r="U2288" i="2"/>
  <c r="V2288" i="2" s="1"/>
  <c r="B2288" i="2"/>
  <c r="A2288" i="2"/>
  <c r="U2287" i="2"/>
  <c r="V2287" i="2" s="1"/>
  <c r="B2287" i="2"/>
  <c r="A2287" i="2"/>
  <c r="U2286" i="2"/>
  <c r="V2286" i="2" s="1"/>
  <c r="B2286" i="2"/>
  <c r="A2286" i="2"/>
  <c r="U2285" i="2"/>
  <c r="V2285" i="2" s="1"/>
  <c r="B2285" i="2"/>
  <c r="A2285" i="2"/>
  <c r="U2284" i="2"/>
  <c r="V2284" i="2" s="1"/>
  <c r="B2284" i="2"/>
  <c r="A2284" i="2"/>
  <c r="U2283" i="2"/>
  <c r="V2283" i="2" s="1"/>
  <c r="B2283" i="2"/>
  <c r="A2283" i="2"/>
  <c r="U2282" i="2"/>
  <c r="V2282" i="2" s="1"/>
  <c r="B2282" i="2"/>
  <c r="A2282" i="2"/>
  <c r="U2281" i="2"/>
  <c r="V2281" i="2" s="1"/>
  <c r="B2281" i="2"/>
  <c r="A2281" i="2"/>
  <c r="U2280" i="2"/>
  <c r="V2280" i="2" s="1"/>
  <c r="B2280" i="2"/>
  <c r="A2280" i="2"/>
  <c r="U2279" i="2"/>
  <c r="V2279" i="2" s="1"/>
  <c r="B2279" i="2"/>
  <c r="A2279" i="2"/>
  <c r="U2278" i="2"/>
  <c r="V2278" i="2" s="1"/>
  <c r="B2278" i="2"/>
  <c r="A2278" i="2"/>
  <c r="U2277" i="2"/>
  <c r="V2277" i="2" s="1"/>
  <c r="B2277" i="2"/>
  <c r="A2277" i="2"/>
  <c r="U2276" i="2"/>
  <c r="V2276" i="2" s="1"/>
  <c r="B2276" i="2"/>
  <c r="A2276" i="2"/>
  <c r="U2275" i="2"/>
  <c r="V2275" i="2" s="1"/>
  <c r="B2275" i="2"/>
  <c r="A2275" i="2"/>
  <c r="U2274" i="2"/>
  <c r="V2274" i="2" s="1"/>
  <c r="B2274" i="2"/>
  <c r="A2274" i="2"/>
  <c r="U2273" i="2"/>
  <c r="V2273" i="2" s="1"/>
  <c r="B2273" i="2"/>
  <c r="A2273" i="2"/>
  <c r="U2272" i="2"/>
  <c r="V2272" i="2" s="1"/>
  <c r="B2272" i="2"/>
  <c r="A2272" i="2"/>
  <c r="U2271" i="2"/>
  <c r="V2271" i="2" s="1"/>
  <c r="B2271" i="2"/>
  <c r="A2271" i="2"/>
  <c r="U2270" i="2"/>
  <c r="V2270" i="2" s="1"/>
  <c r="B2270" i="2"/>
  <c r="A2270" i="2"/>
  <c r="U2269" i="2"/>
  <c r="V2269" i="2" s="1"/>
  <c r="B2269" i="2"/>
  <c r="A2269" i="2"/>
  <c r="U2268" i="2"/>
  <c r="V2268" i="2" s="1"/>
  <c r="B2268" i="2"/>
  <c r="A2268" i="2"/>
  <c r="U2267" i="2"/>
  <c r="V2267" i="2" s="1"/>
  <c r="B2267" i="2"/>
  <c r="A2267" i="2"/>
  <c r="U2266" i="2"/>
  <c r="V2266" i="2" s="1"/>
  <c r="B2266" i="2"/>
  <c r="A2266" i="2"/>
  <c r="U2265" i="2"/>
  <c r="V2265" i="2" s="1"/>
  <c r="B2265" i="2"/>
  <c r="A2265" i="2"/>
  <c r="U2264" i="2"/>
  <c r="V2264" i="2" s="1"/>
  <c r="B2264" i="2"/>
  <c r="A2264" i="2"/>
  <c r="U2263" i="2"/>
  <c r="V2263" i="2" s="1"/>
  <c r="B2263" i="2"/>
  <c r="A2263" i="2"/>
  <c r="U2262" i="2"/>
  <c r="V2262" i="2" s="1"/>
  <c r="B2262" i="2"/>
  <c r="A2262" i="2"/>
  <c r="U2261" i="2"/>
  <c r="V2261" i="2" s="1"/>
  <c r="B2261" i="2"/>
  <c r="A2261" i="2"/>
  <c r="U2260" i="2"/>
  <c r="V2260" i="2" s="1"/>
  <c r="B2260" i="2"/>
  <c r="A2260" i="2"/>
  <c r="U2259" i="2"/>
  <c r="V2259" i="2" s="1"/>
  <c r="B2259" i="2"/>
  <c r="A2259" i="2"/>
  <c r="U2258" i="2"/>
  <c r="V2258" i="2" s="1"/>
  <c r="B2258" i="2"/>
  <c r="A2258" i="2"/>
  <c r="U2257" i="2"/>
  <c r="V2257" i="2" s="1"/>
  <c r="B2257" i="2"/>
  <c r="A2257" i="2"/>
  <c r="U2256" i="2"/>
  <c r="V2256" i="2" s="1"/>
  <c r="B2256" i="2"/>
  <c r="A2256" i="2"/>
  <c r="U2255" i="2"/>
  <c r="V2255" i="2" s="1"/>
  <c r="B2255" i="2"/>
  <c r="A2255" i="2"/>
  <c r="U2254" i="2"/>
  <c r="V2254" i="2" s="1"/>
  <c r="B2254" i="2"/>
  <c r="A2254" i="2"/>
  <c r="U2253" i="2"/>
  <c r="V2253" i="2" s="1"/>
  <c r="B2253" i="2"/>
  <c r="A2253" i="2"/>
  <c r="U2252" i="2"/>
  <c r="V2252" i="2" s="1"/>
  <c r="B2252" i="2"/>
  <c r="A2252" i="2"/>
  <c r="U2251" i="2"/>
  <c r="V2251" i="2" s="1"/>
  <c r="B2251" i="2"/>
  <c r="A2251" i="2"/>
  <c r="U2250" i="2"/>
  <c r="V2250" i="2" s="1"/>
  <c r="B2250" i="2"/>
  <c r="A2250" i="2"/>
  <c r="U2249" i="2"/>
  <c r="V2249" i="2" s="1"/>
  <c r="B2249" i="2"/>
  <c r="A2249" i="2"/>
  <c r="U2248" i="2"/>
  <c r="V2248" i="2" s="1"/>
  <c r="B2248" i="2"/>
  <c r="A2248" i="2"/>
  <c r="U2247" i="2"/>
  <c r="V2247" i="2" s="1"/>
  <c r="B2247" i="2"/>
  <c r="A2247" i="2"/>
  <c r="U2246" i="2"/>
  <c r="V2246" i="2" s="1"/>
  <c r="B2246" i="2"/>
  <c r="A2246" i="2"/>
  <c r="U2245" i="2"/>
  <c r="V2245" i="2" s="1"/>
  <c r="B2245" i="2"/>
  <c r="A2245" i="2"/>
  <c r="U2244" i="2"/>
  <c r="V2244" i="2" s="1"/>
  <c r="B2244" i="2"/>
  <c r="A2244" i="2"/>
  <c r="U2243" i="2"/>
  <c r="V2243" i="2" s="1"/>
  <c r="B2243" i="2"/>
  <c r="A2243" i="2"/>
  <c r="U2242" i="2"/>
  <c r="V2242" i="2" s="1"/>
  <c r="B2242" i="2"/>
  <c r="A2242" i="2"/>
  <c r="U2241" i="2"/>
  <c r="V2241" i="2" s="1"/>
  <c r="B2241" i="2"/>
  <c r="A2241" i="2"/>
  <c r="U2240" i="2"/>
  <c r="V2240" i="2" s="1"/>
  <c r="B2240" i="2"/>
  <c r="A2240" i="2"/>
  <c r="U2239" i="2"/>
  <c r="V2239" i="2" s="1"/>
  <c r="B2239" i="2"/>
  <c r="A2239" i="2"/>
  <c r="U2238" i="2"/>
  <c r="V2238" i="2" s="1"/>
  <c r="B2238" i="2"/>
  <c r="A2238" i="2"/>
  <c r="U2237" i="2"/>
  <c r="V2237" i="2" s="1"/>
  <c r="B2237" i="2"/>
  <c r="A2237" i="2"/>
  <c r="U2236" i="2"/>
  <c r="V2236" i="2" s="1"/>
  <c r="B2236" i="2"/>
  <c r="A2236" i="2"/>
  <c r="U2235" i="2"/>
  <c r="V2235" i="2" s="1"/>
  <c r="B2235" i="2"/>
  <c r="A2235" i="2"/>
  <c r="U2234" i="2"/>
  <c r="V2234" i="2" s="1"/>
  <c r="B2234" i="2"/>
  <c r="A2234" i="2"/>
  <c r="U2233" i="2"/>
  <c r="V2233" i="2" s="1"/>
  <c r="B2233" i="2"/>
  <c r="A2233" i="2"/>
  <c r="U2232" i="2"/>
  <c r="V2232" i="2" s="1"/>
  <c r="B2232" i="2"/>
  <c r="A2232" i="2"/>
  <c r="U2231" i="2"/>
  <c r="V2231" i="2" s="1"/>
  <c r="B2231" i="2"/>
  <c r="A2231" i="2"/>
  <c r="U2230" i="2"/>
  <c r="V2230" i="2" s="1"/>
  <c r="B2230" i="2"/>
  <c r="A2230" i="2"/>
  <c r="U2229" i="2"/>
  <c r="V2229" i="2" s="1"/>
  <c r="B2229" i="2"/>
  <c r="A2229" i="2"/>
  <c r="U2228" i="2"/>
  <c r="V2228" i="2" s="1"/>
  <c r="B2228" i="2"/>
  <c r="A2228" i="2"/>
  <c r="U2227" i="2"/>
  <c r="V2227" i="2" s="1"/>
  <c r="B2227" i="2"/>
  <c r="A2227" i="2"/>
  <c r="U2226" i="2"/>
  <c r="V2226" i="2" s="1"/>
  <c r="B2226" i="2"/>
  <c r="A2226" i="2"/>
  <c r="U2225" i="2"/>
  <c r="V2225" i="2" s="1"/>
  <c r="B2225" i="2"/>
  <c r="A2225" i="2"/>
  <c r="U2224" i="2"/>
  <c r="V2224" i="2" s="1"/>
  <c r="B2224" i="2"/>
  <c r="A2224" i="2"/>
  <c r="U2223" i="2"/>
  <c r="V2223" i="2" s="1"/>
  <c r="B2223" i="2"/>
  <c r="A2223" i="2"/>
  <c r="U2222" i="2"/>
  <c r="V2222" i="2" s="1"/>
  <c r="B2222" i="2"/>
  <c r="A2222" i="2"/>
  <c r="U2221" i="2"/>
  <c r="V2221" i="2" s="1"/>
  <c r="B2221" i="2"/>
  <c r="A2221" i="2"/>
  <c r="U2220" i="2"/>
  <c r="V2220" i="2" s="1"/>
  <c r="B2220" i="2"/>
  <c r="A2220" i="2"/>
  <c r="U2219" i="2"/>
  <c r="V2219" i="2" s="1"/>
  <c r="B2219" i="2"/>
  <c r="A2219" i="2"/>
  <c r="U2218" i="2"/>
  <c r="V2218" i="2" s="1"/>
  <c r="B2218" i="2"/>
  <c r="A2218" i="2"/>
  <c r="U2217" i="2"/>
  <c r="V2217" i="2" s="1"/>
  <c r="B2217" i="2"/>
  <c r="A2217" i="2"/>
  <c r="U2216" i="2"/>
  <c r="V2216" i="2" s="1"/>
  <c r="B2216" i="2"/>
  <c r="A2216" i="2"/>
  <c r="U2215" i="2"/>
  <c r="V2215" i="2" s="1"/>
  <c r="B2215" i="2"/>
  <c r="A2215" i="2"/>
  <c r="U2214" i="2"/>
  <c r="V2214" i="2" s="1"/>
  <c r="B2214" i="2"/>
  <c r="A2214" i="2"/>
  <c r="U2213" i="2"/>
  <c r="V2213" i="2" s="1"/>
  <c r="B2213" i="2"/>
  <c r="A2213" i="2"/>
  <c r="U2212" i="2"/>
  <c r="V2212" i="2" s="1"/>
  <c r="B2212" i="2"/>
  <c r="A2212" i="2"/>
  <c r="U2211" i="2"/>
  <c r="V2211" i="2" s="1"/>
  <c r="B2211" i="2"/>
  <c r="A2211" i="2"/>
  <c r="U2210" i="2"/>
  <c r="V2210" i="2" s="1"/>
  <c r="B2210" i="2"/>
  <c r="A2210" i="2"/>
  <c r="U2209" i="2"/>
  <c r="V2209" i="2" s="1"/>
  <c r="B2209" i="2"/>
  <c r="A2209" i="2"/>
  <c r="U2208" i="2"/>
  <c r="V2208" i="2" s="1"/>
  <c r="B2208" i="2"/>
  <c r="A2208" i="2"/>
  <c r="U2207" i="2"/>
  <c r="V2207" i="2" s="1"/>
  <c r="B2207" i="2"/>
  <c r="A2207" i="2"/>
  <c r="U2206" i="2"/>
  <c r="V2206" i="2" s="1"/>
  <c r="B2206" i="2"/>
  <c r="A2206" i="2"/>
  <c r="U2205" i="2"/>
  <c r="V2205" i="2" s="1"/>
  <c r="B2205" i="2"/>
  <c r="A2205" i="2"/>
  <c r="U2204" i="2"/>
  <c r="V2204" i="2" s="1"/>
  <c r="B2204" i="2"/>
  <c r="A2204" i="2"/>
  <c r="U2203" i="2"/>
  <c r="V2203" i="2" s="1"/>
  <c r="B2203" i="2"/>
  <c r="A2203" i="2"/>
  <c r="U2202" i="2"/>
  <c r="V2202" i="2" s="1"/>
  <c r="B2202" i="2"/>
  <c r="A2202" i="2"/>
  <c r="U2201" i="2"/>
  <c r="V2201" i="2" s="1"/>
  <c r="B2201" i="2"/>
  <c r="A2201" i="2"/>
  <c r="U2200" i="2"/>
  <c r="V2200" i="2" s="1"/>
  <c r="B2200" i="2"/>
  <c r="A2200" i="2"/>
  <c r="U2199" i="2"/>
  <c r="V2199" i="2" s="1"/>
  <c r="B2199" i="2"/>
  <c r="A2199" i="2"/>
  <c r="U2198" i="2"/>
  <c r="V2198" i="2" s="1"/>
  <c r="B2198" i="2"/>
  <c r="A2198" i="2"/>
  <c r="U2197" i="2"/>
  <c r="V2197" i="2" s="1"/>
  <c r="B2197" i="2"/>
  <c r="A2197" i="2"/>
  <c r="U2196" i="2"/>
  <c r="V2196" i="2" s="1"/>
  <c r="B2196" i="2"/>
  <c r="A2196" i="2"/>
  <c r="U2195" i="2"/>
  <c r="V2195" i="2" s="1"/>
  <c r="B2195" i="2"/>
  <c r="A2195" i="2"/>
  <c r="U2194" i="2"/>
  <c r="V2194" i="2" s="1"/>
  <c r="B2194" i="2"/>
  <c r="A2194" i="2"/>
  <c r="U2193" i="2"/>
  <c r="V2193" i="2" s="1"/>
  <c r="B2193" i="2"/>
  <c r="A2193" i="2"/>
  <c r="U2192" i="2"/>
  <c r="V2192" i="2" s="1"/>
  <c r="B2192" i="2"/>
  <c r="A2192" i="2"/>
  <c r="U2191" i="2"/>
  <c r="V2191" i="2" s="1"/>
  <c r="B2191" i="2"/>
  <c r="A2191" i="2"/>
  <c r="U2190" i="2"/>
  <c r="V2190" i="2" s="1"/>
  <c r="B2190" i="2"/>
  <c r="A2190" i="2"/>
  <c r="U2189" i="2"/>
  <c r="V2189" i="2" s="1"/>
  <c r="B2189" i="2"/>
  <c r="A2189" i="2"/>
  <c r="U2188" i="2"/>
  <c r="V2188" i="2" s="1"/>
  <c r="B2188" i="2"/>
  <c r="A2188" i="2"/>
  <c r="U2187" i="2"/>
  <c r="V2187" i="2" s="1"/>
  <c r="B2187" i="2"/>
  <c r="A2187" i="2"/>
  <c r="U2186" i="2"/>
  <c r="V2186" i="2" s="1"/>
  <c r="B2186" i="2"/>
  <c r="A2186" i="2"/>
  <c r="U2185" i="2"/>
  <c r="V2185" i="2" s="1"/>
  <c r="B2185" i="2"/>
  <c r="A2185" i="2"/>
  <c r="U2184" i="2"/>
  <c r="V2184" i="2" s="1"/>
  <c r="B2184" i="2"/>
  <c r="A2184" i="2"/>
  <c r="U2183" i="2"/>
  <c r="V2183" i="2" s="1"/>
  <c r="B2183" i="2"/>
  <c r="A2183" i="2"/>
  <c r="U2182" i="2"/>
  <c r="V2182" i="2" s="1"/>
  <c r="B2182" i="2"/>
  <c r="A2182" i="2"/>
  <c r="U2181" i="2"/>
  <c r="V2181" i="2" s="1"/>
  <c r="B2181" i="2"/>
  <c r="A2181" i="2"/>
  <c r="U2180" i="2"/>
  <c r="V2180" i="2" s="1"/>
  <c r="B2180" i="2"/>
  <c r="A2180" i="2"/>
  <c r="U2179" i="2"/>
  <c r="V2179" i="2" s="1"/>
  <c r="B2179" i="2"/>
  <c r="A2179" i="2"/>
  <c r="U2178" i="2"/>
  <c r="V2178" i="2" s="1"/>
  <c r="B2178" i="2"/>
  <c r="A2178" i="2"/>
  <c r="U2177" i="2"/>
  <c r="V2177" i="2" s="1"/>
  <c r="B2177" i="2"/>
  <c r="A2177" i="2"/>
  <c r="U2176" i="2"/>
  <c r="V2176" i="2" s="1"/>
  <c r="B2176" i="2"/>
  <c r="A2176" i="2"/>
  <c r="U2175" i="2"/>
  <c r="V2175" i="2" s="1"/>
  <c r="B2175" i="2"/>
  <c r="A2175" i="2"/>
  <c r="U2174" i="2"/>
  <c r="V2174" i="2" s="1"/>
  <c r="B2174" i="2"/>
  <c r="A2174" i="2"/>
  <c r="U2173" i="2"/>
  <c r="V2173" i="2" s="1"/>
  <c r="B2173" i="2"/>
  <c r="A2173" i="2"/>
  <c r="U2172" i="2"/>
  <c r="V2172" i="2" s="1"/>
  <c r="B2172" i="2"/>
  <c r="A2172" i="2"/>
  <c r="U2171" i="2"/>
  <c r="V2171" i="2" s="1"/>
  <c r="B2171" i="2"/>
  <c r="A2171" i="2"/>
  <c r="U2170" i="2"/>
  <c r="V2170" i="2" s="1"/>
  <c r="B2170" i="2"/>
  <c r="A2170" i="2"/>
  <c r="U2169" i="2"/>
  <c r="V2169" i="2" s="1"/>
  <c r="B2169" i="2"/>
  <c r="A2169" i="2"/>
  <c r="U2168" i="2"/>
  <c r="V2168" i="2" s="1"/>
  <c r="B2168" i="2"/>
  <c r="A2168" i="2"/>
  <c r="U2167" i="2"/>
  <c r="V2167" i="2" s="1"/>
  <c r="B2167" i="2"/>
  <c r="A2167" i="2"/>
  <c r="U2166" i="2"/>
  <c r="V2166" i="2" s="1"/>
  <c r="B2166" i="2"/>
  <c r="A2166" i="2"/>
  <c r="U2165" i="2"/>
  <c r="V2165" i="2" s="1"/>
  <c r="B2165" i="2"/>
  <c r="A2165" i="2"/>
  <c r="U2164" i="2"/>
  <c r="V2164" i="2" s="1"/>
  <c r="B2164" i="2"/>
  <c r="A2164" i="2"/>
  <c r="U2163" i="2"/>
  <c r="V2163" i="2" s="1"/>
  <c r="B2163" i="2"/>
  <c r="A2163" i="2"/>
  <c r="U2162" i="2"/>
  <c r="V2162" i="2" s="1"/>
  <c r="B2162" i="2"/>
  <c r="A2162" i="2"/>
  <c r="U2161" i="2"/>
  <c r="V2161" i="2" s="1"/>
  <c r="B2161" i="2"/>
  <c r="A2161" i="2"/>
  <c r="U2160" i="2"/>
  <c r="V2160" i="2" s="1"/>
  <c r="B2160" i="2"/>
  <c r="A2160" i="2"/>
  <c r="U2159" i="2"/>
  <c r="V2159" i="2" s="1"/>
  <c r="B2159" i="2"/>
  <c r="A2159" i="2"/>
  <c r="U2158" i="2"/>
  <c r="V2158" i="2" s="1"/>
  <c r="B2158" i="2"/>
  <c r="A2158" i="2"/>
  <c r="U2157" i="2"/>
  <c r="V2157" i="2" s="1"/>
  <c r="B2157" i="2"/>
  <c r="A2157" i="2"/>
  <c r="U2156" i="2"/>
  <c r="V2156" i="2" s="1"/>
  <c r="B2156" i="2"/>
  <c r="A2156" i="2"/>
  <c r="U2155" i="2"/>
  <c r="V2155" i="2" s="1"/>
  <c r="B2155" i="2"/>
  <c r="A2155" i="2"/>
  <c r="U2154" i="2"/>
  <c r="V2154" i="2" s="1"/>
  <c r="B2154" i="2"/>
  <c r="A2154" i="2"/>
  <c r="U2153" i="2"/>
  <c r="V2153" i="2" s="1"/>
  <c r="B2153" i="2"/>
  <c r="A2153" i="2"/>
  <c r="U2152" i="2"/>
  <c r="V2152" i="2" s="1"/>
  <c r="B2152" i="2"/>
  <c r="A2152" i="2"/>
  <c r="U2151" i="2"/>
  <c r="V2151" i="2" s="1"/>
  <c r="B2151" i="2"/>
  <c r="A2151" i="2"/>
  <c r="U2150" i="2"/>
  <c r="V2150" i="2" s="1"/>
  <c r="B2150" i="2"/>
  <c r="A2150" i="2"/>
  <c r="U2149" i="2"/>
  <c r="V2149" i="2" s="1"/>
  <c r="B2149" i="2"/>
  <c r="A2149" i="2"/>
  <c r="U2148" i="2"/>
  <c r="V2148" i="2" s="1"/>
  <c r="B2148" i="2"/>
  <c r="A2148" i="2"/>
  <c r="U2147" i="2"/>
  <c r="V2147" i="2" s="1"/>
  <c r="B2147" i="2"/>
  <c r="A2147" i="2"/>
  <c r="U2146" i="2"/>
  <c r="V2146" i="2" s="1"/>
  <c r="B2146" i="2"/>
  <c r="A2146" i="2"/>
  <c r="U2145" i="2"/>
  <c r="V2145" i="2" s="1"/>
  <c r="B2145" i="2"/>
  <c r="A2145" i="2"/>
  <c r="U2144" i="2"/>
  <c r="V2144" i="2" s="1"/>
  <c r="B2144" i="2"/>
  <c r="A2144" i="2"/>
  <c r="U2143" i="2"/>
  <c r="V2143" i="2" s="1"/>
  <c r="B2143" i="2"/>
  <c r="A2143" i="2"/>
  <c r="U2142" i="2"/>
  <c r="V2142" i="2" s="1"/>
  <c r="B2142" i="2"/>
  <c r="A2142" i="2"/>
  <c r="U2141" i="2"/>
  <c r="V2141" i="2" s="1"/>
  <c r="B2141" i="2"/>
  <c r="A2141" i="2"/>
  <c r="U2140" i="2"/>
  <c r="V2140" i="2" s="1"/>
  <c r="B2140" i="2"/>
  <c r="A2140" i="2"/>
  <c r="U2139" i="2"/>
  <c r="V2139" i="2" s="1"/>
  <c r="B2139" i="2"/>
  <c r="A2139" i="2"/>
  <c r="U2138" i="2"/>
  <c r="V2138" i="2" s="1"/>
  <c r="B2138" i="2"/>
  <c r="A2138" i="2"/>
  <c r="U2137" i="2"/>
  <c r="V2137" i="2" s="1"/>
  <c r="B2137" i="2"/>
  <c r="A2137" i="2"/>
  <c r="U2136" i="2"/>
  <c r="V2136" i="2" s="1"/>
  <c r="B2136" i="2"/>
  <c r="A2136" i="2"/>
  <c r="U2135" i="2"/>
  <c r="V2135" i="2" s="1"/>
  <c r="B2135" i="2"/>
  <c r="A2135" i="2"/>
  <c r="U2134" i="2"/>
  <c r="V2134" i="2" s="1"/>
  <c r="B2134" i="2"/>
  <c r="A2134" i="2"/>
  <c r="U2133" i="2"/>
  <c r="V2133" i="2" s="1"/>
  <c r="B2133" i="2"/>
  <c r="A2133" i="2"/>
  <c r="U2132" i="2"/>
  <c r="V2132" i="2" s="1"/>
  <c r="B2132" i="2"/>
  <c r="A2132" i="2"/>
  <c r="U2131" i="2"/>
  <c r="V2131" i="2" s="1"/>
  <c r="B2131" i="2"/>
  <c r="A2131" i="2"/>
  <c r="U2130" i="2"/>
  <c r="V2130" i="2" s="1"/>
  <c r="B2130" i="2"/>
  <c r="A2130" i="2"/>
  <c r="U2129" i="2"/>
  <c r="V2129" i="2" s="1"/>
  <c r="B2129" i="2"/>
  <c r="A2129" i="2"/>
  <c r="U2128" i="2"/>
  <c r="V2128" i="2" s="1"/>
  <c r="B2128" i="2"/>
  <c r="A2128" i="2"/>
  <c r="U2127" i="2"/>
  <c r="V2127" i="2" s="1"/>
  <c r="B2127" i="2"/>
  <c r="A2127" i="2"/>
  <c r="U2126" i="2"/>
  <c r="V2126" i="2" s="1"/>
  <c r="B2126" i="2"/>
  <c r="A2126" i="2"/>
  <c r="U2125" i="2"/>
  <c r="V2125" i="2" s="1"/>
  <c r="B2125" i="2"/>
  <c r="A2125" i="2"/>
  <c r="U2124" i="2"/>
  <c r="V2124" i="2" s="1"/>
  <c r="B2124" i="2"/>
  <c r="A2124" i="2"/>
  <c r="U2123" i="2"/>
  <c r="V2123" i="2" s="1"/>
  <c r="B2123" i="2"/>
  <c r="A2123" i="2"/>
  <c r="U2122" i="2"/>
  <c r="V2122" i="2" s="1"/>
  <c r="B2122" i="2"/>
  <c r="A2122" i="2"/>
  <c r="U2121" i="2"/>
  <c r="V2121" i="2" s="1"/>
  <c r="B2121" i="2"/>
  <c r="A2121" i="2"/>
  <c r="U2120" i="2"/>
  <c r="V2120" i="2" s="1"/>
  <c r="B2120" i="2"/>
  <c r="A2120" i="2"/>
  <c r="U2119" i="2"/>
  <c r="V2119" i="2" s="1"/>
  <c r="B2119" i="2"/>
  <c r="A2119" i="2"/>
  <c r="U2118" i="2"/>
  <c r="V2118" i="2" s="1"/>
  <c r="B2118" i="2"/>
  <c r="A2118" i="2"/>
  <c r="U2117" i="2"/>
  <c r="V2117" i="2" s="1"/>
  <c r="B2117" i="2"/>
  <c r="A2117" i="2"/>
  <c r="U2116" i="2"/>
  <c r="V2116" i="2" s="1"/>
  <c r="B2116" i="2"/>
  <c r="A2116" i="2"/>
  <c r="U2115" i="2"/>
  <c r="V2115" i="2" s="1"/>
  <c r="B2115" i="2"/>
  <c r="A2115" i="2"/>
  <c r="U2114" i="2"/>
  <c r="V2114" i="2" s="1"/>
  <c r="B2114" i="2"/>
  <c r="A2114" i="2"/>
  <c r="U2113" i="2"/>
  <c r="V2113" i="2" s="1"/>
  <c r="B2113" i="2"/>
  <c r="A2113" i="2"/>
  <c r="U2112" i="2"/>
  <c r="V2112" i="2" s="1"/>
  <c r="B2112" i="2"/>
  <c r="A2112" i="2"/>
  <c r="U2111" i="2"/>
  <c r="V2111" i="2" s="1"/>
  <c r="B2111" i="2"/>
  <c r="A2111" i="2"/>
  <c r="U2110" i="2"/>
  <c r="V2110" i="2" s="1"/>
  <c r="B2110" i="2"/>
  <c r="A2110" i="2"/>
  <c r="U2109" i="2"/>
  <c r="V2109" i="2" s="1"/>
  <c r="B2109" i="2"/>
  <c r="A2109" i="2"/>
  <c r="U2108" i="2"/>
  <c r="V2108" i="2" s="1"/>
  <c r="B2108" i="2"/>
  <c r="A2108" i="2"/>
  <c r="U2107" i="2"/>
  <c r="V2107" i="2" s="1"/>
  <c r="B2107" i="2"/>
  <c r="A2107" i="2"/>
  <c r="U2106" i="2"/>
  <c r="V2106" i="2" s="1"/>
  <c r="B2106" i="2"/>
  <c r="A2106" i="2"/>
  <c r="U2105" i="2"/>
  <c r="V2105" i="2" s="1"/>
  <c r="B2105" i="2"/>
  <c r="A2105" i="2"/>
  <c r="U2104" i="2"/>
  <c r="V2104" i="2" s="1"/>
  <c r="B2104" i="2"/>
  <c r="A2104" i="2"/>
  <c r="U2103" i="2"/>
  <c r="V2103" i="2" s="1"/>
  <c r="B2103" i="2"/>
  <c r="A2103" i="2"/>
  <c r="U2102" i="2"/>
  <c r="V2102" i="2" s="1"/>
  <c r="B2102" i="2"/>
  <c r="A2102" i="2"/>
  <c r="U2101" i="2"/>
  <c r="V2101" i="2" s="1"/>
  <c r="B2101" i="2"/>
  <c r="A2101" i="2"/>
  <c r="U2100" i="2"/>
  <c r="V2100" i="2" s="1"/>
  <c r="B2100" i="2"/>
  <c r="A2100" i="2"/>
  <c r="U2099" i="2"/>
  <c r="V2099" i="2" s="1"/>
  <c r="B2099" i="2"/>
  <c r="A2099" i="2"/>
  <c r="U2098" i="2"/>
  <c r="V2098" i="2" s="1"/>
  <c r="B2098" i="2"/>
  <c r="A2098" i="2"/>
  <c r="U2097" i="2"/>
  <c r="V2097" i="2" s="1"/>
  <c r="B2097" i="2"/>
  <c r="A2097" i="2"/>
  <c r="U2096" i="2"/>
  <c r="V2096" i="2" s="1"/>
  <c r="B2096" i="2"/>
  <c r="A2096" i="2"/>
  <c r="U2095" i="2"/>
  <c r="V2095" i="2" s="1"/>
  <c r="B2095" i="2"/>
  <c r="A2095" i="2"/>
  <c r="U2094" i="2"/>
  <c r="V2094" i="2" s="1"/>
  <c r="B2094" i="2"/>
  <c r="A2094" i="2"/>
  <c r="U2093" i="2"/>
  <c r="V2093" i="2" s="1"/>
  <c r="B2093" i="2"/>
  <c r="A2093" i="2"/>
  <c r="U2092" i="2"/>
  <c r="V2092" i="2" s="1"/>
  <c r="B2092" i="2"/>
  <c r="A2092" i="2"/>
  <c r="U2091" i="2"/>
  <c r="V2091" i="2" s="1"/>
  <c r="B2091" i="2"/>
  <c r="A2091" i="2"/>
  <c r="U2090" i="2"/>
  <c r="V2090" i="2" s="1"/>
  <c r="B2090" i="2"/>
  <c r="A2090" i="2"/>
  <c r="U2089" i="2"/>
  <c r="V2089" i="2" s="1"/>
  <c r="B2089" i="2"/>
  <c r="A2089" i="2"/>
  <c r="U2088" i="2"/>
  <c r="V2088" i="2" s="1"/>
  <c r="B2088" i="2"/>
  <c r="A2088" i="2"/>
  <c r="U2087" i="2"/>
  <c r="V2087" i="2" s="1"/>
  <c r="B2087" i="2"/>
  <c r="A2087" i="2"/>
  <c r="U2086" i="2"/>
  <c r="V2086" i="2" s="1"/>
  <c r="B2086" i="2"/>
  <c r="A2086" i="2"/>
  <c r="U2085" i="2"/>
  <c r="V2085" i="2" s="1"/>
  <c r="B2085" i="2"/>
  <c r="A2085" i="2"/>
  <c r="U2084" i="2"/>
  <c r="V2084" i="2" s="1"/>
  <c r="B2084" i="2"/>
  <c r="A2084" i="2"/>
  <c r="U2083" i="2"/>
  <c r="V2083" i="2" s="1"/>
  <c r="B2083" i="2"/>
  <c r="A2083" i="2"/>
  <c r="U2082" i="2"/>
  <c r="V2082" i="2" s="1"/>
  <c r="B2082" i="2"/>
  <c r="A2082" i="2"/>
  <c r="U2081" i="2"/>
  <c r="V2081" i="2" s="1"/>
  <c r="B2081" i="2"/>
  <c r="A2081" i="2"/>
  <c r="U2080" i="2"/>
  <c r="V2080" i="2" s="1"/>
  <c r="B2080" i="2"/>
  <c r="A2080" i="2"/>
  <c r="U2079" i="2"/>
  <c r="V2079" i="2" s="1"/>
  <c r="B2079" i="2"/>
  <c r="A2079" i="2"/>
  <c r="U2078" i="2"/>
  <c r="V2078" i="2" s="1"/>
  <c r="B2078" i="2"/>
  <c r="A2078" i="2"/>
  <c r="U2077" i="2"/>
  <c r="V2077" i="2" s="1"/>
  <c r="B2077" i="2"/>
  <c r="A2077" i="2"/>
  <c r="U2076" i="2"/>
  <c r="V2076" i="2" s="1"/>
  <c r="B2076" i="2"/>
  <c r="A2076" i="2"/>
  <c r="U2075" i="2"/>
  <c r="V2075" i="2" s="1"/>
  <c r="B2075" i="2"/>
  <c r="A2075" i="2"/>
  <c r="U2074" i="2"/>
  <c r="V2074" i="2" s="1"/>
  <c r="B2074" i="2"/>
  <c r="A2074" i="2"/>
  <c r="U2073" i="2"/>
  <c r="V2073" i="2" s="1"/>
  <c r="B2073" i="2"/>
  <c r="A2073" i="2"/>
  <c r="U2072" i="2"/>
  <c r="V2072" i="2" s="1"/>
  <c r="B2072" i="2"/>
  <c r="A2072" i="2"/>
  <c r="U2071" i="2"/>
  <c r="V2071" i="2" s="1"/>
  <c r="B2071" i="2"/>
  <c r="A2071" i="2"/>
  <c r="U2070" i="2"/>
  <c r="V2070" i="2" s="1"/>
  <c r="B2070" i="2"/>
  <c r="A2070" i="2"/>
  <c r="U2069" i="2"/>
  <c r="V2069" i="2" s="1"/>
  <c r="B2069" i="2"/>
  <c r="A2069" i="2"/>
  <c r="U2068" i="2"/>
  <c r="V2068" i="2" s="1"/>
  <c r="B2068" i="2"/>
  <c r="A2068" i="2"/>
  <c r="U2067" i="2"/>
  <c r="V2067" i="2" s="1"/>
  <c r="B2067" i="2"/>
  <c r="A2067" i="2"/>
  <c r="U2066" i="2"/>
  <c r="V2066" i="2" s="1"/>
  <c r="B2066" i="2"/>
  <c r="A2066" i="2"/>
  <c r="U2065" i="2"/>
  <c r="V2065" i="2" s="1"/>
  <c r="B2065" i="2"/>
  <c r="A2065" i="2"/>
  <c r="U2064" i="2"/>
  <c r="V2064" i="2" s="1"/>
  <c r="B2064" i="2"/>
  <c r="A2064" i="2"/>
  <c r="U2063" i="2"/>
  <c r="V2063" i="2" s="1"/>
  <c r="B2063" i="2"/>
  <c r="A2063" i="2"/>
  <c r="U2062" i="2"/>
  <c r="V2062" i="2" s="1"/>
  <c r="B2062" i="2"/>
  <c r="A2062" i="2"/>
  <c r="U2061" i="2"/>
  <c r="V2061" i="2" s="1"/>
  <c r="B2061" i="2"/>
  <c r="A2061" i="2"/>
  <c r="U2060" i="2"/>
  <c r="V2060" i="2" s="1"/>
  <c r="B2060" i="2"/>
  <c r="A2060" i="2"/>
  <c r="U2059" i="2"/>
  <c r="V2059" i="2" s="1"/>
  <c r="B2059" i="2"/>
  <c r="A2059" i="2"/>
  <c r="U2058" i="2"/>
  <c r="V2058" i="2" s="1"/>
  <c r="B2058" i="2"/>
  <c r="A2058" i="2"/>
  <c r="U2057" i="2"/>
  <c r="V2057" i="2" s="1"/>
  <c r="B2057" i="2"/>
  <c r="A2057" i="2"/>
  <c r="U2056" i="2"/>
  <c r="V2056" i="2" s="1"/>
  <c r="B2056" i="2"/>
  <c r="A2056" i="2"/>
  <c r="U2055" i="2"/>
  <c r="V2055" i="2" s="1"/>
  <c r="B2055" i="2"/>
  <c r="A2055" i="2"/>
  <c r="U2054" i="2"/>
  <c r="V2054" i="2" s="1"/>
  <c r="B2054" i="2"/>
  <c r="A2054" i="2"/>
  <c r="U2053" i="2"/>
  <c r="V2053" i="2" s="1"/>
  <c r="B2053" i="2"/>
  <c r="A2053" i="2"/>
  <c r="U2052" i="2"/>
  <c r="V2052" i="2" s="1"/>
  <c r="B2052" i="2"/>
  <c r="A2052" i="2"/>
  <c r="U2051" i="2"/>
  <c r="V2051" i="2" s="1"/>
  <c r="B2051" i="2"/>
  <c r="A2051" i="2"/>
  <c r="U2050" i="2"/>
  <c r="V2050" i="2" s="1"/>
  <c r="B2050" i="2"/>
  <c r="A2050" i="2"/>
  <c r="U2049" i="2"/>
  <c r="V2049" i="2" s="1"/>
  <c r="B2049" i="2"/>
  <c r="A2049" i="2"/>
  <c r="U2048" i="2"/>
  <c r="V2048" i="2" s="1"/>
  <c r="B2048" i="2"/>
  <c r="A2048" i="2"/>
  <c r="U2047" i="2"/>
  <c r="V2047" i="2" s="1"/>
  <c r="B2047" i="2"/>
  <c r="A2047" i="2"/>
  <c r="U2046" i="2"/>
  <c r="V2046" i="2" s="1"/>
  <c r="B2046" i="2"/>
  <c r="A2046" i="2"/>
  <c r="U2045" i="2"/>
  <c r="V2045" i="2" s="1"/>
  <c r="B2045" i="2"/>
  <c r="A2045" i="2"/>
  <c r="U2044" i="2"/>
  <c r="V2044" i="2" s="1"/>
  <c r="B2044" i="2"/>
  <c r="A2044" i="2"/>
  <c r="U2043" i="2"/>
  <c r="V2043" i="2" s="1"/>
  <c r="B2043" i="2"/>
  <c r="A2043" i="2"/>
  <c r="U2042" i="2"/>
  <c r="V2042" i="2" s="1"/>
  <c r="B2042" i="2"/>
  <c r="A2042" i="2"/>
  <c r="U2041" i="2"/>
  <c r="V2041" i="2" s="1"/>
  <c r="B2041" i="2"/>
  <c r="A2041" i="2"/>
  <c r="U2040" i="2"/>
  <c r="V2040" i="2" s="1"/>
  <c r="B2040" i="2"/>
  <c r="A2040" i="2"/>
  <c r="U2039" i="2"/>
  <c r="V2039" i="2" s="1"/>
  <c r="B2039" i="2"/>
  <c r="A2039" i="2"/>
  <c r="U2038" i="2"/>
  <c r="V2038" i="2" s="1"/>
  <c r="B2038" i="2"/>
  <c r="A2038" i="2"/>
  <c r="U2037" i="2"/>
  <c r="V2037" i="2" s="1"/>
  <c r="B2037" i="2"/>
  <c r="A2037" i="2"/>
  <c r="U2036" i="2"/>
  <c r="V2036" i="2" s="1"/>
  <c r="B2036" i="2"/>
  <c r="A2036" i="2"/>
  <c r="U2035" i="2"/>
  <c r="V2035" i="2" s="1"/>
  <c r="B2035" i="2"/>
  <c r="A2035" i="2"/>
  <c r="U2034" i="2"/>
  <c r="V2034" i="2" s="1"/>
  <c r="B2034" i="2"/>
  <c r="A2034" i="2"/>
  <c r="U2033" i="2"/>
  <c r="V2033" i="2" s="1"/>
  <c r="B2033" i="2"/>
  <c r="A2033" i="2"/>
  <c r="U2032" i="2"/>
  <c r="V2032" i="2" s="1"/>
  <c r="B2032" i="2"/>
  <c r="A2032" i="2"/>
  <c r="U2031" i="2"/>
  <c r="V2031" i="2" s="1"/>
  <c r="B2031" i="2"/>
  <c r="A2031" i="2"/>
  <c r="U2030" i="2"/>
  <c r="V2030" i="2" s="1"/>
  <c r="B2030" i="2"/>
  <c r="A2030" i="2"/>
  <c r="U2029" i="2"/>
  <c r="V2029" i="2" s="1"/>
  <c r="B2029" i="2"/>
  <c r="A2029" i="2"/>
  <c r="U2028" i="2"/>
  <c r="V2028" i="2" s="1"/>
  <c r="B2028" i="2"/>
  <c r="A2028" i="2"/>
  <c r="U2027" i="2"/>
  <c r="V2027" i="2" s="1"/>
  <c r="B2027" i="2"/>
  <c r="A2027" i="2"/>
  <c r="U2026" i="2"/>
  <c r="V2026" i="2" s="1"/>
  <c r="B2026" i="2"/>
  <c r="A2026" i="2"/>
  <c r="U2025" i="2"/>
  <c r="V2025" i="2" s="1"/>
  <c r="B2025" i="2"/>
  <c r="A2025" i="2"/>
  <c r="U2024" i="2"/>
  <c r="V2024" i="2" s="1"/>
  <c r="B2024" i="2"/>
  <c r="A2024" i="2"/>
  <c r="U2023" i="2"/>
  <c r="V2023" i="2" s="1"/>
  <c r="B2023" i="2"/>
  <c r="A2023" i="2"/>
  <c r="U2022" i="2"/>
  <c r="V2022" i="2" s="1"/>
  <c r="B2022" i="2"/>
  <c r="A2022" i="2"/>
  <c r="U2021" i="2"/>
  <c r="V2021" i="2" s="1"/>
  <c r="B2021" i="2"/>
  <c r="A2021" i="2"/>
  <c r="U2020" i="2"/>
  <c r="V2020" i="2" s="1"/>
  <c r="B2020" i="2"/>
  <c r="A2020" i="2"/>
  <c r="U2019" i="2"/>
  <c r="V2019" i="2" s="1"/>
  <c r="B2019" i="2"/>
  <c r="A2019" i="2"/>
  <c r="U2018" i="2"/>
  <c r="V2018" i="2" s="1"/>
  <c r="B2018" i="2"/>
  <c r="A2018" i="2"/>
  <c r="U2017" i="2"/>
  <c r="V2017" i="2" s="1"/>
  <c r="B2017" i="2"/>
  <c r="A2017" i="2"/>
  <c r="U2016" i="2"/>
  <c r="V2016" i="2" s="1"/>
  <c r="B2016" i="2"/>
  <c r="A2016" i="2"/>
  <c r="U2015" i="2"/>
  <c r="V2015" i="2" s="1"/>
  <c r="B2015" i="2"/>
  <c r="A2015" i="2"/>
  <c r="U2014" i="2"/>
  <c r="V2014" i="2" s="1"/>
  <c r="B2014" i="2"/>
  <c r="A2014" i="2"/>
  <c r="U2013" i="2"/>
  <c r="V2013" i="2" s="1"/>
  <c r="B2013" i="2"/>
  <c r="A2013" i="2"/>
  <c r="U2012" i="2"/>
  <c r="V2012" i="2" s="1"/>
  <c r="B2012" i="2"/>
  <c r="A2012" i="2"/>
  <c r="U2011" i="2"/>
  <c r="V2011" i="2" s="1"/>
  <c r="B2011" i="2"/>
  <c r="A2011" i="2"/>
  <c r="U2010" i="2"/>
  <c r="V2010" i="2" s="1"/>
  <c r="B2010" i="2"/>
  <c r="A2010" i="2"/>
  <c r="U2009" i="2"/>
  <c r="V2009" i="2" s="1"/>
  <c r="B2009" i="2"/>
  <c r="A2009" i="2"/>
  <c r="U2008" i="2"/>
  <c r="V2008" i="2" s="1"/>
  <c r="B2008" i="2"/>
  <c r="A2008" i="2"/>
  <c r="U2007" i="2"/>
  <c r="V2007" i="2" s="1"/>
  <c r="B2007" i="2"/>
  <c r="A2007" i="2"/>
  <c r="U2006" i="2"/>
  <c r="V2006" i="2" s="1"/>
  <c r="B2006" i="2"/>
  <c r="A2006" i="2"/>
  <c r="U2005" i="2"/>
  <c r="V2005" i="2" s="1"/>
  <c r="B2005" i="2"/>
  <c r="A2005" i="2"/>
  <c r="U2004" i="2"/>
  <c r="V2004" i="2" s="1"/>
  <c r="B2004" i="2"/>
  <c r="A2004" i="2"/>
  <c r="U2003" i="2"/>
  <c r="V2003" i="2" s="1"/>
  <c r="B2003" i="2"/>
  <c r="A2003" i="2"/>
  <c r="U2002" i="2"/>
  <c r="V2002" i="2" s="1"/>
  <c r="B2002" i="2"/>
  <c r="A2002" i="2"/>
  <c r="U2001" i="2"/>
  <c r="V2001" i="2" s="1"/>
  <c r="B2001" i="2"/>
  <c r="A2001" i="2"/>
  <c r="U2000" i="2"/>
  <c r="V2000" i="2" s="1"/>
  <c r="B2000" i="2"/>
  <c r="A2000" i="2"/>
  <c r="U1999" i="2"/>
  <c r="V1999" i="2" s="1"/>
  <c r="B1999" i="2"/>
  <c r="A1999" i="2"/>
  <c r="U1998" i="2"/>
  <c r="V1998" i="2" s="1"/>
  <c r="B1998" i="2"/>
  <c r="A1998" i="2"/>
  <c r="U1997" i="2"/>
  <c r="V1997" i="2" s="1"/>
  <c r="B1997" i="2"/>
  <c r="A1997" i="2"/>
  <c r="U1996" i="2"/>
  <c r="V1996" i="2" s="1"/>
  <c r="B1996" i="2"/>
  <c r="A1996" i="2"/>
  <c r="U1995" i="2"/>
  <c r="V1995" i="2" s="1"/>
  <c r="B1995" i="2"/>
  <c r="A1995" i="2"/>
  <c r="U1994" i="2"/>
  <c r="V1994" i="2" s="1"/>
  <c r="B1994" i="2"/>
  <c r="A1994" i="2"/>
  <c r="U1993" i="2"/>
  <c r="V1993" i="2" s="1"/>
  <c r="B1993" i="2"/>
  <c r="A1993" i="2"/>
  <c r="U1992" i="2"/>
  <c r="V1992" i="2" s="1"/>
  <c r="B1992" i="2"/>
  <c r="A1992" i="2"/>
  <c r="U1991" i="2"/>
  <c r="V1991" i="2" s="1"/>
  <c r="B1991" i="2"/>
  <c r="A1991" i="2"/>
  <c r="U1990" i="2"/>
  <c r="V1990" i="2" s="1"/>
  <c r="B1990" i="2"/>
  <c r="A1990" i="2"/>
  <c r="U1989" i="2"/>
  <c r="V1989" i="2" s="1"/>
  <c r="B1989" i="2"/>
  <c r="A1989" i="2"/>
  <c r="U1988" i="2"/>
  <c r="V1988" i="2" s="1"/>
  <c r="B1988" i="2"/>
  <c r="A1988" i="2"/>
  <c r="U1987" i="2"/>
  <c r="V1987" i="2" s="1"/>
  <c r="B1987" i="2"/>
  <c r="A1987" i="2"/>
  <c r="U1986" i="2"/>
  <c r="V1986" i="2" s="1"/>
  <c r="B1986" i="2"/>
  <c r="A1986" i="2"/>
  <c r="U1985" i="2"/>
  <c r="V1985" i="2" s="1"/>
  <c r="B1985" i="2"/>
  <c r="A1985" i="2"/>
  <c r="U1984" i="2"/>
  <c r="V1984" i="2" s="1"/>
  <c r="B1984" i="2"/>
  <c r="A1984" i="2"/>
  <c r="U1983" i="2"/>
  <c r="V1983" i="2" s="1"/>
  <c r="B1983" i="2"/>
  <c r="A1983" i="2"/>
  <c r="U1982" i="2"/>
  <c r="V1982" i="2" s="1"/>
  <c r="B1982" i="2"/>
  <c r="A1982" i="2"/>
  <c r="U1981" i="2"/>
  <c r="V1981" i="2" s="1"/>
  <c r="B1981" i="2"/>
  <c r="A1981" i="2"/>
  <c r="U1980" i="2"/>
  <c r="V1980" i="2" s="1"/>
  <c r="B1980" i="2"/>
  <c r="A1980" i="2"/>
  <c r="U1979" i="2"/>
  <c r="V1979" i="2" s="1"/>
  <c r="B1979" i="2"/>
  <c r="A1979" i="2"/>
  <c r="U1978" i="2"/>
  <c r="V1978" i="2" s="1"/>
  <c r="B1978" i="2"/>
  <c r="A1978" i="2"/>
  <c r="U1977" i="2"/>
  <c r="V1977" i="2" s="1"/>
  <c r="B1977" i="2"/>
  <c r="A1977" i="2"/>
  <c r="U1976" i="2"/>
  <c r="V1976" i="2" s="1"/>
  <c r="B1976" i="2"/>
  <c r="A1976" i="2"/>
  <c r="U1975" i="2"/>
  <c r="V1975" i="2" s="1"/>
  <c r="B1975" i="2"/>
  <c r="A1975" i="2"/>
  <c r="U1974" i="2"/>
  <c r="V1974" i="2" s="1"/>
  <c r="B1974" i="2"/>
  <c r="A1974" i="2"/>
  <c r="U1973" i="2"/>
  <c r="V1973" i="2" s="1"/>
  <c r="B1973" i="2"/>
  <c r="A1973" i="2"/>
  <c r="U1972" i="2"/>
  <c r="V1972" i="2" s="1"/>
  <c r="B1972" i="2"/>
  <c r="A1972" i="2"/>
  <c r="U1971" i="2"/>
  <c r="V1971" i="2" s="1"/>
  <c r="B1971" i="2"/>
  <c r="A1971" i="2"/>
  <c r="U1970" i="2"/>
  <c r="V1970" i="2" s="1"/>
  <c r="B1970" i="2"/>
  <c r="A1970" i="2"/>
  <c r="U1969" i="2"/>
  <c r="V1969" i="2" s="1"/>
  <c r="B1969" i="2"/>
  <c r="A1969" i="2"/>
  <c r="U1968" i="2"/>
  <c r="V1968" i="2" s="1"/>
  <c r="B1968" i="2"/>
  <c r="A1968" i="2"/>
  <c r="U1967" i="2"/>
  <c r="V1967" i="2" s="1"/>
  <c r="B1967" i="2"/>
  <c r="A1967" i="2"/>
  <c r="U1966" i="2"/>
  <c r="V1966" i="2" s="1"/>
  <c r="B1966" i="2"/>
  <c r="A1966" i="2"/>
  <c r="U1965" i="2"/>
  <c r="V1965" i="2" s="1"/>
  <c r="B1965" i="2"/>
  <c r="A1965" i="2"/>
  <c r="U1964" i="2"/>
  <c r="V1964" i="2" s="1"/>
  <c r="B1964" i="2"/>
  <c r="A1964" i="2"/>
  <c r="U1963" i="2"/>
  <c r="V1963" i="2" s="1"/>
  <c r="B1963" i="2"/>
  <c r="A1963" i="2"/>
  <c r="U1962" i="2"/>
  <c r="V1962" i="2" s="1"/>
  <c r="B1962" i="2"/>
  <c r="A1962" i="2"/>
  <c r="U1961" i="2"/>
  <c r="V1961" i="2" s="1"/>
  <c r="B1961" i="2"/>
  <c r="A1961" i="2"/>
  <c r="U1960" i="2"/>
  <c r="V1960" i="2" s="1"/>
  <c r="B1960" i="2"/>
  <c r="A1960" i="2"/>
  <c r="U1959" i="2"/>
  <c r="V1959" i="2" s="1"/>
  <c r="B1959" i="2"/>
  <c r="A1959" i="2"/>
  <c r="U1958" i="2"/>
  <c r="V1958" i="2" s="1"/>
  <c r="B1958" i="2"/>
  <c r="A1958" i="2"/>
  <c r="U1957" i="2"/>
  <c r="V1957" i="2" s="1"/>
  <c r="B1957" i="2"/>
  <c r="A1957" i="2"/>
  <c r="U1956" i="2"/>
  <c r="V1956" i="2" s="1"/>
  <c r="B1956" i="2"/>
  <c r="A1956" i="2"/>
  <c r="U1955" i="2"/>
  <c r="V1955" i="2" s="1"/>
  <c r="B1955" i="2"/>
  <c r="A1955" i="2"/>
  <c r="U1954" i="2"/>
  <c r="V1954" i="2" s="1"/>
  <c r="B1954" i="2"/>
  <c r="A1954" i="2"/>
  <c r="U1953" i="2"/>
  <c r="V1953" i="2" s="1"/>
  <c r="B1953" i="2"/>
  <c r="A1953" i="2"/>
  <c r="U1952" i="2"/>
  <c r="V1952" i="2" s="1"/>
  <c r="B1952" i="2"/>
  <c r="A1952" i="2"/>
  <c r="U1951" i="2"/>
  <c r="V1951" i="2" s="1"/>
  <c r="B1951" i="2"/>
  <c r="A1951" i="2"/>
  <c r="U1950" i="2"/>
  <c r="V1950" i="2" s="1"/>
  <c r="B1950" i="2"/>
  <c r="A1950" i="2"/>
  <c r="U1949" i="2"/>
  <c r="V1949" i="2" s="1"/>
  <c r="B1949" i="2"/>
  <c r="A1949" i="2"/>
  <c r="U1948" i="2"/>
  <c r="V1948" i="2" s="1"/>
  <c r="B1948" i="2"/>
  <c r="A1948" i="2"/>
  <c r="U1947" i="2"/>
  <c r="V1947" i="2" s="1"/>
  <c r="B1947" i="2"/>
  <c r="A1947" i="2"/>
  <c r="U1946" i="2"/>
  <c r="V1946" i="2" s="1"/>
  <c r="B1946" i="2"/>
  <c r="A1946" i="2"/>
  <c r="U1945" i="2"/>
  <c r="V1945" i="2" s="1"/>
  <c r="B1945" i="2"/>
  <c r="A1945" i="2"/>
  <c r="U1944" i="2"/>
  <c r="V1944" i="2" s="1"/>
  <c r="B1944" i="2"/>
  <c r="A1944" i="2"/>
  <c r="U1943" i="2"/>
  <c r="V1943" i="2" s="1"/>
  <c r="B1943" i="2"/>
  <c r="A1943" i="2"/>
  <c r="U1942" i="2"/>
  <c r="V1942" i="2" s="1"/>
  <c r="B1942" i="2"/>
  <c r="A1942" i="2"/>
  <c r="U1941" i="2"/>
  <c r="V1941" i="2" s="1"/>
  <c r="B1941" i="2"/>
  <c r="A1941" i="2"/>
  <c r="U1940" i="2"/>
  <c r="V1940" i="2" s="1"/>
  <c r="B1940" i="2"/>
  <c r="A1940" i="2"/>
  <c r="U1939" i="2"/>
  <c r="V1939" i="2" s="1"/>
  <c r="B1939" i="2"/>
  <c r="A1939" i="2"/>
  <c r="U1938" i="2"/>
  <c r="V1938" i="2" s="1"/>
  <c r="B1938" i="2"/>
  <c r="A1938" i="2"/>
  <c r="U1937" i="2"/>
  <c r="V1937" i="2" s="1"/>
  <c r="B1937" i="2"/>
  <c r="A1937" i="2"/>
  <c r="U1936" i="2"/>
  <c r="V1936" i="2" s="1"/>
  <c r="B1936" i="2"/>
  <c r="A1936" i="2"/>
  <c r="U1935" i="2"/>
  <c r="V1935" i="2" s="1"/>
  <c r="B1935" i="2"/>
  <c r="A1935" i="2"/>
  <c r="U1934" i="2"/>
  <c r="V1934" i="2" s="1"/>
  <c r="B1934" i="2"/>
  <c r="A1934" i="2"/>
  <c r="U1933" i="2"/>
  <c r="V1933" i="2" s="1"/>
  <c r="B1933" i="2"/>
  <c r="A1933" i="2"/>
  <c r="U1932" i="2"/>
  <c r="V1932" i="2" s="1"/>
  <c r="B1932" i="2"/>
  <c r="A1932" i="2"/>
  <c r="U1931" i="2"/>
  <c r="V1931" i="2" s="1"/>
  <c r="B1931" i="2"/>
  <c r="A1931" i="2"/>
  <c r="U1930" i="2"/>
  <c r="V1930" i="2" s="1"/>
  <c r="B1930" i="2"/>
  <c r="A1930" i="2"/>
  <c r="U1929" i="2"/>
  <c r="V1929" i="2" s="1"/>
  <c r="B1929" i="2"/>
  <c r="A1929" i="2"/>
  <c r="U1928" i="2"/>
  <c r="V1928" i="2" s="1"/>
  <c r="B1928" i="2"/>
  <c r="A1928" i="2"/>
  <c r="U1927" i="2"/>
  <c r="V1927" i="2" s="1"/>
  <c r="B1927" i="2"/>
  <c r="A1927" i="2"/>
  <c r="U1926" i="2"/>
  <c r="V1926" i="2" s="1"/>
  <c r="B1926" i="2"/>
  <c r="A1926" i="2"/>
  <c r="U1925" i="2"/>
  <c r="V1925" i="2" s="1"/>
  <c r="B1925" i="2"/>
  <c r="A1925" i="2"/>
  <c r="U1924" i="2"/>
  <c r="V1924" i="2" s="1"/>
  <c r="B1924" i="2"/>
  <c r="A1924" i="2"/>
  <c r="U1923" i="2"/>
  <c r="V1923" i="2" s="1"/>
  <c r="B1923" i="2"/>
  <c r="A1923" i="2"/>
  <c r="U1922" i="2"/>
  <c r="V1922" i="2" s="1"/>
  <c r="B1922" i="2"/>
  <c r="A1922" i="2"/>
  <c r="U1921" i="2"/>
  <c r="V1921" i="2" s="1"/>
  <c r="B1921" i="2"/>
  <c r="A1921" i="2"/>
  <c r="U1920" i="2"/>
  <c r="V1920" i="2" s="1"/>
  <c r="B1920" i="2"/>
  <c r="A1920" i="2"/>
  <c r="U1919" i="2"/>
  <c r="V1919" i="2" s="1"/>
  <c r="B1919" i="2"/>
  <c r="A1919" i="2"/>
  <c r="U1918" i="2"/>
  <c r="V1918" i="2" s="1"/>
  <c r="B1918" i="2"/>
  <c r="A1918" i="2"/>
  <c r="U1917" i="2"/>
  <c r="V1917" i="2" s="1"/>
  <c r="B1917" i="2"/>
  <c r="A1917" i="2"/>
  <c r="U1916" i="2"/>
  <c r="V1916" i="2" s="1"/>
  <c r="B1916" i="2"/>
  <c r="A1916" i="2"/>
  <c r="U1915" i="2"/>
  <c r="V1915" i="2" s="1"/>
  <c r="B1915" i="2"/>
  <c r="A1915" i="2"/>
  <c r="U1914" i="2"/>
  <c r="V1914" i="2" s="1"/>
  <c r="B1914" i="2"/>
  <c r="A1914" i="2"/>
  <c r="U1913" i="2"/>
  <c r="V1913" i="2" s="1"/>
  <c r="B1913" i="2"/>
  <c r="A1913" i="2"/>
  <c r="U1912" i="2"/>
  <c r="V1912" i="2" s="1"/>
  <c r="B1912" i="2"/>
  <c r="A1912" i="2"/>
  <c r="U1911" i="2"/>
  <c r="V1911" i="2" s="1"/>
  <c r="B1911" i="2"/>
  <c r="A1911" i="2"/>
  <c r="U1910" i="2"/>
  <c r="V1910" i="2" s="1"/>
  <c r="B1910" i="2"/>
  <c r="A1910" i="2"/>
  <c r="U1909" i="2"/>
  <c r="V1909" i="2" s="1"/>
  <c r="B1909" i="2"/>
  <c r="A1909" i="2"/>
  <c r="U1908" i="2"/>
  <c r="V1908" i="2" s="1"/>
  <c r="B1908" i="2"/>
  <c r="A1908" i="2"/>
  <c r="U1907" i="2"/>
  <c r="V1907" i="2" s="1"/>
  <c r="B1907" i="2"/>
  <c r="A1907" i="2"/>
  <c r="U1906" i="2"/>
  <c r="V1906" i="2" s="1"/>
  <c r="B1906" i="2"/>
  <c r="A1906" i="2"/>
  <c r="U1905" i="2"/>
  <c r="V1905" i="2" s="1"/>
  <c r="B1905" i="2"/>
  <c r="A1905" i="2"/>
  <c r="U1904" i="2"/>
  <c r="V1904" i="2" s="1"/>
  <c r="B1904" i="2"/>
  <c r="A1904" i="2"/>
  <c r="U1903" i="2"/>
  <c r="V1903" i="2" s="1"/>
  <c r="B1903" i="2"/>
  <c r="A1903" i="2"/>
  <c r="U1902" i="2"/>
  <c r="V1902" i="2" s="1"/>
  <c r="B1902" i="2"/>
  <c r="A1902" i="2"/>
  <c r="U1901" i="2"/>
  <c r="V1901" i="2" s="1"/>
  <c r="B1901" i="2"/>
  <c r="A1901" i="2"/>
  <c r="U1900" i="2"/>
  <c r="V1900" i="2" s="1"/>
  <c r="B1900" i="2"/>
  <c r="A1900" i="2"/>
  <c r="U1899" i="2"/>
  <c r="V1899" i="2" s="1"/>
  <c r="B1899" i="2"/>
  <c r="A1899" i="2"/>
  <c r="U1898" i="2"/>
  <c r="V1898" i="2" s="1"/>
  <c r="B1898" i="2"/>
  <c r="A1898" i="2"/>
  <c r="U1897" i="2"/>
  <c r="V1897" i="2" s="1"/>
  <c r="B1897" i="2"/>
  <c r="A1897" i="2"/>
  <c r="U1896" i="2"/>
  <c r="V1896" i="2" s="1"/>
  <c r="B1896" i="2"/>
  <c r="A1896" i="2"/>
  <c r="U1895" i="2"/>
  <c r="V1895" i="2" s="1"/>
  <c r="B1895" i="2"/>
  <c r="A1895" i="2"/>
  <c r="U1894" i="2"/>
  <c r="V1894" i="2" s="1"/>
  <c r="B1894" i="2"/>
  <c r="A1894" i="2"/>
  <c r="U1893" i="2"/>
  <c r="V1893" i="2" s="1"/>
  <c r="B1893" i="2"/>
  <c r="A1893" i="2"/>
  <c r="U1892" i="2"/>
  <c r="V1892" i="2" s="1"/>
  <c r="B1892" i="2"/>
  <c r="A1892" i="2"/>
  <c r="U1891" i="2"/>
  <c r="V1891" i="2" s="1"/>
  <c r="B1891" i="2"/>
  <c r="A1891" i="2"/>
  <c r="U1890" i="2"/>
  <c r="V1890" i="2" s="1"/>
  <c r="B1890" i="2"/>
  <c r="A1890" i="2"/>
  <c r="U1889" i="2"/>
  <c r="V1889" i="2" s="1"/>
  <c r="B1889" i="2"/>
  <c r="A1889" i="2"/>
  <c r="U1888" i="2"/>
  <c r="V1888" i="2" s="1"/>
  <c r="B1888" i="2"/>
  <c r="A1888" i="2"/>
  <c r="U1887" i="2"/>
  <c r="V1887" i="2" s="1"/>
  <c r="B1887" i="2"/>
  <c r="A1887" i="2"/>
  <c r="U1886" i="2"/>
  <c r="V1886" i="2" s="1"/>
  <c r="B1886" i="2"/>
  <c r="A1886" i="2"/>
  <c r="U1885" i="2"/>
  <c r="V1885" i="2" s="1"/>
  <c r="B1885" i="2"/>
  <c r="A1885" i="2"/>
  <c r="U1884" i="2"/>
  <c r="V1884" i="2" s="1"/>
  <c r="B1884" i="2"/>
  <c r="A1884" i="2"/>
  <c r="U1883" i="2"/>
  <c r="V1883" i="2" s="1"/>
  <c r="B1883" i="2"/>
  <c r="A1883" i="2"/>
  <c r="U1882" i="2"/>
  <c r="V1882" i="2" s="1"/>
  <c r="B1882" i="2"/>
  <c r="A1882" i="2"/>
  <c r="U1881" i="2"/>
  <c r="V1881" i="2" s="1"/>
  <c r="B1881" i="2"/>
  <c r="A1881" i="2"/>
  <c r="U1880" i="2"/>
  <c r="V1880" i="2" s="1"/>
  <c r="B1880" i="2"/>
  <c r="A1880" i="2"/>
  <c r="U1879" i="2"/>
  <c r="V1879" i="2" s="1"/>
  <c r="B1879" i="2"/>
  <c r="A1879" i="2"/>
  <c r="U1878" i="2"/>
  <c r="V1878" i="2" s="1"/>
  <c r="B1878" i="2"/>
  <c r="A1878" i="2"/>
  <c r="U1877" i="2"/>
  <c r="V1877" i="2" s="1"/>
  <c r="B1877" i="2"/>
  <c r="A1877" i="2"/>
  <c r="U1876" i="2"/>
  <c r="V1876" i="2" s="1"/>
  <c r="B1876" i="2"/>
  <c r="A1876" i="2"/>
  <c r="U1875" i="2"/>
  <c r="V1875" i="2" s="1"/>
  <c r="B1875" i="2"/>
  <c r="A1875" i="2"/>
  <c r="U1874" i="2"/>
  <c r="V1874" i="2" s="1"/>
  <c r="B1874" i="2"/>
  <c r="A1874" i="2"/>
  <c r="U1873" i="2"/>
  <c r="V1873" i="2" s="1"/>
  <c r="B1873" i="2"/>
  <c r="A1873" i="2"/>
  <c r="U1872" i="2"/>
  <c r="V1872" i="2" s="1"/>
  <c r="B1872" i="2"/>
  <c r="A1872" i="2"/>
  <c r="U1871" i="2"/>
  <c r="V1871" i="2" s="1"/>
  <c r="B1871" i="2"/>
  <c r="A1871" i="2"/>
  <c r="U1870" i="2"/>
  <c r="V1870" i="2" s="1"/>
  <c r="B1870" i="2"/>
  <c r="A1870" i="2"/>
  <c r="U1869" i="2"/>
  <c r="V1869" i="2" s="1"/>
  <c r="B1869" i="2"/>
  <c r="A1869" i="2"/>
  <c r="U1868" i="2"/>
  <c r="V1868" i="2" s="1"/>
  <c r="B1868" i="2"/>
  <c r="A1868" i="2"/>
  <c r="U1867" i="2"/>
  <c r="V1867" i="2" s="1"/>
  <c r="B1867" i="2"/>
  <c r="A1867" i="2"/>
  <c r="U1866" i="2"/>
  <c r="V1866" i="2" s="1"/>
  <c r="B1866" i="2"/>
  <c r="A1866" i="2"/>
  <c r="U1865" i="2"/>
  <c r="V1865" i="2" s="1"/>
  <c r="B1865" i="2"/>
  <c r="A1865" i="2"/>
  <c r="U1864" i="2"/>
  <c r="V1864" i="2" s="1"/>
  <c r="B1864" i="2"/>
  <c r="A1864" i="2"/>
  <c r="U1863" i="2"/>
  <c r="V1863" i="2" s="1"/>
  <c r="B1863" i="2"/>
  <c r="A1863" i="2"/>
  <c r="U1862" i="2"/>
  <c r="V1862" i="2" s="1"/>
  <c r="B1862" i="2"/>
  <c r="A1862" i="2"/>
  <c r="U1861" i="2"/>
  <c r="V1861" i="2" s="1"/>
  <c r="B1861" i="2"/>
  <c r="A1861" i="2"/>
  <c r="U1860" i="2"/>
  <c r="V1860" i="2" s="1"/>
  <c r="B1860" i="2"/>
  <c r="A1860" i="2"/>
  <c r="U1859" i="2"/>
  <c r="V1859" i="2" s="1"/>
  <c r="B1859" i="2"/>
  <c r="A1859" i="2"/>
  <c r="U1858" i="2"/>
  <c r="V1858" i="2" s="1"/>
  <c r="B1858" i="2"/>
  <c r="A1858" i="2"/>
  <c r="U1857" i="2"/>
  <c r="V1857" i="2" s="1"/>
  <c r="B1857" i="2"/>
  <c r="A1857" i="2"/>
  <c r="U1856" i="2"/>
  <c r="V1856" i="2" s="1"/>
  <c r="B1856" i="2"/>
  <c r="A1856" i="2"/>
  <c r="U1855" i="2"/>
  <c r="V1855" i="2" s="1"/>
  <c r="B1855" i="2"/>
  <c r="A1855" i="2"/>
  <c r="U1854" i="2"/>
  <c r="V1854" i="2" s="1"/>
  <c r="B1854" i="2"/>
  <c r="A1854" i="2"/>
  <c r="U1853" i="2"/>
  <c r="V1853" i="2" s="1"/>
  <c r="B1853" i="2"/>
  <c r="A1853" i="2"/>
  <c r="U1852" i="2"/>
  <c r="V1852" i="2" s="1"/>
  <c r="B1852" i="2"/>
  <c r="A1852" i="2"/>
  <c r="U1851" i="2"/>
  <c r="V1851" i="2" s="1"/>
  <c r="B1851" i="2"/>
  <c r="A1851" i="2"/>
  <c r="U1850" i="2"/>
  <c r="V1850" i="2" s="1"/>
  <c r="B1850" i="2"/>
  <c r="A1850" i="2"/>
  <c r="U1849" i="2"/>
  <c r="V1849" i="2" s="1"/>
  <c r="B1849" i="2"/>
  <c r="A1849" i="2"/>
  <c r="U1848" i="2"/>
  <c r="V1848" i="2" s="1"/>
  <c r="B1848" i="2"/>
  <c r="A1848" i="2"/>
  <c r="U1847" i="2"/>
  <c r="V1847" i="2" s="1"/>
  <c r="B1847" i="2"/>
  <c r="A1847" i="2"/>
  <c r="U1846" i="2"/>
  <c r="V1846" i="2" s="1"/>
  <c r="B1846" i="2"/>
  <c r="A1846" i="2"/>
  <c r="U1845" i="2"/>
  <c r="V1845" i="2" s="1"/>
  <c r="B1845" i="2"/>
  <c r="A1845" i="2"/>
  <c r="U1844" i="2"/>
  <c r="V1844" i="2" s="1"/>
  <c r="B1844" i="2"/>
  <c r="A1844" i="2"/>
  <c r="U1843" i="2"/>
  <c r="V1843" i="2" s="1"/>
  <c r="B1843" i="2"/>
  <c r="A1843" i="2"/>
  <c r="U1842" i="2"/>
  <c r="V1842" i="2" s="1"/>
  <c r="B1842" i="2"/>
  <c r="A1842" i="2"/>
  <c r="U1841" i="2"/>
  <c r="V1841" i="2" s="1"/>
  <c r="B1841" i="2"/>
  <c r="A1841" i="2"/>
  <c r="U1840" i="2"/>
  <c r="V1840" i="2" s="1"/>
  <c r="B1840" i="2"/>
  <c r="A1840" i="2"/>
  <c r="U1839" i="2"/>
  <c r="V1839" i="2" s="1"/>
  <c r="B1839" i="2"/>
  <c r="A1839" i="2"/>
  <c r="U1838" i="2"/>
  <c r="V1838" i="2" s="1"/>
  <c r="B1838" i="2"/>
  <c r="A1838" i="2"/>
  <c r="U1837" i="2"/>
  <c r="V1837" i="2" s="1"/>
  <c r="B1837" i="2"/>
  <c r="A1837" i="2"/>
  <c r="U1836" i="2"/>
  <c r="V1836" i="2" s="1"/>
  <c r="B1836" i="2"/>
  <c r="A1836" i="2"/>
  <c r="U1835" i="2"/>
  <c r="V1835" i="2" s="1"/>
  <c r="B1835" i="2"/>
  <c r="A1835" i="2"/>
  <c r="U1834" i="2"/>
  <c r="V1834" i="2" s="1"/>
  <c r="B1834" i="2"/>
  <c r="A1834" i="2"/>
  <c r="U1833" i="2"/>
  <c r="V1833" i="2" s="1"/>
  <c r="B1833" i="2"/>
  <c r="A1833" i="2"/>
  <c r="U1832" i="2"/>
  <c r="V1832" i="2" s="1"/>
  <c r="B1832" i="2"/>
  <c r="A1832" i="2"/>
  <c r="U1831" i="2"/>
  <c r="V1831" i="2" s="1"/>
  <c r="B1831" i="2"/>
  <c r="A1831" i="2"/>
  <c r="U1830" i="2"/>
  <c r="V1830" i="2" s="1"/>
  <c r="B1830" i="2"/>
  <c r="A1830" i="2"/>
  <c r="U1829" i="2"/>
  <c r="V1829" i="2" s="1"/>
  <c r="B1829" i="2"/>
  <c r="A1829" i="2"/>
  <c r="U1828" i="2"/>
  <c r="V1828" i="2" s="1"/>
  <c r="B1828" i="2"/>
  <c r="A1828" i="2"/>
  <c r="U1827" i="2"/>
  <c r="V1827" i="2" s="1"/>
  <c r="B1827" i="2"/>
  <c r="A1827" i="2"/>
  <c r="U1826" i="2"/>
  <c r="V1826" i="2" s="1"/>
  <c r="B1826" i="2"/>
  <c r="A1826" i="2"/>
  <c r="U1825" i="2"/>
  <c r="V1825" i="2" s="1"/>
  <c r="B1825" i="2"/>
  <c r="A1825" i="2"/>
  <c r="U1824" i="2"/>
  <c r="V1824" i="2" s="1"/>
  <c r="B1824" i="2"/>
  <c r="A1824" i="2"/>
  <c r="U1823" i="2"/>
  <c r="V1823" i="2" s="1"/>
  <c r="B1823" i="2"/>
  <c r="A1823" i="2"/>
  <c r="U1822" i="2"/>
  <c r="V1822" i="2" s="1"/>
  <c r="B1822" i="2"/>
  <c r="A1822" i="2"/>
  <c r="U1821" i="2"/>
  <c r="V1821" i="2" s="1"/>
  <c r="B1821" i="2"/>
  <c r="A1821" i="2"/>
  <c r="U1820" i="2"/>
  <c r="V1820" i="2" s="1"/>
  <c r="B1820" i="2"/>
  <c r="A1820" i="2"/>
  <c r="U1819" i="2"/>
  <c r="V1819" i="2" s="1"/>
  <c r="B1819" i="2"/>
  <c r="A1819" i="2"/>
  <c r="U1818" i="2"/>
  <c r="V1818" i="2" s="1"/>
  <c r="B1818" i="2"/>
  <c r="A1818" i="2"/>
  <c r="U1817" i="2"/>
  <c r="V1817" i="2" s="1"/>
  <c r="B1817" i="2"/>
  <c r="A1817" i="2"/>
  <c r="U1816" i="2"/>
  <c r="V1816" i="2" s="1"/>
  <c r="B1816" i="2"/>
  <c r="A1816" i="2"/>
  <c r="U1815" i="2"/>
  <c r="V1815" i="2" s="1"/>
  <c r="B1815" i="2"/>
  <c r="A1815" i="2"/>
  <c r="U1814" i="2"/>
  <c r="V1814" i="2" s="1"/>
  <c r="B1814" i="2"/>
  <c r="A1814" i="2"/>
  <c r="U1813" i="2"/>
  <c r="V1813" i="2" s="1"/>
  <c r="B1813" i="2"/>
  <c r="A1813" i="2"/>
  <c r="U1812" i="2"/>
  <c r="V1812" i="2" s="1"/>
  <c r="B1812" i="2"/>
  <c r="A1812" i="2"/>
  <c r="U1811" i="2"/>
  <c r="V1811" i="2" s="1"/>
  <c r="B1811" i="2"/>
  <c r="A1811" i="2"/>
  <c r="U1810" i="2"/>
  <c r="V1810" i="2" s="1"/>
  <c r="B1810" i="2"/>
  <c r="A1810" i="2"/>
  <c r="U1809" i="2"/>
  <c r="V1809" i="2" s="1"/>
  <c r="B1809" i="2"/>
  <c r="A1809" i="2"/>
  <c r="U1808" i="2"/>
  <c r="V1808" i="2" s="1"/>
  <c r="B1808" i="2"/>
  <c r="A1808" i="2"/>
  <c r="U1807" i="2"/>
  <c r="V1807" i="2" s="1"/>
  <c r="B1807" i="2"/>
  <c r="A1807" i="2"/>
  <c r="U1806" i="2"/>
  <c r="V1806" i="2" s="1"/>
  <c r="B1806" i="2"/>
  <c r="A1806" i="2"/>
  <c r="U1805" i="2"/>
  <c r="V1805" i="2" s="1"/>
  <c r="B1805" i="2"/>
  <c r="A1805" i="2"/>
  <c r="U1804" i="2"/>
  <c r="V1804" i="2" s="1"/>
  <c r="B1804" i="2"/>
  <c r="A1804" i="2"/>
  <c r="U1803" i="2"/>
  <c r="V1803" i="2" s="1"/>
  <c r="B1803" i="2"/>
  <c r="A1803" i="2"/>
  <c r="U1802" i="2"/>
  <c r="V1802" i="2" s="1"/>
  <c r="B1802" i="2"/>
  <c r="A1802" i="2"/>
  <c r="U1801" i="2"/>
  <c r="V1801" i="2" s="1"/>
  <c r="B1801" i="2"/>
  <c r="A1801" i="2"/>
  <c r="U1800" i="2"/>
  <c r="V1800" i="2" s="1"/>
  <c r="B1800" i="2"/>
  <c r="A1800" i="2"/>
  <c r="U1799" i="2"/>
  <c r="V1799" i="2" s="1"/>
  <c r="B1799" i="2"/>
  <c r="A1799" i="2"/>
  <c r="U1798" i="2"/>
  <c r="V1798" i="2" s="1"/>
  <c r="B1798" i="2"/>
  <c r="A1798" i="2"/>
  <c r="U1797" i="2"/>
  <c r="V1797" i="2" s="1"/>
  <c r="B1797" i="2"/>
  <c r="A1797" i="2"/>
  <c r="U1796" i="2"/>
  <c r="V1796" i="2" s="1"/>
  <c r="B1796" i="2"/>
  <c r="A1796" i="2"/>
  <c r="U1795" i="2"/>
  <c r="V1795" i="2" s="1"/>
  <c r="B1795" i="2"/>
  <c r="A1795" i="2"/>
  <c r="U1794" i="2"/>
  <c r="V1794" i="2" s="1"/>
  <c r="B1794" i="2"/>
  <c r="A1794" i="2"/>
  <c r="U1793" i="2"/>
  <c r="V1793" i="2" s="1"/>
  <c r="B1793" i="2"/>
  <c r="A1793" i="2"/>
  <c r="U1792" i="2"/>
  <c r="V1792" i="2" s="1"/>
  <c r="B1792" i="2"/>
  <c r="A1792" i="2"/>
  <c r="U1791" i="2"/>
  <c r="V1791" i="2" s="1"/>
  <c r="B1791" i="2"/>
  <c r="A1791" i="2"/>
  <c r="U1790" i="2"/>
  <c r="V1790" i="2" s="1"/>
  <c r="B1790" i="2"/>
  <c r="A1790" i="2"/>
  <c r="U1789" i="2"/>
  <c r="V1789" i="2" s="1"/>
  <c r="B1789" i="2"/>
  <c r="A1789" i="2"/>
  <c r="U1788" i="2"/>
  <c r="V1788" i="2" s="1"/>
  <c r="B1788" i="2"/>
  <c r="A1788" i="2"/>
  <c r="U1787" i="2"/>
  <c r="V1787" i="2" s="1"/>
  <c r="B1787" i="2"/>
  <c r="A1787" i="2"/>
  <c r="U1786" i="2"/>
  <c r="V1786" i="2" s="1"/>
  <c r="B1786" i="2"/>
  <c r="A1786" i="2"/>
  <c r="U1785" i="2"/>
  <c r="V1785" i="2" s="1"/>
  <c r="B1785" i="2"/>
  <c r="A1785" i="2"/>
  <c r="U1784" i="2"/>
  <c r="V1784" i="2" s="1"/>
  <c r="B1784" i="2"/>
  <c r="A1784" i="2"/>
  <c r="U1783" i="2"/>
  <c r="V1783" i="2" s="1"/>
  <c r="B1783" i="2"/>
  <c r="A1783" i="2"/>
  <c r="U1782" i="2"/>
  <c r="V1782" i="2" s="1"/>
  <c r="B1782" i="2"/>
  <c r="A1782" i="2"/>
  <c r="U1781" i="2"/>
  <c r="V1781" i="2" s="1"/>
  <c r="B1781" i="2"/>
  <c r="A1781" i="2"/>
  <c r="U1780" i="2"/>
  <c r="V1780" i="2" s="1"/>
  <c r="B1780" i="2"/>
  <c r="A1780" i="2"/>
  <c r="U1779" i="2"/>
  <c r="V1779" i="2" s="1"/>
  <c r="B1779" i="2"/>
  <c r="A1779" i="2"/>
  <c r="U1778" i="2"/>
  <c r="V1778" i="2" s="1"/>
  <c r="B1778" i="2"/>
  <c r="A1778" i="2"/>
  <c r="U1777" i="2"/>
  <c r="V1777" i="2" s="1"/>
  <c r="B1777" i="2"/>
  <c r="A1777" i="2"/>
  <c r="U1776" i="2"/>
  <c r="V1776" i="2" s="1"/>
  <c r="B1776" i="2"/>
  <c r="A1776" i="2"/>
  <c r="U1775" i="2"/>
  <c r="V1775" i="2" s="1"/>
  <c r="B1775" i="2"/>
  <c r="A1775" i="2"/>
  <c r="U1774" i="2"/>
  <c r="V1774" i="2" s="1"/>
  <c r="B1774" i="2"/>
  <c r="A1774" i="2"/>
  <c r="U1773" i="2"/>
  <c r="V1773" i="2" s="1"/>
  <c r="B1773" i="2"/>
  <c r="A1773" i="2"/>
  <c r="U1772" i="2"/>
  <c r="V1772" i="2" s="1"/>
  <c r="B1772" i="2"/>
  <c r="A1772" i="2"/>
  <c r="U1771" i="2"/>
  <c r="V1771" i="2" s="1"/>
  <c r="B1771" i="2"/>
  <c r="A1771" i="2"/>
  <c r="U1770" i="2"/>
  <c r="V1770" i="2" s="1"/>
  <c r="B1770" i="2"/>
  <c r="A1770" i="2"/>
  <c r="U1769" i="2"/>
  <c r="V1769" i="2" s="1"/>
  <c r="B1769" i="2"/>
  <c r="A1769" i="2"/>
  <c r="U1768" i="2"/>
  <c r="V1768" i="2" s="1"/>
  <c r="B1768" i="2"/>
  <c r="A1768" i="2"/>
  <c r="U1767" i="2"/>
  <c r="V1767" i="2" s="1"/>
  <c r="B1767" i="2"/>
  <c r="A1767" i="2"/>
  <c r="U1766" i="2"/>
  <c r="V1766" i="2" s="1"/>
  <c r="B1766" i="2"/>
  <c r="A1766" i="2"/>
  <c r="U1765" i="2"/>
  <c r="V1765" i="2" s="1"/>
  <c r="B1765" i="2"/>
  <c r="A1765" i="2"/>
  <c r="U1764" i="2"/>
  <c r="V1764" i="2" s="1"/>
  <c r="B1764" i="2"/>
  <c r="A1764" i="2"/>
  <c r="U1763" i="2"/>
  <c r="V1763" i="2" s="1"/>
  <c r="B1763" i="2"/>
  <c r="A1763" i="2"/>
  <c r="U1762" i="2"/>
  <c r="V1762" i="2" s="1"/>
  <c r="B1762" i="2"/>
  <c r="A1762" i="2"/>
  <c r="U1761" i="2"/>
  <c r="V1761" i="2" s="1"/>
  <c r="B1761" i="2"/>
  <c r="A1761" i="2"/>
  <c r="U1760" i="2"/>
  <c r="V1760" i="2" s="1"/>
  <c r="B1760" i="2"/>
  <c r="A1760" i="2"/>
  <c r="U1759" i="2"/>
  <c r="V1759" i="2" s="1"/>
  <c r="B1759" i="2"/>
  <c r="A1759" i="2"/>
  <c r="U1758" i="2"/>
  <c r="V1758" i="2" s="1"/>
  <c r="B1758" i="2"/>
  <c r="A1758" i="2"/>
  <c r="U1757" i="2"/>
  <c r="V1757" i="2" s="1"/>
  <c r="B1757" i="2"/>
  <c r="A1757" i="2"/>
  <c r="U1756" i="2"/>
  <c r="V1756" i="2" s="1"/>
  <c r="B1756" i="2"/>
  <c r="A1756" i="2"/>
  <c r="U1755" i="2"/>
  <c r="V1755" i="2" s="1"/>
  <c r="B1755" i="2"/>
  <c r="A1755" i="2"/>
  <c r="U1754" i="2"/>
  <c r="V1754" i="2" s="1"/>
  <c r="B1754" i="2"/>
  <c r="A1754" i="2"/>
  <c r="U1753" i="2"/>
  <c r="V1753" i="2" s="1"/>
  <c r="B1753" i="2"/>
  <c r="A1753" i="2"/>
  <c r="U1752" i="2"/>
  <c r="V1752" i="2" s="1"/>
  <c r="B1752" i="2"/>
  <c r="A1752" i="2"/>
  <c r="U1751" i="2"/>
  <c r="V1751" i="2" s="1"/>
  <c r="B1751" i="2"/>
  <c r="A1751" i="2"/>
  <c r="U1750" i="2"/>
  <c r="V1750" i="2" s="1"/>
  <c r="B1750" i="2"/>
  <c r="A1750" i="2"/>
  <c r="U1749" i="2"/>
  <c r="V1749" i="2" s="1"/>
  <c r="B1749" i="2"/>
  <c r="A1749" i="2"/>
  <c r="U1748" i="2"/>
  <c r="V1748" i="2" s="1"/>
  <c r="B1748" i="2"/>
  <c r="A1748" i="2"/>
  <c r="U1747" i="2"/>
  <c r="V1747" i="2" s="1"/>
  <c r="B1747" i="2"/>
  <c r="A1747" i="2"/>
  <c r="U1746" i="2"/>
  <c r="V1746" i="2" s="1"/>
  <c r="B1746" i="2"/>
  <c r="A1746" i="2"/>
  <c r="U1745" i="2"/>
  <c r="V1745" i="2" s="1"/>
  <c r="B1745" i="2"/>
  <c r="A1745" i="2"/>
  <c r="U1744" i="2"/>
  <c r="V1744" i="2" s="1"/>
  <c r="B1744" i="2"/>
  <c r="A1744" i="2"/>
  <c r="U1743" i="2"/>
  <c r="V1743" i="2" s="1"/>
  <c r="B1743" i="2"/>
  <c r="A1743" i="2"/>
  <c r="U1742" i="2"/>
  <c r="V1742" i="2" s="1"/>
  <c r="B1742" i="2"/>
  <c r="A1742" i="2"/>
  <c r="U1741" i="2"/>
  <c r="V1741" i="2" s="1"/>
  <c r="B1741" i="2"/>
  <c r="A1741" i="2"/>
  <c r="U1740" i="2"/>
  <c r="V1740" i="2" s="1"/>
  <c r="B1740" i="2"/>
  <c r="A1740" i="2"/>
  <c r="U1739" i="2"/>
  <c r="V1739" i="2" s="1"/>
  <c r="B1739" i="2"/>
  <c r="A1739" i="2"/>
  <c r="U1738" i="2"/>
  <c r="V1738" i="2" s="1"/>
  <c r="B1738" i="2"/>
  <c r="A1738" i="2"/>
  <c r="U1737" i="2"/>
  <c r="V1737" i="2" s="1"/>
  <c r="B1737" i="2"/>
  <c r="A1737" i="2"/>
  <c r="U1736" i="2"/>
  <c r="V1736" i="2" s="1"/>
  <c r="B1736" i="2"/>
  <c r="A1736" i="2"/>
  <c r="U1735" i="2"/>
  <c r="V1735" i="2" s="1"/>
  <c r="B1735" i="2"/>
  <c r="A1735" i="2"/>
  <c r="U1734" i="2"/>
  <c r="V1734" i="2" s="1"/>
  <c r="B1734" i="2"/>
  <c r="A1734" i="2"/>
  <c r="U1733" i="2"/>
  <c r="V1733" i="2" s="1"/>
  <c r="B1733" i="2"/>
  <c r="A1733" i="2"/>
  <c r="U1732" i="2"/>
  <c r="V1732" i="2" s="1"/>
  <c r="B1732" i="2"/>
  <c r="A1732" i="2"/>
  <c r="U1731" i="2"/>
  <c r="V1731" i="2" s="1"/>
  <c r="B1731" i="2"/>
  <c r="A1731" i="2"/>
  <c r="U1730" i="2"/>
  <c r="V1730" i="2" s="1"/>
  <c r="B1730" i="2"/>
  <c r="A1730" i="2"/>
  <c r="U1729" i="2"/>
  <c r="V1729" i="2" s="1"/>
  <c r="B1729" i="2"/>
  <c r="A1729" i="2"/>
  <c r="U1728" i="2"/>
  <c r="V1728" i="2" s="1"/>
  <c r="B1728" i="2"/>
  <c r="A1728" i="2"/>
  <c r="U1727" i="2"/>
  <c r="V1727" i="2" s="1"/>
  <c r="B1727" i="2"/>
  <c r="A1727" i="2"/>
  <c r="U1726" i="2"/>
  <c r="V1726" i="2" s="1"/>
  <c r="B1726" i="2"/>
  <c r="A1726" i="2"/>
  <c r="U1725" i="2"/>
  <c r="V1725" i="2" s="1"/>
  <c r="B1725" i="2"/>
  <c r="A1725" i="2"/>
  <c r="U1724" i="2"/>
  <c r="V1724" i="2" s="1"/>
  <c r="B1724" i="2"/>
  <c r="A1724" i="2"/>
  <c r="U1723" i="2"/>
  <c r="V1723" i="2" s="1"/>
  <c r="B1723" i="2"/>
  <c r="A1723" i="2"/>
  <c r="U1722" i="2"/>
  <c r="V1722" i="2" s="1"/>
  <c r="B1722" i="2"/>
  <c r="A1722" i="2"/>
  <c r="U1721" i="2"/>
  <c r="V1721" i="2" s="1"/>
  <c r="B1721" i="2"/>
  <c r="A1721" i="2"/>
  <c r="U1720" i="2"/>
  <c r="V1720" i="2" s="1"/>
  <c r="B1720" i="2"/>
  <c r="A1720" i="2"/>
  <c r="U1719" i="2"/>
  <c r="V1719" i="2" s="1"/>
  <c r="B1719" i="2"/>
  <c r="A1719" i="2"/>
  <c r="U1718" i="2"/>
  <c r="V1718" i="2" s="1"/>
  <c r="B1718" i="2"/>
  <c r="A1718" i="2"/>
  <c r="U1717" i="2"/>
  <c r="V1717" i="2" s="1"/>
  <c r="B1717" i="2"/>
  <c r="A1717" i="2"/>
  <c r="U1716" i="2"/>
  <c r="V1716" i="2" s="1"/>
  <c r="B1716" i="2"/>
  <c r="A1716" i="2"/>
  <c r="U1715" i="2"/>
  <c r="V1715" i="2" s="1"/>
  <c r="B1715" i="2"/>
  <c r="A1715" i="2"/>
  <c r="U1714" i="2"/>
  <c r="V1714" i="2" s="1"/>
  <c r="B1714" i="2"/>
  <c r="A1714" i="2"/>
  <c r="U1713" i="2"/>
  <c r="V1713" i="2" s="1"/>
  <c r="B1713" i="2"/>
  <c r="A1713" i="2"/>
  <c r="U1712" i="2"/>
  <c r="V1712" i="2" s="1"/>
  <c r="B1712" i="2"/>
  <c r="A1712" i="2"/>
  <c r="U1711" i="2"/>
  <c r="V1711" i="2" s="1"/>
  <c r="B1711" i="2"/>
  <c r="A1711" i="2"/>
  <c r="U1710" i="2"/>
  <c r="V1710" i="2" s="1"/>
  <c r="B1710" i="2"/>
  <c r="A1710" i="2"/>
  <c r="U1709" i="2"/>
  <c r="V1709" i="2" s="1"/>
  <c r="B1709" i="2"/>
  <c r="A1709" i="2"/>
  <c r="U1708" i="2"/>
  <c r="V1708" i="2" s="1"/>
  <c r="B1708" i="2"/>
  <c r="A1708" i="2"/>
  <c r="U1707" i="2"/>
  <c r="V1707" i="2" s="1"/>
  <c r="B1707" i="2"/>
  <c r="A1707" i="2"/>
  <c r="U1706" i="2"/>
  <c r="V1706" i="2" s="1"/>
  <c r="B1706" i="2"/>
  <c r="A1706" i="2"/>
  <c r="U1705" i="2"/>
  <c r="V1705" i="2" s="1"/>
  <c r="B1705" i="2"/>
  <c r="A1705" i="2"/>
  <c r="U1704" i="2"/>
  <c r="V1704" i="2" s="1"/>
  <c r="B1704" i="2"/>
  <c r="A1704" i="2"/>
  <c r="U1703" i="2"/>
  <c r="V1703" i="2" s="1"/>
  <c r="B1703" i="2"/>
  <c r="A1703" i="2"/>
  <c r="U1702" i="2"/>
  <c r="V1702" i="2" s="1"/>
  <c r="B1702" i="2"/>
  <c r="A1702" i="2"/>
  <c r="U1701" i="2"/>
  <c r="V1701" i="2" s="1"/>
  <c r="B1701" i="2"/>
  <c r="A1701" i="2"/>
  <c r="U1700" i="2"/>
  <c r="V1700" i="2" s="1"/>
  <c r="B1700" i="2"/>
  <c r="A1700" i="2"/>
  <c r="U1699" i="2"/>
  <c r="V1699" i="2" s="1"/>
  <c r="B1699" i="2"/>
  <c r="A1699" i="2"/>
  <c r="U1698" i="2"/>
  <c r="V1698" i="2" s="1"/>
  <c r="B1698" i="2"/>
  <c r="A1698" i="2"/>
  <c r="U1697" i="2"/>
  <c r="V1697" i="2" s="1"/>
  <c r="B1697" i="2"/>
  <c r="A1697" i="2"/>
  <c r="U1696" i="2"/>
  <c r="V1696" i="2" s="1"/>
  <c r="B1696" i="2"/>
  <c r="A1696" i="2"/>
  <c r="U1695" i="2"/>
  <c r="V1695" i="2" s="1"/>
  <c r="B1695" i="2"/>
  <c r="A1695" i="2"/>
  <c r="U1694" i="2"/>
  <c r="V1694" i="2" s="1"/>
  <c r="B1694" i="2"/>
  <c r="A1694" i="2"/>
  <c r="U1693" i="2"/>
  <c r="V1693" i="2" s="1"/>
  <c r="B1693" i="2"/>
  <c r="A1693" i="2"/>
  <c r="U1692" i="2"/>
  <c r="V1692" i="2" s="1"/>
  <c r="B1692" i="2"/>
  <c r="A1692" i="2"/>
  <c r="U1691" i="2"/>
  <c r="V1691" i="2" s="1"/>
  <c r="B1691" i="2"/>
  <c r="A1691" i="2"/>
  <c r="U1690" i="2"/>
  <c r="V1690" i="2" s="1"/>
  <c r="B1690" i="2"/>
  <c r="A1690" i="2"/>
  <c r="U1689" i="2"/>
  <c r="V1689" i="2" s="1"/>
  <c r="B1689" i="2"/>
  <c r="A1689" i="2"/>
  <c r="U1688" i="2"/>
  <c r="V1688" i="2" s="1"/>
  <c r="B1688" i="2"/>
  <c r="A1688" i="2"/>
  <c r="U1687" i="2"/>
  <c r="V1687" i="2" s="1"/>
  <c r="B1687" i="2"/>
  <c r="A1687" i="2"/>
  <c r="U1686" i="2"/>
  <c r="V1686" i="2" s="1"/>
  <c r="B1686" i="2"/>
  <c r="A1686" i="2"/>
  <c r="U1685" i="2"/>
  <c r="V1685" i="2" s="1"/>
  <c r="B1685" i="2"/>
  <c r="A1685" i="2"/>
  <c r="U1684" i="2"/>
  <c r="V1684" i="2" s="1"/>
  <c r="B1684" i="2"/>
  <c r="A1684" i="2"/>
  <c r="U1683" i="2"/>
  <c r="V1683" i="2" s="1"/>
  <c r="B1683" i="2"/>
  <c r="A1683" i="2"/>
  <c r="U1682" i="2"/>
  <c r="V1682" i="2" s="1"/>
  <c r="B1682" i="2"/>
  <c r="A1682" i="2"/>
  <c r="U1681" i="2"/>
  <c r="V1681" i="2" s="1"/>
  <c r="B1681" i="2"/>
  <c r="A1681" i="2"/>
  <c r="U1680" i="2"/>
  <c r="V1680" i="2" s="1"/>
  <c r="B1680" i="2"/>
  <c r="A1680" i="2"/>
  <c r="U1679" i="2"/>
  <c r="V1679" i="2" s="1"/>
  <c r="B1679" i="2"/>
  <c r="A1679" i="2"/>
  <c r="U1678" i="2"/>
  <c r="V1678" i="2" s="1"/>
  <c r="B1678" i="2"/>
  <c r="A1678" i="2"/>
  <c r="U1677" i="2"/>
  <c r="V1677" i="2" s="1"/>
  <c r="B1677" i="2"/>
  <c r="A1677" i="2"/>
  <c r="U1676" i="2"/>
  <c r="V1676" i="2" s="1"/>
  <c r="B1676" i="2"/>
  <c r="A1676" i="2"/>
  <c r="U1675" i="2"/>
  <c r="V1675" i="2" s="1"/>
  <c r="B1675" i="2"/>
  <c r="A1675" i="2"/>
  <c r="U1674" i="2"/>
  <c r="V1674" i="2" s="1"/>
  <c r="B1674" i="2"/>
  <c r="A1674" i="2"/>
  <c r="U1673" i="2"/>
  <c r="V1673" i="2" s="1"/>
  <c r="B1673" i="2"/>
  <c r="A1673" i="2"/>
  <c r="U1672" i="2"/>
  <c r="V1672" i="2" s="1"/>
  <c r="B1672" i="2"/>
  <c r="A1672" i="2"/>
  <c r="U1671" i="2"/>
  <c r="V1671" i="2" s="1"/>
  <c r="B1671" i="2"/>
  <c r="A1671" i="2"/>
  <c r="U1670" i="2"/>
  <c r="V1670" i="2" s="1"/>
  <c r="B1670" i="2"/>
  <c r="A1670" i="2"/>
  <c r="U1669" i="2"/>
  <c r="V1669" i="2" s="1"/>
  <c r="B1669" i="2"/>
  <c r="A1669" i="2"/>
  <c r="U1668" i="2"/>
  <c r="V1668" i="2" s="1"/>
  <c r="B1668" i="2"/>
  <c r="A1668" i="2"/>
  <c r="U1667" i="2"/>
  <c r="V1667" i="2" s="1"/>
  <c r="B1667" i="2"/>
  <c r="A1667" i="2"/>
  <c r="U1666" i="2"/>
  <c r="V1666" i="2" s="1"/>
  <c r="B1666" i="2"/>
  <c r="A1666" i="2"/>
  <c r="U1665" i="2"/>
  <c r="V1665" i="2" s="1"/>
  <c r="B1665" i="2"/>
  <c r="A1665" i="2"/>
  <c r="U1664" i="2"/>
  <c r="V1664" i="2" s="1"/>
  <c r="B1664" i="2"/>
  <c r="A1664" i="2"/>
  <c r="U1663" i="2"/>
  <c r="V1663" i="2" s="1"/>
  <c r="B1663" i="2"/>
  <c r="A1663" i="2"/>
  <c r="U1662" i="2"/>
  <c r="V1662" i="2" s="1"/>
  <c r="B1662" i="2"/>
  <c r="A1662" i="2"/>
  <c r="U1661" i="2"/>
  <c r="V1661" i="2" s="1"/>
  <c r="B1661" i="2"/>
  <c r="A1661" i="2"/>
  <c r="U1660" i="2"/>
  <c r="V1660" i="2" s="1"/>
  <c r="B1660" i="2"/>
  <c r="A1660" i="2"/>
  <c r="U1659" i="2"/>
  <c r="V1659" i="2" s="1"/>
  <c r="B1659" i="2"/>
  <c r="A1659" i="2"/>
  <c r="U1658" i="2"/>
  <c r="V1658" i="2" s="1"/>
  <c r="B1658" i="2"/>
  <c r="A1658" i="2"/>
  <c r="U1657" i="2"/>
  <c r="V1657" i="2" s="1"/>
  <c r="B1657" i="2"/>
  <c r="A1657" i="2"/>
  <c r="U1656" i="2"/>
  <c r="V1656" i="2" s="1"/>
  <c r="B1656" i="2"/>
  <c r="A1656" i="2"/>
  <c r="U1655" i="2"/>
  <c r="V1655" i="2" s="1"/>
  <c r="B1655" i="2"/>
  <c r="A1655" i="2"/>
  <c r="U1654" i="2"/>
  <c r="V1654" i="2" s="1"/>
  <c r="B1654" i="2"/>
  <c r="A1654" i="2"/>
  <c r="U1653" i="2"/>
  <c r="V1653" i="2" s="1"/>
  <c r="B1653" i="2"/>
  <c r="A1653" i="2"/>
  <c r="U1652" i="2"/>
  <c r="V1652" i="2" s="1"/>
  <c r="B1652" i="2"/>
  <c r="A1652" i="2"/>
  <c r="U1651" i="2"/>
  <c r="V1651" i="2" s="1"/>
  <c r="B1651" i="2"/>
  <c r="A1651" i="2"/>
  <c r="U1650" i="2"/>
  <c r="V1650" i="2" s="1"/>
  <c r="B1650" i="2"/>
  <c r="A1650" i="2"/>
  <c r="U1649" i="2"/>
  <c r="V1649" i="2" s="1"/>
  <c r="B1649" i="2"/>
  <c r="A1649" i="2"/>
  <c r="U1648" i="2"/>
  <c r="V1648" i="2" s="1"/>
  <c r="B1648" i="2"/>
  <c r="A1648" i="2"/>
  <c r="U1647" i="2"/>
  <c r="V1647" i="2" s="1"/>
  <c r="B1647" i="2"/>
  <c r="A1647" i="2"/>
  <c r="U1646" i="2"/>
  <c r="V1646" i="2" s="1"/>
  <c r="B1646" i="2"/>
  <c r="A1646" i="2"/>
  <c r="U1645" i="2"/>
  <c r="V1645" i="2" s="1"/>
  <c r="B1645" i="2"/>
  <c r="A1645" i="2"/>
  <c r="U1644" i="2"/>
  <c r="V1644" i="2" s="1"/>
  <c r="B1644" i="2"/>
  <c r="A1644" i="2"/>
  <c r="U1643" i="2"/>
  <c r="V1643" i="2" s="1"/>
  <c r="B1643" i="2"/>
  <c r="A1643" i="2"/>
  <c r="U1642" i="2"/>
  <c r="V1642" i="2" s="1"/>
  <c r="B1642" i="2"/>
  <c r="A1642" i="2"/>
  <c r="U1641" i="2"/>
  <c r="V1641" i="2" s="1"/>
  <c r="B1641" i="2"/>
  <c r="A1641" i="2"/>
  <c r="U1640" i="2"/>
  <c r="V1640" i="2" s="1"/>
  <c r="B1640" i="2"/>
  <c r="A1640" i="2"/>
  <c r="U1639" i="2"/>
  <c r="V1639" i="2" s="1"/>
  <c r="B1639" i="2"/>
  <c r="A1639" i="2"/>
  <c r="U1638" i="2"/>
  <c r="V1638" i="2" s="1"/>
  <c r="B1638" i="2"/>
  <c r="A1638" i="2"/>
  <c r="U1637" i="2"/>
  <c r="V1637" i="2" s="1"/>
  <c r="B1637" i="2"/>
  <c r="A1637" i="2"/>
  <c r="U1636" i="2"/>
  <c r="V1636" i="2" s="1"/>
  <c r="B1636" i="2"/>
  <c r="A1636" i="2"/>
  <c r="U1635" i="2"/>
  <c r="V1635" i="2" s="1"/>
  <c r="B1635" i="2"/>
  <c r="A1635" i="2"/>
  <c r="U1634" i="2"/>
  <c r="V1634" i="2" s="1"/>
  <c r="B1634" i="2"/>
  <c r="A1634" i="2"/>
  <c r="U1633" i="2"/>
  <c r="V1633" i="2" s="1"/>
  <c r="B1633" i="2"/>
  <c r="A1633" i="2"/>
  <c r="U1632" i="2"/>
  <c r="V1632" i="2" s="1"/>
  <c r="B1632" i="2"/>
  <c r="A1632" i="2"/>
  <c r="U1631" i="2"/>
  <c r="V1631" i="2" s="1"/>
  <c r="B1631" i="2"/>
  <c r="A1631" i="2"/>
  <c r="U1630" i="2"/>
  <c r="V1630" i="2" s="1"/>
  <c r="B1630" i="2"/>
  <c r="A1630" i="2"/>
  <c r="U1629" i="2"/>
  <c r="V1629" i="2" s="1"/>
  <c r="B1629" i="2"/>
  <c r="A1629" i="2"/>
  <c r="U1628" i="2"/>
  <c r="V1628" i="2" s="1"/>
  <c r="B1628" i="2"/>
  <c r="A1628" i="2"/>
  <c r="U1627" i="2"/>
  <c r="V1627" i="2" s="1"/>
  <c r="B1627" i="2"/>
  <c r="A1627" i="2"/>
  <c r="U1626" i="2"/>
  <c r="V1626" i="2" s="1"/>
  <c r="B1626" i="2"/>
  <c r="A1626" i="2"/>
  <c r="U1625" i="2"/>
  <c r="V1625" i="2" s="1"/>
  <c r="B1625" i="2"/>
  <c r="A1625" i="2"/>
  <c r="U1624" i="2"/>
  <c r="V1624" i="2" s="1"/>
  <c r="B1624" i="2"/>
  <c r="A1624" i="2"/>
  <c r="U1623" i="2"/>
  <c r="V1623" i="2" s="1"/>
  <c r="B1623" i="2"/>
  <c r="A1623" i="2"/>
  <c r="U1622" i="2"/>
  <c r="V1622" i="2" s="1"/>
  <c r="B1622" i="2"/>
  <c r="A1622" i="2"/>
  <c r="U1621" i="2"/>
  <c r="V1621" i="2" s="1"/>
  <c r="B1621" i="2"/>
  <c r="A1621" i="2"/>
  <c r="U1620" i="2"/>
  <c r="V1620" i="2" s="1"/>
  <c r="B1620" i="2"/>
  <c r="A1620" i="2"/>
  <c r="U1619" i="2"/>
  <c r="V1619" i="2" s="1"/>
  <c r="B1619" i="2"/>
  <c r="A1619" i="2"/>
  <c r="U1618" i="2"/>
  <c r="V1618" i="2" s="1"/>
  <c r="B1618" i="2"/>
  <c r="A1618" i="2"/>
  <c r="U1617" i="2"/>
  <c r="V1617" i="2" s="1"/>
  <c r="B1617" i="2"/>
  <c r="A1617" i="2"/>
  <c r="U1616" i="2"/>
  <c r="V1616" i="2" s="1"/>
  <c r="B1616" i="2"/>
  <c r="A1616" i="2"/>
  <c r="U1615" i="2"/>
  <c r="V1615" i="2" s="1"/>
  <c r="B1615" i="2"/>
  <c r="A1615" i="2"/>
  <c r="U1614" i="2"/>
  <c r="V1614" i="2" s="1"/>
  <c r="B1614" i="2"/>
  <c r="A1614" i="2"/>
  <c r="U1613" i="2"/>
  <c r="V1613" i="2" s="1"/>
  <c r="B1613" i="2"/>
  <c r="A1613" i="2"/>
  <c r="U1612" i="2"/>
  <c r="V1612" i="2" s="1"/>
  <c r="B1612" i="2"/>
  <c r="A1612" i="2"/>
  <c r="U1611" i="2"/>
  <c r="V1611" i="2" s="1"/>
  <c r="B1611" i="2"/>
  <c r="A1611" i="2"/>
  <c r="U1610" i="2"/>
  <c r="V1610" i="2" s="1"/>
  <c r="B1610" i="2"/>
  <c r="A1610" i="2"/>
  <c r="U1609" i="2"/>
  <c r="V1609" i="2" s="1"/>
  <c r="B1609" i="2"/>
  <c r="A1609" i="2"/>
  <c r="U1608" i="2"/>
  <c r="V1608" i="2" s="1"/>
  <c r="B1608" i="2"/>
  <c r="A1608" i="2"/>
  <c r="U1607" i="2"/>
  <c r="V1607" i="2" s="1"/>
  <c r="B1607" i="2"/>
  <c r="A1607" i="2"/>
  <c r="U1606" i="2"/>
  <c r="V1606" i="2" s="1"/>
  <c r="B1606" i="2"/>
  <c r="A1606" i="2"/>
  <c r="U1605" i="2"/>
  <c r="V1605" i="2" s="1"/>
  <c r="B1605" i="2"/>
  <c r="A1605" i="2"/>
  <c r="U1604" i="2"/>
  <c r="V1604" i="2" s="1"/>
  <c r="B1604" i="2"/>
  <c r="A1604" i="2"/>
  <c r="U1603" i="2"/>
  <c r="V1603" i="2" s="1"/>
  <c r="B1603" i="2"/>
  <c r="A1603" i="2"/>
  <c r="U1602" i="2"/>
  <c r="V1602" i="2" s="1"/>
  <c r="B1602" i="2"/>
  <c r="A1602" i="2"/>
  <c r="U1601" i="2"/>
  <c r="V1601" i="2" s="1"/>
  <c r="B1601" i="2"/>
  <c r="A1601" i="2"/>
  <c r="U1600" i="2"/>
  <c r="V1600" i="2" s="1"/>
  <c r="B1600" i="2"/>
  <c r="A1600" i="2"/>
  <c r="U1599" i="2"/>
  <c r="V1599" i="2" s="1"/>
  <c r="B1599" i="2"/>
  <c r="A1599" i="2"/>
  <c r="U1598" i="2"/>
  <c r="V1598" i="2" s="1"/>
  <c r="B1598" i="2"/>
  <c r="A1598" i="2"/>
  <c r="U1597" i="2"/>
  <c r="V1597" i="2" s="1"/>
  <c r="B1597" i="2"/>
  <c r="A1597" i="2"/>
  <c r="U1596" i="2"/>
  <c r="V1596" i="2" s="1"/>
  <c r="B1596" i="2"/>
  <c r="A1596" i="2"/>
  <c r="U1595" i="2"/>
  <c r="V1595" i="2" s="1"/>
  <c r="B1595" i="2"/>
  <c r="A1595" i="2"/>
  <c r="U1594" i="2"/>
  <c r="V1594" i="2" s="1"/>
  <c r="B1594" i="2"/>
  <c r="A1594" i="2"/>
  <c r="U1593" i="2"/>
  <c r="V1593" i="2" s="1"/>
  <c r="B1593" i="2"/>
  <c r="A1593" i="2"/>
  <c r="U1592" i="2"/>
  <c r="V1592" i="2" s="1"/>
  <c r="B1592" i="2"/>
  <c r="A1592" i="2"/>
  <c r="U1591" i="2"/>
  <c r="V1591" i="2" s="1"/>
  <c r="B1591" i="2"/>
  <c r="A1591" i="2"/>
  <c r="U1590" i="2"/>
  <c r="V1590" i="2" s="1"/>
  <c r="B1590" i="2"/>
  <c r="A1590" i="2"/>
  <c r="U1589" i="2"/>
  <c r="V1589" i="2" s="1"/>
  <c r="B1589" i="2"/>
  <c r="A1589" i="2"/>
  <c r="U1588" i="2"/>
  <c r="V1588" i="2" s="1"/>
  <c r="B1588" i="2"/>
  <c r="A1588" i="2"/>
  <c r="U1587" i="2"/>
  <c r="V1587" i="2" s="1"/>
  <c r="B1587" i="2"/>
  <c r="A1587" i="2"/>
  <c r="U1586" i="2"/>
  <c r="V1586" i="2" s="1"/>
  <c r="B1586" i="2"/>
  <c r="A1586" i="2"/>
  <c r="U1585" i="2"/>
  <c r="V1585" i="2" s="1"/>
  <c r="B1585" i="2"/>
  <c r="A1585" i="2"/>
  <c r="U1584" i="2"/>
  <c r="V1584" i="2" s="1"/>
  <c r="B1584" i="2"/>
  <c r="A1584" i="2"/>
  <c r="U1583" i="2"/>
  <c r="V1583" i="2" s="1"/>
  <c r="B1583" i="2"/>
  <c r="A1583" i="2"/>
  <c r="U1582" i="2"/>
  <c r="V1582" i="2" s="1"/>
  <c r="B1582" i="2"/>
  <c r="A1582" i="2"/>
  <c r="U1581" i="2"/>
  <c r="V1581" i="2" s="1"/>
  <c r="B1581" i="2"/>
  <c r="A1581" i="2"/>
  <c r="U1580" i="2"/>
  <c r="V1580" i="2" s="1"/>
  <c r="B1580" i="2"/>
  <c r="A1580" i="2"/>
  <c r="U1579" i="2"/>
  <c r="V1579" i="2" s="1"/>
  <c r="B1579" i="2"/>
  <c r="A1579" i="2"/>
  <c r="U1578" i="2"/>
  <c r="V1578" i="2" s="1"/>
  <c r="B1578" i="2"/>
  <c r="A1578" i="2"/>
  <c r="U1577" i="2"/>
  <c r="V1577" i="2" s="1"/>
  <c r="B1577" i="2"/>
  <c r="A1577" i="2"/>
  <c r="U1576" i="2"/>
  <c r="V1576" i="2" s="1"/>
  <c r="B1576" i="2"/>
  <c r="A1576" i="2"/>
  <c r="U1575" i="2"/>
  <c r="V1575" i="2" s="1"/>
  <c r="B1575" i="2"/>
  <c r="A1575" i="2"/>
  <c r="U1574" i="2"/>
  <c r="V1574" i="2" s="1"/>
  <c r="B1574" i="2"/>
  <c r="A1574" i="2"/>
  <c r="U1573" i="2"/>
  <c r="V1573" i="2" s="1"/>
  <c r="B1573" i="2"/>
  <c r="A1573" i="2"/>
  <c r="U1572" i="2"/>
  <c r="V1572" i="2" s="1"/>
  <c r="B1572" i="2"/>
  <c r="A1572" i="2"/>
  <c r="U1571" i="2"/>
  <c r="V1571" i="2" s="1"/>
  <c r="B1571" i="2"/>
  <c r="A1571" i="2"/>
  <c r="U1570" i="2"/>
  <c r="V1570" i="2" s="1"/>
  <c r="B1570" i="2"/>
  <c r="A1570" i="2"/>
  <c r="U1569" i="2"/>
  <c r="V1569" i="2" s="1"/>
  <c r="B1569" i="2"/>
  <c r="A1569" i="2"/>
  <c r="U1568" i="2"/>
  <c r="V1568" i="2" s="1"/>
  <c r="B1568" i="2"/>
  <c r="A1568" i="2"/>
  <c r="U1567" i="2"/>
  <c r="V1567" i="2" s="1"/>
  <c r="B1567" i="2"/>
  <c r="A1567" i="2"/>
  <c r="U1566" i="2"/>
  <c r="V1566" i="2" s="1"/>
  <c r="B1566" i="2"/>
  <c r="A1566" i="2"/>
  <c r="U1565" i="2"/>
  <c r="V1565" i="2" s="1"/>
  <c r="B1565" i="2"/>
  <c r="A1565" i="2"/>
  <c r="U1564" i="2"/>
  <c r="V1564" i="2" s="1"/>
  <c r="B1564" i="2"/>
  <c r="A1564" i="2"/>
  <c r="U1563" i="2"/>
  <c r="V1563" i="2" s="1"/>
  <c r="B1563" i="2"/>
  <c r="A1563" i="2"/>
  <c r="U1562" i="2"/>
  <c r="V1562" i="2" s="1"/>
  <c r="B1562" i="2"/>
  <c r="A1562" i="2"/>
  <c r="U1561" i="2"/>
  <c r="V1561" i="2" s="1"/>
  <c r="B1561" i="2"/>
  <c r="A1561" i="2"/>
  <c r="U1560" i="2"/>
  <c r="V1560" i="2" s="1"/>
  <c r="B1560" i="2"/>
  <c r="A1560" i="2"/>
  <c r="U1559" i="2"/>
  <c r="V1559" i="2" s="1"/>
  <c r="B1559" i="2"/>
  <c r="A1559" i="2"/>
  <c r="U1558" i="2"/>
  <c r="V1558" i="2" s="1"/>
  <c r="B1558" i="2"/>
  <c r="A1558" i="2"/>
  <c r="U1557" i="2"/>
  <c r="V1557" i="2" s="1"/>
  <c r="B1557" i="2"/>
  <c r="A1557" i="2"/>
  <c r="U1556" i="2"/>
  <c r="V1556" i="2" s="1"/>
  <c r="B1556" i="2"/>
  <c r="A1556" i="2"/>
  <c r="U1555" i="2"/>
  <c r="V1555" i="2" s="1"/>
  <c r="B1555" i="2"/>
  <c r="A1555" i="2"/>
  <c r="U1554" i="2"/>
  <c r="V1554" i="2" s="1"/>
  <c r="B1554" i="2"/>
  <c r="A1554" i="2"/>
  <c r="U1553" i="2"/>
  <c r="V1553" i="2" s="1"/>
  <c r="B1553" i="2"/>
  <c r="A1553" i="2"/>
  <c r="U1552" i="2"/>
  <c r="V1552" i="2" s="1"/>
  <c r="B1552" i="2"/>
  <c r="A1552" i="2"/>
  <c r="U1551" i="2"/>
  <c r="V1551" i="2" s="1"/>
  <c r="B1551" i="2"/>
  <c r="A1551" i="2"/>
  <c r="U1550" i="2"/>
  <c r="V1550" i="2" s="1"/>
  <c r="B1550" i="2"/>
  <c r="A1550" i="2"/>
  <c r="U1549" i="2"/>
  <c r="V1549" i="2" s="1"/>
  <c r="B1549" i="2"/>
  <c r="A1549" i="2"/>
  <c r="U1548" i="2"/>
  <c r="V1548" i="2" s="1"/>
  <c r="B1548" i="2"/>
  <c r="A1548" i="2"/>
  <c r="U1547" i="2"/>
  <c r="V1547" i="2" s="1"/>
  <c r="B1547" i="2"/>
  <c r="A1547" i="2"/>
  <c r="U1546" i="2"/>
  <c r="V1546" i="2" s="1"/>
  <c r="B1546" i="2"/>
  <c r="A1546" i="2"/>
  <c r="U1545" i="2"/>
  <c r="V1545" i="2" s="1"/>
  <c r="B1545" i="2"/>
  <c r="A1545" i="2"/>
  <c r="U1544" i="2"/>
  <c r="V1544" i="2" s="1"/>
  <c r="B1544" i="2"/>
  <c r="A1544" i="2"/>
  <c r="U1543" i="2"/>
  <c r="V1543" i="2" s="1"/>
  <c r="B1543" i="2"/>
  <c r="A1543" i="2"/>
  <c r="U1542" i="2"/>
  <c r="V1542" i="2" s="1"/>
  <c r="B1542" i="2"/>
  <c r="A1542" i="2"/>
  <c r="U1541" i="2"/>
  <c r="V1541" i="2" s="1"/>
  <c r="B1541" i="2"/>
  <c r="A1541" i="2"/>
  <c r="U1540" i="2"/>
  <c r="V1540" i="2" s="1"/>
  <c r="B1540" i="2"/>
  <c r="A1540" i="2"/>
  <c r="U1539" i="2"/>
  <c r="V1539" i="2" s="1"/>
  <c r="B1539" i="2"/>
  <c r="A1539" i="2"/>
  <c r="U1538" i="2"/>
  <c r="V1538" i="2" s="1"/>
  <c r="B1538" i="2"/>
  <c r="A1538" i="2"/>
  <c r="U1537" i="2"/>
  <c r="V1537" i="2" s="1"/>
  <c r="B1537" i="2"/>
  <c r="A1537" i="2"/>
  <c r="U1536" i="2"/>
  <c r="V1536" i="2" s="1"/>
  <c r="B1536" i="2"/>
  <c r="A1536" i="2"/>
  <c r="U1535" i="2"/>
  <c r="V1535" i="2" s="1"/>
  <c r="B1535" i="2"/>
  <c r="A1535" i="2"/>
  <c r="U1534" i="2"/>
  <c r="V1534" i="2" s="1"/>
  <c r="B1534" i="2"/>
  <c r="A1534" i="2"/>
  <c r="U1533" i="2"/>
  <c r="V1533" i="2" s="1"/>
  <c r="B1533" i="2"/>
  <c r="A1533" i="2"/>
  <c r="U1532" i="2"/>
  <c r="V1532" i="2" s="1"/>
  <c r="B1532" i="2"/>
  <c r="A1532" i="2"/>
  <c r="U1531" i="2"/>
  <c r="V1531" i="2" s="1"/>
  <c r="B1531" i="2"/>
  <c r="A1531" i="2"/>
  <c r="U1530" i="2"/>
  <c r="V1530" i="2" s="1"/>
  <c r="B1530" i="2"/>
  <c r="A1530" i="2"/>
  <c r="U1529" i="2"/>
  <c r="V1529" i="2" s="1"/>
  <c r="B1529" i="2"/>
  <c r="A1529" i="2"/>
  <c r="U1528" i="2"/>
  <c r="V1528" i="2" s="1"/>
  <c r="B1528" i="2"/>
  <c r="A1528" i="2"/>
  <c r="U1527" i="2"/>
  <c r="V1527" i="2" s="1"/>
  <c r="B1527" i="2"/>
  <c r="A1527" i="2"/>
  <c r="U1526" i="2"/>
  <c r="V1526" i="2" s="1"/>
  <c r="B1526" i="2"/>
  <c r="A1526" i="2"/>
  <c r="U1525" i="2"/>
  <c r="V1525" i="2" s="1"/>
  <c r="B1525" i="2"/>
  <c r="A1525" i="2"/>
  <c r="U1524" i="2"/>
  <c r="V1524" i="2" s="1"/>
  <c r="B1524" i="2"/>
  <c r="A1524" i="2"/>
  <c r="U1523" i="2"/>
  <c r="V1523" i="2" s="1"/>
  <c r="B1523" i="2"/>
  <c r="A1523" i="2"/>
  <c r="U1522" i="2"/>
  <c r="V1522" i="2" s="1"/>
  <c r="B1522" i="2"/>
  <c r="A1522" i="2"/>
  <c r="U1521" i="2"/>
  <c r="V1521" i="2" s="1"/>
  <c r="B1521" i="2"/>
  <c r="A1521" i="2"/>
  <c r="U1520" i="2"/>
  <c r="V1520" i="2" s="1"/>
  <c r="B1520" i="2"/>
  <c r="A1520" i="2"/>
  <c r="U1519" i="2"/>
  <c r="V1519" i="2" s="1"/>
  <c r="B1519" i="2"/>
  <c r="A1519" i="2"/>
  <c r="U1518" i="2"/>
  <c r="V1518" i="2" s="1"/>
  <c r="B1518" i="2"/>
  <c r="A1518" i="2"/>
  <c r="U1517" i="2"/>
  <c r="V1517" i="2" s="1"/>
  <c r="B1517" i="2"/>
  <c r="A1517" i="2"/>
  <c r="U1516" i="2"/>
  <c r="V1516" i="2" s="1"/>
  <c r="B1516" i="2"/>
  <c r="A1516" i="2"/>
  <c r="U1515" i="2"/>
  <c r="V1515" i="2" s="1"/>
  <c r="B1515" i="2"/>
  <c r="A1515" i="2"/>
  <c r="U1514" i="2"/>
  <c r="V1514" i="2" s="1"/>
  <c r="B1514" i="2"/>
  <c r="A1514" i="2"/>
  <c r="U1513" i="2"/>
  <c r="V1513" i="2" s="1"/>
  <c r="B1513" i="2"/>
  <c r="A1513" i="2"/>
  <c r="U1512" i="2"/>
  <c r="V1512" i="2" s="1"/>
  <c r="B1512" i="2"/>
  <c r="A1512" i="2"/>
  <c r="U1511" i="2"/>
  <c r="V1511" i="2" s="1"/>
  <c r="B1511" i="2"/>
  <c r="A1511" i="2"/>
  <c r="U1510" i="2"/>
  <c r="V1510" i="2" s="1"/>
  <c r="B1510" i="2"/>
  <c r="A1510" i="2"/>
  <c r="U1509" i="2"/>
  <c r="V1509" i="2" s="1"/>
  <c r="B1509" i="2"/>
  <c r="A1509" i="2"/>
  <c r="U1508" i="2"/>
  <c r="V1508" i="2" s="1"/>
  <c r="B1508" i="2"/>
  <c r="A1508" i="2"/>
  <c r="U1507" i="2"/>
  <c r="V1507" i="2" s="1"/>
  <c r="B1507" i="2"/>
  <c r="A1507" i="2"/>
  <c r="U1506" i="2"/>
  <c r="V1506" i="2" s="1"/>
  <c r="B1506" i="2"/>
  <c r="A1506" i="2"/>
  <c r="U1505" i="2"/>
  <c r="V1505" i="2" s="1"/>
  <c r="B1505" i="2"/>
  <c r="A1505" i="2"/>
  <c r="U1504" i="2"/>
  <c r="V1504" i="2" s="1"/>
  <c r="B1504" i="2"/>
  <c r="A1504" i="2"/>
  <c r="U1503" i="2"/>
  <c r="V1503" i="2" s="1"/>
  <c r="B1503" i="2"/>
  <c r="A1503" i="2"/>
  <c r="U1502" i="2"/>
  <c r="V1502" i="2" s="1"/>
  <c r="B1502" i="2"/>
  <c r="A1502" i="2"/>
  <c r="U1501" i="2"/>
  <c r="V1501" i="2" s="1"/>
  <c r="B1501" i="2"/>
  <c r="A1501" i="2"/>
  <c r="U1500" i="2"/>
  <c r="V1500" i="2" s="1"/>
  <c r="B1500" i="2"/>
  <c r="A1500" i="2"/>
  <c r="U1499" i="2"/>
  <c r="V1499" i="2" s="1"/>
  <c r="B1499" i="2"/>
  <c r="A1499" i="2"/>
  <c r="U1498" i="2"/>
  <c r="V1498" i="2" s="1"/>
  <c r="B1498" i="2"/>
  <c r="A1498" i="2"/>
  <c r="U1497" i="2"/>
  <c r="V1497" i="2" s="1"/>
  <c r="B1497" i="2"/>
  <c r="A1497" i="2"/>
  <c r="U1496" i="2"/>
  <c r="V1496" i="2" s="1"/>
  <c r="B1496" i="2"/>
  <c r="A1496" i="2"/>
  <c r="U1495" i="2"/>
  <c r="V1495" i="2" s="1"/>
  <c r="B1495" i="2"/>
  <c r="A1495" i="2"/>
  <c r="U1494" i="2"/>
  <c r="V1494" i="2" s="1"/>
  <c r="B1494" i="2"/>
  <c r="A1494" i="2"/>
  <c r="U1493" i="2"/>
  <c r="V1493" i="2" s="1"/>
  <c r="B1493" i="2"/>
  <c r="A1493" i="2"/>
  <c r="U1492" i="2"/>
  <c r="V1492" i="2" s="1"/>
  <c r="B1492" i="2"/>
  <c r="A1492" i="2"/>
  <c r="U1491" i="2"/>
  <c r="V1491" i="2" s="1"/>
  <c r="B1491" i="2"/>
  <c r="A1491" i="2"/>
  <c r="U1490" i="2"/>
  <c r="V1490" i="2" s="1"/>
  <c r="B1490" i="2"/>
  <c r="A1490" i="2"/>
  <c r="U1489" i="2"/>
  <c r="V1489" i="2" s="1"/>
  <c r="B1489" i="2"/>
  <c r="A1489" i="2"/>
  <c r="U1488" i="2"/>
  <c r="V1488" i="2" s="1"/>
  <c r="B1488" i="2"/>
  <c r="A1488" i="2"/>
  <c r="U1487" i="2"/>
  <c r="V1487" i="2" s="1"/>
  <c r="B1487" i="2"/>
  <c r="A1487" i="2"/>
  <c r="U1486" i="2"/>
  <c r="V1486" i="2" s="1"/>
  <c r="B1486" i="2"/>
  <c r="A1486" i="2"/>
  <c r="U1485" i="2"/>
  <c r="V1485" i="2" s="1"/>
  <c r="B1485" i="2"/>
  <c r="A1485" i="2"/>
  <c r="U1484" i="2"/>
  <c r="V1484" i="2" s="1"/>
  <c r="B1484" i="2"/>
  <c r="A1484" i="2"/>
  <c r="U1483" i="2"/>
  <c r="V1483" i="2" s="1"/>
  <c r="B1483" i="2"/>
  <c r="A1483" i="2"/>
  <c r="U1482" i="2"/>
  <c r="V1482" i="2" s="1"/>
  <c r="B1482" i="2"/>
  <c r="A1482" i="2"/>
  <c r="U1481" i="2"/>
  <c r="V1481" i="2" s="1"/>
  <c r="B1481" i="2"/>
  <c r="A1481" i="2"/>
  <c r="U1480" i="2"/>
  <c r="V1480" i="2" s="1"/>
  <c r="B1480" i="2"/>
  <c r="A1480" i="2"/>
  <c r="U1479" i="2"/>
  <c r="V1479" i="2" s="1"/>
  <c r="B1479" i="2"/>
  <c r="A1479" i="2"/>
  <c r="U1478" i="2"/>
  <c r="V1478" i="2" s="1"/>
  <c r="B1478" i="2"/>
  <c r="A1478" i="2"/>
  <c r="U1477" i="2"/>
  <c r="V1477" i="2" s="1"/>
  <c r="B1477" i="2"/>
  <c r="A1477" i="2"/>
  <c r="U1476" i="2"/>
  <c r="V1476" i="2" s="1"/>
  <c r="B1476" i="2"/>
  <c r="A1476" i="2"/>
  <c r="U1475" i="2"/>
  <c r="V1475" i="2" s="1"/>
  <c r="B1475" i="2"/>
  <c r="A1475" i="2"/>
  <c r="U1474" i="2"/>
  <c r="V1474" i="2" s="1"/>
  <c r="B1474" i="2"/>
  <c r="A1474" i="2"/>
  <c r="U1473" i="2"/>
  <c r="V1473" i="2" s="1"/>
  <c r="B1473" i="2"/>
  <c r="A1473" i="2"/>
  <c r="U1472" i="2"/>
  <c r="V1472" i="2" s="1"/>
  <c r="B1472" i="2"/>
  <c r="A1472" i="2"/>
  <c r="U1471" i="2"/>
  <c r="V1471" i="2" s="1"/>
  <c r="B1471" i="2"/>
  <c r="A1471" i="2"/>
  <c r="U1470" i="2"/>
  <c r="V1470" i="2" s="1"/>
  <c r="B1470" i="2"/>
  <c r="A1470" i="2"/>
  <c r="U1469" i="2"/>
  <c r="V1469" i="2" s="1"/>
  <c r="B1469" i="2"/>
  <c r="A1469" i="2"/>
  <c r="U1468" i="2"/>
  <c r="V1468" i="2" s="1"/>
  <c r="B1468" i="2"/>
  <c r="A1468" i="2"/>
  <c r="U1467" i="2"/>
  <c r="V1467" i="2" s="1"/>
  <c r="B1467" i="2"/>
  <c r="A1467" i="2"/>
  <c r="U1466" i="2"/>
  <c r="V1466" i="2" s="1"/>
  <c r="B1466" i="2"/>
  <c r="A1466" i="2"/>
  <c r="U1465" i="2"/>
  <c r="V1465" i="2" s="1"/>
  <c r="B1465" i="2"/>
  <c r="A1465" i="2"/>
  <c r="U1464" i="2"/>
  <c r="V1464" i="2" s="1"/>
  <c r="B1464" i="2"/>
  <c r="A1464" i="2"/>
  <c r="U1463" i="2"/>
  <c r="V1463" i="2" s="1"/>
  <c r="B1463" i="2"/>
  <c r="A1463" i="2"/>
  <c r="U1462" i="2"/>
  <c r="V1462" i="2" s="1"/>
  <c r="B1462" i="2"/>
  <c r="A1462" i="2"/>
  <c r="U1461" i="2"/>
  <c r="V1461" i="2" s="1"/>
  <c r="B1461" i="2"/>
  <c r="A1461" i="2"/>
  <c r="U1460" i="2"/>
  <c r="V1460" i="2" s="1"/>
  <c r="B1460" i="2"/>
  <c r="A1460" i="2"/>
  <c r="U1459" i="2"/>
  <c r="V1459" i="2" s="1"/>
  <c r="B1459" i="2"/>
  <c r="A1459" i="2"/>
  <c r="U1458" i="2"/>
  <c r="V1458" i="2" s="1"/>
  <c r="B1458" i="2"/>
  <c r="A1458" i="2"/>
  <c r="U1457" i="2"/>
  <c r="V1457" i="2" s="1"/>
  <c r="B1457" i="2"/>
  <c r="A1457" i="2"/>
  <c r="U1456" i="2"/>
  <c r="V1456" i="2" s="1"/>
  <c r="B1456" i="2"/>
  <c r="A1456" i="2"/>
  <c r="U1455" i="2"/>
  <c r="V1455" i="2" s="1"/>
  <c r="B1455" i="2"/>
  <c r="A1455" i="2"/>
  <c r="U1454" i="2"/>
  <c r="V1454" i="2" s="1"/>
  <c r="B1454" i="2"/>
  <c r="A1454" i="2"/>
  <c r="U1453" i="2"/>
  <c r="V1453" i="2" s="1"/>
  <c r="B1453" i="2"/>
  <c r="A1453" i="2"/>
  <c r="U1452" i="2"/>
  <c r="V1452" i="2" s="1"/>
  <c r="B1452" i="2"/>
  <c r="A1452" i="2"/>
  <c r="U1451" i="2"/>
  <c r="V1451" i="2" s="1"/>
  <c r="B1451" i="2"/>
  <c r="A1451" i="2"/>
  <c r="U1450" i="2"/>
  <c r="V1450" i="2" s="1"/>
  <c r="B1450" i="2"/>
  <c r="A1450" i="2"/>
  <c r="U1449" i="2"/>
  <c r="V1449" i="2" s="1"/>
  <c r="B1449" i="2"/>
  <c r="A1449" i="2"/>
  <c r="U1448" i="2"/>
  <c r="V1448" i="2" s="1"/>
  <c r="B1448" i="2"/>
  <c r="A1448" i="2"/>
  <c r="U1447" i="2"/>
  <c r="V1447" i="2" s="1"/>
  <c r="B1447" i="2"/>
  <c r="A1447" i="2"/>
  <c r="U1446" i="2"/>
  <c r="V1446" i="2" s="1"/>
  <c r="B1446" i="2"/>
  <c r="A1446" i="2"/>
  <c r="U1445" i="2"/>
  <c r="V1445" i="2" s="1"/>
  <c r="B1445" i="2"/>
  <c r="A1445" i="2"/>
  <c r="U1444" i="2"/>
  <c r="V1444" i="2" s="1"/>
  <c r="B1444" i="2"/>
  <c r="A1444" i="2"/>
  <c r="U1443" i="2"/>
  <c r="V1443" i="2" s="1"/>
  <c r="B1443" i="2"/>
  <c r="A1443" i="2"/>
  <c r="U1442" i="2"/>
  <c r="V1442" i="2" s="1"/>
  <c r="B1442" i="2"/>
  <c r="A1442" i="2"/>
  <c r="U1441" i="2"/>
  <c r="V1441" i="2" s="1"/>
  <c r="B1441" i="2"/>
  <c r="A1441" i="2"/>
  <c r="U1440" i="2"/>
  <c r="V1440" i="2" s="1"/>
  <c r="B1440" i="2"/>
  <c r="A1440" i="2"/>
  <c r="U1439" i="2"/>
  <c r="V1439" i="2" s="1"/>
  <c r="B1439" i="2"/>
  <c r="A1439" i="2"/>
  <c r="U1438" i="2"/>
  <c r="V1438" i="2" s="1"/>
  <c r="B1438" i="2"/>
  <c r="A1438" i="2"/>
  <c r="U1437" i="2"/>
  <c r="V1437" i="2" s="1"/>
  <c r="B1437" i="2"/>
  <c r="A1437" i="2"/>
  <c r="U1436" i="2"/>
  <c r="V1436" i="2" s="1"/>
  <c r="B1436" i="2"/>
  <c r="A1436" i="2"/>
  <c r="U1435" i="2"/>
  <c r="V1435" i="2" s="1"/>
  <c r="B1435" i="2"/>
  <c r="A1435" i="2"/>
  <c r="U1434" i="2"/>
  <c r="V1434" i="2" s="1"/>
  <c r="B1434" i="2"/>
  <c r="A1434" i="2"/>
  <c r="U1433" i="2"/>
  <c r="V1433" i="2" s="1"/>
  <c r="B1433" i="2"/>
  <c r="A1433" i="2"/>
  <c r="U1432" i="2"/>
  <c r="V1432" i="2" s="1"/>
  <c r="B1432" i="2"/>
  <c r="A1432" i="2"/>
  <c r="U1431" i="2"/>
  <c r="V1431" i="2" s="1"/>
  <c r="B1431" i="2"/>
  <c r="A1431" i="2"/>
  <c r="U1430" i="2"/>
  <c r="V1430" i="2" s="1"/>
  <c r="B1430" i="2"/>
  <c r="A1430" i="2"/>
  <c r="U1429" i="2"/>
  <c r="V1429" i="2" s="1"/>
  <c r="B1429" i="2"/>
  <c r="A1429" i="2"/>
  <c r="U1428" i="2"/>
  <c r="V1428" i="2" s="1"/>
  <c r="B1428" i="2"/>
  <c r="A1428" i="2"/>
  <c r="U1427" i="2"/>
  <c r="V1427" i="2" s="1"/>
  <c r="B1427" i="2"/>
  <c r="A1427" i="2"/>
  <c r="U1426" i="2"/>
  <c r="V1426" i="2" s="1"/>
  <c r="B1426" i="2"/>
  <c r="A1426" i="2"/>
  <c r="U1425" i="2"/>
  <c r="V1425" i="2" s="1"/>
  <c r="B1425" i="2"/>
  <c r="A1425" i="2"/>
  <c r="U1424" i="2"/>
  <c r="V1424" i="2" s="1"/>
  <c r="B1424" i="2"/>
  <c r="A1424" i="2"/>
  <c r="U1423" i="2"/>
  <c r="V1423" i="2" s="1"/>
  <c r="B1423" i="2"/>
  <c r="A1423" i="2"/>
  <c r="U1422" i="2"/>
  <c r="V1422" i="2" s="1"/>
  <c r="B1422" i="2"/>
  <c r="A1422" i="2"/>
  <c r="U1421" i="2"/>
  <c r="V1421" i="2" s="1"/>
  <c r="B1421" i="2"/>
  <c r="A1421" i="2"/>
  <c r="U1420" i="2"/>
  <c r="V1420" i="2" s="1"/>
  <c r="B1420" i="2"/>
  <c r="A1420" i="2"/>
  <c r="U1419" i="2"/>
  <c r="V1419" i="2" s="1"/>
  <c r="B1419" i="2"/>
  <c r="A1419" i="2"/>
  <c r="U1418" i="2"/>
  <c r="V1418" i="2" s="1"/>
  <c r="B1418" i="2"/>
  <c r="A1418" i="2"/>
  <c r="U1417" i="2"/>
  <c r="V1417" i="2" s="1"/>
  <c r="B1417" i="2"/>
  <c r="A1417" i="2"/>
  <c r="U1416" i="2"/>
  <c r="V1416" i="2" s="1"/>
  <c r="B1416" i="2"/>
  <c r="A1416" i="2"/>
  <c r="U1415" i="2"/>
  <c r="V1415" i="2" s="1"/>
  <c r="B1415" i="2"/>
  <c r="A1415" i="2"/>
  <c r="U1414" i="2"/>
  <c r="V1414" i="2" s="1"/>
  <c r="B1414" i="2"/>
  <c r="A1414" i="2"/>
  <c r="U1413" i="2"/>
  <c r="V1413" i="2" s="1"/>
  <c r="B1413" i="2"/>
  <c r="A1413" i="2"/>
  <c r="U1412" i="2"/>
  <c r="V1412" i="2" s="1"/>
  <c r="B1412" i="2"/>
  <c r="A1412" i="2"/>
  <c r="U1411" i="2"/>
  <c r="V1411" i="2" s="1"/>
  <c r="B1411" i="2"/>
  <c r="A1411" i="2"/>
  <c r="U1410" i="2"/>
  <c r="V1410" i="2" s="1"/>
  <c r="B1410" i="2"/>
  <c r="A1410" i="2"/>
  <c r="U1409" i="2"/>
  <c r="V1409" i="2" s="1"/>
  <c r="B1409" i="2"/>
  <c r="A1409" i="2"/>
  <c r="U1408" i="2"/>
  <c r="V1408" i="2" s="1"/>
  <c r="B1408" i="2"/>
  <c r="A1408" i="2"/>
  <c r="U1407" i="2"/>
  <c r="V1407" i="2" s="1"/>
  <c r="B1407" i="2"/>
  <c r="A1407" i="2"/>
  <c r="U1406" i="2"/>
  <c r="V1406" i="2" s="1"/>
  <c r="B1406" i="2"/>
  <c r="A1406" i="2"/>
  <c r="U1405" i="2"/>
  <c r="V1405" i="2" s="1"/>
  <c r="B1405" i="2"/>
  <c r="A1405" i="2"/>
  <c r="U1404" i="2"/>
  <c r="V1404" i="2" s="1"/>
  <c r="B1404" i="2"/>
  <c r="A1404" i="2"/>
  <c r="U1403" i="2"/>
  <c r="V1403" i="2" s="1"/>
  <c r="B1403" i="2"/>
  <c r="A1403" i="2"/>
  <c r="U1402" i="2"/>
  <c r="V1402" i="2" s="1"/>
  <c r="B1402" i="2"/>
  <c r="A1402" i="2"/>
  <c r="U1401" i="2"/>
  <c r="V1401" i="2" s="1"/>
  <c r="B1401" i="2"/>
  <c r="A1401" i="2"/>
  <c r="U1400" i="2"/>
  <c r="V1400" i="2" s="1"/>
  <c r="B1400" i="2"/>
  <c r="A1400" i="2"/>
  <c r="U1399" i="2"/>
  <c r="V1399" i="2" s="1"/>
  <c r="B1399" i="2"/>
  <c r="A1399" i="2"/>
  <c r="U1398" i="2"/>
  <c r="V1398" i="2" s="1"/>
  <c r="B1398" i="2"/>
  <c r="A1398" i="2"/>
  <c r="U1397" i="2"/>
  <c r="V1397" i="2" s="1"/>
  <c r="B1397" i="2"/>
  <c r="A1397" i="2"/>
  <c r="U1396" i="2"/>
  <c r="V1396" i="2" s="1"/>
  <c r="B1396" i="2"/>
  <c r="A1396" i="2"/>
  <c r="U1395" i="2"/>
  <c r="V1395" i="2" s="1"/>
  <c r="B1395" i="2"/>
  <c r="A1395" i="2"/>
  <c r="U1394" i="2"/>
  <c r="V1394" i="2" s="1"/>
  <c r="B1394" i="2"/>
  <c r="A1394" i="2"/>
  <c r="U1393" i="2"/>
  <c r="V1393" i="2" s="1"/>
  <c r="B1393" i="2"/>
  <c r="A1393" i="2"/>
  <c r="U1392" i="2"/>
  <c r="V1392" i="2" s="1"/>
  <c r="B1392" i="2"/>
  <c r="A1392" i="2"/>
  <c r="U1391" i="2"/>
  <c r="V1391" i="2" s="1"/>
  <c r="B1391" i="2"/>
  <c r="A1391" i="2"/>
  <c r="U1390" i="2"/>
  <c r="V1390" i="2" s="1"/>
  <c r="B1390" i="2"/>
  <c r="A1390" i="2"/>
  <c r="U1389" i="2"/>
  <c r="V1389" i="2" s="1"/>
  <c r="B1389" i="2"/>
  <c r="A1389" i="2"/>
  <c r="U1388" i="2"/>
  <c r="V1388" i="2" s="1"/>
  <c r="B1388" i="2"/>
  <c r="A1388" i="2"/>
  <c r="U1387" i="2"/>
  <c r="V1387" i="2" s="1"/>
  <c r="B1387" i="2"/>
  <c r="A1387" i="2"/>
  <c r="U1386" i="2"/>
  <c r="V1386" i="2" s="1"/>
  <c r="B1386" i="2"/>
  <c r="A1386" i="2"/>
  <c r="U1385" i="2"/>
  <c r="V1385" i="2" s="1"/>
  <c r="B1385" i="2"/>
  <c r="A1385" i="2"/>
  <c r="U1384" i="2"/>
  <c r="V1384" i="2" s="1"/>
  <c r="B1384" i="2"/>
  <c r="A1384" i="2"/>
  <c r="U1383" i="2"/>
  <c r="V1383" i="2" s="1"/>
  <c r="B1383" i="2"/>
  <c r="A1383" i="2"/>
  <c r="U1382" i="2"/>
  <c r="V1382" i="2" s="1"/>
  <c r="B1382" i="2"/>
  <c r="A1382" i="2"/>
  <c r="U1381" i="2"/>
  <c r="V1381" i="2" s="1"/>
  <c r="B1381" i="2"/>
  <c r="A1381" i="2"/>
  <c r="U1380" i="2"/>
  <c r="V1380" i="2" s="1"/>
  <c r="B1380" i="2"/>
  <c r="A1380" i="2"/>
  <c r="U1379" i="2"/>
  <c r="V1379" i="2" s="1"/>
  <c r="B1379" i="2"/>
  <c r="A1379" i="2"/>
  <c r="U1378" i="2"/>
  <c r="V1378" i="2" s="1"/>
  <c r="B1378" i="2"/>
  <c r="A1378" i="2"/>
  <c r="U1377" i="2"/>
  <c r="V1377" i="2" s="1"/>
  <c r="B1377" i="2"/>
  <c r="A1377" i="2"/>
  <c r="U1376" i="2"/>
  <c r="V1376" i="2" s="1"/>
  <c r="B1376" i="2"/>
  <c r="A1376" i="2"/>
  <c r="U1375" i="2"/>
  <c r="V1375" i="2" s="1"/>
  <c r="B1375" i="2"/>
  <c r="A1375" i="2"/>
  <c r="U1374" i="2"/>
  <c r="V1374" i="2" s="1"/>
  <c r="B1374" i="2"/>
  <c r="A1374" i="2"/>
  <c r="U1373" i="2"/>
  <c r="V1373" i="2" s="1"/>
  <c r="B1373" i="2"/>
  <c r="A1373" i="2"/>
  <c r="U1372" i="2"/>
  <c r="V1372" i="2" s="1"/>
  <c r="B1372" i="2"/>
  <c r="A1372" i="2"/>
  <c r="U1371" i="2"/>
  <c r="V1371" i="2" s="1"/>
  <c r="B1371" i="2"/>
  <c r="A1371" i="2"/>
  <c r="U1370" i="2"/>
  <c r="V1370" i="2" s="1"/>
  <c r="B1370" i="2"/>
  <c r="A1370" i="2"/>
  <c r="U1369" i="2"/>
  <c r="V1369" i="2" s="1"/>
  <c r="B1369" i="2"/>
  <c r="A1369" i="2"/>
  <c r="U1368" i="2"/>
  <c r="V1368" i="2" s="1"/>
  <c r="B1368" i="2"/>
  <c r="A1368" i="2"/>
  <c r="U1367" i="2"/>
  <c r="V1367" i="2" s="1"/>
  <c r="B1367" i="2"/>
  <c r="A1367" i="2"/>
  <c r="U1366" i="2"/>
  <c r="V1366" i="2" s="1"/>
  <c r="B1366" i="2"/>
  <c r="A1366" i="2"/>
  <c r="U1365" i="2"/>
  <c r="V1365" i="2" s="1"/>
  <c r="B1365" i="2"/>
  <c r="A1365" i="2"/>
  <c r="U1364" i="2"/>
  <c r="V1364" i="2" s="1"/>
  <c r="B1364" i="2"/>
  <c r="A1364" i="2"/>
  <c r="U1363" i="2"/>
  <c r="V1363" i="2" s="1"/>
  <c r="B1363" i="2"/>
  <c r="A1363" i="2"/>
  <c r="U1362" i="2"/>
  <c r="V1362" i="2" s="1"/>
  <c r="B1362" i="2"/>
  <c r="A1362" i="2"/>
  <c r="U1361" i="2"/>
  <c r="V1361" i="2" s="1"/>
  <c r="B1361" i="2"/>
  <c r="A1361" i="2"/>
  <c r="U1360" i="2"/>
  <c r="V1360" i="2" s="1"/>
  <c r="B1360" i="2"/>
  <c r="A1360" i="2"/>
  <c r="U1359" i="2"/>
  <c r="V1359" i="2" s="1"/>
  <c r="B1359" i="2"/>
  <c r="A1359" i="2"/>
  <c r="U1358" i="2"/>
  <c r="V1358" i="2" s="1"/>
  <c r="B1358" i="2"/>
  <c r="A1358" i="2"/>
  <c r="U1357" i="2"/>
  <c r="V1357" i="2" s="1"/>
  <c r="B1357" i="2"/>
  <c r="A1357" i="2"/>
  <c r="U1356" i="2"/>
  <c r="V1356" i="2" s="1"/>
  <c r="B1356" i="2"/>
  <c r="A1356" i="2"/>
  <c r="U1355" i="2"/>
  <c r="V1355" i="2" s="1"/>
  <c r="B1355" i="2"/>
  <c r="A1355" i="2"/>
  <c r="U1354" i="2"/>
  <c r="V1354" i="2" s="1"/>
  <c r="B1354" i="2"/>
  <c r="A1354" i="2"/>
  <c r="U1353" i="2"/>
  <c r="V1353" i="2" s="1"/>
  <c r="B1353" i="2"/>
  <c r="A1353" i="2"/>
  <c r="U1352" i="2"/>
  <c r="V1352" i="2" s="1"/>
  <c r="B1352" i="2"/>
  <c r="A1352" i="2"/>
  <c r="U1351" i="2"/>
  <c r="V1351" i="2" s="1"/>
  <c r="B1351" i="2"/>
  <c r="A1351" i="2"/>
  <c r="U1350" i="2"/>
  <c r="V1350" i="2" s="1"/>
  <c r="B1350" i="2"/>
  <c r="A1350" i="2"/>
  <c r="U1349" i="2"/>
  <c r="V1349" i="2" s="1"/>
  <c r="B1349" i="2"/>
  <c r="A1349" i="2"/>
  <c r="U1348" i="2"/>
  <c r="V1348" i="2" s="1"/>
  <c r="B1348" i="2"/>
  <c r="A1348" i="2"/>
  <c r="U1347" i="2"/>
  <c r="V1347" i="2" s="1"/>
  <c r="B1347" i="2"/>
  <c r="A1347" i="2"/>
  <c r="U1346" i="2"/>
  <c r="V1346" i="2" s="1"/>
  <c r="B1346" i="2"/>
  <c r="A1346" i="2"/>
  <c r="U1345" i="2"/>
  <c r="V1345" i="2" s="1"/>
  <c r="B1345" i="2"/>
  <c r="A1345" i="2"/>
  <c r="U1344" i="2"/>
  <c r="V1344" i="2" s="1"/>
  <c r="B1344" i="2"/>
  <c r="A1344" i="2"/>
  <c r="U1343" i="2"/>
  <c r="V1343" i="2" s="1"/>
  <c r="B1343" i="2"/>
  <c r="A1343" i="2"/>
  <c r="U1342" i="2"/>
  <c r="V1342" i="2" s="1"/>
  <c r="B1342" i="2"/>
  <c r="A1342" i="2"/>
  <c r="U1341" i="2"/>
  <c r="V1341" i="2" s="1"/>
  <c r="B1341" i="2"/>
  <c r="A1341" i="2"/>
  <c r="U1340" i="2"/>
  <c r="V1340" i="2" s="1"/>
  <c r="B1340" i="2"/>
  <c r="A1340" i="2"/>
  <c r="U1339" i="2"/>
  <c r="V1339" i="2" s="1"/>
  <c r="B1339" i="2"/>
  <c r="A1339" i="2"/>
  <c r="U1338" i="2"/>
  <c r="V1338" i="2" s="1"/>
  <c r="B1338" i="2"/>
  <c r="A1338" i="2"/>
  <c r="U1337" i="2"/>
  <c r="V1337" i="2" s="1"/>
  <c r="B1337" i="2"/>
  <c r="A1337" i="2"/>
  <c r="U1336" i="2"/>
  <c r="V1336" i="2" s="1"/>
  <c r="B1336" i="2"/>
  <c r="A1336" i="2"/>
  <c r="U1335" i="2"/>
  <c r="V1335" i="2" s="1"/>
  <c r="B1335" i="2"/>
  <c r="A1335" i="2"/>
  <c r="U1334" i="2"/>
  <c r="V1334" i="2" s="1"/>
  <c r="B1334" i="2"/>
  <c r="A1334" i="2"/>
  <c r="U1333" i="2"/>
  <c r="V1333" i="2" s="1"/>
  <c r="B1333" i="2"/>
  <c r="A1333" i="2"/>
  <c r="U1332" i="2"/>
  <c r="V1332" i="2" s="1"/>
  <c r="B1332" i="2"/>
  <c r="A1332" i="2"/>
  <c r="U1331" i="2"/>
  <c r="V1331" i="2" s="1"/>
  <c r="B1331" i="2"/>
  <c r="A1331" i="2"/>
  <c r="U1330" i="2"/>
  <c r="V1330" i="2" s="1"/>
  <c r="B1330" i="2"/>
  <c r="A1330" i="2"/>
  <c r="U1329" i="2"/>
  <c r="V1329" i="2" s="1"/>
  <c r="B1329" i="2"/>
  <c r="A1329" i="2"/>
  <c r="U1328" i="2"/>
  <c r="V1328" i="2" s="1"/>
  <c r="B1328" i="2"/>
  <c r="A1328" i="2"/>
  <c r="U1327" i="2"/>
  <c r="V1327" i="2" s="1"/>
  <c r="B1327" i="2"/>
  <c r="A1327" i="2"/>
  <c r="U1326" i="2"/>
  <c r="V1326" i="2" s="1"/>
  <c r="B1326" i="2"/>
  <c r="A1326" i="2"/>
  <c r="U1325" i="2"/>
  <c r="V1325" i="2" s="1"/>
  <c r="B1325" i="2"/>
  <c r="A1325" i="2"/>
  <c r="U1324" i="2"/>
  <c r="V1324" i="2" s="1"/>
  <c r="B1324" i="2"/>
  <c r="A1324" i="2"/>
  <c r="U1323" i="2"/>
  <c r="V1323" i="2" s="1"/>
  <c r="B1323" i="2"/>
  <c r="A1323" i="2"/>
  <c r="U1322" i="2"/>
  <c r="V1322" i="2" s="1"/>
  <c r="B1322" i="2"/>
  <c r="A1322" i="2"/>
  <c r="U1321" i="2"/>
  <c r="V1321" i="2" s="1"/>
  <c r="B1321" i="2"/>
  <c r="A1321" i="2"/>
  <c r="U1320" i="2"/>
  <c r="V1320" i="2" s="1"/>
  <c r="B1320" i="2"/>
  <c r="A1320" i="2"/>
  <c r="U1319" i="2"/>
  <c r="V1319" i="2" s="1"/>
  <c r="B1319" i="2"/>
  <c r="A1319" i="2"/>
  <c r="U1318" i="2"/>
  <c r="V1318" i="2" s="1"/>
  <c r="B1318" i="2"/>
  <c r="A1318" i="2"/>
  <c r="U1317" i="2"/>
  <c r="V1317" i="2" s="1"/>
  <c r="B1317" i="2"/>
  <c r="A1317" i="2"/>
  <c r="U1316" i="2"/>
  <c r="V1316" i="2" s="1"/>
  <c r="B1316" i="2"/>
  <c r="A1316" i="2"/>
  <c r="U1315" i="2"/>
  <c r="V1315" i="2" s="1"/>
  <c r="B1315" i="2"/>
  <c r="A1315" i="2"/>
  <c r="U1314" i="2"/>
  <c r="V1314" i="2" s="1"/>
  <c r="B1314" i="2"/>
  <c r="A1314" i="2"/>
  <c r="U1313" i="2"/>
  <c r="V1313" i="2" s="1"/>
  <c r="B1313" i="2"/>
  <c r="A1313" i="2"/>
  <c r="U1312" i="2"/>
  <c r="V1312" i="2" s="1"/>
  <c r="B1312" i="2"/>
  <c r="A1312" i="2"/>
  <c r="U1311" i="2"/>
  <c r="V1311" i="2" s="1"/>
  <c r="B1311" i="2"/>
  <c r="A1311" i="2"/>
  <c r="U1310" i="2"/>
  <c r="V1310" i="2" s="1"/>
  <c r="B1310" i="2"/>
  <c r="A1310" i="2"/>
  <c r="U1309" i="2"/>
  <c r="V1309" i="2" s="1"/>
  <c r="B1309" i="2"/>
  <c r="A1309" i="2"/>
  <c r="U1308" i="2"/>
  <c r="V1308" i="2" s="1"/>
  <c r="B1308" i="2"/>
  <c r="A1308" i="2"/>
  <c r="U1307" i="2"/>
  <c r="V1307" i="2" s="1"/>
  <c r="B1307" i="2"/>
  <c r="A1307" i="2"/>
  <c r="U1306" i="2"/>
  <c r="V1306" i="2" s="1"/>
  <c r="B1306" i="2"/>
  <c r="A1306" i="2"/>
  <c r="U1305" i="2"/>
  <c r="V1305" i="2" s="1"/>
  <c r="B1305" i="2"/>
  <c r="A1305" i="2"/>
  <c r="U1304" i="2"/>
  <c r="V1304" i="2" s="1"/>
  <c r="B1304" i="2"/>
  <c r="A1304" i="2"/>
  <c r="U1303" i="2"/>
  <c r="V1303" i="2" s="1"/>
  <c r="B1303" i="2"/>
  <c r="A1303" i="2"/>
  <c r="U1302" i="2"/>
  <c r="V1302" i="2" s="1"/>
  <c r="B1302" i="2"/>
  <c r="A1302" i="2"/>
  <c r="U1301" i="2"/>
  <c r="V1301" i="2" s="1"/>
  <c r="B1301" i="2"/>
  <c r="A1301" i="2"/>
  <c r="U1300" i="2"/>
  <c r="V1300" i="2" s="1"/>
  <c r="B1300" i="2"/>
  <c r="A1300" i="2"/>
  <c r="U1299" i="2"/>
  <c r="V1299" i="2" s="1"/>
  <c r="B1299" i="2"/>
  <c r="A1299" i="2"/>
  <c r="U1298" i="2"/>
  <c r="V1298" i="2" s="1"/>
  <c r="B1298" i="2"/>
  <c r="A1298" i="2"/>
  <c r="U1297" i="2"/>
  <c r="V1297" i="2" s="1"/>
  <c r="B1297" i="2"/>
  <c r="A1297" i="2"/>
  <c r="U1296" i="2"/>
  <c r="V1296" i="2" s="1"/>
  <c r="B1296" i="2"/>
  <c r="A1296" i="2"/>
  <c r="U1295" i="2"/>
  <c r="V1295" i="2" s="1"/>
  <c r="B1295" i="2"/>
  <c r="A1295" i="2"/>
  <c r="U1294" i="2"/>
  <c r="V1294" i="2" s="1"/>
  <c r="B1294" i="2"/>
  <c r="A1294" i="2"/>
  <c r="U1293" i="2"/>
  <c r="V1293" i="2" s="1"/>
  <c r="B1293" i="2"/>
  <c r="A1293" i="2"/>
  <c r="U1292" i="2"/>
  <c r="V1292" i="2" s="1"/>
  <c r="B1292" i="2"/>
  <c r="A1292" i="2"/>
  <c r="U1291" i="2"/>
  <c r="V1291" i="2" s="1"/>
  <c r="B1291" i="2"/>
  <c r="A1291" i="2"/>
  <c r="U1290" i="2"/>
  <c r="V1290" i="2" s="1"/>
  <c r="B1290" i="2"/>
  <c r="A1290" i="2"/>
  <c r="U1289" i="2"/>
  <c r="V1289" i="2" s="1"/>
  <c r="B1289" i="2"/>
  <c r="A1289" i="2"/>
  <c r="U1288" i="2"/>
  <c r="V1288" i="2" s="1"/>
  <c r="B1288" i="2"/>
  <c r="A1288" i="2"/>
  <c r="U1287" i="2"/>
  <c r="V1287" i="2" s="1"/>
  <c r="B1287" i="2"/>
  <c r="A1287" i="2"/>
  <c r="U1286" i="2"/>
  <c r="V1286" i="2" s="1"/>
  <c r="B1286" i="2"/>
  <c r="A1286" i="2"/>
  <c r="U1285" i="2"/>
  <c r="V1285" i="2" s="1"/>
  <c r="B1285" i="2"/>
  <c r="A1285" i="2"/>
  <c r="U1284" i="2"/>
  <c r="V1284" i="2" s="1"/>
  <c r="B1284" i="2"/>
  <c r="A1284" i="2"/>
  <c r="U1283" i="2"/>
  <c r="V1283" i="2" s="1"/>
  <c r="B1283" i="2"/>
  <c r="A1283" i="2"/>
  <c r="U1282" i="2"/>
  <c r="V1282" i="2" s="1"/>
  <c r="B1282" i="2"/>
  <c r="A1282" i="2"/>
  <c r="U1281" i="2"/>
  <c r="V1281" i="2" s="1"/>
  <c r="B1281" i="2"/>
  <c r="A1281" i="2"/>
  <c r="U1280" i="2"/>
  <c r="V1280" i="2" s="1"/>
  <c r="B1280" i="2"/>
  <c r="A1280" i="2"/>
  <c r="U1279" i="2"/>
  <c r="V1279" i="2" s="1"/>
  <c r="B1279" i="2"/>
  <c r="A1279" i="2"/>
  <c r="U1278" i="2"/>
  <c r="V1278" i="2" s="1"/>
  <c r="B1278" i="2"/>
  <c r="A1278" i="2"/>
  <c r="U1277" i="2"/>
  <c r="V1277" i="2" s="1"/>
  <c r="B1277" i="2"/>
  <c r="A1277" i="2"/>
  <c r="U1276" i="2"/>
  <c r="V1276" i="2" s="1"/>
  <c r="B1276" i="2"/>
  <c r="A1276" i="2"/>
  <c r="U1275" i="2"/>
  <c r="V1275" i="2" s="1"/>
  <c r="B1275" i="2"/>
  <c r="A1275" i="2"/>
  <c r="U1274" i="2"/>
  <c r="V1274" i="2" s="1"/>
  <c r="B1274" i="2"/>
  <c r="A1274" i="2"/>
  <c r="U1273" i="2"/>
  <c r="V1273" i="2" s="1"/>
  <c r="B1273" i="2"/>
  <c r="A1273" i="2"/>
  <c r="U1272" i="2"/>
  <c r="V1272" i="2" s="1"/>
  <c r="B1272" i="2"/>
  <c r="A1272" i="2"/>
  <c r="U1271" i="2"/>
  <c r="V1271" i="2" s="1"/>
  <c r="B1271" i="2"/>
  <c r="A1271" i="2"/>
  <c r="U1270" i="2"/>
  <c r="V1270" i="2" s="1"/>
  <c r="B1270" i="2"/>
  <c r="A1270" i="2"/>
  <c r="U1269" i="2"/>
  <c r="V1269" i="2" s="1"/>
  <c r="B1269" i="2"/>
  <c r="A1269" i="2"/>
  <c r="U1268" i="2"/>
  <c r="V1268" i="2" s="1"/>
  <c r="B1268" i="2"/>
  <c r="A1268" i="2"/>
  <c r="U1267" i="2"/>
  <c r="V1267" i="2" s="1"/>
  <c r="B1267" i="2"/>
  <c r="A1267" i="2"/>
  <c r="U1266" i="2"/>
  <c r="V1266" i="2" s="1"/>
  <c r="B1266" i="2"/>
  <c r="A1266" i="2"/>
  <c r="U1265" i="2"/>
  <c r="V1265" i="2" s="1"/>
  <c r="B1265" i="2"/>
  <c r="A1265" i="2"/>
  <c r="U1264" i="2"/>
  <c r="V1264" i="2" s="1"/>
  <c r="B1264" i="2"/>
  <c r="A1264" i="2"/>
  <c r="U1263" i="2"/>
  <c r="V1263" i="2" s="1"/>
  <c r="B1263" i="2"/>
  <c r="A1263" i="2"/>
  <c r="U1262" i="2"/>
  <c r="V1262" i="2" s="1"/>
  <c r="B1262" i="2"/>
  <c r="A1262" i="2"/>
  <c r="U1261" i="2"/>
  <c r="V1261" i="2" s="1"/>
  <c r="B1261" i="2"/>
  <c r="A1261" i="2"/>
  <c r="U1260" i="2"/>
  <c r="V1260" i="2" s="1"/>
  <c r="B1260" i="2"/>
  <c r="A1260" i="2"/>
  <c r="U1259" i="2"/>
  <c r="V1259" i="2" s="1"/>
  <c r="B1259" i="2"/>
  <c r="A1259" i="2"/>
  <c r="U1258" i="2"/>
  <c r="V1258" i="2" s="1"/>
  <c r="B1258" i="2"/>
  <c r="A1258" i="2"/>
  <c r="U1257" i="2"/>
  <c r="V1257" i="2" s="1"/>
  <c r="B1257" i="2"/>
  <c r="A1257" i="2"/>
  <c r="U1256" i="2"/>
  <c r="V1256" i="2" s="1"/>
  <c r="B1256" i="2"/>
  <c r="A1256" i="2"/>
  <c r="U1255" i="2"/>
  <c r="V1255" i="2" s="1"/>
  <c r="B1255" i="2"/>
  <c r="A1255" i="2"/>
  <c r="U1254" i="2"/>
  <c r="V1254" i="2" s="1"/>
  <c r="B1254" i="2"/>
  <c r="A1254" i="2"/>
  <c r="U1253" i="2"/>
  <c r="V1253" i="2" s="1"/>
  <c r="B1253" i="2"/>
  <c r="A1253" i="2"/>
  <c r="U1252" i="2"/>
  <c r="V1252" i="2" s="1"/>
  <c r="B1252" i="2"/>
  <c r="A1252" i="2"/>
  <c r="U1251" i="2"/>
  <c r="V1251" i="2" s="1"/>
  <c r="B1251" i="2"/>
  <c r="A1251" i="2"/>
  <c r="U1250" i="2"/>
  <c r="V1250" i="2" s="1"/>
  <c r="B1250" i="2"/>
  <c r="A1250" i="2"/>
  <c r="U1249" i="2"/>
  <c r="V1249" i="2" s="1"/>
  <c r="B1249" i="2"/>
  <c r="A1249" i="2"/>
  <c r="U1248" i="2"/>
  <c r="V1248" i="2" s="1"/>
  <c r="B1248" i="2"/>
  <c r="A1248" i="2"/>
  <c r="U1247" i="2"/>
  <c r="V1247" i="2" s="1"/>
  <c r="B1247" i="2"/>
  <c r="A1247" i="2"/>
  <c r="U1246" i="2"/>
  <c r="V1246" i="2" s="1"/>
  <c r="B1246" i="2"/>
  <c r="A1246" i="2"/>
  <c r="U1245" i="2"/>
  <c r="V1245" i="2" s="1"/>
  <c r="B1245" i="2"/>
  <c r="A1245" i="2"/>
  <c r="U1244" i="2"/>
  <c r="V1244" i="2" s="1"/>
  <c r="B1244" i="2"/>
  <c r="A1244" i="2"/>
  <c r="U1243" i="2"/>
  <c r="V1243" i="2" s="1"/>
  <c r="B1243" i="2"/>
  <c r="A1243" i="2"/>
  <c r="U1242" i="2"/>
  <c r="V1242" i="2" s="1"/>
  <c r="B1242" i="2"/>
  <c r="A1242" i="2"/>
  <c r="U1241" i="2"/>
  <c r="V1241" i="2" s="1"/>
  <c r="B1241" i="2"/>
  <c r="A1241" i="2"/>
  <c r="U1240" i="2"/>
  <c r="V1240" i="2" s="1"/>
  <c r="B1240" i="2"/>
  <c r="A1240" i="2"/>
  <c r="U1239" i="2"/>
  <c r="V1239" i="2" s="1"/>
  <c r="B1239" i="2"/>
  <c r="A1239" i="2"/>
  <c r="U1238" i="2"/>
  <c r="V1238" i="2" s="1"/>
  <c r="B1238" i="2"/>
  <c r="A1238" i="2"/>
  <c r="U1237" i="2"/>
  <c r="V1237" i="2" s="1"/>
  <c r="B1237" i="2"/>
  <c r="A1237" i="2"/>
  <c r="U1236" i="2"/>
  <c r="V1236" i="2" s="1"/>
  <c r="B1236" i="2"/>
  <c r="A1236" i="2"/>
  <c r="U1235" i="2"/>
  <c r="V1235" i="2" s="1"/>
  <c r="B1235" i="2"/>
  <c r="A1235" i="2"/>
  <c r="U1234" i="2"/>
  <c r="V1234" i="2" s="1"/>
  <c r="B1234" i="2"/>
  <c r="A1234" i="2"/>
  <c r="U1233" i="2"/>
  <c r="V1233" i="2" s="1"/>
  <c r="B1233" i="2"/>
  <c r="A1233" i="2"/>
  <c r="U1232" i="2"/>
  <c r="V1232" i="2" s="1"/>
  <c r="B1232" i="2"/>
  <c r="A1232" i="2"/>
  <c r="U1231" i="2"/>
  <c r="V1231" i="2" s="1"/>
  <c r="B1231" i="2"/>
  <c r="A1231" i="2"/>
  <c r="U1230" i="2"/>
  <c r="V1230" i="2" s="1"/>
  <c r="B1230" i="2"/>
  <c r="A1230" i="2"/>
  <c r="U1229" i="2"/>
  <c r="V1229" i="2" s="1"/>
  <c r="B1229" i="2"/>
  <c r="A1229" i="2"/>
  <c r="U1228" i="2"/>
  <c r="V1228" i="2" s="1"/>
  <c r="B1228" i="2"/>
  <c r="A1228" i="2"/>
  <c r="U1227" i="2"/>
  <c r="V1227" i="2" s="1"/>
  <c r="B1227" i="2"/>
  <c r="A1227" i="2"/>
  <c r="U1226" i="2"/>
  <c r="V1226" i="2" s="1"/>
  <c r="B1226" i="2"/>
  <c r="A1226" i="2"/>
  <c r="U1225" i="2"/>
  <c r="V1225" i="2" s="1"/>
  <c r="B1225" i="2"/>
  <c r="A1225" i="2"/>
  <c r="U1224" i="2"/>
  <c r="V1224" i="2" s="1"/>
  <c r="B1224" i="2"/>
  <c r="A1224" i="2"/>
  <c r="U1223" i="2"/>
  <c r="V1223" i="2" s="1"/>
  <c r="B1223" i="2"/>
  <c r="A1223" i="2"/>
  <c r="U1222" i="2"/>
  <c r="V1222" i="2" s="1"/>
  <c r="B1222" i="2"/>
  <c r="A1222" i="2"/>
  <c r="U1221" i="2"/>
  <c r="V1221" i="2" s="1"/>
  <c r="B1221" i="2"/>
  <c r="A1221" i="2"/>
  <c r="U1220" i="2"/>
  <c r="V1220" i="2" s="1"/>
  <c r="B1220" i="2"/>
  <c r="A1220" i="2"/>
  <c r="U1219" i="2"/>
  <c r="V1219" i="2" s="1"/>
  <c r="B1219" i="2"/>
  <c r="A1219" i="2"/>
  <c r="U1218" i="2"/>
  <c r="V1218" i="2" s="1"/>
  <c r="B1218" i="2"/>
  <c r="A1218" i="2"/>
  <c r="U1217" i="2"/>
  <c r="V1217" i="2" s="1"/>
  <c r="B1217" i="2"/>
  <c r="A1217" i="2"/>
  <c r="U1216" i="2"/>
  <c r="V1216" i="2" s="1"/>
  <c r="B1216" i="2"/>
  <c r="A1216" i="2"/>
  <c r="U1215" i="2"/>
  <c r="V1215" i="2" s="1"/>
  <c r="B1215" i="2"/>
  <c r="A1215" i="2"/>
  <c r="U1214" i="2"/>
  <c r="V1214" i="2" s="1"/>
  <c r="B1214" i="2"/>
  <c r="A1214" i="2"/>
  <c r="U1213" i="2"/>
  <c r="V1213" i="2" s="1"/>
  <c r="B1213" i="2"/>
  <c r="A1213" i="2"/>
  <c r="U1212" i="2"/>
  <c r="V1212" i="2" s="1"/>
  <c r="B1212" i="2"/>
  <c r="A1212" i="2"/>
  <c r="U1211" i="2"/>
  <c r="V1211" i="2" s="1"/>
  <c r="B1211" i="2"/>
  <c r="A1211" i="2"/>
  <c r="U1210" i="2"/>
  <c r="V1210" i="2" s="1"/>
  <c r="B1210" i="2"/>
  <c r="A1210" i="2"/>
  <c r="U1209" i="2"/>
  <c r="V1209" i="2" s="1"/>
  <c r="B1209" i="2"/>
  <c r="A1209" i="2"/>
  <c r="U1208" i="2"/>
  <c r="V1208" i="2" s="1"/>
  <c r="B1208" i="2"/>
  <c r="A1208" i="2"/>
  <c r="U1207" i="2"/>
  <c r="V1207" i="2" s="1"/>
  <c r="B1207" i="2"/>
  <c r="A1207" i="2"/>
  <c r="U1206" i="2"/>
  <c r="V1206" i="2" s="1"/>
  <c r="B1206" i="2"/>
  <c r="A1206" i="2"/>
  <c r="U1205" i="2"/>
  <c r="V1205" i="2" s="1"/>
  <c r="B1205" i="2"/>
  <c r="A1205" i="2"/>
  <c r="U1204" i="2"/>
  <c r="V1204" i="2" s="1"/>
  <c r="B1204" i="2"/>
  <c r="A1204" i="2"/>
  <c r="U1203" i="2"/>
  <c r="V1203" i="2" s="1"/>
  <c r="B1203" i="2"/>
  <c r="A1203" i="2"/>
  <c r="U1202" i="2"/>
  <c r="V1202" i="2" s="1"/>
  <c r="B1202" i="2"/>
  <c r="A1202" i="2"/>
  <c r="U1201" i="2"/>
  <c r="V1201" i="2" s="1"/>
  <c r="B1201" i="2"/>
  <c r="A1201" i="2"/>
  <c r="U1200" i="2"/>
  <c r="V1200" i="2" s="1"/>
  <c r="B1200" i="2"/>
  <c r="A1200" i="2"/>
  <c r="U1199" i="2"/>
  <c r="V1199" i="2" s="1"/>
  <c r="B1199" i="2"/>
  <c r="A1199" i="2"/>
  <c r="U1198" i="2"/>
  <c r="V1198" i="2" s="1"/>
  <c r="B1198" i="2"/>
  <c r="A1198" i="2"/>
  <c r="U1197" i="2"/>
  <c r="V1197" i="2" s="1"/>
  <c r="B1197" i="2"/>
  <c r="A1197" i="2"/>
  <c r="U1196" i="2"/>
  <c r="V1196" i="2" s="1"/>
  <c r="B1196" i="2"/>
  <c r="A1196" i="2"/>
  <c r="U1195" i="2"/>
  <c r="V1195" i="2" s="1"/>
  <c r="B1195" i="2"/>
  <c r="A1195" i="2"/>
  <c r="U1194" i="2"/>
  <c r="V1194" i="2" s="1"/>
  <c r="B1194" i="2"/>
  <c r="A1194" i="2"/>
  <c r="U1193" i="2"/>
  <c r="V1193" i="2" s="1"/>
  <c r="B1193" i="2"/>
  <c r="A1193" i="2"/>
  <c r="U1192" i="2"/>
  <c r="V1192" i="2" s="1"/>
  <c r="B1192" i="2"/>
  <c r="A1192" i="2"/>
  <c r="U1191" i="2"/>
  <c r="V1191" i="2" s="1"/>
  <c r="B1191" i="2"/>
  <c r="A1191" i="2"/>
  <c r="U1190" i="2"/>
  <c r="V1190" i="2" s="1"/>
  <c r="B1190" i="2"/>
  <c r="A1190" i="2"/>
  <c r="U1189" i="2"/>
  <c r="V1189" i="2" s="1"/>
  <c r="B1189" i="2"/>
  <c r="A1189" i="2"/>
  <c r="U1188" i="2"/>
  <c r="V1188" i="2" s="1"/>
  <c r="B1188" i="2"/>
  <c r="A1188" i="2"/>
  <c r="U1187" i="2"/>
  <c r="V1187" i="2" s="1"/>
  <c r="B1187" i="2"/>
  <c r="A1187" i="2"/>
  <c r="U1186" i="2"/>
  <c r="V1186" i="2" s="1"/>
  <c r="B1186" i="2"/>
  <c r="A1186" i="2"/>
  <c r="U1185" i="2"/>
  <c r="V1185" i="2" s="1"/>
  <c r="B1185" i="2"/>
  <c r="A1185" i="2"/>
  <c r="U1184" i="2"/>
  <c r="V1184" i="2" s="1"/>
  <c r="B1184" i="2"/>
  <c r="A1184" i="2"/>
  <c r="U1183" i="2"/>
  <c r="V1183" i="2" s="1"/>
  <c r="B1183" i="2"/>
  <c r="A1183" i="2"/>
  <c r="U1182" i="2"/>
  <c r="V1182" i="2" s="1"/>
  <c r="B1182" i="2"/>
  <c r="A1182" i="2"/>
  <c r="U1181" i="2"/>
  <c r="V1181" i="2" s="1"/>
  <c r="B1181" i="2"/>
  <c r="A1181" i="2"/>
  <c r="U1180" i="2"/>
  <c r="V1180" i="2" s="1"/>
  <c r="B1180" i="2"/>
  <c r="A1180" i="2"/>
  <c r="U1179" i="2"/>
  <c r="V1179" i="2" s="1"/>
  <c r="B1179" i="2"/>
  <c r="A1179" i="2"/>
  <c r="U1178" i="2"/>
  <c r="V1178" i="2" s="1"/>
  <c r="B1178" i="2"/>
  <c r="A1178" i="2"/>
  <c r="U1177" i="2"/>
  <c r="V1177" i="2" s="1"/>
  <c r="B1177" i="2"/>
  <c r="A1177" i="2"/>
  <c r="U1176" i="2"/>
  <c r="V1176" i="2" s="1"/>
  <c r="B1176" i="2"/>
  <c r="A1176" i="2"/>
  <c r="U1175" i="2"/>
  <c r="V1175" i="2" s="1"/>
  <c r="B1175" i="2"/>
  <c r="A1175" i="2"/>
  <c r="U1174" i="2"/>
  <c r="V1174" i="2" s="1"/>
  <c r="B1174" i="2"/>
  <c r="A1174" i="2"/>
  <c r="U1173" i="2"/>
  <c r="V1173" i="2" s="1"/>
  <c r="B1173" i="2"/>
  <c r="A1173" i="2"/>
  <c r="U1172" i="2"/>
  <c r="V1172" i="2" s="1"/>
  <c r="B1172" i="2"/>
  <c r="A1172" i="2"/>
  <c r="U1171" i="2"/>
  <c r="V1171" i="2" s="1"/>
  <c r="B1171" i="2"/>
  <c r="A1171" i="2"/>
  <c r="U1170" i="2"/>
  <c r="V1170" i="2" s="1"/>
  <c r="B1170" i="2"/>
  <c r="A1170" i="2"/>
  <c r="U1169" i="2"/>
  <c r="V1169" i="2" s="1"/>
  <c r="B1169" i="2"/>
  <c r="A1169" i="2"/>
  <c r="U1168" i="2"/>
  <c r="V1168" i="2" s="1"/>
  <c r="B1168" i="2"/>
  <c r="A1168" i="2"/>
  <c r="U1167" i="2"/>
  <c r="V1167" i="2" s="1"/>
  <c r="B1167" i="2"/>
  <c r="A1167" i="2"/>
  <c r="U1166" i="2"/>
  <c r="V1166" i="2" s="1"/>
  <c r="B1166" i="2"/>
  <c r="A1166" i="2"/>
  <c r="U1165" i="2"/>
  <c r="V1165" i="2" s="1"/>
  <c r="B1165" i="2"/>
  <c r="A1165" i="2"/>
  <c r="U1164" i="2"/>
  <c r="V1164" i="2" s="1"/>
  <c r="B1164" i="2"/>
  <c r="A1164" i="2"/>
  <c r="U1163" i="2"/>
  <c r="V1163" i="2" s="1"/>
  <c r="B1163" i="2"/>
  <c r="A1163" i="2"/>
  <c r="U1162" i="2"/>
  <c r="V1162" i="2" s="1"/>
  <c r="B1162" i="2"/>
  <c r="A1162" i="2"/>
  <c r="U1161" i="2"/>
  <c r="V1161" i="2" s="1"/>
  <c r="B1161" i="2"/>
  <c r="A1161" i="2"/>
  <c r="U1160" i="2"/>
  <c r="V1160" i="2" s="1"/>
  <c r="B1160" i="2"/>
  <c r="A1160" i="2"/>
  <c r="U1159" i="2"/>
  <c r="V1159" i="2" s="1"/>
  <c r="B1159" i="2"/>
  <c r="A1159" i="2"/>
  <c r="U1158" i="2"/>
  <c r="V1158" i="2" s="1"/>
  <c r="B1158" i="2"/>
  <c r="A1158" i="2"/>
  <c r="U1157" i="2"/>
  <c r="V1157" i="2" s="1"/>
  <c r="B1157" i="2"/>
  <c r="A1157" i="2"/>
  <c r="U1156" i="2"/>
  <c r="V1156" i="2" s="1"/>
  <c r="B1156" i="2"/>
  <c r="A1156" i="2"/>
  <c r="U1155" i="2"/>
  <c r="V1155" i="2" s="1"/>
  <c r="B1155" i="2"/>
  <c r="A1155" i="2"/>
  <c r="U1154" i="2"/>
  <c r="V1154" i="2" s="1"/>
  <c r="B1154" i="2"/>
  <c r="A1154" i="2"/>
  <c r="U1153" i="2"/>
  <c r="V1153" i="2" s="1"/>
  <c r="B1153" i="2"/>
  <c r="A1153" i="2"/>
  <c r="U1152" i="2"/>
  <c r="V1152" i="2" s="1"/>
  <c r="B1152" i="2"/>
  <c r="A1152" i="2"/>
  <c r="U1151" i="2"/>
  <c r="V1151" i="2" s="1"/>
  <c r="B1151" i="2"/>
  <c r="A1151" i="2"/>
  <c r="U1150" i="2"/>
  <c r="V1150" i="2" s="1"/>
  <c r="B1150" i="2"/>
  <c r="A1150" i="2"/>
  <c r="U1149" i="2"/>
  <c r="V1149" i="2" s="1"/>
  <c r="B1149" i="2"/>
  <c r="A1149" i="2"/>
  <c r="U1148" i="2"/>
  <c r="V1148" i="2" s="1"/>
  <c r="B1148" i="2"/>
  <c r="A1148" i="2"/>
  <c r="U1147" i="2"/>
  <c r="V1147" i="2" s="1"/>
  <c r="B1147" i="2"/>
  <c r="A1147" i="2"/>
  <c r="U1146" i="2"/>
  <c r="V1146" i="2" s="1"/>
  <c r="B1146" i="2"/>
  <c r="A1146" i="2"/>
  <c r="U1145" i="2"/>
  <c r="V1145" i="2" s="1"/>
  <c r="B1145" i="2"/>
  <c r="A1145" i="2"/>
  <c r="U1144" i="2"/>
  <c r="V1144" i="2" s="1"/>
  <c r="B1144" i="2"/>
  <c r="A1144" i="2"/>
  <c r="U1143" i="2"/>
  <c r="V1143" i="2" s="1"/>
  <c r="B1143" i="2"/>
  <c r="A1143" i="2"/>
  <c r="U1142" i="2"/>
  <c r="V1142" i="2" s="1"/>
  <c r="B1142" i="2"/>
  <c r="A1142" i="2"/>
  <c r="U1141" i="2"/>
  <c r="V1141" i="2" s="1"/>
  <c r="B1141" i="2"/>
  <c r="A1141" i="2"/>
  <c r="U1140" i="2"/>
  <c r="V1140" i="2" s="1"/>
  <c r="B1140" i="2"/>
  <c r="A1140" i="2"/>
  <c r="U1139" i="2"/>
  <c r="V1139" i="2" s="1"/>
  <c r="B1139" i="2"/>
  <c r="A1139" i="2"/>
  <c r="U1138" i="2"/>
  <c r="V1138" i="2" s="1"/>
  <c r="B1138" i="2"/>
  <c r="A1138" i="2"/>
  <c r="U1137" i="2"/>
  <c r="V1137" i="2" s="1"/>
  <c r="B1137" i="2"/>
  <c r="A1137" i="2"/>
  <c r="U1136" i="2"/>
  <c r="V1136" i="2" s="1"/>
  <c r="B1136" i="2"/>
  <c r="A1136" i="2"/>
  <c r="U1135" i="2"/>
  <c r="V1135" i="2" s="1"/>
  <c r="B1135" i="2"/>
  <c r="A1135" i="2"/>
  <c r="U1134" i="2"/>
  <c r="V1134" i="2" s="1"/>
  <c r="B1134" i="2"/>
  <c r="A1134" i="2"/>
  <c r="U1133" i="2"/>
  <c r="V1133" i="2" s="1"/>
  <c r="B1133" i="2"/>
  <c r="A1133" i="2"/>
  <c r="U1132" i="2"/>
  <c r="V1132" i="2" s="1"/>
  <c r="B1132" i="2"/>
  <c r="A1132" i="2"/>
  <c r="U1131" i="2"/>
  <c r="V1131" i="2" s="1"/>
  <c r="B1131" i="2"/>
  <c r="A1131" i="2"/>
  <c r="U1130" i="2"/>
  <c r="V1130" i="2" s="1"/>
  <c r="B1130" i="2"/>
  <c r="A1130" i="2"/>
  <c r="U1129" i="2"/>
  <c r="V1129" i="2" s="1"/>
  <c r="B1129" i="2"/>
  <c r="A1129" i="2"/>
  <c r="U1128" i="2"/>
  <c r="V1128" i="2" s="1"/>
  <c r="B1128" i="2"/>
  <c r="A1128" i="2"/>
  <c r="U1127" i="2"/>
  <c r="V1127" i="2" s="1"/>
  <c r="B1127" i="2"/>
  <c r="A1127" i="2"/>
  <c r="U1126" i="2"/>
  <c r="V1126" i="2" s="1"/>
  <c r="B1126" i="2"/>
  <c r="A1126" i="2"/>
  <c r="U1125" i="2"/>
  <c r="V1125" i="2" s="1"/>
  <c r="B1125" i="2"/>
  <c r="A1125" i="2"/>
  <c r="U1124" i="2"/>
  <c r="V1124" i="2" s="1"/>
  <c r="B1124" i="2"/>
  <c r="A1124" i="2"/>
  <c r="U1123" i="2"/>
  <c r="V1123" i="2" s="1"/>
  <c r="B1123" i="2"/>
  <c r="A1123" i="2"/>
  <c r="U1122" i="2"/>
  <c r="V1122" i="2" s="1"/>
  <c r="B1122" i="2"/>
  <c r="A1122" i="2"/>
  <c r="U1121" i="2"/>
  <c r="V1121" i="2" s="1"/>
  <c r="B1121" i="2"/>
  <c r="A1121" i="2"/>
  <c r="U1120" i="2"/>
  <c r="V1120" i="2" s="1"/>
  <c r="B1120" i="2"/>
  <c r="A1120" i="2"/>
  <c r="U1119" i="2"/>
  <c r="V1119" i="2" s="1"/>
  <c r="B1119" i="2"/>
  <c r="A1119" i="2"/>
  <c r="U1118" i="2"/>
  <c r="V1118" i="2" s="1"/>
  <c r="B1118" i="2"/>
  <c r="A1118" i="2"/>
  <c r="U1117" i="2"/>
  <c r="V1117" i="2" s="1"/>
  <c r="B1117" i="2"/>
  <c r="A1117" i="2"/>
  <c r="U1116" i="2"/>
  <c r="V1116" i="2" s="1"/>
  <c r="B1116" i="2"/>
  <c r="A1116" i="2"/>
  <c r="U1115" i="2"/>
  <c r="V1115" i="2" s="1"/>
  <c r="B1115" i="2"/>
  <c r="A1115" i="2"/>
  <c r="U1114" i="2"/>
  <c r="V1114" i="2" s="1"/>
  <c r="B1114" i="2"/>
  <c r="A1114" i="2"/>
  <c r="U1113" i="2"/>
  <c r="V1113" i="2" s="1"/>
  <c r="B1113" i="2"/>
  <c r="A1113" i="2"/>
  <c r="U1112" i="2"/>
  <c r="V1112" i="2" s="1"/>
  <c r="B1112" i="2"/>
  <c r="A1112" i="2"/>
  <c r="U1111" i="2"/>
  <c r="V1111" i="2" s="1"/>
  <c r="B1111" i="2"/>
  <c r="A1111" i="2"/>
  <c r="U1110" i="2"/>
  <c r="V1110" i="2" s="1"/>
  <c r="B1110" i="2"/>
  <c r="A1110" i="2"/>
  <c r="U1109" i="2"/>
  <c r="V1109" i="2" s="1"/>
  <c r="B1109" i="2"/>
  <c r="A1109" i="2"/>
  <c r="U1108" i="2"/>
  <c r="V1108" i="2" s="1"/>
  <c r="B1108" i="2"/>
  <c r="A1108" i="2"/>
  <c r="U1107" i="2"/>
  <c r="V1107" i="2" s="1"/>
  <c r="B1107" i="2"/>
  <c r="A1107" i="2"/>
  <c r="U1106" i="2"/>
  <c r="V1106" i="2" s="1"/>
  <c r="B1106" i="2"/>
  <c r="A1106" i="2"/>
  <c r="U1105" i="2"/>
  <c r="V1105" i="2" s="1"/>
  <c r="B1105" i="2"/>
  <c r="A1105" i="2"/>
  <c r="U1104" i="2"/>
  <c r="V1104" i="2" s="1"/>
  <c r="B1104" i="2"/>
  <c r="A1104" i="2"/>
  <c r="U1103" i="2"/>
  <c r="V1103" i="2" s="1"/>
  <c r="B1103" i="2"/>
  <c r="A1103" i="2"/>
  <c r="U1102" i="2"/>
  <c r="V1102" i="2" s="1"/>
  <c r="B1102" i="2"/>
  <c r="A1102" i="2"/>
  <c r="U1101" i="2"/>
  <c r="V1101" i="2" s="1"/>
  <c r="B1101" i="2"/>
  <c r="A1101" i="2"/>
  <c r="U1100" i="2"/>
  <c r="V1100" i="2" s="1"/>
  <c r="B1100" i="2"/>
  <c r="A1100" i="2"/>
  <c r="U1099" i="2"/>
  <c r="V1099" i="2" s="1"/>
  <c r="B1099" i="2"/>
  <c r="A1099" i="2"/>
  <c r="U1098" i="2"/>
  <c r="V1098" i="2" s="1"/>
  <c r="B1098" i="2"/>
  <c r="A1098" i="2"/>
  <c r="U1097" i="2"/>
  <c r="V1097" i="2" s="1"/>
  <c r="B1097" i="2"/>
  <c r="A1097" i="2"/>
  <c r="U1096" i="2"/>
  <c r="V1096" i="2" s="1"/>
  <c r="B1096" i="2"/>
  <c r="A1096" i="2"/>
  <c r="U1095" i="2"/>
  <c r="V1095" i="2" s="1"/>
  <c r="B1095" i="2"/>
  <c r="A1095" i="2"/>
  <c r="U1094" i="2"/>
  <c r="V1094" i="2" s="1"/>
  <c r="B1094" i="2"/>
  <c r="A1094" i="2"/>
  <c r="U1093" i="2"/>
  <c r="V1093" i="2" s="1"/>
  <c r="B1093" i="2"/>
  <c r="A1093" i="2"/>
  <c r="U1092" i="2"/>
  <c r="V1092" i="2" s="1"/>
  <c r="B1092" i="2"/>
  <c r="A1092" i="2"/>
  <c r="U1091" i="2"/>
  <c r="V1091" i="2" s="1"/>
  <c r="B1091" i="2"/>
  <c r="A1091" i="2"/>
  <c r="U1090" i="2"/>
  <c r="V1090" i="2" s="1"/>
  <c r="B1090" i="2"/>
  <c r="A1090" i="2"/>
  <c r="U1089" i="2"/>
  <c r="V1089" i="2" s="1"/>
  <c r="B1089" i="2"/>
  <c r="A1089" i="2"/>
  <c r="U1088" i="2"/>
  <c r="V1088" i="2" s="1"/>
  <c r="B1088" i="2"/>
  <c r="A1088" i="2"/>
  <c r="U1087" i="2"/>
  <c r="V1087" i="2" s="1"/>
  <c r="B1087" i="2"/>
  <c r="A1087" i="2"/>
  <c r="U1086" i="2"/>
  <c r="V1086" i="2" s="1"/>
  <c r="B1086" i="2"/>
  <c r="A1086" i="2"/>
  <c r="U1085" i="2"/>
  <c r="V1085" i="2" s="1"/>
  <c r="B1085" i="2"/>
  <c r="A1085" i="2"/>
  <c r="U1084" i="2"/>
  <c r="V1084" i="2" s="1"/>
  <c r="B1084" i="2"/>
  <c r="A1084" i="2"/>
  <c r="B1083" i="2"/>
  <c r="A1083" i="2"/>
  <c r="B1082" i="2"/>
  <c r="A1082" i="2"/>
  <c r="B1081" i="2"/>
  <c r="A1081" i="2"/>
  <c r="B1080" i="2"/>
  <c r="A1080" i="2"/>
  <c r="B1079" i="2"/>
  <c r="A1079" i="2"/>
  <c r="B1078" i="2"/>
  <c r="A1078" i="2"/>
  <c r="B1077" i="2"/>
  <c r="A1077" i="2"/>
  <c r="B1076" i="2"/>
  <c r="A1076" i="2"/>
  <c r="B1075" i="2"/>
  <c r="A1075" i="2"/>
  <c r="B1074" i="2"/>
  <c r="A1074" i="2"/>
  <c r="B1073" i="2"/>
  <c r="A1073" i="2"/>
  <c r="B1072" i="2"/>
  <c r="A1072" i="2"/>
  <c r="B1071" i="2"/>
  <c r="A1071" i="2"/>
  <c r="B1070" i="2"/>
  <c r="A1070" i="2"/>
  <c r="B1069" i="2"/>
  <c r="A1069" i="2"/>
  <c r="B1068" i="2"/>
  <c r="A1068" i="2"/>
  <c r="B1067" i="2"/>
  <c r="A1067" i="2"/>
  <c r="B1066" i="2"/>
  <c r="A1066" i="2"/>
  <c r="B1065" i="2"/>
  <c r="A1065" i="2"/>
  <c r="B1064" i="2"/>
  <c r="A1064" i="2"/>
  <c r="B1063" i="2"/>
  <c r="A1063" i="2"/>
  <c r="B1062" i="2"/>
  <c r="A1062" i="2"/>
  <c r="B1061" i="2"/>
  <c r="A1061" i="2"/>
  <c r="B1060" i="2"/>
  <c r="A1060" i="2"/>
  <c r="B1059" i="2"/>
  <c r="A1059" i="2"/>
  <c r="B1058" i="2"/>
  <c r="A1058" i="2"/>
  <c r="B1057" i="2"/>
  <c r="A1057" i="2"/>
  <c r="B1056" i="2"/>
  <c r="A1056" i="2"/>
  <c r="B1055" i="2"/>
  <c r="A1055" i="2"/>
  <c r="B1054" i="2"/>
  <c r="A1054" i="2"/>
  <c r="B1053" i="2"/>
  <c r="A1053" i="2"/>
  <c r="B1052" i="2"/>
  <c r="A1052" i="2"/>
  <c r="B1051" i="2"/>
  <c r="A1051" i="2"/>
  <c r="B1050" i="2"/>
  <c r="A1050" i="2"/>
  <c r="B1049" i="2"/>
  <c r="A1049" i="2"/>
  <c r="B1048" i="2"/>
  <c r="A1048" i="2"/>
  <c r="B1047" i="2"/>
  <c r="A1047" i="2"/>
  <c r="B1046" i="2"/>
  <c r="A1046" i="2"/>
  <c r="B1045" i="2"/>
  <c r="A1045" i="2"/>
  <c r="B1044" i="2"/>
  <c r="A1044" i="2"/>
  <c r="B1043" i="2"/>
  <c r="A1043" i="2"/>
  <c r="B1042" i="2"/>
  <c r="A1042" i="2"/>
  <c r="B1041" i="2"/>
  <c r="A1041" i="2"/>
  <c r="B1040" i="2"/>
  <c r="A1040" i="2"/>
  <c r="B1039" i="2"/>
  <c r="A1039" i="2"/>
  <c r="B1038" i="2"/>
  <c r="A1038" i="2"/>
  <c r="B1037" i="2"/>
  <c r="A1037" i="2"/>
  <c r="B1036" i="2"/>
  <c r="A1036" i="2"/>
  <c r="B1035" i="2"/>
  <c r="A1035" i="2"/>
  <c r="B1034" i="2"/>
  <c r="A1034" i="2"/>
  <c r="B1033" i="2"/>
  <c r="A1033" i="2"/>
  <c r="B1032" i="2"/>
  <c r="A1032" i="2"/>
  <c r="B1031" i="2"/>
  <c r="A1031" i="2"/>
  <c r="B1030" i="2"/>
  <c r="A1030" i="2"/>
  <c r="B1029" i="2"/>
  <c r="A1029" i="2"/>
  <c r="B1028" i="2"/>
  <c r="A1028" i="2"/>
  <c r="B1027" i="2"/>
  <c r="A1027" i="2"/>
  <c r="B1026" i="2"/>
  <c r="A1026" i="2"/>
  <c r="B1025" i="2"/>
  <c r="A1025" i="2"/>
  <c r="B1024" i="2"/>
  <c r="A1024" i="2"/>
  <c r="B1023" i="2"/>
  <c r="A1023" i="2"/>
  <c r="B1022" i="2"/>
  <c r="A1022" i="2"/>
  <c r="B1021" i="2"/>
  <c r="A1021" i="2"/>
  <c r="B1020" i="2"/>
  <c r="A1020" i="2"/>
  <c r="B1019" i="2"/>
  <c r="A1019" i="2"/>
  <c r="B1018" i="2"/>
  <c r="A1018" i="2"/>
  <c r="B1017" i="2"/>
  <c r="A1017" i="2"/>
  <c r="B1016" i="2"/>
  <c r="A1016" i="2"/>
  <c r="B1015" i="2"/>
  <c r="A1015" i="2"/>
  <c r="B1014" i="2"/>
  <c r="A1014" i="2"/>
  <c r="B1013" i="2"/>
  <c r="A1013" i="2"/>
  <c r="B1012" i="2"/>
  <c r="A1012" i="2"/>
  <c r="B1011" i="2"/>
  <c r="A1011" i="2"/>
  <c r="B1010" i="2"/>
  <c r="A1010" i="2"/>
  <c r="B1009" i="2"/>
  <c r="A1009" i="2"/>
  <c r="B1008" i="2"/>
  <c r="A1008" i="2"/>
  <c r="B1007" i="2"/>
  <c r="A1007" i="2"/>
  <c r="B1006" i="2"/>
  <c r="A1006" i="2"/>
  <c r="B1005" i="2"/>
  <c r="A1005" i="2"/>
  <c r="B1004" i="2"/>
  <c r="A1004" i="2"/>
  <c r="B1003" i="2"/>
  <c r="A1003" i="2"/>
  <c r="B1002" i="2"/>
  <c r="A1002" i="2"/>
  <c r="B1001" i="2"/>
  <c r="A1001" i="2"/>
  <c r="B1000" i="2"/>
  <c r="A1000" i="2"/>
  <c r="B999" i="2"/>
  <c r="A999" i="2"/>
  <c r="B998" i="2"/>
  <c r="A998" i="2"/>
  <c r="B997" i="2"/>
  <c r="A997" i="2"/>
  <c r="B996" i="2"/>
  <c r="A996" i="2"/>
  <c r="B995" i="2"/>
  <c r="A995" i="2"/>
  <c r="B994" i="2"/>
  <c r="A994" i="2"/>
  <c r="B993" i="2"/>
  <c r="A993" i="2"/>
  <c r="B992" i="2"/>
  <c r="A992" i="2"/>
  <c r="B991" i="2"/>
  <c r="A991" i="2"/>
  <c r="B990" i="2"/>
  <c r="A990" i="2"/>
  <c r="B989" i="2"/>
  <c r="A989" i="2"/>
  <c r="B988" i="2"/>
  <c r="A988" i="2"/>
  <c r="B987" i="2"/>
  <c r="A987" i="2"/>
  <c r="B986" i="2"/>
  <c r="A986" i="2"/>
  <c r="B985" i="2"/>
  <c r="A985" i="2"/>
  <c r="B984" i="2"/>
  <c r="A984" i="2"/>
  <c r="B983" i="2"/>
  <c r="A983" i="2"/>
  <c r="B982" i="2"/>
  <c r="A982" i="2"/>
  <c r="B981" i="2"/>
  <c r="A981" i="2"/>
  <c r="B980" i="2"/>
  <c r="A980" i="2"/>
  <c r="B979" i="2"/>
  <c r="A979" i="2"/>
  <c r="B978" i="2"/>
  <c r="A978" i="2"/>
  <c r="B977" i="2"/>
  <c r="A977" i="2"/>
  <c r="B976" i="2"/>
  <c r="A976" i="2"/>
  <c r="B975" i="2"/>
  <c r="A975" i="2"/>
  <c r="B974" i="2"/>
  <c r="A974" i="2"/>
  <c r="B973" i="2"/>
  <c r="A973" i="2"/>
  <c r="B972" i="2"/>
  <c r="A972" i="2"/>
  <c r="B971" i="2"/>
  <c r="A971" i="2"/>
  <c r="B970" i="2"/>
  <c r="A970" i="2"/>
  <c r="B969" i="2"/>
  <c r="A969" i="2"/>
  <c r="B968" i="2"/>
  <c r="A968" i="2"/>
  <c r="B967" i="2"/>
  <c r="A967" i="2"/>
  <c r="B966" i="2"/>
  <c r="A966" i="2"/>
  <c r="B965" i="2"/>
  <c r="A965" i="2"/>
  <c r="B964" i="2"/>
  <c r="A964" i="2"/>
  <c r="B963" i="2"/>
  <c r="A963" i="2"/>
  <c r="B962" i="2"/>
  <c r="A962" i="2"/>
  <c r="B961" i="2"/>
  <c r="A961" i="2"/>
  <c r="B960" i="2"/>
  <c r="A960" i="2"/>
  <c r="B959" i="2"/>
  <c r="A959" i="2"/>
  <c r="B958" i="2"/>
  <c r="A958" i="2"/>
  <c r="B957" i="2"/>
  <c r="A957" i="2"/>
  <c r="B956" i="2"/>
  <c r="A956" i="2"/>
  <c r="B955" i="2"/>
  <c r="A955" i="2"/>
  <c r="B954" i="2"/>
  <c r="A954" i="2"/>
  <c r="B953" i="2"/>
  <c r="A953" i="2"/>
  <c r="B952" i="2"/>
  <c r="A952" i="2"/>
  <c r="B951" i="2"/>
  <c r="A951" i="2"/>
  <c r="B950" i="2"/>
  <c r="A950" i="2"/>
  <c r="B949" i="2"/>
  <c r="A949" i="2"/>
  <c r="B948" i="2"/>
  <c r="A948" i="2"/>
  <c r="B947" i="2"/>
  <c r="A947" i="2"/>
  <c r="B946" i="2"/>
  <c r="A946" i="2"/>
  <c r="B945" i="2"/>
  <c r="A945" i="2"/>
  <c r="B944" i="2"/>
  <c r="A944" i="2"/>
  <c r="B943" i="2"/>
  <c r="A943" i="2"/>
  <c r="B942" i="2"/>
  <c r="A942" i="2"/>
  <c r="B941" i="2"/>
  <c r="A941" i="2"/>
  <c r="B940" i="2"/>
  <c r="A940" i="2"/>
  <c r="B939" i="2"/>
  <c r="A939" i="2"/>
  <c r="B938" i="2"/>
  <c r="A938" i="2"/>
  <c r="B937" i="2"/>
  <c r="A937" i="2"/>
  <c r="B936" i="2"/>
  <c r="A936" i="2"/>
  <c r="B935" i="2"/>
  <c r="A935" i="2"/>
  <c r="B934" i="2"/>
  <c r="A934" i="2"/>
  <c r="B933" i="2"/>
  <c r="A933" i="2"/>
  <c r="B932" i="2"/>
  <c r="A932" i="2"/>
  <c r="B931" i="2"/>
  <c r="A931" i="2"/>
  <c r="B930" i="2"/>
  <c r="A930" i="2"/>
  <c r="B929" i="2"/>
  <c r="A929" i="2"/>
  <c r="B928" i="2"/>
  <c r="A928" i="2"/>
  <c r="B927" i="2"/>
  <c r="A927" i="2"/>
  <c r="B926" i="2"/>
  <c r="A926" i="2"/>
  <c r="B925" i="2"/>
  <c r="A925" i="2"/>
  <c r="B924" i="2"/>
  <c r="A924" i="2"/>
  <c r="B923" i="2"/>
  <c r="A923" i="2"/>
  <c r="B922" i="2"/>
  <c r="A922" i="2"/>
  <c r="B921" i="2"/>
  <c r="A921" i="2"/>
  <c r="B920" i="2"/>
  <c r="A920" i="2"/>
  <c r="B919" i="2"/>
  <c r="A919" i="2"/>
  <c r="B918" i="2"/>
  <c r="A918" i="2"/>
  <c r="B917" i="2"/>
  <c r="A917" i="2"/>
  <c r="B916" i="2"/>
  <c r="A916" i="2"/>
  <c r="B915" i="2"/>
  <c r="A915" i="2"/>
  <c r="B914" i="2"/>
  <c r="A914" i="2"/>
  <c r="B913" i="2"/>
  <c r="A913" i="2"/>
  <c r="B912" i="2"/>
  <c r="A912" i="2"/>
  <c r="B911" i="2"/>
  <c r="A911" i="2"/>
  <c r="B910" i="2"/>
  <c r="A910" i="2"/>
  <c r="B909" i="2"/>
  <c r="A909" i="2"/>
  <c r="B908" i="2"/>
  <c r="A908" i="2"/>
  <c r="B907" i="2"/>
  <c r="A907" i="2"/>
  <c r="B906" i="2"/>
  <c r="A906" i="2"/>
  <c r="B905" i="2"/>
  <c r="A905" i="2"/>
  <c r="B904" i="2"/>
  <c r="A904" i="2"/>
  <c r="B903" i="2"/>
  <c r="A903" i="2"/>
  <c r="B902" i="2"/>
  <c r="A902" i="2"/>
  <c r="B901" i="2"/>
  <c r="A901" i="2"/>
  <c r="B900" i="2"/>
  <c r="A900" i="2"/>
  <c r="B899" i="2"/>
  <c r="A899" i="2"/>
  <c r="B898" i="2"/>
  <c r="A898" i="2"/>
  <c r="B897" i="2"/>
  <c r="A897" i="2"/>
  <c r="B896" i="2"/>
  <c r="A896" i="2"/>
  <c r="B895" i="2"/>
  <c r="A895" i="2"/>
  <c r="B894" i="2"/>
  <c r="A894" i="2"/>
  <c r="B893" i="2"/>
  <c r="A893" i="2"/>
  <c r="B892" i="2"/>
  <c r="A892" i="2"/>
  <c r="B891" i="2"/>
  <c r="A891" i="2"/>
  <c r="B890" i="2"/>
  <c r="A890" i="2"/>
  <c r="B889" i="2"/>
  <c r="A889" i="2"/>
  <c r="B888" i="2"/>
  <c r="A888" i="2"/>
  <c r="B887" i="2"/>
  <c r="A887" i="2"/>
  <c r="B886" i="2"/>
  <c r="A886" i="2"/>
  <c r="B885" i="2"/>
  <c r="A885" i="2"/>
  <c r="B884" i="2"/>
  <c r="A884" i="2"/>
  <c r="B883" i="2"/>
  <c r="A883" i="2"/>
  <c r="B882" i="2"/>
  <c r="A882" i="2"/>
  <c r="B881" i="2"/>
  <c r="A881" i="2"/>
  <c r="B880" i="2"/>
  <c r="A880" i="2"/>
  <c r="B879" i="2"/>
  <c r="A879" i="2"/>
  <c r="B878" i="2"/>
  <c r="A878" i="2"/>
  <c r="B877" i="2"/>
  <c r="A877" i="2"/>
  <c r="B876" i="2"/>
  <c r="A876" i="2"/>
  <c r="B875" i="2"/>
  <c r="A875" i="2"/>
  <c r="B874" i="2"/>
  <c r="A874" i="2"/>
  <c r="B873" i="2"/>
  <c r="A873" i="2"/>
  <c r="B872" i="2"/>
  <c r="A872" i="2"/>
  <c r="B871" i="2"/>
  <c r="A871" i="2"/>
  <c r="B870" i="2"/>
  <c r="A870" i="2"/>
  <c r="B869" i="2"/>
  <c r="A869" i="2"/>
  <c r="B868" i="2"/>
  <c r="A868" i="2"/>
  <c r="B867" i="2"/>
  <c r="A867" i="2"/>
  <c r="B866" i="2"/>
  <c r="A866" i="2"/>
  <c r="B865" i="2"/>
  <c r="A865" i="2"/>
  <c r="B864" i="2"/>
  <c r="A864" i="2"/>
  <c r="B863" i="2"/>
  <c r="A863" i="2"/>
  <c r="B862" i="2"/>
  <c r="A862" i="2"/>
  <c r="B861" i="2"/>
  <c r="A861" i="2"/>
  <c r="B860" i="2"/>
  <c r="A860" i="2"/>
  <c r="B859" i="2"/>
  <c r="A859" i="2"/>
  <c r="B858" i="2"/>
  <c r="A858" i="2"/>
  <c r="B857" i="2"/>
  <c r="A857" i="2"/>
  <c r="B856" i="2"/>
  <c r="A856" i="2"/>
  <c r="B855" i="2"/>
  <c r="A855" i="2"/>
  <c r="B854" i="2"/>
  <c r="A854" i="2"/>
  <c r="B853" i="2"/>
  <c r="A853" i="2"/>
  <c r="B852" i="2"/>
  <c r="A852" i="2"/>
  <c r="B851" i="2"/>
  <c r="A851" i="2"/>
  <c r="B850" i="2"/>
  <c r="A850" i="2"/>
  <c r="B849" i="2"/>
  <c r="A849" i="2"/>
  <c r="B848" i="2"/>
  <c r="A848" i="2"/>
  <c r="B847" i="2"/>
  <c r="A847" i="2"/>
  <c r="B846" i="2"/>
  <c r="A846" i="2"/>
  <c r="B845" i="2"/>
  <c r="A845" i="2"/>
  <c r="B844" i="2"/>
  <c r="A844" i="2"/>
  <c r="B843" i="2"/>
  <c r="A843" i="2"/>
  <c r="B842" i="2"/>
  <c r="A842" i="2"/>
  <c r="B841" i="2"/>
  <c r="A841" i="2"/>
  <c r="B840" i="2"/>
  <c r="A840" i="2"/>
  <c r="B839" i="2"/>
  <c r="A839" i="2"/>
  <c r="B838" i="2"/>
  <c r="A838" i="2"/>
  <c r="B837" i="2"/>
  <c r="A837" i="2"/>
  <c r="B836" i="2"/>
  <c r="A836" i="2"/>
  <c r="B835" i="2"/>
  <c r="A835" i="2"/>
  <c r="B834" i="2"/>
  <c r="A834" i="2"/>
  <c r="B833" i="2"/>
  <c r="A833" i="2"/>
  <c r="B832" i="2"/>
  <c r="A832" i="2"/>
  <c r="B831" i="2"/>
  <c r="A831" i="2"/>
  <c r="B830" i="2"/>
  <c r="A830" i="2"/>
  <c r="B829" i="2"/>
  <c r="A829" i="2"/>
  <c r="B828" i="2"/>
  <c r="A828" i="2"/>
  <c r="B827" i="2"/>
  <c r="A827" i="2"/>
  <c r="B826" i="2"/>
  <c r="A826" i="2"/>
  <c r="B825" i="2"/>
  <c r="A825" i="2"/>
  <c r="B822" i="2"/>
  <c r="A822" i="2"/>
  <c r="B427" i="2"/>
  <c r="A427" i="2"/>
  <c r="B426" i="2"/>
  <c r="A426" i="2"/>
  <c r="B425" i="2"/>
  <c r="A425" i="2"/>
  <c r="B424" i="2"/>
  <c r="A424" i="2"/>
  <c r="B423" i="2"/>
  <c r="A423" i="2"/>
  <c r="B422" i="2"/>
  <c r="A422" i="2"/>
  <c r="B421" i="2"/>
  <c r="A421" i="2"/>
  <c r="B420" i="2"/>
  <c r="A420" i="2"/>
  <c r="B419" i="2"/>
  <c r="A419" i="2"/>
  <c r="B418" i="2"/>
  <c r="A418" i="2"/>
  <c r="B417" i="2"/>
  <c r="A417" i="2"/>
  <c r="B416" i="2"/>
  <c r="A416" i="2"/>
  <c r="B415" i="2"/>
  <c r="A415" i="2"/>
  <c r="B414" i="2"/>
  <c r="A414" i="2"/>
  <c r="B413" i="2"/>
  <c r="A413" i="2"/>
  <c r="B412" i="2"/>
  <c r="A412" i="2"/>
  <c r="B411" i="2"/>
  <c r="A411" i="2"/>
  <c r="B410" i="2"/>
  <c r="A410" i="2"/>
  <c r="B409" i="2"/>
  <c r="A409" i="2"/>
  <c r="B408" i="2"/>
  <c r="A408" i="2"/>
  <c r="B407" i="2"/>
  <c r="A407" i="2"/>
  <c r="B406" i="2"/>
  <c r="A406" i="2"/>
  <c r="B405" i="2"/>
  <c r="A405" i="2"/>
  <c r="B404" i="2"/>
  <c r="A404" i="2"/>
  <c r="B403" i="2"/>
  <c r="A403" i="2"/>
  <c r="B402" i="2"/>
  <c r="A402" i="2"/>
  <c r="B401" i="2"/>
  <c r="A401" i="2"/>
  <c r="B400" i="2"/>
  <c r="A400" i="2"/>
  <c r="B399" i="2"/>
  <c r="A399" i="2"/>
  <c r="B398" i="2"/>
  <c r="A398" i="2"/>
  <c r="B397" i="2"/>
  <c r="A397" i="2"/>
  <c r="B396" i="2"/>
  <c r="A396" i="2"/>
  <c r="B395" i="2"/>
  <c r="A395" i="2"/>
  <c r="B394" i="2"/>
  <c r="A394" i="2"/>
  <c r="B393" i="2"/>
  <c r="A393" i="2"/>
  <c r="B392" i="2"/>
  <c r="A392" i="2"/>
  <c r="B391" i="2"/>
  <c r="A391" i="2"/>
  <c r="B390" i="2"/>
  <c r="A390" i="2"/>
  <c r="B389" i="2"/>
  <c r="A389" i="2"/>
  <c r="B388" i="2"/>
  <c r="A388" i="2"/>
  <c r="B387" i="2"/>
  <c r="A387" i="2"/>
  <c r="B386" i="2"/>
  <c r="A386" i="2"/>
  <c r="B385" i="2"/>
  <c r="A385" i="2"/>
  <c r="B384" i="2"/>
  <c r="A384" i="2"/>
  <c r="B383" i="2"/>
  <c r="B382" i="2"/>
  <c r="A382" i="2"/>
  <c r="B381" i="2"/>
  <c r="A381" i="2"/>
  <c r="B380" i="2"/>
  <c r="A380" i="2"/>
  <c r="B379" i="2"/>
  <c r="A379" i="2"/>
  <c r="B378" i="2"/>
  <c r="A378" i="2"/>
  <c r="B377" i="2"/>
  <c r="A377" i="2"/>
  <c r="B376" i="2"/>
  <c r="A376" i="2"/>
  <c r="B375" i="2"/>
  <c r="A375" i="2"/>
  <c r="B374" i="2"/>
  <c r="A374" i="2"/>
  <c r="B373" i="2"/>
  <c r="A373" i="2"/>
  <c r="B372" i="2"/>
  <c r="A372" i="2"/>
  <c r="B371" i="2"/>
  <c r="A371" i="2"/>
  <c r="B370" i="2"/>
  <c r="A370" i="2"/>
  <c r="B369" i="2"/>
  <c r="A369" i="2"/>
  <c r="B368" i="2"/>
  <c r="A368" i="2"/>
  <c r="B367" i="2"/>
  <c r="A367" i="2"/>
  <c r="B366" i="2"/>
  <c r="A366" i="2"/>
  <c r="B365" i="2"/>
  <c r="A365" i="2"/>
  <c r="B364" i="2"/>
  <c r="A364" i="2"/>
  <c r="B363" i="2"/>
  <c r="A363" i="2"/>
  <c r="B362" i="2"/>
  <c r="A362" i="2"/>
  <c r="B360" i="2"/>
  <c r="A360" i="2"/>
  <c r="B359" i="2"/>
  <c r="A359" i="2"/>
  <c r="B358" i="2"/>
  <c r="A358" i="2"/>
  <c r="B357" i="2"/>
  <c r="A357" i="2"/>
  <c r="B356" i="2"/>
  <c r="A356" i="2"/>
  <c r="B355" i="2"/>
  <c r="A355" i="2"/>
  <c r="B354" i="2"/>
  <c r="A354" i="2"/>
  <c r="B353" i="2"/>
  <c r="A353" i="2"/>
  <c r="B352" i="2"/>
  <c r="A352" i="2"/>
  <c r="B351" i="2"/>
  <c r="A351" i="2"/>
  <c r="B350" i="2"/>
  <c r="A350" i="2"/>
  <c r="B349" i="2"/>
  <c r="A349" i="2"/>
  <c r="B348" i="2"/>
  <c r="B347" i="2"/>
  <c r="A347" i="2"/>
  <c r="B346" i="2"/>
  <c r="A346" i="2"/>
  <c r="B345" i="2"/>
  <c r="A345" i="2"/>
  <c r="B344" i="2"/>
  <c r="A344" i="2"/>
  <c r="B343" i="2"/>
  <c r="A343" i="2"/>
  <c r="B342" i="2"/>
  <c r="A342" i="2"/>
  <c r="B341" i="2"/>
  <c r="A341" i="2"/>
  <c r="B340" i="2"/>
  <c r="A340" i="2"/>
  <c r="B339" i="2"/>
  <c r="A339" i="2"/>
  <c r="B338" i="2"/>
  <c r="A338" i="2"/>
  <c r="B337" i="2"/>
  <c r="A337" i="2"/>
  <c r="B336" i="2"/>
  <c r="A336" i="2"/>
  <c r="B335" i="2"/>
  <c r="A335" i="2"/>
  <c r="B334" i="2"/>
  <c r="A334" i="2"/>
  <c r="B333" i="2"/>
  <c r="A333" i="2"/>
  <c r="B332" i="2"/>
  <c r="A332" i="2"/>
  <c r="B331" i="2"/>
  <c r="A331" i="2"/>
  <c r="B330" i="2"/>
  <c r="A330" i="2"/>
  <c r="B329" i="2"/>
  <c r="A329" i="2"/>
  <c r="B328" i="2"/>
  <c r="A328" i="2"/>
  <c r="B327" i="2"/>
  <c r="A327" i="2"/>
  <c r="B326" i="2"/>
  <c r="A326" i="2"/>
  <c r="B325" i="2"/>
  <c r="A325" i="2"/>
  <c r="B324" i="2"/>
  <c r="A324" i="2"/>
  <c r="B323" i="2"/>
  <c r="A323" i="2"/>
  <c r="B322" i="2"/>
  <c r="A322" i="2"/>
  <c r="B321" i="2"/>
  <c r="A321" i="2"/>
  <c r="B320" i="2"/>
  <c r="A320" i="2"/>
  <c r="B319" i="2"/>
  <c r="A319" i="2"/>
  <c r="B318" i="2"/>
  <c r="A318" i="2"/>
  <c r="B317" i="2"/>
  <c r="A317" i="2"/>
  <c r="B316" i="2"/>
  <c r="A316" i="2"/>
  <c r="B315" i="2"/>
  <c r="A315" i="2"/>
  <c r="B314" i="2"/>
  <c r="A314" i="2"/>
  <c r="B313" i="2"/>
  <c r="A313" i="2"/>
  <c r="B312" i="2"/>
  <c r="A312" i="2"/>
  <c r="B311" i="2"/>
  <c r="A311" i="2"/>
  <c r="B310" i="2"/>
  <c r="A310" i="2"/>
  <c r="B309" i="2"/>
  <c r="A309" i="2"/>
  <c r="B308" i="2"/>
  <c r="A308" i="2"/>
  <c r="B307" i="2"/>
  <c r="A307" i="2"/>
  <c r="B306" i="2"/>
  <c r="A306" i="2"/>
  <c r="B305" i="2"/>
  <c r="A305" i="2"/>
  <c r="B304" i="2"/>
  <c r="A304" i="2"/>
  <c r="B303" i="2"/>
  <c r="A303" i="2"/>
  <c r="B302" i="2"/>
  <c r="A302" i="2"/>
  <c r="B301" i="2"/>
  <c r="A301" i="2"/>
  <c r="B300" i="2"/>
  <c r="A300" i="2"/>
  <c r="B299" i="2"/>
  <c r="A299" i="2"/>
  <c r="B298" i="2"/>
  <c r="A298" i="2"/>
  <c r="B297" i="2"/>
  <c r="A297" i="2"/>
  <c r="B296" i="2"/>
  <c r="A296" i="2"/>
  <c r="B295" i="2"/>
  <c r="A295" i="2"/>
  <c r="B294" i="2"/>
  <c r="A294" i="2"/>
  <c r="B293" i="2"/>
  <c r="A293" i="2"/>
  <c r="B292" i="2"/>
  <c r="A292" i="2"/>
  <c r="B291" i="2"/>
  <c r="A291" i="2"/>
  <c r="B290" i="2"/>
  <c r="A290" i="2"/>
  <c r="B289" i="2"/>
  <c r="A289" i="2"/>
  <c r="B288" i="2"/>
  <c r="A288" i="2"/>
  <c r="B287" i="2"/>
  <c r="A287" i="2"/>
  <c r="B286" i="2"/>
  <c r="A286" i="2"/>
  <c r="B285" i="2"/>
  <c r="A285" i="2"/>
  <c r="B284" i="2"/>
  <c r="A284" i="2"/>
  <c r="B283" i="2"/>
  <c r="A283" i="2"/>
  <c r="B282" i="2"/>
  <c r="A282" i="2"/>
  <c r="B281" i="2"/>
  <c r="A281" i="2"/>
  <c r="B280" i="2"/>
  <c r="A280" i="2"/>
  <c r="B279" i="2"/>
  <c r="A279" i="2"/>
  <c r="B278" i="2"/>
  <c r="A278" i="2"/>
  <c r="B277" i="2"/>
  <c r="A277" i="2"/>
  <c r="B276" i="2"/>
  <c r="A276" i="2"/>
  <c r="B275" i="2"/>
  <c r="A275" i="2"/>
  <c r="B274" i="2"/>
  <c r="A274" i="2"/>
  <c r="B273" i="2"/>
  <c r="A273" i="2"/>
  <c r="B272" i="2"/>
  <c r="A272" i="2"/>
  <c r="B271" i="2"/>
  <c r="A271" i="2"/>
  <c r="B270" i="2"/>
  <c r="A270" i="2"/>
  <c r="B269" i="2"/>
  <c r="A269" i="2"/>
  <c r="B268" i="2"/>
  <c r="A268" i="2"/>
  <c r="B267" i="2"/>
  <c r="A267" i="2"/>
  <c r="B266" i="2"/>
  <c r="A266" i="2"/>
  <c r="B265" i="2"/>
  <c r="A265" i="2"/>
  <c r="B264" i="2"/>
  <c r="A264" i="2"/>
  <c r="B263" i="2"/>
  <c r="A263" i="2"/>
  <c r="B262" i="2"/>
  <c r="A262" i="2"/>
  <c r="B261" i="2"/>
  <c r="A261" i="2"/>
  <c r="B260" i="2"/>
  <c r="A260" i="2"/>
  <c r="B259" i="2"/>
  <c r="A259" i="2"/>
  <c r="B258" i="2"/>
  <c r="A258" i="2"/>
  <c r="B257" i="2"/>
  <c r="A257" i="2"/>
  <c r="B256" i="2"/>
  <c r="A256" i="2"/>
  <c r="B255" i="2"/>
  <c r="A255" i="2"/>
  <c r="B254" i="2"/>
  <c r="A254" i="2"/>
  <c r="B253" i="2"/>
  <c r="A253" i="2"/>
  <c r="B252" i="2"/>
  <c r="A252" i="2"/>
  <c r="B251" i="2"/>
  <c r="A251" i="2"/>
  <c r="B250" i="2"/>
  <c r="A250" i="2"/>
  <c r="B249" i="2"/>
  <c r="A249" i="2"/>
  <c r="B248" i="2"/>
  <c r="A248" i="2"/>
  <c r="B247" i="2"/>
  <c r="A247" i="2"/>
  <c r="B246" i="2"/>
  <c r="A246" i="2"/>
  <c r="B245" i="2"/>
  <c r="A245" i="2"/>
  <c r="B244" i="2"/>
  <c r="A244" i="2"/>
  <c r="B243" i="2"/>
  <c r="A243" i="2"/>
  <c r="B242" i="2"/>
  <c r="A242" i="2"/>
  <c r="B241" i="2"/>
  <c r="A241" i="2"/>
  <c r="B240" i="2"/>
  <c r="A240" i="2"/>
  <c r="B239" i="2"/>
  <c r="A239" i="2"/>
  <c r="B238" i="2"/>
  <c r="A238" i="2"/>
  <c r="B237" i="2"/>
  <c r="A237" i="2"/>
  <c r="B236" i="2"/>
  <c r="A236" i="2"/>
  <c r="B235" i="2"/>
  <c r="A235" i="2"/>
  <c r="B234" i="2"/>
  <c r="A234" i="2"/>
  <c r="B233" i="2"/>
  <c r="A233" i="2"/>
  <c r="B232" i="2"/>
  <c r="A232" i="2"/>
  <c r="B231" i="2"/>
  <c r="A231" i="2"/>
  <c r="B230" i="2"/>
  <c r="A230" i="2"/>
  <c r="B229" i="2"/>
  <c r="A229" i="2"/>
  <c r="B228" i="2"/>
  <c r="A228" i="2"/>
  <c r="B227" i="2"/>
  <c r="A227" i="2"/>
  <c r="B226" i="2"/>
  <c r="A226" i="2"/>
  <c r="B225" i="2"/>
  <c r="A225" i="2"/>
  <c r="B224" i="2"/>
  <c r="A224" i="2"/>
  <c r="B223" i="2"/>
  <c r="A223" i="2"/>
  <c r="B222" i="2"/>
  <c r="A222" i="2"/>
  <c r="B221" i="2"/>
  <c r="A221" i="2"/>
  <c r="B220" i="2"/>
  <c r="A220" i="2"/>
  <c r="B219" i="2"/>
  <c r="A219" i="2"/>
  <c r="B218" i="2"/>
  <c r="A218" i="2"/>
  <c r="B217" i="2"/>
  <c r="A217" i="2"/>
  <c r="B216" i="2"/>
  <c r="A216" i="2"/>
  <c r="B215" i="2"/>
  <c r="A215" i="2"/>
  <c r="B214" i="2"/>
  <c r="A214" i="2"/>
  <c r="B213" i="2"/>
  <c r="A213" i="2"/>
  <c r="B212" i="2"/>
  <c r="A212" i="2"/>
  <c r="B211" i="2"/>
  <c r="A211" i="2"/>
  <c r="B210" i="2"/>
  <c r="A210" i="2"/>
  <c r="B209" i="2"/>
  <c r="A209" i="2"/>
  <c r="B208" i="2"/>
  <c r="A208" i="2"/>
  <c r="B207" i="2"/>
  <c r="A207" i="2"/>
  <c r="B206" i="2"/>
  <c r="A206" i="2"/>
  <c r="B205" i="2"/>
  <c r="A205" i="2"/>
  <c r="B204" i="2"/>
  <c r="A204" i="2"/>
  <c r="B203" i="2"/>
  <c r="A203" i="2"/>
  <c r="B202" i="2"/>
  <c r="A202" i="2"/>
  <c r="B201" i="2"/>
  <c r="A201" i="2"/>
  <c r="B200" i="2"/>
  <c r="A200" i="2"/>
  <c r="B199" i="2"/>
  <c r="A199" i="2"/>
  <c r="B198" i="2"/>
  <c r="A198" i="2"/>
  <c r="B197" i="2"/>
  <c r="A197" i="2"/>
  <c r="B196" i="2"/>
  <c r="A196" i="2"/>
  <c r="B195" i="2"/>
  <c r="A195" i="2"/>
  <c r="B194" i="2"/>
  <c r="A194" i="2"/>
  <c r="B193" i="2"/>
  <c r="A193" i="2"/>
  <c r="B192" i="2"/>
  <c r="A192" i="2"/>
  <c r="B191" i="2"/>
  <c r="A191" i="2"/>
  <c r="B190" i="2"/>
  <c r="A190" i="2"/>
  <c r="B189" i="2"/>
  <c r="A189" i="2"/>
  <c r="B188" i="2"/>
  <c r="A188" i="2"/>
  <c r="B187" i="2"/>
  <c r="A187" i="2"/>
  <c r="B186" i="2"/>
  <c r="A186" i="2"/>
  <c r="B185" i="2"/>
  <c r="A185" i="2"/>
  <c r="B184" i="2"/>
  <c r="A184" i="2"/>
  <c r="B183" i="2"/>
  <c r="A183" i="2"/>
  <c r="B182" i="2"/>
  <c r="A182" i="2"/>
  <c r="B181" i="2"/>
  <c r="A181" i="2"/>
  <c r="B180" i="2"/>
  <c r="A180" i="2"/>
  <c r="B179" i="2"/>
  <c r="A179" i="2"/>
  <c r="B178" i="2"/>
  <c r="A178" i="2"/>
  <c r="B177" i="2"/>
  <c r="A177" i="2"/>
  <c r="A171" i="2"/>
  <c r="A170" i="2"/>
  <c r="A169" i="2"/>
  <c r="A168" i="2"/>
  <c r="B167" i="2"/>
  <c r="A167" i="2"/>
  <c r="B166" i="2"/>
  <c r="A166" i="2"/>
  <c r="B165" i="2"/>
  <c r="A165" i="2"/>
  <c r="B164" i="2"/>
  <c r="A164" i="2"/>
  <c r="B163" i="2"/>
  <c r="A163" i="2"/>
  <c r="B162" i="2"/>
  <c r="A162" i="2"/>
  <c r="B161" i="2"/>
  <c r="A161" i="2"/>
  <c r="B160" i="2"/>
  <c r="A160" i="2"/>
  <c r="B159" i="2"/>
  <c r="A159" i="2"/>
  <c r="B158" i="2"/>
  <c r="A158" i="2"/>
  <c r="B157" i="2"/>
  <c r="A157" i="2"/>
  <c r="B156" i="2"/>
  <c r="A156" i="2"/>
  <c r="B155" i="2"/>
  <c r="A155" i="2"/>
  <c r="B154" i="2"/>
  <c r="A154" i="2"/>
  <c r="B153" i="2"/>
  <c r="A153" i="2"/>
  <c r="B152" i="2"/>
  <c r="A152" i="2"/>
  <c r="B151" i="2"/>
  <c r="A151" i="2"/>
  <c r="B150" i="2"/>
  <c r="A150" i="2"/>
  <c r="B149" i="2"/>
  <c r="A149" i="2"/>
  <c r="A148" i="2"/>
  <c r="B147" i="2"/>
  <c r="A147" i="2"/>
  <c r="B146" i="2"/>
  <c r="A146" i="2"/>
  <c r="B145" i="2"/>
  <c r="A145" i="2"/>
  <c r="B144" i="2"/>
  <c r="A144" i="2"/>
  <c r="B143" i="2"/>
  <c r="A143" i="2"/>
  <c r="B142" i="2"/>
  <c r="A142" i="2"/>
  <c r="B140" i="2"/>
  <c r="A140" i="2"/>
  <c r="B139" i="2"/>
  <c r="A139" i="2"/>
  <c r="B138" i="2"/>
  <c r="A138" i="2"/>
  <c r="B137" i="2"/>
  <c r="A137" i="2"/>
  <c r="B136" i="2"/>
  <c r="A136" i="2"/>
  <c r="B135" i="2"/>
  <c r="A135" i="2"/>
  <c r="B134" i="2"/>
  <c r="A134" i="2"/>
  <c r="B133" i="2"/>
  <c r="A133" i="2"/>
  <c r="B132" i="2"/>
  <c r="A132" i="2"/>
  <c r="B131" i="2"/>
  <c r="A131" i="2"/>
  <c r="B130" i="2"/>
  <c r="A130" i="2"/>
  <c r="B129" i="2"/>
  <c r="A129" i="2"/>
  <c r="B128" i="2"/>
  <c r="A128" i="2"/>
  <c r="B127" i="2"/>
  <c r="A127" i="2"/>
  <c r="B126" i="2"/>
  <c r="A126" i="2"/>
  <c r="B125" i="2"/>
  <c r="A125" i="2"/>
  <c r="B124" i="2"/>
  <c r="A124" i="2"/>
  <c r="B123" i="2"/>
  <c r="A123" i="2"/>
  <c r="B122" i="2"/>
  <c r="A122" i="2"/>
  <c r="B121" i="2"/>
  <c r="A121" i="2"/>
  <c r="B120" i="2"/>
  <c r="A120" i="2"/>
  <c r="B119" i="2"/>
  <c r="A119" i="2"/>
  <c r="B118" i="2"/>
  <c r="A118" i="2"/>
  <c r="B117" i="2"/>
  <c r="A117" i="2"/>
  <c r="B116" i="2"/>
  <c r="A116" i="2"/>
  <c r="B115" i="2"/>
  <c r="A115" i="2"/>
  <c r="B114" i="2"/>
  <c r="A114" i="2"/>
  <c r="B113" i="2"/>
  <c r="A113" i="2"/>
  <c r="B112" i="2"/>
  <c r="A112" i="2"/>
  <c r="B111" i="2"/>
  <c r="A111" i="2"/>
  <c r="B110" i="2"/>
  <c r="A110" i="2"/>
  <c r="B109" i="2"/>
  <c r="A109" i="2"/>
  <c r="B108" i="2"/>
  <c r="A108" i="2"/>
  <c r="B107" i="2"/>
  <c r="A107" i="2"/>
  <c r="B106" i="2"/>
  <c r="A106" i="2"/>
  <c r="B105" i="2"/>
  <c r="A105" i="2"/>
  <c r="A104" i="2"/>
  <c r="B103" i="2"/>
  <c r="A103" i="2"/>
  <c r="B102" i="2"/>
  <c r="A102" i="2"/>
  <c r="B101" i="2"/>
  <c r="A101" i="2"/>
  <c r="B100" i="2"/>
  <c r="A100" i="2"/>
  <c r="B99" i="2"/>
  <c r="A99" i="2"/>
  <c r="B98" i="2"/>
  <c r="A98" i="2"/>
  <c r="B97" i="2"/>
  <c r="A97" i="2"/>
  <c r="B96" i="2"/>
  <c r="A96" i="2"/>
  <c r="B95" i="2"/>
  <c r="A95" i="2"/>
  <c r="B94" i="2"/>
  <c r="A94" i="2"/>
  <c r="B93" i="2"/>
  <c r="A93" i="2"/>
  <c r="B92" i="2"/>
  <c r="A92" i="2"/>
  <c r="B91" i="2"/>
  <c r="A91" i="2"/>
  <c r="B90" i="2"/>
  <c r="A90" i="2"/>
  <c r="B89" i="2"/>
  <c r="A89" i="2"/>
  <c r="B88" i="2"/>
  <c r="A88" i="2"/>
  <c r="B87" i="2"/>
  <c r="A87" i="2"/>
  <c r="B86" i="2"/>
  <c r="A86" i="2"/>
  <c r="B85" i="2"/>
  <c r="A85" i="2"/>
  <c r="B84" i="2"/>
  <c r="A84" i="2"/>
  <c r="B83" i="2"/>
  <c r="A83" i="2"/>
  <c r="B82" i="2"/>
  <c r="A82" i="2"/>
  <c r="B81" i="2"/>
  <c r="A81" i="2"/>
  <c r="B80" i="2"/>
  <c r="A80" i="2"/>
  <c r="B79" i="2"/>
  <c r="A79" i="2"/>
  <c r="B78" i="2"/>
  <c r="A78" i="2"/>
  <c r="B77" i="2"/>
  <c r="A77" i="2"/>
  <c r="B76" i="2"/>
  <c r="A76" i="2"/>
  <c r="B75" i="2"/>
  <c r="A75" i="2"/>
  <c r="B74" i="2"/>
  <c r="A74" i="2"/>
  <c r="B73" i="2"/>
  <c r="A73" i="2"/>
  <c r="B72" i="2"/>
  <c r="B71" i="2"/>
  <c r="A71" i="2"/>
  <c r="B70" i="2"/>
  <c r="A70" i="2"/>
  <c r="B69" i="2"/>
  <c r="A69" i="2"/>
  <c r="B68" i="2"/>
  <c r="A68" i="2"/>
  <c r="B67" i="2"/>
  <c r="A67" i="2"/>
  <c r="B66" i="2"/>
  <c r="A66" i="2"/>
  <c r="B65" i="2"/>
  <c r="A65" i="2"/>
  <c r="B64" i="2"/>
  <c r="A64" i="2"/>
  <c r="B63" i="2"/>
  <c r="A63" i="2"/>
  <c r="B62" i="2"/>
  <c r="A62" i="2"/>
  <c r="B61" i="2"/>
  <c r="A61" i="2"/>
  <c r="B60" i="2"/>
  <c r="A60" i="2"/>
  <c r="B59" i="2"/>
  <c r="A59" i="2"/>
  <c r="B58" i="2"/>
  <c r="A58" i="2"/>
  <c r="B57" i="2"/>
  <c r="A57" i="2"/>
  <c r="B56" i="2"/>
  <c r="A56" i="2"/>
  <c r="B55" i="2"/>
  <c r="A55" i="2"/>
  <c r="B54" i="2"/>
  <c r="A54" i="2"/>
  <c r="B53" i="2"/>
  <c r="A53" i="2"/>
  <c r="B52" i="2"/>
  <c r="A52" i="2"/>
  <c r="B51" i="2"/>
  <c r="A51" i="2"/>
  <c r="B50" i="2"/>
  <c r="A50" i="2"/>
  <c r="B49" i="2"/>
  <c r="A49" i="2"/>
  <c r="B48" i="2"/>
  <c r="A48" i="2"/>
  <c r="B47" i="2"/>
  <c r="A47" i="2"/>
  <c r="B46" i="2"/>
  <c r="A46" i="2"/>
  <c r="B45" i="2"/>
  <c r="A45" i="2"/>
  <c r="B44" i="2"/>
  <c r="A44" i="2"/>
  <c r="B43" i="2"/>
  <c r="A43" i="2"/>
  <c r="B42" i="2"/>
  <c r="A42" i="2"/>
  <c r="B41" i="2"/>
  <c r="A41" i="2"/>
  <c r="B40" i="2"/>
  <c r="A40" i="2"/>
  <c r="B39" i="2"/>
  <c r="A39" i="2"/>
  <c r="B38" i="2"/>
  <c r="A38" i="2"/>
  <c r="B37" i="2"/>
  <c r="A37" i="2"/>
  <c r="B36" i="2"/>
  <c r="A36" i="2"/>
  <c r="B35" i="2"/>
  <c r="A35" i="2"/>
  <c r="B34" i="2"/>
  <c r="A34" i="2"/>
  <c r="B33" i="2"/>
  <c r="A33" i="2"/>
  <c r="B32" i="2"/>
  <c r="A32" i="2"/>
  <c r="B31" i="2"/>
  <c r="A31" i="2"/>
  <c r="B30" i="2"/>
  <c r="A30" i="2"/>
  <c r="B29" i="2"/>
  <c r="A29" i="2"/>
  <c r="B28" i="2"/>
  <c r="A28" i="2"/>
  <c r="B27" i="2"/>
  <c r="A27" i="2"/>
  <c r="B26" i="2"/>
  <c r="A26" i="2"/>
  <c r="B25" i="2"/>
  <c r="A25" i="2"/>
  <c r="B24" i="2"/>
  <c r="A24" i="2"/>
  <c r="B23" i="2"/>
  <c r="A23" i="2"/>
  <c r="B22" i="2"/>
  <c r="A22" i="2"/>
  <c r="B21" i="2"/>
  <c r="A21" i="2"/>
  <c r="B20" i="2"/>
  <c r="A20" i="2"/>
  <c r="B19" i="2"/>
  <c r="A19" i="2"/>
  <c r="B18" i="2"/>
  <c r="A18" i="2"/>
  <c r="B17" i="2"/>
  <c r="A17" i="2"/>
  <c r="B16" i="2"/>
  <c r="A16" i="2"/>
  <c r="B15" i="2"/>
  <c r="A15" i="2"/>
  <c r="B14" i="2"/>
  <c r="A14" i="2"/>
  <c r="B13" i="2"/>
  <c r="A13" i="2"/>
  <c r="B12" i="2"/>
  <c r="A12" i="2"/>
  <c r="B11" i="2"/>
  <c r="A11" i="2"/>
  <c r="B10" i="2"/>
  <c r="A10" i="2"/>
  <c r="B9" i="2"/>
  <c r="A9" i="2"/>
  <c r="B8" i="2"/>
  <c r="A8" i="2"/>
  <c r="B7" i="2"/>
  <c r="A7" i="2"/>
  <c r="B6" i="2"/>
  <c r="A6" i="2"/>
  <c r="B5" i="2"/>
  <c r="A5" i="2"/>
  <c r="B4" i="2"/>
  <c r="A4" i="2"/>
  <c r="B3" i="2"/>
  <c r="A3" i="2"/>
  <c r="T1" i="2"/>
  <c r="S1" i="2"/>
  <c r="O1" i="2"/>
  <c r="L1" i="2"/>
  <c r="R1" i="2" l="1"/>
  <c r="U1" i="2"/>
  <c r="M1" i="2"/>
  <c r="N1" i="2"/>
  <c r="V1" i="2"/>
  <c r="P1" i="2" l="1"/>
</calcChain>
</file>

<file path=xl/sharedStrings.xml><?xml version="1.0" encoding="utf-8"?>
<sst xmlns="http://schemas.openxmlformats.org/spreadsheetml/2006/main" count="6325" uniqueCount="512">
  <si>
    <t>DATE</t>
  </si>
  <si>
    <t>CUST.PO NO.</t>
  </si>
  <si>
    <t>PO DATE</t>
  </si>
  <si>
    <t>CUSTOMER NAME</t>
  </si>
  <si>
    <t>Zone</t>
  </si>
  <si>
    <t>PROJECT NAME</t>
  </si>
  <si>
    <t>OTF</t>
  </si>
  <si>
    <t xml:space="preserve">INVOICE </t>
  </si>
  <si>
    <t>BASIC</t>
  </si>
  <si>
    <t>CGST 9%</t>
  </si>
  <si>
    <t>SGST 9%</t>
  </si>
  <si>
    <t>IGST 18%</t>
  </si>
  <si>
    <t>Total</t>
  </si>
  <si>
    <t>Trans. Billed</t>
  </si>
  <si>
    <t>Trans. Exp</t>
  </si>
  <si>
    <t>Trans. Margin</t>
  </si>
  <si>
    <t>%</t>
  </si>
  <si>
    <t>Transporter</t>
  </si>
  <si>
    <t>LR No</t>
  </si>
  <si>
    <t>Submitted Date</t>
  </si>
  <si>
    <t>Courier Docket No</t>
  </si>
  <si>
    <t>SI NO</t>
  </si>
  <si>
    <t>MONTH</t>
  </si>
  <si>
    <t>Grand Total</t>
  </si>
  <si>
    <t xml:space="preserve"> BASIC</t>
  </si>
  <si>
    <t xml:space="preserve">Freight </t>
  </si>
  <si>
    <t>Product</t>
  </si>
  <si>
    <t>Values</t>
  </si>
  <si>
    <t>April</t>
  </si>
  <si>
    <t>Date</t>
  </si>
  <si>
    <t>Invoice No</t>
  </si>
  <si>
    <t>Qty</t>
  </si>
  <si>
    <t>Price</t>
  </si>
  <si>
    <t>Party Name</t>
  </si>
  <si>
    <t>Site</t>
  </si>
  <si>
    <t>PRODUCT</t>
  </si>
  <si>
    <t>RAW MATERIAL</t>
  </si>
  <si>
    <t>UNITS</t>
  </si>
  <si>
    <t>Box Duct with TDF</t>
  </si>
  <si>
    <t>120gsm 20G</t>
  </si>
  <si>
    <t>Polythene wrapping</t>
  </si>
  <si>
    <t>Total Sales</t>
  </si>
  <si>
    <t xml:space="preserve"> </t>
  </si>
  <si>
    <t>Row Labels</t>
  </si>
  <si>
    <t>Sum of Qty</t>
  </si>
  <si>
    <t>GST 18%</t>
  </si>
  <si>
    <t>(Multiple Items)</t>
  </si>
  <si>
    <t>Sqmt</t>
  </si>
  <si>
    <t>120gsm Slit 24G</t>
  </si>
  <si>
    <t>120gsm Slit 22G</t>
  </si>
  <si>
    <t>120gsm Slit 20G</t>
  </si>
  <si>
    <t>120gsm 18G</t>
  </si>
  <si>
    <t>Insu Kflex 15mm Acou.</t>
  </si>
  <si>
    <t>Insu Kflex Thermal 9mm</t>
  </si>
  <si>
    <t>10mm JTR</t>
  </si>
  <si>
    <t>Round Off</t>
  </si>
  <si>
    <t>Gran Total</t>
  </si>
  <si>
    <t>Apr</t>
  </si>
  <si>
    <t>Column Labels</t>
  </si>
  <si>
    <t>No/Day</t>
  </si>
  <si>
    <t>Rmt/Day</t>
  </si>
  <si>
    <t>Sqmt/Day</t>
  </si>
  <si>
    <t>Scrap</t>
  </si>
  <si>
    <t>Box Duct/Day</t>
  </si>
  <si>
    <t>Spiral Duct/Day</t>
  </si>
  <si>
    <t>Insu Kflex Thermal 19mm</t>
  </si>
  <si>
    <t>TDF</t>
  </si>
  <si>
    <t>Spiral</t>
  </si>
  <si>
    <t>120gsm 24G</t>
  </si>
  <si>
    <t>120gsm 22G</t>
  </si>
  <si>
    <t>Nos</t>
  </si>
  <si>
    <t>Insu Kflex 25mm Acou.</t>
  </si>
  <si>
    <t>Insu Armaflex Thermal 13mm Al. Foil</t>
  </si>
  <si>
    <t>Insu Armasound Acou. 10mm</t>
  </si>
  <si>
    <t>Insu Armaflex Thermal 9mm</t>
  </si>
  <si>
    <t>Insu Armasound Acou. 15mm</t>
  </si>
  <si>
    <t>Insu Supreme Thermal 9mm</t>
  </si>
  <si>
    <t>Cleats</t>
  </si>
  <si>
    <t>Alu. 0.8mm</t>
  </si>
  <si>
    <t>Insu Supreme 10mm Acou.</t>
  </si>
  <si>
    <t>Insu Supreme Thermal 13mm</t>
  </si>
  <si>
    <t>Insu Supreme 15mm Acou.</t>
  </si>
  <si>
    <t>Pressure Testing</t>
  </si>
  <si>
    <t>Insu Kflex Thermal 13mm</t>
  </si>
  <si>
    <t>Insu Kflex Thermal 19mm Al. Foil</t>
  </si>
  <si>
    <t>Alu. 1.0mm</t>
  </si>
  <si>
    <t>Insu Supreme Thermal 13mm Al. Foil</t>
  </si>
  <si>
    <t>Group</t>
  </si>
  <si>
    <t>Insu Kflex 10mm Acou.</t>
  </si>
  <si>
    <t>120gsm 26G</t>
  </si>
  <si>
    <t>Corners 32mm</t>
  </si>
  <si>
    <t>Gasket</t>
  </si>
  <si>
    <t>Insu TB Thermal 13mm Al. Foil</t>
  </si>
  <si>
    <t>Insu TB Thermal 9mm Al. Foil</t>
  </si>
  <si>
    <t>Insu Supreme Acou. 15mm</t>
  </si>
  <si>
    <t>Insu Supreme Acou. 10mm</t>
  </si>
  <si>
    <t>Insu Kflex Acou. 15mm</t>
  </si>
  <si>
    <t>Insu Kflex Acou. 25mm</t>
  </si>
  <si>
    <t>25x25x3mm</t>
  </si>
  <si>
    <t>Tape</t>
  </si>
  <si>
    <t>Insu Supreme Thermal 16mm</t>
  </si>
  <si>
    <t>Insu TB Thermal 19mm Al. Foil</t>
  </si>
  <si>
    <t>Corners 25mm</t>
  </si>
  <si>
    <t>Insu Armaflex Thermal 19mm GC Cloth</t>
  </si>
  <si>
    <t>Insu Kflex Acou. 10mm</t>
  </si>
  <si>
    <t>Insu Aerocell Thermal 32mm (GC-CLOTH)</t>
  </si>
  <si>
    <t>120gsm Slit 26G</t>
  </si>
  <si>
    <t>Insu Supreme Thermal 9mm Al. Foil</t>
  </si>
  <si>
    <t>Insu Supreme Thermal 19mm</t>
  </si>
  <si>
    <t>Insu Kflex Thermal 19mm GC Cloth</t>
  </si>
  <si>
    <t>Insu Supreme Thermal 19mm Al. Foil</t>
  </si>
  <si>
    <t>Insu Supreme Acou. 20mm</t>
  </si>
  <si>
    <t>Wire Mesh</t>
  </si>
  <si>
    <t>(blank)</t>
  </si>
  <si>
    <t>Spiral Oval Duct</t>
  </si>
  <si>
    <t>Insu Armasound Acou. 25mm</t>
  </si>
  <si>
    <t>Cam Duct India Pvt ltd - 2025-26</t>
  </si>
  <si>
    <t>(All)</t>
  </si>
  <si>
    <t>Stretch Rolls</t>
  </si>
  <si>
    <t>KA3337/2025-26-64022</t>
  </si>
  <si>
    <t>Knnd Associates Pvt Ltd</t>
  </si>
  <si>
    <t>KA</t>
  </si>
  <si>
    <t>knnd</t>
  </si>
  <si>
    <t>Blackstone COE India Pvt Ltd Bangalore</t>
  </si>
  <si>
    <t>Sri Veerabhadraswamy Transport</t>
  </si>
  <si>
    <t>LF-010</t>
  </si>
  <si>
    <t xml:space="preserve">Lakshmi Fabrication </t>
  </si>
  <si>
    <t xml:space="preserve">Others </t>
  </si>
  <si>
    <t>Lenovo Project Bangalore</t>
  </si>
  <si>
    <t>Insulation</t>
  </si>
  <si>
    <t>Stretch Film</t>
  </si>
  <si>
    <t>Lakshmi Fabrication</t>
  </si>
  <si>
    <t>Insu Kflex Thermal 19mm Glass Cloth</t>
  </si>
  <si>
    <t>KA3077/2024-25-16014</t>
  </si>
  <si>
    <t>IISC Medical School Foundation Bangalore</t>
  </si>
  <si>
    <t>Spiral VCD</t>
  </si>
  <si>
    <t>8mm JTR</t>
  </si>
  <si>
    <t>Rmt</t>
  </si>
  <si>
    <t>Kflex (3mmX50mmx9.10 Mtr)</t>
  </si>
  <si>
    <t>VCD (Alu. Blade)</t>
  </si>
  <si>
    <t>Insu Armaflex Thermal 19mm</t>
  </si>
  <si>
    <t>CTS (450x250)</t>
  </si>
  <si>
    <t>CTS (250x250)</t>
  </si>
  <si>
    <t>Stock Transfer</t>
  </si>
  <si>
    <t>Camduct India Pvt Ltd-Haryana</t>
  </si>
  <si>
    <t>HR</t>
  </si>
  <si>
    <t>Camduct India Pvt Ltd-Haryana Branch</t>
  </si>
  <si>
    <t>Spiral Oval Coupling</t>
  </si>
  <si>
    <t xml:space="preserve">Electrode </t>
  </si>
  <si>
    <t>Nozzel</t>
  </si>
  <si>
    <t>Venus Mask</t>
  </si>
  <si>
    <t>Ferrule Fittings (3/8"BSPx100D)</t>
  </si>
  <si>
    <t>Hydraulic Swivel Elbow (100 D)</t>
  </si>
  <si>
    <t>Hydraulic Taper Elbow (3/8"BSPx100D)</t>
  </si>
  <si>
    <t>KA2343/2024-25_1-15021</t>
  </si>
  <si>
    <t>Vaishnavi Senate Bangalore</t>
  </si>
  <si>
    <t>RCHVAC/PO/25-26/5553</t>
  </si>
  <si>
    <t>Rao &amp; Co HVAC Sales &amp; Services Pvt Ltd</t>
  </si>
  <si>
    <t>Creditaccess Life Insurance Ltd Blr</t>
  </si>
  <si>
    <t>Porter</t>
  </si>
  <si>
    <t>-</t>
  </si>
  <si>
    <t>Plain Sheet</t>
  </si>
  <si>
    <t>KA2207/2025-26-21179</t>
  </si>
  <si>
    <t>Pai Tiffins Manipal</t>
  </si>
  <si>
    <t>Sree Durga Transport</t>
  </si>
  <si>
    <t>KA0142/2026-27-21190</t>
  </si>
  <si>
    <t>Yenepoya University Mangalore</t>
  </si>
  <si>
    <t>KA2674/2025-26-15032</t>
  </si>
  <si>
    <t>MSR Tech Park Bangalore</t>
  </si>
  <si>
    <t>KA0154/2026-27-63016</t>
  </si>
  <si>
    <t>Miracle Hospital Bangalore</t>
  </si>
  <si>
    <t>MH/0014/2026-27-16025</t>
  </si>
  <si>
    <t>MH</t>
  </si>
  <si>
    <t>BDR Hospital Pune</t>
  </si>
  <si>
    <t>Aircon Ref Pvt Ltd</t>
  </si>
  <si>
    <t>RV College Bangalore</t>
  </si>
  <si>
    <t>Insulation Flange</t>
  </si>
  <si>
    <t>VRL Logistics Ltd</t>
  </si>
  <si>
    <t>Allen Key Set</t>
  </si>
  <si>
    <t>Set</t>
  </si>
  <si>
    <t>Allen Key Set 12mm</t>
  </si>
  <si>
    <t>Allen Key Set 14mm</t>
  </si>
  <si>
    <t>Allen Key Set 16mm</t>
  </si>
  <si>
    <t>Tin Sheet Cutter</t>
  </si>
  <si>
    <t>Circlip Plier</t>
  </si>
  <si>
    <t>Hammer (300g)</t>
  </si>
  <si>
    <t>Bearing 6206</t>
  </si>
  <si>
    <t>Bearing CF188</t>
  </si>
  <si>
    <t>Swirl Ring</t>
  </si>
  <si>
    <t>Shield</t>
  </si>
  <si>
    <t>Retaining Cap</t>
  </si>
  <si>
    <t>Mask</t>
  </si>
  <si>
    <t>Spares DS Ventilation Unit</t>
  </si>
  <si>
    <t>Grill (10 Nos)</t>
  </si>
  <si>
    <t>Kg</t>
  </si>
  <si>
    <t>20mm PIR Sheet (40 Nos)</t>
  </si>
  <si>
    <t>KA0143/2026-27-72025</t>
  </si>
  <si>
    <t>Loyola ITI College Bangalore</t>
  </si>
  <si>
    <t>Loyala ITI College Bangalore</t>
  </si>
  <si>
    <t>Round Flange 760mm Dia</t>
  </si>
  <si>
    <t>Spigot 200mm Dia</t>
  </si>
  <si>
    <t xml:space="preserve">Quotation </t>
  </si>
  <si>
    <t>Taj Steels</t>
  </si>
  <si>
    <t>Customer Vehicle</t>
  </si>
  <si>
    <t xml:space="preserve">Taj Steels </t>
  </si>
  <si>
    <t>Alluminium Scrap</t>
  </si>
  <si>
    <t>18G Corners 32mm</t>
  </si>
  <si>
    <t>Techno Fabricators</t>
  </si>
  <si>
    <t>KL</t>
  </si>
  <si>
    <t>Route Me Hilte Kozhikode Keralam</t>
  </si>
  <si>
    <t>KA0192/2026-27-15029</t>
  </si>
  <si>
    <t>MAHE Lecture Hall Campus Bangalore</t>
  </si>
  <si>
    <t>Manipuram Kerala</t>
  </si>
  <si>
    <t>RCHVAC/PO/26-27/0153</t>
  </si>
  <si>
    <t>Bhagini Hotel Bangalore</t>
  </si>
  <si>
    <t>KA0282/2026-27-76105</t>
  </si>
  <si>
    <t>MSR Vaishnavi Union Bangalore</t>
  </si>
  <si>
    <t xml:space="preserve">Mail Confirmation </t>
  </si>
  <si>
    <t>Kool Koncepts</t>
  </si>
  <si>
    <t>Shilpa Ananya Tech Park Bangalore</t>
  </si>
  <si>
    <t>CG/0021/2025-26-16021</t>
  </si>
  <si>
    <t>CG</t>
  </si>
  <si>
    <t>Ginni Devi Goel Manipal Hospital Raipur</t>
  </si>
  <si>
    <t>May</t>
  </si>
  <si>
    <t>Box Duct with TDF (L-shape)</t>
  </si>
  <si>
    <t xml:space="preserve">KA </t>
  </si>
  <si>
    <t>KA2485/2024-25_1-15023</t>
  </si>
  <si>
    <t>SAP Labs India Pvt Ltd Bangalore</t>
  </si>
  <si>
    <t>WO-MH/0004/2026-27-16025</t>
  </si>
  <si>
    <t>WO-KA/0072/2026-27-15029</t>
  </si>
  <si>
    <t>WO-KA/0073/2026-27-15032</t>
  </si>
  <si>
    <t>CH/0013/2026-27-15033</t>
  </si>
  <si>
    <t>CH</t>
  </si>
  <si>
    <t>Infosys Chandigarh</t>
  </si>
  <si>
    <t>GSJ Logistics Pvt Ltd</t>
  </si>
  <si>
    <t>Plain Duct</t>
  </si>
  <si>
    <t>Pressure Testing of Ducts</t>
  </si>
  <si>
    <t>Mixing Box (595x595x350H)</t>
  </si>
  <si>
    <t>KA0352/2026-27-76126</t>
  </si>
  <si>
    <t>BMJH Jain Hospital Bangalore</t>
  </si>
  <si>
    <t>Mixing Box (450x450x350H)</t>
  </si>
  <si>
    <t>UP/0117/2025-26-16020</t>
  </si>
  <si>
    <t>UP</t>
  </si>
  <si>
    <t>TCS Noida Low Side SDB-1</t>
  </si>
  <si>
    <t>180gsm Slit 24G</t>
  </si>
  <si>
    <t>180gsm Slit 22G</t>
  </si>
  <si>
    <t>180gsm Slit 20G</t>
  </si>
  <si>
    <t>180gsm 20G</t>
  </si>
  <si>
    <t>KA1198/2025-26-15028</t>
  </si>
  <si>
    <t>Zentech Business Park Bangalore</t>
  </si>
  <si>
    <t>KA0372/2026-27-64023</t>
  </si>
  <si>
    <t>Round Flange 900mm Dia</t>
  </si>
  <si>
    <t>Round Flange 100mm Dia</t>
  </si>
  <si>
    <t>Threaded Rod (8mm X 2mtr)</t>
  </si>
  <si>
    <t>Magnetic Lifter (1000 Kgs Capacity)</t>
  </si>
  <si>
    <t>Hydra 5.0 SL (Industrial Vaccum Cleaner)</t>
  </si>
  <si>
    <t xml:space="preserve">Microtek UPS </t>
  </si>
  <si>
    <t>Press Tool Lblock Die</t>
  </si>
  <si>
    <t>Motherhood Hospital Sarjapura</t>
  </si>
  <si>
    <t>Mixing Box (500x150x300H)</t>
  </si>
  <si>
    <t>KA0376/2026-27-16014</t>
  </si>
  <si>
    <t>TN/0033/2026-27-16019</t>
  </si>
  <si>
    <t>TN</t>
  </si>
  <si>
    <t>AIIMS Hospital Madurai</t>
  </si>
  <si>
    <t>TN/0029/2026-27-64021</t>
  </si>
  <si>
    <t>Motherhood Hospital Coimbatore</t>
  </si>
  <si>
    <t>Corners</t>
  </si>
  <si>
    <t>Motherhood Hospital Coimabatore</t>
  </si>
  <si>
    <t>Insu Kflex Thermal 13mm Al. Foil</t>
  </si>
  <si>
    <t>KA0373/2026-27-13051</t>
  </si>
  <si>
    <t>Chanakya University HB-3A Bangalore</t>
  </si>
  <si>
    <t>Spiral Round Duct</t>
  </si>
  <si>
    <t>Round T Piece (150x150mm)</t>
  </si>
  <si>
    <r>
      <t>Round Elbow 90</t>
    </r>
    <r>
      <rPr>
        <sz val="11"/>
        <color theme="1"/>
        <rFont val="Calibri"/>
        <family val="2"/>
      </rPr>
      <t>°</t>
    </r>
    <r>
      <rPr>
        <sz val="11"/>
        <color theme="1"/>
        <rFont val="Calibri"/>
        <family val="2"/>
        <scheme val="minor"/>
      </rPr>
      <t xml:space="preserve"> (150mm Dia)</t>
    </r>
  </si>
  <si>
    <t>Round Flange</t>
  </si>
  <si>
    <t>ArmaComp Uniskin Tape(3mmX50)</t>
  </si>
  <si>
    <t>KA0374/2026-27-73009</t>
  </si>
  <si>
    <t>Yenepoya University Bangalore</t>
  </si>
  <si>
    <t>Yenopoya University Bangalore</t>
  </si>
  <si>
    <t>Round Duct</t>
  </si>
  <si>
    <t>Round Coupling</t>
  </si>
  <si>
    <t>Mixing Box (1000x150x300H)</t>
  </si>
  <si>
    <t>Mixing Box (300x300x300H)</t>
  </si>
  <si>
    <t>Mixing Box (375x375x300H)</t>
  </si>
  <si>
    <t>Spigot 150mm Dia</t>
  </si>
  <si>
    <t>KA0447/2026-27-62040</t>
  </si>
  <si>
    <t>Rajleela Ventures LLP Bangalore</t>
  </si>
  <si>
    <t>KA0459/2026-27-23006</t>
  </si>
  <si>
    <t>Central Market Mangalore</t>
  </si>
  <si>
    <t>KA0436/2026-27-23007</t>
  </si>
  <si>
    <t>Minto Hospital Bangalore</t>
  </si>
  <si>
    <t>KA0443/2026-27-23007</t>
  </si>
  <si>
    <t>Cheluvamba Hospital Mysore</t>
  </si>
  <si>
    <t>KA0434/2026-27-61120</t>
  </si>
  <si>
    <t>Torishima Pumps Pvt Ltd Hoskote</t>
  </si>
  <si>
    <t>Insu Supreme Thermal 13mm Glass Cloth</t>
  </si>
  <si>
    <t>Insu Supreme Thermal 19mm Glass Cloth</t>
  </si>
  <si>
    <t>HRD 363962757</t>
  </si>
  <si>
    <t>HRD 363962725</t>
  </si>
  <si>
    <t>HRD 363962619</t>
  </si>
  <si>
    <t>HRD 363962369</t>
  </si>
  <si>
    <t>HRD 363493020</t>
  </si>
  <si>
    <t>HRD 363493032</t>
  </si>
  <si>
    <t>HRD 363493108</t>
  </si>
  <si>
    <t>HRD 363493184</t>
  </si>
  <si>
    <t>HRD 363493295</t>
  </si>
  <si>
    <t>HRD 363493598</t>
  </si>
  <si>
    <t>HRD 363493424</t>
  </si>
  <si>
    <t>HRD 363493423</t>
  </si>
  <si>
    <t>HRD 363493459</t>
  </si>
  <si>
    <t>HRD 363493550</t>
  </si>
  <si>
    <t>HRD 363493780</t>
  </si>
  <si>
    <t>HRD 363493858</t>
  </si>
  <si>
    <t>HRD 363493875</t>
  </si>
  <si>
    <t>HRD 363492839</t>
  </si>
  <si>
    <t>HRD 363492779</t>
  </si>
  <si>
    <t>HRD 363492778</t>
  </si>
  <si>
    <t>HRD 363492738</t>
  </si>
  <si>
    <t>HRD 363492740</t>
  </si>
  <si>
    <t>HRD 363492361</t>
  </si>
  <si>
    <t>HRD 363492350</t>
  </si>
  <si>
    <t>HRD 363492349</t>
  </si>
  <si>
    <t>HRD 363492345</t>
  </si>
  <si>
    <t>HRD 363492346</t>
  </si>
  <si>
    <t>HRD 363492221</t>
  </si>
  <si>
    <t>HRD 363492220</t>
  </si>
  <si>
    <t>HRD 363492300</t>
  </si>
  <si>
    <t>HRD 363492231</t>
  </si>
  <si>
    <t>UP/0029/2026-27-16018</t>
  </si>
  <si>
    <t>Infosys Noida SDB-1</t>
  </si>
  <si>
    <t>Round Flange (450mm Dia)</t>
  </si>
  <si>
    <t>Round Flange 1100mm Dia</t>
  </si>
  <si>
    <t>Corners (20G - 32mm)</t>
  </si>
  <si>
    <t>Wood Hammer Stick</t>
  </si>
  <si>
    <t>KA0566/2026-27-13050</t>
  </si>
  <si>
    <t>RJ/0035/2026-27-11305</t>
  </si>
  <si>
    <t>RJ</t>
  </si>
  <si>
    <t>Manipal Health Enterprises Pvt Ltd Jaipur</t>
  </si>
  <si>
    <t>Benaka Cargo Movers</t>
  </si>
  <si>
    <t>KA0536/2026-27-16014</t>
  </si>
  <si>
    <t>June</t>
  </si>
  <si>
    <t>MAHE Hostel block-5 Bangalore</t>
  </si>
  <si>
    <t>Mixing Box (300x300x250Hx150mm Dia)</t>
  </si>
  <si>
    <t>Mixing Box (375x375x300Hx200mm Dia)</t>
  </si>
  <si>
    <t>Mixing Box (1000x150x250Hx150mm Dia)</t>
  </si>
  <si>
    <t>Mixing Box (1000x150x300Hx200mm Dia)</t>
  </si>
  <si>
    <t>Jun</t>
  </si>
  <si>
    <t>KA0537/2026-27-64022</t>
  </si>
  <si>
    <t>Mixing Box (300x300x300Hx200mm Dia)</t>
  </si>
  <si>
    <t>Mixing Box (375x375x350Hx250mm Dia)</t>
  </si>
  <si>
    <t>Mixing Box (450x450x400Hx300mm Dia)</t>
  </si>
  <si>
    <t>Mixing Box (1100x175x400Hx250mm Dia)</t>
  </si>
  <si>
    <t>WO-KA/0151/2026-27-15029</t>
  </si>
  <si>
    <t>WO-KA/0152/2026-27-16014</t>
  </si>
  <si>
    <t>WO-KA/0153/2026-27-64023</t>
  </si>
  <si>
    <t>WO-KA/0154/2026-27-13051</t>
  </si>
  <si>
    <t>WO-KA/0155/2026-27-23006</t>
  </si>
  <si>
    <t>WO-KA/0156/2026-27-23007</t>
  </si>
  <si>
    <t>WO-TN/0004/2026-27-16019</t>
  </si>
  <si>
    <t>WO-TN/0005/2026-27-64021</t>
  </si>
  <si>
    <t>WO-UP/0012/2026-27-16018</t>
  </si>
  <si>
    <t>KA0583/2026-27-16008</t>
  </si>
  <si>
    <t>Schneider Electric Bangalore</t>
  </si>
  <si>
    <t>KA0584/2026-27-23007</t>
  </si>
  <si>
    <t>Sanjay Gandhi Hospital Bangalore</t>
  </si>
  <si>
    <t>KA0535/2026-27-23007</t>
  </si>
  <si>
    <t>Mallegowda District Hospital Chikkamagaluru</t>
  </si>
  <si>
    <t>KA0619/2026-27-12034</t>
  </si>
  <si>
    <t>Mixing Box (450x450x350Hx250mm Dia)</t>
  </si>
  <si>
    <t>Mixing Box (1300x175x400Hx250mm Dia)</t>
  </si>
  <si>
    <r>
      <t>Round Elbow 90</t>
    </r>
    <r>
      <rPr>
        <sz val="11"/>
        <color theme="1"/>
        <rFont val="Calibri"/>
        <family val="2"/>
      </rPr>
      <t>°</t>
    </r>
    <r>
      <rPr>
        <sz val="11"/>
        <color theme="1"/>
        <rFont val="Calibri"/>
        <family val="2"/>
        <scheme val="minor"/>
      </rPr>
      <t xml:space="preserve"> (200mm Dia)</t>
    </r>
  </si>
  <si>
    <t>Round Collar 150 Dia</t>
  </si>
  <si>
    <t>Round Collar 200 Dia</t>
  </si>
  <si>
    <t>Round T Piece (200x150mm)</t>
  </si>
  <si>
    <t>Round T Piece (250x150mm)</t>
  </si>
  <si>
    <t>Round Reducer (200x150mm)</t>
  </si>
  <si>
    <t>Round Reducer (250x200mm)</t>
  </si>
  <si>
    <r>
      <t>Round Elbow 90</t>
    </r>
    <r>
      <rPr>
        <sz val="11"/>
        <color theme="1"/>
        <rFont val="Calibri"/>
        <family val="2"/>
      </rPr>
      <t>°</t>
    </r>
    <r>
      <rPr>
        <sz val="11"/>
        <color theme="1"/>
        <rFont val="Calibri"/>
        <family val="2"/>
        <scheme val="minor"/>
      </rPr>
      <t xml:space="preserve"> (250mm Dia)</t>
    </r>
  </si>
  <si>
    <t xml:space="preserve">Thalasseri Hotel &amp; Kannur Kerala </t>
  </si>
  <si>
    <t>Round Collar 250 Dia</t>
  </si>
  <si>
    <t>Round Collar 300 Dia</t>
  </si>
  <si>
    <t>KA0620/2026-27-13042</t>
  </si>
  <si>
    <t>Infosys Bangalore B-3,4&amp;5</t>
  </si>
  <si>
    <t>KA3138/2025-26-23005</t>
  </si>
  <si>
    <t>Rajeev Gandhi Hospital Bangalore</t>
  </si>
  <si>
    <t>Eqube Energy &amp; Research Services LLP</t>
  </si>
  <si>
    <t>Gold Hill Excelsior Bangalore</t>
  </si>
  <si>
    <t>KA0582/2026-27-15028</t>
  </si>
  <si>
    <t>Offer Confirmatiion/CD/0012/2026-27</t>
  </si>
  <si>
    <t>Mixing Box (600x100x350H)</t>
  </si>
  <si>
    <t>Mixing Box (600x150x350H)</t>
  </si>
  <si>
    <t>Mixing Box (600x200x350H)</t>
  </si>
  <si>
    <t>Mixing Box (1000x150x350H)</t>
  </si>
  <si>
    <t>Mixing Box (450x450x350Hx300mm Dia)</t>
  </si>
  <si>
    <t>Spigot 300mm Dia</t>
  </si>
  <si>
    <t>KA3337/2025-26_1-64022</t>
  </si>
  <si>
    <t>TS/0157/2026-27-16012</t>
  </si>
  <si>
    <t>TS</t>
  </si>
  <si>
    <t>Infosys SDB-8 Hyderabad</t>
  </si>
  <si>
    <t>MH/0032/2026-27-16025</t>
  </si>
  <si>
    <t>Round Flange 800mm Dia</t>
  </si>
  <si>
    <t>TN/0033/2026-27_1-16019</t>
  </si>
  <si>
    <t>UP/0060/2026-27-16018</t>
  </si>
  <si>
    <t>Power Press Machine (5 Ton Capacity)</t>
  </si>
  <si>
    <t>Grooving Machine</t>
  </si>
  <si>
    <t>Oval Pinching Machine</t>
  </si>
  <si>
    <t>Hose Pipe (PVC-5Mtr)</t>
  </si>
  <si>
    <t>MS Channel (Size-250*150mm)</t>
  </si>
  <si>
    <t>Kgs</t>
  </si>
  <si>
    <t>KA0536/2026-27_1-16014</t>
  </si>
  <si>
    <t>KA0622/2026-27-76140</t>
  </si>
  <si>
    <t>Wipro Kodathi Bangalore</t>
  </si>
  <si>
    <t>KA0762/2026-27-13053</t>
  </si>
  <si>
    <t>Mixing Box (400x400x350Hx250mm Dia)</t>
  </si>
  <si>
    <r>
      <t>Round Elbow 45</t>
    </r>
    <r>
      <rPr>
        <sz val="11"/>
        <color theme="1"/>
        <rFont val="Calibri"/>
        <family val="2"/>
      </rPr>
      <t>°</t>
    </r>
    <r>
      <rPr>
        <sz val="11"/>
        <color theme="1"/>
        <rFont val="Calibri"/>
        <family val="2"/>
        <scheme val="minor"/>
      </rPr>
      <t xml:space="preserve"> (200mm Dia)</t>
    </r>
  </si>
  <si>
    <t>Wipro Doddaballapura</t>
  </si>
  <si>
    <t>KA0787/2026-27-64022</t>
  </si>
  <si>
    <t>KA0783/2026-27-76159</t>
  </si>
  <si>
    <t>KA0494/2026-27-61123</t>
  </si>
  <si>
    <t>Techsheela Manipal</t>
  </si>
  <si>
    <t>KA0621/2026-27-21198</t>
  </si>
  <si>
    <t xml:space="preserve">Manipal Cafe </t>
  </si>
  <si>
    <t>Seminar Hall SSBCH Manipal</t>
  </si>
  <si>
    <t>KA0830/2026-27-13053</t>
  </si>
  <si>
    <t>KA0780/2026-27-23007</t>
  </si>
  <si>
    <t>District New Hospital Madikeri</t>
  </si>
  <si>
    <t>KA0839/2026-27-64023</t>
  </si>
  <si>
    <t>(150mm Dia x 50mm Thick)</t>
  </si>
  <si>
    <t>(100mm Dia x 50mm Thick)</t>
  </si>
  <si>
    <t>24G GI Pre-Insulated MS Pipes</t>
  </si>
  <si>
    <t>Insu Kflex Thermal 25mm Al. Foil</t>
  </si>
  <si>
    <t>Akshaya Motors</t>
  </si>
  <si>
    <t>CG/0027/2026-27-16021</t>
  </si>
  <si>
    <t>July</t>
  </si>
  <si>
    <t>Jul</t>
  </si>
  <si>
    <t>EQ/25-26/006</t>
  </si>
  <si>
    <t>Eqube Internal Project</t>
  </si>
  <si>
    <t>Mixing Box (600x150x350Hx250mm Dia)</t>
  </si>
  <si>
    <t>Mixing Box (300x100x350Hx250mm Dia)</t>
  </si>
  <si>
    <t>Spigot 250mm Dia</t>
  </si>
  <si>
    <t>KA0620/2026-27_1-13042</t>
  </si>
  <si>
    <t>WO-TN/0010/2026-27-16019</t>
  </si>
  <si>
    <t>WO-MH/0011/2026-27-16025</t>
  </si>
  <si>
    <t xml:space="preserve"> WO-KA/0254/2026-27-15029</t>
  </si>
  <si>
    <t>WO-KA/0255/2026-27-16014</t>
  </si>
  <si>
    <t>WO-KA/0256/2026-27-15028</t>
  </si>
  <si>
    <t>WO-KA/0257/2026-27-64023</t>
  </si>
  <si>
    <t>WO-KA/0258/2026-27-13051</t>
  </si>
  <si>
    <t>WO-KA/0260/2026-27-13050</t>
  </si>
  <si>
    <t>WO-KA/0259/2026-27-23007</t>
  </si>
  <si>
    <t>Jayadeva Institute of Cardiovas Science</t>
  </si>
  <si>
    <t>WO-KA/0261/2026-27-16008</t>
  </si>
  <si>
    <t>WO-KA/0262/2026-27-12034</t>
  </si>
  <si>
    <t>WO-KA/0263/2026-27-13053</t>
  </si>
  <si>
    <t>(125mm Dia x 50mm Thick)</t>
  </si>
  <si>
    <t>(80mm Dia x 50mm Thick)</t>
  </si>
  <si>
    <t>(40mm Dia x 50mm Thick)</t>
  </si>
  <si>
    <t>(32mm Dia x 50mm Thick)</t>
  </si>
  <si>
    <t>KA2674/2025-26_1-15032</t>
  </si>
  <si>
    <t>KA0889/2026-27-63017</t>
  </si>
  <si>
    <t>MHEPL Mangalore</t>
  </si>
  <si>
    <t>CG/0027/2026-27_1-16021</t>
  </si>
  <si>
    <t>Mixing Box (1500x150x350Hx200mm Dia)</t>
  </si>
  <si>
    <t>Mixing Box (2000x150x350Hx200mm Dia)</t>
  </si>
  <si>
    <t>AP/0014/2026-27-15035</t>
  </si>
  <si>
    <t>AP</t>
  </si>
  <si>
    <t>Premier Energies Naidupeta</t>
  </si>
  <si>
    <t>Insu Aerolama Thermal 25mm</t>
  </si>
  <si>
    <t>Insu Aerolama Thermal 32mm</t>
  </si>
  <si>
    <t>Wipro Doddaballapura (Pre-Insu Pipe)</t>
  </si>
  <si>
    <t>(200mm Dia x 50mm Thick)</t>
  </si>
  <si>
    <t>Round Reducer (300x200mm)</t>
  </si>
  <si>
    <r>
      <t>Round Elbow 45</t>
    </r>
    <r>
      <rPr>
        <sz val="11"/>
        <color theme="1"/>
        <rFont val="Calibri"/>
        <family val="2"/>
      </rPr>
      <t>°</t>
    </r>
    <r>
      <rPr>
        <sz val="11"/>
        <color theme="1"/>
        <rFont val="Calibri"/>
        <family val="2"/>
        <scheme val="minor"/>
      </rPr>
      <t xml:space="preserve"> (250mm Dia)</t>
    </r>
  </si>
  <si>
    <t>Round offset (200mm)</t>
  </si>
  <si>
    <t>TN/0033/2026-27_2-16019</t>
  </si>
  <si>
    <t>KA0830/2026-27_1-13053</t>
  </si>
  <si>
    <t>#PO/LF/0017-2026</t>
  </si>
  <si>
    <t xml:space="preserve">Navitas Chennai </t>
  </si>
  <si>
    <t>(65mm Dia x 50mm Thick)</t>
  </si>
  <si>
    <t>Navitas Chennai</t>
  </si>
  <si>
    <t>Mixing Box (750x150x350Hx250mm Dia)</t>
  </si>
  <si>
    <t>KA1006/2026-27-64025</t>
  </si>
  <si>
    <t>SVG Hotel Bommasandra</t>
  </si>
  <si>
    <t>KA0960/2026-27-16008</t>
  </si>
  <si>
    <t>MH/0032/2026-27_2-16025</t>
  </si>
  <si>
    <t>KA1028/2026-27-62042</t>
  </si>
  <si>
    <t>Kare Well Hospital Bangalore</t>
  </si>
  <si>
    <t>Box Duct with S&amp;C</t>
  </si>
  <si>
    <t>KA1072/2026-27-76155</t>
  </si>
  <si>
    <t>Infosys Bangalore B-38</t>
  </si>
  <si>
    <t>Offer Confirmation/CD/0023/2026-27</t>
  </si>
  <si>
    <t>R Mech Breeze</t>
  </si>
  <si>
    <t>Global Mall Bengaluru</t>
  </si>
  <si>
    <t>Mixing Box (1200x150x400Hx250mm Dia)</t>
  </si>
  <si>
    <t>Plain Sheet (Washer)</t>
  </si>
  <si>
    <t>Thermobreak (50mmx50Mtr)</t>
  </si>
  <si>
    <t>Corners (18G - 32mm)</t>
  </si>
  <si>
    <t>Mixing Box (800x150x300H)</t>
  </si>
  <si>
    <t>KA0376/2026-27_1-16014</t>
  </si>
  <si>
    <t>Plain Sheet (150 x 150mm)</t>
  </si>
  <si>
    <t>KA0946/2026-27-15034</t>
  </si>
  <si>
    <t>BLDE Campus Vijayapura</t>
  </si>
  <si>
    <t>KA1075/2026-27-23006</t>
  </si>
  <si>
    <t>Mixing Box (600x250x300Hx200mm)</t>
  </si>
  <si>
    <t>Mixing Box (600x200x300Hx150mm)</t>
  </si>
  <si>
    <t>Mixing Box (600x150x300Hx200mm)</t>
  </si>
  <si>
    <t>AIIMs Hospital Madurai</t>
  </si>
  <si>
    <t>KA1076/2026-27-63019</t>
  </si>
  <si>
    <t>KSSEM Auditorium Bangalore</t>
  </si>
  <si>
    <t>KA1132/2026-27-14017</t>
  </si>
  <si>
    <t>White Oak Bangalore</t>
  </si>
  <si>
    <t>Insu Kflex Thermal 9mm Al. Foil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</si>
</sst>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 #,##0.00_ ;_ * \-#,##0.00_ ;_ * &quot;-&quot;??_ ;_ @_ "/>
    <numFmt numFmtId="164" formatCode="0.0%"/>
    <numFmt numFmtId="165" formatCode="m/d/yyyy;@"/>
    <numFmt numFmtId="166" formatCode="0.0"/>
    <numFmt numFmtId="167" formatCode="_(* #,##0_);_(* \(#,##0\);_(* &quot;-&quot;??_);_(@_)"/>
    <numFmt numFmtId="168" formatCode="_ * #,##0_ ;_ * \-#,##0_ ;_ * &quot;-&quot;??_ ;_ @_ "/>
    <numFmt numFmtId="169" formatCode="0.000"/>
    <numFmt numFmtId="170" formatCode="_ * #,##0.000_ ;_ * \-#,##0.000_ ;_ * &quot;-&quot;???_ ;_ @_ "/>
    <numFmt numFmtId="171" formatCode="_ * #,##0.0000_ ;_ * \-#,##0.0000_ ;_ * &quot;-&quot;??_ ;_ @_ "/>
    <numFmt numFmtId="172" formatCode="_ * #,##0.000_ ;_ * \-#,##0.000_ ;_ * &quot;-&quot;??_ ;_ @_ "/>
    <numFmt numFmtId="173" formatCode="0.0000"/>
    <numFmt numFmtId="174" formatCode="_ * #,##0.00000_ ;_ * \-#,##0.00000_ ;_ * &quot;-&quot;??_ ;_ @_ "/>
    <numFmt numFmtId="175" formatCode="_ * #,##0.0_ ;_ * \-#,##0.0_ ;_ * &quot;-&quot;??_ ;_ @_ "/>
    <numFmt numFmtId="176" formatCode="0.00000"/>
    <numFmt numFmtId="177" formatCode="_ * #,##0.00000_ ;_ * \-#,##0.00000_ ;_ * &quot;-&quot;?????_ ;_ @_ "/>
    <numFmt numFmtId="178" formatCode="_ * #,##0.000000_ ;_ * \-#,##0.000000_ ;_ * &quot;-&quot;??_ ;_ @_ "/>
    <numFmt numFmtId="179" formatCode="0.0000000"/>
    <numFmt numFmtId="180" formatCode="_ * #,##0.00000000_ ;_ * \-#,##0.00000000_ ;_ * &quot;-&quot;??_ ;_ @_ "/>
  </numFmts>
  <fonts count="20"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1"/>
      <name val="Calibri Light"/>
      <family val="2"/>
    </font>
    <font>
      <b/>
      <sz val="12"/>
      <color theme="0"/>
      <name val="Calibri"/>
      <family val="2"/>
    </font>
    <font>
      <b/>
      <sz val="11"/>
      <color theme="1"/>
      <name val="Calibri Light"/>
      <family val="2"/>
    </font>
    <font>
      <sz val="16"/>
      <color theme="0"/>
      <name val="Britannic Bold"/>
      <family val="2"/>
    </font>
    <font>
      <sz val="11"/>
      <color theme="1"/>
      <name val="Calibri"/>
      <family val="2"/>
    </font>
    <font>
      <b/>
      <sz val="12"/>
      <color theme="1"/>
      <name val="Calibri"/>
      <family val="2"/>
      <scheme val="minor"/>
    </font>
    <font>
      <sz val="12"/>
      <color theme="1"/>
      <name val="Calibri"/>
      <family val="2"/>
      <scheme val="minor"/>
    </font>
    <font>
      <b/>
      <sz val="12"/>
      <color theme="1" tint="4.9989318521683403E-2"/>
      <name val="Calibri"/>
      <family val="2"/>
      <scheme val="minor"/>
    </font>
    <font>
      <b/>
      <sz val="12"/>
      <color theme="0"/>
      <name val="Calibri"/>
      <family val="2"/>
      <scheme val="minor"/>
    </font>
    <font>
      <sz val="11"/>
      <color rgb="FFFF0000"/>
      <name val="Calibri"/>
      <family val="2"/>
      <scheme val="minor"/>
    </font>
    <font>
      <b/>
      <sz val="11"/>
      <color theme="9" tint="0.59999389629810485"/>
      <name val="Calibri"/>
      <family val="2"/>
      <scheme val="minor"/>
    </font>
    <font>
      <b/>
      <sz val="11"/>
      <color theme="9" tint="0.59999389629810485"/>
      <name val="Calibri Light"/>
      <family val="2"/>
    </font>
    <font>
      <sz val="11"/>
      <color theme="9" tint="0.59999389629810485"/>
      <name val="Calibri Light"/>
      <family val="2"/>
    </font>
    <font>
      <sz val="11"/>
      <name val="Calibri"/>
      <family val="2"/>
      <scheme val="minor"/>
    </font>
    <font>
      <b/>
      <sz val="11"/>
      <color rgb="FFFF0000"/>
      <name val="Calibri"/>
      <family val="2"/>
      <scheme val="minor"/>
    </font>
    <font>
      <sz val="11"/>
      <color rgb="FF242424"/>
      <name val="Aptos Narrow"/>
      <family val="2"/>
    </font>
  </fonts>
  <fills count="15">
    <fill>
      <patternFill patternType="none"/>
    </fill>
    <fill>
      <patternFill patternType="gray125"/>
    </fill>
    <fill>
      <patternFill patternType="solid">
        <fgColor rgb="FF00B0F0"/>
        <bgColor indexed="64"/>
      </patternFill>
    </fill>
    <fill>
      <patternFill patternType="solid">
        <fgColor rgb="FF002060"/>
        <bgColor indexed="64"/>
      </patternFill>
    </fill>
    <fill>
      <patternFill patternType="solid">
        <fgColor rgb="FF00B05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9" tint="0.79998168889431442"/>
        <bgColor indexed="64"/>
      </patternFill>
    </fill>
  </fills>
  <borders count="18">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58">
    <xf numFmtId="0" fontId="0" fillId="0" borderId="0" xfId="0"/>
    <xf numFmtId="0" fontId="4" fillId="0" borderId="0" xfId="0" applyFont="1" applyAlignment="1">
      <alignment horizontal="center" vertical="center"/>
    </xf>
    <xf numFmtId="0" fontId="4" fillId="0" borderId="0" xfId="0" applyFont="1" applyAlignment="1">
      <alignment horizontal="left" vertical="center"/>
    </xf>
    <xf numFmtId="3" fontId="5" fillId="2" borderId="0" xfId="0" applyNumberFormat="1" applyFont="1" applyFill="1" applyAlignment="1">
      <alignment horizontal="center"/>
    </xf>
    <xf numFmtId="0" fontId="4" fillId="0" borderId="0" xfId="0" applyFont="1" applyAlignment="1">
      <alignment horizontal="left"/>
    </xf>
    <xf numFmtId="0" fontId="4" fillId="0" borderId="0" xfId="0" applyFont="1" applyAlignment="1">
      <alignment horizontal="center"/>
    </xf>
    <xf numFmtId="0" fontId="4" fillId="0" borderId="0" xfId="0" applyFont="1" applyAlignment="1" applyProtection="1">
      <alignment horizontal="left" vertical="center"/>
      <protection locked="0"/>
    </xf>
    <xf numFmtId="0" fontId="4" fillId="0" borderId="0" xfId="0" applyFont="1" applyAlignment="1" applyProtection="1">
      <alignment horizontal="center" vertical="center"/>
      <protection locked="0"/>
    </xf>
    <xf numFmtId="0" fontId="4" fillId="0" borderId="0" xfId="0" applyFont="1" applyAlignment="1" applyProtection="1">
      <alignment horizontal="center"/>
      <protection locked="0"/>
    </xf>
    <xf numFmtId="166" fontId="4" fillId="0" borderId="0" xfId="0" applyNumberFormat="1" applyFont="1" applyAlignment="1" applyProtection="1">
      <alignment horizontal="center"/>
      <protection locked="0"/>
    </xf>
    <xf numFmtId="1" fontId="4" fillId="0" borderId="0" xfId="0" applyNumberFormat="1" applyFont="1" applyAlignment="1" applyProtection="1">
      <alignment horizontal="center"/>
      <protection locked="0"/>
    </xf>
    <xf numFmtId="0" fontId="4" fillId="0" borderId="1" xfId="0" applyFont="1" applyBorder="1" applyAlignment="1">
      <alignment horizontal="center"/>
    </xf>
    <xf numFmtId="9" fontId="4" fillId="0" borderId="2" xfId="1" applyFont="1" applyBorder="1" applyAlignment="1">
      <alignment horizontal="center"/>
    </xf>
    <xf numFmtId="0" fontId="4" fillId="0" borderId="0" xfId="0" applyFont="1" applyAlignment="1" applyProtection="1">
      <alignment horizontal="left"/>
      <protection locked="0"/>
    </xf>
    <xf numFmtId="1" fontId="6" fillId="0" borderId="0" xfId="0" applyNumberFormat="1" applyFont="1" applyAlignment="1" applyProtection="1">
      <alignment horizontal="center"/>
      <protection locked="0"/>
    </xf>
    <xf numFmtId="0" fontId="0" fillId="0" borderId="0" xfId="0" applyAlignment="1">
      <alignment horizontal="center"/>
    </xf>
    <xf numFmtId="0" fontId="3" fillId="0" borderId="0" xfId="0" pivotButton="1" applyFont="1"/>
    <xf numFmtId="0" fontId="0" fillId="0" borderId="0" xfId="0" applyAlignment="1" applyProtection="1">
      <alignment horizontal="left" vertical="center"/>
      <protection locked="0"/>
    </xf>
    <xf numFmtId="0" fontId="0" fillId="0" borderId="0" xfId="0" applyAlignment="1" applyProtection="1">
      <alignment horizontal="center" vertical="center"/>
      <protection locked="0"/>
    </xf>
    <xf numFmtId="0" fontId="0" fillId="0" borderId="0" xfId="0" applyAlignment="1" applyProtection="1">
      <alignment horizontal="center"/>
      <protection locked="0"/>
    </xf>
    <xf numFmtId="166" fontId="0" fillId="0" borderId="0" xfId="0" applyNumberFormat="1" applyAlignment="1" applyProtection="1">
      <alignment horizontal="center"/>
      <protection locked="0"/>
    </xf>
    <xf numFmtId="0" fontId="0" fillId="0" borderId="1" xfId="0" applyBorder="1" applyAlignment="1">
      <alignment horizontal="center"/>
    </xf>
    <xf numFmtId="9" fontId="0" fillId="0" borderId="2" xfId="1" applyFont="1" applyBorder="1" applyAlignment="1">
      <alignment horizontal="center"/>
    </xf>
    <xf numFmtId="0" fontId="0" fillId="0" borderId="0" xfId="0" applyAlignment="1" applyProtection="1">
      <alignment horizontal="left"/>
      <protection locked="0"/>
    </xf>
    <xf numFmtId="0" fontId="2" fillId="5" borderId="5" xfId="0" applyFont="1" applyFill="1" applyBorder="1" applyAlignment="1">
      <alignment vertical="center"/>
    </xf>
    <xf numFmtId="0" fontId="2" fillId="5" borderId="5" xfId="0" applyFont="1" applyFill="1" applyBorder="1" applyAlignment="1">
      <alignment horizontal="left" vertical="center"/>
    </xf>
    <xf numFmtId="0" fontId="2" fillId="4" borderId="5" xfId="0" applyFont="1" applyFill="1" applyBorder="1" applyAlignment="1">
      <alignment horizontal="left" vertical="center"/>
    </xf>
    <xf numFmtId="0" fontId="2" fillId="4" borderId="5" xfId="0" applyFont="1" applyFill="1" applyBorder="1" applyAlignment="1">
      <alignment horizontal="center" vertical="center"/>
    </xf>
    <xf numFmtId="0" fontId="2" fillId="4" borderId="5" xfId="0" applyFont="1" applyFill="1" applyBorder="1" applyAlignment="1">
      <alignment vertical="center"/>
    </xf>
    <xf numFmtId="0" fontId="2" fillId="5" borderId="5" xfId="0" applyFont="1" applyFill="1" applyBorder="1" applyAlignment="1">
      <alignment horizontal="left"/>
    </xf>
    <xf numFmtId="0" fontId="2" fillId="5" borderId="5" xfId="0" applyFont="1" applyFill="1" applyBorder="1" applyAlignment="1">
      <alignment horizontal="center"/>
    </xf>
    <xf numFmtId="165" fontId="0" fillId="0" borderId="0" xfId="0" applyNumberFormat="1" applyAlignment="1" applyProtection="1">
      <alignment horizontal="center" vertical="center"/>
      <protection locked="0"/>
    </xf>
    <xf numFmtId="14" fontId="0" fillId="0" borderId="0" xfId="0" applyNumberFormat="1" applyAlignment="1" applyProtection="1">
      <alignment horizontal="center" vertical="center"/>
      <protection locked="0"/>
    </xf>
    <xf numFmtId="14" fontId="0" fillId="0" borderId="0" xfId="0" applyNumberFormat="1" applyAlignment="1">
      <alignment horizontal="center"/>
    </xf>
    <xf numFmtId="0" fontId="2" fillId="4" borderId="6" xfId="0" applyFont="1" applyFill="1" applyBorder="1" applyAlignment="1">
      <alignment horizontal="left" vertical="center"/>
    </xf>
    <xf numFmtId="0" fontId="0" fillId="0" borderId="2" xfId="0" applyBorder="1" applyAlignment="1">
      <alignment horizontal="center"/>
    </xf>
    <xf numFmtId="0" fontId="2" fillId="4" borderId="8" xfId="0" applyFont="1" applyFill="1" applyBorder="1" applyAlignment="1">
      <alignment horizontal="left" vertical="center"/>
    </xf>
    <xf numFmtId="0" fontId="4" fillId="0" borderId="2" xfId="0" applyFont="1" applyBorder="1" applyAlignment="1">
      <alignment horizontal="center"/>
    </xf>
    <xf numFmtId="0" fontId="4" fillId="0" borderId="3" xfId="0" applyFont="1" applyBorder="1" applyAlignment="1">
      <alignment horizontal="center"/>
    </xf>
    <xf numFmtId="0" fontId="4" fillId="0" borderId="7" xfId="0" applyFont="1" applyBorder="1" applyAlignment="1">
      <alignment horizontal="center"/>
    </xf>
    <xf numFmtId="0" fontId="0" fillId="0" borderId="0" xfId="0" pivotButton="1"/>
    <xf numFmtId="3" fontId="5" fillId="3" borderId="0" xfId="0" applyNumberFormat="1" applyFont="1" applyFill="1" applyAlignment="1">
      <alignment horizontal="center"/>
    </xf>
    <xf numFmtId="164" fontId="5" fillId="3" borderId="0" xfId="0" applyNumberFormat="1" applyFont="1" applyFill="1" applyAlignment="1">
      <alignment horizontal="center"/>
    </xf>
    <xf numFmtId="0" fontId="8" fillId="0" borderId="0" xfId="0" applyFont="1" applyAlignment="1" applyProtection="1">
      <alignment horizontal="center"/>
      <protection locked="0"/>
    </xf>
    <xf numFmtId="1" fontId="3" fillId="0" borderId="0" xfId="0" applyNumberFormat="1" applyFont="1" applyAlignment="1" applyProtection="1">
      <alignment horizontal="left"/>
      <protection locked="0"/>
    </xf>
    <xf numFmtId="0" fontId="0" fillId="0" borderId="0" xfId="0" quotePrefix="1" applyAlignment="1" applyProtection="1">
      <alignment horizontal="left" vertical="center"/>
      <protection locked="0"/>
    </xf>
    <xf numFmtId="0" fontId="0" fillId="0" borderId="0" xfId="0" applyAlignment="1">
      <alignment horizontal="left"/>
    </xf>
    <xf numFmtId="168" fontId="3" fillId="8" borderId="0" xfId="2" applyNumberFormat="1" applyFont="1" applyFill="1" applyAlignment="1" applyProtection="1">
      <alignment horizontal="left"/>
      <protection locked="0"/>
    </xf>
    <xf numFmtId="43" fontId="0" fillId="0" borderId="0" xfId="2" applyFont="1" applyBorder="1" applyAlignment="1">
      <alignment horizontal="center" vertical="top"/>
    </xf>
    <xf numFmtId="0" fontId="0" fillId="0" borderId="0" xfId="0" applyProtection="1">
      <protection locked="0"/>
    </xf>
    <xf numFmtId="0" fontId="0" fillId="0" borderId="10" xfId="0" applyBorder="1" applyAlignment="1">
      <alignment horizontal="center"/>
    </xf>
    <xf numFmtId="0" fontId="3" fillId="0" borderId="0" xfId="0" applyFont="1" applyAlignment="1">
      <alignment horizontal="center" vertical="top"/>
    </xf>
    <xf numFmtId="49" fontId="0" fillId="0" borderId="0" xfId="0" applyNumberFormat="1" applyAlignment="1">
      <alignment horizontal="center" vertical="top"/>
    </xf>
    <xf numFmtId="43" fontId="0" fillId="0" borderId="0" xfId="2" applyFont="1" applyFill="1" applyBorder="1" applyAlignment="1">
      <alignment horizontal="center" vertical="top"/>
    </xf>
    <xf numFmtId="2" fontId="0" fillId="0" borderId="0" xfId="0" applyNumberFormat="1"/>
    <xf numFmtId="2" fontId="0" fillId="0" borderId="0" xfId="0" applyNumberFormat="1" applyAlignment="1">
      <alignment horizontal="center"/>
    </xf>
    <xf numFmtId="0" fontId="3" fillId="4" borderId="9" xfId="0" applyFont="1" applyFill="1" applyBorder="1" applyAlignment="1">
      <alignment horizontal="center" vertical="center" wrapText="1"/>
    </xf>
    <xf numFmtId="0" fontId="3" fillId="4" borderId="9" xfId="0" applyFont="1" applyFill="1" applyBorder="1" applyAlignment="1">
      <alignment horizontal="center" wrapText="1"/>
    </xf>
    <xf numFmtId="0" fontId="0" fillId="0" borderId="0" xfId="0" applyAlignment="1">
      <alignment wrapText="1"/>
    </xf>
    <xf numFmtId="43" fontId="0" fillId="0" borderId="0" xfId="0" applyNumberFormat="1"/>
    <xf numFmtId="0" fontId="3" fillId="0" borderId="0" xfId="0" applyFont="1" applyAlignment="1">
      <alignment horizontal="center"/>
    </xf>
    <xf numFmtId="166" fontId="0" fillId="0" borderId="0" xfId="0" applyNumberFormat="1"/>
    <xf numFmtId="43" fontId="0" fillId="0" borderId="0" xfId="2" applyFont="1"/>
    <xf numFmtId="0" fontId="9" fillId="6" borderId="9" xfId="0" applyFont="1" applyFill="1" applyBorder="1" applyAlignment="1">
      <alignment horizontal="center"/>
    </xf>
    <xf numFmtId="0" fontId="0" fillId="0" borderId="0" xfId="0" applyAlignment="1">
      <alignment horizontal="center" vertical="top"/>
    </xf>
    <xf numFmtId="168" fontId="11" fillId="10" borderId="9" xfId="0" applyNumberFormat="1" applyFont="1" applyFill="1" applyBorder="1" applyAlignment="1">
      <alignment horizontal="center"/>
    </xf>
    <xf numFmtId="169" fontId="0" fillId="0" borderId="0" xfId="0" applyNumberFormat="1"/>
    <xf numFmtId="166" fontId="0" fillId="0" borderId="0" xfId="0" applyNumberFormat="1" applyAlignment="1">
      <alignment horizontal="center"/>
    </xf>
    <xf numFmtId="170" fontId="0" fillId="0" borderId="0" xfId="0" applyNumberFormat="1"/>
    <xf numFmtId="171" fontId="0" fillId="0" borderId="0" xfId="0" applyNumberFormat="1"/>
    <xf numFmtId="43" fontId="0" fillId="0" borderId="0" xfId="2" applyFont="1" applyFill="1" applyBorder="1"/>
    <xf numFmtId="172" fontId="0" fillId="0" borderId="0" xfId="0" applyNumberFormat="1"/>
    <xf numFmtId="168" fontId="0" fillId="0" borderId="0" xfId="0" applyNumberFormat="1"/>
    <xf numFmtId="168" fontId="11" fillId="7" borderId="9" xfId="0" applyNumberFormat="1" applyFont="1" applyFill="1" applyBorder="1" applyAlignment="1">
      <alignment horizontal="center"/>
    </xf>
    <xf numFmtId="0" fontId="0" fillId="0" borderId="0" xfId="0" quotePrefix="1" applyAlignment="1" applyProtection="1">
      <alignment horizontal="center"/>
      <protection locked="0"/>
    </xf>
    <xf numFmtId="173" fontId="0" fillId="0" borderId="0" xfId="0" applyNumberFormat="1"/>
    <xf numFmtId="0" fontId="13" fillId="0" borderId="0" xfId="0" applyFont="1" applyProtection="1">
      <protection locked="0"/>
    </xf>
    <xf numFmtId="0" fontId="3" fillId="0" borderId="0" xfId="0" applyFont="1" applyAlignment="1" applyProtection="1">
      <alignment horizontal="center" vertical="center"/>
      <protection locked="0"/>
    </xf>
    <xf numFmtId="43" fontId="0" fillId="0" borderId="0" xfId="2" applyFont="1" applyFill="1"/>
    <xf numFmtId="43" fontId="3" fillId="8" borderId="0" xfId="2" applyFont="1" applyFill="1" applyBorder="1" applyAlignment="1" applyProtection="1">
      <alignment horizontal="left"/>
      <protection locked="0"/>
    </xf>
    <xf numFmtId="43" fontId="3" fillId="8" borderId="0" xfId="2" applyFont="1" applyFill="1" applyAlignment="1" applyProtection="1">
      <alignment horizontal="left"/>
      <protection locked="0"/>
    </xf>
    <xf numFmtId="43" fontId="3" fillId="0" borderId="0" xfId="2" applyFont="1" applyFill="1" applyBorder="1" applyAlignment="1" applyProtection="1">
      <alignment horizontal="left"/>
      <protection locked="0"/>
    </xf>
    <xf numFmtId="43" fontId="3" fillId="0" borderId="0" xfId="2" applyFont="1" applyFill="1" applyAlignment="1" applyProtection="1">
      <alignment horizontal="left"/>
      <protection locked="0"/>
    </xf>
    <xf numFmtId="43" fontId="3" fillId="0" borderId="0" xfId="0" applyNumberFormat="1" applyFont="1" applyAlignment="1" applyProtection="1">
      <alignment horizontal="left"/>
      <protection locked="0"/>
    </xf>
    <xf numFmtId="43" fontId="3" fillId="0" borderId="0" xfId="0" applyNumberFormat="1" applyFont="1" applyAlignment="1" applyProtection="1">
      <alignment horizontal="center"/>
      <protection locked="0"/>
    </xf>
    <xf numFmtId="43" fontId="6" fillId="0" borderId="0" xfId="0" applyNumberFormat="1" applyFont="1" applyAlignment="1" applyProtection="1">
      <alignment horizontal="center"/>
      <protection locked="0"/>
    </xf>
    <xf numFmtId="43" fontId="4" fillId="0" borderId="0" xfId="0" applyNumberFormat="1" applyFont="1" applyAlignment="1" applyProtection="1">
      <alignment horizontal="center"/>
      <protection locked="0"/>
    </xf>
    <xf numFmtId="43" fontId="3" fillId="11" borderId="0" xfId="2" applyFont="1" applyFill="1" applyBorder="1" applyAlignment="1" applyProtection="1">
      <alignment horizontal="left"/>
      <protection locked="0"/>
    </xf>
    <xf numFmtId="1" fontId="14" fillId="11" borderId="0" xfId="0" applyNumberFormat="1" applyFont="1" applyFill="1" applyAlignment="1" applyProtection="1">
      <alignment horizontal="left"/>
      <protection locked="0"/>
    </xf>
    <xf numFmtId="1" fontId="15" fillId="11" borderId="0" xfId="0" applyNumberFormat="1" applyFont="1" applyFill="1" applyAlignment="1" applyProtection="1">
      <alignment horizontal="center"/>
      <protection locked="0"/>
    </xf>
    <xf numFmtId="1" fontId="16" fillId="11" borderId="0" xfId="0" applyNumberFormat="1" applyFont="1" applyFill="1" applyAlignment="1" applyProtection="1">
      <alignment horizontal="center"/>
      <protection locked="0"/>
    </xf>
    <xf numFmtId="0" fontId="0" fillId="0" borderId="11" xfId="0" pivotButton="1" applyBorder="1" applyAlignment="1">
      <alignment horizontal="center" vertical="center"/>
    </xf>
    <xf numFmtId="0" fontId="0" fillId="0" borderId="12" xfId="0" applyBorder="1" applyAlignment="1">
      <alignment horizontal="center" vertical="center"/>
    </xf>
    <xf numFmtId="0" fontId="0" fillId="12" borderId="11" xfId="0" applyFill="1" applyBorder="1" applyAlignment="1">
      <alignment horizontal="center" vertical="center"/>
    </xf>
    <xf numFmtId="1" fontId="0" fillId="11" borderId="9" xfId="0" applyNumberFormat="1" applyFill="1" applyBorder="1" applyAlignment="1">
      <alignment horizontal="center" vertical="center"/>
    </xf>
    <xf numFmtId="167" fontId="11" fillId="10" borderId="0" xfId="0" applyNumberFormat="1" applyFont="1" applyFill="1" applyAlignment="1">
      <alignment horizontal="center"/>
    </xf>
    <xf numFmtId="168" fontId="11" fillId="10" borderId="0" xfId="0" applyNumberFormat="1" applyFont="1" applyFill="1" applyAlignment="1">
      <alignment horizontal="center"/>
    </xf>
    <xf numFmtId="43" fontId="11" fillId="10" borderId="0" xfId="0" applyNumberFormat="1" applyFont="1" applyFill="1" applyAlignment="1">
      <alignment horizontal="center"/>
    </xf>
    <xf numFmtId="0" fontId="9" fillId="0" borderId="0" xfId="0" applyFont="1" applyAlignment="1">
      <alignment horizontal="center"/>
    </xf>
    <xf numFmtId="168" fontId="11" fillId="0" borderId="0" xfId="0" applyNumberFormat="1" applyFont="1" applyAlignment="1">
      <alignment horizontal="center"/>
    </xf>
    <xf numFmtId="0" fontId="0" fillId="13" borderId="0" xfId="0" applyFill="1"/>
    <xf numFmtId="0" fontId="0" fillId="13" borderId="9" xfId="0" applyFill="1" applyBorder="1" applyAlignment="1">
      <alignment horizontal="center"/>
    </xf>
    <xf numFmtId="166" fontId="0" fillId="13" borderId="9" xfId="0" applyNumberFormat="1" applyFill="1" applyBorder="1" applyAlignment="1">
      <alignment horizontal="center"/>
    </xf>
    <xf numFmtId="0" fontId="0" fillId="14" borderId="9" xfId="0" applyFill="1" applyBorder="1" applyAlignment="1">
      <alignment horizontal="center"/>
    </xf>
    <xf numFmtId="166" fontId="0" fillId="14" borderId="9" xfId="0" applyNumberFormat="1" applyFill="1" applyBorder="1" applyAlignment="1">
      <alignment horizontal="center"/>
    </xf>
    <xf numFmtId="1" fontId="0" fillId="0" borderId="0" xfId="0" applyNumberFormat="1" applyAlignment="1">
      <alignment horizontal="center"/>
    </xf>
    <xf numFmtId="0" fontId="0" fillId="13" borderId="6" xfId="0" applyFill="1" applyBorder="1"/>
    <xf numFmtId="0" fontId="0" fillId="13" borderId="8" xfId="0" applyFill="1" applyBorder="1"/>
    <xf numFmtId="0" fontId="0" fillId="12" borderId="9" xfId="0" applyFill="1" applyBorder="1" applyAlignment="1">
      <alignment horizontal="center" vertical="center"/>
    </xf>
    <xf numFmtId="1" fontId="0" fillId="0" borderId="9" xfId="0" applyNumberFormat="1" applyBorder="1" applyAlignment="1">
      <alignment horizontal="center" vertical="center"/>
    </xf>
    <xf numFmtId="0" fontId="12" fillId="6" borderId="5" xfId="0" applyFont="1" applyFill="1" applyBorder="1" applyAlignment="1">
      <alignment horizontal="center"/>
    </xf>
    <xf numFmtId="168" fontId="10" fillId="0" borderId="9" xfId="0" applyNumberFormat="1" applyFont="1" applyBorder="1" applyAlignment="1">
      <alignment horizontal="center"/>
    </xf>
    <xf numFmtId="174" fontId="0" fillId="0" borderId="0" xfId="0" applyNumberFormat="1"/>
    <xf numFmtId="0" fontId="9" fillId="6" borderId="13" xfId="0" applyFont="1" applyFill="1" applyBorder="1" applyAlignment="1">
      <alignment horizontal="center"/>
    </xf>
    <xf numFmtId="175" fontId="0" fillId="0" borderId="0" xfId="0" applyNumberFormat="1"/>
    <xf numFmtId="176" fontId="0" fillId="0" borderId="0" xfId="0" applyNumberFormat="1"/>
    <xf numFmtId="177" fontId="0" fillId="0" borderId="0" xfId="0" applyNumberFormat="1"/>
    <xf numFmtId="178" fontId="0" fillId="0" borderId="0" xfId="0" applyNumberFormat="1"/>
    <xf numFmtId="0" fontId="3" fillId="4" borderId="13" xfId="0" applyFont="1" applyFill="1" applyBorder="1" applyAlignment="1">
      <alignment horizontal="center" wrapText="1"/>
    </xf>
    <xf numFmtId="0" fontId="3" fillId="4" borderId="14" xfId="0" applyFont="1" applyFill="1" applyBorder="1" applyAlignment="1">
      <alignment horizontal="center" wrapText="1"/>
    </xf>
    <xf numFmtId="0" fontId="3" fillId="9" borderId="15" xfId="0" applyFont="1" applyFill="1" applyBorder="1" applyAlignment="1">
      <alignment horizontal="center" wrapText="1"/>
    </xf>
    <xf numFmtId="169" fontId="0" fillId="0" borderId="0" xfId="0" applyNumberFormat="1" applyAlignment="1">
      <alignment horizontal="center"/>
    </xf>
    <xf numFmtId="43" fontId="0" fillId="10" borderId="0" xfId="2" applyFont="1" applyFill="1" applyBorder="1" applyAlignment="1">
      <alignment horizontal="center" vertical="top"/>
    </xf>
    <xf numFmtId="2" fontId="0" fillId="0" borderId="0" xfId="0" applyNumberFormat="1" applyAlignment="1" applyProtection="1">
      <alignment horizontal="center"/>
      <protection locked="0"/>
    </xf>
    <xf numFmtId="0" fontId="3" fillId="4" borderId="14" xfId="0" applyFont="1" applyFill="1" applyBorder="1" applyAlignment="1">
      <alignment horizontal="center" vertical="center" wrapText="1"/>
    </xf>
    <xf numFmtId="0" fontId="0" fillId="0" borderId="2" xfId="0" applyBorder="1"/>
    <xf numFmtId="14" fontId="0" fillId="0" borderId="0" xfId="0" applyNumberFormat="1"/>
    <xf numFmtId="14" fontId="17" fillId="0" borderId="0" xfId="0" applyNumberFormat="1" applyFont="1" applyAlignment="1" applyProtection="1">
      <alignment horizontal="center" vertical="center"/>
      <protection locked="0"/>
    </xf>
    <xf numFmtId="0" fontId="17" fillId="0" borderId="0" xfId="0" applyFont="1" applyAlignment="1" applyProtection="1">
      <alignment horizontal="center" vertical="center"/>
      <protection locked="0"/>
    </xf>
    <xf numFmtId="1" fontId="0" fillId="0" borderId="0" xfId="0" applyNumberFormat="1"/>
    <xf numFmtId="179" fontId="0" fillId="0" borderId="0" xfId="0" applyNumberFormat="1"/>
    <xf numFmtId="165" fontId="13" fillId="7" borderId="0" xfId="0" applyNumberFormat="1" applyFont="1" applyFill="1" applyAlignment="1" applyProtection="1">
      <alignment horizontal="center" vertical="center"/>
      <protection locked="0"/>
    </xf>
    <xf numFmtId="0" fontId="13" fillId="7" borderId="0" xfId="0" applyFont="1" applyFill="1" applyAlignment="1" applyProtection="1">
      <alignment horizontal="left" vertical="center"/>
      <protection locked="0"/>
    </xf>
    <xf numFmtId="14" fontId="13" fillId="7" borderId="0" xfId="0" applyNumberFormat="1" applyFont="1" applyFill="1" applyAlignment="1" applyProtection="1">
      <alignment horizontal="center" vertical="center"/>
      <protection locked="0"/>
    </xf>
    <xf numFmtId="0" fontId="13" fillId="7" borderId="0" xfId="0" applyFont="1" applyFill="1" applyAlignment="1" applyProtection="1">
      <alignment horizontal="center" vertical="center"/>
      <protection locked="0"/>
    </xf>
    <xf numFmtId="0" fontId="13" fillId="7" borderId="0" xfId="0" applyFont="1" applyFill="1" applyAlignment="1" applyProtection="1">
      <alignment horizontal="center"/>
      <protection locked="0"/>
    </xf>
    <xf numFmtId="166" fontId="13" fillId="7" borderId="0" xfId="0" applyNumberFormat="1" applyFont="1" applyFill="1" applyAlignment="1" applyProtection="1">
      <alignment horizontal="center"/>
      <protection locked="0"/>
    </xf>
    <xf numFmtId="43" fontId="18" fillId="7" borderId="0" xfId="2" applyFont="1" applyFill="1" applyAlignment="1" applyProtection="1">
      <alignment horizontal="left"/>
      <protection locked="0"/>
    </xf>
    <xf numFmtId="43" fontId="18" fillId="7" borderId="0" xfId="2" applyFont="1" applyFill="1" applyBorder="1" applyAlignment="1" applyProtection="1">
      <alignment horizontal="left"/>
      <protection locked="0"/>
    </xf>
    <xf numFmtId="0" fontId="13" fillId="7" borderId="1" xfId="0" applyFont="1" applyFill="1" applyBorder="1" applyAlignment="1">
      <alignment horizontal="center"/>
    </xf>
    <xf numFmtId="0" fontId="13" fillId="7" borderId="0" xfId="0" applyFont="1" applyFill="1" applyAlignment="1" applyProtection="1">
      <alignment horizontal="left"/>
      <protection locked="0"/>
    </xf>
    <xf numFmtId="0" fontId="13" fillId="7" borderId="0" xfId="0" quotePrefix="1" applyFont="1" applyFill="1" applyAlignment="1" applyProtection="1">
      <alignment horizontal="center"/>
      <protection locked="0"/>
    </xf>
    <xf numFmtId="43" fontId="0" fillId="7" borderId="0" xfId="2" applyFont="1" applyFill="1" applyBorder="1" applyAlignment="1">
      <alignment horizontal="center" vertical="top"/>
    </xf>
    <xf numFmtId="165" fontId="0" fillId="0" borderId="0" xfId="0" applyNumberFormat="1" applyAlignment="1" applyProtection="1">
      <alignment horizontal="left" vertical="center"/>
      <protection locked="0"/>
    </xf>
    <xf numFmtId="0" fontId="19" fillId="0" borderId="0" xfId="0" applyFont="1" applyAlignment="1">
      <alignment horizontal="center"/>
    </xf>
    <xf numFmtId="0" fontId="0" fillId="13" borderId="5" xfId="0" applyFill="1" applyBorder="1"/>
    <xf numFmtId="0" fontId="0" fillId="0" borderId="16" xfId="0" pivotButton="1" applyBorder="1" applyAlignment="1">
      <alignment horizontal="center" vertical="center"/>
    </xf>
    <xf numFmtId="0" fontId="0" fillId="0" borderId="11" xfId="0" applyBorder="1" applyAlignment="1">
      <alignment horizontal="center" vertical="center"/>
    </xf>
    <xf numFmtId="0" fontId="0" fillId="12" borderId="17" xfId="0" applyFill="1" applyBorder="1" applyAlignment="1">
      <alignment horizontal="center" vertical="center"/>
    </xf>
    <xf numFmtId="180" fontId="0" fillId="0" borderId="0" xfId="0" applyNumberFormat="1"/>
    <xf numFmtId="0" fontId="0" fillId="0" borderId="3" xfId="0" applyBorder="1" applyAlignment="1">
      <alignment horizontal="left"/>
    </xf>
    <xf numFmtId="0" fontId="0" fillId="0" borderId="8" xfId="0" applyBorder="1" applyAlignment="1">
      <alignment horizontal="left"/>
    </xf>
    <xf numFmtId="0" fontId="0" fillId="0" borderId="13" xfId="0" applyBorder="1" applyAlignment="1">
      <alignment horizontal="left"/>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3" fillId="12" borderId="5" xfId="0" applyFont="1" applyFill="1" applyBorder="1" applyAlignment="1">
      <alignment horizontal="center" vertical="center"/>
    </xf>
    <xf numFmtId="0" fontId="3" fillId="12" borderId="15" xfId="0" applyFont="1" applyFill="1" applyBorder="1" applyAlignment="1">
      <alignment horizontal="center" vertical="center"/>
    </xf>
    <xf numFmtId="0" fontId="3" fillId="12" borderId="9" xfId="0" applyFont="1" applyFill="1" applyBorder="1" applyAlignment="1">
      <alignment horizontal="center" vertical="center"/>
    </xf>
  </cellXfs>
  <cellStyles count="3">
    <cellStyle name="Comma" xfId="2" builtinId="3"/>
    <cellStyle name="Normal" xfId="0" builtinId="0"/>
    <cellStyle name="Percent" xfId="1" builtinId="5"/>
  </cellStyles>
  <dxfs count="269">
    <dxf>
      <alignment horizontal="center" readingOrder="0"/>
    </dxf>
    <dxf>
      <numFmt numFmtId="35" formatCode="_ * #,##0.00_ ;_ * \-#,##0.00_ ;_ * &quot;-&quot;??_ ;_ @_ "/>
    </dxf>
    <dxf>
      <numFmt numFmtId="167" formatCode="_(* #,##0_);_(* \(#,##0\);_(* &quot;-&quot;??_);_(@_)"/>
    </dxf>
    <dxf>
      <numFmt numFmtId="167" formatCode="_(* #,##0_);_(* \(#,##0\);_(* &quot;-&quot;??_);_(@_)"/>
    </dxf>
    <dxf>
      <font>
        <b/>
      </font>
    </dxf>
    <dxf>
      <font>
        <b/>
      </font>
    </dxf>
    <dxf>
      <font>
        <b/>
      </font>
    </dxf>
    <dxf>
      <fill>
        <patternFill patternType="solid">
          <bgColor theme="4" tint="-0.499984740745262"/>
        </patternFill>
      </fill>
    </dxf>
    <dxf>
      <fill>
        <patternFill patternType="solid">
          <bgColor theme="4" tint="0.79998168889431442"/>
        </patternFill>
      </fill>
    </dxf>
    <dxf>
      <font>
        <color theme="1" tint="4.9989318521683403E-2"/>
      </font>
    </dxf>
    <dxf>
      <font>
        <color theme="1" tint="4.9989318521683403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top style="thin">
          <color indexed="64"/>
        </top>
      </border>
    </dxf>
    <dxf>
      <alignment horizontal="center" readingOrder="0"/>
    </dxf>
    <dxf>
      <font>
        <sz val="12"/>
      </font>
    </dxf>
    <dxf>
      <fill>
        <patternFill>
          <bgColor rgb="FFFFFF00"/>
        </patternFill>
      </fill>
    </dxf>
    <dxf>
      <font>
        <sz val="14"/>
      </font>
    </dxf>
    <dxf>
      <font>
        <sz val="12"/>
      </font>
    </dxf>
    <dxf>
      <font>
        <sz val="12"/>
      </font>
    </dxf>
    <dxf>
      <alignment horizontal="center" readingOrder="0"/>
    </dxf>
    <dxf>
      <font>
        <sz val="11"/>
      </font>
    </dxf>
    <dxf>
      <font>
        <sz val="14"/>
      </font>
    </dxf>
    <dxf>
      <fill>
        <patternFill patternType="solid">
          <bgColor theme="4" tint="-0.499984740745262"/>
        </patternFill>
      </fill>
    </dxf>
    <dxf>
      <font>
        <b/>
      </font>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patternType="solid">
          <bgColor theme="4" tint="-0.499984740745262"/>
        </patternFill>
      </fill>
    </dxf>
    <dxf>
      <fill>
        <patternFill>
          <bgColor theme="4" tint="-0.499984740745262"/>
        </patternFill>
      </fill>
    </dxf>
    <dxf>
      <font>
        <color theme="0"/>
      </font>
    </dxf>
    <dxf>
      <font>
        <b/>
      </font>
    </dxf>
    <dxf>
      <alignment horizontal="center" readingOrder="0"/>
    </dxf>
    <dxf>
      <alignment horizontal="center" readingOrder="0"/>
    </dxf>
    <dxf>
      <fill>
        <patternFill>
          <bgColor theme="4" tint="-0.499984740745262"/>
        </patternFill>
      </fill>
    </dxf>
    <dxf>
      <font>
        <color theme="0"/>
      </font>
    </dxf>
    <dxf>
      <font>
        <sz val="12"/>
      </font>
    </dxf>
    <dxf>
      <font>
        <sz val="12"/>
      </font>
    </dxf>
    <dxf>
      <font>
        <sz val="12"/>
      </font>
    </dxf>
    <dxf>
      <font>
        <sz val="12"/>
      </font>
    </dxf>
    <dxf>
      <fill>
        <patternFill patternType="solid">
          <bgColor theme="4" tint="-0.499984740745262"/>
        </patternFill>
      </fill>
    </dxf>
    <dxf>
      <font>
        <color theme="0"/>
      </font>
    </dxf>
    <dxf>
      <font>
        <b/>
      </font>
    </dxf>
    <dxf>
      <alignment horizontal="center" readingOrder="0"/>
    </dxf>
    <dxf>
      <numFmt numFmtId="168" formatCode="_ * #,##0_ ;_ * \-#,##0_ ;_ * &quot;-&quot;??_ ;_ @_ "/>
    </dxf>
    <dxf>
      <numFmt numFmtId="1" formatCode="0"/>
    </dxf>
    <dxf>
      <alignment horizontal="center" readingOrder="0"/>
    </dxf>
    <dxf>
      <alignment horizontal="center" readingOrder="0"/>
    </dxf>
    <dxf>
      <border>
        <top style="thin">
          <color indexed="64"/>
        </top>
        <vertical style="thin">
          <color indexed="64"/>
        </vertical>
      </border>
    </dxf>
    <dxf>
      <border>
        <top style="thin">
          <color indexed="64"/>
        </top>
        <vertical style="thin">
          <color indexed="64"/>
        </vertical>
      </border>
    </dxf>
    <dxf>
      <border>
        <top style="thin">
          <color indexed="64"/>
        </top>
        <vertical style="thin">
          <color indexed="64"/>
        </vertical>
      </border>
    </dxf>
    <dxf>
      <numFmt numFmtId="168" formatCode="_ * #,##0_ ;_ * \-#,##0_ ;_ * &quot;-&quot;??_ ;_ @_ "/>
    </dxf>
    <dxf>
      <alignment horizontal="center" readingOrder="0"/>
    </dxf>
    <dxf>
      <alignment horizontal="center" readingOrder="0"/>
    </dxf>
    <dxf>
      <fill>
        <patternFill patternType="solid">
          <bgColor theme="0"/>
        </patternFill>
      </fill>
    </dxf>
    <dxf>
      <font>
        <color theme="1" tint="4.9989318521683403E-2"/>
      </font>
    </dxf>
    <dxf>
      <alignment horizontal="center" readingOrder="0"/>
    </dxf>
    <dxf>
      <fill>
        <patternFill patternType="solid">
          <bgColor theme="4" tint="-0.499984740745262"/>
        </patternFill>
      </fill>
    </dxf>
    <dxf>
      <font>
        <color theme="0"/>
      </font>
    </dxf>
    <dxf>
      <font>
        <b/>
      </font>
    </dxf>
    <dxf>
      <alignment horizontal="center" readingOrder="0"/>
    </dxf>
    <dxf>
      <font>
        <sz val="12"/>
      </font>
    </dxf>
    <dxf>
      <fill>
        <patternFill patternType="solid">
          <bgColor theme="0"/>
        </patternFill>
      </fill>
    </dxf>
    <dxf>
      <font>
        <color theme="1" tint="4.9989318521683403E-2"/>
      </font>
    </dxf>
    <dxf>
      <numFmt numFmtId="168" formatCode="_ * #,##0_ ;_ * \-#,##0_ ;_ * &quot;-&quot;??_ ;_ @_ "/>
    </dxf>
    <dxf>
      <alignment horizontal="general"/>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numFmt numFmtId="168" formatCode="_ * #,##0_ ;_ * \-#,##0_ ;_ * &quot;-&quot;??_ ;_ @_ "/>
    </dxf>
    <dxf>
      <fill>
        <patternFill patternType="solid">
          <bgColor theme="4" tint="-0.499984740745262"/>
        </patternFill>
      </fill>
    </dxf>
    <dxf>
      <font>
        <b/>
      </font>
    </dxf>
    <dxf>
      <font>
        <sz val="12"/>
      </font>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border>
        <left style="thin">
          <color indexed="64"/>
        </left>
        <top style="thin">
          <color indexed="64"/>
        </top>
        <vertical style="thin">
          <color indexed="64"/>
        </vertical>
        <horizontal style="thin">
          <color indexed="64"/>
        </horizontal>
      </border>
    </dxf>
    <dxf>
      <border>
        <left style="thin">
          <color indexed="64"/>
        </left>
        <vertical style="thin">
          <color indexed="64"/>
        </vertic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alignment horizontal="cent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alignment horizontal="center"/>
    </dxf>
    <dxf>
      <border>
        <left style="thin">
          <color indexed="64"/>
        </left>
        <vertical style="thin">
          <color indexed="64"/>
        </vertical>
        <horizontal style="thin">
          <color indexed="64"/>
        </horizontal>
      </border>
    </dxf>
    <dxf>
      <numFmt numFmtId="2" formatCode="0.00"/>
    </dxf>
    <dxf>
      <numFmt numFmtId="35" formatCode="_ * #,##0.00_ ;_ * \-#,##0.00_ ;_ * &quot;-&quot;??_ ;_ @_ "/>
    </dxf>
    <dxf>
      <numFmt numFmtId="166" formatCode="0.0"/>
    </dxf>
    <dxf>
      <numFmt numFmtId="168" formatCode="_ * #,##0_ ;_ * \-#,##0_ ;_ * &quot;-&quot;??_ ;_ @_ "/>
    </dxf>
    <dxf>
      <numFmt numFmtId="166" formatCode="0.0"/>
    </dxf>
    <dxf>
      <numFmt numFmtId="166" formatCode="0.0"/>
    </dxf>
    <dxf>
      <numFmt numFmtId="168" formatCode="_ * #,##0_ ;_ * \-#,##0_ ;_ * &quot;-&quot;??_ ;_ @_ "/>
    </dxf>
    <dxf>
      <numFmt numFmtId="166" formatCode="0.0"/>
    </dxf>
    <dxf>
      <numFmt numFmtId="35" formatCode="_ * #,##0.00_ ;_ * \-#,##0.00_ ;_ * &quot;-&quot;??_ ;_ @_ "/>
    </dxf>
    <dxf>
      <numFmt numFmtId="2" formatCode="0.00"/>
    </dxf>
    <dxf>
      <border>
        <left style="thin">
          <color indexed="64"/>
        </left>
        <vertical style="thin">
          <color indexed="64"/>
        </vertical>
        <horizontal style="thin">
          <color indexed="64"/>
        </horizontal>
      </border>
    </dxf>
    <dxf>
      <alignment horizontal="center"/>
    </dxf>
    <dxf>
      <alignment horizontal="cent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dxf>
    <dxf>
      <alignment horizontal="cent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border>
    </dxf>
    <dxf>
      <border>
        <left style="thin">
          <color indexed="64"/>
        </left>
        <top style="thin">
          <color indexed="64"/>
        </top>
        <vertical style="thin">
          <color indexed="64"/>
        </vertical>
        <horizontal style="thin">
          <color indexed="64"/>
        </horizontal>
      </border>
    </dxf>
    <dxf>
      <alignment horizontal="cent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font>
        <sz val="12"/>
      </font>
    </dxf>
    <dxf>
      <font>
        <b/>
      </font>
    </dxf>
    <dxf>
      <fill>
        <patternFill patternType="solid">
          <bgColor theme="4" tint="-0.499984740745262"/>
        </patternFill>
      </fill>
    </dxf>
    <dxf>
      <numFmt numFmtId="168" formatCode="_ * #,##0_ ;_ * \-#,##0_ ;_ * &quot;-&quot;??_ ;_ @_ "/>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general"/>
    </dxf>
    <dxf>
      <numFmt numFmtId="168" formatCode="_ * #,##0_ ;_ * \-#,##0_ ;_ * &quot;-&quot;??_ ;_ @_ "/>
    </dxf>
    <dxf>
      <font>
        <color theme="1" tint="4.9989318521683403E-2"/>
      </font>
    </dxf>
    <dxf>
      <fill>
        <patternFill patternType="solid">
          <bgColor theme="0"/>
        </patternFill>
      </fill>
    </dxf>
    <dxf>
      <font>
        <sz val="12"/>
      </font>
    </dxf>
    <dxf>
      <alignment horizontal="center" readingOrder="0"/>
    </dxf>
    <dxf>
      <font>
        <b/>
      </font>
    </dxf>
    <dxf>
      <font>
        <color theme="0"/>
      </font>
    </dxf>
    <dxf>
      <fill>
        <patternFill patternType="solid">
          <bgColor theme="4" tint="-0.499984740745262"/>
        </patternFill>
      </fill>
    </dxf>
    <dxf>
      <alignment horizontal="center" readingOrder="0"/>
    </dxf>
    <dxf>
      <font>
        <color theme="1" tint="4.9989318521683403E-2"/>
      </font>
    </dxf>
    <dxf>
      <fill>
        <patternFill patternType="solid">
          <bgColor theme="0"/>
        </patternFill>
      </fill>
    </dxf>
    <dxf>
      <alignment horizontal="center" readingOrder="0"/>
    </dxf>
    <dxf>
      <alignment horizontal="center" readingOrder="0"/>
    </dxf>
    <dxf>
      <numFmt numFmtId="168" formatCode="_ * #,##0_ ;_ * \-#,##0_ ;_ * &quot;-&quot;??_ ;_ @_ "/>
    </dxf>
    <dxf>
      <border>
        <top style="thin">
          <color indexed="64"/>
        </top>
        <vertical style="thin">
          <color indexed="64"/>
        </vertical>
      </border>
    </dxf>
    <dxf>
      <border>
        <top style="thin">
          <color indexed="64"/>
        </top>
        <vertical style="thin">
          <color indexed="64"/>
        </vertical>
      </border>
    </dxf>
    <dxf>
      <border>
        <top style="thin">
          <color indexed="64"/>
        </top>
        <vertical style="thin">
          <color indexed="64"/>
        </vertical>
      </border>
    </dxf>
    <dxf>
      <alignment horizontal="center" readingOrder="0"/>
    </dxf>
    <dxf>
      <alignment horizontal="center" readingOrder="0"/>
    </dxf>
    <dxf>
      <numFmt numFmtId="1" formatCode="0"/>
    </dxf>
    <dxf>
      <numFmt numFmtId="168" formatCode="_ * #,##0_ ;_ * \-#,##0_ ;_ * &quot;-&quot;??_ ;_ @_ "/>
    </dxf>
    <dxf>
      <alignment horizontal="center" readingOrder="0"/>
    </dxf>
    <dxf>
      <font>
        <b/>
      </font>
    </dxf>
    <dxf>
      <font>
        <color theme="0"/>
      </font>
    </dxf>
    <dxf>
      <fill>
        <patternFill patternType="solid">
          <bgColor theme="4" tint="-0.499984740745262"/>
        </patternFill>
      </fill>
    </dxf>
    <dxf>
      <font>
        <sz val="12"/>
      </font>
    </dxf>
    <dxf>
      <font>
        <sz val="12"/>
      </font>
    </dxf>
    <dxf>
      <font>
        <sz val="12"/>
      </font>
    </dxf>
    <dxf>
      <font>
        <sz val="12"/>
      </font>
    </dxf>
    <dxf>
      <font>
        <color theme="0"/>
      </font>
    </dxf>
    <dxf>
      <fill>
        <patternFill>
          <bgColor theme="4" tint="-0.499984740745262"/>
        </patternFill>
      </fill>
    </dxf>
    <dxf>
      <alignment horizontal="center" readingOrder="0"/>
    </dxf>
    <dxf>
      <alignment horizontal="center" readingOrder="0"/>
    </dxf>
    <dxf>
      <font>
        <b/>
      </font>
    </dxf>
    <dxf>
      <font>
        <color theme="0"/>
      </font>
    </dxf>
    <dxf>
      <fill>
        <patternFill>
          <bgColor theme="4" tint="-0.499984740745262"/>
        </patternFill>
      </fill>
    </dxf>
    <dxf>
      <fill>
        <patternFill patternType="solid">
          <bgColor theme="4" tint="-0.499984740745262"/>
        </patternFill>
      </fill>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ont>
        <b/>
      </font>
    </dxf>
    <dxf>
      <fill>
        <patternFill patternType="solid">
          <bgColor theme="4" tint="-0.499984740745262"/>
        </patternFill>
      </fill>
    </dxf>
    <dxf>
      <font>
        <sz val="14"/>
      </font>
    </dxf>
    <dxf>
      <font>
        <sz val="11"/>
      </font>
    </dxf>
    <dxf>
      <alignment horizontal="center" readingOrder="0"/>
    </dxf>
    <dxf>
      <font>
        <sz val="12"/>
      </font>
    </dxf>
    <dxf>
      <font>
        <sz val="12"/>
      </font>
    </dxf>
    <dxf>
      <font>
        <sz val="14"/>
      </font>
    </dxf>
    <dxf>
      <fill>
        <patternFill>
          <bgColor rgb="FFFFFF00"/>
        </patternFill>
      </fill>
    </dxf>
    <dxf>
      <font>
        <sz val="12"/>
      </font>
    </dxf>
    <dxf>
      <alignment horizontal="center" readingOrder="0"/>
    </dxf>
    <dxf>
      <border>
        <top style="thin">
          <color indexed="64"/>
        </top>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tint="4.9989318521683403E-2"/>
      </font>
    </dxf>
    <dxf>
      <font>
        <color theme="1" tint="4.9989318521683403E-2"/>
      </font>
    </dxf>
    <dxf>
      <fill>
        <patternFill patternType="solid">
          <bgColor theme="4" tint="0.79998168889431442"/>
        </patternFill>
      </fill>
    </dxf>
    <dxf>
      <fill>
        <patternFill patternType="solid">
          <bgColor theme="4" tint="-0.499984740745262"/>
        </patternFill>
      </fill>
    </dxf>
    <dxf>
      <font>
        <b/>
      </font>
    </dxf>
    <dxf>
      <font>
        <b/>
      </font>
    </dxf>
    <dxf>
      <font>
        <b/>
      </font>
    </dxf>
    <dxf>
      <numFmt numFmtId="167" formatCode="_(* #,##0_);_(* \(#,##0\);_(* &quot;-&quot;??_);_(@_)"/>
    </dxf>
    <dxf>
      <numFmt numFmtId="167" formatCode="_(* #,##0_);_(* \(#,##0\);_(* &quot;-&quot;??_);_(@_)"/>
    </dxf>
    <dxf>
      <numFmt numFmtId="35" formatCode="_ * #,##0.00_ ;_ * \-#,##0.00_ ;_ * &quot;-&quot;??_ ;_ @_ "/>
    </dxf>
    <dxf>
      <alignment horizontal="center" readingOrder="0"/>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top style="thin">
          <color indexed="64"/>
        </top>
        <vertical style="thin">
          <color indexed="64"/>
        </vertical>
        <horizontal style="thin">
          <color indexed="64"/>
        </horizontal>
      </border>
    </dxf>
    <dxf>
      <border>
        <bottom style="thin">
          <color indexed="64"/>
        </bottom>
        <vertical style="thin">
          <color indexed="64"/>
        </vertical>
        <horizontal style="thin">
          <color indexed="64"/>
        </horizontal>
      </border>
    </dxf>
    <dxf>
      <fill>
        <patternFill patternType="solid">
          <bgColor theme="4" tint="0.39997558519241921"/>
        </patternFill>
      </fill>
    </dxf>
    <dxf>
      <border>
        <left style="thin">
          <color indexed="64"/>
        </left>
        <right style="thin">
          <color indexed="64"/>
        </right>
        <vertical style="thin">
          <color indexed="64"/>
        </vertical>
        <horizontal style="thin">
          <color indexed="64"/>
        </horizontal>
      </border>
    </dxf>
    <dxf>
      <border>
        <vertical style="thin">
          <color indexed="64"/>
        </vertic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fill>
        <patternFill>
          <bgColor theme="4" tint="0.39997558519241921"/>
        </patternFill>
      </fill>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alignment vertical="center"/>
    </dxf>
    <dxf>
      <alignment horizontal="center"/>
    </dxf>
    <dxf>
      <numFmt numFmtId="1" formatCode="0"/>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alignment vertical="center"/>
    </dxf>
    <dxf>
      <alignment vertical="center"/>
    </dxf>
    <dxf>
      <alignment horizontal="center"/>
    </dxf>
    <dxf>
      <alignment horizontal="center"/>
    </dxf>
    <dxf>
      <alignment horizontal="center"/>
    </dxf>
    <dxf>
      <border>
        <left style="thin">
          <color indexed="64"/>
        </left>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alignment horizontal="center"/>
    </dxf>
    <dxf>
      <border>
        <left style="thin">
          <color indexed="64"/>
        </left>
        <vertical style="thin">
          <color indexed="64"/>
        </vertical>
        <horizontal style="thin">
          <color indexed="64"/>
        </horizontal>
      </border>
    </dxf>
    <dxf>
      <border>
        <top style="thin">
          <color indexed="64"/>
        </top>
        <vertical style="thin">
          <color indexed="64"/>
        </vertical>
        <horizontal style="thin">
          <color indexed="64"/>
        </horizontal>
      </border>
    </dxf>
    <dxf>
      <fill>
        <patternFill patternType="solid">
          <bgColor theme="9" tint="0.39997558519241921"/>
        </patternFill>
      </fill>
    </dxf>
    <dxf>
      <fill>
        <patternFill>
          <bgColor theme="9" tint="0.79998168889431442"/>
        </patternFill>
      </fill>
    </dxf>
    <dxf>
      <fill>
        <patternFill>
          <bgColor theme="9" tint="0.79998168889431442"/>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numFmt numFmtId="166" formatCode="0.0"/>
    </dxf>
    <dxf>
      <numFmt numFmtId="166" formatCode="0.0"/>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[2026-07-31 Data Sheet - Commercial Data Sheet.xlsx]Home!PivotTable1</c:name>
    <c:fmtId val="0"/>
  </c:pivotSource>
  <c:chart>
    <c:autoTitleDeleted val="0"/>
    <c:pivotFmts>
      <c:pivotFmt>
        <c:idx val="0"/>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6"/>
        <c:spPr>
          <a:solidFill>
            <a:schemeClr val="accent1">
              <a:alpha val="85000"/>
            </a:schemeClr>
          </a:solidFill>
          <a:ln w="9525" cap="flat" cmpd="sng" algn="ctr">
            <a:solidFill>
              <a:schemeClr val="accent1">
                <a:lumMod val="75000"/>
              </a:schemeClr>
            </a:solidFill>
            <a:round/>
          </a:ln>
          <a:effectLst/>
        </c:spPr>
        <c:marker>
          <c:symbol val="none"/>
        </c:marker>
      </c:pivotFmt>
      <c:pivotFmt>
        <c:idx val="7"/>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31750" cap="rnd" cmpd="sng" algn="ctr">
            <a:solidFill>
              <a:schemeClr val="accent1">
                <a:alpha val="85000"/>
              </a:schemeClr>
            </a:solidFill>
            <a:round/>
          </a:ln>
          <a:effectLst/>
        </c:spPr>
        <c:marker>
          <c:symbol val="none"/>
        </c:marker>
      </c:pivotFmt>
      <c:pivotFmt>
        <c:idx val="9"/>
        <c:spPr>
          <a:solidFill>
            <a:schemeClr val="accent1">
              <a:alpha val="85000"/>
            </a:schemeClr>
          </a:solidFill>
          <a:ln w="9525" cap="flat" cmpd="sng" algn="ctr">
            <a:solidFill>
              <a:schemeClr val="accent2">
                <a:lumMod val="75000"/>
              </a:schemeClr>
            </a:solidFill>
            <a:round/>
          </a:ln>
          <a:effectLst/>
        </c:spPr>
        <c:marker>
          <c:symbol val="none"/>
        </c:marker>
      </c:pivotFmt>
      <c:pivotFmt>
        <c:idx val="10"/>
        <c:spPr>
          <a:solidFill>
            <a:schemeClr val="accent1">
              <a:alpha val="85000"/>
            </a:schemeClr>
          </a:solidFill>
          <a:ln w="9525" cap="flat" cmpd="sng" algn="ctr">
            <a:solidFill>
              <a:schemeClr val="accent3">
                <a:lumMod val="75000"/>
              </a:schemeClr>
            </a:solidFill>
            <a:round/>
          </a:ln>
          <a:effectLst/>
        </c:spPr>
        <c:marker>
          <c:symbol val="none"/>
        </c:marker>
      </c:pivotFmt>
      <c:pivotFmt>
        <c:idx val="11"/>
        <c:spPr>
          <a:solidFill>
            <a:schemeClr val="accent4">
              <a:alpha val="85000"/>
            </a:schemeClr>
          </a:solidFill>
          <a:ln w="9525" cap="flat" cmpd="sng" algn="ctr">
            <a:solidFill>
              <a:schemeClr val="accent4">
                <a:lumMod val="75000"/>
              </a:schemeClr>
            </a:solidFill>
            <a:round/>
          </a:ln>
          <a:effectLst/>
        </c:spPr>
      </c:pivotFmt>
      <c:pivotFmt>
        <c:idx val="12"/>
        <c:spPr>
          <a:solidFill>
            <a:schemeClr val="accent1">
              <a:alpha val="85000"/>
            </a:schemeClr>
          </a:solidFill>
          <a:ln w="31750" cap="rnd" cmpd="sng" algn="ctr">
            <a:solidFill>
              <a:schemeClr val="accent1">
                <a:alpha val="85000"/>
              </a:schemeClr>
            </a:solidFill>
            <a:round/>
          </a:ln>
          <a:effectLst/>
        </c:spPr>
        <c:marker>
          <c:symbol val="none"/>
        </c:marker>
      </c:pivotFmt>
      <c:pivotFmt>
        <c:idx val="13"/>
        <c:spPr>
          <a:solidFill>
            <a:schemeClr val="accent1">
              <a:alpha val="85000"/>
            </a:schemeClr>
          </a:solidFill>
          <a:ln w="9525" cap="flat" cmpd="sng" algn="ctr">
            <a:solidFill>
              <a:schemeClr val="accent2">
                <a:lumMod val="75000"/>
              </a:schemeClr>
            </a:solidFill>
            <a:round/>
          </a:ln>
          <a:effectLst/>
        </c:spPr>
        <c:marker>
          <c:symbol val="none"/>
        </c:marker>
      </c:pivotFmt>
      <c:pivotFmt>
        <c:idx val="14"/>
        <c:spPr>
          <a:solidFill>
            <a:schemeClr val="accent1">
              <a:alpha val="85000"/>
            </a:schemeClr>
          </a:solidFill>
          <a:ln w="9525" cap="flat" cmpd="sng" algn="ctr">
            <a:solidFill>
              <a:schemeClr val="accent3">
                <a:lumMod val="75000"/>
              </a:schemeClr>
            </a:solidFill>
            <a:round/>
          </a:ln>
          <a:effectLst/>
        </c:spPr>
        <c:marker>
          <c:symbol val="none"/>
        </c:marker>
      </c:pivotFmt>
      <c:pivotFmt>
        <c:idx val="15"/>
        <c:spPr>
          <a:solidFill>
            <a:schemeClr val="accent4">
              <a:alpha val="85000"/>
            </a:schemeClr>
          </a:solidFill>
          <a:ln w="9525" cap="flat" cmpd="sng" algn="ctr">
            <a:solidFill>
              <a:schemeClr val="accent4">
                <a:lumMod val="75000"/>
              </a:schemeClr>
            </a:solidFill>
            <a:round/>
          </a:ln>
          <a:effectLst/>
        </c:spPr>
      </c:pivotFmt>
      <c:pivotFmt>
        <c:idx val="16"/>
        <c:spPr>
          <a:solidFill>
            <a:schemeClr val="accent1">
              <a:alpha val="85000"/>
            </a:schemeClr>
          </a:solidFill>
          <a:ln w="31750" cap="rnd" cmpd="sng" algn="ctr">
            <a:solidFill>
              <a:schemeClr val="accent1">
                <a:alpha val="85000"/>
              </a:schemeClr>
            </a:solidFill>
            <a:round/>
          </a:ln>
          <a:effectLst/>
        </c:spPr>
        <c:marker>
          <c:symbol val="none"/>
        </c:marker>
      </c:pivotFmt>
      <c:pivotFmt>
        <c:idx val="17"/>
        <c:spPr>
          <a:solidFill>
            <a:schemeClr val="accent2">
              <a:alpha val="85000"/>
            </a:schemeClr>
          </a:solidFill>
          <a:ln w="9525" cap="flat" cmpd="sng" algn="ctr">
            <a:solidFill>
              <a:schemeClr val="accent2">
                <a:lumMod val="75000"/>
              </a:schemeClr>
            </a:solidFill>
            <a:round/>
          </a:ln>
          <a:effectLst/>
        </c:spPr>
      </c:pivotFmt>
      <c:pivotFmt>
        <c:idx val="18"/>
        <c:spPr>
          <a:solidFill>
            <a:schemeClr val="accent3">
              <a:alpha val="85000"/>
            </a:schemeClr>
          </a:solidFill>
          <a:ln w="9525" cap="flat" cmpd="sng" algn="ctr">
            <a:solidFill>
              <a:schemeClr val="accent3">
                <a:lumMod val="75000"/>
              </a:schemeClr>
            </a:solidFill>
            <a:round/>
          </a:ln>
          <a:effectLst/>
        </c:spPr>
      </c:pivotFmt>
      <c:pivotFmt>
        <c:idx val="19"/>
        <c:spPr>
          <a:solidFill>
            <a:schemeClr val="accent4">
              <a:alpha val="85000"/>
            </a:schemeClr>
          </a:solidFill>
          <a:ln w="9525" cap="flat" cmpd="sng" algn="ctr">
            <a:solidFill>
              <a:schemeClr val="accent4">
                <a:lumMod val="75000"/>
              </a:schemeClr>
            </a:solidFill>
            <a:round/>
          </a:ln>
          <a:effectLst/>
        </c:spPr>
      </c:pivotFmt>
      <c:pivotFmt>
        <c:idx val="20"/>
        <c:spPr>
          <a:solidFill>
            <a:schemeClr val="accent1">
              <a:alpha val="85000"/>
            </a:schemeClr>
          </a:solidFill>
          <a:ln w="31750" cap="rnd" cmpd="sng" algn="ctr">
            <a:solidFill>
              <a:schemeClr val="accent1">
                <a:alpha val="85000"/>
              </a:schemeClr>
            </a:solidFill>
            <a:round/>
          </a:ln>
          <a:effectLst/>
        </c:spPr>
        <c:marker>
          <c:symbol val="none"/>
        </c:marker>
      </c:pivotFmt>
      <c:pivotFmt>
        <c:idx val="21"/>
        <c:spPr>
          <a:solidFill>
            <a:schemeClr val="accent2">
              <a:alpha val="85000"/>
            </a:schemeClr>
          </a:solidFill>
          <a:ln w="9525" cap="flat" cmpd="sng" algn="ctr">
            <a:solidFill>
              <a:schemeClr val="accent2">
                <a:lumMod val="75000"/>
              </a:schemeClr>
            </a:solidFill>
            <a:round/>
          </a:ln>
          <a:effectLst/>
        </c:spPr>
      </c:pivotFmt>
      <c:pivotFmt>
        <c:idx val="22"/>
        <c:spPr>
          <a:solidFill>
            <a:schemeClr val="accent3">
              <a:alpha val="85000"/>
            </a:schemeClr>
          </a:solidFill>
          <a:ln w="9525" cap="flat" cmpd="sng" algn="ctr">
            <a:solidFill>
              <a:schemeClr val="accent3">
                <a:lumMod val="75000"/>
              </a:schemeClr>
            </a:solidFill>
            <a:round/>
          </a:ln>
          <a:effectLst/>
        </c:spPr>
      </c:pivotFmt>
      <c:pivotFmt>
        <c:idx val="23"/>
        <c:spPr>
          <a:solidFill>
            <a:schemeClr val="accent4">
              <a:alpha val="85000"/>
            </a:schemeClr>
          </a:solidFill>
          <a:ln w="9525" cap="flat" cmpd="sng" algn="ctr">
            <a:solidFill>
              <a:schemeClr val="accent4">
                <a:lumMod val="75000"/>
              </a:schemeClr>
            </a:solidFill>
            <a:round/>
          </a:ln>
          <a:effectLst/>
        </c:spPr>
      </c:pivotFmt>
      <c:pivotFmt>
        <c:idx val="24"/>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alpha val="85000"/>
            </a:schemeClr>
          </a:solidFill>
          <a:ln w="31750" cap="rnd" cmpd="sng" algn="ctr">
            <a:solidFill>
              <a:schemeClr val="accent1">
                <a:alpha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alpha val="85000"/>
            </a:schemeClr>
          </a:solidFill>
          <a:ln w="31750" cap="rnd" cmpd="sng" algn="ctr">
            <a:solidFill>
              <a:schemeClr val="accent2">
                <a:alpha val="85000"/>
              </a:schemeClr>
            </a:solidFill>
            <a:round/>
          </a:ln>
          <a:effectLst/>
        </c:spPr>
        <c:marker>
          <c:symbol val="none"/>
        </c:marker>
      </c:pivotFmt>
      <c:pivotFmt>
        <c:idx val="51"/>
        <c:spPr>
          <a:solidFill>
            <a:schemeClr val="accent1">
              <a:alpha val="85000"/>
            </a:schemeClr>
          </a:solidFill>
          <a:ln w="31750" cap="rnd" cmpd="sng" algn="ctr">
            <a:solidFill>
              <a:schemeClr val="accent2">
                <a:alpha val="85000"/>
              </a:schemeClr>
            </a:solidFill>
            <a:round/>
          </a:ln>
          <a:effectLst/>
        </c:spPr>
        <c:marker>
          <c:symbol val="none"/>
        </c:marker>
      </c:pivotFmt>
      <c:pivotFmt>
        <c:idx val="52"/>
        <c:spPr>
          <a:solidFill>
            <a:schemeClr val="accent1">
              <a:alpha val="85000"/>
            </a:schemeClr>
          </a:solidFill>
          <a:ln w="31750" cap="rnd" cmpd="sng" algn="ctr">
            <a:solidFill>
              <a:schemeClr val="accent3">
                <a:alpha val="85000"/>
              </a:schemeClr>
            </a:solidFill>
            <a:round/>
          </a:ln>
          <a:effectLst/>
        </c:spPr>
        <c:marker>
          <c:symbol val="none"/>
        </c:marker>
      </c:pivotFmt>
      <c:pivotFmt>
        <c:idx val="53"/>
        <c:spPr>
          <a:solidFill>
            <a:schemeClr val="accent1">
              <a:alpha val="85000"/>
            </a:schemeClr>
          </a:solidFill>
          <a:ln w="31750" cap="rnd" cmpd="sng" algn="ctr">
            <a:solidFill>
              <a:schemeClr val="accent3">
                <a:alpha val="85000"/>
              </a:schemeClr>
            </a:solidFill>
            <a:round/>
          </a:ln>
          <a:effectLst/>
        </c:spPr>
        <c:marker>
          <c:symbol val="none"/>
        </c:marker>
      </c:pivotFmt>
      <c:pivotFmt>
        <c:idx val="54"/>
        <c:spPr>
          <a:solidFill>
            <a:schemeClr val="accent1">
              <a:alpha val="85000"/>
            </a:schemeClr>
          </a:solidFill>
          <a:ln w="31750" cap="rnd" cmpd="sng" algn="ctr">
            <a:solidFill>
              <a:schemeClr val="accent1">
                <a:alpha val="85000"/>
              </a:schemeClr>
            </a:solidFill>
            <a:round/>
          </a:ln>
          <a:effectLst/>
        </c:spPr>
        <c:marker>
          <c:symbol val="none"/>
        </c:marker>
      </c:pivotFmt>
      <c:pivotFmt>
        <c:idx val="55"/>
        <c:spPr>
          <a:solidFill>
            <a:schemeClr val="accent1">
              <a:alpha val="85000"/>
            </a:schemeClr>
          </a:solidFill>
          <a:ln w="31750" cap="rnd" cmpd="sng" algn="ctr">
            <a:solidFill>
              <a:schemeClr val="accent1">
                <a:alpha val="85000"/>
              </a:schemeClr>
            </a:solidFill>
            <a:round/>
          </a:ln>
          <a:effectLst/>
        </c:spPr>
        <c:marker>
          <c:symbol val="none"/>
        </c:marker>
      </c:pivotFmt>
      <c:pivotFmt>
        <c:idx val="56"/>
        <c:spPr>
          <a:solidFill>
            <a:schemeClr val="accent1">
              <a:alpha val="85000"/>
            </a:schemeClr>
          </a:solidFill>
          <a:ln w="31750" cap="rnd" cmpd="sng" algn="ctr">
            <a:solidFill>
              <a:schemeClr val="accent2">
                <a:alpha val="85000"/>
              </a:schemeClr>
            </a:solidFill>
            <a:round/>
          </a:ln>
          <a:effectLst/>
        </c:spPr>
        <c:marker>
          <c:symbol val="none"/>
        </c:marker>
      </c:pivotFmt>
      <c:pivotFmt>
        <c:idx val="57"/>
        <c:spPr>
          <a:solidFill>
            <a:schemeClr val="accent1">
              <a:alpha val="85000"/>
            </a:schemeClr>
          </a:solidFill>
          <a:ln w="31750" cap="rnd" cmpd="sng" algn="ctr">
            <a:solidFill>
              <a:schemeClr val="accent3">
                <a:alpha val="85000"/>
              </a:schemeClr>
            </a:solidFill>
            <a:round/>
          </a:ln>
          <a:effectLst/>
        </c:spPr>
        <c:marker>
          <c:symbol val="none"/>
        </c:marker>
      </c:pivotFmt>
      <c:pivotFmt>
        <c:idx val="58"/>
        <c:spPr>
          <a:solidFill>
            <a:schemeClr val="accent1">
              <a:alpha val="85000"/>
            </a:schemeClr>
          </a:solidFill>
          <a:ln w="31750" cap="rnd" cmpd="sng" algn="ctr">
            <a:solidFill>
              <a:schemeClr val="accent1">
                <a:alpha val="85000"/>
              </a:schemeClr>
            </a:solidFill>
            <a:round/>
          </a:ln>
          <a:effectLst/>
        </c:spPr>
        <c:marker>
          <c:symbol val="none"/>
        </c:marker>
      </c:pivotFmt>
      <c:pivotFmt>
        <c:idx val="59"/>
        <c:spPr>
          <a:solidFill>
            <a:schemeClr val="accent1">
              <a:alpha val="85000"/>
            </a:schemeClr>
          </a:solidFill>
          <a:ln w="31750" cap="rnd" cmpd="sng" algn="ctr">
            <a:solidFill>
              <a:schemeClr val="accent1">
                <a:alpha val="85000"/>
              </a:schemeClr>
            </a:solidFill>
            <a:round/>
          </a:ln>
          <a:effectLst/>
        </c:spPr>
        <c:marker>
          <c:symbol val="none"/>
        </c:marker>
      </c:pivotFmt>
      <c:pivotFmt>
        <c:idx val="60"/>
        <c:spPr>
          <a:solidFill>
            <a:schemeClr val="accent1">
              <a:alpha val="85000"/>
            </a:schemeClr>
          </a:solidFill>
          <a:ln w="31750" cap="rnd" cmpd="sng" algn="ctr">
            <a:solidFill>
              <a:schemeClr val="accent1">
                <a:alpha val="85000"/>
              </a:schemeClr>
            </a:solidFill>
            <a:round/>
          </a:ln>
          <a:effectLst/>
        </c:spPr>
        <c:marker>
          <c:symbol val="none"/>
        </c:marker>
      </c:pivotFmt>
      <c:pivotFmt>
        <c:idx val="61"/>
        <c:spPr>
          <a:solidFill>
            <a:schemeClr val="accent1">
              <a:alpha val="85000"/>
            </a:schemeClr>
          </a:solidFill>
          <a:ln w="31750" cap="rnd" cmpd="sng" algn="ctr">
            <a:solidFill>
              <a:schemeClr val="accent1">
                <a:alpha val="85000"/>
              </a:schemeClr>
            </a:solidFill>
            <a:round/>
          </a:ln>
          <a:effectLst/>
        </c:spPr>
        <c:marker>
          <c:symbol val="none"/>
        </c:marker>
      </c:pivotFmt>
      <c:pivotFmt>
        <c:idx val="62"/>
        <c:spPr>
          <a:solidFill>
            <a:schemeClr val="accent1">
              <a:alpha val="85000"/>
            </a:schemeClr>
          </a:solidFill>
          <a:ln w="31750" cap="rnd" cmpd="sng" algn="ctr">
            <a:solidFill>
              <a:schemeClr val="accent1">
                <a:alpha val="85000"/>
              </a:schemeClr>
            </a:solidFill>
            <a:round/>
          </a:ln>
          <a:effectLst/>
        </c:spPr>
        <c:marker>
          <c:symbol val="none"/>
        </c:marker>
      </c:pivotFmt>
      <c:pivotFmt>
        <c:idx val="63"/>
        <c:spPr>
          <a:solidFill>
            <a:schemeClr val="accent1">
              <a:alpha val="85000"/>
            </a:schemeClr>
          </a:solidFill>
          <a:ln w="31750" cap="rnd" cmpd="sng" algn="ctr">
            <a:solidFill>
              <a:schemeClr val="accent1">
                <a:alpha val="85000"/>
              </a:schemeClr>
            </a:solidFill>
            <a:round/>
          </a:ln>
          <a:effectLst/>
        </c:spPr>
        <c:marker>
          <c:symbol val="none"/>
        </c:marker>
      </c:pivotFmt>
      <c:pivotFmt>
        <c:idx val="64"/>
        <c:spPr>
          <a:solidFill>
            <a:schemeClr val="accent1">
              <a:alpha val="85000"/>
            </a:schemeClr>
          </a:solidFill>
          <a:ln w="31750" cap="rnd" cmpd="sng" algn="ctr">
            <a:solidFill>
              <a:schemeClr val="accent1">
                <a:alpha val="85000"/>
              </a:schemeClr>
            </a:solidFill>
            <a:round/>
          </a:ln>
          <a:effectLst/>
        </c:spPr>
        <c:marker>
          <c:symbol val="none"/>
        </c:marker>
      </c:pivotFmt>
      <c:pivotFmt>
        <c:idx val="65"/>
        <c:spPr>
          <a:solidFill>
            <a:schemeClr val="accent1">
              <a:alpha val="85000"/>
            </a:schemeClr>
          </a:solidFill>
          <a:ln w="31750" cap="rnd" cmpd="sng" algn="ctr">
            <a:solidFill>
              <a:schemeClr val="accent1">
                <a:alpha val="85000"/>
              </a:schemeClr>
            </a:solidFill>
            <a:round/>
          </a:ln>
          <a:effectLst/>
        </c:spPr>
        <c:marker>
          <c:symbol val="none"/>
        </c:marker>
      </c:pivotFmt>
      <c:pivotFmt>
        <c:idx val="66"/>
        <c:spPr>
          <a:solidFill>
            <a:schemeClr val="accent1">
              <a:alpha val="85000"/>
            </a:schemeClr>
          </a:solidFill>
          <a:ln w="31750" cap="rnd" cmpd="sng" algn="ctr">
            <a:solidFill>
              <a:schemeClr val="accent1">
                <a:alpha val="85000"/>
              </a:schemeClr>
            </a:solidFill>
            <a:round/>
          </a:ln>
          <a:effectLst/>
        </c:spPr>
        <c:marker>
          <c:symbol val="none"/>
        </c:marker>
      </c:pivotFmt>
      <c:pivotFmt>
        <c:idx val="67"/>
        <c:spPr>
          <a:solidFill>
            <a:schemeClr val="accent1">
              <a:alpha val="85000"/>
            </a:schemeClr>
          </a:solidFill>
          <a:ln w="31750" cap="rnd" cmpd="sng" algn="ctr">
            <a:solidFill>
              <a:schemeClr val="accent1">
                <a:alpha val="85000"/>
              </a:schemeClr>
            </a:solidFill>
            <a:round/>
          </a:ln>
          <a:effectLst/>
        </c:spPr>
        <c:marker>
          <c:symbol val="none"/>
        </c:marker>
      </c:pivotFmt>
      <c:pivotFmt>
        <c:idx val="68"/>
        <c:spPr>
          <a:solidFill>
            <a:schemeClr val="accent1">
              <a:alpha val="85000"/>
            </a:schemeClr>
          </a:solidFill>
          <a:ln w="31750" cap="rnd" cmpd="sng" algn="ctr">
            <a:solidFill>
              <a:schemeClr val="accent1">
                <a:alpha val="85000"/>
              </a:schemeClr>
            </a:solidFill>
            <a:round/>
          </a:ln>
          <a:effectLst/>
        </c:spPr>
        <c:marker>
          <c:symbol val="none"/>
        </c:marker>
      </c:pivotFmt>
      <c:pivotFmt>
        <c:idx val="69"/>
        <c:spPr>
          <a:solidFill>
            <a:schemeClr val="accent1">
              <a:alpha val="85000"/>
            </a:schemeClr>
          </a:solidFill>
          <a:ln w="31750" cap="rnd" cmpd="sng" algn="ctr">
            <a:solidFill>
              <a:schemeClr val="accent1">
                <a:alpha val="85000"/>
              </a:schemeClr>
            </a:solidFill>
            <a:round/>
          </a:ln>
          <a:effectLst/>
        </c:spPr>
        <c:marker>
          <c:symbol val="none"/>
        </c:marker>
      </c:pivotFmt>
      <c:pivotFmt>
        <c:idx val="70"/>
        <c:spPr>
          <a:solidFill>
            <a:schemeClr val="accent1">
              <a:alpha val="85000"/>
            </a:schemeClr>
          </a:solidFill>
          <a:ln w="31750" cap="rnd" cmpd="sng" algn="ctr">
            <a:solidFill>
              <a:schemeClr val="accent1">
                <a:alpha val="85000"/>
              </a:schemeClr>
            </a:solidFill>
            <a:round/>
          </a:ln>
          <a:effectLst/>
        </c:spPr>
        <c:marker>
          <c:symbol val="none"/>
        </c:marker>
      </c:pivotFmt>
      <c:pivotFmt>
        <c:idx val="71"/>
        <c:spPr>
          <a:solidFill>
            <a:schemeClr val="accent1">
              <a:alpha val="85000"/>
            </a:schemeClr>
          </a:solidFill>
          <a:ln w="31750" cap="rnd" cmpd="sng" algn="ctr">
            <a:solidFill>
              <a:schemeClr val="accent2">
                <a:alpha val="85000"/>
              </a:schemeClr>
            </a:solidFill>
            <a:round/>
          </a:ln>
          <a:effectLst/>
        </c:spPr>
        <c:marker>
          <c:symbol val="none"/>
        </c:marker>
      </c:pivotFmt>
      <c:pivotFmt>
        <c:idx val="72"/>
        <c:spPr>
          <a:solidFill>
            <a:schemeClr val="accent1">
              <a:alpha val="85000"/>
            </a:schemeClr>
          </a:solidFill>
          <a:ln w="31750" cap="rnd" cmpd="sng" algn="ctr">
            <a:solidFill>
              <a:schemeClr val="accent2">
                <a:alpha val="85000"/>
              </a:schemeClr>
            </a:solidFill>
            <a:round/>
          </a:ln>
          <a:effectLst/>
        </c:spPr>
        <c:marker>
          <c:symbol val="none"/>
        </c:marker>
      </c:pivotFmt>
      <c:pivotFmt>
        <c:idx val="73"/>
        <c:spPr>
          <a:solidFill>
            <a:schemeClr val="accent1">
              <a:alpha val="85000"/>
            </a:schemeClr>
          </a:solidFill>
          <a:ln w="31750" cap="rnd" cmpd="sng" algn="ctr">
            <a:solidFill>
              <a:schemeClr val="accent2">
                <a:alpha val="85000"/>
              </a:schemeClr>
            </a:solidFill>
            <a:round/>
          </a:ln>
          <a:effectLst/>
        </c:spPr>
        <c:marker>
          <c:symbol val="none"/>
        </c:marker>
      </c:pivotFmt>
      <c:pivotFmt>
        <c:idx val="74"/>
        <c:spPr>
          <a:solidFill>
            <a:schemeClr val="accent1">
              <a:alpha val="85000"/>
            </a:schemeClr>
          </a:solidFill>
          <a:ln w="31750" cap="rnd" cmpd="sng" algn="ctr">
            <a:solidFill>
              <a:schemeClr val="accent2">
                <a:alpha val="85000"/>
              </a:schemeClr>
            </a:solidFill>
            <a:round/>
          </a:ln>
          <a:effectLst/>
        </c:spPr>
        <c:marker>
          <c:symbol val="none"/>
        </c:marker>
      </c:pivotFmt>
      <c:pivotFmt>
        <c:idx val="75"/>
        <c:spPr>
          <a:solidFill>
            <a:schemeClr val="accent1">
              <a:alpha val="85000"/>
            </a:schemeClr>
          </a:solidFill>
          <a:ln w="31750" cap="rnd" cmpd="sng" algn="ctr">
            <a:solidFill>
              <a:schemeClr val="accent1">
                <a:alpha val="85000"/>
              </a:schemeClr>
            </a:solidFill>
            <a:round/>
          </a:ln>
          <a:effectLst/>
        </c:spPr>
        <c:marker>
          <c:symbol val="none"/>
        </c:marker>
      </c:pivotFmt>
      <c:pivotFmt>
        <c:idx val="76"/>
        <c:spPr>
          <a:solidFill>
            <a:schemeClr val="accent1">
              <a:alpha val="85000"/>
            </a:schemeClr>
          </a:solidFill>
          <a:ln w="31750" cap="rnd" cmpd="sng" algn="ctr">
            <a:solidFill>
              <a:schemeClr val="accent1">
                <a:alpha val="85000"/>
              </a:schemeClr>
            </a:solidFill>
            <a:round/>
          </a:ln>
          <a:effectLst/>
        </c:spPr>
        <c:marker>
          <c:symbol val="none"/>
        </c:marker>
      </c:pivotFmt>
      <c:pivotFmt>
        <c:idx val="77"/>
        <c:spPr>
          <a:solidFill>
            <a:schemeClr val="accent1">
              <a:alpha val="85000"/>
            </a:schemeClr>
          </a:solidFill>
          <a:ln w="31750" cap="rnd" cmpd="sng" algn="ctr">
            <a:solidFill>
              <a:schemeClr val="accent1">
                <a:alpha val="85000"/>
              </a:schemeClr>
            </a:solidFill>
            <a:round/>
          </a:ln>
          <a:effectLst/>
        </c:spPr>
        <c:marker>
          <c:symbol val="none"/>
        </c:marker>
      </c:pivotFmt>
      <c:pivotFmt>
        <c:idx val="78"/>
        <c:spPr>
          <a:solidFill>
            <a:schemeClr val="accent1">
              <a:alpha val="85000"/>
            </a:schemeClr>
          </a:solidFill>
          <a:ln w="31750" cap="rnd" cmpd="sng" algn="ctr">
            <a:solidFill>
              <a:schemeClr val="accent1">
                <a:alpha val="85000"/>
              </a:schemeClr>
            </a:solidFill>
            <a:round/>
          </a:ln>
          <a:effectLst/>
        </c:spPr>
        <c:marker>
          <c:symbol val="none"/>
        </c:marker>
      </c:pivotFmt>
      <c:pivotFmt>
        <c:idx val="79"/>
        <c:spPr>
          <a:solidFill>
            <a:schemeClr val="accent1">
              <a:alpha val="85000"/>
            </a:schemeClr>
          </a:solidFill>
          <a:ln w="31750" cap="rnd" cmpd="sng" algn="ctr">
            <a:solidFill>
              <a:schemeClr val="accent1">
                <a:alpha val="85000"/>
              </a:schemeClr>
            </a:solidFill>
            <a:round/>
          </a:ln>
          <a:effectLst/>
        </c:spPr>
        <c:marker>
          <c:symbol val="none"/>
        </c:marker>
      </c:pivotFmt>
      <c:pivotFmt>
        <c:idx val="80"/>
        <c:spPr>
          <a:solidFill>
            <a:schemeClr val="accent1">
              <a:alpha val="85000"/>
            </a:schemeClr>
          </a:solidFill>
          <a:ln w="31750" cap="rnd" cmpd="sng" algn="ctr">
            <a:solidFill>
              <a:schemeClr val="accent1">
                <a:alpha val="85000"/>
              </a:schemeClr>
            </a:solidFill>
            <a:round/>
          </a:ln>
          <a:effectLst/>
        </c:spPr>
        <c:marker>
          <c:symbol val="none"/>
        </c:marker>
      </c:pivotFmt>
      <c:pivotFmt>
        <c:idx val="81"/>
        <c:spPr>
          <a:solidFill>
            <a:schemeClr val="accent1">
              <a:alpha val="85000"/>
            </a:schemeClr>
          </a:solidFill>
          <a:ln w="31750" cap="rnd" cmpd="sng" algn="ctr">
            <a:solidFill>
              <a:schemeClr val="accent1">
                <a:alpha val="85000"/>
              </a:schemeClr>
            </a:solidFill>
            <a:round/>
          </a:ln>
          <a:effectLst/>
        </c:spPr>
        <c:marker>
          <c:symbol val="none"/>
        </c:marker>
      </c:pivotFmt>
      <c:pivotFmt>
        <c:idx val="82"/>
        <c:spPr>
          <a:solidFill>
            <a:schemeClr val="accent1">
              <a:alpha val="85000"/>
            </a:schemeClr>
          </a:solidFill>
          <a:ln w="31750" cap="rnd" cmpd="sng" algn="ctr">
            <a:solidFill>
              <a:schemeClr val="accent1">
                <a:alpha val="85000"/>
              </a:schemeClr>
            </a:solidFill>
            <a:round/>
          </a:ln>
          <a:effectLst/>
        </c:spPr>
        <c:marker>
          <c:symbol val="none"/>
        </c:marker>
      </c:pivotFmt>
      <c:pivotFmt>
        <c:idx val="83"/>
        <c:spPr>
          <a:solidFill>
            <a:schemeClr val="accent1">
              <a:alpha val="85000"/>
            </a:schemeClr>
          </a:solidFill>
          <a:ln w="31750" cap="rnd" cmpd="sng" algn="ctr">
            <a:solidFill>
              <a:schemeClr val="accent1">
                <a:alpha val="85000"/>
              </a:schemeClr>
            </a:solidFill>
            <a:round/>
          </a:ln>
          <a:effectLst/>
        </c:spPr>
        <c:marker>
          <c:symbol val="none"/>
        </c:marker>
      </c:pivotFmt>
      <c:pivotFmt>
        <c:idx val="84"/>
        <c:spPr>
          <a:solidFill>
            <a:schemeClr val="accent1">
              <a:alpha val="85000"/>
            </a:schemeClr>
          </a:solidFill>
          <a:ln w="31750" cap="rnd" cmpd="sng" algn="ctr">
            <a:solidFill>
              <a:schemeClr val="accent1">
                <a:alpha val="85000"/>
              </a:schemeClr>
            </a:solidFill>
            <a:round/>
          </a:ln>
          <a:effectLst/>
        </c:spPr>
        <c:marker>
          <c:symbol val="none"/>
        </c:marker>
      </c:pivotFmt>
      <c:pivotFmt>
        <c:idx val="85"/>
        <c:spPr>
          <a:solidFill>
            <a:schemeClr val="accent1">
              <a:alpha val="85000"/>
            </a:schemeClr>
          </a:solidFill>
          <a:ln w="31750" cap="rnd" cmpd="sng" algn="ctr">
            <a:solidFill>
              <a:schemeClr val="accent1">
                <a:alpha val="85000"/>
              </a:schemeClr>
            </a:solidFill>
            <a:round/>
          </a:ln>
          <a:effectLst/>
        </c:spPr>
        <c:marker>
          <c:symbol val="none"/>
        </c:marker>
      </c:pivotFmt>
      <c:pivotFmt>
        <c:idx val="86"/>
        <c:spPr>
          <a:solidFill>
            <a:schemeClr val="accent1">
              <a:alpha val="85000"/>
            </a:schemeClr>
          </a:solidFill>
          <a:ln w="31750" cap="rnd" cmpd="sng" algn="ctr">
            <a:solidFill>
              <a:schemeClr val="accent1">
                <a:alpha val="85000"/>
              </a:schemeClr>
            </a:solidFill>
            <a:round/>
          </a:ln>
          <a:effectLst/>
        </c:spPr>
        <c:marker>
          <c:symbol val="none"/>
        </c:marker>
      </c:pivotFmt>
      <c:pivotFmt>
        <c:idx val="87"/>
        <c:spPr>
          <a:solidFill>
            <a:schemeClr val="accent1">
              <a:alpha val="85000"/>
            </a:schemeClr>
          </a:solidFill>
          <a:ln w="31750" cap="rnd" cmpd="sng" algn="ctr">
            <a:solidFill>
              <a:schemeClr val="accent1">
                <a:alpha val="85000"/>
              </a:schemeClr>
            </a:solidFill>
            <a:round/>
          </a:ln>
          <a:effectLst/>
        </c:spPr>
        <c:marker>
          <c:symbol val="none"/>
        </c:marker>
      </c:pivotFmt>
      <c:pivotFmt>
        <c:idx val="88"/>
        <c:spPr>
          <a:solidFill>
            <a:schemeClr val="accent1">
              <a:alpha val="85000"/>
            </a:schemeClr>
          </a:solidFill>
          <a:ln w="31750" cap="rnd" cmpd="sng" algn="ctr">
            <a:solidFill>
              <a:schemeClr val="accent1">
                <a:alpha val="85000"/>
              </a:schemeClr>
            </a:solidFill>
            <a:round/>
          </a:ln>
          <a:effectLst/>
        </c:spPr>
        <c:marker>
          <c:symbol val="none"/>
        </c:marker>
      </c:pivotFmt>
      <c:pivotFmt>
        <c:idx val="89"/>
        <c:spPr>
          <a:solidFill>
            <a:schemeClr val="accent1">
              <a:alpha val="85000"/>
            </a:schemeClr>
          </a:solidFill>
          <a:ln w="31750" cap="rnd" cmpd="sng" algn="ctr">
            <a:solidFill>
              <a:schemeClr val="accent1">
                <a:alpha val="85000"/>
              </a:schemeClr>
            </a:solidFill>
            <a:round/>
          </a:ln>
          <a:effectLst/>
        </c:spPr>
        <c:marker>
          <c:symbol val="none"/>
        </c:marker>
      </c:pivotFmt>
      <c:pivotFmt>
        <c:idx val="90"/>
        <c:spPr>
          <a:solidFill>
            <a:schemeClr val="accent1">
              <a:alpha val="85000"/>
            </a:schemeClr>
          </a:solidFill>
          <a:ln w="31750" cap="rnd" cmpd="sng" algn="ctr">
            <a:solidFill>
              <a:schemeClr val="accent1">
                <a:alpha val="85000"/>
              </a:schemeClr>
            </a:solidFill>
            <a:round/>
          </a:ln>
          <a:effectLst/>
        </c:spPr>
        <c:marker>
          <c:symbol val="none"/>
        </c:marker>
      </c:pivotFmt>
      <c:pivotFmt>
        <c:idx val="91"/>
        <c:spPr>
          <a:solidFill>
            <a:schemeClr val="accent1">
              <a:alpha val="85000"/>
            </a:schemeClr>
          </a:solidFill>
          <a:ln w="31750" cap="rnd" cmpd="sng" algn="ctr">
            <a:solidFill>
              <a:schemeClr val="accent1">
                <a:alpha val="85000"/>
              </a:schemeClr>
            </a:solidFill>
            <a:round/>
          </a:ln>
          <a:effectLst/>
        </c:spPr>
        <c:marker>
          <c:symbol val="none"/>
        </c:marker>
      </c:pivotFmt>
      <c:pivotFmt>
        <c:idx val="92"/>
        <c:spPr>
          <a:solidFill>
            <a:schemeClr val="accent1">
              <a:alpha val="85000"/>
            </a:schemeClr>
          </a:solidFill>
          <a:ln w="31750" cap="rnd" cmpd="sng" algn="ctr">
            <a:solidFill>
              <a:schemeClr val="accent1">
                <a:alpha val="85000"/>
              </a:schemeClr>
            </a:solidFill>
            <a:round/>
          </a:ln>
          <a:effectLst/>
        </c:spPr>
        <c:marker>
          <c:symbol val="none"/>
        </c:marker>
      </c:pivotFmt>
      <c:pivotFmt>
        <c:idx val="93"/>
        <c:spPr>
          <a:solidFill>
            <a:schemeClr val="accent1">
              <a:alpha val="85000"/>
            </a:schemeClr>
          </a:solidFill>
          <a:ln w="31750" cap="rnd" cmpd="sng" algn="ctr">
            <a:solidFill>
              <a:schemeClr val="accent1">
                <a:alpha val="85000"/>
              </a:schemeClr>
            </a:solidFill>
            <a:round/>
          </a:ln>
          <a:effectLst/>
        </c:spPr>
        <c:marker>
          <c:symbol val="none"/>
        </c:marker>
      </c:pivotFmt>
      <c:pivotFmt>
        <c:idx val="94"/>
        <c:spPr>
          <a:solidFill>
            <a:schemeClr val="accent1">
              <a:alpha val="85000"/>
            </a:schemeClr>
          </a:solidFill>
          <a:ln w="31750" cap="rnd" cmpd="sng" algn="ctr">
            <a:solidFill>
              <a:schemeClr val="accent1">
                <a:alpha val="85000"/>
              </a:schemeClr>
            </a:solidFill>
            <a:round/>
          </a:ln>
          <a:effectLst/>
        </c:spPr>
        <c:marker>
          <c:symbol val="none"/>
        </c:marker>
      </c:pivotFmt>
      <c:pivotFmt>
        <c:idx val="95"/>
        <c:spPr>
          <a:solidFill>
            <a:schemeClr val="accent1">
              <a:alpha val="85000"/>
            </a:schemeClr>
          </a:solidFill>
          <a:ln w="31750" cap="rnd" cmpd="sng" algn="ctr">
            <a:solidFill>
              <a:schemeClr val="accent2">
                <a:alpha val="85000"/>
              </a:schemeClr>
            </a:solidFill>
            <a:round/>
          </a:ln>
          <a:effectLst/>
        </c:spPr>
        <c:marker>
          <c:symbol val="none"/>
        </c:marker>
      </c:pivotFmt>
      <c:pivotFmt>
        <c:idx val="96"/>
        <c:spPr>
          <a:solidFill>
            <a:schemeClr val="accent1">
              <a:alpha val="85000"/>
            </a:schemeClr>
          </a:solidFill>
          <a:ln w="31750" cap="rnd" cmpd="sng" algn="ctr">
            <a:solidFill>
              <a:schemeClr val="accent2">
                <a:alpha val="85000"/>
              </a:schemeClr>
            </a:solidFill>
            <a:round/>
          </a:ln>
          <a:effectLst/>
        </c:spPr>
        <c:marker>
          <c:symbol val="none"/>
        </c:marker>
      </c:pivotFmt>
      <c:pivotFmt>
        <c:idx val="97"/>
        <c:spPr>
          <a:solidFill>
            <a:schemeClr val="accent1">
              <a:alpha val="85000"/>
            </a:schemeClr>
          </a:solidFill>
          <a:ln w="31750" cap="rnd" cmpd="sng" algn="ctr">
            <a:solidFill>
              <a:schemeClr val="accent2">
                <a:alpha val="85000"/>
              </a:schemeClr>
            </a:solidFill>
            <a:round/>
          </a:ln>
          <a:effectLst/>
        </c:spPr>
        <c:marker>
          <c:symbol val="none"/>
        </c:marker>
      </c:pivotFmt>
      <c:pivotFmt>
        <c:idx val="98"/>
        <c:spPr>
          <a:solidFill>
            <a:schemeClr val="accent1">
              <a:alpha val="85000"/>
            </a:schemeClr>
          </a:solidFill>
          <a:ln w="31750" cap="rnd" cmpd="sng" algn="ctr">
            <a:solidFill>
              <a:schemeClr val="accent2">
                <a:alpha val="85000"/>
              </a:schemeClr>
            </a:solidFill>
            <a:round/>
          </a:ln>
          <a:effectLst/>
        </c:spPr>
        <c:marker>
          <c:symbol val="none"/>
        </c:marker>
      </c:pivotFmt>
      <c:pivotFmt>
        <c:idx val="99"/>
        <c:spPr>
          <a:solidFill>
            <a:schemeClr val="accent1">
              <a:alpha val="85000"/>
            </a:schemeClr>
          </a:solidFill>
          <a:ln w="31750" cap="rnd" cmpd="sng" algn="ctr">
            <a:solidFill>
              <a:schemeClr val="accent3">
                <a:alpha val="85000"/>
              </a:schemeClr>
            </a:solidFill>
            <a:round/>
          </a:ln>
          <a:effectLst/>
        </c:spPr>
        <c:marker>
          <c:symbol val="none"/>
        </c:marker>
      </c:pivotFmt>
      <c:pivotFmt>
        <c:idx val="100"/>
        <c:spPr>
          <a:solidFill>
            <a:schemeClr val="accent1">
              <a:alpha val="85000"/>
            </a:schemeClr>
          </a:solidFill>
          <a:ln w="31750" cap="rnd" cmpd="sng" algn="ctr">
            <a:solidFill>
              <a:schemeClr val="accent3">
                <a:alpha val="85000"/>
              </a:schemeClr>
            </a:solidFill>
            <a:round/>
          </a:ln>
          <a:effectLst/>
        </c:spPr>
        <c:marker>
          <c:symbol val="none"/>
        </c:marker>
      </c:pivotFmt>
      <c:pivotFmt>
        <c:idx val="101"/>
        <c:spPr>
          <a:solidFill>
            <a:schemeClr val="accent1">
              <a:alpha val="85000"/>
            </a:schemeClr>
          </a:solidFill>
          <a:ln w="31750" cap="rnd" cmpd="sng" algn="ctr">
            <a:solidFill>
              <a:schemeClr val="accent3">
                <a:alpha val="85000"/>
              </a:schemeClr>
            </a:solidFill>
            <a:round/>
          </a:ln>
          <a:effectLst/>
        </c:spPr>
        <c:marker>
          <c:symbol val="none"/>
        </c:marker>
      </c:pivotFmt>
      <c:pivotFmt>
        <c:idx val="102"/>
        <c:spPr>
          <a:solidFill>
            <a:schemeClr val="accent1">
              <a:alpha val="85000"/>
            </a:schemeClr>
          </a:solidFill>
          <a:ln w="31750" cap="rnd" cmpd="sng" algn="ctr">
            <a:solidFill>
              <a:schemeClr val="accent3">
                <a:alpha val="85000"/>
              </a:schemeClr>
            </a:solidFill>
            <a:round/>
          </a:ln>
          <a:effectLst/>
        </c:spPr>
        <c:marker>
          <c:symbol val="none"/>
        </c:marker>
      </c:pivotFmt>
      <c:pivotFmt>
        <c:idx val="103"/>
        <c:spPr>
          <a:solidFill>
            <a:schemeClr val="accent1">
              <a:alpha val="85000"/>
            </a:schemeClr>
          </a:solidFill>
          <a:ln w="31750" cap="rnd" cmpd="sng" algn="ctr">
            <a:solidFill>
              <a:schemeClr val="accent1">
                <a:alpha val="85000"/>
              </a:schemeClr>
            </a:solidFill>
            <a:round/>
          </a:ln>
          <a:effectLst/>
        </c:spPr>
        <c:marker>
          <c:symbol val="none"/>
        </c:marker>
      </c:pivotFmt>
      <c:pivotFmt>
        <c:idx val="104"/>
        <c:spPr>
          <a:solidFill>
            <a:schemeClr val="accent1">
              <a:alpha val="85000"/>
            </a:schemeClr>
          </a:solidFill>
          <a:ln w="31750" cap="rnd" cmpd="sng" algn="ctr">
            <a:solidFill>
              <a:schemeClr val="accent1">
                <a:alpha val="85000"/>
              </a:schemeClr>
            </a:solidFill>
            <a:round/>
          </a:ln>
          <a:effectLst/>
        </c:spPr>
        <c:marker>
          <c:symbol val="none"/>
        </c:marker>
      </c:pivotFmt>
      <c:pivotFmt>
        <c:idx val="105"/>
        <c:spPr>
          <a:solidFill>
            <a:schemeClr val="accent1">
              <a:alpha val="85000"/>
            </a:schemeClr>
          </a:solidFill>
          <a:ln w="31750" cap="rnd" cmpd="sng" algn="ctr">
            <a:solidFill>
              <a:schemeClr val="accent1">
                <a:alpha val="85000"/>
              </a:schemeClr>
            </a:solidFill>
            <a:round/>
          </a:ln>
          <a:effectLst/>
        </c:spPr>
        <c:marker>
          <c:symbol val="none"/>
        </c:marker>
      </c:pivotFmt>
      <c:pivotFmt>
        <c:idx val="106"/>
        <c:spPr>
          <a:solidFill>
            <a:schemeClr val="accent1">
              <a:alpha val="85000"/>
            </a:schemeClr>
          </a:solidFill>
          <a:ln w="31750" cap="rnd" cmpd="sng" algn="ctr">
            <a:solidFill>
              <a:schemeClr val="accent1">
                <a:alpha val="85000"/>
              </a:schemeClr>
            </a:solidFill>
            <a:round/>
          </a:ln>
          <a:effectLst/>
        </c:spPr>
        <c:marker>
          <c:symbol val="none"/>
        </c:marker>
      </c:pivotFmt>
      <c:pivotFmt>
        <c:idx val="107"/>
        <c:spPr>
          <a:solidFill>
            <a:schemeClr val="accent1">
              <a:alpha val="85000"/>
            </a:schemeClr>
          </a:solidFill>
          <a:ln w="31750" cap="rnd" cmpd="sng" algn="ctr">
            <a:solidFill>
              <a:schemeClr val="accent2">
                <a:alpha val="85000"/>
              </a:schemeClr>
            </a:solidFill>
            <a:round/>
          </a:ln>
          <a:effectLst/>
        </c:spPr>
        <c:marker>
          <c:symbol val="none"/>
        </c:marker>
      </c:pivotFmt>
      <c:pivotFmt>
        <c:idx val="108"/>
        <c:spPr>
          <a:solidFill>
            <a:schemeClr val="accent1">
              <a:alpha val="85000"/>
            </a:schemeClr>
          </a:solidFill>
          <a:ln w="31750" cap="rnd" cmpd="sng" algn="ctr">
            <a:solidFill>
              <a:schemeClr val="accent2">
                <a:alpha val="85000"/>
              </a:schemeClr>
            </a:solidFill>
            <a:round/>
          </a:ln>
          <a:effectLst/>
        </c:spPr>
        <c:marker>
          <c:symbol val="none"/>
        </c:marker>
      </c:pivotFmt>
      <c:pivotFmt>
        <c:idx val="109"/>
        <c:spPr>
          <a:solidFill>
            <a:schemeClr val="accent1">
              <a:alpha val="85000"/>
            </a:schemeClr>
          </a:solidFill>
          <a:ln w="31750" cap="rnd" cmpd="sng" algn="ctr">
            <a:solidFill>
              <a:schemeClr val="accent2">
                <a:alpha val="85000"/>
              </a:schemeClr>
            </a:solidFill>
            <a:round/>
          </a:ln>
          <a:effectLst/>
        </c:spPr>
        <c:marker>
          <c:symbol val="none"/>
        </c:marker>
      </c:pivotFmt>
      <c:pivotFmt>
        <c:idx val="110"/>
        <c:spPr>
          <a:solidFill>
            <a:schemeClr val="accent1">
              <a:alpha val="85000"/>
            </a:schemeClr>
          </a:solidFill>
          <a:ln w="31750" cap="rnd" cmpd="sng" algn="ctr">
            <a:solidFill>
              <a:schemeClr val="accent2">
                <a:alpha val="85000"/>
              </a:schemeClr>
            </a:solidFill>
            <a:round/>
          </a:ln>
          <a:effectLst/>
        </c:spPr>
        <c:marker>
          <c:symbol val="none"/>
        </c:marker>
      </c:pivotFmt>
      <c:pivotFmt>
        <c:idx val="111"/>
        <c:spPr>
          <a:solidFill>
            <a:schemeClr val="accent1">
              <a:alpha val="85000"/>
            </a:schemeClr>
          </a:solidFill>
          <a:ln w="31750" cap="rnd" cmpd="sng" algn="ctr">
            <a:solidFill>
              <a:schemeClr val="accent3">
                <a:alpha val="85000"/>
              </a:schemeClr>
            </a:solidFill>
            <a:round/>
          </a:ln>
          <a:effectLst/>
        </c:spPr>
        <c:marker>
          <c:symbol val="none"/>
        </c:marker>
      </c:pivotFmt>
      <c:pivotFmt>
        <c:idx val="112"/>
        <c:spPr>
          <a:solidFill>
            <a:schemeClr val="accent1">
              <a:alpha val="85000"/>
            </a:schemeClr>
          </a:solidFill>
          <a:ln w="31750" cap="rnd" cmpd="sng" algn="ctr">
            <a:solidFill>
              <a:schemeClr val="accent3">
                <a:alpha val="85000"/>
              </a:schemeClr>
            </a:solidFill>
            <a:round/>
          </a:ln>
          <a:effectLst/>
        </c:spPr>
        <c:marker>
          <c:symbol val="none"/>
        </c:marker>
      </c:pivotFmt>
      <c:pivotFmt>
        <c:idx val="113"/>
        <c:spPr>
          <a:solidFill>
            <a:schemeClr val="accent1">
              <a:alpha val="85000"/>
            </a:schemeClr>
          </a:solidFill>
          <a:ln w="31750" cap="rnd" cmpd="sng" algn="ctr">
            <a:solidFill>
              <a:schemeClr val="accent3">
                <a:alpha val="85000"/>
              </a:schemeClr>
            </a:solidFill>
            <a:round/>
          </a:ln>
          <a:effectLst/>
        </c:spPr>
        <c:marker>
          <c:symbol val="none"/>
        </c:marker>
      </c:pivotFmt>
      <c:pivotFmt>
        <c:idx val="114"/>
        <c:spPr>
          <a:solidFill>
            <a:schemeClr val="accent1">
              <a:alpha val="85000"/>
            </a:schemeClr>
          </a:solidFill>
          <a:ln w="31750" cap="rnd" cmpd="sng" algn="ctr">
            <a:solidFill>
              <a:schemeClr val="accent3">
                <a:alpha val="85000"/>
              </a:schemeClr>
            </a:solidFill>
            <a:round/>
          </a:ln>
          <a:effectLst/>
        </c:spPr>
        <c:marker>
          <c:symbol val="none"/>
        </c:marker>
      </c:pivotFmt>
      <c:pivotFmt>
        <c:idx val="115"/>
        <c:spPr>
          <a:solidFill>
            <a:schemeClr val="accent1">
              <a:alpha val="85000"/>
            </a:schemeClr>
          </a:solidFill>
          <a:ln w="31750" cap="rnd" cmpd="sng" algn="ctr">
            <a:solidFill>
              <a:schemeClr val="accent1">
                <a:alpha val="85000"/>
              </a:schemeClr>
            </a:solidFill>
            <a:round/>
          </a:ln>
          <a:effectLst/>
        </c:spPr>
        <c:marker>
          <c:symbol val="none"/>
        </c:marker>
      </c:pivotFmt>
      <c:pivotFmt>
        <c:idx val="116"/>
        <c:spPr>
          <a:solidFill>
            <a:schemeClr val="accent1">
              <a:alpha val="85000"/>
            </a:schemeClr>
          </a:solidFill>
          <a:ln w="31750" cap="rnd" cmpd="sng" algn="ctr">
            <a:solidFill>
              <a:schemeClr val="accent1">
                <a:alpha val="85000"/>
              </a:schemeClr>
            </a:solidFill>
            <a:round/>
          </a:ln>
          <a:effectLst/>
        </c:spPr>
        <c:marker>
          <c:symbol val="none"/>
        </c:marker>
      </c:pivotFmt>
      <c:pivotFmt>
        <c:idx val="117"/>
        <c:spPr>
          <a:solidFill>
            <a:schemeClr val="accent1">
              <a:alpha val="85000"/>
            </a:schemeClr>
          </a:solidFill>
          <a:ln w="31750" cap="rnd" cmpd="sng" algn="ctr">
            <a:solidFill>
              <a:schemeClr val="accent1">
                <a:alpha val="85000"/>
              </a:schemeClr>
            </a:solidFill>
            <a:round/>
          </a:ln>
          <a:effectLst/>
        </c:spPr>
        <c:marker>
          <c:symbol val="none"/>
        </c:marker>
      </c:pivotFmt>
      <c:pivotFmt>
        <c:idx val="118"/>
        <c:spPr>
          <a:solidFill>
            <a:schemeClr val="accent1">
              <a:alpha val="85000"/>
            </a:schemeClr>
          </a:solidFill>
          <a:ln w="31750" cap="rnd" cmpd="sng" algn="ctr">
            <a:solidFill>
              <a:schemeClr val="accent1">
                <a:alpha val="85000"/>
              </a:schemeClr>
            </a:solidFill>
            <a:round/>
          </a:ln>
          <a:effectLst/>
        </c:spPr>
        <c:marker>
          <c:symbol val="none"/>
        </c:marker>
      </c:pivotFmt>
      <c:pivotFmt>
        <c:idx val="119"/>
        <c:spPr>
          <a:solidFill>
            <a:schemeClr val="accent1">
              <a:alpha val="85000"/>
            </a:schemeClr>
          </a:solidFill>
          <a:ln w="31750" cap="rnd" cmpd="sng" algn="ctr">
            <a:solidFill>
              <a:schemeClr val="accent2">
                <a:alpha val="85000"/>
              </a:schemeClr>
            </a:solidFill>
            <a:round/>
          </a:ln>
          <a:effectLst/>
        </c:spPr>
        <c:marker>
          <c:symbol val="none"/>
        </c:marker>
      </c:pivotFmt>
      <c:pivotFmt>
        <c:idx val="120"/>
        <c:spPr>
          <a:solidFill>
            <a:schemeClr val="accent1">
              <a:alpha val="85000"/>
            </a:schemeClr>
          </a:solidFill>
          <a:ln w="31750" cap="rnd" cmpd="sng" algn="ctr">
            <a:solidFill>
              <a:schemeClr val="accent2">
                <a:alpha val="85000"/>
              </a:schemeClr>
            </a:solidFill>
            <a:round/>
          </a:ln>
          <a:effectLst/>
        </c:spPr>
        <c:marker>
          <c:symbol val="none"/>
        </c:marker>
      </c:pivotFmt>
      <c:pivotFmt>
        <c:idx val="121"/>
        <c:spPr>
          <a:solidFill>
            <a:schemeClr val="accent1">
              <a:alpha val="85000"/>
            </a:schemeClr>
          </a:solidFill>
          <a:ln w="31750" cap="rnd" cmpd="sng" algn="ctr">
            <a:solidFill>
              <a:schemeClr val="accent2">
                <a:alpha val="85000"/>
              </a:schemeClr>
            </a:solidFill>
            <a:round/>
          </a:ln>
          <a:effectLst/>
        </c:spPr>
        <c:marker>
          <c:symbol val="none"/>
        </c:marker>
      </c:pivotFmt>
      <c:pivotFmt>
        <c:idx val="122"/>
        <c:spPr>
          <a:solidFill>
            <a:schemeClr val="accent1">
              <a:alpha val="85000"/>
            </a:schemeClr>
          </a:solidFill>
          <a:ln w="31750" cap="rnd" cmpd="sng" algn="ctr">
            <a:solidFill>
              <a:schemeClr val="accent2">
                <a:alpha val="85000"/>
              </a:schemeClr>
            </a:solidFill>
            <a:round/>
          </a:ln>
          <a:effectLst/>
        </c:spPr>
        <c:marker>
          <c:symbol val="none"/>
        </c:marker>
      </c:pivotFmt>
      <c:pivotFmt>
        <c:idx val="123"/>
        <c:spPr>
          <a:solidFill>
            <a:schemeClr val="accent1">
              <a:alpha val="85000"/>
            </a:schemeClr>
          </a:solidFill>
          <a:ln w="31750" cap="rnd" cmpd="sng" algn="ctr">
            <a:solidFill>
              <a:schemeClr val="accent1">
                <a:alpha val="85000"/>
              </a:schemeClr>
            </a:solidFill>
            <a:round/>
          </a:ln>
          <a:effectLst/>
        </c:spPr>
        <c:marker>
          <c:symbol val="none"/>
        </c:marker>
      </c:pivotFmt>
      <c:pivotFmt>
        <c:idx val="124"/>
        <c:spPr>
          <a:solidFill>
            <a:schemeClr val="accent1">
              <a:alpha val="85000"/>
            </a:schemeClr>
          </a:solidFill>
          <a:ln w="31750" cap="rnd" cmpd="sng" algn="ctr">
            <a:solidFill>
              <a:schemeClr val="accent1">
                <a:alpha val="85000"/>
              </a:schemeClr>
            </a:solidFill>
            <a:round/>
          </a:ln>
          <a:effectLst/>
        </c:spPr>
        <c:marker>
          <c:symbol val="none"/>
        </c:marker>
      </c:pivotFmt>
      <c:pivotFmt>
        <c:idx val="125"/>
        <c:spPr>
          <a:solidFill>
            <a:schemeClr val="accent1">
              <a:alpha val="85000"/>
            </a:schemeClr>
          </a:solidFill>
          <a:ln w="31750" cap="rnd" cmpd="sng" algn="ctr">
            <a:solidFill>
              <a:schemeClr val="accent1">
                <a:alpha val="85000"/>
              </a:schemeClr>
            </a:solidFill>
            <a:round/>
          </a:ln>
          <a:effectLst/>
        </c:spPr>
        <c:marker>
          <c:symbol val="none"/>
        </c:marker>
      </c:pivotFmt>
      <c:pivotFmt>
        <c:idx val="126"/>
        <c:spPr>
          <a:solidFill>
            <a:schemeClr val="accent1">
              <a:alpha val="85000"/>
            </a:schemeClr>
          </a:solidFill>
          <a:ln w="31750" cap="rnd" cmpd="sng" algn="ctr">
            <a:solidFill>
              <a:schemeClr val="accent1">
                <a:alpha val="85000"/>
              </a:schemeClr>
            </a:solidFill>
            <a:round/>
          </a:ln>
          <a:effectLst/>
        </c:spPr>
        <c:marker>
          <c:symbol val="none"/>
        </c:marker>
      </c:pivotFmt>
      <c:pivotFmt>
        <c:idx val="127"/>
        <c:spPr>
          <a:solidFill>
            <a:schemeClr val="accent1">
              <a:alpha val="85000"/>
            </a:schemeClr>
          </a:solidFill>
          <a:ln w="31750" cap="rnd" cmpd="sng" algn="ctr">
            <a:solidFill>
              <a:schemeClr val="accent1">
                <a:alpha val="85000"/>
              </a:schemeClr>
            </a:solidFill>
            <a:round/>
          </a:ln>
          <a:effectLst/>
        </c:spPr>
        <c:marker>
          <c:symbol val="none"/>
        </c:marker>
      </c:pivotFmt>
      <c:pivotFmt>
        <c:idx val="128"/>
        <c:spPr>
          <a:solidFill>
            <a:schemeClr val="accent1">
              <a:alpha val="85000"/>
            </a:schemeClr>
          </a:solidFill>
          <a:ln w="31750" cap="rnd" cmpd="sng" algn="ctr">
            <a:solidFill>
              <a:schemeClr val="accent1">
                <a:alpha val="85000"/>
              </a:schemeClr>
            </a:solidFill>
            <a:round/>
          </a:ln>
          <a:effectLst/>
        </c:spPr>
        <c:marker>
          <c:symbol val="none"/>
        </c:marker>
      </c:pivotFmt>
      <c:pivotFmt>
        <c:idx val="129"/>
        <c:spPr>
          <a:solidFill>
            <a:schemeClr val="accent1">
              <a:alpha val="85000"/>
            </a:schemeClr>
          </a:solidFill>
          <a:ln w="31750" cap="rnd" cmpd="sng" algn="ctr">
            <a:solidFill>
              <a:schemeClr val="accent1">
                <a:alpha val="85000"/>
              </a:schemeClr>
            </a:solidFill>
            <a:round/>
          </a:ln>
          <a:effectLst/>
        </c:spPr>
        <c:marker>
          <c:symbol val="none"/>
        </c:marker>
      </c:pivotFmt>
      <c:pivotFmt>
        <c:idx val="130"/>
        <c:spPr>
          <a:solidFill>
            <a:schemeClr val="accent1">
              <a:alpha val="85000"/>
            </a:schemeClr>
          </a:solidFill>
          <a:ln w="31750" cap="rnd" cmpd="sng" algn="ctr">
            <a:solidFill>
              <a:schemeClr val="accent1">
                <a:alpha val="85000"/>
              </a:schemeClr>
            </a:solidFill>
            <a:round/>
          </a:ln>
          <a:effectLst/>
        </c:spPr>
        <c:marker>
          <c:symbol val="none"/>
        </c:marker>
      </c:pivotFmt>
      <c:pivotFmt>
        <c:idx val="131"/>
        <c:spPr>
          <a:solidFill>
            <a:schemeClr val="accent1">
              <a:alpha val="85000"/>
            </a:schemeClr>
          </a:solidFill>
          <a:ln w="31750" cap="rnd" cmpd="sng" algn="ctr">
            <a:solidFill>
              <a:schemeClr val="accent1">
                <a:alpha val="85000"/>
              </a:schemeClr>
            </a:solidFill>
            <a:round/>
          </a:ln>
          <a:effectLst/>
        </c:spPr>
        <c:marker>
          <c:symbol val="none"/>
        </c:marker>
      </c:pivotFmt>
      <c:pivotFmt>
        <c:idx val="132"/>
        <c:spPr>
          <a:solidFill>
            <a:schemeClr val="accent1">
              <a:alpha val="85000"/>
            </a:schemeClr>
          </a:solidFill>
          <a:ln w="31750" cap="rnd" cmpd="sng" algn="ctr">
            <a:solidFill>
              <a:schemeClr val="accent1">
                <a:alpha val="85000"/>
              </a:schemeClr>
            </a:solidFill>
            <a:round/>
          </a:ln>
          <a:effectLst/>
        </c:spPr>
        <c:marker>
          <c:symbol val="none"/>
        </c:marker>
      </c:pivotFmt>
      <c:pivotFmt>
        <c:idx val="133"/>
        <c:spPr>
          <a:solidFill>
            <a:schemeClr val="accent1">
              <a:alpha val="85000"/>
            </a:schemeClr>
          </a:solidFill>
          <a:ln w="31750" cap="rnd" cmpd="sng" algn="ctr">
            <a:solidFill>
              <a:schemeClr val="accent1">
                <a:alpha val="85000"/>
              </a:schemeClr>
            </a:solidFill>
            <a:round/>
          </a:ln>
          <a:effectLst/>
        </c:spPr>
        <c:marker>
          <c:symbol val="none"/>
        </c:marker>
      </c:pivotFmt>
      <c:pivotFmt>
        <c:idx val="134"/>
        <c:spPr>
          <a:solidFill>
            <a:schemeClr val="accent1">
              <a:alpha val="85000"/>
            </a:schemeClr>
          </a:solidFill>
          <a:ln w="31750" cap="rnd" cmpd="sng" algn="ctr">
            <a:solidFill>
              <a:schemeClr val="accent1">
                <a:alpha val="85000"/>
              </a:schemeClr>
            </a:solidFill>
            <a:round/>
          </a:ln>
          <a:effectLst/>
        </c:spPr>
        <c:marker>
          <c:symbol val="none"/>
        </c:marker>
      </c:pivotFmt>
      <c:pivotFmt>
        <c:idx val="135"/>
        <c:spPr>
          <a:solidFill>
            <a:schemeClr val="accent1">
              <a:alpha val="85000"/>
            </a:schemeClr>
          </a:solidFill>
          <a:ln w="31750" cap="rnd" cmpd="sng" algn="ctr">
            <a:solidFill>
              <a:schemeClr val="accent1">
                <a:alpha val="85000"/>
              </a:schemeClr>
            </a:solidFill>
            <a:round/>
          </a:ln>
          <a:effectLst/>
        </c:spPr>
        <c:marker>
          <c:symbol val="none"/>
        </c:marker>
      </c:pivotFmt>
      <c:pivotFmt>
        <c:idx val="136"/>
        <c:spPr>
          <a:solidFill>
            <a:schemeClr val="accent1">
              <a:alpha val="85000"/>
            </a:schemeClr>
          </a:solidFill>
          <a:ln w="31750" cap="rnd" cmpd="sng" algn="ctr">
            <a:solidFill>
              <a:schemeClr val="accent1">
                <a:alpha val="85000"/>
              </a:schemeClr>
            </a:solidFill>
            <a:round/>
          </a:ln>
          <a:effectLst/>
        </c:spPr>
        <c:marker>
          <c:symbol val="none"/>
        </c:marker>
      </c:pivotFmt>
      <c:pivotFmt>
        <c:idx val="137"/>
        <c:spPr>
          <a:solidFill>
            <a:schemeClr val="accent1">
              <a:alpha val="85000"/>
            </a:schemeClr>
          </a:solidFill>
          <a:ln w="31750" cap="rnd" cmpd="sng" algn="ctr">
            <a:solidFill>
              <a:schemeClr val="accent1">
                <a:alpha val="85000"/>
              </a:schemeClr>
            </a:solidFill>
            <a:round/>
          </a:ln>
          <a:effectLst/>
        </c:spPr>
        <c:marker>
          <c:symbol val="none"/>
        </c:marker>
      </c:pivotFmt>
      <c:pivotFmt>
        <c:idx val="138"/>
        <c:spPr>
          <a:solidFill>
            <a:schemeClr val="accent1">
              <a:alpha val="85000"/>
            </a:schemeClr>
          </a:solidFill>
          <a:ln w="31750" cap="rnd" cmpd="sng" algn="ctr">
            <a:solidFill>
              <a:schemeClr val="accent1">
                <a:alpha val="85000"/>
              </a:schemeClr>
            </a:solidFill>
            <a:round/>
          </a:ln>
          <a:effectLst/>
        </c:spPr>
        <c:marker>
          <c:symbol val="none"/>
        </c:marker>
      </c:pivotFmt>
      <c:pivotFmt>
        <c:idx val="139"/>
        <c:spPr>
          <a:solidFill>
            <a:schemeClr val="accent1">
              <a:alpha val="85000"/>
            </a:schemeClr>
          </a:solidFill>
          <a:ln w="31750" cap="rnd" cmpd="sng" algn="ctr">
            <a:solidFill>
              <a:schemeClr val="accent1">
                <a:alpha val="85000"/>
              </a:schemeClr>
            </a:solidFill>
            <a:round/>
          </a:ln>
          <a:effectLst/>
        </c:spPr>
        <c:marker>
          <c:symbol val="none"/>
        </c:marker>
      </c:pivotFmt>
      <c:pivotFmt>
        <c:idx val="140"/>
        <c:spPr>
          <a:solidFill>
            <a:schemeClr val="accent1">
              <a:alpha val="85000"/>
            </a:schemeClr>
          </a:solidFill>
          <a:ln w="31750" cap="rnd" cmpd="sng" algn="ctr">
            <a:solidFill>
              <a:schemeClr val="accent1">
                <a:alpha val="85000"/>
              </a:schemeClr>
            </a:solidFill>
            <a:round/>
          </a:ln>
          <a:effectLst/>
        </c:spPr>
        <c:marker>
          <c:symbol val="none"/>
        </c:marker>
      </c:pivotFmt>
      <c:pivotFmt>
        <c:idx val="141"/>
        <c:spPr>
          <a:solidFill>
            <a:schemeClr val="accent1">
              <a:alpha val="85000"/>
            </a:schemeClr>
          </a:solidFill>
          <a:ln w="31750" cap="rnd" cmpd="sng" algn="ctr">
            <a:solidFill>
              <a:schemeClr val="accent1">
                <a:alpha val="85000"/>
              </a:schemeClr>
            </a:solidFill>
            <a:round/>
          </a:ln>
          <a:effectLst/>
        </c:spPr>
        <c:marker>
          <c:symbol val="none"/>
        </c:marker>
      </c:pivotFmt>
      <c:pivotFmt>
        <c:idx val="142"/>
        <c:spPr>
          <a:solidFill>
            <a:schemeClr val="accent1">
              <a:alpha val="85000"/>
            </a:schemeClr>
          </a:solidFill>
          <a:ln w="31750" cap="rnd" cmpd="sng" algn="ctr">
            <a:solidFill>
              <a:schemeClr val="accent1">
                <a:alpha val="85000"/>
              </a:schemeClr>
            </a:solidFill>
            <a:round/>
          </a:ln>
          <a:effectLst/>
        </c:spPr>
        <c:marker>
          <c:symbol val="none"/>
        </c:marker>
      </c:pivotFmt>
      <c:pivotFmt>
        <c:idx val="143"/>
        <c:spPr>
          <a:solidFill>
            <a:schemeClr val="accent1">
              <a:alpha val="85000"/>
            </a:schemeClr>
          </a:solidFill>
          <a:ln w="31750" cap="rnd" cmpd="sng" algn="ctr">
            <a:solidFill>
              <a:schemeClr val="accent2">
                <a:alpha val="85000"/>
              </a:schemeClr>
            </a:solidFill>
            <a:round/>
          </a:ln>
          <a:effectLst/>
        </c:spPr>
        <c:marker>
          <c:symbol val="none"/>
        </c:marker>
      </c:pivotFmt>
      <c:pivotFmt>
        <c:idx val="144"/>
        <c:spPr>
          <a:solidFill>
            <a:schemeClr val="accent1">
              <a:alpha val="85000"/>
            </a:schemeClr>
          </a:solidFill>
          <a:ln w="31750" cap="rnd" cmpd="sng" algn="ctr">
            <a:solidFill>
              <a:schemeClr val="accent2">
                <a:alpha val="85000"/>
              </a:schemeClr>
            </a:solidFill>
            <a:round/>
          </a:ln>
          <a:effectLst/>
        </c:spPr>
        <c:marker>
          <c:symbol val="none"/>
        </c:marker>
      </c:pivotFmt>
      <c:pivotFmt>
        <c:idx val="145"/>
        <c:spPr>
          <a:solidFill>
            <a:schemeClr val="accent1">
              <a:alpha val="85000"/>
            </a:schemeClr>
          </a:solidFill>
          <a:ln w="31750" cap="rnd" cmpd="sng" algn="ctr">
            <a:solidFill>
              <a:schemeClr val="accent2">
                <a:alpha val="85000"/>
              </a:schemeClr>
            </a:solidFill>
            <a:round/>
          </a:ln>
          <a:effectLst/>
        </c:spPr>
        <c:marker>
          <c:symbol val="none"/>
        </c:marker>
      </c:pivotFmt>
      <c:pivotFmt>
        <c:idx val="146"/>
        <c:spPr>
          <a:solidFill>
            <a:schemeClr val="accent1">
              <a:alpha val="85000"/>
            </a:schemeClr>
          </a:solidFill>
          <a:ln w="31750" cap="rnd" cmpd="sng" algn="ctr">
            <a:solidFill>
              <a:schemeClr val="accent2">
                <a:alpha val="85000"/>
              </a:schemeClr>
            </a:solidFill>
            <a:round/>
          </a:ln>
          <a:effectLst/>
        </c:spPr>
        <c:marker>
          <c:symbol val="none"/>
        </c:marker>
      </c:pivotFmt>
      <c:pivotFmt>
        <c:idx val="147"/>
        <c:spPr>
          <a:solidFill>
            <a:schemeClr val="accent1">
              <a:alpha val="85000"/>
            </a:schemeClr>
          </a:solidFill>
          <a:ln w="31750" cap="rnd" cmpd="sng" algn="ctr">
            <a:solidFill>
              <a:schemeClr val="accent3">
                <a:alpha val="85000"/>
              </a:schemeClr>
            </a:solidFill>
            <a:round/>
          </a:ln>
          <a:effectLst/>
        </c:spPr>
        <c:marker>
          <c:symbol val="none"/>
        </c:marker>
      </c:pivotFmt>
      <c:pivotFmt>
        <c:idx val="148"/>
        <c:spPr>
          <a:solidFill>
            <a:schemeClr val="accent1">
              <a:alpha val="85000"/>
            </a:schemeClr>
          </a:solidFill>
          <a:ln w="31750" cap="rnd" cmpd="sng" algn="ctr">
            <a:solidFill>
              <a:schemeClr val="accent3">
                <a:alpha val="85000"/>
              </a:schemeClr>
            </a:solidFill>
            <a:round/>
          </a:ln>
          <a:effectLst/>
        </c:spPr>
        <c:marker>
          <c:symbol val="none"/>
        </c:marker>
      </c:pivotFmt>
      <c:pivotFmt>
        <c:idx val="149"/>
        <c:spPr>
          <a:solidFill>
            <a:schemeClr val="accent1">
              <a:alpha val="85000"/>
            </a:schemeClr>
          </a:solidFill>
          <a:ln w="31750" cap="rnd" cmpd="sng" algn="ctr">
            <a:solidFill>
              <a:schemeClr val="accent3">
                <a:alpha val="85000"/>
              </a:schemeClr>
            </a:solidFill>
            <a:round/>
          </a:ln>
          <a:effectLst/>
        </c:spPr>
        <c:marker>
          <c:symbol val="none"/>
        </c:marker>
      </c:pivotFmt>
      <c:pivotFmt>
        <c:idx val="150"/>
        <c:spPr>
          <a:solidFill>
            <a:schemeClr val="accent1">
              <a:alpha val="85000"/>
            </a:schemeClr>
          </a:solidFill>
          <a:ln w="31750" cap="rnd" cmpd="sng" algn="ctr">
            <a:solidFill>
              <a:schemeClr val="accent3">
                <a:alpha val="85000"/>
              </a:schemeClr>
            </a:solidFill>
            <a:round/>
          </a:ln>
          <a:effectLst/>
        </c:spPr>
        <c:marker>
          <c:symbol val="none"/>
        </c:marker>
      </c:pivotFmt>
      <c:pivotFmt>
        <c:idx val="151"/>
        <c:spPr>
          <a:solidFill>
            <a:schemeClr val="accent1">
              <a:alpha val="85000"/>
            </a:schemeClr>
          </a:solidFill>
          <a:ln w="31750" cap="rnd" cmpd="sng" algn="ctr">
            <a:solidFill>
              <a:schemeClr val="accent1">
                <a:alpha val="85000"/>
              </a:schemeClr>
            </a:solidFill>
            <a:round/>
          </a:ln>
          <a:effectLst/>
        </c:spPr>
        <c:marker>
          <c:symbol val="none"/>
        </c:marker>
      </c:pivotFmt>
      <c:pivotFmt>
        <c:idx val="152"/>
        <c:spPr>
          <a:solidFill>
            <a:schemeClr val="accent1">
              <a:alpha val="85000"/>
            </a:schemeClr>
          </a:solidFill>
          <a:ln w="31750" cap="rnd" cmpd="sng" algn="ctr">
            <a:solidFill>
              <a:schemeClr val="accent1">
                <a:alpha val="85000"/>
              </a:schemeClr>
            </a:solidFill>
            <a:round/>
          </a:ln>
          <a:effectLst/>
        </c:spPr>
        <c:marker>
          <c:symbol val="none"/>
        </c:marker>
      </c:pivotFmt>
      <c:pivotFmt>
        <c:idx val="153"/>
        <c:spPr>
          <a:solidFill>
            <a:schemeClr val="accent1">
              <a:alpha val="85000"/>
            </a:schemeClr>
          </a:solidFill>
          <a:ln w="31750" cap="rnd" cmpd="sng" algn="ctr">
            <a:solidFill>
              <a:schemeClr val="accent1">
                <a:alpha val="85000"/>
              </a:schemeClr>
            </a:solidFill>
            <a:round/>
          </a:ln>
          <a:effectLst/>
        </c:spPr>
        <c:marker>
          <c:symbol val="none"/>
        </c:marker>
      </c:pivotFmt>
      <c:pivotFmt>
        <c:idx val="154"/>
        <c:spPr>
          <a:solidFill>
            <a:schemeClr val="accent1">
              <a:alpha val="85000"/>
            </a:schemeClr>
          </a:solidFill>
          <a:ln w="31750" cap="rnd" cmpd="sng" algn="ctr">
            <a:solidFill>
              <a:schemeClr val="accent1">
                <a:alpha val="85000"/>
              </a:schemeClr>
            </a:solidFill>
            <a:round/>
          </a:ln>
          <a:effectLst/>
        </c:spPr>
        <c:marker>
          <c:symbol val="none"/>
        </c:marker>
      </c:pivotFmt>
      <c:pivotFmt>
        <c:idx val="155"/>
        <c:spPr>
          <a:solidFill>
            <a:schemeClr val="accent1">
              <a:alpha val="85000"/>
            </a:schemeClr>
          </a:solidFill>
          <a:ln w="31750" cap="rnd" cmpd="sng" algn="ctr">
            <a:solidFill>
              <a:schemeClr val="accent1">
                <a:alpha val="85000"/>
              </a:schemeClr>
            </a:solidFill>
            <a:round/>
          </a:ln>
          <a:effectLst/>
        </c:spPr>
        <c:marker>
          <c:symbol val="none"/>
        </c:marker>
      </c:pivotFmt>
      <c:pivotFmt>
        <c:idx val="156"/>
        <c:spPr>
          <a:solidFill>
            <a:schemeClr val="accent1">
              <a:alpha val="85000"/>
            </a:schemeClr>
          </a:solidFill>
          <a:ln w="31750" cap="rnd" cmpd="sng" algn="ctr">
            <a:solidFill>
              <a:schemeClr val="accent1">
                <a:alpha val="85000"/>
              </a:schemeClr>
            </a:solidFill>
            <a:round/>
          </a:ln>
          <a:effectLst/>
        </c:spPr>
        <c:marker>
          <c:symbol val="none"/>
        </c:marker>
      </c:pivotFmt>
      <c:pivotFmt>
        <c:idx val="157"/>
        <c:spPr>
          <a:solidFill>
            <a:schemeClr val="accent1">
              <a:alpha val="85000"/>
            </a:schemeClr>
          </a:solidFill>
          <a:ln w="31750" cap="rnd" cmpd="sng" algn="ctr">
            <a:solidFill>
              <a:schemeClr val="accent1">
                <a:alpha val="85000"/>
              </a:schemeClr>
            </a:solidFill>
            <a:round/>
          </a:ln>
          <a:effectLst/>
        </c:spPr>
        <c:marker>
          <c:symbol val="none"/>
        </c:marker>
      </c:pivotFmt>
      <c:pivotFmt>
        <c:idx val="158"/>
        <c:spPr>
          <a:solidFill>
            <a:schemeClr val="accent1">
              <a:alpha val="85000"/>
            </a:schemeClr>
          </a:solidFill>
          <a:ln w="31750" cap="rnd" cmpd="sng" algn="ctr">
            <a:solidFill>
              <a:schemeClr val="accent1">
                <a:alpha val="85000"/>
              </a:schemeClr>
            </a:solidFill>
            <a:round/>
          </a:ln>
          <a:effectLst/>
        </c:spPr>
        <c:marker>
          <c:symbol val="none"/>
        </c:marker>
      </c:pivotFmt>
      <c:pivotFmt>
        <c:idx val="159"/>
        <c:spPr>
          <a:solidFill>
            <a:schemeClr val="accent1">
              <a:alpha val="85000"/>
            </a:schemeClr>
          </a:solidFill>
          <a:ln w="31750" cap="rnd" cmpd="sng" algn="ctr">
            <a:solidFill>
              <a:schemeClr val="accent3">
                <a:alpha val="85000"/>
              </a:schemeClr>
            </a:solidFill>
            <a:round/>
          </a:ln>
          <a:effectLst/>
        </c:spPr>
        <c:marker>
          <c:symbol val="none"/>
        </c:marker>
      </c:pivotFmt>
      <c:pivotFmt>
        <c:idx val="160"/>
        <c:spPr>
          <a:solidFill>
            <a:schemeClr val="accent1">
              <a:alpha val="85000"/>
            </a:schemeClr>
          </a:solidFill>
          <a:ln w="31750" cap="rnd" cmpd="sng" algn="ctr">
            <a:solidFill>
              <a:schemeClr val="accent3">
                <a:alpha val="85000"/>
              </a:schemeClr>
            </a:solidFill>
            <a:round/>
          </a:ln>
          <a:effectLst/>
        </c:spPr>
        <c:marker>
          <c:symbol val="none"/>
        </c:marker>
      </c:pivotFmt>
      <c:pivotFmt>
        <c:idx val="161"/>
        <c:spPr>
          <a:solidFill>
            <a:schemeClr val="accent1">
              <a:alpha val="85000"/>
            </a:schemeClr>
          </a:solidFill>
          <a:ln w="31750" cap="rnd" cmpd="sng" algn="ctr">
            <a:solidFill>
              <a:schemeClr val="accent3">
                <a:alpha val="85000"/>
              </a:schemeClr>
            </a:solidFill>
            <a:round/>
          </a:ln>
          <a:effectLst/>
        </c:spPr>
        <c:marker>
          <c:symbol val="none"/>
        </c:marker>
      </c:pivotFmt>
      <c:pivotFmt>
        <c:idx val="162"/>
        <c:spPr>
          <a:solidFill>
            <a:schemeClr val="accent1">
              <a:alpha val="85000"/>
            </a:schemeClr>
          </a:solidFill>
          <a:ln w="31750" cap="rnd" cmpd="sng" algn="ctr">
            <a:solidFill>
              <a:schemeClr val="accent3">
                <a:alpha val="85000"/>
              </a:schemeClr>
            </a:solidFill>
            <a:round/>
          </a:ln>
          <a:effectLst/>
        </c:spPr>
        <c:marker>
          <c:symbol val="none"/>
        </c:marker>
      </c:pivotFmt>
      <c:pivotFmt>
        <c:idx val="163"/>
        <c:spPr>
          <a:solidFill>
            <a:schemeClr val="accent1">
              <a:alpha val="85000"/>
            </a:schemeClr>
          </a:solidFill>
          <a:ln w="31750" cap="rnd" cmpd="sng" algn="ctr">
            <a:solidFill>
              <a:schemeClr val="accent1">
                <a:alpha val="85000"/>
              </a:schemeClr>
            </a:solidFill>
            <a:round/>
          </a:ln>
          <a:effectLst/>
        </c:spPr>
        <c:marker>
          <c:symbol val="none"/>
        </c:marker>
      </c:pivotFmt>
      <c:pivotFmt>
        <c:idx val="164"/>
        <c:spPr>
          <a:solidFill>
            <a:schemeClr val="accent1">
              <a:alpha val="85000"/>
            </a:schemeClr>
          </a:solidFill>
          <a:ln w="31750" cap="rnd" cmpd="sng" algn="ctr">
            <a:solidFill>
              <a:schemeClr val="accent1">
                <a:alpha val="85000"/>
              </a:schemeClr>
            </a:solidFill>
            <a:round/>
          </a:ln>
          <a:effectLst/>
        </c:spPr>
        <c:marker>
          <c:symbol val="none"/>
        </c:marker>
      </c:pivotFmt>
      <c:pivotFmt>
        <c:idx val="165"/>
        <c:spPr>
          <a:solidFill>
            <a:schemeClr val="accent1">
              <a:alpha val="85000"/>
            </a:schemeClr>
          </a:solidFill>
          <a:ln w="31750" cap="rnd" cmpd="sng" algn="ctr">
            <a:solidFill>
              <a:schemeClr val="accent1">
                <a:alpha val="85000"/>
              </a:schemeClr>
            </a:solidFill>
            <a:round/>
          </a:ln>
          <a:effectLst/>
        </c:spPr>
        <c:marker>
          <c:symbol val="none"/>
        </c:marker>
      </c:pivotFmt>
      <c:pivotFmt>
        <c:idx val="166"/>
        <c:spPr>
          <a:solidFill>
            <a:schemeClr val="accent1">
              <a:alpha val="85000"/>
            </a:schemeClr>
          </a:solidFill>
          <a:ln w="31750" cap="rnd" cmpd="sng" algn="ctr">
            <a:solidFill>
              <a:schemeClr val="accent1">
                <a:alpha val="85000"/>
              </a:schemeClr>
            </a:solidFill>
            <a:round/>
          </a:ln>
          <a:effectLst/>
        </c:spPr>
        <c:marker>
          <c:symbol val="none"/>
        </c:marker>
      </c:pivotFmt>
      <c:pivotFmt>
        <c:idx val="167"/>
        <c:spPr>
          <a:solidFill>
            <a:schemeClr val="accent1">
              <a:alpha val="85000"/>
            </a:schemeClr>
          </a:solidFill>
          <a:ln w="31750" cap="rnd" cmpd="sng" algn="ctr">
            <a:solidFill>
              <a:schemeClr val="accent2">
                <a:alpha val="85000"/>
              </a:schemeClr>
            </a:solidFill>
            <a:round/>
          </a:ln>
          <a:effectLst/>
        </c:spPr>
        <c:marker>
          <c:symbol val="none"/>
        </c:marker>
      </c:pivotFmt>
      <c:pivotFmt>
        <c:idx val="168"/>
        <c:spPr>
          <a:solidFill>
            <a:schemeClr val="accent1">
              <a:alpha val="85000"/>
            </a:schemeClr>
          </a:solidFill>
          <a:ln w="31750" cap="rnd" cmpd="sng" algn="ctr">
            <a:solidFill>
              <a:schemeClr val="accent2">
                <a:alpha val="85000"/>
              </a:schemeClr>
            </a:solidFill>
            <a:round/>
          </a:ln>
          <a:effectLst/>
        </c:spPr>
        <c:marker>
          <c:symbol val="none"/>
        </c:marker>
      </c:pivotFmt>
      <c:pivotFmt>
        <c:idx val="169"/>
        <c:spPr>
          <a:solidFill>
            <a:schemeClr val="accent1">
              <a:alpha val="85000"/>
            </a:schemeClr>
          </a:solidFill>
          <a:ln w="31750" cap="rnd" cmpd="sng" algn="ctr">
            <a:solidFill>
              <a:schemeClr val="accent2">
                <a:alpha val="85000"/>
              </a:schemeClr>
            </a:solidFill>
            <a:round/>
          </a:ln>
          <a:effectLst/>
        </c:spPr>
        <c:marker>
          <c:symbol val="none"/>
        </c:marker>
      </c:pivotFmt>
      <c:pivotFmt>
        <c:idx val="170"/>
        <c:spPr>
          <a:solidFill>
            <a:schemeClr val="accent1">
              <a:alpha val="85000"/>
            </a:schemeClr>
          </a:solidFill>
          <a:ln w="31750" cap="rnd" cmpd="sng" algn="ctr">
            <a:solidFill>
              <a:schemeClr val="accent2">
                <a:alpha val="85000"/>
              </a:schemeClr>
            </a:solidFill>
            <a:round/>
          </a:ln>
          <a:effectLst/>
        </c:spPr>
        <c:marker>
          <c:symbol val="none"/>
        </c:marker>
      </c:pivotFmt>
      <c:pivotFmt>
        <c:idx val="171"/>
        <c:spPr>
          <a:solidFill>
            <a:schemeClr val="accent1">
              <a:alpha val="85000"/>
            </a:schemeClr>
          </a:solidFill>
          <a:ln w="31750" cap="rnd" cmpd="sng" algn="ctr">
            <a:solidFill>
              <a:schemeClr val="accent1">
                <a:alpha val="85000"/>
              </a:schemeClr>
            </a:solidFill>
            <a:round/>
          </a:ln>
          <a:effectLst/>
        </c:spPr>
        <c:marker>
          <c:symbol val="none"/>
        </c:marker>
      </c:pivotFmt>
      <c:pivotFmt>
        <c:idx val="172"/>
        <c:spPr>
          <a:solidFill>
            <a:schemeClr val="accent1">
              <a:alpha val="85000"/>
            </a:schemeClr>
          </a:solidFill>
          <a:ln w="31750" cap="rnd" cmpd="sng" algn="ctr">
            <a:solidFill>
              <a:schemeClr val="accent1">
                <a:alpha val="85000"/>
              </a:schemeClr>
            </a:solidFill>
            <a:round/>
          </a:ln>
          <a:effectLst/>
        </c:spPr>
        <c:marker>
          <c:symbol val="none"/>
        </c:marker>
      </c:pivotFmt>
      <c:pivotFmt>
        <c:idx val="173"/>
        <c:spPr>
          <a:solidFill>
            <a:schemeClr val="accent1">
              <a:alpha val="85000"/>
            </a:schemeClr>
          </a:solidFill>
          <a:ln w="31750" cap="rnd" cmpd="sng" algn="ctr">
            <a:solidFill>
              <a:schemeClr val="accent1">
                <a:alpha val="85000"/>
              </a:schemeClr>
            </a:solidFill>
            <a:round/>
          </a:ln>
          <a:effectLst/>
        </c:spPr>
        <c:marker>
          <c:symbol val="none"/>
        </c:marker>
      </c:pivotFmt>
      <c:pivotFmt>
        <c:idx val="174"/>
        <c:spPr>
          <a:solidFill>
            <a:schemeClr val="accent1">
              <a:alpha val="85000"/>
            </a:schemeClr>
          </a:solidFill>
          <a:ln w="31750" cap="rnd" cmpd="sng" algn="ctr">
            <a:solidFill>
              <a:schemeClr val="accent1">
                <a:alpha val="85000"/>
              </a:schemeClr>
            </a:solidFill>
            <a:round/>
          </a:ln>
          <a:effectLst/>
        </c:spPr>
        <c:marker>
          <c:symbol val="none"/>
        </c:marker>
      </c:pivotFmt>
      <c:pivotFmt>
        <c:idx val="175"/>
        <c:spPr>
          <a:solidFill>
            <a:schemeClr val="accent1">
              <a:alpha val="85000"/>
            </a:schemeClr>
          </a:solidFill>
          <a:ln w="31750" cap="rnd" cmpd="sng" algn="ctr">
            <a:solidFill>
              <a:schemeClr val="accent1">
                <a:alpha val="85000"/>
              </a:schemeClr>
            </a:solidFill>
            <a:round/>
          </a:ln>
          <a:effectLst/>
        </c:spPr>
        <c:marker>
          <c:symbol val="none"/>
        </c:marker>
      </c:pivotFmt>
      <c:pivotFmt>
        <c:idx val="176"/>
        <c:spPr>
          <a:solidFill>
            <a:schemeClr val="accent1">
              <a:alpha val="85000"/>
            </a:schemeClr>
          </a:solidFill>
          <a:ln w="31750" cap="rnd" cmpd="sng" algn="ctr">
            <a:solidFill>
              <a:schemeClr val="accent1">
                <a:alpha val="85000"/>
              </a:schemeClr>
            </a:solidFill>
            <a:round/>
          </a:ln>
          <a:effectLst/>
        </c:spPr>
        <c:marker>
          <c:symbol val="none"/>
        </c:marker>
      </c:pivotFmt>
      <c:pivotFmt>
        <c:idx val="177"/>
        <c:spPr>
          <a:solidFill>
            <a:schemeClr val="accent1">
              <a:alpha val="85000"/>
            </a:schemeClr>
          </a:solidFill>
          <a:ln w="31750" cap="rnd" cmpd="sng" algn="ctr">
            <a:solidFill>
              <a:schemeClr val="accent1">
                <a:alpha val="85000"/>
              </a:schemeClr>
            </a:solidFill>
            <a:round/>
          </a:ln>
          <a:effectLst/>
        </c:spPr>
        <c:marker>
          <c:symbol val="none"/>
        </c:marker>
      </c:pivotFmt>
      <c:pivotFmt>
        <c:idx val="178"/>
        <c:spPr>
          <a:solidFill>
            <a:schemeClr val="accent1">
              <a:alpha val="85000"/>
            </a:schemeClr>
          </a:solidFill>
          <a:ln w="31750" cap="rnd" cmpd="sng" algn="ctr">
            <a:solidFill>
              <a:schemeClr val="accent1">
                <a:alpha val="85000"/>
              </a:schemeClr>
            </a:solidFill>
            <a:round/>
          </a:ln>
          <a:effectLst/>
        </c:spPr>
        <c:marker>
          <c:symbol val="none"/>
        </c:marker>
      </c:pivotFmt>
      <c:pivotFmt>
        <c:idx val="179"/>
        <c:spPr>
          <a:solidFill>
            <a:schemeClr val="accent1">
              <a:alpha val="85000"/>
            </a:schemeClr>
          </a:solidFill>
          <a:ln w="31750" cap="rnd" cmpd="sng" algn="ctr">
            <a:solidFill>
              <a:schemeClr val="accent1">
                <a:alpha val="85000"/>
              </a:schemeClr>
            </a:solidFill>
            <a:round/>
          </a:ln>
          <a:effectLst/>
        </c:spPr>
        <c:marker>
          <c:symbol val="none"/>
        </c:marker>
      </c:pivotFmt>
      <c:pivotFmt>
        <c:idx val="180"/>
        <c:spPr>
          <a:solidFill>
            <a:schemeClr val="accent1">
              <a:alpha val="85000"/>
            </a:schemeClr>
          </a:solidFill>
          <a:ln w="31750" cap="rnd" cmpd="sng" algn="ctr">
            <a:solidFill>
              <a:schemeClr val="accent1">
                <a:alpha val="85000"/>
              </a:schemeClr>
            </a:solidFill>
            <a:round/>
          </a:ln>
          <a:effectLst/>
        </c:spPr>
        <c:marker>
          <c:symbol val="none"/>
        </c:marker>
      </c:pivotFmt>
      <c:pivotFmt>
        <c:idx val="181"/>
        <c:spPr>
          <a:solidFill>
            <a:schemeClr val="accent1">
              <a:alpha val="85000"/>
            </a:schemeClr>
          </a:solidFill>
          <a:ln w="31750" cap="rnd" cmpd="sng" algn="ctr">
            <a:solidFill>
              <a:schemeClr val="accent1">
                <a:alpha val="85000"/>
              </a:schemeClr>
            </a:solidFill>
            <a:round/>
          </a:ln>
          <a:effectLst/>
        </c:spPr>
        <c:marker>
          <c:symbol val="none"/>
        </c:marker>
      </c:pivotFmt>
      <c:pivotFmt>
        <c:idx val="182"/>
        <c:spPr>
          <a:solidFill>
            <a:schemeClr val="accent1">
              <a:alpha val="85000"/>
            </a:schemeClr>
          </a:solidFill>
          <a:ln w="31750" cap="rnd" cmpd="sng" algn="ctr">
            <a:solidFill>
              <a:schemeClr val="accent1">
                <a:alpha val="85000"/>
              </a:schemeClr>
            </a:solidFill>
            <a:round/>
          </a:ln>
          <a:effectLst/>
        </c:spPr>
        <c:marker>
          <c:symbol val="none"/>
        </c:marker>
      </c:pivotFmt>
      <c:pivotFmt>
        <c:idx val="183"/>
        <c:spPr>
          <a:solidFill>
            <a:schemeClr val="accent1">
              <a:alpha val="85000"/>
            </a:schemeClr>
          </a:solidFill>
          <a:ln w="31750" cap="rnd" cmpd="sng" algn="ctr">
            <a:solidFill>
              <a:schemeClr val="accent3">
                <a:alpha val="85000"/>
              </a:schemeClr>
            </a:solidFill>
            <a:round/>
          </a:ln>
          <a:effectLst/>
        </c:spPr>
        <c:marker>
          <c:symbol val="none"/>
        </c:marker>
      </c:pivotFmt>
      <c:pivotFmt>
        <c:idx val="184"/>
        <c:spPr>
          <a:solidFill>
            <a:schemeClr val="accent1">
              <a:alpha val="85000"/>
            </a:schemeClr>
          </a:solidFill>
          <a:ln w="31750" cap="rnd" cmpd="sng" algn="ctr">
            <a:solidFill>
              <a:schemeClr val="accent3">
                <a:alpha val="85000"/>
              </a:schemeClr>
            </a:solidFill>
            <a:round/>
          </a:ln>
          <a:effectLst/>
        </c:spPr>
        <c:marker>
          <c:symbol val="none"/>
        </c:marker>
      </c:pivotFmt>
      <c:pivotFmt>
        <c:idx val="185"/>
        <c:spPr>
          <a:solidFill>
            <a:schemeClr val="accent1">
              <a:alpha val="85000"/>
            </a:schemeClr>
          </a:solidFill>
          <a:ln w="31750" cap="rnd" cmpd="sng" algn="ctr">
            <a:solidFill>
              <a:schemeClr val="accent3">
                <a:alpha val="85000"/>
              </a:schemeClr>
            </a:solidFill>
            <a:round/>
          </a:ln>
          <a:effectLst/>
        </c:spPr>
        <c:marker>
          <c:symbol val="none"/>
        </c:marker>
      </c:pivotFmt>
      <c:pivotFmt>
        <c:idx val="186"/>
        <c:spPr>
          <a:solidFill>
            <a:schemeClr val="accent1">
              <a:alpha val="85000"/>
            </a:schemeClr>
          </a:solidFill>
          <a:ln w="31750" cap="rnd" cmpd="sng" algn="ctr">
            <a:solidFill>
              <a:schemeClr val="accent3">
                <a:alpha val="85000"/>
              </a:schemeClr>
            </a:solidFill>
            <a:round/>
          </a:ln>
          <a:effectLst/>
        </c:spPr>
        <c:marker>
          <c:symbol val="none"/>
        </c:marker>
      </c:pivotFmt>
      <c:pivotFmt>
        <c:idx val="187"/>
        <c:spPr>
          <a:solidFill>
            <a:schemeClr val="accent1">
              <a:alpha val="85000"/>
            </a:schemeClr>
          </a:solidFill>
          <a:ln w="31750" cap="rnd" cmpd="sng" algn="ctr">
            <a:solidFill>
              <a:schemeClr val="accent1">
                <a:alpha val="85000"/>
              </a:schemeClr>
            </a:solidFill>
            <a:round/>
          </a:ln>
          <a:effectLst/>
        </c:spPr>
        <c:marker>
          <c:symbol val="none"/>
        </c:marker>
      </c:pivotFmt>
      <c:pivotFmt>
        <c:idx val="188"/>
        <c:spPr>
          <a:solidFill>
            <a:schemeClr val="accent1">
              <a:alpha val="85000"/>
            </a:schemeClr>
          </a:solidFill>
          <a:ln w="31750" cap="rnd" cmpd="sng" algn="ctr">
            <a:solidFill>
              <a:schemeClr val="accent1">
                <a:alpha val="85000"/>
              </a:schemeClr>
            </a:solidFill>
            <a:round/>
          </a:ln>
          <a:effectLst/>
        </c:spPr>
        <c:marker>
          <c:symbol val="none"/>
        </c:marker>
      </c:pivotFmt>
      <c:pivotFmt>
        <c:idx val="189"/>
        <c:spPr>
          <a:solidFill>
            <a:schemeClr val="accent1">
              <a:alpha val="85000"/>
            </a:schemeClr>
          </a:solidFill>
          <a:ln w="31750" cap="rnd" cmpd="sng" algn="ctr">
            <a:solidFill>
              <a:schemeClr val="accent1">
                <a:alpha val="85000"/>
              </a:schemeClr>
            </a:solidFill>
            <a:round/>
          </a:ln>
          <a:effectLst/>
        </c:spPr>
        <c:marker>
          <c:symbol val="none"/>
        </c:marker>
      </c:pivotFmt>
      <c:pivotFmt>
        <c:idx val="190"/>
        <c:spPr>
          <a:solidFill>
            <a:schemeClr val="accent1">
              <a:alpha val="85000"/>
            </a:schemeClr>
          </a:solidFill>
          <a:ln w="31750" cap="rnd" cmpd="sng" algn="ctr">
            <a:solidFill>
              <a:schemeClr val="accent1">
                <a:alpha val="85000"/>
              </a:schemeClr>
            </a:solidFill>
            <a:round/>
          </a:ln>
          <a:effectLst/>
        </c:spPr>
        <c:marker>
          <c:symbol val="none"/>
        </c:marker>
      </c:pivotFmt>
      <c:pivotFmt>
        <c:idx val="191"/>
        <c:spPr>
          <a:solidFill>
            <a:schemeClr val="accent1">
              <a:alpha val="85000"/>
            </a:schemeClr>
          </a:solidFill>
          <a:ln w="31750" cap="rnd" cmpd="sng" algn="ctr">
            <a:solidFill>
              <a:schemeClr val="accent1">
                <a:alpha val="85000"/>
              </a:schemeClr>
            </a:solidFill>
            <a:round/>
          </a:ln>
          <a:effectLst/>
        </c:spPr>
        <c:marker>
          <c:symbol val="none"/>
        </c:marker>
      </c:pivotFmt>
      <c:pivotFmt>
        <c:idx val="192"/>
        <c:spPr>
          <a:solidFill>
            <a:schemeClr val="accent1">
              <a:alpha val="85000"/>
            </a:schemeClr>
          </a:solidFill>
          <a:ln w="31750" cap="rnd" cmpd="sng" algn="ctr">
            <a:solidFill>
              <a:schemeClr val="accent1">
                <a:alpha val="85000"/>
              </a:schemeClr>
            </a:solidFill>
            <a:round/>
          </a:ln>
          <a:effectLst/>
        </c:spPr>
        <c:marker>
          <c:symbol val="none"/>
        </c:marker>
      </c:pivotFmt>
      <c:pivotFmt>
        <c:idx val="193"/>
        <c:spPr>
          <a:solidFill>
            <a:schemeClr val="accent1">
              <a:alpha val="85000"/>
            </a:schemeClr>
          </a:solidFill>
          <a:ln w="31750" cap="rnd" cmpd="sng" algn="ctr">
            <a:solidFill>
              <a:schemeClr val="accent1">
                <a:alpha val="85000"/>
              </a:schemeClr>
            </a:solidFill>
            <a:round/>
          </a:ln>
          <a:effectLst/>
        </c:spPr>
        <c:marker>
          <c:symbol val="none"/>
        </c:marker>
      </c:pivotFmt>
      <c:pivotFmt>
        <c:idx val="194"/>
        <c:spPr>
          <a:solidFill>
            <a:schemeClr val="accent1">
              <a:alpha val="85000"/>
            </a:schemeClr>
          </a:solidFill>
          <a:ln w="31750" cap="rnd" cmpd="sng" algn="ctr">
            <a:solidFill>
              <a:schemeClr val="accent1">
                <a:alpha val="85000"/>
              </a:schemeClr>
            </a:solidFill>
            <a:round/>
          </a:ln>
          <a:effectLst/>
        </c:spPr>
        <c:marker>
          <c:symbol val="none"/>
        </c:marker>
      </c:pivotFmt>
      <c:pivotFmt>
        <c:idx val="195"/>
        <c:spPr>
          <a:solidFill>
            <a:schemeClr val="accent1">
              <a:alpha val="85000"/>
            </a:schemeClr>
          </a:solidFill>
          <a:ln w="31750" cap="rnd" cmpd="sng" algn="ctr">
            <a:solidFill>
              <a:schemeClr val="accent3">
                <a:alpha val="85000"/>
              </a:schemeClr>
            </a:solidFill>
            <a:round/>
          </a:ln>
          <a:effectLst/>
        </c:spPr>
        <c:marker>
          <c:symbol val="none"/>
        </c:marker>
      </c:pivotFmt>
      <c:pivotFmt>
        <c:idx val="196"/>
        <c:spPr>
          <a:solidFill>
            <a:schemeClr val="accent1">
              <a:alpha val="85000"/>
            </a:schemeClr>
          </a:solidFill>
          <a:ln w="31750" cap="rnd" cmpd="sng" algn="ctr">
            <a:solidFill>
              <a:schemeClr val="accent3">
                <a:alpha val="85000"/>
              </a:schemeClr>
            </a:solidFill>
            <a:round/>
          </a:ln>
          <a:effectLst/>
        </c:spPr>
        <c:marker>
          <c:symbol val="none"/>
        </c:marker>
      </c:pivotFmt>
      <c:pivotFmt>
        <c:idx val="197"/>
        <c:spPr>
          <a:solidFill>
            <a:schemeClr val="accent1">
              <a:alpha val="85000"/>
            </a:schemeClr>
          </a:solidFill>
          <a:ln w="31750" cap="rnd" cmpd="sng" algn="ctr">
            <a:solidFill>
              <a:schemeClr val="accent3">
                <a:alpha val="85000"/>
              </a:schemeClr>
            </a:solidFill>
            <a:round/>
          </a:ln>
          <a:effectLst/>
        </c:spPr>
        <c:marker>
          <c:symbol val="none"/>
        </c:marker>
      </c:pivotFmt>
      <c:pivotFmt>
        <c:idx val="198"/>
        <c:spPr>
          <a:solidFill>
            <a:schemeClr val="accent1">
              <a:alpha val="85000"/>
            </a:schemeClr>
          </a:solidFill>
          <a:ln w="31750" cap="rnd" cmpd="sng" algn="ctr">
            <a:solidFill>
              <a:schemeClr val="accent3">
                <a:alpha val="85000"/>
              </a:schemeClr>
            </a:solidFill>
            <a:round/>
          </a:ln>
          <a:effectLst/>
        </c:spPr>
        <c:marker>
          <c:symbol val="none"/>
        </c:marker>
      </c:pivotFmt>
      <c:pivotFmt>
        <c:idx val="199"/>
        <c:spPr>
          <a:solidFill>
            <a:schemeClr val="accent1">
              <a:alpha val="85000"/>
            </a:schemeClr>
          </a:solidFill>
          <a:ln w="31750" cap="rnd" cmpd="sng" algn="ctr">
            <a:solidFill>
              <a:schemeClr val="accent1">
                <a:alpha val="85000"/>
              </a:schemeClr>
            </a:solidFill>
            <a:round/>
          </a:ln>
          <a:effectLst/>
        </c:spPr>
        <c:marker>
          <c:symbol val="none"/>
        </c:marker>
      </c:pivotFmt>
      <c:pivotFmt>
        <c:idx val="200"/>
        <c:spPr>
          <a:solidFill>
            <a:schemeClr val="accent1">
              <a:alpha val="85000"/>
            </a:schemeClr>
          </a:solidFill>
          <a:ln w="31750" cap="rnd" cmpd="sng" algn="ctr">
            <a:solidFill>
              <a:schemeClr val="accent1">
                <a:alpha val="85000"/>
              </a:schemeClr>
            </a:solidFill>
            <a:round/>
          </a:ln>
          <a:effectLst/>
        </c:spPr>
        <c:marker>
          <c:symbol val="none"/>
        </c:marker>
      </c:pivotFmt>
      <c:pivotFmt>
        <c:idx val="201"/>
        <c:spPr>
          <a:solidFill>
            <a:schemeClr val="accent1">
              <a:alpha val="85000"/>
            </a:schemeClr>
          </a:solidFill>
          <a:ln w="31750" cap="rnd" cmpd="sng" algn="ctr">
            <a:solidFill>
              <a:schemeClr val="accent1">
                <a:alpha val="85000"/>
              </a:schemeClr>
            </a:solidFill>
            <a:round/>
          </a:ln>
          <a:effectLst/>
        </c:spPr>
        <c:marker>
          <c:symbol val="none"/>
        </c:marker>
      </c:pivotFmt>
      <c:pivotFmt>
        <c:idx val="202"/>
        <c:spPr>
          <a:solidFill>
            <a:schemeClr val="accent1">
              <a:alpha val="85000"/>
            </a:schemeClr>
          </a:solidFill>
          <a:ln w="31750" cap="rnd" cmpd="sng" algn="ctr">
            <a:solidFill>
              <a:schemeClr val="accent1">
                <a:alpha val="85000"/>
              </a:schemeClr>
            </a:solidFill>
            <a:round/>
          </a:ln>
          <a:effectLst/>
        </c:spPr>
        <c:marker>
          <c:symbol val="none"/>
        </c:marker>
      </c:pivotFmt>
      <c:pivotFmt>
        <c:idx val="203"/>
        <c:spPr>
          <a:solidFill>
            <a:schemeClr val="accent1">
              <a:alpha val="85000"/>
            </a:schemeClr>
          </a:solidFill>
          <a:ln w="31750" cap="rnd" cmpd="sng" algn="ctr">
            <a:solidFill>
              <a:schemeClr val="accent2">
                <a:alpha val="85000"/>
              </a:schemeClr>
            </a:solidFill>
            <a:round/>
          </a:ln>
          <a:effectLst/>
        </c:spPr>
        <c:marker>
          <c:symbol val="none"/>
        </c:marker>
      </c:pivotFmt>
      <c:pivotFmt>
        <c:idx val="204"/>
        <c:spPr>
          <a:solidFill>
            <a:schemeClr val="accent1">
              <a:alpha val="85000"/>
            </a:schemeClr>
          </a:solidFill>
          <a:ln w="31750" cap="rnd" cmpd="sng" algn="ctr">
            <a:solidFill>
              <a:schemeClr val="accent2">
                <a:alpha val="85000"/>
              </a:schemeClr>
            </a:solidFill>
            <a:round/>
          </a:ln>
          <a:effectLst/>
        </c:spPr>
        <c:marker>
          <c:symbol val="none"/>
        </c:marker>
      </c:pivotFmt>
      <c:pivotFmt>
        <c:idx val="205"/>
        <c:spPr>
          <a:solidFill>
            <a:schemeClr val="accent1">
              <a:alpha val="85000"/>
            </a:schemeClr>
          </a:solidFill>
          <a:ln w="31750" cap="rnd" cmpd="sng" algn="ctr">
            <a:solidFill>
              <a:schemeClr val="accent2">
                <a:alpha val="85000"/>
              </a:schemeClr>
            </a:solidFill>
            <a:round/>
          </a:ln>
          <a:effectLst/>
        </c:spPr>
        <c:marker>
          <c:symbol val="none"/>
        </c:marker>
      </c:pivotFmt>
      <c:pivotFmt>
        <c:idx val="206"/>
        <c:spPr>
          <a:solidFill>
            <a:schemeClr val="accent1">
              <a:alpha val="85000"/>
            </a:schemeClr>
          </a:solidFill>
          <a:ln w="31750" cap="rnd" cmpd="sng" algn="ctr">
            <a:solidFill>
              <a:schemeClr val="accent2">
                <a:alpha val="85000"/>
              </a:schemeClr>
            </a:solidFill>
            <a:round/>
          </a:ln>
          <a:effectLst/>
        </c:spPr>
        <c:marker>
          <c:symbol val="none"/>
        </c:marker>
      </c:pivotFmt>
      <c:pivotFmt>
        <c:idx val="207"/>
        <c:spPr>
          <a:solidFill>
            <a:schemeClr val="accent1">
              <a:alpha val="85000"/>
            </a:schemeClr>
          </a:solidFill>
          <a:ln w="31750" cap="rnd" cmpd="sng" algn="ctr">
            <a:solidFill>
              <a:schemeClr val="accent3">
                <a:alpha val="85000"/>
              </a:schemeClr>
            </a:solidFill>
            <a:round/>
          </a:ln>
          <a:effectLst/>
        </c:spPr>
        <c:marker>
          <c:symbol val="none"/>
        </c:marker>
      </c:pivotFmt>
      <c:pivotFmt>
        <c:idx val="208"/>
        <c:spPr>
          <a:solidFill>
            <a:schemeClr val="accent1">
              <a:alpha val="85000"/>
            </a:schemeClr>
          </a:solidFill>
          <a:ln w="31750" cap="rnd" cmpd="sng" algn="ctr">
            <a:solidFill>
              <a:schemeClr val="accent3">
                <a:alpha val="85000"/>
              </a:schemeClr>
            </a:solidFill>
            <a:round/>
          </a:ln>
          <a:effectLst/>
        </c:spPr>
        <c:marker>
          <c:symbol val="none"/>
        </c:marker>
      </c:pivotFmt>
      <c:pivotFmt>
        <c:idx val="209"/>
        <c:spPr>
          <a:solidFill>
            <a:schemeClr val="accent1">
              <a:alpha val="85000"/>
            </a:schemeClr>
          </a:solidFill>
          <a:ln w="31750" cap="rnd" cmpd="sng" algn="ctr">
            <a:solidFill>
              <a:schemeClr val="accent3">
                <a:alpha val="85000"/>
              </a:schemeClr>
            </a:solidFill>
            <a:round/>
          </a:ln>
          <a:effectLst/>
        </c:spPr>
        <c:marker>
          <c:symbol val="none"/>
        </c:marker>
      </c:pivotFmt>
      <c:pivotFmt>
        <c:idx val="210"/>
        <c:spPr>
          <a:solidFill>
            <a:schemeClr val="accent1">
              <a:alpha val="85000"/>
            </a:schemeClr>
          </a:solidFill>
          <a:ln w="31750" cap="rnd" cmpd="sng" algn="ctr">
            <a:solidFill>
              <a:schemeClr val="accent3">
                <a:alpha val="85000"/>
              </a:schemeClr>
            </a:solidFill>
            <a:round/>
          </a:ln>
          <a:effectLst/>
        </c:spPr>
        <c:marker>
          <c:symbol val="none"/>
        </c:marker>
      </c:pivotFmt>
      <c:pivotFmt>
        <c:idx val="211"/>
        <c:spPr>
          <a:solidFill>
            <a:schemeClr val="accent1">
              <a:alpha val="85000"/>
            </a:schemeClr>
          </a:solidFill>
          <a:ln w="31750" cap="rnd" cmpd="sng" algn="ctr">
            <a:solidFill>
              <a:schemeClr val="accent1">
                <a:alpha val="85000"/>
              </a:schemeClr>
            </a:solidFill>
            <a:round/>
          </a:ln>
          <a:effectLst/>
        </c:spPr>
        <c:marker>
          <c:symbol val="none"/>
        </c:marker>
      </c:pivotFmt>
      <c:pivotFmt>
        <c:idx val="212"/>
        <c:spPr>
          <a:solidFill>
            <a:schemeClr val="accent1">
              <a:alpha val="85000"/>
            </a:schemeClr>
          </a:solidFill>
          <a:ln w="31750" cap="rnd" cmpd="sng" algn="ctr">
            <a:solidFill>
              <a:schemeClr val="accent1">
                <a:alpha val="85000"/>
              </a:schemeClr>
            </a:solidFill>
            <a:round/>
          </a:ln>
          <a:effectLst/>
        </c:spPr>
        <c:marker>
          <c:symbol val="none"/>
        </c:marker>
      </c:pivotFmt>
      <c:pivotFmt>
        <c:idx val="213"/>
        <c:spPr>
          <a:solidFill>
            <a:schemeClr val="accent1">
              <a:alpha val="85000"/>
            </a:schemeClr>
          </a:solidFill>
          <a:ln w="31750" cap="rnd" cmpd="sng" algn="ctr">
            <a:solidFill>
              <a:schemeClr val="accent1">
                <a:alpha val="85000"/>
              </a:schemeClr>
            </a:solidFill>
            <a:round/>
          </a:ln>
          <a:effectLst/>
        </c:spPr>
        <c:marker>
          <c:symbol val="none"/>
        </c:marker>
      </c:pivotFmt>
      <c:pivotFmt>
        <c:idx val="214"/>
        <c:spPr>
          <a:solidFill>
            <a:schemeClr val="accent1">
              <a:alpha val="85000"/>
            </a:schemeClr>
          </a:solidFill>
          <a:ln w="31750" cap="rnd" cmpd="sng" algn="ctr">
            <a:solidFill>
              <a:schemeClr val="accent1">
                <a:alpha val="85000"/>
              </a:schemeClr>
            </a:solidFill>
            <a:round/>
          </a:ln>
          <a:effectLst/>
        </c:spPr>
        <c:marker>
          <c:symbol val="none"/>
        </c:marker>
      </c:pivotFmt>
      <c:pivotFmt>
        <c:idx val="215"/>
        <c:spPr>
          <a:solidFill>
            <a:schemeClr val="accent1">
              <a:alpha val="85000"/>
            </a:schemeClr>
          </a:solidFill>
          <a:ln w="31750" cap="rnd" cmpd="sng" algn="ctr">
            <a:solidFill>
              <a:schemeClr val="accent2">
                <a:alpha val="85000"/>
              </a:schemeClr>
            </a:solidFill>
            <a:round/>
          </a:ln>
          <a:effectLst/>
        </c:spPr>
        <c:marker>
          <c:symbol val="none"/>
        </c:marker>
      </c:pivotFmt>
      <c:pivotFmt>
        <c:idx val="216"/>
        <c:spPr>
          <a:solidFill>
            <a:schemeClr val="accent1">
              <a:alpha val="85000"/>
            </a:schemeClr>
          </a:solidFill>
          <a:ln w="31750" cap="rnd" cmpd="sng" algn="ctr">
            <a:solidFill>
              <a:schemeClr val="accent2">
                <a:alpha val="85000"/>
              </a:schemeClr>
            </a:solidFill>
            <a:round/>
          </a:ln>
          <a:effectLst/>
        </c:spPr>
        <c:marker>
          <c:symbol val="none"/>
        </c:marker>
      </c:pivotFmt>
      <c:pivotFmt>
        <c:idx val="217"/>
        <c:spPr>
          <a:solidFill>
            <a:schemeClr val="accent1">
              <a:alpha val="85000"/>
            </a:schemeClr>
          </a:solidFill>
          <a:ln w="31750" cap="rnd" cmpd="sng" algn="ctr">
            <a:solidFill>
              <a:schemeClr val="accent2">
                <a:alpha val="85000"/>
              </a:schemeClr>
            </a:solidFill>
            <a:round/>
          </a:ln>
          <a:effectLst/>
        </c:spPr>
        <c:marker>
          <c:symbol val="none"/>
        </c:marker>
      </c:pivotFmt>
      <c:pivotFmt>
        <c:idx val="218"/>
        <c:spPr>
          <a:solidFill>
            <a:schemeClr val="accent1">
              <a:alpha val="85000"/>
            </a:schemeClr>
          </a:solidFill>
          <a:ln w="31750" cap="rnd" cmpd="sng" algn="ctr">
            <a:solidFill>
              <a:schemeClr val="accent2">
                <a:alpha val="85000"/>
              </a:schemeClr>
            </a:solidFill>
            <a:round/>
          </a:ln>
          <a:effectLst/>
        </c:spPr>
        <c:marker>
          <c:symbol val="none"/>
        </c:marker>
      </c:pivotFmt>
      <c:pivotFmt>
        <c:idx val="219"/>
        <c:spPr>
          <a:solidFill>
            <a:schemeClr val="accent1">
              <a:alpha val="85000"/>
            </a:schemeClr>
          </a:solidFill>
          <a:ln w="31750" cap="rnd" cmpd="sng" algn="ctr">
            <a:solidFill>
              <a:schemeClr val="accent3">
                <a:alpha val="85000"/>
              </a:schemeClr>
            </a:solidFill>
            <a:round/>
          </a:ln>
          <a:effectLst/>
        </c:spPr>
        <c:marker>
          <c:symbol val="none"/>
        </c:marker>
      </c:pivotFmt>
      <c:pivotFmt>
        <c:idx val="220"/>
        <c:spPr>
          <a:solidFill>
            <a:schemeClr val="accent1">
              <a:alpha val="85000"/>
            </a:schemeClr>
          </a:solidFill>
          <a:ln w="31750" cap="rnd" cmpd="sng" algn="ctr">
            <a:solidFill>
              <a:schemeClr val="accent3">
                <a:alpha val="85000"/>
              </a:schemeClr>
            </a:solidFill>
            <a:round/>
          </a:ln>
          <a:effectLst/>
        </c:spPr>
        <c:marker>
          <c:symbol val="none"/>
        </c:marker>
      </c:pivotFmt>
      <c:pivotFmt>
        <c:idx val="221"/>
        <c:spPr>
          <a:solidFill>
            <a:schemeClr val="accent1">
              <a:alpha val="85000"/>
            </a:schemeClr>
          </a:solidFill>
          <a:ln w="31750" cap="rnd" cmpd="sng" algn="ctr">
            <a:solidFill>
              <a:schemeClr val="accent3">
                <a:alpha val="85000"/>
              </a:schemeClr>
            </a:solidFill>
            <a:round/>
          </a:ln>
          <a:effectLst/>
        </c:spPr>
        <c:marker>
          <c:symbol val="none"/>
        </c:marker>
      </c:pivotFmt>
      <c:pivotFmt>
        <c:idx val="222"/>
        <c:spPr>
          <a:solidFill>
            <a:schemeClr val="accent1">
              <a:alpha val="85000"/>
            </a:schemeClr>
          </a:solidFill>
          <a:ln w="31750" cap="rnd" cmpd="sng" algn="ctr">
            <a:solidFill>
              <a:schemeClr val="accent3">
                <a:alpha val="85000"/>
              </a:schemeClr>
            </a:solidFill>
            <a:round/>
          </a:ln>
          <a:effectLst/>
        </c:spPr>
        <c:marker>
          <c:symbol val="none"/>
        </c:marker>
      </c:pivotFmt>
      <c:pivotFmt>
        <c:idx val="223"/>
        <c:spPr>
          <a:solidFill>
            <a:schemeClr val="accent1">
              <a:alpha val="85000"/>
            </a:schemeClr>
          </a:solidFill>
          <a:ln w="31750" cap="rnd" cmpd="sng" algn="ctr">
            <a:solidFill>
              <a:schemeClr val="accent1">
                <a:alpha val="85000"/>
              </a:schemeClr>
            </a:solidFill>
            <a:round/>
          </a:ln>
          <a:effectLst/>
        </c:spPr>
        <c:marker>
          <c:symbol val="none"/>
        </c:marker>
      </c:pivotFmt>
      <c:pivotFmt>
        <c:idx val="224"/>
        <c:spPr>
          <a:solidFill>
            <a:schemeClr val="accent1">
              <a:alpha val="85000"/>
            </a:schemeClr>
          </a:solidFill>
          <a:ln w="31750" cap="rnd" cmpd="sng" algn="ctr">
            <a:solidFill>
              <a:schemeClr val="accent1">
                <a:alpha val="85000"/>
              </a:schemeClr>
            </a:solidFill>
            <a:round/>
          </a:ln>
          <a:effectLst/>
        </c:spPr>
        <c:marker>
          <c:symbol val="none"/>
        </c:marker>
      </c:pivotFmt>
      <c:pivotFmt>
        <c:idx val="225"/>
        <c:spPr>
          <a:solidFill>
            <a:schemeClr val="accent1">
              <a:alpha val="85000"/>
            </a:schemeClr>
          </a:solidFill>
          <a:ln w="31750" cap="rnd" cmpd="sng" algn="ctr">
            <a:solidFill>
              <a:schemeClr val="accent1">
                <a:alpha val="85000"/>
              </a:schemeClr>
            </a:solidFill>
            <a:round/>
          </a:ln>
          <a:effectLst/>
        </c:spPr>
        <c:marker>
          <c:symbol val="none"/>
        </c:marker>
      </c:pivotFmt>
      <c:pivotFmt>
        <c:idx val="226"/>
        <c:spPr>
          <a:solidFill>
            <a:schemeClr val="accent1">
              <a:alpha val="85000"/>
            </a:schemeClr>
          </a:solidFill>
          <a:ln w="31750" cap="rnd" cmpd="sng" algn="ctr">
            <a:solidFill>
              <a:schemeClr val="accent1">
                <a:alpha val="85000"/>
              </a:schemeClr>
            </a:solidFill>
            <a:round/>
          </a:ln>
          <a:effectLst/>
        </c:spPr>
        <c:marker>
          <c:symbol val="none"/>
        </c:marker>
      </c:pivotFmt>
      <c:pivotFmt>
        <c:idx val="227"/>
        <c:spPr>
          <a:solidFill>
            <a:schemeClr val="accent1">
              <a:alpha val="85000"/>
            </a:schemeClr>
          </a:solidFill>
          <a:ln w="31750" cap="rnd" cmpd="sng" algn="ctr">
            <a:solidFill>
              <a:schemeClr val="accent2">
                <a:alpha val="85000"/>
              </a:schemeClr>
            </a:solidFill>
            <a:round/>
          </a:ln>
          <a:effectLst/>
        </c:spPr>
        <c:marker>
          <c:symbol val="none"/>
        </c:marker>
      </c:pivotFmt>
      <c:pivotFmt>
        <c:idx val="228"/>
        <c:spPr>
          <a:solidFill>
            <a:schemeClr val="accent1">
              <a:alpha val="85000"/>
            </a:schemeClr>
          </a:solidFill>
          <a:ln w="31750" cap="rnd" cmpd="sng" algn="ctr">
            <a:solidFill>
              <a:schemeClr val="accent2">
                <a:alpha val="85000"/>
              </a:schemeClr>
            </a:solidFill>
            <a:round/>
          </a:ln>
          <a:effectLst/>
        </c:spPr>
        <c:marker>
          <c:symbol val="none"/>
        </c:marker>
      </c:pivotFmt>
      <c:pivotFmt>
        <c:idx val="229"/>
        <c:spPr>
          <a:solidFill>
            <a:schemeClr val="accent1">
              <a:alpha val="85000"/>
            </a:schemeClr>
          </a:solidFill>
          <a:ln w="31750" cap="rnd" cmpd="sng" algn="ctr">
            <a:solidFill>
              <a:schemeClr val="accent2">
                <a:alpha val="85000"/>
              </a:schemeClr>
            </a:solidFill>
            <a:round/>
          </a:ln>
          <a:effectLst/>
        </c:spPr>
        <c:marker>
          <c:symbol val="none"/>
        </c:marker>
      </c:pivotFmt>
      <c:pivotFmt>
        <c:idx val="230"/>
        <c:spPr>
          <a:solidFill>
            <a:schemeClr val="accent1">
              <a:alpha val="85000"/>
            </a:schemeClr>
          </a:solidFill>
          <a:ln w="31750" cap="rnd" cmpd="sng" algn="ctr">
            <a:solidFill>
              <a:schemeClr val="accent2">
                <a:alpha val="85000"/>
              </a:schemeClr>
            </a:solidFill>
            <a:round/>
          </a:ln>
          <a:effectLst/>
        </c:spPr>
        <c:marker>
          <c:symbol val="none"/>
        </c:marker>
      </c:pivotFmt>
      <c:pivotFmt>
        <c:idx val="231"/>
        <c:spPr>
          <a:solidFill>
            <a:schemeClr val="accent1">
              <a:alpha val="85000"/>
            </a:schemeClr>
          </a:solidFill>
          <a:ln w="31750" cap="rnd" cmpd="sng" algn="ctr">
            <a:solidFill>
              <a:schemeClr val="accent3">
                <a:alpha val="85000"/>
              </a:schemeClr>
            </a:solidFill>
            <a:round/>
          </a:ln>
          <a:effectLst/>
        </c:spPr>
        <c:marker>
          <c:symbol val="none"/>
        </c:marker>
      </c:pivotFmt>
      <c:pivotFmt>
        <c:idx val="232"/>
        <c:spPr>
          <a:solidFill>
            <a:schemeClr val="accent1">
              <a:alpha val="85000"/>
            </a:schemeClr>
          </a:solidFill>
          <a:ln w="31750" cap="rnd" cmpd="sng" algn="ctr">
            <a:solidFill>
              <a:schemeClr val="accent3">
                <a:alpha val="85000"/>
              </a:schemeClr>
            </a:solidFill>
            <a:round/>
          </a:ln>
          <a:effectLst/>
        </c:spPr>
        <c:marker>
          <c:symbol val="none"/>
        </c:marker>
      </c:pivotFmt>
      <c:pivotFmt>
        <c:idx val="233"/>
        <c:spPr>
          <a:solidFill>
            <a:schemeClr val="accent1">
              <a:alpha val="85000"/>
            </a:schemeClr>
          </a:solidFill>
          <a:ln w="31750" cap="rnd" cmpd="sng" algn="ctr">
            <a:solidFill>
              <a:schemeClr val="accent3">
                <a:alpha val="85000"/>
              </a:schemeClr>
            </a:solidFill>
            <a:round/>
          </a:ln>
          <a:effectLst/>
        </c:spPr>
        <c:marker>
          <c:symbol val="none"/>
        </c:marker>
      </c:pivotFmt>
      <c:pivotFmt>
        <c:idx val="234"/>
        <c:spPr>
          <a:solidFill>
            <a:schemeClr val="accent1">
              <a:alpha val="85000"/>
            </a:schemeClr>
          </a:solidFill>
          <a:ln w="31750" cap="rnd" cmpd="sng" algn="ctr">
            <a:solidFill>
              <a:schemeClr val="accent3">
                <a:alpha val="85000"/>
              </a:schemeClr>
            </a:solidFill>
            <a:round/>
          </a:ln>
          <a:effectLst/>
        </c:spPr>
        <c:marker>
          <c:symbol val="none"/>
        </c:marker>
      </c:pivotFmt>
      <c:pivotFmt>
        <c:idx val="235"/>
        <c:spPr>
          <a:solidFill>
            <a:schemeClr val="accent1">
              <a:alpha val="85000"/>
            </a:schemeClr>
          </a:solidFill>
          <a:ln w="31750" cap="rnd" cmpd="sng" algn="ctr">
            <a:solidFill>
              <a:schemeClr val="accent1">
                <a:alpha val="85000"/>
              </a:schemeClr>
            </a:solidFill>
            <a:round/>
          </a:ln>
          <a:effectLst/>
        </c:spPr>
        <c:marker>
          <c:symbol val="none"/>
        </c:marker>
      </c:pivotFmt>
      <c:pivotFmt>
        <c:idx val="236"/>
        <c:spPr>
          <a:solidFill>
            <a:schemeClr val="accent1">
              <a:alpha val="85000"/>
            </a:schemeClr>
          </a:solidFill>
          <a:ln w="31750" cap="rnd" cmpd="sng" algn="ctr">
            <a:solidFill>
              <a:schemeClr val="accent1">
                <a:alpha val="85000"/>
              </a:schemeClr>
            </a:solidFill>
            <a:round/>
          </a:ln>
          <a:effectLst/>
        </c:spPr>
        <c:marker>
          <c:symbol val="none"/>
        </c:marker>
      </c:pivotFmt>
      <c:pivotFmt>
        <c:idx val="237"/>
        <c:spPr>
          <a:solidFill>
            <a:schemeClr val="accent1">
              <a:alpha val="85000"/>
            </a:schemeClr>
          </a:solidFill>
          <a:ln w="31750" cap="rnd" cmpd="sng" algn="ctr">
            <a:solidFill>
              <a:schemeClr val="accent1">
                <a:alpha val="85000"/>
              </a:schemeClr>
            </a:solidFill>
            <a:round/>
          </a:ln>
          <a:effectLst/>
        </c:spPr>
        <c:marker>
          <c:symbol val="none"/>
        </c:marker>
      </c:pivotFmt>
      <c:pivotFmt>
        <c:idx val="238"/>
        <c:spPr>
          <a:solidFill>
            <a:schemeClr val="accent1">
              <a:alpha val="85000"/>
            </a:schemeClr>
          </a:solidFill>
          <a:ln w="31750" cap="rnd" cmpd="sng" algn="ctr">
            <a:solidFill>
              <a:schemeClr val="accent1">
                <a:alpha val="85000"/>
              </a:schemeClr>
            </a:solidFill>
            <a:round/>
          </a:ln>
          <a:effectLst/>
        </c:spPr>
        <c:marker>
          <c:symbol val="none"/>
        </c:marker>
      </c:pivotFmt>
      <c:pivotFmt>
        <c:idx val="239"/>
      </c:pivotFmt>
      <c:pivotFmt>
        <c:idx val="240"/>
        <c:spPr>
          <a:solidFill>
            <a:schemeClr val="accent2">
              <a:alpha val="85000"/>
            </a:schemeClr>
          </a:solidFill>
          <a:ln w="31750" cap="rnd" cmpd="sng" algn="ctr">
            <a:solidFill>
              <a:schemeClr val="accent1">
                <a:alpha val="85000"/>
              </a:schemeClr>
            </a:solidFill>
            <a:round/>
          </a:ln>
          <a:effectLst/>
        </c:spPr>
        <c:marker>
          <c:symbol val="none"/>
        </c:marker>
      </c:pivotFmt>
      <c:pivotFmt>
        <c:idx val="241"/>
        <c:spPr>
          <a:solidFill>
            <a:schemeClr val="accent2">
              <a:alpha val="85000"/>
            </a:schemeClr>
          </a:solidFill>
          <a:ln w="31750" cap="rnd" cmpd="sng" algn="ctr">
            <a:solidFill>
              <a:schemeClr val="accent1">
                <a:alpha val="85000"/>
              </a:schemeClr>
            </a:solidFill>
            <a:round/>
          </a:ln>
          <a:effectLst/>
        </c:spPr>
        <c:marker>
          <c:symbol val="none"/>
        </c:marker>
      </c:pivotFmt>
      <c:pivotFmt>
        <c:idx val="242"/>
        <c:spPr>
          <a:solidFill>
            <a:schemeClr val="accent2">
              <a:alpha val="85000"/>
            </a:schemeClr>
          </a:solidFill>
          <a:ln w="31750" cap="rnd" cmpd="sng" algn="ctr">
            <a:solidFill>
              <a:schemeClr val="accent1">
                <a:alpha val="85000"/>
              </a:schemeClr>
            </a:solidFill>
            <a:round/>
          </a:ln>
          <a:effectLst/>
        </c:spPr>
        <c:marker>
          <c:symbol val="none"/>
        </c:marker>
      </c:pivotFmt>
      <c:pivotFmt>
        <c:idx val="243"/>
      </c:pivotFmt>
      <c:pivotFmt>
        <c:idx val="244"/>
        <c:spPr>
          <a:solidFill>
            <a:schemeClr val="accent3">
              <a:alpha val="85000"/>
            </a:schemeClr>
          </a:solidFill>
          <a:ln w="31750" cap="rnd" cmpd="sng" algn="ctr">
            <a:solidFill>
              <a:schemeClr val="accent1">
                <a:alpha val="85000"/>
              </a:schemeClr>
            </a:solidFill>
            <a:round/>
          </a:ln>
          <a:effectLst/>
        </c:spPr>
        <c:marker>
          <c:symbol val="none"/>
        </c:marker>
      </c:pivotFmt>
      <c:pivotFmt>
        <c:idx val="245"/>
        <c:spPr>
          <a:solidFill>
            <a:schemeClr val="accent3">
              <a:alpha val="85000"/>
            </a:schemeClr>
          </a:solidFill>
          <a:ln w="31750" cap="rnd" cmpd="sng" algn="ctr">
            <a:solidFill>
              <a:schemeClr val="accent1">
                <a:alpha val="85000"/>
              </a:schemeClr>
            </a:solidFill>
            <a:round/>
          </a:ln>
          <a:effectLst/>
        </c:spPr>
        <c:marker>
          <c:symbol val="none"/>
        </c:marker>
      </c:pivotFmt>
      <c:pivotFmt>
        <c:idx val="246"/>
        <c:spPr>
          <a:solidFill>
            <a:schemeClr val="accent3">
              <a:alpha val="85000"/>
            </a:schemeClr>
          </a:solidFill>
          <a:ln w="31750" cap="rnd" cmpd="sng" algn="ctr">
            <a:solidFill>
              <a:schemeClr val="accent1">
                <a:alpha val="85000"/>
              </a:schemeClr>
            </a:solidFill>
            <a:round/>
          </a:ln>
          <a:effectLst/>
        </c:spPr>
        <c:marker>
          <c:symbol val="none"/>
        </c:marker>
      </c:pivotFmt>
      <c:pivotFmt>
        <c:idx val="247"/>
      </c:pivotFmt>
      <c:pivotFmt>
        <c:idx val="248"/>
        <c:spPr>
          <a:solidFill>
            <a:schemeClr val="accent1">
              <a:alpha val="85000"/>
            </a:schemeClr>
          </a:solidFill>
          <a:ln w="31750" cap="rnd" cmpd="sng" algn="ctr">
            <a:solidFill>
              <a:schemeClr val="accent1">
                <a:alpha val="85000"/>
              </a:schemeClr>
            </a:solidFill>
            <a:round/>
          </a:ln>
          <a:effectLst/>
        </c:spPr>
        <c:marker>
          <c:symbol val="none"/>
        </c:marker>
      </c:pivotFmt>
      <c:pivotFmt>
        <c:idx val="249"/>
        <c:spPr>
          <a:solidFill>
            <a:schemeClr val="accent1">
              <a:alpha val="85000"/>
            </a:schemeClr>
          </a:solidFill>
          <a:ln w="31750" cap="rnd" cmpd="sng" algn="ctr">
            <a:solidFill>
              <a:schemeClr val="accent1">
                <a:alpha val="85000"/>
              </a:schemeClr>
            </a:solidFill>
            <a:round/>
          </a:ln>
          <a:effectLst/>
        </c:spPr>
        <c:marker>
          <c:symbol val="none"/>
        </c:marker>
      </c:pivotFmt>
      <c:pivotFmt>
        <c:idx val="250"/>
        <c:spPr>
          <a:solidFill>
            <a:schemeClr val="accent1">
              <a:alpha val="85000"/>
            </a:schemeClr>
          </a:solidFill>
          <a:ln w="31750" cap="rnd" cmpd="sng" algn="ctr">
            <a:solidFill>
              <a:schemeClr val="accent1">
                <a:alpha val="85000"/>
              </a:schemeClr>
            </a:solidFill>
            <a:round/>
          </a:ln>
          <a:effectLst/>
        </c:spPr>
        <c:marker>
          <c:symbol val="none"/>
        </c:marker>
      </c:pivotFmt>
    </c:pivotFmts>
    <c:plotArea>
      <c:layout>
        <c:manualLayout>
          <c:layoutTarget val="inner"/>
          <c:xMode val="edge"/>
          <c:yMode val="edge"/>
          <c:x val="0.16624312030413052"/>
          <c:y val="0.28512457075004716"/>
          <c:w val="0.76640998253870574"/>
          <c:h val="0.43022470580403699"/>
        </c:manualLayout>
      </c:layout>
      <c:barChart>
        <c:barDir val="col"/>
        <c:grouping val="clustered"/>
        <c:varyColors val="0"/>
        <c:ser>
          <c:idx val="1"/>
          <c:order val="1"/>
          <c:tx>
            <c:strRef>
              <c:f>Home!$C$5:$C$6</c:f>
              <c:strCache>
                <c:ptCount val="1"/>
                <c:pt idx="0">
                  <c:v>Freight </c:v>
                </c:pt>
              </c:strCache>
            </c:strRef>
          </c:tx>
          <c:spPr>
            <a:solidFill>
              <a:schemeClr val="accent2">
                <a:alpha val="85000"/>
              </a:schemeClr>
            </a:solidFill>
            <a:ln w="9525" cap="flat" cmpd="sng" algn="ctr">
              <a:solidFill>
                <a:schemeClr val="accent2">
                  <a:lumMod val="75000"/>
                </a:schemeClr>
              </a:solidFill>
              <a:round/>
            </a:ln>
            <a:effectLst/>
          </c:spPr>
          <c:invertIfNegative val="0"/>
          <c:dPt>
            <c:idx val="0"/>
            <c:invertIfNegative val="0"/>
            <c:bubble3D val="0"/>
            <c:extLst>
              <c:ext xmlns:c16="http://schemas.microsoft.com/office/drawing/2014/chart" uri="{C3380CC4-5D6E-409C-BE32-E72D297353CC}">
                <c16:uniqueId val="{00000001-CC8C-4D41-B0AF-BF7B4C403AC7}"/>
              </c:ext>
            </c:extLst>
          </c:dPt>
          <c:dPt>
            <c:idx val="1"/>
            <c:invertIfNegative val="0"/>
            <c:bubble3D val="0"/>
            <c:extLst>
              <c:ext xmlns:c16="http://schemas.microsoft.com/office/drawing/2014/chart" uri="{C3380CC4-5D6E-409C-BE32-E72D297353CC}">
                <c16:uniqueId val="{00000003-CC8C-4D41-B0AF-BF7B4C403AC7}"/>
              </c:ext>
            </c:extLst>
          </c:dPt>
          <c:dPt>
            <c:idx val="2"/>
            <c:invertIfNegative val="0"/>
            <c:bubble3D val="0"/>
            <c:extLst>
              <c:ext xmlns:c16="http://schemas.microsoft.com/office/drawing/2014/chart" uri="{C3380CC4-5D6E-409C-BE32-E72D297353CC}">
                <c16:uniqueId val="{00000005-CC8C-4D41-B0AF-BF7B4C403AC7}"/>
              </c:ext>
            </c:extLst>
          </c:dPt>
          <c:dPt>
            <c:idx val="3"/>
            <c:invertIfNegative val="0"/>
            <c:bubble3D val="0"/>
            <c:extLst>
              <c:ext xmlns:c16="http://schemas.microsoft.com/office/drawing/2014/chart" uri="{C3380CC4-5D6E-409C-BE32-E72D297353CC}">
                <c16:uniqueId val="{00000007-CC8C-4D41-B0AF-BF7B4C403AC7}"/>
              </c:ext>
            </c:extLst>
          </c:dPt>
          <c:cat>
            <c:strRef>
              <c:f>Home!$A$7:$A$11</c:f>
              <c:strCache>
                <c:ptCount val="4"/>
                <c:pt idx="0">
                  <c:v>April</c:v>
                </c:pt>
                <c:pt idx="1">
                  <c:v>May</c:v>
                </c:pt>
                <c:pt idx="2">
                  <c:v>June</c:v>
                </c:pt>
                <c:pt idx="3">
                  <c:v>July</c:v>
                </c:pt>
              </c:strCache>
            </c:strRef>
          </c:cat>
          <c:val>
            <c:numRef>
              <c:f>Home!$C$7:$C$11</c:f>
              <c:numCache>
                <c:formatCode>_ * #,##0_ ;_ * \-#,##0_ ;_ * "-"??_ ;_ @_ </c:formatCode>
                <c:ptCount val="4"/>
                <c:pt idx="0">
                  <c:v>64200</c:v>
                </c:pt>
                <c:pt idx="1">
                  <c:v>81100</c:v>
                </c:pt>
                <c:pt idx="2">
                  <c:v>146650</c:v>
                </c:pt>
                <c:pt idx="3">
                  <c:v>143950</c:v>
                </c:pt>
              </c:numCache>
            </c:numRef>
          </c:val>
          <c:extLst>
            <c:ext xmlns:c16="http://schemas.microsoft.com/office/drawing/2014/chart" uri="{C3380CC4-5D6E-409C-BE32-E72D297353CC}">
              <c16:uniqueId val="{00000008-CC8C-4D41-B0AF-BF7B4C403AC7}"/>
            </c:ext>
          </c:extLst>
        </c:ser>
        <c:ser>
          <c:idx val="2"/>
          <c:order val="2"/>
          <c:tx>
            <c:strRef>
              <c:f>Home!$D$5:$D$6</c:f>
              <c:strCache>
                <c:ptCount val="1"/>
                <c:pt idx="0">
                  <c:v>GST 18%</c:v>
                </c:pt>
              </c:strCache>
            </c:strRef>
          </c:tx>
          <c:spPr>
            <a:solidFill>
              <a:schemeClr val="accent3">
                <a:alpha val="85000"/>
              </a:schemeClr>
            </a:solidFill>
            <a:ln w="9525" cap="flat" cmpd="sng" algn="ctr">
              <a:solidFill>
                <a:schemeClr val="accent3">
                  <a:lumMod val="75000"/>
                </a:schemeClr>
              </a:solidFill>
              <a:round/>
            </a:ln>
            <a:effectLst/>
          </c:spPr>
          <c:invertIfNegative val="0"/>
          <c:dPt>
            <c:idx val="0"/>
            <c:invertIfNegative val="0"/>
            <c:bubble3D val="0"/>
            <c:extLst>
              <c:ext xmlns:c16="http://schemas.microsoft.com/office/drawing/2014/chart" uri="{C3380CC4-5D6E-409C-BE32-E72D297353CC}">
                <c16:uniqueId val="{00000013-CC8C-4D41-B0AF-BF7B4C403AC7}"/>
              </c:ext>
            </c:extLst>
          </c:dPt>
          <c:dPt>
            <c:idx val="1"/>
            <c:invertIfNegative val="0"/>
            <c:bubble3D val="0"/>
            <c:extLst>
              <c:ext xmlns:c16="http://schemas.microsoft.com/office/drawing/2014/chart" uri="{C3380CC4-5D6E-409C-BE32-E72D297353CC}">
                <c16:uniqueId val="{00000015-CC8C-4D41-B0AF-BF7B4C403AC7}"/>
              </c:ext>
            </c:extLst>
          </c:dPt>
          <c:dPt>
            <c:idx val="2"/>
            <c:invertIfNegative val="0"/>
            <c:bubble3D val="0"/>
            <c:extLst>
              <c:ext xmlns:c16="http://schemas.microsoft.com/office/drawing/2014/chart" uri="{C3380CC4-5D6E-409C-BE32-E72D297353CC}">
                <c16:uniqueId val="{00000017-CC8C-4D41-B0AF-BF7B4C403AC7}"/>
              </c:ext>
            </c:extLst>
          </c:dPt>
          <c:dPt>
            <c:idx val="3"/>
            <c:invertIfNegative val="0"/>
            <c:bubble3D val="0"/>
            <c:extLst>
              <c:ext xmlns:c16="http://schemas.microsoft.com/office/drawing/2014/chart" uri="{C3380CC4-5D6E-409C-BE32-E72D297353CC}">
                <c16:uniqueId val="{00000019-CC8C-4D41-B0AF-BF7B4C403AC7}"/>
              </c:ext>
            </c:extLst>
          </c:dPt>
          <c:cat>
            <c:strRef>
              <c:f>Home!$A$7:$A$11</c:f>
              <c:strCache>
                <c:ptCount val="4"/>
                <c:pt idx="0">
                  <c:v>April</c:v>
                </c:pt>
                <c:pt idx="1">
                  <c:v>May</c:v>
                </c:pt>
                <c:pt idx="2">
                  <c:v>June</c:v>
                </c:pt>
                <c:pt idx="3">
                  <c:v>July</c:v>
                </c:pt>
              </c:strCache>
            </c:strRef>
          </c:cat>
          <c:val>
            <c:numRef>
              <c:f>Home!$D$7:$D$11</c:f>
              <c:numCache>
                <c:formatCode>_ * #,##0_ ;_ * \-#,##0_ ;_ * "-"??_ ;_ @_ </c:formatCode>
                <c:ptCount val="4"/>
                <c:pt idx="0">
                  <c:v>1877668.3259999999</c:v>
                </c:pt>
                <c:pt idx="1">
                  <c:v>1607557.4639999997</c:v>
                </c:pt>
                <c:pt idx="2">
                  <c:v>2486905.8839999996</c:v>
                </c:pt>
                <c:pt idx="3">
                  <c:v>3001676.4000000004</c:v>
                </c:pt>
              </c:numCache>
            </c:numRef>
          </c:val>
          <c:extLst>
            <c:ext xmlns:c16="http://schemas.microsoft.com/office/drawing/2014/chart" uri="{C3380CC4-5D6E-409C-BE32-E72D297353CC}">
              <c16:uniqueId val="{0000001A-CC8C-4D41-B0AF-BF7B4C403AC7}"/>
            </c:ext>
          </c:extLst>
        </c:ser>
        <c:ser>
          <c:idx val="3"/>
          <c:order val="3"/>
          <c:tx>
            <c:strRef>
              <c:f>Home!$E$5:$E$6</c:f>
              <c:strCache>
                <c:ptCount val="1"/>
                <c:pt idx="0">
                  <c:v>Gran Total</c:v>
                </c:pt>
              </c:strCache>
            </c:strRef>
          </c:tx>
          <c:spPr>
            <a:solidFill>
              <a:schemeClr val="accent4">
                <a:alpha val="85000"/>
              </a:schemeClr>
            </a:solidFill>
            <a:ln w="9525" cap="flat" cmpd="sng" algn="ctr">
              <a:solidFill>
                <a:schemeClr val="accent4">
                  <a:lumMod val="75000"/>
                </a:schemeClr>
              </a:solidFill>
              <a:round/>
            </a:ln>
            <a:effectLst/>
          </c:spPr>
          <c:invertIfNegative val="0"/>
          <c:cat>
            <c:strRef>
              <c:f>Home!$A$7:$A$11</c:f>
              <c:strCache>
                <c:ptCount val="4"/>
                <c:pt idx="0">
                  <c:v>April</c:v>
                </c:pt>
                <c:pt idx="1">
                  <c:v>May</c:v>
                </c:pt>
                <c:pt idx="2">
                  <c:v>June</c:v>
                </c:pt>
                <c:pt idx="3">
                  <c:v>July</c:v>
                </c:pt>
              </c:strCache>
            </c:strRef>
          </c:cat>
          <c:val>
            <c:numRef>
              <c:f>Home!$E$7:$E$11</c:f>
              <c:numCache>
                <c:formatCode>_ * #,##0_ ;_ * \-#,##0_ ;_ * "-"??_ ;_ @_ </c:formatCode>
                <c:ptCount val="4"/>
                <c:pt idx="0">
                  <c:v>12309159.995999999</c:v>
                </c:pt>
                <c:pt idx="1">
                  <c:v>10538432.993999999</c:v>
                </c:pt>
                <c:pt idx="2">
                  <c:v>16303054.004000001</c:v>
                </c:pt>
                <c:pt idx="3">
                  <c:v>19677658.990000002</c:v>
                </c:pt>
              </c:numCache>
            </c:numRef>
          </c:val>
          <c:extLst>
            <c:ext xmlns:c16="http://schemas.microsoft.com/office/drawing/2014/chart" uri="{C3380CC4-5D6E-409C-BE32-E72D297353CC}">
              <c16:uniqueId val="{0000001B-CC8C-4D41-B0AF-BF7B4C403AC7}"/>
            </c:ext>
          </c:extLst>
        </c:ser>
        <c:ser>
          <c:idx val="0"/>
          <c:order val="0"/>
          <c:tx>
            <c:strRef>
              <c:f>Home!$B$5:$B$6</c:f>
              <c:strCache>
                <c:ptCount val="1"/>
                <c:pt idx="0">
                  <c:v> BASIC</c:v>
                </c:pt>
              </c:strCache>
            </c:strRef>
          </c:tx>
          <c:spPr>
            <a:solidFill>
              <a:schemeClr val="accent1">
                <a:alpha val="85000"/>
              </a:schemeClr>
            </a:solidFill>
            <a:ln w="9525" cap="flat" cmpd="sng" algn="ctr">
              <a:solidFill>
                <a:schemeClr val="accent1">
                  <a:lumMod val="75000"/>
                </a:schemeClr>
              </a:solidFill>
              <a:round/>
            </a:ln>
            <a:effectLst/>
          </c:spPr>
          <c:invertIfNegative val="0"/>
          <c:dPt>
            <c:idx val="0"/>
            <c:invertIfNegative val="0"/>
            <c:bubble3D val="0"/>
            <c:extLst>
              <c:ext xmlns:c16="http://schemas.microsoft.com/office/drawing/2014/chart" uri="{C3380CC4-5D6E-409C-BE32-E72D297353CC}">
                <c16:uniqueId val="{0000000A-CC8C-4D41-B0AF-BF7B4C403AC7}"/>
              </c:ext>
            </c:extLst>
          </c:dPt>
          <c:dPt>
            <c:idx val="1"/>
            <c:invertIfNegative val="0"/>
            <c:bubble3D val="0"/>
            <c:extLst>
              <c:ext xmlns:c16="http://schemas.microsoft.com/office/drawing/2014/chart" uri="{C3380CC4-5D6E-409C-BE32-E72D297353CC}">
                <c16:uniqueId val="{0000000C-CC8C-4D41-B0AF-BF7B4C403AC7}"/>
              </c:ext>
            </c:extLst>
          </c:dPt>
          <c:dPt>
            <c:idx val="2"/>
            <c:invertIfNegative val="0"/>
            <c:bubble3D val="0"/>
            <c:extLst>
              <c:ext xmlns:c16="http://schemas.microsoft.com/office/drawing/2014/chart" uri="{C3380CC4-5D6E-409C-BE32-E72D297353CC}">
                <c16:uniqueId val="{0000000E-CC8C-4D41-B0AF-BF7B4C403AC7}"/>
              </c:ext>
            </c:extLst>
          </c:dPt>
          <c:dPt>
            <c:idx val="3"/>
            <c:invertIfNegative val="0"/>
            <c:bubble3D val="0"/>
            <c:extLst>
              <c:ext xmlns:c16="http://schemas.microsoft.com/office/drawing/2014/chart" uri="{C3380CC4-5D6E-409C-BE32-E72D297353CC}">
                <c16:uniqueId val="{00000010-CC8C-4D41-B0AF-BF7B4C403AC7}"/>
              </c:ext>
            </c:extLst>
          </c:dPt>
          <c:cat>
            <c:strRef>
              <c:f>Home!$A$7:$A$11</c:f>
              <c:strCache>
                <c:ptCount val="4"/>
                <c:pt idx="0">
                  <c:v>April</c:v>
                </c:pt>
                <c:pt idx="1">
                  <c:v>May</c:v>
                </c:pt>
                <c:pt idx="2">
                  <c:v>June</c:v>
                </c:pt>
                <c:pt idx="3">
                  <c:v>July</c:v>
                </c:pt>
              </c:strCache>
            </c:strRef>
          </c:cat>
          <c:val>
            <c:numRef>
              <c:f>Home!$B$7:$B$11</c:f>
              <c:numCache>
                <c:formatCode>_ * #,##0_ ;_ * \-#,##0_ ;_ * "-"??_ ;_ @_ </c:formatCode>
                <c:ptCount val="4"/>
                <c:pt idx="0">
                  <c:v>10367290.700000001</c:v>
                </c:pt>
                <c:pt idx="1">
                  <c:v>8849774.7999999989</c:v>
                </c:pt>
                <c:pt idx="2">
                  <c:v>13669493.799999999</c:v>
                </c:pt>
                <c:pt idx="3">
                  <c:v>16532029.999999998</c:v>
                </c:pt>
              </c:numCache>
            </c:numRef>
          </c:val>
          <c:extLst>
            <c:ext xmlns:c16="http://schemas.microsoft.com/office/drawing/2014/chart" uri="{C3380CC4-5D6E-409C-BE32-E72D297353CC}">
              <c16:uniqueId val="{00000011-CC8C-4D41-B0AF-BF7B4C403AC7}"/>
            </c:ext>
          </c:extLst>
        </c:ser>
        <c:dLbls>
          <c:showLegendKey val="0"/>
          <c:showVal val="0"/>
          <c:showCatName val="0"/>
          <c:showSerName val="0"/>
          <c:showPercent val="0"/>
          <c:showBubbleSize val="0"/>
        </c:dLbls>
        <c:gapWidth val="150"/>
        <c:axId val="257433312"/>
        <c:axId val="257432920"/>
      </c:barChart>
      <c:catAx>
        <c:axId val="257433312"/>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57432920"/>
        <c:crossesAt val="0"/>
        <c:auto val="1"/>
        <c:lblAlgn val="ctr"/>
        <c:lblOffset val="100"/>
        <c:noMultiLvlLbl val="0"/>
      </c:catAx>
      <c:valAx>
        <c:axId val="257432920"/>
        <c:scaling>
          <c:orientation val="minMax"/>
        </c:scaling>
        <c:delete val="0"/>
        <c:axPos val="l"/>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57433312"/>
        <c:crosses val="autoZero"/>
        <c:crossBetween val="between"/>
      </c:valAx>
      <c:spPr>
        <a:noFill/>
        <a:ln w="25400">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[2026-07-31 Data Sheet - Commercial Data Sheet.xlsx]Sheet1!PivotTable2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Qty Sold Product Wise</a:t>
            </a:r>
          </a:p>
        </c:rich>
      </c:tx>
      <c:layout>
        <c:manualLayout>
          <c:xMode val="edge"/>
          <c:yMode val="edge"/>
          <c:x val="4.7533789983569115E-2"/>
          <c:y val="2.03562340966921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s>
    <c:plotArea>
      <c:layout>
        <c:manualLayout>
          <c:layoutTarget val="inner"/>
          <c:xMode val="edge"/>
          <c:yMode val="edge"/>
          <c:x val="6.8541664549995773E-2"/>
          <c:y val="0.15208667759592071"/>
          <c:w val="0.92173790534247735"/>
          <c:h val="0.51001841964352268"/>
        </c:manualLayout>
      </c:layout>
      <c:barChart>
        <c:barDir val="col"/>
        <c:grouping val="clustered"/>
        <c:varyColors val="1"/>
        <c:ser>
          <c:idx val="0"/>
          <c:order val="0"/>
          <c:tx>
            <c:strRef>
              <c:f>Sheet1!$B$3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CD9-465C-ABD0-C3B6077AB1B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6CD9-465C-ABD0-C3B6077AB1B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6CD9-465C-ABD0-C3B6077AB1B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CD9-465C-ABD0-C3B6077AB1BA}"/>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6CD9-465C-ABD0-C3B6077AB1BA}"/>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6CD9-465C-ABD0-C3B6077AB1BA}"/>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6CD9-465C-ABD0-C3B6077AB1BA}"/>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6CD9-465C-ABD0-C3B6077AB1BA}"/>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6CD9-465C-ABD0-C3B6077AB1BA}"/>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6CD9-465C-ABD0-C3B6077AB1BA}"/>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6CD9-465C-ABD0-C3B6077AB1BA}"/>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6CD9-465C-ABD0-C3B6077AB1BA}"/>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6CD9-465C-ABD0-C3B6077AB1BA}"/>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6CD9-465C-ABD0-C3B6077AB1BA}"/>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6CD9-465C-ABD0-C3B6077AB1BA}"/>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6CD9-465C-ABD0-C3B6077AB1BA}"/>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6CD9-465C-ABD0-C3B6077AB1BA}"/>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6CD9-465C-ABD0-C3B6077AB1BA}"/>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6CD9-465C-ABD0-C3B6077AB1BA}"/>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27-6CD9-465C-ABD0-C3B6077AB1BA}"/>
              </c:ext>
            </c:extLst>
          </c:dPt>
          <c:dPt>
            <c:idx val="20"/>
            <c:invertIfNegative val="0"/>
            <c:bubble3D val="0"/>
            <c:spPr>
              <a:solidFill>
                <a:schemeClr val="accent3">
                  <a:lumMod val="80000"/>
                </a:schemeClr>
              </a:solidFill>
              <a:ln>
                <a:noFill/>
              </a:ln>
              <a:effectLst/>
            </c:spPr>
            <c:extLst>
              <c:ext xmlns:c16="http://schemas.microsoft.com/office/drawing/2014/chart" uri="{C3380CC4-5D6E-409C-BE32-E72D297353CC}">
                <c16:uniqueId val="{00000029-6CD9-465C-ABD0-C3B6077AB1BA}"/>
              </c:ext>
            </c:extLst>
          </c:dPt>
          <c:dPt>
            <c:idx val="21"/>
            <c:invertIfNegative val="0"/>
            <c:bubble3D val="0"/>
            <c:spPr>
              <a:solidFill>
                <a:schemeClr val="accent4">
                  <a:lumMod val="80000"/>
                </a:schemeClr>
              </a:solidFill>
              <a:ln>
                <a:noFill/>
              </a:ln>
              <a:effectLst/>
            </c:spPr>
            <c:extLst>
              <c:ext xmlns:c16="http://schemas.microsoft.com/office/drawing/2014/chart" uri="{C3380CC4-5D6E-409C-BE32-E72D297353CC}">
                <c16:uniqueId val="{0000002B-6CD9-465C-ABD0-C3B6077AB1BA}"/>
              </c:ext>
            </c:extLst>
          </c:dPt>
          <c:dPt>
            <c:idx val="22"/>
            <c:invertIfNegative val="0"/>
            <c:bubble3D val="0"/>
            <c:spPr>
              <a:solidFill>
                <a:schemeClr val="accent5">
                  <a:lumMod val="80000"/>
                </a:schemeClr>
              </a:solidFill>
              <a:ln>
                <a:noFill/>
              </a:ln>
              <a:effectLst/>
            </c:spPr>
            <c:extLst>
              <c:ext xmlns:c16="http://schemas.microsoft.com/office/drawing/2014/chart" uri="{C3380CC4-5D6E-409C-BE32-E72D297353CC}">
                <c16:uniqueId val="{0000002D-6CD9-465C-ABD0-C3B6077AB1BA}"/>
              </c:ext>
            </c:extLst>
          </c:dPt>
          <c:dPt>
            <c:idx val="23"/>
            <c:invertIfNegative val="0"/>
            <c:bubble3D val="0"/>
            <c:spPr>
              <a:solidFill>
                <a:schemeClr val="accent6">
                  <a:lumMod val="80000"/>
                </a:schemeClr>
              </a:solidFill>
              <a:ln>
                <a:noFill/>
              </a:ln>
              <a:effectLst/>
            </c:spPr>
            <c:extLst>
              <c:ext xmlns:c16="http://schemas.microsoft.com/office/drawing/2014/chart" uri="{C3380CC4-5D6E-409C-BE32-E72D297353CC}">
                <c16:uniqueId val="{0000002F-6CD9-465C-ABD0-C3B6077AB1BA}"/>
              </c:ext>
            </c:extLst>
          </c:dPt>
          <c:dPt>
            <c:idx val="2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31-6CD9-465C-ABD0-C3B6077AB1BA}"/>
              </c:ext>
            </c:extLst>
          </c:dPt>
          <c:dPt>
            <c:idx val="25"/>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33-6CD9-465C-ABD0-C3B6077AB1BA}"/>
              </c:ext>
            </c:extLst>
          </c:dPt>
          <c:dPt>
            <c:idx val="26"/>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35-6CD9-465C-ABD0-C3B6077AB1BA}"/>
              </c:ext>
            </c:extLst>
          </c:dPt>
          <c:dPt>
            <c:idx val="27"/>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37-6CD9-465C-ABD0-C3B6077AB1BA}"/>
              </c:ext>
            </c:extLst>
          </c:dPt>
          <c:dPt>
            <c:idx val="28"/>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39-6CD9-465C-ABD0-C3B6077AB1BA}"/>
              </c:ext>
            </c:extLst>
          </c:dPt>
          <c:dPt>
            <c:idx val="29"/>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3B-6CD9-465C-ABD0-C3B6077AB1BA}"/>
              </c:ext>
            </c:extLst>
          </c:dPt>
          <c:dPt>
            <c:idx val="30"/>
            <c:invertIfNegative val="0"/>
            <c:bubble3D val="0"/>
            <c:spPr>
              <a:solidFill>
                <a:schemeClr val="accent1">
                  <a:lumMod val="50000"/>
                </a:schemeClr>
              </a:solidFill>
              <a:ln>
                <a:noFill/>
              </a:ln>
              <a:effectLst/>
            </c:spPr>
            <c:extLst>
              <c:ext xmlns:c16="http://schemas.microsoft.com/office/drawing/2014/chart" uri="{C3380CC4-5D6E-409C-BE32-E72D297353CC}">
                <c16:uniqueId val="{0000003D-6CD9-465C-ABD0-C3B6077AB1BA}"/>
              </c:ext>
            </c:extLst>
          </c:dPt>
          <c:dPt>
            <c:idx val="31"/>
            <c:invertIfNegative val="0"/>
            <c:bubble3D val="0"/>
            <c:spPr>
              <a:solidFill>
                <a:schemeClr val="accent2">
                  <a:lumMod val="50000"/>
                </a:schemeClr>
              </a:solidFill>
              <a:ln>
                <a:noFill/>
              </a:ln>
              <a:effectLst/>
            </c:spPr>
            <c:extLst>
              <c:ext xmlns:c16="http://schemas.microsoft.com/office/drawing/2014/chart" uri="{C3380CC4-5D6E-409C-BE32-E72D297353CC}">
                <c16:uniqueId val="{0000003F-6CD9-465C-ABD0-C3B6077AB1BA}"/>
              </c:ext>
            </c:extLst>
          </c:dPt>
          <c:dPt>
            <c:idx val="32"/>
            <c:invertIfNegative val="0"/>
            <c:bubble3D val="0"/>
            <c:spPr>
              <a:solidFill>
                <a:schemeClr val="accent3">
                  <a:lumMod val="50000"/>
                </a:schemeClr>
              </a:solidFill>
              <a:ln>
                <a:noFill/>
              </a:ln>
              <a:effectLst/>
            </c:spPr>
            <c:extLst>
              <c:ext xmlns:c16="http://schemas.microsoft.com/office/drawing/2014/chart" uri="{C3380CC4-5D6E-409C-BE32-E72D297353CC}">
                <c16:uniqueId val="{00000041-6CD9-465C-ABD0-C3B6077AB1BA}"/>
              </c:ext>
            </c:extLst>
          </c:dPt>
          <c:dPt>
            <c:idx val="33"/>
            <c:invertIfNegative val="0"/>
            <c:bubble3D val="0"/>
            <c:spPr>
              <a:solidFill>
                <a:schemeClr val="accent4">
                  <a:lumMod val="50000"/>
                </a:schemeClr>
              </a:solidFill>
              <a:ln>
                <a:noFill/>
              </a:ln>
              <a:effectLst/>
            </c:spPr>
            <c:extLst>
              <c:ext xmlns:c16="http://schemas.microsoft.com/office/drawing/2014/chart" uri="{C3380CC4-5D6E-409C-BE32-E72D297353CC}">
                <c16:uniqueId val="{00000043-6CD9-465C-ABD0-C3B6077AB1BA}"/>
              </c:ext>
            </c:extLst>
          </c:dPt>
          <c:dPt>
            <c:idx val="34"/>
            <c:invertIfNegative val="0"/>
            <c:bubble3D val="0"/>
            <c:spPr>
              <a:solidFill>
                <a:schemeClr val="accent5">
                  <a:lumMod val="50000"/>
                </a:schemeClr>
              </a:solidFill>
              <a:ln>
                <a:noFill/>
              </a:ln>
              <a:effectLst/>
            </c:spPr>
            <c:extLst>
              <c:ext xmlns:c16="http://schemas.microsoft.com/office/drawing/2014/chart" uri="{C3380CC4-5D6E-409C-BE32-E72D297353CC}">
                <c16:uniqueId val="{00000045-6CD9-465C-ABD0-C3B6077AB1BA}"/>
              </c:ext>
            </c:extLst>
          </c:dPt>
          <c:dPt>
            <c:idx val="35"/>
            <c:invertIfNegative val="0"/>
            <c:bubble3D val="0"/>
            <c:spPr>
              <a:solidFill>
                <a:schemeClr val="accent6">
                  <a:lumMod val="50000"/>
                </a:schemeClr>
              </a:solidFill>
              <a:ln>
                <a:noFill/>
              </a:ln>
              <a:effectLst/>
            </c:spPr>
            <c:extLst>
              <c:ext xmlns:c16="http://schemas.microsoft.com/office/drawing/2014/chart" uri="{C3380CC4-5D6E-409C-BE32-E72D297353CC}">
                <c16:uniqueId val="{00000047-6CD9-465C-ABD0-C3B6077AB1BA}"/>
              </c:ext>
            </c:extLst>
          </c:dPt>
          <c:dPt>
            <c:idx val="36"/>
            <c:invertIfNegative val="0"/>
            <c:bubble3D val="0"/>
            <c:spPr>
              <a:solidFill>
                <a:schemeClr val="accent1">
                  <a:lumMod val="70000"/>
                  <a:lumOff val="30000"/>
                </a:schemeClr>
              </a:solidFill>
              <a:ln>
                <a:noFill/>
              </a:ln>
              <a:effectLst/>
            </c:spPr>
            <c:extLst>
              <c:ext xmlns:c16="http://schemas.microsoft.com/office/drawing/2014/chart" uri="{C3380CC4-5D6E-409C-BE32-E72D297353CC}">
                <c16:uniqueId val="{00000049-6CD9-465C-ABD0-C3B6077AB1BA}"/>
              </c:ext>
            </c:extLst>
          </c:dPt>
          <c:dPt>
            <c:idx val="37"/>
            <c:invertIfNegative val="0"/>
            <c:bubble3D val="0"/>
            <c:spPr>
              <a:solidFill>
                <a:schemeClr val="accent2">
                  <a:lumMod val="70000"/>
                  <a:lumOff val="30000"/>
                </a:schemeClr>
              </a:solidFill>
              <a:ln>
                <a:noFill/>
              </a:ln>
              <a:effectLst/>
            </c:spPr>
            <c:extLst>
              <c:ext xmlns:c16="http://schemas.microsoft.com/office/drawing/2014/chart" uri="{C3380CC4-5D6E-409C-BE32-E72D297353CC}">
                <c16:uniqueId val="{0000004B-6CD9-465C-ABD0-C3B6077AB1BA}"/>
              </c:ext>
            </c:extLst>
          </c:dPt>
          <c:dPt>
            <c:idx val="38"/>
            <c:invertIfNegative val="0"/>
            <c:bubble3D val="0"/>
            <c:spPr>
              <a:solidFill>
                <a:schemeClr val="accent3">
                  <a:lumMod val="70000"/>
                  <a:lumOff val="30000"/>
                </a:schemeClr>
              </a:solidFill>
              <a:ln>
                <a:noFill/>
              </a:ln>
              <a:effectLst/>
            </c:spPr>
            <c:extLst>
              <c:ext xmlns:c16="http://schemas.microsoft.com/office/drawing/2014/chart" uri="{C3380CC4-5D6E-409C-BE32-E72D297353CC}">
                <c16:uniqueId val="{0000004D-6CD9-465C-ABD0-C3B6077AB1BA}"/>
              </c:ext>
            </c:extLst>
          </c:dPt>
          <c:dPt>
            <c:idx val="39"/>
            <c:invertIfNegative val="0"/>
            <c:bubble3D val="0"/>
            <c:spPr>
              <a:solidFill>
                <a:schemeClr val="accent4">
                  <a:lumMod val="70000"/>
                  <a:lumOff val="30000"/>
                </a:schemeClr>
              </a:solidFill>
              <a:ln>
                <a:noFill/>
              </a:ln>
              <a:effectLst/>
            </c:spPr>
            <c:extLst>
              <c:ext xmlns:c16="http://schemas.microsoft.com/office/drawing/2014/chart" uri="{C3380CC4-5D6E-409C-BE32-E72D297353CC}">
                <c16:uniqueId val="{0000004F-6CD9-465C-ABD0-C3B6077AB1BA}"/>
              </c:ext>
            </c:extLst>
          </c:dPt>
          <c:dPt>
            <c:idx val="40"/>
            <c:invertIfNegative val="0"/>
            <c:bubble3D val="0"/>
            <c:spPr>
              <a:solidFill>
                <a:schemeClr val="accent5">
                  <a:lumMod val="70000"/>
                  <a:lumOff val="30000"/>
                </a:schemeClr>
              </a:solidFill>
              <a:ln>
                <a:noFill/>
              </a:ln>
              <a:effectLst/>
            </c:spPr>
            <c:extLst>
              <c:ext xmlns:c16="http://schemas.microsoft.com/office/drawing/2014/chart" uri="{C3380CC4-5D6E-409C-BE32-E72D297353CC}">
                <c16:uniqueId val="{00000051-6CD9-465C-ABD0-C3B6077AB1BA}"/>
              </c:ext>
            </c:extLst>
          </c:dPt>
          <c:dPt>
            <c:idx val="41"/>
            <c:invertIfNegative val="0"/>
            <c:bubble3D val="0"/>
            <c:spPr>
              <a:solidFill>
                <a:schemeClr val="accent6">
                  <a:lumMod val="70000"/>
                  <a:lumOff val="30000"/>
                </a:schemeClr>
              </a:solidFill>
              <a:ln>
                <a:noFill/>
              </a:ln>
              <a:effectLst/>
            </c:spPr>
            <c:extLst>
              <c:ext xmlns:c16="http://schemas.microsoft.com/office/drawing/2014/chart" uri="{C3380CC4-5D6E-409C-BE32-E72D297353CC}">
                <c16:uniqueId val="{00000053-D092-4B86-8072-E856F3A9837E}"/>
              </c:ext>
            </c:extLst>
          </c:dPt>
          <c:dPt>
            <c:idx val="42"/>
            <c:invertIfNegative val="0"/>
            <c:bubble3D val="0"/>
            <c:spPr>
              <a:solidFill>
                <a:schemeClr val="accent1">
                  <a:lumMod val="70000"/>
                </a:schemeClr>
              </a:solidFill>
              <a:ln>
                <a:noFill/>
              </a:ln>
              <a:effectLst/>
            </c:spPr>
            <c:extLst>
              <c:ext xmlns:c16="http://schemas.microsoft.com/office/drawing/2014/chart" uri="{C3380CC4-5D6E-409C-BE32-E72D297353CC}">
                <c16:uniqueId val="{00000055-D092-4B86-8072-E856F3A9837E}"/>
              </c:ext>
            </c:extLst>
          </c:dPt>
          <c:dPt>
            <c:idx val="43"/>
            <c:invertIfNegative val="0"/>
            <c:bubble3D val="0"/>
            <c:spPr>
              <a:solidFill>
                <a:schemeClr val="accent2">
                  <a:lumMod val="70000"/>
                </a:schemeClr>
              </a:solidFill>
              <a:ln>
                <a:noFill/>
              </a:ln>
              <a:effectLst/>
            </c:spPr>
            <c:extLst>
              <c:ext xmlns:c16="http://schemas.microsoft.com/office/drawing/2014/chart" uri="{C3380CC4-5D6E-409C-BE32-E72D297353CC}">
                <c16:uniqueId val="{00000057-D092-4B86-8072-E856F3A9837E}"/>
              </c:ext>
            </c:extLst>
          </c:dPt>
          <c:dPt>
            <c:idx val="44"/>
            <c:invertIfNegative val="0"/>
            <c:bubble3D val="0"/>
            <c:spPr>
              <a:solidFill>
                <a:schemeClr val="accent3">
                  <a:lumMod val="70000"/>
                </a:schemeClr>
              </a:solidFill>
              <a:ln>
                <a:noFill/>
              </a:ln>
              <a:effectLst/>
            </c:spPr>
            <c:extLst>
              <c:ext xmlns:c16="http://schemas.microsoft.com/office/drawing/2014/chart" uri="{C3380CC4-5D6E-409C-BE32-E72D297353CC}">
                <c16:uniqueId val="{00000059-D092-4B86-8072-E856F3A9837E}"/>
              </c:ext>
            </c:extLst>
          </c:dPt>
          <c:dPt>
            <c:idx val="45"/>
            <c:invertIfNegative val="0"/>
            <c:bubble3D val="0"/>
            <c:spPr>
              <a:solidFill>
                <a:schemeClr val="accent4">
                  <a:lumMod val="70000"/>
                </a:schemeClr>
              </a:solidFill>
              <a:ln>
                <a:noFill/>
              </a:ln>
              <a:effectLst/>
            </c:spPr>
            <c:extLst>
              <c:ext xmlns:c16="http://schemas.microsoft.com/office/drawing/2014/chart" uri="{C3380CC4-5D6E-409C-BE32-E72D297353CC}">
                <c16:uniqueId val="{0000005B-D092-4B86-8072-E856F3A9837E}"/>
              </c:ext>
            </c:extLst>
          </c:dPt>
          <c:dPt>
            <c:idx val="46"/>
            <c:invertIfNegative val="0"/>
            <c:bubble3D val="0"/>
            <c:spPr>
              <a:solidFill>
                <a:schemeClr val="accent5">
                  <a:lumMod val="70000"/>
                </a:schemeClr>
              </a:solidFill>
              <a:ln>
                <a:noFill/>
              </a:ln>
              <a:effectLst/>
            </c:spPr>
            <c:extLst>
              <c:ext xmlns:c16="http://schemas.microsoft.com/office/drawing/2014/chart" uri="{C3380CC4-5D6E-409C-BE32-E72D297353CC}">
                <c16:uniqueId val="{0000005D-6349-4938-AFC0-06C8E754693C}"/>
              </c:ext>
            </c:extLst>
          </c:dPt>
          <c:dPt>
            <c:idx val="47"/>
            <c:invertIfNegative val="0"/>
            <c:bubble3D val="0"/>
            <c:spPr>
              <a:solidFill>
                <a:schemeClr val="accent6">
                  <a:lumMod val="70000"/>
                </a:schemeClr>
              </a:solidFill>
              <a:ln>
                <a:noFill/>
              </a:ln>
              <a:effectLst/>
            </c:spPr>
            <c:extLst>
              <c:ext xmlns:c16="http://schemas.microsoft.com/office/drawing/2014/chart" uri="{C3380CC4-5D6E-409C-BE32-E72D297353CC}">
                <c16:uniqueId val="{0000005F-6349-4938-AFC0-06C8E754693C}"/>
              </c:ext>
            </c:extLst>
          </c:dPt>
          <c:dPt>
            <c:idx val="48"/>
            <c:invertIfNegative val="0"/>
            <c:bubble3D val="0"/>
            <c:spPr>
              <a:solidFill>
                <a:schemeClr val="accent1">
                  <a:lumMod val="50000"/>
                  <a:lumOff val="50000"/>
                </a:schemeClr>
              </a:solidFill>
              <a:ln>
                <a:noFill/>
              </a:ln>
              <a:effectLst/>
            </c:spPr>
            <c:extLst>
              <c:ext xmlns:c16="http://schemas.microsoft.com/office/drawing/2014/chart" uri="{C3380CC4-5D6E-409C-BE32-E72D297353CC}">
                <c16:uniqueId val="{00000061-6349-4938-AFC0-06C8E754693C}"/>
              </c:ext>
            </c:extLst>
          </c:dPt>
          <c:dPt>
            <c:idx val="49"/>
            <c:invertIfNegative val="0"/>
            <c:bubble3D val="0"/>
            <c:spPr>
              <a:solidFill>
                <a:schemeClr val="accent2">
                  <a:lumMod val="50000"/>
                  <a:lumOff val="50000"/>
                </a:schemeClr>
              </a:solidFill>
              <a:ln>
                <a:noFill/>
              </a:ln>
              <a:effectLst/>
            </c:spPr>
            <c:extLst>
              <c:ext xmlns:c16="http://schemas.microsoft.com/office/drawing/2014/chart" uri="{C3380CC4-5D6E-409C-BE32-E72D297353CC}">
                <c16:uniqueId val="{00000063-6349-4938-AFC0-06C8E754693C}"/>
              </c:ext>
            </c:extLst>
          </c:dPt>
          <c:dPt>
            <c:idx val="50"/>
            <c:invertIfNegative val="0"/>
            <c:bubble3D val="0"/>
            <c:spPr>
              <a:solidFill>
                <a:schemeClr val="accent3">
                  <a:lumMod val="50000"/>
                  <a:lumOff val="50000"/>
                </a:schemeClr>
              </a:solidFill>
              <a:ln>
                <a:noFill/>
              </a:ln>
              <a:effectLst/>
            </c:spPr>
            <c:extLst>
              <c:ext xmlns:c16="http://schemas.microsoft.com/office/drawing/2014/chart" uri="{C3380CC4-5D6E-409C-BE32-E72D297353CC}">
                <c16:uniqueId val="{00000065-6349-4938-AFC0-06C8E754693C}"/>
              </c:ext>
            </c:extLst>
          </c:dPt>
          <c:dPt>
            <c:idx val="51"/>
            <c:invertIfNegative val="0"/>
            <c:bubble3D val="0"/>
            <c:spPr>
              <a:solidFill>
                <a:schemeClr val="accent4">
                  <a:lumMod val="50000"/>
                  <a:lumOff val="50000"/>
                </a:schemeClr>
              </a:solidFill>
              <a:ln>
                <a:noFill/>
              </a:ln>
              <a:effectLst/>
            </c:spPr>
            <c:extLst>
              <c:ext xmlns:c16="http://schemas.microsoft.com/office/drawing/2014/chart" uri="{C3380CC4-5D6E-409C-BE32-E72D297353CC}">
                <c16:uniqueId val="{00000067-6349-4938-AFC0-06C8E754693C}"/>
              </c:ext>
            </c:extLst>
          </c:dPt>
          <c:dPt>
            <c:idx val="52"/>
            <c:invertIfNegative val="0"/>
            <c:bubble3D val="0"/>
            <c:spPr>
              <a:solidFill>
                <a:schemeClr val="accent5">
                  <a:lumMod val="50000"/>
                  <a:lumOff val="50000"/>
                </a:schemeClr>
              </a:solidFill>
              <a:ln>
                <a:noFill/>
              </a:ln>
              <a:effectLst/>
            </c:spPr>
            <c:extLst>
              <c:ext xmlns:c16="http://schemas.microsoft.com/office/drawing/2014/chart" uri="{C3380CC4-5D6E-409C-BE32-E72D297353CC}">
                <c16:uniqueId val="{00000069-6349-4938-AFC0-06C8E754693C}"/>
              </c:ext>
            </c:extLst>
          </c:dPt>
          <c:dPt>
            <c:idx val="53"/>
            <c:invertIfNegative val="0"/>
            <c:bubble3D val="0"/>
            <c:spPr>
              <a:solidFill>
                <a:schemeClr val="accent6">
                  <a:lumMod val="50000"/>
                  <a:lumOff val="50000"/>
                </a:schemeClr>
              </a:solidFill>
              <a:ln>
                <a:noFill/>
              </a:ln>
              <a:effectLst/>
            </c:spPr>
            <c:extLst>
              <c:ext xmlns:c16="http://schemas.microsoft.com/office/drawing/2014/chart" uri="{C3380CC4-5D6E-409C-BE32-E72D297353CC}">
                <c16:uniqueId val="{0000006B-6349-4938-AFC0-06C8E754693C}"/>
              </c:ext>
            </c:extLst>
          </c:dPt>
          <c:dPt>
            <c:idx val="54"/>
            <c:invertIfNegative val="0"/>
            <c:bubble3D val="0"/>
            <c:spPr>
              <a:solidFill>
                <a:schemeClr val="accent1"/>
              </a:solidFill>
              <a:ln>
                <a:noFill/>
              </a:ln>
              <a:effectLst/>
            </c:spPr>
            <c:extLst>
              <c:ext xmlns:c16="http://schemas.microsoft.com/office/drawing/2014/chart" uri="{C3380CC4-5D6E-409C-BE32-E72D297353CC}">
                <c16:uniqueId val="{0000006D-6349-4938-AFC0-06C8E754693C}"/>
              </c:ext>
            </c:extLst>
          </c:dPt>
          <c:cat>
            <c:strRef>
              <c:f>Sheet1!$A$4:$A$59</c:f>
              <c:strCache>
                <c:ptCount val="55"/>
                <c:pt idx="0">
                  <c:v>120gsm 18G</c:v>
                </c:pt>
                <c:pt idx="1">
                  <c:v>120gsm 20G</c:v>
                </c:pt>
                <c:pt idx="2">
                  <c:v>120gsm 22G</c:v>
                </c:pt>
                <c:pt idx="3">
                  <c:v>120gsm 24G</c:v>
                </c:pt>
                <c:pt idx="4">
                  <c:v>120gsm Slit 20G</c:v>
                </c:pt>
                <c:pt idx="5">
                  <c:v>120gsm Slit 22G</c:v>
                </c:pt>
                <c:pt idx="6">
                  <c:v>120gsm Slit 24G</c:v>
                </c:pt>
                <c:pt idx="7">
                  <c:v>Cleats</c:v>
                </c:pt>
                <c:pt idx="8">
                  <c:v>Gasket</c:v>
                </c:pt>
                <c:pt idx="9">
                  <c:v>Insu Kflex 15mm Acou.</c:v>
                </c:pt>
                <c:pt idx="10">
                  <c:v>Insu Kflex Thermal 13mm</c:v>
                </c:pt>
                <c:pt idx="11">
                  <c:v>Insu Kflex Thermal 9mm</c:v>
                </c:pt>
                <c:pt idx="12">
                  <c:v>Polythene wrapping</c:v>
                </c:pt>
                <c:pt idx="13">
                  <c:v>(blank)</c:v>
                </c:pt>
                <c:pt idx="14">
                  <c:v>Insu Kflex 10mm Acou.</c:v>
                </c:pt>
                <c:pt idx="15">
                  <c:v>Insu Supreme Thermal 9mm</c:v>
                </c:pt>
                <c:pt idx="16">
                  <c:v>Insu Armaflex Thermal 9mm</c:v>
                </c:pt>
                <c:pt idx="17">
                  <c:v>Insu Supreme Thermal 13mm</c:v>
                </c:pt>
                <c:pt idx="18">
                  <c:v>Insu Supreme 15mm Acou.</c:v>
                </c:pt>
                <c:pt idx="19">
                  <c:v>Insu TB Thermal 13mm Al. Foil</c:v>
                </c:pt>
                <c:pt idx="20">
                  <c:v>120gsm 26G</c:v>
                </c:pt>
                <c:pt idx="21">
                  <c:v>Insu Supreme 10mm Acou.</c:v>
                </c:pt>
                <c:pt idx="22">
                  <c:v>Alu. 0.8mm</c:v>
                </c:pt>
                <c:pt idx="23">
                  <c:v>Alu. 1.0mm</c:v>
                </c:pt>
                <c:pt idx="24">
                  <c:v>Insu Supreme Thermal 19mm</c:v>
                </c:pt>
                <c:pt idx="25">
                  <c:v>Insu Supreme Thermal 16mm</c:v>
                </c:pt>
                <c:pt idx="26">
                  <c:v>10mm JTR</c:v>
                </c:pt>
                <c:pt idx="27">
                  <c:v>Pressure Testing</c:v>
                </c:pt>
                <c:pt idx="28">
                  <c:v>Insu Kflex Thermal 19mm Al. Foil</c:v>
                </c:pt>
                <c:pt idx="29">
                  <c:v>Tape</c:v>
                </c:pt>
                <c:pt idx="30">
                  <c:v>Insu TB Thermal 9mm Al. Foil</c:v>
                </c:pt>
                <c:pt idx="31">
                  <c:v>Scrap</c:v>
                </c:pt>
                <c:pt idx="32">
                  <c:v>Insu Kflex Thermal 19mm</c:v>
                </c:pt>
                <c:pt idx="33">
                  <c:v>Insu Kflex 25mm Acou.</c:v>
                </c:pt>
                <c:pt idx="34">
                  <c:v>Insu Armaflex Thermal 13mm Al. Foil</c:v>
                </c:pt>
                <c:pt idx="35">
                  <c:v>Insu Armasound Acou. 10mm</c:v>
                </c:pt>
                <c:pt idx="36">
                  <c:v>Insu Armasound Acou. 15mm</c:v>
                </c:pt>
                <c:pt idx="37">
                  <c:v>Insu Supreme Thermal 13mm Al. Foil</c:v>
                </c:pt>
                <c:pt idx="38">
                  <c:v>Corners 32mm</c:v>
                </c:pt>
                <c:pt idx="39">
                  <c:v>Insu Supreme Acou. 10mm</c:v>
                </c:pt>
                <c:pt idx="40">
                  <c:v>Insu Supreme Acou. 15mm</c:v>
                </c:pt>
                <c:pt idx="41">
                  <c:v>Insu Kflex Acou. 15mm</c:v>
                </c:pt>
                <c:pt idx="42">
                  <c:v>Insu Kflex Acou. 25mm</c:v>
                </c:pt>
                <c:pt idx="43">
                  <c:v>25x25x3mm</c:v>
                </c:pt>
                <c:pt idx="44">
                  <c:v>Insu TB Thermal 19mm Al. Foil</c:v>
                </c:pt>
                <c:pt idx="45">
                  <c:v>Corners 25mm</c:v>
                </c:pt>
                <c:pt idx="46">
                  <c:v>Insu Armaflex Thermal 19mm GC Cloth</c:v>
                </c:pt>
                <c:pt idx="47">
                  <c:v>Insu Kflex Acou. 10mm</c:v>
                </c:pt>
                <c:pt idx="48">
                  <c:v>Insu Aerocell Thermal 32mm (GC-CLOTH)</c:v>
                </c:pt>
                <c:pt idx="49">
                  <c:v>120gsm Slit 26G</c:v>
                </c:pt>
                <c:pt idx="50">
                  <c:v>Insu Supreme Thermal 9mm Al. Foil</c:v>
                </c:pt>
                <c:pt idx="51">
                  <c:v>Insu Kflex Thermal 19mm GC Cloth</c:v>
                </c:pt>
                <c:pt idx="52">
                  <c:v>Insu Supreme Thermal 19mm Al. Foil</c:v>
                </c:pt>
                <c:pt idx="53">
                  <c:v>Insu Supreme Acou. 20mm</c:v>
                </c:pt>
                <c:pt idx="54">
                  <c:v>Wire Mesh</c:v>
                </c:pt>
              </c:strCache>
            </c:strRef>
          </c:cat>
          <c:val>
            <c:numRef>
              <c:f>Sheet1!$B$4:$B$59</c:f>
              <c:numCache>
                <c:formatCode>0.0</c:formatCode>
                <c:ptCount val="55"/>
                <c:pt idx="0">
                  <c:v>1513.2000000000003</c:v>
                </c:pt>
                <c:pt idx="1">
                  <c:v>2904.8</c:v>
                </c:pt>
                <c:pt idx="2">
                  <c:v>20139.2</c:v>
                </c:pt>
                <c:pt idx="3">
                  <c:v>45153.499999999978</c:v>
                </c:pt>
                <c:pt idx="4">
                  <c:v>1139.0999999999997</c:v>
                </c:pt>
                <c:pt idx="5">
                  <c:v>2254.2999999999993</c:v>
                </c:pt>
                <c:pt idx="6">
                  <c:v>7272</c:v>
                </c:pt>
                <c:pt idx="7">
                  <c:v>2000</c:v>
                </c:pt>
                <c:pt idx="8">
                  <c:v>500</c:v>
                </c:pt>
                <c:pt idx="9">
                  <c:v>1447.8</c:v>
                </c:pt>
                <c:pt idx="10">
                  <c:v>2074.8011159430002</c:v>
                </c:pt>
                <c:pt idx="11">
                  <c:v>5060.1100000000006</c:v>
                </c:pt>
                <c:pt idx="12">
                  <c:v>36323.699999999997</c:v>
                </c:pt>
                <c:pt idx="14">
                  <c:v>191.20000000000002</c:v>
                </c:pt>
                <c:pt idx="15">
                  <c:v>2998.7</c:v>
                </c:pt>
                <c:pt idx="16">
                  <c:v>7178</c:v>
                </c:pt>
                <c:pt idx="17">
                  <c:v>8982.4571025000005</c:v>
                </c:pt>
                <c:pt idx="18">
                  <c:v>519.5</c:v>
                </c:pt>
                <c:pt idx="19">
                  <c:v>3122.0133329999999</c:v>
                </c:pt>
                <c:pt idx="20">
                  <c:v>215.60000000000002</c:v>
                </c:pt>
                <c:pt idx="21">
                  <c:v>205.89999999999998</c:v>
                </c:pt>
                <c:pt idx="22">
                  <c:v>1241.9000000000001</c:v>
                </c:pt>
                <c:pt idx="23">
                  <c:v>434.6</c:v>
                </c:pt>
                <c:pt idx="24">
                  <c:v>167.9</c:v>
                </c:pt>
                <c:pt idx="25">
                  <c:v>19.600000000000001</c:v>
                </c:pt>
                <c:pt idx="26">
                  <c:v>390.7</c:v>
                </c:pt>
                <c:pt idx="27">
                  <c:v>39357.300000000003</c:v>
                </c:pt>
                <c:pt idx="28">
                  <c:v>2058</c:v>
                </c:pt>
                <c:pt idx="29">
                  <c:v>77</c:v>
                </c:pt>
                <c:pt idx="30">
                  <c:v>16</c:v>
                </c:pt>
                <c:pt idx="31">
                  <c:v>2600</c:v>
                </c:pt>
                <c:pt idx="32">
                  <c:v>571</c:v>
                </c:pt>
                <c:pt idx="33">
                  <c:v>158.19999999999999</c:v>
                </c:pt>
                <c:pt idx="34">
                  <c:v>3278.59</c:v>
                </c:pt>
                <c:pt idx="35">
                  <c:v>395.70000000000005</c:v>
                </c:pt>
                <c:pt idx="36">
                  <c:v>1059.8923619999998</c:v>
                </c:pt>
                <c:pt idx="37">
                  <c:v>742.4</c:v>
                </c:pt>
                <c:pt idx="38">
                  <c:v>2300</c:v>
                </c:pt>
                <c:pt idx="39">
                  <c:v>728.9</c:v>
                </c:pt>
                <c:pt idx="40">
                  <c:v>584.69999999999993</c:v>
                </c:pt>
                <c:pt idx="41">
                  <c:v>264.3</c:v>
                </c:pt>
                <c:pt idx="42">
                  <c:v>1.5</c:v>
                </c:pt>
                <c:pt idx="43">
                  <c:v>448.2</c:v>
                </c:pt>
                <c:pt idx="44">
                  <c:v>718.60197108172997</c:v>
                </c:pt>
                <c:pt idx="45">
                  <c:v>250</c:v>
                </c:pt>
                <c:pt idx="46">
                  <c:v>1131.3130000000001</c:v>
                </c:pt>
                <c:pt idx="47">
                  <c:v>36.299999999999997</c:v>
                </c:pt>
                <c:pt idx="48">
                  <c:v>72</c:v>
                </c:pt>
                <c:pt idx="49">
                  <c:v>987.09999999999991</c:v>
                </c:pt>
                <c:pt idx="50">
                  <c:v>69.8</c:v>
                </c:pt>
                <c:pt idx="51">
                  <c:v>110.01162790999999</c:v>
                </c:pt>
                <c:pt idx="52">
                  <c:v>3013.9000000000005</c:v>
                </c:pt>
                <c:pt idx="53">
                  <c:v>349</c:v>
                </c:pt>
                <c:pt idx="54">
                  <c:v>317.10000000000002</c:v>
                </c:pt>
              </c:numCache>
            </c:numRef>
          </c:val>
          <c:extLst>
            <c:ext xmlns:c16="http://schemas.microsoft.com/office/drawing/2014/chart" uri="{C3380CC4-5D6E-409C-BE32-E72D297353CC}">
              <c16:uniqueId val="{00000052-6CD9-465C-ABD0-C3B6077AB1BA}"/>
            </c:ext>
          </c:extLst>
        </c:ser>
        <c:dLbls>
          <c:showLegendKey val="0"/>
          <c:showVal val="0"/>
          <c:showCatName val="0"/>
          <c:showSerName val="0"/>
          <c:showPercent val="0"/>
          <c:showBubbleSize val="0"/>
        </c:dLbls>
        <c:gapWidth val="219"/>
        <c:overlap val="-27"/>
        <c:axId val="257428216"/>
        <c:axId val="257427824"/>
      </c:barChart>
      <c:catAx>
        <c:axId val="257428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427824"/>
        <c:crosses val="autoZero"/>
        <c:auto val="1"/>
        <c:lblAlgn val="ctr"/>
        <c:lblOffset val="100"/>
        <c:noMultiLvlLbl val="0"/>
      </c:catAx>
      <c:valAx>
        <c:axId val="257427824"/>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257428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128871</xdr:colOff>
      <xdr:row>1</xdr:row>
      <xdr:rowOff>183403</xdr:rowOff>
    </xdr:from>
    <xdr:to>
      <xdr:col>13</xdr:col>
      <xdr:colOff>123265</xdr:colOff>
      <xdr:row>19</xdr:row>
      <xdr:rowOff>89647</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1000125</xdr:colOff>
      <xdr:row>0</xdr:row>
      <xdr:rowOff>152400</xdr:rowOff>
    </xdr:from>
    <xdr:ext cx="184731" cy="264560"/>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000125" y="1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0</xdr:colOff>
      <xdr:row>0</xdr:row>
      <xdr:rowOff>0</xdr:rowOff>
    </xdr:from>
    <xdr:to>
      <xdr:col>34</xdr:col>
      <xdr:colOff>533400</xdr:colOff>
      <xdr:row>2</xdr:row>
      <xdr:rowOff>142875</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0" y="0"/>
          <a:ext cx="22155150" cy="523875"/>
        </a:xfrm>
        <a:prstGeom prst="rect">
          <a:avLst/>
        </a:prstGeom>
        <a:solidFill>
          <a:schemeClr val="accent1">
            <a:lumMod val="50000"/>
          </a:schemeClr>
        </a:solidFill>
        <a:ln w="9525" cmpd="sng">
          <a:noFill/>
        </a:ln>
        <a:effectLst>
          <a:outerShdw blurRad="107950" dist="12700" dir="5400000" algn="ctr">
            <a:srgbClr val="000000"/>
          </a:outerShdw>
          <a:reflection blurRad="6350" stA="52000" endA="300" endPos="35000" dir="5400000" sy="-100000" algn="bl" rotWithShape="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bg1"/>
              </a:solidFill>
              <a:effectLst>
                <a:glow rad="228600">
                  <a:schemeClr val="accent1">
                    <a:satMod val="175000"/>
                    <a:alpha val="40000"/>
                  </a:schemeClr>
                </a:glow>
              </a:effectLst>
            </a:rPr>
            <a:t>Sales Report Dash Board                                                   CAMDUCT</a:t>
          </a:r>
          <a:r>
            <a:rPr lang="en-IN" sz="2800" baseline="0">
              <a:solidFill>
                <a:schemeClr val="bg1"/>
              </a:solidFill>
              <a:effectLst>
                <a:glow rad="228600">
                  <a:schemeClr val="accent1">
                    <a:satMod val="175000"/>
                    <a:alpha val="40000"/>
                  </a:schemeClr>
                </a:glow>
              </a:effectLst>
            </a:rPr>
            <a:t> INDIA PVT LTD</a:t>
          </a:r>
          <a:endParaRPr lang="en-IN" sz="2800">
            <a:solidFill>
              <a:schemeClr val="bg1"/>
            </a:solidFill>
            <a:effectLst>
              <a:glow rad="228600">
                <a:schemeClr val="accent1">
                  <a:satMod val="175000"/>
                  <a:alpha val="40000"/>
                </a:schemeClr>
              </a:glow>
            </a:effectLst>
          </a:endParaRPr>
        </a:p>
      </xdr:txBody>
    </xdr:sp>
    <xdr:clientData/>
  </xdr:twoCellAnchor>
  <xdr:twoCellAnchor>
    <xdr:from>
      <xdr:col>5</xdr:col>
      <xdr:colOff>1438275</xdr:colOff>
      <xdr:row>9</xdr:row>
      <xdr:rowOff>66675</xdr:rowOff>
    </xdr:from>
    <xdr:to>
      <xdr:col>17</xdr:col>
      <xdr:colOff>342900</xdr:colOff>
      <xdr:row>27</xdr:row>
      <xdr:rowOff>152401</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xdr:row>
      <xdr:rowOff>85725</xdr:rowOff>
    </xdr:from>
    <xdr:to>
      <xdr:col>5</xdr:col>
      <xdr:colOff>1466850</xdr:colOff>
      <xdr:row>7</xdr:row>
      <xdr:rowOff>276224</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657225"/>
              <a:ext cx="6315075"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2022-01-29_Production%20Data%20Sheet.xlsx" TargetMode="External"/><Relationship Id="rId1" Type="http://schemas.openxmlformats.org/officeDocument/2006/relationships/externalLinkPath" Target="/DESKTOP/2022-01-29_Production%20Data%20Shee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Desktop\New%20folder\Ref\2021-09-21_Production%20Data%20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egend"/>
      <sheetName val="Purchase"/>
      <sheetName val="Consumption"/>
      <sheetName val="Balance"/>
      <sheetName val="Scrap"/>
      <sheetName val="Customer Name"/>
      <sheetName val="Raw material"/>
      <sheetName val="Product"/>
      <sheetName val="Supplier"/>
      <sheetName val="Make"/>
    </sheetNames>
    <sheetDataSet>
      <sheetData sheetId="0"/>
      <sheetData sheetId="1"/>
      <sheetData sheetId="2"/>
      <sheetData sheetId="3"/>
      <sheetData sheetId="4"/>
      <sheetData sheetId="5"/>
      <sheetData sheetId="6">
        <row r="1">
          <cell r="D1" t="str">
            <v>Final List</v>
          </cell>
        </row>
        <row r="2">
          <cell r="D2" t="str">
            <v>120gsm 26G</v>
          </cell>
        </row>
        <row r="3">
          <cell r="D3" t="str">
            <v>120gsm 24G</v>
          </cell>
        </row>
        <row r="4">
          <cell r="D4" t="str">
            <v>120gsm 22G</v>
          </cell>
        </row>
        <row r="5">
          <cell r="D5" t="str">
            <v>120gsm 20G</v>
          </cell>
        </row>
        <row r="6">
          <cell r="D6" t="str">
            <v>120gsm 18G</v>
          </cell>
        </row>
        <row r="7">
          <cell r="D7" t="str">
            <v>120gsm 16G</v>
          </cell>
        </row>
        <row r="8">
          <cell r="D8" t="str">
            <v>180gsm 26G</v>
          </cell>
        </row>
        <row r="9">
          <cell r="D9" t="str">
            <v>180gsm 24G</v>
          </cell>
        </row>
        <row r="10">
          <cell r="D10" t="str">
            <v>180gsm 22G</v>
          </cell>
        </row>
        <row r="11">
          <cell r="D11" t="str">
            <v>180gsm 20G</v>
          </cell>
        </row>
        <row r="12">
          <cell r="D12" t="str">
            <v>180gsm 18G</v>
          </cell>
        </row>
        <row r="13">
          <cell r="D13" t="str">
            <v>180gsm 16G</v>
          </cell>
        </row>
        <row r="14">
          <cell r="D14" t="str">
            <v>275gsm 26G</v>
          </cell>
        </row>
        <row r="15">
          <cell r="D15" t="str">
            <v>275gsm 24G</v>
          </cell>
        </row>
        <row r="16">
          <cell r="D16" t="str">
            <v>275gsm 22G</v>
          </cell>
        </row>
        <row r="17">
          <cell r="D17" t="str">
            <v>275gsm 20G</v>
          </cell>
        </row>
        <row r="18">
          <cell r="D18" t="str">
            <v>275gsm 18G</v>
          </cell>
        </row>
        <row r="19">
          <cell r="D19" t="str">
            <v>275gsm 16G</v>
          </cell>
        </row>
        <row r="20">
          <cell r="D20" t="str">
            <v>120gsm Slit 26G</v>
          </cell>
        </row>
        <row r="21">
          <cell r="D21" t="str">
            <v>120gsm Slit 24G</v>
          </cell>
        </row>
        <row r="22">
          <cell r="D22" t="str">
            <v>120gsm Slit 22G</v>
          </cell>
        </row>
        <row r="23">
          <cell r="D23" t="str">
            <v>120gsm Slit 20G</v>
          </cell>
        </row>
        <row r="24">
          <cell r="D24" t="str">
            <v>120gsm Slit 18G</v>
          </cell>
        </row>
        <row r="25">
          <cell r="D25" t="str">
            <v>H Bracket</v>
          </cell>
        </row>
        <row r="26">
          <cell r="D26" t="str">
            <v>Neoprene Gasket</v>
          </cell>
        </row>
        <row r="27">
          <cell r="D27" t="str">
            <v>XLPE Gasket</v>
          </cell>
        </row>
        <row r="28">
          <cell r="D28" t="str">
            <v>Cleats</v>
          </cell>
        </row>
        <row r="29">
          <cell r="D29" t="str">
            <v>Corner 32mm</v>
          </cell>
        </row>
        <row r="30">
          <cell r="D30" t="str">
            <v>Sealant Tube</v>
          </cell>
        </row>
        <row r="31">
          <cell r="D31" t="str">
            <v>Silicon Tube</v>
          </cell>
        </row>
        <row r="32">
          <cell r="D32" t="str">
            <v>Alu. 0.8mm</v>
          </cell>
        </row>
        <row r="33">
          <cell r="D33" t="str">
            <v>Alu. 1mm</v>
          </cell>
        </row>
        <row r="34">
          <cell r="D34" t="str">
            <v>Alu. 1.2mm</v>
          </cell>
        </row>
        <row r="35">
          <cell r="D35" t="str">
            <v>SS 22G</v>
          </cell>
        </row>
        <row r="36">
          <cell r="D36" t="str">
            <v>SS 20G</v>
          </cell>
        </row>
        <row r="37">
          <cell r="D37" t="str">
            <v>SS 18G</v>
          </cell>
        </row>
        <row r="38">
          <cell r="D38" t="str">
            <v>SS 16G</v>
          </cell>
        </row>
        <row r="39">
          <cell r="D39" t="str">
            <v>Insu Kflex Thermal 6mm</v>
          </cell>
        </row>
        <row r="40">
          <cell r="D40" t="str">
            <v>Insu Kflex Thermal 9mm</v>
          </cell>
        </row>
        <row r="41">
          <cell r="D41" t="str">
            <v>Insu Kflex Thermal 13mm</v>
          </cell>
        </row>
        <row r="42">
          <cell r="D42" t="str">
            <v>Insu Kflex Thermal 16mm</v>
          </cell>
        </row>
        <row r="43">
          <cell r="D43" t="str">
            <v>Insu Kflex Thermal 19mm</v>
          </cell>
        </row>
        <row r="44">
          <cell r="D44" t="str">
            <v>Insu Kflex Thermal 25mm</v>
          </cell>
        </row>
        <row r="45">
          <cell r="D45" t="str">
            <v>Insu Kflex Thermal 32mm</v>
          </cell>
        </row>
        <row r="46">
          <cell r="D46" t="str">
            <v>Insu Kflex Thermal 6mm Al. Foil</v>
          </cell>
        </row>
        <row r="47">
          <cell r="D47" t="str">
            <v>Insu Kflex Thermal 9mm Al. Foil</v>
          </cell>
        </row>
        <row r="48">
          <cell r="D48" t="str">
            <v>Insu Kflex Thermal 13mm Al. Foil</v>
          </cell>
        </row>
        <row r="49">
          <cell r="D49" t="str">
            <v>Insu Kflex Thermal 16mm Al. Foil</v>
          </cell>
        </row>
        <row r="50">
          <cell r="D50" t="str">
            <v>Insu Kflex Thermal 19mm Al. Foil</v>
          </cell>
        </row>
        <row r="51">
          <cell r="D51" t="str">
            <v>Insu Kflex Thermal 25mm Al. Foil</v>
          </cell>
        </row>
        <row r="52">
          <cell r="D52" t="str">
            <v>Insu Kflex Thermal 32mm Al. Foil</v>
          </cell>
        </row>
        <row r="53">
          <cell r="D53" t="str">
            <v>Insu Kflex Thermal 6mm (Clad Grey)</v>
          </cell>
        </row>
        <row r="54">
          <cell r="D54" t="str">
            <v>Insu Kflex Thermal 9mm (Clad Grey)</v>
          </cell>
        </row>
        <row r="55">
          <cell r="D55" t="str">
            <v>Insu Kflex Thermal 13mm (Clad Grey)</v>
          </cell>
        </row>
        <row r="56">
          <cell r="D56" t="str">
            <v>Insu Kflex Thermal 16mm (Clad Grey)</v>
          </cell>
        </row>
        <row r="57">
          <cell r="D57" t="str">
            <v>Insu Kflex Thermal 19mm (Clad Grey)</v>
          </cell>
        </row>
        <row r="58">
          <cell r="D58" t="str">
            <v>Insu Kflex Thermal 25mm (Clad Grey)</v>
          </cell>
        </row>
        <row r="59">
          <cell r="D59" t="str">
            <v>Insu Kflex Thermal 32mm (Clad Grey)</v>
          </cell>
        </row>
        <row r="60">
          <cell r="D60" t="str">
            <v>Insu Kflex Thermal 6mm (IC-Clad Black)</v>
          </cell>
        </row>
        <row r="61">
          <cell r="D61" t="str">
            <v>Insu Kflex Thermal 9mm (IC-Clad Black)</v>
          </cell>
        </row>
        <row r="62">
          <cell r="D62" t="str">
            <v>Insu Kflex Thermal 13mm (IC-Clad Black)</v>
          </cell>
        </row>
        <row r="63">
          <cell r="D63" t="str">
            <v>Insu Kflex Thermal 16mm (IC-Clad Black)</v>
          </cell>
        </row>
        <row r="64">
          <cell r="D64" t="str">
            <v>Insu Kflex Thermal 19mm (IC-Clad Black)</v>
          </cell>
        </row>
        <row r="65">
          <cell r="D65" t="str">
            <v>Insu Kflex Thermal 25mm (IC-Clad Black)</v>
          </cell>
        </row>
        <row r="66">
          <cell r="D66" t="str">
            <v>Insu Kflex Thermal 32mm (IC-Clad Black)</v>
          </cell>
        </row>
        <row r="67">
          <cell r="D67" t="str">
            <v>Insu Kflex 6mm Acou.</v>
          </cell>
        </row>
        <row r="68">
          <cell r="D68" t="str">
            <v>Insu Kflex 10mm Acou.</v>
          </cell>
        </row>
        <row r="69">
          <cell r="D69" t="str">
            <v>Insu Kflex 15mm Acou.</v>
          </cell>
        </row>
        <row r="70">
          <cell r="D70" t="str">
            <v>Insu Kflex Thermal 25mm Acou.</v>
          </cell>
        </row>
        <row r="71">
          <cell r="D71" t="str">
            <v>Insu Superlon Thermal 6mm</v>
          </cell>
        </row>
        <row r="72">
          <cell r="D72" t="str">
            <v>Insu Superlon Thermal 9mm</v>
          </cell>
        </row>
        <row r="73">
          <cell r="D73" t="str">
            <v>Insu Superlon Thermal 13mm</v>
          </cell>
        </row>
        <row r="74">
          <cell r="D74" t="str">
            <v>Insu Superlon Thermal 16mm</v>
          </cell>
        </row>
        <row r="75">
          <cell r="D75" t="str">
            <v>Insu Superlon Thermal 19mm</v>
          </cell>
        </row>
        <row r="76">
          <cell r="D76" t="str">
            <v>Insu Superlon Thermal 25mm</v>
          </cell>
        </row>
        <row r="77">
          <cell r="D77" t="str">
            <v>Insu Superlon Thermal 32mm</v>
          </cell>
        </row>
        <row r="78">
          <cell r="D78" t="str">
            <v>Insu Superlon Thermal 6mm Al. Foil</v>
          </cell>
        </row>
        <row r="79">
          <cell r="D79" t="str">
            <v>Insu Superlon Thermal 9mm Al. Foil</v>
          </cell>
        </row>
        <row r="80">
          <cell r="D80" t="str">
            <v>Insu Superlon Thermal 13mm Al. Foil</v>
          </cell>
        </row>
        <row r="81">
          <cell r="D81" t="str">
            <v>Insu Superlon Thermal 16mm Al. Foil</v>
          </cell>
        </row>
        <row r="82">
          <cell r="D82" t="str">
            <v>Insu Superlon Thermal 19mm Al. Foil</v>
          </cell>
        </row>
        <row r="83">
          <cell r="D83" t="str">
            <v>Insu Superlon Thermal 25mm Al. Foil</v>
          </cell>
        </row>
        <row r="84">
          <cell r="D84" t="str">
            <v>Insu Superlon Thermal 32mm Al. Foil</v>
          </cell>
        </row>
        <row r="85">
          <cell r="D85" t="str">
            <v>Insu Supreme Thermal 9mm</v>
          </cell>
        </row>
        <row r="86">
          <cell r="D86" t="str">
            <v>Insu Supreme Thermal 13mm</v>
          </cell>
        </row>
        <row r="87">
          <cell r="D87" t="str">
            <v>Insu Supreme Thermal 16mm</v>
          </cell>
        </row>
        <row r="88">
          <cell r="D88" t="str">
            <v>Insu Supreme Thermal 19mm</v>
          </cell>
        </row>
        <row r="89">
          <cell r="D89" t="str">
            <v>Insu Supreme Thermal 25mm</v>
          </cell>
        </row>
        <row r="90">
          <cell r="D90" t="str">
            <v>Insu Supreme Thermal 13mm Al. Foil</v>
          </cell>
        </row>
        <row r="91">
          <cell r="D91" t="str">
            <v>Insu Supreme Thermal 19mm Al. Foil</v>
          </cell>
        </row>
        <row r="92">
          <cell r="D92" t="str">
            <v>Insu Supreme Thermal 25mm Al. Foil</v>
          </cell>
        </row>
        <row r="93">
          <cell r="D93" t="str">
            <v>Insu Supreme 15mm Acou.</v>
          </cell>
        </row>
        <row r="94">
          <cell r="D94" t="str">
            <v>Insu TB Thermal 9mm Al. Foil</v>
          </cell>
        </row>
        <row r="95">
          <cell r="D95" t="str">
            <v>Insu TB Acou 10mm Al. Foil</v>
          </cell>
        </row>
        <row r="96">
          <cell r="D96" t="str">
            <v>Insu TB Thermal 13mm Al. Foil</v>
          </cell>
        </row>
        <row r="97">
          <cell r="D97" t="str">
            <v>Insu TB Acou 15mm Al. Foil</v>
          </cell>
        </row>
        <row r="98">
          <cell r="D98" t="str">
            <v>Insu TB Thermal 19mm Al. Foil</v>
          </cell>
        </row>
        <row r="99">
          <cell r="D99" t="str">
            <v>Insu TB Thermal 25mm Al. Foil</v>
          </cell>
        </row>
        <row r="100">
          <cell r="D100" t="str">
            <v>Insu TB Thermal 30mm Al. Foil</v>
          </cell>
        </row>
        <row r="101">
          <cell r="D101" t="str">
            <v>Insu Airofoam Thermal 13mm Al. Foil</v>
          </cell>
        </row>
        <row r="102">
          <cell r="D102" t="str">
            <v>Insu Airofoam Thermal 16mm Al. Foil</v>
          </cell>
        </row>
        <row r="103">
          <cell r="D103" t="str">
            <v>Insu Airofoam Thermal 19mm Al. Foil</v>
          </cell>
        </row>
        <row r="104">
          <cell r="D104" t="str">
            <v>Insu Armaflex Thermal 6mm</v>
          </cell>
        </row>
        <row r="105">
          <cell r="D105" t="str">
            <v>Insu Armaflex Thermal 9mm</v>
          </cell>
        </row>
        <row r="106">
          <cell r="D106" t="str">
            <v>Insu Armaflex Thermal 13mm</v>
          </cell>
        </row>
        <row r="107">
          <cell r="D107" t="str">
            <v>Insu Armaflex Thermal 6mm Al. Foil</v>
          </cell>
        </row>
        <row r="108">
          <cell r="D108" t="str">
            <v>Insu Armaflex Thermal 9mm Al. Foil</v>
          </cell>
        </row>
        <row r="109">
          <cell r="D109" t="str">
            <v>Insu Armaflex Thermal 19mm Al. Foil</v>
          </cell>
        </row>
        <row r="110">
          <cell r="D110" t="str">
            <v>Insu Armasound Acou. 10mm</v>
          </cell>
        </row>
        <row r="111">
          <cell r="D111" t="str">
            <v>Insu Armasound Acou. 15mm</v>
          </cell>
        </row>
        <row r="112">
          <cell r="D112" t="str">
            <v>Insu Armasound Acou. 25mm</v>
          </cell>
        </row>
        <row r="113">
          <cell r="D113" t="str">
            <v>Insu Aerocell Thermal 9mm</v>
          </cell>
        </row>
        <row r="114">
          <cell r="D114" t="str">
            <v>Insu Aerocell Thermal 13mm</v>
          </cell>
        </row>
        <row r="115">
          <cell r="D115" t="str">
            <v>Insu Aerocell Thermal 19mm</v>
          </cell>
        </row>
        <row r="116">
          <cell r="D116" t="str">
            <v>Insu Aerocell Thermal 13mm (GC-CLOTH)</v>
          </cell>
        </row>
        <row r="117">
          <cell r="D117" t="str">
            <v>Insu Aerocell Acou. 10mm</v>
          </cell>
        </row>
        <row r="118">
          <cell r="D118" t="str">
            <v>Insu Aerocell Acou. 15mm</v>
          </cell>
        </row>
        <row r="119">
          <cell r="D119" t="str">
            <v>MS Angle 25x25x5mm</v>
          </cell>
        </row>
        <row r="120">
          <cell r="D120" t="str">
            <v>MS Angle 30x30x3mm</v>
          </cell>
        </row>
        <row r="121">
          <cell r="D121" t="str">
            <v>MS Angle 32x32x3mm</v>
          </cell>
        </row>
        <row r="122">
          <cell r="D122" t="str">
            <v>MS Angle 35x35x5mm</v>
          </cell>
        </row>
        <row r="123">
          <cell r="D123" t="str">
            <v>MS Angle 40x40x5mm</v>
          </cell>
        </row>
        <row r="124">
          <cell r="D124" t="str">
            <v>MS Angle 25x25x3mm</v>
          </cell>
        </row>
        <row r="125">
          <cell r="D125" t="str">
            <v>MS Angle 37x37x3mm</v>
          </cell>
        </row>
        <row r="126">
          <cell r="D126" t="str">
            <v>Corner 25mm</v>
          </cell>
        </row>
        <row r="127">
          <cell r="D127" t="str">
            <v>Insu Armaflex Thermal 13mm Al. Foil</v>
          </cell>
        </row>
        <row r="128">
          <cell r="D128" t="str">
            <v>Insu Superlon Acou. 16mm</v>
          </cell>
        </row>
        <row r="129">
          <cell r="D129" t="str">
            <v>Insu Superlon Acou. 19mm</v>
          </cell>
        </row>
        <row r="130">
          <cell r="D130" t="str">
            <v>Sealant Bucket</v>
          </cell>
        </row>
        <row r="131">
          <cell r="D131" t="str">
            <v>Tape THBR 50mm x 50Mtr Alumn</v>
          </cell>
        </row>
        <row r="132">
          <cell r="D132" t="str">
            <v>Stretch Film</v>
          </cell>
        </row>
        <row r="133">
          <cell r="D133" t="str">
            <v>Bubble Wrap</v>
          </cell>
        </row>
        <row r="134">
          <cell r="D134" t="str">
            <v>Gasket XLPE 10mm</v>
          </cell>
        </row>
        <row r="135">
          <cell r="D135" t="str">
            <v>Insu Aerocell Thermal 32mm (GC-CLOTH)</v>
          </cell>
        </row>
        <row r="136">
          <cell r="D136" t="str">
            <v>12 mm JTR</v>
          </cell>
        </row>
        <row r="137">
          <cell r="D137" t="str">
            <v>10 mm JTR</v>
          </cell>
        </row>
        <row r="138">
          <cell r="D138" t="str">
            <v>8 mm JTR</v>
          </cell>
        </row>
        <row r="139">
          <cell r="D139" t="str">
            <v>Insu Paramount Thermal 13mm Al. Foil</v>
          </cell>
        </row>
        <row r="140">
          <cell r="D140" t="str">
            <v>Insu Paramount Acou 10mm Al. Foil</v>
          </cell>
        </row>
        <row r="141">
          <cell r="D141" t="str">
            <v>C Clamp</v>
          </cell>
        </row>
        <row r="142">
          <cell r="D142" t="str">
            <v>Insu Armaflex Thermal 25mm</v>
          </cell>
        </row>
        <row r="143">
          <cell r="D143" t="str">
            <v>Insu Armaflex Thermal 25mm Al. Foil</v>
          </cell>
        </row>
        <row r="144">
          <cell r="D144">
            <v>0</v>
          </cell>
        </row>
        <row r="145">
          <cell r="D145">
            <v>0</v>
          </cell>
        </row>
        <row r="146">
          <cell r="D146">
            <v>0</v>
          </cell>
        </row>
        <row r="147">
          <cell r="D147">
            <v>0</v>
          </cell>
        </row>
        <row r="148">
          <cell r="D148">
            <v>0</v>
          </cell>
        </row>
        <row r="149">
          <cell r="D149">
            <v>0</v>
          </cell>
        </row>
        <row r="150">
          <cell r="D150">
            <v>0</v>
          </cell>
        </row>
        <row r="151">
          <cell r="D151">
            <v>0</v>
          </cell>
        </row>
        <row r="152">
          <cell r="D152">
            <v>0</v>
          </cell>
        </row>
        <row r="153">
          <cell r="D153">
            <v>0</v>
          </cell>
        </row>
        <row r="154">
          <cell r="D154">
            <v>0</v>
          </cell>
        </row>
        <row r="155">
          <cell r="D155">
            <v>0</v>
          </cell>
        </row>
        <row r="156">
          <cell r="D156">
            <v>0</v>
          </cell>
        </row>
        <row r="157">
          <cell r="D157">
            <v>0</v>
          </cell>
        </row>
        <row r="158">
          <cell r="D158">
            <v>0</v>
          </cell>
        </row>
        <row r="159">
          <cell r="D159">
            <v>0</v>
          </cell>
        </row>
        <row r="160">
          <cell r="D160">
            <v>0</v>
          </cell>
        </row>
        <row r="161">
          <cell r="D161">
            <v>0</v>
          </cell>
        </row>
        <row r="162">
          <cell r="D162">
            <v>0</v>
          </cell>
        </row>
        <row r="163">
          <cell r="D163">
            <v>0</v>
          </cell>
        </row>
        <row r="164">
          <cell r="D164">
            <v>0</v>
          </cell>
        </row>
        <row r="165">
          <cell r="D165">
            <v>0</v>
          </cell>
        </row>
        <row r="166">
          <cell r="D166">
            <v>0</v>
          </cell>
        </row>
        <row r="167">
          <cell r="D167">
            <v>0</v>
          </cell>
        </row>
        <row r="168">
          <cell r="D168">
            <v>0</v>
          </cell>
        </row>
        <row r="169">
          <cell r="D169">
            <v>0</v>
          </cell>
        </row>
        <row r="170">
          <cell r="D170">
            <v>0</v>
          </cell>
        </row>
        <row r="171">
          <cell r="D171">
            <v>0</v>
          </cell>
        </row>
        <row r="172">
          <cell r="D172">
            <v>0</v>
          </cell>
        </row>
        <row r="173">
          <cell r="D173">
            <v>0</v>
          </cell>
        </row>
        <row r="174">
          <cell r="D174">
            <v>0</v>
          </cell>
        </row>
        <row r="175">
          <cell r="D175">
            <v>0</v>
          </cell>
        </row>
        <row r="176">
          <cell r="D176">
            <v>0</v>
          </cell>
        </row>
        <row r="177">
          <cell r="D177">
            <v>0</v>
          </cell>
        </row>
        <row r="178">
          <cell r="D178">
            <v>0</v>
          </cell>
        </row>
        <row r="179">
          <cell r="D179">
            <v>0</v>
          </cell>
        </row>
        <row r="180">
          <cell r="D180">
            <v>0</v>
          </cell>
        </row>
        <row r="181">
          <cell r="D181">
            <v>0</v>
          </cell>
        </row>
        <row r="182">
          <cell r="D182">
            <v>0</v>
          </cell>
        </row>
        <row r="183">
          <cell r="D183">
            <v>0</v>
          </cell>
        </row>
        <row r="184">
          <cell r="D184">
            <v>0</v>
          </cell>
        </row>
        <row r="185">
          <cell r="D185">
            <v>0</v>
          </cell>
        </row>
        <row r="186">
          <cell r="D186">
            <v>0</v>
          </cell>
        </row>
        <row r="187">
          <cell r="D187">
            <v>0</v>
          </cell>
        </row>
        <row r="188">
          <cell r="D188">
            <v>0</v>
          </cell>
        </row>
        <row r="189">
          <cell r="D189">
            <v>0</v>
          </cell>
        </row>
        <row r="190">
          <cell r="D190">
            <v>0</v>
          </cell>
        </row>
        <row r="191">
          <cell r="D191">
            <v>0</v>
          </cell>
        </row>
        <row r="192">
          <cell r="D192">
            <v>0</v>
          </cell>
        </row>
        <row r="193">
          <cell r="D193">
            <v>0</v>
          </cell>
        </row>
        <row r="194">
          <cell r="D194">
            <v>0</v>
          </cell>
        </row>
        <row r="195">
          <cell r="D195">
            <v>0</v>
          </cell>
        </row>
        <row r="196">
          <cell r="D196">
            <v>0</v>
          </cell>
        </row>
      </sheetData>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Purchase"/>
      <sheetName val="Consumption"/>
      <sheetName val="Balance"/>
      <sheetName val="Scrap"/>
      <sheetName val="Customer Name"/>
      <sheetName val="Raw material"/>
      <sheetName val="Product"/>
      <sheetName val="Supplier"/>
      <sheetName val="Make"/>
    </sheetNames>
    <sheetDataSet>
      <sheetData sheetId="0"/>
      <sheetData sheetId="1"/>
      <sheetData sheetId="2"/>
      <sheetData sheetId="3"/>
      <sheetData sheetId="4"/>
      <sheetData sheetId="5"/>
      <sheetData sheetId="6">
        <row r="1">
          <cell r="D1" t="str">
            <v>Final List</v>
          </cell>
        </row>
        <row r="2">
          <cell r="D2" t="str">
            <v>120gsm 26G</v>
          </cell>
        </row>
        <row r="3">
          <cell r="D3" t="str">
            <v>120gsm 24G</v>
          </cell>
        </row>
        <row r="4">
          <cell r="D4" t="str">
            <v>120gsm 22G</v>
          </cell>
        </row>
        <row r="5">
          <cell r="D5" t="str">
            <v>120gsm 20G</v>
          </cell>
        </row>
        <row r="6">
          <cell r="D6" t="str">
            <v>120gsm 18G</v>
          </cell>
        </row>
        <row r="7">
          <cell r="D7" t="str">
            <v>120gsm 16G</v>
          </cell>
        </row>
        <row r="8">
          <cell r="D8" t="str">
            <v>180gsm 26G</v>
          </cell>
        </row>
        <row r="9">
          <cell r="D9" t="str">
            <v>180gsm 24G</v>
          </cell>
        </row>
        <row r="10">
          <cell r="D10" t="str">
            <v>180gsm 22G</v>
          </cell>
        </row>
        <row r="11">
          <cell r="D11" t="str">
            <v>180gsm 20G</v>
          </cell>
        </row>
        <row r="12">
          <cell r="D12" t="str">
            <v>180gsm 18G</v>
          </cell>
        </row>
        <row r="13">
          <cell r="D13" t="str">
            <v>180gsm 16G</v>
          </cell>
        </row>
        <row r="14">
          <cell r="D14" t="str">
            <v>275gsm 26G</v>
          </cell>
        </row>
        <row r="15">
          <cell r="D15" t="str">
            <v>275gsm 24G</v>
          </cell>
        </row>
        <row r="16">
          <cell r="D16" t="str">
            <v>275gsm 22G</v>
          </cell>
        </row>
        <row r="17">
          <cell r="D17" t="str">
            <v>275gsm 20G</v>
          </cell>
        </row>
        <row r="18">
          <cell r="D18" t="str">
            <v>275gsm 18G</v>
          </cell>
        </row>
        <row r="19">
          <cell r="D19" t="str">
            <v>275gsm 16G</v>
          </cell>
        </row>
        <row r="20">
          <cell r="D20" t="str">
            <v>120gsm Slit 26G</v>
          </cell>
        </row>
        <row r="21">
          <cell r="D21" t="str">
            <v>120gsm Slit 24G</v>
          </cell>
        </row>
        <row r="22">
          <cell r="D22" t="str">
            <v>120gsm Slit 22G</v>
          </cell>
        </row>
        <row r="23">
          <cell r="D23" t="str">
            <v>120gsm Slit 20G</v>
          </cell>
        </row>
        <row r="24">
          <cell r="D24" t="str">
            <v>120gsm Slit 18G</v>
          </cell>
        </row>
        <row r="25">
          <cell r="D25" t="str">
            <v>H Bracket</v>
          </cell>
        </row>
        <row r="26">
          <cell r="D26" t="str">
            <v>Neoprene Gasket</v>
          </cell>
        </row>
        <row r="27">
          <cell r="D27" t="str">
            <v>XLPE Gasket</v>
          </cell>
        </row>
        <row r="28">
          <cell r="D28" t="str">
            <v>Cleats</v>
          </cell>
        </row>
        <row r="29">
          <cell r="D29" t="str">
            <v>Corner 32mm</v>
          </cell>
        </row>
        <row r="30">
          <cell r="D30" t="str">
            <v>Sealant Tube</v>
          </cell>
        </row>
        <row r="31">
          <cell r="D31" t="str">
            <v>Silicon Tube</v>
          </cell>
        </row>
        <row r="32">
          <cell r="D32" t="str">
            <v>Alu. 0.8mm</v>
          </cell>
        </row>
        <row r="33">
          <cell r="D33" t="str">
            <v>Alu. 1mm</v>
          </cell>
        </row>
        <row r="34">
          <cell r="D34" t="str">
            <v>Alu. 1.2mm</v>
          </cell>
        </row>
        <row r="35">
          <cell r="D35" t="str">
            <v>SS 22G</v>
          </cell>
        </row>
        <row r="36">
          <cell r="D36" t="str">
            <v>SS 20G</v>
          </cell>
        </row>
        <row r="37">
          <cell r="D37" t="str">
            <v>SS 18G</v>
          </cell>
        </row>
        <row r="38">
          <cell r="D38" t="str">
            <v>SS 16G</v>
          </cell>
        </row>
        <row r="39">
          <cell r="D39" t="str">
            <v>Insu Kflex Thermal 6mm</v>
          </cell>
        </row>
        <row r="40">
          <cell r="D40" t="str">
            <v>Insu Kflex Thermal 9mm</v>
          </cell>
        </row>
        <row r="41">
          <cell r="D41" t="str">
            <v>Insu Kflex Thermal 13mm</v>
          </cell>
        </row>
        <row r="42">
          <cell r="D42" t="str">
            <v>Insu Kflex Thermal 16mm</v>
          </cell>
        </row>
        <row r="43">
          <cell r="D43" t="str">
            <v>Insu Kflex Thermal 19mm</v>
          </cell>
        </row>
        <row r="44">
          <cell r="D44" t="str">
            <v>Insu Kflex Thermal 25mm</v>
          </cell>
        </row>
        <row r="45">
          <cell r="D45" t="str">
            <v>Insu Kflex Thermal 32mm</v>
          </cell>
        </row>
        <row r="46">
          <cell r="D46" t="str">
            <v>Insu Kflex Thermal 6mm Al. Foil</v>
          </cell>
        </row>
        <row r="47">
          <cell r="D47" t="str">
            <v>Insu Kflex Thermal 9mm Al. Foil</v>
          </cell>
        </row>
        <row r="48">
          <cell r="D48" t="str">
            <v>Insu Kflex Thermal 13mm Al. Foil</v>
          </cell>
        </row>
        <row r="49">
          <cell r="D49" t="str">
            <v>Insu Kflex Thermal 16mm Al. Foil</v>
          </cell>
        </row>
        <row r="50">
          <cell r="D50" t="str">
            <v>Insu Kflex Thermal 19mm Al. Foil</v>
          </cell>
        </row>
        <row r="51">
          <cell r="D51" t="str">
            <v>Insu Kflex Thermal 25mm Al. Foil</v>
          </cell>
        </row>
        <row r="52">
          <cell r="D52" t="str">
            <v>Insu Kflex Thermal 32mm Al. Foil</v>
          </cell>
        </row>
        <row r="53">
          <cell r="D53" t="str">
            <v>Insu Kflex Thermal 6mm (Clad Grey)</v>
          </cell>
        </row>
        <row r="54">
          <cell r="D54" t="str">
            <v>Insu Kflex Thermal 9mm (Clad Grey)</v>
          </cell>
        </row>
        <row r="55">
          <cell r="D55" t="str">
            <v>Insu Kflex Thermal 13mm (Clad Grey)</v>
          </cell>
        </row>
        <row r="56">
          <cell r="D56" t="str">
            <v>Insu Kflex Thermal 16mm (Clad Grey)</v>
          </cell>
        </row>
        <row r="57">
          <cell r="D57" t="str">
            <v>Insu Kflex Thermal 19mm (Clad Grey)</v>
          </cell>
        </row>
        <row r="58">
          <cell r="D58" t="str">
            <v>Insu Kflex Thermal 25mm (Clad Grey)</v>
          </cell>
        </row>
        <row r="59">
          <cell r="D59" t="str">
            <v>Insu Kflex Thermal 32mm (Clad Grey)</v>
          </cell>
        </row>
        <row r="60">
          <cell r="D60" t="str">
            <v>Insu Kflex Thermal 6mm (IC-Clad Black)</v>
          </cell>
        </row>
        <row r="61">
          <cell r="D61" t="str">
            <v>Insu Kflex Thermal 9mm (IC-Clad Black)</v>
          </cell>
        </row>
        <row r="62">
          <cell r="D62" t="str">
            <v>Insu Kflex Thermal 13mm (IC-Clad Black)</v>
          </cell>
        </row>
        <row r="63">
          <cell r="D63" t="str">
            <v>Insu Kflex Thermal 16mm (IC-Clad Black)</v>
          </cell>
        </row>
        <row r="64">
          <cell r="D64" t="str">
            <v>Insu Kflex Thermal 19mm (IC-Clad Black)</v>
          </cell>
        </row>
        <row r="65">
          <cell r="D65" t="str">
            <v>Insu Kflex Thermal 25mm (IC-Clad Black)</v>
          </cell>
        </row>
        <row r="66">
          <cell r="D66" t="str">
            <v>Insu Kflex Thermal 32mm (IC-Clad Black)</v>
          </cell>
        </row>
        <row r="67">
          <cell r="D67" t="str">
            <v>Insu Kflex 6mm Acou.</v>
          </cell>
        </row>
        <row r="68">
          <cell r="D68" t="str">
            <v>Insu Kflex 10mm Acou.</v>
          </cell>
        </row>
        <row r="69">
          <cell r="D69" t="str">
            <v>Insu Kflex 15mm Acou.</v>
          </cell>
        </row>
        <row r="70">
          <cell r="D70" t="str">
            <v>Insu Kflex Thermal 25mm Acou.</v>
          </cell>
        </row>
        <row r="71">
          <cell r="D71" t="str">
            <v>Insu Superlon Thermal 6mm</v>
          </cell>
        </row>
        <row r="72">
          <cell r="D72" t="str">
            <v>Insu Superlon Thermal 9mm</v>
          </cell>
        </row>
        <row r="73">
          <cell r="D73" t="str">
            <v>Insu Superlon Thermal 13mm</v>
          </cell>
        </row>
        <row r="74">
          <cell r="D74" t="str">
            <v>Insu Superlon Thermal 16mm</v>
          </cell>
        </row>
        <row r="75">
          <cell r="D75" t="str">
            <v>Insu Superlon Thermal 19mm</v>
          </cell>
        </row>
        <row r="76">
          <cell r="D76" t="str">
            <v>Insu Superlon Thermal 25mm</v>
          </cell>
        </row>
        <row r="77">
          <cell r="D77" t="str">
            <v>Insu Superlon Thermal 32mm</v>
          </cell>
        </row>
        <row r="78">
          <cell r="D78" t="str">
            <v>Insu Superlon Thermal 6mm Al. Foil</v>
          </cell>
        </row>
        <row r="79">
          <cell r="D79" t="str">
            <v>Insu Superlon Thermal 9mm Al. Foil</v>
          </cell>
        </row>
        <row r="80">
          <cell r="D80" t="str">
            <v>Insu Superlon Thermal 13mm Al. Foil</v>
          </cell>
        </row>
        <row r="81">
          <cell r="D81" t="str">
            <v>Insu Superlon Thermal 16mm Al. Foil</v>
          </cell>
        </row>
        <row r="82">
          <cell r="D82" t="str">
            <v>Insu Superlon Thermal 19mm Al. Foil</v>
          </cell>
        </row>
        <row r="83">
          <cell r="D83" t="str">
            <v>Insu Superlon Thermal 25mm Al. Foil</v>
          </cell>
        </row>
        <row r="84">
          <cell r="D84" t="str">
            <v>Insu Superlon Thermal 32mm Al. Foil</v>
          </cell>
        </row>
        <row r="85">
          <cell r="D85" t="str">
            <v>Insu Supreme Thermal 9mm</v>
          </cell>
        </row>
        <row r="86">
          <cell r="D86" t="str">
            <v>Insu Supreme Thermal 13mm</v>
          </cell>
        </row>
        <row r="87">
          <cell r="D87" t="str">
            <v>Insu Supreme Thermal 16mm</v>
          </cell>
        </row>
        <row r="88">
          <cell r="D88" t="str">
            <v>Insu Supreme Thermal 19mm</v>
          </cell>
        </row>
        <row r="89">
          <cell r="D89" t="str">
            <v>Insu Supreme Thermal 25mm</v>
          </cell>
        </row>
        <row r="90">
          <cell r="D90" t="str">
            <v>Insu Supreme Thermal 13mm Al. Foil</v>
          </cell>
        </row>
        <row r="91">
          <cell r="D91" t="str">
            <v>Insu Supreme Thermal 19mm Al. Foil</v>
          </cell>
        </row>
        <row r="92">
          <cell r="D92" t="str">
            <v>Insu Supreme Thermal 25mm Al. Foil</v>
          </cell>
        </row>
        <row r="93">
          <cell r="D93" t="str">
            <v>Insu Supreme 15mm Acou.</v>
          </cell>
        </row>
        <row r="94">
          <cell r="D94" t="str">
            <v>Insu TB Thermal 9mm Al. Foil</v>
          </cell>
        </row>
        <row r="95">
          <cell r="D95" t="str">
            <v>Insu TB Acou 10mm Al. Foil</v>
          </cell>
        </row>
        <row r="96">
          <cell r="D96" t="str">
            <v>Insu TB Thermal 13mm Al. Foil</v>
          </cell>
        </row>
        <row r="97">
          <cell r="D97" t="str">
            <v>Insu TB Acou 15mm Al. Foil</v>
          </cell>
        </row>
        <row r="98">
          <cell r="D98" t="str">
            <v>Insu TB Thermal 19mm Al. Foil</v>
          </cell>
        </row>
        <row r="99">
          <cell r="D99" t="str">
            <v>Insu TB Thermal 25mm Al. Foil</v>
          </cell>
        </row>
        <row r="100">
          <cell r="D100" t="str">
            <v>Insu TB Thermal 30mm Al. Foil</v>
          </cell>
        </row>
        <row r="101">
          <cell r="D101" t="str">
            <v>Insu Airofoam Thermal 13mm Al. Foil</v>
          </cell>
        </row>
        <row r="102">
          <cell r="D102" t="str">
            <v>Insu Airofoam Thermal 16mm Al. Foil</v>
          </cell>
        </row>
        <row r="103">
          <cell r="D103" t="str">
            <v>Insu Airofoam Thermal 19mm Al. Foil</v>
          </cell>
        </row>
        <row r="104">
          <cell r="D104" t="str">
            <v>Insu Armaflex Thermal 6mm</v>
          </cell>
        </row>
        <row r="105">
          <cell r="D105" t="str">
            <v>Insu Armaflex Thermal 9mm</v>
          </cell>
        </row>
        <row r="106">
          <cell r="D106" t="str">
            <v>Insu Armaflex Thermal 13mm</v>
          </cell>
        </row>
        <row r="107">
          <cell r="D107" t="str">
            <v>Insu Armaflex Thermal 6mm Al. Foil</v>
          </cell>
        </row>
        <row r="108">
          <cell r="D108" t="str">
            <v>Insu Armaflex Thermal 9mm Al. Foil</v>
          </cell>
        </row>
        <row r="109">
          <cell r="D109" t="str">
            <v>Insu Armaflex Thermal 19mm Al. Foil</v>
          </cell>
        </row>
        <row r="110">
          <cell r="D110" t="str">
            <v>Insu Armasound Acou. 10mm</v>
          </cell>
        </row>
        <row r="111">
          <cell r="D111" t="str">
            <v>Insu Armasound Acou. 15mm</v>
          </cell>
        </row>
        <row r="112">
          <cell r="D112" t="str">
            <v>Insu Armasound Acou. 25mm</v>
          </cell>
        </row>
        <row r="113">
          <cell r="D113" t="str">
            <v>Insu Aerocell Thermal 9mm</v>
          </cell>
        </row>
        <row r="114">
          <cell r="D114" t="str">
            <v>Insu Aerocell Thermal 13mm</v>
          </cell>
        </row>
        <row r="115">
          <cell r="D115" t="str">
            <v>Insu Aerocell Thermal 19mm</v>
          </cell>
        </row>
        <row r="116">
          <cell r="D116" t="str">
            <v>Insu Aerocell Thermal 13mm (GC-CLOTH)</v>
          </cell>
        </row>
        <row r="117">
          <cell r="D117" t="str">
            <v>Insu Aerocell Acou. 10mm</v>
          </cell>
        </row>
        <row r="118">
          <cell r="D118" t="str">
            <v>Insu Aerocell Acou. 15mm</v>
          </cell>
        </row>
        <row r="119">
          <cell r="D119" t="str">
            <v>MS Angle 25x25x5mm</v>
          </cell>
        </row>
        <row r="120">
          <cell r="D120" t="str">
            <v>MS Angle 30x30x3mm</v>
          </cell>
        </row>
        <row r="121">
          <cell r="D121" t="str">
            <v>MS Angle 32x32x3mm</v>
          </cell>
        </row>
        <row r="122">
          <cell r="D122" t="str">
            <v>MS Angle 35x35x5mm</v>
          </cell>
        </row>
        <row r="123">
          <cell r="D123" t="str">
            <v>MS Angle 40x40x5mm</v>
          </cell>
        </row>
        <row r="124">
          <cell r="D124" t="str">
            <v>MS Angle 25x25x3mm</v>
          </cell>
        </row>
        <row r="125">
          <cell r="D125" t="str">
            <v>MS Angle 37x37x3mm</v>
          </cell>
        </row>
        <row r="126">
          <cell r="D126" t="str">
            <v>Corner 25mm</v>
          </cell>
        </row>
        <row r="127">
          <cell r="D127" t="str">
            <v>Insu Armaflex Thermal 13mm Al. Foil</v>
          </cell>
        </row>
        <row r="128">
          <cell r="D128" t="str">
            <v>Insu Superlon Acou. 16mm</v>
          </cell>
        </row>
        <row r="129">
          <cell r="D129" t="str">
            <v>Insu Superlon Acou. 19mm</v>
          </cell>
        </row>
        <row r="130">
          <cell r="D130" t="str">
            <v>Sealant Bucket</v>
          </cell>
        </row>
        <row r="131">
          <cell r="D131" t="str">
            <v>Tape THBR 50mm x 50Mtr Alumn</v>
          </cell>
        </row>
        <row r="132">
          <cell r="D132" t="str">
            <v>Stretch Film</v>
          </cell>
        </row>
        <row r="133">
          <cell r="D133" t="str">
            <v>Bubble Wrap</v>
          </cell>
        </row>
        <row r="134">
          <cell r="D134" t="str">
            <v>Gasket XLPE 10mm</v>
          </cell>
        </row>
        <row r="135">
          <cell r="D135" t="str">
            <v>Insu Aerocell Thermal 32mm (GC-CLOTH)</v>
          </cell>
        </row>
        <row r="136">
          <cell r="D136" t="str">
            <v>12 mm JTR</v>
          </cell>
        </row>
        <row r="137">
          <cell r="D137" t="str">
            <v>10 mm JTR</v>
          </cell>
        </row>
        <row r="138">
          <cell r="D138" t="str">
            <v>8 mm JTR</v>
          </cell>
        </row>
        <row r="139">
          <cell r="D139" t="str">
            <v>Insu Paramount Thermal 13mm Al. Foil</v>
          </cell>
        </row>
        <row r="140">
          <cell r="D140" t="str">
            <v>Insu Paramount Acou 10mm Al. Foil</v>
          </cell>
        </row>
        <row r="141">
          <cell r="D141">
            <v>0</v>
          </cell>
        </row>
        <row r="142">
          <cell r="D142">
            <v>0</v>
          </cell>
        </row>
        <row r="143">
          <cell r="D143">
            <v>0</v>
          </cell>
        </row>
        <row r="144">
          <cell r="D144">
            <v>0</v>
          </cell>
        </row>
        <row r="145">
          <cell r="D145">
            <v>0</v>
          </cell>
        </row>
        <row r="146">
          <cell r="D146">
            <v>0</v>
          </cell>
        </row>
        <row r="147">
          <cell r="D147">
            <v>0</v>
          </cell>
        </row>
        <row r="148">
          <cell r="D148">
            <v>0</v>
          </cell>
        </row>
        <row r="149">
          <cell r="D149">
            <v>0</v>
          </cell>
        </row>
        <row r="150">
          <cell r="D150">
            <v>0</v>
          </cell>
        </row>
        <row r="151">
          <cell r="D151">
            <v>0</v>
          </cell>
        </row>
        <row r="152">
          <cell r="D152">
            <v>0</v>
          </cell>
        </row>
        <row r="153">
          <cell r="D153">
            <v>0</v>
          </cell>
        </row>
        <row r="154">
          <cell r="D154">
            <v>0</v>
          </cell>
        </row>
        <row r="155">
          <cell r="D155">
            <v>0</v>
          </cell>
        </row>
        <row r="156">
          <cell r="D156">
            <v>0</v>
          </cell>
        </row>
        <row r="157">
          <cell r="D157">
            <v>0</v>
          </cell>
        </row>
        <row r="158">
          <cell r="D158">
            <v>0</v>
          </cell>
        </row>
        <row r="159">
          <cell r="D159">
            <v>0</v>
          </cell>
        </row>
        <row r="160">
          <cell r="D160">
            <v>0</v>
          </cell>
        </row>
        <row r="161">
          <cell r="D161">
            <v>0</v>
          </cell>
        </row>
        <row r="162">
          <cell r="D162">
            <v>0</v>
          </cell>
        </row>
        <row r="163">
          <cell r="D163">
            <v>0</v>
          </cell>
        </row>
        <row r="164">
          <cell r="D164">
            <v>0</v>
          </cell>
        </row>
        <row r="165">
          <cell r="D165">
            <v>0</v>
          </cell>
        </row>
        <row r="166">
          <cell r="D166">
            <v>0</v>
          </cell>
        </row>
        <row r="167">
          <cell r="D167">
            <v>0</v>
          </cell>
        </row>
        <row r="168">
          <cell r="D168">
            <v>0</v>
          </cell>
        </row>
        <row r="169">
          <cell r="D169">
            <v>0</v>
          </cell>
        </row>
        <row r="170">
          <cell r="D170">
            <v>0</v>
          </cell>
        </row>
        <row r="171">
          <cell r="D171">
            <v>0</v>
          </cell>
        </row>
        <row r="172">
          <cell r="D172">
            <v>0</v>
          </cell>
        </row>
        <row r="173">
          <cell r="D173">
            <v>0</v>
          </cell>
        </row>
        <row r="174">
          <cell r="D174">
            <v>0</v>
          </cell>
        </row>
        <row r="175">
          <cell r="D175">
            <v>0</v>
          </cell>
        </row>
        <row r="176">
          <cell r="D176">
            <v>0</v>
          </cell>
        </row>
        <row r="177">
          <cell r="D177">
            <v>0</v>
          </cell>
        </row>
        <row r="178">
          <cell r="D178">
            <v>0</v>
          </cell>
        </row>
        <row r="179">
          <cell r="D179">
            <v>0</v>
          </cell>
        </row>
        <row r="180">
          <cell r="D180">
            <v>0</v>
          </cell>
        </row>
        <row r="181">
          <cell r="D181">
            <v>0</v>
          </cell>
        </row>
        <row r="182">
          <cell r="D182">
            <v>0</v>
          </cell>
        </row>
        <row r="183">
          <cell r="D183">
            <v>0</v>
          </cell>
        </row>
        <row r="184">
          <cell r="D184">
            <v>0</v>
          </cell>
        </row>
        <row r="185">
          <cell r="D185">
            <v>0</v>
          </cell>
        </row>
        <row r="186">
          <cell r="D186">
            <v>0</v>
          </cell>
        </row>
        <row r="187">
          <cell r="D187">
            <v>0</v>
          </cell>
        </row>
        <row r="188">
          <cell r="D188">
            <v>0</v>
          </cell>
        </row>
        <row r="189">
          <cell r="D189">
            <v>0</v>
          </cell>
        </row>
        <row r="190">
          <cell r="D190">
            <v>0</v>
          </cell>
        </row>
        <row r="191">
          <cell r="D191">
            <v>0</v>
          </cell>
        </row>
        <row r="192">
          <cell r="D192">
            <v>0</v>
          </cell>
        </row>
        <row r="193">
          <cell r="D193">
            <v>0</v>
          </cell>
        </row>
        <row r="194">
          <cell r="D194">
            <v>0</v>
          </cell>
        </row>
        <row r="195">
          <cell r="D195">
            <v>0</v>
          </cell>
        </row>
        <row r="196">
          <cell r="D196">
            <v>0</v>
          </cell>
        </row>
      </sheetData>
      <sheetData sheetId="7">
        <row r="1">
          <cell r="D1" t="str">
            <v>Final List</v>
          </cell>
        </row>
        <row r="2">
          <cell r="D2" t="str">
            <v>Box Duct with TDF</v>
          </cell>
        </row>
        <row r="3">
          <cell r="D3" t="str">
            <v>Box Duct with Angle Flange</v>
          </cell>
        </row>
        <row r="4">
          <cell r="D4" t="str">
            <v xml:space="preserve">Box Duct with S&amp;C </v>
          </cell>
        </row>
        <row r="5">
          <cell r="D5" t="str">
            <v>Spigot Damper Ø150</v>
          </cell>
        </row>
        <row r="6">
          <cell r="D6" t="str">
            <v>Spigot Damper Ø200</v>
          </cell>
        </row>
        <row r="7">
          <cell r="D7" t="str">
            <v>Spigot Damper Ø250</v>
          </cell>
        </row>
        <row r="8">
          <cell r="D8" t="str">
            <v>Spigot Damper Ø300</v>
          </cell>
        </row>
        <row r="9">
          <cell r="D9" t="str">
            <v>Spigot Damper Ø350</v>
          </cell>
        </row>
        <row r="10">
          <cell r="D10" t="str">
            <v>Spigot Damper Ø400</v>
          </cell>
        </row>
        <row r="11">
          <cell r="D11" t="str">
            <v>Spigot Damper Ø450</v>
          </cell>
        </row>
        <row r="12">
          <cell r="D12" t="str">
            <v>Spigot Damper Ø500</v>
          </cell>
        </row>
        <row r="13">
          <cell r="D13" t="str">
            <v>Box Duct with TDF with Paint</v>
          </cell>
        </row>
        <row r="14">
          <cell r="D14" t="str">
            <v>Spiral Oval Duct</v>
          </cell>
        </row>
        <row r="15">
          <cell r="D15" t="str">
            <v>Spiral Round Duct</v>
          </cell>
        </row>
        <row r="16">
          <cell r="D16" t="str">
            <v>H Bracket</v>
          </cell>
        </row>
        <row r="17">
          <cell r="D17" t="str">
            <v>Gasket</v>
          </cell>
        </row>
        <row r="18">
          <cell r="D18" t="str">
            <v>Cleats</v>
          </cell>
        </row>
        <row r="19">
          <cell r="D19" t="str">
            <v>Corners</v>
          </cell>
        </row>
        <row r="20">
          <cell r="D20" t="str">
            <v>Alu. Duct</v>
          </cell>
        </row>
        <row r="21">
          <cell r="D21" t="str">
            <v>SS Duct</v>
          </cell>
        </row>
        <row r="22">
          <cell r="D22" t="str">
            <v>VCD</v>
          </cell>
        </row>
        <row r="23">
          <cell r="D23" t="str">
            <v>Spigot Damper</v>
          </cell>
        </row>
        <row r="24">
          <cell r="D24" t="str">
            <v>Mixing Box</v>
          </cell>
        </row>
        <row r="25">
          <cell r="D25" t="str">
            <v>Spigot Damper with Paint</v>
          </cell>
        </row>
        <row r="26">
          <cell r="D26" t="str">
            <v>Mixing Box with Paint</v>
          </cell>
        </row>
        <row r="27">
          <cell r="D27" t="str">
            <v xml:space="preserve"> Box Duct with TDF with Powdercoat</v>
          </cell>
        </row>
        <row r="28">
          <cell r="D28" t="str">
            <v>Spiral Oval Duct with Paint</v>
          </cell>
        </row>
        <row r="29">
          <cell r="D29" t="str">
            <v>Spiral Round Duct with Paint</v>
          </cell>
        </row>
        <row r="30">
          <cell r="D30" t="str">
            <v>SS Duct with Powdercoat</v>
          </cell>
        </row>
        <row r="31">
          <cell r="D31" t="str">
            <v>Spigot Damper with Powdercoat</v>
          </cell>
        </row>
        <row r="32">
          <cell r="D32" t="str">
            <v>Mixing Box with Powdercoat</v>
          </cell>
        </row>
        <row r="33">
          <cell r="D33" t="str">
            <v>Box Duct with Plain end</v>
          </cell>
        </row>
        <row r="34">
          <cell r="D34" t="str">
            <v>Spiral Oval Duct with Powdercoat</v>
          </cell>
        </row>
        <row r="35">
          <cell r="D35" t="str">
            <v>Spiral Round Duct with Powdercoat</v>
          </cell>
        </row>
        <row r="36">
          <cell r="D36" t="str">
            <v>Sealant</v>
          </cell>
        </row>
        <row r="37">
          <cell r="D37" t="str">
            <v>C Cleat</v>
          </cell>
        </row>
        <row r="38">
          <cell r="D38" t="str">
            <v>S Cleat</v>
          </cell>
        </row>
        <row r="39">
          <cell r="D39" t="str">
            <v>C Clamp</v>
          </cell>
        </row>
        <row r="40">
          <cell r="D40" t="str">
            <v>VAV</v>
          </cell>
        </row>
        <row r="41">
          <cell r="D41" t="str">
            <v>Coupling</v>
          </cell>
        </row>
        <row r="42">
          <cell r="D42" t="str">
            <v>Collar</v>
          </cell>
        </row>
        <row r="43">
          <cell r="D43" t="str">
            <v>Plain Round Duct</v>
          </cell>
        </row>
        <row r="44">
          <cell r="D44" t="str">
            <v>Plain Round Duct with Paint</v>
          </cell>
        </row>
        <row r="45">
          <cell r="D45" t="str">
            <v>Plain Sheet</v>
          </cell>
        </row>
        <row r="46">
          <cell r="D46" t="str">
            <v>Insulation</v>
          </cell>
        </row>
        <row r="47">
          <cell r="D47" t="str">
            <v>Threaded Rod</v>
          </cell>
        </row>
        <row r="48">
          <cell r="D48"/>
        </row>
        <row r="49">
          <cell r="D49"/>
        </row>
        <row r="50">
          <cell r="D50"/>
        </row>
        <row r="51">
          <cell r="D51"/>
        </row>
        <row r="52">
          <cell r="D52"/>
        </row>
        <row r="53">
          <cell r="D53"/>
        </row>
        <row r="54">
          <cell r="D54"/>
        </row>
        <row r="55">
          <cell r="D55"/>
        </row>
        <row r="56">
          <cell r="D56"/>
        </row>
        <row r="57">
          <cell r="D57"/>
        </row>
        <row r="58">
          <cell r="D58"/>
        </row>
        <row r="59">
          <cell r="D59"/>
        </row>
        <row r="60">
          <cell r="D60"/>
        </row>
        <row r="61">
          <cell r="D61"/>
        </row>
        <row r="62">
          <cell r="D62"/>
        </row>
        <row r="63">
          <cell r="D63"/>
        </row>
        <row r="64">
          <cell r="D64"/>
        </row>
        <row r="65">
          <cell r="D65"/>
        </row>
        <row r="66">
          <cell r="D66"/>
        </row>
        <row r="67">
          <cell r="D67"/>
        </row>
        <row r="68">
          <cell r="D68"/>
        </row>
        <row r="69">
          <cell r="D69"/>
        </row>
        <row r="70">
          <cell r="D70"/>
        </row>
        <row r="71">
          <cell r="D71"/>
        </row>
        <row r="72">
          <cell r="D72"/>
        </row>
        <row r="73">
          <cell r="D73"/>
        </row>
        <row r="74">
          <cell r="D74"/>
        </row>
        <row r="75">
          <cell r="D75"/>
        </row>
        <row r="76">
          <cell r="D76"/>
        </row>
        <row r="77">
          <cell r="D77"/>
        </row>
        <row r="78">
          <cell r="D78"/>
        </row>
        <row r="79">
          <cell r="D79"/>
        </row>
        <row r="80">
          <cell r="D80"/>
        </row>
        <row r="81">
          <cell r="D81"/>
        </row>
        <row r="82">
          <cell r="D82"/>
        </row>
        <row r="83">
          <cell r="D83"/>
        </row>
        <row r="84">
          <cell r="D84"/>
        </row>
        <row r="85">
          <cell r="D85"/>
        </row>
        <row r="86">
          <cell r="D86"/>
        </row>
        <row r="87">
          <cell r="D87"/>
        </row>
        <row r="88">
          <cell r="D88"/>
        </row>
        <row r="89">
          <cell r="D89"/>
        </row>
        <row r="90">
          <cell r="D90"/>
        </row>
        <row r="91">
          <cell r="D91"/>
        </row>
        <row r="92">
          <cell r="D92"/>
        </row>
        <row r="93">
          <cell r="D93"/>
        </row>
        <row r="94">
          <cell r="D94"/>
        </row>
        <row r="95">
          <cell r="D95"/>
        </row>
        <row r="96">
          <cell r="D96"/>
        </row>
        <row r="97">
          <cell r="D97"/>
        </row>
        <row r="98">
          <cell r="D98"/>
        </row>
        <row r="99">
          <cell r="D99"/>
        </row>
        <row r="100">
          <cell r="D100"/>
        </row>
        <row r="101">
          <cell r="D101"/>
        </row>
        <row r="102">
          <cell r="D102"/>
        </row>
        <row r="103">
          <cell r="D103"/>
        </row>
        <row r="104">
          <cell r="D104"/>
        </row>
        <row r="105">
          <cell r="D105"/>
        </row>
        <row r="106">
          <cell r="D106"/>
        </row>
        <row r="107">
          <cell r="D107"/>
        </row>
        <row r="108">
          <cell r="D108"/>
        </row>
        <row r="109">
          <cell r="D109"/>
        </row>
        <row r="110">
          <cell r="D110"/>
        </row>
        <row r="111">
          <cell r="D111"/>
        </row>
        <row r="112">
          <cell r="D112"/>
        </row>
        <row r="113">
          <cell r="D113"/>
        </row>
        <row r="114">
          <cell r="D114"/>
        </row>
        <row r="115">
          <cell r="D115"/>
        </row>
        <row r="116">
          <cell r="D116"/>
        </row>
        <row r="117">
          <cell r="D117"/>
        </row>
        <row r="118">
          <cell r="D118"/>
        </row>
        <row r="119">
          <cell r="D119"/>
        </row>
        <row r="120">
          <cell r="D120"/>
        </row>
        <row r="121">
          <cell r="D121"/>
        </row>
        <row r="122">
          <cell r="D122"/>
        </row>
        <row r="123">
          <cell r="D123"/>
        </row>
        <row r="124">
          <cell r="D124"/>
        </row>
        <row r="125">
          <cell r="D125"/>
        </row>
        <row r="126">
          <cell r="D126"/>
        </row>
        <row r="127">
          <cell r="D127"/>
        </row>
        <row r="128">
          <cell r="D128"/>
        </row>
        <row r="129">
          <cell r="D129"/>
        </row>
        <row r="130">
          <cell r="D130"/>
        </row>
        <row r="131">
          <cell r="D131"/>
        </row>
        <row r="132">
          <cell r="D132"/>
        </row>
        <row r="133">
          <cell r="D133"/>
        </row>
        <row r="134">
          <cell r="D134"/>
        </row>
        <row r="135">
          <cell r="D135"/>
        </row>
        <row r="136">
          <cell r="D136"/>
        </row>
        <row r="137">
          <cell r="D137"/>
        </row>
        <row r="138">
          <cell r="D138"/>
        </row>
        <row r="139">
          <cell r="D139"/>
        </row>
        <row r="140">
          <cell r="D140"/>
        </row>
        <row r="141">
          <cell r="D141"/>
        </row>
        <row r="142">
          <cell r="D142"/>
        </row>
        <row r="143">
          <cell r="D143"/>
        </row>
        <row r="144">
          <cell r="D144"/>
        </row>
        <row r="145">
          <cell r="D145"/>
        </row>
        <row r="146">
          <cell r="D146"/>
        </row>
        <row r="147">
          <cell r="D147"/>
        </row>
        <row r="148">
          <cell r="D148"/>
        </row>
        <row r="149">
          <cell r="D149"/>
        </row>
        <row r="150">
          <cell r="D150"/>
        </row>
        <row r="151">
          <cell r="D151"/>
        </row>
        <row r="152">
          <cell r="D152"/>
        </row>
        <row r="153">
          <cell r="D153"/>
        </row>
        <row r="154">
          <cell r="D154"/>
        </row>
        <row r="155">
          <cell r="D155"/>
        </row>
        <row r="156">
          <cell r="D156"/>
        </row>
        <row r="157">
          <cell r="D157"/>
        </row>
        <row r="158">
          <cell r="D158"/>
        </row>
        <row r="159">
          <cell r="D159"/>
        </row>
        <row r="160">
          <cell r="D160"/>
        </row>
        <row r="161">
          <cell r="D161"/>
        </row>
        <row r="162">
          <cell r="D162"/>
        </row>
        <row r="163">
          <cell r="D163"/>
        </row>
        <row r="164">
          <cell r="D164"/>
        </row>
        <row r="165">
          <cell r="D165"/>
        </row>
        <row r="166">
          <cell r="D166"/>
        </row>
        <row r="167">
          <cell r="D167"/>
        </row>
        <row r="168">
          <cell r="D168"/>
        </row>
        <row r="169">
          <cell r="D169"/>
        </row>
        <row r="170">
          <cell r="D170"/>
        </row>
        <row r="171">
          <cell r="D171"/>
        </row>
        <row r="172">
          <cell r="D172"/>
        </row>
        <row r="173">
          <cell r="D173"/>
        </row>
        <row r="174">
          <cell r="D174"/>
        </row>
        <row r="175">
          <cell r="D175"/>
        </row>
        <row r="176">
          <cell r="D176"/>
        </row>
        <row r="177">
          <cell r="D177"/>
        </row>
        <row r="178">
          <cell r="D178"/>
        </row>
        <row r="179">
          <cell r="D179"/>
        </row>
        <row r="180">
          <cell r="D180"/>
        </row>
        <row r="181">
          <cell r="D181"/>
        </row>
        <row r="182">
          <cell r="D182"/>
        </row>
        <row r="183">
          <cell r="D183"/>
        </row>
        <row r="184">
          <cell r="D184"/>
        </row>
        <row r="185">
          <cell r="D185"/>
        </row>
        <row r="186">
          <cell r="D186"/>
        </row>
        <row r="187">
          <cell r="D187"/>
        </row>
        <row r="188">
          <cell r="D188"/>
        </row>
        <row r="189">
          <cell r="D189"/>
        </row>
        <row r="190">
          <cell r="D190"/>
        </row>
        <row r="191">
          <cell r="D191"/>
        </row>
        <row r="192">
          <cell r="D192"/>
        </row>
        <row r="193">
          <cell r="D193"/>
        </row>
        <row r="194">
          <cell r="D194"/>
        </row>
        <row r="195">
          <cell r="D195"/>
        </row>
        <row r="196">
          <cell r="D196"/>
        </row>
        <row r="197">
          <cell r="D197"/>
        </row>
        <row r="198">
          <cell r="D198"/>
        </row>
        <row r="199">
          <cell r="D199"/>
        </row>
        <row r="200">
          <cell r="D200"/>
        </row>
        <row r="201">
          <cell r="D201"/>
        </row>
        <row r="202">
          <cell r="D202"/>
        </row>
        <row r="203">
          <cell r="D203"/>
        </row>
        <row r="204">
          <cell r="D204"/>
        </row>
        <row r="205">
          <cell r="D205"/>
        </row>
        <row r="206">
          <cell r="D206"/>
        </row>
        <row r="207">
          <cell r="D207"/>
        </row>
        <row r="208">
          <cell r="D208"/>
        </row>
        <row r="209">
          <cell r="D209"/>
        </row>
        <row r="210">
          <cell r="D210"/>
        </row>
        <row r="211">
          <cell r="D211"/>
        </row>
        <row r="212">
          <cell r="D212"/>
        </row>
        <row r="213">
          <cell r="D213"/>
        </row>
        <row r="214">
          <cell r="D214"/>
        </row>
        <row r="215">
          <cell r="D215"/>
        </row>
        <row r="216">
          <cell r="D216"/>
        </row>
        <row r="217">
          <cell r="D217"/>
        </row>
        <row r="218">
          <cell r="D218"/>
        </row>
        <row r="219">
          <cell r="D219"/>
        </row>
        <row r="220">
          <cell r="D220"/>
        </row>
        <row r="221">
          <cell r="D221"/>
        </row>
        <row r="222">
          <cell r="D222"/>
        </row>
        <row r="223">
          <cell r="D223"/>
        </row>
        <row r="224">
          <cell r="D224"/>
        </row>
        <row r="225">
          <cell r="D225"/>
        </row>
        <row r="226">
          <cell r="D226"/>
        </row>
        <row r="227">
          <cell r="D227"/>
        </row>
        <row r="228">
          <cell r="D228"/>
        </row>
        <row r="229">
          <cell r="D229"/>
        </row>
        <row r="230">
          <cell r="D230"/>
        </row>
        <row r="231">
          <cell r="D231"/>
        </row>
        <row r="232">
          <cell r="D232"/>
        </row>
        <row r="233">
          <cell r="D233"/>
        </row>
        <row r="234">
          <cell r="D234"/>
        </row>
        <row r="235">
          <cell r="D235"/>
        </row>
        <row r="236">
          <cell r="D236"/>
        </row>
        <row r="237">
          <cell r="D237"/>
        </row>
        <row r="238">
          <cell r="D238"/>
        </row>
        <row r="239">
          <cell r="D239"/>
        </row>
        <row r="240">
          <cell r="D240"/>
        </row>
        <row r="241">
          <cell r="D241"/>
        </row>
        <row r="242">
          <cell r="D242"/>
        </row>
        <row r="243">
          <cell r="D243"/>
        </row>
        <row r="244">
          <cell r="D244"/>
        </row>
        <row r="245">
          <cell r="D245"/>
        </row>
      </sheetData>
      <sheetData sheetId="8"/>
      <sheetData sheetId="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refreshedDate="45681.510165856482" createdVersion="5" refreshedVersion="8" minRefreshableVersion="3" recordCount="1591" xr:uid="{00000000-000A-0000-FFFF-FFFF04000000}">
  <cacheSource type="worksheet">
    <worksheetSource ref="B2:M1597" sheet="Billing Data"/>
  </cacheSource>
  <cacheFields count="12">
    <cacheField name="MONTH" numFmtId="0">
      <sharedItems/>
    </cacheField>
    <cacheField name="Date" numFmtId="0">
      <sharedItems containsSemiMixedTypes="0" containsNonDate="0" containsDate="1" containsString="0" minDate="2024-04-01T00:00:00" maxDate="2024-08-31T00:00:00"/>
    </cacheField>
    <cacheField name="OTF" numFmtId="0">
      <sharedItems containsSemiMixedTypes="0" containsString="0" containsNumber="1" containsInteger="1" minValue="60935" maxValue="61306"/>
    </cacheField>
    <cacheField name="Invoice No" numFmtId="0">
      <sharedItems containsSemiMixedTypes="0" containsString="0" containsNumber="1" containsInteger="1" minValue="43451" maxValue="43825"/>
    </cacheField>
    <cacheField name="Party Name" numFmtId="0">
      <sharedItems/>
    </cacheField>
    <cacheField name="Site" numFmtId="0">
      <sharedItems/>
    </cacheField>
    <cacheField name="PRODUCT" numFmtId="0">
      <sharedItems containsBlank="1"/>
    </cacheField>
    <cacheField name="RAW MATERIAL" numFmtId="0">
      <sharedItems containsBlank="1" count="71">
        <s v="Scrap"/>
        <s v="120gsm 20G"/>
        <s v="120gsm 18G"/>
        <s v="Insu Kflex Thermal 19mm"/>
        <s v="Polythene wrapping"/>
        <s v="120gsm Slit 24G"/>
        <s v="120gsm Slit 22G"/>
        <s v="120gsm Slit 20G"/>
        <s v="Insu Kflex Thermal 9mm"/>
        <s v="Insu Kflex 15mm Acou."/>
        <s v="10mm JTR"/>
        <s v="120gsm 24G"/>
        <s v="120gsm 22G"/>
        <s v="Insu Kflex 25mm Acou."/>
        <s v="Insu Armaflex Thermal 13mm Al. Foil"/>
        <s v="Insu Armasound Acou. 10mm"/>
        <s v="Insu Armaflex Thermal 9mm"/>
        <s v="Insu Armasound Acou. 15mm"/>
        <s v="Insu Supreme Thermal 9mm"/>
        <s v="Cleats"/>
        <s v="Alu. 0.8mm"/>
        <s v="Insu Supreme 10mm Acou."/>
        <s v="Insu Supreme Thermal 13mm"/>
        <s v="Insu Supreme 15mm Acou."/>
        <s v="Pressure Testing"/>
        <s v="Insu Kflex Thermal 13mm"/>
        <s v="Insu Kflex Thermal 19mm Al. Foil"/>
        <s v="Alu. 1.0mm"/>
        <s v="Insu Supreme Thermal 13mm Al. Foil"/>
        <m/>
        <s v="Insu Kflex 10mm Acou."/>
        <s v="120gsm 26G"/>
        <s v="Corners 32mm"/>
        <s v="Gasket"/>
        <s v="Insu TB Thermal 13mm Al. Foil"/>
        <s v="Insu TB Thermal 9mm Al. Foil"/>
        <s v="Insu Supreme Acou. 10mm"/>
        <s v="Insu Supreme Acou. 15mm"/>
        <s v="Insu Kflex Acou. 15mm"/>
        <s v="Insu Kflex Acou. 25mm"/>
        <s v="25x25x3mm"/>
        <s v="Tape"/>
        <s v="Insu Supreme Thermal 16mm"/>
        <s v="Insu TB Thermal 19mm Al. Foil"/>
        <s v="Corners 25mm"/>
        <s v="Insu Armaflex Thermal 19mm GC Cloth"/>
        <s v="Insu Kflex Acou. 10mm"/>
        <s v="Insu Aerocell Thermal 32mm (GC-CLOTH)"/>
        <s v="120gsm Slit 26G"/>
        <s v="Insu Supreme Thermal 9mm Al. Foil"/>
        <s v="Insu Supreme Thermal 19mm"/>
        <s v="Insu Kflex Thermal 19mm GC Cloth"/>
        <s v="Insu Supreme Thermal 19mm Al. Foil"/>
        <s v="Insu Supreme Acou. 20mm"/>
        <s v="Wire Mesh"/>
        <s v="Insulation Labour" u="1"/>
        <s v="Insu Armasound 25mm Acou." u="1"/>
        <s v="Insu Kflex Thermal 6mm" u="1"/>
        <s v="Corner 32mm" u="1"/>
        <s v="Insu Armasound 15mm Acou." u="1"/>
        <s v="Sealant" u="1"/>
        <s v="Insu Kflex Thermal 13mm Al. Foil" u="1"/>
        <s v="Insu Armasound 10mm Acou." u="1"/>
        <s v="Insu Kflex Thermal 16mm" u="1"/>
        <s v="275gsm 16G" u="1"/>
        <s v="Insu Armaflex Thermal 6mm" u="1"/>
        <s v="Insu Armaflex Thermal 13mm" u="1"/>
        <s v="Sealant tube" u="1"/>
        <s v="Insu Armaflex Thermal 19mm Al. Foil" u="1"/>
        <s v="8mm JTR" u="1"/>
        <s v="Installation" u="1"/>
      </sharedItems>
    </cacheField>
    <cacheField name="UNITS" numFmtId="0">
      <sharedItems containsBlank="1"/>
    </cacheField>
    <cacheField name="Qty" numFmtId="0">
      <sharedItems containsString="0" containsBlank="1" containsNumber="1" minValue="0.2" maxValue="4032.6"/>
    </cacheField>
    <cacheField name="Price" numFmtId="0">
      <sharedItems containsString="0" containsBlank="1" containsNumber="1" minValue="5" maxValue="7200"/>
    </cacheField>
    <cacheField name="Total" numFmtId="43">
      <sharedItems containsString="0" containsBlank="1" containsNumber="1" minValue="77" maxValue="72523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refreshedDate="46235.48599479167" createdVersion="8" refreshedVersion="8" minRefreshableVersion="3" recordCount="4506" xr:uid="{00000000-000A-0000-FFFF-FFFF1A000000}">
  <cacheSource type="worksheet">
    <worksheetSource ref="A2:M4508" sheet="Billing Data"/>
  </cacheSource>
  <cacheFields count="14">
    <cacheField name="SI NO" numFmtId="0">
      <sharedItems containsMixedTypes="1" containsNumber="1" containsInteger="1" minValue="1" maxValue="952"/>
    </cacheField>
    <cacheField name="MONTH" numFmtId="0">
      <sharedItems count="13">
        <s v="April"/>
        <s v="May"/>
        <s v="June"/>
        <s v="July"/>
        <s v=""/>
        <s v="January" u="1"/>
        <s v="August" u="1"/>
        <s v="September" u="1"/>
        <s v="October" u="1"/>
        <s v="November" u="1"/>
        <s v="December" u="1"/>
        <s v="February" u="1"/>
        <s v="March" u="1"/>
      </sharedItems>
    </cacheField>
    <cacheField name="Date" numFmtId="0">
      <sharedItems containsNonDate="0" containsDate="1" containsString="0" containsBlank="1" minDate="2026-04-01T00:00:00" maxDate="2026-08-01T00:00:00" count="89">
        <d v="2026-04-01T00:00:00"/>
        <d v="2026-04-02T00:00:00"/>
        <d v="2026-04-03T00:00:00"/>
        <d v="2026-04-06T00:00:00"/>
        <d v="2026-04-07T00:00:00"/>
        <d v="2026-04-08T00:00:00"/>
        <d v="2026-04-09T00:00:00"/>
        <d v="2026-04-10T00:00:00"/>
        <d v="2026-04-11T00:00:00"/>
        <d v="2026-04-13T00:00:00"/>
        <d v="2026-04-15T00:00:00"/>
        <d v="2026-04-16T00:00:00"/>
        <d v="2026-04-17T00:00:00"/>
        <d v="2026-04-18T00:00:00"/>
        <d v="2026-04-20T00:00:00"/>
        <d v="2026-04-21T00:00:00"/>
        <d v="2026-04-23T00:00:00"/>
        <d v="2026-04-24T00:00:00"/>
        <d v="2026-04-27T00:00:00"/>
        <d v="2026-04-29T00:00:00"/>
        <d v="2026-04-30T00:00:00"/>
        <d v="2026-05-02T00:00:00"/>
        <d v="2026-05-04T00:00:00"/>
        <d v="2026-05-05T00:00:00"/>
        <d v="2026-05-07T00:00:00"/>
        <d v="2026-05-08T00:00:00"/>
        <d v="2026-05-09T00:00:00"/>
        <d v="2026-05-12T00:00:00"/>
        <d v="2026-05-13T00:00:00"/>
        <d v="2026-05-14T00:00:00"/>
        <d v="2026-05-15T00:00:00"/>
        <d v="2026-05-16T00:00:00"/>
        <d v="2026-05-18T00:00:00"/>
        <d v="2026-05-19T00:00:00"/>
        <d v="2026-05-20T00:00:00"/>
        <d v="2026-05-21T00:00:00"/>
        <d v="2026-05-23T00:00:00"/>
        <d v="2026-05-25T00:00:00"/>
        <d v="2026-05-26T00:00:00"/>
        <d v="2026-05-28T00:00:00"/>
        <d v="2026-05-30T00:00:00"/>
        <d v="2026-06-01T00:00:00"/>
        <d v="2026-06-02T00:00:00"/>
        <d v="2026-06-03T00:00:00"/>
        <d v="2026-06-04T00:00:00"/>
        <d v="2026-06-05T00:00:00"/>
        <d v="2026-06-06T00:00:00"/>
        <d v="2026-06-08T00:00:00"/>
        <d v="2026-06-09T00:00:00"/>
        <d v="2026-06-10T00:00:00"/>
        <d v="2026-06-11T00:00:00"/>
        <d v="2026-06-12T00:00:00"/>
        <d v="2026-06-13T00:00:00"/>
        <d v="2026-06-14T00:00:00"/>
        <d v="2026-06-16T00:00:00"/>
        <d v="2026-06-17T00:00:00"/>
        <d v="2026-06-18T00:00:00"/>
        <d v="2026-06-19T00:00:00"/>
        <d v="2026-06-20T00:00:00"/>
        <d v="2026-06-22T00:00:00"/>
        <d v="2026-06-23T00:00:00"/>
        <d v="2026-06-24T00:00:00"/>
        <d v="2026-06-25T00:00:00"/>
        <d v="2026-06-26T00:00:00"/>
        <d v="2026-06-29T00:00:00"/>
        <d v="2026-06-30T00:00:00"/>
        <d v="2026-07-01T00:00:00"/>
        <d v="2026-07-04T00:00:00"/>
        <d v="2026-07-07T00:00:00"/>
        <d v="2026-07-08T00:00:00"/>
        <d v="2026-07-09T00:00:00"/>
        <d v="2026-07-10T00:00:00"/>
        <d v="2026-07-11T00:00:00"/>
        <d v="2026-07-13T00:00:00"/>
        <d v="2026-07-14T00:00:00"/>
        <d v="2026-07-15T00:00:00"/>
        <d v="2026-07-16T00:00:00"/>
        <d v="2026-07-17T00:00:00"/>
        <d v="2026-07-18T00:00:00"/>
        <d v="2026-07-20T00:00:00"/>
        <d v="2026-07-22T00:00:00"/>
        <d v="2026-07-23T00:00:00"/>
        <d v="2026-07-25T00:00:00"/>
        <d v="2026-07-27T00:00:00"/>
        <d v="2026-07-28T00:00:00"/>
        <d v="2026-07-29T00:00:00"/>
        <d v="2026-07-30T00:00:00"/>
        <d v="2026-07-31T00:00:00"/>
        <m/>
      </sharedItems>
      <fieldGroup par="13"/>
    </cacheField>
    <cacheField name="OTF" numFmtId="0">
      <sharedItems containsString="0" containsBlank="1" containsNumber="1" containsInteger="1" minValue="61434" maxValue="62037"/>
    </cacheField>
    <cacheField name="Invoice No" numFmtId="0">
      <sharedItems containsString="0" containsBlank="1" containsNumber="1" containsInteger="1" minValue="45322" maxValue="45528"/>
    </cacheField>
    <cacheField name="Party Name" numFmtId="0">
      <sharedItems containsBlank="1"/>
    </cacheField>
    <cacheField name="Site" numFmtId="0">
      <sharedItems containsBlank="1"/>
    </cacheField>
    <cacheField name="PRODUCT" numFmtId="0">
      <sharedItems containsBlank="1" count="409">
        <s v="Box Duct with TDF"/>
        <s v="Insulation"/>
        <s v="Stretch Film"/>
        <s v="Stretch Rolls"/>
        <s v="Spiral Oval Duct"/>
        <s v="Spiral VCD"/>
        <s v="8mm JTR"/>
        <s v="Kflex (3mmX50mmx9.10 Mtr)"/>
        <s v="VCD (Alu. Blade)"/>
        <s v="CTS (450x250)"/>
        <s v="CTS (250x250)"/>
        <s v="Spiral Oval Coupling"/>
        <s v="Stock Transfer"/>
        <s v="Gasket"/>
        <s v="Plain Sheet"/>
        <s v="Insulation Flange"/>
        <s v="Round Flange 760mm Dia"/>
        <s v="Spigot 200mm Dia"/>
        <s v="Alluminium Scrap"/>
        <s v="Box Duct with TDF (L-shape)"/>
        <s v="Plain Duct"/>
        <s v="Pressure Testing of Ducts"/>
        <s v="Mixing Box (595x595x350H)"/>
        <s v="Corners 32mm"/>
        <s v="Mixing Box (450x450x350H)"/>
        <s v="Round Flange 900mm Dia"/>
        <s v="Round Flange 100mm Dia"/>
        <s v="Mixing Box (500x150x300H)"/>
        <s v="Cleats"/>
        <s v="Corners"/>
        <s v="Spiral Round Duct"/>
        <s v="Round T Piece (150x150mm)"/>
        <s v="Round Elbow 90° (150mm Dia)"/>
        <s v="Round Flange"/>
        <s v="ArmaComp Uniskin Tape(3mmX50)"/>
        <s v="Round Duct"/>
        <s v="Round Coupling"/>
        <s v="Mixing Box (1000x150x300H)"/>
        <s v="Mixing Box (300x300x300H)"/>
        <s v="Mixing Box (375x375x300H)"/>
        <s v="Spigot 150mm Dia"/>
        <s v="Round Flange 1100mm Dia"/>
        <s v="Round Flange (450mm Dia)"/>
        <s v="Mixing Box (300x300x250Hx150mm Dia)"/>
        <s v="Mixing Box (375x375x300Hx200mm Dia)"/>
        <s v="Mixing Box (1000x150x250Hx150mm Dia)"/>
        <s v="Mixing Box (1000x150x300Hx200mm Dia)"/>
        <s v="Mixing Box (300x300x300Hx200mm Dia)"/>
        <s v="Mixing Box (375x375x350Hx250mm Dia)"/>
        <s v="Mixing Box (450x450x400Hx300mm Dia)"/>
        <s v="Mixing Box (1100x175x400Hx250mm Dia)"/>
        <s v="Mixing Box (450x450x350Hx250mm Dia)"/>
        <s v="Mixing Box (1300x175x400Hx250mm Dia)"/>
        <s v="Round Elbow 90° (200mm Dia)"/>
        <s v="Round Collar 150 Dia"/>
        <s v="Round Collar 200 Dia"/>
        <s v="Round T Piece (200x150mm)"/>
        <s v="Round T Piece (250x150mm)"/>
        <s v="Round Reducer (200x150mm)"/>
        <s v="Round Reducer (250x200mm)"/>
        <s v="Round Elbow 90° (250mm Dia)"/>
        <s v="Round Collar 250 Dia"/>
        <s v="Round Collar 300 Dia"/>
        <s v="Mixing Box (600x100x350H)"/>
        <s v="Mixing Box (600x150x350H)"/>
        <s v="Mixing Box (600x200x350H)"/>
        <s v="Mixing Box (1000x150x350H)"/>
        <s v="Mixing Box (450x450x350Hx300mm Dia)"/>
        <s v="Spigot 300mm Dia"/>
        <s v="Round Flange 800mm Dia"/>
        <s v="Mixing Box (400x400x350Hx250mm Dia)"/>
        <s v="Round Elbow 45° (200mm Dia)"/>
        <s v="24G GI Pre-Insulated MS Pipes"/>
        <s v="Mixing Box (600x150x350Hx250mm Dia)"/>
        <s v="Mixing Box (300x100x350Hx250mm Dia)"/>
        <s v="Spigot 250mm Dia"/>
        <s v="Mixing Box (1500x150x350Hx200mm Dia)"/>
        <s v="Mixing Box (2000x150x350Hx200mm Dia)"/>
        <s v="Round Reducer (300x200mm)"/>
        <s v="Round offset (200mm)"/>
        <s v="Round Elbow 45° (250mm Dia)"/>
        <s v="Mixing Box (750x150x350Hx250mm Dia)"/>
        <s v="Box Duct with S&amp;C"/>
        <s v="Mixing Box (1200x150x400Hx250mm Dia)"/>
        <s v="Plain Sheet (Washer)"/>
        <s v="Thermobreak (50mmx50Mtr)"/>
        <s v="Mixing Box (800x150x300H)"/>
        <s v="Plain Sheet (150 x 150mm)"/>
        <s v="Mixing Box (600x250x300Hx200mm)"/>
        <s v="Mixing Box (600x200x300Hx150mm)"/>
        <s v="Mixing Box (600x150x300Hx200mm)"/>
        <m/>
        <s v="CTS (300x300)" u="1"/>
        <s v="GSS Scrap " u="1"/>
        <s v="Corners 25mm" u="1"/>
        <s v="Sealant Tube " u="1"/>
        <s v="Mixing Box (600x120x300H)" u="1"/>
        <s v="Mixing Box (450x450x300H)" u="1"/>
        <s v="Round Collar 355 Dia" u="1"/>
        <s v="Round Collar with flange 355 Dia" u="1"/>
        <s v="Insulation " u="1"/>
        <s v="Mixing Box (600x200x400H)" u="1"/>
        <s v="Mixing Box (450x150x300H)" u="1"/>
        <s v="Round Collar with flange 150 Dia" u="1"/>
        <s v="Round Collar with flange 200 Dia" u="1"/>
        <s v="MS Scrap " u="1"/>
        <s v="Mixing Box (600x150x300H)" u="1"/>
        <s v="Mixing Box (400x400x350H)" u="1"/>
        <s v="CTS" u="1"/>
        <s v="Round Flange 200mm Dia" u="1"/>
        <s v="Tape (50mmx50Mtr)" u="1"/>
        <s v="Round Collar with flange 300Dia" u="1"/>
        <s v="Mixing Box (350x350x350H)" u="1"/>
        <s v="Round Duct 250mm Dia" u="1"/>
        <s v="Mixing Box (900x115x350)" u="1"/>
        <s v="Wire Mesh" u="1"/>
        <s v="Mixing Box (1000x150x350)" u="1"/>
        <s v="Mixing Box (450x450x350)" u="1"/>
        <s v="Mixing Box (600x150x350)" u="1"/>
        <s v="Mixing Box (200x150x200)" u="1"/>
        <s v="CTS (200x200)" u="1"/>
        <s v="Miixng Box (450x450x300H)" u="1"/>
        <s v="Miixng Box (600x120x300H)" u="1"/>
        <s v="Round Flange 355mm Dia" u="1"/>
        <s v="Diffuser Tray with Round Collar" u="1"/>
        <s v="Round Collar 125 Dia" u="1"/>
        <s v="VAV " u="1"/>
        <s v="Spiral Round Duct (800mm Dia)" u="1"/>
        <s v="Spiral Round Duct (600mm Dia)" u="1"/>
        <s v="GI Coil" u="1"/>
        <s v="Fevicol " u="1"/>
        <s v="Mixing Box (200x200x250H)" u="1"/>
        <s v="Mixing Box (400x150x250Hx200Dia)" u="1"/>
        <s v="Mixing Box (500x100x250Hx200Dia)" u="1"/>
        <s v="Mixing Box (400x400x250Hx200Dia)" u="1"/>
        <s v="Mixing Box (700x150x300Hx200Dia)" u="1"/>
        <s v="Mixing Box (750x100x300Hx200Dia)" u="1"/>
        <s v="Mixing Box (500x100x300Hx200Dia)" u="1"/>
        <s v="Mixing Box (600x100x300Hx150Dia)" u="1"/>
        <s v="Mixing Box (600x100x300Hx200Dia)" u="1"/>
        <s v="Round Collar 230 Dia" u="1"/>
        <s v="Round Collar 305 Dia" u="1"/>
        <s v="Mixing Box (1000x150x350Hx200Dia)" u="1"/>
        <s v="Mixing Box (1500x150x350Hx200Dia)" u="1"/>
        <s v="Mixing Box (1000x200x250H)" u="1"/>
        <s v="Insulation Charges" u="1"/>
        <s v="Mixing Box (750x150x350Hx200Dia)" u="1"/>
        <s v="Spigot 100mm Dia" u="1"/>
        <s v="Round Flange 710mm Dia" u="1"/>
        <s v="Mixing Box (150x150x250Hx100 Dia)" u="1"/>
        <s v="Miixng Box (450x450x350Hx250Dia)" u="1"/>
        <s v="Miixng Box (1000x150x350Hx250Dia)" u="1"/>
        <s v="Miixng Box (750x150x350Hx200Dia)" u="1"/>
        <s v="Miixng Box (375x375x350Hx250Dia)" u="1"/>
        <s v="Round Flange 1000mm Dia" u="1"/>
        <s v="Spigot 400mm Dia" u="1"/>
        <s v="Round Collar 100 Dia" u="1"/>
        <s v="Mixing Box (400x150x250Hx150m Dia)" u="1"/>
        <s v="Mixing Box (300x300x250Hx150m Dia)" u="1"/>
        <s v="Mixing Box (450x450x450Hx250m Dia)" u="1"/>
        <s v="Mixing Box (225x225x350Hx200m Dia)" u="1"/>
        <s v="Mixing Box (225x225x350Hx150m Dia)" u="1"/>
        <s v="Mixing Box (300x300x350Hx250m Dia)" u="1"/>
        <s v="Mixing Box (300x300x350Hx200m Dia)" u="1"/>
        <s v="Mixing Box (450x450x350Hx200m Dia)" u="1"/>
        <s v="Miixng Box (375x375x450Hx250Dia)" u="1"/>
        <s v="Miixng Box (300x300x450Hx200Dia)" u="1"/>
        <s v="Miixng Box (200x200x200Hx150Dia)" u="1"/>
        <s v="Miixng Box (595x595x350H)" u="1"/>
        <s v="Miixng Box (400x150x400Hx120mm Dia)" u="1"/>
        <s v="Miixng Box (400x150x400H)" u="1"/>
        <s v="Miixng Box (750x175x400H)" u="1"/>
        <s v="Miixng Box (600x150x400H)" u="1"/>
        <s v="Miixng Box (600x150x300Hx200mm Dia)" u="1"/>
        <s v="Miixng Box (600x600x300Hx200mm Dia)" u="1"/>
        <s v="Insulation (2 Layers)" u="1"/>
        <s v="Miixng Box (225x225x300Hx200mm Dia)" u="1"/>
        <s v="Miixng Box (225x225x300Hx150mm Dia)" u="1"/>
        <s v="Miixng Box (300x300x300Hx200mm Dia)" u="1"/>
        <s v="Miixng Box (300x300x300Hx250mm Dia)" u="1"/>
        <s v="Miixng Box (375x375x300Hx250mm Dia)" u="1"/>
        <s v="Miixng Box (375x375x350Hx300mm Dia)" u="1"/>
        <s v="Round Flange 150mm Dia" u="1"/>
        <s v="Round Collar 200 Dia With Flange" u="1"/>
        <s v="Round Collar 330 Dia" u="1"/>
        <s v="Miixng Box (500x150x350Hx120mm Dia)" u="1"/>
        <s v="Miixng Box (595x595x350Hx195mm Dia)" u="1"/>
        <s v="Miixng Box (600x100x350Hx190mm Dia)" u="1"/>
        <s v="Miixng Box (600x150x350Hx120mm Dia)" u="1"/>
        <s v="Miixng Box (800x150x350Hx140mm Dia)" u="1"/>
        <s v="Miixng Box (1000x150x350Hx190mm Dia)" u="1"/>
        <s v="Miixng Box (1200x150x350Hx140mm Dia)" u="1"/>
        <s v="Miixng Box (450x450x350Hx200mm Dia)" u="1"/>
        <s v="Miixng Box (1000x150x350Hx200mm Dia)" u="1"/>
        <s v="Miixng Box (1000x150x350Hx250mm Dia)" u="1"/>
        <s v="Round Collar with flange 400 Dia" u="1"/>
        <s v="Round Flange " u="1"/>
        <s v="Miixng Box (600x150x350Hx200mm Dia)" u="1"/>
        <s v="Miixng Box (800x100x350Hx250mm Dia)" u="1"/>
        <s v="Miixng Box (750x150x350Hx200mm Dia)" u="1"/>
        <s v="Mixing Box (450x75x250Hx150mm Dia)" u="1"/>
        <s v="Mixing Box (400x400x350Hx200mm Dia)" u="1"/>
        <s v="Box Duct with TDF (Inside Flange)" u="1"/>
        <s v="Mixing Box (1000x150x500H)" u="1"/>
        <s v="Round Collar 205 Dia With Flange" u="1"/>
        <s v="Round Collar 255 Dia With Flange" u="1"/>
        <s v="Round Collar 305 Dia With Flange" u="1"/>
        <s v="Mixing Box (375x375x350Hx200mm Dia)" u="1"/>
        <s v="Mixing Box (1000x150x350Hx200mm Dia)" u="1"/>
        <s v="Mixing Box (300x300x350Hx200mm Dia)" u="1"/>
        <s v="Mixing Box (600x150x350Hx200mm Dia)" u="1"/>
        <s v="Mixing Box (900x150x350Hx200mm Dia)" u="1"/>
        <s v="Split Air Damper" u="1"/>
        <s v="Round Elbow 45° (150mm Dia)" u="1"/>
        <s v="Mixing Box (400x150x350Hx200mm Dia)" u="1"/>
        <s v="Mixing Box (600x200x300Hx200mm Dia)" u="1"/>
        <s v="Mixing Box (500x100x350Hx200mm Dia)" u="1"/>
        <s v="Mixing Box (650x100x350Hx200mm Dia)" u="1"/>
        <s v="VAV" u="1"/>
        <s v="Oval VAV" u="1"/>
        <s v="Mixing Box (225x225x300Hx150mm Dia)" u="1"/>
        <s v="Mixing Box (225x225x300Hx200mm Dia)" u="1"/>
        <s v="Mixing Box (300x300x300Hx150mm Dia)" u="1"/>
        <s v="Mixing Box (300x300x300Hx250mm Dia)" u="1"/>
        <s v="Mixing Box (300x300x350Hx250mm Dia)" u="1"/>
        <s v="Mixing Box (375x375x350Hx300mm Dia)" u="1"/>
        <s v="Mixing Box (375x375x300Hx250mm Dia)" u="1"/>
        <s v="Mixing Box (525x525x350Hx300mm Dia)" u="1"/>
        <s v="Spiral Round Duct 150 Dia" u="1"/>
        <s v="Mixing Box (590x590x400Hx250mm Dia)" u="1"/>
        <s v="Round Flange 500mm Dia" u="1"/>
        <s v="Round Flange 1250mm Dia" u="1"/>
        <s v="Mixing Box (400x100x450Hx100mm Dia)" u="1"/>
        <s v="MS Scrap" u="1"/>
        <s v="Mixing Box (225x225x300Hx150Dia)" u="1"/>
        <s v="Mixing Box (300x100x300Hx150Dia)" u="1"/>
        <s v="Mixing Box (1000x100x300Hx150Dia)" u="1"/>
        <s v="Mixing Box (600x125x350Hx250mm Dia)" u="1"/>
        <s v="Mixing Box (600x150x350Hx150mm Dia)" u="1"/>
        <s v="Mixing Box (600x200x350Hx150mm Dia)" u="1"/>
        <s v="Mixing Box (750x150x300Hx150mm Dia)" u="1"/>
        <s v="Mixing Box (750x100x300Hx150mm Dia)" u="1"/>
        <s v="Mixing Box (600x100x300Hx150mm Dia)" u="1"/>
        <s v="Mixing Box (750x150x300Hx200mm Dia)" u="1"/>
        <s v="Mixing Box (1000x100x300Hx150mm Dia)" u="1"/>
        <s v="Mixing Box (350x350x300Hx200mm Dia)" u="1"/>
        <s v="Mixing Box (400x400x300Hx200mm Dia)" u="1"/>
        <s v="Mixing Box (400x150x300Hx140mm Dia)" u="1"/>
        <s v="Mixing Box (600x150x350Hx190mm Dia)" u="1"/>
        <s v="Mixing Box (600x150x300Hx200mm Dia)" u="1"/>
        <s v="Mixing Box (600x150x300Hx150mm Dia)" u="1"/>
        <s v="Mixing Box (600x175x300Hx150mm Dia)" u="1"/>
        <s v="Mixing Box (450x450x350Hx200mm Dia)" u="1"/>
        <s v="Sealant Bucket " u="1"/>
        <s v="Round Flange 300mm Dia" u="1"/>
        <s v="Mixing Box (500x500x350Hx300mm Dia)" u="1"/>
        <s v="Mixing Box (600x600x350Hx200mm Dia)" u="1"/>
        <s v="Mixing Box (600x100x300Hx200mm Dia)" u="1"/>
        <s v="Mixing Box (700x100x300Hx200mm Dia)" u="1"/>
        <s v="Mixing Box (300x300x450Hx200mm Dia)" u="1"/>
        <s v="Corners " u="1"/>
        <s v="Mixing Box (600x200x200Hx150mm Dia)" u="1"/>
        <s v="Mixing Box (1500x200x500Hx150mm Dia)" u="1"/>
        <s v="GI Angle Support for" u="1"/>
        <s v="GI C Channel For " u="1"/>
        <s v="GI Support Rods for " u="1"/>
        <s v="GI Fasteners For" u="1"/>
        <s v="Round to Square Duct" u="1"/>
        <s v="Mixing Box (285x285x350H)" u="1"/>
        <s v="Insulation  " u="1"/>
        <s v="Mixing Box (100x750x260H)" u="1"/>
        <s v="Mixing Box (750x80x350)" u="1"/>
        <s v="Mixing Box (350x350x375H)" u="1"/>
        <s v="Mixing Box (1000x150x250H)" u="1"/>
        <s v="Mixing Box (1500x150x250H)" u="1"/>
        <s v="Round Elbow" u="1"/>
        <s v="MS Angle" u="1"/>
        <s v="Mixing Box ( 500x150x350H)" u="1"/>
        <s v="Mixing Box (1200x150x350H)" u="1"/>
        <s v="Mixing Box ( 250x250x350H)" u="1"/>
        <s v="Mixing Box (600x175x300H)" u="1"/>
        <s v="Mixing Box (750x175x300H)" u="1"/>
        <s v="Mixing Box (1900x150x450H)" u="1"/>
        <s v="VCD Handle 13mm" u="1"/>
        <s v="Mixing Box (450x115x350)" u="1"/>
        <s v="Mixing Box (750x115x350)" u="1"/>
        <s v="Mixing Box (1000x115x350)" u="1"/>
        <s v="Mixing Box (1050x115x350)" u="1"/>
        <s v="Mixing Box (1550x115x350)" u="1"/>
        <s v="Mixing Box (250x200x250H)" u="1"/>
        <s v="Mixing Box (620x200x250H)" u="1"/>
        <s v="Mixing Box (750x200x250H)" u="1"/>
        <s v="Mixing Box (970x200x250H)" u="1"/>
        <s v="Mixing Box (210x210x250H)" u="1"/>
        <s v="Mixing Box (375x375x400H)" u="1"/>
        <s v="Mixing Box (450x450x500H)" u="1"/>
        <s v="Mixing Box (575x575x300H)" u="1"/>
        <s v="Miixing Box (400x150x250H)" u="1"/>
        <s v="Miixing Box (600x150x250H)" u="1"/>
        <s v="Mixing Box (220x220x250H)" u="1"/>
        <s v="Mixing Box (250x325x250H)" u="1"/>
        <s v="Mixing Box (600x600x450H)" u="1"/>
        <s v="Round Collar 450 Dia" u="1"/>
        <s v="Mixing Box (595x595x350)" u="1"/>
        <s v="Mixing Box (900x153x350)" u="1"/>
        <s v="Box Duct with MS Flange" u="1"/>
        <s v="Mixing Box (575x575x350H)" u="1"/>
        <s v="H Bayonet" u="1"/>
        <s v="Mixing Box (200x150x200H)" u="1"/>
        <s v="Mixing Box (300x150x200H)" u="1"/>
        <s v="Mixing Box (320x320x300H)" u="1"/>
        <s v="Mixing Box ( 600x100x300H)" u="1"/>
        <s v="IC Glad Tape Black" u="1"/>
        <s v="Mixing Box (375x375x375H)" u="1"/>
        <s v="Box Duct with MS Angle" u="1"/>
        <s v="Mixing Box (1200x200x400H)" u="1"/>
        <s v="F Flange Alu" u="1"/>
        <s v="Mixing Box (600x100x250H)" u="1"/>
        <s v="Mixing Box (475x475x300H)" u="1"/>
        <s v="Mixing Box (750x110x250H)" u="1"/>
        <s v="Round Collar with flange" u="1"/>
        <s v="Mixing Box (300x300x350H)" u="1"/>
        <s v="Strecth Film " u="1"/>
        <s v="Mixing Box (300x150x250H)" u="1"/>
        <s v="Mixing Box (450x150x250H)" u="1"/>
        <s v="Mixing Box (600x150x250H)" u="1"/>
        <s v="VCD (GI Blade)" u="1"/>
        <s v="Mixing Box (1000x120x350)" u="1"/>
        <s v="Mixing Box (435x435x350H)" u="1"/>
        <s v="Mixing Box (500x150x450H)" u="1"/>
        <s v="Mixing Box (600x150x450H)" u="1"/>
        <s v="Mixing Box (750x150x450H)" u="1"/>
        <s v="Mixing Box (370x370x350H)" u="1"/>
        <s v="PIR Duct" u="1"/>
        <s v="Mixing Box (380x380x350H)" u="1"/>
        <s v="Mixing Box (550x550x450H)" u="1"/>
        <s v="Round Flange 315mm Dia" u="1"/>
        <s v="Mixing Box (1000x200x250)" u="1"/>
        <s v="Mixing Box (400x400x400H)" u="1"/>
        <s v="Mixing Box (600x600x300H)" u="1"/>
        <s v="Mixing Box ( 300x150x300H)" u="1"/>
        <s v="Mixing Box ( 500x150x300H)" u="1"/>
        <s v="Mixing Box ( 600x150x300H)" u="1"/>
        <s v="Mixing Box ( 900x150x300H)" u="1"/>
        <s v="Round Duct Collar with flange 400 Dia" u="1"/>
        <s v="Mixing Box (420x420x400H)" u="1"/>
        <s v="Mixing Box (1200x175x300H)" u="1"/>
        <s v="Mixing Box (1500x150x400H)" u="1"/>
        <s v="Mixing Box (380x380x380H)" u="1"/>
        <s v="Miixing Box (1000x150x250H)" u="1"/>
        <s v="Round Elbow 250 Dia" u="1"/>
        <s v="GI Slotted Rail Channel" u="1"/>
        <s v="Mixing Box (450x450x400H)" u="1"/>
        <s v="Round Collar with flange 375Dia" u="1"/>
        <s v="Miixing Box (400x150x200H)" u="1"/>
        <s v="Miixing Box (600x150x200H)" u="1"/>
        <s v="Mixing Box (950x200x350H)" u="1"/>
        <s v="Round Collar 285 Dia" u="1"/>
        <s v="Miixing Box (600x150x300H)" u="1"/>
        <s v="Miixing Box (800x150x300H)" u="1"/>
        <s v="Mixing Box (300x300x3000H)" u="1"/>
        <s v="GSS Scrap" u="1"/>
        <s v="Mixing Box (230x230x350H)" u="1"/>
        <s v="Mixing Box (595x595x400H)" u="1"/>
        <s v="Miixing Box (375x375x300H)" u="1"/>
        <s v="Round Duct Collar with flange 355 Dia" u="1"/>
        <s v="Round Duct 150mm Dia" u="1"/>
        <s v="XLPE Gasket" u="1"/>
        <s v="Mixing Box (600x100x300H)" u="1"/>
        <s v="Mixing Box (375x375x350H)" u="1"/>
        <s v="Mixing Box (450x450x450H)" u="1"/>
        <s v="Mixing Box (575x575x250H)" u="1"/>
        <s v="Mixing Box (750x110x300H)" u="1"/>
        <s v="Round Collar with flange 250 Dia" u="1"/>
        <s v="Mixing Box (225x225x300H)" u="1"/>
        <s v="Mixing Box (500x100x225H)" u="1"/>
        <s v="Mixing Box ( 300x100x250H)" u="1"/>
        <s v="Mixing Box ( 600x100x250H)" u="1"/>
        <s v="Mixing Box (1020x200x250H)" u="1"/>
        <s v="Round Duct Collar with flange 305 Dia" u="1"/>
        <s v="Square to Round Duct" u="1"/>
        <s v="Mixing Box (1200x150x350)" u="1"/>
        <s v="Mixing Box (150x150x300H)" u="1"/>
        <s v="Mixing Box (245x245x300H)" u="1"/>
        <s v="Mixing Box (700x150x300H)" u="1"/>
        <s v="Mixing Box (750x150x300H)" u="1"/>
        <s v="Mixing Box ( 600x100x350H)" u="1"/>
        <s v="Mixing Box (595x595x450H)" u="1"/>
        <s v="Mixing Box (1000x200x350H)" u="1"/>
        <s v="Mixing Box (1200x200x350H)" u="1"/>
        <s v="Mixing Box (600x100x350)" u="1"/>
        <s v="Mixing Box (320x170x300H)" u="1"/>
        <s v="Mixing Box (420x170x300H)" u="1"/>
        <s v="Mixing Box (620x170x300H)" u="1"/>
        <s v="Mixing Box (1000x100x450H)" u="1"/>
        <s v="Mixing Box (600x150x500H)" u="1"/>
        <s v="Round Reducer (200x160mm)" u="1"/>
        <s v="10mm JTR" u="1"/>
        <s v="Mixing Box (300x300x250H)" u="1"/>
        <s v="Mixing Box (380x380x400H)" u="1"/>
        <s v="Round Reducer (250x315mm Dia)" u="1"/>
        <s v="Mixing Box (750x150x350)" u="1"/>
        <s v="Mixing box (300x300x450H)" u="1"/>
        <s v="Round Reducer (200x125mm)" u="1"/>
        <s v="Built In Sealant" u="1"/>
        <s v="Mixing Box (400x150x350H)" u="1"/>
        <s v="Mixing Box (700x150x350H)" u="1"/>
        <s v="Box Duct with Plain" u="1"/>
        <s v="Mixing Box (455x455x250H)" u="1"/>
      </sharedItems>
    </cacheField>
    <cacheField name="RAW MATERIAL" numFmtId="0">
      <sharedItems containsBlank="1"/>
    </cacheField>
    <cacheField name="UNITS" numFmtId="0">
      <sharedItems containsBlank="1" count="14">
        <s v="Sqmt"/>
        <s v="Nos"/>
        <s v="Rmt"/>
        <s v="Set"/>
        <s v="Kg"/>
        <s v="Kgs"/>
        <m/>
        <s v="Sqft" u="1"/>
        <s v="Ltr" u="1"/>
        <s v="`Kg" u="1"/>
        <s v="Box" u="1"/>
        <s v="Roll" u="1"/>
        <s v="Lot" u="1"/>
        <s v="Mtr" u="1"/>
      </sharedItems>
    </cacheField>
    <cacheField name="Qty" numFmtId="0">
      <sharedItems containsString="0" containsBlank="1" containsNumber="1" minValue="0.2" maxValue="46100"/>
    </cacheField>
    <cacheField name="Price" numFmtId="0">
      <sharedItems containsString="0" containsBlank="1" containsNumber="1" minValue="3.5" maxValue="156100"/>
    </cacheField>
    <cacheField name="Total" numFmtId="0">
      <sharedItems containsString="0" containsBlank="1" containsNumber="1" minValue="150" maxValue="611023.5"/>
    </cacheField>
    <cacheField name="Months (Date)" numFmtId="0" databaseField="0">
      <fieldGroup base="2">
        <rangePr autoStart="0" autoEnd="0" groupBy="months" startDate="2026-04-01T00:00:00" endDate="2027-04-01T00:00:00"/>
        <groupItems count="14">
          <s v="&lt;01-04-2026"/>
          <s v="Jan"/>
          <s v="Feb"/>
          <s v="Mar"/>
          <s v="Apr"/>
          <s v="May"/>
          <s v="Jun"/>
          <s v="Jul"/>
          <s v="Aug"/>
          <s v="Sep"/>
          <s v="Oct"/>
          <s v="Nov"/>
          <s v="Dec"/>
          <s v="&gt;01-04-2027"/>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refreshedDate="46235.559828819445" createdVersion="8" refreshedVersion="8" minRefreshableVersion="3" recordCount="5006" xr:uid="{00000000-000A-0000-FFFF-FFFF13000000}">
  <cacheSource type="worksheet">
    <worksheetSource ref="A2:M5008" sheet="Billing Data"/>
  </cacheSource>
  <cacheFields count="14">
    <cacheField name="SI NO" numFmtId="0">
      <sharedItems containsMixedTypes="1" containsNumber="1" containsInteger="1" minValue="1" maxValue="952"/>
    </cacheField>
    <cacheField name="MONTH" numFmtId="0">
      <sharedItems count="13">
        <s v="April"/>
        <s v="May"/>
        <s v="June"/>
        <s v="July"/>
        <s v=""/>
        <s v="January" u="1"/>
        <s v="August" u="1"/>
        <s v="September" u="1"/>
        <s v="October" u="1"/>
        <s v="November" u="1"/>
        <s v="December" u="1"/>
        <s v="February" u="1"/>
        <s v="March" u="1"/>
      </sharedItems>
    </cacheField>
    <cacheField name="Date" numFmtId="0">
      <sharedItems containsNonDate="0" containsDate="1" containsString="0" containsBlank="1" minDate="2026-04-01T00:00:00" maxDate="2026-08-01T00:00:00" count="89">
        <d v="2026-04-01T00:00:00"/>
        <d v="2026-04-02T00:00:00"/>
        <d v="2026-04-03T00:00:00"/>
        <d v="2026-04-06T00:00:00"/>
        <d v="2026-04-07T00:00:00"/>
        <d v="2026-04-08T00:00:00"/>
        <d v="2026-04-09T00:00:00"/>
        <d v="2026-04-10T00:00:00"/>
        <d v="2026-04-11T00:00:00"/>
        <d v="2026-04-13T00:00:00"/>
        <d v="2026-04-15T00:00:00"/>
        <d v="2026-04-16T00:00:00"/>
        <d v="2026-04-17T00:00:00"/>
        <d v="2026-04-18T00:00:00"/>
        <d v="2026-04-20T00:00:00"/>
        <d v="2026-04-21T00:00:00"/>
        <d v="2026-04-23T00:00:00"/>
        <d v="2026-04-24T00:00:00"/>
        <d v="2026-04-27T00:00:00"/>
        <d v="2026-04-29T00:00:00"/>
        <d v="2026-04-30T00:00:00"/>
        <d v="2026-05-02T00:00:00"/>
        <d v="2026-05-04T00:00:00"/>
        <d v="2026-05-05T00:00:00"/>
        <d v="2026-05-07T00:00:00"/>
        <d v="2026-05-08T00:00:00"/>
        <d v="2026-05-09T00:00:00"/>
        <d v="2026-05-12T00:00:00"/>
        <d v="2026-05-13T00:00:00"/>
        <d v="2026-05-14T00:00:00"/>
        <d v="2026-05-15T00:00:00"/>
        <d v="2026-05-16T00:00:00"/>
        <d v="2026-05-18T00:00:00"/>
        <d v="2026-05-19T00:00:00"/>
        <d v="2026-05-20T00:00:00"/>
        <d v="2026-05-21T00:00:00"/>
        <d v="2026-05-23T00:00:00"/>
        <d v="2026-05-25T00:00:00"/>
        <d v="2026-05-26T00:00:00"/>
        <d v="2026-05-28T00:00:00"/>
        <d v="2026-05-30T00:00:00"/>
        <d v="2026-06-01T00:00:00"/>
        <d v="2026-06-02T00:00:00"/>
        <d v="2026-06-03T00:00:00"/>
        <d v="2026-06-04T00:00:00"/>
        <d v="2026-06-05T00:00:00"/>
        <d v="2026-06-06T00:00:00"/>
        <d v="2026-06-08T00:00:00"/>
        <d v="2026-06-09T00:00:00"/>
        <d v="2026-06-10T00:00:00"/>
        <d v="2026-06-11T00:00:00"/>
        <d v="2026-06-12T00:00:00"/>
        <d v="2026-06-13T00:00:00"/>
        <d v="2026-06-14T00:00:00"/>
        <d v="2026-06-16T00:00:00"/>
        <d v="2026-06-17T00:00:00"/>
        <d v="2026-06-18T00:00:00"/>
        <d v="2026-06-19T00:00:00"/>
        <d v="2026-06-20T00:00:00"/>
        <d v="2026-06-22T00:00:00"/>
        <d v="2026-06-23T00:00:00"/>
        <d v="2026-06-24T00:00:00"/>
        <d v="2026-06-25T00:00:00"/>
        <d v="2026-06-26T00:00:00"/>
        <d v="2026-06-29T00:00:00"/>
        <d v="2026-06-30T00:00:00"/>
        <d v="2026-07-01T00:00:00"/>
        <d v="2026-07-04T00:00:00"/>
        <d v="2026-07-07T00:00:00"/>
        <d v="2026-07-08T00:00:00"/>
        <d v="2026-07-09T00:00:00"/>
        <d v="2026-07-10T00:00:00"/>
        <d v="2026-07-11T00:00:00"/>
        <d v="2026-07-13T00:00:00"/>
        <d v="2026-07-14T00:00:00"/>
        <d v="2026-07-15T00:00:00"/>
        <d v="2026-07-16T00:00:00"/>
        <d v="2026-07-17T00:00:00"/>
        <d v="2026-07-18T00:00:00"/>
        <d v="2026-07-20T00:00:00"/>
        <d v="2026-07-22T00:00:00"/>
        <d v="2026-07-23T00:00:00"/>
        <d v="2026-07-25T00:00:00"/>
        <d v="2026-07-27T00:00:00"/>
        <d v="2026-07-28T00:00:00"/>
        <d v="2026-07-29T00:00:00"/>
        <d v="2026-07-30T00:00:00"/>
        <d v="2026-07-31T00:00:00"/>
        <m/>
      </sharedItems>
      <fieldGroup par="13"/>
    </cacheField>
    <cacheField name="OTF" numFmtId="0">
      <sharedItems containsString="0" containsBlank="1" containsNumber="1" containsInteger="1" minValue="61434" maxValue="62037"/>
    </cacheField>
    <cacheField name="Invoice No" numFmtId="0">
      <sharedItems containsString="0" containsBlank="1" containsNumber="1" containsInteger="1" minValue="45322" maxValue="45528"/>
    </cacheField>
    <cacheField name="Party Name" numFmtId="0">
      <sharedItems containsBlank="1"/>
    </cacheField>
    <cacheField name="Site" numFmtId="0">
      <sharedItems containsBlank="1"/>
    </cacheField>
    <cacheField name="PRODUCT" numFmtId="0">
      <sharedItems containsBlank="1"/>
    </cacheField>
    <cacheField name="RAW MATERIAL" numFmtId="0">
      <sharedItems containsBlank="1" count="347">
        <s v="120gsm 24G"/>
        <s v="120gsm 22G"/>
        <s v="Insu Armaflex Thermal 9mm"/>
        <s v="Insu Armasound Acou. 15mm"/>
        <s v="Insu Armasound Acou. 25mm"/>
        <s v="Polythene wrapping"/>
        <s v="Stretch Rolls"/>
        <s v="120gsm 20G"/>
        <s v="120gsm 18G"/>
        <s v="120gsm Slit 24G"/>
        <s v="120gsm Slit 22G"/>
        <s v="Insu Kflex Thermal 13mm"/>
        <s v="Insu Kflex Acou. 10mm"/>
        <s v="Insu Kflex Thermal 19mm Glass Cloth"/>
        <s v="Insu Kflex Acou. 25mm"/>
        <s v="8mm JTR"/>
        <s v="Tape"/>
        <s v="Insu Armaflex Thermal 19mm"/>
        <s v="120gsm Slit 20G"/>
        <s v="Electrode "/>
        <s v="Nozzel"/>
        <s v="Venus Mask"/>
        <s v="Ferrule Fittings (3/8&quot;BSPx100D)"/>
        <s v="Hydraulic Swivel Elbow (100 D)"/>
        <s v="Hydraulic Taper Elbow (3/8&quot;BSPx100D)"/>
        <s v="Gasket"/>
        <s v="Insu Supreme Thermal 9mm"/>
        <s v="Alu. 0.8mm"/>
        <s v="Insu Supreme Acou. 15mm"/>
        <s v="Insu Supreme Thermal 13mm Al. Foil"/>
        <s v="Allen Key Set"/>
        <s v="Allen Key Set 12mm"/>
        <s v="Allen Key Set 14mm"/>
        <s v="Allen Key Set 16mm"/>
        <s v="Tin Sheet Cutter"/>
        <s v="Circlip Plier"/>
        <s v="Hammer (300g)"/>
        <s v="Bearing 6206"/>
        <s v="Bearing CF188"/>
        <s v="Swirl Ring"/>
        <s v="Shield"/>
        <s v="Retaining Cap"/>
        <s v="Mask"/>
        <s v="Spares DS Ventilation Unit"/>
        <s v="Grill (10 Nos)"/>
        <s v="20mm PIR Sheet (40 Nos)"/>
        <s v="Alluminium Scrap"/>
        <s v="18G Corners 32mm"/>
        <s v="Insu Kflex Thermal 9mm"/>
        <s v="Insu Supreme Thermal 13mm"/>
        <s v="120gsm 26G"/>
        <s v="Pressure Testing"/>
        <s v="Insu TB Thermal 13mm Al. Foil"/>
        <s v="Corners 32mm"/>
        <s v="Insu Supreme 10mm Acou."/>
        <s v="180gsm Slit 24G"/>
        <s v="180gsm Slit 22G"/>
        <s v="180gsm Slit 20G"/>
        <s v="180gsm 20G"/>
        <s v="Threaded Rod (8mm X 2mtr)"/>
        <s v="Magnetic Lifter (1000 Kgs Capacity)"/>
        <s v="Hydra 5.0 SL (Industrial Vaccum Cleaner)"/>
        <s v="Microtek UPS "/>
        <s v="Press Tool Lblock Die"/>
        <s v="Cleats"/>
        <s v="Corners"/>
        <s v="Insu Kflex Thermal 13mm Al. Foil"/>
        <s v="Insu Kflex Thermal 19mm Al. Foil"/>
        <s v="Insu Kflex Acou. 15mm"/>
        <s v="Insu Supreme Thermal 19mm Al. Foil"/>
        <s v="Insu Supreme Thermal 13mm Glass Cloth"/>
        <s v="Insu Supreme Thermal 19mm Glass Cloth"/>
        <s v="Alu. 1.0mm"/>
        <s v="Corners (20G - 32mm)"/>
        <s v="Wood Hammer Stick"/>
        <s v="Insu TB Thermal 9mm Al. Foil"/>
        <s v="Power Press Machine (5 Ton Capacity)"/>
        <s v="Grooving Machine"/>
        <s v="Oval Pinching Machine"/>
        <s v="Hose Pipe (PVC-5Mtr)"/>
        <s v="MS Channel (Size-250*150mm)"/>
        <s v="(150mm Dia x 50mm Thick)"/>
        <s v="(100mm Dia x 50mm Thick)"/>
        <s v="Insu Kflex Thermal 25mm Al. Foil"/>
        <s v="(125mm Dia x 50mm Thick)"/>
        <s v="(80mm Dia x 50mm Thick)"/>
        <s v="(40mm Dia x 50mm Thick)"/>
        <s v="(32mm Dia x 50mm Thick)"/>
        <s v="Insu Aerolama Thermal 25mm"/>
        <s v="Insu Aerolama Thermal 32mm"/>
        <s v="(200mm Dia x 50mm Thick)"/>
        <s v="(65mm Dia x 50mm Thick)"/>
        <s v="Corners (18G - 32mm)"/>
        <s v="Insu Kflex Thermal 9mm Al. Foil"/>
        <m/>
        <s v="GSS Scrap " u="1"/>
        <s v="Corners 25mm" u="1"/>
        <s v="Sealant Tube" u="1"/>
        <s v="Insu Kflex Thermal 6mm" u="1"/>
        <s v="Insu Aerocell Thermal 9mm" u="1"/>
        <s v="MS Scrap" u="1"/>
        <s v="Insu Armasound Acou. 10mm" u="1"/>
        <s v="Insu Aerocell Thermal 13mm" u="1"/>
        <s v="Insu Aerocell Acou. 10mm" u="1"/>
        <s v="Insu Armaflex Thermal 13mm" u="1"/>
        <s v="Insu Kflex 15mm Acou." u="1"/>
        <s v="Polythene wrapping " u="1"/>
        <s v="Wire Mesh" u="1"/>
        <s v="Insu Supreme Thermal 12mm Al. Foil" u="1"/>
        <s v="AC Duct King" u="1"/>
        <s v="Insu Kflex Thermal 25mm" u="1"/>
        <s v="Insu Supreme Acou. 10mm" u="1"/>
        <s v="Insu Kflex Thermal 19mm" u="1"/>
        <s v="Insu Kflex 10mm Acou." u="1"/>
        <s v="120gsm Slit 26G " u="1"/>
        <s v="Whisper Lock Machine" u="1"/>
        <s v="SM Pittsburgh Machine" u="1"/>
        <s v="Cornomatic Machine" u="1"/>
        <s v="Spiral Tube Machine" u="1"/>
        <s v="Elbow Seam Closer Machine" u="1"/>
        <s v="Spot Welding Machine" u="1"/>
        <s v="TDF Machine" u="1"/>
        <s v="Air Compressor" u="1"/>
        <s v="Hole Punching Machine" u="1"/>
        <s v="CO2 Welding Machine" u="1"/>
        <s v="ARC Welding Machine" u="1"/>
        <s v="Clinching Machine" u="1"/>
        <s v="GI Formed Sections" u="1"/>
        <s v="BSY 46-H-N-210" u="1"/>
        <s v="BSY 68-H-N-210" u="1"/>
        <s v="BCS XL 35-H-N-20" u="1"/>
        <s v="Cloth Waste" u="1"/>
        <s v="Simtech Machine" u="1"/>
        <s v="Round Seam Closer Machine" u="1"/>
        <s v="Pop Rivet" u="1"/>
        <s v="Cutting Wheel 4&quot;" u="1"/>
        <s v="Buffing Wheel 4&quot;" u="1"/>
        <s v="Marker" u="1"/>
        <s v="Grinding Wheel 4&quot;" u="1"/>
        <s v="Welding Spray" u="1"/>
        <s v="Drill Bit 8mm" u="1"/>
        <s v="Drill Bit 3.5mm" u="1"/>
        <s v="Nos Plier" u="1"/>
        <s v="Cutting Plier" u="1"/>
        <s v="Drill Bit 5mm" u="1"/>
        <s v="Grease (pkt) 1 kg Box" u="1"/>
        <s v="WD 40" u="1"/>
        <s v="Measurement Tape 5mtr" u="1"/>
        <s v="Measurement Tape 7.5mtr" u="1"/>
        <s v="Screw Driver Minus 400" u="1"/>
        <s v="Screw Driver Star 300" u="1"/>
        <s v="Screw Driver Minus 300" u="1"/>
        <s v="Hose Pipe 8mm" u="1"/>
        <s v="Hose Pipe 10mm" u="1"/>
        <s v="Cutting Machine 14&quot;" u="1"/>
        <s v="Allen Key Set (Inches)" u="1"/>
        <s v="Adjustable Spanner 300mm" u="1"/>
        <s v="Wire Cutter" u="1"/>
        <s v="Tester" u="1"/>
        <s v="Hammer (340g)" u="1"/>
        <s v="Hammer (500g)" u="1"/>
        <s v="Marker (Pen)" u="1"/>
        <s v="D/E Spanner 12/13" u="1"/>
        <s v="D/E Spanner 14/15" u="1"/>
        <s v="D/E Spanner 16/17" u="1"/>
        <s v="D/E Spanner Set" u="1"/>
        <s v="Ring Spanner Set" u="1"/>
        <s v="Washer 8mm" u="1"/>
        <s v="Nuts 8mm" u="1"/>
        <s v="Welding Shield" u="1"/>
        <s v="Pip Wrench 18&quot;" u="1"/>
        <s v="Box Spanner Set" u="1"/>
        <s v="Hacksaw Blade" u="1"/>
        <s v="Welding Glass Black" u="1"/>
        <s v="Vernier (Digital 300mm)" u="1"/>
        <s v="Pad Lock " u="1"/>
        <s v="Gasket " u="1"/>
        <s v="Long Nut M8" u="1"/>
        <s v="Pop Rivet 4.8x12mm" u="1"/>
        <s v="Teflon Tape 1/2" u="1"/>
        <s v="Co2 Welding Coil 0.8 (15 kg)" u="1"/>
        <s v="Hammer (Stick)" u="1"/>
        <s v="Venus V 44 Mask" u="1"/>
        <s v="Taparia T Socket Wrench" u="1"/>
        <s v="Makita Grinding Machine M9509B" u="1"/>
        <s v="Makita Drilling Machine" u="1"/>
        <s v="Oil Can 500ml Taparia" u="1"/>
        <s v="Regulator Heater" u="1"/>
        <s v="Tin Cutter " u="1"/>
        <s v="Soldering Gun" u="1"/>
        <s v="Thinner SheeInnloc" u="1"/>
        <s v="Crane Belt 6ton x 5mtr" u="1"/>
        <s v="Crane Belt 3ton x 3 Mtr" u="1"/>
        <s v="Insulation Tape Black" u="1"/>
        <s v="Rivit Gun (Suamle SB6615)" u="1"/>
        <s v="Totem Tap Set " u="1"/>
        <s v="Safety Goggles (White Karam)" u="1"/>
        <s v="Safety Goggles (Black  Karam)" u="1"/>
        <s v="Clamp Meter (MECO 1008 TRMS)" u="1"/>
        <s v="Cable Tie (100-2,150-2,200-2,250-2,300-2)" u="1"/>
        <s v="Gear Oil HP" u="1"/>
        <s v="Copper Cable Flexible" u="1"/>
        <s v="PG Gland" u="1"/>
        <s v="Boot Leg" u="1"/>
        <s v="Clamp Meter " u="1"/>
        <s v="Crimping Tool upto 16 Sqmm" u="1"/>
        <s v="Boot Crimping Tool" u="1"/>
        <s v="Luminous Inverter" u="1"/>
        <s v="Luminous Battery" u="1"/>
        <s v="Amaron Battery" u="1"/>
        <s v="AV Servo Controlled Voltage Stabilizer" u="1"/>
        <s v="Lenova Neo30s G5 System" u="1"/>
        <s v="HP Laserjet Pro-M128FW" u="1"/>
        <s v="Locker Cabinet (24 Locker In each Cabinet0" u="1"/>
        <s v="80 Gram Blue Cotton Knotted Gloves" u="1"/>
        <s v="3m Ear Plugs" u="1"/>
        <s v="MS Cap Dummy" u="1"/>
        <s v="Rubber Support" u="1"/>
        <s v="Hydraulic Hand Pulled Truck" u="1"/>
        <s v="Trolley 3mtr" u="1"/>
        <s v="Trolley 1.7mtr" u="1"/>
        <s v="Megger Meter" u="1"/>
        <s v="Manual Seam Closer " u="1"/>
        <s v="Spiral Moulds" u="1"/>
        <s v="TDC Corner (20G)" u="1"/>
        <s v="24G TDF Plain Duct (L Profile)" u="1"/>
        <s v="22G TDF Plain Duct (L Profile)" u="1"/>
        <s v="18G TDF Plain Duct (L Profile)" u="1"/>
        <s v="24G Plain Sheet" u="1"/>
        <s v="Threaded Rod (16mmx2Mtr)" u="1"/>
        <s v="Threaded Rod (M8x450)" u="1"/>
        <s v="Threaded Rod (M8x495)" u="1"/>
        <s v="Threaded Rod (M8x500)" u="1"/>
        <s v="Threaded Rod (M8x400)" u="1"/>
        <s v="Threaded Rod (M8x395)" u="1"/>
        <s v="Threaded Rod (M8x445)" u="1"/>
        <s v="Threaded Rod (M8x345)" u="1"/>
        <s v="Threaded Rod (M8x295)" u="1"/>
        <s v="Threaded Rod (M8x245)" u="1"/>
        <s v="Threaded Rod (M8x195)" u="1"/>
        <s v="Threaded Rod (M8x145)" u="1"/>
        <s v="Slotted Truss HD Screw (8x25)" u="1"/>
        <s v="Slotted Truss HD Screw (8x32)" u="1"/>
        <s v="24G Spiral Round Duct" u="1"/>
        <s v="24G TDF Plain Duct  " u="1"/>
        <s v="18G TDF Plain Duct  " u="1"/>
        <s v="Ador Welding Rod" u="1"/>
        <s v="CO2 Regulater" u="1"/>
        <s v="Screw" u="1"/>
        <s v="Screw (Self Tapping)" u="1"/>
        <s v="Seissor" u="1"/>
        <s v="Star Screw Bitt (Bosch)" u="1"/>
        <s v="Self Tapping Bitt" u="1"/>
        <s v="22 Dia Copper Rod (4 Nos)" u="1"/>
        <s v="Insu Supreme Thermal 19mm" u="1"/>
        <s v="GI Binding Wire (0.8mm 25kg/Coil x 2)" u="1"/>
        <s v="Berger Enamel Point" u="1"/>
        <s v="Plastic Tarpaulin" u="1"/>
        <s v="Polyhose Pu Tube (PU 12)" u="1"/>
        <s v="Threaded Rod" u="1"/>
        <s v="GI Long Nut (M16)" u="1"/>
        <s v="GI Formed Sections " u="1"/>
        <s v="LDPE Stretch Role" u="1"/>
        <s v="Urja Duct Sealant Grey" u="1"/>
        <s v="Trolly Wheel (8&quot; with Brake)" u="1"/>
        <s v="Trolly Wheel (4&quot; with Brake)" u="1"/>
        <s v="Binding Wire Lever" u="1"/>
        <s v="Barrel Pump" u="1"/>
        <s v="T Spanner (Size - 6 to 11)" u="1"/>
        <s v="T Spanner (Size - 12 to 15)" u="1"/>
        <s v="Sealant Gun" u="1"/>
        <s v="Paint Roller (Size - 2&quot;)" u="1"/>
        <s v="Paint Roller (Size - 4&quot;)" u="1"/>
        <s v="leather Hand Gloves" u="1"/>
        <s v="Cloth Waste " u="1"/>
        <s v="Star Screw Bitt" u="1"/>
        <s v="Screw Driver" u="1"/>
        <s v="Pneumatic Paint Gun" u="1"/>
        <s v="20G TDF Plain Duct (L Profile)" u="1"/>
        <s v="TDC Corner " u="1"/>
        <s v="24G TDF Plain Duct (L-Shape)" u="1"/>
        <s v="22G TDF Plain Duct (L-Shape)" u="1"/>
        <s v="18G TDF Plain Duct (L-Shape)" u="1"/>
        <s v="Corner" u="1"/>
        <s v="Insu Armaflex Thermal 13mm Al. Foil" u="1"/>
        <s v="180gsm 24G" u="1"/>
        <s v="180gsm 22G" u="1"/>
        <s v="180gsm 18G" u="1"/>
        <s v="BSY 68-H-N-210 (Best System 68)" u="1"/>
        <s v="Intermediate Equal Elbow Connector(RL21-6Dia)" u="1"/>
        <s v="Intermediate Equal Elbow Connector(RL21-8Dia)" u="1"/>
        <s v="Intermediate Equal Elbow Connector(RL21-10Dia)" u="1"/>
        <s v="Intermediate Equal Elbow Connector(RL21-12Dia)" u="1"/>
        <s v="Intermediate Equal Elbow Connector(RL22-6Dia)" u="1"/>
        <s v="Intermediate Equal Elbow Connector(RL22-8Dia)" u="1"/>
        <s v="Intermediate Equal Elbow Connector(RL22-10Dia)" u="1"/>
        <s v="Intermediate Equal Elbow Connector(RL22-12Dia)" u="1"/>
        <s v="Intermediate Equal Elbow Connector(RL19-8&amp;6Dia)" u="1"/>
        <s v="Intermediate Equal Elbow Connector(RL19-10&amp;10Dia)" u="1"/>
        <s v="Intermediate Equal Elbow Connector(RL19-12&amp;10Dia)" u="1"/>
        <s v="ARC Welding Machine " u="1"/>
        <s v="Shearing Machine " u="1"/>
        <s v="AV Sevo Controlled Voltage Stabilizer" u="1"/>
        <s v="Press Machine " u="1"/>
        <s v="Grooving Machine " u="1"/>
        <s v="Bending Machine" u="1"/>
        <s v="0.6mm  GI Coil (180 GSM)" u="1"/>
        <s v="0.8mm  GI Coil (180 GSM)" u="1"/>
        <s v="1.00mm GSS Coil (180 GSM)" u="1"/>
        <s v="1.2mmX1220mm GI Coil (180 GSM)" u="1"/>
        <s v="0.6mm Slit Coil (137mm Width)" u="1"/>
        <s v="1.00mm GSS Coil (137mm Width)" u="1"/>
        <s v="0.8mm GI Coil (Slit 100mm)" u="1"/>
        <s v="25Kg Each" u="1"/>
        <s v="3 Meter Baffles" u="1"/>
        <s v="4 Meter Baffles" u="1"/>
        <s v="5 Meter Baffles" u="1"/>
        <s v="6 Meter Baffles" u="1"/>
        <s v="Bubble Wrapping" u="1"/>
        <s v="Insu Kflex Thermal 13mm GC Cloth" u="1"/>
        <s v="Insu Kflex Thermal 19mm GC Cloth" u="1"/>
        <s v="IC Glad Tape Black" u="1"/>
        <s v="Insu Supreme Thermal 9mm Al. Foil" u="1"/>
        <s v="Insu Kflex Thermal 9mm (IC-Clad Black)" u="1"/>
        <s v="Insu Aerocell Thermal 32mm (GC-CLOTH)" u="1"/>
        <s v="Insu Armaflex Thermal 16mm" u="1"/>
        <s v="Insu Supreme 15mm Acou." u="1"/>
        <s v="Rail Channel" u="1"/>
        <s v="Insu Kflex 25mm Acou." u="1"/>
        <s v="20mm Thickness" u="1"/>
        <s v="In Polymer" u="1"/>
        <s v="Sealant" u="1"/>
        <s v="Pvc Flange" u="1"/>
        <s v="VCD Handle 13mm" u="1"/>
        <s v="Insu Supreme Acou. 20mm" u="1"/>
        <s v="Insu Kflex Thermal 19mm (IC-Clad Black)" u="1"/>
        <s v="Insu Supreme Thermal 16mm" u="1"/>
        <s v="Scrap" u="1"/>
        <s v="10mm JTR" u="1"/>
        <s v="Insu Armaflex Thermal 25mm" u="1"/>
        <s v="Insu Aerocell Acou. 15mm" u="1"/>
        <s v="120gsm Slit 26G" u="1"/>
        <s v="35x35x5mm" u="1"/>
        <s v="Insu Armaflex Thermal 6mm" u="1"/>
        <s v="25x25x3mm" u="1"/>
        <s v="Insu TB Thermal 19mm Al. Foil" u="1"/>
        <s v="Insu Armaflex Thermal 19mm GC Cloth" u="1"/>
      </sharedItems>
    </cacheField>
    <cacheField name="UNITS" numFmtId="0">
      <sharedItems containsBlank="1"/>
    </cacheField>
    <cacheField name="Qty" numFmtId="0">
      <sharedItems containsString="0" containsBlank="1" containsNumber="1" minValue="0.2" maxValue="46100"/>
    </cacheField>
    <cacheField name="Price" numFmtId="0">
      <sharedItems containsString="0" containsBlank="1" containsNumber="1" minValue="3.5" maxValue="156100"/>
    </cacheField>
    <cacheField name="Total" numFmtId="0">
      <sharedItems containsString="0" containsBlank="1" containsNumber="1" minValue="150" maxValue="611023.5"/>
    </cacheField>
    <cacheField name="Months (Date)" numFmtId="0" databaseField="0">
      <fieldGroup base="2">
        <rangePr autoEnd="0" groupBy="months" startDate="2026-04-01T00:00:00" endDate="2025-04-01T00:00:00"/>
        <groupItems count="14">
          <s v="&lt;01-04-2026"/>
          <s v="Jan"/>
          <s v="Feb"/>
          <s v="Mar"/>
          <s v="Apr"/>
          <s v="May"/>
          <s v="Jun"/>
          <s v="Jul"/>
          <s v="Aug"/>
          <s v="Sep"/>
          <s v="Oct"/>
          <s v="Nov"/>
          <s v="Dec"/>
          <s v="&gt;01-04-2025"/>
        </groupItems>
      </fieldGroup>
    </cacheField>
  </cacheFields>
  <extLst>
    <ext xmlns:x14="http://schemas.microsoft.com/office/spreadsheetml/2009/9/main" uri="{725AE2AE-9491-48be-B2B4-4EB974FC3084}">
      <x14:pivotCacheDefinition pivotCacheId="181248465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refreshedDate="46235.559897916668" createdVersion="5" refreshedVersion="8" minRefreshableVersion="3" recordCount="996" xr:uid="{00000000-000A-0000-FFFF-FFFF06000000}">
  <cacheSource type="worksheet">
    <worksheetSource ref="A2:V998" sheet="Commercial"/>
  </cacheSource>
  <cacheFields count="23">
    <cacheField name="SI NO" numFmtId="0">
      <sharedItems containsMixedTypes="1" containsNumber="1" containsInteger="1" minValue="1" maxValue="207"/>
    </cacheField>
    <cacheField name="MONTH" numFmtId="0">
      <sharedItems containsBlank="1" count="17">
        <s v="April"/>
        <s v="May"/>
        <s v="June"/>
        <s v="July"/>
        <s v=""/>
        <s v="August" u="1"/>
        <s v="September" u="1"/>
        <s v="October" u="1"/>
        <s v="November" u="1"/>
        <s v="December" u="1"/>
        <s v="January" u="1"/>
        <s v="February" u="1"/>
        <s v="March" u="1"/>
        <m u="1"/>
        <s v=" " u="1"/>
        <s v="27-09-203" u="1"/>
        <s v="." u="1"/>
      </sharedItems>
    </cacheField>
    <cacheField name="DATE" numFmtId="165">
      <sharedItems containsNonDate="0" containsDate="1" containsString="0" containsBlank="1" minDate="2026-04-01T00:00:00" maxDate="2206-05-15T00:00:00"/>
    </cacheField>
    <cacheField name="CUST.PO NO." numFmtId="0">
      <sharedItems containsBlank="1" containsMixedTypes="1" containsNumber="1" containsInteger="1" minValue="1" maxValue="382"/>
    </cacheField>
    <cacheField name="PO DATE" numFmtId="14">
      <sharedItems containsNonDate="0" containsDate="1" containsString="0" containsBlank="1" minDate="2024-12-04T00:00:00" maxDate="2026-07-28T00:00:00"/>
    </cacheField>
    <cacheField name="CUSTOMER NAME" numFmtId="0">
      <sharedItems containsBlank="1" count="87">
        <s v="Knnd Associates Pvt Ltd"/>
        <s v="Lakshmi Fabrication "/>
        <s v="Camduct India Pvt Ltd-Haryana"/>
        <s v="Rao &amp; Co HVAC Sales &amp; Services Pvt Ltd"/>
        <s v="Aircon Ref Pvt Ltd"/>
        <s v="Taj Steels"/>
        <s v="Techno Fabricators"/>
        <s v="Kool Koncepts"/>
        <s v="Eqube Energy &amp; Research Services LLP"/>
        <s v="R Mech Breeze"/>
        <m/>
        <s v="Syncro Industries" u="1"/>
        <s v="Camair Distribution Products Pvt Ltd" u="1"/>
        <s v="Climaire Services" u="1"/>
        <s v="APC Air Control" u="1"/>
        <s v="J.R &amp; Company" u="1"/>
        <s v="Team Global Aircon Pvt Ltd" u="1"/>
        <s v="Nikhila Engineering" u="1"/>
        <s v="Cool India" u="1"/>
        <s v="A &amp; C Cooling Solutions" u="1"/>
        <s v="Lakshmi Fabrication" u="1"/>
        <s v="The Supreme Industries Limited" u="1"/>
        <s v="Climatics" u="1"/>
        <s v="Seamless Automation Pvt Ltd" u="1"/>
        <s v="Cancelled" u="1"/>
        <s v="Thanvi Air Cool System" u="1"/>
        <s v="Aeronix HVAC Solution" u="1"/>
        <s v="Swastiks Engineers" u="1"/>
        <s v="DSMJ Steels " u="1"/>
        <s v="Air Control" u="1"/>
        <s v="Dynacraft Air Controls" u="1"/>
        <s v="Teamglobal Aircon Pvt Ltd" u="1"/>
        <s v="Eqube Energy and Research Services LLP" u="1"/>
        <s v="LD Square Technologies India Pvt Ltd" u="1"/>
        <s v="Air System Engineers" u="1"/>
        <s v="Technogreen Airconditioning Pvt Ltd" u="1"/>
        <s v="A P Electricals and Engineers" u="1"/>
        <s v="Micronclean India Pvt Ltd" u="1"/>
        <s v="Deepu Enterprises" u="1"/>
        <s v="Cresco Industrial Products Pvt Ltd" u="1"/>
        <s v="Mandot Steel " u="1"/>
        <s v="Sweet Home Constructions " u="1"/>
        <s v="Rao and Co Hvac Sales and Service Pvt Ltd" u="1"/>
        <s v="Welkin Airtech" u="1"/>
        <s v="CoolRiders" u="1"/>
        <s v="Triumph Aircon" u="1"/>
        <s v="Mandot Steel" u="1"/>
        <s v="Dharani Service" u="1"/>
        <s v="UCS Projects &amp; Services" u="1"/>
        <s v="Stulz - CHSPL (INDIA) PVT LTD" u="1"/>
        <s v="VS Coolerrs" u="1"/>
        <s v="Globose Systems &amp; Solutions Pvt Ltd" u="1"/>
        <s v="United HVAC Pvt. Ltd" u="1"/>
        <s v="Metro Airconditioner &amp; Interiors" u="1"/>
        <s v="KOD Architects" u="1"/>
        <s v="RSK Engineering Solutions" u="1"/>
        <s v="Carrier Airconditioning &amp; Ref. Ltd" u="1"/>
        <s v="BDR HVAC System India LLP" u="1"/>
        <s v="Ultimate Aircon" u="1"/>
        <s v="KH Aircon Solutions Pvt. Ltd.," u="1"/>
        <s v="Kothari Sales &amp; Agencies" u="1"/>
        <s v="Olympus Refrigeration Inc.," u="1"/>
        <s v="Crescent Technobuild Pvt. Ltd" u="1"/>
        <s v="Hindustan Petroleum Corporation Limited" u="1"/>
        <s v="United HVAC PRIVATE LIMITED" u="1"/>
        <s v="ILAB MEP SOLUTIONS PVT LTD" u="1"/>
        <s v="JBM Fabs" u="1"/>
        <s v="JTM Cooling Solution" u="1"/>
        <s v="Carrier Airconditioning &amp; Refrigeration Ltd" u="1"/>
        <s v="Taj Steel" u="1"/>
        <s v="Prime Tech" u="1"/>
        <s v="Microclean India Pvt Ltd" u="1"/>
        <s v="Magnacool Engineers" u="1"/>
        <s v="Micron Electricals" u="1"/>
        <s v="Densol Engineering Pvt Ltd" u="1"/>
        <s v="Hybrid Industrial Products" u="1"/>
        <s v="Thanu Enterprises" u="1"/>
        <s v="Ca Engineers Pvt Ltd" u="1"/>
        <s v="Ambica Constructions and Contractors" u="1"/>
        <s v="Sai HVAC Systems" u="1"/>
        <s v="Psychrometric Solutions &amp; Systems Pvt Ltd" u="1"/>
        <s v="KM Airtech Solutions" u="1"/>
        <s v="Access Refrigeration" u="1"/>
        <s v="D K Engineers" u="1"/>
        <s v="NAUSHAD PASHA" u="1"/>
        <s v="Comfort Aircon Solution" u="1"/>
        <s v="Aircon Refrigerations Pvt Ltd" u="1"/>
      </sharedItems>
    </cacheField>
    <cacheField name="Zone" numFmtId="0">
      <sharedItems containsBlank="1"/>
    </cacheField>
    <cacheField name="Group" numFmtId="0">
      <sharedItems containsBlank="1" count="11">
        <s v="knnd"/>
        <s v="Others "/>
        <s v="Stock Transfer"/>
        <s v="Scrap"/>
        <s v="Pressure Testing"/>
        <m/>
        <s v="Camair" u="1"/>
        <s v="Stcok Transfer" u="1"/>
        <s v="Others" u="1"/>
        <s v="othres" u="1"/>
        <s v="Scarp" u="1"/>
      </sharedItems>
    </cacheField>
    <cacheField name="PROJECT NAME" numFmtId="0">
      <sharedItems containsBlank="1"/>
    </cacheField>
    <cacheField name="OTF" numFmtId="0">
      <sharedItems containsString="0" containsBlank="1" containsNumber="1" containsInteger="1" minValue="61434" maxValue="62037"/>
    </cacheField>
    <cacheField name="INVOICE " numFmtId="0">
      <sharedItems containsString="0" containsBlank="1" containsNumber="1" containsInteger="1" minValue="45322" maxValue="45528"/>
    </cacheField>
    <cacheField name="BASIC" numFmtId="0">
      <sharedItems containsString="0" containsBlank="1" containsNumber="1" minValue="954" maxValue="1120814.5"/>
    </cacheField>
    <cacheField name="CGST 9%" numFmtId="166">
      <sharedItems containsString="0" containsBlank="1" containsNumber="1" minValue="85.86" maxValue="86597.406000000003"/>
    </cacheField>
    <cacheField name="SGST 9%" numFmtId="166">
      <sharedItems containsString="0" containsBlank="1" containsNumber="1" minValue="85.86" maxValue="86597.406000000003"/>
    </cacheField>
    <cacheField name="IGST 18%" numFmtId="0">
      <sharedItems containsBlank="1" containsMixedTypes="1" containsNumber="1" minValue="875.06999999999994" maxValue="201746.61"/>
    </cacheField>
    <cacheField name="Total" numFmtId="0">
      <sharedItems containsString="0" containsBlank="1" containsNumber="1" minValue="1125.7199999999998" maxValue="1322561.1099999999"/>
    </cacheField>
    <cacheField name="Round Off" numFmtId="43">
      <sharedItems containsString="0" containsBlank="1" containsNumber="1" minValue="-0.48" maxValue="0.95"/>
    </cacheField>
    <cacheField name="Grand Total" numFmtId="43">
      <sharedItems containsString="0" containsBlank="1" containsNumber="1" minValue="1125.9999999999998" maxValue="1322560.9999999998"/>
    </cacheField>
    <cacheField name="Trans. Billed" numFmtId="0">
      <sharedItems containsString="0" containsBlank="1" containsNumber="1" containsInteger="1" minValue="1000" maxValue="20000"/>
    </cacheField>
    <cacheField name="Trans. Exp" numFmtId="0">
      <sharedItems containsString="0" containsBlank="1" containsNumber="1" containsInteger="1" minValue="0" maxValue="6150"/>
    </cacheField>
    <cacheField name="Trans. Margin" numFmtId="0">
      <sharedItems containsBlank="1" containsMixedTypes="1" containsNumber="1" containsInteger="1" minValue="0" maxValue="20000"/>
    </cacheField>
    <cacheField name="%" numFmtId="9">
      <sharedItems containsBlank="1" containsMixedTypes="1" containsNumber="1" minValue="0" maxValue="0.83486238532110091"/>
    </cacheField>
    <cacheField name="Field1" numFmtId="0" formula="SUM('CGST 9%'+'SGST 9%'+'IGST 18%')"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1">
  <r>
    <s v="April"/>
    <d v="2024-04-01T00:00:00"/>
    <n v="61117"/>
    <n v="43451"/>
    <s v="Taj Steels"/>
    <s v="Taj Steels"/>
    <s v="GSS Scrap"/>
    <x v="0"/>
    <s v="Kg"/>
    <n v="2600"/>
    <n v="19.239999999999998"/>
    <n v="50023.999999999993"/>
  </r>
  <r>
    <s v="April"/>
    <d v="2024-04-01T00:00:00"/>
    <n v="61114"/>
    <n v="43452"/>
    <s v="Knnd Associates Pvt Ltd"/>
    <s v="Google Rio Bengaluru"/>
    <s v="Box Duct with TDF"/>
    <x v="1"/>
    <s v="Sqmt"/>
    <n v="269.60000000000002"/>
    <n v="890"/>
    <n v="239944.00000000003"/>
  </r>
  <r>
    <s v="April"/>
    <d v="2024-04-01T00:00:00"/>
    <n v="61114"/>
    <n v="43452"/>
    <s v="Knnd Associates Pvt Ltd"/>
    <s v="Google Rio Bengaluru"/>
    <s v="Box Duct with TDF"/>
    <x v="2"/>
    <s v="Sqmt"/>
    <n v="73.5"/>
    <n v="1020"/>
    <n v="74970"/>
  </r>
  <r>
    <s v="April"/>
    <d v="2024-04-01T00:00:00"/>
    <n v="61114"/>
    <n v="43452"/>
    <s v="Knnd Associates Pvt Ltd"/>
    <s v="Google Rio Bengaluru"/>
    <s v="Insulation"/>
    <x v="3"/>
    <s v="Sqmt"/>
    <n v="343.1"/>
    <n v="395"/>
    <n v="135524.5"/>
  </r>
  <r>
    <s v="April"/>
    <d v="2024-04-01T00:00:00"/>
    <n v="61114"/>
    <n v="43452"/>
    <s v="Knnd Associates Pvt Ltd"/>
    <s v="Google Rio Bengaluru"/>
    <s v="Stretch Film"/>
    <x v="4"/>
    <s v="Sqmt"/>
    <n v="350"/>
    <n v="15"/>
    <n v="5250"/>
  </r>
  <r>
    <s v="April"/>
    <d v="2024-04-01T00:00:00"/>
    <n v="61114"/>
    <n v="43453"/>
    <s v="Knnd Associates Pvt Ltd"/>
    <s v="Google Rio Bengaluru"/>
    <s v="Box Duct with TDF"/>
    <x v="2"/>
    <s v="Sqmt"/>
    <n v="114.4"/>
    <n v="1020"/>
    <n v="116688"/>
  </r>
  <r>
    <s v="April"/>
    <d v="2024-04-01T00:00:00"/>
    <n v="61114"/>
    <n v="43453"/>
    <s v="Knnd Associates Pvt Ltd"/>
    <s v="Google Rio Bengaluru"/>
    <s v="Insulation"/>
    <x v="3"/>
    <s v="Sqmt"/>
    <n v="114.4"/>
    <n v="395"/>
    <n v="45188"/>
  </r>
  <r>
    <s v="April"/>
    <d v="2024-04-01T00:00:00"/>
    <n v="61114"/>
    <n v="43453"/>
    <s v="Knnd Associates Pvt Ltd"/>
    <s v="Google Rio Bengaluru"/>
    <s v="Stretch Film"/>
    <x v="4"/>
    <s v="Sqmt"/>
    <n v="115"/>
    <n v="15"/>
    <n v="1725"/>
  </r>
  <r>
    <s v="April"/>
    <d v="2024-04-01T00:00:00"/>
    <n v="61113"/>
    <n v="43454"/>
    <s v="Knnd Associates Pvt Ltd"/>
    <s v="Google Rio Bengaluru"/>
    <s v="Spiral Oval Duct"/>
    <x v="5"/>
    <s v="Sqmt"/>
    <n v="124"/>
    <n v="660"/>
    <n v="81840"/>
  </r>
  <r>
    <s v="April"/>
    <d v="2024-04-01T00:00:00"/>
    <n v="61113"/>
    <n v="43454"/>
    <s v="Knnd Associates Pvt Ltd"/>
    <s v="Google Rio Bengaluru"/>
    <s v="Spiral Oval Duct"/>
    <x v="6"/>
    <s v="Sqmt"/>
    <n v="7.7"/>
    <n v="785"/>
    <n v="6044.5"/>
  </r>
  <r>
    <s v="April"/>
    <d v="2024-04-01T00:00:00"/>
    <n v="61113"/>
    <n v="43454"/>
    <s v="Knnd Associates Pvt Ltd"/>
    <s v="Google Rio Bengaluru"/>
    <s v="Spiral Oval Duct"/>
    <x v="7"/>
    <s v="Sqmt"/>
    <n v="16.100000000000001"/>
    <n v="950"/>
    <n v="15295.000000000002"/>
  </r>
  <r>
    <s v="April"/>
    <d v="2024-04-01T00:00:00"/>
    <n v="61113"/>
    <n v="43454"/>
    <s v="Knnd Associates Pvt Ltd"/>
    <s v="Google Rio Bengaluru"/>
    <s v="Insulation"/>
    <x v="8"/>
    <s v="Sqmt"/>
    <n v="115.6"/>
    <n v="266"/>
    <n v="30749.599999999999"/>
  </r>
  <r>
    <s v="April"/>
    <d v="2024-04-01T00:00:00"/>
    <n v="61113"/>
    <n v="43454"/>
    <s v="Knnd Associates Pvt Ltd"/>
    <s v="Google Rio Bengaluru"/>
    <s v="Insulation"/>
    <x v="9"/>
    <s v="Sqmt"/>
    <n v="32.200000000000003"/>
    <n v="791"/>
    <n v="25470.2"/>
  </r>
  <r>
    <s v="April"/>
    <d v="2024-04-01T00:00:00"/>
    <n v="61113"/>
    <n v="43454"/>
    <s v="Knnd Associates Pvt Ltd"/>
    <s v="Google Rio Bengaluru"/>
    <s v="10mm JTR"/>
    <x v="10"/>
    <s v="Rmt"/>
    <n v="10.3"/>
    <n v="90"/>
    <n v="927.00000000000011"/>
  </r>
  <r>
    <s v="April"/>
    <d v="2024-04-01T00:00:00"/>
    <n v="61113"/>
    <n v="43454"/>
    <s v="Knnd Associates Pvt Ltd"/>
    <s v="Google Rio Bengaluru"/>
    <s v="Stretch Film"/>
    <x v="4"/>
    <s v="Sqmt"/>
    <n v="150"/>
    <n v="15"/>
    <n v="2250"/>
  </r>
  <r>
    <s v="April"/>
    <d v="2024-04-02T00:00:00"/>
    <n v="61113"/>
    <n v="43455"/>
    <s v="Knnd Associates Pvt Ltd"/>
    <s v="Google Rio Bengaluru"/>
    <s v="Spiral Oval Duct"/>
    <x v="5"/>
    <s v="Sqmt"/>
    <n v="289.7"/>
    <n v="660"/>
    <n v="191202"/>
  </r>
  <r>
    <s v="April"/>
    <d v="2024-04-02T00:00:00"/>
    <n v="61113"/>
    <n v="43455"/>
    <s v="Knnd Associates Pvt Ltd"/>
    <s v="Google Rio Bengaluru"/>
    <s v="Spiral Oval Duct"/>
    <x v="6"/>
    <s v="Sqmt"/>
    <n v="198.4"/>
    <n v="785"/>
    <n v="155744"/>
  </r>
  <r>
    <s v="April"/>
    <d v="2024-04-02T00:00:00"/>
    <n v="61113"/>
    <n v="43455"/>
    <s v="Knnd Associates Pvt Ltd"/>
    <s v="Google Rio Bengaluru"/>
    <s v="Spiral Oval Duct"/>
    <x v="7"/>
    <s v="Sqmt"/>
    <n v="59.5"/>
    <n v="950"/>
    <n v="56525"/>
  </r>
  <r>
    <s v="April"/>
    <d v="2024-04-02T00:00:00"/>
    <n v="61113"/>
    <n v="43455"/>
    <s v="Knnd Associates Pvt Ltd"/>
    <s v="Google Rio Bengaluru"/>
    <s v="Spiral Oval Coupling"/>
    <x v="7"/>
    <s v="Sqmt"/>
    <n v="18.7"/>
    <n v="895"/>
    <n v="16736.5"/>
  </r>
  <r>
    <s v="April"/>
    <d v="2024-04-02T00:00:00"/>
    <n v="61113"/>
    <n v="43455"/>
    <s v="Knnd Associates Pvt Ltd"/>
    <s v="Google Rio Bengaluru"/>
    <s v="Spiral VCD"/>
    <x v="7"/>
    <s v="Sqmt"/>
    <n v="6.6"/>
    <n v="3100"/>
    <n v="20460"/>
  </r>
  <r>
    <s v="April"/>
    <d v="2024-04-02T00:00:00"/>
    <n v="61113"/>
    <n v="43455"/>
    <s v="Knnd Associates Pvt Ltd"/>
    <s v="Google Rio Bengaluru"/>
    <s v="Insulation"/>
    <x v="8"/>
    <s v="Sqmt"/>
    <n v="468.5"/>
    <n v="266"/>
    <n v="124621"/>
  </r>
  <r>
    <s v="April"/>
    <d v="2024-04-02T00:00:00"/>
    <n v="61113"/>
    <n v="43455"/>
    <s v="Knnd Associates Pvt Ltd"/>
    <s v="Google Rio Bengaluru"/>
    <s v="Insulation"/>
    <x v="9"/>
    <s v="Sqmt"/>
    <n v="97.8"/>
    <n v="791"/>
    <n v="77359.8"/>
  </r>
  <r>
    <s v="April"/>
    <d v="2024-04-02T00:00:00"/>
    <n v="61113"/>
    <n v="43455"/>
    <s v="Knnd Associates Pvt Ltd"/>
    <s v="Google Rio Bengaluru"/>
    <s v="10mm JTR"/>
    <x v="10"/>
    <s v="Rmt"/>
    <n v="32.299999999999997"/>
    <n v="90"/>
    <n v="2906.9999999999995"/>
  </r>
  <r>
    <s v="April"/>
    <d v="2024-04-02T00:00:00"/>
    <n v="61113"/>
    <n v="43455"/>
    <s v="Knnd Associates Pvt Ltd"/>
    <s v="Google Rio Bengaluru"/>
    <s v="Stretch Film"/>
    <x v="4"/>
    <s v="Sqmt"/>
    <n v="575"/>
    <n v="15"/>
    <n v="8625"/>
  </r>
  <r>
    <s v="April"/>
    <d v="2024-04-02T00:00:00"/>
    <n v="61113"/>
    <n v="43456"/>
    <s v="Knnd Associates Pvt Ltd"/>
    <s v="Google Rio Bengaluru"/>
    <s v="Spiral Oval Duct"/>
    <x v="5"/>
    <s v="Sqmt"/>
    <n v="141.19999999999999"/>
    <n v="660"/>
    <n v="93191.999999999985"/>
  </r>
  <r>
    <s v="April"/>
    <d v="2024-04-02T00:00:00"/>
    <n v="61113"/>
    <n v="43456"/>
    <s v="Knnd Associates Pvt Ltd"/>
    <s v="Google Rio Bengaluru"/>
    <s v="Spiral Oval Duct"/>
    <x v="6"/>
    <s v="Sqmt"/>
    <n v="188.4"/>
    <n v="785"/>
    <n v="147894"/>
  </r>
  <r>
    <s v="April"/>
    <d v="2024-04-02T00:00:00"/>
    <n v="61113"/>
    <n v="43456"/>
    <s v="Knnd Associates Pvt Ltd"/>
    <s v="Google Rio Bengaluru"/>
    <s v="Spiral Oval Duct"/>
    <x v="7"/>
    <s v="Sqmt"/>
    <n v="112.8"/>
    <n v="950"/>
    <n v="107160"/>
  </r>
  <r>
    <s v="April"/>
    <d v="2024-04-02T00:00:00"/>
    <n v="61113"/>
    <n v="43456"/>
    <s v="Knnd Associates Pvt Ltd"/>
    <s v="Google Rio Bengaluru"/>
    <s v="Spiral Oval Coupling"/>
    <x v="7"/>
    <s v="Sqmt"/>
    <n v="22.9"/>
    <n v="895"/>
    <n v="20495.5"/>
  </r>
  <r>
    <s v="April"/>
    <d v="2024-04-02T00:00:00"/>
    <n v="61113"/>
    <n v="43456"/>
    <s v="Knnd Associates Pvt Ltd"/>
    <s v="Google Rio Bengaluru"/>
    <s v="Insulation"/>
    <x v="8"/>
    <s v="Sqmt"/>
    <n v="424.5"/>
    <n v="266"/>
    <n v="112917"/>
  </r>
  <r>
    <s v="April"/>
    <d v="2024-04-02T00:00:00"/>
    <n v="61113"/>
    <n v="43456"/>
    <s v="Knnd Associates Pvt Ltd"/>
    <s v="Google Rio Bengaluru"/>
    <s v="Insulation"/>
    <x v="9"/>
    <s v="Sqmt"/>
    <n v="40.799999999999997"/>
    <n v="791"/>
    <n v="32272.799999999999"/>
  </r>
  <r>
    <s v="April"/>
    <d v="2024-04-02T00:00:00"/>
    <n v="61113"/>
    <n v="43456"/>
    <s v="Knnd Associates Pvt Ltd"/>
    <s v="Google Rio Bengaluru"/>
    <s v="10mm JTR"/>
    <x v="10"/>
    <s v="Rmt"/>
    <n v="29.2"/>
    <n v="90"/>
    <n v="2628"/>
  </r>
  <r>
    <s v="April"/>
    <d v="2024-04-02T00:00:00"/>
    <n v="61113"/>
    <n v="43456"/>
    <s v="Knnd Associates Pvt Ltd"/>
    <s v="Google Rio Bengaluru"/>
    <s v="Stretch Film"/>
    <x v="4"/>
    <s v="Sqmt"/>
    <n v="465.3"/>
    <n v="15"/>
    <n v="6979.5"/>
  </r>
  <r>
    <s v="April"/>
    <d v="2024-04-03T00:00:00"/>
    <n v="61113"/>
    <n v="43457"/>
    <s v="Knnd Associates Pvt Ltd"/>
    <s v="Google Rio Bengaluru"/>
    <s v="Spiral Oval Duct"/>
    <x v="5"/>
    <s v="Sqmt"/>
    <n v="207.2"/>
    <n v="660"/>
    <n v="136752"/>
  </r>
  <r>
    <s v="April"/>
    <d v="2024-04-03T00:00:00"/>
    <n v="61113"/>
    <n v="43457"/>
    <s v="Knnd Associates Pvt Ltd"/>
    <s v="Google Rio Bengaluru"/>
    <s v="Spiral Oval Duct"/>
    <x v="6"/>
    <s v="Sqmt"/>
    <n v="147.5"/>
    <n v="785"/>
    <n v="115787.5"/>
  </r>
  <r>
    <s v="April"/>
    <d v="2024-04-03T00:00:00"/>
    <n v="61113"/>
    <n v="43457"/>
    <s v="Knnd Associates Pvt Ltd"/>
    <s v="Google Rio Bengaluru"/>
    <s v="Spiral Oval Duct"/>
    <x v="7"/>
    <s v="Sqmt"/>
    <n v="118.1"/>
    <n v="950"/>
    <n v="112195"/>
  </r>
  <r>
    <s v="April"/>
    <d v="2024-04-03T00:00:00"/>
    <n v="61113"/>
    <n v="43457"/>
    <s v="Knnd Associates Pvt Ltd"/>
    <s v="Google Rio Bengaluru"/>
    <s v="Spiral VCD"/>
    <x v="7"/>
    <s v="Sqmt"/>
    <n v="6.9"/>
    <n v="3100"/>
    <n v="21390"/>
  </r>
  <r>
    <s v="April"/>
    <d v="2024-04-03T00:00:00"/>
    <n v="61113"/>
    <n v="43457"/>
    <s v="Knnd Associates Pvt Ltd"/>
    <s v="Google Rio Bengaluru"/>
    <s v="Insulation"/>
    <x v="8"/>
    <s v="Sqmt"/>
    <n v="389.6"/>
    <n v="266"/>
    <n v="103633.60000000001"/>
  </r>
  <r>
    <s v="April"/>
    <d v="2024-04-03T00:00:00"/>
    <n v="61113"/>
    <n v="43457"/>
    <s v="Knnd Associates Pvt Ltd"/>
    <s v="Google Rio Bengaluru"/>
    <s v="Insulation"/>
    <x v="9"/>
    <s v="Sqmt"/>
    <n v="83.2"/>
    <n v="791"/>
    <n v="65811.199999999997"/>
  </r>
  <r>
    <s v="April"/>
    <d v="2024-04-03T00:00:00"/>
    <n v="61113"/>
    <n v="43457"/>
    <s v="Knnd Associates Pvt Ltd"/>
    <s v="Google Rio Bengaluru"/>
    <s v="10mm JTR"/>
    <x v="10"/>
    <s v="Rmt"/>
    <n v="17.600000000000001"/>
    <n v="90"/>
    <n v="1584.0000000000002"/>
  </r>
  <r>
    <s v="April"/>
    <d v="2024-04-03T00:00:00"/>
    <n v="61113"/>
    <n v="43457"/>
    <s v="Knnd Associates Pvt Ltd"/>
    <s v="Google Rio Bengaluru"/>
    <s v="Stretch Film"/>
    <x v="4"/>
    <s v="Sqmt"/>
    <n v="480"/>
    <n v="15"/>
    <n v="7200"/>
  </r>
  <r>
    <s v="April"/>
    <d v="2024-04-03T00:00:00"/>
    <n v="61113"/>
    <n v="43458"/>
    <s v="Knnd Associates Pvt Ltd"/>
    <s v="Google Rio Bengaluru"/>
    <s v="Spiral Oval Duct"/>
    <x v="5"/>
    <s v="Sqmt"/>
    <n v="154.9"/>
    <n v="660"/>
    <n v="102234"/>
  </r>
  <r>
    <s v="April"/>
    <d v="2024-04-03T00:00:00"/>
    <n v="61113"/>
    <n v="43458"/>
    <s v="Knnd Associates Pvt Ltd"/>
    <s v="Google Rio Bengaluru"/>
    <s v="Spiral Oval Duct"/>
    <x v="6"/>
    <s v="Sqmt"/>
    <n v="229"/>
    <n v="785"/>
    <n v="179765"/>
  </r>
  <r>
    <s v="April"/>
    <d v="2024-04-03T00:00:00"/>
    <n v="61113"/>
    <n v="43458"/>
    <s v="Knnd Associates Pvt Ltd"/>
    <s v="Google Rio Bengaluru"/>
    <s v="Spiral Oval Duct"/>
    <x v="7"/>
    <s v="Sqmt"/>
    <n v="92.2"/>
    <n v="950"/>
    <n v="87590"/>
  </r>
  <r>
    <s v="April"/>
    <d v="2024-04-03T00:00:00"/>
    <n v="61113"/>
    <n v="43458"/>
    <s v="Knnd Associates Pvt Ltd"/>
    <s v="Google Rio Bengaluru"/>
    <s v="Spiral Oval Coupling"/>
    <x v="7"/>
    <s v="Sqmt"/>
    <n v="18.3"/>
    <n v="895"/>
    <n v="16378.5"/>
  </r>
  <r>
    <s v="April"/>
    <d v="2024-04-03T00:00:00"/>
    <n v="61113"/>
    <n v="43458"/>
    <s v="Knnd Associates Pvt Ltd"/>
    <s v="Google Rio Bengaluru"/>
    <s v="Insulation"/>
    <x v="8"/>
    <s v="Sqmt"/>
    <n v="420.1"/>
    <n v="266"/>
    <n v="111746.6"/>
  </r>
  <r>
    <s v="April"/>
    <d v="2024-04-03T00:00:00"/>
    <n v="61113"/>
    <n v="43458"/>
    <s v="Knnd Associates Pvt Ltd"/>
    <s v="Google Rio Bengaluru"/>
    <s v="Insulation"/>
    <x v="9"/>
    <s v="Sqmt"/>
    <n v="74.3"/>
    <n v="791"/>
    <n v="58771.299999999996"/>
  </r>
  <r>
    <s v="April"/>
    <d v="2024-04-03T00:00:00"/>
    <n v="61113"/>
    <n v="43458"/>
    <s v="Knnd Associates Pvt Ltd"/>
    <s v="Google Rio Bengaluru"/>
    <s v="10mm JTR"/>
    <x v="10"/>
    <s v="Rmt"/>
    <n v="25.8"/>
    <n v="90"/>
    <n v="2322"/>
  </r>
  <r>
    <s v="April"/>
    <d v="2024-04-03T00:00:00"/>
    <n v="61113"/>
    <n v="43458"/>
    <s v="Knnd Associates Pvt Ltd"/>
    <s v="Google Rio Bengaluru"/>
    <s v="Stretch Film"/>
    <x v="4"/>
    <s v="Sqmt"/>
    <n v="500"/>
    <n v="15"/>
    <n v="7500"/>
  </r>
  <r>
    <s v="April"/>
    <d v="2024-04-04T00:00:00"/>
    <n v="61113"/>
    <n v="43459"/>
    <s v="Knnd Associates Pvt Ltd"/>
    <s v="Google Rio Bengaluru"/>
    <s v="Spiral Oval Duct"/>
    <x v="5"/>
    <s v="Sqmt"/>
    <n v="279.39999999999998"/>
    <n v="660"/>
    <n v="184403.99999999997"/>
  </r>
  <r>
    <s v="April"/>
    <d v="2024-04-04T00:00:00"/>
    <n v="61113"/>
    <n v="43459"/>
    <s v="Knnd Associates Pvt Ltd"/>
    <s v="Google Rio Bengaluru"/>
    <s v="Spiral Oval Duct"/>
    <x v="6"/>
    <s v="Sqmt"/>
    <n v="100"/>
    <n v="785"/>
    <n v="78500"/>
  </r>
  <r>
    <s v="April"/>
    <d v="2024-04-04T00:00:00"/>
    <n v="61113"/>
    <n v="43459"/>
    <s v="Knnd Associates Pvt Ltd"/>
    <s v="Google Rio Bengaluru"/>
    <s v="Spiral Oval Duct"/>
    <x v="7"/>
    <s v="Sqmt"/>
    <n v="128.4"/>
    <n v="950"/>
    <n v="121980"/>
  </r>
  <r>
    <s v="April"/>
    <d v="2024-04-04T00:00:00"/>
    <n v="61113"/>
    <n v="43459"/>
    <s v="Knnd Associates Pvt Ltd"/>
    <s v="Google Rio Bengaluru"/>
    <s v="Spiral Oval Coupling"/>
    <x v="7"/>
    <s v="Sqmt"/>
    <n v="15.4"/>
    <n v="895"/>
    <n v="13783"/>
  </r>
  <r>
    <s v="April"/>
    <d v="2024-04-04T00:00:00"/>
    <n v="61113"/>
    <n v="43459"/>
    <s v="Knnd Associates Pvt Ltd"/>
    <s v="Google Rio Bengaluru"/>
    <s v="Spiral VCD"/>
    <x v="7"/>
    <s v="Sqmt"/>
    <n v="11.8"/>
    <n v="3100"/>
    <n v="36580"/>
  </r>
  <r>
    <s v="April"/>
    <d v="2024-04-04T00:00:00"/>
    <n v="61113"/>
    <n v="43459"/>
    <s v="Knnd Associates Pvt Ltd"/>
    <s v="Google Rio Bengaluru"/>
    <s v="Insulation"/>
    <x v="8"/>
    <s v="Sqmt"/>
    <n v="390.3"/>
    <n v="266"/>
    <n v="103819.8"/>
  </r>
  <r>
    <s v="April"/>
    <d v="2024-04-04T00:00:00"/>
    <n v="61113"/>
    <n v="43459"/>
    <s v="Knnd Associates Pvt Ltd"/>
    <s v="Google Rio Bengaluru"/>
    <s v="Insulation"/>
    <x v="9"/>
    <s v="Sqmt"/>
    <n v="132.9"/>
    <n v="791"/>
    <n v="105123.90000000001"/>
  </r>
  <r>
    <s v="April"/>
    <d v="2024-04-04T00:00:00"/>
    <n v="61113"/>
    <n v="43459"/>
    <s v="Knnd Associates Pvt Ltd"/>
    <s v="Google Rio Bengaluru"/>
    <s v="10mm JTR"/>
    <x v="10"/>
    <s v="Rmt"/>
    <n v="35.200000000000003"/>
    <n v="90"/>
    <n v="3168.0000000000005"/>
  </r>
  <r>
    <s v="April"/>
    <d v="2024-04-04T00:00:00"/>
    <n v="61113"/>
    <n v="43459"/>
    <s v="Knnd Associates Pvt Ltd"/>
    <s v="Google Rio Bengaluru"/>
    <s v="Stretch Film"/>
    <x v="4"/>
    <s v="Sqmt"/>
    <n v="540"/>
    <n v="15"/>
    <n v="8100"/>
  </r>
  <r>
    <s v="April"/>
    <d v="2024-04-04T00:00:00"/>
    <n v="61113"/>
    <n v="43460"/>
    <s v="Knnd Associates Pvt Ltd"/>
    <s v="Google Rio Bengaluru"/>
    <s v="Spiral Oval Duct"/>
    <x v="5"/>
    <s v="Sqmt"/>
    <n v="351.3"/>
    <n v="660"/>
    <n v="231858"/>
  </r>
  <r>
    <s v="April"/>
    <d v="2024-04-04T00:00:00"/>
    <n v="61113"/>
    <n v="43460"/>
    <s v="Knnd Associates Pvt Ltd"/>
    <s v="Google Rio Bengaluru"/>
    <s v="Spiral Oval Duct"/>
    <x v="6"/>
    <s v="Sqmt"/>
    <n v="82.5"/>
    <n v="785"/>
    <n v="64762.5"/>
  </r>
  <r>
    <s v="April"/>
    <d v="2024-04-04T00:00:00"/>
    <n v="61113"/>
    <n v="43460"/>
    <s v="Knnd Associates Pvt Ltd"/>
    <s v="Google Rio Bengaluru"/>
    <s v="Spiral Oval Duct"/>
    <x v="7"/>
    <s v="Sqmt"/>
    <n v="79.400000000000006"/>
    <n v="950"/>
    <n v="75430"/>
  </r>
  <r>
    <s v="April"/>
    <d v="2024-04-04T00:00:00"/>
    <n v="61113"/>
    <n v="43460"/>
    <s v="Knnd Associates Pvt Ltd"/>
    <s v="Google Rio Bengaluru"/>
    <s v="Spiral Oval Coupling"/>
    <x v="7"/>
    <s v="Sqmt"/>
    <n v="13.3"/>
    <n v="895"/>
    <n v="11903.5"/>
  </r>
  <r>
    <s v="April"/>
    <d v="2024-04-04T00:00:00"/>
    <n v="61113"/>
    <n v="43460"/>
    <s v="Knnd Associates Pvt Ltd"/>
    <s v="Google Rio Bengaluru"/>
    <s v="Spiral VCD"/>
    <x v="7"/>
    <s v="Sqmt"/>
    <n v="4.2"/>
    <n v="3100"/>
    <n v="13020"/>
  </r>
  <r>
    <s v="April"/>
    <d v="2024-04-04T00:00:00"/>
    <n v="61113"/>
    <n v="43460"/>
    <s v="Knnd Associates Pvt Ltd"/>
    <s v="Google Rio Bengaluru"/>
    <s v="Insulation"/>
    <x v="8"/>
    <s v="Sqmt"/>
    <n v="404"/>
    <n v="266"/>
    <n v="107464"/>
  </r>
  <r>
    <s v="April"/>
    <d v="2024-04-04T00:00:00"/>
    <n v="61113"/>
    <n v="43460"/>
    <s v="Knnd Associates Pvt Ltd"/>
    <s v="Google Rio Bengaluru"/>
    <s v="Insulation"/>
    <x v="9"/>
    <s v="Sqmt"/>
    <n v="122.5"/>
    <n v="791"/>
    <n v="96897.5"/>
  </r>
  <r>
    <s v="April"/>
    <d v="2024-04-04T00:00:00"/>
    <n v="61113"/>
    <n v="43460"/>
    <s v="Knnd Associates Pvt Ltd"/>
    <s v="Google Rio Bengaluru"/>
    <s v="10mm JTR"/>
    <x v="10"/>
    <s v="Rmt"/>
    <n v="24.1"/>
    <n v="90"/>
    <n v="2169"/>
  </r>
  <r>
    <s v="April"/>
    <d v="2024-04-04T00:00:00"/>
    <n v="61113"/>
    <n v="43460"/>
    <s v="Knnd Associates Pvt Ltd"/>
    <s v="Google Rio Bengaluru"/>
    <s v="Stretch Film"/>
    <x v="4"/>
    <s v="Sqmt"/>
    <n v="535"/>
    <n v="15"/>
    <n v="8025"/>
  </r>
  <r>
    <s v="April"/>
    <d v="2024-04-04T00:00:00"/>
    <n v="61134"/>
    <n v="43461"/>
    <s v="Knnd Associates Pvt Ltd"/>
    <s v="Vaishnavi Bangaluru"/>
    <s v="Box Duct with TDF"/>
    <x v="11"/>
    <s v="Sqmt"/>
    <n v="85.6"/>
    <n v="590"/>
    <n v="50504"/>
  </r>
  <r>
    <s v="April"/>
    <d v="2024-04-04T00:00:00"/>
    <n v="61134"/>
    <n v="43461"/>
    <s v="Knnd Associates Pvt Ltd"/>
    <s v="Vaishnavi Bangaluru"/>
    <s v="Box Duct with TDF"/>
    <x v="12"/>
    <s v="Sqmt"/>
    <n v="65.900000000000006"/>
    <n v="760"/>
    <n v="50084.000000000007"/>
  </r>
  <r>
    <s v="April"/>
    <d v="2024-04-04T00:00:00"/>
    <n v="61134"/>
    <n v="43461"/>
    <s v="Knnd Associates Pvt Ltd"/>
    <s v="Vaishnavi Bangaluru"/>
    <s v="Box Duct with TDF"/>
    <x v="1"/>
    <s v="Sqmt"/>
    <n v="17.899999999999999"/>
    <n v="920"/>
    <n v="16468"/>
  </r>
  <r>
    <s v="April"/>
    <d v="2024-04-04T00:00:00"/>
    <n v="61134"/>
    <n v="43461"/>
    <s v="Knnd Associates Pvt Ltd"/>
    <s v="Vaishnavi Bangaluru"/>
    <s v="Box Duct with TDF"/>
    <x v="2"/>
    <s v="Sqmt"/>
    <n v="27.7"/>
    <n v="1070"/>
    <n v="29639"/>
  </r>
  <r>
    <s v="April"/>
    <d v="2024-04-04T00:00:00"/>
    <n v="61134"/>
    <n v="43462"/>
    <s v="Knnd Associates Pvt Ltd"/>
    <s v="Vaishnavi Bangaluru"/>
    <s v="Box Duct with TDF"/>
    <x v="11"/>
    <s v="Sqmt"/>
    <n v="49.8"/>
    <n v="590"/>
    <n v="29382"/>
  </r>
  <r>
    <s v="April"/>
    <d v="2024-04-04T00:00:00"/>
    <n v="61134"/>
    <n v="43462"/>
    <s v="Knnd Associates Pvt Ltd"/>
    <s v="Vaishnavi Bangaluru"/>
    <s v="Box Duct with TDF"/>
    <x v="12"/>
    <s v="Sqmt"/>
    <n v="85.4"/>
    <n v="760"/>
    <n v="64904.000000000007"/>
  </r>
  <r>
    <s v="April"/>
    <d v="2024-04-04T00:00:00"/>
    <n v="61134"/>
    <n v="43462"/>
    <s v="Knnd Associates Pvt Ltd"/>
    <s v="Vaishnavi Bangaluru"/>
    <s v="Box Duct with TDF"/>
    <x v="1"/>
    <s v="Sqmt"/>
    <n v="4.2"/>
    <n v="920"/>
    <n v="3864"/>
  </r>
  <r>
    <s v="April"/>
    <d v="2024-04-04T00:00:00"/>
    <n v="61134"/>
    <n v="43462"/>
    <s v="Knnd Associates Pvt Ltd"/>
    <s v="Vaishnavi Bangaluru"/>
    <s v="Box Duct with TDF"/>
    <x v="2"/>
    <s v="Sqmt"/>
    <n v="9"/>
    <n v="1070"/>
    <n v="9630"/>
  </r>
  <r>
    <s v="April"/>
    <d v="2024-04-05T00:00:00"/>
    <n v="61134"/>
    <n v="43463"/>
    <s v="Knnd Associates Pvt Ltd"/>
    <s v="Vaishnavi Bangaluru"/>
    <s v="Box Duct with TDF"/>
    <x v="12"/>
    <s v="Sqmt"/>
    <n v="15.7"/>
    <n v="760"/>
    <n v="11932"/>
  </r>
  <r>
    <s v="April"/>
    <d v="2024-04-05T00:00:00"/>
    <n v="61134"/>
    <n v="43463"/>
    <s v="Knnd Associates Pvt Ltd"/>
    <s v="Vaishnavi Bangaluru"/>
    <s v="Box Duct with TDF"/>
    <x v="1"/>
    <s v="Sqmt"/>
    <n v="7.3"/>
    <n v="920"/>
    <n v="6716"/>
  </r>
  <r>
    <s v="April"/>
    <d v="2024-04-05T00:00:00"/>
    <n v="61134"/>
    <n v="43463"/>
    <s v="Knnd Associates Pvt Ltd"/>
    <s v="Vaishnavi Bangaluru"/>
    <s v="Box Duct with TDF"/>
    <x v="2"/>
    <s v="Sqmt"/>
    <n v="21.9"/>
    <n v="1070"/>
    <n v="23433"/>
  </r>
  <r>
    <s v="April"/>
    <d v="2024-04-08T00:00:00"/>
    <n v="61113"/>
    <n v="43464"/>
    <s v="Knnd Associates Pvt Ltd"/>
    <s v="Google Rio Bengaluru"/>
    <s v="Box Duct with TDF"/>
    <x v="11"/>
    <s v="Sqmt"/>
    <n v="217.5"/>
    <n v="584"/>
    <n v="127020"/>
  </r>
  <r>
    <s v="April"/>
    <d v="2024-04-08T00:00:00"/>
    <n v="61113"/>
    <n v="43464"/>
    <s v="Knnd Associates Pvt Ltd"/>
    <s v="Google Rio Bengaluru"/>
    <s v="Box Duct with TDF"/>
    <x v="12"/>
    <s v="Sqmt"/>
    <n v="99.1"/>
    <n v="730"/>
    <n v="72343"/>
  </r>
  <r>
    <s v="April"/>
    <d v="2024-04-08T00:00:00"/>
    <n v="61113"/>
    <n v="43464"/>
    <s v="Knnd Associates Pvt Ltd"/>
    <s v="Google Rio Bengaluru"/>
    <s v="Box Duct with TDF"/>
    <x v="1"/>
    <s v="Sqmt"/>
    <n v="15.5"/>
    <n v="920"/>
    <n v="14260"/>
  </r>
  <r>
    <s v="April"/>
    <d v="2024-04-08T00:00:00"/>
    <n v="61113"/>
    <n v="43464"/>
    <s v="Knnd Associates Pvt Ltd"/>
    <s v="Google Rio Bengaluru"/>
    <s v="Box Duct with TDF"/>
    <x v="2"/>
    <s v="Sqmt"/>
    <n v="155.5"/>
    <n v="1020"/>
    <n v="158610"/>
  </r>
  <r>
    <s v="April"/>
    <d v="2024-04-08T00:00:00"/>
    <n v="61113"/>
    <n v="43464"/>
    <s v="Knnd Associates Pvt Ltd"/>
    <s v="Google Rio Bengaluru"/>
    <s v="Round Duct"/>
    <x v="11"/>
    <s v="Sqmt"/>
    <n v="41"/>
    <n v="540"/>
    <n v="22140"/>
  </r>
  <r>
    <s v="April"/>
    <d v="2024-04-08T00:00:00"/>
    <n v="61113"/>
    <n v="43464"/>
    <s v="Knnd Associates Pvt Ltd"/>
    <s v="Google Rio Bengaluru"/>
    <s v="Insulation"/>
    <x v="8"/>
    <s v="Sqmt"/>
    <n v="125.1"/>
    <n v="266"/>
    <n v="33276.6"/>
  </r>
  <r>
    <s v="April"/>
    <d v="2024-04-08T00:00:00"/>
    <n v="61113"/>
    <n v="43464"/>
    <s v="Knnd Associates Pvt Ltd"/>
    <s v="Google Rio Bengaluru"/>
    <s v="Insulation"/>
    <x v="9"/>
    <s v="Sqmt"/>
    <n v="300.10000000000002"/>
    <n v="791"/>
    <n v="237379.1"/>
  </r>
  <r>
    <s v="April"/>
    <d v="2024-04-08T00:00:00"/>
    <n v="61113"/>
    <n v="43464"/>
    <s v="Knnd Associates Pvt Ltd"/>
    <s v="Google Rio Bengaluru"/>
    <s v="VCD (Alu. Blade)"/>
    <x v="2"/>
    <s v="Sqmt"/>
    <n v="8.9"/>
    <n v="5720"/>
    <n v="50908"/>
  </r>
  <r>
    <s v="April"/>
    <d v="2024-04-08T00:00:00"/>
    <n v="61113"/>
    <n v="43464"/>
    <s v="Knnd Associates Pvt Ltd"/>
    <s v="Google Rio Bengaluru"/>
    <s v="Stretch Film"/>
    <x v="4"/>
    <s v="Sqmt"/>
    <n v="540"/>
    <n v="15"/>
    <n v="8100"/>
  </r>
  <r>
    <s v="April"/>
    <d v="2024-04-12T00:00:00"/>
    <n v="61113"/>
    <n v="43465"/>
    <s v="Knnd Associates Pvt Ltd"/>
    <s v="Google Rio Bengaluru"/>
    <s v="Box Duct with TDF"/>
    <x v="11"/>
    <s v="Sqmt"/>
    <n v="84"/>
    <n v="584"/>
    <n v="49056"/>
  </r>
  <r>
    <s v="April"/>
    <d v="2024-04-12T00:00:00"/>
    <n v="61113"/>
    <n v="43465"/>
    <s v="Knnd Associates Pvt Ltd"/>
    <s v="Google Rio Bengaluru"/>
    <s v="Box Duct with TDF"/>
    <x v="12"/>
    <s v="Sqmt"/>
    <n v="20.2"/>
    <n v="730"/>
    <n v="14746"/>
  </r>
  <r>
    <s v="April"/>
    <d v="2024-04-12T00:00:00"/>
    <n v="61113"/>
    <n v="43465"/>
    <s v="Knnd Associates Pvt Ltd"/>
    <s v="Google Rio Bengaluru"/>
    <s v="Box Duct with TDF"/>
    <x v="1"/>
    <s v="Sqmt"/>
    <n v="35.6"/>
    <n v="920"/>
    <n v="32752"/>
  </r>
  <r>
    <s v="April"/>
    <d v="2024-04-12T00:00:00"/>
    <n v="61113"/>
    <n v="43465"/>
    <s v="Knnd Associates Pvt Ltd"/>
    <s v="Google Rio Bengaluru"/>
    <s v="Box Duct with TDF"/>
    <x v="2"/>
    <s v="Sqmt"/>
    <n v="241"/>
    <n v="1020"/>
    <n v="245820"/>
  </r>
  <r>
    <s v="April"/>
    <d v="2024-04-12T00:00:00"/>
    <n v="61113"/>
    <n v="43465"/>
    <s v="Knnd Associates Pvt Ltd"/>
    <s v="Google Rio Bengaluru"/>
    <s v="Spiral Oval Duct"/>
    <x v="5"/>
    <s v="Sqmt"/>
    <n v="43.2"/>
    <n v="660"/>
    <n v="28512.000000000004"/>
  </r>
  <r>
    <s v="April"/>
    <d v="2024-04-12T00:00:00"/>
    <n v="61113"/>
    <n v="43465"/>
    <s v="Knnd Associates Pvt Ltd"/>
    <s v="Google Rio Bengaluru"/>
    <s v="Spiral Oval Duct"/>
    <x v="6"/>
    <s v="Sqmt"/>
    <n v="33.1"/>
    <n v="785"/>
    <n v="25983.5"/>
  </r>
  <r>
    <s v="April"/>
    <d v="2024-04-12T00:00:00"/>
    <n v="61113"/>
    <n v="43465"/>
    <s v="Knnd Associates Pvt Ltd"/>
    <s v="Google Rio Bengaluru"/>
    <s v="Spiral Oval Duct"/>
    <x v="7"/>
    <s v="Sqmt"/>
    <n v="36"/>
    <n v="950"/>
    <n v="34200"/>
  </r>
  <r>
    <s v="April"/>
    <d v="2024-04-12T00:00:00"/>
    <n v="61113"/>
    <n v="43465"/>
    <s v="Knnd Associates Pvt Ltd"/>
    <s v="Google Rio Bengaluru"/>
    <s v="Insulation"/>
    <x v="8"/>
    <s v="Sqmt"/>
    <n v="176.8"/>
    <n v="266"/>
    <n v="47028.800000000003"/>
  </r>
  <r>
    <s v="April"/>
    <d v="2024-04-12T00:00:00"/>
    <n v="61113"/>
    <n v="43465"/>
    <s v="Knnd Associates Pvt Ltd"/>
    <s v="Google Rio Bengaluru"/>
    <s v="Insulation"/>
    <x v="9"/>
    <s v="Sqmt"/>
    <n v="316.3"/>
    <n v="791"/>
    <n v="250193.30000000002"/>
  </r>
  <r>
    <s v="April"/>
    <d v="2024-04-12T00:00:00"/>
    <n v="61113"/>
    <n v="43465"/>
    <s v="Knnd Associates Pvt Ltd"/>
    <s v="Google Rio Bengaluru"/>
    <s v="VCD (Alu. Blade)"/>
    <x v="2"/>
    <s v="Sqmt"/>
    <n v="0.2"/>
    <n v="5720"/>
    <n v="1144"/>
  </r>
  <r>
    <s v="April"/>
    <d v="2024-04-12T00:00:00"/>
    <n v="61113"/>
    <n v="43465"/>
    <s v="Knnd Associates Pvt Ltd"/>
    <s v="Google Rio Bengaluru"/>
    <s v="Stretch Film"/>
    <x v="4"/>
    <s v="Sqmt"/>
    <n v="495"/>
    <n v="15"/>
    <n v="7425"/>
  </r>
  <r>
    <s v="April"/>
    <d v="2024-04-12T00:00:00"/>
    <n v="61113"/>
    <n v="43465"/>
    <s v="Knnd Associates Pvt Ltd"/>
    <s v="Google Rio Bengaluru"/>
    <s v="10mm JTR"/>
    <x v="10"/>
    <s v="Rmt"/>
    <n v="36.6"/>
    <n v="90"/>
    <n v="3294"/>
  </r>
  <r>
    <s v="April"/>
    <d v="2024-04-13T00:00:00"/>
    <n v="61135"/>
    <n v="43466"/>
    <s v="Eqube Energy and Research Services LLP"/>
    <s v="Siemens Ltd Bangalore"/>
    <s v="Box Duct with TDF"/>
    <x v="11"/>
    <s v="Sqmt"/>
    <n v="73.900000000000006"/>
    <n v="590"/>
    <n v="43601"/>
  </r>
  <r>
    <s v="April"/>
    <d v="2024-04-13T00:00:00"/>
    <n v="61113"/>
    <n v="43467"/>
    <s v="Knnd Associates Pvt Ltd"/>
    <s v="Google Rio Bengaluru"/>
    <s v="Box Duct with TDF"/>
    <x v="11"/>
    <s v="Sqmt"/>
    <n v="6.3"/>
    <n v="584"/>
    <n v="3679.2"/>
  </r>
  <r>
    <s v="April"/>
    <d v="2024-04-13T00:00:00"/>
    <n v="61113"/>
    <n v="43467"/>
    <s v="Knnd Associates Pvt Ltd"/>
    <s v="Google Rio Bengaluru"/>
    <s v="Box Duct with TDF"/>
    <x v="1"/>
    <s v="Sqmt"/>
    <n v="48.4"/>
    <n v="920"/>
    <n v="44528"/>
  </r>
  <r>
    <s v="April"/>
    <d v="2024-04-13T00:00:00"/>
    <n v="61113"/>
    <n v="43467"/>
    <s v="Knnd Associates Pvt Ltd"/>
    <s v="Google Rio Bengaluru"/>
    <s v="Spiral Oval Duct"/>
    <x v="5"/>
    <s v="Sqmt"/>
    <n v="36"/>
    <n v="660"/>
    <n v="23760"/>
  </r>
  <r>
    <s v="April"/>
    <d v="2024-04-13T00:00:00"/>
    <n v="61113"/>
    <n v="43467"/>
    <s v="Knnd Associates Pvt Ltd"/>
    <s v="Google Rio Bengaluru"/>
    <s v="Spiral Oval Duct"/>
    <x v="6"/>
    <s v="Sqmt"/>
    <n v="92.3"/>
    <n v="785"/>
    <n v="72455.5"/>
  </r>
  <r>
    <s v="April"/>
    <d v="2024-04-13T00:00:00"/>
    <n v="61113"/>
    <n v="43467"/>
    <s v="Knnd Associates Pvt Ltd"/>
    <s v="Google Rio Bengaluru"/>
    <s v="Spiral Oval Duct"/>
    <x v="7"/>
    <s v="Sqmt"/>
    <n v="80.599999999999994"/>
    <n v="950"/>
    <n v="76570"/>
  </r>
  <r>
    <s v="April"/>
    <d v="2024-04-13T00:00:00"/>
    <n v="61113"/>
    <n v="43467"/>
    <s v="Knnd Associates Pvt Ltd"/>
    <s v="Google Rio Bengaluru"/>
    <s v="Spiral Oval Coupling"/>
    <x v="7"/>
    <s v="Sqmt"/>
    <n v="5.7"/>
    <n v="895"/>
    <n v="5101.5"/>
  </r>
  <r>
    <s v="April"/>
    <d v="2024-04-13T00:00:00"/>
    <n v="61113"/>
    <n v="43467"/>
    <s v="Knnd Associates Pvt Ltd"/>
    <s v="Google Rio Bengaluru"/>
    <s v="Spiral VCD"/>
    <x v="7"/>
    <s v="Sqmt"/>
    <n v="0.4"/>
    <n v="3100"/>
    <n v="1240"/>
  </r>
  <r>
    <s v="April"/>
    <d v="2024-04-13T00:00:00"/>
    <n v="61113"/>
    <n v="43467"/>
    <s v="Knnd Associates Pvt Ltd"/>
    <s v="Google Rio Bengaluru"/>
    <s v="Insulation"/>
    <x v="8"/>
    <s v="Sqmt"/>
    <n v="113.7"/>
    <n v="266"/>
    <n v="30244.2"/>
  </r>
  <r>
    <s v="April"/>
    <d v="2024-04-13T00:00:00"/>
    <n v="61113"/>
    <n v="43467"/>
    <s v="Knnd Associates Pvt Ltd"/>
    <s v="Google Rio Bengaluru"/>
    <s v="Insulation"/>
    <x v="9"/>
    <s v="Sqmt"/>
    <n v="155.6"/>
    <n v="791"/>
    <n v="123079.59999999999"/>
  </r>
  <r>
    <s v="April"/>
    <d v="2024-04-13T00:00:00"/>
    <n v="61113"/>
    <n v="43467"/>
    <s v="Knnd Associates Pvt Ltd"/>
    <s v="Google Rio Bengaluru"/>
    <s v="10mm JTR"/>
    <x v="10"/>
    <s v="Rmt"/>
    <n v="61.7"/>
    <n v="90"/>
    <n v="5553"/>
  </r>
  <r>
    <s v="April"/>
    <d v="2024-04-13T00:00:00"/>
    <n v="61113"/>
    <n v="43467"/>
    <s v="Knnd Associates Pvt Ltd"/>
    <s v="Google Rio Bengaluru"/>
    <s v="Stretch Film"/>
    <x v="4"/>
    <s v="Sqmt"/>
    <n v="320"/>
    <n v="15"/>
    <n v="4800"/>
  </r>
  <r>
    <s v="April"/>
    <d v="2024-04-13T00:00:00"/>
    <n v="61113"/>
    <n v="43467"/>
    <s v="Knnd Associates Pvt Ltd"/>
    <s v="Google Rio Bengaluru"/>
    <s v="Spigot 200mm Dia"/>
    <x v="12"/>
    <s v="Nos"/>
    <n v="150"/>
    <n v="340"/>
    <n v="51000"/>
  </r>
  <r>
    <s v="April"/>
    <d v="2024-04-13T00:00:00"/>
    <n v="61080"/>
    <n v="43468"/>
    <s v="Knnd Associates Pvt Ltd"/>
    <s v="Google Rio Bengaluru"/>
    <s v="Mixing Box (1200x200x350H)"/>
    <x v="12"/>
    <s v="Nos"/>
    <n v="142"/>
    <n v="1257"/>
    <n v="178494"/>
  </r>
  <r>
    <s v="April"/>
    <d v="2024-04-13T00:00:00"/>
    <n v="61080"/>
    <n v="43468"/>
    <s v="Knnd Associates Pvt Ltd"/>
    <s v="Google Rio Bengaluru"/>
    <s v="Mixing Box (450x450x350H)"/>
    <x v="12"/>
    <s v="Nos"/>
    <n v="32"/>
    <n v="839"/>
    <n v="26848"/>
  </r>
  <r>
    <s v="April"/>
    <d v="2024-04-13T00:00:00"/>
    <n v="61080"/>
    <n v="43468"/>
    <s v="Knnd Associates Pvt Ltd"/>
    <s v="Google Rio Bengaluru"/>
    <s v="Insulation"/>
    <x v="8"/>
    <s v="Sqmt"/>
    <n v="197.947"/>
    <n v="266"/>
    <n v="52653.902000000002"/>
  </r>
  <r>
    <s v="April"/>
    <d v="2024-04-13T00:00:00"/>
    <n v="61080"/>
    <n v="43468"/>
    <s v="Knnd Associates Pvt Ltd"/>
    <s v="Google Rio Bengaluru"/>
    <s v="Stretch Film"/>
    <x v="4"/>
    <s v="Sqmt"/>
    <n v="250"/>
    <n v="15"/>
    <n v="3750"/>
  </r>
  <r>
    <s v="April"/>
    <d v="2024-04-13T00:00:00"/>
    <n v="61080"/>
    <n v="43469"/>
    <s v="Knnd Associates Pvt Ltd"/>
    <s v="Google Rio Bengaluru"/>
    <s v="Box Duct with TDF"/>
    <x v="1"/>
    <s v="Sqmt"/>
    <n v="9.6"/>
    <n v="890"/>
    <n v="8544"/>
  </r>
  <r>
    <s v="April"/>
    <d v="2024-04-13T00:00:00"/>
    <n v="61080"/>
    <n v="43469"/>
    <s v="Knnd Associates Pvt Ltd"/>
    <s v="Google Rio Bengaluru"/>
    <s v="Insulation"/>
    <x v="9"/>
    <s v="Sqmt"/>
    <n v="9.6"/>
    <n v="791"/>
    <n v="7593.5999999999995"/>
  </r>
  <r>
    <s v="April"/>
    <d v="2024-04-13T00:00:00"/>
    <n v="61080"/>
    <n v="43469"/>
    <s v="Knnd Associates Pvt Ltd"/>
    <s v="Google Rio Bengaluru"/>
    <s v="CTS"/>
    <x v="11"/>
    <s v="Sqmt"/>
    <n v="152.1"/>
    <n v="795"/>
    <n v="120919.5"/>
  </r>
  <r>
    <s v="April"/>
    <d v="2024-04-13T00:00:00"/>
    <n v="61080"/>
    <n v="43469"/>
    <s v="Knnd Associates Pvt Ltd"/>
    <s v="Google Rio Bengaluru"/>
    <s v="Insulation"/>
    <x v="13"/>
    <s v="Sqmt"/>
    <n v="152.1"/>
    <n v="1450"/>
    <n v="220545"/>
  </r>
  <r>
    <s v="April"/>
    <d v="2024-04-13T00:00:00"/>
    <n v="61080"/>
    <n v="43469"/>
    <s v="Knnd Associates Pvt Ltd"/>
    <s v="Google Rio Bengaluru"/>
    <s v="Stretch Film"/>
    <x v="4"/>
    <s v="Sqmt"/>
    <n v="165"/>
    <n v="15"/>
    <n v="2475"/>
  </r>
  <r>
    <s v="April"/>
    <d v="2024-04-15T00:00:00"/>
    <n v="61131"/>
    <n v="43470"/>
    <s v="Knnd Associates Pvt Ltd"/>
    <s v="Bangalore Stock Maddur"/>
    <s v="Spiral Round Duct"/>
    <x v="5"/>
    <s v="Sqmt"/>
    <n v="561.4"/>
    <n v="565"/>
    <n v="317191"/>
  </r>
  <r>
    <s v="April"/>
    <d v="2024-04-16T00:00:00"/>
    <n v="61136"/>
    <n v="43471"/>
    <s v="Knnd Associates Pvt Ltd"/>
    <s v="Adwitiya Projects Bangalore"/>
    <s v="Box Duct with TDF"/>
    <x v="11"/>
    <s v="Sqmt"/>
    <n v="55.7"/>
    <n v="590"/>
    <n v="32863"/>
  </r>
  <r>
    <s v="April"/>
    <d v="2024-04-16T00:00:00"/>
    <n v="61136"/>
    <n v="43471"/>
    <s v="Knnd Associates Pvt Ltd"/>
    <s v="Adwitiya Projects Bangalore"/>
    <s v="Round Collar with flange"/>
    <x v="11"/>
    <s v="Nos"/>
    <n v="33"/>
    <n v="110"/>
    <n v="3630"/>
  </r>
  <r>
    <s v="April"/>
    <d v="2024-04-16T00:00:00"/>
    <n v="61136"/>
    <n v="43471"/>
    <s v="Knnd Associates Pvt Ltd"/>
    <s v="Adwitiya Projects Bangalore"/>
    <s v="VCD (Alu. Blade)"/>
    <x v="1"/>
    <s v="Sqmt"/>
    <n v="0.4"/>
    <n v="5200"/>
    <n v="2080"/>
  </r>
  <r>
    <s v="April"/>
    <d v="2024-04-16T00:00:00"/>
    <n v="61137"/>
    <n v="43472"/>
    <s v="Knnd Associates Pvt Ltd"/>
    <s v="BVVS Bagalkot"/>
    <s v="Box Duct with TDF"/>
    <x v="11"/>
    <s v="Sqmt"/>
    <n v="598"/>
    <n v="590"/>
    <n v="352820"/>
  </r>
  <r>
    <s v="April"/>
    <d v="2024-04-16T00:00:00"/>
    <n v="61137"/>
    <n v="43472"/>
    <s v="Knnd Associates Pvt Ltd"/>
    <s v="BVVS Bagalkot"/>
    <s v="Box Duct with TDF"/>
    <x v="12"/>
    <s v="Sqmt"/>
    <n v="76.900000000000006"/>
    <n v="760"/>
    <n v="58444.000000000007"/>
  </r>
  <r>
    <s v="April"/>
    <d v="2024-04-16T00:00:00"/>
    <n v="61137"/>
    <n v="43472"/>
    <s v="Knnd Associates Pvt Ltd"/>
    <s v="BVVS Bagalkot"/>
    <s v="Insulation"/>
    <x v="14"/>
    <s v="Sqmt"/>
    <n v="215.3"/>
    <n v="408"/>
    <n v="87842.400000000009"/>
  </r>
  <r>
    <s v="April"/>
    <d v="2024-04-16T00:00:00"/>
    <n v="61137"/>
    <n v="43472"/>
    <s v="Knnd Associates Pvt Ltd"/>
    <s v="BVVS Bagalkot"/>
    <s v="Round Flange"/>
    <x v="11"/>
    <s v="Nos"/>
    <n v="116"/>
    <n v="60"/>
    <n v="6960"/>
  </r>
  <r>
    <s v="April"/>
    <d v="2024-04-16T00:00:00"/>
    <n v="61137"/>
    <n v="43472"/>
    <s v="Knnd Associates Pvt Ltd"/>
    <s v="BVVS Bagalkot"/>
    <s v="Stretch Film"/>
    <x v="4"/>
    <s v="Sqmt"/>
    <n v="220"/>
    <n v="15"/>
    <n v="3300"/>
  </r>
  <r>
    <s v="April"/>
    <d v="2024-04-17T00:00:00"/>
    <n v="61137"/>
    <n v="43473"/>
    <s v="Knnd Associates Pvt Ltd"/>
    <s v="BVVS Bagalkot"/>
    <s v="Box Duct with TDF"/>
    <x v="11"/>
    <s v="Sqmt"/>
    <n v="353.3"/>
    <n v="590"/>
    <n v="208447"/>
  </r>
  <r>
    <s v="April"/>
    <d v="2024-04-17T00:00:00"/>
    <n v="61137"/>
    <n v="43473"/>
    <s v="Knnd Associates Pvt Ltd"/>
    <s v="BVVS Bagalkot"/>
    <s v="Box Duct with TDF"/>
    <x v="12"/>
    <s v="Sqmt"/>
    <n v="188.29999999999998"/>
    <n v="760"/>
    <n v="143108"/>
  </r>
  <r>
    <s v="April"/>
    <d v="2024-04-17T00:00:00"/>
    <n v="61137"/>
    <n v="43473"/>
    <s v="Knnd Associates Pvt Ltd"/>
    <s v="BVVS Bagalkot"/>
    <s v="Insulation"/>
    <x v="14"/>
    <s v="Sqmt"/>
    <n v="539.4"/>
    <n v="408"/>
    <n v="220075.19999999998"/>
  </r>
  <r>
    <s v="April"/>
    <d v="2024-04-17T00:00:00"/>
    <n v="61137"/>
    <n v="43473"/>
    <s v="Knnd Associates Pvt Ltd"/>
    <s v="BVVS Bagalkot"/>
    <s v="Insulation"/>
    <x v="15"/>
    <s v="Sqmt"/>
    <n v="2.2000000000000002"/>
    <n v="615"/>
    <n v="1353"/>
  </r>
  <r>
    <s v="April"/>
    <d v="2024-04-17T00:00:00"/>
    <n v="61137"/>
    <n v="43473"/>
    <s v="Knnd Associates Pvt Ltd"/>
    <s v="BVVS Bagalkot"/>
    <s v="VCD (Alu. Blade)"/>
    <x v="1"/>
    <s v="Sqmt"/>
    <n v="10"/>
    <n v="5200"/>
    <n v="52000"/>
  </r>
  <r>
    <s v="April"/>
    <d v="2024-04-17T00:00:00"/>
    <n v="61137"/>
    <n v="43473"/>
    <s v="Knnd Associates Pvt Ltd"/>
    <s v="BVVS Bagalkot"/>
    <s v="Stretch Film"/>
    <x v="4"/>
    <s v="Sqmt"/>
    <n v="550"/>
    <n v="15"/>
    <n v="8250"/>
  </r>
  <r>
    <s v="April"/>
    <d v="2024-04-18T00:00:00"/>
    <n v="61132"/>
    <n v="43474"/>
    <s v="Knnd Associates Pvt Ltd"/>
    <s v="MAHE Bengaluru"/>
    <s v="Spiral Round Duct"/>
    <x v="5"/>
    <s v="Sqmt"/>
    <n v="1283.5999999999999"/>
    <n v="565"/>
    <n v="725234"/>
  </r>
  <r>
    <s v="April"/>
    <d v="2024-04-18T00:00:00"/>
    <n v="61132"/>
    <n v="43474"/>
    <s v="Knnd Associates Pvt Ltd"/>
    <s v="MAHE Bengaluru"/>
    <s v="Round Coupling"/>
    <x v="6"/>
    <s v="Sqmt"/>
    <n v="28.6"/>
    <n v="710"/>
    <n v="20306"/>
  </r>
  <r>
    <s v="April"/>
    <d v="2024-04-18T00:00:00"/>
    <n v="61132"/>
    <n v="43475"/>
    <s v="Knnd Associates Pvt Ltd"/>
    <s v="MAHE Bengaluru"/>
    <s v="Round T Piece (250x150mm)"/>
    <x v="11"/>
    <s v="Nos"/>
    <n v="166"/>
    <n v="470"/>
    <n v="78020"/>
  </r>
  <r>
    <s v="April"/>
    <d v="2024-04-18T00:00:00"/>
    <n v="61132"/>
    <n v="43475"/>
    <s v="Knnd Associates Pvt Ltd"/>
    <s v="MAHE Bengaluru"/>
    <s v="Round T Piece (200x150mm)"/>
    <x v="11"/>
    <s v="Nos"/>
    <n v="166"/>
    <n v="375"/>
    <n v="62250"/>
  </r>
  <r>
    <s v="April"/>
    <d v="2024-04-18T00:00:00"/>
    <n v="61132"/>
    <n v="43475"/>
    <s v="Knnd Associates Pvt Ltd"/>
    <s v="MAHE Bengaluru"/>
    <s v="Round T Piece (150x150mm)"/>
    <x v="11"/>
    <s v="Nos"/>
    <n v="130"/>
    <n v="350"/>
    <n v="45500"/>
  </r>
  <r>
    <s v="April"/>
    <d v="2024-04-18T00:00:00"/>
    <n v="61132"/>
    <n v="43475"/>
    <s v="Knnd Associates Pvt Ltd"/>
    <s v="MAHE Bengaluru"/>
    <s v="Round Reducer (250x200mm)"/>
    <x v="11"/>
    <s v="Nos"/>
    <n v="80"/>
    <n v="340"/>
    <n v="27200"/>
  </r>
  <r>
    <s v="April"/>
    <d v="2024-04-18T00:00:00"/>
    <n v="61132"/>
    <n v="43475"/>
    <s v="Knnd Associates Pvt Ltd"/>
    <s v="MAHE Bengaluru"/>
    <s v="Round Reducer (200x150mm)"/>
    <x v="11"/>
    <s v="Nos"/>
    <n v="80"/>
    <n v="290"/>
    <n v="23200"/>
  </r>
  <r>
    <s v="April"/>
    <d v="2024-04-18T00:00:00"/>
    <n v="61132"/>
    <n v="43475"/>
    <s v="Knnd Associates Pvt Ltd"/>
    <s v="MAHE Bengaluru"/>
    <s v="Round Elbow 45° (250mm Dia)"/>
    <x v="11"/>
    <s v="Nos"/>
    <n v="70"/>
    <n v="225"/>
    <n v="15750"/>
  </r>
  <r>
    <s v="April"/>
    <d v="2024-04-18T00:00:00"/>
    <n v="61137"/>
    <n v="43476"/>
    <s v="Knnd Associates Pvt Ltd"/>
    <s v="BVVS Bagalkot"/>
    <s v="Box Duct with TDF"/>
    <x v="11"/>
    <s v="Sqmt"/>
    <n v="481.20000000000005"/>
    <n v="590"/>
    <n v="283908"/>
  </r>
  <r>
    <s v="April"/>
    <d v="2024-04-18T00:00:00"/>
    <n v="61137"/>
    <n v="43476"/>
    <s v="Knnd Associates Pvt Ltd"/>
    <s v="BVVS Bagalkot"/>
    <s v="Box Duct with TDF"/>
    <x v="12"/>
    <s v="Sqmt"/>
    <n v="110.8"/>
    <n v="760"/>
    <n v="84208"/>
  </r>
  <r>
    <s v="April"/>
    <d v="2024-04-18T00:00:00"/>
    <n v="61137"/>
    <n v="43476"/>
    <s v="Knnd Associates Pvt Ltd"/>
    <s v="BVVS Bagalkot"/>
    <s v="Insulation"/>
    <x v="14"/>
    <s v="Sqmt"/>
    <n v="477.8"/>
    <n v="408"/>
    <n v="194942.4"/>
  </r>
  <r>
    <s v="April"/>
    <d v="2024-04-18T00:00:00"/>
    <n v="61137"/>
    <n v="43476"/>
    <s v="Knnd Associates Pvt Ltd"/>
    <s v="BVVS Bagalkot"/>
    <s v="Insulation"/>
    <x v="15"/>
    <s v="Sqmt"/>
    <n v="4.5999999999999996"/>
    <n v="615"/>
    <n v="2829"/>
  </r>
  <r>
    <s v="April"/>
    <d v="2024-04-18T00:00:00"/>
    <n v="61137"/>
    <n v="43476"/>
    <s v="Knnd Associates Pvt Ltd"/>
    <s v="BVVS Bagalkot"/>
    <s v="Stretch Film"/>
    <x v="4"/>
    <s v="Sqmt"/>
    <n v="485"/>
    <n v="15"/>
    <n v="7275"/>
  </r>
  <r>
    <s v="April"/>
    <d v="2024-04-22T00:00:00"/>
    <n v="61137"/>
    <n v="43477"/>
    <s v="Knnd Associates Pvt Ltd"/>
    <s v="BVVS Bagalkot"/>
    <s v="Box Duct with TDF"/>
    <x v="11"/>
    <s v="Sqmt"/>
    <n v="661.1"/>
    <n v="590"/>
    <n v="390049"/>
  </r>
  <r>
    <s v="April"/>
    <d v="2024-04-22T00:00:00"/>
    <n v="61137"/>
    <n v="43477"/>
    <s v="Knnd Associates Pvt Ltd"/>
    <s v="BVVS Bagalkot"/>
    <s v="Box Duct with TDF"/>
    <x v="12"/>
    <s v="Sqmt"/>
    <n v="48.6"/>
    <n v="760"/>
    <n v="36936"/>
  </r>
  <r>
    <s v="April"/>
    <d v="2024-04-22T00:00:00"/>
    <n v="61137"/>
    <n v="43477"/>
    <s v="Knnd Associates Pvt Ltd"/>
    <s v="BVVS Bagalkot"/>
    <s v="Insulation"/>
    <x v="14"/>
    <s v="Sqmt"/>
    <n v="413"/>
    <n v="408"/>
    <n v="168504"/>
  </r>
  <r>
    <s v="April"/>
    <d v="2024-04-22T00:00:00"/>
    <n v="61137"/>
    <n v="43477"/>
    <s v="Knnd Associates Pvt Ltd"/>
    <s v="BVVS Bagalkot"/>
    <s v="Insulation"/>
    <x v="15"/>
    <s v="Sqmt"/>
    <n v="17.600000000000001"/>
    <n v="615"/>
    <n v="10824"/>
  </r>
  <r>
    <s v="April"/>
    <d v="2024-04-22T00:00:00"/>
    <n v="61137"/>
    <n v="43477"/>
    <s v="Knnd Associates Pvt Ltd"/>
    <s v="BVVS Bagalkot"/>
    <s v="VCD (Alu. Blade)"/>
    <x v="1"/>
    <s v="Sqmt"/>
    <n v="7.8"/>
    <n v="5200"/>
    <n v="40560"/>
  </r>
  <r>
    <s v="April"/>
    <d v="2024-04-22T00:00:00"/>
    <n v="61137"/>
    <n v="43477"/>
    <s v="Knnd Associates Pvt Ltd"/>
    <s v="BVVS Bagalkot"/>
    <s v="Round Flange"/>
    <x v="11"/>
    <s v="Nos"/>
    <n v="57"/>
    <n v="60"/>
    <n v="3420"/>
  </r>
  <r>
    <s v="April"/>
    <d v="2024-04-22T00:00:00"/>
    <n v="61137"/>
    <n v="43477"/>
    <s v="Knnd Associates Pvt Ltd"/>
    <s v="BVVS Bagalkot"/>
    <s v="Stretch Film"/>
    <x v="4"/>
    <s v="Sqmt"/>
    <n v="420"/>
    <n v="15"/>
    <n v="6300"/>
  </r>
  <r>
    <s v="April"/>
    <d v="2024-04-22T00:00:00"/>
    <n v="61046"/>
    <n v="43478"/>
    <s v="Knnd Associates Pvt Ltd"/>
    <s v="Vedha Entech Pvt Ltd "/>
    <s v="Spiral Oval Duct"/>
    <x v="6"/>
    <s v="Sqmt"/>
    <n v="13"/>
    <n v="750"/>
    <n v="9750"/>
  </r>
  <r>
    <s v="April"/>
    <d v="2024-04-22T00:00:00"/>
    <n v="61133"/>
    <n v="43479"/>
    <s v="Knnd Associates Pvt Ltd"/>
    <s v="Manipal South Bangalore"/>
    <s v="Box Duct with TDF"/>
    <x v="11"/>
    <s v="Sqmt"/>
    <n v="321.3"/>
    <n v="590"/>
    <n v="189567"/>
  </r>
  <r>
    <s v="April"/>
    <d v="2024-04-22T00:00:00"/>
    <n v="61133"/>
    <n v="43479"/>
    <s v="Knnd Associates Pvt Ltd"/>
    <s v="Manipal South Bangalore"/>
    <s v="Insulation"/>
    <x v="16"/>
    <s v="Sqmt"/>
    <n v="186"/>
    <n v="275"/>
    <n v="51150"/>
  </r>
  <r>
    <s v="April"/>
    <d v="2024-04-22T00:00:00"/>
    <n v="61133"/>
    <n v="43479"/>
    <s v="Knnd Associates Pvt Ltd"/>
    <s v="Manipal South Bangalore"/>
    <s v="Insulation"/>
    <x v="17"/>
    <s v="Sqmt"/>
    <n v="10.3"/>
    <n v="810"/>
    <n v="8343"/>
  </r>
  <r>
    <s v="April"/>
    <d v="2024-04-22T00:00:00"/>
    <n v="61133"/>
    <n v="43479"/>
    <s v="Knnd Associates Pvt Ltd"/>
    <s v="Manipal South Bangalore"/>
    <s v="Insulation Flange"/>
    <x v="18"/>
    <s v="Nos"/>
    <n v="40"/>
    <n v="153"/>
    <n v="6120"/>
  </r>
  <r>
    <s v="April"/>
    <d v="2024-04-22T00:00:00"/>
    <n v="61133"/>
    <n v="43479"/>
    <s v="Knnd Associates Pvt Ltd"/>
    <s v="Manipal South Bangalore"/>
    <s v="Stretch Film"/>
    <x v="4"/>
    <s v="Sqmt"/>
    <n v="190"/>
    <n v="15"/>
    <n v="2850"/>
  </r>
  <r>
    <s v="April"/>
    <d v="2024-04-22T00:00:00"/>
    <n v="61133"/>
    <n v="43480"/>
    <s v="Knnd Associates Pvt Ltd"/>
    <s v="Manipal South Bangalore"/>
    <s v="Box Duct with TDF"/>
    <x v="11"/>
    <s v="Sqmt"/>
    <n v="235.59999999999997"/>
    <n v="590"/>
    <n v="139003.99999999997"/>
  </r>
  <r>
    <s v="April"/>
    <d v="2024-04-22T00:00:00"/>
    <n v="61133"/>
    <n v="43480"/>
    <s v="Knnd Associates Pvt Ltd"/>
    <s v="Manipal South Bangalore"/>
    <s v="Insulation"/>
    <x v="16"/>
    <s v="Sqmt"/>
    <n v="181.2"/>
    <n v="275"/>
    <n v="49830"/>
  </r>
  <r>
    <s v="April"/>
    <d v="2024-04-22T00:00:00"/>
    <n v="61133"/>
    <n v="43480"/>
    <s v="Knnd Associates Pvt Ltd"/>
    <s v="Manipal South Bangalore"/>
    <s v="Insulation"/>
    <x v="17"/>
    <s v="Sqmt"/>
    <n v="1.7"/>
    <n v="810"/>
    <n v="1377"/>
  </r>
  <r>
    <s v="April"/>
    <d v="2024-04-22T00:00:00"/>
    <n v="61133"/>
    <n v="43480"/>
    <s v="Knnd Associates Pvt Ltd"/>
    <s v="Manipal South Bangalore"/>
    <s v="Insulation Flange"/>
    <x v="18"/>
    <s v="Nos"/>
    <n v="50"/>
    <n v="153"/>
    <n v="7650"/>
  </r>
  <r>
    <s v="April"/>
    <d v="2024-04-22T00:00:00"/>
    <n v="61133"/>
    <n v="43480"/>
    <s v="Knnd Associates Pvt Ltd"/>
    <s v="Manipal South Bangalore"/>
    <s v="Stretch Film"/>
    <x v="4"/>
    <s v="Sqmt"/>
    <n v="185"/>
    <n v="15"/>
    <n v="2775"/>
  </r>
  <r>
    <s v="April"/>
    <d v="2024-04-22T00:00:00"/>
    <n v="61133"/>
    <n v="43480"/>
    <s v="Knnd Associates Pvt Ltd"/>
    <s v="Manipal South Bangalore"/>
    <s v="Round Collar with flange 150 Dia"/>
    <x v="11"/>
    <s v="Nos"/>
    <n v="21"/>
    <n v="110"/>
    <n v="2310"/>
  </r>
  <r>
    <s v="April"/>
    <d v="2024-04-22T00:00:00"/>
    <n v="61133"/>
    <n v="43480"/>
    <s v="Knnd Associates Pvt Ltd"/>
    <s v="Manipal South Bangalore"/>
    <s v="Round Collar with flange 200 Dia"/>
    <x v="11"/>
    <s v="Nos"/>
    <n v="17"/>
    <n v="140"/>
    <n v="2380"/>
  </r>
  <r>
    <s v="April"/>
    <d v="2024-04-22T00:00:00"/>
    <n v="61133"/>
    <n v="43480"/>
    <s v="Knnd Associates Pvt Ltd"/>
    <s v="Manipal South Bangalore"/>
    <s v="Round Collar with flange 250 Dia"/>
    <x v="11"/>
    <s v="Nos"/>
    <n v="4"/>
    <n v="180"/>
    <n v="720"/>
  </r>
  <r>
    <s v="April"/>
    <d v="2024-04-23T00:00:00"/>
    <n v="61136"/>
    <n v="43481"/>
    <s v="Knnd Associates Pvt Ltd"/>
    <s v="Adwitiya Projects Bangalore"/>
    <s v="Box Duct with TDF"/>
    <x v="11"/>
    <s v="Sqmt"/>
    <n v="221.8"/>
    <n v="590"/>
    <n v="130862"/>
  </r>
  <r>
    <s v="April"/>
    <d v="2024-04-23T00:00:00"/>
    <n v="61136"/>
    <n v="43482"/>
    <s v="Knnd Associates Pvt Ltd"/>
    <s v="Adwitiya Projects Bangalore"/>
    <s v="Box Duct with TDF"/>
    <x v="11"/>
    <s v="Sqmt"/>
    <n v="156.5"/>
    <n v="590"/>
    <n v="92335"/>
  </r>
  <r>
    <s v="April"/>
    <d v="2024-04-23T00:00:00"/>
    <n v="61136"/>
    <n v="43482"/>
    <s v="Knnd Associates Pvt Ltd"/>
    <s v="Adwitiya Projects Bangalore"/>
    <s v="Round Collar with flange 150 Dia"/>
    <x v="11"/>
    <s v="Nos"/>
    <n v="208"/>
    <n v="110"/>
    <n v="22880"/>
  </r>
  <r>
    <s v="April"/>
    <d v="2024-04-23T00:00:00"/>
    <n v="61136"/>
    <n v="43482"/>
    <s v="Knnd Associates Pvt Ltd"/>
    <s v="Adwitiya Projects Bangalore"/>
    <s v="VCD (Alu. Blade)"/>
    <x v="1"/>
    <s v="Sqmt"/>
    <n v="3.8"/>
    <n v="5200"/>
    <n v="19760"/>
  </r>
  <r>
    <s v="April"/>
    <d v="2024-04-24T00:00:00"/>
    <n v="61133"/>
    <n v="43483"/>
    <s v="Knnd Associates Pvt Ltd"/>
    <s v="Manipal South Bangalore"/>
    <s v="Box Duct with TDF"/>
    <x v="11"/>
    <s v="Sqmt"/>
    <n v="100.89999999999999"/>
    <n v="590"/>
    <n v="59530.999999999993"/>
  </r>
  <r>
    <s v="April"/>
    <d v="2024-04-24T00:00:00"/>
    <n v="61133"/>
    <n v="43483"/>
    <s v="Knnd Associates Pvt Ltd"/>
    <s v="Manipal South Bangalore"/>
    <s v="Insulation"/>
    <x v="16"/>
    <s v="Sqmt"/>
    <n v="47.6"/>
    <n v="275"/>
    <n v="13090"/>
  </r>
  <r>
    <s v="April"/>
    <d v="2024-04-24T00:00:00"/>
    <n v="61133"/>
    <n v="43483"/>
    <s v="Knnd Associates Pvt Ltd"/>
    <s v="Manipal South Bangalore"/>
    <s v="Insulation"/>
    <x v="17"/>
    <s v="Sqmt"/>
    <n v="19.8"/>
    <n v="810"/>
    <n v="16038"/>
  </r>
  <r>
    <s v="April"/>
    <d v="2024-04-24T00:00:00"/>
    <n v="61133"/>
    <n v="43483"/>
    <s v="Knnd Associates Pvt Ltd"/>
    <s v="Manipal South Bangalore"/>
    <s v="Round Collar with flange 150 Dia"/>
    <x v="11"/>
    <s v="Nos"/>
    <n v="7"/>
    <n v="110"/>
    <n v="770"/>
  </r>
  <r>
    <s v="April"/>
    <d v="2024-04-24T00:00:00"/>
    <n v="61133"/>
    <n v="43483"/>
    <s v="Knnd Associates Pvt Ltd"/>
    <s v="Manipal South Bangalore"/>
    <s v="VCD (Alu. Blade)"/>
    <x v="2"/>
    <s v="Sqmt"/>
    <n v="6.8"/>
    <n v="5720"/>
    <n v="38896"/>
  </r>
  <r>
    <s v="April"/>
    <d v="2024-04-24T00:00:00"/>
    <n v="61133"/>
    <n v="43483"/>
    <s v="Knnd Associates Pvt Ltd"/>
    <s v="Manipal South Bangalore"/>
    <s v="Stretch Film"/>
    <x v="4"/>
    <s v="Sqmt"/>
    <n v="50"/>
    <n v="15"/>
    <n v="750"/>
  </r>
  <r>
    <s v="April"/>
    <d v="2024-04-24T00:00:00"/>
    <n v="61140"/>
    <n v="43484"/>
    <s v="Eqube Energy and Research Services LLP"/>
    <s v="Siemens Ltd Bangalore"/>
    <s v="Mixing Box (1900x150x450H)"/>
    <x v="11"/>
    <s v="Nos"/>
    <n v="3"/>
    <n v="1500"/>
    <n v="4500"/>
  </r>
  <r>
    <s v="April"/>
    <d v="2024-04-24T00:00:00"/>
    <n v="61140"/>
    <n v="43484"/>
    <s v="Eqube Energy and Research Services LLP"/>
    <s v="Siemens Ltd Bangalore"/>
    <s v="Mixing Box (750x150x450H)"/>
    <x v="11"/>
    <s v="Nos"/>
    <n v="1"/>
    <n v="800"/>
    <n v="800"/>
  </r>
  <r>
    <s v="April"/>
    <d v="2024-04-24T00:00:00"/>
    <n v="61140"/>
    <n v="43484"/>
    <s v="Eqube Energy and Research Services LLP"/>
    <s v="Siemens Ltd Bangalore"/>
    <s v="Mixing Box (450x450x450H)"/>
    <x v="11"/>
    <s v="Nos"/>
    <n v="3"/>
    <n v="1100"/>
    <n v="3300"/>
  </r>
  <r>
    <s v="April"/>
    <d v="2024-04-24T00:00:00"/>
    <n v="61139"/>
    <n v="43485"/>
    <s v="Knnd Associates Pvt Ltd"/>
    <s v="Wework X Olympia Chennai"/>
    <s v="Box Duct with TDF"/>
    <x v="11"/>
    <s v="Sqmt"/>
    <n v="94.800000000000011"/>
    <n v="590"/>
    <n v="55932.000000000007"/>
  </r>
  <r>
    <s v="April"/>
    <d v="2024-04-24T00:00:00"/>
    <n v="61139"/>
    <n v="43485"/>
    <s v="Knnd Associates Pvt Ltd"/>
    <s v="Wework X Olympia Chennai"/>
    <s v="Box Duct with TDF"/>
    <x v="12"/>
    <s v="Sqmt"/>
    <n v="96.5"/>
    <n v="760"/>
    <n v="73340"/>
  </r>
  <r>
    <s v="April"/>
    <d v="2024-04-24T00:00:00"/>
    <n v="61139"/>
    <n v="43485"/>
    <s v="Knnd Associates Pvt Ltd"/>
    <s v="Wework X Olympia Chennai"/>
    <s v="Box Duct with TDF"/>
    <x v="1"/>
    <s v="Sqmt"/>
    <n v="37"/>
    <n v="920"/>
    <n v="34040"/>
  </r>
  <r>
    <s v="April"/>
    <d v="2024-04-24T00:00:00"/>
    <n v="61139"/>
    <n v="43485"/>
    <s v="Knnd Associates Pvt Ltd"/>
    <s v="Wework X Olympia Chennai"/>
    <s v="Insulation"/>
    <x v="16"/>
    <s v="Sqmt"/>
    <n v="22.7"/>
    <n v="287"/>
    <n v="6514.9"/>
  </r>
  <r>
    <s v="April"/>
    <d v="2024-04-24T00:00:00"/>
    <n v="61139"/>
    <n v="43485"/>
    <s v="Knnd Associates Pvt Ltd"/>
    <s v="Wework X Olympia Chennai"/>
    <s v="Insulation"/>
    <x v="17"/>
    <s v="Sqmt"/>
    <n v="145.30000000000001"/>
    <n v="883"/>
    <n v="128299.90000000001"/>
  </r>
  <r>
    <s v="April"/>
    <d v="2024-04-24T00:00:00"/>
    <n v="61139"/>
    <n v="43485"/>
    <s v="Knnd Associates Pvt Ltd"/>
    <s v="Wework X Olympia Chennai"/>
    <s v="VCD (Alu. Blade)"/>
    <x v="2"/>
    <s v="Sqmt"/>
    <n v="5.3"/>
    <n v="5720"/>
    <n v="30316"/>
  </r>
  <r>
    <s v="April"/>
    <d v="2024-04-24T00:00:00"/>
    <n v="61139"/>
    <n v="43485"/>
    <s v="Knnd Associates Pvt Ltd"/>
    <s v="Wework X Olympia Chennai"/>
    <s v="VCD (GI Blade)"/>
    <x v="2"/>
    <s v="Sqmt"/>
    <n v="4.7"/>
    <n v="4730"/>
    <n v="22231"/>
  </r>
  <r>
    <s v="April"/>
    <d v="2024-04-24T00:00:00"/>
    <n v="61139"/>
    <n v="43485"/>
    <s v="Knnd Associates Pvt Ltd"/>
    <s v="Wework X Olympia Chennai"/>
    <s v="Plain Sheet"/>
    <x v="11"/>
    <s v="Sqmt"/>
    <n v="30"/>
    <n v="448"/>
    <n v="13440"/>
  </r>
  <r>
    <s v="April"/>
    <d v="2024-04-24T00:00:00"/>
    <n v="61139"/>
    <n v="43485"/>
    <s v="Knnd Associates Pvt Ltd"/>
    <s v="Wework X Olympia Chennai"/>
    <s v="Cleats"/>
    <x v="19"/>
    <s v="Nos"/>
    <n v="300"/>
    <n v="5"/>
    <n v="1500"/>
  </r>
  <r>
    <s v="April"/>
    <d v="2024-04-24T00:00:00"/>
    <n v="61141"/>
    <n v="43486"/>
    <s v="Knnd Associates Pvt Ltd"/>
    <s v="MAHE Bengaluru"/>
    <s v="Box Duct with TDF"/>
    <x v="20"/>
    <s v="Sqmt"/>
    <n v="28.6"/>
    <n v="950"/>
    <n v="27170"/>
  </r>
  <r>
    <s v="April"/>
    <d v="2024-04-24T00:00:00"/>
    <n v="61141"/>
    <n v="43486"/>
    <s v="Knnd Associates Pvt Ltd"/>
    <s v="MAHE Bengaluru"/>
    <s v="Box Duct with TDF"/>
    <x v="11"/>
    <s v="Sqmt"/>
    <n v="15.8"/>
    <n v="590"/>
    <n v="9322"/>
  </r>
  <r>
    <s v="April"/>
    <d v="2024-04-24T00:00:00"/>
    <n v="61141"/>
    <n v="43486"/>
    <s v="Knnd Associates Pvt Ltd"/>
    <s v="MAHE Bengaluru"/>
    <s v="Box Duct with TDF"/>
    <x v="12"/>
    <s v="Sqmt"/>
    <n v="4.0999999999999996"/>
    <n v="760"/>
    <n v="3115.9999999999995"/>
  </r>
  <r>
    <s v="April"/>
    <d v="2024-04-24T00:00:00"/>
    <n v="61141"/>
    <n v="43486"/>
    <s v="Knnd Associates Pvt Ltd"/>
    <s v="MAHE Bengaluru"/>
    <s v="Box Duct with TDF"/>
    <x v="1"/>
    <s v="Sqmt"/>
    <n v="51.4"/>
    <n v="920"/>
    <n v="47288"/>
  </r>
  <r>
    <s v="April"/>
    <d v="2024-04-24T00:00:00"/>
    <n v="61141"/>
    <n v="43486"/>
    <s v="Knnd Associates Pvt Ltd"/>
    <s v="MAHE Bengaluru"/>
    <s v="Insulation"/>
    <x v="21"/>
    <s v="Sqmt"/>
    <n v="68"/>
    <n v="580"/>
    <n v="39440"/>
  </r>
  <r>
    <s v="April"/>
    <d v="2024-04-25T00:00:00"/>
    <n v="61142"/>
    <n v="43487"/>
    <s v="Knnd Associates Pvt Ltd"/>
    <s v="MUJ LHC"/>
    <s v="Box Duct with TDF"/>
    <x v="11"/>
    <s v="Sqmt"/>
    <n v="301.60000000000002"/>
    <n v="590"/>
    <n v="177944"/>
  </r>
  <r>
    <s v="April"/>
    <d v="2024-04-25T00:00:00"/>
    <n v="61142"/>
    <n v="43487"/>
    <s v="Knnd Associates Pvt Ltd"/>
    <s v="MUJ LHC"/>
    <s v="Box Duct with TDF"/>
    <x v="12"/>
    <s v="Sqmt"/>
    <n v="98.5"/>
    <n v="760"/>
    <n v="74860"/>
  </r>
  <r>
    <s v="April"/>
    <d v="2024-04-25T00:00:00"/>
    <n v="61142"/>
    <n v="43487"/>
    <s v="Knnd Associates Pvt Ltd"/>
    <s v="MUJ LHC"/>
    <s v="VCD (Alu. Blade)"/>
    <x v="1"/>
    <s v="Sqmt"/>
    <n v="0.8"/>
    <n v="5200"/>
    <n v="4160"/>
  </r>
  <r>
    <s v="April"/>
    <d v="2024-04-25T00:00:00"/>
    <n v="61142"/>
    <n v="43487"/>
    <s v="Knnd Associates Pvt Ltd"/>
    <s v="MUJ LHC"/>
    <s v="Insulation"/>
    <x v="22"/>
    <s v="Sqmt"/>
    <n v="420.22269900000003"/>
    <n v="326"/>
    <n v="136992.59987400001"/>
  </r>
  <r>
    <s v="April"/>
    <d v="2024-04-25T00:00:00"/>
    <n v="61142"/>
    <n v="43487"/>
    <s v="Knnd Associates Pvt Ltd"/>
    <s v="MUJ LHC"/>
    <s v="Mixing Box (600x150x350H)"/>
    <x v="11"/>
    <s v="Nos"/>
    <n v="32"/>
    <n v="455"/>
    <n v="14560"/>
  </r>
  <r>
    <s v="April"/>
    <d v="2024-04-25T00:00:00"/>
    <n v="61142"/>
    <n v="43487"/>
    <s v="Knnd Associates Pvt Ltd"/>
    <s v="MUJ LHC"/>
    <s v="Insulation Flange"/>
    <x v="18"/>
    <s v="Nos"/>
    <n v="130"/>
    <n v="153"/>
    <n v="19890"/>
  </r>
  <r>
    <s v="April"/>
    <d v="2024-04-25T00:00:00"/>
    <n v="61142"/>
    <n v="43487"/>
    <s v="Knnd Associates Pvt Ltd"/>
    <s v="MUJ LHC"/>
    <s v="Stretch Film"/>
    <x v="4"/>
    <s v="Sqmt"/>
    <n v="435"/>
    <n v="15"/>
    <n v="6525"/>
  </r>
  <r>
    <s v="April"/>
    <d v="2024-04-25T00:00:00"/>
    <n v="61137"/>
    <n v="43488"/>
    <s v="Knnd Associates Pvt Ltd"/>
    <s v="BVVS Bagalkot"/>
    <s v="Box Duct with TDF"/>
    <x v="11"/>
    <s v="Sqmt"/>
    <n v="332.9"/>
    <n v="590"/>
    <n v="196411"/>
  </r>
  <r>
    <s v="April"/>
    <d v="2024-04-25T00:00:00"/>
    <n v="61137"/>
    <n v="43488"/>
    <s v="Knnd Associates Pvt Ltd"/>
    <s v="BVVS Bagalkot"/>
    <s v="Box Duct with TDF"/>
    <x v="12"/>
    <s v="Sqmt"/>
    <n v="253.1"/>
    <n v="760"/>
    <n v="192356"/>
  </r>
  <r>
    <s v="April"/>
    <d v="2024-04-25T00:00:00"/>
    <n v="61137"/>
    <n v="43488"/>
    <s v="Knnd Associates Pvt Ltd"/>
    <s v="BVVS Bagalkot"/>
    <s v="Insulation"/>
    <x v="14"/>
    <s v="Sqmt"/>
    <n v="292.59999999999997"/>
    <n v="408"/>
    <n v="119380.79999999999"/>
  </r>
  <r>
    <s v="April"/>
    <d v="2024-04-25T00:00:00"/>
    <n v="61137"/>
    <n v="43488"/>
    <s v="Knnd Associates Pvt Ltd"/>
    <s v="BVVS Bagalkot"/>
    <s v="Insulation Flange"/>
    <x v="14"/>
    <s v="Sqmt"/>
    <n v="187"/>
    <n v="255"/>
    <n v="47685"/>
  </r>
  <r>
    <s v="April"/>
    <d v="2024-04-25T00:00:00"/>
    <n v="61137"/>
    <n v="43488"/>
    <s v="Knnd Associates Pvt Ltd"/>
    <s v="BVVS Bagalkot"/>
    <s v="Plain Sheet"/>
    <x v="11"/>
    <s v="Sqmt"/>
    <n v="150"/>
    <n v="448"/>
    <n v="67200"/>
  </r>
  <r>
    <s v="April"/>
    <d v="2024-04-25T00:00:00"/>
    <n v="61137"/>
    <n v="43488"/>
    <s v="Knnd Associates Pvt Ltd"/>
    <s v="BVVS Bagalkot"/>
    <s v="Stretch Film"/>
    <x v="4"/>
    <s v="Sqmt"/>
    <n v="300"/>
    <n v="15"/>
    <n v="4500"/>
  </r>
  <r>
    <s v="April"/>
    <d v="2024-04-27T00:00:00"/>
    <n v="60935"/>
    <n v="43489"/>
    <s v="LD Square Technologies India Pvt Ltd"/>
    <s v="LD Square Technologies India Pvt Ltd"/>
    <s v="Plain Sheet"/>
    <x v="11"/>
    <s v="Sqmt"/>
    <n v="51.2"/>
    <n v="530"/>
    <n v="27136"/>
  </r>
  <r>
    <s v="April"/>
    <d v="2024-04-27T00:00:00"/>
    <n v="61142"/>
    <n v="43490"/>
    <s v="Knnd Associates Pvt Ltd"/>
    <s v="MUJ LHC"/>
    <s v="Box Duct with TDF"/>
    <x v="11"/>
    <s v="Sqmt"/>
    <n v="227.5"/>
    <n v="590"/>
    <n v="134225"/>
  </r>
  <r>
    <s v="April"/>
    <d v="2024-04-27T00:00:00"/>
    <n v="61142"/>
    <n v="43490"/>
    <s v="Knnd Associates Pvt Ltd"/>
    <s v="MUJ LHC"/>
    <s v="Box Duct with TDF"/>
    <x v="12"/>
    <s v="Sqmt"/>
    <n v="273.60000000000002"/>
    <n v="760"/>
    <n v="207936.00000000003"/>
  </r>
  <r>
    <s v="April"/>
    <d v="2024-04-27T00:00:00"/>
    <n v="61142"/>
    <n v="43490"/>
    <s v="Knnd Associates Pvt Ltd"/>
    <s v="MUJ LHC"/>
    <s v="Mixing Box (600x150x350H)"/>
    <x v="11"/>
    <s v="Nos"/>
    <n v="32"/>
    <n v="455"/>
    <n v="14560"/>
  </r>
  <r>
    <s v="April"/>
    <d v="2024-04-27T00:00:00"/>
    <n v="61142"/>
    <n v="43490"/>
    <s v="Knnd Associates Pvt Ltd"/>
    <s v="MUJ LHC"/>
    <s v="Insulation"/>
    <x v="22"/>
    <s v="Sqmt"/>
    <n v="521.22269900000003"/>
    <n v="326"/>
    <n v="169918.59987400001"/>
  </r>
  <r>
    <s v="April"/>
    <d v="2024-04-27T00:00:00"/>
    <n v="61142"/>
    <n v="43490"/>
    <s v="Knnd Associates Pvt Ltd"/>
    <s v="MUJ LHC"/>
    <s v="Stretch Film"/>
    <x v="4"/>
    <s v="Sqmt"/>
    <n v="540"/>
    <n v="15"/>
    <n v="8100"/>
  </r>
  <r>
    <s v="April"/>
    <d v="2024-04-27T00:00:00"/>
    <n v="61142"/>
    <n v="43491"/>
    <s v="Knnd Associates Pvt Ltd"/>
    <s v="MUJ LHC"/>
    <s v="Box Duct with TDF"/>
    <x v="11"/>
    <s v="Sqmt"/>
    <n v="228"/>
    <n v="590"/>
    <n v="134520"/>
  </r>
  <r>
    <s v="April"/>
    <d v="2024-04-27T00:00:00"/>
    <n v="61142"/>
    <n v="43491"/>
    <s v="Knnd Associates Pvt Ltd"/>
    <s v="MUJ LHC"/>
    <s v="Box Duct with TDF"/>
    <x v="12"/>
    <s v="Sqmt"/>
    <n v="168.2"/>
    <n v="760"/>
    <n v="127831.99999999999"/>
  </r>
  <r>
    <s v="April"/>
    <d v="2024-04-27T00:00:00"/>
    <n v="61142"/>
    <n v="43491"/>
    <s v="Knnd Associates Pvt Ltd"/>
    <s v="MUJ LHC"/>
    <s v="VCD (Alu. Blade)"/>
    <x v="1"/>
    <s v="Sqmt"/>
    <n v="0.8"/>
    <n v="5200"/>
    <n v="4160"/>
  </r>
  <r>
    <s v="April"/>
    <d v="2024-04-27T00:00:00"/>
    <n v="61142"/>
    <n v="43491"/>
    <s v="Knnd Associates Pvt Ltd"/>
    <s v="MUJ LHC"/>
    <s v="Insulation"/>
    <x v="22"/>
    <s v="Sqmt"/>
    <n v="228"/>
    <n v="326"/>
    <n v="74328"/>
  </r>
  <r>
    <s v="April"/>
    <d v="2024-04-27T00:00:00"/>
    <n v="61142"/>
    <n v="43491"/>
    <s v="Knnd Associates Pvt Ltd"/>
    <s v="MUJ LHC"/>
    <s v="Insulation Flange"/>
    <x v="18"/>
    <s v="Nos"/>
    <n v="130"/>
    <n v="153"/>
    <n v="19890"/>
  </r>
  <r>
    <s v="April"/>
    <d v="2024-04-27T00:00:00"/>
    <n v="61142"/>
    <n v="43491"/>
    <s v="Knnd Associates Pvt Ltd"/>
    <s v="MUJ LHC"/>
    <s v="Insulation"/>
    <x v="23"/>
    <s v="Sqmt"/>
    <n v="168.2"/>
    <n v="876"/>
    <n v="147343.19999999998"/>
  </r>
  <r>
    <s v="April"/>
    <d v="2024-04-27T00:00:00"/>
    <n v="61142"/>
    <n v="43491"/>
    <s v="Knnd Associates Pvt Ltd"/>
    <s v="MUJ LHC"/>
    <s v="Stretch Film"/>
    <x v="4"/>
    <s v="Sqmt"/>
    <n v="230"/>
    <n v="15"/>
    <n v="3450"/>
  </r>
  <r>
    <s v="April"/>
    <d v="2024-04-29T00:00:00"/>
    <n v="61142"/>
    <n v="43492"/>
    <s v="Knnd Associates Pvt Ltd"/>
    <s v="MUJ LHC"/>
    <s v="Box Duct with TDF"/>
    <x v="11"/>
    <s v="Sqmt"/>
    <n v="451.6"/>
    <n v="590"/>
    <n v="266444"/>
  </r>
  <r>
    <s v="April"/>
    <d v="2024-04-29T00:00:00"/>
    <n v="61142"/>
    <n v="43492"/>
    <s v="Knnd Associates Pvt Ltd"/>
    <s v="MUJ LHC"/>
    <s v="Box Duct with TDF"/>
    <x v="12"/>
    <s v="Sqmt"/>
    <n v="73.099999999999994"/>
    <n v="760"/>
    <n v="55555.999999999993"/>
  </r>
  <r>
    <s v="April"/>
    <d v="2024-04-29T00:00:00"/>
    <n v="61142"/>
    <n v="43492"/>
    <s v="Knnd Associates Pvt Ltd"/>
    <s v="MUJ LHC"/>
    <s v="Insulation"/>
    <x v="22"/>
    <s v="Sqmt"/>
    <n v="448.8"/>
    <n v="326"/>
    <n v="146308.80000000002"/>
  </r>
  <r>
    <s v="April"/>
    <d v="2024-04-29T00:00:00"/>
    <n v="61142"/>
    <n v="43492"/>
    <s v="Knnd Associates Pvt Ltd"/>
    <s v="MUJ LHC"/>
    <s v="Insulation"/>
    <x v="23"/>
    <s v="Sqmt"/>
    <n v="75.899999999999991"/>
    <n v="876"/>
    <n v="66488.399999999994"/>
  </r>
  <r>
    <s v="April"/>
    <d v="2024-04-29T00:00:00"/>
    <n v="61142"/>
    <n v="43492"/>
    <s v="Knnd Associates Pvt Ltd"/>
    <s v="MUJ LHC"/>
    <s v="Stretch Film"/>
    <x v="4"/>
    <s v="Sqmt"/>
    <n v="450"/>
    <n v="15"/>
    <n v="6750"/>
  </r>
  <r>
    <s v="April"/>
    <d v="2024-04-30T00:00:00"/>
    <n v="61143"/>
    <n v="43493"/>
    <s v="Air System Engineers"/>
    <s v="Intel Bangalore"/>
    <s v="Box Duct with TDF"/>
    <x v="11"/>
    <s v="Sqmt"/>
    <n v="49.2"/>
    <n v="690"/>
    <n v="33948"/>
  </r>
  <r>
    <s v="April"/>
    <d v="2024-04-30T00:00:00"/>
    <n v="61142"/>
    <n v="43494"/>
    <s v="Knnd Associates Pvt Ltd"/>
    <s v="MUJ LHC"/>
    <s v="Box Duct with TDF"/>
    <x v="11"/>
    <s v="Sqmt"/>
    <n v="646"/>
    <n v="590"/>
    <n v="381140"/>
  </r>
  <r>
    <s v="April"/>
    <d v="2024-04-30T00:00:00"/>
    <n v="61142"/>
    <n v="43494"/>
    <s v="Knnd Associates Pvt Ltd"/>
    <s v="MUJ LHC"/>
    <s v="Box Duct with TDF"/>
    <x v="12"/>
    <s v="Sqmt"/>
    <n v="0.6"/>
    <n v="760"/>
    <n v="456"/>
  </r>
  <r>
    <s v="April"/>
    <d v="2024-04-30T00:00:00"/>
    <n v="61142"/>
    <n v="43494"/>
    <s v="Knnd Associates Pvt Ltd"/>
    <s v="MUJ LHC"/>
    <s v="Insulation"/>
    <x v="22"/>
    <s v="Sqmt"/>
    <n v="587.5"/>
    <n v="326"/>
    <n v="191525"/>
  </r>
  <r>
    <s v="April"/>
    <d v="2024-04-30T00:00:00"/>
    <n v="61142"/>
    <n v="43494"/>
    <s v="Knnd Associates Pvt Ltd"/>
    <s v="MUJ LHC"/>
    <s v="Insulation"/>
    <x v="23"/>
    <s v="Sqmt"/>
    <n v="59.1"/>
    <n v="876"/>
    <n v="51771.6"/>
  </r>
  <r>
    <s v="April"/>
    <d v="2024-04-30T00:00:00"/>
    <n v="61142"/>
    <n v="43494"/>
    <s v="Knnd Associates Pvt Ltd"/>
    <s v="MUJ LHC"/>
    <s v="VCD (Alu. Blade)"/>
    <x v="1"/>
    <s v="Sqmt"/>
    <n v="8.8000000000000007"/>
    <n v="5200"/>
    <n v="45760.000000000007"/>
  </r>
  <r>
    <s v="April"/>
    <d v="2024-04-30T00:00:00"/>
    <n v="61142"/>
    <n v="43494"/>
    <s v="Knnd Associates Pvt Ltd"/>
    <s v="MUJ LHC"/>
    <s v="Insulation Flange"/>
    <x v="18"/>
    <s v="Nos"/>
    <n v="130"/>
    <n v="153"/>
    <n v="19890"/>
  </r>
  <r>
    <s v="April"/>
    <d v="2024-04-30T00:00:00"/>
    <n v="61142"/>
    <n v="43494"/>
    <s v="Knnd Associates Pvt Ltd"/>
    <s v="MUJ LHC"/>
    <s v="Stretch Film"/>
    <x v="4"/>
    <s v="Sqmt"/>
    <n v="590"/>
    <n v="15"/>
    <n v="8850"/>
  </r>
  <r>
    <s v="May"/>
    <d v="2024-05-02T00:00:00"/>
    <n v="61136"/>
    <n v="43495"/>
    <s v="Knnd Associates Pvt Ltd"/>
    <s v="Adwitiya Projects Bangalore"/>
    <s v="Box Duct with TDF"/>
    <x v="11"/>
    <s v="Sqmt"/>
    <n v="35.6"/>
    <n v="590"/>
    <n v="21004"/>
  </r>
  <r>
    <s v="May"/>
    <d v="2024-05-02T00:00:00"/>
    <n v="61136"/>
    <n v="43495"/>
    <s v="Knnd Associates Pvt Ltd"/>
    <s v="Adwitiya Projects Bangalore"/>
    <s v="Box Duct with TDF"/>
    <x v="12"/>
    <s v="Sqmt"/>
    <n v="248"/>
    <n v="760"/>
    <n v="188480"/>
  </r>
  <r>
    <s v="May"/>
    <d v="2024-05-02T00:00:00"/>
    <n v="61136"/>
    <n v="43496"/>
    <s v="Knnd Associates Pvt Ltd"/>
    <s v="Adwitiya Projects Bangalore"/>
    <s v="Box Duct with TDF"/>
    <x v="11"/>
    <s v="Sqmt"/>
    <n v="9.1999999999999993"/>
    <n v="590"/>
    <n v="5428"/>
  </r>
  <r>
    <s v="May"/>
    <d v="2024-05-02T00:00:00"/>
    <n v="61136"/>
    <n v="43496"/>
    <s v="Knnd Associates Pvt Ltd"/>
    <s v="Adwitiya Projects Bangalore"/>
    <s v="Box Duct with TDF"/>
    <x v="12"/>
    <s v="Sqmt"/>
    <n v="31.7"/>
    <n v="760"/>
    <n v="24092"/>
  </r>
  <r>
    <s v="May"/>
    <d v="2024-05-02T00:00:00"/>
    <n v="61136"/>
    <n v="43496"/>
    <s v="Knnd Associates Pvt Ltd"/>
    <s v="Adwitiya Projects Bangalore"/>
    <s v="Round Collar with flange 150 Dia"/>
    <x v="11"/>
    <s v="Nos"/>
    <n v="2"/>
    <n v="110"/>
    <n v="220"/>
  </r>
  <r>
    <s v="May"/>
    <d v="2024-05-02T00:00:00"/>
    <n v="61136"/>
    <n v="43496"/>
    <s v="Knnd Associates Pvt Ltd"/>
    <s v="Adwitiya Projects Bangalore"/>
    <s v="VCD (Alu. Blade)"/>
    <x v="1"/>
    <s v="Sqmt"/>
    <n v="0.2"/>
    <n v="5200"/>
    <n v="1040"/>
  </r>
  <r>
    <s v="May"/>
    <d v="2024-05-02T00:00:00"/>
    <n v="61142"/>
    <n v="43497"/>
    <s v="Knnd Associates Pvt Ltd"/>
    <s v="MUJ LHC"/>
    <s v="Box Duct with TDF"/>
    <x v="11"/>
    <s v="Sqmt"/>
    <n v="586.5"/>
    <n v="590"/>
    <n v="346035"/>
  </r>
  <r>
    <s v="May"/>
    <d v="2024-05-02T00:00:00"/>
    <n v="61142"/>
    <n v="43497"/>
    <s v="Knnd Associates Pvt Ltd"/>
    <s v="MUJ LHC"/>
    <s v="Box Duct with TDF"/>
    <x v="12"/>
    <s v="Sqmt"/>
    <n v="115.1"/>
    <n v="760"/>
    <n v="87476"/>
  </r>
  <r>
    <s v="May"/>
    <d v="2024-05-02T00:00:00"/>
    <n v="61142"/>
    <n v="43497"/>
    <s v="Knnd Associates Pvt Ltd"/>
    <s v="MUJ LHC"/>
    <s v="Insulation"/>
    <x v="22"/>
    <s v="Sqmt"/>
    <n v="578.90735999999993"/>
    <n v="326"/>
    <n v="188723.79935999998"/>
  </r>
  <r>
    <s v="May"/>
    <d v="2024-05-02T00:00:00"/>
    <n v="61142"/>
    <n v="43497"/>
    <s v="Knnd Associates Pvt Ltd"/>
    <s v="MUJ LHC"/>
    <s v="Insulation"/>
    <x v="23"/>
    <s v="Sqmt"/>
    <n v="130.29999999999998"/>
    <n v="876"/>
    <n v="114142.79999999999"/>
  </r>
  <r>
    <s v="May"/>
    <d v="2024-05-02T00:00:00"/>
    <n v="61142"/>
    <n v="43497"/>
    <s v="Knnd Associates Pvt Ltd"/>
    <s v="MUJ LHC"/>
    <s v="Mixing Box (500x150x300H)"/>
    <x v="11"/>
    <s v="Nos"/>
    <n v="16"/>
    <n v="335"/>
    <n v="5360"/>
  </r>
  <r>
    <s v="May"/>
    <d v="2024-05-02T00:00:00"/>
    <n v="61142"/>
    <n v="43497"/>
    <s v="Knnd Associates Pvt Ltd"/>
    <s v="MUJ LHC"/>
    <s v="Insulation Flange"/>
    <x v="18"/>
    <s v="Nos"/>
    <n v="130"/>
    <n v="153"/>
    <n v="19890"/>
  </r>
  <r>
    <s v="May"/>
    <d v="2024-05-02T00:00:00"/>
    <n v="61142"/>
    <n v="43497"/>
    <s v="Knnd Associates Pvt Ltd"/>
    <s v="MUJ LHC"/>
    <s v="Stretch Film"/>
    <x v="4"/>
    <s v="Sqmt"/>
    <n v="575"/>
    <n v="15"/>
    <n v="8625"/>
  </r>
  <r>
    <s v="May"/>
    <d v="2024-05-03T00:00:00"/>
    <n v="61142"/>
    <n v="43498"/>
    <s v="Knnd Associates Pvt Ltd"/>
    <s v="MUJ LHC"/>
    <s v="Box Duct with TDF"/>
    <x v="11"/>
    <s v="Sqmt"/>
    <n v="198.5"/>
    <n v="590"/>
    <n v="117115"/>
  </r>
  <r>
    <s v="May"/>
    <d v="2024-05-03T00:00:00"/>
    <n v="61142"/>
    <n v="43498"/>
    <s v="Knnd Associates Pvt Ltd"/>
    <s v="MUJ LHC"/>
    <s v="Box Duct with TDF"/>
    <x v="12"/>
    <s v="Sqmt"/>
    <n v="289.39999999999998"/>
    <n v="760"/>
    <n v="219943.99999999997"/>
  </r>
  <r>
    <s v="May"/>
    <d v="2024-05-03T00:00:00"/>
    <n v="61142"/>
    <n v="43498"/>
    <s v="Knnd Associates Pvt Ltd"/>
    <s v="MUJ LHC"/>
    <s v="Insulation"/>
    <x v="22"/>
    <s v="Sqmt"/>
    <n v="387.2"/>
    <n v="326"/>
    <n v="126227.2"/>
  </r>
  <r>
    <s v="May"/>
    <d v="2024-05-03T00:00:00"/>
    <n v="61142"/>
    <n v="43498"/>
    <s v="Knnd Associates Pvt Ltd"/>
    <s v="MUJ LHC"/>
    <s v="Insulation"/>
    <x v="23"/>
    <s v="Sqmt"/>
    <n v="86"/>
    <n v="876"/>
    <n v="75336"/>
  </r>
  <r>
    <s v="May"/>
    <d v="2024-05-03T00:00:00"/>
    <n v="61142"/>
    <n v="43498"/>
    <s v="Knnd Associates Pvt Ltd"/>
    <s v="MUJ LHC"/>
    <s v="VCD (Alu. Blade)"/>
    <x v="1"/>
    <s v="Sqmt"/>
    <n v="8"/>
    <n v="5200"/>
    <n v="41600"/>
  </r>
  <r>
    <s v="May"/>
    <d v="2024-05-03T00:00:00"/>
    <n v="61142"/>
    <n v="43498"/>
    <s v="Knnd Associates Pvt Ltd"/>
    <s v="MUJ LHC"/>
    <s v="Insulation Flange"/>
    <x v="18"/>
    <s v="Nos"/>
    <n v="130"/>
    <n v="153"/>
    <n v="19890"/>
  </r>
  <r>
    <s v="May"/>
    <d v="2024-05-03T00:00:00"/>
    <n v="61142"/>
    <n v="43498"/>
    <s v="Knnd Associates Pvt Ltd"/>
    <s v="MUJ LHC"/>
    <s v="Stretch Film"/>
    <x v="4"/>
    <s v="Sqmt"/>
    <n v="226.2"/>
    <n v="15"/>
    <n v="3393"/>
  </r>
  <r>
    <s v="May"/>
    <d v="2024-05-04T00:00:00"/>
    <n v="61144"/>
    <n v="43499"/>
    <s v="Knnd Associates Pvt Ltd"/>
    <s v="MUJ LHC"/>
    <s v="Pressure Testing of Ducts"/>
    <x v="24"/>
    <s v="Sqmt"/>
    <n v="2468.6999999999998"/>
    <n v="35"/>
    <n v="86404.5"/>
  </r>
  <r>
    <s v="May"/>
    <d v="2024-05-04T00:00:00"/>
    <n v="61145"/>
    <n v="43500"/>
    <s v="Knnd Associates Pvt Ltd"/>
    <s v="Wework X Olympia Chennai"/>
    <s v="Pressure Testing of Ducts"/>
    <x v="24"/>
    <s v="Sqmt"/>
    <n v="228.3"/>
    <n v="35"/>
    <n v="7990.5"/>
  </r>
  <r>
    <s v="May"/>
    <d v="2024-05-04T00:00:00"/>
    <n v="61146"/>
    <n v="43501"/>
    <s v="Knnd Associates Pvt Ltd"/>
    <s v="MAHE Bangaluru"/>
    <s v="Pressure Testing of Ducts"/>
    <x v="24"/>
    <s v="Sqmt"/>
    <n v="1383.5"/>
    <n v="35"/>
    <n v="48422.5"/>
  </r>
  <r>
    <s v="May"/>
    <d v="2024-05-04T00:00:00"/>
    <n v="61147"/>
    <n v="43502"/>
    <s v="Knnd Associates Pvt Ltd"/>
    <s v="BVVS Bagalkot"/>
    <s v="Pressure Testing of Ducts"/>
    <x v="24"/>
    <s v="Sqmt"/>
    <n v="3104.2"/>
    <n v="35"/>
    <n v="108647"/>
  </r>
  <r>
    <s v="May"/>
    <d v="2024-05-04T00:00:00"/>
    <n v="61148"/>
    <n v="43503"/>
    <s v="Knnd Associates Pvt Ltd"/>
    <s v="Vaishnavi Bangalore"/>
    <s v="Pressure Testing of Ducts"/>
    <x v="24"/>
    <s v="Sqmt"/>
    <n v="390.4"/>
    <n v="35"/>
    <n v="13664"/>
  </r>
  <r>
    <s v="May"/>
    <d v="2024-05-04T00:00:00"/>
    <n v="61149"/>
    <n v="43504"/>
    <s v="Knnd Associates Pvt Ltd"/>
    <s v="Manipal South Bangalore"/>
    <s v="Pressure Testing of Ducts"/>
    <x v="24"/>
    <s v="Sqmt"/>
    <n v="657.8"/>
    <n v="35"/>
    <n v="23023"/>
  </r>
  <r>
    <s v="May"/>
    <d v="2024-05-04T00:00:00"/>
    <n v="61150"/>
    <n v="43505"/>
    <s v="Knnd Associates Pvt Ltd"/>
    <s v="Adwitiya Projects Bangalore"/>
    <s v="Pressure Testing of Ducts"/>
    <x v="24"/>
    <s v="Sqmt"/>
    <n v="434"/>
    <n v="35"/>
    <n v="15190"/>
  </r>
  <r>
    <s v="May"/>
    <d v="2024-05-04T00:00:00"/>
    <n v="61151"/>
    <n v="43506"/>
    <s v="Knnd Associates Pvt Ltd"/>
    <s v="KIMS Nagercoil"/>
    <s v="Box Duct with TDF"/>
    <x v="11"/>
    <s v="Sqmt"/>
    <n v="496.5"/>
    <n v="590"/>
    <n v="292935"/>
  </r>
  <r>
    <s v="May"/>
    <d v="2024-05-04T00:00:00"/>
    <n v="61151"/>
    <n v="43506"/>
    <s v="Knnd Associates Pvt Ltd"/>
    <s v="KIMS Nagercoil"/>
    <s v="Box Duct with TDF"/>
    <x v="12"/>
    <s v="Sqmt"/>
    <n v="124.2"/>
    <n v="760"/>
    <n v="94392"/>
  </r>
  <r>
    <s v="May"/>
    <d v="2024-05-04T00:00:00"/>
    <n v="61151"/>
    <n v="43506"/>
    <s v="Knnd Associates Pvt Ltd"/>
    <s v="KIMS Nagercoil"/>
    <s v="Box Duct with TDF"/>
    <x v="1"/>
    <s v="Sqmt"/>
    <n v="21.4"/>
    <n v="920"/>
    <n v="19688"/>
  </r>
  <r>
    <s v="May"/>
    <d v="2024-05-04T00:00:00"/>
    <n v="61151"/>
    <n v="43506"/>
    <s v="Knnd Associates Pvt Ltd"/>
    <s v="KIMS Nagercoil"/>
    <s v="VCD (Alu. Blade)"/>
    <x v="1"/>
    <s v="Sqmt"/>
    <n v="5.8"/>
    <n v="5200"/>
    <n v="30160"/>
  </r>
  <r>
    <s v="May"/>
    <d v="2024-05-04T00:00:00"/>
    <n v="61151"/>
    <n v="43506"/>
    <s v="Knnd Associates Pvt Ltd"/>
    <s v="KIMS Nagercoil"/>
    <s v="Round Collar with flange 150 Dia"/>
    <x v="11"/>
    <s v="Nos"/>
    <n v="7"/>
    <n v="110"/>
    <n v="770"/>
  </r>
  <r>
    <s v="May"/>
    <d v="2024-05-04T00:00:00"/>
    <n v="61151"/>
    <n v="43506"/>
    <s v="Knnd Associates Pvt Ltd"/>
    <s v="KIMS Nagercoil"/>
    <s v="Insulation"/>
    <x v="25"/>
    <s v="Sqmt"/>
    <n v="297.60000000000002"/>
    <n v="341"/>
    <n v="101481.60000000001"/>
  </r>
  <r>
    <s v="May"/>
    <d v="2024-05-04T00:00:00"/>
    <n v="61151"/>
    <n v="43506"/>
    <s v="Knnd Associates Pvt Ltd"/>
    <s v="KIMS Nagercoil"/>
    <s v="Insulation"/>
    <x v="26"/>
    <s v="Sqmt"/>
    <n v="180.3"/>
    <n v="507"/>
    <n v="91412.1"/>
  </r>
  <r>
    <s v="May"/>
    <d v="2024-05-04T00:00:00"/>
    <n v="61151"/>
    <n v="43506"/>
    <s v="Knnd Associates Pvt Ltd"/>
    <s v="KIMS Nagercoil"/>
    <s v="Insulation Flange"/>
    <x v="25"/>
    <s v="Sqmt"/>
    <n v="75"/>
    <n v="190"/>
    <n v="14250"/>
  </r>
  <r>
    <s v="May"/>
    <d v="2024-05-04T00:00:00"/>
    <n v="61151"/>
    <n v="43506"/>
    <s v="Knnd Associates Pvt Ltd"/>
    <s v="KIMS Nagercoil"/>
    <s v="Insulation Flange"/>
    <x v="26"/>
    <s v="Sqmt"/>
    <n v="36"/>
    <n v="345"/>
    <n v="12420"/>
  </r>
  <r>
    <s v="May"/>
    <d v="2024-05-04T00:00:00"/>
    <n v="61151"/>
    <n v="43506"/>
    <s v="Knnd Associates Pvt Ltd"/>
    <s v="KIMS Nagercoil"/>
    <s v="Plain Sheet"/>
    <x v="11"/>
    <s v="Sqmt"/>
    <n v="225"/>
    <n v="448"/>
    <n v="100800"/>
  </r>
  <r>
    <s v="May"/>
    <d v="2024-05-04T00:00:00"/>
    <n v="61151"/>
    <n v="43506"/>
    <s v="Knnd Associates Pvt Ltd"/>
    <s v="KIMS Nagercoil"/>
    <s v="Stretch Film"/>
    <x v="4"/>
    <s v="Sqmt"/>
    <n v="480"/>
    <n v="15"/>
    <n v="7200"/>
  </r>
  <r>
    <s v="May"/>
    <d v="2024-05-07T00:00:00"/>
    <n v="61142"/>
    <n v="43507"/>
    <s v="Knnd Associates Pvt Ltd"/>
    <s v="MUJ LHC"/>
    <s v="Box Duct with TDF"/>
    <x v="11"/>
    <s v="Sqmt"/>
    <n v="82.7"/>
    <n v="590"/>
    <n v="48793"/>
  </r>
  <r>
    <s v="May"/>
    <d v="2024-05-07T00:00:00"/>
    <n v="61142"/>
    <n v="43507"/>
    <s v="Knnd Associates Pvt Ltd"/>
    <s v="MUJ LHC"/>
    <s v="Box Duct with TDF"/>
    <x v="12"/>
    <s v="Sqmt"/>
    <n v="38.6"/>
    <n v="760"/>
    <n v="29336"/>
  </r>
  <r>
    <s v="May"/>
    <d v="2024-05-07T00:00:00"/>
    <n v="61142"/>
    <n v="43507"/>
    <s v="Knnd Associates Pvt Ltd"/>
    <s v="MUJ LHC"/>
    <s v="Box Duct with TDF"/>
    <x v="1"/>
    <s v="Sqmt"/>
    <n v="9.3000000000000007"/>
    <n v="920"/>
    <n v="8556"/>
  </r>
  <r>
    <s v="May"/>
    <d v="2024-05-07T00:00:00"/>
    <n v="61142"/>
    <n v="43507"/>
    <s v="Knnd Associates Pvt Ltd"/>
    <s v="MUJ LHC"/>
    <s v="Box Duct with TDF"/>
    <x v="27"/>
    <s v="Sqmt"/>
    <n v="63.2"/>
    <n v="1195"/>
    <n v="75524"/>
  </r>
  <r>
    <s v="May"/>
    <d v="2024-05-07T00:00:00"/>
    <n v="61142"/>
    <n v="43507"/>
    <s v="Knnd Associates Pvt Ltd"/>
    <s v="MUJ LHC"/>
    <s v="Stretch Film"/>
    <x v="4"/>
    <s v="Sqmt"/>
    <n v="65"/>
    <n v="15"/>
    <n v="975"/>
  </r>
  <r>
    <s v="May"/>
    <d v="2024-05-07T00:00:00"/>
    <n v="61138"/>
    <n v="43508"/>
    <s v="Knnd Associates Pvt Ltd"/>
    <s v="MUJ Hostel Block"/>
    <s v="Box Duct with TDF"/>
    <x v="11"/>
    <s v="Sqmt"/>
    <n v="241"/>
    <n v="590"/>
    <n v="142190"/>
  </r>
  <r>
    <s v="May"/>
    <d v="2024-05-07T00:00:00"/>
    <n v="61138"/>
    <n v="43508"/>
    <s v="Knnd Associates Pvt Ltd"/>
    <s v="MUJ Hostel Block"/>
    <s v="Insulation"/>
    <x v="22"/>
    <s v="Sqmt"/>
    <n v="241"/>
    <n v="326"/>
    <n v="78566"/>
  </r>
  <r>
    <s v="May"/>
    <d v="2024-05-07T00:00:00"/>
    <n v="61138"/>
    <n v="43508"/>
    <s v="Knnd Associates Pvt Ltd"/>
    <s v="MUJ Hostel Block"/>
    <s v="Stretch Film"/>
    <x v="4"/>
    <s v="Sqmt"/>
    <n v="250"/>
    <n v="15"/>
    <n v="3750"/>
  </r>
  <r>
    <s v="May"/>
    <d v="2024-05-08T00:00:00"/>
    <n v="61142"/>
    <n v="43509"/>
    <s v="Knnd Associates Pvt Ltd"/>
    <s v="MUJ LHC"/>
    <s v="Insulation"/>
    <x v="28"/>
    <s v="Sqmt"/>
    <n v="63.2"/>
    <n v="395"/>
    <n v="24964"/>
  </r>
  <r>
    <s v="May"/>
    <d v="2024-05-09T00:00:00"/>
    <n v="61155"/>
    <n v="43510"/>
    <s v="R Mech Breeze"/>
    <s v="Cancelled"/>
    <m/>
    <x v="29"/>
    <m/>
    <m/>
    <m/>
    <m/>
  </r>
  <r>
    <s v="May"/>
    <d v="2024-05-09T00:00:00"/>
    <n v="61138"/>
    <n v="43511"/>
    <s v="Knnd Associates Pvt Ltd"/>
    <s v="MUJ Hostel Block"/>
    <s v="Box Duct with TDF"/>
    <x v="11"/>
    <s v="Sqmt"/>
    <n v="733.2"/>
    <n v="590"/>
    <n v="432588"/>
  </r>
  <r>
    <s v="May"/>
    <d v="2024-05-09T00:00:00"/>
    <n v="61138"/>
    <n v="43511"/>
    <s v="Knnd Associates Pvt Ltd"/>
    <s v="MUJ Hostel Block"/>
    <s v="Insulation"/>
    <x v="22"/>
    <s v="Sqmt"/>
    <n v="733.2"/>
    <n v="326"/>
    <n v="239023.2"/>
  </r>
  <r>
    <s v="May"/>
    <d v="2024-05-09T00:00:00"/>
    <n v="61138"/>
    <n v="43511"/>
    <s v="Knnd Associates Pvt Ltd"/>
    <s v="MUJ Hostel Block"/>
    <s v="Stretch Film"/>
    <x v="4"/>
    <s v="Sqmt"/>
    <n v="740"/>
    <n v="15"/>
    <n v="11100"/>
  </r>
  <r>
    <s v="May"/>
    <d v="2024-05-09T00:00:00"/>
    <n v="61138"/>
    <n v="43511"/>
    <s v="Knnd Associates Pvt Ltd"/>
    <s v="MUJ Hostel Block"/>
    <s v="VCD (Alu. Blade)"/>
    <x v="1"/>
    <s v="Sqmt"/>
    <n v="27"/>
    <n v="5200"/>
    <n v="140400"/>
  </r>
  <r>
    <s v="May"/>
    <d v="2024-05-09T00:00:00"/>
    <n v="61138"/>
    <n v="43511"/>
    <s v="Knnd Associates Pvt Ltd"/>
    <s v="MUJ Hostel Block"/>
    <s v="Insulation Flange"/>
    <x v="18"/>
    <s v="Nos"/>
    <n v="80"/>
    <n v="153"/>
    <n v="12240"/>
  </r>
  <r>
    <s v="May"/>
    <d v="2024-05-10T00:00:00"/>
    <n v="61155"/>
    <n v="43512"/>
    <s v="R Mech Breeze"/>
    <s v="K R Inn Narasapura"/>
    <s v="Box Duct with TDF"/>
    <x v="11"/>
    <s v="Sqmt"/>
    <n v="9.5"/>
    <n v="590"/>
    <n v="5605"/>
  </r>
  <r>
    <s v="May"/>
    <d v="2024-05-10T00:00:00"/>
    <n v="61155"/>
    <n v="43512"/>
    <s v="R Mech Breeze"/>
    <s v="K R Inn Narasapura"/>
    <s v="Box Duct with TDF"/>
    <x v="12"/>
    <s v="Sqmt"/>
    <n v="45.2"/>
    <n v="750"/>
    <n v="33900"/>
  </r>
  <r>
    <s v="May"/>
    <d v="2024-05-10T00:00:00"/>
    <n v="61154"/>
    <n v="43513"/>
    <s v="Knnd Associates Pvt Ltd"/>
    <s v="Google Rio Bengaluru"/>
    <s v="Box Duct with TDF"/>
    <x v="11"/>
    <s v="Sqmt"/>
    <n v="220.5"/>
    <n v="584"/>
    <n v="128772"/>
  </r>
  <r>
    <s v="May"/>
    <d v="2024-05-10T00:00:00"/>
    <n v="61154"/>
    <n v="43513"/>
    <s v="Knnd Associates Pvt Ltd"/>
    <s v="Google Rio Bengaluru"/>
    <s v="Box Duct with TDF"/>
    <x v="12"/>
    <s v="Sqmt"/>
    <n v="1.4"/>
    <n v="730"/>
    <n v="1021.9999999999999"/>
  </r>
  <r>
    <s v="May"/>
    <d v="2024-05-10T00:00:00"/>
    <n v="61154"/>
    <n v="43513"/>
    <s v="Knnd Associates Pvt Ltd"/>
    <s v="Google Rio Bengaluru"/>
    <s v="Box Duct with TDF"/>
    <x v="2"/>
    <s v="Sqmt"/>
    <n v="165.3"/>
    <n v="1020"/>
    <n v="168606"/>
  </r>
  <r>
    <s v="May"/>
    <d v="2024-05-10T00:00:00"/>
    <n v="61154"/>
    <n v="43513"/>
    <s v="Knnd Associates Pvt Ltd"/>
    <s v="Google Rio Bengaluru"/>
    <s v="Box Duct with TDF"/>
    <x v="1"/>
    <s v="Sqmt"/>
    <n v="100.1"/>
    <n v="890"/>
    <n v="89089"/>
  </r>
  <r>
    <s v="May"/>
    <d v="2024-05-10T00:00:00"/>
    <n v="61154"/>
    <n v="43513"/>
    <s v="Knnd Associates Pvt Ltd"/>
    <s v="Google Rio Bengaluru"/>
    <s v="Stretch Film"/>
    <x v="4"/>
    <s v="Sqmt"/>
    <n v="490"/>
    <n v="15"/>
    <n v="7350"/>
  </r>
  <r>
    <s v="May"/>
    <d v="2024-05-10T00:00:00"/>
    <n v="61156"/>
    <n v="43514"/>
    <s v="R Mech Breeze"/>
    <s v="Sri Udupi Food Hub Bangalore"/>
    <s v="Spiral Oval Duct"/>
    <x v="5"/>
    <s v="Sqmt"/>
    <n v="9"/>
    <n v="690"/>
    <n v="6210"/>
  </r>
  <r>
    <s v="May"/>
    <d v="2024-05-10T00:00:00"/>
    <n v="61156"/>
    <n v="43514"/>
    <s v="R Mech Breeze"/>
    <s v="Sri Udupi Food Hub Bangalore"/>
    <s v="Spiral Oval Duct"/>
    <x v="6"/>
    <s v="Sqmt"/>
    <n v="41.2"/>
    <n v="770"/>
    <n v="31724.000000000004"/>
  </r>
  <r>
    <s v="May"/>
    <d v="2024-05-10T00:00:00"/>
    <n v="61156"/>
    <n v="43514"/>
    <s v="R Mech Breeze"/>
    <s v="Sri Udupi Food Hub Bangalore"/>
    <s v="Spiral Oval Coupling"/>
    <x v="7"/>
    <s v="Sqmt"/>
    <n v="1"/>
    <n v="870"/>
    <n v="870"/>
  </r>
  <r>
    <s v="May"/>
    <d v="2024-05-11T00:00:00"/>
    <n v="61136"/>
    <n v="43515"/>
    <s v="Knnd Associates Pvt Ltd"/>
    <s v="Adwitiya Projects Bangalore"/>
    <s v="Box Duct with TDF"/>
    <x v="11"/>
    <s v="Sqmt"/>
    <n v="114.7"/>
    <n v="590"/>
    <n v="67673"/>
  </r>
  <r>
    <s v="May"/>
    <d v="2024-05-11T00:00:00"/>
    <n v="61136"/>
    <n v="43515"/>
    <s v="Knnd Associates Pvt Ltd"/>
    <s v="Adwitiya Projects Bangalore"/>
    <s v="VCD (Alu. Blade)"/>
    <x v="1"/>
    <s v="Sqmt"/>
    <n v="0.8"/>
    <n v="5200"/>
    <n v="4160"/>
  </r>
  <r>
    <s v="May"/>
    <d v="2024-05-11T00:00:00"/>
    <n v="61136"/>
    <n v="43515"/>
    <s v="Knnd Associates Pvt Ltd"/>
    <s v="Adwitiya Projects Bangalore"/>
    <s v="Insulation"/>
    <x v="8"/>
    <s v="Sqmt"/>
    <n v="109.3"/>
    <n v="266"/>
    <n v="29073.8"/>
  </r>
  <r>
    <s v="May"/>
    <d v="2024-05-11T00:00:00"/>
    <n v="61136"/>
    <n v="43515"/>
    <s v="Knnd Associates Pvt Ltd"/>
    <s v="Adwitiya Projects Bangalore"/>
    <s v="Insulation"/>
    <x v="30"/>
    <s v="Sqmt"/>
    <n v="5.4"/>
    <n v="637"/>
    <n v="3439.8"/>
  </r>
  <r>
    <s v="May"/>
    <d v="2024-05-11T00:00:00"/>
    <n v="61136"/>
    <n v="43515"/>
    <s v="Knnd Associates Pvt Ltd"/>
    <s v="Adwitiya Projects Bangalore"/>
    <s v="Insulation Flange"/>
    <x v="8"/>
    <s v="Sqmt"/>
    <n v="30"/>
    <n v="140"/>
    <n v="4200"/>
  </r>
  <r>
    <s v="May"/>
    <d v="2024-05-11T00:00:00"/>
    <n v="61136"/>
    <n v="43515"/>
    <s v="Knnd Associates Pvt Ltd"/>
    <s v="Adwitiya Projects Bangalore"/>
    <s v="Stretch Film"/>
    <x v="4"/>
    <s v="Sqmt"/>
    <n v="110"/>
    <n v="15"/>
    <n v="1650"/>
  </r>
  <r>
    <s v="May"/>
    <d v="2024-05-11T00:00:00"/>
    <n v="61154"/>
    <n v="43516"/>
    <s v="Knnd Associates Pvt Ltd"/>
    <s v="Google Rio Bengaluru"/>
    <s v="Box Duct with TDF"/>
    <x v="11"/>
    <s v="Sqmt"/>
    <n v="68.5"/>
    <n v="584"/>
    <n v="40004"/>
  </r>
  <r>
    <s v="May"/>
    <d v="2024-05-11T00:00:00"/>
    <n v="61154"/>
    <n v="43516"/>
    <s v="Knnd Associates Pvt Ltd"/>
    <s v="Google Rio Bengaluru"/>
    <s v="Box Duct with TDF"/>
    <x v="2"/>
    <s v="Sqmt"/>
    <n v="145"/>
    <n v="1020"/>
    <n v="147900"/>
  </r>
  <r>
    <s v="May"/>
    <d v="2024-05-11T00:00:00"/>
    <n v="61154"/>
    <n v="43516"/>
    <s v="Knnd Associates Pvt Ltd"/>
    <s v="Google Rio Bengaluru"/>
    <s v="Box Duct with TDF"/>
    <x v="1"/>
    <s v="Sqmt"/>
    <n v="48.8"/>
    <n v="890"/>
    <n v="43432"/>
  </r>
  <r>
    <s v="May"/>
    <d v="2024-05-11T00:00:00"/>
    <n v="61154"/>
    <n v="43516"/>
    <s v="Knnd Associates Pvt Ltd"/>
    <s v="Google Rio Bengaluru"/>
    <s v="Insulation"/>
    <x v="8"/>
    <s v="Sqmt"/>
    <n v="68.5"/>
    <n v="266"/>
    <n v="18221"/>
  </r>
  <r>
    <s v="May"/>
    <d v="2024-05-11T00:00:00"/>
    <n v="61154"/>
    <n v="43516"/>
    <s v="Knnd Associates Pvt Ltd"/>
    <s v="Google Rio Bengaluru"/>
    <s v="Insulation"/>
    <x v="9"/>
    <s v="Sqmt"/>
    <n v="4.8"/>
    <n v="791"/>
    <n v="3796.7999999999997"/>
  </r>
  <r>
    <s v="May"/>
    <d v="2024-05-11T00:00:00"/>
    <n v="61154"/>
    <n v="43516"/>
    <s v="Knnd Associates Pvt Ltd"/>
    <s v="Google Rio Bengaluru"/>
    <s v="Stretch Film"/>
    <x v="4"/>
    <s v="Sqmt"/>
    <n v="265"/>
    <n v="15"/>
    <n v="3975"/>
  </r>
  <r>
    <s v="May"/>
    <d v="2024-05-13T00:00:00"/>
    <n v="61142"/>
    <n v="43517"/>
    <s v="Knnd Associates Pvt Ltd"/>
    <s v="MUJ LHC"/>
    <s v="Box Duct with TDF"/>
    <x v="11"/>
    <s v="Sqmt"/>
    <n v="299.3"/>
    <n v="590"/>
    <n v="176587"/>
  </r>
  <r>
    <s v="May"/>
    <d v="2024-05-13T00:00:00"/>
    <n v="61142"/>
    <n v="43517"/>
    <s v="Knnd Associates Pvt Ltd"/>
    <s v="MUJ LHC"/>
    <s v="Box Duct with TDF"/>
    <x v="12"/>
    <s v="Sqmt"/>
    <n v="32.5"/>
    <n v="760"/>
    <n v="24700"/>
  </r>
  <r>
    <s v="May"/>
    <d v="2024-05-13T00:00:00"/>
    <n v="61142"/>
    <n v="43517"/>
    <s v="Knnd Associates Pvt Ltd"/>
    <s v="MUJ LHC"/>
    <s v="Insulation"/>
    <x v="22"/>
    <s v="Sqmt"/>
    <n v="32.5"/>
    <n v="326"/>
    <n v="10595"/>
  </r>
  <r>
    <s v="May"/>
    <d v="2024-05-13T00:00:00"/>
    <n v="61142"/>
    <n v="43517"/>
    <s v="Knnd Associates Pvt Ltd"/>
    <s v="MUJ LHC"/>
    <s v="VCD (Alu. Blade)"/>
    <x v="1"/>
    <s v="Sqmt"/>
    <n v="0.4"/>
    <n v="5200"/>
    <n v="2080"/>
  </r>
  <r>
    <s v="May"/>
    <d v="2024-05-13T00:00:00"/>
    <n v="61142"/>
    <n v="43517"/>
    <s v="Knnd Associates Pvt Ltd"/>
    <s v="MUJ LHC"/>
    <s v="Spigot 150mm Dia"/>
    <x v="12"/>
    <s v="Nos"/>
    <n v="28"/>
    <n v="290"/>
    <n v="8120"/>
  </r>
  <r>
    <s v="May"/>
    <d v="2024-05-13T00:00:00"/>
    <n v="61138"/>
    <n v="43518"/>
    <s v="Knnd Associates Pvt Ltd"/>
    <s v="MUJ Hostel Block"/>
    <s v="Box Duct with TDF"/>
    <x v="11"/>
    <s v="Sqmt"/>
    <n v="326.60000000000002"/>
    <n v="590"/>
    <n v="192694"/>
  </r>
  <r>
    <s v="May"/>
    <d v="2024-05-13T00:00:00"/>
    <n v="61138"/>
    <n v="43518"/>
    <s v="Knnd Associates Pvt Ltd"/>
    <s v="MUJ Hostel Block"/>
    <s v="Insulation"/>
    <x v="22"/>
    <s v="Sqmt"/>
    <n v="326.60000000000002"/>
    <n v="326"/>
    <n v="106471.6"/>
  </r>
  <r>
    <s v="May"/>
    <d v="2024-05-13T00:00:00"/>
    <n v="61138"/>
    <n v="43518"/>
    <s v="Knnd Associates Pvt Ltd"/>
    <s v="MUJ Hostel Block"/>
    <s v="Insulation Flange"/>
    <x v="18"/>
    <s v="Nos"/>
    <n v="170"/>
    <n v="153"/>
    <n v="26010"/>
  </r>
  <r>
    <s v="May"/>
    <d v="2024-05-13T00:00:00"/>
    <n v="61138"/>
    <n v="43518"/>
    <s v="Knnd Associates Pvt Ltd"/>
    <s v="MUJ Hostel Block"/>
    <s v="Stretch Film"/>
    <x v="4"/>
    <s v="Sqmt"/>
    <n v="330"/>
    <n v="15"/>
    <n v="4950"/>
  </r>
  <r>
    <s v="May"/>
    <d v="2024-05-14T00:00:00"/>
    <n v="61138"/>
    <n v="43519"/>
    <s v="Knnd Associates Pvt Ltd"/>
    <s v="MUJ Hostel Block"/>
    <s v="Spiral Round Duct"/>
    <x v="5"/>
    <s v="Sqmt"/>
    <n v="852.8"/>
    <n v="565"/>
    <n v="481832"/>
  </r>
  <r>
    <s v="May"/>
    <d v="2024-05-14T00:00:00"/>
    <n v="61138"/>
    <n v="43519"/>
    <s v="Knnd Associates Pvt Ltd"/>
    <s v="MUJ Hostel Block"/>
    <s v="Round Coupling"/>
    <x v="6"/>
    <s v="Sqmt"/>
    <n v="3.1"/>
    <n v="710"/>
    <n v="2201"/>
  </r>
  <r>
    <s v="May"/>
    <d v="2024-05-14T00:00:00"/>
    <n v="61138"/>
    <n v="43519"/>
    <s v="Knnd Associates Pvt Ltd"/>
    <s v="MUJ Hostel Block"/>
    <s v="Round T Piece (200x150mm)"/>
    <x v="11"/>
    <s v="Nos"/>
    <n v="200"/>
    <n v="375"/>
    <n v="75000"/>
  </r>
  <r>
    <s v="May"/>
    <d v="2024-05-14T00:00:00"/>
    <n v="61138"/>
    <n v="43519"/>
    <s v="Knnd Associates Pvt Ltd"/>
    <s v="MUJ Hostel Block"/>
    <s v="Round T Piece (150x150mm)"/>
    <x v="11"/>
    <s v="Nos"/>
    <n v="210"/>
    <n v="350"/>
    <n v="73500"/>
  </r>
  <r>
    <s v="May"/>
    <d v="2024-05-14T00:00:00"/>
    <n v="61138"/>
    <n v="43519"/>
    <s v="Knnd Associates Pvt Ltd"/>
    <s v="MUJ Hostel Block"/>
    <s v="Round Reducer (200x150mm)"/>
    <x v="11"/>
    <s v="Nos"/>
    <n v="60"/>
    <n v="290"/>
    <n v="17400"/>
  </r>
  <r>
    <s v="May"/>
    <d v="2024-05-14T00:00:00"/>
    <n v="61138"/>
    <n v="43519"/>
    <s v="Knnd Associates Pvt Ltd"/>
    <s v="MUJ Hostel Block"/>
    <s v="Round Elbow 45° (200mm Dia)"/>
    <x v="11"/>
    <s v="Nos"/>
    <n v="60"/>
    <n v="270"/>
    <n v="16200"/>
  </r>
  <r>
    <s v="May"/>
    <d v="2024-05-14T00:00:00"/>
    <n v="61138"/>
    <n v="43519"/>
    <s v="Knnd Associates Pvt Ltd"/>
    <s v="MUJ Hostel Block"/>
    <s v="Round Elbow 90° (200mm Dia)"/>
    <x v="11"/>
    <s v="Nos"/>
    <n v="60"/>
    <n v="400"/>
    <n v="24000"/>
  </r>
  <r>
    <s v="May"/>
    <d v="2024-05-14T00:00:00"/>
    <n v="61138"/>
    <n v="43519"/>
    <s v="Knnd Associates Pvt Ltd"/>
    <s v="MUJ Hostel Block"/>
    <s v="Round Elbow 90° (150mm Dia)"/>
    <x v="11"/>
    <s v="Nos"/>
    <n v="60"/>
    <n v="370"/>
    <n v="22200"/>
  </r>
  <r>
    <s v="May"/>
    <d v="2024-05-14T00:00:00"/>
    <n v="61142"/>
    <n v="43520"/>
    <s v="Knnd Associates Pvt Ltd"/>
    <s v="MUJ LHC"/>
    <s v="Spiral Oval Duct"/>
    <x v="5"/>
    <s v="Sqmt"/>
    <n v="21.6"/>
    <n v="670"/>
    <n v="14472.000000000002"/>
  </r>
  <r>
    <s v="May"/>
    <d v="2024-05-14T00:00:00"/>
    <n v="61142"/>
    <n v="43520"/>
    <s v="Knnd Associates Pvt Ltd"/>
    <s v="MUJ LHC"/>
    <s v="Spiral Oval Coupling"/>
    <x v="7"/>
    <s v="Sqmt"/>
    <n v="0.6"/>
    <n v="905"/>
    <n v="543"/>
  </r>
  <r>
    <s v="May"/>
    <d v="2024-05-14T00:00:00"/>
    <n v="61142"/>
    <n v="43520"/>
    <s v="Knnd Associates Pvt Ltd"/>
    <s v="MUJ LHC"/>
    <s v="Insulation"/>
    <x v="22"/>
    <s v="Sqmt"/>
    <n v="22.2"/>
    <n v="326"/>
    <n v="7237.2"/>
  </r>
  <r>
    <s v="May"/>
    <d v="2024-05-14T00:00:00"/>
    <n v="61099"/>
    <n v="43521"/>
    <s v="Knnd Associates Pvt Ltd"/>
    <s v="MUJ Hostel Block"/>
    <s v="Box Duct with TDF"/>
    <x v="11"/>
    <s v="Sqmt"/>
    <n v="8.3000000000000007"/>
    <n v="595"/>
    <n v="4938.5"/>
  </r>
  <r>
    <s v="May"/>
    <d v="2024-05-14T00:00:00"/>
    <n v="61099"/>
    <n v="43521"/>
    <s v="Knnd Associates Pvt Ltd"/>
    <s v="MUJ Hostel Block"/>
    <s v="Box Duct with TDF"/>
    <x v="12"/>
    <s v="Sqmt"/>
    <n v="4.7"/>
    <n v="765"/>
    <n v="3595.5"/>
  </r>
  <r>
    <s v="May"/>
    <d v="2024-05-14T00:00:00"/>
    <n v="61099"/>
    <n v="43521"/>
    <s v="Knnd Associates Pvt Ltd"/>
    <s v="MUJ Hostel Block"/>
    <s v="Insulation"/>
    <x v="22"/>
    <s v="Sqmt"/>
    <n v="13"/>
    <n v="326"/>
    <n v="4238"/>
  </r>
  <r>
    <s v="May"/>
    <d v="2024-05-14T00:00:00"/>
    <n v="61099"/>
    <n v="43521"/>
    <s v="Knnd Associates Pvt Ltd"/>
    <s v="MUJ Hostel Block"/>
    <s v="Stretch Film"/>
    <x v="4"/>
    <s v="Sqmt"/>
    <n v="15"/>
    <n v="15"/>
    <n v="225"/>
  </r>
  <r>
    <s v="May"/>
    <d v="2024-05-14T00:00:00"/>
    <n v="61154"/>
    <n v="43522"/>
    <s v="Knnd Associates Pvt Ltd"/>
    <s v="Google Rio Bengaluru"/>
    <s v="Spiral Oval Duct"/>
    <x v="5"/>
    <s v="Sqmt"/>
    <n v="94.8"/>
    <n v="670"/>
    <n v="63516"/>
  </r>
  <r>
    <s v="May"/>
    <d v="2024-05-14T00:00:00"/>
    <n v="61154"/>
    <n v="43522"/>
    <s v="Knnd Associates Pvt Ltd"/>
    <s v="Google Rio Bengaluru"/>
    <s v="Spiral Oval Duct"/>
    <x v="6"/>
    <s v="Sqmt"/>
    <n v="15.2"/>
    <n v="800"/>
    <n v="12160"/>
  </r>
  <r>
    <s v="May"/>
    <d v="2024-05-14T00:00:00"/>
    <n v="61154"/>
    <n v="43522"/>
    <s v="Knnd Associates Pvt Ltd"/>
    <s v="Google Rio Bengaluru"/>
    <s v="Spiral Oval Duct"/>
    <x v="7"/>
    <s v="Sqmt"/>
    <n v="26.6"/>
    <n v="965"/>
    <n v="25669"/>
  </r>
  <r>
    <s v="May"/>
    <d v="2024-05-14T00:00:00"/>
    <n v="61154"/>
    <n v="43522"/>
    <s v="Knnd Associates Pvt Ltd"/>
    <s v="Google Rio Bengaluru"/>
    <s v="Insulation"/>
    <x v="8"/>
    <s v="Sqmt"/>
    <n v="136.6"/>
    <n v="266"/>
    <n v="36335.599999999999"/>
  </r>
  <r>
    <s v="May"/>
    <d v="2024-05-14T00:00:00"/>
    <n v="61154"/>
    <n v="43522"/>
    <s v="Knnd Associates Pvt Ltd"/>
    <s v="Google Rio Bengaluru"/>
    <s v="Box Duct with TDF"/>
    <x v="2"/>
    <s v="Sqmt"/>
    <n v="78.5"/>
    <n v="1020"/>
    <n v="80070"/>
  </r>
  <r>
    <s v="May"/>
    <d v="2024-05-14T00:00:00"/>
    <n v="61154"/>
    <n v="43522"/>
    <s v="Knnd Associates Pvt Ltd"/>
    <s v="Google Rio Bengaluru"/>
    <s v="Box Duct with TDF"/>
    <x v="1"/>
    <s v="Sqmt"/>
    <n v="53.7"/>
    <n v="890"/>
    <n v="47793"/>
  </r>
  <r>
    <s v="May"/>
    <d v="2024-05-14T00:00:00"/>
    <n v="61154"/>
    <n v="43522"/>
    <s v="Knnd Associates Pvt Ltd"/>
    <s v="Google Rio Bengaluru"/>
    <s v="Insulation"/>
    <x v="3"/>
    <s v="Sqmt"/>
    <n v="93.5"/>
    <n v="395"/>
    <n v="36932.5"/>
  </r>
  <r>
    <s v="May"/>
    <d v="2024-05-14T00:00:00"/>
    <n v="61154"/>
    <n v="43522"/>
    <s v="Knnd Associates Pvt Ltd"/>
    <s v="Google Rio Bengaluru"/>
    <s v="Insulation Flange"/>
    <x v="3"/>
    <s v="Sqmt"/>
    <n v="20"/>
    <n v="240"/>
    <n v="4800"/>
  </r>
  <r>
    <s v="May"/>
    <d v="2024-05-14T00:00:00"/>
    <n v="61154"/>
    <n v="43522"/>
    <s v="Knnd Associates Pvt Ltd"/>
    <s v="Google Rio Bengaluru"/>
    <s v="10mm JTR"/>
    <x v="10"/>
    <s v="Rmt"/>
    <n v="0.7"/>
    <n v="110"/>
    <n v="77"/>
  </r>
  <r>
    <s v="May"/>
    <d v="2024-05-14T00:00:00"/>
    <n v="61154"/>
    <n v="43522"/>
    <s v="Knnd Associates Pvt Ltd"/>
    <s v="Google Rio Bengaluru"/>
    <s v="VCD (Alu. Blade)"/>
    <x v="2"/>
    <s v="Sqmt"/>
    <n v="8.1999999999999993"/>
    <n v="5720"/>
    <n v="46903.999999999993"/>
  </r>
  <r>
    <s v="May"/>
    <d v="2024-05-14T00:00:00"/>
    <n v="61154"/>
    <n v="43522"/>
    <s v="Knnd Associates Pvt Ltd"/>
    <s v="Google Rio Bengaluru"/>
    <s v="Stretch Film"/>
    <x v="4"/>
    <s v="Sqmt"/>
    <n v="285"/>
    <n v="15"/>
    <n v="4275"/>
  </r>
  <r>
    <s v="May"/>
    <d v="2024-05-15T00:00:00"/>
    <n v="61154"/>
    <n v="43523"/>
    <s v="Knnd Associates Pvt Ltd"/>
    <s v="Google Rio Bengaluru"/>
    <s v="Spiral Oval Duct"/>
    <x v="5"/>
    <s v="Sqmt"/>
    <n v="18.5"/>
    <n v="670"/>
    <n v="12395"/>
  </r>
  <r>
    <s v="May"/>
    <d v="2024-05-15T00:00:00"/>
    <n v="61154"/>
    <n v="43523"/>
    <s v="Knnd Associates Pvt Ltd"/>
    <s v="Google Rio Bengaluru"/>
    <s v="Spiral Oval Duct"/>
    <x v="6"/>
    <s v="Sqmt"/>
    <n v="73.5"/>
    <n v="800"/>
    <n v="58800"/>
  </r>
  <r>
    <s v="May"/>
    <d v="2024-05-15T00:00:00"/>
    <n v="61154"/>
    <n v="43523"/>
    <s v="Knnd Associates Pvt Ltd"/>
    <s v="Google Rio Bengaluru"/>
    <s v="Spiral Oval Duct"/>
    <x v="7"/>
    <s v="Sqmt"/>
    <n v="64.3"/>
    <n v="965"/>
    <n v="62049.5"/>
  </r>
  <r>
    <s v="May"/>
    <d v="2024-05-15T00:00:00"/>
    <n v="61154"/>
    <n v="43523"/>
    <s v="Knnd Associates Pvt Ltd"/>
    <s v="Google Rio Bengaluru"/>
    <s v="Insulation"/>
    <x v="8"/>
    <s v="Sqmt"/>
    <n v="180.7"/>
    <n v="266"/>
    <n v="48066.2"/>
  </r>
  <r>
    <s v="May"/>
    <d v="2024-05-15T00:00:00"/>
    <n v="61154"/>
    <n v="43523"/>
    <s v="Knnd Associates Pvt Ltd"/>
    <s v="Google Rio Bengaluru"/>
    <s v="Spiral Oval Coupling"/>
    <x v="7"/>
    <s v="Sqmt"/>
    <n v="24.4"/>
    <n v="905"/>
    <n v="22082"/>
  </r>
  <r>
    <s v="May"/>
    <d v="2024-05-15T00:00:00"/>
    <n v="61154"/>
    <n v="43523"/>
    <s v="Knnd Associates Pvt Ltd"/>
    <s v="Google Rio Bengaluru"/>
    <s v="10mm JTR"/>
    <x v="10"/>
    <s v="Rmt"/>
    <n v="55.4"/>
    <n v="110"/>
    <n v="6094"/>
  </r>
  <r>
    <s v="May"/>
    <d v="2024-05-15T00:00:00"/>
    <n v="61154"/>
    <n v="43523"/>
    <s v="Knnd Associates Pvt Ltd"/>
    <s v="Google Rio Bengaluru"/>
    <s v="Stretch Film"/>
    <x v="4"/>
    <s v="Sqmt"/>
    <n v="185"/>
    <n v="15"/>
    <n v="2775"/>
  </r>
  <r>
    <s v="May"/>
    <d v="2024-05-15T00:00:00"/>
    <n v="61151"/>
    <n v="43524"/>
    <s v="Knnd Associates Pvt Ltd"/>
    <s v="KIMS Nagercoil"/>
    <s v="Box Duct with TDF"/>
    <x v="11"/>
    <s v="Sqmt"/>
    <n v="470"/>
    <n v="590"/>
    <n v="277300"/>
  </r>
  <r>
    <s v="May"/>
    <d v="2024-05-15T00:00:00"/>
    <n v="61151"/>
    <n v="43524"/>
    <s v="Knnd Associates Pvt Ltd"/>
    <s v="KIMS Nagercoil"/>
    <s v="Box Duct with TDF"/>
    <x v="12"/>
    <s v="Sqmt"/>
    <n v="154.4"/>
    <n v="760"/>
    <n v="117344"/>
  </r>
  <r>
    <s v="May"/>
    <d v="2024-05-15T00:00:00"/>
    <n v="61151"/>
    <n v="43524"/>
    <s v="Knnd Associates Pvt Ltd"/>
    <s v="KIMS Nagercoil"/>
    <s v="Insulation"/>
    <x v="30"/>
    <s v="Sqmt"/>
    <n v="2.1"/>
    <n v="637"/>
    <n v="1337.7"/>
  </r>
  <r>
    <s v="May"/>
    <d v="2024-05-15T00:00:00"/>
    <n v="61151"/>
    <n v="43524"/>
    <s v="Knnd Associates Pvt Ltd"/>
    <s v="KIMS Nagercoil"/>
    <s v="Insulation"/>
    <x v="25"/>
    <s v="Sqmt"/>
    <n v="341.3"/>
    <n v="341"/>
    <n v="116383.3"/>
  </r>
  <r>
    <s v="May"/>
    <d v="2024-05-15T00:00:00"/>
    <n v="61151"/>
    <n v="43524"/>
    <s v="Knnd Associates Pvt Ltd"/>
    <s v="KIMS Nagercoil"/>
    <s v="Insulation"/>
    <x v="26"/>
    <s v="Sqmt"/>
    <n v="167.6"/>
    <n v="507"/>
    <n v="84973.2"/>
  </r>
  <r>
    <s v="May"/>
    <d v="2024-05-15T00:00:00"/>
    <n v="61151"/>
    <n v="43524"/>
    <s v="Knnd Associates Pvt Ltd"/>
    <s v="KIMS Nagercoil"/>
    <s v="Insulation Flange"/>
    <x v="25"/>
    <s v="Sqmt"/>
    <n v="70"/>
    <n v="190"/>
    <n v="13300"/>
  </r>
  <r>
    <s v="May"/>
    <d v="2024-05-15T00:00:00"/>
    <n v="61151"/>
    <n v="43524"/>
    <s v="Knnd Associates Pvt Ltd"/>
    <s v="KIMS Nagercoil"/>
    <s v="Insulation Flange"/>
    <x v="26"/>
    <s v="Sqmt"/>
    <n v="24"/>
    <n v="345"/>
    <n v="8280"/>
  </r>
  <r>
    <s v="May"/>
    <d v="2024-05-15T00:00:00"/>
    <n v="61151"/>
    <n v="43524"/>
    <s v="Knnd Associates Pvt Ltd"/>
    <s v="KIMS Nagercoil"/>
    <s v="Plain Sheet"/>
    <x v="12"/>
    <s v="Sqmt"/>
    <n v="105"/>
    <n v="564"/>
    <n v="59220"/>
  </r>
  <r>
    <s v="May"/>
    <d v="2024-05-15T00:00:00"/>
    <n v="61151"/>
    <n v="43524"/>
    <s v="Knnd Associates Pvt Ltd"/>
    <s v="KIMS Nagercoil"/>
    <s v="Stretch Film"/>
    <x v="4"/>
    <s v="Sqmt"/>
    <n v="510"/>
    <n v="15"/>
    <n v="7650"/>
  </r>
  <r>
    <s v="May"/>
    <d v="2024-05-16T00:00:00"/>
    <n v="61153"/>
    <n v="43525"/>
    <s v="Technogreen Airconditioning Pvt Ltd"/>
    <s v="Simpliwork Project"/>
    <s v="Box Duct with TDF"/>
    <x v="31"/>
    <s v="Sqmt"/>
    <n v="110.9"/>
    <n v="490"/>
    <n v="54341"/>
  </r>
  <r>
    <s v="May"/>
    <d v="2024-05-16T00:00:00"/>
    <n v="61153"/>
    <n v="43525"/>
    <s v="Technogreen Airconditioning Pvt Ltd"/>
    <s v="Simpliwork Project"/>
    <s v="Box Duct with TDF"/>
    <x v="11"/>
    <s v="Sqmt"/>
    <n v="130.1"/>
    <n v="560"/>
    <n v="72856"/>
  </r>
  <r>
    <s v="May"/>
    <d v="2024-05-16T00:00:00"/>
    <n v="61153"/>
    <n v="43526"/>
    <s v="Technogreen Airconditioning Pvt Ltd"/>
    <s v="Simpliwork Project"/>
    <s v="Box Duct with TDF"/>
    <x v="31"/>
    <s v="Sqmt"/>
    <n v="70.400000000000006"/>
    <n v="490"/>
    <n v="34496"/>
  </r>
  <r>
    <s v="May"/>
    <d v="2024-05-16T00:00:00"/>
    <n v="61153"/>
    <n v="43526"/>
    <s v="Technogreen Airconditioning Pvt Ltd"/>
    <s v="Simpliwork Project"/>
    <s v="Box Duct with TDF"/>
    <x v="11"/>
    <s v="Sqmt"/>
    <n v="171"/>
    <n v="560"/>
    <n v="95760"/>
  </r>
  <r>
    <s v="May"/>
    <d v="2024-05-17T00:00:00"/>
    <n v="61153"/>
    <n v="43527"/>
    <s v="Technogreen Airconditioning Pvt Ltd"/>
    <s v="Simpliwork Project"/>
    <s v="Box Duct with TDF"/>
    <x v="31"/>
    <s v="Sqmt"/>
    <n v="24.8"/>
    <n v="490"/>
    <n v="12152"/>
  </r>
  <r>
    <s v="May"/>
    <d v="2024-05-17T00:00:00"/>
    <n v="61153"/>
    <n v="43527"/>
    <s v="Technogreen Airconditioning Pvt Ltd"/>
    <s v="Simpliwork Project"/>
    <s v="Box Duct with TDF"/>
    <x v="11"/>
    <s v="Sqmt"/>
    <n v="18.5"/>
    <n v="560"/>
    <n v="10360"/>
  </r>
  <r>
    <s v="May"/>
    <d v="2024-05-20T00:00:00"/>
    <n v="61151"/>
    <n v="43528"/>
    <s v="Knnd Associates Pvt Ltd"/>
    <s v="KIMS Nagercoil"/>
    <s v="Box Duct with TDF"/>
    <x v="11"/>
    <s v="Sqmt"/>
    <n v="519"/>
    <n v="590"/>
    <n v="306210"/>
  </r>
  <r>
    <s v="May"/>
    <d v="2024-05-20T00:00:00"/>
    <n v="61151"/>
    <n v="43528"/>
    <s v="Knnd Associates Pvt Ltd"/>
    <s v="KIMS Nagercoil"/>
    <s v="Box Duct with TDF"/>
    <x v="12"/>
    <s v="Sqmt"/>
    <n v="120.2"/>
    <n v="760"/>
    <n v="91352"/>
  </r>
  <r>
    <s v="May"/>
    <d v="2024-05-20T00:00:00"/>
    <n v="61151"/>
    <n v="43528"/>
    <s v="Knnd Associates Pvt Ltd"/>
    <s v="KIMS Nagercoil"/>
    <s v="Box Duct with TDF"/>
    <x v="1"/>
    <s v="Sqmt"/>
    <n v="22.2"/>
    <n v="920"/>
    <n v="20424"/>
  </r>
  <r>
    <s v="May"/>
    <d v="2024-05-20T00:00:00"/>
    <n v="61151"/>
    <n v="43528"/>
    <s v="Knnd Associates Pvt Ltd"/>
    <s v="KIMS Nagercoil"/>
    <s v="Insulation"/>
    <x v="30"/>
    <s v="Sqmt"/>
    <n v="6.3"/>
    <n v="637"/>
    <n v="4013.1"/>
  </r>
  <r>
    <s v="May"/>
    <d v="2024-05-20T00:00:00"/>
    <n v="61151"/>
    <n v="43528"/>
    <s v="Knnd Associates Pvt Ltd"/>
    <s v="KIMS Nagercoil"/>
    <s v="Insulation"/>
    <x v="25"/>
    <s v="Sqmt"/>
    <n v="32.5"/>
    <n v="341"/>
    <n v="11082.5"/>
  </r>
  <r>
    <s v="May"/>
    <d v="2024-05-20T00:00:00"/>
    <n v="61151"/>
    <n v="43528"/>
    <s v="Knnd Associates Pvt Ltd"/>
    <s v="KIMS Nagercoil"/>
    <s v="Insulation"/>
    <x v="26"/>
    <s v="Sqmt"/>
    <n v="531.5"/>
    <n v="507"/>
    <n v="269470.5"/>
  </r>
  <r>
    <s v="May"/>
    <d v="2024-05-20T00:00:00"/>
    <n v="61151"/>
    <n v="43528"/>
    <s v="Knnd Associates Pvt Ltd"/>
    <s v="KIMS Nagercoil"/>
    <s v="VCD (Alu. Blade)"/>
    <x v="1"/>
    <s v="Sqmt"/>
    <n v="26.3"/>
    <n v="5200"/>
    <n v="136760"/>
  </r>
  <r>
    <s v="May"/>
    <d v="2024-05-20T00:00:00"/>
    <n v="61151"/>
    <n v="43528"/>
    <s v="Knnd Associates Pvt Ltd"/>
    <s v="KIMS Nagercoil"/>
    <s v="Insulation Flange"/>
    <x v="26"/>
    <s v="Sqmt"/>
    <n v="132"/>
    <n v="345"/>
    <n v="45540"/>
  </r>
  <r>
    <s v="May"/>
    <d v="2024-05-20T00:00:00"/>
    <n v="61151"/>
    <n v="43528"/>
    <s v="Knnd Associates Pvt Ltd"/>
    <s v="KIMS Nagercoil"/>
    <s v="Round Collar with flange 150 Dia"/>
    <x v="12"/>
    <s v="Nos"/>
    <n v="7"/>
    <n v="110"/>
    <n v="770"/>
  </r>
  <r>
    <s v="May"/>
    <d v="2024-05-20T00:00:00"/>
    <n v="61151"/>
    <n v="43528"/>
    <s v="Knnd Associates Pvt Ltd"/>
    <s v="KIMS Nagercoil"/>
    <s v="Stretch Film"/>
    <x v="4"/>
    <s v="Sqmt"/>
    <n v="570"/>
    <n v="15"/>
    <n v="8550"/>
  </r>
  <r>
    <s v="May"/>
    <d v="2024-05-21T00:00:00"/>
    <n v="61133"/>
    <n v="43529"/>
    <s v="Knnd Associates Pvt Ltd"/>
    <s v="Manipal South Bangalore"/>
    <s v="Box Duct with TDF"/>
    <x v="11"/>
    <s v="Sqmt"/>
    <n v="191.5"/>
    <n v="590"/>
    <n v="112985"/>
  </r>
  <r>
    <s v="May"/>
    <d v="2024-05-21T00:00:00"/>
    <n v="61133"/>
    <n v="43529"/>
    <s v="Knnd Associates Pvt Ltd"/>
    <s v="Manipal South Bangalore"/>
    <s v="Insulation"/>
    <x v="17"/>
    <s v="Sqmt"/>
    <n v="2.4"/>
    <n v="810"/>
    <n v="1944"/>
  </r>
  <r>
    <s v="May"/>
    <d v="2024-05-21T00:00:00"/>
    <n v="61133"/>
    <n v="43529"/>
    <s v="Knnd Associates Pvt Ltd"/>
    <s v="Manipal South Bangalore"/>
    <s v="Insulation"/>
    <x v="16"/>
    <s v="Sqmt"/>
    <n v="189.1"/>
    <n v="275"/>
    <n v="52002.5"/>
  </r>
  <r>
    <s v="May"/>
    <d v="2024-05-21T00:00:00"/>
    <n v="61133"/>
    <n v="43529"/>
    <s v="Knnd Associates Pvt Ltd"/>
    <s v="Manipal South Bangalore"/>
    <s v="Stretch Film"/>
    <x v="4"/>
    <s v="Sqmt"/>
    <n v="190"/>
    <n v="15"/>
    <n v="2850"/>
  </r>
  <r>
    <s v="May"/>
    <d v="2024-05-21T00:00:00"/>
    <n v="61133"/>
    <n v="43530"/>
    <s v="Knnd Associates Pvt Ltd"/>
    <s v="Manipal South Bangalore"/>
    <s v="Box Duct with TDF"/>
    <x v="11"/>
    <s v="Sqmt"/>
    <n v="257.10000000000002"/>
    <n v="590"/>
    <n v="151689"/>
  </r>
  <r>
    <s v="May"/>
    <d v="2024-05-21T00:00:00"/>
    <n v="61133"/>
    <n v="43530"/>
    <s v="Knnd Associates Pvt Ltd"/>
    <s v="Manipal South Bangalore"/>
    <s v="Insulation"/>
    <x v="17"/>
    <s v="Sqmt"/>
    <n v="57.7"/>
    <n v="810"/>
    <n v="46737"/>
  </r>
  <r>
    <s v="May"/>
    <d v="2024-05-21T00:00:00"/>
    <n v="61133"/>
    <n v="43530"/>
    <s v="Knnd Associates Pvt Ltd"/>
    <s v="Manipal South Bangalore"/>
    <s v="Insulation"/>
    <x v="16"/>
    <s v="Sqmt"/>
    <n v="199.4"/>
    <n v="275"/>
    <n v="54835"/>
  </r>
  <r>
    <s v="May"/>
    <d v="2024-05-21T00:00:00"/>
    <n v="61133"/>
    <n v="43530"/>
    <s v="Knnd Associates Pvt Ltd"/>
    <s v="Manipal South Bangalore"/>
    <s v="Stretch Film"/>
    <x v="4"/>
    <s v="Sqmt"/>
    <n v="200"/>
    <n v="15"/>
    <n v="3000"/>
  </r>
  <r>
    <s v="May"/>
    <d v="2024-05-22T00:00:00"/>
    <n v="61133"/>
    <n v="43531"/>
    <s v="Knnd Associates Pvt Ltd"/>
    <s v="Manipal South Bangalore"/>
    <s v="Box Duct with TDF"/>
    <x v="11"/>
    <s v="Sqmt"/>
    <n v="186.29999999999998"/>
    <n v="590"/>
    <n v="109916.99999999999"/>
  </r>
  <r>
    <s v="May"/>
    <d v="2024-05-22T00:00:00"/>
    <n v="61133"/>
    <n v="43531"/>
    <s v="Knnd Associates Pvt Ltd"/>
    <s v="Manipal South Bangalore"/>
    <s v="Box Duct with TDF"/>
    <x v="12"/>
    <s v="Sqmt"/>
    <n v="8.1999999999999993"/>
    <n v="760"/>
    <n v="6231.9999999999991"/>
  </r>
  <r>
    <s v="May"/>
    <d v="2024-05-22T00:00:00"/>
    <n v="61133"/>
    <n v="43531"/>
    <s v="Knnd Associates Pvt Ltd"/>
    <s v="Manipal South Bangalore"/>
    <s v="Insulation"/>
    <x v="17"/>
    <s v="Sqmt"/>
    <n v="8.1999999999999993"/>
    <n v="810"/>
    <n v="6641.9999999999991"/>
  </r>
  <r>
    <s v="May"/>
    <d v="2024-05-22T00:00:00"/>
    <n v="61133"/>
    <n v="43531"/>
    <s v="Knnd Associates Pvt Ltd"/>
    <s v="Manipal South Bangalore"/>
    <s v="Insulation"/>
    <x v="16"/>
    <s v="Sqmt"/>
    <n v="144.69999999999999"/>
    <n v="275"/>
    <n v="39792.5"/>
  </r>
  <r>
    <s v="May"/>
    <d v="2024-05-22T00:00:00"/>
    <n v="61133"/>
    <n v="43531"/>
    <s v="Knnd Associates Pvt Ltd"/>
    <s v="Manipal South Bangalore"/>
    <s v="Insulation Flange"/>
    <x v="18"/>
    <s v="Nos"/>
    <n v="104"/>
    <n v="153"/>
    <n v="15912"/>
  </r>
  <r>
    <s v="May"/>
    <d v="2024-05-22T00:00:00"/>
    <n v="61133"/>
    <n v="43531"/>
    <s v="Knnd Associates Pvt Ltd"/>
    <s v="Manipal South Bangalore"/>
    <s v="Stretch Film"/>
    <x v="4"/>
    <s v="Sqmt"/>
    <n v="145"/>
    <n v="15"/>
    <n v="2175"/>
  </r>
  <r>
    <s v="May"/>
    <d v="2024-05-22T00:00:00"/>
    <n v="61133"/>
    <n v="43532"/>
    <s v="Knnd Associates Pvt Ltd"/>
    <s v="Manipal South Bangalore"/>
    <s v="Box Duct with TDF"/>
    <x v="11"/>
    <s v="Sqmt"/>
    <n v="223.6"/>
    <n v="590"/>
    <n v="131924"/>
  </r>
  <r>
    <s v="May"/>
    <d v="2024-05-22T00:00:00"/>
    <n v="61133"/>
    <n v="43532"/>
    <s v="Knnd Associates Pvt Ltd"/>
    <s v="Manipal South Bangalore"/>
    <s v="Box Duct with TDF"/>
    <x v="12"/>
    <s v="Sqmt"/>
    <n v="25.7"/>
    <n v="760"/>
    <n v="19532"/>
  </r>
  <r>
    <s v="May"/>
    <d v="2024-05-22T00:00:00"/>
    <n v="61133"/>
    <n v="43532"/>
    <s v="Knnd Associates Pvt Ltd"/>
    <s v="Manipal South Bangalore"/>
    <s v="Insulation"/>
    <x v="16"/>
    <s v="Sqmt"/>
    <n v="249.29999999999998"/>
    <n v="275"/>
    <n v="68557.5"/>
  </r>
  <r>
    <s v="May"/>
    <d v="2024-05-22T00:00:00"/>
    <n v="61133"/>
    <n v="43532"/>
    <s v="Knnd Associates Pvt Ltd"/>
    <s v="Manipal South Bangalore"/>
    <s v="Stretch Film"/>
    <x v="4"/>
    <s v="Sqmt"/>
    <n v="250"/>
    <n v="15"/>
    <n v="3750"/>
  </r>
  <r>
    <s v="May"/>
    <d v="2024-05-22T00:00:00"/>
    <n v="61153"/>
    <n v="43533"/>
    <s v="Technogreen Airconditioning Pvt Ltd"/>
    <s v="Simpliwork Project"/>
    <s v="Spiral Oval Duct"/>
    <x v="5"/>
    <s v="Sqmt"/>
    <n v="243.7"/>
    <n v="680"/>
    <n v="165716"/>
  </r>
  <r>
    <s v="May"/>
    <d v="2024-05-22T00:00:00"/>
    <n v="61153"/>
    <n v="43533"/>
    <s v="Technogreen Airconditioning Pvt Ltd"/>
    <s v="Simpliwork Project"/>
    <s v="Spiral Oval Duct"/>
    <x v="6"/>
    <s v="Sqmt"/>
    <n v="13.6"/>
    <n v="800"/>
    <n v="10880"/>
  </r>
  <r>
    <s v="May"/>
    <d v="2024-05-23T00:00:00"/>
    <n v="61157"/>
    <n v="43534"/>
    <s v="R Mech Breeze"/>
    <s v="Utility Building Bangalore"/>
    <s v="Box Duct with TDF"/>
    <x v="11"/>
    <s v="Sqmt"/>
    <n v="24.1"/>
    <n v="590"/>
    <n v="14219"/>
  </r>
  <r>
    <s v="May"/>
    <d v="2024-05-23T00:00:00"/>
    <n v="61157"/>
    <n v="43534"/>
    <s v="R Mech Breeze"/>
    <s v="Utility Building Bangalore"/>
    <s v="Box Duct with TDF"/>
    <x v="12"/>
    <s v="Sqmt"/>
    <n v="52.2"/>
    <n v="750"/>
    <n v="39150"/>
  </r>
  <r>
    <s v="May"/>
    <d v="2024-05-23T00:00:00"/>
    <n v="61151"/>
    <n v="43535"/>
    <s v="Knnd Associates Pvt Ltd"/>
    <s v="KIMS Nagercoil"/>
    <s v="Box Duct with TDF"/>
    <x v="11"/>
    <s v="Sqmt"/>
    <n v="357.1"/>
    <n v="590"/>
    <n v="210689"/>
  </r>
  <r>
    <s v="May"/>
    <d v="2024-05-23T00:00:00"/>
    <n v="61151"/>
    <n v="43535"/>
    <s v="Knnd Associates Pvt Ltd"/>
    <s v="KIMS Nagercoil"/>
    <s v="Round Collar with flange 150 Dia"/>
    <x v="12"/>
    <s v="Nos"/>
    <n v="30"/>
    <n v="110"/>
    <n v="3300"/>
  </r>
  <r>
    <s v="May"/>
    <d v="2024-05-23T00:00:00"/>
    <n v="61151"/>
    <n v="43535"/>
    <s v="Knnd Associates Pvt Ltd"/>
    <s v="KIMS Nagercoil"/>
    <s v="Insulation"/>
    <x v="30"/>
    <s v="Sqmt"/>
    <n v="3.7"/>
    <n v="637"/>
    <n v="2356.9"/>
  </r>
  <r>
    <s v="May"/>
    <d v="2024-05-23T00:00:00"/>
    <n v="61151"/>
    <n v="43535"/>
    <s v="Knnd Associates Pvt Ltd"/>
    <s v="KIMS Nagercoil"/>
    <s v="Insulation"/>
    <x v="25"/>
    <s v="Sqmt"/>
    <n v="123.7"/>
    <n v="341"/>
    <n v="42181.700000000004"/>
  </r>
  <r>
    <s v="May"/>
    <d v="2024-05-23T00:00:00"/>
    <n v="61151"/>
    <n v="43535"/>
    <s v="Knnd Associates Pvt Ltd"/>
    <s v="KIMS Nagercoil"/>
    <s v="Insulation"/>
    <x v="26"/>
    <s v="Sqmt"/>
    <n v="353"/>
    <n v="507"/>
    <n v="178971"/>
  </r>
  <r>
    <s v="May"/>
    <d v="2024-05-23T00:00:00"/>
    <n v="61151"/>
    <n v="43535"/>
    <s v="Knnd Associates Pvt Ltd"/>
    <s v="KIMS Nagercoil"/>
    <s v="Insulation Flange"/>
    <x v="25"/>
    <s v="Sqmt"/>
    <n v="40"/>
    <n v="190"/>
    <n v="7600"/>
  </r>
  <r>
    <s v="May"/>
    <d v="2024-05-23T00:00:00"/>
    <n v="61151"/>
    <n v="43535"/>
    <s v="Knnd Associates Pvt Ltd"/>
    <s v="KIMS Nagercoil"/>
    <s v="Insulation Flange"/>
    <x v="26"/>
    <s v="Sqmt"/>
    <n v="80"/>
    <n v="345"/>
    <n v="27600"/>
  </r>
  <r>
    <s v="May"/>
    <d v="2024-05-23T00:00:00"/>
    <n v="61151"/>
    <n v="43535"/>
    <s v="Knnd Associates Pvt Ltd"/>
    <s v="KIMS Nagercoil"/>
    <s v="Box Duct with TDF"/>
    <x v="20"/>
    <s v="Sqmt"/>
    <n v="260.8"/>
    <n v="1050"/>
    <n v="273840"/>
  </r>
  <r>
    <s v="May"/>
    <d v="2024-05-23T00:00:00"/>
    <n v="61151"/>
    <n v="43535"/>
    <s v="Knnd Associates Pvt Ltd"/>
    <s v="KIMS Nagercoil"/>
    <s v="Plain Sheet"/>
    <x v="20"/>
    <s v="Sqmt"/>
    <n v="45"/>
    <n v="880"/>
    <n v="39600"/>
  </r>
  <r>
    <s v="May"/>
    <d v="2024-05-23T00:00:00"/>
    <n v="61151"/>
    <n v="43535"/>
    <s v="Knnd Associates Pvt Ltd"/>
    <s v="KIMS Nagercoil"/>
    <s v="Stretch Film"/>
    <x v="4"/>
    <s v="Sqmt"/>
    <n v="480"/>
    <n v="15"/>
    <n v="7200"/>
  </r>
  <r>
    <s v="May"/>
    <d v="2024-05-24T00:00:00"/>
    <n v="61133"/>
    <n v="43536"/>
    <s v="Knnd Associates Pvt Ltd"/>
    <s v="Manipal South Bangalore"/>
    <s v="Box Duct with TDF"/>
    <x v="11"/>
    <s v="Sqmt"/>
    <n v="200.1"/>
    <n v="590"/>
    <n v="118059"/>
  </r>
  <r>
    <s v="May"/>
    <d v="2024-05-24T00:00:00"/>
    <n v="61133"/>
    <n v="43536"/>
    <s v="Knnd Associates Pvt Ltd"/>
    <s v="Manipal South Bangalore"/>
    <s v="Box Duct with TDF"/>
    <x v="12"/>
    <s v="Sqmt"/>
    <n v="15.4"/>
    <n v="760"/>
    <n v="11704"/>
  </r>
  <r>
    <s v="May"/>
    <d v="2024-05-24T00:00:00"/>
    <n v="61133"/>
    <n v="43536"/>
    <s v="Knnd Associates Pvt Ltd"/>
    <s v="Manipal South Bangalore"/>
    <s v="Insulation"/>
    <x v="17"/>
    <s v="Sqmt"/>
    <n v="48"/>
    <n v="810"/>
    <n v="38880"/>
  </r>
  <r>
    <s v="May"/>
    <d v="2024-05-24T00:00:00"/>
    <n v="61133"/>
    <n v="43536"/>
    <s v="Knnd Associates Pvt Ltd"/>
    <s v="Manipal South Bangalore"/>
    <s v="Insulation"/>
    <x v="16"/>
    <s v="Sqmt"/>
    <n v="144.1"/>
    <n v="275"/>
    <n v="39627.5"/>
  </r>
  <r>
    <s v="May"/>
    <d v="2024-05-24T00:00:00"/>
    <n v="61133"/>
    <n v="43536"/>
    <s v="Knnd Associates Pvt Ltd"/>
    <s v="Manipal South Bangalore"/>
    <s v="Stretch Film"/>
    <x v="4"/>
    <s v="Sqmt"/>
    <n v="145"/>
    <n v="15"/>
    <n v="2175"/>
  </r>
  <r>
    <s v="May"/>
    <d v="2024-05-25T00:00:00"/>
    <n v="61158"/>
    <n v="43537"/>
    <s v="Eqube Energy and Research Services LLP"/>
    <s v="Siemens Ltd Bangalore"/>
    <s v="Box Duct with TDF"/>
    <x v="11"/>
    <s v="Sqmt"/>
    <n v="32.700000000000003"/>
    <n v="590"/>
    <n v="19293"/>
  </r>
  <r>
    <s v="May"/>
    <d v="2024-05-25T00:00:00"/>
    <n v="61158"/>
    <n v="43537"/>
    <s v="Eqube Energy and Research Services LLP"/>
    <s v="Siemens Ltd Bangalore"/>
    <s v="Mixing Box (450x450x450H)"/>
    <x v="11"/>
    <s v="Nos"/>
    <n v="1"/>
    <n v="910"/>
    <n v="910"/>
  </r>
  <r>
    <s v="May"/>
    <d v="2024-05-25T00:00:00"/>
    <n v="61158"/>
    <n v="43537"/>
    <s v="Eqube Energy and Research Services LLP"/>
    <s v="Siemens Ltd Bangalore"/>
    <s v="Mixing Box (1000x100x450H)"/>
    <x v="11"/>
    <s v="Nos"/>
    <n v="7"/>
    <n v="790"/>
    <n v="5530"/>
  </r>
  <r>
    <s v="May"/>
    <d v="2024-05-25T00:00:00"/>
    <n v="61153"/>
    <n v="43538"/>
    <s v="Technogreen Airconditioning Pvt Ltd"/>
    <s v="Simpliwork Project"/>
    <s v="Spiral Oval Duct"/>
    <x v="5"/>
    <s v="Sqmt"/>
    <n v="159"/>
    <n v="680"/>
    <n v="108120"/>
  </r>
  <r>
    <s v="May"/>
    <d v="2024-05-25T00:00:00"/>
    <n v="61153"/>
    <n v="43538"/>
    <s v="Technogreen Airconditioning Pvt Ltd"/>
    <s v="Simpliwork Project"/>
    <s v="Spiral Oval Duct"/>
    <x v="6"/>
    <s v="Sqmt"/>
    <n v="48.8"/>
    <n v="800"/>
    <n v="39040"/>
  </r>
  <r>
    <s v="May"/>
    <d v="2024-05-25T00:00:00"/>
    <n v="61153"/>
    <n v="43538"/>
    <s v="Technogreen Airconditioning Pvt Ltd"/>
    <s v="Simpliwork Project"/>
    <s v="Spiral Oval Duct"/>
    <x v="7"/>
    <s v="Sqmt"/>
    <n v="13.5"/>
    <n v="910"/>
    <n v="12285"/>
  </r>
  <r>
    <s v="May"/>
    <d v="2024-05-25T00:00:00"/>
    <n v="61153"/>
    <n v="43538"/>
    <s v="Technogreen Airconditioning Pvt Ltd"/>
    <s v="Simpliwork Project"/>
    <s v="Spiral VCD"/>
    <x v="7"/>
    <s v="Sqmt"/>
    <n v="3.9"/>
    <n v="3400"/>
    <n v="13260"/>
  </r>
  <r>
    <s v="May"/>
    <d v="2024-05-25T00:00:00"/>
    <n v="61160"/>
    <n v="43539"/>
    <s v="Technogreen Airconditioning Pvt Ltd"/>
    <s v="Simpliwork Project"/>
    <s v="Box Duct with TDF"/>
    <x v="31"/>
    <s v="Sqmt"/>
    <n v="3.2"/>
    <n v="490"/>
    <n v="1568"/>
  </r>
  <r>
    <s v="May"/>
    <d v="2024-05-25T00:00:00"/>
    <n v="61160"/>
    <n v="43539"/>
    <s v="Technogreen Airconditioning Pvt Ltd"/>
    <s v="Simpliwork Project"/>
    <s v="Box Duct with TDF"/>
    <x v="11"/>
    <s v="Sqmt"/>
    <n v="6.7"/>
    <n v="560"/>
    <n v="3752"/>
  </r>
  <r>
    <s v="May"/>
    <d v="2024-05-27T00:00:00"/>
    <n v="61133"/>
    <n v="43540"/>
    <s v="Knnd Associates Pvt Ltd"/>
    <s v="Manipal South Bangalore"/>
    <s v="Box Duct with TDF"/>
    <x v="11"/>
    <s v="Sqmt"/>
    <n v="58.1"/>
    <n v="590"/>
    <n v="34279"/>
  </r>
  <r>
    <s v="May"/>
    <d v="2024-05-27T00:00:00"/>
    <n v="61133"/>
    <n v="43540"/>
    <s v="Knnd Associates Pvt Ltd"/>
    <s v="Manipal South Bangalore"/>
    <s v="Round Collar with flange 150 Dia"/>
    <x v="11"/>
    <s v="Nos"/>
    <n v="33"/>
    <n v="110"/>
    <n v="3630"/>
  </r>
  <r>
    <s v="May"/>
    <d v="2024-05-27T00:00:00"/>
    <n v="61133"/>
    <n v="43540"/>
    <s v="Knnd Associates Pvt Ltd"/>
    <s v="Manipal South Bangalore"/>
    <s v="Insulation"/>
    <x v="16"/>
    <s v="Sqmt"/>
    <n v="52"/>
    <n v="275"/>
    <n v="14300"/>
  </r>
  <r>
    <s v="May"/>
    <d v="2024-05-27T00:00:00"/>
    <n v="61133"/>
    <n v="43540"/>
    <s v="Knnd Associates Pvt Ltd"/>
    <s v="Manipal South Bangalore"/>
    <s v="Stretch Film"/>
    <x v="4"/>
    <s v="Sqmt"/>
    <n v="55"/>
    <n v="15"/>
    <n v="825"/>
  </r>
  <r>
    <s v="May"/>
    <d v="2024-05-27T00:00:00"/>
    <n v="61133"/>
    <n v="43540"/>
    <s v="Knnd Associates Pvt Ltd"/>
    <s v="Manipal South Bangalore"/>
    <s v="Insulation Flange"/>
    <x v="18"/>
    <s v="Nos"/>
    <n v="100"/>
    <n v="153"/>
    <n v="15300"/>
  </r>
  <r>
    <s v="May"/>
    <d v="2024-05-27T00:00:00"/>
    <n v="61134"/>
    <n v="43541"/>
    <s v="Knnd Associates Pvt Ltd"/>
    <s v="Vaishnavi Bangaluru"/>
    <s v="Box Duct with TDF"/>
    <x v="11"/>
    <s v="Sqmt"/>
    <n v="3"/>
    <n v="590"/>
    <n v="1770"/>
  </r>
  <r>
    <s v="May"/>
    <d v="2024-05-27T00:00:00"/>
    <n v="61134"/>
    <n v="43541"/>
    <s v="Knnd Associates Pvt Ltd"/>
    <s v="Vaishnavi Bangaluru"/>
    <s v="Box Duct with TDF"/>
    <x v="12"/>
    <s v="Sqmt"/>
    <n v="27.2"/>
    <n v="760"/>
    <n v="20672"/>
  </r>
  <r>
    <s v="May"/>
    <d v="2024-05-27T00:00:00"/>
    <n v="61134"/>
    <n v="43541"/>
    <s v="Knnd Associates Pvt Ltd"/>
    <s v="Vaishnavi Bangalore"/>
    <s v="Box Duct with TDF"/>
    <x v="1"/>
    <s v="Sqmt"/>
    <n v="34.799999999999997"/>
    <n v="920"/>
    <n v="32015.999999999996"/>
  </r>
  <r>
    <s v="May"/>
    <d v="2024-05-27T00:00:00"/>
    <n v="61134"/>
    <n v="43541"/>
    <s v="Knnd Associates Pvt Ltd"/>
    <s v="Vaishnavi Bangalore"/>
    <s v="Corners 32mm"/>
    <x v="32"/>
    <s v="Nos"/>
    <n v="500"/>
    <n v="7.5"/>
    <n v="3750"/>
  </r>
  <r>
    <s v="May"/>
    <d v="2024-05-27T00:00:00"/>
    <n v="61118"/>
    <n v="43542"/>
    <s v="Knnd Associates Pvt Ltd"/>
    <s v="NCA L&amp;T Bangalore"/>
    <s v="Box Duct with S&amp;C"/>
    <x v="11"/>
    <s v="Sqmt"/>
    <n v="7.1"/>
    <n v="570"/>
    <n v="4047"/>
  </r>
  <r>
    <s v="May"/>
    <d v="2024-05-27T00:00:00"/>
    <n v="61118"/>
    <n v="43542"/>
    <s v="Knnd Associates Pvt Ltd"/>
    <s v="NCA L&amp;T Bangalore"/>
    <s v="Box Duct with TDF"/>
    <x v="11"/>
    <s v="Sqmt"/>
    <n v="269.3"/>
    <n v="590"/>
    <n v="158887"/>
  </r>
  <r>
    <s v="May"/>
    <d v="2024-05-27T00:00:00"/>
    <n v="61118"/>
    <n v="43542"/>
    <s v="Knnd Associates Pvt Ltd"/>
    <s v="NCA L&amp;T Bangalore"/>
    <s v="Insulation"/>
    <x v="9"/>
    <s v="Sqmt"/>
    <n v="19.2"/>
    <n v="791"/>
    <n v="15187.199999999999"/>
  </r>
  <r>
    <s v="May"/>
    <d v="2024-05-27T00:00:00"/>
    <n v="61118"/>
    <n v="43542"/>
    <s v="Knnd Associates Pvt Ltd"/>
    <s v="NCA L&amp;T Bangalore"/>
    <s v="Insulation"/>
    <x v="25"/>
    <s v="Sqmt"/>
    <n v="184.5"/>
    <n v="350"/>
    <n v="64575"/>
  </r>
  <r>
    <s v="May"/>
    <d v="2024-05-27T00:00:00"/>
    <n v="61118"/>
    <n v="43542"/>
    <s v="Knnd Associates Pvt Ltd"/>
    <s v="NCA L&amp;T Bangalore"/>
    <s v="Insulation Flange"/>
    <x v="8"/>
    <s v="Sqmt"/>
    <n v="48"/>
    <n v="150"/>
    <n v="7200"/>
  </r>
  <r>
    <s v="May"/>
    <d v="2024-05-27T00:00:00"/>
    <n v="61118"/>
    <n v="43542"/>
    <s v="Knnd Associates Pvt Ltd"/>
    <s v="NCA L&amp;T Bangalore"/>
    <s v="Round Flange"/>
    <x v="12"/>
    <s v="Nos"/>
    <n v="14"/>
    <n v="95"/>
    <n v="1330"/>
  </r>
  <r>
    <s v="May"/>
    <d v="2024-05-27T00:00:00"/>
    <n v="61118"/>
    <n v="43542"/>
    <s v="Knnd Associates Pvt Ltd"/>
    <s v="NCA L&amp;T Bangalore"/>
    <s v="Stretch Film"/>
    <x v="4"/>
    <s v="Sqmt"/>
    <n v="185"/>
    <n v="15"/>
    <n v="2775"/>
  </r>
  <r>
    <s v="May"/>
    <d v="2024-05-27T00:00:00"/>
    <n v="61118"/>
    <n v="43543"/>
    <s v="Knnd Associates Pvt Ltd"/>
    <s v="NCA L&amp;T Bangalore"/>
    <s v="Box Duct with S&amp;C"/>
    <x v="11"/>
    <s v="Sqmt"/>
    <n v="42.6"/>
    <n v="570"/>
    <n v="24282"/>
  </r>
  <r>
    <s v="May"/>
    <d v="2024-05-27T00:00:00"/>
    <n v="61118"/>
    <n v="43543"/>
    <s v="Knnd Associates Pvt Ltd"/>
    <s v="NCA L&amp;T Bangalore"/>
    <s v="Box Duct with TDF"/>
    <x v="11"/>
    <s v="Sqmt"/>
    <n v="77.099999999999994"/>
    <n v="590"/>
    <n v="45489"/>
  </r>
  <r>
    <s v="May"/>
    <d v="2024-05-27T00:00:00"/>
    <n v="61118"/>
    <n v="43543"/>
    <s v="Knnd Associates Pvt Ltd"/>
    <s v="NCA L&amp;T Bangalore"/>
    <s v="Insulation"/>
    <x v="25"/>
    <s v="Sqmt"/>
    <n v="15"/>
    <n v="350"/>
    <n v="5250"/>
  </r>
  <r>
    <s v="May"/>
    <d v="2024-05-27T00:00:00"/>
    <n v="61118"/>
    <n v="43543"/>
    <s v="Knnd Associates Pvt Ltd"/>
    <s v="NCA L&amp;T Bangalore"/>
    <s v="Round Flange"/>
    <x v="12"/>
    <s v="Nos"/>
    <n v="61"/>
    <n v="95"/>
    <n v="5795"/>
  </r>
  <r>
    <s v="May"/>
    <d v="2024-05-27T00:00:00"/>
    <n v="61118"/>
    <n v="43543"/>
    <s v="Knnd Associates Pvt Ltd"/>
    <s v="NCA L&amp;T Bangalore"/>
    <s v="Stretch Film"/>
    <x v="4"/>
    <s v="Sqmt"/>
    <n v="15"/>
    <n v="15"/>
    <n v="225"/>
  </r>
  <r>
    <s v="May"/>
    <d v="2024-05-27T00:00:00"/>
    <n v="61118"/>
    <n v="43543"/>
    <s v="Knnd Associates Pvt Ltd"/>
    <s v="NCA L&amp;T Bangalore"/>
    <s v="Insulation Flange"/>
    <x v="18"/>
    <s v="Nos"/>
    <n v="40"/>
    <n v="153"/>
    <n v="6120"/>
  </r>
  <r>
    <s v="May"/>
    <d v="2024-05-27T00:00:00"/>
    <n v="61137"/>
    <n v="43544"/>
    <s v="Knnd Associates Pvt Ltd"/>
    <s v="BVVS Bagalkot"/>
    <s v="Box Duct with TDF"/>
    <x v="11"/>
    <s v="Sqmt"/>
    <n v="619.69999999999993"/>
    <n v="590"/>
    <n v="365622.99999999994"/>
  </r>
  <r>
    <s v="May"/>
    <d v="2024-05-27T00:00:00"/>
    <n v="61137"/>
    <n v="43544"/>
    <s v="Knnd Associates Pvt Ltd"/>
    <s v="BVVS Bagalkot"/>
    <s v="Box Duct with TDF"/>
    <x v="12"/>
    <s v="Sqmt"/>
    <n v="46.6"/>
    <n v="760"/>
    <n v="35416"/>
  </r>
  <r>
    <s v="May"/>
    <d v="2024-05-27T00:00:00"/>
    <n v="61137"/>
    <n v="43544"/>
    <s v="Knnd Associates Pvt Ltd"/>
    <s v="BVVS Bagalkot"/>
    <s v="Round Flange"/>
    <x v="11"/>
    <s v="Nos"/>
    <n v="17"/>
    <n v="60"/>
    <n v="1020"/>
  </r>
  <r>
    <s v="May"/>
    <d v="2024-05-27T00:00:00"/>
    <n v="61137"/>
    <n v="43544"/>
    <s v="Knnd Associates Pvt Ltd"/>
    <s v="BVVS Bagalkot"/>
    <s v="Insulation"/>
    <x v="14"/>
    <s v="Sqmt"/>
    <n v="119"/>
    <n v="408"/>
    <n v="48552"/>
  </r>
  <r>
    <s v="May"/>
    <d v="2024-05-27T00:00:00"/>
    <n v="61137"/>
    <n v="43544"/>
    <s v="Knnd Associates Pvt Ltd"/>
    <s v="BVVS Bagalkot"/>
    <s v="Insulation"/>
    <x v="15"/>
    <s v="Sqmt"/>
    <n v="27.8"/>
    <n v="615"/>
    <n v="17097"/>
  </r>
  <r>
    <s v="May"/>
    <d v="2024-05-27T00:00:00"/>
    <n v="61137"/>
    <n v="43544"/>
    <s v="Knnd Associates Pvt Ltd"/>
    <s v="BVVS Bagalkot"/>
    <s v="Stretch Film"/>
    <x v="4"/>
    <s v="Sqmt"/>
    <n v="120"/>
    <n v="15"/>
    <n v="1800"/>
  </r>
  <r>
    <s v="May"/>
    <d v="2024-05-28T00:00:00"/>
    <n v="61159"/>
    <n v="43545"/>
    <s v="Aircon Ref Pvt Ltd"/>
    <s v="Shri Ram Universal School Bangalore"/>
    <s v="Box Duct with TDF"/>
    <x v="11"/>
    <s v="Sqmt"/>
    <n v="122.5"/>
    <n v="590"/>
    <n v="72275"/>
  </r>
  <r>
    <s v="May"/>
    <d v="2024-05-28T00:00:00"/>
    <n v="61161"/>
    <n v="43546"/>
    <s v="Technogreen Airconditioning Pvt Ltd"/>
    <s v="Simpliwork Project"/>
    <s v="Cleats"/>
    <x v="19"/>
    <s v="Nos"/>
    <n v="700"/>
    <n v="7"/>
    <n v="4900"/>
  </r>
  <r>
    <s v="May"/>
    <d v="2024-05-28T00:00:00"/>
    <n v="61162"/>
    <n v="43547"/>
    <s v="A P Electricals and Engineers"/>
    <s v="Kewaunee Labway Bangalore"/>
    <s v="Box Duct with TDF"/>
    <x v="11"/>
    <s v="Sqmt"/>
    <n v="51.3"/>
    <n v="590"/>
    <n v="30267"/>
  </r>
  <r>
    <s v="May"/>
    <d v="2024-05-28T00:00:00"/>
    <n v="61162"/>
    <n v="43547"/>
    <s v="A P Electricals and Engineers"/>
    <s v="Kewaunee Labway Bangalore"/>
    <s v="VCD (Alu. Blade)"/>
    <x v="1"/>
    <s v="Sqmt"/>
    <n v="0.4"/>
    <n v="5000"/>
    <n v="2000"/>
  </r>
  <r>
    <s v="May"/>
    <d v="2024-05-28T00:00:00"/>
    <n v="61137"/>
    <n v="43548"/>
    <s v="Knnd Associates Pvt Ltd"/>
    <s v="BVVS Bagalkot"/>
    <s v="Box Duct with TDF"/>
    <x v="11"/>
    <s v="Sqmt"/>
    <n v="646.80000000000007"/>
    <n v="590"/>
    <n v="381612.00000000006"/>
  </r>
  <r>
    <s v="May"/>
    <d v="2024-05-28T00:00:00"/>
    <n v="61137"/>
    <n v="43548"/>
    <s v="Knnd Associates Pvt Ltd"/>
    <s v="BVVS Bagalkot"/>
    <s v="Box Duct with TDF"/>
    <x v="12"/>
    <s v="Sqmt"/>
    <n v="64.2"/>
    <n v="760"/>
    <n v="48792"/>
  </r>
  <r>
    <s v="May"/>
    <d v="2024-05-28T00:00:00"/>
    <n v="61137"/>
    <n v="43548"/>
    <s v="Knnd Associates Pvt Ltd"/>
    <s v="BVVS Bagalkot"/>
    <s v="Round Flange"/>
    <x v="11"/>
    <s v="Nos"/>
    <n v="43"/>
    <n v="60"/>
    <n v="2580"/>
  </r>
  <r>
    <s v="May"/>
    <d v="2024-05-28T00:00:00"/>
    <n v="61137"/>
    <n v="43548"/>
    <s v="Knnd Associates Pvt Ltd"/>
    <s v="BVVS Bagalkot"/>
    <s v="Insulation"/>
    <x v="14"/>
    <s v="Sqmt"/>
    <n v="165.5"/>
    <n v="408"/>
    <n v="67524"/>
  </r>
  <r>
    <s v="May"/>
    <d v="2024-05-28T00:00:00"/>
    <n v="61137"/>
    <n v="43548"/>
    <s v="Knnd Associates Pvt Ltd"/>
    <s v="BVVS Bagalkot"/>
    <s v="Insulation"/>
    <x v="15"/>
    <s v="Sqmt"/>
    <n v="1.2"/>
    <n v="615"/>
    <n v="738"/>
  </r>
  <r>
    <s v="May"/>
    <d v="2024-05-28T00:00:00"/>
    <n v="61137"/>
    <n v="43548"/>
    <s v="Knnd Associates Pvt Ltd"/>
    <s v="BVVS Bagalkot"/>
    <s v="Stretch Film"/>
    <x v="4"/>
    <s v="Sqmt"/>
    <n v="165"/>
    <n v="15"/>
    <n v="2475"/>
  </r>
  <r>
    <s v="May"/>
    <d v="2024-05-28T00:00:00"/>
    <n v="61137"/>
    <n v="43548"/>
    <s v="Knnd Associates Pvt Ltd"/>
    <s v="BVVS Bagalkot"/>
    <s v="Insulation Flange"/>
    <x v="14"/>
    <s v="Sqmt"/>
    <n v="51"/>
    <n v="255"/>
    <n v="13005"/>
  </r>
  <r>
    <s v="May"/>
    <d v="2024-05-28T00:00:00"/>
    <n v="61137"/>
    <n v="43548"/>
    <s v="Knnd Associates Pvt Ltd"/>
    <s v="BVVS Bagalkot"/>
    <s v="Spigot 200mm Dia"/>
    <x v="12"/>
    <s v="Nos"/>
    <n v="6"/>
    <n v="340"/>
    <n v="2040"/>
  </r>
  <r>
    <s v="May"/>
    <d v="2024-05-28T00:00:00"/>
    <n v="61137"/>
    <n v="43548"/>
    <s v="Knnd Associates Pvt Ltd"/>
    <s v="BVVS Bagalkot"/>
    <s v="Spigot 250mm Dia"/>
    <x v="12"/>
    <s v="Nos"/>
    <n v="57"/>
    <n v="400"/>
    <n v="22800"/>
  </r>
  <r>
    <s v="May"/>
    <d v="2024-05-28T00:00:00"/>
    <n v="61137"/>
    <n v="43548"/>
    <s v="Knnd Associates Pvt Ltd"/>
    <s v="BVVS Bagalkot"/>
    <s v="Spigot 300mm Dia"/>
    <x v="12"/>
    <s v="Nos"/>
    <n v="3"/>
    <n v="520"/>
    <n v="1560"/>
  </r>
  <r>
    <s v="May"/>
    <d v="2024-05-28T00:00:00"/>
    <n v="61137"/>
    <n v="43548"/>
    <s v="Knnd Associates Pvt Ltd"/>
    <s v="BVVS Bagalkot"/>
    <s v="VCD (Alu. Blade)"/>
    <x v="1"/>
    <s v="Sqmt"/>
    <n v="9.1"/>
    <n v="5200"/>
    <n v="47320"/>
  </r>
  <r>
    <s v="May"/>
    <d v="2024-05-29T00:00:00"/>
    <n v="61163"/>
    <n v="43549"/>
    <s v="Knnd Associates Pvt Ltd"/>
    <s v="MAHE Bangaluru"/>
    <s v="Box Duct with TDF"/>
    <x v="11"/>
    <s v="Sqmt"/>
    <n v="180.7"/>
    <n v="590"/>
    <n v="106613"/>
  </r>
  <r>
    <s v="May"/>
    <d v="2024-05-29T00:00:00"/>
    <n v="61163"/>
    <n v="43549"/>
    <s v="Knnd Associates Pvt Ltd"/>
    <s v="MAHE Bangaluru"/>
    <s v="Box Duct with TDF"/>
    <x v="12"/>
    <s v="Sqmt"/>
    <n v="194.6"/>
    <n v="760"/>
    <n v="147896"/>
  </r>
  <r>
    <s v="May"/>
    <d v="2024-05-29T00:00:00"/>
    <n v="61163"/>
    <n v="43549"/>
    <s v="Knnd Associates Pvt Ltd"/>
    <s v="MAHE Bangaluru"/>
    <s v="Insulation"/>
    <x v="22"/>
    <s v="Sqmt"/>
    <n v="188.6"/>
    <n v="348"/>
    <n v="65632.800000000003"/>
  </r>
  <r>
    <s v="May"/>
    <d v="2024-05-29T00:00:00"/>
    <n v="61163"/>
    <n v="43549"/>
    <s v="Knnd Associates Pvt Ltd"/>
    <s v="MAHE Bangaluru"/>
    <s v="Insulation Flange"/>
    <x v="18"/>
    <s v="Nos"/>
    <n v="40"/>
    <n v="153"/>
    <n v="6120"/>
  </r>
  <r>
    <s v="May"/>
    <d v="2024-05-29T00:00:00"/>
    <n v="61163"/>
    <n v="43549"/>
    <s v="Knnd Associates Pvt Ltd"/>
    <s v="MAHE Bangaluru"/>
    <s v="Stretch Film"/>
    <x v="4"/>
    <s v="Sqmt"/>
    <n v="200"/>
    <n v="15"/>
    <n v="3000"/>
  </r>
  <r>
    <s v="May"/>
    <d v="2024-05-30T00:00:00"/>
    <n v="61151"/>
    <n v="43550"/>
    <s v="Knnd Associates Pvt Ltd"/>
    <s v="KIMS Nagercoil"/>
    <s v="Box Duct with TDF"/>
    <x v="11"/>
    <s v="Sqmt"/>
    <n v="403.3"/>
    <n v="590"/>
    <n v="237947"/>
  </r>
  <r>
    <s v="May"/>
    <d v="2024-05-30T00:00:00"/>
    <n v="61151"/>
    <n v="43550"/>
    <s v="Knnd Associates Pvt Ltd"/>
    <s v="KIMS Nagercoil"/>
    <s v="Box Duct with TDF"/>
    <x v="12"/>
    <s v="Sqmt"/>
    <n v="20.7"/>
    <n v="760"/>
    <n v="15732"/>
  </r>
  <r>
    <s v="May"/>
    <d v="2024-05-30T00:00:00"/>
    <n v="61151"/>
    <n v="43550"/>
    <s v="Knnd Associates Pvt Ltd"/>
    <s v="KIMS Nagercoil"/>
    <s v="VCD (Alu. Blade)"/>
    <x v="1"/>
    <s v="Sqmt"/>
    <n v="8.4"/>
    <n v="5200"/>
    <n v="43680"/>
  </r>
  <r>
    <s v="May"/>
    <d v="2024-05-30T00:00:00"/>
    <n v="61151"/>
    <n v="43550"/>
    <s v="Knnd Associates Pvt Ltd"/>
    <s v="KIMS Nagercoil"/>
    <s v="Insulation"/>
    <x v="25"/>
    <s v="Sqmt"/>
    <n v="52.6"/>
    <n v="341"/>
    <n v="17936.600000000002"/>
  </r>
  <r>
    <s v="May"/>
    <d v="2024-05-30T00:00:00"/>
    <n v="61151"/>
    <n v="43550"/>
    <s v="Knnd Associates Pvt Ltd"/>
    <s v="KIMS Nagercoil"/>
    <s v="Insulation"/>
    <x v="26"/>
    <s v="Sqmt"/>
    <n v="120"/>
    <n v="507"/>
    <n v="60840"/>
  </r>
  <r>
    <s v="May"/>
    <d v="2024-05-30T00:00:00"/>
    <n v="61151"/>
    <n v="43550"/>
    <s v="Knnd Associates Pvt Ltd"/>
    <s v="KIMS Nagercoil"/>
    <s v="Insulation Flange"/>
    <x v="18"/>
    <s v="Nos"/>
    <n v="10"/>
    <n v="153"/>
    <n v="1530"/>
  </r>
  <r>
    <s v="May"/>
    <d v="2024-05-30T00:00:00"/>
    <n v="61151"/>
    <n v="43550"/>
    <s v="Knnd Associates Pvt Ltd"/>
    <s v="KIMS Nagercoil"/>
    <s v="Insulation Flange"/>
    <x v="26"/>
    <s v="Sqmt"/>
    <n v="24"/>
    <n v="345"/>
    <n v="8280"/>
  </r>
  <r>
    <s v="May"/>
    <d v="2024-05-30T00:00:00"/>
    <n v="61151"/>
    <n v="43550"/>
    <s v="Knnd Associates Pvt Ltd"/>
    <s v="KIMS Nagercoil"/>
    <s v="Plain Sheet"/>
    <x v="20"/>
    <s v="Sqmt"/>
    <n v="45"/>
    <n v="880"/>
    <n v="39600"/>
  </r>
  <r>
    <s v="May"/>
    <d v="2024-05-30T00:00:00"/>
    <n v="61151"/>
    <n v="43550"/>
    <s v="Knnd Associates Pvt Ltd"/>
    <s v="KIMS Nagercoil"/>
    <s v="Stretch Film"/>
    <x v="4"/>
    <s v="Sqmt"/>
    <n v="185"/>
    <n v="15"/>
    <n v="2775"/>
  </r>
  <r>
    <s v="May"/>
    <d v="2024-05-31T00:00:00"/>
    <n v="61166"/>
    <n v="43551"/>
    <s v="Knnd Associates Pvt Ltd"/>
    <s v="Shamabavi Hotel Udupi"/>
    <s v="Box Duct with TDF"/>
    <x v="11"/>
    <s v="Sqmt"/>
    <n v="7.2"/>
    <n v="590"/>
    <n v="4248"/>
  </r>
  <r>
    <s v="May"/>
    <d v="2024-05-31T00:00:00"/>
    <n v="61166"/>
    <n v="43551"/>
    <s v="Knnd Associates Pvt Ltd"/>
    <s v="Shamabavi Hotel Udupi"/>
    <s v="Box Duct with TDF"/>
    <x v="12"/>
    <s v="Sqmt"/>
    <n v="72"/>
    <n v="760"/>
    <n v="54720"/>
  </r>
  <r>
    <s v="May"/>
    <d v="2024-05-31T00:00:00"/>
    <n v="61166"/>
    <n v="43551"/>
    <s v="Knnd Associates Pvt Ltd"/>
    <s v="Shamabavi Hotel Udupi"/>
    <s v="Insulation"/>
    <x v="21"/>
    <s v="Sqmt"/>
    <n v="79.2"/>
    <n v="580"/>
    <n v="45936"/>
  </r>
  <r>
    <s v="May"/>
    <d v="2024-05-31T00:00:00"/>
    <n v="61164"/>
    <n v="43552"/>
    <s v="Knnd Associates Pvt Ltd"/>
    <s v="Solid State Lab Manipal"/>
    <s v="Box Duct with S&amp;C"/>
    <x v="11"/>
    <s v="Sqmt"/>
    <n v="31.2"/>
    <n v="570"/>
    <n v="17784"/>
  </r>
  <r>
    <s v="May"/>
    <d v="2024-05-31T00:00:00"/>
    <n v="61164"/>
    <n v="43552"/>
    <s v="Knnd Associates Pvt Ltd"/>
    <s v="Solid State Lab Manipal"/>
    <s v="Mixing Box (450x450x350H)"/>
    <x v="11"/>
    <s v="Nos"/>
    <n v="10"/>
    <n v="620"/>
    <n v="6200"/>
  </r>
  <r>
    <s v="May"/>
    <d v="2024-05-31T00:00:00"/>
    <n v="61164"/>
    <n v="43552"/>
    <s v="Knnd Associates Pvt Ltd"/>
    <s v="Solid State Lab Manipal"/>
    <s v="Insulation"/>
    <x v="22"/>
    <s v="Sqmt"/>
    <n v="39.533329999999999"/>
    <n v="348"/>
    <n v="13757.598840000001"/>
  </r>
  <r>
    <s v="May"/>
    <d v="2024-05-31T00:00:00"/>
    <n v="61164"/>
    <n v="43552"/>
    <s v="Knnd Associates Pvt Ltd"/>
    <s v="Solid State Lab Manipal"/>
    <s v="Insulation Flange"/>
    <x v="22"/>
    <s v="Sqmt"/>
    <n v="10"/>
    <n v="190"/>
    <n v="1900"/>
  </r>
  <r>
    <s v="May"/>
    <d v="2024-05-31T00:00:00"/>
    <n v="61164"/>
    <n v="43552"/>
    <s v="Knnd Associates Pvt Ltd"/>
    <s v="Solid State Lab Manipal"/>
    <s v="Stretch Film"/>
    <x v="4"/>
    <s v="Sqmt"/>
    <n v="50"/>
    <n v="15"/>
    <n v="750"/>
  </r>
  <r>
    <s v="May"/>
    <d v="2024-05-31T00:00:00"/>
    <n v="61165"/>
    <n v="43553"/>
    <s v="Knnd Associates Pvt Ltd"/>
    <s v="EVT Lab Manipal"/>
    <s v="Spiral Oval Duct"/>
    <x v="5"/>
    <s v="Sqmt"/>
    <n v="29.4"/>
    <n v="670"/>
    <n v="19698"/>
  </r>
  <r>
    <s v="May"/>
    <d v="2024-05-31T00:00:00"/>
    <n v="61165"/>
    <n v="43553"/>
    <s v="Knnd Associates Pvt Ltd"/>
    <s v="EVT Lab Manipal"/>
    <s v="Spiral Oval Coupling"/>
    <x v="6"/>
    <s v="Sqmt"/>
    <n v="1.1000000000000001"/>
    <n v="710"/>
    <n v="781.00000000000011"/>
  </r>
  <r>
    <s v="May"/>
    <d v="2024-05-31T00:00:00"/>
    <n v="61165"/>
    <n v="43553"/>
    <s v="Knnd Associates Pvt Ltd"/>
    <s v="EVT Lab Manipal"/>
    <s v="Insulation"/>
    <x v="21"/>
    <s v="Sqmt"/>
    <n v="30.5"/>
    <n v="580"/>
    <n v="17690"/>
  </r>
  <r>
    <s v="June"/>
    <d v="2024-06-03T00:00:00"/>
    <n v="61101"/>
    <n v="43554"/>
    <s v="Knnd Associates Pvt Ltd"/>
    <s v="NCA L&amp;T Bangalore"/>
    <s v="Mixing Box (320x320x300H)"/>
    <x v="11"/>
    <s v="Nos"/>
    <n v="16"/>
    <n v="390"/>
    <n v="6240"/>
  </r>
  <r>
    <s v="June"/>
    <d v="2024-06-03T00:00:00"/>
    <n v="61101"/>
    <n v="43554"/>
    <s v="Knnd Associates Pvt Ltd"/>
    <s v="NCA L&amp;T Bangalore"/>
    <s v="Mixing Box (420x170x300H)"/>
    <x v="11"/>
    <s v="Nos"/>
    <n v="12"/>
    <n v="335"/>
    <n v="4020"/>
  </r>
  <r>
    <s v="June"/>
    <d v="2024-06-03T00:00:00"/>
    <n v="61101"/>
    <n v="43554"/>
    <s v="Knnd Associates Pvt Ltd"/>
    <s v="NCA L&amp;T Bangalore"/>
    <s v="Mixing Box (245x245x300H)"/>
    <x v="11"/>
    <s v="Nos"/>
    <n v="10"/>
    <n v="335"/>
    <n v="3350"/>
  </r>
  <r>
    <s v="June"/>
    <d v="2024-06-03T00:00:00"/>
    <n v="61101"/>
    <n v="43554"/>
    <s v="Knnd Associates Pvt Ltd"/>
    <s v="NCA L&amp;T Bangalore"/>
    <s v="Mixing Box (320x170x300H)"/>
    <x v="11"/>
    <s v="Nos"/>
    <n v="2"/>
    <n v="266"/>
    <n v="532"/>
  </r>
  <r>
    <s v="June"/>
    <d v="2024-06-03T00:00:00"/>
    <n v="61101"/>
    <n v="43554"/>
    <s v="Knnd Associates Pvt Ltd"/>
    <s v="NCA L&amp;T Bangalore"/>
    <s v="Mixing Box (320x170x300H)"/>
    <x v="11"/>
    <s v="Nos"/>
    <n v="2"/>
    <n v="266"/>
    <n v="532"/>
  </r>
  <r>
    <s v="June"/>
    <d v="2024-06-03T00:00:00"/>
    <n v="61101"/>
    <n v="43554"/>
    <s v="Knnd Associates Pvt Ltd"/>
    <s v="NCA L&amp;T Bangalore"/>
    <s v="Mixing Box (245x245x300H)"/>
    <x v="11"/>
    <s v="Nos"/>
    <n v="6"/>
    <n v="335"/>
    <n v="2010"/>
  </r>
  <r>
    <s v="June"/>
    <d v="2024-06-03T00:00:00"/>
    <n v="61101"/>
    <n v="43554"/>
    <s v="Knnd Associates Pvt Ltd"/>
    <s v="NCA L&amp;T Bangalore"/>
    <s v="Mixing Box (320x320x300H)"/>
    <x v="11"/>
    <s v="Nos"/>
    <n v="5"/>
    <n v="390"/>
    <n v="1950"/>
  </r>
  <r>
    <s v="June"/>
    <d v="2024-06-03T00:00:00"/>
    <n v="61101"/>
    <n v="43554"/>
    <s v="Knnd Associates Pvt Ltd"/>
    <s v="NCA L&amp;T Bangalore"/>
    <s v="Mixing Box (220x220x250H)"/>
    <x v="11"/>
    <s v="Nos"/>
    <n v="5"/>
    <n v="211"/>
    <n v="1055"/>
  </r>
  <r>
    <s v="June"/>
    <d v="2024-06-03T00:00:00"/>
    <n v="61101"/>
    <n v="43554"/>
    <s v="Knnd Associates Pvt Ltd"/>
    <s v="NCA L&amp;T Bangalore"/>
    <s v="Mixing Box (620x170x300H)"/>
    <x v="11"/>
    <s v="Nos"/>
    <n v="6"/>
    <n v="905"/>
    <n v="5430"/>
  </r>
  <r>
    <s v="June"/>
    <d v="2024-06-03T00:00:00"/>
    <n v="61101"/>
    <n v="43554"/>
    <s v="Knnd Associates Pvt Ltd"/>
    <s v="NCA L&amp;T Bangalore"/>
    <s v="Mixing Box (370x370x350H)"/>
    <x v="11"/>
    <s v="Nos"/>
    <n v="5"/>
    <n v="895"/>
    <n v="4475"/>
  </r>
  <r>
    <s v="June"/>
    <d v="2024-06-03T00:00:00"/>
    <n v="61101"/>
    <n v="43554"/>
    <s v="Knnd Associates Pvt Ltd"/>
    <s v="NCA L&amp;T Bangalore"/>
    <s v="Mixing Box (420x420x400H)"/>
    <x v="11"/>
    <s v="Nos"/>
    <n v="1"/>
    <n v="1006"/>
    <n v="1006"/>
  </r>
  <r>
    <s v="June"/>
    <d v="2024-06-03T00:00:00"/>
    <n v="61101"/>
    <n v="43554"/>
    <s v="Knnd Associates Pvt Ltd"/>
    <s v="NCA L&amp;T Bangalore"/>
    <s v="Mixing Box (200x200x250H)"/>
    <x v="11"/>
    <s v="Nos"/>
    <n v="24"/>
    <n v="280"/>
    <n v="6720"/>
  </r>
  <r>
    <s v="June"/>
    <d v="2024-06-03T00:00:00"/>
    <n v="61101"/>
    <n v="43554"/>
    <s v="Knnd Associates Pvt Ltd"/>
    <s v="NCA L&amp;T Bangalore"/>
    <s v="Mixing Box (250x200x250H)"/>
    <x v="11"/>
    <s v="Nos"/>
    <n v="5"/>
    <n v="335"/>
    <n v="1675"/>
  </r>
  <r>
    <s v="June"/>
    <d v="2024-06-03T00:00:00"/>
    <n v="61101"/>
    <n v="43554"/>
    <s v="Knnd Associates Pvt Ltd"/>
    <s v="NCA L&amp;T Bangalore"/>
    <s v="Spigot 150mm Dia"/>
    <x v="12"/>
    <s v="Nos"/>
    <n v="25"/>
    <n v="290"/>
    <n v="7250"/>
  </r>
  <r>
    <s v="June"/>
    <d v="2024-06-03T00:00:00"/>
    <n v="61101"/>
    <n v="43554"/>
    <s v="Knnd Associates Pvt Ltd"/>
    <s v="NCA L&amp;T Bangalore"/>
    <s v="Spigot 200mm Dia"/>
    <x v="12"/>
    <s v="Nos"/>
    <n v="6"/>
    <n v="340"/>
    <n v="2040"/>
  </r>
  <r>
    <s v="June"/>
    <d v="2024-06-03T00:00:00"/>
    <n v="61101"/>
    <n v="43554"/>
    <s v="Knnd Associates Pvt Ltd"/>
    <s v="NCA L&amp;T Bangalore"/>
    <s v="Spigot 250mm Dia"/>
    <x v="12"/>
    <s v="Nos"/>
    <n v="24"/>
    <n v="400"/>
    <n v="9600"/>
  </r>
  <r>
    <s v="June"/>
    <d v="2024-06-03T00:00:00"/>
    <n v="61101"/>
    <n v="43554"/>
    <s v="Knnd Associates Pvt Ltd"/>
    <s v="NCA L&amp;T Bangalore"/>
    <s v="XLPE Gasket"/>
    <x v="33"/>
    <s v="Rmt"/>
    <n v="300"/>
    <n v="5"/>
    <n v="1500"/>
  </r>
  <r>
    <s v="June"/>
    <d v="2024-06-03T00:00:00"/>
    <n v="61101"/>
    <n v="43554"/>
    <s v="Knnd Associates Pvt Ltd"/>
    <s v="NCA L&amp;T Bangalore"/>
    <s v="Corners 32mm"/>
    <x v="32"/>
    <s v="Nos"/>
    <n v="200"/>
    <n v="7.5"/>
    <n v="1500"/>
  </r>
  <r>
    <s v="June"/>
    <d v="2024-06-03T00:00:00"/>
    <n v="61101"/>
    <n v="43554"/>
    <s v="Knnd Associates Pvt Ltd"/>
    <s v="NCA L&amp;T Bangalore"/>
    <s v="Insulation"/>
    <x v="25"/>
    <s v="Sqmt"/>
    <n v="38.829000000000001"/>
    <n v="350"/>
    <n v="13590.15"/>
  </r>
  <r>
    <s v="June"/>
    <d v="2024-06-03T00:00:00"/>
    <n v="61167"/>
    <n v="43555"/>
    <s v="Knnd Associates Pvt Ltd"/>
    <s v="Infosys Mysore"/>
    <s v="Box Duct with TDF"/>
    <x v="11"/>
    <s v="Sqmt"/>
    <n v="47.5"/>
    <n v="595"/>
    <n v="28262.5"/>
  </r>
  <r>
    <s v="June"/>
    <d v="2024-06-03T00:00:00"/>
    <n v="61167"/>
    <n v="43555"/>
    <s v="Knnd Associates Pvt Ltd"/>
    <s v="Infosys Mysore"/>
    <s v="Box Duct with TDF"/>
    <x v="12"/>
    <s v="Sqmt"/>
    <n v="25.4"/>
    <n v="760"/>
    <n v="19304"/>
  </r>
  <r>
    <s v="June"/>
    <d v="2024-06-03T00:00:00"/>
    <n v="61167"/>
    <n v="43555"/>
    <s v="Knnd Associates Pvt Ltd"/>
    <s v="Infosys Mysore"/>
    <s v="Box Duct with TDF"/>
    <x v="1"/>
    <s v="Sqmt"/>
    <n v="12.8"/>
    <n v="910"/>
    <n v="11648"/>
  </r>
  <r>
    <s v="June"/>
    <d v="2024-06-03T00:00:00"/>
    <n v="61167"/>
    <n v="43555"/>
    <s v="Knnd Associates Pvt Ltd"/>
    <s v="Infosys Mysore"/>
    <s v="Mixing Box (1000x120x350)"/>
    <x v="11"/>
    <s v="Nos"/>
    <n v="16"/>
    <n v="579"/>
    <n v="9264"/>
  </r>
  <r>
    <s v="June"/>
    <d v="2024-06-03T00:00:00"/>
    <n v="61167"/>
    <n v="43555"/>
    <s v="Knnd Associates Pvt Ltd"/>
    <s v="Infosys Mysore"/>
    <s v="VCD (Alu. Blade)"/>
    <x v="1"/>
    <s v="Sqmt"/>
    <n v="1.3"/>
    <n v="5200"/>
    <n v="6760"/>
  </r>
  <r>
    <s v="June"/>
    <d v="2024-06-03T00:00:00"/>
    <n v="61167"/>
    <n v="43555"/>
    <s v="Knnd Associates Pvt Ltd"/>
    <s v="Infosys Mysore"/>
    <s v="Round Collar with flange 200 Dia"/>
    <x v="11"/>
    <s v="Nos"/>
    <n v="14"/>
    <n v="140"/>
    <n v="1960"/>
  </r>
  <r>
    <s v="June"/>
    <d v="2024-06-03T00:00:00"/>
    <n v="61167"/>
    <n v="43555"/>
    <s v="Knnd Associates Pvt Ltd"/>
    <s v="Infosys Mysore"/>
    <s v="Insulation"/>
    <x v="34"/>
    <s v="Sqmt"/>
    <n v="53.6"/>
    <n v="700"/>
    <n v="37520"/>
  </r>
  <r>
    <s v="June"/>
    <d v="2024-06-03T00:00:00"/>
    <n v="61167"/>
    <n v="43555"/>
    <s v="Knnd Associates Pvt Ltd"/>
    <s v="Infosys Mysore"/>
    <s v="Insulation"/>
    <x v="17"/>
    <s v="Sqmt"/>
    <n v="26"/>
    <n v="810"/>
    <n v="21060"/>
  </r>
  <r>
    <s v="June"/>
    <d v="2024-06-03T00:00:00"/>
    <n v="61167"/>
    <n v="43555"/>
    <s v="Knnd Associates Pvt Ltd"/>
    <s v="Infosys Mysore"/>
    <s v="Insulation"/>
    <x v="13"/>
    <s v="Sqmt"/>
    <n v="6.1"/>
    <n v="1450"/>
    <n v="8845"/>
  </r>
  <r>
    <s v="June"/>
    <d v="2024-06-03T00:00:00"/>
    <n v="61167"/>
    <n v="43555"/>
    <s v="Knnd Associates Pvt Ltd"/>
    <s v="Infosys Mysore"/>
    <s v="Insulation"/>
    <x v="35"/>
    <s v="Sqmt"/>
    <n v="16"/>
    <n v="425"/>
    <n v="6800"/>
  </r>
  <r>
    <s v="June"/>
    <d v="2024-06-03T00:00:00"/>
    <n v="61167"/>
    <n v="43555"/>
    <s v="Knnd Associates Pvt Ltd"/>
    <s v="Infosys Mysore"/>
    <s v="Insulation Flange"/>
    <x v="34"/>
    <s v="Sqmt"/>
    <n v="12"/>
    <n v="470"/>
    <n v="5640"/>
  </r>
  <r>
    <s v="June"/>
    <d v="2024-06-03T00:00:00"/>
    <n v="61167"/>
    <n v="43555"/>
    <s v="Knnd Associates Pvt Ltd"/>
    <s v="Infosys Mysore"/>
    <s v="Stretch Film"/>
    <x v="4"/>
    <s v="Sqmt"/>
    <n v="70"/>
    <n v="15"/>
    <n v="1050"/>
  </r>
  <r>
    <s v="June"/>
    <d v="2024-06-04T00:00:00"/>
    <n v="61168"/>
    <n v="43556"/>
    <s v="Knnd Associates Pvt Ltd"/>
    <s v="Thirumalesha Residency Bangalore"/>
    <s v="Box Duct with TDF"/>
    <x v="11"/>
    <s v="Sqmt"/>
    <n v="154.69999999999999"/>
    <n v="595"/>
    <n v="92046.5"/>
  </r>
  <r>
    <s v="June"/>
    <d v="2024-06-04T00:00:00"/>
    <n v="61168"/>
    <n v="43556"/>
    <s v="Knnd Associates Pvt Ltd"/>
    <s v="Thirumalesha Residency Bangalore"/>
    <s v="Insulation"/>
    <x v="18"/>
    <s v="Sqmt"/>
    <n v="108.5"/>
    <n v="266"/>
    <n v="28861"/>
  </r>
  <r>
    <s v="June"/>
    <d v="2024-06-04T00:00:00"/>
    <n v="61168"/>
    <n v="43556"/>
    <s v="Knnd Associates Pvt Ltd"/>
    <s v="Thirumalesha Residency Bangalore"/>
    <s v="Insulation"/>
    <x v="21"/>
    <s v="Sqmt"/>
    <n v="18.2"/>
    <n v="580"/>
    <n v="10556"/>
  </r>
  <r>
    <s v="June"/>
    <d v="2024-06-04T00:00:00"/>
    <n v="61168"/>
    <n v="43556"/>
    <s v="Knnd Associates Pvt Ltd"/>
    <s v="Thirumalesha Residency Bangalore"/>
    <s v="Insulation Flange"/>
    <x v="8"/>
    <s v="Sqmt"/>
    <n v="10"/>
    <n v="150"/>
    <n v="1500"/>
  </r>
  <r>
    <s v="June"/>
    <d v="2024-06-04T00:00:00"/>
    <n v="61168"/>
    <n v="43556"/>
    <s v="Knnd Associates Pvt Ltd"/>
    <s v="Thirumalesha Residency Bangalore"/>
    <s v="Insulation Flange"/>
    <x v="18"/>
    <s v="Nos"/>
    <n v="22"/>
    <n v="153"/>
    <n v="3366"/>
  </r>
  <r>
    <s v="June"/>
    <d v="2024-06-04T00:00:00"/>
    <n v="61168"/>
    <n v="43556"/>
    <s v="Knnd Associates Pvt Ltd"/>
    <s v="Thirumalesha Residency Bangalore"/>
    <s v="Insulation Flange"/>
    <x v="21"/>
    <s v="Sqmt"/>
    <n v="10"/>
    <n v="465"/>
    <n v="4650"/>
  </r>
  <r>
    <s v="June"/>
    <d v="2024-06-04T00:00:00"/>
    <n v="61168"/>
    <n v="43556"/>
    <s v="Knnd Associates Pvt Ltd"/>
    <s v="Thirumalesha Residency Bangalore"/>
    <s v="Stretch Film"/>
    <x v="4"/>
    <s v="Sqmt"/>
    <n v="115"/>
    <n v="15"/>
    <n v="1725"/>
  </r>
  <r>
    <s v="June"/>
    <d v="2024-06-04T00:00:00"/>
    <n v="61168"/>
    <n v="43556"/>
    <s v="Knnd Associates Pvt Ltd"/>
    <s v="Thirumalesha Residency Bangalore"/>
    <s v="Plain Sheet"/>
    <x v="11"/>
    <s v="Sqmt"/>
    <n v="24"/>
    <n v="448"/>
    <n v="10752"/>
  </r>
  <r>
    <s v="June"/>
    <d v="2024-06-04T00:00:00"/>
    <n v="61185"/>
    <n v="43557"/>
    <s v="Technogreen Airconditioning Pvt Ltd"/>
    <s v="Simpliwork Project"/>
    <s v="Spiral Oval Duct"/>
    <x v="5"/>
    <s v="Sqmt"/>
    <n v="2.2999999999999998"/>
    <n v="800"/>
    <n v="1839.9999999999998"/>
  </r>
  <r>
    <s v="June"/>
    <d v="2024-06-04T00:00:00"/>
    <n v="61185"/>
    <n v="43557"/>
    <s v="Technogreen Airconditioning Pvt Ltd"/>
    <s v="Simpliwork Project"/>
    <s v="Box Duct with TDF"/>
    <x v="31"/>
    <s v="Sqmt"/>
    <n v="6.3"/>
    <n v="490"/>
    <n v="3087"/>
  </r>
  <r>
    <s v="June"/>
    <d v="2024-06-04T00:00:00"/>
    <n v="61185"/>
    <n v="43557"/>
    <s v="Technogreen Airconditioning Pvt Ltd"/>
    <s v="Simpliwork Project"/>
    <s v="Box Duct with TDF"/>
    <x v="12"/>
    <s v="Sqmt"/>
    <n v="17.5"/>
    <n v="700"/>
    <n v="12250"/>
  </r>
  <r>
    <s v="June"/>
    <d v="2024-06-05T00:00:00"/>
    <n v="61171"/>
    <n v="43558"/>
    <s v="Knnd Associates Pvt Ltd"/>
    <s v="Manipal South Bangalore"/>
    <s v="Pressure Testing of Ducts"/>
    <x v="24"/>
    <s v="Sqmt"/>
    <n v="1166"/>
    <n v="35"/>
    <n v="40810"/>
  </r>
  <r>
    <s v="June"/>
    <d v="2024-06-05T00:00:00"/>
    <n v="61172"/>
    <n v="43559"/>
    <s v="Knnd Associates Pvt Ltd"/>
    <s v="Vaishnavi Bangalore"/>
    <s v="Pressure Testing of Ducts"/>
    <x v="24"/>
    <s v="Sqmt"/>
    <n v="65"/>
    <n v="35"/>
    <n v="2275"/>
  </r>
  <r>
    <s v="June"/>
    <d v="2024-06-05T00:00:00"/>
    <n v="61173"/>
    <n v="43560"/>
    <s v="Knnd Associates Pvt Ltd"/>
    <s v="BVVS Bagalkot"/>
    <s v="Pressure Testing of Ducts"/>
    <x v="24"/>
    <s v="Sqmt"/>
    <n v="1377.3"/>
    <n v="35"/>
    <n v="48205.5"/>
  </r>
  <r>
    <s v="June"/>
    <d v="2024-06-05T00:00:00"/>
    <n v="61174"/>
    <n v="43561"/>
    <s v="Knnd Associates Pvt Ltd"/>
    <s v="Adwitiya Projects Bangalore"/>
    <s v="Pressure Testing of Ducts"/>
    <x v="24"/>
    <s v="Sqmt"/>
    <n v="439.2"/>
    <n v="35"/>
    <n v="15372"/>
  </r>
  <r>
    <s v="June"/>
    <d v="2024-06-05T00:00:00"/>
    <n v="61175"/>
    <n v="43562"/>
    <s v="Knnd Associates Pvt Ltd"/>
    <s v="NCA L&amp;T Bangalore"/>
    <s v="Pressure Testing of Ducts"/>
    <x v="24"/>
    <s v="Sqmt"/>
    <n v="396.1"/>
    <n v="35"/>
    <n v="13863.5"/>
  </r>
  <r>
    <s v="June"/>
    <d v="2024-06-05T00:00:00"/>
    <n v="61176"/>
    <n v="43563"/>
    <s v="Knnd Associates Pvt Ltd"/>
    <s v="MAHE Bangaluru"/>
    <s v="Pressure Testing of Ducts"/>
    <x v="24"/>
    <s v="Sqmt"/>
    <n v="375.3"/>
    <n v="35"/>
    <n v="13135.5"/>
  </r>
  <r>
    <s v="June"/>
    <d v="2024-06-05T00:00:00"/>
    <n v="61177"/>
    <n v="43564"/>
    <s v="Knnd Associates Pvt Ltd"/>
    <s v="Solid State Lab Manipal"/>
    <s v="Pressure Testing of Ducts"/>
    <x v="24"/>
    <s v="Sqmt"/>
    <n v="31.2"/>
    <n v="35"/>
    <n v="1092"/>
  </r>
  <r>
    <s v="June"/>
    <d v="2024-06-05T00:00:00"/>
    <n v="61178"/>
    <n v="43565"/>
    <s v="Knnd Associates Pvt Ltd"/>
    <s v="EVT Lab Manipal"/>
    <s v="Pressure Testing of Ducts"/>
    <x v="24"/>
    <s v="Sqmt"/>
    <n v="30.5"/>
    <n v="35"/>
    <n v="1067.5"/>
  </r>
  <r>
    <s v="June"/>
    <d v="2024-06-05T00:00:00"/>
    <n v="61179"/>
    <n v="43566"/>
    <s v="Knnd Associates Pvt Ltd"/>
    <s v="Shamabavi Hotel Udupi"/>
    <s v="Pressure Testing of Ducts"/>
    <x v="24"/>
    <s v="Sqmt"/>
    <n v="79.2"/>
    <n v="35"/>
    <n v="2772"/>
  </r>
  <r>
    <s v="June"/>
    <d v="2024-06-05T00:00:00"/>
    <n v="61180"/>
    <n v="43567"/>
    <s v="Knnd Associates Pvt Ltd"/>
    <s v="MUJ Hostel Block"/>
    <s v="Pressure Testing of Ducts"/>
    <x v="24"/>
    <s v="Sqmt"/>
    <n v="2229.6999999999998"/>
    <n v="35"/>
    <n v="78039.5"/>
  </r>
  <r>
    <s v="June"/>
    <d v="2024-06-05T00:00:00"/>
    <n v="61181"/>
    <n v="43568"/>
    <s v="Knnd Associates Pvt Ltd"/>
    <s v="MUJ LHC"/>
    <s v="Pressure Testing of Ducts"/>
    <x v="24"/>
    <s v="Sqmt"/>
    <n v="1737.3"/>
    <n v="35"/>
    <n v="60805.5"/>
  </r>
  <r>
    <s v="June"/>
    <d v="2024-06-05T00:00:00"/>
    <n v="61182"/>
    <n v="43569"/>
    <s v="Knnd Associates Pvt Ltd"/>
    <s v="KIMS Nagercoil"/>
    <s v="Pressure Testing of Ducts"/>
    <x v="24"/>
    <s v="Sqmt"/>
    <n v="2969.8"/>
    <n v="35"/>
    <n v="103943"/>
  </r>
  <r>
    <s v="June"/>
    <d v="2024-06-05T00:00:00"/>
    <n v="61099"/>
    <n v="43570"/>
    <s v="Knnd Associates Pvt Ltd"/>
    <s v="MUJ Hostel Block"/>
    <s v="Box Duct with TDF"/>
    <x v="11"/>
    <s v="Sqmt"/>
    <n v="188.1"/>
    <n v="595"/>
    <n v="111919.5"/>
  </r>
  <r>
    <s v="June"/>
    <d v="2024-06-05T00:00:00"/>
    <n v="61099"/>
    <n v="43570"/>
    <s v="Knnd Associates Pvt Ltd"/>
    <s v="MUJ Hostel Block"/>
    <s v="Box Duct with TDF"/>
    <x v="12"/>
    <s v="Sqmt"/>
    <n v="111.5"/>
    <n v="765"/>
    <n v="85297.5"/>
  </r>
  <r>
    <s v="June"/>
    <d v="2024-06-05T00:00:00"/>
    <n v="61099"/>
    <n v="43570"/>
    <s v="Knnd Associates Pvt Ltd"/>
    <s v="MUJ Hostel Block"/>
    <s v="Insulation"/>
    <x v="22"/>
    <s v="Sqmt"/>
    <n v="299.60000000000002"/>
    <n v="326"/>
    <n v="97669.6"/>
  </r>
  <r>
    <s v="June"/>
    <d v="2024-06-05T00:00:00"/>
    <n v="61099"/>
    <n v="43570"/>
    <s v="Knnd Associates Pvt Ltd"/>
    <s v="MUJ Hostel Block"/>
    <s v="VCD (Alu. Blade)"/>
    <x v="1"/>
    <s v="Sqmt"/>
    <n v="8.8000000000000007"/>
    <n v="5200"/>
    <n v="45760.000000000007"/>
  </r>
  <r>
    <s v="June"/>
    <d v="2024-06-05T00:00:00"/>
    <n v="61099"/>
    <n v="43570"/>
    <s v="Knnd Associates Pvt Ltd"/>
    <s v="MUJ Hostel Block"/>
    <s v="Stretch Film"/>
    <x v="4"/>
    <s v="Sqmt"/>
    <n v="300"/>
    <n v="15"/>
    <n v="4500"/>
  </r>
  <r>
    <s v="June"/>
    <d v="2024-06-05T00:00:00"/>
    <n v="61099"/>
    <n v="43570"/>
    <s v="Knnd Associates Pvt Ltd"/>
    <s v="MUJ Hostel Block"/>
    <s v="Insulation Flange"/>
    <x v="18"/>
    <s v="Nos"/>
    <n v="90"/>
    <n v="153"/>
    <n v="13770"/>
  </r>
  <r>
    <s v="June"/>
    <d v="2024-06-05T00:00:00"/>
    <n v="61138"/>
    <n v="43571"/>
    <s v="Knnd Associates Pvt Ltd"/>
    <s v="MUJ Hostel Block"/>
    <s v="Box Duct with TDF"/>
    <x v="11"/>
    <s v="Sqmt"/>
    <n v="247.4"/>
    <n v="590"/>
    <n v="145966"/>
  </r>
  <r>
    <s v="June"/>
    <d v="2024-06-05T00:00:00"/>
    <n v="61138"/>
    <n v="43571"/>
    <s v="Knnd Associates Pvt Ltd"/>
    <s v="MUJ Hostel Block"/>
    <s v="Box Duct with TDF"/>
    <x v="12"/>
    <s v="Sqmt"/>
    <n v="54.8"/>
    <n v="760"/>
    <n v="41648"/>
  </r>
  <r>
    <s v="June"/>
    <d v="2024-06-05T00:00:00"/>
    <n v="61138"/>
    <n v="43571"/>
    <s v="Knnd Associates Pvt Ltd"/>
    <s v="MUJ Hostel Block"/>
    <s v="Insulation"/>
    <x v="22"/>
    <s v="Sqmt"/>
    <n v="302.2"/>
    <n v="326"/>
    <n v="98517.2"/>
  </r>
  <r>
    <s v="June"/>
    <d v="2024-06-05T00:00:00"/>
    <n v="61138"/>
    <n v="43571"/>
    <s v="Knnd Associates Pvt Ltd"/>
    <s v="MUJ Hostel Block"/>
    <s v="VCD (Alu. Blade)"/>
    <x v="1"/>
    <s v="Sqmt"/>
    <n v="52.2"/>
    <n v="5200"/>
    <n v="271440"/>
  </r>
  <r>
    <s v="June"/>
    <d v="2024-06-05T00:00:00"/>
    <n v="61138"/>
    <n v="43571"/>
    <s v="Knnd Associates Pvt Ltd"/>
    <s v="MUJ Hostel Block"/>
    <s v="Stretch Film"/>
    <x v="4"/>
    <s v="Sqmt"/>
    <n v="302.2"/>
    <n v="15"/>
    <n v="4533"/>
  </r>
  <r>
    <s v="June"/>
    <d v="2024-06-07T00:00:00"/>
    <n v="61186"/>
    <n v="43572"/>
    <s v="Knnd Associates Pvt Ltd"/>
    <s v="Manipal South Bangalore"/>
    <s v="Box Duct with TDF"/>
    <x v="11"/>
    <s v="Sqmt"/>
    <n v="189.6"/>
    <n v="595"/>
    <n v="112812"/>
  </r>
  <r>
    <s v="June"/>
    <d v="2024-06-07T00:00:00"/>
    <n v="61186"/>
    <n v="43572"/>
    <s v="Knnd Associates Pvt Ltd"/>
    <s v="Manipal South Bangalore"/>
    <s v="Box Duct with TDF"/>
    <x v="12"/>
    <s v="Sqmt"/>
    <n v="35.799999999999997"/>
    <n v="760"/>
    <n v="27207.999999999996"/>
  </r>
  <r>
    <s v="June"/>
    <d v="2024-06-07T00:00:00"/>
    <n v="61186"/>
    <n v="43572"/>
    <s v="Knnd Associates Pvt Ltd"/>
    <s v="Manipal South Bangalore"/>
    <s v="Insulation"/>
    <x v="16"/>
    <s v="Sqmt"/>
    <n v="225.39999999999998"/>
    <n v="275"/>
    <n v="61984.999999999993"/>
  </r>
  <r>
    <s v="June"/>
    <d v="2024-06-07T00:00:00"/>
    <n v="61186"/>
    <n v="43572"/>
    <s v="Knnd Associates Pvt Ltd"/>
    <s v="Manipal South Bangalore"/>
    <s v="Stretch Film"/>
    <x v="4"/>
    <s v="Sqmt"/>
    <n v="230"/>
    <n v="15"/>
    <n v="3450"/>
  </r>
  <r>
    <s v="June"/>
    <d v="2024-06-07T00:00:00"/>
    <n v="61186"/>
    <n v="43573"/>
    <s v="Knnd Associates Pvt Ltd"/>
    <s v="Manipal South Bangalore"/>
    <s v="Box Duct with TDF"/>
    <x v="11"/>
    <s v="Sqmt"/>
    <n v="136.19999999999999"/>
    <n v="595"/>
    <n v="81039"/>
  </r>
  <r>
    <s v="June"/>
    <d v="2024-06-07T00:00:00"/>
    <n v="61186"/>
    <n v="43573"/>
    <s v="Knnd Associates Pvt Ltd"/>
    <s v="Manipal South Bangalore"/>
    <s v="Box Duct with TDF"/>
    <x v="12"/>
    <s v="Sqmt"/>
    <n v="29"/>
    <n v="760"/>
    <n v="22040"/>
  </r>
  <r>
    <s v="June"/>
    <d v="2024-06-07T00:00:00"/>
    <n v="61186"/>
    <n v="43573"/>
    <s v="Knnd Associates Pvt Ltd"/>
    <s v="Manipal South Bangalore"/>
    <s v="Insulation"/>
    <x v="16"/>
    <s v="Sqmt"/>
    <n v="162.69999999999999"/>
    <n v="275"/>
    <n v="44742.5"/>
  </r>
  <r>
    <s v="June"/>
    <d v="2024-06-07T00:00:00"/>
    <n v="61186"/>
    <n v="43573"/>
    <s v="Knnd Associates Pvt Ltd"/>
    <s v="Manipal South Bangalore"/>
    <s v="Insulation"/>
    <x v="17"/>
    <s v="Sqmt"/>
    <n v="2.5"/>
    <n v="810"/>
    <n v="2025"/>
  </r>
  <r>
    <s v="June"/>
    <d v="2024-06-07T00:00:00"/>
    <n v="61186"/>
    <n v="43573"/>
    <s v="Knnd Associates Pvt Ltd"/>
    <s v="Manipal South Bangalore"/>
    <s v="Stretch Film"/>
    <x v="4"/>
    <s v="Sqmt"/>
    <n v="162"/>
    <n v="15"/>
    <n v="2430"/>
  </r>
  <r>
    <s v="June"/>
    <d v="2024-06-07T00:00:00"/>
    <n v="61167"/>
    <n v="43574"/>
    <s v="Knnd Associates Pvt Ltd"/>
    <s v="Infosys Mysore"/>
    <s v="Box Duct with TDF"/>
    <x v="1"/>
    <s v="Sqmt"/>
    <n v="5.2"/>
    <n v="910"/>
    <n v="4732"/>
  </r>
  <r>
    <s v="June"/>
    <d v="2024-06-07T00:00:00"/>
    <n v="61167"/>
    <n v="43574"/>
    <s v="Knnd Associates Pvt Ltd"/>
    <s v="Infosys Mysore"/>
    <s v="Insulation"/>
    <x v="17"/>
    <s v="Sqmt"/>
    <n v="5.2"/>
    <n v="810"/>
    <n v="4212"/>
  </r>
  <r>
    <s v="June"/>
    <d v="2024-06-08T00:00:00"/>
    <n v="61186"/>
    <n v="43575"/>
    <s v="Knnd Associates Pvt Ltd"/>
    <s v="Manipal South Bangalore"/>
    <s v="Box Duct with TDF"/>
    <x v="11"/>
    <s v="Sqmt"/>
    <n v="147.89999999999998"/>
    <n v="595"/>
    <n v="88000.499999999985"/>
  </r>
  <r>
    <s v="June"/>
    <d v="2024-06-08T00:00:00"/>
    <n v="61186"/>
    <n v="43575"/>
    <s v="Knnd Associates Pvt Ltd"/>
    <s v="Manipal South Bangalore"/>
    <s v="Box Duct with TDF"/>
    <x v="12"/>
    <s v="Sqmt"/>
    <n v="22"/>
    <n v="760"/>
    <n v="16720"/>
  </r>
  <r>
    <s v="June"/>
    <d v="2024-06-08T00:00:00"/>
    <n v="61186"/>
    <n v="43575"/>
    <s v="Knnd Associates Pvt Ltd"/>
    <s v="Manipal South Bangalore"/>
    <s v="Insulation"/>
    <x v="16"/>
    <s v="Sqmt"/>
    <n v="133.79999999999998"/>
    <n v="275"/>
    <n v="36794.999999999993"/>
  </r>
  <r>
    <s v="June"/>
    <d v="2024-06-08T00:00:00"/>
    <n v="61186"/>
    <n v="43575"/>
    <s v="Knnd Associates Pvt Ltd"/>
    <s v="Manipal South Bangalore"/>
    <s v="Insulation"/>
    <x v="17"/>
    <s v="Sqmt"/>
    <n v="36.099999999999994"/>
    <n v="810"/>
    <n v="29240.999999999996"/>
  </r>
  <r>
    <s v="June"/>
    <d v="2024-06-08T00:00:00"/>
    <n v="61186"/>
    <n v="43575"/>
    <s v="Knnd Associates Pvt Ltd"/>
    <s v="Manipal South Bangalore"/>
    <s v="Stretch Film"/>
    <x v="4"/>
    <s v="Sqmt"/>
    <n v="134"/>
    <n v="15"/>
    <n v="2010"/>
  </r>
  <r>
    <s v="June"/>
    <d v="2024-06-08T00:00:00"/>
    <n v="61186"/>
    <n v="43575"/>
    <s v="Knnd Associates Pvt Ltd"/>
    <s v="Manipal South Bangalore"/>
    <s v="Insulation Flange"/>
    <x v="18"/>
    <s v="Nos"/>
    <n v="85"/>
    <n v="153"/>
    <n v="13005"/>
  </r>
  <r>
    <s v="June"/>
    <d v="2024-06-08T00:00:00"/>
    <n v="61186"/>
    <n v="43576"/>
    <s v="Knnd Associates Pvt Ltd"/>
    <s v="Manipal South Bangalore"/>
    <s v="Box Duct with TDF"/>
    <x v="11"/>
    <s v="Sqmt"/>
    <n v="210.8"/>
    <n v="595"/>
    <n v="125426"/>
  </r>
  <r>
    <s v="June"/>
    <d v="2024-06-08T00:00:00"/>
    <n v="61186"/>
    <n v="43576"/>
    <s v="Knnd Associates Pvt Ltd"/>
    <s v="Manipal South Bangalore"/>
    <s v="Box Duct with TDF"/>
    <x v="12"/>
    <s v="Sqmt"/>
    <n v="25.3"/>
    <n v="760"/>
    <n v="19228"/>
  </r>
  <r>
    <s v="June"/>
    <d v="2024-06-08T00:00:00"/>
    <n v="61186"/>
    <n v="43576"/>
    <s v="Knnd Associates Pvt Ltd"/>
    <s v="Manipal South Bangalore"/>
    <s v="Insulation"/>
    <x v="16"/>
    <s v="Sqmt"/>
    <n v="153"/>
    <n v="275"/>
    <n v="42075"/>
  </r>
  <r>
    <s v="June"/>
    <d v="2024-06-08T00:00:00"/>
    <n v="61186"/>
    <n v="43576"/>
    <s v="Knnd Associates Pvt Ltd"/>
    <s v="Manipal South Bangalore"/>
    <s v="Insulation"/>
    <x v="17"/>
    <s v="Sqmt"/>
    <n v="9.3000000000000007"/>
    <n v="810"/>
    <n v="7533.0000000000009"/>
  </r>
  <r>
    <s v="June"/>
    <d v="2024-06-08T00:00:00"/>
    <n v="61186"/>
    <n v="43576"/>
    <s v="Knnd Associates Pvt Ltd"/>
    <s v="Manipal South Bangalore"/>
    <s v="Stretch Film"/>
    <x v="4"/>
    <s v="Sqmt"/>
    <n v="153"/>
    <n v="15"/>
    <n v="2295"/>
  </r>
  <r>
    <s v="June"/>
    <d v="2024-06-08T00:00:00"/>
    <n v="61186"/>
    <n v="43576"/>
    <s v="Knnd Associates Pvt Ltd"/>
    <s v="Manipal South Bangalore"/>
    <s v="Insulation Flange"/>
    <x v="18"/>
    <s v="Nos"/>
    <n v="50"/>
    <n v="153"/>
    <n v="7650"/>
  </r>
  <r>
    <s v="June"/>
    <d v="2024-06-08T00:00:00"/>
    <n v="61186"/>
    <n v="43576"/>
    <s v="Knnd Associates Pvt Ltd"/>
    <s v="Manipal South Bangalore"/>
    <s v="Round Collar with flange 150 Dia"/>
    <x v="11"/>
    <s v="Nos"/>
    <n v="20"/>
    <n v="110"/>
    <n v="2200"/>
  </r>
  <r>
    <s v="June"/>
    <d v="2024-06-08T00:00:00"/>
    <n v="61186"/>
    <n v="43576"/>
    <s v="Knnd Associates Pvt Ltd"/>
    <s v="Manipal South Bangalore"/>
    <s v="Round Collar with flange 200 Dia"/>
    <x v="11"/>
    <s v="Nos"/>
    <n v="35"/>
    <n v="140"/>
    <n v="4900"/>
  </r>
  <r>
    <s v="June"/>
    <d v="2024-06-08T00:00:00"/>
    <n v="61186"/>
    <n v="43576"/>
    <s v="Knnd Associates Pvt Ltd"/>
    <s v="Manipal South Bangalore"/>
    <s v="Round Collar with flange 250 Dia"/>
    <x v="11"/>
    <s v="Nos"/>
    <n v="2"/>
    <n v="180"/>
    <n v="360"/>
  </r>
  <r>
    <s v="June"/>
    <d v="2024-06-08T00:00:00"/>
    <n v="61187"/>
    <n v="43577"/>
    <s v="Technogreen Airconditioning Pvt Ltd"/>
    <s v="Simpliwork Project"/>
    <s v="Box Duct with TDF"/>
    <x v="11"/>
    <s v="Sqmt"/>
    <n v="13.3"/>
    <n v="560"/>
    <n v="7448"/>
  </r>
  <r>
    <s v="June"/>
    <d v="2024-06-08T00:00:00"/>
    <n v="61187"/>
    <n v="43577"/>
    <s v="Technogreen Airconditioning Pvt Ltd"/>
    <s v="Simpliwork Project"/>
    <s v="Box Duct with TDF"/>
    <x v="12"/>
    <s v="Sqmt"/>
    <n v="8.1"/>
    <n v="700"/>
    <n v="5670"/>
  </r>
  <r>
    <s v="June"/>
    <d v="2024-06-08T00:00:00"/>
    <n v="61138"/>
    <n v="43578"/>
    <s v="Knnd Associates Pvt Ltd"/>
    <s v="MUJ Hostel Block"/>
    <s v="Box Duct with TDF"/>
    <x v="11"/>
    <s v="Sqmt"/>
    <n v="350.8"/>
    <n v="590"/>
    <n v="206972"/>
  </r>
  <r>
    <s v="June"/>
    <d v="2024-06-08T00:00:00"/>
    <n v="61138"/>
    <n v="43578"/>
    <s v="Knnd Associates Pvt Ltd"/>
    <s v="MUJ Hostel Block"/>
    <s v="Box Duct with TDF"/>
    <x v="12"/>
    <s v="Sqmt"/>
    <n v="177"/>
    <n v="760"/>
    <n v="134520"/>
  </r>
  <r>
    <s v="June"/>
    <d v="2024-06-08T00:00:00"/>
    <n v="61138"/>
    <n v="43578"/>
    <s v="Knnd Associates Pvt Ltd"/>
    <s v="MUJ Hostel Block"/>
    <s v="Insulation"/>
    <x v="22"/>
    <s v="Sqmt"/>
    <n v="527.79999999999995"/>
    <n v="326"/>
    <n v="172062.8"/>
  </r>
  <r>
    <s v="June"/>
    <d v="2024-06-08T00:00:00"/>
    <n v="61138"/>
    <n v="43578"/>
    <s v="Knnd Associates Pvt Ltd"/>
    <s v="MUJ Hostel Block"/>
    <s v="VCD (Alu. Blade)"/>
    <x v="1"/>
    <s v="Sqmt"/>
    <n v="20.6"/>
    <n v="5200"/>
    <n v="107120.00000000001"/>
  </r>
  <r>
    <s v="June"/>
    <d v="2024-06-08T00:00:00"/>
    <n v="61138"/>
    <n v="43578"/>
    <s v="Knnd Associates Pvt Ltd"/>
    <s v="MUJ Hostel Block"/>
    <s v="Stretch Film"/>
    <x v="4"/>
    <s v="Sqmt"/>
    <n v="530"/>
    <n v="15"/>
    <n v="7950"/>
  </r>
  <r>
    <s v="June"/>
    <d v="2024-06-08T00:00:00"/>
    <n v="61138"/>
    <n v="43578"/>
    <s v="Knnd Associates Pvt Ltd"/>
    <s v="MUJ Hostel Block"/>
    <s v="Insulation Flange"/>
    <x v="18"/>
    <s v="Nos"/>
    <n v="70"/>
    <n v="153"/>
    <n v="10710"/>
  </r>
  <r>
    <s v="June"/>
    <d v="2024-06-10T00:00:00"/>
    <n v="61188"/>
    <n v="43579"/>
    <s v="Techno Fabricators"/>
    <s v="Techno Fabricators"/>
    <s v="Spiral Oval Duct"/>
    <x v="5"/>
    <s v="Sqmt"/>
    <n v="22.9"/>
    <n v="710"/>
    <n v="16258.999999999998"/>
  </r>
  <r>
    <s v="June"/>
    <d v="2024-06-10T00:00:00"/>
    <n v="61188"/>
    <n v="43579"/>
    <s v="Techno Fabricators"/>
    <s v="Techno Fabricators"/>
    <s v="Spiral Oval Coupling"/>
    <x v="6"/>
    <s v="Sqmt"/>
    <n v="1"/>
    <n v="780"/>
    <n v="780"/>
  </r>
  <r>
    <s v="June"/>
    <d v="2024-06-10T00:00:00"/>
    <n v="61188"/>
    <n v="43579"/>
    <s v="Techno Fabricators"/>
    <s v="Techno Fabricators"/>
    <s v="Insulation"/>
    <x v="8"/>
    <s v="Sqmt"/>
    <n v="23.9"/>
    <n v="350"/>
    <n v="8365"/>
  </r>
  <r>
    <s v="June"/>
    <d v="2024-06-11T00:00:00"/>
    <n v="61186"/>
    <n v="43580"/>
    <s v="Knnd Associates Pvt Ltd"/>
    <s v="Manipal South Bangalore"/>
    <s v="Box Duct with TDF"/>
    <x v="11"/>
    <s v="Sqmt"/>
    <n v="186.3"/>
    <n v="595"/>
    <n v="110848.5"/>
  </r>
  <r>
    <s v="June"/>
    <d v="2024-06-11T00:00:00"/>
    <n v="61186"/>
    <n v="43580"/>
    <s v="Knnd Associates Pvt Ltd"/>
    <s v="Manipal South Bangalore"/>
    <s v="Box Duct with TDF"/>
    <x v="12"/>
    <s v="Sqmt"/>
    <n v="45.2"/>
    <n v="760"/>
    <n v="34352"/>
  </r>
  <r>
    <s v="June"/>
    <d v="2024-06-11T00:00:00"/>
    <n v="61186"/>
    <n v="43580"/>
    <s v="Knnd Associates Pvt Ltd"/>
    <s v="Manipal South Bangalore"/>
    <s v="Insulation"/>
    <x v="16"/>
    <s v="Sqmt"/>
    <n v="231.5"/>
    <n v="275"/>
    <n v="63662.5"/>
  </r>
  <r>
    <s v="June"/>
    <d v="2024-06-11T00:00:00"/>
    <n v="61186"/>
    <n v="43580"/>
    <s v="Knnd Associates Pvt Ltd"/>
    <s v="Manipal South Bangalore"/>
    <s v="Stretch Film"/>
    <x v="4"/>
    <s v="Sqmt"/>
    <n v="232"/>
    <n v="15"/>
    <n v="3480"/>
  </r>
  <r>
    <s v="June"/>
    <d v="2024-06-12T00:00:00"/>
    <n v="61186"/>
    <n v="43581"/>
    <s v="Knnd Associates Pvt Ltd"/>
    <s v="Manipal South Bangalore"/>
    <s v="Box Duct with TDF"/>
    <x v="11"/>
    <s v="Sqmt"/>
    <n v="84.6"/>
    <n v="595"/>
    <n v="50337"/>
  </r>
  <r>
    <s v="June"/>
    <d v="2024-06-12T00:00:00"/>
    <n v="61186"/>
    <n v="43581"/>
    <s v="Knnd Associates Pvt Ltd"/>
    <s v="Manipal South Bangalore"/>
    <s v="Box Duct with TDF"/>
    <x v="12"/>
    <s v="Sqmt"/>
    <n v="89.3"/>
    <n v="760"/>
    <n v="67868"/>
  </r>
  <r>
    <s v="June"/>
    <d v="2024-06-12T00:00:00"/>
    <n v="61186"/>
    <n v="43581"/>
    <s v="Knnd Associates Pvt Ltd"/>
    <s v="Manipal South Bangalore"/>
    <s v="Insulation"/>
    <x v="16"/>
    <s v="Sqmt"/>
    <n v="111.3"/>
    <n v="275"/>
    <n v="30607.5"/>
  </r>
  <r>
    <s v="June"/>
    <d v="2024-06-12T00:00:00"/>
    <n v="61186"/>
    <n v="43581"/>
    <s v="Knnd Associates Pvt Ltd"/>
    <s v="Manipal South Bangalore"/>
    <s v="Insulation"/>
    <x v="17"/>
    <s v="Sqmt"/>
    <n v="62.599999999999994"/>
    <n v="810"/>
    <n v="50705.999999999993"/>
  </r>
  <r>
    <s v="June"/>
    <d v="2024-06-12T00:00:00"/>
    <n v="61186"/>
    <n v="43581"/>
    <s v="Knnd Associates Pvt Ltd"/>
    <s v="Manipal South Bangalore"/>
    <s v="Stretch Film"/>
    <x v="4"/>
    <s v="Sqmt"/>
    <n v="112"/>
    <n v="15"/>
    <n v="1680"/>
  </r>
  <r>
    <s v="June"/>
    <d v="2024-06-12T00:00:00"/>
    <n v="61186"/>
    <n v="43581"/>
    <s v="Knnd Associates Pvt Ltd"/>
    <s v="Manipal South Bangalore"/>
    <s v="Round Collar with flange 150 Dia"/>
    <x v="11"/>
    <s v="Nos"/>
    <n v="15"/>
    <n v="110"/>
    <n v="1650"/>
  </r>
  <r>
    <s v="June"/>
    <d v="2024-06-12T00:00:00"/>
    <n v="61186"/>
    <n v="43582"/>
    <s v="Knnd Associates Pvt Ltd"/>
    <s v="Manipal South Bangalore"/>
    <s v="Box Duct with TDF"/>
    <x v="11"/>
    <s v="Sqmt"/>
    <n v="244.2"/>
    <n v="595"/>
    <n v="145299"/>
  </r>
  <r>
    <s v="June"/>
    <d v="2024-06-12T00:00:00"/>
    <n v="61186"/>
    <n v="43582"/>
    <s v="Knnd Associates Pvt Ltd"/>
    <s v="Manipal South Bangalore"/>
    <s v="Round Collar with flange 150 Dia"/>
    <x v="11"/>
    <s v="Nos"/>
    <n v="38"/>
    <n v="110"/>
    <n v="4180"/>
  </r>
  <r>
    <s v="June"/>
    <d v="2024-06-12T00:00:00"/>
    <n v="61186"/>
    <n v="43582"/>
    <s v="Knnd Associates Pvt Ltd"/>
    <s v="Manipal South Bangalore"/>
    <s v="Insulation"/>
    <x v="16"/>
    <s v="Sqmt"/>
    <n v="233.5"/>
    <n v="275"/>
    <n v="64212.5"/>
  </r>
  <r>
    <s v="June"/>
    <d v="2024-06-12T00:00:00"/>
    <n v="61186"/>
    <n v="43582"/>
    <s v="Knnd Associates Pvt Ltd"/>
    <s v="Manipal South Bangalore"/>
    <s v="Stretch Film"/>
    <x v="4"/>
    <s v="Sqmt"/>
    <n v="234"/>
    <n v="15"/>
    <n v="3510"/>
  </r>
  <r>
    <s v="June"/>
    <d v="2024-06-12T00:00:00"/>
    <n v="61186"/>
    <n v="43582"/>
    <s v="Knnd Associates Pvt Ltd"/>
    <s v="Manipal South Bangalore"/>
    <s v="Insulation Flange"/>
    <x v="18"/>
    <s v="Nos"/>
    <n v="50"/>
    <n v="153"/>
    <n v="7650"/>
  </r>
  <r>
    <s v="June"/>
    <d v="2024-06-13T00:00:00"/>
    <n v="61192"/>
    <n v="43583"/>
    <s v="Knnd Associates Pvt Ltd"/>
    <s v="MAHE Bangaluru"/>
    <s v="Box Duct with TDF"/>
    <x v="11"/>
    <s v="Sqmt"/>
    <n v="36"/>
    <n v="595"/>
    <n v="21420"/>
  </r>
  <r>
    <s v="June"/>
    <d v="2024-06-13T00:00:00"/>
    <n v="61192"/>
    <n v="43583"/>
    <s v="Knnd Associates Pvt Ltd"/>
    <s v="MAHE Bangaluru"/>
    <s v="Box Duct with TDF"/>
    <x v="12"/>
    <s v="Sqmt"/>
    <n v="41.6"/>
    <n v="760"/>
    <n v="31616"/>
  </r>
  <r>
    <s v="June"/>
    <d v="2024-06-13T00:00:00"/>
    <n v="61192"/>
    <n v="43583"/>
    <s v="Knnd Associates Pvt Ltd"/>
    <s v="Manipal South Bangalore"/>
    <s v="Insulation"/>
    <x v="36"/>
    <s v="Sqmt"/>
    <n v="28.5"/>
    <n v="580"/>
    <n v="16530"/>
  </r>
  <r>
    <s v="June"/>
    <d v="2024-06-13T00:00:00"/>
    <n v="61167"/>
    <n v="43584"/>
    <s v="Knnd Associates Pvt Ltd"/>
    <s v="Infosys Mysore"/>
    <s v="Spigot 200mm Dia"/>
    <x v="12"/>
    <s v="Nos"/>
    <n v="16"/>
    <n v="340"/>
    <n v="5440"/>
  </r>
  <r>
    <s v="June"/>
    <d v="2024-06-14T00:00:00"/>
    <n v="61193"/>
    <n v="43585"/>
    <s v="Knnd Associates Pvt Ltd"/>
    <s v="MAHE Bangaluru"/>
    <s v="Box Duct with TDF"/>
    <x v="11"/>
    <s v="Sqmt"/>
    <n v="148.4"/>
    <n v="595"/>
    <n v="88298"/>
  </r>
  <r>
    <s v="June"/>
    <d v="2024-06-14T00:00:00"/>
    <n v="61193"/>
    <n v="43585"/>
    <s v="Knnd Associates Pvt Ltd"/>
    <s v="MAHE Bangaluru"/>
    <s v="Box Duct with TDF"/>
    <x v="12"/>
    <s v="Sqmt"/>
    <n v="3"/>
    <n v="760"/>
    <n v="2280"/>
  </r>
  <r>
    <s v="June"/>
    <d v="2024-06-14T00:00:00"/>
    <n v="61193"/>
    <n v="43585"/>
    <s v="Knnd Associates Pvt Ltd"/>
    <s v="MAHE Bangaluru"/>
    <s v="Insulation"/>
    <x v="22"/>
    <s v="Sqmt"/>
    <n v="144.4"/>
    <n v="370"/>
    <n v="53428"/>
  </r>
  <r>
    <s v="June"/>
    <d v="2024-06-14T00:00:00"/>
    <n v="61193"/>
    <n v="43585"/>
    <s v="Knnd Associates Pvt Ltd"/>
    <s v="MAHE Bangaluru"/>
    <s v="Insulation"/>
    <x v="37"/>
    <s v="Sqmt"/>
    <n v="7"/>
    <n v="903"/>
    <n v="6321"/>
  </r>
  <r>
    <s v="June"/>
    <d v="2024-06-14T00:00:00"/>
    <n v="61193"/>
    <n v="43585"/>
    <s v="Knnd Associates Pvt Ltd"/>
    <s v="MAHE Bangaluru"/>
    <s v="Corners 32mm"/>
    <x v="32"/>
    <s v="Nos"/>
    <n v="400"/>
    <n v="7.5"/>
    <n v="3000"/>
  </r>
  <r>
    <s v="June"/>
    <d v="2024-06-14T00:00:00"/>
    <n v="61193"/>
    <n v="43585"/>
    <s v="Knnd Associates Pvt Ltd"/>
    <s v="MAHE Bangaluru"/>
    <s v="Stretch Film"/>
    <x v="4"/>
    <s v="Sqmt"/>
    <n v="145"/>
    <n v="15"/>
    <n v="2175"/>
  </r>
  <r>
    <s v="June"/>
    <d v="2024-06-14T00:00:00"/>
    <n v="61193"/>
    <n v="43585"/>
    <s v="Knnd Associates Pvt Ltd"/>
    <s v="MAHE Bangaluru"/>
    <s v="Insulation Flange"/>
    <x v="18"/>
    <s v="Nos"/>
    <n v="30"/>
    <n v="153"/>
    <n v="4590"/>
  </r>
  <r>
    <s v="June"/>
    <d v="2024-06-14T00:00:00"/>
    <n v="61191"/>
    <n v="43586"/>
    <s v="Eqube Energy and Research Services LLP"/>
    <s v="Siemens Ltd Bangalore"/>
    <s v="Box Duct with TDF"/>
    <x v="11"/>
    <s v="Sqmt"/>
    <n v="96.6"/>
    <n v="590"/>
    <n v="56994"/>
  </r>
  <r>
    <s v="June"/>
    <d v="2024-06-14T00:00:00"/>
    <n v="61191"/>
    <n v="43586"/>
    <s v="Eqube Energy and Research Services LLP"/>
    <s v="Siemens Ltd Bangalore"/>
    <s v="Box Duct with TDF"/>
    <x v="12"/>
    <s v="Sqmt"/>
    <n v="6.8"/>
    <n v="750"/>
    <n v="5100"/>
  </r>
  <r>
    <s v="June"/>
    <d v="2024-06-14T00:00:00"/>
    <n v="61191"/>
    <n v="43586"/>
    <s v="Eqube Energy and Research Services LLP"/>
    <s v="Siemens Ltd Bangalore"/>
    <s v="Mixing box (450x450x450H)"/>
    <x v="11"/>
    <s v="Nos"/>
    <n v="7"/>
    <n v="620"/>
    <n v="4340"/>
  </r>
  <r>
    <s v="June"/>
    <d v="2024-06-14T00:00:00"/>
    <n v="61191"/>
    <n v="43586"/>
    <s v="Eqube Energy and Research Services LLP"/>
    <s v="Siemens Ltd Bangalore"/>
    <s v="Mixing box (450x450x450H)"/>
    <x v="11"/>
    <s v="Nos"/>
    <n v="14"/>
    <n v="650"/>
    <n v="9100"/>
  </r>
  <r>
    <s v="June"/>
    <d v="2024-06-14T00:00:00"/>
    <n v="61191"/>
    <n v="43586"/>
    <s v="Eqube Energy and Research Services LLP"/>
    <s v="Siemens Ltd Bangalore"/>
    <s v="Mixing box (300x300x450H)"/>
    <x v="11"/>
    <s v="Nos"/>
    <n v="1"/>
    <n v="560"/>
    <n v="560"/>
  </r>
  <r>
    <s v="June"/>
    <d v="2024-06-14T00:00:00"/>
    <n v="61191"/>
    <n v="43586"/>
    <s v="Eqube Energy and Research Services LLP"/>
    <s v="Siemens Ltd Bangalore"/>
    <s v="Square to Round Duct"/>
    <x v="11"/>
    <s v="Nos"/>
    <n v="12"/>
    <n v="305"/>
    <n v="3660"/>
  </r>
  <r>
    <s v="June"/>
    <d v="2024-06-17T00:00:00"/>
    <n v="61198"/>
    <n v="43587"/>
    <s v="Knnd Associates Pvt Ltd"/>
    <s v="Google Rio Bengaluru"/>
    <s v="Spiral Oval Duct"/>
    <x v="6"/>
    <s v="Sqmt"/>
    <n v="82.9"/>
    <n v="770"/>
    <n v="63833.000000000007"/>
  </r>
  <r>
    <s v="June"/>
    <d v="2024-06-17T00:00:00"/>
    <n v="61198"/>
    <n v="43587"/>
    <s v="Knnd Associates Pvt Ltd"/>
    <s v="Google Rio Bengaluru"/>
    <s v="Spiral Oval Coupling"/>
    <x v="7"/>
    <s v="Sqmt"/>
    <n v="2.8"/>
    <n v="905"/>
    <n v="2534"/>
  </r>
  <r>
    <s v="June"/>
    <d v="2024-06-17T00:00:00"/>
    <n v="61198"/>
    <n v="43587"/>
    <s v="Knnd Associates Pvt Ltd"/>
    <s v="Google Rio Bengaluru"/>
    <s v="Insulation"/>
    <x v="8"/>
    <s v="Sqmt"/>
    <n v="85.7"/>
    <n v="285"/>
    <n v="24424.5"/>
  </r>
  <r>
    <s v="June"/>
    <d v="2024-06-17T00:00:00"/>
    <n v="61198"/>
    <n v="43587"/>
    <s v="Knnd Associates Pvt Ltd"/>
    <s v="Google Rio Bengaluru"/>
    <s v="Stretch Film"/>
    <x v="4"/>
    <s v="Sqmt"/>
    <n v="86"/>
    <n v="15"/>
    <n v="1290"/>
  </r>
  <r>
    <s v="June"/>
    <d v="2024-06-18T00:00:00"/>
    <n v="61190"/>
    <n v="43588"/>
    <s v="Knnd Associates Pvt Ltd"/>
    <s v="Vaishnavi Bangalore"/>
    <s v="Box Duct with TDF"/>
    <x v="1"/>
    <s v="Sqmt"/>
    <n v="85"/>
    <n v="910"/>
    <n v="77350"/>
  </r>
  <r>
    <s v="June"/>
    <d v="2024-06-18T00:00:00"/>
    <n v="61186"/>
    <n v="43589"/>
    <s v="Knnd Associates Pvt Ltd"/>
    <s v="Manipal South Bangalore"/>
    <s v="Box Duct with TDF"/>
    <x v="11"/>
    <s v="Sqmt"/>
    <n v="131.9"/>
    <n v="595"/>
    <n v="78480.5"/>
  </r>
  <r>
    <s v="June"/>
    <d v="2024-06-18T00:00:00"/>
    <n v="61186"/>
    <n v="43589"/>
    <s v="Knnd Associates Pvt Ltd"/>
    <s v="Manipal South Bangalore"/>
    <s v="Insulation"/>
    <x v="16"/>
    <s v="Sqmt"/>
    <n v="131.9"/>
    <n v="275"/>
    <n v="36272.5"/>
  </r>
  <r>
    <s v="June"/>
    <d v="2024-06-18T00:00:00"/>
    <n v="61186"/>
    <n v="43589"/>
    <s v="Knnd Associates Pvt Ltd"/>
    <s v="Manipal South Bangalore"/>
    <s v="Stretch Film"/>
    <x v="4"/>
    <s v="Sqmt"/>
    <n v="132"/>
    <n v="15"/>
    <n v="1980"/>
  </r>
  <r>
    <s v="June"/>
    <d v="2024-06-18T00:00:00"/>
    <n v="61190"/>
    <n v="43590"/>
    <s v="Knnd Associates Pvt Ltd"/>
    <s v="Vaishnavi Bangalore"/>
    <s v="Box Duct with TDF"/>
    <x v="1"/>
    <s v="Sqmt"/>
    <n v="81"/>
    <n v="910"/>
    <n v="73710"/>
  </r>
  <r>
    <s v="June"/>
    <d v="2024-06-18T00:00:00"/>
    <n v="61186"/>
    <n v="43591"/>
    <s v="Knnd Associates Pvt Ltd"/>
    <s v="Manipal South Bangalore"/>
    <s v="Box Duct with TDF"/>
    <x v="11"/>
    <s v="Sqmt"/>
    <n v="88.6"/>
    <n v="595"/>
    <n v="52717"/>
  </r>
  <r>
    <s v="June"/>
    <d v="2024-06-18T00:00:00"/>
    <n v="61186"/>
    <n v="43591"/>
    <s v="Knnd Associates Pvt Ltd"/>
    <s v="Manipal South Bangalore"/>
    <s v="Box Duct with TDF"/>
    <x v="12"/>
    <s v="Sqmt"/>
    <n v="17.8"/>
    <n v="760"/>
    <n v="13528"/>
  </r>
  <r>
    <s v="June"/>
    <d v="2024-06-18T00:00:00"/>
    <n v="61186"/>
    <n v="43591"/>
    <s v="Knnd Associates Pvt Ltd"/>
    <s v="Manipal South Bangalore"/>
    <s v="Insulation"/>
    <x v="16"/>
    <s v="Sqmt"/>
    <n v="106.39999999999999"/>
    <n v="275"/>
    <n v="29259.999999999996"/>
  </r>
  <r>
    <s v="June"/>
    <d v="2024-06-18T00:00:00"/>
    <n v="61186"/>
    <n v="43591"/>
    <s v="Knnd Associates Pvt Ltd"/>
    <s v="Manipal South Bangalore"/>
    <s v="Stretch Film"/>
    <x v="4"/>
    <s v="Sqmt"/>
    <n v="110"/>
    <n v="15"/>
    <n v="1650"/>
  </r>
  <r>
    <s v="June"/>
    <d v="2024-06-19T00:00:00"/>
    <n v="61194"/>
    <n v="43592"/>
    <s v="Technogreen Airconditioning Pvt Ltd"/>
    <s v="AMD Bangalore"/>
    <s v="Spigot 200mm Dia"/>
    <x v="12"/>
    <s v="Nos"/>
    <n v="377"/>
    <n v="400"/>
    <n v="150800"/>
  </r>
  <r>
    <s v="June"/>
    <d v="2024-06-19T00:00:00"/>
    <n v="61194"/>
    <n v="43592"/>
    <s v="Technogreen Airconditioning Pvt Ltd"/>
    <s v="AMD Bangalore"/>
    <s v="Spigot 250mm Dia"/>
    <x v="12"/>
    <s v="Nos"/>
    <n v="16"/>
    <n v="485"/>
    <n v="7760"/>
  </r>
  <r>
    <s v="June"/>
    <d v="2024-06-19T00:00:00"/>
    <n v="61196"/>
    <n v="43593"/>
    <s v="Technogreen Airconditioning Pvt Ltd"/>
    <s v="AMD Bangalore"/>
    <s v="Spigot 200mm Dia"/>
    <x v="12"/>
    <s v="Nos"/>
    <n v="166"/>
    <n v="400"/>
    <n v="66400"/>
  </r>
  <r>
    <s v="June"/>
    <d v="2024-06-19T00:00:00"/>
    <n v="61196"/>
    <n v="43593"/>
    <s v="Technogreen Airconditioning Pvt Ltd"/>
    <s v="AMD Bangalore"/>
    <s v="Spigot 250mm Dia"/>
    <x v="12"/>
    <s v="Nos"/>
    <n v="12"/>
    <n v="485"/>
    <n v="5820"/>
  </r>
  <r>
    <s v="June"/>
    <d v="2024-06-21T00:00:00"/>
    <n v="61201"/>
    <n v="43594"/>
    <s v="Knnd Associates Pvt Ltd"/>
    <s v="Adwitiya Projects Bangalore"/>
    <s v="Box Duct with TDF"/>
    <x v="11"/>
    <s v="Sqmt"/>
    <n v="91.7"/>
    <n v="595"/>
    <n v="54561.5"/>
  </r>
  <r>
    <s v="June"/>
    <d v="2024-06-21T00:00:00"/>
    <n v="61201"/>
    <n v="43594"/>
    <s v="Knnd Associates Pvt Ltd"/>
    <s v="Adwitiya Projects Bangalore"/>
    <s v="VCD (Alu. Blade)"/>
    <x v="1"/>
    <s v="Sqmt"/>
    <n v="5.2"/>
    <n v="5200"/>
    <n v="27040"/>
  </r>
  <r>
    <s v="June"/>
    <d v="2024-06-21T00:00:00"/>
    <n v="61201"/>
    <n v="43594"/>
    <s v="Knnd Associates Pvt Ltd"/>
    <s v="Adwitiya Projects Bangalore"/>
    <s v="Plain Sheet"/>
    <x v="11"/>
    <s v="Sqmt"/>
    <n v="30"/>
    <n v="448"/>
    <n v="13440"/>
  </r>
  <r>
    <s v="June"/>
    <d v="2024-06-21T00:00:00"/>
    <n v="61198"/>
    <n v="43595"/>
    <s v="Knnd Associates Pvt Ltd"/>
    <s v="Google Rio Bengaluru"/>
    <s v="Spiral Oval Duct"/>
    <x v="6"/>
    <s v="Sqmt"/>
    <n v="178.1"/>
    <n v="770"/>
    <n v="137137"/>
  </r>
  <r>
    <s v="June"/>
    <d v="2024-06-21T00:00:00"/>
    <n v="61198"/>
    <n v="43595"/>
    <s v="Knnd Associates Pvt Ltd"/>
    <s v="Google Rio Bengaluru"/>
    <s v="Spiral Oval Duct"/>
    <x v="7"/>
    <s v="Sqmt"/>
    <n v="7.7"/>
    <n v="970"/>
    <n v="7469"/>
  </r>
  <r>
    <s v="June"/>
    <d v="2024-06-21T00:00:00"/>
    <n v="61198"/>
    <n v="43595"/>
    <s v="Knnd Associates Pvt Ltd"/>
    <s v="Google Rio Bengaluru"/>
    <s v="Spiral Oval Coupling"/>
    <x v="7"/>
    <s v="Sqmt"/>
    <n v="3.3"/>
    <n v="905"/>
    <n v="2986.5"/>
  </r>
  <r>
    <s v="June"/>
    <d v="2024-06-21T00:00:00"/>
    <n v="61198"/>
    <n v="43595"/>
    <s v="Knnd Associates Pvt Ltd"/>
    <s v="Google Rio Bengaluru"/>
    <s v="Insulation"/>
    <x v="8"/>
    <s v="Sqmt"/>
    <n v="189.1"/>
    <n v="285"/>
    <n v="53893.5"/>
  </r>
  <r>
    <s v="June"/>
    <d v="2024-06-21T00:00:00"/>
    <n v="61198"/>
    <n v="43595"/>
    <s v="Knnd Associates Pvt Ltd"/>
    <s v="Google Rio Bengaluru"/>
    <s v="10mm JTR"/>
    <x v="10"/>
    <s v="Rmt"/>
    <n v="24.3"/>
    <n v="110"/>
    <n v="2673"/>
  </r>
  <r>
    <s v="June"/>
    <d v="2024-06-21T00:00:00"/>
    <n v="61198"/>
    <n v="43595"/>
    <s v="Knnd Associates Pvt Ltd"/>
    <s v="Google Rio Bengaluru"/>
    <s v="Stretch Film"/>
    <x v="4"/>
    <s v="Sqmt"/>
    <n v="190"/>
    <n v="15"/>
    <n v="2850"/>
  </r>
  <r>
    <s v="June"/>
    <d v="2024-06-22T00:00:00"/>
    <n v="61190"/>
    <n v="43596"/>
    <s v="Knnd Associates Pvt Ltd"/>
    <s v="Vaishnavi Bangalore"/>
    <s v="Box Duct with TDF"/>
    <x v="1"/>
    <s v="Sqmt"/>
    <n v="41.7"/>
    <n v="910"/>
    <n v="37947"/>
  </r>
  <r>
    <s v="June"/>
    <d v="2024-06-22T00:00:00"/>
    <n v="61186"/>
    <n v="43597"/>
    <s v="Knnd Associates Pvt Ltd"/>
    <s v="Manipal South Bangalore"/>
    <s v="Box Duct with TDF"/>
    <x v="11"/>
    <s v="Sqmt"/>
    <n v="76"/>
    <n v="595"/>
    <n v="45220"/>
  </r>
  <r>
    <s v="June"/>
    <d v="2024-06-22T00:00:00"/>
    <n v="61186"/>
    <n v="43597"/>
    <s v="Knnd Associates Pvt Ltd"/>
    <s v="Manipal South Bangalore"/>
    <s v="Box Duct with TDF"/>
    <x v="12"/>
    <s v="Sqmt"/>
    <n v="18.3"/>
    <n v="760"/>
    <n v="13908"/>
  </r>
  <r>
    <s v="June"/>
    <d v="2024-06-22T00:00:00"/>
    <n v="61186"/>
    <n v="43597"/>
    <s v="Knnd Associates Pvt Ltd"/>
    <s v="Manipal South Bangalore"/>
    <s v="Insulation"/>
    <x v="16"/>
    <s v="Sqmt"/>
    <n v="75.599999999999994"/>
    <n v="275"/>
    <n v="20790"/>
  </r>
  <r>
    <s v="June"/>
    <d v="2024-06-22T00:00:00"/>
    <n v="61186"/>
    <n v="43597"/>
    <s v="Knnd Associates Pvt Ltd"/>
    <s v="Manipal South Bangalore"/>
    <s v="Insulation"/>
    <x v="17"/>
    <s v="Sqmt"/>
    <n v="18.700000000000003"/>
    <n v="810"/>
    <n v="15147.000000000002"/>
  </r>
  <r>
    <s v="June"/>
    <d v="2024-06-22T00:00:00"/>
    <n v="61186"/>
    <n v="43597"/>
    <s v="Knnd Associates Pvt Ltd"/>
    <s v="Manipal South Bangalore"/>
    <s v="Stretch Film"/>
    <x v="4"/>
    <s v="Sqmt"/>
    <n v="76"/>
    <n v="15"/>
    <n v="1140"/>
  </r>
  <r>
    <s v="June"/>
    <d v="2024-06-22T00:00:00"/>
    <n v="61186"/>
    <n v="43598"/>
    <s v="Knnd Associates Pvt Ltd"/>
    <s v="Manipal South Bangalore"/>
    <s v="Box Duct with TDF"/>
    <x v="11"/>
    <s v="Sqmt"/>
    <n v="95.4"/>
    <n v="595"/>
    <n v="56763"/>
  </r>
  <r>
    <s v="June"/>
    <d v="2024-06-22T00:00:00"/>
    <n v="61186"/>
    <n v="43598"/>
    <s v="Knnd Associates Pvt Ltd"/>
    <s v="Manipal South Bangalore"/>
    <s v="Box Duct with TDF"/>
    <x v="12"/>
    <s v="Sqmt"/>
    <n v="72.600000000000009"/>
    <n v="760"/>
    <n v="55176.000000000007"/>
  </r>
  <r>
    <s v="June"/>
    <d v="2024-06-22T00:00:00"/>
    <n v="61186"/>
    <n v="43598"/>
    <s v="Knnd Associates Pvt Ltd"/>
    <s v="Manipal South Bangalore"/>
    <s v="Insulation"/>
    <x v="16"/>
    <s v="Sqmt"/>
    <n v="157.69999999999999"/>
    <n v="275"/>
    <n v="43367.5"/>
  </r>
  <r>
    <s v="June"/>
    <d v="2024-06-22T00:00:00"/>
    <n v="61186"/>
    <n v="43598"/>
    <s v="Knnd Associates Pvt Ltd"/>
    <s v="Manipal South Bangalore"/>
    <s v="Insulation"/>
    <x v="17"/>
    <s v="Sqmt"/>
    <n v="9.1000000000000014"/>
    <n v="810"/>
    <n v="7371.0000000000009"/>
  </r>
  <r>
    <s v="June"/>
    <d v="2024-06-22T00:00:00"/>
    <n v="61186"/>
    <n v="43598"/>
    <s v="Knnd Associates Pvt Ltd"/>
    <s v="Manipal South Bangalore"/>
    <s v="Round Collar with flange 150 Dia"/>
    <x v="11"/>
    <s v="Nos"/>
    <n v="20"/>
    <n v="110"/>
    <n v="2200"/>
  </r>
  <r>
    <s v="June"/>
    <d v="2024-06-22T00:00:00"/>
    <n v="61186"/>
    <n v="43598"/>
    <s v="Knnd Associates Pvt Ltd"/>
    <s v="Manipal South Bangalore"/>
    <s v="Round Collar with flange 200 Dia"/>
    <x v="11"/>
    <s v="Nos"/>
    <n v="15"/>
    <n v="140"/>
    <n v="2100"/>
  </r>
  <r>
    <s v="June"/>
    <d v="2024-06-22T00:00:00"/>
    <n v="61186"/>
    <n v="43598"/>
    <s v="Knnd Associates Pvt Ltd"/>
    <s v="Manipal South Bangalore"/>
    <s v="Round Collar with flange 250 Dia"/>
    <x v="11"/>
    <s v="Nos"/>
    <n v="18"/>
    <n v="180"/>
    <n v="3240"/>
  </r>
  <r>
    <s v="June"/>
    <d v="2024-06-22T00:00:00"/>
    <n v="61186"/>
    <n v="43598"/>
    <s v="Knnd Associates Pvt Ltd"/>
    <s v="Manipal South Bangalore"/>
    <s v="Stretch Film"/>
    <x v="4"/>
    <s v="Sqmt"/>
    <n v="158"/>
    <n v="15"/>
    <n v="2370"/>
  </r>
  <r>
    <s v="June"/>
    <d v="2024-06-22T00:00:00"/>
    <n v="61186"/>
    <n v="43598"/>
    <s v="Knnd Associates Pvt Ltd"/>
    <s v="Manipal South Bangalore"/>
    <s v="Insulation Flange"/>
    <x v="18"/>
    <s v="Nos"/>
    <n v="104"/>
    <n v="153"/>
    <n v="15912"/>
  </r>
  <r>
    <s v="June"/>
    <d v="2024-06-22T00:00:00"/>
    <n v="61198"/>
    <n v="43599"/>
    <s v="Knnd Associates Pvt Ltd"/>
    <s v="Google Rio Bengaluru"/>
    <s v="Spiral Oval Duct"/>
    <x v="5"/>
    <s v="Sqmt"/>
    <n v="2"/>
    <n v="670"/>
    <n v="1340"/>
  </r>
  <r>
    <s v="June"/>
    <d v="2024-06-22T00:00:00"/>
    <n v="61198"/>
    <n v="43599"/>
    <s v="Knnd Associates Pvt Ltd"/>
    <s v="Google Rio Bengaluru"/>
    <s v="Spiral Oval Duct"/>
    <x v="6"/>
    <s v="Sqmt"/>
    <n v="66.099999999999994"/>
    <n v="770"/>
    <n v="50896.999999999993"/>
  </r>
  <r>
    <s v="June"/>
    <d v="2024-06-22T00:00:00"/>
    <n v="61198"/>
    <n v="43599"/>
    <s v="Knnd Associates Pvt Ltd"/>
    <s v="Google Rio Bengaluru"/>
    <s v="Spiral Oval Duct"/>
    <x v="7"/>
    <s v="Sqmt"/>
    <n v="37.700000000000003"/>
    <n v="970"/>
    <n v="36569"/>
  </r>
  <r>
    <s v="June"/>
    <d v="2024-06-22T00:00:00"/>
    <n v="61198"/>
    <n v="43599"/>
    <s v="Knnd Associates Pvt Ltd"/>
    <s v="Google Rio Bengaluru"/>
    <s v="Spiral Oval Coupling"/>
    <x v="7"/>
    <s v="Sqmt"/>
    <n v="3.6"/>
    <n v="905"/>
    <n v="3258"/>
  </r>
  <r>
    <s v="June"/>
    <d v="2024-06-22T00:00:00"/>
    <n v="61198"/>
    <n v="43599"/>
    <s v="Knnd Associates Pvt Ltd"/>
    <s v="Google Rio Bengaluru"/>
    <s v="Insulation"/>
    <x v="8"/>
    <s v="Sqmt"/>
    <n v="109.39999999999999"/>
    <n v="285"/>
    <n v="31178.999999999996"/>
  </r>
  <r>
    <s v="June"/>
    <d v="2024-06-22T00:00:00"/>
    <n v="61198"/>
    <n v="43599"/>
    <s v="Knnd Associates Pvt Ltd"/>
    <s v="Google Rio Bengaluru"/>
    <s v="10mm JTR"/>
    <x v="10"/>
    <s v="Rmt"/>
    <n v="26.2"/>
    <n v="110"/>
    <n v="2882"/>
  </r>
  <r>
    <s v="June"/>
    <d v="2024-06-22T00:00:00"/>
    <n v="61198"/>
    <n v="43599"/>
    <s v="Knnd Associates Pvt Ltd"/>
    <s v="Google Rio Bengaluru"/>
    <s v="Stretch Film"/>
    <x v="4"/>
    <s v="Sqmt"/>
    <n v="106"/>
    <n v="15"/>
    <n v="1590"/>
  </r>
  <r>
    <s v="June"/>
    <d v="2024-06-22T00:00:00"/>
    <n v="61198"/>
    <n v="43599"/>
    <s v="Knnd Associates Pvt Ltd"/>
    <s v="Google Rio Bengaluru"/>
    <s v="VCD (Alu. Blade)"/>
    <x v="2"/>
    <s v="Sqmt"/>
    <n v="6.1"/>
    <n v="5720"/>
    <n v="34892"/>
  </r>
  <r>
    <s v="June"/>
    <d v="2024-06-22T00:00:00"/>
    <n v="61198"/>
    <n v="43600"/>
    <s v="Knnd Associates Pvt Ltd"/>
    <s v="Google Rio Bengaluru"/>
    <s v="Box Duct with TDF"/>
    <x v="11"/>
    <s v="Sqmt"/>
    <n v="7.6"/>
    <n v="595"/>
    <n v="4522"/>
  </r>
  <r>
    <s v="June"/>
    <d v="2024-06-22T00:00:00"/>
    <n v="61198"/>
    <n v="43600"/>
    <s v="Knnd Associates Pvt Ltd"/>
    <s v="Google Rio Bengaluru"/>
    <s v="Box Duct with TDF"/>
    <x v="1"/>
    <s v="Sqmt"/>
    <n v="8.6"/>
    <n v="910"/>
    <n v="7826"/>
  </r>
  <r>
    <s v="June"/>
    <d v="2024-06-22T00:00:00"/>
    <n v="61198"/>
    <n v="43600"/>
    <s v="Knnd Associates Pvt Ltd"/>
    <s v="Google Rio Bengaluru"/>
    <s v="Box Duct with TDF"/>
    <x v="2"/>
    <s v="Sqmt"/>
    <n v="9.8000000000000007"/>
    <n v="1015"/>
    <n v="9947"/>
  </r>
  <r>
    <s v="June"/>
    <d v="2024-06-22T00:00:00"/>
    <n v="61198"/>
    <n v="43600"/>
    <s v="Knnd Associates Pvt Ltd"/>
    <s v="Google Rio Bengaluru"/>
    <s v="Insulation"/>
    <x v="8"/>
    <s v="Sqmt"/>
    <n v="3.3000000000000003"/>
    <n v="285"/>
    <n v="940.50000000000011"/>
  </r>
  <r>
    <s v="June"/>
    <d v="2024-06-22T00:00:00"/>
    <n v="61198"/>
    <n v="43600"/>
    <s v="Knnd Associates Pvt Ltd"/>
    <s v="Google Rio Bengaluru"/>
    <s v="Insulation"/>
    <x v="38"/>
    <s v="Sqmt"/>
    <n v="21.8"/>
    <n v="810"/>
    <n v="17658"/>
  </r>
  <r>
    <s v="June"/>
    <d v="2024-06-22T00:00:00"/>
    <n v="61198"/>
    <n v="43600"/>
    <s v="Knnd Associates Pvt Ltd"/>
    <s v="Google Rio Bengaluru"/>
    <s v="Insulation"/>
    <x v="39"/>
    <s v="Sqmt"/>
    <n v="1.5"/>
    <n v="1545"/>
    <n v="2317.5"/>
  </r>
  <r>
    <s v="June"/>
    <d v="2024-06-22T00:00:00"/>
    <n v="61198"/>
    <n v="43600"/>
    <s v="Knnd Associates Pvt Ltd"/>
    <s v="Google Rio Bengaluru"/>
    <s v="Spiral Oval Coupling"/>
    <x v="7"/>
    <s v="Sqmt"/>
    <n v="0.6"/>
    <n v="905"/>
    <n v="543"/>
  </r>
  <r>
    <s v="June"/>
    <d v="2024-06-22T00:00:00"/>
    <n v="61198"/>
    <n v="43600"/>
    <s v="Knnd Associates Pvt Ltd"/>
    <s v="Google Rio Bengaluru"/>
    <s v="Spiral VCD"/>
    <x v="7"/>
    <s v="Sqmt"/>
    <n v="0.2"/>
    <n v="3200"/>
    <n v="640"/>
  </r>
  <r>
    <s v="June"/>
    <d v="2024-06-22T00:00:00"/>
    <n v="61198"/>
    <n v="43600"/>
    <s v="Knnd Associates Pvt Ltd"/>
    <s v="Google Rio Bengaluru"/>
    <s v="10mm JTR"/>
    <x v="10"/>
    <s v="Rmt"/>
    <n v="1.8"/>
    <n v="110"/>
    <n v="198"/>
  </r>
  <r>
    <s v="June"/>
    <d v="2024-06-22T00:00:00"/>
    <n v="61198"/>
    <n v="43600"/>
    <s v="Knnd Associates Pvt Ltd"/>
    <s v="Google Rio Bengaluru"/>
    <s v="Stretch Film"/>
    <x v="4"/>
    <s v="Sqmt"/>
    <n v="27"/>
    <n v="15"/>
    <n v="405"/>
  </r>
  <r>
    <s v="June"/>
    <d v="2024-06-22T00:00:00"/>
    <n v="61199"/>
    <n v="43601"/>
    <s v="Knnd Associates Pvt Ltd"/>
    <s v="Chanakya University AB2"/>
    <s v="Box Duct with TDF"/>
    <x v="11"/>
    <s v="Sqmt"/>
    <n v="496.70000000000005"/>
    <n v="595"/>
    <n v="295536.5"/>
  </r>
  <r>
    <s v="June"/>
    <d v="2024-06-22T00:00:00"/>
    <n v="61199"/>
    <n v="43601"/>
    <s v="Knnd Associates Pvt Ltd"/>
    <s v="Chanakya University AB2"/>
    <s v="Box Duct with TDF"/>
    <x v="12"/>
    <s v="Sqmt"/>
    <n v="73.5"/>
    <n v="760"/>
    <n v="55860"/>
  </r>
  <r>
    <s v="June"/>
    <d v="2024-06-22T00:00:00"/>
    <n v="61199"/>
    <n v="43601"/>
    <s v="Knnd Associates Pvt Ltd"/>
    <s v="Chanakya University AB2"/>
    <s v="Insulation"/>
    <x v="22"/>
    <s v="Sqmt"/>
    <n v="443.6"/>
    <n v="370"/>
    <n v="164132"/>
  </r>
  <r>
    <s v="June"/>
    <d v="2024-06-22T00:00:00"/>
    <n v="61199"/>
    <n v="43601"/>
    <s v="Knnd Associates Pvt Ltd"/>
    <s v="Chanakya University AB2"/>
    <s v="Insulation"/>
    <x v="37"/>
    <s v="Sqmt"/>
    <n v="98.6"/>
    <n v="903"/>
    <n v="89035.799999999988"/>
  </r>
  <r>
    <s v="June"/>
    <d v="2024-06-22T00:00:00"/>
    <n v="61199"/>
    <n v="43601"/>
    <s v="Knnd Associates Pvt Ltd"/>
    <s v="Chanakya University AB2"/>
    <s v="Insulation Flange"/>
    <x v="18"/>
    <s v="Nos"/>
    <n v="85"/>
    <n v="153"/>
    <n v="13005"/>
  </r>
  <r>
    <s v="June"/>
    <d v="2024-06-22T00:00:00"/>
    <n v="61199"/>
    <n v="43601"/>
    <s v="Knnd Associates Pvt Ltd"/>
    <s v="Chanakya University AB2"/>
    <s v="Stretch Film"/>
    <x v="4"/>
    <s v="Sqmt"/>
    <n v="543"/>
    <n v="15"/>
    <n v="8145"/>
  </r>
  <r>
    <s v="June"/>
    <d v="2024-06-24T00:00:00"/>
    <n v="61202"/>
    <n v="43602"/>
    <s v="Knnd Associates Pvt Ltd"/>
    <s v="Infosys Coimbatore"/>
    <s v="Box Duct with TDF"/>
    <x v="11"/>
    <s v="Sqmt"/>
    <n v="90.9"/>
    <n v="586"/>
    <n v="53267.4"/>
  </r>
  <r>
    <s v="June"/>
    <d v="2024-06-24T00:00:00"/>
    <n v="61202"/>
    <n v="43602"/>
    <s v="Knnd Associates Pvt Ltd"/>
    <s v="Infosys Coimbatore"/>
    <s v="Box Duct with TDF"/>
    <x v="12"/>
    <s v="Sqmt"/>
    <n v="134.6"/>
    <n v="755"/>
    <n v="101623"/>
  </r>
  <r>
    <s v="June"/>
    <d v="2024-06-24T00:00:00"/>
    <n v="61202"/>
    <n v="43602"/>
    <s v="Knnd Associates Pvt Ltd"/>
    <s v="Infosys Coimbatore"/>
    <s v="Insulation"/>
    <x v="34"/>
    <s v="Sqmt"/>
    <n v="225.5"/>
    <n v="600"/>
    <n v="135300"/>
  </r>
  <r>
    <s v="June"/>
    <d v="2024-06-24T00:00:00"/>
    <n v="61202"/>
    <n v="43602"/>
    <s v="Knnd Associates Pvt Ltd"/>
    <s v="Infosys Coimbatore"/>
    <s v="Stretch Film"/>
    <x v="4"/>
    <s v="Sqmt"/>
    <n v="230"/>
    <n v="15"/>
    <n v="3450"/>
  </r>
  <r>
    <s v="June"/>
    <d v="2024-06-25T00:00:00"/>
    <n v="61170"/>
    <n v="43603"/>
    <s v="R Mech Breeze"/>
    <s v="Narasapura Project"/>
    <s v="Box Duct with TDF"/>
    <x v="12"/>
    <s v="Sqmt"/>
    <n v="70.7"/>
    <n v="750"/>
    <n v="53025"/>
  </r>
  <r>
    <s v="June"/>
    <d v="2024-06-25T00:00:00"/>
    <n v="61170"/>
    <n v="43603"/>
    <s v="R Mech Breeze"/>
    <s v="Narasapura Project"/>
    <s v="Box Duct with TDF"/>
    <x v="1"/>
    <s v="Sqmt"/>
    <n v="97.3"/>
    <n v="880"/>
    <n v="85624"/>
  </r>
  <r>
    <s v="June"/>
    <d v="2024-06-25T00:00:00"/>
    <n v="61170"/>
    <n v="43603"/>
    <s v="R Mech Breeze"/>
    <s v="Narasapura Project"/>
    <s v="MS Angle"/>
    <x v="40"/>
    <s v="Kg"/>
    <n v="414.4"/>
    <n v="140"/>
    <n v="58016"/>
  </r>
  <r>
    <s v="June"/>
    <d v="2024-06-25T00:00:00"/>
    <n v="61186"/>
    <n v="43604"/>
    <s v="Knnd Associates Pvt Ltd"/>
    <s v="Manipal South Bangalore"/>
    <s v="Box Duct with TDF"/>
    <x v="11"/>
    <s v="Sqmt"/>
    <n v="132.80000000000001"/>
    <n v="595"/>
    <n v="79016"/>
  </r>
  <r>
    <s v="June"/>
    <d v="2024-06-25T00:00:00"/>
    <n v="61186"/>
    <n v="43604"/>
    <s v="Knnd Associates Pvt Ltd"/>
    <s v="Manipal South Bangalore"/>
    <s v="Box Duct with TDF"/>
    <x v="12"/>
    <s v="Sqmt"/>
    <n v="49.1"/>
    <n v="760"/>
    <n v="37316"/>
  </r>
  <r>
    <s v="June"/>
    <d v="2024-06-25T00:00:00"/>
    <n v="61186"/>
    <n v="43604"/>
    <s v="Knnd Associates Pvt Ltd"/>
    <s v="Manipal South Bangalore"/>
    <s v="Insulation"/>
    <x v="16"/>
    <s v="Sqmt"/>
    <n v="143.9"/>
    <n v="275"/>
    <n v="39572.5"/>
  </r>
  <r>
    <s v="June"/>
    <d v="2024-06-25T00:00:00"/>
    <n v="61186"/>
    <n v="43604"/>
    <s v="Knnd Associates Pvt Ltd"/>
    <s v="Manipal South Bangalore"/>
    <s v="Stretch Film"/>
    <x v="4"/>
    <s v="Sqmt"/>
    <n v="145"/>
    <n v="15"/>
    <n v="2175"/>
  </r>
  <r>
    <s v="June"/>
    <d v="2024-06-25T00:00:00"/>
    <n v="61118"/>
    <n v="43605"/>
    <s v="Knnd Associates Pvt Ltd"/>
    <s v="NCA L&amp;T Bangalore"/>
    <s v="Box Duct with S&amp;C"/>
    <x v="11"/>
    <s v="Sqmt"/>
    <n v="34.700000000000003"/>
    <n v="570"/>
    <n v="19779"/>
  </r>
  <r>
    <s v="June"/>
    <d v="2024-06-25T00:00:00"/>
    <n v="61118"/>
    <n v="43605"/>
    <s v="Knnd Associates Pvt Ltd"/>
    <s v="NCA L&amp;T Bangalore"/>
    <s v="Plain Sheet"/>
    <x v="11"/>
    <s v="Sqmt"/>
    <n v="54"/>
    <n v="448"/>
    <n v="24192"/>
  </r>
  <r>
    <s v="June"/>
    <d v="2024-06-26T00:00:00"/>
    <n v="61186"/>
    <n v="43606"/>
    <s v="Knnd Associates Pvt Ltd"/>
    <s v="Manipal South Bangalore"/>
    <s v="Box Duct with TDF"/>
    <x v="11"/>
    <s v="Sqmt"/>
    <n v="181.60000000000002"/>
    <n v="595"/>
    <n v="108052.00000000001"/>
  </r>
  <r>
    <s v="June"/>
    <d v="2024-06-26T00:00:00"/>
    <n v="61186"/>
    <n v="43606"/>
    <s v="Knnd Associates Pvt Ltd"/>
    <s v="Manipal South Bangalore"/>
    <s v="Box Duct with TDF"/>
    <x v="12"/>
    <s v="Sqmt"/>
    <n v="37.400000000000006"/>
    <n v="760"/>
    <n v="28424.000000000004"/>
  </r>
  <r>
    <s v="June"/>
    <d v="2024-06-26T00:00:00"/>
    <n v="61186"/>
    <n v="43606"/>
    <s v="Knnd Associates Pvt Ltd"/>
    <s v="Manipal South Bangalore"/>
    <s v="Insulation"/>
    <x v="16"/>
    <s v="Sqmt"/>
    <n v="163.9"/>
    <n v="275"/>
    <n v="45072.5"/>
  </r>
  <r>
    <s v="June"/>
    <d v="2024-06-26T00:00:00"/>
    <n v="61186"/>
    <n v="43606"/>
    <s v="Knnd Associates Pvt Ltd"/>
    <s v="Manipal South Bangalore"/>
    <s v="Insulation"/>
    <x v="17"/>
    <s v="Sqmt"/>
    <n v="13.3"/>
    <n v="810"/>
    <n v="10773"/>
  </r>
  <r>
    <s v="June"/>
    <d v="2024-06-26T00:00:00"/>
    <n v="61186"/>
    <n v="43606"/>
    <s v="Knnd Associates Pvt Ltd"/>
    <s v="Manipal South Bangalore"/>
    <s v="Round Collar with flange 150 Dia"/>
    <x v="11"/>
    <s v="Nos"/>
    <n v="31"/>
    <n v="110"/>
    <n v="3410"/>
  </r>
  <r>
    <s v="June"/>
    <d v="2024-06-26T00:00:00"/>
    <n v="61186"/>
    <n v="43606"/>
    <s v="Knnd Associates Pvt Ltd"/>
    <s v="Manipal South Bangalore"/>
    <s v="Round Collar with flange 250 Dia"/>
    <x v="11"/>
    <s v="Nos"/>
    <n v="8"/>
    <n v="180"/>
    <n v="1440"/>
  </r>
  <r>
    <s v="June"/>
    <d v="2024-06-26T00:00:00"/>
    <n v="61186"/>
    <n v="43606"/>
    <s v="Knnd Associates Pvt Ltd"/>
    <s v="Manipal South Bangalore"/>
    <s v="Stretch Film"/>
    <x v="4"/>
    <s v="Sqmt"/>
    <n v="165"/>
    <n v="15"/>
    <n v="2475"/>
  </r>
  <r>
    <s v="June"/>
    <d v="2024-06-26T00:00:00"/>
    <n v="61199"/>
    <n v="43607"/>
    <s v="Knnd Associates Pvt Ltd"/>
    <s v="Chanakya University AB2"/>
    <s v="Box Duct with TDF"/>
    <x v="11"/>
    <s v="Sqmt"/>
    <n v="131.1"/>
    <n v="595"/>
    <n v="78004.5"/>
  </r>
  <r>
    <s v="June"/>
    <d v="2024-06-26T00:00:00"/>
    <n v="61199"/>
    <n v="43607"/>
    <s v="Knnd Associates Pvt Ltd"/>
    <s v="Chanakya University AB2"/>
    <s v="Box Duct with TDF"/>
    <x v="12"/>
    <s v="Sqmt"/>
    <n v="8.5"/>
    <n v="760"/>
    <n v="6460"/>
  </r>
  <r>
    <s v="June"/>
    <d v="2024-06-26T00:00:00"/>
    <n v="61199"/>
    <n v="43607"/>
    <s v="Knnd Associates Pvt Ltd"/>
    <s v="Chanakya University AB2"/>
    <s v="Insulation"/>
    <x v="22"/>
    <s v="Sqmt"/>
    <n v="98.3"/>
    <n v="370"/>
    <n v="36371"/>
  </r>
  <r>
    <s v="June"/>
    <d v="2024-06-26T00:00:00"/>
    <n v="61199"/>
    <n v="43607"/>
    <s v="Knnd Associates Pvt Ltd"/>
    <s v="Chanakya University AB2"/>
    <s v="Insulation"/>
    <x v="37"/>
    <s v="Sqmt"/>
    <n v="5.3"/>
    <n v="903"/>
    <n v="4785.8999999999996"/>
  </r>
  <r>
    <s v="June"/>
    <d v="2024-06-26T00:00:00"/>
    <n v="61199"/>
    <n v="43607"/>
    <s v="Knnd Associates Pvt Ltd"/>
    <s v="Chanakya University AB2"/>
    <s v="Insulation Flange"/>
    <x v="18"/>
    <s v="Nos"/>
    <n v="40"/>
    <n v="153"/>
    <n v="6120"/>
  </r>
  <r>
    <s v="June"/>
    <d v="2024-06-26T00:00:00"/>
    <n v="61199"/>
    <n v="43607"/>
    <s v="Knnd Associates Pvt Ltd"/>
    <s v="Chanakya University AB2"/>
    <s v="Stretch Film"/>
    <x v="4"/>
    <s v="Sqmt"/>
    <n v="100"/>
    <n v="15"/>
    <n v="1500"/>
  </r>
  <r>
    <s v="June"/>
    <d v="2024-06-26T00:00:00"/>
    <n v="61202"/>
    <n v="43608"/>
    <s v="Knnd Associates Pvt Ltd"/>
    <s v="Infosys Coimbatore"/>
    <s v="Box Duct with TDF"/>
    <x v="11"/>
    <s v="Sqmt"/>
    <n v="325.2"/>
    <n v="586"/>
    <n v="190567.19999999998"/>
  </r>
  <r>
    <s v="June"/>
    <d v="2024-06-26T00:00:00"/>
    <n v="61202"/>
    <n v="43608"/>
    <s v="Knnd Associates Pvt Ltd"/>
    <s v="Infosys Coimbatore"/>
    <s v="Box Duct with TDF"/>
    <x v="12"/>
    <s v="Sqmt"/>
    <n v="91.2"/>
    <n v="755"/>
    <n v="68856"/>
  </r>
  <r>
    <s v="June"/>
    <d v="2024-06-26T00:00:00"/>
    <n v="61202"/>
    <n v="43608"/>
    <s v="Knnd Associates Pvt Ltd"/>
    <s v="Infosys Coimbatore"/>
    <s v="Box Duct with TDF"/>
    <x v="1"/>
    <s v="Sqmt"/>
    <n v="39.700000000000003"/>
    <n v="920"/>
    <n v="36524"/>
  </r>
  <r>
    <s v="June"/>
    <d v="2024-06-26T00:00:00"/>
    <n v="61202"/>
    <n v="43608"/>
    <s v="Knnd Associates Pvt Ltd"/>
    <s v="Infosys Coimbatore"/>
    <s v="Insulation"/>
    <x v="34"/>
    <s v="Sqmt"/>
    <n v="414.5"/>
    <n v="600"/>
    <n v="248700"/>
  </r>
  <r>
    <s v="June"/>
    <d v="2024-06-26T00:00:00"/>
    <n v="61202"/>
    <n v="43608"/>
    <s v="Knnd Associates Pvt Ltd"/>
    <s v="Infosys Coimbatore"/>
    <s v="Insulation"/>
    <x v="17"/>
    <s v="Sqmt"/>
    <n v="77.599999999999994"/>
    <n v="810"/>
    <n v="62855.999999999993"/>
  </r>
  <r>
    <s v="June"/>
    <d v="2024-06-26T00:00:00"/>
    <n v="61202"/>
    <n v="43608"/>
    <s v="Knnd Associates Pvt Ltd"/>
    <s v="Infosys Coimbatore"/>
    <s v="VAV "/>
    <x v="11"/>
    <s v="Nos"/>
    <n v="30"/>
    <n v="390"/>
    <n v="11700"/>
  </r>
  <r>
    <s v="June"/>
    <d v="2024-06-26T00:00:00"/>
    <n v="61202"/>
    <n v="43608"/>
    <s v="Knnd Associates Pvt Ltd"/>
    <s v="Infosys Coimbatore"/>
    <s v="CTS"/>
    <x v="12"/>
    <s v="Nos"/>
    <n v="22"/>
    <n v="1750"/>
    <n v="38500"/>
  </r>
  <r>
    <s v="June"/>
    <d v="2024-06-26T00:00:00"/>
    <n v="61202"/>
    <n v="43608"/>
    <s v="Knnd Associates Pvt Ltd"/>
    <s v="Infosys Coimbatore"/>
    <s v="Spiral Oval Duct"/>
    <x v="5"/>
    <s v="Sqmt"/>
    <n v="5.7"/>
    <n v="670"/>
    <n v="3819"/>
  </r>
  <r>
    <s v="June"/>
    <d v="2024-06-26T00:00:00"/>
    <n v="61202"/>
    <n v="43608"/>
    <s v="Knnd Associates Pvt Ltd"/>
    <s v="Infosys Coimbatore"/>
    <s v="Spiral Oval Coupling"/>
    <x v="6"/>
    <s v="Sqmt"/>
    <n v="0.3"/>
    <n v="710"/>
    <n v="213"/>
  </r>
  <r>
    <s v="June"/>
    <d v="2024-06-26T00:00:00"/>
    <n v="61202"/>
    <n v="43608"/>
    <s v="Knnd Associates Pvt Ltd"/>
    <s v="Infosys Coimbatore"/>
    <s v="Insulation Flange"/>
    <x v="34"/>
    <s v="Sqmt"/>
    <n v="96"/>
    <n v="424"/>
    <n v="40704"/>
  </r>
  <r>
    <s v="June"/>
    <d v="2024-06-26T00:00:00"/>
    <n v="61202"/>
    <n v="43608"/>
    <s v="Knnd Associates Pvt Ltd"/>
    <s v="Infosys Coimbatore"/>
    <s v="Tape (50mmx50Mtr)"/>
    <x v="41"/>
    <s v="Nos"/>
    <n v="11"/>
    <n v="594"/>
    <n v="6534"/>
  </r>
  <r>
    <s v="June"/>
    <d v="2024-06-26T00:00:00"/>
    <n v="61202"/>
    <n v="43608"/>
    <s v="Knnd Associates Pvt Ltd"/>
    <s v="Infosys Coimbatore"/>
    <s v="Insulation"/>
    <x v="15"/>
    <s v="Sqmt"/>
    <n v="22"/>
    <n v="615"/>
    <n v="13530"/>
  </r>
  <r>
    <s v="June"/>
    <d v="2024-06-26T00:00:00"/>
    <n v="61202"/>
    <n v="43608"/>
    <s v="Knnd Associates Pvt Ltd"/>
    <s v="Infosys Coimbatore"/>
    <s v="Stretch Film"/>
    <x v="4"/>
    <s v="Sqmt"/>
    <n v="410"/>
    <n v="15"/>
    <n v="6150"/>
  </r>
  <r>
    <s v="June"/>
    <d v="2024-06-27T00:00:00"/>
    <n v="61202"/>
    <n v="43609"/>
    <s v="Knnd Associates Pvt Ltd"/>
    <s v="Infosys Coimbatore"/>
    <s v="Box Duct with TDF"/>
    <x v="11"/>
    <s v="Sqmt"/>
    <n v="236"/>
    <n v="586"/>
    <n v="138296"/>
  </r>
  <r>
    <s v="June"/>
    <d v="2024-06-27T00:00:00"/>
    <n v="61202"/>
    <n v="43609"/>
    <s v="Knnd Associates Pvt Ltd"/>
    <s v="Infosys Coimbatore"/>
    <s v="Box Duct with TDF"/>
    <x v="12"/>
    <s v="Sqmt"/>
    <n v="215.4"/>
    <n v="755"/>
    <n v="162627"/>
  </r>
  <r>
    <s v="June"/>
    <d v="2024-06-27T00:00:00"/>
    <n v="61202"/>
    <n v="43609"/>
    <s v="Knnd Associates Pvt Ltd"/>
    <s v="Infosys Coimbatore"/>
    <s v="Box Duct with TDF"/>
    <x v="1"/>
    <s v="Sqmt"/>
    <n v="39.799999999999997"/>
    <n v="920"/>
    <n v="36616"/>
  </r>
  <r>
    <s v="June"/>
    <d v="2024-06-27T00:00:00"/>
    <n v="61202"/>
    <n v="43609"/>
    <s v="Knnd Associates Pvt Ltd"/>
    <s v="Infosys Coimbatore"/>
    <s v="Insulation"/>
    <x v="34"/>
    <s v="Sqmt"/>
    <n v="442"/>
    <n v="600"/>
    <n v="265200"/>
  </r>
  <r>
    <s v="June"/>
    <d v="2024-06-27T00:00:00"/>
    <n v="61202"/>
    <n v="43609"/>
    <s v="Knnd Associates Pvt Ltd"/>
    <s v="Infosys Coimbatore"/>
    <s v="Insulation"/>
    <x v="17"/>
    <s v="Sqmt"/>
    <n v="76.199999999999989"/>
    <n v="810"/>
    <n v="61721.999999999993"/>
  </r>
  <r>
    <s v="June"/>
    <d v="2024-06-27T00:00:00"/>
    <n v="61202"/>
    <n v="43609"/>
    <s v="Knnd Associates Pvt Ltd"/>
    <s v="Infosys Coimbatore"/>
    <s v="VAV "/>
    <x v="11"/>
    <s v="Nos"/>
    <n v="27"/>
    <n v="390"/>
    <n v="10530"/>
  </r>
  <r>
    <s v="June"/>
    <d v="2024-06-27T00:00:00"/>
    <n v="61202"/>
    <n v="43609"/>
    <s v="Knnd Associates Pvt Ltd"/>
    <s v="Infosys Coimbatore"/>
    <s v="CTS"/>
    <x v="12"/>
    <s v="Nos"/>
    <n v="19"/>
    <n v="1750"/>
    <n v="33250"/>
  </r>
  <r>
    <s v="June"/>
    <d v="2024-06-27T00:00:00"/>
    <n v="61202"/>
    <n v="43609"/>
    <s v="Knnd Associates Pvt Ltd"/>
    <s v="Infosys Coimbatore"/>
    <s v="Insulation Flange"/>
    <x v="34"/>
    <s v="Sqmt"/>
    <n v="48"/>
    <n v="424"/>
    <n v="20352"/>
  </r>
  <r>
    <s v="June"/>
    <d v="2024-06-27T00:00:00"/>
    <n v="61202"/>
    <n v="43609"/>
    <s v="Knnd Associates Pvt Ltd"/>
    <s v="Infosys Coimbatore"/>
    <s v="Tape (50mmx50Mtr)"/>
    <x v="41"/>
    <s v="Nos"/>
    <n v="11"/>
    <n v="594"/>
    <n v="6534"/>
  </r>
  <r>
    <s v="June"/>
    <d v="2024-06-27T00:00:00"/>
    <n v="61202"/>
    <n v="43609"/>
    <s v="Knnd Associates Pvt Ltd"/>
    <s v="Infosys Coimbatore"/>
    <s v="Insulation"/>
    <x v="15"/>
    <s v="Sqmt"/>
    <n v="19"/>
    <n v="615"/>
    <n v="11685"/>
  </r>
  <r>
    <s v="June"/>
    <d v="2024-06-27T00:00:00"/>
    <n v="61202"/>
    <n v="43609"/>
    <s v="Knnd Associates Pvt Ltd"/>
    <s v="Infosys Coimbatore"/>
    <s v="Stretch Film"/>
    <x v="4"/>
    <s v="Sqmt"/>
    <n v="445"/>
    <n v="15"/>
    <n v="6675"/>
  </r>
  <r>
    <s v="June"/>
    <d v="2024-06-28T00:00:00"/>
    <n v="61200"/>
    <n v="43610"/>
    <s v="Knnd Associates Pvt Ltd"/>
    <s v="Old WGSHA 2nd Floor Manipal"/>
    <s v="Box Duct with TDF"/>
    <x v="11"/>
    <s v="Sqmt"/>
    <n v="87.1"/>
    <n v="595"/>
    <n v="51824.5"/>
  </r>
  <r>
    <s v="June"/>
    <d v="2024-06-28T00:00:00"/>
    <n v="61200"/>
    <n v="43610"/>
    <s v="Knnd Associates Pvt Ltd"/>
    <s v="Old WGSHA 2nd Floor Manipal"/>
    <s v="Box Duct with TDF"/>
    <x v="12"/>
    <s v="Sqmt"/>
    <n v="28.8"/>
    <n v="760"/>
    <n v="21888"/>
  </r>
  <r>
    <s v="June"/>
    <d v="2024-06-28T00:00:00"/>
    <n v="61200"/>
    <n v="43610"/>
    <s v="Knnd Associates Pvt Ltd"/>
    <s v="Old WGSHA 2nd Floor Manipal"/>
    <s v="Spiral Oval Duct"/>
    <x v="5"/>
    <s v="Sqmt"/>
    <n v="100.9"/>
    <n v="670"/>
    <n v="67603"/>
  </r>
  <r>
    <s v="June"/>
    <d v="2024-06-28T00:00:00"/>
    <n v="61200"/>
    <n v="43610"/>
    <s v="Knnd Associates Pvt Ltd"/>
    <s v="Old WGSHA 2nd Floor Manipal"/>
    <s v="Spiral Oval Coupling"/>
    <x v="6"/>
    <s v="Sqmt"/>
    <n v="3.3"/>
    <n v="770"/>
    <n v="2541"/>
  </r>
  <r>
    <s v="June"/>
    <d v="2024-06-28T00:00:00"/>
    <n v="61200"/>
    <n v="43610"/>
    <s v="Knnd Associates Pvt Ltd"/>
    <s v="Old WGSHA 2nd Floor Manipal"/>
    <s v="VCD (Alu. Blade)"/>
    <x v="1"/>
    <s v="Sqmt"/>
    <n v="1.2"/>
    <n v="5200"/>
    <n v="6240"/>
  </r>
  <r>
    <s v="June"/>
    <d v="2024-06-28T00:00:00"/>
    <n v="61200"/>
    <n v="43610"/>
    <s v="Knnd Associates Pvt Ltd"/>
    <s v="Old WGSHA 2nd Floor Manipal"/>
    <s v="Plain Sheet"/>
    <x v="11"/>
    <s v="Sqmt"/>
    <n v="45"/>
    <n v="448"/>
    <n v="20160"/>
  </r>
  <r>
    <s v="June"/>
    <d v="2024-06-28T00:00:00"/>
    <n v="61200"/>
    <n v="43610"/>
    <s v="Knnd Associates Pvt Ltd"/>
    <s v="Old WGSHA 2nd Floor Manipal"/>
    <s v="Insulation"/>
    <x v="25"/>
    <s v="Sqmt"/>
    <n v="115.89999999999999"/>
    <n v="350"/>
    <n v="40565"/>
  </r>
  <r>
    <s v="June"/>
    <d v="2024-06-28T00:00:00"/>
    <n v="61200"/>
    <n v="43610"/>
    <s v="Knnd Associates Pvt Ltd"/>
    <s v="Old WGSHA 2nd Floor Manipal"/>
    <s v="Insulation"/>
    <x v="8"/>
    <s v="Sqmt"/>
    <n v="104.2"/>
    <n v="285"/>
    <n v="29697"/>
  </r>
  <r>
    <s v="June"/>
    <d v="2024-06-28T00:00:00"/>
    <n v="61200"/>
    <n v="43610"/>
    <s v="Knnd Associates Pvt Ltd"/>
    <s v="Old WGSHA 2nd Floor Manipal"/>
    <s v="Insulation Flange"/>
    <x v="25"/>
    <s v="Sqmt"/>
    <n v="25"/>
    <n v="190"/>
    <n v="4750"/>
  </r>
  <r>
    <s v="June"/>
    <d v="2024-06-28T00:00:00"/>
    <n v="61200"/>
    <n v="43610"/>
    <s v="Knnd Associates Pvt Ltd"/>
    <s v="Old WGSHA 2nd Floor Manipal"/>
    <s v="Stretch Film"/>
    <x v="4"/>
    <s v="Sqmt"/>
    <n v="120"/>
    <n v="15"/>
    <n v="1800"/>
  </r>
  <r>
    <s v="June"/>
    <d v="2024-06-28T00:00:00"/>
    <n v="61203"/>
    <n v="43611"/>
    <s v="Knnd Associates Pvt Ltd"/>
    <s v="Old WGSHA 3rd Floor Manipal"/>
    <s v="Box Duct with TDF"/>
    <x v="11"/>
    <s v="Sqmt"/>
    <n v="109.1"/>
    <n v="586"/>
    <n v="63932.6"/>
  </r>
  <r>
    <s v="June"/>
    <d v="2024-06-28T00:00:00"/>
    <n v="61203"/>
    <n v="43611"/>
    <s v="Knnd Associates Pvt Ltd"/>
    <s v="Old WGSHA 3rd Floor Manipal"/>
    <s v="Box Duct with TDF"/>
    <x v="12"/>
    <s v="Sqmt"/>
    <n v="56.7"/>
    <n v="755"/>
    <n v="42808.5"/>
  </r>
  <r>
    <s v="June"/>
    <d v="2024-06-28T00:00:00"/>
    <n v="61203"/>
    <n v="43611"/>
    <s v="Knnd Associates Pvt Ltd"/>
    <s v="Old WGSHA 3rd Floor Manipal"/>
    <s v="Spiral Oval Duct"/>
    <x v="5"/>
    <s v="Sqmt"/>
    <n v="101"/>
    <n v="670"/>
    <n v="67670"/>
  </r>
  <r>
    <s v="June"/>
    <d v="2024-06-28T00:00:00"/>
    <n v="61203"/>
    <n v="43611"/>
    <s v="Knnd Associates Pvt Ltd"/>
    <s v="Old WGSHA 3rd Floor Manipal"/>
    <s v="Spiral Oval Coupling"/>
    <x v="6"/>
    <s v="Sqmt"/>
    <n v="3.6"/>
    <n v="686"/>
    <n v="2469.6"/>
  </r>
  <r>
    <s v="June"/>
    <d v="2024-06-28T00:00:00"/>
    <n v="61203"/>
    <n v="43611"/>
    <s v="Knnd Associates Pvt Ltd"/>
    <s v="Old WGSHA 3rd Floor Manipal"/>
    <s v="VCD (Alu. Blade)"/>
    <x v="1"/>
    <s v="Sqmt"/>
    <n v="1.6"/>
    <n v="5200"/>
    <n v="8320"/>
  </r>
  <r>
    <s v="June"/>
    <d v="2024-06-28T00:00:00"/>
    <n v="61203"/>
    <n v="43611"/>
    <s v="Knnd Associates Pvt Ltd"/>
    <s v="Old WGSHA 3rd Floor Manipal"/>
    <s v="Plain Sheet"/>
    <x v="11"/>
    <s v="Sqmt"/>
    <n v="30"/>
    <n v="448"/>
    <n v="13440"/>
  </r>
  <r>
    <s v="June"/>
    <d v="2024-06-28T00:00:00"/>
    <n v="61203"/>
    <n v="43611"/>
    <s v="Knnd Associates Pvt Ltd"/>
    <s v="Old WGSHA 3rd Floor Manipal"/>
    <s v="Insulation"/>
    <x v="25"/>
    <s v="Sqmt"/>
    <n v="173.904"/>
    <n v="348"/>
    <n v="60518.591999999997"/>
  </r>
  <r>
    <s v="June"/>
    <d v="2024-06-28T00:00:00"/>
    <n v="61203"/>
    <n v="43611"/>
    <s v="Knnd Associates Pvt Ltd"/>
    <s v="Old WGSHA 3rd Floor Manipal"/>
    <s v="Insulation"/>
    <x v="8"/>
    <s v="Sqmt"/>
    <n v="104.6"/>
    <n v="266"/>
    <n v="27823.599999999999"/>
  </r>
  <r>
    <s v="June"/>
    <d v="2024-06-28T00:00:00"/>
    <n v="61203"/>
    <n v="43611"/>
    <s v="Knnd Associates Pvt Ltd"/>
    <s v="Old WGSHA 3rd Floor Manipal"/>
    <s v="Insulation Flange"/>
    <x v="25"/>
    <s v="Sqmt"/>
    <n v="52"/>
    <n v="200"/>
    <n v="10400"/>
  </r>
  <r>
    <s v="June"/>
    <d v="2024-06-28T00:00:00"/>
    <n v="61203"/>
    <n v="43611"/>
    <s v="Knnd Associates Pvt Ltd"/>
    <s v="Old WGSHA 3rd Floor Manipal"/>
    <s v="Stretch Film"/>
    <x v="4"/>
    <s v="Sqmt"/>
    <n v="180"/>
    <n v="15"/>
    <n v="2700"/>
  </r>
  <r>
    <s v="June"/>
    <d v="2024-06-28T00:00:00"/>
    <n v="61203"/>
    <n v="43611"/>
    <s v="Knnd Associates Pvt Ltd"/>
    <s v="Old WGSHA 3rd Floor Manipal"/>
    <s v="Mixing Box (375x375x350H)"/>
    <x v="11"/>
    <s v="Nos"/>
    <n v="12"/>
    <n v="555"/>
    <n v="6660"/>
  </r>
  <r>
    <s v="June"/>
    <d v="2024-06-28T00:00:00"/>
    <n v="61164"/>
    <n v="43612"/>
    <s v="Knnd Associates Pvt Ltd"/>
    <s v="Solid State Lab Manipal"/>
    <s v="Plain Sheet"/>
    <x v="11"/>
    <s v="Sqmt"/>
    <n v="24"/>
    <n v="448"/>
    <n v="10752"/>
  </r>
  <r>
    <s v="June"/>
    <d v="2024-06-28T00:00:00"/>
    <n v="61165"/>
    <n v="43613"/>
    <s v="Knnd Associates Pvt Ltd"/>
    <s v="EVT Lab Manipal"/>
    <s v="Plain Sheet"/>
    <x v="11"/>
    <s v="Sqmt"/>
    <n v="24"/>
    <n v="448"/>
    <n v="10752"/>
  </r>
  <r>
    <s v="June"/>
    <d v="2024-06-28T00:00:00"/>
    <n v="61204"/>
    <n v="43614"/>
    <s v="Knnd Associates Pvt Ltd"/>
    <s v="MUJ Girls Food Court"/>
    <s v="Box Duct with TDF"/>
    <x v="20"/>
    <s v="Sqmt"/>
    <n v="363.1"/>
    <n v="1060"/>
    <n v="384886"/>
  </r>
  <r>
    <s v="June"/>
    <d v="2024-06-28T00:00:00"/>
    <n v="61204"/>
    <n v="43614"/>
    <s v="Knnd Associates Pvt Ltd"/>
    <s v="MUJ Girls Food Court"/>
    <s v="Box Duct with TDF"/>
    <x v="27"/>
    <s v="Sqmt"/>
    <n v="106.4"/>
    <n v="1275"/>
    <n v="135660"/>
  </r>
  <r>
    <s v="June"/>
    <d v="2024-06-28T00:00:00"/>
    <n v="61204"/>
    <n v="43614"/>
    <s v="Knnd Associates Pvt Ltd"/>
    <s v="MUJ Girls Food Court"/>
    <s v="Insulation"/>
    <x v="28"/>
    <s v="Sqmt"/>
    <n v="213.8"/>
    <n v="415"/>
    <n v="88727"/>
  </r>
  <r>
    <s v="June"/>
    <d v="2024-06-28T00:00:00"/>
    <n v="61204"/>
    <n v="43614"/>
    <s v="Knnd Associates Pvt Ltd"/>
    <s v="MUJ Girls Food Court"/>
    <s v="Stretch Film"/>
    <x v="4"/>
    <s v="Sqmt"/>
    <n v="215"/>
    <n v="15"/>
    <n v="3225"/>
  </r>
  <r>
    <s v="June"/>
    <d v="2024-06-28T00:00:00"/>
    <n v="61120"/>
    <n v="43615"/>
    <s v="Knnd Associates Pvt Ltd"/>
    <s v="MUJ LHC"/>
    <s v="Spigot 150mm Dia"/>
    <x v="12"/>
    <s v="Nos"/>
    <n v="70"/>
    <n v="290"/>
    <n v="20300"/>
  </r>
  <r>
    <s v="June"/>
    <d v="2024-06-28T00:00:00"/>
    <n v="61099"/>
    <n v="43616"/>
    <s v="Knnd Associates Pvt Ltd"/>
    <s v="MUJ Hostel Block"/>
    <s v="Spigot 200mm Dia"/>
    <x v="12"/>
    <s v="Nos"/>
    <n v="110"/>
    <n v="340"/>
    <n v="37400"/>
  </r>
  <r>
    <s v="June"/>
    <d v="2024-06-28T00:00:00"/>
    <n v="61138"/>
    <n v="43617"/>
    <s v="Knnd Associates Pvt Ltd"/>
    <s v="MUJ Hostel Block"/>
    <s v="Box Duct with TDF"/>
    <x v="11"/>
    <s v="Sqmt"/>
    <n v="14.7"/>
    <n v="590"/>
    <n v="8673"/>
  </r>
  <r>
    <s v="June"/>
    <d v="2024-06-28T00:00:00"/>
    <n v="61138"/>
    <n v="43617"/>
    <s v="Knnd Associates Pvt Ltd"/>
    <s v="MUJ Hostel Block"/>
    <s v="Box Duct with TDF"/>
    <x v="12"/>
    <s v="Sqmt"/>
    <n v="3.7"/>
    <n v="760"/>
    <n v="2812"/>
  </r>
  <r>
    <s v="June"/>
    <d v="2024-06-28T00:00:00"/>
    <n v="61138"/>
    <n v="43617"/>
    <s v="Knnd Associates Pvt Ltd"/>
    <s v="MUJ Hostel Block"/>
    <s v="Insulation"/>
    <x v="22"/>
    <s v="Sqmt"/>
    <n v="18.399999999999999"/>
    <n v="326"/>
    <n v="5998.4"/>
  </r>
  <r>
    <s v="June"/>
    <d v="2024-06-28T00:00:00"/>
    <n v="61138"/>
    <n v="43617"/>
    <s v="Knnd Associates Pvt Ltd"/>
    <s v="MUJ Hostel Block"/>
    <s v="Spigot 200mm Dia"/>
    <x v="12"/>
    <s v="Nos"/>
    <n v="150"/>
    <n v="340"/>
    <n v="51000"/>
  </r>
  <r>
    <s v="June"/>
    <d v="2024-06-28T00:00:00"/>
    <n v="61138"/>
    <n v="43617"/>
    <s v="Knnd Associates Pvt Ltd"/>
    <s v="MUJ Hostel Block"/>
    <s v="Spigot 250mm Dia"/>
    <x v="12"/>
    <s v="Nos"/>
    <n v="160"/>
    <n v="400"/>
    <n v="64000"/>
  </r>
  <r>
    <s v="June"/>
    <d v="2024-06-28T00:00:00"/>
    <n v="61186"/>
    <n v="43618"/>
    <s v="Knnd Associates Pvt Ltd"/>
    <s v="Manipal South Bangalore"/>
    <s v="Box Duct with TDF"/>
    <x v="11"/>
    <s v="Sqmt"/>
    <n v="204.8"/>
    <n v="595"/>
    <n v="121856"/>
  </r>
  <r>
    <s v="June"/>
    <d v="2024-06-28T00:00:00"/>
    <n v="61186"/>
    <n v="43618"/>
    <s v="Knnd Associates Pvt Ltd"/>
    <s v="Manipal South Bangalore"/>
    <s v="Box Duct with TDF"/>
    <x v="12"/>
    <s v="Sqmt"/>
    <n v="61.5"/>
    <n v="760"/>
    <n v="46740"/>
  </r>
  <r>
    <s v="June"/>
    <d v="2024-06-28T00:00:00"/>
    <n v="61186"/>
    <n v="43618"/>
    <s v="Knnd Associates Pvt Ltd"/>
    <s v="Manipal South Bangalore"/>
    <s v="Insulation"/>
    <x v="16"/>
    <s v="Sqmt"/>
    <n v="229"/>
    <n v="275"/>
    <n v="62975"/>
  </r>
  <r>
    <s v="June"/>
    <d v="2024-06-28T00:00:00"/>
    <n v="61186"/>
    <n v="43618"/>
    <s v="Knnd Associates Pvt Ltd"/>
    <s v="Manipal South Bangalore"/>
    <s v="Insulation"/>
    <x v="17"/>
    <s v="Sqmt"/>
    <n v="26.8"/>
    <n v="810"/>
    <n v="21708"/>
  </r>
  <r>
    <s v="June"/>
    <d v="2024-06-28T00:00:00"/>
    <n v="61186"/>
    <n v="43618"/>
    <s v="Knnd Associates Pvt Ltd"/>
    <s v="Manipal South Bangalore"/>
    <s v="Round Collar with flange 150 Dia"/>
    <x v="11"/>
    <s v="Nos"/>
    <n v="36"/>
    <n v="110"/>
    <n v="3960"/>
  </r>
  <r>
    <s v="June"/>
    <d v="2024-06-28T00:00:00"/>
    <n v="61186"/>
    <n v="43618"/>
    <s v="Knnd Associates Pvt Ltd"/>
    <s v="Manipal South Bangalore"/>
    <s v="Stretch Film"/>
    <x v="4"/>
    <s v="Sqmt"/>
    <n v="230"/>
    <n v="15"/>
    <n v="3450"/>
  </r>
  <r>
    <s v="June"/>
    <d v="2024-06-29T00:00:00"/>
    <n v="61202"/>
    <n v="43619"/>
    <s v="Knnd Associates Pvt Ltd"/>
    <s v="Infosys Coimbatore"/>
    <s v="Box Duct with TDF"/>
    <x v="11"/>
    <s v="Sqmt"/>
    <n v="346.3"/>
    <n v="586"/>
    <n v="202931.80000000002"/>
  </r>
  <r>
    <s v="June"/>
    <d v="2024-06-29T00:00:00"/>
    <n v="61202"/>
    <n v="43619"/>
    <s v="Knnd Associates Pvt Ltd"/>
    <s v="Infosys Coimbatore"/>
    <s v="Box Duct with TDF"/>
    <x v="12"/>
    <s v="Sqmt"/>
    <n v="221.3"/>
    <n v="755"/>
    <n v="167081.5"/>
  </r>
  <r>
    <s v="June"/>
    <d v="2024-06-29T00:00:00"/>
    <n v="61202"/>
    <n v="43619"/>
    <s v="Knnd Associates Pvt Ltd"/>
    <s v="Infosys Coimbatore"/>
    <s v="Box Duct with TDF"/>
    <x v="1"/>
    <s v="Sqmt"/>
    <n v="37.200000000000003"/>
    <n v="920"/>
    <n v="34224"/>
  </r>
  <r>
    <s v="June"/>
    <d v="2024-06-29T00:00:00"/>
    <n v="61202"/>
    <n v="43619"/>
    <s v="Knnd Associates Pvt Ltd"/>
    <s v="Infosys Coimbatore"/>
    <s v="Insulation"/>
    <x v="34"/>
    <s v="Sqmt"/>
    <n v="558"/>
    <n v="600"/>
    <n v="334800"/>
  </r>
  <r>
    <s v="June"/>
    <d v="2024-06-29T00:00:00"/>
    <n v="61202"/>
    <n v="43619"/>
    <s v="Knnd Associates Pvt Ltd"/>
    <s v="Infosys Coimbatore"/>
    <s v="Insulation"/>
    <x v="17"/>
    <s v="Sqmt"/>
    <n v="71.800000000000011"/>
    <n v="810"/>
    <n v="58158.000000000007"/>
  </r>
  <r>
    <s v="June"/>
    <d v="2024-06-29T00:00:00"/>
    <n v="61202"/>
    <n v="43619"/>
    <s v="Knnd Associates Pvt Ltd"/>
    <s v="Infosys Coimbatore"/>
    <s v="VAV "/>
    <x v="11"/>
    <s v="Nos"/>
    <n v="25"/>
    <n v="390"/>
    <n v="9750"/>
  </r>
  <r>
    <s v="June"/>
    <d v="2024-06-29T00:00:00"/>
    <n v="61202"/>
    <n v="43619"/>
    <s v="Knnd Associates Pvt Ltd"/>
    <s v="Infosys Coimbatore"/>
    <s v="CTS"/>
    <x v="12"/>
    <s v="Nos"/>
    <n v="26"/>
    <n v="1750"/>
    <n v="45500"/>
  </r>
  <r>
    <s v="June"/>
    <d v="2024-06-29T00:00:00"/>
    <n v="61202"/>
    <n v="43619"/>
    <s v="Knnd Associates Pvt Ltd"/>
    <s v="Infosys Coimbatore"/>
    <s v="Tape (50mmx50Mtr)"/>
    <x v="41"/>
    <s v="Nos"/>
    <n v="15"/>
    <n v="594"/>
    <n v="8910"/>
  </r>
  <r>
    <s v="June"/>
    <d v="2024-06-29T00:00:00"/>
    <n v="61202"/>
    <n v="43619"/>
    <s v="Knnd Associates Pvt Ltd"/>
    <s v="Infosys Coimbatore"/>
    <s v="Insulation"/>
    <x v="15"/>
    <s v="Sqmt"/>
    <n v="26"/>
    <n v="615"/>
    <n v="15990"/>
  </r>
  <r>
    <s v="June"/>
    <d v="2024-06-29T00:00:00"/>
    <n v="61202"/>
    <n v="43619"/>
    <s v="Knnd Associates Pvt Ltd"/>
    <s v="Infosys Coimbatore"/>
    <s v="Stretch Film"/>
    <x v="4"/>
    <s v="Sqmt"/>
    <n v="560"/>
    <n v="15"/>
    <n v="8400"/>
  </r>
  <r>
    <s v="July"/>
    <d v="2024-07-01T00:00:00"/>
    <n v="61205"/>
    <n v="43620"/>
    <s v="Knnd Associates Pvt Ltd"/>
    <s v="Manipal South Bangalore"/>
    <s v="Box Duct with TDF"/>
    <x v="11"/>
    <s v="Sqmt"/>
    <n v="134.5"/>
    <n v="586"/>
    <n v="78817"/>
  </r>
  <r>
    <s v="July"/>
    <d v="2024-07-01T00:00:00"/>
    <n v="61205"/>
    <n v="43620"/>
    <s v="Knnd Associates Pvt Ltd"/>
    <s v="Manipal South Bangalore"/>
    <s v="Box Duct with TDF"/>
    <x v="12"/>
    <s v="Sqmt"/>
    <n v="91.4"/>
    <n v="755"/>
    <n v="69007"/>
  </r>
  <r>
    <s v="July"/>
    <d v="2024-07-01T00:00:00"/>
    <n v="61206"/>
    <n v="43621"/>
    <s v="Aircon Ref Pvt Ltd"/>
    <s v="Aircon Ref Pvt Ltd"/>
    <s v="Box Duct with TDF"/>
    <x v="11"/>
    <s v="Sqmt"/>
    <n v="74.099999999999994"/>
    <n v="590"/>
    <n v="43719"/>
  </r>
  <r>
    <s v="July"/>
    <d v="2024-07-01T00:00:00"/>
    <n v="61205"/>
    <n v="43622"/>
    <s v="Knnd Associates Pvt Ltd"/>
    <s v="Manipal South Bangalore"/>
    <s v="Box Duct with TDF"/>
    <x v="11"/>
    <s v="Sqmt"/>
    <n v="129.6"/>
    <n v="586"/>
    <n v="75945.599999999991"/>
  </r>
  <r>
    <s v="July"/>
    <d v="2024-07-01T00:00:00"/>
    <n v="61205"/>
    <n v="43622"/>
    <s v="Knnd Associates Pvt Ltd"/>
    <s v="Manipal South Bangalore"/>
    <s v="Box Duct with TDF"/>
    <x v="12"/>
    <s v="Sqmt"/>
    <n v="74.5"/>
    <n v="755"/>
    <n v="56247.5"/>
  </r>
  <r>
    <s v="July"/>
    <d v="2024-07-01T00:00:00"/>
    <n v="61170"/>
    <n v="43623"/>
    <s v="R Mech Breeze"/>
    <s v="Narasapura Project"/>
    <s v="VCD (Alu. Blade)"/>
    <x v="1"/>
    <s v="Sqmt"/>
    <n v="3.1"/>
    <n v="5300"/>
    <n v="16430"/>
  </r>
  <r>
    <s v="July"/>
    <d v="2024-07-01T00:00:00"/>
    <n v="61170"/>
    <n v="43623"/>
    <s v="R Mech Breeze"/>
    <s v="Narasapura Project"/>
    <s v="MS Angle"/>
    <x v="40"/>
    <s v="Kg"/>
    <n v="33.799999999999997"/>
    <n v="140"/>
    <n v="4732"/>
  </r>
  <r>
    <s v="July"/>
    <d v="2024-07-01T00:00:00"/>
    <n v="61205"/>
    <n v="43624"/>
    <s v="Knnd Associates Pvt Ltd"/>
    <s v="Manipal South Bangalore"/>
    <s v="Box Duct with TDF"/>
    <x v="11"/>
    <s v="Sqmt"/>
    <n v="90.7"/>
    <n v="586"/>
    <n v="53150.200000000004"/>
  </r>
  <r>
    <s v="July"/>
    <d v="2024-07-01T00:00:00"/>
    <n v="61205"/>
    <n v="43624"/>
    <s v="Knnd Associates Pvt Ltd"/>
    <s v="Manipal South Bangalore"/>
    <s v="Box Duct with TDF"/>
    <x v="12"/>
    <s v="Sqmt"/>
    <n v="88.2"/>
    <n v="755"/>
    <n v="66591"/>
  </r>
  <r>
    <s v="July"/>
    <d v="2024-07-01T00:00:00"/>
    <n v="61202"/>
    <n v="43625"/>
    <s v="Knnd Associates Pvt Ltd"/>
    <s v="Infosys Coimbatore"/>
    <s v="Box Duct with TDF"/>
    <x v="11"/>
    <s v="Sqmt"/>
    <n v="4"/>
    <n v="586"/>
    <n v="2344"/>
  </r>
  <r>
    <s v="July"/>
    <d v="2024-07-01T00:00:00"/>
    <n v="61202"/>
    <n v="43625"/>
    <s v="Knnd Associates Pvt Ltd"/>
    <s v="Infosys Coimbatore"/>
    <s v="Box Duct with TDF"/>
    <x v="12"/>
    <s v="Sqmt"/>
    <n v="3.8"/>
    <n v="755"/>
    <n v="2869"/>
  </r>
  <r>
    <s v="July"/>
    <d v="2024-07-01T00:00:00"/>
    <n v="61202"/>
    <n v="43625"/>
    <s v="Knnd Associates Pvt Ltd"/>
    <s v="Infosys Coimbatore"/>
    <s v="Spiral Round Duct"/>
    <x v="5"/>
    <s v="Sqmt"/>
    <n v="104.3"/>
    <n v="540"/>
    <n v="56322"/>
  </r>
  <r>
    <s v="July"/>
    <d v="2024-07-01T00:00:00"/>
    <n v="61202"/>
    <n v="43625"/>
    <s v="Knnd Associates Pvt Ltd"/>
    <s v="Infosys Coimbatore"/>
    <s v="Spiral Oval Duct"/>
    <x v="5"/>
    <s v="Sqmt"/>
    <n v="462.9"/>
    <n v="670"/>
    <n v="310143"/>
  </r>
  <r>
    <s v="July"/>
    <d v="2024-07-01T00:00:00"/>
    <n v="61202"/>
    <n v="43625"/>
    <s v="Knnd Associates Pvt Ltd"/>
    <s v="Infosys Coimbatore"/>
    <s v="Spiral Oval Coupling"/>
    <x v="6"/>
    <s v="Sqmt"/>
    <n v="14.3"/>
    <n v="710"/>
    <n v="10153"/>
  </r>
  <r>
    <s v="July"/>
    <d v="2024-07-01T00:00:00"/>
    <n v="61202"/>
    <n v="43625"/>
    <s v="Knnd Associates Pvt Ltd"/>
    <s v="Infosys Coimbatore"/>
    <s v="VAV "/>
    <x v="11"/>
    <s v="Nos"/>
    <n v="45"/>
    <n v="390"/>
    <n v="17550"/>
  </r>
  <r>
    <s v="July"/>
    <d v="2024-07-01T00:00:00"/>
    <n v="61202"/>
    <n v="43625"/>
    <s v="Knnd Associates Pvt Ltd"/>
    <s v="Infosys Coimbatore"/>
    <s v="Round Collar 200 Dia"/>
    <x v="11"/>
    <s v="Nos"/>
    <n v="101"/>
    <n v="150"/>
    <n v="15150"/>
  </r>
  <r>
    <s v="July"/>
    <d v="2024-07-01T00:00:00"/>
    <n v="61202"/>
    <n v="43625"/>
    <s v="Knnd Associates Pvt Ltd"/>
    <s v="Infosys Coimbatore"/>
    <s v="Insulation"/>
    <x v="34"/>
    <s v="Sqmt"/>
    <n v="647.76666669999997"/>
    <n v="600"/>
    <n v="388660.00001999998"/>
  </r>
  <r>
    <s v="July"/>
    <d v="2024-07-01T00:00:00"/>
    <n v="61202"/>
    <n v="43625"/>
    <s v="Knnd Associates Pvt Ltd"/>
    <s v="Infosys Coimbatore"/>
    <s v="Tape (50mmx50Mtr)"/>
    <x v="41"/>
    <s v="Nos"/>
    <n v="20"/>
    <n v="594"/>
    <n v="11880"/>
  </r>
  <r>
    <s v="July"/>
    <d v="2024-07-01T00:00:00"/>
    <n v="61202"/>
    <n v="43625"/>
    <s v="Knnd Associates Pvt Ltd"/>
    <s v="Infosys Coimbatore"/>
    <s v="Stretch Film"/>
    <x v="4"/>
    <s v="Sqmt"/>
    <n v="50"/>
    <n v="15"/>
    <n v="750"/>
  </r>
  <r>
    <s v="July"/>
    <d v="2024-07-02T00:00:00"/>
    <n v="61205"/>
    <n v="43626"/>
    <s v="Knnd Associates Pvt Ltd"/>
    <s v="Manipal South Bangalore"/>
    <s v="Box Duct with TDF"/>
    <x v="11"/>
    <s v="Sqmt"/>
    <n v="14.3"/>
    <n v="586"/>
    <n v="8379.8000000000011"/>
  </r>
  <r>
    <s v="July"/>
    <d v="2024-07-02T00:00:00"/>
    <n v="61205"/>
    <n v="43626"/>
    <s v="Knnd Associates Pvt Ltd"/>
    <s v="Manipal South Bangalore"/>
    <s v="Box Duct with TDF"/>
    <x v="12"/>
    <s v="Sqmt"/>
    <n v="94.9"/>
    <n v="755"/>
    <n v="71649.5"/>
  </r>
  <r>
    <s v="July"/>
    <d v="2024-07-02T00:00:00"/>
    <n v="61205"/>
    <n v="43627"/>
    <s v="Knnd Associates Pvt Ltd"/>
    <s v="Manipal South Bangalore"/>
    <s v="Box Duct with TDF"/>
    <x v="11"/>
    <s v="Sqmt"/>
    <n v="126.5"/>
    <n v="586"/>
    <n v="74129"/>
  </r>
  <r>
    <s v="July"/>
    <d v="2024-07-02T00:00:00"/>
    <n v="61205"/>
    <n v="43627"/>
    <s v="Knnd Associates Pvt Ltd"/>
    <s v="Manipal South Bangalore"/>
    <s v="Box Duct with TDF"/>
    <x v="12"/>
    <s v="Sqmt"/>
    <n v="56.4"/>
    <n v="755"/>
    <n v="42582"/>
  </r>
  <r>
    <s v="July"/>
    <d v="2024-07-02T00:00:00"/>
    <n v="61202"/>
    <n v="43628"/>
    <s v="Knnd Associates Pvt Ltd"/>
    <s v="Infosys Coimbatore"/>
    <s v="Spiral Round Duct"/>
    <x v="5"/>
    <s v="Sqmt"/>
    <n v="62.7"/>
    <n v="540"/>
    <n v="33858"/>
  </r>
  <r>
    <s v="July"/>
    <d v="2024-07-02T00:00:00"/>
    <n v="61202"/>
    <n v="43628"/>
    <s v="Knnd Associates Pvt Ltd"/>
    <s v="Infosys Coimbatore"/>
    <s v="Spiral Oval Duct"/>
    <x v="5"/>
    <s v="Sqmt"/>
    <n v="221.2"/>
    <n v="670"/>
    <n v="148204"/>
  </r>
  <r>
    <s v="July"/>
    <d v="2024-07-02T00:00:00"/>
    <n v="61202"/>
    <n v="43628"/>
    <s v="Knnd Associates Pvt Ltd"/>
    <s v="Infosys Coimbatore"/>
    <s v="Spiral Oval Coupling"/>
    <x v="6"/>
    <s v="Sqmt"/>
    <n v="7.7"/>
    <n v="710"/>
    <n v="5467"/>
  </r>
  <r>
    <s v="July"/>
    <d v="2024-07-02T00:00:00"/>
    <n v="61202"/>
    <n v="43628"/>
    <s v="Knnd Associates Pvt Ltd"/>
    <s v="Infosys Coimbatore"/>
    <s v="VAV "/>
    <x v="11"/>
    <s v="Nos"/>
    <n v="18"/>
    <n v="390"/>
    <n v="7020"/>
  </r>
  <r>
    <s v="July"/>
    <d v="2024-07-02T00:00:00"/>
    <n v="61202"/>
    <n v="43628"/>
    <s v="Knnd Associates Pvt Ltd"/>
    <s v="Infosys Coimbatore"/>
    <s v="Round Collar 200 Dia"/>
    <x v="11"/>
    <s v="Nos"/>
    <n v="51"/>
    <n v="150"/>
    <n v="7650"/>
  </r>
  <r>
    <s v="July"/>
    <d v="2024-07-02T00:00:00"/>
    <n v="61202"/>
    <n v="43628"/>
    <s v="Knnd Associates Pvt Ltd"/>
    <s v="Infosys Coimbatore"/>
    <s v="Insulation"/>
    <x v="34"/>
    <s v="Sqmt"/>
    <n v="316.39999999999998"/>
    <n v="600"/>
    <n v="189840"/>
  </r>
  <r>
    <s v="July"/>
    <d v="2024-07-02T00:00:00"/>
    <n v="61202"/>
    <n v="43628"/>
    <s v="Knnd Associates Pvt Ltd"/>
    <s v="Infosys Coimbatore"/>
    <s v="Tape (50mmx50Mtr)"/>
    <x v="41"/>
    <s v="Nos"/>
    <n v="20"/>
    <n v="594"/>
    <n v="11880"/>
  </r>
  <r>
    <s v="July"/>
    <d v="2024-07-02T00:00:00"/>
    <n v="61202"/>
    <n v="43628"/>
    <s v="Knnd Associates Pvt Ltd"/>
    <s v="Infosys Coimbatore"/>
    <s v="Stretch Film"/>
    <x v="4"/>
    <s v="Sqmt"/>
    <n v="20"/>
    <n v="15"/>
    <n v="300"/>
  </r>
  <r>
    <s v="July"/>
    <d v="2024-07-02T00:00:00"/>
    <n v="61205"/>
    <n v="43629"/>
    <s v="Knnd Associates Pvt Ltd"/>
    <s v="Manipal South Bangalore"/>
    <s v="Box Duct with TDF"/>
    <x v="11"/>
    <s v="Sqmt"/>
    <n v="248"/>
    <n v="586"/>
    <n v="145328"/>
  </r>
  <r>
    <s v="July"/>
    <d v="2024-07-02T00:00:00"/>
    <n v="61205"/>
    <n v="43629"/>
    <s v="Knnd Associates Pvt Ltd"/>
    <s v="Manipal South Bangalore"/>
    <s v="Box Duct with TDF"/>
    <x v="12"/>
    <s v="Sqmt"/>
    <n v="19"/>
    <n v="755"/>
    <n v="14345"/>
  </r>
  <r>
    <s v="July"/>
    <d v="2024-07-03T00:00:00"/>
    <n v="61208"/>
    <n v="43630"/>
    <s v="Knnd Associates Pvt Ltd"/>
    <s v="Schneider Bangalore"/>
    <s v="Box Duct with TDF (L-shape)"/>
    <x v="11"/>
    <s v="Sqmt"/>
    <n v="428.4"/>
    <n v="566"/>
    <n v="242474.4"/>
  </r>
  <r>
    <s v="July"/>
    <d v="2024-07-03T00:00:00"/>
    <n v="61208"/>
    <n v="43630"/>
    <s v="Knnd Associates Pvt Ltd"/>
    <s v="Schneider Bangalore"/>
    <s v="Box Duct with TDF"/>
    <x v="11"/>
    <s v="Sqmt"/>
    <n v="39.5"/>
    <n v="586"/>
    <n v="23147"/>
  </r>
  <r>
    <s v="July"/>
    <d v="2024-07-03T00:00:00"/>
    <n v="61205"/>
    <n v="43631"/>
    <s v="Knnd Associates Pvt Ltd"/>
    <s v="Manipal South Bangalore"/>
    <s v="Box Duct with TDF"/>
    <x v="11"/>
    <s v="Sqmt"/>
    <n v="31.7"/>
    <n v="586"/>
    <n v="18576.2"/>
  </r>
  <r>
    <s v="July"/>
    <d v="2024-07-03T00:00:00"/>
    <n v="61205"/>
    <n v="43631"/>
    <s v="Knnd Associates Pvt Ltd"/>
    <s v="Manipal South Bangalore"/>
    <s v="Box Duct with TDF"/>
    <x v="12"/>
    <s v="Sqmt"/>
    <n v="1.1000000000000001"/>
    <n v="755"/>
    <n v="830.50000000000011"/>
  </r>
  <r>
    <s v="July"/>
    <d v="2024-07-03T00:00:00"/>
    <n v="61207"/>
    <n v="43632"/>
    <s v="Knnd Associates Pvt Ltd"/>
    <s v="Vaishnavi Bangaluru"/>
    <s v="Box Duct with TDF"/>
    <x v="11"/>
    <s v="Sqmt"/>
    <n v="43.7"/>
    <n v="586"/>
    <n v="25608.2"/>
  </r>
  <r>
    <s v="July"/>
    <d v="2024-07-05T00:00:00"/>
    <n v="61210"/>
    <n v="43633"/>
    <s v="Knnd Associates Pvt Ltd"/>
    <s v="Chanakya University AB2"/>
    <s v="Pressure Testing of Ducts"/>
    <x v="24"/>
    <s v="Sqmt"/>
    <n v="709.8"/>
    <n v="35"/>
    <n v="24843"/>
  </r>
  <r>
    <s v="July"/>
    <d v="2024-07-05T00:00:00"/>
    <n v="61211"/>
    <n v="43634"/>
    <s v="Knnd Associates Pvt Ltd"/>
    <s v="MAHE Bangaluru"/>
    <s v="Pressure Testing of Ducts"/>
    <x v="24"/>
    <s v="Sqmt"/>
    <n v="229"/>
    <n v="35"/>
    <n v="8015"/>
  </r>
  <r>
    <s v="July"/>
    <d v="2024-07-05T00:00:00"/>
    <n v="61212"/>
    <n v="43635"/>
    <s v="Knnd Associates Pvt Ltd"/>
    <s v="Vaishnavi Bangalore"/>
    <s v="Pressure Testing of Ducts"/>
    <x v="24"/>
    <s v="Sqmt"/>
    <n v="207.7"/>
    <n v="35"/>
    <n v="7269.5"/>
  </r>
  <r>
    <s v="July"/>
    <d v="2024-07-05T00:00:00"/>
    <n v="61213"/>
    <n v="43636"/>
    <s v="Knnd Associates Pvt Ltd"/>
    <s v="Manipal South Bangalore"/>
    <s v="Pressure Testing of Ducts"/>
    <x v="24"/>
    <s v="Sqmt"/>
    <n v="2614"/>
    <n v="35"/>
    <n v="91490"/>
  </r>
  <r>
    <s v="July"/>
    <d v="2024-07-05T00:00:00"/>
    <n v="61214"/>
    <n v="43637"/>
    <s v="Knnd Associates Pvt Ltd"/>
    <s v="NCA L&amp;T Bangalore"/>
    <s v="Pressure Testing of Ducts"/>
    <x v="24"/>
    <s v="Sqmt"/>
    <n v="34.700000000000003"/>
    <n v="35"/>
    <n v="1214.5"/>
  </r>
  <r>
    <s v="July"/>
    <d v="2024-07-05T00:00:00"/>
    <n v="61215"/>
    <n v="43638"/>
    <s v="Knnd Associates Pvt Ltd"/>
    <s v="Adwitiya Projects Bangalore"/>
    <s v="Pressure Testing of Ducts"/>
    <x v="24"/>
    <s v="Sqmt"/>
    <n v="91.7"/>
    <n v="35"/>
    <n v="3209.5"/>
  </r>
  <r>
    <s v="July"/>
    <d v="2024-07-05T00:00:00"/>
    <n v="61216"/>
    <n v="43639"/>
    <s v="Knnd Associates Pvt Ltd"/>
    <s v="Old WGSHA 3rd Floor Manipal"/>
    <s v="Pressure Testing of Ducts"/>
    <x v="24"/>
    <s v="Sqmt"/>
    <n v="266.8"/>
    <n v="35"/>
    <n v="9338"/>
  </r>
  <r>
    <s v="July"/>
    <d v="2024-07-05T00:00:00"/>
    <n v="61217"/>
    <n v="43640"/>
    <s v="Knnd Associates Pvt Ltd"/>
    <s v="Infosys Mysore"/>
    <s v="Pressure Testing of Ducts"/>
    <x v="24"/>
    <s v="Sqmt"/>
    <n v="90.9"/>
    <n v="35"/>
    <n v="3181.5"/>
  </r>
  <r>
    <s v="July"/>
    <d v="2024-07-05T00:00:00"/>
    <n v="61218"/>
    <n v="43641"/>
    <s v="Knnd Associates Pvt Ltd"/>
    <s v="Old WGSHA 2nd Floor Manipal"/>
    <s v="Pressure Testing of Ducts"/>
    <x v="24"/>
    <s v="Sqmt"/>
    <n v="216.8"/>
    <n v="35"/>
    <n v="7588"/>
  </r>
  <r>
    <s v="July"/>
    <d v="2024-07-05T00:00:00"/>
    <n v="61219"/>
    <n v="43642"/>
    <s v="Knnd Associates Pvt Ltd"/>
    <s v="Thirumalesha Residency Bangalore"/>
    <s v="Pressure Testing of Ducts"/>
    <x v="24"/>
    <s v="Sqmt"/>
    <n v="154.69999999999999"/>
    <n v="35"/>
    <n v="5414.5"/>
  </r>
  <r>
    <s v="July"/>
    <d v="2024-07-05T00:00:00"/>
    <n v="61220"/>
    <n v="43643"/>
    <s v="Knnd Associates Pvt Ltd"/>
    <s v="MUJ Hostel Block"/>
    <s v="Pressure Testing of Ducts"/>
    <x v="24"/>
    <s v="Sqmt"/>
    <n v="1148"/>
    <n v="35"/>
    <n v="40180"/>
  </r>
  <r>
    <s v="July"/>
    <d v="2024-07-05T00:00:00"/>
    <n v="61221"/>
    <n v="43644"/>
    <s v="Knnd Associates Pvt Ltd"/>
    <s v="MUJ Girls Food Court"/>
    <s v="Pressure Testing of Ducts"/>
    <x v="24"/>
    <s v="Sqmt"/>
    <n v="469.5"/>
    <n v="35"/>
    <n v="16432.5"/>
  </r>
  <r>
    <s v="July"/>
    <d v="2024-07-05T00:00:00"/>
    <n v="61222"/>
    <n v="43645"/>
    <s v="Knnd Associates Pvt Ltd"/>
    <s v="Infosys Coimbatore"/>
    <s v="Pressure Testing of Ducts"/>
    <x v="24"/>
    <s v="Sqmt"/>
    <n v="1783.3"/>
    <n v="35"/>
    <n v="62415.5"/>
  </r>
  <r>
    <s v="July"/>
    <d v="2024-07-06T00:00:00"/>
    <n v="61046"/>
    <n v="43646"/>
    <s v="Knnd Associates Pvt Ltd"/>
    <s v="Vedha Entech Pvt Ltd "/>
    <s v="Spiral Oval Duct"/>
    <x v="6"/>
    <s v="Sqmt"/>
    <n v="1.6"/>
    <n v="750"/>
    <n v="1200"/>
  </r>
  <r>
    <s v="July"/>
    <d v="2024-07-06T00:00:00"/>
    <n v="61186"/>
    <n v="43647"/>
    <s v="Knnd Associates Pvt Ltd"/>
    <s v="Manipal South Bangalore"/>
    <s v="VCD (Alu. Blade)"/>
    <x v="2"/>
    <s v="Sqmt"/>
    <n v="28.9"/>
    <n v="5720"/>
    <n v="165308"/>
  </r>
  <r>
    <s v="July"/>
    <d v="2024-07-06T00:00:00"/>
    <n v="61186"/>
    <n v="43647"/>
    <s v="Knnd Associates Pvt Ltd"/>
    <s v="Manipal South Bangalore"/>
    <s v="Plain Sheet"/>
    <x v="11"/>
    <s v="Sqmt"/>
    <n v="60"/>
    <n v="448"/>
    <n v="26880"/>
  </r>
  <r>
    <s v="July"/>
    <d v="2024-07-06T00:00:00"/>
    <n v="61223"/>
    <n v="43648"/>
    <s v="Knnd Associates Pvt Ltd"/>
    <s v="MAHE Food Court Bangalore"/>
    <s v="Mixing Box (575x575x350H)"/>
    <x v="27"/>
    <s v="Nos"/>
    <n v="52"/>
    <n v="2110"/>
    <n v="109720"/>
  </r>
  <r>
    <s v="July"/>
    <d v="2024-07-06T00:00:00"/>
    <n v="61223"/>
    <n v="43648"/>
    <s v="Knnd Associates Pvt Ltd"/>
    <s v="MAHE Food Court Bangalore"/>
    <s v="Mixing Box (575x575x250H)"/>
    <x v="27"/>
    <s v="Nos"/>
    <n v="18"/>
    <n v="1945"/>
    <n v="35010"/>
  </r>
  <r>
    <s v="July"/>
    <d v="2024-07-06T00:00:00"/>
    <n v="61223"/>
    <n v="43648"/>
    <s v="Knnd Associates Pvt Ltd"/>
    <s v="MAHE Food Court Bangalore"/>
    <s v="Mixing Box (575x575x300H)"/>
    <x v="27"/>
    <s v="Nos"/>
    <n v="36"/>
    <n v="1890"/>
    <n v="68040"/>
  </r>
  <r>
    <s v="July"/>
    <d v="2024-07-06T00:00:00"/>
    <n v="61223"/>
    <n v="43648"/>
    <s v="Knnd Associates Pvt Ltd"/>
    <s v="MAHE Food Court Bangalore"/>
    <s v="Mixing Box (575x575x250H)"/>
    <x v="27"/>
    <s v="Nos"/>
    <n v="15"/>
    <n v="1855"/>
    <n v="27825"/>
  </r>
  <r>
    <s v="July"/>
    <d v="2024-07-06T00:00:00"/>
    <n v="61223"/>
    <n v="43648"/>
    <s v="Knnd Associates Pvt Ltd"/>
    <s v="MAHE Food Court Bangalore"/>
    <s v="Round Collar with flange 150 Dia"/>
    <x v="11"/>
    <s v="Nos"/>
    <n v="18"/>
    <n v="110"/>
    <n v="1980"/>
  </r>
  <r>
    <s v="July"/>
    <d v="2024-07-06T00:00:00"/>
    <n v="61223"/>
    <n v="43648"/>
    <s v="Knnd Associates Pvt Ltd"/>
    <s v="MAHE Food Court Bangalore"/>
    <s v="Round Collar with flange 200 Dia"/>
    <x v="11"/>
    <s v="Nos"/>
    <n v="51"/>
    <n v="140"/>
    <n v="7140"/>
  </r>
  <r>
    <s v="July"/>
    <d v="2024-07-06T00:00:00"/>
    <n v="61223"/>
    <n v="43648"/>
    <s v="Knnd Associates Pvt Ltd"/>
    <s v="MAHE Food Court Bangalore"/>
    <s v="Round Collar with flange 250 Dia"/>
    <x v="11"/>
    <s v="Nos"/>
    <n v="52"/>
    <n v="180"/>
    <n v="9360"/>
  </r>
  <r>
    <s v="July"/>
    <d v="2024-07-08T00:00:00"/>
    <n v="61231"/>
    <n v="43649"/>
    <s v="Knnd Associates Pvt Ltd"/>
    <s v="Chanakya University AB2"/>
    <s v="Box Duct with TDF"/>
    <x v="11"/>
    <s v="Sqmt"/>
    <n v="227.8"/>
    <n v="586"/>
    <n v="133490.80000000002"/>
  </r>
  <r>
    <s v="July"/>
    <d v="2024-07-08T00:00:00"/>
    <n v="61231"/>
    <n v="43649"/>
    <s v="Knnd Associates Pvt Ltd"/>
    <s v="Chanakya University AB2"/>
    <s v="Box Duct with TDF"/>
    <x v="12"/>
    <s v="Sqmt"/>
    <n v="197.29999999999998"/>
    <n v="755"/>
    <n v="148961.5"/>
  </r>
  <r>
    <s v="July"/>
    <d v="2024-07-08T00:00:00"/>
    <n v="61231"/>
    <n v="43649"/>
    <s v="Knnd Associates Pvt Ltd"/>
    <s v="Chanakya University AB2"/>
    <s v="Box Duct with TDF"/>
    <x v="1"/>
    <s v="Sqmt"/>
    <n v="43"/>
    <n v="920"/>
    <n v="39560"/>
  </r>
  <r>
    <s v="July"/>
    <d v="2024-07-08T00:00:00"/>
    <n v="61231"/>
    <n v="43649"/>
    <s v="Knnd Associates Pvt Ltd"/>
    <s v="Chanakya University AB2"/>
    <s v="Insulation"/>
    <x v="22"/>
    <s v="Sqmt"/>
    <n v="424.5"/>
    <n v="345"/>
    <n v="146452.5"/>
  </r>
  <r>
    <s v="July"/>
    <d v="2024-07-08T00:00:00"/>
    <n v="61231"/>
    <n v="43649"/>
    <s v="Knnd Associates Pvt Ltd"/>
    <s v="Chanakya University AB2"/>
    <s v="Insulation"/>
    <x v="37"/>
    <s v="Sqmt"/>
    <n v="43.6"/>
    <n v="876"/>
    <n v="38193.599999999999"/>
  </r>
  <r>
    <s v="July"/>
    <d v="2024-07-08T00:00:00"/>
    <n v="61231"/>
    <n v="43649"/>
    <s v="Knnd Associates Pvt Ltd"/>
    <s v="Chanakya University AB2"/>
    <s v="Insulation Flange"/>
    <x v="18"/>
    <s v="Nos"/>
    <n v="95"/>
    <n v="153"/>
    <n v="14535"/>
  </r>
  <r>
    <s v="July"/>
    <d v="2024-07-08T00:00:00"/>
    <n v="61231"/>
    <n v="43649"/>
    <s v="Knnd Associates Pvt Ltd"/>
    <s v="Chanakya University AB2"/>
    <s v="Stretch Film"/>
    <x v="4"/>
    <s v="Sqmt"/>
    <n v="430"/>
    <n v="15"/>
    <n v="6450"/>
  </r>
  <r>
    <s v="July"/>
    <d v="2024-07-08T00:00:00"/>
    <n v="61199"/>
    <n v="43650"/>
    <s v="Knnd Associates Pvt Ltd"/>
    <s v="Chanakya University AB2"/>
    <s v="VCD (Alu. Blade)"/>
    <x v="1"/>
    <s v="Sqmt"/>
    <n v="8"/>
    <n v="5200"/>
    <n v="41600"/>
  </r>
  <r>
    <s v="July"/>
    <d v="2024-07-08T00:00:00"/>
    <n v="61204"/>
    <n v="43651"/>
    <s v="Knnd Associates Pvt Ltd"/>
    <s v="MUJ Girls Food Court"/>
    <s v="Box Duct with TDF"/>
    <x v="11"/>
    <s v="Sqmt"/>
    <n v="223.20000000000002"/>
    <n v="586"/>
    <n v="130795.20000000001"/>
  </r>
  <r>
    <s v="July"/>
    <d v="2024-07-08T00:00:00"/>
    <n v="61204"/>
    <n v="43651"/>
    <s v="Knnd Associates Pvt Ltd"/>
    <s v="MUJ Girls Food Court"/>
    <s v="Box Duct with TDF"/>
    <x v="12"/>
    <s v="Sqmt"/>
    <n v="67.099999999999994"/>
    <n v="755"/>
    <n v="50660.499999999993"/>
  </r>
  <r>
    <s v="July"/>
    <d v="2024-07-08T00:00:00"/>
    <n v="61204"/>
    <n v="43651"/>
    <s v="Knnd Associates Pvt Ltd"/>
    <s v="MUJ Girls Food Court"/>
    <s v="Box Duct with TDF"/>
    <x v="20"/>
    <s v="Sqmt"/>
    <n v="227.5"/>
    <n v="1060"/>
    <n v="241150"/>
  </r>
  <r>
    <s v="July"/>
    <d v="2024-07-08T00:00:00"/>
    <n v="61204"/>
    <n v="43651"/>
    <s v="Knnd Associates Pvt Ltd"/>
    <s v="MUJ Girls Food Court"/>
    <s v="Box Duct with TDF"/>
    <x v="27"/>
    <s v="Sqmt"/>
    <n v="43.2"/>
    <n v="1275"/>
    <n v="55080"/>
  </r>
  <r>
    <s v="July"/>
    <d v="2024-07-08T00:00:00"/>
    <n v="61204"/>
    <n v="43651"/>
    <s v="Knnd Associates Pvt Ltd"/>
    <s v="MUJ Girls Food Court"/>
    <s v="Plain Sheet"/>
    <x v="20"/>
    <s v="Sqmt"/>
    <n v="15"/>
    <n v="880"/>
    <n v="13200"/>
  </r>
  <r>
    <s v="July"/>
    <d v="2024-07-08T00:00:00"/>
    <n v="61204"/>
    <n v="43651"/>
    <s v="Knnd Associates Pvt Ltd"/>
    <s v="MUJ Girls Food Court"/>
    <s v="Plain Sheet"/>
    <x v="27"/>
    <s v="Sqmt"/>
    <n v="15"/>
    <n v="995"/>
    <n v="14925"/>
  </r>
  <r>
    <s v="July"/>
    <d v="2024-07-08T00:00:00"/>
    <n v="61204"/>
    <n v="43651"/>
    <s v="Knnd Associates Pvt Ltd"/>
    <s v="MUJ Girls Food Court"/>
    <s v="VCD (Alu. Blade)"/>
    <x v="27"/>
    <s v="Sqmt"/>
    <n v="14"/>
    <n v="6200"/>
    <n v="86800"/>
  </r>
  <r>
    <s v="July"/>
    <d v="2024-07-08T00:00:00"/>
    <n v="61204"/>
    <n v="43651"/>
    <s v="Knnd Associates Pvt Ltd"/>
    <s v="MUJ Girls Food Court"/>
    <s v="Insulation"/>
    <x v="28"/>
    <s v="Sqmt"/>
    <n v="183.3"/>
    <n v="415"/>
    <n v="76069.5"/>
  </r>
  <r>
    <s v="July"/>
    <d v="2024-07-08T00:00:00"/>
    <n v="61204"/>
    <n v="43651"/>
    <s v="Knnd Associates Pvt Ltd"/>
    <s v="MUJ Girls Food Court"/>
    <s v="Insulation Flange"/>
    <x v="28"/>
    <s v="Sqmt"/>
    <n v="84"/>
    <n v="260"/>
    <n v="21840"/>
  </r>
  <r>
    <s v="July"/>
    <d v="2024-07-08T00:00:00"/>
    <n v="61204"/>
    <n v="43651"/>
    <s v="Knnd Associates Pvt Ltd"/>
    <s v="MUJ Girls Food Court"/>
    <s v="Stretch Film"/>
    <x v="4"/>
    <s v="Sqmt"/>
    <n v="190"/>
    <n v="15"/>
    <n v="2850"/>
  </r>
  <r>
    <s v="July"/>
    <d v="2024-07-08T00:00:00"/>
    <n v="60965"/>
    <n v="43652"/>
    <s v="Knnd Associates Pvt Ltd"/>
    <s v="MUJ Hostel Block"/>
    <s v="Box Duct with TDF"/>
    <x v="12"/>
    <s v="Sqmt"/>
    <n v="22"/>
    <n v="770"/>
    <n v="16940"/>
  </r>
  <r>
    <s v="July"/>
    <d v="2024-07-08T00:00:00"/>
    <n v="60965"/>
    <n v="43652"/>
    <s v="Knnd Associates Pvt Ltd"/>
    <s v="MUJ Hostel Block"/>
    <s v="Insulation"/>
    <x v="36"/>
    <s v="Sqmt"/>
    <n v="22"/>
    <n v="580"/>
    <n v="12760"/>
  </r>
  <r>
    <s v="July"/>
    <d v="2024-07-08T00:00:00"/>
    <n v="61138"/>
    <n v="43653"/>
    <s v="Knnd Associates Pvt Ltd"/>
    <s v="MUJ Hostel Block"/>
    <s v="Box Duct with TDF"/>
    <x v="11"/>
    <s v="Sqmt"/>
    <n v="15.1"/>
    <n v="590"/>
    <n v="8909"/>
  </r>
  <r>
    <s v="July"/>
    <d v="2024-07-08T00:00:00"/>
    <n v="61138"/>
    <n v="43653"/>
    <s v="Knnd Associates Pvt Ltd"/>
    <s v="MUJ Hostel Block"/>
    <s v="Insulation"/>
    <x v="22"/>
    <s v="Sqmt"/>
    <n v="15.1"/>
    <n v="326"/>
    <n v="4922.5999999999995"/>
  </r>
  <r>
    <s v="July"/>
    <d v="2024-07-08T00:00:00"/>
    <n v="61138"/>
    <n v="43653"/>
    <s v="Knnd Associates Pvt Ltd"/>
    <s v="MUJ Hostel Block"/>
    <s v="VCD (Alu. Blade)"/>
    <x v="1"/>
    <s v="Sqmt"/>
    <n v="5.4"/>
    <n v="5200"/>
    <n v="28080.000000000004"/>
  </r>
  <r>
    <s v="July"/>
    <d v="2024-07-08T00:00:00"/>
    <n v="61142"/>
    <n v="43654"/>
    <s v="Knnd Associates Pvt Ltd"/>
    <s v="MUJ LHC"/>
    <s v="Spigot 250mm Dia"/>
    <x v="12"/>
    <s v="Nos"/>
    <n v="80"/>
    <n v="400"/>
    <n v="32000"/>
  </r>
  <r>
    <s v="July"/>
    <d v="2024-07-08T00:00:00"/>
    <n v="61138"/>
    <n v="43655"/>
    <s v="Knnd Associates Pvt Ltd"/>
    <s v="MUJ Hostel Block"/>
    <s v="Spigot 200mm Dia"/>
    <x v="12"/>
    <s v="Nos"/>
    <n v="108"/>
    <n v="340"/>
    <n v="36720"/>
  </r>
  <r>
    <s v="July"/>
    <d v="2024-07-08T00:00:00"/>
    <n v="61204"/>
    <n v="43656"/>
    <s v="Knnd Associates Pvt Ltd"/>
    <s v="MUJ Girls Food Court"/>
    <s v="Spigot 150mm Dia"/>
    <x v="12"/>
    <s v="Nos"/>
    <n v="74"/>
    <n v="290"/>
    <n v="21460"/>
  </r>
  <r>
    <s v="July"/>
    <d v="2024-07-08T00:00:00"/>
    <n v="61229"/>
    <n v="43657"/>
    <s v="Knnd Associates Pvt Ltd"/>
    <s v="Infosys Coimbatore"/>
    <s v="Mixing Box (595x595x450H)"/>
    <x v="11"/>
    <s v="Nos"/>
    <n v="133"/>
    <n v="840"/>
    <n v="111720"/>
  </r>
  <r>
    <s v="July"/>
    <d v="2024-07-08T00:00:00"/>
    <n v="61229"/>
    <n v="43657"/>
    <s v="Knnd Associates Pvt Ltd"/>
    <s v="Infosys Coimbatore"/>
    <s v="Insulation"/>
    <x v="34"/>
    <s v="Sqmt"/>
    <n v="190.63333299999999"/>
    <n v="600"/>
    <n v="114379.99979999999"/>
  </r>
  <r>
    <s v="July"/>
    <d v="2024-07-08T00:00:00"/>
    <n v="61229"/>
    <n v="43657"/>
    <s v="Knnd Associates Pvt Ltd"/>
    <s v="Infosys Coimbatore"/>
    <s v="Plain Sheet"/>
    <x v="11"/>
    <s v="Sqmt"/>
    <n v="12"/>
    <n v="448"/>
    <n v="5376"/>
  </r>
  <r>
    <s v="July"/>
    <d v="2024-07-08T00:00:00"/>
    <n v="61202"/>
    <n v="43658"/>
    <s v="Knnd Associates Pvt Ltd"/>
    <s v="Infosys Coimbatore"/>
    <s v="Box Duct with TDF"/>
    <x v="12"/>
    <s v="Sqmt"/>
    <n v="5.6"/>
    <n v="755"/>
    <n v="4228"/>
  </r>
  <r>
    <s v="July"/>
    <d v="2024-07-08T00:00:00"/>
    <n v="61202"/>
    <n v="43658"/>
    <s v="Knnd Associates Pvt Ltd"/>
    <s v="Infosys Coimbatore"/>
    <s v="VCD (Alu. Blade)"/>
    <x v="1"/>
    <s v="Sqmt"/>
    <n v="4.5"/>
    <n v="5300"/>
    <n v="23850"/>
  </r>
  <r>
    <s v="July"/>
    <d v="2024-07-09T00:00:00"/>
    <n v="61231"/>
    <n v="43659"/>
    <s v="Knnd Associates Pvt Ltd"/>
    <s v="Chanakya University AB2"/>
    <s v="Box Duct with TDF"/>
    <x v="11"/>
    <s v="Sqmt"/>
    <n v="315"/>
    <n v="586"/>
    <n v="184590"/>
  </r>
  <r>
    <s v="July"/>
    <d v="2024-07-09T00:00:00"/>
    <n v="61231"/>
    <n v="43659"/>
    <s v="Knnd Associates Pvt Ltd"/>
    <s v="Chanakya University AB2"/>
    <s v="Box Duct with TDF"/>
    <x v="12"/>
    <s v="Sqmt"/>
    <n v="43.3"/>
    <n v="755"/>
    <n v="32691.499999999996"/>
  </r>
  <r>
    <s v="July"/>
    <d v="2024-07-09T00:00:00"/>
    <n v="61231"/>
    <n v="43659"/>
    <s v="Knnd Associates Pvt Ltd"/>
    <s v="Chanakya University AB2"/>
    <s v="Box Duct with TDF"/>
    <x v="1"/>
    <s v="Sqmt"/>
    <n v="8.6999999999999993"/>
    <n v="920"/>
    <n v="8003.9999999999991"/>
  </r>
  <r>
    <s v="July"/>
    <d v="2024-07-09T00:00:00"/>
    <n v="61231"/>
    <n v="43659"/>
    <s v="Knnd Associates Pvt Ltd"/>
    <s v="Chanakya University AB2"/>
    <s v="Insulation"/>
    <x v="37"/>
    <s v="Sqmt"/>
    <n v="16.899999999999999"/>
    <n v="876"/>
    <n v="14804.4"/>
  </r>
  <r>
    <s v="July"/>
    <d v="2024-07-09T00:00:00"/>
    <n v="61226"/>
    <n v="43660"/>
    <s v="Knnd Associates Pvt Ltd"/>
    <s v="Chanakya University AB2"/>
    <s v="Box Duct with TDF"/>
    <x v="11"/>
    <s v="Sqmt"/>
    <n v="73.599999999999994"/>
    <n v="586"/>
    <n v="43129.599999999999"/>
  </r>
  <r>
    <s v="July"/>
    <d v="2024-07-09T00:00:00"/>
    <n v="61226"/>
    <n v="43660"/>
    <s v="Knnd Associates Pvt Ltd"/>
    <s v="Chanakya University AB2"/>
    <s v="Box Duct with TDF"/>
    <x v="12"/>
    <s v="Sqmt"/>
    <n v="30.6"/>
    <n v="755"/>
    <n v="23103"/>
  </r>
  <r>
    <s v="July"/>
    <d v="2024-07-10T00:00:00"/>
    <n v="61189"/>
    <n v="43661"/>
    <s v="Knnd Associates Pvt Ltd"/>
    <s v="L&amp;T Equinox Chennai"/>
    <s v="Box Duct with TDF"/>
    <x v="11"/>
    <s v="Sqmt"/>
    <n v="56.1"/>
    <n v="595"/>
    <n v="33379.5"/>
  </r>
  <r>
    <s v="July"/>
    <d v="2024-07-10T00:00:00"/>
    <n v="61189"/>
    <n v="43661"/>
    <s v="Knnd Associates Pvt Ltd"/>
    <s v="L&amp;T Equinox Chennai"/>
    <s v="Box Duct with TDF"/>
    <x v="12"/>
    <s v="Sqmt"/>
    <n v="106.8"/>
    <n v="760"/>
    <n v="81168"/>
  </r>
  <r>
    <s v="July"/>
    <d v="2024-07-10T00:00:00"/>
    <n v="61189"/>
    <n v="43661"/>
    <s v="Knnd Associates Pvt Ltd"/>
    <s v="L&amp;T Equinox Chennai"/>
    <s v="Mixing Box (285x285x350H)"/>
    <x v="11"/>
    <s v="Nos"/>
    <n v="7"/>
    <n v="430"/>
    <n v="3010"/>
  </r>
  <r>
    <s v="July"/>
    <d v="2024-07-10T00:00:00"/>
    <n v="61189"/>
    <n v="43661"/>
    <s v="Knnd Associates Pvt Ltd"/>
    <s v="L&amp;T Equinox Chennai"/>
    <s v="Mixing Box (210x210x250H)"/>
    <x v="11"/>
    <s v="Nos"/>
    <n v="11"/>
    <n v="320"/>
    <n v="3520"/>
  </r>
  <r>
    <s v="July"/>
    <d v="2024-07-10T00:00:00"/>
    <n v="61189"/>
    <n v="43661"/>
    <s v="Knnd Associates Pvt Ltd"/>
    <s v="L&amp;T Equinox Chennai"/>
    <s v="Mixing Box (250x325x250H)"/>
    <x v="11"/>
    <s v="Nos"/>
    <n v="4"/>
    <n v="390"/>
    <n v="1560"/>
  </r>
  <r>
    <s v="July"/>
    <d v="2024-07-10T00:00:00"/>
    <n v="61189"/>
    <n v="43661"/>
    <s v="Knnd Associates Pvt Ltd"/>
    <s v="L&amp;T Equinox Chennai"/>
    <s v="Mixing Box (100x750x260H)"/>
    <x v="11"/>
    <s v="Nos"/>
    <n v="8"/>
    <n v="435"/>
    <n v="3480"/>
  </r>
  <r>
    <s v="July"/>
    <d v="2024-07-10T00:00:00"/>
    <n v="61189"/>
    <n v="43661"/>
    <s v="Knnd Associates Pvt Ltd"/>
    <s v="L&amp;T Equinox Chennai"/>
    <s v="Mixing Box (435x435x350H)"/>
    <x v="11"/>
    <s v="Nos"/>
    <n v="8"/>
    <n v="560"/>
    <n v="4480"/>
  </r>
  <r>
    <s v="July"/>
    <d v="2024-07-10T00:00:00"/>
    <n v="61189"/>
    <n v="43661"/>
    <s v="Knnd Associates Pvt Ltd"/>
    <s v="L&amp;T Equinox Chennai"/>
    <s v="Square to Round Duct"/>
    <x v="12"/>
    <s v="Nos"/>
    <n v="10"/>
    <n v="2565"/>
    <n v="25650"/>
  </r>
  <r>
    <s v="July"/>
    <d v="2024-07-10T00:00:00"/>
    <n v="61189"/>
    <n v="43661"/>
    <s v="Knnd Associates Pvt Ltd"/>
    <s v="L&amp;T Equinox Chennai"/>
    <s v="Round Elbow"/>
    <x v="12"/>
    <s v="Nos"/>
    <n v="8"/>
    <n v="1790"/>
    <n v="14320"/>
  </r>
  <r>
    <s v="July"/>
    <d v="2024-07-10T00:00:00"/>
    <n v="61189"/>
    <n v="43661"/>
    <s v="Knnd Associates Pvt Ltd"/>
    <s v="L&amp;T Equinox Chennai"/>
    <s v="Round Flange"/>
    <x v="1"/>
    <s v="Nos"/>
    <n v="26"/>
    <n v="1030"/>
    <n v="26780"/>
  </r>
  <r>
    <s v="July"/>
    <d v="2024-07-11T00:00:00"/>
    <n v="61227"/>
    <n v="43662"/>
    <s v="Knnd Associates Pvt Ltd"/>
    <s v="Google Rio Bengaluru"/>
    <s v="VCD (Alu. Blade)"/>
    <x v="2"/>
    <s v="Sqmt"/>
    <n v="16.899999999999999"/>
    <n v="7200"/>
    <n v="121679.99999999999"/>
  </r>
  <r>
    <s v="July"/>
    <d v="2024-07-11T00:00:00"/>
    <n v="61235"/>
    <n v="43663"/>
    <s v="Knnd Associates Pvt Ltd"/>
    <s v="M5 Mall Bangalore"/>
    <s v="Box Duct with TDF"/>
    <x v="11"/>
    <s v="Sqmt"/>
    <n v="30.8"/>
    <n v="586"/>
    <n v="18048.8"/>
  </r>
  <r>
    <s v="July"/>
    <d v="2024-07-11T00:00:00"/>
    <n v="61235"/>
    <n v="43663"/>
    <s v="Knnd Associates Pvt Ltd"/>
    <s v="M5 Mall Bangalore"/>
    <s v="Box Duct with TDF"/>
    <x v="12"/>
    <s v="Sqmt"/>
    <n v="9.8000000000000007"/>
    <n v="755"/>
    <n v="7399.0000000000009"/>
  </r>
  <r>
    <s v="July"/>
    <d v="2024-07-11T00:00:00"/>
    <n v="61235"/>
    <n v="43663"/>
    <s v="Knnd Associates Pvt Ltd"/>
    <s v="M5 Mall Bangalore"/>
    <s v="Box Duct with TDF"/>
    <x v="1"/>
    <s v="Sqmt"/>
    <n v="14.4"/>
    <n v="920"/>
    <n v="13248"/>
  </r>
  <r>
    <s v="July"/>
    <d v="2024-07-11T00:00:00"/>
    <n v="61235"/>
    <n v="43663"/>
    <s v="Knnd Associates Pvt Ltd"/>
    <s v="M5 Mall Bangalore"/>
    <s v="Insulation"/>
    <x v="42"/>
    <s v="Sqmt"/>
    <n v="19.600000000000001"/>
    <n v="415"/>
    <n v="8134.0000000000009"/>
  </r>
  <r>
    <s v="July"/>
    <d v="2024-07-11T00:00:00"/>
    <n v="61235"/>
    <n v="43663"/>
    <s v="Knnd Associates Pvt Ltd"/>
    <s v="M5 Mall Bangalore"/>
    <s v="Insulation"/>
    <x v="37"/>
    <s v="Sqmt"/>
    <n v="4.5999999999999996"/>
    <n v="876"/>
    <n v="4029.6"/>
  </r>
  <r>
    <s v="July"/>
    <d v="2024-07-11T00:00:00"/>
    <n v="61234"/>
    <n v="43664"/>
    <s v="Knnd Associates Pvt Ltd"/>
    <s v="Manipal South Bangalore"/>
    <s v="Box Duct with TDF"/>
    <x v="11"/>
    <s v="Sqmt"/>
    <n v="164.5"/>
    <n v="586"/>
    <n v="96397"/>
  </r>
  <r>
    <s v="July"/>
    <d v="2024-07-11T00:00:00"/>
    <n v="61234"/>
    <n v="43664"/>
    <s v="Knnd Associates Pvt Ltd"/>
    <s v="Manipal South Bangalore"/>
    <s v="Insulation"/>
    <x v="16"/>
    <s v="Sqmt"/>
    <n v="164.5"/>
    <n v="280"/>
    <n v="46060"/>
  </r>
  <r>
    <s v="July"/>
    <d v="2024-07-11T00:00:00"/>
    <n v="61234"/>
    <n v="43664"/>
    <s v="Knnd Associates Pvt Ltd"/>
    <s v="Manipal South Bangalore"/>
    <s v="VCD (Alu. Blade)"/>
    <x v="2"/>
    <s v="Sqmt"/>
    <n v="5.8"/>
    <n v="5720"/>
    <n v="33176"/>
  </r>
  <r>
    <s v="July"/>
    <d v="2024-07-11T00:00:00"/>
    <n v="61234"/>
    <n v="43664"/>
    <s v="Knnd Associates Pvt Ltd"/>
    <s v="Manipal South Bangalore"/>
    <s v="Stretch Film"/>
    <x v="4"/>
    <s v="Sqmt"/>
    <n v="165"/>
    <n v="15"/>
    <n v="2475"/>
  </r>
  <r>
    <s v="July"/>
    <d v="2024-07-11T00:00:00"/>
    <n v="61186"/>
    <n v="43665"/>
    <s v="Knnd Associates Pvt Ltd"/>
    <s v="Manipal South Bangalore"/>
    <s v="VCD (Alu. Blade)"/>
    <x v="2"/>
    <s v="Sqmt"/>
    <n v="16.3"/>
    <n v="5720"/>
    <n v="93236"/>
  </r>
  <r>
    <s v="July"/>
    <d v="2024-07-11T00:00:00"/>
    <n v="61234"/>
    <n v="43666"/>
    <s v="Knnd Associates Pvt Ltd"/>
    <s v="Manipal South Bangalore"/>
    <s v="Box Duct with TDF"/>
    <x v="11"/>
    <s v="Sqmt"/>
    <n v="169.1"/>
    <n v="586"/>
    <n v="99092.599999999991"/>
  </r>
  <r>
    <s v="July"/>
    <d v="2024-07-11T00:00:00"/>
    <n v="61234"/>
    <n v="43666"/>
    <s v="Knnd Associates Pvt Ltd"/>
    <s v="Manipal South Bangalore"/>
    <s v="Insulation"/>
    <x v="16"/>
    <s v="Sqmt"/>
    <n v="169.1"/>
    <n v="280"/>
    <n v="47348"/>
  </r>
  <r>
    <s v="July"/>
    <d v="2024-07-11T00:00:00"/>
    <n v="61234"/>
    <n v="43666"/>
    <s v="Knnd Associates Pvt Ltd"/>
    <s v="Manipal South Bangalore"/>
    <s v="Stretch Film"/>
    <x v="4"/>
    <s v="Sqmt"/>
    <n v="170"/>
    <n v="15"/>
    <n v="2550"/>
  </r>
  <r>
    <s v="July"/>
    <d v="2024-07-11T00:00:00"/>
    <n v="61228"/>
    <n v="43667"/>
    <s v="Knnd Associates Pvt Ltd"/>
    <s v="Knnd Maddur Factory"/>
    <s v="Spiral Round Duct"/>
    <x v="5"/>
    <s v="Sqmt"/>
    <n v="132.1"/>
    <n v="540"/>
    <n v="71334"/>
  </r>
  <r>
    <s v="July"/>
    <d v="2024-07-12T00:00:00"/>
    <n v="61233"/>
    <n v="43668"/>
    <s v="Knnd Associates Pvt Ltd"/>
    <s v="Vaishnavi Bangaluru"/>
    <s v="Box Duct with TDF"/>
    <x v="11"/>
    <s v="Sqmt"/>
    <n v="4.0999999999999996"/>
    <n v="586"/>
    <n v="2402.6"/>
  </r>
  <r>
    <s v="July"/>
    <d v="2024-07-12T00:00:00"/>
    <n v="61233"/>
    <n v="43668"/>
    <s v="Knnd Associates Pvt Ltd"/>
    <s v="Vaishnavi Bangaluru"/>
    <s v="Box Duct with TDF"/>
    <x v="12"/>
    <s v="Sqmt"/>
    <n v="62.3"/>
    <n v="755"/>
    <n v="47036.5"/>
  </r>
  <r>
    <s v="July"/>
    <d v="2024-07-12T00:00:00"/>
    <n v="61186"/>
    <n v="43669"/>
    <s v="Knnd Associates Pvt Ltd"/>
    <s v="Manipal South Bangalore"/>
    <s v="Box Duct with TDF"/>
    <x v="11"/>
    <s v="Sqmt"/>
    <n v="90.2"/>
    <n v="595"/>
    <n v="53669"/>
  </r>
  <r>
    <s v="July"/>
    <d v="2024-07-12T00:00:00"/>
    <n v="61186"/>
    <n v="43669"/>
    <s v="Knnd Associates Pvt Ltd"/>
    <s v="Manipal South Bangalore"/>
    <s v="Insulation"/>
    <x v="16"/>
    <s v="Sqmt"/>
    <n v="90.2"/>
    <n v="275"/>
    <n v="24805"/>
  </r>
  <r>
    <s v="July"/>
    <d v="2024-07-12T00:00:00"/>
    <n v="61186"/>
    <n v="43669"/>
    <s v="Knnd Associates Pvt Ltd"/>
    <s v="Manipal South Bangalore"/>
    <s v="Stretch Film"/>
    <x v="4"/>
    <s v="Sqmt"/>
    <n v="92"/>
    <n v="15"/>
    <n v="1380"/>
  </r>
  <r>
    <s v="July"/>
    <d v="2024-07-12T00:00:00"/>
    <n v="61186"/>
    <n v="43670"/>
    <s v="Knnd Associates Pvt Ltd"/>
    <s v="Manipal South Bangalore"/>
    <s v="Box Duct with TDF"/>
    <x v="11"/>
    <s v="Sqmt"/>
    <n v="188.4"/>
    <n v="595"/>
    <n v="112098"/>
  </r>
  <r>
    <s v="July"/>
    <d v="2024-07-12T00:00:00"/>
    <n v="61186"/>
    <n v="43670"/>
    <s v="Knnd Associates Pvt Ltd"/>
    <s v="Manipal South Bangalore"/>
    <s v="Box Duct with TDF"/>
    <x v="12"/>
    <s v="Sqmt"/>
    <n v="14.7"/>
    <n v="760"/>
    <n v="11172"/>
  </r>
  <r>
    <s v="July"/>
    <d v="2024-07-12T00:00:00"/>
    <n v="61186"/>
    <n v="43670"/>
    <s v="Knnd Associates Pvt Ltd"/>
    <s v="Manipal South Bangalore"/>
    <s v="Insulation"/>
    <x v="16"/>
    <s v="Sqmt"/>
    <n v="203.1"/>
    <n v="275"/>
    <n v="55852.5"/>
  </r>
  <r>
    <s v="July"/>
    <d v="2024-07-12T00:00:00"/>
    <n v="61186"/>
    <n v="43670"/>
    <s v="Knnd Associates Pvt Ltd"/>
    <s v="Manipal South Bangalore"/>
    <s v="Stretch Film"/>
    <x v="4"/>
    <s v="Sqmt"/>
    <n v="205"/>
    <n v="15"/>
    <n v="3075"/>
  </r>
  <r>
    <s v="July"/>
    <d v="2024-07-12T00:00:00"/>
    <n v="61199"/>
    <n v="43671"/>
    <s v="Knnd Associates Pvt Ltd"/>
    <s v="Chanakya University AB2"/>
    <s v="Spiral Oval Duct"/>
    <x v="5"/>
    <s v="Sqmt"/>
    <n v="105.4"/>
    <n v="670"/>
    <n v="70618"/>
  </r>
  <r>
    <s v="July"/>
    <d v="2024-07-12T00:00:00"/>
    <n v="61199"/>
    <n v="43671"/>
    <s v="Knnd Associates Pvt Ltd"/>
    <s v="Chanakya University AB2"/>
    <s v="Spiral Oval Duct"/>
    <x v="6"/>
    <s v="Sqmt"/>
    <n v="24.5"/>
    <n v="770"/>
    <n v="18865"/>
  </r>
  <r>
    <s v="July"/>
    <d v="2024-07-12T00:00:00"/>
    <n v="61199"/>
    <n v="43671"/>
    <s v="Knnd Associates Pvt Ltd"/>
    <s v="Chanakya University AB2"/>
    <s v="Spiral Oval Coupling"/>
    <x v="7"/>
    <s v="Sqmt"/>
    <n v="3.1"/>
    <n v="910"/>
    <n v="2821"/>
  </r>
  <r>
    <s v="July"/>
    <d v="2024-07-12T00:00:00"/>
    <n v="61199"/>
    <n v="43671"/>
    <s v="Knnd Associates Pvt Ltd"/>
    <s v="Chanakya University AB2"/>
    <s v="Insulation"/>
    <x v="22"/>
    <s v="Sqmt"/>
    <n v="133"/>
    <n v="370"/>
    <n v="49210"/>
  </r>
  <r>
    <s v="July"/>
    <d v="2024-07-12T00:00:00"/>
    <n v="61199"/>
    <n v="43671"/>
    <s v="Knnd Associates Pvt Ltd"/>
    <s v="Chanakya University AB2"/>
    <s v="VCD (Alu. Blade)"/>
    <x v="1"/>
    <s v="Sqmt"/>
    <n v="6.2"/>
    <n v="5200"/>
    <n v="32240"/>
  </r>
  <r>
    <s v="July"/>
    <d v="2024-07-12T00:00:00"/>
    <n v="61199"/>
    <n v="43671"/>
    <s v="Knnd Associates Pvt Ltd"/>
    <s v="Chanakya University AB2"/>
    <s v="Spigot 250mm Dia"/>
    <x v="12"/>
    <s v="Nos"/>
    <n v="33"/>
    <n v="400"/>
    <n v="13200"/>
  </r>
  <r>
    <s v="July"/>
    <d v="2024-07-12T00:00:00"/>
    <n v="61236"/>
    <n v="43672"/>
    <s v="Micronclean India Pvt Ltd"/>
    <s v="Micronclean India Pvt Ltd"/>
    <s v="Box Duct with MS Angle"/>
    <x v="12"/>
    <s v="Sqmt"/>
    <n v="2.7"/>
    <n v="2800"/>
    <n v="7560.0000000000009"/>
  </r>
  <r>
    <s v="July"/>
    <d v="2024-07-12T00:00:00"/>
    <n v="61186"/>
    <n v="43673"/>
    <s v="Knnd Associates Pvt Ltd"/>
    <s v="Manipal South Bangalore"/>
    <s v="Box Duct with TDF"/>
    <x v="11"/>
    <s v="Sqmt"/>
    <n v="164.99999999999997"/>
    <n v="595"/>
    <n v="98174.999999999985"/>
  </r>
  <r>
    <s v="July"/>
    <d v="2024-07-12T00:00:00"/>
    <n v="61186"/>
    <n v="43673"/>
    <s v="Knnd Associates Pvt Ltd"/>
    <s v="Manipal South Bangalore"/>
    <s v="Box Duct with TDF"/>
    <x v="12"/>
    <s v="Sqmt"/>
    <n v="47.2"/>
    <n v="760"/>
    <n v="35872"/>
  </r>
  <r>
    <s v="July"/>
    <d v="2024-07-12T00:00:00"/>
    <n v="61186"/>
    <n v="43673"/>
    <s v="Knnd Associates Pvt Ltd"/>
    <s v="Manipal South Bangalore"/>
    <s v="Insulation"/>
    <x v="16"/>
    <s v="Sqmt"/>
    <n v="159.29999999999998"/>
    <n v="275"/>
    <n v="43807.499999999993"/>
  </r>
  <r>
    <s v="July"/>
    <d v="2024-07-12T00:00:00"/>
    <n v="61186"/>
    <n v="43673"/>
    <s v="Knnd Associates Pvt Ltd"/>
    <s v="Manipal South Bangalore"/>
    <s v="Insulation"/>
    <x v="17"/>
    <s v="Sqmt"/>
    <n v="22.3"/>
    <n v="810"/>
    <n v="18063"/>
  </r>
  <r>
    <s v="July"/>
    <d v="2024-07-12T00:00:00"/>
    <n v="61186"/>
    <n v="43673"/>
    <s v="Knnd Associates Pvt Ltd"/>
    <s v="Manipal South Bangalore"/>
    <s v="Round Collar with flange 150 Dia"/>
    <x v="11"/>
    <s v="Nos"/>
    <n v="44"/>
    <n v="110"/>
    <n v="4840"/>
  </r>
  <r>
    <s v="July"/>
    <d v="2024-07-12T00:00:00"/>
    <n v="61186"/>
    <n v="43673"/>
    <s v="Knnd Associates Pvt Ltd"/>
    <s v="Manipal South Bangalore"/>
    <s v="Stretch Film"/>
    <x v="4"/>
    <s v="Sqmt"/>
    <n v="160"/>
    <n v="15"/>
    <n v="2400"/>
  </r>
  <r>
    <s v="July"/>
    <d v="2024-07-13T00:00:00"/>
    <n v="61186"/>
    <n v="43674"/>
    <s v="Knnd Associates Pvt Ltd"/>
    <s v="Manipal South Bangalore"/>
    <s v="Box Duct with TDF"/>
    <x v="11"/>
    <s v="Sqmt"/>
    <n v="137.69999999999999"/>
    <n v="595"/>
    <n v="81931.5"/>
  </r>
  <r>
    <s v="July"/>
    <d v="2024-07-13T00:00:00"/>
    <n v="61186"/>
    <n v="43674"/>
    <s v="Knnd Associates Pvt Ltd"/>
    <s v="Manipal South Bangalore"/>
    <s v="Box Duct with TDF"/>
    <x v="12"/>
    <s v="Sqmt"/>
    <n v="2.7"/>
    <n v="760"/>
    <n v="2052"/>
  </r>
  <r>
    <s v="July"/>
    <d v="2024-07-13T00:00:00"/>
    <n v="61186"/>
    <n v="43674"/>
    <s v="Knnd Associates Pvt Ltd"/>
    <s v="Manipal South Bangalore"/>
    <s v="VCD (Alu. Blade)"/>
    <x v="2"/>
    <s v="Sqmt"/>
    <n v="9.9"/>
    <n v="5720"/>
    <n v="56628"/>
  </r>
  <r>
    <s v="July"/>
    <d v="2024-07-13T00:00:00"/>
    <n v="61186"/>
    <n v="43674"/>
    <s v="Knnd Associates Pvt Ltd"/>
    <s v="Manipal South Bangalore"/>
    <s v="Insulation"/>
    <x v="16"/>
    <s v="Sqmt"/>
    <n v="140.39999999999998"/>
    <n v="275"/>
    <n v="38609.999999999993"/>
  </r>
  <r>
    <s v="July"/>
    <d v="2024-07-13T00:00:00"/>
    <n v="61186"/>
    <n v="43674"/>
    <s v="Knnd Associates Pvt Ltd"/>
    <s v="Manipal South Bangalore"/>
    <s v="Stretch Film"/>
    <x v="4"/>
    <s v="Sqmt"/>
    <n v="140"/>
    <n v="15"/>
    <n v="2100"/>
  </r>
  <r>
    <s v="July"/>
    <d v="2024-07-13T00:00:00"/>
    <n v="61186"/>
    <n v="43674"/>
    <s v="Knnd Associates Pvt Ltd"/>
    <s v="Manipal South Bangalore"/>
    <s v="Insulation Flange"/>
    <x v="18"/>
    <s v="Nos"/>
    <n v="150"/>
    <n v="153"/>
    <n v="22950"/>
  </r>
  <r>
    <s v="July"/>
    <d v="2024-07-15T00:00:00"/>
    <n v="61186"/>
    <n v="43675"/>
    <s v="Knnd Associates Pvt Ltd"/>
    <s v="Manipal South Bangalore"/>
    <s v="Box Duct with TDF"/>
    <x v="11"/>
    <s v="Sqmt"/>
    <n v="205.29999999999998"/>
    <n v="595"/>
    <n v="122153.49999999999"/>
  </r>
  <r>
    <s v="July"/>
    <d v="2024-07-15T00:00:00"/>
    <n v="61186"/>
    <n v="43675"/>
    <s v="Knnd Associates Pvt Ltd"/>
    <s v="Manipal South Bangalore"/>
    <s v="Box Duct with TDF"/>
    <x v="12"/>
    <s v="Sqmt"/>
    <n v="2.7"/>
    <n v="760"/>
    <n v="2052"/>
  </r>
  <r>
    <s v="July"/>
    <d v="2024-07-15T00:00:00"/>
    <n v="61186"/>
    <n v="43675"/>
    <s v="Knnd Associates Pvt Ltd"/>
    <s v="Manipal South Bangalore"/>
    <s v="Insulation"/>
    <x v="16"/>
    <s v="Sqmt"/>
    <n v="203.39999999999998"/>
    <n v="275"/>
    <n v="55934.999999999993"/>
  </r>
  <r>
    <s v="July"/>
    <d v="2024-07-15T00:00:00"/>
    <n v="61186"/>
    <n v="43675"/>
    <s v="Knnd Associates Pvt Ltd"/>
    <s v="Manipal South Bangalore"/>
    <s v="Insulation"/>
    <x v="17"/>
    <s v="Sqmt"/>
    <n v="4.5999999999999996"/>
    <n v="810"/>
    <n v="3725.9999999999995"/>
  </r>
  <r>
    <s v="July"/>
    <d v="2024-07-15T00:00:00"/>
    <n v="61186"/>
    <n v="43675"/>
    <s v="Knnd Associates Pvt Ltd"/>
    <s v="Manipal South Bangalore"/>
    <s v="Round Collar with flange 150 Dia"/>
    <x v="11"/>
    <s v="Nos"/>
    <n v="24"/>
    <n v="110"/>
    <n v="2640"/>
  </r>
  <r>
    <s v="July"/>
    <d v="2024-07-15T00:00:00"/>
    <n v="61186"/>
    <n v="43675"/>
    <s v="Knnd Associates Pvt Ltd"/>
    <s v="Manipal South Bangalore"/>
    <s v="Stretch Film"/>
    <x v="4"/>
    <s v="Sqmt"/>
    <n v="215"/>
    <n v="15"/>
    <n v="3225"/>
  </r>
  <r>
    <s v="July"/>
    <d v="2024-07-15T00:00:00"/>
    <n v="61186"/>
    <n v="43676"/>
    <s v="Knnd Associates Pvt Ltd"/>
    <s v="Manipal South Bangalore"/>
    <s v="Box Duct with TDF"/>
    <x v="11"/>
    <s v="Sqmt"/>
    <n v="137.20000000000002"/>
    <n v="595"/>
    <n v="81634.000000000015"/>
  </r>
  <r>
    <s v="July"/>
    <d v="2024-07-15T00:00:00"/>
    <n v="61186"/>
    <n v="43676"/>
    <s v="Knnd Associates Pvt Ltd"/>
    <s v="Manipal South Bangalore"/>
    <s v="Box Duct with TDF"/>
    <x v="12"/>
    <s v="Sqmt"/>
    <n v="22.5"/>
    <n v="760"/>
    <n v="17100"/>
  </r>
  <r>
    <s v="July"/>
    <d v="2024-07-15T00:00:00"/>
    <n v="61186"/>
    <n v="43676"/>
    <s v="Knnd Associates Pvt Ltd"/>
    <s v="Manipal South Bangalore"/>
    <s v="Insulation"/>
    <x v="16"/>
    <s v="Sqmt"/>
    <n v="118.30000000000001"/>
    <n v="275"/>
    <n v="32532.500000000004"/>
  </r>
  <r>
    <s v="July"/>
    <d v="2024-07-15T00:00:00"/>
    <n v="61186"/>
    <n v="43676"/>
    <s v="Knnd Associates Pvt Ltd"/>
    <s v="Manipal South Bangalore"/>
    <s v="Insulation"/>
    <x v="17"/>
    <s v="Sqmt"/>
    <n v="41.4"/>
    <n v="810"/>
    <n v="33534"/>
  </r>
  <r>
    <s v="July"/>
    <d v="2024-07-15T00:00:00"/>
    <n v="61186"/>
    <n v="43676"/>
    <s v="Knnd Associates Pvt Ltd"/>
    <s v="Manipal South Bangalore"/>
    <s v="Insulation Flange"/>
    <x v="18"/>
    <s v="Nos"/>
    <n v="170"/>
    <n v="153"/>
    <n v="26010"/>
  </r>
  <r>
    <s v="July"/>
    <d v="2024-07-15T00:00:00"/>
    <n v="61186"/>
    <n v="43676"/>
    <s v="Knnd Associates Pvt Ltd"/>
    <s v="Manipal South Bangalore"/>
    <s v="Stretch Film"/>
    <x v="4"/>
    <s v="Sqmt"/>
    <n v="120"/>
    <n v="15"/>
    <n v="1800"/>
  </r>
  <r>
    <s v="July"/>
    <d v="2024-07-15T00:00:00"/>
    <n v="61229"/>
    <n v="43677"/>
    <s v="Knnd Associates Pvt Ltd"/>
    <s v="Infosys Coimbatore"/>
    <s v="Mixing Box (595x595x450H)"/>
    <x v="11"/>
    <s v="Nos"/>
    <n v="6"/>
    <n v="840"/>
    <n v="5040"/>
  </r>
  <r>
    <s v="July"/>
    <d v="2024-07-15T00:00:00"/>
    <n v="61229"/>
    <n v="43677"/>
    <s v="Knnd Associates Pvt Ltd"/>
    <s v="Infosys Coimbatore"/>
    <s v="Mixing Box (750x150x450H)"/>
    <x v="11"/>
    <s v="Nos"/>
    <n v="26"/>
    <n v="560"/>
    <n v="14560"/>
  </r>
  <r>
    <s v="July"/>
    <d v="2024-07-15T00:00:00"/>
    <n v="61229"/>
    <n v="43677"/>
    <s v="Knnd Associates Pvt Ltd"/>
    <s v="Infosys Coimbatore"/>
    <s v="Mixing Box (500x150x450H)"/>
    <x v="11"/>
    <s v="Nos"/>
    <n v="9"/>
    <n v="503"/>
    <n v="4527"/>
  </r>
  <r>
    <s v="July"/>
    <d v="2024-07-15T00:00:00"/>
    <n v="61229"/>
    <n v="43677"/>
    <s v="Knnd Associates Pvt Ltd"/>
    <s v="Infosys Coimbatore"/>
    <s v="Mixing Box (550x550x450H)"/>
    <x v="11"/>
    <s v="Nos"/>
    <n v="5"/>
    <n v="830"/>
    <n v="4150"/>
  </r>
  <r>
    <s v="July"/>
    <d v="2024-07-15T00:00:00"/>
    <n v="61229"/>
    <n v="43677"/>
    <s v="Knnd Associates Pvt Ltd"/>
    <s v="Infosys Coimbatore"/>
    <s v="Insulation"/>
    <x v="34"/>
    <s v="Sqmt"/>
    <n v="117.61333330000001"/>
    <n v="600"/>
    <n v="70567.999980000008"/>
  </r>
  <r>
    <s v="July"/>
    <d v="2024-07-15T00:00:00"/>
    <n v="61229"/>
    <n v="43677"/>
    <s v="Knnd Associates Pvt Ltd"/>
    <s v="Infosys Coimbatore"/>
    <s v="Box Duct with TDF"/>
    <x v="11"/>
    <s v="Sqmt"/>
    <n v="40.200000000000003"/>
    <n v="586"/>
    <n v="23557.200000000001"/>
  </r>
  <r>
    <s v="July"/>
    <d v="2024-07-15T00:00:00"/>
    <n v="61229"/>
    <n v="43677"/>
    <s v="Knnd Associates Pvt Ltd"/>
    <s v="Infosys Coimbatore"/>
    <s v="Round Collar 450 Dia"/>
    <x v="11"/>
    <s v="Nos"/>
    <n v="60"/>
    <n v="270"/>
    <n v="16200"/>
  </r>
  <r>
    <s v="July"/>
    <d v="2024-07-15T00:00:00"/>
    <n v="61229"/>
    <n v="43677"/>
    <s v="Knnd Associates Pvt Ltd"/>
    <s v="Infosys Coimbatore"/>
    <s v="Round Reducer (200x125mm)"/>
    <x v="11"/>
    <s v="Nos"/>
    <n v="4"/>
    <n v="170"/>
    <n v="680"/>
  </r>
  <r>
    <s v="July"/>
    <d v="2024-07-15T00:00:00"/>
    <n v="61229"/>
    <n v="43677"/>
    <s v="Knnd Associates Pvt Ltd"/>
    <s v="Infosys Coimbatore"/>
    <s v="Round Reducer (200x160mm)"/>
    <x v="11"/>
    <s v="Nos"/>
    <n v="56"/>
    <n v="145"/>
    <n v="8120"/>
  </r>
  <r>
    <s v="July"/>
    <d v="2024-07-15T00:00:00"/>
    <n v="61229"/>
    <n v="43677"/>
    <s v="Knnd Associates Pvt Ltd"/>
    <s v="Infosys Coimbatore"/>
    <s v="Insulation Flange"/>
    <x v="43"/>
    <s v="Sqmt"/>
    <n v="96"/>
    <n v="560"/>
    <n v="53760"/>
  </r>
  <r>
    <s v="July"/>
    <d v="2024-07-15T00:00:00"/>
    <n v="61229"/>
    <n v="43677"/>
    <s v="Knnd Associates Pvt Ltd"/>
    <s v="Infosys Coimbatore"/>
    <s v="Spigot 200mm Dia"/>
    <x v="12"/>
    <s v="Nos"/>
    <n v="189"/>
    <n v="345"/>
    <n v="65205"/>
  </r>
  <r>
    <s v="July"/>
    <d v="2024-07-16T00:00:00"/>
    <n v="61227"/>
    <n v="43678"/>
    <s v="Knnd Associates Pvt Ltd"/>
    <s v="Google Rio Bengaluru"/>
    <s v="Box Duct with TDF"/>
    <x v="11"/>
    <s v="Sqmt"/>
    <n v="28"/>
    <n v="586"/>
    <n v="16408"/>
  </r>
  <r>
    <s v="July"/>
    <d v="2024-07-16T00:00:00"/>
    <n v="61227"/>
    <n v="43678"/>
    <s v="Knnd Associates Pvt Ltd"/>
    <s v="Google Rio Bengaluru"/>
    <s v="Box Duct with TDF"/>
    <x v="12"/>
    <s v="Sqmt"/>
    <n v="13.8"/>
    <n v="755"/>
    <n v="10419"/>
  </r>
  <r>
    <s v="July"/>
    <d v="2024-07-16T00:00:00"/>
    <n v="61227"/>
    <n v="43678"/>
    <s v="Knnd Associates Pvt Ltd"/>
    <s v="Google Rio Bengaluru"/>
    <s v="Box Duct with TDF"/>
    <x v="1"/>
    <s v="Sqmt"/>
    <n v="40.9"/>
    <n v="920"/>
    <n v="37628"/>
  </r>
  <r>
    <s v="July"/>
    <d v="2024-07-16T00:00:00"/>
    <n v="61227"/>
    <n v="43678"/>
    <s v="Knnd Associates Pvt Ltd"/>
    <s v="Google Rio Bengaluru"/>
    <s v="Box Duct with TDF"/>
    <x v="2"/>
    <s v="Sqmt"/>
    <n v="80.2"/>
    <n v="1000"/>
    <n v="80200"/>
  </r>
  <r>
    <s v="July"/>
    <d v="2024-07-16T00:00:00"/>
    <n v="61227"/>
    <n v="43678"/>
    <s v="Knnd Associates Pvt Ltd"/>
    <s v="Google Rio Bengaluru"/>
    <s v="Insulation"/>
    <x v="8"/>
    <s v="Sqmt"/>
    <n v="45.9"/>
    <n v="266"/>
    <n v="12209.4"/>
  </r>
  <r>
    <s v="July"/>
    <d v="2024-07-16T00:00:00"/>
    <n v="61227"/>
    <n v="43678"/>
    <s v="Knnd Associates Pvt Ltd"/>
    <s v="Google Rio Bengaluru"/>
    <s v="Insulation"/>
    <x v="38"/>
    <s v="Sqmt"/>
    <n v="117"/>
    <n v="795.11620000000005"/>
    <n v="93028.595400000006"/>
  </r>
  <r>
    <s v="July"/>
    <d v="2024-07-16T00:00:00"/>
    <n v="61227"/>
    <n v="43678"/>
    <s v="Knnd Associates Pvt Ltd"/>
    <s v="Google Rio Bengaluru"/>
    <s v="Stretch Film"/>
    <x v="4"/>
    <s v="Sqmt"/>
    <n v="165"/>
    <n v="15"/>
    <n v="2475"/>
  </r>
  <r>
    <s v="July"/>
    <d v="2024-07-16T00:00:00"/>
    <n v="61227"/>
    <n v="43678"/>
    <s v="Knnd Associates Pvt Ltd"/>
    <s v="Google Rio Bengaluru"/>
    <s v="Plain Sheet"/>
    <x v="11"/>
    <s v="Sqmt"/>
    <n v="57"/>
    <n v="448"/>
    <n v="25536"/>
  </r>
  <r>
    <s v="July"/>
    <d v="2024-07-16T00:00:00"/>
    <n v="61227"/>
    <n v="43678"/>
    <s v="Knnd Associates Pvt Ltd"/>
    <s v="Google Rio Bengaluru"/>
    <s v="Corners 32mm"/>
    <x v="32"/>
    <s v="Nos"/>
    <n v="200"/>
    <n v="7.5"/>
    <n v="1500"/>
  </r>
  <r>
    <s v="July"/>
    <d v="2024-07-16T00:00:00"/>
    <n v="61227"/>
    <n v="43678"/>
    <s v="Knnd Associates Pvt Ltd"/>
    <s v="Google Rio Bengaluru"/>
    <s v="Corners 25mm"/>
    <x v="44"/>
    <s v="Nos"/>
    <n v="250"/>
    <n v="7.5"/>
    <n v="1875"/>
  </r>
  <r>
    <s v="July"/>
    <d v="2024-07-16T00:00:00"/>
    <n v="61195"/>
    <n v="43679"/>
    <s v="Technogreen Airconditioning Pvt Ltd"/>
    <s v="AMD Bangalore"/>
    <s v="Spigot 200mm Dia"/>
    <x v="12"/>
    <s v="Nos"/>
    <n v="344"/>
    <n v="400"/>
    <n v="137600"/>
  </r>
  <r>
    <s v="July"/>
    <d v="2024-07-16T00:00:00"/>
    <n v="61195"/>
    <n v="43679"/>
    <s v="Technogreen Airconditioning Pvt Ltd"/>
    <s v="AMD Bangalore"/>
    <s v="Spigot 250mm Dia"/>
    <x v="12"/>
    <s v="Nos"/>
    <n v="12"/>
    <n v="485"/>
    <n v="5820"/>
  </r>
  <r>
    <s v="July"/>
    <d v="2024-07-16T00:00:00"/>
    <n v="61197"/>
    <n v="43680"/>
    <s v="Technogreen Airconditioning Pvt Ltd"/>
    <s v="AMD Bangalore"/>
    <s v="Spigot 200mm Dia"/>
    <x v="12"/>
    <s v="Nos"/>
    <n v="166"/>
    <n v="400"/>
    <n v="66400"/>
  </r>
  <r>
    <s v="July"/>
    <d v="2024-07-16T00:00:00"/>
    <n v="61197"/>
    <n v="43680"/>
    <s v="Technogreen Airconditioning Pvt Ltd"/>
    <s v="AMD Bangalore"/>
    <s v="Spigot 250mm Dia"/>
    <x v="12"/>
    <s v="Nos"/>
    <n v="12"/>
    <n v="485"/>
    <n v="5820"/>
  </r>
  <r>
    <s v="July"/>
    <d v="2024-07-17T00:00:00"/>
    <n v="61237"/>
    <n v="43681"/>
    <s v="Aircon Ref Pvt Ltd"/>
    <s v="Bharath Electonics Limited"/>
    <s v="Box Duct with TDF"/>
    <x v="11"/>
    <s v="Sqmt"/>
    <n v="85.7"/>
    <n v="585"/>
    <n v="50134.5"/>
  </r>
  <r>
    <s v="July"/>
    <d v="2024-07-17T00:00:00"/>
    <n v="61237"/>
    <n v="43681"/>
    <s v="Aircon Ref Pvt Ltd"/>
    <s v="Bharath Electonics Limited"/>
    <s v="Box Duct with TDF"/>
    <x v="12"/>
    <s v="Sqmt"/>
    <n v="49.8"/>
    <n v="750"/>
    <n v="37350"/>
  </r>
  <r>
    <s v="July"/>
    <d v="2024-07-17T00:00:00"/>
    <n v="61227"/>
    <n v="43682"/>
    <s v="Knnd Associates Pvt Ltd"/>
    <s v="Google Rio Bengaluru"/>
    <s v="Box Duct with TDF"/>
    <x v="11"/>
    <s v="Sqmt"/>
    <n v="15.6"/>
    <n v="586"/>
    <n v="9141.6"/>
  </r>
  <r>
    <s v="July"/>
    <d v="2024-07-17T00:00:00"/>
    <n v="61227"/>
    <n v="43682"/>
    <s v="Knnd Associates Pvt Ltd"/>
    <s v="Google Rio Bengaluru"/>
    <s v="Box Duct with TDF"/>
    <x v="1"/>
    <s v="Sqmt"/>
    <n v="4.5999999999999996"/>
    <n v="920"/>
    <n v="4232"/>
  </r>
  <r>
    <s v="July"/>
    <d v="2024-07-17T00:00:00"/>
    <n v="61227"/>
    <n v="43682"/>
    <s v="Knnd Associates Pvt Ltd"/>
    <s v="Google Rio Bengaluru"/>
    <s v="Box Duct with TDF"/>
    <x v="2"/>
    <s v="Sqmt"/>
    <n v="31.3"/>
    <n v="1000"/>
    <n v="31300"/>
  </r>
  <r>
    <s v="July"/>
    <d v="2024-07-17T00:00:00"/>
    <n v="61227"/>
    <n v="43682"/>
    <s v="Knnd Associates Pvt Ltd"/>
    <s v="Google Rio Bengaluru"/>
    <s v="Spiral Oval Duct"/>
    <x v="5"/>
    <s v="Sqmt"/>
    <n v="18.2"/>
    <n v="670"/>
    <n v="12194"/>
  </r>
  <r>
    <s v="July"/>
    <d v="2024-07-17T00:00:00"/>
    <n v="61227"/>
    <n v="43682"/>
    <s v="Knnd Associates Pvt Ltd"/>
    <s v="Google Rio Bengaluru"/>
    <s v="Spiral Oval Duct"/>
    <x v="6"/>
    <s v="Sqmt"/>
    <n v="7.6"/>
    <n v="765"/>
    <n v="5814"/>
  </r>
  <r>
    <s v="July"/>
    <d v="2024-07-17T00:00:00"/>
    <n v="61227"/>
    <n v="43682"/>
    <s v="Knnd Associates Pvt Ltd"/>
    <s v="Google Rio Bengaluru"/>
    <s v="Spiral Oval Duct"/>
    <x v="7"/>
    <s v="Sqmt"/>
    <n v="56.4"/>
    <n v="965"/>
    <n v="54426"/>
  </r>
  <r>
    <s v="July"/>
    <d v="2024-07-17T00:00:00"/>
    <n v="61227"/>
    <n v="43682"/>
    <s v="Knnd Associates Pvt Ltd"/>
    <s v="Google Rio Bengaluru"/>
    <s v="Spiral Oval Coupling"/>
    <x v="7"/>
    <s v="Sqmt"/>
    <n v="2.5"/>
    <n v="861"/>
    <n v="2152.5"/>
  </r>
  <r>
    <s v="July"/>
    <d v="2024-07-17T00:00:00"/>
    <n v="61227"/>
    <n v="43682"/>
    <s v="Knnd Associates Pvt Ltd"/>
    <s v="Google Rio Bengaluru"/>
    <s v="Insulation"/>
    <x v="8"/>
    <s v="Sqmt"/>
    <n v="78.3"/>
    <n v="266"/>
    <n v="20827.8"/>
  </r>
  <r>
    <s v="July"/>
    <d v="2024-07-17T00:00:00"/>
    <n v="61227"/>
    <n v="43682"/>
    <s v="Knnd Associates Pvt Ltd"/>
    <s v="Google Rio Bengaluru"/>
    <s v="Insulation"/>
    <x v="38"/>
    <s v="Sqmt"/>
    <n v="57.9"/>
    <n v="791"/>
    <n v="45798.9"/>
  </r>
  <r>
    <s v="July"/>
    <d v="2024-07-17T00:00:00"/>
    <n v="61227"/>
    <n v="43682"/>
    <s v="Knnd Associates Pvt Ltd"/>
    <s v="Google Rio Bengaluru"/>
    <s v="10mm JTR"/>
    <x v="10"/>
    <s v="Rmt"/>
    <n v="7.5"/>
    <n v="110"/>
    <n v="825"/>
  </r>
  <r>
    <s v="July"/>
    <d v="2024-07-17T00:00:00"/>
    <n v="61227"/>
    <n v="43682"/>
    <s v="Knnd Associates Pvt Ltd"/>
    <s v="Google Rio Bengaluru"/>
    <s v="Stretch Film"/>
    <x v="4"/>
    <s v="Sqmt"/>
    <n v="150"/>
    <n v="15"/>
    <n v="2250"/>
  </r>
  <r>
    <s v="July"/>
    <d v="2024-07-17T00:00:00"/>
    <n v="61227"/>
    <n v="43682"/>
    <s v="Knnd Associates Pvt Ltd"/>
    <s v="Google Rio Bengaluru"/>
    <s v="VCD (Alu. Blade)"/>
    <x v="2"/>
    <s v="Sqmt"/>
    <n v="0.2"/>
    <n v="7200"/>
    <n v="1440"/>
  </r>
  <r>
    <s v="July"/>
    <d v="2024-07-17T00:00:00"/>
    <n v="61227"/>
    <n v="43683"/>
    <s v="Knnd Associates Pvt Ltd"/>
    <s v="Google Rio Bengaluru"/>
    <s v="Box Duct with TDF"/>
    <x v="11"/>
    <s v="Sqmt"/>
    <n v="22"/>
    <n v="586"/>
    <n v="12892"/>
  </r>
  <r>
    <s v="July"/>
    <d v="2024-07-17T00:00:00"/>
    <n v="61227"/>
    <n v="43683"/>
    <s v="Knnd Associates Pvt Ltd"/>
    <s v="Google Rio Bengaluru"/>
    <s v="Box Duct with TDF"/>
    <x v="1"/>
    <s v="Sqmt"/>
    <n v="17.5"/>
    <n v="920"/>
    <n v="16100"/>
  </r>
  <r>
    <s v="July"/>
    <d v="2024-07-17T00:00:00"/>
    <n v="61227"/>
    <n v="43683"/>
    <s v="Knnd Associates Pvt Ltd"/>
    <s v="Google Rio Bengaluru"/>
    <s v="Box Duct with TDF"/>
    <x v="2"/>
    <s v="Sqmt"/>
    <n v="88.199999999999989"/>
    <n v="1000"/>
    <n v="88199.999999999985"/>
  </r>
  <r>
    <s v="July"/>
    <d v="2024-07-17T00:00:00"/>
    <n v="61227"/>
    <n v="43683"/>
    <s v="Knnd Associates Pvt Ltd"/>
    <s v="Google Rio Bengaluru"/>
    <s v="Insulation"/>
    <x v="8"/>
    <s v="Sqmt"/>
    <n v="19.100000000000001"/>
    <n v="266"/>
    <n v="5080.6000000000004"/>
  </r>
  <r>
    <s v="July"/>
    <d v="2024-07-17T00:00:00"/>
    <n v="61227"/>
    <n v="43683"/>
    <s v="Knnd Associates Pvt Ltd"/>
    <s v="Google Rio Bengaluru"/>
    <s v="Insulation"/>
    <x v="38"/>
    <s v="Sqmt"/>
    <n v="67.599999999999994"/>
    <n v="791"/>
    <n v="53471.6"/>
  </r>
  <r>
    <s v="July"/>
    <d v="2024-07-17T00:00:00"/>
    <n v="61227"/>
    <n v="43683"/>
    <s v="Knnd Associates Pvt Ltd"/>
    <s v="Google Rio Bengaluru"/>
    <s v="VCD (Alu. Blade)"/>
    <x v="2"/>
    <s v="Sqmt"/>
    <n v="2.2000000000000002"/>
    <n v="7200"/>
    <n v="15840.000000000002"/>
  </r>
  <r>
    <s v="July"/>
    <d v="2024-07-17T00:00:00"/>
    <n v="61227"/>
    <n v="43683"/>
    <s v="Knnd Associates Pvt Ltd"/>
    <s v="Google Rio Bengaluru"/>
    <s v="Stretch Film"/>
    <x v="4"/>
    <s v="Sqmt"/>
    <n v="130"/>
    <n v="15"/>
    <n v="1950"/>
  </r>
  <r>
    <s v="July"/>
    <d v="2024-07-17T00:00:00"/>
    <n v="61227"/>
    <n v="43684"/>
    <s v="Knnd Associates Pvt Ltd"/>
    <s v="Google Rio Bengaluru"/>
    <s v="Plain Sheet"/>
    <x v="11"/>
    <s v="Sqmt"/>
    <n v="18"/>
    <n v="448"/>
    <n v="8064"/>
  </r>
  <r>
    <s v="July"/>
    <d v="2024-07-17T00:00:00"/>
    <n v="60965"/>
    <n v="43685"/>
    <s v="Knnd Associates Pvt Ltd"/>
    <s v="MUJ Hostel Block"/>
    <s v="Box Duct with TDF"/>
    <x v="12"/>
    <s v="Sqmt"/>
    <n v="282"/>
    <n v="770"/>
    <n v="217140"/>
  </r>
  <r>
    <s v="July"/>
    <d v="2024-07-17T00:00:00"/>
    <n v="60965"/>
    <n v="43685"/>
    <s v="Knnd Associates Pvt Ltd"/>
    <s v="MUJ Hostel Block"/>
    <s v="Insulation"/>
    <x v="36"/>
    <s v="Sqmt"/>
    <n v="282"/>
    <n v="580"/>
    <n v="163560"/>
  </r>
  <r>
    <s v="July"/>
    <d v="2024-07-17T00:00:00"/>
    <n v="61204"/>
    <n v="43686"/>
    <s v="Knnd Associates Pvt Ltd"/>
    <s v="MUJ Girls Food Court"/>
    <s v="Box Duct with TDF"/>
    <x v="11"/>
    <s v="Sqmt"/>
    <n v="3.8"/>
    <n v="586"/>
    <n v="2226.7999999999997"/>
  </r>
  <r>
    <s v="July"/>
    <d v="2024-07-17T00:00:00"/>
    <n v="61204"/>
    <n v="43686"/>
    <s v="Knnd Associates Pvt Ltd"/>
    <s v="MUJ Girls Food Court"/>
    <s v="Box Duct with TDF"/>
    <x v="12"/>
    <s v="Sqmt"/>
    <n v="10.5"/>
    <n v="755"/>
    <n v="7927.5"/>
  </r>
  <r>
    <s v="July"/>
    <d v="2024-07-17T00:00:00"/>
    <n v="61204"/>
    <n v="43686"/>
    <s v="Knnd Associates Pvt Ltd"/>
    <s v="MUJ Girls Food Court"/>
    <s v="Insulation"/>
    <x v="28"/>
    <s v="Sqmt"/>
    <n v="1.5"/>
    <n v="415"/>
    <n v="622.5"/>
  </r>
  <r>
    <s v="July"/>
    <d v="2024-07-17T00:00:00"/>
    <n v="61224"/>
    <n v="43687"/>
    <s v="Knnd Associates Pvt Ltd"/>
    <s v="MUJ Academic Side Switch Room"/>
    <s v="Box Duct with TDF"/>
    <x v="11"/>
    <s v="Sqmt"/>
    <n v="76.599999999999994"/>
    <n v="586"/>
    <n v="44887.6"/>
  </r>
  <r>
    <s v="July"/>
    <d v="2024-07-17T00:00:00"/>
    <n v="61224"/>
    <n v="43687"/>
    <s v="Knnd Associates Pvt Ltd"/>
    <s v="MUJ Academic Side Switch Room"/>
    <s v="Insulation"/>
    <x v="22"/>
    <s v="Sqmt"/>
    <n v="76.599999999999994"/>
    <n v="345"/>
    <n v="26426.999999999996"/>
  </r>
  <r>
    <s v="July"/>
    <d v="2024-07-17T00:00:00"/>
    <n v="61224"/>
    <n v="43687"/>
    <s v="Knnd Associates Pvt Ltd"/>
    <s v="MUJ Academic Side Switch Room"/>
    <s v="VCD (Alu. Blade)"/>
    <x v="1"/>
    <s v="Sqmt"/>
    <n v="2.2999999999999998"/>
    <n v="5200"/>
    <n v="11959.999999999998"/>
  </r>
  <r>
    <s v="July"/>
    <d v="2024-07-17T00:00:00"/>
    <n v="61224"/>
    <n v="43687"/>
    <s v="Knnd Associates Pvt Ltd"/>
    <s v="MUJ Academic Side Switch Room"/>
    <s v="Insulation Flange"/>
    <x v="18"/>
    <s v="Nos"/>
    <n v="65"/>
    <n v="153"/>
    <n v="9945"/>
  </r>
  <r>
    <s v="July"/>
    <d v="2024-07-17T00:00:00"/>
    <n v="61224"/>
    <n v="43687"/>
    <s v="Knnd Associates Pvt Ltd"/>
    <s v="MUJ Academic Side Switch Room"/>
    <s v="Insulation Flange"/>
    <x v="22"/>
    <s v="Sqmt"/>
    <n v="100.8"/>
    <n v="195"/>
    <n v="19656"/>
  </r>
  <r>
    <s v="July"/>
    <d v="2024-07-17T00:00:00"/>
    <n v="61224"/>
    <n v="43687"/>
    <s v="Knnd Associates Pvt Ltd"/>
    <s v="MUJ Academic Side Switch Room"/>
    <s v="Stretch Film"/>
    <x v="4"/>
    <s v="Sqmt"/>
    <n v="80"/>
    <n v="15"/>
    <n v="1200"/>
  </r>
  <r>
    <s v="July"/>
    <d v="2024-07-17T00:00:00"/>
    <n v="61225"/>
    <n v="43688"/>
    <s v="Knnd Associates Pvt Ltd"/>
    <s v="MUJ Hostel Block"/>
    <s v="Box Duct with TDF"/>
    <x v="12"/>
    <s v="Sqmt"/>
    <n v="109.3"/>
    <n v="755"/>
    <n v="82521.5"/>
  </r>
  <r>
    <s v="July"/>
    <d v="2024-07-17T00:00:00"/>
    <n v="61225"/>
    <n v="43688"/>
    <s v="Knnd Associates Pvt Ltd"/>
    <s v="MUJ Hostel Block"/>
    <s v="Box Duct with TDF"/>
    <x v="27"/>
    <s v="Sqmt"/>
    <n v="10.8"/>
    <n v="1275"/>
    <n v="13770"/>
  </r>
  <r>
    <s v="July"/>
    <d v="2024-07-17T00:00:00"/>
    <n v="61225"/>
    <n v="43688"/>
    <s v="Knnd Associates Pvt Ltd"/>
    <s v="MUJ Hostel Block"/>
    <s v="Insulation"/>
    <x v="22"/>
    <s v="Sqmt"/>
    <n v="10.8"/>
    <n v="345"/>
    <n v="3726.0000000000005"/>
  </r>
  <r>
    <s v="July"/>
    <d v="2024-07-17T00:00:00"/>
    <n v="61225"/>
    <n v="43688"/>
    <s v="Knnd Associates Pvt Ltd"/>
    <s v="MUJ Hostel Block"/>
    <s v="Spigot 200mm Dia"/>
    <x v="12"/>
    <s v="Nos"/>
    <n v="126"/>
    <n v="345"/>
    <n v="43470"/>
  </r>
  <r>
    <s v="July"/>
    <d v="2024-07-17T00:00:00"/>
    <n v="61230"/>
    <n v="43689"/>
    <s v="Knnd Associates Pvt Ltd"/>
    <s v="MUJ Computer Lab"/>
    <s v="Box Duct with TDF"/>
    <x v="11"/>
    <s v="Sqmt"/>
    <n v="104.8"/>
    <n v="586"/>
    <n v="61412.799999999996"/>
  </r>
  <r>
    <s v="July"/>
    <d v="2024-07-17T00:00:00"/>
    <n v="61230"/>
    <n v="43689"/>
    <s v="Knnd Associates Pvt Ltd"/>
    <s v="MUJ Computer Lab"/>
    <s v="Box Duct with TDF"/>
    <x v="12"/>
    <s v="Sqmt"/>
    <n v="7"/>
    <n v="755"/>
    <n v="5285"/>
  </r>
  <r>
    <s v="July"/>
    <d v="2024-07-17T00:00:00"/>
    <n v="61230"/>
    <n v="43689"/>
    <s v="Knnd Associates Pvt Ltd"/>
    <s v="MUJ Computer Lab"/>
    <s v="Mixing Box (375x375x375H)"/>
    <x v="11"/>
    <s v="Nos"/>
    <n v="32"/>
    <n v="470"/>
    <n v="15040"/>
  </r>
  <r>
    <s v="July"/>
    <d v="2024-07-17T00:00:00"/>
    <n v="61230"/>
    <n v="43689"/>
    <s v="Knnd Associates Pvt Ltd"/>
    <s v="MUJ Computer Lab"/>
    <s v="Insulation"/>
    <x v="22"/>
    <s v="Sqmt"/>
    <n v="100.9884058"/>
    <n v="345"/>
    <n v="34841.000001"/>
  </r>
  <r>
    <s v="July"/>
    <d v="2024-07-17T00:00:00"/>
    <n v="61230"/>
    <n v="43689"/>
    <s v="Knnd Associates Pvt Ltd"/>
    <s v="MUJ Computer Lab"/>
    <s v="Insulation"/>
    <x v="37"/>
    <s v="Sqmt"/>
    <n v="34"/>
    <n v="876"/>
    <n v="29784"/>
  </r>
  <r>
    <s v="July"/>
    <d v="2024-07-17T00:00:00"/>
    <n v="61230"/>
    <n v="43689"/>
    <s v="Knnd Associates Pvt Ltd"/>
    <s v="MUJ Computer Lab"/>
    <s v="Spigot 250mm Dia"/>
    <x v="12"/>
    <s v="Nos"/>
    <n v="32"/>
    <n v="405"/>
    <n v="12960"/>
  </r>
  <r>
    <s v="July"/>
    <d v="2024-07-17T00:00:00"/>
    <n v="61230"/>
    <n v="43689"/>
    <s v="Knnd Associates Pvt Ltd"/>
    <s v="MUJ Computer Lab"/>
    <s v="Stretch Film"/>
    <x v="4"/>
    <s v="Sqmt"/>
    <n v="120"/>
    <n v="15"/>
    <n v="1800"/>
  </r>
  <r>
    <s v="July"/>
    <d v="2024-07-17T00:00:00"/>
    <n v="61186"/>
    <n v="43690"/>
    <s v="Knnd Associates Pvt Ltd"/>
    <s v="Manipal South Bangalore"/>
    <s v="Box Duct with TDF"/>
    <x v="11"/>
    <s v="Sqmt"/>
    <n v="233.20000000000002"/>
    <n v="595"/>
    <n v="138754"/>
  </r>
  <r>
    <s v="July"/>
    <d v="2024-07-17T00:00:00"/>
    <n v="61186"/>
    <n v="43690"/>
    <s v="Knnd Associates Pvt Ltd"/>
    <s v="Manipal South Bangalore"/>
    <s v="Insulation"/>
    <x v="16"/>
    <s v="Sqmt"/>
    <n v="215.9"/>
    <n v="275"/>
    <n v="59372.5"/>
  </r>
  <r>
    <s v="July"/>
    <d v="2024-07-17T00:00:00"/>
    <n v="61186"/>
    <n v="43690"/>
    <s v="Knnd Associates Pvt Ltd"/>
    <s v="Manipal South Bangalore"/>
    <s v="Stretch Film"/>
    <x v="4"/>
    <s v="Sqmt"/>
    <n v="220"/>
    <n v="15"/>
    <n v="3300"/>
  </r>
  <r>
    <s v="July"/>
    <d v="2024-07-17T00:00:00"/>
    <n v="61241"/>
    <n v="43691"/>
    <s v="Knnd Associates Pvt Ltd"/>
    <s v="Infosys Coimbatore"/>
    <s v="Insulation Flange"/>
    <x v="43"/>
    <s v="Sqmt"/>
    <n v="312"/>
    <n v="560"/>
    <n v="174720"/>
  </r>
  <r>
    <s v="July"/>
    <d v="2024-07-18T00:00:00"/>
    <n v="61186"/>
    <n v="43692"/>
    <s v="Knnd Associates Pvt Ltd"/>
    <s v="Manipal South Bangalore"/>
    <s v="Box Duct with TDF"/>
    <x v="11"/>
    <s v="Sqmt"/>
    <n v="170.8"/>
    <n v="595"/>
    <n v="101626"/>
  </r>
  <r>
    <s v="July"/>
    <d v="2024-07-18T00:00:00"/>
    <n v="61186"/>
    <n v="43692"/>
    <s v="Knnd Associates Pvt Ltd"/>
    <s v="Manipal South Bangalore"/>
    <s v="Box Duct with TDF"/>
    <x v="12"/>
    <s v="Sqmt"/>
    <n v="2.7"/>
    <n v="760"/>
    <n v="2052"/>
  </r>
  <r>
    <s v="July"/>
    <d v="2024-07-18T00:00:00"/>
    <n v="61186"/>
    <n v="43692"/>
    <s v="Knnd Associates Pvt Ltd"/>
    <s v="Manipal South Bangalore"/>
    <s v="Insulation"/>
    <x v="16"/>
    <s v="Sqmt"/>
    <n v="173.5"/>
    <n v="275"/>
    <n v="47712.5"/>
  </r>
  <r>
    <s v="July"/>
    <d v="2024-07-18T00:00:00"/>
    <n v="61186"/>
    <n v="43692"/>
    <s v="Knnd Associates Pvt Ltd"/>
    <s v="Manipal South Bangalore"/>
    <s v="Stretch Film"/>
    <x v="4"/>
    <s v="Sqmt"/>
    <n v="175"/>
    <n v="15"/>
    <n v="2625"/>
  </r>
  <r>
    <s v="July"/>
    <d v="2024-07-18T00:00:00"/>
    <n v="61186"/>
    <n v="43692"/>
    <s v="Knnd Associates Pvt Ltd"/>
    <s v="Manipal South Bangalore"/>
    <s v="VCD (Alu. Blade)"/>
    <x v="2"/>
    <s v="Sqmt"/>
    <n v="5.3"/>
    <n v="5720"/>
    <n v="30316"/>
  </r>
  <r>
    <s v="July"/>
    <d v="2024-07-18T00:00:00"/>
    <n v="61208"/>
    <n v="43693"/>
    <s v="Knnd Associates Pvt Ltd"/>
    <s v="Schneider Bangalore"/>
    <s v="Box Duct with TDF (L-shape)"/>
    <x v="11"/>
    <s v="Sqmt"/>
    <n v="571.20000000000005"/>
    <n v="586"/>
    <n v="334723.20000000001"/>
  </r>
  <r>
    <s v="July"/>
    <d v="2024-07-18T00:00:00"/>
    <n v="61208"/>
    <n v="43693"/>
    <s v="Knnd Associates Pvt Ltd"/>
    <s v="Schneider Bangalore"/>
    <s v="Box Duct with TDF"/>
    <x v="11"/>
    <s v="Sqmt"/>
    <n v="52.6"/>
    <n v="586"/>
    <n v="30823.600000000002"/>
  </r>
  <r>
    <s v="July"/>
    <d v="2024-07-18T00:00:00"/>
    <n v="61238"/>
    <n v="43694"/>
    <s v="Aircon Ref Pvt Ltd"/>
    <s v="Mall of Asia Bangalore"/>
    <s v="Box Duct with TDF"/>
    <x v="11"/>
    <s v="Sqmt"/>
    <n v="37.4"/>
    <n v="585"/>
    <n v="21879"/>
  </r>
  <r>
    <s v="July"/>
    <d v="2024-07-19T00:00:00"/>
    <n v="61226"/>
    <n v="43695"/>
    <s v="Knnd Associates Pvt Ltd"/>
    <s v="Chanakya University AB2"/>
    <s v="Box Duct with TDF"/>
    <x v="11"/>
    <s v="Sqmt"/>
    <n v="158.69999999999999"/>
    <n v="586"/>
    <n v="92998.2"/>
  </r>
  <r>
    <s v="July"/>
    <d v="2024-07-19T00:00:00"/>
    <n v="61226"/>
    <n v="43695"/>
    <s v="Knnd Associates Pvt Ltd"/>
    <s v="Chanakya University AB2"/>
    <s v="Box Duct with TDF"/>
    <x v="12"/>
    <s v="Sqmt"/>
    <n v="48.7"/>
    <n v="755"/>
    <n v="36768.5"/>
  </r>
  <r>
    <s v="July"/>
    <d v="2024-07-19T00:00:00"/>
    <n v="61226"/>
    <n v="43695"/>
    <s v="Knnd Associates Pvt Ltd"/>
    <s v="Chanakya University AB2"/>
    <s v="Insulation"/>
    <x v="22"/>
    <s v="Sqmt"/>
    <n v="160"/>
    <n v="345"/>
    <n v="55200"/>
  </r>
  <r>
    <s v="July"/>
    <d v="2024-07-19T00:00:00"/>
    <n v="61226"/>
    <n v="43695"/>
    <s v="Knnd Associates Pvt Ltd"/>
    <s v="Chanakya University AB2"/>
    <s v="VCD (Alu. Blade)"/>
    <x v="1"/>
    <s v="Sqmt"/>
    <n v="1.9"/>
    <n v="5200"/>
    <n v="9880"/>
  </r>
  <r>
    <s v="July"/>
    <d v="2024-07-19T00:00:00"/>
    <n v="61226"/>
    <n v="43695"/>
    <s v="Knnd Associates Pvt Ltd"/>
    <s v="Chanakya University AB2"/>
    <s v="Spigot 150mm Dia"/>
    <x v="12"/>
    <s v="Nos"/>
    <n v="46"/>
    <n v="295"/>
    <n v="13570"/>
  </r>
  <r>
    <s v="July"/>
    <d v="2024-07-19T00:00:00"/>
    <n v="61226"/>
    <n v="43695"/>
    <s v="Knnd Associates Pvt Ltd"/>
    <s v="Chanakya University AB2"/>
    <s v="Spigot 250mm Dia"/>
    <x v="12"/>
    <s v="Nos"/>
    <n v="8"/>
    <n v="405"/>
    <n v="3240"/>
  </r>
  <r>
    <s v="July"/>
    <d v="2024-07-19T00:00:00"/>
    <n v="61226"/>
    <n v="43695"/>
    <s v="Knnd Associates Pvt Ltd"/>
    <s v="Chanakya University AB2"/>
    <s v="Stretch Film"/>
    <x v="4"/>
    <s v="Sqmt"/>
    <n v="165"/>
    <n v="15"/>
    <n v="2475"/>
  </r>
  <r>
    <s v="July"/>
    <d v="2024-07-19T00:00:00"/>
    <n v="61231"/>
    <n v="43696"/>
    <s v="Knnd Associates Pvt Ltd"/>
    <s v="Chanakya University AB2"/>
    <s v="Spigot 150mm Dia"/>
    <x v="12"/>
    <s v="Nos"/>
    <n v="36"/>
    <n v="295"/>
    <n v="10620"/>
  </r>
  <r>
    <s v="July"/>
    <d v="2024-07-19T00:00:00"/>
    <n v="61231"/>
    <n v="43696"/>
    <s v="Knnd Associates Pvt Ltd"/>
    <s v="Chanakya University AB2"/>
    <s v="Spigot 200mm Dia"/>
    <x v="12"/>
    <s v="Nos"/>
    <n v="10"/>
    <n v="345"/>
    <n v="3450"/>
  </r>
  <r>
    <s v="July"/>
    <d v="2024-07-19T00:00:00"/>
    <n v="61199"/>
    <n v="43697"/>
    <s v="Knnd Associates Pvt Ltd"/>
    <s v="Chanakya University AB2"/>
    <s v="Spigot 150mm Dia"/>
    <x v="12"/>
    <s v="Nos"/>
    <n v="50"/>
    <n v="290"/>
    <n v="14500"/>
  </r>
  <r>
    <s v="July"/>
    <d v="2024-07-19T00:00:00"/>
    <n v="61226"/>
    <n v="43698"/>
    <s v="Knnd Associates Pvt Ltd"/>
    <s v="Chanakya University AB2"/>
    <s v="Box Duct with TDF"/>
    <x v="11"/>
    <s v="Sqmt"/>
    <n v="32.299999999999997"/>
    <n v="586"/>
    <n v="18927.8"/>
  </r>
  <r>
    <s v="July"/>
    <d v="2024-07-19T00:00:00"/>
    <n v="61226"/>
    <n v="43698"/>
    <s v="Knnd Associates Pvt Ltd"/>
    <s v="Chanakya University AB2"/>
    <s v="Insulation"/>
    <x v="22"/>
    <s v="Sqmt"/>
    <n v="9.9"/>
    <n v="345"/>
    <n v="3415.5"/>
  </r>
  <r>
    <s v="July"/>
    <d v="2024-07-19T00:00:00"/>
    <n v="61226"/>
    <n v="43698"/>
    <s v="Knnd Associates Pvt Ltd"/>
    <s v="Chanakya University AB2"/>
    <s v="Insulation Flange"/>
    <x v="18"/>
    <s v="Nos"/>
    <n v="40"/>
    <n v="153"/>
    <n v="6120"/>
  </r>
  <r>
    <s v="July"/>
    <d v="2024-07-19T00:00:00"/>
    <n v="61226"/>
    <n v="43698"/>
    <s v="Knnd Associates Pvt Ltd"/>
    <s v="Chanakya University AB2"/>
    <s v="Stretch Film"/>
    <x v="4"/>
    <s v="Sqmt"/>
    <n v="10"/>
    <n v="15"/>
    <n v="150"/>
  </r>
  <r>
    <s v="July"/>
    <d v="2024-07-19T00:00:00"/>
    <n v="61240"/>
    <n v="43699"/>
    <s v="Knnd Associates Pvt Ltd"/>
    <s v="KMC Attavara Mangalore"/>
    <s v="Box Duct with TDF"/>
    <x v="11"/>
    <s v="Sqmt"/>
    <n v="10.1"/>
    <n v="586"/>
    <n v="5918.5999999999995"/>
  </r>
  <r>
    <s v="July"/>
    <d v="2024-07-19T00:00:00"/>
    <n v="61240"/>
    <n v="43699"/>
    <s v="Knnd Associates Pvt Ltd"/>
    <s v="KMC Attavara Mangalore"/>
    <s v="Box Duct with TDF"/>
    <x v="12"/>
    <s v="Sqmt"/>
    <n v="49.4"/>
    <n v="755"/>
    <n v="37297"/>
  </r>
  <r>
    <s v="July"/>
    <d v="2024-07-19T00:00:00"/>
    <n v="61240"/>
    <n v="43699"/>
    <s v="Knnd Associates Pvt Ltd"/>
    <s v="KMC Attavara Mangalore"/>
    <s v="Plain Sheet"/>
    <x v="11"/>
    <s v="Sqmt"/>
    <n v="45"/>
    <n v="448"/>
    <n v="20160"/>
  </r>
  <r>
    <s v="July"/>
    <d v="2024-07-19T00:00:00"/>
    <n v="61240"/>
    <n v="43699"/>
    <s v="Knnd Associates Pvt Ltd"/>
    <s v="KMC Attavara Mangalore"/>
    <s v="Insulation"/>
    <x v="22"/>
    <s v="Sqmt"/>
    <n v="59.5"/>
    <n v="345"/>
    <n v="20527.5"/>
  </r>
  <r>
    <s v="July"/>
    <d v="2024-07-19T00:00:00"/>
    <n v="61240"/>
    <n v="43699"/>
    <s v="Knnd Associates Pvt Ltd"/>
    <s v="KMC Attavara Mangalore"/>
    <s v="Insulation Flange"/>
    <x v="25"/>
    <s v="Sqmt"/>
    <n v="60.4"/>
    <n v="195"/>
    <n v="11778"/>
  </r>
  <r>
    <s v="July"/>
    <d v="2024-07-19T00:00:00"/>
    <n v="61240"/>
    <n v="43699"/>
    <s v="Knnd Associates Pvt Ltd"/>
    <s v="KMC Attavara Mangalore"/>
    <s v="Stretch Film"/>
    <x v="4"/>
    <s v="Sqmt"/>
    <n v="60"/>
    <n v="15"/>
    <n v="900"/>
  </r>
  <r>
    <s v="July"/>
    <d v="2024-07-19T00:00:00"/>
    <n v="61240"/>
    <n v="43700"/>
    <s v="Knnd Associates Pvt Ltd"/>
    <s v="MAHE-BQ Canteen Exhaust Manipal"/>
    <s v="Box Duct with TDF"/>
    <x v="11"/>
    <s v="Sqmt"/>
    <n v="13.7"/>
    <n v="586"/>
    <n v="8028.2"/>
  </r>
  <r>
    <s v="July"/>
    <d v="2024-07-19T00:00:00"/>
    <n v="61240"/>
    <n v="43700"/>
    <s v="Knnd Associates Pvt Ltd"/>
    <s v="MAHE-BQ Canteen Exhaust Manipal"/>
    <s v="Box Duct with TDF"/>
    <x v="12"/>
    <s v="Sqmt"/>
    <n v="19.899999999999999"/>
    <n v="755"/>
    <n v="15024.499999999998"/>
  </r>
  <r>
    <s v="July"/>
    <d v="2024-07-19T00:00:00"/>
    <n v="61240"/>
    <n v="43700"/>
    <s v="Knnd Associates Pvt Ltd"/>
    <s v="MAHE-BQ Canteen Exhaust Manipal"/>
    <s v="VCD (Alu. Blade)"/>
    <x v="1"/>
    <s v="Sqmt"/>
    <n v="1.4"/>
    <n v="5200"/>
    <n v="7279.9999999999991"/>
  </r>
  <r>
    <s v="July"/>
    <d v="2024-07-19T00:00:00"/>
    <n v="61239"/>
    <n v="43701"/>
    <s v="Knnd Associates Pvt Ltd"/>
    <s v="MAHE-CIF Block Manipal"/>
    <s v="Box Duct with TDF"/>
    <x v="11"/>
    <s v="Sqmt"/>
    <n v="55.5"/>
    <n v="586"/>
    <n v="32523"/>
  </r>
  <r>
    <s v="July"/>
    <d v="2024-07-19T00:00:00"/>
    <n v="61239"/>
    <n v="43701"/>
    <s v="Knnd Associates Pvt Ltd"/>
    <s v="MAHE-CIF Block Manipal"/>
    <s v="VCD (Alu. Blade)"/>
    <x v="1"/>
    <s v="Sqmt"/>
    <n v="0.6"/>
    <n v="5200"/>
    <n v="3120"/>
  </r>
  <r>
    <s v="July"/>
    <d v="2024-07-19T00:00:00"/>
    <n v="61239"/>
    <n v="43701"/>
    <s v="Knnd Associates Pvt Ltd"/>
    <s v="MAHE-CIF Block Manipal"/>
    <s v="Insulation"/>
    <x v="22"/>
    <s v="Sqmt"/>
    <n v="51.9"/>
    <n v="345"/>
    <n v="17905.5"/>
  </r>
  <r>
    <s v="July"/>
    <d v="2024-07-19T00:00:00"/>
    <n v="61239"/>
    <n v="43701"/>
    <s v="Knnd Associates Pvt Ltd"/>
    <s v="MAHE-CIF Block Manipal"/>
    <s v="Insulation"/>
    <x v="37"/>
    <s v="Sqmt"/>
    <n v="5.2"/>
    <n v="876"/>
    <n v="4555.2"/>
  </r>
  <r>
    <s v="July"/>
    <d v="2024-07-19T00:00:00"/>
    <n v="61239"/>
    <n v="43701"/>
    <s v="Knnd Associates Pvt Ltd"/>
    <s v="MAHE-CIF Block Manipal"/>
    <s v="Spigot 150mm Dia"/>
    <x v="12"/>
    <s v="Nos"/>
    <n v="20"/>
    <n v="295"/>
    <n v="5900"/>
  </r>
  <r>
    <s v="July"/>
    <d v="2024-07-19T00:00:00"/>
    <n v="61239"/>
    <n v="43701"/>
    <s v="Knnd Associates Pvt Ltd"/>
    <s v="MAHE-CIF Block Manipal"/>
    <s v="Spigot 200mm Dia"/>
    <x v="12"/>
    <s v="Nos"/>
    <n v="3"/>
    <n v="345"/>
    <n v="1035"/>
  </r>
  <r>
    <s v="July"/>
    <d v="2024-07-19T00:00:00"/>
    <n v="61239"/>
    <n v="43701"/>
    <s v="Knnd Associates Pvt Ltd"/>
    <s v="MAHE-CIF Block Manipal"/>
    <s v="Insulation Flange"/>
    <x v="22"/>
    <s v="Sqmt"/>
    <n v="10"/>
    <n v="195"/>
    <n v="1950"/>
  </r>
  <r>
    <s v="July"/>
    <d v="2024-07-19T00:00:00"/>
    <n v="61239"/>
    <n v="43701"/>
    <s v="Knnd Associates Pvt Ltd"/>
    <s v="MAHE-CIF Block Manipal"/>
    <s v="Stretch Film"/>
    <x v="4"/>
    <s v="Sqmt"/>
    <n v="55"/>
    <n v="15"/>
    <n v="825"/>
  </r>
  <r>
    <s v="July"/>
    <d v="2024-07-19T00:00:00"/>
    <n v="61239"/>
    <n v="43701"/>
    <s v="Knnd Associates Pvt Ltd"/>
    <s v="MAHE-CIF Block Manipal"/>
    <s v="Mixing Box (350x350x350H)"/>
    <x v="11"/>
    <s v="Nos"/>
    <n v="2"/>
    <n v="560"/>
    <n v="1120"/>
  </r>
  <r>
    <s v="July"/>
    <d v="2024-07-19T00:00:00"/>
    <n v="61247"/>
    <n v="43702"/>
    <s v="Knnd Associates Pvt Ltd"/>
    <s v="Old WGSHA Manipal"/>
    <s v="Mixing Box (375x375x350H)"/>
    <x v="11"/>
    <s v="Nos"/>
    <n v="41"/>
    <n v="560"/>
    <n v="22960"/>
  </r>
  <r>
    <s v="July"/>
    <d v="2024-07-19T00:00:00"/>
    <n v="61247"/>
    <n v="43702"/>
    <s v="Knnd Associates Pvt Ltd"/>
    <s v="Old WGSHA Manipal"/>
    <s v="Insulation "/>
    <x v="25"/>
    <s v="Sqmt"/>
    <n v="32.799999999999997"/>
    <n v="345"/>
    <n v="11315.999999999998"/>
  </r>
  <r>
    <s v="July"/>
    <d v="2024-07-19T00:00:00"/>
    <n v="61247"/>
    <n v="43702"/>
    <s v="Knnd Associates Pvt Ltd"/>
    <s v="Old WGSHA Manipal"/>
    <s v="Spigot 250mm Dia"/>
    <x v="12"/>
    <s v="Nos"/>
    <n v="36"/>
    <n v="405"/>
    <n v="14580"/>
  </r>
  <r>
    <s v="July"/>
    <d v="2024-07-19T00:00:00"/>
    <n v="61247"/>
    <n v="43703"/>
    <s v="Knnd Associates Pvt Ltd"/>
    <s v="MAHE-Simulation Department"/>
    <s v="Mixing Box (450x450x350H)"/>
    <x v="11"/>
    <s v="Nos"/>
    <n v="5"/>
    <n v="620"/>
    <n v="3100"/>
  </r>
  <r>
    <s v="July"/>
    <d v="2024-07-19T00:00:00"/>
    <n v="61247"/>
    <n v="43703"/>
    <s v="Knnd Associates Pvt Ltd"/>
    <s v="MAHE-Simulation Department"/>
    <s v="Insulation "/>
    <x v="25"/>
    <s v="Sqmt"/>
    <n v="4.2753623190000001"/>
    <n v="345"/>
    <n v="1475.0000000550001"/>
  </r>
  <r>
    <s v="July"/>
    <d v="2024-07-19T00:00:00"/>
    <n v="61243"/>
    <n v="43704"/>
    <s v="Knnd Associates Pvt Ltd"/>
    <s v="MAHE -University Library"/>
    <s v="Mixing Box (375x375x350H)"/>
    <x v="11"/>
    <s v="Nos"/>
    <n v="15"/>
    <n v="560"/>
    <n v="8400"/>
  </r>
  <r>
    <s v="July"/>
    <d v="2024-07-19T00:00:00"/>
    <n v="61243"/>
    <n v="43704"/>
    <s v="Knnd Associates Pvt Ltd"/>
    <s v="MAHE -University Library"/>
    <s v="Insulation "/>
    <x v="25"/>
    <s v="Sqmt"/>
    <n v="15.434782609999999"/>
    <n v="345"/>
    <n v="5325.0000004499998"/>
  </r>
  <r>
    <s v="July"/>
    <d v="2024-07-19T00:00:00"/>
    <n v="61244"/>
    <n v="43705"/>
    <s v="Knnd Associates Pvt Ltd"/>
    <s v="MAHE-Finance Department"/>
    <s v="Mixing Box (375x375x350H)"/>
    <x v="11"/>
    <s v="Nos"/>
    <n v="2"/>
    <n v="560"/>
    <n v="1120"/>
  </r>
  <r>
    <s v="July"/>
    <d v="2024-07-19T00:00:00"/>
    <n v="61244"/>
    <n v="43705"/>
    <s v="Knnd Associates Pvt Ltd"/>
    <s v="MAHE-Finance Department"/>
    <s v="Insulation "/>
    <x v="25"/>
    <s v="Sqmt"/>
    <n v="2.057971014"/>
    <n v="345"/>
    <n v="709.99999982999998"/>
  </r>
  <r>
    <s v="July"/>
    <d v="2024-07-20T00:00:00"/>
    <n v="61251"/>
    <n v="43706"/>
    <s v="Knnd Associates Pvt Ltd"/>
    <s v="Infosys M&amp;C GF"/>
    <s v="Round Reducer (250x315mm Dia)"/>
    <x v="11"/>
    <s v="Sqmt"/>
    <n v="1.2"/>
    <n v="540"/>
    <n v="648"/>
  </r>
  <r>
    <s v="July"/>
    <d v="2024-07-20T00:00:00"/>
    <n v="61251"/>
    <n v="43706"/>
    <s v="Knnd Associates Pvt Ltd"/>
    <s v="Infosys M&amp;C GF"/>
    <s v="Insulation"/>
    <x v="16"/>
    <s v="Sqmt"/>
    <n v="1.2"/>
    <n v="280"/>
    <n v="336"/>
  </r>
  <r>
    <s v="July"/>
    <d v="2024-07-20T00:00:00"/>
    <n v="61137"/>
    <n v="43707"/>
    <s v="Knnd Associates Pvt Ltd"/>
    <s v="BVVS Bagalkot"/>
    <s v="Box Duct with TDF"/>
    <x v="11"/>
    <s v="Sqmt"/>
    <n v="644.4"/>
    <n v="590"/>
    <n v="380196"/>
  </r>
  <r>
    <s v="July"/>
    <d v="2024-07-20T00:00:00"/>
    <n v="61137"/>
    <n v="43707"/>
    <s v="Knnd Associates Pvt Ltd"/>
    <s v="BVVS Bagalkot"/>
    <s v="Box Duct with TDF"/>
    <x v="12"/>
    <s v="Sqmt"/>
    <n v="38"/>
    <n v="760"/>
    <n v="28880"/>
  </r>
  <r>
    <s v="July"/>
    <d v="2024-07-20T00:00:00"/>
    <n v="61137"/>
    <n v="43707"/>
    <s v="Knnd Associates Pvt Ltd"/>
    <s v="BVVS Bagalkot"/>
    <s v="Round Flange"/>
    <x v="11"/>
    <s v="Nos"/>
    <n v="53"/>
    <n v="60"/>
    <n v="3180"/>
  </r>
  <r>
    <s v="July"/>
    <d v="2024-07-20T00:00:00"/>
    <n v="61137"/>
    <n v="43707"/>
    <s v="Knnd Associates Pvt Ltd"/>
    <s v="BVVS Bagalkot"/>
    <s v="Insulation"/>
    <x v="14"/>
    <s v="Sqmt"/>
    <n v="135.4"/>
    <n v="408"/>
    <n v="55243.200000000004"/>
  </r>
  <r>
    <s v="July"/>
    <d v="2024-07-20T00:00:00"/>
    <n v="61137"/>
    <n v="43707"/>
    <s v="Knnd Associates Pvt Ltd"/>
    <s v="BVVS Bagalkot"/>
    <s v="Insulation"/>
    <x v="15"/>
    <s v="Sqmt"/>
    <n v="10.5"/>
    <n v="615"/>
    <n v="6457.5"/>
  </r>
  <r>
    <s v="July"/>
    <d v="2024-07-20T00:00:00"/>
    <n v="61137"/>
    <n v="43707"/>
    <s v="Knnd Associates Pvt Ltd"/>
    <s v="BVVS Bagalkot"/>
    <s v="Stretch Film"/>
    <x v="4"/>
    <s v="Sqmt"/>
    <n v="140"/>
    <n v="15"/>
    <n v="2100"/>
  </r>
  <r>
    <s v="July"/>
    <d v="2024-07-20T00:00:00"/>
    <n v="61137"/>
    <n v="43707"/>
    <s v="Knnd Associates Pvt Ltd"/>
    <s v="BVVS Bagalkot"/>
    <s v="Spigot 200mm Dia"/>
    <x v="12"/>
    <s v="Nos"/>
    <n v="10"/>
    <n v="340"/>
    <n v="3400"/>
  </r>
  <r>
    <s v="July"/>
    <d v="2024-07-20T00:00:00"/>
    <n v="61137"/>
    <n v="43707"/>
    <s v="Knnd Associates Pvt Ltd"/>
    <s v="BVVS Bagalkot"/>
    <s v="Spigot 250mm Dia"/>
    <x v="12"/>
    <s v="Nos"/>
    <n v="295"/>
    <n v="400"/>
    <n v="118000"/>
  </r>
  <r>
    <s v="July"/>
    <d v="2024-07-20T00:00:00"/>
    <n v="61137"/>
    <n v="43707"/>
    <s v="Knnd Associates Pvt Ltd"/>
    <s v="BVVS Bagalkot"/>
    <s v="Spigot 300mm Dia"/>
    <x v="12"/>
    <s v="Nos"/>
    <n v="33"/>
    <n v="520"/>
    <n v="17160"/>
  </r>
  <r>
    <s v="July"/>
    <d v="2024-07-20T00:00:00"/>
    <n v="61137"/>
    <n v="43707"/>
    <s v="Knnd Associates Pvt Ltd"/>
    <s v="BVVS Bagalkot"/>
    <s v="VCD (Alu. Blade)"/>
    <x v="1"/>
    <s v="Sqmt"/>
    <n v="8.6"/>
    <n v="5200"/>
    <n v="44720"/>
  </r>
  <r>
    <s v="July"/>
    <d v="2024-07-22T00:00:00"/>
    <n v="61186"/>
    <n v="43708"/>
    <s v="Knnd Associates Pvt Ltd"/>
    <s v="Manipal South Bangalore"/>
    <s v="Box Duct with TDF"/>
    <x v="11"/>
    <s v="Sqmt"/>
    <n v="164.8"/>
    <n v="595"/>
    <n v="98056"/>
  </r>
  <r>
    <s v="July"/>
    <d v="2024-07-22T00:00:00"/>
    <n v="61186"/>
    <n v="43708"/>
    <s v="Knnd Associates Pvt Ltd"/>
    <s v="Manipal South Bangalore"/>
    <s v="Box Duct with TDF"/>
    <x v="12"/>
    <s v="Sqmt"/>
    <n v="35.9"/>
    <n v="760"/>
    <n v="27284"/>
  </r>
  <r>
    <s v="July"/>
    <d v="2024-07-22T00:00:00"/>
    <n v="61186"/>
    <n v="43708"/>
    <s v="Knnd Associates Pvt Ltd"/>
    <s v="Manipal South Bangalore"/>
    <s v="Insulation"/>
    <x v="16"/>
    <s v="Sqmt"/>
    <n v="200.70000000000002"/>
    <n v="275"/>
    <n v="55192.500000000007"/>
  </r>
  <r>
    <s v="July"/>
    <d v="2024-07-22T00:00:00"/>
    <n v="61186"/>
    <n v="43708"/>
    <s v="Knnd Associates Pvt Ltd"/>
    <s v="Manipal South Bangalore"/>
    <s v="Round Collar with flange 150 Dia"/>
    <x v="11"/>
    <s v="Nos"/>
    <n v="13"/>
    <n v="110"/>
    <n v="1430"/>
  </r>
  <r>
    <s v="July"/>
    <d v="2024-07-22T00:00:00"/>
    <n v="61186"/>
    <n v="43708"/>
    <s v="Knnd Associates Pvt Ltd"/>
    <s v="Manipal South Bangalore"/>
    <s v="Stretch Film"/>
    <x v="4"/>
    <s v="Sqmt"/>
    <n v="205"/>
    <n v="15"/>
    <n v="3075"/>
  </r>
  <r>
    <s v="July"/>
    <d v="2024-07-22T00:00:00"/>
    <n v="61186"/>
    <n v="43709"/>
    <s v="Knnd Associates Pvt Ltd"/>
    <s v="Manipal South Bangalore"/>
    <s v="Box Duct with TDF"/>
    <x v="11"/>
    <s v="Sqmt"/>
    <n v="207.4"/>
    <n v="595"/>
    <n v="123403"/>
  </r>
  <r>
    <s v="July"/>
    <d v="2024-07-22T00:00:00"/>
    <n v="61186"/>
    <n v="43709"/>
    <s v="Knnd Associates Pvt Ltd"/>
    <s v="Manipal South Bangalore"/>
    <s v="Box Duct with TDF"/>
    <x v="12"/>
    <s v="Sqmt"/>
    <n v="18.600000000000001"/>
    <n v="760"/>
    <n v="14136.000000000002"/>
  </r>
  <r>
    <s v="July"/>
    <d v="2024-07-22T00:00:00"/>
    <n v="61186"/>
    <n v="43709"/>
    <s v="Knnd Associates Pvt Ltd"/>
    <s v="Manipal South Bangalore"/>
    <s v="Insulation"/>
    <x v="16"/>
    <s v="Sqmt"/>
    <n v="225.5"/>
    <n v="275"/>
    <n v="62012.5"/>
  </r>
  <r>
    <s v="July"/>
    <d v="2024-07-22T00:00:00"/>
    <n v="61186"/>
    <n v="43709"/>
    <s v="Knnd Associates Pvt Ltd"/>
    <s v="Manipal South Bangalore"/>
    <s v="Insulation"/>
    <x v="17"/>
    <s v="Sqmt"/>
    <n v="0.5"/>
    <n v="810"/>
    <n v="405"/>
  </r>
  <r>
    <s v="July"/>
    <d v="2024-07-22T00:00:00"/>
    <n v="61186"/>
    <n v="43709"/>
    <s v="Knnd Associates Pvt Ltd"/>
    <s v="Manipal South Bangalore"/>
    <s v="Stretch Film"/>
    <x v="4"/>
    <s v="Sqmt"/>
    <n v="230"/>
    <n v="15"/>
    <n v="3450"/>
  </r>
  <r>
    <s v="July"/>
    <d v="2024-07-22T00:00:00"/>
    <n v="61183"/>
    <n v="43710"/>
    <s v="Knnd Associates Pvt Ltd"/>
    <s v="Thirumalesha Residency Bangalore"/>
    <s v="Mixing Box (150x150x300H)"/>
    <x v="11"/>
    <s v="Nos"/>
    <n v="4"/>
    <n v="380"/>
    <n v="1520"/>
  </r>
  <r>
    <s v="July"/>
    <d v="2024-07-22T00:00:00"/>
    <n v="61183"/>
    <n v="43710"/>
    <s v="Knnd Associates Pvt Ltd"/>
    <s v="Thirumalesha Residency Bangalore"/>
    <s v="Mixing Box (750x110x300H)"/>
    <x v="11"/>
    <s v="Nos"/>
    <n v="45"/>
    <n v="590"/>
    <n v="26550"/>
  </r>
  <r>
    <s v="July"/>
    <d v="2024-07-22T00:00:00"/>
    <n v="61183"/>
    <n v="43710"/>
    <s v="Knnd Associates Pvt Ltd"/>
    <s v="Thirumalesha Residency Bangalore"/>
    <s v="Mixing Box (750x110x250H)"/>
    <x v="11"/>
    <s v="Nos"/>
    <n v="1"/>
    <n v="570"/>
    <n v="570"/>
  </r>
  <r>
    <s v="July"/>
    <d v="2024-07-22T00:00:00"/>
    <n v="61183"/>
    <n v="43710"/>
    <s v="Knnd Associates Pvt Ltd"/>
    <s v="Thirumalesha Residency Bangalore"/>
    <s v="Square to Round Duct"/>
    <x v="12"/>
    <s v="Nos"/>
    <n v="32"/>
    <n v="370"/>
    <n v="11840"/>
  </r>
  <r>
    <s v="July"/>
    <d v="2024-07-22T00:00:00"/>
    <n v="61183"/>
    <n v="43710"/>
    <s v="Knnd Associates Pvt Ltd"/>
    <s v="Thirumalesha Residency Bangalore"/>
    <s v="Spigot 150mm Dia"/>
    <x v="12"/>
    <s v="Nos"/>
    <n v="24"/>
    <n v="295"/>
    <n v="7080"/>
  </r>
  <r>
    <s v="July"/>
    <d v="2024-07-22T00:00:00"/>
    <n v="61183"/>
    <n v="43710"/>
    <s v="Knnd Associates Pvt Ltd"/>
    <s v="Thirumalesha Residency Bangalore"/>
    <s v="Spigot 200mm Dia"/>
    <x v="12"/>
    <s v="Nos"/>
    <n v="45"/>
    <n v="345"/>
    <n v="15525"/>
  </r>
  <r>
    <s v="July"/>
    <d v="2024-07-22T00:00:00"/>
    <n v="61183"/>
    <n v="43710"/>
    <s v="Knnd Associates Pvt Ltd"/>
    <s v="Thirumalesha Residency Bangalore"/>
    <s v="Box Duct with TDF"/>
    <x v="11"/>
    <s v="Sqmt"/>
    <n v="2.2000000000000002"/>
    <n v="586"/>
    <n v="1289.2"/>
  </r>
  <r>
    <s v="July"/>
    <d v="2024-07-22T00:00:00"/>
    <n v="61183"/>
    <n v="43710"/>
    <s v="Knnd Associates Pvt Ltd"/>
    <s v="Thirumalesha Residency Bangalore"/>
    <s v="Plain Sheet"/>
    <x v="11"/>
    <s v="Sqmt"/>
    <n v="12"/>
    <n v="448"/>
    <n v="5376"/>
  </r>
  <r>
    <s v="July"/>
    <d v="2024-07-22T00:00:00"/>
    <n v="61183"/>
    <n v="43710"/>
    <s v="Knnd Associates Pvt Ltd"/>
    <s v="Thirumalesha Residency Bangalore"/>
    <s v="Insulation"/>
    <x v="18"/>
    <s v="Sqmt"/>
    <n v="2.2000000000000002"/>
    <n v="275"/>
    <n v="605"/>
  </r>
  <r>
    <s v="July"/>
    <d v="2024-07-22T00:00:00"/>
    <n v="61137"/>
    <n v="43711"/>
    <s v="Knnd Associates Pvt Ltd"/>
    <s v="BVVS Bagalkot"/>
    <s v="Box Duct with TDF"/>
    <x v="11"/>
    <s v="Sqmt"/>
    <n v="620.9"/>
    <n v="590"/>
    <n v="366331"/>
  </r>
  <r>
    <s v="July"/>
    <d v="2024-07-22T00:00:00"/>
    <n v="61137"/>
    <n v="43711"/>
    <s v="Knnd Associates Pvt Ltd"/>
    <s v="BVVS Bagalkot"/>
    <s v="Box Duct with TDF"/>
    <x v="12"/>
    <s v="Sqmt"/>
    <n v="69.3"/>
    <n v="760"/>
    <n v="52668"/>
  </r>
  <r>
    <s v="July"/>
    <d v="2024-07-22T00:00:00"/>
    <n v="61137"/>
    <n v="43711"/>
    <s v="Knnd Associates Pvt Ltd"/>
    <s v="BVVS Bagalkot"/>
    <s v="Round Flange"/>
    <x v="11"/>
    <s v="Nos"/>
    <n v="138"/>
    <n v="60"/>
    <n v="8280"/>
  </r>
  <r>
    <s v="July"/>
    <d v="2024-07-22T00:00:00"/>
    <n v="61137"/>
    <n v="43711"/>
    <s v="Knnd Associates Pvt Ltd"/>
    <s v="BVVS Bagalkot"/>
    <s v="Insulation"/>
    <x v="14"/>
    <s v="Sqmt"/>
    <n v="144.30000000000001"/>
    <n v="408"/>
    <n v="58874.400000000001"/>
  </r>
  <r>
    <s v="July"/>
    <d v="2024-07-22T00:00:00"/>
    <n v="61137"/>
    <n v="43711"/>
    <s v="Knnd Associates Pvt Ltd"/>
    <s v="BVVS Bagalkot"/>
    <s v="Insulation"/>
    <x v="15"/>
    <s v="Sqmt"/>
    <n v="207.3"/>
    <n v="615"/>
    <n v="127489.5"/>
  </r>
  <r>
    <s v="July"/>
    <d v="2024-07-22T00:00:00"/>
    <n v="61137"/>
    <n v="43711"/>
    <s v="Knnd Associates Pvt Ltd"/>
    <s v="BVVS Bagalkot"/>
    <s v="Stretch Film"/>
    <x v="4"/>
    <s v="Sqmt"/>
    <n v="150"/>
    <n v="15"/>
    <n v="2250"/>
  </r>
  <r>
    <s v="July"/>
    <d v="2024-07-22T00:00:00"/>
    <n v="61137"/>
    <n v="43711"/>
    <s v="Knnd Associates Pvt Ltd"/>
    <s v="BVVS Bagalkot"/>
    <s v="VCD (Alu. Blade)"/>
    <x v="1"/>
    <s v="Sqmt"/>
    <n v="0.8"/>
    <n v="5200"/>
    <n v="4160"/>
  </r>
  <r>
    <s v="July"/>
    <d v="2024-07-22T00:00:00"/>
    <n v="61137"/>
    <n v="43711"/>
    <s v="Knnd Associates Pvt Ltd"/>
    <s v="BVVS Bagalkot"/>
    <s v="Box Duct with TDF"/>
    <x v="12"/>
    <s v="Sqmt"/>
    <n v="12.6"/>
    <n v="920"/>
    <n v="11592"/>
  </r>
  <r>
    <s v="July"/>
    <d v="2024-07-23T00:00:00"/>
    <n v="61252"/>
    <n v="43712"/>
    <s v="Aircon Ref Pvt Ltd"/>
    <s v="Telematic Bangalore"/>
    <s v="Box Duct with TDF"/>
    <x v="11"/>
    <s v="Sqmt"/>
    <n v="130.19999999999999"/>
    <n v="585"/>
    <n v="76167"/>
  </r>
  <r>
    <s v="July"/>
    <d v="2024-07-23T00:00:00"/>
    <n v="61252"/>
    <n v="43712"/>
    <s v="Aircon Ref Pvt Ltd"/>
    <s v="Telematic Bangalore"/>
    <s v="Box Duct with TDF"/>
    <x v="12"/>
    <s v="Sqmt"/>
    <n v="44.7"/>
    <n v="750"/>
    <n v="33525"/>
  </r>
  <r>
    <s v="July"/>
    <d v="2024-07-23T00:00:00"/>
    <n v="61252"/>
    <n v="43712"/>
    <s v="Aircon Ref Pvt Ltd"/>
    <s v="Telematic Bangalore"/>
    <s v="Mixing Box (450x450x300H)"/>
    <x v="11"/>
    <s v="Nos"/>
    <n v="16"/>
    <n v="650"/>
    <n v="10400"/>
  </r>
  <r>
    <s v="July"/>
    <d v="2024-07-24T00:00:00"/>
    <n v="61186"/>
    <n v="43713"/>
    <s v="Knnd Associates Pvt Ltd"/>
    <s v="Manipal South Bangalore"/>
    <s v="Box Duct with TDF"/>
    <x v="11"/>
    <s v="Sqmt"/>
    <n v="200.4"/>
    <n v="595"/>
    <n v="119238"/>
  </r>
  <r>
    <s v="July"/>
    <d v="2024-07-24T00:00:00"/>
    <n v="61186"/>
    <n v="43713"/>
    <s v="Knnd Associates Pvt Ltd"/>
    <s v="Manipal South Bangalore"/>
    <s v="Box Duct with TDF"/>
    <x v="12"/>
    <s v="Sqmt"/>
    <n v="13.8"/>
    <n v="760"/>
    <n v="10488"/>
  </r>
  <r>
    <s v="July"/>
    <d v="2024-07-24T00:00:00"/>
    <n v="61186"/>
    <n v="43713"/>
    <s v="Knnd Associates Pvt Ltd"/>
    <s v="Manipal South Bangalore"/>
    <s v="Insulation"/>
    <x v="16"/>
    <s v="Sqmt"/>
    <n v="179.5"/>
    <n v="275"/>
    <n v="49362.5"/>
  </r>
  <r>
    <s v="July"/>
    <d v="2024-07-24T00:00:00"/>
    <n v="61186"/>
    <n v="43713"/>
    <s v="Knnd Associates Pvt Ltd"/>
    <s v="Manipal South Bangalore"/>
    <s v="Round Collar with flange 150 Dia"/>
    <x v="11"/>
    <s v="Nos"/>
    <n v="42"/>
    <n v="110"/>
    <n v="4620"/>
  </r>
  <r>
    <s v="July"/>
    <d v="2024-07-24T00:00:00"/>
    <n v="61186"/>
    <n v="43713"/>
    <s v="Knnd Associates Pvt Ltd"/>
    <s v="Manipal South Bangalore"/>
    <s v="Stretch Film"/>
    <x v="4"/>
    <s v="Sqmt"/>
    <n v="180"/>
    <n v="15"/>
    <n v="2700"/>
  </r>
  <r>
    <s v="July"/>
    <d v="2024-07-24T00:00:00"/>
    <n v="61186"/>
    <n v="43713"/>
    <s v="Knnd Associates Pvt Ltd"/>
    <s v="Manipal South Bangalore"/>
    <s v="VCD (Alu. Blade)"/>
    <x v="2"/>
    <s v="Sqmt"/>
    <n v="7.4"/>
    <n v="5720"/>
    <n v="42328"/>
  </r>
  <r>
    <s v="July"/>
    <d v="2024-07-24T00:00:00"/>
    <n v="61186"/>
    <n v="43713"/>
    <s v="Knnd Associates Pvt Ltd"/>
    <s v="Manipal South Bangalore"/>
    <s v="Insulation"/>
    <x v="17"/>
    <s v="Sqmt"/>
    <n v="34.700000000000003"/>
    <n v="810"/>
    <n v="28107.000000000004"/>
  </r>
  <r>
    <s v="July"/>
    <d v="2024-07-24T00:00:00"/>
    <n v="61186"/>
    <n v="43713"/>
    <s v="Knnd Associates Pvt Ltd"/>
    <s v="Manipal South Bangalore"/>
    <s v="Insulation Flange"/>
    <x v="18"/>
    <s v="Nos"/>
    <n v="125"/>
    <n v="153"/>
    <n v="19125"/>
  </r>
  <r>
    <s v="July"/>
    <d v="2024-07-24T00:00:00"/>
    <n v="61233"/>
    <n v="43714"/>
    <s v="Knnd Associates Pvt Ltd"/>
    <s v="Vaishnavi Bangalore"/>
    <s v="Box Duct with TDF"/>
    <x v="1"/>
    <s v="Sqmt"/>
    <n v="81.900000000000006"/>
    <n v="920"/>
    <n v="75348"/>
  </r>
  <r>
    <s v="July"/>
    <d v="2024-07-24T00:00:00"/>
    <n v="61137"/>
    <n v="43715"/>
    <s v="Knnd Associates Pvt Ltd"/>
    <s v="BVVS Bagalkot"/>
    <s v="Box Duct with TDF"/>
    <x v="11"/>
    <s v="Sqmt"/>
    <n v="294.2"/>
    <n v="590"/>
    <n v="173578"/>
  </r>
  <r>
    <s v="July"/>
    <d v="2024-07-24T00:00:00"/>
    <n v="61137"/>
    <n v="43715"/>
    <s v="Knnd Associates Pvt Ltd"/>
    <s v="BVVS Bagalkot"/>
    <s v="Box Duct with TDF"/>
    <x v="12"/>
    <s v="Sqmt"/>
    <n v="204.2"/>
    <n v="760"/>
    <n v="155192"/>
  </r>
  <r>
    <s v="July"/>
    <d v="2024-07-24T00:00:00"/>
    <n v="61137"/>
    <n v="43715"/>
    <s v="Knnd Associates Pvt Ltd"/>
    <s v="BVVS Bagalkot"/>
    <s v="Insulation"/>
    <x v="45"/>
    <s v="Sqmt"/>
    <n v="306.10000000000002"/>
    <n v="649.00849395600005"/>
    <n v="198661.49999993164"/>
  </r>
  <r>
    <s v="July"/>
    <d v="2024-07-24T00:00:00"/>
    <n v="61137"/>
    <n v="43715"/>
    <s v="Knnd Associates Pvt Ltd"/>
    <s v="BVVS Bagalkot"/>
    <s v="Insulation Flange"/>
    <x v="14"/>
    <s v="Sqmt"/>
    <n v="34"/>
    <n v="255"/>
    <n v="8670"/>
  </r>
  <r>
    <s v="July"/>
    <d v="2024-07-24T00:00:00"/>
    <n v="61137"/>
    <n v="43715"/>
    <s v="Knnd Associates Pvt Ltd"/>
    <s v="BVVS Bagalkot"/>
    <s v="Stretch Film"/>
    <x v="4"/>
    <s v="Sqmt"/>
    <n v="310"/>
    <n v="15"/>
    <n v="4650"/>
  </r>
  <r>
    <s v="July"/>
    <d v="2024-07-24T00:00:00"/>
    <n v="61137"/>
    <n v="43715"/>
    <s v="Knnd Associates Pvt Ltd"/>
    <s v="BVVS Bagalkot"/>
    <s v="VCD (Alu. Blade)"/>
    <x v="1"/>
    <s v="Sqmt"/>
    <n v="5.6"/>
    <n v="5200"/>
    <n v="29119.999999999996"/>
  </r>
  <r>
    <s v="July"/>
    <d v="2024-07-24T00:00:00"/>
    <n v="61137"/>
    <n v="43715"/>
    <s v="Knnd Associates Pvt Ltd"/>
    <s v="BVVS Bagalkot"/>
    <s v="Insulation Flange"/>
    <x v="45"/>
    <s v="Sqmt"/>
    <n v="72"/>
    <n v="440"/>
    <n v="31680"/>
  </r>
  <r>
    <s v="July"/>
    <d v="2024-07-24T00:00:00"/>
    <n v="61186"/>
    <n v="43716"/>
    <s v="Knnd Associates Pvt Ltd"/>
    <s v="Manipal South Bangalore"/>
    <s v="Box Duct with TDF"/>
    <x v="11"/>
    <s v="Sqmt"/>
    <n v="82.3"/>
    <n v="595"/>
    <n v="48968.5"/>
  </r>
  <r>
    <s v="July"/>
    <d v="2024-07-24T00:00:00"/>
    <n v="61186"/>
    <n v="43716"/>
    <s v="Knnd Associates Pvt Ltd"/>
    <s v="Manipal South Bangalore"/>
    <s v="Insulation"/>
    <x v="16"/>
    <s v="Sqmt"/>
    <n v="26"/>
    <n v="275"/>
    <n v="7150"/>
  </r>
  <r>
    <s v="July"/>
    <d v="2024-07-24T00:00:00"/>
    <n v="61186"/>
    <n v="43716"/>
    <s v="Knnd Associates Pvt Ltd"/>
    <s v="Manipal South Bangalore"/>
    <s v="Round Collar with flange 150 Dia"/>
    <x v="11"/>
    <s v="Nos"/>
    <n v="19"/>
    <n v="110"/>
    <n v="2090"/>
  </r>
  <r>
    <s v="July"/>
    <d v="2024-07-24T00:00:00"/>
    <n v="61186"/>
    <n v="43716"/>
    <s v="Knnd Associates Pvt Ltd"/>
    <s v="Manipal South Bangalore"/>
    <s v="Stretch Film"/>
    <x v="4"/>
    <s v="Sqmt"/>
    <n v="27"/>
    <n v="15"/>
    <n v="405"/>
  </r>
  <r>
    <s v="July"/>
    <d v="2024-07-24T00:00:00"/>
    <n v="61233"/>
    <n v="43717"/>
    <s v="Knnd Associates Pvt Ltd"/>
    <s v="Vaishnavi Bangaluru"/>
    <s v="Box Duct with TDF"/>
    <x v="12"/>
    <s v="Sqmt"/>
    <n v="51.7"/>
    <n v="755"/>
    <n v="39033.5"/>
  </r>
  <r>
    <s v="July"/>
    <d v="2024-07-24T00:00:00"/>
    <n v="61233"/>
    <n v="43717"/>
    <s v="Knnd Associates Pvt Ltd"/>
    <s v="Vaishnavi Bangalore"/>
    <s v="Box Duct with TDF"/>
    <x v="1"/>
    <s v="Sqmt"/>
    <n v="10.1"/>
    <n v="920"/>
    <n v="9292"/>
  </r>
  <r>
    <s v="July"/>
    <d v="2024-07-25T00:00:00"/>
    <n v="61233"/>
    <n v="43718"/>
    <s v="Knnd Associates Pvt Ltd"/>
    <s v="Vaishnavi Bangalore"/>
    <s v="Box Duct with TDF"/>
    <x v="12"/>
    <s v="Sqmt"/>
    <n v="115.8"/>
    <n v="755"/>
    <n v="87429"/>
  </r>
  <r>
    <s v="July"/>
    <d v="2024-07-25T00:00:00"/>
    <n v="61233"/>
    <n v="43718"/>
    <s v="Knnd Associates Pvt Ltd"/>
    <s v="Vaishnavi Bangalore"/>
    <s v="Box Duct with TDF"/>
    <x v="1"/>
    <s v="Sqmt"/>
    <n v="5.3"/>
    <n v="920"/>
    <n v="4876"/>
  </r>
  <r>
    <s v="July"/>
    <d v="2024-07-25T00:00:00"/>
    <n v="61233"/>
    <n v="43718"/>
    <s v="Knnd Associates Pvt Ltd"/>
    <s v="Vaishnavi Bangalore"/>
    <s v="Box Duct with TDF"/>
    <x v="2"/>
    <s v="Sqmt"/>
    <n v="16.2"/>
    <n v="1000"/>
    <n v="16200"/>
  </r>
  <r>
    <s v="July"/>
    <d v="2024-07-25T00:00:00"/>
    <n v="61233"/>
    <n v="43719"/>
    <s v="Knnd Associates Pvt Ltd"/>
    <s v="Vaishnavi Bangalore"/>
    <s v="Box Duct with TDF"/>
    <x v="2"/>
    <s v="Sqmt"/>
    <n v="24.1"/>
    <n v="1000"/>
    <n v="24100"/>
  </r>
  <r>
    <s v="July"/>
    <d v="2024-07-25T00:00:00"/>
    <n v="61233"/>
    <n v="43719"/>
    <s v="Knnd Associates Pvt Ltd"/>
    <s v="Vaishnavi Bangalore"/>
    <s v="Box Duct with TDF"/>
    <x v="12"/>
    <s v="Sqmt"/>
    <n v="11"/>
    <n v="755"/>
    <n v="8305"/>
  </r>
  <r>
    <s v="July"/>
    <d v="2024-07-26T00:00:00"/>
    <n v="61209"/>
    <n v="43720"/>
    <s v="Technogreen Airconditioning Pvt Ltd"/>
    <s v="AMD Bangalore"/>
    <s v="Spigot 200mm Dia"/>
    <x v="12"/>
    <s v="Nos"/>
    <n v="329"/>
    <n v="400"/>
    <n v="131600"/>
  </r>
  <r>
    <s v="July"/>
    <d v="2024-07-26T00:00:00"/>
    <n v="61209"/>
    <n v="43720"/>
    <s v="Technogreen Airconditioning Pvt Ltd"/>
    <s v="AMD Bangalore"/>
    <s v="Spigot 250mm Dia"/>
    <x v="12"/>
    <s v="Nos"/>
    <n v="16"/>
    <n v="485"/>
    <n v="7760"/>
  </r>
  <r>
    <s v="July"/>
    <d v="2024-07-26T00:00:00"/>
    <n v="61232"/>
    <n v="43721"/>
    <s v="Technogreen Airconditioning Pvt Ltd"/>
    <s v="AMD Bangalore"/>
    <s v="Spigot 200mm Dia"/>
    <x v="12"/>
    <s v="Nos"/>
    <n v="52"/>
    <n v="400"/>
    <n v="20800"/>
  </r>
  <r>
    <s v="July"/>
    <d v="2024-07-26T00:00:00"/>
    <n v="61232"/>
    <n v="43721"/>
    <s v="Technogreen Airconditioning Pvt Ltd"/>
    <s v="AMD Bangalore"/>
    <s v="Spigot 250mm Dia"/>
    <x v="12"/>
    <s v="Nos"/>
    <n v="25"/>
    <n v="485"/>
    <n v="12125"/>
  </r>
  <r>
    <s v="July"/>
    <d v="2024-07-26T00:00:00"/>
    <n v="61253"/>
    <n v="43722"/>
    <s v="Knnd Associates Pvt Ltd"/>
    <s v="Vaishnavi Race Course"/>
    <s v="Box Duct with TDF"/>
    <x v="11"/>
    <s v="Sqmt"/>
    <n v="17.399999999999999"/>
    <n v="586"/>
    <n v="10196.4"/>
  </r>
  <r>
    <s v="July"/>
    <d v="2024-07-26T00:00:00"/>
    <n v="61253"/>
    <n v="43722"/>
    <s v="Knnd Associates Pvt Ltd"/>
    <s v="Vaishnavi Race Course"/>
    <s v="Box Duct with TDF"/>
    <x v="12"/>
    <s v="Sqmt"/>
    <n v="36.299999999999997"/>
    <n v="755"/>
    <n v="27406.499999999996"/>
  </r>
  <r>
    <s v="July"/>
    <d v="2024-07-26T00:00:00"/>
    <n v="61253"/>
    <n v="43722"/>
    <s v="Knnd Associates Pvt Ltd"/>
    <s v="Vaishnavi Race Course"/>
    <s v="Insulation"/>
    <x v="46"/>
    <s v="Sqmt"/>
    <n v="36.299999999999997"/>
    <n v="640"/>
    <n v="23232"/>
  </r>
  <r>
    <s v="July"/>
    <d v="2024-07-26T00:00:00"/>
    <n v="61253"/>
    <n v="43722"/>
    <s v="Knnd Associates Pvt Ltd"/>
    <s v="Vaishnavi Race Course"/>
    <s v="Square to Round Duct"/>
    <x v="12"/>
    <s v="Nos"/>
    <n v="2"/>
    <n v="2565"/>
    <n v="5130"/>
  </r>
  <r>
    <s v="July"/>
    <d v="2024-07-26T00:00:00"/>
    <n v="61253"/>
    <n v="43722"/>
    <s v="Knnd Associates Pvt Ltd"/>
    <s v="Vaishnavi Race Course"/>
    <s v="Round Flange"/>
    <x v="1"/>
    <s v="Nos"/>
    <n v="2"/>
    <n v="1030"/>
    <n v="2060"/>
  </r>
  <r>
    <s v="July"/>
    <d v="2024-07-26T00:00:00"/>
    <n v="61253"/>
    <n v="43722"/>
    <s v="Knnd Associates Pvt Ltd"/>
    <s v="Vaishnavi Race Course"/>
    <s v="VCD (Alu. Blade)"/>
    <x v="1"/>
    <s v="Sqmt"/>
    <n v="0.2"/>
    <n v="5200"/>
    <n v="1040"/>
  </r>
  <r>
    <s v="July"/>
    <d v="2024-07-26T00:00:00"/>
    <n v="61254"/>
    <n v="43723"/>
    <s v="Eqube Energy and Research Services LLP"/>
    <s v="IIT Madras"/>
    <s v="Box Duct with TDF"/>
    <x v="11"/>
    <s v="Sqmt"/>
    <n v="9.6999999999999993"/>
    <n v="605"/>
    <n v="5868.5"/>
  </r>
  <r>
    <s v="July"/>
    <d v="2024-07-26T00:00:00"/>
    <n v="61255"/>
    <n v="43724"/>
    <s v="Knnd Associates Pvt Ltd"/>
    <s v="KIMS Nagercoil"/>
    <s v="Box Duct with TDF"/>
    <x v="11"/>
    <s v="Sqmt"/>
    <n v="130"/>
    <n v="586"/>
    <n v="76180"/>
  </r>
  <r>
    <s v="July"/>
    <d v="2024-07-26T00:00:00"/>
    <n v="61255"/>
    <n v="43724"/>
    <s v="Knnd Associates Pvt Ltd"/>
    <s v="KIMS Nagercoil"/>
    <s v="Box Duct with TDF"/>
    <x v="12"/>
    <s v="Sqmt"/>
    <n v="137.80000000000001"/>
    <n v="755"/>
    <n v="104039.00000000001"/>
  </r>
  <r>
    <s v="July"/>
    <d v="2024-07-26T00:00:00"/>
    <n v="61255"/>
    <n v="43724"/>
    <s v="Knnd Associates Pvt Ltd"/>
    <s v="KIMS Nagercoil"/>
    <s v="Box Duct with TDF"/>
    <x v="1"/>
    <s v="Sqmt"/>
    <n v="20.399999999999999"/>
    <n v="920"/>
    <n v="18768"/>
  </r>
  <r>
    <s v="July"/>
    <d v="2024-07-26T00:00:00"/>
    <n v="61255"/>
    <n v="43724"/>
    <s v="Knnd Associates Pvt Ltd"/>
    <s v="KIMS Nagercoil"/>
    <s v="Insulation"/>
    <x v="30"/>
    <s v="Sqmt"/>
    <n v="91.9"/>
    <n v="640"/>
    <n v="58816"/>
  </r>
  <r>
    <s v="July"/>
    <d v="2024-07-26T00:00:00"/>
    <n v="61255"/>
    <n v="43724"/>
    <s v="Knnd Associates Pvt Ltd"/>
    <s v="KIMS Nagercoil"/>
    <s v="Insulation"/>
    <x v="25"/>
    <s v="Sqmt"/>
    <n v="14.9"/>
    <n v="350"/>
    <n v="5215"/>
  </r>
  <r>
    <s v="July"/>
    <d v="2024-07-26T00:00:00"/>
    <n v="61255"/>
    <n v="43724"/>
    <s v="Knnd Associates Pvt Ltd"/>
    <s v="KIMS Nagercoil"/>
    <s v="Insulation"/>
    <x v="26"/>
    <s v="Sqmt"/>
    <n v="349.6"/>
    <n v="530"/>
    <n v="185288"/>
  </r>
  <r>
    <s v="July"/>
    <d v="2024-07-26T00:00:00"/>
    <n v="61255"/>
    <n v="43724"/>
    <s v="Knnd Associates Pvt Ltd"/>
    <s v="KIMS Nagercoil"/>
    <s v="Box Duct with TDF"/>
    <x v="20"/>
    <s v="Sqmt"/>
    <n v="168.2"/>
    <n v="1060"/>
    <n v="178292"/>
  </r>
  <r>
    <s v="July"/>
    <d v="2024-07-26T00:00:00"/>
    <n v="61255"/>
    <n v="43724"/>
    <s v="Knnd Associates Pvt Ltd"/>
    <s v="KIMS Nagercoil"/>
    <s v="Insulation Flange"/>
    <x v="26"/>
    <s v="Sqmt"/>
    <n v="60"/>
    <n v="360"/>
    <n v="21600"/>
  </r>
  <r>
    <s v="July"/>
    <d v="2024-07-26T00:00:00"/>
    <n v="61255"/>
    <n v="43724"/>
    <s v="Knnd Associates Pvt Ltd"/>
    <s v="KIMS Nagercoil"/>
    <s v="Plain Sheet"/>
    <x v="11"/>
    <s v="Sqmt"/>
    <n v="213.5"/>
    <n v="448"/>
    <n v="95648"/>
  </r>
  <r>
    <s v="July"/>
    <d v="2024-07-26T00:00:00"/>
    <n v="61255"/>
    <n v="43724"/>
    <s v="Knnd Associates Pvt Ltd"/>
    <s v="KIMS Nagercoil"/>
    <s v="Stretch Film"/>
    <x v="4"/>
    <s v="Sqmt"/>
    <n v="370"/>
    <n v="15"/>
    <n v="5550"/>
  </r>
  <r>
    <s v="July"/>
    <d v="2024-07-26T00:00:00"/>
    <n v="61255"/>
    <n v="43724"/>
    <s v="Knnd Associates Pvt Ltd"/>
    <s v="KIMS Nagercoil"/>
    <s v="Insulation Flange"/>
    <x v="47"/>
    <s v="Sqmt"/>
    <n v="72"/>
    <n v="690"/>
    <n v="49680"/>
  </r>
  <r>
    <s v="July"/>
    <d v="2024-07-26T00:00:00"/>
    <n v="61256"/>
    <n v="43725"/>
    <s v="Knnd Associates Pvt Ltd"/>
    <s v="Bangalore Stock Infosys Noida"/>
    <s v="Spiral Round Duct"/>
    <x v="48"/>
    <s v="Sqmt"/>
    <n v="373.5"/>
    <n v="430"/>
    <n v="160605"/>
  </r>
  <r>
    <s v="July"/>
    <d v="2024-07-26T00:00:00"/>
    <n v="61256"/>
    <n v="43726"/>
    <s v="Knnd Associates Pvt Ltd"/>
    <s v="Bangalore Stock Infosys Noida"/>
    <s v="Spiral Round Duct"/>
    <x v="48"/>
    <s v="Sqmt"/>
    <n v="399.8"/>
    <n v="430"/>
    <n v="171914"/>
  </r>
  <r>
    <s v="July"/>
    <d v="2024-07-26T00:00:00"/>
    <n v="61208"/>
    <n v="43727"/>
    <s v="Knnd Associates Pvt Ltd"/>
    <s v="Schneider Bangalore"/>
    <s v="Box Duct with TDF (L-shape)"/>
    <x v="11"/>
    <s v="Sqmt"/>
    <n v="571.20000000000005"/>
    <n v="546"/>
    <n v="311875.20000000001"/>
  </r>
  <r>
    <s v="July"/>
    <d v="2024-07-26T00:00:00"/>
    <n v="61208"/>
    <n v="43727"/>
    <s v="Knnd Associates Pvt Ltd"/>
    <s v="Schneider Bangalore"/>
    <s v="Box Duct with TDF"/>
    <x v="11"/>
    <s v="Sqmt"/>
    <n v="86.7"/>
    <n v="586"/>
    <n v="50806.200000000004"/>
  </r>
  <r>
    <s v="July"/>
    <d v="2024-07-26T00:00:00"/>
    <n v="61208"/>
    <n v="43727"/>
    <s v="Knnd Associates Pvt Ltd"/>
    <s v="Schneider Bangalore"/>
    <s v="Box Duct with TDF (L-shape)"/>
    <x v="12"/>
    <s v="Sqmt"/>
    <n v="8.1"/>
    <n v="735"/>
    <n v="5953.5"/>
  </r>
  <r>
    <s v="July"/>
    <d v="2024-07-26T00:00:00"/>
    <n v="61208"/>
    <n v="43727"/>
    <s v="Knnd Associates Pvt Ltd"/>
    <s v="Schneider Bangalore"/>
    <s v="Round Collar with flange 200 Dia"/>
    <x v="11"/>
    <s v="Nos"/>
    <n v="34"/>
    <n v="140"/>
    <n v="4760"/>
  </r>
  <r>
    <s v="July"/>
    <d v="2024-07-26T00:00:00"/>
    <n v="61208"/>
    <n v="43727"/>
    <s v="Knnd Associates Pvt Ltd"/>
    <s v="Schneider Bangalore"/>
    <s v="Mixing Box (300x300x350H)"/>
    <x v="11"/>
    <s v="Nos"/>
    <n v="34"/>
    <n v="430"/>
    <n v="14620"/>
  </r>
  <r>
    <s v="July"/>
    <d v="2024-07-27T00:00:00"/>
    <n v="61248"/>
    <n v="43728"/>
    <s v="Knnd Associates Pvt Ltd"/>
    <s v="MUJ UGR"/>
    <s v="Box Duct with TDF"/>
    <x v="11"/>
    <s v="Sqmt"/>
    <n v="24.4"/>
    <n v="586"/>
    <n v="14298.4"/>
  </r>
  <r>
    <s v="July"/>
    <d v="2024-07-27T00:00:00"/>
    <n v="61248"/>
    <n v="43728"/>
    <s v="Knnd Associates Pvt Ltd"/>
    <s v="MUJ UGR"/>
    <s v="Box Duct with TDF"/>
    <x v="12"/>
    <s v="Sqmt"/>
    <n v="1.1000000000000001"/>
    <n v="755"/>
    <n v="830.50000000000011"/>
  </r>
  <r>
    <s v="July"/>
    <d v="2024-07-27T00:00:00"/>
    <n v="61248"/>
    <n v="43728"/>
    <s v="Knnd Associates Pvt Ltd"/>
    <s v="MUJ UGR"/>
    <s v="Mixing Box (350x350x375H)"/>
    <x v="11"/>
    <s v="Nos"/>
    <n v="8"/>
    <n v="560"/>
    <n v="4480"/>
  </r>
  <r>
    <s v="July"/>
    <d v="2024-07-27T00:00:00"/>
    <n v="61248"/>
    <n v="43728"/>
    <s v="Knnd Associates Pvt Ltd"/>
    <s v="MUJ UGR"/>
    <s v="Spigot 200mm Dia"/>
    <x v="12"/>
    <s v="Nos"/>
    <n v="8"/>
    <n v="345"/>
    <n v="2760"/>
  </r>
  <r>
    <s v="July"/>
    <d v="2024-07-27T00:00:00"/>
    <n v="61248"/>
    <n v="43728"/>
    <s v="Knnd Associates Pvt Ltd"/>
    <s v="MUJ UGR"/>
    <s v="Insulation Flange"/>
    <x v="18"/>
    <s v="Nos"/>
    <n v="5"/>
    <n v="153"/>
    <n v="765"/>
  </r>
  <r>
    <s v="July"/>
    <d v="2024-07-27T00:00:00"/>
    <n v="61248"/>
    <n v="43728"/>
    <s v="Knnd Associates Pvt Ltd"/>
    <s v="MUJ UGR"/>
    <s v="Insulation"/>
    <x v="22"/>
    <s v="Sqmt"/>
    <n v="24.9"/>
    <n v="345"/>
    <n v="8590.5"/>
  </r>
  <r>
    <s v="July"/>
    <d v="2024-07-27T00:00:00"/>
    <n v="61248"/>
    <n v="43728"/>
    <s v="Knnd Associates Pvt Ltd"/>
    <s v="MUJ UGR"/>
    <s v="Insulation"/>
    <x v="37"/>
    <s v="Sqmt"/>
    <n v="7"/>
    <n v="876"/>
    <n v="6132"/>
  </r>
  <r>
    <s v="July"/>
    <d v="2024-07-27T00:00:00"/>
    <n v="61248"/>
    <n v="43728"/>
    <s v="Knnd Associates Pvt Ltd"/>
    <s v="MUJ UGR"/>
    <s v="Stretch Film"/>
    <x v="4"/>
    <s v="Sqmt"/>
    <n v="25"/>
    <n v="15"/>
    <n v="375"/>
  </r>
  <r>
    <s v="July"/>
    <d v="2024-07-27T00:00:00"/>
    <n v="61249"/>
    <n v="43729"/>
    <s v="Knnd Associates Pvt Ltd"/>
    <s v="MUJ Girls Hostel"/>
    <s v="Box Duct with TDF"/>
    <x v="11"/>
    <s v="Sqmt"/>
    <n v="252.6"/>
    <n v="586"/>
    <n v="148023.6"/>
  </r>
  <r>
    <s v="July"/>
    <d v="2024-07-27T00:00:00"/>
    <n v="61249"/>
    <n v="43729"/>
    <s v="Knnd Associates Pvt Ltd"/>
    <s v="MUJ Girls Hostel"/>
    <s v="Box Duct with TDF"/>
    <x v="12"/>
    <s v="Sqmt"/>
    <n v="5.5"/>
    <n v="755"/>
    <n v="4152.5"/>
  </r>
  <r>
    <s v="July"/>
    <d v="2024-07-27T00:00:00"/>
    <n v="61249"/>
    <n v="43729"/>
    <s v="Knnd Associates Pvt Ltd"/>
    <s v="MUJ Girls Hostel"/>
    <s v="Insulation"/>
    <x v="22"/>
    <s v="Sqmt"/>
    <n v="5.5"/>
    <n v="345"/>
    <n v="1897.5"/>
  </r>
  <r>
    <s v="July"/>
    <d v="2024-07-27T00:00:00"/>
    <n v="61249"/>
    <n v="43729"/>
    <s v="Knnd Associates Pvt Ltd"/>
    <s v="MUJ Girls Hostel"/>
    <s v="VCD (Alu. Blade)"/>
    <x v="1"/>
    <s v="Sqmt"/>
    <n v="0.8"/>
    <n v="5200"/>
    <n v="4160"/>
  </r>
  <r>
    <s v="July"/>
    <d v="2024-07-27T00:00:00"/>
    <n v="61249"/>
    <n v="43729"/>
    <s v="Knnd Associates Pvt Ltd"/>
    <s v="MUJ Girls Hostel"/>
    <s v="Stretch Film"/>
    <x v="4"/>
    <s v="Sqmt"/>
    <n v="7"/>
    <n v="15"/>
    <n v="105"/>
  </r>
  <r>
    <s v="July"/>
    <d v="2024-07-27T00:00:00"/>
    <n v="61250"/>
    <n v="43730"/>
    <s v="Knnd Associates Pvt Ltd"/>
    <s v="MUJ Boys Hostel"/>
    <s v="Box Duct with TDF"/>
    <x v="11"/>
    <s v="Sqmt"/>
    <n v="219.5"/>
    <n v="586"/>
    <n v="128627"/>
  </r>
  <r>
    <s v="July"/>
    <d v="2024-07-27T00:00:00"/>
    <n v="61250"/>
    <n v="43730"/>
    <s v="Knnd Associates Pvt Ltd"/>
    <s v="MUJ Boys Hostel"/>
    <s v="Box Duct with TDF"/>
    <x v="12"/>
    <s v="Sqmt"/>
    <n v="5.5"/>
    <n v="755"/>
    <n v="4152.5"/>
  </r>
  <r>
    <s v="July"/>
    <d v="2024-07-27T00:00:00"/>
    <n v="61250"/>
    <n v="43730"/>
    <s v="Knnd Associates Pvt Ltd"/>
    <s v="MUJ Boys Hostel"/>
    <s v="Insulation"/>
    <x v="22"/>
    <s v="Sqmt"/>
    <n v="5.5"/>
    <n v="345"/>
    <n v="1897.5"/>
  </r>
  <r>
    <s v="July"/>
    <d v="2024-07-27T00:00:00"/>
    <n v="61250"/>
    <n v="43730"/>
    <s v="Knnd Associates Pvt Ltd"/>
    <s v="MUJ Boys Hostel"/>
    <s v="VCD (Alu. Blade)"/>
    <x v="1"/>
    <s v="Sqmt"/>
    <n v="0.8"/>
    <n v="5200"/>
    <n v="4160"/>
  </r>
  <r>
    <s v="July"/>
    <d v="2024-07-27T00:00:00"/>
    <n v="61250"/>
    <n v="43730"/>
    <s v="Knnd Associates Pvt Ltd"/>
    <s v="MUJ Boys Hostel"/>
    <s v="Stretch Film"/>
    <x v="4"/>
    <s v="Sqmt"/>
    <n v="7"/>
    <n v="15"/>
    <n v="105"/>
  </r>
  <r>
    <s v="July"/>
    <d v="2024-07-30T00:00:00"/>
    <n v="61257"/>
    <n v="43731"/>
    <s v="Knnd Associates Pvt Ltd"/>
    <s v="Infosys Coimbatore"/>
    <s v="Box Duct with TDF"/>
    <x v="11"/>
    <s v="Sqmt"/>
    <n v="49.1"/>
    <n v="586"/>
    <n v="28772.600000000002"/>
  </r>
  <r>
    <s v="July"/>
    <d v="2024-07-30T00:00:00"/>
    <n v="61257"/>
    <n v="43731"/>
    <s v="Knnd Associates Pvt Ltd"/>
    <s v="Infosys Coimbatore"/>
    <s v="Box Duct with TDF"/>
    <x v="12"/>
    <s v="Sqmt"/>
    <n v="64.099999999999994"/>
    <n v="755"/>
    <n v="48395.499999999993"/>
  </r>
  <r>
    <s v="July"/>
    <d v="2024-07-30T00:00:00"/>
    <n v="61257"/>
    <n v="43731"/>
    <s v="Knnd Associates Pvt Ltd"/>
    <s v="Infosys Coimbatore"/>
    <s v="Spiral Oval Duct"/>
    <x v="5"/>
    <s v="Sqmt"/>
    <n v="2.8"/>
    <n v="670"/>
    <n v="1875.9999999999998"/>
  </r>
  <r>
    <s v="July"/>
    <d v="2024-07-30T00:00:00"/>
    <n v="61257"/>
    <n v="43731"/>
    <s v="Knnd Associates Pvt Ltd"/>
    <s v="Infosys Coimbatore"/>
    <s v="Spiral Round Duct"/>
    <x v="5"/>
    <s v="Sqmt"/>
    <n v="57.1"/>
    <n v="540"/>
    <n v="30834"/>
  </r>
  <r>
    <s v="July"/>
    <d v="2024-07-30T00:00:00"/>
    <n v="61257"/>
    <n v="43731"/>
    <s v="Knnd Associates Pvt Ltd"/>
    <s v="Infosys Coimbatore"/>
    <s v="Round Coupling"/>
    <x v="6"/>
    <s v="Sqmt"/>
    <n v="1.8"/>
    <n v="686"/>
    <n v="1234.8"/>
  </r>
  <r>
    <s v="July"/>
    <d v="2024-07-30T00:00:00"/>
    <n v="61257"/>
    <n v="43731"/>
    <s v="Knnd Associates Pvt Ltd"/>
    <s v="Infosys Coimbatore"/>
    <s v="Plain Sheet"/>
    <x v="11"/>
    <s v="Sqmt"/>
    <n v="30"/>
    <n v="448"/>
    <n v="13440"/>
  </r>
  <r>
    <s v="July"/>
    <d v="2024-07-30T00:00:00"/>
    <n v="61257"/>
    <n v="43731"/>
    <s v="Knnd Associates Pvt Ltd"/>
    <s v="Infosys Coimbatore"/>
    <s v="Plain Sheet"/>
    <x v="12"/>
    <s v="Sqmt"/>
    <n v="30"/>
    <n v="564"/>
    <n v="16920"/>
  </r>
  <r>
    <s v="July"/>
    <d v="2024-07-30T00:00:00"/>
    <n v="61257"/>
    <n v="43731"/>
    <s v="Knnd Associates Pvt Ltd"/>
    <s v="Infosys Coimbatore"/>
    <s v="Cleats"/>
    <x v="19"/>
    <s v="Nos"/>
    <n v="1000"/>
    <n v="5"/>
    <n v="5000"/>
  </r>
  <r>
    <s v="July"/>
    <d v="2024-07-30T00:00:00"/>
    <n v="61257"/>
    <n v="43731"/>
    <s v="Knnd Associates Pvt Ltd"/>
    <s v="Infosys Coimbatore"/>
    <s v="Gasket"/>
    <x v="33"/>
    <s v="Rmt"/>
    <n v="200"/>
    <n v="5"/>
    <n v="1000"/>
  </r>
  <r>
    <s v="July"/>
    <d v="2024-07-30T00:00:00"/>
    <n v="61257"/>
    <n v="43731"/>
    <s v="Knnd Associates Pvt Ltd"/>
    <s v="Infosys Coimbatore"/>
    <s v="Stretch Film"/>
    <x v="4"/>
    <s v="Sqmt"/>
    <n v="100"/>
    <n v="15"/>
    <n v="1500"/>
  </r>
  <r>
    <s v="July"/>
    <d v="2024-07-30T00:00:00"/>
    <n v="61257"/>
    <n v="43731"/>
    <s v="Knnd Associates Pvt Ltd"/>
    <s v="Infosys Coimbatore"/>
    <s v="Insulation"/>
    <x v="43"/>
    <s v="Sqmt"/>
    <n v="98.999999999999986"/>
    <n v="761"/>
    <n v="75338.999999999985"/>
  </r>
  <r>
    <s v="July"/>
    <d v="2024-07-31T00:00:00"/>
    <n v="61258"/>
    <n v="43732"/>
    <s v="R Mech Breeze"/>
    <s v="Madiwala Project"/>
    <s v="Spiral Oval Duct"/>
    <x v="5"/>
    <s v="Sqmt"/>
    <n v="6.1"/>
    <n v="695"/>
    <n v="4239.5"/>
  </r>
  <r>
    <s v="July"/>
    <d v="2024-07-31T00:00:00"/>
    <n v="61258"/>
    <n v="43732"/>
    <s v="R Mech Breeze"/>
    <s v="Madiwala Project"/>
    <s v="Spiral Oval Duct"/>
    <x v="6"/>
    <s v="Sqmt"/>
    <n v="11"/>
    <n v="770"/>
    <n v="8470"/>
  </r>
  <r>
    <s v="July"/>
    <d v="2024-07-31T00:00:00"/>
    <n v="61258"/>
    <n v="43732"/>
    <s v="R Mech Breeze"/>
    <s v="Madiwala Project"/>
    <s v="Spiral Oval Coupling"/>
    <x v="7"/>
    <s v="Sqmt"/>
    <n v="0.4"/>
    <n v="910"/>
    <n v="364"/>
  </r>
  <r>
    <s v="July"/>
    <d v="2024-07-31T00:00:00"/>
    <n v="61258"/>
    <n v="43732"/>
    <s v="R Mech Breeze"/>
    <s v="Madiwala Project"/>
    <s v="Corners 32mm"/>
    <x v="32"/>
    <s v="Nos"/>
    <n v="1000"/>
    <n v="10"/>
    <n v="10000"/>
  </r>
  <r>
    <s v="July"/>
    <d v="2024-07-31T00:00:00"/>
    <n v="61186"/>
    <n v="43733"/>
    <s v="Knnd Associates Pvt Ltd"/>
    <s v="Manipal South Bangalore"/>
    <s v="Box Duct with TDF"/>
    <x v="11"/>
    <s v="Sqmt"/>
    <n v="170.39999999999998"/>
    <n v="595"/>
    <n v="101387.99999999999"/>
  </r>
  <r>
    <s v="July"/>
    <d v="2024-07-31T00:00:00"/>
    <n v="61186"/>
    <n v="43733"/>
    <s v="Knnd Associates Pvt Ltd"/>
    <s v="Manipal South Bangalore"/>
    <s v="Box Duct with TDF"/>
    <x v="12"/>
    <s v="Sqmt"/>
    <n v="23.6"/>
    <n v="760"/>
    <n v="17936"/>
  </r>
  <r>
    <s v="July"/>
    <d v="2024-07-31T00:00:00"/>
    <n v="61186"/>
    <n v="43733"/>
    <s v="Knnd Associates Pvt Ltd"/>
    <s v="Manipal South Bangalore"/>
    <s v="Insulation"/>
    <x v="16"/>
    <s v="Sqmt"/>
    <n v="193.79999999999998"/>
    <n v="275"/>
    <n v="53294.999999999993"/>
  </r>
  <r>
    <s v="July"/>
    <d v="2024-07-31T00:00:00"/>
    <n v="61186"/>
    <n v="43733"/>
    <s v="Knnd Associates Pvt Ltd"/>
    <s v="Manipal South Bangalore"/>
    <s v="Insulation"/>
    <x v="17"/>
    <s v="Sqmt"/>
    <n v="0.2"/>
    <n v="810"/>
    <n v="162"/>
  </r>
  <r>
    <s v="July"/>
    <d v="2024-07-31T00:00:00"/>
    <n v="61186"/>
    <n v="43733"/>
    <s v="Knnd Associates Pvt Ltd"/>
    <s v="Manipal South Bangalore"/>
    <s v="Stretch Film"/>
    <x v="4"/>
    <s v="Sqmt"/>
    <n v="195"/>
    <n v="15"/>
    <n v="2925"/>
  </r>
  <r>
    <s v="July"/>
    <d v="2024-07-31T00:00:00"/>
    <n v="61186"/>
    <n v="43734"/>
    <s v="Knnd Associates Pvt Ltd"/>
    <s v="Manipal South Bangalore"/>
    <s v="Box Duct with TDF"/>
    <x v="11"/>
    <s v="Sqmt"/>
    <n v="140"/>
    <n v="595"/>
    <n v="83300"/>
  </r>
  <r>
    <s v="July"/>
    <d v="2024-07-31T00:00:00"/>
    <n v="61186"/>
    <n v="43734"/>
    <s v="Knnd Associates Pvt Ltd"/>
    <s v="Manipal South Bangalore"/>
    <s v="Box Duct with TDF"/>
    <x v="12"/>
    <s v="Sqmt"/>
    <n v="20.7"/>
    <n v="760"/>
    <n v="15732"/>
  </r>
  <r>
    <s v="July"/>
    <d v="2024-07-31T00:00:00"/>
    <n v="61186"/>
    <n v="43734"/>
    <s v="Knnd Associates Pvt Ltd"/>
    <s v="Manipal South Bangalore"/>
    <s v="Insulation"/>
    <x v="16"/>
    <s v="Sqmt"/>
    <n v="160.69999999999999"/>
    <n v="275"/>
    <n v="44192.5"/>
  </r>
  <r>
    <s v="July"/>
    <d v="2024-07-31T00:00:00"/>
    <n v="61186"/>
    <n v="43734"/>
    <s v="Knnd Associates Pvt Ltd"/>
    <s v="Manipal South Bangalore"/>
    <s v="Insulation Flange"/>
    <x v="18"/>
    <s v="Nos"/>
    <n v="95"/>
    <n v="153"/>
    <n v="14535"/>
  </r>
  <r>
    <s v="July"/>
    <d v="2024-07-31T00:00:00"/>
    <n v="61186"/>
    <n v="43734"/>
    <s v="Knnd Associates Pvt Ltd"/>
    <s v="Manipal South Bangalore"/>
    <s v="Stretch Film"/>
    <x v="4"/>
    <s v="Sqmt"/>
    <n v="165"/>
    <n v="15"/>
    <n v="2475"/>
  </r>
  <r>
    <s v="July"/>
    <d v="2024-07-31T00:00:00"/>
    <n v="61242"/>
    <n v="43735"/>
    <s v="Knnd Associates Pvt Ltd"/>
    <s v="MAHE-CSSD-Manipal"/>
    <s v="Box Duct with TDF"/>
    <x v="11"/>
    <s v="Sqmt"/>
    <n v="146.1"/>
    <n v="586"/>
    <n v="85614.599999999991"/>
  </r>
  <r>
    <s v="July"/>
    <d v="2024-07-31T00:00:00"/>
    <n v="61242"/>
    <n v="43735"/>
    <s v="Knnd Associates Pvt Ltd"/>
    <s v="MAHE-CSSD-Manipal"/>
    <s v="Box Duct with TDF"/>
    <x v="12"/>
    <s v="Sqmt"/>
    <n v="139.1"/>
    <n v="755"/>
    <n v="105020.5"/>
  </r>
  <r>
    <s v="July"/>
    <d v="2024-07-31T00:00:00"/>
    <n v="61242"/>
    <n v="43735"/>
    <s v="Knnd Associates Pvt Ltd"/>
    <s v="MAHE-CSSD-Manipal"/>
    <s v="Box Duct with TDF"/>
    <x v="1"/>
    <s v="Sqmt"/>
    <n v="17.5"/>
    <n v="920"/>
    <n v="16100"/>
  </r>
  <r>
    <s v="July"/>
    <d v="2024-07-31T00:00:00"/>
    <n v="61242"/>
    <n v="43735"/>
    <s v="Knnd Associates Pvt Ltd"/>
    <s v="MAHE-CSSD-Manipal"/>
    <s v="Mixing Box (450x450x350H)"/>
    <x v="1"/>
    <s v="Nos"/>
    <n v="30"/>
    <n v="620"/>
    <n v="18600"/>
  </r>
  <r>
    <s v="July"/>
    <d v="2024-07-31T00:00:00"/>
    <n v="61242"/>
    <n v="43735"/>
    <s v="Knnd Associates Pvt Ltd"/>
    <s v="MAHE-CSSD-Manipal"/>
    <s v="VCD (Alu. Blade)"/>
    <x v="1"/>
    <s v="Sqmt"/>
    <n v="1.2"/>
    <n v="5200"/>
    <n v="6240"/>
  </r>
  <r>
    <s v="July"/>
    <d v="2024-07-31T00:00:00"/>
    <n v="61242"/>
    <n v="43735"/>
    <s v="Knnd Associates Pvt Ltd"/>
    <s v="MAHE-CSSD-Manipal"/>
    <s v="Plain Sheet"/>
    <x v="11"/>
    <s v="Sqmt"/>
    <n v="60"/>
    <n v="448"/>
    <n v="26880"/>
  </r>
  <r>
    <s v="July"/>
    <d v="2024-07-31T00:00:00"/>
    <n v="61242"/>
    <n v="43735"/>
    <s v="Knnd Associates Pvt Ltd"/>
    <s v="MAHE-CSSD-Manipal"/>
    <s v="Insulation"/>
    <x v="22"/>
    <s v="Sqmt"/>
    <n v="273.88260870000005"/>
    <n v="345"/>
    <n v="94489.500001500011"/>
  </r>
  <r>
    <s v="July"/>
    <d v="2024-07-31T00:00:00"/>
    <n v="61242"/>
    <n v="43735"/>
    <s v="Knnd Associates Pvt Ltd"/>
    <s v="MAHE-CSSD-Manipal"/>
    <s v="Insulation Flange"/>
    <x v="22"/>
    <s v="Sqmt"/>
    <n v="50.4"/>
    <n v="195"/>
    <n v="9828"/>
  </r>
  <r>
    <s v="July"/>
    <d v="2024-07-31T00:00:00"/>
    <n v="61242"/>
    <n v="43735"/>
    <s v="Knnd Associates Pvt Ltd"/>
    <s v="MAHE-CSSD-Manipal"/>
    <s v="Insulation Flange"/>
    <x v="18"/>
    <s v="Nos"/>
    <n v="58"/>
    <n v="153"/>
    <n v="8874"/>
  </r>
  <r>
    <s v="July"/>
    <d v="2024-07-31T00:00:00"/>
    <n v="61242"/>
    <n v="43735"/>
    <s v="Knnd Associates Pvt Ltd"/>
    <s v="MAHE-CSSD-Manipal"/>
    <s v="Stretch Film"/>
    <x v="4"/>
    <s v="Sqmt"/>
    <n v="290"/>
    <n v="15"/>
    <n v="4350"/>
  </r>
  <r>
    <s v="July"/>
    <d v="2024-07-31T00:00:00"/>
    <n v="61242"/>
    <n v="43735"/>
    <s v="Knnd Associates Pvt Ltd"/>
    <s v="MAHE-CSSD-Manipal"/>
    <s v="Insulation"/>
    <x v="36"/>
    <s v="Sqmt"/>
    <n v="36.5"/>
    <n v="580"/>
    <n v="21170"/>
  </r>
  <r>
    <s v="July"/>
    <d v="2024-07-31T00:00:00"/>
    <n v="61242"/>
    <n v="43735"/>
    <s v="Knnd Associates Pvt Ltd"/>
    <s v="MAHE-CSSD-Manipal"/>
    <s v="Spigot 200mm Dia"/>
    <x v="12"/>
    <s v="Nos"/>
    <n v="38"/>
    <n v="345"/>
    <n v="13110"/>
  </r>
  <r>
    <s v="July"/>
    <d v="2024-07-31T00:00:00"/>
    <n v="61259"/>
    <n v="43736"/>
    <s v="Knnd Associates Pvt Ltd"/>
    <s v="MAHE KH Cath Lab"/>
    <s v="Box Duct with TDF"/>
    <x v="11"/>
    <s v="Sqmt"/>
    <n v="61"/>
    <n v="586"/>
    <n v="35746"/>
  </r>
  <r>
    <s v="July"/>
    <d v="2024-07-31T00:00:00"/>
    <n v="61259"/>
    <n v="43736"/>
    <s v="Knnd Associates Pvt Ltd"/>
    <s v="MAHE KH Cath Lab"/>
    <s v="Insulation"/>
    <x v="22"/>
    <s v="Sqmt"/>
    <n v="35.799999999999997"/>
    <n v="345"/>
    <n v="12350.999999999998"/>
  </r>
  <r>
    <s v="July"/>
    <d v="2024-07-31T00:00:00"/>
    <n v="61259"/>
    <n v="43736"/>
    <s v="Knnd Associates Pvt Ltd"/>
    <s v="MAHE KH Cath Lab"/>
    <s v="Insulation"/>
    <x v="37"/>
    <s v="Sqmt"/>
    <n v="25.2"/>
    <n v="876"/>
    <n v="22075.200000000001"/>
  </r>
  <r>
    <s v="July"/>
    <d v="2024-07-31T00:00:00"/>
    <n v="61259"/>
    <n v="43736"/>
    <s v="Knnd Associates Pvt Ltd"/>
    <s v="MAHE KH Cath Lab"/>
    <s v="Insulation Flange"/>
    <x v="18"/>
    <s v="Nos"/>
    <n v="10"/>
    <n v="153"/>
    <n v="1530"/>
  </r>
  <r>
    <s v="July"/>
    <d v="2024-07-31T00:00:00"/>
    <n v="61259"/>
    <n v="43736"/>
    <s v="Knnd Associates Pvt Ltd"/>
    <s v="MAHE KH Cath Lab"/>
    <s v="Stretch Film"/>
    <x v="4"/>
    <s v="Sqmt"/>
    <n v="40"/>
    <n v="15"/>
    <n v="600"/>
  </r>
  <r>
    <s v="July"/>
    <d v="2024-07-31T00:00:00"/>
    <n v="61260"/>
    <n v="43737"/>
    <s v="Knnd Associates Pvt Ltd"/>
    <s v="Mandavi Grand Udupi"/>
    <s v="Box Duct with S&amp;C"/>
    <x v="11"/>
    <s v="Sqmt"/>
    <n v="34.4"/>
    <n v="586"/>
    <n v="20158.399999999998"/>
  </r>
  <r>
    <s v="July"/>
    <d v="2024-07-31T00:00:00"/>
    <n v="61260"/>
    <n v="43737"/>
    <s v="Knnd Associates Pvt Ltd"/>
    <s v="Mandavi Grand Udupi"/>
    <s v="Box Duct with S&amp;C"/>
    <x v="12"/>
    <s v="Sqmt"/>
    <n v="15.4"/>
    <n v="755"/>
    <n v="11627"/>
  </r>
  <r>
    <s v="July"/>
    <d v="2024-07-31T00:00:00"/>
    <n v="61260"/>
    <n v="43737"/>
    <s v="Knnd Associates Pvt Ltd"/>
    <s v="Mandavi Grand Udupi"/>
    <s v="Insulation"/>
    <x v="49"/>
    <s v="Sqmt"/>
    <n v="49.8"/>
    <n v="346"/>
    <n v="17230.8"/>
  </r>
  <r>
    <s v="July"/>
    <d v="2024-07-31T00:00:00"/>
    <n v="61260"/>
    <n v="43737"/>
    <s v="Knnd Associates Pvt Ltd"/>
    <s v="Mandavi Grand Udupi"/>
    <s v="Insulation Flange"/>
    <x v="49"/>
    <s v="Sqmt"/>
    <n v="20"/>
    <n v="200"/>
    <n v="4000"/>
  </r>
  <r>
    <s v="July"/>
    <d v="2024-07-31T00:00:00"/>
    <n v="61260"/>
    <n v="43737"/>
    <s v="Knnd Associates Pvt Ltd"/>
    <s v="Mandavi Grand Udupi"/>
    <s v="Insulation"/>
    <x v="36"/>
    <s v="Sqmt"/>
    <n v="4"/>
    <n v="580"/>
    <n v="2320"/>
  </r>
  <r>
    <s v="July"/>
    <d v="2024-07-31T00:00:00"/>
    <n v="61260"/>
    <n v="43737"/>
    <s v="Knnd Associates Pvt Ltd"/>
    <s v="Mandavi Grand Udupi"/>
    <s v="Stretch Film"/>
    <x v="4"/>
    <s v="Sqmt"/>
    <n v="60"/>
    <n v="15"/>
    <n v="900"/>
  </r>
  <r>
    <s v="August"/>
    <d v="2024-08-01T00:00:00"/>
    <n v="61266"/>
    <n v="43738"/>
    <s v="Knnd Associates Pvt Ltd"/>
    <s v="Santhoshimathaa Edible Oil"/>
    <s v="Box Duct with TDF"/>
    <x v="11"/>
    <s v="Sqmt"/>
    <n v="131.9"/>
    <n v="573"/>
    <n v="75578.7"/>
  </r>
  <r>
    <s v="August"/>
    <d v="2024-08-01T00:00:00"/>
    <n v="61266"/>
    <n v="43738"/>
    <s v="Knnd Associates Pvt Ltd"/>
    <s v="Santhoshimathaa Edible Oil"/>
    <s v="Box Duct with TDF"/>
    <x v="12"/>
    <s v="Sqmt"/>
    <n v="42.2"/>
    <n v="737"/>
    <n v="31101.4"/>
  </r>
  <r>
    <s v="August"/>
    <d v="2024-08-01T00:00:00"/>
    <n v="61266"/>
    <n v="43738"/>
    <s v="Knnd Associates Pvt Ltd"/>
    <s v="Santhoshimathaa Edible Oil"/>
    <s v="VCD (Alu. Blade)"/>
    <x v="1"/>
    <s v="Sqmt"/>
    <n v="2.1"/>
    <n v="5200"/>
    <n v="10920"/>
  </r>
  <r>
    <s v="August"/>
    <d v="2024-08-01T00:00:00"/>
    <n v="61266"/>
    <n v="43738"/>
    <s v="Knnd Associates Pvt Ltd"/>
    <s v="Santhoshimathaa Edible Oil"/>
    <s v="Insulation"/>
    <x v="50"/>
    <s v="Sqmt"/>
    <n v="131.9"/>
    <n v="452"/>
    <n v="59618.8"/>
  </r>
  <r>
    <s v="August"/>
    <d v="2024-08-01T00:00:00"/>
    <n v="61266"/>
    <n v="43738"/>
    <s v="Knnd Associates Pvt Ltd"/>
    <s v="Santhoshimathaa Edible Oil"/>
    <s v="Insulation Flange"/>
    <x v="50"/>
    <s v="Sqmt"/>
    <n v="36"/>
    <n v="295"/>
    <n v="10620"/>
  </r>
  <r>
    <s v="August"/>
    <d v="2024-08-01T00:00:00"/>
    <n v="61266"/>
    <n v="43738"/>
    <s v="Knnd Associates Pvt Ltd"/>
    <s v="Santhoshimathaa Edible Oil"/>
    <s v="Insulation"/>
    <x v="36"/>
    <s v="Sqmt"/>
    <n v="42.2"/>
    <n v="580"/>
    <n v="24476"/>
  </r>
  <r>
    <s v="August"/>
    <d v="2024-08-01T00:00:00"/>
    <n v="61266"/>
    <n v="43738"/>
    <s v="Knnd Associates Pvt Ltd"/>
    <s v="Santhoshimathaa Edible Oil"/>
    <s v="Stretch Film"/>
    <x v="4"/>
    <s v="Sqmt"/>
    <n v="140"/>
    <n v="15"/>
    <n v="2100"/>
  </r>
  <r>
    <s v="August"/>
    <d v="2024-08-02T00:00:00"/>
    <n v="61186"/>
    <n v="43739"/>
    <s v="Knnd Associates Pvt Ltd"/>
    <s v="Manipal South Bangalore"/>
    <s v="Box Duct with TDF"/>
    <x v="11"/>
    <s v="Sqmt"/>
    <n v="129.6"/>
    <n v="595"/>
    <n v="77112"/>
  </r>
  <r>
    <s v="August"/>
    <d v="2024-08-02T00:00:00"/>
    <n v="61186"/>
    <n v="43739"/>
    <s v="Knnd Associates Pvt Ltd"/>
    <s v="Manipal South Bangalore"/>
    <s v="Box Duct with TDF"/>
    <x v="12"/>
    <s v="Sqmt"/>
    <n v="41.5"/>
    <n v="760"/>
    <n v="31540"/>
  </r>
  <r>
    <s v="August"/>
    <d v="2024-08-02T00:00:00"/>
    <n v="61186"/>
    <n v="43739"/>
    <s v="Knnd Associates Pvt Ltd"/>
    <s v="Manipal South Bangalore"/>
    <s v="Insulation"/>
    <x v="17"/>
    <s v="Sqmt"/>
    <n v="37"/>
    <n v="810"/>
    <n v="29970"/>
  </r>
  <r>
    <s v="August"/>
    <d v="2024-08-02T00:00:00"/>
    <n v="61186"/>
    <n v="43739"/>
    <s v="Knnd Associates Pvt Ltd"/>
    <s v="Manipal South Bangalore"/>
    <s v="Insulation"/>
    <x v="16"/>
    <s v="Sqmt"/>
    <n v="134.1"/>
    <n v="275"/>
    <n v="36877.5"/>
  </r>
  <r>
    <s v="August"/>
    <d v="2024-08-02T00:00:00"/>
    <n v="61186"/>
    <n v="43739"/>
    <s v="Knnd Associates Pvt Ltd"/>
    <s v="Manipal South Bangalore"/>
    <s v="VCD (Alu. Blade)"/>
    <x v="2"/>
    <s v="Sqmt"/>
    <n v="7.5"/>
    <n v="5720"/>
    <n v="42900"/>
  </r>
  <r>
    <s v="August"/>
    <d v="2024-08-02T00:00:00"/>
    <n v="61186"/>
    <n v="43739"/>
    <s v="Knnd Associates Pvt Ltd"/>
    <s v="Manipal South Bangalore"/>
    <s v="Round Collar with flange 150 Dia"/>
    <x v="11"/>
    <s v="Nos"/>
    <n v="61"/>
    <n v="110"/>
    <n v="6710"/>
  </r>
  <r>
    <s v="August"/>
    <d v="2024-08-02T00:00:00"/>
    <n v="61186"/>
    <n v="43739"/>
    <s v="Knnd Associates Pvt Ltd"/>
    <s v="Manipal South Bangalore"/>
    <s v="Stretch Film"/>
    <x v="4"/>
    <s v="Sqmt"/>
    <n v="140"/>
    <n v="15"/>
    <n v="2100"/>
  </r>
  <r>
    <s v="August"/>
    <d v="2024-08-02T00:00:00"/>
    <n v="61186"/>
    <n v="43740"/>
    <s v="Knnd Associates Pvt Ltd"/>
    <s v="Manipal South Bangalore"/>
    <s v="Box Duct with TDF"/>
    <x v="11"/>
    <s v="Sqmt"/>
    <n v="179.3"/>
    <n v="595"/>
    <n v="106683.5"/>
  </r>
  <r>
    <s v="August"/>
    <d v="2024-08-02T00:00:00"/>
    <n v="61186"/>
    <n v="43740"/>
    <s v="Knnd Associates Pvt Ltd"/>
    <s v="Manipal South Bangalore"/>
    <s v="Box Duct with TDF"/>
    <x v="12"/>
    <s v="Sqmt"/>
    <n v="10.3"/>
    <n v="760"/>
    <n v="7828.0000000000009"/>
  </r>
  <r>
    <s v="August"/>
    <d v="2024-08-02T00:00:00"/>
    <n v="61186"/>
    <n v="43740"/>
    <s v="Knnd Associates Pvt Ltd"/>
    <s v="Manipal South Bangalore"/>
    <s v="Insulation"/>
    <x v="17"/>
    <s v="Sqmt"/>
    <n v="15.8"/>
    <n v="810"/>
    <n v="12798"/>
  </r>
  <r>
    <s v="August"/>
    <d v="2024-08-02T00:00:00"/>
    <n v="61186"/>
    <n v="43740"/>
    <s v="Knnd Associates Pvt Ltd"/>
    <s v="Manipal South Bangalore"/>
    <s v="Insulation"/>
    <x v="16"/>
    <s v="Sqmt"/>
    <n v="173.8"/>
    <n v="275"/>
    <n v="47795"/>
  </r>
  <r>
    <s v="August"/>
    <d v="2024-08-02T00:00:00"/>
    <n v="61186"/>
    <n v="43740"/>
    <s v="Knnd Associates Pvt Ltd"/>
    <s v="Manipal South Bangalore"/>
    <s v="Round Collar with flange 150 Dia"/>
    <x v="11"/>
    <s v="Nos"/>
    <n v="3"/>
    <n v="110"/>
    <n v="330"/>
  </r>
  <r>
    <s v="August"/>
    <d v="2024-08-02T00:00:00"/>
    <n v="61186"/>
    <n v="43740"/>
    <s v="Knnd Associates Pvt Ltd"/>
    <s v="Manipal South Bangalore"/>
    <s v="Stretch Film"/>
    <x v="4"/>
    <s v="Sqmt"/>
    <n v="175"/>
    <n v="15"/>
    <n v="2625"/>
  </r>
  <r>
    <s v="August"/>
    <d v="2024-08-02T00:00:00"/>
    <n v="61208"/>
    <n v="43741"/>
    <s v="Knnd Associates Pvt Ltd"/>
    <s v="Schneider Bangalore"/>
    <s v="Box Duct with TDF (L-shape)"/>
    <x v="11"/>
    <s v="Sqmt"/>
    <n v="519"/>
    <n v="566"/>
    <n v="293754"/>
  </r>
  <r>
    <s v="August"/>
    <d v="2024-08-02T00:00:00"/>
    <n v="61208"/>
    <n v="43741"/>
    <s v="Knnd Associates Pvt Ltd"/>
    <s v="Schneider Bangalore"/>
    <s v="Box Duct with TDF"/>
    <x v="11"/>
    <s v="Sqmt"/>
    <n v="52.6"/>
    <n v="586"/>
    <n v="30823.600000000002"/>
  </r>
  <r>
    <s v="August"/>
    <d v="2024-08-02T00:00:00"/>
    <n v="61208"/>
    <n v="43741"/>
    <s v="Knnd Associates Pvt Ltd"/>
    <s v="Schneider Bangalore"/>
    <s v="VCD (Alu. Blade)"/>
    <x v="1"/>
    <s v="Sqmt"/>
    <n v="2.4"/>
    <n v="5200"/>
    <n v="12480"/>
  </r>
  <r>
    <s v="August"/>
    <d v="2024-08-03T00:00:00"/>
    <n v="61208"/>
    <n v="43742"/>
    <s v="Knnd Associates Pvt Ltd"/>
    <s v="Schneider Bangalore"/>
    <s v="Box Duct with TDF (L-shape)"/>
    <x v="11"/>
    <s v="Sqmt"/>
    <n v="519"/>
    <n v="566"/>
    <n v="293754"/>
  </r>
  <r>
    <s v="August"/>
    <d v="2024-08-03T00:00:00"/>
    <n v="61208"/>
    <n v="43742"/>
    <s v="Knnd Associates Pvt Ltd"/>
    <s v="Schneider Bangalore"/>
    <s v="Box Duct with TDF"/>
    <x v="11"/>
    <s v="Sqmt"/>
    <n v="52.6"/>
    <n v="586"/>
    <n v="30823.600000000002"/>
  </r>
  <r>
    <s v="August"/>
    <d v="2024-08-03T00:00:00"/>
    <n v="61186"/>
    <n v="43743"/>
    <s v="Knnd Associates Pvt Ltd"/>
    <s v="Manipal South Bangalore"/>
    <s v="Box Duct with TDF"/>
    <x v="11"/>
    <s v="Sqmt"/>
    <n v="78.899999999999991"/>
    <n v="595"/>
    <n v="46945.499999999993"/>
  </r>
  <r>
    <s v="August"/>
    <d v="2024-08-03T00:00:00"/>
    <n v="61186"/>
    <n v="43743"/>
    <s v="Knnd Associates Pvt Ltd"/>
    <s v="Manipal South Bangalore"/>
    <s v="Insulation"/>
    <x v="16"/>
    <s v="Sqmt"/>
    <n v="65.3"/>
    <n v="275"/>
    <n v="17957.5"/>
  </r>
  <r>
    <s v="August"/>
    <d v="2024-08-03T00:00:00"/>
    <n v="61186"/>
    <n v="43743"/>
    <s v="Knnd Associates Pvt Ltd"/>
    <s v="Manipal South Bangalore"/>
    <s v="Stretch Film"/>
    <x v="4"/>
    <s v="Sqmt"/>
    <n v="70"/>
    <n v="15"/>
    <n v="1050"/>
  </r>
  <r>
    <s v="August"/>
    <d v="2024-08-03T00:00:00"/>
    <n v="61233"/>
    <n v="43744"/>
    <s v="Knnd Associates Pvt Ltd"/>
    <s v="Vaishnavi Bangalore"/>
    <s v="Box Duct with TDF"/>
    <x v="12"/>
    <s v="Sqmt"/>
    <n v="14.8"/>
    <n v="755"/>
    <n v="11174"/>
  </r>
  <r>
    <s v="August"/>
    <d v="2024-08-03T00:00:00"/>
    <n v="61233"/>
    <n v="43744"/>
    <s v="Knnd Associates Pvt Ltd"/>
    <s v="Vaishnavi Bangalore"/>
    <s v="Box Duct with TDF"/>
    <x v="1"/>
    <s v="Sqmt"/>
    <n v="24.1"/>
    <n v="920"/>
    <n v="22172"/>
  </r>
  <r>
    <s v="August"/>
    <d v="2024-08-03T00:00:00"/>
    <n v="61261"/>
    <n v="43745"/>
    <s v="Knnd Associates Pvt Ltd"/>
    <s v="MAHE Bangaluru"/>
    <s v="Box Duct with TDF"/>
    <x v="11"/>
    <s v="Sqmt"/>
    <n v="331.6"/>
    <n v="586"/>
    <n v="194317.6"/>
  </r>
  <r>
    <s v="August"/>
    <d v="2024-08-03T00:00:00"/>
    <n v="61261"/>
    <n v="43745"/>
    <s v="Knnd Associates Pvt Ltd"/>
    <s v="MAHE Bangaluru"/>
    <s v="Box Duct with TDF"/>
    <x v="12"/>
    <s v="Sqmt"/>
    <n v="171.4"/>
    <n v="755"/>
    <n v="129407"/>
  </r>
  <r>
    <s v="August"/>
    <d v="2024-08-03T00:00:00"/>
    <n v="61261"/>
    <n v="43745"/>
    <s v="Knnd Associates Pvt Ltd"/>
    <s v="MAHE Bangaluru"/>
    <s v="Insulation"/>
    <x v="22"/>
    <s v="Sqmt"/>
    <n v="120.8"/>
    <n v="345"/>
    <n v="41676"/>
  </r>
  <r>
    <s v="August"/>
    <d v="2024-08-03T00:00:00"/>
    <n v="61261"/>
    <n v="43745"/>
    <s v="Knnd Associates Pvt Ltd"/>
    <s v="MAHE Bangaluru"/>
    <s v="Plain Sheet"/>
    <x v="11"/>
    <s v="Sqmt"/>
    <n v="60"/>
    <n v="448"/>
    <n v="26880"/>
  </r>
  <r>
    <s v="August"/>
    <d v="2024-08-03T00:00:00"/>
    <n v="61261"/>
    <n v="43746"/>
    <s v="Knnd Associates Pvt Ltd"/>
    <s v="MAHE Bangaluru"/>
    <s v="Box Duct with TDF"/>
    <x v="12"/>
    <s v="Sqmt"/>
    <n v="44.900000000000006"/>
    <n v="755"/>
    <n v="33899.500000000007"/>
  </r>
  <r>
    <s v="August"/>
    <d v="2024-08-03T00:00:00"/>
    <n v="61261"/>
    <n v="43746"/>
    <s v="Knnd Associates Pvt Ltd"/>
    <s v="MAHE Bangaluru"/>
    <s v="Insulation"/>
    <x v="22"/>
    <s v="Sqmt"/>
    <n v="12.2"/>
    <n v="345"/>
    <n v="4209"/>
  </r>
  <r>
    <s v="August"/>
    <d v="2024-08-03T00:00:00"/>
    <n v="61261"/>
    <n v="43746"/>
    <s v="Knnd Associates Pvt Ltd"/>
    <s v="MAHE Bangaluru"/>
    <s v="Round Flange"/>
    <x v="1"/>
    <s v="Nos"/>
    <n v="14"/>
    <n v="890"/>
    <n v="12460"/>
  </r>
  <r>
    <s v="August"/>
    <d v="2024-08-06T00:00:00"/>
    <n v="61227"/>
    <n v="43747"/>
    <s v="Knnd Associates Pvt Ltd"/>
    <s v="Google Rio Bengaluru"/>
    <s v="VCD (Alu. Blade)"/>
    <x v="2"/>
    <s v="Sqmt"/>
    <n v="0.3"/>
    <n v="7200"/>
    <n v="2160"/>
  </r>
  <r>
    <s v="August"/>
    <d v="2024-08-06T00:00:00"/>
    <n v="61262"/>
    <n v="43748"/>
    <s v="Knnd Associates Pvt Ltd"/>
    <s v="MUJ Girls Food Court"/>
    <s v="Box Duct with TDF"/>
    <x v="11"/>
    <s v="Sqmt"/>
    <n v="228.20000000000002"/>
    <n v="573"/>
    <n v="130758.6"/>
  </r>
  <r>
    <s v="August"/>
    <d v="2024-08-06T00:00:00"/>
    <n v="61262"/>
    <n v="43748"/>
    <s v="Knnd Associates Pvt Ltd"/>
    <s v="MUJ Girls Food Court"/>
    <s v="Box Duct with TDF"/>
    <x v="12"/>
    <s v="Sqmt"/>
    <n v="265.10000000000002"/>
    <n v="737"/>
    <n v="195378.7"/>
  </r>
  <r>
    <s v="August"/>
    <d v="2024-08-06T00:00:00"/>
    <n v="61262"/>
    <n v="43748"/>
    <s v="Knnd Associates Pvt Ltd"/>
    <s v="MUJ Girls Food Court"/>
    <s v="VCD (Alu. Blade)"/>
    <x v="1"/>
    <s v="Sqmt"/>
    <n v="2.2000000000000002"/>
    <n v="5200"/>
    <n v="11440.000000000002"/>
  </r>
  <r>
    <s v="August"/>
    <d v="2024-08-06T00:00:00"/>
    <n v="61262"/>
    <n v="43748"/>
    <s v="Knnd Associates Pvt Ltd"/>
    <s v="MUJ Girls Food Court"/>
    <s v="Spigot 250mm Dia"/>
    <x v="12"/>
    <s v="Nos"/>
    <n v="11"/>
    <n v="405"/>
    <n v="4455"/>
  </r>
  <r>
    <s v="August"/>
    <d v="2024-08-06T00:00:00"/>
    <n v="61262"/>
    <n v="43748"/>
    <s v="Knnd Associates Pvt Ltd"/>
    <s v="MUJ Girls Food Court"/>
    <s v="Insulation"/>
    <x v="22"/>
    <s v="Sqmt"/>
    <n v="156.80000000000001"/>
    <n v="345"/>
    <n v="54096.000000000007"/>
  </r>
  <r>
    <s v="August"/>
    <d v="2024-08-06T00:00:00"/>
    <n v="61262"/>
    <n v="43748"/>
    <s v="Knnd Associates Pvt Ltd"/>
    <s v="MUJ Girls Food Court"/>
    <s v="Insulation"/>
    <x v="37"/>
    <s v="Sqmt"/>
    <n v="266.5"/>
    <n v="887"/>
    <n v="236385.5"/>
  </r>
  <r>
    <s v="August"/>
    <d v="2024-08-06T00:00:00"/>
    <n v="61262"/>
    <n v="43748"/>
    <s v="Knnd Associates Pvt Ltd"/>
    <s v="MUJ Girls Food Court"/>
    <s v="Stretch Film"/>
    <x v="4"/>
    <s v="Sqmt"/>
    <n v="160"/>
    <n v="15"/>
    <n v="2400"/>
  </r>
  <r>
    <s v="August"/>
    <d v="2024-08-07T00:00:00"/>
    <n v="61269"/>
    <n v="43749"/>
    <s v="Knnd Associates Pvt Ltd"/>
    <s v="Maddur Factory"/>
    <s v="Spiral Round Duct"/>
    <x v="5"/>
    <s v="Sqmt"/>
    <n v="372.6"/>
    <n v="540"/>
    <n v="201204"/>
  </r>
  <r>
    <s v="August"/>
    <d v="2024-08-08T00:00:00"/>
    <n v="61270"/>
    <n v="43750"/>
    <s v="Knnd Associates Pvt Ltd"/>
    <s v="MAHE-CIF DAMP"/>
    <s v="Pressure Testing of Ducts"/>
    <x v="24"/>
    <s v="Sqmt"/>
    <n v="55.5"/>
    <n v="35"/>
    <n v="1942.5"/>
  </r>
  <r>
    <s v="August"/>
    <d v="2024-08-08T00:00:00"/>
    <n v="61271"/>
    <n v="43751"/>
    <s v="Knnd Associates Pvt Ltd"/>
    <s v="MAHE-CSSD-Manipal"/>
    <s v="Pressure Testing of Ducts"/>
    <x v="24"/>
    <s v="Sqmt"/>
    <n v="302.7"/>
    <n v="35"/>
    <n v="10594.5"/>
  </r>
  <r>
    <s v="August"/>
    <d v="2024-08-08T00:00:00"/>
    <n v="61272"/>
    <n v="43752"/>
    <s v="Knnd Associates Pvt Ltd"/>
    <s v="Chanakya University AB2"/>
    <s v="Pressure Testing of Ducts"/>
    <x v="24"/>
    <s v="Sqmt"/>
    <n v="1308.9000000000001"/>
    <n v="35"/>
    <n v="45811.5"/>
  </r>
  <r>
    <s v="August"/>
    <d v="2024-08-08T00:00:00"/>
    <n v="61273"/>
    <n v="43753"/>
    <s v="Knnd Associates Pvt Ltd"/>
    <s v="M5 Mall  Bangalore"/>
    <s v="Pressure Testing of Ducts"/>
    <x v="24"/>
    <s v="Sqmt"/>
    <n v="55"/>
    <n v="35"/>
    <n v="1925"/>
  </r>
  <r>
    <s v="August"/>
    <d v="2024-08-08T00:00:00"/>
    <n v="61274"/>
    <n v="43754"/>
    <s v="Knnd Associates Pvt Ltd"/>
    <s v="BVVS Bagalkot"/>
    <s v="Pressure Testing of Ducts"/>
    <x v="24"/>
    <s v="Sqmt"/>
    <n v="1883.6"/>
    <n v="35"/>
    <n v="65926"/>
  </r>
  <r>
    <s v="August"/>
    <d v="2024-08-08T00:00:00"/>
    <n v="61275"/>
    <n v="43755"/>
    <s v="Knnd Associates Pvt Ltd"/>
    <s v="Vaishnavi Bangalore"/>
    <s v="Pressure Testing of Ducts"/>
    <x v="24"/>
    <s v="Sqmt"/>
    <n v="426.2"/>
    <n v="35"/>
    <n v="14917"/>
  </r>
  <r>
    <s v="August"/>
    <d v="2024-08-08T00:00:00"/>
    <n v="61276"/>
    <n v="43756"/>
    <s v="Knnd Associates Pvt Ltd"/>
    <s v="Manipal South Bangalore"/>
    <s v="Pressure Testing of Ducts"/>
    <x v="24"/>
    <s v="Sqmt"/>
    <n v="4032.6"/>
    <n v="35"/>
    <n v="141141"/>
  </r>
  <r>
    <s v="August"/>
    <d v="2024-08-08T00:00:00"/>
    <n v="61277"/>
    <n v="43757"/>
    <s v="Knnd Associates Pvt Ltd"/>
    <s v="Thirumalesha Residency Bangalore"/>
    <s v="Pressure Testing of Ducts"/>
    <x v="24"/>
    <s v="Sqmt"/>
    <n v="34.200000000000003"/>
    <n v="35"/>
    <n v="1197"/>
  </r>
  <r>
    <s v="August"/>
    <d v="2024-08-08T00:00:00"/>
    <n v="61278"/>
    <n v="43758"/>
    <s v="Knnd Associates Pvt Ltd"/>
    <s v="Vaishnavi Race Course"/>
    <s v="Pressure Testing of Ducts"/>
    <x v="24"/>
    <s v="Sqmt"/>
    <n v="55.7"/>
    <n v="35"/>
    <n v="1949.5"/>
  </r>
  <r>
    <s v="August"/>
    <d v="2024-08-08T00:00:00"/>
    <n v="61279"/>
    <n v="43759"/>
    <s v="Knnd Associates Pvt Ltd"/>
    <s v="Mandavi Grand Udupi"/>
    <s v="Pressure Testing of Ducts"/>
    <x v="24"/>
    <s v="Sqmt"/>
    <n v="49.8"/>
    <n v="35"/>
    <n v="1743"/>
  </r>
  <r>
    <s v="August"/>
    <d v="2024-08-08T00:00:00"/>
    <n v="61280"/>
    <n v="43760"/>
    <s v="Knnd Associates Pvt Ltd"/>
    <s v="KMC Attavara"/>
    <s v="Pressure Testing of Ducts"/>
    <x v="24"/>
    <s v="Sqmt"/>
    <n v="93.1"/>
    <n v="35"/>
    <n v="3258.5"/>
  </r>
  <r>
    <s v="August"/>
    <d v="2024-08-08T00:00:00"/>
    <n v="61281"/>
    <n v="43761"/>
    <s v="Knnd Associates Pvt Ltd"/>
    <s v="MAHE KH Cath Lab"/>
    <s v="Pressure Testing of Ducts"/>
    <x v="24"/>
    <s v="Sqmt"/>
    <n v="61"/>
    <n v="35"/>
    <n v="2135"/>
  </r>
  <r>
    <s v="August"/>
    <d v="2024-08-08T00:00:00"/>
    <n v="61282"/>
    <n v="43762"/>
    <s v="Knnd Associates Pvt Ltd"/>
    <s v="Infosys Coimbatore"/>
    <s v="Pressure Testing of Ducts"/>
    <x v="24"/>
    <s v="Sqmt"/>
    <n v="1077.8"/>
    <n v="35"/>
    <n v="37723"/>
  </r>
  <r>
    <s v="August"/>
    <d v="2024-08-08T00:00:00"/>
    <n v="61283"/>
    <n v="43763"/>
    <s v="Knnd Associates Pvt Ltd"/>
    <s v="KIMS Nagercoil"/>
    <s v="Pressure Testing of Ducts"/>
    <x v="24"/>
    <s v="Sqmt"/>
    <n v="456.4"/>
    <n v="35"/>
    <n v="15974"/>
  </r>
  <r>
    <s v="August"/>
    <d v="2024-08-08T00:00:00"/>
    <n v="61284"/>
    <n v="43764"/>
    <s v="Knnd Associates Pvt Ltd"/>
    <s v="L&amp;T Equinox Chennai"/>
    <s v="Pressure Testing of Ducts"/>
    <x v="24"/>
    <s v="Sqmt"/>
    <n v="172.9"/>
    <n v="35"/>
    <n v="6051.5"/>
  </r>
  <r>
    <s v="August"/>
    <d v="2024-08-08T00:00:00"/>
    <n v="61285"/>
    <n v="43765"/>
    <s v="Knnd Associates Pvt Ltd"/>
    <s v="MUJ Girls Food Court"/>
    <s v="Pressure Testing of Ducts"/>
    <x v="24"/>
    <s v="Sqmt"/>
    <n v="651.9"/>
    <n v="35"/>
    <n v="22816.5"/>
  </r>
  <r>
    <s v="August"/>
    <d v="2024-08-08T00:00:00"/>
    <n v="61286"/>
    <n v="43766"/>
    <s v="Knnd Associates Pvt Ltd"/>
    <s v="MUJ Hostel Block"/>
    <s v="Pressure Testing of Ducts"/>
    <x v="24"/>
    <s v="Sqmt"/>
    <n v="439.2"/>
    <n v="35"/>
    <n v="15372"/>
  </r>
  <r>
    <s v="August"/>
    <d v="2024-08-08T00:00:00"/>
    <n v="61287"/>
    <n v="43767"/>
    <s v="Knnd Associates Pvt Ltd"/>
    <s v="MUJ Computer Lab"/>
    <s v="Pressure Testing of Ducts"/>
    <x v="24"/>
    <s v="Sqmt"/>
    <n v="111.8"/>
    <n v="35"/>
    <n v="3913"/>
  </r>
  <r>
    <s v="August"/>
    <d v="2024-08-08T00:00:00"/>
    <n v="61288"/>
    <n v="43768"/>
    <s v="Knnd Associates Pvt Ltd"/>
    <s v="MUJ Girls Hostel"/>
    <s v="Pressure Testing of Ducts"/>
    <x v="24"/>
    <s v="Sqmt"/>
    <n v="258.10000000000002"/>
    <n v="35"/>
    <n v="9033.5"/>
  </r>
  <r>
    <s v="August"/>
    <d v="2024-08-08T00:00:00"/>
    <n v="61289"/>
    <n v="43769"/>
    <s v="Knnd Associates Pvt Ltd"/>
    <s v="MUJ Boys Hostel"/>
    <s v="Pressure Testing of Ducts"/>
    <x v="24"/>
    <s v="Sqmt"/>
    <n v="225"/>
    <n v="35"/>
    <n v="7875"/>
  </r>
  <r>
    <s v="August"/>
    <d v="2024-08-08T00:00:00"/>
    <n v="61290"/>
    <n v="43770"/>
    <s v="Knnd Associates Pvt Ltd"/>
    <s v="MUJ UGR"/>
    <s v="Pressure Testing of Ducts"/>
    <x v="24"/>
    <s v="Sqmt"/>
    <n v="25.5"/>
    <n v="35"/>
    <n v="892.5"/>
  </r>
  <r>
    <s v="August"/>
    <d v="2024-08-08T00:00:00"/>
    <n v="61263"/>
    <n v="43771"/>
    <s v="Knnd Associates Pvt Ltd"/>
    <s v="Schneider Bangalore"/>
    <s v="Box Duct with TDF (L-shape)"/>
    <x v="11"/>
    <s v="Sqmt"/>
    <n v="9.6999999999999993"/>
    <n v="553"/>
    <n v="5364.0999999999995"/>
  </r>
  <r>
    <s v="August"/>
    <d v="2024-08-08T00:00:00"/>
    <n v="61263"/>
    <n v="43771"/>
    <s v="Knnd Associates Pvt Ltd"/>
    <s v="Schneider Bangalore"/>
    <s v="Box Duct with TDF (L-shape)"/>
    <x v="12"/>
    <s v="Sqmt"/>
    <n v="540.4"/>
    <n v="717"/>
    <n v="387466.8"/>
  </r>
  <r>
    <s v="August"/>
    <d v="2024-08-08T00:00:00"/>
    <n v="61263"/>
    <n v="43771"/>
    <s v="Knnd Associates Pvt Ltd"/>
    <s v="Schneider Bangalore"/>
    <s v="Box Duct with TDF"/>
    <x v="12"/>
    <s v="Sqmt"/>
    <n v="24.2"/>
    <n v="737"/>
    <n v="17835.399999999998"/>
  </r>
  <r>
    <s v="August"/>
    <d v="2024-08-08T00:00:00"/>
    <n v="61263"/>
    <n v="43771"/>
    <s v="Knnd Associates Pvt Ltd"/>
    <s v="Schneider Bangalore"/>
    <s v="Box Duct with TDF (L-shape)"/>
    <x v="1"/>
    <s v="Sqmt"/>
    <n v="41.6"/>
    <n v="885"/>
    <n v="36816"/>
  </r>
  <r>
    <s v="August"/>
    <d v="2024-08-08T00:00:00"/>
    <n v="61263"/>
    <n v="43771"/>
    <s v="Knnd Associates Pvt Ltd"/>
    <s v="Schneider Bangalore"/>
    <s v="Box Duct with TDF"/>
    <x v="1"/>
    <s v="Sqmt"/>
    <n v="14"/>
    <n v="905"/>
    <n v="12670"/>
  </r>
  <r>
    <s v="August"/>
    <d v="2024-08-09T00:00:00"/>
    <n v="61263"/>
    <n v="43772"/>
    <s v="Knnd Associates Pvt Ltd"/>
    <s v="Schneider Bangalore"/>
    <s v="Box Duct with TDF (L-shape)"/>
    <x v="11"/>
    <s v="Sqmt"/>
    <n v="12.2"/>
    <n v="553"/>
    <n v="6746.5999999999995"/>
  </r>
  <r>
    <s v="August"/>
    <d v="2024-08-09T00:00:00"/>
    <n v="61263"/>
    <n v="43772"/>
    <s v="Knnd Associates Pvt Ltd"/>
    <s v="Schneider Bangalore"/>
    <s v="Box Duct with TDF (L-shape)"/>
    <x v="12"/>
    <s v="Sqmt"/>
    <n v="59.8"/>
    <n v="717"/>
    <n v="42876.6"/>
  </r>
  <r>
    <s v="August"/>
    <d v="2024-08-09T00:00:00"/>
    <n v="61263"/>
    <n v="43772"/>
    <s v="Knnd Associates Pvt Ltd"/>
    <s v="Schneider Bangalore"/>
    <s v="Box Duct with TDF"/>
    <x v="12"/>
    <s v="Sqmt"/>
    <n v="75"/>
    <n v="737"/>
    <n v="55275"/>
  </r>
  <r>
    <s v="August"/>
    <d v="2024-08-09T00:00:00"/>
    <n v="61263"/>
    <n v="43772"/>
    <s v="Knnd Associates Pvt Ltd"/>
    <s v="Schneider Bangalore"/>
    <s v="Box Duct with TDF (L-shape)"/>
    <x v="1"/>
    <s v="Sqmt"/>
    <n v="36.799999999999997"/>
    <n v="885"/>
    <n v="32567.999999999996"/>
  </r>
  <r>
    <s v="August"/>
    <d v="2024-08-09T00:00:00"/>
    <n v="61263"/>
    <n v="43773"/>
    <s v="Knnd Associates Pvt Ltd"/>
    <s v="Schneider Bangalore"/>
    <s v="Box Duct with TDF"/>
    <x v="11"/>
    <s v="Sqmt"/>
    <n v="6.8"/>
    <n v="573"/>
    <n v="3896.4"/>
  </r>
  <r>
    <s v="August"/>
    <d v="2024-08-09T00:00:00"/>
    <n v="61263"/>
    <n v="43773"/>
    <s v="Knnd Associates Pvt Ltd"/>
    <s v="Schneider Bangalore"/>
    <s v="Box Duct with TDF"/>
    <x v="12"/>
    <s v="Sqmt"/>
    <n v="48.9"/>
    <n v="737"/>
    <n v="36039.299999999996"/>
  </r>
  <r>
    <s v="August"/>
    <d v="2024-08-09T00:00:00"/>
    <n v="61291"/>
    <n v="43774"/>
    <s v="Eqube Energy and Research Services LLP"/>
    <s v="Siemens Ltd Bangalore"/>
    <s v="Box Duct with TDF"/>
    <x v="11"/>
    <s v="Sqmt"/>
    <n v="55.6"/>
    <n v="575"/>
    <n v="31970"/>
  </r>
  <r>
    <s v="August"/>
    <d v="2024-08-09T00:00:00"/>
    <n v="61291"/>
    <n v="43774"/>
    <s v="Eqube Energy and Research Services LLP"/>
    <s v="Siemens Ltd Bangalore"/>
    <s v="Box Duct with TDF"/>
    <x v="12"/>
    <s v="Sqmt"/>
    <n v="56.9"/>
    <n v="735"/>
    <n v="41821.5"/>
  </r>
  <r>
    <s v="August"/>
    <d v="2024-08-10T00:00:00"/>
    <n v="61264"/>
    <n v="43775"/>
    <s v="Knnd Associates Pvt Ltd"/>
    <s v="Nitte NIHS Mangalore"/>
    <s v="Box Duct with TDF"/>
    <x v="11"/>
    <s v="Sqmt"/>
    <n v="99"/>
    <n v="573"/>
    <n v="56727"/>
  </r>
  <r>
    <s v="August"/>
    <d v="2024-08-10T00:00:00"/>
    <n v="61264"/>
    <n v="43775"/>
    <s v="Knnd Associates Pvt Ltd"/>
    <s v="Nitte NIHS Mangalore"/>
    <s v="Box Duct with TDF"/>
    <x v="12"/>
    <s v="Sqmt"/>
    <n v="184.9"/>
    <n v="737"/>
    <n v="136271.30000000002"/>
  </r>
  <r>
    <s v="August"/>
    <d v="2024-08-10T00:00:00"/>
    <n v="61264"/>
    <n v="43775"/>
    <s v="Knnd Associates Pvt Ltd"/>
    <s v="Nitte NIHS Mangalore"/>
    <s v="Insulation"/>
    <x v="30"/>
    <s v="Sqmt"/>
    <n v="53.4"/>
    <n v="640"/>
    <n v="34176"/>
  </r>
  <r>
    <s v="August"/>
    <d v="2024-08-10T00:00:00"/>
    <n v="61264"/>
    <n v="43775"/>
    <s v="Knnd Associates Pvt Ltd"/>
    <s v="Nitte NIHS Mangalore"/>
    <s v="Insulation"/>
    <x v="25"/>
    <s v="Sqmt"/>
    <n v="153.4"/>
    <n v="350"/>
    <n v="53690"/>
  </r>
  <r>
    <s v="August"/>
    <d v="2024-08-10T00:00:00"/>
    <n v="61264"/>
    <n v="43775"/>
    <s v="Knnd Associates Pvt Ltd"/>
    <s v="Nitte NIHS Mangalore"/>
    <s v="Insulation"/>
    <x v="51"/>
    <s v="Sqmt"/>
    <n v="86.011627909999987"/>
    <n v="645"/>
    <n v="55477.500001949993"/>
  </r>
  <r>
    <s v="August"/>
    <d v="2024-08-10T00:00:00"/>
    <n v="61264"/>
    <n v="43775"/>
    <s v="Knnd Associates Pvt Ltd"/>
    <s v="Nitte NIHS Mangalore"/>
    <s v="Mixing Box (375x375x400H)"/>
    <x v="11"/>
    <s v="Nos"/>
    <n v="12"/>
    <n v="501"/>
    <n v="6012"/>
  </r>
  <r>
    <s v="August"/>
    <d v="2024-08-10T00:00:00"/>
    <n v="61264"/>
    <n v="43775"/>
    <s v="Knnd Associates Pvt Ltd"/>
    <s v="Nitte NIHS Mangalore"/>
    <s v="VCD (Alu. Blade)"/>
    <x v="1"/>
    <s v="Sqmt"/>
    <n v="0.8"/>
    <n v="5200"/>
    <n v="4160"/>
  </r>
  <r>
    <s v="August"/>
    <d v="2024-08-10T00:00:00"/>
    <n v="61264"/>
    <n v="43775"/>
    <s v="Knnd Associates Pvt Ltd"/>
    <s v="Nitte NIHS Mangalore"/>
    <s v="Spigot 300mm Dia"/>
    <x v="12"/>
    <s v="Nos"/>
    <n v="18"/>
    <n v="525"/>
    <n v="9450"/>
  </r>
  <r>
    <s v="August"/>
    <d v="2024-08-10T00:00:00"/>
    <n v="61264"/>
    <n v="43775"/>
    <s v="Knnd Associates Pvt Ltd"/>
    <s v="Nitte NIHS Mangalore"/>
    <s v="Insulation Flange"/>
    <x v="25"/>
    <s v="Sqmt"/>
    <n v="40"/>
    <n v="200"/>
    <n v="8000"/>
  </r>
  <r>
    <s v="August"/>
    <d v="2024-08-10T00:00:00"/>
    <n v="61264"/>
    <n v="43775"/>
    <s v="Knnd Associates Pvt Ltd"/>
    <s v="Nitte NIHS Mangalore"/>
    <s v="Insulation Flange"/>
    <x v="51"/>
    <s v="Sqmt"/>
    <n v="24"/>
    <n v="460"/>
    <n v="11040"/>
  </r>
  <r>
    <s v="August"/>
    <d v="2024-08-10T00:00:00"/>
    <n v="61264"/>
    <n v="43775"/>
    <s v="Knnd Associates Pvt Ltd"/>
    <s v="Nitte NIHS Mangalore"/>
    <s v="Stretch Film"/>
    <x v="4"/>
    <s v="Sqmt"/>
    <n v="240"/>
    <n v="15"/>
    <n v="3600"/>
  </r>
  <r>
    <s v="August"/>
    <d v="2024-08-10T00:00:00"/>
    <n v="61137"/>
    <n v="43776"/>
    <s v="Knnd Associates Pvt Ltd"/>
    <s v="BVVS Bagalkot"/>
    <s v="Box Duct with TDF"/>
    <x v="11"/>
    <s v="Sqmt"/>
    <n v="3.9"/>
    <n v="590"/>
    <n v="2301"/>
  </r>
  <r>
    <s v="August"/>
    <d v="2024-08-10T00:00:00"/>
    <n v="61137"/>
    <n v="43776"/>
    <s v="Knnd Associates Pvt Ltd"/>
    <s v="BVVS Bagalkot"/>
    <s v="Box Duct with TDF"/>
    <x v="12"/>
    <s v="Sqmt"/>
    <n v="179.5"/>
    <n v="760"/>
    <n v="136420"/>
  </r>
  <r>
    <s v="August"/>
    <d v="2024-08-10T00:00:00"/>
    <n v="61137"/>
    <n v="43776"/>
    <s v="Knnd Associates Pvt Ltd"/>
    <s v="BVVS Bagalkot"/>
    <s v="VCD (Alu. Blade)"/>
    <x v="1"/>
    <s v="Sqmt"/>
    <n v="2.4"/>
    <n v="5200"/>
    <n v="12480"/>
  </r>
  <r>
    <s v="August"/>
    <d v="2024-08-10T00:00:00"/>
    <n v="61137"/>
    <n v="43776"/>
    <s v="Knnd Associates Pvt Ltd"/>
    <s v="BVVS Bagalkot"/>
    <s v="Insulation"/>
    <x v="45"/>
    <s v="Sqmt"/>
    <n v="146.80000000000001"/>
    <n v="615"/>
    <n v="90282"/>
  </r>
  <r>
    <s v="August"/>
    <d v="2024-08-10T00:00:00"/>
    <n v="61137"/>
    <n v="43776"/>
    <s v="Knnd Associates Pvt Ltd"/>
    <s v="BVVS Bagalkot"/>
    <s v="Insulation Flange"/>
    <x v="45"/>
    <s v="Sqmt"/>
    <n v="60"/>
    <n v="440"/>
    <n v="26400"/>
  </r>
  <r>
    <s v="August"/>
    <d v="2024-08-10T00:00:00"/>
    <n v="61137"/>
    <n v="43776"/>
    <s v="Knnd Associates Pvt Ltd"/>
    <s v="BVVS Bagalkot"/>
    <s v="Stretch Film"/>
    <x v="4"/>
    <s v="Sqmt"/>
    <n v="150"/>
    <n v="15"/>
    <n v="2250"/>
  </r>
  <r>
    <s v="August"/>
    <d v="2024-08-10T00:00:00"/>
    <n v="61265"/>
    <n v="43777"/>
    <s v="Knnd Associates Pvt Ltd"/>
    <s v="BVVS Bagalkot"/>
    <s v="Mixing Box (375x375x400H)"/>
    <x v="11"/>
    <s v="Nos"/>
    <n v="64"/>
    <n v="501"/>
    <n v="32064"/>
  </r>
  <r>
    <s v="August"/>
    <d v="2024-08-10T00:00:00"/>
    <n v="61265"/>
    <n v="43777"/>
    <s v="Knnd Associates Pvt Ltd"/>
    <s v="BVVS Bagalkot"/>
    <s v="Mixing Box (300x300x350H)"/>
    <x v="11"/>
    <s v="Nos"/>
    <n v="39"/>
    <n v="390"/>
    <n v="15210"/>
  </r>
  <r>
    <s v="August"/>
    <d v="2024-08-10T00:00:00"/>
    <n v="61265"/>
    <n v="43777"/>
    <s v="Knnd Associates Pvt Ltd"/>
    <s v="BVVS Bagalkot"/>
    <s v="Mixing Box (225x225x300H)"/>
    <x v="11"/>
    <s v="Nos"/>
    <n v="10"/>
    <n v="280"/>
    <n v="2800"/>
  </r>
  <r>
    <s v="August"/>
    <d v="2024-08-10T00:00:00"/>
    <n v="61265"/>
    <n v="43777"/>
    <s v="Knnd Associates Pvt Ltd"/>
    <s v="BVVS Bagalkot"/>
    <s v="Mixing Box (375x375x350H)"/>
    <x v="11"/>
    <s v="Nos"/>
    <n v="220"/>
    <n v="445"/>
    <n v="97900"/>
  </r>
  <r>
    <s v="August"/>
    <d v="2024-08-10T00:00:00"/>
    <n v="61265"/>
    <n v="43777"/>
    <s v="Knnd Associates Pvt Ltd"/>
    <s v="BVVS Bagalkot"/>
    <s v="Mixing Box (450x450x400H)"/>
    <x v="11"/>
    <s v="Nos"/>
    <n v="8"/>
    <n v="726"/>
    <n v="5808"/>
  </r>
  <r>
    <s v="August"/>
    <d v="2024-08-10T00:00:00"/>
    <n v="61265"/>
    <n v="43777"/>
    <s v="Knnd Associates Pvt Ltd"/>
    <s v="BVVS Bagalkot"/>
    <s v="Mixing Box (450x450x500H)"/>
    <x v="11"/>
    <s v="Nos"/>
    <n v="4"/>
    <n v="840"/>
    <n v="3360"/>
  </r>
  <r>
    <s v="August"/>
    <d v="2024-08-10T00:00:00"/>
    <n v="61265"/>
    <n v="43777"/>
    <s v="Knnd Associates Pvt Ltd"/>
    <s v="BVVS Bagalkot"/>
    <s v="Mixing Box (300x300x350H)"/>
    <x v="11"/>
    <s v="Nos"/>
    <n v="96"/>
    <n v="390"/>
    <n v="37440"/>
  </r>
  <r>
    <s v="August"/>
    <d v="2024-08-10T00:00:00"/>
    <n v="61265"/>
    <n v="43777"/>
    <s v="Knnd Associates Pvt Ltd"/>
    <s v="BVVS Bagalkot"/>
    <s v="Mixing Box (450x450x400H)"/>
    <x v="11"/>
    <s v="Nos"/>
    <n v="11"/>
    <n v="726"/>
    <n v="7986"/>
  </r>
  <r>
    <s v="August"/>
    <d v="2024-08-10T00:00:00"/>
    <n v="61265"/>
    <n v="43777"/>
    <s v="Knnd Associates Pvt Ltd"/>
    <s v="BVVS Bagalkot"/>
    <s v="Mixing Box (300x300x300H)"/>
    <x v="11"/>
    <s v="Nos"/>
    <n v="10"/>
    <n v="381"/>
    <n v="3810"/>
  </r>
  <r>
    <s v="August"/>
    <d v="2024-08-10T00:00:00"/>
    <n v="61265"/>
    <n v="43777"/>
    <s v="Knnd Associates Pvt Ltd"/>
    <s v="BVVS Bagalkot"/>
    <s v="Insulation"/>
    <x v="14"/>
    <s v="Sqmt"/>
    <n v="218.29"/>
    <n v="410"/>
    <n v="89498.9"/>
  </r>
  <r>
    <s v="August"/>
    <d v="2024-08-10T00:00:00"/>
    <n v="61265"/>
    <n v="43777"/>
    <s v="Knnd Associates Pvt Ltd"/>
    <s v="BVVS Bagalkot"/>
    <s v="Insulation"/>
    <x v="17"/>
    <s v="Sqmt"/>
    <n v="67.185000000000002"/>
    <n v="805"/>
    <n v="54083.925000000003"/>
  </r>
  <r>
    <s v="August"/>
    <d v="2024-08-10T00:00:00"/>
    <n v="61292"/>
    <n v="43778"/>
    <s v="Knnd Associates Pvt Ltd"/>
    <s v="Equinox Mumbai"/>
    <s v="Plain Sheet"/>
    <x v="11"/>
    <s v="Sqmt"/>
    <n v="60"/>
    <n v="448"/>
    <n v="26880"/>
  </r>
  <r>
    <s v="August"/>
    <d v="2024-08-10T00:00:00"/>
    <n v="61262"/>
    <n v="43779"/>
    <s v="Knnd Associates Pvt Ltd"/>
    <s v="MUJ Girls Food Court"/>
    <s v="Spiral Oval Duct"/>
    <x v="5"/>
    <s v="Sqmt"/>
    <n v="15.4"/>
    <n v="670"/>
    <n v="10318"/>
  </r>
  <r>
    <s v="August"/>
    <d v="2024-08-10T00:00:00"/>
    <n v="61262"/>
    <n v="43779"/>
    <s v="Knnd Associates Pvt Ltd"/>
    <s v="MUJ Girls Food Court"/>
    <s v="Spiral Oval Duct"/>
    <x v="6"/>
    <s v="Sqmt"/>
    <n v="300.10000000000002"/>
    <n v="765"/>
    <n v="229576.50000000003"/>
  </r>
  <r>
    <s v="August"/>
    <d v="2024-08-10T00:00:00"/>
    <n v="61262"/>
    <n v="43779"/>
    <s v="Knnd Associates Pvt Ltd"/>
    <s v="MUJ Girls Food Court"/>
    <s v="Spiral Oval Coupling"/>
    <x v="7"/>
    <s v="Sqmt"/>
    <n v="13.3"/>
    <n v="907"/>
    <n v="12063.1"/>
  </r>
  <r>
    <s v="August"/>
    <d v="2024-08-10T00:00:00"/>
    <n v="61262"/>
    <n v="43779"/>
    <s v="Knnd Associates Pvt Ltd"/>
    <s v="MUJ Girls Food Court"/>
    <s v="Insulation"/>
    <x v="22"/>
    <s v="Sqmt"/>
    <n v="328.8"/>
    <n v="345"/>
    <n v="113436"/>
  </r>
  <r>
    <s v="August"/>
    <d v="2024-08-10T00:00:00"/>
    <n v="61262"/>
    <n v="43779"/>
    <s v="Knnd Associates Pvt Ltd"/>
    <s v="MUJ Girls Food Court"/>
    <s v="Insulation Flange"/>
    <x v="18"/>
    <s v="Nos"/>
    <n v="10"/>
    <n v="153"/>
    <n v="1530"/>
  </r>
  <r>
    <s v="August"/>
    <d v="2024-08-10T00:00:00"/>
    <n v="61262"/>
    <n v="43779"/>
    <s v="Knnd Associates Pvt Ltd"/>
    <s v="MUJ Girls Food Court"/>
    <s v="Round Collar with flange 150 Dia"/>
    <x v="11"/>
    <s v="Nos"/>
    <n v="150"/>
    <n v="110"/>
    <n v="16500"/>
  </r>
  <r>
    <s v="August"/>
    <d v="2024-08-10T00:00:00"/>
    <n v="61250"/>
    <n v="43780"/>
    <s v="Knnd Associates Pvt Ltd"/>
    <s v="MUJ Boys Hostel"/>
    <s v="Box Duct with TDF"/>
    <x v="11"/>
    <s v="Sqmt"/>
    <n v="19.600000000000001"/>
    <n v="586"/>
    <n v="11485.6"/>
  </r>
  <r>
    <s v="August"/>
    <d v="2024-08-12T00:00:00"/>
    <n v="61262"/>
    <n v="43781"/>
    <s v="Knnd Associates Pvt Ltd"/>
    <s v="MUJ Girls Food Court"/>
    <s v="Box Duct with TDF"/>
    <x v="11"/>
    <s v="Sqmt"/>
    <n v="33.1"/>
    <n v="573"/>
    <n v="18966.3"/>
  </r>
  <r>
    <s v="August"/>
    <d v="2024-08-12T00:00:00"/>
    <n v="61262"/>
    <n v="43781"/>
    <s v="Knnd Associates Pvt Ltd"/>
    <s v="MUJ Girls Food Court"/>
    <s v="Box Duct with TDF"/>
    <x v="12"/>
    <s v="Sqmt"/>
    <n v="77.699999999999989"/>
    <n v="737"/>
    <n v="57264.899999999994"/>
  </r>
  <r>
    <s v="August"/>
    <d v="2024-08-12T00:00:00"/>
    <n v="61262"/>
    <n v="43781"/>
    <s v="Knnd Associates Pvt Ltd"/>
    <s v="MUJ Girls Food Court"/>
    <s v="Spiral Oval Duct"/>
    <x v="5"/>
    <s v="Sqmt"/>
    <n v="2.4"/>
    <n v="670"/>
    <n v="1608"/>
  </r>
  <r>
    <s v="August"/>
    <d v="2024-08-12T00:00:00"/>
    <n v="61262"/>
    <n v="43781"/>
    <s v="Knnd Associates Pvt Ltd"/>
    <s v="MUJ Girls Food Court"/>
    <s v="Spiral Oval Duct"/>
    <x v="6"/>
    <s v="Sqmt"/>
    <n v="54.3"/>
    <n v="765"/>
    <n v="41539.5"/>
  </r>
  <r>
    <s v="August"/>
    <d v="2024-08-12T00:00:00"/>
    <n v="61262"/>
    <n v="43781"/>
    <s v="Knnd Associates Pvt Ltd"/>
    <s v="MUJ Girls Food Court"/>
    <s v="Insulation"/>
    <x v="22"/>
    <s v="Sqmt"/>
    <n v="109.19999999999999"/>
    <n v="345"/>
    <n v="37673.999999999993"/>
  </r>
  <r>
    <s v="August"/>
    <d v="2024-08-12T00:00:00"/>
    <n v="61262"/>
    <n v="43781"/>
    <s v="Knnd Associates Pvt Ltd"/>
    <s v="MUJ Girls Food Court"/>
    <s v="Insulation"/>
    <x v="37"/>
    <s v="Sqmt"/>
    <n v="55.8"/>
    <n v="887"/>
    <n v="49494.6"/>
  </r>
  <r>
    <s v="August"/>
    <d v="2024-08-12T00:00:00"/>
    <n v="61262"/>
    <n v="43781"/>
    <s v="Knnd Associates Pvt Ltd"/>
    <s v="MUJ Girls Food Court"/>
    <s v="Spiral VCD"/>
    <x v="7"/>
    <s v="Sqmt"/>
    <n v="1.8"/>
    <n v="3200"/>
    <n v="5760"/>
  </r>
  <r>
    <s v="August"/>
    <d v="2024-08-12T00:00:00"/>
    <n v="61262"/>
    <n v="43781"/>
    <s v="Knnd Associates Pvt Ltd"/>
    <s v="MUJ Girls Food Court"/>
    <s v="Stretch Film"/>
    <x v="4"/>
    <s v="Sqmt"/>
    <n v="60"/>
    <n v="15"/>
    <n v="900"/>
  </r>
  <r>
    <s v="August"/>
    <d v="2024-08-12T00:00:00"/>
    <n v="60965"/>
    <n v="43782"/>
    <s v="Knnd Associates Pvt Ltd"/>
    <s v="MUJ Hostel Block"/>
    <s v="Box Duct with TDF"/>
    <x v="12"/>
    <s v="Sqmt"/>
    <n v="236.9"/>
    <n v="770"/>
    <n v="182413"/>
  </r>
  <r>
    <s v="August"/>
    <d v="2024-08-12T00:00:00"/>
    <n v="60965"/>
    <n v="43782"/>
    <s v="Knnd Associates Pvt Ltd"/>
    <s v="MUJ Hostel Block"/>
    <s v="Insulation"/>
    <x v="36"/>
    <s v="Sqmt"/>
    <n v="236.9"/>
    <n v="580"/>
    <n v="137402"/>
  </r>
  <r>
    <s v="August"/>
    <d v="2024-08-12T00:00:00"/>
    <n v="61263"/>
    <n v="43783"/>
    <s v="Knnd Associates Pvt Ltd"/>
    <s v="Schneider Bangalore"/>
    <s v="Box Duct with TDF (L-shape)"/>
    <x v="11"/>
    <s v="Sqmt"/>
    <n v="29.1"/>
    <n v="553"/>
    <n v="16092.300000000001"/>
  </r>
  <r>
    <s v="August"/>
    <d v="2024-08-12T00:00:00"/>
    <n v="61263"/>
    <n v="43783"/>
    <s v="Knnd Associates Pvt Ltd"/>
    <s v="Schneider Bangalore"/>
    <s v="Box Duct with TDF"/>
    <x v="11"/>
    <s v="Sqmt"/>
    <n v="3.8"/>
    <n v="573"/>
    <n v="2177.4"/>
  </r>
  <r>
    <s v="August"/>
    <d v="2024-08-12T00:00:00"/>
    <n v="61263"/>
    <n v="43783"/>
    <s v="Knnd Associates Pvt Ltd"/>
    <s v="Schneider Bangalore"/>
    <s v="Box Duct with TDF (L-shape)"/>
    <x v="12"/>
    <s v="Sqmt"/>
    <n v="562.6"/>
    <n v="717"/>
    <n v="403384.2"/>
  </r>
  <r>
    <s v="August"/>
    <d v="2024-08-12T00:00:00"/>
    <n v="61263"/>
    <n v="43783"/>
    <s v="Knnd Associates Pvt Ltd"/>
    <s v="Schneider Bangalore"/>
    <s v="Box Duct with TDF"/>
    <x v="12"/>
    <s v="Sqmt"/>
    <n v="94.8"/>
    <n v="737"/>
    <n v="69867.599999999991"/>
  </r>
  <r>
    <s v="August"/>
    <d v="2024-08-12T00:00:00"/>
    <n v="61263"/>
    <n v="43783"/>
    <s v="Knnd Associates Pvt Ltd"/>
    <s v="Schneider Bangalore"/>
    <s v="Box Duct with TDF (L-shape)"/>
    <x v="1"/>
    <s v="Sqmt"/>
    <n v="42.3"/>
    <n v="885"/>
    <n v="37435.5"/>
  </r>
  <r>
    <s v="August"/>
    <d v="2024-08-12T00:00:00"/>
    <n v="61263"/>
    <n v="43783"/>
    <s v="Knnd Associates Pvt Ltd"/>
    <s v="Schneider Bangalore"/>
    <s v="Box Duct with TDF"/>
    <x v="1"/>
    <s v="Sqmt"/>
    <n v="7"/>
    <n v="905"/>
    <n v="6335"/>
  </r>
  <r>
    <s v="August"/>
    <d v="2024-08-13T00:00:00"/>
    <n v="61293"/>
    <n v="43784"/>
    <s v="Knnd Associates Pvt Ltd"/>
    <s v="ISB Hyderabad"/>
    <s v="Box Duct with TDF"/>
    <x v="11"/>
    <s v="Sqmt"/>
    <n v="444.2"/>
    <n v="556"/>
    <n v="246975.19999999998"/>
  </r>
  <r>
    <s v="August"/>
    <d v="2024-08-13T00:00:00"/>
    <n v="61293"/>
    <n v="43784"/>
    <s v="Knnd Associates Pvt Ltd"/>
    <s v="ISB Hyderabad"/>
    <s v="Box Duct with TDF"/>
    <x v="12"/>
    <s v="Sqmt"/>
    <n v="163"/>
    <n v="715"/>
    <n v="116545"/>
  </r>
  <r>
    <s v="August"/>
    <d v="2024-08-13T00:00:00"/>
    <n v="61293"/>
    <n v="43784"/>
    <s v="Knnd Associates Pvt Ltd"/>
    <s v="ISB Hyderabad"/>
    <s v="Box Duct with TDF"/>
    <x v="1"/>
    <s v="Sqmt"/>
    <n v="13.8"/>
    <n v="878"/>
    <n v="12116.400000000001"/>
  </r>
  <r>
    <s v="August"/>
    <d v="2024-08-13T00:00:00"/>
    <n v="61293"/>
    <n v="43784"/>
    <s v="Knnd Associates Pvt Ltd"/>
    <s v="ISB Hyderabad"/>
    <s v="Insulation"/>
    <x v="52"/>
    <s v="Sqmt"/>
    <n v="621"/>
    <n v="417"/>
    <n v="258957"/>
  </r>
  <r>
    <s v="August"/>
    <d v="2024-08-13T00:00:00"/>
    <n v="61293"/>
    <n v="43784"/>
    <s v="Knnd Associates Pvt Ltd"/>
    <s v="ISB Hyderabad"/>
    <s v="Insulation Flange"/>
    <x v="52"/>
    <s v="Sqmt"/>
    <n v="122"/>
    <n v="268"/>
    <n v="32696"/>
  </r>
  <r>
    <s v="August"/>
    <d v="2024-08-13T00:00:00"/>
    <n v="61293"/>
    <n v="43784"/>
    <s v="Knnd Associates Pvt Ltd"/>
    <s v="ISB Hyderabad"/>
    <s v="Stretch Film"/>
    <x v="4"/>
    <s v="Sqmt"/>
    <n v="630"/>
    <n v="15"/>
    <n v="9450"/>
  </r>
  <r>
    <s v="August"/>
    <d v="2024-08-13T00:00:00"/>
    <n v="61263"/>
    <n v="43785"/>
    <s v="Knnd Associates Pvt Ltd"/>
    <s v="Schneider Bangalore"/>
    <s v="Box Duct with TDF (L-shape)"/>
    <x v="11"/>
    <s v="Sqmt"/>
    <n v="57.6"/>
    <n v="553"/>
    <n v="31852.799999999999"/>
  </r>
  <r>
    <s v="August"/>
    <d v="2024-08-13T00:00:00"/>
    <n v="61263"/>
    <n v="43785"/>
    <s v="Knnd Associates Pvt Ltd"/>
    <s v="Schneider Bangalore"/>
    <s v="Box Duct with TDF"/>
    <x v="11"/>
    <s v="Sqmt"/>
    <n v="2.2999999999999998"/>
    <n v="573"/>
    <n v="1317.8999999999999"/>
  </r>
  <r>
    <s v="August"/>
    <d v="2024-08-13T00:00:00"/>
    <n v="61263"/>
    <n v="43785"/>
    <s v="Knnd Associates Pvt Ltd"/>
    <s v="Schneider Bangalore"/>
    <s v="Box Duct with TDF (L-shape)"/>
    <x v="12"/>
    <s v="Sqmt"/>
    <n v="544.9"/>
    <n v="717"/>
    <n v="390693.3"/>
  </r>
  <r>
    <s v="August"/>
    <d v="2024-08-13T00:00:00"/>
    <n v="61263"/>
    <n v="43785"/>
    <s v="Knnd Associates Pvt Ltd"/>
    <s v="Schneider Bangalore"/>
    <s v="Box Duct with TDF"/>
    <x v="12"/>
    <s v="Sqmt"/>
    <n v="105.8"/>
    <n v="737"/>
    <n v="77974.599999999991"/>
  </r>
  <r>
    <s v="August"/>
    <d v="2024-08-13T00:00:00"/>
    <n v="61263"/>
    <n v="43785"/>
    <s v="Knnd Associates Pvt Ltd"/>
    <s v="Schneider Bangalore"/>
    <s v="Box Duct with TDF (L-shape)"/>
    <x v="1"/>
    <s v="Sqmt"/>
    <n v="84.7"/>
    <n v="885"/>
    <n v="74959.5"/>
  </r>
  <r>
    <s v="August"/>
    <d v="2024-08-13T00:00:00"/>
    <n v="61263"/>
    <n v="43785"/>
    <s v="Knnd Associates Pvt Ltd"/>
    <s v="Schneider Bangalore"/>
    <s v="Box Duct with TDF"/>
    <x v="1"/>
    <s v="Sqmt"/>
    <n v="14"/>
    <n v="905"/>
    <n v="12670"/>
  </r>
  <r>
    <s v="August"/>
    <d v="2024-08-13T00:00:00"/>
    <n v="61269"/>
    <n v="43786"/>
    <s v="Knnd Associates Pvt Ltd"/>
    <s v="Maddur Factory"/>
    <s v="Spiral Round Duct"/>
    <x v="5"/>
    <s v="Sqmt"/>
    <n v="362.6"/>
    <n v="540"/>
    <n v="195804"/>
  </r>
  <r>
    <s v="August"/>
    <d v="2024-08-13T00:00:00"/>
    <n v="61269"/>
    <n v="43787"/>
    <s v="Knnd Associates Pvt Ltd"/>
    <s v="Maddur Factory"/>
    <s v="Spiral Round Duct"/>
    <x v="5"/>
    <s v="Sqmt"/>
    <n v="20.100000000000001"/>
    <n v="540"/>
    <n v="10854"/>
  </r>
  <r>
    <s v="August"/>
    <d v="2024-08-13T00:00:00"/>
    <n v="61256"/>
    <n v="43788"/>
    <s v="Knnd Associates Pvt Ltd"/>
    <s v="Maddur Factory"/>
    <s v="Spiral Round Duct"/>
    <x v="48"/>
    <s v="Sqmt"/>
    <n v="213.8"/>
    <n v="430"/>
    <n v="91934"/>
  </r>
  <r>
    <s v="August"/>
    <d v="2024-08-13T00:00:00"/>
    <n v="61263"/>
    <n v="43789"/>
    <s v="Knnd Associates Pvt Ltd"/>
    <s v="Schneider Bangalore"/>
    <s v="Box Duct with TDF (L-shape)"/>
    <x v="12"/>
    <s v="Sqmt"/>
    <n v="5.5"/>
    <n v="717"/>
    <n v="3943.5"/>
  </r>
  <r>
    <s v="August"/>
    <d v="2024-08-13T00:00:00"/>
    <n v="61263"/>
    <n v="43789"/>
    <s v="Knnd Associates Pvt Ltd"/>
    <s v="Schneider Bangalore"/>
    <s v="Box Duct with TDF"/>
    <x v="12"/>
    <s v="Sqmt"/>
    <n v="87.6"/>
    <n v="737"/>
    <n v="64561.2"/>
  </r>
  <r>
    <s v="August"/>
    <d v="2024-08-13T00:00:00"/>
    <n v="61263"/>
    <n v="43789"/>
    <s v="Knnd Associates Pvt Ltd"/>
    <s v="Schneider Bangalore"/>
    <s v="VCD (Alu. Blade)"/>
    <x v="1"/>
    <s v="Sqmt"/>
    <n v="11.8"/>
    <n v="5200"/>
    <n v="61360.000000000007"/>
  </r>
  <r>
    <s v="August"/>
    <d v="2024-08-16T00:00:00"/>
    <n v="61291"/>
    <n v="43790"/>
    <s v="Eqube Energy and Research Services LLP"/>
    <s v="Siemens Ltd Bangalore"/>
    <s v="Box Duct with TDF"/>
    <x v="11"/>
    <s v="Sqmt"/>
    <n v="279.2"/>
    <n v="575"/>
    <n v="160540"/>
  </r>
  <r>
    <s v="August"/>
    <d v="2024-08-16T00:00:00"/>
    <n v="61291"/>
    <n v="43790"/>
    <s v="Eqube Energy and Research Services LLP"/>
    <s v="Siemens Ltd Bangalore"/>
    <s v="Box Duct with TDF"/>
    <x v="12"/>
    <s v="Sqmt"/>
    <n v="115.1"/>
    <n v="735"/>
    <n v="84598.5"/>
  </r>
  <r>
    <s v="August"/>
    <d v="2024-08-16T00:00:00"/>
    <n v="61293"/>
    <n v="43791"/>
    <s v="Knnd Associates Pvt Ltd"/>
    <s v="ISB Hyderabad"/>
    <s v="Box Duct with TDF"/>
    <x v="11"/>
    <s v="Sqmt"/>
    <n v="246.1"/>
    <n v="556"/>
    <n v="136831.6"/>
  </r>
  <r>
    <s v="August"/>
    <d v="2024-08-16T00:00:00"/>
    <n v="61293"/>
    <n v="43791"/>
    <s v="Knnd Associates Pvt Ltd"/>
    <s v="ISB Hyderabad"/>
    <s v="Box Duct with TDF"/>
    <x v="12"/>
    <s v="Sqmt"/>
    <n v="192.9"/>
    <n v="715"/>
    <n v="137923.5"/>
  </r>
  <r>
    <s v="August"/>
    <d v="2024-08-16T00:00:00"/>
    <n v="61293"/>
    <n v="43791"/>
    <s v="Knnd Associates Pvt Ltd"/>
    <s v="ISB Hyderabad"/>
    <s v="Box Duct with TDF"/>
    <x v="1"/>
    <s v="Sqmt"/>
    <n v="42"/>
    <n v="878"/>
    <n v="36876"/>
  </r>
  <r>
    <s v="August"/>
    <d v="2024-08-16T00:00:00"/>
    <n v="61293"/>
    <n v="43791"/>
    <s v="Knnd Associates Pvt Ltd"/>
    <s v="ISB Hyderabad"/>
    <s v="Insulation"/>
    <x v="52"/>
    <s v="Sqmt"/>
    <n v="394.90000000000003"/>
    <n v="417"/>
    <n v="164673.30000000002"/>
  </r>
  <r>
    <s v="August"/>
    <d v="2024-08-16T00:00:00"/>
    <n v="61293"/>
    <n v="43791"/>
    <s v="Knnd Associates Pvt Ltd"/>
    <s v="ISB Hyderabad"/>
    <s v="Insulation"/>
    <x v="53"/>
    <s v="Sqmt"/>
    <n v="86.1"/>
    <n v="1029"/>
    <n v="88596.9"/>
  </r>
  <r>
    <s v="August"/>
    <d v="2024-08-16T00:00:00"/>
    <n v="61293"/>
    <n v="43791"/>
    <s v="Knnd Associates Pvt Ltd"/>
    <s v="ISB Hyderabad"/>
    <s v="VCD (Alu. Blade)"/>
    <x v="2"/>
    <s v="Sqmt"/>
    <n v="11.8"/>
    <n v="5548"/>
    <n v="65466.400000000001"/>
  </r>
  <r>
    <s v="August"/>
    <d v="2024-08-16T00:00:00"/>
    <n v="61293"/>
    <n v="43791"/>
    <s v="Knnd Associates Pvt Ltd"/>
    <s v="ISB Hyderabad"/>
    <s v="Stretch Film"/>
    <x v="4"/>
    <s v="Sqmt"/>
    <n v="400"/>
    <n v="15"/>
    <n v="6000"/>
  </r>
  <r>
    <s v="August"/>
    <d v="2024-08-17T00:00:00"/>
    <n v="61291"/>
    <n v="43792"/>
    <s v="Eqube Energy and Research Services LLP"/>
    <s v="Siemens Ltd Bangalore"/>
    <s v="Box Duct with TDF"/>
    <x v="11"/>
    <s v="Sqmt"/>
    <n v="12"/>
    <n v="575"/>
    <n v="6900"/>
  </r>
  <r>
    <s v="August"/>
    <d v="2024-08-17T00:00:00"/>
    <n v="61291"/>
    <n v="43792"/>
    <s v="Eqube Energy and Research Services LLP"/>
    <s v="Siemens Ltd Bangalore"/>
    <s v="Box Duct with TDF"/>
    <x v="12"/>
    <s v="Sqmt"/>
    <n v="28"/>
    <n v="735"/>
    <n v="20580"/>
  </r>
  <r>
    <s v="August"/>
    <d v="2024-08-17T00:00:00"/>
    <n v="61137"/>
    <n v="43793"/>
    <s v="Knnd Associates Pvt Ltd"/>
    <s v="BVVS Bagalkot"/>
    <s v="Box Duct with TDF"/>
    <x v="11"/>
    <s v="Sqmt"/>
    <n v="571.29999999999995"/>
    <n v="590"/>
    <n v="337067"/>
  </r>
  <r>
    <s v="August"/>
    <d v="2024-08-17T00:00:00"/>
    <n v="61137"/>
    <n v="43793"/>
    <s v="Knnd Associates Pvt Ltd"/>
    <s v="BVVS Bagalkot"/>
    <s v="Box Duct with TDF"/>
    <x v="12"/>
    <s v="Sqmt"/>
    <n v="183.1"/>
    <n v="760"/>
    <n v="139156"/>
  </r>
  <r>
    <s v="August"/>
    <d v="2024-08-17T00:00:00"/>
    <n v="61137"/>
    <n v="43793"/>
    <s v="Knnd Associates Pvt Ltd"/>
    <s v="BVVS Bagalkot"/>
    <s v="Insulation"/>
    <x v="14"/>
    <s v="Sqmt"/>
    <n v="204.5"/>
    <n v="408"/>
    <n v="83436"/>
  </r>
  <r>
    <s v="August"/>
    <d v="2024-08-17T00:00:00"/>
    <n v="61137"/>
    <n v="43793"/>
    <s v="Knnd Associates Pvt Ltd"/>
    <s v="BVVS Bagalkot"/>
    <s v="Insulation"/>
    <x v="15"/>
    <s v="Sqmt"/>
    <n v="57.5"/>
    <n v="615"/>
    <n v="35362.5"/>
  </r>
  <r>
    <s v="August"/>
    <d v="2024-08-17T00:00:00"/>
    <n v="61137"/>
    <n v="43793"/>
    <s v="Knnd Associates Pvt Ltd"/>
    <s v="BVVS Bagalkot"/>
    <s v="VCD (Alu. Blade)"/>
    <x v="1"/>
    <s v="Sqmt"/>
    <n v="0.8"/>
    <n v="5200"/>
    <n v="4160"/>
  </r>
  <r>
    <s v="August"/>
    <d v="2024-08-17T00:00:00"/>
    <n v="61137"/>
    <n v="43793"/>
    <s v="Knnd Associates Pvt Ltd"/>
    <s v="BVVS Bagalkot"/>
    <s v="Round Flange"/>
    <x v="11"/>
    <s v="Nos"/>
    <n v="28"/>
    <n v="60"/>
    <n v="1680"/>
  </r>
  <r>
    <s v="August"/>
    <d v="2024-08-17T00:00:00"/>
    <n v="61137"/>
    <n v="43793"/>
    <s v="Knnd Associates Pvt Ltd"/>
    <s v="BVVS Bagalkot"/>
    <s v="Stretch Film"/>
    <x v="4"/>
    <s v="Sqmt"/>
    <n v="210"/>
    <n v="15"/>
    <n v="3150"/>
  </r>
  <r>
    <s v="August"/>
    <d v="2024-08-19T00:00:00"/>
    <n v="61293"/>
    <n v="43794"/>
    <s v="Knnd Associates Pvt Ltd"/>
    <s v="ISB Hyderabad"/>
    <s v="Box Duct with TDF"/>
    <x v="11"/>
    <s v="Sqmt"/>
    <n v="354.6"/>
    <n v="556"/>
    <n v="197157.6"/>
  </r>
  <r>
    <s v="August"/>
    <d v="2024-08-19T00:00:00"/>
    <n v="61293"/>
    <n v="43794"/>
    <s v="Knnd Associates Pvt Ltd"/>
    <s v="ISB Hyderabad"/>
    <s v="Box Duct with TDF"/>
    <x v="12"/>
    <s v="Sqmt"/>
    <n v="101.7"/>
    <n v="715"/>
    <n v="72715.5"/>
  </r>
  <r>
    <s v="August"/>
    <d v="2024-08-19T00:00:00"/>
    <n v="61293"/>
    <n v="43794"/>
    <s v="Knnd Associates Pvt Ltd"/>
    <s v="ISB Hyderabad"/>
    <s v="Box Duct with TDF"/>
    <x v="1"/>
    <s v="Sqmt"/>
    <n v="107.6"/>
    <n v="878"/>
    <n v="94472.799999999988"/>
  </r>
  <r>
    <s v="August"/>
    <d v="2024-08-19T00:00:00"/>
    <n v="61293"/>
    <n v="43794"/>
    <s v="Knnd Associates Pvt Ltd"/>
    <s v="ISB Hyderabad"/>
    <s v="Insulation"/>
    <x v="52"/>
    <s v="Sqmt"/>
    <n v="301.8"/>
    <n v="417"/>
    <n v="125850.6"/>
  </r>
  <r>
    <s v="August"/>
    <d v="2024-08-19T00:00:00"/>
    <n v="61293"/>
    <n v="43794"/>
    <s v="Knnd Associates Pvt Ltd"/>
    <s v="ISB Hyderabad"/>
    <s v="Insulation"/>
    <x v="53"/>
    <s v="Sqmt"/>
    <n v="176.6"/>
    <n v="1029"/>
    <n v="181721.4"/>
  </r>
  <r>
    <s v="August"/>
    <d v="2024-08-19T00:00:00"/>
    <n v="61293"/>
    <n v="43794"/>
    <s v="Knnd Associates Pvt Ltd"/>
    <s v="ISB Hyderabad"/>
    <s v="Insulation Flange"/>
    <x v="52"/>
    <s v="Sqmt"/>
    <n v="122"/>
    <n v="268"/>
    <n v="32696"/>
  </r>
  <r>
    <s v="August"/>
    <d v="2024-08-19T00:00:00"/>
    <n v="61293"/>
    <n v="43794"/>
    <s v="Knnd Associates Pvt Ltd"/>
    <s v="ISB Hyderabad"/>
    <s v="Stretch Film"/>
    <x v="4"/>
    <s v="Sqmt"/>
    <n v="300"/>
    <n v="15"/>
    <n v="4500"/>
  </r>
  <r>
    <s v="August"/>
    <d v="2024-08-19T00:00:00"/>
    <n v="61294"/>
    <n v="43795"/>
    <s v="Knnd Associates Pvt Ltd"/>
    <s v="Google Rio Bengaluru"/>
    <s v="Box Duct with TDF"/>
    <x v="11"/>
    <s v="Sqmt"/>
    <n v="17.599999999999998"/>
    <n v="573"/>
    <n v="10084.799999999999"/>
  </r>
  <r>
    <s v="August"/>
    <d v="2024-08-19T00:00:00"/>
    <n v="61294"/>
    <n v="43795"/>
    <s v="Knnd Associates Pvt Ltd"/>
    <s v="Google Rio Bengaluru"/>
    <s v="Box Duct with TDF"/>
    <x v="12"/>
    <s v="Sqmt"/>
    <n v="5"/>
    <n v="737"/>
    <n v="3685"/>
  </r>
  <r>
    <s v="August"/>
    <d v="2024-08-19T00:00:00"/>
    <n v="61294"/>
    <n v="43795"/>
    <s v="Knnd Associates Pvt Ltd"/>
    <s v="Google Rio Bengaluru"/>
    <s v="Box Duct with TDF"/>
    <x v="1"/>
    <s v="Sqmt"/>
    <n v="36.299999999999997"/>
    <n v="905"/>
    <n v="32851.5"/>
  </r>
  <r>
    <s v="August"/>
    <d v="2024-08-19T00:00:00"/>
    <n v="61294"/>
    <n v="43795"/>
    <s v="Knnd Associates Pvt Ltd"/>
    <s v="Google Rio Bengaluru"/>
    <s v="Box Duct with TDF"/>
    <x v="2"/>
    <s v="Sqmt"/>
    <n v="36.200000000000003"/>
    <n v="1005"/>
    <n v="36381"/>
  </r>
  <r>
    <s v="August"/>
    <d v="2024-08-19T00:00:00"/>
    <n v="61294"/>
    <n v="43795"/>
    <s v="Knnd Associates Pvt Ltd"/>
    <s v="Google Rio Bengaluru"/>
    <s v="Spiral Oval Duct"/>
    <x v="5"/>
    <s v="Sqmt"/>
    <n v="44.5"/>
    <n v="670"/>
    <n v="29815"/>
  </r>
  <r>
    <s v="August"/>
    <d v="2024-08-19T00:00:00"/>
    <n v="61294"/>
    <n v="43795"/>
    <s v="Knnd Associates Pvt Ltd"/>
    <s v="Google Rio Bengaluru"/>
    <s v="Spiral Oval Duct"/>
    <x v="6"/>
    <s v="Sqmt"/>
    <n v="35.6"/>
    <n v="765"/>
    <n v="27234"/>
  </r>
  <r>
    <s v="August"/>
    <d v="2024-08-19T00:00:00"/>
    <n v="61294"/>
    <n v="43795"/>
    <s v="Knnd Associates Pvt Ltd"/>
    <s v="Google Rio Bengaluru"/>
    <s v="Spiral Oval Duct"/>
    <x v="7"/>
    <s v="Sqmt"/>
    <n v="13.6"/>
    <n v="965"/>
    <n v="13124"/>
  </r>
  <r>
    <s v="August"/>
    <d v="2024-08-19T00:00:00"/>
    <n v="61294"/>
    <n v="43795"/>
    <s v="Knnd Associates Pvt Ltd"/>
    <s v="Google Rio Bengaluru"/>
    <s v="Spiral Oval Coupling"/>
    <x v="7"/>
    <s v="Sqmt"/>
    <n v="2.7"/>
    <n v="907"/>
    <n v="2448.9"/>
  </r>
  <r>
    <s v="August"/>
    <d v="2024-08-19T00:00:00"/>
    <n v="61294"/>
    <n v="43795"/>
    <s v="Knnd Associates Pvt Ltd"/>
    <s v="Google Rio Bengaluru"/>
    <s v="Insulation"/>
    <x v="9"/>
    <s v="Sqmt"/>
    <n v="58.5"/>
    <n v="791"/>
    <n v="46273.5"/>
  </r>
  <r>
    <s v="August"/>
    <d v="2024-08-19T00:00:00"/>
    <n v="61294"/>
    <n v="43795"/>
    <s v="Knnd Associates Pvt Ltd"/>
    <s v="Google Rio Bengaluru"/>
    <s v="Insulation"/>
    <x v="8"/>
    <s v="Sqmt"/>
    <n v="171.3"/>
    <n v="270"/>
    <n v="46251"/>
  </r>
  <r>
    <s v="August"/>
    <d v="2024-08-19T00:00:00"/>
    <n v="61294"/>
    <n v="43795"/>
    <s v="Knnd Associates Pvt Ltd"/>
    <s v="Google Rio Bengaluru"/>
    <s v="Mixing Box (1200x200x350H)"/>
    <x v="12"/>
    <s v="Nos"/>
    <n v="36"/>
    <n v="1223"/>
    <n v="44028"/>
  </r>
  <r>
    <s v="August"/>
    <d v="2024-08-19T00:00:00"/>
    <n v="61294"/>
    <n v="43795"/>
    <s v="Knnd Associates Pvt Ltd"/>
    <s v="Google Rio Bengaluru"/>
    <s v="Spigot 200mm Dia"/>
    <x v="12"/>
    <s v="Nos"/>
    <n v="10"/>
    <n v="345"/>
    <n v="3450"/>
  </r>
  <r>
    <s v="August"/>
    <d v="2024-08-19T00:00:00"/>
    <n v="61294"/>
    <n v="43795"/>
    <s v="Knnd Associates Pvt Ltd"/>
    <s v="Google Rio Bengaluru"/>
    <s v="10mm JTR"/>
    <x v="10"/>
    <s v="Rmt"/>
    <n v="2"/>
    <n v="110"/>
    <n v="220"/>
  </r>
  <r>
    <s v="August"/>
    <d v="2024-08-19T00:00:00"/>
    <n v="61294"/>
    <n v="43795"/>
    <s v="Knnd Associates Pvt Ltd"/>
    <s v="Google Rio Bengaluru"/>
    <s v="Stretch Film"/>
    <x v="4"/>
    <s v="Sqmt"/>
    <n v="260"/>
    <n v="15"/>
    <n v="3900"/>
  </r>
  <r>
    <s v="August"/>
    <d v="2024-08-19T00:00:00"/>
    <n v="61297"/>
    <n v="43796"/>
    <s v="Knnd Associates Pvt Ltd"/>
    <s v="Prestige Aspen Bangalore"/>
    <s v="Box Duct with TDF"/>
    <x v="11"/>
    <s v="Sqmt"/>
    <n v="218.39999999999998"/>
    <n v="573"/>
    <n v="125143.19999999998"/>
  </r>
  <r>
    <s v="August"/>
    <d v="2024-08-19T00:00:00"/>
    <n v="61297"/>
    <n v="43796"/>
    <s v="Knnd Associates Pvt Ltd"/>
    <s v="Prestige Aspen Bangalore"/>
    <s v="Insulation"/>
    <x v="37"/>
    <s v="Sqmt"/>
    <n v="12.2"/>
    <n v="887"/>
    <n v="10821.4"/>
  </r>
  <r>
    <s v="August"/>
    <d v="2024-08-19T00:00:00"/>
    <n v="61297"/>
    <n v="43796"/>
    <s v="Knnd Associates Pvt Ltd"/>
    <s v="Prestige Aspen Bangalore"/>
    <s v="Round Flange"/>
    <x v="11"/>
    <s v="Nos"/>
    <n v="10"/>
    <n v="60"/>
    <n v="600"/>
  </r>
  <r>
    <s v="August"/>
    <d v="2024-08-20T00:00:00"/>
    <n v="61297"/>
    <n v="43797"/>
    <s v="Knnd Associates Pvt Ltd"/>
    <s v="Prestige Aspen Bangalore"/>
    <s v="Box Duct with TDF"/>
    <x v="11"/>
    <s v="Sqmt"/>
    <n v="111.99999999999999"/>
    <n v="573"/>
    <n v="64175.999999999993"/>
  </r>
  <r>
    <s v="August"/>
    <d v="2024-08-20T00:00:00"/>
    <n v="61297"/>
    <n v="43797"/>
    <s v="Knnd Associates Pvt Ltd"/>
    <s v="Prestige Aspen Bangalore"/>
    <s v="VCD (Alu. Blade)"/>
    <x v="1"/>
    <s v="Sqmt"/>
    <n v="5.6"/>
    <n v="5200"/>
    <n v="29119.999999999996"/>
  </r>
  <r>
    <s v="August"/>
    <d v="2024-08-20T00:00:00"/>
    <n v="61297"/>
    <n v="43797"/>
    <s v="Knnd Associates Pvt Ltd"/>
    <s v="Prestige Aspen Bangalore"/>
    <s v="Insulation"/>
    <x v="37"/>
    <s v="Sqmt"/>
    <n v="2.8"/>
    <n v="887"/>
    <n v="2483.6"/>
  </r>
  <r>
    <s v="August"/>
    <d v="2024-08-20T00:00:00"/>
    <n v="61297"/>
    <n v="43797"/>
    <s v="Knnd Associates Pvt Ltd"/>
    <s v="Prestige Aspen Bangalore"/>
    <s v="Insulation"/>
    <x v="28"/>
    <s v="Sqmt"/>
    <n v="99.6"/>
    <n v="420"/>
    <n v="41832"/>
  </r>
  <r>
    <s v="August"/>
    <d v="2024-08-20T00:00:00"/>
    <n v="61297"/>
    <n v="43797"/>
    <s v="Knnd Associates Pvt Ltd"/>
    <s v="Prestige Aspen Bangalore"/>
    <s v="Insulation Flange"/>
    <x v="28"/>
    <s v="Sqmt"/>
    <n v="20"/>
    <n v="265"/>
    <n v="5300"/>
  </r>
  <r>
    <s v="August"/>
    <d v="2024-08-20T00:00:00"/>
    <n v="61297"/>
    <n v="43797"/>
    <s v="Knnd Associates Pvt Ltd"/>
    <s v="Prestige Aspen Bangalore"/>
    <s v="Spigot 150mm Dia"/>
    <x v="12"/>
    <s v="Nos"/>
    <n v="24"/>
    <n v="295"/>
    <n v="7080"/>
  </r>
  <r>
    <s v="August"/>
    <d v="2024-08-20T00:00:00"/>
    <n v="61297"/>
    <n v="43797"/>
    <s v="Knnd Associates Pvt Ltd"/>
    <s v="Prestige Aspen Bangalore"/>
    <s v="Round Flange"/>
    <x v="11"/>
    <s v="Nos"/>
    <n v="4"/>
    <n v="60"/>
    <n v="240"/>
  </r>
  <r>
    <s v="August"/>
    <d v="2024-08-20T00:00:00"/>
    <n v="61297"/>
    <n v="43797"/>
    <s v="Knnd Associates Pvt Ltd"/>
    <s v="Prestige Aspen Bangalore"/>
    <s v="Stretch Film"/>
    <x v="4"/>
    <s v="Sqmt"/>
    <n v="100"/>
    <n v="15"/>
    <n v="1500"/>
  </r>
  <r>
    <s v="August"/>
    <d v="2024-08-20T00:00:00"/>
    <n v="61263"/>
    <n v="43798"/>
    <s v="Knnd Associates Pvt Ltd"/>
    <s v="Schneider Bangalore"/>
    <s v="Box Duct with TDF (L-shape)"/>
    <x v="12"/>
    <s v="Sqmt"/>
    <n v="918.6"/>
    <n v="717"/>
    <n v="658636.20000000007"/>
  </r>
  <r>
    <s v="August"/>
    <d v="2024-08-20T00:00:00"/>
    <n v="61263"/>
    <n v="43798"/>
    <s v="Knnd Associates Pvt Ltd"/>
    <s v="Schneider Bangalore"/>
    <s v="Box Duct with TDF (L-shape)"/>
    <x v="1"/>
    <s v="Sqmt"/>
    <n v="344.7"/>
    <n v="885"/>
    <n v="305059.5"/>
  </r>
  <r>
    <s v="August"/>
    <d v="2024-08-22T00:00:00"/>
    <n v="61263"/>
    <n v="43799"/>
    <s v="Knnd Associates Pvt Ltd"/>
    <s v="Schneider Bangalore"/>
    <s v="Box Duct with TDF (L-shape)"/>
    <x v="12"/>
    <s v="Sqmt"/>
    <n v="293.8"/>
    <n v="717"/>
    <n v="210654.6"/>
  </r>
  <r>
    <s v="August"/>
    <d v="2024-08-22T00:00:00"/>
    <n v="61263"/>
    <n v="43799"/>
    <s v="Knnd Associates Pvt Ltd"/>
    <s v="Schneider Bangalore"/>
    <s v="Box Duct with TDF (L-shape)"/>
    <x v="1"/>
    <s v="Sqmt"/>
    <n v="67"/>
    <n v="885"/>
    <n v="59295"/>
  </r>
  <r>
    <s v="August"/>
    <d v="2024-08-22T00:00:00"/>
    <n v="61293"/>
    <n v="43800"/>
    <s v="Knnd Associates Pvt Ltd"/>
    <s v="ISB Hyderabad"/>
    <s v="Box Duct with TDF"/>
    <x v="11"/>
    <s v="Sqmt"/>
    <n v="316.90000000000003"/>
    <n v="556"/>
    <n v="176196.40000000002"/>
  </r>
  <r>
    <s v="August"/>
    <d v="2024-08-22T00:00:00"/>
    <n v="61293"/>
    <n v="43800"/>
    <s v="Knnd Associates Pvt Ltd"/>
    <s v="ISB Hyderabad"/>
    <s v="Box Duct with TDF"/>
    <x v="12"/>
    <s v="Sqmt"/>
    <n v="291.39999999999998"/>
    <n v="715"/>
    <n v="208350.99999999997"/>
  </r>
  <r>
    <s v="August"/>
    <d v="2024-08-22T00:00:00"/>
    <n v="61293"/>
    <n v="43800"/>
    <s v="Knnd Associates Pvt Ltd"/>
    <s v="ISB Hyderabad"/>
    <s v="Insulation"/>
    <x v="52"/>
    <s v="Sqmt"/>
    <n v="567.20000000000005"/>
    <n v="417"/>
    <n v="236522.40000000002"/>
  </r>
  <r>
    <s v="August"/>
    <d v="2024-08-22T00:00:00"/>
    <n v="61293"/>
    <n v="43800"/>
    <s v="Knnd Associates Pvt Ltd"/>
    <s v="ISB Hyderabad"/>
    <s v="Insulation Flange"/>
    <x v="52"/>
    <s v="Sqmt"/>
    <n v="146.4"/>
    <n v="268"/>
    <n v="39235.200000000004"/>
  </r>
  <r>
    <s v="August"/>
    <d v="2024-08-22T00:00:00"/>
    <n v="61293"/>
    <n v="43800"/>
    <s v="Knnd Associates Pvt Ltd"/>
    <s v="ISB Hyderabad"/>
    <s v="VCD (Alu. Blade)"/>
    <x v="2"/>
    <s v="Sqmt"/>
    <n v="5.0999999999999996"/>
    <n v="5548"/>
    <n v="28294.799999999999"/>
  </r>
  <r>
    <s v="August"/>
    <d v="2024-08-22T00:00:00"/>
    <n v="61293"/>
    <n v="43800"/>
    <s v="Knnd Associates Pvt Ltd"/>
    <s v="ISB Hyderabad"/>
    <s v="Stretch Film"/>
    <x v="4"/>
    <s v="Sqmt"/>
    <n v="575"/>
    <n v="15"/>
    <n v="8625"/>
  </r>
  <r>
    <s v="August"/>
    <d v="2024-08-23T00:00:00"/>
    <n v="61267"/>
    <n v="43801"/>
    <s v="Knnd Associates Pvt Ltd"/>
    <s v="Manipal South Bangalore"/>
    <s v="Box Duct with TDF"/>
    <x v="11"/>
    <s v="Sqmt"/>
    <n v="193.1"/>
    <n v="573"/>
    <n v="110646.3"/>
  </r>
  <r>
    <s v="August"/>
    <d v="2024-08-23T00:00:00"/>
    <n v="61267"/>
    <n v="43801"/>
    <s v="Knnd Associates Pvt Ltd"/>
    <s v="Manipal South Bangalore"/>
    <s v="Box Duct with TDF"/>
    <x v="12"/>
    <s v="Sqmt"/>
    <n v="12.6"/>
    <n v="737"/>
    <n v="9286.1999999999989"/>
  </r>
  <r>
    <s v="August"/>
    <d v="2024-08-23T00:00:00"/>
    <n v="61267"/>
    <n v="43801"/>
    <s v="Knnd Associates Pvt Ltd"/>
    <s v="Manipal South Bangalore"/>
    <s v="Box Duct with TDF"/>
    <x v="1"/>
    <s v="Sqmt"/>
    <n v="30.5"/>
    <n v="905"/>
    <n v="27602.5"/>
  </r>
  <r>
    <s v="August"/>
    <d v="2024-08-23T00:00:00"/>
    <n v="61267"/>
    <n v="43801"/>
    <s v="Knnd Associates Pvt Ltd"/>
    <s v="Manipal South Bangalore"/>
    <s v="Insulation"/>
    <x v="16"/>
    <s v="Sqmt"/>
    <n v="236.2"/>
    <n v="276"/>
    <n v="65191.199999999997"/>
  </r>
  <r>
    <s v="August"/>
    <d v="2024-08-23T00:00:00"/>
    <n v="61267"/>
    <n v="43801"/>
    <s v="Knnd Associates Pvt Ltd"/>
    <s v="Manipal South Bangalore"/>
    <s v="Stretch Film"/>
    <x v="4"/>
    <s v="Sqmt"/>
    <n v="240"/>
    <n v="15"/>
    <n v="3600"/>
  </r>
  <r>
    <s v="August"/>
    <d v="2024-08-23T00:00:00"/>
    <n v="61267"/>
    <n v="43802"/>
    <s v="Knnd Associates Pvt Ltd"/>
    <s v="Manipal South Bangalore"/>
    <s v="Box Duct with TDF"/>
    <x v="11"/>
    <s v="Sqmt"/>
    <n v="210.10000000000002"/>
    <n v="573"/>
    <n v="120387.30000000002"/>
  </r>
  <r>
    <s v="August"/>
    <d v="2024-08-23T00:00:00"/>
    <n v="61267"/>
    <n v="43802"/>
    <s v="Knnd Associates Pvt Ltd"/>
    <s v="Manipal South Bangalore"/>
    <s v="Box Duct with TDF"/>
    <x v="12"/>
    <s v="Sqmt"/>
    <n v="24.7"/>
    <n v="737"/>
    <n v="18203.899999999998"/>
  </r>
  <r>
    <s v="August"/>
    <d v="2024-08-23T00:00:00"/>
    <n v="61267"/>
    <n v="43802"/>
    <s v="Knnd Associates Pvt Ltd"/>
    <s v="Manipal South Bangalore"/>
    <s v="Box Duct with TDF"/>
    <x v="1"/>
    <s v="Sqmt"/>
    <n v="18.799999999999997"/>
    <n v="905"/>
    <n v="17013.999999999996"/>
  </r>
  <r>
    <s v="August"/>
    <d v="2024-08-23T00:00:00"/>
    <n v="61267"/>
    <n v="43802"/>
    <s v="Knnd Associates Pvt Ltd"/>
    <s v="Manipal South Bangalore"/>
    <s v="Insulation"/>
    <x v="16"/>
    <s v="Sqmt"/>
    <n v="201.29999999999998"/>
    <n v="276"/>
    <n v="55558.799999999996"/>
  </r>
  <r>
    <s v="August"/>
    <d v="2024-08-23T00:00:00"/>
    <n v="61267"/>
    <n v="43802"/>
    <s v="Knnd Associates Pvt Ltd"/>
    <s v="Manipal South Bangalore"/>
    <s v="Insulation"/>
    <x v="17"/>
    <s v="Sqmt"/>
    <n v="47.400000000000006"/>
    <n v="805"/>
    <n v="38157.000000000007"/>
  </r>
  <r>
    <s v="August"/>
    <d v="2024-08-23T00:00:00"/>
    <n v="61267"/>
    <n v="43802"/>
    <s v="Knnd Associates Pvt Ltd"/>
    <s v="Manipal South Bangalore"/>
    <s v="VCD (Alu. Blade)"/>
    <x v="2"/>
    <s v="Sqmt"/>
    <n v="9.5"/>
    <n v="5720"/>
    <n v="54340"/>
  </r>
  <r>
    <s v="August"/>
    <d v="2024-08-23T00:00:00"/>
    <n v="61267"/>
    <n v="43802"/>
    <s v="Knnd Associates Pvt Ltd"/>
    <s v="Manipal South Bangalore"/>
    <s v="Stretch Film"/>
    <x v="4"/>
    <s v="Sqmt"/>
    <n v="277"/>
    <n v="15"/>
    <n v="4155"/>
  </r>
  <r>
    <s v="August"/>
    <d v="2024-08-23T00:00:00"/>
    <n v="61291"/>
    <n v="43803"/>
    <s v="Eqube Energy and Research Services LLP"/>
    <s v="Siemens Ltd Bangalore"/>
    <s v="Box Duct with TDF"/>
    <x v="11"/>
    <s v="Sqmt"/>
    <n v="123.1"/>
    <n v="575"/>
    <n v="70782.5"/>
  </r>
  <r>
    <s v="August"/>
    <d v="2024-08-23T00:00:00"/>
    <n v="61291"/>
    <n v="43803"/>
    <s v="Eqube Energy and Research Services LLP"/>
    <s v="Siemens Ltd Bangalore"/>
    <s v="Box Duct with TDF"/>
    <x v="12"/>
    <s v="Sqmt"/>
    <n v="45"/>
    <n v="735"/>
    <n v="33075"/>
  </r>
  <r>
    <s v="August"/>
    <d v="2024-08-23T00:00:00"/>
    <n v="61291"/>
    <n v="43804"/>
    <s v="Eqube Energy and Research Services LLP"/>
    <s v="Siemens Ltd Bangalore"/>
    <s v="Box Duct with TDF"/>
    <x v="11"/>
    <s v="Sqmt"/>
    <n v="49.9"/>
    <n v="575"/>
    <n v="28692.5"/>
  </r>
  <r>
    <s v="August"/>
    <d v="2024-08-23T00:00:00"/>
    <n v="61291"/>
    <n v="43804"/>
    <s v="Eqube Energy and Research Services LLP"/>
    <s v="Siemens Ltd Bangalore"/>
    <s v="Box Duct with TDF"/>
    <x v="12"/>
    <s v="Sqmt"/>
    <n v="17.899999999999999"/>
    <n v="735"/>
    <n v="13156.499999999998"/>
  </r>
  <r>
    <s v="August"/>
    <d v="2024-08-24T00:00:00"/>
    <n v="61267"/>
    <n v="43805"/>
    <s v="Knnd Associates Pvt Ltd"/>
    <s v="Manipal South Bangalore"/>
    <s v="Box Duct with TDF"/>
    <x v="11"/>
    <s v="Sqmt"/>
    <n v="79.2"/>
    <n v="573"/>
    <n v="45381.599999999999"/>
  </r>
  <r>
    <s v="August"/>
    <d v="2024-08-24T00:00:00"/>
    <n v="61267"/>
    <n v="43805"/>
    <s v="Knnd Associates Pvt Ltd"/>
    <s v="Manipal South Bangalore"/>
    <s v="Box Duct with TDF"/>
    <x v="12"/>
    <s v="Sqmt"/>
    <n v="40.900000000000006"/>
    <n v="737"/>
    <n v="30143.300000000003"/>
  </r>
  <r>
    <s v="August"/>
    <d v="2024-08-24T00:00:00"/>
    <n v="61267"/>
    <n v="43805"/>
    <s v="Knnd Associates Pvt Ltd"/>
    <s v="Manipal South Bangalore"/>
    <s v="Box Duct with TDF"/>
    <x v="1"/>
    <s v="Sqmt"/>
    <n v="8.8000000000000007"/>
    <n v="905"/>
    <n v="7964.0000000000009"/>
  </r>
  <r>
    <s v="August"/>
    <d v="2024-08-24T00:00:00"/>
    <n v="61267"/>
    <n v="43805"/>
    <s v="Knnd Associates Pvt Ltd"/>
    <s v="Manipal South Bangalore"/>
    <s v="Insulation"/>
    <x v="16"/>
    <s v="Sqmt"/>
    <n v="66.5"/>
    <n v="276"/>
    <n v="18354"/>
  </r>
  <r>
    <s v="August"/>
    <d v="2024-08-24T00:00:00"/>
    <n v="61267"/>
    <n v="43805"/>
    <s v="Knnd Associates Pvt Ltd"/>
    <s v="Manipal South Bangalore"/>
    <s v="Insulation"/>
    <x v="17"/>
    <s v="Sqmt"/>
    <n v="35.300000000000004"/>
    <n v="805"/>
    <n v="28416.500000000004"/>
  </r>
  <r>
    <s v="August"/>
    <d v="2024-08-24T00:00:00"/>
    <n v="61267"/>
    <n v="43805"/>
    <s v="Knnd Associates Pvt Ltd"/>
    <s v="Manipal South Bangalore"/>
    <s v="Insulation Flange"/>
    <x v="18"/>
    <s v="Nos"/>
    <n v="100"/>
    <n v="153"/>
    <n v="15300"/>
  </r>
  <r>
    <s v="August"/>
    <d v="2024-08-24T00:00:00"/>
    <n v="61267"/>
    <n v="43805"/>
    <s v="Knnd Associates Pvt Ltd"/>
    <s v="Manipal South Bangalore"/>
    <s v="Stretch Film"/>
    <x v="4"/>
    <s v="Sqmt"/>
    <n v="70"/>
    <n v="15"/>
    <n v="1050"/>
  </r>
  <r>
    <s v="August"/>
    <d v="2024-08-24T00:00:00"/>
    <n v="61267"/>
    <n v="43805"/>
    <s v="Knnd Associates Pvt Ltd"/>
    <s v="Manipal South Bangalore"/>
    <s v="Plain Sheet"/>
    <x v="11"/>
    <s v="Sqmt"/>
    <n v="153"/>
    <n v="448"/>
    <n v="68544"/>
  </r>
  <r>
    <s v="August"/>
    <d v="2024-08-24T00:00:00"/>
    <n v="61267"/>
    <n v="43805"/>
    <s v="Knnd Associates Pvt Ltd"/>
    <s v="Manipal South Bangalore"/>
    <s v="Spigot 150mm Dia"/>
    <x v="12"/>
    <s v="Nos"/>
    <n v="21"/>
    <n v="295"/>
    <n v="6195"/>
  </r>
  <r>
    <s v="August"/>
    <d v="2024-08-24T00:00:00"/>
    <n v="61267"/>
    <n v="43805"/>
    <s v="Knnd Associates Pvt Ltd"/>
    <s v="Manipal South Bangalore"/>
    <s v="Spigot 200mm Dia"/>
    <x v="12"/>
    <s v="Nos"/>
    <n v="52"/>
    <n v="345"/>
    <n v="17940"/>
  </r>
  <r>
    <s v="August"/>
    <d v="2024-08-24T00:00:00"/>
    <n v="61267"/>
    <n v="43805"/>
    <s v="Knnd Associates Pvt Ltd"/>
    <s v="Manipal South Bangalore"/>
    <s v="Spigot 250mm Dia"/>
    <x v="12"/>
    <s v="Nos"/>
    <n v="50"/>
    <n v="405"/>
    <n v="20250"/>
  </r>
  <r>
    <s v="August"/>
    <d v="2024-08-24T00:00:00"/>
    <n v="61137"/>
    <n v="43806"/>
    <s v="Knnd Associates Pvt Ltd"/>
    <s v="BVVS Bagalkot"/>
    <s v="Box Duct with TDF"/>
    <x v="11"/>
    <s v="Sqmt"/>
    <n v="166.3"/>
    <n v="590"/>
    <n v="98117"/>
  </r>
  <r>
    <s v="August"/>
    <d v="2024-08-24T00:00:00"/>
    <n v="61137"/>
    <n v="43806"/>
    <s v="Knnd Associates Pvt Ltd"/>
    <s v="BVVS Bagalkot"/>
    <s v="Box Duct with TDF"/>
    <x v="12"/>
    <s v="Sqmt"/>
    <n v="228"/>
    <n v="760"/>
    <n v="173280"/>
  </r>
  <r>
    <s v="August"/>
    <d v="2024-08-24T00:00:00"/>
    <n v="61137"/>
    <n v="43806"/>
    <s v="Knnd Associates Pvt Ltd"/>
    <s v="BVVS Bagalkot"/>
    <s v="Spiral Oval Duct"/>
    <x v="5"/>
    <s v="Sqmt"/>
    <n v="10.1"/>
    <n v="670"/>
    <n v="6767"/>
  </r>
  <r>
    <s v="August"/>
    <d v="2024-08-24T00:00:00"/>
    <n v="61137"/>
    <n v="43806"/>
    <s v="Knnd Associates Pvt Ltd"/>
    <s v="BVVS Bagalkot"/>
    <s v="Spiral Oval Duct"/>
    <x v="6"/>
    <s v="Sqmt"/>
    <n v="35.5"/>
    <n v="765"/>
    <n v="27157.5"/>
  </r>
  <r>
    <s v="August"/>
    <d v="2024-08-24T00:00:00"/>
    <n v="61137"/>
    <n v="43806"/>
    <s v="Knnd Associates Pvt Ltd"/>
    <s v="BVVS Bagalkot"/>
    <s v="Spiral Oval Coupling"/>
    <x v="7"/>
    <s v="Sqmt"/>
    <n v="1.4"/>
    <n v="907"/>
    <n v="1269.8"/>
  </r>
  <r>
    <s v="August"/>
    <d v="2024-08-24T00:00:00"/>
    <n v="61137"/>
    <n v="43806"/>
    <s v="Knnd Associates Pvt Ltd"/>
    <s v="BVVS Bagalkot"/>
    <s v="Insulation"/>
    <x v="14"/>
    <s v="Sqmt"/>
    <n v="81.5"/>
    <n v="408"/>
    <n v="33252"/>
  </r>
  <r>
    <s v="August"/>
    <d v="2024-08-24T00:00:00"/>
    <n v="61137"/>
    <n v="43806"/>
    <s v="Knnd Associates Pvt Ltd"/>
    <s v="BVVS Bagalkot"/>
    <s v="Insulation"/>
    <x v="45"/>
    <s v="Sqmt"/>
    <n v="368.91300000000001"/>
    <n v="615"/>
    <n v="226881.495"/>
  </r>
  <r>
    <s v="August"/>
    <d v="2024-08-24T00:00:00"/>
    <n v="61137"/>
    <n v="43806"/>
    <s v="Knnd Associates Pvt Ltd"/>
    <s v="BVVS Bagalkot"/>
    <s v="Insulation Flange"/>
    <x v="45"/>
    <s v="Sqmt"/>
    <n v="108"/>
    <n v="440"/>
    <n v="47520"/>
  </r>
  <r>
    <s v="August"/>
    <d v="2024-08-24T00:00:00"/>
    <n v="61137"/>
    <n v="43806"/>
    <s v="Knnd Associates Pvt Ltd"/>
    <s v="BVVS Bagalkot"/>
    <s v="Stretch Film"/>
    <x v="4"/>
    <s v="Sqmt"/>
    <n v="430"/>
    <n v="15"/>
    <n v="6450"/>
  </r>
  <r>
    <s v="August"/>
    <d v="2024-08-26T00:00:00"/>
    <n v="61263"/>
    <n v="43807"/>
    <s v="Knnd Associates Pvt Ltd"/>
    <s v="Schneider Bangalore"/>
    <s v="Box Duct with TDF (L-shape)"/>
    <x v="11"/>
    <s v="Sqmt"/>
    <n v="847.5"/>
    <n v="553"/>
    <n v="468667.5"/>
  </r>
  <r>
    <s v="August"/>
    <d v="2024-08-26T00:00:00"/>
    <n v="61263"/>
    <n v="43807"/>
    <s v="Knnd Associates Pvt Ltd"/>
    <s v="Schneider Bangalore"/>
    <s v="Box Duct with TDF"/>
    <x v="11"/>
    <s v="Sqmt"/>
    <n v="63.4"/>
    <n v="573"/>
    <n v="36328.199999999997"/>
  </r>
  <r>
    <s v="August"/>
    <d v="2024-08-26T00:00:00"/>
    <n v="61263"/>
    <n v="43807"/>
    <s v="Knnd Associates Pvt Ltd"/>
    <s v="Schneider Bangalore"/>
    <s v="Box Duct with TDF (L-shape)"/>
    <x v="12"/>
    <s v="Sqmt"/>
    <n v="397.2"/>
    <n v="717"/>
    <n v="284792.39999999997"/>
  </r>
  <r>
    <s v="August"/>
    <d v="2024-08-26T00:00:00"/>
    <n v="61263"/>
    <n v="43807"/>
    <s v="Knnd Associates Pvt Ltd"/>
    <s v="Schneider Bangalore"/>
    <s v="Box Duct with TDF"/>
    <x v="12"/>
    <s v="Sqmt"/>
    <n v="23.5"/>
    <n v="737"/>
    <n v="17319.5"/>
  </r>
  <r>
    <s v="August"/>
    <d v="2024-08-26T00:00:00"/>
    <n v="61263"/>
    <n v="43807"/>
    <s v="Knnd Associates Pvt Ltd"/>
    <s v="Schneider Bangalore"/>
    <s v="Box Duct with TDF (L-shape)"/>
    <x v="1"/>
    <s v="Sqmt"/>
    <n v="42.3"/>
    <n v="885"/>
    <n v="37435.5"/>
  </r>
  <r>
    <s v="August"/>
    <d v="2024-08-26T00:00:00"/>
    <n v="61263"/>
    <n v="43807"/>
    <s v="Knnd Associates Pvt Ltd"/>
    <s v="Schneider Bangalore"/>
    <s v="Box Duct with TDF"/>
    <x v="1"/>
    <s v="Sqmt"/>
    <n v="7"/>
    <n v="905"/>
    <n v="6335"/>
  </r>
  <r>
    <s v="August"/>
    <d v="2024-08-27T00:00:00"/>
    <n v="61263"/>
    <n v="43808"/>
    <s v="Knnd Associates Pvt Ltd"/>
    <s v="Schneider Bangalore"/>
    <s v="Box Duct with TDF (L-shape)"/>
    <x v="11"/>
    <s v="Sqmt"/>
    <n v="11.3"/>
    <n v="553"/>
    <n v="6248.9000000000005"/>
  </r>
  <r>
    <s v="August"/>
    <d v="2024-08-27T00:00:00"/>
    <n v="61263"/>
    <n v="43808"/>
    <s v="Knnd Associates Pvt Ltd"/>
    <s v="Schneider Bangalore"/>
    <s v="Box Duct with TDF"/>
    <x v="12"/>
    <s v="Sqmt"/>
    <n v="85.1"/>
    <n v="737"/>
    <n v="62718.7"/>
  </r>
  <r>
    <s v="August"/>
    <d v="2024-08-27T00:00:00"/>
    <n v="61302"/>
    <n v="43809"/>
    <s v="Knnd Associates Pvt Ltd"/>
    <s v="ISB Mohali"/>
    <s v="Box Duct with TDF"/>
    <x v="11"/>
    <s v="Sqmt"/>
    <n v="705.6"/>
    <n v="556"/>
    <n v="392313.60000000003"/>
  </r>
  <r>
    <s v="August"/>
    <d v="2024-08-27T00:00:00"/>
    <n v="61302"/>
    <n v="43809"/>
    <s v="Knnd Associates Pvt Ltd"/>
    <s v="ISB Mohali"/>
    <s v="Box Duct with TDF"/>
    <x v="12"/>
    <s v="Sqmt"/>
    <n v="9.4"/>
    <n v="715"/>
    <n v="6721"/>
  </r>
  <r>
    <s v="August"/>
    <d v="2024-08-27T00:00:00"/>
    <n v="61302"/>
    <n v="43809"/>
    <s v="Knnd Associates Pvt Ltd"/>
    <s v="ISB Mohali"/>
    <s v="Insulation"/>
    <x v="52"/>
    <s v="Sqmt"/>
    <n v="606.79999999999995"/>
    <n v="417"/>
    <n v="253035.59999999998"/>
  </r>
  <r>
    <s v="August"/>
    <d v="2024-08-27T00:00:00"/>
    <n v="61302"/>
    <n v="43809"/>
    <s v="Knnd Associates Pvt Ltd"/>
    <s v="ISB Mohali"/>
    <s v="Insulation"/>
    <x v="53"/>
    <s v="Sqmt"/>
    <n v="14"/>
    <n v="1029"/>
    <n v="14406"/>
  </r>
  <r>
    <s v="August"/>
    <d v="2024-08-27T00:00:00"/>
    <n v="61302"/>
    <n v="43809"/>
    <s v="Knnd Associates Pvt Ltd"/>
    <s v="ISB Mohali"/>
    <s v="VCD (Alu. Blade)"/>
    <x v="2"/>
    <s v="Sqmt"/>
    <n v="9.4"/>
    <n v="5548"/>
    <n v="52151.200000000004"/>
  </r>
  <r>
    <s v="August"/>
    <d v="2024-08-27T00:00:00"/>
    <n v="61302"/>
    <n v="43809"/>
    <s v="Knnd Associates Pvt Ltd"/>
    <s v="ISB Mohali"/>
    <s v="Round Collar with flange 150 Dia"/>
    <x v="11"/>
    <s v="Nos"/>
    <n v="53"/>
    <n v="120"/>
    <n v="6360"/>
  </r>
  <r>
    <s v="August"/>
    <d v="2024-08-27T00:00:00"/>
    <n v="61302"/>
    <n v="43809"/>
    <s v="Knnd Associates Pvt Ltd"/>
    <s v="ISB Mohali"/>
    <s v="Insulation Flange"/>
    <x v="52"/>
    <s v="Sqmt"/>
    <n v="122"/>
    <n v="267"/>
    <n v="32574"/>
  </r>
  <r>
    <s v="August"/>
    <d v="2024-08-27T00:00:00"/>
    <n v="61302"/>
    <n v="43809"/>
    <s v="Knnd Associates Pvt Ltd"/>
    <s v="ISB Mohali"/>
    <s v="Stretch Film"/>
    <x v="4"/>
    <s v="Sqmt"/>
    <n v="630"/>
    <n v="15"/>
    <n v="9450"/>
  </r>
  <r>
    <s v="August"/>
    <d v="2024-08-28T00:00:00"/>
    <n v="61137"/>
    <n v="43810"/>
    <s v="Knnd Associates Pvt Ltd"/>
    <s v="BVVS Bagalkot"/>
    <s v="Box Duct with TDF"/>
    <x v="11"/>
    <s v="Sqmt"/>
    <n v="36"/>
    <n v="590"/>
    <n v="21240"/>
  </r>
  <r>
    <s v="August"/>
    <d v="2024-08-28T00:00:00"/>
    <n v="61137"/>
    <n v="43810"/>
    <s v="Knnd Associates Pvt Ltd"/>
    <s v="BVVS Bagalkot"/>
    <s v="Box Duct with TDF"/>
    <x v="12"/>
    <s v="Sqmt"/>
    <n v="204.1"/>
    <n v="760"/>
    <n v="155116"/>
  </r>
  <r>
    <s v="August"/>
    <d v="2024-08-28T00:00:00"/>
    <n v="61137"/>
    <n v="43810"/>
    <s v="Knnd Associates Pvt Ltd"/>
    <s v="BVVS Bagalkot"/>
    <s v="Insulation"/>
    <x v="45"/>
    <s v="Sqmt"/>
    <n v="69.5"/>
    <n v="615"/>
    <n v="42742.5"/>
  </r>
  <r>
    <s v="August"/>
    <d v="2024-08-28T00:00:00"/>
    <n v="61137"/>
    <n v="43810"/>
    <s v="Knnd Associates Pvt Ltd"/>
    <s v="BVVS Bagalkot"/>
    <s v="Stretch Film"/>
    <x v="4"/>
    <s v="Sqmt"/>
    <n v="70"/>
    <n v="15"/>
    <n v="1050"/>
  </r>
  <r>
    <s v="August"/>
    <d v="2024-08-28T00:00:00"/>
    <n v="61302"/>
    <n v="43811"/>
    <s v="Knnd Associates Pvt Ltd"/>
    <s v="ISB Mohali"/>
    <s v="Box Duct with TDF"/>
    <x v="11"/>
    <s v="Sqmt"/>
    <n v="69.399999999999991"/>
    <n v="556"/>
    <n v="38586.399999999994"/>
  </r>
  <r>
    <s v="August"/>
    <d v="2024-08-28T00:00:00"/>
    <n v="61302"/>
    <n v="43811"/>
    <s v="Knnd Associates Pvt Ltd"/>
    <s v="ISB Mohali"/>
    <s v="Box Duct with TDF"/>
    <x v="12"/>
    <s v="Sqmt"/>
    <n v="50.5"/>
    <n v="715"/>
    <n v="36107.5"/>
  </r>
  <r>
    <s v="August"/>
    <d v="2024-08-28T00:00:00"/>
    <n v="61302"/>
    <n v="43811"/>
    <s v="Knnd Associates Pvt Ltd"/>
    <s v="ISB Mohali"/>
    <s v="Insulation"/>
    <x v="52"/>
    <s v="Sqmt"/>
    <n v="9.8000000000000007"/>
    <n v="417"/>
    <n v="4086.6000000000004"/>
  </r>
  <r>
    <s v="August"/>
    <d v="2024-08-28T00:00:00"/>
    <n v="61302"/>
    <n v="43811"/>
    <s v="Knnd Associates Pvt Ltd"/>
    <s v="ISB Mohali"/>
    <s v="Insulation"/>
    <x v="53"/>
    <s v="Sqmt"/>
    <n v="72.3"/>
    <n v="1029"/>
    <n v="74396.7"/>
  </r>
  <r>
    <s v="August"/>
    <d v="2024-08-28T00:00:00"/>
    <n v="61301"/>
    <n v="43812"/>
    <s v="Knnd Associates Pvt Ltd"/>
    <s v="MUJ Girls Food Court"/>
    <s v="Box Duct with TDF"/>
    <x v="11"/>
    <s v="Sqmt"/>
    <n v="37"/>
    <n v="573"/>
    <n v="21201"/>
  </r>
  <r>
    <s v="August"/>
    <d v="2024-08-28T00:00:00"/>
    <n v="61301"/>
    <n v="43812"/>
    <s v="Knnd Associates Pvt Ltd"/>
    <s v="MUJ Girls Food Court"/>
    <s v="Box Duct with TDF"/>
    <x v="12"/>
    <s v="Sqmt"/>
    <n v="123"/>
    <n v="737"/>
    <n v="90651"/>
  </r>
  <r>
    <s v="August"/>
    <d v="2024-08-28T00:00:00"/>
    <n v="61301"/>
    <n v="43812"/>
    <s v="Knnd Associates Pvt Ltd"/>
    <s v="MUJ Girls Food Court"/>
    <s v="Box Duct with TDF"/>
    <x v="27"/>
    <s v="Sqmt"/>
    <n v="60.2"/>
    <n v="1335"/>
    <n v="80367"/>
  </r>
  <r>
    <s v="August"/>
    <d v="2024-08-28T00:00:00"/>
    <n v="61301"/>
    <n v="43812"/>
    <s v="Knnd Associates Pvt Ltd"/>
    <s v="MUJ Girls Food Court"/>
    <s v="Insulation"/>
    <x v="28"/>
    <s v="Sqmt"/>
    <n v="60.2"/>
    <n v="420"/>
    <n v="25284"/>
  </r>
  <r>
    <s v="August"/>
    <d v="2024-08-28T00:00:00"/>
    <n v="61301"/>
    <n v="43812"/>
    <s v="Knnd Associates Pvt Ltd"/>
    <s v="MUJ Girls Food Court"/>
    <s v="Insulation Flange"/>
    <x v="28"/>
    <s v="Sqmt"/>
    <n v="16.8"/>
    <n v="265"/>
    <n v="4452"/>
  </r>
  <r>
    <s v="August"/>
    <d v="2024-08-28T00:00:00"/>
    <n v="61301"/>
    <n v="43812"/>
    <s v="Knnd Associates Pvt Ltd"/>
    <s v="MUJ Girls Food Court"/>
    <s v="VCD (Alu. Blade)"/>
    <x v="27"/>
    <s v="Sqmt"/>
    <n v="0.8"/>
    <n v="6200"/>
    <n v="4960"/>
  </r>
  <r>
    <s v="August"/>
    <d v="2024-08-28T00:00:00"/>
    <n v="61301"/>
    <n v="43812"/>
    <s v="Knnd Associates Pvt Ltd"/>
    <s v="MUJ Girls Food Court"/>
    <s v="Stretch Film"/>
    <x v="4"/>
    <s v="Sqmt"/>
    <n v="70"/>
    <n v="15"/>
    <n v="1050"/>
  </r>
  <r>
    <s v="August"/>
    <d v="2024-08-28T00:00:00"/>
    <n v="61305"/>
    <n v="43813"/>
    <s v="Knnd Associates Pvt Ltd"/>
    <s v="MUJ Hostel Block"/>
    <s v="Box Duct with TDF"/>
    <x v="11"/>
    <s v="Sqmt"/>
    <n v="123"/>
    <n v="573"/>
    <n v="70479"/>
  </r>
  <r>
    <s v="August"/>
    <d v="2024-08-28T00:00:00"/>
    <n v="61305"/>
    <n v="43813"/>
    <s v="Knnd Associates Pvt Ltd"/>
    <s v="MUJ Hostel Block"/>
    <s v="Wire Mesh"/>
    <x v="54"/>
    <s v="Sqft"/>
    <n v="317.10000000000002"/>
    <n v="40"/>
    <n v="12684"/>
  </r>
  <r>
    <s v="August"/>
    <d v="2024-08-29T00:00:00"/>
    <n v="61306"/>
    <n v="43814"/>
    <s v="Knnd Associates Pvt Ltd"/>
    <s v="Excell Hospital Bangalore"/>
    <s v="Box Duct with TDF"/>
    <x v="11"/>
    <s v="Sqmt"/>
    <n v="181.1"/>
    <n v="573"/>
    <n v="103770.3"/>
  </r>
  <r>
    <s v="August"/>
    <d v="2024-08-29T00:00:00"/>
    <n v="61306"/>
    <n v="43814"/>
    <s v="Knnd Associates Pvt Ltd"/>
    <s v="Excell Hospital Bangalore"/>
    <s v="Box Duct with TDF"/>
    <x v="12"/>
    <s v="Sqmt"/>
    <n v="11.9"/>
    <n v="737"/>
    <n v="8770.3000000000011"/>
  </r>
  <r>
    <s v="August"/>
    <d v="2024-08-29T00:00:00"/>
    <n v="61306"/>
    <n v="43814"/>
    <s v="Knnd Associates Pvt Ltd"/>
    <s v="Excell Hospital Bangalore"/>
    <s v="Insulation"/>
    <x v="30"/>
    <s v="Sqmt"/>
    <n v="9"/>
    <n v="640"/>
    <n v="5760"/>
  </r>
  <r>
    <s v="August"/>
    <d v="2024-08-29T00:00:00"/>
    <n v="61306"/>
    <n v="43814"/>
    <s v="Knnd Associates Pvt Ltd"/>
    <s v="Excell Hospital Bangalore"/>
    <s v="Insulation"/>
    <x v="8"/>
    <s v="Sqmt"/>
    <n v="195.46299999999999"/>
    <n v="270"/>
    <n v="52775.009999999995"/>
  </r>
  <r>
    <s v="August"/>
    <d v="2024-08-29T00:00:00"/>
    <n v="61306"/>
    <n v="43814"/>
    <s v="Knnd Associates Pvt Ltd"/>
    <s v="Excell Hospital Bangalore"/>
    <s v="Mixing Box (300x300x300H)"/>
    <x v="11"/>
    <s v="Nos"/>
    <n v="20"/>
    <n v="367"/>
    <n v="7340"/>
  </r>
  <r>
    <s v="August"/>
    <d v="2024-08-29T00:00:00"/>
    <n v="61306"/>
    <n v="43814"/>
    <s v="Knnd Associates Pvt Ltd"/>
    <s v="Excell Hospital Bangalore"/>
    <s v="Mixing Box (600x150x250H)"/>
    <x v="11"/>
    <s v="Nos"/>
    <n v="5"/>
    <n v="420"/>
    <n v="2100"/>
  </r>
  <r>
    <s v="August"/>
    <d v="2024-08-29T00:00:00"/>
    <n v="61306"/>
    <n v="43814"/>
    <s v="Knnd Associates Pvt Ltd"/>
    <s v="Excell Hospital Bangalore"/>
    <s v="Stretch Film"/>
    <x v="4"/>
    <s v="Sqmt"/>
    <n v="210"/>
    <n v="15"/>
    <n v="3150"/>
  </r>
  <r>
    <s v="August"/>
    <d v="2024-08-29T00:00:00"/>
    <n v="61306"/>
    <n v="43815"/>
    <s v="Knnd Associates Pvt Ltd"/>
    <s v="Excell Hospital Bangalore"/>
    <s v="Box Duct with TDF"/>
    <x v="11"/>
    <s v="Sqmt"/>
    <n v="24.4"/>
    <n v="573"/>
    <n v="13981.199999999999"/>
  </r>
  <r>
    <s v="August"/>
    <d v="2024-08-29T00:00:00"/>
    <n v="61306"/>
    <n v="43815"/>
    <s v="Knnd Associates Pvt Ltd"/>
    <s v="Excell Hospital Bangalore"/>
    <s v="Box Duct with TDF"/>
    <x v="12"/>
    <s v="Sqmt"/>
    <n v="9.6000000000000014"/>
    <n v="737"/>
    <n v="7075.2000000000007"/>
  </r>
  <r>
    <s v="August"/>
    <d v="2024-08-29T00:00:00"/>
    <n v="61306"/>
    <n v="43815"/>
    <s v="Knnd Associates Pvt Ltd"/>
    <s v="Excell Hospital Bangalore"/>
    <s v="Box Duct with TDF"/>
    <x v="20"/>
    <s v="Sqmt"/>
    <n v="88.7"/>
    <n v="1065"/>
    <n v="94465.5"/>
  </r>
  <r>
    <s v="August"/>
    <d v="2024-08-29T00:00:00"/>
    <n v="61306"/>
    <n v="43815"/>
    <s v="Knnd Associates Pvt Ltd"/>
    <s v="Excell Hospital Bangalore"/>
    <s v="VCD (Alu. Blade)"/>
    <x v="1"/>
    <s v="Sqmt"/>
    <n v="0.4"/>
    <n v="5200"/>
    <n v="2080"/>
  </r>
  <r>
    <s v="August"/>
    <d v="2024-08-29T00:00:00"/>
    <n v="61306"/>
    <n v="43815"/>
    <s v="Knnd Associates Pvt Ltd"/>
    <s v="Excell Hospital Bangalore"/>
    <s v="Insulation"/>
    <x v="30"/>
    <s v="Sqmt"/>
    <n v="19.399999999999999"/>
    <n v="640"/>
    <n v="12416"/>
  </r>
  <r>
    <s v="August"/>
    <d v="2024-08-29T00:00:00"/>
    <n v="61306"/>
    <n v="43815"/>
    <s v="Knnd Associates Pvt Ltd"/>
    <s v="Excell Hospital Bangalore"/>
    <s v="Insulation"/>
    <x v="8"/>
    <s v="Sqmt"/>
    <n v="14.600000000000001"/>
    <n v="270"/>
    <n v="3942.0000000000005"/>
  </r>
  <r>
    <s v="August"/>
    <d v="2024-08-29T00:00:00"/>
    <n v="61306"/>
    <n v="43815"/>
    <s v="Knnd Associates Pvt Ltd"/>
    <s v="Excell Hospital Bangalore"/>
    <s v="Insulation"/>
    <x v="25"/>
    <s v="Sqmt"/>
    <n v="88.7"/>
    <n v="350"/>
    <n v="31045"/>
  </r>
  <r>
    <s v="August"/>
    <d v="2024-08-29T00:00:00"/>
    <n v="61306"/>
    <n v="43815"/>
    <s v="Knnd Associates Pvt Ltd"/>
    <s v="Excell Hospital Bangalore"/>
    <s v="Insulation Flange"/>
    <x v="25"/>
    <s v="Sqmt"/>
    <n v="25"/>
    <n v="200"/>
    <n v="5000"/>
  </r>
  <r>
    <s v="August"/>
    <d v="2024-08-29T00:00:00"/>
    <n v="61306"/>
    <n v="43815"/>
    <s v="Knnd Associates Pvt Ltd"/>
    <s v="Excell Hospital Bangalore"/>
    <s v="Insulation Flange"/>
    <x v="18"/>
    <s v="Nos"/>
    <n v="55"/>
    <n v="153"/>
    <n v="8415"/>
  </r>
  <r>
    <s v="August"/>
    <d v="2024-08-29T00:00:00"/>
    <n v="61306"/>
    <n v="43815"/>
    <s v="Knnd Associates Pvt Ltd"/>
    <s v="Excell Hospital Bangalore"/>
    <s v="Spigot 150mm Dia"/>
    <x v="12"/>
    <s v="Nos"/>
    <n v="2"/>
    <n v="295"/>
    <n v="590"/>
  </r>
  <r>
    <s v="August"/>
    <d v="2024-08-29T00:00:00"/>
    <n v="61306"/>
    <n v="43815"/>
    <s v="Knnd Associates Pvt Ltd"/>
    <s v="Excell Hospital Bangalore"/>
    <s v="Spigot 200mm Dia"/>
    <x v="12"/>
    <s v="Nos"/>
    <n v="25"/>
    <n v="345"/>
    <n v="8625"/>
  </r>
  <r>
    <s v="August"/>
    <d v="2024-08-29T00:00:00"/>
    <n v="61306"/>
    <n v="43815"/>
    <s v="Knnd Associates Pvt Ltd"/>
    <s v="Excell Hospital Bangalore"/>
    <s v="Stretch Film"/>
    <x v="4"/>
    <s v="Sqmt"/>
    <n v="110"/>
    <n v="15"/>
    <n v="1650"/>
  </r>
  <r>
    <s v="August"/>
    <d v="2024-08-29T00:00:00"/>
    <n v="61295"/>
    <n v="43816"/>
    <s v="Knnd Associates Pvt Ltd"/>
    <s v="Excell Hospital Bangalore"/>
    <s v="Box Duct with TDF"/>
    <x v="12"/>
    <s v="Sqmt"/>
    <n v="76.8"/>
    <n v="737"/>
    <n v="56601.599999999999"/>
  </r>
  <r>
    <s v="August"/>
    <d v="2024-08-29T00:00:00"/>
    <n v="61295"/>
    <n v="43816"/>
    <s v="Knnd Associates Pvt Ltd"/>
    <s v="Excell Hospital Bangalore"/>
    <s v="Insulation"/>
    <x v="36"/>
    <s v="Sqmt"/>
    <n v="76.8"/>
    <n v="580"/>
    <n v="44544"/>
  </r>
  <r>
    <s v="August"/>
    <d v="2024-08-30T00:00:00"/>
    <n v="61263"/>
    <n v="43817"/>
    <s v="Knnd Associates Pvt Ltd"/>
    <s v="Schneider Bangalore"/>
    <s v="Box Duct with TDF (L-shape)"/>
    <x v="11"/>
    <s v="Sqmt"/>
    <n v="651.20000000000005"/>
    <n v="553"/>
    <n v="360113.60000000003"/>
  </r>
  <r>
    <s v="August"/>
    <d v="2024-08-30T00:00:00"/>
    <n v="61263"/>
    <n v="43817"/>
    <s v="Knnd Associates Pvt Ltd"/>
    <s v="Schneider Bangalore"/>
    <s v="Box Duct with TDF"/>
    <x v="11"/>
    <s v="Sqmt"/>
    <n v="42.3"/>
    <n v="573"/>
    <n v="24237.899999999998"/>
  </r>
  <r>
    <s v="August"/>
    <d v="2024-08-30T00:00:00"/>
    <n v="61263"/>
    <n v="43817"/>
    <s v="Knnd Associates Pvt Ltd"/>
    <s v="Schneider Bangalore"/>
    <s v="Box Duct with TDF (L-shape)"/>
    <x v="12"/>
    <s v="Sqmt"/>
    <n v="347.5"/>
    <n v="717"/>
    <n v="249157.5"/>
  </r>
  <r>
    <s v="August"/>
    <d v="2024-08-30T00:00:00"/>
    <n v="61263"/>
    <n v="43817"/>
    <s v="Knnd Associates Pvt Ltd"/>
    <s v="Schneider Bangalore"/>
    <s v="Box Duct with TDF"/>
    <x v="12"/>
    <s v="Sqmt"/>
    <n v="37.5"/>
    <n v="737"/>
    <n v="27637.5"/>
  </r>
  <r>
    <s v="August"/>
    <d v="2024-08-30T00:00:00"/>
    <n v="61263"/>
    <n v="43817"/>
    <s v="Knnd Associates Pvt Ltd"/>
    <s v="Schneider Bangalore"/>
    <s v="Box Duct with TDF (L-shape)"/>
    <x v="1"/>
    <s v="Sqmt"/>
    <n v="42.3"/>
    <n v="885"/>
    <n v="37435.5"/>
  </r>
  <r>
    <s v="August"/>
    <d v="2024-08-30T00:00:00"/>
    <n v="61263"/>
    <n v="43817"/>
    <s v="Knnd Associates Pvt Ltd"/>
    <s v="Schneider Bangalore"/>
    <s v="Box Duct with TDF"/>
    <x v="1"/>
    <s v="Sqmt"/>
    <n v="7"/>
    <n v="905"/>
    <n v="6335"/>
  </r>
  <r>
    <s v="August"/>
    <d v="2024-08-30T00:00:00"/>
    <n v="61291"/>
    <n v="43818"/>
    <s v="Eqube Energy and Research Services LLP"/>
    <s v="Siemens Ltd Bangalore"/>
    <s v="Box Duct with TDF"/>
    <x v="11"/>
    <s v="Sqmt"/>
    <n v="86"/>
    <n v="575"/>
    <n v="49450"/>
  </r>
  <r>
    <s v="August"/>
    <d v="2024-08-30T00:00:00"/>
    <n v="61291"/>
    <n v="43818"/>
    <s v="Eqube Energy and Research Services LLP"/>
    <s v="Siemens Ltd Bangalore"/>
    <s v="Box Duct with TDF"/>
    <x v="12"/>
    <s v="Sqmt"/>
    <n v="49.9"/>
    <n v="735"/>
    <n v="36676.5"/>
  </r>
  <r>
    <s v="August"/>
    <d v="2024-08-30T00:00:00"/>
    <n v="61291"/>
    <n v="43818"/>
    <s v="Eqube Energy and Research Services LLP"/>
    <s v="Siemens Ltd Bangalore"/>
    <s v="Mixing box (450x450x450H)"/>
    <x v="11"/>
    <s v="Nos"/>
    <n v="25"/>
    <n v="650"/>
    <n v="16250"/>
  </r>
  <r>
    <s v="August"/>
    <d v="2024-08-30T00:00:00"/>
    <n v="61303"/>
    <n v="43819"/>
    <s v="Knnd Associates Pvt Ltd"/>
    <s v="MHM-T1-Mangalore"/>
    <s v="Box Duct with S&amp;C"/>
    <x v="11"/>
    <s v="Sqmt"/>
    <n v="17.7"/>
    <n v="573"/>
    <n v="10142.1"/>
  </r>
  <r>
    <s v="August"/>
    <d v="2024-08-30T00:00:00"/>
    <n v="61303"/>
    <n v="43819"/>
    <s v="Knnd Associates Pvt Ltd"/>
    <s v="MHM-T1-Mangalore"/>
    <s v="Insulation"/>
    <x v="22"/>
    <s v="Sqmt"/>
    <n v="17.7"/>
    <n v="345"/>
    <n v="6106.5"/>
  </r>
  <r>
    <s v="August"/>
    <d v="2024-08-30T00:00:00"/>
    <n v="61303"/>
    <n v="43819"/>
    <s v="Knnd Associates Pvt Ltd"/>
    <s v="MHM-T1-Mangalore"/>
    <s v="Insulation Flange"/>
    <x v="22"/>
    <s v="Sqmt"/>
    <n v="5"/>
    <n v="195"/>
    <n v="975"/>
  </r>
  <r>
    <s v="August"/>
    <d v="2024-08-30T00:00:00"/>
    <n v="61303"/>
    <n v="43819"/>
    <s v="Knnd Associates Pvt Ltd"/>
    <s v="MHM-T1-Mangalore"/>
    <s v="Stretch Film"/>
    <x v="4"/>
    <s v="Sqmt"/>
    <n v="20"/>
    <n v="15"/>
    <n v="300"/>
  </r>
  <r>
    <s v="August"/>
    <d v="2024-08-30T00:00:00"/>
    <n v="61298"/>
    <n v="43820"/>
    <s v="Knnd Associates Pvt Ltd"/>
    <s v="Wenlock Hospital Mangalore"/>
    <s v="Box Duct with TDF"/>
    <x v="11"/>
    <s v="Sqmt"/>
    <n v="57.1"/>
    <n v="573"/>
    <n v="32718.3"/>
  </r>
  <r>
    <s v="August"/>
    <d v="2024-08-30T00:00:00"/>
    <n v="61298"/>
    <n v="43820"/>
    <s v="Knnd Associates Pvt Ltd"/>
    <s v="Wenlock Hospital Mangalore"/>
    <s v="Insulation"/>
    <x v="22"/>
    <s v="Sqmt"/>
    <n v="57.1"/>
    <n v="345"/>
    <n v="19699.5"/>
  </r>
  <r>
    <s v="August"/>
    <d v="2024-08-30T00:00:00"/>
    <n v="61298"/>
    <n v="43820"/>
    <s v="Knnd Associates Pvt Ltd"/>
    <s v="Wenlock Hospital Mangalore"/>
    <s v="Insulation Flange"/>
    <x v="22"/>
    <s v="Sqmt"/>
    <n v="13"/>
    <n v="198"/>
    <n v="2574"/>
  </r>
  <r>
    <s v="August"/>
    <d v="2024-08-30T00:00:00"/>
    <n v="61298"/>
    <n v="43820"/>
    <s v="Knnd Associates Pvt Ltd"/>
    <s v="Wenlock Hospital Mangalore"/>
    <s v="Stretch Film"/>
    <x v="4"/>
    <s v="Sqmt"/>
    <n v="60"/>
    <n v="15"/>
    <n v="900"/>
  </r>
  <r>
    <s v="August"/>
    <d v="2024-08-30T00:00:00"/>
    <n v="61263"/>
    <n v="43821"/>
    <s v="Knnd Associates Pvt Ltd"/>
    <s v="Schneider Bangalore"/>
    <s v="Box Duct with TDF"/>
    <x v="11"/>
    <s v="Sqmt"/>
    <n v="26.8"/>
    <n v="573"/>
    <n v="15356.4"/>
  </r>
  <r>
    <s v="August"/>
    <d v="2024-08-30T00:00:00"/>
    <n v="61263"/>
    <n v="43821"/>
    <s v="Knnd Associates Pvt Ltd"/>
    <s v="Schneider Bangalore"/>
    <s v="Box Duct with TDF"/>
    <x v="12"/>
    <s v="Sqmt"/>
    <n v="64.400000000000006"/>
    <n v="737"/>
    <n v="47462.8"/>
  </r>
  <r>
    <s v="August"/>
    <d v="2024-08-30T00:00:00"/>
    <n v="61296"/>
    <n v="43822"/>
    <s v="Knnd Associates Pvt Ltd"/>
    <s v="MCT Unit 4 Manipal"/>
    <s v="Box Duct with TDF"/>
    <x v="11"/>
    <s v="Sqmt"/>
    <n v="15.2"/>
    <n v="573"/>
    <n v="8709.6"/>
  </r>
  <r>
    <s v="August"/>
    <d v="2024-08-30T00:00:00"/>
    <n v="61296"/>
    <n v="43822"/>
    <s v="Knnd Associates Pvt Ltd"/>
    <s v="MCT Unit 4 Manipal"/>
    <s v="Box Duct with TDF"/>
    <x v="12"/>
    <s v="Sqmt"/>
    <n v="25.3"/>
    <n v="737"/>
    <n v="18646.100000000002"/>
  </r>
  <r>
    <s v="August"/>
    <d v="2024-08-30T00:00:00"/>
    <n v="61296"/>
    <n v="43822"/>
    <s v="Knnd Associates Pvt Ltd"/>
    <s v="MCT Unit 4 Manipal"/>
    <s v="Insulation"/>
    <x v="8"/>
    <s v="Sqmt"/>
    <n v="40.5"/>
    <n v="270"/>
    <n v="10935"/>
  </r>
  <r>
    <s v="August"/>
    <d v="2024-08-30T00:00:00"/>
    <n v="61296"/>
    <n v="43822"/>
    <s v="Knnd Associates Pvt Ltd"/>
    <s v="MCT Unit 4 Manipal"/>
    <s v="Stretch Film"/>
    <x v="4"/>
    <s v="Sqmt"/>
    <n v="45"/>
    <n v="15"/>
    <n v="675"/>
  </r>
  <r>
    <s v="August"/>
    <d v="2024-08-30T00:00:00"/>
    <n v="61268"/>
    <n v="43823"/>
    <s v="Knnd Associates Pvt Ltd"/>
    <s v="TAPMI SUSTAINABILITY MANIPAL"/>
    <s v="Box Duct with TDF"/>
    <x v="12"/>
    <s v="Sqmt"/>
    <n v="3"/>
    <n v="737"/>
    <n v="2211"/>
  </r>
  <r>
    <s v="August"/>
    <d v="2024-08-30T00:00:00"/>
    <n v="61268"/>
    <n v="43823"/>
    <s v="Knnd Associates Pvt Ltd"/>
    <s v="TAPMI SUSTAINABILITY MANIPAL"/>
    <s v="Spiral Oval Duct"/>
    <x v="5"/>
    <s v="Sqmt"/>
    <n v="52.2"/>
    <n v="670"/>
    <n v="34974"/>
  </r>
  <r>
    <s v="August"/>
    <d v="2024-08-30T00:00:00"/>
    <n v="61268"/>
    <n v="43823"/>
    <s v="Knnd Associates Pvt Ltd"/>
    <s v="TAPMI SUSTAINABILITY MANIPAL"/>
    <s v="Spiral Oval Duct"/>
    <x v="6"/>
    <s v="Sqmt"/>
    <n v="8.8000000000000007"/>
    <n v="765"/>
    <n v="6732.0000000000009"/>
  </r>
  <r>
    <s v="August"/>
    <d v="2024-08-30T00:00:00"/>
    <n v="61268"/>
    <n v="43823"/>
    <s v="Knnd Associates Pvt Ltd"/>
    <s v="TAPMI SUSTAINABILITY MANIPAL"/>
    <s v="Spiral Oval Coupling"/>
    <x v="7"/>
    <s v="Sqmt"/>
    <n v="1.5"/>
    <n v="907"/>
    <n v="1360.5"/>
  </r>
  <r>
    <s v="August"/>
    <d v="2024-08-30T00:00:00"/>
    <n v="61268"/>
    <n v="43823"/>
    <s v="Knnd Associates Pvt Ltd"/>
    <s v="TAPMI SUSTAINABILITY MANIPAL"/>
    <s v="Insulation"/>
    <x v="8"/>
    <s v="Sqmt"/>
    <n v="65.5"/>
    <n v="270"/>
    <n v="17685"/>
  </r>
  <r>
    <s v="August"/>
    <d v="2024-08-30T00:00:00"/>
    <n v="61268"/>
    <n v="43823"/>
    <s v="Knnd Associates Pvt Ltd"/>
    <s v="TAPMI SUSTAINABILITY MANIPAL"/>
    <s v="Stretch Film"/>
    <x v="4"/>
    <s v="Sqmt"/>
    <n v="70"/>
    <n v="15"/>
    <n v="1050"/>
  </r>
  <r>
    <s v="August"/>
    <d v="2024-08-30T00:00:00"/>
    <n v="61299"/>
    <n v="43824"/>
    <s v="Knnd Associates Pvt Ltd"/>
    <s v="Infosys Coimbatore"/>
    <s v="Box Duct with TDF"/>
    <x v="11"/>
    <s v="Sqmt"/>
    <n v="117"/>
    <n v="573"/>
    <n v="67041"/>
  </r>
  <r>
    <s v="August"/>
    <d v="2024-08-30T00:00:00"/>
    <n v="61299"/>
    <n v="43824"/>
    <s v="Knnd Associates Pvt Ltd"/>
    <s v="Infosys Coimbatore"/>
    <s v="Box Duct with TDF"/>
    <x v="12"/>
    <s v="Sqmt"/>
    <n v="29.7"/>
    <n v="737"/>
    <n v="21888.899999999998"/>
  </r>
  <r>
    <s v="August"/>
    <d v="2024-08-30T00:00:00"/>
    <n v="61299"/>
    <n v="43824"/>
    <s v="Knnd Associates Pvt Ltd"/>
    <s v="Infosys Coimbatore"/>
    <s v="Spiral Round Duct"/>
    <x v="5"/>
    <s v="Sqmt"/>
    <n v="12"/>
    <n v="540"/>
    <n v="6480"/>
  </r>
  <r>
    <s v="August"/>
    <d v="2024-08-30T00:00:00"/>
    <n v="61299"/>
    <n v="43824"/>
    <s v="Knnd Associates Pvt Ltd"/>
    <s v="Infosys Coimbatore"/>
    <s v="Spiral Oval Duct"/>
    <x v="5"/>
    <s v="Sqmt"/>
    <n v="26.3"/>
    <n v="670"/>
    <n v="17621"/>
  </r>
  <r>
    <s v="August"/>
    <d v="2024-08-30T00:00:00"/>
    <n v="61299"/>
    <n v="43824"/>
    <s v="Knnd Associates Pvt Ltd"/>
    <s v="Infosys Coimbatore"/>
    <s v="Spiral Oval Duct"/>
    <x v="6"/>
    <s v="Sqmt"/>
    <n v="93"/>
    <n v="765"/>
    <n v="71145"/>
  </r>
  <r>
    <s v="August"/>
    <d v="2024-08-30T00:00:00"/>
    <n v="61299"/>
    <n v="43824"/>
    <s v="Knnd Associates Pvt Ltd"/>
    <s v="Infosys Coimbatore"/>
    <s v="Spiral Oval Coupling"/>
    <x v="7"/>
    <s v="Sqmt"/>
    <n v="4.0999999999999996"/>
    <n v="907"/>
    <n v="3718.7"/>
  </r>
  <r>
    <s v="August"/>
    <d v="2024-08-30T00:00:00"/>
    <n v="61299"/>
    <n v="43824"/>
    <s v="Knnd Associates Pvt Ltd"/>
    <s v="Infosys Coimbatore"/>
    <s v="Mixing Box (595x595x450H)"/>
    <x v="11"/>
    <s v="Nos"/>
    <n v="7"/>
    <n v="820"/>
    <n v="5740"/>
  </r>
  <r>
    <s v="August"/>
    <d v="2024-08-30T00:00:00"/>
    <n v="61299"/>
    <n v="43824"/>
    <s v="Knnd Associates Pvt Ltd"/>
    <s v="Infosys Coimbatore"/>
    <s v="Mixing Box (550x550x450H)"/>
    <x v="11"/>
    <s v="Nos"/>
    <n v="6"/>
    <n v="794"/>
    <n v="4764"/>
  </r>
  <r>
    <s v="August"/>
    <d v="2024-08-30T00:00:00"/>
    <n v="61299"/>
    <n v="43824"/>
    <s v="Knnd Associates Pvt Ltd"/>
    <s v="Infosys Coimbatore"/>
    <s v="Mixing Box (1500x150x400H)"/>
    <x v="11"/>
    <s v="Nos"/>
    <n v="2"/>
    <n v="1265"/>
    <n v="2530"/>
  </r>
  <r>
    <s v="August"/>
    <d v="2024-08-30T00:00:00"/>
    <n v="61299"/>
    <n v="43824"/>
    <s v="Knnd Associates Pvt Ltd"/>
    <s v="Infosys Coimbatore"/>
    <s v="Spigot 200mm Dia"/>
    <x v="12"/>
    <s v="Nos"/>
    <n v="6"/>
    <n v="345"/>
    <n v="2070"/>
  </r>
  <r>
    <s v="August"/>
    <d v="2024-08-30T00:00:00"/>
    <n v="61299"/>
    <n v="43824"/>
    <s v="Knnd Associates Pvt Ltd"/>
    <s v="Infosys Coimbatore"/>
    <s v="Spigot 250mm Dia"/>
    <x v="12"/>
    <s v="Nos"/>
    <n v="7"/>
    <n v="405"/>
    <n v="2835"/>
  </r>
  <r>
    <s v="August"/>
    <d v="2024-08-30T00:00:00"/>
    <n v="61299"/>
    <n v="43824"/>
    <s v="Knnd Associates Pvt Ltd"/>
    <s v="Infosys Coimbatore"/>
    <s v="Plain Sheet"/>
    <x v="11"/>
    <s v="Sqmt"/>
    <n v="90"/>
    <n v="448"/>
    <n v="40320"/>
  </r>
  <r>
    <s v="August"/>
    <d v="2024-08-30T00:00:00"/>
    <n v="61299"/>
    <n v="43824"/>
    <s v="Knnd Associates Pvt Ltd"/>
    <s v="Infosys Coimbatore"/>
    <s v="Spiral VCD"/>
    <x v="7"/>
    <s v="Sqmt"/>
    <n v="0.8"/>
    <n v="3200"/>
    <n v="2560"/>
  </r>
  <r>
    <s v="August"/>
    <d v="2024-08-30T00:00:00"/>
    <n v="61299"/>
    <n v="43824"/>
    <s v="Knnd Associates Pvt Ltd"/>
    <s v="Infosys Coimbatore"/>
    <s v="Insulation"/>
    <x v="43"/>
    <s v="Sqmt"/>
    <n v="201.60197108173"/>
    <n v="761"/>
    <n v="153419.09999319652"/>
  </r>
  <r>
    <s v="August"/>
    <d v="2024-08-30T00:00:00"/>
    <n v="61299"/>
    <n v="43824"/>
    <s v="Knnd Associates Pvt Ltd"/>
    <s v="Infosys Coimbatore"/>
    <s v="Insulation Flange"/>
    <x v="43"/>
    <s v="Sqmt"/>
    <n v="10"/>
    <n v="560"/>
    <n v="5600"/>
  </r>
  <r>
    <s v="August"/>
    <d v="2024-08-30T00:00:00"/>
    <n v="61299"/>
    <n v="43824"/>
    <s v="Knnd Associates Pvt Ltd"/>
    <s v="Infosys Coimbatore"/>
    <s v="Insulation"/>
    <x v="17"/>
    <s v="Sqmt"/>
    <n v="24.907361999999999"/>
    <n v="815"/>
    <n v="20299.500029999999"/>
  </r>
  <r>
    <s v="August"/>
    <d v="2024-08-30T00:00:00"/>
    <n v="61299"/>
    <n v="43824"/>
    <s v="Knnd Associates Pvt Ltd"/>
    <s v="Infosys Coimbatore"/>
    <s v="Stretch Film"/>
    <x v="4"/>
    <s v="Sqmt"/>
    <n v="70"/>
    <n v="15"/>
    <n v="1050"/>
  </r>
  <r>
    <s v="August"/>
    <d v="2024-08-30T00:00:00"/>
    <n v="61294"/>
    <n v="43825"/>
    <s v="Knnd Associates Pvt Ltd"/>
    <s v="Google Rio Bengaluru"/>
    <s v="Box Duct with TDF"/>
    <x v="11"/>
    <s v="Sqmt"/>
    <n v="47.7"/>
    <n v="573"/>
    <n v="27332.100000000002"/>
  </r>
  <r>
    <s v="August"/>
    <d v="2024-08-30T00:00:00"/>
    <n v="61294"/>
    <n v="43825"/>
    <s v="Knnd Associates Pvt Ltd"/>
    <s v="Google Rio Bengaluru"/>
    <s v="Box Duct with TDF"/>
    <x v="12"/>
    <s v="Sqmt"/>
    <n v="18.8"/>
    <n v="737"/>
    <n v="13855.6"/>
  </r>
  <r>
    <s v="August"/>
    <d v="2024-08-30T00:00:00"/>
    <n v="61294"/>
    <n v="43825"/>
    <s v="Knnd Associates Pvt Ltd"/>
    <s v="Google Rio Bengaluru"/>
    <s v="Box Duct with TDF"/>
    <x v="1"/>
    <s v="Sqmt"/>
    <n v="11.2"/>
    <n v="905"/>
    <n v="10136"/>
  </r>
  <r>
    <s v="August"/>
    <d v="2024-08-30T00:00:00"/>
    <n v="61294"/>
    <n v="43825"/>
    <s v="Knnd Associates Pvt Ltd"/>
    <s v="Google Rio Bengaluru"/>
    <s v="Box Duct with TDF"/>
    <x v="2"/>
    <s v="Sqmt"/>
    <n v="18.7"/>
    <n v="1002"/>
    <n v="18737.399999999998"/>
  </r>
  <r>
    <s v="August"/>
    <d v="2024-08-30T00:00:00"/>
    <n v="61294"/>
    <n v="43825"/>
    <s v="Knnd Associates Pvt Ltd"/>
    <s v="Google Rio Bengaluru"/>
    <s v="Spiral Oval Duct"/>
    <x v="5"/>
    <s v="Sqmt"/>
    <n v="45.5"/>
    <n v="670"/>
    <n v="30485"/>
  </r>
  <r>
    <s v="August"/>
    <d v="2024-08-30T00:00:00"/>
    <n v="61294"/>
    <n v="43825"/>
    <s v="Knnd Associates Pvt Ltd"/>
    <s v="Google Rio Bengaluru"/>
    <s v="Spiral Oval Duct"/>
    <x v="6"/>
    <s v="Sqmt"/>
    <n v="6.2"/>
    <n v="765"/>
    <n v="474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6">
  <r>
    <n v="1"/>
    <x v="0"/>
    <x v="0"/>
    <n v="61930"/>
    <n v="45322"/>
    <s v="Knnd Associates Pvt Ltd"/>
    <s v="Blackstone COE India Pvt Ltd Bangalore"/>
    <x v="0"/>
    <s v="120gsm 24G"/>
    <x v="0"/>
    <n v="374.9"/>
    <n v="585"/>
    <n v="219316.5"/>
  </r>
  <r>
    <n v="2"/>
    <x v="0"/>
    <x v="0"/>
    <n v="61930"/>
    <n v="45322"/>
    <s v="Knnd Associates Pvt Ltd"/>
    <s v="Blackstone COE India Pvt Ltd Bangalore"/>
    <x v="0"/>
    <s v="120gsm 22G"/>
    <x v="0"/>
    <n v="139.1"/>
    <n v="790"/>
    <n v="109889"/>
  </r>
  <r>
    <n v="3"/>
    <x v="0"/>
    <x v="0"/>
    <n v="61930"/>
    <n v="45322"/>
    <s v="Knnd Associates Pvt Ltd"/>
    <s v="Blackstone COE India Pvt Ltd Bangalore"/>
    <x v="1"/>
    <s v="Insu Armaflex Thermal 9mm"/>
    <x v="0"/>
    <n v="408.3"/>
    <n v="289"/>
    <n v="117998.7"/>
  </r>
  <r>
    <n v="4"/>
    <x v="0"/>
    <x v="0"/>
    <n v="61930"/>
    <n v="45322"/>
    <s v="Knnd Associates Pvt Ltd"/>
    <s v="Blackstone COE India Pvt Ltd Bangalore"/>
    <x v="1"/>
    <s v="Insu Armasound Acou. 15mm"/>
    <x v="0"/>
    <n v="38.700000000000003"/>
    <n v="805"/>
    <n v="31153.500000000004"/>
  </r>
  <r>
    <n v="5"/>
    <x v="0"/>
    <x v="0"/>
    <n v="61930"/>
    <n v="45322"/>
    <s v="Knnd Associates Pvt Ltd"/>
    <s v="Blackstone COE India Pvt Ltd Bangalore"/>
    <x v="1"/>
    <s v="Insu Armasound Acou. 25mm"/>
    <x v="0"/>
    <n v="57.3"/>
    <n v="1271"/>
    <n v="72828.3"/>
  </r>
  <r>
    <n v="6"/>
    <x v="0"/>
    <x v="0"/>
    <n v="61930"/>
    <n v="45322"/>
    <s v="Knnd Associates Pvt Ltd"/>
    <s v="Blackstone COE India Pvt Ltd Bangalore"/>
    <x v="2"/>
    <s v="Polythene wrapping"/>
    <x v="0"/>
    <n v="440"/>
    <n v="15"/>
    <n v="6600"/>
  </r>
  <r>
    <n v="7"/>
    <x v="0"/>
    <x v="0"/>
    <n v="61930"/>
    <n v="45322"/>
    <s v="Knnd Associates Pvt Ltd"/>
    <s v="Blackstone COE India Pvt Ltd Bangalore"/>
    <x v="3"/>
    <s v="Stretch Rolls"/>
    <x v="1"/>
    <n v="2"/>
    <n v="810"/>
    <n v="1620"/>
  </r>
  <r>
    <n v="8"/>
    <x v="0"/>
    <x v="1"/>
    <n v="61936"/>
    <n v="45323"/>
    <s v="Lakshmi Fabrication"/>
    <s v="Lenovo Project Bangalore"/>
    <x v="0"/>
    <s v="120gsm 24G"/>
    <x v="0"/>
    <n v="105.6"/>
    <n v="585"/>
    <n v="61776"/>
  </r>
  <r>
    <n v="9"/>
    <x v="0"/>
    <x v="1"/>
    <n v="61936"/>
    <n v="45323"/>
    <s v="Lakshmi Fabrication"/>
    <s v="Lenovo Project Bangalore"/>
    <x v="0"/>
    <s v="120gsm 22G"/>
    <x v="0"/>
    <n v="3.3"/>
    <n v="790"/>
    <n v="2607"/>
  </r>
  <r>
    <n v="10"/>
    <x v="0"/>
    <x v="1"/>
    <n v="61936"/>
    <n v="45323"/>
    <s v="Lakshmi Fabrication"/>
    <s v="Lenovo Project Bangalore"/>
    <x v="0"/>
    <s v="120gsm 20G"/>
    <x v="0"/>
    <n v="15.1"/>
    <n v="915"/>
    <n v="13816.5"/>
  </r>
  <r>
    <n v="11"/>
    <x v="0"/>
    <x v="1"/>
    <n v="61936"/>
    <n v="45323"/>
    <s v="Lakshmi Fabrication"/>
    <s v="Lenovo Project Bangalore"/>
    <x v="0"/>
    <s v="120gsm 18G"/>
    <x v="0"/>
    <n v="4.3"/>
    <n v="1030"/>
    <n v="4429"/>
  </r>
  <r>
    <n v="12"/>
    <x v="0"/>
    <x v="1"/>
    <n v="61936"/>
    <n v="45323"/>
    <s v="Lakshmi Fabrication"/>
    <s v="Lenovo Project Bangalore"/>
    <x v="4"/>
    <s v="120gsm Slit 24G"/>
    <x v="0"/>
    <n v="14.7"/>
    <n v="660"/>
    <n v="9702"/>
  </r>
  <r>
    <n v="13"/>
    <x v="0"/>
    <x v="1"/>
    <n v="61936"/>
    <n v="45323"/>
    <s v="Lakshmi Fabrication"/>
    <s v="Lenovo Project Bangalore"/>
    <x v="4"/>
    <s v="120gsm Slit 22G"/>
    <x v="0"/>
    <n v="23.5"/>
    <n v="795"/>
    <n v="18682.5"/>
  </r>
  <r>
    <n v="14"/>
    <x v="0"/>
    <x v="1"/>
    <n v="61936"/>
    <n v="45323"/>
    <s v="Lakshmi Fabrication"/>
    <s v="Lenovo Project Bangalore"/>
    <x v="1"/>
    <s v="Insu Kflex Thermal 13mm"/>
    <x v="0"/>
    <n v="38.200000000000003"/>
    <n v="380"/>
    <n v="14516.000000000002"/>
  </r>
  <r>
    <n v="15"/>
    <x v="0"/>
    <x v="1"/>
    <n v="61936"/>
    <n v="45323"/>
    <s v="Lakshmi Fabrication"/>
    <s v="Lenovo Project Bangalore"/>
    <x v="1"/>
    <s v="Insu Kflex Acou. 10mm"/>
    <x v="0"/>
    <n v="57.8"/>
    <n v="680"/>
    <n v="39304"/>
  </r>
  <r>
    <n v="16"/>
    <x v="0"/>
    <x v="1"/>
    <n v="61936"/>
    <n v="45323"/>
    <s v="Lakshmi Fabrication"/>
    <s v="Lenovo Project Bangalore"/>
    <x v="1"/>
    <s v="Insu Kflex Thermal 19mm Glass Cloth"/>
    <x v="0"/>
    <n v="52.1"/>
    <n v="675"/>
    <n v="35167.5"/>
  </r>
  <r>
    <n v="17"/>
    <x v="0"/>
    <x v="1"/>
    <n v="61936"/>
    <n v="45324"/>
    <s v="Lakshmi Fabrication"/>
    <s v="Lenovo Project Bangalore"/>
    <x v="0"/>
    <s v="120gsm 24G"/>
    <x v="0"/>
    <n v="119.1"/>
    <n v="585"/>
    <n v="69673.5"/>
  </r>
  <r>
    <n v="18"/>
    <x v="0"/>
    <x v="1"/>
    <n v="61936"/>
    <n v="45324"/>
    <s v="Lakshmi Fabrication"/>
    <s v="Lenovo Project Bangalore"/>
    <x v="0"/>
    <s v="120gsm 22G"/>
    <x v="0"/>
    <n v="31.9"/>
    <n v="790"/>
    <n v="25201"/>
  </r>
  <r>
    <n v="19"/>
    <x v="0"/>
    <x v="1"/>
    <n v="61936"/>
    <n v="45324"/>
    <s v="Lakshmi Fabrication"/>
    <s v="Lenovo Project Bangalore"/>
    <x v="0"/>
    <s v="120gsm 20G"/>
    <x v="0"/>
    <n v="11.8"/>
    <n v="915"/>
    <n v="10797"/>
  </r>
  <r>
    <n v="20"/>
    <x v="0"/>
    <x v="1"/>
    <n v="61936"/>
    <n v="45324"/>
    <s v="Lakshmi Fabrication"/>
    <s v="Lenovo Project Bangalore"/>
    <x v="0"/>
    <s v="120gsm 18G"/>
    <x v="0"/>
    <n v="8.5"/>
    <n v="1030"/>
    <n v="8755"/>
  </r>
  <r>
    <n v="21"/>
    <x v="0"/>
    <x v="1"/>
    <n v="61936"/>
    <n v="45324"/>
    <s v="Lakshmi Fabrication"/>
    <s v="Lenovo Project Bangalore"/>
    <x v="1"/>
    <s v="Insu Kflex Thermal 19mm Glass Cloth"/>
    <x v="0"/>
    <n v="171.3"/>
    <n v="675"/>
    <n v="115627.50000000001"/>
  </r>
  <r>
    <n v="22"/>
    <x v="0"/>
    <x v="2"/>
    <n v="61936"/>
    <n v="45325"/>
    <s v="Lakshmi Fabrication"/>
    <s v="Lenovo Project Bangalore"/>
    <x v="0"/>
    <s v="120gsm 24G"/>
    <x v="0"/>
    <n v="70"/>
    <n v="585"/>
    <n v="40950"/>
  </r>
  <r>
    <n v="23"/>
    <x v="0"/>
    <x v="2"/>
    <n v="61936"/>
    <n v="45325"/>
    <s v="Lakshmi Fabrication"/>
    <s v="Lenovo Project Bangalore"/>
    <x v="0"/>
    <s v="120gsm 22G"/>
    <x v="0"/>
    <n v="9.8000000000000007"/>
    <n v="790"/>
    <n v="7742.0000000000009"/>
  </r>
  <r>
    <n v="24"/>
    <x v="0"/>
    <x v="2"/>
    <n v="61936"/>
    <n v="45325"/>
    <s v="Lakshmi Fabrication"/>
    <s v="Lenovo Project Bangalore"/>
    <x v="0"/>
    <s v="120gsm 20G"/>
    <x v="0"/>
    <n v="13.2"/>
    <n v="915"/>
    <n v="12078"/>
  </r>
  <r>
    <n v="25"/>
    <x v="0"/>
    <x v="2"/>
    <n v="61936"/>
    <n v="45325"/>
    <s v="Lakshmi Fabrication"/>
    <s v="Lenovo Project Bangalore"/>
    <x v="0"/>
    <s v="120gsm 18G"/>
    <x v="0"/>
    <n v="28.4"/>
    <n v="1030"/>
    <n v="29252"/>
  </r>
  <r>
    <n v="26"/>
    <x v="0"/>
    <x v="2"/>
    <n v="61936"/>
    <n v="45325"/>
    <s v="Lakshmi Fabrication"/>
    <s v="Lenovo Project Bangalore"/>
    <x v="5"/>
    <s v="120gsm 20G"/>
    <x v="0"/>
    <n v="11.9"/>
    <n v="3400"/>
    <n v="40460"/>
  </r>
  <r>
    <n v="27"/>
    <x v="0"/>
    <x v="2"/>
    <n v="61936"/>
    <n v="45325"/>
    <s v="Lakshmi Fabrication"/>
    <s v="Lenovo Project Bangalore"/>
    <x v="1"/>
    <s v="Insu Kflex Acou. 25mm"/>
    <x v="0"/>
    <n v="25.5"/>
    <n v="1515"/>
    <n v="38632.5"/>
  </r>
  <r>
    <n v="28"/>
    <x v="0"/>
    <x v="2"/>
    <n v="61936"/>
    <n v="45325"/>
    <s v="Lakshmi Fabrication"/>
    <s v="Lenovo Project Bangalore"/>
    <x v="1"/>
    <s v="Insu Kflex Acou. 10mm"/>
    <x v="0"/>
    <n v="0.5"/>
    <n v="680"/>
    <n v="340"/>
  </r>
  <r>
    <n v="29"/>
    <x v="0"/>
    <x v="2"/>
    <n v="61936"/>
    <n v="45325"/>
    <s v="Lakshmi Fabrication"/>
    <s v="Lenovo Project Bangalore"/>
    <x v="1"/>
    <s v="Insu Kflex Thermal 19mm Glass Cloth"/>
    <x v="0"/>
    <n v="95.4"/>
    <n v="675"/>
    <n v="64395.000000000007"/>
  </r>
  <r>
    <n v="30"/>
    <x v="0"/>
    <x v="2"/>
    <n v="61936"/>
    <n v="45325"/>
    <s v="Lakshmi Fabrication"/>
    <s v="Lenovo Project Bangalore"/>
    <x v="6"/>
    <s v="8mm JTR"/>
    <x v="2"/>
    <n v="2.5"/>
    <n v="130"/>
    <n v="325"/>
  </r>
  <r>
    <n v="31"/>
    <x v="0"/>
    <x v="2"/>
    <n v="61936"/>
    <n v="45325"/>
    <s v="Lakshmi Fabrication"/>
    <s v="Lenovo Project Bangalore"/>
    <x v="7"/>
    <s v="Tape"/>
    <x v="1"/>
    <n v="30"/>
    <n v="147"/>
    <n v="4410"/>
  </r>
  <r>
    <n v="32"/>
    <x v="0"/>
    <x v="2"/>
    <n v="61531"/>
    <n v="45326"/>
    <s v="Knnd Associates Pvt Ltd"/>
    <s v="IISC Medical School Foundation Bangalore"/>
    <x v="0"/>
    <s v="120gsm 24G"/>
    <x v="0"/>
    <n v="38.1"/>
    <n v="530"/>
    <n v="20193"/>
  </r>
  <r>
    <n v="33"/>
    <x v="0"/>
    <x v="2"/>
    <n v="61531"/>
    <n v="45326"/>
    <s v="Knnd Associates Pvt Ltd"/>
    <s v="IISC Medical School Foundation Bangalore"/>
    <x v="0"/>
    <s v="120gsm 22G"/>
    <x v="0"/>
    <n v="7.1"/>
    <n v="677"/>
    <n v="4806.7"/>
  </r>
  <r>
    <n v="34"/>
    <x v="0"/>
    <x v="2"/>
    <n v="61531"/>
    <n v="45326"/>
    <s v="Knnd Associates Pvt Ltd"/>
    <s v="IISC Medical School Foundation Bangalore"/>
    <x v="1"/>
    <s v="Insu Armaflex Thermal 19mm"/>
    <x v="0"/>
    <n v="45.2"/>
    <n v="410"/>
    <n v="18532"/>
  </r>
  <r>
    <n v="35"/>
    <x v="0"/>
    <x v="2"/>
    <n v="61531"/>
    <n v="45326"/>
    <s v="Knnd Associates Pvt Ltd"/>
    <s v="IISC Medical School Foundation Bangalore"/>
    <x v="8"/>
    <s v="120gsm 20G"/>
    <x v="0"/>
    <n v="1.1000000000000001"/>
    <n v="4950"/>
    <n v="5445"/>
  </r>
  <r>
    <n v="36"/>
    <x v="0"/>
    <x v="2"/>
    <n v="61531"/>
    <n v="45326"/>
    <s v="Knnd Associates Pvt Ltd"/>
    <s v="IISC Medical School Foundation Bangalore"/>
    <x v="2"/>
    <s v="Polythene wrapping"/>
    <x v="0"/>
    <n v="60"/>
    <n v="15"/>
    <n v="900"/>
  </r>
  <r>
    <n v="37"/>
    <x v="0"/>
    <x v="2"/>
    <n v="61930"/>
    <n v="45327"/>
    <s v="Knnd Associates Pvt Ltd"/>
    <s v="Blackstone COE India Pvt Ltd Bangalore"/>
    <x v="0"/>
    <s v="120gsm 24G"/>
    <x v="0"/>
    <n v="317.39999999999998"/>
    <n v="585"/>
    <n v="185679"/>
  </r>
  <r>
    <n v="38"/>
    <x v="0"/>
    <x v="2"/>
    <n v="61930"/>
    <n v="45327"/>
    <s v="Knnd Associates Pvt Ltd"/>
    <s v="Blackstone COE India Pvt Ltd Bangalore"/>
    <x v="0"/>
    <s v="120gsm 22G"/>
    <x v="0"/>
    <n v="83.8"/>
    <n v="790"/>
    <n v="66202"/>
  </r>
  <r>
    <n v="39"/>
    <x v="0"/>
    <x v="2"/>
    <n v="61930"/>
    <n v="45327"/>
    <s v="Knnd Associates Pvt Ltd"/>
    <s v="Blackstone COE India Pvt Ltd Bangalore"/>
    <x v="0"/>
    <s v="120gsm 20G"/>
    <x v="0"/>
    <n v="48.2"/>
    <n v="915"/>
    <n v="44103"/>
  </r>
  <r>
    <n v="40"/>
    <x v="0"/>
    <x v="2"/>
    <n v="61930"/>
    <n v="45327"/>
    <s v="Knnd Associates Pvt Ltd"/>
    <s v="Blackstone COE India Pvt Ltd Bangalore"/>
    <x v="1"/>
    <s v="Insu Armaflex Thermal 9mm"/>
    <x v="0"/>
    <n v="222"/>
    <n v="289"/>
    <n v="64158"/>
  </r>
  <r>
    <n v="41"/>
    <x v="0"/>
    <x v="2"/>
    <n v="61930"/>
    <n v="45327"/>
    <s v="Knnd Associates Pvt Ltd"/>
    <s v="Blackstone COE India Pvt Ltd Bangalore"/>
    <x v="1"/>
    <s v="Insu Armasound Acou. 15mm"/>
    <x v="0"/>
    <n v="89.601860000000002"/>
    <n v="805"/>
    <n v="72129.497300000003"/>
  </r>
  <r>
    <n v="42"/>
    <x v="0"/>
    <x v="2"/>
    <n v="61930"/>
    <n v="45327"/>
    <s v="Knnd Associates Pvt Ltd"/>
    <s v="Blackstone COE India Pvt Ltd Bangalore"/>
    <x v="1"/>
    <s v="Insu Armasound Acou. 25mm"/>
    <x v="0"/>
    <n v="139.80000000000001"/>
    <n v="1271"/>
    <n v="177685.80000000002"/>
  </r>
  <r>
    <n v="43"/>
    <x v="0"/>
    <x v="2"/>
    <n v="61930"/>
    <n v="45327"/>
    <s v="Knnd Associates Pvt Ltd"/>
    <s v="Blackstone COE India Pvt Ltd Bangalore"/>
    <x v="9"/>
    <s v="120gsm 22G"/>
    <x v="0"/>
    <n v="15"/>
    <n v="3425"/>
    <n v="51375"/>
  </r>
  <r>
    <n v="44"/>
    <x v="0"/>
    <x v="2"/>
    <n v="61930"/>
    <n v="45327"/>
    <s v="Knnd Associates Pvt Ltd"/>
    <s v="Blackstone COE India Pvt Ltd Bangalore"/>
    <x v="2"/>
    <s v="Polythene wrapping"/>
    <x v="0"/>
    <n v="320"/>
    <n v="15"/>
    <n v="4800"/>
  </r>
  <r>
    <n v="45"/>
    <x v="0"/>
    <x v="3"/>
    <n v="61930"/>
    <n v="45328"/>
    <s v="Knnd Associates Pvt Ltd"/>
    <s v="Blackstone COE India Pvt Ltd Bangalore"/>
    <x v="0"/>
    <s v="120gsm 24G"/>
    <x v="0"/>
    <n v="329.9"/>
    <n v="585"/>
    <n v="192991.5"/>
  </r>
  <r>
    <n v="46"/>
    <x v="0"/>
    <x v="3"/>
    <n v="61930"/>
    <n v="45328"/>
    <s v="Knnd Associates Pvt Ltd"/>
    <s v="Blackstone COE India Pvt Ltd Bangalore"/>
    <x v="0"/>
    <s v="120gsm 22G"/>
    <x v="0"/>
    <n v="58.7"/>
    <n v="790"/>
    <n v="46373"/>
  </r>
  <r>
    <n v="47"/>
    <x v="0"/>
    <x v="3"/>
    <n v="61930"/>
    <n v="45328"/>
    <s v="Knnd Associates Pvt Ltd"/>
    <s v="Blackstone COE India Pvt Ltd Bangalore"/>
    <x v="0"/>
    <s v="120gsm 20G"/>
    <x v="0"/>
    <n v="56.1"/>
    <n v="915"/>
    <n v="51331.5"/>
  </r>
  <r>
    <n v="48"/>
    <x v="0"/>
    <x v="3"/>
    <n v="61930"/>
    <n v="45328"/>
    <s v="Knnd Associates Pvt Ltd"/>
    <s v="Blackstone COE India Pvt Ltd Bangalore"/>
    <x v="10"/>
    <s v="120gsm 22G"/>
    <x v="0"/>
    <n v="6"/>
    <n v="975"/>
    <n v="5850"/>
  </r>
  <r>
    <n v="49"/>
    <x v="0"/>
    <x v="3"/>
    <n v="61930"/>
    <n v="45328"/>
    <s v="Knnd Associates Pvt Ltd"/>
    <s v="Blackstone COE India Pvt Ltd Bangalore"/>
    <x v="9"/>
    <s v="120gsm 22G"/>
    <x v="0"/>
    <n v="20"/>
    <n v="3425"/>
    <n v="68500"/>
  </r>
  <r>
    <n v="50"/>
    <x v="0"/>
    <x v="3"/>
    <n v="61930"/>
    <n v="45328"/>
    <s v="Knnd Associates Pvt Ltd"/>
    <s v="Blackstone COE India Pvt Ltd Bangalore"/>
    <x v="1"/>
    <s v="Insu Armaflex Thermal 9mm"/>
    <x v="0"/>
    <n v="256.3"/>
    <n v="289"/>
    <n v="74070.7"/>
  </r>
  <r>
    <n v="51"/>
    <x v="0"/>
    <x v="3"/>
    <n v="61930"/>
    <n v="45328"/>
    <s v="Knnd Associates Pvt Ltd"/>
    <s v="Blackstone COE India Pvt Ltd Bangalore"/>
    <x v="1"/>
    <s v="Insu Armasound Acou. 15mm"/>
    <x v="0"/>
    <n v="116.30435"/>
    <n v="805"/>
    <n v="93625.001749999996"/>
  </r>
  <r>
    <n v="52"/>
    <x v="0"/>
    <x v="3"/>
    <n v="61930"/>
    <n v="45328"/>
    <s v="Knnd Associates Pvt Ltd"/>
    <s v="Blackstone COE India Pvt Ltd Bangalore"/>
    <x v="1"/>
    <s v="Insu Armasound Acou. 25mm"/>
    <x v="0"/>
    <n v="141.4"/>
    <n v="1271"/>
    <n v="179719.4"/>
  </r>
  <r>
    <n v="53"/>
    <x v="0"/>
    <x v="3"/>
    <n v="61930"/>
    <n v="45328"/>
    <s v="Knnd Associates Pvt Ltd"/>
    <s v="Blackstone COE India Pvt Ltd Bangalore"/>
    <x v="2"/>
    <s v="Polythene wrapping"/>
    <x v="0"/>
    <n v="360"/>
    <n v="15"/>
    <n v="5400"/>
  </r>
  <r>
    <n v="54"/>
    <x v="0"/>
    <x v="4"/>
    <n v="61936"/>
    <n v="45329"/>
    <s v="Lakshmi Fabrication"/>
    <s v="Lenovo Project Bangalore"/>
    <x v="0"/>
    <s v="120gsm 24G"/>
    <x v="0"/>
    <n v="48.7"/>
    <n v="585"/>
    <n v="28489.5"/>
  </r>
  <r>
    <n v="55"/>
    <x v="0"/>
    <x v="4"/>
    <n v="61936"/>
    <n v="45329"/>
    <s v="Lakshmi Fabrication"/>
    <s v="Lenovo Project Bangalore"/>
    <x v="0"/>
    <s v="120gsm 22G"/>
    <x v="0"/>
    <n v="18"/>
    <n v="790"/>
    <n v="14220"/>
  </r>
  <r>
    <n v="56"/>
    <x v="0"/>
    <x v="4"/>
    <n v="61936"/>
    <n v="45329"/>
    <s v="Lakshmi Fabrication"/>
    <s v="Lenovo Project Bangalore"/>
    <x v="0"/>
    <s v="120gsm 20G"/>
    <x v="0"/>
    <n v="29.5"/>
    <n v="915"/>
    <n v="26992.5"/>
  </r>
  <r>
    <n v="57"/>
    <x v="0"/>
    <x v="4"/>
    <n v="61936"/>
    <n v="45329"/>
    <s v="Lakshmi Fabrication"/>
    <s v="Lenovo Project Bangalore"/>
    <x v="0"/>
    <s v="120gsm 18G"/>
    <x v="0"/>
    <n v="22.6"/>
    <n v="1030"/>
    <n v="23278"/>
  </r>
  <r>
    <n v="58"/>
    <x v="0"/>
    <x v="4"/>
    <n v="61936"/>
    <n v="45329"/>
    <s v="Lakshmi Fabrication"/>
    <s v="Lenovo Project Bangalore"/>
    <x v="1"/>
    <s v="Insu Kflex Acou. 25mm"/>
    <x v="0"/>
    <n v="42.4"/>
    <n v="1515"/>
    <n v="64236"/>
  </r>
  <r>
    <n v="59"/>
    <x v="0"/>
    <x v="4"/>
    <n v="61936"/>
    <n v="45329"/>
    <s v="Lakshmi Fabrication"/>
    <s v="Lenovo Project Bangalore"/>
    <x v="1"/>
    <s v="Insu Kflex Acou. 10mm"/>
    <x v="0"/>
    <n v="5.6"/>
    <n v="680"/>
    <n v="3807.9999999999995"/>
  </r>
  <r>
    <n v="60"/>
    <x v="0"/>
    <x v="4"/>
    <n v="61936"/>
    <n v="45329"/>
    <s v="Lakshmi Fabrication"/>
    <s v="Lenovo Project Bangalore"/>
    <x v="1"/>
    <s v="Insu Kflex Thermal 19mm Glass Cloth"/>
    <x v="0"/>
    <n v="70.8"/>
    <n v="675"/>
    <n v="47790"/>
  </r>
  <r>
    <n v="61"/>
    <x v="0"/>
    <x v="4"/>
    <n v="61936"/>
    <n v="45329"/>
    <s v="Lakshmi Fabrication"/>
    <s v="Lenovo Project Bangalore"/>
    <x v="7"/>
    <s v="Tape"/>
    <x v="1"/>
    <n v="22"/>
    <n v="147"/>
    <n v="3234"/>
  </r>
  <r>
    <n v="62"/>
    <x v="0"/>
    <x v="5"/>
    <n v="61936"/>
    <n v="45330"/>
    <s v="Lakshmi Fabrication"/>
    <s v="Lenovo Project Bangalore"/>
    <x v="0"/>
    <s v="120gsm 24G"/>
    <x v="0"/>
    <n v="72.5"/>
    <n v="585"/>
    <n v="42412.5"/>
  </r>
  <r>
    <n v="63"/>
    <x v="0"/>
    <x v="5"/>
    <n v="61936"/>
    <n v="45330"/>
    <s v="Lakshmi Fabrication"/>
    <s v="Lenovo Project Bangalore"/>
    <x v="0"/>
    <s v="120gsm 22G"/>
    <x v="0"/>
    <n v="15.5"/>
    <n v="790"/>
    <n v="12245"/>
  </r>
  <r>
    <n v="64"/>
    <x v="0"/>
    <x v="5"/>
    <n v="61936"/>
    <n v="45330"/>
    <s v="Lakshmi Fabrication"/>
    <s v="Lenovo Project Bangalore"/>
    <x v="0"/>
    <s v="120gsm 20G"/>
    <x v="0"/>
    <n v="15.4"/>
    <n v="915"/>
    <n v="14091"/>
  </r>
  <r>
    <n v="65"/>
    <x v="0"/>
    <x v="5"/>
    <n v="61936"/>
    <n v="45330"/>
    <s v="Lakshmi Fabrication"/>
    <s v="Lenovo Project Bangalore"/>
    <x v="0"/>
    <s v="120gsm 18G"/>
    <x v="0"/>
    <n v="19.5"/>
    <n v="1030"/>
    <n v="20085"/>
  </r>
  <r>
    <n v="66"/>
    <x v="0"/>
    <x v="5"/>
    <n v="61936"/>
    <n v="45330"/>
    <s v="Lakshmi Fabrication"/>
    <s v="Lenovo Project Bangalore"/>
    <x v="11"/>
    <s v="120gsm Slit 20G"/>
    <x v="0"/>
    <n v="15.6"/>
    <n v="904"/>
    <n v="14102.4"/>
  </r>
  <r>
    <n v="67"/>
    <x v="0"/>
    <x v="5"/>
    <n v="61936"/>
    <n v="45330"/>
    <s v="Lakshmi Fabrication"/>
    <s v="Lenovo Project Bangalore"/>
    <x v="1"/>
    <s v="Insu Kflex Acou. 25mm"/>
    <x v="0"/>
    <n v="19.5"/>
    <n v="1515"/>
    <n v="29542.5"/>
  </r>
  <r>
    <n v="68"/>
    <x v="0"/>
    <x v="5"/>
    <n v="61936"/>
    <n v="45330"/>
    <s v="Lakshmi Fabrication"/>
    <s v="Lenovo Project Bangalore"/>
    <x v="1"/>
    <s v="Insu Kflex Thermal 19mm Glass Cloth"/>
    <x v="0"/>
    <n v="119"/>
    <n v="675"/>
    <n v="80325"/>
  </r>
  <r>
    <n v="69"/>
    <x v="0"/>
    <x v="5"/>
    <n v="61936"/>
    <n v="45330"/>
    <s v="Lakshmi Fabrication"/>
    <s v="Lenovo Project Bangalore"/>
    <x v="1"/>
    <s v="Insu Kflex Thermal 13mm"/>
    <x v="0"/>
    <n v="15.6"/>
    <n v="380"/>
    <n v="5928"/>
  </r>
  <r>
    <n v="70"/>
    <x v="0"/>
    <x v="5"/>
    <n v="61768"/>
    <n v="45331"/>
    <s v="Camduct India Pvt Ltd-Haryana"/>
    <s v="Camduct India Pvt Ltd-Haryana Branch"/>
    <x v="12"/>
    <s v="Electrode "/>
    <x v="1"/>
    <n v="15"/>
    <n v="900"/>
    <n v="13500"/>
  </r>
  <r>
    <n v="71"/>
    <x v="0"/>
    <x v="5"/>
    <n v="61768"/>
    <n v="45331"/>
    <s v="Camduct India Pvt Ltd-Haryana"/>
    <s v="Camduct India Pvt Ltd-Haryana Branch"/>
    <x v="12"/>
    <s v="Nozzel"/>
    <x v="1"/>
    <n v="15"/>
    <n v="664.2"/>
    <n v="9963"/>
  </r>
  <r>
    <n v="72"/>
    <x v="0"/>
    <x v="5"/>
    <n v="61768"/>
    <n v="45331"/>
    <s v="Camduct India Pvt Ltd-Haryana"/>
    <s v="Camduct India Pvt Ltd-Haryana Branch"/>
    <x v="12"/>
    <s v="Venus Mask"/>
    <x v="1"/>
    <n v="200"/>
    <n v="10"/>
    <n v="2000"/>
  </r>
  <r>
    <n v="73"/>
    <x v="0"/>
    <x v="5"/>
    <n v="61768"/>
    <n v="45331"/>
    <s v="Camduct India Pvt Ltd-Haryana"/>
    <s v="Camduct India Pvt Ltd-Haryana Branch"/>
    <x v="12"/>
    <s v="Ferrule Fittings (3/8&quot;BSPx100D)"/>
    <x v="1"/>
    <n v="4"/>
    <n v="137.5"/>
    <n v="550"/>
  </r>
  <r>
    <n v="74"/>
    <x v="0"/>
    <x v="5"/>
    <n v="61768"/>
    <n v="45331"/>
    <s v="Camduct India Pvt Ltd-Haryana"/>
    <s v="Camduct India Pvt Ltd-Haryana Branch"/>
    <x v="12"/>
    <s v="Hydraulic Swivel Elbow (100 D)"/>
    <x v="1"/>
    <n v="4"/>
    <n v="310"/>
    <n v="1240"/>
  </r>
  <r>
    <n v="75"/>
    <x v="0"/>
    <x v="5"/>
    <n v="61768"/>
    <n v="45331"/>
    <s v="Camduct India Pvt Ltd-Haryana"/>
    <s v="Camduct India Pvt Ltd-Haryana Branch"/>
    <x v="12"/>
    <s v="Hydraulic Taper Elbow (3/8&quot;BSPx100D)"/>
    <x v="1"/>
    <n v="2"/>
    <n v="260"/>
    <n v="520"/>
  </r>
  <r>
    <n v="76"/>
    <x v="0"/>
    <x v="5"/>
    <n v="61930"/>
    <n v="45332"/>
    <s v="Knnd Associates Pvt Ltd"/>
    <s v="Blackstone COE India Pvt Ltd Bangalore"/>
    <x v="0"/>
    <s v="120gsm 24G"/>
    <x v="0"/>
    <n v="410.3"/>
    <n v="585"/>
    <n v="240025.5"/>
  </r>
  <r>
    <n v="77"/>
    <x v="0"/>
    <x v="5"/>
    <n v="61930"/>
    <n v="45332"/>
    <s v="Knnd Associates Pvt Ltd"/>
    <s v="Blackstone COE India Pvt Ltd Bangalore"/>
    <x v="0"/>
    <s v="120gsm 22G"/>
    <x v="0"/>
    <n v="132.6"/>
    <n v="790"/>
    <n v="104754"/>
  </r>
  <r>
    <n v="78"/>
    <x v="0"/>
    <x v="5"/>
    <n v="61930"/>
    <n v="45332"/>
    <s v="Knnd Associates Pvt Ltd"/>
    <s v="Blackstone COE India Pvt Ltd Bangalore"/>
    <x v="0"/>
    <s v="120gsm 20G"/>
    <x v="0"/>
    <n v="20.2"/>
    <n v="915"/>
    <n v="18483"/>
  </r>
  <r>
    <n v="79"/>
    <x v="0"/>
    <x v="5"/>
    <n v="61930"/>
    <n v="45332"/>
    <s v="Knnd Associates Pvt Ltd"/>
    <s v="Blackstone COE India Pvt Ltd Bangalore"/>
    <x v="1"/>
    <s v="Insu Armaflex Thermal 9mm"/>
    <x v="0"/>
    <n v="342.5"/>
    <n v="289"/>
    <n v="98982.5"/>
  </r>
  <r>
    <n v="80"/>
    <x v="0"/>
    <x v="5"/>
    <n v="61930"/>
    <n v="45332"/>
    <s v="Knnd Associates Pvt Ltd"/>
    <s v="Blackstone COE India Pvt Ltd Bangalore"/>
    <x v="1"/>
    <s v="Insu Armasound Acou. 15mm"/>
    <x v="0"/>
    <n v="46.1"/>
    <n v="805"/>
    <n v="37110.5"/>
  </r>
  <r>
    <n v="81"/>
    <x v="0"/>
    <x v="5"/>
    <n v="61930"/>
    <n v="45332"/>
    <s v="Knnd Associates Pvt Ltd"/>
    <s v="Blackstone COE India Pvt Ltd Bangalore"/>
    <x v="1"/>
    <s v="Insu Armasound Acou. 25mm"/>
    <x v="0"/>
    <n v="110.6"/>
    <n v="1271"/>
    <n v="140572.6"/>
  </r>
  <r>
    <n v="82"/>
    <x v="0"/>
    <x v="5"/>
    <n v="61930"/>
    <n v="45332"/>
    <s v="Knnd Associates Pvt Ltd"/>
    <s v="Blackstone COE India Pvt Ltd Bangalore"/>
    <x v="13"/>
    <s v="Gasket"/>
    <x v="2"/>
    <n v="200"/>
    <n v="5"/>
    <n v="1000"/>
  </r>
  <r>
    <n v="83"/>
    <x v="0"/>
    <x v="5"/>
    <n v="61930"/>
    <n v="45332"/>
    <s v="Knnd Associates Pvt Ltd"/>
    <s v="Blackstone COE India Pvt Ltd Bangalore"/>
    <x v="2"/>
    <s v="Polythene wrapping"/>
    <x v="0"/>
    <n v="430"/>
    <n v="15"/>
    <n v="6450"/>
  </r>
  <r>
    <n v="84"/>
    <x v="0"/>
    <x v="6"/>
    <n v="61936"/>
    <n v="45333"/>
    <s v="Lakshmi Fabrication"/>
    <s v="Lenovo Project Bangalore"/>
    <x v="0"/>
    <s v="120gsm 24G"/>
    <x v="0"/>
    <n v="6.7"/>
    <n v="585"/>
    <n v="3919.5"/>
  </r>
  <r>
    <n v="85"/>
    <x v="0"/>
    <x v="6"/>
    <n v="61936"/>
    <n v="45333"/>
    <s v="Lakshmi Fabrication"/>
    <s v="Lenovo Project Bangalore"/>
    <x v="0"/>
    <s v="120gsm 22G"/>
    <x v="0"/>
    <n v="3.1"/>
    <n v="790"/>
    <n v="2449"/>
  </r>
  <r>
    <n v="86"/>
    <x v="0"/>
    <x v="6"/>
    <n v="61936"/>
    <n v="45333"/>
    <s v="Lakshmi Fabrication"/>
    <s v="Lenovo Project Bangalore"/>
    <x v="0"/>
    <s v="120gsm 20G"/>
    <x v="0"/>
    <n v="32"/>
    <n v="915"/>
    <n v="29280"/>
  </r>
  <r>
    <n v="87"/>
    <x v="0"/>
    <x v="6"/>
    <n v="61936"/>
    <n v="45333"/>
    <s v="Lakshmi Fabrication"/>
    <s v="Lenovo Project Bangalore"/>
    <x v="0"/>
    <s v="120gsm 18G"/>
    <x v="0"/>
    <n v="15.8"/>
    <n v="1030"/>
    <n v="16274"/>
  </r>
  <r>
    <n v="88"/>
    <x v="0"/>
    <x v="6"/>
    <n v="61936"/>
    <n v="45333"/>
    <s v="Lakshmi Fabrication"/>
    <s v="Lenovo Project Bangalore"/>
    <x v="8"/>
    <s v="120gsm 20G"/>
    <x v="0"/>
    <n v="3"/>
    <n v="4950"/>
    <n v="14850"/>
  </r>
  <r>
    <n v="89"/>
    <x v="0"/>
    <x v="6"/>
    <n v="61936"/>
    <n v="45333"/>
    <s v="Lakshmi Fabrication"/>
    <s v="Lenovo Project Bangalore"/>
    <x v="1"/>
    <s v="Insu Kflex Thermal 19mm Glass Cloth"/>
    <x v="0"/>
    <n v="57.8"/>
    <n v="675"/>
    <n v="39015"/>
  </r>
  <r>
    <n v="90"/>
    <x v="0"/>
    <x v="6"/>
    <n v="61930"/>
    <n v="45334"/>
    <s v="Knnd Associates Pvt Ltd"/>
    <s v="Blackstone COE India Pvt Ltd Bangalore"/>
    <x v="0"/>
    <s v="120gsm 24G"/>
    <x v="0"/>
    <n v="478.8"/>
    <n v="585"/>
    <n v="280098"/>
  </r>
  <r>
    <n v="91"/>
    <x v="0"/>
    <x v="6"/>
    <n v="61930"/>
    <n v="45334"/>
    <s v="Knnd Associates Pvt Ltd"/>
    <s v="Blackstone COE India Pvt Ltd Bangalore"/>
    <x v="0"/>
    <s v="120gsm 22G"/>
    <x v="0"/>
    <n v="116.3"/>
    <n v="790"/>
    <n v="91877"/>
  </r>
  <r>
    <n v="92"/>
    <x v="0"/>
    <x v="6"/>
    <n v="61930"/>
    <n v="45334"/>
    <s v="Knnd Associates Pvt Ltd"/>
    <s v="Blackstone COE India Pvt Ltd Bangalore"/>
    <x v="0"/>
    <s v="120gsm 20G"/>
    <x v="0"/>
    <n v="13.9"/>
    <n v="915"/>
    <n v="12718.5"/>
  </r>
  <r>
    <n v="93"/>
    <x v="0"/>
    <x v="6"/>
    <n v="61930"/>
    <n v="45334"/>
    <s v="Knnd Associates Pvt Ltd"/>
    <s v="Blackstone COE India Pvt Ltd Bangalore"/>
    <x v="1"/>
    <s v="Insu Armaflex Thermal 9mm"/>
    <x v="0"/>
    <n v="399.4"/>
    <n v="289"/>
    <n v="115426.59999999999"/>
  </r>
  <r>
    <n v="94"/>
    <x v="0"/>
    <x v="6"/>
    <n v="61930"/>
    <n v="45334"/>
    <s v="Knnd Associates Pvt Ltd"/>
    <s v="Blackstone COE India Pvt Ltd Bangalore"/>
    <x v="1"/>
    <s v="Insu Armasound Acou. 15mm"/>
    <x v="0"/>
    <n v="49.3"/>
    <n v="805"/>
    <n v="39686.5"/>
  </r>
  <r>
    <n v="95"/>
    <x v="0"/>
    <x v="6"/>
    <n v="61930"/>
    <n v="45334"/>
    <s v="Knnd Associates Pvt Ltd"/>
    <s v="Blackstone COE India Pvt Ltd Bangalore"/>
    <x v="1"/>
    <s v="Insu Armasound Acou. 25mm"/>
    <x v="0"/>
    <n v="96.2"/>
    <n v="1271"/>
    <n v="122270.2"/>
  </r>
  <r>
    <n v="96"/>
    <x v="0"/>
    <x v="6"/>
    <n v="61930"/>
    <n v="45334"/>
    <s v="Knnd Associates Pvt Ltd"/>
    <s v="Blackstone COE India Pvt Ltd Bangalore"/>
    <x v="2"/>
    <s v="Polythene wrapping"/>
    <x v="0"/>
    <n v="480"/>
    <n v="15"/>
    <n v="7200"/>
  </r>
  <r>
    <n v="97"/>
    <x v="0"/>
    <x v="7"/>
    <n v="61434"/>
    <n v="45335"/>
    <s v="Knnd Associates Pvt Ltd"/>
    <s v="Vaishnavi Senate Bangalore"/>
    <x v="0"/>
    <s v="120gsm 24G"/>
    <x v="0"/>
    <n v="7.2"/>
    <n v="530"/>
    <n v="3816"/>
  </r>
  <r>
    <n v="98"/>
    <x v="0"/>
    <x v="7"/>
    <n v="61434"/>
    <n v="45335"/>
    <s v="Knnd Associates Pvt Ltd"/>
    <s v="Vaishnavi Senate Bangalore"/>
    <x v="0"/>
    <s v="120gsm 22G"/>
    <x v="0"/>
    <n v="18.3"/>
    <n v="677"/>
    <n v="12389.1"/>
  </r>
  <r>
    <n v="99"/>
    <x v="0"/>
    <x v="7"/>
    <n v="61434"/>
    <n v="45335"/>
    <s v="Knnd Associates Pvt Ltd"/>
    <s v="Vaishnavi Senate Bangalore"/>
    <x v="0"/>
    <s v="120gsm 20G"/>
    <x v="0"/>
    <n v="16.7"/>
    <n v="823"/>
    <n v="13744.099999999999"/>
  </r>
  <r>
    <n v="100"/>
    <x v="0"/>
    <x v="7"/>
    <n v="61434"/>
    <n v="45335"/>
    <s v="Knnd Associates Pvt Ltd"/>
    <s v="Vaishnavi Senate Bangalore"/>
    <x v="1"/>
    <s v="Insu Armasound Acou. 15mm"/>
    <x v="0"/>
    <n v="16.7"/>
    <n v="935"/>
    <n v="15614.5"/>
  </r>
  <r>
    <n v="101"/>
    <x v="0"/>
    <x v="7"/>
    <n v="61434"/>
    <n v="45335"/>
    <s v="Knnd Associates Pvt Ltd"/>
    <s v="Vaishnavi Senate Bangalore"/>
    <x v="14"/>
    <s v="120gsm 24G"/>
    <x v="0"/>
    <n v="15"/>
    <n v="454"/>
    <n v="6810"/>
  </r>
  <r>
    <n v="102"/>
    <x v="0"/>
    <x v="7"/>
    <n v="61935"/>
    <n v="45336"/>
    <s v="Rao &amp; Co HVAC Sales &amp; Services Pvt Ltd"/>
    <s v="Creditaccess Life Insurance Ltd Blr"/>
    <x v="4"/>
    <s v="120gsm Slit 24G"/>
    <x v="0"/>
    <n v="1.7"/>
    <n v="660"/>
    <n v="1122"/>
  </r>
  <r>
    <n v="103"/>
    <x v="0"/>
    <x v="7"/>
    <n v="61935"/>
    <n v="45336"/>
    <s v="Rao &amp; Co HVAC Sales &amp; Services Pvt Ltd"/>
    <s v="Creditaccess Life Insurance Ltd Blr"/>
    <x v="1"/>
    <s v="Insu Supreme Thermal 9mm"/>
    <x v="0"/>
    <n v="1.7"/>
    <n v="320"/>
    <n v="544"/>
  </r>
  <r>
    <n v="104"/>
    <x v="0"/>
    <x v="8"/>
    <n v="61936"/>
    <n v="45337"/>
    <s v="Lakshmi Fabrication"/>
    <s v="Lenovo Project Bangalore"/>
    <x v="8"/>
    <s v="120gsm 20G"/>
    <x v="0"/>
    <n v="11"/>
    <n v="4950"/>
    <n v="54450"/>
  </r>
  <r>
    <n v="105"/>
    <x v="0"/>
    <x v="8"/>
    <n v="61930"/>
    <n v="45338"/>
    <s v="Knnd Associates Pvt Ltd"/>
    <s v="Blackstone COE India Pvt Ltd Bangalore"/>
    <x v="0"/>
    <s v="120gsm 24G"/>
    <x v="0"/>
    <n v="352.8"/>
    <n v="585"/>
    <n v="206388"/>
  </r>
  <r>
    <n v="106"/>
    <x v="0"/>
    <x v="8"/>
    <n v="61930"/>
    <n v="45338"/>
    <s v="Knnd Associates Pvt Ltd"/>
    <s v="Blackstone COE India Pvt Ltd Bangalore"/>
    <x v="0"/>
    <s v="120gsm 22G"/>
    <x v="0"/>
    <n v="204.1"/>
    <n v="790"/>
    <n v="161239"/>
  </r>
  <r>
    <n v="107"/>
    <x v="0"/>
    <x v="8"/>
    <n v="61930"/>
    <n v="45338"/>
    <s v="Knnd Associates Pvt Ltd"/>
    <s v="Blackstone COE India Pvt Ltd Bangalore"/>
    <x v="0"/>
    <s v="120gsm 20G"/>
    <x v="0"/>
    <n v="13.4"/>
    <n v="915"/>
    <n v="12261"/>
  </r>
  <r>
    <n v="108"/>
    <x v="0"/>
    <x v="8"/>
    <n v="61930"/>
    <n v="45338"/>
    <s v="Knnd Associates Pvt Ltd"/>
    <s v="Blackstone COE India Pvt Ltd Bangalore"/>
    <x v="1"/>
    <s v="Insu Armaflex Thermal 9mm"/>
    <x v="0"/>
    <n v="331.1"/>
    <n v="289"/>
    <n v="95687.900000000009"/>
  </r>
  <r>
    <n v="109"/>
    <x v="0"/>
    <x v="8"/>
    <n v="61930"/>
    <n v="45338"/>
    <s v="Knnd Associates Pvt Ltd"/>
    <s v="Blackstone COE India Pvt Ltd Bangalore"/>
    <x v="1"/>
    <s v="Insu Armasound Acou. 15mm"/>
    <x v="0"/>
    <n v="37.799999999999997"/>
    <n v="805"/>
    <n v="30428.999999999996"/>
  </r>
  <r>
    <n v="110"/>
    <x v="0"/>
    <x v="8"/>
    <n v="61930"/>
    <n v="45338"/>
    <s v="Knnd Associates Pvt Ltd"/>
    <s v="Blackstone COE India Pvt Ltd Bangalore"/>
    <x v="1"/>
    <s v="Insu Armasound Acou. 25mm"/>
    <x v="0"/>
    <n v="124.9"/>
    <n v="1271"/>
    <n v="158747.9"/>
  </r>
  <r>
    <n v="111"/>
    <x v="0"/>
    <x v="8"/>
    <n v="61930"/>
    <n v="45338"/>
    <s v="Knnd Associates Pvt Ltd"/>
    <s v="Blackstone COE India Pvt Ltd Bangalore"/>
    <x v="2"/>
    <s v="Polythene wrapping"/>
    <x v="0"/>
    <n v="430"/>
    <n v="15"/>
    <n v="6450"/>
  </r>
  <r>
    <n v="112"/>
    <x v="0"/>
    <x v="9"/>
    <n v="61816"/>
    <n v="45339"/>
    <s v="Knnd Associates Pvt Ltd"/>
    <s v="Pai Tiffins Manipal"/>
    <x v="4"/>
    <s v="120gsm Slit 24G"/>
    <x v="0"/>
    <n v="9.4"/>
    <n v="655"/>
    <n v="6157"/>
  </r>
  <r>
    <n v="113"/>
    <x v="0"/>
    <x v="9"/>
    <n v="61816"/>
    <n v="45339"/>
    <s v="Knnd Associates Pvt Ltd"/>
    <s v="Pai Tiffins Manipal"/>
    <x v="11"/>
    <s v="120gsm Slit 22G"/>
    <x v="0"/>
    <n v="0.4"/>
    <n v="690"/>
    <n v="276"/>
  </r>
  <r>
    <n v="114"/>
    <x v="0"/>
    <x v="9"/>
    <n v="61816"/>
    <n v="45339"/>
    <s v="Knnd Associates Pvt Ltd"/>
    <s v="Pai Tiffins Manipal"/>
    <x v="1"/>
    <s v="Insu Supreme Thermal 9mm"/>
    <x v="0"/>
    <n v="9.8000000000000007"/>
    <n v="255"/>
    <n v="2499"/>
  </r>
  <r>
    <n v="115"/>
    <x v="0"/>
    <x v="9"/>
    <n v="61948"/>
    <n v="45340"/>
    <s v="Knnd Associates Pvt Ltd"/>
    <s v="Yenepoya University Mangalore"/>
    <x v="4"/>
    <s v="120gsm Slit 24G"/>
    <x v="0"/>
    <n v="54.8"/>
    <n v="660"/>
    <n v="36168"/>
  </r>
  <r>
    <n v="116"/>
    <x v="0"/>
    <x v="9"/>
    <n v="61948"/>
    <n v="45340"/>
    <s v="Knnd Associates Pvt Ltd"/>
    <s v="Yenepoya University Mangalore"/>
    <x v="4"/>
    <s v="120gsm Slit 22G"/>
    <x v="0"/>
    <n v="2.2999999999999998"/>
    <n v="795"/>
    <n v="1828.4999999999998"/>
  </r>
  <r>
    <n v="117"/>
    <x v="0"/>
    <x v="9"/>
    <n v="61948"/>
    <n v="45340"/>
    <s v="Knnd Associates Pvt Ltd"/>
    <s v="Yenepoya University Mangalore"/>
    <x v="11"/>
    <s v="120gsm Slit 20G"/>
    <x v="0"/>
    <n v="2.2000000000000002"/>
    <n v="905"/>
    <n v="1991.0000000000002"/>
  </r>
  <r>
    <n v="118"/>
    <x v="0"/>
    <x v="9"/>
    <n v="61948"/>
    <n v="45340"/>
    <s v="Knnd Associates Pvt Ltd"/>
    <s v="Yenepoya University Mangalore"/>
    <x v="1"/>
    <s v="Insu Supreme Thermal 9mm"/>
    <x v="0"/>
    <n v="59.3"/>
    <n v="255"/>
    <n v="15121.5"/>
  </r>
  <r>
    <n v="119"/>
    <x v="0"/>
    <x v="10"/>
    <n v="61859"/>
    <n v="45341"/>
    <s v="Knnd Associates Pvt Ltd"/>
    <s v="MSR Tech Park Bangalore"/>
    <x v="13"/>
    <s v="Gasket"/>
    <x v="2"/>
    <n v="500"/>
    <n v="5"/>
    <n v="2500"/>
  </r>
  <r>
    <n v="120"/>
    <x v="0"/>
    <x v="10"/>
    <n v="61930"/>
    <n v="45342"/>
    <s v="Knnd Associates Pvt Ltd"/>
    <s v="Blackstone COE India Pvt Ltd Bangalore"/>
    <x v="0"/>
    <s v="120gsm 24G"/>
    <x v="0"/>
    <n v="461.6"/>
    <n v="585"/>
    <n v="270036"/>
  </r>
  <r>
    <n v="121"/>
    <x v="0"/>
    <x v="10"/>
    <n v="61930"/>
    <n v="45342"/>
    <s v="Knnd Associates Pvt Ltd"/>
    <s v="Blackstone COE India Pvt Ltd Bangalore"/>
    <x v="0"/>
    <s v="120gsm 22G"/>
    <x v="0"/>
    <n v="150.69999999999999"/>
    <n v="790"/>
    <n v="119052.99999999999"/>
  </r>
  <r>
    <n v="122"/>
    <x v="0"/>
    <x v="10"/>
    <n v="61930"/>
    <n v="45342"/>
    <s v="Knnd Associates Pvt Ltd"/>
    <s v="Blackstone COE India Pvt Ltd Bangalore"/>
    <x v="0"/>
    <s v="120gsm 20G"/>
    <x v="0"/>
    <n v="3.7"/>
    <n v="915"/>
    <n v="3385.5"/>
  </r>
  <r>
    <n v="123"/>
    <x v="0"/>
    <x v="10"/>
    <n v="61930"/>
    <n v="45342"/>
    <s v="Knnd Associates Pvt Ltd"/>
    <s v="Blackstone COE India Pvt Ltd Bangalore"/>
    <x v="1"/>
    <s v="Insu Armaflex Thermal 9mm"/>
    <x v="0"/>
    <n v="379.4"/>
    <n v="289"/>
    <n v="109646.59999999999"/>
  </r>
  <r>
    <n v="124"/>
    <x v="0"/>
    <x v="10"/>
    <n v="61930"/>
    <n v="45342"/>
    <s v="Knnd Associates Pvt Ltd"/>
    <s v="Blackstone COE India Pvt Ltd Bangalore"/>
    <x v="1"/>
    <s v="Insu Armasound Acou. 15mm"/>
    <x v="0"/>
    <n v="68.2"/>
    <n v="805"/>
    <n v="54901"/>
  </r>
  <r>
    <n v="125"/>
    <x v="0"/>
    <x v="10"/>
    <n v="61930"/>
    <n v="45342"/>
    <s v="Knnd Associates Pvt Ltd"/>
    <s v="Blackstone COE India Pvt Ltd Bangalore"/>
    <x v="1"/>
    <s v="Insu Armasound Acou. 25mm"/>
    <x v="0"/>
    <n v="76.599999999999994"/>
    <n v="1271"/>
    <n v="97358.599999999991"/>
  </r>
  <r>
    <n v="126"/>
    <x v="0"/>
    <x v="10"/>
    <n v="61930"/>
    <n v="45342"/>
    <s v="Knnd Associates Pvt Ltd"/>
    <s v="Blackstone COE India Pvt Ltd Bangalore"/>
    <x v="2"/>
    <s v="Polythene wrapping"/>
    <x v="0"/>
    <n v="460"/>
    <n v="15"/>
    <n v="6900"/>
  </r>
  <r>
    <n v="127"/>
    <x v="0"/>
    <x v="11"/>
    <n v="61949"/>
    <n v="45343"/>
    <s v="Knnd Associates Pvt Ltd"/>
    <s v="Miracle Hospital Bangalore"/>
    <x v="14"/>
    <s v="Alu. 0.8mm"/>
    <x v="0"/>
    <n v="9"/>
    <n v="920"/>
    <n v="8280"/>
  </r>
  <r>
    <n v="128"/>
    <x v="0"/>
    <x v="11"/>
    <n v="61949"/>
    <n v="45343"/>
    <s v="Knnd Associates Pvt Ltd"/>
    <s v="Miracle Hospital Bangalore"/>
    <x v="14"/>
    <s v="120gsm 24G"/>
    <x v="0"/>
    <n v="12"/>
    <n v="454"/>
    <n v="5448"/>
  </r>
  <r>
    <n v="129"/>
    <x v="0"/>
    <x v="11"/>
    <n v="61936"/>
    <n v="45344"/>
    <s v="Lakshmi Fabrication"/>
    <s v="Lenovo Project Bangalore"/>
    <x v="0"/>
    <s v="120gsm 20G"/>
    <x v="0"/>
    <n v="15.3"/>
    <n v="915"/>
    <n v="13999.5"/>
  </r>
  <r>
    <n v="130"/>
    <x v="0"/>
    <x v="11"/>
    <n v="61936"/>
    <n v="45344"/>
    <s v="Lakshmi Fabrication"/>
    <s v="Lenovo Project Bangalore"/>
    <x v="1"/>
    <s v="Insu Kflex Thermal 13mm"/>
    <x v="0"/>
    <n v="15.3"/>
    <n v="380"/>
    <n v="5814"/>
  </r>
  <r>
    <n v="131"/>
    <x v="0"/>
    <x v="11"/>
    <n v="61936"/>
    <n v="45345"/>
    <s v="Lakshmi Fabrication"/>
    <s v="Lenovo Project Bangalore"/>
    <x v="0"/>
    <s v="120gsm 20G"/>
    <x v="0"/>
    <n v="13.8"/>
    <n v="915"/>
    <n v="12627"/>
  </r>
  <r>
    <n v="132"/>
    <x v="0"/>
    <x v="11"/>
    <n v="61936"/>
    <n v="45345"/>
    <s v="Lakshmi Fabrication"/>
    <s v="Lenovo Project Bangalore"/>
    <x v="1"/>
    <s v="Insu Kflex Thermal 13mm"/>
    <x v="0"/>
    <n v="13.8"/>
    <n v="380"/>
    <n v="5244"/>
  </r>
  <r>
    <n v="133"/>
    <x v="0"/>
    <x v="12"/>
    <n v="61951"/>
    <n v="45346"/>
    <s v="Knnd Associates Pvt Ltd"/>
    <s v="BDR Hospital Pune"/>
    <x v="0"/>
    <s v="120gsm 24G"/>
    <x v="0"/>
    <n v="110.1"/>
    <n v="670"/>
    <n v="73767"/>
  </r>
  <r>
    <n v="134"/>
    <x v="0"/>
    <x v="12"/>
    <n v="61951"/>
    <n v="45346"/>
    <s v="Knnd Associates Pvt Ltd"/>
    <s v="BDR Hospital Pune"/>
    <x v="0"/>
    <s v="120gsm 22G"/>
    <x v="0"/>
    <n v="28.8"/>
    <n v="868"/>
    <n v="24998.400000000001"/>
  </r>
  <r>
    <n v="135"/>
    <x v="0"/>
    <x v="12"/>
    <n v="61951"/>
    <n v="45346"/>
    <s v="Knnd Associates Pvt Ltd"/>
    <s v="BDR Hospital Pune"/>
    <x v="1"/>
    <s v="Insu Supreme Acou. 15mm"/>
    <x v="0"/>
    <n v="1.5"/>
    <n v="820"/>
    <n v="1230"/>
  </r>
  <r>
    <n v="136"/>
    <x v="0"/>
    <x v="12"/>
    <n v="61951"/>
    <n v="45346"/>
    <s v="Knnd Associates Pvt Ltd"/>
    <s v="BDR Hospital Pune"/>
    <x v="1"/>
    <s v="Insu Supreme Thermal 13mm Al. Foil"/>
    <x v="0"/>
    <n v="106.4"/>
    <n v="507"/>
    <n v="53944.800000000003"/>
  </r>
  <r>
    <n v="137"/>
    <x v="0"/>
    <x v="12"/>
    <n v="61951"/>
    <n v="45346"/>
    <s v="Knnd Associates Pvt Ltd"/>
    <s v="BDR Hospital Pune"/>
    <x v="15"/>
    <s v="Insu Supreme Thermal 13mm Al. Foil"/>
    <x v="0"/>
    <n v="20"/>
    <n v="360"/>
    <n v="7200"/>
  </r>
  <r>
    <n v="138"/>
    <x v="0"/>
    <x v="12"/>
    <n v="61951"/>
    <n v="45346"/>
    <s v="Knnd Associates Pvt Ltd"/>
    <s v="BDR Hospital Pune"/>
    <x v="2"/>
    <s v="Polythene wrapping"/>
    <x v="0"/>
    <n v="110"/>
    <n v="15"/>
    <n v="1650"/>
  </r>
  <r>
    <n v="139"/>
    <x v="0"/>
    <x v="12"/>
    <n v="61952"/>
    <n v="45347"/>
    <s v="Aircon Ref Pvt Ltd"/>
    <s v="RV College Bangalore"/>
    <x v="0"/>
    <s v="120gsm 24G"/>
    <x v="0"/>
    <n v="112.4"/>
    <n v="620"/>
    <n v="69688"/>
  </r>
  <r>
    <n v="140"/>
    <x v="0"/>
    <x v="12"/>
    <n v="61952"/>
    <n v="45347"/>
    <s v="Aircon Ref Pvt Ltd"/>
    <s v="RV College Bangalore"/>
    <x v="0"/>
    <s v="120gsm 22G"/>
    <x v="0"/>
    <n v="31.7"/>
    <n v="800"/>
    <n v="25360"/>
  </r>
  <r>
    <n v="141"/>
    <x v="0"/>
    <x v="13"/>
    <n v="61768"/>
    <n v="45348"/>
    <s v="Camduct India Pvt Ltd-Haryana"/>
    <s v="Camduct India Pvt Ltd-Haryana Branch"/>
    <x v="12"/>
    <s v="Electrode "/>
    <x v="1"/>
    <n v="10"/>
    <n v="900"/>
    <n v="9000"/>
  </r>
  <r>
    <n v="142"/>
    <x v="0"/>
    <x v="13"/>
    <n v="61768"/>
    <n v="45348"/>
    <s v="Camduct India Pvt Ltd-Haryana"/>
    <s v="Camduct India Pvt Ltd-Haryana Branch"/>
    <x v="12"/>
    <s v="Nozzel"/>
    <x v="1"/>
    <n v="10"/>
    <n v="664.2"/>
    <n v="6642"/>
  </r>
  <r>
    <n v="143"/>
    <x v="0"/>
    <x v="13"/>
    <n v="61768"/>
    <n v="45348"/>
    <s v="Camduct India Pvt Ltd-Haryana"/>
    <s v="Camduct India Pvt Ltd-Haryana Branch"/>
    <x v="12"/>
    <s v="Allen Key Set"/>
    <x v="3"/>
    <n v="1"/>
    <n v="895"/>
    <n v="895"/>
  </r>
  <r>
    <n v="144"/>
    <x v="0"/>
    <x v="13"/>
    <n v="61768"/>
    <n v="45348"/>
    <s v="Camduct India Pvt Ltd-Haryana"/>
    <s v="Camduct India Pvt Ltd-Haryana Branch"/>
    <x v="12"/>
    <s v="Allen Key Set 12mm"/>
    <x v="3"/>
    <n v="1"/>
    <n v="355"/>
    <n v="355"/>
  </r>
  <r>
    <n v="145"/>
    <x v="0"/>
    <x v="13"/>
    <n v="61768"/>
    <n v="45348"/>
    <s v="Camduct India Pvt Ltd-Haryana"/>
    <s v="Camduct India Pvt Ltd-Haryana Branch"/>
    <x v="12"/>
    <s v="Allen Key Set 14mm"/>
    <x v="3"/>
    <n v="1"/>
    <n v="636"/>
    <n v="636"/>
  </r>
  <r>
    <n v="146"/>
    <x v="0"/>
    <x v="13"/>
    <n v="61768"/>
    <n v="45348"/>
    <s v="Camduct India Pvt Ltd-Haryana"/>
    <s v="Camduct India Pvt Ltd-Haryana Branch"/>
    <x v="12"/>
    <s v="Allen Key Set 16mm"/>
    <x v="3"/>
    <n v="1"/>
    <n v="699"/>
    <n v="699"/>
  </r>
  <r>
    <n v="147"/>
    <x v="0"/>
    <x v="13"/>
    <n v="61768"/>
    <n v="45348"/>
    <s v="Camduct India Pvt Ltd-Haryana"/>
    <s v="Camduct India Pvt Ltd-Haryana Branch"/>
    <x v="12"/>
    <s v="Tin Sheet Cutter"/>
    <x v="1"/>
    <n v="2"/>
    <n v="690"/>
    <n v="1380"/>
  </r>
  <r>
    <n v="148"/>
    <x v="0"/>
    <x v="13"/>
    <n v="61768"/>
    <n v="45348"/>
    <s v="Camduct India Pvt Ltd-Haryana"/>
    <s v="Camduct India Pvt Ltd-Haryana Branch"/>
    <x v="12"/>
    <s v="Circlip Plier"/>
    <x v="1"/>
    <n v="2"/>
    <n v="177"/>
    <n v="354"/>
  </r>
  <r>
    <n v="149"/>
    <x v="0"/>
    <x v="13"/>
    <n v="61768"/>
    <n v="45348"/>
    <s v="Camduct India Pvt Ltd-Haryana"/>
    <s v="Camduct India Pvt Ltd-Haryana Branch"/>
    <x v="12"/>
    <s v="Hammer (300g)"/>
    <x v="1"/>
    <n v="10"/>
    <n v="250"/>
    <n v="2500"/>
  </r>
  <r>
    <n v="150"/>
    <x v="0"/>
    <x v="13"/>
    <n v="61768"/>
    <n v="45348"/>
    <s v="Camduct India Pvt Ltd-Haryana"/>
    <s v="Camduct India Pvt Ltd-Haryana Branch"/>
    <x v="12"/>
    <s v="Bearing 6206"/>
    <x v="1"/>
    <n v="5"/>
    <n v="200"/>
    <n v="1000"/>
  </r>
  <r>
    <n v="151"/>
    <x v="0"/>
    <x v="13"/>
    <n v="61768"/>
    <n v="45348"/>
    <s v="Camduct India Pvt Ltd-Haryana"/>
    <s v="Camduct India Pvt Ltd-Haryana Branch"/>
    <x v="12"/>
    <s v="Bearing CF188"/>
    <x v="1"/>
    <n v="2"/>
    <n v="1175"/>
    <n v="2350"/>
  </r>
  <r>
    <n v="152"/>
    <x v="0"/>
    <x v="13"/>
    <n v="61768"/>
    <n v="45348"/>
    <s v="Camduct India Pvt Ltd-Haryana"/>
    <s v="Camduct India Pvt Ltd-Haryana Branch"/>
    <x v="12"/>
    <s v="Swirl Ring"/>
    <x v="1"/>
    <n v="2"/>
    <n v="1980"/>
    <n v="3960"/>
  </r>
  <r>
    <n v="153"/>
    <x v="0"/>
    <x v="13"/>
    <n v="61768"/>
    <n v="45348"/>
    <s v="Camduct India Pvt Ltd-Haryana"/>
    <s v="Camduct India Pvt Ltd-Haryana Branch"/>
    <x v="12"/>
    <s v="Shield"/>
    <x v="1"/>
    <n v="2"/>
    <n v="1722"/>
    <n v="3444"/>
  </r>
  <r>
    <n v="154"/>
    <x v="0"/>
    <x v="13"/>
    <n v="61768"/>
    <n v="45348"/>
    <s v="Camduct India Pvt Ltd-Haryana"/>
    <s v="Camduct India Pvt Ltd-Haryana Branch"/>
    <x v="12"/>
    <s v="Retaining Cap"/>
    <x v="1"/>
    <n v="2"/>
    <n v="3570"/>
    <n v="7140"/>
  </r>
  <r>
    <n v="155"/>
    <x v="0"/>
    <x v="13"/>
    <n v="61768"/>
    <n v="45348"/>
    <s v="Camduct India Pvt Ltd-Haryana"/>
    <s v="Camduct India Pvt Ltd-Haryana Branch"/>
    <x v="12"/>
    <s v="Mask"/>
    <x v="1"/>
    <n v="200"/>
    <n v="3.5"/>
    <n v="700"/>
  </r>
  <r>
    <n v="156"/>
    <x v="0"/>
    <x v="13"/>
    <n v="61768"/>
    <n v="45348"/>
    <s v="Camduct India Pvt Ltd-Haryana"/>
    <s v="Camduct India Pvt Ltd-Haryana Branch"/>
    <x v="12"/>
    <s v="Spares DS Ventilation Unit"/>
    <x v="1"/>
    <n v="1"/>
    <n v="50500"/>
    <n v="50500"/>
  </r>
  <r>
    <n v="157"/>
    <x v="0"/>
    <x v="13"/>
    <n v="61768"/>
    <n v="45348"/>
    <s v="Camduct India Pvt Ltd-Haryana"/>
    <s v="Camduct India Pvt Ltd-Haryana Branch"/>
    <x v="12"/>
    <s v="Grill (10 Nos)"/>
    <x v="4"/>
    <n v="30"/>
    <n v="72"/>
    <n v="2160"/>
  </r>
  <r>
    <n v="158"/>
    <x v="0"/>
    <x v="13"/>
    <n v="61768"/>
    <n v="45349"/>
    <s v="Camduct India Pvt Ltd-Haryana"/>
    <s v="Camduct India Pvt Ltd-Haryana Branch"/>
    <x v="12"/>
    <s v="20mm PIR Sheet (40 Nos)"/>
    <x v="0"/>
    <n v="96"/>
    <n v="448"/>
    <n v="43008"/>
  </r>
  <r>
    <n v="159"/>
    <x v="0"/>
    <x v="14"/>
    <n v="61930"/>
    <n v="45350"/>
    <s v="Knnd Associates Pvt Ltd"/>
    <s v="Blackstone COE India Pvt Ltd Bangalore"/>
    <x v="0"/>
    <s v="120gsm 24G"/>
    <x v="0"/>
    <n v="141.9"/>
    <n v="585"/>
    <n v="83011.5"/>
  </r>
  <r>
    <n v="160"/>
    <x v="0"/>
    <x v="14"/>
    <n v="61930"/>
    <n v="45350"/>
    <s v="Knnd Associates Pvt Ltd"/>
    <s v="Blackstone COE India Pvt Ltd Bangalore"/>
    <x v="0"/>
    <s v="120gsm 22G"/>
    <x v="0"/>
    <n v="106"/>
    <n v="790"/>
    <n v="83740"/>
  </r>
  <r>
    <n v="161"/>
    <x v="0"/>
    <x v="14"/>
    <n v="61930"/>
    <n v="45350"/>
    <s v="Knnd Associates Pvt Ltd"/>
    <s v="Blackstone COE India Pvt Ltd Bangalore"/>
    <x v="0"/>
    <s v="120gsm 20G"/>
    <x v="0"/>
    <n v="9.6999999999999993"/>
    <n v="915"/>
    <n v="8875.5"/>
  </r>
  <r>
    <n v="162"/>
    <x v="0"/>
    <x v="14"/>
    <n v="61930"/>
    <n v="45350"/>
    <s v="Knnd Associates Pvt Ltd"/>
    <s v="Blackstone COE India Pvt Ltd Bangalore"/>
    <x v="1"/>
    <s v="Insu Armaflex Thermal 9mm"/>
    <x v="0"/>
    <n v="123.3"/>
    <n v="289"/>
    <n v="35633.699999999997"/>
  </r>
  <r>
    <n v="163"/>
    <x v="0"/>
    <x v="14"/>
    <n v="61930"/>
    <n v="45350"/>
    <s v="Knnd Associates Pvt Ltd"/>
    <s v="Blackstone COE India Pvt Ltd Bangalore"/>
    <x v="1"/>
    <s v="Insu Armasound Acou. 15mm"/>
    <x v="0"/>
    <n v="259.68385000000001"/>
    <n v="805"/>
    <n v="209045.49924999999"/>
  </r>
  <r>
    <n v="164"/>
    <x v="0"/>
    <x v="14"/>
    <n v="61930"/>
    <n v="45350"/>
    <s v="Knnd Associates Pvt Ltd"/>
    <s v="Blackstone COE India Pvt Ltd Bangalore"/>
    <x v="1"/>
    <s v="Insu Armasound Acou. 25mm"/>
    <x v="0"/>
    <n v="82.2"/>
    <n v="1271"/>
    <n v="104476.2"/>
  </r>
  <r>
    <n v="165"/>
    <x v="0"/>
    <x v="14"/>
    <n v="61930"/>
    <n v="45350"/>
    <s v="Knnd Associates Pvt Ltd"/>
    <s v="Blackstone COE India Pvt Ltd Bangalore"/>
    <x v="10"/>
    <s v="120gsm 22G"/>
    <x v="0"/>
    <n v="21"/>
    <n v="975"/>
    <n v="20475"/>
  </r>
  <r>
    <n v="166"/>
    <x v="0"/>
    <x v="14"/>
    <n v="61930"/>
    <n v="45350"/>
    <s v="Knnd Associates Pvt Ltd"/>
    <s v="Blackstone COE India Pvt Ltd Bangalore"/>
    <x v="9"/>
    <s v="120gsm 22G"/>
    <x v="0"/>
    <n v="59"/>
    <n v="3425"/>
    <n v="202075"/>
  </r>
  <r>
    <n v="167"/>
    <x v="0"/>
    <x v="14"/>
    <n v="61930"/>
    <n v="45350"/>
    <s v="Knnd Associates Pvt Ltd"/>
    <s v="Blackstone COE India Pvt Ltd Bangalore"/>
    <x v="2"/>
    <s v="Polythene wrapping"/>
    <x v="0"/>
    <n v="230"/>
    <n v="15"/>
    <n v="3450"/>
  </r>
  <r>
    <n v="168"/>
    <x v="0"/>
    <x v="15"/>
    <n v="61950"/>
    <n v="45351"/>
    <s v="Knnd Associates Pvt Ltd"/>
    <s v="Loyala ITI College Bangalore"/>
    <x v="0"/>
    <s v="120gsm 24G"/>
    <x v="0"/>
    <n v="11.8"/>
    <n v="618"/>
    <n v="7292.4000000000005"/>
  </r>
  <r>
    <n v="169"/>
    <x v="0"/>
    <x v="15"/>
    <n v="61950"/>
    <n v="45351"/>
    <s v="Knnd Associates Pvt Ltd"/>
    <s v="Loyala ITI College Bangalore"/>
    <x v="0"/>
    <s v="120gsm 22G"/>
    <x v="0"/>
    <n v="8.9"/>
    <n v="799"/>
    <n v="7111.1"/>
  </r>
  <r>
    <n v="170"/>
    <x v="0"/>
    <x v="15"/>
    <n v="61950"/>
    <n v="45351"/>
    <s v="Knnd Associates Pvt Ltd"/>
    <s v="Loyala ITI College Bangalore"/>
    <x v="4"/>
    <s v="120gsm Slit 24G"/>
    <x v="0"/>
    <n v="6.4"/>
    <n v="660"/>
    <n v="4224"/>
  </r>
  <r>
    <n v="171"/>
    <x v="0"/>
    <x v="15"/>
    <n v="61950"/>
    <n v="45351"/>
    <s v="Knnd Associates Pvt Ltd"/>
    <s v="Loyala ITI College Bangalore"/>
    <x v="11"/>
    <s v="120gsm Slit 22G"/>
    <x v="0"/>
    <n v="0.3"/>
    <n v="707"/>
    <n v="212.1"/>
  </r>
  <r>
    <n v="172"/>
    <x v="0"/>
    <x v="15"/>
    <n v="61950"/>
    <n v="45351"/>
    <s v="Knnd Associates Pvt Ltd"/>
    <s v="Loyala ITI College Bangalore"/>
    <x v="16"/>
    <s v="120gsm 20G"/>
    <x v="1"/>
    <n v="6"/>
    <n v="975"/>
    <n v="5850"/>
  </r>
  <r>
    <n v="173"/>
    <x v="0"/>
    <x v="15"/>
    <n v="61950"/>
    <n v="45351"/>
    <s v="Knnd Associates Pvt Ltd"/>
    <s v="Loyala ITI College Bangalore"/>
    <x v="17"/>
    <s v="120gsm 22G"/>
    <x v="1"/>
    <n v="1"/>
    <n v="400"/>
    <n v="400"/>
  </r>
  <r>
    <n v="174"/>
    <x v="0"/>
    <x v="15"/>
    <n v="61950"/>
    <n v="45351"/>
    <s v="Knnd Associates Pvt Ltd"/>
    <s v="Loyala ITI College Bangalore"/>
    <x v="5"/>
    <s v="120gsm 20G"/>
    <x v="0"/>
    <n v="0.4"/>
    <n v="3450"/>
    <n v="1380"/>
  </r>
  <r>
    <n v="175"/>
    <x v="0"/>
    <x v="15"/>
    <n v="61950"/>
    <n v="45351"/>
    <s v="Knnd Associates Pvt Ltd"/>
    <s v="Loyala ITI College Bangalore"/>
    <x v="8"/>
    <s v="120gsm 20G"/>
    <x v="0"/>
    <n v="0.2"/>
    <n v="4950"/>
    <n v="990"/>
  </r>
  <r>
    <n v="176"/>
    <x v="0"/>
    <x v="15"/>
    <n v="61950"/>
    <n v="45351"/>
    <s v="Knnd Associates Pvt Ltd"/>
    <s v="Loyala ITI College Bangalore"/>
    <x v="14"/>
    <s v="120gsm 24G"/>
    <x v="0"/>
    <n v="6"/>
    <n v="495"/>
    <n v="2970"/>
  </r>
  <r>
    <n v="177"/>
    <x v="0"/>
    <x v="15"/>
    <n v="61950"/>
    <n v="45351"/>
    <s v="Knnd Associates Pvt Ltd"/>
    <s v="Loyala ITI College Bangalore"/>
    <x v="1"/>
    <s v="Insu Supreme Thermal 9mm"/>
    <x v="0"/>
    <n v="17.600000000000001"/>
    <n v="255"/>
    <n v="4488"/>
  </r>
  <r>
    <n v="178"/>
    <x v="0"/>
    <x v="15"/>
    <n v="61930"/>
    <n v="45352"/>
    <s v="Knnd Associates Pvt Ltd"/>
    <s v="Blackstone COE India Pvt Ltd Bangalore"/>
    <x v="0"/>
    <s v="120gsm 24G"/>
    <x v="0"/>
    <n v="332.4"/>
    <n v="585"/>
    <n v="194454"/>
  </r>
  <r>
    <n v="179"/>
    <x v="0"/>
    <x v="15"/>
    <n v="61930"/>
    <n v="45352"/>
    <s v="Knnd Associates Pvt Ltd"/>
    <s v="Blackstone COE India Pvt Ltd Bangalore"/>
    <x v="0"/>
    <s v="120gsm 22G"/>
    <x v="0"/>
    <n v="56.3"/>
    <n v="790"/>
    <n v="44477"/>
  </r>
  <r>
    <n v="180"/>
    <x v="0"/>
    <x v="15"/>
    <n v="61930"/>
    <n v="45352"/>
    <s v="Knnd Associates Pvt Ltd"/>
    <s v="Blackstone COE India Pvt Ltd Bangalore"/>
    <x v="0"/>
    <s v="120gsm 20G"/>
    <x v="0"/>
    <n v="41.4"/>
    <n v="915"/>
    <n v="37881"/>
  </r>
  <r>
    <n v="181"/>
    <x v="0"/>
    <x v="15"/>
    <n v="61930"/>
    <n v="45352"/>
    <s v="Knnd Associates Pvt Ltd"/>
    <s v="Blackstone COE India Pvt Ltd Bangalore"/>
    <x v="1"/>
    <s v="Insu Armaflex Thermal 9mm"/>
    <x v="0"/>
    <n v="321.89999999999998"/>
    <n v="289"/>
    <n v="93029.099999999991"/>
  </r>
  <r>
    <n v="182"/>
    <x v="0"/>
    <x v="15"/>
    <n v="61930"/>
    <n v="45352"/>
    <s v="Knnd Associates Pvt Ltd"/>
    <s v="Blackstone COE India Pvt Ltd Bangalore"/>
    <x v="1"/>
    <s v="Insu Armasound Acou. 15mm"/>
    <x v="0"/>
    <n v="132.59200000000001"/>
    <n v="805"/>
    <n v="106736.56000000001"/>
  </r>
  <r>
    <n v="183"/>
    <x v="0"/>
    <x v="15"/>
    <n v="61930"/>
    <n v="45352"/>
    <s v="Knnd Associates Pvt Ltd"/>
    <s v="Blackstone COE India Pvt Ltd Bangalore"/>
    <x v="1"/>
    <s v="Insu Armasound Acou. 25mm"/>
    <x v="0"/>
    <n v="83.4"/>
    <n v="1271"/>
    <n v="106001.40000000001"/>
  </r>
  <r>
    <n v="184"/>
    <x v="0"/>
    <x v="15"/>
    <n v="61930"/>
    <n v="45352"/>
    <s v="Knnd Associates Pvt Ltd"/>
    <s v="Blackstone COE India Pvt Ltd Bangalore"/>
    <x v="10"/>
    <s v="120gsm 22G"/>
    <x v="0"/>
    <n v="3"/>
    <n v="975"/>
    <n v="2925"/>
  </r>
  <r>
    <n v="185"/>
    <x v="0"/>
    <x v="15"/>
    <n v="61930"/>
    <n v="45352"/>
    <s v="Knnd Associates Pvt Ltd"/>
    <s v="Blackstone COE India Pvt Ltd Bangalore"/>
    <x v="9"/>
    <s v="120gsm 22G"/>
    <x v="0"/>
    <n v="33"/>
    <n v="3425"/>
    <n v="113025"/>
  </r>
  <r>
    <n v="186"/>
    <x v="0"/>
    <x v="15"/>
    <n v="61930"/>
    <n v="45352"/>
    <s v="Knnd Associates Pvt Ltd"/>
    <s v="Blackstone COE India Pvt Ltd Bangalore"/>
    <x v="2"/>
    <s v="Polythene wrapping"/>
    <x v="0"/>
    <n v="420"/>
    <n v="15"/>
    <n v="6300"/>
  </r>
  <r>
    <n v="187"/>
    <x v="0"/>
    <x v="16"/>
    <n v="61953"/>
    <n v="45353"/>
    <s v="Taj Steels "/>
    <s v="Taj Steels"/>
    <x v="18"/>
    <s v="Alluminium Scrap"/>
    <x v="4"/>
    <n v="420"/>
    <n v="250"/>
    <n v="105000"/>
  </r>
  <r>
    <n v="188"/>
    <x v="0"/>
    <x v="17"/>
    <n v="61930"/>
    <n v="45354"/>
    <s v="Knnd Associates Pvt Ltd"/>
    <s v="Blackstone COE India Pvt Ltd Bangalore"/>
    <x v="0"/>
    <s v="120gsm 24G"/>
    <x v="0"/>
    <n v="445.2"/>
    <n v="585"/>
    <n v="260442"/>
  </r>
  <r>
    <n v="189"/>
    <x v="0"/>
    <x v="17"/>
    <n v="61930"/>
    <n v="45354"/>
    <s v="Knnd Associates Pvt Ltd"/>
    <s v="Blackstone COE India Pvt Ltd Bangalore"/>
    <x v="0"/>
    <s v="120gsm 22G"/>
    <x v="0"/>
    <n v="158.19999999999999"/>
    <n v="790"/>
    <n v="124977.99999999999"/>
  </r>
  <r>
    <n v="190"/>
    <x v="0"/>
    <x v="17"/>
    <n v="61930"/>
    <n v="45354"/>
    <s v="Knnd Associates Pvt Ltd"/>
    <s v="Blackstone COE India Pvt Ltd Bangalore"/>
    <x v="0"/>
    <s v="120gsm 20G"/>
    <x v="0"/>
    <n v="6.6"/>
    <n v="915"/>
    <n v="6039"/>
  </r>
  <r>
    <n v="191"/>
    <x v="0"/>
    <x v="17"/>
    <n v="61930"/>
    <n v="45354"/>
    <s v="Knnd Associates Pvt Ltd"/>
    <s v="Blackstone COE India Pvt Ltd Bangalore"/>
    <x v="1"/>
    <s v="Insu Armaflex Thermal 9mm"/>
    <x v="0"/>
    <n v="426.2"/>
    <n v="289"/>
    <n v="123171.8"/>
  </r>
  <r>
    <n v="192"/>
    <x v="0"/>
    <x v="17"/>
    <n v="61930"/>
    <n v="45354"/>
    <s v="Knnd Associates Pvt Ltd"/>
    <s v="Blackstone COE India Pvt Ltd Bangalore"/>
    <x v="1"/>
    <s v="Insu Armasound Acou. 15mm"/>
    <x v="0"/>
    <n v="42.5"/>
    <n v="805"/>
    <n v="34212.5"/>
  </r>
  <r>
    <n v="193"/>
    <x v="0"/>
    <x v="17"/>
    <n v="61930"/>
    <n v="45354"/>
    <s v="Knnd Associates Pvt Ltd"/>
    <s v="Blackstone COE India Pvt Ltd Bangalore"/>
    <x v="1"/>
    <s v="Insu Armasound Acou. 25mm"/>
    <x v="0"/>
    <n v="52.7"/>
    <n v="1271"/>
    <n v="66981.7"/>
  </r>
  <r>
    <n v="194"/>
    <x v="0"/>
    <x v="17"/>
    <n v="61930"/>
    <n v="45354"/>
    <s v="Knnd Associates Pvt Ltd"/>
    <s v="Blackstone COE India Pvt Ltd Bangalore"/>
    <x v="2"/>
    <s v="Polythene wrapping"/>
    <x v="0"/>
    <n v="520"/>
    <n v="15"/>
    <n v="7800"/>
  </r>
  <r>
    <n v="195"/>
    <x v="0"/>
    <x v="17"/>
    <n v="61768"/>
    <n v="45355"/>
    <s v="Camduct India Pvt Ltd-Haryana"/>
    <s v="Camduct India Pvt Ltd-Haryana Branch"/>
    <x v="12"/>
    <s v="18G Corners 32mm"/>
    <x v="1"/>
    <n v="10000"/>
    <n v="7.5"/>
    <n v="75000"/>
  </r>
  <r>
    <n v="196"/>
    <x v="0"/>
    <x v="18"/>
    <n v="61930"/>
    <n v="45356"/>
    <s v="Knnd Associates Pvt Ltd"/>
    <s v="Blackstone COE India Pvt Ltd Bangalore"/>
    <x v="0"/>
    <s v="120gsm 24G"/>
    <x v="0"/>
    <n v="212.9"/>
    <n v="585"/>
    <n v="124546.5"/>
  </r>
  <r>
    <n v="197"/>
    <x v="0"/>
    <x v="18"/>
    <n v="61930"/>
    <n v="45356"/>
    <s v="Knnd Associates Pvt Ltd"/>
    <s v="Blackstone COE India Pvt Ltd Bangalore"/>
    <x v="0"/>
    <s v="120gsm 22G"/>
    <x v="0"/>
    <n v="97.8"/>
    <n v="790"/>
    <n v="77262"/>
  </r>
  <r>
    <n v="198"/>
    <x v="0"/>
    <x v="18"/>
    <n v="61930"/>
    <n v="45356"/>
    <s v="Knnd Associates Pvt Ltd"/>
    <s v="Blackstone COE India Pvt Ltd Bangalore"/>
    <x v="0"/>
    <s v="120gsm 20G"/>
    <x v="0"/>
    <n v="14.3"/>
    <n v="915"/>
    <n v="13084.5"/>
  </r>
  <r>
    <n v="199"/>
    <x v="0"/>
    <x v="18"/>
    <n v="61930"/>
    <n v="45356"/>
    <s v="Knnd Associates Pvt Ltd"/>
    <s v="Blackstone COE India Pvt Ltd Bangalore"/>
    <x v="1"/>
    <s v="Insu Armaflex Thermal 9mm"/>
    <x v="0"/>
    <n v="55.6"/>
    <n v="289"/>
    <n v="16068.4"/>
  </r>
  <r>
    <n v="200"/>
    <x v="0"/>
    <x v="18"/>
    <n v="61930"/>
    <n v="45356"/>
    <s v="Knnd Associates Pvt Ltd"/>
    <s v="Blackstone COE India Pvt Ltd Bangalore"/>
    <x v="1"/>
    <s v="Insu Armasound Acou. 15mm"/>
    <x v="0"/>
    <n v="271.55031055999996"/>
    <n v="805"/>
    <n v="218598.00000079998"/>
  </r>
  <r>
    <n v="201"/>
    <x v="0"/>
    <x v="18"/>
    <n v="61930"/>
    <n v="45356"/>
    <s v="Knnd Associates Pvt Ltd"/>
    <s v="Blackstone COE India Pvt Ltd Bangalore"/>
    <x v="1"/>
    <s v="Insu Armasound Acou. 25mm"/>
    <x v="0"/>
    <n v="108.2"/>
    <n v="1271"/>
    <n v="137522.20000000001"/>
  </r>
  <r>
    <n v="202"/>
    <x v="0"/>
    <x v="18"/>
    <n v="61930"/>
    <n v="45356"/>
    <s v="Knnd Associates Pvt Ltd"/>
    <s v="Blackstone COE India Pvt Ltd Bangalore"/>
    <x v="10"/>
    <s v="120gsm 22G"/>
    <x v="0"/>
    <n v="16"/>
    <n v="975"/>
    <n v="15600"/>
  </r>
  <r>
    <n v="203"/>
    <x v="0"/>
    <x v="18"/>
    <n v="61930"/>
    <n v="45356"/>
    <s v="Knnd Associates Pvt Ltd"/>
    <s v="Blackstone COE India Pvt Ltd Bangalore"/>
    <x v="9"/>
    <s v="120gsm 22G"/>
    <x v="0"/>
    <n v="43"/>
    <n v="3425"/>
    <n v="147275"/>
  </r>
  <r>
    <n v="204"/>
    <x v="0"/>
    <x v="18"/>
    <n v="61930"/>
    <n v="45356"/>
    <s v="Knnd Associates Pvt Ltd"/>
    <s v="Blackstone COE India Pvt Ltd Bangalore"/>
    <x v="2"/>
    <s v="Polythene wrapping"/>
    <x v="0"/>
    <n v="140"/>
    <n v="15"/>
    <n v="2100"/>
  </r>
  <r>
    <n v="205"/>
    <x v="0"/>
    <x v="19"/>
    <n v="61954"/>
    <n v="45357"/>
    <s v="Techno Fabricators"/>
    <s v="Route Me Hilte Kozhikode Keralam"/>
    <x v="4"/>
    <s v="120gsm Slit 24G"/>
    <x v="0"/>
    <n v="122"/>
    <n v="700"/>
    <n v="85400"/>
  </r>
  <r>
    <n v="206"/>
    <x v="0"/>
    <x v="19"/>
    <n v="61954"/>
    <n v="45357"/>
    <s v="Techno Fabricators"/>
    <s v="Route Me Hilte Kozhikode Keralam"/>
    <x v="4"/>
    <s v="120gsm Slit 22G"/>
    <x v="0"/>
    <n v="86.1"/>
    <n v="820"/>
    <n v="70602"/>
  </r>
  <r>
    <n v="207"/>
    <x v="0"/>
    <x v="19"/>
    <n v="61954"/>
    <n v="45357"/>
    <s v="Techno Fabricators"/>
    <s v="Route Me Hilte Kozhikode Keralam"/>
    <x v="11"/>
    <s v="120gsm Slit 20G"/>
    <x v="0"/>
    <n v="4.5"/>
    <n v="910"/>
    <n v="4095"/>
  </r>
  <r>
    <n v="208"/>
    <x v="0"/>
    <x v="19"/>
    <n v="61954"/>
    <n v="45357"/>
    <s v="Techno Fabricators"/>
    <s v="Route Me Hilte Kozhikode Keralam"/>
    <x v="1"/>
    <s v="Insu Kflex Thermal 9mm"/>
    <x v="0"/>
    <n v="212.6"/>
    <n v="330"/>
    <n v="70158"/>
  </r>
  <r>
    <n v="209"/>
    <x v="0"/>
    <x v="20"/>
    <n v="61859"/>
    <n v="45358"/>
    <s v="Knnd Associates Pvt Ltd"/>
    <s v="MSR Tech Park Bangalore"/>
    <x v="0"/>
    <s v="120gsm 24G"/>
    <x v="0"/>
    <n v="78.099999999999994"/>
    <n v="545"/>
    <n v="42564.5"/>
  </r>
  <r>
    <n v="210"/>
    <x v="0"/>
    <x v="20"/>
    <n v="61859"/>
    <n v="45358"/>
    <s v="Knnd Associates Pvt Ltd"/>
    <s v="MSR Tech Park Bangalore"/>
    <x v="0"/>
    <s v="120gsm 22G"/>
    <x v="0"/>
    <n v="137.30000000000001"/>
    <n v="705"/>
    <n v="96796.500000000015"/>
  </r>
  <r>
    <n v="211"/>
    <x v="0"/>
    <x v="20"/>
    <n v="61859"/>
    <n v="45358"/>
    <s v="Knnd Associates Pvt Ltd"/>
    <s v="MSR Tech Park Bangalore"/>
    <x v="0"/>
    <s v="120gsm 20G"/>
    <x v="0"/>
    <n v="93.5"/>
    <n v="915"/>
    <n v="85552.5"/>
  </r>
  <r>
    <n v="212"/>
    <x v="0"/>
    <x v="20"/>
    <n v="61955"/>
    <n v="45359"/>
    <s v="Knnd Associates Pvt Ltd"/>
    <s v="MAHE Lecture Hall Campus Bangalore"/>
    <x v="0"/>
    <s v="120gsm 24G"/>
    <x v="0"/>
    <n v="202.8"/>
    <n v="670"/>
    <n v="135876"/>
  </r>
  <r>
    <n v="213"/>
    <x v="0"/>
    <x v="20"/>
    <n v="61955"/>
    <n v="45359"/>
    <s v="Knnd Associates Pvt Ltd"/>
    <s v="MAHE Lecture Hall Campus Bangalore"/>
    <x v="0"/>
    <s v="120gsm 22G"/>
    <x v="0"/>
    <n v="17.5"/>
    <n v="868"/>
    <n v="15190"/>
  </r>
  <r>
    <n v="214"/>
    <x v="0"/>
    <x v="20"/>
    <n v="61955"/>
    <n v="45359"/>
    <s v="Knnd Associates Pvt Ltd"/>
    <s v="MAHE Lecture Hall Campus Bangalore"/>
    <x v="1"/>
    <s v="Insu Supreme Thermal 13mm"/>
    <x v="0"/>
    <n v="158.1"/>
    <n v="373"/>
    <n v="58971.299999999996"/>
  </r>
  <r>
    <n v="215"/>
    <x v="0"/>
    <x v="20"/>
    <n v="61955"/>
    <n v="45359"/>
    <s v="Knnd Associates Pvt Ltd"/>
    <s v="MAHE Lecture Hall Campus Bangalore"/>
    <x v="8"/>
    <s v="120gsm 20G"/>
    <x v="0"/>
    <n v="9.6999999999999993"/>
    <n v="5200"/>
    <n v="50439.999999999993"/>
  </r>
  <r>
    <n v="216"/>
    <x v="0"/>
    <x v="20"/>
    <n v="61955"/>
    <n v="45359"/>
    <s v="Knnd Associates Pvt Ltd"/>
    <s v="MAHE Lecture Hall Campus Bangalore"/>
    <x v="2"/>
    <s v="Polythene wrapping"/>
    <x v="0"/>
    <n v="170"/>
    <n v="20"/>
    <n v="3400"/>
  </r>
  <r>
    <n v="217"/>
    <x v="0"/>
    <x v="20"/>
    <n v="61954"/>
    <n v="45360"/>
    <s v="Techno Fabricators"/>
    <s v="Manipuram Kerala"/>
    <x v="4"/>
    <s v="120gsm Slit 24G"/>
    <x v="0"/>
    <n v="79.400000000000006"/>
    <n v="700"/>
    <n v="55580.000000000007"/>
  </r>
  <r>
    <n v="218"/>
    <x v="0"/>
    <x v="20"/>
    <n v="61954"/>
    <n v="45360"/>
    <s v="Techno Fabricators"/>
    <s v="Manipuram Kerala"/>
    <x v="4"/>
    <s v="120gsm Slit 22G"/>
    <x v="0"/>
    <n v="17.399999999999999"/>
    <n v="820"/>
    <n v="14267.999999999998"/>
  </r>
  <r>
    <n v="219"/>
    <x v="0"/>
    <x v="20"/>
    <n v="61954"/>
    <n v="45360"/>
    <s v="Techno Fabricators"/>
    <s v="Manipuram Kerala"/>
    <x v="11"/>
    <s v="120gsm Slit 20G"/>
    <x v="0"/>
    <n v="3.1"/>
    <n v="910"/>
    <n v="2821"/>
  </r>
  <r>
    <n v="220"/>
    <x v="0"/>
    <x v="20"/>
    <n v="61954"/>
    <n v="45360"/>
    <s v="Techno Fabricators"/>
    <s v="Manipuram Kerala"/>
    <x v="1"/>
    <s v="Insu Kflex Thermal 9mm"/>
    <x v="0"/>
    <n v="99.9"/>
    <n v="330"/>
    <n v="32967"/>
  </r>
  <r>
    <n v="221"/>
    <x v="1"/>
    <x v="21"/>
    <n v="61956"/>
    <n v="45361"/>
    <s v="Rao &amp; Co HVAC Sales &amp; Services Pvt Ltd"/>
    <s v="Bhagini Hotel Bangalore"/>
    <x v="0"/>
    <s v="120gsm 24G"/>
    <x v="0"/>
    <n v="24.1"/>
    <n v="660"/>
    <n v="15906.000000000002"/>
  </r>
  <r>
    <n v="222"/>
    <x v="1"/>
    <x v="21"/>
    <n v="61956"/>
    <n v="45361"/>
    <s v="Rao &amp; Co HVAC Sales &amp; Services Pvt Ltd"/>
    <s v="Bhagini Hotel Bangalore"/>
    <x v="4"/>
    <s v="120gsm Slit 24G"/>
    <x v="0"/>
    <n v="16.7"/>
    <n v="710"/>
    <n v="11857"/>
  </r>
  <r>
    <n v="223"/>
    <x v="1"/>
    <x v="21"/>
    <n v="61956"/>
    <n v="45361"/>
    <s v="Rao &amp; Co HVAC Sales &amp; Services Pvt Ltd"/>
    <s v="Bhagini Hotel Bangalore"/>
    <x v="11"/>
    <s v="120gsm Slit 20G"/>
    <x v="0"/>
    <n v="0.8"/>
    <n v="1000"/>
    <n v="800"/>
  </r>
  <r>
    <n v="224"/>
    <x v="1"/>
    <x v="21"/>
    <n v="61956"/>
    <n v="45361"/>
    <s v="Rao &amp; Co HVAC Sales &amp; Services Pvt Ltd"/>
    <s v="Bhagini Hotel Bangalore"/>
    <x v="5"/>
    <s v="120gsm 20G"/>
    <x v="0"/>
    <n v="0.3"/>
    <n v="3795"/>
    <n v="1138.5"/>
  </r>
  <r>
    <n v="225"/>
    <x v="1"/>
    <x v="21"/>
    <n v="61956"/>
    <n v="45361"/>
    <s v="Rao &amp; Co HVAC Sales &amp; Services Pvt Ltd"/>
    <s v="Bhagini Hotel Bangalore"/>
    <x v="8"/>
    <s v="120gsm 20G"/>
    <x v="0"/>
    <n v="0.4"/>
    <n v="5200"/>
    <n v="2080"/>
  </r>
  <r>
    <n v="226"/>
    <x v="1"/>
    <x v="21"/>
    <n v="61956"/>
    <n v="45361"/>
    <s v="Rao &amp; Co HVAC Sales &amp; Services Pvt Ltd"/>
    <s v="Bhagini Hotel Bangalore"/>
    <x v="1"/>
    <s v="Insu Kflex Acou. 10mm"/>
    <x v="0"/>
    <n v="5"/>
    <n v="495"/>
    <n v="2475"/>
  </r>
  <r>
    <n v="227"/>
    <x v="1"/>
    <x v="22"/>
    <n v="61957"/>
    <n v="45362"/>
    <s v="Knnd Associates Pvt Ltd"/>
    <s v="MSR Vaishnavi Union Bangalore"/>
    <x v="0"/>
    <s v="120gsm 22G"/>
    <x v="0"/>
    <n v="26.4"/>
    <n v="670"/>
    <n v="17688"/>
  </r>
  <r>
    <n v="228"/>
    <x v="1"/>
    <x v="22"/>
    <n v="61957"/>
    <n v="45362"/>
    <s v="Knnd Associates Pvt Ltd"/>
    <s v="MSR Vaishnavi Union Bangalore"/>
    <x v="14"/>
    <s v="120gsm 22G"/>
    <x v="0"/>
    <n v="6"/>
    <n v="625"/>
    <n v="3750"/>
  </r>
  <r>
    <n v="229"/>
    <x v="1"/>
    <x v="22"/>
    <n v="61955"/>
    <n v="45363"/>
    <s v="Knnd Associates Pvt Ltd"/>
    <s v="MAHE Lecture Hall Campus Bangalore"/>
    <x v="0"/>
    <s v="120gsm 24G"/>
    <x v="0"/>
    <n v="109.6"/>
    <n v="670"/>
    <n v="73432"/>
  </r>
  <r>
    <n v="230"/>
    <x v="1"/>
    <x v="22"/>
    <n v="61955"/>
    <n v="45363"/>
    <s v="Knnd Associates Pvt Ltd"/>
    <s v="MAHE Lecture Hall Campus Bangalore"/>
    <x v="0"/>
    <s v="120gsm 22G"/>
    <x v="0"/>
    <n v="38.1"/>
    <n v="868"/>
    <n v="33070.800000000003"/>
  </r>
  <r>
    <n v="231"/>
    <x v="1"/>
    <x v="22"/>
    <n v="61955"/>
    <n v="45363"/>
    <s v="Knnd Associates Pvt Ltd"/>
    <s v="MAHE Lecture Hall Campus Bangalore"/>
    <x v="4"/>
    <s v="120gsm Slit 22G"/>
    <x v="0"/>
    <n v="15.8"/>
    <n v="865"/>
    <n v="13667"/>
  </r>
  <r>
    <n v="232"/>
    <x v="1"/>
    <x v="22"/>
    <n v="61955"/>
    <n v="45363"/>
    <s v="Knnd Associates Pvt Ltd"/>
    <s v="MAHE Lecture Hall Campus Bangalore"/>
    <x v="11"/>
    <s v="120gsm Slit 20G"/>
    <x v="0"/>
    <n v="1.8"/>
    <n v="995"/>
    <n v="1791"/>
  </r>
  <r>
    <n v="233"/>
    <x v="1"/>
    <x v="22"/>
    <n v="61955"/>
    <n v="45363"/>
    <s v="Knnd Associates Pvt Ltd"/>
    <s v="MAHE Lecture Hall Campus Bangalore"/>
    <x v="1"/>
    <s v="Insu Supreme Thermal 13mm"/>
    <x v="0"/>
    <n v="147"/>
    <n v="373"/>
    <n v="54831"/>
  </r>
  <r>
    <n v="234"/>
    <x v="1"/>
    <x v="22"/>
    <n v="61955"/>
    <n v="45363"/>
    <s v="Knnd Associates Pvt Ltd"/>
    <s v="MAHE Lecture Hall Campus Bangalore"/>
    <x v="1"/>
    <s v="Insu Supreme Acou. 15mm"/>
    <x v="0"/>
    <n v="18.3"/>
    <n v="820"/>
    <n v="15006"/>
  </r>
  <r>
    <n v="235"/>
    <x v="1"/>
    <x v="22"/>
    <n v="61955"/>
    <n v="45363"/>
    <s v="Knnd Associates Pvt Ltd"/>
    <s v="MAHE Lecture Hall Campus Bangalore"/>
    <x v="6"/>
    <s v="8mm JTR"/>
    <x v="2"/>
    <n v="6.4"/>
    <n v="110"/>
    <n v="704"/>
  </r>
  <r>
    <n v="236"/>
    <x v="1"/>
    <x v="22"/>
    <n v="61955"/>
    <n v="45363"/>
    <s v="Knnd Associates Pvt Ltd"/>
    <s v="MAHE Lecture Hall Campus Bangalore"/>
    <x v="2"/>
    <s v="Polythene wrapping"/>
    <x v="0"/>
    <n v="160"/>
    <n v="20"/>
    <n v="3200"/>
  </r>
  <r>
    <n v="237"/>
    <x v="1"/>
    <x v="22"/>
    <n v="61958"/>
    <n v="45364"/>
    <s v="Kool Koncepts"/>
    <s v="Shilpa Ananya Tech Park Bangalore"/>
    <x v="4"/>
    <s v="120gsm Slit 24G"/>
    <x v="0"/>
    <n v="6.4"/>
    <n v="710"/>
    <n v="4544"/>
  </r>
  <r>
    <n v="238"/>
    <x v="1"/>
    <x v="22"/>
    <n v="61958"/>
    <n v="45364"/>
    <s v="Kool Koncepts"/>
    <s v="Shilpa Ananya Tech Park Bangalore"/>
    <x v="11"/>
    <s v="120gsm Slit 20G"/>
    <x v="0"/>
    <n v="0.6"/>
    <n v="1000"/>
    <n v="600"/>
  </r>
  <r>
    <n v="239"/>
    <x v="1"/>
    <x v="22"/>
    <n v="61958"/>
    <n v="45364"/>
    <s v="Kool Koncepts"/>
    <s v="Shilpa Ananya Tech Park Bangalore"/>
    <x v="5"/>
    <s v="120gsm 20G"/>
    <x v="0"/>
    <n v="0.3"/>
    <n v="3795"/>
    <n v="1138.5"/>
  </r>
  <r>
    <n v="240"/>
    <x v="1"/>
    <x v="22"/>
    <n v="61935"/>
    <n v="45365"/>
    <s v="Rao &amp; Co HVAC Sales &amp; Services Pvt Ltd"/>
    <s v="Creditaccess Life Insurance Ltd Blr"/>
    <x v="4"/>
    <s v="120gsm Slit 22G"/>
    <x v="0"/>
    <n v="1.2"/>
    <n v="795"/>
    <n v="954"/>
  </r>
  <r>
    <n v="241"/>
    <x v="1"/>
    <x v="22"/>
    <n v="61840"/>
    <n v="45366"/>
    <s v="Knnd Associates Pvt Ltd"/>
    <s v="Ginni Devi Goel Manipal Hospital Raipur"/>
    <x v="19"/>
    <s v="120gsm 26G"/>
    <x v="0"/>
    <n v="1227.9000000000001"/>
    <n v="475"/>
    <n v="583252.5"/>
  </r>
  <r>
    <n v="242"/>
    <x v="1"/>
    <x v="22"/>
    <n v="61840"/>
    <n v="45366"/>
    <s v="Knnd Associates Pvt Ltd"/>
    <s v="Ginni Devi Goel Manipal Hospital Raipur"/>
    <x v="19"/>
    <s v="120gsm 24G"/>
    <x v="0"/>
    <n v="54.1"/>
    <n v="525"/>
    <n v="28402.5"/>
  </r>
  <r>
    <n v="243"/>
    <x v="1"/>
    <x v="22"/>
    <n v="61840"/>
    <n v="45366"/>
    <s v="Knnd Associates Pvt Ltd"/>
    <s v="Ginni Devi Goel Manipal Hospital Raipur"/>
    <x v="19"/>
    <s v="120gsm 22G"/>
    <x v="0"/>
    <n v="61.1"/>
    <n v="685"/>
    <n v="41853.5"/>
  </r>
  <r>
    <n v="244"/>
    <x v="1"/>
    <x v="23"/>
    <n v="61434"/>
    <n v="45367"/>
    <s v="Knnd Associates Pvt Ltd"/>
    <s v="Vaishnavi Senate Bangalore"/>
    <x v="0"/>
    <s v="120gsm 24G"/>
    <x v="0"/>
    <n v="4.4000000000000004"/>
    <n v="530"/>
    <n v="2332"/>
  </r>
  <r>
    <n v="245"/>
    <x v="1"/>
    <x v="23"/>
    <n v="61434"/>
    <n v="45367"/>
    <s v="Knnd Associates Pvt Ltd"/>
    <s v="Vaishnavi Senate Bangalore"/>
    <x v="0"/>
    <s v="120gsm 22G"/>
    <x v="0"/>
    <n v="69.400000000000006"/>
    <n v="677"/>
    <n v="46983.8"/>
  </r>
  <r>
    <n v="246"/>
    <x v="1"/>
    <x v="24"/>
    <n v="61451"/>
    <n v="45368"/>
    <s v="Knnd Associates Pvt Ltd"/>
    <s v="SAP Labs India Pvt Ltd Bangalore"/>
    <x v="20"/>
    <s v="120gsm 24G"/>
    <x v="0"/>
    <n v="3.9"/>
    <n v="495"/>
    <n v="1930.5"/>
  </r>
  <r>
    <n v="247"/>
    <x v="1"/>
    <x v="24"/>
    <n v="61959"/>
    <n v="45369"/>
    <s v="Knnd Associates Pvt Ltd"/>
    <s v="BDR Hospital Pune"/>
    <x v="21"/>
    <s v="Pressure Testing"/>
    <x v="0"/>
    <n v="138.9"/>
    <n v="35"/>
    <n v="4861.5"/>
  </r>
  <r>
    <n v="248"/>
    <x v="1"/>
    <x v="24"/>
    <n v="61960"/>
    <n v="45370"/>
    <s v="Knnd Associates Pvt Ltd"/>
    <s v="MAHE Lecture Hall Campus Bangalore"/>
    <x v="21"/>
    <s v="Pressure Testing"/>
    <x v="0"/>
    <n v="220.3"/>
    <n v="35"/>
    <n v="7710.5"/>
  </r>
  <r>
    <n v="249"/>
    <x v="1"/>
    <x v="24"/>
    <n v="61961"/>
    <n v="45371"/>
    <s v="Knnd Associates Pvt Ltd"/>
    <s v="MSR Tech Park Bangalore"/>
    <x v="21"/>
    <s v="Pressure Testing"/>
    <x v="0"/>
    <n v="308.89999999999998"/>
    <n v="35"/>
    <n v="10811.5"/>
  </r>
  <r>
    <n v="250"/>
    <x v="1"/>
    <x v="24"/>
    <n v="61962"/>
    <n v="45372"/>
    <s v="Knnd Associates Pvt Ltd"/>
    <s v="Infosys Chandigarh"/>
    <x v="22"/>
    <s v="120gsm 24G"/>
    <x v="1"/>
    <n v="404"/>
    <n v="969"/>
    <n v="391476"/>
  </r>
  <r>
    <n v="251"/>
    <x v="1"/>
    <x v="24"/>
    <n v="61962"/>
    <n v="45372"/>
    <s v="Knnd Associates Pvt Ltd"/>
    <s v="Infosys Chandigarh"/>
    <x v="1"/>
    <s v="Insu TB Thermal 13mm Al. Foil"/>
    <x v="0"/>
    <n v="480.55975999999998"/>
    <n v="686"/>
    <n v="329663.99536"/>
  </r>
  <r>
    <n v="252"/>
    <x v="1"/>
    <x v="24"/>
    <n v="61962"/>
    <n v="45372"/>
    <s v="Knnd Associates Pvt Ltd"/>
    <s v="Infosys Chandigarh"/>
    <x v="17"/>
    <s v="120gsm 22G"/>
    <x v="1"/>
    <n v="450"/>
    <n v="400"/>
    <n v="180000"/>
  </r>
  <r>
    <n v="253"/>
    <x v="1"/>
    <x v="24"/>
    <n v="61962"/>
    <n v="45372"/>
    <s v="Knnd Associates Pvt Ltd"/>
    <s v="Infosys Chandigarh"/>
    <x v="8"/>
    <s v="120gsm 20G"/>
    <x v="0"/>
    <n v="31.4"/>
    <n v="5200"/>
    <n v="163280"/>
  </r>
  <r>
    <n v="254"/>
    <x v="1"/>
    <x v="25"/>
    <n v="61930"/>
    <n v="45373"/>
    <s v="Knnd Associates Pvt Ltd"/>
    <s v="Blackstone COE India Pvt Ltd Bangalore"/>
    <x v="23"/>
    <s v="Corners 32mm"/>
    <x v="1"/>
    <n v="200"/>
    <n v="10"/>
    <n v="2000"/>
  </r>
  <r>
    <n v="255"/>
    <x v="1"/>
    <x v="26"/>
    <n v="61963"/>
    <n v="45374"/>
    <s v="Knnd Associates Pvt Ltd"/>
    <s v="BMJH Jain Hospital Bangalore"/>
    <x v="0"/>
    <s v="120gsm 24G"/>
    <x v="0"/>
    <n v="55.4"/>
    <n v="670"/>
    <n v="37118"/>
  </r>
  <r>
    <n v="256"/>
    <x v="1"/>
    <x v="26"/>
    <n v="61963"/>
    <n v="45374"/>
    <s v="Knnd Associates Pvt Ltd"/>
    <s v="BMJH Jain Hospital Bangalore"/>
    <x v="14"/>
    <s v="120gsm 24G"/>
    <x v="0"/>
    <n v="6"/>
    <n v="495"/>
    <n v="2970"/>
  </r>
  <r>
    <n v="257"/>
    <x v="1"/>
    <x v="26"/>
    <n v="61963"/>
    <n v="45374"/>
    <s v="Knnd Associates Pvt Ltd"/>
    <s v="BMJH Jain Hospital Bangalore"/>
    <x v="24"/>
    <s v="120gsm 24G"/>
    <x v="1"/>
    <n v="15"/>
    <n v="750"/>
    <n v="11250"/>
  </r>
  <r>
    <n v="258"/>
    <x v="1"/>
    <x v="26"/>
    <n v="61963"/>
    <n v="45374"/>
    <s v="Knnd Associates Pvt Ltd"/>
    <s v="BMJH Jain Hospital Bangalore"/>
    <x v="17"/>
    <s v="120gsm 22G"/>
    <x v="1"/>
    <n v="15"/>
    <n v="400"/>
    <n v="6000"/>
  </r>
  <r>
    <n v="259"/>
    <x v="1"/>
    <x v="26"/>
    <n v="61963"/>
    <n v="45374"/>
    <s v="Knnd Associates Pvt Ltd"/>
    <s v="BMJH Jain Hospital Bangalore"/>
    <x v="1"/>
    <s v="Insu Kflex Thermal 9mm"/>
    <x v="0"/>
    <n v="56.8"/>
    <n v="270"/>
    <n v="15336"/>
  </r>
  <r>
    <n v="260"/>
    <x v="1"/>
    <x v="26"/>
    <n v="61963"/>
    <n v="45374"/>
    <s v="Knnd Associates Pvt Ltd"/>
    <s v="BMJH Jain Hospital Bangalore"/>
    <x v="1"/>
    <s v="Insu Supreme 10mm Acou."/>
    <x v="0"/>
    <n v="11.1"/>
    <n v="755"/>
    <n v="8380.5"/>
  </r>
  <r>
    <n v="261"/>
    <x v="1"/>
    <x v="26"/>
    <n v="61963"/>
    <n v="45374"/>
    <s v="Knnd Associates Pvt Ltd"/>
    <s v="BMJH Jain Hospital Bangalore"/>
    <x v="15"/>
    <s v="Insu Supreme 10mm Acou."/>
    <x v="0"/>
    <n v="6"/>
    <n v="525"/>
    <n v="3150"/>
  </r>
  <r>
    <n v="262"/>
    <x v="1"/>
    <x v="27"/>
    <n v="61762"/>
    <n v="45375"/>
    <s v="Knnd Associates Pvt Ltd"/>
    <s v="TCS Noida Low Side SDB-1"/>
    <x v="4"/>
    <s v="180gsm Slit 24G"/>
    <x v="0"/>
    <n v="2.2000000000000002"/>
    <n v="680"/>
    <n v="1496.0000000000002"/>
  </r>
  <r>
    <n v="263"/>
    <x v="1"/>
    <x v="27"/>
    <n v="61762"/>
    <n v="45375"/>
    <s v="Knnd Associates Pvt Ltd"/>
    <s v="TCS Noida Low Side SDB-1"/>
    <x v="4"/>
    <s v="180gsm Slit 22G"/>
    <x v="0"/>
    <n v="16.600000000000001"/>
    <n v="795"/>
    <n v="13197.000000000002"/>
  </r>
  <r>
    <n v="264"/>
    <x v="1"/>
    <x v="27"/>
    <n v="61762"/>
    <n v="45375"/>
    <s v="Knnd Associates Pvt Ltd"/>
    <s v="TCS Noida Low Side SDB-1"/>
    <x v="4"/>
    <s v="180gsm Slit 20G"/>
    <x v="0"/>
    <n v="7.9"/>
    <n v="950"/>
    <n v="7505"/>
  </r>
  <r>
    <n v="265"/>
    <x v="1"/>
    <x v="27"/>
    <n v="61762"/>
    <n v="45375"/>
    <s v="Knnd Associates Pvt Ltd"/>
    <s v="TCS Noida Low Side SDB-1"/>
    <x v="5"/>
    <s v="180gsm 20G"/>
    <x v="0"/>
    <n v="19.5"/>
    <n v="3300"/>
    <n v="64350"/>
  </r>
  <r>
    <n v="266"/>
    <x v="1"/>
    <x v="27"/>
    <n v="61762"/>
    <n v="45375"/>
    <s v="Knnd Associates Pvt Ltd"/>
    <s v="TCS Noida Low Side SDB-1"/>
    <x v="1"/>
    <s v="Insu Supreme Thermal 9mm"/>
    <x v="0"/>
    <n v="26.7"/>
    <n v="252"/>
    <n v="6728.4"/>
  </r>
  <r>
    <n v="267"/>
    <x v="1"/>
    <x v="28"/>
    <n v="61704"/>
    <n v="45376"/>
    <s v="Knnd Associates Pvt Ltd"/>
    <s v="Zentech Business Park Bangalore"/>
    <x v="0"/>
    <s v="120gsm 24G"/>
    <x v="0"/>
    <n v="18.899999999999999"/>
    <n v="565"/>
    <n v="10678.5"/>
  </r>
  <r>
    <n v="268"/>
    <x v="1"/>
    <x v="28"/>
    <n v="61704"/>
    <n v="45376"/>
    <s v="Knnd Associates Pvt Ltd"/>
    <s v="Zentech Business Park Bangalore"/>
    <x v="0"/>
    <s v="120gsm 22G"/>
    <x v="0"/>
    <n v="61.4"/>
    <n v="725"/>
    <n v="44515"/>
  </r>
  <r>
    <n v="269"/>
    <x v="1"/>
    <x v="28"/>
    <n v="61704"/>
    <n v="45376"/>
    <s v="Knnd Associates Pvt Ltd"/>
    <s v="Zentech Business Park Bangalore"/>
    <x v="1"/>
    <s v="Insu Supreme Thermal 9mm"/>
    <x v="0"/>
    <n v="10.1"/>
    <n v="270"/>
    <n v="2727"/>
  </r>
  <r>
    <n v="270"/>
    <x v="1"/>
    <x v="28"/>
    <n v="61704"/>
    <n v="45376"/>
    <s v="Knnd Associates Pvt Ltd"/>
    <s v="Zentech Business Park Bangalore"/>
    <x v="25"/>
    <s v="120gsm 18G"/>
    <x v="1"/>
    <n v="9"/>
    <n v="1040"/>
    <n v="9360"/>
  </r>
  <r>
    <n v="271"/>
    <x v="1"/>
    <x v="28"/>
    <n v="61704"/>
    <n v="45376"/>
    <s v="Knnd Associates Pvt Ltd"/>
    <s v="Zentech Business Park Bangalore"/>
    <x v="26"/>
    <s v="120gsm 18G"/>
    <x v="1"/>
    <n v="15"/>
    <n v="1250"/>
    <n v="18750"/>
  </r>
  <r>
    <n v="272"/>
    <x v="1"/>
    <x v="28"/>
    <n v="61704"/>
    <n v="45376"/>
    <s v="Knnd Associates Pvt Ltd"/>
    <s v="Zentech Business Park Bangalore"/>
    <x v="14"/>
    <s v="120gsm 24G"/>
    <x v="0"/>
    <n v="18"/>
    <n v="454"/>
    <n v="8172"/>
  </r>
  <r>
    <n v="273"/>
    <x v="1"/>
    <x v="28"/>
    <n v="61704"/>
    <n v="45376"/>
    <s v="Knnd Associates Pvt Ltd"/>
    <s v="Zentech Business Park Bangalore"/>
    <x v="13"/>
    <s v="Gasket"/>
    <x v="2"/>
    <n v="100"/>
    <n v="8"/>
    <n v="800"/>
  </r>
  <r>
    <n v="274"/>
    <x v="1"/>
    <x v="28"/>
    <n v="61704"/>
    <n v="45376"/>
    <s v="Knnd Associates Pvt Ltd"/>
    <s v="Zentech Business Park Bangalore"/>
    <x v="2"/>
    <s v="Polythene wrapping"/>
    <x v="0"/>
    <n v="15"/>
    <n v="15"/>
    <n v="225"/>
  </r>
  <r>
    <n v="275"/>
    <x v="1"/>
    <x v="28"/>
    <n v="61962"/>
    <n v="45377"/>
    <s v="Knnd Associates Pvt Ltd"/>
    <s v="Infosys Chandigarh"/>
    <x v="22"/>
    <s v="120gsm 24G"/>
    <x v="1"/>
    <n v="353"/>
    <n v="969"/>
    <n v="342057"/>
  </r>
  <r>
    <n v="276"/>
    <x v="1"/>
    <x v="28"/>
    <n v="61962"/>
    <n v="45377"/>
    <s v="Knnd Associates Pvt Ltd"/>
    <s v="Infosys Chandigarh"/>
    <x v="1"/>
    <s v="Insu TB Thermal 13mm Al. Foil"/>
    <x v="0"/>
    <n v="419.89503999999999"/>
    <n v="686"/>
    <n v="288047.99744000001"/>
  </r>
  <r>
    <n v="277"/>
    <x v="1"/>
    <x v="28"/>
    <n v="61962"/>
    <n v="45377"/>
    <s v="Knnd Associates Pvt Ltd"/>
    <s v="Infosys Chandigarh"/>
    <x v="17"/>
    <s v="120gsm 22G"/>
    <x v="1"/>
    <n v="307"/>
    <n v="400"/>
    <n v="122800"/>
  </r>
  <r>
    <n v="278"/>
    <x v="1"/>
    <x v="28"/>
    <n v="61768"/>
    <n v="45378"/>
    <s v="Camduct India Pvt Ltd-Haryana"/>
    <s v="Camduct India Pvt Ltd-Haryana Branch"/>
    <x v="12"/>
    <s v="18G Corners 32mm"/>
    <x v="1"/>
    <n v="46100"/>
    <n v="7.5"/>
    <n v="345750"/>
  </r>
  <r>
    <n v="279"/>
    <x v="1"/>
    <x v="28"/>
    <n v="61768"/>
    <n v="45378"/>
    <s v="Camduct India Pvt Ltd-Haryana"/>
    <s v="Camduct India Pvt Ltd-Haryana Branch"/>
    <x v="12"/>
    <s v="Threaded Rod (8mm X 2mtr)"/>
    <x v="1"/>
    <n v="10"/>
    <n v="54"/>
    <n v="540"/>
  </r>
  <r>
    <n v="280"/>
    <x v="1"/>
    <x v="28"/>
    <n v="61768"/>
    <n v="45378"/>
    <s v="Camduct India Pvt Ltd-Haryana"/>
    <s v="Camduct India Pvt Ltd-Haryana Branch"/>
    <x v="12"/>
    <s v="Magnetic Lifter (1000 Kgs Capacity)"/>
    <x v="1"/>
    <n v="1"/>
    <n v="26952"/>
    <n v="26952"/>
  </r>
  <r>
    <n v="281"/>
    <x v="1"/>
    <x v="28"/>
    <n v="61768"/>
    <n v="45378"/>
    <s v="Camduct India Pvt Ltd-Haryana"/>
    <s v="Camduct India Pvt Ltd-Haryana Branch"/>
    <x v="12"/>
    <s v="Hydra 5.0 SL (Industrial Vaccum Cleaner)"/>
    <x v="1"/>
    <n v="1"/>
    <n v="130000"/>
    <n v="130000"/>
  </r>
  <r>
    <n v="282"/>
    <x v="1"/>
    <x v="28"/>
    <n v="61768"/>
    <n v="45378"/>
    <s v="Camduct India Pvt Ltd-Haryana"/>
    <s v="Camduct India Pvt Ltd-Haryana Branch"/>
    <x v="12"/>
    <s v="Microtek UPS "/>
    <x v="1"/>
    <n v="1"/>
    <n v="2500"/>
    <n v="2500"/>
  </r>
  <r>
    <n v="283"/>
    <x v="1"/>
    <x v="28"/>
    <n v="61768"/>
    <n v="45378"/>
    <s v="Camduct India Pvt Ltd-Haryana"/>
    <s v="Camduct India Pvt Ltd-Haryana Branch"/>
    <x v="12"/>
    <s v="Press Tool Lblock Die"/>
    <x v="1"/>
    <n v="2"/>
    <n v="3500"/>
    <n v="7000"/>
  </r>
  <r>
    <n v="284"/>
    <x v="1"/>
    <x v="29"/>
    <n v="61964"/>
    <n v="45379"/>
    <s v="Knnd Associates Pvt Ltd"/>
    <s v="Motherhood Hospital Sarjapura"/>
    <x v="0"/>
    <s v="120gsm 24G"/>
    <x v="0"/>
    <n v="191.9"/>
    <n v="670"/>
    <n v="128573"/>
  </r>
  <r>
    <n v="285"/>
    <x v="1"/>
    <x v="29"/>
    <n v="61964"/>
    <n v="45379"/>
    <s v="Knnd Associates Pvt Ltd"/>
    <s v="Motherhood Hospital Sarjapura"/>
    <x v="1"/>
    <s v="Insu Supreme Thermal 13mm"/>
    <x v="0"/>
    <n v="136.42102"/>
    <n v="371"/>
    <n v="50612.198420000001"/>
  </r>
  <r>
    <n v="286"/>
    <x v="1"/>
    <x v="29"/>
    <n v="61964"/>
    <n v="45379"/>
    <s v="Knnd Associates Pvt Ltd"/>
    <s v="Motherhood Hospital Sarjapura"/>
    <x v="1"/>
    <s v="Insu Supreme Acou. 15mm"/>
    <x v="0"/>
    <n v="7.6"/>
    <n v="820"/>
    <n v="6232"/>
  </r>
  <r>
    <n v="287"/>
    <x v="1"/>
    <x v="29"/>
    <n v="61964"/>
    <n v="45379"/>
    <s v="Knnd Associates Pvt Ltd"/>
    <s v="Motherhood Hospital Sarjapura"/>
    <x v="27"/>
    <s v="120gsm 24G"/>
    <x v="1"/>
    <n v="9"/>
    <n v="416"/>
    <n v="3744"/>
  </r>
  <r>
    <n v="288"/>
    <x v="1"/>
    <x v="29"/>
    <n v="61964"/>
    <n v="45379"/>
    <s v="Knnd Associates Pvt Ltd"/>
    <s v="Motherhood Hospital Sarjapura"/>
    <x v="2"/>
    <s v="Polythene wrapping"/>
    <x v="0"/>
    <n v="150"/>
    <n v="20"/>
    <n v="3000"/>
  </r>
  <r>
    <n v="289"/>
    <x v="1"/>
    <x v="30"/>
    <n v="61930"/>
    <n v="45380"/>
    <s v="Knnd Associates Pvt Ltd"/>
    <s v="Blackstone COE India Pvt Ltd Bangalore"/>
    <x v="28"/>
    <s v="Cleats"/>
    <x v="1"/>
    <n v="2500"/>
    <n v="8"/>
    <n v="20000"/>
  </r>
  <r>
    <n v="290"/>
    <x v="1"/>
    <x v="30"/>
    <n v="61930"/>
    <n v="45380"/>
    <s v="Knnd Associates Pvt Ltd"/>
    <s v="Blackstone COE India Pvt Ltd Bangalore"/>
    <x v="13"/>
    <s v="Gasket"/>
    <x v="2"/>
    <n v="500"/>
    <n v="5"/>
    <n v="2500"/>
  </r>
  <r>
    <n v="291"/>
    <x v="1"/>
    <x v="31"/>
    <n v="61965"/>
    <n v="45381"/>
    <s v="Knnd Associates Pvt Ltd"/>
    <s v="IISC Medical School Foundation Bangalore"/>
    <x v="0"/>
    <s v="120gsm 24G"/>
    <x v="0"/>
    <n v="411.4"/>
    <n v="670"/>
    <n v="275638"/>
  </r>
  <r>
    <n v="292"/>
    <x v="1"/>
    <x v="31"/>
    <n v="61965"/>
    <n v="45381"/>
    <s v="Knnd Associates Pvt Ltd"/>
    <s v="IISC Medical School Foundation Bangalore"/>
    <x v="0"/>
    <s v="120gsm 22G"/>
    <x v="0"/>
    <n v="183.6"/>
    <n v="868"/>
    <n v="159364.79999999999"/>
  </r>
  <r>
    <n v="293"/>
    <x v="1"/>
    <x v="31"/>
    <n v="61965"/>
    <n v="45381"/>
    <s v="Knnd Associates Pvt Ltd"/>
    <s v="IISC Medical School Foundation Bangalore"/>
    <x v="1"/>
    <s v="Insu Armaflex Thermal 19mm"/>
    <x v="0"/>
    <n v="595"/>
    <n v="441"/>
    <n v="262395"/>
  </r>
  <r>
    <n v="294"/>
    <x v="1"/>
    <x v="31"/>
    <n v="61965"/>
    <n v="45381"/>
    <s v="Knnd Associates Pvt Ltd"/>
    <s v="IISC Medical School Foundation Bangalore"/>
    <x v="2"/>
    <s v="Polythene wrapping"/>
    <x v="0"/>
    <n v="650"/>
    <n v="20"/>
    <n v="13000"/>
  </r>
  <r>
    <n v="295"/>
    <x v="1"/>
    <x v="32"/>
    <n v="61967"/>
    <n v="45382"/>
    <s v="Knnd Associates Pvt Ltd"/>
    <s v="AIIMS Hospital Madurai"/>
    <x v="0"/>
    <s v="120gsm 24G"/>
    <x v="0"/>
    <n v="87"/>
    <n v="670"/>
    <n v="58290"/>
  </r>
  <r>
    <n v="296"/>
    <x v="1"/>
    <x v="32"/>
    <n v="61967"/>
    <n v="45382"/>
    <s v="Knnd Associates Pvt Ltd"/>
    <s v="AIIMS Hospital Madurai"/>
    <x v="0"/>
    <s v="120gsm 22G"/>
    <x v="0"/>
    <n v="198.4"/>
    <n v="868"/>
    <n v="172211.20000000001"/>
  </r>
  <r>
    <n v="297"/>
    <x v="1"/>
    <x v="32"/>
    <n v="61967"/>
    <n v="45382"/>
    <s v="Knnd Associates Pvt Ltd"/>
    <s v="AIIMS Hospital Madurai"/>
    <x v="0"/>
    <s v="120gsm 20G"/>
    <x v="0"/>
    <n v="4.9000000000000004"/>
    <n v="1060"/>
    <n v="5194"/>
  </r>
  <r>
    <n v="298"/>
    <x v="1"/>
    <x v="32"/>
    <n v="61967"/>
    <n v="45382"/>
    <s v="Knnd Associates Pvt Ltd"/>
    <s v="AIIMS Hospital Madurai"/>
    <x v="1"/>
    <s v="Insu Kflex Acou. 10mm"/>
    <x v="0"/>
    <n v="290.3"/>
    <n v="755"/>
    <n v="219176.5"/>
  </r>
  <r>
    <n v="299"/>
    <x v="1"/>
    <x v="32"/>
    <n v="61967"/>
    <n v="45382"/>
    <s v="Knnd Associates Pvt Ltd"/>
    <s v="AIIMS Hospital Madurai"/>
    <x v="14"/>
    <s v="120gsm 24G"/>
    <x v="0"/>
    <n v="150"/>
    <n v="495"/>
    <n v="74250"/>
  </r>
  <r>
    <n v="300"/>
    <x v="1"/>
    <x v="32"/>
    <n v="61967"/>
    <n v="45382"/>
    <s v="Knnd Associates Pvt Ltd"/>
    <s v="AIIMS Hospital Madurai"/>
    <x v="29"/>
    <s v="Corners"/>
    <x v="1"/>
    <n v="200"/>
    <n v="10"/>
    <n v="2000"/>
  </r>
  <r>
    <n v="301"/>
    <x v="1"/>
    <x v="32"/>
    <n v="61967"/>
    <n v="45382"/>
    <s v="Knnd Associates Pvt Ltd"/>
    <s v="AIIMS Hospital Madurai"/>
    <x v="28"/>
    <s v="Cleats"/>
    <x v="1"/>
    <n v="400"/>
    <n v="8"/>
    <n v="3200"/>
  </r>
  <r>
    <n v="302"/>
    <x v="1"/>
    <x v="32"/>
    <n v="61966"/>
    <n v="45383"/>
    <s v="Knnd Associates Pvt Ltd"/>
    <s v="Motherhood Hospital Coimabatore"/>
    <x v="0"/>
    <s v="120gsm 24G"/>
    <x v="0"/>
    <n v="159.5"/>
    <n v="670"/>
    <n v="106865"/>
  </r>
  <r>
    <n v="303"/>
    <x v="1"/>
    <x v="32"/>
    <n v="61966"/>
    <n v="45383"/>
    <s v="Knnd Associates Pvt Ltd"/>
    <s v="Motherhood Hospital Coimabatore"/>
    <x v="0"/>
    <s v="120gsm 22G"/>
    <x v="0"/>
    <n v="163.19999999999999"/>
    <n v="868"/>
    <n v="141657.59999999998"/>
  </r>
  <r>
    <n v="304"/>
    <x v="1"/>
    <x v="32"/>
    <n v="61966"/>
    <n v="45383"/>
    <s v="Knnd Associates Pvt Ltd"/>
    <s v="Motherhood Hospital Coimabatore"/>
    <x v="8"/>
    <s v="120gsm 20G"/>
    <x v="0"/>
    <n v="1"/>
    <n v="5200"/>
    <n v="5200"/>
  </r>
  <r>
    <n v="305"/>
    <x v="1"/>
    <x v="32"/>
    <n v="61966"/>
    <n v="45383"/>
    <s v="Knnd Associates Pvt Ltd"/>
    <s v="Motherhood Hospital Coimabatore"/>
    <x v="1"/>
    <s v="Insu Kflex Thermal 13mm Al. Foil"/>
    <x v="0"/>
    <n v="40.799999999999997"/>
    <n v="415"/>
    <n v="16932"/>
  </r>
  <r>
    <n v="306"/>
    <x v="1"/>
    <x v="32"/>
    <n v="61966"/>
    <n v="45383"/>
    <s v="Knnd Associates Pvt Ltd"/>
    <s v="Motherhood Hospital Coimabatore"/>
    <x v="1"/>
    <s v="Insu Kflex Thermal 19mm Al. Foil"/>
    <x v="0"/>
    <n v="56.8"/>
    <n v="465"/>
    <n v="26412"/>
  </r>
  <r>
    <n v="307"/>
    <x v="1"/>
    <x v="32"/>
    <n v="61966"/>
    <n v="45383"/>
    <s v="Knnd Associates Pvt Ltd"/>
    <s v="Motherhood Hospital Coimabatore"/>
    <x v="1"/>
    <s v="Insu Kflex Acou. 15mm"/>
    <x v="0"/>
    <n v="10.5"/>
    <n v="820"/>
    <n v="8610"/>
  </r>
  <r>
    <n v="308"/>
    <x v="1"/>
    <x v="32"/>
    <n v="61966"/>
    <n v="45383"/>
    <s v="Knnd Associates Pvt Ltd"/>
    <s v="Motherhood Hospital Coimabatore"/>
    <x v="14"/>
    <s v="120gsm 24G"/>
    <x v="0"/>
    <n v="15"/>
    <n v="495"/>
    <n v="7425"/>
  </r>
  <r>
    <n v="309"/>
    <x v="1"/>
    <x v="32"/>
    <n v="61966"/>
    <n v="45383"/>
    <s v="Knnd Associates Pvt Ltd"/>
    <s v="Motherhood Hospital Coimabatore"/>
    <x v="15"/>
    <s v="Insu Kflex Thermal 13mm Al. Foil"/>
    <x v="0"/>
    <n v="25"/>
    <n v="251"/>
    <n v="6275"/>
  </r>
  <r>
    <n v="310"/>
    <x v="1"/>
    <x v="32"/>
    <n v="61966"/>
    <n v="45383"/>
    <s v="Knnd Associates Pvt Ltd"/>
    <s v="Motherhood Hospital Coimabatore"/>
    <x v="1"/>
    <s v="Insu Kflex Thermal 19mm Al. Foil"/>
    <x v="0"/>
    <n v="36"/>
    <n v="300"/>
    <n v="10800"/>
  </r>
  <r>
    <n v="311"/>
    <x v="1"/>
    <x v="32"/>
    <n v="61966"/>
    <n v="45383"/>
    <s v="Knnd Associates Pvt Ltd"/>
    <s v="Motherhood Hospital Coimabatore"/>
    <x v="29"/>
    <s v="Corners"/>
    <x v="1"/>
    <n v="100"/>
    <n v="10"/>
    <n v="1000"/>
  </r>
  <r>
    <n v="312"/>
    <x v="1"/>
    <x v="32"/>
    <n v="61966"/>
    <n v="45383"/>
    <s v="Knnd Associates Pvt Ltd"/>
    <s v="Motherhood Hospital Coimabatore"/>
    <x v="28"/>
    <s v="Cleats"/>
    <x v="1"/>
    <n v="100"/>
    <n v="8"/>
    <n v="800"/>
  </r>
  <r>
    <n v="313"/>
    <x v="1"/>
    <x v="32"/>
    <n v="61966"/>
    <n v="45383"/>
    <s v="Knnd Associates Pvt Ltd"/>
    <s v="Motherhood Hospital Coimabatore"/>
    <x v="2"/>
    <s v="Polythene wrapping"/>
    <x v="0"/>
    <n v="120"/>
    <n v="20"/>
    <n v="2400"/>
  </r>
  <r>
    <n v="314"/>
    <x v="1"/>
    <x v="33"/>
    <n v="61964"/>
    <n v="45384"/>
    <s v="Knnd Associates Pvt Ltd"/>
    <s v="Motherhood Hospital Sarjapura"/>
    <x v="0"/>
    <s v="120gsm 24G"/>
    <x v="0"/>
    <n v="196"/>
    <n v="670"/>
    <n v="131320"/>
  </r>
  <r>
    <n v="315"/>
    <x v="1"/>
    <x v="33"/>
    <n v="61964"/>
    <n v="45384"/>
    <s v="Knnd Associates Pvt Ltd"/>
    <s v="Motherhood Hospital Sarjapura"/>
    <x v="1"/>
    <s v="Insu Supreme Thermal 13mm"/>
    <x v="0"/>
    <n v="111.6"/>
    <n v="371"/>
    <n v="41403.599999999999"/>
  </r>
  <r>
    <n v="316"/>
    <x v="1"/>
    <x v="33"/>
    <n v="61964"/>
    <n v="45384"/>
    <s v="Knnd Associates Pvt Ltd"/>
    <s v="Motherhood Hospital Sarjapura"/>
    <x v="2"/>
    <s v="Polythene wrapping"/>
    <x v="0"/>
    <n v="130"/>
    <n v="20"/>
    <n v="2600"/>
  </r>
  <r>
    <n v="317"/>
    <x v="1"/>
    <x v="33"/>
    <n v="61968"/>
    <n v="45385"/>
    <s v="Knnd Associates Pvt Ltd"/>
    <s v="Chanakya University HB-3A Bangalore"/>
    <x v="30"/>
    <s v="120gsm Slit 24G"/>
    <x v="0"/>
    <n v="136"/>
    <n v="620"/>
    <n v="84320"/>
  </r>
  <r>
    <n v="318"/>
    <x v="1"/>
    <x v="33"/>
    <n v="61968"/>
    <n v="45385"/>
    <s v="Knnd Associates Pvt Ltd"/>
    <s v="Chanakya University HB-3A Bangalore"/>
    <x v="31"/>
    <s v="120gsm 24G"/>
    <x v="1"/>
    <n v="105"/>
    <n v="378"/>
    <n v="39690"/>
  </r>
  <r>
    <n v="319"/>
    <x v="1"/>
    <x v="33"/>
    <n v="61968"/>
    <n v="45385"/>
    <s v="Knnd Associates Pvt Ltd"/>
    <s v="Chanakya University HB-3A Bangalore"/>
    <x v="32"/>
    <s v="120gsm 24G"/>
    <x v="1"/>
    <n v="33"/>
    <n v="355"/>
    <n v="11715"/>
  </r>
  <r>
    <n v="320"/>
    <x v="1"/>
    <x v="34"/>
    <n v="61965"/>
    <n v="45386"/>
    <s v="Knnd Associates Pvt Ltd"/>
    <s v="IISC Medical School Foundation Bangalore"/>
    <x v="0"/>
    <s v="120gsm 24G"/>
    <x v="0"/>
    <n v="198.4"/>
    <n v="670"/>
    <n v="132928"/>
  </r>
  <r>
    <n v="321"/>
    <x v="1"/>
    <x v="34"/>
    <n v="61965"/>
    <n v="45386"/>
    <s v="Knnd Associates Pvt Ltd"/>
    <s v="IISC Medical School Foundation Bangalore"/>
    <x v="0"/>
    <s v="120gsm 22G"/>
    <x v="0"/>
    <n v="158.30000000000001"/>
    <n v="868"/>
    <n v="137404.40000000002"/>
  </r>
  <r>
    <n v="322"/>
    <x v="1"/>
    <x v="34"/>
    <n v="61965"/>
    <n v="45386"/>
    <s v="Knnd Associates Pvt Ltd"/>
    <s v="IISC Medical School Foundation Bangalore"/>
    <x v="30"/>
    <s v="120gsm Slit 24G"/>
    <x v="0"/>
    <n v="133.9"/>
    <n v="620"/>
    <n v="83018"/>
  </r>
  <r>
    <n v="323"/>
    <x v="1"/>
    <x v="34"/>
    <n v="61965"/>
    <n v="45386"/>
    <s v="Knnd Associates Pvt Ltd"/>
    <s v="IISC Medical School Foundation Bangalore"/>
    <x v="33"/>
    <s v="120gsm 24G"/>
    <x v="1"/>
    <n v="59"/>
    <n v="70"/>
    <n v="4130"/>
  </r>
  <r>
    <n v="324"/>
    <x v="1"/>
    <x v="34"/>
    <n v="61965"/>
    <n v="45386"/>
    <s v="Knnd Associates Pvt Ltd"/>
    <s v="IISC Medical School Foundation Bangalore"/>
    <x v="1"/>
    <s v="Insu Armaflex Thermal 19mm"/>
    <x v="0"/>
    <n v="360.2"/>
    <n v="441"/>
    <n v="158848.19999999998"/>
  </r>
  <r>
    <n v="325"/>
    <x v="1"/>
    <x v="34"/>
    <n v="61965"/>
    <n v="45386"/>
    <s v="Knnd Associates Pvt Ltd"/>
    <s v="IISC Medical School Foundation Bangalore"/>
    <x v="1"/>
    <s v="Insu Armasound Acou. 15mm"/>
    <x v="0"/>
    <n v="55.6"/>
    <n v="838"/>
    <n v="46592.800000000003"/>
  </r>
  <r>
    <n v="326"/>
    <x v="1"/>
    <x v="34"/>
    <n v="61965"/>
    <n v="45386"/>
    <s v="Knnd Associates Pvt Ltd"/>
    <s v="IISC Medical School Foundation Bangalore"/>
    <x v="34"/>
    <s v="Tape"/>
    <x v="1"/>
    <n v="90"/>
    <n v="198"/>
    <n v="17820"/>
  </r>
  <r>
    <n v="327"/>
    <x v="1"/>
    <x v="34"/>
    <n v="61965"/>
    <n v="45386"/>
    <s v="Knnd Associates Pvt Ltd"/>
    <s v="IISC Medical School Foundation Bangalore"/>
    <x v="2"/>
    <s v="Polythene wrapping"/>
    <x v="0"/>
    <n v="400"/>
    <n v="20"/>
    <n v="8000"/>
  </r>
  <r>
    <n v="328"/>
    <x v="1"/>
    <x v="35"/>
    <n v="61969"/>
    <n v="45387"/>
    <s v="Knnd Associates Pvt Ltd"/>
    <s v="Yenopoya University Bangalore"/>
    <x v="35"/>
    <s v="120gsm 24G"/>
    <x v="0"/>
    <n v="22.3"/>
    <n v="625"/>
    <n v="13937.5"/>
  </r>
  <r>
    <n v="329"/>
    <x v="1"/>
    <x v="35"/>
    <n v="61969"/>
    <n v="45387"/>
    <s v="Knnd Associates Pvt Ltd"/>
    <s v="Yenopoya University Bangalore"/>
    <x v="36"/>
    <s v="120gsm Slit 22G"/>
    <x v="0"/>
    <n v="1.4"/>
    <n v="770"/>
    <n v="1078"/>
  </r>
  <r>
    <n v="330"/>
    <x v="1"/>
    <x v="35"/>
    <n v="61969"/>
    <n v="45387"/>
    <s v="Knnd Associates Pvt Ltd"/>
    <s v="Yenopoya University Bangalore"/>
    <x v="0"/>
    <s v="120gsm 24G"/>
    <x v="0"/>
    <n v="7.2"/>
    <n v="670"/>
    <n v="4824"/>
  </r>
  <r>
    <n v="331"/>
    <x v="1"/>
    <x v="35"/>
    <n v="61969"/>
    <n v="45387"/>
    <s v="Knnd Associates Pvt Ltd"/>
    <s v="Yenopoya University Bangalore"/>
    <x v="1"/>
    <s v="Insu Kflex Thermal 9mm"/>
    <x v="0"/>
    <n v="22.3"/>
    <n v="281"/>
    <n v="6266.3"/>
  </r>
  <r>
    <n v="332"/>
    <x v="1"/>
    <x v="35"/>
    <n v="61969"/>
    <n v="45387"/>
    <s v="Knnd Associates Pvt Ltd"/>
    <s v="Yenopoya University Bangalore"/>
    <x v="1"/>
    <s v="Insu Kflex Acou. 10mm"/>
    <x v="0"/>
    <n v="7.2"/>
    <n v="755"/>
    <n v="5436"/>
  </r>
  <r>
    <n v="333"/>
    <x v="1"/>
    <x v="35"/>
    <n v="61969"/>
    <n v="45387"/>
    <s v="Knnd Associates Pvt Ltd"/>
    <s v="Yenopoya University Bangalore"/>
    <x v="2"/>
    <s v="Polythene wrapping"/>
    <x v="0"/>
    <n v="30"/>
    <n v="20"/>
    <n v="600"/>
  </r>
  <r>
    <n v="334"/>
    <x v="1"/>
    <x v="35"/>
    <n v="61964"/>
    <n v="45388"/>
    <s v="Knnd Associates Pvt Ltd"/>
    <s v="Motherhood Hospital Sarjapura"/>
    <x v="0"/>
    <s v="120gsm 24G"/>
    <x v="0"/>
    <n v="206.9"/>
    <n v="670"/>
    <n v="138623"/>
  </r>
  <r>
    <n v="335"/>
    <x v="1"/>
    <x v="35"/>
    <n v="61964"/>
    <n v="45388"/>
    <s v="Knnd Associates Pvt Ltd"/>
    <s v="Motherhood Hospital Sarjapura"/>
    <x v="0"/>
    <s v="120gsm 22G"/>
    <x v="0"/>
    <n v="12.5"/>
    <n v="868"/>
    <n v="10850"/>
  </r>
  <r>
    <n v="336"/>
    <x v="1"/>
    <x v="35"/>
    <n v="61964"/>
    <n v="45388"/>
    <s v="Knnd Associates Pvt Ltd"/>
    <s v="Motherhood Hospital Sarjapura"/>
    <x v="8"/>
    <s v="120gsm 20G"/>
    <x v="0"/>
    <n v="4.2"/>
    <n v="5200"/>
    <n v="21840"/>
  </r>
  <r>
    <n v="337"/>
    <x v="1"/>
    <x v="35"/>
    <n v="61964"/>
    <n v="45388"/>
    <s v="Knnd Associates Pvt Ltd"/>
    <s v="Motherhood Hospital Sarjapura"/>
    <x v="1"/>
    <s v="Insu Supreme Thermal 13mm"/>
    <x v="0"/>
    <n v="185.38680000000002"/>
    <n v="371"/>
    <n v="68778.502800000002"/>
  </r>
  <r>
    <n v="338"/>
    <x v="1"/>
    <x v="35"/>
    <n v="61964"/>
    <n v="45388"/>
    <s v="Knnd Associates Pvt Ltd"/>
    <s v="Motherhood Hospital Sarjapura"/>
    <x v="1"/>
    <s v="Insu Supreme Acou. 15mm"/>
    <x v="0"/>
    <n v="15.5"/>
    <n v="820"/>
    <n v="12710"/>
  </r>
  <r>
    <n v="339"/>
    <x v="1"/>
    <x v="35"/>
    <n v="61964"/>
    <n v="45388"/>
    <s v="Knnd Associates Pvt Ltd"/>
    <s v="Motherhood Hospital Sarjapura"/>
    <x v="37"/>
    <s v="120gsm 24G"/>
    <x v="1"/>
    <n v="24"/>
    <n v="648"/>
    <n v="15552"/>
  </r>
  <r>
    <n v="340"/>
    <x v="1"/>
    <x v="35"/>
    <n v="61964"/>
    <n v="45388"/>
    <s v="Knnd Associates Pvt Ltd"/>
    <s v="Motherhood Hospital Sarjapura"/>
    <x v="38"/>
    <s v="120gsm 24G"/>
    <x v="1"/>
    <n v="2"/>
    <n v="505"/>
    <n v="1010"/>
  </r>
  <r>
    <n v="341"/>
    <x v="1"/>
    <x v="35"/>
    <n v="61964"/>
    <n v="45388"/>
    <s v="Knnd Associates Pvt Ltd"/>
    <s v="Motherhood Hospital Sarjapura"/>
    <x v="39"/>
    <s v="120gsm 24G"/>
    <x v="1"/>
    <n v="18"/>
    <n v="556"/>
    <n v="10008"/>
  </r>
  <r>
    <n v="342"/>
    <x v="1"/>
    <x v="35"/>
    <n v="61964"/>
    <n v="45388"/>
    <s v="Knnd Associates Pvt Ltd"/>
    <s v="Motherhood Hospital Sarjapura"/>
    <x v="40"/>
    <s v="120gsm 22G"/>
    <x v="1"/>
    <n v="101"/>
    <n v="385"/>
    <n v="38885"/>
  </r>
  <r>
    <n v="343"/>
    <x v="1"/>
    <x v="35"/>
    <n v="61964"/>
    <n v="45388"/>
    <s v="Knnd Associates Pvt Ltd"/>
    <s v="Motherhood Hospital Sarjapura"/>
    <x v="17"/>
    <s v="120gsm 22G"/>
    <x v="1"/>
    <n v="17"/>
    <n v="440"/>
    <n v="7480"/>
  </r>
  <r>
    <n v="344"/>
    <x v="1"/>
    <x v="35"/>
    <n v="61964"/>
    <n v="45388"/>
    <s v="Knnd Associates Pvt Ltd"/>
    <s v="Motherhood Hospital Sarjapura"/>
    <x v="15"/>
    <s v="Insu Supreme Thermal 13mm"/>
    <x v="0"/>
    <n v="33.6"/>
    <n v="212"/>
    <n v="7123.2000000000007"/>
  </r>
  <r>
    <n v="345"/>
    <x v="1"/>
    <x v="35"/>
    <n v="61964"/>
    <n v="45388"/>
    <s v="Knnd Associates Pvt Ltd"/>
    <s v="Motherhood Hospital Sarjapura"/>
    <x v="2"/>
    <s v="Polythene wrapping"/>
    <x v="0"/>
    <n v="170"/>
    <n v="20"/>
    <n v="3400"/>
  </r>
  <r>
    <n v="346"/>
    <x v="1"/>
    <x v="35"/>
    <n v="61930"/>
    <n v="45389"/>
    <s v="Knnd Associates Pvt Ltd"/>
    <s v="Blackstone COE India Pvt Ltd Bangalore"/>
    <x v="13"/>
    <s v="Gasket"/>
    <x v="2"/>
    <n v="1000"/>
    <n v="5"/>
    <n v="5000"/>
  </r>
  <r>
    <n v="347"/>
    <x v="1"/>
    <x v="36"/>
    <n v="61971"/>
    <n v="45390"/>
    <s v="Knnd Associates Pvt Ltd"/>
    <s v="Rajleela Ventures LLP Bangalore"/>
    <x v="14"/>
    <s v="120gsm 24G"/>
    <x v="0"/>
    <n v="30"/>
    <n v="495"/>
    <n v="14850"/>
  </r>
  <r>
    <n v="348"/>
    <x v="1"/>
    <x v="36"/>
    <n v="61970"/>
    <n v="45391"/>
    <s v="Knnd Associates Pvt Ltd"/>
    <s v="Central Market Mangalore"/>
    <x v="0"/>
    <s v="120gsm 24G"/>
    <x v="0"/>
    <n v="47.5"/>
    <n v="670"/>
    <n v="31825"/>
  </r>
  <r>
    <n v="349"/>
    <x v="1"/>
    <x v="36"/>
    <n v="61970"/>
    <n v="45391"/>
    <s v="Knnd Associates Pvt Ltd"/>
    <s v="Central Market Mangalore"/>
    <x v="0"/>
    <s v="120gsm 22G"/>
    <x v="0"/>
    <n v="9"/>
    <n v="868"/>
    <n v="7812"/>
  </r>
  <r>
    <n v="350"/>
    <x v="1"/>
    <x v="36"/>
    <n v="61970"/>
    <n v="45391"/>
    <s v="Knnd Associates Pvt Ltd"/>
    <s v="Central Market Mangalore"/>
    <x v="0"/>
    <s v="120gsm 20G"/>
    <x v="0"/>
    <n v="30.1"/>
    <n v="1060"/>
    <n v="31906"/>
  </r>
  <r>
    <n v="351"/>
    <x v="1"/>
    <x v="36"/>
    <n v="61970"/>
    <n v="45391"/>
    <s v="Knnd Associates Pvt Ltd"/>
    <s v="Central Market Mangalore"/>
    <x v="0"/>
    <s v="Alu. 0.8mm"/>
    <x v="0"/>
    <n v="6.8"/>
    <n v="1269"/>
    <n v="8629.1999999999989"/>
  </r>
  <r>
    <n v="352"/>
    <x v="1"/>
    <x v="37"/>
    <n v="61974"/>
    <n v="45392"/>
    <s v="Knnd Associates Pvt Ltd"/>
    <s v="Minto Hospital Bangalore"/>
    <x v="0"/>
    <s v="Alu. 0.8mm"/>
    <x v="0"/>
    <n v="176.3"/>
    <n v="1269"/>
    <n v="223724.7"/>
  </r>
  <r>
    <n v="353"/>
    <x v="1"/>
    <x v="37"/>
    <n v="61974"/>
    <n v="45392"/>
    <s v="Knnd Associates Pvt Ltd"/>
    <s v="Minto Hospital Bangalore"/>
    <x v="1"/>
    <s v="Insu Supreme Thermal 13mm Al. Foil"/>
    <x v="0"/>
    <n v="35.299999999999997"/>
    <n v="388"/>
    <n v="13696.4"/>
  </r>
  <r>
    <n v="354"/>
    <x v="1"/>
    <x v="37"/>
    <n v="61974"/>
    <n v="45392"/>
    <s v="Knnd Associates Pvt Ltd"/>
    <s v="Minto Hospital Bangalore"/>
    <x v="1"/>
    <s v="Insu Supreme Thermal 19mm Al. Foil"/>
    <x v="0"/>
    <n v="43.7"/>
    <n v="476"/>
    <n v="20801.2"/>
  </r>
  <r>
    <n v="355"/>
    <x v="1"/>
    <x v="37"/>
    <n v="61974"/>
    <n v="45392"/>
    <s v="Knnd Associates Pvt Ltd"/>
    <s v="Minto Hospital Bangalore"/>
    <x v="1"/>
    <s v="Insu Supreme Thermal 13mm Glass Cloth"/>
    <x v="0"/>
    <n v="60.2"/>
    <n v="507"/>
    <n v="30521.4"/>
  </r>
  <r>
    <n v="356"/>
    <x v="1"/>
    <x v="37"/>
    <n v="61974"/>
    <n v="45392"/>
    <s v="Knnd Associates Pvt Ltd"/>
    <s v="Minto Hospital Bangalore"/>
    <x v="1"/>
    <s v="Insu Supreme Thermal 19mm Glass Cloth"/>
    <x v="0"/>
    <n v="37.1"/>
    <n v="594"/>
    <n v="22037.4"/>
  </r>
  <r>
    <n v="357"/>
    <x v="1"/>
    <x v="37"/>
    <n v="61974"/>
    <n v="45392"/>
    <s v="Knnd Associates Pvt Ltd"/>
    <s v="Minto Hospital Bangalore"/>
    <x v="14"/>
    <s v="Alu. 0.8mm"/>
    <x v="0"/>
    <n v="18"/>
    <n v="950"/>
    <n v="17100"/>
  </r>
  <r>
    <n v="358"/>
    <x v="1"/>
    <x v="37"/>
    <n v="61974"/>
    <n v="45393"/>
    <s v="Knnd Associates Pvt Ltd"/>
    <s v="Minto Hospital Bangalore"/>
    <x v="0"/>
    <s v="Alu. 0.8mm"/>
    <x v="0"/>
    <n v="11.5"/>
    <n v="1269"/>
    <n v="14593.5"/>
  </r>
  <r>
    <n v="359"/>
    <x v="1"/>
    <x v="37"/>
    <n v="61974"/>
    <n v="45393"/>
    <s v="Knnd Associates Pvt Ltd"/>
    <s v="Minto Hospital Bangalore"/>
    <x v="1"/>
    <s v="Insu Supreme Thermal 13mm Al. Foil"/>
    <x v="0"/>
    <n v="11.5"/>
    <n v="388"/>
    <n v="4462"/>
  </r>
  <r>
    <n v="360"/>
    <x v="1"/>
    <x v="37"/>
    <n v="61974"/>
    <n v="45393"/>
    <s v="Knnd Associates Pvt Ltd"/>
    <s v="Minto Hospital Bangalore"/>
    <x v="15"/>
    <s v="Insu Supreme Thermal 13mm Al. Foil"/>
    <x v="0"/>
    <n v="33.6"/>
    <n v="250"/>
    <n v="8400"/>
  </r>
  <r>
    <n v="361"/>
    <x v="1"/>
    <x v="37"/>
    <n v="61974"/>
    <n v="45393"/>
    <s v="Knnd Associates Pvt Ltd"/>
    <s v="Minto Hospital Bangalore"/>
    <x v="15"/>
    <s v="Insu Supreme Thermal 13mm Glass Cloth"/>
    <x v="0"/>
    <n v="33.6"/>
    <n v="360"/>
    <n v="12096"/>
  </r>
  <r>
    <n v="362"/>
    <x v="1"/>
    <x v="37"/>
    <n v="61974"/>
    <n v="45393"/>
    <s v="Knnd Associates Pvt Ltd"/>
    <s v="Minto Hospital Bangalore"/>
    <x v="8"/>
    <s v="Alu. 1.0mm"/>
    <x v="0"/>
    <n v="0.8"/>
    <n v="6200"/>
    <n v="4960"/>
  </r>
  <r>
    <n v="363"/>
    <x v="1"/>
    <x v="37"/>
    <n v="61975"/>
    <n v="45394"/>
    <s v="Knnd Associates Pvt Ltd"/>
    <s v="Cheluvamba Hospital Mysore"/>
    <x v="0"/>
    <s v="Alu. 0.8mm"/>
    <x v="0"/>
    <n v="92.8"/>
    <n v="1269"/>
    <n v="117763.2"/>
  </r>
  <r>
    <n v="364"/>
    <x v="1"/>
    <x v="37"/>
    <n v="61975"/>
    <n v="45394"/>
    <s v="Knnd Associates Pvt Ltd"/>
    <s v="Cheluvamba Hospital Mysore"/>
    <x v="1"/>
    <s v="Insu Supreme Thermal 13mm Al. Foil"/>
    <x v="0"/>
    <n v="21.6"/>
    <n v="388"/>
    <n v="8380.8000000000011"/>
  </r>
  <r>
    <n v="365"/>
    <x v="1"/>
    <x v="37"/>
    <n v="61975"/>
    <n v="45394"/>
    <s v="Knnd Associates Pvt Ltd"/>
    <s v="Cheluvamba Hospital Mysore"/>
    <x v="1"/>
    <s v="Insu Supreme Thermal 19mm Al. Foil"/>
    <x v="0"/>
    <n v="16.899999999999999"/>
    <n v="476"/>
    <n v="8044.4"/>
  </r>
  <r>
    <n v="366"/>
    <x v="1"/>
    <x v="37"/>
    <n v="61975"/>
    <n v="45394"/>
    <s v="Knnd Associates Pvt Ltd"/>
    <s v="Cheluvamba Hospital Mysore"/>
    <x v="1"/>
    <s v="Insu Supreme Thermal 13mm Glass Cloth"/>
    <x v="0"/>
    <n v="31.8"/>
    <n v="507"/>
    <n v="16122.6"/>
  </r>
  <r>
    <n v="367"/>
    <x v="1"/>
    <x v="37"/>
    <n v="61975"/>
    <n v="45394"/>
    <s v="Knnd Associates Pvt Ltd"/>
    <s v="Cheluvamba Hospital Mysore"/>
    <x v="1"/>
    <s v="Insu Supreme Thermal 19mm Glass Cloth"/>
    <x v="0"/>
    <n v="22.5"/>
    <n v="594"/>
    <n v="13365"/>
  </r>
  <r>
    <n v="368"/>
    <x v="1"/>
    <x v="37"/>
    <n v="61975"/>
    <n v="45394"/>
    <s v="Knnd Associates Pvt Ltd"/>
    <s v="Cheluvamba Hospital Mysore"/>
    <x v="15"/>
    <s v="Insu Supreme Thermal 13mm Al. Foil"/>
    <x v="0"/>
    <n v="16.8"/>
    <n v="250"/>
    <n v="4200"/>
  </r>
  <r>
    <n v="369"/>
    <x v="1"/>
    <x v="37"/>
    <n v="61975"/>
    <n v="45394"/>
    <s v="Knnd Associates Pvt Ltd"/>
    <s v="Cheluvamba Hospital Mysore"/>
    <x v="15"/>
    <s v="Insu Supreme Thermal 13mm Glass Cloth"/>
    <x v="0"/>
    <n v="16.8"/>
    <n v="360"/>
    <n v="6048"/>
  </r>
  <r>
    <n v="370"/>
    <x v="1"/>
    <x v="37"/>
    <n v="61975"/>
    <n v="45394"/>
    <s v="Knnd Associates Pvt Ltd"/>
    <s v="Cheluvamba Hospital Mysore"/>
    <x v="14"/>
    <s v="Alu. 0.8mm"/>
    <x v="0"/>
    <n v="15"/>
    <n v="950"/>
    <n v="14250"/>
  </r>
  <r>
    <n v="371"/>
    <x v="1"/>
    <x v="37"/>
    <n v="61975"/>
    <n v="45394"/>
    <s v="Knnd Associates Pvt Ltd"/>
    <s v="Cheluvamba Hospital Mysore"/>
    <x v="8"/>
    <s v="Alu. 1.0mm"/>
    <x v="0"/>
    <n v="0.4"/>
    <n v="6200"/>
    <n v="2480"/>
  </r>
  <r>
    <n v="372"/>
    <x v="1"/>
    <x v="38"/>
    <n v="61973"/>
    <n v="45395"/>
    <s v="Knnd Associates Pvt Ltd"/>
    <s v="Torishima Pumps Pvt Ltd Hoskote"/>
    <x v="0"/>
    <s v="120gsm 24G"/>
    <x v="0"/>
    <n v="39.5"/>
    <n v="670"/>
    <n v="26465"/>
  </r>
  <r>
    <n v="373"/>
    <x v="1"/>
    <x v="38"/>
    <n v="61973"/>
    <n v="45395"/>
    <s v="Knnd Associates Pvt Ltd"/>
    <s v="Torishima Pumps Pvt Ltd Hoskote"/>
    <x v="8"/>
    <s v="120gsm 20G"/>
    <x v="0"/>
    <n v="0.4"/>
    <n v="5200"/>
    <n v="2080"/>
  </r>
  <r>
    <n v="374"/>
    <x v="1"/>
    <x v="38"/>
    <n v="61973"/>
    <n v="45395"/>
    <s v="Knnd Associates Pvt Ltd"/>
    <s v="Torishima Pumps Pvt Ltd Hoskote"/>
    <x v="40"/>
    <s v="120gsm 22G"/>
    <x v="1"/>
    <n v="18"/>
    <n v="385"/>
    <n v="6930"/>
  </r>
  <r>
    <n v="375"/>
    <x v="1"/>
    <x v="38"/>
    <n v="61973"/>
    <n v="45395"/>
    <s v="Knnd Associates Pvt Ltd"/>
    <s v="Torishima Pumps Pvt Ltd Hoskote"/>
    <x v="14"/>
    <s v="120gsm 24G"/>
    <x v="0"/>
    <n v="6"/>
    <n v="495"/>
    <n v="2970"/>
  </r>
  <r>
    <n v="376"/>
    <x v="1"/>
    <x v="38"/>
    <n v="61967"/>
    <n v="45396"/>
    <s v="Knnd Associates Pvt Ltd"/>
    <s v="AIIMS Hospital Madurai"/>
    <x v="0"/>
    <s v="120gsm 24G"/>
    <x v="0"/>
    <n v="92.6"/>
    <n v="670"/>
    <n v="62041.999999999993"/>
  </r>
  <r>
    <n v="377"/>
    <x v="1"/>
    <x v="38"/>
    <n v="61967"/>
    <n v="45396"/>
    <s v="Knnd Associates Pvt Ltd"/>
    <s v="AIIMS Hospital Madurai"/>
    <x v="0"/>
    <s v="120gsm 22G"/>
    <x v="0"/>
    <n v="207.1"/>
    <n v="868"/>
    <n v="179762.8"/>
  </r>
  <r>
    <n v="378"/>
    <x v="1"/>
    <x v="38"/>
    <n v="61967"/>
    <n v="45396"/>
    <s v="Knnd Associates Pvt Ltd"/>
    <s v="AIIMS Hospital Madurai"/>
    <x v="0"/>
    <s v="120gsm 20G"/>
    <x v="0"/>
    <n v="37.1"/>
    <n v="1060"/>
    <n v="39326"/>
  </r>
  <r>
    <n v="379"/>
    <x v="1"/>
    <x v="38"/>
    <n v="61967"/>
    <n v="45396"/>
    <s v="Knnd Associates Pvt Ltd"/>
    <s v="AIIMS Hospital Madurai"/>
    <x v="1"/>
    <s v="Insu Kflex Thermal 13mm Al. Foil"/>
    <x v="0"/>
    <n v="242"/>
    <n v="415"/>
    <n v="100430"/>
  </r>
  <r>
    <n v="380"/>
    <x v="1"/>
    <x v="38"/>
    <n v="61967"/>
    <n v="45396"/>
    <s v="Knnd Associates Pvt Ltd"/>
    <s v="AIIMS Hospital Madurai"/>
    <x v="1"/>
    <s v="Insu Kflex Thermal 19mm Al. Foil"/>
    <x v="0"/>
    <n v="94.8"/>
    <n v="465"/>
    <n v="44082"/>
  </r>
  <r>
    <n v="381"/>
    <x v="1"/>
    <x v="38"/>
    <n v="61967"/>
    <n v="45396"/>
    <s v="Knnd Associates Pvt Ltd"/>
    <s v="AIIMS Hospital Madurai"/>
    <x v="15"/>
    <s v="Insu Kflex Thermal 13mm Al. Foil"/>
    <x v="0"/>
    <n v="100.8"/>
    <n v="251"/>
    <n v="25300.799999999999"/>
  </r>
  <r>
    <n v="382"/>
    <x v="1"/>
    <x v="38"/>
    <n v="61967"/>
    <n v="45396"/>
    <s v="Knnd Associates Pvt Ltd"/>
    <s v="AIIMS Hospital Madurai"/>
    <x v="14"/>
    <s v="120gsm 24G"/>
    <x v="0"/>
    <n v="30"/>
    <n v="495"/>
    <n v="14850"/>
  </r>
  <r>
    <n v="383"/>
    <x v="1"/>
    <x v="38"/>
    <n v="61967"/>
    <n v="45396"/>
    <s v="Knnd Associates Pvt Ltd"/>
    <s v="AIIMS Hospital Madurai"/>
    <x v="14"/>
    <s v="120gsm 22G"/>
    <x v="0"/>
    <n v="15"/>
    <n v="625"/>
    <n v="9375"/>
  </r>
  <r>
    <n v="384"/>
    <x v="1"/>
    <x v="38"/>
    <n v="61967"/>
    <n v="45396"/>
    <s v="Knnd Associates Pvt Ltd"/>
    <s v="AIIMS Hospital Madurai"/>
    <x v="2"/>
    <s v="Polythene wrapping"/>
    <x v="0"/>
    <n v="380"/>
    <n v="20"/>
    <n v="7600"/>
  </r>
  <r>
    <n v="385"/>
    <x v="1"/>
    <x v="39"/>
    <n v="61840"/>
    <n v="45397"/>
    <s v="Knnd Associates Pvt Ltd"/>
    <s v="Ginni Devi Goel Manipal Hospital Raipur"/>
    <x v="19"/>
    <s v="120gsm 26G"/>
    <x v="0"/>
    <n v="1152.5999999999999"/>
    <n v="475"/>
    <n v="547485"/>
  </r>
  <r>
    <n v="386"/>
    <x v="1"/>
    <x v="39"/>
    <n v="61840"/>
    <n v="45397"/>
    <s v="Knnd Associates Pvt Ltd"/>
    <s v="Ginni Devi Goel Manipal Hospital Raipur"/>
    <x v="19"/>
    <s v="120gsm 24G"/>
    <x v="0"/>
    <n v="103.7"/>
    <n v="525"/>
    <n v="54442.5"/>
  </r>
  <r>
    <n v="387"/>
    <x v="1"/>
    <x v="39"/>
    <n v="61840"/>
    <n v="45397"/>
    <s v="Knnd Associates Pvt Ltd"/>
    <s v="Ginni Devi Goel Manipal Hospital Raipur"/>
    <x v="19"/>
    <s v="120gsm 22G"/>
    <x v="0"/>
    <n v="87.6"/>
    <n v="685"/>
    <n v="60005.999999999993"/>
  </r>
  <r>
    <n v="388"/>
    <x v="1"/>
    <x v="39"/>
    <n v="61840"/>
    <n v="45397"/>
    <s v="Knnd Associates Pvt Ltd"/>
    <s v="Ginni Devi Goel Manipal Hospital Raipur"/>
    <x v="29"/>
    <s v="Corners"/>
    <x v="1"/>
    <n v="1000"/>
    <n v="10"/>
    <n v="10000"/>
  </r>
  <r>
    <n v="389"/>
    <x v="1"/>
    <x v="39"/>
    <n v="61840"/>
    <n v="45397"/>
    <s v="Knnd Associates Pvt Ltd"/>
    <s v="Ginni Devi Goel Manipal Hospital Raipur"/>
    <x v="3"/>
    <s v="Stretch Rolls"/>
    <x v="1"/>
    <n v="2"/>
    <n v="810"/>
    <n v="1620"/>
  </r>
  <r>
    <n v="390"/>
    <x v="1"/>
    <x v="40"/>
    <n v="61972"/>
    <n v="45398"/>
    <s v="Knnd Associates Pvt Ltd"/>
    <s v="Infosys Noida SDB-1"/>
    <x v="0"/>
    <s v="120gsm 24G"/>
    <x v="0"/>
    <n v="42.7"/>
    <n v="670"/>
    <n v="28609.000000000004"/>
  </r>
  <r>
    <n v="391"/>
    <x v="1"/>
    <x v="40"/>
    <n v="61972"/>
    <n v="45398"/>
    <s v="Knnd Associates Pvt Ltd"/>
    <s v="Infosys Noida SDB-1"/>
    <x v="0"/>
    <s v="120gsm 22G"/>
    <x v="0"/>
    <n v="99.9"/>
    <n v="868"/>
    <n v="86713.200000000012"/>
  </r>
  <r>
    <n v="392"/>
    <x v="1"/>
    <x v="40"/>
    <n v="61972"/>
    <n v="45398"/>
    <s v="Knnd Associates Pvt Ltd"/>
    <s v="Infosys Noida SDB-1"/>
    <x v="0"/>
    <s v="120gsm 20G"/>
    <x v="0"/>
    <n v="44.4"/>
    <n v="1060"/>
    <n v="47064"/>
  </r>
  <r>
    <n v="393"/>
    <x v="1"/>
    <x v="40"/>
    <n v="61972"/>
    <n v="45398"/>
    <s v="Knnd Associates Pvt Ltd"/>
    <s v="Infosys Noida SDB-1"/>
    <x v="30"/>
    <s v="120gsm Slit 24G"/>
    <x v="0"/>
    <n v="54.3"/>
    <n v="620"/>
    <n v="33666"/>
  </r>
  <r>
    <n v="394"/>
    <x v="1"/>
    <x v="40"/>
    <n v="61972"/>
    <n v="45398"/>
    <s v="Knnd Associates Pvt Ltd"/>
    <s v="Infosys Noida SDB-1"/>
    <x v="36"/>
    <s v="120gsm Slit 22G"/>
    <x v="0"/>
    <n v="2"/>
    <n v="770"/>
    <n v="1540"/>
  </r>
  <r>
    <n v="395"/>
    <x v="1"/>
    <x v="40"/>
    <n v="61972"/>
    <n v="45398"/>
    <s v="Knnd Associates Pvt Ltd"/>
    <s v="Infosys Noida SDB-1"/>
    <x v="1"/>
    <s v="Insu TB Thermal 13mm Al. Foil"/>
    <x v="0"/>
    <n v="60"/>
    <n v="703"/>
    <n v="42180"/>
  </r>
  <r>
    <n v="396"/>
    <x v="1"/>
    <x v="40"/>
    <n v="61972"/>
    <n v="45398"/>
    <s v="Knnd Associates Pvt Ltd"/>
    <s v="Infosys Noida SDB-1"/>
    <x v="1"/>
    <s v="Insu Armasound Acou. 15mm"/>
    <x v="0"/>
    <n v="10.3"/>
    <n v="838"/>
    <n v="8631.4000000000015"/>
  </r>
  <r>
    <n v="397"/>
    <x v="1"/>
    <x v="40"/>
    <n v="61972"/>
    <n v="45398"/>
    <s v="Knnd Associates Pvt Ltd"/>
    <s v="Infosys Noida SDB-1"/>
    <x v="41"/>
    <s v="120gsm 18G"/>
    <x v="1"/>
    <n v="4"/>
    <n v="1625"/>
    <n v="6500"/>
  </r>
  <r>
    <n v="398"/>
    <x v="1"/>
    <x v="40"/>
    <n v="61972"/>
    <n v="45398"/>
    <s v="Knnd Associates Pvt Ltd"/>
    <s v="Infosys Noida SDB-1"/>
    <x v="42"/>
    <s v="120gsm 18G"/>
    <x v="1"/>
    <n v="8"/>
    <n v="780"/>
    <n v="6240"/>
  </r>
  <r>
    <n v="399"/>
    <x v="1"/>
    <x v="40"/>
    <n v="61972"/>
    <n v="45398"/>
    <s v="Knnd Associates Pvt Ltd"/>
    <s v="Infosys Noida SDB-1"/>
    <x v="14"/>
    <s v="120gsm 24G"/>
    <x v="0"/>
    <n v="60"/>
    <n v="495"/>
    <n v="29700"/>
  </r>
  <r>
    <n v="400"/>
    <x v="1"/>
    <x v="40"/>
    <n v="61972"/>
    <n v="45398"/>
    <s v="Knnd Associates Pvt Ltd"/>
    <s v="Infosys Noida SDB-1"/>
    <x v="13"/>
    <s v="Gasket"/>
    <x v="2"/>
    <n v="500"/>
    <n v="8"/>
    <n v="4000"/>
  </r>
  <r>
    <n v="401"/>
    <x v="1"/>
    <x v="40"/>
    <n v="61768"/>
    <n v="45399"/>
    <s v="Camduct India Pvt Ltd-Haryana"/>
    <s v="Camduct India Pvt Ltd-Haryana Branch"/>
    <x v="12"/>
    <s v="Corners (20G - 32mm)"/>
    <x v="1"/>
    <n v="5000"/>
    <n v="8"/>
    <n v="40000"/>
  </r>
  <r>
    <n v="402"/>
    <x v="1"/>
    <x v="40"/>
    <n v="61768"/>
    <n v="45399"/>
    <s v="Camduct India Pvt Ltd-Haryana"/>
    <s v="Camduct India Pvt Ltd-Haryana Branch"/>
    <x v="12"/>
    <s v="Wood Hammer Stick"/>
    <x v="1"/>
    <n v="100"/>
    <n v="36"/>
    <n v="3600"/>
  </r>
  <r>
    <n v="403"/>
    <x v="2"/>
    <x v="41"/>
    <n v="61977"/>
    <n v="45400"/>
    <s v="Knnd Associates Pvt Ltd"/>
    <s v="MAHE Hostel block-5 Bangalore"/>
    <x v="30"/>
    <s v="120gsm Slit 24G"/>
    <x v="0"/>
    <n v="306"/>
    <n v="620"/>
    <n v="189720"/>
  </r>
  <r>
    <n v="404"/>
    <x v="2"/>
    <x v="41"/>
    <n v="61978"/>
    <n v="45401"/>
    <s v="Knnd Associates Pvt Ltd"/>
    <s v="Manipal Health Enterprises Pvt Ltd Jaipur"/>
    <x v="0"/>
    <s v="120gsm 24G"/>
    <x v="0"/>
    <n v="33.299999999999997"/>
    <n v="670"/>
    <n v="22310.999999999996"/>
  </r>
  <r>
    <n v="405"/>
    <x v="2"/>
    <x v="41"/>
    <n v="61978"/>
    <n v="45401"/>
    <s v="Knnd Associates Pvt Ltd"/>
    <s v="Manipal Health Enterprises Pvt Ltd Jaipur"/>
    <x v="0"/>
    <s v="120gsm 22G"/>
    <x v="0"/>
    <n v="3.6"/>
    <n v="868"/>
    <n v="3124.8"/>
  </r>
  <r>
    <n v="406"/>
    <x v="2"/>
    <x v="41"/>
    <n v="61978"/>
    <n v="45401"/>
    <s v="Knnd Associates Pvt Ltd"/>
    <s v="Manipal Health Enterprises Pvt Ltd Jaipur"/>
    <x v="8"/>
    <s v="120gsm 20G"/>
    <x v="0"/>
    <n v="0.6"/>
    <n v="5200"/>
    <n v="3120"/>
  </r>
  <r>
    <n v="407"/>
    <x v="2"/>
    <x v="41"/>
    <n v="61978"/>
    <n v="45401"/>
    <s v="Knnd Associates Pvt Ltd"/>
    <s v="Manipal Health Enterprises Pvt Ltd Jaipur"/>
    <x v="1"/>
    <s v="Insu Supreme Thermal 13mm"/>
    <x v="0"/>
    <n v="33.299999999999997"/>
    <n v="345"/>
    <n v="11488.499999999998"/>
  </r>
  <r>
    <n v="408"/>
    <x v="2"/>
    <x v="41"/>
    <n v="61978"/>
    <n v="45401"/>
    <s v="Knnd Associates Pvt Ltd"/>
    <s v="Manipal Health Enterprises Pvt Ltd Jaipur"/>
    <x v="1"/>
    <s v="Insu Supreme 10mm Acou."/>
    <x v="0"/>
    <n v="3.6"/>
    <n v="615"/>
    <n v="2214"/>
  </r>
  <r>
    <n v="409"/>
    <x v="2"/>
    <x v="41"/>
    <n v="61978"/>
    <n v="45401"/>
    <s v="Knnd Associates Pvt Ltd"/>
    <s v="Manipal Health Enterprises Pvt Ltd Jaipur"/>
    <x v="15"/>
    <s v="Insu Supreme Thermal 13mm"/>
    <x v="0"/>
    <n v="50.4"/>
    <n v="190"/>
    <n v="9576"/>
  </r>
  <r>
    <n v="410"/>
    <x v="2"/>
    <x v="41"/>
    <n v="61978"/>
    <n v="45401"/>
    <s v="Knnd Associates Pvt Ltd"/>
    <s v="Manipal Health Enterprises Pvt Ltd Jaipur"/>
    <x v="1"/>
    <s v="Insu Supreme 10mm Acou."/>
    <x v="0"/>
    <n v="10"/>
    <n v="425"/>
    <n v="4250"/>
  </r>
  <r>
    <n v="411"/>
    <x v="2"/>
    <x v="41"/>
    <n v="61978"/>
    <n v="45401"/>
    <s v="Knnd Associates Pvt Ltd"/>
    <s v="Manipal Health Enterprises Pvt Ltd Jaipur"/>
    <x v="14"/>
    <s v="120gsm 24G"/>
    <x v="0"/>
    <n v="45"/>
    <n v="495"/>
    <n v="22275"/>
  </r>
  <r>
    <n v="412"/>
    <x v="2"/>
    <x v="41"/>
    <n v="61978"/>
    <n v="45401"/>
    <s v="Knnd Associates Pvt Ltd"/>
    <s v="Manipal Health Enterprises Pvt Ltd Jaipur"/>
    <x v="17"/>
    <s v="120gsm 22G"/>
    <x v="1"/>
    <n v="15"/>
    <n v="440"/>
    <n v="6600"/>
  </r>
  <r>
    <n v="413"/>
    <x v="2"/>
    <x v="41"/>
    <n v="61978"/>
    <n v="45401"/>
    <s v="Knnd Associates Pvt Ltd"/>
    <s v="Manipal Health Enterprises Pvt Ltd Jaipur"/>
    <x v="24"/>
    <s v="120gsm 24G"/>
    <x v="1"/>
    <n v="20"/>
    <n v="755"/>
    <n v="15100"/>
  </r>
  <r>
    <n v="414"/>
    <x v="2"/>
    <x v="41"/>
    <n v="61978"/>
    <n v="45401"/>
    <s v="Knnd Associates Pvt Ltd"/>
    <s v="Manipal Health Enterprises Pvt Ltd Jaipur"/>
    <x v="2"/>
    <s v="Polythene wrapping"/>
    <x v="0"/>
    <n v="40"/>
    <n v="20"/>
    <n v="800"/>
  </r>
  <r>
    <n v="415"/>
    <x v="2"/>
    <x v="41"/>
    <n v="61976"/>
    <n v="45402"/>
    <s v="Knnd Associates Pvt Ltd"/>
    <s v="IISC Medical School Foundation Bangalore"/>
    <x v="43"/>
    <s v="120gsm 24G"/>
    <x v="1"/>
    <n v="168"/>
    <n v="420"/>
    <n v="70560"/>
  </r>
  <r>
    <n v="416"/>
    <x v="2"/>
    <x v="41"/>
    <n v="61976"/>
    <n v="45402"/>
    <s v="Knnd Associates Pvt Ltd"/>
    <s v="IISC Medical School Foundation Bangalore"/>
    <x v="44"/>
    <s v="120gsm 24G"/>
    <x v="1"/>
    <n v="387"/>
    <n v="435"/>
    <n v="168345"/>
  </r>
  <r>
    <n v="417"/>
    <x v="2"/>
    <x v="41"/>
    <n v="61976"/>
    <n v="45402"/>
    <s v="Knnd Associates Pvt Ltd"/>
    <s v="IISC Medical School Foundation Bangalore"/>
    <x v="45"/>
    <s v="120gsm 24G"/>
    <x v="1"/>
    <n v="20"/>
    <n v="693"/>
    <n v="13860"/>
  </r>
  <r>
    <n v="418"/>
    <x v="2"/>
    <x v="41"/>
    <n v="61976"/>
    <n v="45402"/>
    <s v="Knnd Associates Pvt Ltd"/>
    <s v="IISC Medical School Foundation Bangalore"/>
    <x v="46"/>
    <s v="120gsm 24G"/>
    <x v="1"/>
    <n v="83"/>
    <n v="660"/>
    <n v="54780"/>
  </r>
  <r>
    <n v="419"/>
    <x v="2"/>
    <x v="41"/>
    <n v="61976"/>
    <n v="45402"/>
    <s v="Knnd Associates Pvt Ltd"/>
    <s v="IISC Medical School Foundation Bangalore"/>
    <x v="1"/>
    <s v="Insu Armaflex Thermal 19mm"/>
    <x v="0"/>
    <n v="488.76421000000005"/>
    <n v="441"/>
    <n v="215545.01661000002"/>
  </r>
  <r>
    <n v="420"/>
    <x v="2"/>
    <x v="41"/>
    <n v="61976"/>
    <n v="45402"/>
    <s v="Knnd Associates Pvt Ltd"/>
    <s v="IISC Medical School Foundation Bangalore"/>
    <x v="34"/>
    <s v="Tape"/>
    <x v="1"/>
    <n v="130"/>
    <n v="190"/>
    <n v="24700"/>
  </r>
  <r>
    <n v="421"/>
    <x v="2"/>
    <x v="42"/>
    <n v="61974"/>
    <n v="45403"/>
    <s v="Knnd Associates Pvt Ltd"/>
    <s v="Minto Hospital Bangalore"/>
    <x v="15"/>
    <s v="Insu Supreme Thermal 13mm Al. Foil"/>
    <x v="0"/>
    <n v="16.8"/>
    <n v="250"/>
    <n v="4200"/>
  </r>
  <r>
    <n v="422"/>
    <x v="2"/>
    <x v="42"/>
    <n v="61974"/>
    <n v="45403"/>
    <s v="Knnd Associates Pvt Ltd"/>
    <s v="Minto Hospital Bangalore"/>
    <x v="15"/>
    <s v="Insu Supreme Thermal 13mm Glass Cloth"/>
    <x v="0"/>
    <n v="16.8"/>
    <n v="360"/>
    <n v="6048"/>
  </r>
  <r>
    <n v="423"/>
    <x v="2"/>
    <x v="42"/>
    <n v="61974"/>
    <n v="45403"/>
    <s v="Knnd Associates Pvt Ltd"/>
    <s v="Minto Hospital Bangalore"/>
    <x v="14"/>
    <s v="Alu. 0.8mm"/>
    <x v="0"/>
    <n v="18"/>
    <n v="950"/>
    <n v="17100"/>
  </r>
  <r>
    <n v="424"/>
    <x v="2"/>
    <x v="43"/>
    <n v="61976"/>
    <n v="45404"/>
    <s v="Knnd Associates Pvt Ltd"/>
    <s v="IISC Medical School Foundation Bangalore"/>
    <x v="43"/>
    <s v="120gsm 24G"/>
    <x v="1"/>
    <n v="59"/>
    <n v="420"/>
    <n v="24780"/>
  </r>
  <r>
    <n v="425"/>
    <x v="2"/>
    <x v="43"/>
    <n v="61976"/>
    <n v="45404"/>
    <s v="Knnd Associates Pvt Ltd"/>
    <s v="IISC Medical School Foundation Bangalore"/>
    <x v="47"/>
    <s v="120gsm 24G"/>
    <x v="1"/>
    <n v="14"/>
    <n v="508"/>
    <n v="7112"/>
  </r>
  <r>
    <n v="426"/>
    <x v="2"/>
    <x v="43"/>
    <n v="61976"/>
    <n v="45404"/>
    <s v="Knnd Associates Pvt Ltd"/>
    <s v="IISC Medical School Foundation Bangalore"/>
    <x v="48"/>
    <s v="120gsm 24G"/>
    <x v="1"/>
    <n v="46"/>
    <n v="560"/>
    <n v="25760"/>
  </r>
  <r>
    <n v="427"/>
    <x v="2"/>
    <x v="43"/>
    <n v="61976"/>
    <n v="45404"/>
    <s v="Knnd Associates Pvt Ltd"/>
    <s v="IISC Medical School Foundation Bangalore"/>
    <x v="49"/>
    <s v="120gsm 24G"/>
    <x v="1"/>
    <n v="1"/>
    <n v="894"/>
    <n v="894"/>
  </r>
  <r>
    <n v="428"/>
    <x v="2"/>
    <x v="43"/>
    <n v="61976"/>
    <n v="45404"/>
    <s v="Knnd Associates Pvt Ltd"/>
    <s v="IISC Medical School Foundation Bangalore"/>
    <x v="45"/>
    <s v="120gsm 24G"/>
    <x v="1"/>
    <n v="8"/>
    <n v="693"/>
    <n v="5544"/>
  </r>
  <r>
    <n v="429"/>
    <x v="2"/>
    <x v="43"/>
    <n v="61976"/>
    <n v="45404"/>
    <s v="Knnd Associates Pvt Ltd"/>
    <s v="IISC Medical School Foundation Bangalore"/>
    <x v="46"/>
    <s v="120gsm 24G"/>
    <x v="1"/>
    <n v="25"/>
    <n v="660"/>
    <n v="16500"/>
  </r>
  <r>
    <n v="430"/>
    <x v="2"/>
    <x v="43"/>
    <n v="61976"/>
    <n v="45404"/>
    <s v="Knnd Associates Pvt Ltd"/>
    <s v="IISC Medical School Foundation Bangalore"/>
    <x v="1"/>
    <s v="Insu Armaflex Thermal 19mm"/>
    <x v="0"/>
    <n v="109.42180000000002"/>
    <n v="441"/>
    <n v="48255.013800000008"/>
  </r>
  <r>
    <n v="431"/>
    <x v="2"/>
    <x v="43"/>
    <n v="61976"/>
    <n v="45404"/>
    <s v="Knnd Associates Pvt Ltd"/>
    <s v="IISC Medical School Foundation Bangalore"/>
    <x v="34"/>
    <s v="Tape"/>
    <x v="1"/>
    <n v="46"/>
    <n v="190"/>
    <n v="8740"/>
  </r>
  <r>
    <n v="432"/>
    <x v="2"/>
    <x v="43"/>
    <n v="61988"/>
    <n v="45405"/>
    <s v="Knnd Associates Pvt Ltd"/>
    <s v="Blackstone COE India Pvt Ltd Bangalore"/>
    <x v="50"/>
    <s v="120gsm 24G"/>
    <x v="1"/>
    <n v="165"/>
    <n v="1103"/>
    <n v="181995"/>
  </r>
  <r>
    <n v="433"/>
    <x v="2"/>
    <x v="43"/>
    <n v="61988"/>
    <n v="45405"/>
    <s v="Knnd Associates Pvt Ltd"/>
    <s v="Blackstone COE India Pvt Ltd Bangalore"/>
    <x v="1"/>
    <s v="Insu Armaflex Thermal 9mm"/>
    <x v="0"/>
    <n v="218.09690000000001"/>
    <n v="289"/>
    <n v="63030.004099999998"/>
  </r>
  <r>
    <n v="434"/>
    <x v="2"/>
    <x v="43"/>
    <n v="61988"/>
    <n v="45405"/>
    <s v="Knnd Associates Pvt Ltd"/>
    <s v="Blackstone COE India Pvt Ltd Bangalore"/>
    <x v="15"/>
    <s v="Insu Supreme Thermal 9mm"/>
    <x v="1"/>
    <n v="300"/>
    <n v="154"/>
    <n v="46200"/>
  </r>
  <r>
    <n v="435"/>
    <x v="2"/>
    <x v="44"/>
    <n v="61979"/>
    <n v="45406"/>
    <s v="Knnd Associates Pvt Ltd"/>
    <s v="MAHE Lecture Hall Campus Bangalore"/>
    <x v="21"/>
    <s v="Pressure Testing"/>
    <x v="0"/>
    <n v="165.3"/>
    <n v="35"/>
    <n v="5785.5"/>
  </r>
  <r>
    <n v="436"/>
    <x v="2"/>
    <x v="44"/>
    <n v="61980"/>
    <n v="45407"/>
    <s v="Knnd Associates Pvt Ltd"/>
    <s v="IISC Medical School Foundation Bangalore"/>
    <x v="21"/>
    <s v="Pressure Testing"/>
    <x v="0"/>
    <n v="1085.5999999999999"/>
    <n v="35"/>
    <n v="37996"/>
  </r>
  <r>
    <n v="437"/>
    <x v="2"/>
    <x v="44"/>
    <n v="61981"/>
    <n v="45408"/>
    <s v="Knnd Associates Pvt Ltd"/>
    <s v="Motherhood Hospital Sarjapura"/>
    <x v="21"/>
    <s v="Pressure Testing"/>
    <x v="0"/>
    <n v="607.29999999999995"/>
    <n v="35"/>
    <n v="21255.5"/>
  </r>
  <r>
    <n v="438"/>
    <x v="2"/>
    <x v="44"/>
    <n v="61982"/>
    <n v="45409"/>
    <s v="Knnd Associates Pvt Ltd"/>
    <s v="Chanakya University HB-3A Bangalore"/>
    <x v="21"/>
    <s v="Pressure Testing"/>
    <x v="0"/>
    <n v="136"/>
    <n v="35"/>
    <n v="4760"/>
  </r>
  <r>
    <n v="439"/>
    <x v="2"/>
    <x v="44"/>
    <n v="61983"/>
    <n v="45410"/>
    <s v="Knnd Associates Pvt Ltd"/>
    <s v="Central Market Mangalore"/>
    <x v="21"/>
    <s v="Pressure Testing"/>
    <x v="0"/>
    <n v="93.4"/>
    <n v="35"/>
    <n v="3269"/>
  </r>
  <r>
    <n v="440"/>
    <x v="2"/>
    <x v="44"/>
    <n v="61984"/>
    <n v="45411"/>
    <s v="Knnd Associates Pvt Ltd"/>
    <s v="Minto Hospital Bangalore"/>
    <x v="21"/>
    <s v="Pressure Testing"/>
    <x v="0"/>
    <n v="280.60000000000002"/>
    <n v="35"/>
    <n v="9821"/>
  </r>
  <r>
    <n v="441"/>
    <x v="2"/>
    <x v="44"/>
    <n v="61985"/>
    <n v="45412"/>
    <s v="Knnd Associates Pvt Ltd"/>
    <s v="AIIMS Hospital Madurai"/>
    <x v="21"/>
    <s v="Pressure Testing"/>
    <x v="0"/>
    <n v="627.1"/>
    <n v="35"/>
    <n v="21948.5"/>
  </r>
  <r>
    <n v="442"/>
    <x v="2"/>
    <x v="44"/>
    <n v="61986"/>
    <n v="45413"/>
    <s v="Knnd Associates Pvt Ltd"/>
    <s v="Motherhood Hospital Coimabatore"/>
    <x v="21"/>
    <s v="Pressure Testing"/>
    <x v="0"/>
    <n v="322.7"/>
    <n v="35"/>
    <n v="11294.5"/>
  </r>
  <r>
    <n v="443"/>
    <x v="2"/>
    <x v="44"/>
    <n v="61987"/>
    <n v="45414"/>
    <s v="Knnd Associates Pvt Ltd"/>
    <s v="Infosys Noida SDB-1"/>
    <x v="21"/>
    <s v="Pressure Testing"/>
    <x v="0"/>
    <n v="243.3"/>
    <n v="35"/>
    <n v="8515.5"/>
  </r>
  <r>
    <n v="444"/>
    <x v="2"/>
    <x v="45"/>
    <n v="61989"/>
    <n v="45415"/>
    <s v="Knnd Associates Pvt Ltd"/>
    <s v="Schneider Electric Bangalore"/>
    <x v="0"/>
    <s v="120gsm 24G"/>
    <x v="0"/>
    <n v="92.9"/>
    <n v="670"/>
    <n v="62243.000000000007"/>
  </r>
  <r>
    <n v="445"/>
    <x v="2"/>
    <x v="45"/>
    <n v="61989"/>
    <n v="45415"/>
    <s v="Knnd Associates Pvt Ltd"/>
    <s v="Schneider Electric Bangalore"/>
    <x v="0"/>
    <s v="120gsm 22G"/>
    <x v="0"/>
    <n v="78.5"/>
    <n v="868"/>
    <n v="68138"/>
  </r>
  <r>
    <n v="446"/>
    <x v="2"/>
    <x v="45"/>
    <n v="61990"/>
    <n v="45416"/>
    <s v="Knnd Associates Pvt Ltd"/>
    <s v="Sanjay Gandhi Hospital Bangalore"/>
    <x v="0"/>
    <s v="Alu. 0.8mm"/>
    <x v="0"/>
    <n v="127.2"/>
    <n v="1269"/>
    <n v="161416.80000000002"/>
  </r>
  <r>
    <n v="447"/>
    <x v="2"/>
    <x v="45"/>
    <n v="61990"/>
    <n v="45416"/>
    <s v="Knnd Associates Pvt Ltd"/>
    <s v="Sanjay Gandhi Hospital Bangalore"/>
    <x v="1"/>
    <s v="Insu Supreme Thermal 13mm Al. Foil"/>
    <x v="0"/>
    <n v="20.8"/>
    <n v="388"/>
    <n v="8070.4000000000005"/>
  </r>
  <r>
    <n v="448"/>
    <x v="2"/>
    <x v="45"/>
    <n v="61990"/>
    <n v="45416"/>
    <s v="Knnd Associates Pvt Ltd"/>
    <s v="Sanjay Gandhi Hospital Bangalore"/>
    <x v="1"/>
    <s v="Insu Supreme Thermal 19mm Al. Foil"/>
    <x v="0"/>
    <n v="20.100000000000001"/>
    <n v="476"/>
    <n v="9567.6"/>
  </r>
  <r>
    <n v="449"/>
    <x v="2"/>
    <x v="45"/>
    <n v="61990"/>
    <n v="45416"/>
    <s v="Knnd Associates Pvt Ltd"/>
    <s v="Sanjay Gandhi Hospital Bangalore"/>
    <x v="1"/>
    <s v="Insu Supreme Thermal 13mm Glass Cloth"/>
    <x v="0"/>
    <n v="47.8"/>
    <n v="507"/>
    <n v="24234.6"/>
  </r>
  <r>
    <n v="450"/>
    <x v="2"/>
    <x v="45"/>
    <n v="61990"/>
    <n v="45416"/>
    <s v="Knnd Associates Pvt Ltd"/>
    <s v="Sanjay Gandhi Hospital Bangalore"/>
    <x v="1"/>
    <s v="Insu Supreme Thermal 19mm Glass Cloth"/>
    <x v="0"/>
    <n v="38.5"/>
    <n v="594"/>
    <n v="22869"/>
  </r>
  <r>
    <n v="451"/>
    <x v="2"/>
    <x v="45"/>
    <n v="61990"/>
    <n v="45416"/>
    <s v="Knnd Associates Pvt Ltd"/>
    <s v="Sanjay Gandhi Hospital Bangalore"/>
    <x v="15"/>
    <s v="Insu Supreme Thermal 13mm Al. Foil"/>
    <x v="0"/>
    <n v="16.8"/>
    <n v="250"/>
    <n v="4200"/>
  </r>
  <r>
    <n v="452"/>
    <x v="2"/>
    <x v="45"/>
    <n v="61990"/>
    <n v="45416"/>
    <s v="Knnd Associates Pvt Ltd"/>
    <s v="Sanjay Gandhi Hospital Bangalore"/>
    <x v="15"/>
    <s v="Insu Supreme Thermal 13mm Glass Cloth"/>
    <x v="0"/>
    <n v="16.8"/>
    <n v="360"/>
    <n v="6048"/>
  </r>
  <r>
    <n v="453"/>
    <x v="2"/>
    <x v="45"/>
    <n v="61990"/>
    <n v="45416"/>
    <s v="Knnd Associates Pvt Ltd"/>
    <s v="Sanjay Gandhi Hospital Bangalore"/>
    <x v="14"/>
    <s v="Alu. 0.8mm"/>
    <x v="0"/>
    <n v="18"/>
    <n v="950"/>
    <n v="17100"/>
  </r>
  <r>
    <n v="454"/>
    <x v="2"/>
    <x v="45"/>
    <n v="61990"/>
    <n v="45416"/>
    <s v="Knnd Associates Pvt Ltd"/>
    <s v="Sanjay Gandhi Hospital Bangalore"/>
    <x v="8"/>
    <s v="Alu. 1.0mm"/>
    <x v="0"/>
    <n v="0.4"/>
    <n v="6200"/>
    <n v="2480"/>
  </r>
  <r>
    <n v="455"/>
    <x v="2"/>
    <x v="45"/>
    <n v="61930"/>
    <n v="45417"/>
    <s v="Knnd Associates Pvt Ltd"/>
    <s v="Blackstone COE India Pvt Ltd Bangalore"/>
    <x v="0"/>
    <s v="120gsm 24G"/>
    <x v="0"/>
    <n v="13.4"/>
    <n v="585"/>
    <n v="7839"/>
  </r>
  <r>
    <n v="456"/>
    <x v="2"/>
    <x v="45"/>
    <n v="61930"/>
    <n v="45417"/>
    <s v="Knnd Associates Pvt Ltd"/>
    <s v="Blackstone COE India Pvt Ltd Bangalore"/>
    <x v="0"/>
    <s v="120gsm 22G"/>
    <x v="0"/>
    <n v="14.5"/>
    <n v="790"/>
    <n v="11455"/>
  </r>
  <r>
    <n v="457"/>
    <x v="2"/>
    <x v="45"/>
    <n v="61930"/>
    <n v="45417"/>
    <s v="Knnd Associates Pvt Ltd"/>
    <s v="Blackstone COE India Pvt Ltd Bangalore"/>
    <x v="0"/>
    <s v="120gsm 20G"/>
    <x v="0"/>
    <n v="50.7"/>
    <n v="915"/>
    <n v="46390.5"/>
  </r>
  <r>
    <n v="458"/>
    <x v="2"/>
    <x v="45"/>
    <n v="61930"/>
    <n v="45417"/>
    <s v="Knnd Associates Pvt Ltd"/>
    <s v="Blackstone COE India Pvt Ltd Bangalore"/>
    <x v="1"/>
    <s v="Insu Armaflex Thermal 9mm"/>
    <x v="0"/>
    <n v="4"/>
    <n v="289"/>
    <n v="1156"/>
  </r>
  <r>
    <n v="459"/>
    <x v="2"/>
    <x v="45"/>
    <n v="61930"/>
    <n v="45417"/>
    <s v="Knnd Associates Pvt Ltd"/>
    <s v="Blackstone COE India Pvt Ltd Bangalore"/>
    <x v="1"/>
    <s v="Insu Armasound Acou. 25mm"/>
    <x v="0"/>
    <n v="74.599999999999994"/>
    <n v="1271"/>
    <n v="94816.599999999991"/>
  </r>
  <r>
    <n v="460"/>
    <x v="2"/>
    <x v="45"/>
    <n v="61930"/>
    <n v="45417"/>
    <s v="Knnd Associates Pvt Ltd"/>
    <s v="Blackstone COE India Pvt Ltd Bangalore"/>
    <x v="2"/>
    <s v="Polythene wrapping"/>
    <x v="0"/>
    <n v="10"/>
    <n v="15"/>
    <n v="150"/>
  </r>
  <r>
    <n v="461"/>
    <x v="2"/>
    <x v="45"/>
    <n v="61988"/>
    <n v="45418"/>
    <s v="Knnd Associates Pvt Ltd"/>
    <s v="Blackstone COE India Pvt Ltd Bangalore"/>
    <x v="51"/>
    <s v="120gsm 24G"/>
    <x v="1"/>
    <n v="9"/>
    <n v="757"/>
    <n v="6813"/>
  </r>
  <r>
    <n v="462"/>
    <x v="2"/>
    <x v="45"/>
    <n v="61988"/>
    <n v="45418"/>
    <s v="Knnd Associates Pvt Ltd"/>
    <s v="Blackstone COE India Pvt Ltd Bangalore"/>
    <x v="50"/>
    <s v="120gsm 24G"/>
    <x v="1"/>
    <n v="77"/>
    <n v="1103"/>
    <n v="84931"/>
  </r>
  <r>
    <n v="463"/>
    <x v="2"/>
    <x v="45"/>
    <n v="61988"/>
    <n v="45418"/>
    <s v="Knnd Associates Pvt Ltd"/>
    <s v="Blackstone COE India Pvt Ltd Bangalore"/>
    <x v="52"/>
    <s v="120gsm 24G"/>
    <x v="1"/>
    <n v="33"/>
    <n v="1195"/>
    <n v="39435"/>
  </r>
  <r>
    <n v="464"/>
    <x v="2"/>
    <x v="45"/>
    <n v="61988"/>
    <n v="45418"/>
    <s v="Knnd Associates Pvt Ltd"/>
    <s v="Blackstone COE India Pvt Ltd Bangalore"/>
    <x v="1"/>
    <s v="Insu Armaflex Thermal 9mm"/>
    <x v="0"/>
    <n v="160.78199999999998"/>
    <n v="289"/>
    <n v="46465.997999999992"/>
  </r>
  <r>
    <n v="465"/>
    <x v="2"/>
    <x v="45"/>
    <n v="61988"/>
    <n v="45418"/>
    <s v="Knnd Associates Pvt Ltd"/>
    <s v="Blackstone COE India Pvt Ltd Bangalore"/>
    <x v="15"/>
    <s v="Insu Supreme Thermal 9mm"/>
    <x v="1"/>
    <n v="100"/>
    <n v="154"/>
    <n v="15400"/>
  </r>
  <r>
    <n v="466"/>
    <x v="2"/>
    <x v="45"/>
    <n v="61988"/>
    <n v="45418"/>
    <s v="Knnd Associates Pvt Ltd"/>
    <s v="Blackstone COE India Pvt Ltd Bangalore"/>
    <x v="28"/>
    <s v="Cleats"/>
    <x v="1"/>
    <n v="1500"/>
    <n v="8"/>
    <n v="12000"/>
  </r>
  <r>
    <n v="467"/>
    <x v="2"/>
    <x v="45"/>
    <n v="61988"/>
    <n v="45418"/>
    <s v="Knnd Associates Pvt Ltd"/>
    <s v="Blackstone COE India Pvt Ltd Bangalore"/>
    <x v="13"/>
    <s v="Gasket"/>
    <x v="2"/>
    <n v="500"/>
    <n v="5"/>
    <n v="2500"/>
  </r>
  <r>
    <n v="468"/>
    <x v="2"/>
    <x v="45"/>
    <n v="61988"/>
    <n v="45418"/>
    <s v="Knnd Associates Pvt Ltd"/>
    <s v="Blackstone COE India Pvt Ltd Bangalore"/>
    <x v="29"/>
    <s v="Corners"/>
    <x v="1"/>
    <n v="300"/>
    <n v="10"/>
    <n v="3000"/>
  </r>
  <r>
    <n v="469"/>
    <x v="2"/>
    <x v="45"/>
    <n v="61991"/>
    <n v="45419"/>
    <s v="Knnd Associates Pvt Ltd"/>
    <s v="Mallegowda District Hospital Chikkamagaluru"/>
    <x v="0"/>
    <s v="Alu. 0.8mm"/>
    <x v="0"/>
    <n v="161.30000000000001"/>
    <n v="1269"/>
    <n v="204689.7"/>
  </r>
  <r>
    <n v="470"/>
    <x v="2"/>
    <x v="45"/>
    <n v="61991"/>
    <n v="45419"/>
    <s v="Knnd Associates Pvt Ltd"/>
    <s v="Mallegowda District Hospital Chikkamagaluru"/>
    <x v="1"/>
    <s v="Insu Supreme Thermal 13mm Al. Foil"/>
    <x v="0"/>
    <n v="37.1"/>
    <n v="388"/>
    <n v="14394.800000000001"/>
  </r>
  <r>
    <n v="471"/>
    <x v="2"/>
    <x v="45"/>
    <n v="61991"/>
    <n v="45419"/>
    <s v="Knnd Associates Pvt Ltd"/>
    <s v="Mallegowda District Hospital Chikkamagaluru"/>
    <x v="1"/>
    <s v="Insu Supreme Thermal 19mm Al. Foil"/>
    <x v="0"/>
    <n v="37.9"/>
    <n v="476"/>
    <n v="18040.399999999998"/>
  </r>
  <r>
    <n v="472"/>
    <x v="2"/>
    <x v="45"/>
    <n v="61991"/>
    <n v="45419"/>
    <s v="Knnd Associates Pvt Ltd"/>
    <s v="Mallegowda District Hospital Chikkamagaluru"/>
    <x v="1"/>
    <s v="Insu Supreme Thermal 13mm Glass Cloth"/>
    <x v="0"/>
    <n v="56.5"/>
    <n v="507"/>
    <n v="28645.5"/>
  </r>
  <r>
    <n v="473"/>
    <x v="2"/>
    <x v="45"/>
    <n v="61991"/>
    <n v="45419"/>
    <s v="Knnd Associates Pvt Ltd"/>
    <s v="Mallegowda District Hospital Chikkamagaluru"/>
    <x v="1"/>
    <s v="Insu Supreme Thermal 19mm Glass Cloth"/>
    <x v="0"/>
    <n v="29.8"/>
    <n v="594"/>
    <n v="17701.2"/>
  </r>
  <r>
    <n v="474"/>
    <x v="2"/>
    <x v="45"/>
    <n v="61991"/>
    <n v="45419"/>
    <s v="Knnd Associates Pvt Ltd"/>
    <s v="Mallegowda District Hospital Chikkamagaluru"/>
    <x v="15"/>
    <s v="Insu Supreme Thermal 13mm Al. Foil"/>
    <x v="0"/>
    <n v="33.6"/>
    <n v="250"/>
    <n v="8400"/>
  </r>
  <r>
    <n v="475"/>
    <x v="2"/>
    <x v="45"/>
    <n v="61991"/>
    <n v="45419"/>
    <s v="Knnd Associates Pvt Ltd"/>
    <s v="Mallegowda District Hospital Chikkamagaluru"/>
    <x v="15"/>
    <s v="Insu Supreme Thermal 13mm Glass Cloth"/>
    <x v="0"/>
    <n v="33.6"/>
    <n v="360"/>
    <n v="12096"/>
  </r>
  <r>
    <n v="476"/>
    <x v="2"/>
    <x v="45"/>
    <n v="61991"/>
    <n v="45419"/>
    <s v="Knnd Associates Pvt Ltd"/>
    <s v="Mallegowda District Hospital Chikkamagaluru"/>
    <x v="14"/>
    <s v="Alu. 0.8mm"/>
    <x v="0"/>
    <n v="24"/>
    <n v="950"/>
    <n v="22800"/>
  </r>
  <r>
    <n v="477"/>
    <x v="2"/>
    <x v="45"/>
    <n v="61991"/>
    <n v="45419"/>
    <s v="Knnd Associates Pvt Ltd"/>
    <s v="Mallegowda District Hospital Chikkamagaluru"/>
    <x v="8"/>
    <s v="Alu. 1.0mm"/>
    <x v="0"/>
    <n v="0.8"/>
    <n v="6200"/>
    <n v="4960"/>
  </r>
  <r>
    <n v="478"/>
    <x v="2"/>
    <x v="46"/>
    <n v="61977"/>
    <n v="45420"/>
    <s v="Knnd Associates Pvt Ltd"/>
    <s v="MAHE Hostel block-5 Bangalore"/>
    <x v="30"/>
    <s v="120gsm Slit 24G"/>
    <x v="0"/>
    <n v="6.8"/>
    <n v="620"/>
    <n v="4216"/>
  </r>
  <r>
    <n v="479"/>
    <x v="2"/>
    <x v="46"/>
    <n v="61977"/>
    <n v="45420"/>
    <s v="Knnd Associates Pvt Ltd"/>
    <s v="MAHE Hostel block-5 Bangalore"/>
    <x v="36"/>
    <s v="120gsm Slit 22G"/>
    <x v="0"/>
    <n v="6.3"/>
    <n v="770"/>
    <n v="4851"/>
  </r>
  <r>
    <n v="480"/>
    <x v="2"/>
    <x v="46"/>
    <n v="61977"/>
    <n v="45420"/>
    <s v="Knnd Associates Pvt Ltd"/>
    <s v="MAHE Hostel block-5 Bangalore"/>
    <x v="53"/>
    <s v="120gsm 24G"/>
    <x v="1"/>
    <n v="48"/>
    <n v="375"/>
    <n v="18000"/>
  </r>
  <r>
    <n v="481"/>
    <x v="2"/>
    <x v="46"/>
    <n v="61977"/>
    <n v="45420"/>
    <s v="Knnd Associates Pvt Ltd"/>
    <s v="MAHE Hostel block-5 Bangalore"/>
    <x v="54"/>
    <s v="120gsm 24G"/>
    <x v="1"/>
    <n v="312"/>
    <n v="100"/>
    <n v="31200"/>
  </r>
  <r>
    <n v="482"/>
    <x v="2"/>
    <x v="46"/>
    <n v="61977"/>
    <n v="45420"/>
    <s v="Knnd Associates Pvt Ltd"/>
    <s v="MAHE Hostel block-5 Bangalore"/>
    <x v="55"/>
    <s v="120gsm 24G"/>
    <x v="1"/>
    <n v="24"/>
    <n v="120"/>
    <n v="2880"/>
  </r>
  <r>
    <n v="483"/>
    <x v="2"/>
    <x v="46"/>
    <n v="61977"/>
    <n v="45420"/>
    <s v="Knnd Associates Pvt Ltd"/>
    <s v="MAHE Hostel block-5 Bangalore"/>
    <x v="40"/>
    <s v="120gsm 22G"/>
    <x v="1"/>
    <n v="312"/>
    <n v="385"/>
    <n v="120120"/>
  </r>
  <r>
    <n v="484"/>
    <x v="2"/>
    <x v="46"/>
    <n v="61992"/>
    <n v="45421"/>
    <s v="Knnd Associates Pvt Ltd"/>
    <s v="MAHE Hostel block-5 Bangalore"/>
    <x v="30"/>
    <s v="120gsm Slit 24G"/>
    <x v="0"/>
    <n v="248.3"/>
    <n v="578"/>
    <n v="143517.4"/>
  </r>
  <r>
    <n v="485"/>
    <x v="2"/>
    <x v="46"/>
    <n v="61992"/>
    <n v="45421"/>
    <s v="Knnd Associates Pvt Ltd"/>
    <s v="MAHE Hostel block-5 Bangalore"/>
    <x v="31"/>
    <s v="120gsm 24G"/>
    <x v="1"/>
    <n v="16"/>
    <n v="350"/>
    <n v="5600"/>
  </r>
  <r>
    <n v="486"/>
    <x v="2"/>
    <x v="46"/>
    <n v="61992"/>
    <n v="45421"/>
    <s v="Knnd Associates Pvt Ltd"/>
    <s v="MAHE Hostel block-5 Bangalore"/>
    <x v="56"/>
    <s v="120gsm 24G"/>
    <x v="1"/>
    <n v="28"/>
    <n v="380"/>
    <n v="10640"/>
  </r>
  <r>
    <n v="487"/>
    <x v="2"/>
    <x v="46"/>
    <n v="61992"/>
    <n v="45421"/>
    <s v="Knnd Associates Pvt Ltd"/>
    <s v="MAHE Hostel block-5 Bangalore"/>
    <x v="57"/>
    <s v="120gsm 24G"/>
    <x v="1"/>
    <n v="28"/>
    <n v="530"/>
    <n v="14840"/>
  </r>
  <r>
    <n v="488"/>
    <x v="2"/>
    <x v="46"/>
    <n v="61992"/>
    <n v="45421"/>
    <s v="Knnd Associates Pvt Ltd"/>
    <s v="MAHE Hostel block-5 Bangalore"/>
    <x v="58"/>
    <s v="120gsm 24G"/>
    <x v="1"/>
    <n v="8"/>
    <n v="295"/>
    <n v="2360"/>
  </r>
  <r>
    <n v="489"/>
    <x v="2"/>
    <x v="46"/>
    <n v="61992"/>
    <n v="45421"/>
    <s v="Knnd Associates Pvt Ltd"/>
    <s v="MAHE Hostel block-5 Bangalore"/>
    <x v="59"/>
    <s v="120gsm 24G"/>
    <x v="1"/>
    <n v="8"/>
    <n v="390"/>
    <n v="3120"/>
  </r>
  <r>
    <n v="490"/>
    <x v="2"/>
    <x v="46"/>
    <n v="61992"/>
    <n v="45421"/>
    <s v="Knnd Associates Pvt Ltd"/>
    <s v="MAHE Hostel block-5 Bangalore"/>
    <x v="60"/>
    <s v="120gsm 24G"/>
    <x v="1"/>
    <n v="10"/>
    <n v="395"/>
    <n v="3950"/>
  </r>
  <r>
    <n v="491"/>
    <x v="2"/>
    <x v="47"/>
    <n v="61992"/>
    <n v="45422"/>
    <s v="Knnd Associates Pvt Ltd"/>
    <s v="MAHE Hostel block-5 Bangalore"/>
    <x v="30"/>
    <s v="120gsm Slit 24G"/>
    <x v="0"/>
    <n v="51"/>
    <n v="578"/>
    <n v="29478"/>
  </r>
  <r>
    <n v="492"/>
    <x v="2"/>
    <x v="47"/>
    <n v="61992"/>
    <n v="45422"/>
    <s v="Knnd Associates Pvt Ltd"/>
    <s v="MAHE Hostel block-5 Bangalore"/>
    <x v="31"/>
    <s v="120gsm 24G"/>
    <x v="1"/>
    <n v="30"/>
    <n v="350"/>
    <n v="10500"/>
  </r>
  <r>
    <n v="493"/>
    <x v="2"/>
    <x v="47"/>
    <n v="61992"/>
    <n v="45422"/>
    <s v="Knnd Associates Pvt Ltd"/>
    <s v="MAHE Hostel block-5 Bangalore"/>
    <x v="56"/>
    <s v="120gsm 24G"/>
    <x v="1"/>
    <n v="58"/>
    <n v="380"/>
    <n v="22040"/>
  </r>
  <r>
    <n v="494"/>
    <x v="2"/>
    <x v="47"/>
    <n v="61992"/>
    <n v="45422"/>
    <s v="Knnd Associates Pvt Ltd"/>
    <s v="MAHE Hostel block-5 Bangalore"/>
    <x v="57"/>
    <s v="120gsm 24G"/>
    <x v="1"/>
    <n v="92"/>
    <n v="530"/>
    <n v="48760"/>
  </r>
  <r>
    <n v="495"/>
    <x v="2"/>
    <x v="47"/>
    <n v="61992"/>
    <n v="45422"/>
    <s v="Knnd Associates Pvt Ltd"/>
    <s v="MAHE Hostel block-5 Bangalore"/>
    <x v="58"/>
    <s v="120gsm 24G"/>
    <x v="1"/>
    <n v="38"/>
    <n v="295"/>
    <n v="11210"/>
  </r>
  <r>
    <n v="496"/>
    <x v="2"/>
    <x v="47"/>
    <n v="61992"/>
    <n v="45422"/>
    <s v="Knnd Associates Pvt Ltd"/>
    <s v="MAHE Hostel block-5 Bangalore"/>
    <x v="59"/>
    <s v="120gsm 24G"/>
    <x v="1"/>
    <n v="38"/>
    <n v="390"/>
    <n v="14820"/>
  </r>
  <r>
    <n v="497"/>
    <x v="2"/>
    <x v="47"/>
    <n v="61992"/>
    <n v="45422"/>
    <s v="Knnd Associates Pvt Ltd"/>
    <s v="MAHE Hostel block-5 Bangalore"/>
    <x v="60"/>
    <s v="120gsm 24G"/>
    <x v="1"/>
    <n v="36"/>
    <n v="395"/>
    <n v="14220"/>
  </r>
  <r>
    <n v="498"/>
    <x v="2"/>
    <x v="47"/>
    <n v="61992"/>
    <n v="45422"/>
    <s v="Knnd Associates Pvt Ltd"/>
    <s v="MAHE Hostel block-5 Bangalore"/>
    <x v="54"/>
    <s v="120gsm 24G"/>
    <x v="1"/>
    <n v="35"/>
    <n v="100"/>
    <n v="3500"/>
  </r>
  <r>
    <n v="499"/>
    <x v="2"/>
    <x v="47"/>
    <n v="61992"/>
    <n v="45422"/>
    <s v="Knnd Associates Pvt Ltd"/>
    <s v="MAHE Hostel block-5 Bangalore"/>
    <x v="61"/>
    <s v="120gsm 24G"/>
    <x v="1"/>
    <n v="75"/>
    <n v="140"/>
    <n v="10500"/>
  </r>
  <r>
    <n v="500"/>
    <x v="2"/>
    <x v="47"/>
    <n v="61992"/>
    <n v="45422"/>
    <s v="Knnd Associates Pvt Ltd"/>
    <s v="MAHE Hostel block-5 Bangalore"/>
    <x v="62"/>
    <s v="120gsm 24G"/>
    <x v="1"/>
    <n v="25"/>
    <n v="180"/>
    <n v="4500"/>
  </r>
  <r>
    <n v="501"/>
    <x v="2"/>
    <x v="47"/>
    <n v="61988"/>
    <n v="45423"/>
    <s v="Knnd Associates Pvt Ltd"/>
    <s v="Blackstone COE India Pvt Ltd Bangalore"/>
    <x v="50"/>
    <s v="120gsm 24G"/>
    <x v="1"/>
    <n v="118"/>
    <n v="1103"/>
    <n v="130154"/>
  </r>
  <r>
    <n v="502"/>
    <x v="2"/>
    <x v="47"/>
    <n v="61988"/>
    <n v="45423"/>
    <s v="Knnd Associates Pvt Ltd"/>
    <s v="Blackstone COE India Pvt Ltd Bangalore"/>
    <x v="52"/>
    <s v="120gsm 24G"/>
    <x v="1"/>
    <n v="50"/>
    <n v="1195"/>
    <n v="59750"/>
  </r>
  <r>
    <n v="503"/>
    <x v="2"/>
    <x v="47"/>
    <n v="61988"/>
    <n v="45423"/>
    <s v="Knnd Associates Pvt Ltd"/>
    <s v="Blackstone COE India Pvt Ltd Bangalore"/>
    <x v="1"/>
    <s v="Insu Armaflex Thermal 9mm"/>
    <x v="0"/>
    <n v="232.96193"/>
    <n v="289"/>
    <n v="67325.997770000002"/>
  </r>
  <r>
    <n v="504"/>
    <x v="2"/>
    <x v="47"/>
    <n v="61988"/>
    <n v="45423"/>
    <s v="Knnd Associates Pvt Ltd"/>
    <s v="Blackstone COE India Pvt Ltd Bangalore"/>
    <x v="15"/>
    <s v="Insu Supreme Thermal 9mm"/>
    <x v="1"/>
    <n v="100"/>
    <n v="154"/>
    <n v="15400"/>
  </r>
  <r>
    <n v="505"/>
    <x v="2"/>
    <x v="47"/>
    <n v="61849"/>
    <n v="45424"/>
    <s v="Techno Fabricators"/>
    <s v="Thalasseri Hotel &amp; Kannur Kerala "/>
    <x v="4"/>
    <s v="120gsm Slit 24G"/>
    <x v="0"/>
    <n v="13.1"/>
    <n v="710"/>
    <n v="9301"/>
  </r>
  <r>
    <n v="506"/>
    <x v="2"/>
    <x v="47"/>
    <n v="61849"/>
    <n v="45424"/>
    <s v="Techno Fabricators"/>
    <s v="Thalasseri Hotel &amp; Kannur Kerala "/>
    <x v="4"/>
    <s v="120gsm Slit 22G"/>
    <x v="0"/>
    <n v="5.9"/>
    <n v="865"/>
    <n v="5103.5"/>
  </r>
  <r>
    <n v="507"/>
    <x v="2"/>
    <x v="47"/>
    <n v="61849"/>
    <n v="45424"/>
    <s v="Techno Fabricators"/>
    <s v="Thalasseri Hotel &amp; Kannur Kerala "/>
    <x v="11"/>
    <s v="120gsm Slit 20G"/>
    <x v="0"/>
    <n v="0.6"/>
    <n v="960"/>
    <n v="576"/>
  </r>
  <r>
    <n v="508"/>
    <x v="2"/>
    <x v="47"/>
    <n v="61849"/>
    <n v="45424"/>
    <s v="Techno Fabricators"/>
    <s v="Thalasseri Hotel &amp; Kannur Kerala "/>
    <x v="30"/>
    <s v="120gsm Slit 24G"/>
    <x v="0"/>
    <n v="20.6"/>
    <n v="620"/>
    <n v="12772"/>
  </r>
  <r>
    <n v="509"/>
    <x v="2"/>
    <x v="47"/>
    <n v="61849"/>
    <n v="45424"/>
    <s v="Techno Fabricators"/>
    <s v="Thalasseri Hotel &amp; Kannur Kerala "/>
    <x v="36"/>
    <s v="120gsm Slit 22G"/>
    <x v="0"/>
    <n v="0.9"/>
    <n v="770"/>
    <n v="693"/>
  </r>
  <r>
    <n v="510"/>
    <x v="2"/>
    <x v="47"/>
    <n v="61849"/>
    <n v="45424"/>
    <s v="Techno Fabricators"/>
    <s v="Thalasseri Hotel &amp; Kannur Kerala "/>
    <x v="1"/>
    <s v="Insu Kflex Thermal 9mm"/>
    <x v="0"/>
    <n v="41.1"/>
    <n v="320"/>
    <n v="13152"/>
  </r>
  <r>
    <n v="511"/>
    <x v="2"/>
    <x v="48"/>
    <n v="61988"/>
    <n v="45425"/>
    <s v="Knnd Associates Pvt Ltd"/>
    <s v="Blackstone COE India Pvt Ltd Bangalore"/>
    <x v="51"/>
    <s v="120gsm 24G"/>
    <x v="1"/>
    <n v="5"/>
    <n v="757"/>
    <n v="3785"/>
  </r>
  <r>
    <n v="512"/>
    <x v="2"/>
    <x v="48"/>
    <n v="61988"/>
    <n v="45425"/>
    <s v="Knnd Associates Pvt Ltd"/>
    <s v="Blackstone COE India Pvt Ltd Bangalore"/>
    <x v="50"/>
    <s v="120gsm 24G"/>
    <x v="1"/>
    <n v="226"/>
    <n v="1103"/>
    <n v="249278"/>
  </r>
  <r>
    <n v="513"/>
    <x v="2"/>
    <x v="48"/>
    <n v="61988"/>
    <n v="45425"/>
    <s v="Knnd Associates Pvt Ltd"/>
    <s v="Blackstone COE India Pvt Ltd Bangalore"/>
    <x v="52"/>
    <s v="120gsm 24G"/>
    <x v="1"/>
    <n v="75"/>
    <n v="1195"/>
    <n v="89625"/>
  </r>
  <r>
    <n v="514"/>
    <x v="2"/>
    <x v="48"/>
    <n v="61988"/>
    <n v="45425"/>
    <s v="Knnd Associates Pvt Ltd"/>
    <s v="Blackstone COE India Pvt Ltd Bangalore"/>
    <x v="1"/>
    <s v="Insu Armaflex Thermal 9mm"/>
    <x v="0"/>
    <n v="418.76125000000002"/>
    <n v="289"/>
    <n v="121022.00125"/>
  </r>
  <r>
    <n v="515"/>
    <x v="2"/>
    <x v="48"/>
    <n v="61988"/>
    <n v="45425"/>
    <s v="Knnd Associates Pvt Ltd"/>
    <s v="Blackstone COE India Pvt Ltd Bangalore"/>
    <x v="15"/>
    <s v="Insu Supreme Thermal 9mm"/>
    <x v="1"/>
    <n v="360"/>
    <n v="154"/>
    <n v="55440"/>
  </r>
  <r>
    <n v="516"/>
    <x v="2"/>
    <x v="49"/>
    <n v="61993"/>
    <n v="45426"/>
    <s v="Knnd Associates Pvt Ltd"/>
    <s v="Infosys Bangalore B-3,4&amp;5"/>
    <x v="22"/>
    <s v="120gsm 24G"/>
    <x v="1"/>
    <n v="89"/>
    <n v="987"/>
    <n v="87843"/>
  </r>
  <r>
    <n v="517"/>
    <x v="2"/>
    <x v="49"/>
    <n v="61993"/>
    <n v="45426"/>
    <s v="Knnd Associates Pvt Ltd"/>
    <s v="Infosys Bangalore B-3,4&amp;5"/>
    <x v="63"/>
    <s v="120gsm 24G"/>
    <x v="1"/>
    <n v="3"/>
    <n v="482"/>
    <n v="1446"/>
  </r>
  <r>
    <n v="518"/>
    <x v="2"/>
    <x v="49"/>
    <n v="61993"/>
    <n v="45426"/>
    <s v="Knnd Associates Pvt Ltd"/>
    <s v="Infosys Bangalore B-3,4&amp;5"/>
    <x v="64"/>
    <s v="120gsm 24G"/>
    <x v="1"/>
    <n v="40"/>
    <n v="542"/>
    <n v="21680"/>
  </r>
  <r>
    <n v="519"/>
    <x v="2"/>
    <x v="49"/>
    <n v="61993"/>
    <n v="45426"/>
    <s v="Knnd Associates Pvt Ltd"/>
    <s v="Infosys Bangalore B-3,4&amp;5"/>
    <x v="65"/>
    <s v="120gsm 24G"/>
    <x v="1"/>
    <n v="3"/>
    <n v="645"/>
    <n v="1935"/>
  </r>
  <r>
    <n v="520"/>
    <x v="2"/>
    <x v="49"/>
    <n v="61993"/>
    <n v="45426"/>
    <s v="Knnd Associates Pvt Ltd"/>
    <s v="Infosys Bangalore B-3,4&amp;5"/>
    <x v="66"/>
    <s v="120gsm 24G"/>
    <x v="1"/>
    <n v="1"/>
    <n v="726"/>
    <n v="726"/>
  </r>
  <r>
    <n v="521"/>
    <x v="2"/>
    <x v="49"/>
    <n v="61993"/>
    <n v="45426"/>
    <s v="Knnd Associates Pvt Ltd"/>
    <s v="Infosys Bangalore B-3,4&amp;5"/>
    <x v="1"/>
    <s v="Insu TB Thermal 9mm Al. Foil"/>
    <x v="0"/>
    <n v="105.97423000000001"/>
    <n v="582"/>
    <n v="61677.001860000004"/>
  </r>
  <r>
    <n v="522"/>
    <x v="2"/>
    <x v="49"/>
    <n v="61993"/>
    <n v="45426"/>
    <s v="Knnd Associates Pvt Ltd"/>
    <s v="Infosys Bangalore B-3,4&amp;5"/>
    <x v="1"/>
    <s v="Insu Armasound Acou. 15mm"/>
    <x v="0"/>
    <n v="29.720000000000002"/>
    <n v="900"/>
    <n v="26748.000000000004"/>
  </r>
  <r>
    <n v="523"/>
    <x v="2"/>
    <x v="50"/>
    <n v="61928"/>
    <n v="45427"/>
    <s v="Knnd Associates Pvt Ltd"/>
    <s v="Rajeev Gandhi Hospital Bangalore"/>
    <x v="0"/>
    <s v="Alu. 0.8mm"/>
    <x v="0"/>
    <n v="19.899999999999999"/>
    <n v="1269"/>
    <n v="25253.1"/>
  </r>
  <r>
    <n v="524"/>
    <x v="2"/>
    <x v="50"/>
    <n v="61928"/>
    <n v="45427"/>
    <s v="Knnd Associates Pvt Ltd"/>
    <s v="Rajeev Gandhi Hospital Bangalore"/>
    <x v="1"/>
    <s v="Insu Supreme Thermal 13mm Glass Cloth"/>
    <x v="0"/>
    <n v="9"/>
    <n v="507"/>
    <n v="4563"/>
  </r>
  <r>
    <n v="525"/>
    <x v="2"/>
    <x v="50"/>
    <n v="61928"/>
    <n v="45427"/>
    <s v="Knnd Associates Pvt Ltd"/>
    <s v="Rajeev Gandhi Hospital Bangalore"/>
    <x v="1"/>
    <s v="Insu Supreme Thermal 19mm Glass Cloth"/>
    <x v="0"/>
    <n v="10.9"/>
    <n v="594"/>
    <n v="6474.6"/>
  </r>
  <r>
    <n v="526"/>
    <x v="2"/>
    <x v="50"/>
    <n v="61928"/>
    <n v="45427"/>
    <s v="Knnd Associates Pvt Ltd"/>
    <s v="Rajeev Gandhi Hospital Bangalore"/>
    <x v="14"/>
    <s v="Alu. 0.8mm"/>
    <x v="0"/>
    <n v="9"/>
    <n v="920"/>
    <n v="8280"/>
  </r>
  <r>
    <n v="527"/>
    <x v="2"/>
    <x v="50"/>
    <n v="61928"/>
    <n v="45427"/>
    <s v="Knnd Associates Pvt Ltd"/>
    <s v="Rajeev Gandhi Hospital Bangalore"/>
    <x v="15"/>
    <s v="Insu Supreme Thermal 13mm Al. Foil"/>
    <x v="0"/>
    <n v="16.8"/>
    <n v="250"/>
    <n v="4200"/>
  </r>
  <r>
    <n v="528"/>
    <x v="2"/>
    <x v="50"/>
    <n v="61928"/>
    <n v="45427"/>
    <s v="Knnd Associates Pvt Ltd"/>
    <s v="Rajeev Gandhi Hospital Bangalore"/>
    <x v="15"/>
    <s v="Insu Supreme Thermal 13mm Glass Cloth"/>
    <x v="0"/>
    <n v="16.8"/>
    <n v="360"/>
    <n v="6048"/>
  </r>
  <r>
    <n v="529"/>
    <x v="2"/>
    <x v="50"/>
    <n v="61995"/>
    <n v="45428"/>
    <s v="Eqube Energy &amp; Research Services LLP"/>
    <s v="Gold Hill Excelsior Bangalore"/>
    <x v="0"/>
    <s v="120gsm 24G"/>
    <x v="0"/>
    <n v="15.6"/>
    <n v="670"/>
    <n v="10452"/>
  </r>
  <r>
    <n v="530"/>
    <x v="2"/>
    <x v="50"/>
    <n v="61995"/>
    <n v="45428"/>
    <s v="Eqube Energy &amp; Research Services LLP"/>
    <s v="Gold Hill Excelsior Bangalore"/>
    <x v="0"/>
    <s v="120gsm 22G"/>
    <x v="0"/>
    <n v="1.7"/>
    <n v="868"/>
    <n v="1475.6"/>
  </r>
  <r>
    <n v="531"/>
    <x v="2"/>
    <x v="50"/>
    <n v="61995"/>
    <n v="45428"/>
    <s v="Eqube Energy &amp; Research Services LLP"/>
    <s v="Gold Hill Excelsior Bangalore"/>
    <x v="67"/>
    <s v="120gsm 24G"/>
    <x v="1"/>
    <n v="3"/>
    <n v="750"/>
    <n v="2250"/>
  </r>
  <r>
    <n v="532"/>
    <x v="2"/>
    <x v="50"/>
    <n v="61995"/>
    <n v="45428"/>
    <s v="Eqube Energy &amp; Research Services LLP"/>
    <s v="Gold Hill Excelsior Bangalore"/>
    <x v="68"/>
    <s v="120gsm 22G"/>
    <x v="1"/>
    <n v="3"/>
    <n v="660"/>
    <n v="1980"/>
  </r>
  <r>
    <n v="533"/>
    <x v="2"/>
    <x v="50"/>
    <n v="61994"/>
    <n v="45429"/>
    <s v="Knnd Associates Pvt Ltd"/>
    <s v="Zentech Business Park Bangalore"/>
    <x v="0"/>
    <s v="120gsm 24G"/>
    <x v="0"/>
    <n v="464.4"/>
    <n v="670"/>
    <n v="311148"/>
  </r>
  <r>
    <n v="534"/>
    <x v="2"/>
    <x v="51"/>
    <n v="61930"/>
    <n v="45430"/>
    <s v="Knnd Associates Pvt Ltd"/>
    <s v="Blackstone COE India Pvt Ltd Bangalore"/>
    <x v="0"/>
    <s v="120gsm 24G"/>
    <x v="0"/>
    <n v="62.6"/>
    <n v="585"/>
    <n v="36621"/>
  </r>
  <r>
    <n v="535"/>
    <x v="2"/>
    <x v="51"/>
    <n v="61930"/>
    <n v="45430"/>
    <s v="Knnd Associates Pvt Ltd"/>
    <s v="Blackstone COE India Pvt Ltd Bangalore"/>
    <x v="1"/>
    <s v="Insu Armaflex Thermal 9mm"/>
    <x v="0"/>
    <n v="34"/>
    <n v="289"/>
    <n v="9826"/>
  </r>
  <r>
    <n v="536"/>
    <x v="2"/>
    <x v="51"/>
    <n v="61930"/>
    <n v="45430"/>
    <s v="Knnd Associates Pvt Ltd"/>
    <s v="Blackstone COE India Pvt Ltd Bangalore"/>
    <x v="1"/>
    <s v="Insu Armasound Acou. 15mm"/>
    <x v="0"/>
    <n v="28.6"/>
    <n v="805"/>
    <n v="23023"/>
  </r>
  <r>
    <n v="537"/>
    <x v="2"/>
    <x v="51"/>
    <n v="61930"/>
    <n v="45430"/>
    <s v="Knnd Associates Pvt Ltd"/>
    <s v="Blackstone COE India Pvt Ltd Bangalore"/>
    <x v="2"/>
    <s v="Polythene wrapping"/>
    <x v="0"/>
    <n v="45"/>
    <n v="15"/>
    <n v="675"/>
  </r>
  <r>
    <n v="538"/>
    <x v="2"/>
    <x v="51"/>
    <n v="61996"/>
    <n v="45431"/>
    <s v="Knnd Associates Pvt Ltd"/>
    <s v="Infosys SDB-8 Hyderabad"/>
    <x v="8"/>
    <s v="120gsm 20G"/>
    <x v="0"/>
    <n v="4.3"/>
    <n v="5200"/>
    <n v="22360"/>
  </r>
  <r>
    <n v="539"/>
    <x v="2"/>
    <x v="52"/>
    <n v="61955"/>
    <n v="45432"/>
    <s v="Knnd Associates Pvt Ltd"/>
    <s v="MAHE Lecture Hall Campus Bangalore"/>
    <x v="0"/>
    <s v="120gsm 24G"/>
    <x v="0"/>
    <n v="79.599999999999994"/>
    <n v="670"/>
    <n v="53331.999999999993"/>
  </r>
  <r>
    <n v="540"/>
    <x v="2"/>
    <x v="52"/>
    <n v="61955"/>
    <n v="45432"/>
    <s v="Knnd Associates Pvt Ltd"/>
    <s v="MAHE Lecture Hall Campus Bangalore"/>
    <x v="0"/>
    <s v="120gsm 22G"/>
    <x v="0"/>
    <n v="117.6"/>
    <n v="868"/>
    <n v="102076.79999999999"/>
  </r>
  <r>
    <n v="541"/>
    <x v="2"/>
    <x v="52"/>
    <n v="61955"/>
    <n v="45432"/>
    <s v="Knnd Associates Pvt Ltd"/>
    <s v="MAHE Lecture Hall Campus Bangalore"/>
    <x v="1"/>
    <s v="Insu Supreme Acou. 15mm"/>
    <x v="0"/>
    <n v="197.2"/>
    <n v="820"/>
    <n v="161704"/>
  </r>
  <r>
    <n v="542"/>
    <x v="2"/>
    <x v="52"/>
    <n v="61955"/>
    <n v="45433"/>
    <s v="Knnd Associates Pvt Ltd"/>
    <s v="MAHE Lecture Hall Campus Bangalore"/>
    <x v="0"/>
    <s v="120gsm 24G"/>
    <x v="0"/>
    <n v="10.7"/>
    <n v="670"/>
    <n v="7168.9999999999991"/>
  </r>
  <r>
    <n v="543"/>
    <x v="2"/>
    <x v="52"/>
    <n v="61955"/>
    <n v="45433"/>
    <s v="Knnd Associates Pvt Ltd"/>
    <s v="MAHE Lecture Hall Campus Bangalore"/>
    <x v="0"/>
    <s v="120gsm 22G"/>
    <x v="0"/>
    <n v="44.3"/>
    <n v="868"/>
    <n v="38452.399999999994"/>
  </r>
  <r>
    <n v="544"/>
    <x v="2"/>
    <x v="52"/>
    <n v="61955"/>
    <n v="45433"/>
    <s v="Knnd Associates Pvt Ltd"/>
    <s v="MAHE Lecture Hall Campus Bangalore"/>
    <x v="69"/>
    <s v="120gsm 20G"/>
    <x v="1"/>
    <n v="8"/>
    <n v="1040"/>
    <n v="8320"/>
  </r>
  <r>
    <n v="545"/>
    <x v="2"/>
    <x v="52"/>
    <n v="61997"/>
    <n v="45434"/>
    <s v="Knnd Associates Pvt Ltd"/>
    <s v="BDR Hospital Pune"/>
    <x v="0"/>
    <s v="120gsm 24G"/>
    <x v="0"/>
    <n v="211.7"/>
    <n v="670"/>
    <n v="141839"/>
  </r>
  <r>
    <n v="546"/>
    <x v="2"/>
    <x v="52"/>
    <n v="61997"/>
    <n v="45434"/>
    <s v="Knnd Associates Pvt Ltd"/>
    <s v="BDR Hospital Pune"/>
    <x v="0"/>
    <s v="120gsm 22G"/>
    <x v="0"/>
    <n v="45.1"/>
    <n v="868"/>
    <n v="39146.800000000003"/>
  </r>
  <r>
    <n v="547"/>
    <x v="2"/>
    <x v="52"/>
    <n v="61997"/>
    <n v="45434"/>
    <s v="Knnd Associates Pvt Ltd"/>
    <s v="BDR Hospital Pune"/>
    <x v="33"/>
    <s v="120gsm 24G"/>
    <x v="1"/>
    <n v="51"/>
    <n v="75"/>
    <n v="3825"/>
  </r>
  <r>
    <n v="548"/>
    <x v="2"/>
    <x v="52"/>
    <n v="61965"/>
    <n v="45435"/>
    <s v="Knnd Associates Pvt Ltd"/>
    <s v="IISC Medical School Foundation Bangalore"/>
    <x v="0"/>
    <s v="120gsm 24G"/>
    <x v="0"/>
    <n v="255.3"/>
    <n v="670"/>
    <n v="171051"/>
  </r>
  <r>
    <n v="549"/>
    <x v="2"/>
    <x v="52"/>
    <n v="61965"/>
    <n v="45435"/>
    <s v="Knnd Associates Pvt Ltd"/>
    <s v="IISC Medical School Foundation Bangalore"/>
    <x v="0"/>
    <s v="120gsm 22G"/>
    <x v="0"/>
    <n v="179.5"/>
    <n v="868"/>
    <n v="155806"/>
  </r>
  <r>
    <n v="550"/>
    <x v="2"/>
    <x v="52"/>
    <n v="61965"/>
    <n v="45435"/>
    <s v="Knnd Associates Pvt Ltd"/>
    <s v="IISC Medical School Foundation Bangalore"/>
    <x v="1"/>
    <s v="Insu Armaflex Thermal 19mm"/>
    <x v="0"/>
    <n v="100.2"/>
    <n v="441"/>
    <n v="44188.200000000004"/>
  </r>
  <r>
    <n v="551"/>
    <x v="2"/>
    <x v="52"/>
    <n v="61965"/>
    <n v="45435"/>
    <s v="Knnd Associates Pvt Ltd"/>
    <s v="IISC Medical School Foundation Bangalore"/>
    <x v="2"/>
    <s v="Polythene wrapping"/>
    <x v="0"/>
    <n v="140"/>
    <n v="20"/>
    <n v="2800"/>
  </r>
  <r>
    <n v="552"/>
    <x v="2"/>
    <x v="53"/>
    <n v="61965"/>
    <n v="45436"/>
    <s v="Knnd Associates Pvt Ltd"/>
    <s v="IISC Medical School Foundation Bangalore"/>
    <x v="0"/>
    <s v="120gsm 24G"/>
    <x v="0"/>
    <n v="192.4"/>
    <n v="670"/>
    <n v="128908"/>
  </r>
  <r>
    <n v="553"/>
    <x v="2"/>
    <x v="53"/>
    <n v="61965"/>
    <n v="45436"/>
    <s v="Knnd Associates Pvt Ltd"/>
    <s v="IISC Medical School Foundation Bangalore"/>
    <x v="0"/>
    <s v="120gsm 22G"/>
    <x v="0"/>
    <n v="46.3"/>
    <n v="868"/>
    <n v="40188.399999999994"/>
  </r>
  <r>
    <n v="554"/>
    <x v="2"/>
    <x v="53"/>
    <n v="61965"/>
    <n v="45436"/>
    <s v="Knnd Associates Pvt Ltd"/>
    <s v="IISC Medical School Foundation Bangalore"/>
    <x v="30"/>
    <s v="120gsm Slit 24G"/>
    <x v="0"/>
    <n v="40.5"/>
    <n v="620"/>
    <n v="25110"/>
  </r>
  <r>
    <n v="555"/>
    <x v="2"/>
    <x v="53"/>
    <n v="61965"/>
    <n v="45436"/>
    <s v="Knnd Associates Pvt Ltd"/>
    <s v="IISC Medical School Foundation Bangalore"/>
    <x v="33"/>
    <s v="120gsm 24G"/>
    <x v="1"/>
    <n v="25"/>
    <n v="70"/>
    <n v="1750"/>
  </r>
  <r>
    <n v="556"/>
    <x v="2"/>
    <x v="53"/>
    <n v="61965"/>
    <n v="45436"/>
    <s v="Knnd Associates Pvt Ltd"/>
    <s v="IISC Medical School Foundation Bangalore"/>
    <x v="1"/>
    <s v="Insu Armaflex Thermal 19mm"/>
    <x v="0"/>
    <n v="256.5"/>
    <n v="441"/>
    <n v="113116.5"/>
  </r>
  <r>
    <n v="557"/>
    <x v="2"/>
    <x v="53"/>
    <n v="61965"/>
    <n v="45436"/>
    <s v="Knnd Associates Pvt Ltd"/>
    <s v="IISC Medical School Foundation Bangalore"/>
    <x v="1"/>
    <s v="Insu Armasound Acou. 15mm"/>
    <x v="0"/>
    <n v="22.7"/>
    <n v="838"/>
    <n v="19022.599999999999"/>
  </r>
  <r>
    <n v="558"/>
    <x v="2"/>
    <x v="53"/>
    <n v="61965"/>
    <n v="45436"/>
    <s v="Knnd Associates Pvt Ltd"/>
    <s v="IISC Medical School Foundation Bangalore"/>
    <x v="2"/>
    <s v="Polythene wrapping"/>
    <x v="0"/>
    <n v="300"/>
    <n v="20"/>
    <n v="6000"/>
  </r>
  <r>
    <n v="559"/>
    <x v="2"/>
    <x v="53"/>
    <n v="61965"/>
    <n v="45436"/>
    <s v="Knnd Associates Pvt Ltd"/>
    <s v="IISC Medical School Foundation Bangalore"/>
    <x v="34"/>
    <s v="Tape"/>
    <x v="1"/>
    <n v="36"/>
    <n v="190"/>
    <n v="6840"/>
  </r>
  <r>
    <n v="560"/>
    <x v="2"/>
    <x v="54"/>
    <n v="61997"/>
    <n v="45437"/>
    <s v="Knnd Associates Pvt Ltd"/>
    <s v="BDR Hospital Pune"/>
    <x v="0"/>
    <s v="120gsm 24G"/>
    <x v="0"/>
    <n v="544.29999999999995"/>
    <n v="670"/>
    <n v="364680.99999999994"/>
  </r>
  <r>
    <n v="561"/>
    <x v="2"/>
    <x v="54"/>
    <n v="61997"/>
    <n v="45437"/>
    <s v="Knnd Associates Pvt Ltd"/>
    <s v="BDR Hospital Pune"/>
    <x v="0"/>
    <s v="120gsm 22G"/>
    <x v="0"/>
    <n v="149.69999999999999"/>
    <n v="868"/>
    <n v="129939.59999999999"/>
  </r>
  <r>
    <n v="562"/>
    <x v="2"/>
    <x v="54"/>
    <n v="61997"/>
    <n v="45437"/>
    <s v="Knnd Associates Pvt Ltd"/>
    <s v="BDR Hospital Pune"/>
    <x v="1"/>
    <s v="Insu Supreme Thermal 13mm Glass Cloth"/>
    <x v="0"/>
    <n v="694"/>
    <n v="507"/>
    <n v="351858"/>
  </r>
  <r>
    <n v="563"/>
    <x v="2"/>
    <x v="54"/>
    <n v="61997"/>
    <n v="45437"/>
    <s v="Knnd Associates Pvt Ltd"/>
    <s v="BDR Hospital Pune"/>
    <x v="15"/>
    <s v="Insu Supreme Thermal 13mm Glass Cloth"/>
    <x v="0"/>
    <n v="100.8"/>
    <n v="360"/>
    <n v="36288"/>
  </r>
  <r>
    <n v="564"/>
    <x v="2"/>
    <x v="54"/>
    <n v="61997"/>
    <n v="45437"/>
    <s v="Knnd Associates Pvt Ltd"/>
    <s v="BDR Hospital Pune"/>
    <x v="33"/>
    <s v="120gsm 24G"/>
    <x v="1"/>
    <n v="93"/>
    <n v="75"/>
    <n v="6975"/>
  </r>
  <r>
    <n v="565"/>
    <x v="2"/>
    <x v="54"/>
    <n v="61997"/>
    <n v="45437"/>
    <s v="Knnd Associates Pvt Ltd"/>
    <s v="BDR Hospital Pune"/>
    <x v="2"/>
    <s v="Polythene wrapping"/>
    <x v="0"/>
    <n v="750"/>
    <n v="20"/>
    <n v="15000"/>
  </r>
  <r>
    <n v="566"/>
    <x v="2"/>
    <x v="55"/>
    <n v="61967"/>
    <n v="45438"/>
    <s v="Knnd Associates Pvt Ltd"/>
    <s v="AIIMS Hospital Madurai"/>
    <x v="0"/>
    <s v="120gsm 24G"/>
    <x v="0"/>
    <n v="206.2"/>
    <n v="670"/>
    <n v="138154"/>
  </r>
  <r>
    <n v="567"/>
    <x v="2"/>
    <x v="55"/>
    <n v="61967"/>
    <n v="45438"/>
    <s v="Knnd Associates Pvt Ltd"/>
    <s v="AIIMS Hospital Madurai"/>
    <x v="0"/>
    <s v="120gsm 22G"/>
    <x v="0"/>
    <n v="175.1"/>
    <n v="868"/>
    <n v="151986.79999999999"/>
  </r>
  <r>
    <n v="568"/>
    <x v="2"/>
    <x v="55"/>
    <n v="61967"/>
    <n v="45438"/>
    <s v="Knnd Associates Pvt Ltd"/>
    <s v="AIIMS Hospital Madurai"/>
    <x v="0"/>
    <s v="120gsm 20G"/>
    <x v="0"/>
    <n v="22.8"/>
    <n v="1060"/>
    <n v="24168"/>
  </r>
  <r>
    <n v="569"/>
    <x v="2"/>
    <x v="55"/>
    <n v="61967"/>
    <n v="45438"/>
    <s v="Knnd Associates Pvt Ltd"/>
    <s v="AIIMS Hospital Madurai"/>
    <x v="1"/>
    <s v="Insu Kflex Thermal 13mm Al. Foil"/>
    <x v="0"/>
    <n v="116"/>
    <n v="415"/>
    <n v="48140"/>
  </r>
  <r>
    <n v="570"/>
    <x v="2"/>
    <x v="55"/>
    <n v="61967"/>
    <n v="45438"/>
    <s v="Knnd Associates Pvt Ltd"/>
    <s v="AIIMS Hospital Madurai"/>
    <x v="1"/>
    <s v="Insu Kflex Thermal 19mm Al. Foil"/>
    <x v="0"/>
    <n v="48.9"/>
    <n v="465"/>
    <n v="22738.5"/>
  </r>
  <r>
    <n v="571"/>
    <x v="2"/>
    <x v="55"/>
    <n v="61967"/>
    <n v="45438"/>
    <s v="Knnd Associates Pvt Ltd"/>
    <s v="AIIMS Hospital Madurai"/>
    <x v="2"/>
    <s v="Polythene wrapping"/>
    <x v="0"/>
    <n v="200"/>
    <n v="20"/>
    <n v="4000"/>
  </r>
  <r>
    <n v="572"/>
    <x v="2"/>
    <x v="55"/>
    <n v="61988"/>
    <n v="45439"/>
    <s v="Knnd Associates Pvt Ltd"/>
    <s v="Blackstone COE India Pvt Ltd Bangalore"/>
    <x v="14"/>
    <s v="120gsm 24G"/>
    <x v="0"/>
    <n v="75"/>
    <n v="495"/>
    <n v="37125"/>
  </r>
  <r>
    <n v="573"/>
    <x v="2"/>
    <x v="56"/>
    <n v="61988"/>
    <n v="45440"/>
    <s v="Knnd Associates Pvt Ltd"/>
    <s v="Blackstone COE India Pvt Ltd Bangalore"/>
    <x v="50"/>
    <s v="120gsm 24G"/>
    <x v="1"/>
    <n v="149"/>
    <n v="1103"/>
    <n v="164347"/>
  </r>
  <r>
    <n v="574"/>
    <x v="2"/>
    <x v="56"/>
    <n v="61988"/>
    <n v="45440"/>
    <s v="Knnd Associates Pvt Ltd"/>
    <s v="Blackstone COE India Pvt Ltd Bangalore"/>
    <x v="52"/>
    <s v="120gsm 24G"/>
    <x v="1"/>
    <n v="54"/>
    <n v="1195"/>
    <n v="64530"/>
  </r>
  <r>
    <n v="575"/>
    <x v="2"/>
    <x v="56"/>
    <n v="61988"/>
    <n v="45440"/>
    <s v="Knnd Associates Pvt Ltd"/>
    <s v="Blackstone COE India Pvt Ltd Bangalore"/>
    <x v="1"/>
    <s v="Insu Armaflex Thermal 9mm"/>
    <x v="0"/>
    <n v="280.09689500000002"/>
    <n v="289"/>
    <n v="80948.002655000004"/>
  </r>
  <r>
    <n v="576"/>
    <x v="2"/>
    <x v="57"/>
    <n v="61998"/>
    <n v="45441"/>
    <s v="Knnd Associates Pvt Ltd"/>
    <s v="Infosys Noida SDB-1"/>
    <x v="22"/>
    <s v="120gsm 24G"/>
    <x v="1"/>
    <n v="108"/>
    <n v="991"/>
    <n v="107028"/>
  </r>
  <r>
    <n v="577"/>
    <x v="2"/>
    <x v="57"/>
    <n v="61998"/>
    <n v="45441"/>
    <s v="Knnd Associates Pvt Ltd"/>
    <s v="Infosys Noida SDB-1"/>
    <x v="64"/>
    <s v="120gsm 24G"/>
    <x v="1"/>
    <n v="26"/>
    <n v="542"/>
    <n v="14092"/>
  </r>
  <r>
    <n v="578"/>
    <x v="2"/>
    <x v="57"/>
    <n v="61998"/>
    <n v="45441"/>
    <s v="Knnd Associates Pvt Ltd"/>
    <s v="Infosys Noida SDB-1"/>
    <x v="1"/>
    <s v="Insu Armasound Acou. 15mm"/>
    <x v="0"/>
    <n v="16.12"/>
    <n v="900"/>
    <n v="14508"/>
  </r>
  <r>
    <n v="579"/>
    <x v="2"/>
    <x v="57"/>
    <n v="61998"/>
    <n v="45441"/>
    <s v="Knnd Associates Pvt Ltd"/>
    <s v="Infosys Noida SDB-1"/>
    <x v="1"/>
    <s v="Insu TB Thermal 13mm Al. Foil"/>
    <x v="0"/>
    <n v="128.4"/>
    <n v="630"/>
    <n v="80892"/>
  </r>
  <r>
    <n v="580"/>
    <x v="2"/>
    <x v="57"/>
    <n v="61998"/>
    <n v="45441"/>
    <s v="Knnd Associates Pvt Ltd"/>
    <s v="Infosys Noida SDB-1"/>
    <x v="17"/>
    <s v="120gsm 22G"/>
    <x v="1"/>
    <n v="108"/>
    <n v="440"/>
    <n v="47520"/>
  </r>
  <r>
    <n v="581"/>
    <x v="2"/>
    <x v="57"/>
    <n v="61998"/>
    <n v="45441"/>
    <s v="Knnd Associates Pvt Ltd"/>
    <s v="Infosys Noida SDB-1"/>
    <x v="8"/>
    <s v="120gsm 20G"/>
    <x v="0"/>
    <n v="2.8"/>
    <n v="5200"/>
    <n v="14559.999999999998"/>
  </r>
  <r>
    <n v="582"/>
    <x v="2"/>
    <x v="57"/>
    <n v="61768"/>
    <n v="45442"/>
    <s v="Camduct India Pvt Ltd-Haryana"/>
    <s v="Camduct India Pvt Ltd-Haryana Branch"/>
    <x v="12"/>
    <s v="Power Press Machine (5 Ton Capacity)"/>
    <x v="1"/>
    <n v="1"/>
    <n v="39500"/>
    <n v="39500"/>
  </r>
  <r>
    <n v="583"/>
    <x v="2"/>
    <x v="57"/>
    <n v="61768"/>
    <n v="45442"/>
    <s v="Camduct India Pvt Ltd-Haryana"/>
    <s v="Camduct India Pvt Ltd-Haryana Branch"/>
    <x v="12"/>
    <s v="Grooving Machine"/>
    <x v="1"/>
    <n v="1"/>
    <n v="55000"/>
    <n v="55000"/>
  </r>
  <r>
    <n v="584"/>
    <x v="2"/>
    <x v="57"/>
    <n v="61768"/>
    <n v="45442"/>
    <s v="Camduct India Pvt Ltd-Haryana"/>
    <s v="Camduct India Pvt Ltd-Haryana Branch"/>
    <x v="12"/>
    <s v="Oval Pinching Machine"/>
    <x v="1"/>
    <n v="1"/>
    <n v="156100"/>
    <n v="156100"/>
  </r>
  <r>
    <n v="585"/>
    <x v="2"/>
    <x v="57"/>
    <n v="61768"/>
    <n v="45443"/>
    <s v="Camduct India Pvt Ltd-Haryana"/>
    <s v="Camduct India Pvt Ltd-Haryana Branch"/>
    <x v="12"/>
    <s v="Cleats"/>
    <x v="1"/>
    <n v="4000"/>
    <n v="5"/>
    <n v="20000"/>
  </r>
  <r>
    <n v="586"/>
    <x v="2"/>
    <x v="57"/>
    <n v="61768"/>
    <n v="45443"/>
    <s v="Camduct India Pvt Ltd-Haryana"/>
    <s v="Camduct India Pvt Ltd-Haryana Branch"/>
    <x v="12"/>
    <s v="Hose Pipe (PVC-5Mtr)"/>
    <x v="1"/>
    <n v="1"/>
    <n v="550"/>
    <n v="550"/>
  </r>
  <r>
    <n v="587"/>
    <x v="2"/>
    <x v="57"/>
    <n v="61768"/>
    <n v="45443"/>
    <s v="Camduct India Pvt Ltd-Haryana"/>
    <s v="Camduct India Pvt Ltd-Haryana Branch"/>
    <x v="12"/>
    <s v="MS Channel (Size-250*150mm)"/>
    <x v="5"/>
    <n v="510"/>
    <n v="45"/>
    <n v="22950"/>
  </r>
  <r>
    <n v="588"/>
    <x v="2"/>
    <x v="58"/>
    <n v="61930"/>
    <n v="45444"/>
    <s v="Knnd Associates Pvt Ltd"/>
    <s v="Blackstone COE India Pvt Ltd Bangalore"/>
    <x v="0"/>
    <s v="120gsm 24G"/>
    <x v="0"/>
    <n v="3.5"/>
    <n v="585"/>
    <n v="2047.5"/>
  </r>
  <r>
    <n v="589"/>
    <x v="2"/>
    <x v="58"/>
    <n v="61930"/>
    <n v="45444"/>
    <s v="Knnd Associates Pvt Ltd"/>
    <s v="Blackstone COE India Pvt Ltd Bangalore"/>
    <x v="0"/>
    <s v="120gsm 20G"/>
    <x v="0"/>
    <n v="5.5"/>
    <n v="915"/>
    <n v="5032.5"/>
  </r>
  <r>
    <n v="590"/>
    <x v="2"/>
    <x v="58"/>
    <n v="61930"/>
    <n v="45444"/>
    <s v="Knnd Associates Pvt Ltd"/>
    <s v="Blackstone COE India Pvt Ltd Bangalore"/>
    <x v="1"/>
    <s v="Insu Armasound Acou. 25mm"/>
    <x v="0"/>
    <n v="9"/>
    <n v="1271"/>
    <n v="11439"/>
  </r>
  <r>
    <n v="591"/>
    <x v="2"/>
    <x v="59"/>
    <n v="61968"/>
    <n v="45445"/>
    <s v="Knnd Associates Pvt Ltd"/>
    <s v="Chanakya University HB-3A Bangalore"/>
    <x v="30"/>
    <s v="120gsm Slit 24G"/>
    <x v="0"/>
    <n v="526.70000000000005"/>
    <n v="620"/>
    <n v="326554"/>
  </r>
  <r>
    <n v="592"/>
    <x v="2"/>
    <x v="59"/>
    <n v="61968"/>
    <n v="45445"/>
    <s v="Knnd Associates Pvt Ltd"/>
    <s v="Chanakya University HB-3A Bangalore"/>
    <x v="36"/>
    <s v="120gsm Slit 22G"/>
    <x v="0"/>
    <n v="3.1"/>
    <n v="770"/>
    <n v="2387"/>
  </r>
  <r>
    <n v="593"/>
    <x v="2"/>
    <x v="59"/>
    <n v="61976"/>
    <n v="45446"/>
    <s v="Knnd Associates Pvt Ltd"/>
    <s v="IISC Medical School Foundation Bangalore"/>
    <x v="43"/>
    <s v="120gsm 24G"/>
    <x v="1"/>
    <n v="170"/>
    <n v="420"/>
    <n v="71400"/>
  </r>
  <r>
    <n v="594"/>
    <x v="2"/>
    <x v="59"/>
    <n v="61976"/>
    <n v="45446"/>
    <s v="Knnd Associates Pvt Ltd"/>
    <s v="IISC Medical School Foundation Bangalore"/>
    <x v="47"/>
    <s v="120gsm 24G"/>
    <x v="1"/>
    <n v="13"/>
    <n v="508"/>
    <n v="6604"/>
  </r>
  <r>
    <n v="595"/>
    <x v="2"/>
    <x v="59"/>
    <n v="61976"/>
    <n v="45446"/>
    <s v="Knnd Associates Pvt Ltd"/>
    <s v="IISC Medical School Foundation Bangalore"/>
    <x v="44"/>
    <s v="120gsm 24G"/>
    <x v="1"/>
    <n v="370"/>
    <n v="435"/>
    <n v="160950"/>
  </r>
  <r>
    <n v="596"/>
    <x v="2"/>
    <x v="59"/>
    <n v="61976"/>
    <n v="45446"/>
    <s v="Knnd Associates Pvt Ltd"/>
    <s v="IISC Medical School Foundation Bangalore"/>
    <x v="48"/>
    <s v="120gsm 24G"/>
    <x v="1"/>
    <n v="27"/>
    <n v="560"/>
    <n v="15120"/>
  </r>
  <r>
    <n v="597"/>
    <x v="2"/>
    <x v="59"/>
    <n v="61976"/>
    <n v="45446"/>
    <s v="Knnd Associates Pvt Ltd"/>
    <s v="IISC Medical School Foundation Bangalore"/>
    <x v="49"/>
    <s v="120gsm 24G"/>
    <x v="1"/>
    <n v="8"/>
    <n v="894"/>
    <n v="7152"/>
  </r>
  <r>
    <n v="598"/>
    <x v="2"/>
    <x v="59"/>
    <n v="61976"/>
    <n v="45446"/>
    <s v="Knnd Associates Pvt Ltd"/>
    <s v="IISC Medical School Foundation Bangalore"/>
    <x v="46"/>
    <s v="120gsm 24G"/>
    <x v="1"/>
    <n v="150"/>
    <n v="660"/>
    <n v="99000"/>
  </r>
  <r>
    <n v="599"/>
    <x v="2"/>
    <x v="59"/>
    <n v="61976"/>
    <n v="45446"/>
    <s v="Knnd Associates Pvt Ltd"/>
    <s v="IISC Medical School Foundation Bangalore"/>
    <x v="70"/>
    <s v="120gsm 24G"/>
    <x v="1"/>
    <n v="2"/>
    <n v="743"/>
    <n v="1486"/>
  </r>
  <r>
    <n v="600"/>
    <x v="2"/>
    <x v="59"/>
    <n v="61976"/>
    <n v="45446"/>
    <s v="Knnd Associates Pvt Ltd"/>
    <s v="IISC Medical School Foundation Bangalore"/>
    <x v="1"/>
    <s v="Insu Armaflex Thermal 19mm"/>
    <x v="0"/>
    <n v="561.95690999999999"/>
    <n v="441"/>
    <n v="247822.99731000001"/>
  </r>
  <r>
    <n v="601"/>
    <x v="2"/>
    <x v="59"/>
    <n v="61976"/>
    <n v="45446"/>
    <s v="Knnd Associates Pvt Ltd"/>
    <s v="IISC Medical School Foundation Bangalore"/>
    <x v="34"/>
    <s v="Tape"/>
    <x v="1"/>
    <n v="183"/>
    <n v="190"/>
    <n v="34770"/>
  </r>
  <r>
    <n v="602"/>
    <x v="2"/>
    <x v="60"/>
    <n v="61999"/>
    <n v="45447"/>
    <s v="Knnd Associates Pvt Ltd"/>
    <s v="Wipro Kodathi Bangalore"/>
    <x v="0"/>
    <s v="120gsm 24G"/>
    <x v="0"/>
    <n v="43.2"/>
    <n v="670"/>
    <n v="28944.000000000004"/>
  </r>
  <r>
    <n v="603"/>
    <x v="2"/>
    <x v="60"/>
    <n v="61999"/>
    <n v="45447"/>
    <s v="Knnd Associates Pvt Ltd"/>
    <s v="Wipro Kodathi Bangalore"/>
    <x v="0"/>
    <s v="120gsm 22G"/>
    <x v="0"/>
    <n v="29.5"/>
    <n v="868"/>
    <n v="25606"/>
  </r>
  <r>
    <n v="604"/>
    <x v="2"/>
    <x v="60"/>
    <n v="61999"/>
    <n v="45447"/>
    <s v="Knnd Associates Pvt Ltd"/>
    <s v="Wipro Kodathi Bangalore"/>
    <x v="8"/>
    <s v="120gsm 20G"/>
    <x v="0"/>
    <n v="0.4"/>
    <n v="5200"/>
    <n v="2080"/>
  </r>
  <r>
    <n v="605"/>
    <x v="2"/>
    <x v="60"/>
    <n v="61999"/>
    <n v="45447"/>
    <s v="Knnd Associates Pvt Ltd"/>
    <s v="Wipro Kodathi Bangalore"/>
    <x v="14"/>
    <s v="120gsm 24G"/>
    <x v="0"/>
    <n v="9"/>
    <n v="495"/>
    <n v="4455"/>
  </r>
  <r>
    <n v="606"/>
    <x v="2"/>
    <x v="60"/>
    <n v="61999"/>
    <n v="45447"/>
    <s v="Knnd Associates Pvt Ltd"/>
    <s v="Wipro Kodathi Bangalore"/>
    <x v="1"/>
    <s v="Insu Kflex Thermal 13mm Al. Foil"/>
    <x v="0"/>
    <n v="72.7"/>
    <n v="388"/>
    <n v="28207.600000000002"/>
  </r>
  <r>
    <n v="607"/>
    <x v="2"/>
    <x v="60"/>
    <n v="61999"/>
    <n v="45447"/>
    <s v="Knnd Associates Pvt Ltd"/>
    <s v="Wipro Kodathi Bangalore"/>
    <x v="1"/>
    <s v="Insu Kflex Thermal 13mm Al. Foil"/>
    <x v="0"/>
    <n v="33.6"/>
    <n v="250"/>
    <n v="8400"/>
  </r>
  <r>
    <n v="608"/>
    <x v="2"/>
    <x v="60"/>
    <n v="61999"/>
    <n v="45447"/>
    <s v="Knnd Associates Pvt Ltd"/>
    <s v="Wipro Kodathi Bangalore"/>
    <x v="1"/>
    <s v="Insu Kflex Acou. 10mm"/>
    <x v="0"/>
    <n v="10"/>
    <n v="755"/>
    <n v="7550"/>
  </r>
  <r>
    <n v="609"/>
    <x v="2"/>
    <x v="60"/>
    <n v="61999"/>
    <n v="45447"/>
    <s v="Knnd Associates Pvt Ltd"/>
    <s v="Wipro Kodathi Bangalore"/>
    <x v="2"/>
    <s v="Polythene wrapping"/>
    <x v="0"/>
    <n v="90"/>
    <n v="20"/>
    <n v="1800"/>
  </r>
  <r>
    <n v="610"/>
    <x v="2"/>
    <x v="60"/>
    <n v="61968"/>
    <n v="45448"/>
    <s v="Knnd Associates Pvt Ltd"/>
    <s v="Chanakya University HB-3A Bangalore"/>
    <x v="30"/>
    <s v="120gsm Slit 24G"/>
    <x v="0"/>
    <n v="207.2"/>
    <n v="620"/>
    <n v="128464"/>
  </r>
  <r>
    <n v="611"/>
    <x v="2"/>
    <x v="60"/>
    <n v="61968"/>
    <n v="45448"/>
    <s v="Knnd Associates Pvt Ltd"/>
    <s v="Chanakya University HB-3A Bangalore"/>
    <x v="36"/>
    <s v="120gsm Slit 22G"/>
    <x v="0"/>
    <n v="12.6"/>
    <n v="770"/>
    <n v="9702"/>
  </r>
  <r>
    <n v="612"/>
    <x v="2"/>
    <x v="60"/>
    <n v="61968"/>
    <n v="45448"/>
    <s v="Knnd Associates Pvt Ltd"/>
    <s v="Chanakya University HB-3A Bangalore"/>
    <x v="31"/>
    <s v="120gsm 24G"/>
    <x v="1"/>
    <n v="50"/>
    <n v="378"/>
    <n v="18900"/>
  </r>
  <r>
    <n v="613"/>
    <x v="2"/>
    <x v="60"/>
    <n v="61968"/>
    <n v="45448"/>
    <s v="Knnd Associates Pvt Ltd"/>
    <s v="Chanakya University HB-3A Bangalore"/>
    <x v="56"/>
    <s v="120gsm 24G"/>
    <x v="1"/>
    <n v="110"/>
    <n v="380"/>
    <n v="41800"/>
  </r>
  <r>
    <n v="614"/>
    <x v="2"/>
    <x v="60"/>
    <n v="61968"/>
    <n v="45448"/>
    <s v="Knnd Associates Pvt Ltd"/>
    <s v="Chanakya University HB-3A Bangalore"/>
    <x v="32"/>
    <s v="120gsm 24G"/>
    <x v="1"/>
    <n v="35"/>
    <n v="355"/>
    <n v="12425"/>
  </r>
  <r>
    <n v="615"/>
    <x v="2"/>
    <x v="60"/>
    <n v="61968"/>
    <n v="45448"/>
    <s v="Knnd Associates Pvt Ltd"/>
    <s v="Chanakya University HB-3A Bangalore"/>
    <x v="53"/>
    <s v="120gsm 24G"/>
    <x v="1"/>
    <n v="35"/>
    <n v="375"/>
    <n v="13125"/>
  </r>
  <r>
    <n v="616"/>
    <x v="2"/>
    <x v="60"/>
    <n v="61968"/>
    <n v="45448"/>
    <s v="Knnd Associates Pvt Ltd"/>
    <s v="Chanakya University HB-3A Bangalore"/>
    <x v="71"/>
    <s v="120gsm 24G"/>
    <x v="1"/>
    <n v="70"/>
    <n v="270"/>
    <n v="18900"/>
  </r>
  <r>
    <n v="617"/>
    <x v="2"/>
    <x v="60"/>
    <n v="61968"/>
    <n v="45448"/>
    <s v="Knnd Associates Pvt Ltd"/>
    <s v="Chanakya University HB-3A Bangalore"/>
    <x v="58"/>
    <s v="120gsm 24G"/>
    <x v="1"/>
    <n v="35"/>
    <n v="295"/>
    <n v="10325"/>
  </r>
  <r>
    <n v="618"/>
    <x v="2"/>
    <x v="60"/>
    <n v="62000"/>
    <n v="45449"/>
    <s v="Knnd Associates Pvt Ltd"/>
    <s v="Wipro Doddaballapura"/>
    <x v="0"/>
    <s v="120gsm 26G"/>
    <x v="0"/>
    <n v="34.1"/>
    <n v="566"/>
    <n v="19300.600000000002"/>
  </r>
  <r>
    <n v="619"/>
    <x v="2"/>
    <x v="60"/>
    <n v="62000"/>
    <n v="45449"/>
    <s v="Knnd Associates Pvt Ltd"/>
    <s v="Wipro Doddaballapura"/>
    <x v="0"/>
    <s v="120gsm 24G"/>
    <x v="0"/>
    <n v="53.1"/>
    <n v="670"/>
    <n v="35577"/>
  </r>
  <r>
    <n v="620"/>
    <x v="2"/>
    <x v="60"/>
    <n v="62000"/>
    <n v="45449"/>
    <s v="Knnd Associates Pvt Ltd"/>
    <s v="Wipro Doddaballapura"/>
    <x v="0"/>
    <s v="120gsm 22G"/>
    <x v="0"/>
    <n v="90.7"/>
    <n v="868"/>
    <n v="78727.600000000006"/>
  </r>
  <r>
    <n v="621"/>
    <x v="2"/>
    <x v="60"/>
    <n v="62000"/>
    <n v="45449"/>
    <s v="Knnd Associates Pvt Ltd"/>
    <s v="Wipro Doddaballapura"/>
    <x v="0"/>
    <s v="120gsm 20G"/>
    <x v="0"/>
    <n v="119"/>
    <n v="1060"/>
    <n v="126140"/>
  </r>
  <r>
    <n v="622"/>
    <x v="2"/>
    <x v="60"/>
    <n v="62000"/>
    <n v="45450"/>
    <s v="Knnd Associates Pvt Ltd"/>
    <s v="Wipro Doddaballapura"/>
    <x v="0"/>
    <s v="120gsm 22G"/>
    <x v="0"/>
    <n v="89.1"/>
    <n v="868"/>
    <n v="77338.799999999988"/>
  </r>
  <r>
    <n v="623"/>
    <x v="2"/>
    <x v="60"/>
    <n v="62000"/>
    <n v="45450"/>
    <s v="Knnd Associates Pvt Ltd"/>
    <s v="Wipro Doddaballapura"/>
    <x v="0"/>
    <s v="120gsm 20G"/>
    <x v="0"/>
    <n v="124.2"/>
    <n v="1060"/>
    <n v="131652"/>
  </r>
  <r>
    <n v="624"/>
    <x v="2"/>
    <x v="61"/>
    <n v="61968"/>
    <n v="45451"/>
    <s v="Knnd Associates Pvt Ltd"/>
    <s v="Chanakya University HB-3A Bangalore"/>
    <x v="30"/>
    <s v="120gsm Slit 24G"/>
    <x v="0"/>
    <n v="104.1"/>
    <n v="620"/>
    <n v="64542"/>
  </r>
  <r>
    <n v="625"/>
    <x v="2"/>
    <x v="61"/>
    <n v="61968"/>
    <n v="45451"/>
    <s v="Knnd Associates Pvt Ltd"/>
    <s v="Chanakya University HB-3A Bangalore"/>
    <x v="31"/>
    <s v="120gsm 24G"/>
    <x v="1"/>
    <n v="40"/>
    <n v="378"/>
    <n v="15120"/>
  </r>
  <r>
    <n v="626"/>
    <x v="2"/>
    <x v="61"/>
    <n v="61968"/>
    <n v="45451"/>
    <s v="Knnd Associates Pvt Ltd"/>
    <s v="Chanakya University HB-3A Bangalore"/>
    <x v="56"/>
    <s v="120gsm 24G"/>
    <x v="1"/>
    <n v="140"/>
    <n v="380"/>
    <n v="53200"/>
  </r>
  <r>
    <n v="627"/>
    <x v="2"/>
    <x v="61"/>
    <n v="62000"/>
    <n v="45452"/>
    <s v="Knnd Associates Pvt Ltd"/>
    <s v="Wipro Doddaballapura"/>
    <x v="0"/>
    <s v="120gsm 24G"/>
    <x v="0"/>
    <n v="6.9"/>
    <n v="670"/>
    <n v="4623"/>
  </r>
  <r>
    <n v="628"/>
    <x v="2"/>
    <x v="61"/>
    <n v="62000"/>
    <n v="45452"/>
    <s v="Knnd Associates Pvt Ltd"/>
    <s v="Wipro Doddaballapura"/>
    <x v="0"/>
    <s v="120gsm 22G"/>
    <x v="0"/>
    <n v="19"/>
    <n v="868"/>
    <n v="16492"/>
  </r>
  <r>
    <n v="629"/>
    <x v="2"/>
    <x v="61"/>
    <n v="62000"/>
    <n v="45452"/>
    <s v="Knnd Associates Pvt Ltd"/>
    <s v="Wipro Doddaballapura"/>
    <x v="0"/>
    <s v="120gsm 20G"/>
    <x v="0"/>
    <n v="218.8"/>
    <n v="1060"/>
    <n v="231928"/>
  </r>
  <r>
    <n v="630"/>
    <x v="2"/>
    <x v="61"/>
    <n v="62000"/>
    <n v="45453"/>
    <s v="Knnd Associates Pvt Ltd"/>
    <s v="Wipro Doddaballapura"/>
    <x v="0"/>
    <s v="120gsm 22G"/>
    <x v="0"/>
    <n v="61.5"/>
    <n v="868"/>
    <n v="53382"/>
  </r>
  <r>
    <n v="631"/>
    <x v="2"/>
    <x v="61"/>
    <n v="62000"/>
    <n v="45453"/>
    <s v="Knnd Associates Pvt Ltd"/>
    <s v="Wipro Doddaballapura"/>
    <x v="0"/>
    <s v="120gsm 20G"/>
    <x v="0"/>
    <n v="158.80000000000001"/>
    <n v="1060"/>
    <n v="168328"/>
  </r>
  <r>
    <n v="632"/>
    <x v="2"/>
    <x v="62"/>
    <n v="62000"/>
    <n v="45454"/>
    <s v="Knnd Associates Pvt Ltd"/>
    <s v="Wipro Doddaballapura"/>
    <x v="0"/>
    <s v="120gsm 24G"/>
    <x v="0"/>
    <n v="4.0999999999999996"/>
    <n v="670"/>
    <n v="2746.9999999999995"/>
  </r>
  <r>
    <n v="633"/>
    <x v="2"/>
    <x v="62"/>
    <n v="62000"/>
    <n v="45454"/>
    <s v="Knnd Associates Pvt Ltd"/>
    <s v="Wipro Doddaballapura"/>
    <x v="0"/>
    <s v="120gsm 22G"/>
    <x v="0"/>
    <n v="89.5"/>
    <n v="868"/>
    <n v="77686"/>
  </r>
  <r>
    <n v="634"/>
    <x v="2"/>
    <x v="62"/>
    <n v="62000"/>
    <n v="45454"/>
    <s v="Knnd Associates Pvt Ltd"/>
    <s v="Wipro Doddaballapura"/>
    <x v="0"/>
    <s v="120gsm 20G"/>
    <x v="0"/>
    <n v="132.19999999999999"/>
    <n v="1060"/>
    <n v="140132"/>
  </r>
  <r>
    <n v="635"/>
    <x v="2"/>
    <x v="63"/>
    <n v="61964"/>
    <n v="45455"/>
    <s v="Knnd Associates Pvt Ltd"/>
    <s v="Motherhood Hospital Sarjapura"/>
    <x v="36"/>
    <s v="120gsm Slit 22G"/>
    <x v="0"/>
    <n v="3.6"/>
    <n v="770"/>
    <n v="2772"/>
  </r>
  <r>
    <n v="636"/>
    <x v="2"/>
    <x v="63"/>
    <n v="62001"/>
    <n v="45456"/>
    <s v="Knnd Associates Pvt Ltd"/>
    <s v="Blackstone COE India Pvt Ltd Bangalore"/>
    <x v="0"/>
    <s v="120gsm 24G"/>
    <x v="0"/>
    <n v="81.7"/>
    <n v="670"/>
    <n v="54739"/>
  </r>
  <r>
    <n v="637"/>
    <x v="2"/>
    <x v="63"/>
    <n v="62001"/>
    <n v="45456"/>
    <s v="Knnd Associates Pvt Ltd"/>
    <s v="Blackstone COE India Pvt Ltd Bangalore"/>
    <x v="0"/>
    <s v="120gsm 22G"/>
    <x v="0"/>
    <n v="29.6"/>
    <n v="868"/>
    <n v="25692.800000000003"/>
  </r>
  <r>
    <n v="638"/>
    <x v="2"/>
    <x v="63"/>
    <n v="62001"/>
    <n v="45456"/>
    <s v="Knnd Associates Pvt Ltd"/>
    <s v="Blackstone COE India Pvt Ltd Bangalore"/>
    <x v="0"/>
    <s v="120gsm 20G"/>
    <x v="0"/>
    <n v="86.5"/>
    <n v="1060"/>
    <n v="91690"/>
  </r>
  <r>
    <n v="639"/>
    <x v="2"/>
    <x v="63"/>
    <n v="62001"/>
    <n v="45456"/>
    <s v="Knnd Associates Pvt Ltd"/>
    <s v="Blackstone COE India Pvt Ltd Bangalore"/>
    <x v="1"/>
    <s v="Insu Armaflex Thermal 9mm"/>
    <x v="0"/>
    <n v="60.4"/>
    <n v="289"/>
    <n v="17455.599999999999"/>
  </r>
  <r>
    <n v="640"/>
    <x v="2"/>
    <x v="63"/>
    <n v="62001"/>
    <n v="45456"/>
    <s v="Knnd Associates Pvt Ltd"/>
    <s v="Blackstone COE India Pvt Ltd Bangalore"/>
    <x v="1"/>
    <s v="Insu Armasound Acou. 25mm"/>
    <x v="0"/>
    <n v="120.5"/>
    <n v="1615"/>
    <n v="194607.5"/>
  </r>
  <r>
    <n v="641"/>
    <x v="2"/>
    <x v="63"/>
    <n v="62001"/>
    <n v="45456"/>
    <s v="Knnd Associates Pvt Ltd"/>
    <s v="Blackstone COE India Pvt Ltd Bangalore"/>
    <x v="2"/>
    <s v="Polythene wrapping"/>
    <x v="0"/>
    <n v="65"/>
    <n v="20"/>
    <n v="1300"/>
  </r>
  <r>
    <n v="642"/>
    <x v="2"/>
    <x v="63"/>
    <n v="62004"/>
    <n v="45457"/>
    <s v="Knnd Associates Pvt Ltd"/>
    <s v="Seminar Hall SSBCH Manipal"/>
    <x v="0"/>
    <s v="120gsm 24G"/>
    <x v="0"/>
    <n v="10.3"/>
    <n v="670"/>
    <n v="6901.0000000000009"/>
  </r>
  <r>
    <n v="643"/>
    <x v="2"/>
    <x v="63"/>
    <n v="62004"/>
    <n v="45457"/>
    <s v="Knnd Associates Pvt Ltd"/>
    <s v="Seminar Hall SSBCH Manipal"/>
    <x v="0"/>
    <s v="120gsm 22G"/>
    <x v="0"/>
    <n v="8.1999999999999993"/>
    <n v="868"/>
    <n v="7117.5999999999995"/>
  </r>
  <r>
    <n v="644"/>
    <x v="2"/>
    <x v="63"/>
    <n v="62004"/>
    <n v="45457"/>
    <s v="Knnd Associates Pvt Ltd"/>
    <s v="Seminar Hall SSBCH Manipal"/>
    <x v="4"/>
    <s v="120gsm Slit 24G"/>
    <x v="0"/>
    <n v="53.1"/>
    <n v="710"/>
    <n v="37701"/>
  </r>
  <r>
    <n v="645"/>
    <x v="2"/>
    <x v="63"/>
    <n v="62004"/>
    <n v="45457"/>
    <s v="Knnd Associates Pvt Ltd"/>
    <s v="Seminar Hall SSBCH Manipal"/>
    <x v="11"/>
    <s v="120gsm Slit 20G"/>
    <x v="0"/>
    <n v="2.6"/>
    <n v="995"/>
    <n v="2587"/>
  </r>
  <r>
    <n v="646"/>
    <x v="2"/>
    <x v="63"/>
    <n v="62004"/>
    <n v="45457"/>
    <s v="Knnd Associates Pvt Ltd"/>
    <s v="Seminar Hall SSBCH Manipal"/>
    <x v="1"/>
    <s v="Insu Supreme Thermal 13mm"/>
    <x v="0"/>
    <n v="66"/>
    <n v="365"/>
    <n v="24090"/>
  </r>
  <r>
    <n v="647"/>
    <x v="2"/>
    <x v="63"/>
    <n v="62004"/>
    <n v="45457"/>
    <s v="Knnd Associates Pvt Ltd"/>
    <s v="Seminar Hall SSBCH Manipal"/>
    <x v="1"/>
    <s v="Insu Supreme 10mm Acou."/>
    <x v="0"/>
    <n v="8.1999999999999993"/>
    <n v="755"/>
    <n v="6190.9999999999991"/>
  </r>
  <r>
    <n v="648"/>
    <x v="2"/>
    <x v="63"/>
    <n v="62002"/>
    <n v="45458"/>
    <s v="Knnd Associates Pvt Ltd"/>
    <s v="Techsheela Manipal"/>
    <x v="0"/>
    <s v="120gsm 24G"/>
    <x v="0"/>
    <n v="17.8"/>
    <n v="670"/>
    <n v="11926"/>
  </r>
  <r>
    <n v="649"/>
    <x v="2"/>
    <x v="63"/>
    <n v="62002"/>
    <n v="45458"/>
    <s v="Knnd Associates Pvt Ltd"/>
    <s v="Techsheela Manipal"/>
    <x v="1"/>
    <s v="Insu Supreme Acou. 15mm"/>
    <x v="0"/>
    <n v="17.8"/>
    <n v="820"/>
    <n v="14596"/>
  </r>
  <r>
    <n v="650"/>
    <x v="2"/>
    <x v="63"/>
    <n v="62003"/>
    <n v="45459"/>
    <s v="Knnd Associates Pvt Ltd"/>
    <s v="Manipal Cafe "/>
    <x v="4"/>
    <s v="120gsm Slit 24G"/>
    <x v="0"/>
    <n v="17.600000000000001"/>
    <n v="710"/>
    <n v="12496.000000000002"/>
  </r>
  <r>
    <n v="651"/>
    <x v="2"/>
    <x v="63"/>
    <n v="62003"/>
    <n v="45459"/>
    <s v="Knnd Associates Pvt Ltd"/>
    <s v="Manipal Cafe "/>
    <x v="11"/>
    <s v="120gsm Slit 20G"/>
    <x v="0"/>
    <n v="0.6"/>
    <n v="995"/>
    <n v="597"/>
  </r>
  <r>
    <n v="652"/>
    <x v="2"/>
    <x v="63"/>
    <n v="62003"/>
    <n v="45459"/>
    <s v="Knnd Associates Pvt Ltd"/>
    <s v="Manipal Cafe "/>
    <x v="1"/>
    <s v="Insu Supreme Thermal 13mm"/>
    <x v="0"/>
    <n v="16.899999999999999"/>
    <n v="364"/>
    <n v="6151.5999999999995"/>
  </r>
  <r>
    <n v="653"/>
    <x v="2"/>
    <x v="63"/>
    <n v="62003"/>
    <n v="45459"/>
    <s v="Knnd Associates Pvt Ltd"/>
    <s v="Manipal Cafe "/>
    <x v="1"/>
    <s v="Insu Supreme 10mm Acou."/>
    <x v="0"/>
    <n v="1.3"/>
    <n v="755"/>
    <n v="981.5"/>
  </r>
  <r>
    <n v="654"/>
    <x v="2"/>
    <x v="64"/>
    <n v="62005"/>
    <n v="45460"/>
    <s v="Knnd Associates Pvt Ltd"/>
    <s v="Wipro Doddaballapura (Pre-Insu Pipe)"/>
    <x v="72"/>
    <s v="(150mm Dia x 50mm Thick)"/>
    <x v="2"/>
    <n v="72"/>
    <n v="1406"/>
    <n v="101232"/>
  </r>
  <r>
    <n v="655"/>
    <x v="2"/>
    <x v="64"/>
    <n v="62005"/>
    <n v="45460"/>
    <s v="Knnd Associates Pvt Ltd"/>
    <s v="Wipro Doddaballapura (Pre-Insu Pipe)"/>
    <x v="72"/>
    <s v="(100mm Dia x 50mm Thick)"/>
    <x v="2"/>
    <n v="78"/>
    <n v="1071"/>
    <n v="83538"/>
  </r>
  <r>
    <n v="656"/>
    <x v="2"/>
    <x v="64"/>
    <n v="62006"/>
    <n v="45461"/>
    <s v="Knnd Associates Pvt Ltd"/>
    <s v="District New Hospital Madikeri"/>
    <x v="0"/>
    <s v="Alu. 0.8mm"/>
    <x v="0"/>
    <n v="481.5"/>
    <n v="1269"/>
    <n v="611023.5"/>
  </r>
  <r>
    <n v="657"/>
    <x v="2"/>
    <x v="64"/>
    <n v="62006"/>
    <n v="45461"/>
    <s v="Knnd Associates Pvt Ltd"/>
    <s v="District New Hospital Madikeri"/>
    <x v="1"/>
    <s v="Insu Supreme Thermal 13mm Al. Foil"/>
    <x v="0"/>
    <n v="102.8"/>
    <n v="388"/>
    <n v="39886.400000000001"/>
  </r>
  <r>
    <n v="658"/>
    <x v="2"/>
    <x v="64"/>
    <n v="62006"/>
    <n v="45461"/>
    <s v="Knnd Associates Pvt Ltd"/>
    <s v="District New Hospital Madikeri"/>
    <x v="1"/>
    <s v="Insu Supreme Thermal 19mm Al. Foil"/>
    <x v="0"/>
    <n v="74.099999999999994"/>
    <n v="476"/>
    <n v="35271.599999999999"/>
  </r>
  <r>
    <n v="659"/>
    <x v="2"/>
    <x v="64"/>
    <n v="62006"/>
    <n v="45461"/>
    <s v="Knnd Associates Pvt Ltd"/>
    <s v="District New Hospital Madikeri"/>
    <x v="1"/>
    <s v="Insu Supreme Thermal 13mm Glass Cloth"/>
    <x v="0"/>
    <n v="147.5"/>
    <n v="507"/>
    <n v="74782.5"/>
  </r>
  <r>
    <n v="660"/>
    <x v="2"/>
    <x v="64"/>
    <n v="62006"/>
    <n v="45461"/>
    <s v="Knnd Associates Pvt Ltd"/>
    <s v="District New Hospital Madikeri"/>
    <x v="1"/>
    <s v="Insu Supreme Thermal 19mm Glass Cloth"/>
    <x v="0"/>
    <n v="157.1"/>
    <n v="594"/>
    <n v="93317.4"/>
  </r>
  <r>
    <n v="661"/>
    <x v="2"/>
    <x v="64"/>
    <n v="62006"/>
    <n v="45461"/>
    <s v="Knnd Associates Pvt Ltd"/>
    <s v="District New Hospital Madikeri"/>
    <x v="15"/>
    <s v="Insu Supreme Thermal 13mm Al. Foil"/>
    <x v="0"/>
    <n v="67.2"/>
    <n v="250"/>
    <n v="16800"/>
  </r>
  <r>
    <n v="662"/>
    <x v="2"/>
    <x v="64"/>
    <n v="62006"/>
    <n v="45461"/>
    <s v="Knnd Associates Pvt Ltd"/>
    <s v="District New Hospital Madikeri"/>
    <x v="15"/>
    <s v="Insu Supreme Thermal 13mm Glass Cloth"/>
    <x v="0"/>
    <n v="67.2"/>
    <n v="360"/>
    <n v="24192"/>
  </r>
  <r>
    <n v="663"/>
    <x v="2"/>
    <x v="64"/>
    <n v="62006"/>
    <n v="45461"/>
    <s v="Knnd Associates Pvt Ltd"/>
    <s v="District New Hospital Madikeri"/>
    <x v="14"/>
    <s v="Alu. 0.8mm"/>
    <x v="0"/>
    <n v="60"/>
    <n v="950"/>
    <n v="57000"/>
  </r>
  <r>
    <n v="664"/>
    <x v="2"/>
    <x v="64"/>
    <n v="62006"/>
    <n v="45461"/>
    <s v="Knnd Associates Pvt Ltd"/>
    <s v="District New Hospital Madikeri"/>
    <x v="8"/>
    <s v="Alu. 1.0mm"/>
    <x v="0"/>
    <n v="1.6"/>
    <n v="6200"/>
    <n v="9920"/>
  </r>
  <r>
    <n v="665"/>
    <x v="2"/>
    <x v="64"/>
    <n v="62007"/>
    <n v="45462"/>
    <s v="Knnd Associates Pvt Ltd"/>
    <s v="Motherhood Hospital Sarjapura"/>
    <x v="0"/>
    <s v="Alu. 0.8mm"/>
    <x v="0"/>
    <n v="174.7"/>
    <n v="1269"/>
    <n v="221694.3"/>
  </r>
  <r>
    <n v="666"/>
    <x v="2"/>
    <x v="64"/>
    <n v="62007"/>
    <n v="45462"/>
    <s v="Knnd Associates Pvt Ltd"/>
    <s v="Motherhood Hospital Sarjapura"/>
    <x v="1"/>
    <s v="Insu Supreme Thermal 13mm"/>
    <x v="0"/>
    <n v="174.7"/>
    <n v="365"/>
    <n v="63765.499999999993"/>
  </r>
  <r>
    <n v="667"/>
    <x v="2"/>
    <x v="64"/>
    <n v="62007"/>
    <n v="45462"/>
    <s v="Knnd Associates Pvt Ltd"/>
    <s v="Motherhood Hospital Sarjapura"/>
    <x v="14"/>
    <s v="120gsm 24G"/>
    <x v="0"/>
    <n v="30"/>
    <n v="495"/>
    <n v="14850"/>
  </r>
  <r>
    <n v="668"/>
    <x v="2"/>
    <x v="64"/>
    <n v="62007"/>
    <n v="45462"/>
    <s v="Knnd Associates Pvt Ltd"/>
    <s v="Motherhood Hospital Sarjapura"/>
    <x v="2"/>
    <s v="Polythene wrapping"/>
    <x v="0"/>
    <n v="180"/>
    <n v="20"/>
    <n v="3600"/>
  </r>
  <r>
    <n v="669"/>
    <x v="2"/>
    <x v="64"/>
    <n v="62006"/>
    <n v="45463"/>
    <s v="Knnd Associates Pvt Ltd"/>
    <s v="District New Hospital Madikeri"/>
    <x v="0"/>
    <s v="Alu. 0.8mm"/>
    <x v="0"/>
    <n v="44.5"/>
    <n v="1269"/>
    <n v="56470.5"/>
  </r>
  <r>
    <n v="670"/>
    <x v="2"/>
    <x v="64"/>
    <n v="62006"/>
    <n v="45463"/>
    <s v="Knnd Associates Pvt Ltd"/>
    <s v="District New Hospital Madikeri"/>
    <x v="1"/>
    <s v="Insu Supreme Thermal 13mm Al. Foil"/>
    <x v="0"/>
    <n v="16.5"/>
    <n v="388"/>
    <n v="6402"/>
  </r>
  <r>
    <n v="671"/>
    <x v="2"/>
    <x v="64"/>
    <n v="62006"/>
    <n v="45463"/>
    <s v="Knnd Associates Pvt Ltd"/>
    <s v="District New Hospital Madikeri"/>
    <x v="1"/>
    <s v="Insu Supreme Thermal 19mm Al. Foil"/>
    <x v="0"/>
    <n v="16.3"/>
    <n v="476"/>
    <n v="7758.8"/>
  </r>
  <r>
    <n v="672"/>
    <x v="2"/>
    <x v="64"/>
    <n v="62006"/>
    <n v="45463"/>
    <s v="Knnd Associates Pvt Ltd"/>
    <s v="District New Hospital Madikeri"/>
    <x v="1"/>
    <s v="Insu Supreme Thermal 13mm Glass Cloth"/>
    <x v="0"/>
    <n v="7.6"/>
    <n v="507"/>
    <n v="3853.2"/>
  </r>
  <r>
    <n v="673"/>
    <x v="2"/>
    <x v="64"/>
    <n v="62006"/>
    <n v="45463"/>
    <s v="Knnd Associates Pvt Ltd"/>
    <s v="District New Hospital Madikeri"/>
    <x v="1"/>
    <s v="Insu Supreme Thermal 19mm Glass Cloth"/>
    <x v="0"/>
    <n v="4.0999999999999996"/>
    <n v="594"/>
    <n v="2435.3999999999996"/>
  </r>
  <r>
    <n v="674"/>
    <x v="2"/>
    <x v="65"/>
    <n v="62007"/>
    <n v="45464"/>
    <s v="Knnd Associates Pvt Ltd"/>
    <s v="Motherhood Hospital Sarjapura"/>
    <x v="0"/>
    <s v="Alu. 0.8mm"/>
    <x v="0"/>
    <n v="183.3"/>
    <n v="1269"/>
    <n v="232607.7"/>
  </r>
  <r>
    <n v="675"/>
    <x v="2"/>
    <x v="65"/>
    <n v="62007"/>
    <n v="45464"/>
    <s v="Knnd Associates Pvt Ltd"/>
    <s v="Motherhood Hospital Sarjapura"/>
    <x v="1"/>
    <s v="Insu Supreme Thermal 13mm"/>
    <x v="0"/>
    <n v="91.8"/>
    <n v="365"/>
    <n v="33507"/>
  </r>
  <r>
    <n v="676"/>
    <x v="2"/>
    <x v="65"/>
    <n v="62007"/>
    <n v="45464"/>
    <s v="Knnd Associates Pvt Ltd"/>
    <s v="Motherhood Hospital Sarjapura"/>
    <x v="1"/>
    <s v="Insu Supreme Thermal 19mm Glass Cloth"/>
    <x v="0"/>
    <n v="65.599999999999994"/>
    <n v="594"/>
    <n v="38966.399999999994"/>
  </r>
  <r>
    <n v="677"/>
    <x v="2"/>
    <x v="65"/>
    <n v="62007"/>
    <n v="45464"/>
    <s v="Knnd Associates Pvt Ltd"/>
    <s v="Motherhood Hospital Sarjapura"/>
    <x v="1"/>
    <s v="Insu Supreme 10mm Acou."/>
    <x v="0"/>
    <n v="25.9"/>
    <n v="640"/>
    <n v="16576"/>
  </r>
  <r>
    <n v="678"/>
    <x v="2"/>
    <x v="65"/>
    <n v="62007"/>
    <n v="45464"/>
    <s v="Knnd Associates Pvt Ltd"/>
    <s v="Motherhood Hospital Sarjapura"/>
    <x v="14"/>
    <s v="Alu. 0.8mm"/>
    <x v="0"/>
    <n v="18"/>
    <n v="950"/>
    <n v="17100"/>
  </r>
  <r>
    <n v="679"/>
    <x v="2"/>
    <x v="65"/>
    <n v="62007"/>
    <n v="45464"/>
    <s v="Knnd Associates Pvt Ltd"/>
    <s v="Motherhood Hospital Sarjapura"/>
    <x v="15"/>
    <s v="Insu Supreme Thermal 13mm Glass Cloth"/>
    <x v="0"/>
    <n v="16.8"/>
    <n v="360"/>
    <n v="6048"/>
  </r>
  <r>
    <n v="680"/>
    <x v="2"/>
    <x v="65"/>
    <n v="62007"/>
    <n v="45464"/>
    <s v="Knnd Associates Pvt Ltd"/>
    <s v="Motherhood Hospital Sarjapura"/>
    <x v="15"/>
    <s v="Insu Supreme Thermal 9mm"/>
    <x v="1"/>
    <n v="50"/>
    <n v="154"/>
    <n v="7700"/>
  </r>
  <r>
    <n v="681"/>
    <x v="2"/>
    <x v="65"/>
    <n v="62007"/>
    <n v="45464"/>
    <s v="Knnd Associates Pvt Ltd"/>
    <s v="Motherhood Hospital Sarjapura"/>
    <x v="2"/>
    <s v="Polythene wrapping"/>
    <x v="0"/>
    <n v="180"/>
    <n v="20"/>
    <n v="3600"/>
  </r>
  <r>
    <n v="682"/>
    <x v="2"/>
    <x v="65"/>
    <n v="62000"/>
    <n v="45465"/>
    <s v="Knnd Associates Pvt Ltd"/>
    <s v="Wipro Doddaballapura"/>
    <x v="0"/>
    <s v="120gsm 26G"/>
    <x v="0"/>
    <n v="38.700000000000003"/>
    <n v="566"/>
    <n v="21904.2"/>
  </r>
  <r>
    <n v="683"/>
    <x v="2"/>
    <x v="65"/>
    <n v="62000"/>
    <n v="45465"/>
    <s v="Knnd Associates Pvt Ltd"/>
    <s v="Wipro Doddaballapura"/>
    <x v="0"/>
    <s v="120gsm 24G"/>
    <x v="0"/>
    <n v="249.8"/>
    <n v="670"/>
    <n v="167366"/>
  </r>
  <r>
    <n v="684"/>
    <x v="2"/>
    <x v="65"/>
    <n v="62000"/>
    <n v="45465"/>
    <s v="Knnd Associates Pvt Ltd"/>
    <s v="Wipro Doddaballapura"/>
    <x v="0"/>
    <s v="120gsm 22G"/>
    <x v="0"/>
    <n v="148.4"/>
    <n v="868"/>
    <n v="128811.20000000001"/>
  </r>
  <r>
    <n v="685"/>
    <x v="2"/>
    <x v="65"/>
    <n v="62000"/>
    <n v="45465"/>
    <s v="Knnd Associates Pvt Ltd"/>
    <s v="Wipro Doddaballapura"/>
    <x v="8"/>
    <s v="120gsm 20G"/>
    <x v="0"/>
    <n v="1.4"/>
    <n v="5200"/>
    <n v="7279.9999999999991"/>
  </r>
  <r>
    <n v="686"/>
    <x v="2"/>
    <x v="65"/>
    <n v="62000"/>
    <n v="45465"/>
    <s v="Knnd Associates Pvt Ltd"/>
    <s v="Wipro Doddaballapura"/>
    <x v="1"/>
    <s v="Insu Kflex Thermal 13mm Al. Foil"/>
    <x v="0"/>
    <n v="161.5"/>
    <n v="383"/>
    <n v="61854.5"/>
  </r>
  <r>
    <n v="687"/>
    <x v="2"/>
    <x v="65"/>
    <n v="62000"/>
    <n v="45465"/>
    <s v="Knnd Associates Pvt Ltd"/>
    <s v="Wipro Doddaballapura"/>
    <x v="1"/>
    <s v="Insu Kflex Thermal 25mm Al. Foil"/>
    <x v="0"/>
    <n v="194.8"/>
    <n v="716"/>
    <n v="139476.80000000002"/>
  </r>
  <r>
    <n v="688"/>
    <x v="2"/>
    <x v="65"/>
    <n v="62000"/>
    <n v="45465"/>
    <s v="Knnd Associates Pvt Ltd"/>
    <s v="Wipro Doddaballapura"/>
    <x v="1"/>
    <s v="Insu Kflex Acou. 15mm"/>
    <x v="0"/>
    <n v="41.9"/>
    <n v="1041"/>
    <n v="43617.9"/>
  </r>
  <r>
    <n v="689"/>
    <x v="2"/>
    <x v="65"/>
    <n v="62000"/>
    <n v="45465"/>
    <s v="Knnd Associates Pvt Ltd"/>
    <s v="Wipro Doddaballapura"/>
    <x v="2"/>
    <s v="Polythene wrapping"/>
    <x v="0"/>
    <n v="380"/>
    <n v="20"/>
    <n v="7600"/>
  </r>
  <r>
    <n v="690"/>
    <x v="3"/>
    <x v="66"/>
    <n v="62009"/>
    <n v="45466"/>
    <s v="Aircon Ref Pvt Ltd"/>
    <s v="Akshaya Motors"/>
    <x v="0"/>
    <s v="120gsm 24G"/>
    <x v="0"/>
    <n v="14.8"/>
    <n v="670"/>
    <n v="9916"/>
  </r>
  <r>
    <n v="691"/>
    <x v="3"/>
    <x v="66"/>
    <n v="62009"/>
    <n v="45466"/>
    <s v="Aircon Ref Pvt Ltd"/>
    <s v="Akshaya Motors"/>
    <x v="0"/>
    <s v="120gsm 22G"/>
    <x v="0"/>
    <n v="9.5"/>
    <n v="870"/>
    <n v="8265"/>
  </r>
  <r>
    <n v="692"/>
    <x v="3"/>
    <x v="66"/>
    <n v="62008"/>
    <n v="45467"/>
    <s v="Knnd Associates Pvt Ltd"/>
    <s v="Ginni Devi Goel Manipal Hospital Raipur"/>
    <x v="19"/>
    <s v="120gsm 26G"/>
    <x v="0"/>
    <n v="491.6"/>
    <n v="545"/>
    <n v="267922"/>
  </r>
  <r>
    <n v="693"/>
    <x v="3"/>
    <x v="66"/>
    <n v="62008"/>
    <n v="45467"/>
    <s v="Knnd Associates Pvt Ltd"/>
    <s v="Ginni Devi Goel Manipal Hospital Raipur"/>
    <x v="19"/>
    <s v="120gsm 24G"/>
    <x v="0"/>
    <n v="3.4"/>
    <n v="645"/>
    <n v="2193"/>
  </r>
  <r>
    <n v="694"/>
    <x v="3"/>
    <x v="66"/>
    <n v="62008"/>
    <n v="45467"/>
    <s v="Knnd Associates Pvt Ltd"/>
    <s v="Ginni Devi Goel Manipal Hospital Raipur"/>
    <x v="19"/>
    <s v="120gsm 22G"/>
    <x v="0"/>
    <n v="339.6"/>
    <n v="845"/>
    <n v="286962"/>
  </r>
  <r>
    <n v="695"/>
    <x v="3"/>
    <x v="66"/>
    <n v="62008"/>
    <n v="45467"/>
    <s v="Knnd Associates Pvt Ltd"/>
    <s v="Ginni Devi Goel Manipal Hospital Raipur"/>
    <x v="19"/>
    <s v="120gsm 20G"/>
    <x v="0"/>
    <n v="508.5"/>
    <n v="1035"/>
    <n v="526297.5"/>
  </r>
  <r>
    <n v="696"/>
    <x v="3"/>
    <x v="66"/>
    <n v="62008"/>
    <n v="45467"/>
    <s v="Knnd Associates Pvt Ltd"/>
    <s v="Ginni Devi Goel Manipal Hospital Raipur"/>
    <x v="8"/>
    <s v="120gsm 20G"/>
    <x v="0"/>
    <n v="7.2"/>
    <n v="5200"/>
    <n v="37440"/>
  </r>
  <r>
    <n v="697"/>
    <x v="3"/>
    <x v="66"/>
    <n v="61997"/>
    <n v="45468"/>
    <s v="Knnd Associates Pvt Ltd"/>
    <s v="BDR Hospital Pune"/>
    <x v="0"/>
    <s v="120gsm 24G"/>
    <x v="0"/>
    <n v="542.20000000000005"/>
    <n v="670"/>
    <n v="363274.00000000006"/>
  </r>
  <r>
    <n v="698"/>
    <x v="3"/>
    <x v="66"/>
    <n v="61997"/>
    <n v="45468"/>
    <s v="Knnd Associates Pvt Ltd"/>
    <s v="BDR Hospital Pune"/>
    <x v="0"/>
    <s v="120gsm 22G"/>
    <x v="0"/>
    <n v="30.2"/>
    <n v="868"/>
    <n v="26213.599999999999"/>
  </r>
  <r>
    <n v="699"/>
    <x v="3"/>
    <x v="66"/>
    <n v="61997"/>
    <n v="45468"/>
    <s v="Knnd Associates Pvt Ltd"/>
    <s v="BDR Hospital Pune"/>
    <x v="1"/>
    <s v="Insu Supreme Thermal 13mm Glass Cloth"/>
    <x v="0"/>
    <n v="385.7"/>
    <n v="507"/>
    <n v="195549.9"/>
  </r>
  <r>
    <n v="700"/>
    <x v="3"/>
    <x v="66"/>
    <n v="61997"/>
    <n v="45468"/>
    <s v="Knnd Associates Pvt Ltd"/>
    <s v="BDR Hospital Pune"/>
    <x v="15"/>
    <s v="Insu Supreme Thermal 13mm Glass Cloth"/>
    <x v="0"/>
    <n v="84"/>
    <n v="360"/>
    <n v="30240"/>
  </r>
  <r>
    <n v="701"/>
    <x v="3"/>
    <x v="66"/>
    <n v="61997"/>
    <n v="45468"/>
    <s v="Knnd Associates Pvt Ltd"/>
    <s v="BDR Hospital Pune"/>
    <x v="1"/>
    <s v="Insu Supreme Acou. 15mm"/>
    <x v="0"/>
    <n v="51.9"/>
    <n v="865"/>
    <n v="44893.5"/>
  </r>
  <r>
    <n v="702"/>
    <x v="3"/>
    <x v="66"/>
    <n v="61997"/>
    <n v="45468"/>
    <s v="Knnd Associates Pvt Ltd"/>
    <s v="BDR Hospital Pune"/>
    <x v="33"/>
    <s v="120gsm 24G"/>
    <x v="1"/>
    <n v="72"/>
    <n v="75"/>
    <n v="5400"/>
  </r>
  <r>
    <n v="703"/>
    <x v="3"/>
    <x v="66"/>
    <n v="61997"/>
    <n v="45468"/>
    <s v="Knnd Associates Pvt Ltd"/>
    <s v="BDR Hospital Pune"/>
    <x v="2"/>
    <s v="Polythene wrapping"/>
    <x v="0"/>
    <n v="430"/>
    <n v="20"/>
    <n v="8600"/>
  </r>
  <r>
    <n v="704"/>
    <x v="3"/>
    <x v="66"/>
    <n v="62008"/>
    <n v="45469"/>
    <s v="Knnd Associates Pvt Ltd"/>
    <s v="Ginni Devi Goel Manipal Hospital Raipur"/>
    <x v="19"/>
    <s v="120gsm 26G"/>
    <x v="0"/>
    <n v="926.2"/>
    <n v="545"/>
    <n v="504779"/>
  </r>
  <r>
    <n v="705"/>
    <x v="3"/>
    <x v="66"/>
    <n v="62008"/>
    <n v="45469"/>
    <s v="Knnd Associates Pvt Ltd"/>
    <s v="Ginni Devi Goel Manipal Hospital Raipur"/>
    <x v="19"/>
    <s v="120gsm 24G"/>
    <x v="0"/>
    <n v="55.7"/>
    <n v="645"/>
    <n v="35926.5"/>
  </r>
  <r>
    <n v="706"/>
    <x v="3"/>
    <x v="66"/>
    <n v="62008"/>
    <n v="45469"/>
    <s v="Knnd Associates Pvt Ltd"/>
    <s v="Ginni Devi Goel Manipal Hospital Raipur"/>
    <x v="19"/>
    <s v="120gsm 22G"/>
    <x v="0"/>
    <n v="105.4"/>
    <n v="845"/>
    <n v="89063"/>
  </r>
  <r>
    <n v="707"/>
    <x v="3"/>
    <x v="66"/>
    <n v="62008"/>
    <n v="45469"/>
    <s v="Knnd Associates Pvt Ltd"/>
    <s v="Ginni Devi Goel Manipal Hospital Raipur"/>
    <x v="19"/>
    <s v="120gsm 20G"/>
    <x v="0"/>
    <n v="2.2000000000000002"/>
    <n v="1035"/>
    <n v="2277"/>
  </r>
  <r>
    <n v="708"/>
    <x v="3"/>
    <x v="67"/>
    <n v="62022"/>
    <n v="45470"/>
    <s v="Aircon Ref Pvt Ltd"/>
    <s v="Akshaya Motors"/>
    <x v="0"/>
    <s v="120gsm 24G"/>
    <x v="0"/>
    <n v="14.8"/>
    <n v="670"/>
    <n v="9916"/>
  </r>
  <r>
    <n v="709"/>
    <x v="3"/>
    <x v="67"/>
    <n v="62022"/>
    <n v="45470"/>
    <s v="Aircon Ref Pvt Ltd"/>
    <s v="Akshaya Motors"/>
    <x v="0"/>
    <s v="120gsm 22G"/>
    <x v="0"/>
    <n v="9.5"/>
    <n v="870"/>
    <n v="8265"/>
  </r>
  <r>
    <n v="710"/>
    <x v="3"/>
    <x v="67"/>
    <n v="62023"/>
    <n v="45471"/>
    <s v="Eqube Energy &amp; Research Services LLP"/>
    <s v="Eqube Internal Project"/>
    <x v="0"/>
    <s v="120gsm 24G"/>
    <x v="0"/>
    <n v="4.9000000000000004"/>
    <n v="680"/>
    <n v="3332.0000000000005"/>
  </r>
  <r>
    <n v="711"/>
    <x v="3"/>
    <x v="67"/>
    <n v="62023"/>
    <n v="45471"/>
    <s v="Eqube Energy &amp; Research Services LLP"/>
    <s v="Eqube Internal Project"/>
    <x v="73"/>
    <s v="120gsm 24G"/>
    <x v="1"/>
    <n v="4"/>
    <n v="580"/>
    <n v="2320"/>
  </r>
  <r>
    <n v="712"/>
    <x v="3"/>
    <x v="67"/>
    <n v="62023"/>
    <n v="45471"/>
    <s v="Eqube Energy &amp; Research Services LLP"/>
    <s v="Eqube Internal Project"/>
    <x v="74"/>
    <s v="120gsm 24G"/>
    <x v="1"/>
    <n v="2"/>
    <n v="380"/>
    <n v="760"/>
  </r>
  <r>
    <n v="713"/>
    <x v="3"/>
    <x v="67"/>
    <n v="62023"/>
    <n v="45471"/>
    <s v="Eqube Energy &amp; Research Services LLP"/>
    <s v="Eqube Internal Project"/>
    <x v="17"/>
    <s v="120gsm 22G"/>
    <x v="1"/>
    <n v="2"/>
    <n v="460"/>
    <n v="920"/>
  </r>
  <r>
    <n v="714"/>
    <x v="3"/>
    <x v="67"/>
    <n v="62023"/>
    <n v="45471"/>
    <s v="Eqube Energy &amp; Research Services LLP"/>
    <s v="Eqube Internal Project"/>
    <x v="75"/>
    <s v="120gsm 22G"/>
    <x v="1"/>
    <n v="4"/>
    <n v="530"/>
    <n v="2120"/>
  </r>
  <r>
    <n v="715"/>
    <x v="3"/>
    <x v="68"/>
    <n v="62005"/>
    <n v="45472"/>
    <s v="Knnd Associates Pvt Ltd"/>
    <s v="Wipro Doddaballapura (Pre-Insu Pipe)"/>
    <x v="72"/>
    <s v="(125mm Dia x 50mm Thick)"/>
    <x v="2"/>
    <n v="42"/>
    <n v="1205"/>
    <n v="50610"/>
  </r>
  <r>
    <n v="716"/>
    <x v="3"/>
    <x v="68"/>
    <n v="62005"/>
    <n v="45472"/>
    <s v="Knnd Associates Pvt Ltd"/>
    <s v="Wipro Doddaballapura (Pre-Insu Pipe)"/>
    <x v="72"/>
    <s v="(80mm Dia x 50mm Thick)"/>
    <x v="2"/>
    <n v="12"/>
    <n v="815"/>
    <n v="9780"/>
  </r>
  <r>
    <n v="717"/>
    <x v="3"/>
    <x v="68"/>
    <n v="62005"/>
    <n v="45472"/>
    <s v="Knnd Associates Pvt Ltd"/>
    <s v="Wipro Doddaballapura (Pre-Insu Pipe)"/>
    <x v="72"/>
    <s v="(40mm Dia x 50mm Thick)"/>
    <x v="2"/>
    <n v="66"/>
    <n v="385"/>
    <n v="25410"/>
  </r>
  <r>
    <n v="718"/>
    <x v="3"/>
    <x v="68"/>
    <n v="62005"/>
    <n v="45472"/>
    <s v="Knnd Associates Pvt Ltd"/>
    <s v="Wipro Doddaballapura (Pre-Insu Pipe)"/>
    <x v="72"/>
    <s v="(32mm Dia x 50mm Thick)"/>
    <x v="2"/>
    <n v="12"/>
    <n v="362"/>
    <n v="4344"/>
  </r>
  <r>
    <n v="719"/>
    <x v="3"/>
    <x v="68"/>
    <n v="62000"/>
    <n v="45473"/>
    <s v="Knnd Associates Pvt Ltd"/>
    <s v="Wipro Doddaballapura"/>
    <x v="0"/>
    <s v="120gsm 24G"/>
    <x v="0"/>
    <n v="4.7"/>
    <n v="670"/>
    <n v="3149"/>
  </r>
  <r>
    <n v="720"/>
    <x v="3"/>
    <x v="68"/>
    <n v="62000"/>
    <n v="45473"/>
    <s v="Knnd Associates Pvt Ltd"/>
    <s v="Wipro Doddaballapura"/>
    <x v="0"/>
    <s v="120gsm 22G"/>
    <x v="0"/>
    <n v="9.6"/>
    <n v="868"/>
    <n v="8332.7999999999993"/>
  </r>
  <r>
    <n v="721"/>
    <x v="3"/>
    <x v="68"/>
    <n v="62000"/>
    <n v="45473"/>
    <s v="Knnd Associates Pvt Ltd"/>
    <s v="Wipro Doddaballapura"/>
    <x v="1"/>
    <s v="Insu Kflex Thermal 13mm Al. Foil"/>
    <x v="0"/>
    <n v="9.6"/>
    <n v="383"/>
    <n v="3676.7999999999997"/>
  </r>
  <r>
    <n v="722"/>
    <x v="3"/>
    <x v="68"/>
    <n v="62000"/>
    <n v="45473"/>
    <s v="Knnd Associates Pvt Ltd"/>
    <s v="Wipro Doddaballapura"/>
    <x v="1"/>
    <s v="Insu Kflex Thermal 25mm Al. Foil"/>
    <x v="0"/>
    <n v="4.7"/>
    <n v="716"/>
    <n v="3365.2000000000003"/>
  </r>
  <r>
    <n v="723"/>
    <x v="3"/>
    <x v="68"/>
    <n v="62000"/>
    <n v="45473"/>
    <s v="Knnd Associates Pvt Ltd"/>
    <s v="Wipro Doddaballapura"/>
    <x v="15"/>
    <s v="Insu Kflex Thermal 13mm Al. Foil"/>
    <x v="0"/>
    <n v="84"/>
    <n v="225"/>
    <n v="18900"/>
  </r>
  <r>
    <n v="724"/>
    <x v="3"/>
    <x v="68"/>
    <n v="62000"/>
    <n v="45473"/>
    <s v="Knnd Associates Pvt Ltd"/>
    <s v="Wipro Doddaballapura"/>
    <x v="2"/>
    <s v="Polythene wrapping"/>
    <x v="0"/>
    <n v="20"/>
    <n v="20"/>
    <n v="400"/>
  </r>
  <r>
    <n v="725"/>
    <x v="3"/>
    <x v="68"/>
    <n v="61965"/>
    <n v="45474"/>
    <s v="Knnd Associates Pvt Ltd"/>
    <s v="IISC Medical School Foundation Bangalore"/>
    <x v="0"/>
    <s v="120gsm 24G"/>
    <x v="0"/>
    <n v="286.3"/>
    <n v="670"/>
    <n v="191821"/>
  </r>
  <r>
    <n v="726"/>
    <x v="3"/>
    <x v="68"/>
    <n v="61965"/>
    <n v="45474"/>
    <s v="Knnd Associates Pvt Ltd"/>
    <s v="IISC Medical School Foundation Bangalore"/>
    <x v="0"/>
    <s v="120gsm 22G"/>
    <x v="0"/>
    <n v="167.7"/>
    <n v="868"/>
    <n v="145563.59999999998"/>
  </r>
  <r>
    <n v="727"/>
    <x v="3"/>
    <x v="68"/>
    <n v="61965"/>
    <n v="45474"/>
    <s v="Knnd Associates Pvt Ltd"/>
    <s v="IISC Medical School Foundation Bangalore"/>
    <x v="1"/>
    <s v="Insu Armaflex Thermal 19mm"/>
    <x v="0"/>
    <n v="401.6"/>
    <n v="441"/>
    <n v="177105.6"/>
  </r>
  <r>
    <n v="728"/>
    <x v="3"/>
    <x v="68"/>
    <n v="61965"/>
    <n v="45474"/>
    <s v="Knnd Associates Pvt Ltd"/>
    <s v="IISC Medical School Foundation Bangalore"/>
    <x v="1"/>
    <s v="Insu Armasound Acou. 15mm"/>
    <x v="0"/>
    <n v="52.4"/>
    <n v="838"/>
    <n v="43911.199999999997"/>
  </r>
  <r>
    <n v="729"/>
    <x v="3"/>
    <x v="68"/>
    <n v="61965"/>
    <n v="45474"/>
    <s v="Knnd Associates Pvt Ltd"/>
    <s v="IISC Medical School Foundation Bangalore"/>
    <x v="2"/>
    <s v="Polythene wrapping"/>
    <x v="0"/>
    <n v="440"/>
    <n v="20"/>
    <n v="8800"/>
  </r>
  <r>
    <n v="730"/>
    <x v="3"/>
    <x v="68"/>
    <n v="61993"/>
    <n v="45475"/>
    <s v="Knnd Associates Pvt Ltd"/>
    <s v="Infosys Bangalore B-3,4&amp;5"/>
    <x v="0"/>
    <s v="120gsm 24G"/>
    <x v="0"/>
    <n v="16.3"/>
    <n v="670"/>
    <n v="10921"/>
  </r>
  <r>
    <n v="731"/>
    <x v="3"/>
    <x v="68"/>
    <n v="61993"/>
    <n v="45475"/>
    <s v="Knnd Associates Pvt Ltd"/>
    <s v="Infosys Bangalore B-3,4&amp;5"/>
    <x v="0"/>
    <s v="120gsm 22G"/>
    <x v="0"/>
    <n v="53.3"/>
    <n v="868"/>
    <n v="46264.399999999994"/>
  </r>
  <r>
    <n v="732"/>
    <x v="3"/>
    <x v="68"/>
    <n v="61993"/>
    <n v="45475"/>
    <s v="Knnd Associates Pvt Ltd"/>
    <s v="Infosys Bangalore B-3,4&amp;5"/>
    <x v="1"/>
    <s v="Insu Armasound Acou. 15mm"/>
    <x v="0"/>
    <n v="69.599999999999994"/>
    <n v="906"/>
    <n v="63057.599999999991"/>
  </r>
  <r>
    <n v="733"/>
    <x v="3"/>
    <x v="68"/>
    <n v="62010"/>
    <n v="45476"/>
    <s v="Knnd Associates Pvt Ltd"/>
    <s v="AIIMS Hospital Madurai"/>
    <x v="21"/>
    <s v="Pressure Testing"/>
    <x v="0"/>
    <n v="404.1"/>
    <n v="35"/>
    <n v="14143.5"/>
  </r>
  <r>
    <n v="734"/>
    <x v="3"/>
    <x v="68"/>
    <n v="62011"/>
    <n v="45477"/>
    <s v="Knnd Associates Pvt Ltd"/>
    <s v="BDR Hospital Pune"/>
    <x v="21"/>
    <s v="Pressure Testing"/>
    <x v="0"/>
    <n v="950.8"/>
    <n v="35"/>
    <n v="33278"/>
  </r>
  <r>
    <n v="735"/>
    <x v="3"/>
    <x v="68"/>
    <n v="62012"/>
    <n v="45478"/>
    <s v="Knnd Associates Pvt Ltd"/>
    <s v="MAHE Lecture Hall Campus Bangalore"/>
    <x v="21"/>
    <s v="Pressure Testing"/>
    <x v="0"/>
    <n v="252.2"/>
    <n v="35"/>
    <n v="8827"/>
  </r>
  <r>
    <n v="736"/>
    <x v="3"/>
    <x v="68"/>
    <n v="62013"/>
    <n v="45479"/>
    <s v="Knnd Associates Pvt Ltd"/>
    <s v="IISC Medical School Foundation Bangalore"/>
    <x v="21"/>
    <s v="Pressure Testing"/>
    <x v="0"/>
    <n v="714"/>
    <n v="35"/>
    <n v="24990"/>
  </r>
  <r>
    <n v="737"/>
    <x v="3"/>
    <x v="68"/>
    <n v="62014"/>
    <n v="45480"/>
    <s v="Knnd Associates Pvt Ltd"/>
    <s v="Zentech Business Park Bangalore"/>
    <x v="21"/>
    <s v="Pressure Testing"/>
    <x v="0"/>
    <n v="464.4"/>
    <n v="35"/>
    <n v="16254"/>
  </r>
  <r>
    <n v="738"/>
    <x v="3"/>
    <x v="68"/>
    <n v="62015"/>
    <n v="45481"/>
    <s v="Knnd Associates Pvt Ltd"/>
    <s v="Motherhood Hospital Sarjapura"/>
    <x v="21"/>
    <s v="Pressure Testing"/>
    <x v="0"/>
    <n v="361.6"/>
    <n v="35"/>
    <n v="12656"/>
  </r>
  <r>
    <n v="739"/>
    <x v="3"/>
    <x v="68"/>
    <n v="62016"/>
    <n v="45482"/>
    <s v="Knnd Associates Pvt Ltd"/>
    <s v="Chanakya University HB-3A Bangalore"/>
    <x v="21"/>
    <s v="Pressure Testing"/>
    <x v="0"/>
    <n v="853.7"/>
    <n v="35"/>
    <n v="29879.5"/>
  </r>
  <r>
    <n v="740"/>
    <x v="3"/>
    <x v="68"/>
    <n v="62017"/>
    <n v="45483"/>
    <s v="Knnd Associates Pvt Ltd"/>
    <s v="MAHE Hostel block-5 Bangalore"/>
    <x v="21"/>
    <s v="Pressure Testing"/>
    <x v="0"/>
    <n v="319.10000000000002"/>
    <n v="35"/>
    <n v="11168.5"/>
  </r>
  <r>
    <n v="741"/>
    <x v="3"/>
    <x v="68"/>
    <n v="62018"/>
    <n v="45484"/>
    <s v="Knnd Associates Pvt Ltd"/>
    <s v="Jayadeva Institute of Cardiovas Science"/>
    <x v="21"/>
    <s v="Pressure Testing"/>
    <x v="0"/>
    <n v="814.5"/>
    <n v="35"/>
    <n v="28507.5"/>
  </r>
  <r>
    <n v="742"/>
    <x v="3"/>
    <x v="68"/>
    <n v="62019"/>
    <n v="45485"/>
    <s v="Knnd Associates Pvt Ltd"/>
    <s v="Schneider Electric Bangalore"/>
    <x v="21"/>
    <s v="Pressure Testing"/>
    <x v="0"/>
    <n v="171.4"/>
    <n v="35"/>
    <n v="5999"/>
  </r>
  <r>
    <n v="743"/>
    <x v="3"/>
    <x v="68"/>
    <n v="62020"/>
    <n v="45486"/>
    <s v="Knnd Associates Pvt Ltd"/>
    <s v="MAHE Hostel block-5 Bangalore"/>
    <x v="21"/>
    <s v="Pressure Testing"/>
    <x v="0"/>
    <n v="299.3"/>
    <n v="35"/>
    <n v="10475.5"/>
  </r>
  <r>
    <n v="744"/>
    <x v="3"/>
    <x v="68"/>
    <n v="62021"/>
    <n v="45487"/>
    <s v="Knnd Associates Pvt Ltd"/>
    <s v="Wipro Doddaballapura"/>
    <x v="21"/>
    <s v="Pressure Testing"/>
    <x v="0"/>
    <n v="1637.9"/>
    <n v="35"/>
    <n v="57326.5"/>
  </r>
  <r>
    <n v="745"/>
    <x v="3"/>
    <x v="68"/>
    <n v="61965"/>
    <n v="45488"/>
    <s v="Knnd Associates Pvt Ltd"/>
    <s v="IISC Medical School Foundation Bangalore"/>
    <x v="0"/>
    <s v="120gsm 24G"/>
    <x v="0"/>
    <n v="401.7"/>
    <n v="670"/>
    <n v="269139"/>
  </r>
  <r>
    <n v="746"/>
    <x v="3"/>
    <x v="68"/>
    <n v="61965"/>
    <n v="45488"/>
    <s v="Knnd Associates Pvt Ltd"/>
    <s v="IISC Medical School Foundation Bangalore"/>
    <x v="0"/>
    <s v="120gsm 22G"/>
    <x v="0"/>
    <n v="30.2"/>
    <n v="868"/>
    <n v="26213.599999999999"/>
  </r>
  <r>
    <n v="747"/>
    <x v="3"/>
    <x v="68"/>
    <n v="61965"/>
    <n v="45488"/>
    <s v="Knnd Associates Pvt Ltd"/>
    <s v="IISC Medical School Foundation Bangalore"/>
    <x v="1"/>
    <s v="Insu Armaflex Thermal 19mm"/>
    <x v="0"/>
    <n v="431.9"/>
    <n v="441"/>
    <n v="190467.9"/>
  </r>
  <r>
    <n v="748"/>
    <x v="3"/>
    <x v="68"/>
    <n v="61965"/>
    <n v="45488"/>
    <s v="Knnd Associates Pvt Ltd"/>
    <s v="IISC Medical School Foundation Bangalore"/>
    <x v="2"/>
    <s v="Polythene wrapping"/>
    <x v="0"/>
    <n v="470"/>
    <n v="20"/>
    <n v="9400"/>
  </r>
  <r>
    <n v="749"/>
    <x v="3"/>
    <x v="69"/>
    <n v="61859"/>
    <n v="45489"/>
    <s v="Knnd Associates Pvt Ltd"/>
    <s v="MSR Tech Park Bangalore"/>
    <x v="8"/>
    <s v="120gsm 20G"/>
    <x v="0"/>
    <n v="2.1"/>
    <n v="5200"/>
    <n v="10920"/>
  </r>
  <r>
    <n v="750"/>
    <x v="3"/>
    <x v="69"/>
    <n v="61965"/>
    <n v="45490"/>
    <s v="Knnd Associates Pvt Ltd"/>
    <s v="IISC Medical School Foundation Bangalore"/>
    <x v="0"/>
    <s v="120gsm 24G"/>
    <x v="0"/>
    <n v="402"/>
    <n v="670"/>
    <n v="269340"/>
  </r>
  <r>
    <n v="751"/>
    <x v="3"/>
    <x v="69"/>
    <n v="61965"/>
    <n v="45490"/>
    <s v="Knnd Associates Pvt Ltd"/>
    <s v="IISC Medical School Foundation Bangalore"/>
    <x v="0"/>
    <s v="120gsm 22G"/>
    <x v="0"/>
    <n v="78.5"/>
    <n v="868"/>
    <n v="68138"/>
  </r>
  <r>
    <n v="752"/>
    <x v="3"/>
    <x v="69"/>
    <n v="61965"/>
    <n v="45490"/>
    <s v="Knnd Associates Pvt Ltd"/>
    <s v="IISC Medical School Foundation Bangalore"/>
    <x v="30"/>
    <s v="120gsm Slit 24G"/>
    <x v="0"/>
    <n v="93.5"/>
    <n v="620"/>
    <n v="57970"/>
  </r>
  <r>
    <n v="753"/>
    <x v="3"/>
    <x v="69"/>
    <n v="61965"/>
    <n v="45490"/>
    <s v="Knnd Associates Pvt Ltd"/>
    <s v="IISC Medical School Foundation Bangalore"/>
    <x v="33"/>
    <s v="120gsm 24G"/>
    <x v="1"/>
    <n v="26"/>
    <n v="70"/>
    <n v="1820"/>
  </r>
  <r>
    <n v="754"/>
    <x v="3"/>
    <x v="69"/>
    <n v="61965"/>
    <n v="45490"/>
    <s v="Knnd Associates Pvt Ltd"/>
    <s v="IISC Medical School Foundation Bangalore"/>
    <x v="1"/>
    <s v="Insu Armaflex Thermal 19mm"/>
    <x v="0"/>
    <n v="365.4"/>
    <n v="441"/>
    <n v="161141.4"/>
  </r>
  <r>
    <n v="755"/>
    <x v="3"/>
    <x v="69"/>
    <n v="61965"/>
    <n v="45490"/>
    <s v="Knnd Associates Pvt Ltd"/>
    <s v="IISC Medical School Foundation Bangalore"/>
    <x v="1"/>
    <s v="Insu Armasound Acou. 15mm"/>
    <x v="0"/>
    <n v="3.1"/>
    <n v="838"/>
    <n v="2597.8000000000002"/>
  </r>
  <r>
    <n v="756"/>
    <x v="3"/>
    <x v="69"/>
    <n v="61965"/>
    <n v="45490"/>
    <s v="Knnd Associates Pvt Ltd"/>
    <s v="IISC Medical School Foundation Bangalore"/>
    <x v="2"/>
    <s v="Polythene wrapping"/>
    <x v="0"/>
    <n v="400"/>
    <n v="20"/>
    <n v="8000"/>
  </r>
  <r>
    <n v="757"/>
    <x v="3"/>
    <x v="69"/>
    <n v="61967"/>
    <n v="45491"/>
    <s v="Knnd Associates Pvt Ltd"/>
    <s v="AIIMS Hospital Madurai"/>
    <x v="0"/>
    <s v="120gsm 24G"/>
    <x v="0"/>
    <n v="391.9"/>
    <n v="670"/>
    <n v="262573"/>
  </r>
  <r>
    <n v="758"/>
    <x v="3"/>
    <x v="69"/>
    <n v="61967"/>
    <n v="45491"/>
    <s v="Knnd Associates Pvt Ltd"/>
    <s v="AIIMS Hospital Madurai"/>
    <x v="0"/>
    <s v="120gsm 22G"/>
    <x v="0"/>
    <n v="193.8"/>
    <n v="868"/>
    <n v="168218.40000000002"/>
  </r>
  <r>
    <n v="759"/>
    <x v="3"/>
    <x v="69"/>
    <n v="61967"/>
    <n v="45491"/>
    <s v="Knnd Associates Pvt Ltd"/>
    <s v="AIIMS Hospital Madurai"/>
    <x v="0"/>
    <s v="120gsm 20G"/>
    <x v="0"/>
    <n v="34.6"/>
    <n v="1060"/>
    <n v="36676"/>
  </r>
  <r>
    <n v="760"/>
    <x v="3"/>
    <x v="69"/>
    <n v="61967"/>
    <n v="45491"/>
    <s v="Knnd Associates Pvt Ltd"/>
    <s v="AIIMS Hospital Madurai"/>
    <x v="1"/>
    <s v="Insu Kflex Thermal 13mm Al. Foil"/>
    <x v="0"/>
    <n v="620.29999999999995"/>
    <n v="415"/>
    <n v="257424.49999999997"/>
  </r>
  <r>
    <n v="761"/>
    <x v="3"/>
    <x v="69"/>
    <n v="61967"/>
    <n v="45491"/>
    <s v="Knnd Associates Pvt Ltd"/>
    <s v="AIIMS Hospital Madurai"/>
    <x v="2"/>
    <s v="Polythene wrapping"/>
    <x v="0"/>
    <n v="630"/>
    <n v="20"/>
    <n v="12600"/>
  </r>
  <r>
    <n v="762"/>
    <x v="3"/>
    <x v="70"/>
    <n v="61965"/>
    <n v="45492"/>
    <s v="Knnd Associates Pvt Ltd"/>
    <s v="IISC Medical School Foundation Bangalore"/>
    <x v="0"/>
    <s v="120gsm 24G"/>
    <x v="0"/>
    <n v="32.200000000000003"/>
    <n v="670"/>
    <n v="21574.000000000004"/>
  </r>
  <r>
    <n v="763"/>
    <x v="3"/>
    <x v="70"/>
    <n v="61965"/>
    <n v="45492"/>
    <s v="Knnd Associates Pvt Ltd"/>
    <s v="IISC Medical School Foundation Bangalore"/>
    <x v="0"/>
    <s v="120gsm 22G"/>
    <x v="0"/>
    <n v="15.8"/>
    <n v="868"/>
    <n v="13714.400000000001"/>
  </r>
  <r>
    <n v="764"/>
    <x v="3"/>
    <x v="70"/>
    <n v="61965"/>
    <n v="45492"/>
    <s v="Knnd Associates Pvt Ltd"/>
    <s v="IISC Medical School Foundation Bangalore"/>
    <x v="1"/>
    <s v="Insu Armaflex Thermal 19mm"/>
    <x v="0"/>
    <n v="34.700000000000003"/>
    <n v="441"/>
    <n v="15302.7"/>
  </r>
  <r>
    <n v="765"/>
    <x v="3"/>
    <x v="70"/>
    <n v="61965"/>
    <n v="45492"/>
    <s v="Knnd Associates Pvt Ltd"/>
    <s v="IISC Medical School Foundation Bangalore"/>
    <x v="1"/>
    <s v="Insu Armasound Acou. 15mm"/>
    <x v="0"/>
    <n v="3.8"/>
    <n v="838"/>
    <n v="3184.3999999999996"/>
  </r>
  <r>
    <n v="766"/>
    <x v="3"/>
    <x v="70"/>
    <n v="61965"/>
    <n v="45492"/>
    <s v="Knnd Associates Pvt Ltd"/>
    <s v="IISC Medical School Foundation Bangalore"/>
    <x v="2"/>
    <s v="Polythene wrapping"/>
    <x v="0"/>
    <n v="50"/>
    <n v="20"/>
    <n v="1000"/>
  </r>
  <r>
    <n v="767"/>
    <x v="3"/>
    <x v="70"/>
    <n v="62024"/>
    <n v="45493"/>
    <s v="Knnd Associates Pvt Ltd"/>
    <s v="MHEPL Mangalore"/>
    <x v="0"/>
    <s v="120gsm 24G"/>
    <x v="0"/>
    <n v="105"/>
    <n v="670"/>
    <n v="70350"/>
  </r>
  <r>
    <n v="768"/>
    <x v="3"/>
    <x v="70"/>
    <n v="62024"/>
    <n v="45493"/>
    <s v="Knnd Associates Pvt Ltd"/>
    <s v="MHEPL Mangalore"/>
    <x v="0"/>
    <s v="120gsm 22G"/>
    <x v="0"/>
    <n v="84.1"/>
    <n v="868"/>
    <n v="72998.799999999988"/>
  </r>
  <r>
    <n v="769"/>
    <x v="3"/>
    <x v="70"/>
    <n v="62024"/>
    <n v="45493"/>
    <s v="Knnd Associates Pvt Ltd"/>
    <s v="MHEPL Mangalore"/>
    <x v="30"/>
    <s v="120gsm Slit 24G"/>
    <x v="0"/>
    <n v="16.100000000000001"/>
    <n v="620"/>
    <n v="9982"/>
  </r>
  <r>
    <n v="770"/>
    <x v="3"/>
    <x v="70"/>
    <n v="62024"/>
    <n v="45493"/>
    <s v="Knnd Associates Pvt Ltd"/>
    <s v="MHEPL Mangalore"/>
    <x v="11"/>
    <s v="120gsm Slit 22G"/>
    <x v="0"/>
    <n v="0.7"/>
    <n v="770"/>
    <n v="539"/>
  </r>
  <r>
    <n v="771"/>
    <x v="3"/>
    <x v="70"/>
    <n v="62024"/>
    <n v="45493"/>
    <s v="Knnd Associates Pvt Ltd"/>
    <s v="MHEPL Mangalore"/>
    <x v="8"/>
    <s v="120gsm 20G"/>
    <x v="0"/>
    <n v="2.5"/>
    <n v="5200"/>
    <n v="13000"/>
  </r>
  <r>
    <n v="772"/>
    <x v="3"/>
    <x v="70"/>
    <n v="62024"/>
    <n v="45493"/>
    <s v="Knnd Associates Pvt Ltd"/>
    <s v="MHEPL Mangalore"/>
    <x v="1"/>
    <s v="Insu Supreme Thermal 13mm"/>
    <x v="0"/>
    <n v="51.2"/>
    <n v="365"/>
    <n v="18688"/>
  </r>
  <r>
    <n v="773"/>
    <x v="3"/>
    <x v="70"/>
    <n v="62024"/>
    <n v="45493"/>
    <s v="Knnd Associates Pvt Ltd"/>
    <s v="MHEPL Mangalore"/>
    <x v="1"/>
    <s v="Insu Armasound Acou. 15mm"/>
    <x v="0"/>
    <n v="4.4000000000000004"/>
    <n v="906"/>
    <n v="3986.4000000000005"/>
  </r>
  <r>
    <n v="774"/>
    <x v="3"/>
    <x v="70"/>
    <n v="62024"/>
    <n v="45493"/>
    <s v="Knnd Associates Pvt Ltd"/>
    <s v="MHEPL Mangalore"/>
    <x v="15"/>
    <s v="Insu Supreme Thermal 9mm"/>
    <x v="1"/>
    <n v="15"/>
    <n v="154"/>
    <n v="2310"/>
  </r>
  <r>
    <n v="775"/>
    <x v="3"/>
    <x v="70"/>
    <n v="62024"/>
    <n v="45493"/>
    <s v="Knnd Associates Pvt Ltd"/>
    <s v="MHEPL Mangalore"/>
    <x v="2"/>
    <s v="Polythene wrapping"/>
    <x v="0"/>
    <n v="75"/>
    <n v="20"/>
    <n v="1500"/>
  </r>
  <r>
    <n v="776"/>
    <x v="3"/>
    <x v="71"/>
    <n v="61997"/>
    <n v="45494"/>
    <s v="Knnd Associates Pvt Ltd"/>
    <s v="BDR Hospital Pune"/>
    <x v="0"/>
    <s v="120gsm 24G"/>
    <x v="0"/>
    <n v="826.2"/>
    <n v="670"/>
    <n v="553554"/>
  </r>
  <r>
    <n v="777"/>
    <x v="3"/>
    <x v="71"/>
    <n v="61997"/>
    <n v="45494"/>
    <s v="Knnd Associates Pvt Ltd"/>
    <s v="BDR Hospital Pune"/>
    <x v="36"/>
    <s v="120gsm Slit 22G"/>
    <x v="0"/>
    <n v="8.3000000000000007"/>
    <n v="770"/>
    <n v="6391.0000000000009"/>
  </r>
  <r>
    <n v="778"/>
    <x v="3"/>
    <x v="71"/>
    <n v="61997"/>
    <n v="45494"/>
    <s v="Knnd Associates Pvt Ltd"/>
    <s v="BDR Hospital Pune"/>
    <x v="33"/>
    <s v="120gsm 24G"/>
    <x v="1"/>
    <n v="76"/>
    <n v="75"/>
    <n v="5700"/>
  </r>
  <r>
    <n v="779"/>
    <x v="3"/>
    <x v="71"/>
    <n v="61997"/>
    <n v="45494"/>
    <s v="Knnd Associates Pvt Ltd"/>
    <s v="BDR Hospital Pune"/>
    <x v="1"/>
    <s v="Insu Supreme Thermal 13mm Glass Cloth"/>
    <x v="0"/>
    <n v="580.79999999999995"/>
    <n v="507"/>
    <n v="294465.59999999998"/>
  </r>
  <r>
    <n v="780"/>
    <x v="3"/>
    <x v="71"/>
    <n v="61997"/>
    <n v="45494"/>
    <s v="Knnd Associates Pvt Ltd"/>
    <s v="BDR Hospital Pune"/>
    <x v="1"/>
    <s v="Insu Armasound Acou. 15mm"/>
    <x v="0"/>
    <n v="26.4"/>
    <n v="865"/>
    <n v="22836"/>
  </r>
  <r>
    <n v="781"/>
    <x v="3"/>
    <x v="71"/>
    <n v="61997"/>
    <n v="45494"/>
    <s v="Knnd Associates Pvt Ltd"/>
    <s v="BDR Hospital Pune"/>
    <x v="15"/>
    <s v="Insu Supreme Thermal 13mm Glass Cloth"/>
    <x v="0"/>
    <n v="100.8"/>
    <n v="360"/>
    <n v="36288"/>
  </r>
  <r>
    <n v="782"/>
    <x v="3"/>
    <x v="71"/>
    <n v="61997"/>
    <n v="45494"/>
    <s v="Knnd Associates Pvt Ltd"/>
    <s v="BDR Hospital Pune"/>
    <x v="2"/>
    <s v="Polythene wrapping"/>
    <x v="0"/>
    <n v="630"/>
    <n v="20"/>
    <n v="12600"/>
  </r>
  <r>
    <n v="783"/>
    <x v="3"/>
    <x v="72"/>
    <n v="62008"/>
    <n v="45495"/>
    <s v="Knnd Associates Pvt Ltd"/>
    <s v="Ginni Devi Goel Manipal Hospital Raipur"/>
    <x v="19"/>
    <s v="120gsm 26G"/>
    <x v="0"/>
    <n v="217.9"/>
    <n v="545"/>
    <n v="118755.5"/>
  </r>
  <r>
    <n v="784"/>
    <x v="3"/>
    <x v="72"/>
    <n v="62008"/>
    <n v="45495"/>
    <s v="Knnd Associates Pvt Ltd"/>
    <s v="Ginni Devi Goel Manipal Hospital Raipur"/>
    <x v="19"/>
    <s v="120gsm 24G"/>
    <x v="0"/>
    <n v="3"/>
    <n v="645"/>
    <n v="1935"/>
  </r>
  <r>
    <n v="785"/>
    <x v="3"/>
    <x v="72"/>
    <n v="61993"/>
    <n v="45496"/>
    <s v="Knnd Associates Pvt Ltd"/>
    <s v="Infosys Bangalore B-3,4&amp;5"/>
    <x v="0"/>
    <s v="120gsm 24G"/>
    <x v="0"/>
    <n v="5.9"/>
    <n v="670"/>
    <n v="3953.0000000000005"/>
  </r>
  <r>
    <n v="786"/>
    <x v="3"/>
    <x v="72"/>
    <n v="61993"/>
    <n v="45496"/>
    <s v="Knnd Associates Pvt Ltd"/>
    <s v="Infosys Bangalore B-3,4&amp;5"/>
    <x v="0"/>
    <s v="120gsm 22G"/>
    <x v="0"/>
    <n v="6.7"/>
    <n v="868"/>
    <n v="5815.6"/>
  </r>
  <r>
    <n v="787"/>
    <x v="3"/>
    <x v="72"/>
    <n v="61993"/>
    <n v="45496"/>
    <s v="Knnd Associates Pvt Ltd"/>
    <s v="Infosys Bangalore B-3,4&amp;5"/>
    <x v="66"/>
    <s v="120gsm 24G"/>
    <x v="1"/>
    <n v="8"/>
    <n v="726"/>
    <n v="5808"/>
  </r>
  <r>
    <n v="788"/>
    <x v="3"/>
    <x v="72"/>
    <n v="61993"/>
    <n v="45496"/>
    <s v="Knnd Associates Pvt Ltd"/>
    <s v="Infosys Bangalore B-3,4&amp;5"/>
    <x v="76"/>
    <s v="120gsm 24G"/>
    <x v="1"/>
    <n v="39"/>
    <n v="1120"/>
    <n v="43680"/>
  </r>
  <r>
    <n v="789"/>
    <x v="3"/>
    <x v="72"/>
    <n v="61993"/>
    <n v="45496"/>
    <s v="Knnd Associates Pvt Ltd"/>
    <s v="Infosys Bangalore B-3,4&amp;5"/>
    <x v="77"/>
    <s v="120gsm 24G"/>
    <x v="1"/>
    <n v="4"/>
    <n v="1495"/>
    <n v="5980"/>
  </r>
  <r>
    <n v="790"/>
    <x v="3"/>
    <x v="72"/>
    <n v="61993"/>
    <n v="45496"/>
    <s v="Knnd Associates Pvt Ltd"/>
    <s v="Infosys Bangalore B-3,4&amp;5"/>
    <x v="1"/>
    <s v="Insu Armasound Acou. 15mm"/>
    <x v="0"/>
    <n v="81.277699999999996"/>
    <n v="906"/>
    <n v="73637.5962"/>
  </r>
  <r>
    <n v="791"/>
    <x v="3"/>
    <x v="73"/>
    <n v="62027"/>
    <n v="45497"/>
    <s v="Knnd Associates Pvt Ltd"/>
    <s v="Premier Energies Naidupeta"/>
    <x v="0"/>
    <s v="120gsm 22G"/>
    <x v="0"/>
    <n v="394.5"/>
    <n v="835"/>
    <n v="329407.5"/>
  </r>
  <r>
    <n v="792"/>
    <x v="3"/>
    <x v="73"/>
    <n v="62027"/>
    <n v="45497"/>
    <s v="Knnd Associates Pvt Ltd"/>
    <s v="Premier Energies Naidupeta"/>
    <x v="1"/>
    <s v="Insu Aerolama Thermal 25mm"/>
    <x v="0"/>
    <n v="212.7"/>
    <n v="496"/>
    <n v="105499.2"/>
  </r>
  <r>
    <n v="793"/>
    <x v="3"/>
    <x v="73"/>
    <n v="62027"/>
    <n v="45497"/>
    <s v="Knnd Associates Pvt Ltd"/>
    <s v="Premier Energies Naidupeta"/>
    <x v="1"/>
    <s v="Insu Aerolama Thermal 32mm"/>
    <x v="0"/>
    <n v="181.8"/>
    <n v="595"/>
    <n v="108171"/>
  </r>
  <r>
    <n v="794"/>
    <x v="3"/>
    <x v="73"/>
    <n v="62027"/>
    <n v="45497"/>
    <s v="Knnd Associates Pvt Ltd"/>
    <s v="Premier Energies Naidupeta"/>
    <x v="2"/>
    <s v="Polythene wrapping"/>
    <x v="0"/>
    <n v="450"/>
    <n v="20"/>
    <n v="9000"/>
  </r>
  <r>
    <n v="795"/>
    <x v="3"/>
    <x v="73"/>
    <n v="62027"/>
    <n v="45498"/>
    <s v="Knnd Associates Pvt Ltd"/>
    <s v="Premier Energies Naidupeta"/>
    <x v="0"/>
    <s v="120gsm 22G"/>
    <x v="0"/>
    <n v="356.3"/>
    <n v="835"/>
    <n v="297510.5"/>
  </r>
  <r>
    <n v="796"/>
    <x v="3"/>
    <x v="73"/>
    <n v="62027"/>
    <n v="45498"/>
    <s v="Knnd Associates Pvt Ltd"/>
    <s v="Premier Energies Naidupeta"/>
    <x v="1"/>
    <s v="Insu Aerolama Thermal 25mm"/>
    <x v="0"/>
    <n v="239.1"/>
    <n v="496"/>
    <n v="118593.59999999999"/>
  </r>
  <r>
    <n v="797"/>
    <x v="3"/>
    <x v="73"/>
    <n v="62027"/>
    <n v="45498"/>
    <s v="Knnd Associates Pvt Ltd"/>
    <s v="Premier Energies Naidupeta"/>
    <x v="1"/>
    <s v="Insu Aerolama Thermal 32mm"/>
    <x v="0"/>
    <n v="117.2"/>
    <n v="595"/>
    <n v="69734"/>
  </r>
  <r>
    <n v="798"/>
    <x v="3"/>
    <x v="73"/>
    <n v="62027"/>
    <n v="45498"/>
    <s v="Knnd Associates Pvt Ltd"/>
    <s v="Premier Energies Naidupeta"/>
    <x v="2"/>
    <s v="Polythene wrapping"/>
    <x v="0"/>
    <n v="400"/>
    <n v="20"/>
    <n v="8000"/>
  </r>
  <r>
    <n v="799"/>
    <x v="3"/>
    <x v="74"/>
    <n v="62027"/>
    <n v="45499"/>
    <s v="Knnd Associates Pvt Ltd"/>
    <s v="Premier Energies Naidupeta"/>
    <x v="0"/>
    <s v="120gsm 22G"/>
    <x v="0"/>
    <n v="332.3"/>
    <n v="835"/>
    <n v="277470.5"/>
  </r>
  <r>
    <n v="800"/>
    <x v="3"/>
    <x v="74"/>
    <n v="62027"/>
    <n v="45499"/>
    <s v="Knnd Associates Pvt Ltd"/>
    <s v="Premier Energies Naidupeta"/>
    <x v="1"/>
    <s v="Insu Aerolama Thermal 25mm"/>
    <x v="0"/>
    <n v="145.30000000000001"/>
    <n v="496"/>
    <n v="72068.800000000003"/>
  </r>
  <r>
    <n v="801"/>
    <x v="3"/>
    <x v="74"/>
    <n v="62027"/>
    <n v="45499"/>
    <s v="Knnd Associates Pvt Ltd"/>
    <s v="Premier Energies Naidupeta"/>
    <x v="1"/>
    <s v="Insu Aerolama Thermal 32mm"/>
    <x v="0"/>
    <n v="187"/>
    <n v="595"/>
    <n v="111265"/>
  </r>
  <r>
    <n v="802"/>
    <x v="3"/>
    <x v="74"/>
    <n v="62027"/>
    <n v="45499"/>
    <s v="Knnd Associates Pvt Ltd"/>
    <s v="Premier Energies Naidupeta"/>
    <x v="15"/>
    <s v="Insu Aerolama Thermal 25mm"/>
    <x v="0"/>
    <n v="115.2"/>
    <n v="320"/>
    <n v="36864"/>
  </r>
  <r>
    <n v="803"/>
    <x v="3"/>
    <x v="74"/>
    <n v="62027"/>
    <n v="45499"/>
    <s v="Knnd Associates Pvt Ltd"/>
    <s v="Premier Energies Naidupeta"/>
    <x v="2"/>
    <s v="Polythene wrapping"/>
    <x v="0"/>
    <n v="380"/>
    <n v="20"/>
    <n v="7600"/>
  </r>
  <r>
    <n v="804"/>
    <x v="3"/>
    <x v="74"/>
    <n v="62027"/>
    <n v="45500"/>
    <s v="Knnd Associates Pvt Ltd"/>
    <s v="Premier Energies Naidupeta"/>
    <x v="0"/>
    <s v="120gsm 22G"/>
    <x v="0"/>
    <n v="64.5"/>
    <n v="835"/>
    <n v="53857.5"/>
  </r>
  <r>
    <n v="805"/>
    <x v="3"/>
    <x v="74"/>
    <n v="62027"/>
    <n v="45500"/>
    <s v="Knnd Associates Pvt Ltd"/>
    <s v="Premier Energies Naidupeta"/>
    <x v="1"/>
    <s v="Insu Aerolama Thermal 25mm"/>
    <x v="0"/>
    <n v="33.299999999999997"/>
    <n v="496"/>
    <n v="16516.8"/>
  </r>
  <r>
    <n v="806"/>
    <x v="3"/>
    <x v="74"/>
    <n v="62027"/>
    <n v="45500"/>
    <s v="Knnd Associates Pvt Ltd"/>
    <s v="Premier Energies Naidupeta"/>
    <x v="1"/>
    <s v="Insu Aerolama Thermal 32mm"/>
    <x v="0"/>
    <n v="31.2"/>
    <n v="595"/>
    <n v="18564"/>
  </r>
  <r>
    <n v="807"/>
    <x v="3"/>
    <x v="74"/>
    <n v="62027"/>
    <n v="45500"/>
    <s v="Knnd Associates Pvt Ltd"/>
    <s v="Premier Energies Naidupeta"/>
    <x v="15"/>
    <s v="Insu Aerolama Thermal 25mm"/>
    <x v="0"/>
    <n v="96"/>
    <n v="320"/>
    <n v="30720"/>
  </r>
  <r>
    <n v="808"/>
    <x v="3"/>
    <x v="74"/>
    <n v="62027"/>
    <n v="45500"/>
    <s v="Knnd Associates Pvt Ltd"/>
    <s v="Premier Energies Naidupeta"/>
    <x v="2"/>
    <s v="Polythene wrapping"/>
    <x v="0"/>
    <n v="100"/>
    <n v="20"/>
    <n v="2000"/>
  </r>
  <r>
    <n v="809"/>
    <x v="3"/>
    <x v="75"/>
    <n v="62005"/>
    <n v="45501"/>
    <s v="Knnd Associates Pvt Ltd"/>
    <s v="Wipro Doddaballapura (Pre-Insu Pipe)"/>
    <x v="72"/>
    <s v="(200mm Dia x 50mm Thick)"/>
    <x v="2"/>
    <n v="72"/>
    <n v="1470"/>
    <n v="105840"/>
  </r>
  <r>
    <n v="810"/>
    <x v="3"/>
    <x v="76"/>
    <n v="61992"/>
    <n v="45502"/>
    <s v="Knnd Associates Pvt Ltd"/>
    <s v="MAHE Hostel block-5 Bangalore"/>
    <x v="30"/>
    <s v="120gsm Slit 24G"/>
    <x v="0"/>
    <n v="131.9"/>
    <n v="578"/>
    <n v="76238.2"/>
  </r>
  <r>
    <n v="811"/>
    <x v="3"/>
    <x v="76"/>
    <n v="61992"/>
    <n v="45502"/>
    <s v="Knnd Associates Pvt Ltd"/>
    <s v="MAHE Hostel block-5 Bangalore"/>
    <x v="57"/>
    <s v="120gsm 24G"/>
    <x v="1"/>
    <n v="15"/>
    <n v="530"/>
    <n v="7950"/>
  </r>
  <r>
    <n v="812"/>
    <x v="3"/>
    <x v="76"/>
    <n v="61992"/>
    <n v="45502"/>
    <s v="Knnd Associates Pvt Ltd"/>
    <s v="MAHE Hostel block-5 Bangalore"/>
    <x v="59"/>
    <s v="120gsm 24G"/>
    <x v="1"/>
    <n v="25"/>
    <n v="390"/>
    <n v="9750"/>
  </r>
  <r>
    <n v="813"/>
    <x v="3"/>
    <x v="76"/>
    <n v="61992"/>
    <n v="45502"/>
    <s v="Knnd Associates Pvt Ltd"/>
    <s v="MAHE Hostel block-5 Bangalore"/>
    <x v="78"/>
    <s v="120gsm 24G"/>
    <x v="1"/>
    <n v="25"/>
    <n v="450"/>
    <n v="11250"/>
  </r>
  <r>
    <n v="814"/>
    <x v="3"/>
    <x v="76"/>
    <n v="61992"/>
    <n v="45502"/>
    <s v="Knnd Associates Pvt Ltd"/>
    <s v="MAHE Hostel block-5 Bangalore"/>
    <x v="79"/>
    <s v="120gsm 24G"/>
    <x v="1"/>
    <n v="50"/>
    <n v="290"/>
    <n v="14500"/>
  </r>
  <r>
    <n v="815"/>
    <x v="3"/>
    <x v="76"/>
    <n v="61992"/>
    <n v="45502"/>
    <s v="Knnd Associates Pvt Ltd"/>
    <s v="MAHE Hostel block-5 Bangalore"/>
    <x v="60"/>
    <s v="120gsm 24G"/>
    <x v="1"/>
    <n v="4"/>
    <n v="395"/>
    <n v="1580"/>
  </r>
  <r>
    <n v="816"/>
    <x v="3"/>
    <x v="76"/>
    <n v="61992"/>
    <n v="45502"/>
    <s v="Knnd Associates Pvt Ltd"/>
    <s v="MAHE Hostel block-5 Bangalore"/>
    <x v="80"/>
    <s v="120gsm 24G"/>
    <x v="1"/>
    <n v="60"/>
    <n v="285"/>
    <n v="17100"/>
  </r>
  <r>
    <n v="817"/>
    <x v="3"/>
    <x v="77"/>
    <n v="61967"/>
    <n v="45503"/>
    <s v="Knnd Associates Pvt Ltd"/>
    <s v="AIIMS Hospital Madurai"/>
    <x v="0"/>
    <s v="120gsm 24G"/>
    <x v="0"/>
    <n v="366.4"/>
    <n v="670"/>
    <n v="245487.99999999997"/>
  </r>
  <r>
    <n v="818"/>
    <x v="3"/>
    <x v="77"/>
    <n v="61967"/>
    <n v="45503"/>
    <s v="Knnd Associates Pvt Ltd"/>
    <s v="AIIMS Hospital Madurai"/>
    <x v="0"/>
    <s v="120gsm 22G"/>
    <x v="0"/>
    <n v="189.6"/>
    <n v="868"/>
    <n v="164572.79999999999"/>
  </r>
  <r>
    <n v="819"/>
    <x v="3"/>
    <x v="77"/>
    <n v="61967"/>
    <n v="45503"/>
    <s v="Knnd Associates Pvt Ltd"/>
    <s v="AIIMS Hospital Madurai"/>
    <x v="0"/>
    <s v="120gsm 20G"/>
    <x v="0"/>
    <n v="60.9"/>
    <n v="1060"/>
    <n v="64554"/>
  </r>
  <r>
    <n v="820"/>
    <x v="3"/>
    <x v="77"/>
    <n v="61967"/>
    <n v="45503"/>
    <s v="Knnd Associates Pvt Ltd"/>
    <s v="AIIMS Hospital Madurai"/>
    <x v="1"/>
    <s v="Insu Kflex Acou. 10mm"/>
    <x v="0"/>
    <n v="38.700000000000003"/>
    <n v="755"/>
    <n v="29218.500000000004"/>
  </r>
  <r>
    <n v="821"/>
    <x v="3"/>
    <x v="77"/>
    <n v="61967"/>
    <n v="45503"/>
    <s v="Knnd Associates Pvt Ltd"/>
    <s v="AIIMS Hospital Madurai"/>
    <x v="1"/>
    <s v="Insu Kflex Thermal 13mm Al. Foil"/>
    <x v="0"/>
    <n v="558.6"/>
    <n v="415"/>
    <n v="231819"/>
  </r>
  <r>
    <n v="822"/>
    <x v="3"/>
    <x v="77"/>
    <n v="61967"/>
    <n v="45503"/>
    <s v="Knnd Associates Pvt Ltd"/>
    <s v="AIIMS Hospital Madurai"/>
    <x v="2"/>
    <s v="Polythene wrapping"/>
    <x v="0"/>
    <n v="600"/>
    <n v="20"/>
    <n v="12000"/>
  </r>
  <r>
    <n v="823"/>
    <x v="3"/>
    <x v="78"/>
    <n v="62005"/>
    <n v="45504"/>
    <s v="Knnd Associates Pvt Ltd"/>
    <s v="Wipro Doddaballapura (Pre-Insu Pipe)"/>
    <x v="72"/>
    <s v="(125mm Dia x 50mm Thick)"/>
    <x v="2"/>
    <n v="54"/>
    <n v="1205"/>
    <n v="65070"/>
  </r>
  <r>
    <n v="824"/>
    <x v="3"/>
    <x v="78"/>
    <n v="62005"/>
    <n v="45504"/>
    <s v="Knnd Associates Pvt Ltd"/>
    <s v="Wipro Doddaballapura (Pre-Insu Pipe)"/>
    <x v="72"/>
    <s v="(100mm Dia x 50mm Thick)"/>
    <x v="2"/>
    <n v="72"/>
    <n v="1071"/>
    <n v="77112"/>
  </r>
  <r>
    <n v="825"/>
    <x v="3"/>
    <x v="78"/>
    <n v="62005"/>
    <n v="45504"/>
    <s v="Knnd Associates Pvt Ltd"/>
    <s v="Wipro Doddaballapura (Pre-Insu Pipe)"/>
    <x v="72"/>
    <s v="(65mm Dia x 50mm Thick)"/>
    <x v="2"/>
    <n v="12"/>
    <n v="756"/>
    <n v="9072"/>
  </r>
  <r>
    <n v="826"/>
    <x v="3"/>
    <x v="78"/>
    <n v="61968"/>
    <n v="45505"/>
    <s v="Knnd Associates Pvt Ltd"/>
    <s v="Chanakya University HB-3A Bangalore"/>
    <x v="30"/>
    <s v="120gsm Slit 24G"/>
    <x v="0"/>
    <n v="24.3"/>
    <n v="620"/>
    <n v="15066"/>
  </r>
  <r>
    <n v="827"/>
    <x v="3"/>
    <x v="78"/>
    <n v="61968"/>
    <n v="45505"/>
    <s v="Knnd Associates Pvt Ltd"/>
    <s v="Chanakya University HB-3A Bangalore"/>
    <x v="58"/>
    <s v="120gsm 24G"/>
    <x v="1"/>
    <n v="35"/>
    <n v="295"/>
    <n v="10325"/>
  </r>
  <r>
    <n v="828"/>
    <x v="3"/>
    <x v="78"/>
    <n v="61968"/>
    <n v="45505"/>
    <s v="Knnd Associates Pvt Ltd"/>
    <s v="Chanakya University HB-3A Bangalore"/>
    <x v="53"/>
    <s v="120gsm 24G"/>
    <x v="1"/>
    <n v="35"/>
    <n v="375"/>
    <n v="13125"/>
  </r>
  <r>
    <n v="829"/>
    <x v="3"/>
    <x v="78"/>
    <n v="62028"/>
    <n v="45506"/>
    <s v="Lakshmi Fabrication"/>
    <s v="Navitas Chennai"/>
    <x v="0"/>
    <s v="120gsm 24G"/>
    <x v="0"/>
    <n v="343.4"/>
    <n v="650"/>
    <n v="223209.99999999997"/>
  </r>
  <r>
    <n v="830"/>
    <x v="3"/>
    <x v="78"/>
    <n v="62028"/>
    <n v="45506"/>
    <s v="Lakshmi Fabrication"/>
    <s v="Navitas Chennai"/>
    <x v="0"/>
    <s v="120gsm 22G"/>
    <x v="0"/>
    <n v="123.8"/>
    <n v="835"/>
    <n v="103373"/>
  </r>
  <r>
    <n v="831"/>
    <x v="3"/>
    <x v="78"/>
    <n v="62028"/>
    <n v="45506"/>
    <s v="Lakshmi Fabrication"/>
    <s v="Navitas Chennai"/>
    <x v="75"/>
    <s v="120gsm 22G"/>
    <x v="1"/>
    <n v="71"/>
    <n v="500"/>
    <n v="35500"/>
  </r>
  <r>
    <n v="832"/>
    <x v="3"/>
    <x v="78"/>
    <n v="62028"/>
    <n v="45506"/>
    <s v="Lakshmi Fabrication"/>
    <s v="Navitas Chennai"/>
    <x v="1"/>
    <s v="Insu Kflex Thermal 9mm"/>
    <x v="0"/>
    <n v="523.63077999999996"/>
    <n v="325"/>
    <n v="170180.00349999999"/>
  </r>
  <r>
    <n v="833"/>
    <x v="3"/>
    <x v="78"/>
    <n v="62028"/>
    <n v="45506"/>
    <s v="Lakshmi Fabrication"/>
    <s v="Navitas Chennai"/>
    <x v="81"/>
    <s v="120gsm 24G"/>
    <x v="1"/>
    <n v="6"/>
    <n v="585"/>
    <n v="3510"/>
  </r>
  <r>
    <n v="834"/>
    <x v="3"/>
    <x v="78"/>
    <n v="62028"/>
    <n v="45506"/>
    <s v="Lakshmi Fabrication"/>
    <s v="Navitas Chennai"/>
    <x v="48"/>
    <s v="120gsm 24G"/>
    <x v="1"/>
    <n v="65"/>
    <n v="650"/>
    <n v="42250"/>
  </r>
  <r>
    <n v="835"/>
    <x v="3"/>
    <x v="79"/>
    <n v="62029"/>
    <n v="45507"/>
    <s v="Knnd Associates Pvt Ltd"/>
    <s v="SVG Hotel Bommasandra"/>
    <x v="0"/>
    <s v="120gsm 24G"/>
    <x v="0"/>
    <n v="142"/>
    <n v="650"/>
    <n v="92300"/>
  </r>
  <r>
    <n v="836"/>
    <x v="3"/>
    <x v="79"/>
    <n v="62029"/>
    <n v="45507"/>
    <s v="Knnd Associates Pvt Ltd"/>
    <s v="SVG Hotel Bommasandra"/>
    <x v="1"/>
    <s v="Insu Kflex Thermal 13mm"/>
    <x v="0"/>
    <n v="142"/>
    <n v="350"/>
    <n v="49700"/>
  </r>
  <r>
    <n v="837"/>
    <x v="3"/>
    <x v="79"/>
    <n v="62029"/>
    <n v="45507"/>
    <s v="Knnd Associates Pvt Ltd"/>
    <s v="SVG Hotel Bommasandra"/>
    <x v="15"/>
    <s v="Insu Supreme Thermal 9mm"/>
    <x v="1"/>
    <n v="25"/>
    <n v="154"/>
    <n v="3850"/>
  </r>
  <r>
    <n v="838"/>
    <x v="3"/>
    <x v="79"/>
    <n v="62029"/>
    <n v="45507"/>
    <s v="Knnd Associates Pvt Ltd"/>
    <s v="SVG Hotel Bommasandra"/>
    <x v="2"/>
    <s v="Polythene wrapping"/>
    <x v="0"/>
    <n v="160"/>
    <n v="20"/>
    <n v="3200"/>
  </r>
  <r>
    <n v="839"/>
    <x v="3"/>
    <x v="79"/>
    <n v="62026"/>
    <n v="45508"/>
    <s v="Knnd Associates Pvt Ltd"/>
    <s v="Schneider Electric Bangalore"/>
    <x v="28"/>
    <s v="Cleats"/>
    <x v="1"/>
    <n v="3000"/>
    <n v="8"/>
    <n v="24000"/>
  </r>
  <r>
    <n v="840"/>
    <x v="3"/>
    <x v="79"/>
    <n v="62026"/>
    <n v="45508"/>
    <s v="Knnd Associates Pvt Ltd"/>
    <s v="Schneider Electric Bangalore"/>
    <x v="13"/>
    <s v="Gasket"/>
    <x v="2"/>
    <n v="1000"/>
    <n v="8"/>
    <n v="8000"/>
  </r>
  <r>
    <n v="841"/>
    <x v="3"/>
    <x v="79"/>
    <n v="61997"/>
    <n v="45509"/>
    <s v="Knnd Associates Pvt Ltd"/>
    <s v="BDR Hospital Pune"/>
    <x v="0"/>
    <s v="120gsm 24G"/>
    <x v="0"/>
    <n v="503.7"/>
    <n v="670"/>
    <n v="337479"/>
  </r>
  <r>
    <n v="842"/>
    <x v="3"/>
    <x v="79"/>
    <n v="61997"/>
    <n v="45509"/>
    <s v="Knnd Associates Pvt Ltd"/>
    <s v="BDR Hospital Pune"/>
    <x v="0"/>
    <s v="120gsm 22G"/>
    <x v="0"/>
    <n v="218.2"/>
    <n v="868"/>
    <n v="189397.59999999998"/>
  </r>
  <r>
    <n v="843"/>
    <x v="3"/>
    <x v="79"/>
    <n v="61997"/>
    <n v="45509"/>
    <s v="Knnd Associates Pvt Ltd"/>
    <s v="BDR Hospital Pune"/>
    <x v="33"/>
    <s v="120gsm 24G"/>
    <x v="1"/>
    <n v="114"/>
    <n v="75"/>
    <n v="8550"/>
  </r>
  <r>
    <n v="844"/>
    <x v="3"/>
    <x v="79"/>
    <n v="61997"/>
    <n v="45509"/>
    <s v="Knnd Associates Pvt Ltd"/>
    <s v="BDR Hospital Pune"/>
    <x v="1"/>
    <s v="Insu Supreme Thermal 13mm Glass Cloth"/>
    <x v="0"/>
    <n v="618.29999999999995"/>
    <n v="507"/>
    <n v="313478.09999999998"/>
  </r>
  <r>
    <n v="845"/>
    <x v="3"/>
    <x v="79"/>
    <n v="61997"/>
    <n v="45509"/>
    <s v="Knnd Associates Pvt Ltd"/>
    <s v="BDR Hospital Pune"/>
    <x v="1"/>
    <s v="Insu Supreme Acou. 15mm"/>
    <x v="0"/>
    <n v="18.100000000000001"/>
    <n v="865"/>
    <n v="15656.500000000002"/>
  </r>
  <r>
    <n v="846"/>
    <x v="3"/>
    <x v="79"/>
    <n v="61997"/>
    <n v="45509"/>
    <s v="Knnd Associates Pvt Ltd"/>
    <s v="BDR Hospital Pune"/>
    <x v="2"/>
    <s v="Polythene wrapping"/>
    <x v="0"/>
    <n v="670"/>
    <n v="20"/>
    <n v="13400"/>
  </r>
  <r>
    <n v="847"/>
    <x v="3"/>
    <x v="80"/>
    <n v="62030"/>
    <n v="45510"/>
    <s v="Knnd Associates Pvt Ltd"/>
    <s v="Kare Well Hospital Bangalore"/>
    <x v="82"/>
    <s v="120gsm 24G"/>
    <x v="0"/>
    <n v="145.4"/>
    <n v="630"/>
    <n v="91602"/>
  </r>
  <r>
    <n v="848"/>
    <x v="3"/>
    <x v="80"/>
    <n v="62030"/>
    <n v="45510"/>
    <s v="Knnd Associates Pvt Ltd"/>
    <s v="Kare Well Hospital Bangalore"/>
    <x v="82"/>
    <s v="120gsm 22G"/>
    <x v="0"/>
    <n v="6.4"/>
    <n v="815"/>
    <n v="5216"/>
  </r>
  <r>
    <n v="849"/>
    <x v="3"/>
    <x v="80"/>
    <n v="62030"/>
    <n v="45510"/>
    <s v="Knnd Associates Pvt Ltd"/>
    <s v="Kare Well Hospital Bangalore"/>
    <x v="1"/>
    <s v="Insu Kflex Thermal 13mm"/>
    <x v="0"/>
    <n v="138.69999999999999"/>
    <n v="355"/>
    <n v="49238.499999999993"/>
  </r>
  <r>
    <n v="850"/>
    <x v="3"/>
    <x v="80"/>
    <n v="62030"/>
    <n v="45510"/>
    <s v="Knnd Associates Pvt Ltd"/>
    <s v="Kare Well Hospital Bangalore"/>
    <x v="1"/>
    <s v="Insu Kflex Acou. 15mm"/>
    <x v="0"/>
    <n v="13.1"/>
    <n v="1041"/>
    <n v="13637.1"/>
  </r>
  <r>
    <n v="851"/>
    <x v="3"/>
    <x v="80"/>
    <n v="62030"/>
    <n v="45510"/>
    <s v="Knnd Associates Pvt Ltd"/>
    <s v="Kare Well Hospital Bangalore"/>
    <x v="8"/>
    <s v="120gsm 20G"/>
    <x v="0"/>
    <n v="0.8"/>
    <n v="5200"/>
    <n v="4160"/>
  </r>
  <r>
    <n v="852"/>
    <x v="3"/>
    <x v="80"/>
    <n v="62030"/>
    <n v="45510"/>
    <s v="Knnd Associates Pvt Ltd"/>
    <s v="Kare Well Hospital Bangalore"/>
    <x v="15"/>
    <s v="Insu Supreme Thermal 9mm"/>
    <x v="1"/>
    <n v="30"/>
    <n v="154"/>
    <n v="4620"/>
  </r>
  <r>
    <n v="853"/>
    <x v="3"/>
    <x v="80"/>
    <n v="62030"/>
    <n v="45510"/>
    <s v="Knnd Associates Pvt Ltd"/>
    <s v="Kare Well Hospital Bangalore"/>
    <x v="2"/>
    <s v="Polythene wrapping"/>
    <x v="0"/>
    <n v="150"/>
    <n v="20"/>
    <n v="3000"/>
  </r>
  <r>
    <n v="854"/>
    <x v="3"/>
    <x v="81"/>
    <n v="62034"/>
    <n v="45511"/>
    <s v="Knnd Associates Pvt Ltd"/>
    <s v="Infosys Bangalore B-38"/>
    <x v="0"/>
    <s v="120gsm 24G"/>
    <x v="0"/>
    <n v="21.3"/>
    <n v="650"/>
    <n v="13845"/>
  </r>
  <r>
    <n v="855"/>
    <x v="3"/>
    <x v="81"/>
    <n v="62034"/>
    <n v="45511"/>
    <s v="Knnd Associates Pvt Ltd"/>
    <s v="Infosys Bangalore B-38"/>
    <x v="1"/>
    <s v="Insu Kflex Thermal 13mm Al. Foil"/>
    <x v="0"/>
    <n v="33.328090000000003"/>
    <n v="445"/>
    <n v="14831.000050000001"/>
  </r>
  <r>
    <n v="856"/>
    <x v="3"/>
    <x v="81"/>
    <n v="62034"/>
    <n v="45511"/>
    <s v="Knnd Associates Pvt Ltd"/>
    <s v="Infosys Bangalore B-38"/>
    <x v="1"/>
    <s v="Insu Kflex Acou. 10mm"/>
    <x v="0"/>
    <n v="3.1"/>
    <n v="685"/>
    <n v="2123.5"/>
  </r>
  <r>
    <n v="857"/>
    <x v="3"/>
    <x v="81"/>
    <n v="62034"/>
    <n v="45511"/>
    <s v="Knnd Associates Pvt Ltd"/>
    <s v="Infosys Bangalore B-38"/>
    <x v="15"/>
    <s v="Insu Kflex Thermal 13mm Al. Foil"/>
    <x v="0"/>
    <n v="10"/>
    <n v="275"/>
    <n v="2750"/>
  </r>
  <r>
    <n v="858"/>
    <x v="3"/>
    <x v="81"/>
    <n v="62034"/>
    <n v="45511"/>
    <s v="Knnd Associates Pvt Ltd"/>
    <s v="Infosys Bangalore B-38"/>
    <x v="83"/>
    <s v="120gsm 24G"/>
    <x v="1"/>
    <n v="12"/>
    <n v="999"/>
    <n v="11988"/>
  </r>
  <r>
    <n v="859"/>
    <x v="3"/>
    <x v="81"/>
    <n v="62034"/>
    <n v="45511"/>
    <s v="Knnd Associates Pvt Ltd"/>
    <s v="Infosys Bangalore B-38"/>
    <x v="75"/>
    <s v="120gsm 22G"/>
    <x v="1"/>
    <n v="12"/>
    <n v="500"/>
    <n v="6000"/>
  </r>
  <r>
    <n v="860"/>
    <x v="3"/>
    <x v="81"/>
    <n v="62034"/>
    <n v="45511"/>
    <s v="Knnd Associates Pvt Ltd"/>
    <s v="Infosys Bangalore B-38"/>
    <x v="2"/>
    <s v="Polythene wrapping"/>
    <x v="0"/>
    <n v="25"/>
    <n v="20"/>
    <n v="500"/>
  </r>
  <r>
    <n v="861"/>
    <x v="3"/>
    <x v="81"/>
    <n v="61965"/>
    <n v="45512"/>
    <s v="Knnd Associates Pvt Ltd"/>
    <s v="IISC Medical School Foundation Bangalore"/>
    <x v="84"/>
    <s v="120gsm 24G"/>
    <x v="0"/>
    <n v="695"/>
    <n v="4.5"/>
    <n v="3127.5"/>
  </r>
  <r>
    <n v="862"/>
    <x v="3"/>
    <x v="81"/>
    <n v="61955"/>
    <n v="45513"/>
    <s v="Knnd Associates Pvt Ltd"/>
    <s v="MAHE Lecture Hall Campus Bangalore"/>
    <x v="14"/>
    <s v="120gsm 24G"/>
    <x v="0"/>
    <n v="60"/>
    <n v="495"/>
    <n v="29700"/>
  </r>
  <r>
    <n v="863"/>
    <x v="3"/>
    <x v="81"/>
    <n v="61955"/>
    <n v="45513"/>
    <s v="Knnd Associates Pvt Ltd"/>
    <s v="MAHE Lecture Hall Campus Bangalore"/>
    <x v="13"/>
    <s v="Gasket"/>
    <x v="2"/>
    <n v="200"/>
    <n v="8"/>
    <n v="1600"/>
  </r>
  <r>
    <n v="864"/>
    <x v="3"/>
    <x v="81"/>
    <n v="61955"/>
    <n v="45513"/>
    <s v="Knnd Associates Pvt Ltd"/>
    <s v="MAHE Lecture Hall Campus Bangalore"/>
    <x v="29"/>
    <s v="Corners"/>
    <x v="1"/>
    <n v="100"/>
    <n v="9"/>
    <n v="900"/>
  </r>
  <r>
    <n v="865"/>
    <x v="3"/>
    <x v="81"/>
    <n v="61962"/>
    <n v="45514"/>
    <s v="Knnd Associates Pvt Ltd"/>
    <s v="Infosys Chandigarh"/>
    <x v="22"/>
    <s v="120gsm 24G"/>
    <x v="1"/>
    <n v="154"/>
    <n v="969"/>
    <n v="149226"/>
  </r>
  <r>
    <n v="866"/>
    <x v="3"/>
    <x v="81"/>
    <n v="61962"/>
    <n v="45514"/>
    <s v="Knnd Associates Pvt Ltd"/>
    <s v="Infosys Chandigarh"/>
    <x v="1"/>
    <s v="Insu TB Thermal 13mm Al. Foil"/>
    <x v="0"/>
    <n v="183.18367000000001"/>
    <n v="686"/>
    <n v="125663.99762000001"/>
  </r>
  <r>
    <n v="867"/>
    <x v="3"/>
    <x v="81"/>
    <n v="61962"/>
    <n v="45514"/>
    <s v="Knnd Associates Pvt Ltd"/>
    <s v="Infosys Chandigarh"/>
    <x v="1"/>
    <s v="Insu TB Thermal 13mm Al. Foil"/>
    <x v="0"/>
    <n v="222.6"/>
    <n v="735"/>
    <n v="163611"/>
  </r>
  <r>
    <n v="868"/>
    <x v="3"/>
    <x v="81"/>
    <n v="61962"/>
    <n v="45514"/>
    <s v="Knnd Associates Pvt Ltd"/>
    <s v="Infosys Chandigarh"/>
    <x v="85"/>
    <s v="Tape"/>
    <x v="1"/>
    <n v="7"/>
    <n v="595"/>
    <n v="4165"/>
  </r>
  <r>
    <n v="869"/>
    <x v="3"/>
    <x v="81"/>
    <n v="61768"/>
    <n v="45515"/>
    <s v="Camduct India Pvt Ltd-Haryana"/>
    <s v="Camduct India Pvt Ltd-Haryana Branch"/>
    <x v="12"/>
    <s v="Corners (18G - 32mm)"/>
    <x v="1"/>
    <n v="21050"/>
    <n v="9"/>
    <n v="189450"/>
  </r>
  <r>
    <n v="870"/>
    <x v="3"/>
    <x v="81"/>
    <n v="61768"/>
    <n v="45515"/>
    <s v="Camduct India Pvt Ltd-Haryana"/>
    <s v="Camduct India Pvt Ltd-Haryana Branch"/>
    <x v="75"/>
    <s v="120gsm 22G"/>
    <x v="1"/>
    <n v="25"/>
    <n v="500"/>
    <n v="12500"/>
  </r>
  <r>
    <n v="871"/>
    <x v="3"/>
    <x v="81"/>
    <n v="61768"/>
    <n v="45515"/>
    <s v="Camduct India Pvt Ltd-Haryana"/>
    <s v="Camduct India Pvt Ltd-Haryana Branch"/>
    <x v="86"/>
    <s v="120gsm 24G"/>
    <x v="1"/>
    <n v="2"/>
    <n v="800"/>
    <n v="1600"/>
  </r>
  <r>
    <n v="872"/>
    <x v="3"/>
    <x v="81"/>
    <n v="62033"/>
    <n v="45516"/>
    <s v="R Mech Breeze"/>
    <s v="Global Mall Bengaluru"/>
    <x v="30"/>
    <s v="120gsm Slit 24G"/>
    <x v="0"/>
    <n v="3.2"/>
    <n v="610"/>
    <n v="1952"/>
  </r>
  <r>
    <n v="873"/>
    <x v="3"/>
    <x v="81"/>
    <n v="62033"/>
    <n v="45516"/>
    <s v="R Mech Breeze"/>
    <s v="Global Mall Bengaluru"/>
    <x v="4"/>
    <s v="120gsm Slit 24G"/>
    <x v="0"/>
    <n v="10.8"/>
    <n v="720"/>
    <n v="7776.0000000000009"/>
  </r>
  <r>
    <n v="874"/>
    <x v="3"/>
    <x v="81"/>
    <n v="62033"/>
    <n v="45516"/>
    <s v="R Mech Breeze"/>
    <s v="Global Mall Bengaluru"/>
    <x v="11"/>
    <s v="120gsm Slit 20G"/>
    <x v="0"/>
    <n v="0.3"/>
    <n v="950"/>
    <n v="285"/>
  </r>
  <r>
    <n v="875"/>
    <x v="3"/>
    <x v="81"/>
    <n v="62033"/>
    <n v="45516"/>
    <s v="R Mech Breeze"/>
    <s v="Global Mall Bengaluru"/>
    <x v="1"/>
    <s v="Insu Kflex Thermal 9mm"/>
    <x v="0"/>
    <n v="14.3"/>
    <n v="330"/>
    <n v="4719"/>
  </r>
  <r>
    <n v="876"/>
    <x v="3"/>
    <x v="82"/>
    <n v="61965"/>
    <n v="45517"/>
    <s v="Knnd Associates Pvt Ltd"/>
    <s v="IISC Medical School Foundation Bangalore"/>
    <x v="0"/>
    <s v="120gsm 24G"/>
    <x v="0"/>
    <n v="2"/>
    <n v="670"/>
    <n v="1340"/>
  </r>
  <r>
    <n v="877"/>
    <x v="3"/>
    <x v="82"/>
    <n v="61965"/>
    <n v="45517"/>
    <s v="Knnd Associates Pvt Ltd"/>
    <s v="IISC Medical School Foundation Bangalore"/>
    <x v="84"/>
    <s v="120gsm 24G"/>
    <x v="0"/>
    <n v="2745"/>
    <n v="4.5"/>
    <n v="12352.5"/>
  </r>
  <r>
    <n v="878"/>
    <x v="3"/>
    <x v="82"/>
    <n v="61965"/>
    <n v="45517"/>
    <s v="Knnd Associates Pvt Ltd"/>
    <s v="IISC Medical School Foundation Bangalore"/>
    <x v="87"/>
    <s v="120gsm 20G"/>
    <x v="0"/>
    <n v="122.9"/>
    <n v="760"/>
    <n v="93404"/>
  </r>
  <r>
    <n v="879"/>
    <x v="3"/>
    <x v="82"/>
    <n v="61965"/>
    <n v="45517"/>
    <s v="Knnd Associates Pvt Ltd"/>
    <s v="IISC Medical School Foundation Bangalore"/>
    <x v="1"/>
    <s v="Insu Armasound Acou. 15mm"/>
    <x v="0"/>
    <n v="2"/>
    <n v="838"/>
    <n v="1676"/>
  </r>
  <r>
    <n v="880"/>
    <x v="3"/>
    <x v="82"/>
    <n v="61967"/>
    <n v="45518"/>
    <s v="Knnd Associates Pvt Ltd"/>
    <s v="AIIMS Hospital Madurai"/>
    <x v="0"/>
    <s v="120gsm 24G"/>
    <x v="0"/>
    <n v="329.1"/>
    <n v="670"/>
    <n v="220497.00000000003"/>
  </r>
  <r>
    <n v="881"/>
    <x v="3"/>
    <x v="82"/>
    <n v="61967"/>
    <n v="45518"/>
    <s v="Knnd Associates Pvt Ltd"/>
    <s v="AIIMS Hospital Madurai"/>
    <x v="0"/>
    <s v="120gsm 22G"/>
    <x v="0"/>
    <n v="114.8"/>
    <n v="868"/>
    <n v="99646.399999999994"/>
  </r>
  <r>
    <n v="882"/>
    <x v="3"/>
    <x v="82"/>
    <n v="61967"/>
    <n v="45518"/>
    <s v="Knnd Associates Pvt Ltd"/>
    <s v="AIIMS Hospital Madurai"/>
    <x v="0"/>
    <s v="120gsm 20G"/>
    <x v="0"/>
    <n v="50.2"/>
    <n v="1060"/>
    <n v="53212"/>
  </r>
  <r>
    <n v="883"/>
    <x v="3"/>
    <x v="82"/>
    <n v="61967"/>
    <n v="45518"/>
    <s v="Knnd Associates Pvt Ltd"/>
    <s v="AIIMS Hospital Madurai"/>
    <x v="1"/>
    <s v="Insu Kflex Acou. 10mm"/>
    <x v="0"/>
    <n v="59.3"/>
    <n v="755"/>
    <n v="44771.5"/>
  </r>
  <r>
    <n v="884"/>
    <x v="3"/>
    <x v="82"/>
    <n v="61967"/>
    <n v="45518"/>
    <s v="Knnd Associates Pvt Ltd"/>
    <s v="AIIMS Hospital Madurai"/>
    <x v="1"/>
    <s v="Insu Kflex Thermal 13mm Al. Foil"/>
    <x v="0"/>
    <n v="414.9"/>
    <n v="415"/>
    <n v="172183.5"/>
  </r>
  <r>
    <n v="885"/>
    <x v="3"/>
    <x v="82"/>
    <n v="61967"/>
    <n v="45518"/>
    <s v="Knnd Associates Pvt Ltd"/>
    <s v="AIIMS Hospital Madurai"/>
    <x v="2"/>
    <s v="Polythene wrapping"/>
    <x v="0"/>
    <n v="470"/>
    <n v="20"/>
    <n v="9400"/>
  </r>
  <r>
    <n v="886"/>
    <x v="3"/>
    <x v="83"/>
    <n v="61997"/>
    <n v="45519"/>
    <s v="Knnd Associates Pvt Ltd"/>
    <s v="BDR Hospital Pune"/>
    <x v="0"/>
    <s v="120gsm 24G"/>
    <x v="0"/>
    <n v="493.7"/>
    <n v="670"/>
    <n v="330779"/>
  </r>
  <r>
    <n v="887"/>
    <x v="3"/>
    <x v="83"/>
    <n v="61997"/>
    <n v="45519"/>
    <s v="Knnd Associates Pvt Ltd"/>
    <s v="BDR Hospital Pune"/>
    <x v="0"/>
    <s v="120gsm 22G"/>
    <x v="0"/>
    <n v="32.200000000000003"/>
    <n v="868"/>
    <n v="27949.600000000002"/>
  </r>
  <r>
    <n v="888"/>
    <x v="3"/>
    <x v="83"/>
    <n v="61997"/>
    <n v="45519"/>
    <s v="Knnd Associates Pvt Ltd"/>
    <s v="BDR Hospital Pune"/>
    <x v="36"/>
    <s v="120gsm Slit 22G"/>
    <x v="0"/>
    <n v="9.5"/>
    <n v="770"/>
    <n v="7315"/>
  </r>
  <r>
    <n v="889"/>
    <x v="3"/>
    <x v="83"/>
    <n v="61997"/>
    <n v="45519"/>
    <s v="Knnd Associates Pvt Ltd"/>
    <s v="BDR Hospital Pune"/>
    <x v="33"/>
    <s v="120gsm 24G"/>
    <x v="1"/>
    <n v="155"/>
    <n v="75"/>
    <n v="11625"/>
  </r>
  <r>
    <n v="890"/>
    <x v="3"/>
    <x v="83"/>
    <n v="61997"/>
    <n v="45519"/>
    <s v="Knnd Associates Pvt Ltd"/>
    <s v="BDR Hospital Pune"/>
    <x v="40"/>
    <s v="120gsm 22G"/>
    <x v="1"/>
    <n v="96"/>
    <n v="385"/>
    <n v="36960"/>
  </r>
  <r>
    <n v="891"/>
    <x v="3"/>
    <x v="83"/>
    <n v="61997"/>
    <n v="45519"/>
    <s v="Knnd Associates Pvt Ltd"/>
    <s v="BDR Hospital Pune"/>
    <x v="1"/>
    <s v="Insu Supreme Thermal 13mm Glass Cloth"/>
    <x v="0"/>
    <n v="343"/>
    <n v="507"/>
    <n v="173901"/>
  </r>
  <r>
    <n v="892"/>
    <x v="3"/>
    <x v="83"/>
    <n v="61997"/>
    <n v="45519"/>
    <s v="Knnd Associates Pvt Ltd"/>
    <s v="BDR Hospital Pune"/>
    <x v="15"/>
    <s v="Insu Supreme Thermal 13mm Glass Cloth"/>
    <x v="0"/>
    <n v="151.19999999999999"/>
    <n v="360"/>
    <n v="54431.999999999993"/>
  </r>
  <r>
    <n v="893"/>
    <x v="3"/>
    <x v="83"/>
    <n v="61997"/>
    <n v="45519"/>
    <s v="Knnd Associates Pvt Ltd"/>
    <s v="BDR Hospital Pune"/>
    <x v="1"/>
    <s v="Insu Supreme Acou. 15mm"/>
    <x v="0"/>
    <n v="19.899999999999999"/>
    <n v="865"/>
    <n v="17213.5"/>
  </r>
  <r>
    <n v="894"/>
    <x v="3"/>
    <x v="83"/>
    <n v="61997"/>
    <n v="45519"/>
    <s v="Knnd Associates Pvt Ltd"/>
    <s v="BDR Hospital Pune"/>
    <x v="2"/>
    <s v="Polythene wrapping"/>
    <x v="0"/>
    <n v="380"/>
    <n v="20"/>
    <n v="7600"/>
  </r>
  <r>
    <n v="895"/>
    <x v="3"/>
    <x v="83"/>
    <n v="62025"/>
    <n v="45520"/>
    <s v="Knnd Associates Pvt Ltd"/>
    <s v="BLDE Campus Vijayapura"/>
    <x v="0"/>
    <s v="120gsm 24G"/>
    <x v="0"/>
    <n v="107.4"/>
    <n v="650"/>
    <n v="69810"/>
  </r>
  <r>
    <n v="896"/>
    <x v="3"/>
    <x v="83"/>
    <n v="62025"/>
    <n v="45520"/>
    <s v="Knnd Associates Pvt Ltd"/>
    <s v="BLDE Campus Vijayapura"/>
    <x v="0"/>
    <s v="120gsm 22G"/>
    <x v="0"/>
    <n v="76.5"/>
    <n v="835"/>
    <n v="63877.5"/>
  </r>
  <r>
    <n v="897"/>
    <x v="3"/>
    <x v="83"/>
    <n v="62025"/>
    <n v="45520"/>
    <s v="Knnd Associates Pvt Ltd"/>
    <s v="BLDE Campus Vijayapura"/>
    <x v="75"/>
    <s v="120gsm 22G"/>
    <x v="1"/>
    <n v="74"/>
    <n v="500"/>
    <n v="37000"/>
  </r>
  <r>
    <n v="898"/>
    <x v="3"/>
    <x v="83"/>
    <n v="62025"/>
    <n v="45520"/>
    <s v="Knnd Associates Pvt Ltd"/>
    <s v="BLDE Campus Vijayapura"/>
    <x v="68"/>
    <s v="120gsm 22G"/>
    <x v="1"/>
    <n v="23"/>
    <n v="660"/>
    <n v="15180"/>
  </r>
  <r>
    <n v="899"/>
    <x v="3"/>
    <x v="83"/>
    <n v="62025"/>
    <n v="45520"/>
    <s v="Knnd Associates Pvt Ltd"/>
    <s v="BLDE Campus Vijayapura"/>
    <x v="1"/>
    <s v="Insu Supreme Thermal 9mm"/>
    <x v="0"/>
    <n v="137.1"/>
    <n v="291"/>
    <n v="39896.1"/>
  </r>
  <r>
    <n v="900"/>
    <x v="3"/>
    <x v="83"/>
    <n v="62025"/>
    <n v="45520"/>
    <s v="Knnd Associates Pvt Ltd"/>
    <s v="BLDE Campus Vijayapura"/>
    <x v="1"/>
    <s v="Insu Supreme Acou. 15mm"/>
    <x v="0"/>
    <n v="46.8"/>
    <n v="888"/>
    <n v="41558.399999999994"/>
  </r>
  <r>
    <n v="901"/>
    <x v="3"/>
    <x v="83"/>
    <n v="62025"/>
    <n v="45520"/>
    <s v="Knnd Associates Pvt Ltd"/>
    <s v="BLDE Campus Vijayapura"/>
    <x v="15"/>
    <s v="Insu Supreme Thermal 9mm"/>
    <x v="1"/>
    <n v="35"/>
    <n v="154"/>
    <n v="5390"/>
  </r>
  <r>
    <n v="902"/>
    <x v="3"/>
    <x v="83"/>
    <n v="62025"/>
    <n v="45520"/>
    <s v="Knnd Associates Pvt Ltd"/>
    <s v="BLDE Campus Vijayapura"/>
    <x v="2"/>
    <s v="Polythene wrapping"/>
    <x v="0"/>
    <n v="170"/>
    <n v="20"/>
    <n v="3400"/>
  </r>
  <r>
    <n v="903"/>
    <x v="3"/>
    <x v="84"/>
    <n v="62035"/>
    <n v="45521"/>
    <s v="Knnd Associates Pvt Ltd"/>
    <s v="Central Market Mangalore"/>
    <x v="0"/>
    <s v="120gsm 24G"/>
    <x v="0"/>
    <n v="11.1"/>
    <n v="650"/>
    <n v="7215"/>
  </r>
  <r>
    <n v="904"/>
    <x v="3"/>
    <x v="84"/>
    <n v="62035"/>
    <n v="45521"/>
    <s v="Knnd Associates Pvt Ltd"/>
    <s v="Central Market Mangalore"/>
    <x v="0"/>
    <s v="120gsm 22G"/>
    <x v="0"/>
    <n v="58"/>
    <n v="835"/>
    <n v="48430"/>
  </r>
  <r>
    <n v="905"/>
    <x v="3"/>
    <x v="84"/>
    <n v="62035"/>
    <n v="45521"/>
    <s v="Knnd Associates Pvt Ltd"/>
    <s v="Central Market Mangalore"/>
    <x v="0"/>
    <s v="120gsm 20G"/>
    <x v="0"/>
    <n v="58.2"/>
    <n v="1050"/>
    <n v="61110"/>
  </r>
  <r>
    <n v="906"/>
    <x v="3"/>
    <x v="84"/>
    <n v="62035"/>
    <n v="45521"/>
    <s v="Knnd Associates Pvt Ltd"/>
    <s v="Central Market Mangalore"/>
    <x v="0"/>
    <s v="120gsm 18G"/>
    <x v="0"/>
    <n v="54.8"/>
    <n v="1150"/>
    <n v="63020"/>
  </r>
  <r>
    <n v="907"/>
    <x v="3"/>
    <x v="84"/>
    <n v="62035"/>
    <n v="45521"/>
    <s v="Knnd Associates Pvt Ltd"/>
    <s v="Central Market Mangalore"/>
    <x v="8"/>
    <s v="120gsm 20G"/>
    <x v="0"/>
    <n v="2.4"/>
    <n v="5200"/>
    <n v="12480"/>
  </r>
  <r>
    <n v="908"/>
    <x v="3"/>
    <x v="84"/>
    <n v="61962"/>
    <n v="45522"/>
    <s v="Knnd Associates Pvt Ltd"/>
    <s v="Infosys Chandigarh"/>
    <x v="22"/>
    <s v="120gsm 24G"/>
    <x v="1"/>
    <n v="189"/>
    <n v="969"/>
    <n v="183141"/>
  </r>
  <r>
    <n v="909"/>
    <x v="3"/>
    <x v="84"/>
    <n v="61962"/>
    <n v="45522"/>
    <s v="Knnd Associates Pvt Ltd"/>
    <s v="Infosys Chandigarh"/>
    <x v="1"/>
    <s v="Insu TB Thermal 13mm Al. Foil"/>
    <x v="0"/>
    <n v="291.47229900000008"/>
    <n v="686"/>
    <n v="199949.99711400006"/>
  </r>
  <r>
    <n v="910"/>
    <x v="3"/>
    <x v="84"/>
    <n v="61962"/>
    <n v="45522"/>
    <s v="Knnd Associates Pvt Ltd"/>
    <s v="Infosys Chandigarh"/>
    <x v="17"/>
    <s v="120gsm 22G"/>
    <x v="1"/>
    <n v="343"/>
    <n v="400"/>
    <n v="137200"/>
  </r>
  <r>
    <n v="911"/>
    <x v="3"/>
    <x v="84"/>
    <n v="61962"/>
    <n v="45522"/>
    <s v="Knnd Associates Pvt Ltd"/>
    <s v="Infosys Chandigarh"/>
    <x v="88"/>
    <s v="120gsm 24G"/>
    <x v="1"/>
    <n v="48"/>
    <n v="837"/>
    <n v="40176"/>
  </r>
  <r>
    <n v="912"/>
    <x v="3"/>
    <x v="84"/>
    <n v="61962"/>
    <n v="45522"/>
    <s v="Knnd Associates Pvt Ltd"/>
    <s v="Infosys Chandigarh"/>
    <x v="89"/>
    <s v="120gsm 24G"/>
    <x v="1"/>
    <n v="16"/>
    <n v="608"/>
    <n v="9728"/>
  </r>
  <r>
    <n v="913"/>
    <x v="3"/>
    <x v="84"/>
    <n v="61962"/>
    <n v="45522"/>
    <s v="Knnd Associates Pvt Ltd"/>
    <s v="Infosys Chandigarh"/>
    <x v="90"/>
    <s v="120gsm 24G"/>
    <x v="1"/>
    <n v="47"/>
    <n v="600"/>
    <n v="28200"/>
  </r>
  <r>
    <n v="914"/>
    <x v="3"/>
    <x v="85"/>
    <n v="62028"/>
    <n v="45523"/>
    <s v="Lakshmi Fabrication"/>
    <s v="Navitas Chennai"/>
    <x v="4"/>
    <s v="120gsm Slit 24G"/>
    <x v="0"/>
    <n v="105"/>
    <n v="700"/>
    <n v="73500"/>
  </r>
  <r>
    <n v="915"/>
    <x v="3"/>
    <x v="85"/>
    <n v="62028"/>
    <n v="45523"/>
    <s v="Lakshmi Fabrication"/>
    <s v="Navitas Chennai"/>
    <x v="4"/>
    <s v="120gsm Slit 22G"/>
    <x v="0"/>
    <n v="91.5"/>
    <n v="860"/>
    <n v="78690"/>
  </r>
  <r>
    <n v="916"/>
    <x v="3"/>
    <x v="85"/>
    <n v="62028"/>
    <n v="45523"/>
    <s v="Lakshmi Fabrication"/>
    <s v="Navitas Chennai"/>
    <x v="4"/>
    <s v="120gsm Slit 20G"/>
    <x v="0"/>
    <n v="88.1"/>
    <n v="1050"/>
    <n v="92505"/>
  </r>
  <r>
    <n v="917"/>
    <x v="3"/>
    <x v="85"/>
    <n v="62028"/>
    <n v="45523"/>
    <s v="Lakshmi Fabrication"/>
    <s v="Navitas Chennai"/>
    <x v="11"/>
    <s v="120gsm Slit 20G"/>
    <x v="0"/>
    <n v="11.3"/>
    <n v="950"/>
    <n v="10735"/>
  </r>
  <r>
    <n v="918"/>
    <x v="3"/>
    <x v="85"/>
    <n v="62028"/>
    <n v="45523"/>
    <s v="Lakshmi Fabrication"/>
    <s v="Navitas Chennai"/>
    <x v="5"/>
    <s v="120gsm 20G"/>
    <x v="0"/>
    <n v="2.9"/>
    <n v="3900"/>
    <n v="11310"/>
  </r>
  <r>
    <n v="919"/>
    <x v="3"/>
    <x v="85"/>
    <n v="62028"/>
    <n v="45523"/>
    <s v="Lakshmi Fabrication"/>
    <s v="Navitas Chennai"/>
    <x v="8"/>
    <s v="120gsm 20G"/>
    <x v="0"/>
    <n v="4.0999999999999996"/>
    <n v="5300"/>
    <n v="21729.999999999996"/>
  </r>
  <r>
    <n v="920"/>
    <x v="3"/>
    <x v="85"/>
    <n v="62028"/>
    <n v="45523"/>
    <s v="Lakshmi Fabrication"/>
    <s v="Navitas Chennai"/>
    <x v="1"/>
    <s v="Insu Kflex Thermal 9mm"/>
    <x v="0"/>
    <n v="295.89999999999998"/>
    <n v="325"/>
    <n v="96167.499999999985"/>
  </r>
  <r>
    <n v="921"/>
    <x v="3"/>
    <x v="85"/>
    <n v="61967"/>
    <n v="45524"/>
    <s v="Knnd Associates Pvt Ltd"/>
    <s v="AIIMS Hospital Madurai"/>
    <x v="0"/>
    <s v="120gsm 24G"/>
    <x v="0"/>
    <n v="208"/>
    <n v="670"/>
    <n v="139360"/>
  </r>
  <r>
    <n v="922"/>
    <x v="3"/>
    <x v="85"/>
    <n v="61967"/>
    <n v="45524"/>
    <s v="Knnd Associates Pvt Ltd"/>
    <s v="AIIMS Hospital Madurai"/>
    <x v="0"/>
    <s v="120gsm 22G"/>
    <x v="0"/>
    <n v="93.2"/>
    <n v="868"/>
    <n v="80897.600000000006"/>
  </r>
  <r>
    <n v="923"/>
    <x v="3"/>
    <x v="85"/>
    <n v="61967"/>
    <n v="45524"/>
    <s v="Knnd Associates Pvt Ltd"/>
    <s v="AIIMS Hospital Madurai"/>
    <x v="1"/>
    <s v="Insu Kflex Acou. 10mm"/>
    <x v="0"/>
    <n v="44.5"/>
    <n v="755"/>
    <n v="33597.5"/>
  </r>
  <r>
    <n v="924"/>
    <x v="3"/>
    <x v="85"/>
    <n v="61967"/>
    <n v="45524"/>
    <s v="Knnd Associates Pvt Ltd"/>
    <s v="AIIMS Hospital Madurai"/>
    <x v="1"/>
    <s v="Insu Kflex Thermal 13mm Al. Foil"/>
    <x v="0"/>
    <n v="159.9"/>
    <n v="415"/>
    <n v="66358.5"/>
  </r>
  <r>
    <n v="925"/>
    <x v="3"/>
    <x v="85"/>
    <n v="61967"/>
    <n v="45524"/>
    <s v="Knnd Associates Pvt Ltd"/>
    <s v="AIIMS Hospital Madurai"/>
    <x v="1"/>
    <s v="Insu Kflex Thermal 19mm Al. Foil"/>
    <x v="0"/>
    <n v="6.9"/>
    <n v="465"/>
    <n v="3208.5"/>
  </r>
  <r>
    <n v="926"/>
    <x v="3"/>
    <x v="85"/>
    <n v="61967"/>
    <n v="45524"/>
    <s v="Knnd Associates Pvt Ltd"/>
    <s v="AIIMS Hospital Madurai"/>
    <x v="15"/>
    <s v="Insu Kflex Thermal 13mm Al. Foil"/>
    <x v="0"/>
    <n v="134.4"/>
    <n v="251"/>
    <n v="33734.400000000001"/>
  </r>
  <r>
    <n v="927"/>
    <x v="3"/>
    <x v="85"/>
    <n v="61967"/>
    <n v="45524"/>
    <s v="Knnd Associates Pvt Ltd"/>
    <s v="AIIMS Hospital Madurai"/>
    <x v="2"/>
    <s v="Polythene wrapping"/>
    <x v="0"/>
    <n v="200"/>
    <n v="20"/>
    <n v="4000"/>
  </r>
  <r>
    <n v="928"/>
    <x v="3"/>
    <x v="85"/>
    <n v="62036"/>
    <n v="45525"/>
    <s v="Knnd Associates Pvt Ltd"/>
    <s v="KSSEM Auditorium Bangalore"/>
    <x v="0"/>
    <s v="120gsm 24G"/>
    <x v="0"/>
    <n v="92.9"/>
    <n v="650"/>
    <n v="60385.000000000007"/>
  </r>
  <r>
    <n v="929"/>
    <x v="3"/>
    <x v="85"/>
    <n v="62036"/>
    <n v="45525"/>
    <s v="Knnd Associates Pvt Ltd"/>
    <s v="KSSEM Auditorium Bangalore"/>
    <x v="0"/>
    <s v="120gsm 22G"/>
    <x v="0"/>
    <n v="24.5"/>
    <n v="835"/>
    <n v="20457.5"/>
  </r>
  <r>
    <n v="930"/>
    <x v="3"/>
    <x v="85"/>
    <n v="62036"/>
    <n v="45525"/>
    <s v="Knnd Associates Pvt Ltd"/>
    <s v="KSSEM Auditorium Bangalore"/>
    <x v="0"/>
    <s v="120gsm 20G"/>
    <x v="0"/>
    <n v="43.7"/>
    <n v="1060"/>
    <n v="46322"/>
  </r>
  <r>
    <n v="931"/>
    <x v="3"/>
    <x v="85"/>
    <n v="62036"/>
    <n v="45525"/>
    <s v="Knnd Associates Pvt Ltd"/>
    <s v="KSSEM Auditorium Bangalore"/>
    <x v="1"/>
    <s v="Insu Kflex Thermal 13mm"/>
    <x v="0"/>
    <n v="161.1"/>
    <n v="380"/>
    <n v="61218"/>
  </r>
  <r>
    <n v="932"/>
    <x v="3"/>
    <x v="85"/>
    <n v="62036"/>
    <n v="45525"/>
    <s v="Knnd Associates Pvt Ltd"/>
    <s v="KSSEM Auditorium Bangalore"/>
    <x v="2"/>
    <s v="Polythene wrapping"/>
    <x v="0"/>
    <n v="200"/>
    <n v="20"/>
    <n v="4000"/>
  </r>
  <r>
    <n v="933"/>
    <x v="3"/>
    <x v="86"/>
    <n v="62036"/>
    <n v="45526"/>
    <s v="Knnd Associates Pvt Ltd"/>
    <s v="KSSEM Auditorium Bangalore"/>
    <x v="0"/>
    <s v="120gsm 24G"/>
    <x v="0"/>
    <n v="124.4"/>
    <n v="650"/>
    <n v="80860"/>
  </r>
  <r>
    <n v="934"/>
    <x v="3"/>
    <x v="86"/>
    <n v="62036"/>
    <n v="45526"/>
    <s v="Knnd Associates Pvt Ltd"/>
    <s v="KSSEM Auditorium Bangalore"/>
    <x v="0"/>
    <s v="120gsm 22G"/>
    <x v="0"/>
    <n v="26.3"/>
    <n v="835"/>
    <n v="21960.5"/>
  </r>
  <r>
    <n v="935"/>
    <x v="3"/>
    <x v="86"/>
    <n v="62036"/>
    <n v="45526"/>
    <s v="Knnd Associates Pvt Ltd"/>
    <s v="KSSEM Auditorium Bangalore"/>
    <x v="0"/>
    <s v="120gsm 20G"/>
    <x v="0"/>
    <n v="21"/>
    <n v="1060"/>
    <n v="22260"/>
  </r>
  <r>
    <n v="936"/>
    <x v="3"/>
    <x v="86"/>
    <n v="62036"/>
    <n v="45526"/>
    <s v="Knnd Associates Pvt Ltd"/>
    <s v="KSSEM Auditorium Bangalore"/>
    <x v="1"/>
    <s v="Insu Kflex Thermal 13mm"/>
    <x v="0"/>
    <n v="171.7"/>
    <n v="380"/>
    <n v="65245.999999999993"/>
  </r>
  <r>
    <n v="937"/>
    <x v="3"/>
    <x v="86"/>
    <n v="62036"/>
    <n v="45526"/>
    <s v="Knnd Associates Pvt Ltd"/>
    <s v="KSSEM Auditorium Bangalore"/>
    <x v="2"/>
    <s v="Polythene wrapping"/>
    <x v="0"/>
    <n v="200"/>
    <n v="20"/>
    <n v="4000"/>
  </r>
  <r>
    <n v="938"/>
    <x v="3"/>
    <x v="87"/>
    <n v="62036"/>
    <n v="45527"/>
    <s v="Knnd Associates Pvt Ltd"/>
    <s v="KSSEM Auditorium Bangalore"/>
    <x v="0"/>
    <s v="120gsm 24G"/>
    <x v="0"/>
    <n v="123"/>
    <n v="650"/>
    <n v="79950"/>
  </r>
  <r>
    <n v="939"/>
    <x v="3"/>
    <x v="87"/>
    <n v="62036"/>
    <n v="45527"/>
    <s v="Knnd Associates Pvt Ltd"/>
    <s v="KSSEM Auditorium Bangalore"/>
    <x v="0"/>
    <s v="120gsm 22G"/>
    <x v="0"/>
    <n v="51.9"/>
    <n v="835"/>
    <n v="43336.5"/>
  </r>
  <r>
    <n v="940"/>
    <x v="3"/>
    <x v="87"/>
    <n v="62036"/>
    <n v="45527"/>
    <s v="Knnd Associates Pvt Ltd"/>
    <s v="KSSEM Auditorium Bangalore"/>
    <x v="0"/>
    <s v="120gsm 20G"/>
    <x v="0"/>
    <n v="15.6"/>
    <n v="1060"/>
    <n v="16536"/>
  </r>
  <r>
    <n v="941"/>
    <x v="3"/>
    <x v="87"/>
    <n v="62036"/>
    <n v="45527"/>
    <s v="Knnd Associates Pvt Ltd"/>
    <s v="KSSEM Auditorium Bangalore"/>
    <x v="1"/>
    <s v="Insu Kflex Thermal 13mm"/>
    <x v="0"/>
    <n v="165.3"/>
    <n v="380"/>
    <n v="62814.000000000007"/>
  </r>
  <r>
    <n v="942"/>
    <x v="3"/>
    <x v="87"/>
    <n v="62036"/>
    <n v="45527"/>
    <s v="Knnd Associates Pvt Ltd"/>
    <s v="KSSEM Auditorium Bangalore"/>
    <x v="1"/>
    <s v="Insu Kflex Acou. 15mm"/>
    <x v="0"/>
    <n v="20.8"/>
    <n v="925"/>
    <n v="19240"/>
  </r>
  <r>
    <n v="943"/>
    <x v="3"/>
    <x v="87"/>
    <n v="62036"/>
    <n v="45527"/>
    <s v="Knnd Associates Pvt Ltd"/>
    <s v="KSSEM Auditorium Bangalore"/>
    <x v="8"/>
    <s v="120gsm 20G"/>
    <x v="0"/>
    <n v="2.6"/>
    <n v="5200"/>
    <n v="13520"/>
  </r>
  <r>
    <n v="944"/>
    <x v="3"/>
    <x v="87"/>
    <n v="62036"/>
    <n v="45527"/>
    <s v="Knnd Associates Pvt Ltd"/>
    <s v="KSSEM Auditorium Bangalore"/>
    <x v="15"/>
    <s v="Insu Supreme Thermal 9mm"/>
    <x v="1"/>
    <n v="100"/>
    <n v="154"/>
    <n v="15400"/>
  </r>
  <r>
    <n v="945"/>
    <x v="3"/>
    <x v="87"/>
    <n v="62036"/>
    <n v="45527"/>
    <s v="Knnd Associates Pvt Ltd"/>
    <s v="KSSEM Auditorium Bangalore"/>
    <x v="2"/>
    <s v="Polythene wrapping"/>
    <x v="0"/>
    <n v="200"/>
    <n v="20"/>
    <n v="4000"/>
  </r>
  <r>
    <n v="946"/>
    <x v="3"/>
    <x v="87"/>
    <n v="62037"/>
    <n v="45528"/>
    <s v="Knnd Associates Pvt Ltd"/>
    <s v="White Oak Bangalore"/>
    <x v="0"/>
    <s v="120gsm 24G"/>
    <x v="0"/>
    <n v="102.9"/>
    <n v="650"/>
    <n v="66885"/>
  </r>
  <r>
    <n v="947"/>
    <x v="3"/>
    <x v="87"/>
    <n v="62037"/>
    <n v="45528"/>
    <s v="Knnd Associates Pvt Ltd"/>
    <s v="White Oak Bangalore"/>
    <x v="0"/>
    <s v="120gsm 22G"/>
    <x v="0"/>
    <n v="170.6"/>
    <n v="835"/>
    <n v="142451"/>
  </r>
  <r>
    <n v="948"/>
    <x v="3"/>
    <x v="87"/>
    <n v="62037"/>
    <n v="45528"/>
    <s v="Knnd Associates Pvt Ltd"/>
    <s v="White Oak Bangalore"/>
    <x v="0"/>
    <s v="120gsm 20G"/>
    <x v="0"/>
    <n v="88.3"/>
    <n v="1060"/>
    <n v="93598"/>
  </r>
  <r>
    <n v="949"/>
    <x v="3"/>
    <x v="87"/>
    <n v="62037"/>
    <n v="45528"/>
    <s v="Knnd Associates Pvt Ltd"/>
    <s v="White Oak Bangalore"/>
    <x v="0"/>
    <s v="120gsm 18G"/>
    <x v="0"/>
    <n v="22.8"/>
    <n v="1150"/>
    <n v="26220"/>
  </r>
  <r>
    <n v="950"/>
    <x v="3"/>
    <x v="87"/>
    <n v="62037"/>
    <n v="45528"/>
    <s v="Knnd Associates Pvt Ltd"/>
    <s v="White Oak Bangalore"/>
    <x v="1"/>
    <s v="Insu Kflex Thermal 9mm Al. Foil"/>
    <x v="0"/>
    <n v="342.8"/>
    <n v="355"/>
    <n v="121694"/>
  </r>
  <r>
    <n v="951"/>
    <x v="3"/>
    <x v="87"/>
    <n v="62037"/>
    <n v="45528"/>
    <s v="Knnd Associates Pvt Ltd"/>
    <s v="White Oak Bangalore"/>
    <x v="1"/>
    <s v="Insu Kflex Acou. 15mm"/>
    <x v="0"/>
    <n v="41.8"/>
    <n v="910"/>
    <n v="38038"/>
  </r>
  <r>
    <n v="952"/>
    <x v="3"/>
    <x v="87"/>
    <n v="62037"/>
    <n v="45528"/>
    <s v="Knnd Associates Pvt Ltd"/>
    <s v="White Oak Bangalore"/>
    <x v="2"/>
    <s v="Polythene wrapping"/>
    <x v="0"/>
    <n v="380"/>
    <n v="20"/>
    <n v="7600"/>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r>
    <s v=""/>
    <x v="4"/>
    <x v="88"/>
    <m/>
    <m/>
    <m/>
    <m/>
    <x v="91"/>
    <m/>
    <x v="6"/>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6">
  <r>
    <n v="1"/>
    <x v="0"/>
    <x v="0"/>
    <n v="61930"/>
    <n v="45322"/>
    <s v="Knnd Associates Pvt Ltd"/>
    <s v="Blackstone COE India Pvt Ltd Bangalore"/>
    <s v="Box Duct with TDF"/>
    <x v="0"/>
    <s v="Sqmt"/>
    <n v="374.9"/>
    <n v="585"/>
    <n v="219316.5"/>
  </r>
  <r>
    <n v="2"/>
    <x v="0"/>
    <x v="0"/>
    <n v="61930"/>
    <n v="45322"/>
    <s v="Knnd Associates Pvt Ltd"/>
    <s v="Blackstone COE India Pvt Ltd Bangalore"/>
    <s v="Box Duct with TDF"/>
    <x v="1"/>
    <s v="Sqmt"/>
    <n v="139.1"/>
    <n v="790"/>
    <n v="109889"/>
  </r>
  <r>
    <n v="3"/>
    <x v="0"/>
    <x v="0"/>
    <n v="61930"/>
    <n v="45322"/>
    <s v="Knnd Associates Pvt Ltd"/>
    <s v="Blackstone COE India Pvt Ltd Bangalore"/>
    <s v="Insulation"/>
    <x v="2"/>
    <s v="Sqmt"/>
    <n v="408.3"/>
    <n v="289"/>
    <n v="117998.7"/>
  </r>
  <r>
    <n v="4"/>
    <x v="0"/>
    <x v="0"/>
    <n v="61930"/>
    <n v="45322"/>
    <s v="Knnd Associates Pvt Ltd"/>
    <s v="Blackstone COE India Pvt Ltd Bangalore"/>
    <s v="Insulation"/>
    <x v="3"/>
    <s v="Sqmt"/>
    <n v="38.700000000000003"/>
    <n v="805"/>
    <n v="31153.500000000004"/>
  </r>
  <r>
    <n v="5"/>
    <x v="0"/>
    <x v="0"/>
    <n v="61930"/>
    <n v="45322"/>
    <s v="Knnd Associates Pvt Ltd"/>
    <s v="Blackstone COE India Pvt Ltd Bangalore"/>
    <s v="Insulation"/>
    <x v="4"/>
    <s v="Sqmt"/>
    <n v="57.3"/>
    <n v="1271"/>
    <n v="72828.3"/>
  </r>
  <r>
    <n v="6"/>
    <x v="0"/>
    <x v="0"/>
    <n v="61930"/>
    <n v="45322"/>
    <s v="Knnd Associates Pvt Ltd"/>
    <s v="Blackstone COE India Pvt Ltd Bangalore"/>
    <s v="Stretch Film"/>
    <x v="5"/>
    <s v="Sqmt"/>
    <n v="440"/>
    <n v="15"/>
    <n v="6600"/>
  </r>
  <r>
    <n v="7"/>
    <x v="0"/>
    <x v="0"/>
    <n v="61930"/>
    <n v="45322"/>
    <s v="Knnd Associates Pvt Ltd"/>
    <s v="Blackstone COE India Pvt Ltd Bangalore"/>
    <s v="Stretch Rolls"/>
    <x v="6"/>
    <s v="Nos"/>
    <n v="2"/>
    <n v="810"/>
    <n v="1620"/>
  </r>
  <r>
    <n v="8"/>
    <x v="0"/>
    <x v="1"/>
    <n v="61936"/>
    <n v="45323"/>
    <s v="Lakshmi Fabrication"/>
    <s v="Lenovo Project Bangalore"/>
    <s v="Box Duct with TDF"/>
    <x v="0"/>
    <s v="Sqmt"/>
    <n v="105.6"/>
    <n v="585"/>
    <n v="61776"/>
  </r>
  <r>
    <n v="9"/>
    <x v="0"/>
    <x v="1"/>
    <n v="61936"/>
    <n v="45323"/>
    <s v="Lakshmi Fabrication"/>
    <s v="Lenovo Project Bangalore"/>
    <s v="Box Duct with TDF"/>
    <x v="1"/>
    <s v="Sqmt"/>
    <n v="3.3"/>
    <n v="790"/>
    <n v="2607"/>
  </r>
  <r>
    <n v="10"/>
    <x v="0"/>
    <x v="1"/>
    <n v="61936"/>
    <n v="45323"/>
    <s v="Lakshmi Fabrication"/>
    <s v="Lenovo Project Bangalore"/>
    <s v="Box Duct with TDF"/>
    <x v="7"/>
    <s v="Sqmt"/>
    <n v="15.1"/>
    <n v="915"/>
    <n v="13816.5"/>
  </r>
  <r>
    <n v="11"/>
    <x v="0"/>
    <x v="1"/>
    <n v="61936"/>
    <n v="45323"/>
    <s v="Lakshmi Fabrication"/>
    <s v="Lenovo Project Bangalore"/>
    <s v="Box Duct with TDF"/>
    <x v="8"/>
    <s v="Sqmt"/>
    <n v="4.3"/>
    <n v="1030"/>
    <n v="4429"/>
  </r>
  <r>
    <n v="12"/>
    <x v="0"/>
    <x v="1"/>
    <n v="61936"/>
    <n v="45323"/>
    <s v="Lakshmi Fabrication"/>
    <s v="Lenovo Project Bangalore"/>
    <s v="Spiral Oval Duct"/>
    <x v="9"/>
    <s v="Sqmt"/>
    <n v="14.7"/>
    <n v="660"/>
    <n v="9702"/>
  </r>
  <r>
    <n v="13"/>
    <x v="0"/>
    <x v="1"/>
    <n v="61936"/>
    <n v="45323"/>
    <s v="Lakshmi Fabrication"/>
    <s v="Lenovo Project Bangalore"/>
    <s v="Spiral Oval Duct"/>
    <x v="10"/>
    <s v="Sqmt"/>
    <n v="23.5"/>
    <n v="795"/>
    <n v="18682.5"/>
  </r>
  <r>
    <n v="14"/>
    <x v="0"/>
    <x v="1"/>
    <n v="61936"/>
    <n v="45323"/>
    <s v="Lakshmi Fabrication"/>
    <s v="Lenovo Project Bangalore"/>
    <s v="Insulation"/>
    <x v="11"/>
    <s v="Sqmt"/>
    <n v="38.200000000000003"/>
    <n v="380"/>
    <n v="14516.000000000002"/>
  </r>
  <r>
    <n v="15"/>
    <x v="0"/>
    <x v="1"/>
    <n v="61936"/>
    <n v="45323"/>
    <s v="Lakshmi Fabrication"/>
    <s v="Lenovo Project Bangalore"/>
    <s v="Insulation"/>
    <x v="12"/>
    <s v="Sqmt"/>
    <n v="57.8"/>
    <n v="680"/>
    <n v="39304"/>
  </r>
  <r>
    <n v="16"/>
    <x v="0"/>
    <x v="1"/>
    <n v="61936"/>
    <n v="45323"/>
    <s v="Lakshmi Fabrication"/>
    <s v="Lenovo Project Bangalore"/>
    <s v="Insulation"/>
    <x v="13"/>
    <s v="Sqmt"/>
    <n v="52.1"/>
    <n v="675"/>
    <n v="35167.5"/>
  </r>
  <r>
    <n v="17"/>
    <x v="0"/>
    <x v="1"/>
    <n v="61936"/>
    <n v="45324"/>
    <s v="Lakshmi Fabrication"/>
    <s v="Lenovo Project Bangalore"/>
    <s v="Box Duct with TDF"/>
    <x v="0"/>
    <s v="Sqmt"/>
    <n v="119.1"/>
    <n v="585"/>
    <n v="69673.5"/>
  </r>
  <r>
    <n v="18"/>
    <x v="0"/>
    <x v="1"/>
    <n v="61936"/>
    <n v="45324"/>
    <s v="Lakshmi Fabrication"/>
    <s v="Lenovo Project Bangalore"/>
    <s v="Box Duct with TDF"/>
    <x v="1"/>
    <s v="Sqmt"/>
    <n v="31.9"/>
    <n v="790"/>
    <n v="25201"/>
  </r>
  <r>
    <n v="19"/>
    <x v="0"/>
    <x v="1"/>
    <n v="61936"/>
    <n v="45324"/>
    <s v="Lakshmi Fabrication"/>
    <s v="Lenovo Project Bangalore"/>
    <s v="Box Duct with TDF"/>
    <x v="7"/>
    <s v="Sqmt"/>
    <n v="11.8"/>
    <n v="915"/>
    <n v="10797"/>
  </r>
  <r>
    <n v="20"/>
    <x v="0"/>
    <x v="1"/>
    <n v="61936"/>
    <n v="45324"/>
    <s v="Lakshmi Fabrication"/>
    <s v="Lenovo Project Bangalore"/>
    <s v="Box Duct with TDF"/>
    <x v="8"/>
    <s v="Sqmt"/>
    <n v="8.5"/>
    <n v="1030"/>
    <n v="8755"/>
  </r>
  <r>
    <n v="21"/>
    <x v="0"/>
    <x v="1"/>
    <n v="61936"/>
    <n v="45324"/>
    <s v="Lakshmi Fabrication"/>
    <s v="Lenovo Project Bangalore"/>
    <s v="Insulation"/>
    <x v="13"/>
    <s v="Sqmt"/>
    <n v="171.3"/>
    <n v="675"/>
    <n v="115627.50000000001"/>
  </r>
  <r>
    <n v="22"/>
    <x v="0"/>
    <x v="2"/>
    <n v="61936"/>
    <n v="45325"/>
    <s v="Lakshmi Fabrication"/>
    <s v="Lenovo Project Bangalore"/>
    <s v="Box Duct with TDF"/>
    <x v="0"/>
    <s v="Sqmt"/>
    <n v="70"/>
    <n v="585"/>
    <n v="40950"/>
  </r>
  <r>
    <n v="23"/>
    <x v="0"/>
    <x v="2"/>
    <n v="61936"/>
    <n v="45325"/>
    <s v="Lakshmi Fabrication"/>
    <s v="Lenovo Project Bangalore"/>
    <s v="Box Duct with TDF"/>
    <x v="1"/>
    <s v="Sqmt"/>
    <n v="9.8000000000000007"/>
    <n v="790"/>
    <n v="7742.0000000000009"/>
  </r>
  <r>
    <n v="24"/>
    <x v="0"/>
    <x v="2"/>
    <n v="61936"/>
    <n v="45325"/>
    <s v="Lakshmi Fabrication"/>
    <s v="Lenovo Project Bangalore"/>
    <s v="Box Duct with TDF"/>
    <x v="7"/>
    <s v="Sqmt"/>
    <n v="13.2"/>
    <n v="915"/>
    <n v="12078"/>
  </r>
  <r>
    <n v="25"/>
    <x v="0"/>
    <x v="2"/>
    <n v="61936"/>
    <n v="45325"/>
    <s v="Lakshmi Fabrication"/>
    <s v="Lenovo Project Bangalore"/>
    <s v="Box Duct with TDF"/>
    <x v="8"/>
    <s v="Sqmt"/>
    <n v="28.4"/>
    <n v="1030"/>
    <n v="29252"/>
  </r>
  <r>
    <n v="26"/>
    <x v="0"/>
    <x v="2"/>
    <n v="61936"/>
    <n v="45325"/>
    <s v="Lakshmi Fabrication"/>
    <s v="Lenovo Project Bangalore"/>
    <s v="Spiral VCD"/>
    <x v="7"/>
    <s v="Sqmt"/>
    <n v="11.9"/>
    <n v="3400"/>
    <n v="40460"/>
  </r>
  <r>
    <n v="27"/>
    <x v="0"/>
    <x v="2"/>
    <n v="61936"/>
    <n v="45325"/>
    <s v="Lakshmi Fabrication"/>
    <s v="Lenovo Project Bangalore"/>
    <s v="Insulation"/>
    <x v="14"/>
    <s v="Sqmt"/>
    <n v="25.5"/>
    <n v="1515"/>
    <n v="38632.5"/>
  </r>
  <r>
    <n v="28"/>
    <x v="0"/>
    <x v="2"/>
    <n v="61936"/>
    <n v="45325"/>
    <s v="Lakshmi Fabrication"/>
    <s v="Lenovo Project Bangalore"/>
    <s v="Insulation"/>
    <x v="12"/>
    <s v="Sqmt"/>
    <n v="0.5"/>
    <n v="680"/>
    <n v="340"/>
  </r>
  <r>
    <n v="29"/>
    <x v="0"/>
    <x v="2"/>
    <n v="61936"/>
    <n v="45325"/>
    <s v="Lakshmi Fabrication"/>
    <s v="Lenovo Project Bangalore"/>
    <s v="Insulation"/>
    <x v="13"/>
    <s v="Sqmt"/>
    <n v="95.4"/>
    <n v="675"/>
    <n v="64395.000000000007"/>
  </r>
  <r>
    <n v="30"/>
    <x v="0"/>
    <x v="2"/>
    <n v="61936"/>
    <n v="45325"/>
    <s v="Lakshmi Fabrication"/>
    <s v="Lenovo Project Bangalore"/>
    <s v="8mm JTR"/>
    <x v="15"/>
    <s v="Rmt"/>
    <n v="2.5"/>
    <n v="130"/>
    <n v="325"/>
  </r>
  <r>
    <n v="31"/>
    <x v="0"/>
    <x v="2"/>
    <n v="61936"/>
    <n v="45325"/>
    <s v="Lakshmi Fabrication"/>
    <s v="Lenovo Project Bangalore"/>
    <s v="Kflex (3mmX50mmx9.10 Mtr)"/>
    <x v="16"/>
    <s v="Nos"/>
    <n v="30"/>
    <n v="147"/>
    <n v="4410"/>
  </r>
  <r>
    <n v="32"/>
    <x v="0"/>
    <x v="2"/>
    <n v="61531"/>
    <n v="45326"/>
    <s v="Knnd Associates Pvt Ltd"/>
    <s v="IISC Medical School Foundation Bangalore"/>
    <s v="Box Duct with TDF"/>
    <x v="0"/>
    <s v="Sqmt"/>
    <n v="38.1"/>
    <n v="530"/>
    <n v="20193"/>
  </r>
  <r>
    <n v="33"/>
    <x v="0"/>
    <x v="2"/>
    <n v="61531"/>
    <n v="45326"/>
    <s v="Knnd Associates Pvt Ltd"/>
    <s v="IISC Medical School Foundation Bangalore"/>
    <s v="Box Duct with TDF"/>
    <x v="1"/>
    <s v="Sqmt"/>
    <n v="7.1"/>
    <n v="677"/>
    <n v="4806.7"/>
  </r>
  <r>
    <n v="34"/>
    <x v="0"/>
    <x v="2"/>
    <n v="61531"/>
    <n v="45326"/>
    <s v="Knnd Associates Pvt Ltd"/>
    <s v="IISC Medical School Foundation Bangalore"/>
    <s v="Insulation"/>
    <x v="17"/>
    <s v="Sqmt"/>
    <n v="45.2"/>
    <n v="410"/>
    <n v="18532"/>
  </r>
  <r>
    <n v="35"/>
    <x v="0"/>
    <x v="2"/>
    <n v="61531"/>
    <n v="45326"/>
    <s v="Knnd Associates Pvt Ltd"/>
    <s v="IISC Medical School Foundation Bangalore"/>
    <s v="VCD (Alu. Blade)"/>
    <x v="7"/>
    <s v="Sqmt"/>
    <n v="1.1000000000000001"/>
    <n v="4950"/>
    <n v="5445"/>
  </r>
  <r>
    <n v="36"/>
    <x v="0"/>
    <x v="2"/>
    <n v="61531"/>
    <n v="45326"/>
    <s v="Knnd Associates Pvt Ltd"/>
    <s v="IISC Medical School Foundation Bangalore"/>
    <s v="Stretch Film"/>
    <x v="5"/>
    <s v="Sqmt"/>
    <n v="60"/>
    <n v="15"/>
    <n v="900"/>
  </r>
  <r>
    <n v="37"/>
    <x v="0"/>
    <x v="2"/>
    <n v="61930"/>
    <n v="45327"/>
    <s v="Knnd Associates Pvt Ltd"/>
    <s v="Blackstone COE India Pvt Ltd Bangalore"/>
    <s v="Box Duct with TDF"/>
    <x v="0"/>
    <s v="Sqmt"/>
    <n v="317.39999999999998"/>
    <n v="585"/>
    <n v="185679"/>
  </r>
  <r>
    <n v="38"/>
    <x v="0"/>
    <x v="2"/>
    <n v="61930"/>
    <n v="45327"/>
    <s v="Knnd Associates Pvt Ltd"/>
    <s v="Blackstone COE India Pvt Ltd Bangalore"/>
    <s v="Box Duct with TDF"/>
    <x v="1"/>
    <s v="Sqmt"/>
    <n v="83.8"/>
    <n v="790"/>
    <n v="66202"/>
  </r>
  <r>
    <n v="39"/>
    <x v="0"/>
    <x v="2"/>
    <n v="61930"/>
    <n v="45327"/>
    <s v="Knnd Associates Pvt Ltd"/>
    <s v="Blackstone COE India Pvt Ltd Bangalore"/>
    <s v="Box Duct with TDF"/>
    <x v="7"/>
    <s v="Sqmt"/>
    <n v="48.2"/>
    <n v="915"/>
    <n v="44103"/>
  </r>
  <r>
    <n v="40"/>
    <x v="0"/>
    <x v="2"/>
    <n v="61930"/>
    <n v="45327"/>
    <s v="Knnd Associates Pvt Ltd"/>
    <s v="Blackstone COE India Pvt Ltd Bangalore"/>
    <s v="Insulation"/>
    <x v="2"/>
    <s v="Sqmt"/>
    <n v="222"/>
    <n v="289"/>
    <n v="64158"/>
  </r>
  <r>
    <n v="41"/>
    <x v="0"/>
    <x v="2"/>
    <n v="61930"/>
    <n v="45327"/>
    <s v="Knnd Associates Pvt Ltd"/>
    <s v="Blackstone COE India Pvt Ltd Bangalore"/>
    <s v="Insulation"/>
    <x v="3"/>
    <s v="Sqmt"/>
    <n v="89.601860000000002"/>
    <n v="805"/>
    <n v="72129.497300000003"/>
  </r>
  <r>
    <n v="42"/>
    <x v="0"/>
    <x v="2"/>
    <n v="61930"/>
    <n v="45327"/>
    <s v="Knnd Associates Pvt Ltd"/>
    <s v="Blackstone COE India Pvt Ltd Bangalore"/>
    <s v="Insulation"/>
    <x v="4"/>
    <s v="Sqmt"/>
    <n v="139.80000000000001"/>
    <n v="1271"/>
    <n v="177685.80000000002"/>
  </r>
  <r>
    <n v="43"/>
    <x v="0"/>
    <x v="2"/>
    <n v="61930"/>
    <n v="45327"/>
    <s v="Knnd Associates Pvt Ltd"/>
    <s v="Blackstone COE India Pvt Ltd Bangalore"/>
    <s v="CTS (450x250)"/>
    <x v="1"/>
    <s v="Sqmt"/>
    <n v="15"/>
    <n v="3425"/>
    <n v="51375"/>
  </r>
  <r>
    <n v="44"/>
    <x v="0"/>
    <x v="2"/>
    <n v="61930"/>
    <n v="45327"/>
    <s v="Knnd Associates Pvt Ltd"/>
    <s v="Blackstone COE India Pvt Ltd Bangalore"/>
    <s v="Stretch Film"/>
    <x v="5"/>
    <s v="Sqmt"/>
    <n v="320"/>
    <n v="15"/>
    <n v="4800"/>
  </r>
  <r>
    <n v="45"/>
    <x v="0"/>
    <x v="3"/>
    <n v="61930"/>
    <n v="45328"/>
    <s v="Knnd Associates Pvt Ltd"/>
    <s v="Blackstone COE India Pvt Ltd Bangalore"/>
    <s v="Box Duct with TDF"/>
    <x v="0"/>
    <s v="Sqmt"/>
    <n v="329.9"/>
    <n v="585"/>
    <n v="192991.5"/>
  </r>
  <r>
    <n v="46"/>
    <x v="0"/>
    <x v="3"/>
    <n v="61930"/>
    <n v="45328"/>
    <s v="Knnd Associates Pvt Ltd"/>
    <s v="Blackstone COE India Pvt Ltd Bangalore"/>
    <s v="Box Duct with TDF"/>
    <x v="1"/>
    <s v="Sqmt"/>
    <n v="58.7"/>
    <n v="790"/>
    <n v="46373"/>
  </r>
  <r>
    <n v="47"/>
    <x v="0"/>
    <x v="3"/>
    <n v="61930"/>
    <n v="45328"/>
    <s v="Knnd Associates Pvt Ltd"/>
    <s v="Blackstone COE India Pvt Ltd Bangalore"/>
    <s v="Box Duct with TDF"/>
    <x v="7"/>
    <s v="Sqmt"/>
    <n v="56.1"/>
    <n v="915"/>
    <n v="51331.5"/>
  </r>
  <r>
    <n v="48"/>
    <x v="0"/>
    <x v="3"/>
    <n v="61930"/>
    <n v="45328"/>
    <s v="Knnd Associates Pvt Ltd"/>
    <s v="Blackstone COE India Pvt Ltd Bangalore"/>
    <s v="CTS (250x250)"/>
    <x v="1"/>
    <s v="Sqmt"/>
    <n v="6"/>
    <n v="975"/>
    <n v="5850"/>
  </r>
  <r>
    <n v="49"/>
    <x v="0"/>
    <x v="3"/>
    <n v="61930"/>
    <n v="45328"/>
    <s v="Knnd Associates Pvt Ltd"/>
    <s v="Blackstone COE India Pvt Ltd Bangalore"/>
    <s v="CTS (450x250)"/>
    <x v="1"/>
    <s v="Sqmt"/>
    <n v="20"/>
    <n v="3425"/>
    <n v="68500"/>
  </r>
  <r>
    <n v="50"/>
    <x v="0"/>
    <x v="3"/>
    <n v="61930"/>
    <n v="45328"/>
    <s v="Knnd Associates Pvt Ltd"/>
    <s v="Blackstone COE India Pvt Ltd Bangalore"/>
    <s v="Insulation"/>
    <x v="2"/>
    <s v="Sqmt"/>
    <n v="256.3"/>
    <n v="289"/>
    <n v="74070.7"/>
  </r>
  <r>
    <n v="51"/>
    <x v="0"/>
    <x v="3"/>
    <n v="61930"/>
    <n v="45328"/>
    <s v="Knnd Associates Pvt Ltd"/>
    <s v="Blackstone COE India Pvt Ltd Bangalore"/>
    <s v="Insulation"/>
    <x v="3"/>
    <s v="Sqmt"/>
    <n v="116.30435"/>
    <n v="805"/>
    <n v="93625.001749999996"/>
  </r>
  <r>
    <n v="52"/>
    <x v="0"/>
    <x v="3"/>
    <n v="61930"/>
    <n v="45328"/>
    <s v="Knnd Associates Pvt Ltd"/>
    <s v="Blackstone COE India Pvt Ltd Bangalore"/>
    <s v="Insulation"/>
    <x v="4"/>
    <s v="Sqmt"/>
    <n v="141.4"/>
    <n v="1271"/>
    <n v="179719.4"/>
  </r>
  <r>
    <n v="53"/>
    <x v="0"/>
    <x v="3"/>
    <n v="61930"/>
    <n v="45328"/>
    <s v="Knnd Associates Pvt Ltd"/>
    <s v="Blackstone COE India Pvt Ltd Bangalore"/>
    <s v="Stretch Film"/>
    <x v="5"/>
    <s v="Sqmt"/>
    <n v="360"/>
    <n v="15"/>
    <n v="5400"/>
  </r>
  <r>
    <n v="54"/>
    <x v="0"/>
    <x v="4"/>
    <n v="61936"/>
    <n v="45329"/>
    <s v="Lakshmi Fabrication"/>
    <s v="Lenovo Project Bangalore"/>
    <s v="Box Duct with TDF"/>
    <x v="0"/>
    <s v="Sqmt"/>
    <n v="48.7"/>
    <n v="585"/>
    <n v="28489.5"/>
  </r>
  <r>
    <n v="55"/>
    <x v="0"/>
    <x v="4"/>
    <n v="61936"/>
    <n v="45329"/>
    <s v="Lakshmi Fabrication"/>
    <s v="Lenovo Project Bangalore"/>
    <s v="Box Duct with TDF"/>
    <x v="1"/>
    <s v="Sqmt"/>
    <n v="18"/>
    <n v="790"/>
    <n v="14220"/>
  </r>
  <r>
    <n v="56"/>
    <x v="0"/>
    <x v="4"/>
    <n v="61936"/>
    <n v="45329"/>
    <s v="Lakshmi Fabrication"/>
    <s v="Lenovo Project Bangalore"/>
    <s v="Box Duct with TDF"/>
    <x v="7"/>
    <s v="Sqmt"/>
    <n v="29.5"/>
    <n v="915"/>
    <n v="26992.5"/>
  </r>
  <r>
    <n v="57"/>
    <x v="0"/>
    <x v="4"/>
    <n v="61936"/>
    <n v="45329"/>
    <s v="Lakshmi Fabrication"/>
    <s v="Lenovo Project Bangalore"/>
    <s v="Box Duct with TDF"/>
    <x v="8"/>
    <s v="Sqmt"/>
    <n v="22.6"/>
    <n v="1030"/>
    <n v="23278"/>
  </r>
  <r>
    <n v="58"/>
    <x v="0"/>
    <x v="4"/>
    <n v="61936"/>
    <n v="45329"/>
    <s v="Lakshmi Fabrication"/>
    <s v="Lenovo Project Bangalore"/>
    <s v="Insulation"/>
    <x v="14"/>
    <s v="Sqmt"/>
    <n v="42.4"/>
    <n v="1515"/>
    <n v="64236"/>
  </r>
  <r>
    <n v="59"/>
    <x v="0"/>
    <x v="4"/>
    <n v="61936"/>
    <n v="45329"/>
    <s v="Lakshmi Fabrication"/>
    <s v="Lenovo Project Bangalore"/>
    <s v="Insulation"/>
    <x v="12"/>
    <s v="Sqmt"/>
    <n v="5.6"/>
    <n v="680"/>
    <n v="3807.9999999999995"/>
  </r>
  <r>
    <n v="60"/>
    <x v="0"/>
    <x v="4"/>
    <n v="61936"/>
    <n v="45329"/>
    <s v="Lakshmi Fabrication"/>
    <s v="Lenovo Project Bangalore"/>
    <s v="Insulation"/>
    <x v="13"/>
    <s v="Sqmt"/>
    <n v="70.8"/>
    <n v="675"/>
    <n v="47790"/>
  </r>
  <r>
    <n v="61"/>
    <x v="0"/>
    <x v="4"/>
    <n v="61936"/>
    <n v="45329"/>
    <s v="Lakshmi Fabrication"/>
    <s v="Lenovo Project Bangalore"/>
    <s v="Kflex (3mmX50mmx9.10 Mtr)"/>
    <x v="16"/>
    <s v="Nos"/>
    <n v="22"/>
    <n v="147"/>
    <n v="3234"/>
  </r>
  <r>
    <n v="62"/>
    <x v="0"/>
    <x v="5"/>
    <n v="61936"/>
    <n v="45330"/>
    <s v="Lakshmi Fabrication"/>
    <s v="Lenovo Project Bangalore"/>
    <s v="Box Duct with TDF"/>
    <x v="0"/>
    <s v="Sqmt"/>
    <n v="72.5"/>
    <n v="585"/>
    <n v="42412.5"/>
  </r>
  <r>
    <n v="63"/>
    <x v="0"/>
    <x v="5"/>
    <n v="61936"/>
    <n v="45330"/>
    <s v="Lakshmi Fabrication"/>
    <s v="Lenovo Project Bangalore"/>
    <s v="Box Duct with TDF"/>
    <x v="1"/>
    <s v="Sqmt"/>
    <n v="15.5"/>
    <n v="790"/>
    <n v="12245"/>
  </r>
  <r>
    <n v="64"/>
    <x v="0"/>
    <x v="5"/>
    <n v="61936"/>
    <n v="45330"/>
    <s v="Lakshmi Fabrication"/>
    <s v="Lenovo Project Bangalore"/>
    <s v="Box Duct with TDF"/>
    <x v="7"/>
    <s v="Sqmt"/>
    <n v="15.4"/>
    <n v="915"/>
    <n v="14091"/>
  </r>
  <r>
    <n v="65"/>
    <x v="0"/>
    <x v="5"/>
    <n v="61936"/>
    <n v="45330"/>
    <s v="Lakshmi Fabrication"/>
    <s v="Lenovo Project Bangalore"/>
    <s v="Box Duct with TDF"/>
    <x v="8"/>
    <s v="Sqmt"/>
    <n v="19.5"/>
    <n v="1030"/>
    <n v="20085"/>
  </r>
  <r>
    <n v="66"/>
    <x v="0"/>
    <x v="5"/>
    <n v="61936"/>
    <n v="45330"/>
    <s v="Lakshmi Fabrication"/>
    <s v="Lenovo Project Bangalore"/>
    <s v="Spiral Oval Coupling"/>
    <x v="18"/>
    <s v="Sqmt"/>
    <n v="15.6"/>
    <n v="904"/>
    <n v="14102.4"/>
  </r>
  <r>
    <n v="67"/>
    <x v="0"/>
    <x v="5"/>
    <n v="61936"/>
    <n v="45330"/>
    <s v="Lakshmi Fabrication"/>
    <s v="Lenovo Project Bangalore"/>
    <s v="Insulation"/>
    <x v="14"/>
    <s v="Sqmt"/>
    <n v="19.5"/>
    <n v="1515"/>
    <n v="29542.5"/>
  </r>
  <r>
    <n v="68"/>
    <x v="0"/>
    <x v="5"/>
    <n v="61936"/>
    <n v="45330"/>
    <s v="Lakshmi Fabrication"/>
    <s v="Lenovo Project Bangalore"/>
    <s v="Insulation"/>
    <x v="13"/>
    <s v="Sqmt"/>
    <n v="119"/>
    <n v="675"/>
    <n v="80325"/>
  </r>
  <r>
    <n v="69"/>
    <x v="0"/>
    <x v="5"/>
    <n v="61936"/>
    <n v="45330"/>
    <s v="Lakshmi Fabrication"/>
    <s v="Lenovo Project Bangalore"/>
    <s v="Insulation"/>
    <x v="11"/>
    <s v="Sqmt"/>
    <n v="15.6"/>
    <n v="380"/>
    <n v="5928"/>
  </r>
  <r>
    <n v="70"/>
    <x v="0"/>
    <x v="5"/>
    <n v="61768"/>
    <n v="45331"/>
    <s v="Camduct India Pvt Ltd-Haryana"/>
    <s v="Camduct India Pvt Ltd-Haryana Branch"/>
    <s v="Stock Transfer"/>
    <x v="19"/>
    <s v="Nos"/>
    <n v="15"/>
    <n v="900"/>
    <n v="13500"/>
  </r>
  <r>
    <n v="71"/>
    <x v="0"/>
    <x v="5"/>
    <n v="61768"/>
    <n v="45331"/>
    <s v="Camduct India Pvt Ltd-Haryana"/>
    <s v="Camduct India Pvt Ltd-Haryana Branch"/>
    <s v="Stock Transfer"/>
    <x v="20"/>
    <s v="Nos"/>
    <n v="15"/>
    <n v="664.2"/>
    <n v="9963"/>
  </r>
  <r>
    <n v="72"/>
    <x v="0"/>
    <x v="5"/>
    <n v="61768"/>
    <n v="45331"/>
    <s v="Camduct India Pvt Ltd-Haryana"/>
    <s v="Camduct India Pvt Ltd-Haryana Branch"/>
    <s v="Stock Transfer"/>
    <x v="21"/>
    <s v="Nos"/>
    <n v="200"/>
    <n v="10"/>
    <n v="2000"/>
  </r>
  <r>
    <n v="73"/>
    <x v="0"/>
    <x v="5"/>
    <n v="61768"/>
    <n v="45331"/>
    <s v="Camduct India Pvt Ltd-Haryana"/>
    <s v="Camduct India Pvt Ltd-Haryana Branch"/>
    <s v="Stock Transfer"/>
    <x v="22"/>
    <s v="Nos"/>
    <n v="4"/>
    <n v="137.5"/>
    <n v="550"/>
  </r>
  <r>
    <n v="74"/>
    <x v="0"/>
    <x v="5"/>
    <n v="61768"/>
    <n v="45331"/>
    <s v="Camduct India Pvt Ltd-Haryana"/>
    <s v="Camduct India Pvt Ltd-Haryana Branch"/>
    <s v="Stock Transfer"/>
    <x v="23"/>
    <s v="Nos"/>
    <n v="4"/>
    <n v="310"/>
    <n v="1240"/>
  </r>
  <r>
    <n v="75"/>
    <x v="0"/>
    <x v="5"/>
    <n v="61768"/>
    <n v="45331"/>
    <s v="Camduct India Pvt Ltd-Haryana"/>
    <s v="Camduct India Pvt Ltd-Haryana Branch"/>
    <s v="Stock Transfer"/>
    <x v="24"/>
    <s v="Nos"/>
    <n v="2"/>
    <n v="260"/>
    <n v="520"/>
  </r>
  <r>
    <n v="76"/>
    <x v="0"/>
    <x v="5"/>
    <n v="61930"/>
    <n v="45332"/>
    <s v="Knnd Associates Pvt Ltd"/>
    <s v="Blackstone COE India Pvt Ltd Bangalore"/>
    <s v="Box Duct with TDF"/>
    <x v="0"/>
    <s v="Sqmt"/>
    <n v="410.3"/>
    <n v="585"/>
    <n v="240025.5"/>
  </r>
  <r>
    <n v="77"/>
    <x v="0"/>
    <x v="5"/>
    <n v="61930"/>
    <n v="45332"/>
    <s v="Knnd Associates Pvt Ltd"/>
    <s v="Blackstone COE India Pvt Ltd Bangalore"/>
    <s v="Box Duct with TDF"/>
    <x v="1"/>
    <s v="Sqmt"/>
    <n v="132.6"/>
    <n v="790"/>
    <n v="104754"/>
  </r>
  <r>
    <n v="78"/>
    <x v="0"/>
    <x v="5"/>
    <n v="61930"/>
    <n v="45332"/>
    <s v="Knnd Associates Pvt Ltd"/>
    <s v="Blackstone COE India Pvt Ltd Bangalore"/>
    <s v="Box Duct with TDF"/>
    <x v="7"/>
    <s v="Sqmt"/>
    <n v="20.2"/>
    <n v="915"/>
    <n v="18483"/>
  </r>
  <r>
    <n v="79"/>
    <x v="0"/>
    <x v="5"/>
    <n v="61930"/>
    <n v="45332"/>
    <s v="Knnd Associates Pvt Ltd"/>
    <s v="Blackstone COE India Pvt Ltd Bangalore"/>
    <s v="Insulation"/>
    <x v="2"/>
    <s v="Sqmt"/>
    <n v="342.5"/>
    <n v="289"/>
    <n v="98982.5"/>
  </r>
  <r>
    <n v="80"/>
    <x v="0"/>
    <x v="5"/>
    <n v="61930"/>
    <n v="45332"/>
    <s v="Knnd Associates Pvt Ltd"/>
    <s v="Blackstone COE India Pvt Ltd Bangalore"/>
    <s v="Insulation"/>
    <x v="3"/>
    <s v="Sqmt"/>
    <n v="46.1"/>
    <n v="805"/>
    <n v="37110.5"/>
  </r>
  <r>
    <n v="81"/>
    <x v="0"/>
    <x v="5"/>
    <n v="61930"/>
    <n v="45332"/>
    <s v="Knnd Associates Pvt Ltd"/>
    <s v="Blackstone COE India Pvt Ltd Bangalore"/>
    <s v="Insulation"/>
    <x v="4"/>
    <s v="Sqmt"/>
    <n v="110.6"/>
    <n v="1271"/>
    <n v="140572.6"/>
  </r>
  <r>
    <n v="82"/>
    <x v="0"/>
    <x v="5"/>
    <n v="61930"/>
    <n v="45332"/>
    <s v="Knnd Associates Pvt Ltd"/>
    <s v="Blackstone COE India Pvt Ltd Bangalore"/>
    <s v="Gasket"/>
    <x v="25"/>
    <s v="Rmt"/>
    <n v="200"/>
    <n v="5"/>
    <n v="1000"/>
  </r>
  <r>
    <n v="83"/>
    <x v="0"/>
    <x v="5"/>
    <n v="61930"/>
    <n v="45332"/>
    <s v="Knnd Associates Pvt Ltd"/>
    <s v="Blackstone COE India Pvt Ltd Bangalore"/>
    <s v="Stretch Film"/>
    <x v="5"/>
    <s v="Sqmt"/>
    <n v="430"/>
    <n v="15"/>
    <n v="6450"/>
  </r>
  <r>
    <n v="84"/>
    <x v="0"/>
    <x v="6"/>
    <n v="61936"/>
    <n v="45333"/>
    <s v="Lakshmi Fabrication"/>
    <s v="Lenovo Project Bangalore"/>
    <s v="Box Duct with TDF"/>
    <x v="0"/>
    <s v="Sqmt"/>
    <n v="6.7"/>
    <n v="585"/>
    <n v="3919.5"/>
  </r>
  <r>
    <n v="85"/>
    <x v="0"/>
    <x v="6"/>
    <n v="61936"/>
    <n v="45333"/>
    <s v="Lakshmi Fabrication"/>
    <s v="Lenovo Project Bangalore"/>
    <s v="Box Duct with TDF"/>
    <x v="1"/>
    <s v="Sqmt"/>
    <n v="3.1"/>
    <n v="790"/>
    <n v="2449"/>
  </r>
  <r>
    <n v="86"/>
    <x v="0"/>
    <x v="6"/>
    <n v="61936"/>
    <n v="45333"/>
    <s v="Lakshmi Fabrication"/>
    <s v="Lenovo Project Bangalore"/>
    <s v="Box Duct with TDF"/>
    <x v="7"/>
    <s v="Sqmt"/>
    <n v="32"/>
    <n v="915"/>
    <n v="29280"/>
  </r>
  <r>
    <n v="87"/>
    <x v="0"/>
    <x v="6"/>
    <n v="61936"/>
    <n v="45333"/>
    <s v="Lakshmi Fabrication"/>
    <s v="Lenovo Project Bangalore"/>
    <s v="Box Duct with TDF"/>
    <x v="8"/>
    <s v="Sqmt"/>
    <n v="15.8"/>
    <n v="1030"/>
    <n v="16274"/>
  </r>
  <r>
    <n v="88"/>
    <x v="0"/>
    <x v="6"/>
    <n v="61936"/>
    <n v="45333"/>
    <s v="Lakshmi Fabrication"/>
    <s v="Lenovo Project Bangalore"/>
    <s v="VCD (Alu. Blade)"/>
    <x v="7"/>
    <s v="Sqmt"/>
    <n v="3"/>
    <n v="4950"/>
    <n v="14850"/>
  </r>
  <r>
    <n v="89"/>
    <x v="0"/>
    <x v="6"/>
    <n v="61936"/>
    <n v="45333"/>
    <s v="Lakshmi Fabrication"/>
    <s v="Lenovo Project Bangalore"/>
    <s v="Insulation"/>
    <x v="13"/>
    <s v="Sqmt"/>
    <n v="57.8"/>
    <n v="675"/>
    <n v="39015"/>
  </r>
  <r>
    <n v="90"/>
    <x v="0"/>
    <x v="6"/>
    <n v="61930"/>
    <n v="45334"/>
    <s v="Knnd Associates Pvt Ltd"/>
    <s v="Blackstone COE India Pvt Ltd Bangalore"/>
    <s v="Box Duct with TDF"/>
    <x v="0"/>
    <s v="Sqmt"/>
    <n v="478.8"/>
    <n v="585"/>
    <n v="280098"/>
  </r>
  <r>
    <n v="91"/>
    <x v="0"/>
    <x v="6"/>
    <n v="61930"/>
    <n v="45334"/>
    <s v="Knnd Associates Pvt Ltd"/>
    <s v="Blackstone COE India Pvt Ltd Bangalore"/>
    <s v="Box Duct with TDF"/>
    <x v="1"/>
    <s v="Sqmt"/>
    <n v="116.3"/>
    <n v="790"/>
    <n v="91877"/>
  </r>
  <r>
    <n v="92"/>
    <x v="0"/>
    <x v="6"/>
    <n v="61930"/>
    <n v="45334"/>
    <s v="Knnd Associates Pvt Ltd"/>
    <s v="Blackstone COE India Pvt Ltd Bangalore"/>
    <s v="Box Duct with TDF"/>
    <x v="7"/>
    <s v="Sqmt"/>
    <n v="13.9"/>
    <n v="915"/>
    <n v="12718.5"/>
  </r>
  <r>
    <n v="93"/>
    <x v="0"/>
    <x v="6"/>
    <n v="61930"/>
    <n v="45334"/>
    <s v="Knnd Associates Pvt Ltd"/>
    <s v="Blackstone COE India Pvt Ltd Bangalore"/>
    <s v="Insulation"/>
    <x v="2"/>
    <s v="Sqmt"/>
    <n v="399.4"/>
    <n v="289"/>
    <n v="115426.59999999999"/>
  </r>
  <r>
    <n v="94"/>
    <x v="0"/>
    <x v="6"/>
    <n v="61930"/>
    <n v="45334"/>
    <s v="Knnd Associates Pvt Ltd"/>
    <s v="Blackstone COE India Pvt Ltd Bangalore"/>
    <s v="Insulation"/>
    <x v="3"/>
    <s v="Sqmt"/>
    <n v="49.3"/>
    <n v="805"/>
    <n v="39686.5"/>
  </r>
  <r>
    <n v="95"/>
    <x v="0"/>
    <x v="6"/>
    <n v="61930"/>
    <n v="45334"/>
    <s v="Knnd Associates Pvt Ltd"/>
    <s v="Blackstone COE India Pvt Ltd Bangalore"/>
    <s v="Insulation"/>
    <x v="4"/>
    <s v="Sqmt"/>
    <n v="96.2"/>
    <n v="1271"/>
    <n v="122270.2"/>
  </r>
  <r>
    <n v="96"/>
    <x v="0"/>
    <x v="6"/>
    <n v="61930"/>
    <n v="45334"/>
    <s v="Knnd Associates Pvt Ltd"/>
    <s v="Blackstone COE India Pvt Ltd Bangalore"/>
    <s v="Stretch Film"/>
    <x v="5"/>
    <s v="Sqmt"/>
    <n v="480"/>
    <n v="15"/>
    <n v="7200"/>
  </r>
  <r>
    <n v="97"/>
    <x v="0"/>
    <x v="7"/>
    <n v="61434"/>
    <n v="45335"/>
    <s v="Knnd Associates Pvt Ltd"/>
    <s v="Vaishnavi Senate Bangalore"/>
    <s v="Box Duct with TDF"/>
    <x v="0"/>
    <s v="Sqmt"/>
    <n v="7.2"/>
    <n v="530"/>
    <n v="3816"/>
  </r>
  <r>
    <n v="98"/>
    <x v="0"/>
    <x v="7"/>
    <n v="61434"/>
    <n v="45335"/>
    <s v="Knnd Associates Pvt Ltd"/>
    <s v="Vaishnavi Senate Bangalore"/>
    <s v="Box Duct with TDF"/>
    <x v="1"/>
    <s v="Sqmt"/>
    <n v="18.3"/>
    <n v="677"/>
    <n v="12389.1"/>
  </r>
  <r>
    <n v="99"/>
    <x v="0"/>
    <x v="7"/>
    <n v="61434"/>
    <n v="45335"/>
    <s v="Knnd Associates Pvt Ltd"/>
    <s v="Vaishnavi Senate Bangalore"/>
    <s v="Box Duct with TDF"/>
    <x v="7"/>
    <s v="Sqmt"/>
    <n v="16.7"/>
    <n v="823"/>
    <n v="13744.099999999999"/>
  </r>
  <r>
    <n v="100"/>
    <x v="0"/>
    <x v="7"/>
    <n v="61434"/>
    <n v="45335"/>
    <s v="Knnd Associates Pvt Ltd"/>
    <s v="Vaishnavi Senate Bangalore"/>
    <s v="Insulation"/>
    <x v="3"/>
    <s v="Sqmt"/>
    <n v="16.7"/>
    <n v="935"/>
    <n v="15614.5"/>
  </r>
  <r>
    <n v="101"/>
    <x v="0"/>
    <x v="7"/>
    <n v="61434"/>
    <n v="45335"/>
    <s v="Knnd Associates Pvt Ltd"/>
    <s v="Vaishnavi Senate Bangalore"/>
    <s v="Plain Sheet"/>
    <x v="0"/>
    <s v="Sqmt"/>
    <n v="15"/>
    <n v="454"/>
    <n v="6810"/>
  </r>
  <r>
    <n v="102"/>
    <x v="0"/>
    <x v="7"/>
    <n v="61935"/>
    <n v="45336"/>
    <s v="Rao &amp; Co HVAC Sales &amp; Services Pvt Ltd"/>
    <s v="Creditaccess Life Insurance Ltd Blr"/>
    <s v="Spiral Oval Duct"/>
    <x v="9"/>
    <s v="Sqmt"/>
    <n v="1.7"/>
    <n v="660"/>
    <n v="1122"/>
  </r>
  <r>
    <n v="103"/>
    <x v="0"/>
    <x v="7"/>
    <n v="61935"/>
    <n v="45336"/>
    <s v="Rao &amp; Co HVAC Sales &amp; Services Pvt Ltd"/>
    <s v="Creditaccess Life Insurance Ltd Blr"/>
    <s v="Insulation"/>
    <x v="26"/>
    <s v="Sqmt"/>
    <n v="1.7"/>
    <n v="320"/>
    <n v="544"/>
  </r>
  <r>
    <n v="104"/>
    <x v="0"/>
    <x v="8"/>
    <n v="61936"/>
    <n v="45337"/>
    <s v="Lakshmi Fabrication"/>
    <s v="Lenovo Project Bangalore"/>
    <s v="VCD (Alu. Blade)"/>
    <x v="7"/>
    <s v="Sqmt"/>
    <n v="11"/>
    <n v="4950"/>
    <n v="54450"/>
  </r>
  <r>
    <n v="105"/>
    <x v="0"/>
    <x v="8"/>
    <n v="61930"/>
    <n v="45338"/>
    <s v="Knnd Associates Pvt Ltd"/>
    <s v="Blackstone COE India Pvt Ltd Bangalore"/>
    <s v="Box Duct with TDF"/>
    <x v="0"/>
    <s v="Sqmt"/>
    <n v="352.8"/>
    <n v="585"/>
    <n v="206388"/>
  </r>
  <r>
    <n v="106"/>
    <x v="0"/>
    <x v="8"/>
    <n v="61930"/>
    <n v="45338"/>
    <s v="Knnd Associates Pvt Ltd"/>
    <s v="Blackstone COE India Pvt Ltd Bangalore"/>
    <s v="Box Duct with TDF"/>
    <x v="1"/>
    <s v="Sqmt"/>
    <n v="204.1"/>
    <n v="790"/>
    <n v="161239"/>
  </r>
  <r>
    <n v="107"/>
    <x v="0"/>
    <x v="8"/>
    <n v="61930"/>
    <n v="45338"/>
    <s v="Knnd Associates Pvt Ltd"/>
    <s v="Blackstone COE India Pvt Ltd Bangalore"/>
    <s v="Box Duct with TDF"/>
    <x v="7"/>
    <s v="Sqmt"/>
    <n v="13.4"/>
    <n v="915"/>
    <n v="12261"/>
  </r>
  <r>
    <n v="108"/>
    <x v="0"/>
    <x v="8"/>
    <n v="61930"/>
    <n v="45338"/>
    <s v="Knnd Associates Pvt Ltd"/>
    <s v="Blackstone COE India Pvt Ltd Bangalore"/>
    <s v="Insulation"/>
    <x v="2"/>
    <s v="Sqmt"/>
    <n v="331.1"/>
    <n v="289"/>
    <n v="95687.900000000009"/>
  </r>
  <r>
    <n v="109"/>
    <x v="0"/>
    <x v="8"/>
    <n v="61930"/>
    <n v="45338"/>
    <s v="Knnd Associates Pvt Ltd"/>
    <s v="Blackstone COE India Pvt Ltd Bangalore"/>
    <s v="Insulation"/>
    <x v="3"/>
    <s v="Sqmt"/>
    <n v="37.799999999999997"/>
    <n v="805"/>
    <n v="30428.999999999996"/>
  </r>
  <r>
    <n v="110"/>
    <x v="0"/>
    <x v="8"/>
    <n v="61930"/>
    <n v="45338"/>
    <s v="Knnd Associates Pvt Ltd"/>
    <s v="Blackstone COE India Pvt Ltd Bangalore"/>
    <s v="Insulation"/>
    <x v="4"/>
    <s v="Sqmt"/>
    <n v="124.9"/>
    <n v="1271"/>
    <n v="158747.9"/>
  </r>
  <r>
    <n v="111"/>
    <x v="0"/>
    <x v="8"/>
    <n v="61930"/>
    <n v="45338"/>
    <s v="Knnd Associates Pvt Ltd"/>
    <s v="Blackstone COE India Pvt Ltd Bangalore"/>
    <s v="Stretch Film"/>
    <x v="5"/>
    <s v="Sqmt"/>
    <n v="430"/>
    <n v="15"/>
    <n v="6450"/>
  </r>
  <r>
    <n v="112"/>
    <x v="0"/>
    <x v="9"/>
    <n v="61816"/>
    <n v="45339"/>
    <s v="Knnd Associates Pvt Ltd"/>
    <s v="Pai Tiffins Manipal"/>
    <s v="Spiral Oval Duct"/>
    <x v="9"/>
    <s v="Sqmt"/>
    <n v="9.4"/>
    <n v="655"/>
    <n v="6157"/>
  </r>
  <r>
    <n v="113"/>
    <x v="0"/>
    <x v="9"/>
    <n v="61816"/>
    <n v="45339"/>
    <s v="Knnd Associates Pvt Ltd"/>
    <s v="Pai Tiffins Manipal"/>
    <s v="Spiral Oval Coupling"/>
    <x v="10"/>
    <s v="Sqmt"/>
    <n v="0.4"/>
    <n v="690"/>
    <n v="276"/>
  </r>
  <r>
    <n v="114"/>
    <x v="0"/>
    <x v="9"/>
    <n v="61816"/>
    <n v="45339"/>
    <s v="Knnd Associates Pvt Ltd"/>
    <s v="Pai Tiffins Manipal"/>
    <s v="Insulation"/>
    <x v="26"/>
    <s v="Sqmt"/>
    <n v="9.8000000000000007"/>
    <n v="255"/>
    <n v="2499"/>
  </r>
  <r>
    <n v="115"/>
    <x v="0"/>
    <x v="9"/>
    <n v="61948"/>
    <n v="45340"/>
    <s v="Knnd Associates Pvt Ltd"/>
    <s v="Yenepoya University Mangalore"/>
    <s v="Spiral Oval Duct"/>
    <x v="9"/>
    <s v="Sqmt"/>
    <n v="54.8"/>
    <n v="660"/>
    <n v="36168"/>
  </r>
  <r>
    <n v="116"/>
    <x v="0"/>
    <x v="9"/>
    <n v="61948"/>
    <n v="45340"/>
    <s v="Knnd Associates Pvt Ltd"/>
    <s v="Yenepoya University Mangalore"/>
    <s v="Spiral Oval Duct"/>
    <x v="10"/>
    <s v="Sqmt"/>
    <n v="2.2999999999999998"/>
    <n v="795"/>
    <n v="1828.4999999999998"/>
  </r>
  <r>
    <n v="117"/>
    <x v="0"/>
    <x v="9"/>
    <n v="61948"/>
    <n v="45340"/>
    <s v="Knnd Associates Pvt Ltd"/>
    <s v="Yenepoya University Mangalore"/>
    <s v="Spiral Oval Coupling"/>
    <x v="18"/>
    <s v="Sqmt"/>
    <n v="2.2000000000000002"/>
    <n v="905"/>
    <n v="1991.0000000000002"/>
  </r>
  <r>
    <n v="118"/>
    <x v="0"/>
    <x v="9"/>
    <n v="61948"/>
    <n v="45340"/>
    <s v="Knnd Associates Pvt Ltd"/>
    <s v="Yenepoya University Mangalore"/>
    <s v="Insulation"/>
    <x v="26"/>
    <s v="Sqmt"/>
    <n v="59.3"/>
    <n v="255"/>
    <n v="15121.5"/>
  </r>
  <r>
    <n v="119"/>
    <x v="0"/>
    <x v="10"/>
    <n v="61859"/>
    <n v="45341"/>
    <s v="Knnd Associates Pvt Ltd"/>
    <s v="MSR Tech Park Bangalore"/>
    <s v="Gasket"/>
    <x v="25"/>
    <s v="Rmt"/>
    <n v="500"/>
    <n v="5"/>
    <n v="2500"/>
  </r>
  <r>
    <n v="120"/>
    <x v="0"/>
    <x v="10"/>
    <n v="61930"/>
    <n v="45342"/>
    <s v="Knnd Associates Pvt Ltd"/>
    <s v="Blackstone COE India Pvt Ltd Bangalore"/>
    <s v="Box Duct with TDF"/>
    <x v="0"/>
    <s v="Sqmt"/>
    <n v="461.6"/>
    <n v="585"/>
    <n v="270036"/>
  </r>
  <r>
    <n v="121"/>
    <x v="0"/>
    <x v="10"/>
    <n v="61930"/>
    <n v="45342"/>
    <s v="Knnd Associates Pvt Ltd"/>
    <s v="Blackstone COE India Pvt Ltd Bangalore"/>
    <s v="Box Duct with TDF"/>
    <x v="1"/>
    <s v="Sqmt"/>
    <n v="150.69999999999999"/>
    <n v="790"/>
    <n v="119052.99999999999"/>
  </r>
  <r>
    <n v="122"/>
    <x v="0"/>
    <x v="10"/>
    <n v="61930"/>
    <n v="45342"/>
    <s v="Knnd Associates Pvt Ltd"/>
    <s v="Blackstone COE India Pvt Ltd Bangalore"/>
    <s v="Box Duct with TDF"/>
    <x v="7"/>
    <s v="Sqmt"/>
    <n v="3.7"/>
    <n v="915"/>
    <n v="3385.5"/>
  </r>
  <r>
    <n v="123"/>
    <x v="0"/>
    <x v="10"/>
    <n v="61930"/>
    <n v="45342"/>
    <s v="Knnd Associates Pvt Ltd"/>
    <s v="Blackstone COE India Pvt Ltd Bangalore"/>
    <s v="Insulation"/>
    <x v="2"/>
    <s v="Sqmt"/>
    <n v="379.4"/>
    <n v="289"/>
    <n v="109646.59999999999"/>
  </r>
  <r>
    <n v="124"/>
    <x v="0"/>
    <x v="10"/>
    <n v="61930"/>
    <n v="45342"/>
    <s v="Knnd Associates Pvt Ltd"/>
    <s v="Blackstone COE India Pvt Ltd Bangalore"/>
    <s v="Insulation"/>
    <x v="3"/>
    <s v="Sqmt"/>
    <n v="68.2"/>
    <n v="805"/>
    <n v="54901"/>
  </r>
  <r>
    <n v="125"/>
    <x v="0"/>
    <x v="10"/>
    <n v="61930"/>
    <n v="45342"/>
    <s v="Knnd Associates Pvt Ltd"/>
    <s v="Blackstone COE India Pvt Ltd Bangalore"/>
    <s v="Insulation"/>
    <x v="4"/>
    <s v="Sqmt"/>
    <n v="76.599999999999994"/>
    <n v="1271"/>
    <n v="97358.599999999991"/>
  </r>
  <r>
    <n v="126"/>
    <x v="0"/>
    <x v="10"/>
    <n v="61930"/>
    <n v="45342"/>
    <s v="Knnd Associates Pvt Ltd"/>
    <s v="Blackstone COE India Pvt Ltd Bangalore"/>
    <s v="Stretch Film"/>
    <x v="5"/>
    <s v="Sqmt"/>
    <n v="460"/>
    <n v="15"/>
    <n v="6900"/>
  </r>
  <r>
    <n v="127"/>
    <x v="0"/>
    <x v="11"/>
    <n v="61949"/>
    <n v="45343"/>
    <s v="Knnd Associates Pvt Ltd"/>
    <s v="Miracle Hospital Bangalore"/>
    <s v="Plain Sheet"/>
    <x v="27"/>
    <s v="Sqmt"/>
    <n v="9"/>
    <n v="920"/>
    <n v="8280"/>
  </r>
  <r>
    <n v="128"/>
    <x v="0"/>
    <x v="11"/>
    <n v="61949"/>
    <n v="45343"/>
    <s v="Knnd Associates Pvt Ltd"/>
    <s v="Miracle Hospital Bangalore"/>
    <s v="Plain Sheet"/>
    <x v="0"/>
    <s v="Sqmt"/>
    <n v="12"/>
    <n v="454"/>
    <n v="5448"/>
  </r>
  <r>
    <n v="129"/>
    <x v="0"/>
    <x v="11"/>
    <n v="61936"/>
    <n v="45344"/>
    <s v="Lakshmi Fabrication"/>
    <s v="Lenovo Project Bangalore"/>
    <s v="Box Duct with TDF"/>
    <x v="7"/>
    <s v="Sqmt"/>
    <n v="15.3"/>
    <n v="915"/>
    <n v="13999.5"/>
  </r>
  <r>
    <n v="130"/>
    <x v="0"/>
    <x v="11"/>
    <n v="61936"/>
    <n v="45344"/>
    <s v="Lakshmi Fabrication"/>
    <s v="Lenovo Project Bangalore"/>
    <s v="Insulation"/>
    <x v="11"/>
    <s v="Sqmt"/>
    <n v="15.3"/>
    <n v="380"/>
    <n v="5814"/>
  </r>
  <r>
    <n v="131"/>
    <x v="0"/>
    <x v="11"/>
    <n v="61936"/>
    <n v="45345"/>
    <s v="Lakshmi Fabrication"/>
    <s v="Lenovo Project Bangalore"/>
    <s v="Box Duct with TDF"/>
    <x v="7"/>
    <s v="Sqmt"/>
    <n v="13.8"/>
    <n v="915"/>
    <n v="12627"/>
  </r>
  <r>
    <n v="132"/>
    <x v="0"/>
    <x v="11"/>
    <n v="61936"/>
    <n v="45345"/>
    <s v="Lakshmi Fabrication"/>
    <s v="Lenovo Project Bangalore"/>
    <s v="Insulation"/>
    <x v="11"/>
    <s v="Sqmt"/>
    <n v="13.8"/>
    <n v="380"/>
    <n v="5244"/>
  </r>
  <r>
    <n v="133"/>
    <x v="0"/>
    <x v="12"/>
    <n v="61951"/>
    <n v="45346"/>
    <s v="Knnd Associates Pvt Ltd"/>
    <s v="BDR Hospital Pune"/>
    <s v="Box Duct with TDF"/>
    <x v="0"/>
    <s v="Sqmt"/>
    <n v="110.1"/>
    <n v="670"/>
    <n v="73767"/>
  </r>
  <r>
    <n v="134"/>
    <x v="0"/>
    <x v="12"/>
    <n v="61951"/>
    <n v="45346"/>
    <s v="Knnd Associates Pvt Ltd"/>
    <s v="BDR Hospital Pune"/>
    <s v="Box Duct with TDF"/>
    <x v="1"/>
    <s v="Sqmt"/>
    <n v="28.8"/>
    <n v="868"/>
    <n v="24998.400000000001"/>
  </r>
  <r>
    <n v="135"/>
    <x v="0"/>
    <x v="12"/>
    <n v="61951"/>
    <n v="45346"/>
    <s v="Knnd Associates Pvt Ltd"/>
    <s v="BDR Hospital Pune"/>
    <s v="Insulation"/>
    <x v="28"/>
    <s v="Sqmt"/>
    <n v="1.5"/>
    <n v="820"/>
    <n v="1230"/>
  </r>
  <r>
    <n v="136"/>
    <x v="0"/>
    <x v="12"/>
    <n v="61951"/>
    <n v="45346"/>
    <s v="Knnd Associates Pvt Ltd"/>
    <s v="BDR Hospital Pune"/>
    <s v="Insulation"/>
    <x v="29"/>
    <s v="Sqmt"/>
    <n v="106.4"/>
    <n v="507"/>
    <n v="53944.800000000003"/>
  </r>
  <r>
    <n v="137"/>
    <x v="0"/>
    <x v="12"/>
    <n v="61951"/>
    <n v="45346"/>
    <s v="Knnd Associates Pvt Ltd"/>
    <s v="BDR Hospital Pune"/>
    <s v="Insulation Flange"/>
    <x v="29"/>
    <s v="Sqmt"/>
    <n v="20"/>
    <n v="360"/>
    <n v="7200"/>
  </r>
  <r>
    <n v="138"/>
    <x v="0"/>
    <x v="12"/>
    <n v="61951"/>
    <n v="45346"/>
    <s v="Knnd Associates Pvt Ltd"/>
    <s v="BDR Hospital Pune"/>
    <s v="Stretch Film"/>
    <x v="5"/>
    <s v="Sqmt"/>
    <n v="110"/>
    <n v="15"/>
    <n v="1650"/>
  </r>
  <r>
    <n v="139"/>
    <x v="0"/>
    <x v="12"/>
    <n v="61952"/>
    <n v="45347"/>
    <s v="Aircon Ref Pvt Ltd"/>
    <s v="RV College Bangalore"/>
    <s v="Box Duct with TDF"/>
    <x v="0"/>
    <s v="Sqmt"/>
    <n v="112.4"/>
    <n v="620"/>
    <n v="69688"/>
  </r>
  <r>
    <n v="140"/>
    <x v="0"/>
    <x v="12"/>
    <n v="61952"/>
    <n v="45347"/>
    <s v="Aircon Ref Pvt Ltd"/>
    <s v="RV College Bangalore"/>
    <s v="Box Duct with TDF"/>
    <x v="1"/>
    <s v="Sqmt"/>
    <n v="31.7"/>
    <n v="800"/>
    <n v="25360"/>
  </r>
  <r>
    <n v="141"/>
    <x v="0"/>
    <x v="13"/>
    <n v="61768"/>
    <n v="45348"/>
    <s v="Camduct India Pvt Ltd-Haryana"/>
    <s v="Camduct India Pvt Ltd-Haryana Branch"/>
    <s v="Stock Transfer"/>
    <x v="19"/>
    <s v="Nos"/>
    <n v="10"/>
    <n v="900"/>
    <n v="9000"/>
  </r>
  <r>
    <n v="142"/>
    <x v="0"/>
    <x v="13"/>
    <n v="61768"/>
    <n v="45348"/>
    <s v="Camduct India Pvt Ltd-Haryana"/>
    <s v="Camduct India Pvt Ltd-Haryana Branch"/>
    <s v="Stock Transfer"/>
    <x v="20"/>
    <s v="Nos"/>
    <n v="10"/>
    <n v="664.2"/>
    <n v="6642"/>
  </r>
  <r>
    <n v="143"/>
    <x v="0"/>
    <x v="13"/>
    <n v="61768"/>
    <n v="45348"/>
    <s v="Camduct India Pvt Ltd-Haryana"/>
    <s v="Camduct India Pvt Ltd-Haryana Branch"/>
    <s v="Stock Transfer"/>
    <x v="30"/>
    <s v="Set"/>
    <n v="1"/>
    <n v="895"/>
    <n v="895"/>
  </r>
  <r>
    <n v="144"/>
    <x v="0"/>
    <x v="13"/>
    <n v="61768"/>
    <n v="45348"/>
    <s v="Camduct India Pvt Ltd-Haryana"/>
    <s v="Camduct India Pvt Ltd-Haryana Branch"/>
    <s v="Stock Transfer"/>
    <x v="31"/>
    <s v="Set"/>
    <n v="1"/>
    <n v="355"/>
    <n v="355"/>
  </r>
  <r>
    <n v="145"/>
    <x v="0"/>
    <x v="13"/>
    <n v="61768"/>
    <n v="45348"/>
    <s v="Camduct India Pvt Ltd-Haryana"/>
    <s v="Camduct India Pvt Ltd-Haryana Branch"/>
    <s v="Stock Transfer"/>
    <x v="32"/>
    <s v="Set"/>
    <n v="1"/>
    <n v="636"/>
    <n v="636"/>
  </r>
  <r>
    <n v="146"/>
    <x v="0"/>
    <x v="13"/>
    <n v="61768"/>
    <n v="45348"/>
    <s v="Camduct India Pvt Ltd-Haryana"/>
    <s v="Camduct India Pvt Ltd-Haryana Branch"/>
    <s v="Stock Transfer"/>
    <x v="33"/>
    <s v="Set"/>
    <n v="1"/>
    <n v="699"/>
    <n v="699"/>
  </r>
  <r>
    <n v="147"/>
    <x v="0"/>
    <x v="13"/>
    <n v="61768"/>
    <n v="45348"/>
    <s v="Camduct India Pvt Ltd-Haryana"/>
    <s v="Camduct India Pvt Ltd-Haryana Branch"/>
    <s v="Stock Transfer"/>
    <x v="34"/>
    <s v="Nos"/>
    <n v="2"/>
    <n v="690"/>
    <n v="1380"/>
  </r>
  <r>
    <n v="148"/>
    <x v="0"/>
    <x v="13"/>
    <n v="61768"/>
    <n v="45348"/>
    <s v="Camduct India Pvt Ltd-Haryana"/>
    <s v="Camduct India Pvt Ltd-Haryana Branch"/>
    <s v="Stock Transfer"/>
    <x v="35"/>
    <s v="Nos"/>
    <n v="2"/>
    <n v="177"/>
    <n v="354"/>
  </r>
  <r>
    <n v="149"/>
    <x v="0"/>
    <x v="13"/>
    <n v="61768"/>
    <n v="45348"/>
    <s v="Camduct India Pvt Ltd-Haryana"/>
    <s v="Camduct India Pvt Ltd-Haryana Branch"/>
    <s v="Stock Transfer"/>
    <x v="36"/>
    <s v="Nos"/>
    <n v="10"/>
    <n v="250"/>
    <n v="2500"/>
  </r>
  <r>
    <n v="150"/>
    <x v="0"/>
    <x v="13"/>
    <n v="61768"/>
    <n v="45348"/>
    <s v="Camduct India Pvt Ltd-Haryana"/>
    <s v="Camduct India Pvt Ltd-Haryana Branch"/>
    <s v="Stock Transfer"/>
    <x v="37"/>
    <s v="Nos"/>
    <n v="5"/>
    <n v="200"/>
    <n v="1000"/>
  </r>
  <r>
    <n v="151"/>
    <x v="0"/>
    <x v="13"/>
    <n v="61768"/>
    <n v="45348"/>
    <s v="Camduct India Pvt Ltd-Haryana"/>
    <s v="Camduct India Pvt Ltd-Haryana Branch"/>
    <s v="Stock Transfer"/>
    <x v="38"/>
    <s v="Nos"/>
    <n v="2"/>
    <n v="1175"/>
    <n v="2350"/>
  </r>
  <r>
    <n v="152"/>
    <x v="0"/>
    <x v="13"/>
    <n v="61768"/>
    <n v="45348"/>
    <s v="Camduct India Pvt Ltd-Haryana"/>
    <s v="Camduct India Pvt Ltd-Haryana Branch"/>
    <s v="Stock Transfer"/>
    <x v="39"/>
    <s v="Nos"/>
    <n v="2"/>
    <n v="1980"/>
    <n v="3960"/>
  </r>
  <r>
    <n v="153"/>
    <x v="0"/>
    <x v="13"/>
    <n v="61768"/>
    <n v="45348"/>
    <s v="Camduct India Pvt Ltd-Haryana"/>
    <s v="Camduct India Pvt Ltd-Haryana Branch"/>
    <s v="Stock Transfer"/>
    <x v="40"/>
    <s v="Nos"/>
    <n v="2"/>
    <n v="1722"/>
    <n v="3444"/>
  </r>
  <r>
    <n v="154"/>
    <x v="0"/>
    <x v="13"/>
    <n v="61768"/>
    <n v="45348"/>
    <s v="Camduct India Pvt Ltd-Haryana"/>
    <s v="Camduct India Pvt Ltd-Haryana Branch"/>
    <s v="Stock Transfer"/>
    <x v="41"/>
    <s v="Nos"/>
    <n v="2"/>
    <n v="3570"/>
    <n v="7140"/>
  </r>
  <r>
    <n v="155"/>
    <x v="0"/>
    <x v="13"/>
    <n v="61768"/>
    <n v="45348"/>
    <s v="Camduct India Pvt Ltd-Haryana"/>
    <s v="Camduct India Pvt Ltd-Haryana Branch"/>
    <s v="Stock Transfer"/>
    <x v="42"/>
    <s v="Nos"/>
    <n v="200"/>
    <n v="3.5"/>
    <n v="700"/>
  </r>
  <r>
    <n v="156"/>
    <x v="0"/>
    <x v="13"/>
    <n v="61768"/>
    <n v="45348"/>
    <s v="Camduct India Pvt Ltd-Haryana"/>
    <s v="Camduct India Pvt Ltd-Haryana Branch"/>
    <s v="Stock Transfer"/>
    <x v="43"/>
    <s v="Nos"/>
    <n v="1"/>
    <n v="50500"/>
    <n v="50500"/>
  </r>
  <r>
    <n v="157"/>
    <x v="0"/>
    <x v="13"/>
    <n v="61768"/>
    <n v="45348"/>
    <s v="Camduct India Pvt Ltd-Haryana"/>
    <s v="Camduct India Pvt Ltd-Haryana Branch"/>
    <s v="Stock Transfer"/>
    <x v="44"/>
    <s v="Kg"/>
    <n v="30"/>
    <n v="72"/>
    <n v="2160"/>
  </r>
  <r>
    <n v="158"/>
    <x v="0"/>
    <x v="13"/>
    <n v="61768"/>
    <n v="45349"/>
    <s v="Camduct India Pvt Ltd-Haryana"/>
    <s v="Camduct India Pvt Ltd-Haryana Branch"/>
    <s v="Stock Transfer"/>
    <x v="45"/>
    <s v="Sqmt"/>
    <n v="96"/>
    <n v="448"/>
    <n v="43008"/>
  </r>
  <r>
    <n v="159"/>
    <x v="0"/>
    <x v="14"/>
    <n v="61930"/>
    <n v="45350"/>
    <s v="Knnd Associates Pvt Ltd"/>
    <s v="Blackstone COE India Pvt Ltd Bangalore"/>
    <s v="Box Duct with TDF"/>
    <x v="0"/>
    <s v="Sqmt"/>
    <n v="141.9"/>
    <n v="585"/>
    <n v="83011.5"/>
  </r>
  <r>
    <n v="160"/>
    <x v="0"/>
    <x v="14"/>
    <n v="61930"/>
    <n v="45350"/>
    <s v="Knnd Associates Pvt Ltd"/>
    <s v="Blackstone COE India Pvt Ltd Bangalore"/>
    <s v="Box Duct with TDF"/>
    <x v="1"/>
    <s v="Sqmt"/>
    <n v="106"/>
    <n v="790"/>
    <n v="83740"/>
  </r>
  <r>
    <n v="161"/>
    <x v="0"/>
    <x v="14"/>
    <n v="61930"/>
    <n v="45350"/>
    <s v="Knnd Associates Pvt Ltd"/>
    <s v="Blackstone COE India Pvt Ltd Bangalore"/>
    <s v="Box Duct with TDF"/>
    <x v="7"/>
    <s v="Sqmt"/>
    <n v="9.6999999999999993"/>
    <n v="915"/>
    <n v="8875.5"/>
  </r>
  <r>
    <n v="162"/>
    <x v="0"/>
    <x v="14"/>
    <n v="61930"/>
    <n v="45350"/>
    <s v="Knnd Associates Pvt Ltd"/>
    <s v="Blackstone COE India Pvt Ltd Bangalore"/>
    <s v="Insulation"/>
    <x v="2"/>
    <s v="Sqmt"/>
    <n v="123.3"/>
    <n v="289"/>
    <n v="35633.699999999997"/>
  </r>
  <r>
    <n v="163"/>
    <x v="0"/>
    <x v="14"/>
    <n v="61930"/>
    <n v="45350"/>
    <s v="Knnd Associates Pvt Ltd"/>
    <s v="Blackstone COE India Pvt Ltd Bangalore"/>
    <s v="Insulation"/>
    <x v="3"/>
    <s v="Sqmt"/>
    <n v="259.68385000000001"/>
    <n v="805"/>
    <n v="209045.49924999999"/>
  </r>
  <r>
    <n v="164"/>
    <x v="0"/>
    <x v="14"/>
    <n v="61930"/>
    <n v="45350"/>
    <s v="Knnd Associates Pvt Ltd"/>
    <s v="Blackstone COE India Pvt Ltd Bangalore"/>
    <s v="Insulation"/>
    <x v="4"/>
    <s v="Sqmt"/>
    <n v="82.2"/>
    <n v="1271"/>
    <n v="104476.2"/>
  </r>
  <r>
    <n v="165"/>
    <x v="0"/>
    <x v="14"/>
    <n v="61930"/>
    <n v="45350"/>
    <s v="Knnd Associates Pvt Ltd"/>
    <s v="Blackstone COE India Pvt Ltd Bangalore"/>
    <s v="CTS (250x250)"/>
    <x v="1"/>
    <s v="Sqmt"/>
    <n v="21"/>
    <n v="975"/>
    <n v="20475"/>
  </r>
  <r>
    <n v="166"/>
    <x v="0"/>
    <x v="14"/>
    <n v="61930"/>
    <n v="45350"/>
    <s v="Knnd Associates Pvt Ltd"/>
    <s v="Blackstone COE India Pvt Ltd Bangalore"/>
    <s v="CTS (450x250)"/>
    <x v="1"/>
    <s v="Sqmt"/>
    <n v="59"/>
    <n v="3425"/>
    <n v="202075"/>
  </r>
  <r>
    <n v="167"/>
    <x v="0"/>
    <x v="14"/>
    <n v="61930"/>
    <n v="45350"/>
    <s v="Knnd Associates Pvt Ltd"/>
    <s v="Blackstone COE India Pvt Ltd Bangalore"/>
    <s v="Stretch Film"/>
    <x v="5"/>
    <s v="Sqmt"/>
    <n v="230"/>
    <n v="15"/>
    <n v="3450"/>
  </r>
  <r>
    <n v="168"/>
    <x v="0"/>
    <x v="15"/>
    <n v="61950"/>
    <n v="45351"/>
    <s v="Knnd Associates Pvt Ltd"/>
    <s v="Loyala ITI College Bangalore"/>
    <s v="Box Duct with TDF"/>
    <x v="0"/>
    <s v="Sqmt"/>
    <n v="11.8"/>
    <n v="618"/>
    <n v="7292.4000000000005"/>
  </r>
  <r>
    <n v="169"/>
    <x v="0"/>
    <x v="15"/>
    <n v="61950"/>
    <n v="45351"/>
    <s v="Knnd Associates Pvt Ltd"/>
    <s v="Loyala ITI College Bangalore"/>
    <s v="Box Duct with TDF"/>
    <x v="1"/>
    <s v="Sqmt"/>
    <n v="8.9"/>
    <n v="799"/>
    <n v="7111.1"/>
  </r>
  <r>
    <n v="170"/>
    <x v="0"/>
    <x v="15"/>
    <n v="61950"/>
    <n v="45351"/>
    <s v="Knnd Associates Pvt Ltd"/>
    <s v="Loyala ITI College Bangalore"/>
    <s v="Spiral Oval Duct"/>
    <x v="9"/>
    <s v="Sqmt"/>
    <n v="6.4"/>
    <n v="660"/>
    <n v="4224"/>
  </r>
  <r>
    <n v="171"/>
    <x v="0"/>
    <x v="15"/>
    <n v="61950"/>
    <n v="45351"/>
    <s v="Knnd Associates Pvt Ltd"/>
    <s v="Loyala ITI College Bangalore"/>
    <s v="Spiral Oval Coupling"/>
    <x v="10"/>
    <s v="Sqmt"/>
    <n v="0.3"/>
    <n v="707"/>
    <n v="212.1"/>
  </r>
  <r>
    <n v="172"/>
    <x v="0"/>
    <x v="15"/>
    <n v="61950"/>
    <n v="45351"/>
    <s v="Knnd Associates Pvt Ltd"/>
    <s v="Loyala ITI College Bangalore"/>
    <s v="Round Flange 760mm Dia"/>
    <x v="7"/>
    <s v="Nos"/>
    <n v="6"/>
    <n v="975"/>
    <n v="5850"/>
  </r>
  <r>
    <n v="173"/>
    <x v="0"/>
    <x v="15"/>
    <n v="61950"/>
    <n v="45351"/>
    <s v="Knnd Associates Pvt Ltd"/>
    <s v="Loyala ITI College Bangalore"/>
    <s v="Spigot 200mm Dia"/>
    <x v="1"/>
    <s v="Nos"/>
    <n v="1"/>
    <n v="400"/>
    <n v="400"/>
  </r>
  <r>
    <n v="174"/>
    <x v="0"/>
    <x v="15"/>
    <n v="61950"/>
    <n v="45351"/>
    <s v="Knnd Associates Pvt Ltd"/>
    <s v="Loyala ITI College Bangalore"/>
    <s v="Spiral VCD"/>
    <x v="7"/>
    <s v="Sqmt"/>
    <n v="0.4"/>
    <n v="3450"/>
    <n v="1380"/>
  </r>
  <r>
    <n v="175"/>
    <x v="0"/>
    <x v="15"/>
    <n v="61950"/>
    <n v="45351"/>
    <s v="Knnd Associates Pvt Ltd"/>
    <s v="Loyala ITI College Bangalore"/>
    <s v="VCD (Alu. Blade)"/>
    <x v="7"/>
    <s v="Sqmt"/>
    <n v="0.2"/>
    <n v="4950"/>
    <n v="990"/>
  </r>
  <r>
    <n v="176"/>
    <x v="0"/>
    <x v="15"/>
    <n v="61950"/>
    <n v="45351"/>
    <s v="Knnd Associates Pvt Ltd"/>
    <s v="Loyala ITI College Bangalore"/>
    <s v="Plain Sheet"/>
    <x v="0"/>
    <s v="Sqmt"/>
    <n v="6"/>
    <n v="495"/>
    <n v="2970"/>
  </r>
  <r>
    <n v="177"/>
    <x v="0"/>
    <x v="15"/>
    <n v="61950"/>
    <n v="45351"/>
    <s v="Knnd Associates Pvt Ltd"/>
    <s v="Loyala ITI College Bangalore"/>
    <s v="Insulation"/>
    <x v="26"/>
    <s v="Sqmt"/>
    <n v="17.600000000000001"/>
    <n v="255"/>
    <n v="4488"/>
  </r>
  <r>
    <n v="178"/>
    <x v="0"/>
    <x v="15"/>
    <n v="61930"/>
    <n v="45352"/>
    <s v="Knnd Associates Pvt Ltd"/>
    <s v="Blackstone COE India Pvt Ltd Bangalore"/>
    <s v="Box Duct with TDF"/>
    <x v="0"/>
    <s v="Sqmt"/>
    <n v="332.4"/>
    <n v="585"/>
    <n v="194454"/>
  </r>
  <r>
    <n v="179"/>
    <x v="0"/>
    <x v="15"/>
    <n v="61930"/>
    <n v="45352"/>
    <s v="Knnd Associates Pvt Ltd"/>
    <s v="Blackstone COE India Pvt Ltd Bangalore"/>
    <s v="Box Duct with TDF"/>
    <x v="1"/>
    <s v="Sqmt"/>
    <n v="56.3"/>
    <n v="790"/>
    <n v="44477"/>
  </r>
  <r>
    <n v="180"/>
    <x v="0"/>
    <x v="15"/>
    <n v="61930"/>
    <n v="45352"/>
    <s v="Knnd Associates Pvt Ltd"/>
    <s v="Blackstone COE India Pvt Ltd Bangalore"/>
    <s v="Box Duct with TDF"/>
    <x v="7"/>
    <s v="Sqmt"/>
    <n v="41.4"/>
    <n v="915"/>
    <n v="37881"/>
  </r>
  <r>
    <n v="181"/>
    <x v="0"/>
    <x v="15"/>
    <n v="61930"/>
    <n v="45352"/>
    <s v="Knnd Associates Pvt Ltd"/>
    <s v="Blackstone COE India Pvt Ltd Bangalore"/>
    <s v="Insulation"/>
    <x v="2"/>
    <s v="Sqmt"/>
    <n v="321.89999999999998"/>
    <n v="289"/>
    <n v="93029.099999999991"/>
  </r>
  <r>
    <n v="182"/>
    <x v="0"/>
    <x v="15"/>
    <n v="61930"/>
    <n v="45352"/>
    <s v="Knnd Associates Pvt Ltd"/>
    <s v="Blackstone COE India Pvt Ltd Bangalore"/>
    <s v="Insulation"/>
    <x v="3"/>
    <s v="Sqmt"/>
    <n v="132.59200000000001"/>
    <n v="805"/>
    <n v="106736.56000000001"/>
  </r>
  <r>
    <n v="183"/>
    <x v="0"/>
    <x v="15"/>
    <n v="61930"/>
    <n v="45352"/>
    <s v="Knnd Associates Pvt Ltd"/>
    <s v="Blackstone COE India Pvt Ltd Bangalore"/>
    <s v="Insulation"/>
    <x v="4"/>
    <s v="Sqmt"/>
    <n v="83.4"/>
    <n v="1271"/>
    <n v="106001.40000000001"/>
  </r>
  <r>
    <n v="184"/>
    <x v="0"/>
    <x v="15"/>
    <n v="61930"/>
    <n v="45352"/>
    <s v="Knnd Associates Pvt Ltd"/>
    <s v="Blackstone COE India Pvt Ltd Bangalore"/>
    <s v="CTS (250x250)"/>
    <x v="1"/>
    <s v="Sqmt"/>
    <n v="3"/>
    <n v="975"/>
    <n v="2925"/>
  </r>
  <r>
    <n v="185"/>
    <x v="0"/>
    <x v="15"/>
    <n v="61930"/>
    <n v="45352"/>
    <s v="Knnd Associates Pvt Ltd"/>
    <s v="Blackstone COE India Pvt Ltd Bangalore"/>
    <s v="CTS (450x250)"/>
    <x v="1"/>
    <s v="Sqmt"/>
    <n v="33"/>
    <n v="3425"/>
    <n v="113025"/>
  </r>
  <r>
    <n v="186"/>
    <x v="0"/>
    <x v="15"/>
    <n v="61930"/>
    <n v="45352"/>
    <s v="Knnd Associates Pvt Ltd"/>
    <s v="Blackstone COE India Pvt Ltd Bangalore"/>
    <s v="Stretch Film"/>
    <x v="5"/>
    <s v="Sqmt"/>
    <n v="420"/>
    <n v="15"/>
    <n v="6300"/>
  </r>
  <r>
    <n v="187"/>
    <x v="0"/>
    <x v="16"/>
    <n v="61953"/>
    <n v="45353"/>
    <s v="Taj Steels "/>
    <s v="Taj Steels"/>
    <s v="Alluminium Scrap"/>
    <x v="46"/>
    <s v="Kg"/>
    <n v="420"/>
    <n v="250"/>
    <n v="105000"/>
  </r>
  <r>
    <n v="188"/>
    <x v="0"/>
    <x v="17"/>
    <n v="61930"/>
    <n v="45354"/>
    <s v="Knnd Associates Pvt Ltd"/>
    <s v="Blackstone COE India Pvt Ltd Bangalore"/>
    <s v="Box Duct with TDF"/>
    <x v="0"/>
    <s v="Sqmt"/>
    <n v="445.2"/>
    <n v="585"/>
    <n v="260442"/>
  </r>
  <r>
    <n v="189"/>
    <x v="0"/>
    <x v="17"/>
    <n v="61930"/>
    <n v="45354"/>
    <s v="Knnd Associates Pvt Ltd"/>
    <s v="Blackstone COE India Pvt Ltd Bangalore"/>
    <s v="Box Duct with TDF"/>
    <x v="1"/>
    <s v="Sqmt"/>
    <n v="158.19999999999999"/>
    <n v="790"/>
    <n v="124977.99999999999"/>
  </r>
  <r>
    <n v="190"/>
    <x v="0"/>
    <x v="17"/>
    <n v="61930"/>
    <n v="45354"/>
    <s v="Knnd Associates Pvt Ltd"/>
    <s v="Blackstone COE India Pvt Ltd Bangalore"/>
    <s v="Box Duct with TDF"/>
    <x v="7"/>
    <s v="Sqmt"/>
    <n v="6.6"/>
    <n v="915"/>
    <n v="6039"/>
  </r>
  <r>
    <n v="191"/>
    <x v="0"/>
    <x v="17"/>
    <n v="61930"/>
    <n v="45354"/>
    <s v="Knnd Associates Pvt Ltd"/>
    <s v="Blackstone COE India Pvt Ltd Bangalore"/>
    <s v="Insulation"/>
    <x v="2"/>
    <s v="Sqmt"/>
    <n v="426.2"/>
    <n v="289"/>
    <n v="123171.8"/>
  </r>
  <r>
    <n v="192"/>
    <x v="0"/>
    <x v="17"/>
    <n v="61930"/>
    <n v="45354"/>
    <s v="Knnd Associates Pvt Ltd"/>
    <s v="Blackstone COE India Pvt Ltd Bangalore"/>
    <s v="Insulation"/>
    <x v="3"/>
    <s v="Sqmt"/>
    <n v="42.5"/>
    <n v="805"/>
    <n v="34212.5"/>
  </r>
  <r>
    <n v="193"/>
    <x v="0"/>
    <x v="17"/>
    <n v="61930"/>
    <n v="45354"/>
    <s v="Knnd Associates Pvt Ltd"/>
    <s v="Blackstone COE India Pvt Ltd Bangalore"/>
    <s v="Insulation"/>
    <x v="4"/>
    <s v="Sqmt"/>
    <n v="52.7"/>
    <n v="1271"/>
    <n v="66981.7"/>
  </r>
  <r>
    <n v="194"/>
    <x v="0"/>
    <x v="17"/>
    <n v="61930"/>
    <n v="45354"/>
    <s v="Knnd Associates Pvt Ltd"/>
    <s v="Blackstone COE India Pvt Ltd Bangalore"/>
    <s v="Stretch Film"/>
    <x v="5"/>
    <s v="Sqmt"/>
    <n v="520"/>
    <n v="15"/>
    <n v="7800"/>
  </r>
  <r>
    <n v="195"/>
    <x v="0"/>
    <x v="17"/>
    <n v="61768"/>
    <n v="45355"/>
    <s v="Camduct India Pvt Ltd-Haryana"/>
    <s v="Camduct India Pvt Ltd-Haryana Branch"/>
    <s v="Stock Transfer"/>
    <x v="47"/>
    <s v="Nos"/>
    <n v="10000"/>
    <n v="7.5"/>
    <n v="75000"/>
  </r>
  <r>
    <n v="196"/>
    <x v="0"/>
    <x v="18"/>
    <n v="61930"/>
    <n v="45356"/>
    <s v="Knnd Associates Pvt Ltd"/>
    <s v="Blackstone COE India Pvt Ltd Bangalore"/>
    <s v="Box Duct with TDF"/>
    <x v="0"/>
    <s v="Sqmt"/>
    <n v="212.9"/>
    <n v="585"/>
    <n v="124546.5"/>
  </r>
  <r>
    <n v="197"/>
    <x v="0"/>
    <x v="18"/>
    <n v="61930"/>
    <n v="45356"/>
    <s v="Knnd Associates Pvt Ltd"/>
    <s v="Blackstone COE India Pvt Ltd Bangalore"/>
    <s v="Box Duct with TDF"/>
    <x v="1"/>
    <s v="Sqmt"/>
    <n v="97.8"/>
    <n v="790"/>
    <n v="77262"/>
  </r>
  <r>
    <n v="198"/>
    <x v="0"/>
    <x v="18"/>
    <n v="61930"/>
    <n v="45356"/>
    <s v="Knnd Associates Pvt Ltd"/>
    <s v="Blackstone COE India Pvt Ltd Bangalore"/>
    <s v="Box Duct with TDF"/>
    <x v="7"/>
    <s v="Sqmt"/>
    <n v="14.3"/>
    <n v="915"/>
    <n v="13084.5"/>
  </r>
  <r>
    <n v="199"/>
    <x v="0"/>
    <x v="18"/>
    <n v="61930"/>
    <n v="45356"/>
    <s v="Knnd Associates Pvt Ltd"/>
    <s v="Blackstone COE India Pvt Ltd Bangalore"/>
    <s v="Insulation"/>
    <x v="2"/>
    <s v="Sqmt"/>
    <n v="55.6"/>
    <n v="289"/>
    <n v="16068.4"/>
  </r>
  <r>
    <n v="200"/>
    <x v="0"/>
    <x v="18"/>
    <n v="61930"/>
    <n v="45356"/>
    <s v="Knnd Associates Pvt Ltd"/>
    <s v="Blackstone COE India Pvt Ltd Bangalore"/>
    <s v="Insulation"/>
    <x v="3"/>
    <s v="Sqmt"/>
    <n v="271.55031055999996"/>
    <n v="805"/>
    <n v="218598.00000079998"/>
  </r>
  <r>
    <n v="201"/>
    <x v="0"/>
    <x v="18"/>
    <n v="61930"/>
    <n v="45356"/>
    <s v="Knnd Associates Pvt Ltd"/>
    <s v="Blackstone COE India Pvt Ltd Bangalore"/>
    <s v="Insulation"/>
    <x v="4"/>
    <s v="Sqmt"/>
    <n v="108.2"/>
    <n v="1271"/>
    <n v="137522.20000000001"/>
  </r>
  <r>
    <n v="202"/>
    <x v="0"/>
    <x v="18"/>
    <n v="61930"/>
    <n v="45356"/>
    <s v="Knnd Associates Pvt Ltd"/>
    <s v="Blackstone COE India Pvt Ltd Bangalore"/>
    <s v="CTS (250x250)"/>
    <x v="1"/>
    <s v="Sqmt"/>
    <n v="16"/>
    <n v="975"/>
    <n v="15600"/>
  </r>
  <r>
    <n v="203"/>
    <x v="0"/>
    <x v="18"/>
    <n v="61930"/>
    <n v="45356"/>
    <s v="Knnd Associates Pvt Ltd"/>
    <s v="Blackstone COE India Pvt Ltd Bangalore"/>
    <s v="CTS (450x250)"/>
    <x v="1"/>
    <s v="Sqmt"/>
    <n v="43"/>
    <n v="3425"/>
    <n v="147275"/>
  </r>
  <r>
    <n v="204"/>
    <x v="0"/>
    <x v="18"/>
    <n v="61930"/>
    <n v="45356"/>
    <s v="Knnd Associates Pvt Ltd"/>
    <s v="Blackstone COE India Pvt Ltd Bangalore"/>
    <s v="Stretch Film"/>
    <x v="5"/>
    <s v="Sqmt"/>
    <n v="140"/>
    <n v="15"/>
    <n v="2100"/>
  </r>
  <r>
    <n v="205"/>
    <x v="0"/>
    <x v="19"/>
    <n v="61954"/>
    <n v="45357"/>
    <s v="Techno Fabricators"/>
    <s v="Route Me Hilte Kozhikode Keralam"/>
    <s v="Spiral Oval Duct"/>
    <x v="9"/>
    <s v="Sqmt"/>
    <n v="122"/>
    <n v="700"/>
    <n v="85400"/>
  </r>
  <r>
    <n v="206"/>
    <x v="0"/>
    <x v="19"/>
    <n v="61954"/>
    <n v="45357"/>
    <s v="Techno Fabricators"/>
    <s v="Route Me Hilte Kozhikode Keralam"/>
    <s v="Spiral Oval Duct"/>
    <x v="10"/>
    <s v="Sqmt"/>
    <n v="86.1"/>
    <n v="820"/>
    <n v="70602"/>
  </r>
  <r>
    <n v="207"/>
    <x v="0"/>
    <x v="19"/>
    <n v="61954"/>
    <n v="45357"/>
    <s v="Techno Fabricators"/>
    <s v="Route Me Hilte Kozhikode Keralam"/>
    <s v="Spiral Oval Coupling"/>
    <x v="18"/>
    <s v="Sqmt"/>
    <n v="4.5"/>
    <n v="910"/>
    <n v="4095"/>
  </r>
  <r>
    <n v="208"/>
    <x v="0"/>
    <x v="19"/>
    <n v="61954"/>
    <n v="45357"/>
    <s v="Techno Fabricators"/>
    <s v="Route Me Hilte Kozhikode Keralam"/>
    <s v="Insulation"/>
    <x v="48"/>
    <s v="Sqmt"/>
    <n v="212.6"/>
    <n v="330"/>
    <n v="70158"/>
  </r>
  <r>
    <n v="209"/>
    <x v="0"/>
    <x v="20"/>
    <n v="61859"/>
    <n v="45358"/>
    <s v="Knnd Associates Pvt Ltd"/>
    <s v="MSR Tech Park Bangalore"/>
    <s v="Box Duct with TDF"/>
    <x v="0"/>
    <s v="Sqmt"/>
    <n v="78.099999999999994"/>
    <n v="545"/>
    <n v="42564.5"/>
  </r>
  <r>
    <n v="210"/>
    <x v="0"/>
    <x v="20"/>
    <n v="61859"/>
    <n v="45358"/>
    <s v="Knnd Associates Pvt Ltd"/>
    <s v="MSR Tech Park Bangalore"/>
    <s v="Box Duct with TDF"/>
    <x v="1"/>
    <s v="Sqmt"/>
    <n v="137.30000000000001"/>
    <n v="705"/>
    <n v="96796.500000000015"/>
  </r>
  <r>
    <n v="211"/>
    <x v="0"/>
    <x v="20"/>
    <n v="61859"/>
    <n v="45358"/>
    <s v="Knnd Associates Pvt Ltd"/>
    <s v="MSR Tech Park Bangalore"/>
    <s v="Box Duct with TDF"/>
    <x v="7"/>
    <s v="Sqmt"/>
    <n v="93.5"/>
    <n v="915"/>
    <n v="85552.5"/>
  </r>
  <r>
    <n v="212"/>
    <x v="0"/>
    <x v="20"/>
    <n v="61955"/>
    <n v="45359"/>
    <s v="Knnd Associates Pvt Ltd"/>
    <s v="MAHE Lecture Hall Campus Bangalore"/>
    <s v="Box Duct with TDF"/>
    <x v="0"/>
    <s v="Sqmt"/>
    <n v="202.8"/>
    <n v="670"/>
    <n v="135876"/>
  </r>
  <r>
    <n v="213"/>
    <x v="0"/>
    <x v="20"/>
    <n v="61955"/>
    <n v="45359"/>
    <s v="Knnd Associates Pvt Ltd"/>
    <s v="MAHE Lecture Hall Campus Bangalore"/>
    <s v="Box Duct with TDF"/>
    <x v="1"/>
    <s v="Sqmt"/>
    <n v="17.5"/>
    <n v="868"/>
    <n v="15190"/>
  </r>
  <r>
    <n v="214"/>
    <x v="0"/>
    <x v="20"/>
    <n v="61955"/>
    <n v="45359"/>
    <s v="Knnd Associates Pvt Ltd"/>
    <s v="MAHE Lecture Hall Campus Bangalore"/>
    <s v="Insulation"/>
    <x v="49"/>
    <s v="Sqmt"/>
    <n v="158.1"/>
    <n v="373"/>
    <n v="58971.299999999996"/>
  </r>
  <r>
    <n v="215"/>
    <x v="0"/>
    <x v="20"/>
    <n v="61955"/>
    <n v="45359"/>
    <s v="Knnd Associates Pvt Ltd"/>
    <s v="MAHE Lecture Hall Campus Bangalore"/>
    <s v="VCD (Alu. Blade)"/>
    <x v="7"/>
    <s v="Sqmt"/>
    <n v="9.6999999999999993"/>
    <n v="5200"/>
    <n v="50439.999999999993"/>
  </r>
  <r>
    <n v="216"/>
    <x v="0"/>
    <x v="20"/>
    <n v="61955"/>
    <n v="45359"/>
    <s v="Knnd Associates Pvt Ltd"/>
    <s v="MAHE Lecture Hall Campus Bangalore"/>
    <s v="Stretch Film"/>
    <x v="5"/>
    <s v="Sqmt"/>
    <n v="170"/>
    <n v="20"/>
    <n v="3400"/>
  </r>
  <r>
    <n v="217"/>
    <x v="0"/>
    <x v="20"/>
    <n v="61954"/>
    <n v="45360"/>
    <s v="Techno Fabricators"/>
    <s v="Manipuram Kerala"/>
    <s v="Spiral Oval Duct"/>
    <x v="9"/>
    <s v="Sqmt"/>
    <n v="79.400000000000006"/>
    <n v="700"/>
    <n v="55580.000000000007"/>
  </r>
  <r>
    <n v="218"/>
    <x v="0"/>
    <x v="20"/>
    <n v="61954"/>
    <n v="45360"/>
    <s v="Techno Fabricators"/>
    <s v="Manipuram Kerala"/>
    <s v="Spiral Oval Duct"/>
    <x v="10"/>
    <s v="Sqmt"/>
    <n v="17.399999999999999"/>
    <n v="820"/>
    <n v="14267.999999999998"/>
  </r>
  <r>
    <n v="219"/>
    <x v="0"/>
    <x v="20"/>
    <n v="61954"/>
    <n v="45360"/>
    <s v="Techno Fabricators"/>
    <s v="Manipuram Kerala"/>
    <s v="Spiral Oval Coupling"/>
    <x v="18"/>
    <s v="Sqmt"/>
    <n v="3.1"/>
    <n v="910"/>
    <n v="2821"/>
  </r>
  <r>
    <n v="220"/>
    <x v="0"/>
    <x v="20"/>
    <n v="61954"/>
    <n v="45360"/>
    <s v="Techno Fabricators"/>
    <s v="Manipuram Kerala"/>
    <s v="Insulation"/>
    <x v="48"/>
    <s v="Sqmt"/>
    <n v="99.9"/>
    <n v="330"/>
    <n v="32967"/>
  </r>
  <r>
    <n v="221"/>
    <x v="1"/>
    <x v="21"/>
    <n v="61956"/>
    <n v="45361"/>
    <s v="Rao &amp; Co HVAC Sales &amp; Services Pvt Ltd"/>
    <s v="Bhagini Hotel Bangalore"/>
    <s v="Box Duct with TDF"/>
    <x v="0"/>
    <s v="Sqmt"/>
    <n v="24.1"/>
    <n v="660"/>
    <n v="15906.000000000002"/>
  </r>
  <r>
    <n v="222"/>
    <x v="1"/>
    <x v="21"/>
    <n v="61956"/>
    <n v="45361"/>
    <s v="Rao &amp; Co HVAC Sales &amp; Services Pvt Ltd"/>
    <s v="Bhagini Hotel Bangalore"/>
    <s v="Spiral Oval Duct"/>
    <x v="9"/>
    <s v="Sqmt"/>
    <n v="16.7"/>
    <n v="710"/>
    <n v="11857"/>
  </r>
  <r>
    <n v="223"/>
    <x v="1"/>
    <x v="21"/>
    <n v="61956"/>
    <n v="45361"/>
    <s v="Rao &amp; Co HVAC Sales &amp; Services Pvt Ltd"/>
    <s v="Bhagini Hotel Bangalore"/>
    <s v="Spiral Oval Coupling"/>
    <x v="18"/>
    <s v="Sqmt"/>
    <n v="0.8"/>
    <n v="1000"/>
    <n v="800"/>
  </r>
  <r>
    <n v="224"/>
    <x v="1"/>
    <x v="21"/>
    <n v="61956"/>
    <n v="45361"/>
    <s v="Rao &amp; Co HVAC Sales &amp; Services Pvt Ltd"/>
    <s v="Bhagini Hotel Bangalore"/>
    <s v="Spiral VCD"/>
    <x v="7"/>
    <s v="Sqmt"/>
    <n v="0.3"/>
    <n v="3795"/>
    <n v="1138.5"/>
  </r>
  <r>
    <n v="225"/>
    <x v="1"/>
    <x v="21"/>
    <n v="61956"/>
    <n v="45361"/>
    <s v="Rao &amp; Co HVAC Sales &amp; Services Pvt Ltd"/>
    <s v="Bhagini Hotel Bangalore"/>
    <s v="VCD (Alu. Blade)"/>
    <x v="7"/>
    <s v="Sqmt"/>
    <n v="0.4"/>
    <n v="5200"/>
    <n v="2080"/>
  </r>
  <r>
    <n v="226"/>
    <x v="1"/>
    <x v="21"/>
    <n v="61956"/>
    <n v="45361"/>
    <s v="Rao &amp; Co HVAC Sales &amp; Services Pvt Ltd"/>
    <s v="Bhagini Hotel Bangalore"/>
    <s v="Insulation"/>
    <x v="12"/>
    <s v="Sqmt"/>
    <n v="5"/>
    <n v="495"/>
    <n v="2475"/>
  </r>
  <r>
    <n v="227"/>
    <x v="1"/>
    <x v="22"/>
    <n v="61957"/>
    <n v="45362"/>
    <s v="Knnd Associates Pvt Ltd"/>
    <s v="MSR Vaishnavi Union Bangalore"/>
    <s v="Box Duct with TDF"/>
    <x v="1"/>
    <s v="Sqmt"/>
    <n v="26.4"/>
    <n v="670"/>
    <n v="17688"/>
  </r>
  <r>
    <n v="228"/>
    <x v="1"/>
    <x v="22"/>
    <n v="61957"/>
    <n v="45362"/>
    <s v="Knnd Associates Pvt Ltd"/>
    <s v="MSR Vaishnavi Union Bangalore"/>
    <s v="Plain Sheet"/>
    <x v="1"/>
    <s v="Sqmt"/>
    <n v="6"/>
    <n v="625"/>
    <n v="3750"/>
  </r>
  <r>
    <n v="229"/>
    <x v="1"/>
    <x v="22"/>
    <n v="61955"/>
    <n v="45363"/>
    <s v="Knnd Associates Pvt Ltd"/>
    <s v="MAHE Lecture Hall Campus Bangalore"/>
    <s v="Box Duct with TDF"/>
    <x v="0"/>
    <s v="Sqmt"/>
    <n v="109.6"/>
    <n v="670"/>
    <n v="73432"/>
  </r>
  <r>
    <n v="230"/>
    <x v="1"/>
    <x v="22"/>
    <n v="61955"/>
    <n v="45363"/>
    <s v="Knnd Associates Pvt Ltd"/>
    <s v="MAHE Lecture Hall Campus Bangalore"/>
    <s v="Box Duct with TDF"/>
    <x v="1"/>
    <s v="Sqmt"/>
    <n v="38.1"/>
    <n v="868"/>
    <n v="33070.800000000003"/>
  </r>
  <r>
    <n v="231"/>
    <x v="1"/>
    <x v="22"/>
    <n v="61955"/>
    <n v="45363"/>
    <s v="Knnd Associates Pvt Ltd"/>
    <s v="MAHE Lecture Hall Campus Bangalore"/>
    <s v="Spiral Oval Duct"/>
    <x v="10"/>
    <s v="Sqmt"/>
    <n v="15.8"/>
    <n v="865"/>
    <n v="13667"/>
  </r>
  <r>
    <n v="232"/>
    <x v="1"/>
    <x v="22"/>
    <n v="61955"/>
    <n v="45363"/>
    <s v="Knnd Associates Pvt Ltd"/>
    <s v="MAHE Lecture Hall Campus Bangalore"/>
    <s v="Spiral Oval Coupling"/>
    <x v="18"/>
    <s v="Sqmt"/>
    <n v="1.8"/>
    <n v="995"/>
    <n v="1791"/>
  </r>
  <r>
    <n v="233"/>
    <x v="1"/>
    <x v="22"/>
    <n v="61955"/>
    <n v="45363"/>
    <s v="Knnd Associates Pvt Ltd"/>
    <s v="MAHE Lecture Hall Campus Bangalore"/>
    <s v="Insulation"/>
    <x v="49"/>
    <s v="Sqmt"/>
    <n v="147"/>
    <n v="373"/>
    <n v="54831"/>
  </r>
  <r>
    <n v="234"/>
    <x v="1"/>
    <x v="22"/>
    <n v="61955"/>
    <n v="45363"/>
    <s v="Knnd Associates Pvt Ltd"/>
    <s v="MAHE Lecture Hall Campus Bangalore"/>
    <s v="Insulation"/>
    <x v="28"/>
    <s v="Sqmt"/>
    <n v="18.3"/>
    <n v="820"/>
    <n v="15006"/>
  </r>
  <r>
    <n v="235"/>
    <x v="1"/>
    <x v="22"/>
    <n v="61955"/>
    <n v="45363"/>
    <s v="Knnd Associates Pvt Ltd"/>
    <s v="MAHE Lecture Hall Campus Bangalore"/>
    <s v="8mm JTR"/>
    <x v="15"/>
    <s v="Rmt"/>
    <n v="6.4"/>
    <n v="110"/>
    <n v="704"/>
  </r>
  <r>
    <n v="236"/>
    <x v="1"/>
    <x v="22"/>
    <n v="61955"/>
    <n v="45363"/>
    <s v="Knnd Associates Pvt Ltd"/>
    <s v="MAHE Lecture Hall Campus Bangalore"/>
    <s v="Stretch Film"/>
    <x v="5"/>
    <s v="Sqmt"/>
    <n v="160"/>
    <n v="20"/>
    <n v="3200"/>
  </r>
  <r>
    <n v="237"/>
    <x v="1"/>
    <x v="22"/>
    <n v="61958"/>
    <n v="45364"/>
    <s v="Kool Koncepts"/>
    <s v="Shilpa Ananya Tech Park Bangalore"/>
    <s v="Spiral Oval Duct"/>
    <x v="9"/>
    <s v="Sqmt"/>
    <n v="6.4"/>
    <n v="710"/>
    <n v="4544"/>
  </r>
  <r>
    <n v="238"/>
    <x v="1"/>
    <x v="22"/>
    <n v="61958"/>
    <n v="45364"/>
    <s v="Kool Koncepts"/>
    <s v="Shilpa Ananya Tech Park Bangalore"/>
    <s v="Spiral Oval Coupling"/>
    <x v="18"/>
    <s v="Sqmt"/>
    <n v="0.6"/>
    <n v="1000"/>
    <n v="600"/>
  </r>
  <r>
    <n v="239"/>
    <x v="1"/>
    <x v="22"/>
    <n v="61958"/>
    <n v="45364"/>
    <s v="Kool Koncepts"/>
    <s v="Shilpa Ananya Tech Park Bangalore"/>
    <s v="Spiral VCD"/>
    <x v="7"/>
    <s v="Sqmt"/>
    <n v="0.3"/>
    <n v="3795"/>
    <n v="1138.5"/>
  </r>
  <r>
    <n v="240"/>
    <x v="1"/>
    <x v="22"/>
    <n v="61935"/>
    <n v="45365"/>
    <s v="Rao &amp; Co HVAC Sales &amp; Services Pvt Ltd"/>
    <s v="Creditaccess Life Insurance Ltd Blr"/>
    <s v="Spiral Oval Duct"/>
    <x v="10"/>
    <s v="Sqmt"/>
    <n v="1.2"/>
    <n v="795"/>
    <n v="954"/>
  </r>
  <r>
    <n v="241"/>
    <x v="1"/>
    <x v="22"/>
    <n v="61840"/>
    <n v="45366"/>
    <s v="Knnd Associates Pvt Ltd"/>
    <s v="Ginni Devi Goel Manipal Hospital Raipur"/>
    <s v="Box Duct with TDF (L-shape)"/>
    <x v="50"/>
    <s v="Sqmt"/>
    <n v="1227.9000000000001"/>
    <n v="475"/>
    <n v="583252.5"/>
  </r>
  <r>
    <n v="242"/>
    <x v="1"/>
    <x v="22"/>
    <n v="61840"/>
    <n v="45366"/>
    <s v="Knnd Associates Pvt Ltd"/>
    <s v="Ginni Devi Goel Manipal Hospital Raipur"/>
    <s v="Box Duct with TDF (L-shape)"/>
    <x v="0"/>
    <s v="Sqmt"/>
    <n v="54.1"/>
    <n v="525"/>
    <n v="28402.5"/>
  </r>
  <r>
    <n v="243"/>
    <x v="1"/>
    <x v="22"/>
    <n v="61840"/>
    <n v="45366"/>
    <s v="Knnd Associates Pvt Ltd"/>
    <s v="Ginni Devi Goel Manipal Hospital Raipur"/>
    <s v="Box Duct with TDF (L-shape)"/>
    <x v="1"/>
    <s v="Sqmt"/>
    <n v="61.1"/>
    <n v="685"/>
    <n v="41853.5"/>
  </r>
  <r>
    <n v="244"/>
    <x v="1"/>
    <x v="23"/>
    <n v="61434"/>
    <n v="45367"/>
    <s v="Knnd Associates Pvt Ltd"/>
    <s v="Vaishnavi Senate Bangalore"/>
    <s v="Box Duct with TDF"/>
    <x v="0"/>
    <s v="Sqmt"/>
    <n v="4.4000000000000004"/>
    <n v="530"/>
    <n v="2332"/>
  </r>
  <r>
    <n v="245"/>
    <x v="1"/>
    <x v="23"/>
    <n v="61434"/>
    <n v="45367"/>
    <s v="Knnd Associates Pvt Ltd"/>
    <s v="Vaishnavi Senate Bangalore"/>
    <s v="Box Duct with TDF"/>
    <x v="1"/>
    <s v="Sqmt"/>
    <n v="69.400000000000006"/>
    <n v="677"/>
    <n v="46983.8"/>
  </r>
  <r>
    <n v="246"/>
    <x v="1"/>
    <x v="24"/>
    <n v="61451"/>
    <n v="45368"/>
    <s v="Knnd Associates Pvt Ltd"/>
    <s v="SAP Labs India Pvt Ltd Bangalore"/>
    <s v="Plain Duct"/>
    <x v="0"/>
    <s v="Sqmt"/>
    <n v="3.9"/>
    <n v="495"/>
    <n v="1930.5"/>
  </r>
  <r>
    <n v="247"/>
    <x v="1"/>
    <x v="24"/>
    <n v="61959"/>
    <n v="45369"/>
    <s v="Knnd Associates Pvt Ltd"/>
    <s v="BDR Hospital Pune"/>
    <s v="Pressure Testing of Ducts"/>
    <x v="51"/>
    <s v="Sqmt"/>
    <n v="138.9"/>
    <n v="35"/>
    <n v="4861.5"/>
  </r>
  <r>
    <n v="248"/>
    <x v="1"/>
    <x v="24"/>
    <n v="61960"/>
    <n v="45370"/>
    <s v="Knnd Associates Pvt Ltd"/>
    <s v="MAHE Lecture Hall Campus Bangalore"/>
    <s v="Pressure Testing of Ducts"/>
    <x v="51"/>
    <s v="Sqmt"/>
    <n v="220.3"/>
    <n v="35"/>
    <n v="7710.5"/>
  </r>
  <r>
    <n v="249"/>
    <x v="1"/>
    <x v="24"/>
    <n v="61961"/>
    <n v="45371"/>
    <s v="Knnd Associates Pvt Ltd"/>
    <s v="MSR Tech Park Bangalore"/>
    <s v="Pressure Testing of Ducts"/>
    <x v="51"/>
    <s v="Sqmt"/>
    <n v="308.89999999999998"/>
    <n v="35"/>
    <n v="10811.5"/>
  </r>
  <r>
    <n v="250"/>
    <x v="1"/>
    <x v="24"/>
    <n v="61962"/>
    <n v="45372"/>
    <s v="Knnd Associates Pvt Ltd"/>
    <s v="Infosys Chandigarh"/>
    <s v="Mixing Box (595x595x350H)"/>
    <x v="0"/>
    <s v="Nos"/>
    <n v="404"/>
    <n v="969"/>
    <n v="391476"/>
  </r>
  <r>
    <n v="251"/>
    <x v="1"/>
    <x v="24"/>
    <n v="61962"/>
    <n v="45372"/>
    <s v="Knnd Associates Pvt Ltd"/>
    <s v="Infosys Chandigarh"/>
    <s v="Insulation"/>
    <x v="52"/>
    <s v="Sqmt"/>
    <n v="480.55975999999998"/>
    <n v="686"/>
    <n v="329663.99536"/>
  </r>
  <r>
    <n v="252"/>
    <x v="1"/>
    <x v="24"/>
    <n v="61962"/>
    <n v="45372"/>
    <s v="Knnd Associates Pvt Ltd"/>
    <s v="Infosys Chandigarh"/>
    <s v="Spigot 200mm Dia"/>
    <x v="1"/>
    <s v="Nos"/>
    <n v="450"/>
    <n v="400"/>
    <n v="180000"/>
  </r>
  <r>
    <n v="253"/>
    <x v="1"/>
    <x v="24"/>
    <n v="61962"/>
    <n v="45372"/>
    <s v="Knnd Associates Pvt Ltd"/>
    <s v="Infosys Chandigarh"/>
    <s v="VCD (Alu. Blade)"/>
    <x v="7"/>
    <s v="Sqmt"/>
    <n v="31.4"/>
    <n v="5200"/>
    <n v="163280"/>
  </r>
  <r>
    <n v="254"/>
    <x v="1"/>
    <x v="25"/>
    <n v="61930"/>
    <n v="45373"/>
    <s v="Knnd Associates Pvt Ltd"/>
    <s v="Blackstone COE India Pvt Ltd Bangalore"/>
    <s v="Corners 32mm"/>
    <x v="53"/>
    <s v="Nos"/>
    <n v="200"/>
    <n v="10"/>
    <n v="2000"/>
  </r>
  <r>
    <n v="255"/>
    <x v="1"/>
    <x v="26"/>
    <n v="61963"/>
    <n v="45374"/>
    <s v="Knnd Associates Pvt Ltd"/>
    <s v="BMJH Jain Hospital Bangalore"/>
    <s v="Box Duct with TDF"/>
    <x v="0"/>
    <s v="Sqmt"/>
    <n v="55.4"/>
    <n v="670"/>
    <n v="37118"/>
  </r>
  <r>
    <n v="256"/>
    <x v="1"/>
    <x v="26"/>
    <n v="61963"/>
    <n v="45374"/>
    <s v="Knnd Associates Pvt Ltd"/>
    <s v="BMJH Jain Hospital Bangalore"/>
    <s v="Plain Sheet"/>
    <x v="0"/>
    <s v="Sqmt"/>
    <n v="6"/>
    <n v="495"/>
    <n v="2970"/>
  </r>
  <r>
    <n v="257"/>
    <x v="1"/>
    <x v="26"/>
    <n v="61963"/>
    <n v="45374"/>
    <s v="Knnd Associates Pvt Ltd"/>
    <s v="BMJH Jain Hospital Bangalore"/>
    <s v="Mixing Box (450x450x350H)"/>
    <x v="0"/>
    <s v="Nos"/>
    <n v="15"/>
    <n v="750"/>
    <n v="11250"/>
  </r>
  <r>
    <n v="258"/>
    <x v="1"/>
    <x v="26"/>
    <n v="61963"/>
    <n v="45374"/>
    <s v="Knnd Associates Pvt Ltd"/>
    <s v="BMJH Jain Hospital Bangalore"/>
    <s v="Spigot 200mm Dia"/>
    <x v="1"/>
    <s v="Nos"/>
    <n v="15"/>
    <n v="400"/>
    <n v="6000"/>
  </r>
  <r>
    <n v="259"/>
    <x v="1"/>
    <x v="26"/>
    <n v="61963"/>
    <n v="45374"/>
    <s v="Knnd Associates Pvt Ltd"/>
    <s v="BMJH Jain Hospital Bangalore"/>
    <s v="Insulation"/>
    <x v="48"/>
    <s v="Sqmt"/>
    <n v="56.8"/>
    <n v="270"/>
    <n v="15336"/>
  </r>
  <r>
    <n v="260"/>
    <x v="1"/>
    <x v="26"/>
    <n v="61963"/>
    <n v="45374"/>
    <s v="Knnd Associates Pvt Ltd"/>
    <s v="BMJH Jain Hospital Bangalore"/>
    <s v="Insulation"/>
    <x v="54"/>
    <s v="Sqmt"/>
    <n v="11.1"/>
    <n v="755"/>
    <n v="8380.5"/>
  </r>
  <r>
    <n v="261"/>
    <x v="1"/>
    <x v="26"/>
    <n v="61963"/>
    <n v="45374"/>
    <s v="Knnd Associates Pvt Ltd"/>
    <s v="BMJH Jain Hospital Bangalore"/>
    <s v="Insulation Flange"/>
    <x v="54"/>
    <s v="Sqmt"/>
    <n v="6"/>
    <n v="525"/>
    <n v="3150"/>
  </r>
  <r>
    <n v="262"/>
    <x v="1"/>
    <x v="27"/>
    <n v="61762"/>
    <n v="45375"/>
    <s v="Knnd Associates Pvt Ltd"/>
    <s v="TCS Noida Low Side SDB-1"/>
    <s v="Spiral Oval Duct"/>
    <x v="55"/>
    <s v="Sqmt"/>
    <n v="2.2000000000000002"/>
    <n v="680"/>
    <n v="1496.0000000000002"/>
  </r>
  <r>
    <n v="263"/>
    <x v="1"/>
    <x v="27"/>
    <n v="61762"/>
    <n v="45375"/>
    <s v="Knnd Associates Pvt Ltd"/>
    <s v="TCS Noida Low Side SDB-1"/>
    <s v="Spiral Oval Duct"/>
    <x v="56"/>
    <s v="Sqmt"/>
    <n v="16.600000000000001"/>
    <n v="795"/>
    <n v="13197.000000000002"/>
  </r>
  <r>
    <n v="264"/>
    <x v="1"/>
    <x v="27"/>
    <n v="61762"/>
    <n v="45375"/>
    <s v="Knnd Associates Pvt Ltd"/>
    <s v="TCS Noida Low Side SDB-1"/>
    <s v="Spiral Oval Duct"/>
    <x v="57"/>
    <s v="Sqmt"/>
    <n v="7.9"/>
    <n v="950"/>
    <n v="7505"/>
  </r>
  <r>
    <n v="265"/>
    <x v="1"/>
    <x v="27"/>
    <n v="61762"/>
    <n v="45375"/>
    <s v="Knnd Associates Pvt Ltd"/>
    <s v="TCS Noida Low Side SDB-1"/>
    <s v="Spiral VCD"/>
    <x v="58"/>
    <s v="Sqmt"/>
    <n v="19.5"/>
    <n v="3300"/>
    <n v="64350"/>
  </r>
  <r>
    <n v="266"/>
    <x v="1"/>
    <x v="27"/>
    <n v="61762"/>
    <n v="45375"/>
    <s v="Knnd Associates Pvt Ltd"/>
    <s v="TCS Noida Low Side SDB-1"/>
    <s v="Insulation"/>
    <x v="26"/>
    <s v="Sqmt"/>
    <n v="26.7"/>
    <n v="252"/>
    <n v="6728.4"/>
  </r>
  <r>
    <n v="267"/>
    <x v="1"/>
    <x v="28"/>
    <n v="61704"/>
    <n v="45376"/>
    <s v="Knnd Associates Pvt Ltd"/>
    <s v="Zentech Business Park Bangalore"/>
    <s v="Box Duct with TDF"/>
    <x v="0"/>
    <s v="Sqmt"/>
    <n v="18.899999999999999"/>
    <n v="565"/>
    <n v="10678.5"/>
  </r>
  <r>
    <n v="268"/>
    <x v="1"/>
    <x v="28"/>
    <n v="61704"/>
    <n v="45376"/>
    <s v="Knnd Associates Pvt Ltd"/>
    <s v="Zentech Business Park Bangalore"/>
    <s v="Box Duct with TDF"/>
    <x v="1"/>
    <s v="Sqmt"/>
    <n v="61.4"/>
    <n v="725"/>
    <n v="44515"/>
  </r>
  <r>
    <n v="269"/>
    <x v="1"/>
    <x v="28"/>
    <n v="61704"/>
    <n v="45376"/>
    <s v="Knnd Associates Pvt Ltd"/>
    <s v="Zentech Business Park Bangalore"/>
    <s v="Insulation"/>
    <x v="26"/>
    <s v="Sqmt"/>
    <n v="10.1"/>
    <n v="270"/>
    <n v="2727"/>
  </r>
  <r>
    <n v="270"/>
    <x v="1"/>
    <x v="28"/>
    <n v="61704"/>
    <n v="45376"/>
    <s v="Knnd Associates Pvt Ltd"/>
    <s v="Zentech Business Park Bangalore"/>
    <s v="Round Flange 900mm Dia"/>
    <x v="8"/>
    <s v="Nos"/>
    <n v="9"/>
    <n v="1040"/>
    <n v="9360"/>
  </r>
  <r>
    <n v="271"/>
    <x v="1"/>
    <x v="28"/>
    <n v="61704"/>
    <n v="45376"/>
    <s v="Knnd Associates Pvt Ltd"/>
    <s v="Zentech Business Park Bangalore"/>
    <s v="Round Flange 100mm Dia"/>
    <x v="8"/>
    <s v="Nos"/>
    <n v="15"/>
    <n v="1250"/>
    <n v="18750"/>
  </r>
  <r>
    <n v="272"/>
    <x v="1"/>
    <x v="28"/>
    <n v="61704"/>
    <n v="45376"/>
    <s v="Knnd Associates Pvt Ltd"/>
    <s v="Zentech Business Park Bangalore"/>
    <s v="Plain Sheet"/>
    <x v="0"/>
    <s v="Sqmt"/>
    <n v="18"/>
    <n v="454"/>
    <n v="8172"/>
  </r>
  <r>
    <n v="273"/>
    <x v="1"/>
    <x v="28"/>
    <n v="61704"/>
    <n v="45376"/>
    <s v="Knnd Associates Pvt Ltd"/>
    <s v="Zentech Business Park Bangalore"/>
    <s v="Gasket"/>
    <x v="25"/>
    <s v="Rmt"/>
    <n v="100"/>
    <n v="8"/>
    <n v="800"/>
  </r>
  <r>
    <n v="274"/>
    <x v="1"/>
    <x v="28"/>
    <n v="61704"/>
    <n v="45376"/>
    <s v="Knnd Associates Pvt Ltd"/>
    <s v="Zentech Business Park Bangalore"/>
    <s v="Stretch Film"/>
    <x v="5"/>
    <s v="Sqmt"/>
    <n v="15"/>
    <n v="15"/>
    <n v="225"/>
  </r>
  <r>
    <n v="275"/>
    <x v="1"/>
    <x v="28"/>
    <n v="61962"/>
    <n v="45377"/>
    <s v="Knnd Associates Pvt Ltd"/>
    <s v="Infosys Chandigarh"/>
    <s v="Mixing Box (595x595x350H)"/>
    <x v="0"/>
    <s v="Nos"/>
    <n v="353"/>
    <n v="969"/>
    <n v="342057"/>
  </r>
  <r>
    <n v="276"/>
    <x v="1"/>
    <x v="28"/>
    <n v="61962"/>
    <n v="45377"/>
    <s v="Knnd Associates Pvt Ltd"/>
    <s v="Infosys Chandigarh"/>
    <s v="Insulation"/>
    <x v="52"/>
    <s v="Sqmt"/>
    <n v="419.89503999999999"/>
    <n v="686"/>
    <n v="288047.99744000001"/>
  </r>
  <r>
    <n v="277"/>
    <x v="1"/>
    <x v="28"/>
    <n v="61962"/>
    <n v="45377"/>
    <s v="Knnd Associates Pvt Ltd"/>
    <s v="Infosys Chandigarh"/>
    <s v="Spigot 200mm Dia"/>
    <x v="1"/>
    <s v="Nos"/>
    <n v="307"/>
    <n v="400"/>
    <n v="122800"/>
  </r>
  <r>
    <n v="278"/>
    <x v="1"/>
    <x v="28"/>
    <n v="61768"/>
    <n v="45378"/>
    <s v="Camduct India Pvt Ltd-Haryana"/>
    <s v="Camduct India Pvt Ltd-Haryana Branch"/>
    <s v="Stock Transfer"/>
    <x v="47"/>
    <s v="Nos"/>
    <n v="46100"/>
    <n v="7.5"/>
    <n v="345750"/>
  </r>
  <r>
    <n v="279"/>
    <x v="1"/>
    <x v="28"/>
    <n v="61768"/>
    <n v="45378"/>
    <s v="Camduct India Pvt Ltd-Haryana"/>
    <s v="Camduct India Pvt Ltd-Haryana Branch"/>
    <s v="Stock Transfer"/>
    <x v="59"/>
    <s v="Nos"/>
    <n v="10"/>
    <n v="54"/>
    <n v="540"/>
  </r>
  <r>
    <n v="280"/>
    <x v="1"/>
    <x v="28"/>
    <n v="61768"/>
    <n v="45378"/>
    <s v="Camduct India Pvt Ltd-Haryana"/>
    <s v="Camduct India Pvt Ltd-Haryana Branch"/>
    <s v="Stock Transfer"/>
    <x v="60"/>
    <s v="Nos"/>
    <n v="1"/>
    <n v="26952"/>
    <n v="26952"/>
  </r>
  <r>
    <n v="281"/>
    <x v="1"/>
    <x v="28"/>
    <n v="61768"/>
    <n v="45378"/>
    <s v="Camduct India Pvt Ltd-Haryana"/>
    <s v="Camduct India Pvt Ltd-Haryana Branch"/>
    <s v="Stock Transfer"/>
    <x v="61"/>
    <s v="Nos"/>
    <n v="1"/>
    <n v="130000"/>
    <n v="130000"/>
  </r>
  <r>
    <n v="282"/>
    <x v="1"/>
    <x v="28"/>
    <n v="61768"/>
    <n v="45378"/>
    <s v="Camduct India Pvt Ltd-Haryana"/>
    <s v="Camduct India Pvt Ltd-Haryana Branch"/>
    <s v="Stock Transfer"/>
    <x v="62"/>
    <s v="Nos"/>
    <n v="1"/>
    <n v="2500"/>
    <n v="2500"/>
  </r>
  <r>
    <n v="283"/>
    <x v="1"/>
    <x v="28"/>
    <n v="61768"/>
    <n v="45378"/>
    <s v="Camduct India Pvt Ltd-Haryana"/>
    <s v="Camduct India Pvt Ltd-Haryana Branch"/>
    <s v="Stock Transfer"/>
    <x v="63"/>
    <s v="Nos"/>
    <n v="2"/>
    <n v="3500"/>
    <n v="7000"/>
  </r>
  <r>
    <n v="284"/>
    <x v="1"/>
    <x v="29"/>
    <n v="61964"/>
    <n v="45379"/>
    <s v="Knnd Associates Pvt Ltd"/>
    <s v="Motherhood Hospital Sarjapura"/>
    <s v="Box Duct with TDF"/>
    <x v="0"/>
    <s v="Sqmt"/>
    <n v="191.9"/>
    <n v="670"/>
    <n v="128573"/>
  </r>
  <r>
    <n v="285"/>
    <x v="1"/>
    <x v="29"/>
    <n v="61964"/>
    <n v="45379"/>
    <s v="Knnd Associates Pvt Ltd"/>
    <s v="Motherhood Hospital Sarjapura"/>
    <s v="Insulation"/>
    <x v="49"/>
    <s v="Sqmt"/>
    <n v="136.42102"/>
    <n v="371"/>
    <n v="50612.198420000001"/>
  </r>
  <r>
    <n v="286"/>
    <x v="1"/>
    <x v="29"/>
    <n v="61964"/>
    <n v="45379"/>
    <s v="Knnd Associates Pvt Ltd"/>
    <s v="Motherhood Hospital Sarjapura"/>
    <s v="Insulation"/>
    <x v="28"/>
    <s v="Sqmt"/>
    <n v="7.6"/>
    <n v="820"/>
    <n v="6232"/>
  </r>
  <r>
    <n v="287"/>
    <x v="1"/>
    <x v="29"/>
    <n v="61964"/>
    <n v="45379"/>
    <s v="Knnd Associates Pvt Ltd"/>
    <s v="Motherhood Hospital Sarjapura"/>
    <s v="Mixing Box (500x150x300H)"/>
    <x v="0"/>
    <s v="Nos"/>
    <n v="9"/>
    <n v="416"/>
    <n v="3744"/>
  </r>
  <r>
    <n v="288"/>
    <x v="1"/>
    <x v="29"/>
    <n v="61964"/>
    <n v="45379"/>
    <s v="Knnd Associates Pvt Ltd"/>
    <s v="Motherhood Hospital Sarjapura"/>
    <s v="Stretch Film"/>
    <x v="5"/>
    <s v="Sqmt"/>
    <n v="150"/>
    <n v="20"/>
    <n v="3000"/>
  </r>
  <r>
    <n v="289"/>
    <x v="1"/>
    <x v="30"/>
    <n v="61930"/>
    <n v="45380"/>
    <s v="Knnd Associates Pvt Ltd"/>
    <s v="Blackstone COE India Pvt Ltd Bangalore"/>
    <s v="Cleats"/>
    <x v="64"/>
    <s v="Nos"/>
    <n v="2500"/>
    <n v="8"/>
    <n v="20000"/>
  </r>
  <r>
    <n v="290"/>
    <x v="1"/>
    <x v="30"/>
    <n v="61930"/>
    <n v="45380"/>
    <s v="Knnd Associates Pvt Ltd"/>
    <s v="Blackstone COE India Pvt Ltd Bangalore"/>
    <s v="Gasket"/>
    <x v="25"/>
    <s v="Rmt"/>
    <n v="500"/>
    <n v="5"/>
    <n v="2500"/>
  </r>
  <r>
    <n v="291"/>
    <x v="1"/>
    <x v="31"/>
    <n v="61965"/>
    <n v="45381"/>
    <s v="Knnd Associates Pvt Ltd"/>
    <s v="IISC Medical School Foundation Bangalore"/>
    <s v="Box Duct with TDF"/>
    <x v="0"/>
    <s v="Sqmt"/>
    <n v="411.4"/>
    <n v="670"/>
    <n v="275638"/>
  </r>
  <r>
    <n v="292"/>
    <x v="1"/>
    <x v="31"/>
    <n v="61965"/>
    <n v="45381"/>
    <s v="Knnd Associates Pvt Ltd"/>
    <s v="IISC Medical School Foundation Bangalore"/>
    <s v="Box Duct with TDF"/>
    <x v="1"/>
    <s v="Sqmt"/>
    <n v="183.6"/>
    <n v="868"/>
    <n v="159364.79999999999"/>
  </r>
  <r>
    <n v="293"/>
    <x v="1"/>
    <x v="31"/>
    <n v="61965"/>
    <n v="45381"/>
    <s v="Knnd Associates Pvt Ltd"/>
    <s v="IISC Medical School Foundation Bangalore"/>
    <s v="Insulation"/>
    <x v="17"/>
    <s v="Sqmt"/>
    <n v="595"/>
    <n v="441"/>
    <n v="262395"/>
  </r>
  <r>
    <n v="294"/>
    <x v="1"/>
    <x v="31"/>
    <n v="61965"/>
    <n v="45381"/>
    <s v="Knnd Associates Pvt Ltd"/>
    <s v="IISC Medical School Foundation Bangalore"/>
    <s v="Stretch Film"/>
    <x v="5"/>
    <s v="Sqmt"/>
    <n v="650"/>
    <n v="20"/>
    <n v="13000"/>
  </r>
  <r>
    <n v="295"/>
    <x v="1"/>
    <x v="32"/>
    <n v="61967"/>
    <n v="45382"/>
    <s v="Knnd Associates Pvt Ltd"/>
    <s v="AIIMS Hospital Madurai"/>
    <s v="Box Duct with TDF"/>
    <x v="0"/>
    <s v="Sqmt"/>
    <n v="87"/>
    <n v="670"/>
    <n v="58290"/>
  </r>
  <r>
    <n v="296"/>
    <x v="1"/>
    <x v="32"/>
    <n v="61967"/>
    <n v="45382"/>
    <s v="Knnd Associates Pvt Ltd"/>
    <s v="AIIMS Hospital Madurai"/>
    <s v="Box Duct with TDF"/>
    <x v="1"/>
    <s v="Sqmt"/>
    <n v="198.4"/>
    <n v="868"/>
    <n v="172211.20000000001"/>
  </r>
  <r>
    <n v="297"/>
    <x v="1"/>
    <x v="32"/>
    <n v="61967"/>
    <n v="45382"/>
    <s v="Knnd Associates Pvt Ltd"/>
    <s v="AIIMS Hospital Madurai"/>
    <s v="Box Duct with TDF"/>
    <x v="7"/>
    <s v="Sqmt"/>
    <n v="4.9000000000000004"/>
    <n v="1060"/>
    <n v="5194"/>
  </r>
  <r>
    <n v="298"/>
    <x v="1"/>
    <x v="32"/>
    <n v="61967"/>
    <n v="45382"/>
    <s v="Knnd Associates Pvt Ltd"/>
    <s v="AIIMS Hospital Madurai"/>
    <s v="Insulation"/>
    <x v="12"/>
    <s v="Sqmt"/>
    <n v="290.3"/>
    <n v="755"/>
    <n v="219176.5"/>
  </r>
  <r>
    <n v="299"/>
    <x v="1"/>
    <x v="32"/>
    <n v="61967"/>
    <n v="45382"/>
    <s v="Knnd Associates Pvt Ltd"/>
    <s v="AIIMS Hospital Madurai"/>
    <s v="Plain Sheet"/>
    <x v="0"/>
    <s v="Sqmt"/>
    <n v="150"/>
    <n v="495"/>
    <n v="74250"/>
  </r>
  <r>
    <n v="300"/>
    <x v="1"/>
    <x v="32"/>
    <n v="61967"/>
    <n v="45382"/>
    <s v="Knnd Associates Pvt Ltd"/>
    <s v="AIIMS Hospital Madurai"/>
    <s v="Corners"/>
    <x v="65"/>
    <s v="Nos"/>
    <n v="200"/>
    <n v="10"/>
    <n v="2000"/>
  </r>
  <r>
    <n v="301"/>
    <x v="1"/>
    <x v="32"/>
    <n v="61967"/>
    <n v="45382"/>
    <s v="Knnd Associates Pvt Ltd"/>
    <s v="AIIMS Hospital Madurai"/>
    <s v="Cleats"/>
    <x v="64"/>
    <s v="Nos"/>
    <n v="400"/>
    <n v="8"/>
    <n v="3200"/>
  </r>
  <r>
    <n v="302"/>
    <x v="1"/>
    <x v="32"/>
    <n v="61966"/>
    <n v="45383"/>
    <s v="Knnd Associates Pvt Ltd"/>
    <s v="Motherhood Hospital Coimabatore"/>
    <s v="Box Duct with TDF"/>
    <x v="0"/>
    <s v="Sqmt"/>
    <n v="159.5"/>
    <n v="670"/>
    <n v="106865"/>
  </r>
  <r>
    <n v="303"/>
    <x v="1"/>
    <x v="32"/>
    <n v="61966"/>
    <n v="45383"/>
    <s v="Knnd Associates Pvt Ltd"/>
    <s v="Motherhood Hospital Coimabatore"/>
    <s v="Box Duct with TDF"/>
    <x v="1"/>
    <s v="Sqmt"/>
    <n v="163.19999999999999"/>
    <n v="868"/>
    <n v="141657.59999999998"/>
  </r>
  <r>
    <n v="304"/>
    <x v="1"/>
    <x v="32"/>
    <n v="61966"/>
    <n v="45383"/>
    <s v="Knnd Associates Pvt Ltd"/>
    <s v="Motherhood Hospital Coimabatore"/>
    <s v="VCD (Alu. Blade)"/>
    <x v="7"/>
    <s v="Sqmt"/>
    <n v="1"/>
    <n v="5200"/>
    <n v="5200"/>
  </r>
  <r>
    <n v="305"/>
    <x v="1"/>
    <x v="32"/>
    <n v="61966"/>
    <n v="45383"/>
    <s v="Knnd Associates Pvt Ltd"/>
    <s v="Motherhood Hospital Coimabatore"/>
    <s v="Insulation"/>
    <x v="66"/>
    <s v="Sqmt"/>
    <n v="40.799999999999997"/>
    <n v="415"/>
    <n v="16932"/>
  </r>
  <r>
    <n v="306"/>
    <x v="1"/>
    <x v="32"/>
    <n v="61966"/>
    <n v="45383"/>
    <s v="Knnd Associates Pvt Ltd"/>
    <s v="Motherhood Hospital Coimabatore"/>
    <s v="Insulation"/>
    <x v="67"/>
    <s v="Sqmt"/>
    <n v="56.8"/>
    <n v="465"/>
    <n v="26412"/>
  </r>
  <r>
    <n v="307"/>
    <x v="1"/>
    <x v="32"/>
    <n v="61966"/>
    <n v="45383"/>
    <s v="Knnd Associates Pvt Ltd"/>
    <s v="Motherhood Hospital Coimabatore"/>
    <s v="Insulation"/>
    <x v="68"/>
    <s v="Sqmt"/>
    <n v="10.5"/>
    <n v="820"/>
    <n v="8610"/>
  </r>
  <r>
    <n v="308"/>
    <x v="1"/>
    <x v="32"/>
    <n v="61966"/>
    <n v="45383"/>
    <s v="Knnd Associates Pvt Ltd"/>
    <s v="Motherhood Hospital Coimabatore"/>
    <s v="Plain Sheet"/>
    <x v="0"/>
    <s v="Sqmt"/>
    <n v="15"/>
    <n v="495"/>
    <n v="7425"/>
  </r>
  <r>
    <n v="309"/>
    <x v="1"/>
    <x v="32"/>
    <n v="61966"/>
    <n v="45383"/>
    <s v="Knnd Associates Pvt Ltd"/>
    <s v="Motherhood Hospital Coimabatore"/>
    <s v="Insulation Flange"/>
    <x v="66"/>
    <s v="Sqmt"/>
    <n v="25"/>
    <n v="251"/>
    <n v="6275"/>
  </r>
  <r>
    <n v="310"/>
    <x v="1"/>
    <x v="32"/>
    <n v="61966"/>
    <n v="45383"/>
    <s v="Knnd Associates Pvt Ltd"/>
    <s v="Motherhood Hospital Coimabatore"/>
    <s v="Insulation"/>
    <x v="67"/>
    <s v="Sqmt"/>
    <n v="36"/>
    <n v="300"/>
    <n v="10800"/>
  </r>
  <r>
    <n v="311"/>
    <x v="1"/>
    <x v="32"/>
    <n v="61966"/>
    <n v="45383"/>
    <s v="Knnd Associates Pvt Ltd"/>
    <s v="Motherhood Hospital Coimabatore"/>
    <s v="Corners"/>
    <x v="65"/>
    <s v="Nos"/>
    <n v="100"/>
    <n v="10"/>
    <n v="1000"/>
  </r>
  <r>
    <n v="312"/>
    <x v="1"/>
    <x v="32"/>
    <n v="61966"/>
    <n v="45383"/>
    <s v="Knnd Associates Pvt Ltd"/>
    <s v="Motherhood Hospital Coimabatore"/>
    <s v="Cleats"/>
    <x v="64"/>
    <s v="Nos"/>
    <n v="100"/>
    <n v="8"/>
    <n v="800"/>
  </r>
  <r>
    <n v="313"/>
    <x v="1"/>
    <x v="32"/>
    <n v="61966"/>
    <n v="45383"/>
    <s v="Knnd Associates Pvt Ltd"/>
    <s v="Motherhood Hospital Coimabatore"/>
    <s v="Stretch Film"/>
    <x v="5"/>
    <s v="Sqmt"/>
    <n v="120"/>
    <n v="20"/>
    <n v="2400"/>
  </r>
  <r>
    <n v="314"/>
    <x v="1"/>
    <x v="33"/>
    <n v="61964"/>
    <n v="45384"/>
    <s v="Knnd Associates Pvt Ltd"/>
    <s v="Motherhood Hospital Sarjapura"/>
    <s v="Box Duct with TDF"/>
    <x v="0"/>
    <s v="Sqmt"/>
    <n v="196"/>
    <n v="670"/>
    <n v="131320"/>
  </r>
  <r>
    <n v="315"/>
    <x v="1"/>
    <x v="33"/>
    <n v="61964"/>
    <n v="45384"/>
    <s v="Knnd Associates Pvt Ltd"/>
    <s v="Motherhood Hospital Sarjapura"/>
    <s v="Insulation"/>
    <x v="49"/>
    <s v="Sqmt"/>
    <n v="111.6"/>
    <n v="371"/>
    <n v="41403.599999999999"/>
  </r>
  <r>
    <n v="316"/>
    <x v="1"/>
    <x v="33"/>
    <n v="61964"/>
    <n v="45384"/>
    <s v="Knnd Associates Pvt Ltd"/>
    <s v="Motherhood Hospital Sarjapura"/>
    <s v="Stretch Film"/>
    <x v="5"/>
    <s v="Sqmt"/>
    <n v="130"/>
    <n v="20"/>
    <n v="2600"/>
  </r>
  <r>
    <n v="317"/>
    <x v="1"/>
    <x v="33"/>
    <n v="61968"/>
    <n v="45385"/>
    <s v="Knnd Associates Pvt Ltd"/>
    <s v="Chanakya University HB-3A Bangalore"/>
    <s v="Spiral Round Duct"/>
    <x v="9"/>
    <s v="Sqmt"/>
    <n v="136"/>
    <n v="620"/>
    <n v="84320"/>
  </r>
  <r>
    <n v="318"/>
    <x v="1"/>
    <x v="33"/>
    <n v="61968"/>
    <n v="45385"/>
    <s v="Knnd Associates Pvt Ltd"/>
    <s v="Chanakya University HB-3A Bangalore"/>
    <s v="Round T Piece (150x150mm)"/>
    <x v="0"/>
    <s v="Nos"/>
    <n v="105"/>
    <n v="378"/>
    <n v="39690"/>
  </r>
  <r>
    <n v="319"/>
    <x v="1"/>
    <x v="33"/>
    <n v="61968"/>
    <n v="45385"/>
    <s v="Knnd Associates Pvt Ltd"/>
    <s v="Chanakya University HB-3A Bangalore"/>
    <s v="Round Elbow 90° (150mm Dia)"/>
    <x v="0"/>
    <s v="Nos"/>
    <n v="33"/>
    <n v="355"/>
    <n v="11715"/>
  </r>
  <r>
    <n v="320"/>
    <x v="1"/>
    <x v="34"/>
    <n v="61965"/>
    <n v="45386"/>
    <s v="Knnd Associates Pvt Ltd"/>
    <s v="IISC Medical School Foundation Bangalore"/>
    <s v="Box Duct with TDF"/>
    <x v="0"/>
    <s v="Sqmt"/>
    <n v="198.4"/>
    <n v="670"/>
    <n v="132928"/>
  </r>
  <r>
    <n v="321"/>
    <x v="1"/>
    <x v="34"/>
    <n v="61965"/>
    <n v="45386"/>
    <s v="Knnd Associates Pvt Ltd"/>
    <s v="IISC Medical School Foundation Bangalore"/>
    <s v="Box Duct with TDF"/>
    <x v="1"/>
    <s v="Sqmt"/>
    <n v="158.30000000000001"/>
    <n v="868"/>
    <n v="137404.40000000002"/>
  </r>
  <r>
    <n v="322"/>
    <x v="1"/>
    <x v="34"/>
    <n v="61965"/>
    <n v="45386"/>
    <s v="Knnd Associates Pvt Ltd"/>
    <s v="IISC Medical School Foundation Bangalore"/>
    <s v="Spiral Round Duct"/>
    <x v="9"/>
    <s v="Sqmt"/>
    <n v="133.9"/>
    <n v="620"/>
    <n v="83018"/>
  </r>
  <r>
    <n v="323"/>
    <x v="1"/>
    <x v="34"/>
    <n v="61965"/>
    <n v="45386"/>
    <s v="Knnd Associates Pvt Ltd"/>
    <s v="IISC Medical School Foundation Bangalore"/>
    <s v="Round Flange"/>
    <x v="0"/>
    <s v="Nos"/>
    <n v="59"/>
    <n v="70"/>
    <n v="4130"/>
  </r>
  <r>
    <n v="324"/>
    <x v="1"/>
    <x v="34"/>
    <n v="61965"/>
    <n v="45386"/>
    <s v="Knnd Associates Pvt Ltd"/>
    <s v="IISC Medical School Foundation Bangalore"/>
    <s v="Insulation"/>
    <x v="17"/>
    <s v="Sqmt"/>
    <n v="360.2"/>
    <n v="441"/>
    <n v="158848.19999999998"/>
  </r>
  <r>
    <n v="325"/>
    <x v="1"/>
    <x v="34"/>
    <n v="61965"/>
    <n v="45386"/>
    <s v="Knnd Associates Pvt Ltd"/>
    <s v="IISC Medical School Foundation Bangalore"/>
    <s v="Insulation"/>
    <x v="3"/>
    <s v="Sqmt"/>
    <n v="55.6"/>
    <n v="838"/>
    <n v="46592.800000000003"/>
  </r>
  <r>
    <n v="326"/>
    <x v="1"/>
    <x v="34"/>
    <n v="61965"/>
    <n v="45386"/>
    <s v="Knnd Associates Pvt Ltd"/>
    <s v="IISC Medical School Foundation Bangalore"/>
    <s v="ArmaComp Uniskin Tape(3mmX50)"/>
    <x v="16"/>
    <s v="Nos"/>
    <n v="90"/>
    <n v="198"/>
    <n v="17820"/>
  </r>
  <r>
    <n v="327"/>
    <x v="1"/>
    <x v="34"/>
    <n v="61965"/>
    <n v="45386"/>
    <s v="Knnd Associates Pvt Ltd"/>
    <s v="IISC Medical School Foundation Bangalore"/>
    <s v="Stretch Film"/>
    <x v="5"/>
    <s v="Sqmt"/>
    <n v="400"/>
    <n v="20"/>
    <n v="8000"/>
  </r>
  <r>
    <n v="328"/>
    <x v="1"/>
    <x v="35"/>
    <n v="61969"/>
    <n v="45387"/>
    <s v="Knnd Associates Pvt Ltd"/>
    <s v="Yenopoya University Bangalore"/>
    <s v="Round Duct"/>
    <x v="0"/>
    <s v="Sqmt"/>
    <n v="22.3"/>
    <n v="625"/>
    <n v="13937.5"/>
  </r>
  <r>
    <n v="329"/>
    <x v="1"/>
    <x v="35"/>
    <n v="61969"/>
    <n v="45387"/>
    <s v="Knnd Associates Pvt Ltd"/>
    <s v="Yenopoya University Bangalore"/>
    <s v="Round Coupling"/>
    <x v="10"/>
    <s v="Sqmt"/>
    <n v="1.4"/>
    <n v="770"/>
    <n v="1078"/>
  </r>
  <r>
    <n v="330"/>
    <x v="1"/>
    <x v="35"/>
    <n v="61969"/>
    <n v="45387"/>
    <s v="Knnd Associates Pvt Ltd"/>
    <s v="Yenopoya University Bangalore"/>
    <s v="Box Duct with TDF"/>
    <x v="0"/>
    <s v="Sqmt"/>
    <n v="7.2"/>
    <n v="670"/>
    <n v="4824"/>
  </r>
  <r>
    <n v="331"/>
    <x v="1"/>
    <x v="35"/>
    <n v="61969"/>
    <n v="45387"/>
    <s v="Knnd Associates Pvt Ltd"/>
    <s v="Yenopoya University Bangalore"/>
    <s v="Insulation"/>
    <x v="48"/>
    <s v="Sqmt"/>
    <n v="22.3"/>
    <n v="281"/>
    <n v="6266.3"/>
  </r>
  <r>
    <n v="332"/>
    <x v="1"/>
    <x v="35"/>
    <n v="61969"/>
    <n v="45387"/>
    <s v="Knnd Associates Pvt Ltd"/>
    <s v="Yenopoya University Bangalore"/>
    <s v="Insulation"/>
    <x v="12"/>
    <s v="Sqmt"/>
    <n v="7.2"/>
    <n v="755"/>
    <n v="5436"/>
  </r>
  <r>
    <n v="333"/>
    <x v="1"/>
    <x v="35"/>
    <n v="61969"/>
    <n v="45387"/>
    <s v="Knnd Associates Pvt Ltd"/>
    <s v="Yenopoya University Bangalore"/>
    <s v="Stretch Film"/>
    <x v="5"/>
    <s v="Sqmt"/>
    <n v="30"/>
    <n v="20"/>
    <n v="600"/>
  </r>
  <r>
    <n v="334"/>
    <x v="1"/>
    <x v="35"/>
    <n v="61964"/>
    <n v="45388"/>
    <s v="Knnd Associates Pvt Ltd"/>
    <s v="Motherhood Hospital Sarjapura"/>
    <s v="Box Duct with TDF"/>
    <x v="0"/>
    <s v="Sqmt"/>
    <n v="206.9"/>
    <n v="670"/>
    <n v="138623"/>
  </r>
  <r>
    <n v="335"/>
    <x v="1"/>
    <x v="35"/>
    <n v="61964"/>
    <n v="45388"/>
    <s v="Knnd Associates Pvt Ltd"/>
    <s v="Motherhood Hospital Sarjapura"/>
    <s v="Box Duct with TDF"/>
    <x v="1"/>
    <s v="Sqmt"/>
    <n v="12.5"/>
    <n v="868"/>
    <n v="10850"/>
  </r>
  <r>
    <n v="336"/>
    <x v="1"/>
    <x v="35"/>
    <n v="61964"/>
    <n v="45388"/>
    <s v="Knnd Associates Pvt Ltd"/>
    <s v="Motherhood Hospital Sarjapura"/>
    <s v="VCD (Alu. Blade)"/>
    <x v="7"/>
    <s v="Sqmt"/>
    <n v="4.2"/>
    <n v="5200"/>
    <n v="21840"/>
  </r>
  <r>
    <n v="337"/>
    <x v="1"/>
    <x v="35"/>
    <n v="61964"/>
    <n v="45388"/>
    <s v="Knnd Associates Pvt Ltd"/>
    <s v="Motherhood Hospital Sarjapura"/>
    <s v="Insulation"/>
    <x v="49"/>
    <s v="Sqmt"/>
    <n v="185.38680000000002"/>
    <n v="371"/>
    <n v="68778.502800000002"/>
  </r>
  <r>
    <n v="338"/>
    <x v="1"/>
    <x v="35"/>
    <n v="61964"/>
    <n v="45388"/>
    <s v="Knnd Associates Pvt Ltd"/>
    <s v="Motherhood Hospital Sarjapura"/>
    <s v="Insulation"/>
    <x v="28"/>
    <s v="Sqmt"/>
    <n v="15.5"/>
    <n v="820"/>
    <n v="12710"/>
  </r>
  <r>
    <n v="339"/>
    <x v="1"/>
    <x v="35"/>
    <n v="61964"/>
    <n v="45388"/>
    <s v="Knnd Associates Pvt Ltd"/>
    <s v="Motherhood Hospital Sarjapura"/>
    <s v="Mixing Box (1000x150x300H)"/>
    <x v="0"/>
    <s v="Nos"/>
    <n v="24"/>
    <n v="648"/>
    <n v="15552"/>
  </r>
  <r>
    <n v="340"/>
    <x v="1"/>
    <x v="35"/>
    <n v="61964"/>
    <n v="45388"/>
    <s v="Knnd Associates Pvt Ltd"/>
    <s v="Motherhood Hospital Sarjapura"/>
    <s v="Mixing Box (300x300x300H)"/>
    <x v="0"/>
    <s v="Nos"/>
    <n v="2"/>
    <n v="505"/>
    <n v="1010"/>
  </r>
  <r>
    <n v="341"/>
    <x v="1"/>
    <x v="35"/>
    <n v="61964"/>
    <n v="45388"/>
    <s v="Knnd Associates Pvt Ltd"/>
    <s v="Motherhood Hospital Sarjapura"/>
    <s v="Mixing Box (375x375x300H)"/>
    <x v="0"/>
    <s v="Nos"/>
    <n v="18"/>
    <n v="556"/>
    <n v="10008"/>
  </r>
  <r>
    <n v="342"/>
    <x v="1"/>
    <x v="35"/>
    <n v="61964"/>
    <n v="45388"/>
    <s v="Knnd Associates Pvt Ltd"/>
    <s v="Motherhood Hospital Sarjapura"/>
    <s v="Spigot 150mm Dia"/>
    <x v="1"/>
    <s v="Nos"/>
    <n v="101"/>
    <n v="385"/>
    <n v="38885"/>
  </r>
  <r>
    <n v="343"/>
    <x v="1"/>
    <x v="35"/>
    <n v="61964"/>
    <n v="45388"/>
    <s v="Knnd Associates Pvt Ltd"/>
    <s v="Motherhood Hospital Sarjapura"/>
    <s v="Spigot 200mm Dia"/>
    <x v="1"/>
    <s v="Nos"/>
    <n v="17"/>
    <n v="440"/>
    <n v="7480"/>
  </r>
  <r>
    <n v="344"/>
    <x v="1"/>
    <x v="35"/>
    <n v="61964"/>
    <n v="45388"/>
    <s v="Knnd Associates Pvt Ltd"/>
    <s v="Motherhood Hospital Sarjapura"/>
    <s v="Insulation Flange"/>
    <x v="49"/>
    <s v="Sqmt"/>
    <n v="33.6"/>
    <n v="212"/>
    <n v="7123.2000000000007"/>
  </r>
  <r>
    <n v="345"/>
    <x v="1"/>
    <x v="35"/>
    <n v="61964"/>
    <n v="45388"/>
    <s v="Knnd Associates Pvt Ltd"/>
    <s v="Motherhood Hospital Sarjapura"/>
    <s v="Stretch Film"/>
    <x v="5"/>
    <s v="Sqmt"/>
    <n v="170"/>
    <n v="20"/>
    <n v="3400"/>
  </r>
  <r>
    <n v="346"/>
    <x v="1"/>
    <x v="35"/>
    <n v="61930"/>
    <n v="45389"/>
    <s v="Knnd Associates Pvt Ltd"/>
    <s v="Blackstone COE India Pvt Ltd Bangalore"/>
    <s v="Gasket"/>
    <x v="25"/>
    <s v="Rmt"/>
    <n v="1000"/>
    <n v="5"/>
    <n v="5000"/>
  </r>
  <r>
    <n v="347"/>
    <x v="1"/>
    <x v="36"/>
    <n v="61971"/>
    <n v="45390"/>
    <s v="Knnd Associates Pvt Ltd"/>
    <s v="Rajleela Ventures LLP Bangalore"/>
    <s v="Plain Sheet"/>
    <x v="0"/>
    <s v="Sqmt"/>
    <n v="30"/>
    <n v="495"/>
    <n v="14850"/>
  </r>
  <r>
    <n v="348"/>
    <x v="1"/>
    <x v="36"/>
    <n v="61970"/>
    <n v="45391"/>
    <s v="Knnd Associates Pvt Ltd"/>
    <s v="Central Market Mangalore"/>
    <s v="Box Duct with TDF"/>
    <x v="0"/>
    <s v="Sqmt"/>
    <n v="47.5"/>
    <n v="670"/>
    <n v="31825"/>
  </r>
  <r>
    <n v="349"/>
    <x v="1"/>
    <x v="36"/>
    <n v="61970"/>
    <n v="45391"/>
    <s v="Knnd Associates Pvt Ltd"/>
    <s v="Central Market Mangalore"/>
    <s v="Box Duct with TDF"/>
    <x v="1"/>
    <s v="Sqmt"/>
    <n v="9"/>
    <n v="868"/>
    <n v="7812"/>
  </r>
  <r>
    <n v="350"/>
    <x v="1"/>
    <x v="36"/>
    <n v="61970"/>
    <n v="45391"/>
    <s v="Knnd Associates Pvt Ltd"/>
    <s v="Central Market Mangalore"/>
    <s v="Box Duct with TDF"/>
    <x v="7"/>
    <s v="Sqmt"/>
    <n v="30.1"/>
    <n v="1060"/>
    <n v="31906"/>
  </r>
  <r>
    <n v="351"/>
    <x v="1"/>
    <x v="36"/>
    <n v="61970"/>
    <n v="45391"/>
    <s v="Knnd Associates Pvt Ltd"/>
    <s v="Central Market Mangalore"/>
    <s v="Box Duct with TDF"/>
    <x v="27"/>
    <s v="Sqmt"/>
    <n v="6.8"/>
    <n v="1269"/>
    <n v="8629.1999999999989"/>
  </r>
  <r>
    <n v="352"/>
    <x v="1"/>
    <x v="37"/>
    <n v="61974"/>
    <n v="45392"/>
    <s v="Knnd Associates Pvt Ltd"/>
    <s v="Minto Hospital Bangalore"/>
    <s v="Box Duct with TDF"/>
    <x v="27"/>
    <s v="Sqmt"/>
    <n v="176.3"/>
    <n v="1269"/>
    <n v="223724.7"/>
  </r>
  <r>
    <n v="353"/>
    <x v="1"/>
    <x v="37"/>
    <n v="61974"/>
    <n v="45392"/>
    <s v="Knnd Associates Pvt Ltd"/>
    <s v="Minto Hospital Bangalore"/>
    <s v="Insulation"/>
    <x v="29"/>
    <s v="Sqmt"/>
    <n v="35.299999999999997"/>
    <n v="388"/>
    <n v="13696.4"/>
  </r>
  <r>
    <n v="354"/>
    <x v="1"/>
    <x v="37"/>
    <n v="61974"/>
    <n v="45392"/>
    <s v="Knnd Associates Pvt Ltd"/>
    <s v="Minto Hospital Bangalore"/>
    <s v="Insulation"/>
    <x v="69"/>
    <s v="Sqmt"/>
    <n v="43.7"/>
    <n v="476"/>
    <n v="20801.2"/>
  </r>
  <r>
    <n v="355"/>
    <x v="1"/>
    <x v="37"/>
    <n v="61974"/>
    <n v="45392"/>
    <s v="Knnd Associates Pvt Ltd"/>
    <s v="Minto Hospital Bangalore"/>
    <s v="Insulation"/>
    <x v="70"/>
    <s v="Sqmt"/>
    <n v="60.2"/>
    <n v="507"/>
    <n v="30521.4"/>
  </r>
  <r>
    <n v="356"/>
    <x v="1"/>
    <x v="37"/>
    <n v="61974"/>
    <n v="45392"/>
    <s v="Knnd Associates Pvt Ltd"/>
    <s v="Minto Hospital Bangalore"/>
    <s v="Insulation"/>
    <x v="71"/>
    <s v="Sqmt"/>
    <n v="37.1"/>
    <n v="594"/>
    <n v="22037.4"/>
  </r>
  <r>
    <n v="357"/>
    <x v="1"/>
    <x v="37"/>
    <n v="61974"/>
    <n v="45392"/>
    <s v="Knnd Associates Pvt Ltd"/>
    <s v="Minto Hospital Bangalore"/>
    <s v="Plain Sheet"/>
    <x v="27"/>
    <s v="Sqmt"/>
    <n v="18"/>
    <n v="950"/>
    <n v="17100"/>
  </r>
  <r>
    <n v="358"/>
    <x v="1"/>
    <x v="37"/>
    <n v="61974"/>
    <n v="45393"/>
    <s v="Knnd Associates Pvt Ltd"/>
    <s v="Minto Hospital Bangalore"/>
    <s v="Box Duct with TDF"/>
    <x v="27"/>
    <s v="Sqmt"/>
    <n v="11.5"/>
    <n v="1269"/>
    <n v="14593.5"/>
  </r>
  <r>
    <n v="359"/>
    <x v="1"/>
    <x v="37"/>
    <n v="61974"/>
    <n v="45393"/>
    <s v="Knnd Associates Pvt Ltd"/>
    <s v="Minto Hospital Bangalore"/>
    <s v="Insulation"/>
    <x v="29"/>
    <s v="Sqmt"/>
    <n v="11.5"/>
    <n v="388"/>
    <n v="4462"/>
  </r>
  <r>
    <n v="360"/>
    <x v="1"/>
    <x v="37"/>
    <n v="61974"/>
    <n v="45393"/>
    <s v="Knnd Associates Pvt Ltd"/>
    <s v="Minto Hospital Bangalore"/>
    <s v="Insulation Flange"/>
    <x v="29"/>
    <s v="Sqmt"/>
    <n v="33.6"/>
    <n v="250"/>
    <n v="8400"/>
  </r>
  <r>
    <n v="361"/>
    <x v="1"/>
    <x v="37"/>
    <n v="61974"/>
    <n v="45393"/>
    <s v="Knnd Associates Pvt Ltd"/>
    <s v="Minto Hospital Bangalore"/>
    <s v="Insulation Flange"/>
    <x v="70"/>
    <s v="Sqmt"/>
    <n v="33.6"/>
    <n v="360"/>
    <n v="12096"/>
  </r>
  <r>
    <n v="362"/>
    <x v="1"/>
    <x v="37"/>
    <n v="61974"/>
    <n v="45393"/>
    <s v="Knnd Associates Pvt Ltd"/>
    <s v="Minto Hospital Bangalore"/>
    <s v="VCD (Alu. Blade)"/>
    <x v="72"/>
    <s v="Sqmt"/>
    <n v="0.8"/>
    <n v="6200"/>
    <n v="4960"/>
  </r>
  <r>
    <n v="363"/>
    <x v="1"/>
    <x v="37"/>
    <n v="61975"/>
    <n v="45394"/>
    <s v="Knnd Associates Pvt Ltd"/>
    <s v="Cheluvamba Hospital Mysore"/>
    <s v="Box Duct with TDF"/>
    <x v="27"/>
    <s v="Sqmt"/>
    <n v="92.8"/>
    <n v="1269"/>
    <n v="117763.2"/>
  </r>
  <r>
    <n v="364"/>
    <x v="1"/>
    <x v="37"/>
    <n v="61975"/>
    <n v="45394"/>
    <s v="Knnd Associates Pvt Ltd"/>
    <s v="Cheluvamba Hospital Mysore"/>
    <s v="Insulation"/>
    <x v="29"/>
    <s v="Sqmt"/>
    <n v="21.6"/>
    <n v="388"/>
    <n v="8380.8000000000011"/>
  </r>
  <r>
    <n v="365"/>
    <x v="1"/>
    <x v="37"/>
    <n v="61975"/>
    <n v="45394"/>
    <s v="Knnd Associates Pvt Ltd"/>
    <s v="Cheluvamba Hospital Mysore"/>
    <s v="Insulation"/>
    <x v="69"/>
    <s v="Sqmt"/>
    <n v="16.899999999999999"/>
    <n v="476"/>
    <n v="8044.4"/>
  </r>
  <r>
    <n v="366"/>
    <x v="1"/>
    <x v="37"/>
    <n v="61975"/>
    <n v="45394"/>
    <s v="Knnd Associates Pvt Ltd"/>
    <s v="Cheluvamba Hospital Mysore"/>
    <s v="Insulation"/>
    <x v="70"/>
    <s v="Sqmt"/>
    <n v="31.8"/>
    <n v="507"/>
    <n v="16122.6"/>
  </r>
  <r>
    <n v="367"/>
    <x v="1"/>
    <x v="37"/>
    <n v="61975"/>
    <n v="45394"/>
    <s v="Knnd Associates Pvt Ltd"/>
    <s v="Cheluvamba Hospital Mysore"/>
    <s v="Insulation"/>
    <x v="71"/>
    <s v="Sqmt"/>
    <n v="22.5"/>
    <n v="594"/>
    <n v="13365"/>
  </r>
  <r>
    <n v="368"/>
    <x v="1"/>
    <x v="37"/>
    <n v="61975"/>
    <n v="45394"/>
    <s v="Knnd Associates Pvt Ltd"/>
    <s v="Cheluvamba Hospital Mysore"/>
    <s v="Insulation Flange"/>
    <x v="29"/>
    <s v="Sqmt"/>
    <n v="16.8"/>
    <n v="250"/>
    <n v="4200"/>
  </r>
  <r>
    <n v="369"/>
    <x v="1"/>
    <x v="37"/>
    <n v="61975"/>
    <n v="45394"/>
    <s v="Knnd Associates Pvt Ltd"/>
    <s v="Cheluvamba Hospital Mysore"/>
    <s v="Insulation Flange"/>
    <x v="70"/>
    <s v="Sqmt"/>
    <n v="16.8"/>
    <n v="360"/>
    <n v="6048"/>
  </r>
  <r>
    <n v="370"/>
    <x v="1"/>
    <x v="37"/>
    <n v="61975"/>
    <n v="45394"/>
    <s v="Knnd Associates Pvt Ltd"/>
    <s v="Cheluvamba Hospital Mysore"/>
    <s v="Plain Sheet"/>
    <x v="27"/>
    <s v="Sqmt"/>
    <n v="15"/>
    <n v="950"/>
    <n v="14250"/>
  </r>
  <r>
    <n v="371"/>
    <x v="1"/>
    <x v="37"/>
    <n v="61975"/>
    <n v="45394"/>
    <s v="Knnd Associates Pvt Ltd"/>
    <s v="Cheluvamba Hospital Mysore"/>
    <s v="VCD (Alu. Blade)"/>
    <x v="72"/>
    <s v="Sqmt"/>
    <n v="0.4"/>
    <n v="6200"/>
    <n v="2480"/>
  </r>
  <r>
    <n v="372"/>
    <x v="1"/>
    <x v="38"/>
    <n v="61973"/>
    <n v="45395"/>
    <s v="Knnd Associates Pvt Ltd"/>
    <s v="Torishima Pumps Pvt Ltd Hoskote"/>
    <s v="Box Duct with TDF"/>
    <x v="0"/>
    <s v="Sqmt"/>
    <n v="39.5"/>
    <n v="670"/>
    <n v="26465"/>
  </r>
  <r>
    <n v="373"/>
    <x v="1"/>
    <x v="38"/>
    <n v="61973"/>
    <n v="45395"/>
    <s v="Knnd Associates Pvt Ltd"/>
    <s v="Torishima Pumps Pvt Ltd Hoskote"/>
    <s v="VCD (Alu. Blade)"/>
    <x v="7"/>
    <s v="Sqmt"/>
    <n v="0.4"/>
    <n v="5200"/>
    <n v="2080"/>
  </r>
  <r>
    <n v="374"/>
    <x v="1"/>
    <x v="38"/>
    <n v="61973"/>
    <n v="45395"/>
    <s v="Knnd Associates Pvt Ltd"/>
    <s v="Torishima Pumps Pvt Ltd Hoskote"/>
    <s v="Spigot 150mm Dia"/>
    <x v="1"/>
    <s v="Nos"/>
    <n v="18"/>
    <n v="385"/>
    <n v="6930"/>
  </r>
  <r>
    <n v="375"/>
    <x v="1"/>
    <x v="38"/>
    <n v="61973"/>
    <n v="45395"/>
    <s v="Knnd Associates Pvt Ltd"/>
    <s v="Torishima Pumps Pvt Ltd Hoskote"/>
    <s v="Plain Sheet"/>
    <x v="0"/>
    <s v="Sqmt"/>
    <n v="6"/>
    <n v="495"/>
    <n v="2970"/>
  </r>
  <r>
    <n v="376"/>
    <x v="1"/>
    <x v="38"/>
    <n v="61967"/>
    <n v="45396"/>
    <s v="Knnd Associates Pvt Ltd"/>
    <s v="AIIMS Hospital Madurai"/>
    <s v="Box Duct with TDF"/>
    <x v="0"/>
    <s v="Sqmt"/>
    <n v="92.6"/>
    <n v="670"/>
    <n v="62041.999999999993"/>
  </r>
  <r>
    <n v="377"/>
    <x v="1"/>
    <x v="38"/>
    <n v="61967"/>
    <n v="45396"/>
    <s v="Knnd Associates Pvt Ltd"/>
    <s v="AIIMS Hospital Madurai"/>
    <s v="Box Duct with TDF"/>
    <x v="1"/>
    <s v="Sqmt"/>
    <n v="207.1"/>
    <n v="868"/>
    <n v="179762.8"/>
  </r>
  <r>
    <n v="378"/>
    <x v="1"/>
    <x v="38"/>
    <n v="61967"/>
    <n v="45396"/>
    <s v="Knnd Associates Pvt Ltd"/>
    <s v="AIIMS Hospital Madurai"/>
    <s v="Box Duct with TDF"/>
    <x v="7"/>
    <s v="Sqmt"/>
    <n v="37.1"/>
    <n v="1060"/>
    <n v="39326"/>
  </r>
  <r>
    <n v="379"/>
    <x v="1"/>
    <x v="38"/>
    <n v="61967"/>
    <n v="45396"/>
    <s v="Knnd Associates Pvt Ltd"/>
    <s v="AIIMS Hospital Madurai"/>
    <s v="Insulation"/>
    <x v="66"/>
    <s v="Sqmt"/>
    <n v="242"/>
    <n v="415"/>
    <n v="100430"/>
  </r>
  <r>
    <n v="380"/>
    <x v="1"/>
    <x v="38"/>
    <n v="61967"/>
    <n v="45396"/>
    <s v="Knnd Associates Pvt Ltd"/>
    <s v="AIIMS Hospital Madurai"/>
    <s v="Insulation"/>
    <x v="67"/>
    <s v="Sqmt"/>
    <n v="94.8"/>
    <n v="465"/>
    <n v="44082"/>
  </r>
  <r>
    <n v="381"/>
    <x v="1"/>
    <x v="38"/>
    <n v="61967"/>
    <n v="45396"/>
    <s v="Knnd Associates Pvt Ltd"/>
    <s v="AIIMS Hospital Madurai"/>
    <s v="Insulation Flange"/>
    <x v="66"/>
    <s v="Sqmt"/>
    <n v="100.8"/>
    <n v="251"/>
    <n v="25300.799999999999"/>
  </r>
  <r>
    <n v="382"/>
    <x v="1"/>
    <x v="38"/>
    <n v="61967"/>
    <n v="45396"/>
    <s v="Knnd Associates Pvt Ltd"/>
    <s v="AIIMS Hospital Madurai"/>
    <s v="Plain Sheet"/>
    <x v="0"/>
    <s v="Sqmt"/>
    <n v="30"/>
    <n v="495"/>
    <n v="14850"/>
  </r>
  <r>
    <n v="383"/>
    <x v="1"/>
    <x v="38"/>
    <n v="61967"/>
    <n v="45396"/>
    <s v="Knnd Associates Pvt Ltd"/>
    <s v="AIIMS Hospital Madurai"/>
    <s v="Plain Sheet"/>
    <x v="1"/>
    <s v="Sqmt"/>
    <n v="15"/>
    <n v="625"/>
    <n v="9375"/>
  </r>
  <r>
    <n v="384"/>
    <x v="1"/>
    <x v="38"/>
    <n v="61967"/>
    <n v="45396"/>
    <s v="Knnd Associates Pvt Ltd"/>
    <s v="AIIMS Hospital Madurai"/>
    <s v="Stretch Film"/>
    <x v="5"/>
    <s v="Sqmt"/>
    <n v="380"/>
    <n v="20"/>
    <n v="7600"/>
  </r>
  <r>
    <n v="385"/>
    <x v="1"/>
    <x v="39"/>
    <n v="61840"/>
    <n v="45397"/>
    <s v="Knnd Associates Pvt Ltd"/>
    <s v="Ginni Devi Goel Manipal Hospital Raipur"/>
    <s v="Box Duct with TDF (L-shape)"/>
    <x v="50"/>
    <s v="Sqmt"/>
    <n v="1152.5999999999999"/>
    <n v="475"/>
    <n v="547485"/>
  </r>
  <r>
    <n v="386"/>
    <x v="1"/>
    <x v="39"/>
    <n v="61840"/>
    <n v="45397"/>
    <s v="Knnd Associates Pvt Ltd"/>
    <s v="Ginni Devi Goel Manipal Hospital Raipur"/>
    <s v="Box Duct with TDF (L-shape)"/>
    <x v="0"/>
    <s v="Sqmt"/>
    <n v="103.7"/>
    <n v="525"/>
    <n v="54442.5"/>
  </r>
  <r>
    <n v="387"/>
    <x v="1"/>
    <x v="39"/>
    <n v="61840"/>
    <n v="45397"/>
    <s v="Knnd Associates Pvt Ltd"/>
    <s v="Ginni Devi Goel Manipal Hospital Raipur"/>
    <s v="Box Duct with TDF (L-shape)"/>
    <x v="1"/>
    <s v="Sqmt"/>
    <n v="87.6"/>
    <n v="685"/>
    <n v="60005.999999999993"/>
  </r>
  <r>
    <n v="388"/>
    <x v="1"/>
    <x v="39"/>
    <n v="61840"/>
    <n v="45397"/>
    <s v="Knnd Associates Pvt Ltd"/>
    <s v="Ginni Devi Goel Manipal Hospital Raipur"/>
    <s v="Corners"/>
    <x v="65"/>
    <s v="Nos"/>
    <n v="1000"/>
    <n v="10"/>
    <n v="10000"/>
  </r>
  <r>
    <n v="389"/>
    <x v="1"/>
    <x v="39"/>
    <n v="61840"/>
    <n v="45397"/>
    <s v="Knnd Associates Pvt Ltd"/>
    <s v="Ginni Devi Goel Manipal Hospital Raipur"/>
    <s v="Stretch Rolls"/>
    <x v="6"/>
    <s v="Nos"/>
    <n v="2"/>
    <n v="810"/>
    <n v="1620"/>
  </r>
  <r>
    <n v="390"/>
    <x v="1"/>
    <x v="40"/>
    <n v="61972"/>
    <n v="45398"/>
    <s v="Knnd Associates Pvt Ltd"/>
    <s v="Infosys Noida SDB-1"/>
    <s v="Box Duct with TDF"/>
    <x v="0"/>
    <s v="Sqmt"/>
    <n v="42.7"/>
    <n v="670"/>
    <n v="28609.000000000004"/>
  </r>
  <r>
    <n v="391"/>
    <x v="1"/>
    <x v="40"/>
    <n v="61972"/>
    <n v="45398"/>
    <s v="Knnd Associates Pvt Ltd"/>
    <s v="Infosys Noida SDB-1"/>
    <s v="Box Duct with TDF"/>
    <x v="1"/>
    <s v="Sqmt"/>
    <n v="99.9"/>
    <n v="868"/>
    <n v="86713.200000000012"/>
  </r>
  <r>
    <n v="392"/>
    <x v="1"/>
    <x v="40"/>
    <n v="61972"/>
    <n v="45398"/>
    <s v="Knnd Associates Pvt Ltd"/>
    <s v="Infosys Noida SDB-1"/>
    <s v="Box Duct with TDF"/>
    <x v="7"/>
    <s v="Sqmt"/>
    <n v="44.4"/>
    <n v="1060"/>
    <n v="47064"/>
  </r>
  <r>
    <n v="393"/>
    <x v="1"/>
    <x v="40"/>
    <n v="61972"/>
    <n v="45398"/>
    <s v="Knnd Associates Pvt Ltd"/>
    <s v="Infosys Noida SDB-1"/>
    <s v="Spiral Round Duct"/>
    <x v="9"/>
    <s v="Sqmt"/>
    <n v="54.3"/>
    <n v="620"/>
    <n v="33666"/>
  </r>
  <r>
    <n v="394"/>
    <x v="1"/>
    <x v="40"/>
    <n v="61972"/>
    <n v="45398"/>
    <s v="Knnd Associates Pvt Ltd"/>
    <s v="Infosys Noida SDB-1"/>
    <s v="Round Coupling"/>
    <x v="10"/>
    <s v="Sqmt"/>
    <n v="2"/>
    <n v="770"/>
    <n v="1540"/>
  </r>
  <r>
    <n v="395"/>
    <x v="1"/>
    <x v="40"/>
    <n v="61972"/>
    <n v="45398"/>
    <s v="Knnd Associates Pvt Ltd"/>
    <s v="Infosys Noida SDB-1"/>
    <s v="Insulation"/>
    <x v="52"/>
    <s v="Sqmt"/>
    <n v="60"/>
    <n v="703"/>
    <n v="42180"/>
  </r>
  <r>
    <n v="396"/>
    <x v="1"/>
    <x v="40"/>
    <n v="61972"/>
    <n v="45398"/>
    <s v="Knnd Associates Pvt Ltd"/>
    <s v="Infosys Noida SDB-1"/>
    <s v="Insulation"/>
    <x v="3"/>
    <s v="Sqmt"/>
    <n v="10.3"/>
    <n v="838"/>
    <n v="8631.4000000000015"/>
  </r>
  <r>
    <n v="397"/>
    <x v="1"/>
    <x v="40"/>
    <n v="61972"/>
    <n v="45398"/>
    <s v="Knnd Associates Pvt Ltd"/>
    <s v="Infosys Noida SDB-1"/>
    <s v="Round Flange 1100mm Dia"/>
    <x v="8"/>
    <s v="Nos"/>
    <n v="4"/>
    <n v="1625"/>
    <n v="6500"/>
  </r>
  <r>
    <n v="398"/>
    <x v="1"/>
    <x v="40"/>
    <n v="61972"/>
    <n v="45398"/>
    <s v="Knnd Associates Pvt Ltd"/>
    <s v="Infosys Noida SDB-1"/>
    <s v="Round Flange (450mm Dia)"/>
    <x v="8"/>
    <s v="Nos"/>
    <n v="8"/>
    <n v="780"/>
    <n v="6240"/>
  </r>
  <r>
    <n v="399"/>
    <x v="1"/>
    <x v="40"/>
    <n v="61972"/>
    <n v="45398"/>
    <s v="Knnd Associates Pvt Ltd"/>
    <s v="Infosys Noida SDB-1"/>
    <s v="Plain Sheet"/>
    <x v="0"/>
    <s v="Sqmt"/>
    <n v="60"/>
    <n v="495"/>
    <n v="29700"/>
  </r>
  <r>
    <n v="400"/>
    <x v="1"/>
    <x v="40"/>
    <n v="61972"/>
    <n v="45398"/>
    <s v="Knnd Associates Pvt Ltd"/>
    <s v="Infosys Noida SDB-1"/>
    <s v="Gasket"/>
    <x v="25"/>
    <s v="Rmt"/>
    <n v="500"/>
    <n v="8"/>
    <n v="4000"/>
  </r>
  <r>
    <n v="401"/>
    <x v="1"/>
    <x v="40"/>
    <n v="61768"/>
    <n v="45399"/>
    <s v="Camduct India Pvt Ltd-Haryana"/>
    <s v="Camduct India Pvt Ltd-Haryana Branch"/>
    <s v="Stock Transfer"/>
    <x v="73"/>
    <s v="Nos"/>
    <n v="5000"/>
    <n v="8"/>
    <n v="40000"/>
  </r>
  <r>
    <n v="402"/>
    <x v="1"/>
    <x v="40"/>
    <n v="61768"/>
    <n v="45399"/>
    <s v="Camduct India Pvt Ltd-Haryana"/>
    <s v="Camduct India Pvt Ltd-Haryana Branch"/>
    <s v="Stock Transfer"/>
    <x v="74"/>
    <s v="Nos"/>
    <n v="100"/>
    <n v="36"/>
    <n v="3600"/>
  </r>
  <r>
    <n v="403"/>
    <x v="2"/>
    <x v="41"/>
    <n v="61977"/>
    <n v="45400"/>
    <s v="Knnd Associates Pvt Ltd"/>
    <s v="MAHE Hostel block-5 Bangalore"/>
    <s v="Spiral Round Duct"/>
    <x v="9"/>
    <s v="Sqmt"/>
    <n v="306"/>
    <n v="620"/>
    <n v="189720"/>
  </r>
  <r>
    <n v="404"/>
    <x v="2"/>
    <x v="41"/>
    <n v="61978"/>
    <n v="45401"/>
    <s v="Knnd Associates Pvt Ltd"/>
    <s v="Manipal Health Enterprises Pvt Ltd Jaipur"/>
    <s v="Box Duct with TDF"/>
    <x v="0"/>
    <s v="Sqmt"/>
    <n v="33.299999999999997"/>
    <n v="670"/>
    <n v="22310.999999999996"/>
  </r>
  <r>
    <n v="405"/>
    <x v="2"/>
    <x v="41"/>
    <n v="61978"/>
    <n v="45401"/>
    <s v="Knnd Associates Pvt Ltd"/>
    <s v="Manipal Health Enterprises Pvt Ltd Jaipur"/>
    <s v="Box Duct with TDF"/>
    <x v="1"/>
    <s v="Sqmt"/>
    <n v="3.6"/>
    <n v="868"/>
    <n v="3124.8"/>
  </r>
  <r>
    <n v="406"/>
    <x v="2"/>
    <x v="41"/>
    <n v="61978"/>
    <n v="45401"/>
    <s v="Knnd Associates Pvt Ltd"/>
    <s v="Manipal Health Enterprises Pvt Ltd Jaipur"/>
    <s v="VCD (Alu. Blade)"/>
    <x v="7"/>
    <s v="Sqmt"/>
    <n v="0.6"/>
    <n v="5200"/>
    <n v="3120"/>
  </r>
  <r>
    <n v="407"/>
    <x v="2"/>
    <x v="41"/>
    <n v="61978"/>
    <n v="45401"/>
    <s v="Knnd Associates Pvt Ltd"/>
    <s v="Manipal Health Enterprises Pvt Ltd Jaipur"/>
    <s v="Insulation"/>
    <x v="49"/>
    <s v="Sqmt"/>
    <n v="33.299999999999997"/>
    <n v="345"/>
    <n v="11488.499999999998"/>
  </r>
  <r>
    <n v="408"/>
    <x v="2"/>
    <x v="41"/>
    <n v="61978"/>
    <n v="45401"/>
    <s v="Knnd Associates Pvt Ltd"/>
    <s v="Manipal Health Enterprises Pvt Ltd Jaipur"/>
    <s v="Insulation"/>
    <x v="54"/>
    <s v="Sqmt"/>
    <n v="3.6"/>
    <n v="615"/>
    <n v="2214"/>
  </r>
  <r>
    <n v="409"/>
    <x v="2"/>
    <x v="41"/>
    <n v="61978"/>
    <n v="45401"/>
    <s v="Knnd Associates Pvt Ltd"/>
    <s v="Manipal Health Enterprises Pvt Ltd Jaipur"/>
    <s v="Insulation Flange"/>
    <x v="49"/>
    <s v="Sqmt"/>
    <n v="50.4"/>
    <n v="190"/>
    <n v="9576"/>
  </r>
  <r>
    <n v="410"/>
    <x v="2"/>
    <x v="41"/>
    <n v="61978"/>
    <n v="45401"/>
    <s v="Knnd Associates Pvt Ltd"/>
    <s v="Manipal Health Enterprises Pvt Ltd Jaipur"/>
    <s v="Insulation"/>
    <x v="54"/>
    <s v="Sqmt"/>
    <n v="10"/>
    <n v="425"/>
    <n v="4250"/>
  </r>
  <r>
    <n v="411"/>
    <x v="2"/>
    <x v="41"/>
    <n v="61978"/>
    <n v="45401"/>
    <s v="Knnd Associates Pvt Ltd"/>
    <s v="Manipal Health Enterprises Pvt Ltd Jaipur"/>
    <s v="Plain Sheet"/>
    <x v="0"/>
    <s v="Sqmt"/>
    <n v="45"/>
    <n v="495"/>
    <n v="22275"/>
  </r>
  <r>
    <n v="412"/>
    <x v="2"/>
    <x v="41"/>
    <n v="61978"/>
    <n v="45401"/>
    <s v="Knnd Associates Pvt Ltd"/>
    <s v="Manipal Health Enterprises Pvt Ltd Jaipur"/>
    <s v="Spigot 200mm Dia"/>
    <x v="1"/>
    <s v="Nos"/>
    <n v="15"/>
    <n v="440"/>
    <n v="6600"/>
  </r>
  <r>
    <n v="413"/>
    <x v="2"/>
    <x v="41"/>
    <n v="61978"/>
    <n v="45401"/>
    <s v="Knnd Associates Pvt Ltd"/>
    <s v="Manipal Health Enterprises Pvt Ltd Jaipur"/>
    <s v="Mixing Box (450x450x350H)"/>
    <x v="0"/>
    <s v="Nos"/>
    <n v="20"/>
    <n v="755"/>
    <n v="15100"/>
  </r>
  <r>
    <n v="414"/>
    <x v="2"/>
    <x v="41"/>
    <n v="61978"/>
    <n v="45401"/>
    <s v="Knnd Associates Pvt Ltd"/>
    <s v="Manipal Health Enterprises Pvt Ltd Jaipur"/>
    <s v="Stretch Film"/>
    <x v="5"/>
    <s v="Sqmt"/>
    <n v="40"/>
    <n v="20"/>
    <n v="800"/>
  </r>
  <r>
    <n v="415"/>
    <x v="2"/>
    <x v="41"/>
    <n v="61976"/>
    <n v="45402"/>
    <s v="Knnd Associates Pvt Ltd"/>
    <s v="IISC Medical School Foundation Bangalore"/>
    <s v="Mixing Box (300x300x250Hx150mm Dia)"/>
    <x v="0"/>
    <s v="Nos"/>
    <n v="168"/>
    <n v="420"/>
    <n v="70560"/>
  </r>
  <r>
    <n v="416"/>
    <x v="2"/>
    <x v="41"/>
    <n v="61976"/>
    <n v="45402"/>
    <s v="Knnd Associates Pvt Ltd"/>
    <s v="IISC Medical School Foundation Bangalore"/>
    <s v="Mixing Box (375x375x300Hx200mm Dia)"/>
    <x v="0"/>
    <s v="Nos"/>
    <n v="387"/>
    <n v="435"/>
    <n v="168345"/>
  </r>
  <r>
    <n v="417"/>
    <x v="2"/>
    <x v="41"/>
    <n v="61976"/>
    <n v="45402"/>
    <s v="Knnd Associates Pvt Ltd"/>
    <s v="IISC Medical School Foundation Bangalore"/>
    <s v="Mixing Box (1000x150x250Hx150mm Dia)"/>
    <x v="0"/>
    <s v="Nos"/>
    <n v="20"/>
    <n v="693"/>
    <n v="13860"/>
  </r>
  <r>
    <n v="418"/>
    <x v="2"/>
    <x v="41"/>
    <n v="61976"/>
    <n v="45402"/>
    <s v="Knnd Associates Pvt Ltd"/>
    <s v="IISC Medical School Foundation Bangalore"/>
    <s v="Mixing Box (1000x150x300Hx200mm Dia)"/>
    <x v="0"/>
    <s v="Nos"/>
    <n v="83"/>
    <n v="660"/>
    <n v="54780"/>
  </r>
  <r>
    <n v="419"/>
    <x v="2"/>
    <x v="41"/>
    <n v="61976"/>
    <n v="45402"/>
    <s v="Knnd Associates Pvt Ltd"/>
    <s v="IISC Medical School Foundation Bangalore"/>
    <s v="Insulation"/>
    <x v="17"/>
    <s v="Sqmt"/>
    <n v="488.76421000000005"/>
    <n v="441"/>
    <n v="215545.01661000002"/>
  </r>
  <r>
    <n v="420"/>
    <x v="2"/>
    <x v="41"/>
    <n v="61976"/>
    <n v="45402"/>
    <s v="Knnd Associates Pvt Ltd"/>
    <s v="IISC Medical School Foundation Bangalore"/>
    <s v="ArmaComp Uniskin Tape(3mmX50)"/>
    <x v="16"/>
    <s v="Nos"/>
    <n v="130"/>
    <n v="190"/>
    <n v="24700"/>
  </r>
  <r>
    <n v="421"/>
    <x v="2"/>
    <x v="42"/>
    <n v="61974"/>
    <n v="45403"/>
    <s v="Knnd Associates Pvt Ltd"/>
    <s v="Minto Hospital Bangalore"/>
    <s v="Insulation Flange"/>
    <x v="29"/>
    <s v="Sqmt"/>
    <n v="16.8"/>
    <n v="250"/>
    <n v="4200"/>
  </r>
  <r>
    <n v="422"/>
    <x v="2"/>
    <x v="42"/>
    <n v="61974"/>
    <n v="45403"/>
    <s v="Knnd Associates Pvt Ltd"/>
    <s v="Minto Hospital Bangalore"/>
    <s v="Insulation Flange"/>
    <x v="70"/>
    <s v="Sqmt"/>
    <n v="16.8"/>
    <n v="360"/>
    <n v="6048"/>
  </r>
  <r>
    <n v="423"/>
    <x v="2"/>
    <x v="42"/>
    <n v="61974"/>
    <n v="45403"/>
    <s v="Knnd Associates Pvt Ltd"/>
    <s v="Minto Hospital Bangalore"/>
    <s v="Plain Sheet"/>
    <x v="27"/>
    <s v="Sqmt"/>
    <n v="18"/>
    <n v="950"/>
    <n v="17100"/>
  </r>
  <r>
    <n v="424"/>
    <x v="2"/>
    <x v="43"/>
    <n v="61976"/>
    <n v="45404"/>
    <s v="Knnd Associates Pvt Ltd"/>
    <s v="IISC Medical School Foundation Bangalore"/>
    <s v="Mixing Box (300x300x250Hx150mm Dia)"/>
    <x v="0"/>
    <s v="Nos"/>
    <n v="59"/>
    <n v="420"/>
    <n v="24780"/>
  </r>
  <r>
    <n v="425"/>
    <x v="2"/>
    <x v="43"/>
    <n v="61976"/>
    <n v="45404"/>
    <s v="Knnd Associates Pvt Ltd"/>
    <s v="IISC Medical School Foundation Bangalore"/>
    <s v="Mixing Box (300x300x300Hx200mm Dia)"/>
    <x v="0"/>
    <s v="Nos"/>
    <n v="14"/>
    <n v="508"/>
    <n v="7112"/>
  </r>
  <r>
    <n v="426"/>
    <x v="2"/>
    <x v="43"/>
    <n v="61976"/>
    <n v="45404"/>
    <s v="Knnd Associates Pvt Ltd"/>
    <s v="IISC Medical School Foundation Bangalore"/>
    <s v="Mixing Box (375x375x350Hx250mm Dia)"/>
    <x v="0"/>
    <s v="Nos"/>
    <n v="46"/>
    <n v="560"/>
    <n v="25760"/>
  </r>
  <r>
    <n v="427"/>
    <x v="2"/>
    <x v="43"/>
    <n v="61976"/>
    <n v="45404"/>
    <s v="Knnd Associates Pvt Ltd"/>
    <s v="IISC Medical School Foundation Bangalore"/>
    <s v="Mixing Box (450x450x400Hx300mm Dia)"/>
    <x v="0"/>
    <s v="Nos"/>
    <n v="1"/>
    <n v="894"/>
    <n v="894"/>
  </r>
  <r>
    <n v="428"/>
    <x v="2"/>
    <x v="43"/>
    <n v="61976"/>
    <n v="45404"/>
    <s v="Knnd Associates Pvt Ltd"/>
    <s v="IISC Medical School Foundation Bangalore"/>
    <s v="Mixing Box (1000x150x250Hx150mm Dia)"/>
    <x v="0"/>
    <s v="Nos"/>
    <n v="8"/>
    <n v="693"/>
    <n v="5544"/>
  </r>
  <r>
    <n v="429"/>
    <x v="2"/>
    <x v="43"/>
    <n v="61976"/>
    <n v="45404"/>
    <s v="Knnd Associates Pvt Ltd"/>
    <s v="IISC Medical School Foundation Bangalore"/>
    <s v="Mixing Box (1000x150x300Hx200mm Dia)"/>
    <x v="0"/>
    <s v="Nos"/>
    <n v="25"/>
    <n v="660"/>
    <n v="16500"/>
  </r>
  <r>
    <n v="430"/>
    <x v="2"/>
    <x v="43"/>
    <n v="61976"/>
    <n v="45404"/>
    <s v="Knnd Associates Pvt Ltd"/>
    <s v="IISC Medical School Foundation Bangalore"/>
    <s v="Insulation"/>
    <x v="17"/>
    <s v="Sqmt"/>
    <n v="109.42180000000002"/>
    <n v="441"/>
    <n v="48255.013800000008"/>
  </r>
  <r>
    <n v="431"/>
    <x v="2"/>
    <x v="43"/>
    <n v="61976"/>
    <n v="45404"/>
    <s v="Knnd Associates Pvt Ltd"/>
    <s v="IISC Medical School Foundation Bangalore"/>
    <s v="ArmaComp Uniskin Tape(3mmX50)"/>
    <x v="16"/>
    <s v="Nos"/>
    <n v="46"/>
    <n v="190"/>
    <n v="8740"/>
  </r>
  <r>
    <n v="432"/>
    <x v="2"/>
    <x v="43"/>
    <n v="61988"/>
    <n v="45405"/>
    <s v="Knnd Associates Pvt Ltd"/>
    <s v="Blackstone COE India Pvt Ltd Bangalore"/>
    <s v="Mixing Box (1100x175x400Hx250mm Dia)"/>
    <x v="0"/>
    <s v="Nos"/>
    <n v="165"/>
    <n v="1103"/>
    <n v="181995"/>
  </r>
  <r>
    <n v="433"/>
    <x v="2"/>
    <x v="43"/>
    <n v="61988"/>
    <n v="45405"/>
    <s v="Knnd Associates Pvt Ltd"/>
    <s v="Blackstone COE India Pvt Ltd Bangalore"/>
    <s v="Insulation"/>
    <x v="2"/>
    <s v="Sqmt"/>
    <n v="218.09690000000001"/>
    <n v="289"/>
    <n v="63030.004099999998"/>
  </r>
  <r>
    <n v="434"/>
    <x v="2"/>
    <x v="43"/>
    <n v="61988"/>
    <n v="45405"/>
    <s v="Knnd Associates Pvt Ltd"/>
    <s v="Blackstone COE India Pvt Ltd Bangalore"/>
    <s v="Insulation Flange"/>
    <x v="26"/>
    <s v="Nos"/>
    <n v="300"/>
    <n v="154"/>
    <n v="46200"/>
  </r>
  <r>
    <n v="435"/>
    <x v="2"/>
    <x v="44"/>
    <n v="61979"/>
    <n v="45406"/>
    <s v="Knnd Associates Pvt Ltd"/>
    <s v="MAHE Lecture Hall Campus Bangalore"/>
    <s v="Pressure Testing of Ducts"/>
    <x v="51"/>
    <s v="Sqmt"/>
    <n v="165.3"/>
    <n v="35"/>
    <n v="5785.5"/>
  </r>
  <r>
    <n v="436"/>
    <x v="2"/>
    <x v="44"/>
    <n v="61980"/>
    <n v="45407"/>
    <s v="Knnd Associates Pvt Ltd"/>
    <s v="IISC Medical School Foundation Bangalore"/>
    <s v="Pressure Testing of Ducts"/>
    <x v="51"/>
    <s v="Sqmt"/>
    <n v="1085.5999999999999"/>
    <n v="35"/>
    <n v="37996"/>
  </r>
  <r>
    <n v="437"/>
    <x v="2"/>
    <x v="44"/>
    <n v="61981"/>
    <n v="45408"/>
    <s v="Knnd Associates Pvt Ltd"/>
    <s v="Motherhood Hospital Sarjapura"/>
    <s v="Pressure Testing of Ducts"/>
    <x v="51"/>
    <s v="Sqmt"/>
    <n v="607.29999999999995"/>
    <n v="35"/>
    <n v="21255.5"/>
  </r>
  <r>
    <n v="438"/>
    <x v="2"/>
    <x v="44"/>
    <n v="61982"/>
    <n v="45409"/>
    <s v="Knnd Associates Pvt Ltd"/>
    <s v="Chanakya University HB-3A Bangalore"/>
    <s v="Pressure Testing of Ducts"/>
    <x v="51"/>
    <s v="Sqmt"/>
    <n v="136"/>
    <n v="35"/>
    <n v="4760"/>
  </r>
  <r>
    <n v="439"/>
    <x v="2"/>
    <x v="44"/>
    <n v="61983"/>
    <n v="45410"/>
    <s v="Knnd Associates Pvt Ltd"/>
    <s v="Central Market Mangalore"/>
    <s v="Pressure Testing of Ducts"/>
    <x v="51"/>
    <s v="Sqmt"/>
    <n v="93.4"/>
    <n v="35"/>
    <n v="3269"/>
  </r>
  <r>
    <n v="440"/>
    <x v="2"/>
    <x v="44"/>
    <n v="61984"/>
    <n v="45411"/>
    <s v="Knnd Associates Pvt Ltd"/>
    <s v="Minto Hospital Bangalore"/>
    <s v="Pressure Testing of Ducts"/>
    <x v="51"/>
    <s v="Sqmt"/>
    <n v="280.60000000000002"/>
    <n v="35"/>
    <n v="9821"/>
  </r>
  <r>
    <n v="441"/>
    <x v="2"/>
    <x v="44"/>
    <n v="61985"/>
    <n v="45412"/>
    <s v="Knnd Associates Pvt Ltd"/>
    <s v="AIIMS Hospital Madurai"/>
    <s v="Pressure Testing of Ducts"/>
    <x v="51"/>
    <s v="Sqmt"/>
    <n v="627.1"/>
    <n v="35"/>
    <n v="21948.5"/>
  </r>
  <r>
    <n v="442"/>
    <x v="2"/>
    <x v="44"/>
    <n v="61986"/>
    <n v="45413"/>
    <s v="Knnd Associates Pvt Ltd"/>
    <s v="Motherhood Hospital Coimabatore"/>
    <s v="Pressure Testing of Ducts"/>
    <x v="51"/>
    <s v="Sqmt"/>
    <n v="322.7"/>
    <n v="35"/>
    <n v="11294.5"/>
  </r>
  <r>
    <n v="443"/>
    <x v="2"/>
    <x v="44"/>
    <n v="61987"/>
    <n v="45414"/>
    <s v="Knnd Associates Pvt Ltd"/>
    <s v="Infosys Noida SDB-1"/>
    <s v="Pressure Testing of Ducts"/>
    <x v="51"/>
    <s v="Sqmt"/>
    <n v="243.3"/>
    <n v="35"/>
    <n v="8515.5"/>
  </r>
  <r>
    <n v="444"/>
    <x v="2"/>
    <x v="45"/>
    <n v="61989"/>
    <n v="45415"/>
    <s v="Knnd Associates Pvt Ltd"/>
    <s v="Schneider Electric Bangalore"/>
    <s v="Box Duct with TDF"/>
    <x v="0"/>
    <s v="Sqmt"/>
    <n v="92.9"/>
    <n v="670"/>
    <n v="62243.000000000007"/>
  </r>
  <r>
    <n v="445"/>
    <x v="2"/>
    <x v="45"/>
    <n v="61989"/>
    <n v="45415"/>
    <s v="Knnd Associates Pvt Ltd"/>
    <s v="Schneider Electric Bangalore"/>
    <s v="Box Duct with TDF"/>
    <x v="1"/>
    <s v="Sqmt"/>
    <n v="78.5"/>
    <n v="868"/>
    <n v="68138"/>
  </r>
  <r>
    <n v="446"/>
    <x v="2"/>
    <x v="45"/>
    <n v="61990"/>
    <n v="45416"/>
    <s v="Knnd Associates Pvt Ltd"/>
    <s v="Sanjay Gandhi Hospital Bangalore"/>
    <s v="Box Duct with TDF"/>
    <x v="27"/>
    <s v="Sqmt"/>
    <n v="127.2"/>
    <n v="1269"/>
    <n v="161416.80000000002"/>
  </r>
  <r>
    <n v="447"/>
    <x v="2"/>
    <x v="45"/>
    <n v="61990"/>
    <n v="45416"/>
    <s v="Knnd Associates Pvt Ltd"/>
    <s v="Sanjay Gandhi Hospital Bangalore"/>
    <s v="Insulation"/>
    <x v="29"/>
    <s v="Sqmt"/>
    <n v="20.8"/>
    <n v="388"/>
    <n v="8070.4000000000005"/>
  </r>
  <r>
    <n v="448"/>
    <x v="2"/>
    <x v="45"/>
    <n v="61990"/>
    <n v="45416"/>
    <s v="Knnd Associates Pvt Ltd"/>
    <s v="Sanjay Gandhi Hospital Bangalore"/>
    <s v="Insulation"/>
    <x v="69"/>
    <s v="Sqmt"/>
    <n v="20.100000000000001"/>
    <n v="476"/>
    <n v="9567.6"/>
  </r>
  <r>
    <n v="449"/>
    <x v="2"/>
    <x v="45"/>
    <n v="61990"/>
    <n v="45416"/>
    <s v="Knnd Associates Pvt Ltd"/>
    <s v="Sanjay Gandhi Hospital Bangalore"/>
    <s v="Insulation"/>
    <x v="70"/>
    <s v="Sqmt"/>
    <n v="47.8"/>
    <n v="507"/>
    <n v="24234.6"/>
  </r>
  <r>
    <n v="450"/>
    <x v="2"/>
    <x v="45"/>
    <n v="61990"/>
    <n v="45416"/>
    <s v="Knnd Associates Pvt Ltd"/>
    <s v="Sanjay Gandhi Hospital Bangalore"/>
    <s v="Insulation"/>
    <x v="71"/>
    <s v="Sqmt"/>
    <n v="38.5"/>
    <n v="594"/>
    <n v="22869"/>
  </r>
  <r>
    <n v="451"/>
    <x v="2"/>
    <x v="45"/>
    <n v="61990"/>
    <n v="45416"/>
    <s v="Knnd Associates Pvt Ltd"/>
    <s v="Sanjay Gandhi Hospital Bangalore"/>
    <s v="Insulation Flange"/>
    <x v="29"/>
    <s v="Sqmt"/>
    <n v="16.8"/>
    <n v="250"/>
    <n v="4200"/>
  </r>
  <r>
    <n v="452"/>
    <x v="2"/>
    <x v="45"/>
    <n v="61990"/>
    <n v="45416"/>
    <s v="Knnd Associates Pvt Ltd"/>
    <s v="Sanjay Gandhi Hospital Bangalore"/>
    <s v="Insulation Flange"/>
    <x v="70"/>
    <s v="Sqmt"/>
    <n v="16.8"/>
    <n v="360"/>
    <n v="6048"/>
  </r>
  <r>
    <n v="453"/>
    <x v="2"/>
    <x v="45"/>
    <n v="61990"/>
    <n v="45416"/>
    <s v="Knnd Associates Pvt Ltd"/>
    <s v="Sanjay Gandhi Hospital Bangalore"/>
    <s v="Plain Sheet"/>
    <x v="27"/>
    <s v="Sqmt"/>
    <n v="18"/>
    <n v="950"/>
    <n v="17100"/>
  </r>
  <r>
    <n v="454"/>
    <x v="2"/>
    <x v="45"/>
    <n v="61990"/>
    <n v="45416"/>
    <s v="Knnd Associates Pvt Ltd"/>
    <s v="Sanjay Gandhi Hospital Bangalore"/>
    <s v="VCD (Alu. Blade)"/>
    <x v="72"/>
    <s v="Sqmt"/>
    <n v="0.4"/>
    <n v="6200"/>
    <n v="2480"/>
  </r>
  <r>
    <n v="455"/>
    <x v="2"/>
    <x v="45"/>
    <n v="61930"/>
    <n v="45417"/>
    <s v="Knnd Associates Pvt Ltd"/>
    <s v="Blackstone COE India Pvt Ltd Bangalore"/>
    <s v="Box Duct with TDF"/>
    <x v="0"/>
    <s v="Sqmt"/>
    <n v="13.4"/>
    <n v="585"/>
    <n v="7839"/>
  </r>
  <r>
    <n v="456"/>
    <x v="2"/>
    <x v="45"/>
    <n v="61930"/>
    <n v="45417"/>
    <s v="Knnd Associates Pvt Ltd"/>
    <s v="Blackstone COE India Pvt Ltd Bangalore"/>
    <s v="Box Duct with TDF"/>
    <x v="1"/>
    <s v="Sqmt"/>
    <n v="14.5"/>
    <n v="790"/>
    <n v="11455"/>
  </r>
  <r>
    <n v="457"/>
    <x v="2"/>
    <x v="45"/>
    <n v="61930"/>
    <n v="45417"/>
    <s v="Knnd Associates Pvt Ltd"/>
    <s v="Blackstone COE India Pvt Ltd Bangalore"/>
    <s v="Box Duct with TDF"/>
    <x v="7"/>
    <s v="Sqmt"/>
    <n v="50.7"/>
    <n v="915"/>
    <n v="46390.5"/>
  </r>
  <r>
    <n v="458"/>
    <x v="2"/>
    <x v="45"/>
    <n v="61930"/>
    <n v="45417"/>
    <s v="Knnd Associates Pvt Ltd"/>
    <s v="Blackstone COE India Pvt Ltd Bangalore"/>
    <s v="Insulation"/>
    <x v="2"/>
    <s v="Sqmt"/>
    <n v="4"/>
    <n v="289"/>
    <n v="1156"/>
  </r>
  <r>
    <n v="459"/>
    <x v="2"/>
    <x v="45"/>
    <n v="61930"/>
    <n v="45417"/>
    <s v="Knnd Associates Pvt Ltd"/>
    <s v="Blackstone COE India Pvt Ltd Bangalore"/>
    <s v="Insulation"/>
    <x v="4"/>
    <s v="Sqmt"/>
    <n v="74.599999999999994"/>
    <n v="1271"/>
    <n v="94816.599999999991"/>
  </r>
  <r>
    <n v="460"/>
    <x v="2"/>
    <x v="45"/>
    <n v="61930"/>
    <n v="45417"/>
    <s v="Knnd Associates Pvt Ltd"/>
    <s v="Blackstone COE India Pvt Ltd Bangalore"/>
    <s v="Stretch Film"/>
    <x v="5"/>
    <s v="Sqmt"/>
    <n v="10"/>
    <n v="15"/>
    <n v="150"/>
  </r>
  <r>
    <n v="461"/>
    <x v="2"/>
    <x v="45"/>
    <n v="61988"/>
    <n v="45418"/>
    <s v="Knnd Associates Pvt Ltd"/>
    <s v="Blackstone COE India Pvt Ltd Bangalore"/>
    <s v="Mixing Box (450x450x350Hx250mm Dia)"/>
    <x v="0"/>
    <s v="Nos"/>
    <n v="9"/>
    <n v="757"/>
    <n v="6813"/>
  </r>
  <r>
    <n v="462"/>
    <x v="2"/>
    <x v="45"/>
    <n v="61988"/>
    <n v="45418"/>
    <s v="Knnd Associates Pvt Ltd"/>
    <s v="Blackstone COE India Pvt Ltd Bangalore"/>
    <s v="Mixing Box (1100x175x400Hx250mm Dia)"/>
    <x v="0"/>
    <s v="Nos"/>
    <n v="77"/>
    <n v="1103"/>
    <n v="84931"/>
  </r>
  <r>
    <n v="463"/>
    <x v="2"/>
    <x v="45"/>
    <n v="61988"/>
    <n v="45418"/>
    <s v="Knnd Associates Pvt Ltd"/>
    <s v="Blackstone COE India Pvt Ltd Bangalore"/>
    <s v="Mixing Box (1300x175x400Hx250mm Dia)"/>
    <x v="0"/>
    <s v="Nos"/>
    <n v="33"/>
    <n v="1195"/>
    <n v="39435"/>
  </r>
  <r>
    <n v="464"/>
    <x v="2"/>
    <x v="45"/>
    <n v="61988"/>
    <n v="45418"/>
    <s v="Knnd Associates Pvt Ltd"/>
    <s v="Blackstone COE India Pvt Ltd Bangalore"/>
    <s v="Insulation"/>
    <x v="2"/>
    <s v="Sqmt"/>
    <n v="160.78199999999998"/>
    <n v="289"/>
    <n v="46465.997999999992"/>
  </r>
  <r>
    <n v="465"/>
    <x v="2"/>
    <x v="45"/>
    <n v="61988"/>
    <n v="45418"/>
    <s v="Knnd Associates Pvt Ltd"/>
    <s v="Blackstone COE India Pvt Ltd Bangalore"/>
    <s v="Insulation Flange"/>
    <x v="26"/>
    <s v="Nos"/>
    <n v="100"/>
    <n v="154"/>
    <n v="15400"/>
  </r>
  <r>
    <n v="466"/>
    <x v="2"/>
    <x v="45"/>
    <n v="61988"/>
    <n v="45418"/>
    <s v="Knnd Associates Pvt Ltd"/>
    <s v="Blackstone COE India Pvt Ltd Bangalore"/>
    <s v="Cleats"/>
    <x v="64"/>
    <s v="Nos"/>
    <n v="1500"/>
    <n v="8"/>
    <n v="12000"/>
  </r>
  <r>
    <n v="467"/>
    <x v="2"/>
    <x v="45"/>
    <n v="61988"/>
    <n v="45418"/>
    <s v="Knnd Associates Pvt Ltd"/>
    <s v="Blackstone COE India Pvt Ltd Bangalore"/>
    <s v="Gasket"/>
    <x v="25"/>
    <s v="Rmt"/>
    <n v="500"/>
    <n v="5"/>
    <n v="2500"/>
  </r>
  <r>
    <n v="468"/>
    <x v="2"/>
    <x v="45"/>
    <n v="61988"/>
    <n v="45418"/>
    <s v="Knnd Associates Pvt Ltd"/>
    <s v="Blackstone COE India Pvt Ltd Bangalore"/>
    <s v="Corners"/>
    <x v="65"/>
    <s v="Nos"/>
    <n v="300"/>
    <n v="10"/>
    <n v="3000"/>
  </r>
  <r>
    <n v="469"/>
    <x v="2"/>
    <x v="45"/>
    <n v="61991"/>
    <n v="45419"/>
    <s v="Knnd Associates Pvt Ltd"/>
    <s v="Mallegowda District Hospital Chikkamagaluru"/>
    <s v="Box Duct with TDF"/>
    <x v="27"/>
    <s v="Sqmt"/>
    <n v="161.30000000000001"/>
    <n v="1269"/>
    <n v="204689.7"/>
  </r>
  <r>
    <n v="470"/>
    <x v="2"/>
    <x v="45"/>
    <n v="61991"/>
    <n v="45419"/>
    <s v="Knnd Associates Pvt Ltd"/>
    <s v="Mallegowda District Hospital Chikkamagaluru"/>
    <s v="Insulation"/>
    <x v="29"/>
    <s v="Sqmt"/>
    <n v="37.1"/>
    <n v="388"/>
    <n v="14394.800000000001"/>
  </r>
  <r>
    <n v="471"/>
    <x v="2"/>
    <x v="45"/>
    <n v="61991"/>
    <n v="45419"/>
    <s v="Knnd Associates Pvt Ltd"/>
    <s v="Mallegowda District Hospital Chikkamagaluru"/>
    <s v="Insulation"/>
    <x v="69"/>
    <s v="Sqmt"/>
    <n v="37.9"/>
    <n v="476"/>
    <n v="18040.399999999998"/>
  </r>
  <r>
    <n v="472"/>
    <x v="2"/>
    <x v="45"/>
    <n v="61991"/>
    <n v="45419"/>
    <s v="Knnd Associates Pvt Ltd"/>
    <s v="Mallegowda District Hospital Chikkamagaluru"/>
    <s v="Insulation"/>
    <x v="70"/>
    <s v="Sqmt"/>
    <n v="56.5"/>
    <n v="507"/>
    <n v="28645.5"/>
  </r>
  <r>
    <n v="473"/>
    <x v="2"/>
    <x v="45"/>
    <n v="61991"/>
    <n v="45419"/>
    <s v="Knnd Associates Pvt Ltd"/>
    <s v="Mallegowda District Hospital Chikkamagaluru"/>
    <s v="Insulation"/>
    <x v="71"/>
    <s v="Sqmt"/>
    <n v="29.8"/>
    <n v="594"/>
    <n v="17701.2"/>
  </r>
  <r>
    <n v="474"/>
    <x v="2"/>
    <x v="45"/>
    <n v="61991"/>
    <n v="45419"/>
    <s v="Knnd Associates Pvt Ltd"/>
    <s v="Mallegowda District Hospital Chikkamagaluru"/>
    <s v="Insulation Flange"/>
    <x v="29"/>
    <s v="Sqmt"/>
    <n v="33.6"/>
    <n v="250"/>
    <n v="8400"/>
  </r>
  <r>
    <n v="475"/>
    <x v="2"/>
    <x v="45"/>
    <n v="61991"/>
    <n v="45419"/>
    <s v="Knnd Associates Pvt Ltd"/>
    <s v="Mallegowda District Hospital Chikkamagaluru"/>
    <s v="Insulation Flange"/>
    <x v="70"/>
    <s v="Sqmt"/>
    <n v="33.6"/>
    <n v="360"/>
    <n v="12096"/>
  </r>
  <r>
    <n v="476"/>
    <x v="2"/>
    <x v="45"/>
    <n v="61991"/>
    <n v="45419"/>
    <s v="Knnd Associates Pvt Ltd"/>
    <s v="Mallegowda District Hospital Chikkamagaluru"/>
    <s v="Plain Sheet"/>
    <x v="27"/>
    <s v="Sqmt"/>
    <n v="24"/>
    <n v="950"/>
    <n v="22800"/>
  </r>
  <r>
    <n v="477"/>
    <x v="2"/>
    <x v="45"/>
    <n v="61991"/>
    <n v="45419"/>
    <s v="Knnd Associates Pvt Ltd"/>
    <s v="Mallegowda District Hospital Chikkamagaluru"/>
    <s v="VCD (Alu. Blade)"/>
    <x v="72"/>
    <s v="Sqmt"/>
    <n v="0.8"/>
    <n v="6200"/>
    <n v="4960"/>
  </r>
  <r>
    <n v="478"/>
    <x v="2"/>
    <x v="46"/>
    <n v="61977"/>
    <n v="45420"/>
    <s v="Knnd Associates Pvt Ltd"/>
    <s v="MAHE Hostel block-5 Bangalore"/>
    <s v="Spiral Round Duct"/>
    <x v="9"/>
    <s v="Sqmt"/>
    <n v="6.8"/>
    <n v="620"/>
    <n v="4216"/>
  </r>
  <r>
    <n v="479"/>
    <x v="2"/>
    <x v="46"/>
    <n v="61977"/>
    <n v="45420"/>
    <s v="Knnd Associates Pvt Ltd"/>
    <s v="MAHE Hostel block-5 Bangalore"/>
    <s v="Round Coupling"/>
    <x v="10"/>
    <s v="Sqmt"/>
    <n v="6.3"/>
    <n v="770"/>
    <n v="4851"/>
  </r>
  <r>
    <n v="480"/>
    <x v="2"/>
    <x v="46"/>
    <n v="61977"/>
    <n v="45420"/>
    <s v="Knnd Associates Pvt Ltd"/>
    <s v="MAHE Hostel block-5 Bangalore"/>
    <s v="Round Elbow 90° (200mm Dia)"/>
    <x v="0"/>
    <s v="Nos"/>
    <n v="48"/>
    <n v="375"/>
    <n v="18000"/>
  </r>
  <r>
    <n v="481"/>
    <x v="2"/>
    <x v="46"/>
    <n v="61977"/>
    <n v="45420"/>
    <s v="Knnd Associates Pvt Ltd"/>
    <s v="MAHE Hostel block-5 Bangalore"/>
    <s v="Round Collar 150 Dia"/>
    <x v="0"/>
    <s v="Nos"/>
    <n v="312"/>
    <n v="100"/>
    <n v="31200"/>
  </r>
  <r>
    <n v="482"/>
    <x v="2"/>
    <x v="46"/>
    <n v="61977"/>
    <n v="45420"/>
    <s v="Knnd Associates Pvt Ltd"/>
    <s v="MAHE Hostel block-5 Bangalore"/>
    <s v="Round Collar 200 Dia"/>
    <x v="0"/>
    <s v="Nos"/>
    <n v="24"/>
    <n v="120"/>
    <n v="2880"/>
  </r>
  <r>
    <n v="483"/>
    <x v="2"/>
    <x v="46"/>
    <n v="61977"/>
    <n v="45420"/>
    <s v="Knnd Associates Pvt Ltd"/>
    <s v="MAHE Hostel block-5 Bangalore"/>
    <s v="Spigot 150mm Dia"/>
    <x v="1"/>
    <s v="Nos"/>
    <n v="312"/>
    <n v="385"/>
    <n v="120120"/>
  </r>
  <r>
    <n v="484"/>
    <x v="2"/>
    <x v="46"/>
    <n v="61992"/>
    <n v="45421"/>
    <s v="Knnd Associates Pvt Ltd"/>
    <s v="MAHE Hostel block-5 Bangalore"/>
    <s v="Spiral Round Duct"/>
    <x v="9"/>
    <s v="Sqmt"/>
    <n v="248.3"/>
    <n v="578"/>
    <n v="143517.4"/>
  </r>
  <r>
    <n v="485"/>
    <x v="2"/>
    <x v="46"/>
    <n v="61992"/>
    <n v="45421"/>
    <s v="Knnd Associates Pvt Ltd"/>
    <s v="MAHE Hostel block-5 Bangalore"/>
    <s v="Round T Piece (150x150mm)"/>
    <x v="0"/>
    <s v="Nos"/>
    <n v="16"/>
    <n v="350"/>
    <n v="5600"/>
  </r>
  <r>
    <n v="486"/>
    <x v="2"/>
    <x v="46"/>
    <n v="61992"/>
    <n v="45421"/>
    <s v="Knnd Associates Pvt Ltd"/>
    <s v="MAHE Hostel block-5 Bangalore"/>
    <s v="Round T Piece (200x150mm)"/>
    <x v="0"/>
    <s v="Nos"/>
    <n v="28"/>
    <n v="380"/>
    <n v="10640"/>
  </r>
  <r>
    <n v="487"/>
    <x v="2"/>
    <x v="46"/>
    <n v="61992"/>
    <n v="45421"/>
    <s v="Knnd Associates Pvt Ltd"/>
    <s v="MAHE Hostel block-5 Bangalore"/>
    <s v="Round T Piece (250x150mm)"/>
    <x v="0"/>
    <s v="Nos"/>
    <n v="28"/>
    <n v="530"/>
    <n v="14840"/>
  </r>
  <r>
    <n v="488"/>
    <x v="2"/>
    <x v="46"/>
    <n v="61992"/>
    <n v="45421"/>
    <s v="Knnd Associates Pvt Ltd"/>
    <s v="MAHE Hostel block-5 Bangalore"/>
    <s v="Round Reducer (200x150mm)"/>
    <x v="0"/>
    <s v="Nos"/>
    <n v="8"/>
    <n v="295"/>
    <n v="2360"/>
  </r>
  <r>
    <n v="489"/>
    <x v="2"/>
    <x v="46"/>
    <n v="61992"/>
    <n v="45421"/>
    <s v="Knnd Associates Pvt Ltd"/>
    <s v="MAHE Hostel block-5 Bangalore"/>
    <s v="Round Reducer (250x200mm)"/>
    <x v="0"/>
    <s v="Nos"/>
    <n v="8"/>
    <n v="390"/>
    <n v="3120"/>
  </r>
  <r>
    <n v="490"/>
    <x v="2"/>
    <x v="46"/>
    <n v="61992"/>
    <n v="45421"/>
    <s v="Knnd Associates Pvt Ltd"/>
    <s v="MAHE Hostel block-5 Bangalore"/>
    <s v="Round Elbow 90° (250mm Dia)"/>
    <x v="0"/>
    <s v="Nos"/>
    <n v="10"/>
    <n v="395"/>
    <n v="3950"/>
  </r>
  <r>
    <n v="491"/>
    <x v="2"/>
    <x v="47"/>
    <n v="61992"/>
    <n v="45422"/>
    <s v="Knnd Associates Pvt Ltd"/>
    <s v="MAHE Hostel block-5 Bangalore"/>
    <s v="Spiral Round Duct"/>
    <x v="9"/>
    <s v="Sqmt"/>
    <n v="51"/>
    <n v="578"/>
    <n v="29478"/>
  </r>
  <r>
    <n v="492"/>
    <x v="2"/>
    <x v="47"/>
    <n v="61992"/>
    <n v="45422"/>
    <s v="Knnd Associates Pvt Ltd"/>
    <s v="MAHE Hostel block-5 Bangalore"/>
    <s v="Round T Piece (150x150mm)"/>
    <x v="0"/>
    <s v="Nos"/>
    <n v="30"/>
    <n v="350"/>
    <n v="10500"/>
  </r>
  <r>
    <n v="493"/>
    <x v="2"/>
    <x v="47"/>
    <n v="61992"/>
    <n v="45422"/>
    <s v="Knnd Associates Pvt Ltd"/>
    <s v="MAHE Hostel block-5 Bangalore"/>
    <s v="Round T Piece (200x150mm)"/>
    <x v="0"/>
    <s v="Nos"/>
    <n v="58"/>
    <n v="380"/>
    <n v="22040"/>
  </r>
  <r>
    <n v="494"/>
    <x v="2"/>
    <x v="47"/>
    <n v="61992"/>
    <n v="45422"/>
    <s v="Knnd Associates Pvt Ltd"/>
    <s v="MAHE Hostel block-5 Bangalore"/>
    <s v="Round T Piece (250x150mm)"/>
    <x v="0"/>
    <s v="Nos"/>
    <n v="92"/>
    <n v="530"/>
    <n v="48760"/>
  </r>
  <r>
    <n v="495"/>
    <x v="2"/>
    <x v="47"/>
    <n v="61992"/>
    <n v="45422"/>
    <s v="Knnd Associates Pvt Ltd"/>
    <s v="MAHE Hostel block-5 Bangalore"/>
    <s v="Round Reducer (200x150mm)"/>
    <x v="0"/>
    <s v="Nos"/>
    <n v="38"/>
    <n v="295"/>
    <n v="11210"/>
  </r>
  <r>
    <n v="496"/>
    <x v="2"/>
    <x v="47"/>
    <n v="61992"/>
    <n v="45422"/>
    <s v="Knnd Associates Pvt Ltd"/>
    <s v="MAHE Hostel block-5 Bangalore"/>
    <s v="Round Reducer (250x200mm)"/>
    <x v="0"/>
    <s v="Nos"/>
    <n v="38"/>
    <n v="390"/>
    <n v="14820"/>
  </r>
  <r>
    <n v="497"/>
    <x v="2"/>
    <x v="47"/>
    <n v="61992"/>
    <n v="45422"/>
    <s v="Knnd Associates Pvt Ltd"/>
    <s v="MAHE Hostel block-5 Bangalore"/>
    <s v="Round Elbow 90° (250mm Dia)"/>
    <x v="0"/>
    <s v="Nos"/>
    <n v="36"/>
    <n v="395"/>
    <n v="14220"/>
  </r>
  <r>
    <n v="498"/>
    <x v="2"/>
    <x v="47"/>
    <n v="61992"/>
    <n v="45422"/>
    <s v="Knnd Associates Pvt Ltd"/>
    <s v="MAHE Hostel block-5 Bangalore"/>
    <s v="Round Collar 150 Dia"/>
    <x v="0"/>
    <s v="Nos"/>
    <n v="35"/>
    <n v="100"/>
    <n v="3500"/>
  </r>
  <r>
    <n v="499"/>
    <x v="2"/>
    <x v="47"/>
    <n v="61992"/>
    <n v="45422"/>
    <s v="Knnd Associates Pvt Ltd"/>
    <s v="MAHE Hostel block-5 Bangalore"/>
    <s v="Round Collar 250 Dia"/>
    <x v="0"/>
    <s v="Nos"/>
    <n v="75"/>
    <n v="140"/>
    <n v="10500"/>
  </r>
  <r>
    <n v="500"/>
    <x v="2"/>
    <x v="47"/>
    <n v="61992"/>
    <n v="45422"/>
    <s v="Knnd Associates Pvt Ltd"/>
    <s v="MAHE Hostel block-5 Bangalore"/>
    <s v="Round Collar 300 Dia"/>
    <x v="0"/>
    <s v="Nos"/>
    <n v="25"/>
    <n v="180"/>
    <n v="4500"/>
  </r>
  <r>
    <n v="501"/>
    <x v="2"/>
    <x v="47"/>
    <n v="61988"/>
    <n v="45423"/>
    <s v="Knnd Associates Pvt Ltd"/>
    <s v="Blackstone COE India Pvt Ltd Bangalore"/>
    <s v="Mixing Box (1100x175x400Hx250mm Dia)"/>
    <x v="0"/>
    <s v="Nos"/>
    <n v="118"/>
    <n v="1103"/>
    <n v="130154"/>
  </r>
  <r>
    <n v="502"/>
    <x v="2"/>
    <x v="47"/>
    <n v="61988"/>
    <n v="45423"/>
    <s v="Knnd Associates Pvt Ltd"/>
    <s v="Blackstone COE India Pvt Ltd Bangalore"/>
    <s v="Mixing Box (1300x175x400Hx250mm Dia)"/>
    <x v="0"/>
    <s v="Nos"/>
    <n v="50"/>
    <n v="1195"/>
    <n v="59750"/>
  </r>
  <r>
    <n v="503"/>
    <x v="2"/>
    <x v="47"/>
    <n v="61988"/>
    <n v="45423"/>
    <s v="Knnd Associates Pvt Ltd"/>
    <s v="Blackstone COE India Pvt Ltd Bangalore"/>
    <s v="Insulation"/>
    <x v="2"/>
    <s v="Sqmt"/>
    <n v="232.96193"/>
    <n v="289"/>
    <n v="67325.997770000002"/>
  </r>
  <r>
    <n v="504"/>
    <x v="2"/>
    <x v="47"/>
    <n v="61988"/>
    <n v="45423"/>
    <s v="Knnd Associates Pvt Ltd"/>
    <s v="Blackstone COE India Pvt Ltd Bangalore"/>
    <s v="Insulation Flange"/>
    <x v="26"/>
    <s v="Nos"/>
    <n v="100"/>
    <n v="154"/>
    <n v="15400"/>
  </r>
  <r>
    <n v="505"/>
    <x v="2"/>
    <x v="47"/>
    <n v="61849"/>
    <n v="45424"/>
    <s v="Techno Fabricators"/>
    <s v="Thalasseri Hotel &amp; Kannur Kerala "/>
    <s v="Spiral Oval Duct"/>
    <x v="9"/>
    <s v="Sqmt"/>
    <n v="13.1"/>
    <n v="710"/>
    <n v="9301"/>
  </r>
  <r>
    <n v="506"/>
    <x v="2"/>
    <x v="47"/>
    <n v="61849"/>
    <n v="45424"/>
    <s v="Techno Fabricators"/>
    <s v="Thalasseri Hotel &amp; Kannur Kerala "/>
    <s v="Spiral Oval Duct"/>
    <x v="10"/>
    <s v="Sqmt"/>
    <n v="5.9"/>
    <n v="865"/>
    <n v="5103.5"/>
  </r>
  <r>
    <n v="507"/>
    <x v="2"/>
    <x v="47"/>
    <n v="61849"/>
    <n v="45424"/>
    <s v="Techno Fabricators"/>
    <s v="Thalasseri Hotel &amp; Kannur Kerala "/>
    <s v="Spiral Oval Coupling"/>
    <x v="18"/>
    <s v="Sqmt"/>
    <n v="0.6"/>
    <n v="960"/>
    <n v="576"/>
  </r>
  <r>
    <n v="508"/>
    <x v="2"/>
    <x v="47"/>
    <n v="61849"/>
    <n v="45424"/>
    <s v="Techno Fabricators"/>
    <s v="Thalasseri Hotel &amp; Kannur Kerala "/>
    <s v="Spiral Round Duct"/>
    <x v="9"/>
    <s v="Sqmt"/>
    <n v="20.6"/>
    <n v="620"/>
    <n v="12772"/>
  </r>
  <r>
    <n v="509"/>
    <x v="2"/>
    <x v="47"/>
    <n v="61849"/>
    <n v="45424"/>
    <s v="Techno Fabricators"/>
    <s v="Thalasseri Hotel &amp; Kannur Kerala "/>
    <s v="Round Coupling"/>
    <x v="10"/>
    <s v="Sqmt"/>
    <n v="0.9"/>
    <n v="770"/>
    <n v="693"/>
  </r>
  <r>
    <n v="510"/>
    <x v="2"/>
    <x v="47"/>
    <n v="61849"/>
    <n v="45424"/>
    <s v="Techno Fabricators"/>
    <s v="Thalasseri Hotel &amp; Kannur Kerala "/>
    <s v="Insulation"/>
    <x v="48"/>
    <s v="Sqmt"/>
    <n v="41.1"/>
    <n v="320"/>
    <n v="13152"/>
  </r>
  <r>
    <n v="511"/>
    <x v="2"/>
    <x v="48"/>
    <n v="61988"/>
    <n v="45425"/>
    <s v="Knnd Associates Pvt Ltd"/>
    <s v="Blackstone COE India Pvt Ltd Bangalore"/>
    <s v="Mixing Box (450x450x350Hx250mm Dia)"/>
    <x v="0"/>
    <s v="Nos"/>
    <n v="5"/>
    <n v="757"/>
    <n v="3785"/>
  </r>
  <r>
    <n v="512"/>
    <x v="2"/>
    <x v="48"/>
    <n v="61988"/>
    <n v="45425"/>
    <s v="Knnd Associates Pvt Ltd"/>
    <s v="Blackstone COE India Pvt Ltd Bangalore"/>
    <s v="Mixing Box (1100x175x400Hx250mm Dia)"/>
    <x v="0"/>
    <s v="Nos"/>
    <n v="226"/>
    <n v="1103"/>
    <n v="249278"/>
  </r>
  <r>
    <n v="513"/>
    <x v="2"/>
    <x v="48"/>
    <n v="61988"/>
    <n v="45425"/>
    <s v="Knnd Associates Pvt Ltd"/>
    <s v="Blackstone COE India Pvt Ltd Bangalore"/>
    <s v="Mixing Box (1300x175x400Hx250mm Dia)"/>
    <x v="0"/>
    <s v="Nos"/>
    <n v="75"/>
    <n v="1195"/>
    <n v="89625"/>
  </r>
  <r>
    <n v="514"/>
    <x v="2"/>
    <x v="48"/>
    <n v="61988"/>
    <n v="45425"/>
    <s v="Knnd Associates Pvt Ltd"/>
    <s v="Blackstone COE India Pvt Ltd Bangalore"/>
    <s v="Insulation"/>
    <x v="2"/>
    <s v="Sqmt"/>
    <n v="418.76125000000002"/>
    <n v="289"/>
    <n v="121022.00125"/>
  </r>
  <r>
    <n v="515"/>
    <x v="2"/>
    <x v="48"/>
    <n v="61988"/>
    <n v="45425"/>
    <s v="Knnd Associates Pvt Ltd"/>
    <s v="Blackstone COE India Pvt Ltd Bangalore"/>
    <s v="Insulation Flange"/>
    <x v="26"/>
    <s v="Nos"/>
    <n v="360"/>
    <n v="154"/>
    <n v="55440"/>
  </r>
  <r>
    <n v="516"/>
    <x v="2"/>
    <x v="49"/>
    <n v="61993"/>
    <n v="45426"/>
    <s v="Knnd Associates Pvt Ltd"/>
    <s v="Infosys Bangalore B-3,4&amp;5"/>
    <s v="Mixing Box (595x595x350H)"/>
    <x v="0"/>
    <s v="Nos"/>
    <n v="89"/>
    <n v="987"/>
    <n v="87843"/>
  </r>
  <r>
    <n v="517"/>
    <x v="2"/>
    <x v="49"/>
    <n v="61993"/>
    <n v="45426"/>
    <s v="Knnd Associates Pvt Ltd"/>
    <s v="Infosys Bangalore B-3,4&amp;5"/>
    <s v="Mixing Box (600x100x350H)"/>
    <x v="0"/>
    <s v="Nos"/>
    <n v="3"/>
    <n v="482"/>
    <n v="1446"/>
  </r>
  <r>
    <n v="518"/>
    <x v="2"/>
    <x v="49"/>
    <n v="61993"/>
    <n v="45426"/>
    <s v="Knnd Associates Pvt Ltd"/>
    <s v="Infosys Bangalore B-3,4&amp;5"/>
    <s v="Mixing Box (600x150x350H)"/>
    <x v="0"/>
    <s v="Nos"/>
    <n v="40"/>
    <n v="542"/>
    <n v="21680"/>
  </r>
  <r>
    <n v="519"/>
    <x v="2"/>
    <x v="49"/>
    <n v="61993"/>
    <n v="45426"/>
    <s v="Knnd Associates Pvt Ltd"/>
    <s v="Infosys Bangalore B-3,4&amp;5"/>
    <s v="Mixing Box (600x200x350H)"/>
    <x v="0"/>
    <s v="Nos"/>
    <n v="3"/>
    <n v="645"/>
    <n v="1935"/>
  </r>
  <r>
    <n v="520"/>
    <x v="2"/>
    <x v="49"/>
    <n v="61993"/>
    <n v="45426"/>
    <s v="Knnd Associates Pvt Ltd"/>
    <s v="Infosys Bangalore B-3,4&amp;5"/>
    <s v="Mixing Box (1000x150x350H)"/>
    <x v="0"/>
    <s v="Nos"/>
    <n v="1"/>
    <n v="726"/>
    <n v="726"/>
  </r>
  <r>
    <n v="521"/>
    <x v="2"/>
    <x v="49"/>
    <n v="61993"/>
    <n v="45426"/>
    <s v="Knnd Associates Pvt Ltd"/>
    <s v="Infosys Bangalore B-3,4&amp;5"/>
    <s v="Insulation"/>
    <x v="75"/>
    <s v="Sqmt"/>
    <n v="105.97423000000001"/>
    <n v="582"/>
    <n v="61677.001860000004"/>
  </r>
  <r>
    <n v="522"/>
    <x v="2"/>
    <x v="49"/>
    <n v="61993"/>
    <n v="45426"/>
    <s v="Knnd Associates Pvt Ltd"/>
    <s v="Infosys Bangalore B-3,4&amp;5"/>
    <s v="Insulation"/>
    <x v="3"/>
    <s v="Sqmt"/>
    <n v="29.720000000000002"/>
    <n v="900"/>
    <n v="26748.000000000004"/>
  </r>
  <r>
    <n v="523"/>
    <x v="2"/>
    <x v="50"/>
    <n v="61928"/>
    <n v="45427"/>
    <s v="Knnd Associates Pvt Ltd"/>
    <s v="Rajeev Gandhi Hospital Bangalore"/>
    <s v="Box Duct with TDF"/>
    <x v="27"/>
    <s v="Sqmt"/>
    <n v="19.899999999999999"/>
    <n v="1269"/>
    <n v="25253.1"/>
  </r>
  <r>
    <n v="524"/>
    <x v="2"/>
    <x v="50"/>
    <n v="61928"/>
    <n v="45427"/>
    <s v="Knnd Associates Pvt Ltd"/>
    <s v="Rajeev Gandhi Hospital Bangalore"/>
    <s v="Insulation"/>
    <x v="70"/>
    <s v="Sqmt"/>
    <n v="9"/>
    <n v="507"/>
    <n v="4563"/>
  </r>
  <r>
    <n v="525"/>
    <x v="2"/>
    <x v="50"/>
    <n v="61928"/>
    <n v="45427"/>
    <s v="Knnd Associates Pvt Ltd"/>
    <s v="Rajeev Gandhi Hospital Bangalore"/>
    <s v="Insulation"/>
    <x v="71"/>
    <s v="Sqmt"/>
    <n v="10.9"/>
    <n v="594"/>
    <n v="6474.6"/>
  </r>
  <r>
    <n v="526"/>
    <x v="2"/>
    <x v="50"/>
    <n v="61928"/>
    <n v="45427"/>
    <s v="Knnd Associates Pvt Ltd"/>
    <s v="Rajeev Gandhi Hospital Bangalore"/>
    <s v="Plain Sheet"/>
    <x v="27"/>
    <s v="Sqmt"/>
    <n v="9"/>
    <n v="920"/>
    <n v="8280"/>
  </r>
  <r>
    <n v="527"/>
    <x v="2"/>
    <x v="50"/>
    <n v="61928"/>
    <n v="45427"/>
    <s v="Knnd Associates Pvt Ltd"/>
    <s v="Rajeev Gandhi Hospital Bangalore"/>
    <s v="Insulation Flange"/>
    <x v="29"/>
    <s v="Sqmt"/>
    <n v="16.8"/>
    <n v="250"/>
    <n v="4200"/>
  </r>
  <r>
    <n v="528"/>
    <x v="2"/>
    <x v="50"/>
    <n v="61928"/>
    <n v="45427"/>
    <s v="Knnd Associates Pvt Ltd"/>
    <s v="Rajeev Gandhi Hospital Bangalore"/>
    <s v="Insulation Flange"/>
    <x v="70"/>
    <s v="Sqmt"/>
    <n v="16.8"/>
    <n v="360"/>
    <n v="6048"/>
  </r>
  <r>
    <n v="529"/>
    <x v="2"/>
    <x v="50"/>
    <n v="61995"/>
    <n v="45428"/>
    <s v="Eqube Energy &amp; Research Services LLP"/>
    <s v="Gold Hill Excelsior Bangalore"/>
    <s v="Box Duct with TDF"/>
    <x v="0"/>
    <s v="Sqmt"/>
    <n v="15.6"/>
    <n v="670"/>
    <n v="10452"/>
  </r>
  <r>
    <n v="530"/>
    <x v="2"/>
    <x v="50"/>
    <n v="61995"/>
    <n v="45428"/>
    <s v="Eqube Energy &amp; Research Services LLP"/>
    <s v="Gold Hill Excelsior Bangalore"/>
    <s v="Box Duct with TDF"/>
    <x v="1"/>
    <s v="Sqmt"/>
    <n v="1.7"/>
    <n v="868"/>
    <n v="1475.6"/>
  </r>
  <r>
    <n v="531"/>
    <x v="2"/>
    <x v="50"/>
    <n v="61995"/>
    <n v="45428"/>
    <s v="Eqube Energy &amp; Research Services LLP"/>
    <s v="Gold Hill Excelsior Bangalore"/>
    <s v="Mixing Box (450x450x350Hx300mm Dia)"/>
    <x v="0"/>
    <s v="Nos"/>
    <n v="3"/>
    <n v="750"/>
    <n v="2250"/>
  </r>
  <r>
    <n v="532"/>
    <x v="2"/>
    <x v="50"/>
    <n v="61995"/>
    <n v="45428"/>
    <s v="Eqube Energy &amp; Research Services LLP"/>
    <s v="Gold Hill Excelsior Bangalore"/>
    <s v="Spigot 300mm Dia"/>
    <x v="1"/>
    <s v="Nos"/>
    <n v="3"/>
    <n v="660"/>
    <n v="1980"/>
  </r>
  <r>
    <n v="533"/>
    <x v="2"/>
    <x v="50"/>
    <n v="61994"/>
    <n v="45429"/>
    <s v="Knnd Associates Pvt Ltd"/>
    <s v="Zentech Business Park Bangalore"/>
    <s v="Box Duct with TDF"/>
    <x v="0"/>
    <s v="Sqmt"/>
    <n v="464.4"/>
    <n v="670"/>
    <n v="311148"/>
  </r>
  <r>
    <n v="534"/>
    <x v="2"/>
    <x v="51"/>
    <n v="61930"/>
    <n v="45430"/>
    <s v="Knnd Associates Pvt Ltd"/>
    <s v="Blackstone COE India Pvt Ltd Bangalore"/>
    <s v="Box Duct with TDF"/>
    <x v="0"/>
    <s v="Sqmt"/>
    <n v="62.6"/>
    <n v="585"/>
    <n v="36621"/>
  </r>
  <r>
    <n v="535"/>
    <x v="2"/>
    <x v="51"/>
    <n v="61930"/>
    <n v="45430"/>
    <s v="Knnd Associates Pvt Ltd"/>
    <s v="Blackstone COE India Pvt Ltd Bangalore"/>
    <s v="Insulation"/>
    <x v="2"/>
    <s v="Sqmt"/>
    <n v="34"/>
    <n v="289"/>
    <n v="9826"/>
  </r>
  <r>
    <n v="536"/>
    <x v="2"/>
    <x v="51"/>
    <n v="61930"/>
    <n v="45430"/>
    <s v="Knnd Associates Pvt Ltd"/>
    <s v="Blackstone COE India Pvt Ltd Bangalore"/>
    <s v="Insulation"/>
    <x v="3"/>
    <s v="Sqmt"/>
    <n v="28.6"/>
    <n v="805"/>
    <n v="23023"/>
  </r>
  <r>
    <n v="537"/>
    <x v="2"/>
    <x v="51"/>
    <n v="61930"/>
    <n v="45430"/>
    <s v="Knnd Associates Pvt Ltd"/>
    <s v="Blackstone COE India Pvt Ltd Bangalore"/>
    <s v="Stretch Film"/>
    <x v="5"/>
    <s v="Sqmt"/>
    <n v="45"/>
    <n v="15"/>
    <n v="675"/>
  </r>
  <r>
    <n v="538"/>
    <x v="2"/>
    <x v="51"/>
    <n v="61996"/>
    <n v="45431"/>
    <s v="Knnd Associates Pvt Ltd"/>
    <s v="Infosys SDB-8 Hyderabad"/>
    <s v="VCD (Alu. Blade)"/>
    <x v="7"/>
    <s v="Sqmt"/>
    <n v="4.3"/>
    <n v="5200"/>
    <n v="22360"/>
  </r>
  <r>
    <n v="539"/>
    <x v="2"/>
    <x v="52"/>
    <n v="61955"/>
    <n v="45432"/>
    <s v="Knnd Associates Pvt Ltd"/>
    <s v="MAHE Lecture Hall Campus Bangalore"/>
    <s v="Box Duct with TDF"/>
    <x v="0"/>
    <s v="Sqmt"/>
    <n v="79.599999999999994"/>
    <n v="670"/>
    <n v="53331.999999999993"/>
  </r>
  <r>
    <n v="540"/>
    <x v="2"/>
    <x v="52"/>
    <n v="61955"/>
    <n v="45432"/>
    <s v="Knnd Associates Pvt Ltd"/>
    <s v="MAHE Lecture Hall Campus Bangalore"/>
    <s v="Box Duct with TDF"/>
    <x v="1"/>
    <s v="Sqmt"/>
    <n v="117.6"/>
    <n v="868"/>
    <n v="102076.79999999999"/>
  </r>
  <r>
    <n v="541"/>
    <x v="2"/>
    <x v="52"/>
    <n v="61955"/>
    <n v="45432"/>
    <s v="Knnd Associates Pvt Ltd"/>
    <s v="MAHE Lecture Hall Campus Bangalore"/>
    <s v="Insulation"/>
    <x v="28"/>
    <s v="Sqmt"/>
    <n v="197.2"/>
    <n v="820"/>
    <n v="161704"/>
  </r>
  <r>
    <n v="542"/>
    <x v="2"/>
    <x v="52"/>
    <n v="61955"/>
    <n v="45433"/>
    <s v="Knnd Associates Pvt Ltd"/>
    <s v="MAHE Lecture Hall Campus Bangalore"/>
    <s v="Box Duct with TDF"/>
    <x v="0"/>
    <s v="Sqmt"/>
    <n v="10.7"/>
    <n v="670"/>
    <n v="7168.9999999999991"/>
  </r>
  <r>
    <n v="543"/>
    <x v="2"/>
    <x v="52"/>
    <n v="61955"/>
    <n v="45433"/>
    <s v="Knnd Associates Pvt Ltd"/>
    <s v="MAHE Lecture Hall Campus Bangalore"/>
    <s v="Box Duct with TDF"/>
    <x v="1"/>
    <s v="Sqmt"/>
    <n v="44.3"/>
    <n v="868"/>
    <n v="38452.399999999994"/>
  </r>
  <r>
    <n v="544"/>
    <x v="2"/>
    <x v="52"/>
    <n v="61955"/>
    <n v="45433"/>
    <s v="Knnd Associates Pvt Ltd"/>
    <s v="MAHE Lecture Hall Campus Bangalore"/>
    <s v="Round Flange 800mm Dia"/>
    <x v="7"/>
    <s v="Nos"/>
    <n v="8"/>
    <n v="1040"/>
    <n v="8320"/>
  </r>
  <r>
    <n v="545"/>
    <x v="2"/>
    <x v="52"/>
    <n v="61997"/>
    <n v="45434"/>
    <s v="Knnd Associates Pvt Ltd"/>
    <s v="BDR Hospital Pune"/>
    <s v="Box Duct with TDF"/>
    <x v="0"/>
    <s v="Sqmt"/>
    <n v="211.7"/>
    <n v="670"/>
    <n v="141839"/>
  </r>
  <r>
    <n v="546"/>
    <x v="2"/>
    <x v="52"/>
    <n v="61997"/>
    <n v="45434"/>
    <s v="Knnd Associates Pvt Ltd"/>
    <s v="BDR Hospital Pune"/>
    <s v="Box Duct with TDF"/>
    <x v="1"/>
    <s v="Sqmt"/>
    <n v="45.1"/>
    <n v="868"/>
    <n v="39146.800000000003"/>
  </r>
  <r>
    <n v="547"/>
    <x v="2"/>
    <x v="52"/>
    <n v="61997"/>
    <n v="45434"/>
    <s v="Knnd Associates Pvt Ltd"/>
    <s v="BDR Hospital Pune"/>
    <s v="Round Flange"/>
    <x v="0"/>
    <s v="Nos"/>
    <n v="51"/>
    <n v="75"/>
    <n v="3825"/>
  </r>
  <r>
    <n v="548"/>
    <x v="2"/>
    <x v="52"/>
    <n v="61965"/>
    <n v="45435"/>
    <s v="Knnd Associates Pvt Ltd"/>
    <s v="IISC Medical School Foundation Bangalore"/>
    <s v="Box Duct with TDF"/>
    <x v="0"/>
    <s v="Sqmt"/>
    <n v="255.3"/>
    <n v="670"/>
    <n v="171051"/>
  </r>
  <r>
    <n v="549"/>
    <x v="2"/>
    <x v="52"/>
    <n v="61965"/>
    <n v="45435"/>
    <s v="Knnd Associates Pvt Ltd"/>
    <s v="IISC Medical School Foundation Bangalore"/>
    <s v="Box Duct with TDF"/>
    <x v="1"/>
    <s v="Sqmt"/>
    <n v="179.5"/>
    <n v="868"/>
    <n v="155806"/>
  </r>
  <r>
    <n v="550"/>
    <x v="2"/>
    <x v="52"/>
    <n v="61965"/>
    <n v="45435"/>
    <s v="Knnd Associates Pvt Ltd"/>
    <s v="IISC Medical School Foundation Bangalore"/>
    <s v="Insulation"/>
    <x v="17"/>
    <s v="Sqmt"/>
    <n v="100.2"/>
    <n v="441"/>
    <n v="44188.200000000004"/>
  </r>
  <r>
    <n v="551"/>
    <x v="2"/>
    <x v="52"/>
    <n v="61965"/>
    <n v="45435"/>
    <s v="Knnd Associates Pvt Ltd"/>
    <s v="IISC Medical School Foundation Bangalore"/>
    <s v="Stretch Film"/>
    <x v="5"/>
    <s v="Sqmt"/>
    <n v="140"/>
    <n v="20"/>
    <n v="2800"/>
  </r>
  <r>
    <n v="552"/>
    <x v="2"/>
    <x v="53"/>
    <n v="61965"/>
    <n v="45436"/>
    <s v="Knnd Associates Pvt Ltd"/>
    <s v="IISC Medical School Foundation Bangalore"/>
    <s v="Box Duct with TDF"/>
    <x v="0"/>
    <s v="Sqmt"/>
    <n v="192.4"/>
    <n v="670"/>
    <n v="128908"/>
  </r>
  <r>
    <n v="553"/>
    <x v="2"/>
    <x v="53"/>
    <n v="61965"/>
    <n v="45436"/>
    <s v="Knnd Associates Pvt Ltd"/>
    <s v="IISC Medical School Foundation Bangalore"/>
    <s v="Box Duct with TDF"/>
    <x v="1"/>
    <s v="Sqmt"/>
    <n v="46.3"/>
    <n v="868"/>
    <n v="40188.399999999994"/>
  </r>
  <r>
    <n v="554"/>
    <x v="2"/>
    <x v="53"/>
    <n v="61965"/>
    <n v="45436"/>
    <s v="Knnd Associates Pvt Ltd"/>
    <s v="IISC Medical School Foundation Bangalore"/>
    <s v="Spiral Round Duct"/>
    <x v="9"/>
    <s v="Sqmt"/>
    <n v="40.5"/>
    <n v="620"/>
    <n v="25110"/>
  </r>
  <r>
    <n v="555"/>
    <x v="2"/>
    <x v="53"/>
    <n v="61965"/>
    <n v="45436"/>
    <s v="Knnd Associates Pvt Ltd"/>
    <s v="IISC Medical School Foundation Bangalore"/>
    <s v="Round Flange"/>
    <x v="0"/>
    <s v="Nos"/>
    <n v="25"/>
    <n v="70"/>
    <n v="1750"/>
  </r>
  <r>
    <n v="556"/>
    <x v="2"/>
    <x v="53"/>
    <n v="61965"/>
    <n v="45436"/>
    <s v="Knnd Associates Pvt Ltd"/>
    <s v="IISC Medical School Foundation Bangalore"/>
    <s v="Insulation"/>
    <x v="17"/>
    <s v="Sqmt"/>
    <n v="256.5"/>
    <n v="441"/>
    <n v="113116.5"/>
  </r>
  <r>
    <n v="557"/>
    <x v="2"/>
    <x v="53"/>
    <n v="61965"/>
    <n v="45436"/>
    <s v="Knnd Associates Pvt Ltd"/>
    <s v="IISC Medical School Foundation Bangalore"/>
    <s v="Insulation"/>
    <x v="3"/>
    <s v="Sqmt"/>
    <n v="22.7"/>
    <n v="838"/>
    <n v="19022.599999999999"/>
  </r>
  <r>
    <n v="558"/>
    <x v="2"/>
    <x v="53"/>
    <n v="61965"/>
    <n v="45436"/>
    <s v="Knnd Associates Pvt Ltd"/>
    <s v="IISC Medical School Foundation Bangalore"/>
    <s v="Stretch Film"/>
    <x v="5"/>
    <s v="Sqmt"/>
    <n v="300"/>
    <n v="20"/>
    <n v="6000"/>
  </r>
  <r>
    <n v="559"/>
    <x v="2"/>
    <x v="53"/>
    <n v="61965"/>
    <n v="45436"/>
    <s v="Knnd Associates Pvt Ltd"/>
    <s v="IISC Medical School Foundation Bangalore"/>
    <s v="ArmaComp Uniskin Tape(3mmX50)"/>
    <x v="16"/>
    <s v="Nos"/>
    <n v="36"/>
    <n v="190"/>
    <n v="6840"/>
  </r>
  <r>
    <n v="560"/>
    <x v="2"/>
    <x v="54"/>
    <n v="61997"/>
    <n v="45437"/>
    <s v="Knnd Associates Pvt Ltd"/>
    <s v="BDR Hospital Pune"/>
    <s v="Box Duct with TDF"/>
    <x v="0"/>
    <s v="Sqmt"/>
    <n v="544.29999999999995"/>
    <n v="670"/>
    <n v="364680.99999999994"/>
  </r>
  <r>
    <n v="561"/>
    <x v="2"/>
    <x v="54"/>
    <n v="61997"/>
    <n v="45437"/>
    <s v="Knnd Associates Pvt Ltd"/>
    <s v="BDR Hospital Pune"/>
    <s v="Box Duct with TDF"/>
    <x v="1"/>
    <s v="Sqmt"/>
    <n v="149.69999999999999"/>
    <n v="868"/>
    <n v="129939.59999999999"/>
  </r>
  <r>
    <n v="562"/>
    <x v="2"/>
    <x v="54"/>
    <n v="61997"/>
    <n v="45437"/>
    <s v="Knnd Associates Pvt Ltd"/>
    <s v="BDR Hospital Pune"/>
    <s v="Insulation"/>
    <x v="70"/>
    <s v="Sqmt"/>
    <n v="694"/>
    <n v="507"/>
    <n v="351858"/>
  </r>
  <r>
    <n v="563"/>
    <x v="2"/>
    <x v="54"/>
    <n v="61997"/>
    <n v="45437"/>
    <s v="Knnd Associates Pvt Ltd"/>
    <s v="BDR Hospital Pune"/>
    <s v="Insulation Flange"/>
    <x v="70"/>
    <s v="Sqmt"/>
    <n v="100.8"/>
    <n v="360"/>
    <n v="36288"/>
  </r>
  <r>
    <n v="564"/>
    <x v="2"/>
    <x v="54"/>
    <n v="61997"/>
    <n v="45437"/>
    <s v="Knnd Associates Pvt Ltd"/>
    <s v="BDR Hospital Pune"/>
    <s v="Round Flange"/>
    <x v="0"/>
    <s v="Nos"/>
    <n v="93"/>
    <n v="75"/>
    <n v="6975"/>
  </r>
  <r>
    <n v="565"/>
    <x v="2"/>
    <x v="54"/>
    <n v="61997"/>
    <n v="45437"/>
    <s v="Knnd Associates Pvt Ltd"/>
    <s v="BDR Hospital Pune"/>
    <s v="Stretch Film"/>
    <x v="5"/>
    <s v="Sqmt"/>
    <n v="750"/>
    <n v="20"/>
    <n v="15000"/>
  </r>
  <r>
    <n v="566"/>
    <x v="2"/>
    <x v="55"/>
    <n v="61967"/>
    <n v="45438"/>
    <s v="Knnd Associates Pvt Ltd"/>
    <s v="AIIMS Hospital Madurai"/>
    <s v="Box Duct with TDF"/>
    <x v="0"/>
    <s v="Sqmt"/>
    <n v="206.2"/>
    <n v="670"/>
    <n v="138154"/>
  </r>
  <r>
    <n v="567"/>
    <x v="2"/>
    <x v="55"/>
    <n v="61967"/>
    <n v="45438"/>
    <s v="Knnd Associates Pvt Ltd"/>
    <s v="AIIMS Hospital Madurai"/>
    <s v="Box Duct with TDF"/>
    <x v="1"/>
    <s v="Sqmt"/>
    <n v="175.1"/>
    <n v="868"/>
    <n v="151986.79999999999"/>
  </r>
  <r>
    <n v="568"/>
    <x v="2"/>
    <x v="55"/>
    <n v="61967"/>
    <n v="45438"/>
    <s v="Knnd Associates Pvt Ltd"/>
    <s v="AIIMS Hospital Madurai"/>
    <s v="Box Duct with TDF"/>
    <x v="7"/>
    <s v="Sqmt"/>
    <n v="22.8"/>
    <n v="1060"/>
    <n v="24168"/>
  </r>
  <r>
    <n v="569"/>
    <x v="2"/>
    <x v="55"/>
    <n v="61967"/>
    <n v="45438"/>
    <s v="Knnd Associates Pvt Ltd"/>
    <s v="AIIMS Hospital Madurai"/>
    <s v="Insulation"/>
    <x v="66"/>
    <s v="Sqmt"/>
    <n v="116"/>
    <n v="415"/>
    <n v="48140"/>
  </r>
  <r>
    <n v="570"/>
    <x v="2"/>
    <x v="55"/>
    <n v="61967"/>
    <n v="45438"/>
    <s v="Knnd Associates Pvt Ltd"/>
    <s v="AIIMS Hospital Madurai"/>
    <s v="Insulation"/>
    <x v="67"/>
    <s v="Sqmt"/>
    <n v="48.9"/>
    <n v="465"/>
    <n v="22738.5"/>
  </r>
  <r>
    <n v="571"/>
    <x v="2"/>
    <x v="55"/>
    <n v="61967"/>
    <n v="45438"/>
    <s v="Knnd Associates Pvt Ltd"/>
    <s v="AIIMS Hospital Madurai"/>
    <s v="Stretch Film"/>
    <x v="5"/>
    <s v="Sqmt"/>
    <n v="200"/>
    <n v="20"/>
    <n v="4000"/>
  </r>
  <r>
    <n v="572"/>
    <x v="2"/>
    <x v="55"/>
    <n v="61988"/>
    <n v="45439"/>
    <s v="Knnd Associates Pvt Ltd"/>
    <s v="Blackstone COE India Pvt Ltd Bangalore"/>
    <s v="Plain Sheet"/>
    <x v="0"/>
    <s v="Sqmt"/>
    <n v="75"/>
    <n v="495"/>
    <n v="37125"/>
  </r>
  <r>
    <n v="573"/>
    <x v="2"/>
    <x v="56"/>
    <n v="61988"/>
    <n v="45440"/>
    <s v="Knnd Associates Pvt Ltd"/>
    <s v="Blackstone COE India Pvt Ltd Bangalore"/>
    <s v="Mixing Box (1100x175x400Hx250mm Dia)"/>
    <x v="0"/>
    <s v="Nos"/>
    <n v="149"/>
    <n v="1103"/>
    <n v="164347"/>
  </r>
  <r>
    <n v="574"/>
    <x v="2"/>
    <x v="56"/>
    <n v="61988"/>
    <n v="45440"/>
    <s v="Knnd Associates Pvt Ltd"/>
    <s v="Blackstone COE India Pvt Ltd Bangalore"/>
    <s v="Mixing Box (1300x175x400Hx250mm Dia)"/>
    <x v="0"/>
    <s v="Nos"/>
    <n v="54"/>
    <n v="1195"/>
    <n v="64530"/>
  </r>
  <r>
    <n v="575"/>
    <x v="2"/>
    <x v="56"/>
    <n v="61988"/>
    <n v="45440"/>
    <s v="Knnd Associates Pvt Ltd"/>
    <s v="Blackstone COE India Pvt Ltd Bangalore"/>
    <s v="Insulation"/>
    <x v="2"/>
    <s v="Sqmt"/>
    <n v="280.09689500000002"/>
    <n v="289"/>
    <n v="80948.002655000004"/>
  </r>
  <r>
    <n v="576"/>
    <x v="2"/>
    <x v="57"/>
    <n v="61998"/>
    <n v="45441"/>
    <s v="Knnd Associates Pvt Ltd"/>
    <s v="Infosys Noida SDB-1"/>
    <s v="Mixing Box (595x595x350H)"/>
    <x v="0"/>
    <s v="Nos"/>
    <n v="108"/>
    <n v="991"/>
    <n v="107028"/>
  </r>
  <r>
    <n v="577"/>
    <x v="2"/>
    <x v="57"/>
    <n v="61998"/>
    <n v="45441"/>
    <s v="Knnd Associates Pvt Ltd"/>
    <s v="Infosys Noida SDB-1"/>
    <s v="Mixing Box (600x150x350H)"/>
    <x v="0"/>
    <s v="Nos"/>
    <n v="26"/>
    <n v="542"/>
    <n v="14092"/>
  </r>
  <r>
    <n v="578"/>
    <x v="2"/>
    <x v="57"/>
    <n v="61998"/>
    <n v="45441"/>
    <s v="Knnd Associates Pvt Ltd"/>
    <s v="Infosys Noida SDB-1"/>
    <s v="Insulation"/>
    <x v="3"/>
    <s v="Sqmt"/>
    <n v="16.12"/>
    <n v="900"/>
    <n v="14508"/>
  </r>
  <r>
    <n v="579"/>
    <x v="2"/>
    <x v="57"/>
    <n v="61998"/>
    <n v="45441"/>
    <s v="Knnd Associates Pvt Ltd"/>
    <s v="Infosys Noida SDB-1"/>
    <s v="Insulation"/>
    <x v="52"/>
    <s v="Sqmt"/>
    <n v="128.4"/>
    <n v="630"/>
    <n v="80892"/>
  </r>
  <r>
    <n v="580"/>
    <x v="2"/>
    <x v="57"/>
    <n v="61998"/>
    <n v="45441"/>
    <s v="Knnd Associates Pvt Ltd"/>
    <s v="Infosys Noida SDB-1"/>
    <s v="Spigot 200mm Dia"/>
    <x v="1"/>
    <s v="Nos"/>
    <n v="108"/>
    <n v="440"/>
    <n v="47520"/>
  </r>
  <r>
    <n v="581"/>
    <x v="2"/>
    <x v="57"/>
    <n v="61998"/>
    <n v="45441"/>
    <s v="Knnd Associates Pvt Ltd"/>
    <s v="Infosys Noida SDB-1"/>
    <s v="VCD (Alu. Blade)"/>
    <x v="7"/>
    <s v="Sqmt"/>
    <n v="2.8"/>
    <n v="5200"/>
    <n v="14559.999999999998"/>
  </r>
  <r>
    <n v="582"/>
    <x v="2"/>
    <x v="57"/>
    <n v="61768"/>
    <n v="45442"/>
    <s v="Camduct India Pvt Ltd-Haryana"/>
    <s v="Camduct India Pvt Ltd-Haryana Branch"/>
    <s v="Stock Transfer"/>
    <x v="76"/>
    <s v="Nos"/>
    <n v="1"/>
    <n v="39500"/>
    <n v="39500"/>
  </r>
  <r>
    <n v="583"/>
    <x v="2"/>
    <x v="57"/>
    <n v="61768"/>
    <n v="45442"/>
    <s v="Camduct India Pvt Ltd-Haryana"/>
    <s v="Camduct India Pvt Ltd-Haryana Branch"/>
    <s v="Stock Transfer"/>
    <x v="77"/>
    <s v="Nos"/>
    <n v="1"/>
    <n v="55000"/>
    <n v="55000"/>
  </r>
  <r>
    <n v="584"/>
    <x v="2"/>
    <x v="57"/>
    <n v="61768"/>
    <n v="45442"/>
    <s v="Camduct India Pvt Ltd-Haryana"/>
    <s v="Camduct India Pvt Ltd-Haryana Branch"/>
    <s v="Stock Transfer"/>
    <x v="78"/>
    <s v="Nos"/>
    <n v="1"/>
    <n v="156100"/>
    <n v="156100"/>
  </r>
  <r>
    <n v="585"/>
    <x v="2"/>
    <x v="57"/>
    <n v="61768"/>
    <n v="45443"/>
    <s v="Camduct India Pvt Ltd-Haryana"/>
    <s v="Camduct India Pvt Ltd-Haryana Branch"/>
    <s v="Stock Transfer"/>
    <x v="64"/>
    <s v="Nos"/>
    <n v="4000"/>
    <n v="5"/>
    <n v="20000"/>
  </r>
  <r>
    <n v="586"/>
    <x v="2"/>
    <x v="57"/>
    <n v="61768"/>
    <n v="45443"/>
    <s v="Camduct India Pvt Ltd-Haryana"/>
    <s v="Camduct India Pvt Ltd-Haryana Branch"/>
    <s v="Stock Transfer"/>
    <x v="79"/>
    <s v="Nos"/>
    <n v="1"/>
    <n v="550"/>
    <n v="550"/>
  </r>
  <r>
    <n v="587"/>
    <x v="2"/>
    <x v="57"/>
    <n v="61768"/>
    <n v="45443"/>
    <s v="Camduct India Pvt Ltd-Haryana"/>
    <s v="Camduct India Pvt Ltd-Haryana Branch"/>
    <s v="Stock Transfer"/>
    <x v="80"/>
    <s v="Kgs"/>
    <n v="510"/>
    <n v="45"/>
    <n v="22950"/>
  </r>
  <r>
    <n v="588"/>
    <x v="2"/>
    <x v="58"/>
    <n v="61930"/>
    <n v="45444"/>
    <s v="Knnd Associates Pvt Ltd"/>
    <s v="Blackstone COE India Pvt Ltd Bangalore"/>
    <s v="Box Duct with TDF"/>
    <x v="0"/>
    <s v="Sqmt"/>
    <n v="3.5"/>
    <n v="585"/>
    <n v="2047.5"/>
  </r>
  <r>
    <n v="589"/>
    <x v="2"/>
    <x v="58"/>
    <n v="61930"/>
    <n v="45444"/>
    <s v="Knnd Associates Pvt Ltd"/>
    <s v="Blackstone COE India Pvt Ltd Bangalore"/>
    <s v="Box Duct with TDF"/>
    <x v="7"/>
    <s v="Sqmt"/>
    <n v="5.5"/>
    <n v="915"/>
    <n v="5032.5"/>
  </r>
  <r>
    <n v="590"/>
    <x v="2"/>
    <x v="58"/>
    <n v="61930"/>
    <n v="45444"/>
    <s v="Knnd Associates Pvt Ltd"/>
    <s v="Blackstone COE India Pvt Ltd Bangalore"/>
    <s v="Insulation"/>
    <x v="4"/>
    <s v="Sqmt"/>
    <n v="9"/>
    <n v="1271"/>
    <n v="11439"/>
  </r>
  <r>
    <n v="591"/>
    <x v="2"/>
    <x v="59"/>
    <n v="61968"/>
    <n v="45445"/>
    <s v="Knnd Associates Pvt Ltd"/>
    <s v="Chanakya University HB-3A Bangalore"/>
    <s v="Spiral Round Duct"/>
    <x v="9"/>
    <s v="Sqmt"/>
    <n v="526.70000000000005"/>
    <n v="620"/>
    <n v="326554"/>
  </r>
  <r>
    <n v="592"/>
    <x v="2"/>
    <x v="59"/>
    <n v="61968"/>
    <n v="45445"/>
    <s v="Knnd Associates Pvt Ltd"/>
    <s v="Chanakya University HB-3A Bangalore"/>
    <s v="Round Coupling"/>
    <x v="10"/>
    <s v="Sqmt"/>
    <n v="3.1"/>
    <n v="770"/>
    <n v="2387"/>
  </r>
  <r>
    <n v="593"/>
    <x v="2"/>
    <x v="59"/>
    <n v="61976"/>
    <n v="45446"/>
    <s v="Knnd Associates Pvt Ltd"/>
    <s v="IISC Medical School Foundation Bangalore"/>
    <s v="Mixing Box (300x300x250Hx150mm Dia)"/>
    <x v="0"/>
    <s v="Nos"/>
    <n v="170"/>
    <n v="420"/>
    <n v="71400"/>
  </r>
  <r>
    <n v="594"/>
    <x v="2"/>
    <x v="59"/>
    <n v="61976"/>
    <n v="45446"/>
    <s v="Knnd Associates Pvt Ltd"/>
    <s v="IISC Medical School Foundation Bangalore"/>
    <s v="Mixing Box (300x300x300Hx200mm Dia)"/>
    <x v="0"/>
    <s v="Nos"/>
    <n v="13"/>
    <n v="508"/>
    <n v="6604"/>
  </r>
  <r>
    <n v="595"/>
    <x v="2"/>
    <x v="59"/>
    <n v="61976"/>
    <n v="45446"/>
    <s v="Knnd Associates Pvt Ltd"/>
    <s v="IISC Medical School Foundation Bangalore"/>
    <s v="Mixing Box (375x375x300Hx200mm Dia)"/>
    <x v="0"/>
    <s v="Nos"/>
    <n v="370"/>
    <n v="435"/>
    <n v="160950"/>
  </r>
  <r>
    <n v="596"/>
    <x v="2"/>
    <x v="59"/>
    <n v="61976"/>
    <n v="45446"/>
    <s v="Knnd Associates Pvt Ltd"/>
    <s v="IISC Medical School Foundation Bangalore"/>
    <s v="Mixing Box (375x375x350Hx250mm Dia)"/>
    <x v="0"/>
    <s v="Nos"/>
    <n v="27"/>
    <n v="560"/>
    <n v="15120"/>
  </r>
  <r>
    <n v="597"/>
    <x v="2"/>
    <x v="59"/>
    <n v="61976"/>
    <n v="45446"/>
    <s v="Knnd Associates Pvt Ltd"/>
    <s v="IISC Medical School Foundation Bangalore"/>
    <s v="Mixing Box (450x450x400Hx300mm Dia)"/>
    <x v="0"/>
    <s v="Nos"/>
    <n v="8"/>
    <n v="894"/>
    <n v="7152"/>
  </r>
  <r>
    <n v="598"/>
    <x v="2"/>
    <x v="59"/>
    <n v="61976"/>
    <n v="45446"/>
    <s v="Knnd Associates Pvt Ltd"/>
    <s v="IISC Medical School Foundation Bangalore"/>
    <s v="Mixing Box (1000x150x300Hx200mm Dia)"/>
    <x v="0"/>
    <s v="Nos"/>
    <n v="150"/>
    <n v="660"/>
    <n v="99000"/>
  </r>
  <r>
    <n v="599"/>
    <x v="2"/>
    <x v="59"/>
    <n v="61976"/>
    <n v="45446"/>
    <s v="Knnd Associates Pvt Ltd"/>
    <s v="IISC Medical School Foundation Bangalore"/>
    <s v="Mixing Box (400x400x350Hx250mm Dia)"/>
    <x v="0"/>
    <s v="Nos"/>
    <n v="2"/>
    <n v="743"/>
    <n v="1486"/>
  </r>
  <r>
    <n v="600"/>
    <x v="2"/>
    <x v="59"/>
    <n v="61976"/>
    <n v="45446"/>
    <s v="Knnd Associates Pvt Ltd"/>
    <s v="IISC Medical School Foundation Bangalore"/>
    <s v="Insulation"/>
    <x v="17"/>
    <s v="Sqmt"/>
    <n v="561.95690999999999"/>
    <n v="441"/>
    <n v="247822.99731000001"/>
  </r>
  <r>
    <n v="601"/>
    <x v="2"/>
    <x v="59"/>
    <n v="61976"/>
    <n v="45446"/>
    <s v="Knnd Associates Pvt Ltd"/>
    <s v="IISC Medical School Foundation Bangalore"/>
    <s v="ArmaComp Uniskin Tape(3mmX50)"/>
    <x v="16"/>
    <s v="Nos"/>
    <n v="183"/>
    <n v="190"/>
    <n v="34770"/>
  </r>
  <r>
    <n v="602"/>
    <x v="2"/>
    <x v="60"/>
    <n v="61999"/>
    <n v="45447"/>
    <s v="Knnd Associates Pvt Ltd"/>
    <s v="Wipro Kodathi Bangalore"/>
    <s v="Box Duct with TDF"/>
    <x v="0"/>
    <s v="Sqmt"/>
    <n v="43.2"/>
    <n v="670"/>
    <n v="28944.000000000004"/>
  </r>
  <r>
    <n v="603"/>
    <x v="2"/>
    <x v="60"/>
    <n v="61999"/>
    <n v="45447"/>
    <s v="Knnd Associates Pvt Ltd"/>
    <s v="Wipro Kodathi Bangalore"/>
    <s v="Box Duct with TDF"/>
    <x v="1"/>
    <s v="Sqmt"/>
    <n v="29.5"/>
    <n v="868"/>
    <n v="25606"/>
  </r>
  <r>
    <n v="604"/>
    <x v="2"/>
    <x v="60"/>
    <n v="61999"/>
    <n v="45447"/>
    <s v="Knnd Associates Pvt Ltd"/>
    <s v="Wipro Kodathi Bangalore"/>
    <s v="VCD (Alu. Blade)"/>
    <x v="7"/>
    <s v="Sqmt"/>
    <n v="0.4"/>
    <n v="5200"/>
    <n v="2080"/>
  </r>
  <r>
    <n v="605"/>
    <x v="2"/>
    <x v="60"/>
    <n v="61999"/>
    <n v="45447"/>
    <s v="Knnd Associates Pvt Ltd"/>
    <s v="Wipro Kodathi Bangalore"/>
    <s v="Plain Sheet"/>
    <x v="0"/>
    <s v="Sqmt"/>
    <n v="9"/>
    <n v="495"/>
    <n v="4455"/>
  </r>
  <r>
    <n v="606"/>
    <x v="2"/>
    <x v="60"/>
    <n v="61999"/>
    <n v="45447"/>
    <s v="Knnd Associates Pvt Ltd"/>
    <s v="Wipro Kodathi Bangalore"/>
    <s v="Insulation"/>
    <x v="66"/>
    <s v="Sqmt"/>
    <n v="72.7"/>
    <n v="388"/>
    <n v="28207.600000000002"/>
  </r>
  <r>
    <n v="607"/>
    <x v="2"/>
    <x v="60"/>
    <n v="61999"/>
    <n v="45447"/>
    <s v="Knnd Associates Pvt Ltd"/>
    <s v="Wipro Kodathi Bangalore"/>
    <s v="Insulation"/>
    <x v="66"/>
    <s v="Sqmt"/>
    <n v="33.6"/>
    <n v="250"/>
    <n v="8400"/>
  </r>
  <r>
    <n v="608"/>
    <x v="2"/>
    <x v="60"/>
    <n v="61999"/>
    <n v="45447"/>
    <s v="Knnd Associates Pvt Ltd"/>
    <s v="Wipro Kodathi Bangalore"/>
    <s v="Insulation"/>
    <x v="12"/>
    <s v="Sqmt"/>
    <n v="10"/>
    <n v="755"/>
    <n v="7550"/>
  </r>
  <r>
    <n v="609"/>
    <x v="2"/>
    <x v="60"/>
    <n v="61999"/>
    <n v="45447"/>
    <s v="Knnd Associates Pvt Ltd"/>
    <s v="Wipro Kodathi Bangalore"/>
    <s v="Stretch Film"/>
    <x v="5"/>
    <s v="Sqmt"/>
    <n v="90"/>
    <n v="20"/>
    <n v="1800"/>
  </r>
  <r>
    <n v="610"/>
    <x v="2"/>
    <x v="60"/>
    <n v="61968"/>
    <n v="45448"/>
    <s v="Knnd Associates Pvt Ltd"/>
    <s v="Chanakya University HB-3A Bangalore"/>
    <s v="Spiral Round Duct"/>
    <x v="9"/>
    <s v="Sqmt"/>
    <n v="207.2"/>
    <n v="620"/>
    <n v="128464"/>
  </r>
  <r>
    <n v="611"/>
    <x v="2"/>
    <x v="60"/>
    <n v="61968"/>
    <n v="45448"/>
    <s v="Knnd Associates Pvt Ltd"/>
    <s v="Chanakya University HB-3A Bangalore"/>
    <s v="Round Coupling"/>
    <x v="10"/>
    <s v="Sqmt"/>
    <n v="12.6"/>
    <n v="770"/>
    <n v="9702"/>
  </r>
  <r>
    <n v="612"/>
    <x v="2"/>
    <x v="60"/>
    <n v="61968"/>
    <n v="45448"/>
    <s v="Knnd Associates Pvt Ltd"/>
    <s v="Chanakya University HB-3A Bangalore"/>
    <s v="Round T Piece (150x150mm)"/>
    <x v="0"/>
    <s v="Nos"/>
    <n v="50"/>
    <n v="378"/>
    <n v="18900"/>
  </r>
  <r>
    <n v="613"/>
    <x v="2"/>
    <x v="60"/>
    <n v="61968"/>
    <n v="45448"/>
    <s v="Knnd Associates Pvt Ltd"/>
    <s v="Chanakya University HB-3A Bangalore"/>
    <s v="Round T Piece (200x150mm)"/>
    <x v="0"/>
    <s v="Nos"/>
    <n v="110"/>
    <n v="380"/>
    <n v="41800"/>
  </r>
  <r>
    <n v="614"/>
    <x v="2"/>
    <x v="60"/>
    <n v="61968"/>
    <n v="45448"/>
    <s v="Knnd Associates Pvt Ltd"/>
    <s v="Chanakya University HB-3A Bangalore"/>
    <s v="Round Elbow 90° (150mm Dia)"/>
    <x v="0"/>
    <s v="Nos"/>
    <n v="35"/>
    <n v="355"/>
    <n v="12425"/>
  </r>
  <r>
    <n v="615"/>
    <x v="2"/>
    <x v="60"/>
    <n v="61968"/>
    <n v="45448"/>
    <s v="Knnd Associates Pvt Ltd"/>
    <s v="Chanakya University HB-3A Bangalore"/>
    <s v="Round Elbow 90° (200mm Dia)"/>
    <x v="0"/>
    <s v="Nos"/>
    <n v="35"/>
    <n v="375"/>
    <n v="13125"/>
  </r>
  <r>
    <n v="616"/>
    <x v="2"/>
    <x v="60"/>
    <n v="61968"/>
    <n v="45448"/>
    <s v="Knnd Associates Pvt Ltd"/>
    <s v="Chanakya University HB-3A Bangalore"/>
    <s v="Round Elbow 45° (200mm Dia)"/>
    <x v="0"/>
    <s v="Nos"/>
    <n v="70"/>
    <n v="270"/>
    <n v="18900"/>
  </r>
  <r>
    <n v="617"/>
    <x v="2"/>
    <x v="60"/>
    <n v="61968"/>
    <n v="45448"/>
    <s v="Knnd Associates Pvt Ltd"/>
    <s v="Chanakya University HB-3A Bangalore"/>
    <s v="Round Reducer (200x150mm)"/>
    <x v="0"/>
    <s v="Nos"/>
    <n v="35"/>
    <n v="295"/>
    <n v="10325"/>
  </r>
  <r>
    <n v="618"/>
    <x v="2"/>
    <x v="60"/>
    <n v="62000"/>
    <n v="45449"/>
    <s v="Knnd Associates Pvt Ltd"/>
    <s v="Wipro Doddaballapura"/>
    <s v="Box Duct with TDF"/>
    <x v="50"/>
    <s v="Sqmt"/>
    <n v="34.1"/>
    <n v="566"/>
    <n v="19300.600000000002"/>
  </r>
  <r>
    <n v="619"/>
    <x v="2"/>
    <x v="60"/>
    <n v="62000"/>
    <n v="45449"/>
    <s v="Knnd Associates Pvt Ltd"/>
    <s v="Wipro Doddaballapura"/>
    <s v="Box Duct with TDF"/>
    <x v="0"/>
    <s v="Sqmt"/>
    <n v="53.1"/>
    <n v="670"/>
    <n v="35577"/>
  </r>
  <r>
    <n v="620"/>
    <x v="2"/>
    <x v="60"/>
    <n v="62000"/>
    <n v="45449"/>
    <s v="Knnd Associates Pvt Ltd"/>
    <s v="Wipro Doddaballapura"/>
    <s v="Box Duct with TDF"/>
    <x v="1"/>
    <s v="Sqmt"/>
    <n v="90.7"/>
    <n v="868"/>
    <n v="78727.600000000006"/>
  </r>
  <r>
    <n v="621"/>
    <x v="2"/>
    <x v="60"/>
    <n v="62000"/>
    <n v="45449"/>
    <s v="Knnd Associates Pvt Ltd"/>
    <s v="Wipro Doddaballapura"/>
    <s v="Box Duct with TDF"/>
    <x v="7"/>
    <s v="Sqmt"/>
    <n v="119"/>
    <n v="1060"/>
    <n v="126140"/>
  </r>
  <r>
    <n v="622"/>
    <x v="2"/>
    <x v="60"/>
    <n v="62000"/>
    <n v="45450"/>
    <s v="Knnd Associates Pvt Ltd"/>
    <s v="Wipro Doddaballapura"/>
    <s v="Box Duct with TDF"/>
    <x v="1"/>
    <s v="Sqmt"/>
    <n v="89.1"/>
    <n v="868"/>
    <n v="77338.799999999988"/>
  </r>
  <r>
    <n v="623"/>
    <x v="2"/>
    <x v="60"/>
    <n v="62000"/>
    <n v="45450"/>
    <s v="Knnd Associates Pvt Ltd"/>
    <s v="Wipro Doddaballapura"/>
    <s v="Box Duct with TDF"/>
    <x v="7"/>
    <s v="Sqmt"/>
    <n v="124.2"/>
    <n v="1060"/>
    <n v="131652"/>
  </r>
  <r>
    <n v="624"/>
    <x v="2"/>
    <x v="61"/>
    <n v="61968"/>
    <n v="45451"/>
    <s v="Knnd Associates Pvt Ltd"/>
    <s v="Chanakya University HB-3A Bangalore"/>
    <s v="Spiral Round Duct"/>
    <x v="9"/>
    <s v="Sqmt"/>
    <n v="104.1"/>
    <n v="620"/>
    <n v="64542"/>
  </r>
  <r>
    <n v="625"/>
    <x v="2"/>
    <x v="61"/>
    <n v="61968"/>
    <n v="45451"/>
    <s v="Knnd Associates Pvt Ltd"/>
    <s v="Chanakya University HB-3A Bangalore"/>
    <s v="Round T Piece (150x150mm)"/>
    <x v="0"/>
    <s v="Nos"/>
    <n v="40"/>
    <n v="378"/>
    <n v="15120"/>
  </r>
  <r>
    <n v="626"/>
    <x v="2"/>
    <x v="61"/>
    <n v="61968"/>
    <n v="45451"/>
    <s v="Knnd Associates Pvt Ltd"/>
    <s v="Chanakya University HB-3A Bangalore"/>
    <s v="Round T Piece (200x150mm)"/>
    <x v="0"/>
    <s v="Nos"/>
    <n v="140"/>
    <n v="380"/>
    <n v="53200"/>
  </r>
  <r>
    <n v="627"/>
    <x v="2"/>
    <x v="61"/>
    <n v="62000"/>
    <n v="45452"/>
    <s v="Knnd Associates Pvt Ltd"/>
    <s v="Wipro Doddaballapura"/>
    <s v="Box Duct with TDF"/>
    <x v="0"/>
    <s v="Sqmt"/>
    <n v="6.9"/>
    <n v="670"/>
    <n v="4623"/>
  </r>
  <r>
    <n v="628"/>
    <x v="2"/>
    <x v="61"/>
    <n v="62000"/>
    <n v="45452"/>
    <s v="Knnd Associates Pvt Ltd"/>
    <s v="Wipro Doddaballapura"/>
    <s v="Box Duct with TDF"/>
    <x v="1"/>
    <s v="Sqmt"/>
    <n v="19"/>
    <n v="868"/>
    <n v="16492"/>
  </r>
  <r>
    <n v="629"/>
    <x v="2"/>
    <x v="61"/>
    <n v="62000"/>
    <n v="45452"/>
    <s v="Knnd Associates Pvt Ltd"/>
    <s v="Wipro Doddaballapura"/>
    <s v="Box Duct with TDF"/>
    <x v="7"/>
    <s v="Sqmt"/>
    <n v="218.8"/>
    <n v="1060"/>
    <n v="231928"/>
  </r>
  <r>
    <n v="630"/>
    <x v="2"/>
    <x v="61"/>
    <n v="62000"/>
    <n v="45453"/>
    <s v="Knnd Associates Pvt Ltd"/>
    <s v="Wipro Doddaballapura"/>
    <s v="Box Duct with TDF"/>
    <x v="1"/>
    <s v="Sqmt"/>
    <n v="61.5"/>
    <n v="868"/>
    <n v="53382"/>
  </r>
  <r>
    <n v="631"/>
    <x v="2"/>
    <x v="61"/>
    <n v="62000"/>
    <n v="45453"/>
    <s v="Knnd Associates Pvt Ltd"/>
    <s v="Wipro Doddaballapura"/>
    <s v="Box Duct with TDF"/>
    <x v="7"/>
    <s v="Sqmt"/>
    <n v="158.80000000000001"/>
    <n v="1060"/>
    <n v="168328"/>
  </r>
  <r>
    <n v="632"/>
    <x v="2"/>
    <x v="62"/>
    <n v="62000"/>
    <n v="45454"/>
    <s v="Knnd Associates Pvt Ltd"/>
    <s v="Wipro Doddaballapura"/>
    <s v="Box Duct with TDF"/>
    <x v="0"/>
    <s v="Sqmt"/>
    <n v="4.0999999999999996"/>
    <n v="670"/>
    <n v="2746.9999999999995"/>
  </r>
  <r>
    <n v="633"/>
    <x v="2"/>
    <x v="62"/>
    <n v="62000"/>
    <n v="45454"/>
    <s v="Knnd Associates Pvt Ltd"/>
    <s v="Wipro Doddaballapura"/>
    <s v="Box Duct with TDF"/>
    <x v="1"/>
    <s v="Sqmt"/>
    <n v="89.5"/>
    <n v="868"/>
    <n v="77686"/>
  </r>
  <r>
    <n v="634"/>
    <x v="2"/>
    <x v="62"/>
    <n v="62000"/>
    <n v="45454"/>
    <s v="Knnd Associates Pvt Ltd"/>
    <s v="Wipro Doddaballapura"/>
    <s v="Box Duct with TDF"/>
    <x v="7"/>
    <s v="Sqmt"/>
    <n v="132.19999999999999"/>
    <n v="1060"/>
    <n v="140132"/>
  </r>
  <r>
    <n v="635"/>
    <x v="2"/>
    <x v="63"/>
    <n v="61964"/>
    <n v="45455"/>
    <s v="Knnd Associates Pvt Ltd"/>
    <s v="Motherhood Hospital Sarjapura"/>
    <s v="Round Coupling"/>
    <x v="10"/>
    <s v="Sqmt"/>
    <n v="3.6"/>
    <n v="770"/>
    <n v="2772"/>
  </r>
  <r>
    <n v="636"/>
    <x v="2"/>
    <x v="63"/>
    <n v="62001"/>
    <n v="45456"/>
    <s v="Knnd Associates Pvt Ltd"/>
    <s v="Blackstone COE India Pvt Ltd Bangalore"/>
    <s v="Box Duct with TDF"/>
    <x v="0"/>
    <s v="Sqmt"/>
    <n v="81.7"/>
    <n v="670"/>
    <n v="54739"/>
  </r>
  <r>
    <n v="637"/>
    <x v="2"/>
    <x v="63"/>
    <n v="62001"/>
    <n v="45456"/>
    <s v="Knnd Associates Pvt Ltd"/>
    <s v="Blackstone COE India Pvt Ltd Bangalore"/>
    <s v="Box Duct with TDF"/>
    <x v="1"/>
    <s v="Sqmt"/>
    <n v="29.6"/>
    <n v="868"/>
    <n v="25692.800000000003"/>
  </r>
  <r>
    <n v="638"/>
    <x v="2"/>
    <x v="63"/>
    <n v="62001"/>
    <n v="45456"/>
    <s v="Knnd Associates Pvt Ltd"/>
    <s v="Blackstone COE India Pvt Ltd Bangalore"/>
    <s v="Box Duct with TDF"/>
    <x v="7"/>
    <s v="Sqmt"/>
    <n v="86.5"/>
    <n v="1060"/>
    <n v="91690"/>
  </r>
  <r>
    <n v="639"/>
    <x v="2"/>
    <x v="63"/>
    <n v="62001"/>
    <n v="45456"/>
    <s v="Knnd Associates Pvt Ltd"/>
    <s v="Blackstone COE India Pvt Ltd Bangalore"/>
    <s v="Insulation"/>
    <x v="2"/>
    <s v="Sqmt"/>
    <n v="60.4"/>
    <n v="289"/>
    <n v="17455.599999999999"/>
  </r>
  <r>
    <n v="640"/>
    <x v="2"/>
    <x v="63"/>
    <n v="62001"/>
    <n v="45456"/>
    <s v="Knnd Associates Pvt Ltd"/>
    <s v="Blackstone COE India Pvt Ltd Bangalore"/>
    <s v="Insulation"/>
    <x v="4"/>
    <s v="Sqmt"/>
    <n v="120.5"/>
    <n v="1615"/>
    <n v="194607.5"/>
  </r>
  <r>
    <n v="641"/>
    <x v="2"/>
    <x v="63"/>
    <n v="62001"/>
    <n v="45456"/>
    <s v="Knnd Associates Pvt Ltd"/>
    <s v="Blackstone COE India Pvt Ltd Bangalore"/>
    <s v="Stretch Film"/>
    <x v="5"/>
    <s v="Sqmt"/>
    <n v="65"/>
    <n v="20"/>
    <n v="1300"/>
  </r>
  <r>
    <n v="642"/>
    <x v="2"/>
    <x v="63"/>
    <n v="62004"/>
    <n v="45457"/>
    <s v="Knnd Associates Pvt Ltd"/>
    <s v="Seminar Hall SSBCH Manipal"/>
    <s v="Box Duct with TDF"/>
    <x v="0"/>
    <s v="Sqmt"/>
    <n v="10.3"/>
    <n v="670"/>
    <n v="6901.0000000000009"/>
  </r>
  <r>
    <n v="643"/>
    <x v="2"/>
    <x v="63"/>
    <n v="62004"/>
    <n v="45457"/>
    <s v="Knnd Associates Pvt Ltd"/>
    <s v="Seminar Hall SSBCH Manipal"/>
    <s v="Box Duct with TDF"/>
    <x v="1"/>
    <s v="Sqmt"/>
    <n v="8.1999999999999993"/>
    <n v="868"/>
    <n v="7117.5999999999995"/>
  </r>
  <r>
    <n v="644"/>
    <x v="2"/>
    <x v="63"/>
    <n v="62004"/>
    <n v="45457"/>
    <s v="Knnd Associates Pvt Ltd"/>
    <s v="Seminar Hall SSBCH Manipal"/>
    <s v="Spiral Oval Duct"/>
    <x v="9"/>
    <s v="Sqmt"/>
    <n v="53.1"/>
    <n v="710"/>
    <n v="37701"/>
  </r>
  <r>
    <n v="645"/>
    <x v="2"/>
    <x v="63"/>
    <n v="62004"/>
    <n v="45457"/>
    <s v="Knnd Associates Pvt Ltd"/>
    <s v="Seminar Hall SSBCH Manipal"/>
    <s v="Spiral Oval Coupling"/>
    <x v="18"/>
    <s v="Sqmt"/>
    <n v="2.6"/>
    <n v="995"/>
    <n v="2587"/>
  </r>
  <r>
    <n v="646"/>
    <x v="2"/>
    <x v="63"/>
    <n v="62004"/>
    <n v="45457"/>
    <s v="Knnd Associates Pvt Ltd"/>
    <s v="Seminar Hall SSBCH Manipal"/>
    <s v="Insulation"/>
    <x v="49"/>
    <s v="Sqmt"/>
    <n v="66"/>
    <n v="365"/>
    <n v="24090"/>
  </r>
  <r>
    <n v="647"/>
    <x v="2"/>
    <x v="63"/>
    <n v="62004"/>
    <n v="45457"/>
    <s v="Knnd Associates Pvt Ltd"/>
    <s v="Seminar Hall SSBCH Manipal"/>
    <s v="Insulation"/>
    <x v="54"/>
    <s v="Sqmt"/>
    <n v="8.1999999999999993"/>
    <n v="755"/>
    <n v="6190.9999999999991"/>
  </r>
  <r>
    <n v="648"/>
    <x v="2"/>
    <x v="63"/>
    <n v="62002"/>
    <n v="45458"/>
    <s v="Knnd Associates Pvt Ltd"/>
    <s v="Techsheela Manipal"/>
    <s v="Box Duct with TDF"/>
    <x v="0"/>
    <s v="Sqmt"/>
    <n v="17.8"/>
    <n v="670"/>
    <n v="11926"/>
  </r>
  <r>
    <n v="649"/>
    <x v="2"/>
    <x v="63"/>
    <n v="62002"/>
    <n v="45458"/>
    <s v="Knnd Associates Pvt Ltd"/>
    <s v="Techsheela Manipal"/>
    <s v="Insulation"/>
    <x v="28"/>
    <s v="Sqmt"/>
    <n v="17.8"/>
    <n v="820"/>
    <n v="14596"/>
  </r>
  <r>
    <n v="650"/>
    <x v="2"/>
    <x v="63"/>
    <n v="62003"/>
    <n v="45459"/>
    <s v="Knnd Associates Pvt Ltd"/>
    <s v="Manipal Cafe "/>
    <s v="Spiral Oval Duct"/>
    <x v="9"/>
    <s v="Sqmt"/>
    <n v="17.600000000000001"/>
    <n v="710"/>
    <n v="12496.000000000002"/>
  </r>
  <r>
    <n v="651"/>
    <x v="2"/>
    <x v="63"/>
    <n v="62003"/>
    <n v="45459"/>
    <s v="Knnd Associates Pvt Ltd"/>
    <s v="Manipal Cafe "/>
    <s v="Spiral Oval Coupling"/>
    <x v="18"/>
    <s v="Sqmt"/>
    <n v="0.6"/>
    <n v="995"/>
    <n v="597"/>
  </r>
  <r>
    <n v="652"/>
    <x v="2"/>
    <x v="63"/>
    <n v="62003"/>
    <n v="45459"/>
    <s v="Knnd Associates Pvt Ltd"/>
    <s v="Manipal Cafe "/>
    <s v="Insulation"/>
    <x v="49"/>
    <s v="Sqmt"/>
    <n v="16.899999999999999"/>
    <n v="364"/>
    <n v="6151.5999999999995"/>
  </r>
  <r>
    <n v="653"/>
    <x v="2"/>
    <x v="63"/>
    <n v="62003"/>
    <n v="45459"/>
    <s v="Knnd Associates Pvt Ltd"/>
    <s v="Manipal Cafe "/>
    <s v="Insulation"/>
    <x v="54"/>
    <s v="Sqmt"/>
    <n v="1.3"/>
    <n v="755"/>
    <n v="981.5"/>
  </r>
  <r>
    <n v="654"/>
    <x v="2"/>
    <x v="64"/>
    <n v="62005"/>
    <n v="45460"/>
    <s v="Knnd Associates Pvt Ltd"/>
    <s v="Wipro Doddaballapura (Pre-Insu Pipe)"/>
    <s v="24G GI Pre-Insulated MS Pipes"/>
    <x v="81"/>
    <s v="Rmt"/>
    <n v="72"/>
    <n v="1406"/>
    <n v="101232"/>
  </r>
  <r>
    <n v="655"/>
    <x v="2"/>
    <x v="64"/>
    <n v="62005"/>
    <n v="45460"/>
    <s v="Knnd Associates Pvt Ltd"/>
    <s v="Wipro Doddaballapura (Pre-Insu Pipe)"/>
    <s v="24G GI Pre-Insulated MS Pipes"/>
    <x v="82"/>
    <s v="Rmt"/>
    <n v="78"/>
    <n v="1071"/>
    <n v="83538"/>
  </r>
  <r>
    <n v="656"/>
    <x v="2"/>
    <x v="64"/>
    <n v="62006"/>
    <n v="45461"/>
    <s v="Knnd Associates Pvt Ltd"/>
    <s v="District New Hospital Madikeri"/>
    <s v="Box Duct with TDF"/>
    <x v="27"/>
    <s v="Sqmt"/>
    <n v="481.5"/>
    <n v="1269"/>
    <n v="611023.5"/>
  </r>
  <r>
    <n v="657"/>
    <x v="2"/>
    <x v="64"/>
    <n v="62006"/>
    <n v="45461"/>
    <s v="Knnd Associates Pvt Ltd"/>
    <s v="District New Hospital Madikeri"/>
    <s v="Insulation"/>
    <x v="29"/>
    <s v="Sqmt"/>
    <n v="102.8"/>
    <n v="388"/>
    <n v="39886.400000000001"/>
  </r>
  <r>
    <n v="658"/>
    <x v="2"/>
    <x v="64"/>
    <n v="62006"/>
    <n v="45461"/>
    <s v="Knnd Associates Pvt Ltd"/>
    <s v="District New Hospital Madikeri"/>
    <s v="Insulation"/>
    <x v="69"/>
    <s v="Sqmt"/>
    <n v="74.099999999999994"/>
    <n v="476"/>
    <n v="35271.599999999999"/>
  </r>
  <r>
    <n v="659"/>
    <x v="2"/>
    <x v="64"/>
    <n v="62006"/>
    <n v="45461"/>
    <s v="Knnd Associates Pvt Ltd"/>
    <s v="District New Hospital Madikeri"/>
    <s v="Insulation"/>
    <x v="70"/>
    <s v="Sqmt"/>
    <n v="147.5"/>
    <n v="507"/>
    <n v="74782.5"/>
  </r>
  <r>
    <n v="660"/>
    <x v="2"/>
    <x v="64"/>
    <n v="62006"/>
    <n v="45461"/>
    <s v="Knnd Associates Pvt Ltd"/>
    <s v="District New Hospital Madikeri"/>
    <s v="Insulation"/>
    <x v="71"/>
    <s v="Sqmt"/>
    <n v="157.1"/>
    <n v="594"/>
    <n v="93317.4"/>
  </r>
  <r>
    <n v="661"/>
    <x v="2"/>
    <x v="64"/>
    <n v="62006"/>
    <n v="45461"/>
    <s v="Knnd Associates Pvt Ltd"/>
    <s v="District New Hospital Madikeri"/>
    <s v="Insulation Flange"/>
    <x v="29"/>
    <s v="Sqmt"/>
    <n v="67.2"/>
    <n v="250"/>
    <n v="16800"/>
  </r>
  <r>
    <n v="662"/>
    <x v="2"/>
    <x v="64"/>
    <n v="62006"/>
    <n v="45461"/>
    <s v="Knnd Associates Pvt Ltd"/>
    <s v="District New Hospital Madikeri"/>
    <s v="Insulation Flange"/>
    <x v="70"/>
    <s v="Sqmt"/>
    <n v="67.2"/>
    <n v="360"/>
    <n v="24192"/>
  </r>
  <r>
    <n v="663"/>
    <x v="2"/>
    <x v="64"/>
    <n v="62006"/>
    <n v="45461"/>
    <s v="Knnd Associates Pvt Ltd"/>
    <s v="District New Hospital Madikeri"/>
    <s v="Plain Sheet"/>
    <x v="27"/>
    <s v="Sqmt"/>
    <n v="60"/>
    <n v="950"/>
    <n v="57000"/>
  </r>
  <r>
    <n v="664"/>
    <x v="2"/>
    <x v="64"/>
    <n v="62006"/>
    <n v="45461"/>
    <s v="Knnd Associates Pvt Ltd"/>
    <s v="District New Hospital Madikeri"/>
    <s v="VCD (Alu. Blade)"/>
    <x v="72"/>
    <s v="Sqmt"/>
    <n v="1.6"/>
    <n v="6200"/>
    <n v="9920"/>
  </r>
  <r>
    <n v="665"/>
    <x v="2"/>
    <x v="64"/>
    <n v="62007"/>
    <n v="45462"/>
    <s v="Knnd Associates Pvt Ltd"/>
    <s v="Motherhood Hospital Sarjapura"/>
    <s v="Box Duct with TDF"/>
    <x v="27"/>
    <s v="Sqmt"/>
    <n v="174.7"/>
    <n v="1269"/>
    <n v="221694.3"/>
  </r>
  <r>
    <n v="666"/>
    <x v="2"/>
    <x v="64"/>
    <n v="62007"/>
    <n v="45462"/>
    <s v="Knnd Associates Pvt Ltd"/>
    <s v="Motherhood Hospital Sarjapura"/>
    <s v="Insulation"/>
    <x v="49"/>
    <s v="Sqmt"/>
    <n v="174.7"/>
    <n v="365"/>
    <n v="63765.499999999993"/>
  </r>
  <r>
    <n v="667"/>
    <x v="2"/>
    <x v="64"/>
    <n v="62007"/>
    <n v="45462"/>
    <s v="Knnd Associates Pvt Ltd"/>
    <s v="Motherhood Hospital Sarjapura"/>
    <s v="Plain Sheet"/>
    <x v="0"/>
    <s v="Sqmt"/>
    <n v="30"/>
    <n v="495"/>
    <n v="14850"/>
  </r>
  <r>
    <n v="668"/>
    <x v="2"/>
    <x v="64"/>
    <n v="62007"/>
    <n v="45462"/>
    <s v="Knnd Associates Pvt Ltd"/>
    <s v="Motherhood Hospital Sarjapura"/>
    <s v="Stretch Film"/>
    <x v="5"/>
    <s v="Sqmt"/>
    <n v="180"/>
    <n v="20"/>
    <n v="3600"/>
  </r>
  <r>
    <n v="669"/>
    <x v="2"/>
    <x v="64"/>
    <n v="62006"/>
    <n v="45463"/>
    <s v="Knnd Associates Pvt Ltd"/>
    <s v="District New Hospital Madikeri"/>
    <s v="Box Duct with TDF"/>
    <x v="27"/>
    <s v="Sqmt"/>
    <n v="44.5"/>
    <n v="1269"/>
    <n v="56470.5"/>
  </r>
  <r>
    <n v="670"/>
    <x v="2"/>
    <x v="64"/>
    <n v="62006"/>
    <n v="45463"/>
    <s v="Knnd Associates Pvt Ltd"/>
    <s v="District New Hospital Madikeri"/>
    <s v="Insulation"/>
    <x v="29"/>
    <s v="Sqmt"/>
    <n v="16.5"/>
    <n v="388"/>
    <n v="6402"/>
  </r>
  <r>
    <n v="671"/>
    <x v="2"/>
    <x v="64"/>
    <n v="62006"/>
    <n v="45463"/>
    <s v="Knnd Associates Pvt Ltd"/>
    <s v="District New Hospital Madikeri"/>
    <s v="Insulation"/>
    <x v="69"/>
    <s v="Sqmt"/>
    <n v="16.3"/>
    <n v="476"/>
    <n v="7758.8"/>
  </r>
  <r>
    <n v="672"/>
    <x v="2"/>
    <x v="64"/>
    <n v="62006"/>
    <n v="45463"/>
    <s v="Knnd Associates Pvt Ltd"/>
    <s v="District New Hospital Madikeri"/>
    <s v="Insulation"/>
    <x v="70"/>
    <s v="Sqmt"/>
    <n v="7.6"/>
    <n v="507"/>
    <n v="3853.2"/>
  </r>
  <r>
    <n v="673"/>
    <x v="2"/>
    <x v="64"/>
    <n v="62006"/>
    <n v="45463"/>
    <s v="Knnd Associates Pvt Ltd"/>
    <s v="District New Hospital Madikeri"/>
    <s v="Insulation"/>
    <x v="71"/>
    <s v="Sqmt"/>
    <n v="4.0999999999999996"/>
    <n v="594"/>
    <n v="2435.3999999999996"/>
  </r>
  <r>
    <n v="674"/>
    <x v="2"/>
    <x v="65"/>
    <n v="62007"/>
    <n v="45464"/>
    <s v="Knnd Associates Pvt Ltd"/>
    <s v="Motherhood Hospital Sarjapura"/>
    <s v="Box Duct with TDF"/>
    <x v="27"/>
    <s v="Sqmt"/>
    <n v="183.3"/>
    <n v="1269"/>
    <n v="232607.7"/>
  </r>
  <r>
    <n v="675"/>
    <x v="2"/>
    <x v="65"/>
    <n v="62007"/>
    <n v="45464"/>
    <s v="Knnd Associates Pvt Ltd"/>
    <s v="Motherhood Hospital Sarjapura"/>
    <s v="Insulation"/>
    <x v="49"/>
    <s v="Sqmt"/>
    <n v="91.8"/>
    <n v="365"/>
    <n v="33507"/>
  </r>
  <r>
    <n v="676"/>
    <x v="2"/>
    <x v="65"/>
    <n v="62007"/>
    <n v="45464"/>
    <s v="Knnd Associates Pvt Ltd"/>
    <s v="Motherhood Hospital Sarjapura"/>
    <s v="Insulation"/>
    <x v="71"/>
    <s v="Sqmt"/>
    <n v="65.599999999999994"/>
    <n v="594"/>
    <n v="38966.399999999994"/>
  </r>
  <r>
    <n v="677"/>
    <x v="2"/>
    <x v="65"/>
    <n v="62007"/>
    <n v="45464"/>
    <s v="Knnd Associates Pvt Ltd"/>
    <s v="Motherhood Hospital Sarjapura"/>
    <s v="Insulation"/>
    <x v="54"/>
    <s v="Sqmt"/>
    <n v="25.9"/>
    <n v="640"/>
    <n v="16576"/>
  </r>
  <r>
    <n v="678"/>
    <x v="2"/>
    <x v="65"/>
    <n v="62007"/>
    <n v="45464"/>
    <s v="Knnd Associates Pvt Ltd"/>
    <s v="Motherhood Hospital Sarjapura"/>
    <s v="Plain Sheet"/>
    <x v="27"/>
    <s v="Sqmt"/>
    <n v="18"/>
    <n v="950"/>
    <n v="17100"/>
  </r>
  <r>
    <n v="679"/>
    <x v="2"/>
    <x v="65"/>
    <n v="62007"/>
    <n v="45464"/>
    <s v="Knnd Associates Pvt Ltd"/>
    <s v="Motherhood Hospital Sarjapura"/>
    <s v="Insulation Flange"/>
    <x v="70"/>
    <s v="Sqmt"/>
    <n v="16.8"/>
    <n v="360"/>
    <n v="6048"/>
  </r>
  <r>
    <n v="680"/>
    <x v="2"/>
    <x v="65"/>
    <n v="62007"/>
    <n v="45464"/>
    <s v="Knnd Associates Pvt Ltd"/>
    <s v="Motherhood Hospital Sarjapura"/>
    <s v="Insulation Flange"/>
    <x v="26"/>
    <s v="Nos"/>
    <n v="50"/>
    <n v="154"/>
    <n v="7700"/>
  </r>
  <r>
    <n v="681"/>
    <x v="2"/>
    <x v="65"/>
    <n v="62007"/>
    <n v="45464"/>
    <s v="Knnd Associates Pvt Ltd"/>
    <s v="Motherhood Hospital Sarjapura"/>
    <s v="Stretch Film"/>
    <x v="5"/>
    <s v="Sqmt"/>
    <n v="180"/>
    <n v="20"/>
    <n v="3600"/>
  </r>
  <r>
    <n v="682"/>
    <x v="2"/>
    <x v="65"/>
    <n v="62000"/>
    <n v="45465"/>
    <s v="Knnd Associates Pvt Ltd"/>
    <s v="Wipro Doddaballapura"/>
    <s v="Box Duct with TDF"/>
    <x v="50"/>
    <s v="Sqmt"/>
    <n v="38.700000000000003"/>
    <n v="566"/>
    <n v="21904.2"/>
  </r>
  <r>
    <n v="683"/>
    <x v="2"/>
    <x v="65"/>
    <n v="62000"/>
    <n v="45465"/>
    <s v="Knnd Associates Pvt Ltd"/>
    <s v="Wipro Doddaballapura"/>
    <s v="Box Duct with TDF"/>
    <x v="0"/>
    <s v="Sqmt"/>
    <n v="249.8"/>
    <n v="670"/>
    <n v="167366"/>
  </r>
  <r>
    <n v="684"/>
    <x v="2"/>
    <x v="65"/>
    <n v="62000"/>
    <n v="45465"/>
    <s v="Knnd Associates Pvt Ltd"/>
    <s v="Wipro Doddaballapura"/>
    <s v="Box Duct with TDF"/>
    <x v="1"/>
    <s v="Sqmt"/>
    <n v="148.4"/>
    <n v="868"/>
    <n v="128811.20000000001"/>
  </r>
  <r>
    <n v="685"/>
    <x v="2"/>
    <x v="65"/>
    <n v="62000"/>
    <n v="45465"/>
    <s v="Knnd Associates Pvt Ltd"/>
    <s v="Wipro Doddaballapura"/>
    <s v="VCD (Alu. Blade)"/>
    <x v="7"/>
    <s v="Sqmt"/>
    <n v="1.4"/>
    <n v="5200"/>
    <n v="7279.9999999999991"/>
  </r>
  <r>
    <n v="686"/>
    <x v="2"/>
    <x v="65"/>
    <n v="62000"/>
    <n v="45465"/>
    <s v="Knnd Associates Pvt Ltd"/>
    <s v="Wipro Doddaballapura"/>
    <s v="Insulation"/>
    <x v="66"/>
    <s v="Sqmt"/>
    <n v="161.5"/>
    <n v="383"/>
    <n v="61854.5"/>
  </r>
  <r>
    <n v="687"/>
    <x v="2"/>
    <x v="65"/>
    <n v="62000"/>
    <n v="45465"/>
    <s v="Knnd Associates Pvt Ltd"/>
    <s v="Wipro Doddaballapura"/>
    <s v="Insulation"/>
    <x v="83"/>
    <s v="Sqmt"/>
    <n v="194.8"/>
    <n v="716"/>
    <n v="139476.80000000002"/>
  </r>
  <r>
    <n v="688"/>
    <x v="2"/>
    <x v="65"/>
    <n v="62000"/>
    <n v="45465"/>
    <s v="Knnd Associates Pvt Ltd"/>
    <s v="Wipro Doddaballapura"/>
    <s v="Insulation"/>
    <x v="68"/>
    <s v="Sqmt"/>
    <n v="41.9"/>
    <n v="1041"/>
    <n v="43617.9"/>
  </r>
  <r>
    <n v="689"/>
    <x v="2"/>
    <x v="65"/>
    <n v="62000"/>
    <n v="45465"/>
    <s v="Knnd Associates Pvt Ltd"/>
    <s v="Wipro Doddaballapura"/>
    <s v="Stretch Film"/>
    <x v="5"/>
    <s v="Sqmt"/>
    <n v="380"/>
    <n v="20"/>
    <n v="7600"/>
  </r>
  <r>
    <n v="690"/>
    <x v="3"/>
    <x v="66"/>
    <n v="62009"/>
    <n v="45466"/>
    <s v="Aircon Ref Pvt Ltd"/>
    <s v="Akshaya Motors"/>
    <s v="Box Duct with TDF"/>
    <x v="0"/>
    <s v="Sqmt"/>
    <n v="14.8"/>
    <n v="670"/>
    <n v="9916"/>
  </r>
  <r>
    <n v="691"/>
    <x v="3"/>
    <x v="66"/>
    <n v="62009"/>
    <n v="45466"/>
    <s v="Aircon Ref Pvt Ltd"/>
    <s v="Akshaya Motors"/>
    <s v="Box Duct with TDF"/>
    <x v="1"/>
    <s v="Sqmt"/>
    <n v="9.5"/>
    <n v="870"/>
    <n v="8265"/>
  </r>
  <r>
    <n v="692"/>
    <x v="3"/>
    <x v="66"/>
    <n v="62008"/>
    <n v="45467"/>
    <s v="Knnd Associates Pvt Ltd"/>
    <s v="Ginni Devi Goel Manipal Hospital Raipur"/>
    <s v="Box Duct with TDF (L-shape)"/>
    <x v="50"/>
    <s v="Sqmt"/>
    <n v="491.6"/>
    <n v="545"/>
    <n v="267922"/>
  </r>
  <r>
    <n v="693"/>
    <x v="3"/>
    <x v="66"/>
    <n v="62008"/>
    <n v="45467"/>
    <s v="Knnd Associates Pvt Ltd"/>
    <s v="Ginni Devi Goel Manipal Hospital Raipur"/>
    <s v="Box Duct with TDF (L-shape)"/>
    <x v="0"/>
    <s v="Sqmt"/>
    <n v="3.4"/>
    <n v="645"/>
    <n v="2193"/>
  </r>
  <r>
    <n v="694"/>
    <x v="3"/>
    <x v="66"/>
    <n v="62008"/>
    <n v="45467"/>
    <s v="Knnd Associates Pvt Ltd"/>
    <s v="Ginni Devi Goel Manipal Hospital Raipur"/>
    <s v="Box Duct with TDF (L-shape)"/>
    <x v="1"/>
    <s v="Sqmt"/>
    <n v="339.6"/>
    <n v="845"/>
    <n v="286962"/>
  </r>
  <r>
    <n v="695"/>
    <x v="3"/>
    <x v="66"/>
    <n v="62008"/>
    <n v="45467"/>
    <s v="Knnd Associates Pvt Ltd"/>
    <s v="Ginni Devi Goel Manipal Hospital Raipur"/>
    <s v="Box Duct with TDF (L-shape)"/>
    <x v="7"/>
    <s v="Sqmt"/>
    <n v="508.5"/>
    <n v="1035"/>
    <n v="526297.5"/>
  </r>
  <r>
    <n v="696"/>
    <x v="3"/>
    <x v="66"/>
    <n v="62008"/>
    <n v="45467"/>
    <s v="Knnd Associates Pvt Ltd"/>
    <s v="Ginni Devi Goel Manipal Hospital Raipur"/>
    <s v="VCD (Alu. Blade)"/>
    <x v="7"/>
    <s v="Sqmt"/>
    <n v="7.2"/>
    <n v="5200"/>
    <n v="37440"/>
  </r>
  <r>
    <n v="697"/>
    <x v="3"/>
    <x v="66"/>
    <n v="61997"/>
    <n v="45468"/>
    <s v="Knnd Associates Pvt Ltd"/>
    <s v="BDR Hospital Pune"/>
    <s v="Box Duct with TDF"/>
    <x v="0"/>
    <s v="Sqmt"/>
    <n v="542.20000000000005"/>
    <n v="670"/>
    <n v="363274.00000000006"/>
  </r>
  <r>
    <n v="698"/>
    <x v="3"/>
    <x v="66"/>
    <n v="61997"/>
    <n v="45468"/>
    <s v="Knnd Associates Pvt Ltd"/>
    <s v="BDR Hospital Pune"/>
    <s v="Box Duct with TDF"/>
    <x v="1"/>
    <s v="Sqmt"/>
    <n v="30.2"/>
    <n v="868"/>
    <n v="26213.599999999999"/>
  </r>
  <r>
    <n v="699"/>
    <x v="3"/>
    <x v="66"/>
    <n v="61997"/>
    <n v="45468"/>
    <s v="Knnd Associates Pvt Ltd"/>
    <s v="BDR Hospital Pune"/>
    <s v="Insulation"/>
    <x v="70"/>
    <s v="Sqmt"/>
    <n v="385.7"/>
    <n v="507"/>
    <n v="195549.9"/>
  </r>
  <r>
    <n v="700"/>
    <x v="3"/>
    <x v="66"/>
    <n v="61997"/>
    <n v="45468"/>
    <s v="Knnd Associates Pvt Ltd"/>
    <s v="BDR Hospital Pune"/>
    <s v="Insulation Flange"/>
    <x v="70"/>
    <s v="Sqmt"/>
    <n v="84"/>
    <n v="360"/>
    <n v="30240"/>
  </r>
  <r>
    <n v="701"/>
    <x v="3"/>
    <x v="66"/>
    <n v="61997"/>
    <n v="45468"/>
    <s v="Knnd Associates Pvt Ltd"/>
    <s v="BDR Hospital Pune"/>
    <s v="Insulation"/>
    <x v="28"/>
    <s v="Sqmt"/>
    <n v="51.9"/>
    <n v="865"/>
    <n v="44893.5"/>
  </r>
  <r>
    <n v="702"/>
    <x v="3"/>
    <x v="66"/>
    <n v="61997"/>
    <n v="45468"/>
    <s v="Knnd Associates Pvt Ltd"/>
    <s v="BDR Hospital Pune"/>
    <s v="Round Flange"/>
    <x v="0"/>
    <s v="Nos"/>
    <n v="72"/>
    <n v="75"/>
    <n v="5400"/>
  </r>
  <r>
    <n v="703"/>
    <x v="3"/>
    <x v="66"/>
    <n v="61997"/>
    <n v="45468"/>
    <s v="Knnd Associates Pvt Ltd"/>
    <s v="BDR Hospital Pune"/>
    <s v="Stretch Film"/>
    <x v="5"/>
    <s v="Sqmt"/>
    <n v="430"/>
    <n v="20"/>
    <n v="8600"/>
  </r>
  <r>
    <n v="704"/>
    <x v="3"/>
    <x v="66"/>
    <n v="62008"/>
    <n v="45469"/>
    <s v="Knnd Associates Pvt Ltd"/>
    <s v="Ginni Devi Goel Manipal Hospital Raipur"/>
    <s v="Box Duct with TDF (L-shape)"/>
    <x v="50"/>
    <s v="Sqmt"/>
    <n v="926.2"/>
    <n v="545"/>
    <n v="504779"/>
  </r>
  <r>
    <n v="705"/>
    <x v="3"/>
    <x v="66"/>
    <n v="62008"/>
    <n v="45469"/>
    <s v="Knnd Associates Pvt Ltd"/>
    <s v="Ginni Devi Goel Manipal Hospital Raipur"/>
    <s v="Box Duct with TDF (L-shape)"/>
    <x v="0"/>
    <s v="Sqmt"/>
    <n v="55.7"/>
    <n v="645"/>
    <n v="35926.5"/>
  </r>
  <r>
    <n v="706"/>
    <x v="3"/>
    <x v="66"/>
    <n v="62008"/>
    <n v="45469"/>
    <s v="Knnd Associates Pvt Ltd"/>
    <s v="Ginni Devi Goel Manipal Hospital Raipur"/>
    <s v="Box Duct with TDF (L-shape)"/>
    <x v="1"/>
    <s v="Sqmt"/>
    <n v="105.4"/>
    <n v="845"/>
    <n v="89063"/>
  </r>
  <r>
    <n v="707"/>
    <x v="3"/>
    <x v="66"/>
    <n v="62008"/>
    <n v="45469"/>
    <s v="Knnd Associates Pvt Ltd"/>
    <s v="Ginni Devi Goel Manipal Hospital Raipur"/>
    <s v="Box Duct with TDF (L-shape)"/>
    <x v="7"/>
    <s v="Sqmt"/>
    <n v="2.2000000000000002"/>
    <n v="1035"/>
    <n v="2277"/>
  </r>
  <r>
    <n v="708"/>
    <x v="3"/>
    <x v="67"/>
    <n v="62022"/>
    <n v="45470"/>
    <s v="Aircon Ref Pvt Ltd"/>
    <s v="Akshaya Motors"/>
    <s v="Box Duct with TDF"/>
    <x v="0"/>
    <s v="Sqmt"/>
    <n v="14.8"/>
    <n v="670"/>
    <n v="9916"/>
  </r>
  <r>
    <n v="709"/>
    <x v="3"/>
    <x v="67"/>
    <n v="62022"/>
    <n v="45470"/>
    <s v="Aircon Ref Pvt Ltd"/>
    <s v="Akshaya Motors"/>
    <s v="Box Duct with TDF"/>
    <x v="1"/>
    <s v="Sqmt"/>
    <n v="9.5"/>
    <n v="870"/>
    <n v="8265"/>
  </r>
  <r>
    <n v="710"/>
    <x v="3"/>
    <x v="67"/>
    <n v="62023"/>
    <n v="45471"/>
    <s v="Eqube Energy &amp; Research Services LLP"/>
    <s v="Eqube Internal Project"/>
    <s v="Box Duct with TDF"/>
    <x v="0"/>
    <s v="Sqmt"/>
    <n v="4.9000000000000004"/>
    <n v="680"/>
    <n v="3332.0000000000005"/>
  </r>
  <r>
    <n v="711"/>
    <x v="3"/>
    <x v="67"/>
    <n v="62023"/>
    <n v="45471"/>
    <s v="Eqube Energy &amp; Research Services LLP"/>
    <s v="Eqube Internal Project"/>
    <s v="Mixing Box (600x150x350Hx250mm Dia)"/>
    <x v="0"/>
    <s v="Nos"/>
    <n v="4"/>
    <n v="580"/>
    <n v="2320"/>
  </r>
  <r>
    <n v="712"/>
    <x v="3"/>
    <x v="67"/>
    <n v="62023"/>
    <n v="45471"/>
    <s v="Eqube Energy &amp; Research Services LLP"/>
    <s v="Eqube Internal Project"/>
    <s v="Mixing Box (300x100x350Hx250mm Dia)"/>
    <x v="0"/>
    <s v="Nos"/>
    <n v="2"/>
    <n v="380"/>
    <n v="760"/>
  </r>
  <r>
    <n v="713"/>
    <x v="3"/>
    <x v="67"/>
    <n v="62023"/>
    <n v="45471"/>
    <s v="Eqube Energy &amp; Research Services LLP"/>
    <s v="Eqube Internal Project"/>
    <s v="Spigot 200mm Dia"/>
    <x v="1"/>
    <s v="Nos"/>
    <n v="2"/>
    <n v="460"/>
    <n v="920"/>
  </r>
  <r>
    <n v="714"/>
    <x v="3"/>
    <x v="67"/>
    <n v="62023"/>
    <n v="45471"/>
    <s v="Eqube Energy &amp; Research Services LLP"/>
    <s v="Eqube Internal Project"/>
    <s v="Spigot 250mm Dia"/>
    <x v="1"/>
    <s v="Nos"/>
    <n v="4"/>
    <n v="530"/>
    <n v="2120"/>
  </r>
  <r>
    <n v="715"/>
    <x v="3"/>
    <x v="68"/>
    <n v="62005"/>
    <n v="45472"/>
    <s v="Knnd Associates Pvt Ltd"/>
    <s v="Wipro Doddaballapura (Pre-Insu Pipe)"/>
    <s v="24G GI Pre-Insulated MS Pipes"/>
    <x v="84"/>
    <s v="Rmt"/>
    <n v="42"/>
    <n v="1205"/>
    <n v="50610"/>
  </r>
  <r>
    <n v="716"/>
    <x v="3"/>
    <x v="68"/>
    <n v="62005"/>
    <n v="45472"/>
    <s v="Knnd Associates Pvt Ltd"/>
    <s v="Wipro Doddaballapura (Pre-Insu Pipe)"/>
    <s v="24G GI Pre-Insulated MS Pipes"/>
    <x v="85"/>
    <s v="Rmt"/>
    <n v="12"/>
    <n v="815"/>
    <n v="9780"/>
  </r>
  <r>
    <n v="717"/>
    <x v="3"/>
    <x v="68"/>
    <n v="62005"/>
    <n v="45472"/>
    <s v="Knnd Associates Pvt Ltd"/>
    <s v="Wipro Doddaballapura (Pre-Insu Pipe)"/>
    <s v="24G GI Pre-Insulated MS Pipes"/>
    <x v="86"/>
    <s v="Rmt"/>
    <n v="66"/>
    <n v="385"/>
    <n v="25410"/>
  </r>
  <r>
    <n v="718"/>
    <x v="3"/>
    <x v="68"/>
    <n v="62005"/>
    <n v="45472"/>
    <s v="Knnd Associates Pvt Ltd"/>
    <s v="Wipro Doddaballapura (Pre-Insu Pipe)"/>
    <s v="24G GI Pre-Insulated MS Pipes"/>
    <x v="87"/>
    <s v="Rmt"/>
    <n v="12"/>
    <n v="362"/>
    <n v="4344"/>
  </r>
  <r>
    <n v="719"/>
    <x v="3"/>
    <x v="68"/>
    <n v="62000"/>
    <n v="45473"/>
    <s v="Knnd Associates Pvt Ltd"/>
    <s v="Wipro Doddaballapura"/>
    <s v="Box Duct with TDF"/>
    <x v="0"/>
    <s v="Sqmt"/>
    <n v="4.7"/>
    <n v="670"/>
    <n v="3149"/>
  </r>
  <r>
    <n v="720"/>
    <x v="3"/>
    <x v="68"/>
    <n v="62000"/>
    <n v="45473"/>
    <s v="Knnd Associates Pvt Ltd"/>
    <s v="Wipro Doddaballapura"/>
    <s v="Box Duct with TDF"/>
    <x v="1"/>
    <s v="Sqmt"/>
    <n v="9.6"/>
    <n v="868"/>
    <n v="8332.7999999999993"/>
  </r>
  <r>
    <n v="721"/>
    <x v="3"/>
    <x v="68"/>
    <n v="62000"/>
    <n v="45473"/>
    <s v="Knnd Associates Pvt Ltd"/>
    <s v="Wipro Doddaballapura"/>
    <s v="Insulation"/>
    <x v="66"/>
    <s v="Sqmt"/>
    <n v="9.6"/>
    <n v="383"/>
    <n v="3676.7999999999997"/>
  </r>
  <r>
    <n v="722"/>
    <x v="3"/>
    <x v="68"/>
    <n v="62000"/>
    <n v="45473"/>
    <s v="Knnd Associates Pvt Ltd"/>
    <s v="Wipro Doddaballapura"/>
    <s v="Insulation"/>
    <x v="83"/>
    <s v="Sqmt"/>
    <n v="4.7"/>
    <n v="716"/>
    <n v="3365.2000000000003"/>
  </r>
  <r>
    <n v="723"/>
    <x v="3"/>
    <x v="68"/>
    <n v="62000"/>
    <n v="45473"/>
    <s v="Knnd Associates Pvt Ltd"/>
    <s v="Wipro Doddaballapura"/>
    <s v="Insulation Flange"/>
    <x v="66"/>
    <s v="Sqmt"/>
    <n v="84"/>
    <n v="225"/>
    <n v="18900"/>
  </r>
  <r>
    <n v="724"/>
    <x v="3"/>
    <x v="68"/>
    <n v="62000"/>
    <n v="45473"/>
    <s v="Knnd Associates Pvt Ltd"/>
    <s v="Wipro Doddaballapura"/>
    <s v="Stretch Film"/>
    <x v="5"/>
    <s v="Sqmt"/>
    <n v="20"/>
    <n v="20"/>
    <n v="400"/>
  </r>
  <r>
    <n v="725"/>
    <x v="3"/>
    <x v="68"/>
    <n v="61965"/>
    <n v="45474"/>
    <s v="Knnd Associates Pvt Ltd"/>
    <s v="IISC Medical School Foundation Bangalore"/>
    <s v="Box Duct with TDF"/>
    <x v="0"/>
    <s v="Sqmt"/>
    <n v="286.3"/>
    <n v="670"/>
    <n v="191821"/>
  </r>
  <r>
    <n v="726"/>
    <x v="3"/>
    <x v="68"/>
    <n v="61965"/>
    <n v="45474"/>
    <s v="Knnd Associates Pvt Ltd"/>
    <s v="IISC Medical School Foundation Bangalore"/>
    <s v="Box Duct with TDF"/>
    <x v="1"/>
    <s v="Sqmt"/>
    <n v="167.7"/>
    <n v="868"/>
    <n v="145563.59999999998"/>
  </r>
  <r>
    <n v="727"/>
    <x v="3"/>
    <x v="68"/>
    <n v="61965"/>
    <n v="45474"/>
    <s v="Knnd Associates Pvt Ltd"/>
    <s v="IISC Medical School Foundation Bangalore"/>
    <s v="Insulation"/>
    <x v="17"/>
    <s v="Sqmt"/>
    <n v="401.6"/>
    <n v="441"/>
    <n v="177105.6"/>
  </r>
  <r>
    <n v="728"/>
    <x v="3"/>
    <x v="68"/>
    <n v="61965"/>
    <n v="45474"/>
    <s v="Knnd Associates Pvt Ltd"/>
    <s v="IISC Medical School Foundation Bangalore"/>
    <s v="Insulation"/>
    <x v="3"/>
    <s v="Sqmt"/>
    <n v="52.4"/>
    <n v="838"/>
    <n v="43911.199999999997"/>
  </r>
  <r>
    <n v="729"/>
    <x v="3"/>
    <x v="68"/>
    <n v="61965"/>
    <n v="45474"/>
    <s v="Knnd Associates Pvt Ltd"/>
    <s v="IISC Medical School Foundation Bangalore"/>
    <s v="Stretch Film"/>
    <x v="5"/>
    <s v="Sqmt"/>
    <n v="440"/>
    <n v="20"/>
    <n v="8800"/>
  </r>
  <r>
    <n v="730"/>
    <x v="3"/>
    <x v="68"/>
    <n v="61993"/>
    <n v="45475"/>
    <s v="Knnd Associates Pvt Ltd"/>
    <s v="Infosys Bangalore B-3,4&amp;5"/>
    <s v="Box Duct with TDF"/>
    <x v="0"/>
    <s v="Sqmt"/>
    <n v="16.3"/>
    <n v="670"/>
    <n v="10921"/>
  </r>
  <r>
    <n v="731"/>
    <x v="3"/>
    <x v="68"/>
    <n v="61993"/>
    <n v="45475"/>
    <s v="Knnd Associates Pvt Ltd"/>
    <s v="Infosys Bangalore B-3,4&amp;5"/>
    <s v="Box Duct with TDF"/>
    <x v="1"/>
    <s v="Sqmt"/>
    <n v="53.3"/>
    <n v="868"/>
    <n v="46264.399999999994"/>
  </r>
  <r>
    <n v="732"/>
    <x v="3"/>
    <x v="68"/>
    <n v="61993"/>
    <n v="45475"/>
    <s v="Knnd Associates Pvt Ltd"/>
    <s v="Infosys Bangalore B-3,4&amp;5"/>
    <s v="Insulation"/>
    <x v="3"/>
    <s v="Sqmt"/>
    <n v="69.599999999999994"/>
    <n v="906"/>
    <n v="63057.599999999991"/>
  </r>
  <r>
    <n v="733"/>
    <x v="3"/>
    <x v="68"/>
    <n v="62010"/>
    <n v="45476"/>
    <s v="Knnd Associates Pvt Ltd"/>
    <s v="AIIMS Hospital Madurai"/>
    <s v="Pressure Testing of Ducts"/>
    <x v="51"/>
    <s v="Sqmt"/>
    <n v="404.1"/>
    <n v="35"/>
    <n v="14143.5"/>
  </r>
  <r>
    <n v="734"/>
    <x v="3"/>
    <x v="68"/>
    <n v="62011"/>
    <n v="45477"/>
    <s v="Knnd Associates Pvt Ltd"/>
    <s v="BDR Hospital Pune"/>
    <s v="Pressure Testing of Ducts"/>
    <x v="51"/>
    <s v="Sqmt"/>
    <n v="950.8"/>
    <n v="35"/>
    <n v="33278"/>
  </r>
  <r>
    <n v="735"/>
    <x v="3"/>
    <x v="68"/>
    <n v="62012"/>
    <n v="45478"/>
    <s v="Knnd Associates Pvt Ltd"/>
    <s v="MAHE Lecture Hall Campus Bangalore"/>
    <s v="Pressure Testing of Ducts"/>
    <x v="51"/>
    <s v="Sqmt"/>
    <n v="252.2"/>
    <n v="35"/>
    <n v="8827"/>
  </r>
  <r>
    <n v="736"/>
    <x v="3"/>
    <x v="68"/>
    <n v="62013"/>
    <n v="45479"/>
    <s v="Knnd Associates Pvt Ltd"/>
    <s v="IISC Medical School Foundation Bangalore"/>
    <s v="Pressure Testing of Ducts"/>
    <x v="51"/>
    <s v="Sqmt"/>
    <n v="714"/>
    <n v="35"/>
    <n v="24990"/>
  </r>
  <r>
    <n v="737"/>
    <x v="3"/>
    <x v="68"/>
    <n v="62014"/>
    <n v="45480"/>
    <s v="Knnd Associates Pvt Ltd"/>
    <s v="Zentech Business Park Bangalore"/>
    <s v="Pressure Testing of Ducts"/>
    <x v="51"/>
    <s v="Sqmt"/>
    <n v="464.4"/>
    <n v="35"/>
    <n v="16254"/>
  </r>
  <r>
    <n v="738"/>
    <x v="3"/>
    <x v="68"/>
    <n v="62015"/>
    <n v="45481"/>
    <s v="Knnd Associates Pvt Ltd"/>
    <s v="Motherhood Hospital Sarjapura"/>
    <s v="Pressure Testing of Ducts"/>
    <x v="51"/>
    <s v="Sqmt"/>
    <n v="361.6"/>
    <n v="35"/>
    <n v="12656"/>
  </r>
  <r>
    <n v="739"/>
    <x v="3"/>
    <x v="68"/>
    <n v="62016"/>
    <n v="45482"/>
    <s v="Knnd Associates Pvt Ltd"/>
    <s v="Chanakya University HB-3A Bangalore"/>
    <s v="Pressure Testing of Ducts"/>
    <x v="51"/>
    <s v="Sqmt"/>
    <n v="853.7"/>
    <n v="35"/>
    <n v="29879.5"/>
  </r>
  <r>
    <n v="740"/>
    <x v="3"/>
    <x v="68"/>
    <n v="62017"/>
    <n v="45483"/>
    <s v="Knnd Associates Pvt Ltd"/>
    <s v="MAHE Hostel block-5 Bangalore"/>
    <s v="Pressure Testing of Ducts"/>
    <x v="51"/>
    <s v="Sqmt"/>
    <n v="319.10000000000002"/>
    <n v="35"/>
    <n v="11168.5"/>
  </r>
  <r>
    <n v="741"/>
    <x v="3"/>
    <x v="68"/>
    <n v="62018"/>
    <n v="45484"/>
    <s v="Knnd Associates Pvt Ltd"/>
    <s v="Jayadeva Institute of Cardiovas Science"/>
    <s v="Pressure Testing of Ducts"/>
    <x v="51"/>
    <s v="Sqmt"/>
    <n v="814.5"/>
    <n v="35"/>
    <n v="28507.5"/>
  </r>
  <r>
    <n v="742"/>
    <x v="3"/>
    <x v="68"/>
    <n v="62019"/>
    <n v="45485"/>
    <s v="Knnd Associates Pvt Ltd"/>
    <s v="Schneider Electric Bangalore"/>
    <s v="Pressure Testing of Ducts"/>
    <x v="51"/>
    <s v="Sqmt"/>
    <n v="171.4"/>
    <n v="35"/>
    <n v="5999"/>
  </r>
  <r>
    <n v="743"/>
    <x v="3"/>
    <x v="68"/>
    <n v="62020"/>
    <n v="45486"/>
    <s v="Knnd Associates Pvt Ltd"/>
    <s v="MAHE Hostel block-5 Bangalore"/>
    <s v="Pressure Testing of Ducts"/>
    <x v="51"/>
    <s v="Sqmt"/>
    <n v="299.3"/>
    <n v="35"/>
    <n v="10475.5"/>
  </r>
  <r>
    <n v="744"/>
    <x v="3"/>
    <x v="68"/>
    <n v="62021"/>
    <n v="45487"/>
    <s v="Knnd Associates Pvt Ltd"/>
    <s v="Wipro Doddaballapura"/>
    <s v="Pressure Testing of Ducts"/>
    <x v="51"/>
    <s v="Sqmt"/>
    <n v="1637.9"/>
    <n v="35"/>
    <n v="57326.5"/>
  </r>
  <r>
    <n v="745"/>
    <x v="3"/>
    <x v="68"/>
    <n v="61965"/>
    <n v="45488"/>
    <s v="Knnd Associates Pvt Ltd"/>
    <s v="IISC Medical School Foundation Bangalore"/>
    <s v="Box Duct with TDF"/>
    <x v="0"/>
    <s v="Sqmt"/>
    <n v="401.7"/>
    <n v="670"/>
    <n v="269139"/>
  </r>
  <r>
    <n v="746"/>
    <x v="3"/>
    <x v="68"/>
    <n v="61965"/>
    <n v="45488"/>
    <s v="Knnd Associates Pvt Ltd"/>
    <s v="IISC Medical School Foundation Bangalore"/>
    <s v="Box Duct with TDF"/>
    <x v="1"/>
    <s v="Sqmt"/>
    <n v="30.2"/>
    <n v="868"/>
    <n v="26213.599999999999"/>
  </r>
  <r>
    <n v="747"/>
    <x v="3"/>
    <x v="68"/>
    <n v="61965"/>
    <n v="45488"/>
    <s v="Knnd Associates Pvt Ltd"/>
    <s v="IISC Medical School Foundation Bangalore"/>
    <s v="Insulation"/>
    <x v="17"/>
    <s v="Sqmt"/>
    <n v="431.9"/>
    <n v="441"/>
    <n v="190467.9"/>
  </r>
  <r>
    <n v="748"/>
    <x v="3"/>
    <x v="68"/>
    <n v="61965"/>
    <n v="45488"/>
    <s v="Knnd Associates Pvt Ltd"/>
    <s v="IISC Medical School Foundation Bangalore"/>
    <s v="Stretch Film"/>
    <x v="5"/>
    <s v="Sqmt"/>
    <n v="470"/>
    <n v="20"/>
    <n v="9400"/>
  </r>
  <r>
    <n v="749"/>
    <x v="3"/>
    <x v="69"/>
    <n v="61859"/>
    <n v="45489"/>
    <s v="Knnd Associates Pvt Ltd"/>
    <s v="MSR Tech Park Bangalore"/>
    <s v="VCD (Alu. Blade)"/>
    <x v="7"/>
    <s v="Sqmt"/>
    <n v="2.1"/>
    <n v="5200"/>
    <n v="10920"/>
  </r>
  <r>
    <n v="750"/>
    <x v="3"/>
    <x v="69"/>
    <n v="61965"/>
    <n v="45490"/>
    <s v="Knnd Associates Pvt Ltd"/>
    <s v="IISC Medical School Foundation Bangalore"/>
    <s v="Box Duct with TDF"/>
    <x v="0"/>
    <s v="Sqmt"/>
    <n v="402"/>
    <n v="670"/>
    <n v="269340"/>
  </r>
  <r>
    <n v="751"/>
    <x v="3"/>
    <x v="69"/>
    <n v="61965"/>
    <n v="45490"/>
    <s v="Knnd Associates Pvt Ltd"/>
    <s v="IISC Medical School Foundation Bangalore"/>
    <s v="Box Duct with TDF"/>
    <x v="1"/>
    <s v="Sqmt"/>
    <n v="78.5"/>
    <n v="868"/>
    <n v="68138"/>
  </r>
  <r>
    <n v="752"/>
    <x v="3"/>
    <x v="69"/>
    <n v="61965"/>
    <n v="45490"/>
    <s v="Knnd Associates Pvt Ltd"/>
    <s v="IISC Medical School Foundation Bangalore"/>
    <s v="Spiral Round Duct"/>
    <x v="9"/>
    <s v="Sqmt"/>
    <n v="93.5"/>
    <n v="620"/>
    <n v="57970"/>
  </r>
  <r>
    <n v="753"/>
    <x v="3"/>
    <x v="69"/>
    <n v="61965"/>
    <n v="45490"/>
    <s v="Knnd Associates Pvt Ltd"/>
    <s v="IISC Medical School Foundation Bangalore"/>
    <s v="Round Flange"/>
    <x v="0"/>
    <s v="Nos"/>
    <n v="26"/>
    <n v="70"/>
    <n v="1820"/>
  </r>
  <r>
    <n v="754"/>
    <x v="3"/>
    <x v="69"/>
    <n v="61965"/>
    <n v="45490"/>
    <s v="Knnd Associates Pvt Ltd"/>
    <s v="IISC Medical School Foundation Bangalore"/>
    <s v="Insulation"/>
    <x v="17"/>
    <s v="Sqmt"/>
    <n v="365.4"/>
    <n v="441"/>
    <n v="161141.4"/>
  </r>
  <r>
    <n v="755"/>
    <x v="3"/>
    <x v="69"/>
    <n v="61965"/>
    <n v="45490"/>
    <s v="Knnd Associates Pvt Ltd"/>
    <s v="IISC Medical School Foundation Bangalore"/>
    <s v="Insulation"/>
    <x v="3"/>
    <s v="Sqmt"/>
    <n v="3.1"/>
    <n v="838"/>
    <n v="2597.8000000000002"/>
  </r>
  <r>
    <n v="756"/>
    <x v="3"/>
    <x v="69"/>
    <n v="61965"/>
    <n v="45490"/>
    <s v="Knnd Associates Pvt Ltd"/>
    <s v="IISC Medical School Foundation Bangalore"/>
    <s v="Stretch Film"/>
    <x v="5"/>
    <s v="Sqmt"/>
    <n v="400"/>
    <n v="20"/>
    <n v="8000"/>
  </r>
  <r>
    <n v="757"/>
    <x v="3"/>
    <x v="69"/>
    <n v="61967"/>
    <n v="45491"/>
    <s v="Knnd Associates Pvt Ltd"/>
    <s v="AIIMS Hospital Madurai"/>
    <s v="Box Duct with TDF"/>
    <x v="0"/>
    <s v="Sqmt"/>
    <n v="391.9"/>
    <n v="670"/>
    <n v="262573"/>
  </r>
  <r>
    <n v="758"/>
    <x v="3"/>
    <x v="69"/>
    <n v="61967"/>
    <n v="45491"/>
    <s v="Knnd Associates Pvt Ltd"/>
    <s v="AIIMS Hospital Madurai"/>
    <s v="Box Duct with TDF"/>
    <x v="1"/>
    <s v="Sqmt"/>
    <n v="193.8"/>
    <n v="868"/>
    <n v="168218.40000000002"/>
  </r>
  <r>
    <n v="759"/>
    <x v="3"/>
    <x v="69"/>
    <n v="61967"/>
    <n v="45491"/>
    <s v="Knnd Associates Pvt Ltd"/>
    <s v="AIIMS Hospital Madurai"/>
    <s v="Box Duct with TDF"/>
    <x v="7"/>
    <s v="Sqmt"/>
    <n v="34.6"/>
    <n v="1060"/>
    <n v="36676"/>
  </r>
  <r>
    <n v="760"/>
    <x v="3"/>
    <x v="69"/>
    <n v="61967"/>
    <n v="45491"/>
    <s v="Knnd Associates Pvt Ltd"/>
    <s v="AIIMS Hospital Madurai"/>
    <s v="Insulation"/>
    <x v="66"/>
    <s v="Sqmt"/>
    <n v="620.29999999999995"/>
    <n v="415"/>
    <n v="257424.49999999997"/>
  </r>
  <r>
    <n v="761"/>
    <x v="3"/>
    <x v="69"/>
    <n v="61967"/>
    <n v="45491"/>
    <s v="Knnd Associates Pvt Ltd"/>
    <s v="AIIMS Hospital Madurai"/>
    <s v="Stretch Film"/>
    <x v="5"/>
    <s v="Sqmt"/>
    <n v="630"/>
    <n v="20"/>
    <n v="12600"/>
  </r>
  <r>
    <n v="762"/>
    <x v="3"/>
    <x v="70"/>
    <n v="61965"/>
    <n v="45492"/>
    <s v="Knnd Associates Pvt Ltd"/>
    <s v="IISC Medical School Foundation Bangalore"/>
    <s v="Box Duct with TDF"/>
    <x v="0"/>
    <s v="Sqmt"/>
    <n v="32.200000000000003"/>
    <n v="670"/>
    <n v="21574.000000000004"/>
  </r>
  <r>
    <n v="763"/>
    <x v="3"/>
    <x v="70"/>
    <n v="61965"/>
    <n v="45492"/>
    <s v="Knnd Associates Pvt Ltd"/>
    <s v="IISC Medical School Foundation Bangalore"/>
    <s v="Box Duct with TDF"/>
    <x v="1"/>
    <s v="Sqmt"/>
    <n v="15.8"/>
    <n v="868"/>
    <n v="13714.400000000001"/>
  </r>
  <r>
    <n v="764"/>
    <x v="3"/>
    <x v="70"/>
    <n v="61965"/>
    <n v="45492"/>
    <s v="Knnd Associates Pvt Ltd"/>
    <s v="IISC Medical School Foundation Bangalore"/>
    <s v="Insulation"/>
    <x v="17"/>
    <s v="Sqmt"/>
    <n v="34.700000000000003"/>
    <n v="441"/>
    <n v="15302.7"/>
  </r>
  <r>
    <n v="765"/>
    <x v="3"/>
    <x v="70"/>
    <n v="61965"/>
    <n v="45492"/>
    <s v="Knnd Associates Pvt Ltd"/>
    <s v="IISC Medical School Foundation Bangalore"/>
    <s v="Insulation"/>
    <x v="3"/>
    <s v="Sqmt"/>
    <n v="3.8"/>
    <n v="838"/>
    <n v="3184.3999999999996"/>
  </r>
  <r>
    <n v="766"/>
    <x v="3"/>
    <x v="70"/>
    <n v="61965"/>
    <n v="45492"/>
    <s v="Knnd Associates Pvt Ltd"/>
    <s v="IISC Medical School Foundation Bangalore"/>
    <s v="Stretch Film"/>
    <x v="5"/>
    <s v="Sqmt"/>
    <n v="50"/>
    <n v="20"/>
    <n v="1000"/>
  </r>
  <r>
    <n v="767"/>
    <x v="3"/>
    <x v="70"/>
    <n v="62024"/>
    <n v="45493"/>
    <s v="Knnd Associates Pvt Ltd"/>
    <s v="MHEPL Mangalore"/>
    <s v="Box Duct with TDF"/>
    <x v="0"/>
    <s v="Sqmt"/>
    <n v="105"/>
    <n v="670"/>
    <n v="70350"/>
  </r>
  <r>
    <n v="768"/>
    <x v="3"/>
    <x v="70"/>
    <n v="62024"/>
    <n v="45493"/>
    <s v="Knnd Associates Pvt Ltd"/>
    <s v="MHEPL Mangalore"/>
    <s v="Box Duct with TDF"/>
    <x v="1"/>
    <s v="Sqmt"/>
    <n v="84.1"/>
    <n v="868"/>
    <n v="72998.799999999988"/>
  </r>
  <r>
    <n v="769"/>
    <x v="3"/>
    <x v="70"/>
    <n v="62024"/>
    <n v="45493"/>
    <s v="Knnd Associates Pvt Ltd"/>
    <s v="MHEPL Mangalore"/>
    <s v="Spiral Round Duct"/>
    <x v="9"/>
    <s v="Sqmt"/>
    <n v="16.100000000000001"/>
    <n v="620"/>
    <n v="9982"/>
  </r>
  <r>
    <n v="770"/>
    <x v="3"/>
    <x v="70"/>
    <n v="62024"/>
    <n v="45493"/>
    <s v="Knnd Associates Pvt Ltd"/>
    <s v="MHEPL Mangalore"/>
    <s v="Spiral Oval Coupling"/>
    <x v="10"/>
    <s v="Sqmt"/>
    <n v="0.7"/>
    <n v="770"/>
    <n v="539"/>
  </r>
  <r>
    <n v="771"/>
    <x v="3"/>
    <x v="70"/>
    <n v="62024"/>
    <n v="45493"/>
    <s v="Knnd Associates Pvt Ltd"/>
    <s v="MHEPL Mangalore"/>
    <s v="VCD (Alu. Blade)"/>
    <x v="7"/>
    <s v="Sqmt"/>
    <n v="2.5"/>
    <n v="5200"/>
    <n v="13000"/>
  </r>
  <r>
    <n v="772"/>
    <x v="3"/>
    <x v="70"/>
    <n v="62024"/>
    <n v="45493"/>
    <s v="Knnd Associates Pvt Ltd"/>
    <s v="MHEPL Mangalore"/>
    <s v="Insulation"/>
    <x v="49"/>
    <s v="Sqmt"/>
    <n v="51.2"/>
    <n v="365"/>
    <n v="18688"/>
  </r>
  <r>
    <n v="773"/>
    <x v="3"/>
    <x v="70"/>
    <n v="62024"/>
    <n v="45493"/>
    <s v="Knnd Associates Pvt Ltd"/>
    <s v="MHEPL Mangalore"/>
    <s v="Insulation"/>
    <x v="3"/>
    <s v="Sqmt"/>
    <n v="4.4000000000000004"/>
    <n v="906"/>
    <n v="3986.4000000000005"/>
  </r>
  <r>
    <n v="774"/>
    <x v="3"/>
    <x v="70"/>
    <n v="62024"/>
    <n v="45493"/>
    <s v="Knnd Associates Pvt Ltd"/>
    <s v="MHEPL Mangalore"/>
    <s v="Insulation Flange"/>
    <x v="26"/>
    <s v="Nos"/>
    <n v="15"/>
    <n v="154"/>
    <n v="2310"/>
  </r>
  <r>
    <n v="775"/>
    <x v="3"/>
    <x v="70"/>
    <n v="62024"/>
    <n v="45493"/>
    <s v="Knnd Associates Pvt Ltd"/>
    <s v="MHEPL Mangalore"/>
    <s v="Stretch Film"/>
    <x v="5"/>
    <s v="Sqmt"/>
    <n v="75"/>
    <n v="20"/>
    <n v="1500"/>
  </r>
  <r>
    <n v="776"/>
    <x v="3"/>
    <x v="71"/>
    <n v="61997"/>
    <n v="45494"/>
    <s v="Knnd Associates Pvt Ltd"/>
    <s v="BDR Hospital Pune"/>
    <s v="Box Duct with TDF"/>
    <x v="0"/>
    <s v="Sqmt"/>
    <n v="826.2"/>
    <n v="670"/>
    <n v="553554"/>
  </r>
  <r>
    <n v="777"/>
    <x v="3"/>
    <x v="71"/>
    <n v="61997"/>
    <n v="45494"/>
    <s v="Knnd Associates Pvt Ltd"/>
    <s v="BDR Hospital Pune"/>
    <s v="Round Coupling"/>
    <x v="10"/>
    <s v="Sqmt"/>
    <n v="8.3000000000000007"/>
    <n v="770"/>
    <n v="6391.0000000000009"/>
  </r>
  <r>
    <n v="778"/>
    <x v="3"/>
    <x v="71"/>
    <n v="61997"/>
    <n v="45494"/>
    <s v="Knnd Associates Pvt Ltd"/>
    <s v="BDR Hospital Pune"/>
    <s v="Round Flange"/>
    <x v="0"/>
    <s v="Nos"/>
    <n v="76"/>
    <n v="75"/>
    <n v="5700"/>
  </r>
  <r>
    <n v="779"/>
    <x v="3"/>
    <x v="71"/>
    <n v="61997"/>
    <n v="45494"/>
    <s v="Knnd Associates Pvt Ltd"/>
    <s v="BDR Hospital Pune"/>
    <s v="Insulation"/>
    <x v="70"/>
    <s v="Sqmt"/>
    <n v="580.79999999999995"/>
    <n v="507"/>
    <n v="294465.59999999998"/>
  </r>
  <r>
    <n v="780"/>
    <x v="3"/>
    <x v="71"/>
    <n v="61997"/>
    <n v="45494"/>
    <s v="Knnd Associates Pvt Ltd"/>
    <s v="BDR Hospital Pune"/>
    <s v="Insulation"/>
    <x v="3"/>
    <s v="Sqmt"/>
    <n v="26.4"/>
    <n v="865"/>
    <n v="22836"/>
  </r>
  <r>
    <n v="781"/>
    <x v="3"/>
    <x v="71"/>
    <n v="61997"/>
    <n v="45494"/>
    <s v="Knnd Associates Pvt Ltd"/>
    <s v="BDR Hospital Pune"/>
    <s v="Insulation Flange"/>
    <x v="70"/>
    <s v="Sqmt"/>
    <n v="100.8"/>
    <n v="360"/>
    <n v="36288"/>
  </r>
  <r>
    <n v="782"/>
    <x v="3"/>
    <x v="71"/>
    <n v="61997"/>
    <n v="45494"/>
    <s v="Knnd Associates Pvt Ltd"/>
    <s v="BDR Hospital Pune"/>
    <s v="Stretch Film"/>
    <x v="5"/>
    <s v="Sqmt"/>
    <n v="630"/>
    <n v="20"/>
    <n v="12600"/>
  </r>
  <r>
    <n v="783"/>
    <x v="3"/>
    <x v="72"/>
    <n v="62008"/>
    <n v="45495"/>
    <s v="Knnd Associates Pvt Ltd"/>
    <s v="Ginni Devi Goel Manipal Hospital Raipur"/>
    <s v="Box Duct with TDF (L-shape)"/>
    <x v="50"/>
    <s v="Sqmt"/>
    <n v="217.9"/>
    <n v="545"/>
    <n v="118755.5"/>
  </r>
  <r>
    <n v="784"/>
    <x v="3"/>
    <x v="72"/>
    <n v="62008"/>
    <n v="45495"/>
    <s v="Knnd Associates Pvt Ltd"/>
    <s v="Ginni Devi Goel Manipal Hospital Raipur"/>
    <s v="Box Duct with TDF (L-shape)"/>
    <x v="0"/>
    <s v="Sqmt"/>
    <n v="3"/>
    <n v="645"/>
    <n v="1935"/>
  </r>
  <r>
    <n v="785"/>
    <x v="3"/>
    <x v="72"/>
    <n v="61993"/>
    <n v="45496"/>
    <s v="Knnd Associates Pvt Ltd"/>
    <s v="Infosys Bangalore B-3,4&amp;5"/>
    <s v="Box Duct with TDF"/>
    <x v="0"/>
    <s v="Sqmt"/>
    <n v="5.9"/>
    <n v="670"/>
    <n v="3953.0000000000005"/>
  </r>
  <r>
    <n v="786"/>
    <x v="3"/>
    <x v="72"/>
    <n v="61993"/>
    <n v="45496"/>
    <s v="Knnd Associates Pvt Ltd"/>
    <s v="Infosys Bangalore B-3,4&amp;5"/>
    <s v="Box Duct with TDF"/>
    <x v="1"/>
    <s v="Sqmt"/>
    <n v="6.7"/>
    <n v="868"/>
    <n v="5815.6"/>
  </r>
  <r>
    <n v="787"/>
    <x v="3"/>
    <x v="72"/>
    <n v="61993"/>
    <n v="45496"/>
    <s v="Knnd Associates Pvt Ltd"/>
    <s v="Infosys Bangalore B-3,4&amp;5"/>
    <s v="Mixing Box (1000x150x350H)"/>
    <x v="0"/>
    <s v="Nos"/>
    <n v="8"/>
    <n v="726"/>
    <n v="5808"/>
  </r>
  <r>
    <n v="788"/>
    <x v="3"/>
    <x v="72"/>
    <n v="61993"/>
    <n v="45496"/>
    <s v="Knnd Associates Pvt Ltd"/>
    <s v="Infosys Bangalore B-3,4&amp;5"/>
    <s v="Mixing Box (1500x150x350Hx200mm Dia)"/>
    <x v="0"/>
    <s v="Nos"/>
    <n v="39"/>
    <n v="1120"/>
    <n v="43680"/>
  </r>
  <r>
    <n v="789"/>
    <x v="3"/>
    <x v="72"/>
    <n v="61993"/>
    <n v="45496"/>
    <s v="Knnd Associates Pvt Ltd"/>
    <s v="Infosys Bangalore B-3,4&amp;5"/>
    <s v="Mixing Box (2000x150x350Hx200mm Dia)"/>
    <x v="0"/>
    <s v="Nos"/>
    <n v="4"/>
    <n v="1495"/>
    <n v="5980"/>
  </r>
  <r>
    <n v="790"/>
    <x v="3"/>
    <x v="72"/>
    <n v="61993"/>
    <n v="45496"/>
    <s v="Knnd Associates Pvt Ltd"/>
    <s v="Infosys Bangalore B-3,4&amp;5"/>
    <s v="Insulation"/>
    <x v="3"/>
    <s v="Sqmt"/>
    <n v="81.277699999999996"/>
    <n v="906"/>
    <n v="73637.5962"/>
  </r>
  <r>
    <n v="791"/>
    <x v="3"/>
    <x v="73"/>
    <n v="62027"/>
    <n v="45497"/>
    <s v="Knnd Associates Pvt Ltd"/>
    <s v="Premier Energies Naidupeta"/>
    <s v="Box Duct with TDF"/>
    <x v="1"/>
    <s v="Sqmt"/>
    <n v="394.5"/>
    <n v="835"/>
    <n v="329407.5"/>
  </r>
  <r>
    <n v="792"/>
    <x v="3"/>
    <x v="73"/>
    <n v="62027"/>
    <n v="45497"/>
    <s v="Knnd Associates Pvt Ltd"/>
    <s v="Premier Energies Naidupeta"/>
    <s v="Insulation"/>
    <x v="88"/>
    <s v="Sqmt"/>
    <n v="212.7"/>
    <n v="496"/>
    <n v="105499.2"/>
  </r>
  <r>
    <n v="793"/>
    <x v="3"/>
    <x v="73"/>
    <n v="62027"/>
    <n v="45497"/>
    <s v="Knnd Associates Pvt Ltd"/>
    <s v="Premier Energies Naidupeta"/>
    <s v="Insulation"/>
    <x v="89"/>
    <s v="Sqmt"/>
    <n v="181.8"/>
    <n v="595"/>
    <n v="108171"/>
  </r>
  <r>
    <n v="794"/>
    <x v="3"/>
    <x v="73"/>
    <n v="62027"/>
    <n v="45497"/>
    <s v="Knnd Associates Pvt Ltd"/>
    <s v="Premier Energies Naidupeta"/>
    <s v="Stretch Film"/>
    <x v="5"/>
    <s v="Sqmt"/>
    <n v="450"/>
    <n v="20"/>
    <n v="9000"/>
  </r>
  <r>
    <n v="795"/>
    <x v="3"/>
    <x v="73"/>
    <n v="62027"/>
    <n v="45498"/>
    <s v="Knnd Associates Pvt Ltd"/>
    <s v="Premier Energies Naidupeta"/>
    <s v="Box Duct with TDF"/>
    <x v="1"/>
    <s v="Sqmt"/>
    <n v="356.3"/>
    <n v="835"/>
    <n v="297510.5"/>
  </r>
  <r>
    <n v="796"/>
    <x v="3"/>
    <x v="73"/>
    <n v="62027"/>
    <n v="45498"/>
    <s v="Knnd Associates Pvt Ltd"/>
    <s v="Premier Energies Naidupeta"/>
    <s v="Insulation"/>
    <x v="88"/>
    <s v="Sqmt"/>
    <n v="239.1"/>
    <n v="496"/>
    <n v="118593.59999999999"/>
  </r>
  <r>
    <n v="797"/>
    <x v="3"/>
    <x v="73"/>
    <n v="62027"/>
    <n v="45498"/>
    <s v="Knnd Associates Pvt Ltd"/>
    <s v="Premier Energies Naidupeta"/>
    <s v="Insulation"/>
    <x v="89"/>
    <s v="Sqmt"/>
    <n v="117.2"/>
    <n v="595"/>
    <n v="69734"/>
  </r>
  <r>
    <n v="798"/>
    <x v="3"/>
    <x v="73"/>
    <n v="62027"/>
    <n v="45498"/>
    <s v="Knnd Associates Pvt Ltd"/>
    <s v="Premier Energies Naidupeta"/>
    <s v="Stretch Film"/>
    <x v="5"/>
    <s v="Sqmt"/>
    <n v="400"/>
    <n v="20"/>
    <n v="8000"/>
  </r>
  <r>
    <n v="799"/>
    <x v="3"/>
    <x v="74"/>
    <n v="62027"/>
    <n v="45499"/>
    <s v="Knnd Associates Pvt Ltd"/>
    <s v="Premier Energies Naidupeta"/>
    <s v="Box Duct with TDF"/>
    <x v="1"/>
    <s v="Sqmt"/>
    <n v="332.3"/>
    <n v="835"/>
    <n v="277470.5"/>
  </r>
  <r>
    <n v="800"/>
    <x v="3"/>
    <x v="74"/>
    <n v="62027"/>
    <n v="45499"/>
    <s v="Knnd Associates Pvt Ltd"/>
    <s v="Premier Energies Naidupeta"/>
    <s v="Insulation"/>
    <x v="88"/>
    <s v="Sqmt"/>
    <n v="145.30000000000001"/>
    <n v="496"/>
    <n v="72068.800000000003"/>
  </r>
  <r>
    <n v="801"/>
    <x v="3"/>
    <x v="74"/>
    <n v="62027"/>
    <n v="45499"/>
    <s v="Knnd Associates Pvt Ltd"/>
    <s v="Premier Energies Naidupeta"/>
    <s v="Insulation"/>
    <x v="89"/>
    <s v="Sqmt"/>
    <n v="187"/>
    <n v="595"/>
    <n v="111265"/>
  </r>
  <r>
    <n v="802"/>
    <x v="3"/>
    <x v="74"/>
    <n v="62027"/>
    <n v="45499"/>
    <s v="Knnd Associates Pvt Ltd"/>
    <s v="Premier Energies Naidupeta"/>
    <s v="Insulation Flange"/>
    <x v="88"/>
    <s v="Sqmt"/>
    <n v="115.2"/>
    <n v="320"/>
    <n v="36864"/>
  </r>
  <r>
    <n v="803"/>
    <x v="3"/>
    <x v="74"/>
    <n v="62027"/>
    <n v="45499"/>
    <s v="Knnd Associates Pvt Ltd"/>
    <s v="Premier Energies Naidupeta"/>
    <s v="Stretch Film"/>
    <x v="5"/>
    <s v="Sqmt"/>
    <n v="380"/>
    <n v="20"/>
    <n v="7600"/>
  </r>
  <r>
    <n v="804"/>
    <x v="3"/>
    <x v="74"/>
    <n v="62027"/>
    <n v="45500"/>
    <s v="Knnd Associates Pvt Ltd"/>
    <s v="Premier Energies Naidupeta"/>
    <s v="Box Duct with TDF"/>
    <x v="1"/>
    <s v="Sqmt"/>
    <n v="64.5"/>
    <n v="835"/>
    <n v="53857.5"/>
  </r>
  <r>
    <n v="805"/>
    <x v="3"/>
    <x v="74"/>
    <n v="62027"/>
    <n v="45500"/>
    <s v="Knnd Associates Pvt Ltd"/>
    <s v="Premier Energies Naidupeta"/>
    <s v="Insulation"/>
    <x v="88"/>
    <s v="Sqmt"/>
    <n v="33.299999999999997"/>
    <n v="496"/>
    <n v="16516.8"/>
  </r>
  <r>
    <n v="806"/>
    <x v="3"/>
    <x v="74"/>
    <n v="62027"/>
    <n v="45500"/>
    <s v="Knnd Associates Pvt Ltd"/>
    <s v="Premier Energies Naidupeta"/>
    <s v="Insulation"/>
    <x v="89"/>
    <s v="Sqmt"/>
    <n v="31.2"/>
    <n v="595"/>
    <n v="18564"/>
  </r>
  <r>
    <n v="807"/>
    <x v="3"/>
    <x v="74"/>
    <n v="62027"/>
    <n v="45500"/>
    <s v="Knnd Associates Pvt Ltd"/>
    <s v="Premier Energies Naidupeta"/>
    <s v="Insulation Flange"/>
    <x v="88"/>
    <s v="Sqmt"/>
    <n v="96"/>
    <n v="320"/>
    <n v="30720"/>
  </r>
  <r>
    <n v="808"/>
    <x v="3"/>
    <x v="74"/>
    <n v="62027"/>
    <n v="45500"/>
    <s v="Knnd Associates Pvt Ltd"/>
    <s v="Premier Energies Naidupeta"/>
    <s v="Stretch Film"/>
    <x v="5"/>
    <s v="Sqmt"/>
    <n v="100"/>
    <n v="20"/>
    <n v="2000"/>
  </r>
  <r>
    <n v="809"/>
    <x v="3"/>
    <x v="75"/>
    <n v="62005"/>
    <n v="45501"/>
    <s v="Knnd Associates Pvt Ltd"/>
    <s v="Wipro Doddaballapura (Pre-Insu Pipe)"/>
    <s v="24G GI Pre-Insulated MS Pipes"/>
    <x v="90"/>
    <s v="Rmt"/>
    <n v="72"/>
    <n v="1470"/>
    <n v="105840"/>
  </r>
  <r>
    <n v="810"/>
    <x v="3"/>
    <x v="76"/>
    <n v="61992"/>
    <n v="45502"/>
    <s v="Knnd Associates Pvt Ltd"/>
    <s v="MAHE Hostel block-5 Bangalore"/>
    <s v="Spiral Round Duct"/>
    <x v="9"/>
    <s v="Sqmt"/>
    <n v="131.9"/>
    <n v="578"/>
    <n v="76238.2"/>
  </r>
  <r>
    <n v="811"/>
    <x v="3"/>
    <x v="76"/>
    <n v="61992"/>
    <n v="45502"/>
    <s v="Knnd Associates Pvt Ltd"/>
    <s v="MAHE Hostel block-5 Bangalore"/>
    <s v="Round T Piece (250x150mm)"/>
    <x v="0"/>
    <s v="Nos"/>
    <n v="15"/>
    <n v="530"/>
    <n v="7950"/>
  </r>
  <r>
    <n v="812"/>
    <x v="3"/>
    <x v="76"/>
    <n v="61992"/>
    <n v="45502"/>
    <s v="Knnd Associates Pvt Ltd"/>
    <s v="MAHE Hostel block-5 Bangalore"/>
    <s v="Round Reducer (250x200mm)"/>
    <x v="0"/>
    <s v="Nos"/>
    <n v="25"/>
    <n v="390"/>
    <n v="9750"/>
  </r>
  <r>
    <n v="813"/>
    <x v="3"/>
    <x v="76"/>
    <n v="61992"/>
    <n v="45502"/>
    <s v="Knnd Associates Pvt Ltd"/>
    <s v="MAHE Hostel block-5 Bangalore"/>
    <s v="Round Reducer (300x200mm)"/>
    <x v="0"/>
    <s v="Nos"/>
    <n v="25"/>
    <n v="450"/>
    <n v="11250"/>
  </r>
  <r>
    <n v="814"/>
    <x v="3"/>
    <x v="76"/>
    <n v="61992"/>
    <n v="45502"/>
    <s v="Knnd Associates Pvt Ltd"/>
    <s v="MAHE Hostel block-5 Bangalore"/>
    <s v="Round offset (200mm)"/>
    <x v="0"/>
    <s v="Nos"/>
    <n v="50"/>
    <n v="290"/>
    <n v="14500"/>
  </r>
  <r>
    <n v="815"/>
    <x v="3"/>
    <x v="76"/>
    <n v="61992"/>
    <n v="45502"/>
    <s v="Knnd Associates Pvt Ltd"/>
    <s v="MAHE Hostel block-5 Bangalore"/>
    <s v="Round Elbow 90° (250mm Dia)"/>
    <x v="0"/>
    <s v="Nos"/>
    <n v="4"/>
    <n v="395"/>
    <n v="1580"/>
  </r>
  <r>
    <n v="816"/>
    <x v="3"/>
    <x v="76"/>
    <n v="61992"/>
    <n v="45502"/>
    <s v="Knnd Associates Pvt Ltd"/>
    <s v="MAHE Hostel block-5 Bangalore"/>
    <s v="Round Elbow 45° (250mm Dia)"/>
    <x v="0"/>
    <s v="Nos"/>
    <n v="60"/>
    <n v="285"/>
    <n v="17100"/>
  </r>
  <r>
    <n v="817"/>
    <x v="3"/>
    <x v="77"/>
    <n v="61967"/>
    <n v="45503"/>
    <s v="Knnd Associates Pvt Ltd"/>
    <s v="AIIMS Hospital Madurai"/>
    <s v="Box Duct with TDF"/>
    <x v="0"/>
    <s v="Sqmt"/>
    <n v="366.4"/>
    <n v="670"/>
    <n v="245487.99999999997"/>
  </r>
  <r>
    <n v="818"/>
    <x v="3"/>
    <x v="77"/>
    <n v="61967"/>
    <n v="45503"/>
    <s v="Knnd Associates Pvt Ltd"/>
    <s v="AIIMS Hospital Madurai"/>
    <s v="Box Duct with TDF"/>
    <x v="1"/>
    <s v="Sqmt"/>
    <n v="189.6"/>
    <n v="868"/>
    <n v="164572.79999999999"/>
  </r>
  <r>
    <n v="819"/>
    <x v="3"/>
    <x v="77"/>
    <n v="61967"/>
    <n v="45503"/>
    <s v="Knnd Associates Pvt Ltd"/>
    <s v="AIIMS Hospital Madurai"/>
    <s v="Box Duct with TDF"/>
    <x v="7"/>
    <s v="Sqmt"/>
    <n v="60.9"/>
    <n v="1060"/>
    <n v="64554"/>
  </r>
  <r>
    <n v="820"/>
    <x v="3"/>
    <x v="77"/>
    <n v="61967"/>
    <n v="45503"/>
    <s v="Knnd Associates Pvt Ltd"/>
    <s v="AIIMS Hospital Madurai"/>
    <s v="Insulation"/>
    <x v="12"/>
    <s v="Sqmt"/>
    <n v="38.700000000000003"/>
    <n v="755"/>
    <n v="29218.500000000004"/>
  </r>
  <r>
    <n v="821"/>
    <x v="3"/>
    <x v="77"/>
    <n v="61967"/>
    <n v="45503"/>
    <s v="Knnd Associates Pvt Ltd"/>
    <s v="AIIMS Hospital Madurai"/>
    <s v="Insulation"/>
    <x v="66"/>
    <s v="Sqmt"/>
    <n v="558.6"/>
    <n v="415"/>
    <n v="231819"/>
  </r>
  <r>
    <n v="822"/>
    <x v="3"/>
    <x v="77"/>
    <n v="61967"/>
    <n v="45503"/>
    <s v="Knnd Associates Pvt Ltd"/>
    <s v="AIIMS Hospital Madurai"/>
    <s v="Stretch Film"/>
    <x v="5"/>
    <s v="Sqmt"/>
    <n v="600"/>
    <n v="20"/>
    <n v="12000"/>
  </r>
  <r>
    <n v="823"/>
    <x v="3"/>
    <x v="78"/>
    <n v="62005"/>
    <n v="45504"/>
    <s v="Knnd Associates Pvt Ltd"/>
    <s v="Wipro Doddaballapura (Pre-Insu Pipe)"/>
    <s v="24G GI Pre-Insulated MS Pipes"/>
    <x v="84"/>
    <s v="Rmt"/>
    <n v="54"/>
    <n v="1205"/>
    <n v="65070"/>
  </r>
  <r>
    <n v="824"/>
    <x v="3"/>
    <x v="78"/>
    <n v="62005"/>
    <n v="45504"/>
    <s v="Knnd Associates Pvt Ltd"/>
    <s v="Wipro Doddaballapura (Pre-Insu Pipe)"/>
    <s v="24G GI Pre-Insulated MS Pipes"/>
    <x v="82"/>
    <s v="Rmt"/>
    <n v="72"/>
    <n v="1071"/>
    <n v="77112"/>
  </r>
  <r>
    <n v="825"/>
    <x v="3"/>
    <x v="78"/>
    <n v="62005"/>
    <n v="45504"/>
    <s v="Knnd Associates Pvt Ltd"/>
    <s v="Wipro Doddaballapura (Pre-Insu Pipe)"/>
    <s v="24G GI Pre-Insulated MS Pipes"/>
    <x v="91"/>
    <s v="Rmt"/>
    <n v="12"/>
    <n v="756"/>
    <n v="9072"/>
  </r>
  <r>
    <n v="826"/>
    <x v="3"/>
    <x v="78"/>
    <n v="61968"/>
    <n v="45505"/>
    <s v="Knnd Associates Pvt Ltd"/>
    <s v="Chanakya University HB-3A Bangalore"/>
    <s v="Spiral Round Duct"/>
    <x v="9"/>
    <s v="Sqmt"/>
    <n v="24.3"/>
    <n v="620"/>
    <n v="15066"/>
  </r>
  <r>
    <n v="827"/>
    <x v="3"/>
    <x v="78"/>
    <n v="61968"/>
    <n v="45505"/>
    <s v="Knnd Associates Pvt Ltd"/>
    <s v="Chanakya University HB-3A Bangalore"/>
    <s v="Round Reducer (200x150mm)"/>
    <x v="0"/>
    <s v="Nos"/>
    <n v="35"/>
    <n v="295"/>
    <n v="10325"/>
  </r>
  <r>
    <n v="828"/>
    <x v="3"/>
    <x v="78"/>
    <n v="61968"/>
    <n v="45505"/>
    <s v="Knnd Associates Pvt Ltd"/>
    <s v="Chanakya University HB-3A Bangalore"/>
    <s v="Round Elbow 90° (200mm Dia)"/>
    <x v="0"/>
    <s v="Nos"/>
    <n v="35"/>
    <n v="375"/>
    <n v="13125"/>
  </r>
  <r>
    <n v="829"/>
    <x v="3"/>
    <x v="78"/>
    <n v="62028"/>
    <n v="45506"/>
    <s v="Lakshmi Fabrication"/>
    <s v="Navitas Chennai"/>
    <s v="Box Duct with TDF"/>
    <x v="0"/>
    <s v="Sqmt"/>
    <n v="343.4"/>
    <n v="650"/>
    <n v="223209.99999999997"/>
  </r>
  <r>
    <n v="830"/>
    <x v="3"/>
    <x v="78"/>
    <n v="62028"/>
    <n v="45506"/>
    <s v="Lakshmi Fabrication"/>
    <s v="Navitas Chennai"/>
    <s v="Box Duct with TDF"/>
    <x v="1"/>
    <s v="Sqmt"/>
    <n v="123.8"/>
    <n v="835"/>
    <n v="103373"/>
  </r>
  <r>
    <n v="831"/>
    <x v="3"/>
    <x v="78"/>
    <n v="62028"/>
    <n v="45506"/>
    <s v="Lakshmi Fabrication"/>
    <s v="Navitas Chennai"/>
    <s v="Spigot 250mm Dia"/>
    <x v="1"/>
    <s v="Nos"/>
    <n v="71"/>
    <n v="500"/>
    <n v="35500"/>
  </r>
  <r>
    <n v="832"/>
    <x v="3"/>
    <x v="78"/>
    <n v="62028"/>
    <n v="45506"/>
    <s v="Lakshmi Fabrication"/>
    <s v="Navitas Chennai"/>
    <s v="Insulation"/>
    <x v="48"/>
    <s v="Sqmt"/>
    <n v="523.63077999999996"/>
    <n v="325"/>
    <n v="170180.00349999999"/>
  </r>
  <r>
    <n v="833"/>
    <x v="3"/>
    <x v="78"/>
    <n v="62028"/>
    <n v="45506"/>
    <s v="Lakshmi Fabrication"/>
    <s v="Navitas Chennai"/>
    <s v="Mixing Box (750x150x350Hx250mm Dia)"/>
    <x v="0"/>
    <s v="Nos"/>
    <n v="6"/>
    <n v="585"/>
    <n v="3510"/>
  </r>
  <r>
    <n v="834"/>
    <x v="3"/>
    <x v="78"/>
    <n v="62028"/>
    <n v="45506"/>
    <s v="Lakshmi Fabrication"/>
    <s v="Navitas Chennai"/>
    <s v="Mixing Box (375x375x350Hx250mm Dia)"/>
    <x v="0"/>
    <s v="Nos"/>
    <n v="65"/>
    <n v="650"/>
    <n v="42250"/>
  </r>
  <r>
    <n v="835"/>
    <x v="3"/>
    <x v="79"/>
    <n v="62029"/>
    <n v="45507"/>
    <s v="Knnd Associates Pvt Ltd"/>
    <s v="SVG Hotel Bommasandra"/>
    <s v="Box Duct with TDF"/>
    <x v="0"/>
    <s v="Sqmt"/>
    <n v="142"/>
    <n v="650"/>
    <n v="92300"/>
  </r>
  <r>
    <n v="836"/>
    <x v="3"/>
    <x v="79"/>
    <n v="62029"/>
    <n v="45507"/>
    <s v="Knnd Associates Pvt Ltd"/>
    <s v="SVG Hotel Bommasandra"/>
    <s v="Insulation"/>
    <x v="11"/>
    <s v="Sqmt"/>
    <n v="142"/>
    <n v="350"/>
    <n v="49700"/>
  </r>
  <r>
    <n v="837"/>
    <x v="3"/>
    <x v="79"/>
    <n v="62029"/>
    <n v="45507"/>
    <s v="Knnd Associates Pvt Ltd"/>
    <s v="SVG Hotel Bommasandra"/>
    <s v="Insulation Flange"/>
    <x v="26"/>
    <s v="Nos"/>
    <n v="25"/>
    <n v="154"/>
    <n v="3850"/>
  </r>
  <r>
    <n v="838"/>
    <x v="3"/>
    <x v="79"/>
    <n v="62029"/>
    <n v="45507"/>
    <s v="Knnd Associates Pvt Ltd"/>
    <s v="SVG Hotel Bommasandra"/>
    <s v="Stretch Film"/>
    <x v="5"/>
    <s v="Sqmt"/>
    <n v="160"/>
    <n v="20"/>
    <n v="3200"/>
  </r>
  <r>
    <n v="839"/>
    <x v="3"/>
    <x v="79"/>
    <n v="62026"/>
    <n v="45508"/>
    <s v="Knnd Associates Pvt Ltd"/>
    <s v="Schneider Electric Bangalore"/>
    <s v="Cleats"/>
    <x v="64"/>
    <s v="Nos"/>
    <n v="3000"/>
    <n v="8"/>
    <n v="24000"/>
  </r>
  <r>
    <n v="840"/>
    <x v="3"/>
    <x v="79"/>
    <n v="62026"/>
    <n v="45508"/>
    <s v="Knnd Associates Pvt Ltd"/>
    <s v="Schneider Electric Bangalore"/>
    <s v="Gasket"/>
    <x v="25"/>
    <s v="Rmt"/>
    <n v="1000"/>
    <n v="8"/>
    <n v="8000"/>
  </r>
  <r>
    <n v="841"/>
    <x v="3"/>
    <x v="79"/>
    <n v="61997"/>
    <n v="45509"/>
    <s v="Knnd Associates Pvt Ltd"/>
    <s v="BDR Hospital Pune"/>
    <s v="Box Duct with TDF"/>
    <x v="0"/>
    <s v="Sqmt"/>
    <n v="503.7"/>
    <n v="670"/>
    <n v="337479"/>
  </r>
  <r>
    <n v="842"/>
    <x v="3"/>
    <x v="79"/>
    <n v="61997"/>
    <n v="45509"/>
    <s v="Knnd Associates Pvt Ltd"/>
    <s v="BDR Hospital Pune"/>
    <s v="Box Duct with TDF"/>
    <x v="1"/>
    <s v="Sqmt"/>
    <n v="218.2"/>
    <n v="868"/>
    <n v="189397.59999999998"/>
  </r>
  <r>
    <n v="843"/>
    <x v="3"/>
    <x v="79"/>
    <n v="61997"/>
    <n v="45509"/>
    <s v="Knnd Associates Pvt Ltd"/>
    <s v="BDR Hospital Pune"/>
    <s v="Round Flange"/>
    <x v="0"/>
    <s v="Nos"/>
    <n v="114"/>
    <n v="75"/>
    <n v="8550"/>
  </r>
  <r>
    <n v="844"/>
    <x v="3"/>
    <x v="79"/>
    <n v="61997"/>
    <n v="45509"/>
    <s v="Knnd Associates Pvt Ltd"/>
    <s v="BDR Hospital Pune"/>
    <s v="Insulation"/>
    <x v="70"/>
    <s v="Sqmt"/>
    <n v="618.29999999999995"/>
    <n v="507"/>
    <n v="313478.09999999998"/>
  </r>
  <r>
    <n v="845"/>
    <x v="3"/>
    <x v="79"/>
    <n v="61997"/>
    <n v="45509"/>
    <s v="Knnd Associates Pvt Ltd"/>
    <s v="BDR Hospital Pune"/>
    <s v="Insulation"/>
    <x v="28"/>
    <s v="Sqmt"/>
    <n v="18.100000000000001"/>
    <n v="865"/>
    <n v="15656.500000000002"/>
  </r>
  <r>
    <n v="846"/>
    <x v="3"/>
    <x v="79"/>
    <n v="61997"/>
    <n v="45509"/>
    <s v="Knnd Associates Pvt Ltd"/>
    <s v="BDR Hospital Pune"/>
    <s v="Stretch Film"/>
    <x v="5"/>
    <s v="Sqmt"/>
    <n v="670"/>
    <n v="20"/>
    <n v="13400"/>
  </r>
  <r>
    <n v="847"/>
    <x v="3"/>
    <x v="80"/>
    <n v="62030"/>
    <n v="45510"/>
    <s v="Knnd Associates Pvt Ltd"/>
    <s v="Kare Well Hospital Bangalore"/>
    <s v="Box Duct with S&amp;C"/>
    <x v="0"/>
    <s v="Sqmt"/>
    <n v="145.4"/>
    <n v="630"/>
    <n v="91602"/>
  </r>
  <r>
    <n v="848"/>
    <x v="3"/>
    <x v="80"/>
    <n v="62030"/>
    <n v="45510"/>
    <s v="Knnd Associates Pvt Ltd"/>
    <s v="Kare Well Hospital Bangalore"/>
    <s v="Box Duct with S&amp;C"/>
    <x v="1"/>
    <s v="Sqmt"/>
    <n v="6.4"/>
    <n v="815"/>
    <n v="5216"/>
  </r>
  <r>
    <n v="849"/>
    <x v="3"/>
    <x v="80"/>
    <n v="62030"/>
    <n v="45510"/>
    <s v="Knnd Associates Pvt Ltd"/>
    <s v="Kare Well Hospital Bangalore"/>
    <s v="Insulation"/>
    <x v="11"/>
    <s v="Sqmt"/>
    <n v="138.69999999999999"/>
    <n v="355"/>
    <n v="49238.499999999993"/>
  </r>
  <r>
    <n v="850"/>
    <x v="3"/>
    <x v="80"/>
    <n v="62030"/>
    <n v="45510"/>
    <s v="Knnd Associates Pvt Ltd"/>
    <s v="Kare Well Hospital Bangalore"/>
    <s v="Insulation"/>
    <x v="68"/>
    <s v="Sqmt"/>
    <n v="13.1"/>
    <n v="1041"/>
    <n v="13637.1"/>
  </r>
  <r>
    <n v="851"/>
    <x v="3"/>
    <x v="80"/>
    <n v="62030"/>
    <n v="45510"/>
    <s v="Knnd Associates Pvt Ltd"/>
    <s v="Kare Well Hospital Bangalore"/>
    <s v="VCD (Alu. Blade)"/>
    <x v="7"/>
    <s v="Sqmt"/>
    <n v="0.8"/>
    <n v="5200"/>
    <n v="4160"/>
  </r>
  <r>
    <n v="852"/>
    <x v="3"/>
    <x v="80"/>
    <n v="62030"/>
    <n v="45510"/>
    <s v="Knnd Associates Pvt Ltd"/>
    <s v="Kare Well Hospital Bangalore"/>
    <s v="Insulation Flange"/>
    <x v="26"/>
    <s v="Nos"/>
    <n v="30"/>
    <n v="154"/>
    <n v="4620"/>
  </r>
  <r>
    <n v="853"/>
    <x v="3"/>
    <x v="80"/>
    <n v="62030"/>
    <n v="45510"/>
    <s v="Knnd Associates Pvt Ltd"/>
    <s v="Kare Well Hospital Bangalore"/>
    <s v="Stretch Film"/>
    <x v="5"/>
    <s v="Sqmt"/>
    <n v="150"/>
    <n v="20"/>
    <n v="3000"/>
  </r>
  <r>
    <n v="854"/>
    <x v="3"/>
    <x v="81"/>
    <n v="62034"/>
    <n v="45511"/>
    <s v="Knnd Associates Pvt Ltd"/>
    <s v="Infosys Bangalore B-38"/>
    <s v="Box Duct with TDF"/>
    <x v="0"/>
    <s v="Sqmt"/>
    <n v="21.3"/>
    <n v="650"/>
    <n v="13845"/>
  </r>
  <r>
    <n v="855"/>
    <x v="3"/>
    <x v="81"/>
    <n v="62034"/>
    <n v="45511"/>
    <s v="Knnd Associates Pvt Ltd"/>
    <s v="Infosys Bangalore B-38"/>
    <s v="Insulation"/>
    <x v="66"/>
    <s v="Sqmt"/>
    <n v="33.328090000000003"/>
    <n v="445"/>
    <n v="14831.000050000001"/>
  </r>
  <r>
    <n v="856"/>
    <x v="3"/>
    <x v="81"/>
    <n v="62034"/>
    <n v="45511"/>
    <s v="Knnd Associates Pvt Ltd"/>
    <s v="Infosys Bangalore B-38"/>
    <s v="Insulation"/>
    <x v="12"/>
    <s v="Sqmt"/>
    <n v="3.1"/>
    <n v="685"/>
    <n v="2123.5"/>
  </r>
  <r>
    <n v="857"/>
    <x v="3"/>
    <x v="81"/>
    <n v="62034"/>
    <n v="45511"/>
    <s v="Knnd Associates Pvt Ltd"/>
    <s v="Infosys Bangalore B-38"/>
    <s v="Insulation Flange"/>
    <x v="66"/>
    <s v="Sqmt"/>
    <n v="10"/>
    <n v="275"/>
    <n v="2750"/>
  </r>
  <r>
    <n v="858"/>
    <x v="3"/>
    <x v="81"/>
    <n v="62034"/>
    <n v="45511"/>
    <s v="Knnd Associates Pvt Ltd"/>
    <s v="Infosys Bangalore B-38"/>
    <s v="Mixing Box (1200x150x400Hx250mm Dia)"/>
    <x v="0"/>
    <s v="Nos"/>
    <n v="12"/>
    <n v="999"/>
    <n v="11988"/>
  </r>
  <r>
    <n v="859"/>
    <x v="3"/>
    <x v="81"/>
    <n v="62034"/>
    <n v="45511"/>
    <s v="Knnd Associates Pvt Ltd"/>
    <s v="Infosys Bangalore B-38"/>
    <s v="Spigot 250mm Dia"/>
    <x v="1"/>
    <s v="Nos"/>
    <n v="12"/>
    <n v="500"/>
    <n v="6000"/>
  </r>
  <r>
    <n v="860"/>
    <x v="3"/>
    <x v="81"/>
    <n v="62034"/>
    <n v="45511"/>
    <s v="Knnd Associates Pvt Ltd"/>
    <s v="Infosys Bangalore B-38"/>
    <s v="Stretch Film"/>
    <x v="5"/>
    <s v="Sqmt"/>
    <n v="25"/>
    <n v="20"/>
    <n v="500"/>
  </r>
  <r>
    <n v="861"/>
    <x v="3"/>
    <x v="81"/>
    <n v="61965"/>
    <n v="45512"/>
    <s v="Knnd Associates Pvt Ltd"/>
    <s v="IISC Medical School Foundation Bangalore"/>
    <s v="Plain Sheet (Washer)"/>
    <x v="0"/>
    <s v="Sqmt"/>
    <n v="695"/>
    <n v="4.5"/>
    <n v="3127.5"/>
  </r>
  <r>
    <n v="862"/>
    <x v="3"/>
    <x v="81"/>
    <n v="61955"/>
    <n v="45513"/>
    <s v="Knnd Associates Pvt Ltd"/>
    <s v="MAHE Lecture Hall Campus Bangalore"/>
    <s v="Plain Sheet"/>
    <x v="0"/>
    <s v="Sqmt"/>
    <n v="60"/>
    <n v="495"/>
    <n v="29700"/>
  </r>
  <r>
    <n v="863"/>
    <x v="3"/>
    <x v="81"/>
    <n v="61955"/>
    <n v="45513"/>
    <s v="Knnd Associates Pvt Ltd"/>
    <s v="MAHE Lecture Hall Campus Bangalore"/>
    <s v="Gasket"/>
    <x v="25"/>
    <s v="Rmt"/>
    <n v="200"/>
    <n v="8"/>
    <n v="1600"/>
  </r>
  <r>
    <n v="864"/>
    <x v="3"/>
    <x v="81"/>
    <n v="61955"/>
    <n v="45513"/>
    <s v="Knnd Associates Pvt Ltd"/>
    <s v="MAHE Lecture Hall Campus Bangalore"/>
    <s v="Corners"/>
    <x v="65"/>
    <s v="Nos"/>
    <n v="100"/>
    <n v="9"/>
    <n v="900"/>
  </r>
  <r>
    <n v="865"/>
    <x v="3"/>
    <x v="81"/>
    <n v="61962"/>
    <n v="45514"/>
    <s v="Knnd Associates Pvt Ltd"/>
    <s v="Infosys Chandigarh"/>
    <s v="Mixing Box (595x595x350H)"/>
    <x v="0"/>
    <s v="Nos"/>
    <n v="154"/>
    <n v="969"/>
    <n v="149226"/>
  </r>
  <r>
    <n v="866"/>
    <x v="3"/>
    <x v="81"/>
    <n v="61962"/>
    <n v="45514"/>
    <s v="Knnd Associates Pvt Ltd"/>
    <s v="Infosys Chandigarh"/>
    <s v="Insulation"/>
    <x v="52"/>
    <s v="Sqmt"/>
    <n v="183.18367000000001"/>
    <n v="686"/>
    <n v="125663.99762000001"/>
  </r>
  <r>
    <n v="867"/>
    <x v="3"/>
    <x v="81"/>
    <n v="61962"/>
    <n v="45514"/>
    <s v="Knnd Associates Pvt Ltd"/>
    <s v="Infosys Chandigarh"/>
    <s v="Insulation"/>
    <x v="52"/>
    <s v="Sqmt"/>
    <n v="222.6"/>
    <n v="735"/>
    <n v="163611"/>
  </r>
  <r>
    <n v="868"/>
    <x v="3"/>
    <x v="81"/>
    <n v="61962"/>
    <n v="45514"/>
    <s v="Knnd Associates Pvt Ltd"/>
    <s v="Infosys Chandigarh"/>
    <s v="Thermobreak (50mmx50Mtr)"/>
    <x v="16"/>
    <s v="Nos"/>
    <n v="7"/>
    <n v="595"/>
    <n v="4165"/>
  </r>
  <r>
    <n v="869"/>
    <x v="3"/>
    <x v="81"/>
    <n v="61768"/>
    <n v="45515"/>
    <s v="Camduct India Pvt Ltd-Haryana"/>
    <s v="Camduct India Pvt Ltd-Haryana Branch"/>
    <s v="Stock Transfer"/>
    <x v="92"/>
    <s v="Nos"/>
    <n v="21050"/>
    <n v="9"/>
    <n v="189450"/>
  </r>
  <r>
    <n v="870"/>
    <x v="3"/>
    <x v="81"/>
    <n v="61768"/>
    <n v="45515"/>
    <s v="Camduct India Pvt Ltd-Haryana"/>
    <s v="Camduct India Pvt Ltd-Haryana Branch"/>
    <s v="Spigot 250mm Dia"/>
    <x v="1"/>
    <s v="Nos"/>
    <n v="25"/>
    <n v="500"/>
    <n v="12500"/>
  </r>
  <r>
    <n v="871"/>
    <x v="3"/>
    <x v="81"/>
    <n v="61768"/>
    <n v="45515"/>
    <s v="Camduct India Pvt Ltd-Haryana"/>
    <s v="Camduct India Pvt Ltd-Haryana Branch"/>
    <s v="Mixing Box (800x150x300H)"/>
    <x v="0"/>
    <s v="Nos"/>
    <n v="2"/>
    <n v="800"/>
    <n v="1600"/>
  </r>
  <r>
    <n v="872"/>
    <x v="3"/>
    <x v="81"/>
    <n v="62033"/>
    <n v="45516"/>
    <s v="R Mech Breeze"/>
    <s v="Global Mall Bengaluru"/>
    <s v="Spiral Round Duct"/>
    <x v="9"/>
    <s v="Sqmt"/>
    <n v="3.2"/>
    <n v="610"/>
    <n v="1952"/>
  </r>
  <r>
    <n v="873"/>
    <x v="3"/>
    <x v="81"/>
    <n v="62033"/>
    <n v="45516"/>
    <s v="R Mech Breeze"/>
    <s v="Global Mall Bengaluru"/>
    <s v="Spiral Oval Duct"/>
    <x v="9"/>
    <s v="Sqmt"/>
    <n v="10.8"/>
    <n v="720"/>
    <n v="7776.0000000000009"/>
  </r>
  <r>
    <n v="874"/>
    <x v="3"/>
    <x v="81"/>
    <n v="62033"/>
    <n v="45516"/>
    <s v="R Mech Breeze"/>
    <s v="Global Mall Bengaluru"/>
    <s v="Spiral Oval Coupling"/>
    <x v="18"/>
    <s v="Sqmt"/>
    <n v="0.3"/>
    <n v="950"/>
    <n v="285"/>
  </r>
  <r>
    <n v="875"/>
    <x v="3"/>
    <x v="81"/>
    <n v="62033"/>
    <n v="45516"/>
    <s v="R Mech Breeze"/>
    <s v="Global Mall Bengaluru"/>
    <s v="Insulation"/>
    <x v="48"/>
    <s v="Sqmt"/>
    <n v="14.3"/>
    <n v="330"/>
    <n v="4719"/>
  </r>
  <r>
    <n v="876"/>
    <x v="3"/>
    <x v="82"/>
    <n v="61965"/>
    <n v="45517"/>
    <s v="Knnd Associates Pvt Ltd"/>
    <s v="IISC Medical School Foundation Bangalore"/>
    <s v="Box Duct with TDF"/>
    <x v="0"/>
    <s v="Sqmt"/>
    <n v="2"/>
    <n v="670"/>
    <n v="1340"/>
  </r>
  <r>
    <n v="877"/>
    <x v="3"/>
    <x v="82"/>
    <n v="61965"/>
    <n v="45517"/>
    <s v="Knnd Associates Pvt Ltd"/>
    <s v="IISC Medical School Foundation Bangalore"/>
    <s v="Plain Sheet (Washer)"/>
    <x v="0"/>
    <s v="Sqmt"/>
    <n v="2745"/>
    <n v="4.5"/>
    <n v="12352.5"/>
  </r>
  <r>
    <n v="878"/>
    <x v="3"/>
    <x v="82"/>
    <n v="61965"/>
    <n v="45517"/>
    <s v="Knnd Associates Pvt Ltd"/>
    <s v="IISC Medical School Foundation Bangalore"/>
    <s v="Plain Sheet (150 x 150mm)"/>
    <x v="7"/>
    <s v="Sqmt"/>
    <n v="122.9"/>
    <n v="760"/>
    <n v="93404"/>
  </r>
  <r>
    <n v="879"/>
    <x v="3"/>
    <x v="82"/>
    <n v="61965"/>
    <n v="45517"/>
    <s v="Knnd Associates Pvt Ltd"/>
    <s v="IISC Medical School Foundation Bangalore"/>
    <s v="Insulation"/>
    <x v="3"/>
    <s v="Sqmt"/>
    <n v="2"/>
    <n v="838"/>
    <n v="1676"/>
  </r>
  <r>
    <n v="880"/>
    <x v="3"/>
    <x v="82"/>
    <n v="61967"/>
    <n v="45518"/>
    <s v="Knnd Associates Pvt Ltd"/>
    <s v="AIIMS Hospital Madurai"/>
    <s v="Box Duct with TDF"/>
    <x v="0"/>
    <s v="Sqmt"/>
    <n v="329.1"/>
    <n v="670"/>
    <n v="220497.00000000003"/>
  </r>
  <r>
    <n v="881"/>
    <x v="3"/>
    <x v="82"/>
    <n v="61967"/>
    <n v="45518"/>
    <s v="Knnd Associates Pvt Ltd"/>
    <s v="AIIMS Hospital Madurai"/>
    <s v="Box Duct with TDF"/>
    <x v="1"/>
    <s v="Sqmt"/>
    <n v="114.8"/>
    <n v="868"/>
    <n v="99646.399999999994"/>
  </r>
  <r>
    <n v="882"/>
    <x v="3"/>
    <x v="82"/>
    <n v="61967"/>
    <n v="45518"/>
    <s v="Knnd Associates Pvt Ltd"/>
    <s v="AIIMS Hospital Madurai"/>
    <s v="Box Duct with TDF"/>
    <x v="7"/>
    <s v="Sqmt"/>
    <n v="50.2"/>
    <n v="1060"/>
    <n v="53212"/>
  </r>
  <r>
    <n v="883"/>
    <x v="3"/>
    <x v="82"/>
    <n v="61967"/>
    <n v="45518"/>
    <s v="Knnd Associates Pvt Ltd"/>
    <s v="AIIMS Hospital Madurai"/>
    <s v="Insulation"/>
    <x v="12"/>
    <s v="Sqmt"/>
    <n v="59.3"/>
    <n v="755"/>
    <n v="44771.5"/>
  </r>
  <r>
    <n v="884"/>
    <x v="3"/>
    <x v="82"/>
    <n v="61967"/>
    <n v="45518"/>
    <s v="Knnd Associates Pvt Ltd"/>
    <s v="AIIMS Hospital Madurai"/>
    <s v="Insulation"/>
    <x v="66"/>
    <s v="Sqmt"/>
    <n v="414.9"/>
    <n v="415"/>
    <n v="172183.5"/>
  </r>
  <r>
    <n v="885"/>
    <x v="3"/>
    <x v="82"/>
    <n v="61967"/>
    <n v="45518"/>
    <s v="Knnd Associates Pvt Ltd"/>
    <s v="AIIMS Hospital Madurai"/>
    <s v="Stretch Film"/>
    <x v="5"/>
    <s v="Sqmt"/>
    <n v="470"/>
    <n v="20"/>
    <n v="9400"/>
  </r>
  <r>
    <n v="886"/>
    <x v="3"/>
    <x v="83"/>
    <n v="61997"/>
    <n v="45519"/>
    <s v="Knnd Associates Pvt Ltd"/>
    <s v="BDR Hospital Pune"/>
    <s v="Box Duct with TDF"/>
    <x v="0"/>
    <s v="Sqmt"/>
    <n v="493.7"/>
    <n v="670"/>
    <n v="330779"/>
  </r>
  <r>
    <n v="887"/>
    <x v="3"/>
    <x v="83"/>
    <n v="61997"/>
    <n v="45519"/>
    <s v="Knnd Associates Pvt Ltd"/>
    <s v="BDR Hospital Pune"/>
    <s v="Box Duct with TDF"/>
    <x v="1"/>
    <s v="Sqmt"/>
    <n v="32.200000000000003"/>
    <n v="868"/>
    <n v="27949.600000000002"/>
  </r>
  <r>
    <n v="888"/>
    <x v="3"/>
    <x v="83"/>
    <n v="61997"/>
    <n v="45519"/>
    <s v="Knnd Associates Pvt Ltd"/>
    <s v="BDR Hospital Pune"/>
    <s v="Round Coupling"/>
    <x v="10"/>
    <s v="Sqmt"/>
    <n v="9.5"/>
    <n v="770"/>
    <n v="7315"/>
  </r>
  <r>
    <n v="889"/>
    <x v="3"/>
    <x v="83"/>
    <n v="61997"/>
    <n v="45519"/>
    <s v="Knnd Associates Pvt Ltd"/>
    <s v="BDR Hospital Pune"/>
    <s v="Round Flange"/>
    <x v="0"/>
    <s v="Nos"/>
    <n v="155"/>
    <n v="75"/>
    <n v="11625"/>
  </r>
  <r>
    <n v="890"/>
    <x v="3"/>
    <x v="83"/>
    <n v="61997"/>
    <n v="45519"/>
    <s v="Knnd Associates Pvt Ltd"/>
    <s v="BDR Hospital Pune"/>
    <s v="Spigot 150mm Dia"/>
    <x v="1"/>
    <s v="Nos"/>
    <n v="96"/>
    <n v="385"/>
    <n v="36960"/>
  </r>
  <r>
    <n v="891"/>
    <x v="3"/>
    <x v="83"/>
    <n v="61997"/>
    <n v="45519"/>
    <s v="Knnd Associates Pvt Ltd"/>
    <s v="BDR Hospital Pune"/>
    <s v="Insulation"/>
    <x v="70"/>
    <s v="Sqmt"/>
    <n v="343"/>
    <n v="507"/>
    <n v="173901"/>
  </r>
  <r>
    <n v="892"/>
    <x v="3"/>
    <x v="83"/>
    <n v="61997"/>
    <n v="45519"/>
    <s v="Knnd Associates Pvt Ltd"/>
    <s v="BDR Hospital Pune"/>
    <s v="Insulation Flange"/>
    <x v="70"/>
    <s v="Sqmt"/>
    <n v="151.19999999999999"/>
    <n v="360"/>
    <n v="54431.999999999993"/>
  </r>
  <r>
    <n v="893"/>
    <x v="3"/>
    <x v="83"/>
    <n v="61997"/>
    <n v="45519"/>
    <s v="Knnd Associates Pvt Ltd"/>
    <s v="BDR Hospital Pune"/>
    <s v="Insulation"/>
    <x v="28"/>
    <s v="Sqmt"/>
    <n v="19.899999999999999"/>
    <n v="865"/>
    <n v="17213.5"/>
  </r>
  <r>
    <n v="894"/>
    <x v="3"/>
    <x v="83"/>
    <n v="61997"/>
    <n v="45519"/>
    <s v="Knnd Associates Pvt Ltd"/>
    <s v="BDR Hospital Pune"/>
    <s v="Stretch Film"/>
    <x v="5"/>
    <s v="Sqmt"/>
    <n v="380"/>
    <n v="20"/>
    <n v="7600"/>
  </r>
  <r>
    <n v="895"/>
    <x v="3"/>
    <x v="83"/>
    <n v="62025"/>
    <n v="45520"/>
    <s v="Knnd Associates Pvt Ltd"/>
    <s v="BLDE Campus Vijayapura"/>
    <s v="Box Duct with TDF"/>
    <x v="0"/>
    <s v="Sqmt"/>
    <n v="107.4"/>
    <n v="650"/>
    <n v="69810"/>
  </r>
  <r>
    <n v="896"/>
    <x v="3"/>
    <x v="83"/>
    <n v="62025"/>
    <n v="45520"/>
    <s v="Knnd Associates Pvt Ltd"/>
    <s v="BLDE Campus Vijayapura"/>
    <s v="Box Duct with TDF"/>
    <x v="1"/>
    <s v="Sqmt"/>
    <n v="76.5"/>
    <n v="835"/>
    <n v="63877.5"/>
  </r>
  <r>
    <n v="897"/>
    <x v="3"/>
    <x v="83"/>
    <n v="62025"/>
    <n v="45520"/>
    <s v="Knnd Associates Pvt Ltd"/>
    <s v="BLDE Campus Vijayapura"/>
    <s v="Spigot 250mm Dia"/>
    <x v="1"/>
    <s v="Nos"/>
    <n v="74"/>
    <n v="500"/>
    <n v="37000"/>
  </r>
  <r>
    <n v="898"/>
    <x v="3"/>
    <x v="83"/>
    <n v="62025"/>
    <n v="45520"/>
    <s v="Knnd Associates Pvt Ltd"/>
    <s v="BLDE Campus Vijayapura"/>
    <s v="Spigot 300mm Dia"/>
    <x v="1"/>
    <s v="Nos"/>
    <n v="23"/>
    <n v="660"/>
    <n v="15180"/>
  </r>
  <r>
    <n v="899"/>
    <x v="3"/>
    <x v="83"/>
    <n v="62025"/>
    <n v="45520"/>
    <s v="Knnd Associates Pvt Ltd"/>
    <s v="BLDE Campus Vijayapura"/>
    <s v="Insulation"/>
    <x v="26"/>
    <s v="Sqmt"/>
    <n v="137.1"/>
    <n v="291"/>
    <n v="39896.1"/>
  </r>
  <r>
    <n v="900"/>
    <x v="3"/>
    <x v="83"/>
    <n v="62025"/>
    <n v="45520"/>
    <s v="Knnd Associates Pvt Ltd"/>
    <s v="BLDE Campus Vijayapura"/>
    <s v="Insulation"/>
    <x v="28"/>
    <s v="Sqmt"/>
    <n v="46.8"/>
    <n v="888"/>
    <n v="41558.399999999994"/>
  </r>
  <r>
    <n v="901"/>
    <x v="3"/>
    <x v="83"/>
    <n v="62025"/>
    <n v="45520"/>
    <s v="Knnd Associates Pvt Ltd"/>
    <s v="BLDE Campus Vijayapura"/>
    <s v="Insulation Flange"/>
    <x v="26"/>
    <s v="Nos"/>
    <n v="35"/>
    <n v="154"/>
    <n v="5390"/>
  </r>
  <r>
    <n v="902"/>
    <x v="3"/>
    <x v="83"/>
    <n v="62025"/>
    <n v="45520"/>
    <s v="Knnd Associates Pvt Ltd"/>
    <s v="BLDE Campus Vijayapura"/>
    <s v="Stretch Film"/>
    <x v="5"/>
    <s v="Sqmt"/>
    <n v="170"/>
    <n v="20"/>
    <n v="3400"/>
  </r>
  <r>
    <n v="903"/>
    <x v="3"/>
    <x v="84"/>
    <n v="62035"/>
    <n v="45521"/>
    <s v="Knnd Associates Pvt Ltd"/>
    <s v="Central Market Mangalore"/>
    <s v="Box Duct with TDF"/>
    <x v="0"/>
    <s v="Sqmt"/>
    <n v="11.1"/>
    <n v="650"/>
    <n v="7215"/>
  </r>
  <r>
    <n v="904"/>
    <x v="3"/>
    <x v="84"/>
    <n v="62035"/>
    <n v="45521"/>
    <s v="Knnd Associates Pvt Ltd"/>
    <s v="Central Market Mangalore"/>
    <s v="Box Duct with TDF"/>
    <x v="1"/>
    <s v="Sqmt"/>
    <n v="58"/>
    <n v="835"/>
    <n v="48430"/>
  </r>
  <r>
    <n v="905"/>
    <x v="3"/>
    <x v="84"/>
    <n v="62035"/>
    <n v="45521"/>
    <s v="Knnd Associates Pvt Ltd"/>
    <s v="Central Market Mangalore"/>
    <s v="Box Duct with TDF"/>
    <x v="7"/>
    <s v="Sqmt"/>
    <n v="58.2"/>
    <n v="1050"/>
    <n v="61110"/>
  </r>
  <r>
    <n v="906"/>
    <x v="3"/>
    <x v="84"/>
    <n v="62035"/>
    <n v="45521"/>
    <s v="Knnd Associates Pvt Ltd"/>
    <s v="Central Market Mangalore"/>
    <s v="Box Duct with TDF"/>
    <x v="8"/>
    <s v="Sqmt"/>
    <n v="54.8"/>
    <n v="1150"/>
    <n v="63020"/>
  </r>
  <r>
    <n v="907"/>
    <x v="3"/>
    <x v="84"/>
    <n v="62035"/>
    <n v="45521"/>
    <s v="Knnd Associates Pvt Ltd"/>
    <s v="Central Market Mangalore"/>
    <s v="VCD (Alu. Blade)"/>
    <x v="7"/>
    <s v="Sqmt"/>
    <n v="2.4"/>
    <n v="5200"/>
    <n v="12480"/>
  </r>
  <r>
    <n v="908"/>
    <x v="3"/>
    <x v="84"/>
    <n v="61962"/>
    <n v="45522"/>
    <s v="Knnd Associates Pvt Ltd"/>
    <s v="Infosys Chandigarh"/>
    <s v="Mixing Box (595x595x350H)"/>
    <x v="0"/>
    <s v="Nos"/>
    <n v="189"/>
    <n v="969"/>
    <n v="183141"/>
  </r>
  <r>
    <n v="909"/>
    <x v="3"/>
    <x v="84"/>
    <n v="61962"/>
    <n v="45522"/>
    <s v="Knnd Associates Pvt Ltd"/>
    <s v="Infosys Chandigarh"/>
    <s v="Insulation"/>
    <x v="52"/>
    <s v="Sqmt"/>
    <n v="291.47229900000008"/>
    <n v="686"/>
    <n v="199949.99711400006"/>
  </r>
  <r>
    <n v="910"/>
    <x v="3"/>
    <x v="84"/>
    <n v="61962"/>
    <n v="45522"/>
    <s v="Knnd Associates Pvt Ltd"/>
    <s v="Infosys Chandigarh"/>
    <s v="Spigot 200mm Dia"/>
    <x v="1"/>
    <s v="Nos"/>
    <n v="343"/>
    <n v="400"/>
    <n v="137200"/>
  </r>
  <r>
    <n v="911"/>
    <x v="3"/>
    <x v="84"/>
    <n v="61962"/>
    <n v="45522"/>
    <s v="Knnd Associates Pvt Ltd"/>
    <s v="Infosys Chandigarh"/>
    <s v="Mixing Box (600x250x300Hx200mm)"/>
    <x v="0"/>
    <s v="Nos"/>
    <n v="48"/>
    <n v="837"/>
    <n v="40176"/>
  </r>
  <r>
    <n v="912"/>
    <x v="3"/>
    <x v="84"/>
    <n v="61962"/>
    <n v="45522"/>
    <s v="Knnd Associates Pvt Ltd"/>
    <s v="Infosys Chandigarh"/>
    <s v="Mixing Box (600x200x300Hx150mm)"/>
    <x v="0"/>
    <s v="Nos"/>
    <n v="16"/>
    <n v="608"/>
    <n v="9728"/>
  </r>
  <r>
    <n v="913"/>
    <x v="3"/>
    <x v="84"/>
    <n v="61962"/>
    <n v="45522"/>
    <s v="Knnd Associates Pvt Ltd"/>
    <s v="Infosys Chandigarh"/>
    <s v="Mixing Box (600x150x300Hx200mm)"/>
    <x v="0"/>
    <s v="Nos"/>
    <n v="47"/>
    <n v="600"/>
    <n v="28200"/>
  </r>
  <r>
    <n v="914"/>
    <x v="3"/>
    <x v="85"/>
    <n v="62028"/>
    <n v="45523"/>
    <s v="Lakshmi Fabrication"/>
    <s v="Navitas Chennai"/>
    <s v="Spiral Oval Duct"/>
    <x v="9"/>
    <s v="Sqmt"/>
    <n v="105"/>
    <n v="700"/>
    <n v="73500"/>
  </r>
  <r>
    <n v="915"/>
    <x v="3"/>
    <x v="85"/>
    <n v="62028"/>
    <n v="45523"/>
    <s v="Lakshmi Fabrication"/>
    <s v="Navitas Chennai"/>
    <s v="Spiral Oval Duct"/>
    <x v="10"/>
    <s v="Sqmt"/>
    <n v="91.5"/>
    <n v="860"/>
    <n v="78690"/>
  </r>
  <r>
    <n v="916"/>
    <x v="3"/>
    <x v="85"/>
    <n v="62028"/>
    <n v="45523"/>
    <s v="Lakshmi Fabrication"/>
    <s v="Navitas Chennai"/>
    <s v="Spiral Oval Duct"/>
    <x v="18"/>
    <s v="Sqmt"/>
    <n v="88.1"/>
    <n v="1050"/>
    <n v="92505"/>
  </r>
  <r>
    <n v="917"/>
    <x v="3"/>
    <x v="85"/>
    <n v="62028"/>
    <n v="45523"/>
    <s v="Lakshmi Fabrication"/>
    <s v="Navitas Chennai"/>
    <s v="Spiral Oval Coupling"/>
    <x v="18"/>
    <s v="Sqmt"/>
    <n v="11.3"/>
    <n v="950"/>
    <n v="10735"/>
  </r>
  <r>
    <n v="918"/>
    <x v="3"/>
    <x v="85"/>
    <n v="62028"/>
    <n v="45523"/>
    <s v="Lakshmi Fabrication"/>
    <s v="Navitas Chennai"/>
    <s v="Spiral VCD"/>
    <x v="7"/>
    <s v="Sqmt"/>
    <n v="2.9"/>
    <n v="3900"/>
    <n v="11310"/>
  </r>
  <r>
    <n v="919"/>
    <x v="3"/>
    <x v="85"/>
    <n v="62028"/>
    <n v="45523"/>
    <s v="Lakshmi Fabrication"/>
    <s v="Navitas Chennai"/>
    <s v="VCD (Alu. Blade)"/>
    <x v="7"/>
    <s v="Sqmt"/>
    <n v="4.0999999999999996"/>
    <n v="5300"/>
    <n v="21729.999999999996"/>
  </r>
  <r>
    <n v="920"/>
    <x v="3"/>
    <x v="85"/>
    <n v="62028"/>
    <n v="45523"/>
    <s v="Lakshmi Fabrication"/>
    <s v="Navitas Chennai"/>
    <s v="Insulation"/>
    <x v="48"/>
    <s v="Sqmt"/>
    <n v="295.89999999999998"/>
    <n v="325"/>
    <n v="96167.499999999985"/>
  </r>
  <r>
    <n v="921"/>
    <x v="3"/>
    <x v="85"/>
    <n v="61967"/>
    <n v="45524"/>
    <s v="Knnd Associates Pvt Ltd"/>
    <s v="AIIMS Hospital Madurai"/>
    <s v="Box Duct with TDF"/>
    <x v="0"/>
    <s v="Sqmt"/>
    <n v="208"/>
    <n v="670"/>
    <n v="139360"/>
  </r>
  <r>
    <n v="922"/>
    <x v="3"/>
    <x v="85"/>
    <n v="61967"/>
    <n v="45524"/>
    <s v="Knnd Associates Pvt Ltd"/>
    <s v="AIIMS Hospital Madurai"/>
    <s v="Box Duct with TDF"/>
    <x v="1"/>
    <s v="Sqmt"/>
    <n v="93.2"/>
    <n v="868"/>
    <n v="80897.600000000006"/>
  </r>
  <r>
    <n v="923"/>
    <x v="3"/>
    <x v="85"/>
    <n v="61967"/>
    <n v="45524"/>
    <s v="Knnd Associates Pvt Ltd"/>
    <s v="AIIMS Hospital Madurai"/>
    <s v="Insulation"/>
    <x v="12"/>
    <s v="Sqmt"/>
    <n v="44.5"/>
    <n v="755"/>
    <n v="33597.5"/>
  </r>
  <r>
    <n v="924"/>
    <x v="3"/>
    <x v="85"/>
    <n v="61967"/>
    <n v="45524"/>
    <s v="Knnd Associates Pvt Ltd"/>
    <s v="AIIMS Hospital Madurai"/>
    <s v="Insulation"/>
    <x v="66"/>
    <s v="Sqmt"/>
    <n v="159.9"/>
    <n v="415"/>
    <n v="66358.5"/>
  </r>
  <r>
    <n v="925"/>
    <x v="3"/>
    <x v="85"/>
    <n v="61967"/>
    <n v="45524"/>
    <s v="Knnd Associates Pvt Ltd"/>
    <s v="AIIMS Hospital Madurai"/>
    <s v="Insulation"/>
    <x v="67"/>
    <s v="Sqmt"/>
    <n v="6.9"/>
    <n v="465"/>
    <n v="3208.5"/>
  </r>
  <r>
    <n v="926"/>
    <x v="3"/>
    <x v="85"/>
    <n v="61967"/>
    <n v="45524"/>
    <s v="Knnd Associates Pvt Ltd"/>
    <s v="AIIMS Hospital Madurai"/>
    <s v="Insulation Flange"/>
    <x v="66"/>
    <s v="Sqmt"/>
    <n v="134.4"/>
    <n v="251"/>
    <n v="33734.400000000001"/>
  </r>
  <r>
    <n v="927"/>
    <x v="3"/>
    <x v="85"/>
    <n v="61967"/>
    <n v="45524"/>
    <s v="Knnd Associates Pvt Ltd"/>
    <s v="AIIMS Hospital Madurai"/>
    <s v="Stretch Film"/>
    <x v="5"/>
    <s v="Sqmt"/>
    <n v="200"/>
    <n v="20"/>
    <n v="4000"/>
  </r>
  <r>
    <n v="928"/>
    <x v="3"/>
    <x v="85"/>
    <n v="62036"/>
    <n v="45525"/>
    <s v="Knnd Associates Pvt Ltd"/>
    <s v="KSSEM Auditorium Bangalore"/>
    <s v="Box Duct with TDF"/>
    <x v="0"/>
    <s v="Sqmt"/>
    <n v="92.9"/>
    <n v="650"/>
    <n v="60385.000000000007"/>
  </r>
  <r>
    <n v="929"/>
    <x v="3"/>
    <x v="85"/>
    <n v="62036"/>
    <n v="45525"/>
    <s v="Knnd Associates Pvt Ltd"/>
    <s v="KSSEM Auditorium Bangalore"/>
    <s v="Box Duct with TDF"/>
    <x v="1"/>
    <s v="Sqmt"/>
    <n v="24.5"/>
    <n v="835"/>
    <n v="20457.5"/>
  </r>
  <r>
    <n v="930"/>
    <x v="3"/>
    <x v="85"/>
    <n v="62036"/>
    <n v="45525"/>
    <s v="Knnd Associates Pvt Ltd"/>
    <s v="KSSEM Auditorium Bangalore"/>
    <s v="Box Duct with TDF"/>
    <x v="7"/>
    <s v="Sqmt"/>
    <n v="43.7"/>
    <n v="1060"/>
    <n v="46322"/>
  </r>
  <r>
    <n v="931"/>
    <x v="3"/>
    <x v="85"/>
    <n v="62036"/>
    <n v="45525"/>
    <s v="Knnd Associates Pvt Ltd"/>
    <s v="KSSEM Auditorium Bangalore"/>
    <s v="Insulation"/>
    <x v="11"/>
    <s v="Sqmt"/>
    <n v="161.1"/>
    <n v="380"/>
    <n v="61218"/>
  </r>
  <r>
    <n v="932"/>
    <x v="3"/>
    <x v="85"/>
    <n v="62036"/>
    <n v="45525"/>
    <s v="Knnd Associates Pvt Ltd"/>
    <s v="KSSEM Auditorium Bangalore"/>
    <s v="Stretch Film"/>
    <x v="5"/>
    <s v="Sqmt"/>
    <n v="200"/>
    <n v="20"/>
    <n v="4000"/>
  </r>
  <r>
    <n v="933"/>
    <x v="3"/>
    <x v="86"/>
    <n v="62036"/>
    <n v="45526"/>
    <s v="Knnd Associates Pvt Ltd"/>
    <s v="KSSEM Auditorium Bangalore"/>
    <s v="Box Duct with TDF"/>
    <x v="0"/>
    <s v="Sqmt"/>
    <n v="124.4"/>
    <n v="650"/>
    <n v="80860"/>
  </r>
  <r>
    <n v="934"/>
    <x v="3"/>
    <x v="86"/>
    <n v="62036"/>
    <n v="45526"/>
    <s v="Knnd Associates Pvt Ltd"/>
    <s v="KSSEM Auditorium Bangalore"/>
    <s v="Box Duct with TDF"/>
    <x v="1"/>
    <s v="Sqmt"/>
    <n v="26.3"/>
    <n v="835"/>
    <n v="21960.5"/>
  </r>
  <r>
    <n v="935"/>
    <x v="3"/>
    <x v="86"/>
    <n v="62036"/>
    <n v="45526"/>
    <s v="Knnd Associates Pvt Ltd"/>
    <s v="KSSEM Auditorium Bangalore"/>
    <s v="Box Duct with TDF"/>
    <x v="7"/>
    <s v="Sqmt"/>
    <n v="21"/>
    <n v="1060"/>
    <n v="22260"/>
  </r>
  <r>
    <n v="936"/>
    <x v="3"/>
    <x v="86"/>
    <n v="62036"/>
    <n v="45526"/>
    <s v="Knnd Associates Pvt Ltd"/>
    <s v="KSSEM Auditorium Bangalore"/>
    <s v="Insulation"/>
    <x v="11"/>
    <s v="Sqmt"/>
    <n v="171.7"/>
    <n v="380"/>
    <n v="65245.999999999993"/>
  </r>
  <r>
    <n v="937"/>
    <x v="3"/>
    <x v="86"/>
    <n v="62036"/>
    <n v="45526"/>
    <s v="Knnd Associates Pvt Ltd"/>
    <s v="KSSEM Auditorium Bangalore"/>
    <s v="Stretch Film"/>
    <x v="5"/>
    <s v="Sqmt"/>
    <n v="200"/>
    <n v="20"/>
    <n v="4000"/>
  </r>
  <r>
    <n v="938"/>
    <x v="3"/>
    <x v="87"/>
    <n v="62036"/>
    <n v="45527"/>
    <s v="Knnd Associates Pvt Ltd"/>
    <s v="KSSEM Auditorium Bangalore"/>
    <s v="Box Duct with TDF"/>
    <x v="0"/>
    <s v="Sqmt"/>
    <n v="123"/>
    <n v="650"/>
    <n v="79950"/>
  </r>
  <r>
    <n v="939"/>
    <x v="3"/>
    <x v="87"/>
    <n v="62036"/>
    <n v="45527"/>
    <s v="Knnd Associates Pvt Ltd"/>
    <s v="KSSEM Auditorium Bangalore"/>
    <s v="Box Duct with TDF"/>
    <x v="1"/>
    <s v="Sqmt"/>
    <n v="51.9"/>
    <n v="835"/>
    <n v="43336.5"/>
  </r>
  <r>
    <n v="940"/>
    <x v="3"/>
    <x v="87"/>
    <n v="62036"/>
    <n v="45527"/>
    <s v="Knnd Associates Pvt Ltd"/>
    <s v="KSSEM Auditorium Bangalore"/>
    <s v="Box Duct with TDF"/>
    <x v="7"/>
    <s v="Sqmt"/>
    <n v="15.6"/>
    <n v="1060"/>
    <n v="16536"/>
  </r>
  <r>
    <n v="941"/>
    <x v="3"/>
    <x v="87"/>
    <n v="62036"/>
    <n v="45527"/>
    <s v="Knnd Associates Pvt Ltd"/>
    <s v="KSSEM Auditorium Bangalore"/>
    <s v="Insulation"/>
    <x v="11"/>
    <s v="Sqmt"/>
    <n v="165.3"/>
    <n v="380"/>
    <n v="62814.000000000007"/>
  </r>
  <r>
    <n v="942"/>
    <x v="3"/>
    <x v="87"/>
    <n v="62036"/>
    <n v="45527"/>
    <s v="Knnd Associates Pvt Ltd"/>
    <s v="KSSEM Auditorium Bangalore"/>
    <s v="Insulation"/>
    <x v="68"/>
    <s v="Sqmt"/>
    <n v="20.8"/>
    <n v="925"/>
    <n v="19240"/>
  </r>
  <r>
    <n v="943"/>
    <x v="3"/>
    <x v="87"/>
    <n v="62036"/>
    <n v="45527"/>
    <s v="Knnd Associates Pvt Ltd"/>
    <s v="KSSEM Auditorium Bangalore"/>
    <s v="VCD (Alu. Blade)"/>
    <x v="7"/>
    <s v="Sqmt"/>
    <n v="2.6"/>
    <n v="5200"/>
    <n v="13520"/>
  </r>
  <r>
    <n v="944"/>
    <x v="3"/>
    <x v="87"/>
    <n v="62036"/>
    <n v="45527"/>
    <s v="Knnd Associates Pvt Ltd"/>
    <s v="KSSEM Auditorium Bangalore"/>
    <s v="Insulation Flange"/>
    <x v="26"/>
    <s v="Nos"/>
    <n v="100"/>
    <n v="154"/>
    <n v="15400"/>
  </r>
  <r>
    <n v="945"/>
    <x v="3"/>
    <x v="87"/>
    <n v="62036"/>
    <n v="45527"/>
    <s v="Knnd Associates Pvt Ltd"/>
    <s v="KSSEM Auditorium Bangalore"/>
    <s v="Stretch Film"/>
    <x v="5"/>
    <s v="Sqmt"/>
    <n v="200"/>
    <n v="20"/>
    <n v="4000"/>
  </r>
  <r>
    <n v="946"/>
    <x v="3"/>
    <x v="87"/>
    <n v="62037"/>
    <n v="45528"/>
    <s v="Knnd Associates Pvt Ltd"/>
    <s v="White Oak Bangalore"/>
    <s v="Box Duct with TDF"/>
    <x v="0"/>
    <s v="Sqmt"/>
    <n v="102.9"/>
    <n v="650"/>
    <n v="66885"/>
  </r>
  <r>
    <n v="947"/>
    <x v="3"/>
    <x v="87"/>
    <n v="62037"/>
    <n v="45528"/>
    <s v="Knnd Associates Pvt Ltd"/>
    <s v="White Oak Bangalore"/>
    <s v="Box Duct with TDF"/>
    <x v="1"/>
    <s v="Sqmt"/>
    <n v="170.6"/>
    <n v="835"/>
    <n v="142451"/>
  </r>
  <r>
    <n v="948"/>
    <x v="3"/>
    <x v="87"/>
    <n v="62037"/>
    <n v="45528"/>
    <s v="Knnd Associates Pvt Ltd"/>
    <s v="White Oak Bangalore"/>
    <s v="Box Duct with TDF"/>
    <x v="7"/>
    <s v="Sqmt"/>
    <n v="88.3"/>
    <n v="1060"/>
    <n v="93598"/>
  </r>
  <r>
    <n v="949"/>
    <x v="3"/>
    <x v="87"/>
    <n v="62037"/>
    <n v="45528"/>
    <s v="Knnd Associates Pvt Ltd"/>
    <s v="White Oak Bangalore"/>
    <s v="Box Duct with TDF"/>
    <x v="8"/>
    <s v="Sqmt"/>
    <n v="22.8"/>
    <n v="1150"/>
    <n v="26220"/>
  </r>
  <r>
    <n v="950"/>
    <x v="3"/>
    <x v="87"/>
    <n v="62037"/>
    <n v="45528"/>
    <s v="Knnd Associates Pvt Ltd"/>
    <s v="White Oak Bangalore"/>
    <s v="Insulation"/>
    <x v="93"/>
    <s v="Sqmt"/>
    <n v="342.8"/>
    <n v="355"/>
    <n v="121694"/>
  </r>
  <r>
    <n v="951"/>
    <x v="3"/>
    <x v="87"/>
    <n v="62037"/>
    <n v="45528"/>
    <s v="Knnd Associates Pvt Ltd"/>
    <s v="White Oak Bangalore"/>
    <s v="Insulation"/>
    <x v="68"/>
    <s v="Sqmt"/>
    <n v="41.8"/>
    <n v="910"/>
    <n v="38038"/>
  </r>
  <r>
    <n v="952"/>
    <x v="3"/>
    <x v="87"/>
    <n v="62037"/>
    <n v="45528"/>
    <s v="Knnd Associates Pvt Ltd"/>
    <s v="White Oak Bangalore"/>
    <s v="Stretch Film"/>
    <x v="5"/>
    <s v="Sqmt"/>
    <n v="380"/>
    <n v="20"/>
    <n v="7600"/>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r>
    <s v=""/>
    <x v="4"/>
    <x v="88"/>
    <m/>
    <m/>
    <m/>
    <m/>
    <m/>
    <x v="94"/>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6">
  <r>
    <n v="1"/>
    <x v="0"/>
    <d v="2026-04-01T00:00:00"/>
    <s v="KA3337/2025-26-64022"/>
    <d v="2026-03-10T00:00:00"/>
    <x v="0"/>
    <s v="KA"/>
    <x v="0"/>
    <s v="Blackstone COE India Pvt Ltd Bangalore"/>
    <n v="61930"/>
    <n v="45322"/>
    <n v="559406"/>
    <n v="50346.54"/>
    <n v="50346.54"/>
    <m/>
    <n v="660099.08000000007"/>
    <n v="-0.08"/>
    <n v="660099.00000000012"/>
    <m/>
    <m/>
    <s v=""/>
    <s v=""/>
  </r>
  <r>
    <n v="2"/>
    <x v="0"/>
    <d v="2026-04-02T00:00:00"/>
    <s v="LF-010"/>
    <d v="2026-03-21T00:00:00"/>
    <x v="1"/>
    <s v="KA"/>
    <x v="1"/>
    <s v="Lenovo Project Bangalore"/>
    <n v="61936"/>
    <n v="45323"/>
    <n v="200000.5"/>
    <n v="18504.044999999998"/>
    <n v="18504.044999999998"/>
    <m/>
    <n v="242608.58999999997"/>
    <n v="0.41"/>
    <n v="242608.99999999997"/>
    <n v="5600"/>
    <n v="4750"/>
    <n v="850"/>
    <n v="0.17894736842105263"/>
  </r>
  <r>
    <n v="3"/>
    <x v="0"/>
    <d v="2026-04-02T00:00:00"/>
    <s v="LF-010"/>
    <d v="2026-03-21T00:00:00"/>
    <x v="1"/>
    <s v="KA"/>
    <x v="1"/>
    <s v="Lenovo Project Bangalore"/>
    <n v="61936"/>
    <n v="45324"/>
    <n v="230054"/>
    <n v="21208.86"/>
    <n v="21208.86"/>
    <m/>
    <n v="278071.71999999997"/>
    <n v="0.28000000000000003"/>
    <n v="278072"/>
    <n v="5600"/>
    <n v="4750"/>
    <n v="850"/>
    <n v="0.17894736842105263"/>
  </r>
  <r>
    <n v="4"/>
    <x v="0"/>
    <d v="2026-04-03T00:00:00"/>
    <s v="LF-010"/>
    <d v="2026-03-21T00:00:00"/>
    <x v="1"/>
    <s v="KA"/>
    <x v="1"/>
    <s v="Lenovo Project Bangalore"/>
    <n v="61936"/>
    <n v="45325"/>
    <n v="238584.5"/>
    <n v="21976.605"/>
    <n v="21976.605"/>
    <m/>
    <n v="288137.71000000002"/>
    <n v="0.28999999999999998"/>
    <n v="288138"/>
    <n v="5600"/>
    <n v="4750"/>
    <n v="850"/>
    <n v="0.17894736842105263"/>
  </r>
  <r>
    <n v="5"/>
    <x v="0"/>
    <d v="2026-04-03T00:00:00"/>
    <s v="KA3077/2024-25-16014"/>
    <d v="2025-02-12T00:00:00"/>
    <x v="0"/>
    <s v="KA"/>
    <x v="0"/>
    <s v="IISC Medical School Foundation Bangalore"/>
    <n v="61531"/>
    <n v="45326"/>
    <n v="49876.7"/>
    <n v="4956.9029999999993"/>
    <n v="4956.9029999999993"/>
    <m/>
    <n v="64990.505999999994"/>
    <n v="0.49"/>
    <n v="64990.995999999992"/>
    <n v="5200"/>
    <n v="4750"/>
    <n v="450"/>
    <n v="9.4736842105263161E-2"/>
  </r>
  <r>
    <n v="6"/>
    <x v="0"/>
    <d v="2026-04-03T00:00:00"/>
    <s v="KA3337/2025-26-64022"/>
    <d v="2026-03-10T00:00:00"/>
    <x v="0"/>
    <s v="KA"/>
    <x v="0"/>
    <s v="Blackstone COE India Pvt Ltd Bangalore"/>
    <n v="61930"/>
    <n v="45327"/>
    <n v="666132.30000000005"/>
    <n v="59951.906999999999"/>
    <n v="59951.906999999999"/>
    <m/>
    <n v="786036.11400000006"/>
    <n v="-0.11"/>
    <n v="786036.00400000007"/>
    <m/>
    <m/>
    <s v=""/>
    <s v=""/>
  </r>
  <r>
    <n v="7"/>
    <x v="0"/>
    <d v="2026-04-06T00:00:00"/>
    <s v="KA3337/2025-26-64022"/>
    <d v="2026-03-10T00:00:00"/>
    <x v="0"/>
    <s v="KA"/>
    <x v="0"/>
    <s v="Blackstone COE India Pvt Ltd Bangalore"/>
    <n v="61930"/>
    <n v="45328"/>
    <n v="717861.1"/>
    <n v="64607.498999999996"/>
    <n v="64607.498999999996"/>
    <m/>
    <n v="847076.09799999988"/>
    <n v="-0.1"/>
    <n v="847075.99799999991"/>
    <m/>
    <m/>
    <s v=""/>
    <s v=""/>
  </r>
  <r>
    <n v="8"/>
    <x v="0"/>
    <d v="2026-04-07T00:00:00"/>
    <s v="LF-010"/>
    <d v="2026-03-21T00:00:00"/>
    <x v="1"/>
    <s v="KA"/>
    <x v="1"/>
    <s v="Lenovo Project Bangalore"/>
    <n v="61936"/>
    <n v="45329"/>
    <n v="212048"/>
    <n v="19588.32"/>
    <n v="19588.32"/>
    <m/>
    <n v="256824.64"/>
    <n v="0.36"/>
    <n v="256825"/>
    <n v="5600"/>
    <n v="4750"/>
    <n v="850"/>
    <n v="0.17894736842105263"/>
  </r>
  <r>
    <n v="9"/>
    <x v="0"/>
    <d v="2026-04-08T00:00:00"/>
    <s v="LF-010"/>
    <d v="2026-03-21T00:00:00"/>
    <x v="1"/>
    <s v="KA"/>
    <x v="1"/>
    <s v="Lenovo Project Bangalore"/>
    <n v="61936"/>
    <n v="45330"/>
    <n v="218731.4"/>
    <n v="20189.825999999997"/>
    <n v="20189.825999999997"/>
    <m/>
    <n v="264711.05200000003"/>
    <n v="-0.05"/>
    <n v="264711.00200000004"/>
    <n v="5600"/>
    <n v="4750"/>
    <n v="850"/>
    <n v="0.17894736842105263"/>
  </r>
  <r>
    <n v="10"/>
    <x v="0"/>
    <d v="2026-04-08T00:00:00"/>
    <s v="Stock Transfer"/>
    <d v="2025-09-27T00:00:00"/>
    <x v="2"/>
    <s v="HR"/>
    <x v="2"/>
    <s v="Camduct India Pvt Ltd-Haryana Branch"/>
    <n v="61768"/>
    <n v="45331"/>
    <n v="27773"/>
    <m/>
    <m/>
    <n v="4999.1399999999994"/>
    <n v="32772.14"/>
    <n v="-0.14000000000000001"/>
    <n v="32772"/>
    <m/>
    <m/>
    <s v=""/>
    <s v=""/>
  </r>
  <r>
    <n v="11"/>
    <x v="0"/>
    <d v="2026-04-08T00:00:00"/>
    <s v="KA3337/2025-26-64022"/>
    <d v="2026-03-10T00:00:00"/>
    <x v="0"/>
    <s v="KA"/>
    <x v="0"/>
    <s v="Blackstone COE India Pvt Ltd Bangalore"/>
    <n v="61930"/>
    <n v="45332"/>
    <n v="647378.1"/>
    <n v="58264.028999999995"/>
    <n v="58264.028999999995"/>
    <m/>
    <n v="763906.15799999994"/>
    <n v="-0.16"/>
    <n v="763905.99799999991"/>
    <m/>
    <m/>
    <s v=""/>
    <s v=""/>
  </r>
  <r>
    <n v="12"/>
    <x v="0"/>
    <d v="2026-04-09T00:00:00"/>
    <s v="LF-010"/>
    <d v="2026-03-21T00:00:00"/>
    <x v="1"/>
    <s v="KA"/>
    <x v="1"/>
    <s v="Lenovo Project Bangalore"/>
    <n v="61936"/>
    <n v="45333"/>
    <n v="105787.5"/>
    <n v="10024.875"/>
    <n v="10024.875"/>
    <m/>
    <n v="131437.25"/>
    <n v="-0.25"/>
    <n v="131437"/>
    <n v="5600"/>
    <n v="4750"/>
    <n v="850"/>
    <n v="0.17894736842105263"/>
  </r>
  <r>
    <n v="13"/>
    <x v="0"/>
    <d v="2026-04-09T00:00:00"/>
    <s v="KA3337/2025-26-64022"/>
    <d v="2026-03-10T00:00:00"/>
    <x v="0"/>
    <s v="KA"/>
    <x v="0"/>
    <s v="Blackstone COE India Pvt Ltd Bangalore"/>
    <n v="61930"/>
    <n v="45334"/>
    <n v="669276.80000000005"/>
    <n v="60234.912000000004"/>
    <n v="60234.912000000004"/>
    <m/>
    <n v="789746.62400000007"/>
    <n v="0.38"/>
    <n v="789747.00400000007"/>
    <m/>
    <m/>
    <s v=""/>
    <s v=""/>
  </r>
  <r>
    <n v="14"/>
    <x v="0"/>
    <d v="2026-04-10T00:00:00"/>
    <s v="KA2343/2024-25_1-15021"/>
    <d v="2024-12-04T00:00:00"/>
    <x v="0"/>
    <s v="KA"/>
    <x v="0"/>
    <s v="Vaishnavi Senate Bangalore"/>
    <n v="61434"/>
    <n v="45335"/>
    <n v="52373.7"/>
    <n v="5181.6329999999998"/>
    <n v="5181.6329999999998"/>
    <m/>
    <n v="67936.966"/>
    <n v="0.03"/>
    <n v="67936.995999999999"/>
    <n v="5200"/>
    <n v="4750"/>
    <n v="450"/>
    <n v="9.4736842105263161E-2"/>
  </r>
  <r>
    <n v="15"/>
    <x v="0"/>
    <d v="2026-04-10T00:00:00"/>
    <s v="RCHVAC/PO/25-26/5553"/>
    <d v="2026-03-26T00:00:00"/>
    <x v="3"/>
    <s v="KA"/>
    <x v="1"/>
    <s v="Creditaccess Life Insurance Ltd Blr"/>
    <n v="61935"/>
    <n v="45336"/>
    <n v="1666"/>
    <n v="239.94"/>
    <n v="239.94"/>
    <m/>
    <n v="3145.88"/>
    <n v="0.12"/>
    <n v="3146"/>
    <n v="1000"/>
    <n v="1000"/>
    <n v="0"/>
    <n v="0"/>
  </r>
  <r>
    <n v="16"/>
    <x v="0"/>
    <d v="2026-04-11T00:00:00"/>
    <s v="LF-010"/>
    <d v="2026-03-21T00:00:00"/>
    <x v="1"/>
    <s v="KA"/>
    <x v="1"/>
    <s v="Lenovo Project Bangalore"/>
    <n v="61936"/>
    <n v="45337"/>
    <n v="54450"/>
    <n v="4900.5"/>
    <n v="4900.5"/>
    <m/>
    <n v="64251"/>
    <m/>
    <n v="64251"/>
    <m/>
    <m/>
    <s v=""/>
    <s v=""/>
  </r>
  <r>
    <n v="17"/>
    <x v="0"/>
    <d v="2026-04-11T00:00:00"/>
    <s v="KA3337/2025-26-64022"/>
    <d v="2026-03-10T00:00:00"/>
    <x v="0"/>
    <s v="KA"/>
    <x v="0"/>
    <s v="Blackstone COE India Pvt Ltd Bangalore"/>
    <n v="61930"/>
    <n v="45338"/>
    <n v="671202.8"/>
    <n v="60408.252"/>
    <n v="60408.252"/>
    <m/>
    <n v="792019.304"/>
    <n v="-0.3"/>
    <n v="792019.00399999996"/>
    <m/>
    <m/>
    <s v=""/>
    <s v=""/>
  </r>
  <r>
    <n v="18"/>
    <x v="0"/>
    <d v="2026-04-13T00:00:00"/>
    <s v="KA2207/2025-26-21179"/>
    <d v="2025-11-17T00:00:00"/>
    <x v="0"/>
    <s v="KA"/>
    <x v="0"/>
    <s v="Pai Tiffins Manipal"/>
    <n v="61816"/>
    <n v="45339"/>
    <n v="8932"/>
    <n v="803.88"/>
    <n v="803.88"/>
    <m/>
    <n v="10539.759999999998"/>
    <n v="0.24"/>
    <n v="10539.999999999998"/>
    <m/>
    <m/>
    <s v=""/>
    <s v=""/>
  </r>
  <r>
    <n v="19"/>
    <x v="0"/>
    <d v="2026-04-13T00:00:00"/>
    <s v="KA0142/2026-27-21190"/>
    <d v="2026-04-13T00:00:00"/>
    <x v="0"/>
    <s v="KA"/>
    <x v="0"/>
    <s v="Yenepoya University Mangalore"/>
    <n v="61948"/>
    <n v="45340"/>
    <n v="55109"/>
    <n v="4959.8099999999995"/>
    <n v="4959.8099999999995"/>
    <m/>
    <n v="65028.619999999995"/>
    <n v="0.38"/>
    <n v="65028.999999999993"/>
    <m/>
    <m/>
    <s v=""/>
    <s v=""/>
  </r>
  <r>
    <n v="20"/>
    <x v="0"/>
    <d v="2026-04-15T00:00:00"/>
    <s v="KA2674/2025-26-15032"/>
    <d v="2025-12-31T00:00:00"/>
    <x v="0"/>
    <s v="KA"/>
    <x v="0"/>
    <s v="MSR Tech Park Bangalore"/>
    <n v="61859"/>
    <n v="45341"/>
    <n v="2500"/>
    <n v="225"/>
    <n v="225"/>
    <m/>
    <n v="2950"/>
    <m/>
    <n v="2950"/>
    <m/>
    <m/>
    <s v=""/>
    <s v=""/>
  </r>
  <r>
    <n v="21"/>
    <x v="0"/>
    <d v="2026-04-15T00:00:00"/>
    <s v="KA3337/2025-26-64022"/>
    <d v="2026-03-10T00:00:00"/>
    <x v="0"/>
    <s v="KA"/>
    <x v="0"/>
    <s v="Blackstone COE India Pvt Ltd Bangalore"/>
    <n v="61930"/>
    <n v="45342"/>
    <n v="661280.69999999995"/>
    <n v="59515.262999999992"/>
    <n v="59515.262999999992"/>
    <m/>
    <n v="780311.22600000002"/>
    <n v="-0.23"/>
    <n v="780310.99600000004"/>
    <m/>
    <m/>
    <s v=""/>
    <s v=""/>
  </r>
  <r>
    <n v="22"/>
    <x v="0"/>
    <d v="2026-04-16T00:00:00"/>
    <s v="KA0154/2026-27-63016"/>
    <d v="2026-04-14T00:00:00"/>
    <x v="0"/>
    <s v="KA"/>
    <x v="0"/>
    <s v="Miracle Hospital Bangalore"/>
    <n v="61949"/>
    <n v="45343"/>
    <n v="13728"/>
    <n v="1496.52"/>
    <n v="1496.52"/>
    <m/>
    <n v="19621.04"/>
    <n v="-0.04"/>
    <n v="19621"/>
    <n v="2900"/>
    <n v="2300"/>
    <n v="600"/>
    <n v="0.2608695652173913"/>
  </r>
  <r>
    <n v="23"/>
    <x v="0"/>
    <d v="2026-04-16T00:00:00"/>
    <s v="LF-010"/>
    <d v="2026-03-21T00:00:00"/>
    <x v="1"/>
    <s v="KA"/>
    <x v="1"/>
    <s v="Lenovo Project Bangalore"/>
    <n v="61936"/>
    <n v="45344"/>
    <n v="19813.5"/>
    <n v="1783.2149999999999"/>
    <n v="1783.2149999999999"/>
    <m/>
    <n v="23379.93"/>
    <n v="7.0000000000000007E-2"/>
    <n v="23380"/>
    <m/>
    <m/>
    <s v=""/>
    <s v=""/>
  </r>
  <r>
    <n v="24"/>
    <x v="0"/>
    <d v="2026-04-16T00:00:00"/>
    <s v="LF-010"/>
    <d v="2026-03-21T00:00:00"/>
    <x v="1"/>
    <s v="KA"/>
    <x v="1"/>
    <s v="Lenovo Project Bangalore"/>
    <n v="61936"/>
    <n v="45345"/>
    <n v="17871"/>
    <n v="1608.3899999999999"/>
    <n v="1608.3899999999999"/>
    <m/>
    <n v="21087.78"/>
    <n v="0.22"/>
    <n v="21088"/>
    <m/>
    <m/>
    <s v=""/>
    <s v=""/>
  </r>
  <r>
    <n v="25"/>
    <x v="0"/>
    <d v="2026-04-17T00:00:00"/>
    <s v="MH/0014/2026-27-16025"/>
    <d v="2026-04-16T00:00:00"/>
    <x v="0"/>
    <s v="MH"/>
    <x v="0"/>
    <s v="BDR Hospital Pune"/>
    <n v="61951"/>
    <n v="45346"/>
    <n v="162790.20000000001"/>
    <m/>
    <m/>
    <n v="29302.236000000001"/>
    <n v="192092.43600000002"/>
    <n v="-0.44"/>
    <n v="192091.99600000001"/>
    <m/>
    <m/>
    <s v=""/>
    <s v=""/>
  </r>
  <r>
    <n v="26"/>
    <x v="0"/>
    <d v="2026-04-17T00:00:00"/>
    <n v="379"/>
    <d v="2026-04-10T00:00:00"/>
    <x v="4"/>
    <s v="KA"/>
    <x v="1"/>
    <s v="RV College Bangalore"/>
    <n v="61952"/>
    <n v="45347"/>
    <n v="95048"/>
    <n v="9058.32"/>
    <n v="9058.32"/>
    <m/>
    <n v="118764.64000000001"/>
    <n v="0.36"/>
    <n v="118765.00000000001"/>
    <n v="5600"/>
    <n v="4750"/>
    <n v="850"/>
    <n v="0.17894736842105263"/>
  </r>
  <r>
    <n v="27"/>
    <x v="0"/>
    <d v="2026-04-18T00:00:00"/>
    <s v="Stock Transfer"/>
    <d v="2025-09-27T00:00:00"/>
    <x v="2"/>
    <s v="HR"/>
    <x v="2"/>
    <s v="Camduct India Pvt Ltd-Haryana Branch"/>
    <n v="61768"/>
    <n v="45348"/>
    <n v="93713"/>
    <m/>
    <m/>
    <n v="16868.34"/>
    <n v="110581.34"/>
    <n v="-0.34"/>
    <n v="110581"/>
    <m/>
    <m/>
    <s v=""/>
    <s v=""/>
  </r>
  <r>
    <n v="28"/>
    <x v="0"/>
    <d v="2026-04-18T00:00:00"/>
    <s v="Stock Transfer"/>
    <d v="2025-09-27T00:00:00"/>
    <x v="2"/>
    <s v="HR"/>
    <x v="2"/>
    <s v="Camduct India Pvt Ltd-Haryana Branch"/>
    <n v="61768"/>
    <n v="45349"/>
    <n v="43008"/>
    <m/>
    <m/>
    <n v="7741.44"/>
    <n v="50749.440000000002"/>
    <n v="-0.44"/>
    <n v="50749"/>
    <m/>
    <m/>
    <s v=""/>
    <s v=""/>
  </r>
  <r>
    <n v="29"/>
    <x v="0"/>
    <d v="2026-04-20T00:00:00"/>
    <s v="KA3337/2025-26-64022"/>
    <d v="2026-03-10T00:00:00"/>
    <x v="0"/>
    <s v="KA"/>
    <x v="0"/>
    <s v="Blackstone COE India Pvt Ltd Bangalore"/>
    <n v="61930"/>
    <n v="45350"/>
    <n v="750782.4"/>
    <n v="67570.415999999997"/>
    <n v="67570.415999999997"/>
    <m/>
    <n v="885923.23199999996"/>
    <n v="-0.23"/>
    <n v="885923.00199999998"/>
    <m/>
    <m/>
    <s v=""/>
    <s v=""/>
  </r>
  <r>
    <n v="30"/>
    <x v="0"/>
    <d v="2026-04-21T00:00:00"/>
    <s v="KA0143/2026-27-72025"/>
    <d v="2026-04-13T00:00:00"/>
    <x v="0"/>
    <s v="KA"/>
    <x v="0"/>
    <s v="Loyola ITI College Bangalore"/>
    <n v="61950"/>
    <n v="45351"/>
    <n v="34917.599999999999"/>
    <n v="3619.5839999999998"/>
    <n v="3619.5839999999998"/>
    <m/>
    <n v="47456.768000000004"/>
    <n v="0.23"/>
    <n v="47456.998000000007"/>
    <n v="5300"/>
    <n v="4750"/>
    <n v="550"/>
    <n v="0.11578947368421053"/>
  </r>
  <r>
    <n v="31"/>
    <x v="0"/>
    <d v="2026-04-21T00:00:00"/>
    <s v="KA3337/2025-26-64022"/>
    <d v="2026-03-10T00:00:00"/>
    <x v="0"/>
    <s v="KA"/>
    <x v="0"/>
    <s v="Blackstone COE India Pvt Ltd Bangalore"/>
    <n v="61930"/>
    <n v="45352"/>
    <n v="704831.5"/>
    <n v="63434.834999999999"/>
    <n v="63434.834999999999"/>
    <m/>
    <n v="831701.16999999993"/>
    <n v="-0.17"/>
    <n v="831700.99999999988"/>
    <m/>
    <m/>
    <s v=""/>
    <s v=""/>
  </r>
  <r>
    <n v="32"/>
    <x v="0"/>
    <d v="2026-04-23T00:00:00"/>
    <s v="Quotation "/>
    <d v="2026-04-23T00:00:00"/>
    <x v="5"/>
    <s v="KA"/>
    <x v="3"/>
    <s v="Taj Steels"/>
    <n v="61953"/>
    <n v="45353"/>
    <n v="105000"/>
    <n v="9450"/>
    <n v="9450"/>
    <m/>
    <n v="123900"/>
    <m/>
    <n v="123900"/>
    <m/>
    <m/>
    <s v=""/>
    <s v=""/>
  </r>
  <r>
    <n v="33"/>
    <x v="0"/>
    <d v="2026-04-24T00:00:00"/>
    <s v="KA3337/2025-26-64022"/>
    <d v="2026-03-10T00:00:00"/>
    <x v="0"/>
    <s v="KA"/>
    <x v="0"/>
    <s v="Blackstone COE India Pvt Ltd Bangalore"/>
    <n v="61930"/>
    <n v="45354"/>
    <n v="623625"/>
    <n v="56126.25"/>
    <n v="56126.25"/>
    <m/>
    <n v="735877.5"/>
    <n v="0.5"/>
    <n v="735878"/>
    <m/>
    <m/>
    <s v=""/>
    <s v=""/>
  </r>
  <r>
    <n v="34"/>
    <x v="0"/>
    <d v="2026-04-24T00:00:00"/>
    <s v="Stock Transfer"/>
    <d v="2025-09-27T00:00:00"/>
    <x v="2"/>
    <s v="HR"/>
    <x v="2"/>
    <s v="Camduct India Pvt Ltd-Haryana Branch"/>
    <n v="61768"/>
    <n v="45355"/>
    <n v="75000"/>
    <m/>
    <m/>
    <n v="13500"/>
    <n v="88500"/>
    <m/>
    <n v="88500"/>
    <m/>
    <m/>
    <s v=""/>
    <s v=""/>
  </r>
  <r>
    <n v="35"/>
    <x v="0"/>
    <d v="2026-04-27T00:00:00"/>
    <s v="KA3337/2025-26-64022"/>
    <d v="2026-03-10T00:00:00"/>
    <x v="0"/>
    <s v="KA"/>
    <x v="0"/>
    <s v="Blackstone COE India Pvt Ltd Bangalore"/>
    <n v="61930"/>
    <n v="45356"/>
    <n v="752056.6"/>
    <n v="67685.093999999997"/>
    <n v="67685.093999999997"/>
    <m/>
    <n v="887426.78800000006"/>
    <n v="0.21"/>
    <n v="887426.99800000002"/>
    <m/>
    <m/>
    <s v=""/>
    <s v=""/>
  </r>
  <r>
    <n v="36"/>
    <x v="0"/>
    <d v="2026-04-29T00:00:00"/>
    <n v="1"/>
    <d v="2026-04-13T00:00:00"/>
    <x v="6"/>
    <s v="KL"/>
    <x v="1"/>
    <s v="Route Me Hilte Kozhikode Keralam"/>
    <n v="61954"/>
    <n v="45357"/>
    <n v="230255"/>
    <m/>
    <m/>
    <n v="41445.9"/>
    <n v="271700.90000000002"/>
    <n v="0.1"/>
    <n v="271701"/>
    <m/>
    <m/>
    <s v=""/>
    <s v=""/>
  </r>
  <r>
    <n v="37"/>
    <x v="0"/>
    <d v="2026-04-30T00:00:00"/>
    <s v="KA2674/2025-26-15032"/>
    <d v="2025-12-31T00:00:00"/>
    <x v="0"/>
    <s v="KA"/>
    <x v="0"/>
    <s v="MSR Tech Park Bangalore"/>
    <n v="61859"/>
    <n v="45358"/>
    <n v="224913.5"/>
    <n v="20242.215"/>
    <n v="20242.215"/>
    <m/>
    <n v="265397.93"/>
    <n v="7.0000000000000007E-2"/>
    <n v="265398"/>
    <m/>
    <m/>
    <s v=""/>
    <s v=""/>
  </r>
  <r>
    <n v="38"/>
    <x v="0"/>
    <d v="2026-04-30T00:00:00"/>
    <s v="KA0192/2026-27-15029"/>
    <d v="2026-04-17T00:00:00"/>
    <x v="0"/>
    <s v="KA"/>
    <x v="0"/>
    <s v="MAHE Lecture Hall Campus Bangalore"/>
    <n v="61955"/>
    <n v="45359"/>
    <n v="263877.3"/>
    <n v="24234.956999999999"/>
    <n v="24234.956999999999"/>
    <m/>
    <n v="317747.21399999998"/>
    <n v="-0.21"/>
    <n v="317747.00399999996"/>
    <n v="5400"/>
    <n v="4750"/>
    <n v="650"/>
    <n v="0.1368421052631579"/>
  </r>
  <r>
    <n v="39"/>
    <x v="0"/>
    <d v="2026-04-30T00:00:00"/>
    <n v="1"/>
    <d v="2026-04-13T00:00:00"/>
    <x v="6"/>
    <s v="KL"/>
    <x v="1"/>
    <s v="Manipuram Kerala"/>
    <n v="61954"/>
    <n v="45360"/>
    <n v="105636"/>
    <m/>
    <m/>
    <n v="19014.48"/>
    <n v="124650.48"/>
    <n v="-0.48"/>
    <n v="124650"/>
    <m/>
    <m/>
    <s v=""/>
    <s v=""/>
  </r>
  <r>
    <n v="40"/>
    <x v="1"/>
    <d v="2026-05-02T00:00:00"/>
    <s v="RCHVAC/PO/26-27/0153"/>
    <d v="2026-04-25T00:00:00"/>
    <x v="3"/>
    <s v="KA"/>
    <x v="1"/>
    <s v="Bhagini Hotel Bangalore"/>
    <n v="61956"/>
    <n v="45361"/>
    <n v="34256.5"/>
    <n v="3488.085"/>
    <n v="3488.085"/>
    <m/>
    <n v="45732.67"/>
    <n v="0.33"/>
    <n v="45733"/>
    <n v="4500"/>
    <n v="3250"/>
    <n v="1250"/>
    <n v="0.38461538461538464"/>
  </r>
  <r>
    <n v="41"/>
    <x v="1"/>
    <d v="2026-05-04T00:00:00"/>
    <s v="KA0282/2026-27-76105"/>
    <d v="2026-05-04T00:00:00"/>
    <x v="0"/>
    <s v="KA"/>
    <x v="0"/>
    <s v="MSR Vaishnavi Union Bangalore"/>
    <n v="61957"/>
    <n v="45362"/>
    <n v="21438"/>
    <n v="2311.92"/>
    <n v="2311.92"/>
    <m/>
    <n v="30311.839999999997"/>
    <n v="0.16"/>
    <n v="30311.999999999996"/>
    <n v="4250"/>
    <n v="3250"/>
    <n v="1000"/>
    <n v="0.30769230769230771"/>
  </r>
  <r>
    <n v="42"/>
    <x v="1"/>
    <d v="2026-05-04T00:00:00"/>
    <s v="KA0192/2026-27-15029"/>
    <d v="2026-04-17T00:00:00"/>
    <x v="0"/>
    <s v="KA"/>
    <x v="0"/>
    <s v="MAHE Lecture Hall Campus Bangalore"/>
    <n v="61955"/>
    <n v="45363"/>
    <n v="195701.8"/>
    <n v="18198.161999999997"/>
    <n v="18198.161999999997"/>
    <m/>
    <n v="238598.12400000001"/>
    <n v="-0.12"/>
    <n v="238598.00400000002"/>
    <n v="6500"/>
    <n v="4750"/>
    <n v="1750"/>
    <n v="0.36842105263157893"/>
  </r>
  <r>
    <n v="43"/>
    <x v="1"/>
    <d v="2026-05-04T00:00:00"/>
    <s v="Mail Confirmation "/>
    <d v="2026-05-04T00:00:00"/>
    <x v="7"/>
    <s v="KA"/>
    <x v="1"/>
    <s v="Shilpa Ananya Tech Park Bangalore"/>
    <n v="61958"/>
    <n v="45364"/>
    <n v="6282.5"/>
    <n v="565.42499999999995"/>
    <n v="565.42499999999995"/>
    <m/>
    <n v="7413.35"/>
    <n v="-0.35"/>
    <n v="7413"/>
    <m/>
    <m/>
    <s v=""/>
    <s v=""/>
  </r>
  <r>
    <n v="44"/>
    <x v="1"/>
    <d v="2026-05-04T00:00:00"/>
    <s v="RCHVAC/PO/25-26/5553"/>
    <d v="2026-05-26T00:00:00"/>
    <x v="3"/>
    <s v="KA"/>
    <x v="1"/>
    <s v="Creditaccess Life Insurance Ltd Blr"/>
    <n v="61935"/>
    <n v="45365"/>
    <n v="954"/>
    <n v="85.86"/>
    <n v="85.86"/>
    <m/>
    <n v="1125.7199999999998"/>
    <n v="0.28000000000000003"/>
    <n v="1125.9999999999998"/>
    <m/>
    <m/>
    <s v=""/>
    <s v=""/>
  </r>
  <r>
    <n v="45"/>
    <x v="1"/>
    <d v="2026-05-04T00:00:00"/>
    <s v="CG/0021/2025-26-16021"/>
    <d v="2025-12-04T00:00:00"/>
    <x v="0"/>
    <s v="CG"/>
    <x v="0"/>
    <s v="Ginni Devi Goel Manipal Hospital Raipur"/>
    <n v="61840"/>
    <n v="45366"/>
    <n v="653508.5"/>
    <m/>
    <m/>
    <n v="117631.53"/>
    <n v="771140.03"/>
    <n v="-0.03"/>
    <n v="771140"/>
    <m/>
    <m/>
    <s v=""/>
    <s v=""/>
  </r>
  <r>
    <n v="46"/>
    <x v="1"/>
    <d v="2026-05-05T00:00:00"/>
    <s v="KA2343/2024-25_1-15021"/>
    <d v="2024-12-04T00:00:00"/>
    <x v="0"/>
    <s v="KA "/>
    <x v="0"/>
    <s v="Vaishnavi Senate Bangalore"/>
    <n v="61434"/>
    <n v="45367"/>
    <n v="49315.8"/>
    <n v="5023.4220000000005"/>
    <n v="5023.4220000000005"/>
    <m/>
    <n v="65862.644"/>
    <n v="0.36"/>
    <n v="65863.004000000001"/>
    <n v="6500"/>
    <n v="4750"/>
    <n v="1750"/>
    <n v="0.36842105263157893"/>
  </r>
  <r>
    <n v="47"/>
    <x v="1"/>
    <d v="2026-05-07T00:00:00"/>
    <s v="KA2485/2024-25_1-15023"/>
    <d v="2024-12-14T00:00:00"/>
    <x v="0"/>
    <s v="KA "/>
    <x v="0"/>
    <s v="SAP Labs India Pvt Ltd Bangalore"/>
    <n v="61451"/>
    <n v="45368"/>
    <n v="1930.5"/>
    <n v="173.745"/>
    <n v="173.745"/>
    <m/>
    <n v="2277.9899999999998"/>
    <n v="0.01"/>
    <n v="2278"/>
    <m/>
    <m/>
    <s v=""/>
    <s v=""/>
  </r>
  <r>
    <n v="48"/>
    <x v="1"/>
    <d v="2026-05-07T00:00:00"/>
    <s v="WO-MH/0004/2026-27-16025"/>
    <d v="2026-05-04T00:00:00"/>
    <x v="0"/>
    <s v="MH"/>
    <x v="4"/>
    <s v="BDR Hospital Pune"/>
    <n v="61959"/>
    <n v="45369"/>
    <n v="4861.5"/>
    <m/>
    <m/>
    <n v="875.06999999999994"/>
    <n v="5736.57"/>
    <n v="0.43"/>
    <n v="5737"/>
    <m/>
    <m/>
    <s v=""/>
    <s v=""/>
  </r>
  <r>
    <n v="49"/>
    <x v="1"/>
    <d v="2026-05-07T00:00:00"/>
    <s v="WO-KA/0072/2026-27-15029"/>
    <d v="2026-05-04T00:00:00"/>
    <x v="0"/>
    <s v="KA"/>
    <x v="4"/>
    <s v="MAHE Lecture Hall Campus Bangalore"/>
    <n v="61960"/>
    <n v="45370"/>
    <n v="7710.5"/>
    <n v="693.94499999999994"/>
    <n v="693.94499999999994"/>
    <m/>
    <n v="9098.39"/>
    <n v="-0.39"/>
    <n v="9098"/>
    <m/>
    <m/>
    <s v=""/>
    <s v=""/>
  </r>
  <r>
    <n v="50"/>
    <x v="1"/>
    <d v="2026-05-07T00:00:00"/>
    <s v="WO-KA/0073/2026-27-15032"/>
    <d v="2026-05-04T00:00:00"/>
    <x v="0"/>
    <s v="KA"/>
    <x v="4"/>
    <s v="MSR Tech Park Bangalore"/>
    <n v="61961"/>
    <n v="45371"/>
    <n v="10811.5"/>
    <n v="973.03499999999997"/>
    <n v="973.03499999999997"/>
    <m/>
    <n v="12757.57"/>
    <n v="0.43"/>
    <n v="12758"/>
    <m/>
    <m/>
    <s v=""/>
    <s v=""/>
  </r>
  <r>
    <n v="51"/>
    <x v="1"/>
    <d v="2026-05-07T00:00:00"/>
    <s v="CH/0013/2026-27-15033"/>
    <d v="2026-05-06T00:00:00"/>
    <x v="0"/>
    <s v="CH"/>
    <x v="0"/>
    <s v="Infosys Chandigarh"/>
    <n v="61962"/>
    <n v="45372"/>
    <n v="1064420"/>
    <m/>
    <m/>
    <n v="191595.6"/>
    <n v="1256015.6000000001"/>
    <n v="0.4"/>
    <n v="1256016"/>
    <m/>
    <m/>
    <s v=""/>
    <s v=""/>
  </r>
  <r>
    <n v="52"/>
    <x v="1"/>
    <d v="2026-05-08T00:00:00"/>
    <s v="KA3337/2025-26-64022"/>
    <d v="2026-03-10T00:00:00"/>
    <x v="0"/>
    <s v="KA"/>
    <x v="0"/>
    <s v="Blackstone COE India Pvt Ltd Bangalore"/>
    <n v="61930"/>
    <n v="45373"/>
    <n v="2000"/>
    <n v="180"/>
    <n v="180"/>
    <m/>
    <n v="2360"/>
    <m/>
    <n v="2360"/>
    <m/>
    <m/>
    <s v=""/>
    <s v=""/>
  </r>
  <r>
    <n v="53"/>
    <x v="1"/>
    <d v="2026-05-09T00:00:00"/>
    <s v="KA0352/2026-27-76126"/>
    <d v="2026-05-09T00:00:00"/>
    <x v="0"/>
    <s v="KA"/>
    <x v="0"/>
    <s v="BMJH Jain Hospital Bangalore"/>
    <n v="61963"/>
    <n v="45374"/>
    <n v="84204.5"/>
    <n v="8118.4049999999997"/>
    <n v="8118.4049999999997"/>
    <m/>
    <n v="106441.31"/>
    <n v="-0.31"/>
    <n v="106441"/>
    <n v="6000"/>
    <n v="4750"/>
    <n v="1250"/>
    <n v="0.26315789473684209"/>
  </r>
  <r>
    <n v="54"/>
    <x v="1"/>
    <d v="2026-05-12T00:00:00"/>
    <s v="UP/0117/2025-26-16020"/>
    <d v="2025-09-15T00:00:00"/>
    <x v="0"/>
    <s v="UP"/>
    <x v="0"/>
    <s v="TCS Noida Low Side SDB-1"/>
    <n v="61762"/>
    <n v="45375"/>
    <n v="93276.4"/>
    <m/>
    <m/>
    <n v="16789.751999999997"/>
    <n v="110066.15199999999"/>
    <n v="-0.15"/>
    <n v="110066.00199999999"/>
    <m/>
    <m/>
    <s v=""/>
    <s v=""/>
  </r>
  <r>
    <n v="55"/>
    <x v="1"/>
    <d v="2026-05-13T00:00:00"/>
    <s v="KA1198/2025-26-15028"/>
    <d v="2025-08-01T00:00:00"/>
    <x v="0"/>
    <s v="KA"/>
    <x v="0"/>
    <s v="Zentech Business Park Bangalore"/>
    <n v="61704"/>
    <n v="45376"/>
    <n v="95227.5"/>
    <n v="9155.4750000000004"/>
    <n v="9155.4750000000004"/>
    <m/>
    <n v="120038.45000000001"/>
    <n v="-0.45"/>
    <n v="120038.00000000001"/>
    <n v="6500"/>
    <n v="4750"/>
    <n v="1750"/>
    <n v="0.36842105263157893"/>
  </r>
  <r>
    <n v="56"/>
    <x v="1"/>
    <d v="2026-05-13T00:00:00"/>
    <s v="CH/0013/2026-27-15033"/>
    <d v="2026-05-06T00:00:00"/>
    <x v="0"/>
    <s v="CH"/>
    <x v="0"/>
    <s v="Infosys Chandigarh"/>
    <n v="61962"/>
    <n v="45377"/>
    <n v="752905"/>
    <m/>
    <m/>
    <n v="135522.9"/>
    <n v="888427.9"/>
    <n v="0.1"/>
    <n v="888428"/>
    <m/>
    <m/>
    <s v=""/>
    <s v=""/>
  </r>
  <r>
    <n v="57"/>
    <x v="1"/>
    <d v="2026-05-13T00:00:00"/>
    <s v="Stock Transfer"/>
    <d v="2025-09-27T00:00:00"/>
    <x v="2"/>
    <s v="HR"/>
    <x v="2"/>
    <s v="Camduct India Pvt Ltd-Haryana Branch"/>
    <n v="61768"/>
    <n v="45378"/>
    <n v="512742"/>
    <m/>
    <m/>
    <n v="92293.56"/>
    <n v="605035.56000000006"/>
    <n v="0.44"/>
    <n v="605036"/>
    <m/>
    <m/>
    <s v=""/>
    <s v=""/>
  </r>
  <r>
    <n v="58"/>
    <x v="1"/>
    <d v="2206-05-14T00:00:00"/>
    <s v="KA0372/2026-27-64023"/>
    <d v="2026-05-13T00:00:00"/>
    <x v="0"/>
    <s v="KA"/>
    <x v="0"/>
    <s v="Motherhood Hospital Sarjapura"/>
    <n v="61964"/>
    <n v="45379"/>
    <n v="192161.2"/>
    <n v="17834.508000000002"/>
    <n v="17834.508000000002"/>
    <m/>
    <n v="233830.21600000001"/>
    <n v="-0.22"/>
    <n v="233829.99600000001"/>
    <n v="6000"/>
    <n v="4750"/>
    <n v="1250"/>
    <n v="0.26315789473684209"/>
  </r>
  <r>
    <n v="59"/>
    <x v="1"/>
    <d v="2026-05-15T00:00:00"/>
    <s v="KA3337/2025-26-64022"/>
    <d v="2026-03-10T00:00:00"/>
    <x v="0"/>
    <s v="KA"/>
    <x v="0"/>
    <s v="Blackstone COE India Pvt Ltd Bangalore"/>
    <n v="61930"/>
    <n v="45380"/>
    <n v="22500"/>
    <n v="2025"/>
    <n v="2025"/>
    <m/>
    <n v="26550"/>
    <m/>
    <n v="26550"/>
    <m/>
    <m/>
    <s v=""/>
    <s v=""/>
  </r>
  <r>
    <n v="60"/>
    <x v="1"/>
    <d v="2026-05-16T00:00:00"/>
    <s v="KA0376/2026-27-16014"/>
    <d v="2026-05-13T00:00:00"/>
    <x v="0"/>
    <s v="KA"/>
    <x v="0"/>
    <s v="IISC Medical School Foundation Bangalore"/>
    <n v="61965"/>
    <n v="45381"/>
    <n v="710397.8"/>
    <n v="63935.802000000003"/>
    <n v="63935.802000000003"/>
    <m/>
    <n v="838269.4040000001"/>
    <n v="-0.4"/>
    <n v="838269.00400000007"/>
    <m/>
    <m/>
    <s v=""/>
    <s v=""/>
  </r>
  <r>
    <n v="61"/>
    <x v="1"/>
    <d v="2026-05-18T00:00:00"/>
    <s v="TN/0033/2026-27-16019"/>
    <d v="2026-05-13T00:00:00"/>
    <x v="0"/>
    <s v="TN"/>
    <x v="0"/>
    <s v="AIIMS Hospital Madurai"/>
    <n v="61967"/>
    <n v="45382"/>
    <n v="534321.69999999995"/>
    <m/>
    <m/>
    <n v="96177.905999999988"/>
    <n v="630499.60599999991"/>
    <n v="0.39"/>
    <n v="630499.99599999993"/>
    <m/>
    <m/>
    <s v=""/>
    <s v=""/>
  </r>
  <r>
    <n v="62"/>
    <x v="1"/>
    <d v="2026-05-18T00:00:00"/>
    <s v="TN/0029/2026-27-64021"/>
    <d v="2026-05-07T00:00:00"/>
    <x v="0"/>
    <s v="TN"/>
    <x v="0"/>
    <s v="Motherhood Hospital Coimbatore"/>
    <n v="61966"/>
    <n v="45383"/>
    <n v="334376.59999999998"/>
    <m/>
    <m/>
    <n v="60187.787999999993"/>
    <n v="394564.38799999998"/>
    <n v="-0.39"/>
    <n v="394563.99799999996"/>
    <m/>
    <m/>
    <s v=""/>
    <s v=""/>
  </r>
  <r>
    <n v="63"/>
    <x v="1"/>
    <d v="2026-05-19T00:00:00"/>
    <s v="KA0372/2026-27-64023"/>
    <d v="2026-05-13T00:00:00"/>
    <x v="0"/>
    <s v="KA"/>
    <x v="0"/>
    <s v="Motherhood Hospital Sarjapura"/>
    <n v="61964"/>
    <n v="45384"/>
    <n v="175323.6"/>
    <n v="16364.124"/>
    <n v="16364.124"/>
    <m/>
    <n v="214551.84800000003"/>
    <n v="0.15"/>
    <n v="214551.99800000002"/>
    <n v="6500"/>
    <n v="4750"/>
    <n v="1750"/>
    <n v="0.36842105263157893"/>
  </r>
  <r>
    <n v="64"/>
    <x v="1"/>
    <d v="2026-05-19T00:00:00"/>
    <s v="KA0373/2026-27-13051"/>
    <d v="2026-05-13T00:00:00"/>
    <x v="0"/>
    <s v="KA"/>
    <x v="0"/>
    <s v="Chanakya University HB-3A Bangalore"/>
    <n v="61968"/>
    <n v="45385"/>
    <n v="135725"/>
    <n v="12800.25"/>
    <n v="12800.25"/>
    <m/>
    <n v="167825.5"/>
    <n v="0.5"/>
    <n v="167826"/>
    <n v="6500"/>
    <n v="4750"/>
    <n v="1750"/>
    <n v="0.36842105263157893"/>
  </r>
  <r>
    <n v="65"/>
    <x v="1"/>
    <d v="2026-05-20T00:00:00"/>
    <s v="KA0376/2026-27-16014"/>
    <d v="2026-05-13T00:00:00"/>
    <x v="0"/>
    <s v="KA"/>
    <x v="0"/>
    <s v="IISC Medical School Foundation Bangalore"/>
    <n v="61965"/>
    <n v="45386"/>
    <n v="588741.4"/>
    <n v="52986.726000000002"/>
    <n v="52986.726000000002"/>
    <m/>
    <n v="694714.85200000007"/>
    <n v="0.15"/>
    <n v="694715.00200000009"/>
    <m/>
    <m/>
    <s v=""/>
    <s v=""/>
  </r>
  <r>
    <n v="66"/>
    <x v="1"/>
    <d v="2026-05-21T00:00:00"/>
    <s v="KA0374/2026-27-73009"/>
    <d v="2026-05-13T00:00:00"/>
    <x v="0"/>
    <s v="KA"/>
    <x v="0"/>
    <s v="Yenepoya University Bangalore"/>
    <n v="61969"/>
    <n v="45387"/>
    <n v="32141.8"/>
    <n v="3234.7620000000002"/>
    <n v="3234.7620000000002"/>
    <m/>
    <n v="42411.324000000001"/>
    <n v="-0.32"/>
    <n v="42411.004000000001"/>
    <n v="3800"/>
    <n v="3200"/>
    <n v="600"/>
    <n v="0.1875"/>
  </r>
  <r>
    <n v="67"/>
    <x v="1"/>
    <d v="2026-05-21T00:00:00"/>
    <s v="KA0372/2026-27-64023"/>
    <d v="2026-05-13T00:00:00"/>
    <x v="0"/>
    <s v="KA"/>
    <x v="0"/>
    <s v="Motherhood Hospital Sarjapura"/>
    <n v="61964"/>
    <n v="45388"/>
    <n v="336259.7"/>
    <n v="30848.373"/>
    <n v="30848.373"/>
    <m/>
    <n v="404456.44600000005"/>
    <n v="-0.45"/>
    <n v="404455.99600000004"/>
    <n v="6500"/>
    <n v="4750"/>
    <n v="1750"/>
    <n v="0.36842105263157893"/>
  </r>
  <r>
    <n v="68"/>
    <x v="1"/>
    <d v="2026-05-21T00:00:00"/>
    <s v="KA3337/2025-26-64022"/>
    <d v="2026-03-10T00:00:00"/>
    <x v="0"/>
    <s v="KA"/>
    <x v="0"/>
    <s v="Blackstone COE India Pvt Ltd Bangalore"/>
    <n v="61930"/>
    <n v="45389"/>
    <n v="5000"/>
    <n v="450"/>
    <n v="450"/>
    <m/>
    <n v="5900"/>
    <m/>
    <n v="5900"/>
    <m/>
    <m/>
    <s v=""/>
    <s v=""/>
  </r>
  <r>
    <n v="69"/>
    <x v="1"/>
    <d v="2026-05-23T00:00:00"/>
    <s v="KA0447/2026-27-62040"/>
    <d v="2026-05-22T00:00:00"/>
    <x v="0"/>
    <s v="KA"/>
    <x v="0"/>
    <s v="Rajleela Ventures LLP Bangalore"/>
    <n v="61971"/>
    <n v="45390"/>
    <n v="14850"/>
    <n v="1651.5"/>
    <n v="1651.5"/>
    <m/>
    <n v="21653"/>
    <m/>
    <n v="21653"/>
    <n v="3500"/>
    <n v="2500"/>
    <n v="1000"/>
    <n v="0.4"/>
  </r>
  <r>
    <n v="70"/>
    <x v="1"/>
    <d v="2026-05-23T00:00:00"/>
    <s v="KA0459/2026-27-23006"/>
    <d v="2026-05-22T00:00:00"/>
    <x v="0"/>
    <s v="KA"/>
    <x v="0"/>
    <s v="Central Market Mangalore"/>
    <n v="61970"/>
    <n v="45391"/>
    <n v="80172.2"/>
    <n v="7215.4979999999996"/>
    <n v="7215.4979999999996"/>
    <m/>
    <n v="94603.195999999996"/>
    <n v="-0.2"/>
    <n v="94602.995999999999"/>
    <m/>
    <m/>
    <s v=""/>
    <s v=""/>
  </r>
  <r>
    <n v="71"/>
    <x v="1"/>
    <d v="2026-05-25T00:00:00"/>
    <s v="KA0436/2026-27-23007"/>
    <d v="2026-05-20T00:00:00"/>
    <x v="0"/>
    <s v="KA"/>
    <x v="0"/>
    <s v="Minto Hospital Bangalore"/>
    <n v="61974"/>
    <n v="45392"/>
    <n v="327881.09999999998"/>
    <n v="30094.298999999995"/>
    <n v="30094.298999999995"/>
    <m/>
    <n v="394569.69799999997"/>
    <n v="0.3"/>
    <n v="394569.99799999996"/>
    <n v="6500"/>
    <n v="4750"/>
    <n v="1750"/>
    <n v="0.36842105263157893"/>
  </r>
  <r>
    <n v="72"/>
    <x v="1"/>
    <d v="2026-05-25T00:00:00"/>
    <s v="KA0436/2026-27-23007"/>
    <d v="2026-05-20T00:00:00"/>
    <x v="0"/>
    <s v="KA"/>
    <x v="0"/>
    <s v="Minto Hospital Bangalore"/>
    <n v="61974"/>
    <n v="45393"/>
    <n v="44511.5"/>
    <n v="4303.0349999999999"/>
    <n v="4303.0349999999999"/>
    <m/>
    <n v="56417.570000000007"/>
    <n v="0.43"/>
    <n v="56418.000000000007"/>
    <n v="3300"/>
    <n v="2300"/>
    <n v="1000"/>
    <n v="0.43478260869565216"/>
  </r>
  <r>
    <n v="73"/>
    <x v="1"/>
    <d v="2026-05-25T00:00:00"/>
    <s v="KA0443/2026-27-23007"/>
    <d v="2026-05-20T00:00:00"/>
    <x v="0"/>
    <s v="KA"/>
    <x v="0"/>
    <s v="Cheluvamba Hospital Mysore"/>
    <n v="61975"/>
    <n v="45394"/>
    <n v="190654"/>
    <n v="17158.86"/>
    <n v="17158.86"/>
    <m/>
    <n v="224971.71999999997"/>
    <n v="0.28000000000000003"/>
    <n v="224971.99999999997"/>
    <m/>
    <m/>
    <s v=""/>
    <s v=""/>
  </r>
  <r>
    <n v="74"/>
    <x v="1"/>
    <d v="2026-05-26T00:00:00"/>
    <s v="KA0434/2026-27-61120"/>
    <d v="2026-05-20T00:00:00"/>
    <x v="0"/>
    <s v="KA"/>
    <x v="0"/>
    <s v="Torishima Pumps Pvt Ltd Hoskote"/>
    <n v="61973"/>
    <n v="45395"/>
    <n v="38445"/>
    <n v="3842.5499999999997"/>
    <n v="3842.5499999999997"/>
    <m/>
    <n v="50380.100000000006"/>
    <n v="-0.1"/>
    <n v="50380.000000000007"/>
    <n v="4250"/>
    <n v="3900"/>
    <n v="350"/>
    <n v="8.9743589743589744E-2"/>
  </r>
  <r>
    <n v="75"/>
    <x v="1"/>
    <d v="2026-05-26T00:00:00"/>
    <s v="TN/0033/2026-27-16019"/>
    <d v="2026-05-13T00:00:00"/>
    <x v="0"/>
    <s v="TN"/>
    <x v="0"/>
    <s v="AIIMS Hospital Madurai"/>
    <n v="61967"/>
    <n v="45396"/>
    <n v="482768.6"/>
    <m/>
    <m/>
    <n v="86898.347999999998"/>
    <n v="569666.94799999997"/>
    <n v="0.05"/>
    <n v="569666.99800000002"/>
    <m/>
    <m/>
    <s v=""/>
    <s v=""/>
  </r>
  <r>
    <n v="76"/>
    <x v="1"/>
    <d v="2026-05-28T00:00:00"/>
    <s v="CG/0021/2025-26-16021"/>
    <d v="2025-12-04T00:00:00"/>
    <x v="0"/>
    <s v="CG"/>
    <x v="0"/>
    <s v="Ginni Devi Goel Manipal Hospital Raipur"/>
    <n v="61840"/>
    <n v="45397"/>
    <n v="673553.5"/>
    <m/>
    <m/>
    <n v="121239.62999999999"/>
    <n v="794793.13"/>
    <n v="-0.13"/>
    <n v="794793"/>
    <m/>
    <m/>
    <s v=""/>
    <s v=""/>
  </r>
  <r>
    <n v="77"/>
    <x v="1"/>
    <d v="2026-05-30T00:00:00"/>
    <s v="UP/0029/2026-27-16018"/>
    <d v="2026-05-20T00:00:00"/>
    <x v="0"/>
    <s v="UP"/>
    <x v="0"/>
    <s v="Infosys Noida SDB-1"/>
    <n v="61972"/>
    <n v="45398"/>
    <n v="294843.59999999998"/>
    <m/>
    <m/>
    <n v="53071.847999999991"/>
    <n v="347915.44799999997"/>
    <n v="-0.45"/>
    <n v="347914.99799999996"/>
    <m/>
    <m/>
    <s v=""/>
    <s v=""/>
  </r>
  <r>
    <n v="78"/>
    <x v="1"/>
    <d v="2026-05-30T00:00:00"/>
    <s v="Stock Transfer"/>
    <d v="2025-09-27T00:00:00"/>
    <x v="2"/>
    <s v="HR"/>
    <x v="2"/>
    <s v="Camduct India Pvt Ltd-Haryana Branch"/>
    <n v="61768"/>
    <n v="45399"/>
    <n v="43600"/>
    <m/>
    <m/>
    <n v="7848"/>
    <n v="51448"/>
    <m/>
    <n v="51448"/>
    <m/>
    <m/>
    <s v=""/>
    <s v=""/>
  </r>
  <r>
    <n v="79"/>
    <x v="2"/>
    <d v="2026-06-01T00:00:00"/>
    <s v="KA0566/2026-27-13050"/>
    <d v="2026-06-01T00:00:00"/>
    <x v="0"/>
    <s v="KA"/>
    <x v="0"/>
    <s v="MAHE Hostel block-5 Bangalore"/>
    <n v="61977"/>
    <n v="45400"/>
    <n v="189720"/>
    <n v="17704.8"/>
    <n v="17704.8"/>
    <m/>
    <n v="232129.59999999998"/>
    <n v="0.4"/>
    <n v="232129.99999999997"/>
    <n v="7000"/>
    <n v="6150"/>
    <n v="850"/>
    <n v="0.13821138211382114"/>
  </r>
  <r>
    <n v="80"/>
    <x v="2"/>
    <d v="2026-06-01T00:00:00"/>
    <s v="RJ/0035/2026-27-11305"/>
    <d v="2026-05-26T00:00:00"/>
    <x v="0"/>
    <s v="RJ"/>
    <x v="0"/>
    <s v="Manipal Health Enterprises Pvt Ltd Jaipur"/>
    <n v="61978"/>
    <n v="45401"/>
    <n v="100859.3"/>
    <m/>
    <m/>
    <n v="18154.673999999999"/>
    <n v="119013.974"/>
    <n v="0.03"/>
    <n v="119014.004"/>
    <m/>
    <m/>
    <s v=""/>
    <s v=""/>
  </r>
  <r>
    <n v="81"/>
    <x v="2"/>
    <d v="2026-06-01T00:00:00"/>
    <s v="KA0536/2026-27-16014"/>
    <d v="2026-05-29T00:00:00"/>
    <x v="0"/>
    <s v="KA"/>
    <x v="0"/>
    <s v="IISC Medical School Foundation Bangalore"/>
    <n v="61976"/>
    <n v="45402"/>
    <n v="547790"/>
    <n v="49301.1"/>
    <n v="49301.1"/>
    <m/>
    <n v="646392.19999999995"/>
    <n v="-0.2"/>
    <n v="646392"/>
    <m/>
    <m/>
    <s v=""/>
    <s v=""/>
  </r>
  <r>
    <n v="82"/>
    <x v="2"/>
    <d v="2026-06-02T00:00:00"/>
    <s v="KA0436/2026-27-23007"/>
    <d v="2026-05-20T00:00:00"/>
    <x v="0"/>
    <s v="KA"/>
    <x v="0"/>
    <s v="Minto Hospital Bangalore"/>
    <n v="61974"/>
    <n v="45403"/>
    <n v="27348"/>
    <n v="2461.3199999999997"/>
    <n v="2461.3199999999997"/>
    <m/>
    <n v="32270.639999999999"/>
    <n v="0.36"/>
    <n v="32271"/>
    <m/>
    <m/>
    <s v=""/>
    <s v=""/>
  </r>
  <r>
    <n v="83"/>
    <x v="2"/>
    <d v="2026-06-03T00:00:00"/>
    <s v="KA0536/2026-27-16014"/>
    <d v="2026-05-29T00:00:00"/>
    <x v="0"/>
    <s v="KA"/>
    <x v="0"/>
    <s v="IISC Medical School Foundation Bangalore"/>
    <n v="61976"/>
    <n v="45404"/>
    <n v="137585"/>
    <n v="12967.65"/>
    <n v="12967.65"/>
    <m/>
    <n v="170020.3"/>
    <n v="-0.3"/>
    <n v="170020"/>
    <n v="6500"/>
    <n v="5650"/>
    <n v="850"/>
    <n v="0.15044247787610621"/>
  </r>
  <r>
    <n v="84"/>
    <x v="2"/>
    <d v="2026-06-03T00:00:00"/>
    <s v="KA0537/2026-27-64022"/>
    <d v="2026-05-29T00:00:00"/>
    <x v="0"/>
    <s v="KA"/>
    <x v="0"/>
    <s v="Blackstone COE India Pvt Ltd Bangalore"/>
    <n v="61988"/>
    <n v="45405"/>
    <n v="291225"/>
    <n v="26795.25"/>
    <n v="26795.25"/>
    <m/>
    <n v="351315.5"/>
    <n v="0.5"/>
    <n v="351316"/>
    <n v="6500"/>
    <n v="5650"/>
    <n v="850"/>
    <n v="0.15044247787610621"/>
  </r>
  <r>
    <n v="85"/>
    <x v="2"/>
    <d v="2026-06-04T00:00:00"/>
    <s v="WO-KA/0151/2026-27-15029"/>
    <d v="2026-06-02T00:00:00"/>
    <x v="0"/>
    <s v="KA"/>
    <x v="4"/>
    <s v="MAHE Lecture Hall Campus Bangalore"/>
    <n v="61979"/>
    <n v="45406"/>
    <n v="5785.5"/>
    <n v="520.69499999999994"/>
    <n v="520.69499999999994"/>
    <m/>
    <n v="6826.8899999999994"/>
    <n v="0.11"/>
    <n v="6826.9999999999991"/>
    <m/>
    <m/>
    <s v=""/>
    <s v=""/>
  </r>
  <r>
    <n v="86"/>
    <x v="2"/>
    <d v="2026-06-04T00:00:00"/>
    <s v="WO-KA/0152/2026-27-16014"/>
    <d v="2026-06-02T00:00:00"/>
    <x v="0"/>
    <s v="KA"/>
    <x v="4"/>
    <s v="IISC Medical School Foundation Bangalore"/>
    <n v="61980"/>
    <n v="45407"/>
    <n v="37996"/>
    <n v="3419.64"/>
    <n v="3419.64"/>
    <m/>
    <n v="44835.28"/>
    <n v="-0.28000000000000003"/>
    <n v="44835"/>
    <m/>
    <m/>
    <s v=""/>
    <s v=""/>
  </r>
  <r>
    <n v="87"/>
    <x v="2"/>
    <d v="2026-06-04T00:00:00"/>
    <s v="WO-KA/0153/2026-27-64023"/>
    <d v="2026-06-02T00:00:00"/>
    <x v="0"/>
    <s v="KA"/>
    <x v="4"/>
    <s v="Motherhood Hospital Sarjapura"/>
    <n v="61981"/>
    <n v="45408"/>
    <n v="21255.5"/>
    <n v="1912.9949999999999"/>
    <n v="1912.9949999999999"/>
    <m/>
    <n v="25081.489999999998"/>
    <n v="0.51"/>
    <n v="25081.999999999996"/>
    <m/>
    <m/>
    <s v=""/>
    <s v=""/>
  </r>
  <r>
    <n v="88"/>
    <x v="2"/>
    <d v="2026-06-04T00:00:00"/>
    <s v="WO-KA/0154/2026-27-13051"/>
    <d v="2026-06-02T00:00:00"/>
    <x v="0"/>
    <s v="KA"/>
    <x v="4"/>
    <s v="Chanakya University HB-3A Bangalore"/>
    <n v="61982"/>
    <n v="45409"/>
    <n v="4760"/>
    <n v="428.4"/>
    <n v="428.4"/>
    <m/>
    <n v="5616.7999999999993"/>
    <n v="0.2"/>
    <n v="5616.9999999999991"/>
    <m/>
    <m/>
    <s v=""/>
    <s v=""/>
  </r>
  <r>
    <n v="89"/>
    <x v="2"/>
    <d v="2026-06-04T00:00:00"/>
    <s v="WO-KA/0155/2026-27-23006"/>
    <d v="2026-06-02T00:00:00"/>
    <x v="0"/>
    <s v="KA"/>
    <x v="4"/>
    <s v="Central Market Mangalore"/>
    <n v="61983"/>
    <n v="45410"/>
    <n v="3269"/>
    <n v="294.20999999999998"/>
    <n v="294.20999999999998"/>
    <m/>
    <n v="3857.42"/>
    <n v="-0.42"/>
    <n v="3857"/>
    <m/>
    <m/>
    <s v=""/>
    <s v=""/>
  </r>
  <r>
    <n v="90"/>
    <x v="2"/>
    <d v="2026-06-04T00:00:00"/>
    <s v="WO-KA/0156/2026-27-23007"/>
    <d v="2026-06-02T00:00:00"/>
    <x v="0"/>
    <s v="KA"/>
    <x v="4"/>
    <s v="Minto Hospital Bangalore"/>
    <n v="61984"/>
    <n v="45411"/>
    <n v="9821"/>
    <n v="883.89"/>
    <n v="883.89"/>
    <m/>
    <n v="11588.779999999999"/>
    <n v="0.22"/>
    <n v="11588.999999999998"/>
    <m/>
    <m/>
    <s v=""/>
    <s v=""/>
  </r>
  <r>
    <n v="91"/>
    <x v="2"/>
    <d v="2026-06-04T00:00:00"/>
    <s v="WO-TN/0004/2026-27-16019"/>
    <d v="2026-06-02T00:00:00"/>
    <x v="0"/>
    <s v="TN"/>
    <x v="4"/>
    <s v="AIIMS Hospital Madurai"/>
    <n v="61985"/>
    <n v="45412"/>
    <n v="21948.5"/>
    <m/>
    <m/>
    <n v="3950.73"/>
    <n v="25899.23"/>
    <n v="-0.23"/>
    <n v="25899"/>
    <m/>
    <m/>
    <s v=""/>
    <s v=""/>
  </r>
  <r>
    <n v="92"/>
    <x v="2"/>
    <d v="2026-06-04T00:00:00"/>
    <s v="WO-TN/0005/2026-27-64021"/>
    <d v="2026-06-02T00:00:00"/>
    <x v="0"/>
    <s v="TN"/>
    <x v="4"/>
    <s v="Motherhood Hospital Coimbatore"/>
    <n v="61986"/>
    <n v="45413"/>
    <n v="11294.5"/>
    <m/>
    <m/>
    <n v="2033.01"/>
    <n v="13327.51"/>
    <n v="0.49"/>
    <n v="13328"/>
    <m/>
    <m/>
    <s v=""/>
    <s v=""/>
  </r>
  <r>
    <n v="93"/>
    <x v="2"/>
    <d v="2026-06-04T00:00:00"/>
    <s v="WO-UP/0012/2026-27-16018"/>
    <d v="2026-06-02T00:00:00"/>
    <x v="0"/>
    <s v="UP"/>
    <x v="4"/>
    <s v="Infosys Noida SDB-1"/>
    <n v="61987"/>
    <n v="45414"/>
    <n v="8515.5"/>
    <m/>
    <m/>
    <n v="1532.79"/>
    <n v="10048.290000000001"/>
    <n v="-0.28999999999999998"/>
    <n v="10048"/>
    <m/>
    <m/>
    <s v=""/>
    <s v=""/>
  </r>
  <r>
    <n v="94"/>
    <x v="2"/>
    <d v="2026-06-05T00:00:00"/>
    <s v="KA0583/2026-27-16008"/>
    <d v="2026-06-02T00:00:00"/>
    <x v="0"/>
    <s v="KA"/>
    <x v="0"/>
    <s v="Schneider Electric Bangalore"/>
    <n v="61989"/>
    <n v="45415"/>
    <n v="130381"/>
    <n v="11734.289999999999"/>
    <n v="11734.289999999999"/>
    <m/>
    <n v="153849.58000000002"/>
    <n v="0.42"/>
    <n v="153850.00000000003"/>
    <m/>
    <m/>
    <s v=""/>
    <s v=""/>
  </r>
  <r>
    <n v="95"/>
    <x v="2"/>
    <d v="2026-06-05T00:00:00"/>
    <s v="KA0584/2026-27-23007"/>
    <d v="2026-06-02T00:00:00"/>
    <x v="0"/>
    <s v="KA"/>
    <x v="0"/>
    <s v="Sanjay Gandhi Hospital Bangalore"/>
    <n v="61990"/>
    <n v="45416"/>
    <n v="255986.4"/>
    <n v="23623.776000000002"/>
    <n v="23623.776000000002"/>
    <m/>
    <n v="309733.95199999999"/>
    <n v="0.05"/>
    <n v="309734.00199999998"/>
    <n v="6500"/>
    <n v="5650"/>
    <n v="850"/>
    <n v="0.15044247787610621"/>
  </r>
  <r>
    <n v="96"/>
    <x v="2"/>
    <d v="2026-06-05T00:00:00"/>
    <s v="KA3337/2025-26-64022"/>
    <d v="2026-03-10T00:00:00"/>
    <x v="0"/>
    <s v="KA"/>
    <x v="0"/>
    <s v="Blackstone COE India Pvt Ltd Bangalore"/>
    <n v="61930"/>
    <n v="45417"/>
    <n v="161807.1"/>
    <n v="15147.638999999999"/>
    <n v="15147.638999999999"/>
    <m/>
    <n v="198602.378"/>
    <n v="-0.38"/>
    <n v="198601.99799999999"/>
    <n v="6500"/>
    <n v="5650"/>
    <n v="850"/>
    <n v="0.15044247787610621"/>
  </r>
  <r>
    <n v="97"/>
    <x v="2"/>
    <d v="2026-06-05T00:00:00"/>
    <s v="KA0537/2026-27-64022"/>
    <d v="2026-05-29T00:00:00"/>
    <x v="0"/>
    <s v="KA"/>
    <x v="0"/>
    <s v="Blackstone COE India Pvt Ltd Bangalore"/>
    <n v="61988"/>
    <n v="45418"/>
    <n v="210545"/>
    <n v="18949.05"/>
    <n v="18949.05"/>
    <m/>
    <n v="248443.09999999998"/>
    <n v="-0.1"/>
    <n v="248442.99999999997"/>
    <m/>
    <m/>
    <s v=""/>
    <s v=""/>
  </r>
  <r>
    <n v="98"/>
    <x v="2"/>
    <d v="2026-06-05T00:00:00"/>
    <s v="KA0535/2026-27-23007"/>
    <d v="2026-05-29T00:00:00"/>
    <x v="0"/>
    <s v="KA"/>
    <x v="0"/>
    <s v="Mallegowda District Hospital Chikkamagaluru"/>
    <n v="61991"/>
    <n v="45419"/>
    <n v="331727.59999999998"/>
    <n v="29855.483999999997"/>
    <n v="29855.483999999997"/>
    <m/>
    <n v="391438.56799999997"/>
    <n v="0.43"/>
    <n v="391438.99799999996"/>
    <m/>
    <m/>
    <s v=""/>
    <s v=""/>
  </r>
  <r>
    <n v="99"/>
    <x v="2"/>
    <d v="2026-06-06T00:00:00"/>
    <s v="KA0566/2026-27-13050"/>
    <d v="2026-06-01T00:00:00"/>
    <x v="0"/>
    <s v="KA"/>
    <x v="0"/>
    <s v="MAHE Hostel block-5 Bangalore"/>
    <n v="61977"/>
    <n v="45420"/>
    <n v="181267"/>
    <n v="16944.03"/>
    <n v="16944.03"/>
    <m/>
    <n v="222155.06"/>
    <n v="-0.06"/>
    <n v="222155"/>
    <n v="7000"/>
    <n v="6150"/>
    <n v="850"/>
    <n v="0.13821138211382114"/>
  </r>
  <r>
    <n v="100"/>
    <x v="2"/>
    <d v="2026-06-06T00:00:00"/>
    <s v="KA0619/2026-27-12034"/>
    <d v="2026-06-05T00:00:00"/>
    <x v="0"/>
    <s v="KA"/>
    <x v="0"/>
    <s v="MAHE Hostel block-5 Bangalore"/>
    <n v="61992"/>
    <n v="45421"/>
    <n v="184027.4"/>
    <n v="16562.466"/>
    <n v="16562.466"/>
    <m/>
    <n v="217152.33199999999"/>
    <n v="-0.33"/>
    <n v="217152.00200000001"/>
    <m/>
    <m/>
    <s v=""/>
    <s v=""/>
  </r>
  <r>
    <n v="101"/>
    <x v="2"/>
    <d v="2026-06-08T00:00:00"/>
    <s v="KA0619/2026-27-12034"/>
    <d v="2026-06-05T00:00:00"/>
    <x v="0"/>
    <s v="KA"/>
    <x v="0"/>
    <s v="MAHE Hostel block-5 Bangalore"/>
    <n v="61992"/>
    <n v="45422"/>
    <n v="169528"/>
    <n v="15887.519999999999"/>
    <n v="15887.519999999999"/>
    <m/>
    <n v="208303.03999999998"/>
    <n v="-0.04"/>
    <n v="208302.99999999997"/>
    <n v="7000"/>
    <n v="6150"/>
    <n v="850"/>
    <n v="0.13821138211382114"/>
  </r>
  <r>
    <n v="102"/>
    <x v="2"/>
    <d v="2026-06-08T00:00:00"/>
    <s v="KA0537/2026-27-64022"/>
    <d v="2026-05-29T00:00:00"/>
    <x v="0"/>
    <s v="KA"/>
    <x v="0"/>
    <s v="Blackstone COE India Pvt Ltd Bangalore"/>
    <n v="61988"/>
    <n v="45423"/>
    <n v="272630"/>
    <n v="25121.7"/>
    <n v="25121.7"/>
    <m/>
    <n v="329373.40000000002"/>
    <n v="-0.4"/>
    <n v="329373"/>
    <n v="6500"/>
    <n v="5650"/>
    <n v="850"/>
    <n v="0.15044247787610621"/>
  </r>
  <r>
    <n v="103"/>
    <x v="2"/>
    <d v="2026-06-08T00:00:00"/>
    <s v="Mail Confirmation "/>
    <d v="2025-12-17T00:00:00"/>
    <x v="6"/>
    <s v="KL"/>
    <x v="1"/>
    <s v="Thalasseri Hotel &amp; Kannur Kerala "/>
    <n v="61849"/>
    <n v="45424"/>
    <n v="41597.5"/>
    <m/>
    <m/>
    <n v="7487.5499999999993"/>
    <n v="49085.05"/>
    <n v="0.95"/>
    <n v="49086"/>
    <m/>
    <m/>
    <s v=""/>
    <s v=""/>
  </r>
  <r>
    <n v="104"/>
    <x v="2"/>
    <d v="2026-06-09T00:00:00"/>
    <s v="KA0537/2026-27-64022"/>
    <d v="2026-05-29T00:00:00"/>
    <x v="0"/>
    <s v="KA"/>
    <x v="0"/>
    <s v="Blackstone COE India Pvt Ltd Bangalore"/>
    <n v="61988"/>
    <n v="45425"/>
    <n v="519150"/>
    <n v="46723.5"/>
    <n v="46723.5"/>
    <m/>
    <n v="612597"/>
    <m/>
    <n v="612597"/>
    <m/>
    <m/>
    <s v=""/>
    <s v=""/>
  </r>
  <r>
    <n v="105"/>
    <x v="2"/>
    <d v="2026-06-10T00:00:00"/>
    <s v="KA0620/2026-27-13042"/>
    <d v="2026-06-06T00:00:00"/>
    <x v="0"/>
    <s v="KA"/>
    <x v="0"/>
    <s v="Infosys Bangalore B-3,4&amp;5"/>
    <n v="61993"/>
    <n v="45426"/>
    <n v="202055"/>
    <n v="18769.95"/>
    <n v="18769.95"/>
    <m/>
    <n v="246094.90000000002"/>
    <n v="0.1"/>
    <n v="246095.00000000003"/>
    <n v="6500"/>
    <n v="5650"/>
    <n v="850"/>
    <n v="0.15044247787610621"/>
  </r>
  <r>
    <n v="106"/>
    <x v="2"/>
    <d v="2026-06-11T00:00:00"/>
    <s v="KA3138/2025-26-23005"/>
    <d v="2026-02-16T00:00:00"/>
    <x v="0"/>
    <s v="KA"/>
    <x v="0"/>
    <s v="Rajeev Gandhi Hospital Bangalore"/>
    <n v="61928"/>
    <n v="45427"/>
    <n v="54818.7"/>
    <n v="5230.683"/>
    <n v="5230.683"/>
    <m/>
    <n v="68580.065999999992"/>
    <n v="-7.0000000000000007E-2"/>
    <n v="68579.995999999985"/>
    <n v="3300"/>
    <n v="2800"/>
    <n v="500"/>
    <n v="0.17857142857142858"/>
  </r>
  <r>
    <n v="107"/>
    <x v="2"/>
    <d v="2026-06-11T00:00:00"/>
    <s v="Offer Confirmatiion/CD/0012/2026-27"/>
    <d v="2026-06-10T00:00:00"/>
    <x v="8"/>
    <s v="KA"/>
    <x v="1"/>
    <s v="Gold Hill Excelsior Bangalore"/>
    <n v="61995"/>
    <n v="45428"/>
    <n v="16157.6"/>
    <n v="1616.1839999999997"/>
    <n v="1616.1839999999997"/>
    <m/>
    <n v="21189.968000000001"/>
    <n v="0.03"/>
    <n v="21189.998"/>
    <n v="1800"/>
    <n v="1600"/>
    <n v="200"/>
    <n v="0.125"/>
  </r>
  <r>
    <n v="108"/>
    <x v="2"/>
    <d v="2026-06-11T00:00:00"/>
    <s v="KA0582/2026-27-15028"/>
    <d v="2026-06-02T00:00:00"/>
    <x v="0"/>
    <s v="KA"/>
    <x v="0"/>
    <s v="Zentech Business Park Bangalore"/>
    <n v="61994"/>
    <n v="45429"/>
    <n v="311148"/>
    <n v="28003.32"/>
    <n v="28003.32"/>
    <m/>
    <n v="367154.64"/>
    <n v="0.36"/>
    <n v="367155"/>
    <m/>
    <m/>
    <s v=""/>
    <s v=""/>
  </r>
  <r>
    <n v="109"/>
    <x v="2"/>
    <d v="2026-06-12T00:00:00"/>
    <s v="KA3337/2025-26_1-64022"/>
    <d v="2026-03-10T00:00:00"/>
    <x v="0"/>
    <s v="KA"/>
    <x v="0"/>
    <s v="Blackstone COE India Pvt Ltd Bangalore"/>
    <n v="61930"/>
    <n v="45430"/>
    <n v="70145"/>
    <n v="6695.55"/>
    <n v="6695.55"/>
    <m/>
    <n v="87786.1"/>
    <n v="-0.1"/>
    <n v="87786"/>
    <n v="4250"/>
    <n v="3750"/>
    <n v="500"/>
    <n v="0.13333333333333333"/>
  </r>
  <r>
    <n v="110"/>
    <x v="2"/>
    <d v="2026-06-12T00:00:00"/>
    <s v="TS/0157/2026-27-16012"/>
    <d v="2026-06-05T00:00:00"/>
    <x v="0"/>
    <s v="TS"/>
    <x v="0"/>
    <s v="Infosys SDB-8 Hyderabad"/>
    <n v="61996"/>
    <n v="45431"/>
    <n v="22360"/>
    <m/>
    <m/>
    <n v="4024.7999999999997"/>
    <n v="26384.799999999999"/>
    <n v="0.2"/>
    <n v="26385"/>
    <m/>
    <m/>
    <s v=""/>
    <s v=""/>
  </r>
  <r>
    <n v="111"/>
    <x v="2"/>
    <d v="2026-06-13T00:00:00"/>
    <s v="KA0192/2026-27-15029"/>
    <d v="2026-04-17T00:00:00"/>
    <x v="0"/>
    <s v="KA"/>
    <x v="0"/>
    <s v="MAHE Lecture Hall Campus Bangalore"/>
    <n v="61955"/>
    <n v="45432"/>
    <n v="317112.8"/>
    <n v="29170.151999999998"/>
    <n v="29170.151999999998"/>
    <m/>
    <n v="382453.10399999999"/>
    <n v="-0.1"/>
    <n v="382453.00400000002"/>
    <n v="7000"/>
    <n v="6150"/>
    <n v="850"/>
    <n v="0.13821138211382114"/>
  </r>
  <r>
    <n v="112"/>
    <x v="2"/>
    <d v="2026-06-13T00:00:00"/>
    <s v="KA0192/2026-27-15029"/>
    <d v="2026-04-17T00:00:00"/>
    <x v="0"/>
    <s v="KA"/>
    <x v="0"/>
    <s v="MAHE Lecture Hall Campus Bangalore"/>
    <n v="61955"/>
    <n v="45433"/>
    <n v="53941.4"/>
    <n v="5439.7259999999997"/>
    <n v="5439.7259999999997"/>
    <m/>
    <n v="71320.852000000014"/>
    <n v="0.15"/>
    <n v="71321.002000000008"/>
    <n v="6500"/>
    <n v="5650"/>
    <n v="850"/>
    <n v="0.15044247787610621"/>
  </r>
  <r>
    <n v="113"/>
    <x v="2"/>
    <d v="2026-06-13T00:00:00"/>
    <s v="MH/0032/2026-27-16025"/>
    <d v="2026-06-12T00:00:00"/>
    <x v="0"/>
    <s v="MH"/>
    <x v="0"/>
    <s v="BDR Hospital Pune"/>
    <n v="61997"/>
    <n v="45434"/>
    <n v="184810.8"/>
    <m/>
    <m/>
    <n v="33265.943999999996"/>
    <n v="218076.74399999998"/>
    <n v="0.26"/>
    <n v="218077.00399999999"/>
    <m/>
    <m/>
    <s v=""/>
    <s v=""/>
  </r>
  <r>
    <n v="114"/>
    <x v="2"/>
    <d v="2026-06-13T00:00:00"/>
    <s v="KA0376/2026-27-16014"/>
    <d v="2026-05-13T00:00:00"/>
    <x v="0"/>
    <s v="KA"/>
    <x v="0"/>
    <s v="IISC Medical School Foundation Bangalore"/>
    <n v="61965"/>
    <n v="45435"/>
    <n v="373845.2"/>
    <n v="33646.067999999999"/>
    <n v="33646.067999999999"/>
    <m/>
    <n v="441137.33600000001"/>
    <n v="-0.34"/>
    <n v="441136.99599999998"/>
    <m/>
    <m/>
    <s v=""/>
    <s v=""/>
  </r>
  <r>
    <n v="115"/>
    <x v="2"/>
    <d v="2026-06-14T00:00:00"/>
    <s v="KA0376/2026-27-16014"/>
    <d v="2026-05-13T00:00:00"/>
    <x v="0"/>
    <s v="KA"/>
    <x v="0"/>
    <s v="IISC Medical School Foundation Bangalore"/>
    <n v="61965"/>
    <n v="45436"/>
    <n v="340935.5"/>
    <n v="30684.195"/>
    <n v="30684.195"/>
    <m/>
    <n v="402303.89"/>
    <n v="0.11"/>
    <n v="402304"/>
    <m/>
    <m/>
    <s v=""/>
    <s v=""/>
  </r>
  <r>
    <n v="116"/>
    <x v="2"/>
    <d v="2026-06-16T00:00:00"/>
    <s v="MH/0032/2026-27-16025"/>
    <d v="2026-06-12T00:00:00"/>
    <x v="0"/>
    <s v="MH"/>
    <x v="0"/>
    <s v="BDR Hospital Pune"/>
    <n v="61997"/>
    <n v="45437"/>
    <n v="904741.6"/>
    <m/>
    <m/>
    <n v="162853.48799999998"/>
    <n v="1067595.088"/>
    <n v="-0.09"/>
    <n v="1067594.9979999999"/>
    <m/>
    <m/>
    <s v=""/>
    <s v=""/>
  </r>
  <r>
    <n v="117"/>
    <x v="2"/>
    <d v="2026-06-17T00:00:00"/>
    <s v="TN/0033/2026-27_1-16019"/>
    <d v="2026-05-13T00:00:00"/>
    <x v="0"/>
    <s v="TN"/>
    <x v="0"/>
    <s v="AIIMS Hospital Madurai"/>
    <n v="61967"/>
    <n v="45438"/>
    <n v="389187.3"/>
    <m/>
    <m/>
    <n v="70053.713999999993"/>
    <n v="459241.01399999997"/>
    <n v="-0.01"/>
    <n v="459241.00399999996"/>
    <m/>
    <m/>
    <s v=""/>
    <s v=""/>
  </r>
  <r>
    <n v="118"/>
    <x v="2"/>
    <d v="2026-06-17T00:00:00"/>
    <s v="KA0537/2026-27-64022"/>
    <d v="2026-05-29T00:00:00"/>
    <x v="0"/>
    <s v="KA"/>
    <x v="0"/>
    <s v="Blackstone COE India Pvt Ltd Bangalore"/>
    <n v="61988"/>
    <n v="45439"/>
    <n v="37125"/>
    <n v="3638.25"/>
    <n v="3638.25"/>
    <m/>
    <n v="47701.5"/>
    <n v="0.5"/>
    <n v="47702"/>
    <n v="3300"/>
    <n v="2800"/>
    <n v="500"/>
    <n v="0.17857142857142858"/>
  </r>
  <r>
    <n v="119"/>
    <x v="2"/>
    <d v="2026-06-18T00:00:00"/>
    <s v="KA0537/2026-27-64022"/>
    <d v="2026-05-29T00:00:00"/>
    <x v="0"/>
    <s v="KA"/>
    <x v="0"/>
    <s v="Blackstone COE India Pvt Ltd Bangalore"/>
    <n v="61988"/>
    <n v="45440"/>
    <n v="309825"/>
    <n v="28469.25"/>
    <n v="28469.25"/>
    <m/>
    <n v="373263.5"/>
    <n v="0.5"/>
    <n v="373264"/>
    <n v="6500"/>
    <n v="5650"/>
    <n v="850"/>
    <n v="0.15044247787610621"/>
  </r>
  <r>
    <n v="120"/>
    <x v="2"/>
    <d v="2026-06-19T00:00:00"/>
    <s v="UP/0060/2026-27-16018"/>
    <d v="2026-06-18T00:00:00"/>
    <x v="0"/>
    <s v="UP"/>
    <x v="0"/>
    <s v="Infosys Noida SDB-1"/>
    <n v="61998"/>
    <n v="45441"/>
    <n v="278600"/>
    <m/>
    <m/>
    <n v="50148"/>
    <n v="328748"/>
    <m/>
    <n v="328748"/>
    <m/>
    <m/>
    <s v=""/>
    <s v=""/>
  </r>
  <r>
    <n v="121"/>
    <x v="2"/>
    <d v="2026-06-19T00:00:00"/>
    <s v="Stock Transfer"/>
    <d v="2025-09-27T00:00:00"/>
    <x v="2"/>
    <s v="HR"/>
    <x v="2"/>
    <s v="Camduct India Pvt Ltd-Haryana Branch"/>
    <n v="61768"/>
    <n v="45442"/>
    <n v="250600"/>
    <m/>
    <m/>
    <n v="45108"/>
    <n v="295708"/>
    <m/>
    <n v="295708"/>
    <m/>
    <m/>
    <s v=""/>
    <s v=""/>
  </r>
  <r>
    <n v="122"/>
    <x v="2"/>
    <d v="2026-06-19T00:00:00"/>
    <s v="Stock Transfer"/>
    <d v="2025-09-27T00:00:00"/>
    <x v="2"/>
    <s v="HR"/>
    <x v="2"/>
    <s v="Camduct India Pvt Ltd-Haryana Branch"/>
    <n v="61768"/>
    <n v="45443"/>
    <n v="43500"/>
    <m/>
    <m/>
    <n v="7830"/>
    <n v="51330"/>
    <m/>
    <n v="51330"/>
    <m/>
    <m/>
    <s v=""/>
    <s v=""/>
  </r>
  <r>
    <n v="123"/>
    <x v="2"/>
    <d v="2026-06-20T00:00:00"/>
    <s v="KA3337/2025-26_1-64022"/>
    <d v="2026-03-10T00:00:00"/>
    <x v="0"/>
    <s v="KA"/>
    <x v="0"/>
    <s v="Blackstone COE India Pvt Ltd Bangalore"/>
    <n v="61930"/>
    <n v="45444"/>
    <n v="18519"/>
    <n v="1846.71"/>
    <n v="1846.71"/>
    <m/>
    <n v="24212.42"/>
    <n v="-0.42"/>
    <n v="24212"/>
    <n v="2000"/>
    <n v="1090"/>
    <n v="910"/>
    <n v="0.83486238532110091"/>
  </r>
  <r>
    <n v="124"/>
    <x v="2"/>
    <d v="2026-06-22T00:00:00"/>
    <s v="KA0373/2026-27-13051"/>
    <d v="2026-05-13T00:00:00"/>
    <x v="0"/>
    <s v="KA"/>
    <x v="0"/>
    <s v="Chanakya University HB-3A Bangalore"/>
    <n v="61968"/>
    <n v="45445"/>
    <n v="328941"/>
    <n v="30189.69"/>
    <n v="30189.69"/>
    <m/>
    <n v="395820.38"/>
    <n v="-0.38"/>
    <n v="395820"/>
    <n v="6500"/>
    <n v="5650"/>
    <n v="850"/>
    <n v="0.15044247787610621"/>
  </r>
  <r>
    <n v="125"/>
    <x v="2"/>
    <d v="2026-06-22T00:00:00"/>
    <s v="KA0536/2026-27_1-16014"/>
    <d v="2026-05-29T00:00:00"/>
    <x v="0"/>
    <s v="KA"/>
    <x v="0"/>
    <s v="IISC Medical School Foundation Bangalore"/>
    <n v="61976"/>
    <n v="45446"/>
    <n v="644305"/>
    <n v="57987.45"/>
    <n v="57987.45"/>
    <m/>
    <n v="760279.89999999991"/>
    <n v="0.1"/>
    <n v="760279.99999999988"/>
    <m/>
    <m/>
    <s v=""/>
    <s v=""/>
  </r>
  <r>
    <n v="126"/>
    <x v="2"/>
    <d v="2026-06-23T00:00:00"/>
    <s v="KA0622/2026-27-76140"/>
    <d v="2026-06-06T00:00:00"/>
    <x v="0"/>
    <s v="KA"/>
    <x v="0"/>
    <s v="Wipro Kodathi Bangalore"/>
    <n v="61999"/>
    <n v="45447"/>
    <n v="107042.6"/>
    <n v="10173.834000000001"/>
    <n v="10173.834000000001"/>
    <m/>
    <n v="133390.26800000001"/>
    <n v="-0.27"/>
    <n v="133389.99800000002"/>
    <n v="6000"/>
    <n v="5650"/>
    <n v="350"/>
    <n v="6.1946902654867256E-2"/>
  </r>
  <r>
    <n v="127"/>
    <x v="2"/>
    <d v="2026-06-23T00:00:00"/>
    <s v="KA0373/2026-27-13051"/>
    <d v="2026-05-13T00:00:00"/>
    <x v="0"/>
    <s v="KA"/>
    <x v="0"/>
    <s v="Chanakya University HB-3A Bangalore"/>
    <n v="61968"/>
    <n v="45448"/>
    <n v="253641"/>
    <n v="23412.69"/>
    <n v="23412.69"/>
    <m/>
    <n v="306966.38"/>
    <n v="-0.38"/>
    <n v="306966"/>
    <n v="6500"/>
    <n v="5650"/>
    <n v="850"/>
    <n v="0.15044247787610621"/>
  </r>
  <r>
    <n v="128"/>
    <x v="2"/>
    <d v="2026-06-23T00:00:00"/>
    <s v="KA0762/2026-27-13053"/>
    <d v="2026-06-22T00:00:00"/>
    <x v="0"/>
    <s v="KA"/>
    <x v="0"/>
    <s v="Wipro Doddaballapura"/>
    <n v="62000"/>
    <n v="45449"/>
    <n v="259745.2"/>
    <n v="23377.067999999999"/>
    <n v="23377.067999999999"/>
    <m/>
    <n v="306499.33600000001"/>
    <n v="-0.34"/>
    <n v="306498.99599999998"/>
    <m/>
    <m/>
    <s v=""/>
    <s v=""/>
  </r>
  <r>
    <n v="129"/>
    <x v="2"/>
    <d v="2026-06-23T00:00:00"/>
    <s v="KA0762/2026-27-13053"/>
    <d v="2026-06-22T00:00:00"/>
    <x v="0"/>
    <s v="KA"/>
    <x v="0"/>
    <s v="Wipro Doddaballapura"/>
    <n v="62000"/>
    <n v="45450"/>
    <n v="208990.8"/>
    <n v="18809.171999999999"/>
    <n v="18809.171999999999"/>
    <m/>
    <n v="246609.14399999997"/>
    <n v="-0.14000000000000001"/>
    <n v="246609.00399999996"/>
    <m/>
    <m/>
    <s v=""/>
    <s v=""/>
  </r>
  <r>
    <n v="130"/>
    <x v="2"/>
    <d v="2026-06-24T00:00:00"/>
    <s v="KA0373/2026-27-13051"/>
    <d v="2026-05-13T00:00:00"/>
    <x v="0"/>
    <s v="KA"/>
    <x v="0"/>
    <s v="Chanakya University HB-3A Bangalore"/>
    <n v="61968"/>
    <n v="45451"/>
    <n v="132862"/>
    <n v="12542.58"/>
    <n v="12542.58"/>
    <m/>
    <n v="164447.15999999997"/>
    <n v="-0.16"/>
    <n v="164446.99999999997"/>
    <n v="6500"/>
    <n v="5650"/>
    <n v="850"/>
    <n v="0.15044247787610621"/>
  </r>
  <r>
    <n v="131"/>
    <x v="2"/>
    <d v="2026-06-24T00:00:00"/>
    <s v="KA0762/2026-27-13053"/>
    <d v="2026-06-22T00:00:00"/>
    <x v="0"/>
    <s v="KA"/>
    <x v="0"/>
    <s v="Wipro Doddaballapura"/>
    <n v="62000"/>
    <n v="45452"/>
    <n v="253043"/>
    <n v="22773.87"/>
    <n v="22773.87"/>
    <m/>
    <n v="298590.74"/>
    <n v="0.26"/>
    <n v="298591"/>
    <m/>
    <m/>
    <s v=""/>
    <s v=""/>
  </r>
  <r>
    <n v="132"/>
    <x v="2"/>
    <d v="2026-06-24T00:00:00"/>
    <s v="KA0762/2026-27-13053"/>
    <d v="2026-06-22T00:00:00"/>
    <x v="0"/>
    <s v="KA"/>
    <x v="0"/>
    <s v="Wipro Doddaballapura"/>
    <n v="62000"/>
    <n v="45453"/>
    <n v="221710"/>
    <n v="19953.899999999998"/>
    <n v="19953.899999999998"/>
    <m/>
    <n v="261617.8"/>
    <n v="0.2"/>
    <n v="261618"/>
    <m/>
    <m/>
    <s v=""/>
    <s v=""/>
  </r>
  <r>
    <n v="133"/>
    <x v="2"/>
    <d v="2026-06-25T00:00:00"/>
    <s v="KA0762/2026-27-13053"/>
    <d v="2026-06-22T00:00:00"/>
    <x v="0"/>
    <s v="KA"/>
    <x v="0"/>
    <s v="Wipro Doddaballapura"/>
    <n v="62000"/>
    <n v="45454"/>
    <n v="220565"/>
    <n v="19850.849999999999"/>
    <n v="19850.849999999999"/>
    <m/>
    <n v="260266.7"/>
    <n v="0.3"/>
    <n v="260267"/>
    <m/>
    <m/>
    <s v=""/>
    <s v=""/>
  </r>
  <r>
    <n v="134"/>
    <x v="2"/>
    <d v="2026-06-26T00:00:00"/>
    <s v="KA0372/2026-27-64023"/>
    <d v="2026-05-13T00:00:00"/>
    <x v="0"/>
    <s v="KA"/>
    <x v="0"/>
    <s v="Motherhood Hospital Sarjapura"/>
    <n v="61964"/>
    <n v="45455"/>
    <n v="2772"/>
    <n v="249.48"/>
    <n v="249.48"/>
    <m/>
    <n v="3270.96"/>
    <n v="0.04"/>
    <n v="3271"/>
    <m/>
    <m/>
    <s v=""/>
    <s v=""/>
  </r>
  <r>
    <n v="135"/>
    <x v="2"/>
    <d v="2026-06-26T00:00:00"/>
    <s v="KA0787/2026-27-64022"/>
    <d v="2026-06-25T00:00:00"/>
    <x v="0"/>
    <s v="KA"/>
    <x v="0"/>
    <s v="Blackstone COE India Pvt Ltd Bangalore"/>
    <n v="62001"/>
    <n v="45456"/>
    <n v="385484"/>
    <n v="35278.559999999998"/>
    <n v="35278.559999999998"/>
    <m/>
    <n v="462541.12"/>
    <n v="0.88"/>
    <n v="462542"/>
    <n v="6500"/>
    <n v="5650"/>
    <n v="850"/>
    <n v="0.15044247787610621"/>
  </r>
  <r>
    <n v="136"/>
    <x v="2"/>
    <d v="2026-06-26T00:00:00"/>
    <s v="KA0783/2026-27-76159"/>
    <d v="2026-06-24T00:00:00"/>
    <x v="0"/>
    <s v="KA"/>
    <x v="0"/>
    <s v="Seminar Hall SSBCH Manipal"/>
    <n v="62004"/>
    <n v="45457"/>
    <n v="84587.6"/>
    <n v="7612.884"/>
    <n v="7612.884"/>
    <m/>
    <n v="99813.368000000017"/>
    <n v="-0.37"/>
    <n v="99812.998000000021"/>
    <m/>
    <m/>
    <s v=""/>
    <s v=""/>
  </r>
  <r>
    <n v="137"/>
    <x v="2"/>
    <d v="2026-06-26T00:00:00"/>
    <s v="KA0494/2026-27-61123"/>
    <d v="2026-05-26T00:00:00"/>
    <x v="0"/>
    <s v="KA"/>
    <x v="0"/>
    <s v="Techsheela Manipal"/>
    <n v="62002"/>
    <n v="45458"/>
    <n v="26522"/>
    <n v="2386.98"/>
    <n v="2386.98"/>
    <m/>
    <n v="31295.96"/>
    <n v="0.04"/>
    <n v="31296"/>
    <m/>
    <m/>
    <s v=""/>
    <s v=""/>
  </r>
  <r>
    <n v="138"/>
    <x v="2"/>
    <d v="2026-06-26T00:00:00"/>
    <s v="KA0621/2026-27-21198"/>
    <d v="2026-06-06T00:00:00"/>
    <x v="0"/>
    <s v="KA"/>
    <x v="0"/>
    <s v="Manipal Cafe "/>
    <n v="62003"/>
    <n v="45459"/>
    <n v="20226.099999999999"/>
    <n v="1820.3489999999997"/>
    <n v="1820.3489999999997"/>
    <m/>
    <n v="23866.797999999995"/>
    <n v="0.2"/>
    <n v="23866.997999999996"/>
    <m/>
    <m/>
    <s v=""/>
    <s v=""/>
  </r>
  <r>
    <n v="139"/>
    <x v="2"/>
    <d v="2026-06-29T00:00:00"/>
    <s v="KA0830/2026-27-13053"/>
    <d v="2026-06-27T00:00:00"/>
    <x v="0"/>
    <s v="KA"/>
    <x v="0"/>
    <s v="Wipro Doddaballapura (Pre-Insu Pipe)"/>
    <n v="62005"/>
    <n v="45460"/>
    <n v="184770"/>
    <n v="17259.3"/>
    <n v="17259.3"/>
    <m/>
    <n v="226288.59999999998"/>
    <n v="0.4"/>
    <n v="226288.99999999997"/>
    <n v="7000"/>
    <n v="6150"/>
    <n v="850"/>
    <n v="0.13821138211382114"/>
  </r>
  <r>
    <n v="140"/>
    <x v="2"/>
    <d v="2026-06-29T00:00:00"/>
    <s v="KA0780/2026-27-23007"/>
    <d v="2026-06-23T00:00:00"/>
    <x v="0"/>
    <s v="KA"/>
    <x v="0"/>
    <s v="District New Hospital Madikeri"/>
    <n v="62006"/>
    <n v="45461"/>
    <n v="962193.4"/>
    <n v="86597.406000000003"/>
    <n v="86597.406000000003"/>
    <m/>
    <n v="1135388.2120000001"/>
    <n v="-0.21"/>
    <n v="1135388.0020000001"/>
    <m/>
    <m/>
    <s v=""/>
    <s v=""/>
  </r>
  <r>
    <n v="141"/>
    <x v="2"/>
    <d v="2026-06-29T00:00:00"/>
    <s v="KA0839/2026-27-64023"/>
    <d v="2026-06-29T00:00:00"/>
    <x v="0"/>
    <s v="KA"/>
    <x v="0"/>
    <s v="Motherhood Hospital Sarjapura"/>
    <n v="62007"/>
    <n v="45462"/>
    <n v="303909.8"/>
    <n v="27936.881999999998"/>
    <n v="27936.881999999998"/>
    <m/>
    <n v="366283.56399999995"/>
    <n v="0.44"/>
    <n v="366284.00399999996"/>
    <n v="6500"/>
    <n v="5650"/>
    <n v="850"/>
    <n v="0.15044247787610621"/>
  </r>
  <r>
    <n v="142"/>
    <x v="2"/>
    <d v="2026-06-29T00:00:00"/>
    <s v="KA0780/2026-27-23007"/>
    <d v="2026-06-23T00:00:00"/>
    <x v="0"/>
    <s v="KA"/>
    <x v="0"/>
    <s v="District New Hospital Madikeri"/>
    <n v="62006"/>
    <n v="45463"/>
    <n v="76919.899999999994"/>
    <n v="6922.7909999999993"/>
    <n v="6922.7909999999993"/>
    <m/>
    <n v="90765.481999999989"/>
    <n v="0.52"/>
    <n v="90766.001999999993"/>
    <m/>
    <m/>
    <s v=""/>
    <s v=""/>
  </r>
  <r>
    <n v="143"/>
    <x v="2"/>
    <d v="2026-06-30T00:00:00"/>
    <s v="KA0839/2026-27-64023"/>
    <d v="2026-06-29T00:00:00"/>
    <x v="0"/>
    <s v="KA"/>
    <x v="0"/>
    <s v="Motherhood Hospital Sarjapura"/>
    <n v="62007"/>
    <n v="45464"/>
    <n v="356105.1"/>
    <n v="32634.458999999995"/>
    <n v="32634.458999999995"/>
    <m/>
    <n v="427874.01799999992"/>
    <n v="-0.02"/>
    <n v="427873.99799999991"/>
    <n v="6500"/>
    <n v="5650"/>
    <n v="850"/>
    <n v="0.15044247787610621"/>
  </r>
  <r>
    <n v="144"/>
    <x v="2"/>
    <d v="2026-06-30T00:00:00"/>
    <s v="KA0762/2026-27-13053"/>
    <d v="2026-06-22T00:00:00"/>
    <x v="0"/>
    <s v="KA"/>
    <x v="0"/>
    <s v="Wipro Doddaballapura"/>
    <n v="62000"/>
    <n v="45465"/>
    <n v="577910.6"/>
    <n v="52011.953999999998"/>
    <n v="52011.953999999998"/>
    <m/>
    <n v="681934.50800000003"/>
    <n v="0.49"/>
    <n v="681934.99800000002"/>
    <m/>
    <m/>
    <s v=""/>
    <s v=""/>
  </r>
  <r>
    <n v="145"/>
    <x v="3"/>
    <d v="2026-07-01T00:00:00"/>
    <n v="381"/>
    <d v="2026-06-30T00:00:00"/>
    <x v="4"/>
    <s v="KA"/>
    <x v="1"/>
    <s v="Akshaya Motors"/>
    <n v="62009"/>
    <n v="45466"/>
    <n v="18181"/>
    <n v="1636.29"/>
    <n v="1636.29"/>
    <m/>
    <n v="21453.58"/>
    <n v="0.42"/>
    <n v="21454"/>
    <m/>
    <m/>
    <s v=""/>
    <s v=""/>
  </r>
  <r>
    <n v="146"/>
    <x v="3"/>
    <d v="2026-07-01T00:00:00"/>
    <s v="CG/0027/2026-27-16021"/>
    <d v="2026-07-01T00:00:00"/>
    <x v="0"/>
    <s v="CG"/>
    <x v="0"/>
    <s v="Ginni Devi Goel Manipal Hospital Raipur"/>
    <n v="62008"/>
    <n v="45467"/>
    <n v="1120814.5"/>
    <m/>
    <m/>
    <n v="201746.61"/>
    <n v="1322561.1099999999"/>
    <n v="-0.11"/>
    <n v="1322560.9999999998"/>
    <m/>
    <m/>
    <s v=""/>
    <s v=""/>
  </r>
  <r>
    <n v="147"/>
    <x v="3"/>
    <d v="2026-07-01T00:00:00"/>
    <s v="MH/0032/2026-27-16025"/>
    <d v="2026-06-12T00:00:00"/>
    <x v="0"/>
    <s v="MH"/>
    <x v="0"/>
    <s v="BDR Hospital Pune"/>
    <n v="61997"/>
    <n v="45468"/>
    <n v="674171"/>
    <m/>
    <m/>
    <n v="121350.78"/>
    <n v="795521.78"/>
    <n v="0.22"/>
    <n v="795522"/>
    <m/>
    <m/>
    <s v=""/>
    <s v=""/>
  </r>
  <r>
    <n v="148"/>
    <x v="3"/>
    <d v="2026-07-01T00:00:00"/>
    <s v="CG/0027/2026-27-16021"/>
    <d v="2026-07-01T00:00:00"/>
    <x v="0"/>
    <s v="CG"/>
    <x v="0"/>
    <s v="Ginni Devi Goel Manipal Hospital Raipur"/>
    <n v="62008"/>
    <n v="45469"/>
    <n v="632045.5"/>
    <m/>
    <m/>
    <n v="113768.19"/>
    <n v="745813.69"/>
    <n v="0.31"/>
    <n v="745814"/>
    <m/>
    <m/>
    <s v=""/>
    <s v=""/>
  </r>
  <r>
    <n v="149"/>
    <x v="3"/>
    <d v="2026-07-04T00:00:00"/>
    <n v="382"/>
    <d v="2026-07-01T00:00:00"/>
    <x v="4"/>
    <s v="KA"/>
    <x v="1"/>
    <s v="Akshaya Motors"/>
    <n v="62022"/>
    <n v="45470"/>
    <n v="18181"/>
    <n v="1636.29"/>
    <n v="1636.29"/>
    <m/>
    <n v="21453.58"/>
    <n v="0.42"/>
    <n v="21454"/>
    <m/>
    <m/>
    <s v=""/>
    <s v=""/>
  </r>
  <r>
    <n v="150"/>
    <x v="3"/>
    <d v="2026-07-04T00:00:00"/>
    <s v="EQ/25-26/006"/>
    <d v="2026-07-03T00:00:00"/>
    <x v="8"/>
    <s v="KA"/>
    <x v="1"/>
    <s v="Eqube Internal Project"/>
    <n v="62023"/>
    <n v="45471"/>
    <n v="9452"/>
    <n v="850.68"/>
    <n v="850.68"/>
    <m/>
    <n v="11153.36"/>
    <n v="-0.36"/>
    <n v="11153"/>
    <m/>
    <m/>
    <s v=""/>
    <s v=""/>
  </r>
  <r>
    <n v="151"/>
    <x v="3"/>
    <d v="2026-07-07T00:00:00"/>
    <s v="KA0830/2026-27-13053"/>
    <d v="2026-06-27T00:00:00"/>
    <x v="0"/>
    <s v="KA"/>
    <x v="0"/>
    <s v="Wipro Doddaballapura (Pre-Insu Pipe)"/>
    <n v="62005"/>
    <n v="45472"/>
    <n v="90144"/>
    <n v="8742.9599999999991"/>
    <n v="8742.9599999999991"/>
    <m/>
    <n v="114629.91999999998"/>
    <n v="0.08"/>
    <n v="114629.99999999999"/>
    <n v="7000"/>
    <n v="6150"/>
    <n v="850"/>
    <n v="0.13821138211382114"/>
  </r>
  <r>
    <n v="152"/>
    <x v="3"/>
    <d v="2026-07-07T00:00:00"/>
    <s v="KA0762/2026-27-13053"/>
    <d v="2026-06-22T00:00:00"/>
    <x v="0"/>
    <s v="KA"/>
    <x v="0"/>
    <s v="Wipro Doddaballapura"/>
    <n v="62000"/>
    <n v="45473"/>
    <n v="37823.800000000003"/>
    <n v="3404.1420000000003"/>
    <n v="3404.1420000000003"/>
    <m/>
    <n v="44632.084000000003"/>
    <n v="-0.08"/>
    <n v="44632.004000000001"/>
    <m/>
    <m/>
    <s v=""/>
    <s v=""/>
  </r>
  <r>
    <n v="153"/>
    <x v="3"/>
    <d v="2026-07-07T00:00:00"/>
    <s v="KA0376/2026-27-16014"/>
    <d v="2026-05-13T00:00:00"/>
    <x v="0"/>
    <s v="KA"/>
    <x v="0"/>
    <s v="IISC Medical School Foundation Bangalore"/>
    <n v="61965"/>
    <n v="45474"/>
    <n v="567201.4"/>
    <n v="51048.126000000004"/>
    <n v="51048.126000000004"/>
    <m/>
    <n v="669297.65200000012"/>
    <n v="0.35"/>
    <n v="669298.00200000009"/>
    <m/>
    <m/>
    <s v=""/>
    <s v=""/>
  </r>
  <r>
    <n v="154"/>
    <x v="3"/>
    <d v="2026-07-07T00:00:00"/>
    <s v="KA0620/2026-27_1-13042"/>
    <d v="2026-06-06T00:00:00"/>
    <x v="0"/>
    <s v="KA"/>
    <x v="0"/>
    <s v="Infosys Bangalore B-3,4&amp;5"/>
    <n v="61993"/>
    <n v="45475"/>
    <n v="120243"/>
    <n v="11406.869999999999"/>
    <n v="11406.869999999999"/>
    <m/>
    <n v="149556.74"/>
    <n v="0.26"/>
    <n v="149557"/>
    <n v="6500"/>
    <n v="5650"/>
    <n v="850"/>
    <n v="0.15044247787610621"/>
  </r>
  <r>
    <n v="155"/>
    <x v="3"/>
    <d v="2026-07-07T00:00:00"/>
    <s v="WO-TN/0010/2026-27-16019"/>
    <d v="2026-07-02T00:00:00"/>
    <x v="0"/>
    <s v="TN"/>
    <x v="4"/>
    <s v="AIIMS Hospital Madurai"/>
    <n v="62010"/>
    <n v="45476"/>
    <n v="14143.5"/>
    <m/>
    <m/>
    <n v="2545.83"/>
    <n v="16689.330000000002"/>
    <n v="-0.33"/>
    <n v="16689"/>
    <m/>
    <m/>
    <s v=""/>
    <s v=""/>
  </r>
  <r>
    <n v="156"/>
    <x v="3"/>
    <d v="2026-07-07T00:00:00"/>
    <s v="WO-MH/0011/2026-27-16025"/>
    <d v="2026-07-02T00:00:00"/>
    <x v="0"/>
    <s v="MH"/>
    <x v="4"/>
    <s v="BDR Hospital Pune"/>
    <n v="62011"/>
    <n v="45477"/>
    <n v="33278"/>
    <m/>
    <m/>
    <n v="5990.04"/>
    <n v="39268.04"/>
    <n v="-0.04"/>
    <n v="39268"/>
    <m/>
    <m/>
    <s v=""/>
    <s v=""/>
  </r>
  <r>
    <n v="157"/>
    <x v="3"/>
    <d v="2026-07-07T00:00:00"/>
    <s v=" WO-KA/0254/2026-27-15029"/>
    <d v="2026-07-02T00:00:00"/>
    <x v="0"/>
    <s v="KA"/>
    <x v="4"/>
    <s v="MAHE Lecture Hall Campus Bangalore"/>
    <n v="62012"/>
    <n v="45478"/>
    <n v="8827"/>
    <n v="794.43"/>
    <n v="794.43"/>
    <m/>
    <n v="10415.86"/>
    <n v="0.14000000000000001"/>
    <n v="10416"/>
    <m/>
    <m/>
    <s v=""/>
    <s v=""/>
  </r>
  <r>
    <n v="158"/>
    <x v="3"/>
    <d v="2026-07-07T00:00:00"/>
    <s v="WO-KA/0255/2026-27-16014"/>
    <d v="2026-07-02T00:00:00"/>
    <x v="0"/>
    <s v="KA"/>
    <x v="4"/>
    <s v="IISC Medical School Foundation Bangalore"/>
    <n v="62013"/>
    <n v="45479"/>
    <n v="24990"/>
    <n v="2249.1"/>
    <n v="2249.1"/>
    <m/>
    <n v="29488.199999999997"/>
    <n v="-0.2"/>
    <n v="29487.999999999996"/>
    <m/>
    <m/>
    <s v=""/>
    <s v=""/>
  </r>
  <r>
    <n v="159"/>
    <x v="3"/>
    <d v="2026-07-07T00:00:00"/>
    <s v="WO-KA/0256/2026-27-15028"/>
    <d v="2026-07-02T00:00:00"/>
    <x v="0"/>
    <s v="KA"/>
    <x v="4"/>
    <s v="Zentech Business Park Bangalore"/>
    <n v="62014"/>
    <n v="45480"/>
    <n v="16254"/>
    <n v="1462.86"/>
    <n v="1462.86"/>
    <m/>
    <n v="19179.72"/>
    <n v="0.28000000000000003"/>
    <n v="19180"/>
    <m/>
    <m/>
    <s v=""/>
    <s v=""/>
  </r>
  <r>
    <n v="160"/>
    <x v="3"/>
    <d v="2026-07-07T00:00:00"/>
    <s v="WO-KA/0257/2026-27-64023"/>
    <d v="2026-07-02T00:00:00"/>
    <x v="0"/>
    <s v="KA"/>
    <x v="4"/>
    <s v="Motherhood Hospital Sarjapura"/>
    <n v="62015"/>
    <n v="45481"/>
    <n v="12656"/>
    <n v="1139.04"/>
    <n v="1139.04"/>
    <m/>
    <n v="14934.080000000002"/>
    <n v="-0.08"/>
    <n v="14934.000000000002"/>
    <m/>
    <m/>
    <s v=""/>
    <s v=""/>
  </r>
  <r>
    <n v="161"/>
    <x v="3"/>
    <d v="2026-07-07T00:00:00"/>
    <s v="WO-KA/0258/2026-27-13051"/>
    <d v="2026-07-02T00:00:00"/>
    <x v="0"/>
    <s v="KA"/>
    <x v="4"/>
    <s v="Chanakya University HB-3A Bangalore"/>
    <n v="62016"/>
    <n v="45482"/>
    <n v="29879.5"/>
    <n v="2689.1549999999997"/>
    <n v="2689.1549999999997"/>
    <m/>
    <n v="35257.81"/>
    <n v="0.19"/>
    <n v="35258"/>
    <m/>
    <m/>
    <s v=""/>
    <s v=""/>
  </r>
  <r>
    <n v="162"/>
    <x v="3"/>
    <d v="2026-07-07T00:00:00"/>
    <s v="WO-KA/0260/2026-27-13050"/>
    <d v="2026-07-02T00:00:00"/>
    <x v="0"/>
    <s v="KA"/>
    <x v="4"/>
    <s v="MAHE Hostel block-5 Bangalore"/>
    <n v="62017"/>
    <n v="45483"/>
    <n v="11168.5"/>
    <n v="1005.165"/>
    <n v="1005.165"/>
    <m/>
    <n v="13178.830000000002"/>
    <n v="0.17"/>
    <n v="13179.000000000002"/>
    <m/>
    <m/>
    <s v=""/>
    <s v=""/>
  </r>
  <r>
    <n v="163"/>
    <x v="3"/>
    <d v="2026-07-07T00:00:00"/>
    <s v="WO-KA/0259/2026-27-23007"/>
    <d v="2026-07-02T00:00:00"/>
    <x v="0"/>
    <s v="KA"/>
    <x v="4"/>
    <s v="Jayadeva Institute of Cardiovas Science"/>
    <n v="62018"/>
    <n v="45484"/>
    <n v="28507.5"/>
    <n v="2565.6749999999997"/>
    <n v="2565.6749999999997"/>
    <m/>
    <n v="33638.85"/>
    <n v="0.15"/>
    <n v="33639"/>
    <m/>
    <m/>
    <s v=""/>
    <s v=""/>
  </r>
  <r>
    <n v="164"/>
    <x v="3"/>
    <d v="2026-07-07T00:00:00"/>
    <s v="WO-KA/0261/2026-27-16008"/>
    <d v="2026-07-02T00:00:00"/>
    <x v="0"/>
    <s v="KA"/>
    <x v="4"/>
    <s v="Schneider Electric Bangalore"/>
    <n v="62019"/>
    <n v="45485"/>
    <n v="5999"/>
    <n v="539.91"/>
    <n v="539.91"/>
    <m/>
    <n v="7078.82"/>
    <n v="0.18"/>
    <n v="7079"/>
    <m/>
    <m/>
    <s v=""/>
    <s v=""/>
  </r>
  <r>
    <n v="165"/>
    <x v="3"/>
    <d v="2026-07-07T00:00:00"/>
    <s v="WO-KA/0262/2026-27-12034"/>
    <d v="2026-07-02T00:00:00"/>
    <x v="0"/>
    <s v="KA"/>
    <x v="4"/>
    <s v="MAHE Hostel block-5 Bangalore"/>
    <n v="62020"/>
    <n v="45486"/>
    <n v="10475.5"/>
    <n v="942.79499999999996"/>
    <n v="942.79499999999996"/>
    <m/>
    <n v="12361.09"/>
    <n v="-0.09"/>
    <n v="12361"/>
    <m/>
    <m/>
    <s v=""/>
    <s v=""/>
  </r>
  <r>
    <n v="166"/>
    <x v="3"/>
    <d v="2026-07-07T00:00:00"/>
    <s v="WO-KA/0263/2026-27-13053"/>
    <d v="2026-07-02T00:00:00"/>
    <x v="0"/>
    <s v="KA"/>
    <x v="4"/>
    <s v="Wipro Doddaballapura"/>
    <n v="62021"/>
    <n v="45487"/>
    <n v="57326.5"/>
    <n v="5159.3850000000002"/>
    <n v="5159.3850000000002"/>
    <m/>
    <n v="67645.27"/>
    <n v="-0.27"/>
    <n v="67645"/>
    <m/>
    <m/>
    <s v=""/>
    <s v=""/>
  </r>
  <r>
    <n v="167"/>
    <x v="3"/>
    <d v="2026-07-07T00:00:00"/>
    <s v="KA0376/2026-27-16014"/>
    <d v="2026-05-13T00:00:00"/>
    <x v="0"/>
    <s v="KA"/>
    <x v="0"/>
    <s v="IISC Medical School Foundation Bangalore"/>
    <n v="61965"/>
    <n v="45488"/>
    <n v="495220.5"/>
    <n v="44569.845000000001"/>
    <n v="44569.845000000001"/>
    <m/>
    <n v="584360.18999999994"/>
    <n v="-0.19"/>
    <n v="584360"/>
    <m/>
    <m/>
    <s v=""/>
    <s v=""/>
  </r>
  <r>
    <n v="168"/>
    <x v="3"/>
    <d v="2026-07-08T00:00:00"/>
    <s v="KA2674/2025-26_1-15032"/>
    <d v="2025-12-31T00:00:00"/>
    <x v="0"/>
    <s v="KA"/>
    <x v="0"/>
    <s v="MSR Tech Park Bangalore"/>
    <n v="61859"/>
    <n v="45489"/>
    <n v="10920"/>
    <n v="982.8"/>
    <n v="982.8"/>
    <m/>
    <n v="12885.599999999999"/>
    <n v="0.4"/>
    <n v="12885.999999999998"/>
    <m/>
    <m/>
    <s v=""/>
    <s v=""/>
  </r>
  <r>
    <n v="169"/>
    <x v="3"/>
    <d v="2026-07-08T00:00:00"/>
    <s v="KA0376/2026-27-16014"/>
    <d v="2026-05-13T00:00:00"/>
    <x v="0"/>
    <s v="KA"/>
    <x v="0"/>
    <s v="IISC Medical School Foundation Bangalore"/>
    <n v="61965"/>
    <n v="45490"/>
    <n v="569007.19999999995"/>
    <n v="51210.647999999994"/>
    <n v="51210.647999999994"/>
    <m/>
    <n v="671428.49600000004"/>
    <n v="0.5"/>
    <n v="671428.99600000004"/>
    <m/>
    <m/>
    <s v=""/>
    <s v=""/>
  </r>
  <r>
    <n v="170"/>
    <x v="3"/>
    <d v="2026-07-08T00:00:00"/>
    <s v="TN/0033/2026-27_1-16019"/>
    <d v="2026-06-17T00:00:00"/>
    <x v="0"/>
    <s v="TN"/>
    <x v="0"/>
    <s v="AIIMS Hospital Madurai"/>
    <n v="61967"/>
    <n v="45491"/>
    <n v="737491.9"/>
    <m/>
    <m/>
    <n v="132748.54199999999"/>
    <n v="870240.44200000004"/>
    <n v="-0.44"/>
    <n v="870240.00200000009"/>
    <m/>
    <m/>
    <s v=""/>
    <s v=""/>
  </r>
  <r>
    <n v="171"/>
    <x v="3"/>
    <d v="2026-07-09T00:00:00"/>
    <s v="KA0376/2026-27-16014"/>
    <d v="2026-05-13T00:00:00"/>
    <x v="0"/>
    <s v="KA"/>
    <x v="0"/>
    <s v="IISC Medical School Foundation Bangalore"/>
    <n v="61965"/>
    <n v="45492"/>
    <n v="54775.5"/>
    <n v="5514.7950000000001"/>
    <n v="5514.7950000000001"/>
    <m/>
    <n v="72305.09"/>
    <n v="-0.09"/>
    <n v="72305"/>
    <n v="6500"/>
    <n v="5650"/>
    <n v="850"/>
    <n v="0.15044247787610621"/>
  </r>
  <r>
    <n v="172"/>
    <x v="3"/>
    <d v="2026-07-09T00:00:00"/>
    <s v="KA0889/2026-27-63017"/>
    <d v="2026-07-03T00:00:00"/>
    <x v="0"/>
    <s v="KA"/>
    <x v="0"/>
    <s v="MHEPL Mangalore"/>
    <n v="62024"/>
    <n v="45493"/>
    <n v="193354.2"/>
    <n v="17401.878000000001"/>
    <n v="17401.878000000001"/>
    <m/>
    <n v="228157.95600000001"/>
    <n v="0.04"/>
    <n v="228157.99600000001"/>
    <m/>
    <m/>
    <s v=""/>
    <s v=""/>
  </r>
  <r>
    <n v="173"/>
    <x v="3"/>
    <d v="2026-07-10T00:00:00"/>
    <s v="MH/0032/2026-27-16025"/>
    <d v="2026-06-12T00:00:00"/>
    <x v="0"/>
    <s v="MH"/>
    <x v="0"/>
    <s v="BDR Hospital Pune"/>
    <n v="61997"/>
    <n v="45494"/>
    <n v="931834.6"/>
    <n v="83865.114000000001"/>
    <n v="83865.114000000001"/>
    <m/>
    <n v="1099564.828"/>
    <n v="0.17"/>
    <n v="1099564.9979999999"/>
    <m/>
    <m/>
    <s v=""/>
    <s v=""/>
  </r>
  <r>
    <n v="174"/>
    <x v="3"/>
    <d v="2026-07-11T00:00:00"/>
    <s v="CG/0027/2026-27_1-16021"/>
    <d v="2026-07-01T00:00:00"/>
    <x v="0"/>
    <s v="CG"/>
    <x v="0"/>
    <s v="Ginni Devi Goel Manipal Hospital Raipur"/>
    <n v="62008"/>
    <n v="45495"/>
    <n v="120690.5"/>
    <m/>
    <m/>
    <n v="22534.29"/>
    <n v="147724.79"/>
    <n v="0.21"/>
    <n v="147725"/>
    <n v="4500"/>
    <n v="3900"/>
    <n v="600"/>
    <n v="0.15384615384615385"/>
  </r>
  <r>
    <n v="175"/>
    <x v="3"/>
    <d v="2026-07-11T00:00:00"/>
    <s v="KA0620/2026-27_1-13042"/>
    <d v="2026-06-06T00:00:00"/>
    <x v="0"/>
    <s v="KA"/>
    <x v="0"/>
    <s v="Infosys Bangalore B-3,4&amp;5"/>
    <n v="61993"/>
    <n v="45496"/>
    <n v="138874.20000000001"/>
    <n v="13038.678"/>
    <n v="13038.678"/>
    <m/>
    <n v="170951.55600000004"/>
    <n v="0.44"/>
    <n v="170951.99600000004"/>
    <n v="6000"/>
    <n v="5650"/>
    <n v="350"/>
    <n v="6.1946902654867256E-2"/>
  </r>
  <r>
    <n v="176"/>
    <x v="3"/>
    <d v="2026-07-13T00:00:00"/>
    <s v="AP/0014/2026-27-15035"/>
    <d v="2026-07-10T00:00:00"/>
    <x v="0"/>
    <s v="AP"/>
    <x v="0"/>
    <s v="Premier Energies Naidupeta"/>
    <n v="62027"/>
    <n v="45497"/>
    <n v="552077.69999999995"/>
    <m/>
    <m/>
    <n v="99373.98599999999"/>
    <n v="651451.68599999999"/>
    <n v="0.31"/>
    <n v="651451.99600000004"/>
    <m/>
    <m/>
    <s v=""/>
    <s v=""/>
  </r>
  <r>
    <n v="177"/>
    <x v="3"/>
    <d v="2026-07-13T00:00:00"/>
    <s v="AP/0014/2026-27-15035"/>
    <d v="2026-07-10T00:00:00"/>
    <x v="0"/>
    <s v="AP"/>
    <x v="0"/>
    <s v="Premier Energies Naidupeta"/>
    <n v="62027"/>
    <n v="45498"/>
    <n v="493838.1"/>
    <m/>
    <m/>
    <n v="88890.857999999993"/>
    <n v="582728.95799999998"/>
    <n v="0.04"/>
    <n v="582728.99800000002"/>
    <m/>
    <m/>
    <s v=""/>
    <s v=""/>
  </r>
  <r>
    <n v="178"/>
    <x v="3"/>
    <d v="2026-07-14T00:00:00"/>
    <s v="AP/0014/2026-27-15035"/>
    <d v="2026-07-10T00:00:00"/>
    <x v="0"/>
    <s v="AP"/>
    <x v="0"/>
    <s v="Premier Energies Naidupeta"/>
    <n v="62027"/>
    <n v="45499"/>
    <n v="505268.3"/>
    <m/>
    <m/>
    <n v="90948.293999999994"/>
    <n v="596216.59400000004"/>
    <n v="0.41"/>
    <n v="596217.00400000007"/>
    <m/>
    <m/>
    <s v=""/>
    <s v=""/>
  </r>
  <r>
    <n v="179"/>
    <x v="3"/>
    <d v="2026-07-14T00:00:00"/>
    <s v="AP/0014/2026-27-15035"/>
    <d v="2026-07-10T00:00:00"/>
    <x v="0"/>
    <s v="AP"/>
    <x v="0"/>
    <s v="Premier Energies Naidupeta"/>
    <n v="62027"/>
    <n v="45500"/>
    <n v="121658.3"/>
    <m/>
    <m/>
    <n v="21898.493999999999"/>
    <n v="143556.79399999999"/>
    <n v="0.21"/>
    <n v="143557.00399999999"/>
    <m/>
    <m/>
    <s v=""/>
    <s v=""/>
  </r>
  <r>
    <n v="180"/>
    <x v="3"/>
    <d v="2026-07-15T00:00:00"/>
    <s v="KA0830/2026-27-13053"/>
    <d v="2026-06-27T00:00:00"/>
    <x v="0"/>
    <s v="KA"/>
    <x v="0"/>
    <s v="Wipro Doddaballapura (Pre-Insu Pipe)"/>
    <n v="62005"/>
    <n v="45501"/>
    <n v="105840"/>
    <n v="10155.6"/>
    <n v="10155.6"/>
    <m/>
    <n v="133151.20000000001"/>
    <n v="-0.2"/>
    <n v="133151"/>
    <n v="7000"/>
    <n v="6150"/>
    <n v="850"/>
    <n v="0.13821138211382114"/>
  </r>
  <r>
    <n v="181"/>
    <x v="3"/>
    <d v="2026-07-16T00:00:00"/>
    <s v="KA0619/2026-27-12034"/>
    <d v="2026-06-05T00:00:00"/>
    <x v="0"/>
    <s v="KA"/>
    <x v="0"/>
    <s v="MAHE Hostel block-5 Bangalore"/>
    <n v="61992"/>
    <n v="45502"/>
    <n v="138368.20000000001"/>
    <n v="13083.138000000001"/>
    <n v="13083.138000000001"/>
    <m/>
    <n v="171534.47600000002"/>
    <n v="-0.48"/>
    <n v="171533.99600000001"/>
    <n v="7000"/>
    <n v="6150"/>
    <n v="850"/>
    <n v="0.13821138211382114"/>
  </r>
  <r>
    <n v="182"/>
    <x v="3"/>
    <d v="2026-07-17T00:00:00"/>
    <s v="TN/0033/2026-27_2-16019"/>
    <d v="2026-05-13T00:00:00"/>
    <x v="0"/>
    <s v="TN"/>
    <x v="0"/>
    <s v="AIIMS Hospital Madurai"/>
    <n v="61967"/>
    <n v="45503"/>
    <n v="747652.3"/>
    <m/>
    <m/>
    <n v="134577.41399999999"/>
    <n v="882229.71400000004"/>
    <n v="0.28999999999999998"/>
    <n v="882230.00400000007"/>
    <m/>
    <m/>
    <s v=""/>
    <s v=""/>
  </r>
  <r>
    <n v="183"/>
    <x v="3"/>
    <d v="2026-07-18T00:00:00"/>
    <s v="KA0830/2026-27_1-13053"/>
    <d v="2026-06-27T00:00:00"/>
    <x v="0"/>
    <s v="KA"/>
    <x v="0"/>
    <s v="Wipro Doddaballapura (Pre-Insu Pipe)"/>
    <n v="62005"/>
    <n v="45504"/>
    <n v="151254"/>
    <n v="14242.859999999999"/>
    <n v="14242.859999999999"/>
    <m/>
    <n v="186739.71999999997"/>
    <n v="0.28000000000000003"/>
    <n v="186739.99999999997"/>
    <n v="7000"/>
    <n v="6150"/>
    <n v="850"/>
    <n v="0.13821138211382114"/>
  </r>
  <r>
    <n v="184"/>
    <x v="3"/>
    <d v="2026-07-18T00:00:00"/>
    <s v="KA0373/2026-27-13051"/>
    <d v="2026-05-13T00:00:00"/>
    <x v="0"/>
    <s v="KA"/>
    <x v="0"/>
    <s v="Chanakya University HB-3A Bangalore"/>
    <n v="61968"/>
    <n v="45505"/>
    <n v="38516"/>
    <n v="3848.94"/>
    <n v="3848.94"/>
    <m/>
    <n v="50463.880000000005"/>
    <n v="0.12"/>
    <n v="50464.000000000007"/>
    <n v="4250"/>
    <n v="3750"/>
    <n v="500"/>
    <n v="0.13333333333333333"/>
  </r>
  <r>
    <n v="185"/>
    <x v="3"/>
    <d v="2026-07-18T00:00:00"/>
    <s v="#PO/LF/0017-2026"/>
    <d v="2026-07-07T00:00:00"/>
    <x v="1"/>
    <s v="KA"/>
    <x v="1"/>
    <s v="Navitas Chennai "/>
    <n v="62028"/>
    <n v="45506"/>
    <n v="578023"/>
    <n v="53822.07"/>
    <n v="53822.07"/>
    <m/>
    <n v="705667.1399999999"/>
    <n v="-0.14000000000000001"/>
    <n v="705666.99999999988"/>
    <n v="20000"/>
    <n v="0"/>
    <n v="20000"/>
    <e v="#DIV/0!"/>
  </r>
  <r>
    <n v="186"/>
    <x v="3"/>
    <d v="2026-07-20T00:00:00"/>
    <s v="KA1006/2026-27-64025"/>
    <d v="2026-07-14T00:00:00"/>
    <x v="0"/>
    <s v="KA"/>
    <x v="0"/>
    <s v="SVG Hotel Bommasandra"/>
    <n v="62029"/>
    <n v="45507"/>
    <n v="149050"/>
    <n v="13999.5"/>
    <n v="13999.5"/>
    <m/>
    <n v="183549"/>
    <m/>
    <n v="183549"/>
    <n v="6500"/>
    <n v="5650"/>
    <n v="850"/>
    <n v="0.15044247787610621"/>
  </r>
  <r>
    <n v="187"/>
    <x v="3"/>
    <d v="2026-07-20T00:00:00"/>
    <s v="KA0960/2026-27-16008"/>
    <d v="2026-07-11T00:00:00"/>
    <x v="0"/>
    <s v="KA"/>
    <x v="0"/>
    <s v="Schneider Electric Bangalore"/>
    <n v="62026"/>
    <n v="45508"/>
    <n v="32000"/>
    <n v="3177"/>
    <n v="3177"/>
    <m/>
    <n v="41654"/>
    <m/>
    <n v="41654"/>
    <n v="3300"/>
    <n v="2800"/>
    <n v="500"/>
    <n v="0.17857142857142858"/>
  </r>
  <r>
    <n v="188"/>
    <x v="3"/>
    <d v="2026-07-20T00:00:00"/>
    <s v="MH/0032/2026-27_2-16025"/>
    <d v="2026-06-12T00:00:00"/>
    <x v="0"/>
    <s v="MH"/>
    <x v="0"/>
    <s v="BDR Hospital Pune"/>
    <n v="61997"/>
    <n v="45509"/>
    <n v="877961.2"/>
    <m/>
    <m/>
    <n v="158033.01599999997"/>
    <n v="1035994.2159999999"/>
    <n v="-0.22"/>
    <n v="1035993.9959999999"/>
    <m/>
    <m/>
    <s v=""/>
    <s v=""/>
  </r>
  <r>
    <n v="189"/>
    <x v="3"/>
    <d v="2026-07-22T00:00:00"/>
    <s v="KA1028/2026-27-62042"/>
    <d v="2026-07-16T00:00:00"/>
    <x v="0"/>
    <s v="KA"/>
    <x v="0"/>
    <s v="Kare Well Hospital Bangalore"/>
    <n v="62030"/>
    <n v="45510"/>
    <n v="171473.6"/>
    <n v="16017.624"/>
    <n v="16017.624"/>
    <m/>
    <n v="210008.84800000003"/>
    <n v="0.15"/>
    <n v="210008.99800000002"/>
    <n v="6500"/>
    <n v="5650"/>
    <n v="850"/>
    <n v="0.15044247787610621"/>
  </r>
  <r>
    <n v="190"/>
    <x v="3"/>
    <d v="2026-07-23T00:00:00"/>
    <s v="KA1072/2026-27-76155"/>
    <d v="2026-07-22T00:00:00"/>
    <x v="0"/>
    <s v="KA"/>
    <x v="0"/>
    <s v="Infosys Bangalore B-38"/>
    <n v="62034"/>
    <n v="45511"/>
    <n v="52037.5"/>
    <n v="5025.375"/>
    <n v="5025.375"/>
    <m/>
    <n v="65888.25"/>
    <n v="-0.25"/>
    <n v="65888"/>
    <n v="3800"/>
    <n v="3300"/>
    <n v="500"/>
    <n v="0.15151515151515152"/>
  </r>
  <r>
    <n v="191"/>
    <x v="3"/>
    <d v="2026-07-23T00:00:00"/>
    <s v="KA0376/2026-27-16014"/>
    <d v="2026-05-13T00:00:00"/>
    <x v="0"/>
    <s v="KA"/>
    <x v="0"/>
    <s v="IISC Medical School Foundation Bangalore"/>
    <n v="61965"/>
    <n v="45512"/>
    <n v="3127.5"/>
    <n v="281.47499999999997"/>
    <n v="281.47499999999997"/>
    <m/>
    <n v="3690.45"/>
    <n v="-0.45"/>
    <n v="3690"/>
    <m/>
    <m/>
    <s v=""/>
    <s v=""/>
  </r>
  <r>
    <n v="192"/>
    <x v="3"/>
    <d v="2026-07-23T00:00:00"/>
    <s v="KA0192/2026-27-15029"/>
    <d v="2026-05-04T00:00:00"/>
    <x v="0"/>
    <s v="KA"/>
    <x v="0"/>
    <s v="MAHE Lecture Hall Campus Bangalore"/>
    <n v="61955"/>
    <n v="45513"/>
    <n v="32200"/>
    <n v="3240"/>
    <n v="3240"/>
    <m/>
    <n v="42480"/>
    <m/>
    <n v="42480"/>
    <n v="3800"/>
    <n v="3300"/>
    <n v="500"/>
    <n v="0.15151515151515152"/>
  </r>
  <r>
    <n v="193"/>
    <x v="3"/>
    <d v="2026-07-23T00:00:00"/>
    <s v="CH/0013/2026-27-15033"/>
    <d v="2026-05-06T00:00:00"/>
    <x v="0"/>
    <s v="CH"/>
    <x v="0"/>
    <s v="Infosys Chandigarh"/>
    <n v="61962"/>
    <n v="45514"/>
    <n v="442666"/>
    <m/>
    <m/>
    <n v="79679.87999999999"/>
    <n v="522345.88"/>
    <n v="0.12"/>
    <n v="522346"/>
    <m/>
    <m/>
    <s v=""/>
    <s v=""/>
  </r>
  <r>
    <n v="194"/>
    <x v="3"/>
    <d v="2026-07-23T00:00:00"/>
    <s v="Stock Transfer"/>
    <d v="2025-09-27T00:00:00"/>
    <x v="2"/>
    <s v="HR"/>
    <x v="2"/>
    <s v="Camduct India Pvt Ltd-Haryana Branch"/>
    <n v="61768"/>
    <n v="45515"/>
    <n v="203550"/>
    <m/>
    <m/>
    <n v="36639"/>
    <n v="240189"/>
    <m/>
    <n v="240189"/>
    <m/>
    <m/>
    <s v=""/>
    <s v=""/>
  </r>
  <r>
    <n v="195"/>
    <x v="3"/>
    <d v="2026-07-23T00:00:00"/>
    <s v="Offer Confirmation/CD/0023/2026-27"/>
    <d v="2026-07-22T00:00:00"/>
    <x v="9"/>
    <s v="KA"/>
    <x v="1"/>
    <s v="Global Mall Bengaluru"/>
    <n v="62033"/>
    <n v="45516"/>
    <n v="14732"/>
    <n v="1325.8799999999999"/>
    <n v="1325.8799999999999"/>
    <m/>
    <n v="17383.759999999998"/>
    <n v="0.24"/>
    <n v="17384"/>
    <m/>
    <m/>
    <s v=""/>
    <s v=""/>
  </r>
  <r>
    <n v="196"/>
    <x v="3"/>
    <d v="2026-07-25T00:00:00"/>
    <s v="KA0376/2026-27_1-16014"/>
    <d v="2026-05-13T00:00:00"/>
    <x v="0"/>
    <s v="KA"/>
    <x v="0"/>
    <s v="IISC Medical School Foundation Bangalore"/>
    <n v="61965"/>
    <n v="45517"/>
    <n v="108772.5"/>
    <n v="10086.525"/>
    <n v="10086.525"/>
    <m/>
    <n v="132245.54999999999"/>
    <n v="0.45"/>
    <n v="132246"/>
    <n v="3300"/>
    <n v="2800"/>
    <n v="500"/>
    <n v="0.17857142857142858"/>
  </r>
  <r>
    <n v="197"/>
    <x v="3"/>
    <d v="2026-07-25T00:00:00"/>
    <s v="TN/0033/2026-27_2-16019"/>
    <d v="2026-05-13T00:00:00"/>
    <x v="0"/>
    <s v="TN"/>
    <x v="0"/>
    <s v="AIIMS Hospital Madurai"/>
    <n v="61967"/>
    <n v="45518"/>
    <n v="599710.4"/>
    <m/>
    <m/>
    <n v="107947.872"/>
    <n v="707658.272"/>
    <n v="-0.27"/>
    <n v="707658.00199999998"/>
    <m/>
    <m/>
    <s v=""/>
    <s v=""/>
  </r>
  <r>
    <n v="198"/>
    <x v="3"/>
    <d v="2026-07-27T00:00:00"/>
    <s v="MH/0032/2026-27_2-16025"/>
    <d v="2026-06-12T00:00:00"/>
    <x v="0"/>
    <s v="MH"/>
    <x v="0"/>
    <s v="BDR Hospital Pune"/>
    <n v="61997"/>
    <n v="45519"/>
    <n v="667775.1"/>
    <m/>
    <m/>
    <n v="120199.518"/>
    <n v="787974.61800000002"/>
    <n v="0.38"/>
    <n v="787974.99800000002"/>
    <m/>
    <m/>
    <s v=""/>
    <s v=""/>
  </r>
  <r>
    <n v="199"/>
    <x v="3"/>
    <d v="2026-07-27T00:00:00"/>
    <s v="KA0946/2026-27-15034"/>
    <d v="2026-07-10T00:00:00"/>
    <x v="0"/>
    <s v="KA"/>
    <x v="0"/>
    <s v="BLDE Campus Vijayapura"/>
    <n v="62025"/>
    <n v="45520"/>
    <n v="276112"/>
    <n v="24850.079999999998"/>
    <n v="24850.079999999998"/>
    <m/>
    <n v="325812.16000000003"/>
    <n v="-0.16"/>
    <n v="325812.00000000006"/>
    <m/>
    <m/>
    <s v=""/>
    <s v=""/>
  </r>
  <r>
    <n v="200"/>
    <x v="3"/>
    <d v="2026-07-28T00:00:00"/>
    <s v="KA1075/2026-27-23006"/>
    <d v="2026-07-22T00:00:00"/>
    <x v="0"/>
    <s v="KA"/>
    <x v="0"/>
    <s v="Central Market Mangalore"/>
    <n v="62035"/>
    <n v="45521"/>
    <n v="192255"/>
    <n v="17302.95"/>
    <n v="17302.95"/>
    <m/>
    <n v="226860.90000000002"/>
    <n v="0.1"/>
    <n v="226861.00000000003"/>
    <m/>
    <m/>
    <s v=""/>
    <s v=""/>
  </r>
  <r>
    <n v="201"/>
    <x v="3"/>
    <d v="2026-07-28T00:00:00"/>
    <s v="CH/0013/2026-27-15033"/>
    <d v="2026-05-06T00:00:00"/>
    <x v="0"/>
    <s v="CH"/>
    <x v="0"/>
    <s v="Infosys Chandigarh"/>
    <n v="61962"/>
    <n v="45522"/>
    <n v="598395"/>
    <m/>
    <m/>
    <n v="107711.09999999999"/>
    <n v="706106.1"/>
    <n v="-0.1"/>
    <n v="706106"/>
    <m/>
    <m/>
    <s v=""/>
    <s v=""/>
  </r>
  <r>
    <n v="202"/>
    <x v="3"/>
    <d v="2026-07-29T00:00:00"/>
    <s v="#PO/LF/0017-2026"/>
    <d v="2026-07-07T00:00:00"/>
    <x v="1"/>
    <s v="KA"/>
    <x v="1"/>
    <s v="Navitas Chennai "/>
    <n v="62028"/>
    <n v="45523"/>
    <n v="384637.5"/>
    <n v="36417.375"/>
    <n v="36417.375"/>
    <m/>
    <n v="477472.25"/>
    <n v="-0.25"/>
    <n v="477472"/>
    <n v="20000"/>
    <n v="0"/>
    <n v="20000"/>
    <e v="#DIV/0!"/>
  </r>
  <r>
    <n v="203"/>
    <x v="3"/>
    <d v="2026-07-29T00:00:00"/>
    <s v="TN/0033/2026-27_2-16019"/>
    <d v="2026-05-13T00:00:00"/>
    <x v="0"/>
    <s v="TN"/>
    <x v="0"/>
    <s v="AIIMS Hospital Madurai"/>
    <n v="61967"/>
    <n v="45524"/>
    <n v="361156.5"/>
    <m/>
    <m/>
    <n v="65008.17"/>
    <n v="426164.67"/>
    <n v="0.33"/>
    <n v="426165"/>
    <m/>
    <m/>
    <s v=""/>
    <s v=""/>
  </r>
  <r>
    <n v="204"/>
    <x v="3"/>
    <d v="2026-07-29T00:00:00"/>
    <s v="KA1076/2026-27-63019"/>
    <d v="2026-07-22T00:00:00"/>
    <x v="0"/>
    <s v="KA"/>
    <x v="0"/>
    <s v="KSSEM Auditorium Bangalore"/>
    <n v="62036"/>
    <n v="45525"/>
    <n v="192382.5"/>
    <n v="17944.424999999999"/>
    <n v="17944.424999999999"/>
    <m/>
    <n v="235271.34999999998"/>
    <n v="-0.35"/>
    <n v="235270.99999999997"/>
    <n v="7000"/>
    <n v="6150"/>
    <n v="850"/>
    <n v="0.13821138211382114"/>
  </r>
  <r>
    <n v="205"/>
    <x v="3"/>
    <d v="2026-07-30T00:00:00"/>
    <s v="KA1076/2026-27-63019"/>
    <d v="2026-07-22T00:00:00"/>
    <x v="0"/>
    <s v="KA"/>
    <x v="0"/>
    <s v="KSSEM Auditorium Bangalore"/>
    <n v="62036"/>
    <n v="45526"/>
    <n v="194326.5"/>
    <n v="18119.384999999998"/>
    <n v="18119.384999999998"/>
    <m/>
    <n v="237565.27000000002"/>
    <n v="-0.27"/>
    <n v="237565.00000000003"/>
    <n v="7000"/>
    <n v="6150"/>
    <n v="850"/>
    <n v="0.13821138211382114"/>
  </r>
  <r>
    <n v="206"/>
    <x v="3"/>
    <d v="2026-07-31T00:00:00"/>
    <s v="KA1076/2026-27-63019"/>
    <d v="2026-07-22T00:00:00"/>
    <x v="0"/>
    <s v="KA"/>
    <x v="0"/>
    <s v="KSSEM Auditorium Bangalore"/>
    <n v="62036"/>
    <n v="45527"/>
    <n v="254796.5"/>
    <n v="23561.684999999998"/>
    <n v="23561.684999999998"/>
    <m/>
    <n v="308919.87"/>
    <n v="0.13"/>
    <n v="308920"/>
    <n v="7000"/>
    <n v="6150"/>
    <n v="850"/>
    <n v="0.13821138211382114"/>
  </r>
  <r>
    <n v="207"/>
    <x v="3"/>
    <d v="2026-07-31T00:00:00"/>
    <s v="KA1132/2026-27-14017"/>
    <d v="2026-07-27T00:00:00"/>
    <x v="0"/>
    <s v="KA"/>
    <x v="0"/>
    <s v="White Oak Bangalore"/>
    <n v="62037"/>
    <n v="45528"/>
    <n v="496486"/>
    <n v="44683.74"/>
    <n v="44683.74"/>
    <m/>
    <n v="585853.48"/>
    <n v="-0.48"/>
    <n v="585853"/>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s v=""/>
  </r>
  <r>
    <s v=""/>
    <x v="4"/>
    <m/>
    <m/>
    <m/>
    <x v="10"/>
    <m/>
    <x v="5"/>
    <m/>
    <m/>
    <m/>
    <m/>
    <m/>
    <m/>
    <m/>
    <m/>
    <m/>
    <m/>
    <m/>
    <m/>
    <m/>
    <m/>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s v=""/>
    <m/>
    <m/>
    <m/>
    <m/>
    <m/>
    <s v=""/>
    <s v=""/>
  </r>
  <r>
    <s v=""/>
    <x v="4"/>
    <m/>
    <m/>
    <m/>
    <x v="10"/>
    <m/>
    <x v="5"/>
    <m/>
    <m/>
    <m/>
    <m/>
    <m/>
    <m/>
    <s v=""/>
    <m/>
    <m/>
    <m/>
    <m/>
    <m/>
    <s v=""/>
    <s v=""/>
  </r>
  <r>
    <s v=""/>
    <x v="4"/>
    <m/>
    <m/>
    <m/>
    <x v="10"/>
    <m/>
    <x v="5"/>
    <m/>
    <m/>
    <m/>
    <m/>
    <m/>
    <m/>
    <s v=""/>
    <m/>
    <m/>
    <m/>
    <m/>
    <m/>
    <s v=""/>
    <s v=""/>
  </r>
  <r>
    <s v=""/>
    <x v="4"/>
    <m/>
    <m/>
    <m/>
    <x v="10"/>
    <m/>
    <x v="5"/>
    <m/>
    <m/>
    <m/>
    <m/>
    <m/>
    <m/>
    <s v=""/>
    <m/>
    <m/>
    <m/>
    <m/>
    <m/>
    <s v=""/>
    <s v=""/>
  </r>
  <r>
    <s v=""/>
    <x v="4"/>
    <m/>
    <m/>
    <m/>
    <x v="10"/>
    <m/>
    <x v="5"/>
    <m/>
    <m/>
    <m/>
    <m/>
    <m/>
    <m/>
    <s v=""/>
    <m/>
    <m/>
    <m/>
    <m/>
    <m/>
    <s v=""/>
    <s v=""/>
  </r>
  <r>
    <s v=""/>
    <x v="4"/>
    <m/>
    <m/>
    <m/>
    <x v="10"/>
    <m/>
    <x v="5"/>
    <m/>
    <m/>
    <m/>
    <m/>
    <m/>
    <m/>
    <s v=""/>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s v=""/>
    <m/>
    <m/>
    <m/>
    <m/>
    <m/>
    <s v=""/>
    <s v=""/>
  </r>
  <r>
    <s v=""/>
    <x v="4"/>
    <m/>
    <m/>
    <m/>
    <x v="10"/>
    <m/>
    <x v="5"/>
    <m/>
    <m/>
    <m/>
    <m/>
    <m/>
    <m/>
    <s v=""/>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s v=""/>
    <m/>
    <m/>
    <m/>
    <m/>
    <m/>
    <s v=""/>
    <s v=""/>
  </r>
  <r>
    <s v=""/>
    <x v="4"/>
    <m/>
    <m/>
    <m/>
    <x v="10"/>
    <m/>
    <x v="5"/>
    <m/>
    <m/>
    <m/>
    <m/>
    <m/>
    <m/>
    <m/>
    <m/>
    <m/>
    <m/>
    <m/>
    <m/>
    <s v=""/>
    <s v=""/>
  </r>
  <r>
    <s v=""/>
    <x v="4"/>
    <m/>
    <m/>
    <m/>
    <x v="10"/>
    <m/>
    <x v="5"/>
    <m/>
    <m/>
    <m/>
    <m/>
    <m/>
    <m/>
    <m/>
    <m/>
    <m/>
    <m/>
    <m/>
    <m/>
    <s v=""/>
    <s v=""/>
  </r>
  <r>
    <s v=""/>
    <x v="4"/>
    <m/>
    <m/>
    <m/>
    <x v="10"/>
    <m/>
    <x v="5"/>
    <m/>
    <m/>
    <m/>
    <m/>
    <m/>
    <m/>
    <s v=""/>
    <m/>
    <m/>
    <m/>
    <m/>
    <m/>
    <s v=""/>
    <s v=""/>
  </r>
  <r>
    <s v=""/>
    <x v="4"/>
    <m/>
    <m/>
    <m/>
    <x v="10"/>
    <m/>
    <x v="5"/>
    <m/>
    <m/>
    <m/>
    <m/>
    <m/>
    <m/>
    <s v=""/>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s v=""/>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s v=""/>
    <m/>
    <m/>
    <m/>
    <m/>
    <m/>
    <s v=""/>
    <s v=""/>
  </r>
  <r>
    <s v=""/>
    <x v="4"/>
    <m/>
    <m/>
    <m/>
    <x v="10"/>
    <m/>
    <x v="5"/>
    <m/>
    <m/>
    <m/>
    <m/>
    <m/>
    <m/>
    <s v=""/>
    <m/>
    <m/>
    <m/>
    <m/>
    <m/>
    <s v=""/>
    <s v=""/>
  </r>
  <r>
    <s v=""/>
    <x v="4"/>
    <m/>
    <m/>
    <m/>
    <x v="10"/>
    <m/>
    <x v="5"/>
    <m/>
    <m/>
    <m/>
    <m/>
    <m/>
    <m/>
    <s v=""/>
    <m/>
    <m/>
    <m/>
    <m/>
    <m/>
    <s v=""/>
    <s v=""/>
  </r>
  <r>
    <s v=""/>
    <x v="4"/>
    <m/>
    <m/>
    <m/>
    <x v="10"/>
    <m/>
    <x v="5"/>
    <m/>
    <m/>
    <m/>
    <m/>
    <m/>
    <m/>
    <m/>
    <m/>
    <m/>
    <m/>
    <m/>
    <m/>
    <s v=""/>
    <s v=""/>
  </r>
  <r>
    <s v=""/>
    <x v="4"/>
    <m/>
    <m/>
    <m/>
    <x v="10"/>
    <m/>
    <x v="5"/>
    <m/>
    <m/>
    <m/>
    <m/>
    <m/>
    <m/>
    <s v=""/>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s v=""/>
    <m/>
    <m/>
    <m/>
    <m/>
    <m/>
    <s v=""/>
    <s v=""/>
  </r>
  <r>
    <s v=""/>
    <x v="4"/>
    <m/>
    <m/>
    <m/>
    <x v="10"/>
    <m/>
    <x v="5"/>
    <m/>
    <m/>
    <m/>
    <m/>
    <m/>
    <m/>
    <s v=""/>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s v=""/>
    <m/>
    <m/>
    <m/>
    <m/>
    <m/>
    <s v=""/>
    <s v=""/>
  </r>
  <r>
    <s v=""/>
    <x v="4"/>
    <m/>
    <m/>
    <m/>
    <x v="10"/>
    <m/>
    <x v="5"/>
    <m/>
    <m/>
    <m/>
    <m/>
    <m/>
    <m/>
    <s v=""/>
    <m/>
    <m/>
    <m/>
    <m/>
    <m/>
    <s v=""/>
    <s v=""/>
  </r>
  <r>
    <s v=""/>
    <x v="4"/>
    <m/>
    <m/>
    <m/>
    <x v="10"/>
    <m/>
    <x v="5"/>
    <m/>
    <m/>
    <m/>
    <m/>
    <m/>
    <m/>
    <m/>
    <m/>
    <m/>
    <m/>
    <m/>
    <m/>
    <s v=""/>
    <s v=""/>
  </r>
  <r>
    <s v=""/>
    <x v="4"/>
    <m/>
    <m/>
    <m/>
    <x v="10"/>
    <m/>
    <x v="5"/>
    <m/>
    <m/>
    <m/>
    <m/>
    <m/>
    <m/>
    <m/>
    <m/>
    <m/>
    <m/>
    <m/>
    <m/>
    <s v=""/>
    <s v=""/>
  </r>
  <r>
    <s v=""/>
    <x v="4"/>
    <m/>
    <m/>
    <m/>
    <x v="10"/>
    <m/>
    <x v="5"/>
    <m/>
    <m/>
    <m/>
    <m/>
    <m/>
    <m/>
    <s v=""/>
    <m/>
    <m/>
    <m/>
    <m/>
    <m/>
    <s v=""/>
    <s v=""/>
  </r>
  <r>
    <s v=""/>
    <x v="4"/>
    <m/>
    <m/>
    <m/>
    <x v="10"/>
    <m/>
    <x v="5"/>
    <m/>
    <m/>
    <m/>
    <m/>
    <m/>
    <m/>
    <s v=""/>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s v=""/>
    <m/>
    <m/>
    <m/>
    <m/>
    <m/>
    <s v=""/>
    <s v=""/>
  </r>
  <r>
    <s v=""/>
    <x v="4"/>
    <m/>
    <m/>
    <m/>
    <x v="10"/>
    <m/>
    <x v="5"/>
    <m/>
    <m/>
    <m/>
    <m/>
    <m/>
    <m/>
    <s v=""/>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r>
    <s v=""/>
    <x v="4"/>
    <m/>
    <m/>
    <m/>
    <x v="10"/>
    <m/>
    <x v="5"/>
    <m/>
    <m/>
    <m/>
    <m/>
    <m/>
    <m/>
    <m/>
    <m/>
    <m/>
    <m/>
    <m/>
    <m/>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A3:B59" firstHeaderRow="1" firstDataRow="1" firstDataCol="1"/>
  <pivotFields count="12">
    <pivotField showAll="0" defaultSubtotal="0"/>
    <pivotField showAll="0"/>
    <pivotField showAll="0" defaultSubtotal="0"/>
    <pivotField showAll="0"/>
    <pivotField showAll="0"/>
    <pivotField showAll="0"/>
    <pivotField showAll="0"/>
    <pivotField axis="axisRow" showAll="0">
      <items count="72">
        <item x="2"/>
        <item x="1"/>
        <item x="12"/>
        <item x="11"/>
        <item x="7"/>
        <item x="6"/>
        <item x="5"/>
        <item x="19"/>
        <item x="33"/>
        <item x="9"/>
        <item x="25"/>
        <item x="8"/>
        <item x="4"/>
        <item x="29"/>
        <item m="1" x="67"/>
        <item x="30"/>
        <item m="1" x="57"/>
        <item x="18"/>
        <item x="16"/>
        <item m="1" x="62"/>
        <item x="22"/>
        <item x="23"/>
        <item m="1" x="59"/>
        <item x="34"/>
        <item x="31"/>
        <item x="21"/>
        <item x="20"/>
        <item x="27"/>
        <item m="1" x="65"/>
        <item m="1" x="55"/>
        <item m="1" x="56"/>
        <item x="50"/>
        <item m="1" x="58"/>
        <item x="42"/>
        <item x="10"/>
        <item x="24"/>
        <item m="1" x="60"/>
        <item x="26"/>
        <item m="1" x="61"/>
        <item m="1" x="63"/>
        <item m="1" x="64"/>
        <item m="1" x="66"/>
        <item m="1" x="68"/>
        <item x="41"/>
        <item m="1" x="69"/>
        <item x="35"/>
        <item m="1" x="70"/>
        <item x="0"/>
        <item x="3"/>
        <item x="13"/>
        <item x="14"/>
        <item x="15"/>
        <item x="17"/>
        <item x="28"/>
        <item x="32"/>
        <item x="36"/>
        <item x="37"/>
        <item x="38"/>
        <item x="39"/>
        <item x="40"/>
        <item x="43"/>
        <item x="44"/>
        <item x="45"/>
        <item x="46"/>
        <item x="47"/>
        <item x="48"/>
        <item x="49"/>
        <item x="51"/>
        <item x="52"/>
        <item x="53"/>
        <item x="54"/>
        <item t="default"/>
      </items>
    </pivotField>
    <pivotField showAll="0"/>
    <pivotField dataField="1" showAll="0"/>
    <pivotField showAll="0"/>
    <pivotField showAll="0"/>
  </pivotFields>
  <rowFields count="1">
    <field x="7"/>
  </rowFields>
  <rowItems count="56">
    <i>
      <x/>
    </i>
    <i>
      <x v="1"/>
    </i>
    <i>
      <x v="2"/>
    </i>
    <i>
      <x v="3"/>
    </i>
    <i>
      <x v="4"/>
    </i>
    <i>
      <x v="5"/>
    </i>
    <i>
      <x v="6"/>
    </i>
    <i>
      <x v="7"/>
    </i>
    <i>
      <x v="8"/>
    </i>
    <i>
      <x v="9"/>
    </i>
    <i>
      <x v="10"/>
    </i>
    <i>
      <x v="11"/>
    </i>
    <i>
      <x v="12"/>
    </i>
    <i>
      <x v="13"/>
    </i>
    <i>
      <x v="15"/>
    </i>
    <i>
      <x v="17"/>
    </i>
    <i>
      <x v="18"/>
    </i>
    <i>
      <x v="20"/>
    </i>
    <i>
      <x v="21"/>
    </i>
    <i>
      <x v="23"/>
    </i>
    <i>
      <x v="24"/>
    </i>
    <i>
      <x v="25"/>
    </i>
    <i>
      <x v="26"/>
    </i>
    <i>
      <x v="27"/>
    </i>
    <i>
      <x v="31"/>
    </i>
    <i>
      <x v="33"/>
    </i>
    <i>
      <x v="34"/>
    </i>
    <i>
      <x v="35"/>
    </i>
    <i>
      <x v="37"/>
    </i>
    <i>
      <x v="43"/>
    </i>
    <i>
      <x v="45"/>
    </i>
    <i>
      <x v="47"/>
    </i>
    <i>
      <x v="48"/>
    </i>
    <i>
      <x v="49"/>
    </i>
    <i>
      <x v="50"/>
    </i>
    <i>
      <x v="51"/>
    </i>
    <i>
      <x v="52"/>
    </i>
    <i>
      <x v="53"/>
    </i>
    <i>
      <x v="54"/>
    </i>
    <i>
      <x v="55"/>
    </i>
    <i>
      <x v="56"/>
    </i>
    <i>
      <x v="57"/>
    </i>
    <i>
      <x v="58"/>
    </i>
    <i>
      <x v="59"/>
    </i>
    <i>
      <x v="60"/>
    </i>
    <i>
      <x v="61"/>
    </i>
    <i>
      <x v="62"/>
    </i>
    <i>
      <x v="63"/>
    </i>
    <i>
      <x v="64"/>
    </i>
    <i>
      <x v="65"/>
    </i>
    <i>
      <x v="66"/>
    </i>
    <i>
      <x v="67"/>
    </i>
    <i>
      <x v="68"/>
    </i>
    <i>
      <x v="69"/>
    </i>
    <i>
      <x v="70"/>
    </i>
    <i t="grand">
      <x/>
    </i>
  </rowItems>
  <colItems count="1">
    <i/>
  </colItems>
  <dataFields count="1">
    <dataField name="Sum of Qty" fld="9" baseField="4" baseItem="0" numFmtId="166"/>
  </dataFields>
  <formats count="1">
    <format dxfId="268">
      <pivotArea outline="0" collapsedLevelsAreSubtotals="1" fieldPosition="0"/>
    </format>
  </formats>
  <chartFormats count="7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7" count="1" selected="0">
            <x v="0"/>
          </reference>
        </references>
      </pivotArea>
    </chartFormat>
    <chartFormat chart="4" format="4">
      <pivotArea type="data" outline="0" fieldPosition="0">
        <references count="2">
          <reference field="4294967294" count="1" selected="0">
            <x v="0"/>
          </reference>
          <reference field="7" count="1" selected="0">
            <x v="1"/>
          </reference>
        </references>
      </pivotArea>
    </chartFormat>
    <chartFormat chart="4" format="5">
      <pivotArea type="data" outline="0" fieldPosition="0">
        <references count="2">
          <reference field="4294967294" count="1" selected="0">
            <x v="0"/>
          </reference>
          <reference field="7" count="1" selected="0">
            <x v="2"/>
          </reference>
        </references>
      </pivotArea>
    </chartFormat>
    <chartFormat chart="4" format="6">
      <pivotArea type="data" outline="0" fieldPosition="0">
        <references count="2">
          <reference field="4294967294" count="1" selected="0">
            <x v="0"/>
          </reference>
          <reference field="7" count="1" selected="0">
            <x v="3"/>
          </reference>
        </references>
      </pivotArea>
    </chartFormat>
    <chartFormat chart="4" format="7">
      <pivotArea type="data" outline="0" fieldPosition="0">
        <references count="2">
          <reference field="4294967294" count="1" selected="0">
            <x v="0"/>
          </reference>
          <reference field="7" count="1" selected="0">
            <x v="4"/>
          </reference>
        </references>
      </pivotArea>
    </chartFormat>
    <chartFormat chart="4" format="8">
      <pivotArea type="data" outline="0" fieldPosition="0">
        <references count="2">
          <reference field="4294967294" count="1" selected="0">
            <x v="0"/>
          </reference>
          <reference field="7" count="1" selected="0">
            <x v="5"/>
          </reference>
        </references>
      </pivotArea>
    </chartFormat>
    <chartFormat chart="4" format="9">
      <pivotArea type="data" outline="0" fieldPosition="0">
        <references count="2">
          <reference field="4294967294" count="1" selected="0">
            <x v="0"/>
          </reference>
          <reference field="7" count="1" selected="0">
            <x v="6"/>
          </reference>
        </references>
      </pivotArea>
    </chartFormat>
    <chartFormat chart="4" format="12">
      <pivotArea type="data" outline="0" fieldPosition="0">
        <references count="2">
          <reference field="4294967294" count="1" selected="0">
            <x v="0"/>
          </reference>
          <reference field="7" count="1" selected="0">
            <x v="7"/>
          </reference>
        </references>
      </pivotArea>
    </chartFormat>
    <chartFormat chart="4" format="14">
      <pivotArea type="data" outline="0" fieldPosition="0">
        <references count="2">
          <reference field="4294967294" count="1" selected="0">
            <x v="0"/>
          </reference>
          <reference field="7" count="1" selected="0">
            <x v="8"/>
          </reference>
        </references>
      </pivotArea>
    </chartFormat>
    <chartFormat chart="4" format="16">
      <pivotArea type="data" outline="0" fieldPosition="0">
        <references count="2">
          <reference field="4294967294" count="1" selected="0">
            <x v="0"/>
          </reference>
          <reference field="7" count="1" selected="0">
            <x v="9"/>
          </reference>
        </references>
      </pivotArea>
    </chartFormat>
    <chartFormat chart="4" format="17">
      <pivotArea type="data" outline="0" fieldPosition="0">
        <references count="2">
          <reference field="4294967294" count="1" selected="0">
            <x v="0"/>
          </reference>
          <reference field="7" count="1" selected="0">
            <x v="10"/>
          </reference>
        </references>
      </pivotArea>
    </chartFormat>
    <chartFormat chart="4" format="18">
      <pivotArea type="data" outline="0" fieldPosition="0">
        <references count="2">
          <reference field="4294967294" count="1" selected="0">
            <x v="0"/>
          </reference>
          <reference field="7" count="1" selected="0">
            <x v="11"/>
          </reference>
        </references>
      </pivotArea>
    </chartFormat>
    <chartFormat chart="4" format="20">
      <pivotArea type="data" outline="0" fieldPosition="0">
        <references count="2">
          <reference field="4294967294" count="1" selected="0">
            <x v="0"/>
          </reference>
          <reference field="7" count="1" selected="0">
            <x v="12"/>
          </reference>
        </references>
      </pivotArea>
    </chartFormat>
    <chartFormat chart="4" format="21">
      <pivotArea type="data" outline="0" fieldPosition="0">
        <references count="2">
          <reference field="4294967294" count="1" selected="0">
            <x v="0"/>
          </reference>
          <reference field="7" count="1" selected="0">
            <x v="13"/>
          </reference>
        </references>
      </pivotArea>
    </chartFormat>
    <chartFormat chart="4" format="22">
      <pivotArea type="data" outline="0" fieldPosition="0">
        <references count="2">
          <reference field="4294967294" count="1" selected="0">
            <x v="0"/>
          </reference>
          <reference field="7" count="1" selected="0">
            <x v="14"/>
          </reference>
        </references>
      </pivotArea>
    </chartFormat>
    <chartFormat chart="4" format="26">
      <pivotArea type="data" outline="0" fieldPosition="0">
        <references count="2">
          <reference field="4294967294" count="1" selected="0">
            <x v="0"/>
          </reference>
          <reference field="7" count="1" selected="0">
            <x v="15"/>
          </reference>
        </references>
      </pivotArea>
    </chartFormat>
    <chartFormat chart="4" format="27">
      <pivotArea type="data" outline="0" fieldPosition="0">
        <references count="2">
          <reference field="4294967294" count="1" selected="0">
            <x v="0"/>
          </reference>
          <reference field="7" count="1" selected="0">
            <x v="16"/>
          </reference>
        </references>
      </pivotArea>
    </chartFormat>
    <chartFormat chart="4" format="29">
      <pivotArea type="data" outline="0" fieldPosition="0">
        <references count="2">
          <reference field="4294967294" count="1" selected="0">
            <x v="0"/>
          </reference>
          <reference field="7" count="1" selected="0">
            <x v="17"/>
          </reference>
        </references>
      </pivotArea>
    </chartFormat>
    <chartFormat chart="4" format="30">
      <pivotArea type="data" outline="0" fieldPosition="0">
        <references count="2">
          <reference field="4294967294" count="1" selected="0">
            <x v="0"/>
          </reference>
          <reference field="7" count="1" selected="0">
            <x v="18"/>
          </reference>
        </references>
      </pivotArea>
    </chartFormat>
    <chartFormat chart="4" format="31">
      <pivotArea type="data" outline="0" fieldPosition="0">
        <references count="2">
          <reference field="4294967294" count="1" selected="0">
            <x v="0"/>
          </reference>
          <reference field="7" count="1" selected="0">
            <x v="19"/>
          </reference>
        </references>
      </pivotArea>
    </chartFormat>
    <chartFormat chart="4" format="33">
      <pivotArea type="data" outline="0" fieldPosition="0">
        <references count="2">
          <reference field="4294967294" count="1" selected="0">
            <x v="0"/>
          </reference>
          <reference field="7" count="1" selected="0">
            <x v="20"/>
          </reference>
        </references>
      </pivotArea>
    </chartFormat>
    <chartFormat chart="4" format="34">
      <pivotArea type="data" outline="0" fieldPosition="0">
        <references count="2">
          <reference field="4294967294" count="1" selected="0">
            <x v="0"/>
          </reference>
          <reference field="7" count="1" selected="0">
            <x v="21"/>
          </reference>
        </references>
      </pivotArea>
    </chartFormat>
    <chartFormat chart="4" format="35">
      <pivotArea type="data" outline="0" fieldPosition="0">
        <references count="2">
          <reference field="4294967294" count="1" selected="0">
            <x v="0"/>
          </reference>
          <reference field="7" count="1" selected="0">
            <x v="22"/>
          </reference>
        </references>
      </pivotArea>
    </chartFormat>
    <chartFormat chart="4" format="36">
      <pivotArea type="data" outline="0" fieldPosition="0">
        <references count="2">
          <reference field="4294967294" count="1" selected="0">
            <x v="0"/>
          </reference>
          <reference field="7" count="1" selected="0">
            <x v="23"/>
          </reference>
        </references>
      </pivotArea>
    </chartFormat>
    <chartFormat chart="4" format="39">
      <pivotArea type="data" outline="0" fieldPosition="0">
        <references count="2">
          <reference field="4294967294" count="1" selected="0">
            <x v="0"/>
          </reference>
          <reference field="7" count="1" selected="0">
            <x v="24"/>
          </reference>
        </references>
      </pivotArea>
    </chartFormat>
    <chartFormat chart="4" format="41">
      <pivotArea type="data" outline="0" fieldPosition="0">
        <references count="2">
          <reference field="4294967294" count="1" selected="0">
            <x v="0"/>
          </reference>
          <reference field="7" count="1" selected="0">
            <x v="25"/>
          </reference>
        </references>
      </pivotArea>
    </chartFormat>
    <chartFormat chart="4" format="43">
      <pivotArea type="data" outline="0" fieldPosition="0">
        <references count="2">
          <reference field="4294967294" count="1" selected="0">
            <x v="0"/>
          </reference>
          <reference field="7" count="1" selected="0">
            <x v="26"/>
          </reference>
        </references>
      </pivotArea>
    </chartFormat>
    <chartFormat chart="4" format="44">
      <pivotArea type="data" outline="0" fieldPosition="0">
        <references count="2">
          <reference field="4294967294" count="1" selected="0">
            <x v="0"/>
          </reference>
          <reference field="7" count="1" selected="0">
            <x v="27"/>
          </reference>
        </references>
      </pivotArea>
    </chartFormat>
    <chartFormat chart="4" format="45">
      <pivotArea type="data" outline="0" fieldPosition="0">
        <references count="2">
          <reference field="4294967294" count="1" selected="0">
            <x v="0"/>
          </reference>
          <reference field="7" count="1" selected="0">
            <x v="28"/>
          </reference>
        </references>
      </pivotArea>
    </chartFormat>
    <chartFormat chart="4" format="46">
      <pivotArea type="data" outline="0" fieldPosition="0">
        <references count="2">
          <reference field="4294967294" count="1" selected="0">
            <x v="0"/>
          </reference>
          <reference field="7" count="1" selected="0">
            <x v="29"/>
          </reference>
        </references>
      </pivotArea>
    </chartFormat>
    <chartFormat chart="4" format="47">
      <pivotArea type="data" outline="0" fieldPosition="0">
        <references count="2">
          <reference field="4294967294" count="1" selected="0">
            <x v="0"/>
          </reference>
          <reference field="7" count="1" selected="0">
            <x v="30"/>
          </reference>
        </references>
      </pivotArea>
    </chartFormat>
    <chartFormat chart="4" format="48">
      <pivotArea type="data" outline="0" fieldPosition="0">
        <references count="2">
          <reference field="4294967294" count="1" selected="0">
            <x v="0"/>
          </reference>
          <reference field="7" count="1" selected="0">
            <x v="31"/>
          </reference>
        </references>
      </pivotArea>
    </chartFormat>
    <chartFormat chart="4" format="49">
      <pivotArea type="data" outline="0" fieldPosition="0">
        <references count="2">
          <reference field="4294967294" count="1" selected="0">
            <x v="0"/>
          </reference>
          <reference field="7" count="1" selected="0">
            <x v="32"/>
          </reference>
        </references>
      </pivotArea>
    </chartFormat>
    <chartFormat chart="4" format="50">
      <pivotArea type="data" outline="0" fieldPosition="0">
        <references count="2">
          <reference field="4294967294" count="1" selected="0">
            <x v="0"/>
          </reference>
          <reference field="7" count="1" selected="0">
            <x v="33"/>
          </reference>
        </references>
      </pivotArea>
    </chartFormat>
    <chartFormat chart="4" format="51">
      <pivotArea type="data" outline="0" fieldPosition="0">
        <references count="2">
          <reference field="4294967294" count="1" selected="0">
            <x v="0"/>
          </reference>
          <reference field="7" count="1" selected="0">
            <x v="34"/>
          </reference>
        </references>
      </pivotArea>
    </chartFormat>
    <chartFormat chart="4" format="52">
      <pivotArea type="data" outline="0" fieldPosition="0">
        <references count="2">
          <reference field="4294967294" count="1" selected="0">
            <x v="0"/>
          </reference>
          <reference field="7" count="1" selected="0">
            <x v="35"/>
          </reference>
        </references>
      </pivotArea>
    </chartFormat>
    <chartFormat chart="4" format="53">
      <pivotArea type="data" outline="0" fieldPosition="0">
        <references count="2">
          <reference field="4294967294" count="1" selected="0">
            <x v="0"/>
          </reference>
          <reference field="7" count="1" selected="0">
            <x v="36"/>
          </reference>
        </references>
      </pivotArea>
    </chartFormat>
    <chartFormat chart="4" format="54">
      <pivotArea type="data" outline="0" fieldPosition="0">
        <references count="2">
          <reference field="4294967294" count="1" selected="0">
            <x v="0"/>
          </reference>
          <reference field="7" count="1" selected="0">
            <x v="37"/>
          </reference>
        </references>
      </pivotArea>
    </chartFormat>
    <chartFormat chart="4" format="55">
      <pivotArea type="data" outline="0" fieldPosition="0">
        <references count="2">
          <reference field="4294967294" count="1" selected="0">
            <x v="0"/>
          </reference>
          <reference field="7" count="1" selected="0">
            <x v="38"/>
          </reference>
        </references>
      </pivotArea>
    </chartFormat>
    <chartFormat chart="4" format="56">
      <pivotArea type="data" outline="0" fieldPosition="0">
        <references count="2">
          <reference field="4294967294" count="1" selected="0">
            <x v="0"/>
          </reference>
          <reference field="7" count="1" selected="0">
            <x v="39"/>
          </reference>
        </references>
      </pivotArea>
    </chartFormat>
    <chartFormat chart="4" format="57">
      <pivotArea type="data" outline="0" fieldPosition="0">
        <references count="2">
          <reference field="4294967294" count="1" selected="0">
            <x v="0"/>
          </reference>
          <reference field="7" count="1" selected="0">
            <x v="40"/>
          </reference>
        </references>
      </pivotArea>
    </chartFormat>
    <chartFormat chart="4" format="58">
      <pivotArea type="data" outline="0" fieldPosition="0">
        <references count="2">
          <reference field="4294967294" count="1" selected="0">
            <x v="0"/>
          </reference>
          <reference field="7" count="1" selected="0">
            <x v="41"/>
          </reference>
        </references>
      </pivotArea>
    </chartFormat>
    <chartFormat chart="4" format="59">
      <pivotArea type="data" outline="0" fieldPosition="0">
        <references count="2">
          <reference field="4294967294" count="1" selected="0">
            <x v="0"/>
          </reference>
          <reference field="7" count="1" selected="0">
            <x v="42"/>
          </reference>
        </references>
      </pivotArea>
    </chartFormat>
    <chartFormat chart="4" format="60">
      <pivotArea type="data" outline="0" fieldPosition="0">
        <references count="2">
          <reference field="4294967294" count="1" selected="0">
            <x v="0"/>
          </reference>
          <reference field="7" count="1" selected="0">
            <x v="43"/>
          </reference>
        </references>
      </pivotArea>
    </chartFormat>
    <chartFormat chart="4" format="61">
      <pivotArea type="data" outline="0" fieldPosition="0">
        <references count="2">
          <reference field="4294967294" count="1" selected="0">
            <x v="0"/>
          </reference>
          <reference field="7" count="1" selected="0">
            <x v="44"/>
          </reference>
        </references>
      </pivotArea>
    </chartFormat>
    <chartFormat chart="4" format="62">
      <pivotArea type="data" outline="0" fieldPosition="0">
        <references count="2">
          <reference field="4294967294" count="1" selected="0">
            <x v="0"/>
          </reference>
          <reference field="7" count="1" selected="0">
            <x v="45"/>
          </reference>
        </references>
      </pivotArea>
    </chartFormat>
    <chartFormat chart="4" format="63">
      <pivotArea type="data" outline="0" fieldPosition="0">
        <references count="2">
          <reference field="4294967294" count="1" selected="0">
            <x v="0"/>
          </reference>
          <reference field="7" count="1" selected="0">
            <x v="46"/>
          </reference>
        </references>
      </pivotArea>
    </chartFormat>
    <chartFormat chart="4" format="64">
      <pivotArea type="data" outline="0" fieldPosition="0">
        <references count="2">
          <reference field="4294967294" count="1" selected="0">
            <x v="0"/>
          </reference>
          <reference field="7" count="1" selected="0">
            <x v="48"/>
          </reference>
        </references>
      </pivotArea>
    </chartFormat>
    <chartFormat chart="4" format="65">
      <pivotArea type="data" outline="0" fieldPosition="0">
        <references count="2">
          <reference field="4294967294" count="1" selected="0">
            <x v="0"/>
          </reference>
          <reference field="7" count="1" selected="0">
            <x v="49"/>
          </reference>
        </references>
      </pivotArea>
    </chartFormat>
    <chartFormat chart="4" format="66">
      <pivotArea type="data" outline="0" fieldPosition="0">
        <references count="2">
          <reference field="4294967294" count="1" selected="0">
            <x v="0"/>
          </reference>
          <reference field="7" count="1" selected="0">
            <x v="47"/>
          </reference>
        </references>
      </pivotArea>
    </chartFormat>
    <chartFormat chart="4" format="67">
      <pivotArea type="data" outline="0" fieldPosition="0">
        <references count="2">
          <reference field="4294967294" count="1" selected="0">
            <x v="0"/>
          </reference>
          <reference field="7" count="1" selected="0">
            <x v="50"/>
          </reference>
        </references>
      </pivotArea>
    </chartFormat>
    <chartFormat chart="4" format="68">
      <pivotArea type="data" outline="0" fieldPosition="0">
        <references count="2">
          <reference field="4294967294" count="1" selected="0">
            <x v="0"/>
          </reference>
          <reference field="7" count="1" selected="0">
            <x v="51"/>
          </reference>
        </references>
      </pivotArea>
    </chartFormat>
    <chartFormat chart="4" format="69">
      <pivotArea type="data" outline="0" fieldPosition="0">
        <references count="2">
          <reference field="4294967294" count="1" selected="0">
            <x v="0"/>
          </reference>
          <reference field="7" count="1" selected="0">
            <x v="52"/>
          </reference>
        </references>
      </pivotArea>
    </chartFormat>
    <chartFormat chart="4" format="70">
      <pivotArea type="data" outline="0" fieldPosition="0">
        <references count="2">
          <reference field="4294967294" count="1" selected="0">
            <x v="0"/>
          </reference>
          <reference field="7" count="1" selected="0">
            <x v="53"/>
          </reference>
        </references>
      </pivotArea>
    </chartFormat>
    <chartFormat chart="4" format="71">
      <pivotArea type="data" outline="0" fieldPosition="0">
        <references count="2">
          <reference field="4294967294" count="1" selected="0">
            <x v="0"/>
          </reference>
          <reference field="7" count="1" selected="0">
            <x v="54"/>
          </reference>
        </references>
      </pivotArea>
    </chartFormat>
    <chartFormat chart="4" format="72">
      <pivotArea type="data" outline="0" fieldPosition="0">
        <references count="2">
          <reference field="4294967294" count="1" selected="0">
            <x v="0"/>
          </reference>
          <reference field="7" count="1" selected="0">
            <x v="55"/>
          </reference>
        </references>
      </pivotArea>
    </chartFormat>
    <chartFormat chart="4" format="73">
      <pivotArea type="data" outline="0" fieldPosition="0">
        <references count="2">
          <reference field="4294967294" count="1" selected="0">
            <x v="0"/>
          </reference>
          <reference field="7" count="1" selected="0">
            <x v="56"/>
          </reference>
        </references>
      </pivotArea>
    </chartFormat>
    <chartFormat chart="4" format="74">
      <pivotArea type="data" outline="0" fieldPosition="0">
        <references count="2">
          <reference field="4294967294" count="1" selected="0">
            <x v="0"/>
          </reference>
          <reference field="7" count="1" selected="0">
            <x v="57"/>
          </reference>
        </references>
      </pivotArea>
    </chartFormat>
    <chartFormat chart="4" format="75">
      <pivotArea type="data" outline="0" fieldPosition="0">
        <references count="2">
          <reference field="4294967294" count="1" selected="0">
            <x v="0"/>
          </reference>
          <reference field="7" count="1" selected="0">
            <x v="58"/>
          </reference>
        </references>
      </pivotArea>
    </chartFormat>
    <chartFormat chart="4" format="76">
      <pivotArea type="data" outline="0" fieldPosition="0">
        <references count="2">
          <reference field="4294967294" count="1" selected="0">
            <x v="0"/>
          </reference>
          <reference field="7" count="1" selected="0">
            <x v="59"/>
          </reference>
        </references>
      </pivotArea>
    </chartFormat>
    <chartFormat chart="4" format="77">
      <pivotArea type="data" outline="0" fieldPosition="0">
        <references count="2">
          <reference field="4294967294" count="1" selected="0">
            <x v="0"/>
          </reference>
          <reference field="7" count="1" selected="0">
            <x v="60"/>
          </reference>
        </references>
      </pivotArea>
    </chartFormat>
    <chartFormat chart="4" format="78">
      <pivotArea type="data" outline="0" fieldPosition="0">
        <references count="2">
          <reference field="4294967294" count="1" selected="0">
            <x v="0"/>
          </reference>
          <reference field="7" count="1" selected="0">
            <x v="61"/>
          </reference>
        </references>
      </pivotArea>
    </chartFormat>
    <chartFormat chart="4" format="79">
      <pivotArea type="data" outline="0" fieldPosition="0">
        <references count="2">
          <reference field="4294967294" count="1" selected="0">
            <x v="0"/>
          </reference>
          <reference field="7" count="1" selected="0">
            <x v="62"/>
          </reference>
        </references>
      </pivotArea>
    </chartFormat>
    <chartFormat chart="4" format="80">
      <pivotArea type="data" outline="0" fieldPosition="0">
        <references count="2">
          <reference field="4294967294" count="1" selected="0">
            <x v="0"/>
          </reference>
          <reference field="7" count="1" selected="0">
            <x v="63"/>
          </reference>
        </references>
      </pivotArea>
    </chartFormat>
    <chartFormat chart="4" format="81">
      <pivotArea type="data" outline="0" fieldPosition="0">
        <references count="2">
          <reference field="4294967294" count="1" selected="0">
            <x v="0"/>
          </reference>
          <reference field="7" count="1" selected="0">
            <x v="64"/>
          </reference>
        </references>
      </pivotArea>
    </chartFormat>
    <chartFormat chart="4" format="82">
      <pivotArea type="data" outline="0" fieldPosition="0">
        <references count="2">
          <reference field="4294967294" count="1" selected="0">
            <x v="0"/>
          </reference>
          <reference field="7" count="1" selected="0">
            <x v="65"/>
          </reference>
        </references>
      </pivotArea>
    </chartFormat>
    <chartFormat chart="4" format="83">
      <pivotArea type="data" outline="0" fieldPosition="0">
        <references count="2">
          <reference field="4294967294" count="1" selected="0">
            <x v="0"/>
          </reference>
          <reference field="7" count="1" selected="0">
            <x v="66"/>
          </reference>
        </references>
      </pivotArea>
    </chartFormat>
    <chartFormat chart="4" format="84">
      <pivotArea type="data" outline="0" fieldPosition="0">
        <references count="2">
          <reference field="4294967294" count="1" selected="0">
            <x v="0"/>
          </reference>
          <reference field="7" count="1" selected="0">
            <x v="67"/>
          </reference>
        </references>
      </pivotArea>
    </chartFormat>
    <chartFormat chart="4" format="85">
      <pivotArea type="data" outline="0" fieldPosition="0">
        <references count="2">
          <reference field="4294967294" count="1" selected="0">
            <x v="0"/>
          </reference>
          <reference field="7" count="1" selected="0">
            <x v="68"/>
          </reference>
        </references>
      </pivotArea>
    </chartFormat>
    <chartFormat chart="4" format="86">
      <pivotArea type="data" outline="0" fieldPosition="0">
        <references count="2">
          <reference field="4294967294" count="1" selected="0">
            <x v="0"/>
          </reference>
          <reference field="7" count="1" selected="0">
            <x v="69"/>
          </reference>
        </references>
      </pivotArea>
    </chartFormat>
    <chartFormat chart="4" format="87">
      <pivotArea type="data" outline="0" fieldPosition="0">
        <references count="2">
          <reference field="4294967294" count="1" selected="0">
            <x v="0"/>
          </reference>
          <reference field="7" count="1" selected="0">
            <x v="7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1" cacheId="15"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59" rowHeaderCaption="MONTH">
  <location ref="A5:E11" firstHeaderRow="1" firstDataRow="2" firstDataCol="1" rowPageCount="1" colPageCount="1"/>
  <pivotFields count="23">
    <pivotField showAll="0"/>
    <pivotField axis="axisRow" multipleItemSelectionAllowed="1" showAll="0">
      <items count="18">
        <item x="0"/>
        <item x="1"/>
        <item x="2"/>
        <item x="3"/>
        <item m="1" x="5"/>
        <item h="1" x="4"/>
        <item m="1" x="6"/>
        <item m="1" x="7"/>
        <item m="1" x="8"/>
        <item m="1" x="9"/>
        <item m="1" x="10"/>
        <item m="1" x="11"/>
        <item m="1" x="12"/>
        <item m="1" x="13"/>
        <item m="1" x="15"/>
        <item h="1" m="1" x="16"/>
        <item h="1" m="1" x="14"/>
        <item t="default"/>
      </items>
    </pivotField>
    <pivotField showAll="0"/>
    <pivotField showAll="0"/>
    <pivotField showAll="0"/>
    <pivotField axis="axisPage" multipleItemSelectionAllowed="1" showAll="0">
      <items count="88">
        <item m="1" x="86"/>
        <item m="1" x="77"/>
        <item m="1" x="22"/>
        <item m="1" x="47"/>
        <item m="1" x="32"/>
        <item m="1" x="63"/>
        <item m="1" x="67"/>
        <item m="1" x="59"/>
        <item x="0"/>
        <item m="1" x="60"/>
        <item m="1" x="73"/>
        <item m="1" x="80"/>
        <item m="1" x="35"/>
        <item h="1" x="10"/>
        <item m="1" x="14"/>
        <item m="1" x="62"/>
        <item m="1" x="79"/>
        <item m="1" x="74"/>
        <item m="1" x="57"/>
        <item m="1" x="69"/>
        <item m="1" x="78"/>
        <item m="1" x="83"/>
        <item m="1" x="81"/>
        <item m="1" x="13"/>
        <item m="1" x="84"/>
        <item m="1" x="72"/>
        <item m="1" x="44"/>
        <item m="1" x="85"/>
        <item x="5"/>
        <item m="1" x="76"/>
        <item m="1" x="68"/>
        <item m="1" x="18"/>
        <item x="6"/>
        <item x="4"/>
        <item m="1" x="71"/>
        <item m="1" x="70"/>
        <item m="1" x="38"/>
        <item x="9"/>
        <item x="8"/>
        <item m="1" x="82"/>
        <item m="1" x="61"/>
        <item m="1" x="50"/>
        <item m="1" x="65"/>
        <item m="1" x="43"/>
        <item m="1" x="66"/>
        <item m="1" x="75"/>
        <item m="1" x="45"/>
        <item m="1" x="46"/>
        <item m="1" x="48"/>
        <item m="1" x="49"/>
        <item m="1" x="25"/>
        <item m="1" x="24"/>
        <item m="1" x="51"/>
        <item m="1" x="64"/>
        <item m="1" x="52"/>
        <item m="1" x="53"/>
        <item m="1" x="36"/>
        <item m="1" x="54"/>
        <item m="1" x="55"/>
        <item m="1" x="33"/>
        <item m="1" x="56"/>
        <item m="1" x="20"/>
        <item m="1" x="58"/>
        <item m="1" x="34"/>
        <item m="1" x="37"/>
        <item m="1" x="11"/>
        <item m="1" x="39"/>
        <item m="1" x="40"/>
        <item m="1" x="41"/>
        <item m="1" x="42"/>
        <item m="1" x="12"/>
        <item x="3"/>
        <item m="1" x="15"/>
        <item m="1" x="16"/>
        <item m="1" x="17"/>
        <item m="1" x="19"/>
        <item m="1" x="21"/>
        <item m="1" x="23"/>
        <item h="1" m="1" x="31"/>
        <item x="2"/>
        <item m="1" x="26"/>
        <item m="1" x="27"/>
        <item m="1" x="28"/>
        <item m="1" x="29"/>
        <item x="1"/>
        <item m="1" x="30"/>
        <item x="7"/>
        <item t="default"/>
      </items>
    </pivotField>
    <pivotField showAll="0"/>
    <pivotField showAll="0">
      <items count="12">
        <item x="0"/>
        <item m="1" x="8"/>
        <item x="4"/>
        <item m="1" x="10"/>
        <item h="1" x="5"/>
        <item x="3"/>
        <item m="1" x="9"/>
        <item x="1"/>
        <item m="1" x="6"/>
        <item m="1" x="7"/>
        <item x="2"/>
        <item t="default"/>
      </items>
    </pivotField>
    <pivotField showAll="0"/>
    <pivotField showAll="0"/>
    <pivotField showAll="0"/>
    <pivotField dataField="1" showAll="0"/>
    <pivotField showAll="0"/>
    <pivotField showAll="0"/>
    <pivotField showAll="0"/>
    <pivotField showAll="0"/>
    <pivotField showAll="0" defaultSubtotal="0"/>
    <pivotField dataField="1" showAll="0" defaultSubtotal="0"/>
    <pivotField dataField="1" showAll="0"/>
    <pivotField showAll="0"/>
    <pivotField showAll="0"/>
    <pivotField showAll="0"/>
    <pivotField dataField="1" dragToRow="0" dragToCol="0" dragToPage="0" showAll="0" defaultSubtotal="0"/>
  </pivotFields>
  <rowFields count="1">
    <field x="1"/>
  </rowFields>
  <rowItems count="5">
    <i>
      <x/>
    </i>
    <i>
      <x v="1"/>
    </i>
    <i>
      <x v="2"/>
    </i>
    <i>
      <x v="3"/>
    </i>
    <i t="grand">
      <x/>
    </i>
  </rowItems>
  <colFields count="1">
    <field x="-2"/>
  </colFields>
  <colItems count="4">
    <i>
      <x/>
    </i>
    <i i="1">
      <x v="1"/>
    </i>
    <i i="2">
      <x v="2"/>
    </i>
    <i i="3">
      <x v="3"/>
    </i>
  </colItems>
  <pageFields count="1">
    <pageField fld="5" hier="-1"/>
  </pageFields>
  <dataFields count="4">
    <dataField name=" BASIC" fld="11" baseField="5" baseItem="0" numFmtId="168"/>
    <dataField name="Freight " fld="18" baseField="5" baseItem="0"/>
    <dataField name="GST 18%" fld="22" baseField="0" baseItem="0" numFmtId="1"/>
    <dataField name="Gran Total" fld="17" baseField="1" baseItem="0"/>
  </dataFields>
  <formats count="93">
    <format dxfId="195">
      <pivotArea grandRow="1" outline="0" collapsedLevelsAreSubtotals="1" fieldPosition="0"/>
    </format>
    <format dxfId="194">
      <pivotArea grandRow="1" outline="0" collapsedLevelsAreSubtotals="1" fieldPosition="0"/>
    </format>
    <format dxfId="193">
      <pivotArea field="5" grandRow="1" outline="0" collapsedLevelsAreSubtotals="1" axis="axisPage" fieldPosition="0">
        <references count="1">
          <reference field="4294967294" count="1" selected="0">
            <x v="0"/>
          </reference>
        </references>
      </pivotArea>
    </format>
    <format dxfId="192">
      <pivotArea field="5" grandRow="1" outline="0" collapsedLevelsAreSubtotals="1" axis="axisPage" fieldPosition="0">
        <references count="1">
          <reference field="4294967294" count="1" selected="0">
            <x v="1"/>
          </reference>
        </references>
      </pivotArea>
    </format>
    <format dxfId="191">
      <pivotArea field="5" type="button" dataOnly="0" labelOnly="1" outline="0" axis="axisPage" fieldPosition="0"/>
    </format>
    <format dxfId="190">
      <pivotArea dataOnly="0" labelOnly="1" outline="0" fieldPosition="0">
        <references count="1">
          <reference field="4294967294" count="2">
            <x v="0"/>
            <x v="1"/>
          </reference>
        </references>
      </pivotArea>
    </format>
    <format dxfId="189">
      <pivotArea dataOnly="0" grandRow="1" axis="axisRow" fieldPosition="0"/>
    </format>
    <format dxfId="188">
      <pivotArea dataOnly="0" labelOnly="1" outline="0" fieldPosition="0">
        <references count="1">
          <reference field="4294967294" count="2">
            <x v="0"/>
            <x v="1"/>
          </reference>
        </references>
      </pivotArea>
    </format>
    <format dxfId="187">
      <pivotArea grandRow="1" outline="0" collapsedLevelsAreSubtotals="1" fieldPosition="0"/>
    </format>
    <format dxfId="186">
      <pivotArea field="5" grandRow="1" outline="0" collapsedLevelsAreSubtotals="1" axis="axisPage" fieldPosition="0">
        <references count="1">
          <reference field="4294967294" count="1" selected="0">
            <x v="0"/>
          </reference>
        </references>
      </pivotArea>
    </format>
    <format dxfId="185">
      <pivotArea field="5" grandRow="1" outline="0" collapsedLevelsAreSubtotals="1" axis="axisPage" fieldPosition="0">
        <references count="1">
          <reference field="4294967294" count="1" selected="0">
            <x v="1"/>
          </reference>
        </references>
      </pivotArea>
    </format>
    <format dxfId="184">
      <pivotArea outline="0" collapsedLevelsAreSubtotals="1" fieldPosition="0"/>
    </format>
    <format dxfId="183">
      <pivotArea dataOnly="0" labelOnly="1" outline="0" fieldPosition="0">
        <references count="1">
          <reference field="4294967294" count="2">
            <x v="0"/>
            <x v="1"/>
          </reference>
        </references>
      </pivotArea>
    </format>
    <format dxfId="182">
      <pivotArea dataOnly="0" labelOnly="1" outline="0" fieldPosition="0">
        <references count="1">
          <reference field="4294967294" count="2">
            <x v="0"/>
            <x v="1"/>
          </reference>
        </references>
      </pivotArea>
    </format>
    <format dxfId="181">
      <pivotArea grandRow="1" outline="0" collapsedLevelsAreSubtotals="1" fieldPosition="0"/>
    </format>
    <format dxfId="180">
      <pivotArea dataOnly="0" labelOnly="1" outline="0" fieldPosition="0">
        <references count="1">
          <reference field="4294967294" count="1">
            <x v="0"/>
          </reference>
        </references>
      </pivotArea>
    </format>
    <format dxfId="179">
      <pivotArea grandRow="1" outline="0" collapsedLevelsAreSubtotals="1" fieldPosition="0"/>
    </format>
    <format dxfId="178">
      <pivotArea field="5" grandRow="1" outline="0" collapsedLevelsAreSubtotals="1" axis="axisPage" fieldPosition="0">
        <references count="1">
          <reference field="4294967294" count="1" selected="0">
            <x v="0"/>
          </reference>
        </references>
      </pivotArea>
    </format>
    <format dxfId="177">
      <pivotArea outline="0" collapsedLevelsAreSubtotals="1" fieldPosition="0"/>
    </format>
    <format dxfId="176">
      <pivotArea dataOnly="0" labelOnly="1" outline="0" fieldPosition="0">
        <references count="1">
          <reference field="4294967294" count="2">
            <x v="0"/>
            <x v="1"/>
          </reference>
        </references>
      </pivotArea>
    </format>
    <format dxfId="175">
      <pivotArea field="5" grandRow="1" outline="0" collapsedLevelsAreSubtotals="1" axis="axisPage" fieldPosition="0">
        <references count="1">
          <reference field="4294967294" count="1" selected="0">
            <x v="1"/>
          </reference>
        </references>
      </pivotArea>
    </format>
    <format dxfId="174">
      <pivotArea dataOnly="0" labelOnly="1" outline="0" fieldPosition="0">
        <references count="1">
          <reference field="4294967294" count="2">
            <x v="0"/>
            <x v="1"/>
          </reference>
        </references>
      </pivotArea>
    </format>
    <format dxfId="173">
      <pivotArea dataOnly="0" outline="0" fieldPosition="0">
        <references count="1">
          <reference field="4294967294" count="2">
            <x v="0"/>
            <x v="1"/>
          </reference>
        </references>
      </pivotArea>
    </format>
    <format dxfId="172">
      <pivotArea field="5" grandRow="1" outline="0" collapsedLevelsAreSubtotals="1" axis="axisPage" fieldPosition="0">
        <references count="1">
          <reference field="4294967294" count="1" selected="0">
            <x v="0"/>
          </reference>
        </references>
      </pivotArea>
    </format>
    <format dxfId="171">
      <pivotArea field="1" type="button" dataOnly="0" labelOnly="1" outline="0" axis="axisRow" fieldPosition="0"/>
    </format>
    <format dxfId="170">
      <pivotArea field="1" type="button" dataOnly="0" labelOnly="1" outline="0" axis="axisRow" fieldPosition="0"/>
    </format>
    <format dxfId="169">
      <pivotArea outline="0" collapsedLevelsAreSubtotals="1" fieldPosition="0"/>
    </format>
    <format dxfId="168">
      <pivotArea field="1" type="button" dataOnly="0" labelOnly="1" outline="0" axis="axisRow" fieldPosition="0"/>
    </format>
    <format dxfId="167">
      <pivotArea dataOnly="0" labelOnly="1" grandRow="1" outline="0" fieldPosition="0"/>
    </format>
    <format dxfId="166">
      <pivotArea dataOnly="0" labelOnly="1" outline="0" fieldPosition="0">
        <references count="1">
          <reference field="4294967294" count="2">
            <x v="0"/>
            <x v="1"/>
          </reference>
        </references>
      </pivotArea>
    </format>
    <format dxfId="165">
      <pivotArea dataOnly="0" labelOnly="1" grandRow="1" outline="0" fieldPosition="0"/>
    </format>
    <format dxfId="164">
      <pivotArea field="1" grandRow="1" outline="0" collapsedLevelsAreSubtotals="1" axis="axisRow" fieldPosition="0">
        <references count="1">
          <reference field="4294967294" count="1" selected="0">
            <x v="1"/>
          </reference>
        </references>
      </pivotArea>
    </format>
    <format dxfId="163">
      <pivotArea field="1" grandRow="1" outline="0" collapsedLevelsAreSubtotals="1" axis="axisRow" fieldPosition="0">
        <references count="1">
          <reference field="4294967294" count="1" selected="0">
            <x v="1"/>
          </reference>
        </references>
      </pivotArea>
    </format>
    <format dxfId="162">
      <pivotArea field="1" grandRow="1" outline="0" collapsedLevelsAreSubtotals="1" axis="axisRow" fieldPosition="0">
        <references count="1">
          <reference field="4294967294" count="1" selected="0">
            <x v="1"/>
          </reference>
        </references>
      </pivotArea>
    </format>
    <format dxfId="161">
      <pivotArea field="1" type="button" dataOnly="0" labelOnly="1" outline="0" axis="axisRow" fieldPosition="0"/>
    </format>
    <format dxfId="160">
      <pivotArea dataOnly="0" labelOnly="1" grandRow="1" outline="0" fieldPosition="0"/>
    </format>
    <format dxfId="159">
      <pivotArea field="1" grandRow="1" outline="0" collapsedLevelsAreSubtotals="1" axis="axisRow" fieldPosition="0">
        <references count="1">
          <reference field="4294967294" count="1" selected="0">
            <x v="2"/>
          </reference>
        </references>
      </pivotArea>
    </format>
    <format dxfId="158">
      <pivotArea field="1" grandRow="1" outline="0" collapsedLevelsAreSubtotals="1" axis="axisRow" fieldPosition="0">
        <references count="1">
          <reference field="4294967294" count="1" selected="0">
            <x v="2"/>
          </reference>
        </references>
      </pivotArea>
    </format>
    <format dxfId="157">
      <pivotArea outline="0" collapsedLevelsAreSubtotals="1" fieldPosition="0"/>
    </format>
    <format dxfId="156">
      <pivotArea field="1" type="button" dataOnly="0" labelOnly="1" outline="0" axis="axisRow" fieldPosition="0"/>
    </format>
    <format dxfId="155">
      <pivotArea dataOnly="0" labelOnly="1" grandRow="1" outline="0" fieldPosition="0"/>
    </format>
    <format dxfId="154">
      <pivotArea dataOnly="0" labelOnly="1" outline="0" fieldPosition="0">
        <references count="1">
          <reference field="4294967294" count="3">
            <x v="0"/>
            <x v="1"/>
            <x v="2"/>
          </reference>
        </references>
      </pivotArea>
    </format>
    <format dxfId="153">
      <pivotArea dataOnly="0" labelOnly="1" outline="0" fieldPosition="0">
        <references count="1">
          <reference field="4294967294" count="1">
            <x v="2"/>
          </reference>
        </references>
      </pivotArea>
    </format>
    <format dxfId="152">
      <pivotArea dataOnly="0" labelOnly="1" outline="0" fieldPosition="0">
        <references count="1">
          <reference field="4294967294" count="1">
            <x v="2"/>
          </reference>
        </references>
      </pivotArea>
    </format>
    <format dxfId="151">
      <pivotArea dataOnly="0" labelOnly="1" outline="0" fieldPosition="0">
        <references count="1">
          <reference field="4294967294" count="1">
            <x v="2"/>
          </reference>
        </references>
      </pivotArea>
    </format>
    <format dxfId="150">
      <pivotArea dataOnly="0" labelOnly="1" outline="0" fieldPosition="0">
        <references count="1">
          <reference field="4294967294" count="1">
            <x v="2"/>
          </reference>
        </references>
      </pivotArea>
    </format>
    <format dxfId="149">
      <pivotArea outline="0" collapsedLevelsAreSubtotals="1" fieldPosition="0">
        <references count="1">
          <reference field="4294967294" count="1" selected="0">
            <x v="0"/>
          </reference>
        </references>
      </pivotArea>
    </format>
    <format dxfId="148">
      <pivotArea outline="0" collapsedLevelsAreSubtotals="1" fieldPosition="0">
        <references count="1">
          <reference field="4294967294" count="1" selected="0">
            <x v="2"/>
          </reference>
        </references>
      </pivotArea>
    </format>
    <format dxfId="147">
      <pivotArea outline="0" collapsedLevelsAreSubtotals="1" fieldPosition="0">
        <references count="1">
          <reference field="4294967294" count="1" selected="0">
            <x v="2"/>
          </reference>
        </references>
      </pivotArea>
    </format>
    <format dxfId="146">
      <pivotArea outline="0" collapsedLevelsAreSubtotals="1" fieldPosition="0">
        <references count="1">
          <reference field="4294967294" count="1" selected="0">
            <x v="1"/>
          </reference>
        </references>
      </pivotArea>
    </format>
    <format dxfId="145">
      <pivotArea outline="0" collapsedLevelsAreSubtotals="1" fieldPosition="0"/>
    </format>
    <format dxfId="144">
      <pivotArea field="1" type="button" dataOnly="0" labelOnly="1" outline="0" axis="axisRow" fieldPosition="0"/>
    </format>
    <format dxfId="143">
      <pivotArea dataOnly="0" labelOnly="1" outline="0" fieldPosition="0">
        <references count="1">
          <reference field="4294967294" count="3">
            <x v="0"/>
            <x v="1"/>
            <x v="2"/>
          </reference>
        </references>
      </pivotArea>
    </format>
    <format dxfId="142">
      <pivotArea field="1" grandRow="1" outline="0" collapsedLevelsAreSubtotals="1" axis="axisRow" fieldPosition="0">
        <references count="1">
          <reference field="4294967294" count="1" selected="0">
            <x v="2"/>
          </reference>
        </references>
      </pivotArea>
    </format>
    <format dxfId="141">
      <pivotArea outline="0" collapsedLevelsAreSubtotals="1" fieldPosition="0"/>
    </format>
    <format dxfId="140">
      <pivotArea dataOnly="0" labelOnly="1" outline="0" fieldPosition="0">
        <references count="1">
          <reference field="4294967294" count="3">
            <x v="0"/>
            <x v="1"/>
            <x v="2"/>
          </reference>
        </references>
      </pivotArea>
    </format>
    <format dxfId="139">
      <pivotArea field="1" grandRow="1" outline="0" collapsedLevelsAreSubtotals="1" axis="axisRow" fieldPosition="0">
        <references count="1">
          <reference field="4294967294" count="2" selected="0">
            <x v="1"/>
            <x v="2"/>
          </reference>
        </references>
      </pivotArea>
    </format>
    <format dxfId="138">
      <pivotArea field="1" grandRow="1" outline="0" collapsedLevelsAreSubtotals="1" axis="axisRow" fieldPosition="0">
        <references count="1">
          <reference field="4294967294" count="2" selected="0">
            <x v="1"/>
            <x v="2"/>
          </reference>
        </references>
      </pivotArea>
    </format>
    <format dxfId="137">
      <pivotArea field="1" grandRow="1" outline="0" collapsedLevelsAreSubtotals="1" axis="axisRow" fieldPosition="0">
        <references count="1">
          <reference field="4294967294" count="1" selected="0">
            <x v="0"/>
          </reference>
        </references>
      </pivotArea>
    </format>
    <format dxfId="136">
      <pivotArea dataOnly="0" labelOnly="1" outline="0" fieldPosition="0">
        <references count="1">
          <reference field="4294967294" count="1">
            <x v="3"/>
          </reference>
        </references>
      </pivotArea>
    </format>
    <format dxfId="135">
      <pivotArea dataOnly="0" labelOnly="1" outline="0" fieldPosition="0">
        <references count="1">
          <reference field="4294967294" count="1">
            <x v="3"/>
          </reference>
        </references>
      </pivotArea>
    </format>
    <format dxfId="134">
      <pivotArea dataOnly="0" labelOnly="1" outline="0" fieldPosition="0">
        <references count="1">
          <reference field="4294967294" count="1">
            <x v="3"/>
          </reference>
        </references>
      </pivotArea>
    </format>
    <format dxfId="133">
      <pivotArea dataOnly="0" labelOnly="1" outline="0" fieldPosition="0">
        <references count="1">
          <reference field="4294967294" count="1">
            <x v="3"/>
          </reference>
        </references>
      </pivotArea>
    </format>
    <format dxfId="132">
      <pivotArea dataOnly="0" labelOnly="1" outline="0" fieldPosition="0">
        <references count="1">
          <reference field="4294967294" count="1">
            <x v="3"/>
          </reference>
        </references>
      </pivotArea>
    </format>
    <format dxfId="131">
      <pivotArea field="1" grandRow="1" outline="0" collapsedLevelsAreSubtotals="1" axis="axisRow" fieldPosition="0">
        <references count="1">
          <reference field="4294967294" count="1" selected="0">
            <x v="3"/>
          </reference>
        </references>
      </pivotArea>
    </format>
    <format dxfId="130">
      <pivotArea field="1" grandRow="1" outline="0" collapsedLevelsAreSubtotals="1" axis="axisRow" fieldPosition="0">
        <references count="1">
          <reference field="4294967294" count="1" selected="0">
            <x v="3"/>
          </reference>
        </references>
      </pivotArea>
    </format>
    <format dxfId="129">
      <pivotArea field="1" grandRow="1" outline="0" collapsedLevelsAreSubtotals="1" axis="axisRow" fieldPosition="0">
        <references count="1">
          <reference field="4294967294" count="1" selected="0">
            <x v="3"/>
          </reference>
        </references>
      </pivotArea>
    </format>
    <format dxfId="128">
      <pivotArea field="1" grandRow="1" outline="0" collapsedLevelsAreSubtotals="1" axis="axisRow" fieldPosition="0">
        <references count="1">
          <reference field="4294967294" count="1" selected="0">
            <x v="0"/>
          </reference>
        </references>
      </pivotArea>
    </format>
    <format dxfId="127">
      <pivotArea outline="0" collapsedLevelsAreSubtotals="1" fieldPosition="0"/>
    </format>
    <format dxfId="126">
      <pivotArea dataOnly="0" labelOnly="1" outline="0" fieldPosition="0">
        <references count="1">
          <reference field="4294967294" count="4">
            <x v="0"/>
            <x v="1"/>
            <x v="2"/>
            <x v="3"/>
          </reference>
        </references>
      </pivotArea>
    </format>
    <format dxfId="125">
      <pivotArea dataOnly="0" outline="0" fieldPosition="0">
        <references count="1">
          <reference field="4294967294" count="1">
            <x v="3"/>
          </reference>
        </references>
      </pivotArea>
    </format>
    <format dxfId="124">
      <pivotArea outline="0" collapsedLevelsAreSubtotals="1" fieldPosition="0"/>
    </format>
    <format dxfId="123">
      <pivotArea field="7" type="button" dataOnly="0" labelOnly="1" outline="0"/>
    </format>
    <format dxfId="122">
      <pivotArea field="7" type="button" dataOnly="0" labelOnly="1" outline="0"/>
    </format>
    <format dxfId="121">
      <pivotArea field="7" type="button" dataOnly="0" labelOnly="1" outline="0"/>
    </format>
    <format dxfId="120">
      <pivotArea outline="0" collapsedLevelsAreSubtotals="1" fieldPosition="0"/>
    </format>
    <format dxfId="119">
      <pivotArea field="7" type="button" dataOnly="0" labelOnly="1" outline="0"/>
    </format>
    <format dxfId="118">
      <pivotArea dataOnly="0" labelOnly="1" outline="0" fieldPosition="0">
        <references count="1">
          <reference field="4294967294" count="4">
            <x v="0"/>
            <x v="1"/>
            <x v="2"/>
            <x v="3"/>
          </reference>
        </references>
      </pivotArea>
    </format>
    <format dxfId="117">
      <pivotArea outline="0" collapsedLevelsAreSubtotals="1" fieldPosition="0"/>
    </format>
    <format dxfId="116">
      <pivotArea dataOnly="0" labelOnly="1" outline="0" fieldPosition="0">
        <references count="1">
          <reference field="4294967294" count="4">
            <x v="0"/>
            <x v="1"/>
            <x v="2"/>
            <x v="3"/>
          </reference>
        </references>
      </pivotArea>
    </format>
    <format dxfId="115">
      <pivotArea field="7" type="button" dataOnly="0" labelOnly="1" outline="0"/>
    </format>
    <format dxfId="114">
      <pivotArea field="7" type="button" dataOnly="0" labelOnly="1" outline="0"/>
    </format>
    <format dxfId="113">
      <pivotArea dataOnly="0" labelOnly="1" grandRow="1" outline="0" fieldPosition="0"/>
    </format>
    <format dxfId="112">
      <pivotArea field="1" type="button" dataOnly="0" labelOnly="1" outline="0" axis="axisRow" fieldPosition="0"/>
    </format>
    <format dxfId="111">
      <pivotArea field="7" type="button" dataOnly="0" labelOnly="1" outline="0"/>
    </format>
    <format dxfId="110">
      <pivotArea dataOnly="0" labelOnly="1" grandRow="1" outline="0" fieldPosition="0"/>
    </format>
    <format dxfId="109">
      <pivotArea field="7" type="button" dataOnly="0" labelOnly="1" outline="0"/>
    </format>
    <format dxfId="108">
      <pivotArea dataOnly="0" labelOnly="1" grandRow="1" outline="0" fieldPosition="0"/>
    </format>
    <format dxfId="107">
      <pivotArea field="7" type="button" dataOnly="0" labelOnly="1" outline="0"/>
    </format>
    <format dxfId="106">
      <pivotArea dataOnly="0" labelOnly="1" grandRow="1" outline="0" fieldPosition="0"/>
    </format>
    <format dxfId="105">
      <pivotArea field="7" type="button" dataOnly="0" labelOnly="1" outline="0"/>
    </format>
    <format dxfId="104">
      <pivotArea dataOnly="0" labelOnly="1" grandRow="1" outline="0" fieldPosition="0"/>
    </format>
    <format dxfId="103">
      <pivotArea dataOnly="0" labelOnly="1" fieldPosition="0">
        <references count="1">
          <reference field="1"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2"/>
          </reference>
        </references>
      </pivotArea>
    </chartFormat>
    <chartFormat chart="0" format="24" series="1">
      <pivotArea type="data" outline="0" fieldPosition="0">
        <references count="1">
          <reference field="4294967294" count="1" selected="0">
            <x v="3"/>
          </reference>
        </references>
      </pivotArea>
    </chartFormat>
  </chartFormats>
  <pivotTableStyleInfo name="PivotStyleMedium21"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6:C31" firstHeaderRow="1" firstDataRow="2" firstDataCol="1" rowPageCount="2" colPageCount="1"/>
  <pivotFields count="14">
    <pivotField showAll="0"/>
    <pivotField axis="axisPage" multipleItemSelectionAllowed="1" showAll="0">
      <items count="14">
        <item x="0"/>
        <item x="1"/>
        <item x="2"/>
        <item x="3"/>
        <item m="1" x="6"/>
        <item m="1" x="7"/>
        <item m="1" x="8"/>
        <item m="1" x="9"/>
        <item m="1" x="10"/>
        <item x="4"/>
        <item m="1" x="5"/>
        <item m="1" x="11"/>
        <item m="1" x="12"/>
        <item t="default"/>
      </items>
    </pivotField>
    <pivotField showAll="0" defaultSubtotal="0">
      <items count="89">
        <item x="0"/>
        <item x="1"/>
        <item x="2"/>
        <item x="3"/>
        <item x="4"/>
        <item x="5"/>
        <item x="6"/>
        <item x="88"/>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pivotField>
    <pivotField showAll="0"/>
    <pivotField showAll="0"/>
    <pivotField showAll="0"/>
    <pivotField showAll="0"/>
    <pivotField axis="axisPage" multipleItemSelectionAllowed="1" showAll="0">
      <items count="410">
        <item h="1" m="1" x="397"/>
        <item h="1" x="6"/>
        <item m="1" x="407"/>
        <item x="82"/>
        <item x="0"/>
        <item h="1" x="28"/>
        <item m="1" x="108"/>
        <item h="1" x="13"/>
        <item h="1" x="1"/>
        <item h="1" x="15"/>
        <item x="37"/>
        <item m="1" x="374"/>
        <item m="1" x="398"/>
        <item x="38"/>
        <item m="1" x="321"/>
        <item m="1" x="369"/>
        <item m="1" x="313"/>
        <item m="1" x="294"/>
        <item m="1" x="97"/>
        <item x="24"/>
        <item m="1" x="352"/>
        <item m="1" x="291"/>
        <item h="1" x="14"/>
        <item h="1" x="21"/>
        <item x="36"/>
        <item x="35"/>
        <item m="1" x="366"/>
        <item m="1" x="113"/>
        <item x="33"/>
        <item m="1" x="182"/>
        <item x="11"/>
        <item x="4"/>
        <item x="30"/>
        <item h="1" x="2"/>
        <item x="8"/>
        <item m="1" x="326"/>
        <item m="1" x="325"/>
        <item m="1" x="370"/>
        <item x="57"/>
        <item x="56"/>
        <item x="31"/>
        <item x="59"/>
        <item x="58"/>
        <item x="71"/>
        <item x="53"/>
        <item x="32"/>
        <item h="1" m="1" x="100"/>
        <item m="1" x="350"/>
        <item m="1" x="405"/>
        <item m="1" x="296"/>
        <item m="1" x="389"/>
        <item m="1" x="131"/>
        <item m="1" x="299"/>
        <item h="1" m="1" x="361"/>
        <item x="5"/>
        <item h="1" x="91"/>
        <item x="17"/>
        <item m="1" x="320"/>
        <item x="80"/>
        <item m="1" x="103"/>
        <item m="1" x="104"/>
        <item m="1" x="373"/>
        <item m="1" x="282"/>
        <item m="1" x="331"/>
        <item x="64"/>
        <item x="27"/>
        <item x="40"/>
        <item m="1" x="394"/>
        <item h="1" x="23"/>
        <item x="75"/>
        <item x="68"/>
        <item m="1" x="310"/>
        <item m="1" x="392"/>
        <item m="1" x="383"/>
        <item m="1" x="391"/>
        <item m="1" x="393"/>
        <item m="1" x="332"/>
        <item m="1" x="345"/>
        <item m="1" x="289"/>
        <item h="1" m="1" x="367"/>
        <item m="1" x="327"/>
        <item m="1" x="402"/>
        <item m="1" x="380"/>
        <item h="1" m="1" x="276"/>
        <item m="1" x="126"/>
        <item h="1" m="1" x="110"/>
        <item x="55"/>
        <item x="19"/>
        <item m="1" x="306"/>
        <item m="1" x="371"/>
        <item m="1" x="387"/>
        <item m="1" x="268"/>
        <item m="1" x="293"/>
        <item m="1" x="300"/>
        <item m="1" x="270"/>
        <item m="1" x="328"/>
        <item m="1" x="275"/>
        <item m="1" x="314"/>
        <item m="1" x="329"/>
        <item m="1" x="335"/>
        <item m="1" x="302"/>
        <item m="1" x="403"/>
        <item m="1" x="396"/>
        <item h="1" m="1" x="94"/>
        <item m="1" x="112"/>
        <item m="1" x="400"/>
        <item m="1" x="382"/>
        <item m="1" x="372"/>
        <item m="1" x="319"/>
        <item m="1" x="272"/>
        <item m="1" x="295"/>
        <item h="1" m="1" x="115"/>
        <item m="1" x="347"/>
        <item m="1" x="290"/>
        <item m="1" x="378"/>
        <item m="1" x="292"/>
        <item m="1" x="298"/>
        <item m="1" x="349"/>
        <item m="1" x="358"/>
        <item m="1" x="355"/>
        <item m="1" x="359"/>
        <item m="1" x="297"/>
        <item m="1" x="354"/>
        <item m="1" x="364"/>
        <item m="1" x="92"/>
        <item m="1" x="363"/>
        <item h="1" m="1" x="333"/>
        <item m="1" x="279"/>
        <item h="1" m="1" x="351"/>
        <item h="1" m="1" x="283"/>
        <item h="1" m="1" x="404"/>
        <item m="1" x="124"/>
        <item m="1" x="195"/>
        <item h="1" m="1" x="95"/>
        <item m="1" x="340"/>
        <item m="1" x="375"/>
        <item m="1" x="338"/>
        <item m="1" x="341"/>
        <item m="1" x="336"/>
        <item m="1" x="344"/>
        <item h="1" m="1" x="93"/>
        <item m="1" x="305"/>
        <item m="1" x="278"/>
        <item m="1" x="116"/>
        <item m="1" x="102"/>
        <item h="1" m="1" x="269"/>
        <item h="1" x="18"/>
        <item m="1" x="274"/>
        <item m="1" x="360"/>
        <item m="1" x="273"/>
        <item h="1" x="3"/>
        <item m="1" x="346"/>
        <item m="1" x="339"/>
        <item m="1" x="368"/>
        <item m="1" x="106"/>
        <item m="1" x="384"/>
        <item m="1" x="318"/>
        <item m="1" x="99"/>
        <item x="61"/>
        <item h="1" m="1" x="322"/>
        <item m="1" x="303"/>
        <item m="1" x="390"/>
        <item m="1" x="118"/>
        <item m="1" x="271"/>
        <item m="1" x="285"/>
        <item m="1" x="401"/>
        <item m="1" x="381"/>
        <item m="1" x="288"/>
        <item m="1" x="408"/>
        <item m="1" x="267"/>
        <item h="1" m="1" x="312"/>
        <item x="54"/>
        <item m="1" x="120"/>
        <item m="1" x="96"/>
        <item m="1" x="280"/>
        <item m="1" x="337"/>
        <item m="1" x="353"/>
        <item m="1" x="114"/>
        <item m="1" x="287"/>
        <item m="1" x="286"/>
        <item m="1" x="284"/>
        <item m="1" x="304"/>
        <item m="1" x="379"/>
        <item m="1" x="388"/>
        <item m="1" x="356"/>
        <item m="1" x="147"/>
        <item h="1" m="1" x="301"/>
        <item h="1" m="1" x="376"/>
        <item h="1" m="1" x="377"/>
        <item h="1" m="1" x="342"/>
        <item h="1" m="1" x="343"/>
        <item h="1" m="1" x="311"/>
        <item h="1" m="1" x="386"/>
        <item h="1" m="1" x="277"/>
        <item h="1" m="1" x="129"/>
        <item h="1" m="1" x="399"/>
        <item h="1" m="1" x="323"/>
        <item h="1" m="1" x="324"/>
        <item h="1" x="34"/>
        <item h="1" m="1" x="406"/>
        <item h="1" m="1" x="317"/>
        <item h="1" m="1" x="348"/>
        <item h="1" m="1" x="362"/>
        <item h="1" m="1" x="334"/>
        <item h="1" m="1" x="330"/>
        <item h="1" x="86"/>
        <item h="1" m="1" x="365"/>
        <item h="1" m="1" x="98"/>
        <item h="1" m="1" x="281"/>
        <item h="1" m="1" x="385"/>
        <item h="1" m="1" x="357"/>
        <item h="1" m="1" x="308"/>
        <item h="1" m="1" x="309"/>
        <item h="1" m="1" x="395"/>
        <item h="1" m="1" x="316"/>
        <item h="1" m="1" x="307"/>
        <item h="1" x="39"/>
        <item h="1" m="1" x="315"/>
        <item h="1" m="1" x="101"/>
        <item h="1" m="1" x="105"/>
        <item h="1" x="60"/>
        <item h="1" m="1" x="107"/>
        <item h="1" m="1" x="109"/>
        <item h="1" m="1" x="111"/>
        <item h="1" m="1" x="117"/>
        <item h="1" m="1" x="119"/>
        <item h="1" m="1" x="121"/>
        <item h="1" m="1" x="122"/>
        <item h="1" m="1" x="123"/>
        <item h="1" m="1" x="125"/>
        <item h="1" m="1" x="127"/>
        <item h="1" m="1" x="128"/>
        <item h="1" m="1" x="130"/>
        <item h="1" m="1" x="132"/>
        <item h="1" m="1" x="133"/>
        <item h="1" m="1" x="134"/>
        <item h="1" m="1" x="135"/>
        <item h="1" m="1" x="136"/>
        <item h="1" m="1" x="137"/>
        <item h="1" m="1" x="138"/>
        <item h="1" m="1" x="139"/>
        <item h="1" m="1" x="140"/>
        <item h="1" m="1" x="141"/>
        <item h="1" m="1" x="142"/>
        <item h="1" m="1" x="143"/>
        <item h="1" m="1" x="144"/>
        <item h="1" m="1" x="145"/>
        <item h="1" m="1" x="146"/>
        <item h="1" m="1" x="148"/>
        <item h="1" m="1" x="149"/>
        <item h="1" x="69"/>
        <item h="1" m="1" x="150"/>
        <item h="1" m="1" x="151"/>
        <item h="1" m="1" x="152"/>
        <item h="1" m="1" x="153"/>
        <item h="1" m="1" x="154"/>
        <item h="1" m="1" x="155"/>
        <item h="1" m="1" x="156"/>
        <item h="1" m="1" x="157"/>
        <item h="1" m="1" x="158"/>
        <item h="1" m="1" x="159"/>
        <item h="1" m="1" x="160"/>
        <item h="1" m="1" x="161"/>
        <item h="1" m="1" x="162"/>
        <item h="1" m="1" x="163"/>
        <item h="1" m="1" x="164"/>
        <item h="1" m="1" x="165"/>
        <item h="1" m="1" x="166"/>
        <item h="1" m="1" x="167"/>
        <item h="1" m="1" x="168"/>
        <item h="1" m="1" x="169"/>
        <item h="1" m="1" x="170"/>
        <item h="1" m="1" x="171"/>
        <item h="1" m="1" x="172"/>
        <item h="1" m="1" x="173"/>
        <item h="1" m="1" x="174"/>
        <item h="1" m="1" x="175"/>
        <item h="1" m="1" x="176"/>
        <item h="1" m="1" x="177"/>
        <item h="1" m="1" x="178"/>
        <item h="1" m="1" x="179"/>
        <item h="1" m="1" x="180"/>
        <item h="1" m="1" x="181"/>
        <item h="1" m="1" x="183"/>
        <item h="1" m="1" x="184"/>
        <item h="1" m="1" x="185"/>
        <item h="1" m="1" x="186"/>
        <item h="1" m="1" x="187"/>
        <item h="1" m="1" x="188"/>
        <item h="1" m="1" x="189"/>
        <item h="1" m="1" x="190"/>
        <item h="1" m="1" x="191"/>
        <item h="1" m="1" x="192"/>
        <item h="1" m="1" x="193"/>
        <item h="1" m="1" x="194"/>
        <item h="1" x="12"/>
        <item h="1" m="1" x="196"/>
        <item h="1" m="1" x="197"/>
        <item h="1" m="1" x="198"/>
        <item h="1" m="1" x="199"/>
        <item h="1" m="1" x="200"/>
        <item h="1" m="1" x="201"/>
        <item h="1" m="1" x="202"/>
        <item h="1" m="1" x="203"/>
        <item h="1" m="1" x="204"/>
        <item h="1" m="1" x="205"/>
        <item h="1" m="1" x="206"/>
        <item h="1" m="1" x="207"/>
        <item h="1" m="1" x="208"/>
        <item h="1" m="1" x="209"/>
        <item h="1" m="1" x="210"/>
        <item h="1" m="1" x="211"/>
        <item h="1" m="1" x="212"/>
        <item h="1" x="51"/>
        <item h="1" m="1" x="213"/>
        <item h="1" m="1" x="214"/>
        <item h="1" m="1" x="215"/>
        <item h="1" m="1" x="216"/>
        <item h="1" m="1" x="217"/>
        <item h="1" m="1" x="218"/>
        <item h="1" m="1" x="219"/>
        <item h="1" m="1" x="220"/>
        <item h="1" m="1" x="221"/>
        <item h="1" m="1" x="222"/>
        <item h="1" x="47"/>
        <item h="1" m="1" x="223"/>
        <item h="1" m="1" x="224"/>
        <item h="1" m="1" x="225"/>
        <item h="1" x="44"/>
        <item h="1" m="1" x="226"/>
        <item h="1" x="67"/>
        <item h="1" m="1" x="227"/>
        <item h="1" m="1" x="228"/>
        <item h="1" m="1" x="229"/>
        <item h="1" m="1" x="230"/>
        <item h="1" m="1" x="231"/>
        <item h="1" x="25"/>
        <item h="1" m="1" x="232"/>
        <item h="1" m="1" x="233"/>
        <item h="1" m="1" x="234"/>
        <item h="1" m="1" x="235"/>
        <item h="1" m="1" x="236"/>
        <item h="1" x="48"/>
        <item h="1" m="1" x="237"/>
        <item h="1" x="22"/>
        <item h="1" m="1" x="238"/>
        <item h="1" m="1" x="239"/>
        <item h="1" m="1" x="240"/>
        <item h="1" m="1" x="241"/>
        <item h="1" m="1" x="242"/>
        <item h="1" m="1" x="243"/>
        <item h="1" m="1" x="244"/>
        <item h="1" m="1" x="245"/>
        <item h="1" m="1" x="246"/>
        <item h="1" m="1" x="247"/>
        <item h="1" m="1" x="248"/>
        <item h="1" m="1" x="249"/>
        <item h="1" m="1" x="250"/>
        <item h="1" m="1" x="251"/>
        <item h="1" m="1" x="252"/>
        <item h="1" m="1" x="253"/>
        <item h="1" m="1" x="254"/>
        <item h="1" x="26"/>
        <item h="1" m="1" x="255"/>
        <item h="1" m="1" x="256"/>
        <item h="1" m="1" x="257"/>
        <item h="1" m="1" x="258"/>
        <item h="1" m="1" x="259"/>
        <item h="1" x="42"/>
        <item h="1" m="1" x="260"/>
        <item h="1" m="1" x="261"/>
        <item h="1" m="1" x="262"/>
        <item h="1" m="1" x="263"/>
        <item h="1" m="1" x="264"/>
        <item h="1" m="1" x="265"/>
        <item h="1" m="1" x="266"/>
        <item h="1" x="10"/>
        <item h="1" x="9"/>
        <item h="1" x="7"/>
        <item h="1" x="16"/>
        <item h="1" x="20"/>
        <item h="1" x="29"/>
        <item h="1" x="41"/>
        <item h="1" x="43"/>
        <item h="1" x="45"/>
        <item h="1" x="46"/>
        <item h="1" x="49"/>
        <item h="1" x="50"/>
        <item h="1" x="52"/>
        <item h="1" x="62"/>
        <item h="1" x="63"/>
        <item h="1" x="65"/>
        <item h="1" x="66"/>
        <item h="1" x="70"/>
        <item h="1" x="72"/>
        <item h="1" x="73"/>
        <item h="1" x="74"/>
        <item h="1" x="76"/>
        <item h="1" x="77"/>
        <item h="1" x="78"/>
        <item h="1" x="79"/>
        <item h="1" x="81"/>
        <item h="1" x="83"/>
        <item h="1" x="84"/>
        <item h="1" x="85"/>
        <item h="1" x="87"/>
        <item h="1" x="88"/>
        <item h="1" x="89"/>
        <item h="1" x="90"/>
        <item t="default"/>
      </items>
    </pivotField>
    <pivotField showAll="0"/>
    <pivotField axis="axisCol" showAll="0">
      <items count="15">
        <item h="1" x="4"/>
        <item x="1"/>
        <item x="2"/>
        <item x="0"/>
        <item h="1" x="6"/>
        <item h="1" m="1" x="7"/>
        <item h="1" m="1" x="8"/>
        <item h="1" m="1" x="9"/>
        <item h="1" m="1" x="10"/>
        <item h="1" x="3"/>
        <item h="1" m="1" x="11"/>
        <item h="1" m="1" x="12"/>
        <item h="1" m="1" x="13"/>
        <item h="1" x="5"/>
        <item t="default"/>
      </items>
    </pivotField>
    <pivotField dataField="1" showAll="0"/>
    <pivotField showAll="0"/>
    <pivotField numFmtId="43" showAll="0"/>
    <pivotField axis="axisRow" showAll="0">
      <items count="15">
        <item x="0"/>
        <item x="1"/>
        <item x="2"/>
        <item x="3"/>
        <item x="4"/>
        <item x="5"/>
        <item x="6"/>
        <item x="7"/>
        <item x="8"/>
        <item x="9"/>
        <item x="10"/>
        <item x="11"/>
        <item x="12"/>
        <item x="13"/>
        <item t="default"/>
      </items>
    </pivotField>
  </pivotFields>
  <rowFields count="1">
    <field x="13"/>
  </rowFields>
  <rowItems count="4">
    <i>
      <x v="4"/>
    </i>
    <i>
      <x v="5"/>
    </i>
    <i>
      <x v="6"/>
    </i>
    <i>
      <x v="7"/>
    </i>
  </rowItems>
  <colFields count="1">
    <field x="9"/>
  </colFields>
  <colItems count="2">
    <i>
      <x v="1"/>
    </i>
    <i>
      <x v="3"/>
    </i>
  </colItems>
  <pageFields count="2">
    <pageField fld="1" hier="-1"/>
    <pageField fld="7" hier="-1"/>
  </pageFields>
  <dataFields count="1">
    <dataField name="Sum of Qty" fld="10" baseField="0" baseItem="0" numFmtId="1"/>
  </dataFields>
  <formats count="35">
    <format dxfId="230">
      <pivotArea outline="0" collapsedLevelsAreSubtotals="1" fieldPosition="0"/>
    </format>
    <format dxfId="229">
      <pivotArea dataOnly="0" labelOnly="1" fieldPosition="0">
        <references count="1">
          <reference field="9" count="0"/>
        </references>
      </pivotArea>
    </format>
    <format dxfId="228">
      <pivotArea outline="0" collapsedLevelsAreSubtotals="1" fieldPosition="0"/>
    </format>
    <format dxfId="227">
      <pivotArea dataOnly="0" labelOnly="1" fieldPosition="0">
        <references count="1">
          <reference field="9" count="0"/>
        </references>
      </pivotArea>
    </format>
    <format dxfId="226">
      <pivotArea type="origin" dataOnly="0" labelOnly="1" outline="0" fieldPosition="0"/>
    </format>
    <format dxfId="225">
      <pivotArea field="9" type="button" dataOnly="0" labelOnly="1" outline="0" axis="axisCol" fieldPosition="0"/>
    </format>
    <format dxfId="224">
      <pivotArea type="topRight" dataOnly="0" labelOnly="1" outline="0" fieldPosition="0"/>
    </format>
    <format dxfId="223">
      <pivotArea dataOnly="0" labelOnly="1" fieldPosition="0">
        <references count="1">
          <reference field="9" count="0"/>
        </references>
      </pivotArea>
    </format>
    <format dxfId="222">
      <pivotArea type="all" dataOnly="0" outline="0" fieldPosition="0"/>
    </format>
    <format dxfId="221">
      <pivotArea outline="0" collapsedLevelsAreSubtotals="1" fieldPosition="0"/>
    </format>
    <format dxfId="220">
      <pivotArea type="origin" dataOnly="0" labelOnly="1" outline="0" fieldPosition="0"/>
    </format>
    <format dxfId="219">
      <pivotArea field="9" type="button" dataOnly="0" labelOnly="1" outline="0" axis="axisCol" fieldPosition="0"/>
    </format>
    <format dxfId="218">
      <pivotArea type="topRight" dataOnly="0" labelOnly="1" outline="0" fieldPosition="0"/>
    </format>
    <format dxfId="217">
      <pivotArea dataOnly="0" labelOnly="1" fieldPosition="0">
        <references count="1">
          <reference field="9" count="0"/>
        </references>
      </pivotArea>
    </format>
    <format dxfId="216">
      <pivotArea outline="0" collapsedLevelsAreSubtotals="1" fieldPosition="0"/>
    </format>
    <format dxfId="215">
      <pivotArea type="all" dataOnly="0" outline="0" fieldPosition="0"/>
    </format>
    <format dxfId="214">
      <pivotArea type="all" dataOnly="0" outline="0" fieldPosition="0"/>
    </format>
    <format dxfId="213">
      <pivotArea type="all" dataOnly="0" outline="0" fieldPosition="0"/>
    </format>
    <format dxfId="212">
      <pivotArea outline="0" collapsedLevelsAreSubtotals="1" fieldPosition="0"/>
    </format>
    <format dxfId="211">
      <pivotArea type="origin" dataOnly="0" labelOnly="1" outline="0" fieldPosition="0"/>
    </format>
    <format dxfId="210">
      <pivotArea field="9" type="button" dataOnly="0" labelOnly="1" outline="0" axis="axisCol" fieldPosition="0"/>
    </format>
    <format dxfId="209">
      <pivotArea type="topRight" dataOnly="0" labelOnly="1" outline="0" fieldPosition="0"/>
    </format>
    <format dxfId="208">
      <pivotArea dataOnly="0" labelOnly="1" fieldPosition="0">
        <references count="1">
          <reference field="9" count="0"/>
        </references>
      </pivotArea>
    </format>
    <format dxfId="207">
      <pivotArea dataOnly="0" labelOnly="1" fieldPosition="0">
        <references count="1">
          <reference field="9" count="1">
            <x v="3"/>
          </reference>
        </references>
      </pivotArea>
    </format>
    <format dxfId="206">
      <pivotArea outline="0" collapsedLevelsAreSubtotals="1" fieldPosition="0"/>
    </format>
    <format dxfId="205">
      <pivotArea dataOnly="0" labelOnly="1" fieldPosition="0">
        <references count="1">
          <reference field="9" count="1">
            <x v="3"/>
          </reference>
        </references>
      </pivotArea>
    </format>
    <format dxfId="204">
      <pivotArea type="topRight" dataOnly="0" labelOnly="1" outline="0" fieldPosition="0"/>
    </format>
    <format dxfId="203">
      <pivotArea outline="0" collapsedLevelsAreSubtotals="1" fieldPosition="0">
        <references count="1">
          <reference field="9" count="1" selected="0">
            <x v="1"/>
          </reference>
        </references>
      </pivotArea>
    </format>
    <format dxfId="202">
      <pivotArea dataOnly="0" labelOnly="1" fieldPosition="0">
        <references count="1">
          <reference field="9" count="1">
            <x v="2"/>
          </reference>
        </references>
      </pivotArea>
    </format>
    <format dxfId="201">
      <pivotArea field="2" type="button" dataOnly="0" labelOnly="1" outline="0"/>
    </format>
    <format dxfId="200">
      <pivotArea field="2" type="button" dataOnly="0" labelOnly="1" outline="0"/>
    </format>
    <format dxfId="199">
      <pivotArea dataOnly="0" fieldPosition="0">
        <references count="1">
          <reference field="13" count="1">
            <x v="4"/>
          </reference>
        </references>
      </pivotArea>
    </format>
    <format dxfId="198">
      <pivotArea dataOnly="0" labelOnly="1" fieldPosition="0">
        <references count="1">
          <reference field="13" count="2">
            <x v="4"/>
            <x v="5"/>
          </reference>
        </references>
      </pivotArea>
    </format>
    <format dxfId="197">
      <pivotArea dataOnly="0" labelOnly="1" fieldPosition="0">
        <references count="1">
          <reference field="13" count="2">
            <x v="5"/>
            <x v="6"/>
          </reference>
        </references>
      </pivotArea>
    </format>
    <format dxfId="196">
      <pivotArea dataOnly="0" labelOnly="1" fieldPosition="0">
        <references count="1">
          <reference field="13" count="2">
            <x v="6"/>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6:AB32" firstHeaderRow="1" firstDataRow="2" firstDataCol="1" rowPageCount="1" colPageCount="1"/>
  <pivotFields count="14">
    <pivotField showAll="0"/>
    <pivotField axis="axisRow" showAll="0">
      <items count="14">
        <item x="0"/>
        <item x="1"/>
        <item x="2"/>
        <item x="3"/>
        <item m="1" x="6"/>
        <item m="1" x="7"/>
        <item m="1" x="8"/>
        <item m="1" x="9"/>
        <item m="1" x="10"/>
        <item x="4"/>
        <item n="   " m="1" x="5"/>
        <item m="1" x="11"/>
        <item m="1" x="12"/>
        <item t="default"/>
      </items>
    </pivotField>
    <pivotField showAll="0">
      <items count="90">
        <item x="0"/>
        <item x="1"/>
        <item x="2"/>
        <item x="3"/>
        <item x="4"/>
        <item x="5"/>
        <item x="6"/>
        <item x="88"/>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showAll="0"/>
    <pivotField showAll="0"/>
    <pivotField axis="axisCol" showAll="0">
      <items count="410">
        <item m="1" x="397"/>
        <item x="6"/>
        <item m="1" x="407"/>
        <item x="82"/>
        <item x="0"/>
        <item x="28"/>
        <item m="1" x="108"/>
        <item x="13"/>
        <item h="1" m="1" x="361"/>
        <item h="1" x="1"/>
        <item h="1" m="1" x="100"/>
        <item h="1" x="15"/>
        <item x="37"/>
        <item m="1" x="389"/>
        <item m="1" x="131"/>
        <item m="1" x="299"/>
        <item m="1" x="374"/>
        <item m="1" x="398"/>
        <item x="38"/>
        <item m="1" x="321"/>
        <item m="1" x="369"/>
        <item m="1" x="313"/>
        <item m="1" x="294"/>
        <item m="1" x="405"/>
        <item m="1" x="97"/>
        <item x="24"/>
        <item m="1" x="352"/>
        <item m="1" x="370"/>
        <item m="1" x="296"/>
        <item m="1" x="325"/>
        <item m="1" x="291"/>
        <item x="35"/>
        <item m="1" x="366"/>
        <item m="1" x="113"/>
        <item m="1" x="350"/>
        <item x="71"/>
        <item x="32"/>
        <item x="53"/>
        <item x="33"/>
        <item h="1" x="2"/>
        <item x="8"/>
        <item m="1" x="326"/>
        <item h="1" x="14"/>
        <item h="1" x="21"/>
        <item x="36"/>
        <item m="1" x="182"/>
        <item x="58"/>
        <item x="59"/>
        <item x="31"/>
        <item x="56"/>
        <item x="57"/>
        <item x="11"/>
        <item x="4"/>
        <item x="30"/>
        <item x="91"/>
        <item x="5"/>
        <item x="17"/>
        <item m="1" x="320"/>
        <item x="80"/>
        <item m="1" x="103"/>
        <item m="1" x="104"/>
        <item m="1" x="373"/>
        <item m="1" x="282"/>
        <item m="1" x="331"/>
        <item x="64"/>
        <item x="27"/>
        <item x="40"/>
        <item m="1" x="394"/>
        <item x="23"/>
        <item x="75"/>
        <item x="68"/>
        <item m="1" x="310"/>
        <item m="1" x="392"/>
        <item m="1" x="383"/>
        <item m="1" x="391"/>
        <item m="1" x="393"/>
        <item m="1" x="332"/>
        <item m="1" x="345"/>
        <item m="1" x="289"/>
        <item m="1" x="367"/>
        <item m="1" x="327"/>
        <item m="1" x="402"/>
        <item m="1" x="380"/>
        <item m="1" x="276"/>
        <item m="1" x="126"/>
        <item m="1" x="110"/>
        <item x="55"/>
        <item x="19"/>
        <item m="1" x="306"/>
        <item m="1" x="371"/>
        <item m="1" x="387"/>
        <item m="1" x="268"/>
        <item m="1" x="293"/>
        <item m="1" x="300"/>
        <item m="1" x="270"/>
        <item m="1" x="328"/>
        <item m="1" x="275"/>
        <item m="1" x="314"/>
        <item m="1" x="329"/>
        <item m="1" x="335"/>
        <item m="1" x="302"/>
        <item m="1" x="403"/>
        <item m="1" x="396"/>
        <item m="1" x="94"/>
        <item m="1" x="112"/>
        <item m="1" x="400"/>
        <item m="1" x="382"/>
        <item m="1" x="372"/>
        <item m="1" x="319"/>
        <item m="1" x="272"/>
        <item m="1" x="295"/>
        <item m="1" x="115"/>
        <item m="1" x="347"/>
        <item m="1" x="290"/>
        <item m="1" x="378"/>
        <item m="1" x="292"/>
        <item m="1" x="298"/>
        <item m="1" x="349"/>
        <item m="1" x="358"/>
        <item m="1" x="355"/>
        <item m="1" x="359"/>
        <item m="1" x="297"/>
        <item m="1" x="354"/>
        <item m="1" x="364"/>
        <item m="1" x="92"/>
        <item m="1" x="363"/>
        <item m="1" x="333"/>
        <item m="1" x="279"/>
        <item h="1" m="1" x="351"/>
        <item h="1" m="1" x="283"/>
        <item h="1" m="1" x="404"/>
        <item m="1" x="124"/>
        <item m="1" x="195"/>
        <item h="1" m="1" x="95"/>
        <item m="1" x="340"/>
        <item m="1" x="375"/>
        <item m="1" x="338"/>
        <item m="1" x="341"/>
        <item m="1" x="336"/>
        <item m="1" x="344"/>
        <item m="1" x="93"/>
        <item m="1" x="305"/>
        <item m="1" x="278"/>
        <item m="1" x="116"/>
        <item m="1" x="102"/>
        <item m="1" x="269"/>
        <item x="18"/>
        <item m="1" x="274"/>
        <item m="1" x="360"/>
        <item m="1" x="273"/>
        <item x="3"/>
        <item m="1" x="346"/>
        <item m="1" x="339"/>
        <item m="1" x="368"/>
        <item m="1" x="106"/>
        <item m="1" x="384"/>
        <item m="1" x="318"/>
        <item m="1" x="99"/>
        <item x="61"/>
        <item h="1" m="1" x="322"/>
        <item m="1" x="303"/>
        <item m="1" x="390"/>
        <item m="1" x="118"/>
        <item m="1" x="271"/>
        <item m="1" x="285"/>
        <item m="1" x="401"/>
        <item m="1" x="381"/>
        <item m="1" x="288"/>
        <item m="1" x="408"/>
        <item m="1" x="267"/>
        <item m="1" x="312"/>
        <item x="54"/>
        <item m="1" x="120"/>
        <item m="1" x="96"/>
        <item m="1" x="280"/>
        <item m="1" x="337"/>
        <item m="1" x="353"/>
        <item m="1" x="114"/>
        <item m="1" x="287"/>
        <item m="1" x="286"/>
        <item m="1" x="284"/>
        <item m="1" x="304"/>
        <item m="1" x="379"/>
        <item m="1" x="388"/>
        <item m="1" x="356"/>
        <item m="1" x="147"/>
        <item m="1" x="301"/>
        <item m="1" x="376"/>
        <item m="1" x="377"/>
        <item m="1" x="342"/>
        <item m="1" x="343"/>
        <item m="1" x="311"/>
        <item m="1" x="386"/>
        <item m="1" x="277"/>
        <item m="1" x="129"/>
        <item m="1" x="399"/>
        <item m="1" x="323"/>
        <item m="1" x="324"/>
        <item x="34"/>
        <item m="1" x="406"/>
        <item m="1" x="317"/>
        <item m="1" x="348"/>
        <item m="1" x="362"/>
        <item m="1" x="334"/>
        <item m="1" x="330"/>
        <item x="86"/>
        <item m="1" x="365"/>
        <item m="1" x="98"/>
        <item m="1" x="281"/>
        <item m="1" x="385"/>
        <item m="1" x="357"/>
        <item m="1" x="308"/>
        <item m="1" x="309"/>
        <item m="1" x="395"/>
        <item h="1" m="1" x="316"/>
        <item h="1" m="1" x="307"/>
        <item x="39"/>
        <item m="1" x="315"/>
        <item h="1" m="1" x="101"/>
        <item h="1" m="1" x="105"/>
        <item h="1" x="60"/>
        <item h="1" m="1" x="107"/>
        <item h="1" m="1" x="109"/>
        <item h="1" m="1" x="111"/>
        <item h="1" m="1" x="117"/>
        <item h="1" m="1" x="119"/>
        <item h="1" m="1" x="121"/>
        <item h="1" m="1" x="122"/>
        <item h="1" m="1" x="123"/>
        <item h="1" m="1" x="125"/>
        <item h="1" m="1" x="127"/>
        <item h="1" m="1" x="128"/>
        <item h="1" m="1" x="130"/>
        <item h="1" m="1" x="132"/>
        <item h="1" m="1" x="133"/>
        <item h="1" m="1" x="134"/>
        <item h="1" m="1" x="135"/>
        <item h="1" m="1" x="136"/>
        <item h="1" m="1" x="137"/>
        <item h="1" m="1" x="138"/>
        <item h="1" m="1" x="139"/>
        <item h="1" m="1" x="140"/>
        <item h="1" m="1" x="141"/>
        <item h="1" m="1" x="142"/>
        <item h="1" m="1" x="143"/>
        <item h="1" m="1" x="144"/>
        <item h="1" m="1" x="145"/>
        <item h="1" m="1" x="146"/>
        <item h="1" m="1" x="148"/>
        <item h="1" m="1" x="149"/>
        <item h="1" x="69"/>
        <item h="1" m="1" x="150"/>
        <item h="1" m="1" x="151"/>
        <item h="1" m="1" x="152"/>
        <item h="1" m="1" x="153"/>
        <item h="1" m="1" x="154"/>
        <item h="1" m="1" x="155"/>
        <item h="1" m="1" x="156"/>
        <item h="1" m="1" x="157"/>
        <item h="1" m="1" x="158"/>
        <item h="1" m="1" x="159"/>
        <item h="1" m="1" x="160"/>
        <item h="1" m="1" x="161"/>
        <item h="1" m="1" x="162"/>
        <item h="1" m="1" x="163"/>
        <item h="1" m="1" x="164"/>
        <item h="1" m="1" x="165"/>
        <item h="1" m="1" x="166"/>
        <item h="1" m="1" x="167"/>
        <item h="1" m="1" x="168"/>
        <item h="1" m="1" x="169"/>
        <item h="1" m="1" x="170"/>
        <item h="1" m="1" x="171"/>
        <item h="1" m="1" x="172"/>
        <item h="1" m="1" x="173"/>
        <item h="1" m="1" x="174"/>
        <item h="1" m="1" x="175"/>
        <item h="1" m="1" x="176"/>
        <item h="1" m="1" x="177"/>
        <item h="1" m="1" x="178"/>
        <item h="1" m="1" x="179"/>
        <item h="1" m="1" x="180"/>
        <item h="1" m="1" x="181"/>
        <item h="1" m="1" x="183"/>
        <item h="1" m="1" x="184"/>
        <item h="1" m="1" x="185"/>
        <item h="1" m="1" x="186"/>
        <item h="1" m="1" x="187"/>
        <item h="1" m="1" x="188"/>
        <item h="1" m="1" x="189"/>
        <item h="1" m="1" x="190"/>
        <item h="1" m="1" x="191"/>
        <item h="1" m="1" x="192"/>
        <item h="1" m="1" x="193"/>
        <item h="1" m="1" x="194"/>
        <item h="1" x="12"/>
        <item h="1" m="1" x="196"/>
        <item h="1" m="1" x="197"/>
        <item h="1" m="1" x="198"/>
        <item h="1" m="1" x="199"/>
        <item h="1" m="1" x="200"/>
        <item h="1" m="1" x="201"/>
        <item h="1" m="1" x="202"/>
        <item h="1" m="1" x="203"/>
        <item h="1" m="1" x="204"/>
        <item h="1" m="1" x="205"/>
        <item h="1" m="1" x="206"/>
        <item h="1" m="1" x="207"/>
        <item h="1" m="1" x="208"/>
        <item h="1" m="1" x="209"/>
        <item h="1" m="1" x="210"/>
        <item h="1" m="1" x="211"/>
        <item h="1" m="1" x="212"/>
        <item h="1" x="51"/>
        <item h="1" m="1" x="213"/>
        <item h="1" m="1" x="214"/>
        <item h="1" m="1" x="215"/>
        <item h="1" m="1" x="216"/>
        <item h="1" m="1" x="217"/>
        <item h="1" m="1" x="218"/>
        <item h="1" m="1" x="219"/>
        <item h="1" m="1" x="220"/>
        <item h="1" m="1" x="221"/>
        <item h="1" m="1" x="222"/>
        <item h="1" x="47"/>
        <item h="1" m="1" x="223"/>
        <item h="1" m="1" x="224"/>
        <item h="1" m="1" x="225"/>
        <item h="1" x="44"/>
        <item h="1" m="1" x="226"/>
        <item h="1" x="67"/>
        <item h="1" m="1" x="227"/>
        <item h="1" m="1" x="228"/>
        <item h="1" m="1" x="229"/>
        <item h="1" m="1" x="230"/>
        <item h="1" m="1" x="231"/>
        <item h="1" x="25"/>
        <item h="1" m="1" x="232"/>
        <item h="1" m="1" x="233"/>
        <item h="1" m="1" x="234"/>
        <item h="1" m="1" x="235"/>
        <item h="1" m="1" x="236"/>
        <item h="1" x="48"/>
        <item h="1" m="1" x="237"/>
        <item h="1" x="22"/>
        <item h="1" m="1" x="238"/>
        <item h="1" m="1" x="239"/>
        <item h="1" m="1" x="240"/>
        <item h="1" m="1" x="241"/>
        <item h="1" m="1" x="242"/>
        <item h="1" m="1" x="243"/>
        <item h="1" m="1" x="244"/>
        <item h="1" m="1" x="245"/>
        <item h="1" m="1" x="246"/>
        <item h="1" m="1" x="247"/>
        <item h="1" m="1" x="248"/>
        <item h="1" m="1" x="249"/>
        <item h="1" m="1" x="250"/>
        <item h="1" m="1" x="251"/>
        <item h="1" m="1" x="252"/>
        <item h="1" m="1" x="253"/>
        <item h="1" m="1" x="254"/>
        <item h="1" x="26"/>
        <item h="1" m="1" x="255"/>
        <item h="1" m="1" x="256"/>
        <item h="1" m="1" x="257"/>
        <item h="1" m="1" x="258"/>
        <item h="1" m="1" x="259"/>
        <item h="1" x="42"/>
        <item h="1" m="1" x="260"/>
        <item h="1" m="1" x="261"/>
        <item h="1" m="1" x="262"/>
        <item h="1" m="1" x="263"/>
        <item h="1" m="1" x="264"/>
        <item h="1" m="1" x="265"/>
        <item h="1" m="1" x="266"/>
        <item h="1" x="10"/>
        <item h="1" x="9"/>
        <item h="1" x="7"/>
        <item h="1" x="16"/>
        <item h="1" x="20"/>
        <item h="1" x="29"/>
        <item h="1" x="41"/>
        <item h="1" x="43"/>
        <item h="1" x="45"/>
        <item h="1" x="46"/>
        <item h="1" x="49"/>
        <item h="1" x="50"/>
        <item h="1" x="52"/>
        <item h="1" x="62"/>
        <item h="1" x="63"/>
        <item h="1" x="65"/>
        <item h="1" x="66"/>
        <item h="1" x="70"/>
        <item h="1" x="72"/>
        <item h="1" x="73"/>
        <item h="1" x="74"/>
        <item h="1" x="76"/>
        <item h="1" x="77"/>
        <item h="1" x="78"/>
        <item h="1" x="79"/>
        <item h="1" x="81"/>
        <item h="1" x="83"/>
        <item h="1" x="84"/>
        <item h="1" x="85"/>
        <item h="1" x="87"/>
        <item h="1" x="88"/>
        <item h="1" x="89"/>
        <item h="1" x="90"/>
        <item t="default"/>
      </items>
    </pivotField>
    <pivotField showAll="0"/>
    <pivotField axis="axisPage" multipleItemSelectionAllowed="1" showAll="0">
      <items count="15">
        <item h="1" x="4"/>
        <item h="1" x="1"/>
        <item h="1" x="2"/>
        <item x="0"/>
        <item h="1" x="6"/>
        <item h="1" m="1" x="7"/>
        <item h="1" m="1" x="8"/>
        <item h="1" m="1" x="9"/>
        <item h="1" m="1" x="10"/>
        <item h="1" x="3"/>
        <item h="1" m="1" x="11"/>
        <item h="1" m="1" x="12"/>
        <item h="1" m="1" x="13"/>
        <item h="1" x="5"/>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1">
    <field x="7"/>
  </colFields>
  <colItems count="11">
    <i>
      <x v="3"/>
    </i>
    <i>
      <x v="4"/>
    </i>
    <i>
      <x v="31"/>
    </i>
    <i>
      <x v="40"/>
    </i>
    <i>
      <x v="44"/>
    </i>
    <i>
      <x v="51"/>
    </i>
    <i>
      <x v="52"/>
    </i>
    <i>
      <x v="53"/>
    </i>
    <i>
      <x v="55"/>
    </i>
    <i>
      <x v="87"/>
    </i>
    <i t="grand">
      <x/>
    </i>
  </colItems>
  <pageFields count="1">
    <pageField fld="9" hier="-1"/>
  </pageFields>
  <dataFields count="1">
    <dataField name="Sum of Qty" fld="10" baseField="0" baseItem="0"/>
  </dataFields>
  <formats count="37">
    <format dxfId="267">
      <pivotArea outline="0" collapsedLevelsAreSubtotals="1" fieldPosition="0"/>
    </format>
    <format dxfId="266">
      <pivotArea field="1" type="button" dataOnly="0" labelOnly="1" outline="0" axis="axisRow" fieldPosition="0"/>
    </format>
    <format dxfId="265">
      <pivotArea dataOnly="0" labelOnly="1" fieldPosition="0">
        <references count="1">
          <reference field="1" count="10">
            <x v="0"/>
            <x v="1"/>
            <x v="2"/>
            <x v="3"/>
            <x v="4"/>
            <x v="5"/>
            <x v="6"/>
            <x v="7"/>
            <x v="8"/>
            <x v="10"/>
          </reference>
        </references>
      </pivotArea>
    </format>
    <format dxfId="264">
      <pivotArea dataOnly="0" labelOnly="1" grandRow="1" outline="0" fieldPosition="0"/>
    </format>
    <format dxfId="263">
      <pivotArea dataOnly="0" labelOnly="1" grandCol="1" outline="0" fieldPosition="0"/>
    </format>
    <format dxfId="262">
      <pivotArea outline="0" collapsedLevelsAreSubtotals="1" fieldPosition="0"/>
    </format>
    <format dxfId="261">
      <pivotArea field="1" type="button" dataOnly="0" labelOnly="1" outline="0" axis="axisRow" fieldPosition="0"/>
    </format>
    <format dxfId="260">
      <pivotArea dataOnly="0" labelOnly="1" fieldPosition="0">
        <references count="1">
          <reference field="1" count="10">
            <x v="0"/>
            <x v="1"/>
            <x v="2"/>
            <x v="3"/>
            <x v="4"/>
            <x v="5"/>
            <x v="6"/>
            <x v="7"/>
            <x v="8"/>
            <x v="10"/>
          </reference>
        </references>
      </pivotArea>
    </format>
    <format dxfId="259">
      <pivotArea dataOnly="0" labelOnly="1" grandRow="1" outline="0" fieldPosition="0"/>
    </format>
    <format dxfId="258">
      <pivotArea dataOnly="0" labelOnly="1" grandCol="1" outline="0" fieldPosition="0"/>
    </format>
    <format dxfId="257">
      <pivotArea type="origin" dataOnly="0" labelOnly="1" outline="0" fieldPosition="0"/>
    </format>
    <format dxfId="256">
      <pivotArea field="7" type="button" dataOnly="0" labelOnly="1" outline="0" axis="axisCol" fieldPosition="0"/>
    </format>
    <format dxfId="255">
      <pivotArea type="topRight" dataOnly="0" labelOnly="1" outline="0" fieldPosition="0"/>
    </format>
    <format dxfId="254">
      <pivotArea field="1" type="button" dataOnly="0" labelOnly="1" outline="0" axis="axisRow" fieldPosition="0"/>
    </format>
    <format dxfId="253">
      <pivotArea dataOnly="0" labelOnly="1" grandCol="1" outline="0" fieldPosition="0"/>
    </format>
    <format dxfId="252">
      <pivotArea dataOnly="0" grandRow="1" axis="axisRow" fieldPosition="0"/>
    </format>
    <format dxfId="251">
      <pivotArea collapsedLevelsAreSubtotals="1" fieldPosition="0">
        <references count="1">
          <reference field="1" count="10">
            <x v="0"/>
            <x v="1"/>
            <x v="2"/>
            <x v="3"/>
            <x v="4"/>
            <x v="5"/>
            <x v="6"/>
            <x v="7"/>
            <x v="8"/>
            <x v="10"/>
          </reference>
        </references>
      </pivotArea>
    </format>
    <format dxfId="250">
      <pivotArea dataOnly="0" labelOnly="1" fieldPosition="0">
        <references count="1">
          <reference field="1" count="10">
            <x v="0"/>
            <x v="1"/>
            <x v="2"/>
            <x v="3"/>
            <x v="4"/>
            <x v="5"/>
            <x v="6"/>
            <x v="7"/>
            <x v="8"/>
            <x v="10"/>
          </reference>
        </references>
      </pivotArea>
    </format>
    <format dxfId="249">
      <pivotArea collapsedLevelsAreSubtotals="1" fieldPosition="0">
        <references count="1">
          <reference field="1" count="10">
            <x v="0"/>
            <x v="1"/>
            <x v="2"/>
            <x v="3"/>
            <x v="4"/>
            <x v="5"/>
            <x v="6"/>
            <x v="7"/>
            <x v="8"/>
            <x v="10"/>
          </reference>
        </references>
      </pivotArea>
    </format>
    <format dxfId="248">
      <pivotArea grandRow="1" outline="0" collapsedLevelsAreSubtotals="1" fieldPosition="0"/>
    </format>
    <format dxfId="247">
      <pivotArea type="origin" dataOnly="0" labelOnly="1" outline="0" fieldPosition="0"/>
    </format>
    <format dxfId="246">
      <pivotArea field="7" type="button" dataOnly="0" labelOnly="1" outline="0" axis="axisCol" fieldPosition="0"/>
    </format>
    <format dxfId="245">
      <pivotArea type="topRight" dataOnly="0" labelOnly="1" outline="0" fieldPosition="0"/>
    </format>
    <format dxfId="244">
      <pivotArea field="1" type="button" dataOnly="0" labelOnly="1" outline="0" axis="axisRow" fieldPosition="0"/>
    </format>
    <format dxfId="243">
      <pivotArea dataOnly="0" labelOnly="1" grandCol="1" outline="0" fieldPosition="0"/>
    </format>
    <format dxfId="242">
      <pivotArea grandRow="1" outline="0" collapsedLevelsAreSubtotals="1" fieldPosition="0"/>
    </format>
    <format dxfId="241">
      <pivotArea dataOnly="0" labelOnly="1" grandRow="1" outline="0" fieldPosition="0"/>
    </format>
    <format dxfId="240">
      <pivotArea collapsedLevelsAreSubtotals="1" fieldPosition="0">
        <references count="1">
          <reference field="1" count="10">
            <x v="0"/>
            <x v="1"/>
            <x v="2"/>
            <x v="3"/>
            <x v="4"/>
            <x v="5"/>
            <x v="6"/>
            <x v="7"/>
            <x v="8"/>
            <x v="10"/>
          </reference>
        </references>
      </pivotArea>
    </format>
    <format dxfId="239">
      <pivotArea dataOnly="0" labelOnly="1" fieldPosition="0">
        <references count="1">
          <reference field="1" count="10">
            <x v="0"/>
            <x v="1"/>
            <x v="2"/>
            <x v="3"/>
            <x v="4"/>
            <x v="5"/>
            <x v="6"/>
            <x v="7"/>
            <x v="8"/>
            <x v="10"/>
          </reference>
        </references>
      </pivotArea>
    </format>
    <format dxfId="238">
      <pivotArea dataOnly="0" labelOnly="1" fieldPosition="0">
        <references count="1">
          <reference field="7" count="0"/>
        </references>
      </pivotArea>
    </format>
    <format dxfId="237">
      <pivotArea dataOnly="0" labelOnly="1" fieldPosition="0">
        <references count="1">
          <reference field="7" count="0"/>
        </references>
      </pivotArea>
    </format>
    <format dxfId="236">
      <pivotArea dataOnly="0" fieldPosition="0">
        <references count="1">
          <reference field="1" count="1">
            <x v="11"/>
          </reference>
        </references>
      </pivotArea>
    </format>
    <format dxfId="235">
      <pivotArea dataOnly="0" labelOnly="1" fieldPosition="0">
        <references count="1">
          <reference field="1" count="1">
            <x v="11"/>
          </reference>
        </references>
      </pivotArea>
    </format>
    <format dxfId="234">
      <pivotArea collapsedLevelsAreSubtotals="1" fieldPosition="0">
        <references count="1">
          <reference field="1" count="2">
            <x v="11"/>
            <x v="12"/>
          </reference>
        </references>
      </pivotArea>
    </format>
    <format dxfId="233">
      <pivotArea dataOnly="0" labelOnly="1" fieldPosition="0">
        <references count="1">
          <reference field="1" count="2">
            <x v="11"/>
            <x v="12"/>
          </reference>
        </references>
      </pivotArea>
    </format>
    <format dxfId="232">
      <pivotArea dataOnly="0" labelOnly="1" fieldPosition="0">
        <references count="1">
          <reference field="1" count="2">
            <x v="11"/>
            <x v="12"/>
          </reference>
        </references>
      </pivotArea>
    </format>
    <format dxfId="231">
      <pivotArea dataOnly="0" labelOnly="1" fieldPosition="0">
        <references count="1">
          <reference field="1" count="2">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2" cacheId="9"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5" rowHeaderCaption="Product">
  <location ref="A9:C105" firstHeaderRow="0" firstDataRow="1" firstDataCol="1"/>
  <pivotFields count="14">
    <pivotField showAll="0" defaultSubtotal="0">
      <extLst>
        <ext xmlns:x14="http://schemas.microsoft.com/office/spreadsheetml/2009/9/main" uri="{2946ED86-A175-432a-8AC1-64E0C546D7DE}">
          <x14:pivotField fillDownLabels="1"/>
        </ext>
      </extLst>
    </pivotField>
    <pivotField showAll="0" defaultSubtotal="0">
      <items count="13">
        <item m="1" x="5"/>
        <item m="1" x="11"/>
        <item m="1" x="12"/>
        <item x="0"/>
        <item x="1"/>
        <item x="2"/>
        <item x="3"/>
        <item m="1" x="6"/>
        <item m="1" x="7"/>
        <item m="1" x="8"/>
        <item m="1" x="9"/>
        <item m="1" x="10"/>
        <item x="4"/>
      </items>
      <extLst>
        <ext xmlns:x14="http://schemas.microsoft.com/office/spreadsheetml/2009/9/main" uri="{2946ED86-A175-432a-8AC1-64E0C546D7DE}">
          <x14:pivotField fillDownLabels="1"/>
        </ext>
      </extLst>
    </pivotField>
    <pivotField showAll="0">
      <items count="90">
        <item x="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348">
        <item x="8"/>
        <item x="7"/>
        <item x="1"/>
        <item x="0"/>
        <item x="50"/>
        <item x="18"/>
        <item x="10"/>
        <item x="9"/>
        <item x="64"/>
        <item x="25"/>
        <item m="1" x="97"/>
        <item x="48"/>
        <item x="11"/>
        <item m="1" x="113"/>
        <item m="1" x="105"/>
        <item x="26"/>
        <item x="49"/>
        <item x="54"/>
        <item m="1" x="326"/>
        <item x="2"/>
        <item x="52"/>
        <item x="94"/>
        <item m="1" x="337"/>
        <item x="27"/>
        <item x="72"/>
        <item m="1" x="343"/>
        <item x="75"/>
        <item m="1" x="336"/>
        <item x="5"/>
        <item m="1" x="254"/>
        <item m="1" x="338"/>
        <item x="51"/>
        <item m="1" x="331"/>
        <item x="67"/>
        <item m="1" x="104"/>
        <item x="16"/>
        <item x="15"/>
        <item m="1" x="284"/>
        <item m="1" x="328"/>
        <item x="29"/>
        <item m="1" x="112"/>
        <item m="1" x="101"/>
        <item x="3"/>
        <item x="53"/>
        <item m="1" x="111"/>
        <item x="28"/>
        <item x="68"/>
        <item x="14"/>
        <item m="1" x="344"/>
        <item m="1" x="345"/>
        <item m="1" x="96"/>
        <item m="1" x="346"/>
        <item x="12"/>
        <item m="1" x="324"/>
        <item m="1" x="341"/>
        <item m="1" x="322"/>
        <item m="1" x="320"/>
        <item x="69"/>
        <item m="1" x="334"/>
        <item m="1" x="107"/>
        <item m="1" x="108"/>
        <item x="17"/>
        <item m="1" x="339"/>
        <item m="1" x="329"/>
        <item m="1" x="335"/>
        <item m="1" x="323"/>
        <item m="1" x="327"/>
        <item m="1" x="333"/>
        <item m="1" x="325"/>
        <item m="1" x="95"/>
        <item x="4"/>
        <item m="1" x="99"/>
        <item m="1" x="340"/>
        <item x="46"/>
        <item x="6"/>
        <item x="93"/>
        <item m="1" x="106"/>
        <item m="1" x="102"/>
        <item m="1" x="103"/>
        <item m="1" x="342"/>
        <item m="1" x="321"/>
        <item x="66"/>
        <item m="1" x="330"/>
        <item m="1" x="332"/>
        <item m="1" x="98"/>
        <item m="1" x="319"/>
        <item x="70"/>
        <item x="71"/>
        <item m="1" x="100"/>
        <item m="1" x="109"/>
        <item m="1" x="110"/>
        <item x="55"/>
        <item x="56"/>
        <item x="57"/>
        <item x="58"/>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277"/>
        <item m="1" x="278"/>
        <item m="1" x="279"/>
        <item m="1" x="280"/>
        <item m="1" x="281"/>
        <item m="1" x="282"/>
        <item m="1" x="283"/>
        <item m="1" x="285"/>
        <item m="1" x="286"/>
        <item m="1" x="287"/>
        <item m="1" x="288"/>
        <item m="1" x="289"/>
        <item m="1" x="290"/>
        <item m="1" x="291"/>
        <item m="1" x="292"/>
        <item m="1" x="293"/>
        <item m="1" x="294"/>
        <item m="1" x="295"/>
        <item m="1" x="296"/>
        <item m="1" x="297"/>
        <item m="1" x="298"/>
        <item m="1" x="299"/>
        <item m="1" x="300"/>
        <item m="1" x="301"/>
        <item m="1" x="302"/>
        <item m="1" x="303"/>
        <item m="1" x="304"/>
        <item m="1" x="305"/>
        <item x="83"/>
        <item m="1" x="306"/>
        <item m="1" x="307"/>
        <item m="1" x="308"/>
        <item m="1" x="309"/>
        <item m="1" x="310"/>
        <item m="1" x="311"/>
        <item m="1" x="312"/>
        <item m="1" x="313"/>
        <item x="65"/>
        <item m="1" x="314"/>
        <item m="1" x="315"/>
        <item m="1" x="316"/>
        <item m="1" x="317"/>
        <item m="1" x="318"/>
        <item x="13"/>
        <item x="19"/>
        <item x="20"/>
        <item x="21"/>
        <item x="22"/>
        <item x="23"/>
        <item x="24"/>
        <item x="30"/>
        <item x="31"/>
        <item x="32"/>
        <item x="33"/>
        <item x="34"/>
        <item x="35"/>
        <item x="36"/>
        <item x="37"/>
        <item x="38"/>
        <item x="39"/>
        <item x="40"/>
        <item x="41"/>
        <item x="42"/>
        <item x="43"/>
        <item x="44"/>
        <item x="45"/>
        <item x="47"/>
        <item x="59"/>
        <item x="60"/>
        <item x="61"/>
        <item x="62"/>
        <item x="63"/>
        <item x="73"/>
        <item x="74"/>
        <item x="76"/>
        <item x="77"/>
        <item x="78"/>
        <item x="79"/>
        <item x="80"/>
        <item x="81"/>
        <item x="82"/>
        <item x="84"/>
        <item x="85"/>
        <item x="86"/>
        <item x="87"/>
        <item x="88"/>
        <item x="89"/>
        <item x="90"/>
        <item x="91"/>
        <item x="92"/>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1">
    <field x="8"/>
  </rowFields>
  <rowItems count="96">
    <i>
      <x/>
    </i>
    <i>
      <x v="1"/>
    </i>
    <i>
      <x v="2"/>
    </i>
    <i>
      <x v="3"/>
    </i>
    <i>
      <x v="4"/>
    </i>
    <i>
      <x v="5"/>
    </i>
    <i>
      <x v="6"/>
    </i>
    <i>
      <x v="7"/>
    </i>
    <i>
      <x v="8"/>
    </i>
    <i>
      <x v="9"/>
    </i>
    <i>
      <x v="11"/>
    </i>
    <i>
      <x v="12"/>
    </i>
    <i>
      <x v="15"/>
    </i>
    <i>
      <x v="16"/>
    </i>
    <i>
      <x v="17"/>
    </i>
    <i>
      <x v="19"/>
    </i>
    <i>
      <x v="20"/>
    </i>
    <i>
      <x v="21"/>
    </i>
    <i>
      <x v="23"/>
    </i>
    <i>
      <x v="24"/>
    </i>
    <i>
      <x v="26"/>
    </i>
    <i>
      <x v="28"/>
    </i>
    <i>
      <x v="31"/>
    </i>
    <i>
      <x v="33"/>
    </i>
    <i>
      <x v="35"/>
    </i>
    <i>
      <x v="36"/>
    </i>
    <i>
      <x v="39"/>
    </i>
    <i>
      <x v="42"/>
    </i>
    <i>
      <x v="43"/>
    </i>
    <i>
      <x v="45"/>
    </i>
    <i>
      <x v="46"/>
    </i>
    <i>
      <x v="47"/>
    </i>
    <i>
      <x v="52"/>
    </i>
    <i>
      <x v="57"/>
    </i>
    <i>
      <x v="61"/>
    </i>
    <i>
      <x v="70"/>
    </i>
    <i>
      <x v="73"/>
    </i>
    <i>
      <x v="74"/>
    </i>
    <i>
      <x v="75"/>
    </i>
    <i>
      <x v="81"/>
    </i>
    <i>
      <x v="86"/>
    </i>
    <i>
      <x v="87"/>
    </i>
    <i>
      <x v="91"/>
    </i>
    <i>
      <x v="92"/>
    </i>
    <i>
      <x v="93"/>
    </i>
    <i>
      <x v="94"/>
    </i>
    <i>
      <x v="285"/>
    </i>
    <i>
      <x v="294"/>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t="grand">
      <x/>
    </i>
  </rowItems>
  <colFields count="1">
    <field x="-2"/>
  </colFields>
  <colItems count="2">
    <i>
      <x/>
    </i>
    <i i="1">
      <x v="1"/>
    </i>
  </colItems>
  <dataFields count="2">
    <dataField name="Sum of Qty" fld="10" baseField="7" baseItem="0"/>
    <dataField name="Total Sales" fld="12" baseField="5" baseItem="2" numFmtId="43"/>
  </dataFields>
  <formats count="5">
    <format dxfId="102">
      <pivotArea grandRow="1" outline="0" collapsedLevelsAreSubtotals="1" fieldPosition="0"/>
    </format>
    <format dxfId="101">
      <pivotArea outline="0" collapsedLevelsAreSubtotals="1" fieldPosition="0">
        <references count="1">
          <reference field="4294967294" count="1" selected="0">
            <x v="1"/>
          </reference>
        </references>
      </pivotArea>
    </format>
    <format dxfId="100">
      <pivotArea collapsedLevelsAreSubtotals="1" fieldPosition="0">
        <references count="2">
          <reference field="4294967294" count="1" selected="0">
            <x v="0"/>
          </reference>
          <reference field="8" count="0"/>
        </references>
      </pivotArea>
    </format>
    <format dxfId="99">
      <pivotArea field="8" grandRow="1" outline="0" collapsedLevelsAreSubtotals="1" axis="axisRow" fieldPosition="0">
        <references count="1">
          <reference field="4294967294" count="1" selected="0">
            <x v="1"/>
          </reference>
        </references>
      </pivotArea>
    </format>
    <format dxfId="98">
      <pivotArea field="8"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1000000}" sourceName="Month">
  <pivotTables>
    <pivotTable tabId="13" name="PivotTable2"/>
  </pivotTables>
  <data>
    <tabular pivotCacheId="1812484656">
      <items count="13">
        <i x="0" s="1"/>
        <i x="1" s="1"/>
        <i x="2" s="1"/>
        <i x="3" s="1"/>
        <i x="5" s="1" nd="1"/>
        <i x="11" s="1" nd="1"/>
        <i x="12" s="1" nd="1"/>
        <i x="6" s="1" nd="1"/>
        <i x="7" s="1" nd="1"/>
        <i x="8" s="1" nd="1"/>
        <i x="9" s="1" nd="1"/>
        <i x="1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1000000}" cache="Slicer_Month" caption="Month" columnCount="6"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ivotTable" Target="../pivotTables/pivotTable5.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59"/>
  <sheetViews>
    <sheetView workbookViewId="0">
      <selection activeCell="E19" sqref="E19"/>
    </sheetView>
  </sheetViews>
  <sheetFormatPr defaultRowHeight="15" x14ac:dyDescent="0.25"/>
  <cols>
    <col min="1" max="1" width="37.7109375" bestFit="1" customWidth="1"/>
    <col min="2" max="2" width="10.7109375" bestFit="1" customWidth="1"/>
  </cols>
  <sheetData>
    <row r="3" spans="1:2" x14ac:dyDescent="0.25">
      <c r="A3" s="40" t="s">
        <v>43</v>
      </c>
      <c r="B3" t="s">
        <v>44</v>
      </c>
    </row>
    <row r="4" spans="1:2" x14ac:dyDescent="0.25">
      <c r="A4" s="46" t="s">
        <v>51</v>
      </c>
      <c r="B4" s="61">
        <v>1513.2000000000003</v>
      </c>
    </row>
    <row r="5" spans="1:2" x14ac:dyDescent="0.25">
      <c r="A5" s="46" t="s">
        <v>39</v>
      </c>
      <c r="B5" s="61">
        <v>2904.8</v>
      </c>
    </row>
    <row r="6" spans="1:2" x14ac:dyDescent="0.25">
      <c r="A6" s="46" t="s">
        <v>69</v>
      </c>
      <c r="B6" s="61">
        <v>20139.2</v>
      </c>
    </row>
    <row r="7" spans="1:2" x14ac:dyDescent="0.25">
      <c r="A7" s="46" t="s">
        <v>68</v>
      </c>
      <c r="B7" s="61">
        <v>45153.499999999978</v>
      </c>
    </row>
    <row r="8" spans="1:2" x14ac:dyDescent="0.25">
      <c r="A8" s="46" t="s">
        <v>50</v>
      </c>
      <c r="B8" s="61">
        <v>1139.0999999999997</v>
      </c>
    </row>
    <row r="9" spans="1:2" x14ac:dyDescent="0.25">
      <c r="A9" s="46" t="s">
        <v>49</v>
      </c>
      <c r="B9" s="61">
        <v>2254.2999999999993</v>
      </c>
    </row>
    <row r="10" spans="1:2" x14ac:dyDescent="0.25">
      <c r="A10" s="46" t="s">
        <v>48</v>
      </c>
      <c r="B10" s="61">
        <v>7272</v>
      </c>
    </row>
    <row r="11" spans="1:2" x14ac:dyDescent="0.25">
      <c r="A11" s="46" t="s">
        <v>77</v>
      </c>
      <c r="B11" s="61">
        <v>2000</v>
      </c>
    </row>
    <row r="12" spans="1:2" x14ac:dyDescent="0.25">
      <c r="A12" s="46" t="s">
        <v>91</v>
      </c>
      <c r="B12" s="61">
        <v>500</v>
      </c>
    </row>
    <row r="13" spans="1:2" x14ac:dyDescent="0.25">
      <c r="A13" s="46" t="s">
        <v>52</v>
      </c>
      <c r="B13" s="61">
        <v>1447.8</v>
      </c>
    </row>
    <row r="14" spans="1:2" x14ac:dyDescent="0.25">
      <c r="A14" s="46" t="s">
        <v>83</v>
      </c>
      <c r="B14" s="61">
        <v>2074.8011159430002</v>
      </c>
    </row>
    <row r="15" spans="1:2" x14ac:dyDescent="0.25">
      <c r="A15" s="46" t="s">
        <v>53</v>
      </c>
      <c r="B15" s="61">
        <v>5060.1100000000006</v>
      </c>
    </row>
    <row r="16" spans="1:2" x14ac:dyDescent="0.25">
      <c r="A16" s="46" t="s">
        <v>40</v>
      </c>
      <c r="B16" s="61">
        <v>36323.699999999997</v>
      </c>
    </row>
    <row r="17" spans="1:2" x14ac:dyDescent="0.25">
      <c r="A17" s="46" t="s">
        <v>113</v>
      </c>
      <c r="B17" s="61"/>
    </row>
    <row r="18" spans="1:2" x14ac:dyDescent="0.25">
      <c r="A18" s="46" t="s">
        <v>88</v>
      </c>
      <c r="B18" s="61">
        <v>191.20000000000002</v>
      </c>
    </row>
    <row r="19" spans="1:2" x14ac:dyDescent="0.25">
      <c r="A19" s="46" t="s">
        <v>76</v>
      </c>
      <c r="B19" s="61">
        <v>2998.7</v>
      </c>
    </row>
    <row r="20" spans="1:2" x14ac:dyDescent="0.25">
      <c r="A20" s="46" t="s">
        <v>74</v>
      </c>
      <c r="B20" s="61">
        <v>7178</v>
      </c>
    </row>
    <row r="21" spans="1:2" x14ac:dyDescent="0.25">
      <c r="A21" s="46" t="s">
        <v>80</v>
      </c>
      <c r="B21" s="61">
        <v>8982.4571025000005</v>
      </c>
    </row>
    <row r="22" spans="1:2" x14ac:dyDescent="0.25">
      <c r="A22" s="46" t="s">
        <v>81</v>
      </c>
      <c r="B22" s="61">
        <v>519.5</v>
      </c>
    </row>
    <row r="23" spans="1:2" x14ac:dyDescent="0.25">
      <c r="A23" s="46" t="s">
        <v>92</v>
      </c>
      <c r="B23" s="61">
        <v>3122.0133329999999</v>
      </c>
    </row>
    <row r="24" spans="1:2" x14ac:dyDescent="0.25">
      <c r="A24" s="46" t="s">
        <v>89</v>
      </c>
      <c r="B24" s="61">
        <v>215.60000000000002</v>
      </c>
    </row>
    <row r="25" spans="1:2" x14ac:dyDescent="0.25">
      <c r="A25" s="46" t="s">
        <v>79</v>
      </c>
      <c r="B25" s="61">
        <v>205.89999999999998</v>
      </c>
    </row>
    <row r="26" spans="1:2" x14ac:dyDescent="0.25">
      <c r="A26" s="46" t="s">
        <v>78</v>
      </c>
      <c r="B26" s="61">
        <v>1241.9000000000001</v>
      </c>
    </row>
    <row r="27" spans="1:2" x14ac:dyDescent="0.25">
      <c r="A27" s="46" t="s">
        <v>85</v>
      </c>
      <c r="B27" s="61">
        <v>434.6</v>
      </c>
    </row>
    <row r="28" spans="1:2" x14ac:dyDescent="0.25">
      <c r="A28" s="46" t="s">
        <v>108</v>
      </c>
      <c r="B28" s="61">
        <v>167.9</v>
      </c>
    </row>
    <row r="29" spans="1:2" x14ac:dyDescent="0.25">
      <c r="A29" s="46" t="s">
        <v>100</v>
      </c>
      <c r="B29" s="61">
        <v>19.600000000000001</v>
      </c>
    </row>
    <row r="30" spans="1:2" x14ac:dyDescent="0.25">
      <c r="A30" s="46" t="s">
        <v>54</v>
      </c>
      <c r="B30" s="61">
        <v>390.7</v>
      </c>
    </row>
    <row r="31" spans="1:2" x14ac:dyDescent="0.25">
      <c r="A31" s="46" t="s">
        <v>82</v>
      </c>
      <c r="B31" s="61">
        <v>39357.300000000003</v>
      </c>
    </row>
    <row r="32" spans="1:2" x14ac:dyDescent="0.25">
      <c r="A32" s="46" t="s">
        <v>84</v>
      </c>
      <c r="B32" s="61">
        <v>2058</v>
      </c>
    </row>
    <row r="33" spans="1:2" x14ac:dyDescent="0.25">
      <c r="A33" s="46" t="s">
        <v>99</v>
      </c>
      <c r="B33" s="61">
        <v>77</v>
      </c>
    </row>
    <row r="34" spans="1:2" x14ac:dyDescent="0.25">
      <c r="A34" s="46" t="s">
        <v>93</v>
      </c>
      <c r="B34" s="61">
        <v>16</v>
      </c>
    </row>
    <row r="35" spans="1:2" x14ac:dyDescent="0.25">
      <c r="A35" s="46" t="s">
        <v>62</v>
      </c>
      <c r="B35" s="61">
        <v>2600</v>
      </c>
    </row>
    <row r="36" spans="1:2" x14ac:dyDescent="0.25">
      <c r="A36" s="46" t="s">
        <v>65</v>
      </c>
      <c r="B36" s="61">
        <v>571</v>
      </c>
    </row>
    <row r="37" spans="1:2" x14ac:dyDescent="0.25">
      <c r="A37" s="46" t="s">
        <v>71</v>
      </c>
      <c r="B37" s="61">
        <v>158.19999999999999</v>
      </c>
    </row>
    <row r="38" spans="1:2" x14ac:dyDescent="0.25">
      <c r="A38" s="46" t="s">
        <v>72</v>
      </c>
      <c r="B38" s="61">
        <v>3278.59</v>
      </c>
    </row>
    <row r="39" spans="1:2" x14ac:dyDescent="0.25">
      <c r="A39" s="46" t="s">
        <v>73</v>
      </c>
      <c r="B39" s="61">
        <v>395.70000000000005</v>
      </c>
    </row>
    <row r="40" spans="1:2" x14ac:dyDescent="0.25">
      <c r="A40" s="46" t="s">
        <v>75</v>
      </c>
      <c r="B40" s="61">
        <v>1059.8923619999998</v>
      </c>
    </row>
    <row r="41" spans="1:2" x14ac:dyDescent="0.25">
      <c r="A41" s="46" t="s">
        <v>86</v>
      </c>
      <c r="B41" s="61">
        <v>742.4</v>
      </c>
    </row>
    <row r="42" spans="1:2" x14ac:dyDescent="0.25">
      <c r="A42" s="46" t="s">
        <v>90</v>
      </c>
      <c r="B42" s="61">
        <v>2300</v>
      </c>
    </row>
    <row r="43" spans="1:2" x14ac:dyDescent="0.25">
      <c r="A43" s="46" t="s">
        <v>95</v>
      </c>
      <c r="B43" s="61">
        <v>728.9</v>
      </c>
    </row>
    <row r="44" spans="1:2" x14ac:dyDescent="0.25">
      <c r="A44" s="46" t="s">
        <v>94</v>
      </c>
      <c r="B44" s="61">
        <v>584.69999999999993</v>
      </c>
    </row>
    <row r="45" spans="1:2" x14ac:dyDescent="0.25">
      <c r="A45" s="46" t="s">
        <v>96</v>
      </c>
      <c r="B45" s="61">
        <v>264.3</v>
      </c>
    </row>
    <row r="46" spans="1:2" x14ac:dyDescent="0.25">
      <c r="A46" s="46" t="s">
        <v>97</v>
      </c>
      <c r="B46" s="61">
        <v>1.5</v>
      </c>
    </row>
    <row r="47" spans="1:2" x14ac:dyDescent="0.25">
      <c r="A47" s="46" t="s">
        <v>98</v>
      </c>
      <c r="B47" s="61">
        <v>448.2</v>
      </c>
    </row>
    <row r="48" spans="1:2" x14ac:dyDescent="0.25">
      <c r="A48" s="46" t="s">
        <v>101</v>
      </c>
      <c r="B48" s="61">
        <v>718.60197108172997</v>
      </c>
    </row>
    <row r="49" spans="1:2" x14ac:dyDescent="0.25">
      <c r="A49" s="46" t="s">
        <v>102</v>
      </c>
      <c r="B49" s="61">
        <v>250</v>
      </c>
    </row>
    <row r="50" spans="1:2" x14ac:dyDescent="0.25">
      <c r="A50" s="46" t="s">
        <v>103</v>
      </c>
      <c r="B50" s="61">
        <v>1131.3130000000001</v>
      </c>
    </row>
    <row r="51" spans="1:2" x14ac:dyDescent="0.25">
      <c r="A51" s="46" t="s">
        <v>104</v>
      </c>
      <c r="B51" s="61">
        <v>36.299999999999997</v>
      </c>
    </row>
    <row r="52" spans="1:2" x14ac:dyDescent="0.25">
      <c r="A52" s="46" t="s">
        <v>105</v>
      </c>
      <c r="B52" s="61">
        <v>72</v>
      </c>
    </row>
    <row r="53" spans="1:2" x14ac:dyDescent="0.25">
      <c r="A53" s="46" t="s">
        <v>106</v>
      </c>
      <c r="B53" s="61">
        <v>987.09999999999991</v>
      </c>
    </row>
    <row r="54" spans="1:2" x14ac:dyDescent="0.25">
      <c r="A54" s="46" t="s">
        <v>107</v>
      </c>
      <c r="B54" s="61">
        <v>69.8</v>
      </c>
    </row>
    <row r="55" spans="1:2" x14ac:dyDescent="0.25">
      <c r="A55" s="46" t="s">
        <v>109</v>
      </c>
      <c r="B55" s="61">
        <v>110.01162790999999</v>
      </c>
    </row>
    <row r="56" spans="1:2" x14ac:dyDescent="0.25">
      <c r="A56" s="46" t="s">
        <v>110</v>
      </c>
      <c r="B56" s="61">
        <v>3013.9000000000005</v>
      </c>
    </row>
    <row r="57" spans="1:2" x14ac:dyDescent="0.25">
      <c r="A57" s="46" t="s">
        <v>111</v>
      </c>
      <c r="B57" s="61">
        <v>349</v>
      </c>
    </row>
    <row r="58" spans="1:2" x14ac:dyDescent="0.25">
      <c r="A58" s="46" t="s">
        <v>112</v>
      </c>
      <c r="B58" s="61">
        <v>317.10000000000002</v>
      </c>
    </row>
    <row r="59" spans="1:2" x14ac:dyDescent="0.25">
      <c r="A59" s="46" t="s">
        <v>23</v>
      </c>
      <c r="B59" s="61">
        <v>215147.39051243474</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2"/>
  <sheetViews>
    <sheetView showGridLines="0" tabSelected="1" zoomScale="80" zoomScaleNormal="80" workbookViewId="0">
      <selection activeCell="C7" sqref="C7"/>
    </sheetView>
  </sheetViews>
  <sheetFormatPr defaultRowHeight="15" x14ac:dyDescent="0.25"/>
  <cols>
    <col min="1" max="1" width="17.7109375" bestFit="1" customWidth="1"/>
    <col min="2" max="2" width="20.140625" bestFit="1" customWidth="1"/>
    <col min="3" max="3" width="10.85546875" bestFit="1" customWidth="1"/>
    <col min="4" max="4" width="12.140625" bestFit="1" customWidth="1"/>
    <col min="5" max="5" width="13.85546875" bestFit="1" customWidth="1"/>
    <col min="6" max="7" width="11.7109375" bestFit="1" customWidth="1"/>
    <col min="8" max="8" width="16.42578125" bestFit="1" customWidth="1"/>
    <col min="9" max="9" width="12.85546875" bestFit="1" customWidth="1"/>
    <col min="10" max="10" width="15" customWidth="1"/>
    <col min="11" max="11" width="11.7109375" customWidth="1"/>
    <col min="12" max="12" width="16.42578125" customWidth="1"/>
    <col min="13" max="13" width="10.85546875" hidden="1" customWidth="1"/>
    <col min="14" max="14" width="11.140625" hidden="1" customWidth="1"/>
    <col min="15" max="15" width="15" hidden="1" customWidth="1"/>
    <col min="16" max="16" width="11.140625" hidden="1" customWidth="1"/>
    <col min="17" max="17" width="17" hidden="1" customWidth="1"/>
    <col min="18" max="19" width="18" hidden="1" customWidth="1"/>
    <col min="20" max="20" width="11.42578125" hidden="1" customWidth="1"/>
    <col min="21" max="21" width="16" hidden="1" customWidth="1"/>
    <col min="22" max="22" width="15.140625" hidden="1" customWidth="1"/>
    <col min="23" max="23" width="19.28515625" hidden="1" customWidth="1"/>
    <col min="24" max="24" width="15.7109375" hidden="1" customWidth="1"/>
    <col min="25" max="25" width="17.140625" hidden="1" customWidth="1"/>
    <col min="26" max="26" width="10.5703125" hidden="1" customWidth="1"/>
    <col min="27" max="27" width="27.140625" hidden="1" customWidth="1"/>
    <col min="28" max="28" width="11.5703125" hidden="1" customWidth="1"/>
    <col min="29" max="29" width="13.140625" customWidth="1"/>
    <col min="30" max="30" width="29" customWidth="1"/>
    <col min="31" max="32" width="11.28515625" customWidth="1"/>
    <col min="33" max="33" width="16.5703125" customWidth="1"/>
    <col min="34" max="34" width="13.42578125" customWidth="1"/>
    <col min="35" max="35" width="11.28515625" customWidth="1"/>
    <col min="36" max="36" width="22.42578125" customWidth="1"/>
    <col min="37" max="37" width="30.7109375" customWidth="1"/>
    <col min="38" max="38" width="11.28515625" customWidth="1"/>
    <col min="39" max="39" width="26.5703125" bestFit="1" customWidth="1"/>
    <col min="40" max="96" width="25.5703125" bestFit="1" customWidth="1"/>
    <col min="97" max="97" width="26" bestFit="1" customWidth="1"/>
    <col min="98" max="102" width="25.5703125" bestFit="1" customWidth="1"/>
    <col min="103" max="103" width="13.42578125" bestFit="1" customWidth="1"/>
    <col min="104" max="104" width="11" bestFit="1" customWidth="1"/>
    <col min="105" max="105" width="23.5703125" bestFit="1" customWidth="1"/>
    <col min="106" max="106" width="29.140625" bestFit="1" customWidth="1"/>
    <col min="107" max="107" width="22.7109375" bestFit="1" customWidth="1"/>
    <col min="108" max="108" width="22.85546875" bestFit="1" customWidth="1"/>
    <col min="109" max="109" width="22.7109375" bestFit="1" customWidth="1"/>
    <col min="110" max="110" width="22.85546875" bestFit="1" customWidth="1"/>
    <col min="111" max="111" width="15.140625" bestFit="1" customWidth="1"/>
    <col min="112" max="112" width="25.7109375" bestFit="1" customWidth="1"/>
    <col min="113" max="113" width="11.140625" bestFit="1" customWidth="1"/>
    <col min="114" max="114" width="11.5703125" bestFit="1" customWidth="1"/>
    <col min="115" max="120" width="21.7109375" bestFit="1" customWidth="1"/>
    <col min="121" max="121" width="23.140625" bestFit="1" customWidth="1"/>
    <col min="122" max="122" width="19.5703125" bestFit="1" customWidth="1"/>
    <col min="123" max="123" width="23.140625" bestFit="1" customWidth="1"/>
    <col min="124" max="126" width="27.85546875" bestFit="1" customWidth="1"/>
    <col min="127" max="127" width="13.140625" bestFit="1" customWidth="1"/>
    <col min="128" max="140" width="23.5703125" bestFit="1" customWidth="1"/>
    <col min="141" max="142" width="27.28515625" bestFit="1" customWidth="1"/>
    <col min="143" max="143" width="23.42578125" bestFit="1" customWidth="1"/>
    <col min="144" max="146" width="26.28515625" bestFit="1" customWidth="1"/>
    <col min="147" max="147" width="8" bestFit="1" customWidth="1"/>
    <col min="148" max="151" width="13.42578125" bestFit="1" customWidth="1"/>
    <col min="152" max="152" width="19" bestFit="1" customWidth="1"/>
    <col min="153" max="158" width="28.140625" bestFit="1" customWidth="1"/>
    <col min="159" max="159" width="15" bestFit="1" customWidth="1"/>
    <col min="160" max="165" width="24.140625" bestFit="1" customWidth="1"/>
    <col min="166" max="166" width="14.7109375" bestFit="1" customWidth="1"/>
    <col min="167" max="167" width="20.7109375" bestFit="1" customWidth="1"/>
    <col min="168" max="168" width="16.7109375" bestFit="1" customWidth="1"/>
    <col min="169" max="169" width="16.140625" bestFit="1" customWidth="1"/>
    <col min="170" max="170" width="25.28515625" bestFit="1" customWidth="1"/>
    <col min="171" max="171" width="28.5703125" bestFit="1" customWidth="1"/>
    <col min="172" max="172" width="11.5703125" bestFit="1" customWidth="1"/>
    <col min="173" max="173" width="4.85546875" bestFit="1" customWidth="1"/>
    <col min="174" max="174" width="21" bestFit="1" customWidth="1"/>
    <col min="175" max="175" width="15.7109375" bestFit="1" customWidth="1"/>
    <col min="176" max="176" width="14.140625" bestFit="1" customWidth="1"/>
    <col min="177" max="177" width="7.28515625" bestFit="1" customWidth="1"/>
    <col min="178" max="178" width="11.28515625" bestFit="1" customWidth="1"/>
  </cols>
  <sheetData>
    <row r="1" spans="1:18" ht="19.5" x14ac:dyDescent="0.25">
      <c r="A1" s="153" t="s">
        <v>116</v>
      </c>
      <c r="B1" s="154"/>
      <c r="C1" s="154"/>
      <c r="D1" s="154"/>
      <c r="E1" s="154"/>
      <c r="F1" s="154"/>
      <c r="G1" s="154"/>
      <c r="H1" s="154"/>
      <c r="I1" s="154"/>
      <c r="J1" s="154"/>
      <c r="K1" s="154"/>
      <c r="L1" s="154"/>
      <c r="M1" s="154"/>
      <c r="N1" s="154"/>
      <c r="O1" s="154"/>
      <c r="P1" s="154"/>
      <c r="Q1" s="154"/>
      <c r="R1" s="154"/>
    </row>
    <row r="3" spans="1:18" x14ac:dyDescent="0.25">
      <c r="A3" s="16" t="s">
        <v>3</v>
      </c>
      <c r="B3" t="s">
        <v>46</v>
      </c>
    </row>
    <row r="5" spans="1:18" x14ac:dyDescent="0.25">
      <c r="B5" s="40" t="s">
        <v>27</v>
      </c>
    </row>
    <row r="6" spans="1:18" ht="15.75" x14ac:dyDescent="0.25">
      <c r="A6" s="113" t="s">
        <v>22</v>
      </c>
      <c r="B6" s="63" t="s">
        <v>24</v>
      </c>
      <c r="C6" s="63" t="s">
        <v>25</v>
      </c>
      <c r="D6" s="110" t="s">
        <v>45</v>
      </c>
      <c r="E6" s="110" t="s">
        <v>56</v>
      </c>
    </row>
    <row r="7" spans="1:18" ht="15.75" x14ac:dyDescent="0.25">
      <c r="A7" s="150" t="s">
        <v>28</v>
      </c>
      <c r="B7" s="111">
        <v>10367290.700000001</v>
      </c>
      <c r="C7" s="111">
        <v>64200</v>
      </c>
      <c r="D7" s="111">
        <v>1877668.3259999999</v>
      </c>
      <c r="E7" s="111">
        <v>12309159.995999999</v>
      </c>
    </row>
    <row r="8" spans="1:18" ht="15.75" x14ac:dyDescent="0.25">
      <c r="A8" s="152" t="s">
        <v>223</v>
      </c>
      <c r="B8" s="111">
        <v>8849774.7999999989</v>
      </c>
      <c r="C8" s="111">
        <v>81100</v>
      </c>
      <c r="D8" s="111">
        <v>1607557.4639999997</v>
      </c>
      <c r="E8" s="111">
        <v>10538432.993999999</v>
      </c>
    </row>
    <row r="9" spans="1:18" ht="15.75" x14ac:dyDescent="0.25">
      <c r="A9" s="152" t="s">
        <v>340</v>
      </c>
      <c r="B9" s="111">
        <v>13669493.799999999</v>
      </c>
      <c r="C9" s="111">
        <v>146650</v>
      </c>
      <c r="D9" s="111">
        <v>2486905.8839999996</v>
      </c>
      <c r="E9" s="111">
        <v>16303054.004000001</v>
      </c>
    </row>
    <row r="10" spans="1:18" ht="15.75" x14ac:dyDescent="0.25">
      <c r="A10" s="151" t="s">
        <v>433</v>
      </c>
      <c r="B10" s="111">
        <v>16532029.999999998</v>
      </c>
      <c r="C10" s="111">
        <v>143950</v>
      </c>
      <c r="D10" s="111">
        <v>3001676.4000000004</v>
      </c>
      <c r="E10" s="111">
        <v>19677658.990000002</v>
      </c>
    </row>
    <row r="11" spans="1:18" ht="15.75" x14ac:dyDescent="0.25">
      <c r="A11" s="113" t="s">
        <v>23</v>
      </c>
      <c r="B11" s="73">
        <v>49418589.299999997</v>
      </c>
      <c r="C11" s="65">
        <v>435900</v>
      </c>
      <c r="D11" s="65">
        <v>8973808.0739999991</v>
      </c>
      <c r="E11" s="65">
        <v>58828305.984000005</v>
      </c>
    </row>
    <row r="12" spans="1:18" ht="15.75" x14ac:dyDescent="0.25"/>
    <row r="13" spans="1:18" ht="15.75" x14ac:dyDescent="0.25"/>
    <row r="14" spans="1:18" ht="15.75" x14ac:dyDescent="0.25"/>
    <row r="15" spans="1:18" ht="15.75" x14ac:dyDescent="0.25"/>
    <row r="16" spans="1:18" ht="15.75" x14ac:dyDescent="0.25"/>
    <row r="17" spans="1:28" ht="15.75" x14ac:dyDescent="0.25"/>
    <row r="18" spans="1:28" ht="15.75" x14ac:dyDescent="0.25"/>
    <row r="19" spans="1:28" ht="15.75" x14ac:dyDescent="0.25"/>
    <row r="20" spans="1:28" ht="15.75" x14ac:dyDescent="0.25">
      <c r="A20" s="98"/>
      <c r="B20" s="99"/>
      <c r="C20" s="95"/>
      <c r="D20" s="96"/>
      <c r="E20" s="97"/>
    </row>
    <row r="21" spans="1:28" ht="15.75" x14ac:dyDescent="0.25">
      <c r="A21" s="98"/>
      <c r="B21" s="99"/>
      <c r="C21" s="95"/>
      <c r="D21" s="96"/>
      <c r="E21" s="97"/>
      <c r="F21" t="s">
        <v>42</v>
      </c>
    </row>
    <row r="22" spans="1:28" ht="15.75" x14ac:dyDescent="0.25">
      <c r="A22" s="98"/>
      <c r="B22" s="99"/>
      <c r="C22" s="95"/>
      <c r="D22" s="96"/>
      <c r="E22" s="97"/>
    </row>
    <row r="23" spans="1:28" x14ac:dyDescent="0.25">
      <c r="A23" s="91" t="s">
        <v>22</v>
      </c>
      <c r="B23" s="92" t="s">
        <v>117</v>
      </c>
    </row>
    <row r="24" spans="1:28" x14ac:dyDescent="0.25">
      <c r="A24" s="91" t="s">
        <v>35</v>
      </c>
      <c r="B24" s="92" t="s">
        <v>46</v>
      </c>
      <c r="Q24" s="40" t="s">
        <v>37</v>
      </c>
      <c r="R24" t="s">
        <v>47</v>
      </c>
    </row>
    <row r="26" spans="1:28" x14ac:dyDescent="0.25">
      <c r="A26" s="93" t="s">
        <v>44</v>
      </c>
      <c r="B26" s="93" t="s">
        <v>58</v>
      </c>
      <c r="C26" s="108"/>
      <c r="E26" s="155" t="s">
        <v>59</v>
      </c>
      <c r="F26" s="155" t="s">
        <v>60</v>
      </c>
      <c r="G26" s="155" t="s">
        <v>61</v>
      </c>
      <c r="I26" s="157" t="s">
        <v>63</v>
      </c>
      <c r="J26" s="157" t="s">
        <v>64</v>
      </c>
      <c r="Q26" s="100" t="s">
        <v>44</v>
      </c>
      <c r="R26" s="100" t="s">
        <v>58</v>
      </c>
      <c r="S26" s="100"/>
      <c r="T26" s="100"/>
      <c r="U26" s="100"/>
      <c r="V26" s="100"/>
      <c r="W26" s="100"/>
      <c r="X26" s="100"/>
      <c r="Y26" s="100"/>
      <c r="Z26" s="100"/>
      <c r="AA26" s="100"/>
      <c r="AB26" s="100"/>
    </row>
    <row r="27" spans="1:28" x14ac:dyDescent="0.25">
      <c r="A27" s="146" t="s">
        <v>43</v>
      </c>
      <c r="B27" s="93" t="s">
        <v>70</v>
      </c>
      <c r="C27" s="148" t="s">
        <v>47</v>
      </c>
      <c r="E27" s="156"/>
      <c r="F27" s="156"/>
      <c r="G27" s="156"/>
      <c r="I27" s="157"/>
      <c r="J27" s="157"/>
      <c r="N27" s="15" t="s">
        <v>66</v>
      </c>
      <c r="O27" s="15" t="s">
        <v>67</v>
      </c>
      <c r="Q27" s="101" t="s">
        <v>43</v>
      </c>
      <c r="R27" s="106" t="s">
        <v>487</v>
      </c>
      <c r="S27" s="145" t="s">
        <v>38</v>
      </c>
      <c r="T27" s="145" t="s">
        <v>279</v>
      </c>
      <c r="U27" s="145" t="s">
        <v>139</v>
      </c>
      <c r="V27" s="145" t="s">
        <v>280</v>
      </c>
      <c r="W27" s="145" t="s">
        <v>147</v>
      </c>
      <c r="X27" s="145" t="s">
        <v>114</v>
      </c>
      <c r="Y27" s="145" t="s">
        <v>271</v>
      </c>
      <c r="Z27" s="145" t="s">
        <v>135</v>
      </c>
      <c r="AA27" s="107" t="s">
        <v>224</v>
      </c>
      <c r="AB27" s="101" t="s">
        <v>23</v>
      </c>
    </row>
    <row r="28" spans="1:28" x14ac:dyDescent="0.25">
      <c r="A28" s="147" t="s">
        <v>57</v>
      </c>
      <c r="B28" s="109">
        <v>1</v>
      </c>
      <c r="C28" s="109">
        <v>7539.9999999999991</v>
      </c>
      <c r="E28" s="94"/>
      <c r="F28" s="94"/>
      <c r="G28" s="94">
        <f>GETPIVOTDATA("Qty",$A$26,"UNITS","Sqmt","Months (Date)",4)/25</f>
        <v>301.59999999999997</v>
      </c>
      <c r="I28" s="94">
        <f>N28/25</f>
        <v>283.35599999999999</v>
      </c>
      <c r="J28" s="94">
        <f>O28/25</f>
        <v>18.244</v>
      </c>
      <c r="N28" s="105">
        <f>GETPIVOTDATA("Qty",$Q$26,"MONTH","April","PRODUCT","Box Duct with TDF")+GETPIVOTDATA("Qty",$Q$26,"MONTH","April","PRODUCT","VCD (Alu. Blade)")</f>
        <v>7083.9</v>
      </c>
      <c r="O28" s="105">
        <f>GETPIVOTDATA("Qty",$Q$26,"MONTH","April","PRODUCT","Spiral Oval Duct")+GETPIVOTDATA("Qty",$Q$26,"MONTH","April","PRODUCT","Spiral VCD")+GETPIVOTDATA("Qty",$Q$26,"MONTH","April","PRODUCT","Spiral Oval Coupling")</f>
        <v>456.09999999999997</v>
      </c>
      <c r="Q28" s="103" t="s">
        <v>28</v>
      </c>
      <c r="R28" s="104"/>
      <c r="S28" s="104">
        <v>7058.9</v>
      </c>
      <c r="T28" s="104"/>
      <c r="U28" s="104">
        <v>25</v>
      </c>
      <c r="V28" s="104"/>
      <c r="W28" s="104">
        <v>26.1</v>
      </c>
      <c r="X28" s="104">
        <v>417.69999999999993</v>
      </c>
      <c r="Y28" s="104"/>
      <c r="Z28" s="104">
        <v>12.3</v>
      </c>
      <c r="AA28" s="104"/>
      <c r="AB28" s="104">
        <v>7540</v>
      </c>
    </row>
    <row r="29" spans="1:28" x14ac:dyDescent="0.25">
      <c r="A29" s="147" t="s">
        <v>223</v>
      </c>
      <c r="B29" s="109">
        <v>1155</v>
      </c>
      <c r="C29" s="109">
        <v>6689.8</v>
      </c>
      <c r="E29" s="94"/>
      <c r="F29" s="94"/>
      <c r="G29" s="94">
        <f>GETPIVOTDATA("Qty",$A$26,"UNITS","Sqmt","Months (Date)",5)/25</f>
        <v>267.59199999999998</v>
      </c>
      <c r="I29" s="94">
        <f>N29/25</f>
        <v>250.88400000000001</v>
      </c>
      <c r="J29" s="94">
        <f>O29/25</f>
        <v>16.707999999999998</v>
      </c>
      <c r="N29" s="15">
        <f>GETPIVOTDATA("Qty",$Q$26,"MONTH","May","PRODUCT","Box Duct with TDF")+GETPIVOTDATA("Qty",$Q$26,"MONTH","May","PRODUCT","VCD (Alu. Blade)")+GETPIVOTDATA("Qty",$Q$26,"MONTH","May","PRODUCT","Box Duct with TDF (L-shape)")+GETPIVOTDATA("Qty",$Q$26,"MONTH","May","PRODUCT","Round Duct")</f>
        <v>6272.1</v>
      </c>
      <c r="O29" s="15">
        <f>GETPIVOTDATA("Qty",$Q$26,"MONTH","May","PRODUCT","Spiral Oval Coupling")+GETPIVOTDATA("Qty",$Q$26,"MONTH","May","PRODUCT","Spiral Oval Duct")+GETPIVOTDATA("Qty",$Q$26,"MONTH","May","PRODUCT","Spiral VCD")+GETPIVOTDATA("Qty",$Q$26,"MONTH","May","PRODUCT","Spiral Round Duct")+GETPIVOTDATA("Qty",$Q$26,"MONTH","May","PRODUCT","Round Coupling")</f>
        <v>417.7</v>
      </c>
      <c r="Q29" s="103" t="s">
        <v>223</v>
      </c>
      <c r="R29" s="104"/>
      <c r="S29" s="104">
        <v>3524.2000000000003</v>
      </c>
      <c r="T29" s="104">
        <v>22.3</v>
      </c>
      <c r="U29" s="104">
        <v>38.599999999999994</v>
      </c>
      <c r="V29" s="104">
        <v>3.4</v>
      </c>
      <c r="W29" s="104">
        <v>3.2</v>
      </c>
      <c r="X29" s="104">
        <v>66.800000000000011</v>
      </c>
      <c r="Y29" s="104">
        <v>324.2</v>
      </c>
      <c r="Z29" s="104">
        <v>20.100000000000001</v>
      </c>
      <c r="AA29" s="104">
        <v>2687</v>
      </c>
      <c r="AB29" s="104">
        <v>6689.8</v>
      </c>
    </row>
    <row r="30" spans="1:28" x14ac:dyDescent="0.25">
      <c r="A30" s="147" t="s">
        <v>346</v>
      </c>
      <c r="B30" s="109">
        <v>2046</v>
      </c>
      <c r="C30" s="109">
        <v>7901.4000000000005</v>
      </c>
      <c r="E30" s="94"/>
      <c r="F30" s="94"/>
      <c r="G30" s="94">
        <f>GETPIVOTDATA("Qty",$A$26,"UNITS","Sqmt","Months (Date)",6)/26</f>
        <v>303.90000000000003</v>
      </c>
      <c r="I30" s="94">
        <f>N30/26</f>
        <v>241.16153846153844</v>
      </c>
      <c r="J30" s="94">
        <f>O30/26</f>
        <v>62.738461538461543</v>
      </c>
      <c r="N30" s="15">
        <f>GETPIVOTDATA("Qty",$Q$26,"MONTH","June","PRODUCT","Box Duct with TDF")+GETPIVOTDATA("Qty",$Q$26,"MONTH","June","PRODUCT","Round Duct")+GETPIVOTDATA("Qty",$Q$26,"MONTH","June","PRODUCT","VCD (Alu. Blade)")+GETPIVOTDATA("Qty",$Q$26,"MONTH","June","PRODUCT","Box Duct with TDF (L-shape)")</f>
        <v>6270.2</v>
      </c>
      <c r="O30" s="15">
        <f>GETPIVOTDATA("Qty",$Q$26,"MONTH","June","PRODUCT","Spiral Oval Coupling")+GETPIVOTDATA("Qty",$Q$26,"MONTH","June","PRODUCT","Spiral Oval Duct")+GETPIVOTDATA("Qty",$Q$26,"MONTH","June","PRODUCT","Spiral Round Duct")+GETPIVOTDATA("Qty",$Q$26,"MONTH","June","PRODUCT","Spiral VCD")+GETPIVOTDATA("Qty",$Q$26,"MONTH","June","PRODUCT","Round Coupling")</f>
        <v>1631.2</v>
      </c>
      <c r="Q30" s="103" t="s">
        <v>340</v>
      </c>
      <c r="R30" s="104"/>
      <c r="S30" s="104">
        <v>6257.9</v>
      </c>
      <c r="T30" s="104"/>
      <c r="U30" s="104">
        <v>12.3</v>
      </c>
      <c r="V30" s="104">
        <v>26.5</v>
      </c>
      <c r="W30" s="104">
        <v>3.8000000000000003</v>
      </c>
      <c r="X30" s="104">
        <v>89.7</v>
      </c>
      <c r="Y30" s="104">
        <v>1511.2</v>
      </c>
      <c r="Z30" s="104"/>
      <c r="AA30" s="104"/>
      <c r="AB30" s="104">
        <v>7901.4</v>
      </c>
    </row>
    <row r="31" spans="1:28" x14ac:dyDescent="0.25">
      <c r="A31" s="147" t="s">
        <v>434</v>
      </c>
      <c r="B31" s="109">
        <v>1263</v>
      </c>
      <c r="C31" s="109">
        <v>12910.800000000005</v>
      </c>
      <c r="E31" s="94"/>
      <c r="F31" s="94"/>
      <c r="G31" s="94">
        <f>GETPIVOTDATA("Qty",$A$26,"UNITS","Sqmt","Months (Date)",7)/26</f>
        <v>496.56923076923096</v>
      </c>
      <c r="I31" s="94">
        <f>N31/26</f>
        <v>473.59230769230766</v>
      </c>
      <c r="J31" s="94">
        <f>O31/26</f>
        <v>22.976923076923075</v>
      </c>
      <c r="N31" s="15">
        <f>GETPIVOTDATA("Qty",$Q$26,"MONTH","July","PRODUCT","Box Duct with TDF")+GETPIVOTDATA("Qty",$Q$26,"MONTH","July","PRODUCT","Round Duct")+GETPIVOTDATA("Qty",$Q$26,"MONTH","July","PRODUCT","VCD (Alu. Blade)")+GETPIVOTDATA("Qty",$Q$26,"MONTH","July","PRODUCT","Box Duct with TDF (L-shape)")+GETPIVOTDATA("Qty",$Q$26,"MONTH","July","PRODUCT","Box Duct with S&amp;C")</f>
        <v>12313.4</v>
      </c>
      <c r="O31" s="15">
        <f>GETPIVOTDATA("Qty",$Q$26,"MONTH","July","PRODUCT","Round Coupling")+GETPIVOTDATA("Qty",$Q$26,"MONTH","July","PRODUCT","Spiral Oval Coupling")+GETPIVOTDATA("Qty",$Q$26,"MONTH","July","PRODUCT","Spiral Oval Duct")+GETPIVOTDATA("Qty",$Q$26,"MONTH","July","PRODUCT","Spiral Round Duct")+GETPIVOTDATA("Qty",$Q$26,"MONTH","July","PRODUCT","Spiral VCD")</f>
        <v>597.4</v>
      </c>
      <c r="Q31" s="103" t="s">
        <v>433</v>
      </c>
      <c r="R31" s="104">
        <v>151.80000000000001</v>
      </c>
      <c r="S31" s="104">
        <v>9486.4</v>
      </c>
      <c r="T31" s="104"/>
      <c r="U31" s="104">
        <v>21.7</v>
      </c>
      <c r="V31" s="104">
        <v>17.8</v>
      </c>
      <c r="W31" s="104">
        <v>12.3</v>
      </c>
      <c r="X31" s="104">
        <v>295.40000000000003</v>
      </c>
      <c r="Y31" s="104">
        <v>269</v>
      </c>
      <c r="Z31" s="104">
        <v>2.9</v>
      </c>
      <c r="AA31" s="104">
        <v>2653.5</v>
      </c>
      <c r="AB31" s="104">
        <v>12910.799999999997</v>
      </c>
    </row>
    <row r="32" spans="1:28" x14ac:dyDescent="0.25">
      <c r="Q32" s="101" t="s">
        <v>23</v>
      </c>
      <c r="R32" s="102">
        <v>151.80000000000001</v>
      </c>
      <c r="S32" s="102">
        <v>26327.4</v>
      </c>
      <c r="T32" s="102">
        <v>22.3</v>
      </c>
      <c r="U32" s="102">
        <v>97.6</v>
      </c>
      <c r="V32" s="102">
        <v>47.7</v>
      </c>
      <c r="W32" s="102">
        <v>45.400000000000006</v>
      </c>
      <c r="X32" s="102">
        <v>869.59999999999991</v>
      </c>
      <c r="Y32" s="102">
        <v>2104.4</v>
      </c>
      <c r="Z32" s="102">
        <v>35.300000000000004</v>
      </c>
      <c r="AA32" s="102">
        <v>5340.5</v>
      </c>
      <c r="AB32" s="102">
        <v>35041.999999999993</v>
      </c>
    </row>
  </sheetData>
  <mergeCells count="6">
    <mergeCell ref="A1:R1"/>
    <mergeCell ref="F26:F27"/>
    <mergeCell ref="G26:G27"/>
    <mergeCell ref="E26:E27"/>
    <mergeCell ref="I26:I27"/>
    <mergeCell ref="J26:J27"/>
  </mergeCells>
  <pageMargins left="0.7" right="0.7" top="0.75" bottom="0.7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0"/>
  <sheetViews>
    <sheetView showGridLines="0" zoomScaleNormal="100" workbookViewId="0">
      <pane xSplit="2" ySplit="2" topLeftCell="C192" activePane="bottomRight" state="frozen"/>
      <selection pane="topRight" activeCell="C1" sqref="C1"/>
      <selection pane="bottomLeft" activeCell="A3" sqref="A3"/>
      <selection pane="bottomRight" activeCell="C212" sqref="C212"/>
    </sheetView>
  </sheetViews>
  <sheetFormatPr defaultRowHeight="15" x14ac:dyDescent="0.25"/>
  <cols>
    <col min="1" max="1" width="8.140625" bestFit="1" customWidth="1"/>
    <col min="2" max="2" width="10.85546875" bestFit="1" customWidth="1"/>
    <col min="3" max="3" width="10.42578125" style="7" bestFit="1" customWidth="1"/>
    <col min="4" max="4" width="38.42578125" style="6" customWidth="1"/>
    <col min="5" max="5" width="13.140625" style="7" bestFit="1" customWidth="1"/>
    <col min="6" max="6" width="35.5703125" style="6" customWidth="1"/>
    <col min="7" max="7" width="10" style="7" bestFit="1" customWidth="1"/>
    <col min="8" max="8" width="15.7109375" style="7" bestFit="1" customWidth="1"/>
    <col min="9" max="9" width="41.85546875" style="6" bestFit="1" customWidth="1"/>
    <col min="10" max="10" width="12" style="7" bestFit="1" customWidth="1"/>
    <col min="11" max="11" width="11.140625" style="7" bestFit="1" customWidth="1"/>
    <col min="12" max="12" width="13.140625" style="8" bestFit="1" customWidth="1"/>
    <col min="13" max="15" width="11.85546875" style="8" bestFit="1" customWidth="1"/>
    <col min="16" max="16" width="13.140625" style="10" bestFit="1" customWidth="1"/>
    <col min="17" max="17" width="11.85546875" style="86" customWidth="1"/>
    <col min="18" max="18" width="15.85546875" style="90" bestFit="1" customWidth="1"/>
    <col min="19" max="19" width="14.140625" style="8" bestFit="1" customWidth="1"/>
    <col min="20" max="20" width="12.140625" style="8" customWidth="1"/>
    <col min="21" max="21" width="15.42578125" style="5" customWidth="1"/>
    <col min="22" max="22" width="8.28515625" style="5" bestFit="1" customWidth="1"/>
    <col min="23" max="23" width="30.85546875" style="13" customWidth="1"/>
    <col min="24" max="24" width="13.85546875" style="8" bestFit="1" customWidth="1"/>
    <col min="25" max="25" width="17.28515625" style="5" bestFit="1" customWidth="1"/>
    <col min="26" max="26" width="19.7109375" style="5" bestFit="1" customWidth="1"/>
    <col min="27" max="27" width="28.28515625" bestFit="1" customWidth="1"/>
  </cols>
  <sheetData>
    <row r="1" spans="1:26" ht="15.75" x14ac:dyDescent="0.25">
      <c r="C1" s="1"/>
      <c r="D1" s="2"/>
      <c r="E1" s="1"/>
      <c r="F1" s="2"/>
      <c r="G1" s="1"/>
      <c r="H1" s="1"/>
      <c r="I1" s="2"/>
      <c r="J1" s="1"/>
      <c r="K1" s="1"/>
      <c r="L1" s="3">
        <f t="shared" ref="L1:U1" si="0">SUM(L3:L10000)</f>
        <v>49418589.300000019</v>
      </c>
      <c r="M1" s="41">
        <f t="shared" si="0"/>
        <v>2871385.0109999995</v>
      </c>
      <c r="N1" s="41">
        <f t="shared" si="0"/>
        <v>2871385.0109999995</v>
      </c>
      <c r="O1" s="41">
        <f t="shared" si="0"/>
        <v>3231038.0520000001</v>
      </c>
      <c r="P1" s="3">
        <f t="shared" si="0"/>
        <v>58828297.374000013</v>
      </c>
      <c r="Q1" s="3">
        <f t="shared" si="0"/>
        <v>8.61</v>
      </c>
      <c r="R1" s="3">
        <f t="shared" si="0"/>
        <v>58828305.984000012</v>
      </c>
      <c r="S1" s="41">
        <f t="shared" si="0"/>
        <v>435900</v>
      </c>
      <c r="T1" s="41">
        <f t="shared" si="0"/>
        <v>335390</v>
      </c>
      <c r="U1" s="41">
        <f t="shared" si="0"/>
        <v>100510</v>
      </c>
      <c r="V1" s="42" t="e">
        <f>AVERAGE(V3:V10000)</f>
        <v>#DIV/0!</v>
      </c>
      <c r="W1" s="4"/>
      <c r="X1" s="5"/>
    </row>
    <row r="2" spans="1:26" x14ac:dyDescent="0.25">
      <c r="A2" s="24" t="s">
        <v>21</v>
      </c>
      <c r="B2" s="25" t="s">
        <v>22</v>
      </c>
      <c r="C2" s="34" t="s">
        <v>0</v>
      </c>
      <c r="D2" s="26" t="s">
        <v>1</v>
      </c>
      <c r="E2" s="27" t="s">
        <v>2</v>
      </c>
      <c r="F2" s="26" t="s">
        <v>3</v>
      </c>
      <c r="G2" s="27" t="s">
        <v>4</v>
      </c>
      <c r="H2" s="27" t="s">
        <v>87</v>
      </c>
      <c r="I2" s="26" t="s">
        <v>5</v>
      </c>
      <c r="J2" s="26" t="s">
        <v>6</v>
      </c>
      <c r="K2" s="26" t="s">
        <v>7</v>
      </c>
      <c r="L2" s="26" t="s">
        <v>8</v>
      </c>
      <c r="M2" s="26" t="s">
        <v>9</v>
      </c>
      <c r="N2" s="26" t="s">
        <v>10</v>
      </c>
      <c r="O2" s="26" t="s">
        <v>11</v>
      </c>
      <c r="P2" s="27" t="s">
        <v>12</v>
      </c>
      <c r="Q2" s="27" t="s">
        <v>55</v>
      </c>
      <c r="R2" s="27" t="s">
        <v>23</v>
      </c>
      <c r="S2" s="28" t="s">
        <v>13</v>
      </c>
      <c r="T2" s="36" t="s">
        <v>14</v>
      </c>
      <c r="U2" s="29" t="s">
        <v>15</v>
      </c>
      <c r="V2" s="30" t="s">
        <v>16</v>
      </c>
      <c r="W2" s="34" t="s">
        <v>17</v>
      </c>
      <c r="X2" s="26" t="s">
        <v>18</v>
      </c>
      <c r="Y2" s="26" t="s">
        <v>19</v>
      </c>
      <c r="Z2" s="26" t="s">
        <v>20</v>
      </c>
    </row>
    <row r="3" spans="1:26" x14ac:dyDescent="0.25">
      <c r="A3" s="21">
        <f>IF(C3="","",COUNTA($C$3:C3))</f>
        <v>1</v>
      </c>
      <c r="B3" s="35" t="str">
        <f>IF(C3="","",TEXT(C3,"mmmm"))</f>
        <v>April</v>
      </c>
      <c r="C3" s="31">
        <v>46113</v>
      </c>
      <c r="D3" s="17" t="s">
        <v>119</v>
      </c>
      <c r="E3" s="32">
        <v>46091</v>
      </c>
      <c r="F3" s="17" t="s">
        <v>120</v>
      </c>
      <c r="G3" s="18" t="s">
        <v>121</v>
      </c>
      <c r="H3" s="18" t="s">
        <v>122</v>
      </c>
      <c r="I3" s="17" t="s">
        <v>123</v>
      </c>
      <c r="J3" s="18">
        <v>61930</v>
      </c>
      <c r="K3" s="18">
        <v>45322</v>
      </c>
      <c r="L3" s="19">
        <v>559406</v>
      </c>
      <c r="M3" s="20">
        <f t="shared" ref="M3:M11" si="1">IF(L3="","",(L3+S3)*9%)</f>
        <v>50346.54</v>
      </c>
      <c r="N3" s="20">
        <f t="shared" ref="N3:N11" si="2">IF(L3="","",(L3+S3)*9%)</f>
        <v>50346.54</v>
      </c>
      <c r="O3" s="19"/>
      <c r="P3" s="80">
        <f t="shared" ref="P3:P12" si="3">SUM(L3:O3)+S3</f>
        <v>660099.08000000007</v>
      </c>
      <c r="Q3" s="83">
        <v>-0.08</v>
      </c>
      <c r="R3" s="87">
        <f t="shared" ref="R3:R26" si="4">P3+Q3</f>
        <v>660099.00000000012</v>
      </c>
      <c r="S3" s="19"/>
      <c r="T3" s="19"/>
      <c r="U3" s="21" t="str">
        <f t="shared" ref="U3:U66" si="5">IF(S3="","",(S3-T3))</f>
        <v/>
      </c>
      <c r="V3" s="22" t="str">
        <f t="shared" ref="V3:V66" si="6">IF(U3="","",(U3/T3))</f>
        <v/>
      </c>
      <c r="W3" s="23" t="s">
        <v>124</v>
      </c>
      <c r="X3" s="74">
        <v>8049</v>
      </c>
      <c r="Y3" s="33">
        <v>46114</v>
      </c>
      <c r="Z3" s="15" t="s">
        <v>327</v>
      </c>
    </row>
    <row r="4" spans="1:26" x14ac:dyDescent="0.25">
      <c r="A4" s="21">
        <f>IF(C4="","",COUNTA($C$3:C4))</f>
        <v>2</v>
      </c>
      <c r="B4" s="35" t="str">
        <f t="shared" ref="B4:B67" si="7">IF(C4="","",TEXT(C4,"mmmm"))</f>
        <v>April</v>
      </c>
      <c r="C4" s="31">
        <v>46114</v>
      </c>
      <c r="D4" s="17" t="s">
        <v>125</v>
      </c>
      <c r="E4" s="32">
        <v>46102</v>
      </c>
      <c r="F4" s="17" t="s">
        <v>126</v>
      </c>
      <c r="G4" s="18" t="s">
        <v>121</v>
      </c>
      <c r="H4" s="18" t="s">
        <v>127</v>
      </c>
      <c r="I4" s="17" t="s">
        <v>128</v>
      </c>
      <c r="J4" s="18">
        <v>61936</v>
      </c>
      <c r="K4" s="18">
        <v>45323</v>
      </c>
      <c r="L4" s="19">
        <v>200000.5</v>
      </c>
      <c r="M4" s="20">
        <f t="shared" si="1"/>
        <v>18504.044999999998</v>
      </c>
      <c r="N4" s="20">
        <f t="shared" si="2"/>
        <v>18504.044999999998</v>
      </c>
      <c r="O4" s="20"/>
      <c r="P4" s="80">
        <f t="shared" si="3"/>
        <v>242608.58999999997</v>
      </c>
      <c r="Q4" s="82">
        <v>0.41</v>
      </c>
      <c r="R4" s="87">
        <f t="shared" si="4"/>
        <v>242608.99999999997</v>
      </c>
      <c r="S4" s="19">
        <v>5600</v>
      </c>
      <c r="T4" s="19">
        <v>4750</v>
      </c>
      <c r="U4" s="21">
        <f t="shared" si="5"/>
        <v>850</v>
      </c>
      <c r="V4" s="22">
        <f t="shared" si="6"/>
        <v>0.17894736842105263</v>
      </c>
      <c r="W4" s="23" t="s">
        <v>124</v>
      </c>
      <c r="X4" s="19">
        <v>8050</v>
      </c>
      <c r="Y4" s="33">
        <v>46115</v>
      </c>
      <c r="Z4" s="15" t="s">
        <v>326</v>
      </c>
    </row>
    <row r="5" spans="1:26" x14ac:dyDescent="0.25">
      <c r="A5" s="21">
        <f>IF(C5="","",COUNTA($C$3:C5))</f>
        <v>3</v>
      </c>
      <c r="B5" s="35" t="str">
        <f t="shared" si="7"/>
        <v>April</v>
      </c>
      <c r="C5" s="31">
        <v>46114</v>
      </c>
      <c r="D5" s="17" t="s">
        <v>125</v>
      </c>
      <c r="E5" s="32">
        <v>46102</v>
      </c>
      <c r="F5" s="17" t="s">
        <v>126</v>
      </c>
      <c r="G5" s="18" t="s">
        <v>121</v>
      </c>
      <c r="H5" s="18" t="s">
        <v>127</v>
      </c>
      <c r="I5" s="17" t="s">
        <v>128</v>
      </c>
      <c r="J5" s="18">
        <v>61936</v>
      </c>
      <c r="K5" s="18">
        <v>45324</v>
      </c>
      <c r="L5" s="19">
        <v>230054</v>
      </c>
      <c r="M5" s="20">
        <f t="shared" si="1"/>
        <v>21208.86</v>
      </c>
      <c r="N5" s="20">
        <f t="shared" si="2"/>
        <v>21208.86</v>
      </c>
      <c r="O5" s="20"/>
      <c r="P5" s="80">
        <f t="shared" si="3"/>
        <v>278071.71999999997</v>
      </c>
      <c r="Q5" s="82">
        <v>0.28000000000000003</v>
      </c>
      <c r="R5" s="87">
        <f t="shared" si="4"/>
        <v>278072</v>
      </c>
      <c r="S5" s="19">
        <v>5600</v>
      </c>
      <c r="T5" s="19">
        <v>4750</v>
      </c>
      <c r="U5" s="21">
        <f t="shared" si="5"/>
        <v>850</v>
      </c>
      <c r="V5" s="22">
        <f t="shared" si="6"/>
        <v>0.17894736842105263</v>
      </c>
      <c r="W5" s="23" t="s">
        <v>124</v>
      </c>
      <c r="X5" s="19">
        <v>8301</v>
      </c>
      <c r="Y5" s="33">
        <v>46115</v>
      </c>
      <c r="Z5" s="15" t="s">
        <v>326</v>
      </c>
    </row>
    <row r="6" spans="1:26" x14ac:dyDescent="0.25">
      <c r="A6" s="21">
        <f>IF(C6="","",COUNTA($C$3:C6))</f>
        <v>4</v>
      </c>
      <c r="B6" s="35" t="str">
        <f t="shared" si="7"/>
        <v>April</v>
      </c>
      <c r="C6" s="31">
        <v>46115</v>
      </c>
      <c r="D6" s="17" t="s">
        <v>125</v>
      </c>
      <c r="E6" s="32">
        <v>46102</v>
      </c>
      <c r="F6" s="17" t="s">
        <v>126</v>
      </c>
      <c r="G6" s="18" t="s">
        <v>121</v>
      </c>
      <c r="H6" s="18" t="s">
        <v>127</v>
      </c>
      <c r="I6" s="17" t="s">
        <v>128</v>
      </c>
      <c r="J6" s="18">
        <v>61936</v>
      </c>
      <c r="K6" s="18">
        <v>45325</v>
      </c>
      <c r="L6" s="19">
        <v>238584.5</v>
      </c>
      <c r="M6" s="20">
        <f t="shared" si="1"/>
        <v>21976.605</v>
      </c>
      <c r="N6" s="20">
        <f t="shared" si="2"/>
        <v>21976.605</v>
      </c>
      <c r="O6" s="20"/>
      <c r="P6" s="80">
        <f t="shared" si="3"/>
        <v>288137.71000000002</v>
      </c>
      <c r="Q6" s="81">
        <v>0.28999999999999998</v>
      </c>
      <c r="R6" s="87">
        <f t="shared" si="4"/>
        <v>288138</v>
      </c>
      <c r="S6" s="19">
        <v>5600</v>
      </c>
      <c r="T6" s="19">
        <v>4750</v>
      </c>
      <c r="U6" s="21">
        <f t="shared" si="5"/>
        <v>850</v>
      </c>
      <c r="V6" s="22">
        <f t="shared" si="6"/>
        <v>0.17894736842105263</v>
      </c>
      <c r="W6" s="23" t="s">
        <v>124</v>
      </c>
      <c r="X6" s="19">
        <v>8302</v>
      </c>
      <c r="Y6" s="33">
        <v>46118</v>
      </c>
      <c r="Z6" s="15" t="s">
        <v>325</v>
      </c>
    </row>
    <row r="7" spans="1:26" x14ac:dyDescent="0.25">
      <c r="A7" s="21">
        <f>IF(C7="","",COUNTA($C$3:C7))</f>
        <v>5</v>
      </c>
      <c r="B7" s="35" t="str">
        <f t="shared" si="7"/>
        <v>April</v>
      </c>
      <c r="C7" s="31">
        <v>46115</v>
      </c>
      <c r="D7" s="17" t="s">
        <v>133</v>
      </c>
      <c r="E7" s="32">
        <v>45700</v>
      </c>
      <c r="F7" s="17" t="s">
        <v>120</v>
      </c>
      <c r="G7" s="18" t="s">
        <v>121</v>
      </c>
      <c r="H7" s="18" t="s">
        <v>122</v>
      </c>
      <c r="I7" s="17" t="s">
        <v>134</v>
      </c>
      <c r="J7" s="18">
        <v>61531</v>
      </c>
      <c r="K7" s="18">
        <v>45326</v>
      </c>
      <c r="L7" s="19">
        <v>49876.7</v>
      </c>
      <c r="M7" s="20">
        <f t="shared" si="1"/>
        <v>4956.9029999999993</v>
      </c>
      <c r="N7" s="20">
        <f t="shared" si="2"/>
        <v>4956.9029999999993</v>
      </c>
      <c r="O7" s="20"/>
      <c r="P7" s="80">
        <f t="shared" si="3"/>
        <v>64990.505999999994</v>
      </c>
      <c r="Q7" s="81">
        <v>0.49</v>
      </c>
      <c r="R7" s="87">
        <f t="shared" si="4"/>
        <v>64990.995999999992</v>
      </c>
      <c r="S7" s="19">
        <v>5200</v>
      </c>
      <c r="T7" s="19">
        <v>4750</v>
      </c>
      <c r="U7" s="21">
        <f t="shared" si="5"/>
        <v>450</v>
      </c>
      <c r="V7" s="22">
        <f t="shared" si="6"/>
        <v>9.4736842105263161E-2</v>
      </c>
      <c r="W7" s="23" t="s">
        <v>124</v>
      </c>
      <c r="X7" s="19">
        <v>8303</v>
      </c>
      <c r="Y7" s="33">
        <v>46118</v>
      </c>
      <c r="Z7" s="15" t="s">
        <v>324</v>
      </c>
    </row>
    <row r="8" spans="1:26" x14ac:dyDescent="0.25">
      <c r="A8" s="21">
        <f>IF(C8="","",COUNTA($C$3:C8))</f>
        <v>6</v>
      </c>
      <c r="B8" s="35" t="str">
        <f t="shared" si="7"/>
        <v>April</v>
      </c>
      <c r="C8" s="31">
        <v>46115</v>
      </c>
      <c r="D8" s="17" t="s">
        <v>119</v>
      </c>
      <c r="E8" s="32">
        <v>46091</v>
      </c>
      <c r="F8" s="17" t="s">
        <v>120</v>
      </c>
      <c r="G8" s="18" t="s">
        <v>121</v>
      </c>
      <c r="H8" s="18" t="s">
        <v>122</v>
      </c>
      <c r="I8" s="17" t="s">
        <v>123</v>
      </c>
      <c r="J8" s="18">
        <v>61930</v>
      </c>
      <c r="K8" s="18">
        <v>45327</v>
      </c>
      <c r="L8" s="19">
        <v>666132.30000000005</v>
      </c>
      <c r="M8" s="20">
        <f t="shared" si="1"/>
        <v>59951.906999999999</v>
      </c>
      <c r="N8" s="20">
        <f t="shared" si="2"/>
        <v>59951.906999999999</v>
      </c>
      <c r="O8" s="20"/>
      <c r="P8" s="80">
        <f t="shared" si="3"/>
        <v>786036.11400000006</v>
      </c>
      <c r="Q8" s="81">
        <v>-0.11</v>
      </c>
      <c r="R8" s="87">
        <f t="shared" si="4"/>
        <v>786036.00400000007</v>
      </c>
      <c r="S8" s="19"/>
      <c r="T8" s="19"/>
      <c r="U8" s="21" t="str">
        <f t="shared" si="5"/>
        <v/>
      </c>
      <c r="V8" s="22" t="str">
        <f t="shared" si="6"/>
        <v/>
      </c>
      <c r="W8" s="23" t="s">
        <v>124</v>
      </c>
      <c r="X8" s="19">
        <v>8304</v>
      </c>
      <c r="Y8" s="33">
        <v>46118</v>
      </c>
      <c r="Z8" s="15" t="s">
        <v>324</v>
      </c>
    </row>
    <row r="9" spans="1:26" x14ac:dyDescent="0.25">
      <c r="A9" s="21">
        <f>IF(C9="","",COUNTA($C$3:C9))</f>
        <v>7</v>
      </c>
      <c r="B9" s="35" t="str">
        <f t="shared" si="7"/>
        <v>April</v>
      </c>
      <c r="C9" s="31">
        <v>46118</v>
      </c>
      <c r="D9" s="17" t="s">
        <v>119</v>
      </c>
      <c r="E9" s="32">
        <v>46091</v>
      </c>
      <c r="F9" s="17" t="s">
        <v>120</v>
      </c>
      <c r="G9" s="18" t="s">
        <v>121</v>
      </c>
      <c r="H9" s="18" t="s">
        <v>122</v>
      </c>
      <c r="I9" s="17" t="s">
        <v>123</v>
      </c>
      <c r="J9" s="18">
        <v>61930</v>
      </c>
      <c r="K9" s="18">
        <v>45328</v>
      </c>
      <c r="L9" s="19">
        <v>717861.1</v>
      </c>
      <c r="M9" s="20">
        <f t="shared" si="1"/>
        <v>64607.498999999996</v>
      </c>
      <c r="N9" s="20">
        <f t="shared" si="2"/>
        <v>64607.498999999996</v>
      </c>
      <c r="O9" s="20"/>
      <c r="P9" s="80">
        <f t="shared" si="3"/>
        <v>847076.09799999988</v>
      </c>
      <c r="Q9" s="81">
        <v>-0.1</v>
      </c>
      <c r="R9" s="87">
        <f t="shared" si="4"/>
        <v>847075.99799999991</v>
      </c>
      <c r="S9" s="19"/>
      <c r="T9" s="19"/>
      <c r="U9" s="21" t="str">
        <f t="shared" si="5"/>
        <v/>
      </c>
      <c r="V9" s="22" t="str">
        <f t="shared" si="6"/>
        <v/>
      </c>
      <c r="W9" s="23" t="s">
        <v>124</v>
      </c>
      <c r="X9" s="19">
        <v>8305</v>
      </c>
      <c r="Y9" s="33">
        <v>46120</v>
      </c>
      <c r="Z9" s="15" t="s">
        <v>322</v>
      </c>
    </row>
    <row r="10" spans="1:26" x14ac:dyDescent="0.25">
      <c r="A10" s="21">
        <f>IF(C10="","",COUNTA($C$3:C10))</f>
        <v>8</v>
      </c>
      <c r="B10" s="35" t="str">
        <f t="shared" si="7"/>
        <v>April</v>
      </c>
      <c r="C10" s="31">
        <v>46119</v>
      </c>
      <c r="D10" s="17" t="s">
        <v>125</v>
      </c>
      <c r="E10" s="32">
        <v>46102</v>
      </c>
      <c r="F10" s="17" t="s">
        <v>126</v>
      </c>
      <c r="G10" s="18" t="s">
        <v>121</v>
      </c>
      <c r="H10" s="18" t="s">
        <v>127</v>
      </c>
      <c r="I10" s="17" t="s">
        <v>128</v>
      </c>
      <c r="J10" s="18">
        <v>61936</v>
      </c>
      <c r="K10" s="18">
        <v>45329</v>
      </c>
      <c r="L10" s="19">
        <v>212048</v>
      </c>
      <c r="M10" s="20">
        <f t="shared" si="1"/>
        <v>19588.32</v>
      </c>
      <c r="N10" s="20">
        <f t="shared" si="2"/>
        <v>19588.32</v>
      </c>
      <c r="O10" s="123"/>
      <c r="P10" s="80">
        <f t="shared" si="3"/>
        <v>256824.64</v>
      </c>
      <c r="Q10" s="81">
        <v>0.36</v>
      </c>
      <c r="R10" s="87">
        <f t="shared" si="4"/>
        <v>256825</v>
      </c>
      <c r="S10" s="19">
        <v>5600</v>
      </c>
      <c r="T10" s="19">
        <v>4750</v>
      </c>
      <c r="U10" s="21">
        <f t="shared" si="5"/>
        <v>850</v>
      </c>
      <c r="V10" s="22">
        <f t="shared" si="6"/>
        <v>0.17894736842105263</v>
      </c>
      <c r="W10" s="23" t="s">
        <v>124</v>
      </c>
      <c r="X10" s="19">
        <v>8306</v>
      </c>
      <c r="Y10" s="33">
        <v>46120</v>
      </c>
      <c r="Z10" s="15" t="s">
        <v>323</v>
      </c>
    </row>
    <row r="11" spans="1:26" x14ac:dyDescent="0.25">
      <c r="A11" s="21">
        <f>IF(C11="","",COUNTA($C$3:C11))</f>
        <v>9</v>
      </c>
      <c r="B11" s="35" t="str">
        <f t="shared" si="7"/>
        <v>April</v>
      </c>
      <c r="C11" s="31">
        <v>46120</v>
      </c>
      <c r="D11" s="17" t="s">
        <v>125</v>
      </c>
      <c r="E11" s="32">
        <v>46102</v>
      </c>
      <c r="F11" s="17" t="s">
        <v>126</v>
      </c>
      <c r="G11" s="18" t="s">
        <v>121</v>
      </c>
      <c r="H11" s="18" t="s">
        <v>127</v>
      </c>
      <c r="I11" s="17" t="s">
        <v>128</v>
      </c>
      <c r="J11" s="18">
        <v>61936</v>
      </c>
      <c r="K11" s="18">
        <v>45330</v>
      </c>
      <c r="L11" s="19">
        <v>218731.4</v>
      </c>
      <c r="M11" s="20">
        <f t="shared" si="1"/>
        <v>20189.825999999997</v>
      </c>
      <c r="N11" s="20">
        <f t="shared" si="2"/>
        <v>20189.825999999997</v>
      </c>
      <c r="O11" s="20"/>
      <c r="P11" s="80">
        <f t="shared" si="3"/>
        <v>264711.05200000003</v>
      </c>
      <c r="Q11" s="81">
        <v>-0.05</v>
      </c>
      <c r="R11" s="87">
        <f t="shared" si="4"/>
        <v>264711.00200000004</v>
      </c>
      <c r="S11" s="19">
        <v>5600</v>
      </c>
      <c r="T11" s="19">
        <v>4750</v>
      </c>
      <c r="U11" s="21">
        <f t="shared" si="5"/>
        <v>850</v>
      </c>
      <c r="V11" s="22">
        <f t="shared" si="6"/>
        <v>0.17894736842105263</v>
      </c>
      <c r="W11" s="23" t="s">
        <v>124</v>
      </c>
      <c r="X11" s="19">
        <v>8307</v>
      </c>
      <c r="Y11" s="33">
        <v>46121</v>
      </c>
      <c r="Z11" s="15" t="s">
        <v>321</v>
      </c>
    </row>
    <row r="12" spans="1:26" x14ac:dyDescent="0.25">
      <c r="A12" s="21">
        <f>IF(C12="","",COUNTA($C$3:C12))</f>
        <v>10</v>
      </c>
      <c r="B12" s="35" t="str">
        <f t="shared" si="7"/>
        <v>April</v>
      </c>
      <c r="C12" s="31">
        <v>46120</v>
      </c>
      <c r="D12" s="17" t="s">
        <v>143</v>
      </c>
      <c r="E12" s="32">
        <v>45927</v>
      </c>
      <c r="F12" s="17" t="s">
        <v>144</v>
      </c>
      <c r="G12" s="18" t="s">
        <v>145</v>
      </c>
      <c r="H12" s="18" t="s">
        <v>143</v>
      </c>
      <c r="I12" s="17" t="s">
        <v>146</v>
      </c>
      <c r="J12" s="18">
        <v>61768</v>
      </c>
      <c r="K12" s="18">
        <v>45331</v>
      </c>
      <c r="L12" s="19">
        <v>27773</v>
      </c>
      <c r="M12" s="20"/>
      <c r="N12" s="20"/>
      <c r="O12" s="19">
        <f t="shared" ref="O12" si="8">IF(L12="","",(L12+S12)*18%)</f>
        <v>4999.1399999999994</v>
      </c>
      <c r="P12" s="80">
        <f t="shared" si="3"/>
        <v>32772.14</v>
      </c>
      <c r="Q12" s="83">
        <v>-0.14000000000000001</v>
      </c>
      <c r="R12" s="87">
        <f t="shared" si="4"/>
        <v>32772</v>
      </c>
      <c r="S12" s="19"/>
      <c r="T12" s="19"/>
      <c r="U12" s="21" t="str">
        <f t="shared" si="5"/>
        <v/>
      </c>
      <c r="V12" s="22" t="str">
        <f t="shared" si="6"/>
        <v/>
      </c>
      <c r="W12" s="23"/>
      <c r="X12" s="19"/>
      <c r="Y12" s="33"/>
      <c r="Z12" s="15"/>
    </row>
    <row r="13" spans="1:26" x14ac:dyDescent="0.25">
      <c r="A13" s="21">
        <f>IF(C13="","",COUNTA($C$3:C13))</f>
        <v>11</v>
      </c>
      <c r="B13" s="35" t="str">
        <f t="shared" si="7"/>
        <v>April</v>
      </c>
      <c r="C13" s="31">
        <v>46120</v>
      </c>
      <c r="D13" s="17" t="s">
        <v>119</v>
      </c>
      <c r="E13" s="32">
        <v>46091</v>
      </c>
      <c r="F13" s="17" t="s">
        <v>120</v>
      </c>
      <c r="G13" s="18" t="s">
        <v>121</v>
      </c>
      <c r="H13" s="18" t="s">
        <v>122</v>
      </c>
      <c r="I13" s="17" t="s">
        <v>123</v>
      </c>
      <c r="J13" s="18">
        <v>61930</v>
      </c>
      <c r="K13" s="18">
        <v>45332</v>
      </c>
      <c r="L13" s="19">
        <v>647378.1</v>
      </c>
      <c r="M13" s="20">
        <f t="shared" ref="M13:M26" si="9">IF(L13="","",(L13+S13)*9%)</f>
        <v>58264.028999999995</v>
      </c>
      <c r="N13" s="20">
        <f t="shared" ref="N13:N26" si="10">IF(L13="","",(L13+S13)*9%)</f>
        <v>58264.028999999995</v>
      </c>
      <c r="O13" s="20"/>
      <c r="P13" s="80">
        <f t="shared" ref="P13:P27" si="11">SUM(L13:O13)+S13</f>
        <v>763906.15799999994</v>
      </c>
      <c r="Q13" s="81">
        <v>-0.16</v>
      </c>
      <c r="R13" s="87">
        <f t="shared" si="4"/>
        <v>763905.99799999991</v>
      </c>
      <c r="S13" s="19"/>
      <c r="T13" s="19"/>
      <c r="U13" s="21" t="str">
        <f t="shared" si="5"/>
        <v/>
      </c>
      <c r="V13" s="22" t="str">
        <f t="shared" si="6"/>
        <v/>
      </c>
      <c r="W13" s="23" t="s">
        <v>124</v>
      </c>
      <c r="X13" s="19">
        <v>8308</v>
      </c>
      <c r="Y13" s="33">
        <v>46121</v>
      </c>
      <c r="Z13" s="15" t="s">
        <v>320</v>
      </c>
    </row>
    <row r="14" spans="1:26" x14ac:dyDescent="0.25">
      <c r="A14" s="21">
        <f>IF(C14="","",COUNTA($C$3:C14))</f>
        <v>12</v>
      </c>
      <c r="B14" s="35" t="str">
        <f t="shared" si="7"/>
        <v>April</v>
      </c>
      <c r="C14" s="31">
        <v>46121</v>
      </c>
      <c r="D14" s="17" t="s">
        <v>125</v>
      </c>
      <c r="E14" s="32">
        <v>46102</v>
      </c>
      <c r="F14" s="17" t="s">
        <v>126</v>
      </c>
      <c r="G14" s="18" t="s">
        <v>121</v>
      </c>
      <c r="H14" s="18" t="s">
        <v>127</v>
      </c>
      <c r="I14" s="17" t="s">
        <v>128</v>
      </c>
      <c r="J14" s="18">
        <v>61936</v>
      </c>
      <c r="K14" s="18">
        <v>45333</v>
      </c>
      <c r="L14" s="19">
        <v>105787.5</v>
      </c>
      <c r="M14" s="20">
        <f t="shared" si="9"/>
        <v>10024.875</v>
      </c>
      <c r="N14" s="20">
        <f t="shared" si="10"/>
        <v>10024.875</v>
      </c>
      <c r="O14" s="123"/>
      <c r="P14" s="80">
        <f t="shared" si="11"/>
        <v>131437.25</v>
      </c>
      <c r="Q14" s="81">
        <v>-0.25</v>
      </c>
      <c r="R14" s="87">
        <f t="shared" si="4"/>
        <v>131437</v>
      </c>
      <c r="S14" s="19">
        <v>5600</v>
      </c>
      <c r="T14" s="19">
        <v>4750</v>
      </c>
      <c r="U14" s="21">
        <f t="shared" si="5"/>
        <v>850</v>
      </c>
      <c r="V14" s="22">
        <f t="shared" si="6"/>
        <v>0.17894736842105263</v>
      </c>
      <c r="W14" s="23" t="s">
        <v>124</v>
      </c>
      <c r="X14" s="19">
        <v>8309</v>
      </c>
      <c r="Y14" s="33">
        <v>46127</v>
      </c>
      <c r="Z14" s="15" t="s">
        <v>318</v>
      </c>
    </row>
    <row r="15" spans="1:26" x14ac:dyDescent="0.25">
      <c r="A15" s="21">
        <f>IF(C15="","",COUNTA($C$3:C15))</f>
        <v>13</v>
      </c>
      <c r="B15" s="35" t="str">
        <f t="shared" si="7"/>
        <v>April</v>
      </c>
      <c r="C15" s="31">
        <v>46121</v>
      </c>
      <c r="D15" s="17" t="s">
        <v>119</v>
      </c>
      <c r="E15" s="32">
        <v>46091</v>
      </c>
      <c r="F15" s="17" t="s">
        <v>120</v>
      </c>
      <c r="G15" s="18" t="s">
        <v>121</v>
      </c>
      <c r="H15" s="18" t="s">
        <v>122</v>
      </c>
      <c r="I15" s="17" t="s">
        <v>123</v>
      </c>
      <c r="J15" s="18">
        <v>61930</v>
      </c>
      <c r="K15" s="18">
        <v>45334</v>
      </c>
      <c r="L15" s="19">
        <v>669276.80000000005</v>
      </c>
      <c r="M15" s="20">
        <f t="shared" si="9"/>
        <v>60234.912000000004</v>
      </c>
      <c r="N15" s="20">
        <f t="shared" si="10"/>
        <v>60234.912000000004</v>
      </c>
      <c r="O15" s="20"/>
      <c r="P15" s="80">
        <f t="shared" si="11"/>
        <v>789746.62400000007</v>
      </c>
      <c r="Q15" s="81">
        <v>0.38</v>
      </c>
      <c r="R15" s="87">
        <f t="shared" si="4"/>
        <v>789747.00400000007</v>
      </c>
      <c r="S15" s="19"/>
      <c r="T15" s="19"/>
      <c r="U15" s="21" t="str">
        <f t="shared" si="5"/>
        <v/>
      </c>
      <c r="V15" s="22" t="str">
        <f t="shared" si="6"/>
        <v/>
      </c>
      <c r="W15" s="23" t="s">
        <v>124</v>
      </c>
      <c r="X15" s="19">
        <v>8310</v>
      </c>
      <c r="Y15" s="33">
        <v>46122</v>
      </c>
      <c r="Z15" s="15" t="s">
        <v>319</v>
      </c>
    </row>
    <row r="16" spans="1:26" x14ac:dyDescent="0.25">
      <c r="A16" s="21">
        <f>IF(C16="","",COUNTA($C$3:C16))</f>
        <v>14</v>
      </c>
      <c r="B16" s="35" t="str">
        <f t="shared" si="7"/>
        <v>April</v>
      </c>
      <c r="C16" s="31">
        <v>46122</v>
      </c>
      <c r="D16" s="17" t="s">
        <v>154</v>
      </c>
      <c r="E16" s="32">
        <v>45630</v>
      </c>
      <c r="F16" s="17" t="s">
        <v>120</v>
      </c>
      <c r="G16" s="18" t="s">
        <v>121</v>
      </c>
      <c r="H16" s="18" t="s">
        <v>122</v>
      </c>
      <c r="I16" s="17" t="s">
        <v>155</v>
      </c>
      <c r="J16" s="18">
        <v>61434</v>
      </c>
      <c r="K16" s="18">
        <v>45335</v>
      </c>
      <c r="L16" s="19">
        <v>52373.7</v>
      </c>
      <c r="M16" s="20">
        <f t="shared" si="9"/>
        <v>5181.6329999999998</v>
      </c>
      <c r="N16" s="20">
        <f t="shared" si="10"/>
        <v>5181.6329999999998</v>
      </c>
      <c r="O16" s="20"/>
      <c r="P16" s="80">
        <f t="shared" si="11"/>
        <v>67936.966</v>
      </c>
      <c r="Q16" s="82">
        <v>0.03</v>
      </c>
      <c r="R16" s="87">
        <f t="shared" si="4"/>
        <v>67936.995999999999</v>
      </c>
      <c r="S16" s="19">
        <v>5200</v>
      </c>
      <c r="T16" s="19">
        <v>4750</v>
      </c>
      <c r="U16" s="21">
        <f t="shared" si="5"/>
        <v>450</v>
      </c>
      <c r="V16" s="22">
        <f t="shared" si="6"/>
        <v>9.4736842105263161E-2</v>
      </c>
      <c r="W16" s="23" t="s">
        <v>124</v>
      </c>
      <c r="X16" s="19">
        <v>8311</v>
      </c>
      <c r="Y16" s="33">
        <v>46129</v>
      </c>
      <c r="Z16" s="15" t="s">
        <v>316</v>
      </c>
    </row>
    <row r="17" spans="1:26" x14ac:dyDescent="0.25">
      <c r="A17" s="21">
        <f>IF(C17="","",COUNTA($C$3:C17))</f>
        <v>15</v>
      </c>
      <c r="B17" s="35" t="str">
        <f t="shared" si="7"/>
        <v>April</v>
      </c>
      <c r="C17" s="31">
        <v>46122</v>
      </c>
      <c r="D17" s="17" t="s">
        <v>156</v>
      </c>
      <c r="E17" s="32">
        <v>46107</v>
      </c>
      <c r="F17" s="17" t="s">
        <v>157</v>
      </c>
      <c r="G17" s="18" t="s">
        <v>121</v>
      </c>
      <c r="H17" s="18" t="s">
        <v>127</v>
      </c>
      <c r="I17" s="17" t="s">
        <v>158</v>
      </c>
      <c r="J17" s="18">
        <v>61935</v>
      </c>
      <c r="K17" s="18">
        <v>45336</v>
      </c>
      <c r="L17" s="19">
        <v>1666</v>
      </c>
      <c r="M17" s="20">
        <f t="shared" si="9"/>
        <v>239.94</v>
      </c>
      <c r="N17" s="20">
        <f t="shared" si="10"/>
        <v>239.94</v>
      </c>
      <c r="O17" s="20"/>
      <c r="P17" s="80">
        <f t="shared" si="11"/>
        <v>3145.88</v>
      </c>
      <c r="Q17" s="82">
        <v>0.12</v>
      </c>
      <c r="R17" s="87">
        <f t="shared" si="4"/>
        <v>3146</v>
      </c>
      <c r="S17" s="19">
        <v>1000</v>
      </c>
      <c r="T17" s="19">
        <v>1000</v>
      </c>
      <c r="U17" s="21">
        <f t="shared" si="5"/>
        <v>0</v>
      </c>
      <c r="V17" s="22">
        <f t="shared" si="6"/>
        <v>0</v>
      </c>
      <c r="W17" s="23" t="s">
        <v>159</v>
      </c>
      <c r="X17" s="19" t="s">
        <v>160</v>
      </c>
      <c r="Y17" s="33">
        <v>46127</v>
      </c>
      <c r="Z17" s="15"/>
    </row>
    <row r="18" spans="1:26" x14ac:dyDescent="0.25">
      <c r="A18" s="21">
        <f>IF(C18="","",COUNTA($C$3:C18))</f>
        <v>16</v>
      </c>
      <c r="B18" s="35" t="str">
        <f t="shared" si="7"/>
        <v>April</v>
      </c>
      <c r="C18" s="31">
        <v>46123</v>
      </c>
      <c r="D18" s="17" t="s">
        <v>125</v>
      </c>
      <c r="E18" s="32">
        <v>46102</v>
      </c>
      <c r="F18" s="17" t="s">
        <v>126</v>
      </c>
      <c r="G18" s="18" t="s">
        <v>121</v>
      </c>
      <c r="H18" s="18" t="s">
        <v>127</v>
      </c>
      <c r="I18" s="17" t="s">
        <v>128</v>
      </c>
      <c r="J18" s="18">
        <v>61936</v>
      </c>
      <c r="K18" s="18">
        <v>45337</v>
      </c>
      <c r="L18" s="19">
        <v>54450</v>
      </c>
      <c r="M18" s="20">
        <f t="shared" si="9"/>
        <v>4900.5</v>
      </c>
      <c r="N18" s="20">
        <f t="shared" si="10"/>
        <v>4900.5</v>
      </c>
      <c r="O18" s="20"/>
      <c r="P18" s="80">
        <f t="shared" si="11"/>
        <v>64251</v>
      </c>
      <c r="Q18" s="82"/>
      <c r="R18" s="87">
        <f t="shared" si="4"/>
        <v>64251</v>
      </c>
      <c r="S18" s="19"/>
      <c r="T18" s="19"/>
      <c r="U18" s="21" t="str">
        <f t="shared" si="5"/>
        <v/>
      </c>
      <c r="V18" s="22" t="str">
        <f t="shared" si="6"/>
        <v/>
      </c>
      <c r="W18" s="23"/>
      <c r="X18" s="19"/>
      <c r="Y18" s="33">
        <v>46127</v>
      </c>
      <c r="Z18" s="15" t="s">
        <v>318</v>
      </c>
    </row>
    <row r="19" spans="1:26" x14ac:dyDescent="0.25">
      <c r="A19" s="21">
        <f>IF(C19="","",COUNTA($C$3:C19))</f>
        <v>17</v>
      </c>
      <c r="B19" s="35" t="str">
        <f t="shared" si="7"/>
        <v>April</v>
      </c>
      <c r="C19" s="31">
        <v>46123</v>
      </c>
      <c r="D19" s="17" t="s">
        <v>119</v>
      </c>
      <c r="E19" s="32">
        <v>46091</v>
      </c>
      <c r="F19" s="17" t="s">
        <v>120</v>
      </c>
      <c r="G19" s="18" t="s">
        <v>121</v>
      </c>
      <c r="H19" s="18" t="s">
        <v>122</v>
      </c>
      <c r="I19" s="17" t="s">
        <v>123</v>
      </c>
      <c r="J19" s="18">
        <v>61930</v>
      </c>
      <c r="K19" s="18">
        <v>45338</v>
      </c>
      <c r="L19" s="19">
        <v>671202.8</v>
      </c>
      <c r="M19" s="20">
        <f t="shared" si="9"/>
        <v>60408.252</v>
      </c>
      <c r="N19" s="20">
        <f t="shared" si="10"/>
        <v>60408.252</v>
      </c>
      <c r="O19" s="20"/>
      <c r="P19" s="79">
        <f t="shared" si="11"/>
        <v>792019.304</v>
      </c>
      <c r="Q19" s="82">
        <v>-0.3</v>
      </c>
      <c r="R19" s="87">
        <f t="shared" si="4"/>
        <v>792019.00399999996</v>
      </c>
      <c r="S19" s="19"/>
      <c r="T19" s="19"/>
      <c r="U19" s="21" t="str">
        <f t="shared" si="5"/>
        <v/>
      </c>
      <c r="V19" s="22" t="str">
        <f t="shared" si="6"/>
        <v/>
      </c>
      <c r="W19" s="23" t="s">
        <v>124</v>
      </c>
      <c r="X19" s="19">
        <v>8312</v>
      </c>
      <c r="Y19" s="33">
        <v>46127</v>
      </c>
      <c r="Z19" s="15" t="s">
        <v>317</v>
      </c>
    </row>
    <row r="20" spans="1:26" x14ac:dyDescent="0.25">
      <c r="A20" s="21">
        <f>IF(C20="","",COUNTA($C$3:C20))</f>
        <v>18</v>
      </c>
      <c r="B20" s="35" t="str">
        <f t="shared" si="7"/>
        <v>April</v>
      </c>
      <c r="C20" s="31">
        <v>46125</v>
      </c>
      <c r="D20" s="17" t="s">
        <v>162</v>
      </c>
      <c r="E20" s="32">
        <v>45978</v>
      </c>
      <c r="F20" s="17" t="s">
        <v>120</v>
      </c>
      <c r="G20" s="18" t="s">
        <v>121</v>
      </c>
      <c r="H20" s="18" t="s">
        <v>122</v>
      </c>
      <c r="I20" s="17" t="s">
        <v>163</v>
      </c>
      <c r="J20" s="18">
        <v>61816</v>
      </c>
      <c r="K20" s="18">
        <v>45339</v>
      </c>
      <c r="L20" s="19">
        <v>8932</v>
      </c>
      <c r="M20" s="20">
        <f t="shared" si="9"/>
        <v>803.88</v>
      </c>
      <c r="N20" s="20">
        <f t="shared" si="10"/>
        <v>803.88</v>
      </c>
      <c r="O20" s="123"/>
      <c r="P20" s="80">
        <f t="shared" si="11"/>
        <v>10539.759999999998</v>
      </c>
      <c r="Q20" s="82">
        <v>0.24</v>
      </c>
      <c r="R20" s="87">
        <f t="shared" si="4"/>
        <v>10539.999999999998</v>
      </c>
      <c r="S20" s="19"/>
      <c r="T20" s="19"/>
      <c r="U20" s="21" t="str">
        <f t="shared" si="5"/>
        <v/>
      </c>
      <c r="V20" s="22" t="str">
        <f t="shared" si="6"/>
        <v/>
      </c>
      <c r="W20" s="23" t="s">
        <v>164</v>
      </c>
      <c r="X20" s="19">
        <v>11187</v>
      </c>
      <c r="Y20" s="33">
        <v>46127</v>
      </c>
      <c r="Z20" s="15" t="s">
        <v>317</v>
      </c>
    </row>
    <row r="21" spans="1:26" x14ac:dyDescent="0.25">
      <c r="A21" s="21">
        <f>IF(C21="","",COUNTA($C$3:C21))</f>
        <v>19</v>
      </c>
      <c r="B21" s="35" t="str">
        <f t="shared" si="7"/>
        <v>April</v>
      </c>
      <c r="C21" s="31">
        <v>46125</v>
      </c>
      <c r="D21" s="17" t="s">
        <v>165</v>
      </c>
      <c r="E21" s="32">
        <v>46125</v>
      </c>
      <c r="F21" s="17" t="s">
        <v>120</v>
      </c>
      <c r="G21" s="18" t="s">
        <v>121</v>
      </c>
      <c r="H21" s="18" t="s">
        <v>122</v>
      </c>
      <c r="I21" s="17" t="s">
        <v>166</v>
      </c>
      <c r="J21" s="18">
        <v>61948</v>
      </c>
      <c r="K21" s="18">
        <v>45340</v>
      </c>
      <c r="L21" s="19">
        <v>55109</v>
      </c>
      <c r="M21" s="20">
        <f t="shared" si="9"/>
        <v>4959.8099999999995</v>
      </c>
      <c r="N21" s="20">
        <f t="shared" si="10"/>
        <v>4959.8099999999995</v>
      </c>
      <c r="O21" s="123"/>
      <c r="P21" s="80">
        <f t="shared" si="11"/>
        <v>65028.619999999995</v>
      </c>
      <c r="Q21" s="82">
        <v>0.38</v>
      </c>
      <c r="R21" s="87">
        <f t="shared" si="4"/>
        <v>65028.999999999993</v>
      </c>
      <c r="S21" s="19"/>
      <c r="T21" s="19"/>
      <c r="U21" s="21" t="str">
        <f t="shared" si="5"/>
        <v/>
      </c>
      <c r="V21" s="22" t="str">
        <f t="shared" si="6"/>
        <v/>
      </c>
      <c r="W21" s="23" t="s">
        <v>164</v>
      </c>
      <c r="X21" s="19">
        <v>11186</v>
      </c>
      <c r="Y21" s="33">
        <v>46127</v>
      </c>
      <c r="Z21" s="15" t="s">
        <v>317</v>
      </c>
    </row>
    <row r="22" spans="1:26" x14ac:dyDescent="0.25">
      <c r="A22" s="21">
        <f>IF(C22="","",COUNTA($C$3:C22))</f>
        <v>20</v>
      </c>
      <c r="B22" s="35" t="str">
        <f t="shared" si="7"/>
        <v>April</v>
      </c>
      <c r="C22" s="31">
        <v>46127</v>
      </c>
      <c r="D22" s="17" t="s">
        <v>167</v>
      </c>
      <c r="E22" s="32">
        <v>46022</v>
      </c>
      <c r="F22" s="17" t="s">
        <v>120</v>
      </c>
      <c r="G22" s="18" t="s">
        <v>121</v>
      </c>
      <c r="H22" s="18" t="s">
        <v>122</v>
      </c>
      <c r="I22" s="17" t="s">
        <v>168</v>
      </c>
      <c r="J22" s="18">
        <v>61859</v>
      </c>
      <c r="K22" s="18">
        <v>45341</v>
      </c>
      <c r="L22" s="19">
        <v>2500</v>
      </c>
      <c r="M22" s="20">
        <f t="shared" si="9"/>
        <v>225</v>
      </c>
      <c r="N22" s="20">
        <f t="shared" si="10"/>
        <v>225</v>
      </c>
      <c r="O22" s="20"/>
      <c r="P22" s="79">
        <f t="shared" si="11"/>
        <v>2950</v>
      </c>
      <c r="Q22" s="82"/>
      <c r="R22" s="87">
        <f t="shared" si="4"/>
        <v>2950</v>
      </c>
      <c r="S22" s="19"/>
      <c r="T22" s="19"/>
      <c r="U22" s="21" t="str">
        <f t="shared" si="5"/>
        <v/>
      </c>
      <c r="V22" s="22" t="str">
        <f t="shared" si="6"/>
        <v/>
      </c>
      <c r="W22" s="23" t="s">
        <v>159</v>
      </c>
      <c r="X22" s="19" t="s">
        <v>160</v>
      </c>
      <c r="Y22" s="33">
        <v>46129</v>
      </c>
      <c r="Z22" s="15" t="s">
        <v>316</v>
      </c>
    </row>
    <row r="23" spans="1:26" x14ac:dyDescent="0.25">
      <c r="A23" s="21">
        <f>IF(C23="","",COUNTA($C$3:C23))</f>
        <v>21</v>
      </c>
      <c r="B23" s="35" t="str">
        <f t="shared" si="7"/>
        <v>April</v>
      </c>
      <c r="C23" s="31">
        <v>46127</v>
      </c>
      <c r="D23" s="17" t="s">
        <v>119</v>
      </c>
      <c r="E23" s="32">
        <v>46091</v>
      </c>
      <c r="F23" s="17" t="s">
        <v>120</v>
      </c>
      <c r="G23" s="18" t="s">
        <v>121</v>
      </c>
      <c r="H23" s="18" t="s">
        <v>122</v>
      </c>
      <c r="I23" s="17" t="s">
        <v>123</v>
      </c>
      <c r="J23" s="18">
        <v>61930</v>
      </c>
      <c r="K23" s="18">
        <v>45342</v>
      </c>
      <c r="L23" s="19">
        <v>661280.69999999995</v>
      </c>
      <c r="M23" s="20">
        <f t="shared" si="9"/>
        <v>59515.262999999992</v>
      </c>
      <c r="N23" s="20">
        <f t="shared" si="10"/>
        <v>59515.262999999992</v>
      </c>
      <c r="O23" s="20"/>
      <c r="P23" s="79">
        <f t="shared" si="11"/>
        <v>780311.22600000002</v>
      </c>
      <c r="Q23" s="82">
        <v>-0.23</v>
      </c>
      <c r="R23" s="87">
        <f t="shared" si="4"/>
        <v>780310.99600000004</v>
      </c>
      <c r="S23" s="19"/>
      <c r="T23" s="19"/>
      <c r="U23" s="21" t="str">
        <f t="shared" si="5"/>
        <v/>
      </c>
      <c r="V23" s="22" t="str">
        <f t="shared" si="6"/>
        <v/>
      </c>
      <c r="W23" s="23" t="s">
        <v>124</v>
      </c>
      <c r="X23" s="19">
        <v>8313</v>
      </c>
      <c r="Y23" s="33">
        <v>46129</v>
      </c>
      <c r="Z23" s="15" t="s">
        <v>316</v>
      </c>
    </row>
    <row r="24" spans="1:26" x14ac:dyDescent="0.25">
      <c r="A24" s="21">
        <f>IF(C24="","",COUNTA($C$3:C24))</f>
        <v>22</v>
      </c>
      <c r="B24" s="35" t="str">
        <f t="shared" si="7"/>
        <v>April</v>
      </c>
      <c r="C24" s="31">
        <v>46128</v>
      </c>
      <c r="D24" s="17" t="s">
        <v>169</v>
      </c>
      <c r="E24" s="32">
        <v>46126</v>
      </c>
      <c r="F24" s="17" t="s">
        <v>120</v>
      </c>
      <c r="G24" s="18" t="s">
        <v>121</v>
      </c>
      <c r="H24" s="18" t="s">
        <v>122</v>
      </c>
      <c r="I24" s="17" t="s">
        <v>170</v>
      </c>
      <c r="J24" s="18">
        <v>61949</v>
      </c>
      <c r="K24" s="18">
        <v>45343</v>
      </c>
      <c r="L24" s="19">
        <v>13728</v>
      </c>
      <c r="M24" s="20">
        <f t="shared" si="9"/>
        <v>1496.52</v>
      </c>
      <c r="N24" s="20">
        <f t="shared" si="10"/>
        <v>1496.52</v>
      </c>
      <c r="O24" s="20"/>
      <c r="P24" s="79">
        <f t="shared" si="11"/>
        <v>19621.04</v>
      </c>
      <c r="Q24" s="82">
        <v>-0.04</v>
      </c>
      <c r="R24" s="87">
        <f t="shared" si="4"/>
        <v>19621</v>
      </c>
      <c r="S24" s="19">
        <v>2900</v>
      </c>
      <c r="T24" s="19">
        <v>2300</v>
      </c>
      <c r="U24" s="21">
        <f t="shared" si="5"/>
        <v>600</v>
      </c>
      <c r="V24" s="22">
        <f t="shared" si="6"/>
        <v>0.2608695652173913</v>
      </c>
      <c r="W24" s="23" t="s">
        <v>124</v>
      </c>
      <c r="X24" s="19">
        <v>8314</v>
      </c>
      <c r="Y24" s="33">
        <v>46130</v>
      </c>
      <c r="Z24" s="15" t="s">
        <v>314</v>
      </c>
    </row>
    <row r="25" spans="1:26" x14ac:dyDescent="0.25">
      <c r="A25" s="21">
        <f>IF(C25="","",COUNTA($C$3:C25))</f>
        <v>23</v>
      </c>
      <c r="B25" s="35" t="str">
        <f t="shared" si="7"/>
        <v>April</v>
      </c>
      <c r="C25" s="31">
        <v>46128</v>
      </c>
      <c r="D25" s="17" t="s">
        <v>125</v>
      </c>
      <c r="E25" s="32">
        <v>46102</v>
      </c>
      <c r="F25" s="17" t="s">
        <v>126</v>
      </c>
      <c r="G25" s="18" t="s">
        <v>121</v>
      </c>
      <c r="H25" s="18" t="s">
        <v>127</v>
      </c>
      <c r="I25" s="17" t="s">
        <v>128</v>
      </c>
      <c r="J25" s="18">
        <v>61936</v>
      </c>
      <c r="K25" s="18">
        <v>45344</v>
      </c>
      <c r="L25" s="19">
        <v>19813.5</v>
      </c>
      <c r="M25" s="20">
        <f t="shared" si="9"/>
        <v>1783.2149999999999</v>
      </c>
      <c r="N25" s="20">
        <f t="shared" si="10"/>
        <v>1783.2149999999999</v>
      </c>
      <c r="O25" s="20"/>
      <c r="P25" s="79">
        <f t="shared" si="11"/>
        <v>23379.93</v>
      </c>
      <c r="Q25" s="82">
        <v>7.0000000000000007E-2</v>
      </c>
      <c r="R25" s="87">
        <f t="shared" si="4"/>
        <v>23380</v>
      </c>
      <c r="S25" s="19"/>
      <c r="T25" s="19"/>
      <c r="U25" s="21" t="str">
        <f t="shared" si="5"/>
        <v/>
      </c>
      <c r="V25" s="22" t="str">
        <f t="shared" si="6"/>
        <v/>
      </c>
      <c r="W25" s="23" t="s">
        <v>159</v>
      </c>
      <c r="X25" s="19" t="s">
        <v>160</v>
      </c>
      <c r="Y25" s="33">
        <v>46129</v>
      </c>
      <c r="Z25" s="15" t="s">
        <v>315</v>
      </c>
    </row>
    <row r="26" spans="1:26" x14ac:dyDescent="0.25">
      <c r="A26" s="21">
        <f>IF(C26="","",COUNTA($C$3:C26))</f>
        <v>24</v>
      </c>
      <c r="B26" s="35" t="str">
        <f t="shared" si="7"/>
        <v>April</v>
      </c>
      <c r="C26" s="31">
        <v>46128</v>
      </c>
      <c r="D26" s="17" t="s">
        <v>125</v>
      </c>
      <c r="E26" s="32">
        <v>46102</v>
      </c>
      <c r="F26" s="17" t="s">
        <v>126</v>
      </c>
      <c r="G26" s="18" t="s">
        <v>121</v>
      </c>
      <c r="H26" s="18" t="s">
        <v>127</v>
      </c>
      <c r="I26" s="17" t="s">
        <v>128</v>
      </c>
      <c r="J26" s="18">
        <v>61936</v>
      </c>
      <c r="K26" s="18">
        <v>45345</v>
      </c>
      <c r="L26" s="19">
        <v>17871</v>
      </c>
      <c r="M26" s="20">
        <f t="shared" si="9"/>
        <v>1608.3899999999999</v>
      </c>
      <c r="N26" s="20">
        <f t="shared" si="10"/>
        <v>1608.3899999999999</v>
      </c>
      <c r="O26" s="20"/>
      <c r="P26" s="79">
        <f t="shared" si="11"/>
        <v>21087.78</v>
      </c>
      <c r="Q26" s="82">
        <v>0.22</v>
      </c>
      <c r="R26" s="87">
        <f t="shared" si="4"/>
        <v>21088</v>
      </c>
      <c r="S26" s="19"/>
      <c r="T26" s="19"/>
      <c r="U26" s="21" t="str">
        <f t="shared" si="5"/>
        <v/>
      </c>
      <c r="V26" s="22" t="str">
        <f t="shared" si="6"/>
        <v/>
      </c>
      <c r="W26" s="23" t="s">
        <v>159</v>
      </c>
      <c r="X26" s="19" t="s">
        <v>160</v>
      </c>
      <c r="Y26" s="33">
        <v>46129</v>
      </c>
      <c r="Z26" s="15" t="s">
        <v>315</v>
      </c>
    </row>
    <row r="27" spans="1:26" x14ac:dyDescent="0.25">
      <c r="A27" s="21">
        <f>IF(C27="","",COUNTA($C$3:C27))</f>
        <v>25</v>
      </c>
      <c r="B27" s="35" t="str">
        <f t="shared" si="7"/>
        <v>April</v>
      </c>
      <c r="C27" s="31">
        <v>46129</v>
      </c>
      <c r="D27" s="17" t="s">
        <v>171</v>
      </c>
      <c r="E27" s="32">
        <v>46128</v>
      </c>
      <c r="F27" s="17" t="s">
        <v>120</v>
      </c>
      <c r="G27" s="18" t="s">
        <v>172</v>
      </c>
      <c r="H27" s="18" t="s">
        <v>122</v>
      </c>
      <c r="I27" s="17" t="s">
        <v>173</v>
      </c>
      <c r="J27" s="18">
        <v>61951</v>
      </c>
      <c r="K27" s="18">
        <v>45346</v>
      </c>
      <c r="L27" s="19">
        <v>162790.20000000001</v>
      </c>
      <c r="M27" s="20"/>
      <c r="N27" s="20"/>
      <c r="O27" s="19">
        <f t="shared" ref="O27" si="12">IF(L27="","",(L27+S27)*18%)</f>
        <v>29302.236000000001</v>
      </c>
      <c r="P27" s="80">
        <f t="shared" si="11"/>
        <v>192092.43600000002</v>
      </c>
      <c r="Q27" s="83">
        <v>-0.44</v>
      </c>
      <c r="R27" s="87">
        <f t="shared" ref="R27:R28" si="13">P27+Q27</f>
        <v>192091.99600000001</v>
      </c>
      <c r="S27" s="19"/>
      <c r="T27" s="19"/>
      <c r="U27" s="21" t="str">
        <f t="shared" si="5"/>
        <v/>
      </c>
      <c r="V27" s="22" t="str">
        <f t="shared" si="6"/>
        <v/>
      </c>
      <c r="W27" s="23" t="s">
        <v>164</v>
      </c>
      <c r="X27" s="19">
        <v>11188</v>
      </c>
      <c r="Y27" s="33">
        <v>46130</v>
      </c>
      <c r="Z27" s="15" t="s">
        <v>314</v>
      </c>
    </row>
    <row r="28" spans="1:26" x14ac:dyDescent="0.25">
      <c r="A28" s="21">
        <f>IF(C28="","",COUNTA($C$3:C28))</f>
        <v>26</v>
      </c>
      <c r="B28" s="35" t="str">
        <f t="shared" si="7"/>
        <v>April</v>
      </c>
      <c r="C28" s="31">
        <v>46129</v>
      </c>
      <c r="D28" s="17">
        <v>379</v>
      </c>
      <c r="E28" s="32">
        <v>46122</v>
      </c>
      <c r="F28" s="17" t="s">
        <v>174</v>
      </c>
      <c r="G28" s="18" t="s">
        <v>121</v>
      </c>
      <c r="H28" s="18" t="s">
        <v>127</v>
      </c>
      <c r="I28" s="17" t="s">
        <v>175</v>
      </c>
      <c r="J28" s="18">
        <v>61952</v>
      </c>
      <c r="K28" s="18">
        <v>45347</v>
      </c>
      <c r="L28" s="19">
        <v>95048</v>
      </c>
      <c r="M28" s="20">
        <f t="shared" ref="M28" si="14">IF(L28="","",(L28+S28)*9%)</f>
        <v>9058.32</v>
      </c>
      <c r="N28" s="20">
        <f t="shared" ref="N28" si="15">IF(L28="","",(L28+S28)*9%)</f>
        <v>9058.32</v>
      </c>
      <c r="O28" s="20"/>
      <c r="P28" s="79">
        <f t="shared" ref="P28:P30" si="16">SUM(L28:O28)+S28</f>
        <v>118764.64000000001</v>
      </c>
      <c r="Q28" s="82">
        <v>0.36</v>
      </c>
      <c r="R28" s="87">
        <f t="shared" si="13"/>
        <v>118765.00000000001</v>
      </c>
      <c r="S28" s="19">
        <v>5600</v>
      </c>
      <c r="T28" s="19">
        <v>4750</v>
      </c>
      <c r="U28" s="21">
        <f t="shared" si="5"/>
        <v>850</v>
      </c>
      <c r="V28" s="22">
        <f t="shared" si="6"/>
        <v>0.17894736842105263</v>
      </c>
      <c r="W28" s="23" t="s">
        <v>124</v>
      </c>
      <c r="X28" s="19">
        <v>8315</v>
      </c>
      <c r="Y28" s="33">
        <v>46132</v>
      </c>
      <c r="Z28" s="15" t="s">
        <v>313</v>
      </c>
    </row>
    <row r="29" spans="1:26" x14ac:dyDescent="0.25">
      <c r="A29" s="21">
        <f>IF(C29="","",COUNTA($C$3:C29))</f>
        <v>27</v>
      </c>
      <c r="B29" s="35" t="str">
        <f>IF(C29="","",TEXT(C29,"mmmm"))</f>
        <v>April</v>
      </c>
      <c r="C29" s="31">
        <v>46130</v>
      </c>
      <c r="D29" s="17" t="s">
        <v>143</v>
      </c>
      <c r="E29" s="32">
        <v>45927</v>
      </c>
      <c r="F29" s="17" t="s">
        <v>144</v>
      </c>
      <c r="G29" s="18" t="s">
        <v>145</v>
      </c>
      <c r="H29" s="18" t="s">
        <v>143</v>
      </c>
      <c r="I29" s="17" t="s">
        <v>146</v>
      </c>
      <c r="J29" s="18">
        <v>61768</v>
      </c>
      <c r="K29" s="18">
        <v>45348</v>
      </c>
      <c r="L29" s="19">
        <v>93713</v>
      </c>
      <c r="M29" s="20"/>
      <c r="N29" s="20"/>
      <c r="O29" s="19">
        <f t="shared" ref="O29:O30" si="17">IF(L29="","",(L29+S29)*18%)</f>
        <v>16868.34</v>
      </c>
      <c r="P29" s="80">
        <f t="shared" si="16"/>
        <v>110581.34</v>
      </c>
      <c r="Q29" s="83">
        <v>-0.34</v>
      </c>
      <c r="R29" s="87">
        <f t="shared" ref="R29:R37" si="18">P29+Q29</f>
        <v>110581</v>
      </c>
      <c r="S29" s="19"/>
      <c r="T29" s="19"/>
      <c r="U29" s="21" t="str">
        <f t="shared" si="5"/>
        <v/>
      </c>
      <c r="V29" s="22" t="str">
        <f t="shared" ref="V29" si="19">IF(U29="","",(U29/T29))</f>
        <v/>
      </c>
      <c r="W29" s="23" t="s">
        <v>177</v>
      </c>
      <c r="X29" s="19" t="s">
        <v>160</v>
      </c>
      <c r="Y29" s="33"/>
      <c r="Z29" s="15"/>
    </row>
    <row r="30" spans="1:26" x14ac:dyDescent="0.25">
      <c r="A30" s="21">
        <f>IF(C30="","",COUNTA($C$3:C30))</f>
        <v>28</v>
      </c>
      <c r="B30" s="35" t="str">
        <f>IF(C30="","",TEXT(C30,"mmmm"))</f>
        <v>April</v>
      </c>
      <c r="C30" s="31">
        <v>46130</v>
      </c>
      <c r="D30" s="17" t="s">
        <v>143</v>
      </c>
      <c r="E30" s="32">
        <v>45927</v>
      </c>
      <c r="F30" s="17" t="s">
        <v>144</v>
      </c>
      <c r="G30" s="18" t="s">
        <v>145</v>
      </c>
      <c r="H30" s="18" t="s">
        <v>143</v>
      </c>
      <c r="I30" s="17" t="s">
        <v>146</v>
      </c>
      <c r="J30" s="18">
        <v>61768</v>
      </c>
      <c r="K30" s="18">
        <v>45349</v>
      </c>
      <c r="L30" s="19">
        <v>43008</v>
      </c>
      <c r="M30" s="20"/>
      <c r="N30" s="20"/>
      <c r="O30" s="19">
        <f t="shared" si="17"/>
        <v>7741.44</v>
      </c>
      <c r="P30" s="80">
        <f t="shared" si="16"/>
        <v>50749.440000000002</v>
      </c>
      <c r="Q30" s="82">
        <v>-0.44</v>
      </c>
      <c r="R30" s="87">
        <f t="shared" si="18"/>
        <v>50749</v>
      </c>
      <c r="S30" s="19"/>
      <c r="T30" s="19"/>
      <c r="U30" s="21" t="str">
        <f t="shared" si="5"/>
        <v/>
      </c>
      <c r="V30" s="22" t="str">
        <f t="shared" si="6"/>
        <v/>
      </c>
      <c r="W30" s="23" t="s">
        <v>177</v>
      </c>
      <c r="X30" s="19" t="s">
        <v>160</v>
      </c>
      <c r="Y30" s="33"/>
      <c r="Z30" s="15"/>
    </row>
    <row r="31" spans="1:26" x14ac:dyDescent="0.25">
      <c r="A31" s="21">
        <f>IF(C31="","",COUNTA($C$3:C31))</f>
        <v>29</v>
      </c>
      <c r="B31" s="35" t="str">
        <f t="shared" si="7"/>
        <v>April</v>
      </c>
      <c r="C31" s="31">
        <v>46132</v>
      </c>
      <c r="D31" s="17" t="s">
        <v>119</v>
      </c>
      <c r="E31" s="32">
        <v>46091</v>
      </c>
      <c r="F31" s="17" t="s">
        <v>120</v>
      </c>
      <c r="G31" s="18" t="s">
        <v>121</v>
      </c>
      <c r="H31" s="18" t="s">
        <v>122</v>
      </c>
      <c r="I31" s="17" t="s">
        <v>123</v>
      </c>
      <c r="J31" s="18">
        <v>61930</v>
      </c>
      <c r="K31" s="18">
        <v>45350</v>
      </c>
      <c r="L31" s="19">
        <v>750782.4</v>
      </c>
      <c r="M31" s="20">
        <f t="shared" ref="M31:M35" si="20">IF(L31="","",(L31+S31)*9%)</f>
        <v>67570.415999999997</v>
      </c>
      <c r="N31" s="20">
        <f t="shared" ref="N31:N35" si="21">IF(L31="","",(L31+S31)*9%)</f>
        <v>67570.415999999997</v>
      </c>
      <c r="O31" s="20"/>
      <c r="P31" s="79">
        <f t="shared" ref="P31:P37" si="22">SUM(L31:O31)+S31</f>
        <v>885923.23199999996</v>
      </c>
      <c r="Q31" s="82">
        <v>-0.23</v>
      </c>
      <c r="R31" s="87">
        <f t="shared" si="18"/>
        <v>885923.00199999998</v>
      </c>
      <c r="S31" s="19"/>
      <c r="T31" s="19"/>
      <c r="U31" s="21" t="str">
        <f t="shared" si="5"/>
        <v/>
      </c>
      <c r="V31" s="22" t="str">
        <f t="shared" si="6"/>
        <v/>
      </c>
      <c r="W31" s="23" t="s">
        <v>124</v>
      </c>
      <c r="X31" s="19">
        <v>8316</v>
      </c>
      <c r="Y31" s="33">
        <v>46134</v>
      </c>
      <c r="Z31" s="15" t="s">
        <v>312</v>
      </c>
    </row>
    <row r="32" spans="1:26" x14ac:dyDescent="0.25">
      <c r="A32" s="21">
        <f>IF(C32="","",COUNTA($C$3:C32))</f>
        <v>30</v>
      </c>
      <c r="B32" s="35" t="str">
        <f t="shared" si="7"/>
        <v>April</v>
      </c>
      <c r="C32" s="31">
        <v>46133</v>
      </c>
      <c r="D32" s="17" t="s">
        <v>196</v>
      </c>
      <c r="E32" s="32">
        <v>46125</v>
      </c>
      <c r="F32" s="17" t="s">
        <v>120</v>
      </c>
      <c r="G32" s="18" t="s">
        <v>121</v>
      </c>
      <c r="H32" s="18" t="s">
        <v>122</v>
      </c>
      <c r="I32" s="17" t="s">
        <v>197</v>
      </c>
      <c r="J32" s="18">
        <v>61950</v>
      </c>
      <c r="K32" s="18">
        <v>45351</v>
      </c>
      <c r="L32" s="19">
        <v>34917.599999999999</v>
      </c>
      <c r="M32" s="20">
        <f t="shared" si="20"/>
        <v>3619.5839999999998</v>
      </c>
      <c r="N32" s="20">
        <f t="shared" si="21"/>
        <v>3619.5839999999998</v>
      </c>
      <c r="O32" s="20"/>
      <c r="P32" s="79">
        <f t="shared" si="22"/>
        <v>47456.768000000004</v>
      </c>
      <c r="Q32" s="82">
        <v>0.23</v>
      </c>
      <c r="R32" s="87">
        <f t="shared" si="18"/>
        <v>47456.998000000007</v>
      </c>
      <c r="S32" s="19">
        <v>5300</v>
      </c>
      <c r="T32" s="19">
        <v>4750</v>
      </c>
      <c r="U32" s="21">
        <f t="shared" si="5"/>
        <v>550</v>
      </c>
      <c r="V32" s="22">
        <f t="shared" si="6"/>
        <v>0.11578947368421053</v>
      </c>
      <c r="W32" s="23" t="s">
        <v>124</v>
      </c>
      <c r="X32" s="19">
        <v>8317</v>
      </c>
      <c r="Y32" s="33">
        <v>46134</v>
      </c>
      <c r="Z32" s="15" t="s">
        <v>312</v>
      </c>
    </row>
    <row r="33" spans="1:26" x14ac:dyDescent="0.25">
      <c r="A33" s="21">
        <f>IF(C33="","",COUNTA($C$3:C33))</f>
        <v>31</v>
      </c>
      <c r="B33" s="35" t="str">
        <f t="shared" si="7"/>
        <v>April</v>
      </c>
      <c r="C33" s="31">
        <v>46133</v>
      </c>
      <c r="D33" s="17" t="s">
        <v>119</v>
      </c>
      <c r="E33" s="32">
        <v>46091</v>
      </c>
      <c r="F33" s="17" t="s">
        <v>120</v>
      </c>
      <c r="G33" s="18" t="s">
        <v>121</v>
      </c>
      <c r="H33" s="18" t="s">
        <v>122</v>
      </c>
      <c r="I33" s="17" t="s">
        <v>123</v>
      </c>
      <c r="J33" s="18">
        <v>61930</v>
      </c>
      <c r="K33" s="18">
        <v>45352</v>
      </c>
      <c r="L33" s="19">
        <v>704831.5</v>
      </c>
      <c r="M33" s="20">
        <f t="shared" si="20"/>
        <v>63434.834999999999</v>
      </c>
      <c r="N33" s="20">
        <f t="shared" si="21"/>
        <v>63434.834999999999</v>
      </c>
      <c r="O33" s="20"/>
      <c r="P33" s="79">
        <f t="shared" si="22"/>
        <v>831701.16999999993</v>
      </c>
      <c r="Q33" s="82">
        <v>-0.17</v>
      </c>
      <c r="R33" s="87">
        <f t="shared" si="18"/>
        <v>831700.99999999988</v>
      </c>
      <c r="S33" s="19"/>
      <c r="T33" s="19"/>
      <c r="U33" s="21" t="str">
        <f t="shared" si="5"/>
        <v/>
      </c>
      <c r="V33" s="22" t="str">
        <f t="shared" si="6"/>
        <v/>
      </c>
      <c r="W33" s="23" t="s">
        <v>124</v>
      </c>
      <c r="X33" s="19">
        <v>8318</v>
      </c>
      <c r="Y33" s="33">
        <v>46134</v>
      </c>
      <c r="Z33" s="15" t="s">
        <v>312</v>
      </c>
    </row>
    <row r="34" spans="1:26" x14ac:dyDescent="0.25">
      <c r="A34" s="21">
        <f>IF(C34="","",COUNTA($C$3:C34))</f>
        <v>32</v>
      </c>
      <c r="B34" s="35" t="str">
        <f t="shared" si="7"/>
        <v>April</v>
      </c>
      <c r="C34" s="31">
        <v>46135</v>
      </c>
      <c r="D34" s="17" t="s">
        <v>201</v>
      </c>
      <c r="E34" s="32">
        <v>46135</v>
      </c>
      <c r="F34" s="17" t="s">
        <v>202</v>
      </c>
      <c r="G34" s="18" t="s">
        <v>121</v>
      </c>
      <c r="H34" s="18" t="s">
        <v>62</v>
      </c>
      <c r="I34" s="17" t="s">
        <v>202</v>
      </c>
      <c r="J34" s="18">
        <v>61953</v>
      </c>
      <c r="K34" s="18">
        <v>45353</v>
      </c>
      <c r="L34" s="19">
        <v>105000</v>
      </c>
      <c r="M34" s="20">
        <f t="shared" si="20"/>
        <v>9450</v>
      </c>
      <c r="N34" s="20">
        <f t="shared" si="21"/>
        <v>9450</v>
      </c>
      <c r="O34" s="20"/>
      <c r="P34" s="79">
        <f t="shared" si="22"/>
        <v>123900</v>
      </c>
      <c r="Q34" s="82"/>
      <c r="R34" s="87">
        <f t="shared" si="18"/>
        <v>123900</v>
      </c>
      <c r="S34" s="19"/>
      <c r="T34" s="19"/>
      <c r="U34" s="21" t="str">
        <f t="shared" si="5"/>
        <v/>
      </c>
      <c r="V34" s="22" t="str">
        <f t="shared" si="6"/>
        <v/>
      </c>
      <c r="W34" s="23" t="s">
        <v>203</v>
      </c>
      <c r="X34" s="19"/>
      <c r="Y34" s="33"/>
      <c r="Z34" s="15"/>
    </row>
    <row r="35" spans="1:26" x14ac:dyDescent="0.25">
      <c r="A35" s="21">
        <f>IF(C35="","",COUNTA($C$3:C35))</f>
        <v>33</v>
      </c>
      <c r="B35" s="35" t="str">
        <f t="shared" si="7"/>
        <v>April</v>
      </c>
      <c r="C35" s="31">
        <v>46136</v>
      </c>
      <c r="D35" s="17" t="s">
        <v>119</v>
      </c>
      <c r="E35" s="32">
        <v>46091</v>
      </c>
      <c r="F35" s="17" t="s">
        <v>120</v>
      </c>
      <c r="G35" s="18" t="s">
        <v>121</v>
      </c>
      <c r="H35" s="18" t="s">
        <v>122</v>
      </c>
      <c r="I35" s="17" t="s">
        <v>123</v>
      </c>
      <c r="J35" s="18">
        <v>61930</v>
      </c>
      <c r="K35" s="18">
        <v>45354</v>
      </c>
      <c r="L35" s="19">
        <v>623625</v>
      </c>
      <c r="M35" s="20">
        <f t="shared" si="20"/>
        <v>56126.25</v>
      </c>
      <c r="N35" s="20">
        <f t="shared" si="21"/>
        <v>56126.25</v>
      </c>
      <c r="O35" s="20"/>
      <c r="P35" s="80">
        <f t="shared" si="22"/>
        <v>735877.5</v>
      </c>
      <c r="Q35" s="82">
        <v>0.5</v>
      </c>
      <c r="R35" s="87">
        <f t="shared" si="18"/>
        <v>735878</v>
      </c>
      <c r="S35" s="19"/>
      <c r="T35" s="19"/>
      <c r="U35" s="21" t="str">
        <f t="shared" si="5"/>
        <v/>
      </c>
      <c r="V35" s="22" t="str">
        <f t="shared" si="6"/>
        <v/>
      </c>
      <c r="W35" s="23" t="s">
        <v>124</v>
      </c>
      <c r="X35" s="19">
        <v>8319</v>
      </c>
      <c r="Y35" s="33">
        <v>46137</v>
      </c>
      <c r="Z35" s="15" t="s">
        <v>311</v>
      </c>
    </row>
    <row r="36" spans="1:26" x14ac:dyDescent="0.25">
      <c r="A36" s="21">
        <f>IF(C36="","",COUNTA($C$3:C36))</f>
        <v>34</v>
      </c>
      <c r="B36" s="35" t="str">
        <f t="shared" si="7"/>
        <v>April</v>
      </c>
      <c r="C36" s="31">
        <v>46136</v>
      </c>
      <c r="D36" s="17" t="s">
        <v>143</v>
      </c>
      <c r="E36" s="32">
        <v>45927</v>
      </c>
      <c r="F36" s="17" t="s">
        <v>144</v>
      </c>
      <c r="G36" s="18" t="s">
        <v>145</v>
      </c>
      <c r="H36" s="18" t="s">
        <v>143</v>
      </c>
      <c r="I36" s="17" t="s">
        <v>146</v>
      </c>
      <c r="J36" s="18">
        <v>61768</v>
      </c>
      <c r="K36" s="18">
        <v>45355</v>
      </c>
      <c r="L36" s="19">
        <v>75000</v>
      </c>
      <c r="M36" s="20"/>
      <c r="N36" s="20"/>
      <c r="O36" s="19">
        <f t="shared" ref="O36" si="23">IF(L36="","",(L36+S36)*18%)</f>
        <v>13500</v>
      </c>
      <c r="P36" s="80">
        <f t="shared" si="22"/>
        <v>88500</v>
      </c>
      <c r="Q36" s="82"/>
      <c r="R36" s="87">
        <f t="shared" si="18"/>
        <v>88500</v>
      </c>
      <c r="S36" s="19"/>
      <c r="T36" s="19"/>
      <c r="U36" s="21" t="str">
        <f t="shared" si="5"/>
        <v/>
      </c>
      <c r="V36" s="22" t="str">
        <f t="shared" si="6"/>
        <v/>
      </c>
      <c r="W36" s="23" t="s">
        <v>177</v>
      </c>
      <c r="X36" s="19" t="s">
        <v>160</v>
      </c>
      <c r="Y36" s="33"/>
      <c r="Z36" s="15"/>
    </row>
    <row r="37" spans="1:26" x14ac:dyDescent="0.25">
      <c r="A37" s="21">
        <f>IF(C37="","",COUNTA($C$3:C37))</f>
        <v>35</v>
      </c>
      <c r="B37" s="35" t="str">
        <f t="shared" si="7"/>
        <v>April</v>
      </c>
      <c r="C37" s="31">
        <v>46139</v>
      </c>
      <c r="D37" s="17" t="s">
        <v>119</v>
      </c>
      <c r="E37" s="32">
        <v>46091</v>
      </c>
      <c r="F37" s="17" t="s">
        <v>120</v>
      </c>
      <c r="G37" s="18" t="s">
        <v>121</v>
      </c>
      <c r="H37" s="18" t="s">
        <v>122</v>
      </c>
      <c r="I37" s="17" t="s">
        <v>123</v>
      </c>
      <c r="J37" s="18">
        <v>61930</v>
      </c>
      <c r="K37" s="18">
        <v>45356</v>
      </c>
      <c r="L37" s="19">
        <v>752056.6</v>
      </c>
      <c r="M37" s="20">
        <f t="shared" ref="M37" si="24">IF(L37="","",(L37+S37)*9%)</f>
        <v>67685.093999999997</v>
      </c>
      <c r="N37" s="20">
        <f t="shared" ref="N37" si="25">IF(L37="","",(L37+S37)*9%)</f>
        <v>67685.093999999997</v>
      </c>
      <c r="O37" s="20"/>
      <c r="P37" s="80">
        <f t="shared" si="22"/>
        <v>887426.78800000006</v>
      </c>
      <c r="Q37" s="82">
        <v>0.21</v>
      </c>
      <c r="R37" s="87">
        <f t="shared" si="18"/>
        <v>887426.99800000002</v>
      </c>
      <c r="S37" s="19"/>
      <c r="T37" s="19"/>
      <c r="U37" s="21" t="str">
        <f t="shared" si="5"/>
        <v/>
      </c>
      <c r="V37" s="22" t="str">
        <f t="shared" si="6"/>
        <v/>
      </c>
      <c r="W37" s="23" t="s">
        <v>124</v>
      </c>
      <c r="X37" s="19">
        <v>8320</v>
      </c>
      <c r="Y37" s="33">
        <v>46142</v>
      </c>
      <c r="Z37" s="15" t="s">
        <v>310</v>
      </c>
    </row>
    <row r="38" spans="1:26" x14ac:dyDescent="0.25">
      <c r="A38" s="21">
        <f>IF(C38="","",COUNTA($C$3:C38))</f>
        <v>36</v>
      </c>
      <c r="B38" s="35" t="str">
        <f t="shared" si="7"/>
        <v>April</v>
      </c>
      <c r="C38" s="31">
        <v>46141</v>
      </c>
      <c r="D38" s="17">
        <v>1</v>
      </c>
      <c r="E38" s="32">
        <v>46125</v>
      </c>
      <c r="F38" s="17" t="s">
        <v>207</v>
      </c>
      <c r="G38" s="18" t="s">
        <v>208</v>
      </c>
      <c r="H38" s="18" t="s">
        <v>127</v>
      </c>
      <c r="I38" s="17" t="s">
        <v>209</v>
      </c>
      <c r="J38" s="18">
        <v>61954</v>
      </c>
      <c r="K38" s="18">
        <v>45357</v>
      </c>
      <c r="L38" s="19">
        <v>230255</v>
      </c>
      <c r="M38" s="20"/>
      <c r="N38" s="20"/>
      <c r="O38" s="19">
        <f t="shared" ref="O38" si="26">IF(L38="","",(L38+S38)*18%)</f>
        <v>41445.9</v>
      </c>
      <c r="P38" s="80">
        <f t="shared" ref="P38:P40" si="27">SUM(L38:O38)+S38</f>
        <v>271700.90000000002</v>
      </c>
      <c r="Q38" s="82">
        <v>0.1</v>
      </c>
      <c r="R38" s="87">
        <f t="shared" ref="R38:R40" si="28">P38+Q38</f>
        <v>271701</v>
      </c>
      <c r="S38" s="19"/>
      <c r="T38" s="19"/>
      <c r="U38" s="21" t="str">
        <f t="shared" si="5"/>
        <v/>
      </c>
      <c r="V38" s="22" t="str">
        <f t="shared" si="6"/>
        <v/>
      </c>
      <c r="W38" s="23" t="s">
        <v>203</v>
      </c>
      <c r="X38" s="19" t="s">
        <v>160</v>
      </c>
      <c r="Y38" s="33"/>
      <c r="Z38" s="15"/>
    </row>
    <row r="39" spans="1:26" x14ac:dyDescent="0.25">
      <c r="A39" s="21">
        <f>IF(C39="","",COUNTA($C$3:C39))</f>
        <v>37</v>
      </c>
      <c r="B39" s="35" t="str">
        <f t="shared" si="7"/>
        <v>April</v>
      </c>
      <c r="C39" s="31">
        <v>46142</v>
      </c>
      <c r="D39" s="17" t="s">
        <v>167</v>
      </c>
      <c r="E39" s="32">
        <v>46022</v>
      </c>
      <c r="F39" s="17" t="s">
        <v>120</v>
      </c>
      <c r="G39" s="18" t="s">
        <v>121</v>
      </c>
      <c r="H39" s="18" t="s">
        <v>122</v>
      </c>
      <c r="I39" s="17" t="s">
        <v>168</v>
      </c>
      <c r="J39" s="18">
        <v>61859</v>
      </c>
      <c r="K39" s="18">
        <v>45358</v>
      </c>
      <c r="L39" s="19">
        <v>224913.5</v>
      </c>
      <c r="M39" s="20">
        <f t="shared" ref="M39:M40" si="29">IF(L39="","",(L39+S39)*9%)</f>
        <v>20242.215</v>
      </c>
      <c r="N39" s="20">
        <f t="shared" ref="N39:N40" si="30">IF(L39="","",(L39+S39)*9%)</f>
        <v>20242.215</v>
      </c>
      <c r="O39" s="20"/>
      <c r="P39" s="80">
        <f t="shared" si="27"/>
        <v>265397.93</v>
      </c>
      <c r="Q39" s="82">
        <v>7.0000000000000007E-2</v>
      </c>
      <c r="R39" s="87">
        <f t="shared" si="28"/>
        <v>265398</v>
      </c>
      <c r="S39" s="19"/>
      <c r="T39" s="19"/>
      <c r="U39" s="21" t="str">
        <f t="shared" si="5"/>
        <v/>
      </c>
      <c r="V39" s="22" t="str">
        <f t="shared" si="6"/>
        <v/>
      </c>
      <c r="W39" s="23" t="s">
        <v>124</v>
      </c>
      <c r="X39" s="19">
        <v>8321</v>
      </c>
      <c r="Y39" s="33">
        <v>46144</v>
      </c>
      <c r="Z39" s="15" t="s">
        <v>309</v>
      </c>
    </row>
    <row r="40" spans="1:26" x14ac:dyDescent="0.25">
      <c r="A40" s="21">
        <f>IF(C40="","",COUNTA($C$3:C40))</f>
        <v>38</v>
      </c>
      <c r="B40" s="35" t="str">
        <f t="shared" si="7"/>
        <v>April</v>
      </c>
      <c r="C40" s="31">
        <v>46142</v>
      </c>
      <c r="D40" s="17" t="s">
        <v>210</v>
      </c>
      <c r="E40" s="32">
        <v>46129</v>
      </c>
      <c r="F40" s="17" t="s">
        <v>120</v>
      </c>
      <c r="G40" s="18" t="s">
        <v>121</v>
      </c>
      <c r="H40" s="18" t="s">
        <v>122</v>
      </c>
      <c r="I40" s="17" t="s">
        <v>211</v>
      </c>
      <c r="J40" s="18">
        <v>61955</v>
      </c>
      <c r="K40" s="18">
        <v>45359</v>
      </c>
      <c r="L40" s="19">
        <v>263877.3</v>
      </c>
      <c r="M40" s="20">
        <f t="shared" si="29"/>
        <v>24234.956999999999</v>
      </c>
      <c r="N40" s="20">
        <f t="shared" si="30"/>
        <v>24234.956999999999</v>
      </c>
      <c r="O40" s="20"/>
      <c r="P40" s="80">
        <f t="shared" si="27"/>
        <v>317747.21399999998</v>
      </c>
      <c r="Q40" s="82">
        <v>-0.21</v>
      </c>
      <c r="R40" s="87">
        <f t="shared" si="28"/>
        <v>317747.00399999996</v>
      </c>
      <c r="S40" s="19">
        <v>5400</v>
      </c>
      <c r="T40" s="19">
        <v>4750</v>
      </c>
      <c r="U40" s="21">
        <f t="shared" si="5"/>
        <v>650</v>
      </c>
      <c r="V40" s="22">
        <f t="shared" si="6"/>
        <v>0.1368421052631579</v>
      </c>
      <c r="W40" s="23" t="s">
        <v>124</v>
      </c>
      <c r="X40" s="19">
        <v>8322</v>
      </c>
      <c r="Y40" s="33">
        <v>46144</v>
      </c>
      <c r="Z40" s="15" t="s">
        <v>309</v>
      </c>
    </row>
    <row r="41" spans="1:26" x14ac:dyDescent="0.25">
      <c r="A41" s="21">
        <f>IF(C41="","",COUNTA($C$3:C41))</f>
        <v>39</v>
      </c>
      <c r="B41" s="35" t="str">
        <f t="shared" si="7"/>
        <v>April</v>
      </c>
      <c r="C41" s="31">
        <v>46142</v>
      </c>
      <c r="D41" s="17">
        <v>1</v>
      </c>
      <c r="E41" s="32">
        <v>46125</v>
      </c>
      <c r="F41" s="17" t="s">
        <v>207</v>
      </c>
      <c r="G41" s="18" t="s">
        <v>208</v>
      </c>
      <c r="H41" s="18" t="s">
        <v>127</v>
      </c>
      <c r="I41" s="17" t="s">
        <v>212</v>
      </c>
      <c r="J41" s="18">
        <v>61954</v>
      </c>
      <c r="K41" s="18">
        <v>45360</v>
      </c>
      <c r="L41" s="19">
        <v>105636</v>
      </c>
      <c r="M41" s="20"/>
      <c r="N41" s="20"/>
      <c r="O41" s="19">
        <f t="shared" ref="O41" si="31">IF(L41="","",(L41+S41)*18%)</f>
        <v>19014.48</v>
      </c>
      <c r="P41" s="80">
        <f t="shared" ref="P41:P46" si="32">SUM(L41:O41)+S41</f>
        <v>124650.48</v>
      </c>
      <c r="Q41" s="82">
        <v>-0.48</v>
      </c>
      <c r="R41" s="87">
        <f t="shared" ref="R41:R49" si="33">P41+Q41</f>
        <v>124650</v>
      </c>
      <c r="S41" s="19"/>
      <c r="T41" s="19"/>
      <c r="U41" s="21" t="str">
        <f t="shared" si="5"/>
        <v/>
      </c>
      <c r="V41" s="22" t="str">
        <f t="shared" si="6"/>
        <v/>
      </c>
      <c r="W41" s="23" t="s">
        <v>203</v>
      </c>
      <c r="X41" s="19" t="s">
        <v>160</v>
      </c>
      <c r="Y41" s="33"/>
      <c r="Z41" s="15"/>
    </row>
    <row r="42" spans="1:26" x14ac:dyDescent="0.25">
      <c r="A42" s="21">
        <f>IF(C42="","",COUNTA($C$3:C42))</f>
        <v>40</v>
      </c>
      <c r="B42" s="35" t="str">
        <f t="shared" si="7"/>
        <v>May</v>
      </c>
      <c r="C42" s="31">
        <v>46144</v>
      </c>
      <c r="D42" s="17" t="s">
        <v>213</v>
      </c>
      <c r="E42" s="32">
        <v>46137</v>
      </c>
      <c r="F42" s="17" t="s">
        <v>157</v>
      </c>
      <c r="G42" s="18" t="s">
        <v>121</v>
      </c>
      <c r="H42" s="18" t="s">
        <v>127</v>
      </c>
      <c r="I42" s="17" t="s">
        <v>214</v>
      </c>
      <c r="J42" s="18">
        <v>61956</v>
      </c>
      <c r="K42" s="18">
        <v>45361</v>
      </c>
      <c r="L42" s="19">
        <v>34256.5</v>
      </c>
      <c r="M42" s="20">
        <f t="shared" ref="M42:M46" si="34">IF(L42="","",(L42+S42)*9%)</f>
        <v>3488.085</v>
      </c>
      <c r="N42" s="20">
        <f t="shared" ref="N42:N46" si="35">IF(L42="","",(L42+S42)*9%)</f>
        <v>3488.085</v>
      </c>
      <c r="O42" s="20"/>
      <c r="P42" s="80">
        <f t="shared" si="32"/>
        <v>45732.67</v>
      </c>
      <c r="Q42" s="82">
        <v>0.33</v>
      </c>
      <c r="R42" s="87">
        <f t="shared" si="33"/>
        <v>45733</v>
      </c>
      <c r="S42" s="19">
        <v>4500</v>
      </c>
      <c r="T42" s="19">
        <v>3250</v>
      </c>
      <c r="U42" s="21">
        <f t="shared" si="5"/>
        <v>1250</v>
      </c>
      <c r="V42" s="22">
        <f t="shared" si="6"/>
        <v>0.38461538461538464</v>
      </c>
      <c r="W42" s="23" t="s">
        <v>124</v>
      </c>
      <c r="X42" s="19">
        <v>8323</v>
      </c>
      <c r="Y42" s="33">
        <v>46147</v>
      </c>
      <c r="Z42" s="15" t="s">
        <v>308</v>
      </c>
    </row>
    <row r="43" spans="1:26" x14ac:dyDescent="0.25">
      <c r="A43" s="21">
        <f>IF(C43="","",COUNTA($C$3:C43))</f>
        <v>41</v>
      </c>
      <c r="B43" s="35" t="str">
        <f t="shared" si="7"/>
        <v>May</v>
      </c>
      <c r="C43" s="31">
        <v>46146</v>
      </c>
      <c r="D43" s="17" t="s">
        <v>215</v>
      </c>
      <c r="E43" s="32">
        <v>46146</v>
      </c>
      <c r="F43" s="17" t="s">
        <v>120</v>
      </c>
      <c r="G43" s="18" t="s">
        <v>121</v>
      </c>
      <c r="H43" s="18" t="s">
        <v>122</v>
      </c>
      <c r="I43" s="17" t="s">
        <v>216</v>
      </c>
      <c r="J43" s="18">
        <v>61957</v>
      </c>
      <c r="K43" s="18">
        <v>45362</v>
      </c>
      <c r="L43" s="19">
        <v>21438</v>
      </c>
      <c r="M43" s="20">
        <f t="shared" si="34"/>
        <v>2311.92</v>
      </c>
      <c r="N43" s="20">
        <f t="shared" si="35"/>
        <v>2311.92</v>
      </c>
      <c r="O43" s="20"/>
      <c r="P43" s="80">
        <f t="shared" si="32"/>
        <v>30311.839999999997</v>
      </c>
      <c r="Q43" s="82">
        <v>0.16</v>
      </c>
      <c r="R43" s="87">
        <f t="shared" si="33"/>
        <v>30311.999999999996</v>
      </c>
      <c r="S43" s="19">
        <v>4250</v>
      </c>
      <c r="T43" s="19">
        <v>3250</v>
      </c>
      <c r="U43" s="21">
        <f t="shared" si="5"/>
        <v>1000</v>
      </c>
      <c r="V43" s="22">
        <f t="shared" si="6"/>
        <v>0.30769230769230771</v>
      </c>
      <c r="W43" s="23" t="s">
        <v>124</v>
      </c>
      <c r="X43" s="19">
        <v>8324</v>
      </c>
      <c r="Y43" s="33">
        <v>46147</v>
      </c>
      <c r="Z43" s="15" t="s">
        <v>307</v>
      </c>
    </row>
    <row r="44" spans="1:26" x14ac:dyDescent="0.25">
      <c r="A44" s="21">
        <f>IF(C44="","",COUNTA($C$3:C44))</f>
        <v>42</v>
      </c>
      <c r="B44" s="35" t="str">
        <f t="shared" si="7"/>
        <v>May</v>
      </c>
      <c r="C44" s="31">
        <v>46146</v>
      </c>
      <c r="D44" s="17" t="s">
        <v>210</v>
      </c>
      <c r="E44" s="32">
        <v>46129</v>
      </c>
      <c r="F44" s="17" t="s">
        <v>120</v>
      </c>
      <c r="G44" s="18" t="s">
        <v>121</v>
      </c>
      <c r="H44" s="18" t="s">
        <v>122</v>
      </c>
      <c r="I44" s="17" t="s">
        <v>211</v>
      </c>
      <c r="J44" s="18">
        <v>61955</v>
      </c>
      <c r="K44" s="18">
        <v>45363</v>
      </c>
      <c r="L44" s="19">
        <v>195701.8</v>
      </c>
      <c r="M44" s="20">
        <f t="shared" si="34"/>
        <v>18198.161999999997</v>
      </c>
      <c r="N44" s="20">
        <f t="shared" si="35"/>
        <v>18198.161999999997</v>
      </c>
      <c r="O44" s="20"/>
      <c r="P44" s="80">
        <f t="shared" si="32"/>
        <v>238598.12400000001</v>
      </c>
      <c r="Q44" s="82">
        <v>-0.12</v>
      </c>
      <c r="R44" s="87">
        <f t="shared" si="33"/>
        <v>238598.00400000002</v>
      </c>
      <c r="S44" s="19">
        <v>6500</v>
      </c>
      <c r="T44" s="19">
        <v>4750</v>
      </c>
      <c r="U44" s="21">
        <f t="shared" si="5"/>
        <v>1750</v>
      </c>
      <c r="V44" s="22">
        <f t="shared" si="6"/>
        <v>0.36842105263157893</v>
      </c>
      <c r="W44" s="23" t="s">
        <v>124</v>
      </c>
      <c r="X44" s="19">
        <v>8325</v>
      </c>
      <c r="Y44" s="33">
        <v>46147</v>
      </c>
      <c r="Z44" s="15" t="s">
        <v>307</v>
      </c>
    </row>
    <row r="45" spans="1:26" x14ac:dyDescent="0.25">
      <c r="A45" s="21">
        <f>IF(C45="","",COUNTA($C$3:C45))</f>
        <v>43</v>
      </c>
      <c r="B45" s="35" t="str">
        <f t="shared" si="7"/>
        <v>May</v>
      </c>
      <c r="C45" s="31">
        <v>46146</v>
      </c>
      <c r="D45" s="17" t="s">
        <v>217</v>
      </c>
      <c r="E45" s="32">
        <v>46146</v>
      </c>
      <c r="F45" s="17" t="s">
        <v>218</v>
      </c>
      <c r="G45" s="18" t="s">
        <v>121</v>
      </c>
      <c r="H45" s="18" t="s">
        <v>127</v>
      </c>
      <c r="I45" s="17" t="s">
        <v>219</v>
      </c>
      <c r="J45" s="18">
        <v>61958</v>
      </c>
      <c r="K45" s="18">
        <v>45364</v>
      </c>
      <c r="L45" s="19">
        <v>6282.5</v>
      </c>
      <c r="M45" s="20">
        <f t="shared" si="34"/>
        <v>565.42499999999995</v>
      </c>
      <c r="N45" s="20">
        <f t="shared" si="35"/>
        <v>565.42499999999995</v>
      </c>
      <c r="O45" s="20"/>
      <c r="P45" s="80">
        <f t="shared" si="32"/>
        <v>7413.35</v>
      </c>
      <c r="Q45" s="82">
        <v>-0.35</v>
      </c>
      <c r="R45" s="87">
        <f t="shared" si="33"/>
        <v>7413</v>
      </c>
      <c r="S45" s="19"/>
      <c r="T45" s="19"/>
      <c r="U45" s="21" t="str">
        <f t="shared" si="5"/>
        <v/>
      </c>
      <c r="V45" s="22" t="str">
        <f t="shared" si="6"/>
        <v/>
      </c>
      <c r="W45" s="23" t="s">
        <v>159</v>
      </c>
      <c r="X45" s="74" t="s">
        <v>160</v>
      </c>
      <c r="Y45" s="33">
        <v>46162</v>
      </c>
      <c r="Z45" s="15"/>
    </row>
    <row r="46" spans="1:26" x14ac:dyDescent="0.25">
      <c r="A46" s="21">
        <f>IF(C46="","",COUNTA($C$3:C46))</f>
        <v>44</v>
      </c>
      <c r="B46" s="35" t="str">
        <f t="shared" si="7"/>
        <v>May</v>
      </c>
      <c r="C46" s="31">
        <v>46146</v>
      </c>
      <c r="D46" s="17" t="s">
        <v>156</v>
      </c>
      <c r="E46" s="32">
        <v>46168</v>
      </c>
      <c r="F46" s="17" t="s">
        <v>157</v>
      </c>
      <c r="G46" s="18" t="s">
        <v>121</v>
      </c>
      <c r="H46" s="18" t="s">
        <v>127</v>
      </c>
      <c r="I46" s="17" t="s">
        <v>158</v>
      </c>
      <c r="J46" s="18">
        <v>61935</v>
      </c>
      <c r="K46" s="18">
        <v>45365</v>
      </c>
      <c r="L46" s="19">
        <v>954</v>
      </c>
      <c r="M46" s="20">
        <f t="shared" si="34"/>
        <v>85.86</v>
      </c>
      <c r="N46" s="20">
        <f t="shared" si="35"/>
        <v>85.86</v>
      </c>
      <c r="O46" s="20"/>
      <c r="P46" s="80">
        <f t="shared" si="32"/>
        <v>1125.7199999999998</v>
      </c>
      <c r="Q46" s="82">
        <v>0.28000000000000003</v>
      </c>
      <c r="R46" s="87">
        <f t="shared" si="33"/>
        <v>1125.9999999999998</v>
      </c>
      <c r="S46" s="19"/>
      <c r="T46" s="19"/>
      <c r="U46" s="21" t="str">
        <f t="shared" si="5"/>
        <v/>
      </c>
      <c r="V46" s="22" t="str">
        <f t="shared" si="6"/>
        <v/>
      </c>
      <c r="W46" s="23" t="s">
        <v>159</v>
      </c>
      <c r="X46" s="74" t="s">
        <v>160</v>
      </c>
      <c r="Y46" s="33">
        <v>46147</v>
      </c>
      <c r="Z46" s="15" t="s">
        <v>308</v>
      </c>
    </row>
    <row r="47" spans="1:26" x14ac:dyDescent="0.25">
      <c r="A47" s="21">
        <f>IF(C47="","",COUNTA($C$3:C47))</f>
        <v>45</v>
      </c>
      <c r="B47" s="35" t="str">
        <f t="shared" si="7"/>
        <v>May</v>
      </c>
      <c r="C47" s="31">
        <v>46146</v>
      </c>
      <c r="D47" s="17" t="s">
        <v>220</v>
      </c>
      <c r="E47" s="32">
        <v>45995</v>
      </c>
      <c r="F47" s="17" t="s">
        <v>120</v>
      </c>
      <c r="G47" s="18" t="s">
        <v>221</v>
      </c>
      <c r="H47" s="18" t="s">
        <v>122</v>
      </c>
      <c r="I47" s="17" t="s">
        <v>222</v>
      </c>
      <c r="J47" s="18">
        <v>61840</v>
      </c>
      <c r="K47" s="18">
        <v>45366</v>
      </c>
      <c r="L47" s="19">
        <v>653508.5</v>
      </c>
      <c r="M47" s="20"/>
      <c r="N47" s="20"/>
      <c r="O47" s="19">
        <f t="shared" ref="O47" si="36">IF(L47="","",(L47+S47)*18%)</f>
        <v>117631.53</v>
      </c>
      <c r="P47" s="80">
        <f t="shared" ref="P47:P49" si="37">SUM(L47:O47)+S47</f>
        <v>771140.03</v>
      </c>
      <c r="Q47" s="82">
        <v>-0.03</v>
      </c>
      <c r="R47" s="87">
        <f t="shared" si="33"/>
        <v>771140</v>
      </c>
      <c r="S47" s="19"/>
      <c r="T47" s="19"/>
      <c r="U47" s="21" t="str">
        <f t="shared" si="5"/>
        <v/>
      </c>
      <c r="V47" s="22" t="str">
        <f t="shared" si="6"/>
        <v/>
      </c>
      <c r="W47" s="23" t="s">
        <v>164</v>
      </c>
      <c r="X47" s="74">
        <v>11189</v>
      </c>
      <c r="Y47" s="33">
        <v>46147</v>
      </c>
      <c r="Z47" s="15" t="s">
        <v>307</v>
      </c>
    </row>
    <row r="48" spans="1:26" x14ac:dyDescent="0.25">
      <c r="A48" s="21">
        <f>IF(C48="","",COUNTA($C$3:C48))</f>
        <v>46</v>
      </c>
      <c r="B48" s="35" t="str">
        <f t="shared" si="7"/>
        <v>May</v>
      </c>
      <c r="C48" s="31">
        <v>46147</v>
      </c>
      <c r="D48" s="17" t="s">
        <v>154</v>
      </c>
      <c r="E48" s="32">
        <v>45630</v>
      </c>
      <c r="F48" s="17" t="s">
        <v>120</v>
      </c>
      <c r="G48" s="18" t="s">
        <v>225</v>
      </c>
      <c r="H48" s="18" t="s">
        <v>122</v>
      </c>
      <c r="I48" s="17" t="s">
        <v>155</v>
      </c>
      <c r="J48" s="18">
        <v>61434</v>
      </c>
      <c r="K48" s="18">
        <v>45367</v>
      </c>
      <c r="L48" s="19">
        <v>49315.8</v>
      </c>
      <c r="M48" s="20">
        <f t="shared" ref="M48:M49" si="38">IF(L48="","",(L48+S48)*9%)</f>
        <v>5023.4220000000005</v>
      </c>
      <c r="N48" s="20">
        <f t="shared" ref="N48:N49" si="39">IF(L48="","",(L48+S48)*9%)</f>
        <v>5023.4220000000005</v>
      </c>
      <c r="O48" s="20"/>
      <c r="P48" s="80">
        <f t="shared" si="37"/>
        <v>65862.644</v>
      </c>
      <c r="Q48" s="82">
        <v>0.36</v>
      </c>
      <c r="R48" s="87">
        <f t="shared" si="33"/>
        <v>65863.004000000001</v>
      </c>
      <c r="S48" s="19">
        <v>6500</v>
      </c>
      <c r="T48" s="19">
        <v>4750</v>
      </c>
      <c r="U48" s="21">
        <f t="shared" si="5"/>
        <v>1750</v>
      </c>
      <c r="V48" s="22">
        <f t="shared" si="6"/>
        <v>0.36842105263157893</v>
      </c>
      <c r="W48" s="23" t="s">
        <v>124</v>
      </c>
      <c r="X48" s="74">
        <v>8326</v>
      </c>
      <c r="Y48" s="33">
        <v>46151</v>
      </c>
      <c r="Z48" s="15" t="s">
        <v>306</v>
      </c>
    </row>
    <row r="49" spans="1:26" x14ac:dyDescent="0.25">
      <c r="A49" s="21">
        <f>IF(C49="","",COUNTA($C$3:C49))</f>
        <v>47</v>
      </c>
      <c r="B49" s="35" t="str">
        <f t="shared" si="7"/>
        <v>May</v>
      </c>
      <c r="C49" s="31">
        <v>46149</v>
      </c>
      <c r="D49" s="17" t="s">
        <v>226</v>
      </c>
      <c r="E49" s="32">
        <v>45640</v>
      </c>
      <c r="F49" s="17" t="s">
        <v>120</v>
      </c>
      <c r="G49" s="18" t="s">
        <v>225</v>
      </c>
      <c r="H49" s="18" t="s">
        <v>122</v>
      </c>
      <c r="I49" s="17" t="s">
        <v>227</v>
      </c>
      <c r="J49" s="18">
        <v>61451</v>
      </c>
      <c r="K49" s="18">
        <v>45368</v>
      </c>
      <c r="L49" s="19">
        <v>1930.5</v>
      </c>
      <c r="M49" s="20">
        <f t="shared" si="38"/>
        <v>173.745</v>
      </c>
      <c r="N49" s="20">
        <f t="shared" si="39"/>
        <v>173.745</v>
      </c>
      <c r="O49" s="20"/>
      <c r="P49" s="80">
        <f t="shared" si="37"/>
        <v>2277.9899999999998</v>
      </c>
      <c r="Q49" s="82">
        <v>0.01</v>
      </c>
      <c r="R49" s="87">
        <f t="shared" si="33"/>
        <v>2278</v>
      </c>
      <c r="S49" s="19"/>
      <c r="T49" s="19"/>
      <c r="U49" s="21" t="str">
        <f t="shared" si="5"/>
        <v/>
      </c>
      <c r="V49" s="22" t="str">
        <f t="shared" si="6"/>
        <v/>
      </c>
      <c r="W49" s="23" t="s">
        <v>160</v>
      </c>
      <c r="X49" s="74" t="s">
        <v>160</v>
      </c>
      <c r="Y49" s="33"/>
      <c r="Z49" s="15"/>
    </row>
    <row r="50" spans="1:26" x14ac:dyDescent="0.25">
      <c r="A50" s="21">
        <f>IF(C50="","",COUNTA($C$3:C50))</f>
        <v>48</v>
      </c>
      <c r="B50" s="35" t="str">
        <f t="shared" si="7"/>
        <v>May</v>
      </c>
      <c r="C50" s="31">
        <v>46149</v>
      </c>
      <c r="D50" s="17" t="s">
        <v>228</v>
      </c>
      <c r="E50" s="32">
        <v>46146</v>
      </c>
      <c r="F50" s="17" t="s">
        <v>120</v>
      </c>
      <c r="G50" s="18" t="s">
        <v>172</v>
      </c>
      <c r="H50" s="18" t="s">
        <v>82</v>
      </c>
      <c r="I50" s="17" t="s">
        <v>173</v>
      </c>
      <c r="J50" s="18">
        <v>61959</v>
      </c>
      <c r="K50" s="18">
        <v>45369</v>
      </c>
      <c r="L50" s="19">
        <v>4861.5</v>
      </c>
      <c r="M50" s="20"/>
      <c r="N50" s="20"/>
      <c r="O50" s="19">
        <f t="shared" ref="O50" si="40">IF(L50="","",(L50+S50)*18%)</f>
        <v>875.06999999999994</v>
      </c>
      <c r="P50" s="80">
        <f t="shared" ref="P50:P53" si="41">SUM(L50:O50)+S50</f>
        <v>5736.57</v>
      </c>
      <c r="Q50" s="82">
        <v>0.43</v>
      </c>
      <c r="R50" s="87">
        <f t="shared" ref="R50:R55" si="42">P50+Q50</f>
        <v>5737</v>
      </c>
      <c r="S50" s="19"/>
      <c r="T50" s="19"/>
      <c r="U50" s="21" t="str">
        <f t="shared" si="5"/>
        <v/>
      </c>
      <c r="V50" s="22" t="str">
        <f t="shared" si="6"/>
        <v/>
      </c>
      <c r="W50" s="23"/>
      <c r="X50" s="74"/>
      <c r="Y50" s="33"/>
      <c r="Z50" s="15"/>
    </row>
    <row r="51" spans="1:26" x14ac:dyDescent="0.25">
      <c r="A51" s="21">
        <f>IF(C51="","",COUNTA($C$3:C51))</f>
        <v>49</v>
      </c>
      <c r="B51" s="35" t="str">
        <f t="shared" si="7"/>
        <v>May</v>
      </c>
      <c r="C51" s="31">
        <v>46149</v>
      </c>
      <c r="D51" s="17" t="s">
        <v>229</v>
      </c>
      <c r="E51" s="32">
        <v>46146</v>
      </c>
      <c r="F51" s="17" t="s">
        <v>120</v>
      </c>
      <c r="G51" s="18" t="s">
        <v>121</v>
      </c>
      <c r="H51" s="18" t="s">
        <v>82</v>
      </c>
      <c r="I51" s="17" t="s">
        <v>211</v>
      </c>
      <c r="J51" s="18">
        <v>61960</v>
      </c>
      <c r="K51" s="18">
        <v>45370</v>
      </c>
      <c r="L51" s="19">
        <v>7710.5</v>
      </c>
      <c r="M51" s="20">
        <f t="shared" ref="M51:M52" si="43">IF(L51="","",(L51+S51)*9%)</f>
        <v>693.94499999999994</v>
      </c>
      <c r="N51" s="20">
        <f t="shared" ref="N51:N52" si="44">IF(L51="","",(L51+S51)*9%)</f>
        <v>693.94499999999994</v>
      </c>
      <c r="O51" s="20"/>
      <c r="P51" s="80">
        <f t="shared" si="41"/>
        <v>9098.39</v>
      </c>
      <c r="Q51" s="82">
        <v>-0.39</v>
      </c>
      <c r="R51" s="87">
        <f t="shared" si="42"/>
        <v>9098</v>
      </c>
      <c r="S51" s="19"/>
      <c r="T51" s="19"/>
      <c r="U51" s="21" t="str">
        <f t="shared" si="5"/>
        <v/>
      </c>
      <c r="V51" s="22" t="str">
        <f t="shared" si="6"/>
        <v/>
      </c>
      <c r="W51" s="23"/>
      <c r="X51" s="74"/>
      <c r="Y51" s="33"/>
      <c r="Z51" s="15"/>
    </row>
    <row r="52" spans="1:26" x14ac:dyDescent="0.25">
      <c r="A52" s="21">
        <f>IF(C52="","",COUNTA($C$3:C52))</f>
        <v>50</v>
      </c>
      <c r="B52" s="35" t="str">
        <f t="shared" si="7"/>
        <v>May</v>
      </c>
      <c r="C52" s="31">
        <v>46149</v>
      </c>
      <c r="D52" s="17" t="s">
        <v>230</v>
      </c>
      <c r="E52" s="32">
        <v>46146</v>
      </c>
      <c r="F52" s="17" t="s">
        <v>120</v>
      </c>
      <c r="G52" s="18" t="s">
        <v>121</v>
      </c>
      <c r="H52" s="18" t="s">
        <v>82</v>
      </c>
      <c r="I52" s="17" t="s">
        <v>168</v>
      </c>
      <c r="J52" s="18">
        <v>61961</v>
      </c>
      <c r="K52" s="18">
        <v>45371</v>
      </c>
      <c r="L52" s="19">
        <v>10811.5</v>
      </c>
      <c r="M52" s="20">
        <f t="shared" si="43"/>
        <v>973.03499999999997</v>
      </c>
      <c r="N52" s="20">
        <f t="shared" si="44"/>
        <v>973.03499999999997</v>
      </c>
      <c r="O52" s="20"/>
      <c r="P52" s="80">
        <f t="shared" si="41"/>
        <v>12757.57</v>
      </c>
      <c r="Q52" s="82">
        <v>0.43</v>
      </c>
      <c r="R52" s="87">
        <f t="shared" si="42"/>
        <v>12758</v>
      </c>
      <c r="S52" s="19"/>
      <c r="T52" s="19"/>
      <c r="U52" s="21" t="str">
        <f t="shared" si="5"/>
        <v/>
      </c>
      <c r="V52" s="22" t="str">
        <f t="shared" si="6"/>
        <v/>
      </c>
      <c r="W52" s="23"/>
      <c r="X52" s="19"/>
      <c r="Y52" s="33"/>
      <c r="Z52" s="15"/>
    </row>
    <row r="53" spans="1:26" x14ac:dyDescent="0.25">
      <c r="A53" s="21">
        <f>IF(C53="","",COUNTA($C$3:C53))</f>
        <v>51</v>
      </c>
      <c r="B53" s="35" t="str">
        <f t="shared" si="7"/>
        <v>May</v>
      </c>
      <c r="C53" s="31">
        <v>46149</v>
      </c>
      <c r="D53" s="17" t="s">
        <v>231</v>
      </c>
      <c r="E53" s="32">
        <v>46148</v>
      </c>
      <c r="F53" s="17" t="s">
        <v>120</v>
      </c>
      <c r="G53" s="18" t="s">
        <v>232</v>
      </c>
      <c r="H53" s="18" t="s">
        <v>122</v>
      </c>
      <c r="I53" s="17" t="s">
        <v>233</v>
      </c>
      <c r="J53" s="18">
        <v>61962</v>
      </c>
      <c r="K53" s="18">
        <v>45372</v>
      </c>
      <c r="L53" s="19">
        <v>1064420</v>
      </c>
      <c r="M53" s="20"/>
      <c r="N53" s="20"/>
      <c r="O53" s="19">
        <f t="shared" ref="O53" si="45">IF(L53="","",(L53+S53)*18%)</f>
        <v>191595.6</v>
      </c>
      <c r="P53" s="80">
        <f t="shared" si="41"/>
        <v>1256015.6000000001</v>
      </c>
      <c r="Q53" s="82">
        <v>0.4</v>
      </c>
      <c r="R53" s="87">
        <f t="shared" si="42"/>
        <v>1256016</v>
      </c>
      <c r="S53" s="19"/>
      <c r="T53" s="19"/>
      <c r="U53" s="21" t="str">
        <f t="shared" si="5"/>
        <v/>
      </c>
      <c r="V53" s="22" t="str">
        <f t="shared" si="6"/>
        <v/>
      </c>
      <c r="W53" s="23" t="s">
        <v>234</v>
      </c>
      <c r="X53" s="19" t="s">
        <v>160</v>
      </c>
      <c r="Y53" s="33"/>
      <c r="Z53" s="15"/>
    </row>
    <row r="54" spans="1:26" x14ac:dyDescent="0.25">
      <c r="A54" s="21">
        <f>IF(C54="","",COUNTA($C$3:C54))</f>
        <v>52</v>
      </c>
      <c r="B54" s="35" t="str">
        <f t="shared" si="7"/>
        <v>May</v>
      </c>
      <c r="C54" s="31">
        <v>46150</v>
      </c>
      <c r="D54" s="17" t="s">
        <v>119</v>
      </c>
      <c r="E54" s="32">
        <v>46091</v>
      </c>
      <c r="F54" s="17" t="s">
        <v>120</v>
      </c>
      <c r="G54" s="18" t="s">
        <v>121</v>
      </c>
      <c r="H54" s="18" t="s">
        <v>122</v>
      </c>
      <c r="I54" s="17" t="s">
        <v>123</v>
      </c>
      <c r="J54" s="18">
        <v>61930</v>
      </c>
      <c r="K54" s="18">
        <v>45373</v>
      </c>
      <c r="L54" s="19">
        <v>2000</v>
      </c>
      <c r="M54" s="20">
        <f t="shared" ref="M54:M55" si="46">IF(L54="","",(L54+S54)*9%)</f>
        <v>180</v>
      </c>
      <c r="N54" s="20">
        <f t="shared" ref="N54:N55" si="47">IF(L54="","",(L54+S54)*9%)</f>
        <v>180</v>
      </c>
      <c r="O54" s="20"/>
      <c r="P54" s="80">
        <f t="shared" ref="P54:P56" si="48">SUM(L54:O54)+S54</f>
        <v>2360</v>
      </c>
      <c r="Q54" s="82"/>
      <c r="R54" s="87">
        <f t="shared" si="42"/>
        <v>2360</v>
      </c>
      <c r="S54" s="19"/>
      <c r="T54" s="19"/>
      <c r="U54" s="21" t="str">
        <f t="shared" si="5"/>
        <v/>
      </c>
      <c r="V54" s="22" t="str">
        <f t="shared" si="6"/>
        <v/>
      </c>
      <c r="W54" s="23" t="s">
        <v>159</v>
      </c>
      <c r="X54" s="74" t="s">
        <v>160</v>
      </c>
      <c r="Y54" s="33">
        <v>46154</v>
      </c>
      <c r="Z54" s="15" t="s">
        <v>305</v>
      </c>
    </row>
    <row r="55" spans="1:26" x14ac:dyDescent="0.25">
      <c r="A55" s="21">
        <f>IF(C55="","",COUNTA($C$3:C55))</f>
        <v>53</v>
      </c>
      <c r="B55" s="35" t="str">
        <f t="shared" si="7"/>
        <v>May</v>
      </c>
      <c r="C55" s="31">
        <v>46151</v>
      </c>
      <c r="D55" s="17" t="s">
        <v>238</v>
      </c>
      <c r="E55" s="32">
        <v>46151</v>
      </c>
      <c r="F55" s="17" t="s">
        <v>120</v>
      </c>
      <c r="G55" s="18" t="s">
        <v>121</v>
      </c>
      <c r="H55" s="18" t="s">
        <v>122</v>
      </c>
      <c r="I55" s="17" t="s">
        <v>239</v>
      </c>
      <c r="J55" s="18">
        <v>61963</v>
      </c>
      <c r="K55" s="18">
        <v>45374</v>
      </c>
      <c r="L55" s="19">
        <v>84204.5</v>
      </c>
      <c r="M55" s="20">
        <f t="shared" si="46"/>
        <v>8118.4049999999997</v>
      </c>
      <c r="N55" s="20">
        <f t="shared" si="47"/>
        <v>8118.4049999999997</v>
      </c>
      <c r="O55" s="20"/>
      <c r="P55" s="80">
        <f t="shared" si="48"/>
        <v>106441.31</v>
      </c>
      <c r="Q55" s="82">
        <v>-0.31</v>
      </c>
      <c r="R55" s="87">
        <f t="shared" si="42"/>
        <v>106441</v>
      </c>
      <c r="S55" s="19">
        <v>6000</v>
      </c>
      <c r="T55" s="19">
        <v>4750</v>
      </c>
      <c r="U55" s="21">
        <f t="shared" si="5"/>
        <v>1250</v>
      </c>
      <c r="V55" s="22">
        <f t="shared" si="6"/>
        <v>0.26315789473684209</v>
      </c>
      <c r="W55" s="23" t="s">
        <v>124</v>
      </c>
      <c r="X55" s="19">
        <v>8327</v>
      </c>
      <c r="Y55" s="33">
        <v>46154</v>
      </c>
      <c r="Z55" s="15" t="s">
        <v>305</v>
      </c>
    </row>
    <row r="56" spans="1:26" x14ac:dyDescent="0.25">
      <c r="A56" s="21">
        <f>IF(C56="","",COUNTA($C$3:C56))</f>
        <v>54</v>
      </c>
      <c r="B56" s="35" t="str">
        <f t="shared" si="7"/>
        <v>May</v>
      </c>
      <c r="C56" s="31">
        <v>46154</v>
      </c>
      <c r="D56" s="17" t="s">
        <v>241</v>
      </c>
      <c r="E56" s="32">
        <v>45915</v>
      </c>
      <c r="F56" s="17" t="s">
        <v>120</v>
      </c>
      <c r="G56" s="18" t="s">
        <v>242</v>
      </c>
      <c r="H56" s="18" t="s">
        <v>122</v>
      </c>
      <c r="I56" s="17" t="s">
        <v>243</v>
      </c>
      <c r="J56" s="18">
        <v>61762</v>
      </c>
      <c r="K56" s="18">
        <v>45375</v>
      </c>
      <c r="L56" s="19">
        <v>93276.4</v>
      </c>
      <c r="M56" s="20"/>
      <c r="N56" s="20"/>
      <c r="O56" s="19">
        <f t="shared" ref="O56" si="49">IF(L56="","",(L56+S56)*18%)</f>
        <v>16789.751999999997</v>
      </c>
      <c r="P56" s="80">
        <f t="shared" si="48"/>
        <v>110066.15199999999</v>
      </c>
      <c r="Q56" s="82">
        <v>-0.15</v>
      </c>
      <c r="R56" s="87">
        <f t="shared" ref="R56:R57" si="50">P56+Q56</f>
        <v>110066.00199999999</v>
      </c>
      <c r="S56" s="19"/>
      <c r="T56" s="19"/>
      <c r="U56" s="21" t="str">
        <f t="shared" si="5"/>
        <v/>
      </c>
      <c r="V56" s="22" t="str">
        <f t="shared" si="6"/>
        <v/>
      </c>
      <c r="W56" s="23" t="s">
        <v>164</v>
      </c>
      <c r="X56" s="74" t="s">
        <v>160</v>
      </c>
      <c r="Y56" s="33">
        <v>46155</v>
      </c>
      <c r="Z56" s="15" t="s">
        <v>304</v>
      </c>
    </row>
    <row r="57" spans="1:26" x14ac:dyDescent="0.25">
      <c r="A57" s="21">
        <f>IF(C57="","",COUNTA($C$3:C57))</f>
        <v>55</v>
      </c>
      <c r="B57" s="35" t="str">
        <f t="shared" si="7"/>
        <v>May</v>
      </c>
      <c r="C57" s="31">
        <v>46155</v>
      </c>
      <c r="D57" s="17" t="s">
        <v>248</v>
      </c>
      <c r="E57" s="32">
        <v>45870</v>
      </c>
      <c r="F57" s="17" t="s">
        <v>120</v>
      </c>
      <c r="G57" s="18" t="s">
        <v>121</v>
      </c>
      <c r="H57" s="18" t="s">
        <v>122</v>
      </c>
      <c r="I57" s="17" t="s">
        <v>249</v>
      </c>
      <c r="J57" s="18">
        <v>61704</v>
      </c>
      <c r="K57" s="18">
        <v>45376</v>
      </c>
      <c r="L57" s="19">
        <v>95227.5</v>
      </c>
      <c r="M57" s="20">
        <f t="shared" ref="M57" si="51">IF(L57="","",(L57+S57)*9%)</f>
        <v>9155.4750000000004</v>
      </c>
      <c r="N57" s="20">
        <f t="shared" ref="N57" si="52">IF(L57="","",(L57+S57)*9%)</f>
        <v>9155.4750000000004</v>
      </c>
      <c r="O57" s="20"/>
      <c r="P57" s="80">
        <f t="shared" ref="P57:P59" si="53">SUM(L57:O57)+S57</f>
        <v>120038.45000000001</v>
      </c>
      <c r="Q57" s="82">
        <v>-0.45</v>
      </c>
      <c r="R57" s="87">
        <f t="shared" si="50"/>
        <v>120038.00000000001</v>
      </c>
      <c r="S57" s="19">
        <v>6500</v>
      </c>
      <c r="T57" s="19">
        <v>4750</v>
      </c>
      <c r="U57" s="21">
        <f t="shared" si="5"/>
        <v>1750</v>
      </c>
      <c r="V57" s="22">
        <f t="shared" si="6"/>
        <v>0.36842105263157893</v>
      </c>
      <c r="W57" s="23" t="s">
        <v>124</v>
      </c>
      <c r="X57" s="74">
        <v>8328</v>
      </c>
      <c r="Y57" s="33">
        <v>46158</v>
      </c>
      <c r="Z57" s="15" t="s">
        <v>303</v>
      </c>
    </row>
    <row r="58" spans="1:26" x14ac:dyDescent="0.25">
      <c r="A58" s="21">
        <f>IF(C58="","",COUNTA($C$3:C58))</f>
        <v>56</v>
      </c>
      <c r="B58" s="35" t="str">
        <f t="shared" si="7"/>
        <v>May</v>
      </c>
      <c r="C58" s="31">
        <v>46155</v>
      </c>
      <c r="D58" s="17" t="s">
        <v>231</v>
      </c>
      <c r="E58" s="32">
        <v>46148</v>
      </c>
      <c r="F58" s="17" t="s">
        <v>120</v>
      </c>
      <c r="G58" s="18" t="s">
        <v>232</v>
      </c>
      <c r="H58" s="18" t="s">
        <v>122</v>
      </c>
      <c r="I58" s="17" t="s">
        <v>233</v>
      </c>
      <c r="J58" s="18">
        <v>61962</v>
      </c>
      <c r="K58" s="18">
        <v>45377</v>
      </c>
      <c r="L58" s="19">
        <v>752905</v>
      </c>
      <c r="M58" s="20"/>
      <c r="N58" s="20"/>
      <c r="O58" s="19">
        <f t="shared" ref="O58:O59" si="54">IF(L58="","",(L58+S58)*18%)</f>
        <v>135522.9</v>
      </c>
      <c r="P58" s="80">
        <f t="shared" si="53"/>
        <v>888427.9</v>
      </c>
      <c r="Q58" s="82">
        <v>0.1</v>
      </c>
      <c r="R58" s="87">
        <f t="shared" ref="R58:R64" si="55">P58+Q58</f>
        <v>888428</v>
      </c>
      <c r="S58" s="19"/>
      <c r="T58" s="19"/>
      <c r="U58" s="21" t="str">
        <f t="shared" si="5"/>
        <v/>
      </c>
      <c r="V58" s="22" t="str">
        <f t="shared" si="6"/>
        <v/>
      </c>
      <c r="W58" s="23" t="s">
        <v>234</v>
      </c>
      <c r="X58" s="74" t="s">
        <v>160</v>
      </c>
      <c r="Y58" s="33">
        <v>46158</v>
      </c>
      <c r="Z58" s="15" t="s">
        <v>303</v>
      </c>
    </row>
    <row r="59" spans="1:26" x14ac:dyDescent="0.25">
      <c r="A59" s="21">
        <f>IF(C59="","",COUNTA($C$3:C59))</f>
        <v>57</v>
      </c>
      <c r="B59" s="35" t="str">
        <f t="shared" si="7"/>
        <v>May</v>
      </c>
      <c r="C59" s="31">
        <v>46155</v>
      </c>
      <c r="D59" s="17" t="s">
        <v>143</v>
      </c>
      <c r="E59" s="32">
        <v>45927</v>
      </c>
      <c r="F59" s="17" t="s">
        <v>144</v>
      </c>
      <c r="G59" s="18" t="s">
        <v>145</v>
      </c>
      <c r="H59" s="18" t="s">
        <v>143</v>
      </c>
      <c r="I59" s="17" t="s">
        <v>146</v>
      </c>
      <c r="J59" s="18">
        <v>61768</v>
      </c>
      <c r="K59" s="18">
        <v>45378</v>
      </c>
      <c r="L59" s="19">
        <v>512742</v>
      </c>
      <c r="M59" s="20"/>
      <c r="N59" s="20"/>
      <c r="O59" s="19">
        <f t="shared" si="54"/>
        <v>92293.56</v>
      </c>
      <c r="P59" s="80">
        <f t="shared" si="53"/>
        <v>605035.56000000006</v>
      </c>
      <c r="Q59" s="82">
        <v>0.44</v>
      </c>
      <c r="R59" s="87">
        <f t="shared" si="55"/>
        <v>605036</v>
      </c>
      <c r="S59" s="19"/>
      <c r="T59" s="19"/>
      <c r="U59" s="21" t="str">
        <f t="shared" si="5"/>
        <v/>
      </c>
      <c r="V59" s="22" t="str">
        <f t="shared" si="6"/>
        <v/>
      </c>
      <c r="W59" s="23" t="s">
        <v>234</v>
      </c>
      <c r="X59" s="74" t="s">
        <v>160</v>
      </c>
      <c r="Y59" s="33"/>
      <c r="Z59" s="15"/>
    </row>
    <row r="60" spans="1:26" x14ac:dyDescent="0.25">
      <c r="A60" s="21">
        <f>IF(C60="","",COUNTA($C$3:C60))</f>
        <v>58</v>
      </c>
      <c r="B60" s="35" t="str">
        <f t="shared" si="7"/>
        <v>May</v>
      </c>
      <c r="C60" s="31">
        <v>111899</v>
      </c>
      <c r="D60" s="17" t="s">
        <v>250</v>
      </c>
      <c r="E60" s="32">
        <v>46155</v>
      </c>
      <c r="F60" s="17" t="s">
        <v>120</v>
      </c>
      <c r="G60" s="18" t="s">
        <v>121</v>
      </c>
      <c r="H60" s="18" t="s">
        <v>122</v>
      </c>
      <c r="I60" s="17" t="s">
        <v>258</v>
      </c>
      <c r="J60" s="18">
        <v>61964</v>
      </c>
      <c r="K60" s="18">
        <v>45379</v>
      </c>
      <c r="L60" s="19">
        <v>192161.2</v>
      </c>
      <c r="M60" s="20">
        <f t="shared" ref="M60:M62" si="56">IF(L60="","",(L60+S60)*9%)</f>
        <v>17834.508000000002</v>
      </c>
      <c r="N60" s="20">
        <f t="shared" ref="N60:N62" si="57">IF(L60="","",(L60+S60)*9%)</f>
        <v>17834.508000000002</v>
      </c>
      <c r="O60" s="20"/>
      <c r="P60" s="80">
        <f t="shared" ref="P60:P64" si="58">SUM(L60:O60)+S60</f>
        <v>233830.21600000001</v>
      </c>
      <c r="Q60" s="82">
        <v>-0.22</v>
      </c>
      <c r="R60" s="87">
        <f t="shared" si="55"/>
        <v>233829.99600000001</v>
      </c>
      <c r="S60" s="19">
        <v>6000</v>
      </c>
      <c r="T60" s="19">
        <v>4750</v>
      </c>
      <c r="U60" s="21">
        <f t="shared" si="5"/>
        <v>1250</v>
      </c>
      <c r="V60" s="22">
        <f t="shared" si="6"/>
        <v>0.26315789473684209</v>
      </c>
      <c r="W60" s="23" t="s">
        <v>124</v>
      </c>
      <c r="X60" s="74">
        <v>8329</v>
      </c>
      <c r="Y60" s="33">
        <v>46158</v>
      </c>
      <c r="Z60" s="15" t="s">
        <v>303</v>
      </c>
    </row>
    <row r="61" spans="1:26" x14ac:dyDescent="0.25">
      <c r="A61" s="21">
        <f>IF(C61="","",COUNTA($C$3:C61))</f>
        <v>59</v>
      </c>
      <c r="B61" s="35" t="str">
        <f t="shared" si="7"/>
        <v>May</v>
      </c>
      <c r="C61" s="31">
        <v>46157</v>
      </c>
      <c r="D61" s="17" t="s">
        <v>119</v>
      </c>
      <c r="E61" s="32">
        <v>46091</v>
      </c>
      <c r="F61" s="17" t="s">
        <v>120</v>
      </c>
      <c r="G61" s="18" t="s">
        <v>121</v>
      </c>
      <c r="H61" s="18" t="s">
        <v>122</v>
      </c>
      <c r="I61" s="17" t="s">
        <v>123</v>
      </c>
      <c r="J61" s="18">
        <v>61930</v>
      </c>
      <c r="K61" s="18">
        <v>45380</v>
      </c>
      <c r="L61" s="19">
        <v>22500</v>
      </c>
      <c r="M61" s="20">
        <f t="shared" si="56"/>
        <v>2025</v>
      </c>
      <c r="N61" s="20">
        <f t="shared" si="57"/>
        <v>2025</v>
      </c>
      <c r="O61" s="20"/>
      <c r="P61" s="80">
        <f t="shared" si="58"/>
        <v>26550</v>
      </c>
      <c r="Q61" s="82"/>
      <c r="R61" s="87">
        <f t="shared" si="55"/>
        <v>26550</v>
      </c>
      <c r="S61" s="19"/>
      <c r="T61" s="19"/>
      <c r="U61" s="21" t="str">
        <f t="shared" si="5"/>
        <v/>
      </c>
      <c r="V61" s="22" t="str">
        <f t="shared" si="6"/>
        <v/>
      </c>
      <c r="W61" s="23" t="s">
        <v>159</v>
      </c>
      <c r="X61" s="74" t="s">
        <v>160</v>
      </c>
      <c r="Y61" s="33">
        <v>46158</v>
      </c>
      <c r="Z61" s="15" t="s">
        <v>303</v>
      </c>
    </row>
    <row r="62" spans="1:26" x14ac:dyDescent="0.25">
      <c r="A62" s="21">
        <f>IF(C62="","",COUNTA($C$3:C62))</f>
        <v>60</v>
      </c>
      <c r="B62" s="35" t="str">
        <f t="shared" si="7"/>
        <v>May</v>
      </c>
      <c r="C62" s="31">
        <v>46158</v>
      </c>
      <c r="D62" s="17" t="s">
        <v>260</v>
      </c>
      <c r="E62" s="127">
        <v>46155</v>
      </c>
      <c r="F62" s="17" t="s">
        <v>120</v>
      </c>
      <c r="G62" s="18" t="s">
        <v>121</v>
      </c>
      <c r="H62" s="18" t="s">
        <v>122</v>
      </c>
      <c r="I62" s="17" t="s">
        <v>134</v>
      </c>
      <c r="J62" s="18">
        <v>61965</v>
      </c>
      <c r="K62" s="18">
        <v>45381</v>
      </c>
      <c r="L62" s="19">
        <v>710397.8</v>
      </c>
      <c r="M62" s="20">
        <f t="shared" si="56"/>
        <v>63935.802000000003</v>
      </c>
      <c r="N62" s="20">
        <f t="shared" si="57"/>
        <v>63935.802000000003</v>
      </c>
      <c r="O62" s="20"/>
      <c r="P62" s="80">
        <f t="shared" si="58"/>
        <v>838269.4040000001</v>
      </c>
      <c r="Q62" s="82">
        <v>-0.4</v>
      </c>
      <c r="R62" s="87">
        <f t="shared" si="55"/>
        <v>838269.00400000007</v>
      </c>
      <c r="S62" s="19"/>
      <c r="T62" s="19"/>
      <c r="U62" s="21" t="str">
        <f t="shared" si="5"/>
        <v/>
      </c>
      <c r="V62" s="22" t="str">
        <f t="shared" si="6"/>
        <v/>
      </c>
      <c r="W62" s="23" t="s">
        <v>124</v>
      </c>
      <c r="X62" s="74">
        <v>8330</v>
      </c>
      <c r="Y62" s="33">
        <v>46160</v>
      </c>
      <c r="Z62" s="15" t="s">
        <v>302</v>
      </c>
    </row>
    <row r="63" spans="1:26" x14ac:dyDescent="0.25">
      <c r="A63" s="21">
        <f>IF(C63="","",COUNTA($C$3:C63))</f>
        <v>61</v>
      </c>
      <c r="B63" s="35" t="str">
        <f t="shared" si="7"/>
        <v>May</v>
      </c>
      <c r="C63" s="31">
        <v>46160</v>
      </c>
      <c r="D63" s="17" t="s">
        <v>261</v>
      </c>
      <c r="E63" s="32">
        <v>46155</v>
      </c>
      <c r="F63" s="17" t="s">
        <v>120</v>
      </c>
      <c r="G63" s="18" t="s">
        <v>262</v>
      </c>
      <c r="H63" s="18" t="s">
        <v>122</v>
      </c>
      <c r="I63" s="17" t="s">
        <v>263</v>
      </c>
      <c r="J63" s="18">
        <v>61967</v>
      </c>
      <c r="K63" s="18">
        <v>45382</v>
      </c>
      <c r="L63" s="19">
        <v>534321.69999999995</v>
      </c>
      <c r="M63" s="20"/>
      <c r="N63" s="20"/>
      <c r="O63" s="19">
        <f t="shared" ref="O63:O64" si="59">IF(L63="","",(L63+S63)*18%)</f>
        <v>96177.905999999988</v>
      </c>
      <c r="P63" s="80">
        <f t="shared" si="58"/>
        <v>630499.60599999991</v>
      </c>
      <c r="Q63" s="82">
        <v>0.39</v>
      </c>
      <c r="R63" s="87">
        <f t="shared" si="55"/>
        <v>630499.99599999993</v>
      </c>
      <c r="S63" s="19"/>
      <c r="T63" s="19"/>
      <c r="U63" s="21" t="str">
        <f t="shared" si="5"/>
        <v/>
      </c>
      <c r="V63" s="22" t="str">
        <f t="shared" si="6"/>
        <v/>
      </c>
      <c r="W63" s="23" t="s">
        <v>124</v>
      </c>
      <c r="X63" s="74">
        <v>8331</v>
      </c>
      <c r="Y63" s="33">
        <v>46161</v>
      </c>
      <c r="Z63" s="15" t="s">
        <v>301</v>
      </c>
    </row>
    <row r="64" spans="1:26" x14ac:dyDescent="0.25">
      <c r="A64" s="21">
        <f>IF(C64="","",COUNTA($C$3:C64))</f>
        <v>62</v>
      </c>
      <c r="B64" s="35" t="str">
        <f t="shared" si="7"/>
        <v>May</v>
      </c>
      <c r="C64" s="31">
        <v>46160</v>
      </c>
      <c r="D64" s="17" t="s">
        <v>264</v>
      </c>
      <c r="E64" s="32">
        <v>46149</v>
      </c>
      <c r="F64" s="17" t="s">
        <v>120</v>
      </c>
      <c r="G64" s="18" t="s">
        <v>262</v>
      </c>
      <c r="H64" s="18" t="s">
        <v>122</v>
      </c>
      <c r="I64" s="17" t="s">
        <v>265</v>
      </c>
      <c r="J64" s="18">
        <v>61966</v>
      </c>
      <c r="K64" s="18">
        <v>45383</v>
      </c>
      <c r="L64" s="19">
        <v>334376.59999999998</v>
      </c>
      <c r="M64" s="20"/>
      <c r="N64" s="20"/>
      <c r="O64" s="19">
        <f t="shared" si="59"/>
        <v>60187.787999999993</v>
      </c>
      <c r="P64" s="80">
        <f t="shared" si="58"/>
        <v>394564.38799999998</v>
      </c>
      <c r="Q64" s="82">
        <v>-0.39</v>
      </c>
      <c r="R64" s="87">
        <f t="shared" si="55"/>
        <v>394563.99799999996</v>
      </c>
      <c r="S64" s="19"/>
      <c r="T64" s="19"/>
      <c r="U64" s="21" t="str">
        <f t="shared" si="5"/>
        <v/>
      </c>
      <c r="V64" s="22" t="str">
        <f t="shared" si="6"/>
        <v/>
      </c>
      <c r="W64" s="23" t="s">
        <v>124</v>
      </c>
      <c r="X64" s="74">
        <v>8332</v>
      </c>
      <c r="Y64" s="33">
        <v>46161</v>
      </c>
      <c r="Z64" s="15" t="s">
        <v>301</v>
      </c>
    </row>
    <row r="65" spans="1:26" x14ac:dyDescent="0.25">
      <c r="A65" s="21">
        <f>IF(C65="","",COUNTA($C$3:C65))</f>
        <v>63</v>
      </c>
      <c r="B65" s="35" t="str">
        <f t="shared" si="7"/>
        <v>May</v>
      </c>
      <c r="C65" s="31">
        <v>46161</v>
      </c>
      <c r="D65" s="17" t="s">
        <v>250</v>
      </c>
      <c r="E65" s="32">
        <v>46155</v>
      </c>
      <c r="F65" s="17" t="s">
        <v>120</v>
      </c>
      <c r="G65" s="18" t="s">
        <v>121</v>
      </c>
      <c r="H65" s="18" t="s">
        <v>122</v>
      </c>
      <c r="I65" s="17" t="s">
        <v>258</v>
      </c>
      <c r="J65" s="18">
        <v>61964</v>
      </c>
      <c r="K65" s="18">
        <v>45384</v>
      </c>
      <c r="L65" s="19">
        <v>175323.6</v>
      </c>
      <c r="M65" s="20">
        <f t="shared" ref="M65:M76" si="60">IF(L65="","",(L65+S65)*9%)</f>
        <v>16364.124</v>
      </c>
      <c r="N65" s="20">
        <f t="shared" ref="N65:N76" si="61">IF(L65="","",(L65+S65)*9%)</f>
        <v>16364.124</v>
      </c>
      <c r="O65" s="20"/>
      <c r="P65" s="80">
        <f t="shared" ref="P65:P80" si="62">SUM(L65:O65)+S65</f>
        <v>214551.84800000003</v>
      </c>
      <c r="Q65" s="82">
        <v>0.15</v>
      </c>
      <c r="R65" s="87">
        <f t="shared" ref="R65:R82" si="63">P65+Q65</f>
        <v>214551.99800000002</v>
      </c>
      <c r="S65" s="19">
        <v>6500</v>
      </c>
      <c r="T65" s="19">
        <v>4750</v>
      </c>
      <c r="U65" s="21">
        <f t="shared" si="5"/>
        <v>1750</v>
      </c>
      <c r="V65" s="22">
        <f t="shared" si="6"/>
        <v>0.36842105263157893</v>
      </c>
      <c r="W65" s="23" t="s">
        <v>124</v>
      </c>
      <c r="X65" s="74">
        <v>8333</v>
      </c>
      <c r="Y65" s="33">
        <v>46163</v>
      </c>
      <c r="Z65" s="15" t="s">
        <v>300</v>
      </c>
    </row>
    <row r="66" spans="1:26" x14ac:dyDescent="0.25">
      <c r="A66" s="21">
        <f>IF(C66="","",COUNTA($C$3:C66))</f>
        <v>64</v>
      </c>
      <c r="B66" s="35" t="str">
        <f t="shared" si="7"/>
        <v>May</v>
      </c>
      <c r="C66" s="31">
        <v>46161</v>
      </c>
      <c r="D66" s="17" t="s">
        <v>269</v>
      </c>
      <c r="E66" s="32">
        <v>46155</v>
      </c>
      <c r="F66" s="17" t="s">
        <v>120</v>
      </c>
      <c r="G66" s="18" t="s">
        <v>121</v>
      </c>
      <c r="H66" s="18" t="s">
        <v>122</v>
      </c>
      <c r="I66" s="17" t="s">
        <v>270</v>
      </c>
      <c r="J66" s="18">
        <v>61968</v>
      </c>
      <c r="K66" s="18">
        <v>45385</v>
      </c>
      <c r="L66" s="19">
        <v>135725</v>
      </c>
      <c r="M66" s="20">
        <f t="shared" si="60"/>
        <v>12800.25</v>
      </c>
      <c r="N66" s="20">
        <f t="shared" si="61"/>
        <v>12800.25</v>
      </c>
      <c r="O66" s="20"/>
      <c r="P66" s="80">
        <f t="shared" si="62"/>
        <v>167825.5</v>
      </c>
      <c r="Q66" s="82">
        <v>0.5</v>
      </c>
      <c r="R66" s="87">
        <f t="shared" si="63"/>
        <v>167826</v>
      </c>
      <c r="S66" s="19">
        <v>6500</v>
      </c>
      <c r="T66" s="19">
        <v>4750</v>
      </c>
      <c r="U66" s="21">
        <f t="shared" si="5"/>
        <v>1750</v>
      </c>
      <c r="V66" s="22">
        <f t="shared" si="6"/>
        <v>0.36842105263157893</v>
      </c>
      <c r="W66" s="23" t="s">
        <v>124</v>
      </c>
      <c r="X66" s="74">
        <v>8334</v>
      </c>
      <c r="Y66" s="33">
        <v>46163</v>
      </c>
      <c r="Z66" s="15" t="s">
        <v>300</v>
      </c>
    </row>
    <row r="67" spans="1:26" x14ac:dyDescent="0.25">
      <c r="A67" s="21">
        <f>IF(C67="","",COUNTA($C$3:C67))</f>
        <v>65</v>
      </c>
      <c r="B67" s="35" t="str">
        <f t="shared" si="7"/>
        <v>May</v>
      </c>
      <c r="C67" s="31">
        <v>46162</v>
      </c>
      <c r="D67" s="17" t="s">
        <v>260</v>
      </c>
      <c r="E67" s="32">
        <v>46155</v>
      </c>
      <c r="F67" s="17" t="s">
        <v>120</v>
      </c>
      <c r="G67" s="18" t="s">
        <v>121</v>
      </c>
      <c r="H67" s="18" t="s">
        <v>122</v>
      </c>
      <c r="I67" s="17" t="s">
        <v>134</v>
      </c>
      <c r="J67" s="18">
        <v>61965</v>
      </c>
      <c r="K67" s="18">
        <v>45386</v>
      </c>
      <c r="L67" s="19">
        <v>588741.4</v>
      </c>
      <c r="M67" s="20">
        <f t="shared" si="60"/>
        <v>52986.726000000002</v>
      </c>
      <c r="N67" s="20">
        <f t="shared" si="61"/>
        <v>52986.726000000002</v>
      </c>
      <c r="O67" s="20"/>
      <c r="P67" s="80">
        <f t="shared" si="62"/>
        <v>694714.85200000007</v>
      </c>
      <c r="Q67" s="82">
        <v>0.15</v>
      </c>
      <c r="R67" s="87">
        <f t="shared" si="63"/>
        <v>694715.00200000009</v>
      </c>
      <c r="S67" s="19"/>
      <c r="T67" s="19"/>
      <c r="U67" s="21" t="str">
        <f t="shared" ref="U67:U130" si="64">IF(S67="","",(S67-T67))</f>
        <v/>
      </c>
      <c r="V67" s="22" t="str">
        <f t="shared" ref="V67:V130" si="65">IF(U67="","",(U67/T67))</f>
        <v/>
      </c>
      <c r="W67" s="23" t="s">
        <v>124</v>
      </c>
      <c r="X67" s="74">
        <v>8335</v>
      </c>
      <c r="Y67" s="33">
        <v>46163</v>
      </c>
      <c r="Z67" s="15" t="s">
        <v>300</v>
      </c>
    </row>
    <row r="68" spans="1:26" x14ac:dyDescent="0.25">
      <c r="A68" s="21">
        <f>IF(C68="","",COUNTA($C$3:C68))</f>
        <v>66</v>
      </c>
      <c r="B68" s="35" t="str">
        <f t="shared" ref="B68:B131" si="66">IF(C68="","",TEXT(C68,"mmmm"))</f>
        <v>May</v>
      </c>
      <c r="C68" s="31">
        <v>46163</v>
      </c>
      <c r="D68" s="17" t="s">
        <v>276</v>
      </c>
      <c r="E68" s="32">
        <v>46155</v>
      </c>
      <c r="F68" s="17" t="s">
        <v>120</v>
      </c>
      <c r="G68" s="18" t="s">
        <v>121</v>
      </c>
      <c r="H68" s="18" t="s">
        <v>122</v>
      </c>
      <c r="I68" s="17" t="s">
        <v>277</v>
      </c>
      <c r="J68" s="18">
        <v>61969</v>
      </c>
      <c r="K68" s="18">
        <v>45387</v>
      </c>
      <c r="L68" s="19">
        <v>32141.8</v>
      </c>
      <c r="M68" s="20">
        <f t="shared" si="60"/>
        <v>3234.7620000000002</v>
      </c>
      <c r="N68" s="20">
        <f t="shared" si="61"/>
        <v>3234.7620000000002</v>
      </c>
      <c r="O68" s="20"/>
      <c r="P68" s="80">
        <f t="shared" si="62"/>
        <v>42411.324000000001</v>
      </c>
      <c r="Q68" s="82">
        <v>-0.32</v>
      </c>
      <c r="R68" s="87">
        <f t="shared" si="63"/>
        <v>42411.004000000001</v>
      </c>
      <c r="S68" s="19">
        <v>3800</v>
      </c>
      <c r="T68" s="19">
        <v>3200</v>
      </c>
      <c r="U68" s="21">
        <f t="shared" si="64"/>
        <v>600</v>
      </c>
      <c r="V68" s="22">
        <f t="shared" si="65"/>
        <v>0.1875</v>
      </c>
      <c r="W68" s="23" t="s">
        <v>124</v>
      </c>
      <c r="X68" s="74">
        <v>8336</v>
      </c>
      <c r="Y68" s="33">
        <v>46167</v>
      </c>
      <c r="Z68" s="15" t="s">
        <v>299</v>
      </c>
    </row>
    <row r="69" spans="1:26" x14ac:dyDescent="0.25">
      <c r="A69" s="21">
        <f>IF(C69="","",COUNTA($C$3:C69))</f>
        <v>67</v>
      </c>
      <c r="B69" s="35" t="str">
        <f t="shared" si="66"/>
        <v>May</v>
      </c>
      <c r="C69" s="31">
        <v>46163</v>
      </c>
      <c r="D69" s="17" t="s">
        <v>250</v>
      </c>
      <c r="E69" s="32">
        <v>46155</v>
      </c>
      <c r="F69" s="17" t="s">
        <v>120</v>
      </c>
      <c r="G69" s="18" t="s">
        <v>121</v>
      </c>
      <c r="H69" s="18" t="s">
        <v>122</v>
      </c>
      <c r="I69" s="17" t="s">
        <v>258</v>
      </c>
      <c r="J69" s="18">
        <v>61964</v>
      </c>
      <c r="K69" s="128">
        <v>45388</v>
      </c>
      <c r="L69" s="19">
        <v>336259.7</v>
      </c>
      <c r="M69" s="20">
        <f t="shared" si="60"/>
        <v>30848.373</v>
      </c>
      <c r="N69" s="20">
        <f t="shared" si="61"/>
        <v>30848.373</v>
      </c>
      <c r="O69" s="20"/>
      <c r="P69" s="80">
        <f t="shared" si="62"/>
        <v>404456.44600000005</v>
      </c>
      <c r="Q69" s="82">
        <v>-0.45</v>
      </c>
      <c r="R69" s="87">
        <f t="shared" si="63"/>
        <v>404455.99600000004</v>
      </c>
      <c r="S69" s="19">
        <v>6500</v>
      </c>
      <c r="T69" s="19">
        <v>4750</v>
      </c>
      <c r="U69" s="21">
        <f t="shared" si="64"/>
        <v>1750</v>
      </c>
      <c r="V69" s="22">
        <f t="shared" si="65"/>
        <v>0.36842105263157893</v>
      </c>
      <c r="W69" s="23" t="s">
        <v>124</v>
      </c>
      <c r="X69" s="74">
        <v>8337</v>
      </c>
      <c r="Y69" s="33">
        <v>46167</v>
      </c>
      <c r="Z69" s="15" t="s">
        <v>299</v>
      </c>
    </row>
    <row r="70" spans="1:26" x14ac:dyDescent="0.25">
      <c r="A70" s="21">
        <f>IF(C70="","",COUNTA($C$3:C70))</f>
        <v>68</v>
      </c>
      <c r="B70" s="35" t="str">
        <f t="shared" si="66"/>
        <v>May</v>
      </c>
      <c r="C70" s="31">
        <v>46163</v>
      </c>
      <c r="D70" s="17" t="s">
        <v>119</v>
      </c>
      <c r="E70" s="32">
        <v>46091</v>
      </c>
      <c r="F70" s="17" t="s">
        <v>120</v>
      </c>
      <c r="G70" s="18" t="s">
        <v>121</v>
      </c>
      <c r="H70" s="18" t="s">
        <v>122</v>
      </c>
      <c r="I70" s="17" t="s">
        <v>123</v>
      </c>
      <c r="J70" s="18">
        <v>61930</v>
      </c>
      <c r="K70" s="18">
        <v>45389</v>
      </c>
      <c r="L70" s="19">
        <v>5000</v>
      </c>
      <c r="M70" s="20">
        <f t="shared" si="60"/>
        <v>450</v>
      </c>
      <c r="N70" s="20">
        <f t="shared" si="61"/>
        <v>450</v>
      </c>
      <c r="O70" s="20"/>
      <c r="P70" s="80">
        <f t="shared" si="62"/>
        <v>5900</v>
      </c>
      <c r="Q70" s="82"/>
      <c r="R70" s="87">
        <f t="shared" si="63"/>
        <v>5900</v>
      </c>
      <c r="S70" s="19"/>
      <c r="T70" s="19"/>
      <c r="U70" s="21" t="str">
        <f t="shared" si="64"/>
        <v/>
      </c>
      <c r="V70" s="22" t="str">
        <f t="shared" si="65"/>
        <v/>
      </c>
      <c r="W70" s="23" t="s">
        <v>159</v>
      </c>
      <c r="X70" s="74" t="s">
        <v>160</v>
      </c>
      <c r="Y70" s="33">
        <v>46167</v>
      </c>
      <c r="Z70" s="15" t="s">
        <v>299</v>
      </c>
    </row>
    <row r="71" spans="1:26" x14ac:dyDescent="0.25">
      <c r="A71" s="21">
        <f>IF(C71="","",COUNTA($C$3:C71))</f>
        <v>69</v>
      </c>
      <c r="B71" s="35" t="str">
        <f t="shared" si="66"/>
        <v>May</v>
      </c>
      <c r="C71" s="31">
        <v>46165</v>
      </c>
      <c r="D71" s="17" t="s">
        <v>285</v>
      </c>
      <c r="E71" s="32">
        <v>46164</v>
      </c>
      <c r="F71" s="17" t="s">
        <v>120</v>
      </c>
      <c r="G71" s="18" t="s">
        <v>121</v>
      </c>
      <c r="H71" s="18" t="s">
        <v>122</v>
      </c>
      <c r="I71" s="17" t="s">
        <v>286</v>
      </c>
      <c r="J71" s="18">
        <v>61971</v>
      </c>
      <c r="K71" s="18">
        <v>45390</v>
      </c>
      <c r="L71" s="19">
        <v>14850</v>
      </c>
      <c r="M71" s="20">
        <f t="shared" si="60"/>
        <v>1651.5</v>
      </c>
      <c r="N71" s="20">
        <f t="shared" si="61"/>
        <v>1651.5</v>
      </c>
      <c r="O71" s="20"/>
      <c r="P71" s="80">
        <f t="shared" si="62"/>
        <v>21653</v>
      </c>
      <c r="Q71" s="82"/>
      <c r="R71" s="87">
        <f t="shared" si="63"/>
        <v>21653</v>
      </c>
      <c r="S71" s="19">
        <v>3500</v>
      </c>
      <c r="T71" s="19">
        <v>2500</v>
      </c>
      <c r="U71" s="21">
        <f t="shared" si="64"/>
        <v>1000</v>
      </c>
      <c r="V71" s="22">
        <f t="shared" si="65"/>
        <v>0.4</v>
      </c>
      <c r="W71" s="23" t="s">
        <v>124</v>
      </c>
      <c r="X71" s="19">
        <v>8338</v>
      </c>
      <c r="Y71" s="33">
        <v>46261</v>
      </c>
      <c r="Z71" s="15" t="s">
        <v>298</v>
      </c>
    </row>
    <row r="72" spans="1:26" x14ac:dyDescent="0.25">
      <c r="A72" s="21">
        <f>IF(C72="","",COUNTA($C$3:C72))</f>
        <v>70</v>
      </c>
      <c r="B72" s="35" t="str">
        <f t="shared" si="66"/>
        <v>May</v>
      </c>
      <c r="C72" s="31">
        <v>46165</v>
      </c>
      <c r="D72" s="17" t="s">
        <v>287</v>
      </c>
      <c r="E72" s="32">
        <v>46164</v>
      </c>
      <c r="F72" s="17" t="s">
        <v>120</v>
      </c>
      <c r="G72" s="18" t="s">
        <v>121</v>
      </c>
      <c r="H72" s="18" t="s">
        <v>122</v>
      </c>
      <c r="I72" s="17" t="s">
        <v>288</v>
      </c>
      <c r="J72" s="18">
        <v>61970</v>
      </c>
      <c r="K72" s="18">
        <v>45391</v>
      </c>
      <c r="L72" s="19">
        <v>80172.2</v>
      </c>
      <c r="M72" s="20">
        <f t="shared" si="60"/>
        <v>7215.4979999999996</v>
      </c>
      <c r="N72" s="20">
        <f t="shared" si="61"/>
        <v>7215.4979999999996</v>
      </c>
      <c r="O72" s="20"/>
      <c r="P72" s="80">
        <f t="shared" si="62"/>
        <v>94603.195999999996</v>
      </c>
      <c r="Q72" s="82">
        <v>-0.2</v>
      </c>
      <c r="R72" s="87">
        <f t="shared" si="63"/>
        <v>94602.995999999999</v>
      </c>
      <c r="S72" s="19"/>
      <c r="T72" s="19"/>
      <c r="U72" s="21" t="str">
        <f t="shared" si="64"/>
        <v/>
      </c>
      <c r="V72" s="22" t="str">
        <f t="shared" si="65"/>
        <v/>
      </c>
      <c r="W72" s="23" t="s">
        <v>164</v>
      </c>
      <c r="X72" s="19">
        <v>11190</v>
      </c>
      <c r="Y72" s="33">
        <v>46167</v>
      </c>
      <c r="Z72" s="15" t="s">
        <v>299</v>
      </c>
    </row>
    <row r="73" spans="1:26" x14ac:dyDescent="0.25">
      <c r="A73" s="21">
        <f>IF(C73="","",COUNTA($C$3:C73))</f>
        <v>71</v>
      </c>
      <c r="B73" s="35" t="str">
        <f t="shared" si="66"/>
        <v>May</v>
      </c>
      <c r="C73" s="31">
        <v>46167</v>
      </c>
      <c r="D73" s="17" t="s">
        <v>289</v>
      </c>
      <c r="E73" s="32">
        <v>46162</v>
      </c>
      <c r="F73" s="17" t="s">
        <v>120</v>
      </c>
      <c r="G73" s="18" t="s">
        <v>121</v>
      </c>
      <c r="H73" s="18" t="s">
        <v>122</v>
      </c>
      <c r="I73" s="17" t="s">
        <v>290</v>
      </c>
      <c r="J73" s="18">
        <v>61974</v>
      </c>
      <c r="K73" s="18">
        <v>45392</v>
      </c>
      <c r="L73" s="19">
        <v>327881.09999999998</v>
      </c>
      <c r="M73" s="20">
        <f t="shared" si="60"/>
        <v>30094.298999999995</v>
      </c>
      <c r="N73" s="20">
        <f t="shared" si="61"/>
        <v>30094.298999999995</v>
      </c>
      <c r="O73" s="20"/>
      <c r="P73" s="80">
        <f t="shared" si="62"/>
        <v>394569.69799999997</v>
      </c>
      <c r="Q73" s="82">
        <v>0.3</v>
      </c>
      <c r="R73" s="87">
        <f t="shared" si="63"/>
        <v>394569.99799999996</v>
      </c>
      <c r="S73" s="19">
        <v>6500</v>
      </c>
      <c r="T73" s="19">
        <v>4750</v>
      </c>
      <c r="U73" s="21">
        <f t="shared" si="64"/>
        <v>1750</v>
      </c>
      <c r="V73" s="22">
        <f t="shared" si="65"/>
        <v>0.36842105263157893</v>
      </c>
      <c r="W73" s="23" t="s">
        <v>124</v>
      </c>
      <c r="X73" s="19">
        <v>8339</v>
      </c>
      <c r="Y73" s="33">
        <v>46169</v>
      </c>
      <c r="Z73" s="15" t="s">
        <v>298</v>
      </c>
    </row>
    <row r="74" spans="1:26" x14ac:dyDescent="0.25">
      <c r="A74" s="21">
        <f>IF(C74="","",COUNTA($C$3:C74))</f>
        <v>72</v>
      </c>
      <c r="B74" s="35" t="str">
        <f t="shared" si="66"/>
        <v>May</v>
      </c>
      <c r="C74" s="31">
        <v>46167</v>
      </c>
      <c r="D74" s="17" t="s">
        <v>289</v>
      </c>
      <c r="E74" s="32">
        <v>46162</v>
      </c>
      <c r="F74" s="17" t="s">
        <v>120</v>
      </c>
      <c r="G74" s="18" t="s">
        <v>121</v>
      </c>
      <c r="H74" s="18" t="s">
        <v>122</v>
      </c>
      <c r="I74" s="17" t="s">
        <v>290</v>
      </c>
      <c r="J74" s="18">
        <v>61974</v>
      </c>
      <c r="K74" s="18">
        <v>45393</v>
      </c>
      <c r="L74" s="19">
        <v>44511.5</v>
      </c>
      <c r="M74" s="20">
        <f t="shared" si="60"/>
        <v>4303.0349999999999</v>
      </c>
      <c r="N74" s="20">
        <f t="shared" si="61"/>
        <v>4303.0349999999999</v>
      </c>
      <c r="O74" s="20"/>
      <c r="P74" s="80">
        <f t="shared" si="62"/>
        <v>56417.570000000007</v>
      </c>
      <c r="Q74" s="82">
        <v>0.43</v>
      </c>
      <c r="R74" s="87">
        <f t="shared" si="63"/>
        <v>56418.000000000007</v>
      </c>
      <c r="S74" s="19">
        <v>3300</v>
      </c>
      <c r="T74" s="19">
        <v>2300</v>
      </c>
      <c r="U74" s="21">
        <f t="shared" si="64"/>
        <v>1000</v>
      </c>
      <c r="V74" s="22">
        <f t="shared" si="65"/>
        <v>0.43478260869565216</v>
      </c>
      <c r="W74" s="23" t="s">
        <v>124</v>
      </c>
      <c r="X74" s="74">
        <v>8340</v>
      </c>
      <c r="Y74" s="33">
        <v>46169</v>
      </c>
      <c r="Z74" s="15" t="s">
        <v>298</v>
      </c>
    </row>
    <row r="75" spans="1:26" x14ac:dyDescent="0.25">
      <c r="A75" s="21">
        <f>IF(C75="","",COUNTA($C$3:C75))</f>
        <v>73</v>
      </c>
      <c r="B75" s="35" t="str">
        <f t="shared" si="66"/>
        <v>May</v>
      </c>
      <c r="C75" s="31">
        <v>46167</v>
      </c>
      <c r="D75" s="17" t="s">
        <v>291</v>
      </c>
      <c r="E75" s="32">
        <v>46162</v>
      </c>
      <c r="F75" s="17" t="s">
        <v>120</v>
      </c>
      <c r="G75" s="18" t="s">
        <v>121</v>
      </c>
      <c r="H75" s="18" t="s">
        <v>122</v>
      </c>
      <c r="I75" s="17" t="s">
        <v>292</v>
      </c>
      <c r="J75" s="18">
        <v>61975</v>
      </c>
      <c r="K75" s="18">
        <v>45394</v>
      </c>
      <c r="L75" s="19">
        <v>190654</v>
      </c>
      <c r="M75" s="20">
        <f t="shared" si="60"/>
        <v>17158.86</v>
      </c>
      <c r="N75" s="20">
        <f t="shared" si="61"/>
        <v>17158.86</v>
      </c>
      <c r="O75" s="20"/>
      <c r="P75" s="80">
        <f t="shared" si="62"/>
        <v>224971.71999999997</v>
      </c>
      <c r="Q75" s="82">
        <v>0.28000000000000003</v>
      </c>
      <c r="R75" s="87">
        <f t="shared" si="63"/>
        <v>224971.99999999997</v>
      </c>
      <c r="S75" s="19"/>
      <c r="T75" s="19"/>
      <c r="U75" s="21" t="str">
        <f t="shared" si="64"/>
        <v/>
      </c>
      <c r="V75" s="22" t="str">
        <f t="shared" si="65"/>
        <v/>
      </c>
      <c r="W75" s="23" t="s">
        <v>124</v>
      </c>
      <c r="X75" s="74">
        <v>8341</v>
      </c>
      <c r="Y75" s="33">
        <v>46169</v>
      </c>
      <c r="Z75" s="15" t="s">
        <v>298</v>
      </c>
    </row>
    <row r="76" spans="1:26" x14ac:dyDescent="0.25">
      <c r="A76" s="21">
        <f>IF(C76="","",COUNTA($C$3:C76))</f>
        <v>74</v>
      </c>
      <c r="B76" s="35" t="str">
        <f t="shared" si="66"/>
        <v>May</v>
      </c>
      <c r="C76" s="31">
        <v>46168</v>
      </c>
      <c r="D76" s="17" t="s">
        <v>293</v>
      </c>
      <c r="E76" s="32">
        <v>46162</v>
      </c>
      <c r="F76" s="17" t="s">
        <v>120</v>
      </c>
      <c r="G76" s="18" t="s">
        <v>121</v>
      </c>
      <c r="H76" s="18" t="s">
        <v>122</v>
      </c>
      <c r="I76" s="17" t="s">
        <v>294</v>
      </c>
      <c r="J76" s="18">
        <v>61973</v>
      </c>
      <c r="K76" s="18">
        <v>45395</v>
      </c>
      <c r="L76" s="19">
        <v>38445</v>
      </c>
      <c r="M76" s="20">
        <f t="shared" si="60"/>
        <v>3842.5499999999997</v>
      </c>
      <c r="N76" s="20">
        <f t="shared" si="61"/>
        <v>3842.5499999999997</v>
      </c>
      <c r="O76" s="20"/>
      <c r="P76" s="80">
        <f t="shared" si="62"/>
        <v>50380.100000000006</v>
      </c>
      <c r="Q76" s="82">
        <v>-0.1</v>
      </c>
      <c r="R76" s="87">
        <f t="shared" si="63"/>
        <v>50380.000000000007</v>
      </c>
      <c r="S76" s="19">
        <v>4250</v>
      </c>
      <c r="T76" s="19">
        <v>3900</v>
      </c>
      <c r="U76" s="21">
        <f t="shared" si="64"/>
        <v>350</v>
      </c>
      <c r="V76" s="22">
        <f t="shared" si="65"/>
        <v>8.9743589743589744E-2</v>
      </c>
      <c r="W76" s="23" t="s">
        <v>124</v>
      </c>
      <c r="X76" s="19">
        <v>8342</v>
      </c>
      <c r="Y76" s="33">
        <v>46169</v>
      </c>
      <c r="Z76" s="15" t="s">
        <v>298</v>
      </c>
    </row>
    <row r="77" spans="1:26" x14ac:dyDescent="0.25">
      <c r="A77" s="21">
        <f>IF(C77="","",COUNTA($C$3:C77))</f>
        <v>75</v>
      </c>
      <c r="B77" s="35" t="str">
        <f t="shared" si="66"/>
        <v>May</v>
      </c>
      <c r="C77" s="31">
        <v>46168</v>
      </c>
      <c r="D77" s="17" t="s">
        <v>261</v>
      </c>
      <c r="E77" s="32">
        <v>46155</v>
      </c>
      <c r="F77" s="17" t="s">
        <v>120</v>
      </c>
      <c r="G77" s="18" t="s">
        <v>262</v>
      </c>
      <c r="H77" s="18" t="s">
        <v>122</v>
      </c>
      <c r="I77" s="17" t="s">
        <v>263</v>
      </c>
      <c r="J77" s="18">
        <v>61967</v>
      </c>
      <c r="K77" s="18">
        <v>45396</v>
      </c>
      <c r="L77" s="19">
        <v>482768.6</v>
      </c>
      <c r="M77" s="20"/>
      <c r="N77" s="20"/>
      <c r="O77" s="19">
        <f t="shared" ref="O77:O80" si="67">IF(L77="","",(L77+S77)*18%)</f>
        <v>86898.347999999998</v>
      </c>
      <c r="P77" s="80">
        <f t="shared" si="62"/>
        <v>569666.94799999997</v>
      </c>
      <c r="Q77" s="82">
        <v>0.05</v>
      </c>
      <c r="R77" s="87">
        <f t="shared" si="63"/>
        <v>569666.99800000002</v>
      </c>
      <c r="S77" s="19"/>
      <c r="T77" s="19"/>
      <c r="U77" s="21" t="str">
        <f t="shared" si="64"/>
        <v/>
      </c>
      <c r="V77" s="22" t="str">
        <f t="shared" si="65"/>
        <v/>
      </c>
      <c r="W77" s="23" t="s">
        <v>124</v>
      </c>
      <c r="X77" s="19">
        <v>8343</v>
      </c>
      <c r="Y77" s="33">
        <v>46169</v>
      </c>
      <c r="Z77" s="15" t="s">
        <v>298</v>
      </c>
    </row>
    <row r="78" spans="1:26" x14ac:dyDescent="0.25">
      <c r="A78" s="21">
        <f>IF(C78="","",COUNTA($C$3:C78))</f>
        <v>76</v>
      </c>
      <c r="B78" s="35" t="str">
        <f t="shared" si="66"/>
        <v>May</v>
      </c>
      <c r="C78" s="31">
        <v>46170</v>
      </c>
      <c r="D78" s="17" t="s">
        <v>220</v>
      </c>
      <c r="E78" s="32">
        <v>45995</v>
      </c>
      <c r="F78" s="17" t="s">
        <v>120</v>
      </c>
      <c r="G78" s="18" t="s">
        <v>221</v>
      </c>
      <c r="H78" s="18" t="s">
        <v>122</v>
      </c>
      <c r="I78" s="17" t="s">
        <v>222</v>
      </c>
      <c r="J78" s="18">
        <v>61840</v>
      </c>
      <c r="K78" s="18">
        <v>45397</v>
      </c>
      <c r="L78" s="19">
        <v>673553.5</v>
      </c>
      <c r="M78" s="20"/>
      <c r="N78" s="20"/>
      <c r="O78" s="19">
        <f t="shared" si="67"/>
        <v>121239.62999999999</v>
      </c>
      <c r="P78" s="80">
        <f t="shared" si="62"/>
        <v>794793.13</v>
      </c>
      <c r="Q78" s="82">
        <v>-0.13</v>
      </c>
      <c r="R78" s="87">
        <f t="shared" si="63"/>
        <v>794793</v>
      </c>
      <c r="S78" s="19"/>
      <c r="T78" s="19"/>
      <c r="U78" s="21" t="str">
        <f t="shared" si="64"/>
        <v/>
      </c>
      <c r="V78" s="22" t="str">
        <f t="shared" si="65"/>
        <v/>
      </c>
      <c r="W78" s="23" t="s">
        <v>234</v>
      </c>
      <c r="X78" s="74" t="s">
        <v>160</v>
      </c>
      <c r="Y78" s="33">
        <v>46171</v>
      </c>
      <c r="Z78" s="15" t="s">
        <v>297</v>
      </c>
    </row>
    <row r="79" spans="1:26" x14ac:dyDescent="0.25">
      <c r="A79" s="21">
        <f>IF(C79="","",COUNTA($C$3:C79))</f>
        <v>77</v>
      </c>
      <c r="B79" s="35" t="str">
        <f t="shared" si="66"/>
        <v>May</v>
      </c>
      <c r="C79" s="31">
        <v>46172</v>
      </c>
      <c r="D79" s="17" t="s">
        <v>328</v>
      </c>
      <c r="E79" s="32">
        <v>46162</v>
      </c>
      <c r="F79" s="17" t="s">
        <v>120</v>
      </c>
      <c r="G79" s="18" t="s">
        <v>242</v>
      </c>
      <c r="H79" s="18" t="s">
        <v>122</v>
      </c>
      <c r="I79" s="17" t="s">
        <v>329</v>
      </c>
      <c r="J79" s="18">
        <v>61972</v>
      </c>
      <c r="K79" s="18">
        <v>45398</v>
      </c>
      <c r="L79" s="19">
        <v>294843.59999999998</v>
      </c>
      <c r="M79" s="20"/>
      <c r="N79" s="20"/>
      <c r="O79" s="19">
        <f t="shared" si="67"/>
        <v>53071.847999999991</v>
      </c>
      <c r="P79" s="80">
        <f t="shared" si="62"/>
        <v>347915.44799999997</v>
      </c>
      <c r="Q79" s="82">
        <v>-0.45</v>
      </c>
      <c r="R79" s="87">
        <f t="shared" si="63"/>
        <v>347914.99799999996</v>
      </c>
      <c r="S79" s="19"/>
      <c r="T79" s="19"/>
      <c r="U79" s="21" t="str">
        <f t="shared" si="64"/>
        <v/>
      </c>
      <c r="V79" s="22" t="str">
        <f t="shared" si="65"/>
        <v/>
      </c>
      <c r="W79" s="23" t="s">
        <v>234</v>
      </c>
      <c r="X79" s="74" t="s">
        <v>160</v>
      </c>
      <c r="Y79" s="33">
        <v>46174</v>
      </c>
      <c r="Z79" s="15"/>
    </row>
    <row r="80" spans="1:26" x14ac:dyDescent="0.25">
      <c r="A80" s="21">
        <f>IF(C80="","",COUNTA($C$3:C80))</f>
        <v>78</v>
      </c>
      <c r="B80" s="35" t="str">
        <f t="shared" si="66"/>
        <v>May</v>
      </c>
      <c r="C80" s="31">
        <v>46172</v>
      </c>
      <c r="D80" s="17" t="s">
        <v>143</v>
      </c>
      <c r="E80" s="32">
        <v>45927</v>
      </c>
      <c r="F80" s="17" t="s">
        <v>144</v>
      </c>
      <c r="G80" s="18" t="s">
        <v>145</v>
      </c>
      <c r="H80" s="18" t="s">
        <v>143</v>
      </c>
      <c r="I80" s="17" t="s">
        <v>146</v>
      </c>
      <c r="J80" s="18">
        <v>61768</v>
      </c>
      <c r="K80" s="18">
        <v>45399</v>
      </c>
      <c r="L80" s="19">
        <v>43600</v>
      </c>
      <c r="M80" s="20"/>
      <c r="N80" s="20"/>
      <c r="O80" s="19">
        <f t="shared" si="67"/>
        <v>7848</v>
      </c>
      <c r="P80" s="80">
        <f t="shared" si="62"/>
        <v>51448</v>
      </c>
      <c r="Q80" s="82"/>
      <c r="R80" s="87">
        <f t="shared" si="63"/>
        <v>51448</v>
      </c>
      <c r="S80" s="19"/>
      <c r="T80" s="19"/>
      <c r="U80" s="21" t="str">
        <f t="shared" si="64"/>
        <v/>
      </c>
      <c r="V80" s="22" t="str">
        <f t="shared" si="65"/>
        <v/>
      </c>
      <c r="W80" s="23" t="s">
        <v>234</v>
      </c>
      <c r="X80" s="74" t="s">
        <v>160</v>
      </c>
      <c r="Y80" s="33"/>
      <c r="Z80" s="15"/>
    </row>
    <row r="81" spans="1:26" x14ac:dyDescent="0.25">
      <c r="A81" s="21">
        <f>IF(C81="","",COUNTA($C$3:C81))</f>
        <v>79</v>
      </c>
      <c r="B81" s="35" t="str">
        <f t="shared" si="66"/>
        <v>June</v>
      </c>
      <c r="C81" s="31">
        <v>46174</v>
      </c>
      <c r="D81" s="17" t="s">
        <v>334</v>
      </c>
      <c r="E81" s="32">
        <v>46174</v>
      </c>
      <c r="F81" s="17" t="s">
        <v>120</v>
      </c>
      <c r="G81" s="18" t="s">
        <v>121</v>
      </c>
      <c r="H81" s="18" t="s">
        <v>122</v>
      </c>
      <c r="I81" s="17" t="s">
        <v>341</v>
      </c>
      <c r="J81" s="18">
        <v>61977</v>
      </c>
      <c r="K81" s="18">
        <v>45400</v>
      </c>
      <c r="L81" s="19">
        <v>189720</v>
      </c>
      <c r="M81" s="20">
        <f t="shared" ref="M81" si="68">IF(L81="","",(L81+S81)*9%)</f>
        <v>17704.8</v>
      </c>
      <c r="N81" s="20">
        <f t="shared" ref="N81" si="69">IF(L81="","",(L81+S81)*9%)</f>
        <v>17704.8</v>
      </c>
      <c r="O81" s="20"/>
      <c r="P81" s="80">
        <f t="shared" ref="P81:P82" si="70">SUM(L81:O81)+S81</f>
        <v>232129.59999999998</v>
      </c>
      <c r="Q81" s="82">
        <v>0.4</v>
      </c>
      <c r="R81" s="87">
        <f t="shared" si="63"/>
        <v>232129.99999999997</v>
      </c>
      <c r="S81" s="19">
        <v>7000</v>
      </c>
      <c r="T81" s="19">
        <v>6150</v>
      </c>
      <c r="U81" s="21">
        <f t="shared" si="64"/>
        <v>850</v>
      </c>
      <c r="V81" s="22">
        <f t="shared" si="65"/>
        <v>0.13821138211382114</v>
      </c>
      <c r="W81" s="23" t="s">
        <v>124</v>
      </c>
      <c r="X81" s="74">
        <v>8344</v>
      </c>
      <c r="Y81" s="33">
        <v>46175</v>
      </c>
      <c r="Z81" s="15"/>
    </row>
    <row r="82" spans="1:26" x14ac:dyDescent="0.25">
      <c r="A82" s="21">
        <f>IF(C82="","",COUNTA($C$3:C82))</f>
        <v>80</v>
      </c>
      <c r="B82" s="35" t="str">
        <f t="shared" si="66"/>
        <v>June</v>
      </c>
      <c r="C82" s="31">
        <v>46174</v>
      </c>
      <c r="D82" s="17" t="s">
        <v>335</v>
      </c>
      <c r="E82" s="32">
        <v>46168</v>
      </c>
      <c r="F82" s="17" t="s">
        <v>120</v>
      </c>
      <c r="G82" s="18" t="s">
        <v>336</v>
      </c>
      <c r="H82" s="18" t="s">
        <v>122</v>
      </c>
      <c r="I82" s="17" t="s">
        <v>337</v>
      </c>
      <c r="J82" s="18">
        <v>61978</v>
      </c>
      <c r="K82" s="18">
        <v>45401</v>
      </c>
      <c r="L82" s="19">
        <v>100859.3</v>
      </c>
      <c r="M82" s="20"/>
      <c r="N82" s="20"/>
      <c r="O82" s="19">
        <f t="shared" ref="O82" si="71">IF(L82="","",(L82+S82)*18%)</f>
        <v>18154.673999999999</v>
      </c>
      <c r="P82" s="80">
        <f t="shared" si="70"/>
        <v>119013.974</v>
      </c>
      <c r="Q82" s="82">
        <v>0.03</v>
      </c>
      <c r="R82" s="87">
        <f t="shared" si="63"/>
        <v>119014.004</v>
      </c>
      <c r="S82" s="19"/>
      <c r="T82" s="19"/>
      <c r="U82" s="21" t="str">
        <f t="shared" si="64"/>
        <v/>
      </c>
      <c r="V82" s="22" t="str">
        <f t="shared" si="65"/>
        <v/>
      </c>
      <c r="W82" s="23" t="s">
        <v>338</v>
      </c>
      <c r="X82" s="74" t="s">
        <v>160</v>
      </c>
      <c r="Y82" s="33">
        <v>46175</v>
      </c>
      <c r="Z82" s="15"/>
    </row>
    <row r="83" spans="1:26" x14ac:dyDescent="0.25">
      <c r="A83" s="21">
        <f>IF(C83="","",COUNTA($C$3:C83))</f>
        <v>81</v>
      </c>
      <c r="B83" s="35" t="str">
        <f t="shared" si="66"/>
        <v>June</v>
      </c>
      <c r="C83" s="31">
        <v>46174</v>
      </c>
      <c r="D83" s="17" t="s">
        <v>339</v>
      </c>
      <c r="E83" s="32">
        <v>46171</v>
      </c>
      <c r="F83" s="17" t="s">
        <v>120</v>
      </c>
      <c r="G83" s="18" t="s">
        <v>121</v>
      </c>
      <c r="H83" s="18" t="s">
        <v>122</v>
      </c>
      <c r="I83" s="17" t="s">
        <v>134</v>
      </c>
      <c r="J83" s="18">
        <v>61976</v>
      </c>
      <c r="K83" s="18">
        <v>45402</v>
      </c>
      <c r="L83" s="19">
        <v>547790</v>
      </c>
      <c r="M83" s="20">
        <f t="shared" ref="M83:M92" si="72">IF(L83="","",(L83+S83)*9%)</f>
        <v>49301.1</v>
      </c>
      <c r="N83" s="20">
        <f t="shared" ref="N83:N92" si="73">IF(L83="","",(L83+S83)*9%)</f>
        <v>49301.1</v>
      </c>
      <c r="O83" s="20"/>
      <c r="P83" s="80">
        <f t="shared" ref="P83:P95" si="74">SUM(L83:O83)+S83</f>
        <v>646392.19999999995</v>
      </c>
      <c r="Q83" s="82">
        <v>-0.2</v>
      </c>
      <c r="R83" s="87">
        <f t="shared" ref="R83:R104" si="75">P83+Q83</f>
        <v>646392</v>
      </c>
      <c r="S83" s="19"/>
      <c r="T83" s="19"/>
      <c r="U83" s="21" t="str">
        <f t="shared" si="64"/>
        <v/>
      </c>
      <c r="V83" s="22" t="str">
        <f t="shared" si="65"/>
        <v/>
      </c>
      <c r="W83" s="23" t="s">
        <v>124</v>
      </c>
      <c r="X83" s="74">
        <v>8345</v>
      </c>
      <c r="Y83" s="33">
        <v>46175</v>
      </c>
      <c r="Z83" s="15"/>
    </row>
    <row r="84" spans="1:26" x14ac:dyDescent="0.25">
      <c r="A84" s="21">
        <f>IF(C84="","",COUNTA($C$3:C84))</f>
        <v>82</v>
      </c>
      <c r="B84" s="35" t="str">
        <f t="shared" si="66"/>
        <v>June</v>
      </c>
      <c r="C84" s="31">
        <v>46175</v>
      </c>
      <c r="D84" s="17" t="s">
        <v>289</v>
      </c>
      <c r="E84" s="32">
        <v>46162</v>
      </c>
      <c r="F84" s="17" t="s">
        <v>120</v>
      </c>
      <c r="G84" s="18" t="s">
        <v>121</v>
      </c>
      <c r="H84" s="18" t="s">
        <v>122</v>
      </c>
      <c r="I84" s="17" t="s">
        <v>290</v>
      </c>
      <c r="J84" s="18">
        <v>61974</v>
      </c>
      <c r="K84" s="18">
        <v>45403</v>
      </c>
      <c r="L84" s="19">
        <v>27348</v>
      </c>
      <c r="M84" s="20">
        <f t="shared" si="72"/>
        <v>2461.3199999999997</v>
      </c>
      <c r="N84" s="20">
        <f t="shared" si="73"/>
        <v>2461.3199999999997</v>
      </c>
      <c r="O84" s="20"/>
      <c r="P84" s="80">
        <f t="shared" si="74"/>
        <v>32270.639999999999</v>
      </c>
      <c r="Q84" s="82">
        <v>0.36</v>
      </c>
      <c r="R84" s="87">
        <f t="shared" si="75"/>
        <v>32271</v>
      </c>
      <c r="S84" s="19"/>
      <c r="T84" s="19"/>
      <c r="U84" s="21" t="str">
        <f t="shared" si="64"/>
        <v/>
      </c>
      <c r="V84" s="22" t="str">
        <f t="shared" si="65"/>
        <v/>
      </c>
      <c r="W84" s="23" t="s">
        <v>159</v>
      </c>
      <c r="X84" s="74" t="s">
        <v>160</v>
      </c>
      <c r="Y84" s="33"/>
      <c r="Z84" s="15"/>
    </row>
    <row r="85" spans="1:26" x14ac:dyDescent="0.25">
      <c r="A85" s="21">
        <f>IF(C85="","",COUNTA($C$3:C85))</f>
        <v>83</v>
      </c>
      <c r="B85" s="35" t="str">
        <f t="shared" si="66"/>
        <v>June</v>
      </c>
      <c r="C85" s="31">
        <v>46176</v>
      </c>
      <c r="D85" s="17" t="s">
        <v>339</v>
      </c>
      <c r="E85" s="32">
        <v>46171</v>
      </c>
      <c r="F85" s="17" t="s">
        <v>120</v>
      </c>
      <c r="G85" s="18" t="s">
        <v>121</v>
      </c>
      <c r="H85" s="18" t="s">
        <v>122</v>
      </c>
      <c r="I85" s="17" t="s">
        <v>134</v>
      </c>
      <c r="J85" s="18">
        <v>61976</v>
      </c>
      <c r="K85" s="18">
        <v>45404</v>
      </c>
      <c r="L85" s="19">
        <v>137585</v>
      </c>
      <c r="M85" s="20">
        <f t="shared" si="72"/>
        <v>12967.65</v>
      </c>
      <c r="N85" s="20">
        <f t="shared" si="73"/>
        <v>12967.65</v>
      </c>
      <c r="O85" s="20"/>
      <c r="P85" s="80">
        <f t="shared" si="74"/>
        <v>170020.3</v>
      </c>
      <c r="Q85" s="82">
        <v>-0.3</v>
      </c>
      <c r="R85" s="87">
        <f t="shared" si="75"/>
        <v>170020</v>
      </c>
      <c r="S85" s="19">
        <v>6500</v>
      </c>
      <c r="T85" s="19">
        <v>5650</v>
      </c>
      <c r="U85" s="21">
        <f t="shared" si="64"/>
        <v>850</v>
      </c>
      <c r="V85" s="22">
        <f t="shared" si="65"/>
        <v>0.15044247787610621</v>
      </c>
      <c r="W85" s="23" t="s">
        <v>124</v>
      </c>
      <c r="X85" s="74">
        <v>8346</v>
      </c>
      <c r="Y85" s="33"/>
      <c r="Z85" s="15"/>
    </row>
    <row r="86" spans="1:26" x14ac:dyDescent="0.25">
      <c r="A86" s="21">
        <f>IF(C86="","",COUNTA($C$3:C86))</f>
        <v>84</v>
      </c>
      <c r="B86" s="35" t="str">
        <f t="shared" si="66"/>
        <v>June</v>
      </c>
      <c r="C86" s="31">
        <v>46176</v>
      </c>
      <c r="D86" s="17" t="s">
        <v>347</v>
      </c>
      <c r="E86" s="32">
        <v>46171</v>
      </c>
      <c r="F86" s="17" t="s">
        <v>120</v>
      </c>
      <c r="G86" s="18" t="s">
        <v>121</v>
      </c>
      <c r="H86" s="18" t="s">
        <v>122</v>
      </c>
      <c r="I86" s="17" t="s">
        <v>123</v>
      </c>
      <c r="J86" s="18">
        <v>61988</v>
      </c>
      <c r="K86" s="18">
        <v>45405</v>
      </c>
      <c r="L86" s="19">
        <v>291225</v>
      </c>
      <c r="M86" s="20">
        <f t="shared" si="72"/>
        <v>26795.25</v>
      </c>
      <c r="N86" s="20">
        <f t="shared" si="73"/>
        <v>26795.25</v>
      </c>
      <c r="O86" s="20"/>
      <c r="P86" s="80">
        <f t="shared" si="74"/>
        <v>351315.5</v>
      </c>
      <c r="Q86" s="82">
        <v>0.5</v>
      </c>
      <c r="R86" s="87">
        <f t="shared" si="75"/>
        <v>351316</v>
      </c>
      <c r="S86" s="19">
        <v>6500</v>
      </c>
      <c r="T86" s="19">
        <v>5650</v>
      </c>
      <c r="U86" s="21">
        <f t="shared" si="64"/>
        <v>850</v>
      </c>
      <c r="V86" s="22">
        <f t="shared" si="65"/>
        <v>0.15044247787610621</v>
      </c>
      <c r="W86" s="23" t="s">
        <v>124</v>
      </c>
      <c r="X86" s="74">
        <v>8347</v>
      </c>
      <c r="Y86" s="33"/>
      <c r="Z86" s="15"/>
    </row>
    <row r="87" spans="1:26" x14ac:dyDescent="0.25">
      <c r="A87" s="21">
        <f>IF(C87="","",COUNTA($C$3:C87))</f>
        <v>85</v>
      </c>
      <c r="B87" s="35" t="str">
        <f t="shared" si="66"/>
        <v>June</v>
      </c>
      <c r="C87" s="31">
        <v>46177</v>
      </c>
      <c r="D87" s="17" t="s">
        <v>352</v>
      </c>
      <c r="E87" s="32">
        <v>46175</v>
      </c>
      <c r="F87" s="17" t="s">
        <v>120</v>
      </c>
      <c r="G87" s="18" t="s">
        <v>121</v>
      </c>
      <c r="H87" s="18" t="s">
        <v>82</v>
      </c>
      <c r="I87" s="17" t="s">
        <v>211</v>
      </c>
      <c r="J87" s="18">
        <v>61979</v>
      </c>
      <c r="K87" s="18">
        <v>45406</v>
      </c>
      <c r="L87" s="19">
        <v>5785.5</v>
      </c>
      <c r="M87" s="20">
        <f t="shared" si="72"/>
        <v>520.69499999999994</v>
      </c>
      <c r="N87" s="20">
        <f t="shared" si="73"/>
        <v>520.69499999999994</v>
      </c>
      <c r="O87" s="20"/>
      <c r="P87" s="80">
        <f t="shared" si="74"/>
        <v>6826.8899999999994</v>
      </c>
      <c r="Q87" s="82">
        <v>0.11</v>
      </c>
      <c r="R87" s="87">
        <f t="shared" si="75"/>
        <v>6826.9999999999991</v>
      </c>
      <c r="S87" s="19"/>
      <c r="T87" s="19"/>
      <c r="U87" s="21" t="str">
        <f t="shared" si="64"/>
        <v/>
      </c>
      <c r="V87" s="22" t="str">
        <f t="shared" si="65"/>
        <v/>
      </c>
      <c r="W87" s="23"/>
      <c r="X87" s="19"/>
      <c r="Y87" s="33"/>
      <c r="Z87" s="15"/>
    </row>
    <row r="88" spans="1:26" x14ac:dyDescent="0.25">
      <c r="A88" s="21">
        <f>IF(C88="","",COUNTA($C$3:C88))</f>
        <v>86</v>
      </c>
      <c r="B88" s="35" t="str">
        <f t="shared" si="66"/>
        <v>June</v>
      </c>
      <c r="C88" s="31">
        <v>46177</v>
      </c>
      <c r="D88" s="17" t="s">
        <v>353</v>
      </c>
      <c r="E88" s="32">
        <v>46175</v>
      </c>
      <c r="F88" s="17" t="s">
        <v>120</v>
      </c>
      <c r="G88" s="18" t="s">
        <v>121</v>
      </c>
      <c r="H88" s="18" t="s">
        <v>82</v>
      </c>
      <c r="I88" s="17" t="s">
        <v>134</v>
      </c>
      <c r="J88" s="18">
        <v>61980</v>
      </c>
      <c r="K88" s="18">
        <v>45407</v>
      </c>
      <c r="L88" s="19">
        <v>37996</v>
      </c>
      <c r="M88" s="20">
        <f t="shared" si="72"/>
        <v>3419.64</v>
      </c>
      <c r="N88" s="20">
        <f t="shared" si="73"/>
        <v>3419.64</v>
      </c>
      <c r="O88" s="20"/>
      <c r="P88" s="80">
        <f t="shared" si="74"/>
        <v>44835.28</v>
      </c>
      <c r="Q88" s="82">
        <v>-0.28000000000000003</v>
      </c>
      <c r="R88" s="87">
        <f t="shared" si="75"/>
        <v>44835</v>
      </c>
      <c r="S88" s="19"/>
      <c r="T88" s="19"/>
      <c r="U88" s="21" t="str">
        <f t="shared" si="64"/>
        <v/>
      </c>
      <c r="V88" s="22" t="str">
        <f t="shared" si="65"/>
        <v/>
      </c>
      <c r="W88" s="23"/>
      <c r="X88" s="19"/>
      <c r="Y88" s="33"/>
      <c r="Z88" s="15"/>
    </row>
    <row r="89" spans="1:26" x14ac:dyDescent="0.25">
      <c r="A89" s="21">
        <f>IF(C89="","",COUNTA($C$3:C89))</f>
        <v>87</v>
      </c>
      <c r="B89" s="35" t="str">
        <f t="shared" si="66"/>
        <v>June</v>
      </c>
      <c r="C89" s="31">
        <v>46177</v>
      </c>
      <c r="D89" s="17" t="s">
        <v>354</v>
      </c>
      <c r="E89" s="32">
        <v>46175</v>
      </c>
      <c r="F89" s="17" t="s">
        <v>120</v>
      </c>
      <c r="G89" s="18" t="s">
        <v>121</v>
      </c>
      <c r="H89" s="18" t="s">
        <v>82</v>
      </c>
      <c r="I89" s="17" t="s">
        <v>258</v>
      </c>
      <c r="J89" s="18">
        <v>61981</v>
      </c>
      <c r="K89" s="18">
        <v>45408</v>
      </c>
      <c r="L89" s="19">
        <v>21255.5</v>
      </c>
      <c r="M89" s="20">
        <f t="shared" si="72"/>
        <v>1912.9949999999999</v>
      </c>
      <c r="N89" s="20">
        <f t="shared" si="73"/>
        <v>1912.9949999999999</v>
      </c>
      <c r="O89" s="20"/>
      <c r="P89" s="80">
        <f t="shared" si="74"/>
        <v>25081.489999999998</v>
      </c>
      <c r="Q89" s="82">
        <v>0.51</v>
      </c>
      <c r="R89" s="87">
        <f t="shared" si="75"/>
        <v>25081.999999999996</v>
      </c>
      <c r="S89" s="19"/>
      <c r="T89" s="19"/>
      <c r="U89" s="21" t="str">
        <f t="shared" si="64"/>
        <v/>
      </c>
      <c r="V89" s="22" t="str">
        <f t="shared" si="65"/>
        <v/>
      </c>
      <c r="W89" s="23"/>
      <c r="X89" s="19"/>
      <c r="Y89" s="33"/>
      <c r="Z89" s="15"/>
    </row>
    <row r="90" spans="1:26" x14ac:dyDescent="0.25">
      <c r="A90" s="21">
        <f>IF(C90="","",COUNTA($C$3:C90))</f>
        <v>88</v>
      </c>
      <c r="B90" s="35" t="str">
        <f t="shared" si="66"/>
        <v>June</v>
      </c>
      <c r="C90" s="31">
        <v>46177</v>
      </c>
      <c r="D90" s="17" t="s">
        <v>355</v>
      </c>
      <c r="E90" s="32">
        <v>46175</v>
      </c>
      <c r="F90" s="17" t="s">
        <v>120</v>
      </c>
      <c r="G90" s="18" t="s">
        <v>121</v>
      </c>
      <c r="H90" s="18" t="s">
        <v>82</v>
      </c>
      <c r="I90" s="17" t="s">
        <v>270</v>
      </c>
      <c r="J90" s="18">
        <v>61982</v>
      </c>
      <c r="K90" s="18">
        <v>45409</v>
      </c>
      <c r="L90" s="19">
        <v>4760</v>
      </c>
      <c r="M90" s="20">
        <f t="shared" si="72"/>
        <v>428.4</v>
      </c>
      <c r="N90" s="20">
        <f t="shared" si="73"/>
        <v>428.4</v>
      </c>
      <c r="O90" s="20"/>
      <c r="P90" s="80">
        <f t="shared" si="74"/>
        <v>5616.7999999999993</v>
      </c>
      <c r="Q90" s="82">
        <v>0.2</v>
      </c>
      <c r="R90" s="87">
        <f t="shared" si="75"/>
        <v>5616.9999999999991</v>
      </c>
      <c r="S90" s="19"/>
      <c r="T90" s="19"/>
      <c r="U90" s="21" t="str">
        <f t="shared" si="64"/>
        <v/>
      </c>
      <c r="V90" s="22" t="str">
        <f t="shared" si="65"/>
        <v/>
      </c>
      <c r="W90" s="23"/>
      <c r="X90" s="74"/>
      <c r="Y90" s="33"/>
      <c r="Z90" s="15"/>
    </row>
    <row r="91" spans="1:26" x14ac:dyDescent="0.25">
      <c r="A91" s="21">
        <f>IF(C91="","",COUNTA($C$3:C91))</f>
        <v>89</v>
      </c>
      <c r="B91" s="35" t="str">
        <f t="shared" si="66"/>
        <v>June</v>
      </c>
      <c r="C91" s="31">
        <v>46177</v>
      </c>
      <c r="D91" s="17" t="s">
        <v>356</v>
      </c>
      <c r="E91" s="32">
        <v>46175</v>
      </c>
      <c r="F91" s="17" t="s">
        <v>120</v>
      </c>
      <c r="G91" s="18" t="s">
        <v>121</v>
      </c>
      <c r="H91" s="18" t="s">
        <v>82</v>
      </c>
      <c r="I91" s="17" t="s">
        <v>288</v>
      </c>
      <c r="J91" s="18">
        <v>61983</v>
      </c>
      <c r="K91" s="18">
        <v>45410</v>
      </c>
      <c r="L91" s="19">
        <v>3269</v>
      </c>
      <c r="M91" s="20">
        <f t="shared" si="72"/>
        <v>294.20999999999998</v>
      </c>
      <c r="N91" s="20">
        <f t="shared" si="73"/>
        <v>294.20999999999998</v>
      </c>
      <c r="O91" s="20"/>
      <c r="P91" s="80">
        <f t="shared" si="74"/>
        <v>3857.42</v>
      </c>
      <c r="Q91" s="82">
        <v>-0.42</v>
      </c>
      <c r="R91" s="87">
        <f t="shared" si="75"/>
        <v>3857</v>
      </c>
      <c r="S91" s="19"/>
      <c r="T91" s="19"/>
      <c r="U91" s="21" t="str">
        <f t="shared" si="64"/>
        <v/>
      </c>
      <c r="V91" s="22" t="str">
        <f t="shared" si="65"/>
        <v/>
      </c>
      <c r="W91" s="23"/>
      <c r="X91" s="74"/>
      <c r="Y91" s="33"/>
      <c r="Z91" s="15"/>
    </row>
    <row r="92" spans="1:26" x14ac:dyDescent="0.25">
      <c r="A92" s="21">
        <f>IF(C92="","",COUNTA($C$3:C92))</f>
        <v>90</v>
      </c>
      <c r="B92" s="35" t="str">
        <f t="shared" si="66"/>
        <v>June</v>
      </c>
      <c r="C92" s="31">
        <v>46177</v>
      </c>
      <c r="D92" s="17" t="s">
        <v>357</v>
      </c>
      <c r="E92" s="32">
        <v>46175</v>
      </c>
      <c r="F92" s="17" t="s">
        <v>120</v>
      </c>
      <c r="G92" s="18" t="s">
        <v>121</v>
      </c>
      <c r="H92" s="18" t="s">
        <v>82</v>
      </c>
      <c r="I92" s="17" t="s">
        <v>290</v>
      </c>
      <c r="J92" s="18">
        <v>61984</v>
      </c>
      <c r="K92" s="18">
        <v>45411</v>
      </c>
      <c r="L92" s="19">
        <v>9821</v>
      </c>
      <c r="M92" s="20">
        <f t="shared" si="72"/>
        <v>883.89</v>
      </c>
      <c r="N92" s="20">
        <f t="shared" si="73"/>
        <v>883.89</v>
      </c>
      <c r="O92" s="20"/>
      <c r="P92" s="80">
        <f t="shared" si="74"/>
        <v>11588.779999999999</v>
      </c>
      <c r="Q92" s="82">
        <v>0.22</v>
      </c>
      <c r="R92" s="87">
        <f t="shared" si="75"/>
        <v>11588.999999999998</v>
      </c>
      <c r="S92" s="19"/>
      <c r="T92" s="19"/>
      <c r="U92" s="21" t="str">
        <f t="shared" si="64"/>
        <v/>
      </c>
      <c r="V92" s="22" t="str">
        <f t="shared" si="65"/>
        <v/>
      </c>
      <c r="W92" s="23"/>
      <c r="X92" s="74"/>
      <c r="Y92" s="33"/>
      <c r="Z92" s="15"/>
    </row>
    <row r="93" spans="1:26" x14ac:dyDescent="0.25">
      <c r="A93" s="21">
        <f>IF(C93="","",COUNTA($C$3:C93))</f>
        <v>91</v>
      </c>
      <c r="B93" s="35" t="str">
        <f t="shared" si="66"/>
        <v>June</v>
      </c>
      <c r="C93" s="31">
        <v>46177</v>
      </c>
      <c r="D93" s="17" t="s">
        <v>358</v>
      </c>
      <c r="E93" s="32">
        <v>46175</v>
      </c>
      <c r="F93" s="17" t="s">
        <v>120</v>
      </c>
      <c r="G93" s="18" t="s">
        <v>262</v>
      </c>
      <c r="H93" s="18" t="s">
        <v>82</v>
      </c>
      <c r="I93" s="17" t="s">
        <v>263</v>
      </c>
      <c r="J93" s="18">
        <v>61985</v>
      </c>
      <c r="K93" s="18">
        <v>45412</v>
      </c>
      <c r="L93" s="19">
        <v>21948.5</v>
      </c>
      <c r="M93" s="20"/>
      <c r="N93" s="20"/>
      <c r="O93" s="19">
        <f t="shared" ref="O93:O95" si="76">IF(L93="","",(L93+S93)*18%)</f>
        <v>3950.73</v>
      </c>
      <c r="P93" s="80">
        <f t="shared" si="74"/>
        <v>25899.23</v>
      </c>
      <c r="Q93" s="82">
        <v>-0.23</v>
      </c>
      <c r="R93" s="87">
        <f t="shared" si="75"/>
        <v>25899</v>
      </c>
      <c r="S93" s="19"/>
      <c r="T93" s="19"/>
      <c r="U93" s="21" t="str">
        <f t="shared" si="64"/>
        <v/>
      </c>
      <c r="V93" s="22" t="str">
        <f t="shared" si="65"/>
        <v/>
      </c>
      <c r="W93" s="23"/>
      <c r="X93" s="74"/>
      <c r="Y93" s="33"/>
      <c r="Z93" s="15"/>
    </row>
    <row r="94" spans="1:26" x14ac:dyDescent="0.25">
      <c r="A94" s="21">
        <f>IF(C94="","",COUNTA($C$3:C94))</f>
        <v>92</v>
      </c>
      <c r="B94" s="35" t="str">
        <f t="shared" si="66"/>
        <v>June</v>
      </c>
      <c r="C94" s="31">
        <v>46177</v>
      </c>
      <c r="D94" s="17" t="s">
        <v>359</v>
      </c>
      <c r="E94" s="32">
        <v>46175</v>
      </c>
      <c r="F94" s="17" t="s">
        <v>120</v>
      </c>
      <c r="G94" s="18" t="s">
        <v>262</v>
      </c>
      <c r="H94" s="18" t="s">
        <v>82</v>
      </c>
      <c r="I94" s="17" t="s">
        <v>265</v>
      </c>
      <c r="J94" s="18">
        <v>61986</v>
      </c>
      <c r="K94" s="18">
        <v>45413</v>
      </c>
      <c r="L94" s="19">
        <v>11294.5</v>
      </c>
      <c r="M94" s="20"/>
      <c r="N94" s="20"/>
      <c r="O94" s="19">
        <f t="shared" si="76"/>
        <v>2033.01</v>
      </c>
      <c r="P94" s="80">
        <f t="shared" si="74"/>
        <v>13327.51</v>
      </c>
      <c r="Q94" s="82">
        <v>0.49</v>
      </c>
      <c r="R94" s="87">
        <f t="shared" si="75"/>
        <v>13328</v>
      </c>
      <c r="S94" s="19"/>
      <c r="T94" s="19"/>
      <c r="U94" s="21" t="str">
        <f t="shared" si="64"/>
        <v/>
      </c>
      <c r="V94" s="22" t="str">
        <f t="shared" si="65"/>
        <v/>
      </c>
      <c r="W94" s="23"/>
      <c r="X94" s="74"/>
      <c r="Y94" s="33"/>
      <c r="Z94" s="15"/>
    </row>
    <row r="95" spans="1:26" x14ac:dyDescent="0.25">
      <c r="A95" s="21">
        <f>IF(C95="","",COUNTA($C$3:C95))</f>
        <v>93</v>
      </c>
      <c r="B95" s="35" t="str">
        <f t="shared" si="66"/>
        <v>June</v>
      </c>
      <c r="C95" s="31">
        <v>46177</v>
      </c>
      <c r="D95" s="17" t="s">
        <v>360</v>
      </c>
      <c r="E95" s="32">
        <v>46175</v>
      </c>
      <c r="F95" s="17" t="s">
        <v>120</v>
      </c>
      <c r="G95" s="18" t="s">
        <v>242</v>
      </c>
      <c r="H95" s="18" t="s">
        <v>82</v>
      </c>
      <c r="I95" s="17" t="s">
        <v>329</v>
      </c>
      <c r="J95" s="18">
        <v>61987</v>
      </c>
      <c r="K95" s="18">
        <v>45414</v>
      </c>
      <c r="L95" s="19">
        <v>8515.5</v>
      </c>
      <c r="M95" s="20"/>
      <c r="N95" s="20"/>
      <c r="O95" s="19">
        <f t="shared" si="76"/>
        <v>1532.79</v>
      </c>
      <c r="P95" s="80">
        <f t="shared" si="74"/>
        <v>10048.290000000001</v>
      </c>
      <c r="Q95" s="82">
        <v>-0.28999999999999998</v>
      </c>
      <c r="R95" s="87">
        <f t="shared" si="75"/>
        <v>10048</v>
      </c>
      <c r="S95" s="19"/>
      <c r="T95" s="19"/>
      <c r="U95" s="21" t="str">
        <f t="shared" si="64"/>
        <v/>
      </c>
      <c r="V95" s="22" t="str">
        <f t="shared" si="65"/>
        <v/>
      </c>
      <c r="W95" s="23"/>
      <c r="X95" s="74"/>
      <c r="Y95" s="33"/>
      <c r="Z95" s="15"/>
    </row>
    <row r="96" spans="1:26" x14ac:dyDescent="0.25">
      <c r="A96" s="21">
        <f>IF(C96="","",COUNTA($C$3:C96))</f>
        <v>94</v>
      </c>
      <c r="B96" s="35" t="str">
        <f t="shared" si="66"/>
        <v>June</v>
      </c>
      <c r="C96" s="31">
        <v>46178</v>
      </c>
      <c r="D96" s="17" t="s">
        <v>361</v>
      </c>
      <c r="E96" s="32">
        <v>46175</v>
      </c>
      <c r="F96" s="17" t="s">
        <v>120</v>
      </c>
      <c r="G96" s="18" t="s">
        <v>121</v>
      </c>
      <c r="H96" s="18" t="s">
        <v>122</v>
      </c>
      <c r="I96" s="17" t="s">
        <v>362</v>
      </c>
      <c r="J96" s="18">
        <v>61989</v>
      </c>
      <c r="K96" s="18">
        <v>45415</v>
      </c>
      <c r="L96" s="19">
        <v>130381</v>
      </c>
      <c r="M96" s="20">
        <f t="shared" ref="M96:M104" si="77">IF(L96="","",(L96+S96)*9%)</f>
        <v>11734.289999999999</v>
      </c>
      <c r="N96" s="20">
        <f t="shared" ref="N96:N104" si="78">IF(L96="","",(L96+S96)*9%)</f>
        <v>11734.289999999999</v>
      </c>
      <c r="O96" s="20"/>
      <c r="P96" s="80">
        <f t="shared" ref="P96:P105" si="79">SUM(L96:O96)+S96</f>
        <v>153849.58000000002</v>
      </c>
      <c r="Q96" s="82">
        <v>0.42</v>
      </c>
      <c r="R96" s="87">
        <f t="shared" si="75"/>
        <v>153850.00000000003</v>
      </c>
      <c r="S96" s="19"/>
      <c r="T96" s="19"/>
      <c r="U96" s="21" t="str">
        <f t="shared" si="64"/>
        <v/>
      </c>
      <c r="V96" s="22" t="str">
        <f t="shared" si="65"/>
        <v/>
      </c>
      <c r="W96" s="23" t="s">
        <v>124</v>
      </c>
      <c r="X96" s="74">
        <v>8348</v>
      </c>
      <c r="Y96" s="33"/>
      <c r="Z96" s="15"/>
    </row>
    <row r="97" spans="1:26" x14ac:dyDescent="0.25">
      <c r="A97" s="21">
        <f>IF(C97="","",COUNTA($C$3:C97))</f>
        <v>95</v>
      </c>
      <c r="B97" s="35" t="str">
        <f t="shared" si="66"/>
        <v>June</v>
      </c>
      <c r="C97" s="31">
        <v>46178</v>
      </c>
      <c r="D97" s="17" t="s">
        <v>363</v>
      </c>
      <c r="E97" s="32">
        <v>46175</v>
      </c>
      <c r="F97" s="17" t="s">
        <v>120</v>
      </c>
      <c r="G97" s="18" t="s">
        <v>121</v>
      </c>
      <c r="H97" s="18" t="s">
        <v>122</v>
      </c>
      <c r="I97" s="17" t="s">
        <v>364</v>
      </c>
      <c r="J97" s="18">
        <v>61990</v>
      </c>
      <c r="K97" s="18">
        <v>45416</v>
      </c>
      <c r="L97" s="19">
        <v>255986.4</v>
      </c>
      <c r="M97" s="20">
        <f t="shared" si="77"/>
        <v>23623.776000000002</v>
      </c>
      <c r="N97" s="20">
        <f t="shared" si="78"/>
        <v>23623.776000000002</v>
      </c>
      <c r="O97" s="20"/>
      <c r="P97" s="80">
        <f t="shared" si="79"/>
        <v>309733.95199999999</v>
      </c>
      <c r="Q97" s="82">
        <v>0.05</v>
      </c>
      <c r="R97" s="87">
        <f t="shared" si="75"/>
        <v>309734.00199999998</v>
      </c>
      <c r="S97" s="19">
        <v>6500</v>
      </c>
      <c r="T97" s="19">
        <v>5650</v>
      </c>
      <c r="U97" s="21">
        <f t="shared" si="64"/>
        <v>850</v>
      </c>
      <c r="V97" s="22">
        <f t="shared" si="65"/>
        <v>0.15044247787610621</v>
      </c>
      <c r="W97" s="23" t="s">
        <v>124</v>
      </c>
      <c r="X97" s="74">
        <v>8349</v>
      </c>
      <c r="Y97" s="33"/>
      <c r="Z97" s="15"/>
    </row>
    <row r="98" spans="1:26" x14ac:dyDescent="0.25">
      <c r="A98" s="21">
        <f>IF(C98="","",COUNTA($C$3:C98))</f>
        <v>96</v>
      </c>
      <c r="B98" s="35" t="str">
        <f t="shared" si="66"/>
        <v>June</v>
      </c>
      <c r="C98" s="31">
        <v>46178</v>
      </c>
      <c r="D98" s="17" t="s">
        <v>119</v>
      </c>
      <c r="E98" s="32">
        <v>46091</v>
      </c>
      <c r="F98" s="17" t="s">
        <v>120</v>
      </c>
      <c r="G98" s="18" t="s">
        <v>121</v>
      </c>
      <c r="H98" s="18" t="s">
        <v>122</v>
      </c>
      <c r="I98" s="17" t="s">
        <v>123</v>
      </c>
      <c r="J98" s="18">
        <v>61930</v>
      </c>
      <c r="K98" s="18">
        <v>45417</v>
      </c>
      <c r="L98" s="19">
        <v>161807.1</v>
      </c>
      <c r="M98" s="20">
        <f t="shared" si="77"/>
        <v>15147.638999999999</v>
      </c>
      <c r="N98" s="20">
        <f t="shared" si="78"/>
        <v>15147.638999999999</v>
      </c>
      <c r="O98" s="20"/>
      <c r="P98" s="80">
        <f t="shared" si="79"/>
        <v>198602.378</v>
      </c>
      <c r="Q98" s="82">
        <v>-0.38</v>
      </c>
      <c r="R98" s="87">
        <f t="shared" si="75"/>
        <v>198601.99799999999</v>
      </c>
      <c r="S98" s="19">
        <v>6500</v>
      </c>
      <c r="T98" s="19">
        <v>5650</v>
      </c>
      <c r="U98" s="21">
        <f t="shared" si="64"/>
        <v>850</v>
      </c>
      <c r="V98" s="22">
        <f t="shared" si="65"/>
        <v>0.15044247787610621</v>
      </c>
      <c r="W98" s="23" t="s">
        <v>124</v>
      </c>
      <c r="X98" s="19">
        <v>8350</v>
      </c>
      <c r="Y98" s="33"/>
      <c r="Z98" s="15"/>
    </row>
    <row r="99" spans="1:26" x14ac:dyDescent="0.25">
      <c r="A99" s="21">
        <f>IF(C99="","",COUNTA($C$3:C99))</f>
        <v>97</v>
      </c>
      <c r="B99" s="35" t="str">
        <f t="shared" si="66"/>
        <v>June</v>
      </c>
      <c r="C99" s="31">
        <v>46178</v>
      </c>
      <c r="D99" s="17" t="s">
        <v>347</v>
      </c>
      <c r="E99" s="32">
        <v>46171</v>
      </c>
      <c r="F99" s="17" t="s">
        <v>120</v>
      </c>
      <c r="G99" s="18" t="s">
        <v>121</v>
      </c>
      <c r="H99" s="18" t="s">
        <v>122</v>
      </c>
      <c r="I99" s="17" t="s">
        <v>123</v>
      </c>
      <c r="J99" s="18">
        <v>61988</v>
      </c>
      <c r="K99" s="18">
        <v>45418</v>
      </c>
      <c r="L99" s="19">
        <v>210545</v>
      </c>
      <c r="M99" s="20">
        <f t="shared" si="77"/>
        <v>18949.05</v>
      </c>
      <c r="N99" s="20">
        <f t="shared" si="78"/>
        <v>18949.05</v>
      </c>
      <c r="O99" s="20"/>
      <c r="P99" s="80">
        <f t="shared" si="79"/>
        <v>248443.09999999998</v>
      </c>
      <c r="Q99" s="82">
        <v>-0.1</v>
      </c>
      <c r="R99" s="87">
        <f t="shared" si="75"/>
        <v>248442.99999999997</v>
      </c>
      <c r="S99" s="19"/>
      <c r="T99" s="19"/>
      <c r="U99" s="21" t="str">
        <f t="shared" si="64"/>
        <v/>
      </c>
      <c r="V99" s="22" t="str">
        <f t="shared" si="65"/>
        <v/>
      </c>
      <c r="W99" s="23" t="s">
        <v>124</v>
      </c>
      <c r="X99" s="19">
        <v>8350</v>
      </c>
      <c r="Y99" s="33"/>
      <c r="Z99" s="15"/>
    </row>
    <row r="100" spans="1:26" x14ac:dyDescent="0.25">
      <c r="A100" s="21">
        <f>IF(C100="","",COUNTA($C$3:C100))</f>
        <v>98</v>
      </c>
      <c r="B100" s="35" t="str">
        <f t="shared" si="66"/>
        <v>June</v>
      </c>
      <c r="C100" s="31">
        <v>46178</v>
      </c>
      <c r="D100" s="17" t="s">
        <v>365</v>
      </c>
      <c r="E100" s="32">
        <v>46171</v>
      </c>
      <c r="F100" s="17" t="s">
        <v>120</v>
      </c>
      <c r="G100" s="18" t="s">
        <v>121</v>
      </c>
      <c r="H100" s="18" t="s">
        <v>122</v>
      </c>
      <c r="I100" s="17" t="s">
        <v>366</v>
      </c>
      <c r="J100" s="18">
        <v>61991</v>
      </c>
      <c r="K100" s="18">
        <v>45419</v>
      </c>
      <c r="L100" s="19">
        <v>331727.59999999998</v>
      </c>
      <c r="M100" s="20">
        <f t="shared" si="77"/>
        <v>29855.483999999997</v>
      </c>
      <c r="N100" s="20">
        <f t="shared" si="78"/>
        <v>29855.483999999997</v>
      </c>
      <c r="O100" s="20"/>
      <c r="P100" s="80">
        <f t="shared" si="79"/>
        <v>391438.56799999997</v>
      </c>
      <c r="Q100" s="82">
        <v>0.43</v>
      </c>
      <c r="R100" s="87">
        <f t="shared" si="75"/>
        <v>391438.99799999996</v>
      </c>
      <c r="S100" s="19"/>
      <c r="T100" s="19"/>
      <c r="U100" s="21" t="str">
        <f t="shared" si="64"/>
        <v/>
      </c>
      <c r="V100" s="22" t="str">
        <f t="shared" si="65"/>
        <v/>
      </c>
      <c r="W100" s="23" t="s">
        <v>124</v>
      </c>
      <c r="X100" s="19">
        <v>8351</v>
      </c>
      <c r="Y100" s="33"/>
      <c r="Z100" s="15"/>
    </row>
    <row r="101" spans="1:26" x14ac:dyDescent="0.25">
      <c r="A101" s="21">
        <f>IF(C101="","",COUNTA($C$3:C101))</f>
        <v>99</v>
      </c>
      <c r="B101" s="35" t="str">
        <f t="shared" si="66"/>
        <v>June</v>
      </c>
      <c r="C101" s="31">
        <v>46179</v>
      </c>
      <c r="D101" s="17" t="s">
        <v>334</v>
      </c>
      <c r="E101" s="32">
        <v>46174</v>
      </c>
      <c r="F101" s="17" t="s">
        <v>120</v>
      </c>
      <c r="G101" s="18" t="s">
        <v>121</v>
      </c>
      <c r="H101" s="18" t="s">
        <v>122</v>
      </c>
      <c r="I101" s="17" t="s">
        <v>341</v>
      </c>
      <c r="J101" s="18">
        <v>61977</v>
      </c>
      <c r="K101" s="18">
        <v>45420</v>
      </c>
      <c r="L101" s="19">
        <v>181267</v>
      </c>
      <c r="M101" s="20">
        <f t="shared" si="77"/>
        <v>16944.03</v>
      </c>
      <c r="N101" s="20">
        <f t="shared" si="78"/>
        <v>16944.03</v>
      </c>
      <c r="O101" s="20"/>
      <c r="P101" s="80">
        <f t="shared" si="79"/>
        <v>222155.06</v>
      </c>
      <c r="Q101" s="82">
        <v>-0.06</v>
      </c>
      <c r="R101" s="87">
        <f t="shared" si="75"/>
        <v>222155</v>
      </c>
      <c r="S101" s="19">
        <v>7000</v>
      </c>
      <c r="T101" s="19">
        <v>6150</v>
      </c>
      <c r="U101" s="21">
        <f t="shared" si="64"/>
        <v>850</v>
      </c>
      <c r="V101" s="22">
        <f t="shared" si="65"/>
        <v>0.13821138211382114</v>
      </c>
      <c r="W101" s="23" t="s">
        <v>124</v>
      </c>
      <c r="X101" s="19">
        <v>8352</v>
      </c>
      <c r="Y101" s="33">
        <v>46182</v>
      </c>
      <c r="Z101" s="15"/>
    </row>
    <row r="102" spans="1:26" x14ac:dyDescent="0.25">
      <c r="A102" s="21">
        <f>IF(C102="","",COUNTA($C$3:C102))</f>
        <v>100</v>
      </c>
      <c r="B102" s="35" t="str">
        <f t="shared" si="66"/>
        <v>June</v>
      </c>
      <c r="C102" s="31">
        <v>46179</v>
      </c>
      <c r="D102" s="17" t="s">
        <v>367</v>
      </c>
      <c r="E102" s="32">
        <v>46178</v>
      </c>
      <c r="F102" s="17" t="s">
        <v>120</v>
      </c>
      <c r="G102" s="18" t="s">
        <v>121</v>
      </c>
      <c r="H102" s="18" t="s">
        <v>122</v>
      </c>
      <c r="I102" s="17" t="s">
        <v>341</v>
      </c>
      <c r="J102" s="18">
        <v>61992</v>
      </c>
      <c r="K102" s="18">
        <v>45421</v>
      </c>
      <c r="L102" s="19">
        <v>184027.4</v>
      </c>
      <c r="M102" s="20">
        <f t="shared" si="77"/>
        <v>16562.466</v>
      </c>
      <c r="N102" s="20">
        <f t="shared" si="78"/>
        <v>16562.466</v>
      </c>
      <c r="O102" s="20"/>
      <c r="P102" s="80">
        <f t="shared" si="79"/>
        <v>217152.33199999999</v>
      </c>
      <c r="Q102" s="82">
        <v>-0.33</v>
      </c>
      <c r="R102" s="87">
        <f t="shared" si="75"/>
        <v>217152.00200000001</v>
      </c>
      <c r="S102" s="19"/>
      <c r="T102" s="19"/>
      <c r="U102" s="21" t="str">
        <f t="shared" si="64"/>
        <v/>
      </c>
      <c r="V102" s="22" t="str">
        <f t="shared" si="65"/>
        <v/>
      </c>
      <c r="W102" s="23" t="s">
        <v>124</v>
      </c>
      <c r="X102" s="19">
        <v>8352</v>
      </c>
      <c r="Y102" s="33">
        <v>46182</v>
      </c>
      <c r="Z102" s="15"/>
    </row>
    <row r="103" spans="1:26" x14ac:dyDescent="0.25">
      <c r="A103" s="21">
        <f>IF(C103="","",COUNTA($C$3:C103))</f>
        <v>101</v>
      </c>
      <c r="B103" s="35" t="str">
        <f t="shared" si="66"/>
        <v>June</v>
      </c>
      <c r="C103" s="31">
        <v>46181</v>
      </c>
      <c r="D103" s="17" t="s">
        <v>367</v>
      </c>
      <c r="E103" s="32">
        <v>46178</v>
      </c>
      <c r="F103" s="17" t="s">
        <v>120</v>
      </c>
      <c r="G103" s="18" t="s">
        <v>121</v>
      </c>
      <c r="H103" s="18" t="s">
        <v>122</v>
      </c>
      <c r="I103" s="17" t="s">
        <v>341</v>
      </c>
      <c r="J103" s="18">
        <v>61992</v>
      </c>
      <c r="K103" s="18">
        <v>45422</v>
      </c>
      <c r="L103" s="19">
        <v>169528</v>
      </c>
      <c r="M103" s="20">
        <f t="shared" si="77"/>
        <v>15887.519999999999</v>
      </c>
      <c r="N103" s="20">
        <f t="shared" si="78"/>
        <v>15887.519999999999</v>
      </c>
      <c r="O103" s="20"/>
      <c r="P103" s="80">
        <f t="shared" si="79"/>
        <v>208303.03999999998</v>
      </c>
      <c r="Q103" s="82">
        <v>-0.04</v>
      </c>
      <c r="R103" s="87">
        <f t="shared" si="75"/>
        <v>208302.99999999997</v>
      </c>
      <c r="S103" s="19">
        <v>7000</v>
      </c>
      <c r="T103" s="19">
        <v>6150</v>
      </c>
      <c r="U103" s="21">
        <f t="shared" si="64"/>
        <v>850</v>
      </c>
      <c r="V103" s="22">
        <f t="shared" si="65"/>
        <v>0.13821138211382114</v>
      </c>
      <c r="W103" s="23" t="s">
        <v>124</v>
      </c>
      <c r="X103" s="19">
        <v>8353</v>
      </c>
      <c r="Y103" s="33">
        <v>46182</v>
      </c>
      <c r="Z103" s="15"/>
    </row>
    <row r="104" spans="1:26" x14ac:dyDescent="0.25">
      <c r="A104" s="21">
        <f>IF(C104="","",COUNTA($C$3:C104))</f>
        <v>102</v>
      </c>
      <c r="B104" s="35" t="str">
        <f t="shared" si="66"/>
        <v>June</v>
      </c>
      <c r="C104" s="31">
        <v>46181</v>
      </c>
      <c r="D104" s="17" t="s">
        <v>347</v>
      </c>
      <c r="E104" s="32">
        <v>46171</v>
      </c>
      <c r="F104" s="17" t="s">
        <v>120</v>
      </c>
      <c r="G104" s="18" t="s">
        <v>121</v>
      </c>
      <c r="H104" s="18" t="s">
        <v>122</v>
      </c>
      <c r="I104" s="17" t="s">
        <v>123</v>
      </c>
      <c r="J104" s="18">
        <v>61988</v>
      </c>
      <c r="K104" s="18">
        <v>45423</v>
      </c>
      <c r="L104" s="19">
        <v>272630</v>
      </c>
      <c r="M104" s="20">
        <f t="shared" si="77"/>
        <v>25121.7</v>
      </c>
      <c r="N104" s="20">
        <f t="shared" si="78"/>
        <v>25121.7</v>
      </c>
      <c r="O104" s="20"/>
      <c r="P104" s="80">
        <f t="shared" si="79"/>
        <v>329373.40000000002</v>
      </c>
      <c r="Q104" s="82">
        <v>-0.4</v>
      </c>
      <c r="R104" s="87">
        <f t="shared" si="75"/>
        <v>329373</v>
      </c>
      <c r="S104" s="19">
        <v>6500</v>
      </c>
      <c r="T104" s="19">
        <v>5650</v>
      </c>
      <c r="U104" s="21">
        <f t="shared" si="64"/>
        <v>850</v>
      </c>
      <c r="V104" s="22">
        <f t="shared" si="65"/>
        <v>0.15044247787610621</v>
      </c>
      <c r="W104" s="23" t="s">
        <v>124</v>
      </c>
      <c r="X104" s="19">
        <v>8354</v>
      </c>
      <c r="Y104" s="33">
        <v>46183</v>
      </c>
      <c r="Z104" s="15"/>
    </row>
    <row r="105" spans="1:26" x14ac:dyDescent="0.25">
      <c r="A105" s="21">
        <f>IF(C105="","",COUNTA($C$3:C105))</f>
        <v>103</v>
      </c>
      <c r="B105" s="35" t="str">
        <f t="shared" si="66"/>
        <v>June</v>
      </c>
      <c r="C105" s="31">
        <v>46181</v>
      </c>
      <c r="D105" s="17" t="s">
        <v>217</v>
      </c>
      <c r="E105" s="32">
        <v>46008</v>
      </c>
      <c r="F105" s="17" t="s">
        <v>207</v>
      </c>
      <c r="G105" s="18" t="s">
        <v>208</v>
      </c>
      <c r="H105" s="18" t="s">
        <v>127</v>
      </c>
      <c r="I105" s="17" t="s">
        <v>378</v>
      </c>
      <c r="J105" s="18">
        <v>61849</v>
      </c>
      <c r="K105" s="18">
        <v>45424</v>
      </c>
      <c r="L105" s="19">
        <v>41597.5</v>
      </c>
      <c r="M105" s="20"/>
      <c r="N105" s="20"/>
      <c r="O105" s="19">
        <f t="shared" ref="O105" si="80">IF(L105="","",(L105+S105)*18%)</f>
        <v>7487.5499999999993</v>
      </c>
      <c r="P105" s="80">
        <f t="shared" si="79"/>
        <v>49085.05</v>
      </c>
      <c r="Q105" s="82">
        <v>0.95</v>
      </c>
      <c r="R105" s="87">
        <f t="shared" ref="R105:R172" si="81">P105+Q105</f>
        <v>49086</v>
      </c>
      <c r="S105" s="19"/>
      <c r="T105" s="19"/>
      <c r="U105" s="21" t="str">
        <f t="shared" si="64"/>
        <v/>
      </c>
      <c r="V105" s="22" t="str">
        <f t="shared" si="65"/>
        <v/>
      </c>
      <c r="W105" s="23" t="s">
        <v>203</v>
      </c>
      <c r="X105" s="74" t="s">
        <v>160</v>
      </c>
      <c r="Y105" s="33"/>
      <c r="Z105" s="15"/>
    </row>
    <row r="106" spans="1:26" x14ac:dyDescent="0.25">
      <c r="A106" s="21">
        <f>IF(C106="","",COUNTA($C$3:C106))</f>
        <v>104</v>
      </c>
      <c r="B106" s="35" t="str">
        <f t="shared" si="66"/>
        <v>June</v>
      </c>
      <c r="C106" s="31">
        <v>46182</v>
      </c>
      <c r="D106" s="17" t="s">
        <v>347</v>
      </c>
      <c r="E106" s="32">
        <v>46171</v>
      </c>
      <c r="F106" s="17" t="s">
        <v>120</v>
      </c>
      <c r="G106" s="18" t="s">
        <v>121</v>
      </c>
      <c r="H106" s="18" t="s">
        <v>122</v>
      </c>
      <c r="I106" s="17" t="s">
        <v>123</v>
      </c>
      <c r="J106" s="18">
        <v>61988</v>
      </c>
      <c r="K106" s="18">
        <v>45425</v>
      </c>
      <c r="L106" s="19">
        <v>519150</v>
      </c>
      <c r="M106" s="20">
        <f t="shared" ref="M106:M111" si="82">IF(L106="","",(L106+S106)*9%)</f>
        <v>46723.5</v>
      </c>
      <c r="N106" s="20">
        <f t="shared" ref="N106:N111" si="83">IF(L106="","",(L106+S106)*9%)</f>
        <v>46723.5</v>
      </c>
      <c r="O106" s="20"/>
      <c r="P106" s="80">
        <f t="shared" ref="P106:P112" si="84">SUM(L106:O106)+S106</f>
        <v>612597</v>
      </c>
      <c r="Q106" s="82"/>
      <c r="R106" s="87">
        <f t="shared" si="81"/>
        <v>612597</v>
      </c>
      <c r="S106" s="19"/>
      <c r="T106" s="19"/>
      <c r="U106" s="21" t="str">
        <f t="shared" si="64"/>
        <v/>
      </c>
      <c r="V106" s="22" t="str">
        <f t="shared" si="65"/>
        <v/>
      </c>
      <c r="W106" s="23" t="s">
        <v>124</v>
      </c>
      <c r="X106" s="19">
        <v>8355</v>
      </c>
      <c r="Y106" s="33">
        <v>46183</v>
      </c>
      <c r="Z106" s="15"/>
    </row>
    <row r="107" spans="1:26" x14ac:dyDescent="0.25">
      <c r="A107" s="21">
        <f>IF(C107="","",COUNTA($C$3:C107))</f>
        <v>105</v>
      </c>
      <c r="B107" s="35" t="str">
        <f t="shared" si="66"/>
        <v>June</v>
      </c>
      <c r="C107" s="31">
        <v>46183</v>
      </c>
      <c r="D107" s="17" t="s">
        <v>381</v>
      </c>
      <c r="E107" s="32">
        <v>46179</v>
      </c>
      <c r="F107" s="17" t="s">
        <v>120</v>
      </c>
      <c r="G107" s="18" t="s">
        <v>121</v>
      </c>
      <c r="H107" s="18" t="s">
        <v>122</v>
      </c>
      <c r="I107" s="17" t="s">
        <v>382</v>
      </c>
      <c r="J107" s="18">
        <v>61993</v>
      </c>
      <c r="K107" s="18">
        <v>45426</v>
      </c>
      <c r="L107" s="19">
        <v>202055</v>
      </c>
      <c r="M107" s="20">
        <f t="shared" si="82"/>
        <v>18769.95</v>
      </c>
      <c r="N107" s="20">
        <f t="shared" si="83"/>
        <v>18769.95</v>
      </c>
      <c r="O107" s="20"/>
      <c r="P107" s="80">
        <f t="shared" si="84"/>
        <v>246094.90000000002</v>
      </c>
      <c r="Q107" s="82">
        <v>0.1</v>
      </c>
      <c r="R107" s="87">
        <f t="shared" si="81"/>
        <v>246095.00000000003</v>
      </c>
      <c r="S107" s="19">
        <v>6500</v>
      </c>
      <c r="T107" s="19">
        <v>5650</v>
      </c>
      <c r="U107" s="21">
        <f t="shared" si="64"/>
        <v>850</v>
      </c>
      <c r="V107" s="22">
        <f t="shared" si="65"/>
        <v>0.15044247787610621</v>
      </c>
      <c r="W107" s="23" t="s">
        <v>124</v>
      </c>
      <c r="X107" s="74">
        <v>8356</v>
      </c>
      <c r="Y107" s="33">
        <v>46184</v>
      </c>
      <c r="Z107" s="15"/>
    </row>
    <row r="108" spans="1:26" x14ac:dyDescent="0.25">
      <c r="A108" s="21">
        <f>IF(C108="","",COUNTA($C$3:C108))</f>
        <v>106</v>
      </c>
      <c r="B108" s="35" t="str">
        <f t="shared" si="66"/>
        <v>June</v>
      </c>
      <c r="C108" s="31">
        <v>46184</v>
      </c>
      <c r="D108" s="17" t="s">
        <v>383</v>
      </c>
      <c r="E108" s="32">
        <v>46069</v>
      </c>
      <c r="F108" s="17" t="s">
        <v>120</v>
      </c>
      <c r="G108" s="18" t="s">
        <v>121</v>
      </c>
      <c r="H108" s="18" t="s">
        <v>122</v>
      </c>
      <c r="I108" s="17" t="s">
        <v>384</v>
      </c>
      <c r="J108" s="18">
        <v>61928</v>
      </c>
      <c r="K108" s="18">
        <v>45427</v>
      </c>
      <c r="L108" s="19">
        <v>54818.7</v>
      </c>
      <c r="M108" s="20">
        <f t="shared" si="82"/>
        <v>5230.683</v>
      </c>
      <c r="N108" s="20">
        <f t="shared" si="83"/>
        <v>5230.683</v>
      </c>
      <c r="O108" s="20"/>
      <c r="P108" s="80">
        <f t="shared" si="84"/>
        <v>68580.065999999992</v>
      </c>
      <c r="Q108" s="82">
        <v>-7.0000000000000007E-2</v>
      </c>
      <c r="R108" s="87">
        <f t="shared" si="81"/>
        <v>68579.995999999985</v>
      </c>
      <c r="S108" s="19">
        <v>3300</v>
      </c>
      <c r="T108" s="19">
        <v>2800</v>
      </c>
      <c r="U108" s="21">
        <f t="shared" si="64"/>
        <v>500</v>
      </c>
      <c r="V108" s="22">
        <f t="shared" si="65"/>
        <v>0.17857142857142858</v>
      </c>
      <c r="W108" s="23" t="s">
        <v>124</v>
      </c>
      <c r="X108" s="74">
        <v>8357</v>
      </c>
      <c r="Y108" s="33">
        <v>46185</v>
      </c>
      <c r="Z108" s="15"/>
    </row>
    <row r="109" spans="1:26" x14ac:dyDescent="0.25">
      <c r="A109" s="21">
        <f>IF(C109="","",COUNTA($C$3:C109))</f>
        <v>107</v>
      </c>
      <c r="B109" s="35" t="str">
        <f t="shared" si="66"/>
        <v>June</v>
      </c>
      <c r="C109" s="31">
        <v>46184</v>
      </c>
      <c r="D109" s="17" t="s">
        <v>388</v>
      </c>
      <c r="E109" s="32">
        <v>46183</v>
      </c>
      <c r="F109" s="17" t="s">
        <v>385</v>
      </c>
      <c r="G109" s="18" t="s">
        <v>121</v>
      </c>
      <c r="H109" s="18" t="s">
        <v>127</v>
      </c>
      <c r="I109" s="17" t="s">
        <v>386</v>
      </c>
      <c r="J109" s="18">
        <v>61995</v>
      </c>
      <c r="K109" s="18">
        <v>45428</v>
      </c>
      <c r="L109" s="19">
        <v>16157.6</v>
      </c>
      <c r="M109" s="20">
        <f t="shared" si="82"/>
        <v>1616.1839999999997</v>
      </c>
      <c r="N109" s="20">
        <f t="shared" si="83"/>
        <v>1616.1839999999997</v>
      </c>
      <c r="O109" s="20"/>
      <c r="P109" s="80">
        <f t="shared" si="84"/>
        <v>21189.968000000001</v>
      </c>
      <c r="Q109" s="82">
        <v>0.03</v>
      </c>
      <c r="R109" s="87">
        <f t="shared" si="81"/>
        <v>21189.998</v>
      </c>
      <c r="S109" s="19">
        <v>1800</v>
      </c>
      <c r="T109" s="19">
        <v>1600</v>
      </c>
      <c r="U109" s="21">
        <f t="shared" si="64"/>
        <v>200</v>
      </c>
      <c r="V109" s="22">
        <f t="shared" si="65"/>
        <v>0.125</v>
      </c>
      <c r="W109" s="23" t="s">
        <v>159</v>
      </c>
      <c r="X109" s="74" t="s">
        <v>160</v>
      </c>
      <c r="Y109" s="33">
        <v>46188</v>
      </c>
      <c r="Z109" s="15"/>
    </row>
    <row r="110" spans="1:26" x14ac:dyDescent="0.25">
      <c r="A110" s="21">
        <f>IF(C110="","",COUNTA($C$3:C110))</f>
        <v>108</v>
      </c>
      <c r="B110" s="35" t="str">
        <f t="shared" si="66"/>
        <v>June</v>
      </c>
      <c r="C110" s="31">
        <v>46184</v>
      </c>
      <c r="D110" s="17" t="s">
        <v>387</v>
      </c>
      <c r="E110" s="32">
        <v>46175</v>
      </c>
      <c r="F110" s="17" t="s">
        <v>120</v>
      </c>
      <c r="G110" s="18" t="s">
        <v>121</v>
      </c>
      <c r="H110" s="18" t="s">
        <v>122</v>
      </c>
      <c r="I110" s="17" t="s">
        <v>249</v>
      </c>
      <c r="J110" s="18">
        <v>61994</v>
      </c>
      <c r="K110" s="18">
        <v>45429</v>
      </c>
      <c r="L110" s="19">
        <v>311148</v>
      </c>
      <c r="M110" s="20">
        <f t="shared" si="82"/>
        <v>28003.32</v>
      </c>
      <c r="N110" s="20">
        <f t="shared" si="83"/>
        <v>28003.32</v>
      </c>
      <c r="O110" s="20"/>
      <c r="P110" s="80">
        <f t="shared" si="84"/>
        <v>367154.64</v>
      </c>
      <c r="Q110" s="82">
        <v>0.36</v>
      </c>
      <c r="R110" s="87">
        <f t="shared" si="81"/>
        <v>367155</v>
      </c>
      <c r="S110" s="19"/>
      <c r="T110" s="19"/>
      <c r="U110" s="21" t="str">
        <f t="shared" si="64"/>
        <v/>
      </c>
      <c r="V110" s="22" t="str">
        <f t="shared" si="65"/>
        <v/>
      </c>
      <c r="W110" s="23" t="s">
        <v>124</v>
      </c>
      <c r="X110" s="74">
        <v>8358</v>
      </c>
      <c r="Y110" s="33">
        <v>46185</v>
      </c>
      <c r="Z110" s="15"/>
    </row>
    <row r="111" spans="1:26" x14ac:dyDescent="0.25">
      <c r="A111" s="21">
        <f>IF(C111="","",COUNTA($C$3:C111))</f>
        <v>109</v>
      </c>
      <c r="B111" s="35" t="str">
        <f t="shared" si="66"/>
        <v>June</v>
      </c>
      <c r="C111" s="31">
        <v>46185</v>
      </c>
      <c r="D111" s="17" t="s">
        <v>395</v>
      </c>
      <c r="E111" s="32">
        <v>46091</v>
      </c>
      <c r="F111" s="17" t="s">
        <v>120</v>
      </c>
      <c r="G111" s="18" t="s">
        <v>121</v>
      </c>
      <c r="H111" s="18" t="s">
        <v>122</v>
      </c>
      <c r="I111" s="17" t="s">
        <v>123</v>
      </c>
      <c r="J111" s="18">
        <v>61930</v>
      </c>
      <c r="K111" s="18">
        <v>45430</v>
      </c>
      <c r="L111" s="19">
        <v>70145</v>
      </c>
      <c r="M111" s="20">
        <f t="shared" si="82"/>
        <v>6695.55</v>
      </c>
      <c r="N111" s="20">
        <f t="shared" si="83"/>
        <v>6695.55</v>
      </c>
      <c r="O111" s="20"/>
      <c r="P111" s="80">
        <f t="shared" si="84"/>
        <v>87786.1</v>
      </c>
      <c r="Q111" s="82">
        <v>-0.1</v>
      </c>
      <c r="R111" s="87">
        <f t="shared" si="81"/>
        <v>87786</v>
      </c>
      <c r="S111" s="19">
        <v>4250</v>
      </c>
      <c r="T111" s="19">
        <v>3750</v>
      </c>
      <c r="U111" s="21">
        <f t="shared" si="64"/>
        <v>500</v>
      </c>
      <c r="V111" s="22">
        <f t="shared" si="65"/>
        <v>0.13333333333333333</v>
      </c>
      <c r="W111" s="23" t="s">
        <v>124</v>
      </c>
      <c r="X111" s="74">
        <v>8359</v>
      </c>
      <c r="Y111" s="33">
        <v>46188</v>
      </c>
      <c r="Z111" s="15"/>
    </row>
    <row r="112" spans="1:26" x14ac:dyDescent="0.25">
      <c r="A112" s="21">
        <f>IF(C112="","",COUNTA($C$3:C112))</f>
        <v>110</v>
      </c>
      <c r="B112" s="35" t="str">
        <f t="shared" si="66"/>
        <v>June</v>
      </c>
      <c r="C112" s="31">
        <v>46185</v>
      </c>
      <c r="D112" s="17" t="s">
        <v>396</v>
      </c>
      <c r="E112" s="32">
        <v>46178</v>
      </c>
      <c r="F112" s="17" t="s">
        <v>120</v>
      </c>
      <c r="G112" s="18" t="s">
        <v>397</v>
      </c>
      <c r="H112" s="18" t="s">
        <v>122</v>
      </c>
      <c r="I112" s="17" t="s">
        <v>398</v>
      </c>
      <c r="J112" s="18">
        <v>61996</v>
      </c>
      <c r="K112" s="18">
        <v>45431</v>
      </c>
      <c r="L112" s="19">
        <v>22360</v>
      </c>
      <c r="M112" s="20"/>
      <c r="N112" s="20"/>
      <c r="O112" s="19">
        <f t="shared" ref="O112" si="85">IF(L112="","",(L112+S112)*18%)</f>
        <v>4024.7999999999997</v>
      </c>
      <c r="P112" s="80">
        <f t="shared" si="84"/>
        <v>26384.799999999999</v>
      </c>
      <c r="Q112" s="82">
        <v>0.2</v>
      </c>
      <c r="R112" s="87">
        <f t="shared" si="81"/>
        <v>26385</v>
      </c>
      <c r="S112" s="19"/>
      <c r="T112" s="19"/>
      <c r="U112" s="21" t="str">
        <f t="shared" si="64"/>
        <v/>
      </c>
      <c r="V112" s="22" t="str">
        <f t="shared" si="65"/>
        <v/>
      </c>
      <c r="W112" s="23" t="s">
        <v>124</v>
      </c>
      <c r="X112" s="74">
        <v>8360</v>
      </c>
      <c r="Y112" s="33">
        <v>46188</v>
      </c>
      <c r="Z112" s="15"/>
    </row>
    <row r="113" spans="1:26" x14ac:dyDescent="0.25">
      <c r="A113" s="21">
        <f>IF(C113="","",COUNTA($C$3:C113))</f>
        <v>111</v>
      </c>
      <c r="B113" s="35" t="str">
        <f t="shared" si="66"/>
        <v>June</v>
      </c>
      <c r="C113" s="31">
        <v>46186</v>
      </c>
      <c r="D113" s="17" t="s">
        <v>210</v>
      </c>
      <c r="E113" s="32">
        <v>46129</v>
      </c>
      <c r="F113" s="17" t="s">
        <v>120</v>
      </c>
      <c r="G113" s="18" t="s">
        <v>121</v>
      </c>
      <c r="H113" s="18" t="s">
        <v>122</v>
      </c>
      <c r="I113" s="17" t="s">
        <v>211</v>
      </c>
      <c r="J113" s="18">
        <v>61955</v>
      </c>
      <c r="K113" s="18">
        <v>45432</v>
      </c>
      <c r="L113" s="19">
        <v>317112.8</v>
      </c>
      <c r="M113" s="20">
        <f t="shared" ref="M113:M114" si="86">IF(L113="","",(L113+S113)*9%)</f>
        <v>29170.151999999998</v>
      </c>
      <c r="N113" s="20">
        <f t="shared" ref="N113:N114" si="87">IF(L113="","",(L113+S113)*9%)</f>
        <v>29170.151999999998</v>
      </c>
      <c r="O113" s="20"/>
      <c r="P113" s="80">
        <f t="shared" ref="P113:P115" si="88">SUM(L113:O113)+S113</f>
        <v>382453.10399999999</v>
      </c>
      <c r="Q113" s="82">
        <v>-0.1</v>
      </c>
      <c r="R113" s="87">
        <f t="shared" si="81"/>
        <v>382453.00400000002</v>
      </c>
      <c r="S113" s="19">
        <v>7000</v>
      </c>
      <c r="T113" s="19">
        <v>6150</v>
      </c>
      <c r="U113" s="21">
        <f t="shared" si="64"/>
        <v>850</v>
      </c>
      <c r="V113" s="22">
        <f t="shared" si="65"/>
        <v>0.13821138211382114</v>
      </c>
      <c r="W113" s="23" t="s">
        <v>124</v>
      </c>
      <c r="X113" s="74">
        <v>8361</v>
      </c>
      <c r="Y113" s="33">
        <v>46189</v>
      </c>
      <c r="Z113" s="15"/>
    </row>
    <row r="114" spans="1:26" x14ac:dyDescent="0.25">
      <c r="A114" s="21">
        <f>IF(C114="","",COUNTA($C$3:C114))</f>
        <v>112</v>
      </c>
      <c r="B114" s="35" t="str">
        <f t="shared" si="66"/>
        <v>June</v>
      </c>
      <c r="C114" s="31">
        <v>46186</v>
      </c>
      <c r="D114" s="17" t="s">
        <v>210</v>
      </c>
      <c r="E114" s="32">
        <v>46129</v>
      </c>
      <c r="F114" s="17" t="s">
        <v>120</v>
      </c>
      <c r="G114" s="18" t="s">
        <v>121</v>
      </c>
      <c r="H114" s="18" t="s">
        <v>122</v>
      </c>
      <c r="I114" s="17" t="s">
        <v>211</v>
      </c>
      <c r="J114" s="18">
        <v>61955</v>
      </c>
      <c r="K114" s="18">
        <v>45433</v>
      </c>
      <c r="L114" s="19">
        <v>53941.4</v>
      </c>
      <c r="M114" s="20">
        <f t="shared" si="86"/>
        <v>5439.7259999999997</v>
      </c>
      <c r="N114" s="20">
        <f t="shared" si="87"/>
        <v>5439.7259999999997</v>
      </c>
      <c r="O114" s="20"/>
      <c r="P114" s="80">
        <f t="shared" si="88"/>
        <v>71320.852000000014</v>
      </c>
      <c r="Q114" s="82">
        <v>0.15</v>
      </c>
      <c r="R114" s="87">
        <f t="shared" si="81"/>
        <v>71321.002000000008</v>
      </c>
      <c r="S114" s="19">
        <v>6500</v>
      </c>
      <c r="T114" s="19">
        <v>5650</v>
      </c>
      <c r="U114" s="21">
        <f t="shared" si="64"/>
        <v>850</v>
      </c>
      <c r="V114" s="22">
        <f t="shared" si="65"/>
        <v>0.15044247787610621</v>
      </c>
      <c r="W114" s="23" t="s">
        <v>124</v>
      </c>
      <c r="X114" s="74">
        <v>8362</v>
      </c>
      <c r="Y114" s="33">
        <v>46189</v>
      </c>
      <c r="Z114" s="15"/>
    </row>
    <row r="115" spans="1:26" x14ac:dyDescent="0.25">
      <c r="A115" s="21">
        <f>IF(C115="","",COUNTA($C$3:C115))</f>
        <v>113</v>
      </c>
      <c r="B115" s="35" t="str">
        <f t="shared" si="66"/>
        <v>June</v>
      </c>
      <c r="C115" s="31">
        <v>46186</v>
      </c>
      <c r="D115" s="17" t="s">
        <v>399</v>
      </c>
      <c r="E115" s="32">
        <v>46185</v>
      </c>
      <c r="F115" s="17" t="s">
        <v>120</v>
      </c>
      <c r="G115" s="18" t="s">
        <v>172</v>
      </c>
      <c r="H115" s="18" t="s">
        <v>122</v>
      </c>
      <c r="I115" s="17" t="s">
        <v>173</v>
      </c>
      <c r="J115" s="18">
        <v>61997</v>
      </c>
      <c r="K115" s="18">
        <v>45434</v>
      </c>
      <c r="L115" s="19">
        <v>184810.8</v>
      </c>
      <c r="M115" s="20"/>
      <c r="N115" s="20"/>
      <c r="O115" s="19">
        <f t="shared" ref="O115" si="89">IF(L115="","",(L115+S115)*18%)</f>
        <v>33265.943999999996</v>
      </c>
      <c r="P115" s="80">
        <f t="shared" si="88"/>
        <v>218076.74399999998</v>
      </c>
      <c r="Q115" s="82">
        <v>0.26</v>
      </c>
      <c r="R115" s="87">
        <f t="shared" si="81"/>
        <v>218077.00399999999</v>
      </c>
      <c r="S115" s="19"/>
      <c r="T115" s="19"/>
      <c r="U115" s="21" t="str">
        <f t="shared" si="64"/>
        <v/>
      </c>
      <c r="V115" s="22" t="str">
        <f t="shared" si="65"/>
        <v/>
      </c>
      <c r="W115" s="23" t="s">
        <v>164</v>
      </c>
      <c r="X115" s="74">
        <v>11191</v>
      </c>
      <c r="Y115" s="33">
        <v>46188</v>
      </c>
      <c r="Z115" s="15"/>
    </row>
    <row r="116" spans="1:26" x14ac:dyDescent="0.25">
      <c r="A116" s="21">
        <f>IF(C116="","",COUNTA($C$3:C116))</f>
        <v>114</v>
      </c>
      <c r="B116" s="35" t="str">
        <f t="shared" si="66"/>
        <v>June</v>
      </c>
      <c r="C116" s="31">
        <v>46186</v>
      </c>
      <c r="D116" s="17" t="s">
        <v>260</v>
      </c>
      <c r="E116" s="32">
        <v>46155</v>
      </c>
      <c r="F116" s="17" t="s">
        <v>120</v>
      </c>
      <c r="G116" s="18" t="s">
        <v>121</v>
      </c>
      <c r="H116" s="18" t="s">
        <v>122</v>
      </c>
      <c r="I116" s="17" t="s">
        <v>134</v>
      </c>
      <c r="J116" s="18">
        <v>61965</v>
      </c>
      <c r="K116" s="18">
        <v>45435</v>
      </c>
      <c r="L116" s="19">
        <v>373845.2</v>
      </c>
      <c r="M116" s="20">
        <f t="shared" ref="M116:M117" si="90">IF(L116="","",(L116+S116)*9%)</f>
        <v>33646.067999999999</v>
      </c>
      <c r="N116" s="20">
        <f t="shared" ref="N116:N117" si="91">IF(L116="","",(L116+S116)*9%)</f>
        <v>33646.067999999999</v>
      </c>
      <c r="O116" s="20"/>
      <c r="P116" s="80">
        <f t="shared" ref="P116:P119" si="92">SUM(L116:O116)+S116</f>
        <v>441137.33600000001</v>
      </c>
      <c r="Q116" s="82">
        <v>-0.34</v>
      </c>
      <c r="R116" s="87">
        <f t="shared" si="81"/>
        <v>441136.99599999998</v>
      </c>
      <c r="S116" s="19"/>
      <c r="T116" s="19"/>
      <c r="U116" s="21" t="str">
        <f t="shared" si="64"/>
        <v/>
      </c>
      <c r="V116" s="22" t="str">
        <f t="shared" si="65"/>
        <v/>
      </c>
      <c r="W116" s="23" t="s">
        <v>124</v>
      </c>
      <c r="X116" s="74">
        <v>8363</v>
      </c>
      <c r="Y116" s="33">
        <v>46188</v>
      </c>
      <c r="Z116" s="15"/>
    </row>
    <row r="117" spans="1:26" x14ac:dyDescent="0.25">
      <c r="A117" s="21">
        <f>IF(C117="","",COUNTA($C$3:C117))</f>
        <v>115</v>
      </c>
      <c r="B117" s="35" t="str">
        <f t="shared" si="66"/>
        <v>June</v>
      </c>
      <c r="C117" s="31">
        <v>46187</v>
      </c>
      <c r="D117" s="17" t="s">
        <v>260</v>
      </c>
      <c r="E117" s="32">
        <v>46155</v>
      </c>
      <c r="F117" s="17" t="s">
        <v>120</v>
      </c>
      <c r="G117" s="18" t="s">
        <v>121</v>
      </c>
      <c r="H117" s="18" t="s">
        <v>122</v>
      </c>
      <c r="I117" s="17" t="s">
        <v>134</v>
      </c>
      <c r="J117" s="18">
        <v>61965</v>
      </c>
      <c r="K117" s="18">
        <v>45436</v>
      </c>
      <c r="L117" s="19">
        <v>340935.5</v>
      </c>
      <c r="M117" s="20">
        <f t="shared" si="90"/>
        <v>30684.195</v>
      </c>
      <c r="N117" s="20">
        <f t="shared" si="91"/>
        <v>30684.195</v>
      </c>
      <c r="O117" s="20"/>
      <c r="P117" s="80">
        <f t="shared" si="92"/>
        <v>402303.89</v>
      </c>
      <c r="Q117" s="82">
        <v>0.11</v>
      </c>
      <c r="R117" s="87">
        <f t="shared" si="81"/>
        <v>402304</v>
      </c>
      <c r="S117" s="19"/>
      <c r="T117" s="19"/>
      <c r="U117" s="21" t="str">
        <f t="shared" si="64"/>
        <v/>
      </c>
      <c r="V117" s="22" t="str">
        <f t="shared" si="65"/>
        <v/>
      </c>
      <c r="W117" s="23" t="s">
        <v>124</v>
      </c>
      <c r="X117" s="74">
        <v>8364</v>
      </c>
      <c r="Y117" s="33">
        <v>46188</v>
      </c>
      <c r="Z117" s="15"/>
    </row>
    <row r="118" spans="1:26" x14ac:dyDescent="0.25">
      <c r="A118" s="21">
        <f>IF(C118="","",COUNTA($C$3:C118))</f>
        <v>116</v>
      </c>
      <c r="B118" s="35" t="str">
        <f t="shared" si="66"/>
        <v>June</v>
      </c>
      <c r="C118" s="31">
        <v>46189</v>
      </c>
      <c r="D118" s="17" t="s">
        <v>399</v>
      </c>
      <c r="E118" s="32">
        <v>46185</v>
      </c>
      <c r="F118" s="17" t="s">
        <v>120</v>
      </c>
      <c r="G118" s="18" t="s">
        <v>172</v>
      </c>
      <c r="H118" s="18" t="s">
        <v>122</v>
      </c>
      <c r="I118" s="17" t="s">
        <v>173</v>
      </c>
      <c r="J118" s="18">
        <v>61997</v>
      </c>
      <c r="K118" s="18">
        <v>45437</v>
      </c>
      <c r="L118" s="19">
        <v>904741.6</v>
      </c>
      <c r="M118" s="20"/>
      <c r="N118" s="20"/>
      <c r="O118" s="19">
        <f t="shared" ref="O118:O119" si="93">IF(L118="","",(L118+S118)*18%)</f>
        <v>162853.48799999998</v>
      </c>
      <c r="P118" s="80">
        <f t="shared" si="92"/>
        <v>1067595.088</v>
      </c>
      <c r="Q118" s="82">
        <v>-0.09</v>
      </c>
      <c r="R118" s="87">
        <f t="shared" si="81"/>
        <v>1067594.9979999999</v>
      </c>
      <c r="S118" s="19"/>
      <c r="T118" s="19"/>
      <c r="U118" s="21" t="str">
        <f t="shared" si="64"/>
        <v/>
      </c>
      <c r="V118" s="22" t="str">
        <f t="shared" si="65"/>
        <v/>
      </c>
      <c r="W118" s="23" t="s">
        <v>234</v>
      </c>
      <c r="X118" s="74" t="s">
        <v>160</v>
      </c>
      <c r="Y118" s="33">
        <v>46191</v>
      </c>
      <c r="Z118" s="15"/>
    </row>
    <row r="119" spans="1:26" x14ac:dyDescent="0.25">
      <c r="A119" s="21">
        <f>IF(C119="","",COUNTA($C$3:C119))</f>
        <v>117</v>
      </c>
      <c r="B119" s="35" t="str">
        <f t="shared" si="66"/>
        <v>June</v>
      </c>
      <c r="C119" s="31">
        <v>46190</v>
      </c>
      <c r="D119" s="17" t="s">
        <v>401</v>
      </c>
      <c r="E119" s="32">
        <v>46155</v>
      </c>
      <c r="F119" s="17" t="s">
        <v>120</v>
      </c>
      <c r="G119" s="18" t="s">
        <v>262</v>
      </c>
      <c r="H119" s="18" t="s">
        <v>122</v>
      </c>
      <c r="I119" s="17" t="s">
        <v>263</v>
      </c>
      <c r="J119" s="18">
        <v>61967</v>
      </c>
      <c r="K119" s="18">
        <v>45438</v>
      </c>
      <c r="L119" s="19">
        <v>389187.3</v>
      </c>
      <c r="M119" s="20"/>
      <c r="N119" s="20"/>
      <c r="O119" s="19">
        <f t="shared" si="93"/>
        <v>70053.713999999993</v>
      </c>
      <c r="P119" s="80">
        <f t="shared" si="92"/>
        <v>459241.01399999997</v>
      </c>
      <c r="Q119" s="82">
        <v>-0.01</v>
      </c>
      <c r="R119" s="87">
        <f t="shared" si="81"/>
        <v>459241.00399999996</v>
      </c>
      <c r="S119" s="19"/>
      <c r="T119" s="19"/>
      <c r="U119" s="21" t="str">
        <f t="shared" si="64"/>
        <v/>
      </c>
      <c r="V119" s="22" t="str">
        <f t="shared" si="65"/>
        <v/>
      </c>
      <c r="W119" s="23" t="s">
        <v>124</v>
      </c>
      <c r="X119" s="74">
        <v>8365</v>
      </c>
      <c r="Y119" s="33">
        <v>46191</v>
      </c>
      <c r="Z119" s="15"/>
    </row>
    <row r="120" spans="1:26" x14ac:dyDescent="0.25">
      <c r="A120" s="21">
        <f>IF(C120="","",COUNTA($C$3:C120))</f>
        <v>118</v>
      </c>
      <c r="B120" s="35" t="str">
        <f t="shared" si="66"/>
        <v>June</v>
      </c>
      <c r="C120" s="31">
        <v>46190</v>
      </c>
      <c r="D120" s="17" t="s">
        <v>347</v>
      </c>
      <c r="E120" s="32">
        <v>46171</v>
      </c>
      <c r="F120" s="17" t="s">
        <v>120</v>
      </c>
      <c r="G120" s="18" t="s">
        <v>121</v>
      </c>
      <c r="H120" s="18" t="s">
        <v>122</v>
      </c>
      <c r="I120" s="17" t="s">
        <v>123</v>
      </c>
      <c r="J120" s="18">
        <v>61988</v>
      </c>
      <c r="K120" s="18">
        <v>45439</v>
      </c>
      <c r="L120" s="19">
        <v>37125</v>
      </c>
      <c r="M120" s="20">
        <f t="shared" ref="M120:M121" si="94">IF(L120="","",(L120+S120)*9%)</f>
        <v>3638.25</v>
      </c>
      <c r="N120" s="20">
        <f t="shared" ref="N120:N121" si="95">IF(L120="","",(L120+S120)*9%)</f>
        <v>3638.25</v>
      </c>
      <c r="O120" s="20"/>
      <c r="P120" s="80">
        <f t="shared" ref="P120:P124" si="96">SUM(L120:O120)+S120</f>
        <v>47701.5</v>
      </c>
      <c r="Q120" s="82">
        <v>0.5</v>
      </c>
      <c r="R120" s="87">
        <f t="shared" si="81"/>
        <v>47702</v>
      </c>
      <c r="S120" s="19">
        <v>3300</v>
      </c>
      <c r="T120" s="19">
        <v>2800</v>
      </c>
      <c r="U120" s="21">
        <f t="shared" si="64"/>
        <v>500</v>
      </c>
      <c r="V120" s="22">
        <f t="shared" si="65"/>
        <v>0.17857142857142858</v>
      </c>
      <c r="W120" s="23" t="s">
        <v>124</v>
      </c>
      <c r="X120" s="19">
        <v>8366</v>
      </c>
      <c r="Y120" s="33">
        <v>46191</v>
      </c>
      <c r="Z120" s="15"/>
    </row>
    <row r="121" spans="1:26" x14ac:dyDescent="0.25">
      <c r="A121" s="21">
        <f>IF(C121="","",COUNTA($C$3:C121))</f>
        <v>119</v>
      </c>
      <c r="B121" s="35" t="str">
        <f t="shared" si="66"/>
        <v>June</v>
      </c>
      <c r="C121" s="31">
        <v>46191</v>
      </c>
      <c r="D121" s="17" t="s">
        <v>347</v>
      </c>
      <c r="E121" s="32">
        <v>46171</v>
      </c>
      <c r="F121" s="17" t="s">
        <v>120</v>
      </c>
      <c r="G121" s="18" t="s">
        <v>121</v>
      </c>
      <c r="H121" s="18" t="s">
        <v>122</v>
      </c>
      <c r="I121" s="17" t="s">
        <v>123</v>
      </c>
      <c r="J121" s="18">
        <v>61988</v>
      </c>
      <c r="K121" s="18">
        <v>45440</v>
      </c>
      <c r="L121" s="19">
        <v>309825</v>
      </c>
      <c r="M121" s="20">
        <f t="shared" si="94"/>
        <v>28469.25</v>
      </c>
      <c r="N121" s="20">
        <f t="shared" si="95"/>
        <v>28469.25</v>
      </c>
      <c r="O121" s="20"/>
      <c r="P121" s="80">
        <f t="shared" si="96"/>
        <v>373263.5</v>
      </c>
      <c r="Q121" s="82">
        <v>0.5</v>
      </c>
      <c r="R121" s="87">
        <f t="shared" si="81"/>
        <v>373264</v>
      </c>
      <c r="S121" s="19">
        <v>6500</v>
      </c>
      <c r="T121" s="19">
        <v>5650</v>
      </c>
      <c r="U121" s="21">
        <f t="shared" si="64"/>
        <v>850</v>
      </c>
      <c r="V121" s="22">
        <f t="shared" si="65"/>
        <v>0.15044247787610621</v>
      </c>
      <c r="W121" s="23" t="s">
        <v>124</v>
      </c>
      <c r="X121" s="74">
        <v>8367</v>
      </c>
      <c r="Y121" s="33">
        <v>46192</v>
      </c>
      <c r="Z121" s="15"/>
    </row>
    <row r="122" spans="1:26" x14ac:dyDescent="0.25">
      <c r="A122" s="21">
        <f>IF(C122="","",COUNTA($C$3:C122))</f>
        <v>120</v>
      </c>
      <c r="B122" s="35" t="str">
        <f t="shared" si="66"/>
        <v>June</v>
      </c>
      <c r="C122" s="31">
        <v>46192</v>
      </c>
      <c r="D122" s="17" t="s">
        <v>402</v>
      </c>
      <c r="E122" s="32">
        <v>46191</v>
      </c>
      <c r="F122" s="17" t="s">
        <v>120</v>
      </c>
      <c r="G122" s="18" t="s">
        <v>242</v>
      </c>
      <c r="H122" s="18" t="s">
        <v>122</v>
      </c>
      <c r="I122" s="17" t="s">
        <v>329</v>
      </c>
      <c r="J122" s="18">
        <v>61998</v>
      </c>
      <c r="K122" s="18">
        <v>45441</v>
      </c>
      <c r="L122" s="19">
        <v>278600</v>
      </c>
      <c r="M122" s="20"/>
      <c r="N122" s="20"/>
      <c r="O122" s="19">
        <f t="shared" ref="O122:O124" si="97">IF(L122="","",(L122+S122)*18%)</f>
        <v>50148</v>
      </c>
      <c r="P122" s="80">
        <f t="shared" si="96"/>
        <v>328748</v>
      </c>
      <c r="Q122" s="82"/>
      <c r="R122" s="87">
        <f t="shared" si="81"/>
        <v>328748</v>
      </c>
      <c r="S122" s="19"/>
      <c r="T122" s="19"/>
      <c r="U122" s="21" t="str">
        <f t="shared" si="64"/>
        <v/>
      </c>
      <c r="V122" s="22" t="str">
        <f t="shared" si="65"/>
        <v/>
      </c>
      <c r="W122" s="23" t="s">
        <v>164</v>
      </c>
      <c r="X122" s="19">
        <v>11192</v>
      </c>
      <c r="Y122" s="33">
        <v>46195</v>
      </c>
      <c r="Z122" s="15"/>
    </row>
    <row r="123" spans="1:26" x14ac:dyDescent="0.25">
      <c r="A123" s="21">
        <f>IF(C123="","",COUNTA($C$3:C123))</f>
        <v>121</v>
      </c>
      <c r="B123" s="35" t="str">
        <f t="shared" si="66"/>
        <v>June</v>
      </c>
      <c r="C123" s="31">
        <v>46192</v>
      </c>
      <c r="D123" s="17" t="s">
        <v>143</v>
      </c>
      <c r="E123" s="32">
        <v>45927</v>
      </c>
      <c r="F123" s="17" t="s">
        <v>144</v>
      </c>
      <c r="G123" s="18" t="s">
        <v>145</v>
      </c>
      <c r="H123" s="18" t="s">
        <v>143</v>
      </c>
      <c r="I123" s="17" t="s">
        <v>146</v>
      </c>
      <c r="J123" s="18">
        <v>61768</v>
      </c>
      <c r="K123" s="18">
        <v>45442</v>
      </c>
      <c r="L123" s="19">
        <v>250600</v>
      </c>
      <c r="M123" s="20"/>
      <c r="N123" s="20"/>
      <c r="O123" s="19">
        <f t="shared" si="97"/>
        <v>45108</v>
      </c>
      <c r="P123" s="80">
        <f t="shared" si="96"/>
        <v>295708</v>
      </c>
      <c r="Q123" s="82"/>
      <c r="R123" s="87">
        <f t="shared" si="81"/>
        <v>295708</v>
      </c>
      <c r="S123" s="19"/>
      <c r="T123" s="19"/>
      <c r="U123" s="21" t="str">
        <f t="shared" si="64"/>
        <v/>
      </c>
      <c r="V123" s="22" t="str">
        <f t="shared" si="65"/>
        <v/>
      </c>
      <c r="W123" s="23" t="s">
        <v>164</v>
      </c>
      <c r="X123" s="19">
        <v>11193</v>
      </c>
      <c r="Y123" s="33"/>
      <c r="Z123" s="15"/>
    </row>
    <row r="124" spans="1:26" x14ac:dyDescent="0.25">
      <c r="A124" s="21">
        <f>IF(C124="","",COUNTA($C$3:C124))</f>
        <v>122</v>
      </c>
      <c r="B124" s="35" t="str">
        <f t="shared" si="66"/>
        <v>June</v>
      </c>
      <c r="C124" s="31">
        <v>46192</v>
      </c>
      <c r="D124" s="17" t="s">
        <v>143</v>
      </c>
      <c r="E124" s="32">
        <v>45927</v>
      </c>
      <c r="F124" s="17" t="s">
        <v>144</v>
      </c>
      <c r="G124" s="18" t="s">
        <v>145</v>
      </c>
      <c r="H124" s="18" t="s">
        <v>143</v>
      </c>
      <c r="I124" s="17" t="s">
        <v>146</v>
      </c>
      <c r="J124" s="18">
        <v>61768</v>
      </c>
      <c r="K124" s="18">
        <v>45443</v>
      </c>
      <c r="L124" s="19">
        <v>43500</v>
      </c>
      <c r="M124" s="20"/>
      <c r="N124" s="20"/>
      <c r="O124" s="19">
        <f t="shared" si="97"/>
        <v>7830</v>
      </c>
      <c r="P124" s="80">
        <f t="shared" si="96"/>
        <v>51330</v>
      </c>
      <c r="Q124" s="82"/>
      <c r="R124" s="87">
        <f t="shared" si="81"/>
        <v>51330</v>
      </c>
      <c r="S124" s="19"/>
      <c r="T124" s="19"/>
      <c r="U124" s="21" t="str">
        <f t="shared" si="64"/>
        <v/>
      </c>
      <c r="V124" s="22" t="str">
        <f t="shared" si="65"/>
        <v/>
      </c>
      <c r="W124" s="23" t="s">
        <v>164</v>
      </c>
      <c r="X124" s="19">
        <v>11193</v>
      </c>
      <c r="Y124" s="33"/>
      <c r="Z124" s="15"/>
    </row>
    <row r="125" spans="1:26" x14ac:dyDescent="0.25">
      <c r="A125" s="21">
        <f>IF(C125="","",COUNTA($C$3:C125))</f>
        <v>123</v>
      </c>
      <c r="B125" s="35" t="str">
        <f t="shared" si="66"/>
        <v>June</v>
      </c>
      <c r="C125" s="31">
        <v>46193</v>
      </c>
      <c r="D125" s="17" t="s">
        <v>395</v>
      </c>
      <c r="E125" s="32">
        <v>46091</v>
      </c>
      <c r="F125" s="17" t="s">
        <v>120</v>
      </c>
      <c r="G125" s="18" t="s">
        <v>121</v>
      </c>
      <c r="H125" s="18" t="s">
        <v>122</v>
      </c>
      <c r="I125" s="17" t="s">
        <v>123</v>
      </c>
      <c r="J125" s="18">
        <v>61930</v>
      </c>
      <c r="K125" s="18">
        <v>45444</v>
      </c>
      <c r="L125" s="19">
        <v>18519</v>
      </c>
      <c r="M125" s="20">
        <f t="shared" ref="M125:M147" si="98">IF(L125="","",(L125+S125)*9%)</f>
        <v>1846.71</v>
      </c>
      <c r="N125" s="20">
        <f t="shared" ref="N125:N147" si="99">IF(L125="","",(L125+S125)*9%)</f>
        <v>1846.71</v>
      </c>
      <c r="O125" s="20"/>
      <c r="P125" s="80">
        <f t="shared" ref="P125:P150" si="100">SUM(L125:O125)+S125</f>
        <v>24212.42</v>
      </c>
      <c r="Q125" s="82">
        <v>-0.42</v>
      </c>
      <c r="R125" s="87">
        <f t="shared" si="81"/>
        <v>24212</v>
      </c>
      <c r="S125" s="19">
        <v>2000</v>
      </c>
      <c r="T125" s="19">
        <v>1090</v>
      </c>
      <c r="U125" s="21">
        <f t="shared" si="64"/>
        <v>910</v>
      </c>
      <c r="V125" s="22">
        <f t="shared" si="65"/>
        <v>0.83486238532110091</v>
      </c>
      <c r="W125" s="23" t="s">
        <v>159</v>
      </c>
      <c r="X125" s="74" t="s">
        <v>160</v>
      </c>
      <c r="Y125" s="33">
        <v>46195</v>
      </c>
      <c r="Z125" s="15"/>
    </row>
    <row r="126" spans="1:26" x14ac:dyDescent="0.25">
      <c r="A126" s="21">
        <f>IF(C126="","",COUNTA($C$3:C126))</f>
        <v>124</v>
      </c>
      <c r="B126" s="35" t="str">
        <f t="shared" si="66"/>
        <v>June</v>
      </c>
      <c r="C126" s="31">
        <v>46195</v>
      </c>
      <c r="D126" s="17" t="s">
        <v>269</v>
      </c>
      <c r="E126" s="32">
        <v>46155</v>
      </c>
      <c r="F126" s="17" t="s">
        <v>120</v>
      </c>
      <c r="G126" s="18" t="s">
        <v>121</v>
      </c>
      <c r="H126" s="18" t="s">
        <v>122</v>
      </c>
      <c r="I126" s="17" t="s">
        <v>270</v>
      </c>
      <c r="J126" s="18">
        <v>61968</v>
      </c>
      <c r="K126" s="18">
        <v>45445</v>
      </c>
      <c r="L126" s="19">
        <v>328941</v>
      </c>
      <c r="M126" s="20">
        <f t="shared" si="98"/>
        <v>30189.69</v>
      </c>
      <c r="N126" s="20">
        <f t="shared" si="99"/>
        <v>30189.69</v>
      </c>
      <c r="O126" s="20"/>
      <c r="P126" s="80">
        <f t="shared" si="100"/>
        <v>395820.38</v>
      </c>
      <c r="Q126" s="82">
        <v>-0.38</v>
      </c>
      <c r="R126" s="87">
        <f t="shared" si="81"/>
        <v>395820</v>
      </c>
      <c r="S126" s="19">
        <v>6500</v>
      </c>
      <c r="T126" s="19">
        <v>5650</v>
      </c>
      <c r="U126" s="21">
        <f t="shared" si="64"/>
        <v>850</v>
      </c>
      <c r="V126" s="22">
        <f t="shared" si="65"/>
        <v>0.15044247787610621</v>
      </c>
      <c r="W126" s="23" t="s">
        <v>124</v>
      </c>
      <c r="X126" s="74">
        <v>8368</v>
      </c>
      <c r="Y126" s="33">
        <v>46197</v>
      </c>
      <c r="Z126" s="15"/>
    </row>
    <row r="127" spans="1:26" x14ac:dyDescent="0.25">
      <c r="A127" s="21">
        <f>IF(C127="","",COUNTA($C$3:C127))</f>
        <v>125</v>
      </c>
      <c r="B127" s="35" t="str">
        <f t="shared" si="66"/>
        <v>June</v>
      </c>
      <c r="C127" s="31">
        <v>46195</v>
      </c>
      <c r="D127" s="17" t="s">
        <v>409</v>
      </c>
      <c r="E127" s="32">
        <v>46171</v>
      </c>
      <c r="F127" s="17" t="s">
        <v>120</v>
      </c>
      <c r="G127" s="18" t="s">
        <v>121</v>
      </c>
      <c r="H127" s="18" t="s">
        <v>122</v>
      </c>
      <c r="I127" s="17" t="s">
        <v>134</v>
      </c>
      <c r="J127" s="18">
        <v>61976</v>
      </c>
      <c r="K127" s="18">
        <v>45446</v>
      </c>
      <c r="L127" s="19">
        <v>644305</v>
      </c>
      <c r="M127" s="20">
        <f t="shared" si="98"/>
        <v>57987.45</v>
      </c>
      <c r="N127" s="20">
        <f t="shared" si="99"/>
        <v>57987.45</v>
      </c>
      <c r="O127" s="20"/>
      <c r="P127" s="80">
        <f t="shared" si="100"/>
        <v>760279.89999999991</v>
      </c>
      <c r="Q127" s="82">
        <v>0.1</v>
      </c>
      <c r="R127" s="87">
        <f t="shared" si="81"/>
        <v>760279.99999999988</v>
      </c>
      <c r="S127" s="19"/>
      <c r="T127" s="19"/>
      <c r="U127" s="21" t="str">
        <f t="shared" si="64"/>
        <v/>
      </c>
      <c r="V127" s="22" t="str">
        <f t="shared" si="65"/>
        <v/>
      </c>
      <c r="W127" s="23" t="s">
        <v>124</v>
      </c>
      <c r="X127" s="74">
        <v>8369</v>
      </c>
      <c r="Y127" s="33"/>
      <c r="Z127" s="15"/>
    </row>
    <row r="128" spans="1:26" x14ac:dyDescent="0.25">
      <c r="A128" s="21">
        <f>IF(C128="","",COUNTA($C$3:C128))</f>
        <v>126</v>
      </c>
      <c r="B128" s="35" t="str">
        <f t="shared" si="66"/>
        <v>June</v>
      </c>
      <c r="C128" s="31">
        <v>46196</v>
      </c>
      <c r="D128" s="17" t="s">
        <v>410</v>
      </c>
      <c r="E128" s="32">
        <v>46179</v>
      </c>
      <c r="F128" s="17" t="s">
        <v>120</v>
      </c>
      <c r="G128" s="18" t="s">
        <v>121</v>
      </c>
      <c r="H128" s="18" t="s">
        <v>122</v>
      </c>
      <c r="I128" s="17" t="s">
        <v>411</v>
      </c>
      <c r="J128" s="18">
        <v>61999</v>
      </c>
      <c r="K128" s="18">
        <v>45447</v>
      </c>
      <c r="L128" s="19">
        <v>107042.6</v>
      </c>
      <c r="M128" s="20">
        <f t="shared" si="98"/>
        <v>10173.834000000001</v>
      </c>
      <c r="N128" s="20">
        <f t="shared" si="99"/>
        <v>10173.834000000001</v>
      </c>
      <c r="O128" s="20"/>
      <c r="P128" s="80">
        <f t="shared" si="100"/>
        <v>133390.26800000001</v>
      </c>
      <c r="Q128" s="82">
        <v>-0.27</v>
      </c>
      <c r="R128" s="87">
        <f t="shared" si="81"/>
        <v>133389.99800000002</v>
      </c>
      <c r="S128" s="19">
        <v>6000</v>
      </c>
      <c r="T128" s="19">
        <v>5650</v>
      </c>
      <c r="U128" s="21">
        <f t="shared" si="64"/>
        <v>350</v>
      </c>
      <c r="V128" s="22">
        <f t="shared" si="65"/>
        <v>6.1946902654867256E-2</v>
      </c>
      <c r="W128" s="23" t="s">
        <v>124</v>
      </c>
      <c r="X128" s="19">
        <v>8370</v>
      </c>
      <c r="Y128" s="33">
        <v>46197</v>
      </c>
      <c r="Z128" s="15"/>
    </row>
    <row r="129" spans="1:26" x14ac:dyDescent="0.25">
      <c r="A129" s="21">
        <f>IF(C129="","",COUNTA($C$3:C129))</f>
        <v>127</v>
      </c>
      <c r="B129" s="35" t="str">
        <f t="shared" si="66"/>
        <v>June</v>
      </c>
      <c r="C129" s="31">
        <v>46196</v>
      </c>
      <c r="D129" s="17" t="s">
        <v>269</v>
      </c>
      <c r="E129" s="32">
        <v>46155</v>
      </c>
      <c r="F129" s="17" t="s">
        <v>120</v>
      </c>
      <c r="G129" s="18" t="s">
        <v>121</v>
      </c>
      <c r="H129" s="18" t="s">
        <v>122</v>
      </c>
      <c r="I129" s="17" t="s">
        <v>270</v>
      </c>
      <c r="J129" s="18">
        <v>61968</v>
      </c>
      <c r="K129" s="18">
        <v>45448</v>
      </c>
      <c r="L129" s="19">
        <v>253641</v>
      </c>
      <c r="M129" s="20">
        <f t="shared" si="98"/>
        <v>23412.69</v>
      </c>
      <c r="N129" s="20">
        <f t="shared" si="99"/>
        <v>23412.69</v>
      </c>
      <c r="O129" s="20"/>
      <c r="P129" s="80">
        <f t="shared" si="100"/>
        <v>306966.38</v>
      </c>
      <c r="Q129" s="82">
        <v>-0.38</v>
      </c>
      <c r="R129" s="87">
        <f t="shared" si="81"/>
        <v>306966</v>
      </c>
      <c r="S129" s="19">
        <v>6500</v>
      </c>
      <c r="T129" s="19">
        <v>5650</v>
      </c>
      <c r="U129" s="21">
        <f t="shared" si="64"/>
        <v>850</v>
      </c>
      <c r="V129" s="22">
        <f t="shared" si="65"/>
        <v>0.15044247787610621</v>
      </c>
      <c r="W129" s="23" t="s">
        <v>124</v>
      </c>
      <c r="X129" s="19">
        <v>8371</v>
      </c>
      <c r="Y129" s="33">
        <v>46198</v>
      </c>
      <c r="Z129" s="15"/>
    </row>
    <row r="130" spans="1:26" x14ac:dyDescent="0.25">
      <c r="A130" s="21">
        <f>IF(C130="","",COUNTA($C$3:C130))</f>
        <v>128</v>
      </c>
      <c r="B130" s="35" t="str">
        <f t="shared" si="66"/>
        <v>June</v>
      </c>
      <c r="C130" s="31">
        <v>46196</v>
      </c>
      <c r="D130" s="17" t="s">
        <v>412</v>
      </c>
      <c r="E130" s="32">
        <v>46195</v>
      </c>
      <c r="F130" s="17" t="s">
        <v>120</v>
      </c>
      <c r="G130" s="18" t="s">
        <v>121</v>
      </c>
      <c r="H130" s="18" t="s">
        <v>122</v>
      </c>
      <c r="I130" s="17" t="s">
        <v>415</v>
      </c>
      <c r="J130" s="18">
        <v>62000</v>
      </c>
      <c r="K130" s="18">
        <v>45449</v>
      </c>
      <c r="L130" s="19">
        <v>259745.2</v>
      </c>
      <c r="M130" s="20">
        <f t="shared" si="98"/>
        <v>23377.067999999999</v>
      </c>
      <c r="N130" s="20">
        <f t="shared" si="99"/>
        <v>23377.067999999999</v>
      </c>
      <c r="O130" s="20"/>
      <c r="P130" s="80">
        <f t="shared" si="100"/>
        <v>306499.33600000001</v>
      </c>
      <c r="Q130" s="82">
        <v>-0.34</v>
      </c>
      <c r="R130" s="87">
        <f t="shared" si="81"/>
        <v>306498.99599999998</v>
      </c>
      <c r="S130" s="19"/>
      <c r="T130" s="19"/>
      <c r="U130" s="21" t="str">
        <f t="shared" si="64"/>
        <v/>
      </c>
      <c r="V130" s="22" t="str">
        <f t="shared" si="65"/>
        <v/>
      </c>
      <c r="W130" s="23" t="s">
        <v>124</v>
      </c>
      <c r="X130" s="74">
        <v>8372</v>
      </c>
      <c r="Y130" s="33">
        <v>46197</v>
      </c>
      <c r="Z130" s="15"/>
    </row>
    <row r="131" spans="1:26" x14ac:dyDescent="0.25">
      <c r="A131" s="21">
        <f>IF(C131="","",COUNTA($C$3:C131))</f>
        <v>129</v>
      </c>
      <c r="B131" s="35" t="str">
        <f t="shared" si="66"/>
        <v>June</v>
      </c>
      <c r="C131" s="31">
        <v>46196</v>
      </c>
      <c r="D131" s="17" t="s">
        <v>412</v>
      </c>
      <c r="E131" s="32">
        <v>46195</v>
      </c>
      <c r="F131" s="17" t="s">
        <v>120</v>
      </c>
      <c r="G131" s="18" t="s">
        <v>121</v>
      </c>
      <c r="H131" s="18" t="s">
        <v>122</v>
      </c>
      <c r="I131" s="17" t="s">
        <v>415</v>
      </c>
      <c r="J131" s="18">
        <v>62000</v>
      </c>
      <c r="K131" s="18">
        <v>45450</v>
      </c>
      <c r="L131" s="19">
        <v>208990.8</v>
      </c>
      <c r="M131" s="20">
        <f t="shared" si="98"/>
        <v>18809.171999999999</v>
      </c>
      <c r="N131" s="20">
        <f t="shared" si="99"/>
        <v>18809.171999999999</v>
      </c>
      <c r="O131" s="20"/>
      <c r="P131" s="80">
        <f t="shared" si="100"/>
        <v>246609.14399999997</v>
      </c>
      <c r="Q131" s="82">
        <v>-0.14000000000000001</v>
      </c>
      <c r="R131" s="87">
        <f t="shared" si="81"/>
        <v>246609.00399999996</v>
      </c>
      <c r="S131" s="19"/>
      <c r="T131" s="19"/>
      <c r="U131" s="21" t="str">
        <f t="shared" ref="U131:U194" si="101">IF(S131="","",(S131-T131))</f>
        <v/>
      </c>
      <c r="V131" s="22" t="str">
        <f t="shared" ref="V131:V149" si="102">IF(U131="","",(U131/T131))</f>
        <v/>
      </c>
      <c r="W131" s="23" t="s">
        <v>124</v>
      </c>
      <c r="X131" s="74">
        <v>8373</v>
      </c>
      <c r="Y131" s="33">
        <v>46197</v>
      </c>
      <c r="Z131" s="15"/>
    </row>
    <row r="132" spans="1:26" x14ac:dyDescent="0.25">
      <c r="A132" s="21">
        <f>IF(C132="","",COUNTA($C$3:C132))</f>
        <v>130</v>
      </c>
      <c r="B132" s="35" t="str">
        <f t="shared" ref="B132:B196" si="103">IF(C132="","",TEXT(C132,"mmmm"))</f>
        <v>June</v>
      </c>
      <c r="C132" s="31">
        <v>46197</v>
      </c>
      <c r="D132" s="17" t="s">
        <v>269</v>
      </c>
      <c r="E132" s="32">
        <v>46155</v>
      </c>
      <c r="F132" s="17" t="s">
        <v>120</v>
      </c>
      <c r="G132" s="18" t="s">
        <v>121</v>
      </c>
      <c r="H132" s="18" t="s">
        <v>122</v>
      </c>
      <c r="I132" s="17" t="s">
        <v>270</v>
      </c>
      <c r="J132" s="18">
        <v>61968</v>
      </c>
      <c r="K132" s="18">
        <v>45451</v>
      </c>
      <c r="L132" s="19">
        <v>132862</v>
      </c>
      <c r="M132" s="20">
        <f t="shared" si="98"/>
        <v>12542.58</v>
      </c>
      <c r="N132" s="20">
        <f t="shared" si="99"/>
        <v>12542.58</v>
      </c>
      <c r="O132" s="20"/>
      <c r="P132" s="80">
        <f t="shared" si="100"/>
        <v>164447.15999999997</v>
      </c>
      <c r="Q132" s="82">
        <v>-0.16</v>
      </c>
      <c r="R132" s="87">
        <f t="shared" si="81"/>
        <v>164446.99999999997</v>
      </c>
      <c r="S132" s="19">
        <v>6500</v>
      </c>
      <c r="T132" s="19">
        <v>5650</v>
      </c>
      <c r="U132" s="21">
        <f t="shared" si="101"/>
        <v>850</v>
      </c>
      <c r="V132" s="22">
        <f t="shared" si="102"/>
        <v>0.15044247787610621</v>
      </c>
      <c r="W132" s="23" t="s">
        <v>124</v>
      </c>
      <c r="X132" s="74">
        <v>8374</v>
      </c>
      <c r="Y132" s="33">
        <v>46198</v>
      </c>
      <c r="Z132" s="15"/>
    </row>
    <row r="133" spans="1:26" x14ac:dyDescent="0.25">
      <c r="A133" s="21">
        <f>IF(C133="","",COUNTA($C$3:C133))</f>
        <v>131</v>
      </c>
      <c r="B133" s="35" t="str">
        <f t="shared" si="103"/>
        <v>June</v>
      </c>
      <c r="C133" s="31">
        <v>46197</v>
      </c>
      <c r="D133" s="17" t="s">
        <v>412</v>
      </c>
      <c r="E133" s="32">
        <v>46195</v>
      </c>
      <c r="F133" s="17" t="s">
        <v>120</v>
      </c>
      <c r="G133" s="18" t="s">
        <v>121</v>
      </c>
      <c r="H133" s="18" t="s">
        <v>122</v>
      </c>
      <c r="I133" s="17" t="s">
        <v>415</v>
      </c>
      <c r="J133" s="18">
        <v>62000</v>
      </c>
      <c r="K133" s="18">
        <v>45452</v>
      </c>
      <c r="L133" s="19">
        <v>253043</v>
      </c>
      <c r="M133" s="20">
        <f t="shared" si="98"/>
        <v>22773.87</v>
      </c>
      <c r="N133" s="20">
        <f t="shared" si="99"/>
        <v>22773.87</v>
      </c>
      <c r="O133" s="20"/>
      <c r="P133" s="80">
        <f t="shared" si="100"/>
        <v>298590.74</v>
      </c>
      <c r="Q133" s="82">
        <v>0.26</v>
      </c>
      <c r="R133" s="87">
        <f t="shared" si="81"/>
        <v>298591</v>
      </c>
      <c r="S133" s="19"/>
      <c r="T133" s="19"/>
      <c r="U133" s="21" t="str">
        <f t="shared" si="101"/>
        <v/>
      </c>
      <c r="V133" s="22" t="str">
        <f t="shared" si="102"/>
        <v/>
      </c>
      <c r="W133" s="23" t="s">
        <v>124</v>
      </c>
      <c r="X133" s="74">
        <v>8375</v>
      </c>
      <c r="Y133" s="33">
        <v>46198</v>
      </c>
      <c r="Z133" s="15"/>
    </row>
    <row r="134" spans="1:26" x14ac:dyDescent="0.25">
      <c r="A134" s="21">
        <f>IF(C134="","",COUNTA($C$3:C134))</f>
        <v>132</v>
      </c>
      <c r="B134" s="35" t="str">
        <f t="shared" si="103"/>
        <v>June</v>
      </c>
      <c r="C134" s="31">
        <v>46197</v>
      </c>
      <c r="D134" s="17" t="s">
        <v>412</v>
      </c>
      <c r="E134" s="32">
        <v>46195</v>
      </c>
      <c r="F134" s="17" t="s">
        <v>120</v>
      </c>
      <c r="G134" s="18" t="s">
        <v>121</v>
      </c>
      <c r="H134" s="18" t="s">
        <v>122</v>
      </c>
      <c r="I134" s="17" t="s">
        <v>415</v>
      </c>
      <c r="J134" s="18">
        <v>62000</v>
      </c>
      <c r="K134" s="18">
        <v>45453</v>
      </c>
      <c r="L134" s="19">
        <v>221710</v>
      </c>
      <c r="M134" s="20">
        <f t="shared" si="98"/>
        <v>19953.899999999998</v>
      </c>
      <c r="N134" s="20">
        <f t="shared" si="99"/>
        <v>19953.899999999998</v>
      </c>
      <c r="O134" s="20"/>
      <c r="P134" s="80">
        <f t="shared" si="100"/>
        <v>261617.8</v>
      </c>
      <c r="Q134" s="82">
        <v>0.2</v>
      </c>
      <c r="R134" s="87">
        <f t="shared" si="81"/>
        <v>261618</v>
      </c>
      <c r="S134" s="19"/>
      <c r="T134" s="19"/>
      <c r="U134" s="21" t="str">
        <f t="shared" si="101"/>
        <v/>
      </c>
      <c r="V134" s="22" t="str">
        <f t="shared" si="102"/>
        <v/>
      </c>
      <c r="W134" s="23" t="s">
        <v>124</v>
      </c>
      <c r="X134" s="74">
        <v>8376</v>
      </c>
      <c r="Y134" s="33">
        <v>46198</v>
      </c>
      <c r="Z134" s="15"/>
    </row>
    <row r="135" spans="1:26" x14ac:dyDescent="0.25">
      <c r="A135" s="21">
        <f>IF(C135="","",COUNTA($C$3:C135))</f>
        <v>133</v>
      </c>
      <c r="B135" s="35" t="str">
        <f t="shared" si="103"/>
        <v>June</v>
      </c>
      <c r="C135" s="31">
        <v>46198</v>
      </c>
      <c r="D135" s="17" t="s">
        <v>412</v>
      </c>
      <c r="E135" s="32">
        <v>46195</v>
      </c>
      <c r="F135" s="17" t="s">
        <v>120</v>
      </c>
      <c r="G135" s="18" t="s">
        <v>121</v>
      </c>
      <c r="H135" s="18" t="s">
        <v>122</v>
      </c>
      <c r="I135" s="17" t="s">
        <v>415</v>
      </c>
      <c r="J135" s="18">
        <v>62000</v>
      </c>
      <c r="K135" s="18">
        <v>45454</v>
      </c>
      <c r="L135" s="19">
        <v>220565</v>
      </c>
      <c r="M135" s="20">
        <f t="shared" si="98"/>
        <v>19850.849999999999</v>
      </c>
      <c r="N135" s="20">
        <f t="shared" si="99"/>
        <v>19850.849999999999</v>
      </c>
      <c r="O135" s="20"/>
      <c r="P135" s="80">
        <f t="shared" si="100"/>
        <v>260266.7</v>
      </c>
      <c r="Q135" s="82">
        <v>0.3</v>
      </c>
      <c r="R135" s="87">
        <f t="shared" si="81"/>
        <v>260267</v>
      </c>
      <c r="S135" s="19"/>
      <c r="T135" s="19"/>
      <c r="U135" s="21" t="str">
        <f t="shared" si="101"/>
        <v/>
      </c>
      <c r="V135" s="22" t="str">
        <f t="shared" si="102"/>
        <v/>
      </c>
      <c r="W135" s="23" t="s">
        <v>124</v>
      </c>
      <c r="X135" s="74">
        <v>8377</v>
      </c>
      <c r="Y135" s="33"/>
      <c r="Z135" s="15"/>
    </row>
    <row r="136" spans="1:26" x14ac:dyDescent="0.25">
      <c r="A136" s="21">
        <f>IF(C136="","",COUNTA($C$3:C136))</f>
        <v>134</v>
      </c>
      <c r="B136" s="35" t="str">
        <f t="shared" si="103"/>
        <v>June</v>
      </c>
      <c r="C136" s="31">
        <v>46199</v>
      </c>
      <c r="D136" s="17" t="s">
        <v>250</v>
      </c>
      <c r="E136" s="32">
        <v>46155</v>
      </c>
      <c r="F136" s="17" t="s">
        <v>120</v>
      </c>
      <c r="G136" s="18" t="s">
        <v>121</v>
      </c>
      <c r="H136" s="18" t="s">
        <v>122</v>
      </c>
      <c r="I136" s="17" t="s">
        <v>258</v>
      </c>
      <c r="J136" s="18">
        <v>61964</v>
      </c>
      <c r="K136" s="18">
        <v>45455</v>
      </c>
      <c r="L136" s="19">
        <v>2772</v>
      </c>
      <c r="M136" s="20">
        <f t="shared" si="98"/>
        <v>249.48</v>
      </c>
      <c r="N136" s="20">
        <f t="shared" si="99"/>
        <v>249.48</v>
      </c>
      <c r="O136" s="20"/>
      <c r="P136" s="80">
        <f t="shared" si="100"/>
        <v>3270.96</v>
      </c>
      <c r="Q136" s="82">
        <v>0.04</v>
      </c>
      <c r="R136" s="87">
        <f t="shared" si="81"/>
        <v>3271</v>
      </c>
      <c r="S136" s="19"/>
      <c r="T136" s="19"/>
      <c r="U136" s="21" t="str">
        <f t="shared" si="101"/>
        <v/>
      </c>
      <c r="V136" s="22" t="str">
        <f t="shared" si="102"/>
        <v/>
      </c>
      <c r="W136" s="23" t="s">
        <v>159</v>
      </c>
      <c r="X136" s="74" t="s">
        <v>160</v>
      </c>
      <c r="Y136" s="33"/>
      <c r="Z136" s="15"/>
    </row>
    <row r="137" spans="1:26" x14ac:dyDescent="0.25">
      <c r="A137" s="21">
        <f>IF(C137="","",COUNTA($C$3:C137))</f>
        <v>135</v>
      </c>
      <c r="B137" s="35" t="str">
        <f t="shared" si="103"/>
        <v>June</v>
      </c>
      <c r="C137" s="31">
        <v>46199</v>
      </c>
      <c r="D137" s="17" t="s">
        <v>416</v>
      </c>
      <c r="E137" s="32">
        <v>46198</v>
      </c>
      <c r="F137" s="17" t="s">
        <v>120</v>
      </c>
      <c r="G137" s="18" t="s">
        <v>121</v>
      </c>
      <c r="H137" s="18" t="s">
        <v>122</v>
      </c>
      <c r="I137" s="17" t="s">
        <v>123</v>
      </c>
      <c r="J137" s="18">
        <v>62001</v>
      </c>
      <c r="K137" s="18">
        <v>45456</v>
      </c>
      <c r="L137" s="19">
        <v>385484</v>
      </c>
      <c r="M137" s="20">
        <f t="shared" si="98"/>
        <v>35278.559999999998</v>
      </c>
      <c r="N137" s="20">
        <f t="shared" si="99"/>
        <v>35278.559999999998</v>
      </c>
      <c r="O137" s="20"/>
      <c r="P137" s="80">
        <f t="shared" si="100"/>
        <v>462541.12</v>
      </c>
      <c r="Q137" s="82">
        <v>0.88</v>
      </c>
      <c r="R137" s="87">
        <f t="shared" si="81"/>
        <v>462542</v>
      </c>
      <c r="S137" s="19">
        <v>6500</v>
      </c>
      <c r="T137" s="19">
        <v>5650</v>
      </c>
      <c r="U137" s="21">
        <f t="shared" si="101"/>
        <v>850</v>
      </c>
      <c r="V137" s="22">
        <f t="shared" si="102"/>
        <v>0.15044247787610621</v>
      </c>
      <c r="W137" s="23" t="s">
        <v>124</v>
      </c>
      <c r="X137" s="74">
        <v>8378</v>
      </c>
      <c r="Y137" s="33"/>
      <c r="Z137" s="15"/>
    </row>
    <row r="138" spans="1:26" x14ac:dyDescent="0.25">
      <c r="A138" s="21">
        <f>IF(C138="","",COUNTA($C$3:C138))</f>
        <v>136</v>
      </c>
      <c r="B138" s="35" t="str">
        <f t="shared" si="103"/>
        <v>June</v>
      </c>
      <c r="C138" s="31">
        <v>46199</v>
      </c>
      <c r="D138" s="17" t="s">
        <v>417</v>
      </c>
      <c r="E138" s="32">
        <v>46197</v>
      </c>
      <c r="F138" s="17" t="s">
        <v>120</v>
      </c>
      <c r="G138" s="18" t="s">
        <v>121</v>
      </c>
      <c r="H138" s="18" t="s">
        <v>122</v>
      </c>
      <c r="I138" s="17" t="s">
        <v>422</v>
      </c>
      <c r="J138" s="18">
        <v>62004</v>
      </c>
      <c r="K138" s="18">
        <v>45457</v>
      </c>
      <c r="L138" s="19">
        <v>84587.6</v>
      </c>
      <c r="M138" s="20">
        <f t="shared" si="98"/>
        <v>7612.884</v>
      </c>
      <c r="N138" s="20">
        <f t="shared" si="99"/>
        <v>7612.884</v>
      </c>
      <c r="O138" s="20"/>
      <c r="P138" s="80">
        <f t="shared" si="100"/>
        <v>99813.368000000017</v>
      </c>
      <c r="Q138" s="82">
        <v>-0.37</v>
      </c>
      <c r="R138" s="87">
        <f t="shared" si="81"/>
        <v>99812.998000000021</v>
      </c>
      <c r="S138" s="19"/>
      <c r="T138" s="19"/>
      <c r="U138" s="21" t="str">
        <f t="shared" si="101"/>
        <v/>
      </c>
      <c r="V138" s="22" t="str">
        <f t="shared" si="102"/>
        <v/>
      </c>
      <c r="W138" s="23" t="s">
        <v>164</v>
      </c>
      <c r="X138" s="19">
        <v>11194</v>
      </c>
      <c r="Y138" s="33"/>
      <c r="Z138" s="15"/>
    </row>
    <row r="139" spans="1:26" x14ac:dyDescent="0.25">
      <c r="A139" s="21">
        <f>IF(C139="","",COUNTA($C$3:C139))</f>
        <v>137</v>
      </c>
      <c r="B139" s="35" t="str">
        <f t="shared" si="103"/>
        <v>June</v>
      </c>
      <c r="C139" s="31">
        <v>46199</v>
      </c>
      <c r="D139" s="17" t="s">
        <v>418</v>
      </c>
      <c r="E139" s="32">
        <v>46168</v>
      </c>
      <c r="F139" s="17" t="s">
        <v>120</v>
      </c>
      <c r="G139" s="18" t="s">
        <v>121</v>
      </c>
      <c r="H139" s="18" t="s">
        <v>122</v>
      </c>
      <c r="I139" s="17" t="s">
        <v>419</v>
      </c>
      <c r="J139" s="18">
        <v>62002</v>
      </c>
      <c r="K139" s="18">
        <v>45458</v>
      </c>
      <c r="L139" s="19">
        <v>26522</v>
      </c>
      <c r="M139" s="20">
        <f t="shared" si="98"/>
        <v>2386.98</v>
      </c>
      <c r="N139" s="20">
        <f t="shared" si="99"/>
        <v>2386.98</v>
      </c>
      <c r="O139" s="20"/>
      <c r="P139" s="80">
        <f t="shared" si="100"/>
        <v>31295.96</v>
      </c>
      <c r="Q139" s="82">
        <v>0.04</v>
      </c>
      <c r="R139" s="87">
        <f t="shared" si="81"/>
        <v>31296</v>
      </c>
      <c r="S139" s="19"/>
      <c r="T139" s="19"/>
      <c r="U139" s="21" t="str">
        <f t="shared" si="101"/>
        <v/>
      </c>
      <c r="V139" s="22" t="str">
        <f t="shared" si="102"/>
        <v/>
      </c>
      <c r="W139" s="23" t="s">
        <v>164</v>
      </c>
      <c r="X139" s="19">
        <v>11194</v>
      </c>
      <c r="Y139" s="33"/>
      <c r="Z139" s="15"/>
    </row>
    <row r="140" spans="1:26" x14ac:dyDescent="0.25">
      <c r="A140" s="21">
        <f>IF(C140="","",COUNTA($C$3:C140))</f>
        <v>138</v>
      </c>
      <c r="B140" s="35" t="str">
        <f t="shared" si="103"/>
        <v>June</v>
      </c>
      <c r="C140" s="31">
        <v>46199</v>
      </c>
      <c r="D140" s="17" t="s">
        <v>420</v>
      </c>
      <c r="E140" s="32">
        <v>46179</v>
      </c>
      <c r="F140" s="17" t="s">
        <v>120</v>
      </c>
      <c r="G140" s="18" t="s">
        <v>121</v>
      </c>
      <c r="H140" s="18" t="s">
        <v>122</v>
      </c>
      <c r="I140" s="17" t="s">
        <v>421</v>
      </c>
      <c r="J140" s="18">
        <v>62003</v>
      </c>
      <c r="K140" s="18">
        <v>45459</v>
      </c>
      <c r="L140" s="19">
        <v>20226.099999999999</v>
      </c>
      <c r="M140" s="20">
        <f t="shared" si="98"/>
        <v>1820.3489999999997</v>
      </c>
      <c r="N140" s="20">
        <f t="shared" si="99"/>
        <v>1820.3489999999997</v>
      </c>
      <c r="O140" s="20"/>
      <c r="P140" s="80">
        <f t="shared" si="100"/>
        <v>23866.797999999995</v>
      </c>
      <c r="Q140" s="82">
        <v>0.2</v>
      </c>
      <c r="R140" s="87">
        <f t="shared" si="81"/>
        <v>23866.997999999996</v>
      </c>
      <c r="S140" s="19"/>
      <c r="T140" s="19"/>
      <c r="U140" s="21" t="str">
        <f t="shared" si="101"/>
        <v/>
      </c>
      <c r="V140" s="22" t="str">
        <f t="shared" si="102"/>
        <v/>
      </c>
      <c r="W140" s="23" t="s">
        <v>164</v>
      </c>
      <c r="X140" s="19">
        <v>11194</v>
      </c>
      <c r="Y140" s="33"/>
      <c r="Z140" s="15"/>
    </row>
    <row r="141" spans="1:26" x14ac:dyDescent="0.25">
      <c r="A141" s="21">
        <f>IF(C141="","",COUNTA($C$3:C141))</f>
        <v>139</v>
      </c>
      <c r="B141" s="35" t="str">
        <f t="shared" ref="B141" si="104">IF(C141="","",TEXT(C141,"mmmm"))</f>
        <v>June</v>
      </c>
      <c r="C141" s="31">
        <v>46202</v>
      </c>
      <c r="D141" s="17" t="s">
        <v>423</v>
      </c>
      <c r="E141" s="32">
        <v>46200</v>
      </c>
      <c r="F141" s="17" t="s">
        <v>120</v>
      </c>
      <c r="G141" s="18" t="s">
        <v>121</v>
      </c>
      <c r="H141" s="18" t="s">
        <v>122</v>
      </c>
      <c r="I141" s="17" t="s">
        <v>469</v>
      </c>
      <c r="J141" s="18">
        <v>62005</v>
      </c>
      <c r="K141" s="18">
        <v>45460</v>
      </c>
      <c r="L141" s="19">
        <v>184770</v>
      </c>
      <c r="M141" s="20">
        <f t="shared" si="98"/>
        <v>17259.3</v>
      </c>
      <c r="N141" s="20">
        <f t="shared" si="99"/>
        <v>17259.3</v>
      </c>
      <c r="O141" s="20"/>
      <c r="P141" s="80">
        <f t="shared" si="100"/>
        <v>226288.59999999998</v>
      </c>
      <c r="Q141" s="82">
        <v>0.4</v>
      </c>
      <c r="R141" s="87">
        <f t="shared" si="81"/>
        <v>226288.99999999997</v>
      </c>
      <c r="S141" s="19">
        <v>7000</v>
      </c>
      <c r="T141" s="19">
        <v>6150</v>
      </c>
      <c r="U141" s="21">
        <f t="shared" si="101"/>
        <v>850</v>
      </c>
      <c r="V141" s="22">
        <f t="shared" si="102"/>
        <v>0.13821138211382114</v>
      </c>
      <c r="W141" s="23" t="s">
        <v>124</v>
      </c>
      <c r="X141" s="19">
        <v>8379</v>
      </c>
      <c r="Y141" s="33">
        <v>46204</v>
      </c>
      <c r="Z141" s="15"/>
    </row>
    <row r="142" spans="1:26" x14ac:dyDescent="0.25">
      <c r="A142" s="21">
        <f>IF(C142="","",COUNTA($C$3:C142))</f>
        <v>140</v>
      </c>
      <c r="B142" s="35" t="str">
        <f t="shared" si="103"/>
        <v>June</v>
      </c>
      <c r="C142" s="31">
        <v>46202</v>
      </c>
      <c r="D142" s="17" t="s">
        <v>424</v>
      </c>
      <c r="E142" s="32">
        <v>46196</v>
      </c>
      <c r="F142" s="17" t="s">
        <v>120</v>
      </c>
      <c r="G142" s="18" t="s">
        <v>121</v>
      </c>
      <c r="H142" s="18" t="s">
        <v>122</v>
      </c>
      <c r="I142" s="17" t="s">
        <v>425</v>
      </c>
      <c r="J142" s="18">
        <v>62006</v>
      </c>
      <c r="K142" s="18">
        <v>45461</v>
      </c>
      <c r="L142" s="19">
        <v>962193.4</v>
      </c>
      <c r="M142" s="20">
        <f t="shared" si="98"/>
        <v>86597.406000000003</v>
      </c>
      <c r="N142" s="20">
        <f t="shared" si="99"/>
        <v>86597.406000000003</v>
      </c>
      <c r="O142" s="20"/>
      <c r="P142" s="80">
        <f t="shared" si="100"/>
        <v>1135388.2120000001</v>
      </c>
      <c r="Q142" s="82">
        <v>-0.21</v>
      </c>
      <c r="R142" s="87">
        <f t="shared" si="81"/>
        <v>1135388.0020000001</v>
      </c>
      <c r="S142" s="19"/>
      <c r="T142" s="19"/>
      <c r="U142" s="21" t="str">
        <f t="shared" si="101"/>
        <v/>
      </c>
      <c r="V142" s="22" t="str">
        <f t="shared" si="102"/>
        <v/>
      </c>
      <c r="W142" s="23" t="s">
        <v>124</v>
      </c>
      <c r="X142" s="74">
        <v>8381</v>
      </c>
      <c r="Y142" s="33">
        <v>46203</v>
      </c>
      <c r="Z142" s="15"/>
    </row>
    <row r="143" spans="1:26" x14ac:dyDescent="0.25">
      <c r="A143" s="21">
        <f>IF(C143="","",COUNTA($C$3:C143))</f>
        <v>141</v>
      </c>
      <c r="B143" s="35" t="str">
        <f t="shared" si="103"/>
        <v>June</v>
      </c>
      <c r="C143" s="31">
        <v>46202</v>
      </c>
      <c r="D143" s="17" t="s">
        <v>426</v>
      </c>
      <c r="E143" s="32">
        <v>46202</v>
      </c>
      <c r="F143" s="17" t="s">
        <v>120</v>
      </c>
      <c r="G143" s="18" t="s">
        <v>121</v>
      </c>
      <c r="H143" s="18" t="s">
        <v>122</v>
      </c>
      <c r="I143" s="17" t="s">
        <v>258</v>
      </c>
      <c r="J143" s="18">
        <v>62007</v>
      </c>
      <c r="K143" s="18">
        <v>45462</v>
      </c>
      <c r="L143" s="19">
        <v>303909.8</v>
      </c>
      <c r="M143" s="20">
        <f t="shared" si="98"/>
        <v>27936.881999999998</v>
      </c>
      <c r="N143" s="20">
        <f t="shared" si="99"/>
        <v>27936.881999999998</v>
      </c>
      <c r="O143" s="20"/>
      <c r="P143" s="80">
        <f t="shared" si="100"/>
        <v>366283.56399999995</v>
      </c>
      <c r="Q143" s="82">
        <v>0.44</v>
      </c>
      <c r="R143" s="87">
        <f t="shared" si="81"/>
        <v>366284.00399999996</v>
      </c>
      <c r="S143" s="19">
        <v>6500</v>
      </c>
      <c r="T143" s="19">
        <v>5650</v>
      </c>
      <c r="U143" s="21">
        <f t="shared" si="101"/>
        <v>850</v>
      </c>
      <c r="V143" s="22">
        <f t="shared" si="102"/>
        <v>0.15044247787610621</v>
      </c>
      <c r="W143" s="23" t="s">
        <v>124</v>
      </c>
      <c r="X143" s="74">
        <v>8382</v>
      </c>
      <c r="Y143" s="33">
        <v>46206</v>
      </c>
      <c r="Z143" s="15"/>
    </row>
    <row r="144" spans="1:26" x14ac:dyDescent="0.25">
      <c r="A144" s="21">
        <f>IF(C144="","",COUNTA($C$3:C144))</f>
        <v>142</v>
      </c>
      <c r="B144" s="35" t="str">
        <f t="shared" si="103"/>
        <v>June</v>
      </c>
      <c r="C144" s="31">
        <v>46202</v>
      </c>
      <c r="D144" s="17" t="s">
        <v>424</v>
      </c>
      <c r="E144" s="32">
        <v>46196</v>
      </c>
      <c r="F144" s="17" t="s">
        <v>120</v>
      </c>
      <c r="G144" s="18" t="s">
        <v>121</v>
      </c>
      <c r="H144" s="18" t="s">
        <v>122</v>
      </c>
      <c r="I144" s="17" t="s">
        <v>425</v>
      </c>
      <c r="J144" s="18">
        <v>62006</v>
      </c>
      <c r="K144" s="18">
        <v>45463</v>
      </c>
      <c r="L144" s="19">
        <v>76919.899999999994</v>
      </c>
      <c r="M144" s="20">
        <f t="shared" si="98"/>
        <v>6922.7909999999993</v>
      </c>
      <c r="N144" s="20">
        <f t="shared" si="99"/>
        <v>6922.7909999999993</v>
      </c>
      <c r="O144" s="20"/>
      <c r="P144" s="80">
        <f t="shared" si="100"/>
        <v>90765.481999999989</v>
      </c>
      <c r="Q144" s="82">
        <v>0.52</v>
      </c>
      <c r="R144" s="87">
        <f t="shared" si="81"/>
        <v>90766.001999999993</v>
      </c>
      <c r="S144" s="19"/>
      <c r="T144" s="19"/>
      <c r="U144" s="21" t="str">
        <f t="shared" si="101"/>
        <v/>
      </c>
      <c r="V144" s="22" t="str">
        <f t="shared" si="102"/>
        <v/>
      </c>
      <c r="W144" s="23" t="s">
        <v>124</v>
      </c>
      <c r="X144" s="74">
        <v>8383</v>
      </c>
      <c r="Y144" s="33">
        <v>46203</v>
      </c>
      <c r="Z144" s="15"/>
    </row>
    <row r="145" spans="1:26" x14ac:dyDescent="0.25">
      <c r="A145" s="21">
        <f>IF(C145="","",COUNTA($C$3:C145))</f>
        <v>143</v>
      </c>
      <c r="B145" s="35" t="str">
        <f t="shared" si="103"/>
        <v>June</v>
      </c>
      <c r="C145" s="31">
        <v>46203</v>
      </c>
      <c r="D145" s="17" t="s">
        <v>426</v>
      </c>
      <c r="E145" s="32">
        <v>46202</v>
      </c>
      <c r="F145" s="17" t="s">
        <v>120</v>
      </c>
      <c r="G145" s="18" t="s">
        <v>121</v>
      </c>
      <c r="H145" s="18" t="s">
        <v>122</v>
      </c>
      <c r="I145" s="17" t="s">
        <v>258</v>
      </c>
      <c r="J145" s="18">
        <v>62007</v>
      </c>
      <c r="K145" s="18">
        <v>45464</v>
      </c>
      <c r="L145" s="19">
        <v>356105.1</v>
      </c>
      <c r="M145" s="20">
        <f t="shared" si="98"/>
        <v>32634.458999999995</v>
      </c>
      <c r="N145" s="20">
        <f t="shared" si="99"/>
        <v>32634.458999999995</v>
      </c>
      <c r="O145" s="20"/>
      <c r="P145" s="80">
        <f t="shared" si="100"/>
        <v>427874.01799999992</v>
      </c>
      <c r="Q145" s="82">
        <v>-0.02</v>
      </c>
      <c r="R145" s="87">
        <f t="shared" si="81"/>
        <v>427873.99799999991</v>
      </c>
      <c r="S145" s="19">
        <v>6500</v>
      </c>
      <c r="T145" s="19">
        <v>5650</v>
      </c>
      <c r="U145" s="21">
        <f t="shared" si="101"/>
        <v>850</v>
      </c>
      <c r="V145" s="22">
        <f t="shared" si="102"/>
        <v>0.15044247787610621</v>
      </c>
      <c r="W145" s="23" t="s">
        <v>124</v>
      </c>
      <c r="X145" s="74">
        <v>8384</v>
      </c>
      <c r="Y145" s="33">
        <v>46204</v>
      </c>
      <c r="Z145" s="15"/>
    </row>
    <row r="146" spans="1:26" x14ac:dyDescent="0.25">
      <c r="A146" s="21">
        <f>IF(C146="","",COUNTA($C$3:C146))</f>
        <v>144</v>
      </c>
      <c r="B146" s="35" t="str">
        <f t="shared" si="103"/>
        <v>June</v>
      </c>
      <c r="C146" s="31">
        <v>46203</v>
      </c>
      <c r="D146" s="17" t="s">
        <v>412</v>
      </c>
      <c r="E146" s="32">
        <v>46195</v>
      </c>
      <c r="F146" s="17" t="s">
        <v>120</v>
      </c>
      <c r="G146" s="18" t="s">
        <v>121</v>
      </c>
      <c r="H146" s="18" t="s">
        <v>122</v>
      </c>
      <c r="I146" s="17" t="s">
        <v>415</v>
      </c>
      <c r="J146" s="18">
        <v>62000</v>
      </c>
      <c r="K146" s="18">
        <v>45465</v>
      </c>
      <c r="L146" s="19">
        <v>577910.6</v>
      </c>
      <c r="M146" s="20">
        <f t="shared" si="98"/>
        <v>52011.953999999998</v>
      </c>
      <c r="N146" s="20">
        <f t="shared" si="99"/>
        <v>52011.953999999998</v>
      </c>
      <c r="O146" s="20"/>
      <c r="P146" s="80">
        <f t="shared" si="100"/>
        <v>681934.50800000003</v>
      </c>
      <c r="Q146" s="82">
        <v>0.49</v>
      </c>
      <c r="R146" s="87">
        <f t="shared" si="81"/>
        <v>681934.99800000002</v>
      </c>
      <c r="S146" s="19"/>
      <c r="T146" s="19"/>
      <c r="U146" s="21" t="str">
        <f t="shared" si="101"/>
        <v/>
      </c>
      <c r="V146" s="22" t="str">
        <f t="shared" si="102"/>
        <v/>
      </c>
      <c r="W146" s="23" t="s">
        <v>124</v>
      </c>
      <c r="X146" s="74">
        <v>8385</v>
      </c>
      <c r="Y146" s="33">
        <v>46204</v>
      </c>
      <c r="Z146" s="15"/>
    </row>
    <row r="147" spans="1:26" x14ac:dyDescent="0.25">
      <c r="A147" s="21">
        <f>IF(C147="","",COUNTA($C$3:C147))</f>
        <v>145</v>
      </c>
      <c r="B147" s="35" t="str">
        <f t="shared" si="103"/>
        <v>July</v>
      </c>
      <c r="C147" s="31">
        <v>46204</v>
      </c>
      <c r="D147" s="17">
        <v>381</v>
      </c>
      <c r="E147" s="32">
        <v>46203</v>
      </c>
      <c r="F147" s="17" t="s">
        <v>174</v>
      </c>
      <c r="G147" s="18" t="s">
        <v>121</v>
      </c>
      <c r="H147" s="18" t="s">
        <v>127</v>
      </c>
      <c r="I147" s="17" t="s">
        <v>431</v>
      </c>
      <c r="J147" s="18">
        <v>62009</v>
      </c>
      <c r="K147" s="18">
        <v>45466</v>
      </c>
      <c r="L147" s="19">
        <v>18181</v>
      </c>
      <c r="M147" s="20">
        <f t="shared" si="98"/>
        <v>1636.29</v>
      </c>
      <c r="N147" s="20">
        <f t="shared" si="99"/>
        <v>1636.29</v>
      </c>
      <c r="O147" s="20"/>
      <c r="P147" s="80">
        <f t="shared" si="100"/>
        <v>21453.58</v>
      </c>
      <c r="Q147" s="82">
        <v>0.42</v>
      </c>
      <c r="R147" s="87">
        <f t="shared" si="81"/>
        <v>21454</v>
      </c>
      <c r="S147" s="19"/>
      <c r="T147" s="19"/>
      <c r="U147" s="21" t="str">
        <f t="shared" si="101"/>
        <v/>
      </c>
      <c r="V147" s="22" t="str">
        <f t="shared" si="102"/>
        <v/>
      </c>
      <c r="W147" s="23" t="s">
        <v>159</v>
      </c>
      <c r="X147" s="19" t="s">
        <v>160</v>
      </c>
      <c r="Y147" s="33"/>
      <c r="Z147" s="15"/>
    </row>
    <row r="148" spans="1:26" x14ac:dyDescent="0.25">
      <c r="A148" s="21">
        <f>IF(C148="","",COUNTA($C$3:C148))</f>
        <v>146</v>
      </c>
      <c r="B148" s="35" t="str">
        <f t="shared" si="103"/>
        <v>July</v>
      </c>
      <c r="C148" s="31">
        <v>46204</v>
      </c>
      <c r="D148" s="17" t="s">
        <v>432</v>
      </c>
      <c r="E148" s="32">
        <v>46204</v>
      </c>
      <c r="F148" s="17" t="s">
        <v>120</v>
      </c>
      <c r="G148" s="18" t="s">
        <v>221</v>
      </c>
      <c r="H148" s="18" t="s">
        <v>122</v>
      </c>
      <c r="I148" s="17" t="s">
        <v>222</v>
      </c>
      <c r="J148" s="18">
        <v>62008</v>
      </c>
      <c r="K148" s="18">
        <v>45467</v>
      </c>
      <c r="L148" s="19">
        <v>1120814.5</v>
      </c>
      <c r="M148" s="20"/>
      <c r="N148" s="20"/>
      <c r="O148" s="19">
        <f t="shared" ref="O148:O150" si="105">IF(L148="","",(L148+S148)*18%)</f>
        <v>201746.61</v>
      </c>
      <c r="P148" s="80">
        <f t="shared" si="100"/>
        <v>1322561.1099999999</v>
      </c>
      <c r="Q148" s="82">
        <v>-0.11</v>
      </c>
      <c r="R148" s="87">
        <f t="shared" si="81"/>
        <v>1322560.9999999998</v>
      </c>
      <c r="S148" s="19"/>
      <c r="T148" s="19"/>
      <c r="U148" s="21" t="str">
        <f t="shared" si="101"/>
        <v/>
      </c>
      <c r="V148" s="22" t="str">
        <f t="shared" si="102"/>
        <v/>
      </c>
      <c r="W148" s="23" t="s">
        <v>234</v>
      </c>
      <c r="X148" s="19" t="s">
        <v>160</v>
      </c>
      <c r="Y148" s="33">
        <v>46205</v>
      </c>
      <c r="Z148" s="15"/>
    </row>
    <row r="149" spans="1:26" x14ac:dyDescent="0.25">
      <c r="A149" s="21">
        <f>IF(C149="","",COUNTA($C$3:C149))</f>
        <v>147</v>
      </c>
      <c r="B149" s="35" t="str">
        <f t="shared" si="103"/>
        <v>July</v>
      </c>
      <c r="C149" s="31">
        <v>46204</v>
      </c>
      <c r="D149" s="17" t="s">
        <v>399</v>
      </c>
      <c r="E149" s="32">
        <v>46185</v>
      </c>
      <c r="F149" s="17" t="s">
        <v>120</v>
      </c>
      <c r="G149" s="18" t="s">
        <v>172</v>
      </c>
      <c r="H149" s="18" t="s">
        <v>122</v>
      </c>
      <c r="I149" s="17" t="s">
        <v>173</v>
      </c>
      <c r="J149" s="18">
        <v>61997</v>
      </c>
      <c r="K149" s="18">
        <v>45468</v>
      </c>
      <c r="L149" s="19">
        <v>674171</v>
      </c>
      <c r="M149" s="20"/>
      <c r="N149" s="20"/>
      <c r="O149" s="19">
        <f t="shared" si="105"/>
        <v>121350.78</v>
      </c>
      <c r="P149" s="80">
        <f t="shared" si="100"/>
        <v>795521.78</v>
      </c>
      <c r="Q149" s="82">
        <v>0.22</v>
      </c>
      <c r="R149" s="87">
        <f t="shared" si="81"/>
        <v>795522</v>
      </c>
      <c r="S149" s="19"/>
      <c r="T149" s="19"/>
      <c r="U149" s="21" t="str">
        <f t="shared" si="101"/>
        <v/>
      </c>
      <c r="V149" s="22" t="str">
        <f t="shared" si="102"/>
        <v/>
      </c>
      <c r="W149" s="23" t="s">
        <v>124</v>
      </c>
      <c r="X149" s="19">
        <v>8386</v>
      </c>
      <c r="Y149" s="33">
        <v>46205</v>
      </c>
      <c r="Z149" s="15"/>
    </row>
    <row r="150" spans="1:26" x14ac:dyDescent="0.25">
      <c r="A150" s="21">
        <f>IF(C150="","",COUNTA($C$3:C150))</f>
        <v>148</v>
      </c>
      <c r="B150" s="35" t="str">
        <f t="shared" si="103"/>
        <v>July</v>
      </c>
      <c r="C150" s="31">
        <v>46204</v>
      </c>
      <c r="D150" s="17" t="s">
        <v>432</v>
      </c>
      <c r="E150" s="32">
        <v>46204</v>
      </c>
      <c r="F150" s="17" t="s">
        <v>120</v>
      </c>
      <c r="G150" s="18" t="s">
        <v>221</v>
      </c>
      <c r="H150" s="18" t="s">
        <v>122</v>
      </c>
      <c r="I150" s="17" t="s">
        <v>222</v>
      </c>
      <c r="J150" s="18">
        <v>62008</v>
      </c>
      <c r="K150" s="18">
        <v>45469</v>
      </c>
      <c r="L150" s="19">
        <v>632045.5</v>
      </c>
      <c r="M150" s="20"/>
      <c r="N150" s="20"/>
      <c r="O150" s="19">
        <f t="shared" si="105"/>
        <v>113768.19</v>
      </c>
      <c r="P150" s="80">
        <f t="shared" si="100"/>
        <v>745813.69</v>
      </c>
      <c r="Q150" s="82">
        <v>0.31</v>
      </c>
      <c r="R150" s="87">
        <f t="shared" si="81"/>
        <v>745814</v>
      </c>
      <c r="S150" s="19"/>
      <c r="T150" s="19"/>
      <c r="U150" s="21" t="str">
        <f t="shared" si="101"/>
        <v/>
      </c>
      <c r="V150" s="22" t="str">
        <f t="shared" ref="V150:V194" si="106">IF(U150="","",(U150/T150))</f>
        <v/>
      </c>
      <c r="W150" s="23" t="s">
        <v>164</v>
      </c>
      <c r="X150" s="74">
        <v>11195</v>
      </c>
      <c r="Y150" s="33">
        <v>46205</v>
      </c>
      <c r="Z150" s="15"/>
    </row>
    <row r="151" spans="1:26" x14ac:dyDescent="0.25">
      <c r="A151" s="21">
        <f>IF(C151="","",COUNTA($C$3:C151))</f>
        <v>149</v>
      </c>
      <c r="B151" s="35" t="str">
        <f t="shared" si="103"/>
        <v>July</v>
      </c>
      <c r="C151" s="31">
        <v>46207</v>
      </c>
      <c r="D151" s="17">
        <v>382</v>
      </c>
      <c r="E151" s="32">
        <v>46204</v>
      </c>
      <c r="F151" s="17" t="s">
        <v>174</v>
      </c>
      <c r="G151" s="18" t="s">
        <v>121</v>
      </c>
      <c r="H151" s="18" t="s">
        <v>127</v>
      </c>
      <c r="I151" s="17" t="s">
        <v>431</v>
      </c>
      <c r="J151" s="18">
        <v>62022</v>
      </c>
      <c r="K151" s="18">
        <v>45470</v>
      </c>
      <c r="L151" s="19">
        <v>18181</v>
      </c>
      <c r="M151" s="20">
        <f t="shared" ref="M151:M156" si="107">IF(L151="","",(L151+S151)*9%)</f>
        <v>1636.29</v>
      </c>
      <c r="N151" s="20">
        <f t="shared" ref="N151:N156" si="108">IF(L151="","",(L151+S151)*9%)</f>
        <v>1636.29</v>
      </c>
      <c r="O151" s="20"/>
      <c r="P151" s="80">
        <f t="shared" ref="P151:P158" si="109">SUM(L151:O151)+S151</f>
        <v>21453.58</v>
      </c>
      <c r="Q151" s="82">
        <v>0.42</v>
      </c>
      <c r="R151" s="87">
        <f t="shared" si="81"/>
        <v>21454</v>
      </c>
      <c r="S151" s="19"/>
      <c r="T151" s="19"/>
      <c r="U151" s="21" t="str">
        <f t="shared" si="101"/>
        <v/>
      </c>
      <c r="V151" s="22" t="str">
        <f t="shared" si="106"/>
        <v/>
      </c>
      <c r="W151" s="23" t="s">
        <v>159</v>
      </c>
      <c r="X151" s="19" t="s">
        <v>160</v>
      </c>
      <c r="Y151" s="33">
        <v>46210</v>
      </c>
      <c r="Z151" s="15"/>
    </row>
    <row r="152" spans="1:26" x14ac:dyDescent="0.25">
      <c r="A152" s="21">
        <f>IF(C152="","",COUNTA($C$3:C152))</f>
        <v>150</v>
      </c>
      <c r="B152" s="35" t="str">
        <f t="shared" si="103"/>
        <v>July</v>
      </c>
      <c r="C152" s="31">
        <v>46207</v>
      </c>
      <c r="D152" s="17" t="s">
        <v>435</v>
      </c>
      <c r="E152" s="32">
        <v>46206</v>
      </c>
      <c r="F152" s="17" t="s">
        <v>385</v>
      </c>
      <c r="G152" s="18" t="s">
        <v>121</v>
      </c>
      <c r="H152" s="18" t="s">
        <v>127</v>
      </c>
      <c r="I152" s="17" t="s">
        <v>436</v>
      </c>
      <c r="J152" s="18">
        <v>62023</v>
      </c>
      <c r="K152" s="18">
        <v>45471</v>
      </c>
      <c r="L152" s="19">
        <v>9452</v>
      </c>
      <c r="M152" s="20">
        <f t="shared" si="107"/>
        <v>850.68</v>
      </c>
      <c r="N152" s="20">
        <f t="shared" si="108"/>
        <v>850.68</v>
      </c>
      <c r="O152" s="20"/>
      <c r="P152" s="80">
        <f t="shared" si="109"/>
        <v>11153.36</v>
      </c>
      <c r="Q152" s="82">
        <v>-0.36</v>
      </c>
      <c r="R152" s="87">
        <f t="shared" si="81"/>
        <v>11153</v>
      </c>
      <c r="S152" s="19"/>
      <c r="T152" s="19"/>
      <c r="U152" s="21" t="str">
        <f t="shared" si="101"/>
        <v/>
      </c>
      <c r="V152" s="22" t="str">
        <f t="shared" si="106"/>
        <v/>
      </c>
      <c r="W152" s="23" t="s">
        <v>159</v>
      </c>
      <c r="X152" s="19" t="s">
        <v>160</v>
      </c>
      <c r="Y152" s="33">
        <v>46210</v>
      </c>
      <c r="Z152" s="15"/>
    </row>
    <row r="153" spans="1:26" x14ac:dyDescent="0.25">
      <c r="A153" s="21">
        <f>IF(C153="","",COUNTA($C$3:C153))</f>
        <v>151</v>
      </c>
      <c r="B153" s="35" t="str">
        <f t="shared" si="103"/>
        <v>July</v>
      </c>
      <c r="C153" s="31">
        <v>46210</v>
      </c>
      <c r="D153" s="17" t="s">
        <v>423</v>
      </c>
      <c r="E153" s="32">
        <v>46200</v>
      </c>
      <c r="F153" s="17" t="s">
        <v>120</v>
      </c>
      <c r="G153" s="18" t="s">
        <v>121</v>
      </c>
      <c r="H153" s="18" t="s">
        <v>122</v>
      </c>
      <c r="I153" s="17" t="s">
        <v>469</v>
      </c>
      <c r="J153" s="18">
        <v>62005</v>
      </c>
      <c r="K153" s="18">
        <v>45472</v>
      </c>
      <c r="L153" s="19">
        <v>90144</v>
      </c>
      <c r="M153" s="20">
        <f t="shared" si="107"/>
        <v>8742.9599999999991</v>
      </c>
      <c r="N153" s="20">
        <f t="shared" si="108"/>
        <v>8742.9599999999991</v>
      </c>
      <c r="O153" s="20"/>
      <c r="P153" s="80">
        <f t="shared" si="109"/>
        <v>114629.91999999998</v>
      </c>
      <c r="Q153" s="82">
        <v>0.08</v>
      </c>
      <c r="R153" s="87">
        <f t="shared" si="81"/>
        <v>114629.99999999999</v>
      </c>
      <c r="S153" s="19">
        <v>7000</v>
      </c>
      <c r="T153" s="19">
        <v>6150</v>
      </c>
      <c r="U153" s="21">
        <f t="shared" si="101"/>
        <v>850</v>
      </c>
      <c r="V153" s="22">
        <f t="shared" si="106"/>
        <v>0.13821138211382114</v>
      </c>
      <c r="W153" s="23" t="s">
        <v>124</v>
      </c>
      <c r="X153" s="74">
        <v>8387</v>
      </c>
      <c r="Y153" s="33">
        <v>46211</v>
      </c>
      <c r="Z153" s="15"/>
    </row>
    <row r="154" spans="1:26" x14ac:dyDescent="0.25">
      <c r="A154" s="21">
        <f>IF(C154="","",COUNTA($C$3:C154))</f>
        <v>152</v>
      </c>
      <c r="B154" s="35" t="str">
        <f t="shared" si="103"/>
        <v>July</v>
      </c>
      <c r="C154" s="31">
        <v>46210</v>
      </c>
      <c r="D154" s="17" t="s">
        <v>412</v>
      </c>
      <c r="E154" s="32">
        <v>46195</v>
      </c>
      <c r="F154" s="17" t="s">
        <v>120</v>
      </c>
      <c r="G154" s="18" t="s">
        <v>121</v>
      </c>
      <c r="H154" s="18" t="s">
        <v>122</v>
      </c>
      <c r="I154" s="17" t="s">
        <v>415</v>
      </c>
      <c r="J154" s="18">
        <v>62000</v>
      </c>
      <c r="K154" s="18">
        <v>45473</v>
      </c>
      <c r="L154" s="19">
        <v>37823.800000000003</v>
      </c>
      <c r="M154" s="20">
        <f t="shared" si="107"/>
        <v>3404.1420000000003</v>
      </c>
      <c r="N154" s="20">
        <f t="shared" si="108"/>
        <v>3404.1420000000003</v>
      </c>
      <c r="O154" s="20"/>
      <c r="P154" s="80">
        <f t="shared" si="109"/>
        <v>44632.084000000003</v>
      </c>
      <c r="Q154" s="82">
        <v>-0.08</v>
      </c>
      <c r="R154" s="87">
        <f t="shared" si="81"/>
        <v>44632.004000000001</v>
      </c>
      <c r="S154" s="19"/>
      <c r="T154" s="19"/>
      <c r="U154" s="21" t="str">
        <f t="shared" si="101"/>
        <v/>
      </c>
      <c r="V154" s="22" t="str">
        <f t="shared" si="106"/>
        <v/>
      </c>
      <c r="W154" s="23" t="s">
        <v>124</v>
      </c>
      <c r="X154" s="74">
        <v>8387</v>
      </c>
      <c r="Y154" s="33">
        <v>46211</v>
      </c>
      <c r="Z154" s="15"/>
    </row>
    <row r="155" spans="1:26" x14ac:dyDescent="0.25">
      <c r="A155" s="21">
        <f>IF(C155="","",COUNTA($C$3:C155))</f>
        <v>153</v>
      </c>
      <c r="B155" s="35" t="str">
        <f t="shared" si="103"/>
        <v>July</v>
      </c>
      <c r="C155" s="31">
        <v>46210</v>
      </c>
      <c r="D155" s="17" t="s">
        <v>260</v>
      </c>
      <c r="E155" s="32">
        <v>46155</v>
      </c>
      <c r="F155" s="17" t="s">
        <v>120</v>
      </c>
      <c r="G155" s="18" t="s">
        <v>121</v>
      </c>
      <c r="H155" s="18" t="s">
        <v>122</v>
      </c>
      <c r="I155" s="17" t="s">
        <v>134</v>
      </c>
      <c r="J155" s="18">
        <v>61965</v>
      </c>
      <c r="K155" s="18">
        <v>45474</v>
      </c>
      <c r="L155" s="19">
        <v>567201.4</v>
      </c>
      <c r="M155" s="20">
        <f t="shared" si="107"/>
        <v>51048.126000000004</v>
      </c>
      <c r="N155" s="20">
        <f t="shared" si="108"/>
        <v>51048.126000000004</v>
      </c>
      <c r="O155" s="20"/>
      <c r="P155" s="80">
        <f t="shared" si="109"/>
        <v>669297.65200000012</v>
      </c>
      <c r="Q155" s="82">
        <v>0.35</v>
      </c>
      <c r="R155" s="87">
        <f t="shared" si="81"/>
        <v>669298.00200000009</v>
      </c>
      <c r="S155" s="19"/>
      <c r="T155" s="19"/>
      <c r="U155" s="21" t="str">
        <f t="shared" si="101"/>
        <v/>
      </c>
      <c r="V155" s="22" t="str">
        <f t="shared" si="106"/>
        <v/>
      </c>
      <c r="W155" s="23" t="s">
        <v>124</v>
      </c>
      <c r="X155" s="74">
        <v>8388</v>
      </c>
      <c r="Y155" s="33">
        <v>46211</v>
      </c>
      <c r="Z155" s="15"/>
    </row>
    <row r="156" spans="1:26" x14ac:dyDescent="0.25">
      <c r="A156" s="21">
        <f>IF(C156="","",COUNTA($C$3:C156))</f>
        <v>154</v>
      </c>
      <c r="B156" s="35" t="str">
        <f t="shared" si="103"/>
        <v>July</v>
      </c>
      <c r="C156" s="31">
        <v>46210</v>
      </c>
      <c r="D156" s="17" t="s">
        <v>440</v>
      </c>
      <c r="E156" s="32">
        <v>46179</v>
      </c>
      <c r="F156" s="17" t="s">
        <v>120</v>
      </c>
      <c r="G156" s="18" t="s">
        <v>121</v>
      </c>
      <c r="H156" s="18" t="s">
        <v>122</v>
      </c>
      <c r="I156" s="17" t="s">
        <v>382</v>
      </c>
      <c r="J156" s="18">
        <v>61993</v>
      </c>
      <c r="K156" s="18">
        <v>45475</v>
      </c>
      <c r="L156" s="19">
        <v>120243</v>
      </c>
      <c r="M156" s="20">
        <f t="shared" si="107"/>
        <v>11406.869999999999</v>
      </c>
      <c r="N156" s="20">
        <f t="shared" si="108"/>
        <v>11406.869999999999</v>
      </c>
      <c r="O156" s="20"/>
      <c r="P156" s="80">
        <f t="shared" si="109"/>
        <v>149556.74</v>
      </c>
      <c r="Q156" s="82">
        <v>0.26</v>
      </c>
      <c r="R156" s="87">
        <f t="shared" si="81"/>
        <v>149557</v>
      </c>
      <c r="S156" s="19">
        <v>6500</v>
      </c>
      <c r="T156" s="19">
        <v>5650</v>
      </c>
      <c r="U156" s="21">
        <f t="shared" si="101"/>
        <v>850</v>
      </c>
      <c r="V156" s="22">
        <f t="shared" si="106"/>
        <v>0.15044247787610621</v>
      </c>
      <c r="W156" s="23" t="s">
        <v>124</v>
      </c>
      <c r="X156" s="74">
        <v>8389</v>
      </c>
      <c r="Y156" s="33">
        <v>46211</v>
      </c>
      <c r="Z156" s="15"/>
    </row>
    <row r="157" spans="1:26" x14ac:dyDescent="0.25">
      <c r="A157" s="21">
        <f>IF(C157="","",COUNTA($C$3:C157))</f>
        <v>155</v>
      </c>
      <c r="B157" s="35" t="str">
        <f t="shared" si="103"/>
        <v>July</v>
      </c>
      <c r="C157" s="31">
        <v>46210</v>
      </c>
      <c r="D157" s="17" t="s">
        <v>441</v>
      </c>
      <c r="E157" s="32">
        <v>46205</v>
      </c>
      <c r="F157" s="17" t="s">
        <v>120</v>
      </c>
      <c r="G157" s="18" t="s">
        <v>262</v>
      </c>
      <c r="H157" s="18" t="s">
        <v>82</v>
      </c>
      <c r="I157" s="17" t="s">
        <v>263</v>
      </c>
      <c r="J157" s="18">
        <v>62010</v>
      </c>
      <c r="K157" s="18">
        <v>45476</v>
      </c>
      <c r="L157" s="19">
        <v>14143.5</v>
      </c>
      <c r="M157" s="20"/>
      <c r="N157" s="20"/>
      <c r="O157" s="19">
        <f t="shared" ref="O157:O158" si="110">IF(L157="","",(L157+S157)*18%)</f>
        <v>2545.83</v>
      </c>
      <c r="P157" s="80">
        <f t="shared" si="109"/>
        <v>16689.330000000002</v>
      </c>
      <c r="Q157" s="82">
        <v>-0.33</v>
      </c>
      <c r="R157" s="87">
        <f t="shared" si="81"/>
        <v>16689</v>
      </c>
      <c r="S157" s="19"/>
      <c r="T157" s="19"/>
      <c r="U157" s="21" t="str">
        <f t="shared" si="101"/>
        <v/>
      </c>
      <c r="V157" s="22" t="str">
        <f t="shared" si="106"/>
        <v/>
      </c>
      <c r="W157" s="23"/>
      <c r="X157" s="74"/>
      <c r="Y157" s="33">
        <v>46210</v>
      </c>
      <c r="Z157" s="15"/>
    </row>
    <row r="158" spans="1:26" x14ac:dyDescent="0.25">
      <c r="A158" s="21">
        <f>IF(C158="","",COUNTA($C$3:C158))</f>
        <v>156</v>
      </c>
      <c r="B158" s="35" t="str">
        <f t="shared" si="103"/>
        <v>July</v>
      </c>
      <c r="C158" s="31">
        <v>46210</v>
      </c>
      <c r="D158" s="17" t="s">
        <v>442</v>
      </c>
      <c r="E158" s="32">
        <v>46205</v>
      </c>
      <c r="F158" s="17" t="s">
        <v>120</v>
      </c>
      <c r="G158" s="18" t="s">
        <v>172</v>
      </c>
      <c r="H158" s="18" t="s">
        <v>82</v>
      </c>
      <c r="I158" s="17" t="s">
        <v>173</v>
      </c>
      <c r="J158" s="18">
        <v>62011</v>
      </c>
      <c r="K158" s="18">
        <v>45477</v>
      </c>
      <c r="L158" s="19">
        <v>33278</v>
      </c>
      <c r="M158" s="20"/>
      <c r="N158" s="20"/>
      <c r="O158" s="19">
        <f t="shared" si="110"/>
        <v>5990.04</v>
      </c>
      <c r="P158" s="80">
        <f t="shared" si="109"/>
        <v>39268.04</v>
      </c>
      <c r="Q158" s="82">
        <v>-0.04</v>
      </c>
      <c r="R158" s="87">
        <f t="shared" si="81"/>
        <v>39268</v>
      </c>
      <c r="S158" s="19"/>
      <c r="T158" s="19"/>
      <c r="U158" s="21" t="str">
        <f t="shared" si="101"/>
        <v/>
      </c>
      <c r="V158" s="22" t="str">
        <f t="shared" si="106"/>
        <v/>
      </c>
      <c r="W158" s="23"/>
      <c r="X158" s="19"/>
      <c r="Y158" s="33">
        <v>46210</v>
      </c>
      <c r="Z158" s="15"/>
    </row>
    <row r="159" spans="1:26" x14ac:dyDescent="0.25">
      <c r="A159" s="21">
        <f>IF(C159="","",COUNTA($C$3:C159))</f>
        <v>157</v>
      </c>
      <c r="B159" s="35" t="str">
        <f t="shared" si="103"/>
        <v>July</v>
      </c>
      <c r="C159" s="31">
        <v>46210</v>
      </c>
      <c r="D159" s="17" t="s">
        <v>443</v>
      </c>
      <c r="E159" s="32">
        <v>46205</v>
      </c>
      <c r="F159" s="17" t="s">
        <v>120</v>
      </c>
      <c r="G159" s="18" t="s">
        <v>121</v>
      </c>
      <c r="H159" s="18" t="s">
        <v>82</v>
      </c>
      <c r="I159" s="17" t="s">
        <v>211</v>
      </c>
      <c r="J159" s="18">
        <v>62012</v>
      </c>
      <c r="K159" s="18">
        <v>45478</v>
      </c>
      <c r="L159" s="19">
        <v>8827</v>
      </c>
      <c r="M159" s="20">
        <f t="shared" ref="M159:M171" si="111">IF(L159="","",(L159+S159)*9%)</f>
        <v>794.43</v>
      </c>
      <c r="N159" s="20">
        <f t="shared" ref="N159:N171" si="112">IF(L159="","",(L159+S159)*9%)</f>
        <v>794.43</v>
      </c>
      <c r="O159" s="20"/>
      <c r="P159" s="80">
        <f t="shared" ref="P159:P172" si="113">SUM(L159:O159)+S159</f>
        <v>10415.86</v>
      </c>
      <c r="Q159" s="82">
        <v>0.14000000000000001</v>
      </c>
      <c r="R159" s="87">
        <f t="shared" si="81"/>
        <v>10416</v>
      </c>
      <c r="S159" s="19"/>
      <c r="T159" s="19"/>
      <c r="U159" s="21" t="str">
        <f t="shared" si="101"/>
        <v/>
      </c>
      <c r="V159" s="22" t="str">
        <f t="shared" si="106"/>
        <v/>
      </c>
      <c r="W159" s="23"/>
      <c r="X159" s="19"/>
      <c r="Y159" s="33">
        <v>46210</v>
      </c>
      <c r="Z159" s="15"/>
    </row>
    <row r="160" spans="1:26" x14ac:dyDescent="0.25">
      <c r="A160" s="21">
        <f>IF(C160="","",COUNTA($C$3:C160))</f>
        <v>158</v>
      </c>
      <c r="B160" s="35" t="str">
        <f t="shared" si="103"/>
        <v>July</v>
      </c>
      <c r="C160" s="31">
        <v>46210</v>
      </c>
      <c r="D160" s="17" t="s">
        <v>444</v>
      </c>
      <c r="E160" s="32">
        <v>46205</v>
      </c>
      <c r="F160" s="17" t="s">
        <v>120</v>
      </c>
      <c r="G160" s="18" t="s">
        <v>121</v>
      </c>
      <c r="H160" s="18" t="s">
        <v>82</v>
      </c>
      <c r="I160" s="17" t="s">
        <v>134</v>
      </c>
      <c r="J160" s="18">
        <v>62013</v>
      </c>
      <c r="K160" s="18">
        <v>45479</v>
      </c>
      <c r="L160" s="19">
        <v>24990</v>
      </c>
      <c r="M160" s="20">
        <f t="shared" si="111"/>
        <v>2249.1</v>
      </c>
      <c r="N160" s="20">
        <f t="shared" si="112"/>
        <v>2249.1</v>
      </c>
      <c r="O160" s="20"/>
      <c r="P160" s="80">
        <f t="shared" si="113"/>
        <v>29488.199999999997</v>
      </c>
      <c r="Q160" s="82">
        <v>-0.2</v>
      </c>
      <c r="R160" s="87">
        <f t="shared" si="81"/>
        <v>29487.999999999996</v>
      </c>
      <c r="S160" s="19"/>
      <c r="T160" s="19"/>
      <c r="U160" s="21" t="str">
        <f t="shared" si="101"/>
        <v/>
      </c>
      <c r="V160" s="22" t="str">
        <f t="shared" si="106"/>
        <v/>
      </c>
      <c r="W160" s="23"/>
      <c r="X160" s="19"/>
      <c r="Y160" s="33">
        <v>46210</v>
      </c>
      <c r="Z160" s="15"/>
    </row>
    <row r="161" spans="1:26" x14ac:dyDescent="0.25">
      <c r="A161" s="21">
        <f>IF(C161="","",COUNTA($C$3:C161))</f>
        <v>159</v>
      </c>
      <c r="B161" s="35" t="str">
        <f t="shared" si="103"/>
        <v>July</v>
      </c>
      <c r="C161" s="31">
        <v>46210</v>
      </c>
      <c r="D161" s="17" t="s">
        <v>445</v>
      </c>
      <c r="E161" s="32">
        <v>46205</v>
      </c>
      <c r="F161" s="17" t="s">
        <v>120</v>
      </c>
      <c r="G161" s="18" t="s">
        <v>121</v>
      </c>
      <c r="H161" s="18" t="s">
        <v>82</v>
      </c>
      <c r="I161" s="17" t="s">
        <v>249</v>
      </c>
      <c r="J161" s="18">
        <v>62014</v>
      </c>
      <c r="K161" s="18">
        <v>45480</v>
      </c>
      <c r="L161" s="19">
        <v>16254</v>
      </c>
      <c r="M161" s="20">
        <f t="shared" si="111"/>
        <v>1462.86</v>
      </c>
      <c r="N161" s="20">
        <f t="shared" si="112"/>
        <v>1462.86</v>
      </c>
      <c r="O161" s="20"/>
      <c r="P161" s="80">
        <f t="shared" si="113"/>
        <v>19179.72</v>
      </c>
      <c r="Q161" s="82">
        <v>0.28000000000000003</v>
      </c>
      <c r="R161" s="87">
        <f t="shared" si="81"/>
        <v>19180</v>
      </c>
      <c r="S161" s="19"/>
      <c r="T161" s="19"/>
      <c r="U161" s="21" t="str">
        <f t="shared" si="101"/>
        <v/>
      </c>
      <c r="V161" s="22" t="str">
        <f t="shared" si="106"/>
        <v/>
      </c>
      <c r="W161" s="23"/>
      <c r="X161" s="19"/>
      <c r="Y161" s="33">
        <v>46210</v>
      </c>
      <c r="Z161" s="15"/>
    </row>
    <row r="162" spans="1:26" x14ac:dyDescent="0.25">
      <c r="A162" s="21">
        <f>IF(C162="","",COUNTA($C$3:C162))</f>
        <v>160</v>
      </c>
      <c r="B162" s="35" t="str">
        <f t="shared" si="103"/>
        <v>July</v>
      </c>
      <c r="C162" s="31">
        <v>46210</v>
      </c>
      <c r="D162" s="17" t="s">
        <v>446</v>
      </c>
      <c r="E162" s="32">
        <v>46205</v>
      </c>
      <c r="F162" s="17" t="s">
        <v>120</v>
      </c>
      <c r="G162" s="18" t="s">
        <v>121</v>
      </c>
      <c r="H162" s="18" t="s">
        <v>82</v>
      </c>
      <c r="I162" s="17" t="s">
        <v>258</v>
      </c>
      <c r="J162" s="18">
        <v>62015</v>
      </c>
      <c r="K162" s="18">
        <v>45481</v>
      </c>
      <c r="L162" s="19">
        <v>12656</v>
      </c>
      <c r="M162" s="20">
        <f t="shared" si="111"/>
        <v>1139.04</v>
      </c>
      <c r="N162" s="20">
        <f t="shared" si="112"/>
        <v>1139.04</v>
      </c>
      <c r="O162" s="20"/>
      <c r="P162" s="80">
        <f t="shared" si="113"/>
        <v>14934.080000000002</v>
      </c>
      <c r="Q162" s="82">
        <v>-0.08</v>
      </c>
      <c r="R162" s="87">
        <f t="shared" si="81"/>
        <v>14934.000000000002</v>
      </c>
      <c r="S162" s="19"/>
      <c r="T162" s="19"/>
      <c r="U162" s="21" t="str">
        <f t="shared" si="101"/>
        <v/>
      </c>
      <c r="V162" s="22" t="str">
        <f t="shared" si="106"/>
        <v/>
      </c>
      <c r="W162" s="23"/>
      <c r="X162" s="19"/>
      <c r="Y162" s="33">
        <v>46210</v>
      </c>
      <c r="Z162" s="15"/>
    </row>
    <row r="163" spans="1:26" x14ac:dyDescent="0.25">
      <c r="A163" s="21">
        <f>IF(C163="","",COUNTA($C$3:C163))</f>
        <v>161</v>
      </c>
      <c r="B163" s="35" t="str">
        <f t="shared" si="103"/>
        <v>July</v>
      </c>
      <c r="C163" s="31">
        <v>46210</v>
      </c>
      <c r="D163" s="17" t="s">
        <v>447</v>
      </c>
      <c r="E163" s="32">
        <v>46205</v>
      </c>
      <c r="F163" s="17" t="s">
        <v>120</v>
      </c>
      <c r="G163" s="18" t="s">
        <v>121</v>
      </c>
      <c r="H163" s="18" t="s">
        <v>82</v>
      </c>
      <c r="I163" s="17" t="s">
        <v>270</v>
      </c>
      <c r="J163" s="18">
        <v>62016</v>
      </c>
      <c r="K163" s="18">
        <v>45482</v>
      </c>
      <c r="L163" s="19">
        <v>29879.5</v>
      </c>
      <c r="M163" s="20">
        <f t="shared" si="111"/>
        <v>2689.1549999999997</v>
      </c>
      <c r="N163" s="20">
        <f t="shared" si="112"/>
        <v>2689.1549999999997</v>
      </c>
      <c r="O163" s="20"/>
      <c r="P163" s="80">
        <f t="shared" si="113"/>
        <v>35257.81</v>
      </c>
      <c r="Q163" s="82">
        <v>0.19</v>
      </c>
      <c r="R163" s="87">
        <f t="shared" si="81"/>
        <v>35258</v>
      </c>
      <c r="S163" s="19"/>
      <c r="T163" s="19"/>
      <c r="U163" s="21" t="str">
        <f t="shared" si="101"/>
        <v/>
      </c>
      <c r="V163" s="22" t="str">
        <f t="shared" si="106"/>
        <v/>
      </c>
      <c r="W163" s="23"/>
      <c r="X163" s="19"/>
      <c r="Y163" s="33">
        <v>46210</v>
      </c>
      <c r="Z163" s="15"/>
    </row>
    <row r="164" spans="1:26" x14ac:dyDescent="0.25">
      <c r="A164" s="21">
        <f>IF(C164="","",COUNTA($C$3:C164))</f>
        <v>162</v>
      </c>
      <c r="B164" s="35" t="str">
        <f t="shared" si="103"/>
        <v>July</v>
      </c>
      <c r="C164" s="31">
        <v>46210</v>
      </c>
      <c r="D164" s="17" t="s">
        <v>448</v>
      </c>
      <c r="E164" s="32">
        <v>46205</v>
      </c>
      <c r="F164" s="17" t="s">
        <v>120</v>
      </c>
      <c r="G164" s="18" t="s">
        <v>121</v>
      </c>
      <c r="H164" s="18" t="s">
        <v>82</v>
      </c>
      <c r="I164" s="17" t="s">
        <v>341</v>
      </c>
      <c r="J164" s="18">
        <v>62017</v>
      </c>
      <c r="K164" s="18">
        <v>45483</v>
      </c>
      <c r="L164" s="19">
        <v>11168.5</v>
      </c>
      <c r="M164" s="20">
        <f t="shared" si="111"/>
        <v>1005.165</v>
      </c>
      <c r="N164" s="20">
        <f t="shared" si="112"/>
        <v>1005.165</v>
      </c>
      <c r="O164" s="20"/>
      <c r="P164" s="80">
        <f t="shared" si="113"/>
        <v>13178.830000000002</v>
      </c>
      <c r="Q164" s="82">
        <v>0.17</v>
      </c>
      <c r="R164" s="87">
        <f t="shared" si="81"/>
        <v>13179.000000000002</v>
      </c>
      <c r="S164" s="19"/>
      <c r="T164" s="19"/>
      <c r="U164" s="21" t="str">
        <f t="shared" si="101"/>
        <v/>
      </c>
      <c r="V164" s="22" t="str">
        <f t="shared" si="106"/>
        <v/>
      </c>
      <c r="W164" s="23"/>
      <c r="X164" s="19"/>
      <c r="Y164" s="33">
        <v>46210</v>
      </c>
      <c r="Z164" s="15"/>
    </row>
    <row r="165" spans="1:26" x14ac:dyDescent="0.25">
      <c r="A165" s="21">
        <f>IF(C165="","",COUNTA($C$3:C165))</f>
        <v>163</v>
      </c>
      <c r="B165" s="35" t="str">
        <f t="shared" si="103"/>
        <v>July</v>
      </c>
      <c r="C165" s="31">
        <v>46210</v>
      </c>
      <c r="D165" s="17" t="s">
        <v>449</v>
      </c>
      <c r="E165" s="32">
        <v>46205</v>
      </c>
      <c r="F165" s="17" t="s">
        <v>120</v>
      </c>
      <c r="G165" s="18" t="s">
        <v>121</v>
      </c>
      <c r="H165" s="18" t="s">
        <v>82</v>
      </c>
      <c r="I165" s="17" t="s">
        <v>450</v>
      </c>
      <c r="J165" s="18">
        <v>62018</v>
      </c>
      <c r="K165" s="18">
        <v>45484</v>
      </c>
      <c r="L165" s="19">
        <v>28507.5</v>
      </c>
      <c r="M165" s="20">
        <f t="shared" si="111"/>
        <v>2565.6749999999997</v>
      </c>
      <c r="N165" s="20">
        <f t="shared" si="112"/>
        <v>2565.6749999999997</v>
      </c>
      <c r="O165" s="20"/>
      <c r="P165" s="80">
        <f t="shared" si="113"/>
        <v>33638.85</v>
      </c>
      <c r="Q165" s="82">
        <v>0.15</v>
      </c>
      <c r="R165" s="87">
        <f t="shared" si="81"/>
        <v>33639</v>
      </c>
      <c r="S165" s="19"/>
      <c r="T165" s="19"/>
      <c r="U165" s="21" t="str">
        <f t="shared" si="101"/>
        <v/>
      </c>
      <c r="V165" s="22" t="str">
        <f t="shared" si="106"/>
        <v/>
      </c>
      <c r="W165" s="23"/>
      <c r="X165" s="19"/>
      <c r="Y165" s="33">
        <v>46210</v>
      </c>
      <c r="Z165" s="15"/>
    </row>
    <row r="166" spans="1:26" x14ac:dyDescent="0.25">
      <c r="A166" s="21">
        <f>IF(C166="","",COUNTA($C$3:C166))</f>
        <v>164</v>
      </c>
      <c r="B166" s="35" t="str">
        <f t="shared" si="103"/>
        <v>July</v>
      </c>
      <c r="C166" s="31">
        <v>46210</v>
      </c>
      <c r="D166" s="17" t="s">
        <v>451</v>
      </c>
      <c r="E166" s="32">
        <v>46205</v>
      </c>
      <c r="F166" s="17" t="s">
        <v>120</v>
      </c>
      <c r="G166" s="18" t="s">
        <v>121</v>
      </c>
      <c r="H166" s="18" t="s">
        <v>82</v>
      </c>
      <c r="I166" s="17" t="s">
        <v>362</v>
      </c>
      <c r="J166" s="18">
        <v>62019</v>
      </c>
      <c r="K166" s="18">
        <v>45485</v>
      </c>
      <c r="L166" s="19">
        <v>5999</v>
      </c>
      <c r="M166" s="20">
        <f t="shared" si="111"/>
        <v>539.91</v>
      </c>
      <c r="N166" s="20">
        <f t="shared" si="112"/>
        <v>539.91</v>
      </c>
      <c r="O166" s="20"/>
      <c r="P166" s="80">
        <f t="shared" si="113"/>
        <v>7078.82</v>
      </c>
      <c r="Q166" s="82">
        <v>0.18</v>
      </c>
      <c r="R166" s="87">
        <f t="shared" si="81"/>
        <v>7079</v>
      </c>
      <c r="S166" s="19"/>
      <c r="T166" s="19"/>
      <c r="U166" s="21" t="str">
        <f t="shared" si="101"/>
        <v/>
      </c>
      <c r="V166" s="22" t="str">
        <f t="shared" si="106"/>
        <v/>
      </c>
      <c r="W166" s="23"/>
      <c r="X166" s="19"/>
      <c r="Y166" s="33">
        <v>46210</v>
      </c>
      <c r="Z166" s="15"/>
    </row>
    <row r="167" spans="1:26" x14ac:dyDescent="0.25">
      <c r="A167" s="21">
        <f>IF(C167="","",COUNTA($C$3:C167))</f>
        <v>165</v>
      </c>
      <c r="B167" s="35" t="str">
        <f t="shared" si="103"/>
        <v>July</v>
      </c>
      <c r="C167" s="31">
        <v>46210</v>
      </c>
      <c r="D167" s="17" t="s">
        <v>452</v>
      </c>
      <c r="E167" s="32">
        <v>46205</v>
      </c>
      <c r="F167" s="17" t="s">
        <v>120</v>
      </c>
      <c r="G167" s="18" t="s">
        <v>121</v>
      </c>
      <c r="H167" s="18" t="s">
        <v>82</v>
      </c>
      <c r="I167" s="17" t="s">
        <v>341</v>
      </c>
      <c r="J167" s="18">
        <v>62020</v>
      </c>
      <c r="K167" s="18">
        <v>45486</v>
      </c>
      <c r="L167" s="19">
        <v>10475.5</v>
      </c>
      <c r="M167" s="20">
        <f t="shared" si="111"/>
        <v>942.79499999999996</v>
      </c>
      <c r="N167" s="20">
        <f t="shared" si="112"/>
        <v>942.79499999999996</v>
      </c>
      <c r="O167" s="20"/>
      <c r="P167" s="80">
        <f t="shared" si="113"/>
        <v>12361.09</v>
      </c>
      <c r="Q167" s="82">
        <v>-0.09</v>
      </c>
      <c r="R167" s="87">
        <f t="shared" si="81"/>
        <v>12361</v>
      </c>
      <c r="S167" s="19"/>
      <c r="T167" s="19"/>
      <c r="U167" s="21" t="str">
        <f t="shared" si="101"/>
        <v/>
      </c>
      <c r="V167" s="22" t="str">
        <f t="shared" si="106"/>
        <v/>
      </c>
      <c r="W167" s="23"/>
      <c r="X167" s="19"/>
      <c r="Y167" s="33">
        <v>46210</v>
      </c>
      <c r="Z167" s="15"/>
    </row>
    <row r="168" spans="1:26" x14ac:dyDescent="0.25">
      <c r="A168" s="21">
        <f>IF(C168="","",COUNTA($C$3:C168))</f>
        <v>166</v>
      </c>
      <c r="B168" s="35" t="str">
        <f t="shared" si="103"/>
        <v>July</v>
      </c>
      <c r="C168" s="31">
        <v>46210</v>
      </c>
      <c r="D168" s="17" t="s">
        <v>453</v>
      </c>
      <c r="E168" s="32">
        <v>46205</v>
      </c>
      <c r="F168" s="17" t="s">
        <v>120</v>
      </c>
      <c r="G168" s="18" t="s">
        <v>121</v>
      </c>
      <c r="H168" s="18" t="s">
        <v>82</v>
      </c>
      <c r="I168" s="17" t="s">
        <v>415</v>
      </c>
      <c r="J168" s="18">
        <v>62021</v>
      </c>
      <c r="K168" s="18">
        <v>45487</v>
      </c>
      <c r="L168" s="19">
        <v>57326.5</v>
      </c>
      <c r="M168" s="20">
        <f t="shared" si="111"/>
        <v>5159.3850000000002</v>
      </c>
      <c r="N168" s="20">
        <f t="shared" si="112"/>
        <v>5159.3850000000002</v>
      </c>
      <c r="O168" s="20"/>
      <c r="P168" s="80">
        <f t="shared" si="113"/>
        <v>67645.27</v>
      </c>
      <c r="Q168" s="82">
        <v>-0.27</v>
      </c>
      <c r="R168" s="87">
        <f t="shared" si="81"/>
        <v>67645</v>
      </c>
      <c r="S168" s="19"/>
      <c r="T168" s="19"/>
      <c r="U168" s="21" t="str">
        <f t="shared" si="101"/>
        <v/>
      </c>
      <c r="V168" s="22" t="str">
        <f t="shared" si="106"/>
        <v/>
      </c>
      <c r="W168" s="23"/>
      <c r="X168" s="19"/>
      <c r="Y168" s="33">
        <v>46210</v>
      </c>
      <c r="Z168" s="15"/>
    </row>
    <row r="169" spans="1:26" x14ac:dyDescent="0.25">
      <c r="A169" s="21">
        <f>IF(C169="","",COUNTA($C$3:C169))</f>
        <v>167</v>
      </c>
      <c r="B169" s="35" t="str">
        <f t="shared" si="103"/>
        <v>July</v>
      </c>
      <c r="C169" s="31">
        <v>46210</v>
      </c>
      <c r="D169" s="17" t="s">
        <v>260</v>
      </c>
      <c r="E169" s="32">
        <v>46155</v>
      </c>
      <c r="F169" s="17" t="s">
        <v>120</v>
      </c>
      <c r="G169" s="18" t="s">
        <v>121</v>
      </c>
      <c r="H169" s="18" t="s">
        <v>122</v>
      </c>
      <c r="I169" s="17" t="s">
        <v>134</v>
      </c>
      <c r="J169" s="18">
        <v>61965</v>
      </c>
      <c r="K169" s="18">
        <v>45488</v>
      </c>
      <c r="L169" s="19">
        <v>495220.5</v>
      </c>
      <c r="M169" s="20">
        <f t="shared" si="111"/>
        <v>44569.845000000001</v>
      </c>
      <c r="N169" s="20">
        <f t="shared" si="112"/>
        <v>44569.845000000001</v>
      </c>
      <c r="O169" s="20"/>
      <c r="P169" s="80">
        <f t="shared" si="113"/>
        <v>584360.18999999994</v>
      </c>
      <c r="Q169" s="82">
        <v>-0.19</v>
      </c>
      <c r="R169" s="87">
        <f t="shared" si="81"/>
        <v>584360</v>
      </c>
      <c r="S169" s="19"/>
      <c r="T169" s="19"/>
      <c r="U169" s="21" t="str">
        <f t="shared" si="101"/>
        <v/>
      </c>
      <c r="V169" s="22" t="str">
        <f t="shared" si="106"/>
        <v/>
      </c>
      <c r="W169" s="23" t="s">
        <v>124</v>
      </c>
      <c r="X169" s="19">
        <v>8390</v>
      </c>
      <c r="Y169" s="33">
        <v>46211</v>
      </c>
      <c r="Z169" s="15"/>
    </row>
    <row r="170" spans="1:26" x14ac:dyDescent="0.25">
      <c r="A170" s="21">
        <f>IF(C170="","",COUNTA($C$3:C170))</f>
        <v>168</v>
      </c>
      <c r="B170" s="35" t="str">
        <f t="shared" si="103"/>
        <v>July</v>
      </c>
      <c r="C170" s="31">
        <v>46211</v>
      </c>
      <c r="D170" s="17" t="s">
        <v>458</v>
      </c>
      <c r="E170" s="32">
        <v>46022</v>
      </c>
      <c r="F170" s="17" t="s">
        <v>120</v>
      </c>
      <c r="G170" s="18" t="s">
        <v>121</v>
      </c>
      <c r="H170" s="18" t="s">
        <v>122</v>
      </c>
      <c r="I170" s="17" t="s">
        <v>168</v>
      </c>
      <c r="J170" s="18">
        <v>61859</v>
      </c>
      <c r="K170" s="18">
        <v>45489</v>
      </c>
      <c r="L170" s="19">
        <v>10920</v>
      </c>
      <c r="M170" s="20">
        <f t="shared" si="111"/>
        <v>982.8</v>
      </c>
      <c r="N170" s="20">
        <f t="shared" si="112"/>
        <v>982.8</v>
      </c>
      <c r="O170" s="20"/>
      <c r="P170" s="80">
        <f t="shared" si="113"/>
        <v>12885.599999999999</v>
      </c>
      <c r="Q170" s="82">
        <v>0.4</v>
      </c>
      <c r="R170" s="87">
        <f t="shared" si="81"/>
        <v>12885.999999999998</v>
      </c>
      <c r="S170" s="19"/>
      <c r="T170" s="19"/>
      <c r="U170" s="21" t="str">
        <f t="shared" si="101"/>
        <v/>
      </c>
      <c r="V170" s="22" t="str">
        <f t="shared" si="106"/>
        <v/>
      </c>
      <c r="W170" s="23" t="s">
        <v>159</v>
      </c>
      <c r="X170" s="19" t="s">
        <v>160</v>
      </c>
      <c r="Y170" s="33">
        <v>46212</v>
      </c>
      <c r="Z170" s="15"/>
    </row>
    <row r="171" spans="1:26" x14ac:dyDescent="0.25">
      <c r="A171" s="21">
        <f>IF(C171="","",COUNTA($C$3:C171))</f>
        <v>169</v>
      </c>
      <c r="B171" s="35" t="str">
        <f t="shared" si="103"/>
        <v>July</v>
      </c>
      <c r="C171" s="31">
        <v>46211</v>
      </c>
      <c r="D171" s="17" t="s">
        <v>260</v>
      </c>
      <c r="E171" s="32">
        <v>46155</v>
      </c>
      <c r="F171" s="17" t="s">
        <v>120</v>
      </c>
      <c r="G171" s="18" t="s">
        <v>121</v>
      </c>
      <c r="H171" s="18" t="s">
        <v>122</v>
      </c>
      <c r="I171" s="17" t="s">
        <v>134</v>
      </c>
      <c r="J171" s="18">
        <v>61965</v>
      </c>
      <c r="K171" s="18">
        <v>45490</v>
      </c>
      <c r="L171" s="19">
        <v>569007.19999999995</v>
      </c>
      <c r="M171" s="20">
        <f t="shared" si="111"/>
        <v>51210.647999999994</v>
      </c>
      <c r="N171" s="20">
        <f t="shared" si="112"/>
        <v>51210.647999999994</v>
      </c>
      <c r="O171" s="20"/>
      <c r="P171" s="80">
        <f t="shared" si="113"/>
        <v>671428.49600000004</v>
      </c>
      <c r="Q171" s="82">
        <v>0.5</v>
      </c>
      <c r="R171" s="87">
        <f t="shared" si="81"/>
        <v>671428.99600000004</v>
      </c>
      <c r="S171" s="19"/>
      <c r="T171" s="19"/>
      <c r="U171" s="21" t="str">
        <f t="shared" si="101"/>
        <v/>
      </c>
      <c r="V171" s="22" t="str">
        <f t="shared" si="106"/>
        <v/>
      </c>
      <c r="W171" s="23" t="s">
        <v>124</v>
      </c>
      <c r="X171" s="19">
        <v>8391</v>
      </c>
      <c r="Y171" s="33">
        <v>46212</v>
      </c>
      <c r="Z171" s="15"/>
    </row>
    <row r="172" spans="1:26" x14ac:dyDescent="0.25">
      <c r="A172" s="21">
        <f>IF(C172="","",COUNTA($C$3:C172))</f>
        <v>170</v>
      </c>
      <c r="B172" s="35" t="str">
        <f t="shared" si="103"/>
        <v>July</v>
      </c>
      <c r="C172" s="31">
        <v>46211</v>
      </c>
      <c r="D172" s="17" t="s">
        <v>401</v>
      </c>
      <c r="E172" s="32">
        <v>46190</v>
      </c>
      <c r="F172" s="17" t="s">
        <v>120</v>
      </c>
      <c r="G172" s="18" t="s">
        <v>262</v>
      </c>
      <c r="H172" s="18" t="s">
        <v>122</v>
      </c>
      <c r="I172" s="17" t="s">
        <v>263</v>
      </c>
      <c r="J172" s="18">
        <v>61967</v>
      </c>
      <c r="K172" s="18">
        <v>45491</v>
      </c>
      <c r="L172" s="19">
        <v>737491.9</v>
      </c>
      <c r="M172" s="20"/>
      <c r="N172" s="20"/>
      <c r="O172" s="19">
        <f t="shared" ref="O172" si="114">IF(L172="","",(L172+S172)*18%)</f>
        <v>132748.54199999999</v>
      </c>
      <c r="P172" s="80">
        <f t="shared" si="113"/>
        <v>870240.44200000004</v>
      </c>
      <c r="Q172" s="82">
        <v>-0.44</v>
      </c>
      <c r="R172" s="87">
        <f t="shared" si="81"/>
        <v>870240.00200000009</v>
      </c>
      <c r="S172" s="19"/>
      <c r="T172" s="19"/>
      <c r="U172" s="21" t="str">
        <f t="shared" si="101"/>
        <v/>
      </c>
      <c r="V172" s="22" t="str">
        <f t="shared" si="106"/>
        <v/>
      </c>
      <c r="W172" s="23" t="s">
        <v>124</v>
      </c>
      <c r="X172" s="74">
        <v>8392</v>
      </c>
      <c r="Y172" s="33">
        <v>46212</v>
      </c>
      <c r="Z172" s="15"/>
    </row>
    <row r="173" spans="1:26" x14ac:dyDescent="0.25">
      <c r="A173" s="21">
        <f>IF(C173="","",COUNTA($C$3:C173))</f>
        <v>171</v>
      </c>
      <c r="B173" s="35" t="str">
        <f t="shared" si="103"/>
        <v>July</v>
      </c>
      <c r="C173" s="31">
        <v>46212</v>
      </c>
      <c r="D173" s="17" t="s">
        <v>260</v>
      </c>
      <c r="E173" s="32">
        <v>46155</v>
      </c>
      <c r="F173" s="17" t="s">
        <v>120</v>
      </c>
      <c r="G173" s="18" t="s">
        <v>121</v>
      </c>
      <c r="H173" s="18" t="s">
        <v>122</v>
      </c>
      <c r="I173" s="17" t="s">
        <v>134</v>
      </c>
      <c r="J173" s="18">
        <v>61965</v>
      </c>
      <c r="K173" s="18">
        <v>45492</v>
      </c>
      <c r="L173" s="19">
        <v>54775.5</v>
      </c>
      <c r="M173" s="20">
        <f t="shared" ref="M173:M175" si="115">IF(L173="","",(L173+S173)*9%)</f>
        <v>5514.7950000000001</v>
      </c>
      <c r="N173" s="20">
        <f t="shared" ref="N173:N175" si="116">IF(L173="","",(L173+S173)*9%)</f>
        <v>5514.7950000000001</v>
      </c>
      <c r="O173" s="20"/>
      <c r="P173" s="80">
        <f t="shared" ref="P173:P176" si="117">SUM(L173:O173)+S173</f>
        <v>72305.09</v>
      </c>
      <c r="Q173" s="82">
        <v>-0.09</v>
      </c>
      <c r="R173" s="87">
        <f t="shared" ref="R173:R209" si="118">P173+Q173</f>
        <v>72305</v>
      </c>
      <c r="S173" s="19">
        <v>6500</v>
      </c>
      <c r="T173" s="19">
        <v>5650</v>
      </c>
      <c r="U173" s="21">
        <f t="shared" si="101"/>
        <v>850</v>
      </c>
      <c r="V173" s="22">
        <f t="shared" si="106"/>
        <v>0.15044247787610621</v>
      </c>
      <c r="W173" s="23" t="s">
        <v>124</v>
      </c>
      <c r="X173" s="74">
        <v>8393</v>
      </c>
      <c r="Y173" s="33">
        <v>46216</v>
      </c>
      <c r="Z173" s="15"/>
    </row>
    <row r="174" spans="1:26" x14ac:dyDescent="0.25">
      <c r="A174" s="21">
        <f>IF(C174="","",COUNTA($C$3:C174))</f>
        <v>172</v>
      </c>
      <c r="B174" s="35" t="str">
        <f t="shared" si="103"/>
        <v>July</v>
      </c>
      <c r="C174" s="31">
        <v>46212</v>
      </c>
      <c r="D174" s="17" t="s">
        <v>459</v>
      </c>
      <c r="E174" s="32">
        <v>46206</v>
      </c>
      <c r="F174" s="17" t="s">
        <v>120</v>
      </c>
      <c r="G174" s="18" t="s">
        <v>121</v>
      </c>
      <c r="H174" s="18" t="s">
        <v>122</v>
      </c>
      <c r="I174" s="17" t="s">
        <v>460</v>
      </c>
      <c r="J174" s="18">
        <v>62024</v>
      </c>
      <c r="K174" s="18">
        <v>45493</v>
      </c>
      <c r="L174" s="19">
        <v>193354.2</v>
      </c>
      <c r="M174" s="20">
        <f t="shared" si="115"/>
        <v>17401.878000000001</v>
      </c>
      <c r="N174" s="20">
        <f t="shared" si="116"/>
        <v>17401.878000000001</v>
      </c>
      <c r="O174" s="20"/>
      <c r="P174" s="80">
        <f t="shared" si="117"/>
        <v>228157.95600000001</v>
      </c>
      <c r="Q174" s="82">
        <v>0.04</v>
      </c>
      <c r="R174" s="87">
        <f t="shared" si="118"/>
        <v>228157.99600000001</v>
      </c>
      <c r="S174" s="19"/>
      <c r="T174" s="19"/>
      <c r="U174" s="21" t="str">
        <f t="shared" si="101"/>
        <v/>
      </c>
      <c r="V174" s="22" t="str">
        <f t="shared" si="106"/>
        <v/>
      </c>
      <c r="W174" s="23" t="s">
        <v>164</v>
      </c>
      <c r="X174" s="74">
        <v>11196</v>
      </c>
      <c r="Y174" s="33">
        <v>46213</v>
      </c>
      <c r="Z174" s="15"/>
    </row>
    <row r="175" spans="1:26" x14ac:dyDescent="0.25">
      <c r="A175" s="21">
        <f>IF(C175="","",COUNTA($C$3:C175))</f>
        <v>173</v>
      </c>
      <c r="B175" s="35" t="str">
        <f t="shared" si="103"/>
        <v>July</v>
      </c>
      <c r="C175" s="31">
        <v>46213</v>
      </c>
      <c r="D175" s="17" t="s">
        <v>399</v>
      </c>
      <c r="E175" s="32">
        <v>46185</v>
      </c>
      <c r="F175" s="17" t="s">
        <v>120</v>
      </c>
      <c r="G175" s="18" t="s">
        <v>172</v>
      </c>
      <c r="H175" s="18" t="s">
        <v>122</v>
      </c>
      <c r="I175" s="17" t="s">
        <v>173</v>
      </c>
      <c r="J175" s="18">
        <v>61997</v>
      </c>
      <c r="K175" s="18">
        <v>45494</v>
      </c>
      <c r="L175" s="19">
        <v>931834.6</v>
      </c>
      <c r="M175" s="20">
        <f t="shared" si="115"/>
        <v>83865.114000000001</v>
      </c>
      <c r="N175" s="20">
        <f t="shared" si="116"/>
        <v>83865.114000000001</v>
      </c>
      <c r="O175" s="20"/>
      <c r="P175" s="80">
        <f t="shared" si="117"/>
        <v>1099564.828</v>
      </c>
      <c r="Q175" s="82">
        <v>0.17</v>
      </c>
      <c r="R175" s="87">
        <f t="shared" si="118"/>
        <v>1099564.9979999999</v>
      </c>
      <c r="S175" s="19"/>
      <c r="T175" s="19"/>
      <c r="U175" s="21" t="str">
        <f t="shared" si="101"/>
        <v/>
      </c>
      <c r="V175" s="22" t="str">
        <f t="shared" si="106"/>
        <v/>
      </c>
      <c r="W175" s="23" t="s">
        <v>124</v>
      </c>
      <c r="X175" s="74">
        <v>8394</v>
      </c>
      <c r="Y175" s="33">
        <v>46214</v>
      </c>
      <c r="Z175" s="15"/>
    </row>
    <row r="176" spans="1:26" x14ac:dyDescent="0.25">
      <c r="A176" s="21">
        <f>IF(C176="","",COUNTA($C$3:C176))</f>
        <v>174</v>
      </c>
      <c r="B176" s="35" t="str">
        <f t="shared" si="103"/>
        <v>July</v>
      </c>
      <c r="C176" s="31">
        <v>46214</v>
      </c>
      <c r="D176" s="17" t="s">
        <v>461</v>
      </c>
      <c r="E176" s="32">
        <v>46204</v>
      </c>
      <c r="F176" s="17" t="s">
        <v>120</v>
      </c>
      <c r="G176" s="18" t="s">
        <v>221</v>
      </c>
      <c r="H176" s="18" t="s">
        <v>122</v>
      </c>
      <c r="I176" s="17" t="s">
        <v>222</v>
      </c>
      <c r="J176" s="18">
        <v>62008</v>
      </c>
      <c r="K176" s="18">
        <v>45495</v>
      </c>
      <c r="L176" s="19">
        <v>120690.5</v>
      </c>
      <c r="M176" s="20"/>
      <c r="N176" s="20"/>
      <c r="O176" s="19">
        <f t="shared" ref="O176" si="119">IF(L176="","",(L176+S176)*18%)</f>
        <v>22534.29</v>
      </c>
      <c r="P176" s="80">
        <f t="shared" si="117"/>
        <v>147724.79</v>
      </c>
      <c r="Q176" s="82">
        <v>0.21</v>
      </c>
      <c r="R176" s="87">
        <f t="shared" si="118"/>
        <v>147725</v>
      </c>
      <c r="S176" s="19">
        <v>4500</v>
      </c>
      <c r="T176" s="19">
        <v>3900</v>
      </c>
      <c r="U176" s="21">
        <f t="shared" si="101"/>
        <v>600</v>
      </c>
      <c r="V176" s="22">
        <f t="shared" si="106"/>
        <v>0.15384615384615385</v>
      </c>
      <c r="W176" s="23" t="s">
        <v>164</v>
      </c>
      <c r="X176" s="74" t="s">
        <v>160</v>
      </c>
      <c r="Y176" s="33">
        <v>46216</v>
      </c>
      <c r="Z176" s="15"/>
    </row>
    <row r="177" spans="1:26" x14ac:dyDescent="0.25">
      <c r="A177" s="21">
        <f>IF(C177="","",COUNTA($C$3:C177))</f>
        <v>175</v>
      </c>
      <c r="B177" s="35" t="str">
        <f t="shared" si="103"/>
        <v>July</v>
      </c>
      <c r="C177" s="31">
        <v>46214</v>
      </c>
      <c r="D177" s="17" t="s">
        <v>440</v>
      </c>
      <c r="E177" s="32">
        <v>46179</v>
      </c>
      <c r="F177" s="17" t="s">
        <v>120</v>
      </c>
      <c r="G177" s="18" t="s">
        <v>121</v>
      </c>
      <c r="H177" s="18" t="s">
        <v>122</v>
      </c>
      <c r="I177" s="17" t="s">
        <v>382</v>
      </c>
      <c r="J177" s="18">
        <v>61993</v>
      </c>
      <c r="K177" s="18">
        <v>45496</v>
      </c>
      <c r="L177" s="19">
        <v>138874.20000000001</v>
      </c>
      <c r="M177" s="20">
        <f t="shared" ref="M177" si="120">IF(L177="","",(L177+S177)*9%)</f>
        <v>13038.678</v>
      </c>
      <c r="N177" s="20">
        <f t="shared" ref="N177" si="121">IF(L177="","",(L177+S177)*9%)</f>
        <v>13038.678</v>
      </c>
      <c r="O177" s="20"/>
      <c r="P177" s="80">
        <f t="shared" ref="P177:P181" si="122">SUM(L177:O177)+S177</f>
        <v>170951.55600000004</v>
      </c>
      <c r="Q177" s="82">
        <v>0.44</v>
      </c>
      <c r="R177" s="87">
        <f t="shared" si="118"/>
        <v>170951.99600000004</v>
      </c>
      <c r="S177" s="19">
        <v>6000</v>
      </c>
      <c r="T177" s="19">
        <v>5650</v>
      </c>
      <c r="U177" s="21">
        <f t="shared" si="101"/>
        <v>350</v>
      </c>
      <c r="V177" s="22">
        <f t="shared" si="106"/>
        <v>6.1946902654867256E-2</v>
      </c>
      <c r="W177" s="23" t="s">
        <v>124</v>
      </c>
      <c r="X177" s="74">
        <v>8395</v>
      </c>
      <c r="Y177" s="33">
        <v>46216</v>
      </c>
      <c r="Z177" s="15"/>
    </row>
    <row r="178" spans="1:26" x14ac:dyDescent="0.25">
      <c r="A178" s="21">
        <f>IF(C178="","",COUNTA($C$3:C178))</f>
        <v>176</v>
      </c>
      <c r="B178" s="35" t="str">
        <f t="shared" si="103"/>
        <v>July</v>
      </c>
      <c r="C178" s="31">
        <v>46216</v>
      </c>
      <c r="D178" s="17" t="s">
        <v>464</v>
      </c>
      <c r="E178" s="32">
        <v>46213</v>
      </c>
      <c r="F178" s="17" t="s">
        <v>120</v>
      </c>
      <c r="G178" s="18" t="s">
        <v>465</v>
      </c>
      <c r="H178" s="18" t="s">
        <v>122</v>
      </c>
      <c r="I178" s="17" t="s">
        <v>466</v>
      </c>
      <c r="J178" s="18">
        <v>62027</v>
      </c>
      <c r="K178" s="18">
        <v>45497</v>
      </c>
      <c r="L178" s="19">
        <v>552077.69999999995</v>
      </c>
      <c r="M178" s="20"/>
      <c r="N178" s="20"/>
      <c r="O178" s="19">
        <f t="shared" ref="O178:O181" si="123">IF(L178="","",(L178+S178)*18%)</f>
        <v>99373.98599999999</v>
      </c>
      <c r="P178" s="80">
        <f t="shared" si="122"/>
        <v>651451.68599999999</v>
      </c>
      <c r="Q178" s="82">
        <v>0.31</v>
      </c>
      <c r="R178" s="87">
        <f t="shared" si="118"/>
        <v>651451.99600000004</v>
      </c>
      <c r="S178" s="19"/>
      <c r="T178" s="19"/>
      <c r="U178" s="21" t="str">
        <f t="shared" si="101"/>
        <v/>
      </c>
      <c r="V178" s="22" t="str">
        <f t="shared" si="106"/>
        <v/>
      </c>
      <c r="W178" s="23" t="s">
        <v>124</v>
      </c>
      <c r="X178" s="74">
        <v>8396</v>
      </c>
      <c r="Y178" s="33">
        <v>46217</v>
      </c>
      <c r="Z178" s="15"/>
    </row>
    <row r="179" spans="1:26" x14ac:dyDescent="0.25">
      <c r="A179" s="21">
        <f>IF(C179="","",COUNTA($C$3:C179))</f>
        <v>177</v>
      </c>
      <c r="B179" s="35" t="str">
        <f t="shared" si="103"/>
        <v>July</v>
      </c>
      <c r="C179" s="31">
        <v>46216</v>
      </c>
      <c r="D179" s="17" t="s">
        <v>464</v>
      </c>
      <c r="E179" s="32">
        <v>46213</v>
      </c>
      <c r="F179" s="17" t="s">
        <v>120</v>
      </c>
      <c r="G179" s="18" t="s">
        <v>465</v>
      </c>
      <c r="H179" s="18" t="s">
        <v>122</v>
      </c>
      <c r="I179" s="17" t="s">
        <v>466</v>
      </c>
      <c r="J179" s="18">
        <v>62027</v>
      </c>
      <c r="K179" s="18">
        <v>45498</v>
      </c>
      <c r="L179" s="19">
        <v>493838.1</v>
      </c>
      <c r="M179" s="20"/>
      <c r="N179" s="20"/>
      <c r="O179" s="19">
        <f t="shared" si="123"/>
        <v>88890.857999999993</v>
      </c>
      <c r="P179" s="80">
        <f t="shared" si="122"/>
        <v>582728.95799999998</v>
      </c>
      <c r="Q179" s="82">
        <v>0.04</v>
      </c>
      <c r="R179" s="87">
        <f t="shared" si="118"/>
        <v>582728.99800000002</v>
      </c>
      <c r="S179" s="19"/>
      <c r="T179" s="19"/>
      <c r="U179" s="21" t="str">
        <f t="shared" si="101"/>
        <v/>
      </c>
      <c r="V179" s="22" t="str">
        <f t="shared" si="106"/>
        <v/>
      </c>
      <c r="W179" s="23" t="s">
        <v>124</v>
      </c>
      <c r="X179" s="74">
        <v>8397</v>
      </c>
      <c r="Y179" s="33">
        <v>46217</v>
      </c>
      <c r="Z179" s="15"/>
    </row>
    <row r="180" spans="1:26" x14ac:dyDescent="0.25">
      <c r="A180" s="21">
        <f>IF(C180="","",COUNTA($C$3:C180))</f>
        <v>178</v>
      </c>
      <c r="B180" s="35" t="str">
        <f t="shared" si="103"/>
        <v>July</v>
      </c>
      <c r="C180" s="31">
        <v>46217</v>
      </c>
      <c r="D180" s="17" t="s">
        <v>464</v>
      </c>
      <c r="E180" s="32">
        <v>46213</v>
      </c>
      <c r="F180" s="17" t="s">
        <v>120</v>
      </c>
      <c r="G180" s="18" t="s">
        <v>465</v>
      </c>
      <c r="H180" s="18" t="s">
        <v>122</v>
      </c>
      <c r="I180" s="17" t="s">
        <v>466</v>
      </c>
      <c r="J180" s="18">
        <v>62027</v>
      </c>
      <c r="K180" s="18">
        <v>45499</v>
      </c>
      <c r="L180" s="19">
        <v>505268.3</v>
      </c>
      <c r="M180" s="20"/>
      <c r="N180" s="20"/>
      <c r="O180" s="19">
        <f t="shared" si="123"/>
        <v>90948.293999999994</v>
      </c>
      <c r="P180" s="80">
        <f t="shared" si="122"/>
        <v>596216.59400000004</v>
      </c>
      <c r="Q180" s="82">
        <v>0.41</v>
      </c>
      <c r="R180" s="87">
        <f t="shared" si="118"/>
        <v>596217.00400000007</v>
      </c>
      <c r="S180" s="19"/>
      <c r="T180" s="19"/>
      <c r="U180" s="21" t="str">
        <f t="shared" si="101"/>
        <v/>
      </c>
      <c r="V180" s="22" t="str">
        <f t="shared" si="106"/>
        <v/>
      </c>
      <c r="W180" s="23" t="s">
        <v>124</v>
      </c>
      <c r="X180" s="74">
        <v>8398</v>
      </c>
      <c r="Y180" s="33">
        <v>46219</v>
      </c>
      <c r="Z180" s="15"/>
    </row>
    <row r="181" spans="1:26" x14ac:dyDescent="0.25">
      <c r="A181" s="21">
        <f>IF(C181="","",COUNTA($C$3:C181))</f>
        <v>179</v>
      </c>
      <c r="B181" s="35" t="str">
        <f t="shared" si="103"/>
        <v>July</v>
      </c>
      <c r="C181" s="31">
        <v>46217</v>
      </c>
      <c r="D181" s="17" t="s">
        <v>464</v>
      </c>
      <c r="E181" s="32">
        <v>46213</v>
      </c>
      <c r="F181" s="17" t="s">
        <v>120</v>
      </c>
      <c r="G181" s="18" t="s">
        <v>465</v>
      </c>
      <c r="H181" s="18" t="s">
        <v>122</v>
      </c>
      <c r="I181" s="17" t="s">
        <v>466</v>
      </c>
      <c r="J181" s="18">
        <v>62027</v>
      </c>
      <c r="K181" s="18">
        <v>45500</v>
      </c>
      <c r="L181" s="19">
        <v>121658.3</v>
      </c>
      <c r="M181" s="20"/>
      <c r="N181" s="20"/>
      <c r="O181" s="19">
        <f t="shared" si="123"/>
        <v>21898.493999999999</v>
      </c>
      <c r="P181" s="80">
        <f t="shared" si="122"/>
        <v>143556.79399999999</v>
      </c>
      <c r="Q181" s="82">
        <v>0.21</v>
      </c>
      <c r="R181" s="87">
        <f t="shared" si="118"/>
        <v>143557.00399999999</v>
      </c>
      <c r="S181" s="19"/>
      <c r="T181" s="19"/>
      <c r="U181" s="21" t="str">
        <f t="shared" si="101"/>
        <v/>
      </c>
      <c r="V181" s="22" t="str">
        <f t="shared" si="106"/>
        <v/>
      </c>
      <c r="W181" s="23" t="s">
        <v>124</v>
      </c>
      <c r="X181" s="74">
        <v>8399</v>
      </c>
      <c r="Y181" s="33">
        <v>46219</v>
      </c>
      <c r="Z181" s="15"/>
    </row>
    <row r="182" spans="1:26" x14ac:dyDescent="0.25">
      <c r="A182" s="21">
        <f>IF(C182="","",COUNTA($C$3:C182))</f>
        <v>180</v>
      </c>
      <c r="B182" s="35" t="str">
        <f t="shared" si="103"/>
        <v>July</v>
      </c>
      <c r="C182" s="31">
        <v>46218</v>
      </c>
      <c r="D182" s="17" t="s">
        <v>423</v>
      </c>
      <c r="E182" s="32">
        <v>46200</v>
      </c>
      <c r="F182" s="17" t="s">
        <v>120</v>
      </c>
      <c r="G182" s="18" t="s">
        <v>121</v>
      </c>
      <c r="H182" s="18" t="s">
        <v>122</v>
      </c>
      <c r="I182" s="17" t="s">
        <v>469</v>
      </c>
      <c r="J182" s="18">
        <v>62005</v>
      </c>
      <c r="K182" s="18">
        <v>45501</v>
      </c>
      <c r="L182" s="19">
        <v>105840</v>
      </c>
      <c r="M182" s="20">
        <f t="shared" ref="M182:M183" si="124">IF(L182="","",(L182+S182)*9%)</f>
        <v>10155.6</v>
      </c>
      <c r="N182" s="20">
        <f t="shared" ref="N182:N183" si="125">IF(L182="","",(L182+S182)*9%)</f>
        <v>10155.6</v>
      </c>
      <c r="O182" s="20"/>
      <c r="P182" s="80">
        <f t="shared" ref="P182:P184" si="126">SUM(L182:O182)+S182</f>
        <v>133151.20000000001</v>
      </c>
      <c r="Q182" s="82">
        <v>-0.2</v>
      </c>
      <c r="R182" s="87">
        <f t="shared" si="118"/>
        <v>133151</v>
      </c>
      <c r="S182" s="19">
        <v>7000</v>
      </c>
      <c r="T182" s="19">
        <v>6150</v>
      </c>
      <c r="U182" s="21">
        <f t="shared" si="101"/>
        <v>850</v>
      </c>
      <c r="V182" s="22">
        <f t="shared" si="106"/>
        <v>0.13821138211382114</v>
      </c>
      <c r="W182" s="23" t="s">
        <v>124</v>
      </c>
      <c r="X182" s="74">
        <v>8400</v>
      </c>
      <c r="Y182" s="33">
        <v>46220</v>
      </c>
      <c r="Z182" s="15"/>
    </row>
    <row r="183" spans="1:26" x14ac:dyDescent="0.25">
      <c r="A183" s="21">
        <f>IF(C183="","",COUNTA($C$3:C183))</f>
        <v>181</v>
      </c>
      <c r="B183" s="35" t="str">
        <f t="shared" si="103"/>
        <v>July</v>
      </c>
      <c r="C183" s="31">
        <v>46219</v>
      </c>
      <c r="D183" s="17" t="s">
        <v>367</v>
      </c>
      <c r="E183" s="32">
        <v>46178</v>
      </c>
      <c r="F183" s="17" t="s">
        <v>120</v>
      </c>
      <c r="G183" s="18" t="s">
        <v>121</v>
      </c>
      <c r="H183" s="18" t="s">
        <v>122</v>
      </c>
      <c r="I183" s="17" t="s">
        <v>341</v>
      </c>
      <c r="J183" s="18">
        <v>61992</v>
      </c>
      <c r="K183" s="18">
        <v>45502</v>
      </c>
      <c r="L183" s="19">
        <v>138368.20000000001</v>
      </c>
      <c r="M183" s="20">
        <f t="shared" si="124"/>
        <v>13083.138000000001</v>
      </c>
      <c r="N183" s="20">
        <f t="shared" si="125"/>
        <v>13083.138000000001</v>
      </c>
      <c r="O183" s="20"/>
      <c r="P183" s="80">
        <f t="shared" si="126"/>
        <v>171534.47600000002</v>
      </c>
      <c r="Q183" s="82">
        <v>-0.48</v>
      </c>
      <c r="R183" s="87">
        <f t="shared" si="118"/>
        <v>171533.99600000001</v>
      </c>
      <c r="S183" s="19">
        <v>7000</v>
      </c>
      <c r="T183" s="19">
        <v>6150</v>
      </c>
      <c r="U183" s="21">
        <f t="shared" si="101"/>
        <v>850</v>
      </c>
      <c r="V183" s="22">
        <f t="shared" si="106"/>
        <v>0.13821138211382114</v>
      </c>
      <c r="W183" s="23" t="s">
        <v>124</v>
      </c>
      <c r="X183" s="74">
        <v>9451</v>
      </c>
      <c r="Y183" s="33">
        <v>46221</v>
      </c>
      <c r="Z183" s="15"/>
    </row>
    <row r="184" spans="1:26" x14ac:dyDescent="0.25">
      <c r="A184" s="21">
        <f>IF(C184="","",COUNTA($C$3:C184))</f>
        <v>182</v>
      </c>
      <c r="B184" s="35" t="str">
        <f t="shared" si="103"/>
        <v>July</v>
      </c>
      <c r="C184" s="31">
        <v>46220</v>
      </c>
      <c r="D184" s="17" t="s">
        <v>474</v>
      </c>
      <c r="E184" s="32">
        <v>46155</v>
      </c>
      <c r="F184" s="17" t="s">
        <v>120</v>
      </c>
      <c r="G184" s="18" t="s">
        <v>262</v>
      </c>
      <c r="H184" s="18" t="s">
        <v>122</v>
      </c>
      <c r="I184" s="17" t="s">
        <v>263</v>
      </c>
      <c r="J184" s="18">
        <v>61967</v>
      </c>
      <c r="K184" s="18">
        <v>45503</v>
      </c>
      <c r="L184" s="19">
        <v>747652.3</v>
      </c>
      <c r="M184" s="20"/>
      <c r="N184" s="20"/>
      <c r="O184" s="19">
        <f t="shared" ref="O184" si="127">IF(L184="","",(L184+S184)*18%)</f>
        <v>134577.41399999999</v>
      </c>
      <c r="P184" s="80">
        <f t="shared" si="126"/>
        <v>882229.71400000004</v>
      </c>
      <c r="Q184" s="82">
        <v>0.28999999999999998</v>
      </c>
      <c r="R184" s="87">
        <f t="shared" si="118"/>
        <v>882230.00400000007</v>
      </c>
      <c r="S184" s="19"/>
      <c r="T184" s="19"/>
      <c r="U184" s="21" t="str">
        <f t="shared" si="101"/>
        <v/>
      </c>
      <c r="V184" s="22" t="str">
        <f t="shared" si="106"/>
        <v/>
      </c>
      <c r="W184" s="23" t="s">
        <v>124</v>
      </c>
      <c r="X184" s="74">
        <v>9452</v>
      </c>
      <c r="Y184" s="33">
        <v>46221</v>
      </c>
      <c r="Z184" s="15"/>
    </row>
    <row r="185" spans="1:26" x14ac:dyDescent="0.25">
      <c r="A185" s="21">
        <f>IF(C185="","",COUNTA($C$3:C185))</f>
        <v>183</v>
      </c>
      <c r="B185" s="35" t="str">
        <f t="shared" si="103"/>
        <v>July</v>
      </c>
      <c r="C185" s="31">
        <v>46221</v>
      </c>
      <c r="D185" s="17" t="s">
        <v>475</v>
      </c>
      <c r="E185" s="32">
        <v>46200</v>
      </c>
      <c r="F185" s="17" t="s">
        <v>120</v>
      </c>
      <c r="G185" s="18" t="s">
        <v>121</v>
      </c>
      <c r="H185" s="18" t="s">
        <v>122</v>
      </c>
      <c r="I185" s="17" t="s">
        <v>469</v>
      </c>
      <c r="J185" s="18">
        <v>62005</v>
      </c>
      <c r="K185" s="18">
        <v>45504</v>
      </c>
      <c r="L185" s="19">
        <v>151254</v>
      </c>
      <c r="M185" s="20">
        <f t="shared" ref="M185:M189" si="128">IF(L185="","",(L185+S185)*9%)</f>
        <v>14242.859999999999</v>
      </c>
      <c r="N185" s="20">
        <f t="shared" ref="N185:N189" si="129">IF(L185="","",(L185+S185)*9%)</f>
        <v>14242.859999999999</v>
      </c>
      <c r="O185" s="20"/>
      <c r="P185" s="80">
        <f t="shared" ref="P185:P190" si="130">SUM(L185:O185)+S185</f>
        <v>186739.71999999997</v>
      </c>
      <c r="Q185" s="82">
        <v>0.28000000000000003</v>
      </c>
      <c r="R185" s="87">
        <f t="shared" si="118"/>
        <v>186739.99999999997</v>
      </c>
      <c r="S185" s="19">
        <v>7000</v>
      </c>
      <c r="T185" s="19">
        <v>6150</v>
      </c>
      <c r="U185" s="21">
        <f t="shared" si="101"/>
        <v>850</v>
      </c>
      <c r="V185" s="22">
        <f t="shared" si="106"/>
        <v>0.13821138211382114</v>
      </c>
      <c r="W185" s="23" t="s">
        <v>124</v>
      </c>
      <c r="X185" s="19">
        <v>9454</v>
      </c>
      <c r="Y185" s="33">
        <v>46223</v>
      </c>
      <c r="Z185" s="15"/>
    </row>
    <row r="186" spans="1:26" x14ac:dyDescent="0.25">
      <c r="A186" s="21">
        <f>IF(C186="","",COUNTA($C$3:C186))</f>
        <v>184</v>
      </c>
      <c r="B186" s="35" t="str">
        <f t="shared" si="103"/>
        <v>July</v>
      </c>
      <c r="C186" s="31">
        <v>46221</v>
      </c>
      <c r="D186" s="17" t="s">
        <v>269</v>
      </c>
      <c r="E186" s="32">
        <v>46155</v>
      </c>
      <c r="F186" s="17" t="s">
        <v>120</v>
      </c>
      <c r="G186" s="18" t="s">
        <v>121</v>
      </c>
      <c r="H186" s="18" t="s">
        <v>122</v>
      </c>
      <c r="I186" s="17" t="s">
        <v>270</v>
      </c>
      <c r="J186" s="18">
        <v>61968</v>
      </c>
      <c r="K186" s="18">
        <v>45505</v>
      </c>
      <c r="L186" s="19">
        <v>38516</v>
      </c>
      <c r="M186" s="20">
        <f t="shared" si="128"/>
        <v>3848.94</v>
      </c>
      <c r="N186" s="20">
        <f t="shared" si="129"/>
        <v>3848.94</v>
      </c>
      <c r="O186" s="20"/>
      <c r="P186" s="80">
        <f t="shared" si="130"/>
        <v>50463.880000000005</v>
      </c>
      <c r="Q186" s="82">
        <v>0.12</v>
      </c>
      <c r="R186" s="87">
        <f t="shared" si="118"/>
        <v>50464.000000000007</v>
      </c>
      <c r="S186" s="19">
        <v>4250</v>
      </c>
      <c r="T186" s="19">
        <v>3750</v>
      </c>
      <c r="U186" s="21">
        <f t="shared" si="101"/>
        <v>500</v>
      </c>
      <c r="V186" s="22">
        <f t="shared" si="106"/>
        <v>0.13333333333333333</v>
      </c>
      <c r="W186" s="23" t="s">
        <v>124</v>
      </c>
      <c r="X186" s="19">
        <v>9453</v>
      </c>
      <c r="Y186" s="33">
        <v>46225</v>
      </c>
      <c r="Z186" s="15"/>
    </row>
    <row r="187" spans="1:26" x14ac:dyDescent="0.25">
      <c r="A187" s="21">
        <f>IF(C187="","",COUNTA($C$3:C187))</f>
        <v>185</v>
      </c>
      <c r="B187" s="35" t="str">
        <f t="shared" si="103"/>
        <v>July</v>
      </c>
      <c r="C187" s="31">
        <v>46221</v>
      </c>
      <c r="D187" s="17" t="s">
        <v>476</v>
      </c>
      <c r="E187" s="32">
        <v>46210</v>
      </c>
      <c r="F187" s="17" t="s">
        <v>126</v>
      </c>
      <c r="G187" s="18" t="s">
        <v>121</v>
      </c>
      <c r="H187" s="18" t="s">
        <v>127</v>
      </c>
      <c r="I187" s="17" t="s">
        <v>477</v>
      </c>
      <c r="J187" s="18">
        <v>62028</v>
      </c>
      <c r="K187" s="18">
        <v>45506</v>
      </c>
      <c r="L187" s="19">
        <v>578023</v>
      </c>
      <c r="M187" s="20">
        <f t="shared" si="128"/>
        <v>53822.07</v>
      </c>
      <c r="N187" s="20">
        <f t="shared" si="129"/>
        <v>53822.07</v>
      </c>
      <c r="O187" s="20"/>
      <c r="P187" s="80">
        <f t="shared" si="130"/>
        <v>705667.1399999999</v>
      </c>
      <c r="Q187" s="82">
        <v>-0.14000000000000001</v>
      </c>
      <c r="R187" s="87">
        <f t="shared" si="118"/>
        <v>705666.99999999988</v>
      </c>
      <c r="S187" s="19">
        <v>20000</v>
      </c>
      <c r="T187" s="19">
        <v>0</v>
      </c>
      <c r="U187" s="21">
        <f t="shared" si="101"/>
        <v>20000</v>
      </c>
      <c r="V187" s="22" t="e">
        <f t="shared" si="106"/>
        <v>#DIV/0!</v>
      </c>
      <c r="W187" s="23" t="s">
        <v>164</v>
      </c>
      <c r="X187" s="74">
        <v>11197</v>
      </c>
      <c r="Y187" s="33">
        <v>46223</v>
      </c>
      <c r="Z187" s="15"/>
    </row>
    <row r="188" spans="1:26" x14ac:dyDescent="0.25">
      <c r="A188" s="21">
        <f>IF(C188="","",COUNTA($C$3:C188))</f>
        <v>186</v>
      </c>
      <c r="B188" s="35" t="str">
        <f t="shared" si="103"/>
        <v>July</v>
      </c>
      <c r="C188" s="31">
        <v>46223</v>
      </c>
      <c r="D188" s="17" t="s">
        <v>481</v>
      </c>
      <c r="E188" s="32">
        <v>46217</v>
      </c>
      <c r="F188" s="17" t="s">
        <v>120</v>
      </c>
      <c r="G188" s="18" t="s">
        <v>121</v>
      </c>
      <c r="H188" s="18" t="s">
        <v>122</v>
      </c>
      <c r="I188" s="17" t="s">
        <v>482</v>
      </c>
      <c r="J188" s="18">
        <v>62029</v>
      </c>
      <c r="K188" s="18">
        <v>45507</v>
      </c>
      <c r="L188" s="19">
        <v>149050</v>
      </c>
      <c r="M188" s="20">
        <f t="shared" si="128"/>
        <v>13999.5</v>
      </c>
      <c r="N188" s="20">
        <f t="shared" si="129"/>
        <v>13999.5</v>
      </c>
      <c r="O188" s="20"/>
      <c r="P188" s="80">
        <f t="shared" si="130"/>
        <v>183549</v>
      </c>
      <c r="Q188" s="82"/>
      <c r="R188" s="87">
        <f t="shared" si="118"/>
        <v>183549</v>
      </c>
      <c r="S188" s="19">
        <v>6500</v>
      </c>
      <c r="T188" s="19">
        <v>5650</v>
      </c>
      <c r="U188" s="21">
        <f t="shared" si="101"/>
        <v>850</v>
      </c>
      <c r="V188" s="22">
        <f t="shared" si="106"/>
        <v>0.15044247787610621</v>
      </c>
      <c r="W188" s="23" t="s">
        <v>124</v>
      </c>
      <c r="X188" s="74">
        <v>9455</v>
      </c>
      <c r="Y188" s="33">
        <v>46224</v>
      </c>
      <c r="Z188" s="15"/>
    </row>
    <row r="189" spans="1:26" x14ac:dyDescent="0.25">
      <c r="A189" s="21">
        <f>IF(C189="","",COUNTA($C$3:C189))</f>
        <v>187</v>
      </c>
      <c r="B189" s="35" t="str">
        <f t="shared" si="103"/>
        <v>July</v>
      </c>
      <c r="C189" s="31">
        <v>46223</v>
      </c>
      <c r="D189" s="17" t="s">
        <v>483</v>
      </c>
      <c r="E189" s="32">
        <v>46214</v>
      </c>
      <c r="F189" s="17" t="s">
        <v>120</v>
      </c>
      <c r="G189" s="18" t="s">
        <v>121</v>
      </c>
      <c r="H189" s="18" t="s">
        <v>122</v>
      </c>
      <c r="I189" s="17" t="s">
        <v>362</v>
      </c>
      <c r="J189" s="18">
        <v>62026</v>
      </c>
      <c r="K189" s="18">
        <v>45508</v>
      </c>
      <c r="L189" s="19">
        <v>32000</v>
      </c>
      <c r="M189" s="20">
        <f t="shared" si="128"/>
        <v>3177</v>
      </c>
      <c r="N189" s="20">
        <f t="shared" si="129"/>
        <v>3177</v>
      </c>
      <c r="O189" s="20"/>
      <c r="P189" s="80">
        <f t="shared" si="130"/>
        <v>41654</v>
      </c>
      <c r="Q189" s="82"/>
      <c r="R189" s="87">
        <f t="shared" si="118"/>
        <v>41654</v>
      </c>
      <c r="S189" s="19">
        <v>3300</v>
      </c>
      <c r="T189" s="19">
        <v>2800</v>
      </c>
      <c r="U189" s="21">
        <f t="shared" si="101"/>
        <v>500</v>
      </c>
      <c r="V189" s="22">
        <f t="shared" si="106"/>
        <v>0.17857142857142858</v>
      </c>
      <c r="W189" s="23" t="s">
        <v>124</v>
      </c>
      <c r="X189" s="74">
        <v>9456</v>
      </c>
      <c r="Y189" s="33">
        <v>46224</v>
      </c>
      <c r="Z189" s="15"/>
    </row>
    <row r="190" spans="1:26" x14ac:dyDescent="0.25">
      <c r="A190" s="21">
        <f>IF(C190="","",COUNTA($C$3:C190))</f>
        <v>188</v>
      </c>
      <c r="B190" s="35" t="str">
        <f t="shared" si="103"/>
        <v>July</v>
      </c>
      <c r="C190" s="31">
        <v>46223</v>
      </c>
      <c r="D190" s="17" t="s">
        <v>484</v>
      </c>
      <c r="E190" s="32">
        <v>46185</v>
      </c>
      <c r="F190" s="17" t="s">
        <v>120</v>
      </c>
      <c r="G190" s="18" t="s">
        <v>172</v>
      </c>
      <c r="H190" s="18" t="s">
        <v>122</v>
      </c>
      <c r="I190" s="17" t="s">
        <v>173</v>
      </c>
      <c r="J190" s="18">
        <v>61997</v>
      </c>
      <c r="K190" s="18">
        <v>45509</v>
      </c>
      <c r="L190" s="19">
        <v>877961.2</v>
      </c>
      <c r="M190" s="20"/>
      <c r="N190" s="20"/>
      <c r="O190" s="19">
        <f t="shared" ref="O190" si="131">IF(L190="","",(L190+S190)*18%)</f>
        <v>158033.01599999997</v>
      </c>
      <c r="P190" s="80">
        <f t="shared" si="130"/>
        <v>1035994.2159999999</v>
      </c>
      <c r="Q190" s="82">
        <v>-0.22</v>
      </c>
      <c r="R190" s="87">
        <f t="shared" si="118"/>
        <v>1035993.9959999999</v>
      </c>
      <c r="S190" s="19"/>
      <c r="T190" s="19"/>
      <c r="U190" s="21" t="str">
        <f t="shared" si="101"/>
        <v/>
      </c>
      <c r="V190" s="22" t="str">
        <f t="shared" si="106"/>
        <v/>
      </c>
      <c r="W190" s="23" t="s">
        <v>124</v>
      </c>
      <c r="X190" s="74">
        <v>9457</v>
      </c>
      <c r="Y190" s="33">
        <v>46224</v>
      </c>
      <c r="Z190" s="15"/>
    </row>
    <row r="191" spans="1:26" x14ac:dyDescent="0.25">
      <c r="A191" s="21">
        <f>IF(C191="","",COUNTA($C$3:C191))</f>
        <v>189</v>
      </c>
      <c r="B191" s="35" t="str">
        <f t="shared" si="103"/>
        <v>July</v>
      </c>
      <c r="C191" s="31">
        <v>46225</v>
      </c>
      <c r="D191" s="17" t="s">
        <v>485</v>
      </c>
      <c r="E191" s="32">
        <v>46219</v>
      </c>
      <c r="F191" s="17" t="s">
        <v>120</v>
      </c>
      <c r="G191" s="18" t="s">
        <v>121</v>
      </c>
      <c r="H191" s="18" t="s">
        <v>122</v>
      </c>
      <c r="I191" s="17" t="s">
        <v>486</v>
      </c>
      <c r="J191" s="18">
        <v>62030</v>
      </c>
      <c r="K191" s="18">
        <v>45510</v>
      </c>
      <c r="L191" s="19">
        <v>171473.6</v>
      </c>
      <c r="M191" s="20">
        <f t="shared" ref="M191:M194" si="132">IF(L191="","",(L191+S191)*9%)</f>
        <v>16017.624</v>
      </c>
      <c r="N191" s="20">
        <f t="shared" ref="N191:N194" si="133">IF(L191="","",(L191+S191)*9%)</f>
        <v>16017.624</v>
      </c>
      <c r="O191" s="20"/>
      <c r="P191" s="80">
        <f t="shared" ref="P191:P196" si="134">SUM(L191:O191)+S191</f>
        <v>210008.84800000003</v>
      </c>
      <c r="Q191" s="82">
        <v>0.15</v>
      </c>
      <c r="R191" s="87">
        <f t="shared" si="118"/>
        <v>210008.99800000002</v>
      </c>
      <c r="S191" s="19">
        <v>6500</v>
      </c>
      <c r="T191" s="19">
        <v>5650</v>
      </c>
      <c r="U191" s="21">
        <f t="shared" si="101"/>
        <v>850</v>
      </c>
      <c r="V191" s="22">
        <f t="shared" si="106"/>
        <v>0.15044247787610621</v>
      </c>
      <c r="W191" s="23" t="s">
        <v>124</v>
      </c>
      <c r="X191" s="74">
        <v>9458</v>
      </c>
      <c r="Y191" s="33">
        <v>46226</v>
      </c>
      <c r="Z191" s="15"/>
    </row>
    <row r="192" spans="1:26" x14ac:dyDescent="0.25">
      <c r="A192" s="21">
        <f>IF(C192="","",COUNTA($C$3:C192))</f>
        <v>190</v>
      </c>
      <c r="B192" s="35" t="str">
        <f t="shared" si="103"/>
        <v>July</v>
      </c>
      <c r="C192" s="31">
        <v>46226</v>
      </c>
      <c r="D192" s="17" t="s">
        <v>488</v>
      </c>
      <c r="E192" s="32">
        <v>46225</v>
      </c>
      <c r="F192" s="17" t="s">
        <v>120</v>
      </c>
      <c r="G192" s="18" t="s">
        <v>121</v>
      </c>
      <c r="H192" s="18" t="s">
        <v>122</v>
      </c>
      <c r="I192" s="17" t="s">
        <v>489</v>
      </c>
      <c r="J192" s="18">
        <v>62034</v>
      </c>
      <c r="K192" s="18">
        <v>45511</v>
      </c>
      <c r="L192" s="19">
        <v>52037.5</v>
      </c>
      <c r="M192" s="20">
        <f t="shared" si="132"/>
        <v>5025.375</v>
      </c>
      <c r="N192" s="20">
        <f t="shared" si="133"/>
        <v>5025.375</v>
      </c>
      <c r="O192" s="19"/>
      <c r="P192" s="80">
        <f t="shared" si="134"/>
        <v>65888.25</v>
      </c>
      <c r="Q192" s="82">
        <v>-0.25</v>
      </c>
      <c r="R192" s="87">
        <f t="shared" si="118"/>
        <v>65888</v>
      </c>
      <c r="S192" s="19">
        <v>3800</v>
      </c>
      <c r="T192" s="19">
        <v>3300</v>
      </c>
      <c r="U192" s="21">
        <f t="shared" si="101"/>
        <v>500</v>
      </c>
      <c r="V192" s="22">
        <f t="shared" si="106"/>
        <v>0.15151515151515152</v>
      </c>
      <c r="W192" s="23" t="s">
        <v>124</v>
      </c>
      <c r="X192" s="74">
        <v>9459</v>
      </c>
      <c r="Y192" s="33">
        <v>46228</v>
      </c>
      <c r="Z192" s="15"/>
    </row>
    <row r="193" spans="1:26" x14ac:dyDescent="0.25">
      <c r="A193" s="21">
        <f>IF(C193="","",COUNTA($C$3:C193))</f>
        <v>191</v>
      </c>
      <c r="B193" s="35" t="str">
        <f t="shared" si="103"/>
        <v>July</v>
      </c>
      <c r="C193" s="31">
        <v>46226</v>
      </c>
      <c r="D193" s="17" t="s">
        <v>260</v>
      </c>
      <c r="E193" s="32">
        <v>46155</v>
      </c>
      <c r="F193" s="17" t="s">
        <v>120</v>
      </c>
      <c r="G193" s="18" t="s">
        <v>121</v>
      </c>
      <c r="H193" s="18" t="s">
        <v>122</v>
      </c>
      <c r="I193" s="17" t="s">
        <v>134</v>
      </c>
      <c r="J193" s="18">
        <v>61965</v>
      </c>
      <c r="K193" s="18">
        <v>45512</v>
      </c>
      <c r="L193" s="19">
        <v>3127.5</v>
      </c>
      <c r="M193" s="20">
        <f t="shared" si="132"/>
        <v>281.47499999999997</v>
      </c>
      <c r="N193" s="20">
        <f t="shared" si="133"/>
        <v>281.47499999999997</v>
      </c>
      <c r="O193" s="20"/>
      <c r="P193" s="80">
        <f t="shared" si="134"/>
        <v>3690.45</v>
      </c>
      <c r="Q193" s="82">
        <v>-0.45</v>
      </c>
      <c r="R193" s="87">
        <f t="shared" si="118"/>
        <v>3690</v>
      </c>
      <c r="S193" s="19"/>
      <c r="T193" s="19"/>
      <c r="U193" s="21" t="str">
        <f t="shared" si="101"/>
        <v/>
      </c>
      <c r="V193" s="22" t="str">
        <f t="shared" si="106"/>
        <v/>
      </c>
      <c r="W193" s="23" t="s">
        <v>159</v>
      </c>
      <c r="X193" s="74" t="s">
        <v>160</v>
      </c>
      <c r="Y193" s="33">
        <v>46227</v>
      </c>
      <c r="Z193" s="15"/>
    </row>
    <row r="194" spans="1:26" x14ac:dyDescent="0.25">
      <c r="A194" s="21">
        <f>IF(C194="","",COUNTA($C$3:C194))</f>
        <v>192</v>
      </c>
      <c r="B194" s="35" t="str">
        <f t="shared" si="103"/>
        <v>July</v>
      </c>
      <c r="C194" s="31">
        <v>46226</v>
      </c>
      <c r="D194" s="17" t="s">
        <v>210</v>
      </c>
      <c r="E194" s="32">
        <v>46146</v>
      </c>
      <c r="F194" s="17" t="s">
        <v>120</v>
      </c>
      <c r="G194" s="18" t="s">
        <v>121</v>
      </c>
      <c r="H194" s="18" t="s">
        <v>122</v>
      </c>
      <c r="I194" s="17" t="s">
        <v>211</v>
      </c>
      <c r="J194" s="18">
        <v>61955</v>
      </c>
      <c r="K194" s="18">
        <v>45513</v>
      </c>
      <c r="L194" s="19">
        <v>32200</v>
      </c>
      <c r="M194" s="20">
        <f t="shared" si="132"/>
        <v>3240</v>
      </c>
      <c r="N194" s="20">
        <f t="shared" si="133"/>
        <v>3240</v>
      </c>
      <c r="O194" s="20"/>
      <c r="P194" s="80">
        <f t="shared" si="134"/>
        <v>42480</v>
      </c>
      <c r="Q194" s="82"/>
      <c r="R194" s="87">
        <f t="shared" si="118"/>
        <v>42480</v>
      </c>
      <c r="S194" s="19">
        <v>3800</v>
      </c>
      <c r="T194" s="19">
        <v>3300</v>
      </c>
      <c r="U194" s="21">
        <f t="shared" si="101"/>
        <v>500</v>
      </c>
      <c r="V194" s="22">
        <f t="shared" si="106"/>
        <v>0.15151515151515152</v>
      </c>
      <c r="W194" s="23" t="s">
        <v>124</v>
      </c>
      <c r="X194" s="74">
        <v>9460</v>
      </c>
      <c r="Y194" s="33">
        <v>46227</v>
      </c>
      <c r="Z194" s="15"/>
    </row>
    <row r="195" spans="1:26" x14ac:dyDescent="0.25">
      <c r="A195" s="21">
        <f>IF(C195="","",COUNTA($C$3:C195))</f>
        <v>193</v>
      </c>
      <c r="B195" s="35" t="str">
        <f t="shared" si="103"/>
        <v>July</v>
      </c>
      <c r="C195" s="31">
        <v>46226</v>
      </c>
      <c r="D195" s="17" t="s">
        <v>231</v>
      </c>
      <c r="E195" s="32">
        <v>46148</v>
      </c>
      <c r="F195" s="17" t="s">
        <v>120</v>
      </c>
      <c r="G195" s="18" t="s">
        <v>232</v>
      </c>
      <c r="H195" s="18" t="s">
        <v>122</v>
      </c>
      <c r="I195" s="17" t="s">
        <v>233</v>
      </c>
      <c r="J195" s="18">
        <v>61962</v>
      </c>
      <c r="K195" s="18">
        <v>45514</v>
      </c>
      <c r="L195" s="19">
        <v>442666</v>
      </c>
      <c r="M195" s="20"/>
      <c r="N195" s="20"/>
      <c r="O195" s="19">
        <f t="shared" ref="O195:O196" si="135">IF(L195="","",(L195+S195)*18%)</f>
        <v>79679.87999999999</v>
      </c>
      <c r="P195" s="80">
        <f t="shared" si="134"/>
        <v>522345.88</v>
      </c>
      <c r="Q195" s="82">
        <v>0.12</v>
      </c>
      <c r="R195" s="87">
        <f t="shared" si="118"/>
        <v>522346</v>
      </c>
      <c r="S195" s="19"/>
      <c r="T195" s="19"/>
      <c r="U195" s="21" t="str">
        <f t="shared" ref="U195:U208" si="136">IF(S195="","",(S195-T195))</f>
        <v/>
      </c>
      <c r="V195" s="22" t="str">
        <f t="shared" ref="V195:V258" si="137">IF(U195="","",(U195/T195))</f>
        <v/>
      </c>
      <c r="W195" s="23" t="s">
        <v>234</v>
      </c>
      <c r="X195" s="74" t="s">
        <v>160</v>
      </c>
      <c r="Y195" s="33">
        <v>46227</v>
      </c>
      <c r="Z195" s="15"/>
    </row>
    <row r="196" spans="1:26" x14ac:dyDescent="0.25">
      <c r="A196" s="21">
        <f>IF(C196="","",COUNTA($C$3:C196))</f>
        <v>194</v>
      </c>
      <c r="B196" s="35" t="str">
        <f t="shared" si="103"/>
        <v>July</v>
      </c>
      <c r="C196" s="31">
        <v>46226</v>
      </c>
      <c r="D196" s="17" t="s">
        <v>143</v>
      </c>
      <c r="E196" s="32">
        <v>45927</v>
      </c>
      <c r="F196" s="17" t="s">
        <v>144</v>
      </c>
      <c r="G196" s="18" t="s">
        <v>145</v>
      </c>
      <c r="H196" s="18" t="s">
        <v>143</v>
      </c>
      <c r="I196" s="17" t="s">
        <v>146</v>
      </c>
      <c r="J196" s="18">
        <v>61768</v>
      </c>
      <c r="K196" s="18">
        <v>45515</v>
      </c>
      <c r="L196" s="19">
        <v>203550</v>
      </c>
      <c r="M196" s="20"/>
      <c r="N196" s="20"/>
      <c r="O196" s="19">
        <f t="shared" si="135"/>
        <v>36639</v>
      </c>
      <c r="P196" s="80">
        <f t="shared" si="134"/>
        <v>240189</v>
      </c>
      <c r="Q196" s="82"/>
      <c r="R196" s="87">
        <f t="shared" si="118"/>
        <v>240189</v>
      </c>
      <c r="S196" s="19"/>
      <c r="T196" s="19"/>
      <c r="U196" s="21" t="str">
        <f t="shared" si="136"/>
        <v/>
      </c>
      <c r="V196" s="22" t="str">
        <f t="shared" si="137"/>
        <v/>
      </c>
      <c r="W196" s="23" t="s">
        <v>234</v>
      </c>
      <c r="X196" s="74" t="s">
        <v>160</v>
      </c>
      <c r="Y196" s="33"/>
      <c r="Z196" s="15"/>
    </row>
    <row r="197" spans="1:26" x14ac:dyDescent="0.25">
      <c r="A197" s="21">
        <f>IF(C197="","",COUNTA($C$3:C197))</f>
        <v>195</v>
      </c>
      <c r="B197" s="35" t="str">
        <f t="shared" ref="B197:B260" si="138">IF(C197="","",TEXT(C197,"mmmm"))</f>
        <v>July</v>
      </c>
      <c r="C197" s="31">
        <v>46226</v>
      </c>
      <c r="D197" s="17" t="s">
        <v>490</v>
      </c>
      <c r="E197" s="32">
        <v>46225</v>
      </c>
      <c r="F197" s="17" t="s">
        <v>491</v>
      </c>
      <c r="G197" s="18" t="s">
        <v>121</v>
      </c>
      <c r="H197" s="18" t="s">
        <v>127</v>
      </c>
      <c r="I197" s="17" t="s">
        <v>492</v>
      </c>
      <c r="J197" s="18">
        <v>62033</v>
      </c>
      <c r="K197" s="18">
        <v>45516</v>
      </c>
      <c r="L197" s="19">
        <v>14732</v>
      </c>
      <c r="M197" s="20">
        <f t="shared" ref="M197:M198" si="139">IF(L197="","",(L197+S197)*9%)</f>
        <v>1325.8799999999999</v>
      </c>
      <c r="N197" s="20">
        <f t="shared" ref="N197:N198" si="140">IF(L197="","",(L197+S197)*9%)</f>
        <v>1325.8799999999999</v>
      </c>
      <c r="O197" s="20"/>
      <c r="P197" s="80">
        <f t="shared" ref="P197:P200" si="141">SUM(L197:O197)+S197</f>
        <v>17383.759999999998</v>
      </c>
      <c r="Q197" s="82">
        <v>0.24</v>
      </c>
      <c r="R197" s="87">
        <f t="shared" si="118"/>
        <v>17384</v>
      </c>
      <c r="S197" s="19"/>
      <c r="T197" s="19"/>
      <c r="U197" s="21" t="str">
        <f t="shared" si="136"/>
        <v/>
      </c>
      <c r="V197" s="22" t="str">
        <f t="shared" si="137"/>
        <v/>
      </c>
      <c r="W197" s="23" t="s">
        <v>124</v>
      </c>
      <c r="X197" s="19" t="s">
        <v>160</v>
      </c>
      <c r="Y197" s="33">
        <v>46227</v>
      </c>
      <c r="Z197" s="15"/>
    </row>
    <row r="198" spans="1:26" x14ac:dyDescent="0.25">
      <c r="A198" s="21">
        <f>IF(C198="","",COUNTA($C$3:C198))</f>
        <v>196</v>
      </c>
      <c r="B198" s="35" t="str">
        <f t="shared" si="138"/>
        <v>July</v>
      </c>
      <c r="C198" s="31">
        <v>46228</v>
      </c>
      <c r="D198" s="17" t="s">
        <v>498</v>
      </c>
      <c r="E198" s="32">
        <v>46155</v>
      </c>
      <c r="F198" s="17" t="s">
        <v>120</v>
      </c>
      <c r="G198" s="18" t="s">
        <v>121</v>
      </c>
      <c r="H198" s="18" t="s">
        <v>122</v>
      </c>
      <c r="I198" s="17" t="s">
        <v>134</v>
      </c>
      <c r="J198" s="18">
        <v>61965</v>
      </c>
      <c r="K198" s="18">
        <v>45517</v>
      </c>
      <c r="L198" s="19">
        <v>108772.5</v>
      </c>
      <c r="M198" s="20">
        <f t="shared" si="139"/>
        <v>10086.525</v>
      </c>
      <c r="N198" s="20">
        <f t="shared" si="140"/>
        <v>10086.525</v>
      </c>
      <c r="O198" s="20"/>
      <c r="P198" s="80">
        <f t="shared" si="141"/>
        <v>132245.54999999999</v>
      </c>
      <c r="Q198" s="82">
        <v>0.45</v>
      </c>
      <c r="R198" s="87">
        <f t="shared" si="118"/>
        <v>132246</v>
      </c>
      <c r="S198" s="19">
        <v>3300</v>
      </c>
      <c r="T198" s="19">
        <v>2800</v>
      </c>
      <c r="U198" s="21">
        <f t="shared" si="136"/>
        <v>500</v>
      </c>
      <c r="V198" s="22">
        <f t="shared" si="137"/>
        <v>0.17857142857142858</v>
      </c>
      <c r="W198" s="23" t="s">
        <v>124</v>
      </c>
      <c r="X198" s="19">
        <v>9461</v>
      </c>
      <c r="Y198" s="33">
        <v>46231</v>
      </c>
      <c r="Z198" s="15"/>
    </row>
    <row r="199" spans="1:26" x14ac:dyDescent="0.25">
      <c r="A199" s="21">
        <f>IF(C199="","",COUNTA($C$3:C199))</f>
        <v>197</v>
      </c>
      <c r="B199" s="35" t="str">
        <f t="shared" si="138"/>
        <v>July</v>
      </c>
      <c r="C199" s="31">
        <v>46228</v>
      </c>
      <c r="D199" s="17" t="s">
        <v>474</v>
      </c>
      <c r="E199" s="32">
        <v>46155</v>
      </c>
      <c r="F199" s="17" t="s">
        <v>120</v>
      </c>
      <c r="G199" s="18" t="s">
        <v>262</v>
      </c>
      <c r="H199" s="18" t="s">
        <v>122</v>
      </c>
      <c r="I199" s="17" t="s">
        <v>263</v>
      </c>
      <c r="J199" s="18">
        <v>61967</v>
      </c>
      <c r="K199" s="18">
        <v>45518</v>
      </c>
      <c r="L199" s="19">
        <v>599710.4</v>
      </c>
      <c r="M199" s="20"/>
      <c r="N199" s="20"/>
      <c r="O199" s="19">
        <f t="shared" ref="O199:O200" si="142">IF(L199="","",(L199+S199)*18%)</f>
        <v>107947.872</v>
      </c>
      <c r="P199" s="80">
        <f t="shared" si="141"/>
        <v>707658.272</v>
      </c>
      <c r="Q199" s="82">
        <v>-0.27</v>
      </c>
      <c r="R199" s="87">
        <f t="shared" si="118"/>
        <v>707658.00199999998</v>
      </c>
      <c r="S199" s="19"/>
      <c r="T199" s="19"/>
      <c r="U199" s="21" t="str">
        <f t="shared" si="136"/>
        <v/>
      </c>
      <c r="V199" s="22" t="str">
        <f t="shared" si="137"/>
        <v/>
      </c>
      <c r="W199" s="23" t="s">
        <v>124</v>
      </c>
      <c r="X199" s="74">
        <v>9462</v>
      </c>
      <c r="Y199" s="33">
        <v>46230</v>
      </c>
      <c r="Z199" s="15"/>
    </row>
    <row r="200" spans="1:26" x14ac:dyDescent="0.25">
      <c r="A200" s="21">
        <f>IF(C200="","",COUNTA($C$3:C200))</f>
        <v>198</v>
      </c>
      <c r="B200" s="35" t="str">
        <f t="shared" si="138"/>
        <v>July</v>
      </c>
      <c r="C200" s="31">
        <v>46230</v>
      </c>
      <c r="D200" s="17" t="s">
        <v>484</v>
      </c>
      <c r="E200" s="32">
        <v>46185</v>
      </c>
      <c r="F200" s="17" t="s">
        <v>120</v>
      </c>
      <c r="G200" s="18" t="s">
        <v>172</v>
      </c>
      <c r="H200" s="18" t="s">
        <v>122</v>
      </c>
      <c r="I200" s="17" t="s">
        <v>173</v>
      </c>
      <c r="J200" s="18">
        <v>61997</v>
      </c>
      <c r="K200" s="18">
        <v>45519</v>
      </c>
      <c r="L200" s="19">
        <v>667775.1</v>
      </c>
      <c r="M200" s="20"/>
      <c r="N200" s="20"/>
      <c r="O200" s="19">
        <f t="shared" si="142"/>
        <v>120199.518</v>
      </c>
      <c r="P200" s="80">
        <f t="shared" si="141"/>
        <v>787974.61800000002</v>
      </c>
      <c r="Q200" s="82">
        <v>0.38</v>
      </c>
      <c r="R200" s="87">
        <f t="shared" si="118"/>
        <v>787974.99800000002</v>
      </c>
      <c r="S200" s="19"/>
      <c r="T200" s="19"/>
      <c r="U200" s="21" t="str">
        <f t="shared" si="136"/>
        <v/>
      </c>
      <c r="V200" s="22" t="str">
        <f t="shared" si="137"/>
        <v/>
      </c>
      <c r="W200" s="23" t="s">
        <v>124</v>
      </c>
      <c r="X200" s="74">
        <v>9463</v>
      </c>
      <c r="Y200" s="33">
        <v>46231</v>
      </c>
      <c r="Z200" s="15"/>
    </row>
    <row r="201" spans="1:26" x14ac:dyDescent="0.25">
      <c r="A201" s="21">
        <f>IF(C201="","",COUNTA($C$3:C201))</f>
        <v>199</v>
      </c>
      <c r="B201" s="35" t="str">
        <f t="shared" si="138"/>
        <v>July</v>
      </c>
      <c r="C201" s="31">
        <v>46230</v>
      </c>
      <c r="D201" s="17" t="s">
        <v>500</v>
      </c>
      <c r="E201" s="32">
        <v>46213</v>
      </c>
      <c r="F201" s="17" t="s">
        <v>120</v>
      </c>
      <c r="G201" s="18" t="s">
        <v>121</v>
      </c>
      <c r="H201" s="18" t="s">
        <v>122</v>
      </c>
      <c r="I201" s="17" t="s">
        <v>501</v>
      </c>
      <c r="J201" s="18">
        <v>62025</v>
      </c>
      <c r="K201" s="18">
        <v>45520</v>
      </c>
      <c r="L201" s="19">
        <v>276112</v>
      </c>
      <c r="M201" s="20">
        <f t="shared" ref="M201:M202" si="143">IF(L201="","",(L201+S201)*9%)</f>
        <v>24850.079999999998</v>
      </c>
      <c r="N201" s="20">
        <f t="shared" ref="N201:N202" si="144">IF(L201="","",(L201+S201)*9%)</f>
        <v>24850.079999999998</v>
      </c>
      <c r="O201" s="20"/>
      <c r="P201" s="80">
        <f t="shared" ref="P201:P203" si="145">SUM(L201:O201)+S201</f>
        <v>325812.16000000003</v>
      </c>
      <c r="Q201" s="82">
        <v>-0.16</v>
      </c>
      <c r="R201" s="87">
        <f t="shared" si="118"/>
        <v>325812.00000000006</v>
      </c>
      <c r="S201" s="19"/>
      <c r="T201" s="19"/>
      <c r="U201" s="21" t="str">
        <f t="shared" si="136"/>
        <v/>
      </c>
      <c r="V201" s="22" t="str">
        <f t="shared" si="137"/>
        <v/>
      </c>
      <c r="W201" s="23" t="s">
        <v>124</v>
      </c>
      <c r="X201" s="74">
        <v>9464</v>
      </c>
      <c r="Y201" s="33">
        <v>46231</v>
      </c>
      <c r="Z201" s="15"/>
    </row>
    <row r="202" spans="1:26" x14ac:dyDescent="0.25">
      <c r="A202" s="21">
        <f>IF(C202="","",COUNTA($C$3:C202))</f>
        <v>200</v>
      </c>
      <c r="B202" s="35" t="str">
        <f t="shared" si="138"/>
        <v>July</v>
      </c>
      <c r="C202" s="31">
        <v>46231</v>
      </c>
      <c r="D202" s="17" t="s">
        <v>502</v>
      </c>
      <c r="E202" s="32">
        <v>46225</v>
      </c>
      <c r="F202" s="17" t="s">
        <v>120</v>
      </c>
      <c r="G202" s="18" t="s">
        <v>121</v>
      </c>
      <c r="H202" s="18" t="s">
        <v>122</v>
      </c>
      <c r="I202" s="17" t="s">
        <v>288</v>
      </c>
      <c r="J202" s="18">
        <v>62035</v>
      </c>
      <c r="K202" s="18">
        <v>45521</v>
      </c>
      <c r="L202" s="19">
        <v>192255</v>
      </c>
      <c r="M202" s="20">
        <f t="shared" si="143"/>
        <v>17302.95</v>
      </c>
      <c r="N202" s="20">
        <f t="shared" si="144"/>
        <v>17302.95</v>
      </c>
      <c r="O202" s="20"/>
      <c r="P202" s="80">
        <f t="shared" si="145"/>
        <v>226860.90000000002</v>
      </c>
      <c r="Q202" s="82">
        <v>0.1</v>
      </c>
      <c r="R202" s="87">
        <f t="shared" si="118"/>
        <v>226861.00000000003</v>
      </c>
      <c r="S202" s="19"/>
      <c r="T202" s="19"/>
      <c r="U202" s="21" t="str">
        <f t="shared" si="136"/>
        <v/>
      </c>
      <c r="V202" s="22" t="str">
        <f t="shared" si="137"/>
        <v/>
      </c>
      <c r="W202" s="23" t="s">
        <v>164</v>
      </c>
      <c r="X202" s="74">
        <v>11198</v>
      </c>
      <c r="Y202" s="33">
        <v>46232</v>
      </c>
      <c r="Z202" s="15"/>
    </row>
    <row r="203" spans="1:26" x14ac:dyDescent="0.25">
      <c r="A203" s="21">
        <f>IF(C203="","",COUNTA($C$3:C203))</f>
        <v>201</v>
      </c>
      <c r="B203" s="35" t="str">
        <f t="shared" si="138"/>
        <v>July</v>
      </c>
      <c r="C203" s="31">
        <v>46231</v>
      </c>
      <c r="D203" s="17" t="s">
        <v>231</v>
      </c>
      <c r="E203" s="32">
        <v>46148</v>
      </c>
      <c r="F203" s="17" t="s">
        <v>120</v>
      </c>
      <c r="G203" s="18" t="s">
        <v>232</v>
      </c>
      <c r="H203" s="18" t="s">
        <v>122</v>
      </c>
      <c r="I203" s="17" t="s">
        <v>233</v>
      </c>
      <c r="J203" s="18">
        <v>61962</v>
      </c>
      <c r="K203" s="18">
        <v>45522</v>
      </c>
      <c r="L203" s="19">
        <v>598395</v>
      </c>
      <c r="M203" s="20"/>
      <c r="N203" s="20"/>
      <c r="O203" s="19">
        <f t="shared" ref="O203" si="146">IF(L203="","",(L203+S203)*18%)</f>
        <v>107711.09999999999</v>
      </c>
      <c r="P203" s="80">
        <f t="shared" si="145"/>
        <v>706106.1</v>
      </c>
      <c r="Q203" s="82">
        <v>-0.1</v>
      </c>
      <c r="R203" s="87">
        <f t="shared" si="118"/>
        <v>706106</v>
      </c>
      <c r="S203" s="19"/>
      <c r="T203" s="19"/>
      <c r="U203" s="21" t="str">
        <f t="shared" si="136"/>
        <v/>
      </c>
      <c r="V203" s="22" t="str">
        <f t="shared" si="137"/>
        <v/>
      </c>
      <c r="W203" s="23" t="s">
        <v>234</v>
      </c>
      <c r="X203" s="19" t="s">
        <v>160</v>
      </c>
      <c r="Y203" s="33">
        <v>46232</v>
      </c>
      <c r="Z203" s="15"/>
    </row>
    <row r="204" spans="1:26" x14ac:dyDescent="0.25">
      <c r="A204" s="21">
        <f>IF(C204="","",COUNTA($C$3:C204))</f>
        <v>202</v>
      </c>
      <c r="B204" s="35" t="str">
        <f t="shared" si="138"/>
        <v>July</v>
      </c>
      <c r="C204" s="31">
        <v>46232</v>
      </c>
      <c r="D204" s="17" t="s">
        <v>476</v>
      </c>
      <c r="E204" s="32">
        <v>46210</v>
      </c>
      <c r="F204" s="17" t="s">
        <v>126</v>
      </c>
      <c r="G204" s="18" t="s">
        <v>121</v>
      </c>
      <c r="H204" s="18" t="s">
        <v>127</v>
      </c>
      <c r="I204" s="17" t="s">
        <v>477</v>
      </c>
      <c r="J204" s="18">
        <v>62028</v>
      </c>
      <c r="K204" s="18">
        <v>45523</v>
      </c>
      <c r="L204" s="19">
        <v>384637.5</v>
      </c>
      <c r="M204" s="20">
        <f t="shared" ref="M204" si="147">IF(L204="","",(L204+S204)*9%)</f>
        <v>36417.375</v>
      </c>
      <c r="N204" s="20">
        <f t="shared" ref="N204" si="148">IF(L204="","",(L204+S204)*9%)</f>
        <v>36417.375</v>
      </c>
      <c r="O204" s="20"/>
      <c r="P204" s="80">
        <f t="shared" ref="P204:P205" si="149">SUM(L204:O204)+S204</f>
        <v>477472.25</v>
      </c>
      <c r="Q204" s="82">
        <v>-0.25</v>
      </c>
      <c r="R204" s="87">
        <f t="shared" si="118"/>
        <v>477472</v>
      </c>
      <c r="S204" s="19">
        <v>20000</v>
      </c>
      <c r="T204" s="19">
        <v>0</v>
      </c>
      <c r="U204" s="21">
        <f t="shared" si="136"/>
        <v>20000</v>
      </c>
      <c r="V204" s="22" t="e">
        <f t="shared" si="137"/>
        <v>#DIV/0!</v>
      </c>
      <c r="W204" s="23" t="s">
        <v>234</v>
      </c>
      <c r="X204" s="19" t="s">
        <v>160</v>
      </c>
      <c r="Y204" s="33">
        <v>46233</v>
      </c>
      <c r="Z204" s="15"/>
    </row>
    <row r="205" spans="1:26" x14ac:dyDescent="0.25">
      <c r="A205" s="21">
        <f>IF(C205="","",COUNTA($C$3:C205))</f>
        <v>203</v>
      </c>
      <c r="B205" s="35" t="str">
        <f t="shared" si="138"/>
        <v>July</v>
      </c>
      <c r="C205" s="31">
        <v>46232</v>
      </c>
      <c r="D205" s="17" t="s">
        <v>474</v>
      </c>
      <c r="E205" s="32">
        <v>46155</v>
      </c>
      <c r="F205" s="17" t="s">
        <v>120</v>
      </c>
      <c r="G205" s="18" t="s">
        <v>262</v>
      </c>
      <c r="H205" s="18" t="s">
        <v>122</v>
      </c>
      <c r="I205" s="17" t="s">
        <v>506</v>
      </c>
      <c r="J205" s="18">
        <v>61967</v>
      </c>
      <c r="K205" s="18">
        <v>45524</v>
      </c>
      <c r="L205" s="19">
        <v>361156.5</v>
      </c>
      <c r="M205" s="20"/>
      <c r="N205" s="20"/>
      <c r="O205" s="19">
        <f t="shared" ref="O205" si="150">IF(L205="","",(L205+S205)*18%)</f>
        <v>65008.17</v>
      </c>
      <c r="P205" s="80">
        <f t="shared" si="149"/>
        <v>426164.67</v>
      </c>
      <c r="Q205" s="82">
        <v>0.33</v>
      </c>
      <c r="R205" s="87">
        <f t="shared" si="118"/>
        <v>426165</v>
      </c>
      <c r="S205" s="19"/>
      <c r="T205" s="19"/>
      <c r="U205" s="21" t="str">
        <f t="shared" si="136"/>
        <v/>
      </c>
      <c r="V205" s="22" t="str">
        <f t="shared" si="137"/>
        <v/>
      </c>
      <c r="W205" s="23" t="s">
        <v>124</v>
      </c>
      <c r="X205" s="19">
        <v>9465</v>
      </c>
      <c r="Y205" s="33">
        <v>46233</v>
      </c>
      <c r="Z205" s="15"/>
    </row>
    <row r="206" spans="1:26" x14ac:dyDescent="0.25">
      <c r="A206" s="21">
        <f>IF(C206="","",COUNTA($C$3:C206))</f>
        <v>204</v>
      </c>
      <c r="B206" s="35" t="str">
        <f t="shared" si="138"/>
        <v>July</v>
      </c>
      <c r="C206" s="31">
        <v>46232</v>
      </c>
      <c r="D206" s="17" t="s">
        <v>507</v>
      </c>
      <c r="E206" s="32">
        <v>46225</v>
      </c>
      <c r="F206" s="17" t="s">
        <v>120</v>
      </c>
      <c r="G206" s="18" t="s">
        <v>121</v>
      </c>
      <c r="H206" s="18" t="s">
        <v>122</v>
      </c>
      <c r="I206" s="17" t="s">
        <v>508</v>
      </c>
      <c r="J206" s="18">
        <v>62036</v>
      </c>
      <c r="K206" s="18">
        <v>45525</v>
      </c>
      <c r="L206" s="19">
        <v>192382.5</v>
      </c>
      <c r="M206" s="20">
        <f t="shared" ref="M206:M209" si="151">IF(L206="","",(L206+S206)*9%)</f>
        <v>17944.424999999999</v>
      </c>
      <c r="N206" s="20">
        <f t="shared" ref="N206:N209" si="152">IF(L206="","",(L206+S206)*9%)</f>
        <v>17944.424999999999</v>
      </c>
      <c r="O206" s="20"/>
      <c r="P206" s="80">
        <f t="shared" ref="P206:P209" si="153">SUM(L206:O206)+S206</f>
        <v>235271.34999999998</v>
      </c>
      <c r="Q206" s="82">
        <v>-0.35</v>
      </c>
      <c r="R206" s="87">
        <f t="shared" si="118"/>
        <v>235270.99999999997</v>
      </c>
      <c r="S206" s="19">
        <v>7000</v>
      </c>
      <c r="T206" s="19">
        <v>6150</v>
      </c>
      <c r="U206" s="21">
        <f t="shared" si="136"/>
        <v>850</v>
      </c>
      <c r="V206" s="22">
        <f t="shared" si="137"/>
        <v>0.13821138211382114</v>
      </c>
      <c r="W206" s="23" t="s">
        <v>124</v>
      </c>
      <c r="X206" s="19">
        <v>9466</v>
      </c>
      <c r="Y206" s="33">
        <v>46234</v>
      </c>
      <c r="Z206" s="15"/>
    </row>
    <row r="207" spans="1:26" x14ac:dyDescent="0.25">
      <c r="A207" s="21">
        <f>IF(C207="","",COUNTA($C$3:C207))</f>
        <v>205</v>
      </c>
      <c r="B207" s="35" t="str">
        <f t="shared" si="138"/>
        <v>July</v>
      </c>
      <c r="C207" s="31">
        <v>46233</v>
      </c>
      <c r="D207" s="17" t="s">
        <v>507</v>
      </c>
      <c r="E207" s="32">
        <v>46225</v>
      </c>
      <c r="F207" s="17" t="s">
        <v>120</v>
      </c>
      <c r="G207" s="18" t="s">
        <v>121</v>
      </c>
      <c r="H207" s="18" t="s">
        <v>122</v>
      </c>
      <c r="I207" s="17" t="s">
        <v>508</v>
      </c>
      <c r="J207" s="18">
        <v>62036</v>
      </c>
      <c r="K207" s="18">
        <v>45526</v>
      </c>
      <c r="L207" s="19">
        <v>194326.5</v>
      </c>
      <c r="M207" s="20">
        <f t="shared" si="151"/>
        <v>18119.384999999998</v>
      </c>
      <c r="N207" s="20">
        <f t="shared" si="152"/>
        <v>18119.384999999998</v>
      </c>
      <c r="O207" s="20"/>
      <c r="P207" s="80">
        <f t="shared" si="153"/>
        <v>237565.27000000002</v>
      </c>
      <c r="Q207" s="82">
        <v>-0.27</v>
      </c>
      <c r="R207" s="87">
        <f t="shared" si="118"/>
        <v>237565.00000000003</v>
      </c>
      <c r="S207" s="19">
        <v>7000</v>
      </c>
      <c r="T207" s="19">
        <v>6150</v>
      </c>
      <c r="U207" s="21">
        <f t="shared" si="136"/>
        <v>850</v>
      </c>
      <c r="V207" s="22">
        <f t="shared" si="137"/>
        <v>0.13821138211382114</v>
      </c>
      <c r="W207" s="23" t="s">
        <v>124</v>
      </c>
      <c r="X207" s="19">
        <v>9467</v>
      </c>
      <c r="Y207" s="33"/>
      <c r="Z207" s="15"/>
    </row>
    <row r="208" spans="1:26" x14ac:dyDescent="0.25">
      <c r="A208" s="21">
        <f>IF(C208="","",COUNTA($C$3:C208))</f>
        <v>206</v>
      </c>
      <c r="B208" s="35" t="str">
        <f t="shared" si="138"/>
        <v>July</v>
      </c>
      <c r="C208" s="31">
        <v>46234</v>
      </c>
      <c r="D208" s="17" t="s">
        <v>507</v>
      </c>
      <c r="E208" s="32">
        <v>46225</v>
      </c>
      <c r="F208" s="17" t="s">
        <v>120</v>
      </c>
      <c r="G208" s="18" t="s">
        <v>121</v>
      </c>
      <c r="H208" s="18" t="s">
        <v>122</v>
      </c>
      <c r="I208" s="17" t="s">
        <v>508</v>
      </c>
      <c r="J208" s="18">
        <v>62036</v>
      </c>
      <c r="K208" s="18">
        <v>45527</v>
      </c>
      <c r="L208" s="19">
        <v>254796.5</v>
      </c>
      <c r="M208" s="20">
        <f t="shared" si="151"/>
        <v>23561.684999999998</v>
      </c>
      <c r="N208" s="20">
        <f t="shared" si="152"/>
        <v>23561.684999999998</v>
      </c>
      <c r="O208" s="20"/>
      <c r="P208" s="80">
        <f t="shared" si="153"/>
        <v>308919.87</v>
      </c>
      <c r="Q208" s="82">
        <v>0.13</v>
      </c>
      <c r="R208" s="87">
        <f t="shared" si="118"/>
        <v>308920</v>
      </c>
      <c r="S208" s="19">
        <v>7000</v>
      </c>
      <c r="T208" s="19">
        <v>6150</v>
      </c>
      <c r="U208" s="21">
        <f t="shared" si="136"/>
        <v>850</v>
      </c>
      <c r="V208" s="22">
        <f t="shared" si="137"/>
        <v>0.13821138211382114</v>
      </c>
      <c r="W208" s="23" t="s">
        <v>124</v>
      </c>
      <c r="X208" s="19">
        <v>9468</v>
      </c>
      <c r="Y208" s="33"/>
      <c r="Z208" s="15"/>
    </row>
    <row r="209" spans="1:26" x14ac:dyDescent="0.25">
      <c r="A209" s="21">
        <f>IF(C209="","",COUNTA($C$3:C209))</f>
        <v>207</v>
      </c>
      <c r="B209" s="35" t="str">
        <f t="shared" si="138"/>
        <v>July</v>
      </c>
      <c r="C209" s="31">
        <v>46234</v>
      </c>
      <c r="D209" s="17" t="s">
        <v>509</v>
      </c>
      <c r="E209" s="32">
        <v>46230</v>
      </c>
      <c r="F209" s="17" t="s">
        <v>120</v>
      </c>
      <c r="G209" s="18" t="s">
        <v>121</v>
      </c>
      <c r="H209" s="18" t="s">
        <v>122</v>
      </c>
      <c r="I209" s="17" t="s">
        <v>510</v>
      </c>
      <c r="J209" s="18">
        <v>62037</v>
      </c>
      <c r="K209" s="18">
        <v>45528</v>
      </c>
      <c r="L209" s="19">
        <v>496486</v>
      </c>
      <c r="M209" s="20">
        <f t="shared" si="151"/>
        <v>44683.74</v>
      </c>
      <c r="N209" s="20">
        <f t="shared" si="152"/>
        <v>44683.74</v>
      </c>
      <c r="O209" s="20"/>
      <c r="P209" s="80">
        <f t="shared" si="153"/>
        <v>585853.48</v>
      </c>
      <c r="Q209" s="82">
        <v>-0.48</v>
      </c>
      <c r="R209" s="87">
        <f t="shared" si="118"/>
        <v>585853</v>
      </c>
      <c r="S209" s="19"/>
      <c r="T209" s="19"/>
      <c r="U209" s="21"/>
      <c r="V209" s="22" t="str">
        <f t="shared" si="137"/>
        <v/>
      </c>
      <c r="W209" s="23" t="s">
        <v>124</v>
      </c>
      <c r="X209" s="19">
        <v>9469</v>
      </c>
      <c r="Y209" s="33"/>
      <c r="Z209" s="15"/>
    </row>
    <row r="210" spans="1:26" x14ac:dyDescent="0.25">
      <c r="A210" s="21" t="str">
        <f>IF(C210="","",COUNTA($C$3:C210))</f>
        <v/>
      </c>
      <c r="B210" s="35" t="str">
        <f t="shared" si="138"/>
        <v/>
      </c>
      <c r="C210" s="31"/>
      <c r="D210" s="17"/>
      <c r="E210" s="32"/>
      <c r="F210" s="17"/>
      <c r="G210" s="18"/>
      <c r="H210" s="18"/>
      <c r="I210" s="17"/>
      <c r="J210" s="18"/>
      <c r="K210" s="18"/>
      <c r="L210" s="19"/>
      <c r="M210" s="20"/>
      <c r="N210" s="20"/>
      <c r="O210" s="20"/>
      <c r="P210" s="80"/>
      <c r="Q210" s="82"/>
      <c r="R210" s="87"/>
      <c r="S210" s="19"/>
      <c r="T210" s="19"/>
      <c r="U210" s="21"/>
      <c r="V210" s="22" t="str">
        <f t="shared" si="137"/>
        <v/>
      </c>
      <c r="W210" s="23"/>
      <c r="X210" s="19"/>
      <c r="Y210" s="33"/>
      <c r="Z210" s="15"/>
    </row>
    <row r="211" spans="1:26" x14ac:dyDescent="0.25">
      <c r="A211" s="21" t="str">
        <f>IF(C211="","",COUNTA($C$3:C211))</f>
        <v/>
      </c>
      <c r="B211" s="35" t="str">
        <f t="shared" si="138"/>
        <v/>
      </c>
      <c r="C211" s="31"/>
      <c r="D211" s="17"/>
      <c r="E211" s="32"/>
      <c r="F211" s="17"/>
      <c r="G211" s="18"/>
      <c r="H211" s="18"/>
      <c r="I211" s="17"/>
      <c r="J211" s="18"/>
      <c r="K211" s="18"/>
      <c r="L211" s="19"/>
      <c r="M211" s="20"/>
      <c r="N211" s="20"/>
      <c r="O211" s="20"/>
      <c r="P211" s="80"/>
      <c r="Q211" s="82"/>
      <c r="R211" s="87"/>
      <c r="S211" s="19"/>
      <c r="T211" s="19"/>
      <c r="U211" s="21"/>
      <c r="V211" s="22" t="str">
        <f t="shared" si="137"/>
        <v/>
      </c>
      <c r="W211" s="23"/>
      <c r="X211" s="19"/>
      <c r="Y211" s="33"/>
      <c r="Z211" s="15"/>
    </row>
    <row r="212" spans="1:26" x14ac:dyDescent="0.25">
      <c r="A212" s="21" t="str">
        <f>IF(C212="","",COUNTA($C$3:C212))</f>
        <v/>
      </c>
      <c r="B212" s="35" t="str">
        <f t="shared" si="138"/>
        <v/>
      </c>
      <c r="C212" s="31"/>
      <c r="D212" s="17"/>
      <c r="E212" s="32"/>
      <c r="F212" s="17"/>
      <c r="G212" s="18"/>
      <c r="H212" s="18"/>
      <c r="I212" s="17"/>
      <c r="J212" s="18"/>
      <c r="K212" s="18"/>
      <c r="L212" s="19"/>
      <c r="M212" s="20"/>
      <c r="N212" s="20"/>
      <c r="O212" s="20"/>
      <c r="P212" s="80"/>
      <c r="Q212" s="82"/>
      <c r="R212" s="87"/>
      <c r="S212" s="19"/>
      <c r="T212" s="19"/>
      <c r="U212" s="21"/>
      <c r="V212" s="22" t="str">
        <f t="shared" si="137"/>
        <v/>
      </c>
      <c r="W212" s="23"/>
      <c r="X212" s="19"/>
      <c r="Y212" s="33"/>
      <c r="Z212" s="15"/>
    </row>
    <row r="213" spans="1:26" x14ac:dyDescent="0.25">
      <c r="A213" s="21" t="str">
        <f>IF(C213="","",COUNTA($C$3:C213))</f>
        <v/>
      </c>
      <c r="B213" s="35" t="str">
        <f t="shared" si="138"/>
        <v/>
      </c>
      <c r="C213" s="31"/>
      <c r="D213" s="17"/>
      <c r="E213" s="32"/>
      <c r="F213" s="17"/>
      <c r="G213" s="18"/>
      <c r="H213" s="18"/>
      <c r="I213" s="17"/>
      <c r="J213" s="18"/>
      <c r="K213" s="18"/>
      <c r="L213" s="19"/>
      <c r="M213" s="20"/>
      <c r="N213" s="20"/>
      <c r="O213" s="20"/>
      <c r="P213" s="80"/>
      <c r="Q213" s="82"/>
      <c r="R213" s="87"/>
      <c r="S213" s="19"/>
      <c r="T213" s="19"/>
      <c r="U213" s="21"/>
      <c r="V213" s="22" t="str">
        <f t="shared" si="137"/>
        <v/>
      </c>
      <c r="W213" s="23"/>
      <c r="X213" s="19"/>
      <c r="Y213" s="33"/>
      <c r="Z213" s="15"/>
    </row>
    <row r="214" spans="1:26" x14ac:dyDescent="0.25">
      <c r="A214" s="21" t="str">
        <f>IF(C214="","",COUNTA($C$3:C214))</f>
        <v/>
      </c>
      <c r="B214" s="35" t="str">
        <f t="shared" si="138"/>
        <v/>
      </c>
      <c r="C214" s="31"/>
      <c r="D214" s="17"/>
      <c r="E214" s="32"/>
      <c r="F214" s="17"/>
      <c r="G214" s="18"/>
      <c r="H214" s="18"/>
      <c r="I214" s="17"/>
      <c r="J214" s="18"/>
      <c r="K214" s="18"/>
      <c r="L214" s="19"/>
      <c r="M214" s="20"/>
      <c r="N214" s="20"/>
      <c r="O214" s="20"/>
      <c r="P214" s="80"/>
      <c r="Q214" s="82"/>
      <c r="R214" s="87"/>
      <c r="S214" s="19"/>
      <c r="T214" s="19"/>
      <c r="U214" s="21"/>
      <c r="V214" s="22" t="str">
        <f t="shared" si="137"/>
        <v/>
      </c>
      <c r="W214" s="23"/>
      <c r="X214" s="19"/>
      <c r="Y214" s="33"/>
      <c r="Z214" s="15"/>
    </row>
    <row r="215" spans="1:26" x14ac:dyDescent="0.25">
      <c r="A215" s="21" t="str">
        <f>IF(C215="","",COUNTA($C$3:C215))</f>
        <v/>
      </c>
      <c r="B215" s="35" t="str">
        <f t="shared" si="138"/>
        <v/>
      </c>
      <c r="C215" s="31"/>
      <c r="D215" s="17"/>
      <c r="E215" s="32"/>
      <c r="F215" s="17"/>
      <c r="G215" s="18"/>
      <c r="H215" s="18"/>
      <c r="I215" s="17"/>
      <c r="J215" s="18"/>
      <c r="K215" s="18"/>
      <c r="L215" s="19"/>
      <c r="M215" s="20"/>
      <c r="N215" s="20"/>
      <c r="O215" s="20"/>
      <c r="P215" s="80"/>
      <c r="Q215" s="82"/>
      <c r="R215" s="87"/>
      <c r="S215" s="19"/>
      <c r="T215" s="19"/>
      <c r="U215" s="21"/>
      <c r="V215" s="22" t="str">
        <f t="shared" si="137"/>
        <v/>
      </c>
      <c r="W215" s="23"/>
      <c r="X215" s="19"/>
      <c r="Y215" s="33"/>
      <c r="Z215" s="15"/>
    </row>
    <row r="216" spans="1:26" x14ac:dyDescent="0.25">
      <c r="A216" s="21" t="str">
        <f>IF(C216="","",COUNTA($C$3:C216))</f>
        <v/>
      </c>
      <c r="B216" s="35" t="str">
        <f t="shared" si="138"/>
        <v/>
      </c>
      <c r="C216" s="31"/>
      <c r="D216" s="17"/>
      <c r="E216" s="32"/>
      <c r="F216" s="17"/>
      <c r="G216" s="18"/>
      <c r="H216" s="18"/>
      <c r="I216" s="17"/>
      <c r="J216" s="18"/>
      <c r="K216" s="18"/>
      <c r="L216" s="19"/>
      <c r="M216" s="20"/>
      <c r="N216" s="20"/>
      <c r="O216" s="20"/>
      <c r="P216" s="80"/>
      <c r="Q216" s="82"/>
      <c r="R216" s="87"/>
      <c r="S216" s="19"/>
      <c r="T216" s="19"/>
      <c r="U216" s="21"/>
      <c r="V216" s="22" t="str">
        <f t="shared" si="137"/>
        <v/>
      </c>
      <c r="W216" s="23"/>
      <c r="X216" s="19"/>
      <c r="Y216" s="33"/>
      <c r="Z216" s="15"/>
    </row>
    <row r="217" spans="1:26" x14ac:dyDescent="0.25">
      <c r="A217" s="21" t="str">
        <f>IF(C217="","",COUNTA($C$3:C217))</f>
        <v/>
      </c>
      <c r="B217" s="35" t="str">
        <f t="shared" si="138"/>
        <v/>
      </c>
      <c r="C217" s="31"/>
      <c r="D217" s="17"/>
      <c r="E217" s="32"/>
      <c r="F217" s="17"/>
      <c r="G217" s="18"/>
      <c r="H217" s="18"/>
      <c r="I217" s="17"/>
      <c r="J217" s="18"/>
      <c r="K217" s="18"/>
      <c r="L217" s="19"/>
      <c r="M217" s="20"/>
      <c r="N217" s="20"/>
      <c r="O217" s="20"/>
      <c r="P217" s="80"/>
      <c r="Q217" s="82"/>
      <c r="R217" s="87"/>
      <c r="S217" s="19"/>
      <c r="T217" s="19"/>
      <c r="U217" s="21"/>
      <c r="V217" s="22" t="str">
        <f t="shared" si="137"/>
        <v/>
      </c>
      <c r="W217" s="23"/>
      <c r="X217" s="19"/>
      <c r="Y217" s="33"/>
      <c r="Z217" s="15"/>
    </row>
    <row r="218" spans="1:26" x14ac:dyDescent="0.25">
      <c r="A218" s="21" t="str">
        <f>IF(C218="","",COUNTA($C$3:C218))</f>
        <v/>
      </c>
      <c r="B218" s="35" t="str">
        <f t="shared" si="138"/>
        <v/>
      </c>
      <c r="C218" s="31"/>
      <c r="D218" s="17"/>
      <c r="E218" s="32"/>
      <c r="F218" s="17"/>
      <c r="G218" s="18"/>
      <c r="H218" s="18"/>
      <c r="I218" s="17"/>
      <c r="J218" s="18"/>
      <c r="K218" s="18"/>
      <c r="L218" s="19"/>
      <c r="M218" s="20"/>
      <c r="N218" s="20"/>
      <c r="O218" s="20"/>
      <c r="P218" s="80"/>
      <c r="Q218" s="82"/>
      <c r="R218" s="87"/>
      <c r="S218" s="19"/>
      <c r="T218" s="19"/>
      <c r="U218" s="21"/>
      <c r="V218" s="22" t="str">
        <f t="shared" si="137"/>
        <v/>
      </c>
      <c r="W218" s="23"/>
      <c r="X218" s="19"/>
      <c r="Y218" s="33"/>
      <c r="Z218" s="15"/>
    </row>
    <row r="219" spans="1:26" x14ac:dyDescent="0.25">
      <c r="A219" s="21" t="str">
        <f>IF(C219="","",COUNTA($C$3:C219))</f>
        <v/>
      </c>
      <c r="B219" s="35" t="str">
        <f t="shared" si="138"/>
        <v/>
      </c>
      <c r="C219" s="31"/>
      <c r="D219" s="17"/>
      <c r="E219" s="32"/>
      <c r="F219" s="17"/>
      <c r="G219" s="18"/>
      <c r="H219" s="18"/>
      <c r="I219" s="17"/>
      <c r="J219" s="18"/>
      <c r="K219" s="18"/>
      <c r="L219" s="19"/>
      <c r="M219" s="20"/>
      <c r="N219" s="20"/>
      <c r="O219" s="20"/>
      <c r="P219" s="80"/>
      <c r="Q219" s="82"/>
      <c r="R219" s="87"/>
      <c r="S219" s="19"/>
      <c r="T219" s="19"/>
      <c r="U219" s="21"/>
      <c r="V219" s="22" t="str">
        <f t="shared" si="137"/>
        <v/>
      </c>
      <c r="W219" s="23"/>
      <c r="X219" s="19"/>
      <c r="Y219" s="33"/>
      <c r="Z219" s="15"/>
    </row>
    <row r="220" spans="1:26" x14ac:dyDescent="0.25">
      <c r="A220" s="21" t="str">
        <f>IF(C220="","",COUNTA($C$3:C220))</f>
        <v/>
      </c>
      <c r="B220" s="35" t="str">
        <f t="shared" si="138"/>
        <v/>
      </c>
      <c r="C220" s="31"/>
      <c r="D220" s="17"/>
      <c r="E220" s="32"/>
      <c r="F220" s="17"/>
      <c r="G220" s="18"/>
      <c r="H220" s="18"/>
      <c r="I220" s="17"/>
      <c r="J220" s="18"/>
      <c r="K220" s="18"/>
      <c r="L220" s="19"/>
      <c r="M220" s="20"/>
      <c r="N220" s="20"/>
      <c r="O220" s="20"/>
      <c r="P220" s="80"/>
      <c r="Q220" s="82"/>
      <c r="R220" s="87"/>
      <c r="S220" s="19"/>
      <c r="T220" s="19"/>
      <c r="U220" s="21"/>
      <c r="V220" s="22" t="str">
        <f t="shared" si="137"/>
        <v/>
      </c>
      <c r="W220" s="23"/>
      <c r="X220" s="19"/>
      <c r="Y220" s="33"/>
      <c r="Z220" s="15"/>
    </row>
    <row r="221" spans="1:26" x14ac:dyDescent="0.25">
      <c r="A221" s="21" t="str">
        <f>IF(C221="","",COUNTA($C$3:C221))</f>
        <v/>
      </c>
      <c r="B221" s="35" t="str">
        <f t="shared" si="138"/>
        <v/>
      </c>
      <c r="C221" s="31"/>
      <c r="D221" s="17"/>
      <c r="E221" s="32"/>
      <c r="F221" s="17"/>
      <c r="G221" s="18"/>
      <c r="H221" s="18"/>
      <c r="I221" s="17"/>
      <c r="J221" s="18"/>
      <c r="K221" s="18"/>
      <c r="L221" s="19"/>
      <c r="M221" s="20"/>
      <c r="N221" s="20"/>
      <c r="O221" s="20"/>
      <c r="P221" s="80"/>
      <c r="Q221" s="82"/>
      <c r="R221" s="87"/>
      <c r="S221" s="19"/>
      <c r="T221" s="19"/>
      <c r="U221" s="21"/>
      <c r="V221" s="22" t="str">
        <f t="shared" si="137"/>
        <v/>
      </c>
      <c r="W221" s="23"/>
      <c r="X221" s="19"/>
      <c r="Y221" s="33"/>
      <c r="Z221" s="15"/>
    </row>
    <row r="222" spans="1:26" x14ac:dyDescent="0.25">
      <c r="A222" s="21" t="str">
        <f>IF(C222="","",COUNTA($C$3:C222))</f>
        <v/>
      </c>
      <c r="B222" s="35" t="str">
        <f t="shared" si="138"/>
        <v/>
      </c>
      <c r="C222" s="31"/>
      <c r="D222" s="17"/>
      <c r="E222" s="32"/>
      <c r="F222" s="17"/>
      <c r="G222" s="18"/>
      <c r="H222" s="18"/>
      <c r="I222" s="17"/>
      <c r="J222" s="18"/>
      <c r="K222" s="18"/>
      <c r="L222" s="19"/>
      <c r="M222" s="20"/>
      <c r="N222" s="20"/>
      <c r="O222" s="20"/>
      <c r="P222" s="80"/>
      <c r="Q222" s="82"/>
      <c r="R222" s="87"/>
      <c r="S222" s="19"/>
      <c r="T222" s="19"/>
      <c r="U222" s="21"/>
      <c r="V222" s="22" t="str">
        <f t="shared" si="137"/>
        <v/>
      </c>
      <c r="W222" s="23"/>
      <c r="X222" s="19"/>
      <c r="Y222" s="33"/>
      <c r="Z222" s="15"/>
    </row>
    <row r="223" spans="1:26" x14ac:dyDescent="0.25">
      <c r="A223" s="21" t="str">
        <f>IF(C223="","",COUNTA($C$3:C223))</f>
        <v/>
      </c>
      <c r="B223" s="35" t="str">
        <f t="shared" si="138"/>
        <v/>
      </c>
      <c r="C223" s="31"/>
      <c r="D223" s="17"/>
      <c r="E223" s="32"/>
      <c r="F223" s="17"/>
      <c r="G223" s="18"/>
      <c r="H223" s="18"/>
      <c r="I223" s="17"/>
      <c r="J223" s="18"/>
      <c r="K223" s="18"/>
      <c r="L223" s="19"/>
      <c r="M223" s="20"/>
      <c r="N223" s="20"/>
      <c r="O223" s="20"/>
      <c r="P223" s="80"/>
      <c r="Q223" s="82"/>
      <c r="R223" s="87"/>
      <c r="S223" s="19"/>
      <c r="T223" s="19"/>
      <c r="U223" s="21"/>
      <c r="V223" s="22" t="str">
        <f t="shared" si="137"/>
        <v/>
      </c>
      <c r="W223" s="23"/>
      <c r="X223" s="19"/>
      <c r="Y223" s="33"/>
      <c r="Z223" s="15"/>
    </row>
    <row r="224" spans="1:26" x14ac:dyDescent="0.25">
      <c r="A224" s="21" t="str">
        <f>IF(C224="","",COUNTA($C$3:C224))</f>
        <v/>
      </c>
      <c r="B224" s="35" t="str">
        <f t="shared" si="138"/>
        <v/>
      </c>
      <c r="C224" s="31"/>
      <c r="D224" s="17"/>
      <c r="E224" s="32"/>
      <c r="F224" s="17"/>
      <c r="G224" s="18"/>
      <c r="H224" s="18"/>
      <c r="I224" s="17"/>
      <c r="J224" s="18"/>
      <c r="K224" s="18"/>
      <c r="L224" s="19"/>
      <c r="M224" s="20"/>
      <c r="N224" s="20"/>
      <c r="O224" s="20"/>
      <c r="P224" s="80"/>
      <c r="Q224" s="82"/>
      <c r="R224" s="87"/>
      <c r="S224" s="19"/>
      <c r="T224" s="19"/>
      <c r="U224" s="21"/>
      <c r="V224" s="22" t="str">
        <f t="shared" si="137"/>
        <v/>
      </c>
      <c r="W224" s="23"/>
      <c r="X224" s="19"/>
      <c r="Y224" s="33"/>
      <c r="Z224" s="15"/>
    </row>
    <row r="225" spans="1:26" x14ac:dyDescent="0.25">
      <c r="A225" s="21" t="str">
        <f>IF(C225="","",COUNTA($C$3:C225))</f>
        <v/>
      </c>
      <c r="B225" s="35" t="str">
        <f t="shared" si="138"/>
        <v/>
      </c>
      <c r="C225" s="31"/>
      <c r="D225" s="17"/>
      <c r="E225" s="32"/>
      <c r="F225" s="17"/>
      <c r="G225" s="18"/>
      <c r="H225" s="18"/>
      <c r="I225" s="17"/>
      <c r="J225" s="18"/>
      <c r="K225" s="18"/>
      <c r="L225" s="19"/>
      <c r="M225" s="20"/>
      <c r="N225" s="20"/>
      <c r="O225" s="20"/>
      <c r="P225" s="80"/>
      <c r="Q225" s="82"/>
      <c r="R225" s="87"/>
      <c r="S225" s="19"/>
      <c r="T225" s="19"/>
      <c r="U225" s="21"/>
      <c r="V225" s="22" t="str">
        <f t="shared" si="137"/>
        <v/>
      </c>
      <c r="W225" s="23"/>
      <c r="X225" s="19"/>
      <c r="Y225" s="33"/>
      <c r="Z225" s="15"/>
    </row>
    <row r="226" spans="1:26" x14ac:dyDescent="0.25">
      <c r="A226" s="21" t="str">
        <f>IF(C226="","",COUNTA($C$3:C226))</f>
        <v/>
      </c>
      <c r="B226" s="35" t="str">
        <f t="shared" si="138"/>
        <v/>
      </c>
      <c r="C226" s="31"/>
      <c r="D226" s="17"/>
      <c r="E226" s="32"/>
      <c r="F226" s="17"/>
      <c r="G226" s="18"/>
      <c r="H226" s="18"/>
      <c r="I226" s="17"/>
      <c r="J226" s="18"/>
      <c r="K226" s="18"/>
      <c r="L226" s="19"/>
      <c r="M226" s="20"/>
      <c r="N226" s="20"/>
      <c r="O226" s="20"/>
      <c r="P226" s="80"/>
      <c r="Q226" s="82"/>
      <c r="R226" s="87"/>
      <c r="S226" s="19"/>
      <c r="T226" s="19"/>
      <c r="U226" s="21"/>
      <c r="V226" s="22" t="str">
        <f t="shared" si="137"/>
        <v/>
      </c>
      <c r="W226" s="23"/>
      <c r="X226" s="19"/>
      <c r="Y226" s="33"/>
      <c r="Z226" s="15"/>
    </row>
    <row r="227" spans="1:26" x14ac:dyDescent="0.25">
      <c r="A227" s="21" t="str">
        <f>IF(C227="","",COUNTA($C$3:C227))</f>
        <v/>
      </c>
      <c r="B227" s="35" t="str">
        <f t="shared" si="138"/>
        <v/>
      </c>
      <c r="C227" s="31"/>
      <c r="D227" s="17"/>
      <c r="E227" s="32"/>
      <c r="F227" s="17"/>
      <c r="G227" s="18"/>
      <c r="H227" s="18"/>
      <c r="I227" s="17"/>
      <c r="J227" s="18"/>
      <c r="K227" s="18"/>
      <c r="L227" s="19"/>
      <c r="M227" s="20"/>
      <c r="N227" s="20"/>
      <c r="O227" s="20"/>
      <c r="P227" s="80"/>
      <c r="Q227" s="82"/>
      <c r="R227" s="87"/>
      <c r="S227" s="19"/>
      <c r="T227" s="19"/>
      <c r="U227" s="21"/>
      <c r="V227" s="22" t="str">
        <f t="shared" si="137"/>
        <v/>
      </c>
      <c r="W227" s="23"/>
      <c r="X227" s="74"/>
      <c r="Y227" s="33"/>
      <c r="Z227" s="15"/>
    </row>
    <row r="228" spans="1:26" x14ac:dyDescent="0.25">
      <c r="A228" s="21" t="str">
        <f>IF(C228="","",COUNTA($C$3:C228))</f>
        <v/>
      </c>
      <c r="B228" s="35" t="str">
        <f t="shared" si="138"/>
        <v/>
      </c>
      <c r="C228" s="31"/>
      <c r="D228" s="17"/>
      <c r="E228" s="32"/>
      <c r="F228" s="17"/>
      <c r="G228" s="18"/>
      <c r="H228" s="18"/>
      <c r="I228" s="17"/>
      <c r="J228" s="18"/>
      <c r="K228" s="18"/>
      <c r="L228" s="19"/>
      <c r="M228" s="20"/>
      <c r="N228" s="20"/>
      <c r="O228" s="20"/>
      <c r="P228" s="80"/>
      <c r="Q228" s="82"/>
      <c r="R228" s="87"/>
      <c r="S228" s="19"/>
      <c r="T228" s="19"/>
      <c r="U228" s="21"/>
      <c r="V228" s="22" t="str">
        <f t="shared" si="137"/>
        <v/>
      </c>
      <c r="W228" s="23"/>
      <c r="X228" s="74"/>
      <c r="Y228" s="33"/>
      <c r="Z228" s="15"/>
    </row>
    <row r="229" spans="1:26" x14ac:dyDescent="0.25">
      <c r="A229" s="21" t="str">
        <f>IF(C229="","",COUNTA($C$3:C229))</f>
        <v/>
      </c>
      <c r="B229" s="35" t="str">
        <f t="shared" si="138"/>
        <v/>
      </c>
      <c r="C229" s="31"/>
      <c r="D229" s="17"/>
      <c r="E229" s="32"/>
      <c r="F229" s="17"/>
      <c r="G229" s="18"/>
      <c r="H229" s="18"/>
      <c r="I229" s="17"/>
      <c r="J229" s="18"/>
      <c r="K229" s="18"/>
      <c r="L229" s="19"/>
      <c r="M229" s="20"/>
      <c r="N229" s="20"/>
      <c r="O229" s="20"/>
      <c r="P229" s="80"/>
      <c r="Q229" s="82"/>
      <c r="R229" s="87"/>
      <c r="S229" s="19"/>
      <c r="T229" s="19"/>
      <c r="U229" s="21"/>
      <c r="V229" s="22" t="str">
        <f t="shared" si="137"/>
        <v/>
      </c>
      <c r="W229" s="23"/>
      <c r="X229" s="74"/>
      <c r="Y229" s="33"/>
      <c r="Z229" s="15"/>
    </row>
    <row r="230" spans="1:26" x14ac:dyDescent="0.25">
      <c r="A230" s="21" t="str">
        <f>IF(C230="","",COUNTA($C$3:C230))</f>
        <v/>
      </c>
      <c r="B230" s="35" t="str">
        <f t="shared" si="138"/>
        <v/>
      </c>
      <c r="C230" s="31"/>
      <c r="D230" s="17"/>
      <c r="E230" s="32"/>
      <c r="F230" s="17"/>
      <c r="G230" s="18"/>
      <c r="H230" s="18"/>
      <c r="I230" s="17"/>
      <c r="J230" s="18"/>
      <c r="K230" s="18"/>
      <c r="L230" s="19"/>
      <c r="M230" s="20"/>
      <c r="N230" s="20"/>
      <c r="O230" s="20"/>
      <c r="P230" s="80"/>
      <c r="Q230" s="82"/>
      <c r="R230" s="87"/>
      <c r="S230" s="19"/>
      <c r="T230" s="19"/>
      <c r="U230" s="21"/>
      <c r="V230" s="22" t="str">
        <f t="shared" si="137"/>
        <v/>
      </c>
      <c r="W230" s="23"/>
      <c r="X230" s="74"/>
      <c r="Y230" s="33"/>
      <c r="Z230" s="15"/>
    </row>
    <row r="231" spans="1:26" x14ac:dyDescent="0.25">
      <c r="A231" s="21" t="str">
        <f>IF(C231="","",COUNTA($C$3:C231))</f>
        <v/>
      </c>
      <c r="B231" s="35" t="str">
        <f t="shared" si="138"/>
        <v/>
      </c>
      <c r="C231" s="31"/>
      <c r="D231" s="17"/>
      <c r="E231" s="32"/>
      <c r="F231" s="17"/>
      <c r="G231" s="18"/>
      <c r="H231" s="18"/>
      <c r="I231" s="17"/>
      <c r="J231" s="18"/>
      <c r="K231" s="18"/>
      <c r="L231" s="19"/>
      <c r="M231" s="20"/>
      <c r="N231" s="20"/>
      <c r="O231" s="20"/>
      <c r="P231" s="80"/>
      <c r="Q231" s="82"/>
      <c r="R231" s="87"/>
      <c r="S231" s="19"/>
      <c r="T231" s="19"/>
      <c r="U231" s="21"/>
      <c r="V231" s="22" t="str">
        <f t="shared" si="137"/>
        <v/>
      </c>
      <c r="W231" s="23"/>
      <c r="X231" s="74"/>
      <c r="Y231" s="33"/>
      <c r="Z231" s="15"/>
    </row>
    <row r="232" spans="1:26" x14ac:dyDescent="0.25">
      <c r="A232" s="21" t="str">
        <f>IF(C232="","",COUNTA($C$3:C232))</f>
        <v/>
      </c>
      <c r="B232" s="35" t="str">
        <f t="shared" si="138"/>
        <v/>
      </c>
      <c r="C232" s="31"/>
      <c r="D232" s="17"/>
      <c r="E232" s="32"/>
      <c r="F232" s="17"/>
      <c r="G232" s="18"/>
      <c r="H232" s="18"/>
      <c r="I232" s="17"/>
      <c r="J232" s="18"/>
      <c r="K232" s="18"/>
      <c r="L232" s="19"/>
      <c r="M232" s="20"/>
      <c r="N232" s="20"/>
      <c r="O232" s="19"/>
      <c r="P232" s="80"/>
      <c r="Q232" s="82"/>
      <c r="R232" s="87"/>
      <c r="S232" s="19"/>
      <c r="T232" s="19"/>
      <c r="U232" s="21"/>
      <c r="V232" s="22" t="str">
        <f t="shared" si="137"/>
        <v/>
      </c>
      <c r="W232" s="23"/>
      <c r="X232" s="74"/>
      <c r="Y232" s="33"/>
      <c r="Z232" s="15"/>
    </row>
    <row r="233" spans="1:26" x14ac:dyDescent="0.25">
      <c r="A233" s="21" t="str">
        <f>IF(C233="","",COUNTA($C$3:C233))</f>
        <v/>
      </c>
      <c r="B233" s="35" t="str">
        <f t="shared" si="138"/>
        <v/>
      </c>
      <c r="C233" s="31"/>
      <c r="D233" s="17"/>
      <c r="E233" s="32"/>
      <c r="F233" s="17"/>
      <c r="G233" s="18"/>
      <c r="H233" s="18"/>
      <c r="I233" s="17"/>
      <c r="J233" s="18"/>
      <c r="K233" s="18"/>
      <c r="L233" s="19"/>
      <c r="M233" s="20"/>
      <c r="N233" s="20"/>
      <c r="O233" s="20"/>
      <c r="P233" s="80"/>
      <c r="Q233" s="82"/>
      <c r="R233" s="87"/>
      <c r="S233" s="19"/>
      <c r="T233" s="19"/>
      <c r="U233" s="21"/>
      <c r="V233" s="22" t="str">
        <f t="shared" si="137"/>
        <v/>
      </c>
      <c r="W233" s="23"/>
      <c r="X233" s="74"/>
      <c r="Y233" s="33"/>
      <c r="Z233" s="15"/>
    </row>
    <row r="234" spans="1:26" x14ac:dyDescent="0.25">
      <c r="A234" s="21" t="str">
        <f>IF(C234="","",COUNTA($C$3:C234))</f>
        <v/>
      </c>
      <c r="B234" s="35" t="str">
        <f t="shared" si="138"/>
        <v/>
      </c>
      <c r="C234" s="31"/>
      <c r="D234" s="17"/>
      <c r="E234" s="32"/>
      <c r="F234" s="17"/>
      <c r="G234" s="18"/>
      <c r="H234" s="18"/>
      <c r="I234" s="17"/>
      <c r="J234" s="18"/>
      <c r="K234" s="18"/>
      <c r="L234" s="19"/>
      <c r="M234" s="20"/>
      <c r="N234" s="20"/>
      <c r="O234" s="19"/>
      <c r="P234" s="80"/>
      <c r="Q234" s="82"/>
      <c r="R234" s="87"/>
      <c r="S234" s="19"/>
      <c r="T234" s="19"/>
      <c r="U234" s="21"/>
      <c r="V234" s="22" t="str">
        <f t="shared" si="137"/>
        <v/>
      </c>
      <c r="W234" s="23"/>
      <c r="X234" s="43"/>
      <c r="Y234" s="33"/>
      <c r="Z234" s="15"/>
    </row>
    <row r="235" spans="1:26" x14ac:dyDescent="0.25">
      <c r="A235" s="21" t="str">
        <f>IF(C235="","",COUNTA($C$3:C235))</f>
        <v/>
      </c>
      <c r="B235" s="35" t="str">
        <f t="shared" si="138"/>
        <v/>
      </c>
      <c r="C235" s="31"/>
      <c r="D235" s="17"/>
      <c r="E235" s="32"/>
      <c r="F235" s="17"/>
      <c r="G235" s="18"/>
      <c r="H235" s="18"/>
      <c r="I235" s="17"/>
      <c r="J235" s="18"/>
      <c r="K235" s="18"/>
      <c r="L235" s="19"/>
      <c r="M235" s="20"/>
      <c r="N235" s="20"/>
      <c r="O235" s="19"/>
      <c r="P235" s="80"/>
      <c r="Q235" s="82"/>
      <c r="R235" s="87"/>
      <c r="S235" s="19"/>
      <c r="T235" s="19"/>
      <c r="U235" s="21"/>
      <c r="V235" s="22" t="str">
        <f t="shared" si="137"/>
        <v/>
      </c>
      <c r="W235" s="23"/>
      <c r="X235" s="74"/>
      <c r="Y235" s="33"/>
      <c r="Z235" s="15"/>
    </row>
    <row r="236" spans="1:26" x14ac:dyDescent="0.25">
      <c r="A236" s="21" t="str">
        <f>IF(C236="","",COUNTA($C$3:C236))</f>
        <v/>
      </c>
      <c r="B236" s="35" t="str">
        <f t="shared" si="138"/>
        <v/>
      </c>
      <c r="C236" s="31"/>
      <c r="D236" s="17"/>
      <c r="E236" s="32"/>
      <c r="F236" s="17"/>
      <c r="G236" s="18"/>
      <c r="H236" s="18"/>
      <c r="I236" s="17"/>
      <c r="J236" s="18"/>
      <c r="K236" s="18"/>
      <c r="L236" s="19"/>
      <c r="M236" s="20"/>
      <c r="N236" s="20"/>
      <c r="O236" s="19"/>
      <c r="P236" s="80"/>
      <c r="Q236" s="82"/>
      <c r="R236" s="87"/>
      <c r="S236" s="19"/>
      <c r="T236" s="19"/>
      <c r="U236" s="21"/>
      <c r="V236" s="22" t="str">
        <f t="shared" si="137"/>
        <v/>
      </c>
      <c r="W236" s="23"/>
      <c r="X236" s="74"/>
      <c r="Y236" s="33"/>
      <c r="Z236" s="15"/>
    </row>
    <row r="237" spans="1:26" x14ac:dyDescent="0.25">
      <c r="A237" s="21" t="str">
        <f>IF(C237="","",COUNTA($C$3:C237))</f>
        <v/>
      </c>
      <c r="B237" s="35" t="str">
        <f t="shared" si="138"/>
        <v/>
      </c>
      <c r="C237" s="31"/>
      <c r="D237" s="17"/>
      <c r="E237" s="32"/>
      <c r="F237" s="17"/>
      <c r="G237" s="18"/>
      <c r="H237" s="18"/>
      <c r="I237" s="17"/>
      <c r="J237" s="18"/>
      <c r="K237" s="18"/>
      <c r="L237" s="19"/>
      <c r="M237" s="20"/>
      <c r="N237" s="20"/>
      <c r="O237" s="19"/>
      <c r="P237" s="80"/>
      <c r="Q237" s="82"/>
      <c r="R237" s="87"/>
      <c r="S237" s="19"/>
      <c r="T237" s="19"/>
      <c r="U237" s="21"/>
      <c r="V237" s="22" t="str">
        <f t="shared" si="137"/>
        <v/>
      </c>
      <c r="W237" s="23"/>
      <c r="X237" s="74"/>
      <c r="Y237" s="33"/>
      <c r="Z237" s="15"/>
    </row>
    <row r="238" spans="1:26" x14ac:dyDescent="0.25">
      <c r="A238" s="21" t="str">
        <f>IF(C238="","",COUNTA($C$3:C238))</f>
        <v/>
      </c>
      <c r="B238" s="35" t="str">
        <f t="shared" si="138"/>
        <v/>
      </c>
      <c r="C238" s="31"/>
      <c r="D238" s="17"/>
      <c r="E238" s="32"/>
      <c r="F238" s="17"/>
      <c r="G238" s="18"/>
      <c r="H238" s="18"/>
      <c r="I238" s="17"/>
      <c r="J238" s="18"/>
      <c r="K238" s="18"/>
      <c r="L238" s="19"/>
      <c r="M238" s="20"/>
      <c r="N238" s="20"/>
      <c r="O238" s="19"/>
      <c r="P238" s="80"/>
      <c r="Q238" s="82"/>
      <c r="R238" s="87"/>
      <c r="S238" s="19"/>
      <c r="T238" s="19"/>
      <c r="U238" s="21"/>
      <c r="V238" s="22" t="str">
        <f t="shared" si="137"/>
        <v/>
      </c>
      <c r="W238" s="23"/>
      <c r="X238" s="74"/>
      <c r="Y238" s="33"/>
      <c r="Z238" s="15"/>
    </row>
    <row r="239" spans="1:26" x14ac:dyDescent="0.25">
      <c r="A239" s="21" t="str">
        <f>IF(C239="","",COUNTA($C$3:C239))</f>
        <v/>
      </c>
      <c r="B239" s="35" t="str">
        <f t="shared" si="138"/>
        <v/>
      </c>
      <c r="C239" s="31"/>
      <c r="D239" s="17"/>
      <c r="E239" s="32"/>
      <c r="F239" s="17"/>
      <c r="G239" s="18"/>
      <c r="H239" s="18"/>
      <c r="I239" s="17"/>
      <c r="J239" s="18"/>
      <c r="K239" s="18"/>
      <c r="L239" s="19"/>
      <c r="M239" s="20"/>
      <c r="N239" s="20"/>
      <c r="O239" s="19"/>
      <c r="P239" s="80"/>
      <c r="Q239" s="82"/>
      <c r="R239" s="87"/>
      <c r="S239" s="19"/>
      <c r="T239" s="19"/>
      <c r="U239" s="21"/>
      <c r="V239" s="22" t="str">
        <f t="shared" si="137"/>
        <v/>
      </c>
      <c r="W239" s="23"/>
      <c r="X239" s="74"/>
      <c r="Y239" s="33"/>
      <c r="Z239" s="15"/>
    </row>
    <row r="240" spans="1:26" x14ac:dyDescent="0.25">
      <c r="A240" s="21" t="str">
        <f>IF(C240="","",COUNTA($C$3:C240))</f>
        <v/>
      </c>
      <c r="B240" s="35" t="str">
        <f t="shared" si="138"/>
        <v/>
      </c>
      <c r="C240" s="31"/>
      <c r="D240" s="17"/>
      <c r="E240" s="32"/>
      <c r="F240" s="17"/>
      <c r="G240" s="18"/>
      <c r="H240" s="18"/>
      <c r="I240" s="17"/>
      <c r="J240" s="18"/>
      <c r="K240" s="18"/>
      <c r="L240" s="19"/>
      <c r="M240" s="20"/>
      <c r="N240" s="20"/>
      <c r="O240" s="19"/>
      <c r="P240" s="80"/>
      <c r="Q240" s="82"/>
      <c r="R240" s="87"/>
      <c r="S240" s="19"/>
      <c r="T240" s="19"/>
      <c r="U240" s="21"/>
      <c r="V240" s="22" t="str">
        <f t="shared" si="137"/>
        <v/>
      </c>
      <c r="W240" s="23"/>
      <c r="X240" s="74"/>
      <c r="Y240" s="33"/>
      <c r="Z240" s="15"/>
    </row>
    <row r="241" spans="1:26" x14ac:dyDescent="0.25">
      <c r="A241" s="21" t="str">
        <f>IF(C241="","",COUNTA($C$3:C241))</f>
        <v/>
      </c>
      <c r="B241" s="35" t="str">
        <f t="shared" si="138"/>
        <v/>
      </c>
      <c r="C241" s="31"/>
      <c r="D241" s="17"/>
      <c r="E241" s="32"/>
      <c r="F241" s="17"/>
      <c r="G241" s="18"/>
      <c r="H241" s="18"/>
      <c r="I241" s="17"/>
      <c r="J241" s="18"/>
      <c r="K241" s="18"/>
      <c r="L241" s="19"/>
      <c r="M241" s="20"/>
      <c r="N241" s="20"/>
      <c r="O241" s="19"/>
      <c r="P241" s="80"/>
      <c r="Q241" s="82"/>
      <c r="R241" s="87"/>
      <c r="S241" s="19"/>
      <c r="T241" s="19"/>
      <c r="U241" s="21"/>
      <c r="V241" s="22" t="str">
        <f t="shared" si="137"/>
        <v/>
      </c>
      <c r="W241" s="23"/>
      <c r="X241" s="74"/>
      <c r="Y241" s="33"/>
      <c r="Z241" s="15"/>
    </row>
    <row r="242" spans="1:26" x14ac:dyDescent="0.25">
      <c r="A242" s="21" t="str">
        <f>IF(C242="","",COUNTA($C$3:C242))</f>
        <v/>
      </c>
      <c r="B242" s="35" t="str">
        <f t="shared" si="138"/>
        <v/>
      </c>
      <c r="C242" s="31"/>
      <c r="D242" s="17"/>
      <c r="E242" s="32"/>
      <c r="F242" s="17"/>
      <c r="G242" s="18"/>
      <c r="H242" s="18"/>
      <c r="I242" s="17"/>
      <c r="J242" s="18"/>
      <c r="K242" s="18"/>
      <c r="L242" s="19"/>
      <c r="M242" s="20"/>
      <c r="N242" s="20"/>
      <c r="O242" s="19"/>
      <c r="P242" s="80"/>
      <c r="Q242" s="82"/>
      <c r="R242" s="87"/>
      <c r="S242" s="19"/>
      <c r="T242" s="19"/>
      <c r="U242" s="21"/>
      <c r="V242" s="22" t="str">
        <f t="shared" si="137"/>
        <v/>
      </c>
      <c r="W242" s="23"/>
      <c r="X242" s="74"/>
      <c r="Y242" s="33"/>
      <c r="Z242" s="15"/>
    </row>
    <row r="243" spans="1:26" x14ac:dyDescent="0.25">
      <c r="A243" s="21" t="str">
        <f>IF(C243="","",COUNTA($C$3:C243))</f>
        <v/>
      </c>
      <c r="B243" s="35" t="str">
        <f t="shared" si="138"/>
        <v/>
      </c>
      <c r="C243" s="31"/>
      <c r="D243" s="17"/>
      <c r="E243" s="32"/>
      <c r="F243" s="17"/>
      <c r="G243" s="18"/>
      <c r="H243" s="18"/>
      <c r="I243" s="17"/>
      <c r="J243" s="18"/>
      <c r="K243" s="18"/>
      <c r="L243" s="19"/>
      <c r="M243" s="20"/>
      <c r="N243" s="20"/>
      <c r="O243" s="19"/>
      <c r="P243" s="80"/>
      <c r="Q243" s="82"/>
      <c r="R243" s="87"/>
      <c r="S243" s="19"/>
      <c r="T243" s="19"/>
      <c r="U243" s="21"/>
      <c r="V243" s="22" t="str">
        <f t="shared" si="137"/>
        <v/>
      </c>
      <c r="W243" s="23"/>
      <c r="X243" s="74"/>
      <c r="Y243" s="33"/>
      <c r="Z243" s="15"/>
    </row>
    <row r="244" spans="1:26" x14ac:dyDescent="0.25">
      <c r="A244" s="21" t="str">
        <f>IF(C244="","",COUNTA($C$3:C244))</f>
        <v/>
      </c>
      <c r="B244" s="35" t="str">
        <f t="shared" si="138"/>
        <v/>
      </c>
      <c r="C244" s="31"/>
      <c r="D244" s="17"/>
      <c r="E244" s="32"/>
      <c r="F244" s="17"/>
      <c r="G244" s="18"/>
      <c r="H244" s="18"/>
      <c r="I244" s="17"/>
      <c r="J244" s="18"/>
      <c r="K244" s="18"/>
      <c r="L244" s="19"/>
      <c r="M244" s="20"/>
      <c r="N244" s="20"/>
      <c r="O244" s="19"/>
      <c r="P244" s="80"/>
      <c r="Q244" s="82"/>
      <c r="R244" s="87"/>
      <c r="S244" s="19"/>
      <c r="T244" s="19"/>
      <c r="U244" s="21"/>
      <c r="V244" s="22" t="str">
        <f t="shared" si="137"/>
        <v/>
      </c>
      <c r="W244" s="23"/>
      <c r="X244" s="74"/>
      <c r="Y244" s="33"/>
      <c r="Z244" s="15"/>
    </row>
    <row r="245" spans="1:26" x14ac:dyDescent="0.25">
      <c r="A245" s="21" t="str">
        <f>IF(C245="","",COUNTA($C$3:C245))</f>
        <v/>
      </c>
      <c r="B245" s="35" t="str">
        <f t="shared" si="138"/>
        <v/>
      </c>
      <c r="C245" s="31"/>
      <c r="D245" s="17"/>
      <c r="E245" s="32"/>
      <c r="F245" s="17"/>
      <c r="G245" s="18"/>
      <c r="H245" s="18"/>
      <c r="I245" s="17"/>
      <c r="J245" s="18"/>
      <c r="K245" s="18"/>
      <c r="L245" s="19"/>
      <c r="M245" s="20"/>
      <c r="N245" s="20"/>
      <c r="O245" s="19"/>
      <c r="P245" s="80"/>
      <c r="Q245" s="82"/>
      <c r="R245" s="87"/>
      <c r="S245" s="19"/>
      <c r="T245" s="19"/>
      <c r="U245" s="21"/>
      <c r="V245" s="22" t="str">
        <f t="shared" si="137"/>
        <v/>
      </c>
      <c r="W245" s="23"/>
      <c r="X245" s="74"/>
      <c r="Y245" s="33"/>
      <c r="Z245" s="15"/>
    </row>
    <row r="246" spans="1:26" x14ac:dyDescent="0.25">
      <c r="A246" s="21" t="str">
        <f>IF(C246="","",COUNTA($C$3:C246))</f>
        <v/>
      </c>
      <c r="B246" s="35" t="str">
        <f t="shared" si="138"/>
        <v/>
      </c>
      <c r="C246" s="31"/>
      <c r="D246" s="17"/>
      <c r="E246" s="32"/>
      <c r="F246" s="17"/>
      <c r="G246" s="18"/>
      <c r="H246" s="18"/>
      <c r="I246" s="17"/>
      <c r="J246" s="18"/>
      <c r="K246" s="18"/>
      <c r="L246" s="19"/>
      <c r="M246" s="20"/>
      <c r="N246" s="20"/>
      <c r="O246" s="19"/>
      <c r="P246" s="80"/>
      <c r="Q246" s="82"/>
      <c r="R246" s="87"/>
      <c r="S246" s="19"/>
      <c r="T246" s="19"/>
      <c r="U246" s="21"/>
      <c r="V246" s="22" t="str">
        <f t="shared" si="137"/>
        <v/>
      </c>
      <c r="W246" s="23"/>
      <c r="X246" s="74"/>
      <c r="Y246" s="33"/>
      <c r="Z246" s="15"/>
    </row>
    <row r="247" spans="1:26" x14ac:dyDescent="0.25">
      <c r="A247" s="21" t="str">
        <f>IF(C247="","",COUNTA($C$3:C247))</f>
        <v/>
      </c>
      <c r="B247" s="35" t="str">
        <f t="shared" si="138"/>
        <v/>
      </c>
      <c r="C247" s="31"/>
      <c r="D247" s="17"/>
      <c r="E247" s="32"/>
      <c r="F247" s="17"/>
      <c r="G247" s="18"/>
      <c r="H247" s="18"/>
      <c r="I247" s="17"/>
      <c r="J247" s="18"/>
      <c r="K247" s="18"/>
      <c r="L247" s="19"/>
      <c r="M247" s="20"/>
      <c r="N247" s="20"/>
      <c r="O247" s="20"/>
      <c r="P247" s="80"/>
      <c r="Q247" s="82"/>
      <c r="R247" s="87"/>
      <c r="S247" s="19"/>
      <c r="T247" s="19"/>
      <c r="U247" s="21"/>
      <c r="V247" s="22" t="str">
        <f t="shared" si="137"/>
        <v/>
      </c>
      <c r="W247" s="23"/>
      <c r="X247" s="74"/>
      <c r="Y247" s="33"/>
      <c r="Z247" s="15"/>
    </row>
    <row r="248" spans="1:26" x14ac:dyDescent="0.25">
      <c r="A248" s="21" t="str">
        <f>IF(C248="","",COUNTA($C$3:C248))</f>
        <v/>
      </c>
      <c r="B248" s="35" t="str">
        <f t="shared" si="138"/>
        <v/>
      </c>
      <c r="C248" s="31"/>
      <c r="D248" s="17"/>
      <c r="E248" s="32"/>
      <c r="F248" s="17"/>
      <c r="G248" s="18"/>
      <c r="H248" s="18"/>
      <c r="I248" s="17"/>
      <c r="J248" s="18"/>
      <c r="K248" s="18"/>
      <c r="L248" s="19"/>
      <c r="M248" s="20"/>
      <c r="N248" s="20"/>
      <c r="O248" s="20"/>
      <c r="P248" s="80"/>
      <c r="Q248" s="82"/>
      <c r="R248" s="87"/>
      <c r="S248" s="19"/>
      <c r="T248" s="19"/>
      <c r="U248" s="21"/>
      <c r="V248" s="22" t="str">
        <f t="shared" si="137"/>
        <v/>
      </c>
      <c r="W248" s="23"/>
      <c r="X248" s="74"/>
      <c r="Y248" s="33"/>
      <c r="Z248" s="15"/>
    </row>
    <row r="249" spans="1:26" x14ac:dyDescent="0.25">
      <c r="A249" s="21" t="str">
        <f>IF(C249="","",COUNTA($C$3:C249))</f>
        <v/>
      </c>
      <c r="B249" s="35" t="str">
        <f t="shared" si="138"/>
        <v/>
      </c>
      <c r="C249" s="31"/>
      <c r="D249" s="17"/>
      <c r="E249" s="32"/>
      <c r="F249" s="17"/>
      <c r="G249" s="18"/>
      <c r="H249" s="18"/>
      <c r="I249" s="17"/>
      <c r="J249" s="18"/>
      <c r="K249" s="18"/>
      <c r="L249" s="19"/>
      <c r="M249" s="20"/>
      <c r="N249" s="20"/>
      <c r="O249" s="20"/>
      <c r="P249" s="80"/>
      <c r="Q249" s="82"/>
      <c r="R249" s="87"/>
      <c r="S249" s="19"/>
      <c r="T249" s="19"/>
      <c r="U249" s="21"/>
      <c r="V249" s="22" t="str">
        <f t="shared" si="137"/>
        <v/>
      </c>
      <c r="W249" s="23"/>
      <c r="X249" s="74"/>
      <c r="Y249" s="33"/>
      <c r="Z249" s="15"/>
    </row>
    <row r="250" spans="1:26" x14ac:dyDescent="0.25">
      <c r="A250" s="21" t="str">
        <f>IF(C250="","",COUNTA($C$3:C250))</f>
        <v/>
      </c>
      <c r="B250" s="35" t="str">
        <f t="shared" si="138"/>
        <v/>
      </c>
      <c r="C250" s="31"/>
      <c r="D250" s="17"/>
      <c r="E250" s="32"/>
      <c r="F250" s="17"/>
      <c r="G250" s="18"/>
      <c r="H250" s="18"/>
      <c r="I250" s="17"/>
      <c r="J250" s="18"/>
      <c r="K250" s="18"/>
      <c r="L250" s="19"/>
      <c r="M250" s="20"/>
      <c r="N250" s="20"/>
      <c r="O250" s="20"/>
      <c r="P250" s="80"/>
      <c r="Q250" s="82"/>
      <c r="R250" s="87"/>
      <c r="S250" s="19"/>
      <c r="T250" s="19"/>
      <c r="U250" s="21"/>
      <c r="V250" s="22" t="str">
        <f t="shared" si="137"/>
        <v/>
      </c>
      <c r="W250" s="23"/>
      <c r="X250" s="74"/>
      <c r="Y250" s="33"/>
      <c r="Z250" s="15"/>
    </row>
    <row r="251" spans="1:26" x14ac:dyDescent="0.25">
      <c r="A251" s="21" t="str">
        <f>IF(C251="","",COUNTA($C$3:C251))</f>
        <v/>
      </c>
      <c r="B251" s="35" t="str">
        <f t="shared" si="138"/>
        <v/>
      </c>
      <c r="C251" s="31"/>
      <c r="D251" s="17"/>
      <c r="E251" s="32"/>
      <c r="F251" s="17"/>
      <c r="G251" s="18"/>
      <c r="H251" s="18"/>
      <c r="I251" s="17"/>
      <c r="J251" s="18"/>
      <c r="K251" s="18"/>
      <c r="L251" s="19"/>
      <c r="M251" s="20"/>
      <c r="N251" s="20"/>
      <c r="O251" s="20"/>
      <c r="P251" s="80"/>
      <c r="Q251" s="82"/>
      <c r="R251" s="87"/>
      <c r="S251" s="19"/>
      <c r="T251" s="19"/>
      <c r="U251" s="21"/>
      <c r="V251" s="22" t="str">
        <f t="shared" si="137"/>
        <v/>
      </c>
      <c r="W251" s="23"/>
      <c r="X251" s="74"/>
      <c r="Y251" s="33"/>
      <c r="Z251" s="15"/>
    </row>
    <row r="252" spans="1:26" x14ac:dyDescent="0.25">
      <c r="A252" s="21" t="str">
        <f>IF(C252="","",COUNTA($C$3:C252))</f>
        <v/>
      </c>
      <c r="B252" s="35" t="str">
        <f t="shared" si="138"/>
        <v/>
      </c>
      <c r="C252" s="31"/>
      <c r="D252" s="17"/>
      <c r="E252" s="32"/>
      <c r="F252" s="17"/>
      <c r="G252" s="18"/>
      <c r="H252" s="18"/>
      <c r="I252" s="17"/>
      <c r="J252" s="18"/>
      <c r="K252" s="18"/>
      <c r="L252" s="19"/>
      <c r="M252" s="20"/>
      <c r="N252" s="20"/>
      <c r="O252" s="20"/>
      <c r="P252" s="80"/>
      <c r="Q252" s="82"/>
      <c r="R252" s="87"/>
      <c r="S252" s="19"/>
      <c r="T252" s="19"/>
      <c r="U252" s="21"/>
      <c r="V252" s="22" t="str">
        <f t="shared" si="137"/>
        <v/>
      </c>
      <c r="W252" s="23"/>
      <c r="X252" s="74"/>
      <c r="Y252" s="33"/>
      <c r="Z252" s="15"/>
    </row>
    <row r="253" spans="1:26" x14ac:dyDescent="0.25">
      <c r="A253" s="21" t="str">
        <f>IF(C253="","",COUNTA($C$3:C253))</f>
        <v/>
      </c>
      <c r="B253" s="35" t="str">
        <f t="shared" si="138"/>
        <v/>
      </c>
      <c r="C253" s="31"/>
      <c r="D253" s="17"/>
      <c r="E253" s="32"/>
      <c r="F253" s="17"/>
      <c r="G253" s="18"/>
      <c r="H253" s="18"/>
      <c r="I253" s="17"/>
      <c r="J253" s="18"/>
      <c r="K253" s="18"/>
      <c r="L253" s="19"/>
      <c r="M253" s="20"/>
      <c r="N253" s="20"/>
      <c r="O253" s="20"/>
      <c r="P253" s="80"/>
      <c r="Q253" s="82"/>
      <c r="R253" s="87"/>
      <c r="S253" s="19"/>
      <c r="T253" s="19"/>
      <c r="U253" s="21"/>
      <c r="V253" s="22" t="str">
        <f t="shared" si="137"/>
        <v/>
      </c>
      <c r="W253" s="23"/>
      <c r="X253" s="74"/>
      <c r="Y253" s="33"/>
      <c r="Z253" s="15"/>
    </row>
    <row r="254" spans="1:26" x14ac:dyDescent="0.25">
      <c r="A254" s="21" t="str">
        <f>IF(C254="","",COUNTA($C$3:C254))</f>
        <v/>
      </c>
      <c r="B254" s="35" t="str">
        <f t="shared" si="138"/>
        <v/>
      </c>
      <c r="C254" s="31"/>
      <c r="D254" s="17"/>
      <c r="E254" s="32"/>
      <c r="F254" s="17"/>
      <c r="G254" s="18"/>
      <c r="H254" s="18"/>
      <c r="I254" s="17"/>
      <c r="J254" s="18"/>
      <c r="K254" s="18"/>
      <c r="L254" s="19"/>
      <c r="M254" s="20"/>
      <c r="N254" s="20"/>
      <c r="O254" s="20"/>
      <c r="P254" s="80"/>
      <c r="Q254" s="82"/>
      <c r="R254" s="87"/>
      <c r="S254" s="19"/>
      <c r="T254" s="19"/>
      <c r="U254" s="21"/>
      <c r="V254" s="22" t="str">
        <f t="shared" si="137"/>
        <v/>
      </c>
      <c r="W254" s="23"/>
      <c r="X254" s="74"/>
      <c r="Y254" s="33"/>
      <c r="Z254" s="15"/>
    </row>
    <row r="255" spans="1:26" x14ac:dyDescent="0.25">
      <c r="A255" s="21" t="str">
        <f>IF(C255="","",COUNTA($C$3:C255))</f>
        <v/>
      </c>
      <c r="B255" s="35" t="str">
        <f t="shared" si="138"/>
        <v/>
      </c>
      <c r="C255" s="31"/>
      <c r="D255" s="17"/>
      <c r="E255" s="32"/>
      <c r="F255" s="17"/>
      <c r="G255" s="18"/>
      <c r="H255" s="18"/>
      <c r="I255" s="17"/>
      <c r="J255" s="18"/>
      <c r="K255" s="18"/>
      <c r="L255" s="19"/>
      <c r="M255" s="20"/>
      <c r="N255" s="20"/>
      <c r="O255" s="20"/>
      <c r="P255" s="80"/>
      <c r="Q255" s="82"/>
      <c r="R255" s="87"/>
      <c r="S255" s="19"/>
      <c r="T255" s="19"/>
      <c r="U255" s="21"/>
      <c r="V255" s="22" t="str">
        <f t="shared" si="137"/>
        <v/>
      </c>
      <c r="W255" s="23"/>
      <c r="X255" s="74"/>
      <c r="Y255" s="33"/>
      <c r="Z255" s="15"/>
    </row>
    <row r="256" spans="1:26" x14ac:dyDescent="0.25">
      <c r="A256" s="21" t="str">
        <f>IF(C256="","",COUNTA($C$3:C256))</f>
        <v/>
      </c>
      <c r="B256" s="35" t="str">
        <f t="shared" si="138"/>
        <v/>
      </c>
      <c r="C256" s="31"/>
      <c r="D256" s="17"/>
      <c r="E256" s="32"/>
      <c r="F256" s="17"/>
      <c r="G256" s="18"/>
      <c r="H256" s="18"/>
      <c r="I256" s="17"/>
      <c r="J256" s="18"/>
      <c r="K256" s="18"/>
      <c r="L256" s="19"/>
      <c r="M256" s="20"/>
      <c r="N256" s="20"/>
      <c r="O256" s="20"/>
      <c r="P256" s="80"/>
      <c r="Q256" s="82"/>
      <c r="R256" s="87"/>
      <c r="S256" s="19"/>
      <c r="T256" s="19"/>
      <c r="U256" s="21"/>
      <c r="V256" s="22" t="str">
        <f t="shared" si="137"/>
        <v/>
      </c>
      <c r="W256" s="23"/>
      <c r="X256" s="74"/>
      <c r="Y256" s="33"/>
      <c r="Z256" s="15"/>
    </row>
    <row r="257" spans="1:26" x14ac:dyDescent="0.25">
      <c r="A257" s="21" t="str">
        <f>IF(C257="","",COUNTA($C$3:C257))</f>
        <v/>
      </c>
      <c r="B257" s="35" t="str">
        <f t="shared" si="138"/>
        <v/>
      </c>
      <c r="C257" s="31"/>
      <c r="D257" s="17"/>
      <c r="E257" s="32"/>
      <c r="F257" s="17"/>
      <c r="G257" s="18"/>
      <c r="H257" s="18"/>
      <c r="I257" s="17"/>
      <c r="J257" s="18"/>
      <c r="K257" s="18"/>
      <c r="L257" s="19"/>
      <c r="M257" s="20"/>
      <c r="N257" s="20"/>
      <c r="O257" s="19"/>
      <c r="P257" s="80"/>
      <c r="Q257" s="82"/>
      <c r="R257" s="87"/>
      <c r="S257" s="19"/>
      <c r="T257" s="19"/>
      <c r="U257" s="21"/>
      <c r="V257" s="22" t="str">
        <f t="shared" si="137"/>
        <v/>
      </c>
      <c r="W257" s="23"/>
      <c r="X257" s="74"/>
      <c r="Y257" s="33"/>
      <c r="Z257" s="15"/>
    </row>
    <row r="258" spans="1:26" x14ac:dyDescent="0.25">
      <c r="A258" s="21" t="str">
        <f>IF(C258="","",COUNTA($C$3:C258))</f>
        <v/>
      </c>
      <c r="B258" s="35" t="str">
        <f t="shared" si="138"/>
        <v/>
      </c>
      <c r="C258" s="31"/>
      <c r="D258" s="17"/>
      <c r="E258" s="32"/>
      <c r="F258" s="17"/>
      <c r="G258" s="18"/>
      <c r="H258" s="18"/>
      <c r="I258" s="17"/>
      <c r="J258" s="18"/>
      <c r="K258" s="18"/>
      <c r="L258" s="19"/>
      <c r="M258" s="20"/>
      <c r="N258" s="20"/>
      <c r="O258" s="19"/>
      <c r="P258" s="80"/>
      <c r="Q258" s="82"/>
      <c r="R258" s="87"/>
      <c r="S258" s="19"/>
      <c r="T258" s="19"/>
      <c r="U258" s="21"/>
      <c r="V258" s="22" t="str">
        <f t="shared" si="137"/>
        <v/>
      </c>
      <c r="W258" s="23"/>
      <c r="X258" s="74"/>
      <c r="Y258" s="33"/>
      <c r="Z258" s="15"/>
    </row>
    <row r="259" spans="1:26" x14ac:dyDescent="0.25">
      <c r="A259" s="21" t="str">
        <f>IF(C259="","",COUNTA($C$3:C259))</f>
        <v/>
      </c>
      <c r="B259" s="35" t="str">
        <f t="shared" si="138"/>
        <v/>
      </c>
      <c r="C259" s="31"/>
      <c r="D259" s="17"/>
      <c r="E259" s="32"/>
      <c r="F259" s="17"/>
      <c r="G259" s="18"/>
      <c r="H259" s="18"/>
      <c r="I259" s="17"/>
      <c r="J259" s="18"/>
      <c r="K259" s="18"/>
      <c r="L259" s="19"/>
      <c r="M259" s="20"/>
      <c r="N259" s="20"/>
      <c r="O259" s="19"/>
      <c r="P259" s="80"/>
      <c r="Q259" s="82"/>
      <c r="R259" s="87"/>
      <c r="S259" s="19"/>
      <c r="T259" s="19"/>
      <c r="U259" s="21"/>
      <c r="V259" s="22" t="str">
        <f t="shared" ref="V259:V322" si="154">IF(U259="","",(U259/T259))</f>
        <v/>
      </c>
      <c r="W259" s="23"/>
      <c r="X259" s="74"/>
      <c r="Y259" s="33"/>
      <c r="Z259" s="15"/>
    </row>
    <row r="260" spans="1:26" x14ac:dyDescent="0.25">
      <c r="A260" s="21" t="str">
        <f>IF(C260="","",COUNTA($C$3:C260))</f>
        <v/>
      </c>
      <c r="B260" s="35" t="str">
        <f t="shared" si="138"/>
        <v/>
      </c>
      <c r="C260" s="31"/>
      <c r="D260" s="17"/>
      <c r="E260" s="32"/>
      <c r="F260" s="17"/>
      <c r="G260" s="18"/>
      <c r="H260" s="18"/>
      <c r="I260" s="17"/>
      <c r="J260" s="18"/>
      <c r="K260" s="18"/>
      <c r="L260" s="19"/>
      <c r="M260" s="20"/>
      <c r="N260" s="20"/>
      <c r="O260" s="19"/>
      <c r="P260" s="80"/>
      <c r="Q260" s="82"/>
      <c r="R260" s="87"/>
      <c r="S260" s="19"/>
      <c r="T260" s="19"/>
      <c r="U260" s="21"/>
      <c r="V260" s="22" t="str">
        <f t="shared" si="154"/>
        <v/>
      </c>
      <c r="W260" s="23"/>
      <c r="X260" s="19"/>
      <c r="Y260" s="33"/>
      <c r="Z260" s="15"/>
    </row>
    <row r="261" spans="1:26" x14ac:dyDescent="0.25">
      <c r="A261" s="21" t="str">
        <f>IF(C261="","",COUNTA($C$3:C261))</f>
        <v/>
      </c>
      <c r="B261" s="35" t="str">
        <f t="shared" ref="B261:B324" si="155">IF(C261="","",TEXT(C261,"mmmm"))</f>
        <v/>
      </c>
      <c r="C261" s="31"/>
      <c r="D261" s="17"/>
      <c r="E261" s="32"/>
      <c r="F261" s="17"/>
      <c r="G261" s="18"/>
      <c r="H261" s="18"/>
      <c r="I261" s="17"/>
      <c r="J261" s="18"/>
      <c r="K261" s="18"/>
      <c r="L261" s="19"/>
      <c r="M261" s="20"/>
      <c r="N261" s="20"/>
      <c r="O261" s="20"/>
      <c r="P261" s="80"/>
      <c r="Q261" s="82"/>
      <c r="R261" s="87"/>
      <c r="S261" s="19"/>
      <c r="T261" s="19"/>
      <c r="U261" s="21"/>
      <c r="V261" s="22" t="str">
        <f t="shared" si="154"/>
        <v/>
      </c>
      <c r="W261" s="23"/>
      <c r="X261" s="19"/>
      <c r="Y261" s="33"/>
      <c r="Z261" s="15"/>
    </row>
    <row r="262" spans="1:26" x14ac:dyDescent="0.25">
      <c r="A262" s="21" t="str">
        <f>IF(C262="","",COUNTA($C$3:C262))</f>
        <v/>
      </c>
      <c r="B262" s="35" t="str">
        <f t="shared" si="155"/>
        <v/>
      </c>
      <c r="C262" s="31"/>
      <c r="D262" s="17"/>
      <c r="E262" s="32"/>
      <c r="F262" s="17"/>
      <c r="G262" s="18"/>
      <c r="H262" s="18"/>
      <c r="I262" s="17"/>
      <c r="J262" s="18"/>
      <c r="K262" s="18"/>
      <c r="L262" s="19"/>
      <c r="M262" s="20"/>
      <c r="N262" s="20"/>
      <c r="O262" s="20"/>
      <c r="P262" s="80"/>
      <c r="Q262" s="82"/>
      <c r="R262" s="87"/>
      <c r="S262" s="19"/>
      <c r="T262" s="19"/>
      <c r="U262" s="21"/>
      <c r="V262" s="22" t="str">
        <f t="shared" si="154"/>
        <v/>
      </c>
      <c r="W262" s="23"/>
      <c r="X262" s="19"/>
      <c r="Y262" s="33"/>
      <c r="Z262" s="15"/>
    </row>
    <row r="263" spans="1:26" x14ac:dyDescent="0.25">
      <c r="A263" s="21" t="str">
        <f>IF(C263="","",COUNTA($C$3:C263))</f>
        <v/>
      </c>
      <c r="B263" s="35" t="str">
        <f t="shared" si="155"/>
        <v/>
      </c>
      <c r="C263" s="31"/>
      <c r="D263" s="17"/>
      <c r="E263" s="32"/>
      <c r="F263" s="17"/>
      <c r="G263" s="18"/>
      <c r="H263" s="18"/>
      <c r="I263" s="17"/>
      <c r="J263" s="18"/>
      <c r="K263" s="18"/>
      <c r="L263" s="19"/>
      <c r="M263" s="20"/>
      <c r="N263" s="20"/>
      <c r="O263" s="20"/>
      <c r="P263" s="80"/>
      <c r="Q263" s="82"/>
      <c r="R263" s="87"/>
      <c r="S263" s="19"/>
      <c r="T263" s="19"/>
      <c r="U263" s="21"/>
      <c r="V263" s="22" t="str">
        <f t="shared" si="154"/>
        <v/>
      </c>
      <c r="W263" s="23"/>
      <c r="X263" s="19"/>
      <c r="Y263" s="33"/>
      <c r="Z263" s="15"/>
    </row>
    <row r="264" spans="1:26" x14ac:dyDescent="0.25">
      <c r="A264" s="21" t="str">
        <f>IF(C264="","",COUNTA($C$3:C264))</f>
        <v/>
      </c>
      <c r="B264" s="35" t="str">
        <f t="shared" si="155"/>
        <v/>
      </c>
      <c r="C264" s="31"/>
      <c r="D264" s="17"/>
      <c r="E264" s="32"/>
      <c r="F264" s="17"/>
      <c r="G264" s="18"/>
      <c r="H264" s="18"/>
      <c r="I264" s="17"/>
      <c r="J264" s="18"/>
      <c r="K264" s="18"/>
      <c r="L264" s="19"/>
      <c r="M264" s="20"/>
      <c r="N264" s="20"/>
      <c r="O264" s="20"/>
      <c r="P264" s="80"/>
      <c r="Q264" s="82"/>
      <c r="R264" s="87"/>
      <c r="S264" s="19"/>
      <c r="T264" s="19"/>
      <c r="U264" s="21"/>
      <c r="V264" s="22" t="str">
        <f t="shared" si="154"/>
        <v/>
      </c>
      <c r="W264" s="23"/>
      <c r="X264" s="19"/>
      <c r="Y264" s="33"/>
      <c r="Z264" s="15"/>
    </row>
    <row r="265" spans="1:26" x14ac:dyDescent="0.25">
      <c r="A265" s="21" t="str">
        <f>IF(C265="","",COUNTA($C$3:C265))</f>
        <v/>
      </c>
      <c r="B265" s="35" t="str">
        <f t="shared" si="155"/>
        <v/>
      </c>
      <c r="C265" s="31"/>
      <c r="D265" s="17"/>
      <c r="E265" s="32"/>
      <c r="F265" s="17"/>
      <c r="G265" s="18"/>
      <c r="H265" s="18"/>
      <c r="I265" s="17"/>
      <c r="J265" s="18"/>
      <c r="K265" s="18"/>
      <c r="L265" s="19"/>
      <c r="M265" s="20"/>
      <c r="N265" s="20"/>
      <c r="O265" s="20"/>
      <c r="P265" s="80"/>
      <c r="Q265" s="82"/>
      <c r="R265" s="87"/>
      <c r="S265" s="19"/>
      <c r="T265" s="19"/>
      <c r="U265" s="21"/>
      <c r="V265" s="22" t="str">
        <f t="shared" si="154"/>
        <v/>
      </c>
      <c r="W265" s="23"/>
      <c r="X265" s="19"/>
      <c r="Y265" s="33"/>
      <c r="Z265" s="15"/>
    </row>
    <row r="266" spans="1:26" x14ac:dyDescent="0.25">
      <c r="A266" s="21" t="str">
        <f>IF(C266="","",COUNTA($C$3:C266))</f>
        <v/>
      </c>
      <c r="B266" s="35" t="str">
        <f t="shared" si="155"/>
        <v/>
      </c>
      <c r="C266" s="31"/>
      <c r="D266" s="17"/>
      <c r="E266" s="32"/>
      <c r="F266" s="17"/>
      <c r="G266" s="18"/>
      <c r="H266" s="18"/>
      <c r="I266" s="17"/>
      <c r="J266" s="18"/>
      <c r="K266" s="18"/>
      <c r="L266" s="19"/>
      <c r="M266" s="20"/>
      <c r="N266" s="20"/>
      <c r="O266" s="20"/>
      <c r="P266" s="80"/>
      <c r="Q266" s="82"/>
      <c r="R266" s="87"/>
      <c r="S266" s="19"/>
      <c r="T266" s="19"/>
      <c r="U266" s="21"/>
      <c r="V266" s="22" t="str">
        <f t="shared" si="154"/>
        <v/>
      </c>
      <c r="W266" s="23"/>
      <c r="X266" s="19"/>
      <c r="Y266" s="33"/>
      <c r="Z266" s="15"/>
    </row>
    <row r="267" spans="1:26" x14ac:dyDescent="0.25">
      <c r="A267" s="21" t="str">
        <f>IF(C267="","",COUNTA($C$3:C267))</f>
        <v/>
      </c>
      <c r="B267" s="35" t="str">
        <f t="shared" si="155"/>
        <v/>
      </c>
      <c r="C267" s="31"/>
      <c r="D267" s="17"/>
      <c r="E267" s="32"/>
      <c r="F267" s="17"/>
      <c r="G267" s="18"/>
      <c r="H267" s="18"/>
      <c r="I267" s="17"/>
      <c r="J267" s="18"/>
      <c r="K267" s="18"/>
      <c r="L267" s="19"/>
      <c r="M267" s="20"/>
      <c r="N267" s="20"/>
      <c r="O267" s="19"/>
      <c r="P267" s="80"/>
      <c r="Q267" s="82"/>
      <c r="R267" s="87"/>
      <c r="S267" s="19"/>
      <c r="T267" s="19"/>
      <c r="U267" s="21"/>
      <c r="V267" s="22" t="str">
        <f t="shared" si="154"/>
        <v/>
      </c>
      <c r="W267" s="23"/>
      <c r="X267" s="19"/>
      <c r="Y267" s="33"/>
      <c r="Z267" s="15"/>
    </row>
    <row r="268" spans="1:26" x14ac:dyDescent="0.25">
      <c r="A268" s="21" t="str">
        <f>IF(C268="","",COUNTA($C$3:C268))</f>
        <v/>
      </c>
      <c r="B268" s="35" t="str">
        <f t="shared" si="155"/>
        <v/>
      </c>
      <c r="C268" s="31"/>
      <c r="D268" s="17"/>
      <c r="E268" s="32"/>
      <c r="F268" s="17"/>
      <c r="G268" s="18"/>
      <c r="H268" s="18"/>
      <c r="I268" s="17"/>
      <c r="J268" s="18"/>
      <c r="K268" s="18"/>
      <c r="L268" s="19"/>
      <c r="M268" s="20"/>
      <c r="N268" s="20"/>
      <c r="O268" s="20"/>
      <c r="P268" s="80"/>
      <c r="Q268" s="82"/>
      <c r="R268" s="87"/>
      <c r="S268" s="19"/>
      <c r="T268" s="19"/>
      <c r="U268" s="21"/>
      <c r="V268" s="22" t="str">
        <f t="shared" si="154"/>
        <v/>
      </c>
      <c r="W268" s="23"/>
      <c r="X268" s="19"/>
      <c r="Y268" s="33"/>
      <c r="Z268" s="15"/>
    </row>
    <row r="269" spans="1:26" x14ac:dyDescent="0.25">
      <c r="A269" s="21" t="str">
        <f>IF(C269="","",COUNTA($C$3:C269))</f>
        <v/>
      </c>
      <c r="B269" s="35" t="str">
        <f t="shared" si="155"/>
        <v/>
      </c>
      <c r="C269" s="31"/>
      <c r="D269" s="17"/>
      <c r="E269" s="32"/>
      <c r="F269" s="17"/>
      <c r="G269" s="18"/>
      <c r="H269" s="18"/>
      <c r="I269" s="17"/>
      <c r="J269" s="18"/>
      <c r="K269" s="18"/>
      <c r="L269" s="19"/>
      <c r="M269" s="20"/>
      <c r="N269" s="20"/>
      <c r="O269" s="19"/>
      <c r="P269" s="80"/>
      <c r="Q269" s="82"/>
      <c r="R269" s="87"/>
      <c r="S269" s="19"/>
      <c r="T269" s="19"/>
      <c r="U269" s="21"/>
      <c r="V269" s="22" t="str">
        <f t="shared" si="154"/>
        <v/>
      </c>
      <c r="W269" s="23"/>
      <c r="X269" s="19"/>
      <c r="Y269" s="33"/>
      <c r="Z269" s="15"/>
    </row>
    <row r="270" spans="1:26" x14ac:dyDescent="0.25">
      <c r="A270" s="21" t="str">
        <f>IF(C270="","",COUNTA($C$3:C270))</f>
        <v/>
      </c>
      <c r="B270" s="35" t="str">
        <f t="shared" si="155"/>
        <v/>
      </c>
      <c r="C270" s="31"/>
      <c r="D270" s="17"/>
      <c r="E270" s="32"/>
      <c r="F270" s="17"/>
      <c r="G270" s="18"/>
      <c r="H270" s="18"/>
      <c r="I270" s="17"/>
      <c r="J270" s="18"/>
      <c r="K270" s="18"/>
      <c r="L270" s="19"/>
      <c r="M270" s="20"/>
      <c r="N270" s="20"/>
      <c r="O270" s="20"/>
      <c r="P270" s="80"/>
      <c r="Q270" s="82"/>
      <c r="R270" s="87"/>
      <c r="S270" s="19"/>
      <c r="T270" s="19"/>
      <c r="U270" s="21"/>
      <c r="V270" s="22" t="str">
        <f t="shared" si="154"/>
        <v/>
      </c>
      <c r="W270" s="23"/>
      <c r="X270" s="19"/>
      <c r="Y270" s="33"/>
      <c r="Z270" s="15"/>
    </row>
    <row r="271" spans="1:26" x14ac:dyDescent="0.25">
      <c r="A271" s="21" t="str">
        <f>IF(C271="","",COUNTA($C$3:C271))</f>
        <v/>
      </c>
      <c r="B271" s="35" t="str">
        <f t="shared" si="155"/>
        <v/>
      </c>
      <c r="C271" s="31"/>
      <c r="D271" s="17"/>
      <c r="E271" s="32"/>
      <c r="F271" s="17"/>
      <c r="G271" s="18"/>
      <c r="H271" s="18"/>
      <c r="I271" s="17"/>
      <c r="J271" s="18"/>
      <c r="K271" s="18"/>
      <c r="L271" s="19"/>
      <c r="M271" s="20"/>
      <c r="N271" s="20"/>
      <c r="O271" s="20"/>
      <c r="P271" s="80"/>
      <c r="Q271" s="82"/>
      <c r="R271" s="87"/>
      <c r="S271" s="19"/>
      <c r="T271" s="19"/>
      <c r="U271" s="21"/>
      <c r="V271" s="22" t="str">
        <f t="shared" si="154"/>
        <v/>
      </c>
      <c r="W271" s="23"/>
      <c r="X271" s="19"/>
      <c r="Y271" s="33"/>
      <c r="Z271" s="15"/>
    </row>
    <row r="272" spans="1:26" x14ac:dyDescent="0.25">
      <c r="A272" s="21" t="str">
        <f>IF(C272="","",COUNTA($C$3:C272))</f>
        <v/>
      </c>
      <c r="B272" s="35" t="str">
        <f t="shared" si="155"/>
        <v/>
      </c>
      <c r="C272" s="31"/>
      <c r="D272" s="17"/>
      <c r="E272" s="32"/>
      <c r="F272" s="17"/>
      <c r="G272" s="18"/>
      <c r="H272" s="18"/>
      <c r="I272" s="17"/>
      <c r="J272" s="18"/>
      <c r="K272" s="18"/>
      <c r="L272" s="19"/>
      <c r="M272" s="20"/>
      <c r="N272" s="20"/>
      <c r="O272" s="19"/>
      <c r="P272" s="80"/>
      <c r="Q272" s="82"/>
      <c r="R272" s="87"/>
      <c r="S272" s="19"/>
      <c r="T272" s="19"/>
      <c r="U272" s="21"/>
      <c r="V272" s="22" t="str">
        <f t="shared" si="154"/>
        <v/>
      </c>
      <c r="W272" s="23"/>
      <c r="X272" s="74"/>
      <c r="Y272" s="33"/>
      <c r="Z272" s="15"/>
    </row>
    <row r="273" spans="1:26" x14ac:dyDescent="0.25">
      <c r="A273" s="21" t="str">
        <f>IF(C273="","",COUNTA($C$3:C273))</f>
        <v/>
      </c>
      <c r="B273" s="35" t="str">
        <f t="shared" si="155"/>
        <v/>
      </c>
      <c r="C273" s="31"/>
      <c r="D273" s="17"/>
      <c r="E273" s="32"/>
      <c r="F273" s="17"/>
      <c r="G273" s="18"/>
      <c r="H273" s="18"/>
      <c r="I273" s="17"/>
      <c r="J273" s="18"/>
      <c r="K273" s="18"/>
      <c r="L273" s="19"/>
      <c r="M273" s="20"/>
      <c r="N273" s="20"/>
      <c r="O273" s="19"/>
      <c r="P273" s="80"/>
      <c r="Q273" s="82"/>
      <c r="R273" s="87"/>
      <c r="S273" s="19"/>
      <c r="T273" s="19"/>
      <c r="U273" s="21"/>
      <c r="V273" s="22" t="str">
        <f t="shared" si="154"/>
        <v/>
      </c>
      <c r="W273" s="23"/>
      <c r="X273" s="74"/>
      <c r="Y273" s="33"/>
      <c r="Z273" s="15"/>
    </row>
    <row r="274" spans="1:26" x14ac:dyDescent="0.25">
      <c r="A274" s="21" t="str">
        <f>IF(C274="","",COUNTA($C$3:C274))</f>
        <v/>
      </c>
      <c r="B274" s="35" t="str">
        <f t="shared" si="155"/>
        <v/>
      </c>
      <c r="C274" s="31"/>
      <c r="D274" s="17"/>
      <c r="E274" s="32"/>
      <c r="F274" s="17"/>
      <c r="G274" s="18"/>
      <c r="H274" s="18"/>
      <c r="I274" s="17"/>
      <c r="J274" s="18"/>
      <c r="K274" s="18"/>
      <c r="L274" s="19"/>
      <c r="M274" s="20"/>
      <c r="N274" s="20"/>
      <c r="O274" s="19"/>
      <c r="P274" s="80"/>
      <c r="Q274" s="82"/>
      <c r="R274" s="87"/>
      <c r="S274" s="19"/>
      <c r="T274" s="19"/>
      <c r="U274" s="21"/>
      <c r="V274" s="22" t="str">
        <f t="shared" si="154"/>
        <v/>
      </c>
      <c r="W274" s="23"/>
      <c r="X274" s="74"/>
      <c r="Y274" s="33"/>
      <c r="Z274" s="15"/>
    </row>
    <row r="275" spans="1:26" x14ac:dyDescent="0.25">
      <c r="A275" s="21" t="str">
        <f>IF(C275="","",COUNTA($C$3:C275))</f>
        <v/>
      </c>
      <c r="B275" s="35" t="str">
        <f t="shared" si="155"/>
        <v/>
      </c>
      <c r="C275" s="31"/>
      <c r="D275" s="17"/>
      <c r="E275" s="32"/>
      <c r="F275" s="17"/>
      <c r="G275" s="18"/>
      <c r="H275" s="18"/>
      <c r="I275" s="17"/>
      <c r="J275" s="18"/>
      <c r="K275" s="18"/>
      <c r="L275" s="19"/>
      <c r="M275" s="20"/>
      <c r="N275" s="20"/>
      <c r="O275" s="19"/>
      <c r="P275" s="80"/>
      <c r="Q275" s="82"/>
      <c r="R275" s="87"/>
      <c r="S275" s="19"/>
      <c r="T275" s="19"/>
      <c r="U275" s="21"/>
      <c r="V275" s="22" t="str">
        <f t="shared" si="154"/>
        <v/>
      </c>
      <c r="W275" s="23"/>
      <c r="X275" s="19"/>
      <c r="Y275" s="33"/>
      <c r="Z275" s="15"/>
    </row>
    <row r="276" spans="1:26" x14ac:dyDescent="0.25">
      <c r="A276" s="21" t="str">
        <f>IF(C276="","",COUNTA($C$3:C276))</f>
        <v/>
      </c>
      <c r="B276" s="35" t="str">
        <f t="shared" si="155"/>
        <v/>
      </c>
      <c r="C276" s="31"/>
      <c r="D276" s="17"/>
      <c r="E276" s="32"/>
      <c r="F276" s="17"/>
      <c r="G276" s="18"/>
      <c r="H276" s="18"/>
      <c r="I276" s="17"/>
      <c r="J276" s="18"/>
      <c r="K276" s="18"/>
      <c r="L276" s="19"/>
      <c r="M276" s="20"/>
      <c r="N276" s="20"/>
      <c r="O276" s="19"/>
      <c r="P276" s="80"/>
      <c r="Q276" s="82"/>
      <c r="R276" s="87"/>
      <c r="S276" s="19"/>
      <c r="T276" s="19"/>
      <c r="U276" s="21"/>
      <c r="V276" s="22" t="str">
        <f t="shared" si="154"/>
        <v/>
      </c>
      <c r="W276" s="23"/>
      <c r="X276" s="74"/>
      <c r="Y276" s="33"/>
      <c r="Z276" s="15"/>
    </row>
    <row r="277" spans="1:26" x14ac:dyDescent="0.25">
      <c r="A277" s="21" t="str">
        <f>IF(C277="","",COUNTA($C$3:C277))</f>
        <v/>
      </c>
      <c r="B277" s="35" t="str">
        <f t="shared" si="155"/>
        <v/>
      </c>
      <c r="C277" s="31"/>
      <c r="D277" s="17"/>
      <c r="E277" s="32"/>
      <c r="F277" s="17"/>
      <c r="G277" s="18"/>
      <c r="H277" s="18"/>
      <c r="I277" s="17"/>
      <c r="J277" s="18"/>
      <c r="K277" s="18"/>
      <c r="L277" s="19"/>
      <c r="M277" s="20"/>
      <c r="N277" s="20"/>
      <c r="O277" s="19"/>
      <c r="P277" s="80"/>
      <c r="Q277" s="82"/>
      <c r="R277" s="87"/>
      <c r="S277" s="19"/>
      <c r="T277" s="19"/>
      <c r="U277" s="21"/>
      <c r="V277" s="22" t="str">
        <f t="shared" si="154"/>
        <v/>
      </c>
      <c r="W277" s="23"/>
      <c r="X277" s="19"/>
      <c r="Y277" s="33"/>
      <c r="Z277" s="15"/>
    </row>
    <row r="278" spans="1:26" x14ac:dyDescent="0.25">
      <c r="A278" s="21" t="str">
        <f>IF(C278="","",COUNTA($C$3:C278))</f>
        <v/>
      </c>
      <c r="B278" s="35" t="str">
        <f t="shared" si="155"/>
        <v/>
      </c>
      <c r="C278" s="31"/>
      <c r="D278" s="17"/>
      <c r="E278" s="32"/>
      <c r="F278" s="17"/>
      <c r="G278" s="18"/>
      <c r="H278" s="18"/>
      <c r="I278" s="17"/>
      <c r="J278" s="18"/>
      <c r="K278" s="18"/>
      <c r="L278" s="19"/>
      <c r="M278" s="20"/>
      <c r="N278" s="20"/>
      <c r="O278" s="19"/>
      <c r="P278" s="80"/>
      <c r="Q278" s="82"/>
      <c r="R278" s="87"/>
      <c r="S278" s="19"/>
      <c r="T278" s="19"/>
      <c r="U278" s="21"/>
      <c r="V278" s="22" t="str">
        <f t="shared" si="154"/>
        <v/>
      </c>
      <c r="W278" s="23"/>
      <c r="X278" s="74"/>
      <c r="Y278" s="33"/>
      <c r="Z278" s="15"/>
    </row>
    <row r="279" spans="1:26" x14ac:dyDescent="0.25">
      <c r="A279" s="21" t="str">
        <f>IF(C279="","",COUNTA($C$3:C279))</f>
        <v/>
      </c>
      <c r="B279" s="35" t="str">
        <f t="shared" si="155"/>
        <v/>
      </c>
      <c r="C279" s="31"/>
      <c r="D279" s="17"/>
      <c r="E279" s="32"/>
      <c r="F279" s="17"/>
      <c r="G279" s="18"/>
      <c r="H279" s="18"/>
      <c r="I279" s="17"/>
      <c r="J279" s="18"/>
      <c r="K279" s="18"/>
      <c r="L279" s="19"/>
      <c r="M279" s="20"/>
      <c r="N279" s="20"/>
      <c r="O279" s="19"/>
      <c r="P279" s="80"/>
      <c r="Q279" s="82"/>
      <c r="R279" s="87"/>
      <c r="S279" s="19"/>
      <c r="T279" s="19"/>
      <c r="U279" s="21"/>
      <c r="V279" s="22" t="str">
        <f t="shared" si="154"/>
        <v/>
      </c>
      <c r="W279" s="23"/>
      <c r="X279" s="74"/>
      <c r="Y279" s="33"/>
      <c r="Z279" s="15"/>
    </row>
    <row r="280" spans="1:26" x14ac:dyDescent="0.25">
      <c r="A280" s="21" t="str">
        <f>IF(C280="","",COUNTA($C$3:C280))</f>
        <v/>
      </c>
      <c r="B280" s="35" t="str">
        <f t="shared" si="155"/>
        <v/>
      </c>
      <c r="C280" s="31"/>
      <c r="D280" s="17"/>
      <c r="E280" s="32"/>
      <c r="F280" s="17"/>
      <c r="G280" s="18"/>
      <c r="H280" s="18"/>
      <c r="I280" s="17"/>
      <c r="J280" s="18"/>
      <c r="K280" s="18"/>
      <c r="L280" s="19"/>
      <c r="M280" s="20"/>
      <c r="N280" s="20"/>
      <c r="O280" s="19"/>
      <c r="P280" s="80"/>
      <c r="Q280" s="82"/>
      <c r="R280" s="87"/>
      <c r="S280" s="19"/>
      <c r="T280" s="19"/>
      <c r="U280" s="21"/>
      <c r="V280" s="22" t="str">
        <f t="shared" si="154"/>
        <v/>
      </c>
      <c r="W280" s="23"/>
      <c r="X280" s="74"/>
      <c r="Y280" s="33"/>
      <c r="Z280" s="15"/>
    </row>
    <row r="281" spans="1:26" x14ac:dyDescent="0.25">
      <c r="A281" s="21" t="str">
        <f>IF(C281="","",COUNTA($C$3:C281))</f>
        <v/>
      </c>
      <c r="B281" s="35" t="str">
        <f t="shared" si="155"/>
        <v/>
      </c>
      <c r="C281" s="31"/>
      <c r="D281" s="17"/>
      <c r="E281" s="32"/>
      <c r="F281" s="17"/>
      <c r="G281" s="18"/>
      <c r="H281" s="18"/>
      <c r="I281" s="17"/>
      <c r="J281" s="18"/>
      <c r="K281" s="18"/>
      <c r="L281" s="19"/>
      <c r="M281" s="20"/>
      <c r="N281" s="20"/>
      <c r="O281" s="19"/>
      <c r="P281" s="80"/>
      <c r="Q281" s="82"/>
      <c r="R281" s="87"/>
      <c r="S281" s="19"/>
      <c r="T281" s="19"/>
      <c r="U281" s="21"/>
      <c r="V281" s="22" t="str">
        <f t="shared" si="154"/>
        <v/>
      </c>
      <c r="W281" s="23"/>
      <c r="X281" s="74"/>
      <c r="Y281" s="33"/>
      <c r="Z281" s="15"/>
    </row>
    <row r="282" spans="1:26" x14ac:dyDescent="0.25">
      <c r="A282" s="21" t="str">
        <f>IF(C282="","",COUNTA($C$3:C282))</f>
        <v/>
      </c>
      <c r="B282" s="35" t="str">
        <f t="shared" si="155"/>
        <v/>
      </c>
      <c r="C282" s="31"/>
      <c r="D282" s="17"/>
      <c r="E282" s="32"/>
      <c r="F282" s="17"/>
      <c r="G282" s="18"/>
      <c r="H282" s="18"/>
      <c r="I282" s="17"/>
      <c r="J282" s="18"/>
      <c r="K282" s="18"/>
      <c r="L282" s="19"/>
      <c r="M282" s="20"/>
      <c r="N282" s="20"/>
      <c r="O282" s="20"/>
      <c r="P282" s="80"/>
      <c r="Q282" s="82"/>
      <c r="R282" s="87"/>
      <c r="S282" s="19"/>
      <c r="T282" s="19"/>
      <c r="U282" s="21"/>
      <c r="V282" s="22" t="str">
        <f t="shared" si="154"/>
        <v/>
      </c>
      <c r="W282" s="23"/>
      <c r="X282" s="19"/>
      <c r="Y282" s="33"/>
      <c r="Z282" s="15"/>
    </row>
    <row r="283" spans="1:26" x14ac:dyDescent="0.25">
      <c r="A283" s="21" t="str">
        <f>IF(C283="","",COUNTA($C$3:C283))</f>
        <v/>
      </c>
      <c r="B283" s="35" t="str">
        <f t="shared" si="155"/>
        <v/>
      </c>
      <c r="C283" s="31"/>
      <c r="D283" s="17"/>
      <c r="E283" s="32"/>
      <c r="F283" s="17"/>
      <c r="G283" s="18"/>
      <c r="H283" s="18"/>
      <c r="I283" s="17"/>
      <c r="J283" s="18"/>
      <c r="K283" s="18"/>
      <c r="L283" s="19"/>
      <c r="M283" s="20"/>
      <c r="N283" s="20"/>
      <c r="O283" s="20"/>
      <c r="P283" s="80"/>
      <c r="Q283" s="82"/>
      <c r="R283" s="87"/>
      <c r="S283" s="19"/>
      <c r="T283" s="19"/>
      <c r="U283" s="21"/>
      <c r="V283" s="22" t="str">
        <f t="shared" si="154"/>
        <v/>
      </c>
      <c r="W283" s="23"/>
      <c r="X283" s="74"/>
      <c r="Y283" s="33"/>
      <c r="Z283" s="15"/>
    </row>
    <row r="284" spans="1:26" x14ac:dyDescent="0.25">
      <c r="A284" s="21" t="str">
        <f>IF(C284="","",COUNTA($C$3:C284))</f>
        <v/>
      </c>
      <c r="B284" s="35" t="str">
        <f t="shared" si="155"/>
        <v/>
      </c>
      <c r="C284" s="31"/>
      <c r="D284" s="17"/>
      <c r="E284" s="32"/>
      <c r="F284" s="17"/>
      <c r="G284" s="18"/>
      <c r="H284" s="18"/>
      <c r="I284" s="17"/>
      <c r="J284" s="18"/>
      <c r="K284" s="18"/>
      <c r="L284" s="19"/>
      <c r="M284" s="20"/>
      <c r="N284" s="20"/>
      <c r="O284" s="20"/>
      <c r="P284" s="80"/>
      <c r="Q284" s="82"/>
      <c r="R284" s="87"/>
      <c r="S284" s="19"/>
      <c r="T284" s="19"/>
      <c r="U284" s="21"/>
      <c r="V284" s="22" t="str">
        <f t="shared" si="154"/>
        <v/>
      </c>
      <c r="W284" s="23"/>
      <c r="X284" s="74"/>
      <c r="Y284" s="33"/>
      <c r="Z284" s="15"/>
    </row>
    <row r="285" spans="1:26" x14ac:dyDescent="0.25">
      <c r="A285" s="21" t="str">
        <f>IF(C285="","",COUNTA($C$3:C285))</f>
        <v/>
      </c>
      <c r="B285" s="35" t="str">
        <f t="shared" si="155"/>
        <v/>
      </c>
      <c r="C285" s="31"/>
      <c r="D285" s="17"/>
      <c r="E285" s="32"/>
      <c r="F285" s="17"/>
      <c r="G285" s="18"/>
      <c r="H285" s="18"/>
      <c r="I285" s="17"/>
      <c r="J285" s="18"/>
      <c r="K285" s="18"/>
      <c r="L285" s="19"/>
      <c r="M285" s="20"/>
      <c r="N285" s="20"/>
      <c r="O285" s="19"/>
      <c r="P285" s="80"/>
      <c r="Q285" s="82"/>
      <c r="R285" s="87"/>
      <c r="S285" s="19"/>
      <c r="T285" s="19"/>
      <c r="U285" s="21"/>
      <c r="V285" s="22" t="str">
        <f t="shared" si="154"/>
        <v/>
      </c>
      <c r="W285" s="23"/>
      <c r="X285" s="74"/>
      <c r="Y285" s="33"/>
      <c r="Z285" s="15"/>
    </row>
    <row r="286" spans="1:26" x14ac:dyDescent="0.25">
      <c r="A286" s="21" t="str">
        <f>IF(C286="","",COUNTA($C$3:C286))</f>
        <v/>
      </c>
      <c r="B286" s="35" t="str">
        <f t="shared" si="155"/>
        <v/>
      </c>
      <c r="C286" s="31"/>
      <c r="D286" s="17"/>
      <c r="E286" s="32"/>
      <c r="F286" s="17"/>
      <c r="G286" s="18"/>
      <c r="H286" s="18"/>
      <c r="I286" s="17"/>
      <c r="J286" s="18"/>
      <c r="K286" s="18"/>
      <c r="L286" s="19"/>
      <c r="M286" s="20"/>
      <c r="N286" s="20"/>
      <c r="O286" s="20"/>
      <c r="P286" s="80"/>
      <c r="Q286" s="82"/>
      <c r="R286" s="87"/>
      <c r="S286" s="19"/>
      <c r="T286" s="19"/>
      <c r="U286" s="21"/>
      <c r="V286" s="22" t="str">
        <f t="shared" si="154"/>
        <v/>
      </c>
      <c r="W286" s="23"/>
      <c r="X286" s="19"/>
      <c r="Y286" s="33"/>
      <c r="Z286" s="15"/>
    </row>
    <row r="287" spans="1:26" x14ac:dyDescent="0.25">
      <c r="A287" s="21" t="str">
        <f>IF(C287="","",COUNTA($C$3:C287))</f>
        <v/>
      </c>
      <c r="B287" s="35" t="str">
        <f t="shared" si="155"/>
        <v/>
      </c>
      <c r="C287" s="31"/>
      <c r="D287" s="17"/>
      <c r="E287" s="32"/>
      <c r="F287" s="17"/>
      <c r="G287" s="18"/>
      <c r="H287" s="18"/>
      <c r="I287" s="17"/>
      <c r="J287" s="18"/>
      <c r="K287" s="18"/>
      <c r="L287" s="19"/>
      <c r="M287" s="20"/>
      <c r="N287" s="20"/>
      <c r="O287" s="19"/>
      <c r="P287" s="80"/>
      <c r="Q287" s="82"/>
      <c r="R287" s="87"/>
      <c r="S287" s="19"/>
      <c r="T287" s="19"/>
      <c r="U287" s="21"/>
      <c r="V287" s="22" t="str">
        <f t="shared" si="154"/>
        <v/>
      </c>
      <c r="W287" s="23"/>
      <c r="X287" s="19"/>
      <c r="Y287" s="33"/>
      <c r="Z287" s="15"/>
    </row>
    <row r="288" spans="1:26" x14ac:dyDescent="0.25">
      <c r="A288" s="21" t="str">
        <f>IF(C288="","",COUNTA($C$3:C288))</f>
        <v/>
      </c>
      <c r="B288" s="35" t="str">
        <f t="shared" si="155"/>
        <v/>
      </c>
      <c r="C288" s="31"/>
      <c r="D288" s="17"/>
      <c r="E288" s="32"/>
      <c r="F288" s="17"/>
      <c r="G288" s="18"/>
      <c r="H288" s="18"/>
      <c r="I288" s="17"/>
      <c r="J288" s="18"/>
      <c r="K288" s="18"/>
      <c r="L288" s="19"/>
      <c r="M288" s="20"/>
      <c r="N288" s="20"/>
      <c r="O288" s="19"/>
      <c r="P288" s="80"/>
      <c r="Q288" s="82"/>
      <c r="R288" s="87"/>
      <c r="S288" s="19"/>
      <c r="T288" s="19"/>
      <c r="U288" s="21"/>
      <c r="V288" s="22" t="str">
        <f t="shared" si="154"/>
        <v/>
      </c>
      <c r="W288" s="23"/>
      <c r="X288" s="19"/>
      <c r="Y288" s="33"/>
      <c r="Z288" s="15"/>
    </row>
    <row r="289" spans="1:26" x14ac:dyDescent="0.25">
      <c r="A289" s="21" t="str">
        <f>IF(C289="","",COUNTA($C$3:C289))</f>
        <v/>
      </c>
      <c r="B289" s="35" t="str">
        <f t="shared" si="155"/>
        <v/>
      </c>
      <c r="C289" s="31"/>
      <c r="D289" s="17"/>
      <c r="E289" s="32"/>
      <c r="F289" s="17"/>
      <c r="G289" s="18"/>
      <c r="H289" s="18"/>
      <c r="I289" s="17"/>
      <c r="J289" s="18"/>
      <c r="K289" s="18"/>
      <c r="L289" s="19"/>
      <c r="M289" s="20"/>
      <c r="N289" s="20"/>
      <c r="O289" s="20"/>
      <c r="P289" s="80"/>
      <c r="Q289" s="82"/>
      <c r="R289" s="87"/>
      <c r="S289" s="19"/>
      <c r="T289" s="19"/>
      <c r="U289" s="21"/>
      <c r="V289" s="22" t="str">
        <f t="shared" si="154"/>
        <v/>
      </c>
      <c r="W289" s="23"/>
      <c r="X289" s="74"/>
      <c r="Y289" s="33"/>
      <c r="Z289" s="15"/>
    </row>
    <row r="290" spans="1:26" x14ac:dyDescent="0.25">
      <c r="A290" s="21" t="str">
        <f>IF(C290="","",COUNTA($C$3:C290))</f>
        <v/>
      </c>
      <c r="B290" s="35" t="str">
        <f t="shared" si="155"/>
        <v/>
      </c>
      <c r="C290" s="31"/>
      <c r="D290" s="17"/>
      <c r="E290" s="32"/>
      <c r="F290" s="17"/>
      <c r="G290" s="18"/>
      <c r="H290" s="18"/>
      <c r="I290" s="17"/>
      <c r="J290" s="18"/>
      <c r="K290" s="18"/>
      <c r="L290" s="19"/>
      <c r="M290" s="20"/>
      <c r="N290" s="20"/>
      <c r="O290" s="19"/>
      <c r="P290" s="80"/>
      <c r="Q290" s="82"/>
      <c r="R290" s="87"/>
      <c r="S290" s="19"/>
      <c r="T290" s="19"/>
      <c r="U290" s="21"/>
      <c r="V290" s="22" t="str">
        <f t="shared" si="154"/>
        <v/>
      </c>
      <c r="W290" s="23"/>
      <c r="X290" s="19"/>
      <c r="Y290" s="33"/>
      <c r="Z290" s="15"/>
    </row>
    <row r="291" spans="1:26" x14ac:dyDescent="0.25">
      <c r="A291" s="21" t="str">
        <f>IF(C291="","",COUNTA($C$3:C291))</f>
        <v/>
      </c>
      <c r="B291" s="35" t="str">
        <f t="shared" si="155"/>
        <v/>
      </c>
      <c r="C291" s="31"/>
      <c r="D291" s="17"/>
      <c r="E291" s="32"/>
      <c r="F291" s="17"/>
      <c r="G291" s="18"/>
      <c r="H291" s="18"/>
      <c r="I291" s="17"/>
      <c r="J291" s="18"/>
      <c r="K291" s="18"/>
      <c r="L291" s="19"/>
      <c r="M291" s="20"/>
      <c r="N291" s="20"/>
      <c r="O291" s="20"/>
      <c r="P291" s="80"/>
      <c r="Q291" s="82"/>
      <c r="R291" s="87"/>
      <c r="S291" s="19"/>
      <c r="T291" s="19"/>
      <c r="U291" s="21"/>
      <c r="V291" s="22" t="str">
        <f t="shared" si="154"/>
        <v/>
      </c>
      <c r="W291" s="23"/>
      <c r="X291" s="19"/>
      <c r="Y291" s="33"/>
      <c r="Z291" s="15"/>
    </row>
    <row r="292" spans="1:26" x14ac:dyDescent="0.25">
      <c r="A292" s="21" t="str">
        <f>IF(C292="","",COUNTA($C$3:C292))</f>
        <v/>
      </c>
      <c r="B292" s="35" t="str">
        <f t="shared" si="155"/>
        <v/>
      </c>
      <c r="C292" s="31"/>
      <c r="D292" s="17"/>
      <c r="E292" s="32"/>
      <c r="F292" s="17"/>
      <c r="G292" s="18"/>
      <c r="H292" s="18"/>
      <c r="I292" s="17"/>
      <c r="J292" s="18"/>
      <c r="K292" s="18"/>
      <c r="L292" s="19"/>
      <c r="M292" s="20"/>
      <c r="N292" s="20"/>
      <c r="O292" s="20"/>
      <c r="P292" s="80"/>
      <c r="Q292" s="82"/>
      <c r="R292" s="87"/>
      <c r="S292" s="19"/>
      <c r="T292" s="19"/>
      <c r="U292" s="21"/>
      <c r="V292" s="22" t="str">
        <f t="shared" si="154"/>
        <v/>
      </c>
      <c r="W292" s="23"/>
      <c r="X292" s="74"/>
      <c r="Y292" s="33"/>
      <c r="Z292" s="15"/>
    </row>
    <row r="293" spans="1:26" x14ac:dyDescent="0.25">
      <c r="A293" s="21" t="str">
        <f>IF(C293="","",COUNTA($C$3:C293))</f>
        <v/>
      </c>
      <c r="B293" s="35" t="str">
        <f t="shared" si="155"/>
        <v/>
      </c>
      <c r="C293" s="31"/>
      <c r="D293" s="17"/>
      <c r="E293" s="32"/>
      <c r="F293" s="17"/>
      <c r="G293" s="18"/>
      <c r="H293" s="18"/>
      <c r="I293" s="17"/>
      <c r="J293" s="18"/>
      <c r="K293" s="18"/>
      <c r="L293" s="19"/>
      <c r="M293" s="20"/>
      <c r="N293" s="20"/>
      <c r="O293" s="20"/>
      <c r="P293" s="80"/>
      <c r="Q293" s="82"/>
      <c r="R293" s="87"/>
      <c r="S293" s="19"/>
      <c r="T293" s="19"/>
      <c r="U293" s="21"/>
      <c r="V293" s="22" t="str">
        <f t="shared" si="154"/>
        <v/>
      </c>
      <c r="W293" s="23"/>
      <c r="X293" s="74"/>
      <c r="Y293" s="33"/>
      <c r="Z293" s="15"/>
    </row>
    <row r="294" spans="1:26" x14ac:dyDescent="0.25">
      <c r="A294" s="21" t="str">
        <f>IF(C294="","",COUNTA($C$3:C294))</f>
        <v/>
      </c>
      <c r="B294" s="35" t="str">
        <f t="shared" si="155"/>
        <v/>
      </c>
      <c r="C294" s="31"/>
      <c r="D294" s="17"/>
      <c r="E294" s="32"/>
      <c r="F294" s="17"/>
      <c r="G294" s="18"/>
      <c r="H294" s="18"/>
      <c r="I294" s="17"/>
      <c r="J294" s="18"/>
      <c r="K294" s="18"/>
      <c r="L294" s="19"/>
      <c r="M294" s="20"/>
      <c r="N294" s="20"/>
      <c r="O294" s="19"/>
      <c r="P294" s="80"/>
      <c r="Q294" s="82"/>
      <c r="R294" s="87"/>
      <c r="S294" s="19"/>
      <c r="T294" s="19"/>
      <c r="U294" s="21"/>
      <c r="V294" s="22" t="str">
        <f t="shared" si="154"/>
        <v/>
      </c>
      <c r="W294" s="23"/>
      <c r="X294" s="74"/>
      <c r="Y294" s="33"/>
      <c r="Z294" s="15"/>
    </row>
    <row r="295" spans="1:26" x14ac:dyDescent="0.25">
      <c r="A295" s="21" t="str">
        <f>IF(C295="","",COUNTA($C$3:C295))</f>
        <v/>
      </c>
      <c r="B295" s="35" t="str">
        <f t="shared" si="155"/>
        <v/>
      </c>
      <c r="C295" s="31"/>
      <c r="D295" s="17"/>
      <c r="E295" s="32"/>
      <c r="F295" s="17"/>
      <c r="G295" s="18"/>
      <c r="H295" s="18"/>
      <c r="I295" s="17"/>
      <c r="J295" s="18"/>
      <c r="K295" s="18"/>
      <c r="L295" s="19"/>
      <c r="M295" s="20"/>
      <c r="N295" s="20"/>
      <c r="O295" s="20"/>
      <c r="P295" s="80"/>
      <c r="Q295" s="82"/>
      <c r="R295" s="87"/>
      <c r="S295" s="19"/>
      <c r="T295" s="19"/>
      <c r="U295" s="21"/>
      <c r="V295" s="22" t="str">
        <f t="shared" si="154"/>
        <v/>
      </c>
      <c r="W295" s="23"/>
      <c r="X295" s="19"/>
      <c r="Y295" s="33"/>
      <c r="Z295" s="15"/>
    </row>
    <row r="296" spans="1:26" x14ac:dyDescent="0.25">
      <c r="A296" s="21" t="str">
        <f>IF(C296="","",COUNTA($C$3:C296))</f>
        <v/>
      </c>
      <c r="B296" s="35" t="str">
        <f t="shared" si="155"/>
        <v/>
      </c>
      <c r="C296" s="31"/>
      <c r="D296" s="17"/>
      <c r="E296" s="32"/>
      <c r="F296" s="17"/>
      <c r="G296" s="18"/>
      <c r="H296" s="18"/>
      <c r="I296" s="17"/>
      <c r="J296" s="18"/>
      <c r="K296" s="18"/>
      <c r="L296" s="19"/>
      <c r="M296" s="20"/>
      <c r="N296" s="20"/>
      <c r="O296" s="20"/>
      <c r="P296" s="80"/>
      <c r="Q296" s="82"/>
      <c r="R296" s="87"/>
      <c r="S296" s="19"/>
      <c r="T296" s="19"/>
      <c r="U296" s="21"/>
      <c r="V296" s="22" t="str">
        <f t="shared" si="154"/>
        <v/>
      </c>
      <c r="W296" s="23"/>
      <c r="X296" s="19"/>
      <c r="Y296" s="33"/>
      <c r="Z296" s="15"/>
    </row>
    <row r="297" spans="1:26" x14ac:dyDescent="0.25">
      <c r="A297" s="21" t="str">
        <f>IF(C297="","",COUNTA($C$3:C297))</f>
        <v/>
      </c>
      <c r="B297" s="35" t="str">
        <f t="shared" si="155"/>
        <v/>
      </c>
      <c r="C297" s="31"/>
      <c r="D297" s="17"/>
      <c r="E297" s="32"/>
      <c r="F297" s="17"/>
      <c r="G297" s="18"/>
      <c r="H297" s="18"/>
      <c r="I297" s="17"/>
      <c r="J297" s="18"/>
      <c r="K297" s="18"/>
      <c r="L297" s="19"/>
      <c r="M297" s="20"/>
      <c r="N297" s="20"/>
      <c r="O297" s="20"/>
      <c r="P297" s="80"/>
      <c r="Q297" s="82"/>
      <c r="R297" s="87"/>
      <c r="S297" s="19"/>
      <c r="T297" s="19"/>
      <c r="U297" s="21"/>
      <c r="V297" s="22" t="str">
        <f t="shared" si="154"/>
        <v/>
      </c>
      <c r="W297" s="23"/>
      <c r="X297" s="74"/>
      <c r="Y297" s="33"/>
      <c r="Z297" s="15"/>
    </row>
    <row r="298" spans="1:26" x14ac:dyDescent="0.25">
      <c r="A298" s="21" t="str">
        <f>IF(C298="","",COUNTA($C$3:C298))</f>
        <v/>
      </c>
      <c r="B298" s="35" t="str">
        <f t="shared" si="155"/>
        <v/>
      </c>
      <c r="C298" s="31"/>
      <c r="D298" s="17"/>
      <c r="E298" s="32"/>
      <c r="F298" s="17"/>
      <c r="G298" s="18"/>
      <c r="H298" s="18"/>
      <c r="I298" s="17"/>
      <c r="J298" s="18"/>
      <c r="K298" s="18"/>
      <c r="L298" s="19"/>
      <c r="M298" s="20"/>
      <c r="N298" s="20"/>
      <c r="O298" s="20"/>
      <c r="P298" s="80"/>
      <c r="Q298" s="82"/>
      <c r="R298" s="87"/>
      <c r="S298" s="19"/>
      <c r="T298" s="19"/>
      <c r="U298" s="21"/>
      <c r="V298" s="22" t="str">
        <f t="shared" si="154"/>
        <v/>
      </c>
      <c r="W298" s="23"/>
      <c r="X298" s="74"/>
      <c r="Y298" s="33"/>
      <c r="Z298" s="15"/>
    </row>
    <row r="299" spans="1:26" x14ac:dyDescent="0.25">
      <c r="A299" s="21" t="str">
        <f>IF(C299="","",COUNTA($C$3:C299))</f>
        <v/>
      </c>
      <c r="B299" s="35" t="str">
        <f t="shared" si="155"/>
        <v/>
      </c>
      <c r="C299" s="31"/>
      <c r="D299" s="17"/>
      <c r="E299" s="32"/>
      <c r="F299" s="17"/>
      <c r="G299" s="18"/>
      <c r="H299" s="18"/>
      <c r="I299" s="17"/>
      <c r="J299" s="18"/>
      <c r="K299" s="18"/>
      <c r="L299" s="19"/>
      <c r="M299" s="20"/>
      <c r="N299" s="20"/>
      <c r="O299" s="19"/>
      <c r="P299" s="80"/>
      <c r="Q299" s="82"/>
      <c r="R299" s="87"/>
      <c r="S299" s="19"/>
      <c r="T299" s="19"/>
      <c r="U299" s="21"/>
      <c r="V299" s="22" t="str">
        <f t="shared" si="154"/>
        <v/>
      </c>
      <c r="W299" s="23"/>
      <c r="X299" s="74"/>
      <c r="Y299" s="33"/>
      <c r="Z299" s="15"/>
    </row>
    <row r="300" spans="1:26" x14ac:dyDescent="0.25">
      <c r="A300" s="21" t="str">
        <f>IF(C300="","",COUNTA($C$3:C300))</f>
        <v/>
      </c>
      <c r="B300" s="35" t="str">
        <f t="shared" si="155"/>
        <v/>
      </c>
      <c r="C300" s="31"/>
      <c r="D300" s="17"/>
      <c r="E300" s="32"/>
      <c r="F300" s="17"/>
      <c r="G300" s="18"/>
      <c r="H300" s="18"/>
      <c r="I300" s="17"/>
      <c r="J300" s="18"/>
      <c r="K300" s="18"/>
      <c r="L300" s="19"/>
      <c r="M300" s="20"/>
      <c r="N300" s="20"/>
      <c r="O300" s="20"/>
      <c r="P300" s="80"/>
      <c r="Q300" s="82"/>
      <c r="R300" s="87"/>
      <c r="S300" s="19"/>
      <c r="T300" s="19"/>
      <c r="U300" s="21"/>
      <c r="V300" s="22" t="str">
        <f t="shared" si="154"/>
        <v/>
      </c>
      <c r="W300" s="23"/>
      <c r="X300" s="74"/>
      <c r="Y300" s="33"/>
      <c r="Z300" s="15"/>
    </row>
    <row r="301" spans="1:26" x14ac:dyDescent="0.25">
      <c r="A301" s="21" t="str">
        <f>IF(C301="","",COUNTA($C$3:C301))</f>
        <v/>
      </c>
      <c r="B301" s="35" t="str">
        <f t="shared" si="155"/>
        <v/>
      </c>
      <c r="C301" s="31"/>
      <c r="D301" s="17"/>
      <c r="E301" s="32"/>
      <c r="F301" s="17"/>
      <c r="G301" s="18"/>
      <c r="H301" s="18"/>
      <c r="I301" s="17"/>
      <c r="J301" s="18"/>
      <c r="K301" s="18"/>
      <c r="L301" s="19"/>
      <c r="M301" s="20"/>
      <c r="N301" s="20"/>
      <c r="O301" s="19"/>
      <c r="P301" s="80"/>
      <c r="Q301" s="82"/>
      <c r="R301" s="87"/>
      <c r="S301" s="19"/>
      <c r="T301" s="19"/>
      <c r="U301" s="21"/>
      <c r="V301" s="22" t="str">
        <f t="shared" si="154"/>
        <v/>
      </c>
      <c r="W301" s="23"/>
      <c r="X301" s="74"/>
      <c r="Y301" s="33"/>
      <c r="Z301" s="15"/>
    </row>
    <row r="302" spans="1:26" x14ac:dyDescent="0.25">
      <c r="A302" s="21" t="str">
        <f>IF(C302="","",COUNTA($C$3:C302))</f>
        <v/>
      </c>
      <c r="B302" s="35" t="str">
        <f t="shared" si="155"/>
        <v/>
      </c>
      <c r="C302" s="31"/>
      <c r="D302" s="17"/>
      <c r="E302" s="32"/>
      <c r="F302" s="17"/>
      <c r="G302" s="18"/>
      <c r="H302" s="18"/>
      <c r="I302" s="17"/>
      <c r="J302" s="18"/>
      <c r="K302" s="18"/>
      <c r="L302" s="19"/>
      <c r="M302" s="20"/>
      <c r="N302" s="20"/>
      <c r="O302" s="19"/>
      <c r="P302" s="80"/>
      <c r="Q302" s="82"/>
      <c r="R302" s="87"/>
      <c r="S302" s="19"/>
      <c r="T302" s="19"/>
      <c r="U302" s="21"/>
      <c r="V302" s="22" t="str">
        <f t="shared" si="154"/>
        <v/>
      </c>
      <c r="W302" s="23"/>
      <c r="X302" s="74"/>
      <c r="Y302" s="33"/>
      <c r="Z302" s="15"/>
    </row>
    <row r="303" spans="1:26" x14ac:dyDescent="0.25">
      <c r="A303" s="21" t="str">
        <f>IF(C303="","",COUNTA($C$3:C303))</f>
        <v/>
      </c>
      <c r="B303" s="35" t="str">
        <f t="shared" si="155"/>
        <v/>
      </c>
      <c r="C303" s="31"/>
      <c r="D303" s="17"/>
      <c r="E303" s="32"/>
      <c r="F303" s="17"/>
      <c r="G303" s="18"/>
      <c r="H303" s="18"/>
      <c r="I303" s="17"/>
      <c r="J303" s="18"/>
      <c r="K303" s="18"/>
      <c r="L303" s="19"/>
      <c r="M303" s="20"/>
      <c r="N303" s="20"/>
      <c r="O303" s="19"/>
      <c r="P303" s="80"/>
      <c r="Q303" s="82"/>
      <c r="R303" s="87"/>
      <c r="S303" s="19"/>
      <c r="T303" s="19"/>
      <c r="U303" s="21"/>
      <c r="V303" s="22" t="str">
        <f t="shared" si="154"/>
        <v/>
      </c>
      <c r="W303" s="23"/>
      <c r="X303" s="74"/>
      <c r="Y303" s="33"/>
      <c r="Z303" s="15"/>
    </row>
    <row r="304" spans="1:26" x14ac:dyDescent="0.25">
      <c r="A304" s="21" t="str">
        <f>IF(C304="","",COUNTA($C$3:C304))</f>
        <v/>
      </c>
      <c r="B304" s="35" t="str">
        <f t="shared" si="155"/>
        <v/>
      </c>
      <c r="C304" s="31"/>
      <c r="D304" s="17"/>
      <c r="E304" s="32"/>
      <c r="F304" s="17"/>
      <c r="G304" s="18"/>
      <c r="H304" s="18"/>
      <c r="I304" s="17"/>
      <c r="J304" s="18"/>
      <c r="K304" s="18"/>
      <c r="L304" s="19"/>
      <c r="M304" s="20"/>
      <c r="N304" s="20"/>
      <c r="O304" s="19"/>
      <c r="P304" s="80"/>
      <c r="Q304" s="82"/>
      <c r="R304" s="87"/>
      <c r="S304" s="19"/>
      <c r="T304" s="19"/>
      <c r="U304" s="21"/>
      <c r="V304" s="22" t="str">
        <f t="shared" si="154"/>
        <v/>
      </c>
      <c r="W304" s="23"/>
      <c r="X304" s="74"/>
      <c r="Y304" s="33"/>
      <c r="Z304" s="15"/>
    </row>
    <row r="305" spans="1:26" x14ac:dyDescent="0.25">
      <c r="A305" s="21" t="str">
        <f>IF(C305="","",COUNTA($C$3:C305))</f>
        <v/>
      </c>
      <c r="B305" s="35" t="str">
        <f t="shared" si="155"/>
        <v/>
      </c>
      <c r="C305" s="31"/>
      <c r="D305" s="17"/>
      <c r="E305" s="32"/>
      <c r="F305" s="17"/>
      <c r="G305" s="18"/>
      <c r="H305" s="18"/>
      <c r="I305" s="17"/>
      <c r="J305" s="18"/>
      <c r="K305" s="18"/>
      <c r="L305" s="19"/>
      <c r="M305" s="20"/>
      <c r="N305" s="20"/>
      <c r="O305" s="20"/>
      <c r="P305" s="80"/>
      <c r="Q305" s="82"/>
      <c r="R305" s="87"/>
      <c r="S305" s="19"/>
      <c r="T305" s="19"/>
      <c r="U305" s="21"/>
      <c r="V305" s="22" t="str">
        <f t="shared" si="154"/>
        <v/>
      </c>
      <c r="W305" s="23"/>
      <c r="X305" s="74"/>
      <c r="Y305" s="33"/>
      <c r="Z305" s="15"/>
    </row>
    <row r="306" spans="1:26" x14ac:dyDescent="0.25">
      <c r="A306" s="21" t="str">
        <f>IF(C306="","",COUNTA($C$3:C306))</f>
        <v/>
      </c>
      <c r="B306" s="35" t="str">
        <f t="shared" si="155"/>
        <v/>
      </c>
      <c r="C306" s="31"/>
      <c r="D306" s="17"/>
      <c r="E306" s="32"/>
      <c r="F306" s="17"/>
      <c r="G306" s="18"/>
      <c r="H306" s="18"/>
      <c r="I306" s="17"/>
      <c r="J306" s="18"/>
      <c r="K306" s="18"/>
      <c r="L306" s="19"/>
      <c r="M306" s="20"/>
      <c r="N306" s="20"/>
      <c r="O306" s="19"/>
      <c r="P306" s="80"/>
      <c r="Q306" s="82"/>
      <c r="R306" s="87"/>
      <c r="S306" s="19"/>
      <c r="T306" s="19"/>
      <c r="U306" s="21"/>
      <c r="V306" s="22" t="str">
        <f t="shared" si="154"/>
        <v/>
      </c>
      <c r="W306" s="23"/>
      <c r="X306" s="74"/>
      <c r="Y306" s="33"/>
      <c r="Z306" s="15"/>
    </row>
    <row r="307" spans="1:26" x14ac:dyDescent="0.25">
      <c r="A307" s="21" t="str">
        <f>IF(C307="","",COUNTA($C$3:C307))</f>
        <v/>
      </c>
      <c r="B307" s="35" t="str">
        <f t="shared" si="155"/>
        <v/>
      </c>
      <c r="C307" s="31"/>
      <c r="D307" s="17"/>
      <c r="E307" s="32"/>
      <c r="F307" s="17"/>
      <c r="G307" s="18"/>
      <c r="H307" s="18"/>
      <c r="I307" s="17"/>
      <c r="J307" s="18"/>
      <c r="K307" s="18"/>
      <c r="L307" s="19"/>
      <c r="M307" s="20"/>
      <c r="N307" s="20"/>
      <c r="O307" s="20"/>
      <c r="P307" s="80"/>
      <c r="Q307" s="82"/>
      <c r="R307" s="87"/>
      <c r="S307" s="19"/>
      <c r="T307" s="19"/>
      <c r="U307" s="21"/>
      <c r="V307" s="22" t="str">
        <f t="shared" si="154"/>
        <v/>
      </c>
      <c r="W307" s="23"/>
      <c r="X307" s="74"/>
      <c r="Y307" s="33"/>
      <c r="Z307" s="15"/>
    </row>
    <row r="308" spans="1:26" x14ac:dyDescent="0.25">
      <c r="A308" s="21" t="str">
        <f>IF(C308="","",COUNTA($C$3:C308))</f>
        <v/>
      </c>
      <c r="B308" s="35" t="str">
        <f t="shared" si="155"/>
        <v/>
      </c>
      <c r="C308" s="31"/>
      <c r="D308" s="17"/>
      <c r="E308" s="32"/>
      <c r="F308" s="17"/>
      <c r="G308" s="18"/>
      <c r="H308" s="18"/>
      <c r="I308" s="17"/>
      <c r="J308" s="18"/>
      <c r="K308" s="18"/>
      <c r="L308" s="19"/>
      <c r="M308" s="20"/>
      <c r="N308" s="20"/>
      <c r="O308" s="19"/>
      <c r="P308" s="80"/>
      <c r="Q308" s="82"/>
      <c r="R308" s="87"/>
      <c r="S308" s="19"/>
      <c r="T308" s="19"/>
      <c r="U308" s="21"/>
      <c r="V308" s="22" t="str">
        <f t="shared" si="154"/>
        <v/>
      </c>
      <c r="W308" s="23"/>
      <c r="X308" s="74"/>
      <c r="Y308" s="33"/>
      <c r="Z308" s="15"/>
    </row>
    <row r="309" spans="1:26" x14ac:dyDescent="0.25">
      <c r="A309" s="21" t="str">
        <f>IF(C309="","",COUNTA($C$3:C309))</f>
        <v/>
      </c>
      <c r="B309" s="35" t="str">
        <f t="shared" si="155"/>
        <v/>
      </c>
      <c r="C309" s="31"/>
      <c r="D309" s="17"/>
      <c r="E309" s="32"/>
      <c r="F309" s="17"/>
      <c r="G309" s="18"/>
      <c r="H309" s="18"/>
      <c r="I309" s="17"/>
      <c r="J309" s="18"/>
      <c r="K309" s="18"/>
      <c r="L309" s="19"/>
      <c r="M309" s="20"/>
      <c r="N309" s="20"/>
      <c r="O309" s="20"/>
      <c r="P309" s="80"/>
      <c r="Q309" s="82"/>
      <c r="R309" s="87"/>
      <c r="S309" s="19"/>
      <c r="T309" s="19"/>
      <c r="U309" s="21"/>
      <c r="V309" s="22" t="str">
        <f t="shared" si="154"/>
        <v/>
      </c>
      <c r="W309" s="23"/>
      <c r="X309" s="74"/>
      <c r="Y309" s="33"/>
      <c r="Z309" s="15"/>
    </row>
    <row r="310" spans="1:26" x14ac:dyDescent="0.25">
      <c r="A310" s="21" t="str">
        <f>IF(C310="","",COUNTA($C$3:C310))</f>
        <v/>
      </c>
      <c r="B310" s="35" t="str">
        <f t="shared" si="155"/>
        <v/>
      </c>
      <c r="C310" s="31"/>
      <c r="D310" s="17"/>
      <c r="E310" s="32"/>
      <c r="F310" s="17"/>
      <c r="G310" s="18"/>
      <c r="H310" s="18"/>
      <c r="I310" s="17"/>
      <c r="J310" s="18"/>
      <c r="K310" s="18"/>
      <c r="L310" s="19"/>
      <c r="M310" s="20"/>
      <c r="N310" s="20"/>
      <c r="O310" s="20"/>
      <c r="P310" s="80"/>
      <c r="Q310" s="82"/>
      <c r="R310" s="87"/>
      <c r="S310" s="19"/>
      <c r="T310" s="19"/>
      <c r="U310" s="21"/>
      <c r="V310" s="22" t="str">
        <f t="shared" si="154"/>
        <v/>
      </c>
      <c r="W310" s="23"/>
      <c r="X310" s="74"/>
      <c r="Y310" s="33"/>
      <c r="Z310" s="15"/>
    </row>
    <row r="311" spans="1:26" x14ac:dyDescent="0.25">
      <c r="A311" s="21" t="str">
        <f>IF(C311="","",COUNTA($C$3:C311))</f>
        <v/>
      </c>
      <c r="B311" s="35" t="str">
        <f t="shared" si="155"/>
        <v/>
      </c>
      <c r="C311" s="31"/>
      <c r="D311" s="17"/>
      <c r="E311" s="32"/>
      <c r="F311" s="17"/>
      <c r="G311" s="18"/>
      <c r="H311" s="18"/>
      <c r="I311" s="17"/>
      <c r="J311" s="18"/>
      <c r="K311" s="18"/>
      <c r="L311" s="19"/>
      <c r="M311" s="20"/>
      <c r="N311" s="20"/>
      <c r="O311" s="20"/>
      <c r="P311" s="80"/>
      <c r="Q311" s="82"/>
      <c r="R311" s="87"/>
      <c r="S311" s="19"/>
      <c r="T311" s="19"/>
      <c r="U311" s="21"/>
      <c r="V311" s="22" t="str">
        <f t="shared" si="154"/>
        <v/>
      </c>
      <c r="W311" s="23"/>
      <c r="X311" s="74"/>
      <c r="Y311" s="33"/>
      <c r="Z311" s="15"/>
    </row>
    <row r="312" spans="1:26" x14ac:dyDescent="0.25">
      <c r="A312" s="21" t="str">
        <f>IF(C312="","",COUNTA($C$3:C312))</f>
        <v/>
      </c>
      <c r="B312" s="35" t="str">
        <f t="shared" si="155"/>
        <v/>
      </c>
      <c r="C312" s="31"/>
      <c r="D312" s="17"/>
      <c r="E312" s="32"/>
      <c r="F312" s="17"/>
      <c r="G312" s="18"/>
      <c r="H312" s="18"/>
      <c r="I312" s="17"/>
      <c r="J312" s="18"/>
      <c r="K312" s="18"/>
      <c r="L312" s="19"/>
      <c r="M312" s="20"/>
      <c r="N312" s="20"/>
      <c r="O312" s="19"/>
      <c r="P312" s="80"/>
      <c r="Q312" s="82"/>
      <c r="R312" s="87"/>
      <c r="S312" s="19"/>
      <c r="T312" s="19"/>
      <c r="U312" s="21"/>
      <c r="V312" s="22" t="str">
        <f t="shared" si="154"/>
        <v/>
      </c>
      <c r="W312" s="23"/>
      <c r="X312" s="74"/>
      <c r="Y312" s="33"/>
      <c r="Z312" s="15"/>
    </row>
    <row r="313" spans="1:26" x14ac:dyDescent="0.25">
      <c r="A313" s="21" t="str">
        <f>IF(C313="","",COUNTA($C$3:C313))</f>
        <v/>
      </c>
      <c r="B313" s="35" t="str">
        <f t="shared" si="155"/>
        <v/>
      </c>
      <c r="C313" s="31"/>
      <c r="D313" s="17"/>
      <c r="E313" s="32"/>
      <c r="F313" s="17"/>
      <c r="G313" s="18"/>
      <c r="H313" s="18"/>
      <c r="I313" s="17"/>
      <c r="J313" s="18"/>
      <c r="K313" s="18"/>
      <c r="L313" s="19"/>
      <c r="M313" s="20"/>
      <c r="N313" s="20"/>
      <c r="O313" s="20"/>
      <c r="P313" s="80"/>
      <c r="Q313" s="82"/>
      <c r="R313" s="87"/>
      <c r="S313" s="19"/>
      <c r="T313" s="19"/>
      <c r="U313" s="21"/>
      <c r="V313" s="22" t="str">
        <f t="shared" si="154"/>
        <v/>
      </c>
      <c r="W313" s="23"/>
      <c r="X313" s="74"/>
      <c r="Y313" s="33"/>
      <c r="Z313" s="15"/>
    </row>
    <row r="314" spans="1:26" x14ac:dyDescent="0.25">
      <c r="A314" s="21" t="str">
        <f>IF(C314="","",COUNTA($C$3:C314))</f>
        <v/>
      </c>
      <c r="B314" s="35" t="str">
        <f t="shared" si="155"/>
        <v/>
      </c>
      <c r="C314" s="31"/>
      <c r="D314" s="17"/>
      <c r="E314" s="32"/>
      <c r="F314" s="17"/>
      <c r="G314" s="18"/>
      <c r="H314" s="18"/>
      <c r="I314" s="17"/>
      <c r="J314" s="18"/>
      <c r="K314" s="18"/>
      <c r="L314" s="19"/>
      <c r="M314" s="20"/>
      <c r="N314" s="20"/>
      <c r="O314" s="20"/>
      <c r="P314" s="80"/>
      <c r="Q314" s="82"/>
      <c r="R314" s="87"/>
      <c r="S314" s="19"/>
      <c r="T314" s="19"/>
      <c r="U314" s="21"/>
      <c r="V314" s="22" t="str">
        <f t="shared" si="154"/>
        <v/>
      </c>
      <c r="W314" s="23"/>
      <c r="X314" s="74"/>
      <c r="Y314" s="33"/>
      <c r="Z314" s="15"/>
    </row>
    <row r="315" spans="1:26" x14ac:dyDescent="0.25">
      <c r="A315" s="21" t="str">
        <f>IF(C315="","",COUNTA($C$3:C315))</f>
        <v/>
      </c>
      <c r="B315" s="35" t="str">
        <f t="shared" si="155"/>
        <v/>
      </c>
      <c r="C315" s="31"/>
      <c r="D315" s="17"/>
      <c r="E315" s="32"/>
      <c r="F315" s="17"/>
      <c r="G315" s="18"/>
      <c r="H315" s="18"/>
      <c r="I315" s="17"/>
      <c r="J315" s="18"/>
      <c r="K315" s="18"/>
      <c r="L315" s="19"/>
      <c r="M315" s="20"/>
      <c r="N315" s="20"/>
      <c r="O315" s="20"/>
      <c r="P315" s="80"/>
      <c r="Q315" s="82"/>
      <c r="R315" s="87"/>
      <c r="S315" s="19"/>
      <c r="T315" s="19"/>
      <c r="U315" s="21"/>
      <c r="V315" s="22" t="str">
        <f t="shared" si="154"/>
        <v/>
      </c>
      <c r="W315" s="23"/>
      <c r="X315" s="74"/>
      <c r="Y315" s="33"/>
      <c r="Z315" s="15"/>
    </row>
    <row r="316" spans="1:26" x14ac:dyDescent="0.25">
      <c r="A316" s="21" t="str">
        <f>IF(C316="","",COUNTA($C$3:C316))</f>
        <v/>
      </c>
      <c r="B316" s="35" t="str">
        <f t="shared" si="155"/>
        <v/>
      </c>
      <c r="C316" s="31"/>
      <c r="D316" s="17"/>
      <c r="E316" s="32"/>
      <c r="F316" s="17"/>
      <c r="G316" s="18"/>
      <c r="H316" s="18"/>
      <c r="I316" s="17"/>
      <c r="J316" s="18"/>
      <c r="K316" s="18"/>
      <c r="L316" s="19"/>
      <c r="M316" s="20"/>
      <c r="N316" s="20"/>
      <c r="O316" s="19"/>
      <c r="P316" s="80"/>
      <c r="Q316" s="82"/>
      <c r="R316" s="87"/>
      <c r="S316" s="19"/>
      <c r="T316" s="19"/>
      <c r="U316" s="21"/>
      <c r="V316" s="22" t="str">
        <f t="shared" si="154"/>
        <v/>
      </c>
      <c r="W316" s="23"/>
      <c r="X316" s="74"/>
      <c r="Y316" s="33"/>
      <c r="Z316" s="15"/>
    </row>
    <row r="317" spans="1:26" x14ac:dyDescent="0.25">
      <c r="A317" s="21" t="str">
        <f>IF(C317="","",COUNTA($C$3:C317))</f>
        <v/>
      </c>
      <c r="B317" s="35" t="str">
        <f t="shared" si="155"/>
        <v/>
      </c>
      <c r="C317" s="31"/>
      <c r="D317" s="17"/>
      <c r="E317" s="32"/>
      <c r="F317" s="17"/>
      <c r="G317" s="18"/>
      <c r="H317" s="18"/>
      <c r="I317" s="17"/>
      <c r="J317" s="18"/>
      <c r="K317" s="18"/>
      <c r="L317" s="19"/>
      <c r="M317" s="20"/>
      <c r="N317" s="20"/>
      <c r="O317" s="19"/>
      <c r="P317" s="80"/>
      <c r="Q317" s="82"/>
      <c r="R317" s="87"/>
      <c r="S317" s="19"/>
      <c r="T317" s="19"/>
      <c r="U317" s="21"/>
      <c r="V317" s="22" t="str">
        <f t="shared" si="154"/>
        <v/>
      </c>
      <c r="W317" s="23"/>
      <c r="X317" s="74"/>
      <c r="Y317" s="33"/>
      <c r="Z317" s="15"/>
    </row>
    <row r="318" spans="1:26" x14ac:dyDescent="0.25">
      <c r="A318" s="21" t="str">
        <f>IF(C318="","",COUNTA($C$3:C318))</f>
        <v/>
      </c>
      <c r="B318" s="35" t="str">
        <f t="shared" si="155"/>
        <v/>
      </c>
      <c r="C318" s="31"/>
      <c r="D318" s="17"/>
      <c r="E318" s="32"/>
      <c r="F318" s="17"/>
      <c r="G318" s="18"/>
      <c r="H318" s="18"/>
      <c r="I318" s="17"/>
      <c r="J318" s="18"/>
      <c r="K318" s="18"/>
      <c r="L318" s="19"/>
      <c r="M318" s="20"/>
      <c r="N318" s="20"/>
      <c r="O318" s="19"/>
      <c r="P318" s="80"/>
      <c r="Q318" s="82"/>
      <c r="R318" s="87"/>
      <c r="S318" s="19"/>
      <c r="T318" s="19"/>
      <c r="U318" s="21"/>
      <c r="V318" s="22" t="str">
        <f t="shared" si="154"/>
        <v/>
      </c>
      <c r="W318" s="23"/>
      <c r="X318" s="74"/>
      <c r="Y318" s="33"/>
      <c r="Z318" s="15"/>
    </row>
    <row r="319" spans="1:26" x14ac:dyDescent="0.25">
      <c r="A319" s="21" t="str">
        <f>IF(C319="","",COUNTA($C$3:C319))</f>
        <v/>
      </c>
      <c r="B319" s="35" t="str">
        <f t="shared" si="155"/>
        <v/>
      </c>
      <c r="C319" s="31"/>
      <c r="D319" s="17"/>
      <c r="E319" s="32"/>
      <c r="F319" s="17"/>
      <c r="G319" s="18"/>
      <c r="H319" s="18"/>
      <c r="I319" s="17"/>
      <c r="J319" s="18"/>
      <c r="K319" s="18"/>
      <c r="L319" s="19"/>
      <c r="M319" s="20"/>
      <c r="N319" s="20"/>
      <c r="O319" s="19"/>
      <c r="P319" s="80"/>
      <c r="Q319" s="82"/>
      <c r="R319" s="87"/>
      <c r="S319" s="19"/>
      <c r="T319" s="19"/>
      <c r="U319" s="21"/>
      <c r="V319" s="22" t="str">
        <f t="shared" si="154"/>
        <v/>
      </c>
      <c r="W319" s="23"/>
      <c r="X319" s="74"/>
      <c r="Y319" s="33"/>
      <c r="Z319" s="15"/>
    </row>
    <row r="320" spans="1:26" x14ac:dyDescent="0.25">
      <c r="A320" s="21" t="str">
        <f>IF(C320="","",COUNTA($C$3:C320))</f>
        <v/>
      </c>
      <c r="B320" s="35" t="str">
        <f t="shared" si="155"/>
        <v/>
      </c>
      <c r="C320" s="31"/>
      <c r="D320" s="17"/>
      <c r="E320" s="32"/>
      <c r="F320" s="17"/>
      <c r="G320" s="18"/>
      <c r="H320" s="18"/>
      <c r="I320" s="17"/>
      <c r="J320" s="18"/>
      <c r="K320" s="18"/>
      <c r="L320" s="19"/>
      <c r="M320" s="20"/>
      <c r="N320" s="20"/>
      <c r="O320" s="19"/>
      <c r="P320" s="80"/>
      <c r="Q320" s="82"/>
      <c r="R320" s="87"/>
      <c r="S320" s="19"/>
      <c r="T320" s="19"/>
      <c r="U320" s="21"/>
      <c r="V320" s="22" t="str">
        <f t="shared" si="154"/>
        <v/>
      </c>
      <c r="W320" s="23"/>
      <c r="X320" s="74"/>
      <c r="Y320" s="33"/>
      <c r="Z320" s="15"/>
    </row>
    <row r="321" spans="1:26" x14ac:dyDescent="0.25">
      <c r="A321" s="21" t="str">
        <f>IF(C321="","",COUNTA($C$3:C321))</f>
        <v/>
      </c>
      <c r="B321" s="35" t="str">
        <f t="shared" si="155"/>
        <v/>
      </c>
      <c r="C321" s="31"/>
      <c r="D321" s="17"/>
      <c r="E321" s="32"/>
      <c r="F321" s="17"/>
      <c r="G321" s="18"/>
      <c r="H321" s="18"/>
      <c r="I321" s="17"/>
      <c r="J321" s="18"/>
      <c r="K321" s="18"/>
      <c r="L321" s="19"/>
      <c r="M321" s="20"/>
      <c r="N321" s="20"/>
      <c r="O321" s="19"/>
      <c r="P321" s="80"/>
      <c r="Q321" s="82"/>
      <c r="R321" s="87"/>
      <c r="S321" s="19"/>
      <c r="T321" s="19"/>
      <c r="U321" s="21"/>
      <c r="V321" s="22" t="str">
        <f t="shared" si="154"/>
        <v/>
      </c>
      <c r="W321" s="23"/>
      <c r="X321" s="74"/>
      <c r="Y321" s="33"/>
      <c r="Z321" s="15"/>
    </row>
    <row r="322" spans="1:26" x14ac:dyDescent="0.25">
      <c r="A322" s="21" t="str">
        <f>IF(C322="","",COUNTA($C$3:C322))</f>
        <v/>
      </c>
      <c r="B322" s="35" t="str">
        <f t="shared" si="155"/>
        <v/>
      </c>
      <c r="C322" s="31"/>
      <c r="D322" s="17"/>
      <c r="E322" s="32"/>
      <c r="F322" s="17"/>
      <c r="G322" s="18"/>
      <c r="H322" s="18"/>
      <c r="I322" s="17"/>
      <c r="J322" s="18"/>
      <c r="K322" s="18"/>
      <c r="L322" s="19"/>
      <c r="M322" s="20"/>
      <c r="N322" s="20"/>
      <c r="O322" s="19"/>
      <c r="P322" s="80"/>
      <c r="Q322" s="82"/>
      <c r="R322" s="87"/>
      <c r="S322" s="19"/>
      <c r="T322" s="19"/>
      <c r="U322" s="21"/>
      <c r="V322" s="22" t="str">
        <f t="shared" si="154"/>
        <v/>
      </c>
      <c r="W322" s="23"/>
      <c r="X322" s="74"/>
      <c r="Y322" s="33"/>
      <c r="Z322" s="15"/>
    </row>
    <row r="323" spans="1:26" x14ac:dyDescent="0.25">
      <c r="A323" s="21" t="str">
        <f>IF(C323="","",COUNTA($C$3:C323))</f>
        <v/>
      </c>
      <c r="B323" s="35" t="str">
        <f t="shared" si="155"/>
        <v/>
      </c>
      <c r="C323" s="31"/>
      <c r="D323" s="17"/>
      <c r="E323" s="32"/>
      <c r="F323" s="17"/>
      <c r="G323" s="18"/>
      <c r="H323" s="18"/>
      <c r="I323" s="17"/>
      <c r="J323" s="18"/>
      <c r="K323" s="18"/>
      <c r="L323" s="19"/>
      <c r="M323" s="20"/>
      <c r="N323" s="20"/>
      <c r="O323" s="19"/>
      <c r="P323" s="80"/>
      <c r="Q323" s="82"/>
      <c r="R323" s="87"/>
      <c r="S323" s="19"/>
      <c r="T323" s="19"/>
      <c r="U323" s="21"/>
      <c r="V323" s="22" t="str">
        <f t="shared" ref="V323:V386" si="156">IF(U323="","",(U323/T323))</f>
        <v/>
      </c>
      <c r="W323" s="23"/>
      <c r="X323" s="74"/>
      <c r="Y323" s="33"/>
      <c r="Z323" s="15"/>
    </row>
    <row r="324" spans="1:26" x14ac:dyDescent="0.25">
      <c r="A324" s="21" t="str">
        <f>IF(C324="","",COUNTA($C$3:C324))</f>
        <v/>
      </c>
      <c r="B324" s="35" t="str">
        <f t="shared" si="155"/>
        <v/>
      </c>
      <c r="C324" s="31"/>
      <c r="D324" s="17"/>
      <c r="E324" s="32"/>
      <c r="F324" s="17"/>
      <c r="G324" s="18"/>
      <c r="H324" s="18"/>
      <c r="I324" s="17"/>
      <c r="J324" s="18"/>
      <c r="K324" s="18"/>
      <c r="L324" s="19"/>
      <c r="M324" s="20"/>
      <c r="N324" s="20"/>
      <c r="O324" s="19"/>
      <c r="P324" s="80"/>
      <c r="Q324" s="82"/>
      <c r="R324" s="87"/>
      <c r="S324" s="19"/>
      <c r="T324" s="19"/>
      <c r="U324" s="21"/>
      <c r="V324" s="22" t="str">
        <f t="shared" si="156"/>
        <v/>
      </c>
      <c r="W324" s="23"/>
      <c r="X324" s="74"/>
      <c r="Y324" s="33"/>
      <c r="Z324" s="15"/>
    </row>
    <row r="325" spans="1:26" x14ac:dyDescent="0.25">
      <c r="A325" s="21" t="str">
        <f>IF(C325="","",COUNTA($C$3:C325))</f>
        <v/>
      </c>
      <c r="B325" s="35" t="str">
        <f t="shared" ref="B325:B389" si="157">IF(C325="","",TEXT(C325,"mmmm"))</f>
        <v/>
      </c>
      <c r="C325" s="31"/>
      <c r="D325" s="17"/>
      <c r="E325" s="32"/>
      <c r="F325" s="17"/>
      <c r="G325" s="18"/>
      <c r="H325" s="18"/>
      <c r="I325" s="17"/>
      <c r="J325" s="18"/>
      <c r="K325" s="18"/>
      <c r="L325" s="19"/>
      <c r="M325" s="20"/>
      <c r="N325" s="20"/>
      <c r="O325" s="19"/>
      <c r="P325" s="80"/>
      <c r="Q325" s="82"/>
      <c r="R325" s="87"/>
      <c r="S325" s="19"/>
      <c r="T325" s="19"/>
      <c r="U325" s="21"/>
      <c r="V325" s="22" t="str">
        <f t="shared" si="156"/>
        <v/>
      </c>
      <c r="W325" s="23"/>
      <c r="X325" s="74"/>
      <c r="Y325" s="33"/>
      <c r="Z325" s="15"/>
    </row>
    <row r="326" spans="1:26" x14ac:dyDescent="0.25">
      <c r="A326" s="21" t="str">
        <f>IF(C326="","",COUNTA($C$3:C326))</f>
        <v/>
      </c>
      <c r="B326" s="35" t="str">
        <f t="shared" si="157"/>
        <v/>
      </c>
      <c r="C326" s="31"/>
      <c r="D326" s="17"/>
      <c r="E326" s="32"/>
      <c r="F326" s="17"/>
      <c r="G326" s="18"/>
      <c r="H326" s="18"/>
      <c r="I326" s="17"/>
      <c r="J326" s="18"/>
      <c r="K326" s="18"/>
      <c r="L326" s="19"/>
      <c r="M326" s="20"/>
      <c r="N326" s="20"/>
      <c r="O326" s="19"/>
      <c r="P326" s="80"/>
      <c r="Q326" s="82"/>
      <c r="R326" s="87"/>
      <c r="S326" s="19"/>
      <c r="T326" s="19"/>
      <c r="U326" s="21"/>
      <c r="V326" s="22" t="str">
        <f t="shared" si="156"/>
        <v/>
      </c>
      <c r="W326" s="23"/>
      <c r="X326" s="74"/>
      <c r="Y326" s="33"/>
      <c r="Z326" s="15"/>
    </row>
    <row r="327" spans="1:26" x14ac:dyDescent="0.25">
      <c r="A327" s="21" t="str">
        <f>IF(C327="","",COUNTA($C$3:C327))</f>
        <v/>
      </c>
      <c r="B327" s="35" t="str">
        <f t="shared" si="157"/>
        <v/>
      </c>
      <c r="C327" s="31"/>
      <c r="D327" s="17"/>
      <c r="E327" s="32"/>
      <c r="F327" s="17"/>
      <c r="G327" s="18"/>
      <c r="H327" s="18"/>
      <c r="I327" s="17"/>
      <c r="J327" s="18"/>
      <c r="K327" s="18"/>
      <c r="L327" s="19"/>
      <c r="M327" s="20"/>
      <c r="N327" s="20"/>
      <c r="O327" s="19"/>
      <c r="P327" s="80"/>
      <c r="Q327" s="82"/>
      <c r="R327" s="87"/>
      <c r="S327" s="19"/>
      <c r="T327" s="19"/>
      <c r="U327" s="21"/>
      <c r="V327" s="22" t="str">
        <f t="shared" si="156"/>
        <v/>
      </c>
      <c r="W327" s="23"/>
      <c r="X327" s="19"/>
      <c r="Y327" s="33"/>
      <c r="Z327" s="15"/>
    </row>
    <row r="328" spans="1:26" x14ac:dyDescent="0.25">
      <c r="A328" s="21" t="str">
        <f>IF(C328="","",COUNTA($C$3:C328))</f>
        <v/>
      </c>
      <c r="B328" s="35" t="str">
        <f t="shared" si="157"/>
        <v/>
      </c>
      <c r="C328" s="31"/>
      <c r="D328" s="17"/>
      <c r="E328" s="32"/>
      <c r="F328" s="17"/>
      <c r="G328" s="18"/>
      <c r="H328" s="18"/>
      <c r="I328" s="17"/>
      <c r="J328" s="18"/>
      <c r="K328" s="18"/>
      <c r="L328" s="19"/>
      <c r="M328" s="20"/>
      <c r="N328" s="20"/>
      <c r="O328" s="19"/>
      <c r="P328" s="80"/>
      <c r="Q328" s="82"/>
      <c r="R328" s="87"/>
      <c r="S328" s="19"/>
      <c r="T328" s="19"/>
      <c r="U328" s="21"/>
      <c r="V328" s="22" t="str">
        <f t="shared" si="156"/>
        <v/>
      </c>
      <c r="W328" s="23"/>
      <c r="X328" s="74"/>
      <c r="Y328" s="33"/>
      <c r="Z328" s="15"/>
    </row>
    <row r="329" spans="1:26" x14ac:dyDescent="0.25">
      <c r="A329" s="21" t="str">
        <f>IF(C329="","",COUNTA($C$3:C329))</f>
        <v/>
      </c>
      <c r="B329" s="35" t="str">
        <f t="shared" si="157"/>
        <v/>
      </c>
      <c r="C329" s="31"/>
      <c r="D329" s="17"/>
      <c r="E329" s="32"/>
      <c r="F329" s="17"/>
      <c r="G329" s="18"/>
      <c r="H329" s="18"/>
      <c r="I329" s="17"/>
      <c r="J329" s="18"/>
      <c r="K329" s="18"/>
      <c r="L329" s="19"/>
      <c r="M329" s="20"/>
      <c r="N329" s="20"/>
      <c r="O329" s="19"/>
      <c r="P329" s="80"/>
      <c r="Q329" s="82"/>
      <c r="R329" s="87"/>
      <c r="S329" s="19"/>
      <c r="T329" s="19"/>
      <c r="U329" s="21"/>
      <c r="V329" s="22" t="str">
        <f t="shared" si="156"/>
        <v/>
      </c>
      <c r="W329" s="23"/>
      <c r="X329" s="74"/>
      <c r="Y329" s="33"/>
      <c r="Z329" s="15"/>
    </row>
    <row r="330" spans="1:26" x14ac:dyDescent="0.25">
      <c r="A330" s="21" t="str">
        <f>IF(C330="","",COUNTA($C$3:C330))</f>
        <v/>
      </c>
      <c r="B330" s="35" t="str">
        <f t="shared" si="157"/>
        <v/>
      </c>
      <c r="C330" s="31"/>
      <c r="D330" s="17"/>
      <c r="E330" s="32"/>
      <c r="F330" s="17"/>
      <c r="G330" s="18"/>
      <c r="H330" s="18"/>
      <c r="I330" s="17"/>
      <c r="J330" s="18"/>
      <c r="K330" s="18"/>
      <c r="L330" s="19"/>
      <c r="M330" s="20"/>
      <c r="N330" s="20"/>
      <c r="O330" s="19"/>
      <c r="P330" s="80"/>
      <c r="Q330" s="82"/>
      <c r="R330" s="87"/>
      <c r="S330" s="19"/>
      <c r="T330" s="19"/>
      <c r="U330" s="21"/>
      <c r="V330" s="22" t="str">
        <f t="shared" si="156"/>
        <v/>
      </c>
      <c r="W330" s="23"/>
      <c r="X330" s="74"/>
      <c r="Y330" s="33"/>
      <c r="Z330" s="15"/>
    </row>
    <row r="331" spans="1:26" x14ac:dyDescent="0.25">
      <c r="A331" s="21" t="str">
        <f>IF(C331="","",COUNTA($C$3:C331))</f>
        <v/>
      </c>
      <c r="B331" s="35" t="str">
        <f t="shared" si="157"/>
        <v/>
      </c>
      <c r="C331" s="31"/>
      <c r="D331" s="17"/>
      <c r="E331" s="32"/>
      <c r="F331" s="17"/>
      <c r="G331" s="18"/>
      <c r="H331" s="18"/>
      <c r="I331" s="17"/>
      <c r="J331" s="18"/>
      <c r="K331" s="18"/>
      <c r="L331" s="19"/>
      <c r="M331" s="20"/>
      <c r="N331" s="20"/>
      <c r="O331" s="19"/>
      <c r="P331" s="80"/>
      <c r="Q331" s="82"/>
      <c r="R331" s="87"/>
      <c r="S331" s="19"/>
      <c r="T331" s="19"/>
      <c r="U331" s="21"/>
      <c r="V331" s="22" t="str">
        <f t="shared" si="156"/>
        <v/>
      </c>
      <c r="W331" s="23"/>
      <c r="X331" s="74"/>
      <c r="Y331" s="33"/>
      <c r="Z331" s="15"/>
    </row>
    <row r="332" spans="1:26" x14ac:dyDescent="0.25">
      <c r="A332" s="21" t="str">
        <f>IF(C332="","",COUNTA($C$3:C332))</f>
        <v/>
      </c>
      <c r="B332" s="35" t="str">
        <f t="shared" si="157"/>
        <v/>
      </c>
      <c r="C332" s="31"/>
      <c r="D332" s="17"/>
      <c r="E332" s="32"/>
      <c r="F332" s="17"/>
      <c r="G332" s="18"/>
      <c r="H332" s="18"/>
      <c r="I332" s="17"/>
      <c r="J332" s="18"/>
      <c r="K332" s="18"/>
      <c r="L332" s="19"/>
      <c r="M332" s="20"/>
      <c r="N332" s="20"/>
      <c r="O332" s="20"/>
      <c r="P332" s="80"/>
      <c r="Q332" s="82"/>
      <c r="R332" s="87"/>
      <c r="S332" s="19"/>
      <c r="T332" s="19"/>
      <c r="U332" s="21"/>
      <c r="V332" s="22" t="str">
        <f t="shared" si="156"/>
        <v/>
      </c>
      <c r="W332" s="23"/>
      <c r="X332" s="74"/>
      <c r="Y332" s="33"/>
      <c r="Z332" s="15"/>
    </row>
    <row r="333" spans="1:26" x14ac:dyDescent="0.25">
      <c r="A333" s="21" t="str">
        <f>IF(C333="","",COUNTA($C$3:C333))</f>
        <v/>
      </c>
      <c r="B333" s="35" t="str">
        <f t="shared" si="157"/>
        <v/>
      </c>
      <c r="C333" s="31"/>
      <c r="D333" s="17"/>
      <c r="E333" s="32"/>
      <c r="F333" s="17"/>
      <c r="G333" s="18"/>
      <c r="H333" s="18"/>
      <c r="I333" s="17"/>
      <c r="J333" s="18"/>
      <c r="K333" s="18"/>
      <c r="L333" s="19"/>
      <c r="M333" s="20"/>
      <c r="N333" s="20"/>
      <c r="O333" s="20"/>
      <c r="P333" s="80"/>
      <c r="Q333" s="82"/>
      <c r="R333" s="87"/>
      <c r="S333" s="19"/>
      <c r="T333" s="19"/>
      <c r="U333" s="21"/>
      <c r="V333" s="22" t="str">
        <f t="shared" si="156"/>
        <v/>
      </c>
      <c r="W333" s="23"/>
      <c r="X333" s="74"/>
      <c r="Y333" s="33"/>
      <c r="Z333" s="15"/>
    </row>
    <row r="334" spans="1:26" x14ac:dyDescent="0.25">
      <c r="A334" s="21" t="str">
        <f>IF(C334="","",COUNTA($C$3:C334))</f>
        <v/>
      </c>
      <c r="B334" s="35" t="str">
        <f t="shared" si="157"/>
        <v/>
      </c>
      <c r="C334" s="31"/>
      <c r="D334" s="17"/>
      <c r="E334" s="32"/>
      <c r="F334" s="17"/>
      <c r="G334" s="18"/>
      <c r="H334" s="18"/>
      <c r="I334" s="17"/>
      <c r="J334" s="18"/>
      <c r="K334" s="18"/>
      <c r="L334" s="19"/>
      <c r="M334" s="20"/>
      <c r="N334" s="20"/>
      <c r="O334" s="20"/>
      <c r="P334" s="80"/>
      <c r="Q334" s="82"/>
      <c r="R334" s="87"/>
      <c r="S334" s="19"/>
      <c r="T334" s="19"/>
      <c r="U334" s="21"/>
      <c r="V334" s="22" t="str">
        <f t="shared" si="156"/>
        <v/>
      </c>
      <c r="W334" s="23"/>
      <c r="X334" s="74"/>
      <c r="Y334" s="33"/>
      <c r="Z334" s="15"/>
    </row>
    <row r="335" spans="1:26" x14ac:dyDescent="0.25">
      <c r="A335" s="21" t="str">
        <f>IF(C335="","",COUNTA($C$3:C335))</f>
        <v/>
      </c>
      <c r="B335" s="35" t="str">
        <f t="shared" si="157"/>
        <v/>
      </c>
      <c r="C335" s="31"/>
      <c r="D335" s="17"/>
      <c r="E335" s="32"/>
      <c r="F335" s="17"/>
      <c r="G335" s="18"/>
      <c r="H335" s="18"/>
      <c r="I335" s="17"/>
      <c r="J335" s="18"/>
      <c r="K335" s="18"/>
      <c r="L335" s="19"/>
      <c r="M335" s="20"/>
      <c r="N335" s="20"/>
      <c r="O335" s="20"/>
      <c r="P335" s="80"/>
      <c r="Q335" s="82"/>
      <c r="R335" s="87"/>
      <c r="S335" s="19"/>
      <c r="T335" s="19"/>
      <c r="U335" s="21"/>
      <c r="V335" s="22" t="str">
        <f t="shared" si="156"/>
        <v/>
      </c>
      <c r="W335" s="23"/>
      <c r="X335" s="19"/>
      <c r="Y335" s="33"/>
      <c r="Z335" s="15"/>
    </row>
    <row r="336" spans="1:26" x14ac:dyDescent="0.25">
      <c r="A336" s="21" t="str">
        <f>IF(C336="","",COUNTA($C$3:C336))</f>
        <v/>
      </c>
      <c r="B336" s="35" t="str">
        <f t="shared" si="157"/>
        <v/>
      </c>
      <c r="C336" s="31"/>
      <c r="D336" s="17"/>
      <c r="E336" s="32"/>
      <c r="F336" s="17"/>
      <c r="G336" s="18"/>
      <c r="H336" s="18"/>
      <c r="I336" s="17"/>
      <c r="J336" s="18"/>
      <c r="K336" s="18"/>
      <c r="L336" s="19"/>
      <c r="M336" s="20"/>
      <c r="N336" s="20"/>
      <c r="O336" s="19"/>
      <c r="P336" s="80"/>
      <c r="Q336" s="82"/>
      <c r="R336" s="87"/>
      <c r="S336" s="19"/>
      <c r="T336" s="19"/>
      <c r="U336" s="21"/>
      <c r="V336" s="22" t="str">
        <f t="shared" si="156"/>
        <v/>
      </c>
      <c r="W336" s="23"/>
      <c r="X336" s="74"/>
      <c r="Y336" s="33"/>
      <c r="Z336" s="15"/>
    </row>
    <row r="337" spans="1:26" x14ac:dyDescent="0.25">
      <c r="A337" s="21" t="str">
        <f>IF(C337="","",COUNTA($C$3:C337))</f>
        <v/>
      </c>
      <c r="B337" s="35" t="str">
        <f t="shared" si="157"/>
        <v/>
      </c>
      <c r="C337" s="31"/>
      <c r="D337" s="17"/>
      <c r="E337" s="32"/>
      <c r="F337" s="17"/>
      <c r="G337" s="18"/>
      <c r="H337" s="18"/>
      <c r="I337" s="17"/>
      <c r="J337" s="18"/>
      <c r="K337" s="18"/>
      <c r="L337" s="19"/>
      <c r="M337" s="20"/>
      <c r="N337" s="20"/>
      <c r="O337" s="19"/>
      <c r="P337" s="80"/>
      <c r="Q337" s="82"/>
      <c r="R337" s="87"/>
      <c r="S337" s="19"/>
      <c r="T337" s="19"/>
      <c r="U337" s="21"/>
      <c r="V337" s="22" t="str">
        <f t="shared" si="156"/>
        <v/>
      </c>
      <c r="W337" s="23"/>
      <c r="X337" s="74"/>
      <c r="Y337" s="33"/>
      <c r="Z337" s="15"/>
    </row>
    <row r="338" spans="1:26" x14ac:dyDescent="0.25">
      <c r="A338" s="21" t="str">
        <f>IF(C338="","",COUNTA($C$3:C338))</f>
        <v/>
      </c>
      <c r="B338" s="35" t="str">
        <f t="shared" si="157"/>
        <v/>
      </c>
      <c r="C338" s="31"/>
      <c r="D338" s="17"/>
      <c r="E338" s="32"/>
      <c r="F338" s="17"/>
      <c r="G338" s="18"/>
      <c r="H338" s="18"/>
      <c r="I338" s="17"/>
      <c r="J338" s="18"/>
      <c r="K338" s="18"/>
      <c r="L338" s="19"/>
      <c r="M338" s="20"/>
      <c r="N338" s="20"/>
      <c r="O338" s="20"/>
      <c r="P338" s="80"/>
      <c r="Q338" s="82"/>
      <c r="R338" s="87"/>
      <c r="S338" s="19"/>
      <c r="T338" s="19"/>
      <c r="U338" s="21"/>
      <c r="V338" s="22" t="str">
        <f t="shared" si="156"/>
        <v/>
      </c>
      <c r="W338" s="23"/>
      <c r="X338" s="74"/>
      <c r="Y338" s="33"/>
      <c r="Z338" s="15"/>
    </row>
    <row r="339" spans="1:26" x14ac:dyDescent="0.25">
      <c r="A339" s="21" t="str">
        <f>IF(C339="","",COUNTA($C$3:C339))</f>
        <v/>
      </c>
      <c r="B339" s="35" t="str">
        <f t="shared" si="157"/>
        <v/>
      </c>
      <c r="C339" s="31"/>
      <c r="D339" s="17"/>
      <c r="E339" s="32"/>
      <c r="F339" s="17"/>
      <c r="G339" s="18"/>
      <c r="H339" s="18"/>
      <c r="I339" s="17"/>
      <c r="J339" s="18"/>
      <c r="K339" s="18"/>
      <c r="L339" s="19"/>
      <c r="M339" s="20"/>
      <c r="N339" s="20"/>
      <c r="O339" s="19"/>
      <c r="P339" s="80"/>
      <c r="Q339" s="82"/>
      <c r="R339" s="87"/>
      <c r="S339" s="19"/>
      <c r="T339" s="19"/>
      <c r="U339" s="21"/>
      <c r="V339" s="22" t="str">
        <f t="shared" si="156"/>
        <v/>
      </c>
      <c r="W339" s="23"/>
      <c r="X339" s="74"/>
      <c r="Y339" s="33"/>
      <c r="Z339" s="15"/>
    </row>
    <row r="340" spans="1:26" x14ac:dyDescent="0.25">
      <c r="A340" s="21" t="str">
        <f>IF(C340="","",COUNTA($C$3:C340))</f>
        <v/>
      </c>
      <c r="B340" s="35" t="str">
        <f t="shared" si="157"/>
        <v/>
      </c>
      <c r="C340" s="31"/>
      <c r="D340" s="17"/>
      <c r="E340" s="32"/>
      <c r="F340" s="17"/>
      <c r="G340" s="18"/>
      <c r="H340" s="18"/>
      <c r="I340" s="17"/>
      <c r="J340" s="18"/>
      <c r="K340" s="18"/>
      <c r="L340" s="19"/>
      <c r="M340" s="20"/>
      <c r="N340" s="20"/>
      <c r="O340" s="20"/>
      <c r="P340" s="80"/>
      <c r="Q340" s="82"/>
      <c r="R340" s="87"/>
      <c r="S340" s="19"/>
      <c r="T340" s="19"/>
      <c r="U340" s="21"/>
      <c r="V340" s="22" t="str">
        <f t="shared" si="156"/>
        <v/>
      </c>
      <c r="W340" s="23"/>
      <c r="X340" s="19"/>
      <c r="Y340" s="33"/>
      <c r="Z340" s="15"/>
    </row>
    <row r="341" spans="1:26" x14ac:dyDescent="0.25">
      <c r="A341" s="21" t="str">
        <f>IF(C341="","",COUNTA($C$3:C341))</f>
        <v/>
      </c>
      <c r="B341" s="35" t="str">
        <f t="shared" si="157"/>
        <v/>
      </c>
      <c r="C341" s="31"/>
      <c r="D341" s="17"/>
      <c r="E341" s="32"/>
      <c r="F341" s="17"/>
      <c r="G341" s="18"/>
      <c r="H341" s="18"/>
      <c r="I341" s="17"/>
      <c r="J341" s="18"/>
      <c r="K341" s="18"/>
      <c r="L341" s="19"/>
      <c r="M341" s="20"/>
      <c r="N341" s="20"/>
      <c r="O341" s="19"/>
      <c r="P341" s="80"/>
      <c r="Q341" s="82"/>
      <c r="R341" s="87"/>
      <c r="S341" s="19"/>
      <c r="T341" s="19"/>
      <c r="U341" s="21"/>
      <c r="V341" s="22" t="str">
        <f t="shared" si="156"/>
        <v/>
      </c>
      <c r="W341" s="23"/>
      <c r="X341" s="74"/>
      <c r="Y341" s="33"/>
      <c r="Z341" s="15"/>
    </row>
    <row r="342" spans="1:26" x14ac:dyDescent="0.25">
      <c r="A342" s="21" t="str">
        <f>IF(C342="","",COUNTA($C$3:C342))</f>
        <v/>
      </c>
      <c r="B342" s="35" t="str">
        <f t="shared" si="157"/>
        <v/>
      </c>
      <c r="C342" s="31"/>
      <c r="D342" s="17"/>
      <c r="E342" s="32"/>
      <c r="F342" s="17"/>
      <c r="G342" s="18"/>
      <c r="H342" s="18"/>
      <c r="I342" s="17"/>
      <c r="J342" s="18"/>
      <c r="K342" s="18"/>
      <c r="L342" s="19"/>
      <c r="M342" s="20"/>
      <c r="N342" s="20"/>
      <c r="O342" s="19"/>
      <c r="P342" s="80"/>
      <c r="Q342" s="82"/>
      <c r="R342" s="87"/>
      <c r="S342" s="19"/>
      <c r="T342" s="19"/>
      <c r="U342" s="21"/>
      <c r="V342" s="22" t="str">
        <f t="shared" si="156"/>
        <v/>
      </c>
      <c r="W342" s="23"/>
      <c r="X342" s="74"/>
      <c r="Y342" s="33"/>
      <c r="Z342" s="15"/>
    </row>
    <row r="343" spans="1:26" x14ac:dyDescent="0.25">
      <c r="A343" s="21" t="str">
        <f>IF(C343="","",COUNTA($C$3:C343))</f>
        <v/>
      </c>
      <c r="B343" s="35" t="str">
        <f t="shared" si="157"/>
        <v/>
      </c>
      <c r="C343" s="31"/>
      <c r="D343" s="17"/>
      <c r="E343" s="32"/>
      <c r="F343" s="17"/>
      <c r="G343" s="18"/>
      <c r="H343" s="18"/>
      <c r="I343" s="17"/>
      <c r="J343" s="18"/>
      <c r="K343" s="18"/>
      <c r="L343" s="19"/>
      <c r="M343" s="20"/>
      <c r="N343" s="20"/>
      <c r="O343" s="19"/>
      <c r="P343" s="80"/>
      <c r="Q343" s="82"/>
      <c r="R343" s="87"/>
      <c r="S343" s="19"/>
      <c r="T343" s="19"/>
      <c r="U343" s="21"/>
      <c r="V343" s="22" t="str">
        <f t="shared" si="156"/>
        <v/>
      </c>
      <c r="W343" s="23"/>
      <c r="X343" s="74"/>
      <c r="Y343" s="33"/>
      <c r="Z343" s="15"/>
    </row>
    <row r="344" spans="1:26" x14ac:dyDescent="0.25">
      <c r="A344" s="21" t="str">
        <f>IF(C344="","",COUNTA($C$3:C344))</f>
        <v/>
      </c>
      <c r="B344" s="35" t="str">
        <f t="shared" si="157"/>
        <v/>
      </c>
      <c r="C344" s="31"/>
      <c r="D344" s="17"/>
      <c r="E344" s="32"/>
      <c r="F344" s="17"/>
      <c r="G344" s="18"/>
      <c r="H344" s="18"/>
      <c r="I344" s="17"/>
      <c r="J344" s="18"/>
      <c r="K344" s="18"/>
      <c r="L344" s="19"/>
      <c r="M344" s="20"/>
      <c r="N344" s="20"/>
      <c r="O344" s="20"/>
      <c r="P344" s="80"/>
      <c r="Q344" s="82"/>
      <c r="R344" s="87"/>
      <c r="S344" s="19"/>
      <c r="T344" s="19"/>
      <c r="U344" s="21"/>
      <c r="V344" s="22" t="str">
        <f t="shared" si="156"/>
        <v/>
      </c>
      <c r="W344" s="23"/>
      <c r="X344" s="19"/>
      <c r="Y344" s="33"/>
      <c r="Z344" s="15"/>
    </row>
    <row r="345" spans="1:26" x14ac:dyDescent="0.25">
      <c r="A345" s="21" t="str">
        <f>IF(C345="","",COUNTA($C$3:C345))</f>
        <v/>
      </c>
      <c r="B345" s="35" t="str">
        <f t="shared" si="157"/>
        <v/>
      </c>
      <c r="C345" s="31"/>
      <c r="D345" s="17"/>
      <c r="E345" s="32"/>
      <c r="F345" s="17"/>
      <c r="G345" s="18"/>
      <c r="H345" s="18"/>
      <c r="I345" s="17"/>
      <c r="J345" s="18"/>
      <c r="K345" s="18"/>
      <c r="L345" s="19"/>
      <c r="M345" s="20"/>
      <c r="N345" s="20"/>
      <c r="O345" s="19"/>
      <c r="P345" s="80"/>
      <c r="Q345" s="82"/>
      <c r="R345" s="87"/>
      <c r="S345" s="19"/>
      <c r="T345" s="19"/>
      <c r="U345" s="21"/>
      <c r="V345" s="22" t="str">
        <f t="shared" si="156"/>
        <v/>
      </c>
      <c r="W345" s="23"/>
      <c r="X345" s="74"/>
      <c r="Y345" s="33"/>
      <c r="Z345" s="15"/>
    </row>
    <row r="346" spans="1:26" x14ac:dyDescent="0.25">
      <c r="A346" s="21" t="str">
        <f>IF(C346="","",COUNTA($C$3:C346))</f>
        <v/>
      </c>
      <c r="B346" s="35" t="str">
        <f t="shared" si="157"/>
        <v/>
      </c>
      <c r="C346" s="31"/>
      <c r="D346" s="17"/>
      <c r="E346" s="32"/>
      <c r="F346" s="17"/>
      <c r="G346" s="18"/>
      <c r="H346" s="18"/>
      <c r="I346" s="17"/>
      <c r="J346" s="18"/>
      <c r="K346" s="18"/>
      <c r="L346" s="19"/>
      <c r="M346" s="20"/>
      <c r="N346" s="20"/>
      <c r="O346" s="20"/>
      <c r="P346" s="80"/>
      <c r="Q346" s="82"/>
      <c r="R346" s="87"/>
      <c r="S346" s="19"/>
      <c r="T346" s="19"/>
      <c r="U346" s="21"/>
      <c r="V346" s="22" t="str">
        <f t="shared" si="156"/>
        <v/>
      </c>
      <c r="W346" s="23"/>
      <c r="X346" s="74"/>
      <c r="Y346" s="33"/>
      <c r="Z346" s="15"/>
    </row>
    <row r="347" spans="1:26" x14ac:dyDescent="0.25">
      <c r="A347" s="21" t="str">
        <f>IF(C347="","",COUNTA($C$3:C347))</f>
        <v/>
      </c>
      <c r="B347" s="35" t="str">
        <f t="shared" si="157"/>
        <v/>
      </c>
      <c r="C347" s="31"/>
      <c r="D347" s="17"/>
      <c r="E347" s="32"/>
      <c r="F347" s="17"/>
      <c r="G347" s="18"/>
      <c r="H347" s="18"/>
      <c r="I347" s="17"/>
      <c r="J347" s="18"/>
      <c r="K347" s="18"/>
      <c r="L347" s="19"/>
      <c r="M347" s="20"/>
      <c r="N347" s="20"/>
      <c r="O347" s="20"/>
      <c r="P347" s="80"/>
      <c r="Q347" s="82"/>
      <c r="R347" s="87"/>
      <c r="S347" s="19"/>
      <c r="T347" s="19"/>
      <c r="U347" s="21"/>
      <c r="V347" s="22" t="str">
        <f t="shared" si="156"/>
        <v/>
      </c>
      <c r="W347" s="23"/>
      <c r="X347" s="74"/>
      <c r="Y347" s="33"/>
      <c r="Z347" s="15"/>
    </row>
    <row r="348" spans="1:26" x14ac:dyDescent="0.25">
      <c r="A348" s="21" t="str">
        <f>IF(C348="","",COUNTA($C$3:C348))</f>
        <v/>
      </c>
      <c r="B348" s="35" t="str">
        <f t="shared" si="157"/>
        <v/>
      </c>
      <c r="C348" s="31"/>
      <c r="D348" s="17"/>
      <c r="E348" s="32"/>
      <c r="F348" s="17"/>
      <c r="G348" s="18"/>
      <c r="H348" s="18"/>
      <c r="I348" s="17"/>
      <c r="J348" s="18"/>
      <c r="K348" s="18"/>
      <c r="L348" s="19"/>
      <c r="M348" s="20"/>
      <c r="N348" s="20"/>
      <c r="O348" s="19"/>
      <c r="P348" s="80"/>
      <c r="Q348" s="82"/>
      <c r="R348" s="87"/>
      <c r="S348" s="19"/>
      <c r="T348" s="19"/>
      <c r="U348" s="21"/>
      <c r="V348" s="22" t="str">
        <f t="shared" si="156"/>
        <v/>
      </c>
      <c r="W348" s="23"/>
      <c r="X348" s="74"/>
      <c r="Y348" s="33"/>
      <c r="Z348" s="15"/>
    </row>
    <row r="349" spans="1:26" x14ac:dyDescent="0.25">
      <c r="A349" s="21" t="str">
        <f>IF(C349="","",COUNTA($C$3:C349))</f>
        <v/>
      </c>
      <c r="B349" s="35" t="str">
        <f t="shared" si="157"/>
        <v/>
      </c>
      <c r="C349" s="31"/>
      <c r="D349" s="17"/>
      <c r="E349" s="32"/>
      <c r="F349" s="17"/>
      <c r="G349" s="18"/>
      <c r="H349" s="18"/>
      <c r="I349" s="17"/>
      <c r="J349" s="18"/>
      <c r="K349" s="18"/>
      <c r="L349" s="19"/>
      <c r="M349" s="20"/>
      <c r="N349" s="20"/>
      <c r="O349" s="19"/>
      <c r="P349" s="80"/>
      <c r="Q349" s="82"/>
      <c r="R349" s="87"/>
      <c r="S349" s="19"/>
      <c r="T349" s="19"/>
      <c r="U349" s="21"/>
      <c r="V349" s="22" t="str">
        <f t="shared" si="156"/>
        <v/>
      </c>
      <c r="W349" s="23"/>
      <c r="X349" s="74"/>
      <c r="Y349" s="33"/>
      <c r="Z349" s="15"/>
    </row>
    <row r="350" spans="1:26" x14ac:dyDescent="0.25">
      <c r="A350" s="21" t="str">
        <f>IF(C350="","",COUNTA($C$3:C350))</f>
        <v/>
      </c>
      <c r="B350" s="35" t="str">
        <f t="shared" si="157"/>
        <v/>
      </c>
      <c r="C350" s="31"/>
      <c r="D350" s="17"/>
      <c r="E350" s="32"/>
      <c r="F350" s="17"/>
      <c r="G350" s="18"/>
      <c r="H350" s="18"/>
      <c r="I350" s="17"/>
      <c r="J350" s="18"/>
      <c r="K350" s="18"/>
      <c r="L350" s="19"/>
      <c r="M350" s="20"/>
      <c r="N350" s="20"/>
      <c r="O350" s="20"/>
      <c r="P350" s="80"/>
      <c r="Q350" s="82"/>
      <c r="R350" s="87"/>
      <c r="S350" s="19"/>
      <c r="T350" s="19"/>
      <c r="U350" s="21"/>
      <c r="V350" s="22" t="str">
        <f t="shared" si="156"/>
        <v/>
      </c>
      <c r="W350" s="23"/>
      <c r="X350" s="74"/>
      <c r="Y350" s="33"/>
      <c r="Z350" s="15"/>
    </row>
    <row r="351" spans="1:26" x14ac:dyDescent="0.25">
      <c r="A351" s="21" t="str">
        <f>IF(C351="","",COUNTA($C$3:C351))</f>
        <v/>
      </c>
      <c r="B351" s="35" t="str">
        <f t="shared" si="157"/>
        <v/>
      </c>
      <c r="C351" s="31"/>
      <c r="D351" s="17"/>
      <c r="E351" s="32"/>
      <c r="F351" s="17"/>
      <c r="G351" s="18"/>
      <c r="H351" s="18"/>
      <c r="I351" s="17"/>
      <c r="J351" s="18"/>
      <c r="K351" s="18"/>
      <c r="L351" s="19"/>
      <c r="M351" s="20"/>
      <c r="N351" s="20"/>
      <c r="O351" s="20"/>
      <c r="P351" s="80"/>
      <c r="Q351" s="82"/>
      <c r="R351" s="87"/>
      <c r="S351" s="19"/>
      <c r="T351" s="19"/>
      <c r="U351" s="21"/>
      <c r="V351" s="22" t="str">
        <f t="shared" si="156"/>
        <v/>
      </c>
      <c r="W351" s="23"/>
      <c r="X351" s="74"/>
      <c r="Y351" s="33"/>
      <c r="Z351" s="15"/>
    </row>
    <row r="352" spans="1:26" x14ac:dyDescent="0.25">
      <c r="A352" s="21" t="str">
        <f>IF(C352="","",COUNTA($C$3:C352))</f>
        <v/>
      </c>
      <c r="B352" s="35" t="str">
        <f t="shared" si="157"/>
        <v/>
      </c>
      <c r="C352" s="31"/>
      <c r="D352" s="17"/>
      <c r="E352" s="32"/>
      <c r="F352" s="17"/>
      <c r="G352" s="18"/>
      <c r="H352" s="18"/>
      <c r="I352" s="17"/>
      <c r="J352" s="18"/>
      <c r="K352" s="18"/>
      <c r="L352" s="19"/>
      <c r="M352" s="20"/>
      <c r="N352" s="20"/>
      <c r="O352" s="20"/>
      <c r="P352" s="80"/>
      <c r="Q352" s="82"/>
      <c r="R352" s="87"/>
      <c r="S352" s="19"/>
      <c r="T352" s="19"/>
      <c r="U352" s="21"/>
      <c r="V352" s="22" t="str">
        <f t="shared" si="156"/>
        <v/>
      </c>
      <c r="W352" s="23"/>
      <c r="X352" s="74"/>
      <c r="Y352" s="33"/>
      <c r="Z352" s="15"/>
    </row>
    <row r="353" spans="1:26" x14ac:dyDescent="0.25">
      <c r="A353" s="21" t="str">
        <f>IF(C353="","",COUNTA($C$3:C353))</f>
        <v/>
      </c>
      <c r="B353" s="35" t="str">
        <f t="shared" si="157"/>
        <v/>
      </c>
      <c r="C353" s="31"/>
      <c r="D353" s="17"/>
      <c r="E353" s="32"/>
      <c r="F353" s="17"/>
      <c r="G353" s="18"/>
      <c r="H353" s="18"/>
      <c r="I353" s="17"/>
      <c r="J353" s="18"/>
      <c r="K353" s="18"/>
      <c r="L353" s="19"/>
      <c r="M353" s="20"/>
      <c r="N353" s="20"/>
      <c r="O353" s="20"/>
      <c r="P353" s="80"/>
      <c r="Q353" s="82"/>
      <c r="R353" s="87"/>
      <c r="S353" s="19"/>
      <c r="T353" s="19"/>
      <c r="U353" s="21"/>
      <c r="V353" s="22" t="str">
        <f t="shared" si="156"/>
        <v/>
      </c>
      <c r="W353" s="23"/>
      <c r="X353" s="74"/>
      <c r="Y353" s="33"/>
      <c r="Z353" s="15"/>
    </row>
    <row r="354" spans="1:26" x14ac:dyDescent="0.25">
      <c r="A354" s="21" t="str">
        <f>IF(C354="","",COUNTA($C$3:C354))</f>
        <v/>
      </c>
      <c r="B354" s="35" t="str">
        <f t="shared" si="157"/>
        <v/>
      </c>
      <c r="C354" s="31"/>
      <c r="D354" s="17"/>
      <c r="E354" s="32"/>
      <c r="F354" s="17"/>
      <c r="G354" s="18"/>
      <c r="H354" s="18"/>
      <c r="I354" s="17"/>
      <c r="J354" s="18"/>
      <c r="K354" s="18"/>
      <c r="L354" s="19"/>
      <c r="M354" s="20"/>
      <c r="N354" s="20"/>
      <c r="O354" s="20"/>
      <c r="P354" s="80"/>
      <c r="Q354" s="82"/>
      <c r="R354" s="87"/>
      <c r="S354" s="19"/>
      <c r="T354" s="19"/>
      <c r="U354" s="21"/>
      <c r="V354" s="22" t="str">
        <f t="shared" si="156"/>
        <v/>
      </c>
      <c r="W354" s="23"/>
      <c r="X354" s="19"/>
      <c r="Y354" s="33"/>
      <c r="Z354" s="15"/>
    </row>
    <row r="355" spans="1:26" x14ac:dyDescent="0.25">
      <c r="A355" s="21" t="str">
        <f>IF(C355="","",COUNTA($C$3:C355))</f>
        <v/>
      </c>
      <c r="B355" s="35" t="str">
        <f t="shared" si="157"/>
        <v/>
      </c>
      <c r="C355" s="31"/>
      <c r="D355" s="17"/>
      <c r="E355" s="32"/>
      <c r="F355" s="17"/>
      <c r="G355" s="18"/>
      <c r="H355" s="18"/>
      <c r="I355" s="17"/>
      <c r="J355" s="18"/>
      <c r="K355" s="18"/>
      <c r="L355" s="19"/>
      <c r="M355" s="20"/>
      <c r="N355" s="20"/>
      <c r="O355" s="19"/>
      <c r="P355" s="80"/>
      <c r="Q355" s="82"/>
      <c r="R355" s="87"/>
      <c r="S355" s="19"/>
      <c r="T355" s="19"/>
      <c r="U355" s="21"/>
      <c r="V355" s="22" t="str">
        <f t="shared" si="156"/>
        <v/>
      </c>
      <c r="W355" s="23"/>
      <c r="X355" s="74"/>
      <c r="Y355" s="33"/>
      <c r="Z355" s="15"/>
    </row>
    <row r="356" spans="1:26" x14ac:dyDescent="0.25">
      <c r="A356" s="21" t="str">
        <f>IF(C356="","",COUNTA($C$3:C356))</f>
        <v/>
      </c>
      <c r="B356" s="35" t="str">
        <f t="shared" si="157"/>
        <v/>
      </c>
      <c r="C356" s="31"/>
      <c r="D356" s="17"/>
      <c r="E356" s="32"/>
      <c r="F356" s="17"/>
      <c r="G356" s="18"/>
      <c r="H356" s="18"/>
      <c r="I356" s="17"/>
      <c r="J356" s="18"/>
      <c r="K356" s="18"/>
      <c r="L356" s="19"/>
      <c r="M356" s="20"/>
      <c r="N356" s="20"/>
      <c r="O356" s="19"/>
      <c r="P356" s="80"/>
      <c r="Q356" s="82"/>
      <c r="R356" s="87"/>
      <c r="S356" s="19"/>
      <c r="T356" s="19"/>
      <c r="U356" s="21"/>
      <c r="V356" s="22" t="str">
        <f t="shared" si="156"/>
        <v/>
      </c>
      <c r="W356" s="23"/>
      <c r="X356" s="74"/>
      <c r="Y356" s="33"/>
      <c r="Z356" s="15"/>
    </row>
    <row r="357" spans="1:26" x14ac:dyDescent="0.25">
      <c r="A357" s="21" t="str">
        <f>IF(C357="","",COUNTA($C$3:C357))</f>
        <v/>
      </c>
      <c r="B357" s="35" t="str">
        <f t="shared" si="157"/>
        <v/>
      </c>
      <c r="C357" s="31"/>
      <c r="D357" s="17"/>
      <c r="E357" s="32"/>
      <c r="F357" s="17"/>
      <c r="G357" s="18"/>
      <c r="H357" s="18"/>
      <c r="I357" s="17"/>
      <c r="J357" s="18"/>
      <c r="K357" s="18"/>
      <c r="L357" s="19"/>
      <c r="M357" s="20"/>
      <c r="N357" s="20"/>
      <c r="O357" s="19"/>
      <c r="P357" s="80"/>
      <c r="Q357" s="82"/>
      <c r="R357" s="87"/>
      <c r="S357" s="19"/>
      <c r="T357" s="19"/>
      <c r="U357" s="21"/>
      <c r="V357" s="22" t="str">
        <f t="shared" si="156"/>
        <v/>
      </c>
      <c r="W357" s="23"/>
      <c r="X357" s="74"/>
      <c r="Y357" s="33"/>
      <c r="Z357" s="15"/>
    </row>
    <row r="358" spans="1:26" x14ac:dyDescent="0.25">
      <c r="A358" s="21" t="str">
        <f>IF(C358="","",COUNTA($C$3:C358))</f>
        <v/>
      </c>
      <c r="B358" s="35" t="str">
        <f t="shared" si="157"/>
        <v/>
      </c>
      <c r="C358" s="31"/>
      <c r="D358" s="17"/>
      <c r="E358" s="32"/>
      <c r="F358" s="17"/>
      <c r="G358" s="18"/>
      <c r="H358" s="18"/>
      <c r="I358" s="17"/>
      <c r="J358" s="18"/>
      <c r="K358" s="18"/>
      <c r="L358" s="19"/>
      <c r="M358" s="20"/>
      <c r="N358" s="20"/>
      <c r="O358" s="20"/>
      <c r="P358" s="80"/>
      <c r="Q358" s="82"/>
      <c r="R358" s="87"/>
      <c r="S358" s="19"/>
      <c r="T358" s="19"/>
      <c r="U358" s="21"/>
      <c r="V358" s="22" t="str">
        <f t="shared" si="156"/>
        <v/>
      </c>
      <c r="W358" s="23"/>
      <c r="X358" s="74"/>
      <c r="Y358" s="33"/>
      <c r="Z358" s="15"/>
    </row>
    <row r="359" spans="1:26" x14ac:dyDescent="0.25">
      <c r="A359" s="21" t="str">
        <f>IF(C359="","",COUNTA($C$3:C359))</f>
        <v/>
      </c>
      <c r="B359" s="35" t="str">
        <f t="shared" si="157"/>
        <v/>
      </c>
      <c r="C359" s="31"/>
      <c r="D359" s="17"/>
      <c r="E359" s="32"/>
      <c r="F359" s="17"/>
      <c r="G359" s="18"/>
      <c r="H359" s="18"/>
      <c r="I359" s="17"/>
      <c r="J359" s="18"/>
      <c r="K359" s="18"/>
      <c r="L359" s="19"/>
      <c r="M359" s="20"/>
      <c r="N359" s="20"/>
      <c r="O359" s="19"/>
      <c r="P359" s="80"/>
      <c r="Q359" s="82"/>
      <c r="R359" s="87"/>
      <c r="S359" s="19"/>
      <c r="T359" s="19"/>
      <c r="U359" s="21"/>
      <c r="V359" s="22" t="str">
        <f t="shared" si="156"/>
        <v/>
      </c>
      <c r="W359" s="23"/>
      <c r="X359" s="74"/>
      <c r="Y359" s="33"/>
      <c r="Z359" s="15"/>
    </row>
    <row r="360" spans="1:26" x14ac:dyDescent="0.25">
      <c r="A360" s="21" t="str">
        <f>IF(C360="","",COUNTA($C$3:C360))</f>
        <v/>
      </c>
      <c r="B360" s="35" t="str">
        <f t="shared" si="157"/>
        <v/>
      </c>
      <c r="C360" s="31"/>
      <c r="D360" s="17"/>
      <c r="E360" s="32"/>
      <c r="F360" s="17"/>
      <c r="G360" s="18"/>
      <c r="H360" s="18"/>
      <c r="I360" s="17"/>
      <c r="J360" s="18"/>
      <c r="K360" s="18"/>
      <c r="L360" s="19"/>
      <c r="M360" s="20"/>
      <c r="N360" s="20"/>
      <c r="O360" s="19"/>
      <c r="P360" s="80"/>
      <c r="Q360" s="82"/>
      <c r="R360" s="87"/>
      <c r="S360" s="19"/>
      <c r="T360" s="19"/>
      <c r="U360" s="21"/>
      <c r="V360" s="22" t="str">
        <f t="shared" si="156"/>
        <v/>
      </c>
      <c r="W360" s="23"/>
      <c r="X360" s="74"/>
      <c r="Y360" s="33"/>
      <c r="Z360" s="15"/>
    </row>
    <row r="361" spans="1:26" x14ac:dyDescent="0.25">
      <c r="A361" s="21" t="str">
        <f>IF(C361="","",COUNTA($C$3:C361))</f>
        <v/>
      </c>
      <c r="B361" s="35" t="str">
        <f t="shared" ref="B361" si="158">IF(C361="","",TEXT(C361,"mmmm"))</f>
        <v/>
      </c>
      <c r="C361" s="131"/>
      <c r="D361" s="132"/>
      <c r="E361" s="133"/>
      <c r="F361" s="132"/>
      <c r="G361" s="134"/>
      <c r="H361" s="134"/>
      <c r="I361" s="132"/>
      <c r="J361" s="134"/>
      <c r="K361" s="134"/>
      <c r="L361" s="135"/>
      <c r="M361" s="136"/>
      <c r="N361" s="136"/>
      <c r="O361" s="135"/>
      <c r="P361" s="137"/>
      <c r="Q361" s="137"/>
      <c r="R361" s="138"/>
      <c r="S361" s="135"/>
      <c r="T361" s="135"/>
      <c r="U361" s="139"/>
      <c r="V361" s="22" t="str">
        <f t="shared" si="156"/>
        <v/>
      </c>
      <c r="W361" s="140"/>
      <c r="X361" s="141"/>
      <c r="Y361" s="141"/>
      <c r="Z361" s="141"/>
    </row>
    <row r="362" spans="1:26" x14ac:dyDescent="0.25">
      <c r="A362" s="21" t="str">
        <f>IF(C362="","",COUNTA($C$3:C362))</f>
        <v/>
      </c>
      <c r="B362" s="35" t="str">
        <f t="shared" si="157"/>
        <v/>
      </c>
      <c r="C362" s="31"/>
      <c r="D362" s="17"/>
      <c r="E362" s="32"/>
      <c r="F362" s="17"/>
      <c r="G362" s="18"/>
      <c r="H362" s="18"/>
      <c r="I362" s="17"/>
      <c r="J362" s="18"/>
      <c r="K362" s="18"/>
      <c r="L362" s="19"/>
      <c r="M362" s="20"/>
      <c r="N362" s="20"/>
      <c r="O362" s="20"/>
      <c r="P362" s="80"/>
      <c r="Q362" s="82"/>
      <c r="R362" s="87"/>
      <c r="S362" s="19"/>
      <c r="T362" s="19"/>
      <c r="U362" s="21"/>
      <c r="V362" s="22" t="str">
        <f t="shared" si="156"/>
        <v/>
      </c>
      <c r="W362" s="23"/>
      <c r="X362" s="74"/>
      <c r="Y362" s="33"/>
      <c r="Z362" s="15"/>
    </row>
    <row r="363" spans="1:26" x14ac:dyDescent="0.25">
      <c r="A363" s="21" t="str">
        <f>IF(C363="","",COUNTA($C$3:C363))</f>
        <v/>
      </c>
      <c r="B363" s="35" t="str">
        <f t="shared" si="157"/>
        <v/>
      </c>
      <c r="C363" s="31"/>
      <c r="D363" s="17"/>
      <c r="E363" s="32"/>
      <c r="F363" s="17"/>
      <c r="G363" s="18"/>
      <c r="H363" s="18"/>
      <c r="I363" s="17"/>
      <c r="J363" s="18"/>
      <c r="K363" s="18"/>
      <c r="L363" s="19"/>
      <c r="M363" s="20"/>
      <c r="N363" s="20"/>
      <c r="O363" s="20"/>
      <c r="P363" s="80"/>
      <c r="Q363" s="82"/>
      <c r="R363" s="87"/>
      <c r="S363" s="19"/>
      <c r="T363" s="19"/>
      <c r="U363" s="21"/>
      <c r="V363" s="22" t="str">
        <f t="shared" si="156"/>
        <v/>
      </c>
      <c r="W363" s="23"/>
      <c r="X363" s="74"/>
      <c r="Y363" s="33"/>
      <c r="Z363" s="15"/>
    </row>
    <row r="364" spans="1:26" x14ac:dyDescent="0.25">
      <c r="A364" s="21" t="str">
        <f>IF(C364="","",COUNTA($C$3:C364))</f>
        <v/>
      </c>
      <c r="B364" s="35" t="str">
        <f t="shared" si="157"/>
        <v/>
      </c>
      <c r="C364" s="31"/>
      <c r="D364" s="17"/>
      <c r="E364" s="32"/>
      <c r="F364" s="17"/>
      <c r="G364" s="18"/>
      <c r="H364" s="18"/>
      <c r="I364" s="17"/>
      <c r="J364" s="18"/>
      <c r="K364" s="18"/>
      <c r="L364" s="19"/>
      <c r="M364" s="20"/>
      <c r="N364" s="20"/>
      <c r="O364" s="20"/>
      <c r="P364" s="80"/>
      <c r="Q364" s="82"/>
      <c r="R364" s="87"/>
      <c r="S364" s="19"/>
      <c r="T364" s="19"/>
      <c r="U364" s="21"/>
      <c r="V364" s="22" t="str">
        <f t="shared" si="156"/>
        <v/>
      </c>
      <c r="W364" s="23"/>
      <c r="X364" s="74"/>
      <c r="Y364" s="33"/>
      <c r="Z364" s="15"/>
    </row>
    <row r="365" spans="1:26" x14ac:dyDescent="0.25">
      <c r="A365" s="21" t="str">
        <f>IF(C365="","",COUNTA($C$3:C365))</f>
        <v/>
      </c>
      <c r="B365" s="35" t="str">
        <f t="shared" si="157"/>
        <v/>
      </c>
      <c r="C365" s="31"/>
      <c r="D365" s="17"/>
      <c r="E365" s="32"/>
      <c r="F365" s="17"/>
      <c r="G365" s="18"/>
      <c r="H365" s="18"/>
      <c r="I365" s="17"/>
      <c r="J365" s="18"/>
      <c r="K365" s="18"/>
      <c r="L365" s="19"/>
      <c r="M365" s="20"/>
      <c r="N365" s="20"/>
      <c r="O365" s="20"/>
      <c r="P365" s="80"/>
      <c r="Q365" s="82"/>
      <c r="R365" s="87"/>
      <c r="S365" s="19"/>
      <c r="T365" s="19"/>
      <c r="U365" s="21"/>
      <c r="V365" s="22" t="str">
        <f t="shared" si="156"/>
        <v/>
      </c>
      <c r="W365" s="23"/>
      <c r="X365" s="74"/>
      <c r="Y365" s="33"/>
      <c r="Z365" s="15"/>
    </row>
    <row r="366" spans="1:26" x14ac:dyDescent="0.25">
      <c r="A366" s="21" t="str">
        <f>IF(C366="","",COUNTA($C$3:C366))</f>
        <v/>
      </c>
      <c r="B366" s="35" t="str">
        <f t="shared" si="157"/>
        <v/>
      </c>
      <c r="C366" s="31"/>
      <c r="D366" s="17"/>
      <c r="E366" s="32"/>
      <c r="F366" s="17"/>
      <c r="G366" s="18"/>
      <c r="H366" s="18"/>
      <c r="I366" s="17"/>
      <c r="J366" s="18"/>
      <c r="K366" s="18"/>
      <c r="L366" s="19"/>
      <c r="M366" s="20"/>
      <c r="N366" s="20"/>
      <c r="O366" s="20"/>
      <c r="P366" s="80"/>
      <c r="Q366" s="82"/>
      <c r="R366" s="87"/>
      <c r="S366" s="19"/>
      <c r="T366" s="19"/>
      <c r="U366" s="21"/>
      <c r="V366" s="22" t="str">
        <f t="shared" si="156"/>
        <v/>
      </c>
      <c r="W366" s="23"/>
      <c r="X366" s="19"/>
      <c r="Y366" s="33"/>
      <c r="Z366" s="15"/>
    </row>
    <row r="367" spans="1:26" x14ac:dyDescent="0.25">
      <c r="A367" s="21" t="str">
        <f>IF(C367="","",COUNTA($C$3:C367))</f>
        <v/>
      </c>
      <c r="B367" s="35" t="str">
        <f t="shared" si="157"/>
        <v/>
      </c>
      <c r="C367" s="31"/>
      <c r="D367" s="17"/>
      <c r="E367" s="32"/>
      <c r="F367" s="17"/>
      <c r="G367" s="18"/>
      <c r="H367" s="18"/>
      <c r="I367" s="17"/>
      <c r="J367" s="18"/>
      <c r="K367" s="18"/>
      <c r="L367" s="19"/>
      <c r="M367" s="20"/>
      <c r="N367" s="20"/>
      <c r="O367" s="20"/>
      <c r="P367" s="80"/>
      <c r="Q367" s="82"/>
      <c r="R367" s="87"/>
      <c r="S367" s="19"/>
      <c r="T367" s="19"/>
      <c r="U367" s="21"/>
      <c r="V367" s="22" t="str">
        <f t="shared" si="156"/>
        <v/>
      </c>
      <c r="W367" s="23"/>
      <c r="X367" s="74"/>
      <c r="Y367" s="33"/>
      <c r="Z367" s="15"/>
    </row>
    <row r="368" spans="1:26" x14ac:dyDescent="0.25">
      <c r="A368" s="21" t="str">
        <f>IF(C368="","",COUNTA($C$3:C368))</f>
        <v/>
      </c>
      <c r="B368" s="35" t="str">
        <f t="shared" si="157"/>
        <v/>
      </c>
      <c r="C368" s="31"/>
      <c r="D368" s="17"/>
      <c r="E368" s="32"/>
      <c r="F368" s="17"/>
      <c r="G368" s="18"/>
      <c r="H368" s="18"/>
      <c r="I368" s="17"/>
      <c r="J368" s="18"/>
      <c r="K368" s="18"/>
      <c r="L368" s="19"/>
      <c r="M368" s="20"/>
      <c r="N368" s="20"/>
      <c r="O368" s="20"/>
      <c r="P368" s="80"/>
      <c r="Q368" s="82"/>
      <c r="R368" s="87"/>
      <c r="S368" s="19"/>
      <c r="T368" s="19"/>
      <c r="U368" s="21"/>
      <c r="V368" s="22" t="str">
        <f t="shared" si="156"/>
        <v/>
      </c>
      <c r="W368" s="23"/>
      <c r="X368" s="19"/>
      <c r="Y368" s="33"/>
      <c r="Z368" s="15"/>
    </row>
    <row r="369" spans="1:26" x14ac:dyDescent="0.25">
      <c r="A369" s="21" t="str">
        <f>IF(C369="","",COUNTA($C$3:C369))</f>
        <v/>
      </c>
      <c r="B369" s="35" t="str">
        <f t="shared" si="157"/>
        <v/>
      </c>
      <c r="C369" s="31"/>
      <c r="D369" s="17"/>
      <c r="E369" s="32"/>
      <c r="F369" s="17"/>
      <c r="G369" s="18"/>
      <c r="H369" s="18"/>
      <c r="I369" s="17"/>
      <c r="J369" s="18"/>
      <c r="K369" s="18"/>
      <c r="L369" s="19"/>
      <c r="M369" s="20"/>
      <c r="N369" s="20"/>
      <c r="O369" s="20"/>
      <c r="P369" s="80"/>
      <c r="Q369" s="82"/>
      <c r="R369" s="87"/>
      <c r="S369" s="19"/>
      <c r="T369" s="19"/>
      <c r="U369" s="21"/>
      <c r="V369" s="22" t="str">
        <f t="shared" si="156"/>
        <v/>
      </c>
      <c r="W369" s="23"/>
      <c r="X369" s="19"/>
      <c r="Y369" s="33"/>
      <c r="Z369" s="15"/>
    </row>
    <row r="370" spans="1:26" x14ac:dyDescent="0.25">
      <c r="A370" s="21" t="str">
        <f>IF(C370="","",COUNTA($C$3:C370))</f>
        <v/>
      </c>
      <c r="B370" s="35" t="str">
        <f t="shared" si="157"/>
        <v/>
      </c>
      <c r="C370" s="31"/>
      <c r="D370" s="17"/>
      <c r="E370" s="32"/>
      <c r="F370" s="17"/>
      <c r="G370" s="18"/>
      <c r="H370" s="18"/>
      <c r="I370" s="17"/>
      <c r="J370" s="18"/>
      <c r="K370" s="18"/>
      <c r="L370" s="19"/>
      <c r="M370" s="20"/>
      <c r="N370" s="20"/>
      <c r="O370" s="20"/>
      <c r="P370" s="80"/>
      <c r="Q370" s="82"/>
      <c r="R370" s="87"/>
      <c r="S370" s="19"/>
      <c r="T370" s="19"/>
      <c r="U370" s="21"/>
      <c r="V370" s="22" t="str">
        <f t="shared" si="156"/>
        <v/>
      </c>
      <c r="W370" s="23"/>
      <c r="X370" s="19"/>
      <c r="Y370" s="33"/>
      <c r="Z370" s="15"/>
    </row>
    <row r="371" spans="1:26" x14ac:dyDescent="0.25">
      <c r="A371" s="21" t="str">
        <f>IF(C371="","",COUNTA($C$3:C371))</f>
        <v/>
      </c>
      <c r="B371" s="35" t="str">
        <f t="shared" si="157"/>
        <v/>
      </c>
      <c r="C371" s="31"/>
      <c r="D371" s="17"/>
      <c r="E371" s="32"/>
      <c r="F371" s="17"/>
      <c r="G371" s="18"/>
      <c r="H371" s="18"/>
      <c r="I371" s="17"/>
      <c r="J371" s="18"/>
      <c r="K371" s="18"/>
      <c r="L371" s="19"/>
      <c r="M371" s="20"/>
      <c r="N371" s="20"/>
      <c r="O371" s="19"/>
      <c r="P371" s="80"/>
      <c r="Q371" s="82"/>
      <c r="R371" s="87"/>
      <c r="S371" s="19"/>
      <c r="T371" s="19"/>
      <c r="U371" s="21"/>
      <c r="V371" s="22" t="str">
        <f t="shared" si="156"/>
        <v/>
      </c>
      <c r="W371" s="23"/>
      <c r="X371" s="19"/>
      <c r="Y371" s="33"/>
      <c r="Z371" s="15"/>
    </row>
    <row r="372" spans="1:26" x14ac:dyDescent="0.25">
      <c r="A372" s="21" t="str">
        <f>IF(C372="","",COUNTA($C$3:C372))</f>
        <v/>
      </c>
      <c r="B372" s="35" t="str">
        <f t="shared" si="157"/>
        <v/>
      </c>
      <c r="C372" s="31"/>
      <c r="D372" s="17"/>
      <c r="E372" s="32"/>
      <c r="F372" s="17"/>
      <c r="G372" s="18"/>
      <c r="H372" s="18"/>
      <c r="I372" s="17"/>
      <c r="J372" s="18"/>
      <c r="K372" s="18"/>
      <c r="L372" s="19"/>
      <c r="M372" s="20"/>
      <c r="N372" s="20"/>
      <c r="O372" s="20"/>
      <c r="P372" s="80"/>
      <c r="Q372" s="82"/>
      <c r="R372" s="87"/>
      <c r="S372" s="19"/>
      <c r="T372" s="19"/>
      <c r="U372" s="21"/>
      <c r="V372" s="22" t="str">
        <f t="shared" si="156"/>
        <v/>
      </c>
      <c r="W372" s="23"/>
      <c r="X372" s="19"/>
      <c r="Y372" s="33"/>
      <c r="Z372" s="15"/>
    </row>
    <row r="373" spans="1:26" x14ac:dyDescent="0.25">
      <c r="A373" s="21" t="str">
        <f>IF(C373="","",COUNTA($C$3:C373))</f>
        <v/>
      </c>
      <c r="B373" s="35" t="str">
        <f t="shared" si="157"/>
        <v/>
      </c>
      <c r="C373" s="31"/>
      <c r="D373" s="17"/>
      <c r="E373" s="32"/>
      <c r="F373" s="17"/>
      <c r="G373" s="18"/>
      <c r="H373" s="18"/>
      <c r="I373" s="17"/>
      <c r="J373" s="18"/>
      <c r="K373" s="18"/>
      <c r="L373" s="19"/>
      <c r="M373" s="20"/>
      <c r="N373" s="20"/>
      <c r="O373" s="19"/>
      <c r="P373" s="80"/>
      <c r="Q373" s="82"/>
      <c r="R373" s="87"/>
      <c r="S373" s="19"/>
      <c r="T373" s="19"/>
      <c r="U373" s="21"/>
      <c r="V373" s="22" t="str">
        <f t="shared" si="156"/>
        <v/>
      </c>
      <c r="W373" s="23"/>
      <c r="X373" s="19"/>
      <c r="Y373" s="33"/>
      <c r="Z373" s="15"/>
    </row>
    <row r="374" spans="1:26" x14ac:dyDescent="0.25">
      <c r="A374" s="21" t="str">
        <f>IF(C374="","",COUNTA($C$3:C374))</f>
        <v/>
      </c>
      <c r="B374" s="35" t="str">
        <f t="shared" si="157"/>
        <v/>
      </c>
      <c r="C374" s="31"/>
      <c r="D374" s="17"/>
      <c r="E374" s="32"/>
      <c r="F374" s="17"/>
      <c r="G374" s="18"/>
      <c r="H374" s="18"/>
      <c r="I374" s="17"/>
      <c r="J374" s="18"/>
      <c r="K374" s="18"/>
      <c r="L374" s="19"/>
      <c r="M374" s="20"/>
      <c r="N374" s="20"/>
      <c r="O374" s="19"/>
      <c r="P374" s="80"/>
      <c r="Q374" s="82"/>
      <c r="R374" s="87"/>
      <c r="S374" s="19"/>
      <c r="T374" s="19"/>
      <c r="U374" s="21"/>
      <c r="V374" s="22" t="str">
        <f t="shared" si="156"/>
        <v/>
      </c>
      <c r="W374" s="23"/>
      <c r="X374" s="19"/>
      <c r="Y374" s="33"/>
      <c r="Z374" s="15"/>
    </row>
    <row r="375" spans="1:26" x14ac:dyDescent="0.25">
      <c r="A375" s="21" t="str">
        <f>IF(C375="","",COUNTA($C$3:C375))</f>
        <v/>
      </c>
      <c r="B375" s="35" t="str">
        <f t="shared" si="157"/>
        <v/>
      </c>
      <c r="C375" s="31"/>
      <c r="D375" s="17"/>
      <c r="E375" s="32"/>
      <c r="F375" s="17"/>
      <c r="G375" s="18"/>
      <c r="H375" s="18"/>
      <c r="I375" s="17"/>
      <c r="J375" s="18"/>
      <c r="K375" s="18"/>
      <c r="L375" s="19"/>
      <c r="M375" s="20"/>
      <c r="N375" s="20"/>
      <c r="O375" s="19"/>
      <c r="P375" s="80"/>
      <c r="Q375" s="82"/>
      <c r="R375" s="87"/>
      <c r="S375" s="19"/>
      <c r="T375" s="19"/>
      <c r="U375" s="21"/>
      <c r="V375" s="22" t="str">
        <f t="shared" si="156"/>
        <v/>
      </c>
      <c r="W375" s="23"/>
      <c r="X375" s="19"/>
      <c r="Y375" s="33"/>
      <c r="Z375" s="15"/>
    </row>
    <row r="376" spans="1:26" x14ac:dyDescent="0.25">
      <c r="A376" s="21" t="str">
        <f>IF(C376="","",COUNTA($C$3:C376))</f>
        <v/>
      </c>
      <c r="B376" s="35" t="str">
        <f t="shared" si="157"/>
        <v/>
      </c>
      <c r="C376" s="31"/>
      <c r="D376" s="17"/>
      <c r="E376" s="32"/>
      <c r="F376" s="17"/>
      <c r="G376" s="18"/>
      <c r="H376" s="18"/>
      <c r="I376" s="17"/>
      <c r="J376" s="18"/>
      <c r="K376" s="18"/>
      <c r="L376" s="19"/>
      <c r="M376" s="20"/>
      <c r="N376" s="20"/>
      <c r="O376" s="20"/>
      <c r="P376" s="80"/>
      <c r="Q376" s="82"/>
      <c r="R376" s="87"/>
      <c r="S376" s="19"/>
      <c r="T376" s="19"/>
      <c r="U376" s="21"/>
      <c r="V376" s="22" t="str">
        <f t="shared" si="156"/>
        <v/>
      </c>
      <c r="W376" s="23"/>
      <c r="X376" s="19"/>
      <c r="Y376" s="33"/>
      <c r="Z376" s="15"/>
    </row>
    <row r="377" spans="1:26" x14ac:dyDescent="0.25">
      <c r="A377" s="21" t="str">
        <f>IF(C377="","",COUNTA($C$3:C377))</f>
        <v/>
      </c>
      <c r="B377" s="35" t="str">
        <f t="shared" si="157"/>
        <v/>
      </c>
      <c r="C377" s="31"/>
      <c r="D377" s="17"/>
      <c r="E377" s="32"/>
      <c r="F377" s="17"/>
      <c r="G377" s="18"/>
      <c r="H377" s="18"/>
      <c r="I377" s="17"/>
      <c r="J377" s="18"/>
      <c r="K377" s="18"/>
      <c r="L377" s="19"/>
      <c r="M377" s="20"/>
      <c r="N377" s="20"/>
      <c r="O377" s="20"/>
      <c r="P377" s="80"/>
      <c r="Q377" s="82"/>
      <c r="R377" s="87"/>
      <c r="S377" s="19"/>
      <c r="T377" s="19"/>
      <c r="U377" s="21"/>
      <c r="V377" s="22" t="str">
        <f t="shared" si="156"/>
        <v/>
      </c>
      <c r="W377" s="23"/>
      <c r="X377" s="19"/>
      <c r="Y377" s="33"/>
      <c r="Z377" s="15"/>
    </row>
    <row r="378" spans="1:26" x14ac:dyDescent="0.25">
      <c r="A378" s="21" t="str">
        <f>IF(C378="","",COUNTA($C$3:C378))</f>
        <v/>
      </c>
      <c r="B378" s="35" t="str">
        <f t="shared" si="157"/>
        <v/>
      </c>
      <c r="C378" s="31"/>
      <c r="D378" s="17"/>
      <c r="E378" s="32"/>
      <c r="F378" s="17"/>
      <c r="G378" s="18"/>
      <c r="H378" s="18"/>
      <c r="I378" s="17"/>
      <c r="J378" s="18"/>
      <c r="K378" s="18"/>
      <c r="L378" s="19"/>
      <c r="M378" s="20"/>
      <c r="N378" s="20"/>
      <c r="O378" s="20"/>
      <c r="P378" s="80"/>
      <c r="Q378" s="82"/>
      <c r="R378" s="87"/>
      <c r="S378" s="19"/>
      <c r="T378" s="19"/>
      <c r="U378" s="21"/>
      <c r="V378" s="22" t="str">
        <f t="shared" si="156"/>
        <v/>
      </c>
      <c r="W378" s="23"/>
      <c r="X378" s="19"/>
      <c r="Y378" s="33"/>
      <c r="Z378" s="15"/>
    </row>
    <row r="379" spans="1:26" x14ac:dyDescent="0.25">
      <c r="A379" s="21" t="str">
        <f>IF(C379="","",COUNTA($C$3:C379))</f>
        <v/>
      </c>
      <c r="B379" s="35" t="str">
        <f t="shared" si="157"/>
        <v/>
      </c>
      <c r="C379" s="31"/>
      <c r="D379" s="17"/>
      <c r="E379" s="32"/>
      <c r="F379" s="17"/>
      <c r="G379" s="18"/>
      <c r="H379" s="18"/>
      <c r="I379" s="17"/>
      <c r="J379" s="18"/>
      <c r="K379" s="18"/>
      <c r="L379" s="19"/>
      <c r="M379" s="20"/>
      <c r="N379" s="20"/>
      <c r="O379" s="20"/>
      <c r="P379" s="80"/>
      <c r="Q379" s="82"/>
      <c r="R379" s="87"/>
      <c r="S379" s="19"/>
      <c r="T379" s="19"/>
      <c r="U379" s="21"/>
      <c r="V379" s="22" t="str">
        <f t="shared" si="156"/>
        <v/>
      </c>
      <c r="W379" s="23"/>
      <c r="X379" s="19"/>
      <c r="Y379" s="33"/>
      <c r="Z379" s="15"/>
    </row>
    <row r="380" spans="1:26" x14ac:dyDescent="0.25">
      <c r="A380" s="21" t="str">
        <f>IF(C380="","",COUNTA($C$3:C380))</f>
        <v/>
      </c>
      <c r="B380" s="35" t="str">
        <f t="shared" si="157"/>
        <v/>
      </c>
      <c r="C380" s="31"/>
      <c r="D380" s="17"/>
      <c r="E380" s="32"/>
      <c r="F380" s="17"/>
      <c r="G380" s="18"/>
      <c r="H380" s="18"/>
      <c r="I380" s="17"/>
      <c r="J380" s="18"/>
      <c r="K380" s="18"/>
      <c r="L380" s="19"/>
      <c r="M380" s="20"/>
      <c r="N380" s="20"/>
      <c r="O380" s="19"/>
      <c r="P380" s="80"/>
      <c r="Q380" s="82"/>
      <c r="R380" s="87"/>
      <c r="S380" s="19"/>
      <c r="T380" s="19"/>
      <c r="U380" s="21"/>
      <c r="V380" s="22" t="str">
        <f t="shared" si="156"/>
        <v/>
      </c>
      <c r="W380" s="23"/>
      <c r="X380" s="74"/>
      <c r="Y380" s="33"/>
      <c r="Z380" s="15"/>
    </row>
    <row r="381" spans="1:26" x14ac:dyDescent="0.25">
      <c r="A381" s="21" t="str">
        <f>IF(C381="","",COUNTA($C$3:C381))</f>
        <v/>
      </c>
      <c r="B381" s="35" t="str">
        <f t="shared" si="157"/>
        <v/>
      </c>
      <c r="C381" s="31"/>
      <c r="D381" s="17"/>
      <c r="E381" s="32"/>
      <c r="F381" s="17"/>
      <c r="G381" s="18"/>
      <c r="H381" s="18"/>
      <c r="I381" s="17"/>
      <c r="J381" s="18"/>
      <c r="K381" s="18"/>
      <c r="L381" s="19"/>
      <c r="M381" s="20"/>
      <c r="N381" s="20"/>
      <c r="O381" s="20"/>
      <c r="P381" s="80"/>
      <c r="Q381" s="82"/>
      <c r="R381" s="87"/>
      <c r="S381" s="19"/>
      <c r="T381" s="19"/>
      <c r="U381" s="21"/>
      <c r="V381" s="22" t="str">
        <f t="shared" si="156"/>
        <v/>
      </c>
      <c r="W381" s="23"/>
      <c r="X381" s="19"/>
      <c r="Y381" s="33"/>
      <c r="Z381" s="15"/>
    </row>
    <row r="382" spans="1:26" x14ac:dyDescent="0.25">
      <c r="A382" s="21" t="str">
        <f>IF(C382="","",COUNTA($C$3:C382))</f>
        <v/>
      </c>
      <c r="B382" s="35" t="str">
        <f t="shared" si="157"/>
        <v/>
      </c>
      <c r="C382" s="31"/>
      <c r="D382" s="17"/>
      <c r="E382" s="32"/>
      <c r="F382" s="17"/>
      <c r="G382" s="18"/>
      <c r="H382" s="18"/>
      <c r="I382" s="17"/>
      <c r="J382" s="18"/>
      <c r="K382" s="18"/>
      <c r="L382" s="19"/>
      <c r="M382" s="20"/>
      <c r="N382" s="20"/>
      <c r="O382" s="20"/>
      <c r="P382" s="80"/>
      <c r="Q382" s="82"/>
      <c r="R382" s="87"/>
      <c r="S382" s="19"/>
      <c r="T382" s="19"/>
      <c r="U382" s="21"/>
      <c r="V382" s="22" t="str">
        <f t="shared" si="156"/>
        <v/>
      </c>
      <c r="W382" s="23"/>
      <c r="X382" s="74"/>
      <c r="Y382" s="33"/>
      <c r="Z382" s="15"/>
    </row>
    <row r="383" spans="1:26" x14ac:dyDescent="0.25">
      <c r="A383" s="21" t="str">
        <f>IF(C383="","",COUNTA($C$3:C383))</f>
        <v/>
      </c>
      <c r="B383" s="35" t="str">
        <f t="shared" si="157"/>
        <v/>
      </c>
      <c r="C383" s="31"/>
      <c r="D383" s="17"/>
      <c r="E383" s="32"/>
      <c r="F383" s="17"/>
      <c r="G383" s="18"/>
      <c r="H383" s="18"/>
      <c r="I383" s="17"/>
      <c r="J383" s="18"/>
      <c r="K383" s="18"/>
      <c r="L383" s="19"/>
      <c r="M383" s="20"/>
      <c r="N383" s="20"/>
      <c r="O383" s="19"/>
      <c r="P383" s="80"/>
      <c r="Q383" s="82"/>
      <c r="R383" s="87"/>
      <c r="S383" s="19"/>
      <c r="T383" s="19"/>
      <c r="U383" s="21"/>
      <c r="V383" s="22" t="str">
        <f t="shared" si="156"/>
        <v/>
      </c>
      <c r="W383" s="23"/>
      <c r="X383" s="74"/>
      <c r="Y383" s="33"/>
      <c r="Z383" s="15"/>
    </row>
    <row r="384" spans="1:26" x14ac:dyDescent="0.25">
      <c r="A384" s="21" t="str">
        <f>IF(C384="","",COUNTA($C$3:C384))</f>
        <v/>
      </c>
      <c r="B384" s="35" t="str">
        <f t="shared" si="157"/>
        <v/>
      </c>
      <c r="C384" s="31"/>
      <c r="D384" s="17"/>
      <c r="E384" s="32"/>
      <c r="F384" s="17"/>
      <c r="G384" s="18"/>
      <c r="H384" s="18"/>
      <c r="I384" s="17"/>
      <c r="J384" s="18"/>
      <c r="K384" s="18"/>
      <c r="L384" s="19"/>
      <c r="M384" s="20"/>
      <c r="N384" s="20"/>
      <c r="O384" s="20"/>
      <c r="P384" s="80"/>
      <c r="Q384" s="82"/>
      <c r="R384" s="87"/>
      <c r="S384" s="19"/>
      <c r="T384" s="19"/>
      <c r="U384" s="21"/>
      <c r="V384" s="22" t="str">
        <f t="shared" si="156"/>
        <v/>
      </c>
      <c r="W384" s="23"/>
      <c r="X384" s="74"/>
      <c r="Y384" s="33"/>
      <c r="Z384" s="15"/>
    </row>
    <row r="385" spans="1:26" x14ac:dyDescent="0.25">
      <c r="A385" s="21" t="str">
        <f>IF(C385="","",COUNTA($C$3:C385))</f>
        <v/>
      </c>
      <c r="B385" s="35" t="str">
        <f t="shared" si="157"/>
        <v/>
      </c>
      <c r="C385" s="31"/>
      <c r="D385" s="17"/>
      <c r="E385" s="32"/>
      <c r="F385" s="17"/>
      <c r="G385" s="18"/>
      <c r="H385" s="18"/>
      <c r="I385" s="17"/>
      <c r="J385" s="18"/>
      <c r="K385" s="18"/>
      <c r="L385" s="19"/>
      <c r="M385" s="20"/>
      <c r="N385" s="20"/>
      <c r="O385" s="20"/>
      <c r="P385" s="80"/>
      <c r="Q385" s="82"/>
      <c r="R385" s="87"/>
      <c r="S385" s="19"/>
      <c r="T385" s="19"/>
      <c r="U385" s="21"/>
      <c r="V385" s="22" t="str">
        <f t="shared" si="156"/>
        <v/>
      </c>
      <c r="W385" s="23"/>
      <c r="X385" s="19"/>
      <c r="Y385" s="33"/>
      <c r="Z385" s="15"/>
    </row>
    <row r="386" spans="1:26" x14ac:dyDescent="0.25">
      <c r="A386" s="21" t="str">
        <f>IF(C386="","",COUNTA($C$3:C386))</f>
        <v/>
      </c>
      <c r="B386" s="35" t="str">
        <f t="shared" si="157"/>
        <v/>
      </c>
      <c r="C386" s="31"/>
      <c r="D386" s="17"/>
      <c r="E386" s="32"/>
      <c r="F386" s="17"/>
      <c r="G386" s="18"/>
      <c r="H386" s="18"/>
      <c r="I386" s="17"/>
      <c r="J386" s="18"/>
      <c r="K386" s="18"/>
      <c r="L386" s="19"/>
      <c r="M386" s="20"/>
      <c r="N386" s="20"/>
      <c r="O386" s="20"/>
      <c r="P386" s="80"/>
      <c r="Q386" s="82"/>
      <c r="R386" s="87"/>
      <c r="S386" s="19"/>
      <c r="T386" s="19"/>
      <c r="U386" s="21"/>
      <c r="V386" s="22" t="str">
        <f t="shared" si="156"/>
        <v/>
      </c>
      <c r="W386" s="23"/>
      <c r="X386" s="19"/>
      <c r="Y386" s="33"/>
      <c r="Z386" s="15"/>
    </row>
    <row r="387" spans="1:26" x14ac:dyDescent="0.25">
      <c r="A387" s="21" t="str">
        <f>IF(C387="","",COUNTA($C$3:C387))</f>
        <v/>
      </c>
      <c r="B387" s="35" t="str">
        <f t="shared" si="157"/>
        <v/>
      </c>
      <c r="C387" s="31"/>
      <c r="D387" s="17"/>
      <c r="E387" s="32"/>
      <c r="F387" s="17"/>
      <c r="G387" s="18"/>
      <c r="H387" s="18"/>
      <c r="I387" s="17"/>
      <c r="J387" s="18"/>
      <c r="K387" s="18"/>
      <c r="L387" s="19"/>
      <c r="M387" s="20"/>
      <c r="N387" s="20"/>
      <c r="O387" s="20"/>
      <c r="P387" s="80"/>
      <c r="Q387" s="82"/>
      <c r="R387" s="87"/>
      <c r="S387" s="19"/>
      <c r="T387" s="19"/>
      <c r="U387" s="21"/>
      <c r="V387" s="22" t="str">
        <f t="shared" ref="V387:V450" si="159">IF(U387="","",(U387/T387))</f>
        <v/>
      </c>
      <c r="W387" s="23"/>
      <c r="X387" s="19"/>
      <c r="Y387" s="33"/>
      <c r="Z387" s="15"/>
    </row>
    <row r="388" spans="1:26" x14ac:dyDescent="0.25">
      <c r="A388" s="21" t="str">
        <f>IF(C388="","",COUNTA($C$3:C388))</f>
        <v/>
      </c>
      <c r="B388" s="35" t="str">
        <f t="shared" si="157"/>
        <v/>
      </c>
      <c r="C388" s="31"/>
      <c r="D388" s="17"/>
      <c r="E388" s="32"/>
      <c r="F388" s="17"/>
      <c r="G388" s="18"/>
      <c r="H388" s="18"/>
      <c r="I388" s="17"/>
      <c r="J388" s="18"/>
      <c r="K388" s="18"/>
      <c r="L388" s="19"/>
      <c r="M388" s="20"/>
      <c r="N388" s="20"/>
      <c r="O388" s="20"/>
      <c r="P388" s="80"/>
      <c r="Q388" s="82"/>
      <c r="R388" s="87"/>
      <c r="S388" s="19"/>
      <c r="T388" s="19"/>
      <c r="U388" s="21"/>
      <c r="V388" s="22" t="str">
        <f t="shared" si="159"/>
        <v/>
      </c>
      <c r="W388" s="23"/>
      <c r="X388" s="74"/>
      <c r="Y388" s="33"/>
      <c r="Z388" s="15"/>
    </row>
    <row r="389" spans="1:26" x14ac:dyDescent="0.25">
      <c r="A389" s="21" t="str">
        <f>IF(C389="","",COUNTA($C$3:C389))</f>
        <v/>
      </c>
      <c r="B389" s="35" t="str">
        <f t="shared" si="157"/>
        <v/>
      </c>
      <c r="C389" s="31"/>
      <c r="D389" s="17"/>
      <c r="E389" s="32"/>
      <c r="F389" s="17"/>
      <c r="G389" s="18"/>
      <c r="H389" s="18"/>
      <c r="I389" s="17"/>
      <c r="J389" s="18"/>
      <c r="K389" s="18"/>
      <c r="L389" s="19"/>
      <c r="M389" s="20"/>
      <c r="N389" s="20"/>
      <c r="O389" s="20"/>
      <c r="P389" s="80"/>
      <c r="Q389" s="82"/>
      <c r="R389" s="87"/>
      <c r="S389" s="19"/>
      <c r="T389" s="19"/>
      <c r="U389" s="21"/>
      <c r="V389" s="22" t="str">
        <f t="shared" si="159"/>
        <v/>
      </c>
      <c r="W389" s="23"/>
      <c r="X389" s="74"/>
      <c r="Y389" s="33"/>
      <c r="Z389" s="15"/>
    </row>
    <row r="390" spans="1:26" x14ac:dyDescent="0.25">
      <c r="A390" s="21" t="str">
        <f>IF(C390="","",COUNTA($C$3:C390))</f>
        <v/>
      </c>
      <c r="B390" s="35" t="str">
        <f t="shared" ref="B390:B430" si="160">IF(C390="","",TEXT(C390,"mmmm"))</f>
        <v/>
      </c>
      <c r="C390" s="31"/>
      <c r="D390" s="17"/>
      <c r="E390" s="32"/>
      <c r="F390" s="17"/>
      <c r="G390" s="18"/>
      <c r="H390" s="18"/>
      <c r="I390" s="17"/>
      <c r="J390" s="18"/>
      <c r="K390" s="18"/>
      <c r="L390" s="19"/>
      <c r="M390" s="20"/>
      <c r="N390" s="20"/>
      <c r="O390" s="20"/>
      <c r="P390" s="80"/>
      <c r="Q390" s="82"/>
      <c r="R390" s="87"/>
      <c r="S390" s="19"/>
      <c r="T390" s="19"/>
      <c r="U390" s="21"/>
      <c r="V390" s="22" t="str">
        <f t="shared" si="159"/>
        <v/>
      </c>
      <c r="W390" s="23"/>
      <c r="X390" s="74"/>
      <c r="Y390" s="33"/>
      <c r="Z390" s="15"/>
    </row>
    <row r="391" spans="1:26" x14ac:dyDescent="0.25">
      <c r="A391" s="21" t="str">
        <f>IF(C391="","",COUNTA($C$3:C391))</f>
        <v/>
      </c>
      <c r="B391" s="35" t="str">
        <f t="shared" si="160"/>
        <v/>
      </c>
      <c r="C391" s="31"/>
      <c r="D391" s="17"/>
      <c r="E391" s="32"/>
      <c r="F391" s="17"/>
      <c r="G391" s="18"/>
      <c r="H391" s="18"/>
      <c r="I391" s="17"/>
      <c r="J391" s="18"/>
      <c r="K391" s="18"/>
      <c r="L391" s="19"/>
      <c r="M391" s="20"/>
      <c r="N391" s="20"/>
      <c r="O391" s="20"/>
      <c r="P391" s="80"/>
      <c r="Q391" s="82"/>
      <c r="R391" s="87"/>
      <c r="S391" s="19"/>
      <c r="T391" s="19"/>
      <c r="U391" s="21"/>
      <c r="V391" s="22" t="str">
        <f t="shared" si="159"/>
        <v/>
      </c>
      <c r="W391" s="23"/>
      <c r="X391" s="74"/>
      <c r="Y391" s="33"/>
      <c r="Z391" s="15"/>
    </row>
    <row r="392" spans="1:26" x14ac:dyDescent="0.25">
      <c r="A392" s="21" t="str">
        <f>IF(C392="","",COUNTA($C$3:C392))</f>
        <v/>
      </c>
      <c r="B392" s="35" t="str">
        <f t="shared" si="160"/>
        <v/>
      </c>
      <c r="C392" s="31"/>
      <c r="D392" s="17"/>
      <c r="E392" s="32"/>
      <c r="F392" s="17"/>
      <c r="G392" s="18"/>
      <c r="H392" s="18"/>
      <c r="I392" s="17"/>
      <c r="J392" s="18"/>
      <c r="K392" s="18"/>
      <c r="L392" s="19"/>
      <c r="M392" s="20"/>
      <c r="N392" s="20"/>
      <c r="O392" s="20"/>
      <c r="P392" s="80"/>
      <c r="Q392" s="82"/>
      <c r="R392" s="87"/>
      <c r="S392" s="19"/>
      <c r="T392" s="19"/>
      <c r="U392" s="21"/>
      <c r="V392" s="22" t="str">
        <f t="shared" si="159"/>
        <v/>
      </c>
      <c r="W392" s="23"/>
      <c r="X392" s="74"/>
      <c r="Y392" s="33"/>
      <c r="Z392" s="15"/>
    </row>
    <row r="393" spans="1:26" x14ac:dyDescent="0.25">
      <c r="A393" s="21" t="str">
        <f>IF(C393="","",COUNTA($C$3:C393))</f>
        <v/>
      </c>
      <c r="B393" s="35" t="str">
        <f t="shared" si="160"/>
        <v/>
      </c>
      <c r="C393" s="31"/>
      <c r="D393" s="17"/>
      <c r="E393" s="32"/>
      <c r="F393" s="17"/>
      <c r="G393" s="18"/>
      <c r="H393" s="18"/>
      <c r="I393" s="17"/>
      <c r="J393" s="18"/>
      <c r="K393" s="18"/>
      <c r="L393" s="19"/>
      <c r="M393" s="20"/>
      <c r="N393" s="20"/>
      <c r="O393" s="20"/>
      <c r="P393" s="80"/>
      <c r="Q393" s="82"/>
      <c r="R393" s="87"/>
      <c r="S393" s="19"/>
      <c r="T393" s="19"/>
      <c r="U393" s="21"/>
      <c r="V393" s="22" t="str">
        <f t="shared" si="159"/>
        <v/>
      </c>
      <c r="W393" s="23"/>
      <c r="X393" s="74"/>
      <c r="Y393" s="33"/>
      <c r="Z393" s="15"/>
    </row>
    <row r="394" spans="1:26" x14ac:dyDescent="0.25">
      <c r="A394" s="21" t="str">
        <f>IF(C394="","",COUNTA($C$3:C394))</f>
        <v/>
      </c>
      <c r="B394" s="35" t="str">
        <f t="shared" si="160"/>
        <v/>
      </c>
      <c r="C394" s="31"/>
      <c r="D394" s="17"/>
      <c r="E394" s="32"/>
      <c r="F394" s="17"/>
      <c r="G394" s="18"/>
      <c r="H394" s="18"/>
      <c r="I394" s="17"/>
      <c r="J394" s="18"/>
      <c r="K394" s="18"/>
      <c r="L394" s="19"/>
      <c r="M394" s="20"/>
      <c r="N394" s="20"/>
      <c r="O394" s="20"/>
      <c r="P394" s="80"/>
      <c r="Q394" s="82"/>
      <c r="R394" s="87"/>
      <c r="S394" s="19"/>
      <c r="T394" s="19"/>
      <c r="U394" s="21"/>
      <c r="V394" s="22" t="str">
        <f t="shared" si="159"/>
        <v/>
      </c>
      <c r="W394" s="23"/>
      <c r="X394" s="74"/>
      <c r="Y394" s="33"/>
      <c r="Z394" s="15"/>
    </row>
    <row r="395" spans="1:26" x14ac:dyDescent="0.25">
      <c r="A395" s="21" t="str">
        <f>IF(C395="","",COUNTA($C$3:C395))</f>
        <v/>
      </c>
      <c r="B395" s="35" t="str">
        <f t="shared" si="160"/>
        <v/>
      </c>
      <c r="C395" s="31"/>
      <c r="D395" s="17"/>
      <c r="E395" s="32"/>
      <c r="F395" s="17"/>
      <c r="G395" s="18"/>
      <c r="H395" s="18"/>
      <c r="I395" s="17"/>
      <c r="J395" s="18"/>
      <c r="K395" s="18"/>
      <c r="L395" s="19"/>
      <c r="M395" s="20"/>
      <c r="N395" s="20"/>
      <c r="O395" s="20"/>
      <c r="P395" s="80"/>
      <c r="Q395" s="82"/>
      <c r="R395" s="87"/>
      <c r="S395" s="19"/>
      <c r="T395" s="19"/>
      <c r="U395" s="21"/>
      <c r="V395" s="22" t="str">
        <f t="shared" si="159"/>
        <v/>
      </c>
      <c r="W395" s="23"/>
      <c r="X395" s="74"/>
      <c r="Y395" s="33"/>
      <c r="Z395" s="15"/>
    </row>
    <row r="396" spans="1:26" x14ac:dyDescent="0.25">
      <c r="A396" s="21" t="str">
        <f>IF(C396="","",COUNTA($C$3:C396))</f>
        <v/>
      </c>
      <c r="B396" s="35" t="str">
        <f t="shared" si="160"/>
        <v/>
      </c>
      <c r="C396" s="31"/>
      <c r="D396" s="17"/>
      <c r="E396" s="32"/>
      <c r="F396" s="17"/>
      <c r="G396" s="18"/>
      <c r="H396" s="18"/>
      <c r="I396" s="17"/>
      <c r="J396" s="18"/>
      <c r="K396" s="18"/>
      <c r="L396" s="19"/>
      <c r="M396" s="20"/>
      <c r="N396" s="20"/>
      <c r="O396" s="20"/>
      <c r="P396" s="80"/>
      <c r="Q396" s="82"/>
      <c r="R396" s="87"/>
      <c r="S396" s="19"/>
      <c r="T396" s="19"/>
      <c r="U396" s="21"/>
      <c r="V396" s="22" t="str">
        <f t="shared" si="159"/>
        <v/>
      </c>
      <c r="W396" s="23"/>
      <c r="X396" s="74"/>
      <c r="Y396" s="33"/>
      <c r="Z396" s="15"/>
    </row>
    <row r="397" spans="1:26" x14ac:dyDescent="0.25">
      <c r="A397" s="21" t="str">
        <f>IF(C397="","",COUNTA($C$3:C397))</f>
        <v/>
      </c>
      <c r="B397" s="35" t="str">
        <f t="shared" si="160"/>
        <v/>
      </c>
      <c r="C397" s="31"/>
      <c r="D397" s="17"/>
      <c r="E397" s="32"/>
      <c r="F397" s="17"/>
      <c r="G397" s="18"/>
      <c r="H397" s="18"/>
      <c r="I397" s="17"/>
      <c r="J397" s="18"/>
      <c r="K397" s="18"/>
      <c r="L397" s="19"/>
      <c r="M397" s="20"/>
      <c r="N397" s="20"/>
      <c r="O397" s="20"/>
      <c r="P397" s="80"/>
      <c r="Q397" s="82"/>
      <c r="R397" s="87"/>
      <c r="S397" s="19"/>
      <c r="T397" s="19"/>
      <c r="U397" s="21"/>
      <c r="V397" s="22" t="str">
        <f t="shared" si="159"/>
        <v/>
      </c>
      <c r="W397" s="23"/>
      <c r="X397" s="19"/>
      <c r="Y397" s="33"/>
      <c r="Z397" s="15"/>
    </row>
    <row r="398" spans="1:26" x14ac:dyDescent="0.25">
      <c r="A398" s="21" t="str">
        <f>IF(C398="","",COUNTA($C$3:C398))</f>
        <v/>
      </c>
      <c r="B398" s="35" t="str">
        <f t="shared" si="160"/>
        <v/>
      </c>
      <c r="C398" s="31"/>
      <c r="D398" s="17"/>
      <c r="E398" s="32"/>
      <c r="F398" s="17"/>
      <c r="G398" s="18"/>
      <c r="H398" s="18"/>
      <c r="I398" s="17"/>
      <c r="J398" s="18"/>
      <c r="K398" s="18"/>
      <c r="L398" s="19"/>
      <c r="M398" s="20"/>
      <c r="N398" s="20"/>
      <c r="O398" s="19"/>
      <c r="P398" s="80"/>
      <c r="Q398" s="82"/>
      <c r="R398" s="87"/>
      <c r="S398" s="19"/>
      <c r="T398" s="19"/>
      <c r="U398" s="21"/>
      <c r="V398" s="22" t="str">
        <f t="shared" si="159"/>
        <v/>
      </c>
      <c r="W398" s="23"/>
      <c r="X398" s="19"/>
      <c r="Y398" s="33"/>
      <c r="Z398" s="15"/>
    </row>
    <row r="399" spans="1:26" x14ac:dyDescent="0.25">
      <c r="A399" s="21" t="str">
        <f>IF(C399="","",COUNTA($C$3:C399))</f>
        <v/>
      </c>
      <c r="B399" s="35" t="str">
        <f t="shared" si="160"/>
        <v/>
      </c>
      <c r="C399" s="31"/>
      <c r="D399" s="17"/>
      <c r="E399" s="32"/>
      <c r="F399" s="17"/>
      <c r="G399" s="18"/>
      <c r="H399" s="18"/>
      <c r="I399" s="17"/>
      <c r="J399" s="18"/>
      <c r="K399" s="18"/>
      <c r="L399" s="19"/>
      <c r="M399" s="20"/>
      <c r="N399" s="20"/>
      <c r="O399" s="20"/>
      <c r="P399" s="80"/>
      <c r="Q399" s="82"/>
      <c r="R399" s="87"/>
      <c r="S399" s="19"/>
      <c r="T399" s="19"/>
      <c r="U399" s="21"/>
      <c r="V399" s="22" t="str">
        <f t="shared" si="159"/>
        <v/>
      </c>
      <c r="W399" s="23"/>
      <c r="X399" s="74"/>
      <c r="Y399" s="33"/>
      <c r="Z399" s="15"/>
    </row>
    <row r="400" spans="1:26" x14ac:dyDescent="0.25">
      <c r="A400" s="21" t="str">
        <f>IF(C400="","",COUNTA($C$3:C400))</f>
        <v/>
      </c>
      <c r="B400" s="35" t="str">
        <f t="shared" si="160"/>
        <v/>
      </c>
      <c r="C400" s="31"/>
      <c r="D400" s="17"/>
      <c r="E400" s="32"/>
      <c r="F400" s="17"/>
      <c r="G400" s="18"/>
      <c r="H400" s="18"/>
      <c r="I400" s="17"/>
      <c r="J400" s="18"/>
      <c r="K400" s="18"/>
      <c r="L400" s="19"/>
      <c r="M400" s="20"/>
      <c r="N400" s="20"/>
      <c r="O400" s="20"/>
      <c r="P400" s="80"/>
      <c r="Q400" s="82"/>
      <c r="R400" s="87"/>
      <c r="S400" s="19"/>
      <c r="T400" s="19"/>
      <c r="U400" s="21"/>
      <c r="V400" s="22" t="str">
        <f t="shared" si="159"/>
        <v/>
      </c>
      <c r="W400" s="23"/>
      <c r="X400" s="74"/>
      <c r="Y400" s="33"/>
      <c r="Z400" s="15"/>
    </row>
    <row r="401" spans="1:26" x14ac:dyDescent="0.25">
      <c r="A401" s="21" t="str">
        <f>IF(C401="","",COUNTA($C$3:C401))</f>
        <v/>
      </c>
      <c r="B401" s="35" t="str">
        <f t="shared" si="160"/>
        <v/>
      </c>
      <c r="C401" s="31"/>
      <c r="D401" s="17"/>
      <c r="E401" s="32"/>
      <c r="F401" s="17"/>
      <c r="G401" s="18"/>
      <c r="H401" s="18"/>
      <c r="I401" s="17"/>
      <c r="J401" s="18"/>
      <c r="K401" s="18"/>
      <c r="L401" s="19"/>
      <c r="M401" s="20"/>
      <c r="N401" s="20"/>
      <c r="O401" s="20"/>
      <c r="P401" s="80"/>
      <c r="Q401" s="82"/>
      <c r="R401" s="87"/>
      <c r="S401" s="19"/>
      <c r="T401" s="19"/>
      <c r="U401" s="21"/>
      <c r="V401" s="22" t="str">
        <f t="shared" si="159"/>
        <v/>
      </c>
      <c r="W401" s="23"/>
      <c r="X401" s="19"/>
      <c r="Y401" s="33"/>
      <c r="Z401" s="15"/>
    </row>
    <row r="402" spans="1:26" x14ac:dyDescent="0.25">
      <c r="A402" s="21" t="str">
        <f>IF(C402="","",COUNTA($C$3:C402))</f>
        <v/>
      </c>
      <c r="B402" s="35" t="str">
        <f t="shared" si="160"/>
        <v/>
      </c>
      <c r="C402" s="31"/>
      <c r="D402" s="17"/>
      <c r="E402" s="32"/>
      <c r="F402" s="17"/>
      <c r="G402" s="18"/>
      <c r="H402" s="18"/>
      <c r="I402" s="17"/>
      <c r="J402" s="18"/>
      <c r="K402" s="18"/>
      <c r="L402" s="19"/>
      <c r="M402" s="20"/>
      <c r="N402" s="20"/>
      <c r="O402" s="20"/>
      <c r="P402" s="80"/>
      <c r="Q402" s="82"/>
      <c r="R402" s="87"/>
      <c r="S402" s="19"/>
      <c r="T402" s="19"/>
      <c r="U402" s="21"/>
      <c r="V402" s="22" t="str">
        <f t="shared" si="159"/>
        <v/>
      </c>
      <c r="W402" s="23"/>
      <c r="X402" s="74"/>
      <c r="Y402" s="33"/>
      <c r="Z402" s="15"/>
    </row>
    <row r="403" spans="1:26" x14ac:dyDescent="0.25">
      <c r="A403" s="21" t="str">
        <f>IF(C403="","",COUNTA($C$3:C403))</f>
        <v/>
      </c>
      <c r="B403" s="35" t="str">
        <f t="shared" si="160"/>
        <v/>
      </c>
      <c r="C403" s="31"/>
      <c r="D403" s="17"/>
      <c r="E403" s="32"/>
      <c r="F403" s="17"/>
      <c r="G403" s="18"/>
      <c r="H403" s="18"/>
      <c r="I403" s="17"/>
      <c r="J403" s="18"/>
      <c r="K403" s="18"/>
      <c r="L403" s="19"/>
      <c r="M403" s="20"/>
      <c r="N403" s="20"/>
      <c r="O403" s="20"/>
      <c r="P403" s="80"/>
      <c r="Q403" s="82"/>
      <c r="R403" s="87"/>
      <c r="S403" s="19"/>
      <c r="T403" s="19"/>
      <c r="U403" s="21"/>
      <c r="V403" s="22" t="str">
        <f t="shared" si="159"/>
        <v/>
      </c>
      <c r="W403" s="23"/>
      <c r="X403" s="74"/>
      <c r="Y403" s="33"/>
      <c r="Z403" s="15"/>
    </row>
    <row r="404" spans="1:26" x14ac:dyDescent="0.25">
      <c r="A404" s="21" t="str">
        <f>IF(C404="","",COUNTA($C$3:C404))</f>
        <v/>
      </c>
      <c r="B404" s="35" t="str">
        <f t="shared" si="160"/>
        <v/>
      </c>
      <c r="C404" s="31"/>
      <c r="D404" s="17"/>
      <c r="E404" s="32"/>
      <c r="F404" s="17"/>
      <c r="G404" s="18"/>
      <c r="H404" s="18"/>
      <c r="I404" s="17"/>
      <c r="J404" s="18"/>
      <c r="K404" s="18"/>
      <c r="L404" s="19"/>
      <c r="M404" s="20"/>
      <c r="N404" s="20"/>
      <c r="O404" s="20"/>
      <c r="P404" s="80"/>
      <c r="Q404" s="82"/>
      <c r="R404" s="87"/>
      <c r="S404" s="19"/>
      <c r="T404" s="19"/>
      <c r="U404" s="21"/>
      <c r="V404" s="22" t="str">
        <f t="shared" si="159"/>
        <v/>
      </c>
      <c r="W404" s="23"/>
      <c r="X404" s="74"/>
      <c r="Y404" s="33"/>
      <c r="Z404" s="15"/>
    </row>
    <row r="405" spans="1:26" x14ac:dyDescent="0.25">
      <c r="A405" s="21" t="str">
        <f>IF(C405="","",COUNTA($C$3:C405))</f>
        <v/>
      </c>
      <c r="B405" s="35" t="str">
        <f t="shared" si="160"/>
        <v/>
      </c>
      <c r="C405" s="31"/>
      <c r="D405" s="17"/>
      <c r="E405" s="32"/>
      <c r="F405" s="17"/>
      <c r="G405" s="18"/>
      <c r="H405" s="18"/>
      <c r="I405" s="17"/>
      <c r="J405" s="18"/>
      <c r="K405" s="18"/>
      <c r="L405" s="19"/>
      <c r="M405" s="20"/>
      <c r="N405" s="20"/>
      <c r="O405" s="19"/>
      <c r="P405" s="80"/>
      <c r="Q405" s="82"/>
      <c r="R405" s="87"/>
      <c r="S405" s="19"/>
      <c r="T405" s="19"/>
      <c r="U405" s="21"/>
      <c r="V405" s="22" t="str">
        <f t="shared" si="159"/>
        <v/>
      </c>
      <c r="W405" s="23"/>
      <c r="X405" s="19"/>
      <c r="Y405" s="33"/>
      <c r="Z405" s="15"/>
    </row>
    <row r="406" spans="1:26" x14ac:dyDescent="0.25">
      <c r="A406" s="21" t="str">
        <f>IF(C406="","",COUNTA($C$3:C406))</f>
        <v/>
      </c>
      <c r="B406" s="35" t="str">
        <f t="shared" si="160"/>
        <v/>
      </c>
      <c r="C406" s="31"/>
      <c r="D406" s="17"/>
      <c r="E406" s="32"/>
      <c r="F406" s="17"/>
      <c r="G406" s="18"/>
      <c r="H406" s="18"/>
      <c r="I406" s="17"/>
      <c r="J406" s="18"/>
      <c r="K406" s="18"/>
      <c r="L406" s="19"/>
      <c r="M406" s="20"/>
      <c r="N406" s="20"/>
      <c r="O406" s="19"/>
      <c r="P406" s="80"/>
      <c r="Q406" s="82"/>
      <c r="R406" s="87"/>
      <c r="S406" s="19"/>
      <c r="T406" s="19"/>
      <c r="U406" s="21"/>
      <c r="V406" s="22" t="str">
        <f t="shared" si="159"/>
        <v/>
      </c>
      <c r="W406" s="23"/>
      <c r="X406" s="19"/>
      <c r="Y406" s="33"/>
      <c r="Z406" s="15"/>
    </row>
    <row r="407" spans="1:26" x14ac:dyDescent="0.25">
      <c r="A407" s="21" t="str">
        <f>IF(C407="","",COUNTA($C$3:C407))</f>
        <v/>
      </c>
      <c r="B407" s="35" t="str">
        <f t="shared" si="160"/>
        <v/>
      </c>
      <c r="C407" s="31"/>
      <c r="D407" s="17"/>
      <c r="E407" s="32"/>
      <c r="F407" s="17"/>
      <c r="G407" s="18"/>
      <c r="H407" s="18"/>
      <c r="I407" s="17"/>
      <c r="J407" s="18"/>
      <c r="K407" s="18"/>
      <c r="L407" s="19"/>
      <c r="M407" s="20"/>
      <c r="N407" s="20"/>
      <c r="O407" s="19"/>
      <c r="P407" s="80"/>
      <c r="Q407" s="82"/>
      <c r="R407" s="87"/>
      <c r="S407" s="19"/>
      <c r="T407" s="19"/>
      <c r="U407" s="21"/>
      <c r="V407" s="22" t="str">
        <f t="shared" si="159"/>
        <v/>
      </c>
      <c r="W407" s="23"/>
      <c r="X407" s="19"/>
      <c r="Y407" s="33"/>
      <c r="Z407" s="15"/>
    </row>
    <row r="408" spans="1:26" x14ac:dyDescent="0.25">
      <c r="A408" s="21" t="str">
        <f>IF(C408="","",COUNTA($C$3:C408))</f>
        <v/>
      </c>
      <c r="B408" s="35" t="str">
        <f t="shared" si="160"/>
        <v/>
      </c>
      <c r="C408" s="31"/>
      <c r="D408" s="17"/>
      <c r="E408" s="32"/>
      <c r="F408" s="17"/>
      <c r="G408" s="18"/>
      <c r="H408" s="18"/>
      <c r="I408" s="17"/>
      <c r="J408" s="18"/>
      <c r="K408" s="18"/>
      <c r="L408" s="19"/>
      <c r="M408" s="20"/>
      <c r="N408" s="20"/>
      <c r="O408" s="19"/>
      <c r="P408" s="80"/>
      <c r="Q408" s="82"/>
      <c r="R408" s="87"/>
      <c r="S408" s="19"/>
      <c r="T408" s="19"/>
      <c r="U408" s="21"/>
      <c r="V408" s="22" t="str">
        <f t="shared" si="159"/>
        <v/>
      </c>
      <c r="W408" s="23"/>
      <c r="X408" s="19"/>
      <c r="Y408" s="33"/>
      <c r="Z408" s="15"/>
    </row>
    <row r="409" spans="1:26" x14ac:dyDescent="0.25">
      <c r="A409" s="21" t="str">
        <f>IF(C409="","",COUNTA($C$3:C409))</f>
        <v/>
      </c>
      <c r="B409" s="35" t="str">
        <f t="shared" si="160"/>
        <v/>
      </c>
      <c r="C409" s="31"/>
      <c r="D409" s="17"/>
      <c r="E409" s="32"/>
      <c r="F409" s="17"/>
      <c r="G409" s="18"/>
      <c r="H409" s="18"/>
      <c r="I409" s="17"/>
      <c r="J409" s="18"/>
      <c r="K409" s="18"/>
      <c r="L409" s="19"/>
      <c r="M409" s="20"/>
      <c r="N409" s="20"/>
      <c r="O409" s="19"/>
      <c r="P409" s="80"/>
      <c r="Q409" s="82"/>
      <c r="R409" s="87"/>
      <c r="S409" s="19"/>
      <c r="T409" s="19"/>
      <c r="U409" s="21"/>
      <c r="V409" s="22" t="str">
        <f t="shared" si="159"/>
        <v/>
      </c>
      <c r="W409" s="23"/>
      <c r="X409" s="74"/>
      <c r="Y409" s="33"/>
      <c r="Z409" s="15"/>
    </row>
    <row r="410" spans="1:26" x14ac:dyDescent="0.25">
      <c r="A410" s="21" t="str">
        <f>IF(C410="","",COUNTA($C$3:C410))</f>
        <v/>
      </c>
      <c r="B410" s="35" t="str">
        <f t="shared" si="160"/>
        <v/>
      </c>
      <c r="C410" s="31"/>
      <c r="D410" s="17"/>
      <c r="E410" s="32"/>
      <c r="F410" s="17"/>
      <c r="G410" s="18"/>
      <c r="H410" s="18"/>
      <c r="I410" s="17"/>
      <c r="J410" s="18"/>
      <c r="K410" s="18"/>
      <c r="L410" s="19"/>
      <c r="M410" s="20"/>
      <c r="N410" s="20"/>
      <c r="O410" s="19"/>
      <c r="P410" s="80"/>
      <c r="Q410" s="82"/>
      <c r="R410" s="87"/>
      <c r="S410" s="19"/>
      <c r="T410" s="19"/>
      <c r="U410" s="21"/>
      <c r="V410" s="22" t="str">
        <f t="shared" si="159"/>
        <v/>
      </c>
      <c r="W410" s="23"/>
      <c r="X410" s="74"/>
      <c r="Y410" s="33"/>
      <c r="Z410" s="15"/>
    </row>
    <row r="411" spans="1:26" x14ac:dyDescent="0.25">
      <c r="A411" s="21" t="str">
        <f>IF(C411="","",COUNTA($C$3:C411))</f>
        <v/>
      </c>
      <c r="B411" s="35" t="str">
        <f t="shared" si="160"/>
        <v/>
      </c>
      <c r="C411" s="31"/>
      <c r="D411" s="17"/>
      <c r="E411" s="32"/>
      <c r="F411" s="17"/>
      <c r="G411" s="18"/>
      <c r="H411" s="18"/>
      <c r="I411" s="17"/>
      <c r="J411" s="18"/>
      <c r="K411" s="18"/>
      <c r="L411" s="19"/>
      <c r="M411" s="20"/>
      <c r="N411" s="20"/>
      <c r="O411" s="20"/>
      <c r="P411" s="80"/>
      <c r="Q411" s="82"/>
      <c r="R411" s="87"/>
      <c r="S411" s="19"/>
      <c r="T411" s="19"/>
      <c r="U411" s="21"/>
      <c r="V411" s="22" t="str">
        <f t="shared" si="159"/>
        <v/>
      </c>
      <c r="W411" s="23"/>
      <c r="X411" s="74"/>
      <c r="Y411" s="33"/>
      <c r="Z411" s="15"/>
    </row>
    <row r="412" spans="1:26" x14ac:dyDescent="0.25">
      <c r="A412" s="21" t="str">
        <f>IF(C412="","",COUNTA($C$3:C412))</f>
        <v/>
      </c>
      <c r="B412" s="35" t="str">
        <f t="shared" si="160"/>
        <v/>
      </c>
      <c r="C412" s="31"/>
      <c r="D412" s="17"/>
      <c r="E412" s="32"/>
      <c r="F412" s="17"/>
      <c r="G412" s="18"/>
      <c r="H412" s="18"/>
      <c r="I412" s="17"/>
      <c r="J412" s="18"/>
      <c r="K412" s="18"/>
      <c r="L412" s="19"/>
      <c r="M412" s="20"/>
      <c r="N412" s="20"/>
      <c r="O412" s="20"/>
      <c r="P412" s="80"/>
      <c r="Q412" s="82"/>
      <c r="R412" s="87"/>
      <c r="S412" s="19"/>
      <c r="T412" s="19"/>
      <c r="U412" s="21"/>
      <c r="V412" s="22" t="str">
        <f t="shared" si="159"/>
        <v/>
      </c>
      <c r="W412" s="23"/>
      <c r="X412" s="19"/>
      <c r="Y412" s="33"/>
      <c r="Z412" s="15"/>
    </row>
    <row r="413" spans="1:26" x14ac:dyDescent="0.25">
      <c r="A413" s="21" t="str">
        <f>IF(C413="","",COUNTA($C$3:C413))</f>
        <v/>
      </c>
      <c r="B413" s="35" t="str">
        <f t="shared" si="160"/>
        <v/>
      </c>
      <c r="C413" s="31"/>
      <c r="D413" s="17"/>
      <c r="E413" s="32"/>
      <c r="F413" s="17"/>
      <c r="G413" s="18"/>
      <c r="H413" s="18"/>
      <c r="I413" s="17"/>
      <c r="J413" s="18"/>
      <c r="K413" s="18"/>
      <c r="L413" s="19"/>
      <c r="M413" s="20"/>
      <c r="N413" s="20"/>
      <c r="O413" s="20"/>
      <c r="P413" s="80"/>
      <c r="Q413" s="82"/>
      <c r="R413" s="87"/>
      <c r="S413" s="19"/>
      <c r="T413" s="19"/>
      <c r="U413" s="21"/>
      <c r="V413" s="22" t="str">
        <f t="shared" si="159"/>
        <v/>
      </c>
      <c r="W413" s="23"/>
      <c r="X413" s="19"/>
      <c r="Y413" s="33"/>
      <c r="Z413" s="15"/>
    </row>
    <row r="414" spans="1:26" x14ac:dyDescent="0.25">
      <c r="A414" s="21" t="str">
        <f>IF(C414="","",COUNTA($C$3:C414))</f>
        <v/>
      </c>
      <c r="B414" s="35" t="str">
        <f t="shared" si="160"/>
        <v/>
      </c>
      <c r="C414" s="31"/>
      <c r="D414" s="17"/>
      <c r="E414" s="32"/>
      <c r="F414" s="17"/>
      <c r="G414" s="18"/>
      <c r="H414" s="18"/>
      <c r="I414" s="17"/>
      <c r="J414" s="18"/>
      <c r="K414" s="18"/>
      <c r="L414" s="19"/>
      <c r="M414" s="20"/>
      <c r="N414" s="20"/>
      <c r="O414" s="20"/>
      <c r="P414" s="80"/>
      <c r="Q414" s="82"/>
      <c r="R414" s="87"/>
      <c r="S414" s="19"/>
      <c r="T414" s="19"/>
      <c r="U414" s="21"/>
      <c r="V414" s="22" t="str">
        <f t="shared" si="159"/>
        <v/>
      </c>
      <c r="W414" s="23"/>
      <c r="X414" s="19"/>
      <c r="Y414" s="33"/>
      <c r="Z414" s="15"/>
    </row>
    <row r="415" spans="1:26" x14ac:dyDescent="0.25">
      <c r="A415" s="21" t="str">
        <f>IF(C415="","",COUNTA($C$3:C415))</f>
        <v/>
      </c>
      <c r="B415" s="35" t="str">
        <f t="shared" si="160"/>
        <v/>
      </c>
      <c r="C415" s="31"/>
      <c r="D415" s="17"/>
      <c r="E415" s="32"/>
      <c r="F415" s="17"/>
      <c r="G415" s="18"/>
      <c r="H415" s="18"/>
      <c r="I415" s="17"/>
      <c r="J415" s="18"/>
      <c r="K415" s="18"/>
      <c r="L415" s="19"/>
      <c r="M415" s="20"/>
      <c r="N415" s="20"/>
      <c r="O415" s="20"/>
      <c r="P415" s="80"/>
      <c r="Q415" s="82"/>
      <c r="R415" s="87"/>
      <c r="S415" s="19"/>
      <c r="T415" s="19"/>
      <c r="U415" s="21"/>
      <c r="V415" s="22" t="str">
        <f t="shared" si="159"/>
        <v/>
      </c>
      <c r="W415" s="23"/>
      <c r="X415" s="19"/>
      <c r="Y415" s="33"/>
      <c r="Z415" s="15"/>
    </row>
    <row r="416" spans="1:26" x14ac:dyDescent="0.25">
      <c r="A416" s="21" t="str">
        <f>IF(C416="","",COUNTA($C$3:C416))</f>
        <v/>
      </c>
      <c r="B416" s="35" t="str">
        <f t="shared" si="160"/>
        <v/>
      </c>
      <c r="C416" s="31"/>
      <c r="D416" s="17"/>
      <c r="E416" s="32"/>
      <c r="F416" s="17"/>
      <c r="G416" s="18"/>
      <c r="H416" s="18"/>
      <c r="I416" s="17"/>
      <c r="J416" s="18"/>
      <c r="K416" s="18"/>
      <c r="L416" s="19"/>
      <c r="M416" s="20"/>
      <c r="N416" s="20"/>
      <c r="O416" s="20"/>
      <c r="P416" s="80"/>
      <c r="Q416" s="82"/>
      <c r="R416" s="87"/>
      <c r="S416" s="19"/>
      <c r="T416" s="19"/>
      <c r="U416" s="21"/>
      <c r="V416" s="22" t="str">
        <f t="shared" si="159"/>
        <v/>
      </c>
      <c r="W416" s="23"/>
      <c r="X416" s="19"/>
      <c r="Y416" s="33"/>
      <c r="Z416" s="15"/>
    </row>
    <row r="417" spans="1:26" x14ac:dyDescent="0.25">
      <c r="A417" s="21" t="str">
        <f>IF(C417="","",COUNTA($C$3:C417))</f>
        <v/>
      </c>
      <c r="B417" s="35" t="str">
        <f t="shared" si="160"/>
        <v/>
      </c>
      <c r="C417" s="31"/>
      <c r="D417" s="17"/>
      <c r="E417" s="32"/>
      <c r="F417" s="17"/>
      <c r="G417" s="18"/>
      <c r="H417" s="18"/>
      <c r="I417" s="17"/>
      <c r="J417" s="18"/>
      <c r="K417" s="18"/>
      <c r="L417" s="19"/>
      <c r="M417" s="20"/>
      <c r="N417" s="20"/>
      <c r="O417" s="19"/>
      <c r="P417" s="80"/>
      <c r="Q417" s="82"/>
      <c r="R417" s="87"/>
      <c r="S417" s="19"/>
      <c r="T417" s="19"/>
      <c r="U417" s="21"/>
      <c r="V417" s="22" t="str">
        <f t="shared" si="159"/>
        <v/>
      </c>
      <c r="W417" s="23"/>
      <c r="X417" s="19"/>
      <c r="Y417" s="33"/>
      <c r="Z417" s="15"/>
    </row>
    <row r="418" spans="1:26" x14ac:dyDescent="0.25">
      <c r="A418" s="21" t="str">
        <f>IF(C418="","",COUNTA($C$3:C418))</f>
        <v/>
      </c>
      <c r="B418" s="35" t="str">
        <f t="shared" si="160"/>
        <v/>
      </c>
      <c r="C418" s="31"/>
      <c r="D418" s="17"/>
      <c r="E418" s="32"/>
      <c r="F418" s="17"/>
      <c r="G418" s="18"/>
      <c r="H418" s="18"/>
      <c r="I418" s="17"/>
      <c r="J418" s="18"/>
      <c r="K418" s="18"/>
      <c r="L418" s="19"/>
      <c r="M418" s="20"/>
      <c r="N418" s="20"/>
      <c r="O418" s="19"/>
      <c r="P418" s="80"/>
      <c r="Q418" s="82"/>
      <c r="R418" s="87"/>
      <c r="S418" s="19"/>
      <c r="T418" s="19"/>
      <c r="U418" s="21"/>
      <c r="V418" s="22" t="str">
        <f t="shared" si="159"/>
        <v/>
      </c>
      <c r="W418" s="23"/>
      <c r="X418" s="19"/>
      <c r="Y418" s="33"/>
      <c r="Z418" s="15"/>
    </row>
    <row r="419" spans="1:26" x14ac:dyDescent="0.25">
      <c r="A419" s="21" t="str">
        <f>IF(C419="","",COUNTA($C$3:C419))</f>
        <v/>
      </c>
      <c r="B419" s="35" t="str">
        <f t="shared" si="160"/>
        <v/>
      </c>
      <c r="C419" s="31"/>
      <c r="D419" s="17"/>
      <c r="E419" s="32"/>
      <c r="F419" s="17"/>
      <c r="G419" s="18"/>
      <c r="H419" s="18"/>
      <c r="I419" s="17"/>
      <c r="J419" s="18"/>
      <c r="K419" s="18"/>
      <c r="L419" s="19"/>
      <c r="M419" s="20"/>
      <c r="N419" s="20"/>
      <c r="O419" s="19"/>
      <c r="P419" s="80"/>
      <c r="Q419" s="82"/>
      <c r="R419" s="87"/>
      <c r="S419" s="19"/>
      <c r="T419" s="19"/>
      <c r="U419" s="21"/>
      <c r="V419" s="22" t="str">
        <f t="shared" si="159"/>
        <v/>
      </c>
      <c r="W419" s="23"/>
      <c r="X419" s="19"/>
      <c r="Y419" s="33"/>
      <c r="Z419" s="15"/>
    </row>
    <row r="420" spans="1:26" x14ac:dyDescent="0.25">
      <c r="A420" s="21" t="str">
        <f>IF(C420="","",COUNTA($C$3:C420))</f>
        <v/>
      </c>
      <c r="B420" s="35" t="str">
        <f t="shared" si="160"/>
        <v/>
      </c>
      <c r="C420" s="31"/>
      <c r="D420" s="17"/>
      <c r="E420" s="32"/>
      <c r="F420" s="17"/>
      <c r="G420" s="18"/>
      <c r="H420" s="18"/>
      <c r="I420" s="17"/>
      <c r="J420" s="18"/>
      <c r="K420" s="18"/>
      <c r="L420" s="19"/>
      <c r="M420" s="20"/>
      <c r="N420" s="20"/>
      <c r="O420" s="20"/>
      <c r="P420" s="80"/>
      <c r="Q420" s="82"/>
      <c r="R420" s="87"/>
      <c r="S420" s="19"/>
      <c r="T420" s="19"/>
      <c r="U420" s="21"/>
      <c r="V420" s="22" t="str">
        <f t="shared" si="159"/>
        <v/>
      </c>
      <c r="W420" s="23"/>
      <c r="X420" s="19"/>
      <c r="Y420" s="33"/>
      <c r="Z420" s="15"/>
    </row>
    <row r="421" spans="1:26" x14ac:dyDescent="0.25">
      <c r="A421" s="21" t="str">
        <f>IF(C421="","",COUNTA($C$3:C421))</f>
        <v/>
      </c>
      <c r="B421" s="35" t="str">
        <f t="shared" si="160"/>
        <v/>
      </c>
      <c r="C421" s="31"/>
      <c r="D421" s="17"/>
      <c r="E421" s="32"/>
      <c r="F421" s="17"/>
      <c r="G421" s="18"/>
      <c r="H421" s="18"/>
      <c r="I421" s="17"/>
      <c r="J421" s="18"/>
      <c r="K421" s="18"/>
      <c r="L421" s="19"/>
      <c r="M421" s="20"/>
      <c r="N421" s="20"/>
      <c r="O421" s="20"/>
      <c r="P421" s="80"/>
      <c r="Q421" s="82"/>
      <c r="R421" s="87"/>
      <c r="S421" s="19"/>
      <c r="T421" s="19"/>
      <c r="U421" s="21"/>
      <c r="V421" s="22" t="str">
        <f t="shared" si="159"/>
        <v/>
      </c>
      <c r="W421" s="23"/>
      <c r="X421" s="74"/>
      <c r="Y421" s="33"/>
      <c r="Z421" s="15"/>
    </row>
    <row r="422" spans="1:26" x14ac:dyDescent="0.25">
      <c r="A422" s="21" t="str">
        <f>IF(C422="","",COUNTA($C$3:C422))</f>
        <v/>
      </c>
      <c r="B422" s="35" t="str">
        <f t="shared" si="160"/>
        <v/>
      </c>
      <c r="C422" s="31"/>
      <c r="D422" s="17"/>
      <c r="E422" s="32"/>
      <c r="F422" s="17"/>
      <c r="G422" s="18"/>
      <c r="H422" s="18"/>
      <c r="I422" s="17"/>
      <c r="J422" s="18"/>
      <c r="K422" s="18"/>
      <c r="L422" s="19"/>
      <c r="M422" s="20"/>
      <c r="N422" s="20"/>
      <c r="O422" s="19"/>
      <c r="P422" s="80"/>
      <c r="Q422" s="82"/>
      <c r="R422" s="87"/>
      <c r="S422" s="19"/>
      <c r="T422" s="19"/>
      <c r="U422" s="21"/>
      <c r="V422" s="22" t="str">
        <f t="shared" si="159"/>
        <v/>
      </c>
      <c r="W422" s="23"/>
      <c r="X422" s="74"/>
      <c r="Y422" s="33"/>
      <c r="Z422" s="15"/>
    </row>
    <row r="423" spans="1:26" x14ac:dyDescent="0.25">
      <c r="A423" s="21" t="str">
        <f>IF(C423="","",COUNTA($C$3:C423))</f>
        <v/>
      </c>
      <c r="B423" s="35" t="str">
        <f t="shared" si="160"/>
        <v/>
      </c>
      <c r="C423" s="31"/>
      <c r="D423" s="17"/>
      <c r="E423" s="32"/>
      <c r="F423" s="17"/>
      <c r="G423" s="18"/>
      <c r="H423" s="18"/>
      <c r="I423" s="17"/>
      <c r="J423" s="18"/>
      <c r="K423" s="18"/>
      <c r="L423" s="19"/>
      <c r="M423" s="20"/>
      <c r="N423" s="20"/>
      <c r="O423" s="20"/>
      <c r="P423" s="80"/>
      <c r="Q423" s="82"/>
      <c r="R423" s="87"/>
      <c r="S423" s="19"/>
      <c r="T423" s="19"/>
      <c r="U423" s="21"/>
      <c r="V423" s="22" t="str">
        <f t="shared" si="159"/>
        <v/>
      </c>
      <c r="W423" s="23"/>
      <c r="X423" s="74"/>
      <c r="Y423" s="33"/>
      <c r="Z423" s="15"/>
    </row>
    <row r="424" spans="1:26" x14ac:dyDescent="0.25">
      <c r="A424" s="21" t="str">
        <f>IF(C424="","",COUNTA($C$3:C424))</f>
        <v/>
      </c>
      <c r="B424" s="35" t="str">
        <f t="shared" si="160"/>
        <v/>
      </c>
      <c r="C424" s="31"/>
      <c r="D424" s="17"/>
      <c r="E424" s="32"/>
      <c r="F424" s="17"/>
      <c r="G424" s="18"/>
      <c r="H424" s="18"/>
      <c r="I424" s="17"/>
      <c r="J424" s="18"/>
      <c r="K424" s="18"/>
      <c r="L424" s="19"/>
      <c r="M424" s="20"/>
      <c r="N424" s="20"/>
      <c r="O424" s="19"/>
      <c r="P424" s="80"/>
      <c r="Q424" s="82"/>
      <c r="R424" s="87"/>
      <c r="S424" s="19"/>
      <c r="T424" s="19"/>
      <c r="U424" s="21"/>
      <c r="V424" s="22" t="str">
        <f t="shared" si="159"/>
        <v/>
      </c>
      <c r="W424" s="23"/>
      <c r="X424" s="74"/>
      <c r="Y424" s="33"/>
      <c r="Z424" s="15"/>
    </row>
    <row r="425" spans="1:26" x14ac:dyDescent="0.25">
      <c r="A425" s="21" t="str">
        <f>IF(C425="","",COUNTA($C$3:C425))</f>
        <v/>
      </c>
      <c r="B425" s="35" t="str">
        <f t="shared" si="160"/>
        <v/>
      </c>
      <c r="C425" s="31"/>
      <c r="D425" s="17"/>
      <c r="E425" s="32"/>
      <c r="F425" s="17"/>
      <c r="G425" s="18"/>
      <c r="H425" s="18"/>
      <c r="I425" s="17"/>
      <c r="J425" s="18"/>
      <c r="K425" s="18"/>
      <c r="L425" s="19"/>
      <c r="M425" s="20"/>
      <c r="N425" s="20"/>
      <c r="O425" s="20"/>
      <c r="P425" s="80"/>
      <c r="Q425" s="82"/>
      <c r="R425" s="87"/>
      <c r="S425" s="19"/>
      <c r="T425" s="19"/>
      <c r="U425" s="21"/>
      <c r="V425" s="22" t="str">
        <f t="shared" si="159"/>
        <v/>
      </c>
      <c r="W425" s="23"/>
      <c r="X425" s="74"/>
      <c r="Y425" s="33"/>
      <c r="Z425" s="15"/>
    </row>
    <row r="426" spans="1:26" x14ac:dyDescent="0.25">
      <c r="A426" s="21" t="str">
        <f>IF(C426="","",COUNTA($C$3:C426))</f>
        <v/>
      </c>
      <c r="B426" s="35" t="str">
        <f t="shared" si="160"/>
        <v/>
      </c>
      <c r="C426" s="31"/>
      <c r="D426" s="17"/>
      <c r="E426" s="32"/>
      <c r="F426" s="17"/>
      <c r="G426" s="18"/>
      <c r="H426" s="18"/>
      <c r="I426" s="17"/>
      <c r="J426" s="18"/>
      <c r="K426" s="18"/>
      <c r="L426" s="19"/>
      <c r="M426" s="20"/>
      <c r="N426" s="20"/>
      <c r="O426" s="19"/>
      <c r="P426" s="80"/>
      <c r="Q426" s="82"/>
      <c r="R426" s="87"/>
      <c r="S426" s="19"/>
      <c r="T426" s="19"/>
      <c r="U426" s="21"/>
      <c r="V426" s="22" t="str">
        <f t="shared" si="159"/>
        <v/>
      </c>
      <c r="W426" s="23"/>
      <c r="X426" s="74"/>
      <c r="Y426" s="33"/>
      <c r="Z426" s="15"/>
    </row>
    <row r="427" spans="1:26" x14ac:dyDescent="0.25">
      <c r="A427" s="21" t="str">
        <f>IF(C427="","",COUNTA($C$3:C427))</f>
        <v/>
      </c>
      <c r="B427" s="35" t="str">
        <f t="shared" si="160"/>
        <v/>
      </c>
      <c r="C427" s="31"/>
      <c r="D427" s="17"/>
      <c r="E427" s="32"/>
      <c r="F427" s="17"/>
      <c r="G427" s="18"/>
      <c r="H427" s="18"/>
      <c r="I427" s="17"/>
      <c r="J427" s="18"/>
      <c r="K427" s="18"/>
      <c r="L427" s="19"/>
      <c r="M427" s="20"/>
      <c r="N427" s="20"/>
      <c r="O427" s="19"/>
      <c r="P427" s="80"/>
      <c r="Q427" s="82"/>
      <c r="R427" s="87"/>
      <c r="S427" s="19"/>
      <c r="T427" s="19"/>
      <c r="U427" s="21"/>
      <c r="V427" s="22" t="str">
        <f t="shared" si="159"/>
        <v/>
      </c>
      <c r="W427" s="23"/>
      <c r="X427" s="74"/>
      <c r="Y427" s="33"/>
      <c r="Z427" s="15"/>
    </row>
    <row r="428" spans="1:26" x14ac:dyDescent="0.25">
      <c r="A428" s="21" t="str">
        <f>IF(C428="","",COUNTA($C$3:C428))</f>
        <v/>
      </c>
      <c r="B428" s="35" t="str">
        <f t="shared" si="160"/>
        <v/>
      </c>
      <c r="C428" s="31"/>
      <c r="D428" s="17"/>
      <c r="E428" s="32"/>
      <c r="F428" s="17"/>
      <c r="G428" s="18"/>
      <c r="H428" s="18"/>
      <c r="I428" s="17"/>
      <c r="J428" s="18"/>
      <c r="K428" s="18"/>
      <c r="L428" s="19"/>
      <c r="M428" s="20"/>
      <c r="N428" s="20"/>
      <c r="O428" s="19"/>
      <c r="P428" s="80"/>
      <c r="Q428" s="82"/>
      <c r="R428" s="87"/>
      <c r="S428" s="19"/>
      <c r="T428" s="19"/>
      <c r="U428" s="21"/>
      <c r="V428" s="22" t="str">
        <f t="shared" si="159"/>
        <v/>
      </c>
      <c r="W428" s="23"/>
      <c r="X428" s="74"/>
      <c r="Y428" s="33"/>
      <c r="Z428" s="15"/>
    </row>
    <row r="429" spans="1:26" x14ac:dyDescent="0.25">
      <c r="A429" s="21" t="str">
        <f>IF(C429="","",COUNTA($C$3:C429))</f>
        <v/>
      </c>
      <c r="B429" s="35" t="str">
        <f t="shared" si="160"/>
        <v/>
      </c>
      <c r="C429" s="31"/>
      <c r="D429" s="17"/>
      <c r="E429" s="32"/>
      <c r="F429" s="17"/>
      <c r="G429" s="18"/>
      <c r="H429" s="18"/>
      <c r="I429" s="17"/>
      <c r="J429" s="18"/>
      <c r="K429" s="18"/>
      <c r="L429" s="19"/>
      <c r="M429" s="20"/>
      <c r="N429" s="20"/>
      <c r="O429" s="19"/>
      <c r="P429" s="80"/>
      <c r="Q429" s="82"/>
      <c r="R429" s="87"/>
      <c r="S429" s="19"/>
      <c r="T429" s="19"/>
      <c r="U429" s="21"/>
      <c r="V429" s="22" t="str">
        <f t="shared" si="159"/>
        <v/>
      </c>
      <c r="W429" s="23"/>
      <c r="X429" s="74"/>
      <c r="Y429" s="33"/>
      <c r="Z429" s="15"/>
    </row>
    <row r="430" spans="1:26" x14ac:dyDescent="0.25">
      <c r="A430" s="21" t="str">
        <f>IF(C430="","",COUNTA($C$3:C430))</f>
        <v/>
      </c>
      <c r="B430" s="35" t="str">
        <f t="shared" si="160"/>
        <v/>
      </c>
      <c r="C430" s="31"/>
      <c r="D430" s="17"/>
      <c r="E430" s="32"/>
      <c r="F430" s="17"/>
      <c r="G430" s="18"/>
      <c r="H430" s="18"/>
      <c r="I430" s="17"/>
      <c r="J430" s="18"/>
      <c r="K430" s="18"/>
      <c r="L430" s="19"/>
      <c r="M430" s="20"/>
      <c r="N430" s="20"/>
      <c r="O430" s="19"/>
      <c r="P430" s="80"/>
      <c r="Q430" s="82"/>
      <c r="R430" s="87"/>
      <c r="S430" s="19"/>
      <c r="T430" s="19"/>
      <c r="U430" s="21"/>
      <c r="V430" s="22" t="str">
        <f t="shared" si="159"/>
        <v/>
      </c>
      <c r="W430" s="23"/>
      <c r="X430" s="74"/>
      <c r="Y430" s="33"/>
      <c r="Z430" s="15"/>
    </row>
    <row r="431" spans="1:26" x14ac:dyDescent="0.25">
      <c r="A431" s="21" t="str">
        <f>IF(C431="","",COUNTA($C$3:C431))</f>
        <v/>
      </c>
      <c r="B431" s="35" t="str">
        <f t="shared" ref="B431" si="161">IF(C431="","",TEXT(C431,"mmmm"))</f>
        <v/>
      </c>
      <c r="C431" s="31"/>
      <c r="D431" s="17"/>
      <c r="E431" s="32"/>
      <c r="F431" s="17"/>
      <c r="G431" s="18"/>
      <c r="H431" s="18"/>
      <c r="I431" s="17"/>
      <c r="J431" s="18"/>
      <c r="K431" s="18"/>
      <c r="L431" s="19"/>
      <c r="M431" s="20"/>
      <c r="N431" s="20"/>
      <c r="O431" s="19"/>
      <c r="P431" s="80"/>
      <c r="Q431" s="82"/>
      <c r="R431" s="87"/>
      <c r="S431" s="19"/>
      <c r="T431" s="19"/>
      <c r="U431" s="21"/>
      <c r="V431" s="22" t="str">
        <f t="shared" si="159"/>
        <v/>
      </c>
      <c r="W431" s="23"/>
      <c r="X431" s="74"/>
      <c r="Y431" s="33"/>
      <c r="Z431" s="15"/>
    </row>
    <row r="432" spans="1:26" x14ac:dyDescent="0.25">
      <c r="A432" s="21" t="str">
        <f>IF(C432="","",COUNTA($C$3:C432))</f>
        <v/>
      </c>
      <c r="B432" s="35" t="str">
        <f t="shared" ref="B432:B495" si="162">IF(C432="","",TEXT(C432,"mmmm"))</f>
        <v/>
      </c>
      <c r="C432" s="31"/>
      <c r="D432" s="17"/>
      <c r="E432" s="32"/>
      <c r="F432" s="17"/>
      <c r="G432" s="18"/>
      <c r="H432" s="18"/>
      <c r="I432" s="17"/>
      <c r="J432" s="18"/>
      <c r="K432" s="18"/>
      <c r="L432" s="19"/>
      <c r="M432" s="20"/>
      <c r="N432" s="20"/>
      <c r="O432" s="20"/>
      <c r="P432" s="80"/>
      <c r="Q432" s="82"/>
      <c r="R432" s="87"/>
      <c r="S432" s="19"/>
      <c r="T432" s="19"/>
      <c r="U432" s="21"/>
      <c r="V432" s="22" t="str">
        <f t="shared" si="159"/>
        <v/>
      </c>
      <c r="W432" s="23"/>
      <c r="X432" s="74"/>
      <c r="Y432" s="33"/>
      <c r="Z432" s="15"/>
    </row>
    <row r="433" spans="1:26" x14ac:dyDescent="0.25">
      <c r="A433" s="21" t="str">
        <f>IF(C433="","",COUNTA($C$3:C433))</f>
        <v/>
      </c>
      <c r="B433" s="35" t="str">
        <f t="shared" si="162"/>
        <v/>
      </c>
      <c r="C433" s="31"/>
      <c r="D433" s="17"/>
      <c r="E433" s="32"/>
      <c r="F433" s="17"/>
      <c r="G433" s="18"/>
      <c r="H433" s="18"/>
      <c r="I433" s="17"/>
      <c r="J433" s="18"/>
      <c r="K433" s="18"/>
      <c r="L433" s="19"/>
      <c r="M433" s="20"/>
      <c r="N433" s="20"/>
      <c r="O433" s="19"/>
      <c r="P433" s="80"/>
      <c r="Q433" s="82"/>
      <c r="R433" s="87"/>
      <c r="S433" s="19"/>
      <c r="T433" s="19"/>
      <c r="U433" s="21"/>
      <c r="V433" s="22" t="str">
        <f t="shared" si="159"/>
        <v/>
      </c>
      <c r="W433" s="23"/>
      <c r="X433" s="19"/>
      <c r="Y433" s="33"/>
      <c r="Z433" s="15"/>
    </row>
    <row r="434" spans="1:26" x14ac:dyDescent="0.25">
      <c r="A434" s="21" t="str">
        <f>IF(C434="","",COUNTA($C$3:C434))</f>
        <v/>
      </c>
      <c r="B434" s="35" t="str">
        <f t="shared" si="162"/>
        <v/>
      </c>
      <c r="C434" s="31"/>
      <c r="D434" s="17"/>
      <c r="E434" s="32"/>
      <c r="F434" s="17"/>
      <c r="G434" s="18"/>
      <c r="H434" s="18"/>
      <c r="I434" s="17"/>
      <c r="J434" s="18"/>
      <c r="K434" s="18"/>
      <c r="L434" s="19"/>
      <c r="M434" s="20"/>
      <c r="N434" s="20"/>
      <c r="O434" s="20"/>
      <c r="P434" s="80"/>
      <c r="Q434" s="83"/>
      <c r="R434" s="87"/>
      <c r="S434" s="19"/>
      <c r="T434" s="19"/>
      <c r="U434" s="21"/>
      <c r="V434" s="22" t="str">
        <f t="shared" si="159"/>
        <v/>
      </c>
      <c r="W434" s="23"/>
      <c r="X434" s="74"/>
      <c r="Y434" s="33"/>
      <c r="Z434" s="15"/>
    </row>
    <row r="435" spans="1:26" x14ac:dyDescent="0.25">
      <c r="A435" s="21" t="str">
        <f>IF(C435="","",COUNTA($C$3:C435))</f>
        <v/>
      </c>
      <c r="B435" s="35" t="str">
        <f t="shared" si="162"/>
        <v/>
      </c>
      <c r="C435" s="31"/>
      <c r="D435" s="17"/>
      <c r="E435" s="32"/>
      <c r="F435" s="17"/>
      <c r="G435" s="18"/>
      <c r="H435" s="18"/>
      <c r="I435" s="17"/>
      <c r="J435" s="18"/>
      <c r="K435" s="18"/>
      <c r="L435" s="19"/>
      <c r="M435" s="20"/>
      <c r="N435" s="20"/>
      <c r="O435" s="20"/>
      <c r="P435" s="80"/>
      <c r="Q435" s="83"/>
      <c r="R435" s="87"/>
      <c r="S435" s="19"/>
      <c r="T435" s="19"/>
      <c r="U435" s="21"/>
      <c r="V435" s="22" t="str">
        <f t="shared" si="159"/>
        <v/>
      </c>
      <c r="W435" s="23"/>
      <c r="X435" s="74"/>
      <c r="Y435" s="33"/>
      <c r="Z435" s="15"/>
    </row>
    <row r="436" spans="1:26" x14ac:dyDescent="0.25">
      <c r="A436" s="21" t="str">
        <f>IF(C436="","",COUNTA($C$3:C436))</f>
        <v/>
      </c>
      <c r="B436" s="35" t="str">
        <f t="shared" si="162"/>
        <v/>
      </c>
      <c r="C436" s="31"/>
      <c r="D436" s="17"/>
      <c r="E436" s="32"/>
      <c r="F436" s="17"/>
      <c r="G436" s="18"/>
      <c r="H436" s="18"/>
      <c r="I436" s="17"/>
      <c r="J436" s="18"/>
      <c r="K436" s="18"/>
      <c r="L436" s="19"/>
      <c r="M436" s="20"/>
      <c r="N436" s="20"/>
      <c r="O436" s="20"/>
      <c r="P436" s="80"/>
      <c r="Q436" s="83"/>
      <c r="R436" s="87"/>
      <c r="S436" s="19"/>
      <c r="T436" s="19"/>
      <c r="U436" s="21"/>
      <c r="V436" s="22" t="str">
        <f t="shared" si="159"/>
        <v/>
      </c>
      <c r="W436" s="23"/>
      <c r="X436" s="74"/>
      <c r="Y436" s="33"/>
      <c r="Z436" s="15"/>
    </row>
    <row r="437" spans="1:26" x14ac:dyDescent="0.25">
      <c r="A437" s="21" t="str">
        <f>IF(C437="","",COUNTA($C$3:C437))</f>
        <v/>
      </c>
      <c r="B437" s="35" t="str">
        <f t="shared" si="162"/>
        <v/>
      </c>
      <c r="C437" s="31"/>
      <c r="D437" s="17"/>
      <c r="E437" s="32"/>
      <c r="F437" s="17"/>
      <c r="G437" s="18"/>
      <c r="H437" s="18"/>
      <c r="I437" s="17"/>
      <c r="J437" s="18"/>
      <c r="K437" s="18"/>
      <c r="L437" s="19"/>
      <c r="M437" s="20"/>
      <c r="N437" s="20"/>
      <c r="O437" s="20"/>
      <c r="P437" s="80"/>
      <c r="Q437" s="83"/>
      <c r="R437" s="87"/>
      <c r="S437" s="19"/>
      <c r="T437" s="19"/>
      <c r="U437" s="21"/>
      <c r="V437" s="22" t="str">
        <f t="shared" si="159"/>
        <v/>
      </c>
      <c r="W437" s="23"/>
      <c r="X437" s="74"/>
      <c r="Y437" s="33"/>
      <c r="Z437" s="15"/>
    </row>
    <row r="438" spans="1:26" x14ac:dyDescent="0.25">
      <c r="A438" s="21" t="str">
        <f>IF(C438="","",COUNTA($C$3:C438))</f>
        <v/>
      </c>
      <c r="B438" s="35" t="str">
        <f t="shared" si="162"/>
        <v/>
      </c>
      <c r="C438" s="31"/>
      <c r="D438" s="17"/>
      <c r="E438" s="32"/>
      <c r="F438" s="17"/>
      <c r="G438" s="18"/>
      <c r="H438" s="18"/>
      <c r="I438" s="17"/>
      <c r="J438" s="18"/>
      <c r="K438" s="18"/>
      <c r="L438" s="19"/>
      <c r="M438" s="20"/>
      <c r="N438" s="20"/>
      <c r="O438" s="20"/>
      <c r="P438" s="80"/>
      <c r="Q438" s="83"/>
      <c r="R438" s="87"/>
      <c r="S438" s="19"/>
      <c r="T438" s="19"/>
      <c r="U438" s="21"/>
      <c r="V438" s="22" t="str">
        <f t="shared" si="159"/>
        <v/>
      </c>
      <c r="W438" s="23"/>
      <c r="X438" s="19"/>
      <c r="Y438" s="33"/>
      <c r="Z438" s="15"/>
    </row>
    <row r="439" spans="1:26" x14ac:dyDescent="0.25">
      <c r="A439" s="21" t="str">
        <f>IF(C439="","",COUNTA($C$3:C439))</f>
        <v/>
      </c>
      <c r="B439" s="35" t="str">
        <f t="shared" si="162"/>
        <v/>
      </c>
      <c r="C439" s="31"/>
      <c r="D439" s="17"/>
      <c r="E439" s="32"/>
      <c r="F439" s="17"/>
      <c r="G439" s="18"/>
      <c r="H439" s="18"/>
      <c r="I439" s="17"/>
      <c r="J439" s="18"/>
      <c r="K439" s="18"/>
      <c r="L439" s="19"/>
      <c r="M439" s="20"/>
      <c r="N439" s="20"/>
      <c r="O439" s="20"/>
      <c r="P439" s="80"/>
      <c r="Q439" s="83"/>
      <c r="R439" s="87"/>
      <c r="S439" s="19"/>
      <c r="T439" s="19"/>
      <c r="U439" s="21"/>
      <c r="V439" s="22" t="str">
        <f t="shared" si="159"/>
        <v/>
      </c>
      <c r="W439" s="23"/>
      <c r="X439" s="19"/>
      <c r="Y439" s="33"/>
      <c r="Z439" s="15"/>
    </row>
    <row r="440" spans="1:26" x14ac:dyDescent="0.25">
      <c r="A440" s="21" t="str">
        <f>IF(C440="","",COUNTA($C$3:C440))</f>
        <v/>
      </c>
      <c r="B440" s="35" t="str">
        <f t="shared" si="162"/>
        <v/>
      </c>
      <c r="C440" s="31"/>
      <c r="D440" s="17"/>
      <c r="E440" s="32"/>
      <c r="F440" s="17"/>
      <c r="G440" s="18"/>
      <c r="H440" s="18"/>
      <c r="I440" s="17"/>
      <c r="J440" s="18"/>
      <c r="K440" s="18"/>
      <c r="L440" s="19"/>
      <c r="M440" s="20"/>
      <c r="N440" s="20"/>
      <c r="O440" s="20"/>
      <c r="P440" s="80"/>
      <c r="Q440" s="83"/>
      <c r="R440" s="87"/>
      <c r="S440" s="19"/>
      <c r="T440" s="19"/>
      <c r="U440" s="21"/>
      <c r="V440" s="22" t="str">
        <f t="shared" si="159"/>
        <v/>
      </c>
      <c r="W440" s="23"/>
      <c r="X440" s="19"/>
      <c r="Y440" s="33"/>
      <c r="Z440" s="15"/>
    </row>
    <row r="441" spans="1:26" x14ac:dyDescent="0.25">
      <c r="A441" s="21" t="str">
        <f>IF(C441="","",COUNTA($C$3:C441))</f>
        <v/>
      </c>
      <c r="B441" s="35" t="str">
        <f t="shared" si="162"/>
        <v/>
      </c>
      <c r="C441" s="31"/>
      <c r="D441" s="17"/>
      <c r="E441" s="32"/>
      <c r="F441" s="17"/>
      <c r="G441" s="18"/>
      <c r="H441" s="18"/>
      <c r="I441" s="17"/>
      <c r="J441" s="18"/>
      <c r="K441" s="18"/>
      <c r="L441" s="19"/>
      <c r="M441" s="20"/>
      <c r="N441" s="20"/>
      <c r="O441" s="19"/>
      <c r="P441" s="80"/>
      <c r="Q441" s="83"/>
      <c r="R441" s="87"/>
      <c r="S441" s="19"/>
      <c r="T441" s="19"/>
      <c r="U441" s="21"/>
      <c r="V441" s="22" t="str">
        <f t="shared" si="159"/>
        <v/>
      </c>
      <c r="W441" s="23"/>
      <c r="X441" s="19"/>
      <c r="Y441" s="33"/>
      <c r="Z441" s="15"/>
    </row>
    <row r="442" spans="1:26" x14ac:dyDescent="0.25">
      <c r="A442" s="21" t="str">
        <f>IF(C442="","",COUNTA($C$3:C442))</f>
        <v/>
      </c>
      <c r="B442" s="35" t="str">
        <f t="shared" si="162"/>
        <v/>
      </c>
      <c r="C442" s="31"/>
      <c r="D442" s="17"/>
      <c r="E442" s="32"/>
      <c r="F442" s="17"/>
      <c r="G442" s="18"/>
      <c r="H442" s="18"/>
      <c r="I442" s="17"/>
      <c r="J442" s="18"/>
      <c r="K442" s="18"/>
      <c r="L442" s="19"/>
      <c r="M442" s="20"/>
      <c r="N442" s="20"/>
      <c r="O442" s="19"/>
      <c r="P442" s="80"/>
      <c r="Q442" s="83"/>
      <c r="R442" s="87"/>
      <c r="S442" s="19"/>
      <c r="T442" s="19"/>
      <c r="U442" s="21"/>
      <c r="V442" s="22" t="str">
        <f t="shared" si="159"/>
        <v/>
      </c>
      <c r="W442" s="23"/>
      <c r="X442" s="19"/>
      <c r="Y442" s="33"/>
      <c r="Z442" s="15"/>
    </row>
    <row r="443" spans="1:26" x14ac:dyDescent="0.25">
      <c r="A443" s="21" t="str">
        <f>IF(C443="","",COUNTA($C$3:C443))</f>
        <v/>
      </c>
      <c r="B443" s="35" t="str">
        <f t="shared" si="162"/>
        <v/>
      </c>
      <c r="C443" s="31"/>
      <c r="D443" s="17"/>
      <c r="E443" s="32"/>
      <c r="F443" s="17"/>
      <c r="G443" s="18"/>
      <c r="H443" s="18"/>
      <c r="I443" s="17"/>
      <c r="J443" s="18"/>
      <c r="K443" s="18"/>
      <c r="L443" s="19"/>
      <c r="M443" s="20"/>
      <c r="N443" s="20"/>
      <c r="O443" s="19"/>
      <c r="P443" s="80"/>
      <c r="Q443" s="83"/>
      <c r="R443" s="87"/>
      <c r="S443" s="19"/>
      <c r="T443" s="19"/>
      <c r="U443" s="21"/>
      <c r="V443" s="22" t="str">
        <f t="shared" si="159"/>
        <v/>
      </c>
      <c r="W443" s="23"/>
      <c r="X443" s="19"/>
      <c r="Y443" s="33"/>
      <c r="Z443" s="15"/>
    </row>
    <row r="444" spans="1:26" x14ac:dyDescent="0.25">
      <c r="A444" s="21" t="str">
        <f>IF(C444="","",COUNTA($C$3:C444))</f>
        <v/>
      </c>
      <c r="B444" s="35" t="str">
        <f t="shared" si="162"/>
        <v/>
      </c>
      <c r="C444" s="31"/>
      <c r="D444" s="17"/>
      <c r="E444" s="32"/>
      <c r="F444" s="17"/>
      <c r="G444" s="18"/>
      <c r="H444" s="18"/>
      <c r="I444" s="17"/>
      <c r="J444" s="18"/>
      <c r="K444" s="18"/>
      <c r="L444" s="19"/>
      <c r="M444" s="20"/>
      <c r="N444" s="20"/>
      <c r="O444" s="20"/>
      <c r="P444" s="80"/>
      <c r="Q444" s="83"/>
      <c r="R444" s="87"/>
      <c r="S444" s="19"/>
      <c r="T444" s="19"/>
      <c r="U444" s="21"/>
      <c r="V444" s="22" t="str">
        <f t="shared" si="159"/>
        <v/>
      </c>
      <c r="W444" s="23"/>
      <c r="X444" s="19"/>
      <c r="Y444" s="33"/>
      <c r="Z444" s="15"/>
    </row>
    <row r="445" spans="1:26" x14ac:dyDescent="0.25">
      <c r="A445" s="21" t="str">
        <f>IF(C445="","",COUNTA($C$3:C445))</f>
        <v/>
      </c>
      <c r="B445" s="35" t="str">
        <f t="shared" si="162"/>
        <v/>
      </c>
      <c r="C445" s="31"/>
      <c r="D445" s="17"/>
      <c r="E445" s="32"/>
      <c r="F445" s="17"/>
      <c r="G445" s="18"/>
      <c r="H445" s="18"/>
      <c r="I445" s="17"/>
      <c r="J445" s="18"/>
      <c r="K445" s="18"/>
      <c r="L445" s="19"/>
      <c r="M445" s="20"/>
      <c r="N445" s="20"/>
      <c r="O445" s="19"/>
      <c r="P445" s="80"/>
      <c r="Q445" s="83"/>
      <c r="R445" s="87"/>
      <c r="S445" s="19"/>
      <c r="T445" s="19"/>
      <c r="U445" s="21"/>
      <c r="V445" s="22" t="str">
        <f t="shared" si="159"/>
        <v/>
      </c>
      <c r="W445" s="23"/>
      <c r="X445" s="19"/>
      <c r="Y445" s="33"/>
      <c r="Z445" s="15"/>
    </row>
    <row r="446" spans="1:26" x14ac:dyDescent="0.25">
      <c r="A446" s="21" t="str">
        <f>IF(C446="","",COUNTA($C$3:C446))</f>
        <v/>
      </c>
      <c r="B446" s="35" t="str">
        <f t="shared" si="162"/>
        <v/>
      </c>
      <c r="C446" s="31"/>
      <c r="D446" s="17"/>
      <c r="E446" s="32"/>
      <c r="F446" s="17"/>
      <c r="G446" s="18"/>
      <c r="H446" s="18"/>
      <c r="I446" s="17"/>
      <c r="J446" s="18"/>
      <c r="K446" s="18"/>
      <c r="L446" s="19"/>
      <c r="M446" s="20"/>
      <c r="N446" s="20"/>
      <c r="O446" s="19"/>
      <c r="P446" s="80"/>
      <c r="Q446" s="83"/>
      <c r="R446" s="87"/>
      <c r="S446" s="19"/>
      <c r="T446" s="19"/>
      <c r="U446" s="21"/>
      <c r="V446" s="22" t="str">
        <f t="shared" si="159"/>
        <v/>
      </c>
      <c r="W446" s="23"/>
      <c r="X446" s="19"/>
      <c r="Y446" s="33"/>
      <c r="Z446" s="15"/>
    </row>
    <row r="447" spans="1:26" x14ac:dyDescent="0.25">
      <c r="A447" s="21" t="str">
        <f>IF(C447="","",COUNTA($C$3:C447))</f>
        <v/>
      </c>
      <c r="B447" s="35" t="str">
        <f t="shared" si="162"/>
        <v/>
      </c>
      <c r="C447" s="31"/>
      <c r="D447" s="17"/>
      <c r="E447" s="32"/>
      <c r="F447" s="17"/>
      <c r="G447" s="18"/>
      <c r="H447" s="18"/>
      <c r="I447" s="17"/>
      <c r="J447" s="18"/>
      <c r="K447" s="18"/>
      <c r="L447" s="19"/>
      <c r="M447" s="20"/>
      <c r="N447" s="20"/>
      <c r="O447" s="20"/>
      <c r="P447" s="80"/>
      <c r="Q447" s="83"/>
      <c r="R447" s="87"/>
      <c r="S447" s="19"/>
      <c r="T447" s="19"/>
      <c r="U447" s="21"/>
      <c r="V447" s="22" t="str">
        <f t="shared" si="159"/>
        <v/>
      </c>
      <c r="W447" s="23"/>
      <c r="X447" s="19"/>
      <c r="Y447" s="33"/>
      <c r="Z447" s="15"/>
    </row>
    <row r="448" spans="1:26" x14ac:dyDescent="0.25">
      <c r="A448" s="21" t="str">
        <f>IF(C448="","",COUNTA($C$3:C448))</f>
        <v/>
      </c>
      <c r="B448" s="35" t="str">
        <f t="shared" si="162"/>
        <v/>
      </c>
      <c r="C448" s="31"/>
      <c r="D448" s="17"/>
      <c r="E448" s="32"/>
      <c r="F448" s="17"/>
      <c r="G448" s="18"/>
      <c r="H448" s="18"/>
      <c r="I448" s="17"/>
      <c r="J448" s="18"/>
      <c r="K448" s="18"/>
      <c r="L448" s="19"/>
      <c r="M448" s="20"/>
      <c r="N448" s="20"/>
      <c r="O448" s="20"/>
      <c r="P448" s="80"/>
      <c r="Q448" s="83"/>
      <c r="R448" s="87"/>
      <c r="S448" s="19"/>
      <c r="T448" s="19"/>
      <c r="U448" s="21"/>
      <c r="V448" s="22" t="str">
        <f t="shared" si="159"/>
        <v/>
      </c>
      <c r="W448" s="23"/>
      <c r="X448" s="19"/>
      <c r="Y448" s="33"/>
      <c r="Z448" s="15"/>
    </row>
    <row r="449" spans="1:26" x14ac:dyDescent="0.25">
      <c r="A449" s="21" t="str">
        <f>IF(C449="","",COUNTA($C$3:C449))</f>
        <v/>
      </c>
      <c r="B449" s="35" t="str">
        <f t="shared" si="162"/>
        <v/>
      </c>
      <c r="C449" s="31"/>
      <c r="D449" s="17"/>
      <c r="E449" s="32"/>
      <c r="F449" s="17"/>
      <c r="G449" s="18"/>
      <c r="H449" s="18"/>
      <c r="I449" s="17"/>
      <c r="J449" s="18"/>
      <c r="K449" s="18"/>
      <c r="L449" s="19"/>
      <c r="M449" s="20"/>
      <c r="N449" s="20"/>
      <c r="O449" s="19"/>
      <c r="P449" s="80"/>
      <c r="Q449" s="83"/>
      <c r="R449" s="87"/>
      <c r="S449" s="19"/>
      <c r="T449" s="19"/>
      <c r="U449" s="21"/>
      <c r="V449" s="22" t="str">
        <f t="shared" si="159"/>
        <v/>
      </c>
      <c r="W449" s="23"/>
      <c r="X449" s="19"/>
      <c r="Y449" s="33"/>
      <c r="Z449" s="15"/>
    </row>
    <row r="450" spans="1:26" x14ac:dyDescent="0.25">
      <c r="A450" s="21" t="str">
        <f>IF(C450="","",COUNTA($C$3:C450))</f>
        <v/>
      </c>
      <c r="B450" s="35" t="str">
        <f t="shared" si="162"/>
        <v/>
      </c>
      <c r="C450" s="31"/>
      <c r="D450" s="17"/>
      <c r="E450" s="32"/>
      <c r="F450" s="17"/>
      <c r="G450" s="18"/>
      <c r="H450" s="18"/>
      <c r="I450" s="17"/>
      <c r="J450" s="18"/>
      <c r="K450" s="18"/>
      <c r="L450" s="19"/>
      <c r="M450" s="20"/>
      <c r="N450" s="20"/>
      <c r="O450" s="19"/>
      <c r="P450" s="80"/>
      <c r="Q450" s="83"/>
      <c r="R450" s="87"/>
      <c r="S450" s="19"/>
      <c r="T450" s="19"/>
      <c r="U450" s="21"/>
      <c r="V450" s="22" t="str">
        <f t="shared" si="159"/>
        <v/>
      </c>
      <c r="W450" s="23"/>
      <c r="X450" s="19"/>
      <c r="Y450" s="33"/>
      <c r="Z450" s="15"/>
    </row>
    <row r="451" spans="1:26" x14ac:dyDescent="0.25">
      <c r="A451" s="21" t="str">
        <f>IF(C451="","",COUNTA($C$3:C451))</f>
        <v/>
      </c>
      <c r="B451" s="35" t="str">
        <f t="shared" si="162"/>
        <v/>
      </c>
      <c r="C451" s="31"/>
      <c r="D451" s="17"/>
      <c r="E451" s="32"/>
      <c r="F451" s="17"/>
      <c r="G451" s="18"/>
      <c r="H451" s="18"/>
      <c r="I451" s="17"/>
      <c r="J451" s="18"/>
      <c r="K451" s="18"/>
      <c r="L451" s="19"/>
      <c r="M451" s="20"/>
      <c r="N451" s="20"/>
      <c r="O451" s="19"/>
      <c r="P451" s="80"/>
      <c r="Q451" s="83"/>
      <c r="R451" s="87"/>
      <c r="S451" s="19"/>
      <c r="T451" s="19"/>
      <c r="U451" s="21"/>
      <c r="V451" s="22" t="str">
        <f t="shared" ref="V451:V514" si="163">IF(U451="","",(U451/T451))</f>
        <v/>
      </c>
      <c r="W451" s="23"/>
      <c r="X451" s="19"/>
      <c r="Y451" s="33"/>
      <c r="Z451" s="15"/>
    </row>
    <row r="452" spans="1:26" x14ac:dyDescent="0.25">
      <c r="A452" s="21" t="str">
        <f>IF(C452="","",COUNTA($C$3:C452))</f>
        <v/>
      </c>
      <c r="B452" s="35" t="str">
        <f t="shared" si="162"/>
        <v/>
      </c>
      <c r="C452" s="31"/>
      <c r="D452" s="17"/>
      <c r="E452" s="32"/>
      <c r="F452" s="17"/>
      <c r="G452" s="18"/>
      <c r="H452" s="18"/>
      <c r="I452" s="17"/>
      <c r="J452" s="18"/>
      <c r="K452" s="18"/>
      <c r="L452" s="19"/>
      <c r="M452" s="20"/>
      <c r="N452" s="20"/>
      <c r="O452" s="19"/>
      <c r="P452" s="80"/>
      <c r="Q452" s="83"/>
      <c r="R452" s="87"/>
      <c r="S452" s="19"/>
      <c r="T452" s="19"/>
      <c r="U452" s="21"/>
      <c r="V452" s="22" t="str">
        <f t="shared" si="163"/>
        <v/>
      </c>
      <c r="W452" s="23"/>
      <c r="X452" s="19"/>
      <c r="Y452" s="33"/>
      <c r="Z452" s="15"/>
    </row>
    <row r="453" spans="1:26" x14ac:dyDescent="0.25">
      <c r="A453" s="21" t="str">
        <f>IF(C453="","",COUNTA($C$3:C453))</f>
        <v/>
      </c>
      <c r="B453" s="35" t="str">
        <f t="shared" si="162"/>
        <v/>
      </c>
      <c r="C453" s="31"/>
      <c r="D453" s="17"/>
      <c r="E453" s="32"/>
      <c r="F453" s="17"/>
      <c r="G453" s="18"/>
      <c r="H453" s="18"/>
      <c r="I453" s="17"/>
      <c r="J453" s="18"/>
      <c r="K453" s="18"/>
      <c r="L453" s="19"/>
      <c r="M453" s="20"/>
      <c r="N453" s="20"/>
      <c r="O453" s="19"/>
      <c r="P453" s="80"/>
      <c r="Q453" s="83"/>
      <c r="R453" s="87"/>
      <c r="S453" s="19"/>
      <c r="T453" s="19"/>
      <c r="U453" s="21"/>
      <c r="V453" s="22" t="str">
        <f t="shared" si="163"/>
        <v/>
      </c>
      <c r="W453" s="23"/>
      <c r="X453" s="19"/>
      <c r="Y453" s="33"/>
      <c r="Z453" s="15"/>
    </row>
    <row r="454" spans="1:26" x14ac:dyDescent="0.25">
      <c r="A454" s="21" t="str">
        <f>IF(C454="","",COUNTA($C$3:C454))</f>
        <v/>
      </c>
      <c r="B454" s="35" t="str">
        <f t="shared" si="162"/>
        <v/>
      </c>
      <c r="C454" s="31"/>
      <c r="D454" s="17"/>
      <c r="E454" s="32"/>
      <c r="F454" s="17"/>
      <c r="G454" s="18"/>
      <c r="H454" s="18"/>
      <c r="I454" s="17"/>
      <c r="J454" s="18"/>
      <c r="K454" s="18"/>
      <c r="L454" s="19"/>
      <c r="M454" s="20"/>
      <c r="N454" s="20"/>
      <c r="O454" s="19"/>
      <c r="P454" s="80"/>
      <c r="Q454" s="83"/>
      <c r="R454" s="87"/>
      <c r="S454" s="19"/>
      <c r="T454" s="19"/>
      <c r="U454" s="21"/>
      <c r="V454" s="22" t="str">
        <f t="shared" si="163"/>
        <v/>
      </c>
      <c r="W454" s="23"/>
      <c r="X454" s="19"/>
      <c r="Y454" s="33"/>
      <c r="Z454" s="15"/>
    </row>
    <row r="455" spans="1:26" x14ac:dyDescent="0.25">
      <c r="A455" s="21" t="str">
        <f>IF(C455="","",COUNTA($C$3:C455))</f>
        <v/>
      </c>
      <c r="B455" s="35" t="str">
        <f t="shared" si="162"/>
        <v/>
      </c>
      <c r="C455" s="31"/>
      <c r="D455" s="17"/>
      <c r="E455" s="32"/>
      <c r="F455" s="17"/>
      <c r="G455" s="18"/>
      <c r="H455" s="18"/>
      <c r="I455" s="17"/>
      <c r="J455" s="18"/>
      <c r="K455" s="18"/>
      <c r="L455" s="19"/>
      <c r="M455" s="20"/>
      <c r="N455" s="20"/>
      <c r="O455" s="19"/>
      <c r="P455" s="80"/>
      <c r="Q455" s="83"/>
      <c r="R455" s="87"/>
      <c r="S455" s="19"/>
      <c r="T455" s="19"/>
      <c r="U455" s="21"/>
      <c r="V455" s="22" t="str">
        <f t="shared" si="163"/>
        <v/>
      </c>
      <c r="W455" s="23"/>
      <c r="X455" s="19"/>
      <c r="Y455" s="33"/>
      <c r="Z455" s="15"/>
    </row>
    <row r="456" spans="1:26" x14ac:dyDescent="0.25">
      <c r="A456" s="21" t="str">
        <f>IF(C456="","",COUNTA($C$3:C456))</f>
        <v/>
      </c>
      <c r="B456" s="35" t="str">
        <f t="shared" si="162"/>
        <v/>
      </c>
      <c r="C456" s="31"/>
      <c r="D456" s="17"/>
      <c r="E456" s="32"/>
      <c r="F456" s="17"/>
      <c r="G456" s="18"/>
      <c r="H456" s="18"/>
      <c r="I456" s="17"/>
      <c r="J456" s="18"/>
      <c r="K456" s="18"/>
      <c r="L456" s="19"/>
      <c r="M456" s="20"/>
      <c r="N456" s="20"/>
      <c r="O456" s="19"/>
      <c r="P456" s="80"/>
      <c r="Q456" s="83"/>
      <c r="R456" s="87"/>
      <c r="S456" s="19"/>
      <c r="T456" s="19"/>
      <c r="U456" s="21"/>
      <c r="V456" s="22" t="str">
        <f t="shared" si="163"/>
        <v/>
      </c>
      <c r="W456" s="23"/>
      <c r="X456" s="19"/>
      <c r="Y456" s="33"/>
      <c r="Z456" s="15"/>
    </row>
    <row r="457" spans="1:26" x14ac:dyDescent="0.25">
      <c r="A457" s="21" t="str">
        <f>IF(C457="","",COUNTA($C$3:C457))</f>
        <v/>
      </c>
      <c r="B457" s="35" t="str">
        <f t="shared" si="162"/>
        <v/>
      </c>
      <c r="C457" s="31"/>
      <c r="D457" s="17"/>
      <c r="E457" s="32"/>
      <c r="F457" s="17"/>
      <c r="G457" s="18"/>
      <c r="H457" s="18"/>
      <c r="I457" s="17"/>
      <c r="J457" s="18"/>
      <c r="K457" s="18"/>
      <c r="L457" s="19"/>
      <c r="M457" s="20"/>
      <c r="N457" s="20"/>
      <c r="O457" s="19"/>
      <c r="P457" s="80"/>
      <c r="Q457" s="83"/>
      <c r="R457" s="87"/>
      <c r="S457" s="19"/>
      <c r="T457" s="19"/>
      <c r="U457" s="21"/>
      <c r="V457" s="22" t="str">
        <f t="shared" si="163"/>
        <v/>
      </c>
      <c r="W457" s="23"/>
      <c r="X457" s="19"/>
      <c r="Y457" s="33"/>
      <c r="Z457" s="15"/>
    </row>
    <row r="458" spans="1:26" x14ac:dyDescent="0.25">
      <c r="A458" s="21" t="str">
        <f>IF(C458="","",COUNTA($C$3:C458))</f>
        <v/>
      </c>
      <c r="B458" s="35" t="str">
        <f t="shared" si="162"/>
        <v/>
      </c>
      <c r="C458" s="31"/>
      <c r="D458" s="17"/>
      <c r="E458" s="32"/>
      <c r="F458" s="17"/>
      <c r="G458" s="18"/>
      <c r="H458" s="18"/>
      <c r="I458" s="17"/>
      <c r="J458" s="18"/>
      <c r="K458" s="18"/>
      <c r="L458" s="19"/>
      <c r="M458" s="20"/>
      <c r="N458" s="20"/>
      <c r="O458" s="19"/>
      <c r="P458" s="80"/>
      <c r="Q458" s="83"/>
      <c r="R458" s="87"/>
      <c r="S458" s="19"/>
      <c r="T458" s="19"/>
      <c r="U458" s="21"/>
      <c r="V458" s="22" t="str">
        <f t="shared" si="163"/>
        <v/>
      </c>
      <c r="W458" s="23"/>
      <c r="X458" s="19"/>
      <c r="Y458" s="33"/>
      <c r="Z458" s="15"/>
    </row>
    <row r="459" spans="1:26" x14ac:dyDescent="0.25">
      <c r="A459" s="21" t="str">
        <f>IF(C459="","",COUNTA($C$3:C459))</f>
        <v/>
      </c>
      <c r="B459" s="35" t="str">
        <f t="shared" si="162"/>
        <v/>
      </c>
      <c r="C459" s="31"/>
      <c r="D459" s="17"/>
      <c r="E459" s="32"/>
      <c r="F459" s="17"/>
      <c r="G459" s="18"/>
      <c r="H459" s="18"/>
      <c r="I459" s="17"/>
      <c r="J459" s="18"/>
      <c r="K459" s="18"/>
      <c r="L459" s="19"/>
      <c r="M459" s="20"/>
      <c r="N459" s="20"/>
      <c r="O459" s="19"/>
      <c r="P459" s="80"/>
      <c r="Q459" s="83"/>
      <c r="R459" s="87"/>
      <c r="S459" s="19"/>
      <c r="T459" s="19"/>
      <c r="U459" s="21"/>
      <c r="V459" s="22" t="str">
        <f t="shared" si="163"/>
        <v/>
      </c>
      <c r="W459" s="23"/>
      <c r="X459" s="19"/>
      <c r="Y459" s="33"/>
      <c r="Z459" s="15"/>
    </row>
    <row r="460" spans="1:26" x14ac:dyDescent="0.25">
      <c r="A460" s="21" t="str">
        <f>IF(C460="","",COUNTA($C$3:C460))</f>
        <v/>
      </c>
      <c r="B460" s="35" t="str">
        <f t="shared" si="162"/>
        <v/>
      </c>
      <c r="C460" s="31"/>
      <c r="D460" s="17"/>
      <c r="E460" s="32"/>
      <c r="F460" s="17"/>
      <c r="G460" s="18"/>
      <c r="H460" s="18"/>
      <c r="I460" s="17"/>
      <c r="J460" s="18"/>
      <c r="K460" s="18"/>
      <c r="L460" s="19"/>
      <c r="M460" s="20"/>
      <c r="N460" s="20"/>
      <c r="O460" s="20"/>
      <c r="P460" s="80"/>
      <c r="Q460" s="83"/>
      <c r="R460" s="87"/>
      <c r="S460" s="19"/>
      <c r="T460" s="19"/>
      <c r="U460" s="21"/>
      <c r="V460" s="22" t="str">
        <f t="shared" si="163"/>
        <v/>
      </c>
      <c r="W460" s="23"/>
      <c r="X460" s="19"/>
      <c r="Y460" s="33"/>
      <c r="Z460" s="15"/>
    </row>
    <row r="461" spans="1:26" x14ac:dyDescent="0.25">
      <c r="A461" s="21" t="str">
        <f>IF(C461="","",COUNTA($C$3:C461))</f>
        <v/>
      </c>
      <c r="B461" s="35" t="str">
        <f t="shared" si="162"/>
        <v/>
      </c>
      <c r="C461" s="31"/>
      <c r="D461" s="17"/>
      <c r="E461" s="32"/>
      <c r="F461" s="17"/>
      <c r="G461" s="18"/>
      <c r="H461" s="18"/>
      <c r="I461" s="17"/>
      <c r="J461" s="18"/>
      <c r="K461" s="18"/>
      <c r="L461" s="19"/>
      <c r="M461" s="20"/>
      <c r="N461" s="20"/>
      <c r="O461" s="19"/>
      <c r="P461" s="80"/>
      <c r="Q461" s="83"/>
      <c r="R461" s="87"/>
      <c r="S461" s="19"/>
      <c r="T461" s="19"/>
      <c r="U461" s="21"/>
      <c r="V461" s="22" t="str">
        <f t="shared" si="163"/>
        <v/>
      </c>
      <c r="W461" s="23"/>
      <c r="X461" s="19"/>
      <c r="Y461" s="33"/>
      <c r="Z461" s="15"/>
    </row>
    <row r="462" spans="1:26" x14ac:dyDescent="0.25">
      <c r="A462" s="21" t="str">
        <f>IF(C462="","",COUNTA($C$3:C462))</f>
        <v/>
      </c>
      <c r="B462" s="35" t="str">
        <f t="shared" si="162"/>
        <v/>
      </c>
      <c r="C462" s="31"/>
      <c r="D462" s="17"/>
      <c r="E462" s="32"/>
      <c r="F462" s="17"/>
      <c r="G462" s="18"/>
      <c r="H462" s="18"/>
      <c r="I462" s="17"/>
      <c r="J462" s="18"/>
      <c r="K462" s="18"/>
      <c r="L462" s="19"/>
      <c r="M462" s="20"/>
      <c r="N462" s="20"/>
      <c r="O462" s="20"/>
      <c r="P462" s="80"/>
      <c r="Q462" s="83"/>
      <c r="R462" s="87"/>
      <c r="S462" s="19"/>
      <c r="T462" s="19"/>
      <c r="U462" s="21"/>
      <c r="V462" s="22" t="str">
        <f t="shared" si="163"/>
        <v/>
      </c>
      <c r="W462" s="23"/>
      <c r="X462" s="19"/>
      <c r="Y462" s="33"/>
      <c r="Z462" s="15"/>
    </row>
    <row r="463" spans="1:26" x14ac:dyDescent="0.25">
      <c r="A463" s="21" t="str">
        <f>IF(C463="","",COUNTA($C$3:C463))</f>
        <v/>
      </c>
      <c r="B463" s="35" t="str">
        <f t="shared" si="162"/>
        <v/>
      </c>
      <c r="C463" s="31"/>
      <c r="D463" s="17"/>
      <c r="E463" s="32"/>
      <c r="F463" s="17"/>
      <c r="G463" s="18"/>
      <c r="H463" s="18"/>
      <c r="I463" s="17"/>
      <c r="J463" s="18"/>
      <c r="K463" s="18"/>
      <c r="L463" s="19"/>
      <c r="M463" s="20"/>
      <c r="N463" s="20"/>
      <c r="O463" s="20"/>
      <c r="P463" s="80"/>
      <c r="Q463" s="83"/>
      <c r="R463" s="87"/>
      <c r="S463" s="19"/>
      <c r="T463" s="19"/>
      <c r="U463" s="21"/>
      <c r="V463" s="22" t="str">
        <f t="shared" si="163"/>
        <v/>
      </c>
      <c r="W463" s="23"/>
      <c r="X463" s="19"/>
      <c r="Y463" s="33"/>
      <c r="Z463" s="15"/>
    </row>
    <row r="464" spans="1:26" x14ac:dyDescent="0.25">
      <c r="A464" s="21" t="str">
        <f>IF(C464="","",COUNTA($C$3:C464))</f>
        <v/>
      </c>
      <c r="B464" s="35" t="str">
        <f t="shared" si="162"/>
        <v/>
      </c>
      <c r="C464" s="31"/>
      <c r="D464" s="17"/>
      <c r="E464" s="32"/>
      <c r="F464" s="17"/>
      <c r="G464" s="18"/>
      <c r="H464" s="18"/>
      <c r="I464" s="17"/>
      <c r="J464" s="18"/>
      <c r="K464" s="18"/>
      <c r="L464" s="19"/>
      <c r="M464" s="20"/>
      <c r="N464" s="20"/>
      <c r="O464" s="20"/>
      <c r="P464" s="80"/>
      <c r="Q464" s="83"/>
      <c r="R464" s="87"/>
      <c r="S464" s="19"/>
      <c r="T464" s="19"/>
      <c r="U464" s="21"/>
      <c r="V464" s="22" t="str">
        <f t="shared" si="163"/>
        <v/>
      </c>
      <c r="W464" s="23"/>
      <c r="X464" s="19"/>
      <c r="Y464" s="33"/>
      <c r="Z464" s="15"/>
    </row>
    <row r="465" spans="1:26" x14ac:dyDescent="0.25">
      <c r="A465" s="21" t="str">
        <f>IF(C465="","",COUNTA($C$3:C465))</f>
        <v/>
      </c>
      <c r="B465" s="35" t="str">
        <f t="shared" si="162"/>
        <v/>
      </c>
      <c r="C465" s="31"/>
      <c r="D465" s="17"/>
      <c r="E465" s="32"/>
      <c r="F465" s="17"/>
      <c r="G465" s="18"/>
      <c r="H465" s="18"/>
      <c r="I465" s="17"/>
      <c r="J465" s="18"/>
      <c r="K465" s="18"/>
      <c r="L465" s="19"/>
      <c r="M465" s="20"/>
      <c r="N465" s="20"/>
      <c r="O465" s="20"/>
      <c r="P465" s="80"/>
      <c r="Q465" s="83"/>
      <c r="R465" s="87"/>
      <c r="S465" s="19"/>
      <c r="T465" s="19"/>
      <c r="U465" s="21"/>
      <c r="V465" s="22" t="str">
        <f t="shared" si="163"/>
        <v/>
      </c>
      <c r="W465" s="23"/>
      <c r="X465" s="19"/>
      <c r="Y465" s="33"/>
      <c r="Z465" s="15"/>
    </row>
    <row r="466" spans="1:26" x14ac:dyDescent="0.25">
      <c r="A466" s="21" t="str">
        <f>IF(C466="","",COUNTA($C$3:C466))</f>
        <v/>
      </c>
      <c r="B466" s="35" t="str">
        <f t="shared" si="162"/>
        <v/>
      </c>
      <c r="C466" s="31"/>
      <c r="D466" s="17"/>
      <c r="E466" s="32"/>
      <c r="F466" s="17"/>
      <c r="G466" s="18"/>
      <c r="H466" s="18"/>
      <c r="I466" s="17"/>
      <c r="J466" s="18"/>
      <c r="K466" s="18"/>
      <c r="L466" s="19"/>
      <c r="M466" s="20"/>
      <c r="N466" s="20"/>
      <c r="O466" s="19"/>
      <c r="P466" s="80"/>
      <c r="Q466" s="83"/>
      <c r="R466" s="87"/>
      <c r="S466" s="19"/>
      <c r="T466" s="19"/>
      <c r="U466" s="21"/>
      <c r="V466" s="22" t="str">
        <f t="shared" si="163"/>
        <v/>
      </c>
      <c r="W466" s="23"/>
      <c r="X466" s="74"/>
      <c r="Y466" s="33"/>
      <c r="Z466" s="15"/>
    </row>
    <row r="467" spans="1:26" x14ac:dyDescent="0.25">
      <c r="A467" s="21" t="str">
        <f>IF(C467="","",COUNTA($C$3:C467))</f>
        <v/>
      </c>
      <c r="B467" s="35" t="str">
        <f t="shared" si="162"/>
        <v/>
      </c>
      <c r="C467" s="31"/>
      <c r="D467" s="17"/>
      <c r="E467" s="32"/>
      <c r="F467" s="17"/>
      <c r="G467" s="18"/>
      <c r="H467" s="18"/>
      <c r="I467" s="17"/>
      <c r="J467" s="18"/>
      <c r="K467" s="18"/>
      <c r="L467" s="19"/>
      <c r="M467" s="20"/>
      <c r="N467" s="20"/>
      <c r="O467" s="19"/>
      <c r="P467" s="80"/>
      <c r="Q467" s="83"/>
      <c r="R467" s="87"/>
      <c r="S467" s="19"/>
      <c r="T467" s="19"/>
      <c r="U467" s="21"/>
      <c r="V467" s="22" t="str">
        <f t="shared" si="163"/>
        <v/>
      </c>
      <c r="W467" s="23"/>
      <c r="X467" s="74"/>
      <c r="Y467" s="33"/>
      <c r="Z467" s="15"/>
    </row>
    <row r="468" spans="1:26" x14ac:dyDescent="0.25">
      <c r="A468" s="21" t="str">
        <f>IF(C468="","",COUNTA($C$3:C468))</f>
        <v/>
      </c>
      <c r="B468" s="35" t="str">
        <f t="shared" si="162"/>
        <v/>
      </c>
      <c r="C468" s="31"/>
      <c r="D468" s="17"/>
      <c r="E468" s="32"/>
      <c r="F468" s="17"/>
      <c r="G468" s="18"/>
      <c r="H468" s="18"/>
      <c r="I468" s="17"/>
      <c r="J468" s="18"/>
      <c r="K468" s="18"/>
      <c r="L468" s="19"/>
      <c r="M468" s="20"/>
      <c r="N468" s="20"/>
      <c r="O468" s="20"/>
      <c r="P468" s="80"/>
      <c r="Q468" s="83"/>
      <c r="R468" s="87"/>
      <c r="S468" s="19"/>
      <c r="T468" s="19"/>
      <c r="U468" s="21"/>
      <c r="V468" s="22" t="str">
        <f t="shared" si="163"/>
        <v/>
      </c>
      <c r="W468" s="23"/>
      <c r="X468" s="74"/>
      <c r="Y468" s="33"/>
      <c r="Z468" s="15"/>
    </row>
    <row r="469" spans="1:26" x14ac:dyDescent="0.25">
      <c r="A469" s="21" t="str">
        <f>IF(C469="","",COUNTA($C$3:C469))</f>
        <v/>
      </c>
      <c r="B469" s="35" t="str">
        <f t="shared" si="162"/>
        <v/>
      </c>
      <c r="C469" s="31"/>
      <c r="D469" s="17"/>
      <c r="E469" s="32"/>
      <c r="F469" s="17"/>
      <c r="G469" s="18"/>
      <c r="H469" s="18"/>
      <c r="I469" s="17"/>
      <c r="J469" s="18"/>
      <c r="K469" s="18"/>
      <c r="L469" s="19"/>
      <c r="M469" s="20"/>
      <c r="N469" s="20"/>
      <c r="O469" s="20"/>
      <c r="P469" s="80"/>
      <c r="Q469" s="83"/>
      <c r="R469" s="87"/>
      <c r="S469" s="19"/>
      <c r="T469" s="19"/>
      <c r="U469" s="21"/>
      <c r="V469" s="22" t="str">
        <f t="shared" si="163"/>
        <v/>
      </c>
      <c r="W469" s="23"/>
      <c r="X469" s="74"/>
      <c r="Y469" s="33"/>
      <c r="Z469" s="15"/>
    </row>
    <row r="470" spans="1:26" x14ac:dyDescent="0.25">
      <c r="A470" s="21" t="str">
        <f>IF(C470="","",COUNTA($C$3:C470))</f>
        <v/>
      </c>
      <c r="B470" s="35" t="str">
        <f t="shared" si="162"/>
        <v/>
      </c>
      <c r="C470" s="131"/>
      <c r="D470" s="132"/>
      <c r="E470" s="133"/>
      <c r="F470" s="132"/>
      <c r="G470" s="134"/>
      <c r="H470" s="134"/>
      <c r="I470" s="132"/>
      <c r="J470" s="134"/>
      <c r="K470" s="134"/>
      <c r="L470" s="135"/>
      <c r="M470" s="136"/>
      <c r="N470" s="136"/>
      <c r="O470" s="135"/>
      <c r="P470" s="137"/>
      <c r="Q470" s="137"/>
      <c r="R470" s="138"/>
      <c r="S470" s="135"/>
      <c r="T470" s="135"/>
      <c r="U470" s="139"/>
      <c r="V470" s="22" t="str">
        <f t="shared" si="163"/>
        <v/>
      </c>
      <c r="W470" s="140"/>
      <c r="X470" s="141"/>
      <c r="Y470" s="141"/>
      <c r="Z470" s="141"/>
    </row>
    <row r="471" spans="1:26" x14ac:dyDescent="0.25">
      <c r="A471" s="21" t="str">
        <f>IF(C471="","",COUNTA($C$3:C471))</f>
        <v/>
      </c>
      <c r="B471" s="35" t="str">
        <f t="shared" si="162"/>
        <v/>
      </c>
      <c r="C471" s="31"/>
      <c r="D471" s="17"/>
      <c r="E471" s="32"/>
      <c r="F471" s="17"/>
      <c r="G471" s="18"/>
      <c r="H471" s="18"/>
      <c r="I471" s="17"/>
      <c r="J471" s="18"/>
      <c r="K471" s="18"/>
      <c r="L471" s="19"/>
      <c r="M471" s="20"/>
      <c r="N471" s="20"/>
      <c r="O471" s="20"/>
      <c r="P471" s="80"/>
      <c r="Q471" s="83"/>
      <c r="R471" s="87"/>
      <c r="S471" s="19"/>
      <c r="T471" s="19"/>
      <c r="U471" s="21"/>
      <c r="V471" s="22" t="str">
        <f t="shared" si="163"/>
        <v/>
      </c>
      <c r="W471" s="23"/>
      <c r="X471" s="19"/>
      <c r="Y471" s="33"/>
      <c r="Z471" s="15"/>
    </row>
    <row r="472" spans="1:26" x14ac:dyDescent="0.25">
      <c r="A472" s="21" t="str">
        <f>IF(C472="","",COUNTA($C$3:C472))</f>
        <v/>
      </c>
      <c r="B472" s="35" t="str">
        <f t="shared" si="162"/>
        <v/>
      </c>
      <c r="C472" s="31"/>
      <c r="D472" s="17"/>
      <c r="E472" s="32"/>
      <c r="F472" s="17"/>
      <c r="G472" s="18"/>
      <c r="H472" s="18"/>
      <c r="I472" s="17"/>
      <c r="J472" s="18"/>
      <c r="K472" s="18"/>
      <c r="L472" s="19"/>
      <c r="M472" s="20"/>
      <c r="N472" s="20"/>
      <c r="O472" s="20"/>
      <c r="P472" s="80"/>
      <c r="Q472" s="83"/>
      <c r="R472" s="87"/>
      <c r="S472" s="19"/>
      <c r="T472" s="19"/>
      <c r="U472" s="21"/>
      <c r="V472" s="22" t="str">
        <f t="shared" si="163"/>
        <v/>
      </c>
      <c r="W472" s="23"/>
      <c r="X472" s="74"/>
      <c r="Y472" s="33"/>
      <c r="Z472" s="15"/>
    </row>
    <row r="473" spans="1:26" x14ac:dyDescent="0.25">
      <c r="A473" s="21" t="str">
        <f>IF(C473="","",COUNTA($C$3:C473))</f>
        <v/>
      </c>
      <c r="B473" s="35" t="str">
        <f t="shared" si="162"/>
        <v/>
      </c>
      <c r="C473" s="31"/>
      <c r="D473" s="17"/>
      <c r="E473" s="32"/>
      <c r="F473" s="17"/>
      <c r="G473" s="18"/>
      <c r="H473" s="18"/>
      <c r="I473" s="17"/>
      <c r="J473" s="18"/>
      <c r="K473" s="18"/>
      <c r="L473" s="19"/>
      <c r="M473" s="20"/>
      <c r="N473" s="20"/>
      <c r="O473" s="20"/>
      <c r="P473" s="80"/>
      <c r="Q473" s="83"/>
      <c r="R473" s="87"/>
      <c r="S473" s="19"/>
      <c r="T473" s="19"/>
      <c r="U473" s="21"/>
      <c r="V473" s="22" t="str">
        <f t="shared" si="163"/>
        <v/>
      </c>
      <c r="W473" s="23"/>
      <c r="X473" s="19"/>
      <c r="Y473" s="33"/>
      <c r="Z473" s="15"/>
    </row>
    <row r="474" spans="1:26" x14ac:dyDescent="0.25">
      <c r="A474" s="21" t="str">
        <f>IF(C474="","",COUNTA($C$3:C474))</f>
        <v/>
      </c>
      <c r="B474" s="35" t="str">
        <f t="shared" si="162"/>
        <v/>
      </c>
      <c r="C474" s="31"/>
      <c r="D474" s="17"/>
      <c r="E474" s="32"/>
      <c r="F474" s="17"/>
      <c r="G474" s="18"/>
      <c r="H474" s="18"/>
      <c r="I474" s="17"/>
      <c r="J474" s="18"/>
      <c r="K474" s="18"/>
      <c r="L474" s="19"/>
      <c r="M474" s="20"/>
      <c r="N474" s="20"/>
      <c r="O474" s="19"/>
      <c r="P474" s="80"/>
      <c r="Q474" s="83"/>
      <c r="R474" s="87"/>
      <c r="S474" s="19"/>
      <c r="T474" s="19"/>
      <c r="U474" s="21"/>
      <c r="V474" s="22" t="str">
        <f t="shared" si="163"/>
        <v/>
      </c>
      <c r="W474" s="23"/>
      <c r="X474" s="19"/>
      <c r="Y474" s="33"/>
      <c r="Z474" s="15"/>
    </row>
    <row r="475" spans="1:26" x14ac:dyDescent="0.25">
      <c r="A475" s="21" t="str">
        <f>IF(C475="","",COUNTA($C$3:C475))</f>
        <v/>
      </c>
      <c r="B475" s="35" t="str">
        <f t="shared" si="162"/>
        <v/>
      </c>
      <c r="C475" s="31"/>
      <c r="D475" s="17"/>
      <c r="E475" s="32"/>
      <c r="F475" s="17"/>
      <c r="G475" s="18"/>
      <c r="H475" s="18"/>
      <c r="I475" s="17"/>
      <c r="J475" s="18"/>
      <c r="K475" s="18"/>
      <c r="L475" s="19"/>
      <c r="M475" s="20"/>
      <c r="N475" s="20"/>
      <c r="O475" s="19"/>
      <c r="P475" s="80"/>
      <c r="Q475" s="83"/>
      <c r="R475" s="87"/>
      <c r="S475" s="19"/>
      <c r="T475" s="19"/>
      <c r="U475" s="21"/>
      <c r="V475" s="22" t="str">
        <f t="shared" si="163"/>
        <v/>
      </c>
      <c r="W475" s="23"/>
      <c r="X475" s="74"/>
      <c r="Y475" s="33"/>
      <c r="Z475" s="15"/>
    </row>
    <row r="476" spans="1:26" x14ac:dyDescent="0.25">
      <c r="A476" s="21" t="str">
        <f>IF(C476="","",COUNTA($C$3:C476))</f>
        <v/>
      </c>
      <c r="B476" s="35" t="str">
        <f t="shared" si="162"/>
        <v/>
      </c>
      <c r="C476" s="31"/>
      <c r="D476" s="17"/>
      <c r="E476" s="32"/>
      <c r="F476" s="17"/>
      <c r="G476" s="18"/>
      <c r="H476" s="18"/>
      <c r="I476" s="17"/>
      <c r="J476" s="18"/>
      <c r="K476" s="18"/>
      <c r="L476" s="19"/>
      <c r="M476" s="20"/>
      <c r="N476" s="20"/>
      <c r="O476" s="20"/>
      <c r="P476" s="80"/>
      <c r="Q476" s="83"/>
      <c r="R476" s="87"/>
      <c r="S476" s="19"/>
      <c r="T476" s="19"/>
      <c r="U476" s="21"/>
      <c r="V476" s="22" t="str">
        <f t="shared" si="163"/>
        <v/>
      </c>
      <c r="W476" s="23"/>
      <c r="X476" s="19"/>
      <c r="Y476" s="33"/>
      <c r="Z476" s="15"/>
    </row>
    <row r="477" spans="1:26" x14ac:dyDescent="0.25">
      <c r="A477" s="21" t="str">
        <f>IF(C477="","",COUNTA($C$3:C477))</f>
        <v/>
      </c>
      <c r="B477" s="35" t="str">
        <f t="shared" si="162"/>
        <v/>
      </c>
      <c r="C477" s="31"/>
      <c r="D477" s="17"/>
      <c r="E477" s="32"/>
      <c r="F477" s="17"/>
      <c r="G477" s="18"/>
      <c r="H477" s="18"/>
      <c r="I477" s="17"/>
      <c r="J477" s="18"/>
      <c r="K477" s="18"/>
      <c r="L477" s="19"/>
      <c r="M477" s="20"/>
      <c r="N477" s="20"/>
      <c r="O477" s="20"/>
      <c r="P477" s="80"/>
      <c r="Q477" s="83"/>
      <c r="R477" s="87"/>
      <c r="S477" s="19"/>
      <c r="T477" s="19"/>
      <c r="U477" s="21"/>
      <c r="V477" s="22" t="str">
        <f t="shared" si="163"/>
        <v/>
      </c>
      <c r="W477" s="23"/>
      <c r="X477" s="19"/>
      <c r="Y477" s="33"/>
      <c r="Z477" s="15"/>
    </row>
    <row r="478" spans="1:26" x14ac:dyDescent="0.25">
      <c r="A478" s="21" t="str">
        <f>IF(C478="","",COUNTA($C$3:C478))</f>
        <v/>
      </c>
      <c r="B478" s="35" t="str">
        <f t="shared" si="162"/>
        <v/>
      </c>
      <c r="C478" s="31"/>
      <c r="D478" s="17"/>
      <c r="E478" s="32"/>
      <c r="F478" s="17"/>
      <c r="G478" s="18"/>
      <c r="H478" s="18"/>
      <c r="I478" s="17"/>
      <c r="J478" s="18"/>
      <c r="K478" s="18"/>
      <c r="L478" s="19"/>
      <c r="M478" s="20"/>
      <c r="N478" s="20"/>
      <c r="O478" s="19"/>
      <c r="P478" s="80"/>
      <c r="Q478" s="83"/>
      <c r="R478" s="87"/>
      <c r="S478" s="19"/>
      <c r="T478" s="19"/>
      <c r="U478" s="21"/>
      <c r="V478" s="22" t="str">
        <f t="shared" si="163"/>
        <v/>
      </c>
      <c r="W478" s="23"/>
      <c r="X478" s="74"/>
      <c r="Y478" s="33"/>
      <c r="Z478" s="15"/>
    </row>
    <row r="479" spans="1:26" x14ac:dyDescent="0.25">
      <c r="A479" s="21" t="str">
        <f>IF(C479="","",COUNTA($C$3:C479))</f>
        <v/>
      </c>
      <c r="B479" s="35" t="str">
        <f t="shared" si="162"/>
        <v/>
      </c>
      <c r="C479" s="31"/>
      <c r="D479" s="17"/>
      <c r="E479" s="32"/>
      <c r="F479" s="17"/>
      <c r="G479" s="18"/>
      <c r="H479" s="18"/>
      <c r="I479" s="17"/>
      <c r="J479" s="18"/>
      <c r="K479" s="18"/>
      <c r="L479" s="19"/>
      <c r="M479" s="20"/>
      <c r="N479" s="20"/>
      <c r="O479" s="19"/>
      <c r="P479" s="80"/>
      <c r="Q479" s="83"/>
      <c r="R479" s="87"/>
      <c r="S479" s="19"/>
      <c r="T479" s="19"/>
      <c r="U479" s="21"/>
      <c r="V479" s="22" t="str">
        <f t="shared" si="163"/>
        <v/>
      </c>
      <c r="W479" s="23"/>
      <c r="X479" s="74"/>
      <c r="Y479" s="33"/>
      <c r="Z479" s="15"/>
    </row>
    <row r="480" spans="1:26" x14ac:dyDescent="0.25">
      <c r="A480" s="21" t="str">
        <f>IF(C480="","",COUNTA($C$3:C480))</f>
        <v/>
      </c>
      <c r="B480" s="35" t="str">
        <f t="shared" si="162"/>
        <v/>
      </c>
      <c r="C480" s="31"/>
      <c r="D480" s="17"/>
      <c r="E480" s="32"/>
      <c r="F480" s="17"/>
      <c r="G480" s="18"/>
      <c r="H480" s="18"/>
      <c r="I480" s="17"/>
      <c r="J480" s="18"/>
      <c r="K480" s="18"/>
      <c r="L480" s="19"/>
      <c r="M480" s="20"/>
      <c r="N480" s="20"/>
      <c r="O480" s="20"/>
      <c r="P480" s="80"/>
      <c r="Q480" s="83"/>
      <c r="R480" s="87"/>
      <c r="S480" s="19"/>
      <c r="T480" s="19"/>
      <c r="U480" s="21"/>
      <c r="V480" s="22" t="str">
        <f t="shared" si="163"/>
        <v/>
      </c>
      <c r="W480" s="23"/>
      <c r="X480" s="74"/>
      <c r="Y480" s="33"/>
      <c r="Z480" s="15"/>
    </row>
    <row r="481" spans="1:26" x14ac:dyDescent="0.25">
      <c r="A481" s="21" t="str">
        <f>IF(C481="","",COUNTA($C$3:C481))</f>
        <v/>
      </c>
      <c r="B481" s="35" t="str">
        <f t="shared" si="162"/>
        <v/>
      </c>
      <c r="C481" s="31"/>
      <c r="D481" s="17"/>
      <c r="E481" s="32"/>
      <c r="F481" s="17"/>
      <c r="G481" s="18"/>
      <c r="H481" s="18"/>
      <c r="I481" s="17"/>
      <c r="J481" s="18"/>
      <c r="K481" s="18"/>
      <c r="L481" s="19"/>
      <c r="M481" s="20"/>
      <c r="N481" s="20"/>
      <c r="O481" s="20"/>
      <c r="P481" s="80"/>
      <c r="Q481" s="83"/>
      <c r="R481" s="87"/>
      <c r="S481" s="19"/>
      <c r="T481" s="19"/>
      <c r="U481" s="21"/>
      <c r="V481" s="22" t="str">
        <f t="shared" si="163"/>
        <v/>
      </c>
      <c r="W481" s="23"/>
      <c r="X481" s="74"/>
      <c r="Y481" s="33"/>
      <c r="Z481" s="15"/>
    </row>
    <row r="482" spans="1:26" x14ac:dyDescent="0.25">
      <c r="A482" s="21" t="str">
        <f>IF(C482="","",COUNTA($C$3:C482))</f>
        <v/>
      </c>
      <c r="B482" s="35" t="str">
        <f t="shared" si="162"/>
        <v/>
      </c>
      <c r="C482" s="31"/>
      <c r="D482" s="17"/>
      <c r="E482" s="32"/>
      <c r="F482" s="17"/>
      <c r="G482" s="18"/>
      <c r="H482" s="18"/>
      <c r="I482" s="17"/>
      <c r="J482" s="18"/>
      <c r="K482" s="18"/>
      <c r="L482" s="19"/>
      <c r="M482" s="20"/>
      <c r="N482" s="20"/>
      <c r="O482" s="19"/>
      <c r="P482" s="80"/>
      <c r="Q482" s="83"/>
      <c r="R482" s="87"/>
      <c r="S482" s="19"/>
      <c r="T482" s="19"/>
      <c r="U482" s="21"/>
      <c r="V482" s="22" t="str">
        <f t="shared" si="163"/>
        <v/>
      </c>
      <c r="W482" s="23"/>
      <c r="X482" s="74"/>
      <c r="Y482" s="33"/>
      <c r="Z482" s="15"/>
    </row>
    <row r="483" spans="1:26" x14ac:dyDescent="0.25">
      <c r="A483" s="21" t="str">
        <f>IF(C483="","",COUNTA($C$3:C483))</f>
        <v/>
      </c>
      <c r="B483" s="35" t="str">
        <f t="shared" si="162"/>
        <v/>
      </c>
      <c r="C483" s="31"/>
      <c r="D483" s="17"/>
      <c r="E483" s="32"/>
      <c r="F483" s="17"/>
      <c r="G483" s="18"/>
      <c r="H483" s="18"/>
      <c r="I483" s="17"/>
      <c r="J483" s="18"/>
      <c r="K483" s="18"/>
      <c r="L483" s="19"/>
      <c r="M483" s="20"/>
      <c r="N483" s="20"/>
      <c r="O483" s="20"/>
      <c r="P483" s="80"/>
      <c r="Q483" s="83"/>
      <c r="R483" s="87"/>
      <c r="S483" s="19"/>
      <c r="T483" s="19"/>
      <c r="U483" s="21"/>
      <c r="V483" s="22" t="str">
        <f t="shared" si="163"/>
        <v/>
      </c>
      <c r="W483" s="23"/>
      <c r="X483" s="74"/>
      <c r="Y483" s="33"/>
      <c r="Z483" s="15"/>
    </row>
    <row r="484" spans="1:26" x14ac:dyDescent="0.25">
      <c r="A484" s="21" t="str">
        <f>IF(C484="","",COUNTA($C$3:C484))</f>
        <v/>
      </c>
      <c r="B484" s="35" t="str">
        <f t="shared" si="162"/>
        <v/>
      </c>
      <c r="C484" s="31"/>
      <c r="D484" s="17"/>
      <c r="E484" s="32"/>
      <c r="F484" s="17"/>
      <c r="G484" s="18"/>
      <c r="H484" s="18"/>
      <c r="I484" s="17"/>
      <c r="J484" s="18"/>
      <c r="K484" s="18"/>
      <c r="L484" s="19"/>
      <c r="M484" s="20"/>
      <c r="N484" s="20"/>
      <c r="O484" s="20"/>
      <c r="P484" s="80"/>
      <c r="Q484" s="83"/>
      <c r="R484" s="87"/>
      <c r="S484" s="19"/>
      <c r="T484" s="19"/>
      <c r="U484" s="21"/>
      <c r="V484" s="22" t="str">
        <f t="shared" si="163"/>
        <v/>
      </c>
      <c r="W484" s="23"/>
      <c r="X484" s="74"/>
      <c r="Y484" s="33"/>
      <c r="Z484" s="15"/>
    </row>
    <row r="485" spans="1:26" x14ac:dyDescent="0.25">
      <c r="A485" s="21" t="str">
        <f>IF(C485="","",COUNTA($C$3:C485))</f>
        <v/>
      </c>
      <c r="B485" s="35" t="str">
        <f t="shared" si="162"/>
        <v/>
      </c>
      <c r="C485" s="31"/>
      <c r="D485" s="17"/>
      <c r="E485" s="32"/>
      <c r="F485" s="17"/>
      <c r="G485" s="18"/>
      <c r="H485" s="18"/>
      <c r="I485" s="17"/>
      <c r="J485" s="18"/>
      <c r="K485" s="18"/>
      <c r="L485" s="19"/>
      <c r="M485" s="20"/>
      <c r="N485" s="20"/>
      <c r="O485" s="19"/>
      <c r="P485" s="80"/>
      <c r="Q485" s="83"/>
      <c r="R485" s="87"/>
      <c r="S485" s="19"/>
      <c r="T485" s="19"/>
      <c r="U485" s="21"/>
      <c r="V485" s="22" t="str">
        <f t="shared" si="163"/>
        <v/>
      </c>
      <c r="W485" s="23"/>
      <c r="X485" s="74"/>
      <c r="Y485" s="33"/>
      <c r="Z485" s="15"/>
    </row>
    <row r="486" spans="1:26" x14ac:dyDescent="0.25">
      <c r="A486" s="21" t="str">
        <f>IF(C486="","",COUNTA($C$3:C486))</f>
        <v/>
      </c>
      <c r="B486" s="35" t="str">
        <f t="shared" si="162"/>
        <v/>
      </c>
      <c r="C486" s="31"/>
      <c r="D486" s="17"/>
      <c r="E486" s="32"/>
      <c r="F486" s="17"/>
      <c r="G486" s="18"/>
      <c r="H486" s="18"/>
      <c r="I486" s="17"/>
      <c r="J486" s="18"/>
      <c r="K486" s="18"/>
      <c r="L486" s="19"/>
      <c r="M486" s="20"/>
      <c r="N486" s="20"/>
      <c r="O486" s="20"/>
      <c r="P486" s="80"/>
      <c r="Q486" s="83"/>
      <c r="R486" s="87"/>
      <c r="S486" s="19"/>
      <c r="T486" s="19"/>
      <c r="U486" s="21"/>
      <c r="V486" s="22" t="str">
        <f t="shared" si="163"/>
        <v/>
      </c>
      <c r="W486" s="23"/>
      <c r="X486" s="74"/>
      <c r="Y486" s="33"/>
      <c r="Z486" s="15"/>
    </row>
    <row r="487" spans="1:26" x14ac:dyDescent="0.25">
      <c r="A487" s="21" t="str">
        <f>IF(C487="","",COUNTA($C$3:C487))</f>
        <v/>
      </c>
      <c r="B487" s="35" t="str">
        <f t="shared" si="162"/>
        <v/>
      </c>
      <c r="C487" s="31"/>
      <c r="D487" s="17"/>
      <c r="E487" s="32"/>
      <c r="F487" s="17"/>
      <c r="G487" s="18"/>
      <c r="H487" s="18"/>
      <c r="I487" s="17"/>
      <c r="J487" s="18"/>
      <c r="K487" s="18"/>
      <c r="L487" s="19"/>
      <c r="M487" s="20"/>
      <c r="N487" s="20"/>
      <c r="O487" s="19"/>
      <c r="P487" s="80"/>
      <c r="Q487" s="83"/>
      <c r="R487" s="87"/>
      <c r="S487" s="19"/>
      <c r="T487" s="19"/>
      <c r="U487" s="21"/>
      <c r="V487" s="22" t="str">
        <f t="shared" si="163"/>
        <v/>
      </c>
      <c r="W487" s="23"/>
      <c r="X487" s="74"/>
      <c r="Y487" s="33"/>
      <c r="Z487" s="15"/>
    </row>
    <row r="488" spans="1:26" x14ac:dyDescent="0.25">
      <c r="A488" s="21" t="str">
        <f>IF(C488="","",COUNTA($C$3:C488))</f>
        <v/>
      </c>
      <c r="B488" s="35" t="str">
        <f t="shared" si="162"/>
        <v/>
      </c>
      <c r="C488" s="31"/>
      <c r="D488" s="17"/>
      <c r="E488" s="32"/>
      <c r="F488" s="17"/>
      <c r="G488" s="18"/>
      <c r="H488" s="18"/>
      <c r="I488" s="17"/>
      <c r="J488" s="18"/>
      <c r="K488" s="18"/>
      <c r="L488" s="19"/>
      <c r="M488" s="20"/>
      <c r="N488" s="20"/>
      <c r="O488" s="19"/>
      <c r="P488" s="80"/>
      <c r="Q488" s="83"/>
      <c r="R488" s="87"/>
      <c r="S488" s="19"/>
      <c r="T488" s="19"/>
      <c r="U488" s="21"/>
      <c r="V488" s="22" t="str">
        <f t="shared" si="163"/>
        <v/>
      </c>
      <c r="W488" s="23"/>
      <c r="X488" s="74"/>
      <c r="Y488" s="33"/>
      <c r="Z488" s="15"/>
    </row>
    <row r="489" spans="1:26" x14ac:dyDescent="0.25">
      <c r="A489" s="21" t="str">
        <f>IF(C489="","",COUNTA($C$3:C489))</f>
        <v/>
      </c>
      <c r="B489" s="35" t="str">
        <f t="shared" si="162"/>
        <v/>
      </c>
      <c r="C489" s="31"/>
      <c r="D489" s="17"/>
      <c r="E489" s="32"/>
      <c r="F489" s="17"/>
      <c r="G489" s="18"/>
      <c r="H489" s="18"/>
      <c r="I489" s="17"/>
      <c r="J489" s="18"/>
      <c r="K489" s="18"/>
      <c r="L489" s="19"/>
      <c r="M489" s="20"/>
      <c r="N489" s="20"/>
      <c r="O489" s="19"/>
      <c r="P489" s="80"/>
      <c r="Q489" s="83"/>
      <c r="R489" s="87"/>
      <c r="S489" s="19"/>
      <c r="T489" s="19"/>
      <c r="U489" s="21"/>
      <c r="V489" s="22" t="str">
        <f t="shared" si="163"/>
        <v/>
      </c>
      <c r="W489" s="23"/>
      <c r="X489" s="19"/>
      <c r="Y489" s="33"/>
      <c r="Z489" s="15"/>
    </row>
    <row r="490" spans="1:26" x14ac:dyDescent="0.25">
      <c r="A490" s="21" t="str">
        <f>IF(C490="","",COUNTA($C$3:C490))</f>
        <v/>
      </c>
      <c r="B490" s="35" t="str">
        <f t="shared" si="162"/>
        <v/>
      </c>
      <c r="C490" s="31"/>
      <c r="D490" s="17"/>
      <c r="E490" s="32"/>
      <c r="F490" s="17"/>
      <c r="G490" s="18"/>
      <c r="H490" s="18"/>
      <c r="I490" s="17"/>
      <c r="J490" s="18"/>
      <c r="K490" s="18"/>
      <c r="L490" s="19"/>
      <c r="M490" s="20"/>
      <c r="N490" s="20"/>
      <c r="O490" s="20"/>
      <c r="P490" s="80"/>
      <c r="Q490" s="83"/>
      <c r="R490" s="87"/>
      <c r="S490" s="19"/>
      <c r="T490" s="19"/>
      <c r="U490" s="21"/>
      <c r="V490" s="22" t="str">
        <f t="shared" si="163"/>
        <v/>
      </c>
      <c r="W490" s="23"/>
      <c r="X490" s="74"/>
      <c r="Y490" s="33"/>
      <c r="Z490" s="15"/>
    </row>
    <row r="491" spans="1:26" x14ac:dyDescent="0.25">
      <c r="A491" s="21" t="str">
        <f>IF(C491="","",COUNTA($C$3:C491))</f>
        <v/>
      </c>
      <c r="B491" s="35" t="str">
        <f t="shared" si="162"/>
        <v/>
      </c>
      <c r="C491" s="31"/>
      <c r="D491" s="17"/>
      <c r="E491" s="32"/>
      <c r="F491" s="17"/>
      <c r="G491" s="18"/>
      <c r="H491" s="18"/>
      <c r="I491" s="17"/>
      <c r="J491" s="18"/>
      <c r="K491" s="18"/>
      <c r="L491" s="19"/>
      <c r="M491" s="20"/>
      <c r="N491" s="20"/>
      <c r="O491" s="20"/>
      <c r="P491" s="80"/>
      <c r="Q491" s="83"/>
      <c r="R491" s="87"/>
      <c r="S491" s="19"/>
      <c r="T491" s="19"/>
      <c r="U491" s="21"/>
      <c r="V491" s="22" t="str">
        <f t="shared" si="163"/>
        <v/>
      </c>
      <c r="W491" s="23"/>
      <c r="X491" s="74"/>
      <c r="Y491" s="33"/>
      <c r="Z491" s="15"/>
    </row>
    <row r="492" spans="1:26" x14ac:dyDescent="0.25">
      <c r="A492" s="21" t="str">
        <f>IF(C492="","",COUNTA($C$3:C492))</f>
        <v/>
      </c>
      <c r="B492" s="35" t="str">
        <f t="shared" si="162"/>
        <v/>
      </c>
      <c r="C492" s="31"/>
      <c r="D492" s="17"/>
      <c r="E492" s="32"/>
      <c r="F492" s="17"/>
      <c r="G492" s="18"/>
      <c r="H492" s="18"/>
      <c r="I492" s="17"/>
      <c r="J492" s="18"/>
      <c r="K492" s="18"/>
      <c r="L492" s="19"/>
      <c r="M492" s="20"/>
      <c r="N492" s="20"/>
      <c r="O492" s="19"/>
      <c r="P492" s="80"/>
      <c r="Q492" s="83"/>
      <c r="R492" s="87"/>
      <c r="S492" s="19"/>
      <c r="T492" s="19"/>
      <c r="U492" s="21"/>
      <c r="V492" s="22" t="str">
        <f t="shared" si="163"/>
        <v/>
      </c>
      <c r="W492" s="23"/>
      <c r="X492" s="74"/>
      <c r="Y492" s="33"/>
      <c r="Z492" s="15"/>
    </row>
    <row r="493" spans="1:26" x14ac:dyDescent="0.25">
      <c r="A493" s="21" t="str">
        <f>IF(C493="","",COUNTA($C$3:C493))</f>
        <v/>
      </c>
      <c r="B493" s="35" t="str">
        <f t="shared" si="162"/>
        <v/>
      </c>
      <c r="C493" s="31"/>
      <c r="D493" s="17"/>
      <c r="E493" s="32"/>
      <c r="F493" s="17"/>
      <c r="G493" s="18"/>
      <c r="H493" s="18"/>
      <c r="I493" s="17"/>
      <c r="J493" s="18"/>
      <c r="K493" s="18"/>
      <c r="L493" s="19"/>
      <c r="M493" s="20"/>
      <c r="N493" s="20"/>
      <c r="O493" s="19"/>
      <c r="P493" s="80"/>
      <c r="Q493" s="83"/>
      <c r="R493" s="87"/>
      <c r="S493" s="19"/>
      <c r="T493" s="19"/>
      <c r="U493" s="21"/>
      <c r="V493" s="22" t="str">
        <f t="shared" si="163"/>
        <v/>
      </c>
      <c r="W493" s="23"/>
      <c r="X493" s="74"/>
      <c r="Y493" s="33"/>
      <c r="Z493" s="15"/>
    </row>
    <row r="494" spans="1:26" x14ac:dyDescent="0.25">
      <c r="A494" s="21" t="str">
        <f>IF(C494="","",COUNTA($C$3:C494))</f>
        <v/>
      </c>
      <c r="B494" s="35" t="str">
        <f t="shared" si="162"/>
        <v/>
      </c>
      <c r="C494" s="31"/>
      <c r="D494" s="17"/>
      <c r="E494" s="32"/>
      <c r="F494" s="17"/>
      <c r="G494" s="18"/>
      <c r="H494" s="18"/>
      <c r="I494" s="17"/>
      <c r="J494" s="18"/>
      <c r="K494" s="18"/>
      <c r="L494" s="19"/>
      <c r="M494" s="20"/>
      <c r="N494" s="20"/>
      <c r="O494" s="19"/>
      <c r="P494" s="80"/>
      <c r="Q494" s="83"/>
      <c r="R494" s="87"/>
      <c r="S494" s="19"/>
      <c r="T494" s="19"/>
      <c r="U494" s="21"/>
      <c r="V494" s="22" t="str">
        <f t="shared" si="163"/>
        <v/>
      </c>
      <c r="W494" s="23"/>
      <c r="X494" s="74"/>
      <c r="Y494" s="33"/>
      <c r="Z494" s="15"/>
    </row>
    <row r="495" spans="1:26" x14ac:dyDescent="0.25">
      <c r="A495" s="21" t="str">
        <f>IF(C495="","",COUNTA($C$3:C495))</f>
        <v/>
      </c>
      <c r="B495" s="35" t="str">
        <f t="shared" si="162"/>
        <v/>
      </c>
      <c r="C495" s="31"/>
      <c r="D495" s="17"/>
      <c r="E495" s="32"/>
      <c r="F495" s="17"/>
      <c r="G495" s="18"/>
      <c r="H495" s="18"/>
      <c r="I495" s="17"/>
      <c r="J495" s="18"/>
      <c r="K495" s="18"/>
      <c r="L495" s="19"/>
      <c r="M495" s="20"/>
      <c r="N495" s="20"/>
      <c r="O495" s="19"/>
      <c r="P495" s="80"/>
      <c r="Q495" s="83"/>
      <c r="R495" s="87"/>
      <c r="S495" s="19"/>
      <c r="T495" s="19"/>
      <c r="U495" s="21"/>
      <c r="V495" s="22" t="str">
        <f t="shared" si="163"/>
        <v/>
      </c>
      <c r="W495" s="23"/>
      <c r="X495" s="74"/>
      <c r="Y495" s="33"/>
      <c r="Z495" s="15"/>
    </row>
    <row r="496" spans="1:26" x14ac:dyDescent="0.25">
      <c r="A496" s="21" t="str">
        <f>IF(C496="","",COUNTA($C$3:C496))</f>
        <v/>
      </c>
      <c r="B496" s="35" t="str">
        <f t="shared" ref="B496:B559" si="164">IF(C496="","",TEXT(C496,"mmmm"))</f>
        <v/>
      </c>
      <c r="C496" s="31"/>
      <c r="D496" s="17"/>
      <c r="E496" s="32"/>
      <c r="F496" s="17"/>
      <c r="G496" s="18"/>
      <c r="H496" s="18"/>
      <c r="I496" s="17"/>
      <c r="J496" s="18"/>
      <c r="K496" s="18"/>
      <c r="L496" s="19"/>
      <c r="M496" s="20"/>
      <c r="N496" s="20"/>
      <c r="O496" s="19"/>
      <c r="P496" s="80"/>
      <c r="Q496" s="83"/>
      <c r="R496" s="87"/>
      <c r="S496" s="19"/>
      <c r="T496" s="19"/>
      <c r="U496" s="21"/>
      <c r="V496" s="22" t="str">
        <f t="shared" si="163"/>
        <v/>
      </c>
      <c r="W496" s="23"/>
      <c r="X496" s="74"/>
      <c r="Y496" s="33"/>
      <c r="Z496" s="15"/>
    </row>
    <row r="497" spans="1:26" x14ac:dyDescent="0.25">
      <c r="A497" s="21" t="str">
        <f>IF(C497="","",COUNTA($C$3:C497))</f>
        <v/>
      </c>
      <c r="B497" s="35" t="str">
        <f t="shared" si="164"/>
        <v/>
      </c>
      <c r="C497" s="31"/>
      <c r="D497" s="17"/>
      <c r="E497" s="32"/>
      <c r="F497" s="17"/>
      <c r="G497" s="18"/>
      <c r="H497" s="18"/>
      <c r="I497" s="17"/>
      <c r="J497" s="18"/>
      <c r="K497" s="18"/>
      <c r="L497" s="19"/>
      <c r="M497" s="20"/>
      <c r="N497" s="20"/>
      <c r="O497" s="20"/>
      <c r="P497" s="80"/>
      <c r="Q497" s="83"/>
      <c r="R497" s="87"/>
      <c r="S497" s="19"/>
      <c r="T497" s="19"/>
      <c r="U497" s="21"/>
      <c r="V497" s="22" t="str">
        <f t="shared" si="163"/>
        <v/>
      </c>
      <c r="W497" s="23"/>
      <c r="X497" s="74"/>
      <c r="Y497" s="33"/>
      <c r="Z497" s="15"/>
    </row>
    <row r="498" spans="1:26" x14ac:dyDescent="0.25">
      <c r="A498" s="21" t="str">
        <f>IF(C498="","",COUNTA($C$3:C498))</f>
        <v/>
      </c>
      <c r="B498" s="35" t="str">
        <f t="shared" si="164"/>
        <v/>
      </c>
      <c r="C498" s="31"/>
      <c r="D498" s="17"/>
      <c r="E498" s="32"/>
      <c r="F498" s="17"/>
      <c r="G498" s="18"/>
      <c r="H498" s="18"/>
      <c r="I498" s="17"/>
      <c r="J498" s="18"/>
      <c r="K498" s="18"/>
      <c r="L498" s="19"/>
      <c r="M498" s="20"/>
      <c r="N498" s="20"/>
      <c r="O498" s="19"/>
      <c r="P498" s="80"/>
      <c r="Q498" s="83"/>
      <c r="R498" s="87"/>
      <c r="S498" s="19"/>
      <c r="T498" s="19"/>
      <c r="U498" s="21"/>
      <c r="V498" s="22" t="str">
        <f t="shared" si="163"/>
        <v/>
      </c>
      <c r="W498" s="23"/>
      <c r="X498" s="74"/>
      <c r="Y498" s="33"/>
      <c r="Z498" s="15"/>
    </row>
    <row r="499" spans="1:26" x14ac:dyDescent="0.25">
      <c r="A499" s="21" t="str">
        <f>IF(C499="","",COUNTA($C$3:C499))</f>
        <v/>
      </c>
      <c r="B499" s="35" t="str">
        <f t="shared" si="164"/>
        <v/>
      </c>
      <c r="C499" s="31"/>
      <c r="D499" s="17"/>
      <c r="E499" s="32"/>
      <c r="F499" s="17"/>
      <c r="G499" s="18"/>
      <c r="H499" s="18"/>
      <c r="I499" s="17"/>
      <c r="J499" s="18"/>
      <c r="K499" s="18"/>
      <c r="L499" s="19"/>
      <c r="M499" s="20"/>
      <c r="N499" s="20"/>
      <c r="O499" s="19"/>
      <c r="P499" s="80"/>
      <c r="Q499" s="83"/>
      <c r="R499" s="87"/>
      <c r="S499" s="19"/>
      <c r="T499" s="19"/>
      <c r="U499" s="21"/>
      <c r="V499" s="22" t="str">
        <f t="shared" si="163"/>
        <v/>
      </c>
      <c r="W499" s="23"/>
      <c r="X499" s="74"/>
      <c r="Y499" s="33"/>
      <c r="Z499" s="33"/>
    </row>
    <row r="500" spans="1:26" x14ac:dyDescent="0.25">
      <c r="A500" s="21" t="str">
        <f>IF(C500="","",COUNTA($C$3:C500))</f>
        <v/>
      </c>
      <c r="B500" s="35" t="str">
        <f t="shared" si="164"/>
        <v/>
      </c>
      <c r="C500" s="31"/>
      <c r="D500" s="17"/>
      <c r="E500" s="32"/>
      <c r="F500" s="17"/>
      <c r="G500" s="18"/>
      <c r="H500" s="18"/>
      <c r="I500" s="17"/>
      <c r="J500" s="18"/>
      <c r="K500" s="18"/>
      <c r="L500" s="19"/>
      <c r="M500" s="20"/>
      <c r="N500" s="20"/>
      <c r="O500" s="19"/>
      <c r="P500" s="80"/>
      <c r="Q500" s="83"/>
      <c r="R500" s="87"/>
      <c r="S500" s="19"/>
      <c r="T500" s="19"/>
      <c r="U500" s="21"/>
      <c r="V500" s="22" t="str">
        <f t="shared" si="163"/>
        <v/>
      </c>
      <c r="W500" s="23"/>
      <c r="X500" s="74"/>
      <c r="Y500" s="33"/>
      <c r="Z500" s="33"/>
    </row>
    <row r="501" spans="1:26" x14ac:dyDescent="0.25">
      <c r="A501" s="21" t="str">
        <f>IF(C501="","",COUNTA($C$3:C501))</f>
        <v/>
      </c>
      <c r="B501" s="35" t="str">
        <f t="shared" si="164"/>
        <v/>
      </c>
      <c r="C501" s="31"/>
      <c r="D501" s="17"/>
      <c r="E501" s="32"/>
      <c r="F501" s="17"/>
      <c r="G501" s="18"/>
      <c r="H501" s="18"/>
      <c r="I501" s="17"/>
      <c r="J501" s="18"/>
      <c r="K501" s="18"/>
      <c r="L501" s="19"/>
      <c r="M501" s="20"/>
      <c r="N501" s="20"/>
      <c r="O501" s="19"/>
      <c r="P501" s="80"/>
      <c r="Q501" s="83"/>
      <c r="R501" s="87"/>
      <c r="S501" s="19"/>
      <c r="T501" s="19"/>
      <c r="U501" s="21"/>
      <c r="V501" s="22" t="str">
        <f t="shared" si="163"/>
        <v/>
      </c>
      <c r="W501" s="23"/>
      <c r="X501" s="19"/>
      <c r="Y501" s="33"/>
      <c r="Z501" s="33"/>
    </row>
    <row r="502" spans="1:26" x14ac:dyDescent="0.25">
      <c r="A502" s="21" t="str">
        <f>IF(C502="","",COUNTA($C$3:C502))</f>
        <v/>
      </c>
      <c r="B502" s="35" t="str">
        <f t="shared" si="164"/>
        <v/>
      </c>
      <c r="C502" s="31"/>
      <c r="D502" s="17"/>
      <c r="E502" s="32"/>
      <c r="F502" s="17"/>
      <c r="G502" s="18"/>
      <c r="H502" s="18"/>
      <c r="I502" s="17"/>
      <c r="J502" s="18"/>
      <c r="K502" s="18"/>
      <c r="L502" s="19"/>
      <c r="M502" s="20"/>
      <c r="N502" s="20"/>
      <c r="O502" s="20"/>
      <c r="P502" s="80"/>
      <c r="Q502" s="83"/>
      <c r="R502" s="87"/>
      <c r="S502" s="19"/>
      <c r="T502" s="19"/>
      <c r="U502" s="21"/>
      <c r="V502" s="22" t="str">
        <f t="shared" si="163"/>
        <v/>
      </c>
      <c r="W502" s="23"/>
      <c r="X502" s="74"/>
      <c r="Y502" s="33"/>
      <c r="Z502" s="33"/>
    </row>
    <row r="503" spans="1:26" x14ac:dyDescent="0.25">
      <c r="A503" s="21" t="str">
        <f>IF(C503="","",COUNTA($C$3:C503))</f>
        <v/>
      </c>
      <c r="B503" s="35" t="str">
        <f t="shared" si="164"/>
        <v/>
      </c>
      <c r="C503" s="31"/>
      <c r="D503" s="17"/>
      <c r="E503" s="32"/>
      <c r="F503" s="17"/>
      <c r="G503" s="18"/>
      <c r="H503" s="18"/>
      <c r="I503" s="17"/>
      <c r="J503" s="18"/>
      <c r="K503" s="18"/>
      <c r="L503" s="19"/>
      <c r="M503" s="20"/>
      <c r="N503" s="20"/>
      <c r="O503" s="20"/>
      <c r="P503" s="80"/>
      <c r="Q503" s="83"/>
      <c r="R503" s="87"/>
      <c r="S503" s="19"/>
      <c r="T503" s="19"/>
      <c r="U503" s="21"/>
      <c r="V503" s="22" t="str">
        <f t="shared" si="163"/>
        <v/>
      </c>
      <c r="W503" s="23"/>
      <c r="X503" s="74"/>
      <c r="Y503" s="33"/>
      <c r="Z503" s="33"/>
    </row>
    <row r="504" spans="1:26" x14ac:dyDescent="0.25">
      <c r="A504" s="21" t="str">
        <f>IF(C504="","",COUNTA($C$3:C504))</f>
        <v/>
      </c>
      <c r="B504" s="35" t="str">
        <f t="shared" si="164"/>
        <v/>
      </c>
      <c r="C504" s="31"/>
      <c r="D504" s="17"/>
      <c r="E504" s="32"/>
      <c r="F504" s="17"/>
      <c r="G504" s="18"/>
      <c r="H504" s="18"/>
      <c r="I504" s="17"/>
      <c r="J504" s="18"/>
      <c r="K504" s="18"/>
      <c r="L504" s="19"/>
      <c r="M504" s="20"/>
      <c r="N504" s="20"/>
      <c r="O504" s="20"/>
      <c r="P504" s="80"/>
      <c r="Q504" s="83"/>
      <c r="R504" s="87"/>
      <c r="S504" s="19"/>
      <c r="T504" s="19"/>
      <c r="U504" s="21"/>
      <c r="V504" s="22" t="str">
        <f t="shared" si="163"/>
        <v/>
      </c>
      <c r="W504" s="23"/>
      <c r="X504" s="74"/>
      <c r="Y504" s="33"/>
      <c r="Z504" s="33"/>
    </row>
    <row r="505" spans="1:26" x14ac:dyDescent="0.25">
      <c r="A505" s="21" t="str">
        <f>IF(C505="","",COUNTA($C$3:C505))</f>
        <v/>
      </c>
      <c r="B505" s="35" t="str">
        <f t="shared" si="164"/>
        <v/>
      </c>
      <c r="C505" s="31"/>
      <c r="D505" s="17"/>
      <c r="E505" s="32"/>
      <c r="F505" s="17"/>
      <c r="G505" s="18"/>
      <c r="H505" s="18"/>
      <c r="I505" s="17"/>
      <c r="J505" s="18"/>
      <c r="K505" s="18"/>
      <c r="L505" s="19"/>
      <c r="M505" s="20"/>
      <c r="N505" s="20"/>
      <c r="O505" s="20"/>
      <c r="P505" s="80"/>
      <c r="Q505" s="83"/>
      <c r="R505" s="87"/>
      <c r="S505" s="19"/>
      <c r="T505" s="19"/>
      <c r="U505" s="21"/>
      <c r="V505" s="22" t="str">
        <f t="shared" si="163"/>
        <v/>
      </c>
      <c r="W505" s="23"/>
      <c r="X505" s="74"/>
      <c r="Y505" s="33"/>
      <c r="Z505" s="33"/>
    </row>
    <row r="506" spans="1:26" x14ac:dyDescent="0.25">
      <c r="A506" s="21" t="str">
        <f>IF(C506="","",COUNTA($C$3:C506))</f>
        <v/>
      </c>
      <c r="B506" s="35" t="str">
        <f t="shared" si="164"/>
        <v/>
      </c>
      <c r="C506" s="31"/>
      <c r="D506" s="17"/>
      <c r="E506" s="32"/>
      <c r="F506" s="17"/>
      <c r="G506" s="18"/>
      <c r="H506" s="18"/>
      <c r="I506" s="17"/>
      <c r="J506" s="18"/>
      <c r="K506" s="18"/>
      <c r="L506" s="19"/>
      <c r="M506" s="20"/>
      <c r="N506" s="20"/>
      <c r="O506" s="20"/>
      <c r="P506" s="80"/>
      <c r="Q506" s="83"/>
      <c r="R506" s="87"/>
      <c r="S506" s="19"/>
      <c r="T506" s="19"/>
      <c r="U506" s="21"/>
      <c r="V506" s="22" t="str">
        <f t="shared" si="163"/>
        <v/>
      </c>
      <c r="W506" s="23"/>
      <c r="X506" s="74"/>
      <c r="Y506" s="33"/>
      <c r="Z506" s="33"/>
    </row>
    <row r="507" spans="1:26" x14ac:dyDescent="0.25">
      <c r="A507" s="21" t="str">
        <f>IF(C507="","",COUNTA($C$3:C507))</f>
        <v/>
      </c>
      <c r="B507" s="35" t="str">
        <f t="shared" si="164"/>
        <v/>
      </c>
      <c r="C507" s="31"/>
      <c r="D507" s="17"/>
      <c r="E507" s="32"/>
      <c r="F507" s="17"/>
      <c r="G507" s="18"/>
      <c r="H507" s="18"/>
      <c r="I507" s="17"/>
      <c r="J507" s="18"/>
      <c r="K507" s="18"/>
      <c r="L507" s="19"/>
      <c r="M507" s="20"/>
      <c r="N507" s="20"/>
      <c r="O507" s="19"/>
      <c r="P507" s="80"/>
      <c r="Q507" s="83"/>
      <c r="R507" s="87"/>
      <c r="S507" s="19"/>
      <c r="T507" s="19"/>
      <c r="U507" s="21"/>
      <c r="V507" s="22" t="str">
        <f t="shared" si="163"/>
        <v/>
      </c>
      <c r="W507" s="23"/>
      <c r="X507" s="74"/>
      <c r="Y507" s="33"/>
      <c r="Z507" s="33"/>
    </row>
    <row r="508" spans="1:26" x14ac:dyDescent="0.25">
      <c r="A508" s="21" t="str">
        <f>IF(C508="","",COUNTA($C$3:C508))</f>
        <v/>
      </c>
      <c r="B508" s="35" t="str">
        <f t="shared" si="164"/>
        <v/>
      </c>
      <c r="C508" s="31"/>
      <c r="D508" s="17"/>
      <c r="E508" s="32"/>
      <c r="F508" s="17"/>
      <c r="G508" s="18"/>
      <c r="H508" s="18"/>
      <c r="I508" s="17"/>
      <c r="J508" s="18"/>
      <c r="K508" s="18"/>
      <c r="L508" s="19"/>
      <c r="M508" s="20"/>
      <c r="N508" s="20"/>
      <c r="O508" s="19"/>
      <c r="P508" s="80"/>
      <c r="Q508" s="83"/>
      <c r="R508" s="87"/>
      <c r="S508" s="19"/>
      <c r="T508" s="19"/>
      <c r="U508" s="21"/>
      <c r="V508" s="22" t="str">
        <f t="shared" si="163"/>
        <v/>
      </c>
      <c r="W508" s="23"/>
      <c r="X508" s="74"/>
      <c r="Y508" s="33"/>
      <c r="Z508" s="33"/>
    </row>
    <row r="509" spans="1:26" x14ac:dyDescent="0.25">
      <c r="A509" s="21" t="str">
        <f>IF(C509="","",COUNTA($C$3:C509))</f>
        <v/>
      </c>
      <c r="B509" s="35" t="str">
        <f t="shared" si="164"/>
        <v/>
      </c>
      <c r="C509" s="31"/>
      <c r="D509" s="17"/>
      <c r="E509" s="32"/>
      <c r="F509" s="17"/>
      <c r="G509" s="18"/>
      <c r="H509" s="18"/>
      <c r="I509" s="17"/>
      <c r="J509" s="18"/>
      <c r="K509" s="18"/>
      <c r="L509" s="19"/>
      <c r="M509" s="20"/>
      <c r="N509" s="20"/>
      <c r="O509" s="20"/>
      <c r="P509" s="80"/>
      <c r="Q509" s="83"/>
      <c r="R509" s="87"/>
      <c r="S509" s="19"/>
      <c r="T509" s="19"/>
      <c r="U509" s="21"/>
      <c r="V509" s="22" t="str">
        <f t="shared" si="163"/>
        <v/>
      </c>
      <c r="W509" s="23"/>
      <c r="X509" s="19"/>
      <c r="Y509" s="33"/>
      <c r="Z509" s="33"/>
    </row>
    <row r="510" spans="1:26" x14ac:dyDescent="0.25">
      <c r="A510" s="21" t="str">
        <f>IF(C510="","",COUNTA($C$3:C510))</f>
        <v/>
      </c>
      <c r="B510" s="35" t="str">
        <f t="shared" si="164"/>
        <v/>
      </c>
      <c r="C510" s="31"/>
      <c r="D510" s="17"/>
      <c r="E510" s="32"/>
      <c r="F510" s="17"/>
      <c r="G510" s="18"/>
      <c r="H510" s="18"/>
      <c r="I510" s="17"/>
      <c r="J510" s="18"/>
      <c r="K510" s="18"/>
      <c r="L510" s="19"/>
      <c r="M510" s="20"/>
      <c r="N510" s="20"/>
      <c r="O510" s="19"/>
      <c r="P510" s="80"/>
      <c r="Q510" s="83"/>
      <c r="R510" s="87"/>
      <c r="S510" s="19"/>
      <c r="T510" s="19"/>
      <c r="U510" s="21"/>
      <c r="V510" s="22" t="str">
        <f t="shared" si="163"/>
        <v/>
      </c>
      <c r="W510" s="23"/>
      <c r="X510" s="74"/>
      <c r="Y510" s="33"/>
      <c r="Z510" s="33"/>
    </row>
    <row r="511" spans="1:26" x14ac:dyDescent="0.25">
      <c r="A511" s="21" t="str">
        <f>IF(C511="","",COUNTA($C$3:C511))</f>
        <v/>
      </c>
      <c r="B511" s="35" t="str">
        <f t="shared" si="164"/>
        <v/>
      </c>
      <c r="C511" s="31"/>
      <c r="D511" s="17"/>
      <c r="E511" s="32"/>
      <c r="F511" s="17"/>
      <c r="G511" s="18"/>
      <c r="H511" s="18"/>
      <c r="I511" s="17"/>
      <c r="J511" s="18"/>
      <c r="K511" s="18"/>
      <c r="L511" s="19"/>
      <c r="M511" s="20"/>
      <c r="N511" s="20"/>
      <c r="O511" s="19"/>
      <c r="P511" s="80"/>
      <c r="Q511" s="83"/>
      <c r="R511" s="87"/>
      <c r="S511" s="19"/>
      <c r="T511" s="19"/>
      <c r="U511" s="21"/>
      <c r="V511" s="22" t="str">
        <f t="shared" si="163"/>
        <v/>
      </c>
      <c r="W511" s="23"/>
      <c r="X511" s="74"/>
      <c r="Y511" s="33"/>
      <c r="Z511" s="33"/>
    </row>
    <row r="512" spans="1:26" x14ac:dyDescent="0.25">
      <c r="A512" s="21" t="str">
        <f>IF(C512="","",COUNTA($C$3:C512))</f>
        <v/>
      </c>
      <c r="B512" s="35" t="str">
        <f t="shared" si="164"/>
        <v/>
      </c>
      <c r="C512" s="31"/>
      <c r="D512" s="17"/>
      <c r="E512" s="32"/>
      <c r="F512" s="17"/>
      <c r="G512" s="18"/>
      <c r="H512" s="18"/>
      <c r="I512" s="17"/>
      <c r="J512" s="18"/>
      <c r="K512" s="18"/>
      <c r="L512" s="19"/>
      <c r="M512" s="20"/>
      <c r="N512" s="20"/>
      <c r="O512" s="19"/>
      <c r="P512" s="80"/>
      <c r="Q512" s="83"/>
      <c r="R512" s="87"/>
      <c r="S512" s="19"/>
      <c r="T512" s="19"/>
      <c r="U512" s="21"/>
      <c r="V512" s="22" t="str">
        <f t="shared" si="163"/>
        <v/>
      </c>
      <c r="W512" s="23"/>
      <c r="X512" s="74"/>
      <c r="Y512" s="33"/>
      <c r="Z512" s="33"/>
    </row>
    <row r="513" spans="1:26" x14ac:dyDescent="0.25">
      <c r="A513" s="21" t="str">
        <f>IF(C513="","",COUNTA($C$3:C513))</f>
        <v/>
      </c>
      <c r="B513" s="35" t="str">
        <f t="shared" si="164"/>
        <v/>
      </c>
      <c r="C513" s="31"/>
      <c r="D513" s="17"/>
      <c r="E513" s="32"/>
      <c r="F513" s="17"/>
      <c r="G513" s="18"/>
      <c r="H513" s="18"/>
      <c r="I513" s="17"/>
      <c r="J513" s="18"/>
      <c r="K513" s="18"/>
      <c r="L513" s="19"/>
      <c r="M513" s="20"/>
      <c r="N513" s="20"/>
      <c r="O513" s="20"/>
      <c r="P513" s="80"/>
      <c r="Q513" s="83"/>
      <c r="R513" s="87"/>
      <c r="S513" s="19"/>
      <c r="T513" s="19"/>
      <c r="U513" s="21"/>
      <c r="V513" s="22" t="str">
        <f t="shared" si="163"/>
        <v/>
      </c>
      <c r="W513" s="23"/>
      <c r="X513" s="74"/>
      <c r="Y513" s="33"/>
      <c r="Z513" s="33"/>
    </row>
    <row r="514" spans="1:26" x14ac:dyDescent="0.25">
      <c r="A514" s="21" t="str">
        <f>IF(C514="","",COUNTA($C$3:C514))</f>
        <v/>
      </c>
      <c r="B514" s="35" t="str">
        <f t="shared" si="164"/>
        <v/>
      </c>
      <c r="C514" s="31"/>
      <c r="D514" s="17"/>
      <c r="E514" s="32"/>
      <c r="F514" s="17"/>
      <c r="G514" s="18"/>
      <c r="H514" s="18"/>
      <c r="I514" s="17"/>
      <c r="J514" s="18"/>
      <c r="K514" s="18"/>
      <c r="L514" s="19"/>
      <c r="M514" s="20"/>
      <c r="N514" s="20"/>
      <c r="O514" s="19"/>
      <c r="P514" s="80"/>
      <c r="Q514" s="83"/>
      <c r="R514" s="87"/>
      <c r="S514" s="19"/>
      <c r="T514" s="19"/>
      <c r="U514" s="21"/>
      <c r="V514" s="22" t="str">
        <f t="shared" si="163"/>
        <v/>
      </c>
      <c r="W514" s="23"/>
      <c r="X514" s="19"/>
      <c r="Y514" s="33"/>
      <c r="Z514" s="33"/>
    </row>
    <row r="515" spans="1:26" x14ac:dyDescent="0.25">
      <c r="A515" s="21" t="str">
        <f>IF(C515="","",COUNTA($C$3:C515))</f>
        <v/>
      </c>
      <c r="B515" s="35" t="str">
        <f t="shared" si="164"/>
        <v/>
      </c>
      <c r="C515" s="31"/>
      <c r="D515" s="17"/>
      <c r="E515" s="32"/>
      <c r="F515" s="17"/>
      <c r="G515" s="18"/>
      <c r="H515" s="18"/>
      <c r="I515" s="17"/>
      <c r="J515" s="18"/>
      <c r="K515" s="18"/>
      <c r="L515" s="19"/>
      <c r="M515" s="20"/>
      <c r="N515" s="20"/>
      <c r="O515" s="20"/>
      <c r="P515" s="80"/>
      <c r="Q515" s="83"/>
      <c r="R515" s="87"/>
      <c r="S515" s="19"/>
      <c r="T515" s="19"/>
      <c r="U515" s="21"/>
      <c r="V515" s="22" t="str">
        <f t="shared" ref="V515:V578" si="165">IF(U515="","",(U515/T515))</f>
        <v/>
      </c>
      <c r="W515" s="23"/>
      <c r="X515" s="19"/>
      <c r="Y515" s="33"/>
      <c r="Z515" s="15"/>
    </row>
    <row r="516" spans="1:26" x14ac:dyDescent="0.25">
      <c r="A516" s="21" t="str">
        <f>IF(C516="","",COUNTA($C$3:C516))</f>
        <v/>
      </c>
      <c r="B516" s="35" t="str">
        <f t="shared" si="164"/>
        <v/>
      </c>
      <c r="C516" s="31"/>
      <c r="D516" s="17"/>
      <c r="E516" s="32"/>
      <c r="F516" s="17"/>
      <c r="G516" s="18"/>
      <c r="H516" s="18"/>
      <c r="I516" s="17"/>
      <c r="J516" s="18"/>
      <c r="K516" s="18"/>
      <c r="L516" s="19"/>
      <c r="M516" s="20"/>
      <c r="N516" s="20"/>
      <c r="O516" s="20"/>
      <c r="P516" s="80"/>
      <c r="Q516" s="83"/>
      <c r="R516" s="87"/>
      <c r="S516" s="19"/>
      <c r="T516" s="19"/>
      <c r="U516" s="21"/>
      <c r="V516" s="22" t="str">
        <f t="shared" si="165"/>
        <v/>
      </c>
      <c r="W516" s="23"/>
      <c r="X516" s="19"/>
      <c r="Y516" s="33"/>
      <c r="Z516" s="15"/>
    </row>
    <row r="517" spans="1:26" x14ac:dyDescent="0.25">
      <c r="A517" s="21" t="str">
        <f>IF(C517="","",COUNTA($C$3:C517))</f>
        <v/>
      </c>
      <c r="B517" s="35" t="str">
        <f t="shared" si="164"/>
        <v/>
      </c>
      <c r="C517" s="31"/>
      <c r="D517" s="17"/>
      <c r="E517" s="32"/>
      <c r="F517" s="17"/>
      <c r="G517" s="18"/>
      <c r="H517" s="18"/>
      <c r="I517" s="17"/>
      <c r="J517" s="18"/>
      <c r="K517" s="18"/>
      <c r="L517" s="19"/>
      <c r="M517" s="20"/>
      <c r="N517" s="20"/>
      <c r="O517" s="19"/>
      <c r="P517" s="80"/>
      <c r="Q517" s="83"/>
      <c r="R517" s="87"/>
      <c r="S517" s="19"/>
      <c r="T517" s="19"/>
      <c r="U517" s="21"/>
      <c r="V517" s="22" t="str">
        <f t="shared" si="165"/>
        <v/>
      </c>
      <c r="W517" s="23"/>
      <c r="X517" s="19"/>
      <c r="Y517" s="33"/>
      <c r="Z517" s="15"/>
    </row>
    <row r="518" spans="1:26" x14ac:dyDescent="0.25">
      <c r="A518" s="21" t="str">
        <f>IF(C518="","",COUNTA($C$3:C518))</f>
        <v/>
      </c>
      <c r="B518" s="35" t="str">
        <f t="shared" si="164"/>
        <v/>
      </c>
      <c r="C518" s="31"/>
      <c r="D518" s="17"/>
      <c r="E518" s="32"/>
      <c r="F518" s="17"/>
      <c r="G518" s="18"/>
      <c r="H518" s="18"/>
      <c r="I518" s="17"/>
      <c r="J518" s="18"/>
      <c r="K518" s="18"/>
      <c r="L518" s="19"/>
      <c r="M518" s="20"/>
      <c r="N518" s="20"/>
      <c r="O518" s="19"/>
      <c r="P518" s="80"/>
      <c r="Q518" s="83"/>
      <c r="R518" s="87"/>
      <c r="S518" s="19"/>
      <c r="T518" s="19"/>
      <c r="U518" s="21"/>
      <c r="V518" s="22" t="str">
        <f t="shared" si="165"/>
        <v/>
      </c>
      <c r="W518" s="23"/>
      <c r="X518" s="19"/>
      <c r="Y518" s="33"/>
      <c r="Z518" s="15"/>
    </row>
    <row r="519" spans="1:26" x14ac:dyDescent="0.25">
      <c r="A519" s="21" t="str">
        <f>IF(C519="","",COUNTA($C$3:C519))</f>
        <v/>
      </c>
      <c r="B519" s="35" t="str">
        <f t="shared" si="164"/>
        <v/>
      </c>
      <c r="C519" s="31"/>
      <c r="D519" s="17"/>
      <c r="E519" s="32"/>
      <c r="F519" s="17"/>
      <c r="G519" s="18"/>
      <c r="H519" s="18"/>
      <c r="I519" s="17"/>
      <c r="J519" s="18"/>
      <c r="K519" s="18"/>
      <c r="L519" s="19"/>
      <c r="M519" s="20"/>
      <c r="N519" s="20"/>
      <c r="O519" s="20"/>
      <c r="P519" s="80"/>
      <c r="Q519" s="83"/>
      <c r="R519" s="87"/>
      <c r="S519" s="19"/>
      <c r="T519" s="19"/>
      <c r="U519" s="21"/>
      <c r="V519" s="22" t="str">
        <f t="shared" si="165"/>
        <v/>
      </c>
      <c r="W519" s="23"/>
      <c r="X519" s="19"/>
      <c r="Y519" s="33"/>
      <c r="Z519" s="15"/>
    </row>
    <row r="520" spans="1:26" x14ac:dyDescent="0.25">
      <c r="A520" s="21" t="str">
        <f>IF(C520="","",COUNTA($C$3:C520))</f>
        <v/>
      </c>
      <c r="B520" s="35" t="str">
        <f t="shared" si="164"/>
        <v/>
      </c>
      <c r="C520" s="31"/>
      <c r="D520" s="17"/>
      <c r="E520" s="32"/>
      <c r="F520" s="17"/>
      <c r="G520" s="18"/>
      <c r="H520" s="18"/>
      <c r="I520" s="17"/>
      <c r="J520" s="18"/>
      <c r="K520" s="18"/>
      <c r="L520" s="19"/>
      <c r="M520" s="20"/>
      <c r="N520" s="20"/>
      <c r="O520" s="19"/>
      <c r="P520" s="80"/>
      <c r="Q520" s="83"/>
      <c r="R520" s="87"/>
      <c r="S520" s="19"/>
      <c r="T520" s="19"/>
      <c r="U520" s="21"/>
      <c r="V520" s="22" t="str">
        <f t="shared" si="165"/>
        <v/>
      </c>
      <c r="W520" s="23"/>
      <c r="X520" s="19"/>
      <c r="Y520" s="33"/>
      <c r="Z520" s="15"/>
    </row>
    <row r="521" spans="1:26" x14ac:dyDescent="0.25">
      <c r="A521" s="21" t="str">
        <f>IF(C521="","",COUNTA($C$3:C521))</f>
        <v/>
      </c>
      <c r="B521" s="35" t="str">
        <f t="shared" si="164"/>
        <v/>
      </c>
      <c r="C521" s="31"/>
      <c r="D521" s="17"/>
      <c r="E521" s="32"/>
      <c r="F521" s="17"/>
      <c r="G521" s="18"/>
      <c r="H521" s="18"/>
      <c r="I521" s="17"/>
      <c r="J521" s="18"/>
      <c r="K521" s="18"/>
      <c r="L521" s="19"/>
      <c r="M521" s="20"/>
      <c r="N521" s="20"/>
      <c r="O521" s="19"/>
      <c r="P521" s="80"/>
      <c r="Q521" s="83"/>
      <c r="R521" s="87"/>
      <c r="S521" s="19"/>
      <c r="T521" s="19"/>
      <c r="U521" s="21"/>
      <c r="V521" s="22" t="str">
        <f t="shared" si="165"/>
        <v/>
      </c>
      <c r="W521" s="23"/>
      <c r="X521" s="19"/>
      <c r="Y521" s="33"/>
      <c r="Z521" s="15"/>
    </row>
    <row r="522" spans="1:26" x14ac:dyDescent="0.25">
      <c r="A522" s="21" t="str">
        <f>IF(C522="","",COUNTA($C$3:C522))</f>
        <v/>
      </c>
      <c r="B522" s="35" t="str">
        <f t="shared" si="164"/>
        <v/>
      </c>
      <c r="C522" s="31"/>
      <c r="D522" s="17"/>
      <c r="E522" s="32"/>
      <c r="F522" s="17"/>
      <c r="G522" s="18"/>
      <c r="H522" s="18"/>
      <c r="I522" s="17"/>
      <c r="J522" s="18"/>
      <c r="K522" s="18"/>
      <c r="L522" s="19"/>
      <c r="M522" s="20"/>
      <c r="N522" s="20"/>
      <c r="O522" s="20"/>
      <c r="P522" s="80"/>
      <c r="Q522" s="83"/>
      <c r="R522" s="87"/>
      <c r="S522" s="19"/>
      <c r="T522" s="19"/>
      <c r="U522" s="21"/>
      <c r="V522" s="22" t="str">
        <f t="shared" si="165"/>
        <v/>
      </c>
      <c r="W522" s="23"/>
      <c r="X522" s="19"/>
      <c r="Y522" s="33"/>
      <c r="Z522" s="15"/>
    </row>
    <row r="523" spans="1:26" x14ac:dyDescent="0.25">
      <c r="A523" s="21" t="str">
        <f>IF(C523="","",COUNTA($C$3:C523))</f>
        <v/>
      </c>
      <c r="B523" s="35" t="str">
        <f t="shared" si="164"/>
        <v/>
      </c>
      <c r="C523" s="31"/>
      <c r="D523" s="17"/>
      <c r="E523" s="32"/>
      <c r="F523" s="17"/>
      <c r="G523" s="18"/>
      <c r="H523" s="18"/>
      <c r="I523" s="17"/>
      <c r="J523" s="18"/>
      <c r="K523" s="18"/>
      <c r="L523" s="19"/>
      <c r="M523" s="20"/>
      <c r="N523" s="20"/>
      <c r="O523" s="19"/>
      <c r="P523" s="80"/>
      <c r="Q523" s="83"/>
      <c r="R523" s="87"/>
      <c r="S523" s="19"/>
      <c r="T523" s="19"/>
      <c r="U523" s="21"/>
      <c r="V523" s="22" t="str">
        <f t="shared" si="165"/>
        <v/>
      </c>
      <c r="W523" s="23"/>
      <c r="X523" s="19"/>
      <c r="Y523" s="33"/>
      <c r="Z523" s="15"/>
    </row>
    <row r="524" spans="1:26" x14ac:dyDescent="0.25">
      <c r="A524" s="21" t="str">
        <f>IF(C524="","",COUNTA($C$3:C524))</f>
        <v/>
      </c>
      <c r="B524" s="35" t="str">
        <f t="shared" si="164"/>
        <v/>
      </c>
      <c r="C524" s="31"/>
      <c r="D524" s="17"/>
      <c r="E524" s="32"/>
      <c r="F524" s="17"/>
      <c r="G524" s="18"/>
      <c r="H524" s="18"/>
      <c r="I524" s="17"/>
      <c r="J524" s="18"/>
      <c r="K524" s="18"/>
      <c r="L524" s="19"/>
      <c r="M524" s="20"/>
      <c r="N524" s="20"/>
      <c r="O524" s="19"/>
      <c r="P524" s="80"/>
      <c r="Q524" s="83"/>
      <c r="R524" s="87"/>
      <c r="S524" s="19"/>
      <c r="T524" s="19"/>
      <c r="U524" s="21"/>
      <c r="V524" s="22" t="str">
        <f t="shared" si="165"/>
        <v/>
      </c>
      <c r="W524" s="23"/>
      <c r="X524" s="19"/>
      <c r="Y524" s="33"/>
      <c r="Z524" s="15"/>
    </row>
    <row r="525" spans="1:26" x14ac:dyDescent="0.25">
      <c r="A525" s="21" t="str">
        <f>IF(C525="","",COUNTA($C$3:C525))</f>
        <v/>
      </c>
      <c r="B525" s="35" t="str">
        <f t="shared" si="164"/>
        <v/>
      </c>
      <c r="C525" s="31"/>
      <c r="D525" s="17"/>
      <c r="E525" s="32"/>
      <c r="F525" s="17"/>
      <c r="G525" s="18"/>
      <c r="H525" s="18"/>
      <c r="I525" s="17"/>
      <c r="J525" s="18"/>
      <c r="K525" s="18"/>
      <c r="L525" s="19"/>
      <c r="M525" s="20"/>
      <c r="N525" s="20"/>
      <c r="O525" s="19"/>
      <c r="P525" s="80"/>
      <c r="Q525" s="83"/>
      <c r="R525" s="87"/>
      <c r="S525" s="19"/>
      <c r="T525" s="19"/>
      <c r="U525" s="21"/>
      <c r="V525" s="22" t="str">
        <f t="shared" si="165"/>
        <v/>
      </c>
      <c r="W525" s="23"/>
      <c r="X525" s="19"/>
      <c r="Y525" s="33"/>
      <c r="Z525" s="15"/>
    </row>
    <row r="526" spans="1:26" x14ac:dyDescent="0.25">
      <c r="A526" s="21" t="str">
        <f>IF(C526="","",COUNTA($C$3:C526))</f>
        <v/>
      </c>
      <c r="B526" s="35" t="str">
        <f t="shared" si="164"/>
        <v/>
      </c>
      <c r="C526" s="31"/>
      <c r="D526" s="17"/>
      <c r="E526" s="32"/>
      <c r="F526" s="17"/>
      <c r="G526" s="18"/>
      <c r="H526" s="18"/>
      <c r="I526" s="17"/>
      <c r="J526" s="18"/>
      <c r="K526" s="18"/>
      <c r="L526" s="19"/>
      <c r="M526" s="20"/>
      <c r="N526" s="20"/>
      <c r="O526" s="19"/>
      <c r="P526" s="80"/>
      <c r="Q526" s="83"/>
      <c r="R526" s="87"/>
      <c r="S526" s="19"/>
      <c r="T526" s="19"/>
      <c r="U526" s="21"/>
      <c r="V526" s="22" t="str">
        <f t="shared" si="165"/>
        <v/>
      </c>
      <c r="W526" s="23"/>
      <c r="X526" s="19"/>
      <c r="Y526" s="33"/>
      <c r="Z526" s="15"/>
    </row>
    <row r="527" spans="1:26" x14ac:dyDescent="0.25">
      <c r="A527" s="21" t="str">
        <f>IF(C527="","",COUNTA($C$3:C527))</f>
        <v/>
      </c>
      <c r="B527" s="35" t="str">
        <f t="shared" si="164"/>
        <v/>
      </c>
      <c r="C527" s="31"/>
      <c r="D527" s="17"/>
      <c r="E527" s="32"/>
      <c r="F527" s="17"/>
      <c r="G527" s="18"/>
      <c r="H527" s="18"/>
      <c r="I527" s="17"/>
      <c r="J527" s="18"/>
      <c r="K527" s="18"/>
      <c r="L527" s="19"/>
      <c r="M527" s="20"/>
      <c r="N527" s="20"/>
      <c r="O527" s="19"/>
      <c r="P527" s="80"/>
      <c r="Q527" s="83"/>
      <c r="R527" s="87"/>
      <c r="S527" s="19"/>
      <c r="T527" s="19"/>
      <c r="U527" s="21"/>
      <c r="V527" s="22" t="str">
        <f t="shared" si="165"/>
        <v/>
      </c>
      <c r="W527" s="23"/>
      <c r="X527" s="19"/>
      <c r="Y527" s="33"/>
      <c r="Z527" s="15"/>
    </row>
    <row r="528" spans="1:26" x14ac:dyDescent="0.25">
      <c r="A528" s="21" t="str">
        <f>IF(C528="","",COUNTA($C$3:C528))</f>
        <v/>
      </c>
      <c r="B528" s="35" t="str">
        <f t="shared" si="164"/>
        <v/>
      </c>
      <c r="C528" s="31"/>
      <c r="D528" s="17"/>
      <c r="E528" s="32"/>
      <c r="F528" s="17"/>
      <c r="G528" s="18"/>
      <c r="H528" s="18"/>
      <c r="I528" s="17"/>
      <c r="J528" s="18"/>
      <c r="K528" s="18"/>
      <c r="L528" s="19"/>
      <c r="M528" s="20"/>
      <c r="N528" s="20"/>
      <c r="O528" s="20"/>
      <c r="P528" s="80"/>
      <c r="Q528" s="83"/>
      <c r="R528" s="87"/>
      <c r="S528" s="19"/>
      <c r="T528" s="19"/>
      <c r="U528" s="21"/>
      <c r="V528" s="22" t="str">
        <f t="shared" si="165"/>
        <v/>
      </c>
      <c r="W528" s="23"/>
      <c r="X528" s="19"/>
      <c r="Y528" s="33"/>
      <c r="Z528" s="15"/>
    </row>
    <row r="529" spans="1:27" x14ac:dyDescent="0.25">
      <c r="A529" s="21" t="str">
        <f>IF(C529="","",COUNTA($C$3:C529))</f>
        <v/>
      </c>
      <c r="B529" s="35" t="str">
        <f t="shared" si="164"/>
        <v/>
      </c>
      <c r="C529" s="31"/>
      <c r="D529" s="17"/>
      <c r="E529" s="32"/>
      <c r="F529" s="17"/>
      <c r="G529" s="18"/>
      <c r="H529" s="18"/>
      <c r="I529" s="17"/>
      <c r="J529" s="18"/>
      <c r="K529" s="18"/>
      <c r="L529" s="19"/>
      <c r="M529" s="20"/>
      <c r="N529" s="20"/>
      <c r="O529" s="20"/>
      <c r="P529" s="80"/>
      <c r="Q529" s="83"/>
      <c r="R529" s="87"/>
      <c r="S529" s="19"/>
      <c r="T529" s="19"/>
      <c r="U529" s="21"/>
      <c r="V529" s="22" t="str">
        <f t="shared" si="165"/>
        <v/>
      </c>
      <c r="W529" s="23"/>
      <c r="X529" s="74"/>
      <c r="Y529" s="33"/>
      <c r="Z529" s="15"/>
    </row>
    <row r="530" spans="1:27" x14ac:dyDescent="0.25">
      <c r="A530" s="21" t="str">
        <f>IF(C530="","",COUNTA($C$3:C530))</f>
        <v/>
      </c>
      <c r="B530" s="35" t="str">
        <f t="shared" si="164"/>
        <v/>
      </c>
      <c r="C530" s="31"/>
      <c r="D530" s="17"/>
      <c r="E530" s="32"/>
      <c r="F530" s="17"/>
      <c r="G530" s="18"/>
      <c r="H530" s="18"/>
      <c r="I530" s="17"/>
      <c r="J530" s="18"/>
      <c r="K530" s="18"/>
      <c r="L530" s="19"/>
      <c r="M530" s="20"/>
      <c r="N530" s="20"/>
      <c r="O530" s="20"/>
      <c r="P530" s="80"/>
      <c r="Q530" s="83"/>
      <c r="R530" s="87"/>
      <c r="S530" s="19"/>
      <c r="T530" s="19"/>
      <c r="U530" s="21"/>
      <c r="V530" s="22" t="str">
        <f t="shared" si="165"/>
        <v/>
      </c>
      <c r="W530" s="23"/>
      <c r="X530" s="74"/>
      <c r="Y530" s="33"/>
      <c r="Z530" s="15"/>
    </row>
    <row r="531" spans="1:27" x14ac:dyDescent="0.25">
      <c r="A531" s="21" t="str">
        <f>IF(C531="","",COUNTA($C$3:C531))</f>
        <v/>
      </c>
      <c r="B531" s="35" t="str">
        <f t="shared" si="164"/>
        <v/>
      </c>
      <c r="C531" s="31"/>
      <c r="D531" s="17"/>
      <c r="E531" s="32"/>
      <c r="F531" s="17"/>
      <c r="G531" s="18"/>
      <c r="H531" s="18"/>
      <c r="I531" s="17"/>
      <c r="J531" s="18"/>
      <c r="K531" s="18"/>
      <c r="L531" s="19"/>
      <c r="M531" s="20"/>
      <c r="N531" s="20"/>
      <c r="O531" s="20"/>
      <c r="P531" s="80"/>
      <c r="Q531" s="83"/>
      <c r="R531" s="87"/>
      <c r="S531" s="19"/>
      <c r="T531" s="19"/>
      <c r="U531" s="21"/>
      <c r="V531" s="22" t="str">
        <f t="shared" si="165"/>
        <v/>
      </c>
      <c r="W531" s="23"/>
      <c r="X531" s="19"/>
      <c r="Y531" s="33"/>
      <c r="Z531" s="15"/>
    </row>
    <row r="532" spans="1:27" x14ac:dyDescent="0.25">
      <c r="A532" s="21" t="str">
        <f>IF(C532="","",COUNTA($C$3:C532))</f>
        <v/>
      </c>
      <c r="B532" s="35" t="str">
        <f t="shared" si="164"/>
        <v/>
      </c>
      <c r="C532" s="31"/>
      <c r="D532" s="17"/>
      <c r="E532" s="32"/>
      <c r="F532" s="17"/>
      <c r="G532" s="18"/>
      <c r="H532" s="18"/>
      <c r="I532" s="17"/>
      <c r="J532" s="18"/>
      <c r="K532" s="18"/>
      <c r="L532" s="19"/>
      <c r="M532" s="20"/>
      <c r="N532" s="20"/>
      <c r="O532" s="19"/>
      <c r="P532" s="80"/>
      <c r="Q532" s="83"/>
      <c r="R532" s="87"/>
      <c r="S532" s="19"/>
      <c r="T532" s="19"/>
      <c r="U532" s="21"/>
      <c r="V532" s="22" t="str">
        <f t="shared" si="165"/>
        <v/>
      </c>
      <c r="W532" s="23"/>
      <c r="X532" s="74"/>
      <c r="Y532" s="33"/>
      <c r="Z532" s="15"/>
    </row>
    <row r="533" spans="1:27" x14ac:dyDescent="0.25">
      <c r="A533" s="21" t="str">
        <f>IF(C533="","",COUNTA($C$3:C533))</f>
        <v/>
      </c>
      <c r="B533" s="35" t="str">
        <f t="shared" si="164"/>
        <v/>
      </c>
      <c r="C533" s="31"/>
      <c r="D533" s="17"/>
      <c r="E533" s="32"/>
      <c r="F533" s="17"/>
      <c r="G533" s="18"/>
      <c r="H533" s="18"/>
      <c r="I533" s="17"/>
      <c r="J533" s="18"/>
      <c r="K533" s="18"/>
      <c r="L533" s="19"/>
      <c r="M533" s="20"/>
      <c r="N533" s="20"/>
      <c r="O533" s="19"/>
      <c r="P533" s="80"/>
      <c r="Q533" s="83"/>
      <c r="R533" s="87"/>
      <c r="S533" s="19"/>
      <c r="T533" s="19"/>
      <c r="U533" s="21"/>
      <c r="V533" s="22" t="str">
        <f t="shared" si="165"/>
        <v/>
      </c>
      <c r="W533" s="23"/>
      <c r="X533" s="74"/>
      <c r="Y533" s="33"/>
      <c r="Z533" s="15"/>
    </row>
    <row r="534" spans="1:27" x14ac:dyDescent="0.25">
      <c r="A534" s="21" t="str">
        <f>IF(C534="","",COUNTA($C$3:C534))</f>
        <v/>
      </c>
      <c r="B534" s="35" t="str">
        <f t="shared" si="164"/>
        <v/>
      </c>
      <c r="C534" s="31"/>
      <c r="D534" s="17"/>
      <c r="E534" s="32"/>
      <c r="F534" s="17"/>
      <c r="G534" s="18"/>
      <c r="H534" s="18"/>
      <c r="I534" s="17"/>
      <c r="J534" s="18"/>
      <c r="K534" s="18"/>
      <c r="L534" s="19"/>
      <c r="M534" s="20"/>
      <c r="N534" s="20"/>
      <c r="O534" s="20"/>
      <c r="P534" s="80"/>
      <c r="Q534" s="83"/>
      <c r="R534" s="87"/>
      <c r="S534" s="19"/>
      <c r="T534" s="19"/>
      <c r="U534" s="21"/>
      <c r="V534" s="22" t="str">
        <f t="shared" si="165"/>
        <v/>
      </c>
      <c r="W534" s="23"/>
      <c r="X534" s="74"/>
      <c r="Y534" s="33"/>
      <c r="Z534" s="15"/>
    </row>
    <row r="535" spans="1:27" x14ac:dyDescent="0.25">
      <c r="A535" s="21" t="str">
        <f>IF(C535="","",COUNTA($C$3:C535))</f>
        <v/>
      </c>
      <c r="B535" s="35" t="str">
        <f t="shared" si="164"/>
        <v/>
      </c>
      <c r="C535" s="31"/>
      <c r="D535" s="17"/>
      <c r="E535" s="32"/>
      <c r="F535" s="17"/>
      <c r="G535" s="18"/>
      <c r="H535" s="18"/>
      <c r="I535" s="17"/>
      <c r="J535" s="18"/>
      <c r="K535" s="18"/>
      <c r="L535" s="19"/>
      <c r="M535" s="20"/>
      <c r="N535" s="20"/>
      <c r="O535" s="20"/>
      <c r="P535" s="80"/>
      <c r="Q535" s="83"/>
      <c r="R535" s="87"/>
      <c r="S535" s="19"/>
      <c r="T535" s="19"/>
      <c r="U535" s="21"/>
      <c r="V535" s="22" t="str">
        <f t="shared" si="165"/>
        <v/>
      </c>
      <c r="W535" s="23"/>
      <c r="X535" s="74"/>
      <c r="Y535" s="33"/>
      <c r="Z535" s="15"/>
      <c r="AA535" s="15"/>
    </row>
    <row r="536" spans="1:27" x14ac:dyDescent="0.25">
      <c r="A536" s="21" t="str">
        <f>IF(C536="","",COUNTA($C$3:C536))</f>
        <v/>
      </c>
      <c r="B536" s="35" t="str">
        <f t="shared" si="164"/>
        <v/>
      </c>
      <c r="C536" s="31"/>
      <c r="D536" s="17"/>
      <c r="E536" s="32"/>
      <c r="F536" s="17"/>
      <c r="G536" s="18"/>
      <c r="H536" s="18"/>
      <c r="I536" s="17"/>
      <c r="J536" s="18"/>
      <c r="K536" s="18"/>
      <c r="L536" s="19"/>
      <c r="M536" s="20"/>
      <c r="N536" s="20"/>
      <c r="O536" s="20"/>
      <c r="P536" s="80"/>
      <c r="Q536" s="83"/>
      <c r="R536" s="87"/>
      <c r="S536" s="19"/>
      <c r="T536" s="19"/>
      <c r="U536" s="21"/>
      <c r="V536" s="22" t="str">
        <f t="shared" si="165"/>
        <v/>
      </c>
      <c r="W536" s="23"/>
      <c r="X536" s="74"/>
      <c r="Y536" s="33"/>
      <c r="Z536" s="15"/>
    </row>
    <row r="537" spans="1:27" x14ac:dyDescent="0.25">
      <c r="A537" s="21" t="str">
        <f>IF(C537="","",COUNTA($C$3:C537))</f>
        <v/>
      </c>
      <c r="B537" s="35" t="str">
        <f t="shared" si="164"/>
        <v/>
      </c>
      <c r="C537" s="31"/>
      <c r="D537" s="17"/>
      <c r="E537" s="32"/>
      <c r="F537" s="17"/>
      <c r="G537" s="18"/>
      <c r="H537" s="18"/>
      <c r="I537" s="17"/>
      <c r="J537" s="18"/>
      <c r="K537" s="18"/>
      <c r="L537" s="19"/>
      <c r="M537" s="20"/>
      <c r="N537" s="20"/>
      <c r="O537" s="19"/>
      <c r="P537" s="80"/>
      <c r="Q537" s="83"/>
      <c r="R537" s="87"/>
      <c r="S537" s="19"/>
      <c r="T537" s="19"/>
      <c r="U537" s="21"/>
      <c r="V537" s="22" t="str">
        <f t="shared" si="165"/>
        <v/>
      </c>
      <c r="W537" s="23"/>
      <c r="X537" s="74"/>
      <c r="Y537" s="33"/>
      <c r="Z537" s="15"/>
    </row>
    <row r="538" spans="1:27" x14ac:dyDescent="0.25">
      <c r="A538" s="21" t="str">
        <f>IF(C538="","",COUNTA($C$3:C538))</f>
        <v/>
      </c>
      <c r="B538" s="35" t="str">
        <f t="shared" si="164"/>
        <v/>
      </c>
      <c r="C538" s="31"/>
      <c r="D538" s="17"/>
      <c r="E538" s="32"/>
      <c r="F538" s="17"/>
      <c r="G538" s="18"/>
      <c r="H538" s="18"/>
      <c r="I538" s="17"/>
      <c r="J538" s="18"/>
      <c r="K538" s="18"/>
      <c r="L538" s="19"/>
      <c r="M538" s="20"/>
      <c r="N538" s="20"/>
      <c r="O538" s="19"/>
      <c r="P538" s="80"/>
      <c r="Q538" s="83"/>
      <c r="R538" s="87"/>
      <c r="S538" s="19"/>
      <c r="T538" s="19"/>
      <c r="U538" s="21"/>
      <c r="V538" s="22" t="str">
        <f t="shared" si="165"/>
        <v/>
      </c>
      <c r="W538" s="23"/>
      <c r="X538" s="74"/>
      <c r="Y538" s="33"/>
      <c r="Z538" s="15"/>
    </row>
    <row r="539" spans="1:27" x14ac:dyDescent="0.25">
      <c r="A539" s="21" t="str">
        <f>IF(C539="","",COUNTA($C$3:C539))</f>
        <v/>
      </c>
      <c r="B539" s="35" t="str">
        <f t="shared" si="164"/>
        <v/>
      </c>
      <c r="C539" s="31"/>
      <c r="D539" s="17"/>
      <c r="E539" s="32"/>
      <c r="F539" s="17"/>
      <c r="G539" s="18"/>
      <c r="H539" s="18"/>
      <c r="I539" s="17"/>
      <c r="J539" s="18"/>
      <c r="K539" s="18"/>
      <c r="L539" s="19"/>
      <c r="M539" s="20"/>
      <c r="N539" s="20"/>
      <c r="O539" s="19"/>
      <c r="P539" s="80"/>
      <c r="Q539" s="83"/>
      <c r="R539" s="87"/>
      <c r="S539" s="19"/>
      <c r="T539" s="19"/>
      <c r="U539" s="21"/>
      <c r="V539" s="22" t="str">
        <f t="shared" si="165"/>
        <v/>
      </c>
      <c r="W539" s="23"/>
      <c r="X539" s="74"/>
      <c r="Y539" s="33"/>
      <c r="Z539" s="15"/>
    </row>
    <row r="540" spans="1:27" x14ac:dyDescent="0.25">
      <c r="A540" s="21" t="str">
        <f>IF(C540="","",COUNTA($C$3:C540))</f>
        <v/>
      </c>
      <c r="B540" s="35" t="str">
        <f t="shared" si="164"/>
        <v/>
      </c>
      <c r="C540" s="31"/>
      <c r="D540" s="17"/>
      <c r="E540" s="32"/>
      <c r="F540" s="17"/>
      <c r="G540" s="18"/>
      <c r="H540" s="18"/>
      <c r="I540" s="17"/>
      <c r="J540" s="18"/>
      <c r="K540" s="18"/>
      <c r="L540" s="19"/>
      <c r="M540" s="20"/>
      <c r="N540" s="20"/>
      <c r="O540" s="19"/>
      <c r="P540" s="80"/>
      <c r="Q540" s="83"/>
      <c r="R540" s="87"/>
      <c r="S540" s="19"/>
      <c r="T540" s="19"/>
      <c r="U540" s="21"/>
      <c r="V540" s="22" t="str">
        <f t="shared" si="165"/>
        <v/>
      </c>
      <c r="W540" s="23"/>
      <c r="X540" s="74"/>
      <c r="Y540" s="33"/>
      <c r="Z540" s="15"/>
    </row>
    <row r="541" spans="1:27" x14ac:dyDescent="0.25">
      <c r="A541" s="21" t="str">
        <f>IF(C541="","",COUNTA($C$3:C541))</f>
        <v/>
      </c>
      <c r="B541" s="35" t="str">
        <f t="shared" si="164"/>
        <v/>
      </c>
      <c r="C541" s="31"/>
      <c r="D541" s="17"/>
      <c r="E541" s="32"/>
      <c r="F541" s="17"/>
      <c r="G541" s="18"/>
      <c r="H541" s="18"/>
      <c r="I541" s="17"/>
      <c r="J541" s="18"/>
      <c r="K541" s="18"/>
      <c r="L541" s="19"/>
      <c r="M541" s="20"/>
      <c r="N541" s="20"/>
      <c r="O541" s="19"/>
      <c r="P541" s="80"/>
      <c r="Q541" s="83"/>
      <c r="R541" s="87"/>
      <c r="S541" s="19"/>
      <c r="T541" s="19"/>
      <c r="U541" s="21"/>
      <c r="V541" s="22" t="str">
        <f t="shared" si="165"/>
        <v/>
      </c>
      <c r="W541" s="23"/>
      <c r="X541" s="74"/>
      <c r="Y541" s="33"/>
      <c r="Z541" s="15"/>
    </row>
    <row r="542" spans="1:27" x14ac:dyDescent="0.25">
      <c r="A542" s="21" t="str">
        <f>IF(C542="","",COUNTA($C$3:C542))</f>
        <v/>
      </c>
      <c r="B542" s="35" t="str">
        <f t="shared" si="164"/>
        <v/>
      </c>
      <c r="C542" s="31"/>
      <c r="D542" s="17"/>
      <c r="E542" s="32"/>
      <c r="F542" s="17"/>
      <c r="G542" s="18"/>
      <c r="H542" s="18"/>
      <c r="I542" s="17"/>
      <c r="J542" s="18"/>
      <c r="K542" s="18"/>
      <c r="L542" s="19"/>
      <c r="M542" s="20"/>
      <c r="N542" s="20"/>
      <c r="O542" s="19"/>
      <c r="P542" s="80"/>
      <c r="Q542" s="83"/>
      <c r="R542" s="87"/>
      <c r="S542" s="19"/>
      <c r="T542" s="19"/>
      <c r="U542" s="21"/>
      <c r="V542" s="22" t="str">
        <f t="shared" si="165"/>
        <v/>
      </c>
      <c r="W542" s="23"/>
      <c r="X542" s="74"/>
      <c r="Y542" s="33"/>
      <c r="Z542" s="15"/>
    </row>
    <row r="543" spans="1:27" x14ac:dyDescent="0.25">
      <c r="A543" s="21" t="str">
        <f>IF(C543="","",COUNTA($C$3:C543))</f>
        <v/>
      </c>
      <c r="B543" s="35" t="str">
        <f t="shared" si="164"/>
        <v/>
      </c>
      <c r="C543" s="31"/>
      <c r="D543" s="17"/>
      <c r="E543" s="32"/>
      <c r="F543" s="17"/>
      <c r="G543" s="18"/>
      <c r="H543" s="18"/>
      <c r="I543" s="17"/>
      <c r="J543" s="18"/>
      <c r="K543" s="18"/>
      <c r="L543" s="19"/>
      <c r="M543" s="20"/>
      <c r="N543" s="20"/>
      <c r="O543" s="20"/>
      <c r="P543" s="80"/>
      <c r="Q543" s="83"/>
      <c r="R543" s="87"/>
      <c r="S543" s="19"/>
      <c r="T543" s="19"/>
      <c r="U543" s="21"/>
      <c r="V543" s="22" t="str">
        <f t="shared" si="165"/>
        <v/>
      </c>
      <c r="W543" s="23"/>
      <c r="X543" s="19"/>
      <c r="Y543" s="33"/>
      <c r="Z543" s="15"/>
    </row>
    <row r="544" spans="1:27" x14ac:dyDescent="0.25">
      <c r="A544" s="21" t="str">
        <f>IF(C544="","",COUNTA($C$3:C544))</f>
        <v/>
      </c>
      <c r="B544" s="35" t="str">
        <f t="shared" si="164"/>
        <v/>
      </c>
      <c r="C544" s="31"/>
      <c r="D544" s="17"/>
      <c r="E544" s="32"/>
      <c r="F544" s="17"/>
      <c r="G544" s="18"/>
      <c r="H544" s="18"/>
      <c r="I544" s="17"/>
      <c r="J544" s="18"/>
      <c r="K544" s="18"/>
      <c r="L544" s="19"/>
      <c r="M544" s="20"/>
      <c r="N544" s="20"/>
      <c r="O544" s="19"/>
      <c r="P544" s="80"/>
      <c r="Q544" s="83"/>
      <c r="R544" s="87"/>
      <c r="S544" s="19"/>
      <c r="T544" s="19"/>
      <c r="U544" s="21"/>
      <c r="V544" s="22" t="str">
        <f t="shared" si="165"/>
        <v/>
      </c>
      <c r="W544" s="23"/>
      <c r="X544" s="19"/>
      <c r="Y544" s="33"/>
      <c r="Z544" s="15"/>
    </row>
    <row r="545" spans="1:26" x14ac:dyDescent="0.25">
      <c r="A545" s="21" t="str">
        <f>IF(C545="","",COUNTA($C$3:C545))</f>
        <v/>
      </c>
      <c r="B545" s="35" t="str">
        <f t="shared" si="164"/>
        <v/>
      </c>
      <c r="C545" s="31"/>
      <c r="D545" s="17"/>
      <c r="E545" s="32"/>
      <c r="F545" s="17"/>
      <c r="G545" s="18"/>
      <c r="H545" s="18"/>
      <c r="I545" s="17"/>
      <c r="J545" s="18"/>
      <c r="K545" s="18"/>
      <c r="L545" s="19"/>
      <c r="M545" s="20"/>
      <c r="N545" s="20"/>
      <c r="O545" s="20"/>
      <c r="P545" s="80"/>
      <c r="Q545" s="83"/>
      <c r="R545" s="87"/>
      <c r="S545" s="19"/>
      <c r="T545" s="19"/>
      <c r="U545" s="21"/>
      <c r="V545" s="22" t="str">
        <f t="shared" si="165"/>
        <v/>
      </c>
      <c r="W545" s="23"/>
      <c r="X545" s="74"/>
      <c r="Y545" s="33"/>
      <c r="Z545" s="15"/>
    </row>
    <row r="546" spans="1:26" x14ac:dyDescent="0.25">
      <c r="A546" s="21" t="str">
        <f>IF(C546="","",COUNTA($C$3:C546))</f>
        <v/>
      </c>
      <c r="B546" s="35" t="str">
        <f t="shared" si="164"/>
        <v/>
      </c>
      <c r="C546" s="31"/>
      <c r="D546" s="17"/>
      <c r="E546" s="32"/>
      <c r="F546" s="17"/>
      <c r="G546" s="18"/>
      <c r="H546" s="18"/>
      <c r="I546" s="17"/>
      <c r="J546" s="18"/>
      <c r="K546" s="18"/>
      <c r="L546" s="19"/>
      <c r="M546" s="20"/>
      <c r="N546" s="20"/>
      <c r="O546" s="19"/>
      <c r="P546" s="80"/>
      <c r="Q546" s="83"/>
      <c r="R546" s="87"/>
      <c r="S546" s="19"/>
      <c r="T546" s="19"/>
      <c r="U546" s="21"/>
      <c r="V546" s="22" t="str">
        <f t="shared" si="165"/>
        <v/>
      </c>
      <c r="W546" s="23"/>
      <c r="X546" s="74"/>
      <c r="Y546" s="33"/>
      <c r="Z546" s="15"/>
    </row>
    <row r="547" spans="1:26" x14ac:dyDescent="0.25">
      <c r="A547" s="21" t="str">
        <f>IF(C547="","",COUNTA($C$3:C547))</f>
        <v/>
      </c>
      <c r="B547" s="35" t="str">
        <f t="shared" si="164"/>
        <v/>
      </c>
      <c r="C547" s="31"/>
      <c r="D547" s="17"/>
      <c r="E547" s="32"/>
      <c r="F547" s="17"/>
      <c r="G547" s="18"/>
      <c r="H547" s="18"/>
      <c r="I547" s="17"/>
      <c r="J547" s="18"/>
      <c r="K547" s="18"/>
      <c r="L547" s="19"/>
      <c r="M547" s="20"/>
      <c r="N547" s="20"/>
      <c r="O547" s="19"/>
      <c r="P547" s="80"/>
      <c r="Q547" s="83"/>
      <c r="R547" s="87"/>
      <c r="S547" s="19"/>
      <c r="T547" s="19"/>
      <c r="U547" s="21"/>
      <c r="V547" s="22" t="str">
        <f t="shared" si="165"/>
        <v/>
      </c>
      <c r="W547" s="23"/>
      <c r="X547" s="74"/>
      <c r="Y547" s="33"/>
      <c r="Z547" s="15"/>
    </row>
    <row r="548" spans="1:26" x14ac:dyDescent="0.25">
      <c r="A548" s="21" t="str">
        <f>IF(C548="","",COUNTA($C$3:C548))</f>
        <v/>
      </c>
      <c r="B548" s="35" t="str">
        <f t="shared" si="164"/>
        <v/>
      </c>
      <c r="C548" s="31"/>
      <c r="D548" s="17"/>
      <c r="E548" s="32"/>
      <c r="F548" s="17"/>
      <c r="G548" s="18"/>
      <c r="H548" s="18"/>
      <c r="I548" s="17"/>
      <c r="J548" s="18"/>
      <c r="K548" s="18"/>
      <c r="L548" s="19"/>
      <c r="M548" s="20"/>
      <c r="N548" s="20"/>
      <c r="O548" s="19"/>
      <c r="P548" s="80"/>
      <c r="Q548" s="83"/>
      <c r="R548" s="87"/>
      <c r="S548" s="19"/>
      <c r="T548" s="19"/>
      <c r="U548" s="21"/>
      <c r="V548" s="22" t="str">
        <f t="shared" si="165"/>
        <v/>
      </c>
      <c r="W548" s="23"/>
      <c r="X548" s="74"/>
      <c r="Y548" s="33"/>
      <c r="Z548" s="15"/>
    </row>
    <row r="549" spans="1:26" x14ac:dyDescent="0.25">
      <c r="A549" s="21" t="str">
        <f>IF(C549="","",COUNTA($C$3:C549))</f>
        <v/>
      </c>
      <c r="B549" s="35" t="str">
        <f t="shared" si="164"/>
        <v/>
      </c>
      <c r="C549" s="31"/>
      <c r="D549" s="17"/>
      <c r="E549" s="32"/>
      <c r="F549" s="17"/>
      <c r="G549" s="18"/>
      <c r="H549" s="18"/>
      <c r="I549" s="17"/>
      <c r="J549" s="18"/>
      <c r="K549" s="18"/>
      <c r="L549" s="19"/>
      <c r="M549" s="20"/>
      <c r="N549" s="20"/>
      <c r="O549" s="19"/>
      <c r="P549" s="80"/>
      <c r="Q549" s="83"/>
      <c r="R549" s="87"/>
      <c r="S549" s="19"/>
      <c r="T549" s="19"/>
      <c r="U549" s="21"/>
      <c r="V549" s="22" t="str">
        <f t="shared" si="165"/>
        <v/>
      </c>
      <c r="W549" s="23"/>
      <c r="X549" s="74"/>
      <c r="Y549" s="33"/>
      <c r="Z549" s="15"/>
    </row>
    <row r="550" spans="1:26" x14ac:dyDescent="0.25">
      <c r="A550" s="21" t="str">
        <f>IF(C550="","",COUNTA($C$3:C550))</f>
        <v/>
      </c>
      <c r="B550" s="35" t="str">
        <f t="shared" si="164"/>
        <v/>
      </c>
      <c r="C550" s="31"/>
      <c r="D550" s="17"/>
      <c r="E550" s="32"/>
      <c r="F550" s="17"/>
      <c r="G550" s="18"/>
      <c r="H550" s="18"/>
      <c r="I550" s="17"/>
      <c r="J550" s="18"/>
      <c r="K550" s="18"/>
      <c r="L550" s="19"/>
      <c r="M550" s="20"/>
      <c r="N550" s="20"/>
      <c r="O550" s="19"/>
      <c r="P550" s="80"/>
      <c r="Q550" s="83"/>
      <c r="R550" s="87"/>
      <c r="S550" s="19"/>
      <c r="T550" s="19"/>
      <c r="U550" s="21"/>
      <c r="V550" s="22" t="str">
        <f t="shared" si="165"/>
        <v/>
      </c>
      <c r="W550" s="23"/>
      <c r="X550" s="74"/>
      <c r="Y550" s="33"/>
      <c r="Z550" s="15"/>
    </row>
    <row r="551" spans="1:26" x14ac:dyDescent="0.25">
      <c r="A551" s="21" t="str">
        <f>IF(C551="","",COUNTA($C$3:C551))</f>
        <v/>
      </c>
      <c r="B551" s="35" t="str">
        <f t="shared" si="164"/>
        <v/>
      </c>
      <c r="C551" s="31"/>
      <c r="D551" s="17"/>
      <c r="E551" s="32"/>
      <c r="F551" s="17"/>
      <c r="G551" s="18"/>
      <c r="H551" s="18"/>
      <c r="I551" s="17"/>
      <c r="J551" s="18"/>
      <c r="K551" s="18"/>
      <c r="L551" s="19"/>
      <c r="M551" s="20"/>
      <c r="N551" s="20"/>
      <c r="O551" s="19"/>
      <c r="P551" s="80"/>
      <c r="Q551" s="83"/>
      <c r="R551" s="87"/>
      <c r="S551" s="19"/>
      <c r="T551" s="19"/>
      <c r="U551" s="21"/>
      <c r="V551" s="22" t="str">
        <f t="shared" si="165"/>
        <v/>
      </c>
      <c r="W551" s="23"/>
      <c r="X551" s="74"/>
      <c r="Y551" s="33"/>
      <c r="Z551" s="15"/>
    </row>
    <row r="552" spans="1:26" x14ac:dyDescent="0.25">
      <c r="A552" s="21" t="str">
        <f>IF(C552="","",COUNTA($C$3:C552))</f>
        <v/>
      </c>
      <c r="B552" s="35" t="str">
        <f t="shared" si="164"/>
        <v/>
      </c>
      <c r="C552" s="31"/>
      <c r="D552" s="17"/>
      <c r="E552" s="32"/>
      <c r="F552" s="17"/>
      <c r="G552" s="18"/>
      <c r="H552" s="18"/>
      <c r="I552" s="17"/>
      <c r="J552" s="18"/>
      <c r="K552" s="18"/>
      <c r="L552" s="19"/>
      <c r="M552" s="20"/>
      <c r="N552" s="20"/>
      <c r="O552" s="19"/>
      <c r="P552" s="80"/>
      <c r="Q552" s="83"/>
      <c r="R552" s="87"/>
      <c r="S552" s="19"/>
      <c r="T552" s="19"/>
      <c r="U552" s="21"/>
      <c r="V552" s="22" t="str">
        <f t="shared" si="165"/>
        <v/>
      </c>
      <c r="W552" s="23"/>
      <c r="X552" s="19"/>
      <c r="Y552" s="33"/>
      <c r="Z552" s="15"/>
    </row>
    <row r="553" spans="1:26" x14ac:dyDescent="0.25">
      <c r="A553" s="21" t="str">
        <f>IF(C553="","",COUNTA($C$3:C553))</f>
        <v/>
      </c>
      <c r="B553" s="35" t="str">
        <f t="shared" si="164"/>
        <v/>
      </c>
      <c r="C553" s="31"/>
      <c r="D553" s="17"/>
      <c r="E553" s="32"/>
      <c r="F553" s="17"/>
      <c r="G553" s="18"/>
      <c r="H553" s="18"/>
      <c r="I553" s="17"/>
      <c r="J553" s="18"/>
      <c r="K553" s="18"/>
      <c r="L553" s="19"/>
      <c r="M553" s="20"/>
      <c r="N553" s="20"/>
      <c r="O553" s="19"/>
      <c r="P553" s="80"/>
      <c r="Q553" s="83"/>
      <c r="R553" s="87"/>
      <c r="S553" s="19"/>
      <c r="T553" s="19"/>
      <c r="U553" s="21"/>
      <c r="V553" s="22" t="str">
        <f t="shared" si="165"/>
        <v/>
      </c>
      <c r="W553" s="23"/>
      <c r="X553" s="74"/>
      <c r="Y553" s="33"/>
      <c r="Z553" s="15"/>
    </row>
    <row r="554" spans="1:26" x14ac:dyDescent="0.25">
      <c r="A554" s="21" t="str">
        <f>IF(C554="","",COUNTA($C$3:C554))</f>
        <v/>
      </c>
      <c r="B554" s="35" t="str">
        <f t="shared" si="164"/>
        <v/>
      </c>
      <c r="C554" s="31"/>
      <c r="D554" s="17"/>
      <c r="E554" s="32"/>
      <c r="F554" s="17"/>
      <c r="G554" s="18"/>
      <c r="H554" s="18"/>
      <c r="I554" s="17"/>
      <c r="J554" s="18"/>
      <c r="K554" s="18"/>
      <c r="L554" s="19"/>
      <c r="M554" s="20"/>
      <c r="N554" s="20"/>
      <c r="O554" s="19"/>
      <c r="P554" s="80"/>
      <c r="Q554" s="83"/>
      <c r="R554" s="87"/>
      <c r="S554" s="19"/>
      <c r="T554" s="19"/>
      <c r="U554" s="21"/>
      <c r="V554" s="22" t="str">
        <f t="shared" si="165"/>
        <v/>
      </c>
      <c r="W554" s="23"/>
      <c r="X554" s="74"/>
      <c r="Y554" s="33"/>
      <c r="Z554" s="15"/>
    </row>
    <row r="555" spans="1:26" x14ac:dyDescent="0.25">
      <c r="A555" s="21" t="str">
        <f>IF(C555="","",COUNTA($C$3:C555))</f>
        <v/>
      </c>
      <c r="B555" s="35" t="str">
        <f t="shared" si="164"/>
        <v/>
      </c>
      <c r="C555" s="31"/>
      <c r="D555" s="17"/>
      <c r="E555" s="32"/>
      <c r="F555" s="17"/>
      <c r="G555" s="18"/>
      <c r="H555" s="18"/>
      <c r="I555" s="17"/>
      <c r="J555" s="18"/>
      <c r="K555" s="18"/>
      <c r="L555" s="19"/>
      <c r="M555" s="20"/>
      <c r="N555" s="20"/>
      <c r="O555" s="20"/>
      <c r="P555" s="80"/>
      <c r="Q555" s="83"/>
      <c r="R555" s="87"/>
      <c r="S555" s="19"/>
      <c r="T555" s="19"/>
      <c r="U555" s="21"/>
      <c r="V555" s="22" t="str">
        <f t="shared" si="165"/>
        <v/>
      </c>
      <c r="W555" s="23"/>
      <c r="X555" s="19"/>
      <c r="Y555" s="33"/>
      <c r="Z555" s="15"/>
    </row>
    <row r="556" spans="1:26" x14ac:dyDescent="0.25">
      <c r="A556" s="21" t="str">
        <f>IF(C556="","",COUNTA($C$3:C556))</f>
        <v/>
      </c>
      <c r="B556" s="35" t="str">
        <f t="shared" si="164"/>
        <v/>
      </c>
      <c r="C556" s="31"/>
      <c r="D556" s="17"/>
      <c r="E556" s="32"/>
      <c r="F556" s="17"/>
      <c r="G556" s="18"/>
      <c r="H556" s="18"/>
      <c r="I556" s="17"/>
      <c r="J556" s="18"/>
      <c r="K556" s="18"/>
      <c r="L556" s="19"/>
      <c r="M556" s="20"/>
      <c r="N556" s="20"/>
      <c r="O556" s="20"/>
      <c r="P556" s="80"/>
      <c r="Q556" s="83"/>
      <c r="R556" s="87"/>
      <c r="S556" s="19"/>
      <c r="T556" s="19"/>
      <c r="U556" s="21"/>
      <c r="V556" s="22" t="str">
        <f t="shared" si="165"/>
        <v/>
      </c>
      <c r="W556" s="23"/>
      <c r="X556" s="74"/>
      <c r="Y556" s="33"/>
      <c r="Z556" s="15"/>
    </row>
    <row r="557" spans="1:26" x14ac:dyDescent="0.25">
      <c r="A557" s="21" t="str">
        <f>IF(C557="","",COUNTA($C$3:C557))</f>
        <v/>
      </c>
      <c r="B557" s="35" t="str">
        <f t="shared" si="164"/>
        <v/>
      </c>
      <c r="C557" s="31"/>
      <c r="D557" s="17"/>
      <c r="E557" s="32"/>
      <c r="F557" s="17"/>
      <c r="G557" s="18"/>
      <c r="H557" s="18"/>
      <c r="I557" s="17"/>
      <c r="J557" s="18"/>
      <c r="K557" s="18"/>
      <c r="L557" s="19"/>
      <c r="M557" s="20"/>
      <c r="N557" s="20"/>
      <c r="O557" s="19"/>
      <c r="P557" s="80"/>
      <c r="Q557" s="83"/>
      <c r="R557" s="87"/>
      <c r="S557" s="19"/>
      <c r="T557" s="19"/>
      <c r="U557" s="21"/>
      <c r="V557" s="22" t="str">
        <f t="shared" si="165"/>
        <v/>
      </c>
      <c r="W557" s="23"/>
      <c r="X557" s="74"/>
      <c r="Y557" s="33"/>
      <c r="Z557" s="15"/>
    </row>
    <row r="558" spans="1:26" x14ac:dyDescent="0.25">
      <c r="A558" s="21" t="str">
        <f>IF(C558="","",COUNTA($C$3:C558))</f>
        <v/>
      </c>
      <c r="B558" s="35" t="str">
        <f t="shared" si="164"/>
        <v/>
      </c>
      <c r="C558" s="31"/>
      <c r="D558" s="17"/>
      <c r="E558" s="32"/>
      <c r="F558" s="17"/>
      <c r="G558" s="18"/>
      <c r="H558" s="18"/>
      <c r="I558" s="17"/>
      <c r="J558" s="18"/>
      <c r="K558" s="18"/>
      <c r="L558" s="19"/>
      <c r="M558" s="20"/>
      <c r="N558" s="20"/>
      <c r="O558" s="19"/>
      <c r="P558" s="80"/>
      <c r="Q558" s="83"/>
      <c r="R558" s="87"/>
      <c r="S558" s="19"/>
      <c r="T558" s="19"/>
      <c r="U558" s="21"/>
      <c r="V558" s="22" t="str">
        <f t="shared" si="165"/>
        <v/>
      </c>
      <c r="W558" s="23"/>
      <c r="X558" s="74"/>
      <c r="Y558" s="33"/>
      <c r="Z558" s="15"/>
    </row>
    <row r="559" spans="1:26" x14ac:dyDescent="0.25">
      <c r="A559" s="21" t="str">
        <f>IF(C559="","",COUNTA($C$3:C559))</f>
        <v/>
      </c>
      <c r="B559" s="35" t="str">
        <f t="shared" si="164"/>
        <v/>
      </c>
      <c r="C559" s="31"/>
      <c r="D559" s="45"/>
      <c r="E559" s="32"/>
      <c r="F559" s="17"/>
      <c r="G559" s="18"/>
      <c r="H559" s="18"/>
      <c r="I559" s="17"/>
      <c r="J559" s="18"/>
      <c r="K559" s="18"/>
      <c r="L559" s="19"/>
      <c r="M559" s="20"/>
      <c r="N559" s="20"/>
      <c r="O559" s="19"/>
      <c r="P559" s="80"/>
      <c r="Q559" s="83"/>
      <c r="R559" s="87"/>
      <c r="S559" s="19"/>
      <c r="T559" s="19"/>
      <c r="U559" s="21"/>
      <c r="V559" s="22" t="str">
        <f t="shared" si="165"/>
        <v/>
      </c>
      <c r="W559" s="23"/>
      <c r="X559" s="74"/>
      <c r="Y559" s="33"/>
      <c r="Z559" s="15"/>
    </row>
    <row r="560" spans="1:26" x14ac:dyDescent="0.25">
      <c r="A560" s="21" t="str">
        <f>IF(C560="","",COUNTA($C$3:C560))</f>
        <v/>
      </c>
      <c r="B560" s="35" t="str">
        <f t="shared" ref="B560:B623" si="166">IF(C560="","",TEXT(C560,"mmmm"))</f>
        <v/>
      </c>
      <c r="C560" s="31"/>
      <c r="D560" s="17"/>
      <c r="E560" s="32"/>
      <c r="F560" s="17"/>
      <c r="G560" s="18"/>
      <c r="H560" s="18"/>
      <c r="I560" s="17"/>
      <c r="J560" s="18"/>
      <c r="K560" s="18"/>
      <c r="L560" s="19"/>
      <c r="M560" s="20"/>
      <c r="N560" s="20"/>
      <c r="O560" s="19"/>
      <c r="P560" s="80"/>
      <c r="Q560" s="83"/>
      <c r="R560" s="87"/>
      <c r="S560" s="19"/>
      <c r="T560" s="19"/>
      <c r="U560" s="21"/>
      <c r="V560" s="22" t="str">
        <f t="shared" si="165"/>
        <v/>
      </c>
      <c r="W560" s="23"/>
      <c r="X560" s="19"/>
      <c r="Y560" s="33"/>
      <c r="Z560" s="15"/>
    </row>
    <row r="561" spans="1:26" x14ac:dyDescent="0.25">
      <c r="A561" s="21" t="str">
        <f>IF(C561="","",COUNTA($C$3:C561))</f>
        <v/>
      </c>
      <c r="B561" s="35" t="str">
        <f t="shared" si="166"/>
        <v/>
      </c>
      <c r="C561" s="31"/>
      <c r="D561" s="17"/>
      <c r="E561" s="32"/>
      <c r="F561" s="17"/>
      <c r="G561" s="18"/>
      <c r="H561" s="18"/>
      <c r="I561" s="17"/>
      <c r="J561" s="18"/>
      <c r="K561" s="18"/>
      <c r="L561" s="19"/>
      <c r="M561" s="20"/>
      <c r="N561" s="20"/>
      <c r="O561" s="19"/>
      <c r="P561" s="80"/>
      <c r="Q561" s="83"/>
      <c r="R561" s="87"/>
      <c r="S561" s="19"/>
      <c r="T561" s="19"/>
      <c r="U561" s="21"/>
      <c r="V561" s="22" t="str">
        <f t="shared" si="165"/>
        <v/>
      </c>
      <c r="W561" s="23"/>
      <c r="X561" s="74"/>
      <c r="Y561" s="33"/>
      <c r="Z561" s="15"/>
    </row>
    <row r="562" spans="1:26" x14ac:dyDescent="0.25">
      <c r="A562" s="21" t="str">
        <f>IF(C562="","",COUNTA($C$3:C562))</f>
        <v/>
      </c>
      <c r="B562" s="35" t="str">
        <f t="shared" si="166"/>
        <v/>
      </c>
      <c r="C562" s="31"/>
      <c r="D562" s="17"/>
      <c r="E562" s="32"/>
      <c r="F562" s="17"/>
      <c r="G562" s="18"/>
      <c r="H562" s="18"/>
      <c r="I562" s="17"/>
      <c r="J562" s="18"/>
      <c r="K562" s="18"/>
      <c r="L562" s="19"/>
      <c r="M562" s="20"/>
      <c r="N562" s="20"/>
      <c r="O562" s="19"/>
      <c r="P562" s="80"/>
      <c r="Q562" s="83"/>
      <c r="R562" s="87"/>
      <c r="S562" s="19"/>
      <c r="T562" s="19"/>
      <c r="U562" s="21"/>
      <c r="V562" s="22" t="str">
        <f t="shared" si="165"/>
        <v/>
      </c>
      <c r="W562" s="23"/>
      <c r="X562" s="74"/>
      <c r="Y562" s="33"/>
      <c r="Z562" s="15"/>
    </row>
    <row r="563" spans="1:26" x14ac:dyDescent="0.25">
      <c r="A563" s="21" t="str">
        <f>IF(C563="","",COUNTA($C$3:C563))</f>
        <v/>
      </c>
      <c r="B563" s="35" t="str">
        <f t="shared" si="166"/>
        <v/>
      </c>
      <c r="C563" s="31"/>
      <c r="D563" s="17"/>
      <c r="E563" s="32"/>
      <c r="F563" s="17"/>
      <c r="G563" s="18"/>
      <c r="H563" s="18"/>
      <c r="I563" s="17"/>
      <c r="J563" s="18"/>
      <c r="K563" s="18"/>
      <c r="L563" s="19"/>
      <c r="M563" s="20"/>
      <c r="N563" s="20"/>
      <c r="O563" s="19"/>
      <c r="P563" s="80"/>
      <c r="Q563" s="83"/>
      <c r="R563" s="87"/>
      <c r="S563" s="19"/>
      <c r="T563" s="19"/>
      <c r="U563" s="21"/>
      <c r="V563" s="22" t="str">
        <f t="shared" si="165"/>
        <v/>
      </c>
      <c r="W563" s="23"/>
      <c r="X563" s="74"/>
      <c r="Y563" s="33"/>
      <c r="Z563" s="15"/>
    </row>
    <row r="564" spans="1:26" x14ac:dyDescent="0.25">
      <c r="A564" s="21" t="str">
        <f>IF(C564="","",COUNTA($C$3:C564))</f>
        <v/>
      </c>
      <c r="B564" s="35" t="str">
        <f t="shared" si="166"/>
        <v/>
      </c>
      <c r="C564" s="31"/>
      <c r="D564" s="17"/>
      <c r="E564" s="32"/>
      <c r="F564" s="17"/>
      <c r="G564" s="18"/>
      <c r="H564" s="18"/>
      <c r="I564" s="17"/>
      <c r="J564" s="18"/>
      <c r="K564" s="18"/>
      <c r="L564" s="19"/>
      <c r="M564" s="20"/>
      <c r="N564" s="20"/>
      <c r="O564" s="19"/>
      <c r="P564" s="80"/>
      <c r="Q564" s="83"/>
      <c r="R564" s="87"/>
      <c r="S564" s="19"/>
      <c r="T564" s="19"/>
      <c r="U564" s="21"/>
      <c r="V564" s="22" t="str">
        <f t="shared" si="165"/>
        <v/>
      </c>
      <c r="W564" s="23"/>
      <c r="X564" s="74"/>
      <c r="Y564" s="33"/>
      <c r="Z564" s="15"/>
    </row>
    <row r="565" spans="1:26" x14ac:dyDescent="0.25">
      <c r="A565" s="21" t="str">
        <f>IF(C565="","",COUNTA($C$3:C565))</f>
        <v/>
      </c>
      <c r="B565" s="35" t="str">
        <f t="shared" si="166"/>
        <v/>
      </c>
      <c r="C565" s="31"/>
      <c r="D565" s="17"/>
      <c r="E565" s="32"/>
      <c r="F565" s="17"/>
      <c r="G565" s="18"/>
      <c r="H565" s="18"/>
      <c r="I565" s="17"/>
      <c r="J565" s="18"/>
      <c r="K565" s="18"/>
      <c r="L565" s="19"/>
      <c r="M565" s="20"/>
      <c r="N565" s="20"/>
      <c r="O565" s="19"/>
      <c r="P565" s="80"/>
      <c r="Q565" s="83"/>
      <c r="R565" s="87"/>
      <c r="S565" s="19"/>
      <c r="T565" s="19"/>
      <c r="U565" s="21"/>
      <c r="V565" s="22" t="str">
        <f t="shared" si="165"/>
        <v/>
      </c>
      <c r="W565" s="23"/>
      <c r="X565" s="74"/>
      <c r="Y565" s="33"/>
      <c r="Z565" s="15"/>
    </row>
    <row r="566" spans="1:26" x14ac:dyDescent="0.25">
      <c r="A566" s="21" t="str">
        <f>IF(C566="","",COUNTA($C$3:C566))</f>
        <v/>
      </c>
      <c r="B566" s="35" t="str">
        <f t="shared" si="166"/>
        <v/>
      </c>
      <c r="C566" s="31"/>
      <c r="D566" s="17"/>
      <c r="E566" s="32"/>
      <c r="F566" s="17"/>
      <c r="G566" s="18"/>
      <c r="H566" s="18"/>
      <c r="I566" s="17"/>
      <c r="J566" s="18"/>
      <c r="K566" s="18"/>
      <c r="L566" s="19"/>
      <c r="M566" s="20"/>
      <c r="N566" s="20"/>
      <c r="O566" s="19"/>
      <c r="P566" s="80"/>
      <c r="Q566" s="83"/>
      <c r="R566" s="87"/>
      <c r="S566" s="19"/>
      <c r="T566" s="19"/>
      <c r="U566" s="21"/>
      <c r="V566" s="22" t="str">
        <f t="shared" si="165"/>
        <v/>
      </c>
      <c r="W566" s="23"/>
      <c r="X566" s="74"/>
      <c r="Y566" s="33"/>
      <c r="Z566" s="15"/>
    </row>
    <row r="567" spans="1:26" x14ac:dyDescent="0.25">
      <c r="A567" s="21" t="str">
        <f>IF(C567="","",COUNTA($C$3:C567))</f>
        <v/>
      </c>
      <c r="B567" s="35" t="str">
        <f t="shared" si="166"/>
        <v/>
      </c>
      <c r="C567" s="31"/>
      <c r="D567" s="17"/>
      <c r="E567" s="32"/>
      <c r="F567" s="17"/>
      <c r="G567" s="18"/>
      <c r="H567" s="18"/>
      <c r="I567" s="17"/>
      <c r="J567" s="18"/>
      <c r="K567" s="18"/>
      <c r="L567" s="19"/>
      <c r="M567" s="20"/>
      <c r="N567" s="20"/>
      <c r="O567" s="19"/>
      <c r="P567" s="80"/>
      <c r="Q567" s="83"/>
      <c r="R567" s="87"/>
      <c r="S567" s="19"/>
      <c r="T567" s="19"/>
      <c r="U567" s="21"/>
      <c r="V567" s="22" t="str">
        <f t="shared" si="165"/>
        <v/>
      </c>
      <c r="W567" s="23"/>
      <c r="X567" s="74"/>
      <c r="Y567" s="33"/>
      <c r="Z567" s="15"/>
    </row>
    <row r="568" spans="1:26" x14ac:dyDescent="0.25">
      <c r="A568" s="21" t="str">
        <f>IF(C568="","",COUNTA($C$3:C568))</f>
        <v/>
      </c>
      <c r="B568" s="35" t="str">
        <f t="shared" si="166"/>
        <v/>
      </c>
      <c r="C568" s="31"/>
      <c r="D568" s="17"/>
      <c r="E568" s="32"/>
      <c r="F568" s="17"/>
      <c r="G568" s="18"/>
      <c r="H568" s="18"/>
      <c r="I568" s="17"/>
      <c r="J568" s="18"/>
      <c r="K568" s="18"/>
      <c r="L568" s="19"/>
      <c r="M568" s="20"/>
      <c r="N568" s="20"/>
      <c r="O568" s="19"/>
      <c r="P568" s="80"/>
      <c r="Q568" s="83"/>
      <c r="R568" s="87"/>
      <c r="S568" s="19"/>
      <c r="T568" s="19"/>
      <c r="U568" s="21"/>
      <c r="V568" s="22" t="str">
        <f t="shared" si="165"/>
        <v/>
      </c>
      <c r="W568" s="23"/>
      <c r="X568" s="74"/>
      <c r="Y568" s="33"/>
      <c r="Z568" s="15"/>
    </row>
    <row r="569" spans="1:26" x14ac:dyDescent="0.25">
      <c r="A569" s="21" t="str">
        <f>IF(C569="","",COUNTA($C$3:C569))</f>
        <v/>
      </c>
      <c r="B569" s="35" t="str">
        <f t="shared" si="166"/>
        <v/>
      </c>
      <c r="C569" s="31"/>
      <c r="D569" s="17"/>
      <c r="E569" s="32"/>
      <c r="F569" s="17"/>
      <c r="G569" s="18"/>
      <c r="H569" s="18"/>
      <c r="I569" s="17"/>
      <c r="J569" s="18"/>
      <c r="K569" s="18"/>
      <c r="L569" s="19"/>
      <c r="M569" s="20"/>
      <c r="N569" s="20"/>
      <c r="O569" s="20"/>
      <c r="P569" s="80"/>
      <c r="Q569" s="83"/>
      <c r="R569" s="87"/>
      <c r="S569" s="19"/>
      <c r="T569" s="19"/>
      <c r="U569" s="21"/>
      <c r="V569" s="22" t="str">
        <f t="shared" si="165"/>
        <v/>
      </c>
      <c r="W569" s="23"/>
      <c r="X569" s="19"/>
      <c r="Y569" s="33"/>
      <c r="Z569" s="15"/>
    </row>
    <row r="570" spans="1:26" x14ac:dyDescent="0.25">
      <c r="A570" s="21" t="str">
        <f>IF(C570="","",COUNTA($C$3:C570))</f>
        <v/>
      </c>
      <c r="B570" s="35" t="str">
        <f t="shared" si="166"/>
        <v/>
      </c>
      <c r="C570" s="31"/>
      <c r="D570" s="17"/>
      <c r="E570" s="32"/>
      <c r="F570" s="17"/>
      <c r="G570" s="18"/>
      <c r="H570" s="18"/>
      <c r="I570" s="17"/>
      <c r="J570" s="18"/>
      <c r="K570" s="18"/>
      <c r="L570" s="19"/>
      <c r="M570" s="20"/>
      <c r="N570" s="20"/>
      <c r="O570" s="20"/>
      <c r="P570" s="80"/>
      <c r="Q570" s="83"/>
      <c r="R570" s="87"/>
      <c r="S570" s="19"/>
      <c r="T570" s="19"/>
      <c r="U570" s="21"/>
      <c r="V570" s="22" t="str">
        <f t="shared" si="165"/>
        <v/>
      </c>
      <c r="W570" s="23"/>
      <c r="X570" s="19"/>
      <c r="Y570" s="33"/>
      <c r="Z570" s="15"/>
    </row>
    <row r="571" spans="1:26" x14ac:dyDescent="0.25">
      <c r="A571" s="21" t="str">
        <f>IF(C571="","",COUNTA($C$3:C571))</f>
        <v/>
      </c>
      <c r="B571" s="35" t="str">
        <f>IF(C571="","",TEXT(C571,"mmmm"))</f>
        <v/>
      </c>
      <c r="C571" s="31"/>
      <c r="D571" s="17"/>
      <c r="E571" s="32"/>
      <c r="F571" s="17"/>
      <c r="G571" s="18"/>
      <c r="H571" s="18"/>
      <c r="I571" s="17"/>
      <c r="J571" s="18"/>
      <c r="K571" s="18"/>
      <c r="L571" s="19"/>
      <c r="M571" s="20"/>
      <c r="N571" s="20"/>
      <c r="O571" s="20"/>
      <c r="P571" s="80"/>
      <c r="Q571" s="83"/>
      <c r="R571" s="87"/>
      <c r="S571" s="19"/>
      <c r="T571" s="19"/>
      <c r="U571" s="21"/>
      <c r="V571" s="22" t="str">
        <f t="shared" si="165"/>
        <v/>
      </c>
      <c r="W571" s="23"/>
      <c r="X571" s="19"/>
      <c r="Y571" s="33"/>
      <c r="Z571" s="15"/>
    </row>
    <row r="572" spans="1:26" x14ac:dyDescent="0.25">
      <c r="A572" s="21" t="str">
        <f>IF(C572="","",COUNTA($C$3:C572))</f>
        <v/>
      </c>
      <c r="B572" s="35" t="str">
        <f t="shared" si="166"/>
        <v/>
      </c>
      <c r="C572" s="31"/>
      <c r="D572" s="17"/>
      <c r="E572" s="32"/>
      <c r="F572" s="17"/>
      <c r="G572" s="18"/>
      <c r="H572" s="18"/>
      <c r="I572" s="17"/>
      <c r="J572" s="18"/>
      <c r="K572" s="18"/>
      <c r="L572" s="19"/>
      <c r="M572" s="20"/>
      <c r="N572" s="20"/>
      <c r="O572" s="20"/>
      <c r="P572" s="80"/>
      <c r="Q572" s="83"/>
      <c r="R572" s="87"/>
      <c r="S572" s="19"/>
      <c r="T572" s="19"/>
      <c r="U572" s="21"/>
      <c r="V572" s="22" t="str">
        <f t="shared" si="165"/>
        <v/>
      </c>
      <c r="W572" s="23"/>
      <c r="X572" s="19"/>
      <c r="Y572" s="33"/>
      <c r="Z572" s="15"/>
    </row>
    <row r="573" spans="1:26" x14ac:dyDescent="0.25">
      <c r="A573" s="21" t="str">
        <f>IF(C573="","",COUNTA($C$3:C573))</f>
        <v/>
      </c>
      <c r="B573" s="35" t="str">
        <f t="shared" si="166"/>
        <v/>
      </c>
      <c r="C573" s="31"/>
      <c r="D573" s="17"/>
      <c r="E573" s="32"/>
      <c r="F573" s="17"/>
      <c r="G573" s="18"/>
      <c r="H573" s="18"/>
      <c r="I573" s="17"/>
      <c r="J573" s="18"/>
      <c r="K573" s="18"/>
      <c r="L573" s="19"/>
      <c r="M573" s="20"/>
      <c r="N573" s="20"/>
      <c r="O573" s="20"/>
      <c r="P573" s="80"/>
      <c r="Q573" s="83"/>
      <c r="R573" s="87"/>
      <c r="S573" s="19"/>
      <c r="T573" s="19"/>
      <c r="U573" s="21"/>
      <c r="V573" s="22" t="str">
        <f t="shared" si="165"/>
        <v/>
      </c>
      <c r="W573" s="23"/>
      <c r="X573" s="19"/>
      <c r="Y573" s="33"/>
      <c r="Z573" s="15"/>
    </row>
    <row r="574" spans="1:26" x14ac:dyDescent="0.25">
      <c r="A574" s="21" t="str">
        <f>IF(C574="","",COUNTA($C$3:C574))</f>
        <v/>
      </c>
      <c r="B574" s="35" t="str">
        <f t="shared" si="166"/>
        <v/>
      </c>
      <c r="C574" s="31"/>
      <c r="D574" s="17"/>
      <c r="E574" s="32"/>
      <c r="F574" s="17"/>
      <c r="G574" s="18"/>
      <c r="H574" s="18"/>
      <c r="I574" s="17"/>
      <c r="J574" s="18"/>
      <c r="K574" s="18"/>
      <c r="L574" s="19"/>
      <c r="M574" s="20"/>
      <c r="N574" s="20"/>
      <c r="O574" s="20"/>
      <c r="P574" s="80"/>
      <c r="Q574" s="83"/>
      <c r="R574" s="87"/>
      <c r="S574" s="19"/>
      <c r="T574" s="19"/>
      <c r="U574" s="21"/>
      <c r="V574" s="22" t="str">
        <f t="shared" si="165"/>
        <v/>
      </c>
      <c r="W574" s="23"/>
      <c r="X574" s="19"/>
      <c r="Y574" s="33"/>
      <c r="Z574" s="15"/>
    </row>
    <row r="575" spans="1:26" x14ac:dyDescent="0.25">
      <c r="A575" s="21" t="str">
        <f>IF(C575="","",COUNTA($C$3:C575))</f>
        <v/>
      </c>
      <c r="B575" s="35" t="str">
        <f t="shared" si="166"/>
        <v/>
      </c>
      <c r="C575" s="31"/>
      <c r="D575" s="17"/>
      <c r="E575" s="32"/>
      <c r="F575" s="17"/>
      <c r="G575" s="18"/>
      <c r="H575" s="18"/>
      <c r="I575" s="17"/>
      <c r="J575" s="18"/>
      <c r="K575" s="18"/>
      <c r="L575" s="19"/>
      <c r="M575" s="20"/>
      <c r="N575" s="20"/>
      <c r="O575" s="19"/>
      <c r="P575" s="80"/>
      <c r="Q575" s="83"/>
      <c r="R575" s="87"/>
      <c r="S575" s="19"/>
      <c r="T575" s="19"/>
      <c r="U575" s="21"/>
      <c r="V575" s="22" t="str">
        <f t="shared" si="165"/>
        <v/>
      </c>
      <c r="W575" s="23"/>
      <c r="X575" s="19"/>
      <c r="Y575" s="33"/>
      <c r="Z575" s="15"/>
    </row>
    <row r="576" spans="1:26" x14ac:dyDescent="0.25">
      <c r="A576" s="21" t="str">
        <f>IF(C576="","",COUNTA($C$3:C576))</f>
        <v/>
      </c>
      <c r="B576" s="35" t="str">
        <f t="shared" si="166"/>
        <v/>
      </c>
      <c r="C576" s="31"/>
      <c r="D576" s="17"/>
      <c r="E576" s="32"/>
      <c r="F576" s="17"/>
      <c r="G576" s="18"/>
      <c r="H576" s="18"/>
      <c r="I576" s="17"/>
      <c r="J576" s="18"/>
      <c r="K576" s="18"/>
      <c r="L576" s="19"/>
      <c r="M576" s="20"/>
      <c r="N576" s="20"/>
      <c r="O576" s="19"/>
      <c r="P576" s="80"/>
      <c r="Q576" s="83"/>
      <c r="R576" s="87"/>
      <c r="S576" s="19"/>
      <c r="T576" s="19"/>
      <c r="U576" s="21"/>
      <c r="V576" s="22" t="str">
        <f t="shared" si="165"/>
        <v/>
      </c>
      <c r="W576" s="23"/>
      <c r="X576" s="19"/>
      <c r="Y576" s="33"/>
      <c r="Z576" s="15"/>
    </row>
    <row r="577" spans="1:26" x14ac:dyDescent="0.25">
      <c r="A577" s="21" t="str">
        <f>IF(C577="","",COUNTA($C$3:C577))</f>
        <v/>
      </c>
      <c r="B577" s="35" t="str">
        <f t="shared" si="166"/>
        <v/>
      </c>
      <c r="C577" s="31"/>
      <c r="D577" s="17"/>
      <c r="E577" s="32"/>
      <c r="F577" s="17"/>
      <c r="G577" s="18"/>
      <c r="H577" s="18"/>
      <c r="I577" s="17"/>
      <c r="J577" s="18"/>
      <c r="K577" s="18"/>
      <c r="L577" s="19"/>
      <c r="M577" s="20"/>
      <c r="N577" s="20"/>
      <c r="O577" s="20"/>
      <c r="P577" s="80"/>
      <c r="Q577" s="83"/>
      <c r="R577" s="87"/>
      <c r="S577" s="19"/>
      <c r="T577" s="19"/>
      <c r="U577" s="21"/>
      <c r="V577" s="22" t="str">
        <f t="shared" si="165"/>
        <v/>
      </c>
      <c r="W577" s="23"/>
      <c r="X577" s="19"/>
      <c r="Y577" s="33"/>
      <c r="Z577" s="15"/>
    </row>
    <row r="578" spans="1:26" x14ac:dyDescent="0.25">
      <c r="A578" s="21" t="str">
        <f>IF(C578="","",COUNTA($C$3:C578))</f>
        <v/>
      </c>
      <c r="B578" s="35" t="str">
        <f t="shared" si="166"/>
        <v/>
      </c>
      <c r="C578" s="31"/>
      <c r="D578" s="17"/>
      <c r="E578" s="32"/>
      <c r="F578" s="17"/>
      <c r="G578" s="18"/>
      <c r="H578" s="18"/>
      <c r="I578" s="17"/>
      <c r="J578" s="18"/>
      <c r="K578" s="18"/>
      <c r="L578" s="19"/>
      <c r="M578" s="20"/>
      <c r="N578" s="20"/>
      <c r="O578" s="19"/>
      <c r="P578" s="80"/>
      <c r="Q578" s="83"/>
      <c r="R578" s="87"/>
      <c r="S578" s="19"/>
      <c r="T578" s="19"/>
      <c r="U578" s="21"/>
      <c r="V578" s="22" t="str">
        <f t="shared" si="165"/>
        <v/>
      </c>
      <c r="W578" s="23"/>
      <c r="X578" s="19"/>
      <c r="Y578" s="33"/>
      <c r="Z578" s="15"/>
    </row>
    <row r="579" spans="1:26" x14ac:dyDescent="0.25">
      <c r="A579" s="21" t="str">
        <f>IF(C579="","",COUNTA($C$3:C579))</f>
        <v/>
      </c>
      <c r="B579" s="35" t="str">
        <f t="shared" si="166"/>
        <v/>
      </c>
      <c r="C579" s="31"/>
      <c r="D579" s="17"/>
      <c r="E579" s="32"/>
      <c r="F579" s="17"/>
      <c r="G579" s="18"/>
      <c r="H579" s="18"/>
      <c r="I579" s="17"/>
      <c r="J579" s="18"/>
      <c r="K579" s="18"/>
      <c r="L579" s="19"/>
      <c r="M579" s="20"/>
      <c r="N579" s="20"/>
      <c r="O579" s="19"/>
      <c r="P579" s="80"/>
      <c r="Q579" s="83"/>
      <c r="R579" s="87"/>
      <c r="S579" s="19"/>
      <c r="T579" s="19"/>
      <c r="U579" s="21"/>
      <c r="V579" s="22" t="str">
        <f t="shared" ref="V579:V642" si="167">IF(U579="","",(U579/T579))</f>
        <v/>
      </c>
      <c r="W579" s="23"/>
      <c r="X579" s="19"/>
      <c r="Y579" s="33"/>
      <c r="Z579" s="15"/>
    </row>
    <row r="580" spans="1:26" x14ac:dyDescent="0.25">
      <c r="A580" s="21" t="str">
        <f>IF(C580="","",COUNTA($C$3:C580))</f>
        <v/>
      </c>
      <c r="B580" s="35" t="str">
        <f t="shared" si="166"/>
        <v/>
      </c>
      <c r="C580" s="31"/>
      <c r="D580" s="17"/>
      <c r="E580" s="32"/>
      <c r="F580" s="17"/>
      <c r="G580" s="18"/>
      <c r="H580" s="18"/>
      <c r="I580" s="17"/>
      <c r="J580" s="18"/>
      <c r="K580" s="18"/>
      <c r="L580" s="19"/>
      <c r="M580" s="20"/>
      <c r="N580" s="20"/>
      <c r="O580" s="20"/>
      <c r="P580" s="80"/>
      <c r="Q580" s="83"/>
      <c r="R580" s="87"/>
      <c r="S580" s="19"/>
      <c r="T580" s="19"/>
      <c r="U580" s="21"/>
      <c r="V580" s="22" t="str">
        <f t="shared" si="167"/>
        <v/>
      </c>
      <c r="W580" s="23"/>
      <c r="X580" s="19"/>
      <c r="Y580" s="33"/>
      <c r="Z580" s="15"/>
    </row>
    <row r="581" spans="1:26" x14ac:dyDescent="0.25">
      <c r="A581" s="21" t="str">
        <f>IF(C581="","",COUNTA($C$3:C581))</f>
        <v/>
      </c>
      <c r="B581" s="35" t="str">
        <f t="shared" si="166"/>
        <v/>
      </c>
      <c r="C581" s="31"/>
      <c r="D581" s="17"/>
      <c r="E581" s="32"/>
      <c r="F581" s="17"/>
      <c r="G581" s="18"/>
      <c r="H581" s="18"/>
      <c r="I581" s="17"/>
      <c r="J581" s="18"/>
      <c r="K581" s="18"/>
      <c r="L581" s="19"/>
      <c r="M581" s="20"/>
      <c r="N581" s="20"/>
      <c r="O581" s="20"/>
      <c r="P581" s="80"/>
      <c r="Q581" s="83"/>
      <c r="R581" s="87"/>
      <c r="S581" s="19"/>
      <c r="T581" s="19"/>
      <c r="U581" s="21"/>
      <c r="V581" s="22" t="str">
        <f t="shared" si="167"/>
        <v/>
      </c>
      <c r="W581" s="23"/>
      <c r="X581" s="19"/>
      <c r="Y581" s="33"/>
      <c r="Z581" s="15"/>
    </row>
    <row r="582" spans="1:26" x14ac:dyDescent="0.25">
      <c r="A582" s="21" t="str">
        <f>IF(C582="","",COUNTA($C$3:C582))</f>
        <v/>
      </c>
      <c r="B582" s="35" t="str">
        <f t="shared" si="166"/>
        <v/>
      </c>
      <c r="C582" s="31"/>
      <c r="D582" s="17"/>
      <c r="E582" s="32"/>
      <c r="F582" s="17"/>
      <c r="G582" s="18"/>
      <c r="H582" s="18"/>
      <c r="I582" s="17"/>
      <c r="J582" s="18"/>
      <c r="K582" s="18"/>
      <c r="L582" s="19"/>
      <c r="M582" s="20"/>
      <c r="N582" s="20"/>
      <c r="O582" s="19"/>
      <c r="P582" s="80"/>
      <c r="Q582" s="83"/>
      <c r="R582" s="87"/>
      <c r="S582" s="19"/>
      <c r="T582" s="19"/>
      <c r="U582" s="21"/>
      <c r="V582" s="22" t="str">
        <f t="shared" si="167"/>
        <v/>
      </c>
      <c r="W582" s="23"/>
      <c r="X582" s="74"/>
      <c r="Y582" s="33"/>
      <c r="Z582" s="15"/>
    </row>
    <row r="583" spans="1:26" x14ac:dyDescent="0.25">
      <c r="A583" s="21" t="str">
        <f>IF(C583="","",COUNTA($C$3:C583))</f>
        <v/>
      </c>
      <c r="B583" s="35" t="str">
        <f t="shared" si="166"/>
        <v/>
      </c>
      <c r="C583" s="31"/>
      <c r="D583" s="17"/>
      <c r="E583" s="32"/>
      <c r="F583" s="17"/>
      <c r="G583" s="18"/>
      <c r="H583" s="18"/>
      <c r="I583" s="17"/>
      <c r="J583" s="18"/>
      <c r="K583" s="18"/>
      <c r="L583" s="19"/>
      <c r="M583" s="20"/>
      <c r="N583" s="20"/>
      <c r="O583" s="20"/>
      <c r="P583" s="80"/>
      <c r="Q583" s="83"/>
      <c r="R583" s="87"/>
      <c r="S583" s="19"/>
      <c r="T583" s="19"/>
      <c r="U583" s="21"/>
      <c r="V583" s="22" t="str">
        <f t="shared" si="167"/>
        <v/>
      </c>
      <c r="W583" s="23"/>
      <c r="X583" s="74"/>
      <c r="Y583" s="33"/>
      <c r="Z583" s="15"/>
    </row>
    <row r="584" spans="1:26" x14ac:dyDescent="0.25">
      <c r="A584" s="21" t="str">
        <f>IF(C584="","",COUNTA($C$3:C584))</f>
        <v/>
      </c>
      <c r="B584" s="35" t="str">
        <f t="shared" si="166"/>
        <v/>
      </c>
      <c r="C584" s="31"/>
      <c r="D584" s="17"/>
      <c r="E584" s="32"/>
      <c r="F584" s="17"/>
      <c r="G584" s="18"/>
      <c r="H584" s="18"/>
      <c r="I584" s="17"/>
      <c r="J584" s="18"/>
      <c r="K584" s="18"/>
      <c r="L584" s="19"/>
      <c r="M584" s="20"/>
      <c r="N584" s="20"/>
      <c r="O584" s="19"/>
      <c r="P584" s="80"/>
      <c r="Q584" s="83"/>
      <c r="R584" s="87"/>
      <c r="S584" s="19"/>
      <c r="T584" s="19"/>
      <c r="U584" s="21"/>
      <c r="V584" s="22" t="str">
        <f t="shared" si="167"/>
        <v/>
      </c>
      <c r="W584" s="23"/>
      <c r="X584" s="74"/>
      <c r="Y584" s="33"/>
      <c r="Z584" s="15"/>
    </row>
    <row r="585" spans="1:26" x14ac:dyDescent="0.25">
      <c r="A585" s="21" t="str">
        <f>IF(C585="","",COUNTA($C$3:C585))</f>
        <v/>
      </c>
      <c r="B585" s="35" t="str">
        <f t="shared" si="166"/>
        <v/>
      </c>
      <c r="C585" s="31"/>
      <c r="D585" s="17"/>
      <c r="E585" s="32"/>
      <c r="F585" s="17"/>
      <c r="G585" s="18"/>
      <c r="H585" s="18"/>
      <c r="I585" s="17"/>
      <c r="J585" s="18"/>
      <c r="K585" s="18"/>
      <c r="L585" s="19"/>
      <c r="M585" s="20"/>
      <c r="N585" s="20"/>
      <c r="O585" s="19"/>
      <c r="P585" s="80"/>
      <c r="Q585" s="83"/>
      <c r="R585" s="87"/>
      <c r="S585" s="19"/>
      <c r="T585" s="19"/>
      <c r="U585" s="21"/>
      <c r="V585" s="22" t="str">
        <f t="shared" si="167"/>
        <v/>
      </c>
      <c r="W585" s="23"/>
      <c r="X585" s="74"/>
      <c r="Y585" s="33"/>
      <c r="Z585" s="15"/>
    </row>
    <row r="586" spans="1:26" x14ac:dyDescent="0.25">
      <c r="A586" s="21" t="str">
        <f>IF(C586="","",COUNTA($C$3:C586))</f>
        <v/>
      </c>
      <c r="B586" s="35" t="str">
        <f t="shared" si="166"/>
        <v/>
      </c>
      <c r="C586" s="31"/>
      <c r="D586" s="17"/>
      <c r="E586" s="32"/>
      <c r="F586" s="17"/>
      <c r="G586" s="18"/>
      <c r="H586" s="18"/>
      <c r="I586" s="17"/>
      <c r="J586" s="18"/>
      <c r="K586" s="18"/>
      <c r="L586" s="19"/>
      <c r="M586" s="20"/>
      <c r="N586" s="20"/>
      <c r="O586" s="19"/>
      <c r="P586" s="80"/>
      <c r="Q586" s="83"/>
      <c r="R586" s="87"/>
      <c r="S586" s="19"/>
      <c r="T586" s="19"/>
      <c r="U586" s="21"/>
      <c r="V586" s="22" t="str">
        <f t="shared" si="167"/>
        <v/>
      </c>
      <c r="W586" s="23"/>
      <c r="X586" s="74"/>
      <c r="Y586" s="33"/>
      <c r="Z586" s="15"/>
    </row>
    <row r="587" spans="1:26" x14ac:dyDescent="0.25">
      <c r="A587" s="21" t="str">
        <f>IF(C587="","",COUNTA($C$3:C587))</f>
        <v/>
      </c>
      <c r="B587" s="35" t="str">
        <f t="shared" si="166"/>
        <v/>
      </c>
      <c r="C587" s="31"/>
      <c r="D587" s="17"/>
      <c r="E587" s="32"/>
      <c r="F587" s="17"/>
      <c r="G587" s="18"/>
      <c r="H587" s="18"/>
      <c r="I587" s="17"/>
      <c r="J587" s="18"/>
      <c r="K587" s="18"/>
      <c r="L587" s="19"/>
      <c r="M587" s="20"/>
      <c r="N587" s="20"/>
      <c r="O587" s="19"/>
      <c r="P587" s="80"/>
      <c r="Q587" s="83"/>
      <c r="R587" s="87"/>
      <c r="S587" s="19"/>
      <c r="T587" s="19"/>
      <c r="U587" s="21"/>
      <c r="V587" s="22" t="str">
        <f t="shared" si="167"/>
        <v/>
      </c>
      <c r="W587" s="23"/>
      <c r="X587" s="74"/>
      <c r="Y587" s="33"/>
      <c r="Z587" s="15"/>
    </row>
    <row r="588" spans="1:26" x14ac:dyDescent="0.25">
      <c r="A588" s="21" t="str">
        <f>IF(C588="","",COUNTA($C$3:C588))</f>
        <v/>
      </c>
      <c r="B588" s="35" t="str">
        <f t="shared" si="166"/>
        <v/>
      </c>
      <c r="C588" s="31"/>
      <c r="D588" s="17"/>
      <c r="E588" s="32"/>
      <c r="F588" s="17"/>
      <c r="G588" s="18"/>
      <c r="H588" s="18"/>
      <c r="I588" s="17"/>
      <c r="J588" s="18"/>
      <c r="K588" s="18"/>
      <c r="L588" s="19"/>
      <c r="M588" s="20"/>
      <c r="N588" s="20"/>
      <c r="O588" s="20"/>
      <c r="P588" s="80"/>
      <c r="Q588" s="83"/>
      <c r="R588" s="87"/>
      <c r="S588" s="19"/>
      <c r="T588" s="19"/>
      <c r="U588" s="21"/>
      <c r="V588" s="22" t="str">
        <f t="shared" si="167"/>
        <v/>
      </c>
      <c r="W588" s="23"/>
      <c r="X588" s="19"/>
      <c r="Y588" s="33"/>
      <c r="Z588" s="15"/>
    </row>
    <row r="589" spans="1:26" x14ac:dyDescent="0.25">
      <c r="A589" s="21" t="str">
        <f>IF(C589="","",COUNTA($C$3:C589))</f>
        <v/>
      </c>
      <c r="B589" s="35" t="str">
        <f t="shared" si="166"/>
        <v/>
      </c>
      <c r="C589" s="31"/>
      <c r="D589" s="17"/>
      <c r="E589" s="32"/>
      <c r="F589" s="17"/>
      <c r="G589" s="18"/>
      <c r="H589" s="18"/>
      <c r="I589" s="17"/>
      <c r="J589" s="18"/>
      <c r="K589" s="18"/>
      <c r="L589" s="19"/>
      <c r="M589" s="20"/>
      <c r="N589" s="20"/>
      <c r="O589" s="20"/>
      <c r="P589" s="80"/>
      <c r="Q589" s="83"/>
      <c r="R589" s="87"/>
      <c r="S589" s="19"/>
      <c r="T589" s="19"/>
      <c r="U589" s="21"/>
      <c r="V589" s="22" t="str">
        <f t="shared" si="167"/>
        <v/>
      </c>
      <c r="W589" s="23"/>
      <c r="X589" s="19"/>
      <c r="Y589" s="33"/>
      <c r="Z589" s="15"/>
    </row>
    <row r="590" spans="1:26" x14ac:dyDescent="0.25">
      <c r="A590" s="21" t="str">
        <f>IF(C590="","",COUNTA($C$3:C590))</f>
        <v/>
      </c>
      <c r="B590" s="35" t="str">
        <f t="shared" si="166"/>
        <v/>
      </c>
      <c r="C590" s="31"/>
      <c r="D590" s="17"/>
      <c r="E590" s="32"/>
      <c r="F590" s="17"/>
      <c r="G590" s="18"/>
      <c r="H590" s="18"/>
      <c r="I590" s="17"/>
      <c r="J590" s="18"/>
      <c r="K590" s="18"/>
      <c r="L590" s="19"/>
      <c r="M590" s="20"/>
      <c r="N590" s="20"/>
      <c r="O590" s="19"/>
      <c r="P590" s="80"/>
      <c r="Q590" s="83"/>
      <c r="R590" s="87"/>
      <c r="S590" s="19"/>
      <c r="T590" s="19"/>
      <c r="U590" s="21"/>
      <c r="V590" s="22" t="str">
        <f t="shared" si="167"/>
        <v/>
      </c>
      <c r="W590" s="23"/>
      <c r="X590" s="19"/>
      <c r="Y590" s="33"/>
      <c r="Z590" s="15"/>
    </row>
    <row r="591" spans="1:26" x14ac:dyDescent="0.25">
      <c r="A591" s="21" t="str">
        <f>IF(C591="","",COUNTA($C$3:C591))</f>
        <v/>
      </c>
      <c r="B591" s="35" t="str">
        <f t="shared" si="166"/>
        <v/>
      </c>
      <c r="C591" s="31"/>
      <c r="D591" s="17"/>
      <c r="E591" s="32"/>
      <c r="F591" s="17"/>
      <c r="G591" s="18"/>
      <c r="H591" s="18"/>
      <c r="I591" s="17"/>
      <c r="J591" s="18"/>
      <c r="K591" s="18"/>
      <c r="L591" s="19"/>
      <c r="M591" s="20"/>
      <c r="N591" s="20"/>
      <c r="O591" s="19"/>
      <c r="P591" s="80"/>
      <c r="Q591" s="83"/>
      <c r="R591" s="87"/>
      <c r="S591" s="19"/>
      <c r="T591" s="19"/>
      <c r="U591" s="21"/>
      <c r="V591" s="22" t="str">
        <f t="shared" si="167"/>
        <v/>
      </c>
      <c r="W591" s="23"/>
      <c r="X591" s="74"/>
      <c r="Y591" s="33"/>
      <c r="Z591" s="15"/>
    </row>
    <row r="592" spans="1:26" x14ac:dyDescent="0.25">
      <c r="A592" s="21" t="str">
        <f>IF(C592="","",COUNTA($C$3:C592))</f>
        <v/>
      </c>
      <c r="B592" s="35" t="str">
        <f t="shared" si="166"/>
        <v/>
      </c>
      <c r="C592" s="31"/>
      <c r="D592" s="17"/>
      <c r="E592" s="32"/>
      <c r="F592" s="17"/>
      <c r="G592" s="18"/>
      <c r="H592" s="18"/>
      <c r="I592" s="17"/>
      <c r="J592" s="18"/>
      <c r="K592" s="18"/>
      <c r="L592" s="19"/>
      <c r="M592" s="20"/>
      <c r="N592" s="20"/>
      <c r="O592" s="19"/>
      <c r="P592" s="80"/>
      <c r="Q592" s="83"/>
      <c r="R592" s="87"/>
      <c r="S592" s="19"/>
      <c r="T592" s="19"/>
      <c r="U592" s="21"/>
      <c r="V592" s="22" t="str">
        <f t="shared" si="167"/>
        <v/>
      </c>
      <c r="W592" s="23"/>
      <c r="X592" s="74"/>
      <c r="Y592" s="33"/>
      <c r="Z592" s="15"/>
    </row>
    <row r="593" spans="1:26" x14ac:dyDescent="0.25">
      <c r="A593" s="21" t="str">
        <f>IF(C593="","",COUNTA($C$3:C593))</f>
        <v/>
      </c>
      <c r="B593" s="35" t="str">
        <f t="shared" si="166"/>
        <v/>
      </c>
      <c r="C593" s="31"/>
      <c r="D593" s="17"/>
      <c r="E593" s="32"/>
      <c r="F593" s="17"/>
      <c r="G593" s="18"/>
      <c r="H593" s="18"/>
      <c r="I593" s="17"/>
      <c r="J593" s="18"/>
      <c r="K593" s="18"/>
      <c r="L593" s="19"/>
      <c r="M593" s="20"/>
      <c r="N593" s="20"/>
      <c r="O593" s="19"/>
      <c r="P593" s="80"/>
      <c r="Q593" s="83"/>
      <c r="R593" s="87"/>
      <c r="S593" s="19"/>
      <c r="T593" s="19"/>
      <c r="U593" s="21"/>
      <c r="V593" s="22" t="str">
        <f t="shared" si="167"/>
        <v/>
      </c>
      <c r="W593" s="23"/>
      <c r="X593" s="74"/>
      <c r="Y593" s="33"/>
      <c r="Z593" s="15"/>
    </row>
    <row r="594" spans="1:26" x14ac:dyDescent="0.25">
      <c r="A594" s="21" t="str">
        <f>IF(C594="","",COUNTA($C$3:C594))</f>
        <v/>
      </c>
      <c r="B594" s="35" t="str">
        <f t="shared" si="166"/>
        <v/>
      </c>
      <c r="C594" s="31"/>
      <c r="D594" s="17"/>
      <c r="E594" s="32"/>
      <c r="F594" s="17"/>
      <c r="G594" s="18"/>
      <c r="H594" s="18"/>
      <c r="I594" s="17"/>
      <c r="J594" s="18"/>
      <c r="K594" s="18"/>
      <c r="L594" s="19"/>
      <c r="M594" s="20"/>
      <c r="N594" s="20"/>
      <c r="O594" s="19"/>
      <c r="P594" s="80"/>
      <c r="Q594" s="83"/>
      <c r="R594" s="87"/>
      <c r="S594" s="19"/>
      <c r="T594" s="19"/>
      <c r="U594" s="21"/>
      <c r="V594" s="22" t="str">
        <f t="shared" si="167"/>
        <v/>
      </c>
      <c r="W594" s="23"/>
      <c r="X594" s="74"/>
      <c r="Y594" s="33"/>
      <c r="Z594" s="15"/>
    </row>
    <row r="595" spans="1:26" x14ac:dyDescent="0.25">
      <c r="A595" s="21" t="str">
        <f>IF(C595="","",COUNTA($C$3:C595))</f>
        <v/>
      </c>
      <c r="B595" s="35" t="str">
        <f t="shared" si="166"/>
        <v/>
      </c>
      <c r="C595" s="31"/>
      <c r="D595" s="17"/>
      <c r="E595" s="32"/>
      <c r="F595" s="17"/>
      <c r="G595" s="18"/>
      <c r="H595" s="18"/>
      <c r="I595" s="17"/>
      <c r="J595" s="18"/>
      <c r="K595" s="18"/>
      <c r="L595" s="19"/>
      <c r="M595" s="20"/>
      <c r="N595" s="20"/>
      <c r="O595" s="19"/>
      <c r="P595" s="80"/>
      <c r="Q595" s="83"/>
      <c r="R595" s="87"/>
      <c r="S595" s="19"/>
      <c r="T595" s="19"/>
      <c r="U595" s="21"/>
      <c r="V595" s="22" t="str">
        <f t="shared" si="167"/>
        <v/>
      </c>
      <c r="W595" s="23"/>
      <c r="X595" s="74"/>
      <c r="Y595" s="33"/>
      <c r="Z595" s="15"/>
    </row>
    <row r="596" spans="1:26" x14ac:dyDescent="0.25">
      <c r="A596" s="21" t="str">
        <f>IF(C596="","",COUNTA($C$3:C596))</f>
        <v/>
      </c>
      <c r="B596" s="35" t="str">
        <f t="shared" si="166"/>
        <v/>
      </c>
      <c r="C596" s="31"/>
      <c r="D596" s="17"/>
      <c r="E596" s="32"/>
      <c r="F596" s="17"/>
      <c r="G596" s="18"/>
      <c r="H596" s="18"/>
      <c r="I596" s="17"/>
      <c r="J596" s="18"/>
      <c r="K596" s="18"/>
      <c r="L596" s="19"/>
      <c r="M596" s="20"/>
      <c r="N596" s="20"/>
      <c r="O596" s="19"/>
      <c r="P596" s="80"/>
      <c r="Q596" s="83"/>
      <c r="R596" s="87"/>
      <c r="S596" s="19"/>
      <c r="T596" s="19"/>
      <c r="U596" s="21"/>
      <c r="V596" s="22" t="str">
        <f t="shared" si="167"/>
        <v/>
      </c>
      <c r="W596" s="23"/>
      <c r="X596" s="74"/>
      <c r="Y596" s="33"/>
      <c r="Z596" s="15"/>
    </row>
    <row r="597" spans="1:26" x14ac:dyDescent="0.25">
      <c r="A597" s="21" t="str">
        <f>IF(C597="","",COUNTA($C$3:C597))</f>
        <v/>
      </c>
      <c r="B597" s="35" t="str">
        <f t="shared" si="166"/>
        <v/>
      </c>
      <c r="C597" s="31"/>
      <c r="D597" s="17"/>
      <c r="E597" s="32"/>
      <c r="F597" s="17"/>
      <c r="G597" s="18"/>
      <c r="H597" s="18"/>
      <c r="I597" s="17"/>
      <c r="J597" s="18"/>
      <c r="K597" s="18"/>
      <c r="L597" s="19"/>
      <c r="M597" s="20"/>
      <c r="N597" s="20"/>
      <c r="O597" s="19"/>
      <c r="P597" s="80"/>
      <c r="Q597" s="83"/>
      <c r="R597" s="87"/>
      <c r="S597" s="19"/>
      <c r="T597" s="19"/>
      <c r="U597" s="21"/>
      <c r="V597" s="22" t="str">
        <f t="shared" si="167"/>
        <v/>
      </c>
      <c r="W597" s="23"/>
      <c r="X597" s="74"/>
      <c r="Y597" s="33"/>
      <c r="Z597" s="15"/>
    </row>
    <row r="598" spans="1:26" x14ac:dyDescent="0.25">
      <c r="A598" s="21" t="str">
        <f>IF(C598="","",COUNTA($C$3:C598))</f>
        <v/>
      </c>
      <c r="B598" s="35" t="str">
        <f t="shared" si="166"/>
        <v/>
      </c>
      <c r="C598" s="31"/>
      <c r="D598" s="17"/>
      <c r="E598" s="32"/>
      <c r="F598" s="17"/>
      <c r="G598" s="18"/>
      <c r="H598" s="18"/>
      <c r="I598" s="17"/>
      <c r="J598" s="18"/>
      <c r="K598" s="18"/>
      <c r="L598" s="19"/>
      <c r="M598" s="20"/>
      <c r="N598" s="20"/>
      <c r="O598" s="19"/>
      <c r="P598" s="80"/>
      <c r="Q598" s="83"/>
      <c r="R598" s="87"/>
      <c r="S598" s="19"/>
      <c r="T598" s="19"/>
      <c r="U598" s="21"/>
      <c r="V598" s="22" t="str">
        <f t="shared" si="167"/>
        <v/>
      </c>
      <c r="W598" s="23"/>
      <c r="X598" s="74"/>
      <c r="Y598" s="33"/>
      <c r="Z598" s="15"/>
    </row>
    <row r="599" spans="1:26" x14ac:dyDescent="0.25">
      <c r="A599" s="21" t="str">
        <f>IF(C599="","",COUNTA($C$3:C599))</f>
        <v/>
      </c>
      <c r="B599" s="35" t="str">
        <f t="shared" si="166"/>
        <v/>
      </c>
      <c r="C599" s="31"/>
      <c r="D599" s="17"/>
      <c r="E599" s="32"/>
      <c r="F599" s="17"/>
      <c r="G599" s="18"/>
      <c r="H599" s="18"/>
      <c r="I599" s="17"/>
      <c r="J599" s="18"/>
      <c r="K599" s="18"/>
      <c r="L599" s="19"/>
      <c r="M599" s="20"/>
      <c r="N599" s="20"/>
      <c r="O599" s="19"/>
      <c r="P599" s="80"/>
      <c r="Q599" s="83"/>
      <c r="R599" s="87"/>
      <c r="S599" s="19"/>
      <c r="T599" s="19"/>
      <c r="U599" s="21"/>
      <c r="V599" s="22" t="str">
        <f t="shared" si="167"/>
        <v/>
      </c>
      <c r="W599" s="23"/>
      <c r="X599" s="74"/>
      <c r="Y599" s="33"/>
      <c r="Z599" s="15"/>
    </row>
    <row r="600" spans="1:26" x14ac:dyDescent="0.25">
      <c r="A600" s="21" t="str">
        <f>IF(C600="","",COUNTA($C$3:C600))</f>
        <v/>
      </c>
      <c r="B600" s="35" t="str">
        <f t="shared" si="166"/>
        <v/>
      </c>
      <c r="C600" s="31"/>
      <c r="D600" s="17"/>
      <c r="E600" s="32"/>
      <c r="F600" s="17"/>
      <c r="G600" s="18"/>
      <c r="H600" s="18"/>
      <c r="I600" s="17"/>
      <c r="J600" s="18"/>
      <c r="K600" s="18"/>
      <c r="L600" s="19"/>
      <c r="M600" s="20"/>
      <c r="N600" s="20"/>
      <c r="O600" s="19"/>
      <c r="P600" s="80"/>
      <c r="Q600" s="83"/>
      <c r="R600" s="87"/>
      <c r="S600" s="19"/>
      <c r="T600" s="19"/>
      <c r="U600" s="21"/>
      <c r="V600" s="22" t="str">
        <f t="shared" si="167"/>
        <v/>
      </c>
      <c r="W600" s="23"/>
      <c r="X600" s="74"/>
      <c r="Y600" s="33"/>
      <c r="Z600" s="15"/>
    </row>
    <row r="601" spans="1:26" x14ac:dyDescent="0.25">
      <c r="A601" s="21" t="str">
        <f>IF(C601="","",COUNTA($C$3:C601))</f>
        <v/>
      </c>
      <c r="B601" s="35" t="str">
        <f t="shared" si="166"/>
        <v/>
      </c>
      <c r="C601" s="31"/>
      <c r="D601" s="17"/>
      <c r="E601" s="32"/>
      <c r="F601" s="17"/>
      <c r="G601" s="18"/>
      <c r="H601" s="18"/>
      <c r="I601" s="17"/>
      <c r="J601" s="18"/>
      <c r="K601" s="18"/>
      <c r="L601" s="19"/>
      <c r="M601" s="20"/>
      <c r="N601" s="20"/>
      <c r="O601" s="19"/>
      <c r="P601" s="80"/>
      <c r="Q601" s="83"/>
      <c r="R601" s="87"/>
      <c r="S601" s="19"/>
      <c r="T601" s="19"/>
      <c r="U601" s="21"/>
      <c r="V601" s="22" t="str">
        <f t="shared" si="167"/>
        <v/>
      </c>
      <c r="W601" s="23"/>
      <c r="X601" s="74"/>
      <c r="Y601" s="33"/>
      <c r="Z601" s="15"/>
    </row>
    <row r="602" spans="1:26" x14ac:dyDescent="0.25">
      <c r="A602" s="21" t="str">
        <f>IF(C602="","",COUNTA($C$3:C602))</f>
        <v/>
      </c>
      <c r="B602" s="35" t="str">
        <f t="shared" si="166"/>
        <v/>
      </c>
      <c r="C602" s="31"/>
      <c r="D602" s="17"/>
      <c r="E602" s="32"/>
      <c r="F602" s="17"/>
      <c r="G602" s="18"/>
      <c r="H602" s="18"/>
      <c r="I602" s="17"/>
      <c r="J602" s="18"/>
      <c r="K602" s="18"/>
      <c r="L602" s="19"/>
      <c r="M602" s="20"/>
      <c r="N602" s="20"/>
      <c r="O602" s="19"/>
      <c r="P602" s="80"/>
      <c r="Q602" s="83"/>
      <c r="R602" s="87"/>
      <c r="S602" s="19"/>
      <c r="T602" s="19"/>
      <c r="U602" s="21"/>
      <c r="V602" s="22" t="str">
        <f t="shared" si="167"/>
        <v/>
      </c>
      <c r="W602" s="23"/>
      <c r="X602" s="74"/>
      <c r="Y602" s="33"/>
      <c r="Z602" s="15"/>
    </row>
    <row r="603" spans="1:26" x14ac:dyDescent="0.25">
      <c r="A603" s="21" t="str">
        <f>IF(C603="","",COUNTA($C$3:C603))</f>
        <v/>
      </c>
      <c r="B603" s="35" t="str">
        <f t="shared" si="166"/>
        <v/>
      </c>
      <c r="C603" s="31"/>
      <c r="D603" s="17"/>
      <c r="E603" s="32"/>
      <c r="F603" s="17"/>
      <c r="G603" s="18"/>
      <c r="H603" s="18"/>
      <c r="I603" s="17"/>
      <c r="J603" s="18"/>
      <c r="K603" s="18"/>
      <c r="L603" s="19"/>
      <c r="M603" s="20"/>
      <c r="N603" s="20"/>
      <c r="O603" s="19"/>
      <c r="P603" s="80"/>
      <c r="Q603" s="83"/>
      <c r="R603" s="87"/>
      <c r="S603" s="19"/>
      <c r="T603" s="19"/>
      <c r="U603" s="21"/>
      <c r="V603" s="22" t="str">
        <f t="shared" si="167"/>
        <v/>
      </c>
      <c r="W603" s="23"/>
      <c r="X603" s="74"/>
      <c r="Y603" s="33"/>
      <c r="Z603" s="15"/>
    </row>
    <row r="604" spans="1:26" x14ac:dyDescent="0.25">
      <c r="A604" s="21" t="str">
        <f>IF(C604="","",COUNTA($C$3:C604))</f>
        <v/>
      </c>
      <c r="B604" s="35" t="str">
        <f t="shared" si="166"/>
        <v/>
      </c>
      <c r="C604" s="31"/>
      <c r="D604" s="17"/>
      <c r="E604" s="32"/>
      <c r="F604" s="17"/>
      <c r="G604" s="18"/>
      <c r="H604" s="18"/>
      <c r="I604" s="17"/>
      <c r="J604" s="18"/>
      <c r="K604" s="18"/>
      <c r="L604" s="19"/>
      <c r="M604" s="20"/>
      <c r="N604" s="20"/>
      <c r="O604" s="19"/>
      <c r="P604" s="80"/>
      <c r="Q604" s="83"/>
      <c r="R604" s="87"/>
      <c r="S604" s="19"/>
      <c r="T604" s="19"/>
      <c r="U604" s="21"/>
      <c r="V604" s="22" t="str">
        <f t="shared" si="167"/>
        <v/>
      </c>
      <c r="W604" s="23"/>
      <c r="X604" s="74"/>
      <c r="Y604" s="33"/>
      <c r="Z604" s="15"/>
    </row>
    <row r="605" spans="1:26" x14ac:dyDescent="0.25">
      <c r="A605" s="21" t="str">
        <f>IF(C605="","",COUNTA($C$3:C605))</f>
        <v/>
      </c>
      <c r="B605" s="35" t="str">
        <f t="shared" si="166"/>
        <v/>
      </c>
      <c r="C605" s="31"/>
      <c r="D605" s="17"/>
      <c r="E605" s="32"/>
      <c r="F605" s="17"/>
      <c r="G605" s="18"/>
      <c r="H605" s="18"/>
      <c r="I605" s="17"/>
      <c r="J605" s="18"/>
      <c r="K605" s="18"/>
      <c r="L605" s="19"/>
      <c r="M605" s="20"/>
      <c r="N605" s="20"/>
      <c r="O605" s="19"/>
      <c r="P605" s="80"/>
      <c r="Q605" s="83"/>
      <c r="R605" s="87"/>
      <c r="S605" s="19"/>
      <c r="T605" s="19"/>
      <c r="U605" s="21"/>
      <c r="V605" s="22" t="str">
        <f t="shared" si="167"/>
        <v/>
      </c>
      <c r="W605" s="23"/>
      <c r="X605" s="74"/>
      <c r="Y605" s="33"/>
      <c r="Z605" s="15"/>
    </row>
    <row r="606" spans="1:26" x14ac:dyDescent="0.25">
      <c r="A606" s="21" t="str">
        <f>IF(C606="","",COUNTA($C$3:C606))</f>
        <v/>
      </c>
      <c r="B606" s="35" t="str">
        <f t="shared" si="166"/>
        <v/>
      </c>
      <c r="C606" s="31"/>
      <c r="D606" s="17"/>
      <c r="E606" s="32"/>
      <c r="F606" s="17"/>
      <c r="G606" s="18"/>
      <c r="H606" s="18"/>
      <c r="I606" s="17"/>
      <c r="J606" s="18"/>
      <c r="K606" s="18"/>
      <c r="L606" s="19"/>
      <c r="M606" s="20"/>
      <c r="N606" s="20"/>
      <c r="O606" s="19"/>
      <c r="P606" s="80"/>
      <c r="Q606" s="83"/>
      <c r="R606" s="87"/>
      <c r="S606" s="19"/>
      <c r="T606" s="19"/>
      <c r="U606" s="21"/>
      <c r="V606" s="22" t="str">
        <f t="shared" si="167"/>
        <v/>
      </c>
      <c r="W606" s="23"/>
      <c r="X606" s="74"/>
      <c r="Y606" s="33"/>
      <c r="Z606" s="15"/>
    </row>
    <row r="607" spans="1:26" x14ac:dyDescent="0.25">
      <c r="A607" s="21" t="str">
        <f>IF(C607="","",COUNTA($C$3:C607))</f>
        <v/>
      </c>
      <c r="B607" s="35" t="str">
        <f t="shared" si="166"/>
        <v/>
      </c>
      <c r="C607" s="31"/>
      <c r="D607" s="17"/>
      <c r="E607" s="32"/>
      <c r="F607" s="17"/>
      <c r="G607" s="18"/>
      <c r="H607" s="18"/>
      <c r="I607" s="17"/>
      <c r="J607" s="18"/>
      <c r="K607" s="18"/>
      <c r="L607" s="19"/>
      <c r="M607" s="20"/>
      <c r="N607" s="20"/>
      <c r="O607" s="19"/>
      <c r="P607" s="80"/>
      <c r="Q607" s="83"/>
      <c r="R607" s="87"/>
      <c r="S607" s="19"/>
      <c r="T607" s="19"/>
      <c r="U607" s="21"/>
      <c r="V607" s="22" t="str">
        <f t="shared" si="167"/>
        <v/>
      </c>
      <c r="W607" s="23"/>
      <c r="X607" s="19"/>
      <c r="Y607" s="33"/>
      <c r="Z607" s="15"/>
    </row>
    <row r="608" spans="1:26" x14ac:dyDescent="0.25">
      <c r="A608" s="21" t="str">
        <f>IF(C608="","",COUNTA($C$3:C608))</f>
        <v/>
      </c>
      <c r="B608" s="35" t="str">
        <f t="shared" si="166"/>
        <v/>
      </c>
      <c r="C608" s="31"/>
      <c r="D608" s="17"/>
      <c r="E608" s="32"/>
      <c r="F608" s="17"/>
      <c r="G608" s="18"/>
      <c r="H608" s="18"/>
      <c r="I608" s="17"/>
      <c r="J608" s="18"/>
      <c r="K608" s="18"/>
      <c r="L608" s="19"/>
      <c r="M608" s="20"/>
      <c r="N608" s="20"/>
      <c r="O608" s="19"/>
      <c r="P608" s="80"/>
      <c r="Q608" s="83"/>
      <c r="R608" s="87"/>
      <c r="S608" s="19"/>
      <c r="T608" s="19"/>
      <c r="U608" s="21"/>
      <c r="V608" s="22" t="str">
        <f t="shared" si="167"/>
        <v/>
      </c>
      <c r="W608" s="23"/>
      <c r="X608" s="19"/>
      <c r="Y608" s="33"/>
      <c r="Z608" s="15"/>
    </row>
    <row r="609" spans="1:26" x14ac:dyDescent="0.25">
      <c r="A609" s="21" t="str">
        <f>IF(C609="","",COUNTA($C$3:C609))</f>
        <v/>
      </c>
      <c r="B609" s="35" t="str">
        <f t="shared" si="166"/>
        <v/>
      </c>
      <c r="C609" s="31"/>
      <c r="D609" s="17"/>
      <c r="E609" s="32"/>
      <c r="F609" s="17"/>
      <c r="G609" s="18"/>
      <c r="H609" s="18"/>
      <c r="I609" s="17"/>
      <c r="J609" s="18"/>
      <c r="K609" s="18"/>
      <c r="L609" s="19"/>
      <c r="M609" s="20"/>
      <c r="N609" s="20"/>
      <c r="O609" s="19"/>
      <c r="P609" s="80"/>
      <c r="Q609" s="83"/>
      <c r="R609" s="87"/>
      <c r="S609" s="19"/>
      <c r="T609" s="19"/>
      <c r="U609" s="21"/>
      <c r="V609" s="22" t="str">
        <f t="shared" si="167"/>
        <v/>
      </c>
      <c r="W609" s="23"/>
      <c r="X609" s="19"/>
      <c r="Y609" s="33"/>
      <c r="Z609" s="15"/>
    </row>
    <row r="610" spans="1:26" x14ac:dyDescent="0.25">
      <c r="A610" s="21" t="str">
        <f>IF(C610="","",COUNTA($C$3:C610))</f>
        <v/>
      </c>
      <c r="B610" s="35" t="str">
        <f t="shared" si="166"/>
        <v/>
      </c>
      <c r="C610" s="31"/>
      <c r="D610" s="17"/>
      <c r="E610" s="32"/>
      <c r="F610" s="17"/>
      <c r="G610" s="18"/>
      <c r="H610" s="18"/>
      <c r="I610" s="17"/>
      <c r="J610" s="18"/>
      <c r="K610" s="18"/>
      <c r="L610" s="19"/>
      <c r="M610" s="20"/>
      <c r="N610" s="20"/>
      <c r="O610" s="19"/>
      <c r="P610" s="80"/>
      <c r="Q610" s="83"/>
      <c r="R610" s="87"/>
      <c r="S610" s="19"/>
      <c r="T610" s="19"/>
      <c r="U610" s="21"/>
      <c r="V610" s="22" t="str">
        <f t="shared" si="167"/>
        <v/>
      </c>
      <c r="W610" s="23"/>
      <c r="X610" s="19"/>
      <c r="Y610" s="33"/>
      <c r="Z610" s="15"/>
    </row>
    <row r="611" spans="1:26" x14ac:dyDescent="0.25">
      <c r="A611" s="21" t="str">
        <f>IF(C611="","",COUNTA($C$3:C611))</f>
        <v/>
      </c>
      <c r="B611" s="35" t="str">
        <f t="shared" si="166"/>
        <v/>
      </c>
      <c r="C611" s="31"/>
      <c r="D611" s="17"/>
      <c r="E611" s="32"/>
      <c r="F611" s="17"/>
      <c r="G611" s="18"/>
      <c r="H611" s="18"/>
      <c r="I611" s="17"/>
      <c r="J611" s="18"/>
      <c r="K611" s="18"/>
      <c r="L611" s="19"/>
      <c r="M611" s="20"/>
      <c r="N611" s="20"/>
      <c r="O611" s="19"/>
      <c r="P611" s="80"/>
      <c r="Q611" s="83"/>
      <c r="R611" s="87"/>
      <c r="S611" s="19"/>
      <c r="T611" s="19"/>
      <c r="U611" s="21"/>
      <c r="V611" s="22" t="str">
        <f t="shared" si="167"/>
        <v/>
      </c>
      <c r="W611" s="23"/>
      <c r="X611" s="19"/>
      <c r="Y611" s="33"/>
      <c r="Z611" s="15"/>
    </row>
    <row r="612" spans="1:26" x14ac:dyDescent="0.25">
      <c r="A612" s="21" t="str">
        <f>IF(C612="","",COUNTA($C$3:C612))</f>
        <v/>
      </c>
      <c r="B612" s="35" t="str">
        <f t="shared" si="166"/>
        <v/>
      </c>
      <c r="C612" s="31"/>
      <c r="D612" s="17"/>
      <c r="E612" s="32"/>
      <c r="F612" s="17"/>
      <c r="G612" s="18"/>
      <c r="H612" s="18"/>
      <c r="I612" s="17"/>
      <c r="J612" s="18"/>
      <c r="K612" s="18"/>
      <c r="L612" s="19"/>
      <c r="M612" s="20"/>
      <c r="N612" s="20"/>
      <c r="O612" s="19"/>
      <c r="P612" s="80"/>
      <c r="Q612" s="83"/>
      <c r="R612" s="87"/>
      <c r="S612" s="19"/>
      <c r="T612" s="19"/>
      <c r="U612" s="21"/>
      <c r="V612" s="22" t="str">
        <f t="shared" si="167"/>
        <v/>
      </c>
      <c r="W612" s="23"/>
      <c r="X612" s="19"/>
      <c r="Y612" s="33"/>
      <c r="Z612" s="15"/>
    </row>
    <row r="613" spans="1:26" x14ac:dyDescent="0.25">
      <c r="A613" s="21" t="str">
        <f>IF(C613="","",COUNTA($C$3:C613))</f>
        <v/>
      </c>
      <c r="B613" s="35" t="str">
        <f t="shared" si="166"/>
        <v/>
      </c>
      <c r="C613" s="31"/>
      <c r="D613" s="17"/>
      <c r="E613" s="32"/>
      <c r="F613" s="17"/>
      <c r="G613" s="18"/>
      <c r="H613" s="18"/>
      <c r="I613" s="17"/>
      <c r="J613" s="18"/>
      <c r="K613" s="18"/>
      <c r="L613" s="19"/>
      <c r="M613" s="20"/>
      <c r="N613" s="20"/>
      <c r="O613" s="19"/>
      <c r="P613" s="80"/>
      <c r="Q613" s="83"/>
      <c r="R613" s="87"/>
      <c r="S613" s="19"/>
      <c r="T613" s="19"/>
      <c r="U613" s="21"/>
      <c r="V613" s="22" t="str">
        <f t="shared" si="167"/>
        <v/>
      </c>
      <c r="W613" s="23"/>
      <c r="X613" s="74"/>
      <c r="Y613" s="33"/>
      <c r="Z613" s="15"/>
    </row>
    <row r="614" spans="1:26" x14ac:dyDescent="0.25">
      <c r="A614" s="21" t="str">
        <f>IF(C614="","",COUNTA($C$3:C614))</f>
        <v/>
      </c>
      <c r="B614" s="35" t="str">
        <f t="shared" si="166"/>
        <v/>
      </c>
      <c r="C614" s="31"/>
      <c r="D614" s="17"/>
      <c r="E614" s="32"/>
      <c r="F614" s="17"/>
      <c r="G614" s="18"/>
      <c r="H614" s="18"/>
      <c r="I614" s="17"/>
      <c r="J614" s="18"/>
      <c r="K614" s="18"/>
      <c r="L614" s="19"/>
      <c r="M614" s="20"/>
      <c r="N614" s="20"/>
      <c r="O614" s="19"/>
      <c r="P614" s="80"/>
      <c r="Q614" s="83"/>
      <c r="R614" s="87"/>
      <c r="S614" s="19"/>
      <c r="T614" s="19"/>
      <c r="U614" s="21"/>
      <c r="V614" s="22" t="str">
        <f t="shared" si="167"/>
        <v/>
      </c>
      <c r="W614" s="23"/>
      <c r="X614" s="19"/>
      <c r="Y614" s="33"/>
      <c r="Z614" s="15"/>
    </row>
    <row r="615" spans="1:26" x14ac:dyDescent="0.25">
      <c r="A615" s="21" t="str">
        <f>IF(C615="","",COUNTA($C$3:C615))</f>
        <v/>
      </c>
      <c r="B615" s="35" t="str">
        <f t="shared" si="166"/>
        <v/>
      </c>
      <c r="C615" s="31"/>
      <c r="D615" s="17"/>
      <c r="E615" s="32"/>
      <c r="F615" s="17"/>
      <c r="G615" s="18"/>
      <c r="H615" s="18"/>
      <c r="I615" s="17"/>
      <c r="J615" s="18"/>
      <c r="K615" s="18"/>
      <c r="L615" s="19"/>
      <c r="M615" s="20"/>
      <c r="N615" s="20"/>
      <c r="O615" s="19"/>
      <c r="P615" s="80"/>
      <c r="Q615" s="83"/>
      <c r="R615" s="87"/>
      <c r="S615" s="19"/>
      <c r="T615" s="19"/>
      <c r="U615" s="21"/>
      <c r="V615" s="22" t="str">
        <f t="shared" si="167"/>
        <v/>
      </c>
      <c r="W615" s="23"/>
      <c r="X615" s="74"/>
      <c r="Y615" s="33"/>
      <c r="Z615" s="15"/>
    </row>
    <row r="616" spans="1:26" x14ac:dyDescent="0.25">
      <c r="A616" s="21" t="str">
        <f>IF(C616="","",COUNTA($C$3:C616))</f>
        <v/>
      </c>
      <c r="B616" s="35" t="str">
        <f t="shared" si="166"/>
        <v/>
      </c>
      <c r="C616" s="31"/>
      <c r="D616" s="17"/>
      <c r="E616" s="32"/>
      <c r="F616" s="17"/>
      <c r="G616" s="18"/>
      <c r="H616" s="18"/>
      <c r="I616" s="17"/>
      <c r="J616" s="18"/>
      <c r="K616" s="18"/>
      <c r="L616" s="19"/>
      <c r="M616" s="20"/>
      <c r="N616" s="20"/>
      <c r="O616" s="19"/>
      <c r="P616" s="80"/>
      <c r="Q616" s="83"/>
      <c r="R616" s="87"/>
      <c r="S616" s="19"/>
      <c r="T616" s="19"/>
      <c r="U616" s="21"/>
      <c r="V616" s="22" t="str">
        <f t="shared" si="167"/>
        <v/>
      </c>
      <c r="W616" s="23"/>
      <c r="X616" s="74"/>
      <c r="Y616" s="33"/>
      <c r="Z616" s="15"/>
    </row>
    <row r="617" spans="1:26" x14ac:dyDescent="0.25">
      <c r="A617" s="21" t="str">
        <f>IF(C617="","",COUNTA($C$3:C617))</f>
        <v/>
      </c>
      <c r="B617" s="35" t="str">
        <f t="shared" si="166"/>
        <v/>
      </c>
      <c r="C617" s="31"/>
      <c r="D617" s="17"/>
      <c r="E617" s="32"/>
      <c r="F617" s="17"/>
      <c r="G617" s="18"/>
      <c r="H617" s="18"/>
      <c r="I617" s="17"/>
      <c r="J617" s="18"/>
      <c r="K617" s="18"/>
      <c r="L617" s="19"/>
      <c r="M617" s="20"/>
      <c r="N617" s="20"/>
      <c r="O617" s="19"/>
      <c r="P617" s="80"/>
      <c r="Q617" s="83"/>
      <c r="R617" s="87"/>
      <c r="S617" s="19"/>
      <c r="T617" s="19"/>
      <c r="U617" s="21"/>
      <c r="V617" s="22" t="str">
        <f t="shared" si="167"/>
        <v/>
      </c>
      <c r="W617" s="23"/>
      <c r="X617" s="74"/>
      <c r="Y617" s="33"/>
      <c r="Z617" s="15"/>
    </row>
    <row r="618" spans="1:26" x14ac:dyDescent="0.25">
      <c r="A618" s="21" t="str">
        <f>IF(C618="","",COUNTA($C$3:C618))</f>
        <v/>
      </c>
      <c r="B618" s="35" t="str">
        <f t="shared" si="166"/>
        <v/>
      </c>
      <c r="C618" s="31"/>
      <c r="D618" s="17"/>
      <c r="E618" s="32"/>
      <c r="F618" s="17"/>
      <c r="G618" s="18"/>
      <c r="H618" s="18"/>
      <c r="I618" s="17"/>
      <c r="J618" s="18"/>
      <c r="K618" s="18"/>
      <c r="L618" s="19"/>
      <c r="M618" s="20"/>
      <c r="N618" s="20"/>
      <c r="O618" s="19"/>
      <c r="P618" s="80"/>
      <c r="Q618" s="83"/>
      <c r="R618" s="87"/>
      <c r="S618" s="19"/>
      <c r="T618" s="19"/>
      <c r="U618" s="21"/>
      <c r="V618" s="22" t="str">
        <f t="shared" si="167"/>
        <v/>
      </c>
      <c r="W618" s="23"/>
      <c r="X618" s="19"/>
      <c r="Y618" s="33"/>
      <c r="Z618" s="15"/>
    </row>
    <row r="619" spans="1:26" x14ac:dyDescent="0.25">
      <c r="A619" s="21" t="str">
        <f>IF(C619="","",COUNTA($C$3:C619))</f>
        <v/>
      </c>
      <c r="B619" s="35" t="str">
        <f t="shared" si="166"/>
        <v/>
      </c>
      <c r="C619" s="31"/>
      <c r="D619" s="17"/>
      <c r="E619" s="32"/>
      <c r="F619" s="17"/>
      <c r="G619" s="18"/>
      <c r="H619" s="18"/>
      <c r="I619" s="17"/>
      <c r="J619" s="18"/>
      <c r="K619" s="18"/>
      <c r="L619" s="19"/>
      <c r="M619" s="20"/>
      <c r="N619" s="20"/>
      <c r="O619" s="19"/>
      <c r="P619" s="80"/>
      <c r="Q619" s="83"/>
      <c r="R619" s="87"/>
      <c r="S619" s="19"/>
      <c r="T619" s="19"/>
      <c r="U619" s="21"/>
      <c r="V619" s="22" t="str">
        <f t="shared" si="167"/>
        <v/>
      </c>
      <c r="W619" s="23"/>
      <c r="X619" s="74"/>
      <c r="Y619" s="33"/>
      <c r="Z619" s="15"/>
    </row>
    <row r="620" spans="1:26" x14ac:dyDescent="0.25">
      <c r="A620" s="21" t="str">
        <f>IF(C620="","",COUNTA($C$3:C620))</f>
        <v/>
      </c>
      <c r="B620" s="35" t="str">
        <f t="shared" si="166"/>
        <v/>
      </c>
      <c r="C620" s="31"/>
      <c r="D620" s="17"/>
      <c r="E620" s="32"/>
      <c r="F620" s="17"/>
      <c r="G620" s="18"/>
      <c r="H620" s="18"/>
      <c r="I620" s="17"/>
      <c r="J620" s="18"/>
      <c r="K620" s="18"/>
      <c r="L620" s="19"/>
      <c r="M620" s="20"/>
      <c r="N620" s="20"/>
      <c r="O620" s="19"/>
      <c r="P620" s="80"/>
      <c r="Q620" s="83"/>
      <c r="R620" s="87"/>
      <c r="S620" s="19"/>
      <c r="T620" s="19"/>
      <c r="U620" s="21"/>
      <c r="V620" s="22" t="str">
        <f t="shared" si="167"/>
        <v/>
      </c>
      <c r="W620" s="23"/>
      <c r="X620" s="74"/>
      <c r="Y620" s="33"/>
      <c r="Z620" s="144"/>
    </row>
    <row r="621" spans="1:26" x14ac:dyDescent="0.25">
      <c r="A621" s="21" t="str">
        <f>IF(C621="","",COUNTA($C$3:C621))</f>
        <v/>
      </c>
      <c r="B621" s="35" t="str">
        <f t="shared" si="166"/>
        <v/>
      </c>
      <c r="C621" s="31"/>
      <c r="D621" s="17"/>
      <c r="E621" s="32"/>
      <c r="F621" s="17"/>
      <c r="G621" s="18"/>
      <c r="H621" s="18"/>
      <c r="I621" s="17"/>
      <c r="J621" s="18"/>
      <c r="K621" s="18"/>
      <c r="L621" s="19"/>
      <c r="M621" s="20"/>
      <c r="N621" s="20"/>
      <c r="O621" s="19"/>
      <c r="P621" s="80"/>
      <c r="Q621" s="83"/>
      <c r="R621" s="87"/>
      <c r="S621" s="19"/>
      <c r="T621" s="19"/>
      <c r="U621" s="21"/>
      <c r="V621" s="22" t="str">
        <f t="shared" si="167"/>
        <v/>
      </c>
      <c r="W621" s="23"/>
      <c r="X621" s="74"/>
      <c r="Y621" s="33"/>
      <c r="Z621" s="144"/>
    </row>
    <row r="622" spans="1:26" x14ac:dyDescent="0.25">
      <c r="A622" s="21" t="str">
        <f>IF(C622="","",COUNTA($C$3:C622))</f>
        <v/>
      </c>
      <c r="B622" s="35" t="str">
        <f t="shared" si="166"/>
        <v/>
      </c>
      <c r="C622" s="31"/>
      <c r="D622" s="17"/>
      <c r="E622" s="32"/>
      <c r="F622" s="17"/>
      <c r="G622" s="18"/>
      <c r="H622" s="18"/>
      <c r="I622" s="17"/>
      <c r="J622" s="18"/>
      <c r="K622" s="18"/>
      <c r="L622" s="19"/>
      <c r="M622" s="20"/>
      <c r="N622" s="20"/>
      <c r="O622" s="19"/>
      <c r="P622" s="80"/>
      <c r="Q622" s="83"/>
      <c r="R622" s="87"/>
      <c r="S622" s="19"/>
      <c r="T622" s="19"/>
      <c r="U622" s="21"/>
      <c r="V622" s="22" t="str">
        <f t="shared" si="167"/>
        <v/>
      </c>
      <c r="W622" s="23"/>
      <c r="X622" s="19"/>
      <c r="Y622" s="33"/>
      <c r="Z622" s="144"/>
    </row>
    <row r="623" spans="1:26" x14ac:dyDescent="0.25">
      <c r="A623" s="21" t="str">
        <f>IF(C623="","",COUNTA($C$3:C623))</f>
        <v/>
      </c>
      <c r="B623" s="35" t="str">
        <f t="shared" si="166"/>
        <v/>
      </c>
      <c r="C623" s="31"/>
      <c r="D623" s="17"/>
      <c r="E623" s="32"/>
      <c r="F623" s="17"/>
      <c r="G623" s="18"/>
      <c r="H623" s="18"/>
      <c r="I623" s="17"/>
      <c r="J623" s="18"/>
      <c r="K623" s="18"/>
      <c r="L623" s="19"/>
      <c r="M623" s="20"/>
      <c r="N623" s="20"/>
      <c r="O623" s="19"/>
      <c r="P623" s="80"/>
      <c r="Q623" s="83"/>
      <c r="R623" s="87"/>
      <c r="S623" s="19"/>
      <c r="T623" s="19"/>
      <c r="U623" s="21"/>
      <c r="V623" s="22" t="str">
        <f t="shared" si="167"/>
        <v/>
      </c>
      <c r="W623" s="23"/>
      <c r="X623" s="74"/>
      <c r="Y623" s="33"/>
      <c r="Z623" s="144"/>
    </row>
    <row r="624" spans="1:26" x14ac:dyDescent="0.25">
      <c r="A624" s="21" t="str">
        <f>IF(C624="","",COUNTA($C$3:C624))</f>
        <v/>
      </c>
      <c r="B624" s="35" t="str">
        <f t="shared" ref="B624:B686" si="168">IF(C624="","",TEXT(C624,"mmmm"))</f>
        <v/>
      </c>
      <c r="C624" s="31"/>
      <c r="D624" s="17"/>
      <c r="E624" s="32"/>
      <c r="F624" s="17"/>
      <c r="G624" s="18"/>
      <c r="H624" s="18"/>
      <c r="I624" s="17"/>
      <c r="J624" s="18"/>
      <c r="K624" s="18"/>
      <c r="L624" s="19"/>
      <c r="M624" s="20"/>
      <c r="N624" s="20"/>
      <c r="O624" s="19"/>
      <c r="P624" s="80"/>
      <c r="Q624" s="83"/>
      <c r="R624" s="87"/>
      <c r="S624" s="19"/>
      <c r="T624" s="19"/>
      <c r="U624" s="21"/>
      <c r="V624" s="22" t="str">
        <f t="shared" si="167"/>
        <v/>
      </c>
      <c r="W624" s="23"/>
      <c r="X624" s="74"/>
      <c r="Y624" s="33"/>
      <c r="Z624" s="15"/>
    </row>
    <row r="625" spans="1:26" x14ac:dyDescent="0.25">
      <c r="A625" s="21" t="str">
        <f>IF(C625="","",COUNTA($C$3:C625))</f>
        <v/>
      </c>
      <c r="B625" s="35" t="str">
        <f t="shared" si="168"/>
        <v/>
      </c>
      <c r="C625" s="31"/>
      <c r="D625" s="17"/>
      <c r="E625" s="32"/>
      <c r="F625" s="17"/>
      <c r="G625" s="18"/>
      <c r="H625" s="18"/>
      <c r="I625" s="17"/>
      <c r="J625" s="18"/>
      <c r="K625" s="18"/>
      <c r="L625" s="19"/>
      <c r="M625" s="20"/>
      <c r="N625" s="20"/>
      <c r="O625" s="19"/>
      <c r="P625" s="80"/>
      <c r="Q625" s="83"/>
      <c r="R625" s="87"/>
      <c r="S625" s="19"/>
      <c r="T625" s="19"/>
      <c r="U625" s="21"/>
      <c r="V625" s="22" t="str">
        <f t="shared" si="167"/>
        <v/>
      </c>
      <c r="W625" s="23"/>
      <c r="X625" s="74"/>
      <c r="Y625" s="33"/>
      <c r="Z625" s="144"/>
    </row>
    <row r="626" spans="1:26" x14ac:dyDescent="0.25">
      <c r="A626" s="21" t="str">
        <f>IF(D625="","",COUNTA($C$3:C626))</f>
        <v/>
      </c>
      <c r="B626" s="35" t="str">
        <f t="shared" si="168"/>
        <v/>
      </c>
      <c r="C626" s="31"/>
      <c r="D626" s="143"/>
      <c r="E626" s="32"/>
      <c r="F626" s="17"/>
      <c r="G626" s="18"/>
      <c r="H626" s="18"/>
      <c r="I626" s="17"/>
      <c r="J626" s="18"/>
      <c r="K626" s="18"/>
      <c r="L626" s="19"/>
      <c r="M626" s="20"/>
      <c r="N626" s="20"/>
      <c r="O626" s="19"/>
      <c r="P626" s="80"/>
      <c r="Q626" s="83"/>
      <c r="R626" s="87"/>
      <c r="S626" s="19"/>
      <c r="T626" s="19"/>
      <c r="U626" s="21"/>
      <c r="V626" s="22" t="str">
        <f t="shared" si="167"/>
        <v/>
      </c>
      <c r="W626" s="23"/>
      <c r="X626" s="74"/>
      <c r="Y626" s="33"/>
      <c r="Z626" s="144"/>
    </row>
    <row r="627" spans="1:26" x14ac:dyDescent="0.25">
      <c r="A627" s="21" t="str">
        <f>IF(D626="","",COUNTA($C$3:C627))</f>
        <v/>
      </c>
      <c r="B627" s="35" t="str">
        <f t="shared" si="168"/>
        <v/>
      </c>
      <c r="C627" s="31"/>
      <c r="D627" s="143"/>
      <c r="E627" s="32"/>
      <c r="F627" s="17"/>
      <c r="G627" s="18"/>
      <c r="H627" s="18"/>
      <c r="I627" s="17"/>
      <c r="J627" s="18"/>
      <c r="K627" s="18"/>
      <c r="L627" s="19"/>
      <c r="M627" s="20"/>
      <c r="N627" s="20"/>
      <c r="O627" s="19"/>
      <c r="P627" s="80"/>
      <c r="Q627" s="83"/>
      <c r="R627" s="87"/>
      <c r="S627" s="19"/>
      <c r="T627" s="19"/>
      <c r="U627" s="21"/>
      <c r="V627" s="22" t="str">
        <f t="shared" si="167"/>
        <v/>
      </c>
      <c r="W627" s="23"/>
      <c r="X627" s="74"/>
      <c r="Y627" s="33"/>
      <c r="Z627" s="144"/>
    </row>
    <row r="628" spans="1:26" x14ac:dyDescent="0.25">
      <c r="A628" s="21" t="str">
        <f>IF(D627="","",COUNTA($C$3:C628))</f>
        <v/>
      </c>
      <c r="B628" s="35" t="str">
        <f t="shared" si="168"/>
        <v/>
      </c>
      <c r="C628" s="31"/>
      <c r="D628" s="17"/>
      <c r="E628" s="32"/>
      <c r="F628" s="17"/>
      <c r="G628" s="18"/>
      <c r="H628" s="18"/>
      <c r="I628" s="17"/>
      <c r="J628" s="18"/>
      <c r="K628" s="18"/>
      <c r="L628" s="19"/>
      <c r="M628" s="20"/>
      <c r="N628" s="20"/>
      <c r="O628" s="19"/>
      <c r="P628" s="80"/>
      <c r="Q628" s="83"/>
      <c r="R628" s="87"/>
      <c r="S628" s="19"/>
      <c r="T628" s="19"/>
      <c r="U628" s="21"/>
      <c r="V628" s="22" t="str">
        <f t="shared" si="167"/>
        <v/>
      </c>
      <c r="W628" s="23"/>
      <c r="X628" s="74"/>
      <c r="Y628" s="33"/>
      <c r="Z628" s="144"/>
    </row>
    <row r="629" spans="1:26" x14ac:dyDescent="0.25">
      <c r="A629" s="21" t="str">
        <f>IF(D628="","",COUNTA($C$3:C629))</f>
        <v/>
      </c>
      <c r="B629" s="35" t="str">
        <f t="shared" si="168"/>
        <v/>
      </c>
      <c r="C629" s="31"/>
      <c r="D629" s="17"/>
      <c r="E629" s="32"/>
      <c r="F629" s="17"/>
      <c r="G629" s="18"/>
      <c r="H629" s="18"/>
      <c r="I629" s="17"/>
      <c r="J629" s="18"/>
      <c r="K629" s="18"/>
      <c r="L629" s="19"/>
      <c r="M629" s="20"/>
      <c r="N629" s="20"/>
      <c r="O629" s="19"/>
      <c r="P629" s="80"/>
      <c r="Q629" s="83"/>
      <c r="R629" s="87"/>
      <c r="S629" s="19"/>
      <c r="T629" s="19"/>
      <c r="U629" s="21"/>
      <c r="V629" s="22" t="str">
        <f t="shared" si="167"/>
        <v/>
      </c>
      <c r="W629" s="23"/>
      <c r="X629" s="74"/>
      <c r="Y629" s="33"/>
      <c r="Z629" s="144"/>
    </row>
    <row r="630" spans="1:26" x14ac:dyDescent="0.25">
      <c r="A630" s="21" t="str">
        <f>IF(D629="","",COUNTA($C$3:C630))</f>
        <v/>
      </c>
      <c r="B630" s="35" t="str">
        <f t="shared" si="168"/>
        <v/>
      </c>
      <c r="C630" s="31"/>
      <c r="D630" s="17"/>
      <c r="E630" s="32"/>
      <c r="F630" s="17"/>
      <c r="G630" s="18"/>
      <c r="H630" s="18"/>
      <c r="I630" s="17"/>
      <c r="J630" s="18"/>
      <c r="K630" s="18"/>
      <c r="L630" s="19"/>
      <c r="M630" s="20"/>
      <c r="N630" s="20"/>
      <c r="O630" s="19"/>
      <c r="P630" s="80"/>
      <c r="Q630" s="83"/>
      <c r="R630" s="87"/>
      <c r="S630" s="19"/>
      <c r="T630" s="19"/>
      <c r="U630" s="21"/>
      <c r="V630" s="22" t="str">
        <f t="shared" si="167"/>
        <v/>
      </c>
      <c r="W630" s="23"/>
      <c r="X630" s="74"/>
      <c r="Y630" s="33"/>
      <c r="Z630" s="144"/>
    </row>
    <row r="631" spans="1:26" x14ac:dyDescent="0.25">
      <c r="A631" s="21" t="str">
        <f>IF(D630="","",COUNTA($C$3:C631))</f>
        <v/>
      </c>
      <c r="B631" s="35" t="str">
        <f t="shared" si="168"/>
        <v/>
      </c>
      <c r="C631" s="31"/>
      <c r="D631" s="17"/>
      <c r="E631" s="32"/>
      <c r="F631" s="17"/>
      <c r="G631" s="18"/>
      <c r="H631" s="18"/>
      <c r="I631" s="17"/>
      <c r="J631" s="18"/>
      <c r="K631" s="18"/>
      <c r="L631" s="19"/>
      <c r="M631" s="20"/>
      <c r="N631" s="20"/>
      <c r="O631" s="19"/>
      <c r="P631" s="80"/>
      <c r="Q631" s="83"/>
      <c r="R631" s="87"/>
      <c r="S631" s="19"/>
      <c r="T631" s="19"/>
      <c r="U631" s="21"/>
      <c r="V631" s="22" t="str">
        <f t="shared" si="167"/>
        <v/>
      </c>
      <c r="W631" s="23"/>
      <c r="X631" s="74"/>
      <c r="Y631" s="33"/>
      <c r="Z631" s="144"/>
    </row>
    <row r="632" spans="1:26" x14ac:dyDescent="0.25">
      <c r="A632" s="21" t="str">
        <f>IF(D631="","",COUNTA($C$3:C632))</f>
        <v/>
      </c>
      <c r="B632" s="35" t="str">
        <f t="shared" si="168"/>
        <v/>
      </c>
      <c r="C632" s="31"/>
      <c r="D632" s="17"/>
      <c r="E632" s="32"/>
      <c r="F632" s="17"/>
      <c r="G632" s="18"/>
      <c r="H632" s="18"/>
      <c r="I632" s="17"/>
      <c r="J632" s="18"/>
      <c r="K632" s="18"/>
      <c r="L632" s="19"/>
      <c r="M632" s="20"/>
      <c r="N632" s="20"/>
      <c r="O632" s="19"/>
      <c r="P632" s="80"/>
      <c r="Q632" s="83"/>
      <c r="R632" s="87"/>
      <c r="S632" s="19"/>
      <c r="T632" s="19"/>
      <c r="U632" s="21"/>
      <c r="V632" s="22" t="str">
        <f t="shared" si="167"/>
        <v/>
      </c>
      <c r="W632" s="23"/>
      <c r="X632" s="19"/>
      <c r="Y632" s="33"/>
      <c r="Z632" s="144"/>
    </row>
    <row r="633" spans="1:26" x14ac:dyDescent="0.25">
      <c r="A633" s="21" t="str">
        <f>IF(D632="","",COUNTA($C$3:C633))</f>
        <v/>
      </c>
      <c r="B633" s="35" t="str">
        <f t="shared" si="168"/>
        <v/>
      </c>
      <c r="C633" s="31"/>
      <c r="D633" s="17"/>
      <c r="E633" s="32"/>
      <c r="F633" s="17"/>
      <c r="G633" s="18"/>
      <c r="H633" s="18"/>
      <c r="I633" s="17"/>
      <c r="J633" s="18"/>
      <c r="K633" s="18"/>
      <c r="L633" s="19"/>
      <c r="M633" s="20"/>
      <c r="N633" s="20"/>
      <c r="O633" s="19"/>
      <c r="P633" s="80"/>
      <c r="Q633" s="83"/>
      <c r="R633" s="87"/>
      <c r="S633" s="19"/>
      <c r="T633" s="19"/>
      <c r="U633" s="21"/>
      <c r="V633" s="22" t="str">
        <f t="shared" si="167"/>
        <v/>
      </c>
      <c r="W633" s="23"/>
      <c r="X633" s="19"/>
      <c r="Y633" s="33"/>
      <c r="Z633" s="144"/>
    </row>
    <row r="634" spans="1:26" x14ac:dyDescent="0.25">
      <c r="A634" s="21" t="str">
        <f>IF(D633="","",COUNTA($C$3:C634))</f>
        <v/>
      </c>
      <c r="B634" s="35" t="str">
        <f t="shared" si="168"/>
        <v/>
      </c>
      <c r="C634" s="31"/>
      <c r="D634" s="17"/>
      <c r="E634" s="32"/>
      <c r="F634" s="17"/>
      <c r="G634" s="18"/>
      <c r="H634" s="18"/>
      <c r="I634" s="17"/>
      <c r="J634" s="18"/>
      <c r="K634" s="18"/>
      <c r="L634" s="19"/>
      <c r="M634" s="20"/>
      <c r="N634" s="20"/>
      <c r="O634" s="19"/>
      <c r="P634" s="80"/>
      <c r="Q634" s="83"/>
      <c r="R634" s="87"/>
      <c r="S634" s="19"/>
      <c r="T634" s="19"/>
      <c r="U634" s="21"/>
      <c r="V634" s="22" t="str">
        <f t="shared" si="167"/>
        <v/>
      </c>
      <c r="W634" s="23"/>
      <c r="X634" s="19"/>
      <c r="Y634" s="33"/>
      <c r="Z634" s="144"/>
    </row>
    <row r="635" spans="1:26" x14ac:dyDescent="0.25">
      <c r="A635" s="21" t="str">
        <f>IF(D634="","",COUNTA($C$3:C635))</f>
        <v/>
      </c>
      <c r="B635" s="35" t="str">
        <f t="shared" si="168"/>
        <v/>
      </c>
      <c r="C635" s="31"/>
      <c r="D635" s="17"/>
      <c r="E635" s="32"/>
      <c r="F635" s="17"/>
      <c r="G635" s="18"/>
      <c r="H635" s="18"/>
      <c r="I635" s="17"/>
      <c r="J635" s="18"/>
      <c r="K635" s="18"/>
      <c r="L635" s="19"/>
      <c r="M635" s="20"/>
      <c r="N635" s="20"/>
      <c r="O635" s="19"/>
      <c r="P635" s="80"/>
      <c r="Q635" s="83"/>
      <c r="R635" s="87"/>
      <c r="S635" s="19"/>
      <c r="T635" s="19"/>
      <c r="U635" s="21"/>
      <c r="V635" s="22" t="str">
        <f t="shared" si="167"/>
        <v/>
      </c>
      <c r="W635" s="23"/>
      <c r="X635" s="19"/>
      <c r="Y635" s="33"/>
      <c r="Z635" s="144"/>
    </row>
    <row r="636" spans="1:26" x14ac:dyDescent="0.25">
      <c r="A636" s="21" t="str">
        <f>IF(D635="","",COUNTA($C$3:C636))</f>
        <v/>
      </c>
      <c r="B636" s="35" t="str">
        <f t="shared" si="168"/>
        <v/>
      </c>
      <c r="C636" s="31"/>
      <c r="D636" s="17"/>
      <c r="E636" s="32"/>
      <c r="F636" s="17"/>
      <c r="G636" s="18"/>
      <c r="H636" s="18"/>
      <c r="I636" s="17"/>
      <c r="J636" s="18"/>
      <c r="K636" s="18"/>
      <c r="L636" s="19"/>
      <c r="M636" s="20"/>
      <c r="N636" s="20"/>
      <c r="O636" s="19"/>
      <c r="P636" s="80"/>
      <c r="Q636" s="83"/>
      <c r="R636" s="87"/>
      <c r="S636" s="19"/>
      <c r="T636" s="19"/>
      <c r="U636" s="21"/>
      <c r="V636" s="22" t="str">
        <f t="shared" si="167"/>
        <v/>
      </c>
      <c r="W636" s="23"/>
      <c r="X636" s="19"/>
      <c r="Y636" s="33"/>
      <c r="Z636" s="15"/>
    </row>
    <row r="637" spans="1:26" x14ac:dyDescent="0.25">
      <c r="A637" s="21" t="str">
        <f>IF(D636="","",COUNTA($C$3:C637))</f>
        <v/>
      </c>
      <c r="B637" s="35" t="str">
        <f t="shared" si="168"/>
        <v/>
      </c>
      <c r="C637" s="31"/>
      <c r="D637" s="17"/>
      <c r="E637" s="32"/>
      <c r="F637" s="17"/>
      <c r="G637" s="18"/>
      <c r="H637" s="18"/>
      <c r="I637" s="17"/>
      <c r="J637" s="18"/>
      <c r="K637" s="18"/>
      <c r="L637" s="19"/>
      <c r="M637" s="20"/>
      <c r="N637" s="20"/>
      <c r="O637" s="19"/>
      <c r="P637" s="80"/>
      <c r="Q637" s="83"/>
      <c r="R637" s="87"/>
      <c r="S637" s="19"/>
      <c r="T637" s="19"/>
      <c r="U637" s="21"/>
      <c r="V637" s="22" t="str">
        <f t="shared" si="167"/>
        <v/>
      </c>
      <c r="W637" s="23"/>
      <c r="X637" s="19"/>
      <c r="Y637" s="33"/>
      <c r="Z637" s="15"/>
    </row>
    <row r="638" spans="1:26" x14ac:dyDescent="0.25">
      <c r="A638" s="21" t="str">
        <f>IF(D637="","",COUNTA($C$3:C638))</f>
        <v/>
      </c>
      <c r="B638" s="35" t="str">
        <f t="shared" si="168"/>
        <v/>
      </c>
      <c r="C638" s="31"/>
      <c r="D638" s="17"/>
      <c r="E638" s="32"/>
      <c r="F638" s="17"/>
      <c r="G638" s="18"/>
      <c r="H638" s="18"/>
      <c r="I638" s="17"/>
      <c r="J638" s="18"/>
      <c r="K638" s="18"/>
      <c r="L638" s="19"/>
      <c r="M638" s="20"/>
      <c r="N638" s="20"/>
      <c r="O638" s="19"/>
      <c r="P638" s="80"/>
      <c r="Q638" s="83"/>
      <c r="R638" s="87"/>
      <c r="S638" s="19"/>
      <c r="T638" s="19"/>
      <c r="U638" s="21"/>
      <c r="V638" s="22" t="str">
        <f t="shared" si="167"/>
        <v/>
      </c>
      <c r="W638" s="23"/>
      <c r="X638" s="19"/>
      <c r="Y638" s="33"/>
      <c r="Z638" s="15"/>
    </row>
    <row r="639" spans="1:26" x14ac:dyDescent="0.25">
      <c r="A639" s="21" t="str">
        <f>IF(D638="","",COUNTA($C$3:C639))</f>
        <v/>
      </c>
      <c r="B639" s="35" t="str">
        <f t="shared" si="168"/>
        <v/>
      </c>
      <c r="C639" s="31"/>
      <c r="D639" s="17"/>
      <c r="E639" s="32"/>
      <c r="F639" s="17"/>
      <c r="G639" s="18"/>
      <c r="H639" s="18"/>
      <c r="I639" s="17"/>
      <c r="J639" s="18"/>
      <c r="K639" s="18"/>
      <c r="L639" s="19"/>
      <c r="M639" s="20"/>
      <c r="N639" s="20"/>
      <c r="O639" s="19"/>
      <c r="P639" s="80"/>
      <c r="Q639" s="83"/>
      <c r="R639" s="87"/>
      <c r="S639" s="19"/>
      <c r="T639" s="19"/>
      <c r="U639" s="21"/>
      <c r="V639" s="22" t="str">
        <f t="shared" si="167"/>
        <v/>
      </c>
      <c r="W639" s="23"/>
      <c r="X639" s="74"/>
      <c r="Y639" s="33"/>
      <c r="Z639" s="15"/>
    </row>
    <row r="640" spans="1:26" x14ac:dyDescent="0.25">
      <c r="A640" s="21" t="str">
        <f>IF(D639="","",COUNTA($C$3:C640))</f>
        <v/>
      </c>
      <c r="B640" s="35" t="str">
        <f t="shared" si="168"/>
        <v/>
      </c>
      <c r="C640" s="31"/>
      <c r="D640" s="17"/>
      <c r="E640" s="32"/>
      <c r="F640" s="17"/>
      <c r="G640" s="18"/>
      <c r="H640" s="18"/>
      <c r="I640" s="17"/>
      <c r="J640" s="18"/>
      <c r="K640" s="18"/>
      <c r="L640" s="19"/>
      <c r="M640" s="20"/>
      <c r="N640" s="20"/>
      <c r="O640" s="19"/>
      <c r="P640" s="80"/>
      <c r="Q640" s="83"/>
      <c r="R640" s="87"/>
      <c r="S640" s="19"/>
      <c r="T640" s="19"/>
      <c r="U640" s="21"/>
      <c r="V640" s="22" t="str">
        <f t="shared" si="167"/>
        <v/>
      </c>
      <c r="W640" s="23"/>
      <c r="X640" s="74"/>
      <c r="Y640" s="33"/>
      <c r="Z640" s="15"/>
    </row>
    <row r="641" spans="1:26" x14ac:dyDescent="0.25">
      <c r="A641" s="21" t="str">
        <f>IF(D640="","",COUNTA($C$3:C641))</f>
        <v/>
      </c>
      <c r="B641" s="35" t="str">
        <f t="shared" si="168"/>
        <v/>
      </c>
      <c r="C641" s="31"/>
      <c r="D641" s="17"/>
      <c r="E641" s="32"/>
      <c r="F641" s="17"/>
      <c r="G641" s="18"/>
      <c r="H641" s="18"/>
      <c r="I641" s="17"/>
      <c r="J641" s="18"/>
      <c r="K641" s="18"/>
      <c r="L641" s="19"/>
      <c r="M641" s="20"/>
      <c r="N641" s="20"/>
      <c r="O641" s="19"/>
      <c r="P641" s="80"/>
      <c r="Q641" s="83"/>
      <c r="R641" s="87"/>
      <c r="S641" s="19"/>
      <c r="T641" s="19"/>
      <c r="U641" s="21"/>
      <c r="V641" s="22" t="str">
        <f t="shared" si="167"/>
        <v/>
      </c>
      <c r="W641" s="23"/>
      <c r="X641" s="19"/>
      <c r="Y641" s="33"/>
      <c r="Z641" s="15"/>
    </row>
    <row r="642" spans="1:26" x14ac:dyDescent="0.25">
      <c r="A642" s="21" t="str">
        <f>IF(D641="","",COUNTA($C$3:C642))</f>
        <v/>
      </c>
      <c r="B642" s="35" t="str">
        <f t="shared" si="168"/>
        <v/>
      </c>
      <c r="C642" s="31"/>
      <c r="D642" s="17"/>
      <c r="E642" s="32"/>
      <c r="F642" s="17"/>
      <c r="G642" s="18"/>
      <c r="H642" s="18"/>
      <c r="I642" s="17"/>
      <c r="J642" s="18"/>
      <c r="K642" s="18"/>
      <c r="L642" s="19"/>
      <c r="M642" s="20"/>
      <c r="N642" s="20"/>
      <c r="O642" s="20"/>
      <c r="P642" s="80"/>
      <c r="Q642" s="83"/>
      <c r="R642" s="87"/>
      <c r="S642" s="19"/>
      <c r="T642" s="19"/>
      <c r="U642" s="21"/>
      <c r="V642" s="22" t="str">
        <f t="shared" si="167"/>
        <v/>
      </c>
      <c r="W642" s="23"/>
      <c r="X642" s="19"/>
      <c r="Y642" s="33"/>
      <c r="Z642" s="15"/>
    </row>
    <row r="643" spans="1:26" x14ac:dyDescent="0.25">
      <c r="A643" s="21" t="str">
        <f>IF(D642="","",COUNTA($C$3:C643))</f>
        <v/>
      </c>
      <c r="B643" s="35" t="str">
        <f t="shared" si="168"/>
        <v/>
      </c>
      <c r="C643" s="31"/>
      <c r="D643" s="17"/>
      <c r="E643" s="32"/>
      <c r="F643" s="17"/>
      <c r="G643" s="18"/>
      <c r="H643" s="18"/>
      <c r="I643" s="17"/>
      <c r="J643" s="18"/>
      <c r="K643" s="18"/>
      <c r="L643" s="19"/>
      <c r="M643" s="20"/>
      <c r="N643" s="20"/>
      <c r="O643" s="20"/>
      <c r="P643" s="80"/>
      <c r="Q643" s="83"/>
      <c r="R643" s="87"/>
      <c r="S643" s="19"/>
      <c r="T643" s="19"/>
      <c r="U643" s="21"/>
      <c r="V643" s="22" t="str">
        <f t="shared" ref="V643:V706" si="169">IF(U643="","",(U643/T643))</f>
        <v/>
      </c>
      <c r="W643" s="23"/>
      <c r="X643" s="19"/>
      <c r="Y643" s="33"/>
      <c r="Z643" s="15"/>
    </row>
    <row r="644" spans="1:26" x14ac:dyDescent="0.25">
      <c r="A644" s="21" t="str">
        <f>IF(D643="","",COUNTA($C$3:C644))</f>
        <v/>
      </c>
      <c r="B644" s="35" t="str">
        <f t="shared" si="168"/>
        <v/>
      </c>
      <c r="C644" s="31"/>
      <c r="D644" s="17"/>
      <c r="E644" s="32"/>
      <c r="F644" s="17"/>
      <c r="G644" s="18"/>
      <c r="H644" s="18"/>
      <c r="I644" s="17"/>
      <c r="J644" s="18"/>
      <c r="K644" s="18"/>
      <c r="L644" s="19"/>
      <c r="M644" s="20"/>
      <c r="N644" s="20"/>
      <c r="O644" s="20"/>
      <c r="P644" s="80"/>
      <c r="Q644" s="84"/>
      <c r="R644" s="87"/>
      <c r="S644" s="19"/>
      <c r="T644" s="19"/>
      <c r="U644" s="21"/>
      <c r="V644" s="22" t="str">
        <f t="shared" si="169"/>
        <v/>
      </c>
      <c r="W644" s="23"/>
      <c r="X644" s="74"/>
      <c r="Y644" s="33"/>
      <c r="Z644" s="15"/>
    </row>
    <row r="645" spans="1:26" x14ac:dyDescent="0.25">
      <c r="A645" s="21" t="str">
        <f>IF(D644="","",COUNTA($C$3:C645))</f>
        <v/>
      </c>
      <c r="B645" s="35" t="str">
        <f t="shared" si="168"/>
        <v/>
      </c>
      <c r="C645" s="31"/>
      <c r="D645" s="17"/>
      <c r="E645" s="32"/>
      <c r="F645" s="17"/>
      <c r="G645" s="18"/>
      <c r="H645" s="18"/>
      <c r="I645" s="17"/>
      <c r="J645" s="18"/>
      <c r="K645" s="18"/>
      <c r="L645" s="19"/>
      <c r="M645" s="20"/>
      <c r="N645" s="20"/>
      <c r="O645" s="20"/>
      <c r="P645" s="80"/>
      <c r="Q645" s="83"/>
      <c r="R645" s="87"/>
      <c r="S645" s="19"/>
      <c r="T645" s="19"/>
      <c r="U645" s="21"/>
      <c r="V645" s="22" t="str">
        <f t="shared" si="169"/>
        <v/>
      </c>
      <c r="W645" s="23"/>
      <c r="X645" s="74"/>
      <c r="Y645" s="33"/>
      <c r="Z645" s="15"/>
    </row>
    <row r="646" spans="1:26" x14ac:dyDescent="0.25">
      <c r="A646" s="21" t="str">
        <f>IF(C646="","",COUNTA($C$3:C646))</f>
        <v/>
      </c>
      <c r="B646" s="35" t="str">
        <f t="shared" si="168"/>
        <v/>
      </c>
      <c r="C646" s="31"/>
      <c r="D646" s="17"/>
      <c r="E646" s="32"/>
      <c r="F646" s="17"/>
      <c r="G646" s="18"/>
      <c r="H646" s="18"/>
      <c r="I646" s="17"/>
      <c r="J646" s="18"/>
      <c r="K646" s="18"/>
      <c r="L646" s="19"/>
      <c r="M646" s="20"/>
      <c r="N646" s="20"/>
      <c r="O646" s="20"/>
      <c r="P646" s="80"/>
      <c r="Q646" s="84"/>
      <c r="R646" s="87"/>
      <c r="S646" s="19"/>
      <c r="T646" s="19"/>
      <c r="U646" s="21"/>
      <c r="V646" s="22" t="str">
        <f t="shared" si="169"/>
        <v/>
      </c>
      <c r="W646" s="23"/>
      <c r="X646" s="19"/>
      <c r="Y646" s="33"/>
      <c r="Z646" s="15"/>
    </row>
    <row r="647" spans="1:26" x14ac:dyDescent="0.25">
      <c r="A647" s="21" t="str">
        <f>IF(C647="","",COUNTA($C$3:C647))</f>
        <v/>
      </c>
      <c r="B647" s="35" t="str">
        <f t="shared" si="168"/>
        <v/>
      </c>
      <c r="C647" s="31"/>
      <c r="D647" s="17"/>
      <c r="E647" s="32"/>
      <c r="F647" s="17"/>
      <c r="G647" s="18"/>
      <c r="H647" s="18"/>
      <c r="I647" s="17"/>
      <c r="J647" s="18"/>
      <c r="K647" s="18"/>
      <c r="L647" s="19"/>
      <c r="M647" s="20"/>
      <c r="N647" s="20"/>
      <c r="O647" s="19"/>
      <c r="P647" s="80"/>
      <c r="Q647" s="84"/>
      <c r="R647" s="87"/>
      <c r="S647" s="19"/>
      <c r="T647" s="19"/>
      <c r="U647" s="21"/>
      <c r="V647" s="22" t="str">
        <f t="shared" si="169"/>
        <v/>
      </c>
      <c r="W647" s="23"/>
      <c r="X647" s="74"/>
      <c r="Y647" s="33"/>
      <c r="Z647" s="15"/>
    </row>
    <row r="648" spans="1:26" x14ac:dyDescent="0.25">
      <c r="A648" s="21" t="str">
        <f>IF(C648="","",COUNTA($C$3:C648))</f>
        <v/>
      </c>
      <c r="B648" s="35" t="str">
        <f t="shared" si="168"/>
        <v/>
      </c>
      <c r="C648" s="31"/>
      <c r="D648" s="17"/>
      <c r="E648" s="32"/>
      <c r="F648" s="17"/>
      <c r="G648" s="18"/>
      <c r="H648" s="18"/>
      <c r="I648" s="17"/>
      <c r="J648" s="18"/>
      <c r="K648" s="18"/>
      <c r="L648" s="19"/>
      <c r="M648" s="20"/>
      <c r="N648" s="20"/>
      <c r="O648" s="19"/>
      <c r="P648" s="80"/>
      <c r="Q648" s="84"/>
      <c r="R648" s="87"/>
      <c r="S648" s="19"/>
      <c r="T648" s="19"/>
      <c r="U648" s="21"/>
      <c r="V648" s="22" t="str">
        <f t="shared" si="169"/>
        <v/>
      </c>
      <c r="W648" s="23"/>
      <c r="X648" s="74"/>
      <c r="Y648" s="33"/>
      <c r="Z648" s="15"/>
    </row>
    <row r="649" spans="1:26" x14ac:dyDescent="0.25">
      <c r="A649" s="21" t="str">
        <f>IF(C649="","",COUNTA($C$3:C649))</f>
        <v/>
      </c>
      <c r="B649" s="35" t="str">
        <f t="shared" si="168"/>
        <v/>
      </c>
      <c r="C649" s="31"/>
      <c r="D649" s="17"/>
      <c r="E649" s="32"/>
      <c r="F649" s="17"/>
      <c r="G649" s="18"/>
      <c r="H649" s="18"/>
      <c r="I649" s="17"/>
      <c r="J649" s="18"/>
      <c r="K649" s="18"/>
      <c r="L649" s="19"/>
      <c r="M649" s="20"/>
      <c r="N649" s="20"/>
      <c r="O649" s="19"/>
      <c r="P649" s="80"/>
      <c r="Q649" s="84"/>
      <c r="R649" s="87"/>
      <c r="S649" s="19"/>
      <c r="T649" s="19"/>
      <c r="U649" s="21"/>
      <c r="V649" s="22" t="str">
        <f t="shared" si="169"/>
        <v/>
      </c>
      <c r="W649" s="23"/>
      <c r="X649" s="74"/>
      <c r="Y649" s="33"/>
      <c r="Z649" s="15"/>
    </row>
    <row r="650" spans="1:26" x14ac:dyDescent="0.25">
      <c r="A650" s="21" t="str">
        <f>IF(C650="","",COUNTA($C$3:C650))</f>
        <v/>
      </c>
      <c r="B650" s="35" t="str">
        <f t="shared" si="168"/>
        <v/>
      </c>
      <c r="C650" s="31"/>
      <c r="D650" s="17"/>
      <c r="E650" s="32"/>
      <c r="F650" s="17"/>
      <c r="G650" s="18"/>
      <c r="H650" s="18"/>
      <c r="I650" s="17"/>
      <c r="J650" s="18"/>
      <c r="K650" s="18"/>
      <c r="L650" s="19"/>
      <c r="M650" s="20"/>
      <c r="N650" s="20"/>
      <c r="O650" s="19"/>
      <c r="P650" s="80"/>
      <c r="Q650" s="84"/>
      <c r="R650" s="87"/>
      <c r="S650" s="19"/>
      <c r="T650" s="19"/>
      <c r="U650" s="21"/>
      <c r="V650" s="22" t="str">
        <f t="shared" si="169"/>
        <v/>
      </c>
      <c r="W650" s="23"/>
      <c r="X650" s="74"/>
      <c r="Y650" s="33"/>
      <c r="Z650" s="15"/>
    </row>
    <row r="651" spans="1:26" x14ac:dyDescent="0.25">
      <c r="A651" s="21" t="str">
        <f>IF(C651="","",COUNTA($C$3:C651))</f>
        <v/>
      </c>
      <c r="B651" s="35" t="str">
        <f t="shared" si="168"/>
        <v/>
      </c>
      <c r="C651" s="31"/>
      <c r="D651" s="17"/>
      <c r="E651" s="32"/>
      <c r="F651" s="17"/>
      <c r="G651" s="18"/>
      <c r="H651" s="18"/>
      <c r="I651" s="17"/>
      <c r="J651" s="18"/>
      <c r="K651" s="18"/>
      <c r="L651" s="19"/>
      <c r="M651" s="20"/>
      <c r="N651" s="20"/>
      <c r="O651" s="19"/>
      <c r="P651" s="80"/>
      <c r="Q651" s="84"/>
      <c r="R651" s="87"/>
      <c r="S651" s="19"/>
      <c r="T651" s="19"/>
      <c r="U651" s="21"/>
      <c r="V651" s="22" t="str">
        <f t="shared" si="169"/>
        <v/>
      </c>
      <c r="W651" s="23"/>
      <c r="X651" s="74"/>
      <c r="Y651" s="33"/>
      <c r="Z651" s="15"/>
    </row>
    <row r="652" spans="1:26" x14ac:dyDescent="0.25">
      <c r="A652" s="21" t="str">
        <f>IF(C652="","",COUNTA($C$3:C652))</f>
        <v/>
      </c>
      <c r="B652" s="35" t="str">
        <f t="shared" si="168"/>
        <v/>
      </c>
      <c r="C652" s="31"/>
      <c r="D652" s="17"/>
      <c r="E652" s="32"/>
      <c r="F652" s="17"/>
      <c r="G652" s="18"/>
      <c r="H652" s="18"/>
      <c r="I652" s="17"/>
      <c r="J652" s="18"/>
      <c r="K652" s="18"/>
      <c r="L652" s="19"/>
      <c r="M652" s="20"/>
      <c r="N652" s="20"/>
      <c r="O652" s="19"/>
      <c r="P652" s="80"/>
      <c r="Q652" s="84"/>
      <c r="R652" s="87"/>
      <c r="S652" s="19"/>
      <c r="T652" s="19"/>
      <c r="U652" s="21"/>
      <c r="V652" s="22" t="str">
        <f t="shared" si="169"/>
        <v/>
      </c>
      <c r="W652" s="23"/>
      <c r="X652" s="19"/>
      <c r="Y652" s="33"/>
      <c r="Z652" s="15"/>
    </row>
    <row r="653" spans="1:26" x14ac:dyDescent="0.25">
      <c r="A653" s="21" t="str">
        <f>IF(C653="","",COUNTA($C$3:C653))</f>
        <v/>
      </c>
      <c r="B653" s="35" t="str">
        <f t="shared" si="168"/>
        <v/>
      </c>
      <c r="C653" s="31"/>
      <c r="D653" s="17"/>
      <c r="E653" s="32"/>
      <c r="F653" s="17"/>
      <c r="G653" s="18"/>
      <c r="H653" s="18"/>
      <c r="I653" s="17"/>
      <c r="J653" s="18"/>
      <c r="K653" s="18"/>
      <c r="L653" s="19"/>
      <c r="M653" s="20"/>
      <c r="N653" s="20"/>
      <c r="O653" s="19"/>
      <c r="P653" s="80"/>
      <c r="Q653" s="84"/>
      <c r="R653" s="87"/>
      <c r="S653" s="19"/>
      <c r="T653" s="19"/>
      <c r="U653" s="21"/>
      <c r="V653" s="22" t="str">
        <f t="shared" si="169"/>
        <v/>
      </c>
      <c r="W653" s="23"/>
      <c r="X653" s="19"/>
      <c r="Y653" s="33"/>
      <c r="Z653" s="15"/>
    </row>
    <row r="654" spans="1:26" x14ac:dyDescent="0.25">
      <c r="A654" s="21" t="str">
        <f>IF(C654="","",COUNTA($C$3:C654))</f>
        <v/>
      </c>
      <c r="B654" s="35" t="str">
        <f t="shared" si="168"/>
        <v/>
      </c>
      <c r="C654" s="31"/>
      <c r="D654" s="17"/>
      <c r="E654" s="32"/>
      <c r="F654" s="17"/>
      <c r="G654" s="18"/>
      <c r="H654" s="18"/>
      <c r="I654" s="17"/>
      <c r="J654" s="18"/>
      <c r="K654" s="18"/>
      <c r="L654" s="19"/>
      <c r="M654" s="20"/>
      <c r="N654" s="20"/>
      <c r="O654" s="19"/>
      <c r="P654" s="80"/>
      <c r="Q654" s="84"/>
      <c r="R654" s="87"/>
      <c r="S654" s="19"/>
      <c r="T654" s="19"/>
      <c r="U654" s="21"/>
      <c r="V654" s="22" t="str">
        <f t="shared" si="169"/>
        <v/>
      </c>
      <c r="W654" s="23"/>
      <c r="X654" s="74"/>
      <c r="Y654" s="33"/>
      <c r="Z654" s="15"/>
    </row>
    <row r="655" spans="1:26" x14ac:dyDescent="0.25">
      <c r="A655" s="21" t="str">
        <f>IF(C655="","",COUNTA($C$3:C655))</f>
        <v/>
      </c>
      <c r="B655" s="35" t="str">
        <f t="shared" si="168"/>
        <v/>
      </c>
      <c r="C655" s="31"/>
      <c r="D655" s="17"/>
      <c r="E655" s="32"/>
      <c r="F655" s="17"/>
      <c r="G655" s="18"/>
      <c r="H655" s="18"/>
      <c r="I655" s="17"/>
      <c r="J655" s="18"/>
      <c r="K655" s="18"/>
      <c r="L655" s="19"/>
      <c r="M655" s="20"/>
      <c r="N655" s="20"/>
      <c r="O655" s="19"/>
      <c r="P655" s="80"/>
      <c r="Q655" s="84"/>
      <c r="R655" s="87"/>
      <c r="S655" s="19"/>
      <c r="T655" s="19"/>
      <c r="U655" s="21"/>
      <c r="V655" s="22" t="str">
        <f t="shared" si="169"/>
        <v/>
      </c>
      <c r="W655" s="23"/>
      <c r="X655" s="74"/>
      <c r="Y655" s="33"/>
      <c r="Z655" s="15"/>
    </row>
    <row r="656" spans="1:26" x14ac:dyDescent="0.25">
      <c r="A656" s="21" t="str">
        <f>IF(C656="","",COUNTA($C$3:C656))</f>
        <v/>
      </c>
      <c r="B656" s="35" t="str">
        <f t="shared" si="168"/>
        <v/>
      </c>
      <c r="C656" s="31"/>
      <c r="D656" s="17"/>
      <c r="E656" s="32"/>
      <c r="F656" s="17"/>
      <c r="G656" s="18"/>
      <c r="H656" s="18"/>
      <c r="I656" s="17"/>
      <c r="J656" s="18"/>
      <c r="K656" s="18"/>
      <c r="L656" s="19"/>
      <c r="M656" s="20"/>
      <c r="N656" s="20"/>
      <c r="O656" s="19"/>
      <c r="P656" s="80"/>
      <c r="Q656" s="84"/>
      <c r="R656" s="87"/>
      <c r="S656" s="19"/>
      <c r="T656" s="19"/>
      <c r="U656" s="21"/>
      <c r="V656" s="22" t="str">
        <f t="shared" si="169"/>
        <v/>
      </c>
      <c r="W656" s="23"/>
      <c r="X656" s="19"/>
      <c r="Y656" s="33"/>
      <c r="Z656" s="15"/>
    </row>
    <row r="657" spans="1:26" x14ac:dyDescent="0.25">
      <c r="A657" s="21" t="str">
        <f>IF(C657="","",COUNTA($C$3:C657))</f>
        <v/>
      </c>
      <c r="B657" s="35" t="str">
        <f t="shared" si="168"/>
        <v/>
      </c>
      <c r="C657" s="31"/>
      <c r="D657" s="17"/>
      <c r="E657" s="32"/>
      <c r="F657" s="17"/>
      <c r="G657" s="18"/>
      <c r="H657" s="18"/>
      <c r="I657" s="17"/>
      <c r="J657" s="18"/>
      <c r="K657" s="18"/>
      <c r="L657" s="19"/>
      <c r="M657" s="20"/>
      <c r="N657" s="20"/>
      <c r="O657" s="19"/>
      <c r="P657" s="80"/>
      <c r="Q657" s="84"/>
      <c r="R657" s="87"/>
      <c r="S657" s="19"/>
      <c r="T657" s="19"/>
      <c r="U657" s="21"/>
      <c r="V657" s="22" t="str">
        <f t="shared" si="169"/>
        <v/>
      </c>
      <c r="W657" s="23"/>
      <c r="X657" s="74"/>
      <c r="Y657" s="33"/>
      <c r="Z657" s="15"/>
    </row>
    <row r="658" spans="1:26" x14ac:dyDescent="0.25">
      <c r="A658" s="21" t="str">
        <f>IF(C658="","",COUNTA($C$3:C658))</f>
        <v/>
      </c>
      <c r="B658" s="35" t="str">
        <f t="shared" si="168"/>
        <v/>
      </c>
      <c r="C658" s="31"/>
      <c r="D658" s="17"/>
      <c r="E658" s="32"/>
      <c r="F658" s="17"/>
      <c r="G658" s="18"/>
      <c r="H658" s="18"/>
      <c r="I658" s="17"/>
      <c r="J658" s="18"/>
      <c r="K658" s="18"/>
      <c r="L658" s="19"/>
      <c r="M658" s="20"/>
      <c r="N658" s="20"/>
      <c r="O658" s="19"/>
      <c r="P658" s="80"/>
      <c r="Q658" s="84"/>
      <c r="R658" s="87"/>
      <c r="S658" s="19"/>
      <c r="T658" s="19"/>
      <c r="U658" s="21"/>
      <c r="V658" s="22" t="str">
        <f t="shared" si="169"/>
        <v/>
      </c>
      <c r="W658" s="23"/>
      <c r="X658" s="74"/>
      <c r="Y658" s="33"/>
      <c r="Z658" s="15"/>
    </row>
    <row r="659" spans="1:26" x14ac:dyDescent="0.25">
      <c r="A659" s="21" t="str">
        <f>IF(C659="","",COUNTA($C$3:C659))</f>
        <v/>
      </c>
      <c r="B659" s="35" t="str">
        <f t="shared" si="168"/>
        <v/>
      </c>
      <c r="C659" s="31"/>
      <c r="D659" s="17"/>
      <c r="E659" s="32"/>
      <c r="F659" s="17"/>
      <c r="G659" s="18"/>
      <c r="H659" s="18"/>
      <c r="I659" s="17"/>
      <c r="J659" s="18"/>
      <c r="K659" s="18"/>
      <c r="L659" s="19"/>
      <c r="M659" s="20"/>
      <c r="N659" s="20"/>
      <c r="O659" s="19"/>
      <c r="P659" s="80"/>
      <c r="Q659" s="84"/>
      <c r="R659" s="87"/>
      <c r="S659" s="19"/>
      <c r="T659" s="19"/>
      <c r="U659" s="21"/>
      <c r="V659" s="22" t="str">
        <f t="shared" si="169"/>
        <v/>
      </c>
      <c r="W659" s="23"/>
      <c r="X659" s="74"/>
      <c r="Y659" s="33"/>
      <c r="Z659" s="15"/>
    </row>
    <row r="660" spans="1:26" x14ac:dyDescent="0.25">
      <c r="A660" s="21" t="str">
        <f>IF(C660="","",COUNTA($C$3:C660))</f>
        <v/>
      </c>
      <c r="B660" s="35" t="str">
        <f t="shared" si="168"/>
        <v/>
      </c>
      <c r="C660" s="31"/>
      <c r="D660" s="17"/>
      <c r="E660" s="32"/>
      <c r="F660" s="17"/>
      <c r="G660" s="18"/>
      <c r="H660" s="18"/>
      <c r="I660" s="17"/>
      <c r="J660" s="18"/>
      <c r="K660" s="18"/>
      <c r="L660" s="19"/>
      <c r="M660" s="20"/>
      <c r="N660" s="20"/>
      <c r="O660" s="19"/>
      <c r="P660" s="80"/>
      <c r="Q660" s="84"/>
      <c r="R660" s="87"/>
      <c r="S660" s="19"/>
      <c r="T660" s="19"/>
      <c r="U660" s="21"/>
      <c r="V660" s="22" t="str">
        <f t="shared" si="169"/>
        <v/>
      </c>
      <c r="W660" s="23"/>
      <c r="X660" s="74"/>
      <c r="Y660" s="33"/>
      <c r="Z660" s="15"/>
    </row>
    <row r="661" spans="1:26" x14ac:dyDescent="0.25">
      <c r="A661" s="21" t="str">
        <f>IF(C661="","",COUNTA($C$3:C661))</f>
        <v/>
      </c>
      <c r="B661" s="35" t="str">
        <f t="shared" si="168"/>
        <v/>
      </c>
      <c r="C661" s="31"/>
      <c r="D661" s="17"/>
      <c r="E661" s="32"/>
      <c r="F661" s="17"/>
      <c r="G661" s="18"/>
      <c r="H661" s="18"/>
      <c r="I661" s="17"/>
      <c r="J661" s="18"/>
      <c r="K661" s="18"/>
      <c r="L661" s="19"/>
      <c r="M661" s="20"/>
      <c r="N661" s="20"/>
      <c r="O661" s="19"/>
      <c r="P661" s="80"/>
      <c r="Q661" s="84"/>
      <c r="R661" s="87"/>
      <c r="S661" s="19"/>
      <c r="T661" s="19"/>
      <c r="U661" s="21"/>
      <c r="V661" s="22" t="str">
        <f t="shared" si="169"/>
        <v/>
      </c>
      <c r="W661" s="23"/>
      <c r="X661" s="74"/>
      <c r="Y661" s="33"/>
      <c r="Z661" s="15"/>
    </row>
    <row r="662" spans="1:26" x14ac:dyDescent="0.25">
      <c r="A662" s="21" t="str">
        <f>IF(C662="","",COUNTA($C$3:C662))</f>
        <v/>
      </c>
      <c r="B662" s="35" t="str">
        <f t="shared" si="168"/>
        <v/>
      </c>
      <c r="C662" s="31"/>
      <c r="D662" s="17"/>
      <c r="E662" s="32"/>
      <c r="F662" s="17"/>
      <c r="G662" s="18"/>
      <c r="H662" s="18"/>
      <c r="I662" s="17"/>
      <c r="J662" s="18"/>
      <c r="K662" s="18"/>
      <c r="L662" s="19"/>
      <c r="M662" s="20"/>
      <c r="N662" s="20"/>
      <c r="O662" s="19"/>
      <c r="P662" s="80"/>
      <c r="Q662" s="84"/>
      <c r="R662" s="87"/>
      <c r="S662" s="19"/>
      <c r="T662" s="19"/>
      <c r="U662" s="21"/>
      <c r="V662" s="22" t="str">
        <f t="shared" si="169"/>
        <v/>
      </c>
      <c r="W662" s="23"/>
      <c r="X662" s="19"/>
      <c r="Y662" s="33"/>
      <c r="Z662" s="15"/>
    </row>
    <row r="663" spans="1:26" x14ac:dyDescent="0.25">
      <c r="A663" s="21" t="str">
        <f>IF(C663="","",COUNTA($C$3:C663))</f>
        <v/>
      </c>
      <c r="B663" s="35" t="str">
        <f t="shared" si="168"/>
        <v/>
      </c>
      <c r="C663" s="31"/>
      <c r="D663" s="17"/>
      <c r="E663" s="32"/>
      <c r="F663" s="17"/>
      <c r="G663" s="18"/>
      <c r="H663" s="18"/>
      <c r="I663" s="17"/>
      <c r="J663" s="18"/>
      <c r="K663" s="18"/>
      <c r="L663" s="19"/>
      <c r="M663" s="20"/>
      <c r="N663" s="20"/>
      <c r="O663" s="19"/>
      <c r="P663" s="80"/>
      <c r="Q663" s="84"/>
      <c r="R663" s="87"/>
      <c r="S663" s="19"/>
      <c r="T663" s="19"/>
      <c r="U663" s="21"/>
      <c r="V663" s="22" t="str">
        <f t="shared" si="169"/>
        <v/>
      </c>
      <c r="W663" s="23"/>
      <c r="X663" s="74"/>
      <c r="Y663" s="33"/>
      <c r="Z663" s="15"/>
    </row>
    <row r="664" spans="1:26" x14ac:dyDescent="0.25">
      <c r="A664" s="21" t="str">
        <f>IF(C664="","",COUNTA($C$3:C664))</f>
        <v/>
      </c>
      <c r="B664" s="35" t="str">
        <f t="shared" si="168"/>
        <v/>
      </c>
      <c r="C664" s="31"/>
      <c r="D664" s="17"/>
      <c r="E664" s="32"/>
      <c r="F664" s="17"/>
      <c r="G664" s="18"/>
      <c r="H664" s="18"/>
      <c r="I664" s="17"/>
      <c r="J664" s="18"/>
      <c r="K664" s="18"/>
      <c r="L664" s="19"/>
      <c r="M664" s="20"/>
      <c r="N664" s="20"/>
      <c r="O664" s="19"/>
      <c r="P664" s="80"/>
      <c r="Q664" s="84"/>
      <c r="R664" s="87"/>
      <c r="S664" s="19"/>
      <c r="T664" s="19"/>
      <c r="U664" s="21"/>
      <c r="V664" s="22" t="str">
        <f t="shared" si="169"/>
        <v/>
      </c>
      <c r="W664" s="23"/>
      <c r="X664" s="74"/>
      <c r="Y664" s="33"/>
      <c r="Z664" s="15"/>
    </row>
    <row r="665" spans="1:26" x14ac:dyDescent="0.25">
      <c r="A665" s="21" t="str">
        <f>IF(C665="","",COUNTA($C$3:C665))</f>
        <v/>
      </c>
      <c r="B665" s="35" t="str">
        <f t="shared" si="168"/>
        <v/>
      </c>
      <c r="C665" s="31"/>
      <c r="D665" s="17"/>
      <c r="E665" s="32"/>
      <c r="F665" s="17"/>
      <c r="G665" s="18"/>
      <c r="H665" s="18"/>
      <c r="I665" s="17"/>
      <c r="J665" s="18"/>
      <c r="K665" s="18"/>
      <c r="L665" s="19"/>
      <c r="M665" s="20"/>
      <c r="N665" s="20"/>
      <c r="O665" s="19"/>
      <c r="P665" s="80"/>
      <c r="Q665" s="84"/>
      <c r="R665" s="87"/>
      <c r="S665" s="19"/>
      <c r="T665" s="19"/>
      <c r="U665" s="21"/>
      <c r="V665" s="22" t="str">
        <f t="shared" si="169"/>
        <v/>
      </c>
      <c r="W665" s="23"/>
      <c r="X665" s="74"/>
      <c r="Y665" s="33"/>
      <c r="Z665" s="15"/>
    </row>
    <row r="666" spans="1:26" x14ac:dyDescent="0.25">
      <c r="A666" s="21" t="str">
        <f>IF(C666="","",COUNTA($C$3:C666))</f>
        <v/>
      </c>
      <c r="B666" s="35" t="str">
        <f t="shared" si="168"/>
        <v/>
      </c>
      <c r="C666" s="31"/>
      <c r="D666" s="17"/>
      <c r="E666" s="32"/>
      <c r="F666" s="17"/>
      <c r="G666" s="18"/>
      <c r="H666" s="18"/>
      <c r="I666" s="17"/>
      <c r="J666" s="18"/>
      <c r="K666" s="18"/>
      <c r="L666" s="19"/>
      <c r="M666" s="20"/>
      <c r="N666" s="20"/>
      <c r="O666" s="19"/>
      <c r="P666" s="80"/>
      <c r="Q666" s="84"/>
      <c r="R666" s="87"/>
      <c r="S666" s="19"/>
      <c r="T666" s="19"/>
      <c r="U666" s="21"/>
      <c r="V666" s="22" t="str">
        <f t="shared" si="169"/>
        <v/>
      </c>
      <c r="W666" s="23"/>
      <c r="X666" s="74"/>
      <c r="Y666" s="33"/>
      <c r="Z666" s="15"/>
    </row>
    <row r="667" spans="1:26" x14ac:dyDescent="0.25">
      <c r="A667" s="21" t="str">
        <f>IF(C667="","",COUNTA($C$3:C667))</f>
        <v/>
      </c>
      <c r="B667" s="35" t="str">
        <f t="shared" si="168"/>
        <v/>
      </c>
      <c r="C667" s="31"/>
      <c r="D667" s="17"/>
      <c r="E667" s="32"/>
      <c r="F667" s="17"/>
      <c r="G667" s="18"/>
      <c r="H667" s="18"/>
      <c r="I667" s="17"/>
      <c r="J667" s="18"/>
      <c r="K667" s="18"/>
      <c r="L667" s="19"/>
      <c r="M667" s="20"/>
      <c r="N667" s="20"/>
      <c r="O667" s="19"/>
      <c r="P667" s="80"/>
      <c r="Q667" s="84"/>
      <c r="R667" s="87"/>
      <c r="S667" s="19"/>
      <c r="T667" s="19"/>
      <c r="U667" s="21"/>
      <c r="V667" s="22" t="str">
        <f t="shared" si="169"/>
        <v/>
      </c>
      <c r="W667" s="23"/>
      <c r="X667" s="74"/>
      <c r="Y667" s="33"/>
      <c r="Z667" s="15"/>
    </row>
    <row r="668" spans="1:26" x14ac:dyDescent="0.25">
      <c r="A668" s="21" t="str">
        <f>IF(C668="","",COUNTA($C$3:C668))</f>
        <v/>
      </c>
      <c r="B668" s="35" t="str">
        <f t="shared" si="168"/>
        <v/>
      </c>
      <c r="C668" s="31"/>
      <c r="D668" s="17"/>
      <c r="E668" s="32"/>
      <c r="F668" s="17"/>
      <c r="G668" s="18"/>
      <c r="H668" s="18"/>
      <c r="I668" s="17"/>
      <c r="J668" s="18"/>
      <c r="K668" s="18"/>
      <c r="L668" s="19"/>
      <c r="M668" s="20"/>
      <c r="N668" s="20"/>
      <c r="O668" s="19"/>
      <c r="P668" s="80"/>
      <c r="Q668" s="84"/>
      <c r="R668" s="87"/>
      <c r="S668" s="19"/>
      <c r="T668" s="19"/>
      <c r="U668" s="21"/>
      <c r="V668" s="22" t="str">
        <f t="shared" si="169"/>
        <v/>
      </c>
      <c r="W668" s="23"/>
      <c r="X668" s="74"/>
      <c r="Y668" s="33"/>
      <c r="Z668" s="15"/>
    </row>
    <row r="669" spans="1:26" x14ac:dyDescent="0.25">
      <c r="A669" s="21" t="str">
        <f>IF(C669="","",COUNTA($C$3:C669))</f>
        <v/>
      </c>
      <c r="B669" s="35" t="str">
        <f t="shared" si="168"/>
        <v/>
      </c>
      <c r="C669" s="31"/>
      <c r="D669" s="17"/>
      <c r="E669" s="32"/>
      <c r="F669" s="17"/>
      <c r="G669" s="18"/>
      <c r="H669" s="18"/>
      <c r="I669" s="17"/>
      <c r="J669" s="18"/>
      <c r="K669" s="18"/>
      <c r="L669" s="19"/>
      <c r="M669" s="20"/>
      <c r="N669" s="20"/>
      <c r="O669" s="19"/>
      <c r="P669" s="80"/>
      <c r="Q669" s="84"/>
      <c r="R669" s="87"/>
      <c r="S669" s="19"/>
      <c r="T669" s="19"/>
      <c r="U669" s="21"/>
      <c r="V669" s="22" t="str">
        <f t="shared" si="169"/>
        <v/>
      </c>
      <c r="W669" s="23"/>
      <c r="X669" s="19"/>
      <c r="Y669" s="33"/>
      <c r="Z669" s="15"/>
    </row>
    <row r="670" spans="1:26" x14ac:dyDescent="0.25">
      <c r="A670" s="21" t="str">
        <f>IF(C670="","",COUNTA($C$3:C670))</f>
        <v/>
      </c>
      <c r="B670" s="35" t="str">
        <f t="shared" si="168"/>
        <v/>
      </c>
      <c r="C670" s="31"/>
      <c r="D670" s="17"/>
      <c r="E670" s="32"/>
      <c r="F670" s="17"/>
      <c r="G670" s="18"/>
      <c r="H670" s="18"/>
      <c r="I670" s="17"/>
      <c r="J670" s="18"/>
      <c r="K670" s="18"/>
      <c r="L670" s="19"/>
      <c r="M670" s="20"/>
      <c r="N670" s="20"/>
      <c r="O670" s="19"/>
      <c r="P670" s="80"/>
      <c r="Q670" s="84"/>
      <c r="R670" s="87"/>
      <c r="S670" s="19"/>
      <c r="T670" s="19"/>
      <c r="U670" s="21"/>
      <c r="V670" s="22" t="str">
        <f t="shared" si="169"/>
        <v/>
      </c>
      <c r="W670" s="23"/>
      <c r="X670" s="19"/>
      <c r="Y670" s="33"/>
      <c r="Z670" s="15"/>
    </row>
    <row r="671" spans="1:26" x14ac:dyDescent="0.25">
      <c r="A671" s="21" t="str">
        <f>IF(C671="","",COUNTA($C$3:C671))</f>
        <v/>
      </c>
      <c r="B671" s="35" t="str">
        <f t="shared" si="168"/>
        <v/>
      </c>
      <c r="C671" s="31"/>
      <c r="D671" s="17"/>
      <c r="E671" s="32"/>
      <c r="F671" s="17"/>
      <c r="G671" s="18"/>
      <c r="H671" s="18"/>
      <c r="I671" s="17"/>
      <c r="J671" s="18"/>
      <c r="K671" s="18"/>
      <c r="L671" s="19"/>
      <c r="M671" s="20"/>
      <c r="N671" s="20"/>
      <c r="O671" s="19"/>
      <c r="P671" s="80"/>
      <c r="Q671" s="84"/>
      <c r="R671" s="87"/>
      <c r="S671" s="19"/>
      <c r="T671" s="19"/>
      <c r="U671" s="21"/>
      <c r="V671" s="22" t="str">
        <f t="shared" si="169"/>
        <v/>
      </c>
      <c r="W671" s="23"/>
      <c r="X671" s="74"/>
      <c r="Y671" s="33"/>
      <c r="Z671" s="15"/>
    </row>
    <row r="672" spans="1:26" x14ac:dyDescent="0.25">
      <c r="A672" s="21" t="str">
        <f>IF(C672="","",COUNTA($C$3:C672))</f>
        <v/>
      </c>
      <c r="B672" s="35" t="str">
        <f t="shared" si="168"/>
        <v/>
      </c>
      <c r="C672" s="31"/>
      <c r="D672" s="17"/>
      <c r="E672" s="32"/>
      <c r="F672" s="17"/>
      <c r="G672" s="18"/>
      <c r="H672" s="18"/>
      <c r="I672" s="17"/>
      <c r="J672" s="18"/>
      <c r="K672" s="18"/>
      <c r="L672" s="19"/>
      <c r="M672" s="20"/>
      <c r="N672" s="20"/>
      <c r="O672" s="19"/>
      <c r="P672" s="80"/>
      <c r="Q672" s="84"/>
      <c r="R672" s="87"/>
      <c r="S672" s="19"/>
      <c r="T672" s="19"/>
      <c r="U672" s="21"/>
      <c r="V672" s="22" t="str">
        <f t="shared" si="169"/>
        <v/>
      </c>
      <c r="W672" s="23"/>
      <c r="X672" s="74"/>
      <c r="Y672" s="33"/>
      <c r="Z672" s="15"/>
    </row>
    <row r="673" spans="1:26" x14ac:dyDescent="0.25">
      <c r="A673" s="21" t="str">
        <f>IF(C673="","",COUNTA($C$3:C673))</f>
        <v/>
      </c>
      <c r="B673" s="35" t="str">
        <f t="shared" si="168"/>
        <v/>
      </c>
      <c r="C673" s="31"/>
      <c r="D673" s="17"/>
      <c r="E673" s="32"/>
      <c r="F673" s="17"/>
      <c r="G673" s="18"/>
      <c r="H673" s="18"/>
      <c r="I673" s="17"/>
      <c r="J673" s="18"/>
      <c r="K673" s="18"/>
      <c r="L673" s="19"/>
      <c r="M673" s="20"/>
      <c r="N673" s="20"/>
      <c r="O673" s="19"/>
      <c r="P673" s="80"/>
      <c r="Q673" s="84"/>
      <c r="R673" s="87"/>
      <c r="S673" s="19"/>
      <c r="T673" s="19"/>
      <c r="U673" s="21"/>
      <c r="V673" s="22" t="str">
        <f t="shared" si="169"/>
        <v/>
      </c>
      <c r="W673" s="23"/>
      <c r="X673" s="74"/>
      <c r="Y673" s="33"/>
      <c r="Z673" s="15"/>
    </row>
    <row r="674" spans="1:26" x14ac:dyDescent="0.25">
      <c r="A674" s="21" t="str">
        <f>IF(C674="","",COUNTA($C$3:C674))</f>
        <v/>
      </c>
      <c r="B674" s="35" t="str">
        <f t="shared" si="168"/>
        <v/>
      </c>
      <c r="C674" s="31"/>
      <c r="D674" s="17"/>
      <c r="E674" s="32"/>
      <c r="F674" s="17"/>
      <c r="G674" s="18"/>
      <c r="H674" s="18"/>
      <c r="I674" s="17"/>
      <c r="J674" s="18"/>
      <c r="K674" s="18"/>
      <c r="L674" s="19"/>
      <c r="M674" s="20"/>
      <c r="N674" s="20"/>
      <c r="O674" s="19"/>
      <c r="P674" s="80"/>
      <c r="Q674" s="84"/>
      <c r="R674" s="87"/>
      <c r="S674" s="19"/>
      <c r="T674" s="19"/>
      <c r="U674" s="21"/>
      <c r="V674" s="22" t="str">
        <f t="shared" si="169"/>
        <v/>
      </c>
      <c r="W674" s="23"/>
      <c r="X674" s="74"/>
      <c r="Y674" s="33"/>
      <c r="Z674" s="15"/>
    </row>
    <row r="675" spans="1:26" x14ac:dyDescent="0.25">
      <c r="A675" s="21" t="str">
        <f>IF(C675="","",COUNTA($C$3:C675))</f>
        <v/>
      </c>
      <c r="B675" s="35" t="str">
        <f t="shared" si="168"/>
        <v/>
      </c>
      <c r="C675" s="31"/>
      <c r="D675" s="17"/>
      <c r="E675" s="32"/>
      <c r="F675" s="17"/>
      <c r="G675" s="18"/>
      <c r="H675" s="18"/>
      <c r="I675" s="17"/>
      <c r="J675" s="18"/>
      <c r="K675" s="18"/>
      <c r="L675" s="19"/>
      <c r="M675" s="20"/>
      <c r="N675" s="20"/>
      <c r="O675" s="19"/>
      <c r="P675" s="80"/>
      <c r="Q675" s="84"/>
      <c r="R675" s="87"/>
      <c r="S675" s="19"/>
      <c r="T675" s="19"/>
      <c r="U675" s="21"/>
      <c r="V675" s="22" t="str">
        <f t="shared" si="169"/>
        <v/>
      </c>
      <c r="W675" s="23"/>
      <c r="X675" s="74"/>
      <c r="Y675" s="33"/>
      <c r="Z675" s="15"/>
    </row>
    <row r="676" spans="1:26" x14ac:dyDescent="0.25">
      <c r="A676" s="21" t="str">
        <f>IF(C676="","",COUNTA($C$3:C676))</f>
        <v/>
      </c>
      <c r="B676" s="35" t="str">
        <f t="shared" si="168"/>
        <v/>
      </c>
      <c r="C676" s="31"/>
      <c r="D676" s="17"/>
      <c r="E676" s="32"/>
      <c r="F676" s="17"/>
      <c r="G676" s="18"/>
      <c r="H676" s="18"/>
      <c r="I676" s="17"/>
      <c r="J676" s="18"/>
      <c r="K676" s="18"/>
      <c r="L676" s="19"/>
      <c r="M676" s="20"/>
      <c r="N676" s="20"/>
      <c r="O676" s="19"/>
      <c r="P676" s="80"/>
      <c r="Q676" s="84"/>
      <c r="R676" s="87"/>
      <c r="S676" s="19"/>
      <c r="T676" s="19"/>
      <c r="U676" s="21"/>
      <c r="V676" s="22" t="str">
        <f t="shared" si="169"/>
        <v/>
      </c>
      <c r="W676" s="23"/>
      <c r="X676" s="74"/>
      <c r="Y676" s="33"/>
      <c r="Z676" s="15"/>
    </row>
    <row r="677" spans="1:26" x14ac:dyDescent="0.25">
      <c r="A677" s="21" t="str">
        <f>IF(C677="","",COUNTA($C$3:C677))</f>
        <v/>
      </c>
      <c r="B677" s="35" t="str">
        <f t="shared" si="168"/>
        <v/>
      </c>
      <c r="C677" s="31"/>
      <c r="D677" s="17"/>
      <c r="E677" s="32"/>
      <c r="F677" s="17"/>
      <c r="G677" s="18"/>
      <c r="H677" s="18"/>
      <c r="I677" s="17"/>
      <c r="J677" s="18"/>
      <c r="K677" s="18"/>
      <c r="L677" s="19"/>
      <c r="M677" s="20"/>
      <c r="N677" s="20"/>
      <c r="O677" s="19"/>
      <c r="P677" s="80"/>
      <c r="Q677" s="84"/>
      <c r="R677" s="87"/>
      <c r="S677" s="19"/>
      <c r="T677" s="19"/>
      <c r="U677" s="21"/>
      <c r="V677" s="22" t="str">
        <f t="shared" si="169"/>
        <v/>
      </c>
      <c r="W677" s="23"/>
      <c r="X677" s="74"/>
      <c r="Y677" s="33"/>
      <c r="Z677" s="15"/>
    </row>
    <row r="678" spans="1:26" x14ac:dyDescent="0.25">
      <c r="A678" s="21" t="str">
        <f>IF(C678="","",COUNTA($C$3:C678))</f>
        <v/>
      </c>
      <c r="B678" s="35" t="str">
        <f t="shared" si="168"/>
        <v/>
      </c>
      <c r="C678" s="31"/>
      <c r="D678" s="17"/>
      <c r="E678" s="32"/>
      <c r="F678" s="17"/>
      <c r="G678" s="18"/>
      <c r="H678" s="18"/>
      <c r="I678" s="17"/>
      <c r="J678" s="18"/>
      <c r="K678" s="18"/>
      <c r="L678" s="19"/>
      <c r="M678" s="20"/>
      <c r="N678" s="20"/>
      <c r="O678" s="19"/>
      <c r="P678" s="80"/>
      <c r="Q678" s="84"/>
      <c r="R678" s="87"/>
      <c r="S678" s="19"/>
      <c r="T678" s="19"/>
      <c r="U678" s="21"/>
      <c r="V678" s="22" t="str">
        <f t="shared" si="169"/>
        <v/>
      </c>
      <c r="W678" s="23"/>
      <c r="X678" s="19"/>
      <c r="Y678" s="33"/>
      <c r="Z678" s="15"/>
    </row>
    <row r="679" spans="1:26" x14ac:dyDescent="0.25">
      <c r="A679" s="21" t="str">
        <f>IF(C679="","",COUNTA($C$3:C679))</f>
        <v/>
      </c>
      <c r="B679" s="35" t="str">
        <f t="shared" si="168"/>
        <v/>
      </c>
      <c r="C679" s="31"/>
      <c r="D679" s="17"/>
      <c r="E679" s="32"/>
      <c r="F679" s="17"/>
      <c r="G679" s="18"/>
      <c r="H679" s="18"/>
      <c r="I679" s="17"/>
      <c r="J679" s="18"/>
      <c r="K679" s="18"/>
      <c r="L679" s="19"/>
      <c r="M679" s="20"/>
      <c r="N679" s="20"/>
      <c r="O679" s="19"/>
      <c r="P679" s="80"/>
      <c r="Q679" s="84"/>
      <c r="R679" s="87"/>
      <c r="S679" s="19"/>
      <c r="T679" s="19"/>
      <c r="U679" s="21"/>
      <c r="V679" s="22" t="str">
        <f t="shared" si="169"/>
        <v/>
      </c>
      <c r="W679" s="23"/>
      <c r="X679" s="19"/>
      <c r="Y679" s="33"/>
    </row>
    <row r="680" spans="1:26" x14ac:dyDescent="0.25">
      <c r="A680" s="21" t="str">
        <f>IF(C680="","",COUNTA($C$3:C680))</f>
        <v/>
      </c>
      <c r="B680" s="35" t="str">
        <f t="shared" si="168"/>
        <v/>
      </c>
      <c r="C680" s="31"/>
      <c r="D680" s="17"/>
      <c r="E680" s="32"/>
      <c r="F680" s="17"/>
      <c r="G680" s="18"/>
      <c r="H680" s="18"/>
      <c r="I680" s="17"/>
      <c r="J680" s="18"/>
      <c r="K680" s="18"/>
      <c r="L680" s="19"/>
      <c r="M680" s="20"/>
      <c r="N680" s="20"/>
      <c r="O680" s="19"/>
      <c r="P680" s="80"/>
      <c r="Q680" s="84"/>
      <c r="R680" s="87"/>
      <c r="S680" s="19"/>
      <c r="T680" s="19"/>
      <c r="U680" s="21"/>
      <c r="V680" s="22" t="str">
        <f t="shared" si="169"/>
        <v/>
      </c>
      <c r="W680" s="23"/>
      <c r="X680" s="19"/>
      <c r="Y680" s="33"/>
      <c r="Z680" s="15"/>
    </row>
    <row r="681" spans="1:26" x14ac:dyDescent="0.25">
      <c r="A681" s="21" t="str">
        <f>IF(C681="","",COUNTA($C$3:C681))</f>
        <v/>
      </c>
      <c r="B681" s="35" t="str">
        <f t="shared" si="168"/>
        <v/>
      </c>
      <c r="C681" s="31"/>
      <c r="D681" s="17"/>
      <c r="E681" s="32"/>
      <c r="F681" s="17"/>
      <c r="G681" s="18"/>
      <c r="H681" s="18"/>
      <c r="I681" s="17"/>
      <c r="J681" s="18"/>
      <c r="K681" s="18"/>
      <c r="L681" s="19"/>
      <c r="M681" s="20"/>
      <c r="N681" s="20"/>
      <c r="O681" s="19"/>
      <c r="P681" s="80"/>
      <c r="Q681" s="84"/>
      <c r="R681" s="87"/>
      <c r="S681" s="19"/>
      <c r="T681" s="19"/>
      <c r="U681" s="21"/>
      <c r="V681" s="22" t="str">
        <f t="shared" si="169"/>
        <v/>
      </c>
      <c r="W681" s="23"/>
      <c r="X681" s="19"/>
      <c r="Y681" s="33"/>
      <c r="Z681" s="15"/>
    </row>
    <row r="682" spans="1:26" x14ac:dyDescent="0.25">
      <c r="A682" s="21" t="str">
        <f>IF(C682="","",COUNTA($C$3:C682))</f>
        <v/>
      </c>
      <c r="B682" s="35" t="str">
        <f t="shared" si="168"/>
        <v/>
      </c>
      <c r="C682" s="31"/>
      <c r="D682" s="17"/>
      <c r="E682" s="32"/>
      <c r="F682" s="17"/>
      <c r="G682" s="18"/>
      <c r="H682" s="18"/>
      <c r="I682" s="17"/>
      <c r="J682" s="18"/>
      <c r="K682" s="18"/>
      <c r="L682" s="19"/>
      <c r="M682" s="20"/>
      <c r="N682" s="20"/>
      <c r="O682" s="19"/>
      <c r="P682" s="80"/>
      <c r="Q682" s="84"/>
      <c r="R682" s="87"/>
      <c r="S682" s="19"/>
      <c r="T682" s="19"/>
      <c r="U682" s="21"/>
      <c r="V682" s="22" t="str">
        <f t="shared" si="169"/>
        <v/>
      </c>
      <c r="W682" s="23"/>
      <c r="X682" s="19"/>
      <c r="Y682" s="33"/>
      <c r="Z682" s="15"/>
    </row>
    <row r="683" spans="1:26" x14ac:dyDescent="0.25">
      <c r="A683" s="21" t="str">
        <f>IF(C683="","",COUNTA($C$3:C683))</f>
        <v/>
      </c>
      <c r="B683" s="35" t="str">
        <f t="shared" si="168"/>
        <v/>
      </c>
      <c r="C683" s="31"/>
      <c r="D683" s="17"/>
      <c r="E683" s="32"/>
      <c r="F683" s="17"/>
      <c r="G683" s="18"/>
      <c r="H683" s="18"/>
      <c r="I683" s="17"/>
      <c r="J683" s="18"/>
      <c r="K683" s="18"/>
      <c r="L683" s="19"/>
      <c r="M683" s="20"/>
      <c r="N683" s="20"/>
      <c r="O683" s="19"/>
      <c r="P683" s="80"/>
      <c r="Q683" s="84"/>
      <c r="R683" s="87"/>
      <c r="S683" s="19"/>
      <c r="T683" s="19"/>
      <c r="U683" s="21"/>
      <c r="V683" s="22" t="str">
        <f t="shared" si="169"/>
        <v/>
      </c>
      <c r="W683" s="23"/>
      <c r="X683" s="19"/>
      <c r="Y683" s="33"/>
      <c r="Z683" s="15"/>
    </row>
    <row r="684" spans="1:26" x14ac:dyDescent="0.25">
      <c r="A684" s="21" t="str">
        <f>IF(C684="","",COUNTA($C$3:C684))</f>
        <v/>
      </c>
      <c r="B684" s="35" t="str">
        <f t="shared" si="168"/>
        <v/>
      </c>
      <c r="C684" s="31"/>
      <c r="D684" s="17"/>
      <c r="E684" s="32"/>
      <c r="F684" s="17"/>
      <c r="G684" s="18"/>
      <c r="H684" s="18"/>
      <c r="I684" s="17"/>
      <c r="J684" s="18"/>
      <c r="K684" s="18"/>
      <c r="L684" s="19"/>
      <c r="M684" s="20"/>
      <c r="N684" s="20"/>
      <c r="O684" s="19"/>
      <c r="P684" s="80"/>
      <c r="Q684" s="84"/>
      <c r="R684" s="87"/>
      <c r="S684" s="19"/>
      <c r="T684" s="19"/>
      <c r="U684" s="21"/>
      <c r="V684" s="22" t="str">
        <f t="shared" si="169"/>
        <v/>
      </c>
      <c r="W684" s="23"/>
      <c r="X684" s="74"/>
      <c r="Y684" s="33"/>
      <c r="Z684" s="15"/>
    </row>
    <row r="685" spans="1:26" x14ac:dyDescent="0.25">
      <c r="A685" s="21" t="str">
        <f>IF(C685="","",COUNTA($C$3:C685))</f>
        <v/>
      </c>
      <c r="B685" s="35" t="str">
        <f t="shared" si="168"/>
        <v/>
      </c>
      <c r="C685" s="31"/>
      <c r="D685" s="17"/>
      <c r="E685" s="32"/>
      <c r="F685" s="17"/>
      <c r="G685" s="18"/>
      <c r="H685" s="18"/>
      <c r="I685" s="17"/>
      <c r="J685" s="18"/>
      <c r="K685" s="18"/>
      <c r="L685" s="19"/>
      <c r="M685" s="20"/>
      <c r="N685" s="20"/>
      <c r="O685" s="19"/>
      <c r="P685" s="80"/>
      <c r="Q685" s="84"/>
      <c r="R685" s="87"/>
      <c r="S685" s="19"/>
      <c r="T685" s="19"/>
      <c r="U685" s="21"/>
      <c r="V685" s="22" t="str">
        <f t="shared" si="169"/>
        <v/>
      </c>
      <c r="W685" s="23"/>
      <c r="X685" s="74"/>
      <c r="Y685" s="33"/>
      <c r="Z685" s="15"/>
    </row>
    <row r="686" spans="1:26" x14ac:dyDescent="0.25">
      <c r="A686" s="21" t="str">
        <f>IF(C686="","",COUNTA($C$3:C686))</f>
        <v/>
      </c>
      <c r="B686" s="35" t="str">
        <f t="shared" si="168"/>
        <v/>
      </c>
      <c r="C686" s="31"/>
      <c r="D686" s="17"/>
      <c r="E686" s="32"/>
      <c r="F686" s="17"/>
      <c r="G686" s="18"/>
      <c r="H686" s="18"/>
      <c r="I686" s="17"/>
      <c r="J686" s="18"/>
      <c r="K686" s="18"/>
      <c r="L686" s="19"/>
      <c r="M686" s="20"/>
      <c r="N686" s="20"/>
      <c r="O686" s="19"/>
      <c r="P686" s="80"/>
      <c r="Q686" s="84"/>
      <c r="R686" s="87"/>
      <c r="S686" s="19"/>
      <c r="T686" s="19"/>
      <c r="U686" s="21"/>
      <c r="V686" s="22" t="str">
        <f t="shared" si="169"/>
        <v/>
      </c>
      <c r="W686" s="23"/>
      <c r="X686" s="19"/>
      <c r="Y686" s="33"/>
      <c r="Z686" s="15"/>
    </row>
    <row r="687" spans="1:26" x14ac:dyDescent="0.25">
      <c r="A687" s="21" t="str">
        <f>IF(C687="","",COUNTA($C$3:C687))</f>
        <v/>
      </c>
      <c r="B687" s="35" t="str">
        <f t="shared" ref="B687:B703" si="170">IF(C687="","",TEXT(C687,"mmmm"))</f>
        <v/>
      </c>
      <c r="C687" s="31"/>
      <c r="D687" s="17"/>
      <c r="E687" s="32"/>
      <c r="F687" s="17"/>
      <c r="G687" s="18"/>
      <c r="H687" s="18"/>
      <c r="I687" s="17"/>
      <c r="J687" s="18"/>
      <c r="K687" s="18"/>
      <c r="L687" s="19"/>
      <c r="M687" s="20"/>
      <c r="N687" s="20"/>
      <c r="O687" s="19"/>
      <c r="P687" s="47"/>
      <c r="Q687" s="84"/>
      <c r="R687" s="87"/>
      <c r="S687" s="19"/>
      <c r="T687" s="19"/>
      <c r="U687" s="21"/>
      <c r="V687" s="22" t="str">
        <f t="shared" si="169"/>
        <v/>
      </c>
      <c r="W687" s="23"/>
      <c r="X687" s="19"/>
      <c r="Y687" s="33"/>
      <c r="Z687" s="15"/>
    </row>
    <row r="688" spans="1:26" x14ac:dyDescent="0.25">
      <c r="A688" s="21" t="str">
        <f>IF(C688="","",COUNTA($C$3:C688))</f>
        <v/>
      </c>
      <c r="B688" s="35" t="str">
        <f t="shared" si="170"/>
        <v/>
      </c>
      <c r="C688" s="31"/>
      <c r="D688" s="17"/>
      <c r="E688" s="32"/>
      <c r="F688" s="17"/>
      <c r="G688" s="18"/>
      <c r="H688" s="18"/>
      <c r="I688" s="17"/>
      <c r="J688" s="18"/>
      <c r="K688" s="18"/>
      <c r="L688" s="19"/>
      <c r="M688" s="20"/>
      <c r="N688" s="20"/>
      <c r="O688" s="19"/>
      <c r="P688" s="80"/>
      <c r="Q688" s="84"/>
      <c r="R688" s="87"/>
      <c r="S688" s="19"/>
      <c r="T688" s="19"/>
      <c r="U688" s="21"/>
      <c r="V688" s="22" t="str">
        <f t="shared" si="169"/>
        <v/>
      </c>
      <c r="W688" s="23"/>
      <c r="X688" s="19"/>
      <c r="Y688" s="33"/>
      <c r="Z688" s="15"/>
    </row>
    <row r="689" spans="1:26" x14ac:dyDescent="0.25">
      <c r="A689" s="21" t="str">
        <f>IF(C689="","",COUNTA($C$3:C689))</f>
        <v/>
      </c>
      <c r="B689" s="35" t="str">
        <f t="shared" si="170"/>
        <v/>
      </c>
      <c r="C689" s="31"/>
      <c r="D689" s="17"/>
      <c r="E689" s="32"/>
      <c r="F689" s="17"/>
      <c r="G689" s="18"/>
      <c r="H689" s="18"/>
      <c r="I689" s="17"/>
      <c r="J689" s="18"/>
      <c r="K689" s="18"/>
      <c r="L689" s="19"/>
      <c r="M689" s="20"/>
      <c r="N689" s="20"/>
      <c r="O689" s="19"/>
      <c r="P689" s="47"/>
      <c r="Q689" s="84"/>
      <c r="R689" s="87"/>
      <c r="S689" s="19"/>
      <c r="T689" s="19"/>
      <c r="U689" s="21"/>
      <c r="V689" s="22" t="str">
        <f t="shared" si="169"/>
        <v/>
      </c>
      <c r="W689" s="23"/>
      <c r="X689" s="19"/>
      <c r="Y689" s="33"/>
      <c r="Z689" s="15"/>
    </row>
    <row r="690" spans="1:26" x14ac:dyDescent="0.25">
      <c r="A690" s="21" t="str">
        <f>IF(C690="","",COUNTA($C$3:C690))</f>
        <v/>
      </c>
      <c r="B690" s="35" t="str">
        <f t="shared" si="170"/>
        <v/>
      </c>
      <c r="C690" s="31"/>
      <c r="D690" s="17"/>
      <c r="E690" s="32"/>
      <c r="F690" s="17"/>
      <c r="G690" s="18"/>
      <c r="H690" s="18"/>
      <c r="I690" s="17"/>
      <c r="J690" s="18"/>
      <c r="K690" s="18"/>
      <c r="L690" s="19"/>
      <c r="M690" s="20"/>
      <c r="N690" s="20"/>
      <c r="O690" s="19"/>
      <c r="P690" s="47"/>
      <c r="Q690" s="84"/>
      <c r="R690" s="87"/>
      <c r="S690" s="19"/>
      <c r="T690" s="19"/>
      <c r="U690" s="21"/>
      <c r="V690" s="22" t="str">
        <f t="shared" si="169"/>
        <v/>
      </c>
      <c r="W690" s="23"/>
      <c r="X690" s="19"/>
      <c r="Y690" s="33"/>
      <c r="Z690" s="15"/>
    </row>
    <row r="691" spans="1:26" x14ac:dyDescent="0.25">
      <c r="A691" s="21" t="str">
        <f>IF(C691="","",COUNTA($C$3:C691))</f>
        <v/>
      </c>
      <c r="B691" s="35" t="str">
        <f t="shared" si="170"/>
        <v/>
      </c>
      <c r="C691" s="31"/>
      <c r="D691" s="17"/>
      <c r="E691" s="32"/>
      <c r="F691" s="17"/>
      <c r="G691" s="18"/>
      <c r="H691" s="18"/>
      <c r="I691" s="17"/>
      <c r="J691" s="18"/>
      <c r="K691" s="18"/>
      <c r="L691" s="19"/>
      <c r="M691" s="20"/>
      <c r="N691" s="20"/>
      <c r="O691" s="19"/>
      <c r="P691" s="80"/>
      <c r="Q691" s="84"/>
      <c r="R691" s="87"/>
      <c r="S691" s="19"/>
      <c r="T691" s="19"/>
      <c r="U691" s="21"/>
      <c r="V691" s="22" t="str">
        <f t="shared" si="169"/>
        <v/>
      </c>
      <c r="W691" s="23"/>
      <c r="X691" s="19"/>
      <c r="Y691" s="33"/>
      <c r="Z691" s="15"/>
    </row>
    <row r="692" spans="1:26" x14ac:dyDescent="0.25">
      <c r="A692" s="21" t="str">
        <f>IF(C692="","",COUNTA($C$3:C692))</f>
        <v/>
      </c>
      <c r="B692" s="35" t="str">
        <f t="shared" si="170"/>
        <v/>
      </c>
      <c r="C692" s="31"/>
      <c r="D692" s="17"/>
      <c r="E692" s="32"/>
      <c r="F692" s="17"/>
      <c r="G692" s="18"/>
      <c r="H692" s="18"/>
      <c r="I692" s="17"/>
      <c r="J692" s="18"/>
      <c r="K692" s="18"/>
      <c r="L692" s="19"/>
      <c r="M692" s="20"/>
      <c r="N692" s="20"/>
      <c r="O692" s="19"/>
      <c r="P692" s="80"/>
      <c r="Q692" s="84"/>
      <c r="R692" s="87"/>
      <c r="S692" s="19"/>
      <c r="T692" s="19"/>
      <c r="U692" s="21"/>
      <c r="V692" s="22" t="str">
        <f t="shared" si="169"/>
        <v/>
      </c>
      <c r="W692" s="23"/>
      <c r="X692" s="19"/>
      <c r="Y692" s="33"/>
      <c r="Z692" s="15"/>
    </row>
    <row r="693" spans="1:26" x14ac:dyDescent="0.25">
      <c r="A693" s="21" t="str">
        <f>IF(C693="","",COUNTA($C$3:C693))</f>
        <v/>
      </c>
      <c r="B693" s="35" t="str">
        <f t="shared" si="170"/>
        <v/>
      </c>
      <c r="C693" s="31"/>
      <c r="D693" s="17"/>
      <c r="E693" s="32"/>
      <c r="F693" s="17"/>
      <c r="G693" s="18"/>
      <c r="H693" s="18"/>
      <c r="I693" s="17"/>
      <c r="J693" s="18"/>
      <c r="K693" s="18"/>
      <c r="L693" s="19"/>
      <c r="M693" s="20"/>
      <c r="N693" s="20"/>
      <c r="O693" s="19"/>
      <c r="P693" s="80"/>
      <c r="Q693" s="84"/>
      <c r="R693" s="87"/>
      <c r="S693" s="19"/>
      <c r="T693" s="19"/>
      <c r="U693" s="21"/>
      <c r="V693" s="22" t="str">
        <f t="shared" si="169"/>
        <v/>
      </c>
      <c r="W693" s="23"/>
      <c r="X693" s="19"/>
      <c r="Y693" s="33"/>
      <c r="Z693" s="15"/>
    </row>
    <row r="694" spans="1:26" x14ac:dyDescent="0.25">
      <c r="A694" s="21" t="str">
        <f>IF(C694="","",COUNTA($C$3:C694))</f>
        <v/>
      </c>
      <c r="B694" s="35" t="str">
        <f t="shared" si="170"/>
        <v/>
      </c>
      <c r="C694" s="31"/>
      <c r="D694" s="17"/>
      <c r="E694" s="32"/>
      <c r="F694" s="17"/>
      <c r="G694" s="18"/>
      <c r="H694" s="18"/>
      <c r="I694" s="17"/>
      <c r="J694" s="18"/>
      <c r="K694" s="18"/>
      <c r="L694" s="19"/>
      <c r="M694" s="20"/>
      <c r="N694" s="20"/>
      <c r="O694" s="19"/>
      <c r="P694" s="80"/>
      <c r="Q694" s="84"/>
      <c r="R694" s="87"/>
      <c r="S694" s="19"/>
      <c r="T694" s="19"/>
      <c r="U694" s="21"/>
      <c r="V694" s="22" t="str">
        <f t="shared" si="169"/>
        <v/>
      </c>
      <c r="W694" s="23"/>
      <c r="X694" s="19"/>
      <c r="Y694" s="33"/>
      <c r="Z694" s="15"/>
    </row>
    <row r="695" spans="1:26" x14ac:dyDescent="0.25">
      <c r="A695" s="21" t="str">
        <f>IF(C695="","",COUNTA($C$3:C695))</f>
        <v/>
      </c>
      <c r="B695" s="35" t="str">
        <f t="shared" si="170"/>
        <v/>
      </c>
      <c r="C695" s="31"/>
      <c r="D695" s="17"/>
      <c r="E695" s="32"/>
      <c r="F695" s="17"/>
      <c r="G695" s="18"/>
      <c r="H695" s="18"/>
      <c r="I695" s="17"/>
      <c r="J695" s="18"/>
      <c r="K695" s="18"/>
      <c r="L695" s="19"/>
      <c r="M695" s="20"/>
      <c r="N695" s="20"/>
      <c r="O695" s="19"/>
      <c r="P695" s="80"/>
      <c r="Q695" s="84"/>
      <c r="R695" s="87"/>
      <c r="S695" s="19"/>
      <c r="T695" s="19"/>
      <c r="U695" s="21"/>
      <c r="V695" s="22" t="str">
        <f t="shared" si="169"/>
        <v/>
      </c>
      <c r="W695" s="23"/>
      <c r="X695" s="19"/>
      <c r="Y695" s="33"/>
      <c r="Z695" s="15"/>
    </row>
    <row r="696" spans="1:26" x14ac:dyDescent="0.25">
      <c r="A696" s="21" t="str">
        <f>IF(C696="","",COUNTA($C$3:C696))</f>
        <v/>
      </c>
      <c r="B696" s="35" t="str">
        <f t="shared" si="170"/>
        <v/>
      </c>
      <c r="C696" s="31"/>
      <c r="D696" s="17"/>
      <c r="E696" s="32"/>
      <c r="F696" s="17"/>
      <c r="G696" s="18"/>
      <c r="H696" s="18"/>
      <c r="I696" s="17"/>
      <c r="J696" s="18"/>
      <c r="K696" s="18"/>
      <c r="L696" s="19"/>
      <c r="M696" s="20"/>
      <c r="N696" s="20"/>
      <c r="O696" s="19"/>
      <c r="P696" s="80"/>
      <c r="Q696" s="84"/>
      <c r="R696" s="87"/>
      <c r="S696" s="19"/>
      <c r="T696" s="19"/>
      <c r="U696" s="21"/>
      <c r="V696" s="22" t="str">
        <f t="shared" si="169"/>
        <v/>
      </c>
      <c r="W696" s="23"/>
      <c r="X696" s="19"/>
      <c r="Y696" s="33"/>
      <c r="Z696" s="15"/>
    </row>
    <row r="697" spans="1:26" x14ac:dyDescent="0.25">
      <c r="A697" s="21" t="str">
        <f>IF(C697="","",COUNTA($C$3:C697))</f>
        <v/>
      </c>
      <c r="B697" s="35" t="str">
        <f t="shared" si="170"/>
        <v/>
      </c>
      <c r="C697" s="31"/>
      <c r="D697" s="17"/>
      <c r="E697" s="32"/>
      <c r="F697" s="17"/>
      <c r="G697" s="18"/>
      <c r="H697" s="18"/>
      <c r="I697" s="17"/>
      <c r="J697" s="18"/>
      <c r="K697" s="18"/>
      <c r="L697" s="19"/>
      <c r="M697" s="20"/>
      <c r="N697" s="20"/>
      <c r="O697" s="19"/>
      <c r="P697" s="80"/>
      <c r="Q697" s="84"/>
      <c r="R697" s="87"/>
      <c r="S697" s="19"/>
      <c r="T697" s="19"/>
      <c r="U697" s="21"/>
      <c r="V697" s="22" t="str">
        <f t="shared" si="169"/>
        <v/>
      </c>
      <c r="W697" s="23"/>
      <c r="X697" s="19"/>
      <c r="Y697" s="33"/>
      <c r="Z697" s="15"/>
    </row>
    <row r="698" spans="1:26" x14ac:dyDescent="0.25">
      <c r="A698" s="21" t="str">
        <f>IF(C698="","",COUNTA($C$3:C698))</f>
        <v/>
      </c>
      <c r="B698" s="35" t="str">
        <f t="shared" si="170"/>
        <v/>
      </c>
      <c r="C698" s="31"/>
      <c r="D698" s="17"/>
      <c r="E698" s="32"/>
      <c r="F698" s="17"/>
      <c r="G698" s="18"/>
      <c r="H698" s="18"/>
      <c r="I698" s="17"/>
      <c r="J698" s="18"/>
      <c r="K698" s="18"/>
      <c r="L698" s="19"/>
      <c r="M698" s="20"/>
      <c r="N698" s="20"/>
      <c r="O698" s="19"/>
      <c r="P698" s="80"/>
      <c r="Q698" s="84"/>
      <c r="R698" s="87"/>
      <c r="S698" s="19"/>
      <c r="T698" s="19"/>
      <c r="U698" s="21"/>
      <c r="V698" s="22" t="str">
        <f t="shared" si="169"/>
        <v/>
      </c>
      <c r="W698" s="23"/>
      <c r="X698" s="19"/>
      <c r="Y698" s="33"/>
      <c r="Z698" s="15"/>
    </row>
    <row r="699" spans="1:26" x14ac:dyDescent="0.25">
      <c r="A699" s="21" t="str">
        <f>IF(C699="","",COUNTA($C$3:C699))</f>
        <v/>
      </c>
      <c r="B699" s="35" t="str">
        <f t="shared" si="170"/>
        <v/>
      </c>
      <c r="C699" s="31"/>
      <c r="D699" s="17"/>
      <c r="E699" s="32"/>
      <c r="F699" s="17"/>
      <c r="G699" s="18"/>
      <c r="H699" s="18"/>
      <c r="I699" s="17"/>
      <c r="J699" s="18"/>
      <c r="K699" s="18"/>
      <c r="L699" s="19"/>
      <c r="M699" s="20"/>
      <c r="N699" s="20"/>
      <c r="O699" s="19"/>
      <c r="P699" s="80"/>
      <c r="Q699" s="84"/>
      <c r="R699" s="87"/>
      <c r="S699" s="19"/>
      <c r="T699" s="19"/>
      <c r="U699" s="21"/>
      <c r="V699" s="22" t="str">
        <f t="shared" si="169"/>
        <v/>
      </c>
      <c r="W699" s="23"/>
      <c r="X699" s="19"/>
      <c r="Y699" s="33"/>
      <c r="Z699" s="15"/>
    </row>
    <row r="700" spans="1:26" x14ac:dyDescent="0.25">
      <c r="A700" s="21" t="str">
        <f>IF(C700="","",COUNTA($C$3:C700))</f>
        <v/>
      </c>
      <c r="B700" s="35" t="str">
        <f t="shared" si="170"/>
        <v/>
      </c>
      <c r="C700" s="31"/>
      <c r="D700" s="17"/>
      <c r="E700" s="32"/>
      <c r="F700" s="17"/>
      <c r="G700" s="18"/>
      <c r="H700" s="18"/>
      <c r="I700" s="17"/>
      <c r="J700" s="18"/>
      <c r="K700" s="18"/>
      <c r="L700" s="19"/>
      <c r="M700" s="20"/>
      <c r="N700" s="20"/>
      <c r="O700" s="19"/>
      <c r="P700" s="80"/>
      <c r="Q700" s="84"/>
      <c r="R700" s="87"/>
      <c r="S700" s="19"/>
      <c r="T700" s="19"/>
      <c r="U700" s="21"/>
      <c r="V700" s="22" t="str">
        <f t="shared" si="169"/>
        <v/>
      </c>
      <c r="W700" s="23"/>
      <c r="X700" s="74"/>
      <c r="Y700" s="33"/>
      <c r="Z700" s="15"/>
    </row>
    <row r="701" spans="1:26" x14ac:dyDescent="0.25">
      <c r="A701" s="21" t="str">
        <f>IF(C701="","",COUNTA($C$3:C701))</f>
        <v/>
      </c>
      <c r="B701" s="35" t="str">
        <f t="shared" si="170"/>
        <v/>
      </c>
      <c r="C701" s="31"/>
      <c r="D701" s="17"/>
      <c r="E701" s="32"/>
      <c r="F701" s="17"/>
      <c r="G701" s="18"/>
      <c r="H701" s="18"/>
      <c r="I701" s="17"/>
      <c r="J701" s="18"/>
      <c r="K701" s="18"/>
      <c r="L701" s="19"/>
      <c r="M701" s="20"/>
      <c r="N701" s="20"/>
      <c r="O701" s="19"/>
      <c r="P701" s="80"/>
      <c r="Q701" s="84"/>
      <c r="R701" s="87"/>
      <c r="S701" s="19"/>
      <c r="T701" s="19"/>
      <c r="U701" s="21"/>
      <c r="V701" s="22" t="str">
        <f t="shared" si="169"/>
        <v/>
      </c>
      <c r="W701" s="23"/>
      <c r="X701" s="74"/>
      <c r="Y701" s="33"/>
      <c r="Z701" s="15"/>
    </row>
    <row r="702" spans="1:26" x14ac:dyDescent="0.25">
      <c r="A702" s="21" t="str">
        <f>IF(C702="","",COUNTA($C$3:C702))</f>
        <v/>
      </c>
      <c r="B702" s="35" t="str">
        <f t="shared" si="170"/>
        <v/>
      </c>
      <c r="C702" s="31"/>
      <c r="D702" s="17"/>
      <c r="E702" s="32"/>
      <c r="F702" s="17"/>
      <c r="G702" s="18"/>
      <c r="H702" s="18"/>
      <c r="I702" s="17"/>
      <c r="J702" s="18"/>
      <c r="K702" s="18"/>
      <c r="L702" s="19"/>
      <c r="M702" s="20"/>
      <c r="N702" s="20"/>
      <c r="O702" s="19"/>
      <c r="P702" s="80"/>
      <c r="Q702" s="84"/>
      <c r="R702" s="87"/>
      <c r="S702" s="19"/>
      <c r="T702" s="19"/>
      <c r="U702" s="21"/>
      <c r="V702" s="22" t="str">
        <f t="shared" si="169"/>
        <v/>
      </c>
      <c r="W702" s="23"/>
      <c r="X702" s="74"/>
      <c r="Y702" s="33"/>
      <c r="Z702" s="15"/>
    </row>
    <row r="703" spans="1:26" x14ac:dyDescent="0.25">
      <c r="A703" s="21" t="str">
        <f>IF(C703="","",COUNTA($C$3:C703))</f>
        <v/>
      </c>
      <c r="B703" s="35" t="str">
        <f t="shared" si="170"/>
        <v/>
      </c>
      <c r="C703" s="31"/>
      <c r="D703" s="17"/>
      <c r="E703" s="32"/>
      <c r="F703" s="17"/>
      <c r="G703" s="18"/>
      <c r="H703" s="18"/>
      <c r="I703" s="17"/>
      <c r="J703" s="18"/>
      <c r="K703" s="18"/>
      <c r="L703" s="19"/>
      <c r="M703" s="20"/>
      <c r="N703" s="20"/>
      <c r="O703" s="19"/>
      <c r="P703" s="80"/>
      <c r="Q703" s="84"/>
      <c r="R703" s="87"/>
      <c r="S703" s="19"/>
      <c r="T703" s="19"/>
      <c r="U703" s="21"/>
      <c r="V703" s="22" t="str">
        <f t="shared" si="169"/>
        <v/>
      </c>
      <c r="W703" s="23"/>
      <c r="X703" s="19"/>
      <c r="Y703" s="33"/>
      <c r="Z703" s="15"/>
    </row>
    <row r="704" spans="1:26" x14ac:dyDescent="0.25">
      <c r="A704" s="21" t="str">
        <f>IF(C704="","",COUNTA($C$3:C704))</f>
        <v/>
      </c>
      <c r="B704" s="35" t="str">
        <f t="shared" ref="B704:B821" si="171">IF(C704="","",TEXT(C704,"mmmm"))</f>
        <v/>
      </c>
      <c r="C704" s="31"/>
      <c r="D704" s="17"/>
      <c r="E704" s="32"/>
      <c r="F704" s="17"/>
      <c r="G704" s="18"/>
      <c r="H704" s="18"/>
      <c r="I704" s="17"/>
      <c r="J704" s="18"/>
      <c r="K704" s="18"/>
      <c r="L704" s="19"/>
      <c r="M704" s="20"/>
      <c r="N704" s="20"/>
      <c r="O704" s="19"/>
      <c r="P704" s="80"/>
      <c r="Q704" s="84"/>
      <c r="R704" s="87"/>
      <c r="S704" s="19"/>
      <c r="T704" s="19"/>
      <c r="U704" s="21"/>
      <c r="V704" s="22" t="str">
        <f t="shared" si="169"/>
        <v/>
      </c>
      <c r="W704" s="23"/>
      <c r="X704" s="19"/>
      <c r="Y704" s="33"/>
      <c r="Z704" s="15"/>
    </row>
    <row r="705" spans="1:26" x14ac:dyDescent="0.25">
      <c r="A705" s="21" t="str">
        <f>IF(C705="","",COUNTA($C$3:C705))</f>
        <v/>
      </c>
      <c r="B705" s="35" t="str">
        <f t="shared" si="171"/>
        <v/>
      </c>
      <c r="C705" s="31"/>
      <c r="D705" s="17"/>
      <c r="E705" s="32"/>
      <c r="F705" s="17"/>
      <c r="G705" s="18"/>
      <c r="H705" s="18"/>
      <c r="I705" s="17"/>
      <c r="J705" s="18"/>
      <c r="K705" s="18"/>
      <c r="L705" s="19"/>
      <c r="M705" s="20"/>
      <c r="N705" s="20"/>
      <c r="O705" s="19"/>
      <c r="P705" s="80"/>
      <c r="Q705" s="84"/>
      <c r="R705" s="87"/>
      <c r="S705" s="19"/>
      <c r="T705" s="19"/>
      <c r="U705" s="21"/>
      <c r="V705" s="22" t="str">
        <f t="shared" si="169"/>
        <v/>
      </c>
      <c r="W705" s="23"/>
      <c r="X705" s="74"/>
      <c r="Y705" s="33"/>
      <c r="Z705" s="15"/>
    </row>
    <row r="706" spans="1:26" x14ac:dyDescent="0.25">
      <c r="A706" s="21" t="str">
        <f>IF(C706="","",COUNTA($C$3:C706))</f>
        <v/>
      </c>
      <c r="B706" s="35" t="str">
        <f t="shared" si="171"/>
        <v/>
      </c>
      <c r="C706" s="31"/>
      <c r="D706" s="17"/>
      <c r="E706" s="32"/>
      <c r="F706" s="17"/>
      <c r="G706" s="18"/>
      <c r="H706" s="18"/>
      <c r="I706" s="17"/>
      <c r="J706" s="18"/>
      <c r="K706" s="18"/>
      <c r="L706" s="19"/>
      <c r="M706" s="20"/>
      <c r="N706" s="20"/>
      <c r="O706" s="19"/>
      <c r="P706" s="80"/>
      <c r="Q706" s="84"/>
      <c r="R706" s="87"/>
      <c r="S706" s="19"/>
      <c r="T706" s="19"/>
      <c r="U706" s="21"/>
      <c r="V706" s="22" t="str">
        <f t="shared" si="169"/>
        <v/>
      </c>
      <c r="W706" s="23"/>
      <c r="X706" s="74"/>
      <c r="Y706" s="33"/>
      <c r="Z706" s="15"/>
    </row>
    <row r="707" spans="1:26" x14ac:dyDescent="0.25">
      <c r="A707" s="21" t="str">
        <f>IF(C707="","",COUNTA($C$3:C707))</f>
        <v/>
      </c>
      <c r="B707" s="35" t="str">
        <f t="shared" si="171"/>
        <v/>
      </c>
      <c r="C707" s="31"/>
      <c r="D707" s="17"/>
      <c r="E707" s="32"/>
      <c r="F707" s="17"/>
      <c r="G707" s="18"/>
      <c r="H707" s="18"/>
      <c r="I707" s="17"/>
      <c r="J707" s="18"/>
      <c r="K707" s="18"/>
      <c r="L707" s="19"/>
      <c r="M707" s="20"/>
      <c r="N707" s="20"/>
      <c r="O707" s="19"/>
      <c r="P707" s="80"/>
      <c r="Q707" s="84"/>
      <c r="R707" s="87"/>
      <c r="S707" s="19"/>
      <c r="T707" s="19"/>
      <c r="U707" s="21"/>
      <c r="V707" s="22" t="str">
        <f t="shared" ref="V707:V770" si="172">IF(U707="","",(U707/T707))</f>
        <v/>
      </c>
      <c r="W707" s="23"/>
      <c r="X707" s="74"/>
      <c r="Y707" s="33"/>
      <c r="Z707" s="15"/>
    </row>
    <row r="708" spans="1:26" x14ac:dyDescent="0.25">
      <c r="A708" s="21" t="str">
        <f>IF(C708="","",COUNTA($C$3:C708))</f>
        <v/>
      </c>
      <c r="B708" s="35" t="str">
        <f t="shared" si="171"/>
        <v/>
      </c>
      <c r="C708" s="31"/>
      <c r="D708" s="17"/>
      <c r="E708" s="32"/>
      <c r="F708" s="17"/>
      <c r="G708" s="18"/>
      <c r="H708" s="18"/>
      <c r="I708" s="17"/>
      <c r="J708" s="18"/>
      <c r="K708" s="18"/>
      <c r="L708" s="19"/>
      <c r="M708" s="20"/>
      <c r="N708" s="20"/>
      <c r="O708" s="19"/>
      <c r="P708" s="80"/>
      <c r="Q708" s="84"/>
      <c r="R708" s="87"/>
      <c r="S708" s="19"/>
      <c r="T708" s="19"/>
      <c r="U708" s="21"/>
      <c r="V708" s="22" t="str">
        <f t="shared" si="172"/>
        <v/>
      </c>
      <c r="W708" s="23"/>
      <c r="X708" s="74"/>
      <c r="Y708" s="33"/>
      <c r="Z708" s="15"/>
    </row>
    <row r="709" spans="1:26" x14ac:dyDescent="0.25">
      <c r="A709" s="21" t="str">
        <f>IF(C709="","",COUNTA($C$3:C709))</f>
        <v/>
      </c>
      <c r="B709" s="35" t="str">
        <f t="shared" si="171"/>
        <v/>
      </c>
      <c r="C709" s="31"/>
      <c r="D709" s="17"/>
      <c r="E709" s="32"/>
      <c r="F709" s="17"/>
      <c r="G709" s="18"/>
      <c r="H709" s="18"/>
      <c r="I709" s="17"/>
      <c r="J709" s="18"/>
      <c r="K709" s="18"/>
      <c r="L709" s="19"/>
      <c r="M709" s="20"/>
      <c r="N709" s="20"/>
      <c r="O709" s="19"/>
      <c r="P709" s="80"/>
      <c r="Q709" s="84"/>
      <c r="R709" s="87"/>
      <c r="S709" s="19"/>
      <c r="T709" s="19"/>
      <c r="U709" s="21"/>
      <c r="V709" s="22" t="str">
        <f t="shared" si="172"/>
        <v/>
      </c>
      <c r="W709" s="23"/>
      <c r="X709" s="74"/>
      <c r="Y709" s="33"/>
      <c r="Z709" s="15"/>
    </row>
    <row r="710" spans="1:26" x14ac:dyDescent="0.25">
      <c r="A710" s="21" t="str">
        <f>IF(C710="","",COUNTA($C$3:C710))</f>
        <v/>
      </c>
      <c r="B710" s="35" t="str">
        <f t="shared" si="171"/>
        <v/>
      </c>
      <c r="C710" s="31"/>
      <c r="D710" s="17"/>
      <c r="E710" s="32"/>
      <c r="F710" s="17"/>
      <c r="G710" s="18"/>
      <c r="H710" s="18"/>
      <c r="I710" s="17"/>
      <c r="J710" s="18"/>
      <c r="K710" s="18"/>
      <c r="L710" s="19"/>
      <c r="M710" s="20"/>
      <c r="N710" s="20"/>
      <c r="O710" s="19"/>
      <c r="P710" s="80"/>
      <c r="Q710" s="84"/>
      <c r="R710" s="87"/>
      <c r="S710" s="19"/>
      <c r="T710" s="19"/>
      <c r="U710" s="21"/>
      <c r="V710" s="22" t="str">
        <f t="shared" si="172"/>
        <v/>
      </c>
      <c r="W710" s="23"/>
      <c r="X710" s="74"/>
      <c r="Y710" s="33"/>
      <c r="Z710" s="15"/>
    </row>
    <row r="711" spans="1:26" x14ac:dyDescent="0.25">
      <c r="A711" s="21" t="str">
        <f>IF(C711="","",COUNTA($C$3:C711))</f>
        <v/>
      </c>
      <c r="B711" s="35" t="str">
        <f t="shared" si="171"/>
        <v/>
      </c>
      <c r="C711" s="31"/>
      <c r="D711" s="17"/>
      <c r="E711" s="32"/>
      <c r="F711" s="17"/>
      <c r="G711" s="18"/>
      <c r="H711" s="18"/>
      <c r="I711" s="17"/>
      <c r="J711" s="18"/>
      <c r="K711" s="18"/>
      <c r="L711" s="19"/>
      <c r="M711" s="20"/>
      <c r="N711" s="20"/>
      <c r="O711" s="19"/>
      <c r="P711" s="80"/>
      <c r="Q711" s="83"/>
      <c r="R711" s="87"/>
      <c r="S711" s="19"/>
      <c r="T711" s="19"/>
      <c r="U711" s="21"/>
      <c r="V711" s="22" t="str">
        <f t="shared" si="172"/>
        <v/>
      </c>
      <c r="W711" s="23"/>
      <c r="X711" s="74"/>
      <c r="Y711" s="33"/>
      <c r="Z711" s="15"/>
    </row>
    <row r="712" spans="1:26" x14ac:dyDescent="0.25">
      <c r="A712" s="21" t="str">
        <f>IF(C712="","",COUNTA($C$3:C712))</f>
        <v/>
      </c>
      <c r="B712" s="15" t="str">
        <f t="shared" si="171"/>
        <v/>
      </c>
      <c r="C712" s="31"/>
      <c r="D712" s="17"/>
      <c r="E712" s="32"/>
      <c r="F712" s="17"/>
      <c r="G712" s="18"/>
      <c r="H712" s="18"/>
      <c r="I712" s="17"/>
      <c r="J712" s="18"/>
      <c r="K712" s="18"/>
      <c r="L712" s="19"/>
      <c r="M712" s="20"/>
      <c r="N712" s="20"/>
      <c r="O712" s="19"/>
      <c r="P712" s="80"/>
      <c r="Q712" s="83"/>
      <c r="R712" s="87"/>
      <c r="S712" s="19"/>
      <c r="T712" s="19"/>
      <c r="U712" s="21"/>
      <c r="V712" s="22" t="str">
        <f t="shared" si="172"/>
        <v/>
      </c>
      <c r="W712" s="23"/>
      <c r="X712" s="74"/>
      <c r="Y712" s="33"/>
      <c r="Z712" s="15"/>
    </row>
    <row r="713" spans="1:26" x14ac:dyDescent="0.25">
      <c r="A713" s="21" t="str">
        <f>IF(C713="","",COUNTA($C$3:C713))</f>
        <v/>
      </c>
      <c r="B713" s="15" t="str">
        <f t="shared" si="171"/>
        <v/>
      </c>
      <c r="C713" s="31"/>
      <c r="D713" s="17"/>
      <c r="E713" s="32"/>
      <c r="F713" s="17"/>
      <c r="G713" s="18"/>
      <c r="H713" s="18"/>
      <c r="I713" s="17"/>
      <c r="J713" s="18"/>
      <c r="K713" s="18"/>
      <c r="L713" s="19"/>
      <c r="M713" s="20"/>
      <c r="N713" s="20"/>
      <c r="O713" s="19"/>
      <c r="P713" s="80"/>
      <c r="Q713" s="83"/>
      <c r="R713" s="87"/>
      <c r="S713" s="19"/>
      <c r="T713" s="19"/>
      <c r="U713" s="21"/>
      <c r="V713" s="22" t="str">
        <f t="shared" si="172"/>
        <v/>
      </c>
      <c r="W713" s="23"/>
      <c r="X713" s="74"/>
      <c r="Y713" s="33"/>
      <c r="Z713" s="15"/>
    </row>
    <row r="714" spans="1:26" x14ac:dyDescent="0.25">
      <c r="A714" s="21" t="str">
        <f>IF(C714="","",COUNTA($C$3:C714))</f>
        <v/>
      </c>
      <c r="B714" s="15" t="str">
        <f t="shared" si="171"/>
        <v/>
      </c>
      <c r="C714" s="31"/>
      <c r="D714" s="17"/>
      <c r="E714" s="32"/>
      <c r="F714" s="17"/>
      <c r="G714" s="18"/>
      <c r="H714" s="18"/>
      <c r="I714" s="17"/>
      <c r="J714" s="18"/>
      <c r="K714" s="18"/>
      <c r="L714" s="19"/>
      <c r="M714" s="20"/>
      <c r="N714" s="20"/>
      <c r="O714" s="19"/>
      <c r="P714" s="80"/>
      <c r="Q714" s="83"/>
      <c r="R714" s="87"/>
      <c r="S714" s="19"/>
      <c r="T714" s="19"/>
      <c r="U714" s="21"/>
      <c r="V714" s="22" t="str">
        <f t="shared" si="172"/>
        <v/>
      </c>
      <c r="W714" s="23"/>
      <c r="X714" s="74"/>
      <c r="Y714" s="33"/>
      <c r="Z714" s="15"/>
    </row>
    <row r="715" spans="1:26" x14ac:dyDescent="0.25">
      <c r="A715" s="21" t="str">
        <f>IF(C715="","",COUNTA($C$3:C715))</f>
        <v/>
      </c>
      <c r="B715" s="15" t="str">
        <f t="shared" si="171"/>
        <v/>
      </c>
      <c r="C715" s="31"/>
      <c r="D715" s="17"/>
      <c r="E715" s="32"/>
      <c r="F715" s="17"/>
      <c r="G715" s="18"/>
      <c r="H715" s="18"/>
      <c r="I715" s="17"/>
      <c r="J715" s="18"/>
      <c r="K715" s="18"/>
      <c r="L715" s="19"/>
      <c r="M715" s="20"/>
      <c r="N715" s="20"/>
      <c r="O715" s="19"/>
      <c r="P715" s="80"/>
      <c r="Q715" s="83"/>
      <c r="R715" s="87"/>
      <c r="S715" s="19"/>
      <c r="T715" s="19"/>
      <c r="U715" s="21"/>
      <c r="V715" s="22" t="str">
        <f t="shared" si="172"/>
        <v/>
      </c>
      <c r="W715" s="23"/>
      <c r="X715" s="74"/>
      <c r="Y715" s="33"/>
      <c r="Z715" s="15"/>
    </row>
    <row r="716" spans="1:26" x14ac:dyDescent="0.25">
      <c r="A716" s="21" t="str">
        <f>IF(C716="","",COUNTA($C$3:C716))</f>
        <v/>
      </c>
      <c r="B716" s="15" t="str">
        <f t="shared" si="171"/>
        <v/>
      </c>
      <c r="C716" s="31"/>
      <c r="D716" s="17"/>
      <c r="E716" s="32"/>
      <c r="F716" s="17"/>
      <c r="G716" s="18"/>
      <c r="H716" s="18"/>
      <c r="I716" s="17"/>
      <c r="J716" s="18"/>
      <c r="K716" s="18"/>
      <c r="L716" s="19"/>
      <c r="M716" s="20"/>
      <c r="N716" s="20"/>
      <c r="O716" s="19"/>
      <c r="P716" s="80"/>
      <c r="Q716" s="83"/>
      <c r="R716" s="87"/>
      <c r="S716" s="19"/>
      <c r="T716" s="19"/>
      <c r="U716" s="21"/>
      <c r="V716" s="22" t="str">
        <f t="shared" si="172"/>
        <v/>
      </c>
      <c r="W716" s="23"/>
      <c r="X716" s="74"/>
      <c r="Y716" s="33"/>
      <c r="Z716" s="15"/>
    </row>
    <row r="717" spans="1:26" x14ac:dyDescent="0.25">
      <c r="A717" s="21" t="str">
        <f>IF(C717="","",COUNTA($C$3:C717))</f>
        <v/>
      </c>
      <c r="B717" s="15" t="str">
        <f t="shared" si="171"/>
        <v/>
      </c>
      <c r="C717" s="31"/>
      <c r="D717" s="17"/>
      <c r="E717" s="32"/>
      <c r="F717" s="17"/>
      <c r="G717" s="18"/>
      <c r="H717" s="18"/>
      <c r="I717" s="17"/>
      <c r="J717" s="18"/>
      <c r="K717" s="18"/>
      <c r="L717" s="19"/>
      <c r="M717" s="20"/>
      <c r="N717" s="20"/>
      <c r="O717" s="19"/>
      <c r="P717" s="80"/>
      <c r="Q717" s="83"/>
      <c r="R717" s="87"/>
      <c r="S717" s="19"/>
      <c r="T717" s="19"/>
      <c r="U717" s="21"/>
      <c r="V717" s="22" t="str">
        <f t="shared" si="172"/>
        <v/>
      </c>
      <c r="W717" s="23"/>
      <c r="X717" s="74"/>
      <c r="Y717" s="33"/>
      <c r="Z717" s="15"/>
    </row>
    <row r="718" spans="1:26" x14ac:dyDescent="0.25">
      <c r="A718" s="21" t="str">
        <f>IF(C718="","",COUNTA($C$3:C718))</f>
        <v/>
      </c>
      <c r="B718" s="15" t="str">
        <f t="shared" si="171"/>
        <v/>
      </c>
      <c r="C718" s="31"/>
      <c r="D718" s="17"/>
      <c r="E718" s="32"/>
      <c r="F718" s="17"/>
      <c r="G718" s="18"/>
      <c r="H718" s="18"/>
      <c r="I718" s="17"/>
      <c r="J718" s="18"/>
      <c r="K718" s="18"/>
      <c r="L718" s="19"/>
      <c r="M718" s="20"/>
      <c r="N718" s="20"/>
      <c r="O718" s="19"/>
      <c r="P718" s="80"/>
      <c r="Q718" s="83"/>
      <c r="R718" s="87"/>
      <c r="S718" s="19"/>
      <c r="T718" s="19"/>
      <c r="U718" s="21"/>
      <c r="V718" s="22" t="str">
        <f t="shared" si="172"/>
        <v/>
      </c>
      <c r="W718" s="23"/>
      <c r="X718" s="74"/>
      <c r="Y718" s="33"/>
      <c r="Z718" s="15"/>
    </row>
    <row r="719" spans="1:26" x14ac:dyDescent="0.25">
      <c r="A719" s="21" t="str">
        <f>IF(C719="","",COUNTA($C$3:C719))</f>
        <v/>
      </c>
      <c r="B719" s="15" t="str">
        <f t="shared" si="171"/>
        <v/>
      </c>
      <c r="C719" s="31"/>
      <c r="D719" s="17"/>
      <c r="E719" s="32"/>
      <c r="F719" s="17"/>
      <c r="G719" s="18"/>
      <c r="H719" s="18"/>
      <c r="I719" s="17"/>
      <c r="J719" s="18"/>
      <c r="K719" s="18"/>
      <c r="L719" s="19"/>
      <c r="M719" s="20"/>
      <c r="N719" s="20"/>
      <c r="O719" s="19"/>
      <c r="P719" s="80"/>
      <c r="Q719" s="83"/>
      <c r="R719" s="87"/>
      <c r="S719" s="19"/>
      <c r="T719" s="19"/>
      <c r="U719" s="21"/>
      <c r="V719" s="22" t="str">
        <f t="shared" si="172"/>
        <v/>
      </c>
      <c r="W719" s="23"/>
      <c r="X719" s="74"/>
      <c r="Y719" s="33"/>
      <c r="Z719" s="15"/>
    </row>
    <row r="720" spans="1:26" x14ac:dyDescent="0.25">
      <c r="A720" s="21" t="str">
        <f>IF(C720="","",COUNTA($C$3:C720))</f>
        <v/>
      </c>
      <c r="B720" s="15" t="str">
        <f t="shared" si="171"/>
        <v/>
      </c>
      <c r="C720" s="31"/>
      <c r="D720" s="17"/>
      <c r="E720" s="32"/>
      <c r="F720" s="17"/>
      <c r="G720" s="18"/>
      <c r="H720" s="18"/>
      <c r="I720" s="17"/>
      <c r="J720" s="18"/>
      <c r="K720" s="18"/>
      <c r="L720" s="19"/>
      <c r="M720" s="20"/>
      <c r="N720" s="20"/>
      <c r="O720" s="19"/>
      <c r="P720" s="80"/>
      <c r="Q720" s="83"/>
      <c r="R720" s="87"/>
      <c r="S720" s="19"/>
      <c r="T720" s="19"/>
      <c r="U720" s="21"/>
      <c r="V720" s="22" t="str">
        <f t="shared" si="172"/>
        <v/>
      </c>
      <c r="W720" s="23"/>
      <c r="X720" s="74"/>
      <c r="Y720" s="33"/>
      <c r="Z720" s="15"/>
    </row>
    <row r="721" spans="1:26" x14ac:dyDescent="0.25">
      <c r="A721" s="21" t="str">
        <f>IF(C721="","",COUNTA($C$3:C721))</f>
        <v/>
      </c>
      <c r="B721" s="15" t="str">
        <f t="shared" si="171"/>
        <v/>
      </c>
      <c r="C721" s="31"/>
      <c r="D721" s="17"/>
      <c r="E721" s="32"/>
      <c r="F721" s="17"/>
      <c r="G721" s="18"/>
      <c r="H721" s="18"/>
      <c r="I721" s="17"/>
      <c r="J721" s="18"/>
      <c r="K721" s="18"/>
      <c r="L721" s="19"/>
      <c r="M721" s="20"/>
      <c r="N721" s="20"/>
      <c r="O721" s="19"/>
      <c r="P721" s="80"/>
      <c r="Q721" s="84"/>
      <c r="R721" s="87"/>
      <c r="S721" s="19"/>
      <c r="T721" s="19"/>
      <c r="U721" s="21"/>
      <c r="V721" s="22" t="str">
        <f t="shared" si="172"/>
        <v/>
      </c>
      <c r="W721" s="23"/>
      <c r="X721" s="74"/>
      <c r="Y721" s="33"/>
      <c r="Z721" s="15"/>
    </row>
    <row r="722" spans="1:26" x14ac:dyDescent="0.25">
      <c r="A722" s="21" t="str">
        <f>IF(C722="","",COUNTA($C$3:C722))</f>
        <v/>
      </c>
      <c r="B722" s="15" t="str">
        <f t="shared" si="171"/>
        <v/>
      </c>
      <c r="C722" s="31"/>
      <c r="D722" s="17"/>
      <c r="E722" s="32"/>
      <c r="F722" s="17"/>
      <c r="G722" s="18"/>
      <c r="H722" s="18"/>
      <c r="I722" s="17"/>
      <c r="J722" s="18"/>
      <c r="K722" s="18"/>
      <c r="L722" s="19"/>
      <c r="M722" s="20"/>
      <c r="N722" s="20"/>
      <c r="O722" s="19"/>
      <c r="P722" s="80"/>
      <c r="Q722" s="83"/>
      <c r="R722" s="87"/>
      <c r="S722" s="19"/>
      <c r="T722" s="19"/>
      <c r="U722" s="21"/>
      <c r="V722" s="22" t="str">
        <f t="shared" si="172"/>
        <v/>
      </c>
      <c r="W722" s="23"/>
      <c r="X722" s="74"/>
      <c r="Y722" s="33"/>
      <c r="Z722" s="15"/>
    </row>
    <row r="723" spans="1:26" x14ac:dyDescent="0.25">
      <c r="A723" s="21" t="str">
        <f>IF(C723="","",COUNTA($C$3:C723))</f>
        <v/>
      </c>
      <c r="B723" s="15" t="str">
        <f t="shared" si="171"/>
        <v/>
      </c>
      <c r="C723" s="31"/>
      <c r="D723" s="17"/>
      <c r="E723" s="32"/>
      <c r="F723" s="17"/>
      <c r="G723" s="18"/>
      <c r="H723" s="18"/>
      <c r="I723" s="17"/>
      <c r="J723" s="18"/>
      <c r="K723" s="18"/>
      <c r="L723" s="19"/>
      <c r="M723" s="20"/>
      <c r="N723" s="20"/>
      <c r="O723" s="19"/>
      <c r="P723" s="80"/>
      <c r="Q723" s="83"/>
      <c r="R723" s="87"/>
      <c r="S723" s="19"/>
      <c r="T723" s="19"/>
      <c r="U723" s="21"/>
      <c r="V723" s="22" t="str">
        <f t="shared" si="172"/>
        <v/>
      </c>
      <c r="W723" s="23"/>
      <c r="X723" s="74"/>
      <c r="Y723" s="33"/>
      <c r="Z723" s="15"/>
    </row>
    <row r="724" spans="1:26" x14ac:dyDescent="0.25">
      <c r="A724" s="21" t="str">
        <f>IF(C724="","",COUNTA($C$3:C724))</f>
        <v/>
      </c>
      <c r="B724" s="15" t="str">
        <f t="shared" si="171"/>
        <v/>
      </c>
      <c r="C724" s="31"/>
      <c r="D724" s="17"/>
      <c r="E724" s="32"/>
      <c r="F724" s="17"/>
      <c r="G724" s="18"/>
      <c r="H724" s="18"/>
      <c r="I724" s="17"/>
      <c r="J724" s="18"/>
      <c r="K724" s="18"/>
      <c r="L724" s="19"/>
      <c r="M724" s="20"/>
      <c r="N724" s="20"/>
      <c r="O724" s="19"/>
      <c r="P724" s="80"/>
      <c r="Q724" s="83"/>
      <c r="R724" s="87"/>
      <c r="S724" s="19"/>
      <c r="T724" s="19"/>
      <c r="U724" s="21"/>
      <c r="V724" s="22" t="str">
        <f t="shared" si="172"/>
        <v/>
      </c>
      <c r="W724" s="23"/>
      <c r="X724" s="74"/>
      <c r="Y724" s="33"/>
      <c r="Z724" s="15"/>
    </row>
    <row r="725" spans="1:26" x14ac:dyDescent="0.25">
      <c r="A725" s="21" t="str">
        <f>IF(C725="","",COUNTA($C$3:C725))</f>
        <v/>
      </c>
      <c r="B725" s="15" t="str">
        <f t="shared" si="171"/>
        <v/>
      </c>
      <c r="C725" s="31"/>
      <c r="D725" s="17"/>
      <c r="E725" s="32"/>
      <c r="F725" s="17"/>
      <c r="G725" s="18"/>
      <c r="H725" s="18"/>
      <c r="I725" s="17"/>
      <c r="J725" s="18"/>
      <c r="K725" s="18"/>
      <c r="L725" s="19"/>
      <c r="M725" s="20"/>
      <c r="N725" s="20"/>
      <c r="O725" s="19"/>
      <c r="P725" s="80"/>
      <c r="Q725" s="83"/>
      <c r="R725" s="87"/>
      <c r="S725" s="19"/>
      <c r="T725" s="19"/>
      <c r="U725" s="21"/>
      <c r="V725" s="22" t="str">
        <f t="shared" si="172"/>
        <v/>
      </c>
      <c r="W725" s="23"/>
      <c r="X725" s="74"/>
      <c r="Y725" s="33"/>
      <c r="Z725" s="15"/>
    </row>
    <row r="726" spans="1:26" x14ac:dyDescent="0.25">
      <c r="A726" s="21" t="str">
        <f>IF(C726="","",COUNTA($C$3:C726))</f>
        <v/>
      </c>
      <c r="B726" s="15" t="str">
        <f t="shared" si="171"/>
        <v/>
      </c>
      <c r="C726" s="31"/>
      <c r="D726" s="17"/>
      <c r="E726" s="32"/>
      <c r="F726" s="17"/>
      <c r="G726" s="18"/>
      <c r="H726" s="18"/>
      <c r="I726" s="17"/>
      <c r="J726" s="18"/>
      <c r="K726" s="18"/>
      <c r="L726" s="19"/>
      <c r="M726" s="20"/>
      <c r="N726" s="20"/>
      <c r="O726" s="19"/>
      <c r="P726" s="80"/>
      <c r="Q726" s="83"/>
      <c r="R726" s="87"/>
      <c r="S726" s="19"/>
      <c r="T726" s="19"/>
      <c r="U726" s="21"/>
      <c r="V726" s="22" t="str">
        <f t="shared" si="172"/>
        <v/>
      </c>
      <c r="W726" s="23"/>
      <c r="X726" s="74"/>
      <c r="Y726" s="33"/>
      <c r="Z726" s="15"/>
    </row>
    <row r="727" spans="1:26" x14ac:dyDescent="0.25">
      <c r="A727" s="21" t="str">
        <f>IF(C727="","",COUNTA($C$3:C727))</f>
        <v/>
      </c>
      <c r="B727" s="15" t="str">
        <f t="shared" si="171"/>
        <v/>
      </c>
      <c r="C727" s="31"/>
      <c r="D727" s="17"/>
      <c r="E727" s="32"/>
      <c r="F727" s="17"/>
      <c r="G727" s="18"/>
      <c r="H727" s="18"/>
      <c r="I727" s="17"/>
      <c r="J727" s="18"/>
      <c r="K727" s="18"/>
      <c r="L727" s="19"/>
      <c r="M727" s="20"/>
      <c r="N727" s="20"/>
      <c r="O727" s="19"/>
      <c r="P727" s="80"/>
      <c r="Q727" s="83"/>
      <c r="R727" s="87"/>
      <c r="S727" s="19"/>
      <c r="T727" s="19"/>
      <c r="U727" s="21"/>
      <c r="V727" s="22" t="str">
        <f t="shared" si="172"/>
        <v/>
      </c>
      <c r="W727" s="23"/>
      <c r="X727" s="74"/>
      <c r="Y727" s="33"/>
      <c r="Z727" s="15"/>
    </row>
    <row r="728" spans="1:26" x14ac:dyDescent="0.25">
      <c r="A728" s="21" t="str">
        <f>IF(C728="","",COUNTA($C$3:C728))</f>
        <v/>
      </c>
      <c r="B728" s="15" t="str">
        <f t="shared" si="171"/>
        <v/>
      </c>
      <c r="C728" s="31"/>
      <c r="D728" s="17"/>
      <c r="E728" s="32"/>
      <c r="F728" s="17"/>
      <c r="G728" s="18"/>
      <c r="H728" s="18"/>
      <c r="I728" s="17"/>
      <c r="J728" s="18"/>
      <c r="K728" s="18"/>
      <c r="L728" s="19"/>
      <c r="M728" s="20"/>
      <c r="N728" s="20"/>
      <c r="O728" s="19"/>
      <c r="P728" s="80"/>
      <c r="Q728" s="83"/>
      <c r="R728" s="87"/>
      <c r="S728" s="19"/>
      <c r="T728" s="19"/>
      <c r="U728" s="21"/>
      <c r="V728" s="22" t="str">
        <f t="shared" si="172"/>
        <v/>
      </c>
      <c r="W728" s="23"/>
      <c r="X728" s="74"/>
      <c r="Y728" s="33"/>
      <c r="Z728" s="15"/>
    </row>
    <row r="729" spans="1:26" x14ac:dyDescent="0.25">
      <c r="A729" s="21" t="str">
        <f>IF(C729="","",COUNTA($C$3:C729))</f>
        <v/>
      </c>
      <c r="B729" s="15" t="str">
        <f t="shared" si="171"/>
        <v/>
      </c>
      <c r="C729" s="31"/>
      <c r="D729" s="17"/>
      <c r="E729" s="32"/>
      <c r="F729" s="17"/>
      <c r="G729" s="18"/>
      <c r="H729" s="18"/>
      <c r="I729" s="17"/>
      <c r="J729" s="18"/>
      <c r="K729" s="18"/>
      <c r="L729" s="19"/>
      <c r="M729" s="20"/>
      <c r="N729" s="20"/>
      <c r="O729" s="19"/>
      <c r="P729" s="80"/>
      <c r="Q729" s="83"/>
      <c r="R729" s="87"/>
      <c r="S729" s="19"/>
      <c r="T729" s="19"/>
      <c r="U729" s="21"/>
      <c r="V729" s="22" t="str">
        <f t="shared" si="172"/>
        <v/>
      </c>
      <c r="W729" s="23"/>
      <c r="X729" s="74"/>
      <c r="Y729" s="33"/>
      <c r="Z729" s="15"/>
    </row>
    <row r="730" spans="1:26" x14ac:dyDescent="0.25">
      <c r="A730" s="21" t="str">
        <f>IF(C730="","",COUNTA($C$3:C730))</f>
        <v/>
      </c>
      <c r="B730" s="15" t="str">
        <f t="shared" si="171"/>
        <v/>
      </c>
      <c r="C730" s="31"/>
      <c r="D730" s="17"/>
      <c r="E730" s="32"/>
      <c r="F730" s="17"/>
      <c r="G730" s="18"/>
      <c r="H730" s="18"/>
      <c r="I730" s="17"/>
      <c r="J730" s="18"/>
      <c r="K730" s="18"/>
      <c r="L730" s="19"/>
      <c r="M730" s="20"/>
      <c r="N730" s="20"/>
      <c r="O730" s="19"/>
      <c r="P730" s="80"/>
      <c r="Q730" s="83"/>
      <c r="R730" s="87"/>
      <c r="S730" s="19"/>
      <c r="T730" s="19"/>
      <c r="U730" s="21"/>
      <c r="V730" s="22" t="str">
        <f t="shared" si="172"/>
        <v/>
      </c>
      <c r="W730" s="23"/>
      <c r="X730" s="74"/>
      <c r="Y730" s="33"/>
      <c r="Z730" s="15"/>
    </row>
    <row r="731" spans="1:26" x14ac:dyDescent="0.25">
      <c r="A731" s="21" t="str">
        <f>IF(C731="","",COUNTA($C$3:C731))</f>
        <v/>
      </c>
      <c r="B731" s="15" t="str">
        <f t="shared" si="171"/>
        <v/>
      </c>
      <c r="C731" s="31"/>
      <c r="D731" s="17"/>
      <c r="E731" s="32"/>
      <c r="F731" s="17"/>
      <c r="G731" s="18"/>
      <c r="H731" s="18"/>
      <c r="I731" s="17"/>
      <c r="J731" s="18"/>
      <c r="K731" s="18"/>
      <c r="L731" s="19"/>
      <c r="M731" s="20"/>
      <c r="N731" s="20"/>
      <c r="O731" s="19"/>
      <c r="P731" s="80"/>
      <c r="Q731" s="83"/>
      <c r="R731" s="87"/>
      <c r="S731" s="19"/>
      <c r="T731" s="19"/>
      <c r="U731" s="21"/>
      <c r="V731" s="22" t="str">
        <f t="shared" si="172"/>
        <v/>
      </c>
      <c r="W731" s="23"/>
      <c r="X731" s="74"/>
      <c r="Y731" s="33"/>
      <c r="Z731" s="15"/>
    </row>
    <row r="732" spans="1:26" x14ac:dyDescent="0.25">
      <c r="A732" s="21" t="str">
        <f>IF(C732="","",COUNTA($C$3:C732))</f>
        <v/>
      </c>
      <c r="B732" s="15" t="str">
        <f t="shared" si="171"/>
        <v/>
      </c>
      <c r="C732" s="31"/>
      <c r="D732" s="17"/>
      <c r="E732" s="32"/>
      <c r="F732" s="17"/>
      <c r="G732" s="18"/>
      <c r="H732" s="18"/>
      <c r="I732" s="17"/>
      <c r="J732" s="18"/>
      <c r="K732" s="18"/>
      <c r="L732" s="19"/>
      <c r="M732" s="20"/>
      <c r="N732" s="20"/>
      <c r="O732" s="19"/>
      <c r="P732" s="80"/>
      <c r="Q732" s="83"/>
      <c r="R732" s="87"/>
      <c r="S732" s="19"/>
      <c r="T732" s="19"/>
      <c r="U732" s="21"/>
      <c r="V732" s="22" t="str">
        <f t="shared" si="172"/>
        <v/>
      </c>
      <c r="W732" s="23"/>
      <c r="X732" s="74"/>
      <c r="Y732" s="33"/>
      <c r="Z732" s="15"/>
    </row>
    <row r="733" spans="1:26" x14ac:dyDescent="0.25">
      <c r="A733" s="21" t="str">
        <f>IF(C733="","",COUNTA($C$3:C733))</f>
        <v/>
      </c>
      <c r="B733" s="15" t="str">
        <f t="shared" si="171"/>
        <v/>
      </c>
      <c r="C733" s="31"/>
      <c r="D733" s="17"/>
      <c r="E733" s="32"/>
      <c r="F733" s="17"/>
      <c r="G733" s="18"/>
      <c r="H733" s="18"/>
      <c r="I733" s="17"/>
      <c r="J733" s="18"/>
      <c r="K733" s="18"/>
      <c r="L733" s="19"/>
      <c r="M733" s="20"/>
      <c r="N733" s="20"/>
      <c r="O733" s="19"/>
      <c r="P733" s="80"/>
      <c r="Q733" s="83"/>
      <c r="R733" s="87"/>
      <c r="S733" s="19"/>
      <c r="T733" s="19"/>
      <c r="U733" s="21"/>
      <c r="V733" s="22" t="str">
        <f t="shared" si="172"/>
        <v/>
      </c>
      <c r="W733" s="23"/>
      <c r="X733" s="74"/>
      <c r="Y733" s="33"/>
      <c r="Z733" s="15"/>
    </row>
    <row r="734" spans="1:26" x14ac:dyDescent="0.25">
      <c r="A734" s="21" t="str">
        <f>IF(C734="","",COUNTA($C$3:C734))</f>
        <v/>
      </c>
      <c r="B734" s="15" t="str">
        <f t="shared" si="171"/>
        <v/>
      </c>
      <c r="C734" s="31"/>
      <c r="D734" s="17"/>
      <c r="E734" s="32"/>
      <c r="F734" s="17"/>
      <c r="G734" s="18"/>
      <c r="H734" s="18"/>
      <c r="I734" s="17"/>
      <c r="J734" s="18"/>
      <c r="K734" s="18"/>
      <c r="L734" s="19"/>
      <c r="M734" s="20"/>
      <c r="N734" s="20"/>
      <c r="O734" s="19"/>
      <c r="P734" s="80"/>
      <c r="Q734" s="83"/>
      <c r="R734" s="87"/>
      <c r="S734" s="19"/>
      <c r="T734" s="19"/>
      <c r="U734" s="21"/>
      <c r="V734" s="22" t="str">
        <f t="shared" si="172"/>
        <v/>
      </c>
      <c r="W734" s="23"/>
      <c r="X734" s="74"/>
      <c r="Y734" s="33"/>
      <c r="Z734" s="15"/>
    </row>
    <row r="735" spans="1:26" x14ac:dyDescent="0.25">
      <c r="A735" s="21" t="str">
        <f>IF(C735="","",COUNTA($C$3:C735))</f>
        <v/>
      </c>
      <c r="B735" s="15" t="str">
        <f t="shared" si="171"/>
        <v/>
      </c>
      <c r="C735" s="31"/>
      <c r="D735" s="17"/>
      <c r="E735" s="32"/>
      <c r="F735" s="17"/>
      <c r="G735" s="18"/>
      <c r="H735" s="18"/>
      <c r="I735" s="17"/>
      <c r="J735" s="18"/>
      <c r="K735" s="18"/>
      <c r="L735" s="19"/>
      <c r="M735" s="20"/>
      <c r="N735" s="20"/>
      <c r="O735" s="19"/>
      <c r="P735" s="80"/>
      <c r="Q735" s="83"/>
      <c r="R735" s="87"/>
      <c r="S735" s="19"/>
      <c r="T735" s="19"/>
      <c r="U735" s="21"/>
      <c r="V735" s="22" t="str">
        <f t="shared" si="172"/>
        <v/>
      </c>
      <c r="W735" s="23"/>
      <c r="X735" s="74"/>
      <c r="Y735" s="33"/>
      <c r="Z735" s="15"/>
    </row>
    <row r="736" spans="1:26" x14ac:dyDescent="0.25">
      <c r="A736" s="21" t="str">
        <f>IF(C736="","",COUNTA($C$3:C736))</f>
        <v/>
      </c>
      <c r="B736" s="15" t="str">
        <f t="shared" si="171"/>
        <v/>
      </c>
      <c r="C736" s="31"/>
      <c r="D736" s="17"/>
      <c r="E736" s="32"/>
      <c r="F736" s="17"/>
      <c r="G736" s="18"/>
      <c r="H736" s="18"/>
      <c r="I736" s="17"/>
      <c r="J736" s="18"/>
      <c r="K736" s="18"/>
      <c r="L736" s="19"/>
      <c r="M736" s="20"/>
      <c r="N736" s="20"/>
      <c r="O736" s="19"/>
      <c r="P736" s="80"/>
      <c r="Q736" s="83"/>
      <c r="R736" s="87"/>
      <c r="S736" s="19"/>
      <c r="T736" s="19"/>
      <c r="U736" s="21"/>
      <c r="V736" s="22" t="str">
        <f t="shared" si="172"/>
        <v/>
      </c>
      <c r="W736" s="23"/>
      <c r="X736" s="74"/>
      <c r="Y736" s="33"/>
      <c r="Z736" s="15"/>
    </row>
    <row r="737" spans="1:26" x14ac:dyDescent="0.25">
      <c r="A737" s="21" t="str">
        <f>IF(C737="","",COUNTA($C$3:C737))</f>
        <v/>
      </c>
      <c r="B737" s="15" t="str">
        <f t="shared" si="171"/>
        <v/>
      </c>
      <c r="C737" s="31"/>
      <c r="D737" s="17"/>
      <c r="E737" s="32"/>
      <c r="F737" s="17"/>
      <c r="G737" s="18"/>
      <c r="H737" s="18"/>
      <c r="I737" s="17"/>
      <c r="J737" s="18"/>
      <c r="K737" s="18"/>
      <c r="L737" s="19"/>
      <c r="M737" s="20"/>
      <c r="N737" s="20"/>
      <c r="O737" s="19"/>
      <c r="P737" s="80"/>
      <c r="Q737" s="83"/>
      <c r="R737" s="87"/>
      <c r="S737" s="19"/>
      <c r="T737" s="19"/>
      <c r="U737" s="21"/>
      <c r="V737" s="22" t="str">
        <f t="shared" si="172"/>
        <v/>
      </c>
      <c r="W737" s="23"/>
      <c r="X737" s="74"/>
      <c r="Y737" s="33"/>
      <c r="Z737" s="15"/>
    </row>
    <row r="738" spans="1:26" x14ac:dyDescent="0.25">
      <c r="A738" s="21" t="str">
        <f>IF(C738="","",COUNTA($C$3:C738))</f>
        <v/>
      </c>
      <c r="B738" s="15" t="str">
        <f t="shared" si="171"/>
        <v/>
      </c>
      <c r="C738" s="31"/>
      <c r="D738" s="17"/>
      <c r="E738" s="32"/>
      <c r="F738" s="17"/>
      <c r="G738" s="18"/>
      <c r="H738" s="18"/>
      <c r="I738" s="17"/>
      <c r="J738" s="18"/>
      <c r="K738" s="18"/>
      <c r="L738" s="19"/>
      <c r="M738" s="20"/>
      <c r="N738" s="20"/>
      <c r="O738" s="19"/>
      <c r="P738" s="80"/>
      <c r="Q738" s="83"/>
      <c r="R738" s="87"/>
      <c r="S738" s="19"/>
      <c r="T738" s="19"/>
      <c r="U738" s="21"/>
      <c r="V738" s="22" t="str">
        <f t="shared" si="172"/>
        <v/>
      </c>
      <c r="W738" s="23"/>
      <c r="X738" s="74"/>
      <c r="Y738" s="33"/>
      <c r="Z738" s="15"/>
    </row>
    <row r="739" spans="1:26" x14ac:dyDescent="0.25">
      <c r="A739" s="21" t="str">
        <f>IF(C739="","",COUNTA($C$3:C739))</f>
        <v/>
      </c>
      <c r="B739" s="15" t="str">
        <f t="shared" si="171"/>
        <v/>
      </c>
      <c r="C739" s="31"/>
      <c r="D739" s="17"/>
      <c r="E739" s="32"/>
      <c r="F739" s="17"/>
      <c r="G739" s="18"/>
      <c r="H739" s="18"/>
      <c r="I739" s="17"/>
      <c r="J739" s="18"/>
      <c r="K739" s="18"/>
      <c r="L739" s="19"/>
      <c r="M739" s="20"/>
      <c r="N739" s="20"/>
      <c r="O739" s="19"/>
      <c r="P739" s="80"/>
      <c r="Q739" s="83"/>
      <c r="R739" s="87"/>
      <c r="S739" s="19"/>
      <c r="T739" s="19"/>
      <c r="U739" s="21"/>
      <c r="V739" s="22" t="str">
        <f t="shared" si="172"/>
        <v/>
      </c>
      <c r="W739" s="23"/>
      <c r="X739" s="74"/>
      <c r="Y739" s="33"/>
      <c r="Z739" s="15"/>
    </row>
    <row r="740" spans="1:26" x14ac:dyDescent="0.25">
      <c r="A740" s="21" t="str">
        <f>IF(C740="","",COUNTA($C$3:C740))</f>
        <v/>
      </c>
      <c r="B740" s="15" t="str">
        <f t="shared" si="171"/>
        <v/>
      </c>
      <c r="C740" s="31"/>
      <c r="D740" s="17"/>
      <c r="E740" s="32"/>
      <c r="F740" s="17"/>
      <c r="G740" s="18"/>
      <c r="H740" s="18"/>
      <c r="I740" s="17"/>
      <c r="J740" s="18"/>
      <c r="K740" s="18"/>
      <c r="L740" s="19"/>
      <c r="M740" s="20"/>
      <c r="N740" s="20"/>
      <c r="O740" s="19"/>
      <c r="P740" s="80"/>
      <c r="Q740" s="83"/>
      <c r="R740" s="87"/>
      <c r="S740" s="19"/>
      <c r="T740" s="19"/>
      <c r="U740" s="21"/>
      <c r="V740" s="22" t="str">
        <f t="shared" si="172"/>
        <v/>
      </c>
      <c r="W740" s="23"/>
      <c r="X740" s="74"/>
      <c r="Y740" s="33"/>
      <c r="Z740" s="15"/>
    </row>
    <row r="741" spans="1:26" x14ac:dyDescent="0.25">
      <c r="A741" s="21" t="str">
        <f>IF(C741="","",COUNTA($C$3:C741))</f>
        <v/>
      </c>
      <c r="B741" s="15" t="str">
        <f t="shared" si="171"/>
        <v/>
      </c>
      <c r="C741" s="31"/>
      <c r="D741" s="17"/>
      <c r="E741" s="32"/>
      <c r="F741" s="17"/>
      <c r="G741" s="18"/>
      <c r="H741" s="18"/>
      <c r="I741" s="17"/>
      <c r="J741" s="18"/>
      <c r="K741" s="18"/>
      <c r="L741" s="19"/>
      <c r="M741" s="20"/>
      <c r="N741" s="20"/>
      <c r="O741" s="19"/>
      <c r="P741" s="80"/>
      <c r="Q741" s="83"/>
      <c r="R741" s="87"/>
      <c r="S741" s="19"/>
      <c r="T741" s="19"/>
      <c r="U741" s="21"/>
      <c r="V741" s="22" t="str">
        <f t="shared" si="172"/>
        <v/>
      </c>
      <c r="W741" s="23"/>
      <c r="X741" s="74"/>
      <c r="Y741" s="33"/>
      <c r="Z741" s="15"/>
    </row>
    <row r="742" spans="1:26" x14ac:dyDescent="0.25">
      <c r="A742" s="21" t="str">
        <f>IF(C742="","",COUNTA($C$3:C742))</f>
        <v/>
      </c>
      <c r="B742" s="15" t="str">
        <f t="shared" si="171"/>
        <v/>
      </c>
      <c r="C742" s="31"/>
      <c r="D742" s="17"/>
      <c r="E742" s="32"/>
      <c r="F742" s="17"/>
      <c r="G742" s="18"/>
      <c r="H742" s="18"/>
      <c r="I742" s="17"/>
      <c r="J742" s="18"/>
      <c r="K742" s="18"/>
      <c r="L742" s="19"/>
      <c r="M742" s="20"/>
      <c r="N742" s="20"/>
      <c r="O742" s="19"/>
      <c r="P742" s="80"/>
      <c r="Q742" s="83"/>
      <c r="R742" s="87"/>
      <c r="S742" s="19"/>
      <c r="T742" s="19"/>
      <c r="U742" s="21"/>
      <c r="V742" s="22" t="str">
        <f t="shared" si="172"/>
        <v/>
      </c>
      <c r="W742" s="23"/>
      <c r="X742" s="74"/>
      <c r="Y742" s="33"/>
      <c r="Z742" s="15"/>
    </row>
    <row r="743" spans="1:26" x14ac:dyDescent="0.25">
      <c r="A743" s="21" t="str">
        <f>IF(C743="","",COUNTA($C$3:C743))</f>
        <v/>
      </c>
      <c r="B743" s="15" t="str">
        <f t="shared" si="171"/>
        <v/>
      </c>
      <c r="C743" s="31"/>
      <c r="D743" s="17"/>
      <c r="E743" s="32"/>
      <c r="F743" s="17"/>
      <c r="G743" s="18"/>
      <c r="H743" s="18"/>
      <c r="I743" s="17"/>
      <c r="J743" s="18"/>
      <c r="K743" s="18"/>
      <c r="L743" s="19"/>
      <c r="M743" s="20"/>
      <c r="N743" s="20"/>
      <c r="O743" s="19"/>
      <c r="P743" s="80"/>
      <c r="Q743" s="83"/>
      <c r="R743" s="87"/>
      <c r="S743" s="19"/>
      <c r="T743" s="19"/>
      <c r="U743" s="21"/>
      <c r="V743" s="22" t="str">
        <f t="shared" si="172"/>
        <v/>
      </c>
      <c r="W743" s="23"/>
      <c r="X743" s="74"/>
      <c r="Y743" s="33"/>
      <c r="Z743" s="15"/>
    </row>
    <row r="744" spans="1:26" x14ac:dyDescent="0.25">
      <c r="A744" s="21" t="str">
        <f>IF(C744="","",COUNTA($C$3:C744))</f>
        <v/>
      </c>
      <c r="B744" s="15" t="str">
        <f t="shared" si="171"/>
        <v/>
      </c>
      <c r="C744" s="31"/>
      <c r="D744" s="17"/>
      <c r="E744" s="32"/>
      <c r="F744" s="17"/>
      <c r="G744" s="18"/>
      <c r="H744" s="18"/>
      <c r="I744" s="17"/>
      <c r="J744" s="18"/>
      <c r="K744" s="18"/>
      <c r="L744" s="19"/>
      <c r="M744" s="20"/>
      <c r="N744" s="20"/>
      <c r="O744" s="19"/>
      <c r="P744" s="80"/>
      <c r="Q744" s="83"/>
      <c r="R744" s="87"/>
      <c r="S744" s="19"/>
      <c r="T744" s="19"/>
      <c r="U744" s="21"/>
      <c r="V744" s="22" t="str">
        <f t="shared" si="172"/>
        <v/>
      </c>
      <c r="W744" s="23"/>
      <c r="X744" s="74"/>
      <c r="Y744" s="33"/>
      <c r="Z744" s="15"/>
    </row>
    <row r="745" spans="1:26" x14ac:dyDescent="0.25">
      <c r="A745" s="21" t="str">
        <f>IF(C745="","",COUNTA($C$3:C745))</f>
        <v/>
      </c>
      <c r="B745" s="15" t="str">
        <f t="shared" si="171"/>
        <v/>
      </c>
      <c r="C745" s="31"/>
      <c r="D745" s="17"/>
      <c r="E745" s="32"/>
      <c r="F745" s="17"/>
      <c r="G745" s="18"/>
      <c r="H745" s="18"/>
      <c r="I745" s="17"/>
      <c r="J745" s="18"/>
      <c r="K745" s="18"/>
      <c r="L745" s="19"/>
      <c r="M745" s="20"/>
      <c r="N745" s="20"/>
      <c r="O745" s="19"/>
      <c r="P745" s="80"/>
      <c r="Q745" s="83"/>
      <c r="R745" s="87"/>
      <c r="S745" s="19"/>
      <c r="T745" s="19"/>
      <c r="U745" s="21"/>
      <c r="V745" s="22" t="str">
        <f t="shared" si="172"/>
        <v/>
      </c>
      <c r="W745" s="23"/>
      <c r="X745" s="74"/>
      <c r="Y745" s="33"/>
      <c r="Z745" s="15"/>
    </row>
    <row r="746" spans="1:26" x14ac:dyDescent="0.25">
      <c r="A746" s="21" t="str">
        <f>IF(C746="","",COUNTA($C$3:C746))</f>
        <v/>
      </c>
      <c r="B746" s="15" t="str">
        <f t="shared" si="171"/>
        <v/>
      </c>
      <c r="C746" s="31"/>
      <c r="D746" s="17"/>
      <c r="E746" s="32"/>
      <c r="F746" s="17"/>
      <c r="G746" s="18"/>
      <c r="H746" s="18"/>
      <c r="I746" s="17"/>
      <c r="J746" s="18"/>
      <c r="K746" s="18"/>
      <c r="L746" s="19"/>
      <c r="M746" s="20"/>
      <c r="N746" s="20"/>
      <c r="O746" s="19"/>
      <c r="P746" s="80"/>
      <c r="Q746" s="83"/>
      <c r="R746" s="87"/>
      <c r="S746" s="19"/>
      <c r="T746" s="19"/>
      <c r="U746" s="21"/>
      <c r="V746" s="22" t="str">
        <f t="shared" si="172"/>
        <v/>
      </c>
      <c r="W746" s="23"/>
      <c r="X746" s="74"/>
      <c r="Y746" s="33"/>
      <c r="Z746" s="15"/>
    </row>
    <row r="747" spans="1:26" x14ac:dyDescent="0.25">
      <c r="A747" s="21" t="str">
        <f>IF(C747="","",COUNTA($C$3:C747))</f>
        <v/>
      </c>
      <c r="B747" s="15" t="str">
        <f t="shared" si="171"/>
        <v/>
      </c>
      <c r="C747" s="31"/>
      <c r="D747" s="17"/>
      <c r="E747" s="32"/>
      <c r="F747" s="17"/>
      <c r="G747" s="18"/>
      <c r="H747" s="18"/>
      <c r="I747" s="17"/>
      <c r="J747" s="18"/>
      <c r="K747" s="18"/>
      <c r="L747" s="19"/>
      <c r="M747" s="20"/>
      <c r="N747" s="20"/>
      <c r="O747" s="19"/>
      <c r="P747" s="80"/>
      <c r="Q747" s="83"/>
      <c r="R747" s="87"/>
      <c r="S747" s="19"/>
      <c r="T747" s="19"/>
      <c r="U747" s="21"/>
      <c r="V747" s="22" t="str">
        <f t="shared" si="172"/>
        <v/>
      </c>
      <c r="W747" s="23"/>
      <c r="X747" s="74"/>
      <c r="Y747" s="33"/>
      <c r="Z747" s="15"/>
    </row>
    <row r="748" spans="1:26" x14ac:dyDescent="0.25">
      <c r="A748" s="21" t="str">
        <f>IF(C748="","",COUNTA($C$3:C748))</f>
        <v/>
      </c>
      <c r="B748" s="15" t="str">
        <f t="shared" si="171"/>
        <v/>
      </c>
      <c r="C748" s="31"/>
      <c r="D748" s="17"/>
      <c r="E748" s="32"/>
      <c r="F748" s="17"/>
      <c r="G748" s="18"/>
      <c r="H748" s="18"/>
      <c r="I748" s="17"/>
      <c r="J748" s="18"/>
      <c r="K748" s="18"/>
      <c r="L748" s="19"/>
      <c r="M748" s="20"/>
      <c r="N748" s="20"/>
      <c r="O748" s="19"/>
      <c r="P748" s="80"/>
      <c r="Q748" s="83"/>
      <c r="R748" s="87"/>
      <c r="S748" s="19"/>
      <c r="T748" s="19"/>
      <c r="U748" s="21"/>
      <c r="V748" s="22" t="str">
        <f t="shared" si="172"/>
        <v/>
      </c>
      <c r="W748" s="23"/>
      <c r="X748" s="74"/>
      <c r="Y748" s="33"/>
      <c r="Z748" s="15"/>
    </row>
    <row r="749" spans="1:26" x14ac:dyDescent="0.25">
      <c r="A749" s="21" t="str">
        <f>IF(C749="","",COUNTA($C$3:C749))</f>
        <v/>
      </c>
      <c r="B749" s="15" t="str">
        <f t="shared" si="171"/>
        <v/>
      </c>
      <c r="C749" s="31"/>
      <c r="D749" s="17"/>
      <c r="E749" s="32"/>
      <c r="F749" s="17"/>
      <c r="G749" s="18"/>
      <c r="H749" s="18"/>
      <c r="I749" s="17"/>
      <c r="J749" s="18"/>
      <c r="K749" s="18"/>
      <c r="L749" s="19"/>
      <c r="M749" s="20"/>
      <c r="N749" s="20"/>
      <c r="O749" s="19"/>
      <c r="P749" s="80"/>
      <c r="Q749" s="83"/>
      <c r="R749" s="87"/>
      <c r="S749" s="19"/>
      <c r="T749" s="19"/>
      <c r="U749" s="21"/>
      <c r="V749" s="22" t="str">
        <f t="shared" si="172"/>
        <v/>
      </c>
      <c r="W749" s="23"/>
      <c r="X749" s="74"/>
      <c r="Y749" s="33"/>
      <c r="Z749" s="15"/>
    </row>
    <row r="750" spans="1:26" x14ac:dyDescent="0.25">
      <c r="A750" s="21" t="str">
        <f>IF(C750="","",COUNTA($C$3:C750))</f>
        <v/>
      </c>
      <c r="B750" s="15" t="str">
        <f t="shared" si="171"/>
        <v/>
      </c>
      <c r="C750" s="31"/>
      <c r="D750" s="17"/>
      <c r="E750" s="32"/>
      <c r="F750" s="17"/>
      <c r="G750" s="18"/>
      <c r="H750" s="18"/>
      <c r="I750" s="17"/>
      <c r="J750" s="18"/>
      <c r="K750" s="18"/>
      <c r="L750" s="19"/>
      <c r="M750" s="20"/>
      <c r="N750" s="20"/>
      <c r="O750" s="19"/>
      <c r="P750" s="80"/>
      <c r="Q750" s="83"/>
      <c r="R750" s="87"/>
      <c r="S750" s="19"/>
      <c r="T750" s="19"/>
      <c r="U750" s="21"/>
      <c r="V750" s="22" t="str">
        <f t="shared" si="172"/>
        <v/>
      </c>
      <c r="W750" s="23"/>
      <c r="X750" s="74"/>
      <c r="Y750" s="33"/>
      <c r="Z750" s="15"/>
    </row>
    <row r="751" spans="1:26" x14ac:dyDescent="0.25">
      <c r="A751" s="21" t="str">
        <f>IF(C751="","",COUNTA($C$3:C751))</f>
        <v/>
      </c>
      <c r="B751" s="15" t="str">
        <f t="shared" si="171"/>
        <v/>
      </c>
      <c r="C751" s="31"/>
      <c r="D751" s="17"/>
      <c r="E751" s="32"/>
      <c r="F751" s="17"/>
      <c r="G751" s="18"/>
      <c r="H751" s="18"/>
      <c r="I751" s="17"/>
      <c r="J751" s="18"/>
      <c r="K751" s="18"/>
      <c r="L751" s="19"/>
      <c r="M751" s="20"/>
      <c r="N751" s="20"/>
      <c r="O751" s="19"/>
      <c r="P751" s="80"/>
      <c r="Q751" s="83"/>
      <c r="R751" s="87"/>
      <c r="S751" s="19"/>
      <c r="T751" s="19"/>
      <c r="U751" s="21"/>
      <c r="V751" s="22" t="str">
        <f t="shared" si="172"/>
        <v/>
      </c>
      <c r="W751" s="23"/>
      <c r="X751" s="74"/>
      <c r="Y751" s="33"/>
      <c r="Z751" s="15"/>
    </row>
    <row r="752" spans="1:26" x14ac:dyDescent="0.25">
      <c r="A752" s="21" t="str">
        <f>IF(C752="","",COUNTA($C$3:C752))</f>
        <v/>
      </c>
      <c r="B752" s="15" t="str">
        <f t="shared" si="171"/>
        <v/>
      </c>
      <c r="C752" s="31"/>
      <c r="D752" s="17"/>
      <c r="E752" s="32"/>
      <c r="F752" s="17"/>
      <c r="G752" s="18"/>
      <c r="H752" s="18"/>
      <c r="I752" s="17"/>
      <c r="J752" s="18"/>
      <c r="K752" s="18"/>
      <c r="L752" s="19"/>
      <c r="M752" s="20"/>
      <c r="N752" s="20"/>
      <c r="O752" s="19"/>
      <c r="P752" s="80"/>
      <c r="Q752" s="83"/>
      <c r="R752" s="87"/>
      <c r="S752" s="19"/>
      <c r="T752" s="19"/>
      <c r="U752" s="21"/>
      <c r="V752" s="22" t="str">
        <f t="shared" si="172"/>
        <v/>
      </c>
      <c r="W752" s="23"/>
      <c r="X752" s="74"/>
      <c r="Y752" s="33"/>
      <c r="Z752" s="15"/>
    </row>
    <row r="753" spans="1:26" x14ac:dyDescent="0.25">
      <c r="A753" s="21" t="str">
        <f>IF(C753="","",COUNTA($C$3:C753))</f>
        <v/>
      </c>
      <c r="B753" s="15" t="str">
        <f t="shared" si="171"/>
        <v/>
      </c>
      <c r="C753" s="31"/>
      <c r="D753" s="17"/>
      <c r="E753" s="32"/>
      <c r="F753" s="17"/>
      <c r="G753" s="18"/>
      <c r="H753" s="18"/>
      <c r="I753" s="17"/>
      <c r="J753" s="18"/>
      <c r="K753" s="18"/>
      <c r="L753" s="19"/>
      <c r="M753" s="20"/>
      <c r="N753" s="20"/>
      <c r="O753" s="19"/>
      <c r="P753" s="80"/>
      <c r="Q753" s="83"/>
      <c r="R753" s="87"/>
      <c r="S753" s="19"/>
      <c r="T753" s="19"/>
      <c r="U753" s="21"/>
      <c r="V753" s="22" t="str">
        <f t="shared" si="172"/>
        <v/>
      </c>
      <c r="W753" s="23"/>
      <c r="X753" s="74"/>
      <c r="Y753" s="33"/>
      <c r="Z753" s="15"/>
    </row>
    <row r="754" spans="1:26" x14ac:dyDescent="0.25">
      <c r="A754" s="21" t="str">
        <f>IF(C754="","",COUNTA($C$3:C754))</f>
        <v/>
      </c>
      <c r="B754" s="15" t="str">
        <f t="shared" si="171"/>
        <v/>
      </c>
      <c r="C754" s="31"/>
      <c r="D754" s="17"/>
      <c r="E754" s="32"/>
      <c r="F754" s="17"/>
      <c r="G754" s="18"/>
      <c r="H754" s="18"/>
      <c r="I754" s="17"/>
      <c r="J754" s="18"/>
      <c r="K754" s="18"/>
      <c r="L754" s="19"/>
      <c r="M754" s="20"/>
      <c r="N754" s="20"/>
      <c r="O754" s="19"/>
      <c r="P754" s="80"/>
      <c r="Q754" s="83"/>
      <c r="R754" s="87"/>
      <c r="S754" s="19"/>
      <c r="T754" s="19"/>
      <c r="U754" s="21"/>
      <c r="V754" s="22" t="str">
        <f t="shared" si="172"/>
        <v/>
      </c>
      <c r="W754" s="23"/>
      <c r="X754" s="74"/>
      <c r="Y754" s="33"/>
      <c r="Z754" s="15"/>
    </row>
    <row r="755" spans="1:26" x14ac:dyDescent="0.25">
      <c r="A755" s="21" t="str">
        <f>IF(C755="","",COUNTA($C$3:C755))</f>
        <v/>
      </c>
      <c r="B755" s="15" t="str">
        <f t="shared" si="171"/>
        <v/>
      </c>
      <c r="C755" s="31"/>
      <c r="D755" s="17"/>
      <c r="E755" s="32"/>
      <c r="F755" s="17"/>
      <c r="G755" s="18"/>
      <c r="H755" s="18"/>
      <c r="I755" s="17"/>
      <c r="J755" s="18"/>
      <c r="K755" s="18"/>
      <c r="L755" s="19"/>
      <c r="M755" s="20"/>
      <c r="N755" s="20"/>
      <c r="O755" s="19"/>
      <c r="P755" s="80"/>
      <c r="Q755" s="83"/>
      <c r="R755" s="87"/>
      <c r="S755" s="19"/>
      <c r="T755" s="19"/>
      <c r="U755" s="21"/>
      <c r="V755" s="22" t="str">
        <f t="shared" si="172"/>
        <v/>
      </c>
      <c r="W755" s="23"/>
      <c r="X755" s="74"/>
      <c r="Y755" s="33"/>
      <c r="Z755" s="15"/>
    </row>
    <row r="756" spans="1:26" x14ac:dyDescent="0.25">
      <c r="A756" s="21" t="str">
        <f>IF(C756="","",COUNTA($C$3:C756))</f>
        <v/>
      </c>
      <c r="B756" s="15" t="str">
        <f t="shared" si="171"/>
        <v/>
      </c>
      <c r="C756" s="31"/>
      <c r="D756" s="17"/>
      <c r="E756" s="32"/>
      <c r="F756" s="17"/>
      <c r="G756" s="18"/>
      <c r="H756" s="18"/>
      <c r="I756" s="17"/>
      <c r="J756" s="18"/>
      <c r="K756" s="18"/>
      <c r="L756" s="19"/>
      <c r="M756" s="20"/>
      <c r="N756" s="20"/>
      <c r="O756" s="19"/>
      <c r="P756" s="80"/>
      <c r="Q756" s="83"/>
      <c r="R756" s="87"/>
      <c r="S756" s="19"/>
      <c r="T756" s="19"/>
      <c r="U756" s="21"/>
      <c r="V756" s="22" t="str">
        <f t="shared" si="172"/>
        <v/>
      </c>
      <c r="W756" s="23"/>
      <c r="X756" s="74"/>
      <c r="Y756" s="33"/>
      <c r="Z756" s="15"/>
    </row>
    <row r="757" spans="1:26" x14ac:dyDescent="0.25">
      <c r="A757" s="21" t="str">
        <f>IF(C757="","",COUNTA($C$3:C757))</f>
        <v/>
      </c>
      <c r="B757" s="15" t="str">
        <f t="shared" si="171"/>
        <v/>
      </c>
      <c r="C757" s="31"/>
      <c r="D757" s="17"/>
      <c r="E757" s="32"/>
      <c r="F757" s="17"/>
      <c r="G757" s="18"/>
      <c r="H757" s="18"/>
      <c r="I757" s="17"/>
      <c r="J757" s="18"/>
      <c r="K757" s="18"/>
      <c r="L757" s="19"/>
      <c r="M757" s="20"/>
      <c r="N757" s="20"/>
      <c r="O757" s="19"/>
      <c r="P757" s="80"/>
      <c r="Q757" s="83"/>
      <c r="R757" s="87"/>
      <c r="S757" s="19"/>
      <c r="T757" s="19"/>
      <c r="U757" s="21"/>
      <c r="V757" s="22" t="str">
        <f t="shared" si="172"/>
        <v/>
      </c>
      <c r="W757" s="23"/>
      <c r="X757" s="74"/>
      <c r="Y757" s="33"/>
      <c r="Z757" s="15"/>
    </row>
    <row r="758" spans="1:26" x14ac:dyDescent="0.25">
      <c r="A758" s="21" t="str">
        <f>IF(C758="","",COUNTA($C$3:C758))</f>
        <v/>
      </c>
      <c r="B758" s="15" t="str">
        <f t="shared" si="171"/>
        <v/>
      </c>
      <c r="C758" s="31"/>
      <c r="D758" s="17"/>
      <c r="E758" s="32"/>
      <c r="F758" s="17"/>
      <c r="G758" s="18"/>
      <c r="H758" s="18"/>
      <c r="I758" s="17"/>
      <c r="J758" s="18"/>
      <c r="K758" s="18"/>
      <c r="L758" s="19"/>
      <c r="M758" s="20"/>
      <c r="N758" s="20"/>
      <c r="O758" s="19"/>
      <c r="P758" s="80"/>
      <c r="Q758" s="83"/>
      <c r="R758" s="87"/>
      <c r="S758" s="19"/>
      <c r="T758" s="19"/>
      <c r="U758" s="21"/>
      <c r="V758" s="22" t="str">
        <f t="shared" si="172"/>
        <v/>
      </c>
      <c r="W758" s="23"/>
      <c r="X758" s="74"/>
      <c r="Y758" s="33"/>
      <c r="Z758" s="15"/>
    </row>
    <row r="759" spans="1:26" x14ac:dyDescent="0.25">
      <c r="A759" s="21" t="str">
        <f>IF(C759="","",COUNTA($C$3:C759))</f>
        <v/>
      </c>
      <c r="B759" s="15" t="str">
        <f t="shared" si="171"/>
        <v/>
      </c>
      <c r="C759" s="31"/>
      <c r="D759" s="17"/>
      <c r="E759" s="32"/>
      <c r="F759" s="17"/>
      <c r="G759" s="18"/>
      <c r="H759" s="18"/>
      <c r="I759" s="17"/>
      <c r="J759" s="18"/>
      <c r="K759" s="18"/>
      <c r="L759" s="19"/>
      <c r="M759" s="20"/>
      <c r="N759" s="20"/>
      <c r="O759" s="19"/>
      <c r="P759" s="80"/>
      <c r="Q759" s="83"/>
      <c r="R759" s="87"/>
      <c r="S759" s="19"/>
      <c r="T759" s="19"/>
      <c r="U759" s="21"/>
      <c r="V759" s="22" t="str">
        <f t="shared" si="172"/>
        <v/>
      </c>
      <c r="W759" s="23"/>
      <c r="X759" s="74"/>
      <c r="Y759" s="33"/>
      <c r="Z759" s="15"/>
    </row>
    <row r="760" spans="1:26" x14ac:dyDescent="0.25">
      <c r="A760" s="21" t="str">
        <f>IF(C760="","",COUNTA($C$3:C760))</f>
        <v/>
      </c>
      <c r="B760" s="15" t="str">
        <f t="shared" si="171"/>
        <v/>
      </c>
      <c r="C760" s="31"/>
      <c r="D760" s="17"/>
      <c r="E760" s="32"/>
      <c r="F760" s="17"/>
      <c r="G760" s="18"/>
      <c r="H760" s="18"/>
      <c r="I760" s="17"/>
      <c r="J760" s="18"/>
      <c r="K760" s="18"/>
      <c r="L760" s="19"/>
      <c r="M760" s="20"/>
      <c r="N760" s="20"/>
      <c r="O760" s="19"/>
      <c r="P760" s="80"/>
      <c r="Q760" s="83"/>
      <c r="R760" s="87"/>
      <c r="S760" s="19"/>
      <c r="T760" s="19"/>
      <c r="U760" s="21"/>
      <c r="V760" s="22" t="str">
        <f t="shared" si="172"/>
        <v/>
      </c>
      <c r="W760" s="23"/>
      <c r="X760" s="74"/>
      <c r="Y760" s="33"/>
      <c r="Z760" s="15"/>
    </row>
    <row r="761" spans="1:26" x14ac:dyDescent="0.25">
      <c r="A761" s="21" t="str">
        <f>IF(C761="","",COUNTA($C$3:C761))</f>
        <v/>
      </c>
      <c r="B761" s="15" t="str">
        <f t="shared" si="171"/>
        <v/>
      </c>
      <c r="C761" s="31"/>
      <c r="D761" s="17"/>
      <c r="E761" s="32"/>
      <c r="F761" s="17"/>
      <c r="G761" s="18"/>
      <c r="H761" s="18"/>
      <c r="I761" s="17"/>
      <c r="J761" s="18"/>
      <c r="K761" s="18"/>
      <c r="L761" s="19"/>
      <c r="M761" s="20"/>
      <c r="N761" s="20"/>
      <c r="O761" s="19"/>
      <c r="P761" s="80"/>
      <c r="Q761" s="83"/>
      <c r="R761" s="87"/>
      <c r="S761" s="19"/>
      <c r="T761" s="19"/>
      <c r="U761" s="21"/>
      <c r="V761" s="22" t="str">
        <f t="shared" si="172"/>
        <v/>
      </c>
      <c r="W761" s="23"/>
      <c r="X761" s="74"/>
      <c r="Y761" s="33"/>
      <c r="Z761" s="15"/>
    </row>
    <row r="762" spans="1:26" x14ac:dyDescent="0.25">
      <c r="A762" s="21" t="str">
        <f>IF(C762="","",COUNTA($C$3:C762))</f>
        <v/>
      </c>
      <c r="B762" s="15" t="str">
        <f t="shared" si="171"/>
        <v/>
      </c>
      <c r="C762" s="31"/>
      <c r="D762" s="17"/>
      <c r="E762" s="32"/>
      <c r="F762" s="17"/>
      <c r="G762" s="18"/>
      <c r="H762" s="18"/>
      <c r="I762" s="17"/>
      <c r="J762" s="18"/>
      <c r="K762" s="18"/>
      <c r="L762" s="19"/>
      <c r="M762" s="20"/>
      <c r="N762" s="20"/>
      <c r="O762" s="19"/>
      <c r="P762" s="80"/>
      <c r="Q762" s="83"/>
      <c r="R762" s="87"/>
      <c r="S762" s="19"/>
      <c r="T762" s="19"/>
      <c r="U762" s="21"/>
      <c r="V762" s="22" t="str">
        <f t="shared" si="172"/>
        <v/>
      </c>
      <c r="W762" s="23"/>
      <c r="X762" s="74"/>
      <c r="Y762" s="33"/>
      <c r="Z762" s="15"/>
    </row>
    <row r="763" spans="1:26" x14ac:dyDescent="0.25">
      <c r="A763" s="21" t="str">
        <f>IF(C763="","",COUNTA($C$3:C763))</f>
        <v/>
      </c>
      <c r="B763" s="15" t="str">
        <f t="shared" si="171"/>
        <v/>
      </c>
      <c r="C763" s="31"/>
      <c r="D763" s="17"/>
      <c r="E763" s="32"/>
      <c r="F763" s="17"/>
      <c r="G763" s="18"/>
      <c r="H763" s="18"/>
      <c r="I763" s="17"/>
      <c r="J763" s="18"/>
      <c r="K763" s="18"/>
      <c r="L763" s="19"/>
      <c r="M763" s="20"/>
      <c r="N763" s="20"/>
      <c r="O763" s="19"/>
      <c r="P763" s="80"/>
      <c r="Q763" s="83"/>
      <c r="R763" s="87"/>
      <c r="S763" s="19"/>
      <c r="T763" s="19"/>
      <c r="U763" s="21"/>
      <c r="V763" s="22" t="str">
        <f t="shared" si="172"/>
        <v/>
      </c>
      <c r="W763" s="23"/>
      <c r="X763" s="74"/>
      <c r="Y763" s="33"/>
      <c r="Z763" s="15"/>
    </row>
    <row r="764" spans="1:26" x14ac:dyDescent="0.25">
      <c r="A764" s="21" t="str">
        <f>IF(C764="","",COUNTA($C$3:C764))</f>
        <v/>
      </c>
      <c r="B764" s="15" t="str">
        <f t="shared" si="171"/>
        <v/>
      </c>
      <c r="C764" s="31"/>
      <c r="D764" s="17"/>
      <c r="E764" s="32"/>
      <c r="F764" s="17"/>
      <c r="G764" s="18"/>
      <c r="H764" s="18"/>
      <c r="I764" s="17"/>
      <c r="J764" s="18"/>
      <c r="K764" s="18"/>
      <c r="L764" s="19"/>
      <c r="M764" s="20"/>
      <c r="N764" s="20"/>
      <c r="O764" s="19"/>
      <c r="P764" s="80"/>
      <c r="Q764" s="83"/>
      <c r="R764" s="87"/>
      <c r="S764" s="19"/>
      <c r="T764" s="19"/>
      <c r="U764" s="21"/>
      <c r="V764" s="22" t="str">
        <f t="shared" si="172"/>
        <v/>
      </c>
      <c r="W764" s="23"/>
      <c r="X764" s="74"/>
      <c r="Y764" s="33"/>
      <c r="Z764" s="15"/>
    </row>
    <row r="765" spans="1:26" x14ac:dyDescent="0.25">
      <c r="A765" s="21" t="str">
        <f>IF(C765="","",COUNTA($C$3:C765))</f>
        <v/>
      </c>
      <c r="B765" s="15" t="str">
        <f t="shared" si="171"/>
        <v/>
      </c>
      <c r="C765" s="31"/>
      <c r="D765" s="17"/>
      <c r="E765" s="32"/>
      <c r="F765" s="17"/>
      <c r="G765" s="18"/>
      <c r="H765" s="18"/>
      <c r="I765" s="17"/>
      <c r="J765" s="18"/>
      <c r="K765" s="18"/>
      <c r="L765" s="19"/>
      <c r="M765" s="20"/>
      <c r="N765" s="20"/>
      <c r="O765" s="19"/>
      <c r="P765" s="80"/>
      <c r="Q765" s="83"/>
      <c r="R765" s="87"/>
      <c r="S765" s="19"/>
      <c r="T765" s="19"/>
      <c r="U765" s="21"/>
      <c r="V765" s="22" t="str">
        <f t="shared" si="172"/>
        <v/>
      </c>
      <c r="W765" s="23"/>
      <c r="X765" s="74"/>
      <c r="Y765" s="33"/>
      <c r="Z765" s="15"/>
    </row>
    <row r="766" spans="1:26" x14ac:dyDescent="0.25">
      <c r="A766" s="21" t="str">
        <f>IF(C766="","",COUNTA($C$3:C766))</f>
        <v/>
      </c>
      <c r="B766" s="15" t="str">
        <f t="shared" si="171"/>
        <v/>
      </c>
      <c r="C766" s="31"/>
      <c r="D766" s="17"/>
      <c r="E766" s="32"/>
      <c r="F766" s="17"/>
      <c r="G766" s="18"/>
      <c r="H766" s="18"/>
      <c r="I766" s="17"/>
      <c r="J766" s="18"/>
      <c r="K766" s="18"/>
      <c r="L766" s="19"/>
      <c r="M766" s="20"/>
      <c r="N766" s="20"/>
      <c r="O766" s="19"/>
      <c r="P766" s="80"/>
      <c r="Q766" s="83"/>
      <c r="R766" s="87"/>
      <c r="S766" s="19"/>
      <c r="T766" s="19"/>
      <c r="U766" s="21"/>
      <c r="V766" s="22" t="str">
        <f t="shared" si="172"/>
        <v/>
      </c>
      <c r="W766" s="23"/>
      <c r="X766" s="74"/>
      <c r="Y766" s="33"/>
      <c r="Z766" s="15"/>
    </row>
    <row r="767" spans="1:26" x14ac:dyDescent="0.25">
      <c r="A767" s="21" t="str">
        <f>IF(C767="","",COUNTA($C$3:C767))</f>
        <v/>
      </c>
      <c r="B767" s="15" t="str">
        <f t="shared" si="171"/>
        <v/>
      </c>
      <c r="C767" s="31"/>
      <c r="D767" s="17"/>
      <c r="E767" s="32"/>
      <c r="F767" s="17"/>
      <c r="G767" s="18"/>
      <c r="H767" s="18"/>
      <c r="I767" s="17"/>
      <c r="J767" s="18"/>
      <c r="K767" s="18"/>
      <c r="L767" s="19"/>
      <c r="M767" s="20"/>
      <c r="N767" s="20"/>
      <c r="O767" s="19"/>
      <c r="P767" s="80"/>
      <c r="Q767" s="83"/>
      <c r="R767" s="87"/>
      <c r="S767" s="19"/>
      <c r="T767" s="19"/>
      <c r="U767" s="21"/>
      <c r="V767" s="22" t="str">
        <f t="shared" si="172"/>
        <v/>
      </c>
      <c r="W767" s="23"/>
      <c r="X767" s="74"/>
      <c r="Y767" s="33"/>
      <c r="Z767" s="15"/>
    </row>
    <row r="768" spans="1:26" x14ac:dyDescent="0.25">
      <c r="A768" s="21" t="str">
        <f>IF(C768="","",COUNTA($C$3:C768))</f>
        <v/>
      </c>
      <c r="B768" s="15" t="str">
        <f t="shared" si="171"/>
        <v/>
      </c>
      <c r="C768" s="31"/>
      <c r="D768" s="17"/>
      <c r="E768" s="32"/>
      <c r="F768" s="17"/>
      <c r="G768" s="18"/>
      <c r="H768" s="18"/>
      <c r="I768" s="17"/>
      <c r="J768" s="18"/>
      <c r="K768" s="18"/>
      <c r="L768" s="19"/>
      <c r="M768" s="20"/>
      <c r="N768" s="20"/>
      <c r="O768" s="19"/>
      <c r="P768" s="80"/>
      <c r="Q768" s="83"/>
      <c r="R768" s="87"/>
      <c r="S768" s="19"/>
      <c r="T768" s="19"/>
      <c r="U768" s="21"/>
      <c r="V768" s="22" t="str">
        <f t="shared" si="172"/>
        <v/>
      </c>
      <c r="W768" s="23"/>
      <c r="X768" s="74"/>
      <c r="Y768" s="33"/>
      <c r="Z768" s="15"/>
    </row>
    <row r="769" spans="1:26" x14ac:dyDescent="0.25">
      <c r="A769" s="21" t="str">
        <f>IF(C769="","",COUNTA($C$3:C769))</f>
        <v/>
      </c>
      <c r="B769" s="15" t="str">
        <f t="shared" ref="B769:B777" si="173">IF(C769="","",TEXT(C769,"mmmm"))</f>
        <v/>
      </c>
      <c r="C769" s="31"/>
      <c r="D769" s="17"/>
      <c r="E769" s="32"/>
      <c r="F769" s="17"/>
      <c r="G769" s="18"/>
      <c r="H769" s="18"/>
      <c r="I769" s="17"/>
      <c r="J769" s="18"/>
      <c r="K769" s="18"/>
      <c r="L769" s="19"/>
      <c r="M769" s="20"/>
      <c r="N769" s="20"/>
      <c r="O769" s="19"/>
      <c r="P769" s="80"/>
      <c r="Q769" s="83"/>
      <c r="R769" s="87"/>
      <c r="S769" s="19"/>
      <c r="T769" s="19"/>
      <c r="U769" s="21"/>
      <c r="V769" s="22" t="str">
        <f t="shared" si="172"/>
        <v/>
      </c>
      <c r="W769" s="23"/>
      <c r="X769" s="74"/>
      <c r="Y769" s="33"/>
      <c r="Z769" s="15"/>
    </row>
    <row r="770" spans="1:26" x14ac:dyDescent="0.25">
      <c r="A770" s="21" t="str">
        <f>IF(C770="","",COUNTA($C$3:C770))</f>
        <v/>
      </c>
      <c r="B770" s="15" t="str">
        <f t="shared" si="173"/>
        <v/>
      </c>
      <c r="C770" s="31"/>
      <c r="D770" s="17"/>
      <c r="E770" s="32"/>
      <c r="F770" s="17"/>
      <c r="G770" s="18"/>
      <c r="H770" s="18"/>
      <c r="I770" s="17"/>
      <c r="J770" s="18"/>
      <c r="K770" s="18"/>
      <c r="L770" s="19"/>
      <c r="M770" s="20"/>
      <c r="N770" s="20"/>
      <c r="O770" s="19"/>
      <c r="P770" s="80"/>
      <c r="Q770" s="83"/>
      <c r="R770" s="87"/>
      <c r="S770" s="19"/>
      <c r="T770" s="19"/>
      <c r="U770" s="21"/>
      <c r="V770" s="22" t="str">
        <f t="shared" si="172"/>
        <v/>
      </c>
      <c r="W770" s="23"/>
      <c r="X770" s="74"/>
      <c r="Y770" s="33"/>
      <c r="Z770" s="15"/>
    </row>
    <row r="771" spans="1:26" x14ac:dyDescent="0.25">
      <c r="A771" s="21" t="str">
        <f>IF(C771="","",COUNTA($C$3:C771))</f>
        <v/>
      </c>
      <c r="B771" s="15" t="str">
        <f t="shared" si="173"/>
        <v/>
      </c>
      <c r="C771" s="31"/>
      <c r="D771" s="17"/>
      <c r="E771" s="32"/>
      <c r="F771" s="17"/>
      <c r="G771" s="18"/>
      <c r="H771" s="18"/>
      <c r="I771" s="17"/>
      <c r="J771" s="18"/>
      <c r="K771" s="18"/>
      <c r="L771" s="19"/>
      <c r="M771" s="20"/>
      <c r="N771" s="20"/>
      <c r="O771" s="19"/>
      <c r="P771" s="80"/>
      <c r="Q771" s="83"/>
      <c r="R771" s="87"/>
      <c r="S771" s="19"/>
      <c r="T771" s="19"/>
      <c r="U771" s="21"/>
      <c r="V771" s="22" t="str">
        <f t="shared" ref="V771:V834" si="174">IF(U771="","",(U771/T771))</f>
        <v/>
      </c>
      <c r="W771" s="23"/>
      <c r="X771" s="74"/>
      <c r="Y771" s="33"/>
      <c r="Z771" s="15"/>
    </row>
    <row r="772" spans="1:26" x14ac:dyDescent="0.25">
      <c r="A772" s="21" t="str">
        <f>IF(C772="","",COUNTA($C$3:C772))</f>
        <v/>
      </c>
      <c r="B772" s="15" t="str">
        <f t="shared" si="173"/>
        <v/>
      </c>
      <c r="C772" s="31"/>
      <c r="D772" s="17"/>
      <c r="E772" s="32"/>
      <c r="F772" s="17"/>
      <c r="G772" s="18"/>
      <c r="H772" s="18"/>
      <c r="I772" s="17"/>
      <c r="J772" s="18"/>
      <c r="K772" s="18"/>
      <c r="L772" s="19"/>
      <c r="M772" s="20"/>
      <c r="N772" s="20"/>
      <c r="O772" s="19"/>
      <c r="P772" s="80"/>
      <c r="Q772" s="83"/>
      <c r="R772" s="87"/>
      <c r="S772" s="19"/>
      <c r="T772" s="19"/>
      <c r="U772" s="21"/>
      <c r="V772" s="22" t="str">
        <f t="shared" si="174"/>
        <v/>
      </c>
      <c r="W772" s="23"/>
      <c r="X772" s="74"/>
      <c r="Y772" s="33"/>
      <c r="Z772" s="15"/>
    </row>
    <row r="773" spans="1:26" x14ac:dyDescent="0.25">
      <c r="A773" s="21" t="str">
        <f>IF(C773="","",COUNTA($C$3:C773))</f>
        <v/>
      </c>
      <c r="B773" s="15" t="str">
        <f t="shared" si="173"/>
        <v/>
      </c>
      <c r="C773" s="31"/>
      <c r="D773" s="17"/>
      <c r="E773" s="32"/>
      <c r="F773" s="17"/>
      <c r="G773" s="18"/>
      <c r="H773" s="18"/>
      <c r="I773" s="17"/>
      <c r="J773" s="18"/>
      <c r="K773" s="18"/>
      <c r="L773" s="19"/>
      <c r="M773" s="20"/>
      <c r="N773" s="20"/>
      <c r="O773" s="19"/>
      <c r="P773" s="80"/>
      <c r="Q773" s="83"/>
      <c r="R773" s="87"/>
      <c r="S773" s="19"/>
      <c r="T773" s="19"/>
      <c r="U773" s="21"/>
      <c r="V773" s="22" t="str">
        <f t="shared" si="174"/>
        <v/>
      </c>
      <c r="W773" s="23"/>
      <c r="X773" s="74"/>
      <c r="Y773" s="33"/>
      <c r="Z773" s="15"/>
    </row>
    <row r="774" spans="1:26" x14ac:dyDescent="0.25">
      <c r="A774" s="21" t="str">
        <f>IF(C774="","",COUNTA($C$3:C774))</f>
        <v/>
      </c>
      <c r="B774" s="15" t="str">
        <f t="shared" si="173"/>
        <v/>
      </c>
      <c r="C774" s="31"/>
      <c r="D774" s="17"/>
      <c r="E774" s="32"/>
      <c r="F774" s="17"/>
      <c r="G774" s="18"/>
      <c r="H774" s="18"/>
      <c r="I774" s="17"/>
      <c r="J774" s="18"/>
      <c r="K774" s="18"/>
      <c r="L774" s="19"/>
      <c r="M774" s="20"/>
      <c r="N774" s="20"/>
      <c r="O774" s="19"/>
      <c r="P774" s="80"/>
      <c r="Q774" s="83"/>
      <c r="R774" s="87"/>
      <c r="S774" s="19"/>
      <c r="T774" s="19"/>
      <c r="U774" s="21"/>
      <c r="V774" s="22" t="str">
        <f t="shared" si="174"/>
        <v/>
      </c>
      <c r="W774" s="23"/>
      <c r="X774" s="74"/>
      <c r="Y774" s="33"/>
      <c r="Z774" s="15"/>
    </row>
    <row r="775" spans="1:26" x14ac:dyDescent="0.25">
      <c r="A775" s="21" t="str">
        <f>IF(C775="","",COUNTA($C$3:C775))</f>
        <v/>
      </c>
      <c r="B775" s="15" t="str">
        <f t="shared" si="173"/>
        <v/>
      </c>
      <c r="C775" s="31"/>
      <c r="D775" s="17"/>
      <c r="E775" s="32"/>
      <c r="F775" s="17"/>
      <c r="G775" s="18"/>
      <c r="H775" s="18"/>
      <c r="I775" s="17"/>
      <c r="J775" s="18"/>
      <c r="K775" s="18"/>
      <c r="L775" s="19"/>
      <c r="M775" s="20"/>
      <c r="N775" s="20"/>
      <c r="O775" s="19"/>
      <c r="P775" s="80"/>
      <c r="Q775" s="83"/>
      <c r="R775" s="87"/>
      <c r="S775" s="19"/>
      <c r="T775" s="19"/>
      <c r="U775" s="21"/>
      <c r="V775" s="22" t="str">
        <f t="shared" si="174"/>
        <v/>
      </c>
      <c r="W775" s="23"/>
      <c r="X775" s="74"/>
      <c r="Y775" s="33"/>
      <c r="Z775" s="15"/>
    </row>
    <row r="776" spans="1:26" x14ac:dyDescent="0.25">
      <c r="A776" s="21" t="str">
        <f>IF(C776="","",COUNTA($C$3:C776))</f>
        <v/>
      </c>
      <c r="B776" s="15" t="str">
        <f t="shared" si="173"/>
        <v/>
      </c>
      <c r="C776" s="31"/>
      <c r="D776" s="17"/>
      <c r="E776" s="32"/>
      <c r="F776" s="17"/>
      <c r="G776" s="18"/>
      <c r="H776" s="18"/>
      <c r="I776" s="17"/>
      <c r="J776" s="18"/>
      <c r="K776" s="18"/>
      <c r="L776" s="19"/>
      <c r="M776" s="20"/>
      <c r="N776" s="20"/>
      <c r="O776" s="19"/>
      <c r="P776" s="80"/>
      <c r="Q776" s="83"/>
      <c r="R776" s="87"/>
      <c r="S776" s="19"/>
      <c r="T776" s="19"/>
      <c r="U776" s="21"/>
      <c r="V776" s="22" t="str">
        <f t="shared" si="174"/>
        <v/>
      </c>
      <c r="W776" s="23"/>
      <c r="X776" s="74"/>
      <c r="Y776" s="33"/>
      <c r="Z776" s="15"/>
    </row>
    <row r="777" spans="1:26" x14ac:dyDescent="0.25">
      <c r="A777" s="21" t="str">
        <f>IF(C777="","",COUNTA($C$3:C777))</f>
        <v/>
      </c>
      <c r="B777" s="15" t="str">
        <f t="shared" si="173"/>
        <v/>
      </c>
      <c r="C777" s="31"/>
      <c r="D777" s="17"/>
      <c r="E777" s="32"/>
      <c r="F777" s="17"/>
      <c r="G777" s="18"/>
      <c r="H777" s="18"/>
      <c r="I777" s="17"/>
      <c r="J777" s="18"/>
      <c r="K777" s="18"/>
      <c r="L777" s="19"/>
      <c r="M777" s="20"/>
      <c r="N777" s="20"/>
      <c r="O777" s="19"/>
      <c r="P777" s="80"/>
      <c r="Q777" s="83"/>
      <c r="R777" s="87"/>
      <c r="S777" s="19"/>
      <c r="T777" s="19"/>
      <c r="U777" s="21"/>
      <c r="V777" s="22" t="str">
        <f t="shared" si="174"/>
        <v/>
      </c>
      <c r="W777" s="23"/>
      <c r="X777" s="74"/>
      <c r="Y777" s="33"/>
      <c r="Z777" s="15"/>
    </row>
    <row r="778" spans="1:26" x14ac:dyDescent="0.25">
      <c r="A778" s="21" t="str">
        <f>IF(C778="","",COUNTA($C$3:C778))</f>
        <v/>
      </c>
      <c r="B778" s="15" t="str">
        <f t="shared" si="171"/>
        <v/>
      </c>
      <c r="C778" s="31"/>
      <c r="D778" s="17"/>
      <c r="E778" s="32"/>
      <c r="F778" s="17"/>
      <c r="G778" s="18"/>
      <c r="H778" s="18"/>
      <c r="I778" s="17"/>
      <c r="J778" s="18"/>
      <c r="K778" s="18"/>
      <c r="L778" s="19"/>
      <c r="M778" s="20"/>
      <c r="N778" s="20"/>
      <c r="O778" s="19"/>
      <c r="P778" s="80"/>
      <c r="Q778" s="83"/>
      <c r="R778" s="87"/>
      <c r="S778" s="19"/>
      <c r="T778" s="19"/>
      <c r="U778" s="21"/>
      <c r="V778" s="22" t="str">
        <f t="shared" si="174"/>
        <v/>
      </c>
      <c r="W778" s="23"/>
      <c r="X778" s="74"/>
      <c r="Y778" s="33"/>
      <c r="Z778" s="15"/>
    </row>
    <row r="779" spans="1:26" x14ac:dyDescent="0.25">
      <c r="A779" s="21" t="str">
        <f>IF(C779="","",COUNTA($C$3:C779))</f>
        <v/>
      </c>
      <c r="B779" s="15" t="str">
        <f t="shared" si="171"/>
        <v/>
      </c>
      <c r="C779" s="31"/>
      <c r="D779" s="17"/>
      <c r="E779" s="32"/>
      <c r="F779" s="17"/>
      <c r="G779" s="18"/>
      <c r="H779" s="18"/>
      <c r="I779" s="17"/>
      <c r="J779" s="18"/>
      <c r="K779" s="18"/>
      <c r="L779" s="19"/>
      <c r="M779" s="20"/>
      <c r="N779" s="20"/>
      <c r="O779" s="19"/>
      <c r="P779" s="80"/>
      <c r="Q779" s="83"/>
      <c r="R779" s="87"/>
      <c r="S779" s="19"/>
      <c r="T779" s="19"/>
      <c r="U779" s="21"/>
      <c r="V779" s="22" t="str">
        <f t="shared" si="174"/>
        <v/>
      </c>
      <c r="W779" s="23"/>
      <c r="X779" s="74"/>
      <c r="Y779" s="33"/>
      <c r="Z779" s="15"/>
    </row>
    <row r="780" spans="1:26" x14ac:dyDescent="0.25">
      <c r="A780" s="21" t="str">
        <f>IF(C780="","",COUNTA($C$3:C780))</f>
        <v/>
      </c>
      <c r="B780" s="15" t="str">
        <f t="shared" si="171"/>
        <v/>
      </c>
      <c r="C780" s="31"/>
      <c r="D780" s="17"/>
      <c r="E780" s="32"/>
      <c r="F780" s="17"/>
      <c r="G780" s="18"/>
      <c r="H780" s="18"/>
      <c r="I780" s="17"/>
      <c r="J780" s="18"/>
      <c r="K780" s="18"/>
      <c r="L780" s="19"/>
      <c r="M780" s="20"/>
      <c r="N780" s="20"/>
      <c r="O780" s="19"/>
      <c r="P780" s="80"/>
      <c r="Q780" s="83"/>
      <c r="R780" s="87"/>
      <c r="S780" s="19"/>
      <c r="T780" s="19"/>
      <c r="U780" s="21"/>
      <c r="V780" s="22" t="str">
        <f t="shared" si="174"/>
        <v/>
      </c>
      <c r="W780" s="23"/>
      <c r="X780" s="74"/>
      <c r="Y780" s="33"/>
      <c r="Z780" s="15"/>
    </row>
    <row r="781" spans="1:26" x14ac:dyDescent="0.25">
      <c r="A781" s="21" t="str">
        <f>IF(C781="","",COUNTA($C$3:C781))</f>
        <v/>
      </c>
      <c r="B781" s="15" t="str">
        <f t="shared" si="171"/>
        <v/>
      </c>
      <c r="C781" s="31"/>
      <c r="D781" s="17"/>
      <c r="E781" s="32"/>
      <c r="F781" s="17"/>
      <c r="G781" s="18"/>
      <c r="H781" s="18"/>
      <c r="I781" s="17"/>
      <c r="J781" s="18"/>
      <c r="K781" s="18"/>
      <c r="L781" s="19"/>
      <c r="M781" s="20"/>
      <c r="N781" s="20"/>
      <c r="O781" s="19"/>
      <c r="P781" s="80"/>
      <c r="Q781" s="83"/>
      <c r="R781" s="87"/>
      <c r="S781" s="19"/>
      <c r="T781" s="19"/>
      <c r="U781" s="21"/>
      <c r="V781" s="22" t="str">
        <f t="shared" si="174"/>
        <v/>
      </c>
      <c r="W781" s="23"/>
      <c r="X781" s="74"/>
      <c r="Y781" s="33"/>
      <c r="Z781" s="15"/>
    </row>
    <row r="782" spans="1:26" x14ac:dyDescent="0.25">
      <c r="A782" s="21" t="str">
        <f>IF(C782="","",COUNTA($C$3:C782))</f>
        <v/>
      </c>
      <c r="B782" s="15" t="str">
        <f t="shared" si="171"/>
        <v/>
      </c>
      <c r="C782" s="31"/>
      <c r="D782" s="17"/>
      <c r="E782" s="32"/>
      <c r="F782" s="17"/>
      <c r="G782" s="18"/>
      <c r="H782" s="18"/>
      <c r="I782" s="17"/>
      <c r="J782" s="18"/>
      <c r="K782" s="18"/>
      <c r="L782" s="19"/>
      <c r="M782" s="20"/>
      <c r="N782" s="20"/>
      <c r="O782" s="19"/>
      <c r="P782" s="80"/>
      <c r="Q782" s="83"/>
      <c r="R782" s="87"/>
      <c r="S782" s="19"/>
      <c r="T782" s="19"/>
      <c r="U782" s="21"/>
      <c r="V782" s="22" t="str">
        <f t="shared" si="174"/>
        <v/>
      </c>
      <c r="W782" s="23"/>
      <c r="X782" s="74"/>
      <c r="Y782" s="33"/>
      <c r="Z782" s="15"/>
    </row>
    <row r="783" spans="1:26" x14ac:dyDescent="0.25">
      <c r="A783" s="21" t="str">
        <f>IF(C783="","",COUNTA($C$3:C783))</f>
        <v/>
      </c>
      <c r="B783" s="15" t="str">
        <f t="shared" si="171"/>
        <v/>
      </c>
      <c r="C783" s="31"/>
      <c r="D783" s="17"/>
      <c r="E783" s="32"/>
      <c r="F783" s="17"/>
      <c r="G783" s="18"/>
      <c r="H783" s="18"/>
      <c r="I783" s="17"/>
      <c r="J783" s="18"/>
      <c r="K783" s="18"/>
      <c r="L783" s="19"/>
      <c r="M783" s="20"/>
      <c r="N783" s="20"/>
      <c r="O783" s="19"/>
      <c r="P783" s="80"/>
      <c r="Q783" s="83"/>
      <c r="R783" s="87"/>
      <c r="S783" s="19"/>
      <c r="T783" s="19"/>
      <c r="U783" s="21"/>
      <c r="V783" s="22" t="str">
        <f t="shared" si="174"/>
        <v/>
      </c>
      <c r="W783" s="23"/>
      <c r="X783" s="74"/>
      <c r="Y783" s="33"/>
      <c r="Z783" s="15"/>
    </row>
    <row r="784" spans="1:26" x14ac:dyDescent="0.25">
      <c r="A784" s="21" t="str">
        <f>IF(C784="","",COUNTA($C$3:C784))</f>
        <v/>
      </c>
      <c r="B784" s="15" t="str">
        <f t="shared" si="171"/>
        <v/>
      </c>
      <c r="C784" s="31"/>
      <c r="D784" s="17"/>
      <c r="E784" s="32"/>
      <c r="F784" s="17"/>
      <c r="G784" s="18"/>
      <c r="H784" s="18"/>
      <c r="I784" s="17"/>
      <c r="J784" s="18"/>
      <c r="K784" s="18"/>
      <c r="L784" s="19"/>
      <c r="M784" s="20"/>
      <c r="N784" s="20"/>
      <c r="O784" s="19"/>
      <c r="P784" s="80"/>
      <c r="Q784" s="83"/>
      <c r="R784" s="87"/>
      <c r="S784" s="19"/>
      <c r="T784" s="19"/>
      <c r="U784" s="21"/>
      <c r="V784" s="22" t="str">
        <f t="shared" si="174"/>
        <v/>
      </c>
      <c r="W784" s="23"/>
      <c r="X784" s="74"/>
      <c r="Y784" s="33"/>
      <c r="Z784" s="15"/>
    </row>
    <row r="785" spans="1:26" x14ac:dyDescent="0.25">
      <c r="A785" s="21" t="str">
        <f>IF(C785="","",COUNTA($C$3:C785))</f>
        <v/>
      </c>
      <c r="B785" s="15" t="str">
        <f t="shared" si="171"/>
        <v/>
      </c>
      <c r="C785" s="31"/>
      <c r="D785" s="17"/>
      <c r="E785" s="32"/>
      <c r="F785" s="17"/>
      <c r="G785" s="18"/>
      <c r="H785" s="18"/>
      <c r="I785" s="17"/>
      <c r="J785" s="18"/>
      <c r="K785" s="18"/>
      <c r="L785" s="19"/>
      <c r="M785" s="20"/>
      <c r="N785" s="20"/>
      <c r="O785" s="19"/>
      <c r="P785" s="80"/>
      <c r="Q785" s="83"/>
      <c r="R785" s="87"/>
      <c r="S785" s="19"/>
      <c r="T785" s="19"/>
      <c r="U785" s="21"/>
      <c r="V785" s="22" t="str">
        <f t="shared" si="174"/>
        <v/>
      </c>
      <c r="W785" s="23"/>
      <c r="X785" s="74"/>
      <c r="Y785" s="33"/>
      <c r="Z785" s="15"/>
    </row>
    <row r="786" spans="1:26" x14ac:dyDescent="0.25">
      <c r="A786" s="21" t="str">
        <f>IF(C786="","",COUNTA($C$3:C786))</f>
        <v/>
      </c>
      <c r="B786" s="15" t="str">
        <f t="shared" si="171"/>
        <v/>
      </c>
      <c r="C786" s="31"/>
      <c r="D786" s="17"/>
      <c r="E786" s="32"/>
      <c r="F786" s="17"/>
      <c r="G786" s="18"/>
      <c r="H786" s="18"/>
      <c r="I786" s="17"/>
      <c r="J786" s="18"/>
      <c r="K786" s="18"/>
      <c r="L786" s="19"/>
      <c r="M786" s="20"/>
      <c r="N786" s="20"/>
      <c r="O786" s="19"/>
      <c r="P786" s="80"/>
      <c r="Q786" s="83"/>
      <c r="R786" s="87"/>
      <c r="S786" s="19"/>
      <c r="T786" s="19"/>
      <c r="U786" s="21"/>
      <c r="V786" s="22" t="str">
        <f t="shared" si="174"/>
        <v/>
      </c>
      <c r="W786" s="23"/>
      <c r="X786" s="74"/>
      <c r="Y786" s="33"/>
      <c r="Z786" s="15"/>
    </row>
    <row r="787" spans="1:26" x14ac:dyDescent="0.25">
      <c r="A787" s="21" t="str">
        <f>IF(C787="","",COUNTA($C$3:C787))</f>
        <v/>
      </c>
      <c r="B787" s="15" t="str">
        <f t="shared" si="171"/>
        <v/>
      </c>
      <c r="C787" s="31"/>
      <c r="D787" s="17"/>
      <c r="E787" s="32"/>
      <c r="F787" s="17"/>
      <c r="G787" s="18"/>
      <c r="H787" s="18"/>
      <c r="I787" s="17"/>
      <c r="J787" s="18"/>
      <c r="K787" s="18"/>
      <c r="L787" s="19"/>
      <c r="M787" s="20"/>
      <c r="N787" s="20"/>
      <c r="O787" s="19"/>
      <c r="P787" s="80"/>
      <c r="Q787" s="83"/>
      <c r="R787" s="87"/>
      <c r="S787" s="19"/>
      <c r="T787" s="19"/>
      <c r="U787" s="21"/>
      <c r="V787" s="22" t="str">
        <f t="shared" si="174"/>
        <v/>
      </c>
      <c r="W787" s="23"/>
      <c r="X787" s="74"/>
      <c r="Y787" s="33"/>
      <c r="Z787" s="15"/>
    </row>
    <row r="788" spans="1:26" x14ac:dyDescent="0.25">
      <c r="A788" s="21" t="str">
        <f>IF(C788="","",COUNTA($C$3:C788))</f>
        <v/>
      </c>
      <c r="B788" s="15" t="str">
        <f t="shared" si="171"/>
        <v/>
      </c>
      <c r="C788" s="31"/>
      <c r="D788" s="17"/>
      <c r="E788" s="32"/>
      <c r="F788" s="17"/>
      <c r="G788" s="18"/>
      <c r="H788" s="18"/>
      <c r="I788" s="17"/>
      <c r="J788" s="18"/>
      <c r="K788" s="18"/>
      <c r="L788" s="19"/>
      <c r="M788" s="20"/>
      <c r="N788" s="20"/>
      <c r="O788" s="19"/>
      <c r="P788" s="80"/>
      <c r="Q788" s="83"/>
      <c r="R788" s="87"/>
      <c r="S788" s="19"/>
      <c r="T788" s="19"/>
      <c r="U788" s="21"/>
      <c r="V788" s="22" t="str">
        <f t="shared" si="174"/>
        <v/>
      </c>
      <c r="W788" s="23"/>
      <c r="X788" s="74"/>
      <c r="Y788" s="33"/>
      <c r="Z788" s="15"/>
    </row>
    <row r="789" spans="1:26" x14ac:dyDescent="0.25">
      <c r="A789" s="21" t="str">
        <f>IF(C789="","",COUNTA($C$3:C789))</f>
        <v/>
      </c>
      <c r="B789" s="15" t="str">
        <f t="shared" si="171"/>
        <v/>
      </c>
      <c r="C789" s="31"/>
      <c r="D789" s="17"/>
      <c r="E789" s="32"/>
      <c r="F789" s="17"/>
      <c r="G789" s="18"/>
      <c r="H789" s="18"/>
      <c r="I789" s="17"/>
      <c r="J789" s="18"/>
      <c r="K789" s="18"/>
      <c r="L789" s="19"/>
      <c r="M789" s="20"/>
      <c r="N789" s="20"/>
      <c r="O789" s="19"/>
      <c r="P789" s="80"/>
      <c r="Q789" s="83"/>
      <c r="R789" s="87"/>
      <c r="S789" s="19"/>
      <c r="T789" s="19"/>
      <c r="U789" s="21"/>
      <c r="V789" s="22" t="str">
        <f t="shared" si="174"/>
        <v/>
      </c>
      <c r="W789" s="23"/>
      <c r="X789" s="74"/>
      <c r="Y789" s="33"/>
      <c r="Z789" s="15"/>
    </row>
    <row r="790" spans="1:26" x14ac:dyDescent="0.25">
      <c r="A790" s="21" t="str">
        <f>IF(C790="","",COUNTA($C$3:C790))</f>
        <v/>
      </c>
      <c r="B790" s="15" t="str">
        <f t="shared" si="171"/>
        <v/>
      </c>
      <c r="C790" s="31"/>
      <c r="D790" s="17"/>
      <c r="E790" s="32"/>
      <c r="F790" s="17"/>
      <c r="G790" s="18"/>
      <c r="H790" s="18"/>
      <c r="I790" s="17"/>
      <c r="J790" s="18"/>
      <c r="K790" s="18"/>
      <c r="L790" s="19"/>
      <c r="M790" s="20"/>
      <c r="N790" s="20"/>
      <c r="O790" s="19"/>
      <c r="P790" s="80"/>
      <c r="Q790" s="83"/>
      <c r="R790" s="87"/>
      <c r="S790" s="19"/>
      <c r="T790" s="19"/>
      <c r="U790" s="21"/>
      <c r="V790" s="22" t="str">
        <f t="shared" si="174"/>
        <v/>
      </c>
      <c r="W790" s="23"/>
      <c r="X790" s="74"/>
      <c r="Y790" s="33"/>
      <c r="Z790" s="15"/>
    </row>
    <row r="791" spans="1:26" x14ac:dyDescent="0.25">
      <c r="A791" s="21" t="str">
        <f>IF(C791="","",COUNTA($C$3:C791))</f>
        <v/>
      </c>
      <c r="B791" s="15" t="str">
        <f t="shared" si="171"/>
        <v/>
      </c>
      <c r="C791" s="31"/>
      <c r="D791" s="17"/>
      <c r="E791" s="32"/>
      <c r="F791" s="17"/>
      <c r="G791" s="18"/>
      <c r="H791" s="18"/>
      <c r="I791" s="17"/>
      <c r="J791" s="18"/>
      <c r="K791" s="18"/>
      <c r="L791" s="19"/>
      <c r="M791" s="20"/>
      <c r="N791" s="20"/>
      <c r="O791" s="19"/>
      <c r="P791" s="80"/>
      <c r="Q791" s="83"/>
      <c r="R791" s="87"/>
      <c r="S791" s="19"/>
      <c r="T791" s="19"/>
      <c r="U791" s="21"/>
      <c r="V791" s="22" t="str">
        <f t="shared" si="174"/>
        <v/>
      </c>
      <c r="W791" s="23"/>
      <c r="X791" s="74"/>
      <c r="Y791" s="33"/>
      <c r="Z791" s="15"/>
    </row>
    <row r="792" spans="1:26" x14ac:dyDescent="0.25">
      <c r="A792" s="21" t="str">
        <f>IF(C792="","",COUNTA($C$3:C792))</f>
        <v/>
      </c>
      <c r="B792" s="15" t="str">
        <f t="shared" si="171"/>
        <v/>
      </c>
      <c r="C792" s="31"/>
      <c r="D792" s="17"/>
      <c r="E792" s="32"/>
      <c r="F792" s="17"/>
      <c r="G792" s="18"/>
      <c r="H792" s="18"/>
      <c r="I792" s="17"/>
      <c r="J792" s="18"/>
      <c r="K792" s="18"/>
      <c r="L792" s="19"/>
      <c r="M792" s="20"/>
      <c r="N792" s="20"/>
      <c r="O792" s="19"/>
      <c r="P792" s="80"/>
      <c r="Q792" s="83"/>
      <c r="R792" s="87"/>
      <c r="S792" s="19"/>
      <c r="T792" s="19"/>
      <c r="U792" s="21"/>
      <c r="V792" s="22" t="str">
        <f t="shared" si="174"/>
        <v/>
      </c>
      <c r="W792" s="23"/>
      <c r="X792" s="74"/>
      <c r="Y792" s="33"/>
      <c r="Z792" s="15"/>
    </row>
    <row r="793" spans="1:26" x14ac:dyDescent="0.25">
      <c r="A793" s="21" t="str">
        <f>IF(C793="","",COUNTA($C$3:C793))</f>
        <v/>
      </c>
      <c r="B793" s="15" t="str">
        <f t="shared" si="171"/>
        <v/>
      </c>
      <c r="C793" s="31"/>
      <c r="D793" s="17"/>
      <c r="E793" s="32"/>
      <c r="F793" s="17"/>
      <c r="G793" s="18"/>
      <c r="H793" s="18"/>
      <c r="I793" s="17"/>
      <c r="J793" s="18"/>
      <c r="K793" s="18"/>
      <c r="L793" s="19"/>
      <c r="M793" s="20"/>
      <c r="N793" s="20"/>
      <c r="O793" s="19"/>
      <c r="P793" s="80"/>
      <c r="Q793" s="83"/>
      <c r="R793" s="87"/>
      <c r="S793" s="19"/>
      <c r="T793" s="19"/>
      <c r="U793" s="21"/>
      <c r="V793" s="22" t="str">
        <f t="shared" si="174"/>
        <v/>
      </c>
      <c r="W793" s="23"/>
      <c r="X793" s="74"/>
      <c r="Y793" s="33"/>
      <c r="Z793" s="15"/>
    </row>
    <row r="794" spans="1:26" x14ac:dyDescent="0.25">
      <c r="A794" s="21" t="str">
        <f>IF(C794="","",COUNTA($C$3:C794))</f>
        <v/>
      </c>
      <c r="B794" s="15" t="str">
        <f t="shared" si="171"/>
        <v/>
      </c>
      <c r="C794" s="31"/>
      <c r="D794" s="17"/>
      <c r="E794" s="32"/>
      <c r="F794" s="17"/>
      <c r="G794" s="18"/>
      <c r="H794" s="18"/>
      <c r="I794" s="17"/>
      <c r="J794" s="18"/>
      <c r="K794" s="18"/>
      <c r="L794" s="19"/>
      <c r="M794" s="20"/>
      <c r="N794" s="20"/>
      <c r="O794" s="19"/>
      <c r="P794" s="80"/>
      <c r="Q794" s="83"/>
      <c r="R794" s="87"/>
      <c r="S794" s="19"/>
      <c r="T794" s="19"/>
      <c r="U794" s="21"/>
      <c r="V794" s="22" t="str">
        <f t="shared" si="174"/>
        <v/>
      </c>
      <c r="W794" s="23"/>
      <c r="X794" s="74"/>
      <c r="Y794" s="33"/>
      <c r="Z794" s="15"/>
    </row>
    <row r="795" spans="1:26" x14ac:dyDescent="0.25">
      <c r="A795" s="21" t="str">
        <f>IF(C795="","",COUNTA($C$3:C795))</f>
        <v/>
      </c>
      <c r="B795" s="15" t="str">
        <f t="shared" si="171"/>
        <v/>
      </c>
      <c r="C795" s="31"/>
      <c r="D795" s="17"/>
      <c r="E795" s="32"/>
      <c r="F795" s="17"/>
      <c r="G795" s="18"/>
      <c r="H795" s="18"/>
      <c r="I795" s="17"/>
      <c r="J795" s="18"/>
      <c r="K795" s="18"/>
      <c r="L795" s="19"/>
      <c r="M795" s="20"/>
      <c r="N795" s="20"/>
      <c r="O795" s="19"/>
      <c r="P795" s="80"/>
      <c r="Q795" s="83"/>
      <c r="R795" s="87"/>
      <c r="S795" s="19"/>
      <c r="T795" s="19"/>
      <c r="U795" s="21"/>
      <c r="V795" s="22" t="str">
        <f t="shared" si="174"/>
        <v/>
      </c>
      <c r="W795" s="23"/>
      <c r="X795" s="74"/>
      <c r="Y795" s="33"/>
      <c r="Z795" s="15"/>
    </row>
    <row r="796" spans="1:26" x14ac:dyDescent="0.25">
      <c r="A796" s="21" t="str">
        <f>IF(C796="","",COUNTA($C$3:C796))</f>
        <v/>
      </c>
      <c r="B796" s="15" t="str">
        <f t="shared" si="171"/>
        <v/>
      </c>
      <c r="C796" s="31"/>
      <c r="D796" s="17"/>
      <c r="E796" s="32"/>
      <c r="F796" s="17"/>
      <c r="G796" s="18"/>
      <c r="H796" s="18"/>
      <c r="I796" s="17"/>
      <c r="J796" s="18"/>
      <c r="K796" s="18"/>
      <c r="L796" s="19"/>
      <c r="M796" s="20"/>
      <c r="N796" s="20"/>
      <c r="O796" s="19"/>
      <c r="P796" s="80"/>
      <c r="Q796" s="83"/>
      <c r="R796" s="87"/>
      <c r="S796" s="19"/>
      <c r="T796" s="19"/>
      <c r="U796" s="21"/>
      <c r="V796" s="22" t="str">
        <f t="shared" si="174"/>
        <v/>
      </c>
      <c r="W796" s="23"/>
      <c r="X796" s="74"/>
      <c r="Y796" s="33"/>
      <c r="Z796" s="15"/>
    </row>
    <row r="797" spans="1:26" x14ac:dyDescent="0.25">
      <c r="A797" s="21" t="str">
        <f>IF(C797="","",COUNTA($C$3:C797))</f>
        <v/>
      </c>
      <c r="B797" s="15" t="str">
        <f t="shared" si="171"/>
        <v/>
      </c>
      <c r="C797" s="31"/>
      <c r="D797" s="17"/>
      <c r="E797" s="32"/>
      <c r="F797" s="17"/>
      <c r="G797" s="18"/>
      <c r="H797" s="18"/>
      <c r="I797" s="17"/>
      <c r="J797" s="18"/>
      <c r="K797" s="18"/>
      <c r="L797" s="19"/>
      <c r="M797" s="20"/>
      <c r="N797" s="20"/>
      <c r="O797" s="19"/>
      <c r="P797" s="80"/>
      <c r="Q797" s="83"/>
      <c r="R797" s="87"/>
      <c r="S797" s="19"/>
      <c r="T797" s="19"/>
      <c r="U797" s="21"/>
      <c r="V797" s="22" t="str">
        <f t="shared" si="174"/>
        <v/>
      </c>
      <c r="W797" s="23"/>
      <c r="X797" s="74"/>
      <c r="Y797" s="33"/>
      <c r="Z797" s="15"/>
    </row>
    <row r="798" spans="1:26" x14ac:dyDescent="0.25">
      <c r="A798" s="21" t="str">
        <f>IF(C798="","",COUNTA($C$3:C798))</f>
        <v/>
      </c>
      <c r="B798" s="15" t="str">
        <f t="shared" si="171"/>
        <v/>
      </c>
      <c r="C798" s="31"/>
      <c r="D798" s="17"/>
      <c r="E798" s="32"/>
      <c r="F798" s="17"/>
      <c r="G798" s="18"/>
      <c r="H798" s="18"/>
      <c r="I798" s="17"/>
      <c r="J798" s="18"/>
      <c r="K798" s="18"/>
      <c r="L798" s="19"/>
      <c r="M798" s="20"/>
      <c r="N798" s="20"/>
      <c r="O798" s="19"/>
      <c r="P798" s="47"/>
      <c r="Q798" s="83"/>
      <c r="R798" s="87"/>
      <c r="S798" s="19"/>
      <c r="T798" s="19"/>
      <c r="U798" s="21"/>
      <c r="V798" s="22" t="str">
        <f t="shared" si="174"/>
        <v/>
      </c>
      <c r="W798" s="23"/>
      <c r="X798" s="74"/>
      <c r="Y798" s="33"/>
      <c r="Z798" s="15"/>
    </row>
    <row r="799" spans="1:26" x14ac:dyDescent="0.25">
      <c r="A799" s="21" t="str">
        <f>IF(C799="","",COUNTA($C$3:C799))</f>
        <v/>
      </c>
      <c r="B799" s="15" t="str">
        <f t="shared" si="171"/>
        <v/>
      </c>
      <c r="C799" s="31"/>
      <c r="D799" s="17"/>
      <c r="E799" s="32"/>
      <c r="F799" s="17"/>
      <c r="G799" s="18"/>
      <c r="H799" s="18"/>
      <c r="I799" s="17"/>
      <c r="J799" s="18"/>
      <c r="K799" s="18"/>
      <c r="L799" s="19"/>
      <c r="M799" s="20"/>
      <c r="N799" s="20"/>
      <c r="O799" s="19"/>
      <c r="P799" s="47"/>
      <c r="Q799" s="83"/>
      <c r="R799" s="87"/>
      <c r="S799" s="19"/>
      <c r="T799" s="19"/>
      <c r="U799" s="21"/>
      <c r="V799" s="22" t="str">
        <f t="shared" si="174"/>
        <v/>
      </c>
      <c r="W799" s="23"/>
      <c r="X799" s="74"/>
      <c r="Y799" s="33"/>
      <c r="Z799" s="15"/>
    </row>
    <row r="800" spans="1:26" x14ac:dyDescent="0.25">
      <c r="A800" s="21" t="str">
        <f>IF(C800="","",COUNTA($C$3:C800))</f>
        <v/>
      </c>
      <c r="B800" s="15" t="str">
        <f t="shared" si="171"/>
        <v/>
      </c>
      <c r="C800" s="31"/>
      <c r="D800" s="17"/>
      <c r="E800" s="32"/>
      <c r="F800" s="17"/>
      <c r="G800" s="18"/>
      <c r="H800" s="18"/>
      <c r="I800" s="17"/>
      <c r="J800" s="18"/>
      <c r="K800" s="18"/>
      <c r="L800" s="19"/>
      <c r="M800" s="20"/>
      <c r="N800" s="20"/>
      <c r="O800" s="19"/>
      <c r="P800" s="47"/>
      <c r="Q800" s="83"/>
      <c r="R800" s="87"/>
      <c r="S800" s="19"/>
      <c r="T800" s="19"/>
      <c r="U800" s="21"/>
      <c r="V800" s="22" t="str">
        <f t="shared" si="174"/>
        <v/>
      </c>
      <c r="W800" s="23"/>
      <c r="X800" s="74"/>
      <c r="Y800" s="33"/>
      <c r="Z800" s="15"/>
    </row>
    <row r="801" spans="1:26" x14ac:dyDescent="0.25">
      <c r="A801" s="21" t="str">
        <f>IF(C801="","",COUNTA($C$3:C801))</f>
        <v/>
      </c>
      <c r="B801" s="15" t="str">
        <f t="shared" si="171"/>
        <v/>
      </c>
      <c r="C801" s="31"/>
      <c r="D801" s="17"/>
      <c r="E801" s="32"/>
      <c r="F801" s="17"/>
      <c r="G801" s="18"/>
      <c r="H801" s="18"/>
      <c r="I801" s="17"/>
      <c r="J801" s="18"/>
      <c r="K801" s="18"/>
      <c r="L801" s="19"/>
      <c r="M801" s="20"/>
      <c r="N801" s="20"/>
      <c r="O801" s="19"/>
      <c r="P801" s="47"/>
      <c r="Q801" s="83"/>
      <c r="R801" s="87"/>
      <c r="S801" s="19"/>
      <c r="T801" s="19"/>
      <c r="U801" s="21"/>
      <c r="V801" s="22" t="str">
        <f t="shared" si="174"/>
        <v/>
      </c>
      <c r="W801" s="23"/>
      <c r="X801" s="74"/>
      <c r="Y801" s="33"/>
      <c r="Z801" s="15"/>
    </row>
    <row r="802" spans="1:26" x14ac:dyDescent="0.25">
      <c r="A802" s="21" t="str">
        <f>IF(C802="","",COUNTA($C$3:C802))</f>
        <v/>
      </c>
      <c r="B802" s="15" t="str">
        <f t="shared" si="171"/>
        <v/>
      </c>
      <c r="C802" s="31"/>
      <c r="D802" s="17"/>
      <c r="E802" s="32"/>
      <c r="F802" s="17"/>
      <c r="G802" s="18"/>
      <c r="H802" s="18"/>
      <c r="I802" s="17"/>
      <c r="J802" s="18"/>
      <c r="K802" s="18"/>
      <c r="L802" s="19"/>
      <c r="M802" s="20"/>
      <c r="N802" s="20"/>
      <c r="O802" s="19"/>
      <c r="P802" s="47"/>
      <c r="Q802" s="83"/>
      <c r="R802" s="87"/>
      <c r="S802" s="19"/>
      <c r="T802" s="19"/>
      <c r="U802" s="21"/>
      <c r="V802" s="22" t="str">
        <f t="shared" si="174"/>
        <v/>
      </c>
      <c r="W802" s="23"/>
      <c r="X802" s="74"/>
      <c r="Y802" s="33"/>
      <c r="Z802" s="15"/>
    </row>
    <row r="803" spans="1:26" x14ac:dyDescent="0.25">
      <c r="A803" s="21" t="str">
        <f>IF(C803="","",COUNTA($C$3:C803))</f>
        <v/>
      </c>
      <c r="B803" s="15" t="str">
        <f t="shared" si="171"/>
        <v/>
      </c>
      <c r="C803" s="31"/>
      <c r="D803" s="17"/>
      <c r="E803" s="32"/>
      <c r="F803" s="17"/>
      <c r="G803" s="18"/>
      <c r="H803" s="18"/>
      <c r="I803" s="17"/>
      <c r="J803" s="18"/>
      <c r="K803" s="18"/>
      <c r="L803" s="19"/>
      <c r="M803" s="20"/>
      <c r="N803" s="20"/>
      <c r="O803" s="19"/>
      <c r="P803" s="80"/>
      <c r="Q803" s="83"/>
      <c r="R803" s="87"/>
      <c r="S803" s="19"/>
      <c r="T803" s="19"/>
      <c r="U803" s="21"/>
      <c r="V803" s="22" t="str">
        <f t="shared" si="174"/>
        <v/>
      </c>
      <c r="W803" s="23"/>
      <c r="X803" s="74"/>
      <c r="Y803" s="33"/>
      <c r="Z803" s="15"/>
    </row>
    <row r="804" spans="1:26" x14ac:dyDescent="0.25">
      <c r="A804" s="21" t="str">
        <f>IF(C804="","",COUNTA($C$3:C804))</f>
        <v/>
      </c>
      <c r="B804" s="15" t="str">
        <f t="shared" si="171"/>
        <v/>
      </c>
      <c r="C804" s="31"/>
      <c r="D804" s="17"/>
      <c r="E804" s="32"/>
      <c r="F804" s="17"/>
      <c r="G804" s="18"/>
      <c r="H804" s="18"/>
      <c r="I804" s="17"/>
      <c r="J804" s="18"/>
      <c r="K804" s="18"/>
      <c r="L804" s="19"/>
      <c r="M804" s="20"/>
      <c r="N804" s="20"/>
      <c r="O804" s="19"/>
      <c r="P804" s="80"/>
      <c r="Q804" s="83"/>
      <c r="R804" s="87"/>
      <c r="S804" s="19"/>
      <c r="T804" s="19"/>
      <c r="U804" s="21"/>
      <c r="V804" s="22" t="str">
        <f t="shared" si="174"/>
        <v/>
      </c>
      <c r="W804" s="23"/>
      <c r="X804" s="74"/>
      <c r="Y804" s="33"/>
      <c r="Z804" s="15"/>
    </row>
    <row r="805" spans="1:26" x14ac:dyDescent="0.25">
      <c r="A805" s="21" t="str">
        <f>IF(C805="","",COUNTA($C$3:C805))</f>
        <v/>
      </c>
      <c r="B805" s="15" t="str">
        <f t="shared" si="171"/>
        <v/>
      </c>
      <c r="C805" s="31"/>
      <c r="D805" s="17"/>
      <c r="E805" s="32"/>
      <c r="F805" s="17"/>
      <c r="G805" s="18"/>
      <c r="H805" s="18"/>
      <c r="I805" s="17"/>
      <c r="J805" s="18"/>
      <c r="K805" s="18"/>
      <c r="L805" s="19"/>
      <c r="M805" s="20"/>
      <c r="N805" s="20"/>
      <c r="O805" s="19"/>
      <c r="P805" s="80"/>
      <c r="Q805" s="83"/>
      <c r="R805" s="87"/>
      <c r="S805" s="19"/>
      <c r="T805" s="19"/>
      <c r="U805" s="21"/>
      <c r="V805" s="22" t="str">
        <f t="shared" si="174"/>
        <v/>
      </c>
      <c r="W805" s="23"/>
      <c r="X805" s="74"/>
      <c r="Y805" s="33"/>
      <c r="Z805" s="15"/>
    </row>
    <row r="806" spans="1:26" x14ac:dyDescent="0.25">
      <c r="A806" s="21" t="str">
        <f>IF(C806="","",COUNTA($C$3:C806))</f>
        <v/>
      </c>
      <c r="B806" s="15" t="str">
        <f t="shared" si="171"/>
        <v/>
      </c>
      <c r="C806" s="31"/>
      <c r="D806" s="17"/>
      <c r="E806" s="32"/>
      <c r="F806" s="17"/>
      <c r="G806" s="18"/>
      <c r="H806" s="18"/>
      <c r="I806" s="17"/>
      <c r="J806" s="18"/>
      <c r="K806" s="18"/>
      <c r="L806" s="19"/>
      <c r="M806" s="20"/>
      <c r="N806" s="20"/>
      <c r="O806" s="19"/>
      <c r="P806" s="80"/>
      <c r="Q806" s="83"/>
      <c r="R806" s="87"/>
      <c r="S806" s="19"/>
      <c r="T806" s="19"/>
      <c r="U806" s="21"/>
      <c r="V806" s="22" t="str">
        <f t="shared" si="174"/>
        <v/>
      </c>
      <c r="W806" s="23"/>
      <c r="X806" s="74"/>
      <c r="Y806" s="33"/>
      <c r="Z806" s="15"/>
    </row>
    <row r="807" spans="1:26" x14ac:dyDescent="0.25">
      <c r="A807" s="21" t="str">
        <f>IF(C807="","",COUNTA($C$3:C807))</f>
        <v/>
      </c>
      <c r="B807" s="15" t="str">
        <f t="shared" si="171"/>
        <v/>
      </c>
      <c r="C807" s="31"/>
      <c r="D807" s="17"/>
      <c r="E807" s="32"/>
      <c r="F807" s="17"/>
      <c r="G807" s="18"/>
      <c r="H807" s="18"/>
      <c r="I807" s="17"/>
      <c r="J807" s="18"/>
      <c r="K807" s="18"/>
      <c r="L807" s="19"/>
      <c r="M807" s="20"/>
      <c r="N807" s="20"/>
      <c r="O807" s="19"/>
      <c r="P807" s="80"/>
      <c r="Q807" s="83"/>
      <c r="R807" s="87"/>
      <c r="S807" s="19"/>
      <c r="T807" s="19"/>
      <c r="U807" s="21"/>
      <c r="V807" s="22" t="str">
        <f t="shared" si="174"/>
        <v/>
      </c>
      <c r="W807" s="23"/>
      <c r="X807" s="74"/>
      <c r="Y807" s="33"/>
      <c r="Z807" s="15"/>
    </row>
    <row r="808" spans="1:26" x14ac:dyDescent="0.25">
      <c r="A808" s="21" t="str">
        <f>IF(C808="","",COUNTA($C$3:C808))</f>
        <v/>
      </c>
      <c r="B808" s="15" t="str">
        <f t="shared" si="171"/>
        <v/>
      </c>
      <c r="C808" s="31"/>
      <c r="D808" s="17"/>
      <c r="E808" s="32"/>
      <c r="F808" s="17"/>
      <c r="G808" s="18"/>
      <c r="H808" s="18"/>
      <c r="I808" s="17"/>
      <c r="J808" s="18"/>
      <c r="K808" s="18"/>
      <c r="L808" s="19"/>
      <c r="M808" s="20"/>
      <c r="N808" s="20"/>
      <c r="O808" s="19"/>
      <c r="P808" s="80"/>
      <c r="Q808" s="83"/>
      <c r="R808" s="87"/>
      <c r="S808" s="19"/>
      <c r="T808" s="19"/>
      <c r="U808" s="21"/>
      <c r="V808" s="22" t="str">
        <f t="shared" si="174"/>
        <v/>
      </c>
      <c r="W808" s="23"/>
      <c r="X808" s="74"/>
      <c r="Y808" s="33"/>
      <c r="Z808" s="15"/>
    </row>
    <row r="809" spans="1:26" x14ac:dyDescent="0.25">
      <c r="A809" s="21" t="str">
        <f>IF(C809="","",COUNTA($C$3:C809))</f>
        <v/>
      </c>
      <c r="B809" s="15" t="str">
        <f t="shared" si="171"/>
        <v/>
      </c>
      <c r="C809" s="31"/>
      <c r="D809" s="17"/>
      <c r="E809" s="32"/>
      <c r="F809" s="17"/>
      <c r="G809" s="18"/>
      <c r="H809" s="18"/>
      <c r="I809" s="17"/>
      <c r="J809" s="18"/>
      <c r="K809" s="18"/>
      <c r="L809" s="19"/>
      <c r="M809" s="20"/>
      <c r="N809" s="20"/>
      <c r="O809" s="19"/>
      <c r="P809" s="80"/>
      <c r="Q809" s="83"/>
      <c r="R809" s="87"/>
      <c r="S809" s="19"/>
      <c r="T809" s="19"/>
      <c r="U809" s="21"/>
      <c r="V809" s="22" t="str">
        <f t="shared" si="174"/>
        <v/>
      </c>
      <c r="W809" s="23"/>
      <c r="X809" s="74"/>
      <c r="Y809" s="33"/>
      <c r="Z809" s="15"/>
    </row>
    <row r="810" spans="1:26" x14ac:dyDescent="0.25">
      <c r="A810" s="21" t="str">
        <f>IF(C810="","",COUNTA($C$3:C810))</f>
        <v/>
      </c>
      <c r="B810" s="15" t="str">
        <f t="shared" si="171"/>
        <v/>
      </c>
      <c r="C810" s="31"/>
      <c r="D810" s="17"/>
      <c r="E810" s="32"/>
      <c r="F810" s="17"/>
      <c r="G810" s="18"/>
      <c r="H810" s="18"/>
      <c r="I810" s="17"/>
      <c r="J810" s="18"/>
      <c r="K810" s="18"/>
      <c r="L810" s="19"/>
      <c r="M810" s="20"/>
      <c r="N810" s="20"/>
      <c r="O810" s="19"/>
      <c r="P810" s="80"/>
      <c r="Q810" s="83"/>
      <c r="R810" s="87"/>
      <c r="S810" s="19"/>
      <c r="T810" s="19"/>
      <c r="U810" s="21"/>
      <c r="V810" s="22" t="str">
        <f t="shared" si="174"/>
        <v/>
      </c>
      <c r="W810" s="23"/>
      <c r="X810" s="74"/>
      <c r="Y810" s="33"/>
      <c r="Z810" s="15"/>
    </row>
    <row r="811" spans="1:26" x14ac:dyDescent="0.25">
      <c r="A811" s="21" t="str">
        <f>IF(C811="","",COUNTA($C$3:C811))</f>
        <v/>
      </c>
      <c r="B811" s="15" t="str">
        <f t="shared" si="171"/>
        <v/>
      </c>
      <c r="C811" s="31"/>
      <c r="D811" s="17"/>
      <c r="E811" s="32"/>
      <c r="F811" s="17"/>
      <c r="G811" s="18"/>
      <c r="H811" s="18"/>
      <c r="I811" s="17"/>
      <c r="J811" s="18"/>
      <c r="K811" s="18"/>
      <c r="L811" s="19"/>
      <c r="M811" s="20"/>
      <c r="N811" s="20"/>
      <c r="O811" s="19"/>
      <c r="P811" s="80"/>
      <c r="Q811" s="83"/>
      <c r="R811" s="87"/>
      <c r="S811" s="19"/>
      <c r="T811" s="19"/>
      <c r="U811" s="21"/>
      <c r="V811" s="22" t="str">
        <f t="shared" si="174"/>
        <v/>
      </c>
      <c r="W811" s="23"/>
      <c r="X811" s="74"/>
      <c r="Y811" s="33"/>
      <c r="Z811" s="15"/>
    </row>
    <row r="812" spans="1:26" x14ac:dyDescent="0.25">
      <c r="A812" s="21" t="str">
        <f>IF(C812="","",COUNTA($C$3:C812))</f>
        <v/>
      </c>
      <c r="B812" s="15" t="str">
        <f t="shared" si="171"/>
        <v/>
      </c>
      <c r="C812" s="31"/>
      <c r="D812" s="17"/>
      <c r="E812" s="32"/>
      <c r="F812" s="17"/>
      <c r="G812" s="18"/>
      <c r="H812" s="18"/>
      <c r="I812" s="17"/>
      <c r="J812" s="18"/>
      <c r="K812" s="18"/>
      <c r="L812" s="19"/>
      <c r="M812" s="20"/>
      <c r="N812" s="20"/>
      <c r="O812" s="19"/>
      <c r="P812" s="80"/>
      <c r="Q812" s="83"/>
      <c r="R812" s="87"/>
      <c r="S812" s="19"/>
      <c r="T812" s="19"/>
      <c r="U812" s="21"/>
      <c r="V812" s="22" t="str">
        <f t="shared" si="174"/>
        <v/>
      </c>
      <c r="W812" s="23"/>
      <c r="X812" s="74"/>
      <c r="Y812" s="33"/>
      <c r="Z812" s="15"/>
    </row>
    <row r="813" spans="1:26" x14ac:dyDescent="0.25">
      <c r="A813" s="21" t="str">
        <f>IF(C813="","",COUNTA($C$3:C813))</f>
        <v/>
      </c>
      <c r="B813" s="15" t="str">
        <f t="shared" si="171"/>
        <v/>
      </c>
      <c r="C813" s="31"/>
      <c r="D813" s="17"/>
      <c r="E813" s="32"/>
      <c r="F813" s="17"/>
      <c r="G813" s="18"/>
      <c r="H813" s="18"/>
      <c r="I813" s="17"/>
      <c r="J813" s="18"/>
      <c r="K813" s="18"/>
      <c r="L813" s="19"/>
      <c r="M813" s="20"/>
      <c r="N813" s="20"/>
      <c r="O813" s="19"/>
      <c r="P813" s="80"/>
      <c r="Q813" s="83"/>
      <c r="R813" s="87"/>
      <c r="S813" s="19"/>
      <c r="T813" s="19"/>
      <c r="U813" s="21"/>
      <c r="V813" s="22" t="str">
        <f t="shared" si="174"/>
        <v/>
      </c>
      <c r="W813" s="23"/>
      <c r="X813" s="74"/>
      <c r="Y813" s="33"/>
      <c r="Z813" s="15"/>
    </row>
    <row r="814" spans="1:26" x14ac:dyDescent="0.25">
      <c r="A814" s="21" t="str">
        <f>IF(C814="","",COUNTA($C$3:C814))</f>
        <v/>
      </c>
      <c r="B814" s="15" t="str">
        <f t="shared" si="171"/>
        <v/>
      </c>
      <c r="C814" s="31"/>
      <c r="D814" s="17"/>
      <c r="E814" s="32"/>
      <c r="F814" s="17"/>
      <c r="G814" s="18"/>
      <c r="H814" s="18"/>
      <c r="I814" s="17"/>
      <c r="J814" s="18"/>
      <c r="K814" s="18"/>
      <c r="L814" s="19"/>
      <c r="M814" s="20"/>
      <c r="N814" s="20"/>
      <c r="O814" s="19"/>
      <c r="P814" s="80"/>
      <c r="Q814" s="83"/>
      <c r="R814" s="87"/>
      <c r="S814" s="19"/>
      <c r="T814" s="19"/>
      <c r="U814" s="21"/>
      <c r="V814" s="22" t="str">
        <f t="shared" si="174"/>
        <v/>
      </c>
      <c r="W814" s="23"/>
      <c r="X814" s="74"/>
      <c r="Y814" s="33"/>
      <c r="Z814" s="15"/>
    </row>
    <row r="815" spans="1:26" x14ac:dyDescent="0.25">
      <c r="A815" s="21" t="str">
        <f>IF(C815="","",COUNTA($C$3:C815))</f>
        <v/>
      </c>
      <c r="B815" s="15" t="str">
        <f t="shared" si="171"/>
        <v/>
      </c>
      <c r="C815" s="31"/>
      <c r="D815" s="17"/>
      <c r="E815" s="32"/>
      <c r="F815" s="17"/>
      <c r="G815" s="18"/>
      <c r="H815" s="18"/>
      <c r="I815" s="17"/>
      <c r="J815" s="18"/>
      <c r="K815" s="18"/>
      <c r="L815" s="19"/>
      <c r="M815" s="20"/>
      <c r="N815" s="20"/>
      <c r="O815" s="19"/>
      <c r="P815" s="80"/>
      <c r="Q815" s="83"/>
      <c r="R815" s="87"/>
      <c r="S815" s="19"/>
      <c r="T815" s="19"/>
      <c r="U815" s="21"/>
      <c r="V815" s="22" t="str">
        <f t="shared" si="174"/>
        <v/>
      </c>
      <c r="W815" s="23"/>
      <c r="X815" s="74"/>
      <c r="Y815" s="33"/>
      <c r="Z815" s="15"/>
    </row>
    <row r="816" spans="1:26" x14ac:dyDescent="0.25">
      <c r="A816" s="21" t="str">
        <f>IF(C816="","",COUNTA($C$3:C816))</f>
        <v/>
      </c>
      <c r="B816" s="15" t="str">
        <f t="shared" si="171"/>
        <v/>
      </c>
      <c r="C816" s="31"/>
      <c r="D816" s="17"/>
      <c r="E816" s="32"/>
      <c r="F816" s="17"/>
      <c r="G816" s="18"/>
      <c r="H816" s="18"/>
      <c r="I816" s="17"/>
      <c r="J816" s="18"/>
      <c r="K816" s="18"/>
      <c r="L816" s="19"/>
      <c r="M816" s="20"/>
      <c r="N816" s="20"/>
      <c r="O816" s="19"/>
      <c r="P816" s="80"/>
      <c r="Q816" s="83"/>
      <c r="R816" s="87"/>
      <c r="S816" s="19"/>
      <c r="T816" s="19"/>
      <c r="U816" s="21"/>
      <c r="V816" s="22" t="str">
        <f t="shared" si="174"/>
        <v/>
      </c>
      <c r="W816" s="23"/>
      <c r="X816" s="74"/>
      <c r="Y816" s="33"/>
      <c r="Z816" s="15"/>
    </row>
    <row r="817" spans="1:26" x14ac:dyDescent="0.25">
      <c r="A817" s="21" t="str">
        <f>IF(C817="","",COUNTA($C$3:C817))</f>
        <v/>
      </c>
      <c r="B817" s="15" t="str">
        <f t="shared" si="171"/>
        <v/>
      </c>
      <c r="C817" s="31"/>
      <c r="D817" s="17"/>
      <c r="E817" s="32"/>
      <c r="F817" s="17"/>
      <c r="G817" s="18"/>
      <c r="H817" s="18"/>
      <c r="I817" s="17"/>
      <c r="J817" s="18"/>
      <c r="K817" s="18"/>
      <c r="L817" s="19"/>
      <c r="M817" s="20"/>
      <c r="N817" s="20"/>
      <c r="O817" s="19"/>
      <c r="P817" s="80"/>
      <c r="Q817" s="83"/>
      <c r="R817" s="87"/>
      <c r="S817" s="19"/>
      <c r="T817" s="19"/>
      <c r="U817" s="21"/>
      <c r="V817" s="22" t="str">
        <f t="shared" si="174"/>
        <v/>
      </c>
      <c r="W817" s="23"/>
      <c r="X817" s="74"/>
      <c r="Y817" s="33"/>
      <c r="Z817" s="15"/>
    </row>
    <row r="818" spans="1:26" x14ac:dyDescent="0.25">
      <c r="A818" s="21" t="str">
        <f>IF(C818="","",COUNTA($C$3:C818))</f>
        <v/>
      </c>
      <c r="B818" s="15" t="str">
        <f t="shared" si="171"/>
        <v/>
      </c>
      <c r="C818" s="31"/>
      <c r="D818" s="17"/>
      <c r="E818" s="32"/>
      <c r="F818" s="17"/>
      <c r="G818" s="18"/>
      <c r="H818" s="18"/>
      <c r="I818" s="17"/>
      <c r="J818" s="18"/>
      <c r="K818" s="18"/>
      <c r="L818" s="19"/>
      <c r="M818" s="20"/>
      <c r="N818" s="20"/>
      <c r="O818" s="19"/>
      <c r="P818" s="80"/>
      <c r="Q818" s="83"/>
      <c r="R818" s="87"/>
      <c r="S818" s="19"/>
      <c r="T818" s="19"/>
      <c r="U818" s="21"/>
      <c r="V818" s="22" t="str">
        <f t="shared" si="174"/>
        <v/>
      </c>
      <c r="W818" s="23"/>
      <c r="X818" s="74"/>
      <c r="Y818" s="33"/>
      <c r="Z818" s="15"/>
    </row>
    <row r="819" spans="1:26" x14ac:dyDescent="0.25">
      <c r="A819" s="21" t="str">
        <f>IF(C819="","",COUNTA($C$3:C819))</f>
        <v/>
      </c>
      <c r="B819" s="15" t="str">
        <f t="shared" si="171"/>
        <v/>
      </c>
      <c r="C819" s="31"/>
      <c r="D819" s="17"/>
      <c r="E819" s="32"/>
      <c r="F819" s="17"/>
      <c r="G819" s="18"/>
      <c r="H819" s="18"/>
      <c r="I819" s="17"/>
      <c r="J819" s="18"/>
      <c r="K819" s="18"/>
      <c r="L819" s="19"/>
      <c r="M819" s="20"/>
      <c r="N819" s="20"/>
      <c r="O819" s="19"/>
      <c r="P819" s="80"/>
      <c r="Q819" s="83"/>
      <c r="R819" s="87"/>
      <c r="S819" s="19"/>
      <c r="T819" s="19"/>
      <c r="U819" s="21"/>
      <c r="V819" s="22" t="str">
        <f t="shared" si="174"/>
        <v/>
      </c>
      <c r="W819" s="23"/>
      <c r="X819" s="74"/>
      <c r="Y819" s="33"/>
      <c r="Z819" s="15"/>
    </row>
    <row r="820" spans="1:26" x14ac:dyDescent="0.25">
      <c r="A820" s="21" t="str">
        <f>IF(C820="","",COUNTA($C$3:C820))</f>
        <v/>
      </c>
      <c r="B820" s="15" t="str">
        <f t="shared" si="171"/>
        <v/>
      </c>
      <c r="C820" s="31"/>
      <c r="D820" s="17"/>
      <c r="E820" s="32"/>
      <c r="F820" s="17"/>
      <c r="G820" s="18"/>
      <c r="H820" s="18"/>
      <c r="I820" s="17"/>
      <c r="J820" s="18"/>
      <c r="K820" s="18"/>
      <c r="L820" s="19"/>
      <c r="M820" s="20"/>
      <c r="N820" s="20"/>
      <c r="O820" s="19"/>
      <c r="P820" s="80"/>
      <c r="Q820" s="83"/>
      <c r="R820" s="87"/>
      <c r="S820" s="19"/>
      <c r="T820" s="19"/>
      <c r="U820" s="21"/>
      <c r="V820" s="22" t="str">
        <f t="shared" si="174"/>
        <v/>
      </c>
      <c r="W820" s="23"/>
      <c r="X820" s="74"/>
      <c r="Y820" s="33"/>
      <c r="Z820" s="15"/>
    </row>
    <row r="821" spans="1:26" x14ac:dyDescent="0.25">
      <c r="A821" s="21" t="str">
        <f>IF(C821="","",COUNTA($C$3:C821))</f>
        <v/>
      </c>
      <c r="B821" s="15" t="str">
        <f t="shared" si="171"/>
        <v/>
      </c>
      <c r="C821" s="31"/>
      <c r="D821" s="17"/>
      <c r="E821" s="32"/>
      <c r="F821" s="17"/>
      <c r="G821" s="18"/>
      <c r="H821" s="18"/>
      <c r="I821" s="17"/>
      <c r="J821" s="18"/>
      <c r="K821" s="18"/>
      <c r="L821" s="19"/>
      <c r="M821" s="20"/>
      <c r="N821" s="20"/>
      <c r="O821" s="19"/>
      <c r="P821" s="80"/>
      <c r="Q821" s="83"/>
      <c r="R821" s="87"/>
      <c r="S821" s="19"/>
      <c r="T821" s="19"/>
      <c r="U821" s="21"/>
      <c r="V821" s="22" t="str">
        <f t="shared" si="174"/>
        <v/>
      </c>
      <c r="W821" s="23"/>
      <c r="X821" s="74"/>
      <c r="Y821" s="33"/>
      <c r="Z821" s="15"/>
    </row>
    <row r="822" spans="1:26" x14ac:dyDescent="0.25">
      <c r="A822" s="15" t="str">
        <f>IF(C822="","",COUNTA($C$3:C822))</f>
        <v/>
      </c>
      <c r="B822" s="15" t="str">
        <f t="shared" ref="B822:B834" si="175">IF(C822="","",TEXT(C822,"mmmm"))</f>
        <v/>
      </c>
      <c r="C822" s="31"/>
      <c r="D822" s="17"/>
      <c r="E822" s="32"/>
      <c r="F822" s="17"/>
      <c r="G822" s="18"/>
      <c r="H822" s="18"/>
      <c r="I822" s="17"/>
      <c r="J822" s="18"/>
      <c r="K822" s="18"/>
      <c r="L822" s="19"/>
      <c r="M822" s="20"/>
      <c r="N822" s="20"/>
      <c r="O822" s="19"/>
      <c r="P822" s="80"/>
      <c r="Q822" s="83"/>
      <c r="R822" s="87"/>
      <c r="S822" s="19"/>
      <c r="T822" s="19"/>
      <c r="U822" s="21"/>
      <c r="V822" s="22" t="str">
        <f t="shared" si="174"/>
        <v/>
      </c>
      <c r="W822" s="23"/>
      <c r="X822" s="74"/>
      <c r="Y822" s="33"/>
      <c r="Z822" s="15"/>
    </row>
    <row r="823" spans="1:26" x14ac:dyDescent="0.25">
      <c r="A823" s="15" t="str">
        <f>IF(C823="","",COUNTA($C$3:C823))</f>
        <v/>
      </c>
      <c r="B823" s="15" t="str">
        <f t="shared" si="175"/>
        <v/>
      </c>
      <c r="C823" s="31"/>
      <c r="D823" s="17"/>
      <c r="E823" s="32"/>
      <c r="F823" s="17"/>
      <c r="G823" s="18"/>
      <c r="H823" s="18"/>
      <c r="I823" s="17"/>
      <c r="J823" s="18"/>
      <c r="K823" s="18"/>
      <c r="L823" s="19"/>
      <c r="M823" s="20"/>
      <c r="N823" s="20"/>
      <c r="O823" s="19"/>
      <c r="P823" s="80"/>
      <c r="Q823" s="83"/>
      <c r="R823" s="87"/>
      <c r="S823" s="19"/>
      <c r="T823" s="19"/>
      <c r="U823" s="21"/>
      <c r="V823" s="22" t="str">
        <f t="shared" si="174"/>
        <v/>
      </c>
      <c r="W823" s="23"/>
      <c r="X823" s="74"/>
      <c r="Y823" s="33"/>
      <c r="Z823" s="15"/>
    </row>
    <row r="824" spans="1:26" x14ac:dyDescent="0.25">
      <c r="A824" s="15" t="str">
        <f>IF(C824="","",COUNTA($C$3:C824))</f>
        <v/>
      </c>
      <c r="B824" s="15" t="str">
        <f t="shared" si="175"/>
        <v/>
      </c>
      <c r="C824" s="31"/>
      <c r="D824" s="17"/>
      <c r="E824" s="32"/>
      <c r="F824" s="17"/>
      <c r="G824" s="18"/>
      <c r="H824" s="18"/>
      <c r="I824" s="17"/>
      <c r="J824" s="18"/>
      <c r="K824" s="18"/>
      <c r="L824" s="19"/>
      <c r="M824" s="20"/>
      <c r="N824" s="20"/>
      <c r="O824" s="19"/>
      <c r="P824" s="80"/>
      <c r="Q824" s="83"/>
      <c r="R824" s="87"/>
      <c r="S824" s="19"/>
      <c r="T824" s="19"/>
      <c r="U824" s="21"/>
      <c r="V824" s="22" t="str">
        <f t="shared" si="174"/>
        <v/>
      </c>
      <c r="W824" s="23"/>
      <c r="X824" s="74"/>
      <c r="Y824" s="33"/>
      <c r="Z824" s="15"/>
    </row>
    <row r="825" spans="1:26" x14ac:dyDescent="0.25">
      <c r="A825" s="15" t="str">
        <f>IF(C825="","",COUNTA($C$3:C825))</f>
        <v/>
      </c>
      <c r="B825" s="15" t="str">
        <f t="shared" si="175"/>
        <v/>
      </c>
      <c r="C825" s="31"/>
      <c r="D825" s="17"/>
      <c r="E825" s="32"/>
      <c r="F825" s="17"/>
      <c r="G825" s="18"/>
      <c r="H825" s="18"/>
      <c r="I825" s="17"/>
      <c r="J825" s="18"/>
      <c r="K825" s="18"/>
      <c r="L825" s="19"/>
      <c r="M825" s="20"/>
      <c r="N825" s="20"/>
      <c r="O825" s="19"/>
      <c r="P825" s="80"/>
      <c r="Q825" s="83"/>
      <c r="R825" s="87"/>
      <c r="S825" s="19"/>
      <c r="T825" s="19"/>
      <c r="U825" s="21"/>
      <c r="V825" s="22" t="str">
        <f t="shared" si="174"/>
        <v/>
      </c>
      <c r="W825" s="23"/>
      <c r="X825" s="74"/>
      <c r="Y825" s="33"/>
      <c r="Z825" s="15"/>
    </row>
    <row r="826" spans="1:26" x14ac:dyDescent="0.25">
      <c r="A826" s="15" t="str">
        <f>IF(C826="","",COUNTA($C$3:C826))</f>
        <v/>
      </c>
      <c r="B826" s="15" t="str">
        <f t="shared" si="175"/>
        <v/>
      </c>
      <c r="C826" s="31"/>
      <c r="D826" s="17"/>
      <c r="E826" s="32"/>
      <c r="F826" s="17"/>
      <c r="G826" s="18"/>
      <c r="H826" s="18"/>
      <c r="I826" s="17"/>
      <c r="J826" s="18"/>
      <c r="K826" s="18"/>
      <c r="L826" s="19"/>
      <c r="M826" s="20"/>
      <c r="N826" s="20"/>
      <c r="O826" s="19"/>
      <c r="P826" s="80"/>
      <c r="Q826" s="83"/>
      <c r="R826" s="87"/>
      <c r="S826" s="19"/>
      <c r="T826" s="19"/>
      <c r="U826" s="21"/>
      <c r="V826" s="22" t="str">
        <f t="shared" si="174"/>
        <v/>
      </c>
      <c r="W826" s="23"/>
      <c r="X826" s="74"/>
      <c r="Y826" s="33"/>
      <c r="Z826" s="15"/>
    </row>
    <row r="827" spans="1:26" x14ac:dyDescent="0.25">
      <c r="A827" s="15" t="str">
        <f>IF(C827="","",COUNTA($C$3:C827))</f>
        <v/>
      </c>
      <c r="B827" s="15" t="str">
        <f t="shared" si="175"/>
        <v/>
      </c>
      <c r="C827" s="31"/>
      <c r="D827" s="17"/>
      <c r="E827" s="32"/>
      <c r="F827" s="17"/>
      <c r="G827" s="18"/>
      <c r="H827" s="18"/>
      <c r="I827" s="17"/>
      <c r="J827" s="18"/>
      <c r="K827" s="18"/>
      <c r="L827" s="19"/>
      <c r="M827" s="20"/>
      <c r="N827" s="20"/>
      <c r="O827" s="19"/>
      <c r="P827" s="80"/>
      <c r="Q827" s="83"/>
      <c r="R827" s="87"/>
      <c r="S827" s="19"/>
      <c r="T827" s="19"/>
      <c r="U827" s="21"/>
      <c r="V827" s="22" t="str">
        <f t="shared" si="174"/>
        <v/>
      </c>
      <c r="W827" s="23"/>
      <c r="X827" s="74"/>
      <c r="Y827" s="33"/>
      <c r="Z827" s="15"/>
    </row>
    <row r="828" spans="1:26" x14ac:dyDescent="0.25">
      <c r="A828" s="15" t="str">
        <f>IF(C828="","",COUNTA($C$3:C828))</f>
        <v/>
      </c>
      <c r="B828" s="15" t="str">
        <f t="shared" si="175"/>
        <v/>
      </c>
      <c r="C828" s="31"/>
      <c r="D828" s="17"/>
      <c r="E828" s="32"/>
      <c r="F828" s="17"/>
      <c r="G828" s="18"/>
      <c r="H828" s="18"/>
      <c r="I828" s="17"/>
      <c r="J828" s="18"/>
      <c r="K828" s="18"/>
      <c r="L828" s="19"/>
      <c r="M828" s="20"/>
      <c r="N828" s="20"/>
      <c r="O828" s="19"/>
      <c r="P828" s="80"/>
      <c r="Q828" s="83"/>
      <c r="R828" s="87"/>
      <c r="S828" s="19"/>
      <c r="T828" s="19"/>
      <c r="U828" s="21"/>
      <c r="V828" s="22" t="str">
        <f t="shared" si="174"/>
        <v/>
      </c>
      <c r="W828" s="23"/>
      <c r="X828" s="74"/>
      <c r="Y828" s="33"/>
      <c r="Z828" s="15"/>
    </row>
    <row r="829" spans="1:26" x14ac:dyDescent="0.25">
      <c r="A829" s="15" t="str">
        <f>IF(C829="","",COUNTA($C$3:C829))</f>
        <v/>
      </c>
      <c r="B829" s="15" t="str">
        <f t="shared" si="175"/>
        <v/>
      </c>
      <c r="C829" s="31"/>
      <c r="D829" s="17"/>
      <c r="E829" s="32"/>
      <c r="F829" s="17"/>
      <c r="G829" s="18"/>
      <c r="H829" s="18"/>
      <c r="I829" s="17"/>
      <c r="J829" s="18"/>
      <c r="K829" s="18"/>
      <c r="L829" s="19"/>
      <c r="M829" s="20"/>
      <c r="N829" s="20"/>
      <c r="O829" s="19"/>
      <c r="P829" s="80"/>
      <c r="Q829" s="83"/>
      <c r="R829" s="87"/>
      <c r="S829" s="19"/>
      <c r="T829" s="19"/>
      <c r="U829" s="21"/>
      <c r="V829" s="22" t="str">
        <f t="shared" si="174"/>
        <v/>
      </c>
      <c r="W829" s="23"/>
      <c r="X829" s="74"/>
      <c r="Y829" s="33"/>
      <c r="Z829" s="15"/>
    </row>
    <row r="830" spans="1:26" x14ac:dyDescent="0.25">
      <c r="A830" s="15" t="str">
        <f>IF(C830="","",COUNTA($C$3:C830))</f>
        <v/>
      </c>
      <c r="B830" s="15" t="str">
        <f t="shared" si="175"/>
        <v/>
      </c>
      <c r="C830" s="31"/>
      <c r="D830" s="17"/>
      <c r="E830" s="32"/>
      <c r="F830" s="17"/>
      <c r="G830" s="18"/>
      <c r="H830" s="18"/>
      <c r="I830" s="17"/>
      <c r="J830" s="18"/>
      <c r="K830" s="18"/>
      <c r="L830" s="19"/>
      <c r="M830" s="20"/>
      <c r="N830" s="20"/>
      <c r="O830" s="19"/>
      <c r="P830" s="80"/>
      <c r="Q830" s="83"/>
      <c r="R830" s="87"/>
      <c r="S830" s="19"/>
      <c r="T830" s="19"/>
      <c r="U830" s="21"/>
      <c r="V830" s="22" t="str">
        <f t="shared" si="174"/>
        <v/>
      </c>
      <c r="W830" s="23"/>
      <c r="X830" s="74"/>
      <c r="Y830" s="33"/>
      <c r="Z830" s="15"/>
    </row>
    <row r="831" spans="1:26" x14ac:dyDescent="0.25">
      <c r="A831" s="15" t="str">
        <f>IF(C831="","",COUNTA($C$3:C831))</f>
        <v/>
      </c>
      <c r="B831" s="15" t="str">
        <f t="shared" si="175"/>
        <v/>
      </c>
      <c r="C831" s="31"/>
      <c r="D831" s="17"/>
      <c r="E831" s="32"/>
      <c r="F831" s="17"/>
      <c r="G831" s="18"/>
      <c r="H831" s="18"/>
      <c r="I831" s="17"/>
      <c r="J831" s="18"/>
      <c r="K831" s="18"/>
      <c r="L831" s="19"/>
      <c r="M831" s="20"/>
      <c r="N831" s="20"/>
      <c r="O831" s="19"/>
      <c r="P831" s="80"/>
      <c r="Q831" s="83"/>
      <c r="R831" s="87"/>
      <c r="S831" s="19"/>
      <c r="T831" s="19"/>
      <c r="U831" s="21"/>
      <c r="V831" s="22" t="str">
        <f t="shared" si="174"/>
        <v/>
      </c>
      <c r="W831" s="23"/>
      <c r="X831" s="74"/>
      <c r="Y831" s="33"/>
      <c r="Z831" s="15"/>
    </row>
    <row r="832" spans="1:26" x14ac:dyDescent="0.25">
      <c r="A832" s="15" t="str">
        <f>IF(C832="","",COUNTA($C$3:C832))</f>
        <v/>
      </c>
      <c r="B832" s="15" t="str">
        <f t="shared" si="175"/>
        <v/>
      </c>
      <c r="C832" s="31"/>
      <c r="D832" s="17"/>
      <c r="E832" s="32"/>
      <c r="F832" s="17"/>
      <c r="G832" s="18"/>
      <c r="H832" s="18"/>
      <c r="I832" s="17"/>
      <c r="J832" s="18"/>
      <c r="K832" s="18"/>
      <c r="L832" s="19"/>
      <c r="M832" s="20"/>
      <c r="N832" s="20"/>
      <c r="O832" s="19"/>
      <c r="P832" s="80"/>
      <c r="Q832" s="83"/>
      <c r="R832" s="87"/>
      <c r="S832" s="19"/>
      <c r="T832" s="19"/>
      <c r="U832" s="21"/>
      <c r="V832" s="22" t="str">
        <f t="shared" si="174"/>
        <v/>
      </c>
      <c r="W832" s="23"/>
      <c r="X832" s="74"/>
      <c r="Y832" s="33"/>
      <c r="Z832" s="15"/>
    </row>
    <row r="833" spans="1:26" x14ac:dyDescent="0.25">
      <c r="A833" s="15" t="str">
        <f>IF(C833="","",COUNTA($C$3:C833))</f>
        <v/>
      </c>
      <c r="B833" s="15" t="str">
        <f t="shared" si="175"/>
        <v/>
      </c>
      <c r="C833" s="31"/>
      <c r="D833" s="17"/>
      <c r="E833" s="32"/>
      <c r="F833" s="17"/>
      <c r="G833" s="18"/>
      <c r="H833" s="18"/>
      <c r="I833" s="17"/>
      <c r="J833" s="18"/>
      <c r="K833" s="18"/>
      <c r="L833" s="19"/>
      <c r="M833" s="20"/>
      <c r="N833" s="20"/>
      <c r="O833" s="19"/>
      <c r="P833" s="80"/>
      <c r="Q833" s="83"/>
      <c r="R833" s="87"/>
      <c r="S833" s="19"/>
      <c r="T833" s="19"/>
      <c r="U833" s="21"/>
      <c r="V833" s="22" t="str">
        <f t="shared" si="174"/>
        <v/>
      </c>
      <c r="W833" s="23"/>
      <c r="X833" s="74"/>
      <c r="Y833" s="33"/>
      <c r="Z833" s="15"/>
    </row>
    <row r="834" spans="1:26" x14ac:dyDescent="0.25">
      <c r="A834" s="15" t="str">
        <f>IF(C834="","",COUNTA($C$3:C834))</f>
        <v/>
      </c>
      <c r="B834" s="15" t="str">
        <f t="shared" si="175"/>
        <v/>
      </c>
      <c r="C834" s="31"/>
      <c r="D834" s="17"/>
      <c r="E834" s="32"/>
      <c r="F834" s="17"/>
      <c r="G834" s="18"/>
      <c r="H834" s="18"/>
      <c r="I834" s="17"/>
      <c r="J834" s="18"/>
      <c r="K834" s="18"/>
      <c r="L834" s="19"/>
      <c r="M834" s="20"/>
      <c r="N834" s="20"/>
      <c r="O834" s="19"/>
      <c r="P834" s="80"/>
      <c r="Q834" s="83"/>
      <c r="R834" s="87"/>
      <c r="S834" s="19"/>
      <c r="T834" s="19"/>
      <c r="U834" s="21"/>
      <c r="V834" s="22" t="str">
        <f t="shared" si="174"/>
        <v/>
      </c>
      <c r="W834" s="23"/>
      <c r="X834" s="74"/>
      <c r="Y834" s="33"/>
      <c r="Z834" s="15"/>
    </row>
    <row r="835" spans="1:26" x14ac:dyDescent="0.25">
      <c r="A835" s="15" t="str">
        <f>IF(C835="","",COUNTA($C$3:C835))</f>
        <v/>
      </c>
      <c r="B835" s="15" t="str">
        <f t="shared" ref="B835:B898" si="176">IF(C835="","",TEXT(C835,"mmmm"))</f>
        <v/>
      </c>
      <c r="C835" s="31"/>
      <c r="D835" s="17"/>
      <c r="E835" s="32"/>
      <c r="F835" s="17"/>
      <c r="G835" s="18"/>
      <c r="H835" s="18"/>
      <c r="I835" s="17"/>
      <c r="J835" s="18"/>
      <c r="K835" s="18"/>
      <c r="L835" s="19"/>
      <c r="M835" s="20"/>
      <c r="N835" s="20"/>
      <c r="O835" s="19"/>
      <c r="P835" s="80"/>
      <c r="Q835" s="83"/>
      <c r="R835" s="87"/>
      <c r="S835" s="19"/>
      <c r="T835" s="19"/>
      <c r="U835" s="21"/>
      <c r="V835" s="22" t="str">
        <f t="shared" ref="V835:V890" si="177">IF(U835="","",(U835/T835))</f>
        <v/>
      </c>
      <c r="W835" s="23"/>
      <c r="X835" s="74"/>
      <c r="Y835" s="33"/>
      <c r="Z835" s="15"/>
    </row>
    <row r="836" spans="1:26" x14ac:dyDescent="0.25">
      <c r="A836" s="15" t="str">
        <f>IF(C836="","",COUNTA($C$3:C836))</f>
        <v/>
      </c>
      <c r="B836" s="15" t="str">
        <f t="shared" si="176"/>
        <v/>
      </c>
      <c r="C836" s="31"/>
      <c r="D836" s="17"/>
      <c r="E836" s="32"/>
      <c r="F836" s="17"/>
      <c r="G836" s="18"/>
      <c r="H836" s="18"/>
      <c r="I836" s="17"/>
      <c r="J836" s="18"/>
      <c r="K836" s="18"/>
      <c r="L836" s="19"/>
      <c r="M836" s="20"/>
      <c r="N836" s="20"/>
      <c r="O836" s="19"/>
      <c r="P836" s="80"/>
      <c r="Q836" s="83"/>
      <c r="R836" s="87"/>
      <c r="S836" s="19"/>
      <c r="T836" s="19"/>
      <c r="U836" s="21"/>
      <c r="V836" s="22" t="str">
        <f t="shared" si="177"/>
        <v/>
      </c>
      <c r="W836" s="23"/>
      <c r="X836" s="74"/>
      <c r="Y836" s="33"/>
      <c r="Z836" s="15"/>
    </row>
    <row r="837" spans="1:26" x14ac:dyDescent="0.25">
      <c r="A837" s="15" t="str">
        <f>IF(C837="","",COUNTA($C$3:C837))</f>
        <v/>
      </c>
      <c r="B837" s="15" t="str">
        <f t="shared" si="176"/>
        <v/>
      </c>
      <c r="C837" s="31"/>
      <c r="D837" s="17"/>
      <c r="E837" s="32"/>
      <c r="F837" s="17"/>
      <c r="G837" s="18"/>
      <c r="H837" s="18"/>
      <c r="I837" s="17"/>
      <c r="J837" s="18"/>
      <c r="K837" s="18"/>
      <c r="L837" s="19"/>
      <c r="M837" s="20"/>
      <c r="N837" s="20"/>
      <c r="O837" s="19"/>
      <c r="P837" s="80"/>
      <c r="Q837" s="83"/>
      <c r="R837" s="87"/>
      <c r="S837" s="19"/>
      <c r="T837" s="19"/>
      <c r="U837" s="21"/>
      <c r="V837" s="22" t="str">
        <f t="shared" si="177"/>
        <v/>
      </c>
      <c r="W837" s="23"/>
      <c r="X837" s="74"/>
      <c r="Y837" s="33"/>
      <c r="Z837" s="15"/>
    </row>
    <row r="838" spans="1:26" x14ac:dyDescent="0.25">
      <c r="A838" s="15" t="str">
        <f>IF(C838="","",COUNTA($C$3:C838))</f>
        <v/>
      </c>
      <c r="B838" s="15" t="str">
        <f t="shared" si="176"/>
        <v/>
      </c>
      <c r="C838" s="31"/>
      <c r="D838" s="17"/>
      <c r="E838" s="32"/>
      <c r="F838" s="17"/>
      <c r="G838" s="18"/>
      <c r="H838" s="18"/>
      <c r="I838" s="17"/>
      <c r="J838" s="18"/>
      <c r="K838" s="18"/>
      <c r="L838" s="19"/>
      <c r="M838" s="20"/>
      <c r="N838" s="20"/>
      <c r="O838" s="19"/>
      <c r="P838" s="80"/>
      <c r="Q838" s="83"/>
      <c r="R838" s="87"/>
      <c r="S838" s="19"/>
      <c r="T838" s="19"/>
      <c r="U838" s="21"/>
      <c r="V838" s="22" t="str">
        <f t="shared" si="177"/>
        <v/>
      </c>
      <c r="W838" s="23"/>
      <c r="X838" s="74"/>
      <c r="Y838" s="33"/>
      <c r="Z838" s="15"/>
    </row>
    <row r="839" spans="1:26" x14ac:dyDescent="0.25">
      <c r="A839" s="15" t="str">
        <f>IF(C839="","",COUNTA($C$3:C839))</f>
        <v/>
      </c>
      <c r="B839" s="15" t="str">
        <f t="shared" si="176"/>
        <v/>
      </c>
      <c r="C839" s="31"/>
      <c r="D839" s="17"/>
      <c r="E839" s="32"/>
      <c r="F839" s="17"/>
      <c r="G839" s="18"/>
      <c r="H839" s="18"/>
      <c r="I839" s="17"/>
      <c r="J839" s="18"/>
      <c r="K839" s="18"/>
      <c r="L839" s="19"/>
      <c r="M839" s="20"/>
      <c r="N839" s="20"/>
      <c r="O839" s="19"/>
      <c r="P839" s="80"/>
      <c r="Q839" s="83"/>
      <c r="R839" s="87"/>
      <c r="S839" s="19"/>
      <c r="T839" s="19"/>
      <c r="U839" s="21"/>
      <c r="V839" s="22" t="str">
        <f t="shared" si="177"/>
        <v/>
      </c>
      <c r="W839" s="23"/>
      <c r="X839" s="74"/>
      <c r="Y839" s="33"/>
      <c r="Z839" s="15"/>
    </row>
    <row r="840" spans="1:26" x14ac:dyDescent="0.25">
      <c r="A840" s="15" t="str">
        <f>IF(C840="","",COUNTA($C$3:C840))</f>
        <v/>
      </c>
      <c r="B840" s="15" t="str">
        <f t="shared" si="176"/>
        <v/>
      </c>
      <c r="C840" s="31"/>
      <c r="D840" s="17"/>
      <c r="E840" s="32"/>
      <c r="F840" s="17"/>
      <c r="G840" s="18"/>
      <c r="H840" s="18"/>
      <c r="I840" s="17"/>
      <c r="J840" s="18"/>
      <c r="K840" s="18"/>
      <c r="L840" s="19"/>
      <c r="M840" s="20"/>
      <c r="N840" s="20"/>
      <c r="O840" s="19"/>
      <c r="P840" s="80"/>
      <c r="Q840" s="83"/>
      <c r="R840" s="87"/>
      <c r="S840" s="19"/>
      <c r="T840" s="19"/>
      <c r="U840" s="21"/>
      <c r="V840" s="22" t="str">
        <f t="shared" si="177"/>
        <v/>
      </c>
      <c r="W840" s="23"/>
      <c r="X840" s="74"/>
      <c r="Y840" s="33"/>
      <c r="Z840" s="15"/>
    </row>
    <row r="841" spans="1:26" x14ac:dyDescent="0.25">
      <c r="A841" s="15" t="str">
        <f>IF(C841="","",COUNTA($C$3:C841))</f>
        <v/>
      </c>
      <c r="B841" s="15" t="str">
        <f t="shared" si="176"/>
        <v/>
      </c>
      <c r="C841" s="31"/>
      <c r="D841" s="17"/>
      <c r="E841" s="32"/>
      <c r="F841" s="17"/>
      <c r="G841" s="18"/>
      <c r="H841" s="18"/>
      <c r="I841" s="17"/>
      <c r="J841" s="18"/>
      <c r="K841" s="18"/>
      <c r="L841" s="19"/>
      <c r="M841" s="20"/>
      <c r="N841" s="20"/>
      <c r="O841" s="19"/>
      <c r="P841" s="80"/>
      <c r="Q841" s="83"/>
      <c r="R841" s="87"/>
      <c r="S841" s="19"/>
      <c r="T841" s="19"/>
      <c r="U841" s="21"/>
      <c r="V841" s="22" t="str">
        <f t="shared" si="177"/>
        <v/>
      </c>
      <c r="W841" s="23"/>
      <c r="X841" s="74"/>
      <c r="Y841" s="33"/>
      <c r="Z841" s="15"/>
    </row>
    <row r="842" spans="1:26" x14ac:dyDescent="0.25">
      <c r="A842" s="15" t="str">
        <f>IF(C842="","",COUNTA($C$3:C842))</f>
        <v/>
      </c>
      <c r="B842" s="15" t="str">
        <f t="shared" si="176"/>
        <v/>
      </c>
      <c r="C842" s="31"/>
      <c r="D842" s="17"/>
      <c r="E842" s="32"/>
      <c r="F842" s="17"/>
      <c r="G842" s="18"/>
      <c r="H842" s="18"/>
      <c r="I842" s="17"/>
      <c r="J842" s="18"/>
      <c r="K842" s="18"/>
      <c r="L842" s="19"/>
      <c r="M842" s="20"/>
      <c r="N842" s="20"/>
      <c r="O842" s="19"/>
      <c r="P842" s="80"/>
      <c r="Q842" s="83"/>
      <c r="R842" s="87"/>
      <c r="S842" s="19"/>
      <c r="T842" s="19"/>
      <c r="U842" s="21"/>
      <c r="V842" s="22" t="str">
        <f t="shared" si="177"/>
        <v/>
      </c>
      <c r="W842" s="23"/>
      <c r="X842" s="74"/>
      <c r="Y842" s="33"/>
      <c r="Z842" s="15"/>
    </row>
    <row r="843" spans="1:26" x14ac:dyDescent="0.25">
      <c r="A843" s="15" t="str">
        <f>IF(C843="","",COUNTA($C$3:C843))</f>
        <v/>
      </c>
      <c r="B843" s="15" t="str">
        <f t="shared" si="176"/>
        <v/>
      </c>
      <c r="C843" s="31"/>
      <c r="D843" s="17"/>
      <c r="E843" s="32"/>
      <c r="F843" s="17"/>
      <c r="G843" s="18"/>
      <c r="H843" s="18"/>
      <c r="I843" s="17"/>
      <c r="J843" s="18"/>
      <c r="K843" s="18"/>
      <c r="L843" s="19"/>
      <c r="M843" s="20"/>
      <c r="N843" s="20"/>
      <c r="O843" s="19"/>
      <c r="P843" s="80"/>
      <c r="Q843" s="83"/>
      <c r="R843" s="87"/>
      <c r="S843" s="19"/>
      <c r="T843" s="19"/>
      <c r="U843" s="21"/>
      <c r="V843" s="22" t="str">
        <f t="shared" si="177"/>
        <v/>
      </c>
      <c r="W843" s="23"/>
      <c r="X843" s="74"/>
      <c r="Y843" s="33"/>
      <c r="Z843" s="15"/>
    </row>
    <row r="844" spans="1:26" x14ac:dyDescent="0.25">
      <c r="A844" s="15" t="str">
        <f>IF(C844="","",COUNTA($C$3:C844))</f>
        <v/>
      </c>
      <c r="B844" s="15" t="str">
        <f t="shared" si="176"/>
        <v/>
      </c>
      <c r="C844" s="31"/>
      <c r="D844" s="17"/>
      <c r="E844" s="32"/>
      <c r="F844" s="17"/>
      <c r="G844" s="18"/>
      <c r="H844" s="18"/>
      <c r="I844" s="17"/>
      <c r="J844" s="18"/>
      <c r="K844" s="18"/>
      <c r="L844" s="19"/>
      <c r="M844" s="20"/>
      <c r="N844" s="20"/>
      <c r="O844" s="19"/>
      <c r="P844" s="80"/>
      <c r="Q844" s="83"/>
      <c r="R844" s="87"/>
      <c r="S844" s="19"/>
      <c r="T844" s="19"/>
      <c r="U844" s="21"/>
      <c r="V844" s="22" t="str">
        <f t="shared" si="177"/>
        <v/>
      </c>
      <c r="W844" s="23"/>
      <c r="X844" s="74"/>
      <c r="Y844" s="33"/>
      <c r="Z844" s="15"/>
    </row>
    <row r="845" spans="1:26" x14ac:dyDescent="0.25">
      <c r="A845" s="15" t="str">
        <f>IF(C845="","",COUNTA($C$3:C845))</f>
        <v/>
      </c>
      <c r="B845" s="15" t="str">
        <f t="shared" si="176"/>
        <v/>
      </c>
      <c r="C845" s="31"/>
      <c r="D845" s="17"/>
      <c r="E845" s="32"/>
      <c r="F845" s="17"/>
      <c r="G845" s="18"/>
      <c r="H845" s="18"/>
      <c r="I845" s="17"/>
      <c r="J845" s="18"/>
      <c r="K845" s="18"/>
      <c r="L845" s="19"/>
      <c r="M845" s="20"/>
      <c r="N845" s="20"/>
      <c r="O845" s="19"/>
      <c r="P845" s="80"/>
      <c r="Q845" s="83"/>
      <c r="R845" s="87"/>
      <c r="S845" s="19"/>
      <c r="T845" s="19"/>
      <c r="U845" s="21"/>
      <c r="V845" s="22" t="str">
        <f t="shared" si="177"/>
        <v/>
      </c>
      <c r="W845" s="23"/>
      <c r="X845" s="74"/>
      <c r="Y845" s="33"/>
      <c r="Z845" s="15"/>
    </row>
    <row r="846" spans="1:26" x14ac:dyDescent="0.25">
      <c r="A846" s="15" t="str">
        <f>IF(C846="","",COUNTA($C$3:C846))</f>
        <v/>
      </c>
      <c r="B846" s="15" t="str">
        <f t="shared" si="176"/>
        <v/>
      </c>
      <c r="C846" s="31"/>
      <c r="D846" s="17"/>
      <c r="E846" s="32"/>
      <c r="F846" s="17"/>
      <c r="G846" s="18"/>
      <c r="H846" s="18"/>
      <c r="I846" s="17"/>
      <c r="J846" s="18"/>
      <c r="K846" s="18"/>
      <c r="L846" s="19"/>
      <c r="M846" s="20"/>
      <c r="N846" s="20"/>
      <c r="O846" s="19"/>
      <c r="P846" s="80"/>
      <c r="Q846" s="83"/>
      <c r="R846" s="87"/>
      <c r="S846" s="19"/>
      <c r="T846" s="19"/>
      <c r="U846" s="21"/>
      <c r="V846" s="22" t="str">
        <f t="shared" si="177"/>
        <v/>
      </c>
      <c r="W846" s="23"/>
      <c r="X846" s="74"/>
      <c r="Y846" s="33"/>
      <c r="Z846" s="15"/>
    </row>
    <row r="847" spans="1:26" x14ac:dyDescent="0.25">
      <c r="A847" s="15" t="str">
        <f>IF(C847="","",COUNTA($C$3:C847))</f>
        <v/>
      </c>
      <c r="B847" s="15" t="str">
        <f t="shared" si="176"/>
        <v/>
      </c>
      <c r="C847" s="31"/>
      <c r="D847" s="17"/>
      <c r="E847" s="32"/>
      <c r="F847" s="17"/>
      <c r="G847" s="18"/>
      <c r="H847" s="18"/>
      <c r="I847" s="17"/>
      <c r="J847" s="18"/>
      <c r="K847" s="18"/>
      <c r="L847" s="19"/>
      <c r="M847" s="20"/>
      <c r="N847" s="20"/>
      <c r="O847" s="19"/>
      <c r="P847" s="80"/>
      <c r="Q847" s="83"/>
      <c r="R847" s="87"/>
      <c r="S847" s="19"/>
      <c r="T847" s="19"/>
      <c r="U847" s="21"/>
      <c r="V847" s="22" t="str">
        <f t="shared" si="177"/>
        <v/>
      </c>
      <c r="W847" s="23"/>
      <c r="X847" s="74"/>
      <c r="Y847" s="33"/>
      <c r="Z847" s="15"/>
    </row>
    <row r="848" spans="1:26" x14ac:dyDescent="0.25">
      <c r="A848" s="15" t="str">
        <f>IF(C848="","",COUNTA($C$3:C848))</f>
        <v/>
      </c>
      <c r="B848" s="15" t="str">
        <f t="shared" si="176"/>
        <v/>
      </c>
      <c r="C848" s="31"/>
      <c r="D848" s="17"/>
      <c r="E848" s="32"/>
      <c r="F848" s="17"/>
      <c r="G848" s="18"/>
      <c r="H848" s="18"/>
      <c r="I848" s="17"/>
      <c r="J848" s="18"/>
      <c r="K848" s="18"/>
      <c r="L848" s="19"/>
      <c r="M848" s="20"/>
      <c r="N848" s="20"/>
      <c r="O848" s="19"/>
      <c r="P848" s="80"/>
      <c r="Q848" s="83"/>
      <c r="R848" s="87"/>
      <c r="S848" s="19"/>
      <c r="T848" s="19"/>
      <c r="U848" s="21"/>
      <c r="V848" s="22" t="str">
        <f t="shared" si="177"/>
        <v/>
      </c>
      <c r="W848" s="23"/>
      <c r="X848" s="74"/>
      <c r="Y848" s="33"/>
      <c r="Z848" s="15"/>
    </row>
    <row r="849" spans="1:26" x14ac:dyDescent="0.25">
      <c r="A849" s="15" t="str">
        <f>IF(C849="","",COUNTA($C$3:C849))</f>
        <v/>
      </c>
      <c r="B849" s="15" t="str">
        <f t="shared" si="176"/>
        <v/>
      </c>
      <c r="C849" s="31"/>
      <c r="D849" s="17"/>
      <c r="E849" s="32"/>
      <c r="F849" s="17"/>
      <c r="G849" s="18"/>
      <c r="H849" s="18"/>
      <c r="I849" s="17"/>
      <c r="J849" s="18"/>
      <c r="K849" s="18"/>
      <c r="L849" s="19"/>
      <c r="M849" s="20"/>
      <c r="N849" s="20"/>
      <c r="O849" s="19"/>
      <c r="P849" s="80"/>
      <c r="Q849" s="83"/>
      <c r="R849" s="87"/>
      <c r="S849" s="19"/>
      <c r="T849" s="19"/>
      <c r="U849" s="21"/>
      <c r="V849" s="22" t="str">
        <f t="shared" si="177"/>
        <v/>
      </c>
      <c r="W849" s="23"/>
      <c r="X849" s="74"/>
      <c r="Y849" s="33"/>
      <c r="Z849" s="15"/>
    </row>
    <row r="850" spans="1:26" x14ac:dyDescent="0.25">
      <c r="A850" s="15" t="str">
        <f>IF(C850="","",COUNTA($C$3:C850))</f>
        <v/>
      </c>
      <c r="B850" s="15" t="str">
        <f t="shared" si="176"/>
        <v/>
      </c>
      <c r="C850" s="31"/>
      <c r="D850" s="17"/>
      <c r="E850" s="32"/>
      <c r="F850" s="17"/>
      <c r="G850" s="18"/>
      <c r="H850" s="18"/>
      <c r="I850" s="17"/>
      <c r="J850" s="18"/>
      <c r="K850" s="18"/>
      <c r="L850" s="19"/>
      <c r="M850" s="20"/>
      <c r="N850" s="20"/>
      <c r="O850" s="19"/>
      <c r="P850" s="80"/>
      <c r="Q850" s="83"/>
      <c r="R850" s="87"/>
      <c r="S850" s="19"/>
      <c r="T850" s="19"/>
      <c r="U850" s="21"/>
      <c r="V850" s="22" t="str">
        <f t="shared" si="177"/>
        <v/>
      </c>
      <c r="W850" s="23"/>
      <c r="X850" s="74"/>
      <c r="Y850" s="33"/>
      <c r="Z850" s="15"/>
    </row>
    <row r="851" spans="1:26" x14ac:dyDescent="0.25">
      <c r="A851" s="15" t="str">
        <f>IF(C851="","",COUNTA($C$3:C851))</f>
        <v/>
      </c>
      <c r="B851" s="15" t="str">
        <f t="shared" si="176"/>
        <v/>
      </c>
      <c r="C851" s="31"/>
      <c r="D851" s="17"/>
      <c r="E851" s="32"/>
      <c r="F851" s="17"/>
      <c r="G851" s="18"/>
      <c r="H851" s="18"/>
      <c r="I851" s="17"/>
      <c r="J851" s="18"/>
      <c r="K851" s="18"/>
      <c r="L851" s="19"/>
      <c r="M851" s="20"/>
      <c r="N851" s="20"/>
      <c r="O851" s="19"/>
      <c r="P851" s="80"/>
      <c r="Q851" s="83"/>
      <c r="R851" s="87"/>
      <c r="S851" s="19"/>
      <c r="T851" s="19"/>
      <c r="U851" s="21"/>
      <c r="V851" s="22" t="str">
        <f t="shared" si="177"/>
        <v/>
      </c>
      <c r="W851" s="23"/>
      <c r="X851" s="74"/>
      <c r="Y851" s="33"/>
      <c r="Z851" s="15"/>
    </row>
    <row r="852" spans="1:26" x14ac:dyDescent="0.25">
      <c r="A852" s="15" t="str">
        <f>IF(C852="","",COUNTA($C$3:C852))</f>
        <v/>
      </c>
      <c r="B852" s="15" t="str">
        <f t="shared" si="176"/>
        <v/>
      </c>
      <c r="C852" s="31"/>
      <c r="D852" s="17"/>
      <c r="E852" s="32"/>
      <c r="F852" s="17"/>
      <c r="G852" s="18"/>
      <c r="H852" s="18"/>
      <c r="I852" s="17"/>
      <c r="J852" s="18"/>
      <c r="K852" s="18"/>
      <c r="L852" s="19"/>
      <c r="M852" s="20"/>
      <c r="N852" s="20"/>
      <c r="O852" s="19"/>
      <c r="P852" s="80"/>
      <c r="Q852" s="83"/>
      <c r="R852" s="87"/>
      <c r="S852" s="19"/>
      <c r="T852" s="19"/>
      <c r="U852" s="21"/>
      <c r="V852" s="22" t="str">
        <f t="shared" si="177"/>
        <v/>
      </c>
      <c r="W852" s="23"/>
      <c r="X852" s="74"/>
      <c r="Y852" s="33"/>
      <c r="Z852" s="15"/>
    </row>
    <row r="853" spans="1:26" x14ac:dyDescent="0.25">
      <c r="A853" s="15" t="str">
        <f>IF(C853="","",COUNTA($C$3:C853))</f>
        <v/>
      </c>
      <c r="B853" s="15" t="str">
        <f t="shared" si="176"/>
        <v/>
      </c>
      <c r="C853" s="31"/>
      <c r="D853" s="17"/>
      <c r="E853" s="32"/>
      <c r="F853" s="17"/>
      <c r="G853" s="18"/>
      <c r="H853" s="18"/>
      <c r="I853" s="17"/>
      <c r="J853" s="18"/>
      <c r="K853" s="18"/>
      <c r="L853" s="19"/>
      <c r="M853" s="20"/>
      <c r="N853" s="20"/>
      <c r="O853" s="19"/>
      <c r="P853" s="80"/>
      <c r="Q853" s="83"/>
      <c r="R853" s="87"/>
      <c r="S853" s="19"/>
      <c r="T853" s="19"/>
      <c r="U853" s="21"/>
      <c r="V853" s="22" t="str">
        <f t="shared" si="177"/>
        <v/>
      </c>
      <c r="W853" s="23"/>
      <c r="X853" s="74"/>
      <c r="Y853" s="33"/>
      <c r="Z853" s="15"/>
    </row>
    <row r="854" spans="1:26" x14ac:dyDescent="0.25">
      <c r="A854" s="15" t="str">
        <f>IF(C854="","",COUNTA($C$3:C854))</f>
        <v/>
      </c>
      <c r="B854" s="15" t="str">
        <f t="shared" si="176"/>
        <v/>
      </c>
      <c r="C854" s="31"/>
      <c r="D854" s="17"/>
      <c r="E854" s="32"/>
      <c r="F854" s="17"/>
      <c r="G854" s="18"/>
      <c r="H854" s="18"/>
      <c r="I854" s="17"/>
      <c r="J854" s="18"/>
      <c r="K854" s="18"/>
      <c r="L854" s="19"/>
      <c r="M854" s="20"/>
      <c r="N854" s="20"/>
      <c r="O854" s="19"/>
      <c r="P854" s="80"/>
      <c r="Q854" s="83"/>
      <c r="R854" s="87"/>
      <c r="S854" s="19"/>
      <c r="T854" s="19"/>
      <c r="U854" s="21"/>
      <c r="V854" s="22" t="str">
        <f t="shared" si="177"/>
        <v/>
      </c>
      <c r="W854" s="23"/>
      <c r="X854" s="74"/>
      <c r="Y854" s="33"/>
      <c r="Z854" s="15"/>
    </row>
    <row r="855" spans="1:26" x14ac:dyDescent="0.25">
      <c r="A855" s="15" t="str">
        <f>IF(C855="","",COUNTA($C$3:C855))</f>
        <v/>
      </c>
      <c r="B855" s="15" t="str">
        <f t="shared" si="176"/>
        <v/>
      </c>
      <c r="C855" s="31"/>
      <c r="D855" s="17"/>
      <c r="E855" s="32"/>
      <c r="F855" s="17"/>
      <c r="G855" s="18"/>
      <c r="H855" s="18"/>
      <c r="I855" s="17"/>
      <c r="J855" s="18"/>
      <c r="K855" s="18"/>
      <c r="L855" s="19"/>
      <c r="M855" s="20"/>
      <c r="N855" s="20"/>
      <c r="O855" s="19"/>
      <c r="P855" s="80"/>
      <c r="Q855" s="83"/>
      <c r="R855" s="87"/>
      <c r="S855" s="19"/>
      <c r="T855" s="19"/>
      <c r="U855" s="21"/>
      <c r="V855" s="22" t="str">
        <f t="shared" si="177"/>
        <v/>
      </c>
      <c r="W855" s="23"/>
      <c r="X855" s="74"/>
      <c r="Y855" s="33"/>
      <c r="Z855" s="15"/>
    </row>
    <row r="856" spans="1:26" x14ac:dyDescent="0.25">
      <c r="A856" s="15" t="str">
        <f>IF(C856="","",COUNTA($C$3:C856))</f>
        <v/>
      </c>
      <c r="B856" s="15" t="str">
        <f t="shared" si="176"/>
        <v/>
      </c>
      <c r="C856" s="31"/>
      <c r="D856" s="17"/>
      <c r="E856" s="32"/>
      <c r="F856" s="17"/>
      <c r="G856" s="18"/>
      <c r="H856" s="18"/>
      <c r="I856" s="17"/>
      <c r="J856" s="18"/>
      <c r="K856" s="18"/>
      <c r="L856" s="19"/>
      <c r="M856" s="20"/>
      <c r="N856" s="20"/>
      <c r="O856" s="19"/>
      <c r="P856" s="80"/>
      <c r="Q856" s="83"/>
      <c r="R856" s="87"/>
      <c r="S856" s="19"/>
      <c r="T856" s="19"/>
      <c r="U856" s="21"/>
      <c r="V856" s="22" t="str">
        <f t="shared" si="177"/>
        <v/>
      </c>
      <c r="W856" s="23"/>
      <c r="X856" s="74"/>
      <c r="Y856" s="33"/>
      <c r="Z856" s="15"/>
    </row>
    <row r="857" spans="1:26" x14ac:dyDescent="0.25">
      <c r="A857" s="15" t="str">
        <f>IF(C857="","",COUNTA($C$3:C857))</f>
        <v/>
      </c>
      <c r="B857" s="15" t="str">
        <f t="shared" si="176"/>
        <v/>
      </c>
      <c r="C857" s="31"/>
      <c r="D857" s="17"/>
      <c r="E857" s="32"/>
      <c r="F857" s="17"/>
      <c r="G857" s="18"/>
      <c r="H857" s="18"/>
      <c r="I857" s="17"/>
      <c r="J857" s="18"/>
      <c r="K857" s="18"/>
      <c r="L857" s="19"/>
      <c r="M857" s="20"/>
      <c r="N857" s="20"/>
      <c r="O857" s="19"/>
      <c r="P857" s="80"/>
      <c r="Q857" s="83"/>
      <c r="R857" s="87"/>
      <c r="S857" s="19"/>
      <c r="T857" s="19"/>
      <c r="U857" s="21"/>
      <c r="V857" s="22" t="str">
        <f t="shared" si="177"/>
        <v/>
      </c>
      <c r="W857" s="23"/>
      <c r="X857" s="74"/>
      <c r="Y857" s="33"/>
      <c r="Z857" s="15"/>
    </row>
    <row r="858" spans="1:26" x14ac:dyDescent="0.25">
      <c r="A858" s="15" t="str">
        <f>IF(C858="","",COUNTA($C$3:C858))</f>
        <v/>
      </c>
      <c r="B858" s="15" t="str">
        <f t="shared" si="176"/>
        <v/>
      </c>
      <c r="C858" s="31"/>
      <c r="D858" s="17"/>
      <c r="E858" s="32"/>
      <c r="F858" s="17"/>
      <c r="G858" s="18"/>
      <c r="H858" s="18"/>
      <c r="I858" s="17"/>
      <c r="J858" s="18"/>
      <c r="K858" s="18"/>
      <c r="L858" s="19"/>
      <c r="M858" s="20"/>
      <c r="N858" s="20"/>
      <c r="O858" s="19"/>
      <c r="P858" s="80"/>
      <c r="Q858" s="83"/>
      <c r="R858" s="87"/>
      <c r="S858" s="19"/>
      <c r="T858" s="19"/>
      <c r="U858" s="21"/>
      <c r="V858" s="22" t="str">
        <f t="shared" si="177"/>
        <v/>
      </c>
      <c r="W858" s="23"/>
      <c r="X858" s="74"/>
      <c r="Y858" s="33"/>
      <c r="Z858" s="15"/>
    </row>
    <row r="859" spans="1:26" x14ac:dyDescent="0.25">
      <c r="A859" s="15" t="str">
        <f>IF(C859="","",COUNTA($C$3:C859))</f>
        <v/>
      </c>
      <c r="B859" s="15" t="str">
        <f t="shared" si="176"/>
        <v/>
      </c>
      <c r="C859" s="31"/>
      <c r="D859" s="17"/>
      <c r="E859" s="32"/>
      <c r="F859" s="17"/>
      <c r="G859" s="18"/>
      <c r="H859" s="18"/>
      <c r="I859" s="17"/>
      <c r="J859" s="18"/>
      <c r="K859" s="18"/>
      <c r="L859" s="19"/>
      <c r="M859" s="20"/>
      <c r="N859" s="20"/>
      <c r="O859" s="19"/>
      <c r="P859" s="80"/>
      <c r="Q859" s="83"/>
      <c r="R859" s="87"/>
      <c r="S859" s="19"/>
      <c r="T859" s="19"/>
      <c r="U859" s="21"/>
      <c r="V859" s="22" t="str">
        <f t="shared" si="177"/>
        <v/>
      </c>
      <c r="W859" s="23"/>
      <c r="X859" s="74"/>
      <c r="Y859" s="33"/>
      <c r="Z859" s="15"/>
    </row>
    <row r="860" spans="1:26" x14ac:dyDescent="0.25">
      <c r="A860" s="15" t="str">
        <f>IF(C860="","",COUNTA($C$3:C860))</f>
        <v/>
      </c>
      <c r="B860" s="15" t="str">
        <f t="shared" si="176"/>
        <v/>
      </c>
      <c r="C860" s="31"/>
      <c r="D860" s="17"/>
      <c r="E860" s="32"/>
      <c r="F860" s="17"/>
      <c r="G860" s="18"/>
      <c r="H860" s="18"/>
      <c r="I860" s="17"/>
      <c r="J860" s="18"/>
      <c r="K860" s="18"/>
      <c r="L860" s="19"/>
      <c r="M860" s="20"/>
      <c r="N860" s="20"/>
      <c r="O860" s="19"/>
      <c r="P860" s="80"/>
      <c r="Q860" s="83"/>
      <c r="R860" s="87"/>
      <c r="S860" s="19"/>
      <c r="T860" s="19"/>
      <c r="U860" s="21"/>
      <c r="V860" s="22" t="str">
        <f t="shared" si="177"/>
        <v/>
      </c>
      <c r="W860" s="23"/>
      <c r="X860" s="74"/>
      <c r="Y860" s="33"/>
      <c r="Z860" s="15"/>
    </row>
    <row r="861" spans="1:26" x14ac:dyDescent="0.25">
      <c r="A861" s="15" t="str">
        <f>IF(C861="","",COUNTA($C$3:C861))</f>
        <v/>
      </c>
      <c r="B861" s="15" t="str">
        <f t="shared" si="176"/>
        <v/>
      </c>
      <c r="C861" s="31"/>
      <c r="D861" s="17"/>
      <c r="E861" s="32"/>
      <c r="F861" s="17"/>
      <c r="G861" s="18"/>
      <c r="H861" s="18"/>
      <c r="I861" s="17"/>
      <c r="J861" s="18"/>
      <c r="K861" s="18"/>
      <c r="L861" s="19"/>
      <c r="M861" s="20"/>
      <c r="N861" s="20"/>
      <c r="O861" s="19"/>
      <c r="P861" s="80"/>
      <c r="Q861" s="83"/>
      <c r="R861" s="87"/>
      <c r="S861" s="19"/>
      <c r="T861" s="19"/>
      <c r="U861" s="21"/>
      <c r="V861" s="22" t="str">
        <f t="shared" si="177"/>
        <v/>
      </c>
      <c r="W861" s="23"/>
      <c r="X861" s="74"/>
      <c r="Y861" s="33"/>
      <c r="Z861" s="15"/>
    </row>
    <row r="862" spans="1:26" x14ac:dyDescent="0.25">
      <c r="A862" s="15" t="str">
        <f>IF(C862="","",COUNTA($C$3:C862))</f>
        <v/>
      </c>
      <c r="B862" s="15" t="str">
        <f t="shared" si="176"/>
        <v/>
      </c>
      <c r="C862" s="31"/>
      <c r="D862" s="17"/>
      <c r="E862" s="32"/>
      <c r="F862" s="17"/>
      <c r="G862" s="18"/>
      <c r="H862" s="18"/>
      <c r="I862" s="17"/>
      <c r="J862" s="18"/>
      <c r="K862" s="18"/>
      <c r="L862" s="19"/>
      <c r="M862" s="20"/>
      <c r="N862" s="20"/>
      <c r="O862" s="19"/>
      <c r="P862" s="80"/>
      <c r="Q862" s="83"/>
      <c r="R862" s="87"/>
      <c r="S862" s="19"/>
      <c r="T862" s="19"/>
      <c r="U862" s="21"/>
      <c r="V862" s="22" t="str">
        <f t="shared" si="177"/>
        <v/>
      </c>
      <c r="W862" s="23"/>
      <c r="X862" s="74"/>
      <c r="Y862" s="33"/>
      <c r="Z862" s="15"/>
    </row>
    <row r="863" spans="1:26" x14ac:dyDescent="0.25">
      <c r="A863" s="15" t="str">
        <f>IF(C863="","",COUNTA($C$3:C863))</f>
        <v/>
      </c>
      <c r="B863" s="15" t="str">
        <f t="shared" si="176"/>
        <v/>
      </c>
      <c r="C863" s="31"/>
      <c r="D863" s="17"/>
      <c r="E863" s="32"/>
      <c r="F863" s="17"/>
      <c r="G863" s="18"/>
      <c r="H863" s="18"/>
      <c r="I863" s="17"/>
      <c r="J863" s="18"/>
      <c r="K863" s="18"/>
      <c r="L863" s="19"/>
      <c r="M863" s="20"/>
      <c r="N863" s="20"/>
      <c r="O863" s="19"/>
      <c r="P863" s="80"/>
      <c r="Q863" s="83"/>
      <c r="R863" s="87"/>
      <c r="S863" s="19"/>
      <c r="T863" s="19"/>
      <c r="U863" s="21"/>
      <c r="V863" s="22" t="str">
        <f t="shared" si="177"/>
        <v/>
      </c>
      <c r="W863" s="23"/>
      <c r="X863" s="74"/>
      <c r="Y863" s="33"/>
      <c r="Z863" s="15"/>
    </row>
    <row r="864" spans="1:26" x14ac:dyDescent="0.25">
      <c r="A864" s="15" t="str">
        <f>IF(C864="","",COUNTA($C$3:C864))</f>
        <v/>
      </c>
      <c r="B864" s="15" t="str">
        <f t="shared" si="176"/>
        <v/>
      </c>
      <c r="C864" s="31"/>
      <c r="D864" s="17"/>
      <c r="E864" s="32"/>
      <c r="F864" s="17"/>
      <c r="G864" s="18"/>
      <c r="H864" s="18"/>
      <c r="I864" s="17"/>
      <c r="J864" s="18"/>
      <c r="K864" s="18"/>
      <c r="L864" s="19"/>
      <c r="M864" s="20"/>
      <c r="N864" s="20"/>
      <c r="O864" s="19"/>
      <c r="P864" s="80"/>
      <c r="Q864" s="83"/>
      <c r="R864" s="87"/>
      <c r="S864" s="19"/>
      <c r="T864" s="19"/>
      <c r="U864" s="21"/>
      <c r="V864" s="22" t="str">
        <f t="shared" si="177"/>
        <v/>
      </c>
      <c r="W864" s="23"/>
      <c r="X864" s="74"/>
      <c r="Y864" s="33"/>
      <c r="Z864" s="15"/>
    </row>
    <row r="865" spans="1:26" x14ac:dyDescent="0.25">
      <c r="A865" s="15" t="str">
        <f>IF(C865="","",COUNTA($C$3:C865))</f>
        <v/>
      </c>
      <c r="B865" s="15" t="str">
        <f t="shared" si="176"/>
        <v/>
      </c>
      <c r="C865" s="31"/>
      <c r="D865" s="17"/>
      <c r="E865" s="32"/>
      <c r="F865" s="17"/>
      <c r="G865" s="18"/>
      <c r="H865" s="18"/>
      <c r="I865" s="17"/>
      <c r="J865" s="18"/>
      <c r="K865" s="18"/>
      <c r="L865" s="19"/>
      <c r="M865" s="20"/>
      <c r="N865" s="20"/>
      <c r="O865" s="19"/>
      <c r="P865" s="80"/>
      <c r="Q865" s="83"/>
      <c r="R865" s="87"/>
      <c r="S865" s="19"/>
      <c r="T865" s="19"/>
      <c r="U865" s="21"/>
      <c r="V865" s="22" t="str">
        <f t="shared" si="177"/>
        <v/>
      </c>
      <c r="W865" s="23"/>
      <c r="X865" s="74"/>
      <c r="Y865" s="33"/>
      <c r="Z865" s="15"/>
    </row>
    <row r="866" spans="1:26" x14ac:dyDescent="0.25">
      <c r="A866" s="15" t="str">
        <f>IF(C866="","",COUNTA($C$3:C866))</f>
        <v/>
      </c>
      <c r="B866" s="15" t="str">
        <f t="shared" si="176"/>
        <v/>
      </c>
      <c r="C866" s="31"/>
      <c r="D866" s="17"/>
      <c r="E866" s="32"/>
      <c r="F866" s="17"/>
      <c r="G866" s="18"/>
      <c r="H866" s="18"/>
      <c r="I866" s="17"/>
      <c r="J866" s="18"/>
      <c r="K866" s="18"/>
      <c r="L866" s="19"/>
      <c r="M866" s="20"/>
      <c r="N866" s="20"/>
      <c r="O866" s="19"/>
      <c r="P866" s="80"/>
      <c r="Q866" s="83"/>
      <c r="R866" s="87"/>
      <c r="S866" s="19"/>
      <c r="T866" s="19"/>
      <c r="U866" s="21"/>
      <c r="V866" s="22" t="str">
        <f t="shared" si="177"/>
        <v/>
      </c>
      <c r="W866" s="23"/>
      <c r="X866" s="74"/>
      <c r="Y866" s="33"/>
      <c r="Z866" s="15"/>
    </row>
    <row r="867" spans="1:26" x14ac:dyDescent="0.25">
      <c r="A867" s="15" t="str">
        <f>IF(C867="","",COUNTA($C$3:C867))</f>
        <v/>
      </c>
      <c r="B867" s="15" t="str">
        <f t="shared" si="176"/>
        <v/>
      </c>
      <c r="C867" s="31"/>
      <c r="D867" s="17"/>
      <c r="E867" s="32"/>
      <c r="F867" s="17"/>
      <c r="G867" s="18"/>
      <c r="H867" s="18"/>
      <c r="I867" s="17"/>
      <c r="J867" s="18"/>
      <c r="K867" s="18"/>
      <c r="L867" s="19"/>
      <c r="M867" s="20"/>
      <c r="N867" s="20"/>
      <c r="O867" s="19"/>
      <c r="P867" s="80"/>
      <c r="Q867" s="83"/>
      <c r="R867" s="87"/>
      <c r="S867" s="19"/>
      <c r="T867" s="19"/>
      <c r="U867" s="21"/>
      <c r="V867" s="22" t="str">
        <f t="shared" si="177"/>
        <v/>
      </c>
      <c r="W867" s="23"/>
      <c r="X867" s="74"/>
      <c r="Y867" s="33"/>
      <c r="Z867" s="15"/>
    </row>
    <row r="868" spans="1:26" x14ac:dyDescent="0.25">
      <c r="A868" s="15" t="str">
        <f>IF(C868="","",COUNTA($C$3:C868))</f>
        <v/>
      </c>
      <c r="B868" s="15" t="str">
        <f t="shared" si="176"/>
        <v/>
      </c>
      <c r="C868" s="31"/>
      <c r="D868" s="17"/>
      <c r="E868" s="32"/>
      <c r="F868" s="17"/>
      <c r="G868" s="18"/>
      <c r="H868" s="18"/>
      <c r="I868" s="17"/>
      <c r="J868" s="18"/>
      <c r="K868" s="18"/>
      <c r="L868" s="19"/>
      <c r="M868" s="20"/>
      <c r="N868" s="20"/>
      <c r="O868" s="19"/>
      <c r="P868" s="80"/>
      <c r="Q868" s="83"/>
      <c r="R868" s="87"/>
      <c r="S868" s="19"/>
      <c r="T868" s="19"/>
      <c r="U868" s="21"/>
      <c r="V868" s="22" t="str">
        <f t="shared" si="177"/>
        <v/>
      </c>
      <c r="W868" s="23"/>
      <c r="X868" s="74"/>
      <c r="Y868" s="33"/>
      <c r="Z868" s="15"/>
    </row>
    <row r="869" spans="1:26" x14ac:dyDescent="0.25">
      <c r="A869" s="15" t="str">
        <f>IF(C869="","",COUNTA($C$3:C869))</f>
        <v/>
      </c>
      <c r="B869" s="15" t="str">
        <f t="shared" si="176"/>
        <v/>
      </c>
      <c r="C869" s="31"/>
      <c r="D869" s="17"/>
      <c r="E869" s="32"/>
      <c r="F869" s="17"/>
      <c r="G869" s="18"/>
      <c r="H869" s="18"/>
      <c r="I869" s="17"/>
      <c r="J869" s="18"/>
      <c r="K869" s="18"/>
      <c r="L869" s="19"/>
      <c r="M869" s="20"/>
      <c r="N869" s="20"/>
      <c r="O869" s="19"/>
      <c r="P869" s="80"/>
      <c r="Q869" s="83"/>
      <c r="R869" s="87"/>
      <c r="S869" s="19"/>
      <c r="T869" s="19"/>
      <c r="U869" s="21"/>
      <c r="V869" s="22" t="str">
        <f t="shared" si="177"/>
        <v/>
      </c>
      <c r="W869" s="23"/>
      <c r="X869" s="74"/>
      <c r="Y869" s="33"/>
      <c r="Z869" s="15"/>
    </row>
    <row r="870" spans="1:26" x14ac:dyDescent="0.25">
      <c r="A870" s="15" t="str">
        <f>IF(C870="","",COUNTA($C$3:C870))</f>
        <v/>
      </c>
      <c r="B870" s="15" t="str">
        <f t="shared" si="176"/>
        <v/>
      </c>
      <c r="C870" s="31"/>
      <c r="D870" s="17"/>
      <c r="E870" s="32"/>
      <c r="F870" s="17"/>
      <c r="G870" s="18"/>
      <c r="H870" s="18"/>
      <c r="I870" s="17"/>
      <c r="J870" s="18"/>
      <c r="K870" s="18"/>
      <c r="L870" s="19"/>
      <c r="M870" s="20"/>
      <c r="N870" s="20"/>
      <c r="O870" s="19"/>
      <c r="P870" s="80"/>
      <c r="Q870" s="83"/>
      <c r="R870" s="87"/>
      <c r="S870" s="19"/>
      <c r="T870" s="19"/>
      <c r="U870" s="21"/>
      <c r="V870" s="22" t="str">
        <f t="shared" si="177"/>
        <v/>
      </c>
      <c r="W870" s="23"/>
      <c r="X870" s="74"/>
      <c r="Y870" s="33"/>
      <c r="Z870" s="15"/>
    </row>
    <row r="871" spans="1:26" x14ac:dyDescent="0.25">
      <c r="A871" s="15" t="str">
        <f>IF(C871="","",COUNTA($C$3:C871))</f>
        <v/>
      </c>
      <c r="B871" s="15" t="str">
        <f t="shared" si="176"/>
        <v/>
      </c>
      <c r="C871" s="31"/>
      <c r="D871" s="17"/>
      <c r="E871" s="32"/>
      <c r="F871" s="17"/>
      <c r="G871" s="18"/>
      <c r="H871" s="18"/>
      <c r="I871" s="17"/>
      <c r="J871" s="18"/>
      <c r="K871" s="18"/>
      <c r="L871" s="19"/>
      <c r="M871" s="20"/>
      <c r="N871" s="20"/>
      <c r="O871" s="19"/>
      <c r="P871" s="80"/>
      <c r="Q871" s="83"/>
      <c r="R871" s="87"/>
      <c r="S871" s="19"/>
      <c r="T871" s="19"/>
      <c r="U871" s="21"/>
      <c r="V871" s="22" t="str">
        <f t="shared" si="177"/>
        <v/>
      </c>
      <c r="W871" s="23"/>
      <c r="X871" s="74"/>
      <c r="Y871" s="33"/>
      <c r="Z871" s="15"/>
    </row>
    <row r="872" spans="1:26" x14ac:dyDescent="0.25">
      <c r="A872" s="15" t="str">
        <f>IF(C872="","",COUNTA($C$3:C872))</f>
        <v/>
      </c>
      <c r="B872" s="15" t="str">
        <f t="shared" si="176"/>
        <v/>
      </c>
      <c r="C872" s="31"/>
      <c r="D872" s="17"/>
      <c r="E872" s="32"/>
      <c r="F872" s="17"/>
      <c r="G872" s="18"/>
      <c r="H872" s="18"/>
      <c r="I872" s="17"/>
      <c r="J872" s="18"/>
      <c r="K872" s="18"/>
      <c r="L872" s="19"/>
      <c r="M872" s="20"/>
      <c r="N872" s="20"/>
      <c r="O872" s="19"/>
      <c r="P872" s="80"/>
      <c r="Q872" s="83"/>
      <c r="R872" s="87"/>
      <c r="S872" s="19"/>
      <c r="T872" s="19"/>
      <c r="U872" s="21"/>
      <c r="V872" s="22" t="str">
        <f t="shared" si="177"/>
        <v/>
      </c>
      <c r="W872" s="23"/>
      <c r="X872" s="74"/>
      <c r="Y872" s="33"/>
      <c r="Z872" s="15"/>
    </row>
    <row r="873" spans="1:26" x14ac:dyDescent="0.25">
      <c r="A873" s="15" t="str">
        <f>IF(C873="","",COUNTA($C$3:C873))</f>
        <v/>
      </c>
      <c r="B873" s="15" t="str">
        <f t="shared" si="176"/>
        <v/>
      </c>
      <c r="C873" s="31"/>
      <c r="D873" s="17"/>
      <c r="E873" s="32"/>
      <c r="F873" s="17"/>
      <c r="G873" s="18"/>
      <c r="H873" s="18"/>
      <c r="I873" s="17"/>
      <c r="J873" s="18"/>
      <c r="K873" s="18"/>
      <c r="L873" s="19"/>
      <c r="M873" s="20"/>
      <c r="N873" s="20"/>
      <c r="O873" s="19"/>
      <c r="P873" s="80"/>
      <c r="Q873" s="83"/>
      <c r="R873" s="87"/>
      <c r="S873" s="19"/>
      <c r="T873" s="19"/>
      <c r="U873" s="21"/>
      <c r="V873" s="22" t="str">
        <f t="shared" si="177"/>
        <v/>
      </c>
      <c r="W873" s="23"/>
      <c r="X873" s="74"/>
      <c r="Y873" s="33"/>
      <c r="Z873" s="15"/>
    </row>
    <row r="874" spans="1:26" x14ac:dyDescent="0.25">
      <c r="A874" s="15" t="str">
        <f>IF(C874="","",COUNTA($C$3:C874))</f>
        <v/>
      </c>
      <c r="B874" s="15" t="str">
        <f t="shared" si="176"/>
        <v/>
      </c>
      <c r="C874" s="31"/>
      <c r="D874" s="17"/>
      <c r="E874" s="32"/>
      <c r="F874" s="17"/>
      <c r="G874" s="18"/>
      <c r="H874" s="18"/>
      <c r="I874" s="17"/>
      <c r="J874" s="18"/>
      <c r="K874" s="18"/>
      <c r="L874" s="19"/>
      <c r="M874" s="20"/>
      <c r="N874" s="20"/>
      <c r="O874" s="19"/>
      <c r="P874" s="80"/>
      <c r="Q874" s="83"/>
      <c r="R874" s="87"/>
      <c r="S874" s="19"/>
      <c r="T874" s="19"/>
      <c r="U874" s="21"/>
      <c r="V874" s="22" t="str">
        <f t="shared" si="177"/>
        <v/>
      </c>
      <c r="W874" s="23"/>
      <c r="X874" s="74"/>
      <c r="Y874" s="33"/>
      <c r="Z874" s="15"/>
    </row>
    <row r="875" spans="1:26" x14ac:dyDescent="0.25">
      <c r="A875" s="15" t="str">
        <f>IF(C875="","",COUNTA($C$3:C875))</f>
        <v/>
      </c>
      <c r="B875" s="15" t="str">
        <f t="shared" si="176"/>
        <v/>
      </c>
      <c r="C875" s="31"/>
      <c r="D875" s="17"/>
      <c r="E875" s="32"/>
      <c r="F875" s="17"/>
      <c r="G875" s="18"/>
      <c r="H875" s="18"/>
      <c r="I875" s="17"/>
      <c r="J875" s="18"/>
      <c r="K875" s="18"/>
      <c r="L875" s="19"/>
      <c r="M875" s="20"/>
      <c r="N875" s="20"/>
      <c r="O875" s="19"/>
      <c r="P875" s="80"/>
      <c r="Q875" s="83"/>
      <c r="R875" s="87"/>
      <c r="S875" s="19"/>
      <c r="T875" s="19"/>
      <c r="U875" s="21"/>
      <c r="V875" s="22" t="str">
        <f t="shared" si="177"/>
        <v/>
      </c>
      <c r="W875" s="23"/>
      <c r="X875" s="74"/>
      <c r="Y875" s="33"/>
      <c r="Z875" s="15"/>
    </row>
    <row r="876" spans="1:26" x14ac:dyDescent="0.25">
      <c r="A876" s="15" t="str">
        <f>IF(C876="","",COUNTA($C$3:C876))</f>
        <v/>
      </c>
      <c r="B876" s="15" t="str">
        <f t="shared" si="176"/>
        <v/>
      </c>
      <c r="C876" s="31"/>
      <c r="D876" s="17"/>
      <c r="E876" s="32"/>
      <c r="F876" s="17"/>
      <c r="G876" s="18"/>
      <c r="H876" s="18"/>
      <c r="I876" s="17"/>
      <c r="J876" s="18"/>
      <c r="K876" s="18"/>
      <c r="L876" s="19"/>
      <c r="M876" s="20"/>
      <c r="N876" s="20"/>
      <c r="O876" s="19"/>
      <c r="P876" s="80"/>
      <c r="Q876" s="83"/>
      <c r="R876" s="87"/>
      <c r="S876" s="19"/>
      <c r="T876" s="19"/>
      <c r="U876" s="21"/>
      <c r="V876" s="22" t="str">
        <f t="shared" si="177"/>
        <v/>
      </c>
      <c r="W876" s="23"/>
      <c r="X876" s="74"/>
      <c r="Y876" s="33"/>
      <c r="Z876" s="15"/>
    </row>
    <row r="877" spans="1:26" x14ac:dyDescent="0.25">
      <c r="A877" s="15" t="str">
        <f>IF(C877="","",COUNTA($C$3:C877))</f>
        <v/>
      </c>
      <c r="B877" s="15" t="str">
        <f t="shared" si="176"/>
        <v/>
      </c>
      <c r="C877" s="31"/>
      <c r="D877" s="17"/>
      <c r="E877" s="32"/>
      <c r="F877" s="17"/>
      <c r="G877" s="18"/>
      <c r="H877" s="18"/>
      <c r="I877" s="17"/>
      <c r="J877" s="18"/>
      <c r="K877" s="18"/>
      <c r="L877" s="19"/>
      <c r="M877" s="20"/>
      <c r="N877" s="20"/>
      <c r="O877" s="19"/>
      <c r="P877" s="80"/>
      <c r="Q877" s="83"/>
      <c r="R877" s="87"/>
      <c r="S877" s="19"/>
      <c r="T877" s="19"/>
      <c r="U877" s="21"/>
      <c r="V877" s="22" t="str">
        <f t="shared" si="177"/>
        <v/>
      </c>
      <c r="W877" s="23"/>
      <c r="X877" s="74"/>
      <c r="Y877" s="33"/>
      <c r="Z877" s="15"/>
    </row>
    <row r="878" spans="1:26" x14ac:dyDescent="0.25">
      <c r="A878" s="15" t="str">
        <f>IF(C878="","",COUNTA($C$3:C878))</f>
        <v/>
      </c>
      <c r="B878" s="15" t="str">
        <f t="shared" si="176"/>
        <v/>
      </c>
      <c r="C878" s="31"/>
      <c r="D878" s="17"/>
      <c r="E878" s="32"/>
      <c r="F878" s="17"/>
      <c r="G878" s="18"/>
      <c r="H878" s="18"/>
      <c r="I878" s="17"/>
      <c r="J878" s="18"/>
      <c r="K878" s="18"/>
      <c r="L878" s="19"/>
      <c r="M878" s="20"/>
      <c r="N878" s="20"/>
      <c r="O878" s="19"/>
      <c r="P878" s="80"/>
      <c r="Q878" s="83"/>
      <c r="R878" s="87"/>
      <c r="S878" s="19"/>
      <c r="T878" s="19"/>
      <c r="U878" s="21"/>
      <c r="V878" s="22" t="str">
        <f t="shared" si="177"/>
        <v/>
      </c>
      <c r="W878" s="23"/>
      <c r="X878" s="74"/>
      <c r="Y878" s="33"/>
      <c r="Z878" s="15"/>
    </row>
    <row r="879" spans="1:26" x14ac:dyDescent="0.25">
      <c r="A879" s="15" t="str">
        <f>IF(C879="","",COUNTA($C$3:C879))</f>
        <v/>
      </c>
      <c r="B879" s="15" t="str">
        <f t="shared" si="176"/>
        <v/>
      </c>
      <c r="C879" s="31"/>
      <c r="D879" s="17"/>
      <c r="E879" s="32"/>
      <c r="F879" s="17"/>
      <c r="G879" s="18"/>
      <c r="H879" s="18"/>
      <c r="I879" s="17"/>
      <c r="J879" s="18"/>
      <c r="K879" s="18"/>
      <c r="L879" s="19"/>
      <c r="M879" s="20"/>
      <c r="N879" s="20"/>
      <c r="O879" s="19"/>
      <c r="P879" s="80"/>
      <c r="Q879" s="83"/>
      <c r="R879" s="87"/>
      <c r="S879" s="19"/>
      <c r="T879" s="19"/>
      <c r="U879" s="21"/>
      <c r="V879" s="22" t="str">
        <f t="shared" si="177"/>
        <v/>
      </c>
      <c r="W879" s="23"/>
      <c r="X879" s="74"/>
      <c r="Y879" s="33"/>
      <c r="Z879" s="15"/>
    </row>
    <row r="880" spans="1:26" x14ac:dyDescent="0.25">
      <c r="A880" s="15" t="str">
        <f>IF(C880="","",COUNTA($C$3:C880))</f>
        <v/>
      </c>
      <c r="B880" s="15" t="str">
        <f t="shared" si="176"/>
        <v/>
      </c>
      <c r="C880" s="31"/>
      <c r="D880" s="17"/>
      <c r="E880" s="32"/>
      <c r="F880" s="17"/>
      <c r="G880" s="18"/>
      <c r="H880" s="18"/>
      <c r="I880" s="17"/>
      <c r="J880" s="18"/>
      <c r="K880" s="18"/>
      <c r="L880" s="19"/>
      <c r="M880" s="20"/>
      <c r="N880" s="20"/>
      <c r="O880" s="19"/>
      <c r="P880" s="80"/>
      <c r="Q880" s="83"/>
      <c r="R880" s="87"/>
      <c r="S880" s="19"/>
      <c r="T880" s="19"/>
      <c r="U880" s="21"/>
      <c r="V880" s="22" t="str">
        <f t="shared" si="177"/>
        <v/>
      </c>
      <c r="W880" s="23"/>
      <c r="X880" s="74"/>
      <c r="Y880" s="33"/>
      <c r="Z880" s="15"/>
    </row>
    <row r="881" spans="1:26" x14ac:dyDescent="0.25">
      <c r="A881" s="15" t="str">
        <f>IF(C881="","",COUNTA($C$3:C881))</f>
        <v/>
      </c>
      <c r="B881" s="15" t="str">
        <f t="shared" si="176"/>
        <v/>
      </c>
      <c r="C881" s="31"/>
      <c r="D881" s="17"/>
      <c r="E881" s="32"/>
      <c r="F881" s="17"/>
      <c r="G881" s="18"/>
      <c r="H881" s="18"/>
      <c r="I881" s="17"/>
      <c r="J881" s="18"/>
      <c r="K881" s="18"/>
      <c r="L881" s="19"/>
      <c r="M881" s="20"/>
      <c r="N881" s="20"/>
      <c r="O881" s="19"/>
      <c r="P881" s="80"/>
      <c r="Q881" s="83"/>
      <c r="R881" s="87"/>
      <c r="S881" s="19"/>
      <c r="T881" s="19"/>
      <c r="U881" s="21"/>
      <c r="V881" s="22" t="str">
        <f t="shared" si="177"/>
        <v/>
      </c>
      <c r="W881" s="23"/>
      <c r="X881" s="74"/>
      <c r="Y881" s="33"/>
      <c r="Z881" s="15"/>
    </row>
    <row r="882" spans="1:26" x14ac:dyDescent="0.25">
      <c r="A882" s="15" t="str">
        <f>IF(C882="","",COUNTA($C$3:C882))</f>
        <v/>
      </c>
      <c r="B882" s="15" t="str">
        <f t="shared" si="176"/>
        <v/>
      </c>
      <c r="C882" s="31"/>
      <c r="D882" s="17"/>
      <c r="E882" s="32"/>
      <c r="F882" s="17"/>
      <c r="G882" s="18"/>
      <c r="H882" s="18"/>
      <c r="I882" s="17"/>
      <c r="J882" s="18"/>
      <c r="K882" s="18"/>
      <c r="L882" s="19"/>
      <c r="M882" s="20"/>
      <c r="N882" s="20"/>
      <c r="O882" s="19"/>
      <c r="P882" s="80"/>
      <c r="Q882" s="83"/>
      <c r="R882" s="87"/>
      <c r="S882" s="19"/>
      <c r="T882" s="19"/>
      <c r="U882" s="21"/>
      <c r="V882" s="22" t="str">
        <f t="shared" si="177"/>
        <v/>
      </c>
      <c r="W882" s="23"/>
      <c r="X882" s="74"/>
      <c r="Y882" s="33"/>
      <c r="Z882" s="15"/>
    </row>
    <row r="883" spans="1:26" x14ac:dyDescent="0.25">
      <c r="A883" s="15" t="str">
        <f>IF(C883="","",COUNTA($C$3:C883))</f>
        <v/>
      </c>
      <c r="B883" s="15" t="str">
        <f t="shared" si="176"/>
        <v/>
      </c>
      <c r="C883" s="31"/>
      <c r="D883" s="17"/>
      <c r="E883" s="32"/>
      <c r="F883" s="17"/>
      <c r="G883" s="18"/>
      <c r="H883" s="18"/>
      <c r="I883" s="17"/>
      <c r="J883" s="18"/>
      <c r="K883" s="18"/>
      <c r="L883" s="19"/>
      <c r="M883" s="20"/>
      <c r="N883" s="20"/>
      <c r="O883" s="19"/>
      <c r="P883" s="80"/>
      <c r="Q883" s="83"/>
      <c r="R883" s="87"/>
      <c r="S883" s="19"/>
      <c r="T883" s="19"/>
      <c r="U883" s="21"/>
      <c r="V883" s="22" t="str">
        <f t="shared" si="177"/>
        <v/>
      </c>
      <c r="W883" s="23"/>
      <c r="X883" s="74"/>
      <c r="Y883" s="33"/>
      <c r="Z883" s="15"/>
    </row>
    <row r="884" spans="1:26" x14ac:dyDescent="0.25">
      <c r="A884" s="15" t="str">
        <f>IF(C884="","",COUNTA($C$3:C884))</f>
        <v/>
      </c>
      <c r="B884" s="15" t="str">
        <f t="shared" si="176"/>
        <v/>
      </c>
      <c r="C884" s="31"/>
      <c r="D884" s="17"/>
      <c r="E884" s="32"/>
      <c r="F884" s="17"/>
      <c r="G884" s="18"/>
      <c r="H884" s="18"/>
      <c r="I884" s="17"/>
      <c r="J884" s="18"/>
      <c r="K884" s="18"/>
      <c r="L884" s="19"/>
      <c r="M884" s="20"/>
      <c r="N884" s="20"/>
      <c r="O884" s="19"/>
      <c r="P884" s="80"/>
      <c r="Q884" s="83"/>
      <c r="R884" s="87"/>
      <c r="S884" s="19"/>
      <c r="T884" s="19"/>
      <c r="U884" s="21"/>
      <c r="V884" s="22" t="str">
        <f t="shared" si="177"/>
        <v/>
      </c>
      <c r="W884" s="23"/>
      <c r="X884" s="74"/>
      <c r="Y884" s="33"/>
      <c r="Z884" s="15"/>
    </row>
    <row r="885" spans="1:26" x14ac:dyDescent="0.25">
      <c r="A885" s="15" t="str">
        <f>IF(C885="","",COUNTA($C$3:C885))</f>
        <v/>
      </c>
      <c r="B885" s="15" t="str">
        <f t="shared" si="176"/>
        <v/>
      </c>
      <c r="C885" s="31"/>
      <c r="D885" s="17"/>
      <c r="E885" s="32"/>
      <c r="F885" s="17"/>
      <c r="G885" s="18"/>
      <c r="H885" s="18"/>
      <c r="I885" s="17"/>
      <c r="J885" s="18"/>
      <c r="K885" s="18"/>
      <c r="L885" s="19"/>
      <c r="M885" s="20"/>
      <c r="N885" s="20"/>
      <c r="O885" s="19"/>
      <c r="P885" s="80"/>
      <c r="Q885" s="83"/>
      <c r="R885" s="87"/>
      <c r="S885" s="19"/>
      <c r="T885" s="19"/>
      <c r="U885" s="21"/>
      <c r="V885" s="22" t="str">
        <f t="shared" si="177"/>
        <v/>
      </c>
      <c r="W885" s="23"/>
      <c r="X885" s="74"/>
      <c r="Y885" s="33"/>
      <c r="Z885" s="15"/>
    </row>
    <row r="886" spans="1:26" x14ac:dyDescent="0.25">
      <c r="A886" s="15" t="str">
        <f>IF(C886="","",COUNTA($C$3:C886))</f>
        <v/>
      </c>
      <c r="B886" s="15" t="str">
        <f t="shared" si="176"/>
        <v/>
      </c>
      <c r="C886" s="31"/>
      <c r="D886" s="17"/>
      <c r="E886" s="32"/>
      <c r="F886" s="17"/>
      <c r="G886" s="18"/>
      <c r="H886" s="18"/>
      <c r="I886" s="17"/>
      <c r="J886" s="18"/>
      <c r="K886" s="18"/>
      <c r="L886" s="19"/>
      <c r="M886" s="20"/>
      <c r="N886" s="20"/>
      <c r="O886" s="19"/>
      <c r="P886" s="80"/>
      <c r="Q886" s="83"/>
      <c r="R886" s="87"/>
      <c r="S886" s="19"/>
      <c r="T886" s="19"/>
      <c r="U886" s="21"/>
      <c r="V886" s="22" t="str">
        <f t="shared" si="177"/>
        <v/>
      </c>
      <c r="W886" s="23"/>
      <c r="X886" s="74"/>
      <c r="Y886" s="33"/>
      <c r="Z886" s="15"/>
    </row>
    <row r="887" spans="1:26" x14ac:dyDescent="0.25">
      <c r="A887" s="15" t="str">
        <f>IF(C887="","",COUNTA($C$3:C887))</f>
        <v/>
      </c>
      <c r="B887" s="15" t="str">
        <f t="shared" si="176"/>
        <v/>
      </c>
      <c r="C887" s="31"/>
      <c r="D887" s="17"/>
      <c r="E887" s="32"/>
      <c r="F887" s="17"/>
      <c r="G887" s="18"/>
      <c r="H887" s="18"/>
      <c r="I887" s="17"/>
      <c r="J887" s="18"/>
      <c r="K887" s="18"/>
      <c r="L887" s="19"/>
      <c r="M887" s="20"/>
      <c r="N887" s="20"/>
      <c r="O887" s="19"/>
      <c r="P887" s="80"/>
      <c r="Q887" s="83"/>
      <c r="R887" s="87"/>
      <c r="S887" s="19"/>
      <c r="T887" s="19"/>
      <c r="U887" s="21"/>
      <c r="V887" s="22" t="str">
        <f t="shared" si="177"/>
        <v/>
      </c>
      <c r="W887" s="23"/>
      <c r="X887" s="74"/>
      <c r="Y887" s="33"/>
      <c r="Z887" s="15"/>
    </row>
    <row r="888" spans="1:26" x14ac:dyDescent="0.25">
      <c r="A888" s="15" t="str">
        <f>IF(C888="","",COUNTA($C$3:C888))</f>
        <v/>
      </c>
      <c r="B888" s="15" t="str">
        <f t="shared" si="176"/>
        <v/>
      </c>
      <c r="C888" s="31"/>
      <c r="D888" s="17"/>
      <c r="E888" s="32"/>
      <c r="F888" s="17"/>
      <c r="G888" s="18"/>
      <c r="H888" s="18"/>
      <c r="I888" s="17"/>
      <c r="J888" s="18"/>
      <c r="K888" s="18"/>
      <c r="L888" s="19"/>
      <c r="M888" s="20"/>
      <c r="N888" s="20"/>
      <c r="O888" s="19"/>
      <c r="P888" s="80"/>
      <c r="Q888" s="83"/>
      <c r="R888" s="87"/>
      <c r="S888" s="19"/>
      <c r="T888" s="19"/>
      <c r="U888" s="21"/>
      <c r="V888" s="22" t="str">
        <f t="shared" si="177"/>
        <v/>
      </c>
      <c r="W888" s="23"/>
      <c r="X888" s="74"/>
      <c r="Y888" s="33"/>
      <c r="Z888" s="15"/>
    </row>
    <row r="889" spans="1:26" x14ac:dyDescent="0.25">
      <c r="A889" s="15" t="str">
        <f>IF(C889="","",COUNTA($C$3:C889))</f>
        <v/>
      </c>
      <c r="B889" s="15" t="str">
        <f t="shared" si="176"/>
        <v/>
      </c>
      <c r="C889" s="31"/>
      <c r="D889" s="17"/>
      <c r="E889" s="32"/>
      <c r="F889" s="17"/>
      <c r="G889" s="18"/>
      <c r="H889" s="18"/>
      <c r="I889" s="17"/>
      <c r="J889" s="18"/>
      <c r="K889" s="18"/>
      <c r="L889" s="19"/>
      <c r="M889" s="20"/>
      <c r="N889" s="20"/>
      <c r="O889" s="19"/>
      <c r="P889" s="80"/>
      <c r="Q889" s="83"/>
      <c r="R889" s="87"/>
      <c r="S889" s="19"/>
      <c r="T889" s="19"/>
      <c r="U889" s="21"/>
      <c r="V889" s="22" t="str">
        <f t="shared" si="177"/>
        <v/>
      </c>
      <c r="W889" s="23"/>
      <c r="X889" s="74"/>
      <c r="Y889" s="33"/>
      <c r="Z889" s="15"/>
    </row>
    <row r="890" spans="1:26" x14ac:dyDescent="0.25">
      <c r="A890" s="15" t="str">
        <f>IF(C890="","",COUNTA($C$3:C890))</f>
        <v/>
      </c>
      <c r="B890" s="15" t="str">
        <f t="shared" si="176"/>
        <v/>
      </c>
      <c r="C890" s="31"/>
      <c r="D890" s="17"/>
      <c r="E890" s="32"/>
      <c r="F890" s="17"/>
      <c r="G890" s="18"/>
      <c r="H890" s="18"/>
      <c r="I890" s="17"/>
      <c r="J890" s="18"/>
      <c r="K890" s="18"/>
      <c r="L890" s="19"/>
      <c r="M890" s="20"/>
      <c r="N890" s="20"/>
      <c r="O890" s="19"/>
      <c r="P890" s="80"/>
      <c r="Q890" s="83"/>
      <c r="R890" s="87"/>
      <c r="S890" s="19"/>
      <c r="T890" s="19"/>
      <c r="U890" s="21"/>
      <c r="V890" s="22" t="str">
        <f t="shared" si="177"/>
        <v/>
      </c>
      <c r="W890" s="23"/>
      <c r="X890" s="74"/>
      <c r="Y890" s="33"/>
      <c r="Z890" s="15"/>
    </row>
    <row r="891" spans="1:26" x14ac:dyDescent="0.25">
      <c r="A891" s="15" t="str">
        <f>IF(C891="","",COUNTA($C$3:C891))</f>
        <v/>
      </c>
      <c r="B891" s="15" t="str">
        <f t="shared" si="176"/>
        <v/>
      </c>
      <c r="C891" s="31"/>
      <c r="D891" s="17"/>
      <c r="E891" s="32"/>
      <c r="F891" s="17"/>
      <c r="G891" s="18"/>
      <c r="H891" s="18"/>
      <c r="I891" s="17"/>
      <c r="J891" s="18"/>
      <c r="K891" s="18"/>
      <c r="L891" s="19"/>
      <c r="M891" s="20"/>
      <c r="N891" s="20"/>
      <c r="O891" s="19"/>
      <c r="P891" s="80"/>
      <c r="Q891" s="83"/>
      <c r="R891" s="87"/>
      <c r="S891" s="19"/>
      <c r="T891" s="19"/>
      <c r="U891" s="21"/>
      <c r="V891" s="22"/>
      <c r="W891" s="23"/>
      <c r="X891" s="74"/>
      <c r="Y891" s="33"/>
      <c r="Z891" s="15"/>
    </row>
    <row r="892" spans="1:26" x14ac:dyDescent="0.25">
      <c r="A892" s="15" t="str">
        <f>IF(C892="","",COUNTA($C$3:C892))</f>
        <v/>
      </c>
      <c r="B892" s="15" t="str">
        <f t="shared" si="176"/>
        <v/>
      </c>
      <c r="C892" s="31"/>
      <c r="D892" s="17"/>
      <c r="E892" s="32"/>
      <c r="F892" s="17"/>
      <c r="G892" s="18"/>
      <c r="H892" s="18"/>
      <c r="I892" s="17"/>
      <c r="J892" s="18"/>
      <c r="K892" s="18"/>
      <c r="L892" s="19"/>
      <c r="M892" s="20"/>
      <c r="N892" s="20"/>
      <c r="O892" s="19"/>
      <c r="P892" s="80"/>
      <c r="Q892" s="83"/>
      <c r="R892" s="87"/>
      <c r="S892" s="19"/>
      <c r="T892" s="19"/>
      <c r="U892" s="21" t="str">
        <f t="shared" ref="U892:U937" si="178">IF(S892="","",(S892-T892))</f>
        <v/>
      </c>
      <c r="V892" s="22" t="str">
        <f t="shared" ref="V892:V937" si="179">IF(U892="","",(U892/T892))</f>
        <v/>
      </c>
      <c r="W892" s="23"/>
      <c r="X892" s="74"/>
      <c r="Y892" s="33"/>
      <c r="Z892" s="15"/>
    </row>
    <row r="893" spans="1:26" x14ac:dyDescent="0.25">
      <c r="A893" s="15" t="str">
        <f>IF(C893="","",COUNTA($C$3:C893))</f>
        <v/>
      </c>
      <c r="B893" s="15" t="str">
        <f t="shared" si="176"/>
        <v/>
      </c>
      <c r="C893" s="31"/>
      <c r="D893" s="17"/>
      <c r="E893" s="32"/>
      <c r="F893" s="17"/>
      <c r="G893" s="18"/>
      <c r="H893" s="18"/>
      <c r="I893" s="17"/>
      <c r="J893" s="18"/>
      <c r="K893" s="18"/>
      <c r="L893" s="19"/>
      <c r="M893" s="20"/>
      <c r="N893" s="20"/>
      <c r="O893" s="19"/>
      <c r="P893" s="80"/>
      <c r="Q893" s="83"/>
      <c r="R893" s="87"/>
      <c r="S893" s="19"/>
      <c r="T893" s="19"/>
      <c r="U893" s="21" t="str">
        <f t="shared" si="178"/>
        <v/>
      </c>
      <c r="V893" s="22" t="str">
        <f t="shared" si="179"/>
        <v/>
      </c>
      <c r="W893" s="23"/>
      <c r="X893" s="74"/>
      <c r="Y893" s="33"/>
      <c r="Z893" s="15"/>
    </row>
    <row r="894" spans="1:26" x14ac:dyDescent="0.25">
      <c r="A894" s="15" t="str">
        <f>IF(C894="","",COUNTA($C$3:C894))</f>
        <v/>
      </c>
      <c r="B894" s="15" t="str">
        <f t="shared" si="176"/>
        <v/>
      </c>
      <c r="C894" s="31"/>
      <c r="D894" s="17"/>
      <c r="E894" s="32"/>
      <c r="F894" s="17"/>
      <c r="G894" s="18"/>
      <c r="H894" s="18"/>
      <c r="I894" s="17"/>
      <c r="J894" s="18"/>
      <c r="K894" s="18"/>
      <c r="L894" s="19"/>
      <c r="M894" s="20"/>
      <c r="N894" s="20"/>
      <c r="O894" s="19"/>
      <c r="P894" s="80"/>
      <c r="Q894" s="83"/>
      <c r="R894" s="87"/>
      <c r="S894" s="19"/>
      <c r="T894" s="19"/>
      <c r="U894" s="21" t="str">
        <f t="shared" si="178"/>
        <v/>
      </c>
      <c r="V894" s="22" t="str">
        <f t="shared" si="179"/>
        <v/>
      </c>
      <c r="W894" s="23"/>
      <c r="X894" s="74"/>
      <c r="Y894" s="33"/>
      <c r="Z894" s="15"/>
    </row>
    <row r="895" spans="1:26" x14ac:dyDescent="0.25">
      <c r="A895" s="15" t="str">
        <f>IF(C895="","",COUNTA($C$3:C895))</f>
        <v/>
      </c>
      <c r="B895" s="15" t="str">
        <f t="shared" si="176"/>
        <v/>
      </c>
      <c r="C895" s="31"/>
      <c r="D895" s="17"/>
      <c r="E895" s="32"/>
      <c r="F895" s="17"/>
      <c r="G895" s="18"/>
      <c r="H895" s="18"/>
      <c r="I895" s="17"/>
      <c r="J895" s="18"/>
      <c r="K895" s="18"/>
      <c r="L895" s="19"/>
      <c r="M895" s="20"/>
      <c r="N895" s="20"/>
      <c r="O895" s="19"/>
      <c r="P895" s="80"/>
      <c r="Q895" s="83"/>
      <c r="R895" s="87"/>
      <c r="S895" s="19"/>
      <c r="T895" s="19"/>
      <c r="U895" s="21" t="str">
        <f t="shared" si="178"/>
        <v/>
      </c>
      <c r="V895" s="22" t="str">
        <f t="shared" si="179"/>
        <v/>
      </c>
      <c r="W895" s="23"/>
      <c r="X895" s="74"/>
      <c r="Y895" s="33"/>
      <c r="Z895" s="15"/>
    </row>
    <row r="896" spans="1:26" x14ac:dyDescent="0.25">
      <c r="A896" s="15" t="str">
        <f>IF(C896="","",COUNTA($C$3:C896))</f>
        <v/>
      </c>
      <c r="B896" s="15" t="str">
        <f t="shared" si="176"/>
        <v/>
      </c>
      <c r="C896" s="31"/>
      <c r="D896" s="17"/>
      <c r="E896" s="32"/>
      <c r="F896" s="17"/>
      <c r="G896" s="18"/>
      <c r="H896" s="18"/>
      <c r="I896" s="17"/>
      <c r="J896" s="18"/>
      <c r="K896" s="18"/>
      <c r="L896" s="19"/>
      <c r="M896" s="20"/>
      <c r="N896" s="20"/>
      <c r="O896" s="19"/>
      <c r="P896" s="80"/>
      <c r="Q896" s="83"/>
      <c r="R896" s="87"/>
      <c r="S896" s="19"/>
      <c r="T896" s="19"/>
      <c r="U896" s="21" t="str">
        <f t="shared" si="178"/>
        <v/>
      </c>
      <c r="V896" s="22" t="str">
        <f t="shared" si="179"/>
        <v/>
      </c>
      <c r="W896" s="23"/>
      <c r="X896" s="74"/>
      <c r="Y896" s="33"/>
      <c r="Z896" s="15"/>
    </row>
    <row r="897" spans="1:26" x14ac:dyDescent="0.25">
      <c r="A897" s="15" t="str">
        <f>IF(C897="","",COUNTA($C$3:C897))</f>
        <v/>
      </c>
      <c r="B897" s="15" t="str">
        <f t="shared" si="176"/>
        <v/>
      </c>
      <c r="C897" s="31"/>
      <c r="D897" s="17"/>
      <c r="E897" s="32"/>
      <c r="F897" s="17"/>
      <c r="G897" s="18"/>
      <c r="H897" s="18"/>
      <c r="I897" s="17"/>
      <c r="J897" s="18"/>
      <c r="K897" s="18"/>
      <c r="L897" s="19"/>
      <c r="M897" s="20"/>
      <c r="N897" s="20"/>
      <c r="O897" s="19"/>
      <c r="P897" s="80"/>
      <c r="Q897" s="83"/>
      <c r="R897" s="87"/>
      <c r="S897" s="19"/>
      <c r="T897" s="19"/>
      <c r="U897" s="21" t="str">
        <f t="shared" si="178"/>
        <v/>
      </c>
      <c r="V897" s="22" t="str">
        <f t="shared" si="179"/>
        <v/>
      </c>
      <c r="W897" s="23"/>
      <c r="X897" s="74"/>
      <c r="Y897" s="33"/>
      <c r="Z897" s="15"/>
    </row>
    <row r="898" spans="1:26" x14ac:dyDescent="0.25">
      <c r="A898" s="15" t="str">
        <f>IF(C898="","",COUNTA($C$3:C898))</f>
        <v/>
      </c>
      <c r="B898" s="15" t="str">
        <f t="shared" si="176"/>
        <v/>
      </c>
      <c r="C898" s="31"/>
      <c r="D898" s="17"/>
      <c r="E898" s="32"/>
      <c r="F898" s="17"/>
      <c r="G898" s="18"/>
      <c r="H898" s="18"/>
      <c r="I898" s="17"/>
      <c r="J898" s="18"/>
      <c r="K898" s="18"/>
      <c r="L898" s="19"/>
      <c r="M898" s="20"/>
      <c r="N898" s="20"/>
      <c r="O898" s="19"/>
      <c r="P898" s="80"/>
      <c r="Q898" s="83"/>
      <c r="R898" s="87"/>
      <c r="S898" s="19"/>
      <c r="T898" s="19"/>
      <c r="U898" s="21" t="str">
        <f t="shared" si="178"/>
        <v/>
      </c>
      <c r="V898" s="22" t="str">
        <f t="shared" si="179"/>
        <v/>
      </c>
      <c r="W898" s="23"/>
      <c r="X898" s="74"/>
      <c r="Y898" s="33"/>
      <c r="Z898" s="15"/>
    </row>
    <row r="899" spans="1:26" x14ac:dyDescent="0.25">
      <c r="A899" s="15" t="str">
        <f>IF(C899="","",COUNTA($C$3:C899))</f>
        <v/>
      </c>
      <c r="B899" s="15" t="str">
        <f t="shared" ref="B899:B962" si="180">IF(C899="","",TEXT(C899,"mmmm"))</f>
        <v/>
      </c>
      <c r="C899" s="31"/>
      <c r="D899" s="17"/>
      <c r="E899" s="32"/>
      <c r="F899" s="17"/>
      <c r="G899" s="18"/>
      <c r="H899" s="18"/>
      <c r="I899" s="17"/>
      <c r="J899" s="18"/>
      <c r="K899" s="18"/>
      <c r="L899" s="19"/>
      <c r="M899" s="20"/>
      <c r="N899" s="20"/>
      <c r="O899" s="19" t="str">
        <f t="shared" ref="O899:O904" si="181">IF(L899="","",(L899+S899)*18%)</f>
        <v/>
      </c>
      <c r="P899" s="80"/>
      <c r="Q899" s="83"/>
      <c r="R899" s="87"/>
      <c r="S899" s="19"/>
      <c r="T899" s="19"/>
      <c r="U899" s="21" t="str">
        <f t="shared" si="178"/>
        <v/>
      </c>
      <c r="V899" s="22" t="str">
        <f t="shared" si="179"/>
        <v/>
      </c>
      <c r="W899" s="23"/>
      <c r="X899" s="74"/>
      <c r="Y899" s="33"/>
      <c r="Z899" s="15"/>
    </row>
    <row r="900" spans="1:26" x14ac:dyDescent="0.25">
      <c r="A900" s="15" t="str">
        <f>IF(C900="","",COUNTA($C$3:C900))</f>
        <v/>
      </c>
      <c r="B900" s="15" t="str">
        <f t="shared" si="180"/>
        <v/>
      </c>
      <c r="C900" s="31"/>
      <c r="D900" s="17"/>
      <c r="E900" s="32"/>
      <c r="F900" s="17"/>
      <c r="G900" s="18"/>
      <c r="H900" s="18"/>
      <c r="I900" s="17"/>
      <c r="J900" s="18"/>
      <c r="K900" s="18"/>
      <c r="L900" s="19"/>
      <c r="M900" s="20"/>
      <c r="N900" s="20"/>
      <c r="O900" s="19" t="str">
        <f t="shared" si="181"/>
        <v/>
      </c>
      <c r="P900" s="80"/>
      <c r="Q900" s="83"/>
      <c r="R900" s="87"/>
      <c r="S900" s="19"/>
      <c r="T900" s="19"/>
      <c r="U900" s="21" t="str">
        <f t="shared" si="178"/>
        <v/>
      </c>
      <c r="V900" s="22" t="str">
        <f t="shared" si="179"/>
        <v/>
      </c>
      <c r="W900" s="23"/>
      <c r="X900" s="74"/>
      <c r="Y900" s="33"/>
      <c r="Z900" s="15"/>
    </row>
    <row r="901" spans="1:26" x14ac:dyDescent="0.25">
      <c r="A901" s="15" t="str">
        <f>IF(C901="","",COUNTA($C$3:C901))</f>
        <v/>
      </c>
      <c r="B901" s="15" t="str">
        <f t="shared" si="180"/>
        <v/>
      </c>
      <c r="C901" s="31"/>
      <c r="D901" s="17"/>
      <c r="E901" s="32"/>
      <c r="F901" s="17"/>
      <c r="G901" s="18"/>
      <c r="H901" s="18"/>
      <c r="I901" s="17"/>
      <c r="J901" s="18"/>
      <c r="K901" s="18"/>
      <c r="L901" s="19"/>
      <c r="M901" s="20"/>
      <c r="N901" s="20"/>
      <c r="O901" s="19" t="str">
        <f t="shared" si="181"/>
        <v/>
      </c>
      <c r="P901" s="80"/>
      <c r="Q901" s="83"/>
      <c r="R901" s="87"/>
      <c r="S901" s="19"/>
      <c r="T901" s="19"/>
      <c r="U901" s="21" t="str">
        <f t="shared" si="178"/>
        <v/>
      </c>
      <c r="V901" s="22" t="str">
        <f t="shared" si="179"/>
        <v/>
      </c>
      <c r="W901" s="23"/>
      <c r="X901" s="74"/>
      <c r="Y901" s="33"/>
      <c r="Z901" s="15"/>
    </row>
    <row r="902" spans="1:26" x14ac:dyDescent="0.25">
      <c r="A902" s="15" t="str">
        <f>IF(C902="","",COUNTA($C$3:C902))</f>
        <v/>
      </c>
      <c r="B902" s="15" t="str">
        <f t="shared" si="180"/>
        <v/>
      </c>
      <c r="C902" s="31"/>
      <c r="D902" s="17"/>
      <c r="E902" s="32"/>
      <c r="F902" s="17"/>
      <c r="G902" s="18"/>
      <c r="H902" s="18"/>
      <c r="I902" s="17"/>
      <c r="J902" s="18"/>
      <c r="K902" s="18"/>
      <c r="L902" s="19"/>
      <c r="M902" s="20"/>
      <c r="N902" s="20"/>
      <c r="O902" s="19" t="str">
        <f t="shared" si="181"/>
        <v/>
      </c>
      <c r="P902" s="80"/>
      <c r="Q902" s="83"/>
      <c r="R902" s="87"/>
      <c r="S902" s="19"/>
      <c r="T902" s="19"/>
      <c r="U902" s="21" t="str">
        <f t="shared" si="178"/>
        <v/>
      </c>
      <c r="V902" s="22" t="str">
        <f t="shared" si="179"/>
        <v/>
      </c>
      <c r="W902" s="23"/>
      <c r="X902" s="74"/>
      <c r="Y902" s="33"/>
      <c r="Z902" s="15"/>
    </row>
    <row r="903" spans="1:26" x14ac:dyDescent="0.25">
      <c r="A903" s="15" t="str">
        <f>IF(C903="","",COUNTA($C$3:C903))</f>
        <v/>
      </c>
      <c r="B903" s="15" t="str">
        <f t="shared" si="180"/>
        <v/>
      </c>
      <c r="C903" s="31"/>
      <c r="D903" s="17"/>
      <c r="E903" s="32"/>
      <c r="F903" s="17"/>
      <c r="G903" s="18"/>
      <c r="H903" s="18"/>
      <c r="I903" s="17"/>
      <c r="J903" s="18"/>
      <c r="K903" s="18"/>
      <c r="L903" s="19"/>
      <c r="M903" s="20"/>
      <c r="N903" s="20"/>
      <c r="O903" s="19" t="str">
        <f t="shared" si="181"/>
        <v/>
      </c>
      <c r="P903" s="80"/>
      <c r="Q903" s="83"/>
      <c r="R903" s="87"/>
      <c r="S903" s="19"/>
      <c r="T903" s="19"/>
      <c r="U903" s="21" t="str">
        <f t="shared" si="178"/>
        <v/>
      </c>
      <c r="V903" s="22" t="str">
        <f t="shared" si="179"/>
        <v/>
      </c>
      <c r="W903" s="23"/>
      <c r="X903" s="74"/>
      <c r="Y903" s="33"/>
      <c r="Z903" s="15"/>
    </row>
    <row r="904" spans="1:26" x14ac:dyDescent="0.25">
      <c r="A904" s="15" t="str">
        <f>IF(C904="","",COUNTA($C$3:C904))</f>
        <v/>
      </c>
      <c r="B904" s="15" t="str">
        <f t="shared" si="180"/>
        <v/>
      </c>
      <c r="C904" s="31"/>
      <c r="D904" s="17"/>
      <c r="E904" s="32"/>
      <c r="F904" s="17"/>
      <c r="G904" s="18"/>
      <c r="H904" s="18"/>
      <c r="I904" s="17"/>
      <c r="J904" s="18"/>
      <c r="K904" s="18"/>
      <c r="L904" s="19"/>
      <c r="M904" s="20"/>
      <c r="N904" s="20"/>
      <c r="O904" s="19" t="str">
        <f t="shared" si="181"/>
        <v/>
      </c>
      <c r="P904" s="80"/>
      <c r="Q904" s="83"/>
      <c r="R904" s="87"/>
      <c r="S904" s="19"/>
      <c r="T904" s="19"/>
      <c r="U904" s="21" t="str">
        <f t="shared" si="178"/>
        <v/>
      </c>
      <c r="V904" s="22" t="str">
        <f t="shared" si="179"/>
        <v/>
      </c>
      <c r="W904" s="23"/>
      <c r="X904" s="74"/>
      <c r="Y904" s="33"/>
      <c r="Z904" s="15"/>
    </row>
    <row r="905" spans="1:26" x14ac:dyDescent="0.25">
      <c r="A905" s="15" t="str">
        <f>IF(C905="","",COUNTA($C$3:C905))</f>
        <v/>
      </c>
      <c r="B905" s="15" t="str">
        <f t="shared" si="180"/>
        <v/>
      </c>
      <c r="C905" s="31"/>
      <c r="D905" s="17"/>
      <c r="E905" s="32"/>
      <c r="F905" s="17"/>
      <c r="G905" s="18"/>
      <c r="H905" s="18"/>
      <c r="I905" s="17"/>
      <c r="J905" s="18"/>
      <c r="K905" s="18"/>
      <c r="L905" s="19"/>
      <c r="M905" s="20"/>
      <c r="N905" s="20"/>
      <c r="O905" s="19"/>
      <c r="P905" s="80"/>
      <c r="Q905" s="83"/>
      <c r="R905" s="87"/>
      <c r="S905" s="19"/>
      <c r="T905" s="19"/>
      <c r="U905" s="21" t="str">
        <f t="shared" si="178"/>
        <v/>
      </c>
      <c r="V905" s="22" t="str">
        <f t="shared" si="179"/>
        <v/>
      </c>
      <c r="W905" s="23"/>
      <c r="X905" s="74"/>
      <c r="Y905" s="33"/>
      <c r="Z905" s="15"/>
    </row>
    <row r="906" spans="1:26" x14ac:dyDescent="0.25">
      <c r="A906" s="15" t="str">
        <f>IF(C906="","",COUNTA($C$3:C906))</f>
        <v/>
      </c>
      <c r="B906" s="15" t="str">
        <f t="shared" si="180"/>
        <v/>
      </c>
      <c r="C906" s="31"/>
      <c r="D906" s="17"/>
      <c r="E906" s="32"/>
      <c r="F906" s="17"/>
      <c r="G906" s="18"/>
      <c r="H906" s="18"/>
      <c r="I906" s="17"/>
      <c r="J906" s="18"/>
      <c r="K906" s="18"/>
      <c r="L906" s="19"/>
      <c r="M906" s="20"/>
      <c r="N906" s="20"/>
      <c r="O906" s="19"/>
      <c r="P906" s="80"/>
      <c r="Q906" s="83"/>
      <c r="R906" s="87"/>
      <c r="S906" s="19"/>
      <c r="T906" s="19"/>
      <c r="U906" s="21" t="str">
        <f t="shared" si="178"/>
        <v/>
      </c>
      <c r="V906" s="22" t="str">
        <f t="shared" si="179"/>
        <v/>
      </c>
      <c r="W906" s="23"/>
      <c r="X906" s="74"/>
      <c r="Y906" s="33"/>
      <c r="Z906" s="15"/>
    </row>
    <row r="907" spans="1:26" x14ac:dyDescent="0.25">
      <c r="A907" s="15" t="str">
        <f>IF(C907="","",COUNTA($C$3:C907))</f>
        <v/>
      </c>
      <c r="B907" s="15" t="str">
        <f t="shared" si="180"/>
        <v/>
      </c>
      <c r="C907" s="31"/>
      <c r="D907" s="17"/>
      <c r="E907" s="32"/>
      <c r="F907" s="17"/>
      <c r="G907" s="18"/>
      <c r="H907" s="18"/>
      <c r="I907" s="17"/>
      <c r="J907" s="18"/>
      <c r="K907" s="18"/>
      <c r="L907" s="19"/>
      <c r="M907" s="20"/>
      <c r="N907" s="20"/>
      <c r="O907" s="19"/>
      <c r="P907" s="80"/>
      <c r="Q907" s="83"/>
      <c r="R907" s="87"/>
      <c r="S907" s="19"/>
      <c r="T907" s="19"/>
      <c r="U907" s="21" t="str">
        <f t="shared" si="178"/>
        <v/>
      </c>
      <c r="V907" s="22" t="str">
        <f t="shared" si="179"/>
        <v/>
      </c>
      <c r="W907" s="23"/>
      <c r="X907" s="74"/>
      <c r="Y907" s="33"/>
      <c r="Z907" s="15"/>
    </row>
    <row r="908" spans="1:26" x14ac:dyDescent="0.25">
      <c r="A908" s="15" t="str">
        <f>IF(C908="","",COUNTA($C$3:C908))</f>
        <v/>
      </c>
      <c r="B908" s="15" t="str">
        <f t="shared" si="180"/>
        <v/>
      </c>
      <c r="C908" s="31"/>
      <c r="D908" s="17"/>
      <c r="E908" s="32"/>
      <c r="F908" s="17"/>
      <c r="G908" s="18"/>
      <c r="H908" s="18"/>
      <c r="I908" s="17"/>
      <c r="J908" s="18"/>
      <c r="K908" s="18"/>
      <c r="L908" s="19"/>
      <c r="M908" s="20"/>
      <c r="N908" s="20"/>
      <c r="O908" s="19"/>
      <c r="P908" s="80"/>
      <c r="Q908" s="83"/>
      <c r="R908" s="87"/>
      <c r="S908" s="19"/>
      <c r="T908" s="19"/>
      <c r="U908" s="21" t="str">
        <f t="shared" si="178"/>
        <v/>
      </c>
      <c r="V908" s="22" t="str">
        <f t="shared" si="179"/>
        <v/>
      </c>
      <c r="W908" s="23"/>
      <c r="X908" s="74"/>
      <c r="Y908" s="33"/>
      <c r="Z908" s="15"/>
    </row>
    <row r="909" spans="1:26" x14ac:dyDescent="0.25">
      <c r="A909" s="15" t="str">
        <f>IF(C909="","",COUNTA($C$3:C909))</f>
        <v/>
      </c>
      <c r="B909" s="15" t="str">
        <f t="shared" si="180"/>
        <v/>
      </c>
      <c r="C909" s="31"/>
      <c r="D909" s="17"/>
      <c r="E909" s="32"/>
      <c r="F909" s="17"/>
      <c r="G909" s="18"/>
      <c r="H909" s="18"/>
      <c r="I909" s="17"/>
      <c r="J909" s="18"/>
      <c r="K909" s="18"/>
      <c r="L909" s="19"/>
      <c r="M909" s="20"/>
      <c r="N909" s="20"/>
      <c r="O909" s="19"/>
      <c r="P909" s="80"/>
      <c r="Q909" s="83"/>
      <c r="R909" s="87"/>
      <c r="S909" s="19"/>
      <c r="T909" s="19"/>
      <c r="U909" s="21" t="str">
        <f t="shared" si="178"/>
        <v/>
      </c>
      <c r="V909" s="22" t="str">
        <f t="shared" si="179"/>
        <v/>
      </c>
      <c r="W909" s="23"/>
      <c r="X909" s="74"/>
      <c r="Y909" s="33"/>
      <c r="Z909" s="15"/>
    </row>
    <row r="910" spans="1:26" x14ac:dyDescent="0.25">
      <c r="A910" s="15" t="str">
        <f>IF(C910="","",COUNTA($C$3:C910))</f>
        <v/>
      </c>
      <c r="B910" s="15" t="str">
        <f t="shared" si="180"/>
        <v/>
      </c>
      <c r="C910" s="31"/>
      <c r="D910" s="17"/>
      <c r="E910" s="32"/>
      <c r="F910" s="17"/>
      <c r="G910" s="18"/>
      <c r="H910" s="18"/>
      <c r="I910" s="17"/>
      <c r="J910" s="18"/>
      <c r="K910" s="18"/>
      <c r="L910" s="19"/>
      <c r="M910" s="20"/>
      <c r="N910" s="20"/>
      <c r="O910" s="19"/>
      <c r="P910" s="80"/>
      <c r="Q910" s="83"/>
      <c r="R910" s="87"/>
      <c r="S910" s="19"/>
      <c r="T910" s="19"/>
      <c r="U910" s="21" t="str">
        <f t="shared" si="178"/>
        <v/>
      </c>
      <c r="V910" s="22" t="str">
        <f t="shared" si="179"/>
        <v/>
      </c>
      <c r="W910" s="23"/>
      <c r="X910" s="74"/>
      <c r="Y910" s="33"/>
      <c r="Z910" s="15"/>
    </row>
    <row r="911" spans="1:26" x14ac:dyDescent="0.25">
      <c r="A911" s="15" t="str">
        <f>IF(C911="","",COUNTA($C$3:C911))</f>
        <v/>
      </c>
      <c r="B911" s="15" t="str">
        <f t="shared" si="180"/>
        <v/>
      </c>
      <c r="C911" s="31"/>
      <c r="D911" s="17"/>
      <c r="E911" s="32"/>
      <c r="F911" s="17"/>
      <c r="G911" s="18"/>
      <c r="H911" s="18"/>
      <c r="I911" s="17"/>
      <c r="J911" s="18"/>
      <c r="K911" s="18"/>
      <c r="L911" s="19"/>
      <c r="M911" s="20"/>
      <c r="N911" s="20"/>
      <c r="O911" s="19"/>
      <c r="P911" s="80"/>
      <c r="Q911" s="83"/>
      <c r="R911" s="87"/>
      <c r="S911" s="19"/>
      <c r="T911" s="19"/>
      <c r="U911" s="21" t="str">
        <f t="shared" si="178"/>
        <v/>
      </c>
      <c r="V911" s="22" t="str">
        <f t="shared" si="179"/>
        <v/>
      </c>
      <c r="W911" s="23"/>
      <c r="X911" s="74"/>
      <c r="Y911" s="33"/>
      <c r="Z911" s="15"/>
    </row>
    <row r="912" spans="1:26" x14ac:dyDescent="0.25">
      <c r="A912" s="15" t="str">
        <f>IF(C912="","",COUNTA($C$3:C912))</f>
        <v/>
      </c>
      <c r="B912" s="15" t="str">
        <f t="shared" si="180"/>
        <v/>
      </c>
      <c r="C912" s="31"/>
      <c r="D912" s="17"/>
      <c r="E912" s="32"/>
      <c r="F912" s="17"/>
      <c r="G912" s="18"/>
      <c r="H912" s="18"/>
      <c r="I912" s="17"/>
      <c r="J912" s="18"/>
      <c r="K912" s="18"/>
      <c r="L912" s="19"/>
      <c r="M912" s="20"/>
      <c r="N912" s="20"/>
      <c r="O912" s="19"/>
      <c r="P912" s="80"/>
      <c r="Q912" s="83"/>
      <c r="R912" s="87"/>
      <c r="S912" s="19"/>
      <c r="T912" s="19"/>
      <c r="U912" s="21" t="str">
        <f t="shared" si="178"/>
        <v/>
      </c>
      <c r="V912" s="22" t="str">
        <f t="shared" si="179"/>
        <v/>
      </c>
      <c r="W912" s="23"/>
      <c r="X912" s="74"/>
      <c r="Y912" s="33"/>
      <c r="Z912" s="15"/>
    </row>
    <row r="913" spans="1:26" x14ac:dyDescent="0.25">
      <c r="A913" s="15" t="str">
        <f>IF(C913="","",COUNTA($C$3:C913))</f>
        <v/>
      </c>
      <c r="B913" s="15" t="str">
        <f t="shared" si="180"/>
        <v/>
      </c>
      <c r="C913" s="31"/>
      <c r="D913" s="17"/>
      <c r="E913" s="32"/>
      <c r="F913" s="17"/>
      <c r="G913" s="18"/>
      <c r="H913" s="18"/>
      <c r="I913" s="17"/>
      <c r="J913" s="18"/>
      <c r="K913" s="18"/>
      <c r="L913" s="19"/>
      <c r="M913" s="20"/>
      <c r="N913" s="20"/>
      <c r="O913" s="19"/>
      <c r="P913" s="80"/>
      <c r="Q913" s="83"/>
      <c r="R913" s="87"/>
      <c r="S913" s="19"/>
      <c r="T913" s="19"/>
      <c r="U913" s="21" t="str">
        <f t="shared" si="178"/>
        <v/>
      </c>
      <c r="V913" s="22" t="str">
        <f t="shared" si="179"/>
        <v/>
      </c>
      <c r="W913" s="23"/>
      <c r="X913" s="74"/>
      <c r="Y913" s="33"/>
      <c r="Z913" s="15"/>
    </row>
    <row r="914" spans="1:26" x14ac:dyDescent="0.25">
      <c r="A914" s="15" t="str">
        <f>IF(C914="","",COUNTA($C$3:C914))</f>
        <v/>
      </c>
      <c r="B914" s="15" t="str">
        <f t="shared" si="180"/>
        <v/>
      </c>
      <c r="C914" s="31"/>
      <c r="D914" s="17"/>
      <c r="E914" s="32"/>
      <c r="F914" s="17"/>
      <c r="G914" s="18"/>
      <c r="H914" s="18"/>
      <c r="I914" s="17"/>
      <c r="J914" s="18"/>
      <c r="K914" s="18"/>
      <c r="L914" s="19"/>
      <c r="M914" s="20"/>
      <c r="N914" s="20"/>
      <c r="O914" s="19"/>
      <c r="P914" s="80"/>
      <c r="Q914" s="83"/>
      <c r="R914" s="87"/>
      <c r="S914" s="19"/>
      <c r="T914" s="19"/>
      <c r="U914" s="21" t="str">
        <f t="shared" si="178"/>
        <v/>
      </c>
      <c r="V914" s="22" t="str">
        <f t="shared" si="179"/>
        <v/>
      </c>
      <c r="W914" s="23"/>
      <c r="X914" s="74"/>
      <c r="Y914" s="33"/>
      <c r="Z914" s="15"/>
    </row>
    <row r="915" spans="1:26" x14ac:dyDescent="0.25">
      <c r="A915" s="15" t="str">
        <f>IF(C915="","",COUNTA($C$3:C915))</f>
        <v/>
      </c>
      <c r="B915" s="15" t="str">
        <f t="shared" si="180"/>
        <v/>
      </c>
      <c r="C915" s="31"/>
      <c r="D915" s="17"/>
      <c r="E915" s="32"/>
      <c r="F915" s="17"/>
      <c r="G915" s="18"/>
      <c r="H915" s="18"/>
      <c r="I915" s="17"/>
      <c r="J915" s="18"/>
      <c r="K915" s="18"/>
      <c r="L915" s="19"/>
      <c r="M915" s="20"/>
      <c r="N915" s="20"/>
      <c r="O915" s="19"/>
      <c r="P915" s="80"/>
      <c r="Q915" s="83"/>
      <c r="R915" s="87"/>
      <c r="S915" s="19"/>
      <c r="T915" s="19"/>
      <c r="U915" s="21" t="str">
        <f t="shared" si="178"/>
        <v/>
      </c>
      <c r="V915" s="22" t="str">
        <f t="shared" si="179"/>
        <v/>
      </c>
      <c r="W915" s="23"/>
      <c r="X915" s="74"/>
      <c r="Y915" s="33"/>
      <c r="Z915" s="15"/>
    </row>
    <row r="916" spans="1:26" x14ac:dyDescent="0.25">
      <c r="A916" s="15" t="str">
        <f>IF(C916="","",COUNTA($C$3:C916))</f>
        <v/>
      </c>
      <c r="B916" s="15" t="str">
        <f t="shared" si="180"/>
        <v/>
      </c>
      <c r="C916" s="31"/>
      <c r="D916" s="17"/>
      <c r="E916" s="32"/>
      <c r="F916" s="17"/>
      <c r="G916" s="18"/>
      <c r="H916" s="18"/>
      <c r="I916" s="17"/>
      <c r="J916" s="18"/>
      <c r="K916" s="18"/>
      <c r="L916" s="19"/>
      <c r="M916" s="20"/>
      <c r="N916" s="20"/>
      <c r="O916" s="19"/>
      <c r="P916" s="80"/>
      <c r="Q916" s="83"/>
      <c r="R916" s="87"/>
      <c r="S916" s="19"/>
      <c r="T916" s="19"/>
      <c r="U916" s="21" t="str">
        <f t="shared" si="178"/>
        <v/>
      </c>
      <c r="V916" s="22" t="str">
        <f t="shared" si="179"/>
        <v/>
      </c>
      <c r="W916" s="23"/>
      <c r="X916" s="74"/>
      <c r="Y916" s="33"/>
      <c r="Z916" s="15"/>
    </row>
    <row r="917" spans="1:26" x14ac:dyDescent="0.25">
      <c r="A917" s="15" t="str">
        <f>IF(C917="","",COUNTA($C$3:C917))</f>
        <v/>
      </c>
      <c r="B917" s="15" t="str">
        <f t="shared" si="180"/>
        <v/>
      </c>
      <c r="C917" s="31"/>
      <c r="D917" s="17"/>
      <c r="E917" s="32"/>
      <c r="F917" s="17"/>
      <c r="G917" s="18"/>
      <c r="H917" s="18"/>
      <c r="I917" s="17"/>
      <c r="J917" s="18"/>
      <c r="K917" s="18"/>
      <c r="L917" s="19"/>
      <c r="M917" s="20"/>
      <c r="N917" s="20"/>
      <c r="O917" s="19"/>
      <c r="P917" s="80"/>
      <c r="Q917" s="83"/>
      <c r="R917" s="87"/>
      <c r="S917" s="19"/>
      <c r="T917" s="19"/>
      <c r="U917" s="21" t="str">
        <f t="shared" si="178"/>
        <v/>
      </c>
      <c r="V917" s="22" t="str">
        <f t="shared" si="179"/>
        <v/>
      </c>
      <c r="W917" s="23"/>
      <c r="X917" s="74"/>
      <c r="Y917" s="33"/>
      <c r="Z917" s="15"/>
    </row>
    <row r="918" spans="1:26" x14ac:dyDescent="0.25">
      <c r="A918" s="15" t="str">
        <f>IF(C918="","",COUNTA($C$3:C918))</f>
        <v/>
      </c>
      <c r="B918" s="15" t="str">
        <f t="shared" si="180"/>
        <v/>
      </c>
      <c r="C918" s="31"/>
      <c r="D918" s="17"/>
      <c r="E918" s="32"/>
      <c r="F918" s="17"/>
      <c r="G918" s="18"/>
      <c r="H918" s="18"/>
      <c r="I918" s="17"/>
      <c r="J918" s="18"/>
      <c r="K918" s="18"/>
      <c r="L918" s="19"/>
      <c r="M918" s="20"/>
      <c r="N918" s="20"/>
      <c r="O918" s="19"/>
      <c r="P918" s="80"/>
      <c r="Q918" s="83"/>
      <c r="R918" s="87"/>
      <c r="S918" s="19"/>
      <c r="T918" s="19"/>
      <c r="U918" s="21" t="str">
        <f t="shared" si="178"/>
        <v/>
      </c>
      <c r="V918" s="22" t="str">
        <f t="shared" si="179"/>
        <v/>
      </c>
      <c r="W918" s="23"/>
      <c r="X918" s="74"/>
      <c r="Y918" s="33"/>
      <c r="Z918" s="15"/>
    </row>
    <row r="919" spans="1:26" x14ac:dyDescent="0.25">
      <c r="A919" s="15" t="str">
        <f>IF(C919="","",COUNTA($C$3:C919))</f>
        <v/>
      </c>
      <c r="B919" s="15" t="str">
        <f t="shared" si="180"/>
        <v/>
      </c>
      <c r="C919" s="31"/>
      <c r="D919" s="17"/>
      <c r="E919" s="32"/>
      <c r="F919" s="17"/>
      <c r="G919" s="18"/>
      <c r="H919" s="18"/>
      <c r="I919" s="17"/>
      <c r="J919" s="18"/>
      <c r="K919" s="18"/>
      <c r="L919" s="19"/>
      <c r="M919" s="20"/>
      <c r="N919" s="20"/>
      <c r="O919" s="19"/>
      <c r="P919" s="80"/>
      <c r="Q919" s="83"/>
      <c r="R919" s="87"/>
      <c r="S919" s="19"/>
      <c r="T919" s="19"/>
      <c r="U919" s="21" t="str">
        <f t="shared" si="178"/>
        <v/>
      </c>
      <c r="V919" s="22" t="str">
        <f t="shared" si="179"/>
        <v/>
      </c>
      <c r="W919" s="23"/>
      <c r="X919" s="74"/>
      <c r="Y919" s="33"/>
      <c r="Z919" s="15"/>
    </row>
    <row r="920" spans="1:26" x14ac:dyDescent="0.25">
      <c r="A920" s="15" t="str">
        <f>IF(C920="","",COUNTA($C$3:C920))</f>
        <v/>
      </c>
      <c r="B920" s="15" t="str">
        <f t="shared" si="180"/>
        <v/>
      </c>
      <c r="C920" s="31"/>
      <c r="D920" s="17"/>
      <c r="E920" s="32"/>
      <c r="F920" s="17"/>
      <c r="G920" s="18"/>
      <c r="H920" s="18"/>
      <c r="I920" s="17"/>
      <c r="J920" s="18"/>
      <c r="K920" s="18"/>
      <c r="L920" s="19"/>
      <c r="M920" s="20"/>
      <c r="N920" s="20"/>
      <c r="O920" s="19"/>
      <c r="P920" s="80"/>
      <c r="Q920" s="83"/>
      <c r="R920" s="87"/>
      <c r="S920" s="19"/>
      <c r="T920" s="19"/>
      <c r="U920" s="21" t="str">
        <f t="shared" si="178"/>
        <v/>
      </c>
      <c r="V920" s="22" t="str">
        <f t="shared" si="179"/>
        <v/>
      </c>
      <c r="W920" s="23"/>
      <c r="X920" s="74"/>
      <c r="Y920" s="33"/>
      <c r="Z920" s="15"/>
    </row>
    <row r="921" spans="1:26" x14ac:dyDescent="0.25">
      <c r="A921" s="15" t="str">
        <f>IF(C921="","",COUNTA($C$3:C921))</f>
        <v/>
      </c>
      <c r="B921" s="15" t="str">
        <f t="shared" si="180"/>
        <v/>
      </c>
      <c r="C921" s="31"/>
      <c r="D921" s="17"/>
      <c r="E921" s="32"/>
      <c r="F921" s="17"/>
      <c r="G921" s="18"/>
      <c r="H921" s="18"/>
      <c r="I921" s="17"/>
      <c r="J921" s="18"/>
      <c r="K921" s="18"/>
      <c r="L921" s="19"/>
      <c r="M921" s="20"/>
      <c r="N921" s="20"/>
      <c r="O921" s="19"/>
      <c r="P921" s="80"/>
      <c r="Q921" s="83"/>
      <c r="R921" s="87"/>
      <c r="S921" s="19"/>
      <c r="T921" s="19"/>
      <c r="U921" s="21" t="str">
        <f t="shared" si="178"/>
        <v/>
      </c>
      <c r="V921" s="22" t="str">
        <f t="shared" si="179"/>
        <v/>
      </c>
      <c r="W921" s="23"/>
      <c r="X921" s="74"/>
      <c r="Y921" s="33"/>
      <c r="Z921" s="15"/>
    </row>
    <row r="922" spans="1:26" x14ac:dyDescent="0.25">
      <c r="A922" s="15" t="str">
        <f>IF(C922="","",COUNTA($C$3:C922))</f>
        <v/>
      </c>
      <c r="B922" s="15" t="str">
        <f t="shared" si="180"/>
        <v/>
      </c>
      <c r="C922" s="31"/>
      <c r="D922" s="17"/>
      <c r="E922" s="32"/>
      <c r="F922" s="17"/>
      <c r="G922" s="18"/>
      <c r="H922" s="18"/>
      <c r="I922" s="17"/>
      <c r="J922" s="18"/>
      <c r="K922" s="18"/>
      <c r="L922" s="19"/>
      <c r="M922" s="20"/>
      <c r="N922" s="20"/>
      <c r="O922" s="19"/>
      <c r="P922" s="80"/>
      <c r="Q922" s="83"/>
      <c r="R922" s="87"/>
      <c r="S922" s="19"/>
      <c r="T922" s="19"/>
      <c r="U922" s="21" t="str">
        <f t="shared" si="178"/>
        <v/>
      </c>
      <c r="V922" s="22" t="str">
        <f t="shared" si="179"/>
        <v/>
      </c>
      <c r="W922" s="23"/>
      <c r="X922" s="74"/>
      <c r="Y922" s="33"/>
      <c r="Z922" s="15"/>
    </row>
    <row r="923" spans="1:26" x14ac:dyDescent="0.25">
      <c r="A923" s="15" t="str">
        <f>IF(C923="","",COUNTA($C$3:C923))</f>
        <v/>
      </c>
      <c r="B923" s="15" t="str">
        <f t="shared" si="180"/>
        <v/>
      </c>
      <c r="C923" s="31"/>
      <c r="D923" s="17"/>
      <c r="E923" s="32"/>
      <c r="F923" s="17"/>
      <c r="G923" s="18"/>
      <c r="H923" s="18"/>
      <c r="I923" s="17"/>
      <c r="J923" s="18"/>
      <c r="K923" s="18"/>
      <c r="L923" s="19"/>
      <c r="M923" s="20"/>
      <c r="N923" s="20"/>
      <c r="O923" s="19"/>
      <c r="P923" s="80"/>
      <c r="Q923" s="83"/>
      <c r="R923" s="87"/>
      <c r="S923" s="19"/>
      <c r="T923" s="19"/>
      <c r="U923" s="21" t="str">
        <f t="shared" si="178"/>
        <v/>
      </c>
      <c r="V923" s="22" t="str">
        <f t="shared" si="179"/>
        <v/>
      </c>
      <c r="W923" s="23"/>
      <c r="X923" s="74"/>
      <c r="Y923" s="33"/>
      <c r="Z923" s="15"/>
    </row>
    <row r="924" spans="1:26" x14ac:dyDescent="0.25">
      <c r="A924" s="15" t="str">
        <f>IF(C924="","",COUNTA($C$3:C924))</f>
        <v/>
      </c>
      <c r="B924" s="15" t="str">
        <f t="shared" si="180"/>
        <v/>
      </c>
      <c r="C924" s="31"/>
      <c r="D924" s="17"/>
      <c r="E924" s="32"/>
      <c r="F924" s="17"/>
      <c r="G924" s="18"/>
      <c r="H924" s="18"/>
      <c r="I924" s="17"/>
      <c r="J924" s="18"/>
      <c r="K924" s="18"/>
      <c r="L924" s="19"/>
      <c r="M924" s="20"/>
      <c r="N924" s="20"/>
      <c r="O924" s="19"/>
      <c r="P924" s="80"/>
      <c r="Q924" s="83"/>
      <c r="R924" s="87"/>
      <c r="S924" s="19"/>
      <c r="T924" s="19"/>
      <c r="U924" s="21" t="str">
        <f t="shared" si="178"/>
        <v/>
      </c>
      <c r="V924" s="22" t="str">
        <f t="shared" si="179"/>
        <v/>
      </c>
      <c r="W924" s="23"/>
      <c r="X924" s="74"/>
      <c r="Y924" s="33"/>
      <c r="Z924" s="15"/>
    </row>
    <row r="925" spans="1:26" x14ac:dyDescent="0.25">
      <c r="A925" s="15" t="str">
        <f>IF(C925="","",COUNTA($C$3:C925))</f>
        <v/>
      </c>
      <c r="B925" s="15" t="str">
        <f t="shared" si="180"/>
        <v/>
      </c>
      <c r="C925" s="31"/>
      <c r="D925" s="17"/>
      <c r="E925" s="32"/>
      <c r="F925" s="17"/>
      <c r="G925" s="18"/>
      <c r="H925" s="18"/>
      <c r="I925" s="17"/>
      <c r="J925" s="18"/>
      <c r="K925" s="18"/>
      <c r="L925" s="19"/>
      <c r="M925" s="20"/>
      <c r="N925" s="20"/>
      <c r="O925" s="19" t="str">
        <f t="shared" ref="O925:O926" si="182">IF(L925="","",(L925+S925)*18%)</f>
        <v/>
      </c>
      <c r="P925" s="80"/>
      <c r="Q925" s="83"/>
      <c r="R925" s="87"/>
      <c r="S925" s="19"/>
      <c r="T925" s="19"/>
      <c r="U925" s="21" t="str">
        <f t="shared" si="178"/>
        <v/>
      </c>
      <c r="V925" s="22" t="str">
        <f t="shared" si="179"/>
        <v/>
      </c>
      <c r="W925" s="23"/>
      <c r="X925" s="74"/>
      <c r="Y925" s="33"/>
      <c r="Z925" s="15"/>
    </row>
    <row r="926" spans="1:26" x14ac:dyDescent="0.25">
      <c r="A926" s="15" t="str">
        <f>IF(C926="","",COUNTA($C$3:C926))</f>
        <v/>
      </c>
      <c r="B926" s="15" t="str">
        <f t="shared" si="180"/>
        <v/>
      </c>
      <c r="C926" s="31"/>
      <c r="D926" s="17"/>
      <c r="E926" s="32"/>
      <c r="F926" s="17"/>
      <c r="G926" s="18"/>
      <c r="H926" s="18"/>
      <c r="I926" s="17"/>
      <c r="J926" s="18"/>
      <c r="K926" s="18"/>
      <c r="L926" s="19"/>
      <c r="M926" s="20"/>
      <c r="N926" s="20"/>
      <c r="O926" s="19" t="str">
        <f t="shared" si="182"/>
        <v/>
      </c>
      <c r="P926" s="80"/>
      <c r="Q926" s="83"/>
      <c r="R926" s="87"/>
      <c r="S926" s="19"/>
      <c r="T926" s="19"/>
      <c r="U926" s="21" t="str">
        <f t="shared" si="178"/>
        <v/>
      </c>
      <c r="V926" s="22" t="str">
        <f t="shared" si="179"/>
        <v/>
      </c>
      <c r="W926" s="23"/>
      <c r="X926" s="74"/>
      <c r="Y926" s="33"/>
      <c r="Z926" s="15"/>
    </row>
    <row r="927" spans="1:26" x14ac:dyDescent="0.25">
      <c r="A927" s="15" t="str">
        <f>IF(C927="","",COUNTA($C$3:C927))</f>
        <v/>
      </c>
      <c r="B927" s="15" t="str">
        <f t="shared" si="180"/>
        <v/>
      </c>
      <c r="C927" s="31"/>
      <c r="D927" s="17"/>
      <c r="E927" s="32"/>
      <c r="F927" s="17"/>
      <c r="G927" s="18"/>
      <c r="H927" s="18"/>
      <c r="I927" s="17"/>
      <c r="J927" s="18"/>
      <c r="K927" s="18"/>
      <c r="L927" s="19"/>
      <c r="M927" s="20"/>
      <c r="N927" s="20"/>
      <c r="O927" s="19"/>
      <c r="P927" s="80"/>
      <c r="Q927" s="83"/>
      <c r="R927" s="87"/>
      <c r="S927" s="19"/>
      <c r="T927" s="19"/>
      <c r="U927" s="21" t="str">
        <f t="shared" si="178"/>
        <v/>
      </c>
      <c r="V927" s="22" t="str">
        <f t="shared" si="179"/>
        <v/>
      </c>
      <c r="W927" s="23"/>
      <c r="X927" s="74"/>
      <c r="Y927" s="33"/>
      <c r="Z927" s="15"/>
    </row>
    <row r="928" spans="1:26" x14ac:dyDescent="0.25">
      <c r="A928" s="15" t="str">
        <f>IF(C928="","",COUNTA($C$3:C928))</f>
        <v/>
      </c>
      <c r="B928" s="15" t="str">
        <f t="shared" si="180"/>
        <v/>
      </c>
      <c r="C928" s="31"/>
      <c r="D928" s="17"/>
      <c r="E928" s="32"/>
      <c r="F928" s="17"/>
      <c r="G928" s="18"/>
      <c r="H928" s="18"/>
      <c r="I928" s="17"/>
      <c r="J928" s="18"/>
      <c r="K928" s="18"/>
      <c r="L928" s="19"/>
      <c r="M928" s="20"/>
      <c r="N928" s="20"/>
      <c r="O928" s="19"/>
      <c r="P928" s="80"/>
      <c r="Q928" s="83"/>
      <c r="R928" s="87"/>
      <c r="S928" s="19"/>
      <c r="T928" s="19"/>
      <c r="U928" s="21" t="str">
        <f t="shared" si="178"/>
        <v/>
      </c>
      <c r="V928" s="22" t="str">
        <f t="shared" si="179"/>
        <v/>
      </c>
      <c r="W928" s="23"/>
      <c r="X928" s="74"/>
      <c r="Y928" s="33"/>
      <c r="Z928" s="15"/>
    </row>
    <row r="929" spans="1:26" x14ac:dyDescent="0.25">
      <c r="A929" s="15" t="str">
        <f>IF(C929="","",COUNTA($C$3:C929))</f>
        <v/>
      </c>
      <c r="B929" s="15" t="str">
        <f t="shared" si="180"/>
        <v/>
      </c>
      <c r="C929" s="31"/>
      <c r="D929" s="17"/>
      <c r="E929" s="32"/>
      <c r="F929" s="17"/>
      <c r="G929" s="18"/>
      <c r="H929" s="18"/>
      <c r="I929" s="17"/>
      <c r="J929" s="18"/>
      <c r="K929" s="18"/>
      <c r="L929" s="19"/>
      <c r="M929" s="20"/>
      <c r="N929" s="20"/>
      <c r="O929" s="19"/>
      <c r="P929" s="80"/>
      <c r="Q929" s="83"/>
      <c r="R929" s="87"/>
      <c r="S929" s="19"/>
      <c r="T929" s="19"/>
      <c r="U929" s="21" t="str">
        <f t="shared" si="178"/>
        <v/>
      </c>
      <c r="V929" s="22" t="str">
        <f t="shared" si="179"/>
        <v/>
      </c>
      <c r="W929" s="23"/>
      <c r="X929" s="74"/>
      <c r="Y929" s="33"/>
      <c r="Z929" s="15"/>
    </row>
    <row r="930" spans="1:26" x14ac:dyDescent="0.25">
      <c r="A930" s="15" t="str">
        <f>IF(C930="","",COUNTA($C$3:C930))</f>
        <v/>
      </c>
      <c r="B930" s="15" t="str">
        <f t="shared" si="180"/>
        <v/>
      </c>
      <c r="C930" s="31"/>
      <c r="D930" s="17"/>
      <c r="E930" s="32"/>
      <c r="F930" s="17"/>
      <c r="G930" s="18"/>
      <c r="H930" s="18"/>
      <c r="I930" s="17"/>
      <c r="J930" s="18"/>
      <c r="K930" s="18"/>
      <c r="L930" s="19"/>
      <c r="M930" s="20"/>
      <c r="N930" s="20"/>
      <c r="O930" s="19"/>
      <c r="P930" s="80"/>
      <c r="Q930" s="83"/>
      <c r="R930" s="87"/>
      <c r="S930" s="19"/>
      <c r="T930" s="19"/>
      <c r="U930" s="21" t="str">
        <f t="shared" si="178"/>
        <v/>
      </c>
      <c r="V930" s="22" t="str">
        <f t="shared" si="179"/>
        <v/>
      </c>
      <c r="W930" s="23"/>
      <c r="X930" s="74"/>
      <c r="Y930" s="33"/>
      <c r="Z930" s="15"/>
    </row>
    <row r="931" spans="1:26" x14ac:dyDescent="0.25">
      <c r="A931" s="15" t="str">
        <f>IF(C931="","",COUNTA($C$3:C931))</f>
        <v/>
      </c>
      <c r="B931" s="15" t="str">
        <f t="shared" si="180"/>
        <v/>
      </c>
      <c r="C931" s="31"/>
      <c r="D931" s="17"/>
      <c r="E931" s="32"/>
      <c r="F931" s="17"/>
      <c r="G931" s="18"/>
      <c r="H931" s="18"/>
      <c r="I931" s="17"/>
      <c r="J931" s="18"/>
      <c r="K931" s="18"/>
      <c r="L931" s="19"/>
      <c r="M931" s="20"/>
      <c r="N931" s="20"/>
      <c r="O931" s="19"/>
      <c r="P931" s="80"/>
      <c r="Q931" s="83"/>
      <c r="R931" s="87"/>
      <c r="S931" s="19"/>
      <c r="T931" s="19"/>
      <c r="U931" s="21" t="str">
        <f t="shared" si="178"/>
        <v/>
      </c>
      <c r="V931" s="22" t="str">
        <f t="shared" si="179"/>
        <v/>
      </c>
      <c r="W931" s="23"/>
      <c r="X931" s="74"/>
      <c r="Y931" s="33"/>
      <c r="Z931" s="15"/>
    </row>
    <row r="932" spans="1:26" x14ac:dyDescent="0.25">
      <c r="A932" s="15" t="str">
        <f>IF(C932="","",COUNTA($C$3:C932))</f>
        <v/>
      </c>
      <c r="B932" s="15" t="str">
        <f t="shared" si="180"/>
        <v/>
      </c>
      <c r="C932" s="31"/>
      <c r="D932" s="17"/>
      <c r="E932" s="32"/>
      <c r="F932" s="17"/>
      <c r="G932" s="18"/>
      <c r="H932" s="18"/>
      <c r="I932" s="17"/>
      <c r="J932" s="18"/>
      <c r="K932" s="18"/>
      <c r="L932" s="19"/>
      <c r="M932" s="20"/>
      <c r="N932" s="20"/>
      <c r="O932" s="19"/>
      <c r="P932" s="80"/>
      <c r="Q932" s="83"/>
      <c r="R932" s="87"/>
      <c r="S932" s="19"/>
      <c r="T932" s="19"/>
      <c r="U932" s="21" t="str">
        <f t="shared" si="178"/>
        <v/>
      </c>
      <c r="V932" s="22" t="str">
        <f t="shared" si="179"/>
        <v/>
      </c>
      <c r="W932" s="23"/>
      <c r="X932" s="74"/>
      <c r="Y932" s="33"/>
      <c r="Z932" s="15"/>
    </row>
    <row r="933" spans="1:26" x14ac:dyDescent="0.25">
      <c r="A933" s="15" t="str">
        <f>IF(C933="","",COUNTA($C$3:C933))</f>
        <v/>
      </c>
      <c r="B933" s="15" t="str">
        <f t="shared" si="180"/>
        <v/>
      </c>
      <c r="C933" s="31"/>
      <c r="D933" s="17"/>
      <c r="E933" s="32"/>
      <c r="F933" s="17"/>
      <c r="G933" s="18"/>
      <c r="H933" s="18"/>
      <c r="I933" s="17"/>
      <c r="J933" s="18"/>
      <c r="K933" s="18"/>
      <c r="L933" s="19"/>
      <c r="M933" s="20"/>
      <c r="N933" s="20"/>
      <c r="O933" s="123" t="str">
        <f t="shared" ref="O933" si="183">IF(L933="","",(L933+S933)*18%)</f>
        <v/>
      </c>
      <c r="P933" s="80"/>
      <c r="Q933" s="83"/>
      <c r="R933" s="87"/>
      <c r="S933" s="19"/>
      <c r="T933" s="19"/>
      <c r="U933" s="21" t="str">
        <f t="shared" si="178"/>
        <v/>
      </c>
      <c r="V933" s="22" t="str">
        <f t="shared" si="179"/>
        <v/>
      </c>
      <c r="W933" s="23"/>
      <c r="X933" s="74"/>
      <c r="Y933" s="33"/>
      <c r="Z933" s="15"/>
    </row>
    <row r="934" spans="1:26" x14ac:dyDescent="0.25">
      <c r="A934" s="15" t="str">
        <f>IF(C934="","",COUNTA($C$3:C934))</f>
        <v/>
      </c>
      <c r="B934" s="15" t="str">
        <f t="shared" si="180"/>
        <v/>
      </c>
      <c r="C934" s="31"/>
      <c r="D934" s="17"/>
      <c r="E934" s="32"/>
      <c r="F934" s="17"/>
      <c r="G934" s="18"/>
      <c r="H934" s="18"/>
      <c r="I934" s="17"/>
      <c r="J934" s="18"/>
      <c r="K934" s="18"/>
      <c r="L934" s="19"/>
      <c r="M934" s="20"/>
      <c r="N934" s="20"/>
      <c r="O934" s="19"/>
      <c r="P934" s="80"/>
      <c r="Q934" s="83"/>
      <c r="R934" s="87"/>
      <c r="S934" s="19"/>
      <c r="T934" s="19"/>
      <c r="U934" s="21" t="str">
        <f t="shared" si="178"/>
        <v/>
      </c>
      <c r="V934" s="22" t="str">
        <f t="shared" si="179"/>
        <v/>
      </c>
      <c r="W934" s="23"/>
      <c r="X934" s="74"/>
      <c r="Y934" s="33"/>
      <c r="Z934" s="15"/>
    </row>
    <row r="935" spans="1:26" x14ac:dyDescent="0.25">
      <c r="A935" s="15" t="str">
        <f>IF(C935="","",COUNTA($C$3:C935))</f>
        <v/>
      </c>
      <c r="B935" s="15" t="str">
        <f t="shared" si="180"/>
        <v/>
      </c>
      <c r="C935" s="31"/>
      <c r="D935" s="17"/>
      <c r="E935" s="32"/>
      <c r="F935" s="17"/>
      <c r="G935" s="18"/>
      <c r="H935" s="18"/>
      <c r="I935" s="17"/>
      <c r="J935" s="18"/>
      <c r="K935" s="18"/>
      <c r="L935" s="19"/>
      <c r="M935" s="20"/>
      <c r="N935" s="20"/>
      <c r="O935" s="19"/>
      <c r="P935" s="80"/>
      <c r="Q935" s="83"/>
      <c r="R935" s="87"/>
      <c r="S935" s="19"/>
      <c r="T935" s="19"/>
      <c r="U935" s="21" t="str">
        <f t="shared" si="178"/>
        <v/>
      </c>
      <c r="V935" s="22" t="str">
        <f t="shared" si="179"/>
        <v/>
      </c>
      <c r="W935" s="23"/>
      <c r="X935" s="74"/>
      <c r="Y935" s="33"/>
      <c r="Z935" s="15"/>
    </row>
    <row r="936" spans="1:26" x14ac:dyDescent="0.25">
      <c r="A936" s="15" t="str">
        <f>IF(C936="","",COUNTA($C$3:C936))</f>
        <v/>
      </c>
      <c r="B936" s="15" t="str">
        <f t="shared" si="180"/>
        <v/>
      </c>
      <c r="C936" s="31"/>
      <c r="D936" s="17"/>
      <c r="E936" s="32"/>
      <c r="F936" s="17"/>
      <c r="G936" s="18"/>
      <c r="H936" s="18"/>
      <c r="I936" s="17"/>
      <c r="J936" s="18"/>
      <c r="K936" s="18"/>
      <c r="L936" s="19"/>
      <c r="M936" s="20"/>
      <c r="N936" s="20"/>
      <c r="O936" s="123" t="str">
        <f t="shared" ref="O936:O937" si="184">IF(L936="","",(L936+S936)*18%)</f>
        <v/>
      </c>
      <c r="P936" s="80"/>
      <c r="Q936" s="83"/>
      <c r="R936" s="87"/>
      <c r="S936" s="19"/>
      <c r="T936" s="19"/>
      <c r="U936" s="21" t="str">
        <f t="shared" si="178"/>
        <v/>
      </c>
      <c r="V936" s="22" t="str">
        <f t="shared" si="179"/>
        <v/>
      </c>
      <c r="W936" s="23"/>
      <c r="X936" s="74"/>
      <c r="Y936" s="33"/>
      <c r="Z936" s="15"/>
    </row>
    <row r="937" spans="1:26" x14ac:dyDescent="0.25">
      <c r="A937" s="15" t="str">
        <f>IF(C937="","",COUNTA($C$3:C937))</f>
        <v/>
      </c>
      <c r="B937" s="15" t="str">
        <f t="shared" si="180"/>
        <v/>
      </c>
      <c r="C937" s="31"/>
      <c r="D937" s="17"/>
      <c r="E937" s="32"/>
      <c r="F937" s="17"/>
      <c r="G937" s="18"/>
      <c r="H937" s="18"/>
      <c r="I937" s="17"/>
      <c r="J937" s="18"/>
      <c r="K937" s="18"/>
      <c r="L937" s="19"/>
      <c r="M937" s="20"/>
      <c r="N937" s="20"/>
      <c r="O937" s="123" t="str">
        <f t="shared" si="184"/>
        <v/>
      </c>
      <c r="P937" s="80"/>
      <c r="Q937" s="83"/>
      <c r="R937" s="87"/>
      <c r="S937" s="19"/>
      <c r="T937" s="19"/>
      <c r="U937" s="21" t="str">
        <f t="shared" si="178"/>
        <v/>
      </c>
      <c r="V937" s="22" t="str">
        <f t="shared" si="179"/>
        <v/>
      </c>
      <c r="W937" s="23"/>
      <c r="X937" s="74"/>
      <c r="Y937" s="33"/>
      <c r="Z937" s="15"/>
    </row>
    <row r="938" spans="1:26" x14ac:dyDescent="0.25">
      <c r="A938" s="15" t="str">
        <f>IF(C938="","",COUNTA($C$3:C938))</f>
        <v/>
      </c>
      <c r="B938" s="15" t="str">
        <f t="shared" si="180"/>
        <v/>
      </c>
      <c r="C938" s="31"/>
      <c r="D938" s="17"/>
      <c r="E938" s="32"/>
      <c r="F938" s="17"/>
      <c r="G938" s="18"/>
      <c r="H938" s="18"/>
      <c r="I938" s="17"/>
      <c r="J938" s="18"/>
      <c r="K938" s="18"/>
      <c r="L938" s="19"/>
      <c r="M938" s="20"/>
      <c r="N938" s="20"/>
      <c r="O938" s="19"/>
      <c r="P938" s="80"/>
      <c r="Q938" s="83"/>
      <c r="R938" s="87"/>
      <c r="S938" s="19"/>
      <c r="T938" s="19"/>
      <c r="U938" s="21" t="str">
        <f t="shared" ref="U938:U1001" si="185">IF(S938="","",(S938-T938))</f>
        <v/>
      </c>
      <c r="V938" s="22" t="str">
        <f t="shared" ref="V938:V1001" si="186">IF(U938="","",(U938/T938))</f>
        <v/>
      </c>
      <c r="W938" s="23"/>
      <c r="X938" s="74"/>
      <c r="Y938" s="33"/>
      <c r="Z938" s="15"/>
    </row>
    <row r="939" spans="1:26" x14ac:dyDescent="0.25">
      <c r="A939" s="15" t="str">
        <f>IF(C939="","",COUNTA($C$3:C939))</f>
        <v/>
      </c>
      <c r="B939" s="15" t="str">
        <f t="shared" si="180"/>
        <v/>
      </c>
      <c r="C939" s="31"/>
      <c r="D939" s="17"/>
      <c r="E939" s="32"/>
      <c r="F939" s="17"/>
      <c r="G939" s="18"/>
      <c r="H939" s="18"/>
      <c r="I939" s="17"/>
      <c r="J939" s="18"/>
      <c r="K939" s="18"/>
      <c r="L939" s="19"/>
      <c r="M939" s="20"/>
      <c r="N939" s="20"/>
      <c r="O939" s="19"/>
      <c r="P939" s="80"/>
      <c r="Q939" s="83"/>
      <c r="R939" s="87"/>
      <c r="S939" s="19"/>
      <c r="T939" s="19"/>
      <c r="U939" s="21" t="str">
        <f t="shared" si="185"/>
        <v/>
      </c>
      <c r="V939" s="22" t="str">
        <f t="shared" si="186"/>
        <v/>
      </c>
      <c r="W939" s="23"/>
      <c r="X939" s="74"/>
      <c r="Y939" s="33"/>
      <c r="Z939" s="15"/>
    </row>
    <row r="940" spans="1:26" x14ac:dyDescent="0.25">
      <c r="A940" s="15" t="str">
        <f>IF(C940="","",COUNTA($C$3:C940))</f>
        <v/>
      </c>
      <c r="B940" s="15" t="str">
        <f t="shared" si="180"/>
        <v/>
      </c>
      <c r="C940" s="31"/>
      <c r="D940" s="17"/>
      <c r="E940" s="32"/>
      <c r="F940" s="17"/>
      <c r="G940" s="18"/>
      <c r="H940" s="18"/>
      <c r="I940" s="17"/>
      <c r="J940" s="18"/>
      <c r="K940" s="18"/>
      <c r="L940" s="19"/>
      <c r="M940" s="20"/>
      <c r="N940" s="20"/>
      <c r="O940" s="19"/>
      <c r="P940" s="80"/>
      <c r="Q940" s="83"/>
      <c r="R940" s="87"/>
      <c r="S940" s="19"/>
      <c r="T940" s="19"/>
      <c r="U940" s="21" t="str">
        <f t="shared" si="185"/>
        <v/>
      </c>
      <c r="V940" s="22" t="str">
        <f t="shared" si="186"/>
        <v/>
      </c>
      <c r="W940" s="23"/>
      <c r="X940" s="74"/>
      <c r="Y940" s="33"/>
      <c r="Z940" s="15"/>
    </row>
    <row r="941" spans="1:26" x14ac:dyDescent="0.25">
      <c r="A941" s="15" t="str">
        <f>IF(C941="","",COUNTA($C$3:C941))</f>
        <v/>
      </c>
      <c r="B941" s="15" t="str">
        <f t="shared" si="180"/>
        <v/>
      </c>
      <c r="C941" s="31"/>
      <c r="D941" s="17"/>
      <c r="E941" s="32"/>
      <c r="F941" s="17"/>
      <c r="G941" s="18"/>
      <c r="H941" s="18"/>
      <c r="I941" s="17"/>
      <c r="J941" s="18"/>
      <c r="K941" s="18"/>
      <c r="L941" s="19"/>
      <c r="M941" s="20"/>
      <c r="N941" s="20"/>
      <c r="O941" s="19"/>
      <c r="P941" s="80"/>
      <c r="Q941" s="83"/>
      <c r="R941" s="87"/>
      <c r="S941" s="19"/>
      <c r="T941" s="19"/>
      <c r="U941" s="21" t="str">
        <f t="shared" si="185"/>
        <v/>
      </c>
      <c r="V941" s="22" t="str">
        <f t="shared" si="186"/>
        <v/>
      </c>
      <c r="W941" s="23"/>
      <c r="X941" s="74"/>
      <c r="Y941" s="33"/>
      <c r="Z941" s="15"/>
    </row>
    <row r="942" spans="1:26" x14ac:dyDescent="0.25">
      <c r="A942" s="15" t="str">
        <f>IF(C942="","",COUNTA($C$3:C942))</f>
        <v/>
      </c>
      <c r="B942" s="15" t="str">
        <f t="shared" si="180"/>
        <v/>
      </c>
      <c r="C942" s="31"/>
      <c r="D942" s="17"/>
      <c r="E942" s="32"/>
      <c r="F942" s="17"/>
      <c r="G942" s="18"/>
      <c r="H942" s="18"/>
      <c r="I942" s="17"/>
      <c r="J942" s="18"/>
      <c r="K942" s="18"/>
      <c r="L942" s="19"/>
      <c r="M942" s="20"/>
      <c r="N942" s="20"/>
      <c r="O942" s="19"/>
      <c r="P942" s="80"/>
      <c r="Q942" s="83"/>
      <c r="R942" s="87"/>
      <c r="S942" s="19"/>
      <c r="T942" s="19"/>
      <c r="U942" s="21" t="str">
        <f t="shared" si="185"/>
        <v/>
      </c>
      <c r="V942" s="22" t="str">
        <f t="shared" si="186"/>
        <v/>
      </c>
      <c r="W942" s="23"/>
      <c r="X942" s="74"/>
      <c r="Y942" s="33"/>
      <c r="Z942" s="15"/>
    </row>
    <row r="943" spans="1:26" x14ac:dyDescent="0.25">
      <c r="A943" s="15" t="str">
        <f>IF(C943="","",COUNTA($C$3:C943))</f>
        <v/>
      </c>
      <c r="B943" s="15" t="str">
        <f t="shared" si="180"/>
        <v/>
      </c>
      <c r="C943" s="31"/>
      <c r="D943" s="17"/>
      <c r="E943" s="32"/>
      <c r="F943" s="17"/>
      <c r="G943" s="18"/>
      <c r="H943" s="18"/>
      <c r="I943" s="17"/>
      <c r="J943" s="18"/>
      <c r="K943" s="18"/>
      <c r="L943" s="19"/>
      <c r="M943" s="20"/>
      <c r="N943" s="20"/>
      <c r="O943" s="19"/>
      <c r="P943" s="80"/>
      <c r="Q943" s="83"/>
      <c r="R943" s="87"/>
      <c r="S943" s="19"/>
      <c r="T943" s="19"/>
      <c r="U943" s="21" t="str">
        <f t="shared" si="185"/>
        <v/>
      </c>
      <c r="V943" s="22" t="str">
        <f t="shared" si="186"/>
        <v/>
      </c>
      <c r="W943" s="23"/>
      <c r="X943" s="74"/>
      <c r="Y943" s="33"/>
      <c r="Z943" s="15"/>
    </row>
    <row r="944" spans="1:26" x14ac:dyDescent="0.25">
      <c r="A944" s="15" t="str">
        <f>IF(C944="","",COUNTA($C$3:C944))</f>
        <v/>
      </c>
      <c r="B944" s="15" t="str">
        <f t="shared" si="180"/>
        <v/>
      </c>
      <c r="C944" s="31"/>
      <c r="D944" s="17"/>
      <c r="E944" s="32"/>
      <c r="F944" s="17"/>
      <c r="G944" s="18"/>
      <c r="H944" s="18"/>
      <c r="I944" s="17"/>
      <c r="J944" s="18"/>
      <c r="K944" s="18"/>
      <c r="L944" s="19"/>
      <c r="M944" s="20"/>
      <c r="N944" s="20"/>
      <c r="O944" s="19"/>
      <c r="P944" s="80"/>
      <c r="Q944" s="83"/>
      <c r="R944" s="87"/>
      <c r="S944" s="19"/>
      <c r="T944" s="19"/>
      <c r="U944" s="21" t="str">
        <f t="shared" si="185"/>
        <v/>
      </c>
      <c r="V944" s="22" t="str">
        <f t="shared" si="186"/>
        <v/>
      </c>
      <c r="W944" s="23"/>
      <c r="X944" s="74"/>
      <c r="Y944" s="33"/>
      <c r="Z944" s="15"/>
    </row>
    <row r="945" spans="1:26" x14ac:dyDescent="0.25">
      <c r="A945" s="15" t="str">
        <f>IF(C945="","",COUNTA($C$3:C945))</f>
        <v/>
      </c>
      <c r="B945" s="15" t="str">
        <f t="shared" si="180"/>
        <v/>
      </c>
      <c r="C945" s="31"/>
      <c r="D945" s="17"/>
      <c r="E945" s="32"/>
      <c r="F945" s="17"/>
      <c r="G945" s="18"/>
      <c r="H945" s="18"/>
      <c r="I945" s="17"/>
      <c r="J945" s="18"/>
      <c r="K945" s="18"/>
      <c r="L945" s="19"/>
      <c r="M945" s="20"/>
      <c r="N945" s="20"/>
      <c r="O945" s="19"/>
      <c r="P945" s="80"/>
      <c r="Q945" s="83"/>
      <c r="R945" s="87"/>
      <c r="S945" s="19"/>
      <c r="T945" s="19"/>
      <c r="U945" s="21" t="str">
        <f t="shared" si="185"/>
        <v/>
      </c>
      <c r="V945" s="22" t="str">
        <f t="shared" si="186"/>
        <v/>
      </c>
      <c r="W945" s="23"/>
      <c r="X945" s="74"/>
      <c r="Y945" s="33"/>
      <c r="Z945" s="15"/>
    </row>
    <row r="946" spans="1:26" x14ac:dyDescent="0.25">
      <c r="A946" s="15" t="str">
        <f>IF(C946="","",COUNTA($C$3:C946))</f>
        <v/>
      </c>
      <c r="B946" s="15" t="str">
        <f t="shared" si="180"/>
        <v/>
      </c>
      <c r="C946" s="31"/>
      <c r="D946" s="17"/>
      <c r="E946" s="32"/>
      <c r="F946" s="17"/>
      <c r="G946" s="18"/>
      <c r="H946" s="18"/>
      <c r="I946" s="17"/>
      <c r="J946" s="18"/>
      <c r="K946" s="18"/>
      <c r="L946" s="19"/>
      <c r="M946" s="20"/>
      <c r="N946" s="20"/>
      <c r="O946" s="19"/>
      <c r="P946" s="80"/>
      <c r="Q946" s="83"/>
      <c r="R946" s="87"/>
      <c r="S946" s="19"/>
      <c r="T946" s="19"/>
      <c r="U946" s="21" t="str">
        <f t="shared" si="185"/>
        <v/>
      </c>
      <c r="V946" s="22" t="str">
        <f t="shared" si="186"/>
        <v/>
      </c>
      <c r="W946" s="23"/>
      <c r="X946" s="74"/>
      <c r="Y946" s="33"/>
      <c r="Z946" s="15"/>
    </row>
    <row r="947" spans="1:26" x14ac:dyDescent="0.25">
      <c r="A947" s="15" t="str">
        <f>IF(C947="","",COUNTA($C$3:C947))</f>
        <v/>
      </c>
      <c r="B947" s="15" t="str">
        <f t="shared" si="180"/>
        <v/>
      </c>
      <c r="C947" s="31"/>
      <c r="D947" s="17"/>
      <c r="E947" s="32"/>
      <c r="F947" s="17"/>
      <c r="G947" s="18"/>
      <c r="H947" s="18"/>
      <c r="I947" s="17"/>
      <c r="J947" s="18"/>
      <c r="K947" s="18"/>
      <c r="L947" s="19"/>
      <c r="M947" s="20"/>
      <c r="N947" s="20"/>
      <c r="O947" s="19"/>
      <c r="P947" s="80"/>
      <c r="Q947" s="83"/>
      <c r="R947" s="87"/>
      <c r="S947" s="19"/>
      <c r="T947" s="19"/>
      <c r="U947" s="21" t="str">
        <f t="shared" si="185"/>
        <v/>
      </c>
      <c r="V947" s="22" t="str">
        <f t="shared" si="186"/>
        <v/>
      </c>
      <c r="W947" s="23"/>
      <c r="X947" s="74"/>
      <c r="Y947" s="33"/>
      <c r="Z947" s="15"/>
    </row>
    <row r="948" spans="1:26" x14ac:dyDescent="0.25">
      <c r="A948" s="15" t="str">
        <f>IF(C948="","",COUNTA($C$3:C948))</f>
        <v/>
      </c>
      <c r="B948" s="15" t="str">
        <f t="shared" si="180"/>
        <v/>
      </c>
      <c r="C948" s="31"/>
      <c r="D948" s="17"/>
      <c r="E948" s="32"/>
      <c r="F948" s="17"/>
      <c r="G948" s="18"/>
      <c r="H948" s="18"/>
      <c r="I948" s="17"/>
      <c r="J948" s="18"/>
      <c r="K948" s="18"/>
      <c r="L948" s="19"/>
      <c r="M948" s="20"/>
      <c r="N948" s="20"/>
      <c r="O948" s="123" t="str">
        <f t="shared" ref="O948" si="187">IF(L948="","",(L948+S948)*18%)</f>
        <v/>
      </c>
      <c r="P948" s="80"/>
      <c r="Q948" s="83"/>
      <c r="R948" s="87"/>
      <c r="S948" s="19"/>
      <c r="T948" s="19"/>
      <c r="U948" s="21" t="str">
        <f t="shared" si="185"/>
        <v/>
      </c>
      <c r="V948" s="22" t="str">
        <f t="shared" si="186"/>
        <v/>
      </c>
      <c r="W948" s="23"/>
      <c r="X948" s="74"/>
      <c r="Y948" s="33"/>
      <c r="Z948" s="15"/>
    </row>
    <row r="949" spans="1:26" x14ac:dyDescent="0.25">
      <c r="A949" s="15" t="str">
        <f>IF(C949="","",COUNTA($C$3:C949))</f>
        <v/>
      </c>
      <c r="B949" s="15" t="str">
        <f t="shared" si="180"/>
        <v/>
      </c>
      <c r="C949" s="31"/>
      <c r="D949" s="17"/>
      <c r="E949" s="32"/>
      <c r="F949" s="17"/>
      <c r="G949" s="18"/>
      <c r="H949" s="18"/>
      <c r="I949" s="17"/>
      <c r="J949" s="18"/>
      <c r="K949" s="18"/>
      <c r="L949" s="19"/>
      <c r="M949" s="20"/>
      <c r="N949" s="20"/>
      <c r="O949" s="19"/>
      <c r="P949" s="80"/>
      <c r="Q949" s="83"/>
      <c r="R949" s="87"/>
      <c r="S949" s="19"/>
      <c r="T949" s="19"/>
      <c r="U949" s="21" t="str">
        <f t="shared" si="185"/>
        <v/>
      </c>
      <c r="V949" s="22" t="str">
        <f t="shared" si="186"/>
        <v/>
      </c>
      <c r="W949" s="23"/>
      <c r="X949" s="74"/>
      <c r="Y949" s="33"/>
      <c r="Z949" s="15"/>
    </row>
    <row r="950" spans="1:26" x14ac:dyDescent="0.25">
      <c r="A950" s="15" t="str">
        <f>IF(C950="","",COUNTA($C$3:C950))</f>
        <v/>
      </c>
      <c r="B950" s="15" t="str">
        <f t="shared" si="180"/>
        <v/>
      </c>
      <c r="C950" s="31"/>
      <c r="D950" s="17"/>
      <c r="E950" s="32"/>
      <c r="F950" s="17"/>
      <c r="G950" s="18"/>
      <c r="H950" s="18"/>
      <c r="I950" s="17"/>
      <c r="J950" s="18"/>
      <c r="K950" s="18"/>
      <c r="L950" s="19"/>
      <c r="M950" s="20"/>
      <c r="N950" s="20"/>
      <c r="O950" s="19"/>
      <c r="P950" s="80"/>
      <c r="Q950" s="83"/>
      <c r="R950" s="87"/>
      <c r="S950" s="19"/>
      <c r="T950" s="19"/>
      <c r="U950" s="21" t="str">
        <f t="shared" si="185"/>
        <v/>
      </c>
      <c r="V950" s="22" t="str">
        <f t="shared" si="186"/>
        <v/>
      </c>
      <c r="W950" s="23"/>
      <c r="X950" s="74"/>
      <c r="Y950" s="33"/>
      <c r="Z950" s="15"/>
    </row>
    <row r="951" spans="1:26" x14ac:dyDescent="0.25">
      <c r="A951" s="15" t="str">
        <f>IF(C951="","",COUNTA($C$3:C951))</f>
        <v/>
      </c>
      <c r="B951" s="15" t="str">
        <f t="shared" si="180"/>
        <v/>
      </c>
      <c r="C951" s="31"/>
      <c r="D951" s="17"/>
      <c r="E951" s="32"/>
      <c r="F951" s="17"/>
      <c r="G951" s="18"/>
      <c r="H951" s="18"/>
      <c r="I951" s="17"/>
      <c r="J951" s="18"/>
      <c r="K951" s="18"/>
      <c r="L951" s="19"/>
      <c r="M951" s="20"/>
      <c r="N951" s="20"/>
      <c r="O951" s="19"/>
      <c r="P951" s="80"/>
      <c r="Q951" s="83"/>
      <c r="R951" s="87"/>
      <c r="S951" s="19"/>
      <c r="T951" s="19"/>
      <c r="U951" s="21" t="str">
        <f t="shared" si="185"/>
        <v/>
      </c>
      <c r="V951" s="22" t="str">
        <f t="shared" si="186"/>
        <v/>
      </c>
      <c r="W951" s="23"/>
      <c r="X951" s="74"/>
      <c r="Y951" s="33"/>
      <c r="Z951" s="15"/>
    </row>
    <row r="952" spans="1:26" x14ac:dyDescent="0.25">
      <c r="A952" s="15" t="str">
        <f>IF(C952="","",COUNTA($C$3:C952))</f>
        <v/>
      </c>
      <c r="B952" s="15" t="str">
        <f t="shared" si="180"/>
        <v/>
      </c>
      <c r="C952" s="31"/>
      <c r="D952" s="17"/>
      <c r="E952" s="32"/>
      <c r="F952" s="17"/>
      <c r="G952" s="18"/>
      <c r="H952" s="18"/>
      <c r="I952" s="17"/>
      <c r="J952" s="18"/>
      <c r="K952" s="18"/>
      <c r="L952" s="19"/>
      <c r="M952" s="20"/>
      <c r="N952" s="20"/>
      <c r="O952" s="19"/>
      <c r="P952" s="80"/>
      <c r="Q952" s="83"/>
      <c r="R952" s="87"/>
      <c r="S952" s="19"/>
      <c r="T952" s="19"/>
      <c r="U952" s="21" t="str">
        <f t="shared" si="185"/>
        <v/>
      </c>
      <c r="V952" s="22" t="str">
        <f t="shared" si="186"/>
        <v/>
      </c>
      <c r="W952" s="23"/>
      <c r="X952" s="74"/>
      <c r="Y952" s="33"/>
      <c r="Z952" s="15"/>
    </row>
    <row r="953" spans="1:26" x14ac:dyDescent="0.25">
      <c r="A953" s="15" t="str">
        <f>IF(C953="","",COUNTA($C$3:C953))</f>
        <v/>
      </c>
      <c r="B953" s="15" t="str">
        <f t="shared" si="180"/>
        <v/>
      </c>
      <c r="C953" s="31"/>
      <c r="D953" s="17"/>
      <c r="E953" s="32"/>
      <c r="F953" s="17"/>
      <c r="G953" s="18"/>
      <c r="H953" s="18"/>
      <c r="I953" s="17"/>
      <c r="J953" s="18"/>
      <c r="K953" s="18"/>
      <c r="L953" s="19"/>
      <c r="M953" s="20"/>
      <c r="N953" s="20"/>
      <c r="O953" s="19"/>
      <c r="P953" s="80"/>
      <c r="Q953" s="83"/>
      <c r="R953" s="87"/>
      <c r="S953" s="19"/>
      <c r="T953" s="19"/>
      <c r="U953" s="21" t="str">
        <f t="shared" si="185"/>
        <v/>
      </c>
      <c r="V953" s="22" t="str">
        <f t="shared" si="186"/>
        <v/>
      </c>
      <c r="W953" s="23"/>
      <c r="X953" s="74"/>
      <c r="Y953" s="33"/>
      <c r="Z953" s="15"/>
    </row>
    <row r="954" spans="1:26" x14ac:dyDescent="0.25">
      <c r="A954" s="15" t="str">
        <f>IF(C954="","",COUNTA($C$3:C954))</f>
        <v/>
      </c>
      <c r="B954" s="15" t="str">
        <f t="shared" si="180"/>
        <v/>
      </c>
      <c r="C954" s="31"/>
      <c r="D954" s="17"/>
      <c r="E954" s="32"/>
      <c r="F954" s="17"/>
      <c r="G954" s="18"/>
      <c r="H954" s="18"/>
      <c r="I954" s="17"/>
      <c r="J954" s="18"/>
      <c r="K954" s="18"/>
      <c r="L954" s="19"/>
      <c r="M954" s="20"/>
      <c r="N954" s="20"/>
      <c r="O954" s="123" t="str">
        <f t="shared" ref="O954:O956" si="188">IF(L954="","",(L954+S954)*18%)</f>
        <v/>
      </c>
      <c r="P954" s="80"/>
      <c r="Q954" s="83"/>
      <c r="R954" s="87"/>
      <c r="S954" s="19"/>
      <c r="T954" s="19"/>
      <c r="U954" s="21" t="str">
        <f t="shared" si="185"/>
        <v/>
      </c>
      <c r="V954" s="22" t="str">
        <f t="shared" si="186"/>
        <v/>
      </c>
      <c r="W954" s="23"/>
      <c r="X954" s="74"/>
      <c r="Y954" s="33"/>
      <c r="Z954" s="15"/>
    </row>
    <row r="955" spans="1:26" x14ac:dyDescent="0.25">
      <c r="A955" s="15" t="str">
        <f>IF(C955="","",COUNTA($C$3:C955))</f>
        <v/>
      </c>
      <c r="B955" s="15" t="str">
        <f t="shared" si="180"/>
        <v/>
      </c>
      <c r="C955" s="31"/>
      <c r="D955" s="17"/>
      <c r="E955" s="32"/>
      <c r="F955" s="17"/>
      <c r="G955" s="18"/>
      <c r="H955" s="18"/>
      <c r="I955" s="17"/>
      <c r="J955" s="18"/>
      <c r="K955" s="18"/>
      <c r="L955" s="19"/>
      <c r="M955" s="20"/>
      <c r="N955" s="20"/>
      <c r="O955" s="123" t="str">
        <f t="shared" si="188"/>
        <v/>
      </c>
      <c r="P955" s="80"/>
      <c r="Q955" s="83"/>
      <c r="R955" s="87"/>
      <c r="S955" s="19"/>
      <c r="T955" s="19"/>
      <c r="U955" s="21" t="str">
        <f t="shared" si="185"/>
        <v/>
      </c>
      <c r="V955" s="22" t="str">
        <f t="shared" si="186"/>
        <v/>
      </c>
      <c r="W955" s="23"/>
      <c r="X955" s="74"/>
      <c r="Y955" s="33"/>
      <c r="Z955" s="15"/>
    </row>
    <row r="956" spans="1:26" x14ac:dyDescent="0.25">
      <c r="A956" s="15" t="str">
        <f>IF(C956="","",COUNTA($C$3:C956))</f>
        <v/>
      </c>
      <c r="B956" s="15" t="str">
        <f t="shared" si="180"/>
        <v/>
      </c>
      <c r="C956" s="31"/>
      <c r="D956" s="17"/>
      <c r="E956" s="32"/>
      <c r="F956" s="17"/>
      <c r="G956" s="18"/>
      <c r="H956" s="18"/>
      <c r="I956" s="17"/>
      <c r="J956" s="18"/>
      <c r="K956" s="18"/>
      <c r="L956" s="19"/>
      <c r="M956" s="20"/>
      <c r="N956" s="20"/>
      <c r="O956" s="123" t="str">
        <f t="shared" si="188"/>
        <v/>
      </c>
      <c r="P956" s="80"/>
      <c r="Q956" s="83"/>
      <c r="R956" s="87"/>
      <c r="S956" s="19"/>
      <c r="T956" s="19"/>
      <c r="U956" s="21" t="str">
        <f t="shared" si="185"/>
        <v/>
      </c>
      <c r="V956" s="22" t="str">
        <f t="shared" si="186"/>
        <v/>
      </c>
      <c r="W956" s="23"/>
      <c r="X956" s="74"/>
      <c r="Y956" s="33"/>
      <c r="Z956" s="15"/>
    </row>
    <row r="957" spans="1:26" x14ac:dyDescent="0.25">
      <c r="A957" s="15" t="str">
        <f>IF(C957="","",COUNTA($C$3:C957))</f>
        <v/>
      </c>
      <c r="B957" s="15" t="str">
        <f t="shared" si="180"/>
        <v/>
      </c>
      <c r="C957" s="31"/>
      <c r="D957" s="17"/>
      <c r="E957" s="32"/>
      <c r="F957" s="17"/>
      <c r="G957" s="18"/>
      <c r="H957" s="18"/>
      <c r="I957" s="17"/>
      <c r="J957" s="18"/>
      <c r="K957" s="18"/>
      <c r="L957" s="19"/>
      <c r="M957" s="20"/>
      <c r="N957" s="20"/>
      <c r="O957" s="19"/>
      <c r="P957" s="80"/>
      <c r="Q957" s="83"/>
      <c r="R957" s="87"/>
      <c r="S957" s="19"/>
      <c r="T957" s="19"/>
      <c r="U957" s="21" t="str">
        <f t="shared" si="185"/>
        <v/>
      </c>
      <c r="V957" s="22" t="str">
        <f t="shared" si="186"/>
        <v/>
      </c>
      <c r="W957" s="23"/>
      <c r="X957" s="74"/>
      <c r="Y957" s="33"/>
      <c r="Z957" s="15"/>
    </row>
    <row r="958" spans="1:26" x14ac:dyDescent="0.25">
      <c r="A958" s="15" t="str">
        <f>IF(C958="","",COUNTA($C$3:C958))</f>
        <v/>
      </c>
      <c r="B958" s="15" t="str">
        <f t="shared" si="180"/>
        <v/>
      </c>
      <c r="C958" s="31"/>
      <c r="D958" s="17"/>
      <c r="E958" s="32"/>
      <c r="F958" s="17"/>
      <c r="G958" s="18"/>
      <c r="H958" s="18"/>
      <c r="I958" s="17"/>
      <c r="J958" s="18"/>
      <c r="K958" s="18"/>
      <c r="L958" s="19"/>
      <c r="M958" s="20"/>
      <c r="N958" s="20"/>
      <c r="O958" s="123" t="str">
        <f t="shared" ref="O958" si="189">IF(L958="","",(L958+S958)*18%)</f>
        <v/>
      </c>
      <c r="P958" s="80"/>
      <c r="Q958" s="83"/>
      <c r="R958" s="87"/>
      <c r="S958" s="19"/>
      <c r="T958" s="19"/>
      <c r="U958" s="21" t="str">
        <f t="shared" si="185"/>
        <v/>
      </c>
      <c r="V958" s="22" t="str">
        <f t="shared" si="186"/>
        <v/>
      </c>
      <c r="W958" s="23"/>
      <c r="X958" s="74"/>
      <c r="Y958" s="33"/>
      <c r="Z958" s="15"/>
    </row>
    <row r="959" spans="1:26" x14ac:dyDescent="0.25">
      <c r="A959" s="15" t="str">
        <f>IF(C959="","",COUNTA($C$3:C959))</f>
        <v/>
      </c>
      <c r="B959" s="15" t="str">
        <f t="shared" si="180"/>
        <v/>
      </c>
      <c r="C959" s="31"/>
      <c r="D959" s="17"/>
      <c r="E959" s="32"/>
      <c r="F959" s="17"/>
      <c r="G959" s="18"/>
      <c r="H959" s="18"/>
      <c r="I959" s="17"/>
      <c r="J959" s="18"/>
      <c r="K959" s="18"/>
      <c r="L959" s="19"/>
      <c r="M959" s="20"/>
      <c r="N959" s="20"/>
      <c r="O959" s="19"/>
      <c r="P959" s="80"/>
      <c r="Q959" s="83"/>
      <c r="R959" s="87"/>
      <c r="S959" s="19"/>
      <c r="T959" s="19"/>
      <c r="U959" s="21" t="str">
        <f t="shared" si="185"/>
        <v/>
      </c>
      <c r="V959" s="22" t="str">
        <f t="shared" si="186"/>
        <v/>
      </c>
      <c r="W959" s="23"/>
      <c r="X959" s="74"/>
      <c r="Y959" s="33"/>
      <c r="Z959" s="15"/>
    </row>
    <row r="960" spans="1:26" x14ac:dyDescent="0.25">
      <c r="A960" s="15" t="str">
        <f>IF(C960="","",COUNTA($C$3:C960))</f>
        <v/>
      </c>
      <c r="B960" s="15" t="str">
        <f t="shared" si="180"/>
        <v/>
      </c>
      <c r="C960" s="31"/>
      <c r="D960" s="17"/>
      <c r="E960" s="32"/>
      <c r="F960" s="17"/>
      <c r="G960" s="18"/>
      <c r="H960" s="18"/>
      <c r="I960" s="17"/>
      <c r="J960" s="18"/>
      <c r="K960" s="18"/>
      <c r="L960" s="19"/>
      <c r="M960" s="20"/>
      <c r="N960" s="20"/>
      <c r="O960" s="19"/>
      <c r="P960" s="80"/>
      <c r="Q960" s="83"/>
      <c r="R960" s="87"/>
      <c r="S960" s="19"/>
      <c r="T960" s="19"/>
      <c r="U960" s="21" t="str">
        <f t="shared" si="185"/>
        <v/>
      </c>
      <c r="V960" s="22" t="str">
        <f t="shared" si="186"/>
        <v/>
      </c>
      <c r="W960" s="23"/>
      <c r="X960" s="74"/>
      <c r="Y960" s="33"/>
      <c r="Z960" s="15"/>
    </row>
    <row r="961" spans="1:26" x14ac:dyDescent="0.25">
      <c r="A961" s="15" t="str">
        <f>IF(C961="","",COUNTA($C$3:C961))</f>
        <v/>
      </c>
      <c r="B961" s="15" t="str">
        <f t="shared" si="180"/>
        <v/>
      </c>
      <c r="C961" s="31"/>
      <c r="D961" s="17"/>
      <c r="E961" s="32"/>
      <c r="F961" s="17"/>
      <c r="G961" s="18"/>
      <c r="H961" s="18"/>
      <c r="I961" s="17"/>
      <c r="J961" s="18"/>
      <c r="K961" s="18"/>
      <c r="L961" s="19"/>
      <c r="M961" s="20"/>
      <c r="N961" s="20"/>
      <c r="O961" s="19"/>
      <c r="P961" s="80"/>
      <c r="Q961" s="83"/>
      <c r="R961" s="87"/>
      <c r="S961" s="19"/>
      <c r="T961" s="19"/>
      <c r="U961" s="21" t="str">
        <f t="shared" si="185"/>
        <v/>
      </c>
      <c r="V961" s="22" t="str">
        <f t="shared" si="186"/>
        <v/>
      </c>
      <c r="W961" s="23"/>
      <c r="X961" s="74"/>
      <c r="Y961" s="33"/>
      <c r="Z961" s="15"/>
    </row>
    <row r="962" spans="1:26" x14ac:dyDescent="0.25">
      <c r="A962" s="15" t="str">
        <f>IF(C962="","",COUNTA($C$3:C962))</f>
        <v/>
      </c>
      <c r="B962" s="15" t="str">
        <f t="shared" si="180"/>
        <v/>
      </c>
      <c r="C962" s="31"/>
      <c r="D962" s="17"/>
      <c r="E962" s="32"/>
      <c r="F962" s="17"/>
      <c r="G962" s="18"/>
      <c r="H962" s="18"/>
      <c r="I962" s="17"/>
      <c r="J962" s="18"/>
      <c r="K962" s="18"/>
      <c r="L962" s="19"/>
      <c r="M962" s="20"/>
      <c r="N962" s="20"/>
      <c r="O962" s="19"/>
      <c r="P962" s="80"/>
      <c r="Q962" s="83"/>
      <c r="R962" s="87"/>
      <c r="S962" s="19"/>
      <c r="T962" s="19"/>
      <c r="U962" s="21" t="str">
        <f t="shared" si="185"/>
        <v/>
      </c>
      <c r="V962" s="22" t="str">
        <f t="shared" si="186"/>
        <v/>
      </c>
      <c r="W962" s="23"/>
      <c r="X962" s="74"/>
      <c r="Y962" s="33"/>
      <c r="Z962" s="15"/>
    </row>
    <row r="963" spans="1:26" x14ac:dyDescent="0.25">
      <c r="A963" s="15" t="str">
        <f>IF(C963="","",COUNTA($C$3:C963))</f>
        <v/>
      </c>
      <c r="B963" s="15" t="str">
        <f t="shared" ref="B963:B1026" si="190">IF(C963="","",TEXT(C963,"mmmm"))</f>
        <v/>
      </c>
      <c r="C963" s="31"/>
      <c r="D963" s="17"/>
      <c r="E963" s="32"/>
      <c r="F963" s="17"/>
      <c r="G963" s="18"/>
      <c r="H963" s="18"/>
      <c r="I963" s="17"/>
      <c r="J963" s="18"/>
      <c r="K963" s="18"/>
      <c r="L963" s="19"/>
      <c r="M963" s="20"/>
      <c r="N963" s="20"/>
      <c r="O963" s="19"/>
      <c r="P963" s="80"/>
      <c r="Q963" s="83"/>
      <c r="R963" s="87"/>
      <c r="S963" s="19"/>
      <c r="T963" s="19"/>
      <c r="U963" s="21" t="str">
        <f t="shared" si="185"/>
        <v/>
      </c>
      <c r="V963" s="22" t="str">
        <f t="shared" si="186"/>
        <v/>
      </c>
      <c r="W963" s="23"/>
      <c r="X963" s="74"/>
      <c r="Y963" s="33"/>
      <c r="Z963" s="15"/>
    </row>
    <row r="964" spans="1:26" x14ac:dyDescent="0.25">
      <c r="A964" s="15" t="str">
        <f>IF(C964="","",COUNTA($C$3:C964))</f>
        <v/>
      </c>
      <c r="B964" s="15" t="str">
        <f t="shared" si="190"/>
        <v/>
      </c>
      <c r="C964" s="31"/>
      <c r="D964" s="17"/>
      <c r="E964" s="32"/>
      <c r="F964" s="17"/>
      <c r="G964" s="18"/>
      <c r="H964" s="18"/>
      <c r="I964" s="17"/>
      <c r="J964" s="18"/>
      <c r="K964" s="18"/>
      <c r="L964" s="19"/>
      <c r="M964" s="20"/>
      <c r="N964" s="20"/>
      <c r="O964" s="19"/>
      <c r="P964" s="80"/>
      <c r="Q964" s="83"/>
      <c r="R964" s="87"/>
      <c r="S964" s="19"/>
      <c r="T964" s="19"/>
      <c r="U964" s="21" t="str">
        <f t="shared" si="185"/>
        <v/>
      </c>
      <c r="V964" s="22" t="str">
        <f t="shared" si="186"/>
        <v/>
      </c>
      <c r="W964" s="23"/>
      <c r="X964" s="74"/>
      <c r="Y964" s="33"/>
      <c r="Z964" s="15"/>
    </row>
    <row r="965" spans="1:26" x14ac:dyDescent="0.25">
      <c r="A965" s="15" t="str">
        <f>IF(C965="","",COUNTA($C$3:C965))</f>
        <v/>
      </c>
      <c r="B965" s="15" t="str">
        <f t="shared" si="190"/>
        <v/>
      </c>
      <c r="C965" s="31"/>
      <c r="D965" s="17"/>
      <c r="E965" s="32"/>
      <c r="F965" s="17"/>
      <c r="G965" s="18"/>
      <c r="H965" s="18"/>
      <c r="I965" s="17"/>
      <c r="J965" s="18"/>
      <c r="K965" s="18"/>
      <c r="L965" s="19"/>
      <c r="M965" s="20"/>
      <c r="N965" s="20"/>
      <c r="O965" s="19"/>
      <c r="P965" s="80"/>
      <c r="Q965" s="83"/>
      <c r="R965" s="87"/>
      <c r="S965" s="19"/>
      <c r="T965" s="19"/>
      <c r="U965" s="21" t="str">
        <f t="shared" si="185"/>
        <v/>
      </c>
      <c r="V965" s="22" t="str">
        <f t="shared" si="186"/>
        <v/>
      </c>
      <c r="W965" s="23"/>
      <c r="X965" s="74"/>
      <c r="Y965" s="33"/>
      <c r="Z965" s="15"/>
    </row>
    <row r="966" spans="1:26" x14ac:dyDescent="0.25">
      <c r="A966" s="15" t="str">
        <f>IF(C966="","",COUNTA($C$3:C966))</f>
        <v/>
      </c>
      <c r="B966" s="15" t="str">
        <f t="shared" si="190"/>
        <v/>
      </c>
      <c r="C966" s="31"/>
      <c r="D966" s="17"/>
      <c r="E966" s="32"/>
      <c r="F966" s="17"/>
      <c r="G966" s="18"/>
      <c r="H966" s="18"/>
      <c r="I966" s="17"/>
      <c r="J966" s="18"/>
      <c r="K966" s="18"/>
      <c r="L966" s="19"/>
      <c r="M966" s="20"/>
      <c r="N966" s="20"/>
      <c r="O966" s="123" t="str">
        <f t="shared" ref="O966:O967" si="191">IF(L966="","",(L966+S966)*18%)</f>
        <v/>
      </c>
      <c r="P966" s="80"/>
      <c r="Q966" s="83"/>
      <c r="R966" s="87"/>
      <c r="S966" s="19"/>
      <c r="T966" s="19"/>
      <c r="U966" s="21" t="str">
        <f t="shared" si="185"/>
        <v/>
      </c>
      <c r="V966" s="22" t="str">
        <f t="shared" si="186"/>
        <v/>
      </c>
      <c r="W966" s="23"/>
      <c r="X966" s="74"/>
      <c r="Y966" s="33"/>
      <c r="Z966" s="15"/>
    </row>
    <row r="967" spans="1:26" x14ac:dyDescent="0.25">
      <c r="A967" s="15" t="str">
        <f>IF(C967="","",COUNTA($C$3:C967))</f>
        <v/>
      </c>
      <c r="B967" s="15" t="str">
        <f t="shared" si="190"/>
        <v/>
      </c>
      <c r="C967" s="31"/>
      <c r="D967" s="17"/>
      <c r="E967" s="32"/>
      <c r="F967" s="17"/>
      <c r="G967" s="18"/>
      <c r="H967" s="18"/>
      <c r="I967" s="17"/>
      <c r="J967" s="18"/>
      <c r="K967" s="18"/>
      <c r="L967" s="19"/>
      <c r="M967" s="20"/>
      <c r="N967" s="20"/>
      <c r="O967" s="123" t="str">
        <f t="shared" si="191"/>
        <v/>
      </c>
      <c r="P967" s="80"/>
      <c r="Q967" s="83"/>
      <c r="R967" s="87"/>
      <c r="S967" s="19"/>
      <c r="T967" s="19"/>
      <c r="U967" s="21" t="str">
        <f t="shared" si="185"/>
        <v/>
      </c>
      <c r="V967" s="22" t="str">
        <f t="shared" si="186"/>
        <v/>
      </c>
      <c r="W967" s="23"/>
      <c r="X967" s="74"/>
      <c r="Y967" s="33"/>
      <c r="Z967" s="15"/>
    </row>
    <row r="968" spans="1:26" x14ac:dyDescent="0.25">
      <c r="A968" s="15" t="str">
        <f>IF(C968="","",COUNTA($C$3:C968))</f>
        <v/>
      </c>
      <c r="B968" s="15" t="str">
        <f t="shared" si="190"/>
        <v/>
      </c>
      <c r="C968" s="31"/>
      <c r="D968" s="17"/>
      <c r="E968" s="32"/>
      <c r="F968" s="17"/>
      <c r="G968" s="18"/>
      <c r="H968" s="18"/>
      <c r="I968" s="17"/>
      <c r="J968" s="18"/>
      <c r="K968" s="18"/>
      <c r="L968" s="19"/>
      <c r="M968" s="20"/>
      <c r="N968" s="20"/>
      <c r="O968" s="19"/>
      <c r="P968" s="80"/>
      <c r="Q968" s="83"/>
      <c r="R968" s="87"/>
      <c r="S968" s="19"/>
      <c r="T968" s="19"/>
      <c r="U968" s="21" t="str">
        <f t="shared" si="185"/>
        <v/>
      </c>
      <c r="V968" s="22" t="str">
        <f t="shared" si="186"/>
        <v/>
      </c>
      <c r="W968" s="23"/>
      <c r="X968" s="74"/>
      <c r="Y968" s="33"/>
      <c r="Z968" s="15"/>
    </row>
    <row r="969" spans="1:26" x14ac:dyDescent="0.25">
      <c r="A969" s="15" t="str">
        <f>IF(C969="","",COUNTA($C$3:C969))</f>
        <v/>
      </c>
      <c r="B969" s="15" t="str">
        <f t="shared" si="190"/>
        <v/>
      </c>
      <c r="C969" s="31"/>
      <c r="D969" s="17"/>
      <c r="E969" s="32"/>
      <c r="F969" s="17"/>
      <c r="G969" s="18"/>
      <c r="H969" s="18"/>
      <c r="I969" s="17"/>
      <c r="J969" s="18"/>
      <c r="K969" s="18"/>
      <c r="L969" s="19"/>
      <c r="M969" s="20"/>
      <c r="N969" s="20"/>
      <c r="O969" s="19"/>
      <c r="P969" s="80"/>
      <c r="Q969" s="83"/>
      <c r="R969" s="87"/>
      <c r="S969" s="19"/>
      <c r="T969" s="19"/>
      <c r="U969" s="21" t="str">
        <f t="shared" si="185"/>
        <v/>
      </c>
      <c r="V969" s="22" t="str">
        <f t="shared" si="186"/>
        <v/>
      </c>
      <c r="W969" s="23"/>
      <c r="X969" s="74"/>
      <c r="Y969" s="33"/>
      <c r="Z969" s="15"/>
    </row>
    <row r="970" spans="1:26" x14ac:dyDescent="0.25">
      <c r="A970" s="15" t="str">
        <f>IF(C970="","",COUNTA($C$3:C970))</f>
        <v/>
      </c>
      <c r="B970" s="15" t="str">
        <f t="shared" si="190"/>
        <v/>
      </c>
      <c r="C970" s="31"/>
      <c r="D970" s="17"/>
      <c r="E970" s="32"/>
      <c r="F970" s="17"/>
      <c r="G970" s="18"/>
      <c r="H970" s="18"/>
      <c r="I970" s="17"/>
      <c r="J970" s="18"/>
      <c r="K970" s="18"/>
      <c r="L970" s="19"/>
      <c r="M970" s="20"/>
      <c r="N970" s="20"/>
      <c r="O970" s="19"/>
      <c r="P970" s="80"/>
      <c r="Q970" s="83"/>
      <c r="R970" s="87"/>
      <c r="S970" s="19"/>
      <c r="T970" s="19"/>
      <c r="U970" s="21" t="str">
        <f t="shared" si="185"/>
        <v/>
      </c>
      <c r="V970" s="22" t="str">
        <f t="shared" si="186"/>
        <v/>
      </c>
      <c r="W970" s="23"/>
      <c r="X970" s="74"/>
      <c r="Y970" s="33"/>
      <c r="Z970" s="15"/>
    </row>
    <row r="971" spans="1:26" x14ac:dyDescent="0.25">
      <c r="A971" s="15" t="str">
        <f>IF(C971="","",COUNTA($C$3:C971))</f>
        <v/>
      </c>
      <c r="B971" s="15" t="str">
        <f t="shared" si="190"/>
        <v/>
      </c>
      <c r="C971" s="31"/>
      <c r="D971" s="17"/>
      <c r="E971" s="32"/>
      <c r="F971" s="17"/>
      <c r="G971" s="18"/>
      <c r="H971" s="18"/>
      <c r="I971" s="17"/>
      <c r="J971" s="18"/>
      <c r="K971" s="18"/>
      <c r="L971" s="19"/>
      <c r="M971" s="20"/>
      <c r="N971" s="20"/>
      <c r="O971" s="19"/>
      <c r="P971" s="80"/>
      <c r="Q971" s="83"/>
      <c r="R971" s="87"/>
      <c r="S971" s="19"/>
      <c r="T971" s="19"/>
      <c r="U971" s="21" t="str">
        <f t="shared" si="185"/>
        <v/>
      </c>
      <c r="V971" s="22" t="str">
        <f t="shared" si="186"/>
        <v/>
      </c>
      <c r="W971" s="23"/>
      <c r="X971" s="74"/>
      <c r="Y971" s="33"/>
      <c r="Z971" s="15"/>
    </row>
    <row r="972" spans="1:26" x14ac:dyDescent="0.25">
      <c r="A972" s="15" t="str">
        <f>IF(C972="","",COUNTA($C$3:C972))</f>
        <v/>
      </c>
      <c r="B972" s="15" t="str">
        <f t="shared" si="190"/>
        <v/>
      </c>
      <c r="C972" s="31"/>
      <c r="D972" s="17"/>
      <c r="E972" s="32"/>
      <c r="F972" s="17"/>
      <c r="G972" s="18"/>
      <c r="H972" s="18"/>
      <c r="I972" s="17"/>
      <c r="J972" s="18"/>
      <c r="K972" s="18"/>
      <c r="L972" s="19"/>
      <c r="M972" s="20"/>
      <c r="N972" s="20"/>
      <c r="O972" s="123" t="str">
        <f t="shared" ref="O972:O973" si="192">IF(L972="","",(L972+S972)*18%)</f>
        <v/>
      </c>
      <c r="P972" s="80"/>
      <c r="Q972" s="83"/>
      <c r="R972" s="87"/>
      <c r="S972" s="19"/>
      <c r="T972" s="19"/>
      <c r="U972" s="21" t="str">
        <f t="shared" si="185"/>
        <v/>
      </c>
      <c r="V972" s="22" t="str">
        <f t="shared" si="186"/>
        <v/>
      </c>
      <c r="W972" s="23"/>
      <c r="X972" s="74"/>
      <c r="Y972" s="33"/>
      <c r="Z972" s="15"/>
    </row>
    <row r="973" spans="1:26" x14ac:dyDescent="0.25">
      <c r="A973" s="15" t="str">
        <f>IF(C973="","",COUNTA($C$3:C973))</f>
        <v/>
      </c>
      <c r="B973" s="15" t="str">
        <f t="shared" si="190"/>
        <v/>
      </c>
      <c r="C973" s="31"/>
      <c r="D973" s="17"/>
      <c r="E973" s="32"/>
      <c r="F973" s="17"/>
      <c r="G973" s="18"/>
      <c r="H973" s="18"/>
      <c r="I973" s="17"/>
      <c r="J973" s="18"/>
      <c r="K973" s="18"/>
      <c r="L973" s="19"/>
      <c r="M973" s="20"/>
      <c r="N973" s="20"/>
      <c r="O973" s="123" t="str">
        <f t="shared" si="192"/>
        <v/>
      </c>
      <c r="P973" s="80"/>
      <c r="Q973" s="83"/>
      <c r="R973" s="87"/>
      <c r="S973" s="19"/>
      <c r="T973" s="19"/>
      <c r="U973" s="21" t="str">
        <f t="shared" si="185"/>
        <v/>
      </c>
      <c r="V973" s="22" t="str">
        <f t="shared" si="186"/>
        <v/>
      </c>
      <c r="W973" s="23"/>
      <c r="X973" s="74"/>
      <c r="Y973" s="33"/>
      <c r="Z973" s="15"/>
    </row>
    <row r="974" spans="1:26" x14ac:dyDescent="0.25">
      <c r="A974" s="15" t="str">
        <f>IF(C974="","",COUNTA($C$3:C974))</f>
        <v/>
      </c>
      <c r="B974" s="15" t="str">
        <f t="shared" si="190"/>
        <v/>
      </c>
      <c r="C974" s="31"/>
      <c r="D974" s="17"/>
      <c r="E974" s="32"/>
      <c r="F974" s="17"/>
      <c r="G974" s="18"/>
      <c r="H974" s="18"/>
      <c r="I974" s="17"/>
      <c r="J974" s="18"/>
      <c r="K974" s="18"/>
      <c r="L974" s="19"/>
      <c r="M974" s="20"/>
      <c r="N974" s="20"/>
      <c r="O974" s="19"/>
      <c r="P974" s="80"/>
      <c r="Q974" s="83"/>
      <c r="R974" s="87"/>
      <c r="S974" s="19"/>
      <c r="T974" s="19"/>
      <c r="U974" s="21" t="str">
        <f t="shared" si="185"/>
        <v/>
      </c>
      <c r="V974" s="22" t="str">
        <f t="shared" si="186"/>
        <v/>
      </c>
      <c r="W974" s="23"/>
      <c r="X974" s="74"/>
      <c r="Y974" s="33"/>
      <c r="Z974" s="15"/>
    </row>
    <row r="975" spans="1:26" x14ac:dyDescent="0.25">
      <c r="A975" s="15" t="str">
        <f>IF(C975="","",COUNTA($C$3:C975))</f>
        <v/>
      </c>
      <c r="B975" s="15" t="str">
        <f t="shared" si="190"/>
        <v/>
      </c>
      <c r="C975" s="31"/>
      <c r="D975" s="17"/>
      <c r="E975" s="32"/>
      <c r="F975" s="17"/>
      <c r="G975" s="18"/>
      <c r="H975" s="18"/>
      <c r="I975" s="17"/>
      <c r="J975" s="18"/>
      <c r="K975" s="18"/>
      <c r="L975" s="19"/>
      <c r="M975" s="20"/>
      <c r="N975" s="20"/>
      <c r="O975" s="19"/>
      <c r="P975" s="80"/>
      <c r="Q975" s="83"/>
      <c r="R975" s="87"/>
      <c r="S975" s="19"/>
      <c r="T975" s="19"/>
      <c r="U975" s="21" t="str">
        <f t="shared" si="185"/>
        <v/>
      </c>
      <c r="V975" s="22" t="str">
        <f t="shared" si="186"/>
        <v/>
      </c>
      <c r="W975" s="23"/>
      <c r="X975" s="74"/>
      <c r="Y975" s="33"/>
      <c r="Z975" s="15"/>
    </row>
    <row r="976" spans="1:26" x14ac:dyDescent="0.25">
      <c r="A976" s="15" t="str">
        <f>IF(C976="","",COUNTA($C$3:C976))</f>
        <v/>
      </c>
      <c r="B976" s="15" t="str">
        <f t="shared" si="190"/>
        <v/>
      </c>
      <c r="C976" s="31"/>
      <c r="D976" s="17"/>
      <c r="E976" s="32"/>
      <c r="F976" s="17"/>
      <c r="G976" s="18"/>
      <c r="H976" s="18"/>
      <c r="I976" s="17"/>
      <c r="J976" s="18"/>
      <c r="K976" s="18"/>
      <c r="L976" s="19"/>
      <c r="M976" s="20"/>
      <c r="N976" s="20"/>
      <c r="O976" s="123" t="str">
        <f t="shared" ref="O976:O977" si="193">IF(L976="","",(L976+S976)*18%)</f>
        <v/>
      </c>
      <c r="P976" s="80"/>
      <c r="Q976" s="83"/>
      <c r="R976" s="87"/>
      <c r="S976" s="19"/>
      <c r="T976" s="19"/>
      <c r="U976" s="21" t="str">
        <f t="shared" si="185"/>
        <v/>
      </c>
      <c r="V976" s="22" t="str">
        <f t="shared" si="186"/>
        <v/>
      </c>
      <c r="W976" s="23"/>
      <c r="X976" s="74"/>
      <c r="Y976" s="33"/>
      <c r="Z976" s="15"/>
    </row>
    <row r="977" spans="1:26" x14ac:dyDescent="0.25">
      <c r="A977" s="15" t="str">
        <f>IF(C977="","",COUNTA($C$3:C977))</f>
        <v/>
      </c>
      <c r="B977" s="15" t="str">
        <f t="shared" si="190"/>
        <v/>
      </c>
      <c r="C977" s="31"/>
      <c r="D977" s="17"/>
      <c r="E977" s="32"/>
      <c r="F977" s="17"/>
      <c r="G977" s="18"/>
      <c r="H977" s="18"/>
      <c r="I977" s="17"/>
      <c r="J977" s="18"/>
      <c r="K977" s="18"/>
      <c r="L977" s="19"/>
      <c r="M977" s="20"/>
      <c r="N977" s="20"/>
      <c r="O977" s="123" t="str">
        <f t="shared" si="193"/>
        <v/>
      </c>
      <c r="P977" s="80"/>
      <c r="Q977" s="83"/>
      <c r="R977" s="87"/>
      <c r="S977" s="19"/>
      <c r="T977" s="19"/>
      <c r="U977" s="21" t="str">
        <f t="shared" si="185"/>
        <v/>
      </c>
      <c r="V977" s="22" t="str">
        <f t="shared" si="186"/>
        <v/>
      </c>
      <c r="W977" s="23"/>
      <c r="X977" s="74"/>
      <c r="Y977" s="33"/>
      <c r="Z977" s="15"/>
    </row>
    <row r="978" spans="1:26" x14ac:dyDescent="0.25">
      <c r="A978" s="15" t="str">
        <f>IF(C978="","",COUNTA($C$3:C978))</f>
        <v/>
      </c>
      <c r="B978" s="15" t="str">
        <f t="shared" si="190"/>
        <v/>
      </c>
      <c r="C978" s="31"/>
      <c r="D978" s="17"/>
      <c r="E978" s="32"/>
      <c r="F978" s="17"/>
      <c r="G978" s="18"/>
      <c r="H978" s="18"/>
      <c r="I978" s="17"/>
      <c r="J978" s="18"/>
      <c r="K978" s="18"/>
      <c r="L978" s="19"/>
      <c r="M978" s="20"/>
      <c r="N978" s="20"/>
      <c r="O978" s="19"/>
      <c r="P978" s="80"/>
      <c r="Q978" s="83"/>
      <c r="R978" s="87"/>
      <c r="S978" s="19"/>
      <c r="T978" s="19"/>
      <c r="U978" s="21" t="str">
        <f t="shared" si="185"/>
        <v/>
      </c>
      <c r="V978" s="22" t="str">
        <f t="shared" si="186"/>
        <v/>
      </c>
      <c r="W978" s="23"/>
      <c r="X978" s="74"/>
      <c r="Y978" s="33"/>
      <c r="Z978" s="15"/>
    </row>
    <row r="979" spans="1:26" x14ac:dyDescent="0.25">
      <c r="A979" s="15" t="str">
        <f>IF(C979="","",COUNTA($C$3:C979))</f>
        <v/>
      </c>
      <c r="B979" s="15" t="str">
        <f t="shared" si="190"/>
        <v/>
      </c>
      <c r="C979" s="31"/>
      <c r="D979" s="17"/>
      <c r="E979" s="32"/>
      <c r="F979" s="17"/>
      <c r="G979" s="18"/>
      <c r="H979" s="18"/>
      <c r="I979" s="17"/>
      <c r="J979" s="18"/>
      <c r="K979" s="18"/>
      <c r="L979" s="19"/>
      <c r="M979" s="20"/>
      <c r="N979" s="20"/>
      <c r="O979" s="19"/>
      <c r="P979" s="80"/>
      <c r="Q979" s="83"/>
      <c r="R979" s="87"/>
      <c r="S979" s="19"/>
      <c r="T979" s="19"/>
      <c r="U979" s="21" t="str">
        <f t="shared" si="185"/>
        <v/>
      </c>
      <c r="V979" s="22" t="str">
        <f t="shared" si="186"/>
        <v/>
      </c>
      <c r="W979" s="23"/>
      <c r="X979" s="74"/>
      <c r="Y979" s="33"/>
      <c r="Z979" s="15"/>
    </row>
    <row r="980" spans="1:26" x14ac:dyDescent="0.25">
      <c r="A980" s="15" t="str">
        <f>IF(C980="","",COUNTA($C$3:C980))</f>
        <v/>
      </c>
      <c r="B980" s="15" t="str">
        <f t="shared" si="190"/>
        <v/>
      </c>
      <c r="C980" s="31"/>
      <c r="D980" s="17"/>
      <c r="E980" s="32"/>
      <c r="F980" s="17"/>
      <c r="G980" s="18"/>
      <c r="H980" s="18"/>
      <c r="I980" s="17"/>
      <c r="J980" s="18"/>
      <c r="K980" s="18"/>
      <c r="L980" s="19"/>
      <c r="M980" s="20"/>
      <c r="N980" s="20"/>
      <c r="O980" s="19"/>
      <c r="P980" s="80"/>
      <c r="Q980" s="83"/>
      <c r="R980" s="87"/>
      <c r="S980" s="19"/>
      <c r="T980" s="19"/>
      <c r="U980" s="21" t="str">
        <f t="shared" si="185"/>
        <v/>
      </c>
      <c r="V980" s="22" t="str">
        <f t="shared" si="186"/>
        <v/>
      </c>
      <c r="W980" s="23"/>
      <c r="X980" s="74"/>
      <c r="Y980" s="33"/>
      <c r="Z980" s="15"/>
    </row>
    <row r="981" spans="1:26" x14ac:dyDescent="0.25">
      <c r="A981" s="15" t="str">
        <f>IF(C981="","",COUNTA($C$3:C981))</f>
        <v/>
      </c>
      <c r="B981" s="15" t="str">
        <f t="shared" si="190"/>
        <v/>
      </c>
      <c r="C981" s="31"/>
      <c r="D981" s="17"/>
      <c r="E981" s="32"/>
      <c r="F981" s="17"/>
      <c r="G981" s="18"/>
      <c r="H981" s="18"/>
      <c r="I981" s="17"/>
      <c r="J981" s="18"/>
      <c r="K981" s="18"/>
      <c r="L981" s="19"/>
      <c r="M981" s="20"/>
      <c r="N981" s="20"/>
      <c r="O981" s="19"/>
      <c r="P981" s="80"/>
      <c r="Q981" s="83"/>
      <c r="R981" s="87"/>
      <c r="S981" s="19"/>
      <c r="T981" s="19"/>
      <c r="U981" s="21" t="str">
        <f t="shared" si="185"/>
        <v/>
      </c>
      <c r="V981" s="22" t="str">
        <f t="shared" si="186"/>
        <v/>
      </c>
      <c r="W981" s="23"/>
      <c r="X981" s="74"/>
      <c r="Y981" s="33"/>
      <c r="Z981" s="15"/>
    </row>
    <row r="982" spans="1:26" x14ac:dyDescent="0.25">
      <c r="A982" s="15" t="str">
        <f>IF(C982="","",COUNTA($C$3:C982))</f>
        <v/>
      </c>
      <c r="B982" s="15" t="str">
        <f t="shared" si="190"/>
        <v/>
      </c>
      <c r="C982" s="31"/>
      <c r="D982" s="17"/>
      <c r="E982" s="32"/>
      <c r="F982" s="17"/>
      <c r="G982" s="18"/>
      <c r="H982" s="18"/>
      <c r="I982" s="17"/>
      <c r="J982" s="18"/>
      <c r="K982" s="18"/>
      <c r="L982" s="19"/>
      <c r="M982" s="20"/>
      <c r="N982" s="20"/>
      <c r="O982" s="19"/>
      <c r="P982" s="80"/>
      <c r="Q982" s="83"/>
      <c r="R982" s="87"/>
      <c r="S982" s="19"/>
      <c r="T982" s="19"/>
      <c r="U982" s="21" t="str">
        <f t="shared" si="185"/>
        <v/>
      </c>
      <c r="V982" s="22" t="str">
        <f t="shared" si="186"/>
        <v/>
      </c>
      <c r="W982" s="23"/>
      <c r="X982" s="74"/>
      <c r="Y982" s="33"/>
      <c r="Z982" s="15"/>
    </row>
    <row r="983" spans="1:26" x14ac:dyDescent="0.25">
      <c r="A983" s="15" t="str">
        <f>IF(C983="","",COUNTA($C$3:C983))</f>
        <v/>
      </c>
      <c r="B983" s="15" t="str">
        <f t="shared" si="190"/>
        <v/>
      </c>
      <c r="C983" s="31"/>
      <c r="D983" s="17"/>
      <c r="E983" s="32"/>
      <c r="F983" s="17"/>
      <c r="G983" s="18"/>
      <c r="H983" s="18"/>
      <c r="I983" s="17"/>
      <c r="J983" s="18"/>
      <c r="K983" s="18"/>
      <c r="L983" s="19"/>
      <c r="M983" s="20"/>
      <c r="N983" s="20"/>
      <c r="O983" s="19"/>
      <c r="P983" s="80"/>
      <c r="Q983" s="83"/>
      <c r="R983" s="87"/>
      <c r="S983" s="19"/>
      <c r="T983" s="19"/>
      <c r="U983" s="21" t="str">
        <f t="shared" si="185"/>
        <v/>
      </c>
      <c r="V983" s="22" t="str">
        <f t="shared" si="186"/>
        <v/>
      </c>
      <c r="W983" s="23"/>
      <c r="X983" s="74"/>
      <c r="Y983" s="33"/>
      <c r="Z983" s="15"/>
    </row>
    <row r="984" spans="1:26" x14ac:dyDescent="0.25">
      <c r="A984" s="15" t="str">
        <f>IF(C984="","",COUNTA($C$3:C984))</f>
        <v/>
      </c>
      <c r="B984" s="15" t="str">
        <f t="shared" si="190"/>
        <v/>
      </c>
      <c r="C984" s="31"/>
      <c r="D984" s="17"/>
      <c r="E984" s="32"/>
      <c r="F984" s="17"/>
      <c r="G984" s="18"/>
      <c r="H984" s="18"/>
      <c r="I984" s="17"/>
      <c r="J984" s="18"/>
      <c r="K984" s="18"/>
      <c r="L984" s="19"/>
      <c r="M984" s="20"/>
      <c r="N984" s="20"/>
      <c r="O984" s="123" t="str">
        <f t="shared" ref="O984:O985" si="194">IF(L984="","",(L984+S984)*18%)</f>
        <v/>
      </c>
      <c r="P984" s="80"/>
      <c r="Q984" s="83"/>
      <c r="R984" s="87"/>
      <c r="S984" s="19"/>
      <c r="T984" s="19"/>
      <c r="U984" s="21" t="str">
        <f t="shared" si="185"/>
        <v/>
      </c>
      <c r="V984" s="22" t="str">
        <f t="shared" si="186"/>
        <v/>
      </c>
      <c r="W984" s="23"/>
      <c r="X984" s="74"/>
      <c r="Y984" s="33"/>
      <c r="Z984" s="15"/>
    </row>
    <row r="985" spans="1:26" x14ac:dyDescent="0.25">
      <c r="A985" s="15" t="str">
        <f>IF(C985="","",COUNTA($C$3:C985))</f>
        <v/>
      </c>
      <c r="B985" s="15" t="str">
        <f t="shared" si="190"/>
        <v/>
      </c>
      <c r="C985" s="31"/>
      <c r="D985" s="17"/>
      <c r="E985" s="32"/>
      <c r="F985" s="17"/>
      <c r="G985" s="18"/>
      <c r="H985" s="18"/>
      <c r="I985" s="17"/>
      <c r="J985" s="18"/>
      <c r="K985" s="18"/>
      <c r="L985" s="19"/>
      <c r="M985" s="20"/>
      <c r="N985" s="20"/>
      <c r="O985" s="123" t="str">
        <f t="shared" si="194"/>
        <v/>
      </c>
      <c r="P985" s="80"/>
      <c r="Q985" s="83"/>
      <c r="R985" s="87"/>
      <c r="S985" s="19"/>
      <c r="T985" s="19"/>
      <c r="U985" s="21" t="str">
        <f t="shared" si="185"/>
        <v/>
      </c>
      <c r="V985" s="22" t="str">
        <f t="shared" si="186"/>
        <v/>
      </c>
      <c r="W985" s="23"/>
      <c r="X985" s="74"/>
      <c r="Y985" s="33"/>
      <c r="Z985" s="15"/>
    </row>
    <row r="986" spans="1:26" x14ac:dyDescent="0.25">
      <c r="A986" s="15" t="str">
        <f>IF(C986="","",COUNTA($C$3:C986))</f>
        <v/>
      </c>
      <c r="B986" s="15" t="str">
        <f t="shared" si="190"/>
        <v/>
      </c>
      <c r="C986" s="31"/>
      <c r="D986" s="17"/>
      <c r="E986" s="32"/>
      <c r="F986" s="17"/>
      <c r="G986" s="18"/>
      <c r="H986" s="18"/>
      <c r="I986" s="17"/>
      <c r="J986" s="18"/>
      <c r="K986" s="18"/>
      <c r="L986" s="19"/>
      <c r="M986" s="20"/>
      <c r="N986" s="20"/>
      <c r="O986" s="19"/>
      <c r="P986" s="80"/>
      <c r="Q986" s="83"/>
      <c r="R986" s="87"/>
      <c r="S986" s="19"/>
      <c r="T986" s="19"/>
      <c r="U986" s="21" t="str">
        <f t="shared" si="185"/>
        <v/>
      </c>
      <c r="V986" s="22" t="str">
        <f t="shared" si="186"/>
        <v/>
      </c>
      <c r="W986" s="23"/>
      <c r="X986" s="74"/>
      <c r="Y986" s="33"/>
      <c r="Z986" s="15"/>
    </row>
    <row r="987" spans="1:26" x14ac:dyDescent="0.25">
      <c r="A987" s="15" t="str">
        <f>IF(C987="","",COUNTA($C$3:C987))</f>
        <v/>
      </c>
      <c r="B987" s="15" t="str">
        <f t="shared" si="190"/>
        <v/>
      </c>
      <c r="C987" s="31"/>
      <c r="D987" s="17"/>
      <c r="E987" s="32"/>
      <c r="F987" s="17"/>
      <c r="G987" s="18"/>
      <c r="H987" s="18"/>
      <c r="I987" s="17"/>
      <c r="J987" s="18"/>
      <c r="K987" s="18"/>
      <c r="L987" s="19"/>
      <c r="M987" s="20"/>
      <c r="N987" s="20"/>
      <c r="O987" s="19"/>
      <c r="P987" s="80"/>
      <c r="Q987" s="83"/>
      <c r="R987" s="87"/>
      <c r="S987" s="19"/>
      <c r="T987" s="19"/>
      <c r="U987" s="21" t="str">
        <f t="shared" si="185"/>
        <v/>
      </c>
      <c r="V987" s="22" t="str">
        <f t="shared" si="186"/>
        <v/>
      </c>
      <c r="W987" s="23"/>
      <c r="X987" s="74"/>
      <c r="Y987" s="33"/>
      <c r="Z987" s="15"/>
    </row>
    <row r="988" spans="1:26" x14ac:dyDescent="0.25">
      <c r="A988" s="15" t="str">
        <f>IF(C988="","",COUNTA($C$3:C988))</f>
        <v/>
      </c>
      <c r="B988" s="15" t="str">
        <f t="shared" si="190"/>
        <v/>
      </c>
      <c r="C988" s="31"/>
      <c r="D988" s="17"/>
      <c r="E988" s="32"/>
      <c r="F988" s="17"/>
      <c r="G988" s="18"/>
      <c r="H988" s="18"/>
      <c r="I988" s="17"/>
      <c r="J988" s="18"/>
      <c r="K988" s="18"/>
      <c r="L988" s="19"/>
      <c r="M988" s="20"/>
      <c r="N988" s="20"/>
      <c r="O988" s="19"/>
      <c r="P988" s="80"/>
      <c r="Q988" s="83"/>
      <c r="R988" s="87"/>
      <c r="S988" s="19"/>
      <c r="T988" s="19"/>
      <c r="U988" s="21" t="str">
        <f t="shared" si="185"/>
        <v/>
      </c>
      <c r="V988" s="22" t="str">
        <f t="shared" si="186"/>
        <v/>
      </c>
      <c r="W988" s="23"/>
      <c r="X988" s="74"/>
      <c r="Y988" s="33"/>
      <c r="Z988" s="15"/>
    </row>
    <row r="989" spans="1:26" x14ac:dyDescent="0.25">
      <c r="A989" s="15" t="str">
        <f>IF(C989="","",COUNTA($C$3:C989))</f>
        <v/>
      </c>
      <c r="B989" s="15" t="str">
        <f t="shared" si="190"/>
        <v/>
      </c>
      <c r="C989" s="31"/>
      <c r="D989" s="17"/>
      <c r="E989" s="32"/>
      <c r="F989" s="17"/>
      <c r="G989" s="18"/>
      <c r="H989" s="18"/>
      <c r="I989" s="17"/>
      <c r="J989" s="18"/>
      <c r="K989" s="18"/>
      <c r="L989" s="19"/>
      <c r="M989" s="20"/>
      <c r="N989" s="20"/>
      <c r="O989" s="19"/>
      <c r="P989" s="80"/>
      <c r="Q989" s="83"/>
      <c r="R989" s="87"/>
      <c r="S989" s="19"/>
      <c r="T989" s="19"/>
      <c r="U989" s="21" t="str">
        <f t="shared" si="185"/>
        <v/>
      </c>
      <c r="V989" s="22" t="str">
        <f t="shared" si="186"/>
        <v/>
      </c>
      <c r="W989" s="23"/>
      <c r="X989" s="74"/>
      <c r="Y989" s="33"/>
      <c r="Z989" s="15"/>
    </row>
    <row r="990" spans="1:26" x14ac:dyDescent="0.25">
      <c r="A990" s="15" t="str">
        <f>IF(C990="","",COUNTA($C$3:C990))</f>
        <v/>
      </c>
      <c r="B990" s="15" t="str">
        <f t="shared" si="190"/>
        <v/>
      </c>
      <c r="C990" s="31"/>
      <c r="D990" s="17"/>
      <c r="E990" s="32"/>
      <c r="F990" s="17"/>
      <c r="G990" s="18"/>
      <c r="H990" s="18"/>
      <c r="I990" s="17"/>
      <c r="J990" s="18"/>
      <c r="K990" s="18"/>
      <c r="L990" s="19"/>
      <c r="M990" s="20"/>
      <c r="N990" s="20"/>
      <c r="O990" s="19"/>
      <c r="P990" s="80"/>
      <c r="Q990" s="83"/>
      <c r="R990" s="87"/>
      <c r="S990" s="19"/>
      <c r="T990" s="19"/>
      <c r="U990" s="21" t="str">
        <f t="shared" si="185"/>
        <v/>
      </c>
      <c r="V990" s="22" t="str">
        <f t="shared" si="186"/>
        <v/>
      </c>
      <c r="W990" s="23"/>
      <c r="X990" s="74"/>
      <c r="Y990" s="33"/>
      <c r="Z990" s="15"/>
    </row>
    <row r="991" spans="1:26" x14ac:dyDescent="0.25">
      <c r="A991" s="15" t="str">
        <f>IF(C991="","",COUNTA($C$3:C991))</f>
        <v/>
      </c>
      <c r="B991" s="15" t="str">
        <f t="shared" si="190"/>
        <v/>
      </c>
      <c r="C991" s="31"/>
      <c r="D991" s="17"/>
      <c r="E991" s="32"/>
      <c r="F991" s="17"/>
      <c r="G991" s="18"/>
      <c r="H991" s="18"/>
      <c r="I991" s="17"/>
      <c r="J991" s="18"/>
      <c r="K991" s="18"/>
      <c r="L991" s="19"/>
      <c r="M991" s="20"/>
      <c r="N991" s="20"/>
      <c r="O991" s="19"/>
      <c r="P991" s="80"/>
      <c r="Q991" s="83"/>
      <c r="R991" s="87"/>
      <c r="S991" s="19"/>
      <c r="T991" s="19"/>
      <c r="U991" s="21" t="str">
        <f t="shared" si="185"/>
        <v/>
      </c>
      <c r="V991" s="22" t="str">
        <f t="shared" si="186"/>
        <v/>
      </c>
      <c r="W991" s="23"/>
      <c r="X991" s="74"/>
      <c r="Y991" s="33"/>
      <c r="Z991" s="15"/>
    </row>
    <row r="992" spans="1:26" x14ac:dyDescent="0.25">
      <c r="A992" s="15" t="str">
        <f>IF(C992="","",COUNTA($C$3:C992))</f>
        <v/>
      </c>
      <c r="B992" s="15" t="str">
        <f t="shared" si="190"/>
        <v/>
      </c>
      <c r="C992" s="31"/>
      <c r="D992" s="17"/>
      <c r="E992" s="32"/>
      <c r="F992" s="17"/>
      <c r="G992" s="18"/>
      <c r="H992" s="18"/>
      <c r="I992" s="17"/>
      <c r="J992" s="18"/>
      <c r="K992" s="18"/>
      <c r="L992" s="19"/>
      <c r="M992" s="20"/>
      <c r="N992" s="20"/>
      <c r="O992" s="19"/>
      <c r="P992" s="80"/>
      <c r="Q992" s="83"/>
      <c r="R992" s="87"/>
      <c r="S992" s="19"/>
      <c r="T992" s="19"/>
      <c r="U992" s="21" t="str">
        <f t="shared" si="185"/>
        <v/>
      </c>
      <c r="V992" s="22" t="str">
        <f t="shared" si="186"/>
        <v/>
      </c>
      <c r="W992" s="23"/>
      <c r="X992" s="74"/>
      <c r="Y992" s="33"/>
      <c r="Z992" s="15"/>
    </row>
    <row r="993" spans="1:26" x14ac:dyDescent="0.25">
      <c r="A993" s="15" t="str">
        <f>IF(C993="","",COUNTA($C$3:C993))</f>
        <v/>
      </c>
      <c r="B993" s="15" t="str">
        <f t="shared" si="190"/>
        <v/>
      </c>
      <c r="C993" s="31"/>
      <c r="D993" s="17"/>
      <c r="E993" s="32"/>
      <c r="F993" s="17"/>
      <c r="G993" s="18"/>
      <c r="H993" s="18"/>
      <c r="I993" s="17"/>
      <c r="J993" s="18"/>
      <c r="K993" s="18"/>
      <c r="L993" s="19"/>
      <c r="M993" s="20"/>
      <c r="N993" s="20"/>
      <c r="O993" s="19"/>
      <c r="P993" s="80"/>
      <c r="Q993" s="83"/>
      <c r="R993" s="87"/>
      <c r="S993" s="19"/>
      <c r="T993" s="19"/>
      <c r="U993" s="21" t="str">
        <f t="shared" si="185"/>
        <v/>
      </c>
      <c r="V993" s="22" t="str">
        <f t="shared" si="186"/>
        <v/>
      </c>
      <c r="W993" s="23"/>
      <c r="X993" s="74"/>
      <c r="Y993" s="33"/>
      <c r="Z993" s="15"/>
    </row>
    <row r="994" spans="1:26" x14ac:dyDescent="0.25">
      <c r="A994" s="15" t="str">
        <f>IF(C994="","",COUNTA($C$3:C994))</f>
        <v/>
      </c>
      <c r="B994" s="15" t="str">
        <f t="shared" si="190"/>
        <v/>
      </c>
      <c r="C994" s="31"/>
      <c r="D994" s="17"/>
      <c r="E994" s="32"/>
      <c r="F994" s="17"/>
      <c r="G994" s="18"/>
      <c r="H994" s="18"/>
      <c r="I994" s="17"/>
      <c r="J994" s="18"/>
      <c r="K994" s="18"/>
      <c r="L994" s="19"/>
      <c r="M994" s="20"/>
      <c r="N994" s="20"/>
      <c r="O994" s="19"/>
      <c r="P994" s="80"/>
      <c r="Q994" s="83"/>
      <c r="R994" s="87"/>
      <c r="S994" s="19"/>
      <c r="T994" s="19"/>
      <c r="U994" s="21" t="str">
        <f t="shared" si="185"/>
        <v/>
      </c>
      <c r="V994" s="22" t="str">
        <f t="shared" si="186"/>
        <v/>
      </c>
      <c r="W994" s="23"/>
      <c r="X994" s="74"/>
      <c r="Y994" s="33"/>
      <c r="Z994" s="15"/>
    </row>
    <row r="995" spans="1:26" x14ac:dyDescent="0.25">
      <c r="A995" s="15" t="str">
        <f>IF(C995="","",COUNTA($C$3:C995))</f>
        <v/>
      </c>
      <c r="B995" s="15" t="str">
        <f t="shared" si="190"/>
        <v/>
      </c>
      <c r="C995" s="31"/>
      <c r="D995" s="17"/>
      <c r="E995" s="32"/>
      <c r="F995" s="17"/>
      <c r="G995" s="18"/>
      <c r="H995" s="18"/>
      <c r="I995" s="17"/>
      <c r="J995" s="18"/>
      <c r="K995" s="18"/>
      <c r="L995" s="19"/>
      <c r="M995" s="20"/>
      <c r="N995" s="20"/>
      <c r="O995" s="19"/>
      <c r="P995" s="80"/>
      <c r="Q995" s="83"/>
      <c r="R995" s="87"/>
      <c r="S995" s="19"/>
      <c r="T995" s="19"/>
      <c r="U995" s="21" t="str">
        <f t="shared" si="185"/>
        <v/>
      </c>
      <c r="V995" s="22" t="str">
        <f t="shared" si="186"/>
        <v/>
      </c>
      <c r="W995" s="23"/>
      <c r="X995" s="74"/>
      <c r="Y995" s="33"/>
      <c r="Z995" s="15"/>
    </row>
    <row r="996" spans="1:26" x14ac:dyDescent="0.25">
      <c r="A996" s="15" t="str">
        <f>IF(C996="","",COUNTA($C$3:C996))</f>
        <v/>
      </c>
      <c r="B996" s="15" t="str">
        <f t="shared" si="190"/>
        <v/>
      </c>
      <c r="C996" s="31"/>
      <c r="D996" s="17"/>
      <c r="E996" s="32"/>
      <c r="F996" s="17"/>
      <c r="G996" s="18"/>
      <c r="H996" s="18"/>
      <c r="I996" s="17"/>
      <c r="J996" s="18"/>
      <c r="K996" s="18"/>
      <c r="L996" s="19"/>
      <c r="M996" s="20"/>
      <c r="N996" s="20"/>
      <c r="O996" s="19"/>
      <c r="P996" s="80"/>
      <c r="Q996" s="83"/>
      <c r="R996" s="87"/>
      <c r="S996" s="19"/>
      <c r="T996" s="19"/>
      <c r="U996" s="21" t="str">
        <f t="shared" si="185"/>
        <v/>
      </c>
      <c r="V996" s="22" t="str">
        <f t="shared" si="186"/>
        <v/>
      </c>
      <c r="W996" s="23"/>
      <c r="X996" s="74"/>
      <c r="Y996" s="33"/>
      <c r="Z996" s="15"/>
    </row>
    <row r="997" spans="1:26" x14ac:dyDescent="0.25">
      <c r="A997" s="15" t="str">
        <f>IF(C997="","",COUNTA($C$3:C997))</f>
        <v/>
      </c>
      <c r="B997" s="15" t="str">
        <f t="shared" si="190"/>
        <v/>
      </c>
      <c r="C997" s="31"/>
      <c r="D997" s="17"/>
      <c r="E997" s="32"/>
      <c r="F997" s="17"/>
      <c r="G997" s="18"/>
      <c r="H997" s="18"/>
      <c r="I997" s="17"/>
      <c r="J997" s="18"/>
      <c r="K997" s="18"/>
      <c r="L997" s="19"/>
      <c r="M997" s="20"/>
      <c r="N997" s="20"/>
      <c r="O997" s="19"/>
      <c r="P997" s="80"/>
      <c r="Q997" s="83"/>
      <c r="R997" s="87"/>
      <c r="S997" s="19"/>
      <c r="T997" s="19"/>
      <c r="U997" s="21" t="str">
        <f t="shared" si="185"/>
        <v/>
      </c>
      <c r="V997" s="22" t="str">
        <f t="shared" si="186"/>
        <v/>
      </c>
      <c r="W997" s="23"/>
      <c r="X997" s="74"/>
      <c r="Y997" s="33"/>
      <c r="Z997" s="15"/>
    </row>
    <row r="998" spans="1:26" x14ac:dyDescent="0.25">
      <c r="A998" s="15" t="str">
        <f>IF(C998="","",COUNTA($C$3:C998))</f>
        <v/>
      </c>
      <c r="B998" s="15" t="str">
        <f t="shared" si="190"/>
        <v/>
      </c>
      <c r="C998" s="31"/>
      <c r="D998" s="17"/>
      <c r="E998" s="32"/>
      <c r="F998" s="17"/>
      <c r="G998" s="18"/>
      <c r="H998" s="18"/>
      <c r="I998" s="17"/>
      <c r="J998" s="18"/>
      <c r="K998" s="18"/>
      <c r="L998" s="19"/>
      <c r="M998" s="20"/>
      <c r="N998" s="20"/>
      <c r="O998" s="19"/>
      <c r="P998" s="80"/>
      <c r="Q998" s="83"/>
      <c r="R998" s="87"/>
      <c r="S998" s="19"/>
      <c r="T998" s="19"/>
      <c r="U998" s="21" t="str">
        <f t="shared" si="185"/>
        <v/>
      </c>
      <c r="V998" s="22" t="str">
        <f t="shared" si="186"/>
        <v/>
      </c>
      <c r="W998" s="23"/>
      <c r="X998" s="74"/>
      <c r="Y998" s="33"/>
      <c r="Z998" s="15"/>
    </row>
    <row r="999" spans="1:26" x14ac:dyDescent="0.25">
      <c r="A999" s="15" t="str">
        <f>IF(C999="","",COUNTA($C$3:C999))</f>
        <v/>
      </c>
      <c r="B999" s="15" t="str">
        <f t="shared" si="190"/>
        <v/>
      </c>
      <c r="C999" s="31"/>
      <c r="D999" s="17"/>
      <c r="E999" s="32"/>
      <c r="F999" s="17"/>
      <c r="G999" s="18"/>
      <c r="H999" s="18"/>
      <c r="I999" s="17"/>
      <c r="J999" s="18"/>
      <c r="K999" s="18"/>
      <c r="L999" s="19"/>
      <c r="M999" s="20"/>
      <c r="N999" s="20"/>
      <c r="O999" s="19"/>
      <c r="P999" s="80"/>
      <c r="Q999" s="83"/>
      <c r="R999" s="87"/>
      <c r="S999" s="19"/>
      <c r="T999" s="19"/>
      <c r="U999" s="21" t="str">
        <f t="shared" si="185"/>
        <v/>
      </c>
      <c r="V999" s="22" t="str">
        <f t="shared" si="186"/>
        <v/>
      </c>
      <c r="W999" s="23"/>
      <c r="X999" s="74"/>
      <c r="Y999" s="33"/>
      <c r="Z999" s="15"/>
    </row>
    <row r="1000" spans="1:26" x14ac:dyDescent="0.25">
      <c r="A1000" s="15" t="str">
        <f>IF(C1000="","",COUNTA($C$3:C1000))</f>
        <v/>
      </c>
      <c r="B1000" s="15" t="str">
        <f t="shared" si="190"/>
        <v/>
      </c>
      <c r="C1000" s="31"/>
      <c r="D1000" s="17"/>
      <c r="E1000" s="32"/>
      <c r="F1000" s="17"/>
      <c r="G1000" s="18"/>
      <c r="H1000" s="18"/>
      <c r="I1000" s="17"/>
      <c r="J1000" s="18"/>
      <c r="K1000" s="18"/>
      <c r="L1000" s="19"/>
      <c r="M1000" s="20"/>
      <c r="N1000" s="20"/>
      <c r="O1000" s="19"/>
      <c r="P1000" s="80"/>
      <c r="Q1000" s="83"/>
      <c r="R1000" s="87"/>
      <c r="S1000" s="19"/>
      <c r="T1000" s="19"/>
      <c r="U1000" s="21" t="str">
        <f t="shared" si="185"/>
        <v/>
      </c>
      <c r="V1000" s="22" t="str">
        <f t="shared" si="186"/>
        <v/>
      </c>
      <c r="W1000" s="23"/>
      <c r="X1000" s="74"/>
      <c r="Y1000" s="33"/>
      <c r="Z1000" s="15"/>
    </row>
    <row r="1001" spans="1:26" x14ac:dyDescent="0.25">
      <c r="A1001" s="15" t="str">
        <f>IF(C1001="","",COUNTA($C$3:C1001))</f>
        <v/>
      </c>
      <c r="B1001" s="15" t="str">
        <f t="shared" si="190"/>
        <v/>
      </c>
      <c r="C1001" s="31"/>
      <c r="D1001" s="17"/>
      <c r="E1001" s="32"/>
      <c r="F1001" s="17"/>
      <c r="G1001" s="18"/>
      <c r="H1001" s="18"/>
      <c r="I1001" s="17"/>
      <c r="J1001" s="18"/>
      <c r="K1001" s="18"/>
      <c r="L1001" s="19"/>
      <c r="M1001" s="20"/>
      <c r="N1001" s="20"/>
      <c r="O1001" s="19"/>
      <c r="P1001" s="80"/>
      <c r="Q1001" s="83"/>
      <c r="R1001" s="87"/>
      <c r="S1001" s="19"/>
      <c r="T1001" s="19"/>
      <c r="U1001" s="21" t="str">
        <f t="shared" si="185"/>
        <v/>
      </c>
      <c r="V1001" s="22" t="str">
        <f t="shared" si="186"/>
        <v/>
      </c>
      <c r="W1001" s="23"/>
      <c r="X1001" s="74"/>
      <c r="Y1001" s="33"/>
      <c r="Z1001" s="15"/>
    </row>
    <row r="1002" spans="1:26" x14ac:dyDescent="0.25">
      <c r="A1002" s="15" t="str">
        <f>IF(C1002="","",COUNTA($C$3:C1002))</f>
        <v/>
      </c>
      <c r="B1002" s="15" t="str">
        <f t="shared" si="190"/>
        <v/>
      </c>
      <c r="C1002" s="31"/>
      <c r="D1002" s="17"/>
      <c r="E1002" s="32"/>
      <c r="F1002" s="17"/>
      <c r="G1002" s="18"/>
      <c r="H1002" s="18"/>
      <c r="I1002" s="17"/>
      <c r="J1002" s="18"/>
      <c r="K1002" s="18"/>
      <c r="L1002" s="19"/>
      <c r="M1002" s="20"/>
      <c r="N1002" s="20"/>
      <c r="O1002" s="19"/>
      <c r="P1002" s="80"/>
      <c r="Q1002" s="83"/>
      <c r="R1002" s="87"/>
      <c r="S1002" s="19"/>
      <c r="T1002" s="19"/>
      <c r="U1002" s="21" t="str">
        <f t="shared" ref="U1002:U1065" si="195">IF(S1002="","",(S1002-T1002))</f>
        <v/>
      </c>
      <c r="V1002" s="22" t="str">
        <f t="shared" ref="V1002:V1065" si="196">IF(U1002="","",(U1002/T1002))</f>
        <v/>
      </c>
      <c r="W1002" s="23"/>
      <c r="X1002" s="74"/>
      <c r="Y1002" s="33"/>
      <c r="Z1002" s="15"/>
    </row>
    <row r="1003" spans="1:26" x14ac:dyDescent="0.25">
      <c r="A1003" s="15" t="str">
        <f>IF(C1003="","",COUNTA($C$3:C1003))</f>
        <v/>
      </c>
      <c r="B1003" s="15" t="str">
        <f t="shared" si="190"/>
        <v/>
      </c>
      <c r="C1003" s="31"/>
      <c r="D1003" s="17"/>
      <c r="E1003" s="32"/>
      <c r="F1003" s="17"/>
      <c r="G1003" s="18"/>
      <c r="H1003" s="18"/>
      <c r="I1003" s="17"/>
      <c r="J1003" s="18"/>
      <c r="K1003" s="18"/>
      <c r="L1003" s="19"/>
      <c r="M1003" s="20"/>
      <c r="N1003" s="20"/>
      <c r="O1003" s="19"/>
      <c r="P1003" s="80"/>
      <c r="Q1003" s="83"/>
      <c r="R1003" s="87"/>
      <c r="S1003" s="19"/>
      <c r="T1003" s="19"/>
      <c r="U1003" s="21" t="str">
        <f t="shared" si="195"/>
        <v/>
      </c>
      <c r="V1003" s="22" t="str">
        <f t="shared" si="196"/>
        <v/>
      </c>
      <c r="W1003" s="23"/>
      <c r="X1003" s="74"/>
      <c r="Y1003" s="33"/>
      <c r="Z1003" s="15"/>
    </row>
    <row r="1004" spans="1:26" x14ac:dyDescent="0.25">
      <c r="A1004" s="15" t="str">
        <f>IF(C1004="","",COUNTA($C$3:C1004))</f>
        <v/>
      </c>
      <c r="B1004" s="15" t="str">
        <f t="shared" si="190"/>
        <v/>
      </c>
      <c r="C1004" s="31"/>
      <c r="D1004" s="17"/>
      <c r="E1004" s="32"/>
      <c r="F1004" s="17"/>
      <c r="G1004" s="18"/>
      <c r="H1004" s="18"/>
      <c r="I1004" s="17"/>
      <c r="J1004" s="18"/>
      <c r="K1004" s="18"/>
      <c r="L1004" s="19"/>
      <c r="M1004" s="20"/>
      <c r="N1004" s="20"/>
      <c r="O1004" s="19"/>
      <c r="P1004" s="80"/>
      <c r="Q1004" s="83"/>
      <c r="R1004" s="87"/>
      <c r="S1004" s="19"/>
      <c r="T1004" s="19"/>
      <c r="U1004" s="21" t="str">
        <f t="shared" si="195"/>
        <v/>
      </c>
      <c r="V1004" s="22" t="str">
        <f t="shared" si="196"/>
        <v/>
      </c>
      <c r="W1004" s="23"/>
      <c r="X1004" s="74"/>
      <c r="Y1004" s="33"/>
      <c r="Z1004" s="15"/>
    </row>
    <row r="1005" spans="1:26" x14ac:dyDescent="0.25">
      <c r="A1005" s="15" t="str">
        <f>IF(C1005="","",COUNTA($C$3:C1005))</f>
        <v/>
      </c>
      <c r="B1005" s="15" t="str">
        <f t="shared" si="190"/>
        <v/>
      </c>
      <c r="C1005" s="31"/>
      <c r="D1005" s="17"/>
      <c r="E1005" s="32"/>
      <c r="F1005" s="17"/>
      <c r="G1005" s="18"/>
      <c r="H1005" s="18"/>
      <c r="I1005" s="17"/>
      <c r="J1005" s="18"/>
      <c r="K1005" s="18"/>
      <c r="L1005" s="19"/>
      <c r="M1005" s="20"/>
      <c r="N1005" s="20"/>
      <c r="O1005" s="19"/>
      <c r="P1005" s="80"/>
      <c r="Q1005" s="83"/>
      <c r="R1005" s="87"/>
      <c r="S1005" s="19"/>
      <c r="T1005" s="19"/>
      <c r="U1005" s="21" t="str">
        <f t="shared" si="195"/>
        <v/>
      </c>
      <c r="V1005" s="22" t="str">
        <f t="shared" si="196"/>
        <v/>
      </c>
      <c r="W1005" s="23"/>
      <c r="X1005" s="74"/>
      <c r="Y1005" s="33"/>
      <c r="Z1005" s="15"/>
    </row>
    <row r="1006" spans="1:26" x14ac:dyDescent="0.25">
      <c r="A1006" s="15" t="str">
        <f>IF(C1006="","",COUNTA($C$3:C1006))</f>
        <v/>
      </c>
      <c r="B1006" s="15" t="str">
        <f t="shared" si="190"/>
        <v/>
      </c>
      <c r="C1006" s="31"/>
      <c r="D1006" s="17"/>
      <c r="E1006" s="32"/>
      <c r="F1006" s="17"/>
      <c r="G1006" s="18"/>
      <c r="H1006" s="18"/>
      <c r="I1006" s="17"/>
      <c r="J1006" s="18"/>
      <c r="K1006" s="18"/>
      <c r="L1006" s="19"/>
      <c r="M1006" s="20"/>
      <c r="N1006" s="20"/>
      <c r="O1006" s="19"/>
      <c r="P1006" s="80"/>
      <c r="Q1006" s="83"/>
      <c r="R1006" s="87"/>
      <c r="S1006" s="19"/>
      <c r="T1006" s="19"/>
      <c r="U1006" s="21" t="str">
        <f t="shared" si="195"/>
        <v/>
      </c>
      <c r="V1006" s="22" t="str">
        <f t="shared" si="196"/>
        <v/>
      </c>
      <c r="W1006" s="23"/>
      <c r="X1006" s="74"/>
      <c r="Y1006" s="33"/>
      <c r="Z1006" s="15"/>
    </row>
    <row r="1007" spans="1:26" x14ac:dyDescent="0.25">
      <c r="A1007" s="15" t="str">
        <f>IF(C1007="","",COUNTA($C$3:C1007))</f>
        <v/>
      </c>
      <c r="B1007" s="15" t="str">
        <f t="shared" si="190"/>
        <v/>
      </c>
      <c r="C1007" s="31"/>
      <c r="D1007" s="17"/>
      <c r="E1007" s="32"/>
      <c r="F1007" s="17"/>
      <c r="G1007" s="18"/>
      <c r="H1007" s="18"/>
      <c r="I1007" s="17"/>
      <c r="J1007" s="18"/>
      <c r="K1007" s="18"/>
      <c r="L1007" s="19"/>
      <c r="M1007" s="20"/>
      <c r="N1007" s="20"/>
      <c r="O1007" s="19"/>
      <c r="P1007" s="80"/>
      <c r="Q1007" s="83"/>
      <c r="R1007" s="87"/>
      <c r="S1007" s="19"/>
      <c r="T1007" s="19"/>
      <c r="U1007" s="21" t="str">
        <f t="shared" si="195"/>
        <v/>
      </c>
      <c r="V1007" s="22" t="str">
        <f t="shared" si="196"/>
        <v/>
      </c>
      <c r="W1007" s="23"/>
      <c r="X1007" s="74"/>
      <c r="Y1007" s="33"/>
      <c r="Z1007" s="15"/>
    </row>
    <row r="1008" spans="1:26" x14ac:dyDescent="0.25">
      <c r="A1008" s="15" t="str">
        <f>IF(C1008="","",COUNTA($C$3:C1008))</f>
        <v/>
      </c>
      <c r="B1008" s="15" t="str">
        <f t="shared" si="190"/>
        <v/>
      </c>
      <c r="C1008" s="31"/>
      <c r="D1008" s="17"/>
      <c r="E1008" s="32"/>
      <c r="F1008" s="17"/>
      <c r="G1008" s="18"/>
      <c r="H1008" s="18"/>
      <c r="I1008" s="17"/>
      <c r="J1008" s="18"/>
      <c r="K1008" s="18"/>
      <c r="L1008" s="19"/>
      <c r="M1008" s="20"/>
      <c r="N1008" s="20"/>
      <c r="O1008" s="19"/>
      <c r="P1008" s="80"/>
      <c r="Q1008" s="83"/>
      <c r="R1008" s="87"/>
      <c r="S1008" s="19"/>
      <c r="T1008" s="19"/>
      <c r="U1008" s="21" t="str">
        <f t="shared" si="195"/>
        <v/>
      </c>
      <c r="V1008" s="22" t="str">
        <f t="shared" si="196"/>
        <v/>
      </c>
      <c r="W1008" s="23"/>
      <c r="X1008" s="74"/>
      <c r="Y1008" s="33"/>
      <c r="Z1008" s="15"/>
    </row>
    <row r="1009" spans="1:26" x14ac:dyDescent="0.25">
      <c r="A1009" s="15" t="str">
        <f>IF(C1009="","",COUNTA($C$3:C1009))</f>
        <v/>
      </c>
      <c r="B1009" s="15" t="str">
        <f t="shared" si="190"/>
        <v/>
      </c>
      <c r="C1009" s="31"/>
      <c r="D1009" s="17"/>
      <c r="E1009" s="32"/>
      <c r="F1009" s="17"/>
      <c r="G1009" s="18"/>
      <c r="H1009" s="18"/>
      <c r="I1009" s="17"/>
      <c r="J1009" s="18"/>
      <c r="K1009" s="18"/>
      <c r="L1009" s="19"/>
      <c r="M1009" s="20"/>
      <c r="N1009" s="20"/>
      <c r="O1009" s="19"/>
      <c r="P1009" s="80"/>
      <c r="Q1009" s="83"/>
      <c r="R1009" s="87"/>
      <c r="S1009" s="19"/>
      <c r="T1009" s="19"/>
      <c r="U1009" s="21" t="str">
        <f t="shared" si="195"/>
        <v/>
      </c>
      <c r="V1009" s="22" t="str">
        <f t="shared" si="196"/>
        <v/>
      </c>
      <c r="W1009" s="23"/>
      <c r="X1009" s="74"/>
      <c r="Y1009" s="33"/>
      <c r="Z1009" s="15"/>
    </row>
    <row r="1010" spans="1:26" x14ac:dyDescent="0.25">
      <c r="A1010" s="15" t="str">
        <f>IF(C1010="","",COUNTA($C$3:C1010))</f>
        <v/>
      </c>
      <c r="B1010" s="15" t="str">
        <f t="shared" si="190"/>
        <v/>
      </c>
      <c r="C1010" s="31"/>
      <c r="D1010" s="17"/>
      <c r="E1010" s="32"/>
      <c r="F1010" s="17"/>
      <c r="G1010" s="18"/>
      <c r="H1010" s="18"/>
      <c r="I1010" s="17"/>
      <c r="J1010" s="18"/>
      <c r="K1010" s="18"/>
      <c r="L1010" s="19"/>
      <c r="M1010" s="20"/>
      <c r="N1010" s="20"/>
      <c r="O1010" s="19"/>
      <c r="P1010" s="80"/>
      <c r="Q1010" s="83"/>
      <c r="R1010" s="87"/>
      <c r="S1010" s="19"/>
      <c r="T1010" s="19"/>
      <c r="U1010" s="21" t="str">
        <f t="shared" si="195"/>
        <v/>
      </c>
      <c r="V1010" s="22" t="str">
        <f t="shared" si="196"/>
        <v/>
      </c>
      <c r="W1010" s="23"/>
      <c r="X1010" s="74"/>
      <c r="Y1010" s="33"/>
      <c r="Z1010" s="15"/>
    </row>
    <row r="1011" spans="1:26" x14ac:dyDescent="0.25">
      <c r="A1011" s="15" t="str">
        <f>IF(C1011="","",COUNTA($C$3:C1011))</f>
        <v/>
      </c>
      <c r="B1011" s="15" t="str">
        <f t="shared" si="190"/>
        <v/>
      </c>
      <c r="C1011" s="31"/>
      <c r="D1011" s="17"/>
      <c r="E1011" s="32"/>
      <c r="F1011" s="17"/>
      <c r="G1011" s="18"/>
      <c r="H1011" s="18"/>
      <c r="I1011" s="17"/>
      <c r="J1011" s="18"/>
      <c r="K1011" s="18"/>
      <c r="L1011" s="19"/>
      <c r="M1011" s="20"/>
      <c r="N1011" s="20"/>
      <c r="O1011" s="19"/>
      <c r="P1011" s="80"/>
      <c r="Q1011" s="83"/>
      <c r="R1011" s="87"/>
      <c r="S1011" s="19"/>
      <c r="T1011" s="19"/>
      <c r="U1011" s="21" t="str">
        <f t="shared" si="195"/>
        <v/>
      </c>
      <c r="V1011" s="22" t="str">
        <f t="shared" si="196"/>
        <v/>
      </c>
      <c r="W1011" s="23"/>
      <c r="X1011" s="74"/>
      <c r="Y1011" s="33"/>
      <c r="Z1011" s="15"/>
    </row>
    <row r="1012" spans="1:26" x14ac:dyDescent="0.25">
      <c r="A1012" s="15" t="str">
        <f>IF(C1012="","",COUNTA($C$3:C1012))</f>
        <v/>
      </c>
      <c r="B1012" s="15" t="str">
        <f t="shared" si="190"/>
        <v/>
      </c>
      <c r="C1012" s="31"/>
      <c r="D1012" s="17"/>
      <c r="E1012" s="32"/>
      <c r="F1012" s="17"/>
      <c r="G1012" s="18"/>
      <c r="H1012" s="18"/>
      <c r="I1012" s="17"/>
      <c r="J1012" s="18"/>
      <c r="K1012" s="18"/>
      <c r="L1012" s="19"/>
      <c r="M1012" s="20"/>
      <c r="N1012" s="20"/>
      <c r="O1012" s="19"/>
      <c r="P1012" s="80"/>
      <c r="Q1012" s="83"/>
      <c r="R1012" s="87"/>
      <c r="S1012" s="19"/>
      <c r="T1012" s="19"/>
      <c r="U1012" s="21" t="str">
        <f t="shared" si="195"/>
        <v/>
      </c>
      <c r="V1012" s="22" t="str">
        <f t="shared" si="196"/>
        <v/>
      </c>
      <c r="W1012" s="23"/>
      <c r="X1012" s="74"/>
      <c r="Y1012" s="33"/>
      <c r="Z1012" s="15"/>
    </row>
    <row r="1013" spans="1:26" x14ac:dyDescent="0.25">
      <c r="A1013" s="15" t="str">
        <f>IF(C1013="","",COUNTA($C$3:C1013))</f>
        <v/>
      </c>
      <c r="B1013" s="15" t="str">
        <f t="shared" si="190"/>
        <v/>
      </c>
      <c r="C1013" s="31"/>
      <c r="D1013" s="17"/>
      <c r="E1013" s="32"/>
      <c r="F1013" s="17"/>
      <c r="G1013" s="18"/>
      <c r="H1013" s="18"/>
      <c r="I1013" s="17"/>
      <c r="J1013" s="18"/>
      <c r="K1013" s="18"/>
      <c r="L1013" s="19"/>
      <c r="M1013" s="20"/>
      <c r="N1013" s="20"/>
      <c r="O1013" s="19"/>
      <c r="P1013" s="80"/>
      <c r="Q1013" s="83"/>
      <c r="R1013" s="87"/>
      <c r="S1013" s="19"/>
      <c r="T1013" s="19"/>
      <c r="U1013" s="21" t="str">
        <f t="shared" si="195"/>
        <v/>
      </c>
      <c r="V1013" s="22" t="str">
        <f t="shared" si="196"/>
        <v/>
      </c>
      <c r="W1013" s="23"/>
      <c r="X1013" s="74"/>
      <c r="Y1013" s="33"/>
      <c r="Z1013" s="15"/>
    </row>
    <row r="1014" spans="1:26" x14ac:dyDescent="0.25">
      <c r="A1014" s="15" t="str">
        <f>IF(C1014="","",COUNTA($C$3:C1014))</f>
        <v/>
      </c>
      <c r="B1014" s="15" t="str">
        <f t="shared" si="190"/>
        <v/>
      </c>
      <c r="C1014" s="31"/>
      <c r="D1014" s="17"/>
      <c r="E1014" s="32"/>
      <c r="F1014" s="17"/>
      <c r="G1014" s="18"/>
      <c r="H1014" s="18"/>
      <c r="I1014" s="17"/>
      <c r="J1014" s="18"/>
      <c r="K1014" s="18"/>
      <c r="L1014" s="19"/>
      <c r="M1014" s="20"/>
      <c r="N1014" s="20"/>
      <c r="O1014" s="19"/>
      <c r="P1014" s="80"/>
      <c r="Q1014" s="83"/>
      <c r="R1014" s="87"/>
      <c r="S1014" s="19"/>
      <c r="T1014" s="19"/>
      <c r="U1014" s="21" t="str">
        <f t="shared" si="195"/>
        <v/>
      </c>
      <c r="V1014" s="22" t="str">
        <f t="shared" si="196"/>
        <v/>
      </c>
      <c r="W1014" s="23"/>
      <c r="X1014" s="74"/>
      <c r="Y1014" s="33"/>
      <c r="Z1014" s="15"/>
    </row>
    <row r="1015" spans="1:26" x14ac:dyDescent="0.25">
      <c r="A1015" s="15" t="str">
        <f>IF(C1015="","",COUNTA($C$3:C1015))</f>
        <v/>
      </c>
      <c r="B1015" s="15" t="str">
        <f t="shared" si="190"/>
        <v/>
      </c>
      <c r="C1015" s="31"/>
      <c r="D1015" s="17"/>
      <c r="E1015" s="32"/>
      <c r="F1015" s="17"/>
      <c r="G1015" s="18"/>
      <c r="H1015" s="18"/>
      <c r="I1015" s="17"/>
      <c r="J1015" s="18"/>
      <c r="K1015" s="18"/>
      <c r="L1015" s="19"/>
      <c r="M1015" s="20"/>
      <c r="N1015" s="20"/>
      <c r="O1015" s="19"/>
      <c r="P1015" s="80"/>
      <c r="Q1015" s="83"/>
      <c r="R1015" s="87"/>
      <c r="S1015" s="19"/>
      <c r="T1015" s="19"/>
      <c r="U1015" s="21" t="str">
        <f t="shared" si="195"/>
        <v/>
      </c>
      <c r="V1015" s="22" t="str">
        <f t="shared" si="196"/>
        <v/>
      </c>
      <c r="W1015" s="23"/>
      <c r="X1015" s="74"/>
      <c r="Y1015" s="33"/>
      <c r="Z1015" s="15"/>
    </row>
    <row r="1016" spans="1:26" x14ac:dyDescent="0.25">
      <c r="A1016" s="15" t="str">
        <f>IF(C1016="","",COUNTA($C$3:C1016))</f>
        <v/>
      </c>
      <c r="B1016" s="15" t="str">
        <f t="shared" si="190"/>
        <v/>
      </c>
      <c r="C1016" s="31"/>
      <c r="D1016" s="17"/>
      <c r="E1016" s="32"/>
      <c r="F1016" s="17"/>
      <c r="G1016" s="18"/>
      <c r="H1016" s="18"/>
      <c r="I1016" s="17"/>
      <c r="J1016" s="18"/>
      <c r="K1016" s="18"/>
      <c r="L1016" s="19"/>
      <c r="M1016" s="20"/>
      <c r="N1016" s="20"/>
      <c r="O1016" s="19"/>
      <c r="P1016" s="80"/>
      <c r="Q1016" s="83"/>
      <c r="R1016" s="87"/>
      <c r="S1016" s="19"/>
      <c r="T1016" s="19"/>
      <c r="U1016" s="21" t="str">
        <f t="shared" si="195"/>
        <v/>
      </c>
      <c r="V1016" s="22" t="str">
        <f t="shared" si="196"/>
        <v/>
      </c>
      <c r="W1016" s="23"/>
      <c r="X1016" s="74"/>
      <c r="Y1016" s="33"/>
      <c r="Z1016" s="15"/>
    </row>
    <row r="1017" spans="1:26" x14ac:dyDescent="0.25">
      <c r="A1017" s="15" t="str">
        <f>IF(C1017="","",COUNTA($C$3:C1017))</f>
        <v/>
      </c>
      <c r="B1017" s="15" t="str">
        <f t="shared" si="190"/>
        <v/>
      </c>
      <c r="C1017" s="31"/>
      <c r="D1017" s="17"/>
      <c r="E1017" s="32"/>
      <c r="F1017" s="17"/>
      <c r="G1017" s="18"/>
      <c r="H1017" s="18"/>
      <c r="I1017" s="17"/>
      <c r="J1017" s="18"/>
      <c r="K1017" s="18"/>
      <c r="L1017" s="19"/>
      <c r="M1017" s="20"/>
      <c r="N1017" s="20"/>
      <c r="O1017" s="19"/>
      <c r="P1017" s="80"/>
      <c r="Q1017" s="83"/>
      <c r="R1017" s="87"/>
      <c r="S1017" s="19"/>
      <c r="T1017" s="19"/>
      <c r="U1017" s="21" t="str">
        <f t="shared" si="195"/>
        <v/>
      </c>
      <c r="V1017" s="22" t="str">
        <f t="shared" si="196"/>
        <v/>
      </c>
      <c r="W1017" s="23"/>
      <c r="X1017" s="74"/>
      <c r="Y1017" s="33"/>
      <c r="Z1017" s="15"/>
    </row>
    <row r="1018" spans="1:26" x14ac:dyDescent="0.25">
      <c r="A1018" s="15" t="str">
        <f>IF(C1018="","",COUNTA($C$3:C1018))</f>
        <v/>
      </c>
      <c r="B1018" s="15" t="str">
        <f t="shared" si="190"/>
        <v/>
      </c>
      <c r="C1018" s="31"/>
      <c r="D1018" s="17"/>
      <c r="E1018" s="32"/>
      <c r="F1018" s="17"/>
      <c r="G1018" s="18"/>
      <c r="H1018" s="18"/>
      <c r="I1018" s="17"/>
      <c r="J1018" s="18"/>
      <c r="K1018" s="18"/>
      <c r="L1018" s="19"/>
      <c r="M1018" s="20"/>
      <c r="N1018" s="20"/>
      <c r="O1018" s="19"/>
      <c r="P1018" s="80"/>
      <c r="Q1018" s="83"/>
      <c r="R1018" s="87"/>
      <c r="S1018" s="19"/>
      <c r="T1018" s="19"/>
      <c r="U1018" s="21" t="str">
        <f t="shared" si="195"/>
        <v/>
      </c>
      <c r="V1018" s="22" t="str">
        <f t="shared" si="196"/>
        <v/>
      </c>
      <c r="W1018" s="23"/>
      <c r="X1018" s="74"/>
      <c r="Y1018" s="33"/>
      <c r="Z1018" s="15"/>
    </row>
    <row r="1019" spans="1:26" x14ac:dyDescent="0.25">
      <c r="A1019" s="15" t="str">
        <f>IF(C1019="","",COUNTA($C$3:C1019))</f>
        <v/>
      </c>
      <c r="B1019" s="15" t="str">
        <f t="shared" si="190"/>
        <v/>
      </c>
      <c r="C1019" s="31"/>
      <c r="D1019" s="17"/>
      <c r="E1019" s="32"/>
      <c r="F1019" s="17"/>
      <c r="G1019" s="18"/>
      <c r="H1019" s="18"/>
      <c r="I1019" s="17"/>
      <c r="J1019" s="18"/>
      <c r="K1019" s="18"/>
      <c r="L1019" s="19"/>
      <c r="M1019" s="20"/>
      <c r="N1019" s="20"/>
      <c r="O1019" s="19"/>
      <c r="P1019" s="80"/>
      <c r="Q1019" s="83"/>
      <c r="R1019" s="87"/>
      <c r="S1019" s="19"/>
      <c r="T1019" s="19"/>
      <c r="U1019" s="21" t="str">
        <f t="shared" si="195"/>
        <v/>
      </c>
      <c r="V1019" s="22" t="str">
        <f t="shared" si="196"/>
        <v/>
      </c>
      <c r="W1019" s="23"/>
      <c r="X1019" s="74"/>
      <c r="Y1019" s="33"/>
      <c r="Z1019" s="15"/>
    </row>
    <row r="1020" spans="1:26" x14ac:dyDescent="0.25">
      <c r="A1020" s="15" t="str">
        <f>IF(C1020="","",COUNTA($C$3:C1020))</f>
        <v/>
      </c>
      <c r="B1020" s="15" t="str">
        <f t="shared" si="190"/>
        <v/>
      </c>
      <c r="C1020" s="31"/>
      <c r="D1020" s="17"/>
      <c r="E1020" s="32"/>
      <c r="F1020" s="17"/>
      <c r="G1020" s="18"/>
      <c r="H1020" s="18"/>
      <c r="I1020" s="17"/>
      <c r="J1020" s="18"/>
      <c r="K1020" s="18"/>
      <c r="L1020" s="19"/>
      <c r="M1020" s="20"/>
      <c r="N1020" s="20"/>
      <c r="O1020" s="19"/>
      <c r="P1020" s="80"/>
      <c r="Q1020" s="83"/>
      <c r="R1020" s="87"/>
      <c r="S1020" s="19"/>
      <c r="T1020" s="19"/>
      <c r="U1020" s="21" t="str">
        <f t="shared" si="195"/>
        <v/>
      </c>
      <c r="V1020" s="22" t="str">
        <f t="shared" si="196"/>
        <v/>
      </c>
      <c r="W1020" s="23"/>
      <c r="X1020" s="74"/>
      <c r="Y1020" s="33"/>
      <c r="Z1020" s="15"/>
    </row>
    <row r="1021" spans="1:26" x14ac:dyDescent="0.25">
      <c r="A1021" s="15" t="str">
        <f>IF(C1021="","",COUNTA($C$3:C1021))</f>
        <v/>
      </c>
      <c r="B1021" s="15" t="str">
        <f t="shared" si="190"/>
        <v/>
      </c>
      <c r="C1021" s="31"/>
      <c r="D1021" s="17"/>
      <c r="E1021" s="32"/>
      <c r="F1021" s="17"/>
      <c r="G1021" s="18"/>
      <c r="H1021" s="18"/>
      <c r="I1021" s="17"/>
      <c r="J1021" s="18"/>
      <c r="K1021" s="18"/>
      <c r="L1021" s="19"/>
      <c r="M1021" s="20"/>
      <c r="N1021" s="20"/>
      <c r="O1021" s="19"/>
      <c r="P1021" s="80"/>
      <c r="Q1021" s="83"/>
      <c r="R1021" s="87"/>
      <c r="S1021" s="19"/>
      <c r="T1021" s="19"/>
      <c r="U1021" s="21" t="str">
        <f t="shared" si="195"/>
        <v/>
      </c>
      <c r="V1021" s="22" t="str">
        <f t="shared" si="196"/>
        <v/>
      </c>
      <c r="W1021" s="23"/>
      <c r="X1021" s="74"/>
      <c r="Y1021" s="33"/>
      <c r="Z1021" s="15"/>
    </row>
    <row r="1022" spans="1:26" x14ac:dyDescent="0.25">
      <c r="A1022" s="15" t="str">
        <f>IF(C1022="","",COUNTA($C$3:C1022))</f>
        <v/>
      </c>
      <c r="B1022" s="15" t="str">
        <f t="shared" si="190"/>
        <v/>
      </c>
      <c r="C1022" s="31"/>
      <c r="D1022" s="17"/>
      <c r="E1022" s="32"/>
      <c r="F1022" s="17"/>
      <c r="G1022" s="18"/>
      <c r="H1022" s="18"/>
      <c r="I1022" s="17"/>
      <c r="J1022" s="18"/>
      <c r="K1022" s="18"/>
      <c r="L1022" s="19"/>
      <c r="M1022" s="20"/>
      <c r="N1022" s="20"/>
      <c r="O1022" s="19"/>
      <c r="P1022" s="80"/>
      <c r="Q1022" s="83"/>
      <c r="R1022" s="87"/>
      <c r="S1022" s="19"/>
      <c r="T1022" s="19"/>
      <c r="U1022" s="21" t="str">
        <f t="shared" si="195"/>
        <v/>
      </c>
      <c r="V1022" s="22" t="str">
        <f t="shared" si="196"/>
        <v/>
      </c>
      <c r="W1022" s="23"/>
      <c r="X1022" s="74"/>
      <c r="Y1022" s="33"/>
      <c r="Z1022" s="15"/>
    </row>
    <row r="1023" spans="1:26" x14ac:dyDescent="0.25">
      <c r="A1023" s="15" t="str">
        <f>IF(C1023="","",COUNTA($C$3:C1023))</f>
        <v/>
      </c>
      <c r="B1023" s="15" t="str">
        <f t="shared" si="190"/>
        <v/>
      </c>
      <c r="C1023" s="31"/>
      <c r="D1023" s="17"/>
      <c r="E1023" s="32"/>
      <c r="F1023" s="17"/>
      <c r="G1023" s="18"/>
      <c r="H1023" s="18"/>
      <c r="I1023" s="17"/>
      <c r="J1023" s="18"/>
      <c r="K1023" s="18"/>
      <c r="L1023" s="19"/>
      <c r="M1023" s="20"/>
      <c r="N1023" s="20"/>
      <c r="O1023" s="19"/>
      <c r="P1023" s="80"/>
      <c r="Q1023" s="83"/>
      <c r="R1023" s="87"/>
      <c r="S1023" s="19"/>
      <c r="T1023" s="19"/>
      <c r="U1023" s="21" t="str">
        <f t="shared" si="195"/>
        <v/>
      </c>
      <c r="V1023" s="22" t="str">
        <f t="shared" si="196"/>
        <v/>
      </c>
      <c r="W1023" s="23"/>
      <c r="X1023" s="74"/>
      <c r="Y1023" s="33"/>
      <c r="Z1023" s="15"/>
    </row>
    <row r="1024" spans="1:26" x14ac:dyDescent="0.25">
      <c r="A1024" s="15" t="str">
        <f>IF(C1024="","",COUNTA($C$3:C1024))</f>
        <v/>
      </c>
      <c r="B1024" s="15" t="str">
        <f t="shared" si="190"/>
        <v/>
      </c>
      <c r="C1024" s="31"/>
      <c r="D1024" s="17"/>
      <c r="E1024" s="32"/>
      <c r="F1024" s="17"/>
      <c r="G1024" s="18"/>
      <c r="H1024" s="18"/>
      <c r="I1024" s="17"/>
      <c r="J1024" s="18"/>
      <c r="K1024" s="18"/>
      <c r="L1024" s="19"/>
      <c r="M1024" s="20"/>
      <c r="N1024" s="20"/>
      <c r="O1024" s="19"/>
      <c r="P1024" s="80"/>
      <c r="Q1024" s="83"/>
      <c r="R1024" s="87"/>
      <c r="S1024" s="19"/>
      <c r="T1024" s="19"/>
      <c r="U1024" s="21" t="str">
        <f t="shared" si="195"/>
        <v/>
      </c>
      <c r="V1024" s="22" t="str">
        <f t="shared" si="196"/>
        <v/>
      </c>
      <c r="W1024" s="23"/>
      <c r="X1024" s="74"/>
      <c r="Y1024" s="33"/>
      <c r="Z1024" s="15"/>
    </row>
    <row r="1025" spans="1:26" x14ac:dyDescent="0.25">
      <c r="A1025" s="15" t="str">
        <f>IF(C1025="","",COUNTA($C$3:C1025))</f>
        <v/>
      </c>
      <c r="B1025" s="15" t="str">
        <f t="shared" si="190"/>
        <v/>
      </c>
      <c r="C1025" s="31"/>
      <c r="D1025" s="17"/>
      <c r="E1025" s="32"/>
      <c r="F1025" s="17"/>
      <c r="G1025" s="18"/>
      <c r="H1025" s="18"/>
      <c r="I1025" s="17"/>
      <c r="J1025" s="18"/>
      <c r="K1025" s="18"/>
      <c r="L1025" s="19"/>
      <c r="M1025" s="20"/>
      <c r="N1025" s="20"/>
      <c r="O1025" s="19"/>
      <c r="P1025" s="80"/>
      <c r="Q1025" s="83"/>
      <c r="R1025" s="87"/>
      <c r="S1025" s="19"/>
      <c r="T1025" s="19"/>
      <c r="U1025" s="21" t="str">
        <f t="shared" si="195"/>
        <v/>
      </c>
      <c r="V1025" s="22" t="str">
        <f t="shared" si="196"/>
        <v/>
      </c>
      <c r="W1025" s="23"/>
      <c r="X1025" s="74"/>
      <c r="Y1025" s="33"/>
      <c r="Z1025" s="15"/>
    </row>
    <row r="1026" spans="1:26" x14ac:dyDescent="0.25">
      <c r="A1026" s="15" t="str">
        <f>IF(C1026="","",COUNTA($C$3:C1026))</f>
        <v/>
      </c>
      <c r="B1026" s="15" t="str">
        <f t="shared" si="190"/>
        <v/>
      </c>
      <c r="C1026" s="31"/>
      <c r="D1026" s="17"/>
      <c r="E1026" s="32"/>
      <c r="F1026" s="17"/>
      <c r="G1026" s="18"/>
      <c r="H1026" s="18"/>
      <c r="I1026" s="17"/>
      <c r="J1026" s="18"/>
      <c r="K1026" s="18"/>
      <c r="L1026" s="19"/>
      <c r="M1026" s="20"/>
      <c r="N1026" s="20"/>
      <c r="O1026" s="19"/>
      <c r="P1026" s="80"/>
      <c r="Q1026" s="83"/>
      <c r="R1026" s="87"/>
      <c r="S1026" s="19"/>
      <c r="T1026" s="19"/>
      <c r="U1026" s="21" t="str">
        <f t="shared" si="195"/>
        <v/>
      </c>
      <c r="V1026" s="22" t="str">
        <f t="shared" si="196"/>
        <v/>
      </c>
      <c r="W1026" s="23"/>
      <c r="X1026" s="74"/>
      <c r="Y1026" s="33"/>
      <c r="Z1026" s="15"/>
    </row>
    <row r="1027" spans="1:26" x14ac:dyDescent="0.25">
      <c r="A1027" s="15" t="str">
        <f>IF(C1027="","",COUNTA($C$3:C1027))</f>
        <v/>
      </c>
      <c r="B1027" s="15" t="str">
        <f t="shared" ref="B1027:B1090" si="197">IF(C1027="","",TEXT(C1027,"mmmm"))</f>
        <v/>
      </c>
      <c r="C1027" s="31"/>
      <c r="D1027" s="17"/>
      <c r="E1027" s="32"/>
      <c r="F1027" s="17"/>
      <c r="G1027" s="18"/>
      <c r="H1027" s="18"/>
      <c r="I1027" s="17"/>
      <c r="J1027" s="18"/>
      <c r="K1027" s="18"/>
      <c r="L1027" s="19"/>
      <c r="M1027" s="20"/>
      <c r="N1027" s="20"/>
      <c r="O1027" s="19"/>
      <c r="P1027" s="80"/>
      <c r="Q1027" s="83"/>
      <c r="R1027" s="87"/>
      <c r="S1027" s="19"/>
      <c r="T1027" s="19"/>
      <c r="U1027" s="21" t="str">
        <f t="shared" si="195"/>
        <v/>
      </c>
      <c r="V1027" s="22" t="str">
        <f t="shared" si="196"/>
        <v/>
      </c>
      <c r="W1027" s="23"/>
      <c r="X1027" s="74"/>
      <c r="Y1027" s="33"/>
      <c r="Z1027" s="15"/>
    </row>
    <row r="1028" spans="1:26" x14ac:dyDescent="0.25">
      <c r="A1028" s="15" t="str">
        <f>IF(C1028="","",COUNTA($C$3:C1028))</f>
        <v/>
      </c>
      <c r="B1028" s="15" t="str">
        <f t="shared" si="197"/>
        <v/>
      </c>
      <c r="C1028" s="31"/>
      <c r="D1028" s="17"/>
      <c r="E1028" s="32"/>
      <c r="F1028" s="17"/>
      <c r="G1028" s="18"/>
      <c r="H1028" s="18"/>
      <c r="I1028" s="17"/>
      <c r="J1028" s="18"/>
      <c r="K1028" s="18"/>
      <c r="L1028" s="19"/>
      <c r="M1028" s="20"/>
      <c r="N1028" s="20"/>
      <c r="O1028" s="19"/>
      <c r="P1028" s="80"/>
      <c r="Q1028" s="83"/>
      <c r="R1028" s="87"/>
      <c r="S1028" s="19"/>
      <c r="T1028" s="19"/>
      <c r="U1028" s="21" t="str">
        <f t="shared" si="195"/>
        <v/>
      </c>
      <c r="V1028" s="22" t="str">
        <f t="shared" si="196"/>
        <v/>
      </c>
      <c r="W1028" s="23"/>
      <c r="X1028" s="74"/>
      <c r="Y1028" s="33"/>
      <c r="Z1028" s="15"/>
    </row>
    <row r="1029" spans="1:26" x14ac:dyDescent="0.25">
      <c r="A1029" s="15" t="str">
        <f>IF(C1029="","",COUNTA($C$3:C1029))</f>
        <v/>
      </c>
      <c r="B1029" s="15" t="str">
        <f t="shared" si="197"/>
        <v/>
      </c>
      <c r="C1029" s="31"/>
      <c r="D1029" s="17"/>
      <c r="E1029" s="32"/>
      <c r="F1029" s="17"/>
      <c r="G1029" s="18"/>
      <c r="H1029" s="18"/>
      <c r="I1029" s="17"/>
      <c r="J1029" s="18"/>
      <c r="K1029" s="18"/>
      <c r="L1029" s="19"/>
      <c r="M1029" s="20"/>
      <c r="N1029" s="20"/>
      <c r="O1029" s="19"/>
      <c r="P1029" s="80"/>
      <c r="Q1029" s="83"/>
      <c r="R1029" s="87"/>
      <c r="S1029" s="19"/>
      <c r="T1029" s="19"/>
      <c r="U1029" s="21" t="str">
        <f t="shared" si="195"/>
        <v/>
      </c>
      <c r="V1029" s="22" t="str">
        <f t="shared" si="196"/>
        <v/>
      </c>
      <c r="W1029" s="23"/>
      <c r="X1029" s="74"/>
      <c r="Y1029" s="33"/>
      <c r="Z1029" s="15"/>
    </row>
    <row r="1030" spans="1:26" x14ac:dyDescent="0.25">
      <c r="A1030" s="15" t="str">
        <f>IF(C1030="","",COUNTA($C$3:C1030))</f>
        <v/>
      </c>
      <c r="B1030" s="15" t="str">
        <f t="shared" si="197"/>
        <v/>
      </c>
      <c r="C1030" s="31"/>
      <c r="D1030" s="17"/>
      <c r="E1030" s="32"/>
      <c r="F1030" s="17"/>
      <c r="G1030" s="18"/>
      <c r="H1030" s="18"/>
      <c r="I1030" s="17"/>
      <c r="J1030" s="18"/>
      <c r="K1030" s="18"/>
      <c r="L1030" s="19"/>
      <c r="M1030" s="20"/>
      <c r="N1030" s="20"/>
      <c r="O1030" s="19"/>
      <c r="P1030" s="80"/>
      <c r="Q1030" s="83"/>
      <c r="R1030" s="87"/>
      <c r="S1030" s="19"/>
      <c r="T1030" s="19"/>
      <c r="U1030" s="21" t="str">
        <f t="shared" si="195"/>
        <v/>
      </c>
      <c r="V1030" s="22" t="str">
        <f t="shared" si="196"/>
        <v/>
      </c>
      <c r="W1030" s="23"/>
      <c r="X1030" s="74"/>
      <c r="Y1030" s="33"/>
      <c r="Z1030" s="15"/>
    </row>
    <row r="1031" spans="1:26" x14ac:dyDescent="0.25">
      <c r="A1031" s="15" t="str">
        <f>IF(C1031="","",COUNTA($C$3:C1031))</f>
        <v/>
      </c>
      <c r="B1031" s="15" t="str">
        <f t="shared" si="197"/>
        <v/>
      </c>
      <c r="C1031" s="31"/>
      <c r="D1031" s="17"/>
      <c r="E1031" s="32"/>
      <c r="F1031" s="17"/>
      <c r="G1031" s="18"/>
      <c r="H1031" s="18"/>
      <c r="I1031" s="17"/>
      <c r="J1031" s="18"/>
      <c r="K1031" s="18"/>
      <c r="L1031" s="19"/>
      <c r="M1031" s="20"/>
      <c r="N1031" s="20"/>
      <c r="O1031" s="19"/>
      <c r="P1031" s="80"/>
      <c r="Q1031" s="83"/>
      <c r="R1031" s="87"/>
      <c r="S1031" s="19"/>
      <c r="T1031" s="19"/>
      <c r="U1031" s="21" t="str">
        <f t="shared" si="195"/>
        <v/>
      </c>
      <c r="V1031" s="22" t="str">
        <f t="shared" si="196"/>
        <v/>
      </c>
      <c r="W1031" s="23"/>
      <c r="X1031" s="74"/>
      <c r="Y1031" s="33"/>
      <c r="Z1031" s="15"/>
    </row>
    <row r="1032" spans="1:26" x14ac:dyDescent="0.25">
      <c r="A1032" s="15" t="str">
        <f>IF(C1032="","",COUNTA($C$3:C1032))</f>
        <v/>
      </c>
      <c r="B1032" s="15" t="str">
        <f t="shared" si="197"/>
        <v/>
      </c>
      <c r="C1032" s="31"/>
      <c r="D1032" s="17"/>
      <c r="E1032" s="32"/>
      <c r="F1032" s="17"/>
      <c r="G1032" s="18"/>
      <c r="H1032" s="18"/>
      <c r="I1032" s="17"/>
      <c r="J1032" s="18"/>
      <c r="K1032" s="18"/>
      <c r="L1032" s="19"/>
      <c r="M1032" s="20"/>
      <c r="N1032" s="20"/>
      <c r="O1032" s="19"/>
      <c r="P1032" s="80"/>
      <c r="Q1032" s="83"/>
      <c r="R1032" s="87"/>
      <c r="S1032" s="19"/>
      <c r="T1032" s="19"/>
      <c r="U1032" s="21" t="str">
        <f t="shared" si="195"/>
        <v/>
      </c>
      <c r="V1032" s="22" t="str">
        <f t="shared" si="196"/>
        <v/>
      </c>
      <c r="W1032" s="23"/>
      <c r="X1032" s="74"/>
      <c r="Y1032" s="33"/>
      <c r="Z1032" s="15"/>
    </row>
    <row r="1033" spans="1:26" x14ac:dyDescent="0.25">
      <c r="A1033" s="15" t="str">
        <f>IF(C1033="","",COUNTA($C$3:C1033))</f>
        <v/>
      </c>
      <c r="B1033" s="15" t="str">
        <f t="shared" si="197"/>
        <v/>
      </c>
      <c r="C1033" s="31"/>
      <c r="D1033" s="17"/>
      <c r="E1033" s="32"/>
      <c r="F1033" s="17"/>
      <c r="G1033" s="18"/>
      <c r="H1033" s="18"/>
      <c r="I1033" s="17"/>
      <c r="J1033" s="18"/>
      <c r="K1033" s="18"/>
      <c r="L1033" s="19"/>
      <c r="M1033" s="20"/>
      <c r="N1033" s="20"/>
      <c r="O1033" s="19"/>
      <c r="P1033" s="80"/>
      <c r="Q1033" s="83"/>
      <c r="R1033" s="87"/>
      <c r="S1033" s="19"/>
      <c r="T1033" s="19"/>
      <c r="U1033" s="21" t="str">
        <f t="shared" si="195"/>
        <v/>
      </c>
      <c r="V1033" s="22" t="str">
        <f t="shared" si="196"/>
        <v/>
      </c>
      <c r="W1033" s="23"/>
      <c r="X1033" s="74"/>
      <c r="Y1033" s="33"/>
      <c r="Z1033" s="15"/>
    </row>
    <row r="1034" spans="1:26" x14ac:dyDescent="0.25">
      <c r="A1034" s="15" t="str">
        <f>IF(C1034="","",COUNTA($C$3:C1034))</f>
        <v/>
      </c>
      <c r="B1034" s="15" t="str">
        <f t="shared" si="197"/>
        <v/>
      </c>
      <c r="C1034" s="31"/>
      <c r="D1034" s="17"/>
      <c r="E1034" s="32"/>
      <c r="F1034" s="17"/>
      <c r="G1034" s="18"/>
      <c r="H1034" s="18"/>
      <c r="I1034" s="17"/>
      <c r="J1034" s="18"/>
      <c r="K1034" s="18"/>
      <c r="L1034" s="19"/>
      <c r="M1034" s="20"/>
      <c r="N1034" s="20"/>
      <c r="O1034" s="19"/>
      <c r="P1034" s="80"/>
      <c r="Q1034" s="83"/>
      <c r="R1034" s="87"/>
      <c r="S1034" s="19"/>
      <c r="T1034" s="19"/>
      <c r="U1034" s="21" t="str">
        <f t="shared" si="195"/>
        <v/>
      </c>
      <c r="V1034" s="22" t="str">
        <f t="shared" si="196"/>
        <v/>
      </c>
      <c r="W1034" s="23"/>
      <c r="X1034" s="74"/>
      <c r="Y1034" s="33"/>
      <c r="Z1034" s="15"/>
    </row>
    <row r="1035" spans="1:26" x14ac:dyDescent="0.25">
      <c r="A1035" s="15" t="str">
        <f>IF(C1035="","",COUNTA($C$3:C1035))</f>
        <v/>
      </c>
      <c r="B1035" s="15" t="str">
        <f t="shared" si="197"/>
        <v/>
      </c>
      <c r="C1035" s="31"/>
      <c r="D1035" s="17"/>
      <c r="E1035" s="32"/>
      <c r="F1035" s="17"/>
      <c r="G1035" s="18"/>
      <c r="H1035" s="18"/>
      <c r="I1035" s="17"/>
      <c r="J1035" s="18"/>
      <c r="K1035" s="18"/>
      <c r="L1035" s="19"/>
      <c r="M1035" s="20"/>
      <c r="N1035" s="20"/>
      <c r="O1035" s="19"/>
      <c r="P1035" s="80"/>
      <c r="Q1035" s="83"/>
      <c r="R1035" s="87"/>
      <c r="S1035" s="19"/>
      <c r="T1035" s="19"/>
      <c r="U1035" s="21" t="str">
        <f t="shared" si="195"/>
        <v/>
      </c>
      <c r="V1035" s="22" t="str">
        <f t="shared" si="196"/>
        <v/>
      </c>
      <c r="W1035" s="23"/>
      <c r="X1035" s="74"/>
      <c r="Y1035" s="33"/>
      <c r="Z1035" s="15"/>
    </row>
    <row r="1036" spans="1:26" x14ac:dyDescent="0.25">
      <c r="A1036" s="15" t="str">
        <f>IF(C1036="","",COUNTA($C$3:C1036))</f>
        <v/>
      </c>
      <c r="B1036" s="15" t="str">
        <f t="shared" si="197"/>
        <v/>
      </c>
      <c r="C1036" s="31"/>
      <c r="D1036" s="17"/>
      <c r="E1036" s="32"/>
      <c r="F1036" s="17"/>
      <c r="G1036" s="18"/>
      <c r="H1036" s="18"/>
      <c r="I1036" s="17"/>
      <c r="J1036" s="18"/>
      <c r="K1036" s="18"/>
      <c r="L1036" s="19"/>
      <c r="M1036" s="20"/>
      <c r="N1036" s="20"/>
      <c r="O1036" s="19"/>
      <c r="P1036" s="80"/>
      <c r="Q1036" s="83"/>
      <c r="R1036" s="87"/>
      <c r="S1036" s="19"/>
      <c r="T1036" s="19"/>
      <c r="U1036" s="21" t="str">
        <f t="shared" si="195"/>
        <v/>
      </c>
      <c r="V1036" s="22" t="str">
        <f t="shared" si="196"/>
        <v/>
      </c>
      <c r="W1036" s="23"/>
      <c r="X1036" s="74"/>
      <c r="Y1036" s="33"/>
      <c r="Z1036" s="15"/>
    </row>
    <row r="1037" spans="1:26" x14ac:dyDescent="0.25">
      <c r="A1037" s="15" t="str">
        <f>IF(C1037="","",COUNTA($C$3:C1037))</f>
        <v/>
      </c>
      <c r="B1037" s="15" t="str">
        <f t="shared" si="197"/>
        <v/>
      </c>
      <c r="C1037" s="31"/>
      <c r="D1037" s="17"/>
      <c r="E1037" s="32"/>
      <c r="F1037" s="17"/>
      <c r="G1037" s="18"/>
      <c r="H1037" s="18"/>
      <c r="I1037" s="17"/>
      <c r="J1037" s="18"/>
      <c r="K1037" s="18"/>
      <c r="L1037" s="19"/>
      <c r="M1037" s="20"/>
      <c r="N1037" s="20"/>
      <c r="O1037" s="19"/>
      <c r="P1037" s="80"/>
      <c r="Q1037" s="83"/>
      <c r="R1037" s="87"/>
      <c r="S1037" s="19"/>
      <c r="T1037" s="19"/>
      <c r="U1037" s="21" t="str">
        <f t="shared" si="195"/>
        <v/>
      </c>
      <c r="V1037" s="22" t="str">
        <f t="shared" si="196"/>
        <v/>
      </c>
      <c r="W1037" s="23"/>
      <c r="X1037" s="74"/>
      <c r="Y1037" s="33"/>
      <c r="Z1037" s="15"/>
    </row>
    <row r="1038" spans="1:26" x14ac:dyDescent="0.25">
      <c r="A1038" s="15" t="str">
        <f>IF(C1038="","",COUNTA($C$3:C1038))</f>
        <v/>
      </c>
      <c r="B1038" s="15" t="str">
        <f t="shared" si="197"/>
        <v/>
      </c>
      <c r="C1038" s="31"/>
      <c r="D1038" s="17"/>
      <c r="E1038" s="32"/>
      <c r="F1038" s="17"/>
      <c r="G1038" s="18"/>
      <c r="H1038" s="18"/>
      <c r="I1038" s="17"/>
      <c r="J1038" s="18"/>
      <c r="K1038" s="18"/>
      <c r="L1038" s="19"/>
      <c r="M1038" s="20"/>
      <c r="N1038" s="20"/>
      <c r="O1038" s="19"/>
      <c r="P1038" s="80"/>
      <c r="Q1038" s="83"/>
      <c r="R1038" s="87"/>
      <c r="S1038" s="19"/>
      <c r="T1038" s="19"/>
      <c r="U1038" s="21" t="str">
        <f t="shared" si="195"/>
        <v/>
      </c>
      <c r="V1038" s="22" t="str">
        <f t="shared" si="196"/>
        <v/>
      </c>
      <c r="W1038" s="23"/>
      <c r="X1038" s="74"/>
      <c r="Y1038" s="33"/>
      <c r="Z1038" s="15"/>
    </row>
    <row r="1039" spans="1:26" x14ac:dyDescent="0.25">
      <c r="A1039" s="15" t="str">
        <f>IF(C1039="","",COUNTA($C$3:C1039))</f>
        <v/>
      </c>
      <c r="B1039" s="15" t="str">
        <f t="shared" si="197"/>
        <v/>
      </c>
      <c r="C1039" s="31"/>
      <c r="D1039" s="17"/>
      <c r="E1039" s="32"/>
      <c r="F1039" s="17"/>
      <c r="G1039" s="18"/>
      <c r="H1039" s="18"/>
      <c r="I1039" s="17"/>
      <c r="J1039" s="18"/>
      <c r="K1039" s="18"/>
      <c r="L1039" s="19"/>
      <c r="M1039" s="20"/>
      <c r="N1039" s="20"/>
      <c r="O1039" s="19"/>
      <c r="P1039" s="80"/>
      <c r="Q1039" s="83"/>
      <c r="R1039" s="87"/>
      <c r="S1039" s="19"/>
      <c r="T1039" s="19"/>
      <c r="U1039" s="21" t="str">
        <f t="shared" si="195"/>
        <v/>
      </c>
      <c r="V1039" s="22" t="str">
        <f t="shared" si="196"/>
        <v/>
      </c>
      <c r="W1039" s="23"/>
      <c r="X1039" s="74"/>
      <c r="Y1039" s="33"/>
      <c r="Z1039" s="15"/>
    </row>
    <row r="1040" spans="1:26" x14ac:dyDescent="0.25">
      <c r="A1040" s="15" t="str">
        <f>IF(C1040="","",COUNTA($C$3:C1040))</f>
        <v/>
      </c>
      <c r="B1040" s="15" t="str">
        <f t="shared" si="197"/>
        <v/>
      </c>
      <c r="C1040" s="31"/>
      <c r="D1040" s="17"/>
      <c r="E1040" s="32"/>
      <c r="F1040" s="17"/>
      <c r="G1040" s="18"/>
      <c r="H1040" s="18"/>
      <c r="I1040" s="17"/>
      <c r="J1040" s="18"/>
      <c r="K1040" s="18"/>
      <c r="L1040" s="19"/>
      <c r="M1040" s="20"/>
      <c r="N1040" s="20"/>
      <c r="O1040" s="19"/>
      <c r="P1040" s="80"/>
      <c r="Q1040" s="83"/>
      <c r="R1040" s="87"/>
      <c r="S1040" s="19"/>
      <c r="T1040" s="19"/>
      <c r="U1040" s="21" t="str">
        <f t="shared" si="195"/>
        <v/>
      </c>
      <c r="V1040" s="22" t="str">
        <f t="shared" si="196"/>
        <v/>
      </c>
      <c r="W1040" s="23"/>
      <c r="X1040" s="74"/>
      <c r="Y1040" s="33"/>
      <c r="Z1040" s="15"/>
    </row>
    <row r="1041" spans="1:26" x14ac:dyDescent="0.25">
      <c r="A1041" s="15" t="str">
        <f>IF(C1041="","",COUNTA($C$3:C1041))</f>
        <v/>
      </c>
      <c r="B1041" s="15" t="str">
        <f t="shared" si="197"/>
        <v/>
      </c>
      <c r="C1041" s="31"/>
      <c r="D1041" s="17"/>
      <c r="E1041" s="32"/>
      <c r="F1041" s="17"/>
      <c r="G1041" s="18"/>
      <c r="H1041" s="18"/>
      <c r="I1041" s="17"/>
      <c r="J1041" s="18"/>
      <c r="K1041" s="18"/>
      <c r="L1041" s="19"/>
      <c r="M1041" s="20"/>
      <c r="N1041" s="20"/>
      <c r="O1041" s="19"/>
      <c r="P1041" s="80"/>
      <c r="Q1041" s="83"/>
      <c r="R1041" s="87"/>
      <c r="S1041" s="19"/>
      <c r="T1041" s="19"/>
      <c r="U1041" s="21" t="str">
        <f t="shared" si="195"/>
        <v/>
      </c>
      <c r="V1041" s="22" t="str">
        <f t="shared" si="196"/>
        <v/>
      </c>
      <c r="W1041" s="23"/>
      <c r="X1041" s="74"/>
      <c r="Y1041" s="33"/>
      <c r="Z1041" s="15"/>
    </row>
    <row r="1042" spans="1:26" x14ac:dyDescent="0.25">
      <c r="A1042" s="15" t="str">
        <f>IF(C1042="","",COUNTA($C$3:C1042))</f>
        <v/>
      </c>
      <c r="B1042" s="15" t="str">
        <f t="shared" si="197"/>
        <v/>
      </c>
      <c r="C1042" s="31"/>
      <c r="D1042" s="17"/>
      <c r="E1042" s="32"/>
      <c r="F1042" s="17"/>
      <c r="G1042" s="18"/>
      <c r="H1042" s="18"/>
      <c r="I1042" s="17"/>
      <c r="J1042" s="18"/>
      <c r="K1042" s="18"/>
      <c r="L1042" s="19"/>
      <c r="M1042" s="20"/>
      <c r="N1042" s="20"/>
      <c r="O1042" s="19"/>
      <c r="P1042" s="80"/>
      <c r="Q1042" s="83"/>
      <c r="R1042" s="87"/>
      <c r="S1042" s="19"/>
      <c r="T1042" s="19"/>
      <c r="U1042" s="21" t="str">
        <f t="shared" si="195"/>
        <v/>
      </c>
      <c r="V1042" s="22" t="str">
        <f t="shared" si="196"/>
        <v/>
      </c>
      <c r="W1042" s="23"/>
      <c r="X1042" s="74"/>
      <c r="Y1042" s="33"/>
      <c r="Z1042" s="15"/>
    </row>
    <row r="1043" spans="1:26" x14ac:dyDescent="0.25">
      <c r="A1043" s="15" t="str">
        <f>IF(C1043="","",COUNTA($C$3:C1043))</f>
        <v/>
      </c>
      <c r="B1043" s="15" t="str">
        <f t="shared" si="197"/>
        <v/>
      </c>
      <c r="C1043" s="31"/>
      <c r="D1043" s="17"/>
      <c r="E1043" s="32"/>
      <c r="F1043" s="17"/>
      <c r="G1043" s="18"/>
      <c r="H1043" s="18"/>
      <c r="I1043" s="17"/>
      <c r="J1043" s="18"/>
      <c r="K1043" s="18"/>
      <c r="L1043" s="19"/>
      <c r="M1043" s="20"/>
      <c r="N1043" s="20"/>
      <c r="O1043" s="19"/>
      <c r="P1043" s="80"/>
      <c r="Q1043" s="83"/>
      <c r="R1043" s="87"/>
      <c r="S1043" s="19"/>
      <c r="T1043" s="19"/>
      <c r="U1043" s="21" t="str">
        <f t="shared" si="195"/>
        <v/>
      </c>
      <c r="V1043" s="22" t="str">
        <f t="shared" si="196"/>
        <v/>
      </c>
      <c r="W1043" s="23"/>
      <c r="X1043" s="74"/>
      <c r="Y1043" s="33"/>
      <c r="Z1043" s="15"/>
    </row>
    <row r="1044" spans="1:26" x14ac:dyDescent="0.25">
      <c r="A1044" s="15" t="str">
        <f>IF(C1044="","",COUNTA($C$3:C1044))</f>
        <v/>
      </c>
      <c r="B1044" s="15" t="str">
        <f t="shared" si="197"/>
        <v/>
      </c>
      <c r="C1044" s="31"/>
      <c r="D1044" s="17"/>
      <c r="E1044" s="32"/>
      <c r="F1044" s="17"/>
      <c r="G1044" s="18"/>
      <c r="H1044" s="18"/>
      <c r="I1044" s="17"/>
      <c r="J1044" s="18"/>
      <c r="K1044" s="18"/>
      <c r="L1044" s="19"/>
      <c r="M1044" s="20"/>
      <c r="N1044" s="20"/>
      <c r="O1044" s="19"/>
      <c r="P1044" s="80"/>
      <c r="Q1044" s="83"/>
      <c r="R1044" s="87"/>
      <c r="S1044" s="19"/>
      <c r="T1044" s="19"/>
      <c r="U1044" s="21" t="str">
        <f t="shared" si="195"/>
        <v/>
      </c>
      <c r="V1044" s="22" t="str">
        <f t="shared" si="196"/>
        <v/>
      </c>
      <c r="W1044" s="23"/>
      <c r="X1044" s="74"/>
      <c r="Y1044" s="33"/>
      <c r="Z1044" s="15"/>
    </row>
    <row r="1045" spans="1:26" x14ac:dyDescent="0.25">
      <c r="A1045" s="15" t="str">
        <f>IF(C1045="","",COUNTA($C$3:C1045))</f>
        <v/>
      </c>
      <c r="B1045" s="15" t="str">
        <f t="shared" si="197"/>
        <v/>
      </c>
      <c r="C1045" s="31"/>
      <c r="D1045" s="17"/>
      <c r="E1045" s="32"/>
      <c r="F1045" s="17"/>
      <c r="G1045" s="18"/>
      <c r="H1045" s="18"/>
      <c r="I1045" s="17"/>
      <c r="J1045" s="18"/>
      <c r="K1045" s="18"/>
      <c r="L1045" s="19"/>
      <c r="M1045" s="20"/>
      <c r="N1045" s="20"/>
      <c r="O1045" s="19"/>
      <c r="P1045" s="80"/>
      <c r="Q1045" s="83"/>
      <c r="R1045" s="87"/>
      <c r="S1045" s="19"/>
      <c r="T1045" s="19"/>
      <c r="U1045" s="21" t="str">
        <f t="shared" si="195"/>
        <v/>
      </c>
      <c r="V1045" s="22" t="str">
        <f t="shared" si="196"/>
        <v/>
      </c>
      <c r="W1045" s="23"/>
      <c r="X1045" s="74"/>
      <c r="Y1045" s="33"/>
      <c r="Z1045" s="15"/>
    </row>
    <row r="1046" spans="1:26" x14ac:dyDescent="0.25">
      <c r="A1046" s="15" t="str">
        <f>IF(C1046="","",COUNTA($C$3:C1046))</f>
        <v/>
      </c>
      <c r="B1046" s="15" t="str">
        <f t="shared" si="197"/>
        <v/>
      </c>
      <c r="C1046" s="31"/>
      <c r="D1046" s="17"/>
      <c r="E1046" s="32"/>
      <c r="F1046" s="17"/>
      <c r="G1046" s="18"/>
      <c r="H1046" s="18"/>
      <c r="I1046" s="17"/>
      <c r="J1046" s="18"/>
      <c r="K1046" s="18"/>
      <c r="L1046" s="19"/>
      <c r="M1046" s="20"/>
      <c r="N1046" s="20"/>
      <c r="O1046" s="19"/>
      <c r="P1046" s="80"/>
      <c r="Q1046" s="83"/>
      <c r="R1046" s="87"/>
      <c r="S1046" s="19"/>
      <c r="T1046" s="19"/>
      <c r="U1046" s="21" t="str">
        <f t="shared" si="195"/>
        <v/>
      </c>
      <c r="V1046" s="22" t="str">
        <f t="shared" si="196"/>
        <v/>
      </c>
      <c r="W1046" s="23"/>
      <c r="X1046" s="74"/>
      <c r="Y1046" s="33"/>
      <c r="Z1046" s="15"/>
    </row>
    <row r="1047" spans="1:26" x14ac:dyDescent="0.25">
      <c r="A1047" s="15" t="str">
        <f>IF(C1047="","",COUNTA($C$3:C1047))</f>
        <v/>
      </c>
      <c r="B1047" s="15" t="str">
        <f t="shared" si="197"/>
        <v/>
      </c>
      <c r="C1047" s="31"/>
      <c r="D1047" s="17"/>
      <c r="E1047" s="32"/>
      <c r="F1047" s="17"/>
      <c r="G1047" s="18"/>
      <c r="H1047" s="18"/>
      <c r="I1047" s="17"/>
      <c r="J1047" s="18"/>
      <c r="K1047" s="18"/>
      <c r="L1047" s="19"/>
      <c r="M1047" s="20"/>
      <c r="N1047" s="20"/>
      <c r="O1047" s="19"/>
      <c r="P1047" s="80"/>
      <c r="Q1047" s="83"/>
      <c r="R1047" s="87"/>
      <c r="S1047" s="19"/>
      <c r="T1047" s="19"/>
      <c r="U1047" s="21" t="str">
        <f t="shared" si="195"/>
        <v/>
      </c>
      <c r="V1047" s="22" t="str">
        <f t="shared" si="196"/>
        <v/>
      </c>
      <c r="W1047" s="23"/>
      <c r="X1047" s="74"/>
      <c r="Y1047" s="33"/>
      <c r="Z1047" s="15"/>
    </row>
    <row r="1048" spans="1:26" x14ac:dyDescent="0.25">
      <c r="A1048" s="15" t="str">
        <f>IF(C1048="","",COUNTA($C$3:C1048))</f>
        <v/>
      </c>
      <c r="B1048" s="15" t="str">
        <f t="shared" si="197"/>
        <v/>
      </c>
      <c r="C1048" s="31"/>
      <c r="D1048" s="17"/>
      <c r="E1048" s="32"/>
      <c r="F1048" s="17"/>
      <c r="G1048" s="18"/>
      <c r="H1048" s="18"/>
      <c r="I1048" s="17"/>
      <c r="J1048" s="18"/>
      <c r="K1048" s="18"/>
      <c r="L1048" s="19"/>
      <c r="M1048" s="20"/>
      <c r="N1048" s="20"/>
      <c r="O1048" s="19"/>
      <c r="P1048" s="80"/>
      <c r="Q1048" s="83"/>
      <c r="R1048" s="87"/>
      <c r="S1048" s="19"/>
      <c r="T1048" s="19"/>
      <c r="U1048" s="21" t="str">
        <f t="shared" si="195"/>
        <v/>
      </c>
      <c r="V1048" s="22" t="str">
        <f t="shared" si="196"/>
        <v/>
      </c>
      <c r="W1048" s="23"/>
      <c r="X1048" s="74"/>
      <c r="Y1048" s="33"/>
      <c r="Z1048" s="15"/>
    </row>
    <row r="1049" spans="1:26" x14ac:dyDescent="0.25">
      <c r="A1049" s="15" t="str">
        <f>IF(C1049="","",COUNTA($C$3:C1049))</f>
        <v/>
      </c>
      <c r="B1049" s="15" t="str">
        <f t="shared" si="197"/>
        <v/>
      </c>
      <c r="C1049" s="31"/>
      <c r="D1049" s="17"/>
      <c r="E1049" s="32"/>
      <c r="F1049" s="17"/>
      <c r="G1049" s="18"/>
      <c r="H1049" s="18"/>
      <c r="I1049" s="17"/>
      <c r="J1049" s="18"/>
      <c r="K1049" s="18"/>
      <c r="L1049" s="19"/>
      <c r="M1049" s="20"/>
      <c r="N1049" s="20"/>
      <c r="O1049" s="19"/>
      <c r="P1049" s="80"/>
      <c r="Q1049" s="83"/>
      <c r="R1049" s="87"/>
      <c r="S1049" s="19"/>
      <c r="T1049" s="19"/>
      <c r="U1049" s="21" t="str">
        <f t="shared" si="195"/>
        <v/>
      </c>
      <c r="V1049" s="22" t="str">
        <f t="shared" si="196"/>
        <v/>
      </c>
      <c r="W1049" s="23"/>
      <c r="X1049" s="74"/>
      <c r="Y1049" s="33"/>
      <c r="Z1049" s="15"/>
    </row>
    <row r="1050" spans="1:26" x14ac:dyDescent="0.25">
      <c r="A1050" s="15" t="str">
        <f>IF(C1050="","",COUNTA($C$3:C1050))</f>
        <v/>
      </c>
      <c r="B1050" s="15" t="str">
        <f t="shared" si="197"/>
        <v/>
      </c>
      <c r="C1050" s="31"/>
      <c r="D1050" s="17"/>
      <c r="E1050" s="32"/>
      <c r="F1050" s="17"/>
      <c r="G1050" s="18"/>
      <c r="H1050" s="18"/>
      <c r="I1050" s="17"/>
      <c r="J1050" s="18"/>
      <c r="K1050" s="18"/>
      <c r="L1050" s="19"/>
      <c r="M1050" s="20"/>
      <c r="N1050" s="20"/>
      <c r="O1050" s="19"/>
      <c r="P1050" s="80"/>
      <c r="Q1050" s="83"/>
      <c r="R1050" s="87"/>
      <c r="S1050" s="19"/>
      <c r="T1050" s="19"/>
      <c r="U1050" s="21" t="str">
        <f t="shared" si="195"/>
        <v/>
      </c>
      <c r="V1050" s="22" t="str">
        <f t="shared" si="196"/>
        <v/>
      </c>
      <c r="W1050" s="23"/>
      <c r="X1050" s="74"/>
      <c r="Y1050" s="33"/>
      <c r="Z1050" s="15"/>
    </row>
    <row r="1051" spans="1:26" x14ac:dyDescent="0.25">
      <c r="A1051" s="15" t="str">
        <f>IF(C1051="","",COUNTA($C$3:C1051))</f>
        <v/>
      </c>
      <c r="B1051" s="15" t="str">
        <f t="shared" si="197"/>
        <v/>
      </c>
      <c r="C1051" s="31"/>
      <c r="D1051" s="17"/>
      <c r="E1051" s="32"/>
      <c r="F1051" s="17"/>
      <c r="G1051" s="18"/>
      <c r="H1051" s="18"/>
      <c r="I1051" s="17"/>
      <c r="J1051" s="18"/>
      <c r="K1051" s="18"/>
      <c r="L1051" s="19"/>
      <c r="M1051" s="20"/>
      <c r="N1051" s="20"/>
      <c r="O1051" s="19"/>
      <c r="P1051" s="80"/>
      <c r="Q1051" s="83"/>
      <c r="R1051" s="87"/>
      <c r="S1051" s="19"/>
      <c r="T1051" s="19"/>
      <c r="U1051" s="21" t="str">
        <f t="shared" si="195"/>
        <v/>
      </c>
      <c r="V1051" s="22" t="str">
        <f t="shared" si="196"/>
        <v/>
      </c>
      <c r="W1051" s="23"/>
      <c r="X1051" s="74"/>
      <c r="Y1051" s="33"/>
      <c r="Z1051" s="15"/>
    </row>
    <row r="1052" spans="1:26" x14ac:dyDescent="0.25">
      <c r="A1052" s="15" t="str">
        <f>IF(C1052="","",COUNTA($C$3:C1052))</f>
        <v/>
      </c>
      <c r="B1052" s="15" t="str">
        <f t="shared" si="197"/>
        <v/>
      </c>
      <c r="C1052" s="31"/>
      <c r="D1052" s="17"/>
      <c r="E1052" s="32"/>
      <c r="F1052" s="17"/>
      <c r="G1052" s="18"/>
      <c r="H1052" s="18"/>
      <c r="I1052" s="17"/>
      <c r="J1052" s="18"/>
      <c r="K1052" s="18"/>
      <c r="L1052" s="19"/>
      <c r="M1052" s="20"/>
      <c r="N1052" s="20"/>
      <c r="O1052" s="19"/>
      <c r="P1052" s="80"/>
      <c r="Q1052" s="83"/>
      <c r="R1052" s="87"/>
      <c r="S1052" s="19"/>
      <c r="T1052" s="19"/>
      <c r="U1052" s="21" t="str">
        <f t="shared" si="195"/>
        <v/>
      </c>
      <c r="V1052" s="22" t="str">
        <f t="shared" si="196"/>
        <v/>
      </c>
      <c r="W1052" s="23"/>
      <c r="X1052" s="74"/>
      <c r="Y1052" s="33"/>
      <c r="Z1052" s="15"/>
    </row>
    <row r="1053" spans="1:26" x14ac:dyDescent="0.25">
      <c r="A1053" s="15" t="str">
        <f>IF(C1053="","",COUNTA($C$3:C1053))</f>
        <v/>
      </c>
      <c r="B1053" s="15" t="str">
        <f t="shared" si="197"/>
        <v/>
      </c>
      <c r="C1053" s="31"/>
      <c r="D1053" s="17"/>
      <c r="E1053" s="32"/>
      <c r="F1053" s="17"/>
      <c r="G1053" s="18"/>
      <c r="H1053" s="18"/>
      <c r="I1053" s="17"/>
      <c r="J1053" s="18"/>
      <c r="K1053" s="18"/>
      <c r="L1053" s="19"/>
      <c r="M1053" s="20"/>
      <c r="N1053" s="20"/>
      <c r="O1053" s="19"/>
      <c r="P1053" s="80"/>
      <c r="Q1053" s="83"/>
      <c r="R1053" s="87"/>
      <c r="S1053" s="19"/>
      <c r="T1053" s="19"/>
      <c r="U1053" s="21" t="str">
        <f t="shared" si="195"/>
        <v/>
      </c>
      <c r="V1053" s="22" t="str">
        <f t="shared" si="196"/>
        <v/>
      </c>
      <c r="W1053" s="23"/>
      <c r="X1053" s="74"/>
      <c r="Y1053" s="33"/>
      <c r="Z1053" s="15"/>
    </row>
    <row r="1054" spans="1:26" x14ac:dyDescent="0.25">
      <c r="A1054" s="15" t="str">
        <f>IF(C1054="","",COUNTA($C$3:C1054))</f>
        <v/>
      </c>
      <c r="B1054" s="15" t="str">
        <f t="shared" si="197"/>
        <v/>
      </c>
      <c r="C1054" s="31"/>
      <c r="D1054" s="17"/>
      <c r="E1054" s="32"/>
      <c r="F1054" s="17"/>
      <c r="G1054" s="18"/>
      <c r="H1054" s="18"/>
      <c r="I1054" s="17"/>
      <c r="J1054" s="18"/>
      <c r="K1054" s="18"/>
      <c r="L1054" s="19"/>
      <c r="M1054" s="20"/>
      <c r="N1054" s="20"/>
      <c r="O1054" s="19"/>
      <c r="P1054" s="80"/>
      <c r="Q1054" s="83"/>
      <c r="R1054" s="87"/>
      <c r="S1054" s="19"/>
      <c r="T1054" s="19"/>
      <c r="U1054" s="21" t="str">
        <f t="shared" si="195"/>
        <v/>
      </c>
      <c r="V1054" s="22" t="str">
        <f t="shared" si="196"/>
        <v/>
      </c>
      <c r="W1054" s="23"/>
      <c r="X1054" s="74"/>
      <c r="Y1054" s="33"/>
      <c r="Z1054" s="15"/>
    </row>
    <row r="1055" spans="1:26" x14ac:dyDescent="0.25">
      <c r="A1055" s="15" t="str">
        <f>IF(C1055="","",COUNTA($C$3:C1055))</f>
        <v/>
      </c>
      <c r="B1055" s="15" t="str">
        <f t="shared" si="197"/>
        <v/>
      </c>
      <c r="C1055" s="31"/>
      <c r="D1055" s="17"/>
      <c r="E1055" s="32"/>
      <c r="F1055" s="17"/>
      <c r="G1055" s="18"/>
      <c r="H1055" s="18"/>
      <c r="I1055" s="17"/>
      <c r="J1055" s="18"/>
      <c r="K1055" s="18"/>
      <c r="L1055" s="19"/>
      <c r="M1055" s="20"/>
      <c r="N1055" s="20"/>
      <c r="O1055" s="19"/>
      <c r="P1055" s="80"/>
      <c r="Q1055" s="83"/>
      <c r="R1055" s="87"/>
      <c r="S1055" s="19"/>
      <c r="T1055" s="19"/>
      <c r="U1055" s="21" t="str">
        <f t="shared" si="195"/>
        <v/>
      </c>
      <c r="V1055" s="22" t="str">
        <f t="shared" si="196"/>
        <v/>
      </c>
      <c r="W1055" s="23"/>
      <c r="X1055" s="74"/>
      <c r="Y1055" s="33"/>
      <c r="Z1055" s="15"/>
    </row>
    <row r="1056" spans="1:26" x14ac:dyDescent="0.25">
      <c r="A1056" s="15" t="str">
        <f>IF(C1056="","",COUNTA($C$3:C1056))</f>
        <v/>
      </c>
      <c r="B1056" s="15" t="str">
        <f t="shared" si="197"/>
        <v/>
      </c>
      <c r="C1056" s="31"/>
      <c r="D1056" s="17"/>
      <c r="E1056" s="32"/>
      <c r="F1056" s="17"/>
      <c r="G1056" s="18"/>
      <c r="H1056" s="18"/>
      <c r="I1056" s="17"/>
      <c r="J1056" s="18"/>
      <c r="K1056" s="18"/>
      <c r="L1056" s="19"/>
      <c r="M1056" s="20"/>
      <c r="N1056" s="20"/>
      <c r="O1056" s="19"/>
      <c r="P1056" s="80"/>
      <c r="Q1056" s="83"/>
      <c r="R1056" s="87"/>
      <c r="S1056" s="19"/>
      <c r="T1056" s="19"/>
      <c r="U1056" s="21" t="str">
        <f t="shared" si="195"/>
        <v/>
      </c>
      <c r="V1056" s="22" t="str">
        <f t="shared" si="196"/>
        <v/>
      </c>
      <c r="W1056" s="23"/>
      <c r="X1056" s="74"/>
      <c r="Y1056" s="33"/>
      <c r="Z1056" s="15"/>
    </row>
    <row r="1057" spans="1:26" x14ac:dyDescent="0.25">
      <c r="A1057" s="15" t="str">
        <f>IF(C1057="","",COUNTA($C$3:C1057))</f>
        <v/>
      </c>
      <c r="B1057" s="15" t="str">
        <f t="shared" si="197"/>
        <v/>
      </c>
      <c r="C1057" s="31"/>
      <c r="D1057" s="17"/>
      <c r="E1057" s="32"/>
      <c r="F1057" s="17"/>
      <c r="G1057" s="18"/>
      <c r="H1057" s="18"/>
      <c r="I1057" s="17"/>
      <c r="J1057" s="18"/>
      <c r="K1057" s="18"/>
      <c r="L1057" s="19"/>
      <c r="M1057" s="20"/>
      <c r="N1057" s="20"/>
      <c r="O1057" s="19"/>
      <c r="P1057" s="80"/>
      <c r="Q1057" s="83"/>
      <c r="R1057" s="87"/>
      <c r="S1057" s="19"/>
      <c r="T1057" s="19"/>
      <c r="U1057" s="21" t="str">
        <f t="shared" si="195"/>
        <v/>
      </c>
      <c r="V1057" s="22" t="str">
        <f t="shared" si="196"/>
        <v/>
      </c>
      <c r="W1057" s="23"/>
      <c r="X1057" s="74"/>
      <c r="Y1057" s="33"/>
      <c r="Z1057" s="15"/>
    </row>
    <row r="1058" spans="1:26" x14ac:dyDescent="0.25">
      <c r="A1058" s="15" t="str">
        <f>IF(C1058="","",COUNTA($C$3:C1058))</f>
        <v/>
      </c>
      <c r="B1058" s="15" t="str">
        <f t="shared" si="197"/>
        <v/>
      </c>
      <c r="C1058" s="31"/>
      <c r="D1058" s="17"/>
      <c r="E1058" s="32"/>
      <c r="F1058" s="17"/>
      <c r="G1058" s="18"/>
      <c r="H1058" s="18"/>
      <c r="I1058" s="17"/>
      <c r="J1058" s="18"/>
      <c r="K1058" s="18"/>
      <c r="L1058" s="19"/>
      <c r="M1058" s="20"/>
      <c r="N1058" s="20"/>
      <c r="O1058" s="19"/>
      <c r="P1058" s="47"/>
      <c r="Q1058" s="83"/>
      <c r="R1058" s="87"/>
      <c r="S1058" s="19"/>
      <c r="T1058" s="19"/>
      <c r="U1058" s="21" t="str">
        <f t="shared" si="195"/>
        <v/>
      </c>
      <c r="V1058" s="22" t="str">
        <f t="shared" si="196"/>
        <v/>
      </c>
      <c r="W1058" s="23"/>
      <c r="X1058" s="74"/>
      <c r="Y1058" s="33"/>
      <c r="Z1058" s="15"/>
    </row>
    <row r="1059" spans="1:26" x14ac:dyDescent="0.25">
      <c r="A1059" s="15" t="str">
        <f>IF(C1059="","",COUNTA($C$3:C1059))</f>
        <v/>
      </c>
      <c r="B1059" s="15" t="str">
        <f t="shared" si="197"/>
        <v/>
      </c>
      <c r="C1059" s="31"/>
      <c r="D1059" s="17"/>
      <c r="E1059" s="32"/>
      <c r="F1059" s="17"/>
      <c r="G1059" s="18"/>
      <c r="H1059" s="18"/>
      <c r="I1059" s="17"/>
      <c r="J1059" s="18"/>
      <c r="K1059" s="18"/>
      <c r="L1059" s="19"/>
      <c r="M1059" s="20"/>
      <c r="N1059" s="20"/>
      <c r="O1059" s="19"/>
      <c r="P1059" s="47"/>
      <c r="Q1059" s="83"/>
      <c r="R1059" s="87"/>
      <c r="S1059" s="19"/>
      <c r="T1059" s="19"/>
      <c r="U1059" s="21" t="str">
        <f t="shared" si="195"/>
        <v/>
      </c>
      <c r="V1059" s="22" t="str">
        <f t="shared" si="196"/>
        <v/>
      </c>
      <c r="W1059" s="23"/>
      <c r="X1059" s="74"/>
      <c r="Y1059" s="33"/>
      <c r="Z1059" s="15"/>
    </row>
    <row r="1060" spans="1:26" x14ac:dyDescent="0.25">
      <c r="A1060" s="15" t="str">
        <f>IF(C1060="","",COUNTA($C$3:C1060))</f>
        <v/>
      </c>
      <c r="B1060" s="15" t="str">
        <f t="shared" si="197"/>
        <v/>
      </c>
      <c r="C1060" s="31"/>
      <c r="D1060" s="17"/>
      <c r="E1060" s="32"/>
      <c r="F1060" s="17"/>
      <c r="G1060" s="18"/>
      <c r="H1060" s="18"/>
      <c r="I1060" s="17"/>
      <c r="J1060" s="18"/>
      <c r="K1060" s="18"/>
      <c r="L1060" s="19"/>
      <c r="M1060" s="20"/>
      <c r="N1060" s="20"/>
      <c r="O1060" s="19"/>
      <c r="P1060" s="47"/>
      <c r="Q1060" s="83"/>
      <c r="R1060" s="87"/>
      <c r="S1060" s="19"/>
      <c r="T1060" s="19"/>
      <c r="U1060" s="21" t="str">
        <f t="shared" si="195"/>
        <v/>
      </c>
      <c r="V1060" s="22" t="str">
        <f t="shared" si="196"/>
        <v/>
      </c>
      <c r="W1060" s="23"/>
      <c r="X1060" s="74"/>
      <c r="Y1060" s="33"/>
      <c r="Z1060" s="15"/>
    </row>
    <row r="1061" spans="1:26" x14ac:dyDescent="0.25">
      <c r="A1061" s="15" t="str">
        <f>IF(C1061="","",COUNTA($C$3:C1061))</f>
        <v/>
      </c>
      <c r="B1061" s="15" t="str">
        <f t="shared" si="197"/>
        <v/>
      </c>
      <c r="C1061" s="31"/>
      <c r="D1061" s="17"/>
      <c r="E1061" s="32"/>
      <c r="F1061" s="17"/>
      <c r="G1061" s="18"/>
      <c r="H1061" s="18"/>
      <c r="I1061" s="17"/>
      <c r="J1061" s="18"/>
      <c r="K1061" s="18"/>
      <c r="L1061" s="19"/>
      <c r="M1061" s="20"/>
      <c r="N1061" s="20"/>
      <c r="O1061" s="19"/>
      <c r="P1061" s="47"/>
      <c r="Q1061" s="83"/>
      <c r="R1061" s="87"/>
      <c r="S1061" s="19"/>
      <c r="T1061" s="19"/>
      <c r="U1061" s="21" t="str">
        <f t="shared" si="195"/>
        <v/>
      </c>
      <c r="V1061" s="22" t="str">
        <f t="shared" si="196"/>
        <v/>
      </c>
      <c r="W1061" s="23"/>
      <c r="X1061" s="74"/>
      <c r="Y1061" s="33"/>
      <c r="Z1061" s="15"/>
    </row>
    <row r="1062" spans="1:26" x14ac:dyDescent="0.25">
      <c r="A1062" s="15" t="str">
        <f>IF(C1062="","",COUNTA($C$3:C1062))</f>
        <v/>
      </c>
      <c r="B1062" s="15" t="str">
        <f t="shared" si="197"/>
        <v/>
      </c>
      <c r="C1062" s="31"/>
      <c r="D1062" s="17"/>
      <c r="E1062" s="32"/>
      <c r="F1062" s="17"/>
      <c r="G1062" s="18"/>
      <c r="H1062" s="18"/>
      <c r="I1062" s="17"/>
      <c r="J1062" s="18"/>
      <c r="K1062" s="18"/>
      <c r="L1062" s="19"/>
      <c r="M1062" s="20"/>
      <c r="N1062" s="20"/>
      <c r="O1062" s="19"/>
      <c r="P1062" s="47"/>
      <c r="Q1062" s="83"/>
      <c r="R1062" s="87"/>
      <c r="S1062" s="19"/>
      <c r="T1062" s="19"/>
      <c r="U1062" s="21" t="str">
        <f t="shared" si="195"/>
        <v/>
      </c>
      <c r="V1062" s="22" t="str">
        <f t="shared" si="196"/>
        <v/>
      </c>
      <c r="W1062" s="23"/>
      <c r="X1062" s="74"/>
      <c r="Y1062" s="33"/>
      <c r="Z1062" s="15"/>
    </row>
    <row r="1063" spans="1:26" x14ac:dyDescent="0.25">
      <c r="A1063" s="15" t="str">
        <f>IF(C1063="","",COUNTA($C$3:C1063))</f>
        <v/>
      </c>
      <c r="B1063" s="15" t="str">
        <f t="shared" si="197"/>
        <v/>
      </c>
      <c r="C1063" s="31"/>
      <c r="D1063" s="17"/>
      <c r="E1063" s="32"/>
      <c r="F1063" s="17"/>
      <c r="G1063" s="18"/>
      <c r="H1063" s="18"/>
      <c r="I1063" s="17"/>
      <c r="J1063" s="18"/>
      <c r="K1063" s="18"/>
      <c r="L1063" s="19"/>
      <c r="M1063" s="20"/>
      <c r="N1063" s="20"/>
      <c r="O1063" s="19"/>
      <c r="P1063" s="47"/>
      <c r="Q1063" s="83"/>
      <c r="R1063" s="87"/>
      <c r="S1063" s="19"/>
      <c r="T1063" s="19"/>
      <c r="U1063" s="21" t="str">
        <f t="shared" si="195"/>
        <v/>
      </c>
      <c r="V1063" s="22" t="str">
        <f t="shared" si="196"/>
        <v/>
      </c>
      <c r="W1063" s="23"/>
      <c r="X1063" s="74"/>
      <c r="Y1063" s="33"/>
      <c r="Z1063" s="15"/>
    </row>
    <row r="1064" spans="1:26" x14ac:dyDescent="0.25">
      <c r="A1064" s="15" t="str">
        <f>IF(C1064="","",COUNTA($C$3:C1064))</f>
        <v/>
      </c>
      <c r="B1064" s="15" t="str">
        <f t="shared" si="197"/>
        <v/>
      </c>
      <c r="C1064" s="31"/>
      <c r="D1064" s="17"/>
      <c r="E1064" s="32"/>
      <c r="F1064" s="17"/>
      <c r="G1064" s="18"/>
      <c r="H1064" s="18"/>
      <c r="I1064" s="17"/>
      <c r="J1064" s="18"/>
      <c r="K1064" s="18"/>
      <c r="L1064" s="19"/>
      <c r="M1064" s="20"/>
      <c r="N1064" s="20"/>
      <c r="O1064" s="19"/>
      <c r="P1064" s="47"/>
      <c r="Q1064" s="83"/>
      <c r="R1064" s="87"/>
      <c r="S1064" s="19"/>
      <c r="T1064" s="19"/>
      <c r="U1064" s="21" t="str">
        <f t="shared" si="195"/>
        <v/>
      </c>
      <c r="V1064" s="22" t="str">
        <f t="shared" si="196"/>
        <v/>
      </c>
      <c r="W1064" s="23"/>
      <c r="X1064" s="74"/>
      <c r="Y1064" s="33"/>
      <c r="Z1064" s="15"/>
    </row>
    <row r="1065" spans="1:26" x14ac:dyDescent="0.25">
      <c r="A1065" s="15" t="str">
        <f>IF(C1065="","",COUNTA($C$3:C1065))</f>
        <v/>
      </c>
      <c r="B1065" s="15" t="str">
        <f t="shared" si="197"/>
        <v/>
      </c>
      <c r="C1065" s="31"/>
      <c r="D1065" s="17"/>
      <c r="E1065" s="32"/>
      <c r="F1065" s="17"/>
      <c r="G1065" s="18"/>
      <c r="H1065" s="18"/>
      <c r="I1065" s="17"/>
      <c r="J1065" s="18"/>
      <c r="K1065" s="18"/>
      <c r="L1065" s="19"/>
      <c r="M1065" s="20"/>
      <c r="N1065" s="20"/>
      <c r="O1065" s="19"/>
      <c r="P1065" s="47"/>
      <c r="Q1065" s="83"/>
      <c r="R1065" s="87"/>
      <c r="S1065" s="19"/>
      <c r="T1065" s="19"/>
      <c r="U1065" s="21" t="str">
        <f t="shared" si="195"/>
        <v/>
      </c>
      <c r="V1065" s="22" t="str">
        <f t="shared" si="196"/>
        <v/>
      </c>
      <c r="W1065" s="23"/>
      <c r="X1065" s="74"/>
      <c r="Y1065" s="33"/>
      <c r="Z1065" s="15"/>
    </row>
    <row r="1066" spans="1:26" x14ac:dyDescent="0.25">
      <c r="A1066" s="15" t="str">
        <f>IF(C1066="","",COUNTA($C$3:C1066))</f>
        <v/>
      </c>
      <c r="B1066" s="15" t="str">
        <f t="shared" si="197"/>
        <v/>
      </c>
      <c r="C1066" s="31"/>
      <c r="D1066" s="17"/>
      <c r="E1066" s="32"/>
      <c r="F1066" s="17"/>
      <c r="G1066" s="18"/>
      <c r="H1066" s="18"/>
      <c r="I1066" s="17"/>
      <c r="J1066" s="18"/>
      <c r="K1066" s="18"/>
      <c r="L1066" s="19"/>
      <c r="M1066" s="20"/>
      <c r="N1066" s="20"/>
      <c r="O1066" s="19"/>
      <c r="P1066" s="47"/>
      <c r="Q1066" s="83"/>
      <c r="R1066" s="87"/>
      <c r="S1066" s="19"/>
      <c r="T1066" s="19"/>
      <c r="U1066" s="21" t="str">
        <f t="shared" ref="U1066:U1083" si="198">IF(S1066="","",(S1066-T1066))</f>
        <v/>
      </c>
      <c r="V1066" s="22" t="str">
        <f t="shared" ref="V1066:V1083" si="199">IF(U1066="","",(U1066/T1066))</f>
        <v/>
      </c>
      <c r="W1066" s="23"/>
      <c r="X1066" s="74"/>
      <c r="Y1066" s="33"/>
      <c r="Z1066" s="15"/>
    </row>
    <row r="1067" spans="1:26" x14ac:dyDescent="0.25">
      <c r="A1067" s="15" t="str">
        <f>IF(C1067="","",COUNTA($C$3:C1067))</f>
        <v/>
      </c>
      <c r="B1067" s="15" t="str">
        <f t="shared" si="197"/>
        <v/>
      </c>
      <c r="C1067" s="31"/>
      <c r="D1067" s="17"/>
      <c r="E1067" s="32"/>
      <c r="F1067" s="17"/>
      <c r="G1067" s="18"/>
      <c r="H1067" s="18"/>
      <c r="I1067" s="17"/>
      <c r="J1067" s="18"/>
      <c r="K1067" s="18"/>
      <c r="L1067" s="19"/>
      <c r="M1067" s="20"/>
      <c r="N1067" s="20"/>
      <c r="O1067" s="19"/>
      <c r="P1067" s="47"/>
      <c r="Q1067" s="83"/>
      <c r="R1067" s="87"/>
      <c r="S1067" s="19"/>
      <c r="T1067" s="19"/>
      <c r="U1067" s="21" t="str">
        <f t="shared" si="198"/>
        <v/>
      </c>
      <c r="V1067" s="22" t="str">
        <f t="shared" si="199"/>
        <v/>
      </c>
      <c r="W1067" s="23"/>
      <c r="X1067" s="74"/>
      <c r="Y1067" s="33"/>
      <c r="Z1067" s="15"/>
    </row>
    <row r="1068" spans="1:26" x14ac:dyDescent="0.25">
      <c r="A1068" s="15" t="str">
        <f>IF(C1068="","",COUNTA($C$3:C1068))</f>
        <v/>
      </c>
      <c r="B1068" s="15" t="str">
        <f t="shared" si="197"/>
        <v/>
      </c>
      <c r="C1068" s="31"/>
      <c r="D1068" s="17"/>
      <c r="E1068" s="32"/>
      <c r="F1068" s="17"/>
      <c r="G1068" s="18"/>
      <c r="H1068" s="18"/>
      <c r="I1068" s="17"/>
      <c r="J1068" s="18"/>
      <c r="K1068" s="18"/>
      <c r="L1068" s="19"/>
      <c r="M1068" s="20"/>
      <c r="N1068" s="20"/>
      <c r="O1068" s="19"/>
      <c r="P1068" s="47"/>
      <c r="Q1068" s="83"/>
      <c r="R1068" s="87"/>
      <c r="S1068" s="19"/>
      <c r="T1068" s="19"/>
      <c r="U1068" s="21" t="str">
        <f t="shared" si="198"/>
        <v/>
      </c>
      <c r="V1068" s="22" t="str">
        <f t="shared" si="199"/>
        <v/>
      </c>
      <c r="W1068" s="23"/>
      <c r="X1068" s="74"/>
      <c r="Y1068" s="33"/>
      <c r="Z1068" s="15"/>
    </row>
    <row r="1069" spans="1:26" x14ac:dyDescent="0.25">
      <c r="A1069" s="15" t="str">
        <f>IF(C1069="","",COUNTA($C$3:C1069))</f>
        <v/>
      </c>
      <c r="B1069" s="15" t="str">
        <f t="shared" si="197"/>
        <v/>
      </c>
      <c r="C1069" s="31"/>
      <c r="D1069" s="17"/>
      <c r="E1069" s="32"/>
      <c r="F1069" s="17"/>
      <c r="G1069" s="18"/>
      <c r="H1069" s="18"/>
      <c r="I1069" s="17"/>
      <c r="J1069" s="18"/>
      <c r="K1069" s="18"/>
      <c r="L1069" s="19"/>
      <c r="M1069" s="20"/>
      <c r="N1069" s="20"/>
      <c r="O1069" s="19"/>
      <c r="P1069" s="47"/>
      <c r="Q1069" s="83"/>
      <c r="R1069" s="87"/>
      <c r="S1069" s="19"/>
      <c r="T1069" s="19"/>
      <c r="U1069" s="21" t="str">
        <f t="shared" si="198"/>
        <v/>
      </c>
      <c r="V1069" s="22" t="str">
        <f t="shared" si="199"/>
        <v/>
      </c>
      <c r="W1069" s="23"/>
      <c r="X1069" s="74"/>
      <c r="Y1069" s="33"/>
      <c r="Z1069" s="15"/>
    </row>
    <row r="1070" spans="1:26" x14ac:dyDescent="0.25">
      <c r="A1070" s="15" t="str">
        <f>IF(C1070="","",COUNTA($C$3:C1070))</f>
        <v/>
      </c>
      <c r="B1070" s="15" t="str">
        <f t="shared" si="197"/>
        <v/>
      </c>
      <c r="C1070" s="31"/>
      <c r="D1070" s="17"/>
      <c r="E1070" s="32"/>
      <c r="F1070" s="17"/>
      <c r="G1070" s="18"/>
      <c r="H1070" s="18"/>
      <c r="I1070" s="17"/>
      <c r="J1070" s="18"/>
      <c r="K1070" s="18"/>
      <c r="L1070" s="19"/>
      <c r="M1070" s="20"/>
      <c r="N1070" s="20"/>
      <c r="O1070" s="19"/>
      <c r="P1070" s="47"/>
      <c r="Q1070" s="83"/>
      <c r="R1070" s="87"/>
      <c r="S1070" s="19"/>
      <c r="T1070" s="19"/>
      <c r="U1070" s="21" t="str">
        <f t="shared" si="198"/>
        <v/>
      </c>
      <c r="V1070" s="22" t="str">
        <f t="shared" si="199"/>
        <v/>
      </c>
      <c r="W1070" s="23"/>
      <c r="X1070" s="74"/>
      <c r="Y1070" s="33"/>
      <c r="Z1070" s="15"/>
    </row>
    <row r="1071" spans="1:26" x14ac:dyDescent="0.25">
      <c r="A1071" s="15" t="str">
        <f>IF(C1071="","",COUNTA($C$3:C1071))</f>
        <v/>
      </c>
      <c r="B1071" s="15" t="str">
        <f t="shared" si="197"/>
        <v/>
      </c>
      <c r="C1071" s="31"/>
      <c r="D1071" s="17"/>
      <c r="E1071" s="32"/>
      <c r="F1071" s="17"/>
      <c r="G1071" s="18"/>
      <c r="H1071" s="18"/>
      <c r="I1071" s="17"/>
      <c r="J1071" s="18"/>
      <c r="K1071" s="18"/>
      <c r="L1071" s="19"/>
      <c r="M1071" s="20"/>
      <c r="N1071" s="20"/>
      <c r="O1071" s="19"/>
      <c r="P1071" s="47"/>
      <c r="Q1071" s="83"/>
      <c r="R1071" s="87"/>
      <c r="S1071" s="19"/>
      <c r="T1071" s="19"/>
      <c r="U1071" s="21" t="str">
        <f t="shared" si="198"/>
        <v/>
      </c>
      <c r="V1071" s="22" t="str">
        <f t="shared" si="199"/>
        <v/>
      </c>
      <c r="W1071" s="23"/>
      <c r="X1071" s="74"/>
      <c r="Y1071" s="33"/>
      <c r="Z1071" s="15"/>
    </row>
    <row r="1072" spans="1:26" x14ac:dyDescent="0.25">
      <c r="A1072" s="15" t="str">
        <f>IF(C1072="","",COUNTA($C$3:C1072))</f>
        <v/>
      </c>
      <c r="B1072" s="15" t="str">
        <f t="shared" si="197"/>
        <v/>
      </c>
      <c r="C1072" s="31"/>
      <c r="D1072" s="17"/>
      <c r="E1072" s="32"/>
      <c r="F1072" s="17"/>
      <c r="G1072" s="18"/>
      <c r="H1072" s="18"/>
      <c r="I1072" s="17"/>
      <c r="J1072" s="18"/>
      <c r="K1072" s="18"/>
      <c r="L1072" s="19"/>
      <c r="M1072" s="20"/>
      <c r="N1072" s="20"/>
      <c r="O1072" s="19"/>
      <c r="P1072" s="47"/>
      <c r="Q1072" s="83"/>
      <c r="R1072" s="87"/>
      <c r="S1072" s="19"/>
      <c r="T1072" s="19"/>
      <c r="U1072" s="21" t="str">
        <f t="shared" si="198"/>
        <v/>
      </c>
      <c r="V1072" s="22" t="str">
        <f t="shared" si="199"/>
        <v/>
      </c>
      <c r="W1072" s="23"/>
      <c r="X1072" s="74"/>
      <c r="Y1072" s="33"/>
      <c r="Z1072" s="15"/>
    </row>
    <row r="1073" spans="1:26" x14ac:dyDescent="0.25">
      <c r="A1073" s="15" t="str">
        <f>IF(C1073="","",COUNTA($C$3:C1073))</f>
        <v/>
      </c>
      <c r="B1073" s="15" t="str">
        <f t="shared" si="197"/>
        <v/>
      </c>
      <c r="C1073" s="31"/>
      <c r="D1073" s="17"/>
      <c r="E1073" s="32"/>
      <c r="F1073" s="17"/>
      <c r="G1073" s="18"/>
      <c r="H1073" s="18"/>
      <c r="I1073" s="17"/>
      <c r="J1073" s="18"/>
      <c r="K1073" s="18"/>
      <c r="L1073" s="19"/>
      <c r="M1073" s="20"/>
      <c r="N1073" s="20"/>
      <c r="O1073" s="19"/>
      <c r="P1073" s="47"/>
      <c r="Q1073" s="83"/>
      <c r="R1073" s="87"/>
      <c r="S1073" s="19"/>
      <c r="T1073" s="19"/>
      <c r="U1073" s="21" t="str">
        <f t="shared" si="198"/>
        <v/>
      </c>
      <c r="V1073" s="22" t="str">
        <f t="shared" si="199"/>
        <v/>
      </c>
      <c r="W1073" s="23"/>
      <c r="X1073" s="74"/>
      <c r="Y1073" s="33"/>
      <c r="Z1073" s="15"/>
    </row>
    <row r="1074" spans="1:26" x14ac:dyDescent="0.25">
      <c r="A1074" s="15" t="str">
        <f>IF(C1074="","",COUNTA($C$3:C1074))</f>
        <v/>
      </c>
      <c r="B1074" s="15" t="str">
        <f t="shared" si="197"/>
        <v/>
      </c>
      <c r="C1074" s="31"/>
      <c r="D1074" s="17"/>
      <c r="E1074" s="32"/>
      <c r="F1074" s="17"/>
      <c r="G1074" s="18"/>
      <c r="H1074" s="18"/>
      <c r="I1074" s="17"/>
      <c r="J1074" s="18"/>
      <c r="K1074" s="18"/>
      <c r="L1074" s="19"/>
      <c r="M1074" s="20"/>
      <c r="N1074" s="20"/>
      <c r="O1074" s="19"/>
      <c r="P1074" s="47"/>
      <c r="Q1074" s="83"/>
      <c r="R1074" s="87"/>
      <c r="S1074" s="19"/>
      <c r="T1074" s="19"/>
      <c r="U1074" s="21" t="str">
        <f t="shared" si="198"/>
        <v/>
      </c>
      <c r="V1074" s="22" t="str">
        <f t="shared" si="199"/>
        <v/>
      </c>
      <c r="W1074" s="23"/>
      <c r="X1074" s="74"/>
      <c r="Y1074" s="33"/>
      <c r="Z1074" s="15"/>
    </row>
    <row r="1075" spans="1:26" x14ac:dyDescent="0.25">
      <c r="A1075" s="15" t="str">
        <f>IF(C1075="","",COUNTA($C$3:C1075))</f>
        <v/>
      </c>
      <c r="B1075" s="15" t="str">
        <f t="shared" si="197"/>
        <v/>
      </c>
      <c r="C1075" s="31"/>
      <c r="D1075" s="17"/>
      <c r="E1075" s="32"/>
      <c r="F1075" s="17"/>
      <c r="G1075" s="18"/>
      <c r="H1075" s="18"/>
      <c r="I1075" s="17"/>
      <c r="J1075" s="18"/>
      <c r="K1075" s="18"/>
      <c r="L1075" s="19"/>
      <c r="M1075" s="20"/>
      <c r="N1075" s="20"/>
      <c r="O1075" s="19"/>
      <c r="P1075" s="47"/>
      <c r="Q1075" s="83"/>
      <c r="R1075" s="87"/>
      <c r="S1075" s="19"/>
      <c r="T1075" s="19"/>
      <c r="U1075" s="21" t="str">
        <f t="shared" si="198"/>
        <v/>
      </c>
      <c r="V1075" s="22" t="str">
        <f t="shared" si="199"/>
        <v/>
      </c>
      <c r="W1075" s="23"/>
      <c r="X1075" s="74"/>
      <c r="Y1075" s="33"/>
      <c r="Z1075" s="15"/>
    </row>
    <row r="1076" spans="1:26" x14ac:dyDescent="0.25">
      <c r="A1076" s="15" t="str">
        <f>IF(C1076="","",COUNTA($C$3:C1076))</f>
        <v/>
      </c>
      <c r="B1076" s="15" t="str">
        <f t="shared" si="197"/>
        <v/>
      </c>
      <c r="C1076" s="31"/>
      <c r="D1076" s="17"/>
      <c r="E1076" s="32"/>
      <c r="F1076" s="17"/>
      <c r="G1076" s="18"/>
      <c r="H1076" s="18"/>
      <c r="I1076" s="17"/>
      <c r="J1076" s="18"/>
      <c r="K1076" s="18"/>
      <c r="L1076" s="19"/>
      <c r="M1076" s="20"/>
      <c r="N1076" s="20"/>
      <c r="O1076" s="19"/>
      <c r="P1076" s="47"/>
      <c r="Q1076" s="83"/>
      <c r="R1076" s="87"/>
      <c r="S1076" s="19"/>
      <c r="T1076" s="19"/>
      <c r="U1076" s="21" t="str">
        <f t="shared" si="198"/>
        <v/>
      </c>
      <c r="V1076" s="22" t="str">
        <f t="shared" si="199"/>
        <v/>
      </c>
      <c r="W1076" s="23"/>
      <c r="X1076" s="74"/>
      <c r="Y1076" s="33"/>
      <c r="Z1076" s="15"/>
    </row>
    <row r="1077" spans="1:26" x14ac:dyDescent="0.25">
      <c r="A1077" s="15" t="str">
        <f>IF(C1077="","",COUNTA($C$3:C1077))</f>
        <v/>
      </c>
      <c r="B1077" s="15" t="str">
        <f t="shared" si="197"/>
        <v/>
      </c>
      <c r="C1077" s="31"/>
      <c r="D1077" s="17"/>
      <c r="E1077" s="32"/>
      <c r="F1077" s="17"/>
      <c r="G1077" s="18"/>
      <c r="H1077" s="18"/>
      <c r="I1077" s="17"/>
      <c r="J1077" s="18"/>
      <c r="K1077" s="18"/>
      <c r="L1077" s="19"/>
      <c r="M1077" s="20"/>
      <c r="N1077" s="20"/>
      <c r="O1077" s="19"/>
      <c r="P1077" s="47"/>
      <c r="Q1077" s="83"/>
      <c r="R1077" s="87"/>
      <c r="S1077" s="19"/>
      <c r="T1077" s="19"/>
      <c r="U1077" s="21" t="str">
        <f t="shared" si="198"/>
        <v/>
      </c>
      <c r="V1077" s="22" t="str">
        <f t="shared" si="199"/>
        <v/>
      </c>
      <c r="W1077" s="23"/>
      <c r="X1077" s="74"/>
      <c r="Y1077" s="33"/>
      <c r="Z1077" s="15"/>
    </row>
    <row r="1078" spans="1:26" x14ac:dyDescent="0.25">
      <c r="A1078" s="15" t="str">
        <f>IF(C1078="","",COUNTA($C$3:C1078))</f>
        <v/>
      </c>
      <c r="B1078" s="15" t="str">
        <f t="shared" si="197"/>
        <v/>
      </c>
      <c r="C1078" s="31"/>
      <c r="D1078" s="17"/>
      <c r="E1078" s="32"/>
      <c r="F1078" s="17"/>
      <c r="G1078" s="18"/>
      <c r="H1078" s="18"/>
      <c r="I1078" s="17"/>
      <c r="J1078" s="18"/>
      <c r="K1078" s="18"/>
      <c r="L1078" s="19"/>
      <c r="M1078" s="20"/>
      <c r="N1078" s="20"/>
      <c r="O1078" s="19"/>
      <c r="P1078" s="47"/>
      <c r="Q1078" s="83"/>
      <c r="R1078" s="87"/>
      <c r="S1078" s="19"/>
      <c r="T1078" s="19"/>
      <c r="U1078" s="21" t="str">
        <f t="shared" si="198"/>
        <v/>
      </c>
      <c r="V1078" s="22" t="str">
        <f t="shared" si="199"/>
        <v/>
      </c>
      <c r="W1078" s="23"/>
      <c r="X1078" s="74"/>
      <c r="Y1078" s="33"/>
      <c r="Z1078" s="15"/>
    </row>
    <row r="1079" spans="1:26" x14ac:dyDescent="0.25">
      <c r="A1079" s="15" t="str">
        <f>IF(C1079="","",COUNTA($C$3:C1079))</f>
        <v/>
      </c>
      <c r="B1079" s="15" t="str">
        <f t="shared" si="197"/>
        <v/>
      </c>
      <c r="C1079" s="31"/>
      <c r="D1079" s="17"/>
      <c r="E1079" s="32"/>
      <c r="F1079" s="17"/>
      <c r="G1079" s="18"/>
      <c r="H1079" s="18"/>
      <c r="I1079" s="17"/>
      <c r="J1079" s="18"/>
      <c r="K1079" s="18"/>
      <c r="L1079" s="19"/>
      <c r="M1079" s="20"/>
      <c r="N1079" s="20"/>
      <c r="O1079" s="19"/>
      <c r="P1079" s="47"/>
      <c r="Q1079" s="83"/>
      <c r="R1079" s="87"/>
      <c r="S1079" s="19"/>
      <c r="T1079" s="19"/>
      <c r="U1079" s="21" t="str">
        <f t="shared" si="198"/>
        <v/>
      </c>
      <c r="V1079" s="22" t="str">
        <f t="shared" si="199"/>
        <v/>
      </c>
      <c r="W1079" s="23"/>
      <c r="X1079" s="74"/>
      <c r="Y1079" s="33"/>
      <c r="Z1079" s="15"/>
    </row>
    <row r="1080" spans="1:26" x14ac:dyDescent="0.25">
      <c r="A1080" s="15" t="str">
        <f>IF(C1080="","",COUNTA($C$3:C1080))</f>
        <v/>
      </c>
      <c r="B1080" s="15" t="str">
        <f t="shared" si="197"/>
        <v/>
      </c>
      <c r="C1080" s="31"/>
      <c r="D1080" s="17"/>
      <c r="E1080" s="32"/>
      <c r="F1080" s="17"/>
      <c r="G1080" s="18"/>
      <c r="H1080" s="18"/>
      <c r="I1080" s="17"/>
      <c r="J1080" s="18"/>
      <c r="K1080" s="18"/>
      <c r="L1080" s="19"/>
      <c r="M1080" s="20"/>
      <c r="N1080" s="20"/>
      <c r="O1080" s="19"/>
      <c r="P1080" s="47"/>
      <c r="Q1080" s="83"/>
      <c r="R1080" s="87"/>
      <c r="S1080" s="19"/>
      <c r="T1080" s="19"/>
      <c r="U1080" s="21" t="str">
        <f t="shared" si="198"/>
        <v/>
      </c>
      <c r="V1080" s="22" t="str">
        <f t="shared" si="199"/>
        <v/>
      </c>
      <c r="W1080" s="23"/>
      <c r="X1080" s="74"/>
      <c r="Y1080" s="33"/>
      <c r="Z1080" s="15"/>
    </row>
    <row r="1081" spans="1:26" x14ac:dyDescent="0.25">
      <c r="A1081" s="15" t="str">
        <f>IF(C1081="","",COUNTA($C$3:C1081))</f>
        <v/>
      </c>
      <c r="B1081" s="15" t="str">
        <f t="shared" si="197"/>
        <v/>
      </c>
      <c r="C1081" s="31"/>
      <c r="D1081" s="17"/>
      <c r="E1081" s="32"/>
      <c r="F1081" s="17"/>
      <c r="G1081" s="18"/>
      <c r="H1081" s="18"/>
      <c r="I1081" s="17"/>
      <c r="J1081" s="18"/>
      <c r="K1081" s="18"/>
      <c r="L1081" s="19"/>
      <c r="M1081" s="20"/>
      <c r="N1081" s="20"/>
      <c r="O1081" s="19"/>
      <c r="P1081" s="47"/>
      <c r="Q1081" s="83"/>
      <c r="R1081" s="87"/>
      <c r="S1081" s="19"/>
      <c r="T1081" s="19"/>
      <c r="U1081" s="21" t="str">
        <f t="shared" si="198"/>
        <v/>
      </c>
      <c r="V1081" s="22" t="str">
        <f t="shared" si="199"/>
        <v/>
      </c>
      <c r="W1081" s="23"/>
      <c r="X1081" s="74"/>
      <c r="Y1081" s="33"/>
      <c r="Z1081" s="15"/>
    </row>
    <row r="1082" spans="1:26" x14ac:dyDescent="0.25">
      <c r="A1082" s="15" t="str">
        <f>IF(C1082="","",COUNTA($C$3:C1082))</f>
        <v/>
      </c>
      <c r="B1082" s="15" t="str">
        <f t="shared" si="197"/>
        <v/>
      </c>
      <c r="C1082" s="31"/>
      <c r="D1082" s="17"/>
      <c r="E1082" s="32"/>
      <c r="F1082" s="17"/>
      <c r="G1082" s="18"/>
      <c r="H1082" s="18"/>
      <c r="I1082" s="17"/>
      <c r="J1082" s="18"/>
      <c r="K1082" s="18"/>
      <c r="L1082" s="19"/>
      <c r="M1082" s="20"/>
      <c r="N1082" s="20"/>
      <c r="O1082" s="19"/>
      <c r="P1082" s="47"/>
      <c r="Q1082" s="83"/>
      <c r="R1082" s="87"/>
      <c r="S1082" s="19"/>
      <c r="T1082" s="19"/>
      <c r="U1082" s="21" t="str">
        <f t="shared" si="198"/>
        <v/>
      </c>
      <c r="V1082" s="22" t="str">
        <f t="shared" si="199"/>
        <v/>
      </c>
      <c r="W1082" s="23"/>
      <c r="X1082" s="74"/>
      <c r="Y1082" s="33"/>
      <c r="Z1082" s="15"/>
    </row>
    <row r="1083" spans="1:26" x14ac:dyDescent="0.25">
      <c r="A1083" s="15" t="str">
        <f>IF(C1083="","",COUNTA($C$3:C1083))</f>
        <v/>
      </c>
      <c r="B1083" s="15" t="str">
        <f t="shared" si="197"/>
        <v/>
      </c>
      <c r="C1083" s="31"/>
      <c r="D1083" s="17"/>
      <c r="E1083" s="32"/>
      <c r="F1083" s="17"/>
      <c r="G1083" s="18"/>
      <c r="H1083" s="18"/>
      <c r="I1083" s="17"/>
      <c r="J1083" s="18"/>
      <c r="K1083" s="18"/>
      <c r="L1083" s="19"/>
      <c r="M1083" s="20"/>
      <c r="N1083" s="20"/>
      <c r="O1083" s="19"/>
      <c r="P1083" s="47"/>
      <c r="Q1083" s="83"/>
      <c r="R1083" s="87"/>
      <c r="S1083" s="19"/>
      <c r="T1083" s="19"/>
      <c r="U1083" s="21" t="str">
        <f t="shared" si="198"/>
        <v/>
      </c>
      <c r="V1083" s="22" t="str">
        <f t="shared" si="199"/>
        <v/>
      </c>
      <c r="W1083" s="23"/>
      <c r="X1083" s="74"/>
      <c r="Y1083" s="33"/>
      <c r="Z1083" s="15"/>
    </row>
    <row r="1084" spans="1:26" x14ac:dyDescent="0.25">
      <c r="A1084" s="15" t="str">
        <f>IF(C1084="","",COUNTA($C$3:C1084))</f>
        <v/>
      </c>
      <c r="B1084" s="15" t="str">
        <f t="shared" si="197"/>
        <v/>
      </c>
      <c r="M1084" s="9"/>
      <c r="N1084" s="9"/>
      <c r="P1084" s="14"/>
      <c r="Q1084" s="85"/>
      <c r="R1084" s="89"/>
      <c r="U1084" s="11" t="str">
        <f t="shared" ref="U1084:U1089" si="200">IF(S1084="","",(S1084-T1084))</f>
        <v/>
      </c>
      <c r="V1084" s="12" t="str">
        <f t="shared" ref="V1084:V1089" si="201">IF(U1084="","",(U1084/T1084))</f>
        <v/>
      </c>
      <c r="Z1084" s="15"/>
    </row>
    <row r="1085" spans="1:26" x14ac:dyDescent="0.25">
      <c r="A1085" s="15" t="str">
        <f>IF(C1085="","",COUNTA($C$3:C1085))</f>
        <v/>
      </c>
      <c r="B1085" s="15" t="str">
        <f t="shared" si="197"/>
        <v/>
      </c>
      <c r="M1085" s="9"/>
      <c r="N1085" s="9"/>
      <c r="P1085" s="14"/>
      <c r="Q1085" s="85"/>
      <c r="R1085" s="89"/>
      <c r="U1085" s="11" t="str">
        <f t="shared" si="200"/>
        <v/>
      </c>
      <c r="V1085" s="12" t="str">
        <f t="shared" si="201"/>
        <v/>
      </c>
      <c r="Z1085" s="15"/>
    </row>
    <row r="1086" spans="1:26" x14ac:dyDescent="0.25">
      <c r="A1086" s="15" t="str">
        <f>IF(C1086="","",COUNTA($C$3:C1086))</f>
        <v/>
      </c>
      <c r="B1086" s="15" t="str">
        <f t="shared" si="197"/>
        <v/>
      </c>
      <c r="M1086" s="9"/>
      <c r="N1086" s="9"/>
      <c r="P1086" s="14"/>
      <c r="Q1086" s="85"/>
      <c r="R1086" s="89"/>
      <c r="U1086" s="11" t="str">
        <f t="shared" si="200"/>
        <v/>
      </c>
      <c r="V1086" s="12" t="str">
        <f t="shared" si="201"/>
        <v/>
      </c>
      <c r="Z1086" s="15"/>
    </row>
    <row r="1087" spans="1:26" x14ac:dyDescent="0.25">
      <c r="A1087" s="15" t="str">
        <f>IF(C1087="","",COUNTA($C$3:C1087))</f>
        <v/>
      </c>
      <c r="B1087" s="15" t="str">
        <f t="shared" si="197"/>
        <v/>
      </c>
      <c r="M1087" s="9"/>
      <c r="N1087" s="9"/>
      <c r="P1087" s="14"/>
      <c r="Q1087" s="85"/>
      <c r="R1087" s="89"/>
      <c r="U1087" s="11" t="str">
        <f t="shared" si="200"/>
        <v/>
      </c>
      <c r="V1087" s="12" t="str">
        <f t="shared" si="201"/>
        <v/>
      </c>
      <c r="Z1087" s="15"/>
    </row>
    <row r="1088" spans="1:26" x14ac:dyDescent="0.25">
      <c r="A1088" s="15" t="str">
        <f>IF(C1088="","",COUNTA($C$3:C1088))</f>
        <v/>
      </c>
      <c r="B1088" s="15" t="str">
        <f t="shared" si="197"/>
        <v/>
      </c>
      <c r="M1088" s="9"/>
      <c r="N1088" s="9"/>
      <c r="P1088" s="14"/>
      <c r="Q1088" s="85"/>
      <c r="R1088" s="89"/>
      <c r="U1088" s="11" t="str">
        <f t="shared" si="200"/>
        <v/>
      </c>
      <c r="V1088" s="12" t="str">
        <f t="shared" si="201"/>
        <v/>
      </c>
      <c r="Z1088" s="15"/>
    </row>
    <row r="1089" spans="1:26" x14ac:dyDescent="0.25">
      <c r="A1089" s="15" t="str">
        <f>IF(C1089="","",COUNTA($C$3:C1089))</f>
        <v/>
      </c>
      <c r="B1089" s="15" t="str">
        <f t="shared" si="197"/>
        <v/>
      </c>
      <c r="M1089" s="9"/>
      <c r="N1089" s="9"/>
      <c r="P1089" s="14"/>
      <c r="Q1089" s="85"/>
      <c r="R1089" s="89"/>
      <c r="U1089" s="11" t="str">
        <f t="shared" si="200"/>
        <v/>
      </c>
      <c r="V1089" s="12" t="str">
        <f t="shared" si="201"/>
        <v/>
      </c>
      <c r="Z1089" s="15"/>
    </row>
    <row r="1090" spans="1:26" x14ac:dyDescent="0.25">
      <c r="A1090" s="15" t="str">
        <f>IF(C1090="","",COUNTA($C$3:C1090))</f>
        <v/>
      </c>
      <c r="B1090" s="15" t="str">
        <f t="shared" si="197"/>
        <v/>
      </c>
      <c r="M1090" s="9"/>
      <c r="N1090" s="9"/>
      <c r="P1090" s="14"/>
      <c r="Q1090" s="85"/>
      <c r="R1090" s="89"/>
      <c r="U1090" s="11" t="str">
        <f t="shared" ref="U1090:U1153" si="202">IF(S1090="","",(S1090-T1090))</f>
        <v/>
      </c>
      <c r="V1090" s="12" t="str">
        <f t="shared" ref="V1090:V1153" si="203">IF(U1090="","",(U1090/T1090))</f>
        <v/>
      </c>
      <c r="Z1090" s="15"/>
    </row>
    <row r="1091" spans="1:26" x14ac:dyDescent="0.25">
      <c r="A1091" s="15" t="str">
        <f>IF(C1091="","",COUNTA($C$3:C1091))</f>
        <v/>
      </c>
      <c r="B1091" s="15" t="str">
        <f t="shared" ref="B1091:B1154" si="204">IF(C1091="","",TEXT(C1091,"mmmm"))</f>
        <v/>
      </c>
      <c r="M1091" s="9"/>
      <c r="N1091" s="9"/>
      <c r="P1091" s="14"/>
      <c r="Q1091" s="85"/>
      <c r="R1091" s="89"/>
      <c r="U1091" s="11" t="str">
        <f t="shared" si="202"/>
        <v/>
      </c>
      <c r="V1091" s="12" t="str">
        <f t="shared" si="203"/>
        <v/>
      </c>
      <c r="Z1091" s="15"/>
    </row>
    <row r="1092" spans="1:26" x14ac:dyDescent="0.25">
      <c r="A1092" s="15" t="str">
        <f>IF(C1092="","",COUNTA($C$3:C1092))</f>
        <v/>
      </c>
      <c r="B1092" s="15" t="str">
        <f t="shared" si="204"/>
        <v/>
      </c>
      <c r="M1092" s="9"/>
      <c r="N1092" s="9"/>
      <c r="P1092" s="14"/>
      <c r="Q1092" s="85"/>
      <c r="R1092" s="89"/>
      <c r="U1092" s="11" t="str">
        <f t="shared" si="202"/>
        <v/>
      </c>
      <c r="V1092" s="12" t="str">
        <f t="shared" si="203"/>
        <v/>
      </c>
      <c r="Z1092" s="15"/>
    </row>
    <row r="1093" spans="1:26" x14ac:dyDescent="0.25">
      <c r="A1093" s="15" t="str">
        <f>IF(C1093="","",COUNTA($C$3:C1093))</f>
        <v/>
      </c>
      <c r="B1093" s="15" t="str">
        <f t="shared" si="204"/>
        <v/>
      </c>
      <c r="M1093" s="9"/>
      <c r="N1093" s="9"/>
      <c r="P1093" s="14"/>
      <c r="Q1093" s="85"/>
      <c r="R1093" s="89"/>
      <c r="U1093" s="11" t="str">
        <f t="shared" si="202"/>
        <v/>
      </c>
      <c r="V1093" s="12" t="str">
        <f t="shared" si="203"/>
        <v/>
      </c>
      <c r="Z1093" s="15"/>
    </row>
    <row r="1094" spans="1:26" x14ac:dyDescent="0.25">
      <c r="A1094" s="15" t="str">
        <f>IF(C1094="","",COUNTA($C$3:C1094))</f>
        <v/>
      </c>
      <c r="B1094" s="15" t="str">
        <f t="shared" si="204"/>
        <v/>
      </c>
      <c r="M1094" s="9"/>
      <c r="N1094" s="9"/>
      <c r="P1094" s="14"/>
      <c r="Q1094" s="85"/>
      <c r="R1094" s="89"/>
      <c r="U1094" s="11" t="str">
        <f t="shared" si="202"/>
        <v/>
      </c>
      <c r="V1094" s="12" t="str">
        <f t="shared" si="203"/>
        <v/>
      </c>
      <c r="Z1094" s="15"/>
    </row>
    <row r="1095" spans="1:26" x14ac:dyDescent="0.25">
      <c r="A1095" s="15" t="str">
        <f>IF(C1095="","",COUNTA($C$3:C1095))</f>
        <v/>
      </c>
      <c r="B1095" s="15" t="str">
        <f t="shared" si="204"/>
        <v/>
      </c>
      <c r="M1095" s="9"/>
      <c r="N1095" s="9"/>
      <c r="P1095" s="14"/>
      <c r="Q1095" s="85"/>
      <c r="R1095" s="89"/>
      <c r="U1095" s="11" t="str">
        <f t="shared" si="202"/>
        <v/>
      </c>
      <c r="V1095" s="12" t="str">
        <f t="shared" si="203"/>
        <v/>
      </c>
      <c r="Z1095" s="15"/>
    </row>
    <row r="1096" spans="1:26" x14ac:dyDescent="0.25">
      <c r="A1096" s="15" t="str">
        <f>IF(C1096="","",COUNTA($C$3:C1096))</f>
        <v/>
      </c>
      <c r="B1096" s="15" t="str">
        <f t="shared" si="204"/>
        <v/>
      </c>
      <c r="M1096" s="9"/>
      <c r="N1096" s="9"/>
      <c r="P1096" s="14"/>
      <c r="Q1096" s="85"/>
      <c r="R1096" s="89"/>
      <c r="U1096" s="11" t="str">
        <f t="shared" si="202"/>
        <v/>
      </c>
      <c r="V1096" s="12" t="str">
        <f t="shared" si="203"/>
        <v/>
      </c>
      <c r="Z1096" s="15"/>
    </row>
    <row r="1097" spans="1:26" x14ac:dyDescent="0.25">
      <c r="A1097" s="15" t="str">
        <f>IF(C1097="","",COUNTA($C$3:C1097))</f>
        <v/>
      </c>
      <c r="B1097" s="15" t="str">
        <f t="shared" si="204"/>
        <v/>
      </c>
      <c r="M1097" s="9"/>
      <c r="N1097" s="9"/>
      <c r="P1097" s="14"/>
      <c r="Q1097" s="85"/>
      <c r="R1097" s="89"/>
      <c r="U1097" s="11" t="str">
        <f t="shared" si="202"/>
        <v/>
      </c>
      <c r="V1097" s="12" t="str">
        <f t="shared" si="203"/>
        <v/>
      </c>
      <c r="Z1097" s="15"/>
    </row>
    <row r="1098" spans="1:26" x14ac:dyDescent="0.25">
      <c r="A1098" s="15" t="str">
        <f>IF(C1098="","",COUNTA($C$3:C1098))</f>
        <v/>
      </c>
      <c r="B1098" s="15" t="str">
        <f t="shared" si="204"/>
        <v/>
      </c>
      <c r="M1098" s="9"/>
      <c r="N1098" s="9"/>
      <c r="P1098" s="14"/>
      <c r="Q1098" s="85"/>
      <c r="R1098" s="89"/>
      <c r="U1098" s="11" t="str">
        <f t="shared" si="202"/>
        <v/>
      </c>
      <c r="V1098" s="12" t="str">
        <f t="shared" si="203"/>
        <v/>
      </c>
      <c r="Z1098" s="15"/>
    </row>
    <row r="1099" spans="1:26" x14ac:dyDescent="0.25">
      <c r="A1099" s="15" t="str">
        <f>IF(C1099="","",COUNTA($C$3:C1099))</f>
        <v/>
      </c>
      <c r="B1099" s="15" t="str">
        <f t="shared" si="204"/>
        <v/>
      </c>
      <c r="M1099" s="9"/>
      <c r="N1099" s="9"/>
      <c r="P1099" s="14"/>
      <c r="Q1099" s="85"/>
      <c r="R1099" s="89"/>
      <c r="U1099" s="11" t="str">
        <f t="shared" si="202"/>
        <v/>
      </c>
      <c r="V1099" s="12" t="str">
        <f t="shared" si="203"/>
        <v/>
      </c>
      <c r="Z1099" s="15"/>
    </row>
    <row r="1100" spans="1:26" x14ac:dyDescent="0.25">
      <c r="A1100" s="15" t="str">
        <f>IF(C1100="","",COUNTA($C$3:C1100))</f>
        <v/>
      </c>
      <c r="B1100" s="15" t="str">
        <f t="shared" si="204"/>
        <v/>
      </c>
      <c r="M1100" s="9"/>
      <c r="N1100" s="9"/>
      <c r="P1100" s="14"/>
      <c r="Q1100" s="85"/>
      <c r="R1100" s="89"/>
      <c r="U1100" s="11" t="str">
        <f t="shared" si="202"/>
        <v/>
      </c>
      <c r="V1100" s="12" t="str">
        <f t="shared" si="203"/>
        <v/>
      </c>
      <c r="Z1100" s="15"/>
    </row>
    <row r="1101" spans="1:26" x14ac:dyDescent="0.25">
      <c r="A1101" s="15" t="str">
        <f>IF(C1101="","",COUNTA($C$3:C1101))</f>
        <v/>
      </c>
      <c r="B1101" s="15" t="str">
        <f t="shared" si="204"/>
        <v/>
      </c>
      <c r="M1101" s="9"/>
      <c r="N1101" s="9"/>
      <c r="P1101" s="14"/>
      <c r="Q1101" s="85"/>
      <c r="R1101" s="89"/>
      <c r="U1101" s="11" t="str">
        <f t="shared" si="202"/>
        <v/>
      </c>
      <c r="V1101" s="12" t="str">
        <f t="shared" si="203"/>
        <v/>
      </c>
      <c r="Z1101" s="15"/>
    </row>
    <row r="1102" spans="1:26" x14ac:dyDescent="0.25">
      <c r="A1102" s="15" t="str">
        <f>IF(C1102="","",COUNTA($C$3:C1102))</f>
        <v/>
      </c>
      <c r="B1102" s="15" t="str">
        <f t="shared" si="204"/>
        <v/>
      </c>
      <c r="M1102" s="9"/>
      <c r="N1102" s="9"/>
      <c r="P1102" s="14"/>
      <c r="Q1102" s="85"/>
      <c r="R1102" s="89"/>
      <c r="U1102" s="11" t="str">
        <f t="shared" si="202"/>
        <v/>
      </c>
      <c r="V1102" s="12" t="str">
        <f t="shared" si="203"/>
        <v/>
      </c>
      <c r="Z1102" s="15"/>
    </row>
    <row r="1103" spans="1:26" x14ac:dyDescent="0.25">
      <c r="A1103" s="15" t="str">
        <f>IF(C1103="","",COUNTA($C$3:C1103))</f>
        <v/>
      </c>
      <c r="B1103" s="15" t="str">
        <f t="shared" si="204"/>
        <v/>
      </c>
      <c r="M1103" s="9"/>
      <c r="N1103" s="9"/>
      <c r="P1103" s="14"/>
      <c r="Q1103" s="85"/>
      <c r="R1103" s="89"/>
      <c r="U1103" s="11" t="str">
        <f t="shared" si="202"/>
        <v/>
      </c>
      <c r="V1103" s="12" t="str">
        <f t="shared" si="203"/>
        <v/>
      </c>
      <c r="Z1103" s="15"/>
    </row>
    <row r="1104" spans="1:26" x14ac:dyDescent="0.25">
      <c r="A1104" s="15" t="str">
        <f>IF(C1104="","",COUNTA($C$3:C1104))</f>
        <v/>
      </c>
      <c r="B1104" s="15" t="str">
        <f t="shared" si="204"/>
        <v/>
      </c>
      <c r="M1104" s="9"/>
      <c r="N1104" s="9"/>
      <c r="P1104" s="14"/>
      <c r="Q1104" s="85"/>
      <c r="R1104" s="89"/>
      <c r="U1104" s="11" t="str">
        <f t="shared" si="202"/>
        <v/>
      </c>
      <c r="V1104" s="12" t="str">
        <f t="shared" si="203"/>
        <v/>
      </c>
      <c r="Z1104" s="15"/>
    </row>
    <row r="1105" spans="1:26" x14ac:dyDescent="0.25">
      <c r="A1105" s="15" t="str">
        <f>IF(C1105="","",COUNTA($C$3:C1105))</f>
        <v/>
      </c>
      <c r="B1105" s="15" t="str">
        <f t="shared" si="204"/>
        <v/>
      </c>
      <c r="M1105" s="9"/>
      <c r="N1105" s="9"/>
      <c r="P1105" s="14"/>
      <c r="Q1105" s="85"/>
      <c r="R1105" s="89"/>
      <c r="U1105" s="11" t="str">
        <f t="shared" si="202"/>
        <v/>
      </c>
      <c r="V1105" s="12" t="str">
        <f t="shared" si="203"/>
        <v/>
      </c>
      <c r="Z1105" s="15"/>
    </row>
    <row r="1106" spans="1:26" x14ac:dyDescent="0.25">
      <c r="A1106" s="15" t="str">
        <f>IF(C1106="","",COUNTA($C$3:C1106))</f>
        <v/>
      </c>
      <c r="B1106" s="15" t="str">
        <f t="shared" si="204"/>
        <v/>
      </c>
      <c r="M1106" s="9"/>
      <c r="N1106" s="9"/>
      <c r="P1106" s="14"/>
      <c r="Q1106" s="85"/>
      <c r="R1106" s="89"/>
      <c r="U1106" s="11" t="str">
        <f t="shared" si="202"/>
        <v/>
      </c>
      <c r="V1106" s="12" t="str">
        <f t="shared" si="203"/>
        <v/>
      </c>
      <c r="Z1106" s="15"/>
    </row>
    <row r="1107" spans="1:26" x14ac:dyDescent="0.25">
      <c r="A1107" s="15" t="str">
        <f>IF(C1107="","",COUNTA($C$3:C1107))</f>
        <v/>
      </c>
      <c r="B1107" s="15" t="str">
        <f t="shared" si="204"/>
        <v/>
      </c>
      <c r="M1107" s="9"/>
      <c r="N1107" s="9"/>
      <c r="P1107" s="14"/>
      <c r="Q1107" s="85"/>
      <c r="R1107" s="89"/>
      <c r="U1107" s="11" t="str">
        <f t="shared" si="202"/>
        <v/>
      </c>
      <c r="V1107" s="12" t="str">
        <f t="shared" si="203"/>
        <v/>
      </c>
      <c r="Z1107" s="15"/>
    </row>
    <row r="1108" spans="1:26" x14ac:dyDescent="0.25">
      <c r="A1108" s="15" t="str">
        <f>IF(C1108="","",COUNTA($C$3:C1108))</f>
        <v/>
      </c>
      <c r="B1108" s="15" t="str">
        <f t="shared" si="204"/>
        <v/>
      </c>
      <c r="M1108" s="9"/>
      <c r="N1108" s="9"/>
      <c r="P1108" s="14"/>
      <c r="Q1108" s="85"/>
      <c r="R1108" s="89"/>
      <c r="U1108" s="11" t="str">
        <f t="shared" si="202"/>
        <v/>
      </c>
      <c r="V1108" s="12" t="str">
        <f t="shared" si="203"/>
        <v/>
      </c>
      <c r="Z1108" s="15"/>
    </row>
    <row r="1109" spans="1:26" x14ac:dyDescent="0.25">
      <c r="A1109" s="15" t="str">
        <f>IF(C1109="","",COUNTA($C$3:C1109))</f>
        <v/>
      </c>
      <c r="B1109" s="15" t="str">
        <f t="shared" si="204"/>
        <v/>
      </c>
      <c r="M1109" s="9"/>
      <c r="N1109" s="9"/>
      <c r="P1109" s="14"/>
      <c r="Q1109" s="85"/>
      <c r="R1109" s="89"/>
      <c r="U1109" s="11" t="str">
        <f t="shared" si="202"/>
        <v/>
      </c>
      <c r="V1109" s="12" t="str">
        <f t="shared" si="203"/>
        <v/>
      </c>
      <c r="Z1109" s="15"/>
    </row>
    <row r="1110" spans="1:26" x14ac:dyDescent="0.25">
      <c r="A1110" s="15" t="str">
        <f>IF(C1110="","",COUNTA($C$3:C1110))</f>
        <v/>
      </c>
      <c r="B1110" s="15" t="str">
        <f t="shared" si="204"/>
        <v/>
      </c>
      <c r="M1110" s="9"/>
      <c r="N1110" s="9"/>
      <c r="P1110" s="14"/>
      <c r="Q1110" s="85"/>
      <c r="R1110" s="89"/>
      <c r="U1110" s="11" t="str">
        <f t="shared" si="202"/>
        <v/>
      </c>
      <c r="V1110" s="12" t="str">
        <f t="shared" si="203"/>
        <v/>
      </c>
      <c r="Z1110" s="15"/>
    </row>
    <row r="1111" spans="1:26" x14ac:dyDescent="0.25">
      <c r="A1111" s="15" t="str">
        <f>IF(C1111="","",COUNTA($C$3:C1111))</f>
        <v/>
      </c>
      <c r="B1111" s="15" t="str">
        <f t="shared" si="204"/>
        <v/>
      </c>
      <c r="M1111" s="9"/>
      <c r="N1111" s="9"/>
      <c r="P1111" s="14"/>
      <c r="Q1111" s="85"/>
      <c r="R1111" s="89"/>
      <c r="U1111" s="11" t="str">
        <f t="shared" si="202"/>
        <v/>
      </c>
      <c r="V1111" s="12" t="str">
        <f t="shared" si="203"/>
        <v/>
      </c>
      <c r="Z1111" s="15"/>
    </row>
    <row r="1112" spans="1:26" x14ac:dyDescent="0.25">
      <c r="A1112" s="15" t="str">
        <f>IF(C1112="","",COUNTA($C$3:C1112))</f>
        <v/>
      </c>
      <c r="B1112" s="15" t="str">
        <f t="shared" si="204"/>
        <v/>
      </c>
      <c r="M1112" s="9"/>
      <c r="N1112" s="9"/>
      <c r="P1112" s="14"/>
      <c r="Q1112" s="85"/>
      <c r="R1112" s="89"/>
      <c r="U1112" s="11" t="str">
        <f t="shared" si="202"/>
        <v/>
      </c>
      <c r="V1112" s="12" t="str">
        <f t="shared" si="203"/>
        <v/>
      </c>
      <c r="Z1112" s="15"/>
    </row>
    <row r="1113" spans="1:26" x14ac:dyDescent="0.25">
      <c r="A1113" s="15" t="str">
        <f>IF(C1113="","",COUNTA($C$3:C1113))</f>
        <v/>
      </c>
      <c r="B1113" s="15" t="str">
        <f t="shared" si="204"/>
        <v/>
      </c>
      <c r="M1113" s="9"/>
      <c r="N1113" s="9"/>
      <c r="P1113" s="14"/>
      <c r="Q1113" s="85"/>
      <c r="R1113" s="89"/>
      <c r="U1113" s="11" t="str">
        <f t="shared" si="202"/>
        <v/>
      </c>
      <c r="V1113" s="12" t="str">
        <f t="shared" si="203"/>
        <v/>
      </c>
      <c r="Z1113" s="15"/>
    </row>
    <row r="1114" spans="1:26" x14ac:dyDescent="0.25">
      <c r="A1114" s="15" t="str">
        <f>IF(C1114="","",COUNTA($C$3:C1114))</f>
        <v/>
      </c>
      <c r="B1114" s="15" t="str">
        <f t="shared" si="204"/>
        <v/>
      </c>
      <c r="M1114" s="9"/>
      <c r="N1114" s="9"/>
      <c r="P1114" s="14"/>
      <c r="Q1114" s="85"/>
      <c r="R1114" s="89"/>
      <c r="U1114" s="11" t="str">
        <f t="shared" si="202"/>
        <v/>
      </c>
      <c r="V1114" s="12" t="str">
        <f t="shared" si="203"/>
        <v/>
      </c>
      <c r="Z1114" s="15"/>
    </row>
    <row r="1115" spans="1:26" x14ac:dyDescent="0.25">
      <c r="A1115" s="15" t="str">
        <f>IF(C1115="","",COUNTA($C$3:C1115))</f>
        <v/>
      </c>
      <c r="B1115" s="15" t="str">
        <f t="shared" si="204"/>
        <v/>
      </c>
      <c r="M1115" s="9"/>
      <c r="N1115" s="9"/>
      <c r="P1115" s="14"/>
      <c r="Q1115" s="85"/>
      <c r="R1115" s="89"/>
      <c r="U1115" s="11" t="str">
        <f t="shared" si="202"/>
        <v/>
      </c>
      <c r="V1115" s="12" t="str">
        <f t="shared" si="203"/>
        <v/>
      </c>
      <c r="Z1115" s="15"/>
    </row>
    <row r="1116" spans="1:26" x14ac:dyDescent="0.25">
      <c r="A1116" s="15" t="str">
        <f>IF(C1116="","",COUNTA($C$3:C1116))</f>
        <v/>
      </c>
      <c r="B1116" s="15" t="str">
        <f t="shared" si="204"/>
        <v/>
      </c>
      <c r="M1116" s="9"/>
      <c r="N1116" s="9"/>
      <c r="P1116" s="14"/>
      <c r="Q1116" s="85"/>
      <c r="R1116" s="89"/>
      <c r="U1116" s="11" t="str">
        <f t="shared" si="202"/>
        <v/>
      </c>
      <c r="V1116" s="12" t="str">
        <f t="shared" si="203"/>
        <v/>
      </c>
      <c r="Z1116" s="15"/>
    </row>
    <row r="1117" spans="1:26" x14ac:dyDescent="0.25">
      <c r="A1117" s="15" t="str">
        <f>IF(C1117="","",COUNTA($C$3:C1117))</f>
        <v/>
      </c>
      <c r="B1117" s="15" t="str">
        <f t="shared" si="204"/>
        <v/>
      </c>
      <c r="M1117" s="9"/>
      <c r="N1117" s="9"/>
      <c r="P1117" s="14"/>
      <c r="Q1117" s="85"/>
      <c r="R1117" s="89"/>
      <c r="U1117" s="11" t="str">
        <f t="shared" si="202"/>
        <v/>
      </c>
      <c r="V1117" s="12" t="str">
        <f t="shared" si="203"/>
        <v/>
      </c>
      <c r="Z1117" s="15"/>
    </row>
    <row r="1118" spans="1:26" x14ac:dyDescent="0.25">
      <c r="A1118" s="15" t="str">
        <f>IF(C1118="","",COUNTA($C$3:C1118))</f>
        <v/>
      </c>
      <c r="B1118" s="15" t="str">
        <f t="shared" si="204"/>
        <v/>
      </c>
      <c r="M1118" s="9"/>
      <c r="N1118" s="9"/>
      <c r="P1118" s="14"/>
      <c r="Q1118" s="85"/>
      <c r="R1118" s="89"/>
      <c r="U1118" s="11" t="str">
        <f t="shared" si="202"/>
        <v/>
      </c>
      <c r="V1118" s="12" t="str">
        <f t="shared" si="203"/>
        <v/>
      </c>
      <c r="Z1118" s="15"/>
    </row>
    <row r="1119" spans="1:26" x14ac:dyDescent="0.25">
      <c r="A1119" s="15" t="str">
        <f>IF(C1119="","",COUNTA($C$3:C1119))</f>
        <v/>
      </c>
      <c r="B1119" s="15" t="str">
        <f t="shared" si="204"/>
        <v/>
      </c>
      <c r="M1119" s="9"/>
      <c r="N1119" s="9"/>
      <c r="P1119" s="14"/>
      <c r="Q1119" s="85"/>
      <c r="R1119" s="89"/>
      <c r="U1119" s="11" t="str">
        <f t="shared" si="202"/>
        <v/>
      </c>
      <c r="V1119" s="12" t="str">
        <f t="shared" si="203"/>
        <v/>
      </c>
      <c r="Z1119" s="15"/>
    </row>
    <row r="1120" spans="1:26" x14ac:dyDescent="0.25">
      <c r="A1120" s="15" t="str">
        <f>IF(C1120="","",COUNTA($C$3:C1120))</f>
        <v/>
      </c>
      <c r="B1120" s="15" t="str">
        <f t="shared" si="204"/>
        <v/>
      </c>
      <c r="M1120" s="9"/>
      <c r="N1120" s="9"/>
      <c r="P1120" s="14"/>
      <c r="Q1120" s="85"/>
      <c r="R1120" s="89"/>
      <c r="U1120" s="11" t="str">
        <f t="shared" si="202"/>
        <v/>
      </c>
      <c r="V1120" s="12" t="str">
        <f t="shared" si="203"/>
        <v/>
      </c>
      <c r="Z1120" s="15"/>
    </row>
    <row r="1121" spans="1:26" x14ac:dyDescent="0.25">
      <c r="A1121" s="15" t="str">
        <f>IF(C1121="","",COUNTA($C$3:C1121))</f>
        <v/>
      </c>
      <c r="B1121" s="15" t="str">
        <f t="shared" si="204"/>
        <v/>
      </c>
      <c r="M1121" s="9"/>
      <c r="N1121" s="9"/>
      <c r="P1121" s="14"/>
      <c r="Q1121" s="85"/>
      <c r="R1121" s="89"/>
      <c r="U1121" s="11" t="str">
        <f t="shared" si="202"/>
        <v/>
      </c>
      <c r="V1121" s="12" t="str">
        <f t="shared" si="203"/>
        <v/>
      </c>
      <c r="Z1121" s="15"/>
    </row>
    <row r="1122" spans="1:26" x14ac:dyDescent="0.25">
      <c r="A1122" s="15" t="str">
        <f>IF(C1122="","",COUNTA($C$3:C1122))</f>
        <v/>
      </c>
      <c r="B1122" s="15" t="str">
        <f t="shared" si="204"/>
        <v/>
      </c>
      <c r="M1122" s="9"/>
      <c r="N1122" s="9"/>
      <c r="P1122" s="14"/>
      <c r="Q1122" s="85"/>
      <c r="R1122" s="89"/>
      <c r="U1122" s="11" t="str">
        <f t="shared" si="202"/>
        <v/>
      </c>
      <c r="V1122" s="12" t="str">
        <f t="shared" si="203"/>
        <v/>
      </c>
      <c r="Z1122" s="15"/>
    </row>
    <row r="1123" spans="1:26" x14ac:dyDescent="0.25">
      <c r="A1123" s="15" t="str">
        <f>IF(C1123="","",COUNTA($C$3:C1123))</f>
        <v/>
      </c>
      <c r="B1123" s="15" t="str">
        <f t="shared" si="204"/>
        <v/>
      </c>
      <c r="M1123" s="9"/>
      <c r="N1123" s="9"/>
      <c r="P1123" s="14"/>
      <c r="Q1123" s="85"/>
      <c r="R1123" s="89"/>
      <c r="U1123" s="11" t="str">
        <f t="shared" si="202"/>
        <v/>
      </c>
      <c r="V1123" s="12" t="str">
        <f t="shared" si="203"/>
        <v/>
      </c>
      <c r="Z1123" s="15"/>
    </row>
    <row r="1124" spans="1:26" x14ac:dyDescent="0.25">
      <c r="A1124" s="15" t="str">
        <f>IF(C1124="","",COUNTA($C$3:C1124))</f>
        <v/>
      </c>
      <c r="B1124" s="15" t="str">
        <f t="shared" si="204"/>
        <v/>
      </c>
      <c r="M1124" s="9"/>
      <c r="N1124" s="9"/>
      <c r="P1124" s="14"/>
      <c r="Q1124" s="85"/>
      <c r="R1124" s="89"/>
      <c r="U1124" s="11" t="str">
        <f t="shared" si="202"/>
        <v/>
      </c>
      <c r="V1124" s="12" t="str">
        <f t="shared" si="203"/>
        <v/>
      </c>
      <c r="Z1124" s="15"/>
    </row>
    <row r="1125" spans="1:26" x14ac:dyDescent="0.25">
      <c r="A1125" s="15" t="str">
        <f>IF(C1125="","",COUNTA($C$3:C1125))</f>
        <v/>
      </c>
      <c r="B1125" s="15" t="str">
        <f t="shared" si="204"/>
        <v/>
      </c>
      <c r="M1125" s="9"/>
      <c r="N1125" s="9"/>
      <c r="P1125" s="14"/>
      <c r="Q1125" s="85"/>
      <c r="R1125" s="89"/>
      <c r="U1125" s="11" t="str">
        <f t="shared" si="202"/>
        <v/>
      </c>
      <c r="V1125" s="12" t="str">
        <f t="shared" si="203"/>
        <v/>
      </c>
      <c r="Z1125" s="15"/>
    </row>
    <row r="1126" spans="1:26" x14ac:dyDescent="0.25">
      <c r="A1126" s="15" t="str">
        <f>IF(C1126="","",COUNTA($C$3:C1126))</f>
        <v/>
      </c>
      <c r="B1126" s="15" t="str">
        <f t="shared" si="204"/>
        <v/>
      </c>
      <c r="M1126" s="9"/>
      <c r="N1126" s="9"/>
      <c r="P1126" s="14"/>
      <c r="Q1126" s="85"/>
      <c r="R1126" s="89"/>
      <c r="U1126" s="11" t="str">
        <f t="shared" si="202"/>
        <v/>
      </c>
      <c r="V1126" s="12" t="str">
        <f t="shared" si="203"/>
        <v/>
      </c>
      <c r="Z1126" s="15"/>
    </row>
    <row r="1127" spans="1:26" x14ac:dyDescent="0.25">
      <c r="A1127" s="15" t="str">
        <f>IF(C1127="","",COUNTA($C$3:C1127))</f>
        <v/>
      </c>
      <c r="B1127" s="15" t="str">
        <f t="shared" si="204"/>
        <v/>
      </c>
      <c r="M1127" s="9"/>
      <c r="N1127" s="9"/>
      <c r="P1127" s="14"/>
      <c r="Q1127" s="85"/>
      <c r="R1127" s="89"/>
      <c r="U1127" s="11" t="str">
        <f t="shared" si="202"/>
        <v/>
      </c>
      <c r="V1127" s="12" t="str">
        <f t="shared" si="203"/>
        <v/>
      </c>
      <c r="Z1127" s="15"/>
    </row>
    <row r="1128" spans="1:26" x14ac:dyDescent="0.25">
      <c r="A1128" s="15" t="str">
        <f>IF(C1128="","",COUNTA($C$3:C1128))</f>
        <v/>
      </c>
      <c r="B1128" s="15" t="str">
        <f t="shared" si="204"/>
        <v/>
      </c>
      <c r="M1128" s="9"/>
      <c r="N1128" s="9"/>
      <c r="P1128" s="14"/>
      <c r="Q1128" s="85"/>
      <c r="R1128" s="89"/>
      <c r="U1128" s="11" t="str">
        <f t="shared" si="202"/>
        <v/>
      </c>
      <c r="V1128" s="12" t="str">
        <f t="shared" si="203"/>
        <v/>
      </c>
      <c r="Z1128" s="15"/>
    </row>
    <row r="1129" spans="1:26" x14ac:dyDescent="0.25">
      <c r="A1129" s="15" t="str">
        <f>IF(C1129="","",COUNTA($C$3:C1129))</f>
        <v/>
      </c>
      <c r="B1129" s="15" t="str">
        <f t="shared" si="204"/>
        <v/>
      </c>
      <c r="M1129" s="9"/>
      <c r="N1129" s="9"/>
      <c r="P1129" s="14"/>
      <c r="Q1129" s="85"/>
      <c r="R1129" s="89"/>
      <c r="U1129" s="11" t="str">
        <f t="shared" si="202"/>
        <v/>
      </c>
      <c r="V1129" s="12" t="str">
        <f t="shared" si="203"/>
        <v/>
      </c>
      <c r="Z1129" s="15"/>
    </row>
    <row r="1130" spans="1:26" x14ac:dyDescent="0.25">
      <c r="A1130" s="15" t="str">
        <f>IF(C1130="","",COUNTA($C$3:C1130))</f>
        <v/>
      </c>
      <c r="B1130" s="15" t="str">
        <f t="shared" si="204"/>
        <v/>
      </c>
      <c r="M1130" s="9"/>
      <c r="N1130" s="9"/>
      <c r="P1130" s="14"/>
      <c r="Q1130" s="85"/>
      <c r="R1130" s="89"/>
      <c r="U1130" s="11" t="str">
        <f t="shared" si="202"/>
        <v/>
      </c>
      <c r="V1130" s="12" t="str">
        <f t="shared" si="203"/>
        <v/>
      </c>
      <c r="Z1130" s="15"/>
    </row>
    <row r="1131" spans="1:26" x14ac:dyDescent="0.25">
      <c r="A1131" s="15" t="str">
        <f>IF(C1131="","",COUNTA($C$3:C1131))</f>
        <v/>
      </c>
      <c r="B1131" s="15" t="str">
        <f t="shared" si="204"/>
        <v/>
      </c>
      <c r="M1131" s="9"/>
      <c r="N1131" s="9"/>
      <c r="P1131" s="14"/>
      <c r="Q1131" s="85"/>
      <c r="R1131" s="89"/>
      <c r="U1131" s="11" t="str">
        <f t="shared" si="202"/>
        <v/>
      </c>
      <c r="V1131" s="12" t="str">
        <f t="shared" si="203"/>
        <v/>
      </c>
      <c r="Z1131" s="15"/>
    </row>
    <row r="1132" spans="1:26" x14ac:dyDescent="0.25">
      <c r="A1132" s="15" t="str">
        <f>IF(C1132="","",COUNTA($C$3:C1132))</f>
        <v/>
      </c>
      <c r="B1132" s="15" t="str">
        <f t="shared" si="204"/>
        <v/>
      </c>
      <c r="M1132" s="9"/>
      <c r="N1132" s="9"/>
      <c r="P1132" s="14"/>
      <c r="Q1132" s="85"/>
      <c r="R1132" s="89"/>
      <c r="U1132" s="11" t="str">
        <f t="shared" si="202"/>
        <v/>
      </c>
      <c r="V1132" s="12" t="str">
        <f t="shared" si="203"/>
        <v/>
      </c>
      <c r="Z1132" s="15"/>
    </row>
    <row r="1133" spans="1:26" x14ac:dyDescent="0.25">
      <c r="A1133" s="15" t="str">
        <f>IF(C1133="","",COUNTA($C$3:C1133))</f>
        <v/>
      </c>
      <c r="B1133" s="15" t="str">
        <f t="shared" si="204"/>
        <v/>
      </c>
      <c r="M1133" s="9"/>
      <c r="N1133" s="9"/>
      <c r="P1133" s="14"/>
      <c r="Q1133" s="85"/>
      <c r="R1133" s="89"/>
      <c r="U1133" s="11" t="str">
        <f t="shared" si="202"/>
        <v/>
      </c>
      <c r="V1133" s="12" t="str">
        <f t="shared" si="203"/>
        <v/>
      </c>
      <c r="Z1133" s="15"/>
    </row>
    <row r="1134" spans="1:26" x14ac:dyDescent="0.25">
      <c r="A1134" s="15" t="str">
        <f>IF(C1134="","",COUNTA($C$3:C1134))</f>
        <v/>
      </c>
      <c r="B1134" s="15" t="str">
        <f t="shared" si="204"/>
        <v/>
      </c>
      <c r="M1134" s="9"/>
      <c r="N1134" s="9"/>
      <c r="P1134" s="14"/>
      <c r="Q1134" s="85"/>
      <c r="R1134" s="89"/>
      <c r="U1134" s="11" t="str">
        <f t="shared" si="202"/>
        <v/>
      </c>
      <c r="V1134" s="12" t="str">
        <f t="shared" si="203"/>
        <v/>
      </c>
      <c r="Z1134" s="15"/>
    </row>
    <row r="1135" spans="1:26" x14ac:dyDescent="0.25">
      <c r="A1135" s="15" t="str">
        <f>IF(C1135="","",COUNTA($C$3:C1135))</f>
        <v/>
      </c>
      <c r="B1135" s="15" t="str">
        <f t="shared" si="204"/>
        <v/>
      </c>
      <c r="M1135" s="9"/>
      <c r="N1135" s="9"/>
      <c r="P1135" s="14"/>
      <c r="Q1135" s="85"/>
      <c r="R1135" s="89"/>
      <c r="U1135" s="11" t="str">
        <f t="shared" si="202"/>
        <v/>
      </c>
      <c r="V1135" s="12" t="str">
        <f t="shared" si="203"/>
        <v/>
      </c>
      <c r="Z1135" s="15"/>
    </row>
    <row r="1136" spans="1:26" x14ac:dyDescent="0.25">
      <c r="A1136" s="15" t="str">
        <f>IF(C1136="","",COUNTA($C$3:C1136))</f>
        <v/>
      </c>
      <c r="B1136" s="15" t="str">
        <f t="shared" si="204"/>
        <v/>
      </c>
      <c r="M1136" s="9"/>
      <c r="N1136" s="9"/>
      <c r="P1136" s="14"/>
      <c r="Q1136" s="85"/>
      <c r="R1136" s="89"/>
      <c r="U1136" s="11" t="str">
        <f t="shared" si="202"/>
        <v/>
      </c>
      <c r="V1136" s="12" t="str">
        <f t="shared" si="203"/>
        <v/>
      </c>
      <c r="Z1136" s="15"/>
    </row>
    <row r="1137" spans="1:26" x14ac:dyDescent="0.25">
      <c r="A1137" s="15" t="str">
        <f>IF(C1137="","",COUNTA($C$3:C1137))</f>
        <v/>
      </c>
      <c r="B1137" s="15" t="str">
        <f t="shared" si="204"/>
        <v/>
      </c>
      <c r="M1137" s="9"/>
      <c r="N1137" s="9"/>
      <c r="P1137" s="14"/>
      <c r="Q1137" s="85"/>
      <c r="R1137" s="89"/>
      <c r="U1137" s="11" t="str">
        <f t="shared" si="202"/>
        <v/>
      </c>
      <c r="V1137" s="12" t="str">
        <f t="shared" si="203"/>
        <v/>
      </c>
      <c r="Z1137" s="15"/>
    </row>
    <row r="1138" spans="1:26" x14ac:dyDescent="0.25">
      <c r="A1138" s="15" t="str">
        <f>IF(C1138="","",COUNTA($C$3:C1138))</f>
        <v/>
      </c>
      <c r="B1138" s="15" t="str">
        <f t="shared" si="204"/>
        <v/>
      </c>
      <c r="M1138" s="9"/>
      <c r="N1138" s="9"/>
      <c r="P1138" s="14"/>
      <c r="Q1138" s="85"/>
      <c r="R1138" s="89"/>
      <c r="U1138" s="11" t="str">
        <f t="shared" si="202"/>
        <v/>
      </c>
      <c r="V1138" s="12" t="str">
        <f t="shared" si="203"/>
        <v/>
      </c>
      <c r="Z1138" s="15"/>
    </row>
    <row r="1139" spans="1:26" x14ac:dyDescent="0.25">
      <c r="A1139" s="15" t="str">
        <f>IF(C1139="","",COUNTA($C$3:C1139))</f>
        <v/>
      </c>
      <c r="B1139" s="15" t="str">
        <f t="shared" si="204"/>
        <v/>
      </c>
      <c r="M1139" s="9"/>
      <c r="N1139" s="9"/>
      <c r="P1139" s="14"/>
      <c r="Q1139" s="85"/>
      <c r="R1139" s="89"/>
      <c r="U1139" s="11" t="str">
        <f t="shared" si="202"/>
        <v/>
      </c>
      <c r="V1139" s="12" t="str">
        <f t="shared" si="203"/>
        <v/>
      </c>
      <c r="Z1139" s="15"/>
    </row>
    <row r="1140" spans="1:26" x14ac:dyDescent="0.25">
      <c r="A1140" s="15" t="str">
        <f>IF(C1140="","",COUNTA($C$3:C1140))</f>
        <v/>
      </c>
      <c r="B1140" s="15" t="str">
        <f t="shared" si="204"/>
        <v/>
      </c>
      <c r="M1140" s="9"/>
      <c r="N1140" s="9"/>
      <c r="P1140" s="14"/>
      <c r="Q1140" s="85"/>
      <c r="R1140" s="89"/>
      <c r="U1140" s="11" t="str">
        <f t="shared" si="202"/>
        <v/>
      </c>
      <c r="V1140" s="12" t="str">
        <f t="shared" si="203"/>
        <v/>
      </c>
      <c r="Z1140" s="15"/>
    </row>
    <row r="1141" spans="1:26" x14ac:dyDescent="0.25">
      <c r="A1141" s="15" t="str">
        <f>IF(C1141="","",COUNTA($C$3:C1141))</f>
        <v/>
      </c>
      <c r="B1141" s="15" t="str">
        <f t="shared" si="204"/>
        <v/>
      </c>
      <c r="M1141" s="9"/>
      <c r="N1141" s="9"/>
      <c r="P1141" s="14"/>
      <c r="Q1141" s="85"/>
      <c r="R1141" s="89"/>
      <c r="U1141" s="11" t="str">
        <f t="shared" si="202"/>
        <v/>
      </c>
      <c r="V1141" s="12" t="str">
        <f t="shared" si="203"/>
        <v/>
      </c>
      <c r="Z1141" s="15"/>
    </row>
    <row r="1142" spans="1:26" x14ac:dyDescent="0.25">
      <c r="A1142" s="15" t="str">
        <f>IF(C1142="","",COUNTA($C$3:C1142))</f>
        <v/>
      </c>
      <c r="B1142" s="15" t="str">
        <f t="shared" si="204"/>
        <v/>
      </c>
      <c r="M1142" s="9"/>
      <c r="N1142" s="9"/>
      <c r="P1142" s="14"/>
      <c r="Q1142" s="85"/>
      <c r="R1142" s="89"/>
      <c r="U1142" s="11" t="str">
        <f t="shared" si="202"/>
        <v/>
      </c>
      <c r="V1142" s="12" t="str">
        <f t="shared" si="203"/>
        <v/>
      </c>
      <c r="Z1142" s="15"/>
    </row>
    <row r="1143" spans="1:26" x14ac:dyDescent="0.25">
      <c r="A1143" s="15" t="str">
        <f>IF(C1143="","",COUNTA($C$3:C1143))</f>
        <v/>
      </c>
      <c r="B1143" s="15" t="str">
        <f t="shared" si="204"/>
        <v/>
      </c>
      <c r="M1143" s="9"/>
      <c r="N1143" s="9"/>
      <c r="P1143" s="14"/>
      <c r="Q1143" s="85"/>
      <c r="R1143" s="89"/>
      <c r="U1143" s="11" t="str">
        <f t="shared" si="202"/>
        <v/>
      </c>
      <c r="V1143" s="12" t="str">
        <f t="shared" si="203"/>
        <v/>
      </c>
      <c r="Z1143" s="15"/>
    </row>
    <row r="1144" spans="1:26" x14ac:dyDescent="0.25">
      <c r="A1144" s="15" t="str">
        <f>IF(C1144="","",COUNTA($C$3:C1144))</f>
        <v/>
      </c>
      <c r="B1144" s="15" t="str">
        <f t="shared" si="204"/>
        <v/>
      </c>
      <c r="M1144" s="9"/>
      <c r="N1144" s="9"/>
      <c r="P1144" s="14"/>
      <c r="Q1144" s="85"/>
      <c r="R1144" s="89"/>
      <c r="U1144" s="11" t="str">
        <f t="shared" si="202"/>
        <v/>
      </c>
      <c r="V1144" s="12" t="str">
        <f t="shared" si="203"/>
        <v/>
      </c>
      <c r="Z1144" s="15"/>
    </row>
    <row r="1145" spans="1:26" x14ac:dyDescent="0.25">
      <c r="A1145" s="15" t="str">
        <f>IF(C1145="","",COUNTA($C$3:C1145))</f>
        <v/>
      </c>
      <c r="B1145" s="15" t="str">
        <f t="shared" si="204"/>
        <v/>
      </c>
      <c r="M1145" s="9"/>
      <c r="N1145" s="9"/>
      <c r="P1145" s="14"/>
      <c r="Q1145" s="85"/>
      <c r="R1145" s="89"/>
      <c r="U1145" s="11" t="str">
        <f t="shared" si="202"/>
        <v/>
      </c>
      <c r="V1145" s="12" t="str">
        <f t="shared" si="203"/>
        <v/>
      </c>
      <c r="Z1145" s="15"/>
    </row>
    <row r="1146" spans="1:26" x14ac:dyDescent="0.25">
      <c r="A1146" s="15" t="str">
        <f>IF(C1146="","",COUNTA($C$3:C1146))</f>
        <v/>
      </c>
      <c r="B1146" s="15" t="str">
        <f t="shared" si="204"/>
        <v/>
      </c>
      <c r="M1146" s="9"/>
      <c r="N1146" s="9"/>
      <c r="P1146" s="14"/>
      <c r="Q1146" s="85"/>
      <c r="R1146" s="89"/>
      <c r="U1146" s="11" t="str">
        <f t="shared" si="202"/>
        <v/>
      </c>
      <c r="V1146" s="12" t="str">
        <f t="shared" si="203"/>
        <v/>
      </c>
      <c r="Z1146" s="15"/>
    </row>
    <row r="1147" spans="1:26" x14ac:dyDescent="0.25">
      <c r="A1147" s="15" t="str">
        <f>IF(C1147="","",COUNTA($C$3:C1147))</f>
        <v/>
      </c>
      <c r="B1147" s="15" t="str">
        <f t="shared" si="204"/>
        <v/>
      </c>
      <c r="M1147" s="9"/>
      <c r="N1147" s="9"/>
      <c r="P1147" s="14"/>
      <c r="Q1147" s="85"/>
      <c r="R1147" s="89"/>
      <c r="U1147" s="11" t="str">
        <f t="shared" si="202"/>
        <v/>
      </c>
      <c r="V1147" s="12" t="str">
        <f t="shared" si="203"/>
        <v/>
      </c>
      <c r="Z1147" s="15"/>
    </row>
    <row r="1148" spans="1:26" x14ac:dyDescent="0.25">
      <c r="A1148" s="15" t="str">
        <f>IF(C1148="","",COUNTA($C$3:C1148))</f>
        <v/>
      </c>
      <c r="B1148" s="15" t="str">
        <f t="shared" si="204"/>
        <v/>
      </c>
      <c r="M1148" s="9"/>
      <c r="N1148" s="9"/>
      <c r="P1148" s="14"/>
      <c r="Q1148" s="85"/>
      <c r="R1148" s="89"/>
      <c r="U1148" s="11" t="str">
        <f t="shared" si="202"/>
        <v/>
      </c>
      <c r="V1148" s="12" t="str">
        <f t="shared" si="203"/>
        <v/>
      </c>
      <c r="Z1148" s="15"/>
    </row>
    <row r="1149" spans="1:26" x14ac:dyDescent="0.25">
      <c r="A1149" s="15" t="str">
        <f>IF(C1149="","",COUNTA($C$3:C1149))</f>
        <v/>
      </c>
      <c r="B1149" s="15" t="str">
        <f t="shared" si="204"/>
        <v/>
      </c>
      <c r="M1149" s="9"/>
      <c r="N1149" s="9"/>
      <c r="P1149" s="14"/>
      <c r="Q1149" s="85"/>
      <c r="R1149" s="89"/>
      <c r="U1149" s="11" t="str">
        <f t="shared" si="202"/>
        <v/>
      </c>
      <c r="V1149" s="12" t="str">
        <f t="shared" si="203"/>
        <v/>
      </c>
      <c r="Z1149" s="15"/>
    </row>
    <row r="1150" spans="1:26" x14ac:dyDescent="0.25">
      <c r="A1150" s="15" t="str">
        <f>IF(C1150="","",COUNTA($C$3:C1150))</f>
        <v/>
      </c>
      <c r="B1150" s="15" t="str">
        <f t="shared" si="204"/>
        <v/>
      </c>
      <c r="M1150" s="9"/>
      <c r="N1150" s="9"/>
      <c r="P1150" s="14"/>
      <c r="Q1150" s="85"/>
      <c r="R1150" s="89"/>
      <c r="U1150" s="11" t="str">
        <f t="shared" si="202"/>
        <v/>
      </c>
      <c r="V1150" s="12" t="str">
        <f t="shared" si="203"/>
        <v/>
      </c>
      <c r="Z1150" s="15"/>
    </row>
    <row r="1151" spans="1:26" x14ac:dyDescent="0.25">
      <c r="A1151" s="15" t="str">
        <f>IF(C1151="","",COUNTA($C$3:C1151))</f>
        <v/>
      </c>
      <c r="B1151" s="15" t="str">
        <f t="shared" si="204"/>
        <v/>
      </c>
      <c r="M1151" s="9"/>
      <c r="N1151" s="9"/>
      <c r="P1151" s="14"/>
      <c r="Q1151" s="85"/>
      <c r="R1151" s="89"/>
      <c r="U1151" s="11" t="str">
        <f t="shared" si="202"/>
        <v/>
      </c>
      <c r="V1151" s="12" t="str">
        <f t="shared" si="203"/>
        <v/>
      </c>
      <c r="Z1151" s="15"/>
    </row>
    <row r="1152" spans="1:26" x14ac:dyDescent="0.25">
      <c r="A1152" s="15" t="str">
        <f>IF(C1152="","",COUNTA($C$3:C1152))</f>
        <v/>
      </c>
      <c r="B1152" s="15" t="str">
        <f t="shared" si="204"/>
        <v/>
      </c>
      <c r="M1152" s="9"/>
      <c r="N1152" s="9"/>
      <c r="P1152" s="14"/>
      <c r="Q1152" s="85"/>
      <c r="R1152" s="89"/>
      <c r="U1152" s="11" t="str">
        <f t="shared" si="202"/>
        <v/>
      </c>
      <c r="V1152" s="12" t="str">
        <f t="shared" si="203"/>
        <v/>
      </c>
      <c r="Z1152" s="15"/>
    </row>
    <row r="1153" spans="1:26" x14ac:dyDescent="0.25">
      <c r="A1153" s="15" t="str">
        <f>IF(C1153="","",COUNTA($C$3:C1153))</f>
        <v/>
      </c>
      <c r="B1153" s="15" t="str">
        <f t="shared" si="204"/>
        <v/>
      </c>
      <c r="M1153" s="9"/>
      <c r="N1153" s="9"/>
      <c r="P1153" s="14"/>
      <c r="Q1153" s="85"/>
      <c r="R1153" s="89"/>
      <c r="U1153" s="11" t="str">
        <f t="shared" si="202"/>
        <v/>
      </c>
      <c r="V1153" s="12" t="str">
        <f t="shared" si="203"/>
        <v/>
      </c>
      <c r="Z1153" s="15"/>
    </row>
    <row r="1154" spans="1:26" x14ac:dyDescent="0.25">
      <c r="A1154" s="15" t="str">
        <f>IF(C1154="","",COUNTA($C$3:C1154))</f>
        <v/>
      </c>
      <c r="B1154" s="15" t="str">
        <f t="shared" si="204"/>
        <v/>
      </c>
      <c r="M1154" s="9"/>
      <c r="N1154" s="9"/>
      <c r="P1154" s="14"/>
      <c r="Q1154" s="85"/>
      <c r="R1154" s="89"/>
      <c r="U1154" s="11" t="str">
        <f t="shared" ref="U1154:U1217" si="205">IF(S1154="","",(S1154-T1154))</f>
        <v/>
      </c>
      <c r="V1154" s="12" t="str">
        <f t="shared" ref="V1154:V1217" si="206">IF(U1154="","",(U1154/T1154))</f>
        <v/>
      </c>
      <c r="Z1154" s="15"/>
    </row>
    <row r="1155" spans="1:26" x14ac:dyDescent="0.25">
      <c r="A1155" s="15" t="str">
        <f>IF(C1155="","",COUNTA($C$3:C1155))</f>
        <v/>
      </c>
      <c r="B1155" s="15" t="str">
        <f t="shared" ref="B1155:B1218" si="207">IF(C1155="","",TEXT(C1155,"mmmm"))</f>
        <v/>
      </c>
      <c r="M1155" s="9"/>
      <c r="N1155" s="9"/>
      <c r="P1155" s="14"/>
      <c r="Q1155" s="85"/>
      <c r="R1155" s="89"/>
      <c r="U1155" s="11" t="str">
        <f t="shared" si="205"/>
        <v/>
      </c>
      <c r="V1155" s="12" t="str">
        <f t="shared" si="206"/>
        <v/>
      </c>
      <c r="Z1155" s="15"/>
    </row>
    <row r="1156" spans="1:26" x14ac:dyDescent="0.25">
      <c r="A1156" s="15" t="str">
        <f>IF(C1156="","",COUNTA($C$3:C1156))</f>
        <v/>
      </c>
      <c r="B1156" s="15" t="str">
        <f t="shared" si="207"/>
        <v/>
      </c>
      <c r="M1156" s="9"/>
      <c r="N1156" s="9"/>
      <c r="P1156" s="14"/>
      <c r="Q1156" s="85"/>
      <c r="R1156" s="89"/>
      <c r="U1156" s="11" t="str">
        <f t="shared" si="205"/>
        <v/>
      </c>
      <c r="V1156" s="12" t="str">
        <f t="shared" si="206"/>
        <v/>
      </c>
      <c r="Z1156" s="15"/>
    </row>
    <row r="1157" spans="1:26" x14ac:dyDescent="0.25">
      <c r="A1157" s="15" t="str">
        <f>IF(C1157="","",COUNTA($C$3:C1157))</f>
        <v/>
      </c>
      <c r="B1157" s="15" t="str">
        <f t="shared" si="207"/>
        <v/>
      </c>
      <c r="M1157" s="9"/>
      <c r="N1157" s="9"/>
      <c r="P1157" s="14"/>
      <c r="Q1157" s="85"/>
      <c r="R1157" s="89"/>
      <c r="U1157" s="11" t="str">
        <f t="shared" si="205"/>
        <v/>
      </c>
      <c r="V1157" s="12" t="str">
        <f t="shared" si="206"/>
        <v/>
      </c>
      <c r="Z1157" s="15"/>
    </row>
    <row r="1158" spans="1:26" x14ac:dyDescent="0.25">
      <c r="A1158" s="15" t="str">
        <f>IF(C1158="","",COUNTA($C$3:C1158))</f>
        <v/>
      </c>
      <c r="B1158" s="15" t="str">
        <f t="shared" si="207"/>
        <v/>
      </c>
      <c r="M1158" s="9"/>
      <c r="N1158" s="9"/>
      <c r="P1158" s="14"/>
      <c r="Q1158" s="85"/>
      <c r="R1158" s="89"/>
      <c r="U1158" s="11" t="str">
        <f t="shared" si="205"/>
        <v/>
      </c>
      <c r="V1158" s="12" t="str">
        <f t="shared" si="206"/>
        <v/>
      </c>
      <c r="Z1158" s="15"/>
    </row>
    <row r="1159" spans="1:26" x14ac:dyDescent="0.25">
      <c r="A1159" s="15" t="str">
        <f>IF(C1159="","",COUNTA($C$3:C1159))</f>
        <v/>
      </c>
      <c r="B1159" s="15" t="str">
        <f t="shared" si="207"/>
        <v/>
      </c>
      <c r="M1159" s="9"/>
      <c r="N1159" s="9"/>
      <c r="P1159" s="14"/>
      <c r="Q1159" s="85"/>
      <c r="R1159" s="89"/>
      <c r="U1159" s="11" t="str">
        <f t="shared" si="205"/>
        <v/>
      </c>
      <c r="V1159" s="12" t="str">
        <f t="shared" si="206"/>
        <v/>
      </c>
      <c r="Z1159" s="15"/>
    </row>
    <row r="1160" spans="1:26" x14ac:dyDescent="0.25">
      <c r="A1160" s="15" t="str">
        <f>IF(C1160="","",COUNTA($C$3:C1160))</f>
        <v/>
      </c>
      <c r="B1160" s="15" t="str">
        <f t="shared" si="207"/>
        <v/>
      </c>
      <c r="M1160" s="9"/>
      <c r="N1160" s="9"/>
      <c r="P1160" s="14"/>
      <c r="Q1160" s="85"/>
      <c r="R1160" s="89"/>
      <c r="U1160" s="11" t="str">
        <f t="shared" si="205"/>
        <v/>
      </c>
      <c r="V1160" s="12" t="str">
        <f t="shared" si="206"/>
        <v/>
      </c>
      <c r="Z1160" s="15"/>
    </row>
    <row r="1161" spans="1:26" x14ac:dyDescent="0.25">
      <c r="A1161" s="15" t="str">
        <f>IF(C1161="","",COUNTA($C$3:C1161))</f>
        <v/>
      </c>
      <c r="B1161" s="15" t="str">
        <f t="shared" si="207"/>
        <v/>
      </c>
      <c r="M1161" s="9"/>
      <c r="N1161" s="9"/>
      <c r="P1161" s="14"/>
      <c r="Q1161" s="85"/>
      <c r="R1161" s="89"/>
      <c r="U1161" s="11" t="str">
        <f t="shared" si="205"/>
        <v/>
      </c>
      <c r="V1161" s="12" t="str">
        <f t="shared" si="206"/>
        <v/>
      </c>
      <c r="Z1161" s="15"/>
    </row>
    <row r="1162" spans="1:26" x14ac:dyDescent="0.25">
      <c r="A1162" s="15" t="str">
        <f>IF(C1162="","",COUNTA($C$3:C1162))</f>
        <v/>
      </c>
      <c r="B1162" s="15" t="str">
        <f t="shared" si="207"/>
        <v/>
      </c>
      <c r="M1162" s="9"/>
      <c r="N1162" s="9"/>
      <c r="P1162" s="14"/>
      <c r="Q1162" s="85"/>
      <c r="R1162" s="89"/>
      <c r="U1162" s="11" t="str">
        <f t="shared" si="205"/>
        <v/>
      </c>
      <c r="V1162" s="12" t="str">
        <f t="shared" si="206"/>
        <v/>
      </c>
      <c r="Z1162" s="15"/>
    </row>
    <row r="1163" spans="1:26" x14ac:dyDescent="0.25">
      <c r="A1163" s="15" t="str">
        <f>IF(C1163="","",COUNTA($C$3:C1163))</f>
        <v/>
      </c>
      <c r="B1163" s="15" t="str">
        <f t="shared" si="207"/>
        <v/>
      </c>
      <c r="M1163" s="9"/>
      <c r="N1163" s="9"/>
      <c r="P1163" s="14"/>
      <c r="Q1163" s="85"/>
      <c r="R1163" s="89"/>
      <c r="U1163" s="11" t="str">
        <f t="shared" si="205"/>
        <v/>
      </c>
      <c r="V1163" s="12" t="str">
        <f t="shared" si="206"/>
        <v/>
      </c>
      <c r="Z1163" s="15"/>
    </row>
    <row r="1164" spans="1:26" x14ac:dyDescent="0.25">
      <c r="A1164" s="15" t="str">
        <f>IF(C1164="","",COUNTA($C$3:C1164))</f>
        <v/>
      </c>
      <c r="B1164" s="15" t="str">
        <f t="shared" si="207"/>
        <v/>
      </c>
      <c r="M1164" s="9"/>
      <c r="N1164" s="9"/>
      <c r="P1164" s="14"/>
      <c r="Q1164" s="85"/>
      <c r="R1164" s="89"/>
      <c r="U1164" s="11" t="str">
        <f t="shared" si="205"/>
        <v/>
      </c>
      <c r="V1164" s="12" t="str">
        <f t="shared" si="206"/>
        <v/>
      </c>
      <c r="Z1164" s="15"/>
    </row>
    <row r="1165" spans="1:26" x14ac:dyDescent="0.25">
      <c r="A1165" s="15" t="str">
        <f>IF(C1165="","",COUNTA($C$3:C1165))</f>
        <v/>
      </c>
      <c r="B1165" s="15" t="str">
        <f t="shared" si="207"/>
        <v/>
      </c>
      <c r="M1165" s="9"/>
      <c r="N1165" s="9"/>
      <c r="P1165" s="14"/>
      <c r="Q1165" s="85"/>
      <c r="R1165" s="89"/>
      <c r="U1165" s="11" t="str">
        <f t="shared" si="205"/>
        <v/>
      </c>
      <c r="V1165" s="12" t="str">
        <f t="shared" si="206"/>
        <v/>
      </c>
      <c r="Z1165" s="15"/>
    </row>
    <row r="1166" spans="1:26" x14ac:dyDescent="0.25">
      <c r="A1166" s="15" t="str">
        <f>IF(C1166="","",COUNTA($C$3:C1166))</f>
        <v/>
      </c>
      <c r="B1166" s="15" t="str">
        <f t="shared" si="207"/>
        <v/>
      </c>
      <c r="M1166" s="9"/>
      <c r="N1166" s="9"/>
      <c r="P1166" s="14"/>
      <c r="Q1166" s="85"/>
      <c r="R1166" s="89"/>
      <c r="U1166" s="11" t="str">
        <f t="shared" si="205"/>
        <v/>
      </c>
      <c r="V1166" s="12" t="str">
        <f t="shared" si="206"/>
        <v/>
      </c>
      <c r="Z1166" s="15"/>
    </row>
    <row r="1167" spans="1:26" x14ac:dyDescent="0.25">
      <c r="A1167" s="15" t="str">
        <f>IF(C1167="","",COUNTA($C$3:C1167))</f>
        <v/>
      </c>
      <c r="B1167" s="15" t="str">
        <f t="shared" si="207"/>
        <v/>
      </c>
      <c r="M1167" s="9"/>
      <c r="N1167" s="9"/>
      <c r="P1167" s="14"/>
      <c r="Q1167" s="85"/>
      <c r="R1167" s="89"/>
      <c r="U1167" s="11" t="str">
        <f t="shared" si="205"/>
        <v/>
      </c>
      <c r="V1167" s="12" t="str">
        <f t="shared" si="206"/>
        <v/>
      </c>
      <c r="Z1167" s="15"/>
    </row>
    <row r="1168" spans="1:26" x14ac:dyDescent="0.25">
      <c r="A1168" s="15" t="str">
        <f>IF(C1168="","",COUNTA($C$3:C1168))</f>
        <v/>
      </c>
      <c r="B1168" s="15" t="str">
        <f t="shared" si="207"/>
        <v/>
      </c>
      <c r="M1168" s="9"/>
      <c r="N1168" s="9"/>
      <c r="P1168" s="14"/>
      <c r="Q1168" s="85"/>
      <c r="R1168" s="89"/>
      <c r="U1168" s="11" t="str">
        <f t="shared" si="205"/>
        <v/>
      </c>
      <c r="V1168" s="12" t="str">
        <f t="shared" si="206"/>
        <v/>
      </c>
      <c r="Z1168" s="15"/>
    </row>
    <row r="1169" spans="1:26" x14ac:dyDescent="0.25">
      <c r="A1169" s="15" t="str">
        <f>IF(C1169="","",COUNTA($C$3:C1169))</f>
        <v/>
      </c>
      <c r="B1169" s="15" t="str">
        <f t="shared" si="207"/>
        <v/>
      </c>
      <c r="M1169" s="9"/>
      <c r="N1169" s="9"/>
      <c r="P1169" s="14"/>
      <c r="Q1169" s="85"/>
      <c r="R1169" s="89"/>
      <c r="U1169" s="11" t="str">
        <f t="shared" si="205"/>
        <v/>
      </c>
      <c r="V1169" s="12" t="str">
        <f t="shared" si="206"/>
        <v/>
      </c>
      <c r="Z1169" s="15"/>
    </row>
    <row r="1170" spans="1:26" x14ac:dyDescent="0.25">
      <c r="A1170" s="15" t="str">
        <f>IF(C1170="","",COUNTA($C$3:C1170))</f>
        <v/>
      </c>
      <c r="B1170" s="15" t="str">
        <f t="shared" si="207"/>
        <v/>
      </c>
      <c r="M1170" s="9"/>
      <c r="N1170" s="9"/>
      <c r="P1170" s="14"/>
      <c r="Q1170" s="85"/>
      <c r="R1170" s="89"/>
      <c r="U1170" s="11" t="str">
        <f t="shared" si="205"/>
        <v/>
      </c>
      <c r="V1170" s="12" t="str">
        <f t="shared" si="206"/>
        <v/>
      </c>
      <c r="Z1170" s="15"/>
    </row>
    <row r="1171" spans="1:26" x14ac:dyDescent="0.25">
      <c r="A1171" s="15" t="str">
        <f>IF(C1171="","",COUNTA($C$3:C1171))</f>
        <v/>
      </c>
      <c r="B1171" s="15" t="str">
        <f t="shared" si="207"/>
        <v/>
      </c>
      <c r="M1171" s="9"/>
      <c r="N1171" s="9"/>
      <c r="P1171" s="14"/>
      <c r="Q1171" s="85"/>
      <c r="R1171" s="89"/>
      <c r="U1171" s="11" t="str">
        <f t="shared" si="205"/>
        <v/>
      </c>
      <c r="V1171" s="12" t="str">
        <f t="shared" si="206"/>
        <v/>
      </c>
      <c r="Z1171" s="15"/>
    </row>
    <row r="1172" spans="1:26" x14ac:dyDescent="0.25">
      <c r="A1172" s="15" t="str">
        <f>IF(C1172="","",COUNTA($C$3:C1172))</f>
        <v/>
      </c>
      <c r="B1172" s="15" t="str">
        <f t="shared" si="207"/>
        <v/>
      </c>
      <c r="M1172" s="9"/>
      <c r="N1172" s="9"/>
      <c r="P1172" s="14"/>
      <c r="Q1172" s="85"/>
      <c r="R1172" s="89"/>
      <c r="U1172" s="11" t="str">
        <f t="shared" si="205"/>
        <v/>
      </c>
      <c r="V1172" s="12" t="str">
        <f t="shared" si="206"/>
        <v/>
      </c>
      <c r="Z1172" s="15"/>
    </row>
    <row r="1173" spans="1:26" x14ac:dyDescent="0.25">
      <c r="A1173" s="15" t="str">
        <f>IF(C1173="","",COUNTA($C$3:C1173))</f>
        <v/>
      </c>
      <c r="B1173" s="15" t="str">
        <f t="shared" si="207"/>
        <v/>
      </c>
      <c r="M1173" s="9"/>
      <c r="N1173" s="9"/>
      <c r="P1173" s="14"/>
      <c r="Q1173" s="85"/>
      <c r="R1173" s="89"/>
      <c r="U1173" s="11" t="str">
        <f t="shared" si="205"/>
        <v/>
      </c>
      <c r="V1173" s="12" t="str">
        <f t="shared" si="206"/>
        <v/>
      </c>
      <c r="Z1173" s="15"/>
    </row>
    <row r="1174" spans="1:26" x14ac:dyDescent="0.25">
      <c r="A1174" s="15" t="str">
        <f>IF(C1174="","",COUNTA($C$3:C1174))</f>
        <v/>
      </c>
      <c r="B1174" s="15" t="str">
        <f t="shared" si="207"/>
        <v/>
      </c>
      <c r="M1174" s="9"/>
      <c r="N1174" s="9"/>
      <c r="P1174" s="14"/>
      <c r="Q1174" s="85"/>
      <c r="R1174" s="89"/>
      <c r="U1174" s="11" t="str">
        <f t="shared" si="205"/>
        <v/>
      </c>
      <c r="V1174" s="12" t="str">
        <f t="shared" si="206"/>
        <v/>
      </c>
      <c r="Z1174" s="15"/>
    </row>
    <row r="1175" spans="1:26" x14ac:dyDescent="0.25">
      <c r="A1175" s="15" t="str">
        <f>IF(C1175="","",COUNTA($C$3:C1175))</f>
        <v/>
      </c>
      <c r="B1175" s="15" t="str">
        <f t="shared" si="207"/>
        <v/>
      </c>
      <c r="M1175" s="9"/>
      <c r="N1175" s="9"/>
      <c r="P1175" s="14"/>
      <c r="Q1175" s="85"/>
      <c r="R1175" s="89"/>
      <c r="U1175" s="11" t="str">
        <f t="shared" si="205"/>
        <v/>
      </c>
      <c r="V1175" s="12" t="str">
        <f t="shared" si="206"/>
        <v/>
      </c>
      <c r="Z1175" s="15"/>
    </row>
    <row r="1176" spans="1:26" x14ac:dyDescent="0.25">
      <c r="A1176" s="15" t="str">
        <f>IF(C1176="","",COUNTA($C$3:C1176))</f>
        <v/>
      </c>
      <c r="B1176" s="15" t="str">
        <f t="shared" si="207"/>
        <v/>
      </c>
      <c r="M1176" s="9"/>
      <c r="N1176" s="9"/>
      <c r="P1176" s="14"/>
      <c r="Q1176" s="85"/>
      <c r="R1176" s="89"/>
      <c r="U1176" s="11" t="str">
        <f t="shared" si="205"/>
        <v/>
      </c>
      <c r="V1176" s="12" t="str">
        <f t="shared" si="206"/>
        <v/>
      </c>
      <c r="Z1176" s="15"/>
    </row>
    <row r="1177" spans="1:26" x14ac:dyDescent="0.25">
      <c r="A1177" s="15" t="str">
        <f>IF(C1177="","",COUNTA($C$3:C1177))</f>
        <v/>
      </c>
      <c r="B1177" s="15" t="str">
        <f t="shared" si="207"/>
        <v/>
      </c>
      <c r="M1177" s="9"/>
      <c r="N1177" s="9"/>
      <c r="P1177" s="14"/>
      <c r="Q1177" s="85"/>
      <c r="R1177" s="89"/>
      <c r="U1177" s="11" t="str">
        <f t="shared" si="205"/>
        <v/>
      </c>
      <c r="V1177" s="12" t="str">
        <f t="shared" si="206"/>
        <v/>
      </c>
      <c r="Z1177" s="15"/>
    </row>
    <row r="1178" spans="1:26" x14ac:dyDescent="0.25">
      <c r="A1178" s="15" t="str">
        <f>IF(C1178="","",COUNTA($C$3:C1178))</f>
        <v/>
      </c>
      <c r="B1178" s="15" t="str">
        <f t="shared" si="207"/>
        <v/>
      </c>
      <c r="M1178" s="9"/>
      <c r="N1178" s="9"/>
      <c r="P1178" s="14"/>
      <c r="Q1178" s="85"/>
      <c r="R1178" s="89"/>
      <c r="U1178" s="11" t="str">
        <f t="shared" si="205"/>
        <v/>
      </c>
      <c r="V1178" s="12" t="str">
        <f t="shared" si="206"/>
        <v/>
      </c>
      <c r="Z1178" s="15"/>
    </row>
    <row r="1179" spans="1:26" x14ac:dyDescent="0.25">
      <c r="A1179" s="15" t="str">
        <f>IF(C1179="","",COUNTA($C$3:C1179))</f>
        <v/>
      </c>
      <c r="B1179" s="15" t="str">
        <f t="shared" si="207"/>
        <v/>
      </c>
      <c r="M1179" s="9"/>
      <c r="N1179" s="9"/>
      <c r="P1179" s="14"/>
      <c r="Q1179" s="85"/>
      <c r="R1179" s="89"/>
      <c r="U1179" s="11" t="str">
        <f t="shared" si="205"/>
        <v/>
      </c>
      <c r="V1179" s="12" t="str">
        <f t="shared" si="206"/>
        <v/>
      </c>
      <c r="Z1179" s="15"/>
    </row>
    <row r="1180" spans="1:26" x14ac:dyDescent="0.25">
      <c r="A1180" s="15" t="str">
        <f>IF(C1180="","",COUNTA($C$3:C1180))</f>
        <v/>
      </c>
      <c r="B1180" s="15" t="str">
        <f t="shared" si="207"/>
        <v/>
      </c>
      <c r="M1180" s="9"/>
      <c r="N1180" s="9"/>
      <c r="P1180" s="14"/>
      <c r="Q1180" s="85"/>
      <c r="R1180" s="89"/>
      <c r="U1180" s="11" t="str">
        <f t="shared" si="205"/>
        <v/>
      </c>
      <c r="V1180" s="12" t="str">
        <f t="shared" si="206"/>
        <v/>
      </c>
      <c r="Z1180" s="15"/>
    </row>
    <row r="1181" spans="1:26" x14ac:dyDescent="0.25">
      <c r="A1181" s="15" t="str">
        <f>IF(C1181="","",COUNTA($C$3:C1181))</f>
        <v/>
      </c>
      <c r="B1181" s="15" t="str">
        <f t="shared" si="207"/>
        <v/>
      </c>
      <c r="M1181" s="9"/>
      <c r="N1181" s="9"/>
      <c r="P1181" s="14"/>
      <c r="Q1181" s="85"/>
      <c r="R1181" s="89"/>
      <c r="U1181" s="11" t="str">
        <f t="shared" si="205"/>
        <v/>
      </c>
      <c r="V1181" s="12" t="str">
        <f t="shared" si="206"/>
        <v/>
      </c>
      <c r="Z1181" s="15"/>
    </row>
    <row r="1182" spans="1:26" x14ac:dyDescent="0.25">
      <c r="A1182" s="15" t="str">
        <f>IF(C1182="","",COUNTA($C$3:C1182))</f>
        <v/>
      </c>
      <c r="B1182" s="15" t="str">
        <f t="shared" si="207"/>
        <v/>
      </c>
      <c r="M1182" s="9"/>
      <c r="N1182" s="9"/>
      <c r="P1182" s="14"/>
      <c r="Q1182" s="85"/>
      <c r="R1182" s="89"/>
      <c r="U1182" s="11" t="str">
        <f t="shared" si="205"/>
        <v/>
      </c>
      <c r="V1182" s="12" t="str">
        <f t="shared" si="206"/>
        <v/>
      </c>
      <c r="Z1182" s="15"/>
    </row>
    <row r="1183" spans="1:26" x14ac:dyDescent="0.25">
      <c r="A1183" s="15" t="str">
        <f>IF(C1183="","",COUNTA($C$3:C1183))</f>
        <v/>
      </c>
      <c r="B1183" s="15" t="str">
        <f t="shared" si="207"/>
        <v/>
      </c>
      <c r="M1183" s="9"/>
      <c r="N1183" s="9"/>
      <c r="P1183" s="14"/>
      <c r="Q1183" s="85"/>
      <c r="R1183" s="89"/>
      <c r="U1183" s="11" t="str">
        <f t="shared" si="205"/>
        <v/>
      </c>
      <c r="V1183" s="12" t="str">
        <f t="shared" si="206"/>
        <v/>
      </c>
      <c r="Z1183" s="15"/>
    </row>
    <row r="1184" spans="1:26" x14ac:dyDescent="0.25">
      <c r="A1184" s="15" t="str">
        <f>IF(C1184="","",COUNTA($C$3:C1184))</f>
        <v/>
      </c>
      <c r="B1184" s="15" t="str">
        <f t="shared" si="207"/>
        <v/>
      </c>
      <c r="M1184" s="9"/>
      <c r="N1184" s="9"/>
      <c r="P1184" s="14"/>
      <c r="Q1184" s="85"/>
      <c r="R1184" s="89"/>
      <c r="U1184" s="11" t="str">
        <f t="shared" si="205"/>
        <v/>
      </c>
      <c r="V1184" s="12" t="str">
        <f t="shared" si="206"/>
        <v/>
      </c>
      <c r="Z1184" s="15"/>
    </row>
    <row r="1185" spans="1:26" x14ac:dyDescent="0.25">
      <c r="A1185" s="15" t="str">
        <f>IF(C1185="","",COUNTA($C$3:C1185))</f>
        <v/>
      </c>
      <c r="B1185" s="15" t="str">
        <f t="shared" si="207"/>
        <v/>
      </c>
      <c r="M1185" s="9"/>
      <c r="N1185" s="9"/>
      <c r="P1185" s="14"/>
      <c r="Q1185" s="85"/>
      <c r="R1185" s="89"/>
      <c r="U1185" s="11" t="str">
        <f t="shared" si="205"/>
        <v/>
      </c>
      <c r="V1185" s="12" t="str">
        <f t="shared" si="206"/>
        <v/>
      </c>
      <c r="Z1185" s="15"/>
    </row>
    <row r="1186" spans="1:26" x14ac:dyDescent="0.25">
      <c r="A1186" s="15" t="str">
        <f>IF(C1186="","",COUNTA($C$3:C1186))</f>
        <v/>
      </c>
      <c r="B1186" s="15" t="str">
        <f t="shared" si="207"/>
        <v/>
      </c>
      <c r="M1186" s="9"/>
      <c r="N1186" s="9"/>
      <c r="P1186" s="14"/>
      <c r="Q1186" s="85"/>
      <c r="R1186" s="89"/>
      <c r="U1186" s="11" t="str">
        <f t="shared" si="205"/>
        <v/>
      </c>
      <c r="V1186" s="12" t="str">
        <f t="shared" si="206"/>
        <v/>
      </c>
      <c r="Z1186" s="15"/>
    </row>
    <row r="1187" spans="1:26" x14ac:dyDescent="0.25">
      <c r="A1187" s="15" t="str">
        <f>IF(C1187="","",COUNTA($C$3:C1187))</f>
        <v/>
      </c>
      <c r="B1187" s="15" t="str">
        <f t="shared" si="207"/>
        <v/>
      </c>
      <c r="M1187" s="9"/>
      <c r="N1187" s="9"/>
      <c r="P1187" s="14"/>
      <c r="Q1187" s="85"/>
      <c r="R1187" s="89"/>
      <c r="U1187" s="11" t="str">
        <f t="shared" si="205"/>
        <v/>
      </c>
      <c r="V1187" s="12" t="str">
        <f t="shared" si="206"/>
        <v/>
      </c>
      <c r="Z1187" s="15"/>
    </row>
    <row r="1188" spans="1:26" x14ac:dyDescent="0.25">
      <c r="A1188" s="15" t="str">
        <f>IF(C1188="","",COUNTA($C$3:C1188))</f>
        <v/>
      </c>
      <c r="B1188" s="15" t="str">
        <f t="shared" si="207"/>
        <v/>
      </c>
      <c r="M1188" s="9"/>
      <c r="N1188" s="9"/>
      <c r="P1188" s="14"/>
      <c r="Q1188" s="85"/>
      <c r="R1188" s="89"/>
      <c r="U1188" s="11" t="str">
        <f t="shared" si="205"/>
        <v/>
      </c>
      <c r="V1188" s="12" t="str">
        <f t="shared" si="206"/>
        <v/>
      </c>
      <c r="Z1188" s="15"/>
    </row>
    <row r="1189" spans="1:26" x14ac:dyDescent="0.25">
      <c r="A1189" s="15" t="str">
        <f>IF(C1189="","",COUNTA($C$3:C1189))</f>
        <v/>
      </c>
      <c r="B1189" s="15" t="str">
        <f t="shared" si="207"/>
        <v/>
      </c>
      <c r="M1189" s="9"/>
      <c r="N1189" s="9"/>
      <c r="P1189" s="14"/>
      <c r="Q1189" s="85"/>
      <c r="R1189" s="89"/>
      <c r="U1189" s="11" t="str">
        <f t="shared" si="205"/>
        <v/>
      </c>
      <c r="V1189" s="12" t="str">
        <f t="shared" si="206"/>
        <v/>
      </c>
      <c r="Z1189" s="15"/>
    </row>
    <row r="1190" spans="1:26" x14ac:dyDescent="0.25">
      <c r="A1190" s="15" t="str">
        <f>IF(C1190="","",COUNTA($C$3:C1190))</f>
        <v/>
      </c>
      <c r="B1190" s="15" t="str">
        <f t="shared" si="207"/>
        <v/>
      </c>
      <c r="M1190" s="9"/>
      <c r="N1190" s="9"/>
      <c r="P1190" s="14"/>
      <c r="Q1190" s="85"/>
      <c r="R1190" s="89"/>
      <c r="U1190" s="11" t="str">
        <f t="shared" si="205"/>
        <v/>
      </c>
      <c r="V1190" s="12" t="str">
        <f t="shared" si="206"/>
        <v/>
      </c>
      <c r="Z1190" s="15"/>
    </row>
    <row r="1191" spans="1:26" x14ac:dyDescent="0.25">
      <c r="A1191" s="15" t="str">
        <f>IF(C1191="","",COUNTA($C$3:C1191))</f>
        <v/>
      </c>
      <c r="B1191" s="15" t="str">
        <f t="shared" si="207"/>
        <v/>
      </c>
      <c r="M1191" s="9"/>
      <c r="N1191" s="9"/>
      <c r="P1191" s="14"/>
      <c r="Q1191" s="85"/>
      <c r="R1191" s="89"/>
      <c r="U1191" s="11" t="str">
        <f t="shared" si="205"/>
        <v/>
      </c>
      <c r="V1191" s="12" t="str">
        <f t="shared" si="206"/>
        <v/>
      </c>
      <c r="Z1191" s="15"/>
    </row>
    <row r="1192" spans="1:26" x14ac:dyDescent="0.25">
      <c r="A1192" s="15" t="str">
        <f>IF(C1192="","",COUNTA($C$3:C1192))</f>
        <v/>
      </c>
      <c r="B1192" s="15" t="str">
        <f t="shared" si="207"/>
        <v/>
      </c>
      <c r="M1192" s="9"/>
      <c r="N1192" s="9"/>
      <c r="P1192" s="14"/>
      <c r="Q1192" s="85"/>
      <c r="R1192" s="89"/>
      <c r="U1192" s="11" t="str">
        <f t="shared" si="205"/>
        <v/>
      </c>
      <c r="V1192" s="12" t="str">
        <f t="shared" si="206"/>
        <v/>
      </c>
      <c r="Z1192" s="15"/>
    </row>
    <row r="1193" spans="1:26" x14ac:dyDescent="0.25">
      <c r="A1193" s="15" t="str">
        <f>IF(C1193="","",COUNTA($C$3:C1193))</f>
        <v/>
      </c>
      <c r="B1193" s="15" t="str">
        <f t="shared" si="207"/>
        <v/>
      </c>
      <c r="M1193" s="9"/>
      <c r="N1193" s="9"/>
      <c r="P1193" s="14"/>
      <c r="Q1193" s="85"/>
      <c r="R1193" s="89"/>
      <c r="U1193" s="11" t="str">
        <f t="shared" si="205"/>
        <v/>
      </c>
      <c r="V1193" s="12" t="str">
        <f t="shared" si="206"/>
        <v/>
      </c>
      <c r="Z1193" s="15"/>
    </row>
    <row r="1194" spans="1:26" x14ac:dyDescent="0.25">
      <c r="A1194" s="15" t="str">
        <f>IF(C1194="","",COUNTA($C$3:C1194))</f>
        <v/>
      </c>
      <c r="B1194" s="15" t="str">
        <f t="shared" si="207"/>
        <v/>
      </c>
      <c r="M1194" s="9"/>
      <c r="N1194" s="9"/>
      <c r="P1194" s="14"/>
      <c r="Q1194" s="85"/>
      <c r="R1194" s="89"/>
      <c r="U1194" s="11" t="str">
        <f t="shared" si="205"/>
        <v/>
      </c>
      <c r="V1194" s="12" t="str">
        <f t="shared" si="206"/>
        <v/>
      </c>
      <c r="Z1194" s="15"/>
    </row>
    <row r="1195" spans="1:26" x14ac:dyDescent="0.25">
      <c r="A1195" s="15" t="str">
        <f>IF(C1195="","",COUNTA($C$3:C1195))</f>
        <v/>
      </c>
      <c r="B1195" s="15" t="str">
        <f t="shared" si="207"/>
        <v/>
      </c>
      <c r="M1195" s="9"/>
      <c r="N1195" s="9"/>
      <c r="P1195" s="14"/>
      <c r="Q1195" s="85"/>
      <c r="R1195" s="89"/>
      <c r="U1195" s="11" t="str">
        <f t="shared" si="205"/>
        <v/>
      </c>
      <c r="V1195" s="12" t="str">
        <f t="shared" si="206"/>
        <v/>
      </c>
      <c r="Z1195" s="15"/>
    </row>
    <row r="1196" spans="1:26" x14ac:dyDescent="0.25">
      <c r="A1196" s="15" t="str">
        <f>IF(C1196="","",COUNTA($C$3:C1196))</f>
        <v/>
      </c>
      <c r="B1196" s="15" t="str">
        <f t="shared" si="207"/>
        <v/>
      </c>
      <c r="M1196" s="9"/>
      <c r="N1196" s="9"/>
      <c r="P1196" s="14"/>
      <c r="Q1196" s="85"/>
      <c r="R1196" s="89"/>
      <c r="U1196" s="11" t="str">
        <f t="shared" si="205"/>
        <v/>
      </c>
      <c r="V1196" s="12" t="str">
        <f t="shared" si="206"/>
        <v/>
      </c>
      <c r="Z1196" s="15"/>
    </row>
    <row r="1197" spans="1:26" x14ac:dyDescent="0.25">
      <c r="A1197" s="15" t="str">
        <f>IF(C1197="","",COUNTA($C$3:C1197))</f>
        <v/>
      </c>
      <c r="B1197" s="15" t="str">
        <f t="shared" si="207"/>
        <v/>
      </c>
      <c r="M1197" s="9"/>
      <c r="N1197" s="9"/>
      <c r="P1197" s="14"/>
      <c r="Q1197" s="85"/>
      <c r="R1197" s="89"/>
      <c r="U1197" s="11" t="str">
        <f t="shared" si="205"/>
        <v/>
      </c>
      <c r="V1197" s="12" t="str">
        <f t="shared" si="206"/>
        <v/>
      </c>
      <c r="Z1197" s="15"/>
    </row>
    <row r="1198" spans="1:26" x14ac:dyDescent="0.25">
      <c r="A1198" s="15" t="str">
        <f>IF(C1198="","",COUNTA($C$3:C1198))</f>
        <v/>
      </c>
      <c r="B1198" s="15" t="str">
        <f t="shared" si="207"/>
        <v/>
      </c>
      <c r="M1198" s="9"/>
      <c r="N1198" s="9"/>
      <c r="P1198" s="14"/>
      <c r="Q1198" s="85"/>
      <c r="R1198" s="89"/>
      <c r="U1198" s="11" t="str">
        <f t="shared" si="205"/>
        <v/>
      </c>
      <c r="V1198" s="12" t="str">
        <f t="shared" si="206"/>
        <v/>
      </c>
      <c r="Z1198" s="15"/>
    </row>
    <row r="1199" spans="1:26" x14ac:dyDescent="0.25">
      <c r="A1199" s="15" t="str">
        <f>IF(C1199="","",COUNTA($C$3:C1199))</f>
        <v/>
      </c>
      <c r="B1199" s="15" t="str">
        <f t="shared" si="207"/>
        <v/>
      </c>
      <c r="M1199" s="9"/>
      <c r="N1199" s="9"/>
      <c r="P1199" s="14"/>
      <c r="Q1199" s="85"/>
      <c r="R1199" s="89"/>
      <c r="U1199" s="11" t="str">
        <f t="shared" si="205"/>
        <v/>
      </c>
      <c r="V1199" s="12" t="str">
        <f t="shared" si="206"/>
        <v/>
      </c>
      <c r="Z1199" s="15"/>
    </row>
    <row r="1200" spans="1:26" x14ac:dyDescent="0.25">
      <c r="A1200" s="15" t="str">
        <f>IF(C1200="","",COUNTA($C$3:C1200))</f>
        <v/>
      </c>
      <c r="B1200" s="15" t="str">
        <f t="shared" si="207"/>
        <v/>
      </c>
      <c r="M1200" s="9"/>
      <c r="N1200" s="9"/>
      <c r="P1200" s="14"/>
      <c r="Q1200" s="85"/>
      <c r="R1200" s="89"/>
      <c r="U1200" s="11" t="str">
        <f t="shared" si="205"/>
        <v/>
      </c>
      <c r="V1200" s="12" t="str">
        <f t="shared" si="206"/>
        <v/>
      </c>
      <c r="Z1200" s="15"/>
    </row>
    <row r="1201" spans="1:26" x14ac:dyDescent="0.25">
      <c r="A1201" s="15" t="str">
        <f>IF(C1201="","",COUNTA($C$3:C1201))</f>
        <v/>
      </c>
      <c r="B1201" s="15" t="str">
        <f t="shared" si="207"/>
        <v/>
      </c>
      <c r="M1201" s="9"/>
      <c r="N1201" s="9"/>
      <c r="P1201" s="14"/>
      <c r="Q1201" s="85"/>
      <c r="R1201" s="89"/>
      <c r="U1201" s="11" t="str">
        <f t="shared" si="205"/>
        <v/>
      </c>
      <c r="V1201" s="12" t="str">
        <f t="shared" si="206"/>
        <v/>
      </c>
      <c r="Z1201" s="15"/>
    </row>
    <row r="1202" spans="1:26" x14ac:dyDescent="0.25">
      <c r="A1202" s="15" t="str">
        <f>IF(C1202="","",COUNTA($C$3:C1202))</f>
        <v/>
      </c>
      <c r="B1202" s="15" t="str">
        <f t="shared" si="207"/>
        <v/>
      </c>
      <c r="M1202" s="9"/>
      <c r="N1202" s="9"/>
      <c r="P1202" s="14"/>
      <c r="Q1202" s="85"/>
      <c r="R1202" s="89"/>
      <c r="U1202" s="11" t="str">
        <f t="shared" si="205"/>
        <v/>
      </c>
      <c r="V1202" s="12" t="str">
        <f t="shared" si="206"/>
        <v/>
      </c>
      <c r="Z1202" s="15"/>
    </row>
    <row r="1203" spans="1:26" x14ac:dyDescent="0.25">
      <c r="A1203" s="15" t="str">
        <f>IF(C1203="","",COUNTA($C$3:C1203))</f>
        <v/>
      </c>
      <c r="B1203" s="15" t="str">
        <f t="shared" si="207"/>
        <v/>
      </c>
      <c r="M1203" s="9"/>
      <c r="N1203" s="9"/>
      <c r="P1203" s="14"/>
      <c r="Q1203" s="85"/>
      <c r="R1203" s="89"/>
      <c r="U1203" s="11" t="str">
        <f t="shared" si="205"/>
        <v/>
      </c>
      <c r="V1203" s="12" t="str">
        <f t="shared" si="206"/>
        <v/>
      </c>
      <c r="Z1203" s="15"/>
    </row>
    <row r="1204" spans="1:26" x14ac:dyDescent="0.25">
      <c r="A1204" s="15" t="str">
        <f>IF(C1204="","",COUNTA($C$3:C1204))</f>
        <v/>
      </c>
      <c r="B1204" s="15" t="str">
        <f t="shared" si="207"/>
        <v/>
      </c>
      <c r="M1204" s="9"/>
      <c r="N1204" s="9"/>
      <c r="P1204" s="14"/>
      <c r="Q1204" s="85"/>
      <c r="R1204" s="89"/>
      <c r="U1204" s="11" t="str">
        <f t="shared" si="205"/>
        <v/>
      </c>
      <c r="V1204" s="12" t="str">
        <f t="shared" si="206"/>
        <v/>
      </c>
      <c r="Z1204" s="15"/>
    </row>
    <row r="1205" spans="1:26" x14ac:dyDescent="0.25">
      <c r="A1205" s="15" t="str">
        <f>IF(C1205="","",COUNTA($C$3:C1205))</f>
        <v/>
      </c>
      <c r="B1205" s="15" t="str">
        <f t="shared" si="207"/>
        <v/>
      </c>
      <c r="M1205" s="9"/>
      <c r="N1205" s="9"/>
      <c r="P1205" s="14"/>
      <c r="Q1205" s="85"/>
      <c r="R1205" s="89"/>
      <c r="U1205" s="11" t="str">
        <f t="shared" si="205"/>
        <v/>
      </c>
      <c r="V1205" s="12" t="str">
        <f t="shared" si="206"/>
        <v/>
      </c>
      <c r="Z1205" s="15"/>
    </row>
    <row r="1206" spans="1:26" x14ac:dyDescent="0.25">
      <c r="A1206" s="15" t="str">
        <f>IF(C1206="","",COUNTA($C$3:C1206))</f>
        <v/>
      </c>
      <c r="B1206" s="15" t="str">
        <f t="shared" si="207"/>
        <v/>
      </c>
      <c r="M1206" s="9"/>
      <c r="N1206" s="9"/>
      <c r="P1206" s="14"/>
      <c r="Q1206" s="85"/>
      <c r="R1206" s="89"/>
      <c r="U1206" s="11" t="str">
        <f t="shared" si="205"/>
        <v/>
      </c>
      <c r="V1206" s="12" t="str">
        <f t="shared" si="206"/>
        <v/>
      </c>
      <c r="Z1206" s="15"/>
    </row>
    <row r="1207" spans="1:26" x14ac:dyDescent="0.25">
      <c r="A1207" s="15" t="str">
        <f>IF(C1207="","",COUNTA($C$3:C1207))</f>
        <v/>
      </c>
      <c r="B1207" s="15" t="str">
        <f t="shared" si="207"/>
        <v/>
      </c>
      <c r="M1207" s="9"/>
      <c r="N1207" s="9"/>
      <c r="P1207" s="14"/>
      <c r="Q1207" s="85"/>
      <c r="R1207" s="89"/>
      <c r="U1207" s="11" t="str">
        <f t="shared" si="205"/>
        <v/>
      </c>
      <c r="V1207" s="12" t="str">
        <f t="shared" si="206"/>
        <v/>
      </c>
      <c r="Z1207" s="15"/>
    </row>
    <row r="1208" spans="1:26" x14ac:dyDescent="0.25">
      <c r="A1208" s="15" t="str">
        <f>IF(C1208="","",COUNTA($C$3:C1208))</f>
        <v/>
      </c>
      <c r="B1208" s="15" t="str">
        <f t="shared" si="207"/>
        <v/>
      </c>
      <c r="M1208" s="9"/>
      <c r="N1208" s="9"/>
      <c r="P1208" s="14"/>
      <c r="Q1208" s="85"/>
      <c r="R1208" s="89"/>
      <c r="U1208" s="11" t="str">
        <f t="shared" si="205"/>
        <v/>
      </c>
      <c r="V1208" s="12" t="str">
        <f t="shared" si="206"/>
        <v/>
      </c>
      <c r="Z1208" s="15"/>
    </row>
    <row r="1209" spans="1:26" x14ac:dyDescent="0.25">
      <c r="A1209" s="15" t="str">
        <f>IF(C1209="","",COUNTA($C$3:C1209))</f>
        <v/>
      </c>
      <c r="B1209" s="15" t="str">
        <f t="shared" si="207"/>
        <v/>
      </c>
      <c r="M1209" s="9"/>
      <c r="N1209" s="9"/>
      <c r="P1209" s="14"/>
      <c r="Q1209" s="85"/>
      <c r="R1209" s="89"/>
      <c r="U1209" s="11" t="str">
        <f t="shared" si="205"/>
        <v/>
      </c>
      <c r="V1209" s="12" t="str">
        <f t="shared" si="206"/>
        <v/>
      </c>
      <c r="Z1209" s="15"/>
    </row>
    <row r="1210" spans="1:26" x14ac:dyDescent="0.25">
      <c r="A1210" s="15" t="str">
        <f>IF(C1210="","",COUNTA($C$3:C1210))</f>
        <v/>
      </c>
      <c r="B1210" s="15" t="str">
        <f t="shared" si="207"/>
        <v/>
      </c>
      <c r="M1210" s="9"/>
      <c r="N1210" s="9"/>
      <c r="P1210" s="14"/>
      <c r="Q1210" s="85"/>
      <c r="R1210" s="89"/>
      <c r="U1210" s="11" t="str">
        <f t="shared" si="205"/>
        <v/>
      </c>
      <c r="V1210" s="12" t="str">
        <f t="shared" si="206"/>
        <v/>
      </c>
      <c r="Z1210" s="15"/>
    </row>
    <row r="1211" spans="1:26" x14ac:dyDescent="0.25">
      <c r="A1211" s="15" t="str">
        <f>IF(C1211="","",COUNTA($C$3:C1211))</f>
        <v/>
      </c>
      <c r="B1211" s="15" t="str">
        <f t="shared" si="207"/>
        <v/>
      </c>
      <c r="M1211" s="9"/>
      <c r="N1211" s="9"/>
      <c r="P1211" s="14"/>
      <c r="Q1211" s="85"/>
      <c r="R1211" s="89"/>
      <c r="U1211" s="11" t="str">
        <f t="shared" si="205"/>
        <v/>
      </c>
      <c r="V1211" s="12" t="str">
        <f t="shared" si="206"/>
        <v/>
      </c>
      <c r="Z1211" s="15"/>
    </row>
    <row r="1212" spans="1:26" x14ac:dyDescent="0.25">
      <c r="A1212" s="15" t="str">
        <f>IF(C1212="","",COUNTA($C$3:C1212))</f>
        <v/>
      </c>
      <c r="B1212" s="15" t="str">
        <f t="shared" si="207"/>
        <v/>
      </c>
      <c r="M1212" s="9"/>
      <c r="N1212" s="9"/>
      <c r="P1212" s="14"/>
      <c r="Q1212" s="85"/>
      <c r="R1212" s="89"/>
      <c r="U1212" s="11" t="str">
        <f t="shared" si="205"/>
        <v/>
      </c>
      <c r="V1212" s="12" t="str">
        <f t="shared" si="206"/>
        <v/>
      </c>
      <c r="Z1212" s="15"/>
    </row>
    <row r="1213" spans="1:26" x14ac:dyDescent="0.25">
      <c r="A1213" s="15" t="str">
        <f>IF(C1213="","",COUNTA($C$3:C1213))</f>
        <v/>
      </c>
      <c r="B1213" s="15" t="str">
        <f t="shared" si="207"/>
        <v/>
      </c>
      <c r="M1213" s="9"/>
      <c r="N1213" s="9"/>
      <c r="P1213" s="14"/>
      <c r="Q1213" s="85"/>
      <c r="R1213" s="89"/>
      <c r="U1213" s="11" t="str">
        <f t="shared" si="205"/>
        <v/>
      </c>
      <c r="V1213" s="12" t="str">
        <f t="shared" si="206"/>
        <v/>
      </c>
      <c r="Z1213" s="15"/>
    </row>
    <row r="1214" spans="1:26" x14ac:dyDescent="0.25">
      <c r="A1214" s="15" t="str">
        <f>IF(C1214="","",COUNTA($C$3:C1214))</f>
        <v/>
      </c>
      <c r="B1214" s="15" t="str">
        <f t="shared" si="207"/>
        <v/>
      </c>
      <c r="M1214" s="9"/>
      <c r="N1214" s="9"/>
      <c r="P1214" s="14"/>
      <c r="Q1214" s="85"/>
      <c r="R1214" s="89"/>
      <c r="U1214" s="11" t="str">
        <f t="shared" si="205"/>
        <v/>
      </c>
      <c r="V1214" s="12" t="str">
        <f t="shared" si="206"/>
        <v/>
      </c>
      <c r="Z1214" s="15"/>
    </row>
    <row r="1215" spans="1:26" x14ac:dyDescent="0.25">
      <c r="A1215" s="15" t="str">
        <f>IF(C1215="","",COUNTA($C$3:C1215))</f>
        <v/>
      </c>
      <c r="B1215" s="15" t="str">
        <f t="shared" si="207"/>
        <v/>
      </c>
      <c r="M1215" s="9"/>
      <c r="N1215" s="9"/>
      <c r="P1215" s="14"/>
      <c r="Q1215" s="85"/>
      <c r="R1215" s="89"/>
      <c r="U1215" s="11" t="str">
        <f t="shared" si="205"/>
        <v/>
      </c>
      <c r="V1215" s="12" t="str">
        <f t="shared" si="206"/>
        <v/>
      </c>
      <c r="Z1215" s="15"/>
    </row>
    <row r="1216" spans="1:26" x14ac:dyDescent="0.25">
      <c r="A1216" s="15" t="str">
        <f>IF(C1216="","",COUNTA($C$3:C1216))</f>
        <v/>
      </c>
      <c r="B1216" s="15" t="str">
        <f t="shared" si="207"/>
        <v/>
      </c>
      <c r="M1216" s="9"/>
      <c r="N1216" s="9"/>
      <c r="P1216" s="14"/>
      <c r="Q1216" s="85"/>
      <c r="R1216" s="89"/>
      <c r="U1216" s="11" t="str">
        <f t="shared" si="205"/>
        <v/>
      </c>
      <c r="V1216" s="12" t="str">
        <f t="shared" si="206"/>
        <v/>
      </c>
      <c r="Z1216" s="15"/>
    </row>
    <row r="1217" spans="1:26" x14ac:dyDescent="0.25">
      <c r="A1217" s="15" t="str">
        <f>IF(C1217="","",COUNTA($C$3:C1217))</f>
        <v/>
      </c>
      <c r="B1217" s="15" t="str">
        <f t="shared" si="207"/>
        <v/>
      </c>
      <c r="M1217" s="9"/>
      <c r="N1217" s="9"/>
      <c r="P1217" s="14"/>
      <c r="Q1217" s="85"/>
      <c r="R1217" s="89"/>
      <c r="U1217" s="11" t="str">
        <f t="shared" si="205"/>
        <v/>
      </c>
      <c r="V1217" s="12" t="str">
        <f t="shared" si="206"/>
        <v/>
      </c>
      <c r="Z1217" s="15"/>
    </row>
    <row r="1218" spans="1:26" x14ac:dyDescent="0.25">
      <c r="A1218" s="15" t="str">
        <f>IF(C1218="","",COUNTA($C$3:C1218))</f>
        <v/>
      </c>
      <c r="B1218" s="15" t="str">
        <f t="shared" si="207"/>
        <v/>
      </c>
      <c r="M1218" s="9"/>
      <c r="N1218" s="9"/>
      <c r="P1218" s="14"/>
      <c r="Q1218" s="85"/>
      <c r="R1218" s="89"/>
      <c r="U1218" s="11" t="str">
        <f t="shared" ref="U1218:U1281" si="208">IF(S1218="","",(S1218-T1218))</f>
        <v/>
      </c>
      <c r="V1218" s="12" t="str">
        <f t="shared" ref="V1218:V1281" si="209">IF(U1218="","",(U1218/T1218))</f>
        <v/>
      </c>
      <c r="Z1218" s="15"/>
    </row>
    <row r="1219" spans="1:26" x14ac:dyDescent="0.25">
      <c r="A1219" s="15" t="str">
        <f>IF(C1219="","",COUNTA($C$3:C1219))</f>
        <v/>
      </c>
      <c r="B1219" s="15" t="str">
        <f t="shared" ref="B1219:B1282" si="210">IF(C1219="","",TEXT(C1219,"mmmm"))</f>
        <v/>
      </c>
      <c r="M1219" s="9"/>
      <c r="N1219" s="9"/>
      <c r="P1219" s="14"/>
      <c r="Q1219" s="85"/>
      <c r="R1219" s="89"/>
      <c r="U1219" s="11" t="str">
        <f t="shared" si="208"/>
        <v/>
      </c>
      <c r="V1219" s="12" t="str">
        <f t="shared" si="209"/>
        <v/>
      </c>
      <c r="Z1219" s="15"/>
    </row>
    <row r="1220" spans="1:26" x14ac:dyDescent="0.25">
      <c r="A1220" s="15" t="str">
        <f>IF(C1220="","",COUNTA($C$3:C1220))</f>
        <v/>
      </c>
      <c r="B1220" s="15" t="str">
        <f t="shared" si="210"/>
        <v/>
      </c>
      <c r="M1220" s="9"/>
      <c r="N1220" s="9"/>
      <c r="P1220" s="14"/>
      <c r="Q1220" s="85"/>
      <c r="R1220" s="89"/>
      <c r="U1220" s="11" t="str">
        <f t="shared" si="208"/>
        <v/>
      </c>
      <c r="V1220" s="12" t="str">
        <f t="shared" si="209"/>
        <v/>
      </c>
      <c r="Z1220" s="15"/>
    </row>
    <row r="1221" spans="1:26" x14ac:dyDescent="0.25">
      <c r="A1221" s="15" t="str">
        <f>IF(C1221="","",COUNTA($C$3:C1221))</f>
        <v/>
      </c>
      <c r="B1221" s="15" t="str">
        <f t="shared" si="210"/>
        <v/>
      </c>
      <c r="M1221" s="9"/>
      <c r="N1221" s="9"/>
      <c r="P1221" s="14"/>
      <c r="Q1221" s="85"/>
      <c r="R1221" s="89"/>
      <c r="U1221" s="11" t="str">
        <f t="shared" si="208"/>
        <v/>
      </c>
      <c r="V1221" s="12" t="str">
        <f t="shared" si="209"/>
        <v/>
      </c>
      <c r="Z1221" s="15"/>
    </row>
    <row r="1222" spans="1:26" x14ac:dyDescent="0.25">
      <c r="A1222" s="15" t="str">
        <f>IF(C1222="","",COUNTA($C$3:C1222))</f>
        <v/>
      </c>
      <c r="B1222" s="15" t="str">
        <f t="shared" si="210"/>
        <v/>
      </c>
      <c r="M1222" s="9"/>
      <c r="N1222" s="9"/>
      <c r="P1222" s="14"/>
      <c r="Q1222" s="85"/>
      <c r="R1222" s="89"/>
      <c r="U1222" s="11" t="str">
        <f t="shared" si="208"/>
        <v/>
      </c>
      <c r="V1222" s="12" t="str">
        <f t="shared" si="209"/>
        <v/>
      </c>
      <c r="Z1222" s="15"/>
    </row>
    <row r="1223" spans="1:26" x14ac:dyDescent="0.25">
      <c r="A1223" s="15" t="str">
        <f>IF(C1223="","",COUNTA($C$3:C1223))</f>
        <v/>
      </c>
      <c r="B1223" s="15" t="str">
        <f t="shared" si="210"/>
        <v/>
      </c>
      <c r="M1223" s="9"/>
      <c r="N1223" s="9"/>
      <c r="P1223" s="14"/>
      <c r="Q1223" s="85"/>
      <c r="R1223" s="89"/>
      <c r="U1223" s="11" t="str">
        <f t="shared" si="208"/>
        <v/>
      </c>
      <c r="V1223" s="12" t="str">
        <f t="shared" si="209"/>
        <v/>
      </c>
      <c r="Z1223" s="15"/>
    </row>
    <row r="1224" spans="1:26" x14ac:dyDescent="0.25">
      <c r="A1224" s="15" t="str">
        <f>IF(C1224="","",COUNTA($C$3:C1224))</f>
        <v/>
      </c>
      <c r="B1224" s="15" t="str">
        <f t="shared" si="210"/>
        <v/>
      </c>
      <c r="M1224" s="9"/>
      <c r="N1224" s="9"/>
      <c r="P1224" s="14"/>
      <c r="Q1224" s="85"/>
      <c r="R1224" s="89"/>
      <c r="U1224" s="11" t="str">
        <f t="shared" si="208"/>
        <v/>
      </c>
      <c r="V1224" s="12" t="str">
        <f t="shared" si="209"/>
        <v/>
      </c>
      <c r="Z1224" s="15"/>
    </row>
    <row r="1225" spans="1:26" x14ac:dyDescent="0.25">
      <c r="A1225" s="15" t="str">
        <f>IF(C1225="","",COUNTA($C$3:C1225))</f>
        <v/>
      </c>
      <c r="B1225" s="15" t="str">
        <f t="shared" si="210"/>
        <v/>
      </c>
      <c r="M1225" s="9"/>
      <c r="N1225" s="9"/>
      <c r="P1225" s="14"/>
      <c r="Q1225" s="85"/>
      <c r="R1225" s="89"/>
      <c r="U1225" s="11" t="str">
        <f t="shared" si="208"/>
        <v/>
      </c>
      <c r="V1225" s="12" t="str">
        <f t="shared" si="209"/>
        <v/>
      </c>
      <c r="Z1225" s="15"/>
    </row>
    <row r="1226" spans="1:26" x14ac:dyDescent="0.25">
      <c r="A1226" s="15" t="str">
        <f>IF(C1226="","",COUNTA($C$3:C1226))</f>
        <v/>
      </c>
      <c r="B1226" s="15" t="str">
        <f t="shared" si="210"/>
        <v/>
      </c>
      <c r="M1226" s="9"/>
      <c r="N1226" s="9"/>
      <c r="P1226" s="14"/>
      <c r="Q1226" s="85"/>
      <c r="R1226" s="89"/>
      <c r="U1226" s="11" t="str">
        <f t="shared" si="208"/>
        <v/>
      </c>
      <c r="V1226" s="12" t="str">
        <f t="shared" si="209"/>
        <v/>
      </c>
      <c r="Z1226" s="15"/>
    </row>
    <row r="1227" spans="1:26" x14ac:dyDescent="0.25">
      <c r="A1227" s="15" t="str">
        <f>IF(C1227="","",COUNTA($C$3:C1227))</f>
        <v/>
      </c>
      <c r="B1227" s="15" t="str">
        <f t="shared" si="210"/>
        <v/>
      </c>
      <c r="M1227" s="9"/>
      <c r="N1227" s="9"/>
      <c r="P1227" s="14"/>
      <c r="Q1227" s="85"/>
      <c r="R1227" s="89"/>
      <c r="U1227" s="11" t="str">
        <f t="shared" si="208"/>
        <v/>
      </c>
      <c r="V1227" s="12" t="str">
        <f t="shared" si="209"/>
        <v/>
      </c>
      <c r="Z1227" s="15"/>
    </row>
    <row r="1228" spans="1:26" x14ac:dyDescent="0.25">
      <c r="A1228" s="15" t="str">
        <f>IF(C1228="","",COUNTA($C$3:C1228))</f>
        <v/>
      </c>
      <c r="B1228" s="15" t="str">
        <f t="shared" si="210"/>
        <v/>
      </c>
      <c r="M1228" s="9"/>
      <c r="N1228" s="9"/>
      <c r="P1228" s="14"/>
      <c r="Q1228" s="85"/>
      <c r="R1228" s="89"/>
      <c r="U1228" s="11" t="str">
        <f t="shared" si="208"/>
        <v/>
      </c>
      <c r="V1228" s="12" t="str">
        <f t="shared" si="209"/>
        <v/>
      </c>
      <c r="Z1228" s="15"/>
    </row>
    <row r="1229" spans="1:26" x14ac:dyDescent="0.25">
      <c r="A1229" s="15" t="str">
        <f>IF(C1229="","",COUNTA($C$3:C1229))</f>
        <v/>
      </c>
      <c r="B1229" s="15" t="str">
        <f t="shared" si="210"/>
        <v/>
      </c>
      <c r="M1229" s="9"/>
      <c r="N1229" s="9"/>
      <c r="P1229" s="14"/>
      <c r="Q1229" s="85"/>
      <c r="R1229" s="89"/>
      <c r="U1229" s="11" t="str">
        <f t="shared" si="208"/>
        <v/>
      </c>
      <c r="V1229" s="12" t="str">
        <f t="shared" si="209"/>
        <v/>
      </c>
      <c r="Z1229" s="15"/>
    </row>
    <row r="1230" spans="1:26" x14ac:dyDescent="0.25">
      <c r="A1230" s="15" t="str">
        <f>IF(C1230="","",COUNTA($C$3:C1230))</f>
        <v/>
      </c>
      <c r="B1230" s="15" t="str">
        <f t="shared" si="210"/>
        <v/>
      </c>
      <c r="M1230" s="9"/>
      <c r="N1230" s="9"/>
      <c r="P1230" s="14"/>
      <c r="Q1230" s="85"/>
      <c r="R1230" s="89"/>
      <c r="U1230" s="11" t="str">
        <f t="shared" si="208"/>
        <v/>
      </c>
      <c r="V1230" s="12" t="str">
        <f t="shared" si="209"/>
        <v/>
      </c>
      <c r="Z1230" s="15"/>
    </row>
    <row r="1231" spans="1:26" x14ac:dyDescent="0.25">
      <c r="A1231" s="15" t="str">
        <f>IF(C1231="","",COUNTA($C$3:C1231))</f>
        <v/>
      </c>
      <c r="B1231" s="15" t="str">
        <f t="shared" si="210"/>
        <v/>
      </c>
      <c r="M1231" s="9"/>
      <c r="N1231" s="9"/>
      <c r="P1231" s="14"/>
      <c r="Q1231" s="85"/>
      <c r="R1231" s="89"/>
      <c r="U1231" s="11" t="str">
        <f t="shared" si="208"/>
        <v/>
      </c>
      <c r="V1231" s="12" t="str">
        <f t="shared" si="209"/>
        <v/>
      </c>
      <c r="Z1231" s="15"/>
    </row>
    <row r="1232" spans="1:26" x14ac:dyDescent="0.25">
      <c r="A1232" s="15" t="str">
        <f>IF(C1232="","",COUNTA($C$3:C1232))</f>
        <v/>
      </c>
      <c r="B1232" s="15" t="str">
        <f t="shared" si="210"/>
        <v/>
      </c>
      <c r="M1232" s="9"/>
      <c r="N1232" s="9"/>
      <c r="P1232" s="14"/>
      <c r="Q1232" s="85"/>
      <c r="R1232" s="89"/>
      <c r="U1232" s="11" t="str">
        <f t="shared" si="208"/>
        <v/>
      </c>
      <c r="V1232" s="12" t="str">
        <f t="shared" si="209"/>
        <v/>
      </c>
      <c r="Z1232" s="15"/>
    </row>
    <row r="1233" spans="1:26" x14ac:dyDescent="0.25">
      <c r="A1233" s="15" t="str">
        <f>IF(C1233="","",COUNTA($C$3:C1233))</f>
        <v/>
      </c>
      <c r="B1233" s="15" t="str">
        <f t="shared" si="210"/>
        <v/>
      </c>
      <c r="M1233" s="9"/>
      <c r="N1233" s="9"/>
      <c r="P1233" s="14"/>
      <c r="Q1233" s="85"/>
      <c r="R1233" s="89"/>
      <c r="U1233" s="11" t="str">
        <f t="shared" si="208"/>
        <v/>
      </c>
      <c r="V1233" s="12" t="str">
        <f t="shared" si="209"/>
        <v/>
      </c>
      <c r="Z1233" s="15"/>
    </row>
    <row r="1234" spans="1:26" x14ac:dyDescent="0.25">
      <c r="A1234" s="15" t="str">
        <f>IF(C1234="","",COUNTA($C$3:C1234))</f>
        <v/>
      </c>
      <c r="B1234" s="15" t="str">
        <f t="shared" si="210"/>
        <v/>
      </c>
      <c r="M1234" s="9"/>
      <c r="N1234" s="9"/>
      <c r="P1234" s="14"/>
      <c r="Q1234" s="85"/>
      <c r="R1234" s="89"/>
      <c r="U1234" s="11" t="str">
        <f t="shared" si="208"/>
        <v/>
      </c>
      <c r="V1234" s="12" t="str">
        <f t="shared" si="209"/>
        <v/>
      </c>
      <c r="Z1234" s="15"/>
    </row>
    <row r="1235" spans="1:26" x14ac:dyDescent="0.25">
      <c r="A1235" s="15" t="str">
        <f>IF(C1235="","",COUNTA($C$3:C1235))</f>
        <v/>
      </c>
      <c r="B1235" s="15" t="str">
        <f t="shared" si="210"/>
        <v/>
      </c>
      <c r="M1235" s="9"/>
      <c r="N1235" s="9"/>
      <c r="P1235" s="14"/>
      <c r="Q1235" s="85"/>
      <c r="R1235" s="89"/>
      <c r="U1235" s="11" t="str">
        <f t="shared" si="208"/>
        <v/>
      </c>
      <c r="V1235" s="12" t="str">
        <f t="shared" si="209"/>
        <v/>
      </c>
      <c r="Z1235" s="15"/>
    </row>
    <row r="1236" spans="1:26" x14ac:dyDescent="0.25">
      <c r="A1236" s="15" t="str">
        <f>IF(C1236="","",COUNTA($C$3:C1236))</f>
        <v/>
      </c>
      <c r="B1236" s="15" t="str">
        <f t="shared" si="210"/>
        <v/>
      </c>
      <c r="M1236" s="9"/>
      <c r="N1236" s="9"/>
      <c r="P1236" s="14"/>
      <c r="Q1236" s="85"/>
      <c r="R1236" s="89"/>
      <c r="U1236" s="11" t="str">
        <f t="shared" si="208"/>
        <v/>
      </c>
      <c r="V1236" s="12" t="str">
        <f t="shared" si="209"/>
        <v/>
      </c>
      <c r="Z1236" s="15"/>
    </row>
    <row r="1237" spans="1:26" x14ac:dyDescent="0.25">
      <c r="A1237" s="15" t="str">
        <f>IF(C1237="","",COUNTA($C$3:C1237))</f>
        <v/>
      </c>
      <c r="B1237" s="15" t="str">
        <f t="shared" si="210"/>
        <v/>
      </c>
      <c r="M1237" s="9"/>
      <c r="N1237" s="9"/>
      <c r="P1237" s="14"/>
      <c r="Q1237" s="85"/>
      <c r="R1237" s="89"/>
      <c r="U1237" s="11" t="str">
        <f t="shared" si="208"/>
        <v/>
      </c>
      <c r="V1237" s="12" t="str">
        <f t="shared" si="209"/>
        <v/>
      </c>
      <c r="Z1237" s="15"/>
    </row>
    <row r="1238" spans="1:26" x14ac:dyDescent="0.25">
      <c r="A1238" s="15" t="str">
        <f>IF(C1238="","",COUNTA($C$3:C1238))</f>
        <v/>
      </c>
      <c r="B1238" s="15" t="str">
        <f t="shared" si="210"/>
        <v/>
      </c>
      <c r="M1238" s="9"/>
      <c r="N1238" s="9"/>
      <c r="P1238" s="14"/>
      <c r="Q1238" s="85"/>
      <c r="R1238" s="89"/>
      <c r="U1238" s="11" t="str">
        <f t="shared" si="208"/>
        <v/>
      </c>
      <c r="V1238" s="12" t="str">
        <f t="shared" si="209"/>
        <v/>
      </c>
      <c r="Z1238" s="15"/>
    </row>
    <row r="1239" spans="1:26" x14ac:dyDescent="0.25">
      <c r="A1239" s="15" t="str">
        <f>IF(C1239="","",COUNTA($C$3:C1239))</f>
        <v/>
      </c>
      <c r="B1239" s="15" t="str">
        <f t="shared" si="210"/>
        <v/>
      </c>
      <c r="M1239" s="9"/>
      <c r="N1239" s="9"/>
      <c r="P1239" s="14"/>
      <c r="Q1239" s="85"/>
      <c r="R1239" s="89"/>
      <c r="U1239" s="11" t="str">
        <f t="shared" si="208"/>
        <v/>
      </c>
      <c r="V1239" s="12" t="str">
        <f t="shared" si="209"/>
        <v/>
      </c>
      <c r="Z1239" s="15"/>
    </row>
    <row r="1240" spans="1:26" x14ac:dyDescent="0.25">
      <c r="A1240" s="15" t="str">
        <f>IF(C1240="","",COUNTA($C$3:C1240))</f>
        <v/>
      </c>
      <c r="B1240" s="15" t="str">
        <f t="shared" si="210"/>
        <v/>
      </c>
      <c r="M1240" s="9"/>
      <c r="N1240" s="9"/>
      <c r="P1240" s="14"/>
      <c r="Q1240" s="85"/>
      <c r="R1240" s="89"/>
      <c r="U1240" s="11" t="str">
        <f t="shared" si="208"/>
        <v/>
      </c>
      <c r="V1240" s="12" t="str">
        <f t="shared" si="209"/>
        <v/>
      </c>
      <c r="Z1240" s="15"/>
    </row>
    <row r="1241" spans="1:26" x14ac:dyDescent="0.25">
      <c r="A1241" s="15" t="str">
        <f>IF(C1241="","",COUNTA($C$3:C1241))</f>
        <v/>
      </c>
      <c r="B1241" s="15" t="str">
        <f t="shared" si="210"/>
        <v/>
      </c>
      <c r="M1241" s="9"/>
      <c r="N1241" s="9"/>
      <c r="P1241" s="14"/>
      <c r="Q1241" s="85"/>
      <c r="R1241" s="89"/>
      <c r="U1241" s="11" t="str">
        <f t="shared" si="208"/>
        <v/>
      </c>
      <c r="V1241" s="12" t="str">
        <f t="shared" si="209"/>
        <v/>
      </c>
      <c r="Z1241" s="15"/>
    </row>
    <row r="1242" spans="1:26" x14ac:dyDescent="0.25">
      <c r="A1242" s="15" t="str">
        <f>IF(C1242="","",COUNTA($C$3:C1242))</f>
        <v/>
      </c>
      <c r="B1242" s="15" t="str">
        <f t="shared" si="210"/>
        <v/>
      </c>
      <c r="M1242" s="9"/>
      <c r="N1242" s="9"/>
      <c r="P1242" s="14"/>
      <c r="Q1242" s="85"/>
      <c r="R1242" s="89"/>
      <c r="U1242" s="11" t="str">
        <f t="shared" si="208"/>
        <v/>
      </c>
      <c r="V1242" s="12" t="str">
        <f t="shared" si="209"/>
        <v/>
      </c>
      <c r="Z1242" s="15"/>
    </row>
    <row r="1243" spans="1:26" x14ac:dyDescent="0.25">
      <c r="A1243" s="15" t="str">
        <f>IF(C1243="","",COUNTA($C$3:C1243))</f>
        <v/>
      </c>
      <c r="B1243" s="15" t="str">
        <f t="shared" si="210"/>
        <v/>
      </c>
      <c r="M1243" s="9"/>
      <c r="N1243" s="9"/>
      <c r="P1243" s="14"/>
      <c r="Q1243" s="85"/>
      <c r="R1243" s="89"/>
      <c r="U1243" s="11" t="str">
        <f t="shared" si="208"/>
        <v/>
      </c>
      <c r="V1243" s="12" t="str">
        <f t="shared" si="209"/>
        <v/>
      </c>
      <c r="Z1243" s="15"/>
    </row>
    <row r="1244" spans="1:26" x14ac:dyDescent="0.25">
      <c r="A1244" s="15" t="str">
        <f>IF(C1244="","",COUNTA($C$3:C1244))</f>
        <v/>
      </c>
      <c r="B1244" s="15" t="str">
        <f t="shared" si="210"/>
        <v/>
      </c>
      <c r="M1244" s="9"/>
      <c r="N1244" s="9"/>
      <c r="P1244" s="14"/>
      <c r="Q1244" s="85"/>
      <c r="R1244" s="89"/>
      <c r="U1244" s="11" t="str">
        <f t="shared" si="208"/>
        <v/>
      </c>
      <c r="V1244" s="12" t="str">
        <f t="shared" si="209"/>
        <v/>
      </c>
      <c r="Z1244" s="15"/>
    </row>
    <row r="1245" spans="1:26" x14ac:dyDescent="0.25">
      <c r="A1245" s="15" t="str">
        <f>IF(C1245="","",COUNTA($C$3:C1245))</f>
        <v/>
      </c>
      <c r="B1245" s="15" t="str">
        <f t="shared" si="210"/>
        <v/>
      </c>
      <c r="M1245" s="9"/>
      <c r="N1245" s="9"/>
      <c r="P1245" s="14"/>
      <c r="Q1245" s="85"/>
      <c r="R1245" s="89"/>
      <c r="U1245" s="11" t="str">
        <f t="shared" si="208"/>
        <v/>
      </c>
      <c r="V1245" s="12" t="str">
        <f t="shared" si="209"/>
        <v/>
      </c>
      <c r="Z1245" s="15"/>
    </row>
    <row r="1246" spans="1:26" x14ac:dyDescent="0.25">
      <c r="A1246" s="15" t="str">
        <f>IF(C1246="","",COUNTA($C$3:C1246))</f>
        <v/>
      </c>
      <c r="B1246" s="15" t="str">
        <f t="shared" si="210"/>
        <v/>
      </c>
      <c r="M1246" s="9"/>
      <c r="N1246" s="9"/>
      <c r="P1246" s="14"/>
      <c r="Q1246" s="85"/>
      <c r="R1246" s="89"/>
      <c r="U1246" s="11" t="str">
        <f t="shared" si="208"/>
        <v/>
      </c>
      <c r="V1246" s="12" t="str">
        <f t="shared" si="209"/>
        <v/>
      </c>
      <c r="Z1246" s="15"/>
    </row>
    <row r="1247" spans="1:26" x14ac:dyDescent="0.25">
      <c r="A1247" s="15" t="str">
        <f>IF(C1247="","",COUNTA($C$3:C1247))</f>
        <v/>
      </c>
      <c r="B1247" s="15" t="str">
        <f t="shared" si="210"/>
        <v/>
      </c>
      <c r="M1247" s="9"/>
      <c r="N1247" s="9"/>
      <c r="P1247" s="14"/>
      <c r="Q1247" s="85"/>
      <c r="R1247" s="89"/>
      <c r="U1247" s="11" t="str">
        <f t="shared" si="208"/>
        <v/>
      </c>
      <c r="V1247" s="12" t="str">
        <f t="shared" si="209"/>
        <v/>
      </c>
      <c r="Z1247" s="15"/>
    </row>
    <row r="1248" spans="1:26" x14ac:dyDescent="0.25">
      <c r="A1248" s="15" t="str">
        <f>IF(C1248="","",COUNTA($C$3:C1248))</f>
        <v/>
      </c>
      <c r="B1248" s="15" t="str">
        <f t="shared" si="210"/>
        <v/>
      </c>
      <c r="M1248" s="9"/>
      <c r="N1248" s="9"/>
      <c r="P1248" s="14"/>
      <c r="Q1248" s="85"/>
      <c r="R1248" s="89"/>
      <c r="U1248" s="11" t="str">
        <f t="shared" si="208"/>
        <v/>
      </c>
      <c r="V1248" s="12" t="str">
        <f t="shared" si="209"/>
        <v/>
      </c>
      <c r="Z1248" s="15"/>
    </row>
    <row r="1249" spans="1:26" x14ac:dyDescent="0.25">
      <c r="A1249" s="15" t="str">
        <f>IF(C1249="","",COUNTA($C$3:C1249))</f>
        <v/>
      </c>
      <c r="B1249" s="15" t="str">
        <f t="shared" si="210"/>
        <v/>
      </c>
      <c r="M1249" s="9"/>
      <c r="N1249" s="9"/>
      <c r="P1249" s="14"/>
      <c r="Q1249" s="85"/>
      <c r="R1249" s="89"/>
      <c r="U1249" s="11" t="str">
        <f t="shared" si="208"/>
        <v/>
      </c>
      <c r="V1249" s="12" t="str">
        <f t="shared" si="209"/>
        <v/>
      </c>
      <c r="Z1249" s="15"/>
    </row>
    <row r="1250" spans="1:26" x14ac:dyDescent="0.25">
      <c r="A1250" s="15" t="str">
        <f>IF(C1250="","",COUNTA($C$3:C1250))</f>
        <v/>
      </c>
      <c r="B1250" s="15" t="str">
        <f t="shared" si="210"/>
        <v/>
      </c>
      <c r="M1250" s="9"/>
      <c r="N1250" s="9"/>
      <c r="P1250" s="14"/>
      <c r="Q1250" s="85"/>
      <c r="R1250" s="89"/>
      <c r="U1250" s="11" t="str">
        <f t="shared" si="208"/>
        <v/>
      </c>
      <c r="V1250" s="12" t="str">
        <f t="shared" si="209"/>
        <v/>
      </c>
      <c r="Z1250" s="15"/>
    </row>
    <row r="1251" spans="1:26" x14ac:dyDescent="0.25">
      <c r="A1251" s="15" t="str">
        <f>IF(C1251="","",COUNTA($C$3:C1251))</f>
        <v/>
      </c>
      <c r="B1251" s="15" t="str">
        <f t="shared" si="210"/>
        <v/>
      </c>
      <c r="M1251" s="9"/>
      <c r="N1251" s="9"/>
      <c r="P1251" s="14"/>
      <c r="Q1251" s="85"/>
      <c r="R1251" s="89"/>
      <c r="U1251" s="11" t="str">
        <f t="shared" si="208"/>
        <v/>
      </c>
      <c r="V1251" s="12" t="str">
        <f t="shared" si="209"/>
        <v/>
      </c>
      <c r="Z1251" s="15"/>
    </row>
    <row r="1252" spans="1:26" x14ac:dyDescent="0.25">
      <c r="A1252" s="15" t="str">
        <f>IF(C1252="","",COUNTA($C$3:C1252))</f>
        <v/>
      </c>
      <c r="B1252" s="15" t="str">
        <f t="shared" si="210"/>
        <v/>
      </c>
      <c r="M1252" s="9"/>
      <c r="N1252" s="9"/>
      <c r="P1252" s="14"/>
      <c r="Q1252" s="85"/>
      <c r="R1252" s="89"/>
      <c r="U1252" s="11" t="str">
        <f t="shared" si="208"/>
        <v/>
      </c>
      <c r="V1252" s="12" t="str">
        <f t="shared" si="209"/>
        <v/>
      </c>
      <c r="Z1252" s="15"/>
    </row>
    <row r="1253" spans="1:26" x14ac:dyDescent="0.25">
      <c r="A1253" s="15" t="str">
        <f>IF(C1253="","",COUNTA($C$3:C1253))</f>
        <v/>
      </c>
      <c r="B1253" s="15" t="str">
        <f t="shared" si="210"/>
        <v/>
      </c>
      <c r="M1253" s="9"/>
      <c r="N1253" s="9"/>
      <c r="P1253" s="14"/>
      <c r="Q1253" s="85"/>
      <c r="R1253" s="89"/>
      <c r="U1253" s="11" t="str">
        <f t="shared" si="208"/>
        <v/>
      </c>
      <c r="V1253" s="12" t="str">
        <f t="shared" si="209"/>
        <v/>
      </c>
      <c r="Z1253" s="15"/>
    </row>
    <row r="1254" spans="1:26" x14ac:dyDescent="0.25">
      <c r="A1254" s="15" t="str">
        <f>IF(C1254="","",COUNTA($C$3:C1254))</f>
        <v/>
      </c>
      <c r="B1254" s="15" t="str">
        <f t="shared" si="210"/>
        <v/>
      </c>
      <c r="M1254" s="9"/>
      <c r="N1254" s="9"/>
      <c r="P1254" s="14"/>
      <c r="Q1254" s="85"/>
      <c r="R1254" s="89"/>
      <c r="U1254" s="11" t="str">
        <f t="shared" si="208"/>
        <v/>
      </c>
      <c r="V1254" s="12" t="str">
        <f t="shared" si="209"/>
        <v/>
      </c>
      <c r="Z1254" s="15"/>
    </row>
    <row r="1255" spans="1:26" x14ac:dyDescent="0.25">
      <c r="A1255" s="15" t="str">
        <f>IF(C1255="","",COUNTA($C$3:C1255))</f>
        <v/>
      </c>
      <c r="B1255" s="15" t="str">
        <f t="shared" si="210"/>
        <v/>
      </c>
      <c r="M1255" s="9"/>
      <c r="N1255" s="9"/>
      <c r="P1255" s="14"/>
      <c r="Q1255" s="85"/>
      <c r="R1255" s="89"/>
      <c r="U1255" s="11" t="str">
        <f t="shared" si="208"/>
        <v/>
      </c>
      <c r="V1255" s="12" t="str">
        <f t="shared" si="209"/>
        <v/>
      </c>
      <c r="Z1255" s="15"/>
    </row>
    <row r="1256" spans="1:26" x14ac:dyDescent="0.25">
      <c r="A1256" s="15" t="str">
        <f>IF(C1256="","",COUNTA($C$3:C1256))</f>
        <v/>
      </c>
      <c r="B1256" s="15" t="str">
        <f t="shared" si="210"/>
        <v/>
      </c>
      <c r="M1256" s="9"/>
      <c r="N1256" s="9"/>
      <c r="P1256" s="14"/>
      <c r="Q1256" s="85"/>
      <c r="R1256" s="89"/>
      <c r="U1256" s="11" t="str">
        <f t="shared" si="208"/>
        <v/>
      </c>
      <c r="V1256" s="12" t="str">
        <f t="shared" si="209"/>
        <v/>
      </c>
      <c r="Z1256" s="15"/>
    </row>
    <row r="1257" spans="1:26" x14ac:dyDescent="0.25">
      <c r="A1257" s="15" t="str">
        <f>IF(C1257="","",COUNTA($C$3:C1257))</f>
        <v/>
      </c>
      <c r="B1257" s="15" t="str">
        <f t="shared" si="210"/>
        <v/>
      </c>
      <c r="M1257" s="9"/>
      <c r="N1257" s="9"/>
      <c r="P1257" s="14"/>
      <c r="Q1257" s="85"/>
      <c r="R1257" s="89"/>
      <c r="U1257" s="11" t="str">
        <f t="shared" si="208"/>
        <v/>
      </c>
      <c r="V1257" s="12" t="str">
        <f t="shared" si="209"/>
        <v/>
      </c>
      <c r="Z1257" s="15"/>
    </row>
    <row r="1258" spans="1:26" x14ac:dyDescent="0.25">
      <c r="A1258" s="15" t="str">
        <f>IF(C1258="","",COUNTA($C$3:C1258))</f>
        <v/>
      </c>
      <c r="B1258" s="15" t="str">
        <f t="shared" si="210"/>
        <v/>
      </c>
      <c r="M1258" s="9"/>
      <c r="N1258" s="9"/>
      <c r="P1258" s="14"/>
      <c r="Q1258" s="85"/>
      <c r="R1258" s="89"/>
      <c r="U1258" s="11" t="str">
        <f t="shared" si="208"/>
        <v/>
      </c>
      <c r="V1258" s="12" t="str">
        <f t="shared" si="209"/>
        <v/>
      </c>
      <c r="Z1258" s="15"/>
    </row>
    <row r="1259" spans="1:26" x14ac:dyDescent="0.25">
      <c r="A1259" s="15" t="str">
        <f>IF(C1259="","",COUNTA($C$3:C1259))</f>
        <v/>
      </c>
      <c r="B1259" s="15" t="str">
        <f t="shared" si="210"/>
        <v/>
      </c>
      <c r="M1259" s="9"/>
      <c r="N1259" s="9"/>
      <c r="P1259" s="14"/>
      <c r="Q1259" s="85"/>
      <c r="R1259" s="89"/>
      <c r="U1259" s="11" t="str">
        <f t="shared" si="208"/>
        <v/>
      </c>
      <c r="V1259" s="12" t="str">
        <f t="shared" si="209"/>
        <v/>
      </c>
      <c r="Z1259" s="15"/>
    </row>
    <row r="1260" spans="1:26" x14ac:dyDescent="0.25">
      <c r="A1260" s="15" t="str">
        <f>IF(C1260="","",COUNTA($C$3:C1260))</f>
        <v/>
      </c>
      <c r="B1260" s="15" t="str">
        <f t="shared" si="210"/>
        <v/>
      </c>
      <c r="M1260" s="9"/>
      <c r="N1260" s="9"/>
      <c r="P1260" s="14"/>
      <c r="Q1260" s="85"/>
      <c r="R1260" s="89"/>
      <c r="U1260" s="11" t="str">
        <f t="shared" si="208"/>
        <v/>
      </c>
      <c r="V1260" s="12" t="str">
        <f t="shared" si="209"/>
        <v/>
      </c>
      <c r="Z1260" s="15"/>
    </row>
    <row r="1261" spans="1:26" x14ac:dyDescent="0.25">
      <c r="A1261" s="15" t="str">
        <f>IF(C1261="","",COUNTA($C$3:C1261))</f>
        <v/>
      </c>
      <c r="B1261" s="15" t="str">
        <f t="shared" si="210"/>
        <v/>
      </c>
      <c r="M1261" s="9"/>
      <c r="N1261" s="9"/>
      <c r="P1261" s="14"/>
      <c r="Q1261" s="85"/>
      <c r="R1261" s="89"/>
      <c r="U1261" s="11" t="str">
        <f t="shared" si="208"/>
        <v/>
      </c>
      <c r="V1261" s="12" t="str">
        <f t="shared" si="209"/>
        <v/>
      </c>
      <c r="Z1261" s="15"/>
    </row>
    <row r="1262" spans="1:26" x14ac:dyDescent="0.25">
      <c r="A1262" s="15" t="str">
        <f>IF(C1262="","",COUNTA($C$3:C1262))</f>
        <v/>
      </c>
      <c r="B1262" s="15" t="str">
        <f t="shared" si="210"/>
        <v/>
      </c>
      <c r="M1262" s="9"/>
      <c r="N1262" s="9"/>
      <c r="P1262" s="14"/>
      <c r="Q1262" s="85"/>
      <c r="R1262" s="89"/>
      <c r="U1262" s="11" t="str">
        <f t="shared" si="208"/>
        <v/>
      </c>
      <c r="V1262" s="12" t="str">
        <f t="shared" si="209"/>
        <v/>
      </c>
      <c r="Z1262" s="15"/>
    </row>
    <row r="1263" spans="1:26" x14ac:dyDescent="0.25">
      <c r="A1263" s="15" t="str">
        <f>IF(C1263="","",COUNTA($C$3:C1263))</f>
        <v/>
      </c>
      <c r="B1263" s="15" t="str">
        <f t="shared" si="210"/>
        <v/>
      </c>
      <c r="M1263" s="9"/>
      <c r="N1263" s="9"/>
      <c r="P1263" s="14"/>
      <c r="Q1263" s="85"/>
      <c r="R1263" s="89"/>
      <c r="U1263" s="11" t="str">
        <f t="shared" si="208"/>
        <v/>
      </c>
      <c r="V1263" s="12" t="str">
        <f t="shared" si="209"/>
        <v/>
      </c>
      <c r="Z1263" s="15"/>
    </row>
    <row r="1264" spans="1:26" x14ac:dyDescent="0.25">
      <c r="A1264" s="15" t="str">
        <f>IF(C1264="","",COUNTA($C$3:C1264))</f>
        <v/>
      </c>
      <c r="B1264" s="15" t="str">
        <f t="shared" si="210"/>
        <v/>
      </c>
      <c r="M1264" s="9"/>
      <c r="N1264" s="9"/>
      <c r="P1264" s="14"/>
      <c r="Q1264" s="85"/>
      <c r="R1264" s="89"/>
      <c r="U1264" s="11" t="str">
        <f t="shared" si="208"/>
        <v/>
      </c>
      <c r="V1264" s="12" t="str">
        <f t="shared" si="209"/>
        <v/>
      </c>
      <c r="Z1264" s="15"/>
    </row>
    <row r="1265" spans="1:26" x14ac:dyDescent="0.25">
      <c r="A1265" s="15" t="str">
        <f>IF(C1265="","",COUNTA($C$3:C1265))</f>
        <v/>
      </c>
      <c r="B1265" s="15" t="str">
        <f t="shared" si="210"/>
        <v/>
      </c>
      <c r="M1265" s="9"/>
      <c r="N1265" s="9"/>
      <c r="P1265" s="14"/>
      <c r="Q1265" s="85"/>
      <c r="R1265" s="89"/>
      <c r="U1265" s="11" t="str">
        <f t="shared" si="208"/>
        <v/>
      </c>
      <c r="V1265" s="12" t="str">
        <f t="shared" si="209"/>
        <v/>
      </c>
      <c r="Z1265" s="15"/>
    </row>
    <row r="1266" spans="1:26" x14ac:dyDescent="0.25">
      <c r="A1266" s="15" t="str">
        <f>IF(C1266="","",COUNTA($C$3:C1266))</f>
        <v/>
      </c>
      <c r="B1266" s="15" t="str">
        <f t="shared" si="210"/>
        <v/>
      </c>
      <c r="M1266" s="9"/>
      <c r="N1266" s="9"/>
      <c r="P1266" s="14"/>
      <c r="Q1266" s="85"/>
      <c r="R1266" s="89"/>
      <c r="U1266" s="11" t="str">
        <f t="shared" si="208"/>
        <v/>
      </c>
      <c r="V1266" s="12" t="str">
        <f t="shared" si="209"/>
        <v/>
      </c>
      <c r="Z1266" s="15"/>
    </row>
    <row r="1267" spans="1:26" x14ac:dyDescent="0.25">
      <c r="A1267" s="15" t="str">
        <f>IF(C1267="","",COUNTA($C$3:C1267))</f>
        <v/>
      </c>
      <c r="B1267" s="15" t="str">
        <f t="shared" si="210"/>
        <v/>
      </c>
      <c r="M1267" s="9"/>
      <c r="N1267" s="9"/>
      <c r="P1267" s="14"/>
      <c r="Q1267" s="85"/>
      <c r="R1267" s="89"/>
      <c r="U1267" s="11" t="str">
        <f t="shared" si="208"/>
        <v/>
      </c>
      <c r="V1267" s="12" t="str">
        <f t="shared" si="209"/>
        <v/>
      </c>
      <c r="Z1267" s="15"/>
    </row>
    <row r="1268" spans="1:26" x14ac:dyDescent="0.25">
      <c r="A1268" s="15" t="str">
        <f>IF(C1268="","",COUNTA($C$3:C1268))</f>
        <v/>
      </c>
      <c r="B1268" s="15" t="str">
        <f t="shared" si="210"/>
        <v/>
      </c>
      <c r="M1268" s="9"/>
      <c r="N1268" s="9"/>
      <c r="P1268" s="14"/>
      <c r="Q1268" s="85"/>
      <c r="R1268" s="89"/>
      <c r="U1268" s="11" t="str">
        <f t="shared" si="208"/>
        <v/>
      </c>
      <c r="V1268" s="12" t="str">
        <f t="shared" si="209"/>
        <v/>
      </c>
      <c r="Z1268" s="15"/>
    </row>
    <row r="1269" spans="1:26" x14ac:dyDescent="0.25">
      <c r="A1269" s="15" t="str">
        <f>IF(C1269="","",COUNTA($C$3:C1269))</f>
        <v/>
      </c>
      <c r="B1269" s="15" t="str">
        <f t="shared" si="210"/>
        <v/>
      </c>
      <c r="M1269" s="9"/>
      <c r="N1269" s="9"/>
      <c r="P1269" s="14"/>
      <c r="Q1269" s="85"/>
      <c r="R1269" s="89"/>
      <c r="U1269" s="11" t="str">
        <f t="shared" si="208"/>
        <v/>
      </c>
      <c r="V1269" s="12" t="str">
        <f t="shared" si="209"/>
        <v/>
      </c>
      <c r="Z1269" s="15"/>
    </row>
    <row r="1270" spans="1:26" x14ac:dyDescent="0.25">
      <c r="A1270" s="15" t="str">
        <f>IF(C1270="","",COUNTA($C$3:C1270))</f>
        <v/>
      </c>
      <c r="B1270" s="15" t="str">
        <f t="shared" si="210"/>
        <v/>
      </c>
      <c r="M1270" s="9"/>
      <c r="N1270" s="9"/>
      <c r="P1270" s="14"/>
      <c r="Q1270" s="85"/>
      <c r="R1270" s="89"/>
      <c r="U1270" s="11" t="str">
        <f t="shared" si="208"/>
        <v/>
      </c>
      <c r="V1270" s="12" t="str">
        <f t="shared" si="209"/>
        <v/>
      </c>
      <c r="Z1270" s="15"/>
    </row>
    <row r="1271" spans="1:26" x14ac:dyDescent="0.25">
      <c r="A1271" s="15" t="str">
        <f>IF(C1271="","",COUNTA($C$3:C1271))</f>
        <v/>
      </c>
      <c r="B1271" s="15" t="str">
        <f t="shared" si="210"/>
        <v/>
      </c>
      <c r="M1271" s="9"/>
      <c r="N1271" s="9"/>
      <c r="P1271" s="14"/>
      <c r="Q1271" s="85"/>
      <c r="R1271" s="89"/>
      <c r="U1271" s="11" t="str">
        <f t="shared" si="208"/>
        <v/>
      </c>
      <c r="V1271" s="12" t="str">
        <f t="shared" si="209"/>
        <v/>
      </c>
      <c r="Z1271" s="15"/>
    </row>
    <row r="1272" spans="1:26" x14ac:dyDescent="0.25">
      <c r="A1272" s="15" t="str">
        <f>IF(C1272="","",COUNTA($C$3:C1272))</f>
        <v/>
      </c>
      <c r="B1272" s="15" t="str">
        <f t="shared" si="210"/>
        <v/>
      </c>
      <c r="M1272" s="9"/>
      <c r="N1272" s="9"/>
      <c r="P1272" s="14"/>
      <c r="Q1272" s="85"/>
      <c r="R1272" s="89"/>
      <c r="U1272" s="11" t="str">
        <f t="shared" si="208"/>
        <v/>
      </c>
      <c r="V1272" s="12" t="str">
        <f t="shared" si="209"/>
        <v/>
      </c>
      <c r="Z1272" s="15"/>
    </row>
    <row r="1273" spans="1:26" x14ac:dyDescent="0.25">
      <c r="A1273" s="15" t="str">
        <f>IF(C1273="","",COUNTA($C$3:C1273))</f>
        <v/>
      </c>
      <c r="B1273" s="15" t="str">
        <f t="shared" si="210"/>
        <v/>
      </c>
      <c r="M1273" s="9"/>
      <c r="N1273" s="9"/>
      <c r="P1273" s="14"/>
      <c r="Q1273" s="85"/>
      <c r="R1273" s="89"/>
      <c r="U1273" s="11" t="str">
        <f t="shared" si="208"/>
        <v/>
      </c>
      <c r="V1273" s="12" t="str">
        <f t="shared" si="209"/>
        <v/>
      </c>
      <c r="Z1273" s="15"/>
    </row>
    <row r="1274" spans="1:26" x14ac:dyDescent="0.25">
      <c r="A1274" s="15" t="str">
        <f>IF(C1274="","",COUNTA($C$3:C1274))</f>
        <v/>
      </c>
      <c r="B1274" s="15" t="str">
        <f t="shared" si="210"/>
        <v/>
      </c>
      <c r="M1274" s="9"/>
      <c r="N1274" s="9"/>
      <c r="P1274" s="14"/>
      <c r="Q1274" s="85"/>
      <c r="R1274" s="89"/>
      <c r="U1274" s="11" t="str">
        <f t="shared" si="208"/>
        <v/>
      </c>
      <c r="V1274" s="12" t="str">
        <f t="shared" si="209"/>
        <v/>
      </c>
      <c r="Z1274" s="15"/>
    </row>
    <row r="1275" spans="1:26" x14ac:dyDescent="0.25">
      <c r="A1275" s="15" t="str">
        <f>IF(C1275="","",COUNTA($C$3:C1275))</f>
        <v/>
      </c>
      <c r="B1275" s="15" t="str">
        <f t="shared" si="210"/>
        <v/>
      </c>
      <c r="M1275" s="9"/>
      <c r="N1275" s="9"/>
      <c r="P1275" s="14"/>
      <c r="Q1275" s="85"/>
      <c r="R1275" s="89"/>
      <c r="U1275" s="11" t="str">
        <f t="shared" si="208"/>
        <v/>
      </c>
      <c r="V1275" s="12" t="str">
        <f t="shared" si="209"/>
        <v/>
      </c>
      <c r="Z1275" s="15"/>
    </row>
    <row r="1276" spans="1:26" x14ac:dyDescent="0.25">
      <c r="A1276" s="15" t="str">
        <f>IF(C1276="","",COUNTA($C$3:C1276))</f>
        <v/>
      </c>
      <c r="B1276" s="15" t="str">
        <f t="shared" si="210"/>
        <v/>
      </c>
      <c r="M1276" s="9"/>
      <c r="N1276" s="9"/>
      <c r="P1276" s="14"/>
      <c r="Q1276" s="85"/>
      <c r="R1276" s="89"/>
      <c r="U1276" s="11" t="str">
        <f t="shared" si="208"/>
        <v/>
      </c>
      <c r="V1276" s="12" t="str">
        <f t="shared" si="209"/>
        <v/>
      </c>
      <c r="Z1276" s="15"/>
    </row>
    <row r="1277" spans="1:26" x14ac:dyDescent="0.25">
      <c r="A1277" s="15" t="str">
        <f>IF(C1277="","",COUNTA($C$3:C1277))</f>
        <v/>
      </c>
      <c r="B1277" s="15" t="str">
        <f t="shared" si="210"/>
        <v/>
      </c>
      <c r="M1277" s="9"/>
      <c r="N1277" s="9"/>
      <c r="P1277" s="14"/>
      <c r="Q1277" s="85"/>
      <c r="R1277" s="89"/>
      <c r="U1277" s="11" t="str">
        <f t="shared" si="208"/>
        <v/>
      </c>
      <c r="V1277" s="12" t="str">
        <f t="shared" si="209"/>
        <v/>
      </c>
      <c r="Z1277" s="15"/>
    </row>
    <row r="1278" spans="1:26" x14ac:dyDescent="0.25">
      <c r="A1278" s="15" t="str">
        <f>IF(C1278="","",COUNTA($C$3:C1278))</f>
        <v/>
      </c>
      <c r="B1278" s="15" t="str">
        <f t="shared" si="210"/>
        <v/>
      </c>
      <c r="M1278" s="9"/>
      <c r="N1278" s="9"/>
      <c r="P1278" s="14"/>
      <c r="Q1278" s="85"/>
      <c r="R1278" s="89"/>
      <c r="U1278" s="11" t="str">
        <f t="shared" si="208"/>
        <v/>
      </c>
      <c r="V1278" s="12" t="str">
        <f t="shared" si="209"/>
        <v/>
      </c>
      <c r="Z1278" s="15"/>
    </row>
    <row r="1279" spans="1:26" x14ac:dyDescent="0.25">
      <c r="A1279" s="15" t="str">
        <f>IF(C1279="","",COUNTA($C$3:C1279))</f>
        <v/>
      </c>
      <c r="B1279" s="15" t="str">
        <f t="shared" si="210"/>
        <v/>
      </c>
      <c r="M1279" s="9"/>
      <c r="N1279" s="9"/>
      <c r="P1279" s="14"/>
      <c r="Q1279" s="85"/>
      <c r="R1279" s="89"/>
      <c r="U1279" s="11" t="str">
        <f t="shared" si="208"/>
        <v/>
      </c>
      <c r="V1279" s="12" t="str">
        <f t="shared" si="209"/>
        <v/>
      </c>
      <c r="Z1279" s="15"/>
    </row>
    <row r="1280" spans="1:26" x14ac:dyDescent="0.25">
      <c r="A1280" s="15" t="str">
        <f>IF(C1280="","",COUNTA($C$3:C1280))</f>
        <v/>
      </c>
      <c r="B1280" s="15" t="str">
        <f t="shared" si="210"/>
        <v/>
      </c>
      <c r="M1280" s="9"/>
      <c r="N1280" s="9"/>
      <c r="P1280" s="14"/>
      <c r="Q1280" s="85"/>
      <c r="R1280" s="89"/>
      <c r="U1280" s="11" t="str">
        <f t="shared" si="208"/>
        <v/>
      </c>
      <c r="V1280" s="12" t="str">
        <f t="shared" si="209"/>
        <v/>
      </c>
      <c r="Z1280" s="15"/>
    </row>
    <row r="1281" spans="1:26" x14ac:dyDescent="0.25">
      <c r="A1281" s="15" t="str">
        <f>IF(C1281="","",COUNTA($C$3:C1281))</f>
        <v/>
      </c>
      <c r="B1281" s="15" t="str">
        <f t="shared" si="210"/>
        <v/>
      </c>
      <c r="M1281" s="9"/>
      <c r="N1281" s="9"/>
      <c r="P1281" s="14"/>
      <c r="Q1281" s="85"/>
      <c r="R1281" s="89"/>
      <c r="U1281" s="11" t="str">
        <f t="shared" si="208"/>
        <v/>
      </c>
      <c r="V1281" s="12" t="str">
        <f t="shared" si="209"/>
        <v/>
      </c>
      <c r="Z1281" s="15"/>
    </row>
    <row r="1282" spans="1:26" x14ac:dyDescent="0.25">
      <c r="A1282" s="15" t="str">
        <f>IF(C1282="","",COUNTA($C$3:C1282))</f>
        <v/>
      </c>
      <c r="B1282" s="15" t="str">
        <f t="shared" si="210"/>
        <v/>
      </c>
      <c r="M1282" s="9"/>
      <c r="N1282" s="9"/>
      <c r="P1282" s="14"/>
      <c r="Q1282" s="85"/>
      <c r="R1282" s="89"/>
      <c r="U1282" s="11" t="str">
        <f t="shared" ref="U1282:U1345" si="211">IF(S1282="","",(S1282-T1282))</f>
        <v/>
      </c>
      <c r="V1282" s="12" t="str">
        <f t="shared" ref="V1282:V1345" si="212">IF(U1282="","",(U1282/T1282))</f>
        <v/>
      </c>
      <c r="Z1282" s="15"/>
    </row>
    <row r="1283" spans="1:26" x14ac:dyDescent="0.25">
      <c r="A1283" s="15" t="str">
        <f>IF(C1283="","",COUNTA($C$3:C1283))</f>
        <v/>
      </c>
      <c r="B1283" s="15" t="str">
        <f t="shared" ref="B1283:B1346" si="213">IF(C1283="","",TEXT(C1283,"mmmm"))</f>
        <v/>
      </c>
      <c r="M1283" s="9"/>
      <c r="N1283" s="9"/>
      <c r="P1283" s="14"/>
      <c r="Q1283" s="85"/>
      <c r="R1283" s="89"/>
      <c r="U1283" s="11" t="str">
        <f t="shared" si="211"/>
        <v/>
      </c>
      <c r="V1283" s="12" t="str">
        <f t="shared" si="212"/>
        <v/>
      </c>
      <c r="Z1283" s="15"/>
    </row>
    <row r="1284" spans="1:26" x14ac:dyDescent="0.25">
      <c r="A1284" s="15" t="str">
        <f>IF(C1284="","",COUNTA($C$3:C1284))</f>
        <v/>
      </c>
      <c r="B1284" s="15" t="str">
        <f t="shared" si="213"/>
        <v/>
      </c>
      <c r="M1284" s="9"/>
      <c r="N1284" s="9"/>
      <c r="P1284" s="14"/>
      <c r="Q1284" s="85"/>
      <c r="R1284" s="89"/>
      <c r="U1284" s="11" t="str">
        <f t="shared" si="211"/>
        <v/>
      </c>
      <c r="V1284" s="12" t="str">
        <f t="shared" si="212"/>
        <v/>
      </c>
      <c r="Z1284" s="15"/>
    </row>
    <row r="1285" spans="1:26" x14ac:dyDescent="0.25">
      <c r="A1285" s="15" t="str">
        <f>IF(C1285="","",COUNTA($C$3:C1285))</f>
        <v/>
      </c>
      <c r="B1285" s="15" t="str">
        <f t="shared" si="213"/>
        <v/>
      </c>
      <c r="M1285" s="9"/>
      <c r="N1285" s="9"/>
      <c r="P1285" s="14"/>
      <c r="Q1285" s="85"/>
      <c r="R1285" s="89"/>
      <c r="U1285" s="11" t="str">
        <f t="shared" si="211"/>
        <v/>
      </c>
      <c r="V1285" s="12" t="str">
        <f t="shared" si="212"/>
        <v/>
      </c>
      <c r="Z1285" s="15"/>
    </row>
    <row r="1286" spans="1:26" x14ac:dyDescent="0.25">
      <c r="A1286" s="15" t="str">
        <f>IF(C1286="","",COUNTA($C$3:C1286))</f>
        <v/>
      </c>
      <c r="B1286" s="15" t="str">
        <f t="shared" si="213"/>
        <v/>
      </c>
      <c r="M1286" s="9"/>
      <c r="N1286" s="9"/>
      <c r="P1286" s="14"/>
      <c r="Q1286" s="85"/>
      <c r="R1286" s="89"/>
      <c r="U1286" s="11" t="str">
        <f t="shared" si="211"/>
        <v/>
      </c>
      <c r="V1286" s="12" t="str">
        <f t="shared" si="212"/>
        <v/>
      </c>
      <c r="Z1286" s="15"/>
    </row>
    <row r="1287" spans="1:26" x14ac:dyDescent="0.25">
      <c r="A1287" s="15" t="str">
        <f>IF(C1287="","",COUNTA($C$3:C1287))</f>
        <v/>
      </c>
      <c r="B1287" s="15" t="str">
        <f t="shared" si="213"/>
        <v/>
      </c>
      <c r="M1287" s="9"/>
      <c r="N1287" s="9"/>
      <c r="P1287" s="14"/>
      <c r="Q1287" s="85"/>
      <c r="R1287" s="89"/>
      <c r="U1287" s="11" t="str">
        <f t="shared" si="211"/>
        <v/>
      </c>
      <c r="V1287" s="12" t="str">
        <f t="shared" si="212"/>
        <v/>
      </c>
      <c r="Z1287" s="15"/>
    </row>
    <row r="1288" spans="1:26" x14ac:dyDescent="0.25">
      <c r="A1288" s="15" t="str">
        <f>IF(C1288="","",COUNTA($C$3:C1288))</f>
        <v/>
      </c>
      <c r="B1288" s="15" t="str">
        <f t="shared" si="213"/>
        <v/>
      </c>
      <c r="M1288" s="9"/>
      <c r="N1288" s="9"/>
      <c r="P1288" s="14"/>
      <c r="Q1288" s="85"/>
      <c r="R1288" s="89"/>
      <c r="U1288" s="11" t="str">
        <f t="shared" si="211"/>
        <v/>
      </c>
      <c r="V1288" s="12" t="str">
        <f t="shared" si="212"/>
        <v/>
      </c>
      <c r="Z1288" s="15"/>
    </row>
    <row r="1289" spans="1:26" x14ac:dyDescent="0.25">
      <c r="A1289" s="15" t="str">
        <f>IF(C1289="","",COUNTA($C$3:C1289))</f>
        <v/>
      </c>
      <c r="B1289" s="15" t="str">
        <f t="shared" si="213"/>
        <v/>
      </c>
      <c r="M1289" s="9"/>
      <c r="N1289" s="9"/>
      <c r="P1289" s="14"/>
      <c r="Q1289" s="85"/>
      <c r="R1289" s="89"/>
      <c r="U1289" s="11" t="str">
        <f t="shared" si="211"/>
        <v/>
      </c>
      <c r="V1289" s="12" t="str">
        <f t="shared" si="212"/>
        <v/>
      </c>
      <c r="Z1289" s="15"/>
    </row>
    <row r="1290" spans="1:26" x14ac:dyDescent="0.25">
      <c r="A1290" s="15" t="str">
        <f>IF(C1290="","",COUNTA($C$3:C1290))</f>
        <v/>
      </c>
      <c r="B1290" s="15" t="str">
        <f t="shared" si="213"/>
        <v/>
      </c>
      <c r="M1290" s="9"/>
      <c r="N1290" s="9"/>
      <c r="P1290" s="14"/>
      <c r="Q1290" s="85"/>
      <c r="R1290" s="89"/>
      <c r="U1290" s="11" t="str">
        <f t="shared" si="211"/>
        <v/>
      </c>
      <c r="V1290" s="12" t="str">
        <f t="shared" si="212"/>
        <v/>
      </c>
      <c r="Z1290" s="15"/>
    </row>
    <row r="1291" spans="1:26" x14ac:dyDescent="0.25">
      <c r="A1291" s="15" t="str">
        <f>IF(C1291="","",COUNTA($C$3:C1291))</f>
        <v/>
      </c>
      <c r="B1291" s="15" t="str">
        <f t="shared" si="213"/>
        <v/>
      </c>
      <c r="M1291" s="9"/>
      <c r="N1291" s="9"/>
      <c r="P1291" s="14"/>
      <c r="Q1291" s="85"/>
      <c r="R1291" s="89"/>
      <c r="U1291" s="11" t="str">
        <f t="shared" si="211"/>
        <v/>
      </c>
      <c r="V1291" s="12" t="str">
        <f t="shared" si="212"/>
        <v/>
      </c>
      <c r="Z1291" s="15"/>
    </row>
    <row r="1292" spans="1:26" x14ac:dyDescent="0.25">
      <c r="A1292" s="15" t="str">
        <f>IF(C1292="","",COUNTA($C$3:C1292))</f>
        <v/>
      </c>
      <c r="B1292" s="15" t="str">
        <f t="shared" si="213"/>
        <v/>
      </c>
      <c r="M1292" s="9"/>
      <c r="N1292" s="9"/>
      <c r="P1292" s="14"/>
      <c r="Q1292" s="85"/>
      <c r="R1292" s="89"/>
      <c r="U1292" s="11" t="str">
        <f t="shared" si="211"/>
        <v/>
      </c>
      <c r="V1292" s="12" t="str">
        <f t="shared" si="212"/>
        <v/>
      </c>
      <c r="Z1292" s="15"/>
    </row>
    <row r="1293" spans="1:26" x14ac:dyDescent="0.25">
      <c r="A1293" s="15" t="str">
        <f>IF(C1293="","",COUNTA($C$3:C1293))</f>
        <v/>
      </c>
      <c r="B1293" s="15" t="str">
        <f t="shared" si="213"/>
        <v/>
      </c>
      <c r="M1293" s="9"/>
      <c r="N1293" s="9"/>
      <c r="P1293" s="14"/>
      <c r="Q1293" s="85"/>
      <c r="R1293" s="89"/>
      <c r="U1293" s="11" t="str">
        <f t="shared" si="211"/>
        <v/>
      </c>
      <c r="V1293" s="12" t="str">
        <f t="shared" si="212"/>
        <v/>
      </c>
      <c r="Z1293" s="15"/>
    </row>
    <row r="1294" spans="1:26" x14ac:dyDescent="0.25">
      <c r="A1294" s="15" t="str">
        <f>IF(C1294="","",COUNTA($C$3:C1294))</f>
        <v/>
      </c>
      <c r="B1294" s="15" t="str">
        <f t="shared" si="213"/>
        <v/>
      </c>
      <c r="M1294" s="9"/>
      <c r="N1294" s="9"/>
      <c r="P1294" s="14"/>
      <c r="Q1294" s="85"/>
      <c r="R1294" s="89"/>
      <c r="U1294" s="11" t="str">
        <f t="shared" si="211"/>
        <v/>
      </c>
      <c r="V1294" s="12" t="str">
        <f t="shared" si="212"/>
        <v/>
      </c>
      <c r="Z1294" s="15"/>
    </row>
    <row r="1295" spans="1:26" x14ac:dyDescent="0.25">
      <c r="A1295" s="15" t="str">
        <f>IF(C1295="","",COUNTA($C$3:C1295))</f>
        <v/>
      </c>
      <c r="B1295" s="15" t="str">
        <f t="shared" si="213"/>
        <v/>
      </c>
      <c r="M1295" s="9"/>
      <c r="N1295" s="9"/>
      <c r="P1295" s="14"/>
      <c r="Q1295" s="85"/>
      <c r="R1295" s="89"/>
      <c r="U1295" s="11" t="str">
        <f t="shared" si="211"/>
        <v/>
      </c>
      <c r="V1295" s="12" t="str">
        <f t="shared" si="212"/>
        <v/>
      </c>
      <c r="Z1295" s="15"/>
    </row>
    <row r="1296" spans="1:26" x14ac:dyDescent="0.25">
      <c r="A1296" s="15" t="str">
        <f>IF(C1296="","",COUNTA($C$3:C1296))</f>
        <v/>
      </c>
      <c r="B1296" s="15" t="str">
        <f t="shared" si="213"/>
        <v/>
      </c>
      <c r="M1296" s="9"/>
      <c r="N1296" s="9"/>
      <c r="P1296" s="14"/>
      <c r="Q1296" s="85"/>
      <c r="R1296" s="89"/>
      <c r="U1296" s="11" t="str">
        <f t="shared" si="211"/>
        <v/>
      </c>
      <c r="V1296" s="12" t="str">
        <f t="shared" si="212"/>
        <v/>
      </c>
      <c r="Z1296" s="15"/>
    </row>
    <row r="1297" spans="1:26" x14ac:dyDescent="0.25">
      <c r="A1297" s="15" t="str">
        <f>IF(C1297="","",COUNTA($C$3:C1297))</f>
        <v/>
      </c>
      <c r="B1297" s="15" t="str">
        <f t="shared" si="213"/>
        <v/>
      </c>
      <c r="M1297" s="9"/>
      <c r="N1297" s="9"/>
      <c r="P1297" s="14"/>
      <c r="Q1297" s="85"/>
      <c r="R1297" s="89"/>
      <c r="U1297" s="11" t="str">
        <f t="shared" si="211"/>
        <v/>
      </c>
      <c r="V1297" s="12" t="str">
        <f t="shared" si="212"/>
        <v/>
      </c>
      <c r="Z1297" s="15"/>
    </row>
    <row r="1298" spans="1:26" x14ac:dyDescent="0.25">
      <c r="A1298" s="15" t="str">
        <f>IF(C1298="","",COUNTA($C$3:C1298))</f>
        <v/>
      </c>
      <c r="B1298" s="15" t="str">
        <f t="shared" si="213"/>
        <v/>
      </c>
      <c r="M1298" s="9"/>
      <c r="N1298" s="9"/>
      <c r="P1298" s="14"/>
      <c r="Q1298" s="85"/>
      <c r="R1298" s="89"/>
      <c r="U1298" s="11" t="str">
        <f t="shared" si="211"/>
        <v/>
      </c>
      <c r="V1298" s="12" t="str">
        <f t="shared" si="212"/>
        <v/>
      </c>
      <c r="Z1298" s="15"/>
    </row>
    <row r="1299" spans="1:26" x14ac:dyDescent="0.25">
      <c r="A1299" s="15" t="str">
        <f>IF(C1299="","",COUNTA($C$3:C1299))</f>
        <v/>
      </c>
      <c r="B1299" s="15" t="str">
        <f t="shared" si="213"/>
        <v/>
      </c>
      <c r="M1299" s="9"/>
      <c r="N1299" s="9"/>
      <c r="P1299" s="14"/>
      <c r="Q1299" s="85"/>
      <c r="R1299" s="89"/>
      <c r="U1299" s="11" t="str">
        <f t="shared" si="211"/>
        <v/>
      </c>
      <c r="V1299" s="12" t="str">
        <f t="shared" si="212"/>
        <v/>
      </c>
      <c r="Z1299" s="15"/>
    </row>
    <row r="1300" spans="1:26" x14ac:dyDescent="0.25">
      <c r="A1300" s="15" t="str">
        <f>IF(C1300="","",COUNTA($C$3:C1300))</f>
        <v/>
      </c>
      <c r="B1300" s="15" t="str">
        <f t="shared" si="213"/>
        <v/>
      </c>
      <c r="M1300" s="9"/>
      <c r="N1300" s="9"/>
      <c r="P1300" s="14"/>
      <c r="Q1300" s="85"/>
      <c r="R1300" s="89"/>
      <c r="U1300" s="11" t="str">
        <f t="shared" si="211"/>
        <v/>
      </c>
      <c r="V1300" s="12" t="str">
        <f t="shared" si="212"/>
        <v/>
      </c>
      <c r="Z1300" s="15"/>
    </row>
    <row r="1301" spans="1:26" x14ac:dyDescent="0.25">
      <c r="A1301" s="15" t="str">
        <f>IF(C1301="","",COUNTA($C$3:C1301))</f>
        <v/>
      </c>
      <c r="B1301" s="15" t="str">
        <f t="shared" si="213"/>
        <v/>
      </c>
      <c r="M1301" s="9"/>
      <c r="N1301" s="9"/>
      <c r="P1301" s="14"/>
      <c r="Q1301" s="85"/>
      <c r="R1301" s="89"/>
      <c r="U1301" s="11" t="str">
        <f t="shared" si="211"/>
        <v/>
      </c>
      <c r="V1301" s="12" t="str">
        <f t="shared" si="212"/>
        <v/>
      </c>
      <c r="Z1301" s="15"/>
    </row>
    <row r="1302" spans="1:26" x14ac:dyDescent="0.25">
      <c r="A1302" s="15" t="str">
        <f>IF(C1302="","",COUNTA($C$3:C1302))</f>
        <v/>
      </c>
      <c r="B1302" s="15" t="str">
        <f t="shared" si="213"/>
        <v/>
      </c>
      <c r="M1302" s="9"/>
      <c r="N1302" s="9"/>
      <c r="P1302" s="14"/>
      <c r="Q1302" s="85"/>
      <c r="R1302" s="89"/>
      <c r="U1302" s="11" t="str">
        <f t="shared" si="211"/>
        <v/>
      </c>
      <c r="V1302" s="12" t="str">
        <f t="shared" si="212"/>
        <v/>
      </c>
      <c r="Z1302" s="15"/>
    </row>
    <row r="1303" spans="1:26" x14ac:dyDescent="0.25">
      <c r="A1303" s="15" t="str">
        <f>IF(C1303="","",COUNTA($C$3:C1303))</f>
        <v/>
      </c>
      <c r="B1303" s="15" t="str">
        <f t="shared" si="213"/>
        <v/>
      </c>
      <c r="M1303" s="9"/>
      <c r="N1303" s="9"/>
      <c r="P1303" s="14"/>
      <c r="Q1303" s="85"/>
      <c r="R1303" s="89"/>
      <c r="U1303" s="11" t="str">
        <f t="shared" si="211"/>
        <v/>
      </c>
      <c r="V1303" s="12" t="str">
        <f t="shared" si="212"/>
        <v/>
      </c>
      <c r="Z1303" s="15"/>
    </row>
    <row r="1304" spans="1:26" x14ac:dyDescent="0.25">
      <c r="A1304" s="15" t="str">
        <f>IF(C1304="","",COUNTA($C$3:C1304))</f>
        <v/>
      </c>
      <c r="B1304" s="15" t="str">
        <f t="shared" si="213"/>
        <v/>
      </c>
      <c r="M1304" s="9"/>
      <c r="N1304" s="9"/>
      <c r="P1304" s="14"/>
      <c r="Q1304" s="85"/>
      <c r="R1304" s="89"/>
      <c r="U1304" s="11" t="str">
        <f t="shared" si="211"/>
        <v/>
      </c>
      <c r="V1304" s="12" t="str">
        <f t="shared" si="212"/>
        <v/>
      </c>
      <c r="Z1304" s="15"/>
    </row>
    <row r="1305" spans="1:26" x14ac:dyDescent="0.25">
      <c r="A1305" s="15" t="str">
        <f>IF(C1305="","",COUNTA($C$3:C1305))</f>
        <v/>
      </c>
      <c r="B1305" s="15" t="str">
        <f t="shared" si="213"/>
        <v/>
      </c>
      <c r="M1305" s="9"/>
      <c r="N1305" s="9"/>
      <c r="P1305" s="14"/>
      <c r="Q1305" s="85"/>
      <c r="R1305" s="89"/>
      <c r="U1305" s="11" t="str">
        <f t="shared" si="211"/>
        <v/>
      </c>
      <c r="V1305" s="12" t="str">
        <f t="shared" si="212"/>
        <v/>
      </c>
      <c r="Z1305" s="15"/>
    </row>
    <row r="1306" spans="1:26" x14ac:dyDescent="0.25">
      <c r="A1306" s="15" t="str">
        <f>IF(C1306="","",COUNTA($C$3:C1306))</f>
        <v/>
      </c>
      <c r="B1306" s="15" t="str">
        <f t="shared" si="213"/>
        <v/>
      </c>
      <c r="M1306" s="9"/>
      <c r="N1306" s="9"/>
      <c r="P1306" s="14"/>
      <c r="Q1306" s="85"/>
      <c r="R1306" s="89"/>
      <c r="U1306" s="11" t="str">
        <f t="shared" si="211"/>
        <v/>
      </c>
      <c r="V1306" s="12" t="str">
        <f t="shared" si="212"/>
        <v/>
      </c>
      <c r="Z1306" s="15"/>
    </row>
    <row r="1307" spans="1:26" x14ac:dyDescent="0.25">
      <c r="A1307" s="15" t="str">
        <f>IF(C1307="","",COUNTA($C$3:C1307))</f>
        <v/>
      </c>
      <c r="B1307" s="15" t="str">
        <f t="shared" si="213"/>
        <v/>
      </c>
      <c r="M1307" s="9"/>
      <c r="N1307" s="9"/>
      <c r="P1307" s="14"/>
      <c r="Q1307" s="85"/>
      <c r="R1307" s="89"/>
      <c r="U1307" s="11" t="str">
        <f t="shared" si="211"/>
        <v/>
      </c>
      <c r="V1307" s="12" t="str">
        <f t="shared" si="212"/>
        <v/>
      </c>
      <c r="Z1307" s="15"/>
    </row>
    <row r="1308" spans="1:26" x14ac:dyDescent="0.25">
      <c r="A1308" s="15" t="str">
        <f>IF(C1308="","",COUNTA($C$3:C1308))</f>
        <v/>
      </c>
      <c r="B1308" s="15" t="str">
        <f t="shared" si="213"/>
        <v/>
      </c>
      <c r="M1308" s="9"/>
      <c r="N1308" s="9"/>
      <c r="P1308" s="14"/>
      <c r="Q1308" s="85"/>
      <c r="R1308" s="89"/>
      <c r="U1308" s="11" t="str">
        <f t="shared" si="211"/>
        <v/>
      </c>
      <c r="V1308" s="12" t="str">
        <f t="shared" si="212"/>
        <v/>
      </c>
      <c r="Z1308" s="15"/>
    </row>
    <row r="1309" spans="1:26" x14ac:dyDescent="0.25">
      <c r="A1309" s="15" t="str">
        <f>IF(C1309="","",COUNTA($C$3:C1309))</f>
        <v/>
      </c>
      <c r="B1309" s="15" t="str">
        <f t="shared" si="213"/>
        <v/>
      </c>
      <c r="M1309" s="9"/>
      <c r="N1309" s="9"/>
      <c r="P1309" s="14"/>
      <c r="Q1309" s="85"/>
      <c r="R1309" s="89"/>
      <c r="U1309" s="11" t="str">
        <f t="shared" si="211"/>
        <v/>
      </c>
      <c r="V1309" s="12" t="str">
        <f t="shared" si="212"/>
        <v/>
      </c>
      <c r="Z1309" s="15"/>
    </row>
    <row r="1310" spans="1:26" x14ac:dyDescent="0.25">
      <c r="A1310" s="15" t="str">
        <f>IF(C1310="","",COUNTA($C$3:C1310))</f>
        <v/>
      </c>
      <c r="B1310" s="15" t="str">
        <f t="shared" si="213"/>
        <v/>
      </c>
      <c r="M1310" s="9"/>
      <c r="N1310" s="9"/>
      <c r="P1310" s="14"/>
      <c r="Q1310" s="85"/>
      <c r="R1310" s="89"/>
      <c r="U1310" s="11" t="str">
        <f t="shared" si="211"/>
        <v/>
      </c>
      <c r="V1310" s="12" t="str">
        <f t="shared" si="212"/>
        <v/>
      </c>
      <c r="Z1310" s="15"/>
    </row>
    <row r="1311" spans="1:26" x14ac:dyDescent="0.25">
      <c r="A1311" s="15" t="str">
        <f>IF(C1311="","",COUNTA($C$3:C1311))</f>
        <v/>
      </c>
      <c r="B1311" s="15" t="str">
        <f t="shared" si="213"/>
        <v/>
      </c>
      <c r="M1311" s="9"/>
      <c r="N1311" s="9"/>
      <c r="P1311" s="14"/>
      <c r="Q1311" s="85"/>
      <c r="R1311" s="89"/>
      <c r="U1311" s="11" t="str">
        <f t="shared" si="211"/>
        <v/>
      </c>
      <c r="V1311" s="12" t="str">
        <f t="shared" si="212"/>
        <v/>
      </c>
      <c r="Z1311" s="15"/>
    </row>
    <row r="1312" spans="1:26" x14ac:dyDescent="0.25">
      <c r="A1312" s="15" t="str">
        <f>IF(C1312="","",COUNTA($C$3:C1312))</f>
        <v/>
      </c>
      <c r="B1312" s="15" t="str">
        <f t="shared" si="213"/>
        <v/>
      </c>
      <c r="M1312" s="9"/>
      <c r="N1312" s="9"/>
      <c r="P1312" s="14"/>
      <c r="Q1312" s="85"/>
      <c r="R1312" s="89"/>
      <c r="U1312" s="11" t="str">
        <f t="shared" si="211"/>
        <v/>
      </c>
      <c r="V1312" s="12" t="str">
        <f t="shared" si="212"/>
        <v/>
      </c>
      <c r="Z1312" s="15"/>
    </row>
    <row r="1313" spans="1:26" x14ac:dyDescent="0.25">
      <c r="A1313" s="15" t="str">
        <f>IF(C1313="","",COUNTA($C$3:C1313))</f>
        <v/>
      </c>
      <c r="B1313" s="15" t="str">
        <f t="shared" si="213"/>
        <v/>
      </c>
      <c r="M1313" s="9"/>
      <c r="N1313" s="9"/>
      <c r="P1313" s="14"/>
      <c r="Q1313" s="85"/>
      <c r="R1313" s="89"/>
      <c r="U1313" s="11" t="str">
        <f t="shared" si="211"/>
        <v/>
      </c>
      <c r="V1313" s="12" t="str">
        <f t="shared" si="212"/>
        <v/>
      </c>
      <c r="Z1313" s="15"/>
    </row>
    <row r="1314" spans="1:26" x14ac:dyDescent="0.25">
      <c r="A1314" s="15" t="str">
        <f>IF(C1314="","",COUNTA($C$3:C1314))</f>
        <v/>
      </c>
      <c r="B1314" s="15" t="str">
        <f t="shared" si="213"/>
        <v/>
      </c>
      <c r="M1314" s="9"/>
      <c r="N1314" s="9"/>
      <c r="P1314" s="14"/>
      <c r="Q1314" s="85"/>
      <c r="R1314" s="89"/>
      <c r="U1314" s="11" t="str">
        <f t="shared" si="211"/>
        <v/>
      </c>
      <c r="V1314" s="12" t="str">
        <f t="shared" si="212"/>
        <v/>
      </c>
      <c r="Z1314" s="15"/>
    </row>
    <row r="1315" spans="1:26" x14ac:dyDescent="0.25">
      <c r="A1315" s="15" t="str">
        <f>IF(C1315="","",COUNTA($C$3:C1315))</f>
        <v/>
      </c>
      <c r="B1315" s="15" t="str">
        <f t="shared" si="213"/>
        <v/>
      </c>
      <c r="M1315" s="9"/>
      <c r="N1315" s="9"/>
      <c r="P1315" s="14"/>
      <c r="Q1315" s="85"/>
      <c r="R1315" s="89"/>
      <c r="U1315" s="11" t="str">
        <f t="shared" si="211"/>
        <v/>
      </c>
      <c r="V1315" s="12" t="str">
        <f t="shared" si="212"/>
        <v/>
      </c>
      <c r="Z1315" s="15"/>
    </row>
    <row r="1316" spans="1:26" x14ac:dyDescent="0.25">
      <c r="A1316" s="15" t="str">
        <f>IF(C1316="","",COUNTA($C$3:C1316))</f>
        <v/>
      </c>
      <c r="B1316" s="15" t="str">
        <f t="shared" si="213"/>
        <v/>
      </c>
      <c r="M1316" s="9"/>
      <c r="N1316" s="9"/>
      <c r="P1316" s="14"/>
      <c r="Q1316" s="85"/>
      <c r="R1316" s="89"/>
      <c r="U1316" s="11" t="str">
        <f t="shared" si="211"/>
        <v/>
      </c>
      <c r="V1316" s="12" t="str">
        <f t="shared" si="212"/>
        <v/>
      </c>
      <c r="Z1316" s="15"/>
    </row>
    <row r="1317" spans="1:26" x14ac:dyDescent="0.25">
      <c r="A1317" s="15" t="str">
        <f>IF(C1317="","",COUNTA($C$3:C1317))</f>
        <v/>
      </c>
      <c r="B1317" s="15" t="str">
        <f t="shared" si="213"/>
        <v/>
      </c>
      <c r="M1317" s="9"/>
      <c r="N1317" s="9"/>
      <c r="P1317" s="14"/>
      <c r="Q1317" s="85"/>
      <c r="R1317" s="89"/>
      <c r="U1317" s="11" t="str">
        <f t="shared" si="211"/>
        <v/>
      </c>
      <c r="V1317" s="12" t="str">
        <f t="shared" si="212"/>
        <v/>
      </c>
      <c r="Z1317" s="15"/>
    </row>
    <row r="1318" spans="1:26" x14ac:dyDescent="0.25">
      <c r="A1318" s="15" t="str">
        <f>IF(C1318="","",COUNTA($C$3:C1318))</f>
        <v/>
      </c>
      <c r="B1318" s="15" t="str">
        <f t="shared" si="213"/>
        <v/>
      </c>
      <c r="M1318" s="9"/>
      <c r="N1318" s="9"/>
      <c r="P1318" s="14"/>
      <c r="Q1318" s="85"/>
      <c r="R1318" s="89"/>
      <c r="U1318" s="11" t="str">
        <f t="shared" si="211"/>
        <v/>
      </c>
      <c r="V1318" s="12" t="str">
        <f t="shared" si="212"/>
        <v/>
      </c>
      <c r="Z1318" s="15"/>
    </row>
    <row r="1319" spans="1:26" x14ac:dyDescent="0.25">
      <c r="A1319" s="15" t="str">
        <f>IF(C1319="","",COUNTA($C$3:C1319))</f>
        <v/>
      </c>
      <c r="B1319" s="15" t="str">
        <f t="shared" si="213"/>
        <v/>
      </c>
      <c r="M1319" s="9"/>
      <c r="N1319" s="9"/>
      <c r="P1319" s="14"/>
      <c r="Q1319" s="85"/>
      <c r="R1319" s="89"/>
      <c r="U1319" s="11" t="str">
        <f t="shared" si="211"/>
        <v/>
      </c>
      <c r="V1319" s="12" t="str">
        <f t="shared" si="212"/>
        <v/>
      </c>
      <c r="Z1319" s="15"/>
    </row>
    <row r="1320" spans="1:26" x14ac:dyDescent="0.25">
      <c r="A1320" s="15" t="str">
        <f>IF(C1320="","",COUNTA($C$3:C1320))</f>
        <v/>
      </c>
      <c r="B1320" s="15" t="str">
        <f t="shared" si="213"/>
        <v/>
      </c>
      <c r="M1320" s="9"/>
      <c r="N1320" s="9"/>
      <c r="P1320" s="14"/>
      <c r="Q1320" s="85"/>
      <c r="R1320" s="89"/>
      <c r="U1320" s="11" t="str">
        <f t="shared" si="211"/>
        <v/>
      </c>
      <c r="V1320" s="12" t="str">
        <f t="shared" si="212"/>
        <v/>
      </c>
      <c r="Z1320" s="15"/>
    </row>
    <row r="1321" spans="1:26" x14ac:dyDescent="0.25">
      <c r="A1321" s="15" t="str">
        <f>IF(C1321="","",COUNTA($C$3:C1321))</f>
        <v/>
      </c>
      <c r="B1321" s="15" t="str">
        <f t="shared" si="213"/>
        <v/>
      </c>
      <c r="M1321" s="9"/>
      <c r="N1321" s="9"/>
      <c r="P1321" s="14"/>
      <c r="Q1321" s="85"/>
      <c r="R1321" s="89"/>
      <c r="U1321" s="11" t="str">
        <f t="shared" si="211"/>
        <v/>
      </c>
      <c r="V1321" s="12" t="str">
        <f t="shared" si="212"/>
        <v/>
      </c>
      <c r="Z1321" s="15"/>
    </row>
    <row r="1322" spans="1:26" x14ac:dyDescent="0.25">
      <c r="A1322" s="15" t="str">
        <f>IF(C1322="","",COUNTA($C$3:C1322))</f>
        <v/>
      </c>
      <c r="B1322" s="15" t="str">
        <f t="shared" si="213"/>
        <v/>
      </c>
      <c r="M1322" s="9"/>
      <c r="N1322" s="9"/>
      <c r="P1322" s="14"/>
      <c r="Q1322" s="85"/>
      <c r="R1322" s="89"/>
      <c r="U1322" s="11" t="str">
        <f t="shared" si="211"/>
        <v/>
      </c>
      <c r="V1322" s="12" t="str">
        <f t="shared" si="212"/>
        <v/>
      </c>
      <c r="Z1322" s="15"/>
    </row>
    <row r="1323" spans="1:26" x14ac:dyDescent="0.25">
      <c r="A1323" s="15" t="str">
        <f>IF(C1323="","",COUNTA($C$3:C1323))</f>
        <v/>
      </c>
      <c r="B1323" s="15" t="str">
        <f t="shared" si="213"/>
        <v/>
      </c>
      <c r="M1323" s="9"/>
      <c r="N1323" s="9"/>
      <c r="P1323" s="14"/>
      <c r="Q1323" s="85"/>
      <c r="R1323" s="89"/>
      <c r="U1323" s="11" t="str">
        <f t="shared" si="211"/>
        <v/>
      </c>
      <c r="V1323" s="12" t="str">
        <f t="shared" si="212"/>
        <v/>
      </c>
      <c r="Z1323" s="15"/>
    </row>
    <row r="1324" spans="1:26" x14ac:dyDescent="0.25">
      <c r="A1324" s="15" t="str">
        <f>IF(C1324="","",COUNTA($C$3:C1324))</f>
        <v/>
      </c>
      <c r="B1324" s="15" t="str">
        <f t="shared" si="213"/>
        <v/>
      </c>
      <c r="M1324" s="9"/>
      <c r="N1324" s="9"/>
      <c r="P1324" s="14"/>
      <c r="Q1324" s="85"/>
      <c r="R1324" s="89"/>
      <c r="U1324" s="11" t="str">
        <f t="shared" si="211"/>
        <v/>
      </c>
      <c r="V1324" s="12" t="str">
        <f t="shared" si="212"/>
        <v/>
      </c>
      <c r="Z1324" s="15"/>
    </row>
    <row r="1325" spans="1:26" x14ac:dyDescent="0.25">
      <c r="A1325" s="15" t="str">
        <f>IF(C1325="","",COUNTA($C$3:C1325))</f>
        <v/>
      </c>
      <c r="B1325" s="15" t="str">
        <f t="shared" si="213"/>
        <v/>
      </c>
      <c r="M1325" s="9"/>
      <c r="N1325" s="9"/>
      <c r="P1325" s="14"/>
      <c r="Q1325" s="85"/>
      <c r="R1325" s="89"/>
      <c r="U1325" s="11" t="str">
        <f t="shared" si="211"/>
        <v/>
      </c>
      <c r="V1325" s="12" t="str">
        <f t="shared" si="212"/>
        <v/>
      </c>
      <c r="Z1325" s="15"/>
    </row>
    <row r="1326" spans="1:26" x14ac:dyDescent="0.25">
      <c r="A1326" s="15" t="str">
        <f>IF(C1326="","",COUNTA($C$3:C1326))</f>
        <v/>
      </c>
      <c r="B1326" s="15" t="str">
        <f t="shared" si="213"/>
        <v/>
      </c>
      <c r="M1326" s="9"/>
      <c r="N1326" s="9"/>
      <c r="P1326" s="14"/>
      <c r="Q1326" s="85"/>
      <c r="R1326" s="89"/>
      <c r="U1326" s="11" t="str">
        <f t="shared" si="211"/>
        <v/>
      </c>
      <c r="V1326" s="12" t="str">
        <f t="shared" si="212"/>
        <v/>
      </c>
      <c r="Z1326" s="15"/>
    </row>
    <row r="1327" spans="1:26" x14ac:dyDescent="0.25">
      <c r="A1327" s="15" t="str">
        <f>IF(C1327="","",COUNTA($C$3:C1327))</f>
        <v/>
      </c>
      <c r="B1327" s="15" t="str">
        <f t="shared" si="213"/>
        <v/>
      </c>
      <c r="M1327" s="9"/>
      <c r="N1327" s="9"/>
      <c r="P1327" s="14"/>
      <c r="Q1327" s="85"/>
      <c r="R1327" s="89"/>
      <c r="U1327" s="11" t="str">
        <f t="shared" si="211"/>
        <v/>
      </c>
      <c r="V1327" s="12" t="str">
        <f t="shared" si="212"/>
        <v/>
      </c>
      <c r="Z1327" s="15"/>
    </row>
    <row r="1328" spans="1:26" x14ac:dyDescent="0.25">
      <c r="A1328" s="15" t="str">
        <f>IF(C1328="","",COUNTA($C$3:C1328))</f>
        <v/>
      </c>
      <c r="B1328" s="15" t="str">
        <f t="shared" si="213"/>
        <v/>
      </c>
      <c r="M1328" s="9"/>
      <c r="N1328" s="9"/>
      <c r="P1328" s="14"/>
      <c r="Q1328" s="85"/>
      <c r="R1328" s="89"/>
      <c r="U1328" s="11" t="str">
        <f t="shared" si="211"/>
        <v/>
      </c>
      <c r="V1328" s="12" t="str">
        <f t="shared" si="212"/>
        <v/>
      </c>
      <c r="Z1328" s="15"/>
    </row>
    <row r="1329" spans="1:26" x14ac:dyDescent="0.25">
      <c r="A1329" s="15" t="str">
        <f>IF(C1329="","",COUNTA($C$3:C1329))</f>
        <v/>
      </c>
      <c r="B1329" s="15" t="str">
        <f t="shared" si="213"/>
        <v/>
      </c>
      <c r="M1329" s="9"/>
      <c r="N1329" s="9"/>
      <c r="P1329" s="14"/>
      <c r="Q1329" s="85"/>
      <c r="R1329" s="89"/>
      <c r="U1329" s="11" t="str">
        <f t="shared" si="211"/>
        <v/>
      </c>
      <c r="V1329" s="12" t="str">
        <f t="shared" si="212"/>
        <v/>
      </c>
      <c r="Z1329" s="15"/>
    </row>
    <row r="1330" spans="1:26" x14ac:dyDescent="0.25">
      <c r="A1330" s="15" t="str">
        <f>IF(C1330="","",COUNTA($C$3:C1330))</f>
        <v/>
      </c>
      <c r="B1330" s="15" t="str">
        <f t="shared" si="213"/>
        <v/>
      </c>
      <c r="M1330" s="9"/>
      <c r="N1330" s="9"/>
      <c r="P1330" s="14"/>
      <c r="Q1330" s="85"/>
      <c r="R1330" s="89"/>
      <c r="U1330" s="11" t="str">
        <f t="shared" si="211"/>
        <v/>
      </c>
      <c r="V1330" s="12" t="str">
        <f t="shared" si="212"/>
        <v/>
      </c>
      <c r="Z1330" s="15"/>
    </row>
    <row r="1331" spans="1:26" x14ac:dyDescent="0.25">
      <c r="A1331" s="15" t="str">
        <f>IF(C1331="","",COUNTA($C$3:C1331))</f>
        <v/>
      </c>
      <c r="B1331" s="15" t="str">
        <f t="shared" si="213"/>
        <v/>
      </c>
      <c r="M1331" s="9"/>
      <c r="N1331" s="9"/>
      <c r="P1331" s="14"/>
      <c r="Q1331" s="85"/>
      <c r="R1331" s="89"/>
      <c r="U1331" s="11" t="str">
        <f t="shared" si="211"/>
        <v/>
      </c>
      <c r="V1331" s="12" t="str">
        <f t="shared" si="212"/>
        <v/>
      </c>
      <c r="Z1331" s="15"/>
    </row>
    <row r="1332" spans="1:26" x14ac:dyDescent="0.25">
      <c r="A1332" s="15" t="str">
        <f>IF(C1332="","",COUNTA($C$3:C1332))</f>
        <v/>
      </c>
      <c r="B1332" s="15" t="str">
        <f t="shared" si="213"/>
        <v/>
      </c>
      <c r="M1332" s="9"/>
      <c r="N1332" s="9"/>
      <c r="P1332" s="14"/>
      <c r="Q1332" s="85"/>
      <c r="R1332" s="89"/>
      <c r="U1332" s="11" t="str">
        <f t="shared" si="211"/>
        <v/>
      </c>
      <c r="V1332" s="12" t="str">
        <f t="shared" si="212"/>
        <v/>
      </c>
      <c r="Z1332" s="15"/>
    </row>
    <row r="1333" spans="1:26" x14ac:dyDescent="0.25">
      <c r="A1333" s="15" t="str">
        <f>IF(C1333="","",COUNTA($C$3:C1333))</f>
        <v/>
      </c>
      <c r="B1333" s="15" t="str">
        <f t="shared" si="213"/>
        <v/>
      </c>
      <c r="M1333" s="9"/>
      <c r="N1333" s="9"/>
      <c r="P1333" s="14"/>
      <c r="Q1333" s="85"/>
      <c r="R1333" s="89"/>
      <c r="U1333" s="11" t="str">
        <f t="shared" si="211"/>
        <v/>
      </c>
      <c r="V1333" s="12" t="str">
        <f t="shared" si="212"/>
        <v/>
      </c>
      <c r="Z1333" s="15"/>
    </row>
    <row r="1334" spans="1:26" x14ac:dyDescent="0.25">
      <c r="A1334" s="15" t="str">
        <f>IF(C1334="","",COUNTA($C$3:C1334))</f>
        <v/>
      </c>
      <c r="B1334" s="15" t="str">
        <f t="shared" si="213"/>
        <v/>
      </c>
      <c r="M1334" s="9"/>
      <c r="N1334" s="9"/>
      <c r="P1334" s="14"/>
      <c r="Q1334" s="85"/>
      <c r="R1334" s="89"/>
      <c r="U1334" s="11" t="str">
        <f t="shared" si="211"/>
        <v/>
      </c>
      <c r="V1334" s="12" t="str">
        <f t="shared" si="212"/>
        <v/>
      </c>
      <c r="Z1334" s="15"/>
    </row>
    <row r="1335" spans="1:26" x14ac:dyDescent="0.25">
      <c r="A1335" s="15" t="str">
        <f>IF(C1335="","",COUNTA($C$3:C1335))</f>
        <v/>
      </c>
      <c r="B1335" s="15" t="str">
        <f t="shared" si="213"/>
        <v/>
      </c>
      <c r="M1335" s="9"/>
      <c r="N1335" s="9"/>
      <c r="P1335" s="14"/>
      <c r="Q1335" s="85"/>
      <c r="R1335" s="89"/>
      <c r="U1335" s="11" t="str">
        <f t="shared" si="211"/>
        <v/>
      </c>
      <c r="V1335" s="12" t="str">
        <f t="shared" si="212"/>
        <v/>
      </c>
      <c r="Z1335" s="15"/>
    </row>
    <row r="1336" spans="1:26" x14ac:dyDescent="0.25">
      <c r="A1336" s="15" t="str">
        <f>IF(C1336="","",COUNTA($C$3:C1336))</f>
        <v/>
      </c>
      <c r="B1336" s="15" t="str">
        <f t="shared" si="213"/>
        <v/>
      </c>
      <c r="M1336" s="9"/>
      <c r="N1336" s="9"/>
      <c r="P1336" s="14"/>
      <c r="Q1336" s="85"/>
      <c r="R1336" s="89"/>
      <c r="U1336" s="11" t="str">
        <f t="shared" si="211"/>
        <v/>
      </c>
      <c r="V1336" s="12" t="str">
        <f t="shared" si="212"/>
        <v/>
      </c>
      <c r="Z1336" s="15"/>
    </row>
    <row r="1337" spans="1:26" x14ac:dyDescent="0.25">
      <c r="A1337" s="15" t="str">
        <f>IF(C1337="","",COUNTA($C$3:C1337))</f>
        <v/>
      </c>
      <c r="B1337" s="15" t="str">
        <f t="shared" si="213"/>
        <v/>
      </c>
      <c r="M1337" s="9"/>
      <c r="N1337" s="9"/>
      <c r="P1337" s="14"/>
      <c r="Q1337" s="85"/>
      <c r="R1337" s="89"/>
      <c r="U1337" s="11" t="str">
        <f t="shared" si="211"/>
        <v/>
      </c>
      <c r="V1337" s="12" t="str">
        <f t="shared" si="212"/>
        <v/>
      </c>
      <c r="Z1337" s="15"/>
    </row>
    <row r="1338" spans="1:26" x14ac:dyDescent="0.25">
      <c r="A1338" s="15" t="str">
        <f>IF(C1338="","",COUNTA($C$3:C1338))</f>
        <v/>
      </c>
      <c r="B1338" s="15" t="str">
        <f t="shared" si="213"/>
        <v/>
      </c>
      <c r="M1338" s="9"/>
      <c r="N1338" s="9"/>
      <c r="P1338" s="14"/>
      <c r="Q1338" s="85"/>
      <c r="R1338" s="89"/>
      <c r="U1338" s="11" t="str">
        <f t="shared" si="211"/>
        <v/>
      </c>
      <c r="V1338" s="12" t="str">
        <f t="shared" si="212"/>
        <v/>
      </c>
      <c r="Z1338" s="15"/>
    </row>
    <row r="1339" spans="1:26" x14ac:dyDescent="0.25">
      <c r="A1339" s="15" t="str">
        <f>IF(C1339="","",COUNTA($C$3:C1339))</f>
        <v/>
      </c>
      <c r="B1339" s="15" t="str">
        <f t="shared" si="213"/>
        <v/>
      </c>
      <c r="M1339" s="9"/>
      <c r="N1339" s="9"/>
      <c r="P1339" s="14"/>
      <c r="Q1339" s="85"/>
      <c r="R1339" s="89"/>
      <c r="U1339" s="11" t="str">
        <f t="shared" si="211"/>
        <v/>
      </c>
      <c r="V1339" s="12" t="str">
        <f t="shared" si="212"/>
        <v/>
      </c>
      <c r="Z1339" s="15"/>
    </row>
    <row r="1340" spans="1:26" x14ac:dyDescent="0.25">
      <c r="A1340" s="15" t="str">
        <f>IF(C1340="","",COUNTA($C$3:C1340))</f>
        <v/>
      </c>
      <c r="B1340" s="15" t="str">
        <f t="shared" si="213"/>
        <v/>
      </c>
      <c r="M1340" s="9"/>
      <c r="N1340" s="9"/>
      <c r="P1340" s="14"/>
      <c r="Q1340" s="85"/>
      <c r="R1340" s="89"/>
      <c r="U1340" s="11" t="str">
        <f t="shared" si="211"/>
        <v/>
      </c>
      <c r="V1340" s="12" t="str">
        <f t="shared" si="212"/>
        <v/>
      </c>
      <c r="Z1340" s="15"/>
    </row>
    <row r="1341" spans="1:26" x14ac:dyDescent="0.25">
      <c r="A1341" s="15" t="str">
        <f>IF(C1341="","",COUNTA($C$3:C1341))</f>
        <v/>
      </c>
      <c r="B1341" s="15" t="str">
        <f t="shared" si="213"/>
        <v/>
      </c>
      <c r="M1341" s="9"/>
      <c r="N1341" s="9"/>
      <c r="P1341" s="14"/>
      <c r="Q1341" s="85"/>
      <c r="R1341" s="89"/>
      <c r="U1341" s="11" t="str">
        <f t="shared" si="211"/>
        <v/>
      </c>
      <c r="V1341" s="12" t="str">
        <f t="shared" si="212"/>
        <v/>
      </c>
      <c r="Z1341" s="15"/>
    </row>
    <row r="1342" spans="1:26" x14ac:dyDescent="0.25">
      <c r="A1342" s="15" t="str">
        <f>IF(C1342="","",COUNTA($C$3:C1342))</f>
        <v/>
      </c>
      <c r="B1342" s="15" t="str">
        <f t="shared" si="213"/>
        <v/>
      </c>
      <c r="M1342" s="9"/>
      <c r="N1342" s="9"/>
      <c r="P1342" s="14"/>
      <c r="Q1342" s="85"/>
      <c r="R1342" s="89"/>
      <c r="U1342" s="11" t="str">
        <f t="shared" si="211"/>
        <v/>
      </c>
      <c r="V1342" s="12" t="str">
        <f t="shared" si="212"/>
        <v/>
      </c>
      <c r="Z1342" s="15"/>
    </row>
    <row r="1343" spans="1:26" x14ac:dyDescent="0.25">
      <c r="A1343" s="15" t="str">
        <f>IF(C1343="","",COUNTA($C$3:C1343))</f>
        <v/>
      </c>
      <c r="B1343" s="15" t="str">
        <f t="shared" si="213"/>
        <v/>
      </c>
      <c r="M1343" s="9"/>
      <c r="N1343" s="9"/>
      <c r="P1343" s="14"/>
      <c r="Q1343" s="85"/>
      <c r="R1343" s="89"/>
      <c r="U1343" s="11" t="str">
        <f t="shared" si="211"/>
        <v/>
      </c>
      <c r="V1343" s="12" t="str">
        <f t="shared" si="212"/>
        <v/>
      </c>
      <c r="Z1343" s="15"/>
    </row>
    <row r="1344" spans="1:26" x14ac:dyDescent="0.25">
      <c r="A1344" s="15" t="str">
        <f>IF(C1344="","",COUNTA($C$3:C1344))</f>
        <v/>
      </c>
      <c r="B1344" s="15" t="str">
        <f t="shared" si="213"/>
        <v/>
      </c>
      <c r="M1344" s="9"/>
      <c r="N1344" s="9"/>
      <c r="P1344" s="14"/>
      <c r="Q1344" s="85"/>
      <c r="R1344" s="89"/>
      <c r="U1344" s="11" t="str">
        <f t="shared" si="211"/>
        <v/>
      </c>
      <c r="V1344" s="12" t="str">
        <f t="shared" si="212"/>
        <v/>
      </c>
      <c r="Z1344" s="15"/>
    </row>
    <row r="1345" spans="1:26" x14ac:dyDescent="0.25">
      <c r="A1345" s="15" t="str">
        <f>IF(C1345="","",COUNTA($C$3:C1345))</f>
        <v/>
      </c>
      <c r="B1345" s="15" t="str">
        <f t="shared" si="213"/>
        <v/>
      </c>
      <c r="M1345" s="9"/>
      <c r="N1345" s="9"/>
      <c r="P1345" s="14"/>
      <c r="Q1345" s="85"/>
      <c r="R1345" s="89"/>
      <c r="U1345" s="11" t="str">
        <f t="shared" si="211"/>
        <v/>
      </c>
      <c r="V1345" s="12" t="str">
        <f t="shared" si="212"/>
        <v/>
      </c>
      <c r="Z1345" s="15"/>
    </row>
    <row r="1346" spans="1:26" x14ac:dyDescent="0.25">
      <c r="A1346" s="15" t="str">
        <f>IF(C1346="","",COUNTA($C$3:C1346))</f>
        <v/>
      </c>
      <c r="B1346" s="15" t="str">
        <f t="shared" si="213"/>
        <v/>
      </c>
      <c r="M1346" s="9"/>
      <c r="N1346" s="9"/>
      <c r="P1346" s="14"/>
      <c r="Q1346" s="85"/>
      <c r="R1346" s="89"/>
      <c r="U1346" s="11" t="str">
        <f t="shared" ref="U1346:U1409" si="214">IF(S1346="","",(S1346-T1346))</f>
        <v/>
      </c>
      <c r="V1346" s="12" t="str">
        <f t="shared" ref="V1346:V1409" si="215">IF(U1346="","",(U1346/T1346))</f>
        <v/>
      </c>
      <c r="Z1346" s="15"/>
    </row>
    <row r="1347" spans="1:26" x14ac:dyDescent="0.25">
      <c r="A1347" s="15" t="str">
        <f>IF(C1347="","",COUNTA($C$3:C1347))</f>
        <v/>
      </c>
      <c r="B1347" s="15" t="str">
        <f t="shared" ref="B1347:B1410" si="216">IF(C1347="","",TEXT(C1347,"mmmm"))</f>
        <v/>
      </c>
      <c r="M1347" s="9"/>
      <c r="N1347" s="9"/>
      <c r="P1347" s="14"/>
      <c r="Q1347" s="85"/>
      <c r="R1347" s="89"/>
      <c r="U1347" s="11" t="str">
        <f t="shared" si="214"/>
        <v/>
      </c>
      <c r="V1347" s="12" t="str">
        <f t="shared" si="215"/>
        <v/>
      </c>
      <c r="Z1347" s="15"/>
    </row>
    <row r="1348" spans="1:26" x14ac:dyDescent="0.25">
      <c r="A1348" s="15" t="str">
        <f>IF(C1348="","",COUNTA($C$3:C1348))</f>
        <v/>
      </c>
      <c r="B1348" s="15" t="str">
        <f t="shared" si="216"/>
        <v/>
      </c>
      <c r="M1348" s="9"/>
      <c r="N1348" s="9"/>
      <c r="P1348" s="14"/>
      <c r="Q1348" s="85"/>
      <c r="R1348" s="89"/>
      <c r="U1348" s="11" t="str">
        <f t="shared" si="214"/>
        <v/>
      </c>
      <c r="V1348" s="12" t="str">
        <f t="shared" si="215"/>
        <v/>
      </c>
      <c r="Z1348" s="15"/>
    </row>
    <row r="1349" spans="1:26" x14ac:dyDescent="0.25">
      <c r="A1349" s="15" t="str">
        <f>IF(C1349="","",COUNTA($C$3:C1349))</f>
        <v/>
      </c>
      <c r="B1349" s="15" t="str">
        <f t="shared" si="216"/>
        <v/>
      </c>
      <c r="M1349" s="9"/>
      <c r="N1349" s="9"/>
      <c r="P1349" s="14"/>
      <c r="Q1349" s="85"/>
      <c r="R1349" s="89"/>
      <c r="U1349" s="11" t="str">
        <f t="shared" si="214"/>
        <v/>
      </c>
      <c r="V1349" s="12" t="str">
        <f t="shared" si="215"/>
        <v/>
      </c>
      <c r="Z1349" s="15"/>
    </row>
    <row r="1350" spans="1:26" x14ac:dyDescent="0.25">
      <c r="A1350" s="15" t="str">
        <f>IF(C1350="","",COUNTA($C$3:C1350))</f>
        <v/>
      </c>
      <c r="B1350" s="15" t="str">
        <f t="shared" si="216"/>
        <v/>
      </c>
      <c r="M1350" s="9"/>
      <c r="N1350" s="9"/>
      <c r="P1350" s="14"/>
      <c r="Q1350" s="85"/>
      <c r="R1350" s="89"/>
      <c r="U1350" s="11" t="str">
        <f t="shared" si="214"/>
        <v/>
      </c>
      <c r="V1350" s="12" t="str">
        <f t="shared" si="215"/>
        <v/>
      </c>
      <c r="Z1350" s="15"/>
    </row>
    <row r="1351" spans="1:26" x14ac:dyDescent="0.25">
      <c r="A1351" s="15" t="str">
        <f>IF(C1351="","",COUNTA($C$3:C1351))</f>
        <v/>
      </c>
      <c r="B1351" s="15" t="str">
        <f t="shared" si="216"/>
        <v/>
      </c>
      <c r="M1351" s="9"/>
      <c r="N1351" s="9"/>
      <c r="P1351" s="14"/>
      <c r="Q1351" s="85"/>
      <c r="R1351" s="89"/>
      <c r="U1351" s="11" t="str">
        <f t="shared" si="214"/>
        <v/>
      </c>
      <c r="V1351" s="12" t="str">
        <f t="shared" si="215"/>
        <v/>
      </c>
      <c r="Z1351" s="15"/>
    </row>
    <row r="1352" spans="1:26" x14ac:dyDescent="0.25">
      <c r="A1352" s="15" t="str">
        <f>IF(C1352="","",COUNTA($C$3:C1352))</f>
        <v/>
      </c>
      <c r="B1352" s="15" t="str">
        <f t="shared" si="216"/>
        <v/>
      </c>
      <c r="M1352" s="9"/>
      <c r="N1352" s="9"/>
      <c r="P1352" s="14"/>
      <c r="Q1352" s="85"/>
      <c r="R1352" s="89"/>
      <c r="U1352" s="11" t="str">
        <f t="shared" si="214"/>
        <v/>
      </c>
      <c r="V1352" s="12" t="str">
        <f t="shared" si="215"/>
        <v/>
      </c>
      <c r="Z1352" s="15"/>
    </row>
    <row r="1353" spans="1:26" x14ac:dyDescent="0.25">
      <c r="A1353" s="15" t="str">
        <f>IF(C1353="","",COUNTA($C$3:C1353))</f>
        <v/>
      </c>
      <c r="B1353" s="15" t="str">
        <f t="shared" si="216"/>
        <v/>
      </c>
      <c r="M1353" s="9"/>
      <c r="N1353" s="9"/>
      <c r="P1353" s="14"/>
      <c r="Q1353" s="85"/>
      <c r="R1353" s="89"/>
      <c r="U1353" s="11" t="str">
        <f t="shared" si="214"/>
        <v/>
      </c>
      <c r="V1353" s="12" t="str">
        <f t="shared" si="215"/>
        <v/>
      </c>
      <c r="Z1353" s="15"/>
    </row>
    <row r="1354" spans="1:26" x14ac:dyDescent="0.25">
      <c r="A1354" s="15" t="str">
        <f>IF(C1354="","",COUNTA($C$3:C1354))</f>
        <v/>
      </c>
      <c r="B1354" s="15" t="str">
        <f t="shared" si="216"/>
        <v/>
      </c>
      <c r="M1354" s="9"/>
      <c r="N1354" s="9"/>
      <c r="P1354" s="14"/>
      <c r="Q1354" s="85"/>
      <c r="R1354" s="89"/>
      <c r="U1354" s="11" t="str">
        <f t="shared" si="214"/>
        <v/>
      </c>
      <c r="V1354" s="12" t="str">
        <f t="shared" si="215"/>
        <v/>
      </c>
      <c r="Z1354" s="15"/>
    </row>
    <row r="1355" spans="1:26" x14ac:dyDescent="0.25">
      <c r="A1355" s="15" t="str">
        <f>IF(C1355="","",COUNTA($C$3:C1355))</f>
        <v/>
      </c>
      <c r="B1355" s="15" t="str">
        <f t="shared" si="216"/>
        <v/>
      </c>
      <c r="M1355" s="9"/>
      <c r="N1355" s="9"/>
      <c r="P1355" s="14"/>
      <c r="Q1355" s="85"/>
      <c r="R1355" s="89"/>
      <c r="U1355" s="11" t="str">
        <f t="shared" si="214"/>
        <v/>
      </c>
      <c r="V1355" s="12" t="str">
        <f t="shared" si="215"/>
        <v/>
      </c>
      <c r="Z1355" s="15"/>
    </row>
    <row r="1356" spans="1:26" x14ac:dyDescent="0.25">
      <c r="A1356" s="15" t="str">
        <f>IF(C1356="","",COUNTA($C$3:C1356))</f>
        <v/>
      </c>
      <c r="B1356" s="15" t="str">
        <f t="shared" si="216"/>
        <v/>
      </c>
      <c r="M1356" s="9"/>
      <c r="N1356" s="9"/>
      <c r="P1356" s="14"/>
      <c r="Q1356" s="85"/>
      <c r="R1356" s="89"/>
      <c r="U1356" s="11" t="str">
        <f t="shared" si="214"/>
        <v/>
      </c>
      <c r="V1356" s="12" t="str">
        <f t="shared" si="215"/>
        <v/>
      </c>
      <c r="Z1356" s="15"/>
    </row>
    <row r="1357" spans="1:26" x14ac:dyDescent="0.25">
      <c r="A1357" s="15" t="str">
        <f>IF(C1357="","",COUNTA($C$3:C1357))</f>
        <v/>
      </c>
      <c r="B1357" s="15" t="str">
        <f t="shared" si="216"/>
        <v/>
      </c>
      <c r="M1357" s="9"/>
      <c r="N1357" s="9"/>
      <c r="P1357" s="14"/>
      <c r="Q1357" s="85"/>
      <c r="R1357" s="89"/>
      <c r="U1357" s="11" t="str">
        <f t="shared" si="214"/>
        <v/>
      </c>
      <c r="V1357" s="12" t="str">
        <f t="shared" si="215"/>
        <v/>
      </c>
      <c r="Z1357" s="15"/>
    </row>
    <row r="1358" spans="1:26" x14ac:dyDescent="0.25">
      <c r="A1358" s="15" t="str">
        <f>IF(C1358="","",COUNTA($C$3:C1358))</f>
        <v/>
      </c>
      <c r="B1358" s="15" t="str">
        <f t="shared" si="216"/>
        <v/>
      </c>
      <c r="M1358" s="9"/>
      <c r="N1358" s="9"/>
      <c r="P1358" s="14"/>
      <c r="Q1358" s="85"/>
      <c r="R1358" s="89"/>
      <c r="U1358" s="11" t="str">
        <f t="shared" si="214"/>
        <v/>
      </c>
      <c r="V1358" s="12" t="str">
        <f t="shared" si="215"/>
        <v/>
      </c>
      <c r="Z1358" s="15"/>
    </row>
    <row r="1359" spans="1:26" x14ac:dyDescent="0.25">
      <c r="A1359" s="15" t="str">
        <f>IF(C1359="","",COUNTA($C$3:C1359))</f>
        <v/>
      </c>
      <c r="B1359" s="15" t="str">
        <f t="shared" si="216"/>
        <v/>
      </c>
      <c r="M1359" s="9"/>
      <c r="N1359" s="9"/>
      <c r="P1359" s="14"/>
      <c r="Q1359" s="85"/>
      <c r="R1359" s="89"/>
      <c r="U1359" s="11" t="str">
        <f t="shared" si="214"/>
        <v/>
      </c>
      <c r="V1359" s="12" t="str">
        <f t="shared" si="215"/>
        <v/>
      </c>
      <c r="Z1359" s="15"/>
    </row>
    <row r="1360" spans="1:26" x14ac:dyDescent="0.25">
      <c r="A1360" s="15" t="str">
        <f>IF(C1360="","",COUNTA($C$3:C1360))</f>
        <v/>
      </c>
      <c r="B1360" s="15" t="str">
        <f t="shared" si="216"/>
        <v/>
      </c>
      <c r="M1360" s="9"/>
      <c r="N1360" s="9"/>
      <c r="P1360" s="14"/>
      <c r="Q1360" s="85"/>
      <c r="R1360" s="89"/>
      <c r="U1360" s="11" t="str">
        <f t="shared" si="214"/>
        <v/>
      </c>
      <c r="V1360" s="12" t="str">
        <f t="shared" si="215"/>
        <v/>
      </c>
      <c r="Z1360" s="15"/>
    </row>
    <row r="1361" spans="1:26" x14ac:dyDescent="0.25">
      <c r="A1361" s="15" t="str">
        <f>IF(C1361="","",COUNTA($C$3:C1361))</f>
        <v/>
      </c>
      <c r="B1361" s="15" t="str">
        <f t="shared" si="216"/>
        <v/>
      </c>
      <c r="M1361" s="9"/>
      <c r="N1361" s="9"/>
      <c r="P1361" s="14"/>
      <c r="Q1361" s="85"/>
      <c r="R1361" s="89"/>
      <c r="U1361" s="11" t="str">
        <f t="shared" si="214"/>
        <v/>
      </c>
      <c r="V1361" s="12" t="str">
        <f t="shared" si="215"/>
        <v/>
      </c>
      <c r="Z1361" s="15"/>
    </row>
    <row r="1362" spans="1:26" x14ac:dyDescent="0.25">
      <c r="A1362" s="15" t="str">
        <f>IF(C1362="","",COUNTA($C$3:C1362))</f>
        <v/>
      </c>
      <c r="B1362" s="15" t="str">
        <f t="shared" si="216"/>
        <v/>
      </c>
      <c r="M1362" s="9"/>
      <c r="N1362" s="9"/>
      <c r="P1362" s="14"/>
      <c r="Q1362" s="85"/>
      <c r="R1362" s="89"/>
      <c r="U1362" s="11" t="str">
        <f t="shared" si="214"/>
        <v/>
      </c>
      <c r="V1362" s="12" t="str">
        <f t="shared" si="215"/>
        <v/>
      </c>
      <c r="Z1362" s="15"/>
    </row>
    <row r="1363" spans="1:26" x14ac:dyDescent="0.25">
      <c r="A1363" s="15" t="str">
        <f>IF(C1363="","",COUNTA($C$3:C1363))</f>
        <v/>
      </c>
      <c r="B1363" s="15" t="str">
        <f t="shared" si="216"/>
        <v/>
      </c>
      <c r="M1363" s="9"/>
      <c r="N1363" s="9"/>
      <c r="P1363" s="14"/>
      <c r="Q1363" s="85"/>
      <c r="R1363" s="89"/>
      <c r="U1363" s="11" t="str">
        <f t="shared" si="214"/>
        <v/>
      </c>
      <c r="V1363" s="12" t="str">
        <f t="shared" si="215"/>
        <v/>
      </c>
      <c r="Z1363" s="15"/>
    </row>
    <row r="1364" spans="1:26" x14ac:dyDescent="0.25">
      <c r="A1364" s="15" t="str">
        <f>IF(C1364="","",COUNTA($C$3:C1364))</f>
        <v/>
      </c>
      <c r="B1364" s="15" t="str">
        <f t="shared" si="216"/>
        <v/>
      </c>
      <c r="M1364" s="9"/>
      <c r="N1364" s="9"/>
      <c r="P1364" s="14"/>
      <c r="Q1364" s="85"/>
      <c r="R1364" s="89"/>
      <c r="U1364" s="11" t="str">
        <f t="shared" si="214"/>
        <v/>
      </c>
      <c r="V1364" s="12" t="str">
        <f t="shared" si="215"/>
        <v/>
      </c>
      <c r="Z1364" s="15"/>
    </row>
    <row r="1365" spans="1:26" x14ac:dyDescent="0.25">
      <c r="A1365" s="15" t="str">
        <f>IF(C1365="","",COUNTA($C$3:C1365))</f>
        <v/>
      </c>
      <c r="B1365" s="15" t="str">
        <f t="shared" si="216"/>
        <v/>
      </c>
      <c r="M1365" s="9"/>
      <c r="N1365" s="9"/>
      <c r="P1365" s="14"/>
      <c r="Q1365" s="85"/>
      <c r="R1365" s="89"/>
      <c r="U1365" s="11" t="str">
        <f t="shared" si="214"/>
        <v/>
      </c>
      <c r="V1365" s="12" t="str">
        <f t="shared" si="215"/>
        <v/>
      </c>
      <c r="Z1365" s="15"/>
    </row>
    <row r="1366" spans="1:26" x14ac:dyDescent="0.25">
      <c r="A1366" s="15" t="str">
        <f>IF(C1366="","",COUNTA($C$3:C1366))</f>
        <v/>
      </c>
      <c r="B1366" s="15" t="str">
        <f t="shared" si="216"/>
        <v/>
      </c>
      <c r="M1366" s="9"/>
      <c r="N1366" s="9"/>
      <c r="P1366" s="14"/>
      <c r="Q1366" s="85"/>
      <c r="R1366" s="89"/>
      <c r="U1366" s="11" t="str">
        <f t="shared" si="214"/>
        <v/>
      </c>
      <c r="V1366" s="12" t="str">
        <f t="shared" si="215"/>
        <v/>
      </c>
      <c r="Z1366" s="15"/>
    </row>
    <row r="1367" spans="1:26" x14ac:dyDescent="0.25">
      <c r="A1367" s="15" t="str">
        <f>IF(C1367="","",COUNTA($C$3:C1367))</f>
        <v/>
      </c>
      <c r="B1367" s="15" t="str">
        <f t="shared" si="216"/>
        <v/>
      </c>
      <c r="M1367" s="9"/>
      <c r="N1367" s="9"/>
      <c r="P1367" s="14"/>
      <c r="Q1367" s="85"/>
      <c r="R1367" s="89"/>
      <c r="U1367" s="11" t="str">
        <f t="shared" si="214"/>
        <v/>
      </c>
      <c r="V1367" s="12" t="str">
        <f t="shared" si="215"/>
        <v/>
      </c>
      <c r="Z1367" s="15"/>
    </row>
    <row r="1368" spans="1:26" x14ac:dyDescent="0.25">
      <c r="A1368" s="15" t="str">
        <f>IF(C1368="","",COUNTA($C$3:C1368))</f>
        <v/>
      </c>
      <c r="B1368" s="15" t="str">
        <f t="shared" si="216"/>
        <v/>
      </c>
      <c r="M1368" s="9"/>
      <c r="N1368" s="9"/>
      <c r="P1368" s="14"/>
      <c r="Q1368" s="85"/>
      <c r="R1368" s="89"/>
      <c r="U1368" s="11" t="str">
        <f t="shared" si="214"/>
        <v/>
      </c>
      <c r="V1368" s="12" t="str">
        <f t="shared" si="215"/>
        <v/>
      </c>
      <c r="Z1368" s="15"/>
    </row>
    <row r="1369" spans="1:26" x14ac:dyDescent="0.25">
      <c r="A1369" s="15" t="str">
        <f>IF(C1369="","",COUNTA($C$3:C1369))</f>
        <v/>
      </c>
      <c r="B1369" s="15" t="str">
        <f t="shared" si="216"/>
        <v/>
      </c>
      <c r="M1369" s="9"/>
      <c r="N1369" s="9"/>
      <c r="P1369" s="14"/>
      <c r="Q1369" s="85"/>
      <c r="R1369" s="89"/>
      <c r="U1369" s="11" t="str">
        <f t="shared" si="214"/>
        <v/>
      </c>
      <c r="V1369" s="12" t="str">
        <f t="shared" si="215"/>
        <v/>
      </c>
      <c r="Z1369" s="15"/>
    </row>
    <row r="1370" spans="1:26" x14ac:dyDescent="0.25">
      <c r="A1370" s="15" t="str">
        <f>IF(C1370="","",COUNTA($C$3:C1370))</f>
        <v/>
      </c>
      <c r="B1370" s="15" t="str">
        <f t="shared" si="216"/>
        <v/>
      </c>
      <c r="M1370" s="9"/>
      <c r="N1370" s="9"/>
      <c r="P1370" s="14"/>
      <c r="Q1370" s="85"/>
      <c r="R1370" s="89"/>
      <c r="U1370" s="11" t="str">
        <f t="shared" si="214"/>
        <v/>
      </c>
      <c r="V1370" s="12" t="str">
        <f t="shared" si="215"/>
        <v/>
      </c>
      <c r="Z1370" s="15"/>
    </row>
    <row r="1371" spans="1:26" x14ac:dyDescent="0.25">
      <c r="A1371" s="15" t="str">
        <f>IF(C1371="","",COUNTA($C$3:C1371))</f>
        <v/>
      </c>
      <c r="B1371" s="15" t="str">
        <f t="shared" si="216"/>
        <v/>
      </c>
      <c r="M1371" s="9"/>
      <c r="N1371" s="9"/>
      <c r="P1371" s="14"/>
      <c r="Q1371" s="85"/>
      <c r="R1371" s="89"/>
      <c r="U1371" s="11" t="str">
        <f t="shared" si="214"/>
        <v/>
      </c>
      <c r="V1371" s="12" t="str">
        <f t="shared" si="215"/>
        <v/>
      </c>
      <c r="Z1371" s="15"/>
    </row>
    <row r="1372" spans="1:26" x14ac:dyDescent="0.25">
      <c r="A1372" s="15" t="str">
        <f>IF(C1372="","",COUNTA($C$3:C1372))</f>
        <v/>
      </c>
      <c r="B1372" s="15" t="str">
        <f t="shared" si="216"/>
        <v/>
      </c>
      <c r="M1372" s="9"/>
      <c r="N1372" s="9"/>
      <c r="P1372" s="14"/>
      <c r="Q1372" s="85"/>
      <c r="R1372" s="89"/>
      <c r="U1372" s="11" t="str">
        <f t="shared" si="214"/>
        <v/>
      </c>
      <c r="V1372" s="12" t="str">
        <f t="shared" si="215"/>
        <v/>
      </c>
      <c r="Z1372" s="15"/>
    </row>
    <row r="1373" spans="1:26" x14ac:dyDescent="0.25">
      <c r="A1373" s="15" t="str">
        <f>IF(C1373="","",COUNTA($C$3:C1373))</f>
        <v/>
      </c>
      <c r="B1373" s="15" t="str">
        <f t="shared" si="216"/>
        <v/>
      </c>
      <c r="M1373" s="9"/>
      <c r="N1373" s="9"/>
      <c r="P1373" s="14"/>
      <c r="Q1373" s="85"/>
      <c r="R1373" s="89"/>
      <c r="U1373" s="11" t="str">
        <f t="shared" si="214"/>
        <v/>
      </c>
      <c r="V1373" s="12" t="str">
        <f t="shared" si="215"/>
        <v/>
      </c>
      <c r="Z1373" s="15"/>
    </row>
    <row r="1374" spans="1:26" x14ac:dyDescent="0.25">
      <c r="A1374" s="15" t="str">
        <f>IF(C1374="","",COUNTA($C$3:C1374))</f>
        <v/>
      </c>
      <c r="B1374" s="15" t="str">
        <f t="shared" si="216"/>
        <v/>
      </c>
      <c r="M1374" s="9"/>
      <c r="N1374" s="9"/>
      <c r="P1374" s="14"/>
      <c r="Q1374" s="85"/>
      <c r="R1374" s="89"/>
      <c r="U1374" s="11" t="str">
        <f t="shared" si="214"/>
        <v/>
      </c>
      <c r="V1374" s="12" t="str">
        <f t="shared" si="215"/>
        <v/>
      </c>
      <c r="Z1374" s="15"/>
    </row>
    <row r="1375" spans="1:26" x14ac:dyDescent="0.25">
      <c r="A1375" s="15" t="str">
        <f>IF(C1375="","",COUNTA($C$3:C1375))</f>
        <v/>
      </c>
      <c r="B1375" s="15" t="str">
        <f t="shared" si="216"/>
        <v/>
      </c>
      <c r="M1375" s="9"/>
      <c r="N1375" s="9"/>
      <c r="P1375" s="14"/>
      <c r="Q1375" s="85"/>
      <c r="R1375" s="89"/>
      <c r="U1375" s="11" t="str">
        <f t="shared" si="214"/>
        <v/>
      </c>
      <c r="V1375" s="12" t="str">
        <f t="shared" si="215"/>
        <v/>
      </c>
      <c r="Z1375" s="15"/>
    </row>
    <row r="1376" spans="1:26" x14ac:dyDescent="0.25">
      <c r="A1376" s="15" t="str">
        <f>IF(C1376="","",COUNTA($C$3:C1376))</f>
        <v/>
      </c>
      <c r="B1376" s="15" t="str">
        <f t="shared" si="216"/>
        <v/>
      </c>
      <c r="M1376" s="9"/>
      <c r="N1376" s="9"/>
      <c r="P1376" s="14"/>
      <c r="Q1376" s="85"/>
      <c r="R1376" s="89"/>
      <c r="U1376" s="11" t="str">
        <f t="shared" si="214"/>
        <v/>
      </c>
      <c r="V1376" s="12" t="str">
        <f t="shared" si="215"/>
        <v/>
      </c>
      <c r="Z1376" s="15"/>
    </row>
    <row r="1377" spans="1:26" x14ac:dyDescent="0.25">
      <c r="A1377" s="15" t="str">
        <f>IF(C1377="","",COUNTA($C$3:C1377))</f>
        <v/>
      </c>
      <c r="B1377" s="15" t="str">
        <f t="shared" si="216"/>
        <v/>
      </c>
      <c r="M1377" s="9"/>
      <c r="N1377" s="9"/>
      <c r="P1377" s="14"/>
      <c r="Q1377" s="85"/>
      <c r="R1377" s="89"/>
      <c r="U1377" s="11" t="str">
        <f t="shared" si="214"/>
        <v/>
      </c>
      <c r="V1377" s="12" t="str">
        <f t="shared" si="215"/>
        <v/>
      </c>
      <c r="Z1377" s="15"/>
    </row>
    <row r="1378" spans="1:26" x14ac:dyDescent="0.25">
      <c r="A1378" s="15" t="str">
        <f>IF(C1378="","",COUNTA($C$3:C1378))</f>
        <v/>
      </c>
      <c r="B1378" s="15" t="str">
        <f t="shared" si="216"/>
        <v/>
      </c>
      <c r="M1378" s="9"/>
      <c r="N1378" s="9"/>
      <c r="P1378" s="14"/>
      <c r="Q1378" s="85"/>
      <c r="R1378" s="89"/>
      <c r="U1378" s="11" t="str">
        <f t="shared" si="214"/>
        <v/>
      </c>
      <c r="V1378" s="12" t="str">
        <f t="shared" si="215"/>
        <v/>
      </c>
      <c r="Z1378" s="15"/>
    </row>
    <row r="1379" spans="1:26" x14ac:dyDescent="0.25">
      <c r="A1379" s="15" t="str">
        <f>IF(C1379="","",COUNTA($C$3:C1379))</f>
        <v/>
      </c>
      <c r="B1379" s="15" t="str">
        <f t="shared" si="216"/>
        <v/>
      </c>
      <c r="M1379" s="9"/>
      <c r="N1379" s="9"/>
      <c r="P1379" s="14"/>
      <c r="Q1379" s="85"/>
      <c r="R1379" s="89"/>
      <c r="U1379" s="11" t="str">
        <f t="shared" si="214"/>
        <v/>
      </c>
      <c r="V1379" s="12" t="str">
        <f t="shared" si="215"/>
        <v/>
      </c>
      <c r="Z1379" s="15"/>
    </row>
    <row r="1380" spans="1:26" x14ac:dyDescent="0.25">
      <c r="A1380" s="15" t="str">
        <f>IF(C1380="","",COUNTA($C$3:C1380))</f>
        <v/>
      </c>
      <c r="B1380" s="15" t="str">
        <f t="shared" si="216"/>
        <v/>
      </c>
      <c r="M1380" s="9"/>
      <c r="N1380" s="9"/>
      <c r="P1380" s="14"/>
      <c r="Q1380" s="85"/>
      <c r="R1380" s="89"/>
      <c r="U1380" s="11" t="str">
        <f t="shared" si="214"/>
        <v/>
      </c>
      <c r="V1380" s="12" t="str">
        <f t="shared" si="215"/>
        <v/>
      </c>
      <c r="Z1380" s="15"/>
    </row>
    <row r="1381" spans="1:26" x14ac:dyDescent="0.25">
      <c r="A1381" s="15" t="str">
        <f>IF(C1381="","",COUNTA($C$3:C1381))</f>
        <v/>
      </c>
      <c r="B1381" s="15" t="str">
        <f t="shared" si="216"/>
        <v/>
      </c>
      <c r="M1381" s="9"/>
      <c r="N1381" s="9"/>
      <c r="P1381" s="14"/>
      <c r="Q1381" s="85"/>
      <c r="R1381" s="89"/>
      <c r="U1381" s="11" t="str">
        <f t="shared" si="214"/>
        <v/>
      </c>
      <c r="V1381" s="12" t="str">
        <f t="shared" si="215"/>
        <v/>
      </c>
      <c r="Z1381" s="15"/>
    </row>
    <row r="1382" spans="1:26" x14ac:dyDescent="0.25">
      <c r="A1382" s="15" t="str">
        <f>IF(C1382="","",COUNTA($C$3:C1382))</f>
        <v/>
      </c>
      <c r="B1382" s="15" t="str">
        <f t="shared" si="216"/>
        <v/>
      </c>
      <c r="M1382" s="9"/>
      <c r="N1382" s="9"/>
      <c r="P1382" s="14"/>
      <c r="Q1382" s="85"/>
      <c r="R1382" s="89"/>
      <c r="U1382" s="11" t="str">
        <f t="shared" si="214"/>
        <v/>
      </c>
      <c r="V1382" s="12" t="str">
        <f t="shared" si="215"/>
        <v/>
      </c>
      <c r="Z1382" s="15"/>
    </row>
    <row r="1383" spans="1:26" x14ac:dyDescent="0.25">
      <c r="A1383" s="15" t="str">
        <f>IF(C1383="","",COUNTA($C$3:C1383))</f>
        <v/>
      </c>
      <c r="B1383" s="15" t="str">
        <f t="shared" si="216"/>
        <v/>
      </c>
      <c r="M1383" s="9"/>
      <c r="N1383" s="9"/>
      <c r="P1383" s="14"/>
      <c r="Q1383" s="85"/>
      <c r="R1383" s="89"/>
      <c r="U1383" s="11" t="str">
        <f t="shared" si="214"/>
        <v/>
      </c>
      <c r="V1383" s="12" t="str">
        <f t="shared" si="215"/>
        <v/>
      </c>
      <c r="Z1383" s="15"/>
    </row>
    <row r="1384" spans="1:26" x14ac:dyDescent="0.25">
      <c r="A1384" s="15" t="str">
        <f>IF(C1384="","",COUNTA($C$3:C1384))</f>
        <v/>
      </c>
      <c r="B1384" s="15" t="str">
        <f t="shared" si="216"/>
        <v/>
      </c>
      <c r="M1384" s="9"/>
      <c r="N1384" s="9"/>
      <c r="P1384" s="14"/>
      <c r="Q1384" s="85"/>
      <c r="R1384" s="89"/>
      <c r="U1384" s="11" t="str">
        <f t="shared" si="214"/>
        <v/>
      </c>
      <c r="V1384" s="12" t="str">
        <f t="shared" si="215"/>
        <v/>
      </c>
      <c r="Z1384" s="15"/>
    </row>
    <row r="1385" spans="1:26" x14ac:dyDescent="0.25">
      <c r="A1385" s="15" t="str">
        <f>IF(C1385="","",COUNTA($C$3:C1385))</f>
        <v/>
      </c>
      <c r="B1385" s="15" t="str">
        <f t="shared" si="216"/>
        <v/>
      </c>
      <c r="M1385" s="9"/>
      <c r="N1385" s="9"/>
      <c r="P1385" s="14"/>
      <c r="Q1385" s="85"/>
      <c r="R1385" s="89"/>
      <c r="U1385" s="11" t="str">
        <f t="shared" si="214"/>
        <v/>
      </c>
      <c r="V1385" s="12" t="str">
        <f t="shared" si="215"/>
        <v/>
      </c>
      <c r="Z1385" s="15"/>
    </row>
    <row r="1386" spans="1:26" x14ac:dyDescent="0.25">
      <c r="A1386" s="15" t="str">
        <f>IF(C1386="","",COUNTA($C$3:C1386))</f>
        <v/>
      </c>
      <c r="B1386" s="15" t="str">
        <f t="shared" si="216"/>
        <v/>
      </c>
      <c r="M1386" s="9"/>
      <c r="N1386" s="9"/>
      <c r="P1386" s="14"/>
      <c r="Q1386" s="85"/>
      <c r="R1386" s="89"/>
      <c r="U1386" s="11" t="str">
        <f t="shared" si="214"/>
        <v/>
      </c>
      <c r="V1386" s="12" t="str">
        <f t="shared" si="215"/>
        <v/>
      </c>
      <c r="Z1386" s="15"/>
    </row>
    <row r="1387" spans="1:26" x14ac:dyDescent="0.25">
      <c r="A1387" s="15" t="str">
        <f>IF(C1387="","",COUNTA($C$3:C1387))</f>
        <v/>
      </c>
      <c r="B1387" s="15" t="str">
        <f t="shared" si="216"/>
        <v/>
      </c>
      <c r="M1387" s="9"/>
      <c r="N1387" s="9"/>
      <c r="P1387" s="14"/>
      <c r="Q1387" s="85"/>
      <c r="R1387" s="89"/>
      <c r="U1387" s="11" t="str">
        <f t="shared" si="214"/>
        <v/>
      </c>
      <c r="V1387" s="12" t="str">
        <f t="shared" si="215"/>
        <v/>
      </c>
      <c r="Z1387" s="15"/>
    </row>
    <row r="1388" spans="1:26" x14ac:dyDescent="0.25">
      <c r="A1388" s="15" t="str">
        <f>IF(C1388="","",COUNTA($C$3:C1388))</f>
        <v/>
      </c>
      <c r="B1388" s="15" t="str">
        <f t="shared" si="216"/>
        <v/>
      </c>
      <c r="M1388" s="9"/>
      <c r="N1388" s="9"/>
      <c r="P1388" s="14"/>
      <c r="Q1388" s="85"/>
      <c r="R1388" s="89"/>
      <c r="U1388" s="11" t="str">
        <f t="shared" si="214"/>
        <v/>
      </c>
      <c r="V1388" s="12" t="str">
        <f t="shared" si="215"/>
        <v/>
      </c>
      <c r="Z1388" s="15"/>
    </row>
    <row r="1389" spans="1:26" x14ac:dyDescent="0.25">
      <c r="A1389" s="15" t="str">
        <f>IF(C1389="","",COUNTA($C$3:C1389))</f>
        <v/>
      </c>
      <c r="B1389" s="15" t="str">
        <f t="shared" si="216"/>
        <v/>
      </c>
      <c r="M1389" s="9"/>
      <c r="N1389" s="9"/>
      <c r="P1389" s="14"/>
      <c r="Q1389" s="85"/>
      <c r="R1389" s="89"/>
      <c r="U1389" s="11" t="str">
        <f t="shared" si="214"/>
        <v/>
      </c>
      <c r="V1389" s="12" t="str">
        <f t="shared" si="215"/>
        <v/>
      </c>
      <c r="Z1389" s="15"/>
    </row>
    <row r="1390" spans="1:26" x14ac:dyDescent="0.25">
      <c r="A1390" s="15" t="str">
        <f>IF(C1390="","",COUNTA($C$3:C1390))</f>
        <v/>
      </c>
      <c r="B1390" s="15" t="str">
        <f t="shared" si="216"/>
        <v/>
      </c>
      <c r="M1390" s="9"/>
      <c r="N1390" s="9"/>
      <c r="P1390" s="14"/>
      <c r="Q1390" s="85"/>
      <c r="R1390" s="89"/>
      <c r="U1390" s="11" t="str">
        <f t="shared" si="214"/>
        <v/>
      </c>
      <c r="V1390" s="12" t="str">
        <f t="shared" si="215"/>
        <v/>
      </c>
      <c r="Z1390" s="15"/>
    </row>
    <row r="1391" spans="1:26" x14ac:dyDescent="0.25">
      <c r="A1391" s="15" t="str">
        <f>IF(C1391="","",COUNTA($C$3:C1391))</f>
        <v/>
      </c>
      <c r="B1391" s="15" t="str">
        <f t="shared" si="216"/>
        <v/>
      </c>
      <c r="M1391" s="9"/>
      <c r="N1391" s="9"/>
      <c r="P1391" s="14"/>
      <c r="Q1391" s="85"/>
      <c r="R1391" s="89"/>
      <c r="U1391" s="11" t="str">
        <f t="shared" si="214"/>
        <v/>
      </c>
      <c r="V1391" s="12" t="str">
        <f t="shared" si="215"/>
        <v/>
      </c>
      <c r="Z1391" s="15"/>
    </row>
    <row r="1392" spans="1:26" x14ac:dyDescent="0.25">
      <c r="A1392" s="15" t="str">
        <f>IF(C1392="","",COUNTA($C$3:C1392))</f>
        <v/>
      </c>
      <c r="B1392" s="15" t="str">
        <f t="shared" si="216"/>
        <v/>
      </c>
      <c r="M1392" s="9"/>
      <c r="N1392" s="9"/>
      <c r="P1392" s="14"/>
      <c r="Q1392" s="85"/>
      <c r="R1392" s="89"/>
      <c r="U1392" s="11" t="str">
        <f t="shared" si="214"/>
        <v/>
      </c>
      <c r="V1392" s="12" t="str">
        <f t="shared" si="215"/>
        <v/>
      </c>
      <c r="Z1392" s="15"/>
    </row>
    <row r="1393" spans="1:26" x14ac:dyDescent="0.25">
      <c r="A1393" s="15" t="str">
        <f>IF(C1393="","",COUNTA($C$3:C1393))</f>
        <v/>
      </c>
      <c r="B1393" s="15" t="str">
        <f t="shared" si="216"/>
        <v/>
      </c>
      <c r="M1393" s="9"/>
      <c r="N1393" s="9"/>
      <c r="P1393" s="14"/>
      <c r="Q1393" s="85"/>
      <c r="R1393" s="89"/>
      <c r="U1393" s="11" t="str">
        <f t="shared" si="214"/>
        <v/>
      </c>
      <c r="V1393" s="12" t="str">
        <f t="shared" si="215"/>
        <v/>
      </c>
      <c r="Z1393" s="15"/>
    </row>
    <row r="1394" spans="1:26" x14ac:dyDescent="0.25">
      <c r="A1394" s="15" t="str">
        <f>IF(C1394="","",COUNTA($C$3:C1394))</f>
        <v/>
      </c>
      <c r="B1394" s="15" t="str">
        <f t="shared" si="216"/>
        <v/>
      </c>
      <c r="M1394" s="9"/>
      <c r="N1394" s="9"/>
      <c r="P1394" s="14"/>
      <c r="Q1394" s="85"/>
      <c r="R1394" s="89"/>
      <c r="U1394" s="11" t="str">
        <f t="shared" si="214"/>
        <v/>
      </c>
      <c r="V1394" s="12" t="str">
        <f t="shared" si="215"/>
        <v/>
      </c>
      <c r="Z1394" s="15"/>
    </row>
    <row r="1395" spans="1:26" x14ac:dyDescent="0.25">
      <c r="A1395" s="15" t="str">
        <f>IF(C1395="","",COUNTA($C$3:C1395))</f>
        <v/>
      </c>
      <c r="B1395" s="15" t="str">
        <f t="shared" si="216"/>
        <v/>
      </c>
      <c r="M1395" s="9"/>
      <c r="N1395" s="9"/>
      <c r="P1395" s="14"/>
      <c r="Q1395" s="85"/>
      <c r="R1395" s="89"/>
      <c r="U1395" s="11" t="str">
        <f t="shared" si="214"/>
        <v/>
      </c>
      <c r="V1395" s="12" t="str">
        <f t="shared" si="215"/>
        <v/>
      </c>
      <c r="Z1395" s="15"/>
    </row>
    <row r="1396" spans="1:26" x14ac:dyDescent="0.25">
      <c r="A1396" s="15" t="str">
        <f>IF(C1396="","",COUNTA($C$3:C1396))</f>
        <v/>
      </c>
      <c r="B1396" s="15" t="str">
        <f t="shared" si="216"/>
        <v/>
      </c>
      <c r="M1396" s="9"/>
      <c r="N1396" s="9"/>
      <c r="P1396" s="14"/>
      <c r="Q1396" s="85"/>
      <c r="R1396" s="89"/>
      <c r="U1396" s="11" t="str">
        <f t="shared" si="214"/>
        <v/>
      </c>
      <c r="V1396" s="12" t="str">
        <f t="shared" si="215"/>
        <v/>
      </c>
      <c r="Z1396" s="15"/>
    </row>
    <row r="1397" spans="1:26" x14ac:dyDescent="0.25">
      <c r="A1397" s="15" t="str">
        <f>IF(C1397="","",COUNTA($C$3:C1397))</f>
        <v/>
      </c>
      <c r="B1397" s="15" t="str">
        <f t="shared" si="216"/>
        <v/>
      </c>
      <c r="M1397" s="9"/>
      <c r="N1397" s="9"/>
      <c r="P1397" s="14"/>
      <c r="Q1397" s="85"/>
      <c r="R1397" s="89"/>
      <c r="U1397" s="11" t="str">
        <f t="shared" si="214"/>
        <v/>
      </c>
      <c r="V1397" s="12" t="str">
        <f t="shared" si="215"/>
        <v/>
      </c>
      <c r="Z1397" s="15"/>
    </row>
    <row r="1398" spans="1:26" x14ac:dyDescent="0.25">
      <c r="A1398" s="15" t="str">
        <f>IF(C1398="","",COUNTA($C$3:C1398))</f>
        <v/>
      </c>
      <c r="B1398" s="15" t="str">
        <f t="shared" si="216"/>
        <v/>
      </c>
      <c r="M1398" s="9"/>
      <c r="N1398" s="9"/>
      <c r="P1398" s="14"/>
      <c r="Q1398" s="85"/>
      <c r="R1398" s="89"/>
      <c r="U1398" s="11" t="str">
        <f t="shared" si="214"/>
        <v/>
      </c>
      <c r="V1398" s="12" t="str">
        <f t="shared" si="215"/>
        <v/>
      </c>
      <c r="Z1398" s="15"/>
    </row>
    <row r="1399" spans="1:26" x14ac:dyDescent="0.25">
      <c r="A1399" s="15" t="str">
        <f>IF(C1399="","",COUNTA($C$3:C1399))</f>
        <v/>
      </c>
      <c r="B1399" s="15" t="str">
        <f t="shared" si="216"/>
        <v/>
      </c>
      <c r="M1399" s="9"/>
      <c r="N1399" s="9"/>
      <c r="P1399" s="14"/>
      <c r="Q1399" s="85"/>
      <c r="R1399" s="89"/>
      <c r="U1399" s="11" t="str">
        <f t="shared" si="214"/>
        <v/>
      </c>
      <c r="V1399" s="12" t="str">
        <f t="shared" si="215"/>
        <v/>
      </c>
      <c r="Z1399" s="15"/>
    </row>
    <row r="1400" spans="1:26" x14ac:dyDescent="0.25">
      <c r="A1400" s="15" t="str">
        <f>IF(C1400="","",COUNTA($C$3:C1400))</f>
        <v/>
      </c>
      <c r="B1400" s="15" t="str">
        <f t="shared" si="216"/>
        <v/>
      </c>
      <c r="M1400" s="9"/>
      <c r="N1400" s="9"/>
      <c r="P1400" s="14"/>
      <c r="Q1400" s="85"/>
      <c r="R1400" s="89"/>
      <c r="U1400" s="11" t="str">
        <f t="shared" si="214"/>
        <v/>
      </c>
      <c r="V1400" s="12" t="str">
        <f t="shared" si="215"/>
        <v/>
      </c>
      <c r="Z1400" s="15"/>
    </row>
    <row r="1401" spans="1:26" x14ac:dyDescent="0.25">
      <c r="A1401" s="15" t="str">
        <f>IF(C1401="","",COUNTA($C$3:C1401))</f>
        <v/>
      </c>
      <c r="B1401" s="15" t="str">
        <f t="shared" si="216"/>
        <v/>
      </c>
      <c r="M1401" s="9"/>
      <c r="N1401" s="9"/>
      <c r="P1401" s="14"/>
      <c r="Q1401" s="85"/>
      <c r="R1401" s="89"/>
      <c r="U1401" s="11" t="str">
        <f t="shared" si="214"/>
        <v/>
      </c>
      <c r="V1401" s="12" t="str">
        <f t="shared" si="215"/>
        <v/>
      </c>
      <c r="Z1401" s="15"/>
    </row>
    <row r="1402" spans="1:26" x14ac:dyDescent="0.25">
      <c r="A1402" s="15" t="str">
        <f>IF(C1402="","",COUNTA($C$3:C1402))</f>
        <v/>
      </c>
      <c r="B1402" s="15" t="str">
        <f t="shared" si="216"/>
        <v/>
      </c>
      <c r="M1402" s="9"/>
      <c r="N1402" s="9"/>
      <c r="P1402" s="14"/>
      <c r="Q1402" s="85"/>
      <c r="R1402" s="89"/>
      <c r="U1402" s="11" t="str">
        <f t="shared" si="214"/>
        <v/>
      </c>
      <c r="V1402" s="12" t="str">
        <f t="shared" si="215"/>
        <v/>
      </c>
      <c r="Z1402" s="15"/>
    </row>
    <row r="1403" spans="1:26" x14ac:dyDescent="0.25">
      <c r="A1403" s="15" t="str">
        <f>IF(C1403="","",COUNTA($C$3:C1403))</f>
        <v/>
      </c>
      <c r="B1403" s="15" t="str">
        <f t="shared" si="216"/>
        <v/>
      </c>
      <c r="M1403" s="9"/>
      <c r="N1403" s="9"/>
      <c r="P1403" s="14"/>
      <c r="Q1403" s="85"/>
      <c r="R1403" s="89"/>
      <c r="U1403" s="11" t="str">
        <f t="shared" si="214"/>
        <v/>
      </c>
      <c r="V1403" s="12" t="str">
        <f t="shared" si="215"/>
        <v/>
      </c>
      <c r="Z1403" s="15"/>
    </row>
    <row r="1404" spans="1:26" x14ac:dyDescent="0.25">
      <c r="A1404" s="15" t="str">
        <f>IF(C1404="","",COUNTA($C$3:C1404))</f>
        <v/>
      </c>
      <c r="B1404" s="15" t="str">
        <f t="shared" si="216"/>
        <v/>
      </c>
      <c r="M1404" s="9"/>
      <c r="N1404" s="9"/>
      <c r="P1404" s="14"/>
      <c r="Q1404" s="85"/>
      <c r="R1404" s="89"/>
      <c r="U1404" s="11" t="str">
        <f t="shared" si="214"/>
        <v/>
      </c>
      <c r="V1404" s="12" t="str">
        <f t="shared" si="215"/>
        <v/>
      </c>
      <c r="Z1404" s="15"/>
    </row>
    <row r="1405" spans="1:26" x14ac:dyDescent="0.25">
      <c r="A1405" s="15" t="str">
        <f>IF(C1405="","",COUNTA($C$3:C1405))</f>
        <v/>
      </c>
      <c r="B1405" s="15" t="str">
        <f t="shared" si="216"/>
        <v/>
      </c>
      <c r="M1405" s="9"/>
      <c r="N1405" s="9"/>
      <c r="P1405" s="14"/>
      <c r="Q1405" s="85"/>
      <c r="R1405" s="89"/>
      <c r="U1405" s="11" t="str">
        <f t="shared" si="214"/>
        <v/>
      </c>
      <c r="V1405" s="12" t="str">
        <f t="shared" si="215"/>
        <v/>
      </c>
      <c r="Z1405" s="15"/>
    </row>
    <row r="1406" spans="1:26" x14ac:dyDescent="0.25">
      <c r="A1406" s="15" t="str">
        <f>IF(C1406="","",COUNTA($C$3:C1406))</f>
        <v/>
      </c>
      <c r="B1406" s="15" t="str">
        <f t="shared" si="216"/>
        <v/>
      </c>
      <c r="M1406" s="9"/>
      <c r="N1406" s="9"/>
      <c r="P1406" s="14"/>
      <c r="Q1406" s="85"/>
      <c r="R1406" s="89"/>
      <c r="U1406" s="11" t="str">
        <f t="shared" si="214"/>
        <v/>
      </c>
      <c r="V1406" s="12" t="str">
        <f t="shared" si="215"/>
        <v/>
      </c>
      <c r="Z1406" s="15"/>
    </row>
    <row r="1407" spans="1:26" x14ac:dyDescent="0.25">
      <c r="A1407" s="15" t="str">
        <f>IF(C1407="","",COUNTA($C$3:C1407))</f>
        <v/>
      </c>
      <c r="B1407" s="15" t="str">
        <f t="shared" si="216"/>
        <v/>
      </c>
      <c r="M1407" s="9"/>
      <c r="N1407" s="9"/>
      <c r="P1407" s="14"/>
      <c r="Q1407" s="85"/>
      <c r="R1407" s="89"/>
      <c r="U1407" s="11" t="str">
        <f t="shared" si="214"/>
        <v/>
      </c>
      <c r="V1407" s="12" t="str">
        <f t="shared" si="215"/>
        <v/>
      </c>
      <c r="Z1407" s="15"/>
    </row>
    <row r="1408" spans="1:26" x14ac:dyDescent="0.25">
      <c r="A1408" s="15" t="str">
        <f>IF(C1408="","",COUNTA($C$3:C1408))</f>
        <v/>
      </c>
      <c r="B1408" s="15" t="str">
        <f t="shared" si="216"/>
        <v/>
      </c>
      <c r="M1408" s="9"/>
      <c r="N1408" s="9"/>
      <c r="P1408" s="14"/>
      <c r="Q1408" s="85"/>
      <c r="R1408" s="89"/>
      <c r="U1408" s="11" t="str">
        <f t="shared" si="214"/>
        <v/>
      </c>
      <c r="V1408" s="12" t="str">
        <f t="shared" si="215"/>
        <v/>
      </c>
      <c r="Z1408" s="15"/>
    </row>
    <row r="1409" spans="1:26" x14ac:dyDescent="0.25">
      <c r="A1409" s="15" t="str">
        <f>IF(C1409="","",COUNTA($C$3:C1409))</f>
        <v/>
      </c>
      <c r="B1409" s="15" t="str">
        <f t="shared" si="216"/>
        <v/>
      </c>
      <c r="M1409" s="9"/>
      <c r="N1409" s="9"/>
      <c r="P1409" s="14"/>
      <c r="Q1409" s="85"/>
      <c r="R1409" s="89"/>
      <c r="U1409" s="11" t="str">
        <f t="shared" si="214"/>
        <v/>
      </c>
      <c r="V1409" s="12" t="str">
        <f t="shared" si="215"/>
        <v/>
      </c>
      <c r="Z1409" s="15"/>
    </row>
    <row r="1410" spans="1:26" x14ac:dyDescent="0.25">
      <c r="A1410" s="15" t="str">
        <f>IF(C1410="","",COUNTA($C$3:C1410))</f>
        <v/>
      </c>
      <c r="B1410" s="15" t="str">
        <f t="shared" si="216"/>
        <v/>
      </c>
      <c r="M1410" s="9"/>
      <c r="N1410" s="9"/>
      <c r="P1410" s="14"/>
      <c r="Q1410" s="85"/>
      <c r="R1410" s="89"/>
      <c r="U1410" s="11" t="str">
        <f t="shared" ref="U1410:U1473" si="217">IF(S1410="","",(S1410-T1410))</f>
        <v/>
      </c>
      <c r="V1410" s="12" t="str">
        <f t="shared" ref="V1410:V1473" si="218">IF(U1410="","",(U1410/T1410))</f>
        <v/>
      </c>
      <c r="Z1410" s="15"/>
    </row>
    <row r="1411" spans="1:26" x14ac:dyDescent="0.25">
      <c r="A1411" s="15" t="str">
        <f>IF(C1411="","",COUNTA($C$3:C1411))</f>
        <v/>
      </c>
      <c r="B1411" s="15" t="str">
        <f t="shared" ref="B1411:B1474" si="219">IF(C1411="","",TEXT(C1411,"mmmm"))</f>
        <v/>
      </c>
      <c r="M1411" s="9"/>
      <c r="N1411" s="9"/>
      <c r="P1411" s="14"/>
      <c r="Q1411" s="85"/>
      <c r="R1411" s="89"/>
      <c r="U1411" s="11" t="str">
        <f t="shared" si="217"/>
        <v/>
      </c>
      <c r="V1411" s="12" t="str">
        <f t="shared" si="218"/>
        <v/>
      </c>
      <c r="Z1411" s="15"/>
    </row>
    <row r="1412" spans="1:26" x14ac:dyDescent="0.25">
      <c r="A1412" s="15" t="str">
        <f>IF(C1412="","",COUNTA($C$3:C1412))</f>
        <v/>
      </c>
      <c r="B1412" s="15" t="str">
        <f t="shared" si="219"/>
        <v/>
      </c>
      <c r="M1412" s="9"/>
      <c r="N1412" s="9"/>
      <c r="P1412" s="14"/>
      <c r="Q1412" s="85"/>
      <c r="R1412" s="89"/>
      <c r="U1412" s="11" t="str">
        <f t="shared" si="217"/>
        <v/>
      </c>
      <c r="V1412" s="12" t="str">
        <f t="shared" si="218"/>
        <v/>
      </c>
      <c r="Z1412" s="15"/>
    </row>
    <row r="1413" spans="1:26" x14ac:dyDescent="0.25">
      <c r="A1413" s="15" t="str">
        <f>IF(C1413="","",COUNTA($C$3:C1413))</f>
        <v/>
      </c>
      <c r="B1413" s="15" t="str">
        <f t="shared" si="219"/>
        <v/>
      </c>
      <c r="M1413" s="9"/>
      <c r="N1413" s="9"/>
      <c r="P1413" s="14"/>
      <c r="Q1413" s="85"/>
      <c r="R1413" s="89"/>
      <c r="U1413" s="11" t="str">
        <f t="shared" si="217"/>
        <v/>
      </c>
      <c r="V1413" s="12" t="str">
        <f t="shared" si="218"/>
        <v/>
      </c>
      <c r="Z1413" s="15"/>
    </row>
    <row r="1414" spans="1:26" x14ac:dyDescent="0.25">
      <c r="A1414" s="15" t="str">
        <f>IF(C1414="","",COUNTA($C$3:C1414))</f>
        <v/>
      </c>
      <c r="B1414" s="15" t="str">
        <f t="shared" si="219"/>
        <v/>
      </c>
      <c r="M1414" s="9"/>
      <c r="N1414" s="9"/>
      <c r="P1414" s="14"/>
      <c r="Q1414" s="85"/>
      <c r="R1414" s="89"/>
      <c r="U1414" s="11" t="str">
        <f t="shared" si="217"/>
        <v/>
      </c>
      <c r="V1414" s="12" t="str">
        <f t="shared" si="218"/>
        <v/>
      </c>
      <c r="Z1414" s="15"/>
    </row>
    <row r="1415" spans="1:26" x14ac:dyDescent="0.25">
      <c r="A1415" s="15" t="str">
        <f>IF(C1415="","",COUNTA($C$3:C1415))</f>
        <v/>
      </c>
      <c r="B1415" s="15" t="str">
        <f t="shared" si="219"/>
        <v/>
      </c>
      <c r="M1415" s="9"/>
      <c r="N1415" s="9"/>
      <c r="P1415" s="14"/>
      <c r="Q1415" s="85"/>
      <c r="R1415" s="89"/>
      <c r="U1415" s="11" t="str">
        <f t="shared" si="217"/>
        <v/>
      </c>
      <c r="V1415" s="12" t="str">
        <f t="shared" si="218"/>
        <v/>
      </c>
      <c r="Z1415" s="15"/>
    </row>
    <row r="1416" spans="1:26" x14ac:dyDescent="0.25">
      <c r="A1416" s="15" t="str">
        <f>IF(C1416="","",COUNTA($C$3:C1416))</f>
        <v/>
      </c>
      <c r="B1416" s="15" t="str">
        <f t="shared" si="219"/>
        <v/>
      </c>
      <c r="M1416" s="9"/>
      <c r="N1416" s="9"/>
      <c r="P1416" s="14"/>
      <c r="Q1416" s="85"/>
      <c r="R1416" s="89"/>
      <c r="U1416" s="11" t="str">
        <f t="shared" si="217"/>
        <v/>
      </c>
      <c r="V1416" s="12" t="str">
        <f t="shared" si="218"/>
        <v/>
      </c>
      <c r="Z1416" s="15"/>
    </row>
    <row r="1417" spans="1:26" x14ac:dyDescent="0.25">
      <c r="A1417" s="15" t="str">
        <f>IF(C1417="","",COUNTA($C$3:C1417))</f>
        <v/>
      </c>
      <c r="B1417" s="15" t="str">
        <f t="shared" si="219"/>
        <v/>
      </c>
      <c r="M1417" s="9"/>
      <c r="N1417" s="9"/>
      <c r="P1417" s="14"/>
      <c r="Q1417" s="85"/>
      <c r="R1417" s="89"/>
      <c r="U1417" s="11" t="str">
        <f t="shared" si="217"/>
        <v/>
      </c>
      <c r="V1417" s="12" t="str">
        <f t="shared" si="218"/>
        <v/>
      </c>
      <c r="Z1417" s="15"/>
    </row>
    <row r="1418" spans="1:26" x14ac:dyDescent="0.25">
      <c r="A1418" s="15" t="str">
        <f>IF(C1418="","",COUNTA($C$3:C1418))</f>
        <v/>
      </c>
      <c r="B1418" s="15" t="str">
        <f t="shared" si="219"/>
        <v/>
      </c>
      <c r="M1418" s="9"/>
      <c r="N1418" s="9"/>
      <c r="P1418" s="14"/>
      <c r="Q1418" s="85"/>
      <c r="R1418" s="89"/>
      <c r="U1418" s="11" t="str">
        <f t="shared" si="217"/>
        <v/>
      </c>
      <c r="V1418" s="12" t="str">
        <f t="shared" si="218"/>
        <v/>
      </c>
      <c r="Z1418" s="15"/>
    </row>
    <row r="1419" spans="1:26" x14ac:dyDescent="0.25">
      <c r="A1419" s="15" t="str">
        <f>IF(C1419="","",COUNTA($C$3:C1419))</f>
        <v/>
      </c>
      <c r="B1419" s="15" t="str">
        <f t="shared" si="219"/>
        <v/>
      </c>
      <c r="M1419" s="9"/>
      <c r="N1419" s="9"/>
      <c r="P1419" s="14"/>
      <c r="Q1419" s="85"/>
      <c r="R1419" s="89"/>
      <c r="U1419" s="11" t="str">
        <f t="shared" si="217"/>
        <v/>
      </c>
      <c r="V1419" s="12" t="str">
        <f t="shared" si="218"/>
        <v/>
      </c>
      <c r="Z1419" s="15"/>
    </row>
    <row r="1420" spans="1:26" x14ac:dyDescent="0.25">
      <c r="A1420" s="15" t="str">
        <f>IF(C1420="","",COUNTA($C$3:C1420))</f>
        <v/>
      </c>
      <c r="B1420" s="15" t="str">
        <f t="shared" si="219"/>
        <v/>
      </c>
      <c r="M1420" s="9"/>
      <c r="N1420" s="9"/>
      <c r="P1420" s="14"/>
      <c r="Q1420" s="85"/>
      <c r="R1420" s="89"/>
      <c r="U1420" s="11" t="str">
        <f t="shared" si="217"/>
        <v/>
      </c>
      <c r="V1420" s="12" t="str">
        <f t="shared" si="218"/>
        <v/>
      </c>
      <c r="Z1420" s="15"/>
    </row>
    <row r="1421" spans="1:26" x14ac:dyDescent="0.25">
      <c r="A1421" s="15" t="str">
        <f>IF(C1421="","",COUNTA($C$3:C1421))</f>
        <v/>
      </c>
      <c r="B1421" s="15" t="str">
        <f t="shared" si="219"/>
        <v/>
      </c>
      <c r="M1421" s="9"/>
      <c r="N1421" s="9"/>
      <c r="P1421" s="14"/>
      <c r="Q1421" s="85"/>
      <c r="R1421" s="89"/>
      <c r="U1421" s="11" t="str">
        <f t="shared" si="217"/>
        <v/>
      </c>
      <c r="V1421" s="12" t="str">
        <f t="shared" si="218"/>
        <v/>
      </c>
      <c r="Z1421" s="15"/>
    </row>
    <row r="1422" spans="1:26" x14ac:dyDescent="0.25">
      <c r="A1422" s="15" t="str">
        <f>IF(C1422="","",COUNTA($C$3:C1422))</f>
        <v/>
      </c>
      <c r="B1422" s="15" t="str">
        <f t="shared" si="219"/>
        <v/>
      </c>
      <c r="M1422" s="9"/>
      <c r="N1422" s="9"/>
      <c r="P1422" s="14"/>
      <c r="Q1422" s="85"/>
      <c r="R1422" s="89"/>
      <c r="U1422" s="11" t="str">
        <f t="shared" si="217"/>
        <v/>
      </c>
      <c r="V1422" s="12" t="str">
        <f t="shared" si="218"/>
        <v/>
      </c>
      <c r="Z1422" s="15"/>
    </row>
    <row r="1423" spans="1:26" x14ac:dyDescent="0.25">
      <c r="A1423" s="15" t="str">
        <f>IF(C1423="","",COUNTA($C$3:C1423))</f>
        <v/>
      </c>
      <c r="B1423" s="15" t="str">
        <f t="shared" si="219"/>
        <v/>
      </c>
      <c r="M1423" s="9"/>
      <c r="N1423" s="9"/>
      <c r="P1423" s="14"/>
      <c r="Q1423" s="85"/>
      <c r="R1423" s="89"/>
      <c r="U1423" s="11" t="str">
        <f t="shared" si="217"/>
        <v/>
      </c>
      <c r="V1423" s="12" t="str">
        <f t="shared" si="218"/>
        <v/>
      </c>
      <c r="Z1423" s="15"/>
    </row>
    <row r="1424" spans="1:26" x14ac:dyDescent="0.25">
      <c r="A1424" s="15" t="str">
        <f>IF(C1424="","",COUNTA($C$3:C1424))</f>
        <v/>
      </c>
      <c r="B1424" s="15" t="str">
        <f t="shared" si="219"/>
        <v/>
      </c>
      <c r="M1424" s="9"/>
      <c r="N1424" s="9"/>
      <c r="P1424" s="14"/>
      <c r="Q1424" s="85"/>
      <c r="R1424" s="89"/>
      <c r="U1424" s="11" t="str">
        <f t="shared" si="217"/>
        <v/>
      </c>
      <c r="V1424" s="12" t="str">
        <f t="shared" si="218"/>
        <v/>
      </c>
      <c r="Z1424" s="15"/>
    </row>
    <row r="1425" spans="1:26" x14ac:dyDescent="0.25">
      <c r="A1425" s="15" t="str">
        <f>IF(C1425="","",COUNTA($C$3:C1425))</f>
        <v/>
      </c>
      <c r="B1425" s="15" t="str">
        <f t="shared" si="219"/>
        <v/>
      </c>
      <c r="M1425" s="9"/>
      <c r="N1425" s="9"/>
      <c r="P1425" s="14"/>
      <c r="Q1425" s="85"/>
      <c r="R1425" s="89"/>
      <c r="U1425" s="11" t="str">
        <f t="shared" si="217"/>
        <v/>
      </c>
      <c r="V1425" s="12" t="str">
        <f t="shared" si="218"/>
        <v/>
      </c>
      <c r="Z1425" s="15"/>
    </row>
    <row r="1426" spans="1:26" x14ac:dyDescent="0.25">
      <c r="A1426" s="15" t="str">
        <f>IF(C1426="","",COUNTA($C$3:C1426))</f>
        <v/>
      </c>
      <c r="B1426" s="15" t="str">
        <f t="shared" si="219"/>
        <v/>
      </c>
      <c r="M1426" s="9"/>
      <c r="N1426" s="9"/>
      <c r="P1426" s="14"/>
      <c r="Q1426" s="85"/>
      <c r="R1426" s="89"/>
      <c r="U1426" s="11" t="str">
        <f t="shared" si="217"/>
        <v/>
      </c>
      <c r="V1426" s="12" t="str">
        <f t="shared" si="218"/>
        <v/>
      </c>
      <c r="Z1426" s="15"/>
    </row>
    <row r="1427" spans="1:26" x14ac:dyDescent="0.25">
      <c r="A1427" s="15" t="str">
        <f>IF(C1427="","",COUNTA($C$3:C1427))</f>
        <v/>
      </c>
      <c r="B1427" s="15" t="str">
        <f t="shared" si="219"/>
        <v/>
      </c>
      <c r="M1427" s="9"/>
      <c r="N1427" s="9"/>
      <c r="P1427" s="14"/>
      <c r="Q1427" s="85"/>
      <c r="R1427" s="89"/>
      <c r="U1427" s="11" t="str">
        <f t="shared" si="217"/>
        <v/>
      </c>
      <c r="V1427" s="12" t="str">
        <f t="shared" si="218"/>
        <v/>
      </c>
      <c r="Z1427" s="15"/>
    </row>
    <row r="1428" spans="1:26" x14ac:dyDescent="0.25">
      <c r="A1428" s="15" t="str">
        <f>IF(C1428="","",COUNTA($C$3:C1428))</f>
        <v/>
      </c>
      <c r="B1428" s="15" t="str">
        <f t="shared" si="219"/>
        <v/>
      </c>
      <c r="M1428" s="9"/>
      <c r="N1428" s="9"/>
      <c r="P1428" s="14"/>
      <c r="Q1428" s="85"/>
      <c r="R1428" s="89"/>
      <c r="U1428" s="11" t="str">
        <f t="shared" si="217"/>
        <v/>
      </c>
      <c r="V1428" s="12" t="str">
        <f t="shared" si="218"/>
        <v/>
      </c>
      <c r="Z1428" s="15"/>
    </row>
    <row r="1429" spans="1:26" x14ac:dyDescent="0.25">
      <c r="A1429" s="15" t="str">
        <f>IF(C1429="","",COUNTA($C$3:C1429))</f>
        <v/>
      </c>
      <c r="B1429" s="15" t="str">
        <f t="shared" si="219"/>
        <v/>
      </c>
      <c r="M1429" s="9"/>
      <c r="N1429" s="9"/>
      <c r="P1429" s="14"/>
      <c r="Q1429" s="85"/>
      <c r="R1429" s="89"/>
      <c r="U1429" s="11" t="str">
        <f t="shared" si="217"/>
        <v/>
      </c>
      <c r="V1429" s="12" t="str">
        <f t="shared" si="218"/>
        <v/>
      </c>
      <c r="Z1429" s="15"/>
    </row>
    <row r="1430" spans="1:26" x14ac:dyDescent="0.25">
      <c r="A1430" s="15" t="str">
        <f>IF(C1430="","",COUNTA($C$3:C1430))</f>
        <v/>
      </c>
      <c r="B1430" s="15" t="str">
        <f t="shared" si="219"/>
        <v/>
      </c>
      <c r="M1430" s="9"/>
      <c r="N1430" s="9"/>
      <c r="P1430" s="14"/>
      <c r="Q1430" s="85"/>
      <c r="R1430" s="89"/>
      <c r="U1430" s="11" t="str">
        <f t="shared" si="217"/>
        <v/>
      </c>
      <c r="V1430" s="12" t="str">
        <f t="shared" si="218"/>
        <v/>
      </c>
      <c r="Z1430" s="15"/>
    </row>
    <row r="1431" spans="1:26" x14ac:dyDescent="0.25">
      <c r="A1431" s="15" t="str">
        <f>IF(C1431="","",COUNTA($C$3:C1431))</f>
        <v/>
      </c>
      <c r="B1431" s="15" t="str">
        <f t="shared" si="219"/>
        <v/>
      </c>
      <c r="M1431" s="9"/>
      <c r="N1431" s="9"/>
      <c r="P1431" s="14"/>
      <c r="Q1431" s="85"/>
      <c r="R1431" s="89"/>
      <c r="U1431" s="11" t="str">
        <f t="shared" si="217"/>
        <v/>
      </c>
      <c r="V1431" s="12" t="str">
        <f t="shared" si="218"/>
        <v/>
      </c>
      <c r="Z1431" s="15"/>
    </row>
    <row r="1432" spans="1:26" x14ac:dyDescent="0.25">
      <c r="A1432" s="15" t="str">
        <f>IF(C1432="","",COUNTA($C$3:C1432))</f>
        <v/>
      </c>
      <c r="B1432" s="15" t="str">
        <f t="shared" si="219"/>
        <v/>
      </c>
      <c r="M1432" s="9"/>
      <c r="N1432" s="9"/>
      <c r="P1432" s="14"/>
      <c r="Q1432" s="85"/>
      <c r="R1432" s="89"/>
      <c r="U1432" s="11" t="str">
        <f t="shared" si="217"/>
        <v/>
      </c>
      <c r="V1432" s="12" t="str">
        <f t="shared" si="218"/>
        <v/>
      </c>
      <c r="Z1432" s="15"/>
    </row>
    <row r="1433" spans="1:26" x14ac:dyDescent="0.25">
      <c r="A1433" s="15" t="str">
        <f>IF(C1433="","",COUNTA($C$3:C1433))</f>
        <v/>
      </c>
      <c r="B1433" s="15" t="str">
        <f t="shared" si="219"/>
        <v/>
      </c>
      <c r="M1433" s="9"/>
      <c r="N1433" s="9"/>
      <c r="P1433" s="14"/>
      <c r="Q1433" s="85"/>
      <c r="R1433" s="89"/>
      <c r="U1433" s="11" t="str">
        <f t="shared" si="217"/>
        <v/>
      </c>
      <c r="V1433" s="12" t="str">
        <f t="shared" si="218"/>
        <v/>
      </c>
      <c r="Z1433" s="15"/>
    </row>
    <row r="1434" spans="1:26" x14ac:dyDescent="0.25">
      <c r="A1434" s="15" t="str">
        <f>IF(C1434="","",COUNTA($C$3:C1434))</f>
        <v/>
      </c>
      <c r="B1434" s="15" t="str">
        <f t="shared" si="219"/>
        <v/>
      </c>
      <c r="M1434" s="9"/>
      <c r="N1434" s="9"/>
      <c r="P1434" s="14"/>
      <c r="Q1434" s="85"/>
      <c r="R1434" s="89"/>
      <c r="U1434" s="11" t="str">
        <f t="shared" si="217"/>
        <v/>
      </c>
      <c r="V1434" s="12" t="str">
        <f t="shared" si="218"/>
        <v/>
      </c>
      <c r="Z1434" s="15"/>
    </row>
    <row r="1435" spans="1:26" x14ac:dyDescent="0.25">
      <c r="A1435" s="15" t="str">
        <f>IF(C1435="","",COUNTA($C$3:C1435))</f>
        <v/>
      </c>
      <c r="B1435" s="15" t="str">
        <f t="shared" si="219"/>
        <v/>
      </c>
      <c r="M1435" s="9"/>
      <c r="N1435" s="9"/>
      <c r="P1435" s="14"/>
      <c r="Q1435" s="85"/>
      <c r="R1435" s="89"/>
      <c r="U1435" s="11" t="str">
        <f t="shared" si="217"/>
        <v/>
      </c>
      <c r="V1435" s="12" t="str">
        <f t="shared" si="218"/>
        <v/>
      </c>
      <c r="Z1435" s="15"/>
    </row>
    <row r="1436" spans="1:26" x14ac:dyDescent="0.25">
      <c r="A1436" s="15" t="str">
        <f>IF(C1436="","",COUNTA($C$3:C1436))</f>
        <v/>
      </c>
      <c r="B1436" s="15" t="str">
        <f t="shared" si="219"/>
        <v/>
      </c>
      <c r="M1436" s="9"/>
      <c r="N1436" s="9"/>
      <c r="P1436" s="14"/>
      <c r="Q1436" s="85"/>
      <c r="R1436" s="89"/>
      <c r="U1436" s="11" t="str">
        <f t="shared" si="217"/>
        <v/>
      </c>
      <c r="V1436" s="12" t="str">
        <f t="shared" si="218"/>
        <v/>
      </c>
      <c r="Z1436" s="15"/>
    </row>
    <row r="1437" spans="1:26" x14ac:dyDescent="0.25">
      <c r="A1437" s="15" t="str">
        <f>IF(C1437="","",COUNTA($C$3:C1437))</f>
        <v/>
      </c>
      <c r="B1437" s="15" t="str">
        <f t="shared" si="219"/>
        <v/>
      </c>
      <c r="M1437" s="9"/>
      <c r="N1437" s="9"/>
      <c r="P1437" s="14"/>
      <c r="Q1437" s="85"/>
      <c r="R1437" s="89"/>
      <c r="U1437" s="11" t="str">
        <f t="shared" si="217"/>
        <v/>
      </c>
      <c r="V1437" s="12" t="str">
        <f t="shared" si="218"/>
        <v/>
      </c>
      <c r="Z1437" s="15"/>
    </row>
    <row r="1438" spans="1:26" x14ac:dyDescent="0.25">
      <c r="A1438" s="15" t="str">
        <f>IF(C1438="","",COUNTA($C$3:C1438))</f>
        <v/>
      </c>
      <c r="B1438" s="15" t="str">
        <f t="shared" si="219"/>
        <v/>
      </c>
      <c r="M1438" s="9"/>
      <c r="N1438" s="9"/>
      <c r="P1438" s="14"/>
      <c r="Q1438" s="85"/>
      <c r="R1438" s="89"/>
      <c r="U1438" s="11" t="str">
        <f t="shared" si="217"/>
        <v/>
      </c>
      <c r="V1438" s="12" t="str">
        <f t="shared" si="218"/>
        <v/>
      </c>
      <c r="Z1438" s="15"/>
    </row>
    <row r="1439" spans="1:26" x14ac:dyDescent="0.25">
      <c r="A1439" s="15" t="str">
        <f>IF(C1439="","",COUNTA($C$3:C1439))</f>
        <v/>
      </c>
      <c r="B1439" s="15" t="str">
        <f t="shared" si="219"/>
        <v/>
      </c>
      <c r="M1439" s="9"/>
      <c r="N1439" s="9"/>
      <c r="P1439" s="14"/>
      <c r="Q1439" s="85"/>
      <c r="R1439" s="89"/>
      <c r="U1439" s="11" t="str">
        <f t="shared" si="217"/>
        <v/>
      </c>
      <c r="V1439" s="12" t="str">
        <f t="shared" si="218"/>
        <v/>
      </c>
      <c r="Z1439" s="15"/>
    </row>
    <row r="1440" spans="1:26" x14ac:dyDescent="0.25">
      <c r="A1440" s="15" t="str">
        <f>IF(C1440="","",COUNTA($C$3:C1440))</f>
        <v/>
      </c>
      <c r="B1440" s="15" t="str">
        <f t="shared" si="219"/>
        <v/>
      </c>
      <c r="M1440" s="9"/>
      <c r="N1440" s="9"/>
      <c r="P1440" s="14"/>
      <c r="Q1440" s="85"/>
      <c r="R1440" s="89"/>
      <c r="U1440" s="11" t="str">
        <f t="shared" si="217"/>
        <v/>
      </c>
      <c r="V1440" s="12" t="str">
        <f t="shared" si="218"/>
        <v/>
      </c>
      <c r="Z1440" s="15"/>
    </row>
    <row r="1441" spans="1:26" x14ac:dyDescent="0.25">
      <c r="A1441" s="15" t="str">
        <f>IF(C1441="","",COUNTA($C$3:C1441))</f>
        <v/>
      </c>
      <c r="B1441" s="15" t="str">
        <f t="shared" si="219"/>
        <v/>
      </c>
      <c r="M1441" s="9"/>
      <c r="N1441" s="9"/>
      <c r="P1441" s="14"/>
      <c r="Q1441" s="85"/>
      <c r="R1441" s="89"/>
      <c r="U1441" s="11" t="str">
        <f t="shared" si="217"/>
        <v/>
      </c>
      <c r="V1441" s="12" t="str">
        <f t="shared" si="218"/>
        <v/>
      </c>
      <c r="Z1441" s="15"/>
    </row>
    <row r="1442" spans="1:26" x14ac:dyDescent="0.25">
      <c r="A1442" s="15" t="str">
        <f>IF(C1442="","",COUNTA($C$3:C1442))</f>
        <v/>
      </c>
      <c r="B1442" s="15" t="str">
        <f t="shared" si="219"/>
        <v/>
      </c>
      <c r="M1442" s="9"/>
      <c r="N1442" s="9"/>
      <c r="P1442" s="14"/>
      <c r="Q1442" s="85"/>
      <c r="R1442" s="89"/>
      <c r="U1442" s="11" t="str">
        <f t="shared" si="217"/>
        <v/>
      </c>
      <c r="V1442" s="12" t="str">
        <f t="shared" si="218"/>
        <v/>
      </c>
      <c r="Z1442" s="15"/>
    </row>
    <row r="1443" spans="1:26" x14ac:dyDescent="0.25">
      <c r="A1443" s="15" t="str">
        <f>IF(C1443="","",COUNTA($C$3:C1443))</f>
        <v/>
      </c>
      <c r="B1443" s="15" t="str">
        <f t="shared" si="219"/>
        <v/>
      </c>
      <c r="M1443" s="9"/>
      <c r="N1443" s="9"/>
      <c r="P1443" s="14"/>
      <c r="Q1443" s="85"/>
      <c r="R1443" s="89"/>
      <c r="U1443" s="11" t="str">
        <f t="shared" si="217"/>
        <v/>
      </c>
      <c r="V1443" s="12" t="str">
        <f t="shared" si="218"/>
        <v/>
      </c>
      <c r="Z1443" s="15"/>
    </row>
    <row r="1444" spans="1:26" x14ac:dyDescent="0.25">
      <c r="A1444" s="15" t="str">
        <f>IF(C1444="","",COUNTA($C$3:C1444))</f>
        <v/>
      </c>
      <c r="B1444" s="15" t="str">
        <f t="shared" si="219"/>
        <v/>
      </c>
      <c r="M1444" s="9"/>
      <c r="N1444" s="9"/>
      <c r="P1444" s="14"/>
      <c r="Q1444" s="85"/>
      <c r="R1444" s="89"/>
      <c r="U1444" s="11" t="str">
        <f t="shared" si="217"/>
        <v/>
      </c>
      <c r="V1444" s="12" t="str">
        <f t="shared" si="218"/>
        <v/>
      </c>
      <c r="Z1444" s="15"/>
    </row>
    <row r="1445" spans="1:26" x14ac:dyDescent="0.25">
      <c r="A1445" s="15" t="str">
        <f>IF(C1445="","",COUNTA($C$3:C1445))</f>
        <v/>
      </c>
      <c r="B1445" s="15" t="str">
        <f t="shared" si="219"/>
        <v/>
      </c>
      <c r="M1445" s="9"/>
      <c r="N1445" s="9"/>
      <c r="P1445" s="14"/>
      <c r="Q1445" s="85"/>
      <c r="R1445" s="89"/>
      <c r="U1445" s="11" t="str">
        <f t="shared" si="217"/>
        <v/>
      </c>
      <c r="V1445" s="12" t="str">
        <f t="shared" si="218"/>
        <v/>
      </c>
      <c r="Z1445" s="15"/>
    </row>
    <row r="1446" spans="1:26" x14ac:dyDescent="0.25">
      <c r="A1446" s="15" t="str">
        <f>IF(C1446="","",COUNTA($C$3:C1446))</f>
        <v/>
      </c>
      <c r="B1446" s="15" t="str">
        <f t="shared" si="219"/>
        <v/>
      </c>
      <c r="M1446" s="9"/>
      <c r="N1446" s="9"/>
      <c r="P1446" s="14"/>
      <c r="Q1446" s="85"/>
      <c r="R1446" s="89"/>
      <c r="U1446" s="11" t="str">
        <f t="shared" si="217"/>
        <v/>
      </c>
      <c r="V1446" s="12" t="str">
        <f t="shared" si="218"/>
        <v/>
      </c>
      <c r="Z1446" s="15"/>
    </row>
    <row r="1447" spans="1:26" x14ac:dyDescent="0.25">
      <c r="A1447" s="15" t="str">
        <f>IF(C1447="","",COUNTA($C$3:C1447))</f>
        <v/>
      </c>
      <c r="B1447" s="15" t="str">
        <f t="shared" si="219"/>
        <v/>
      </c>
      <c r="M1447" s="9"/>
      <c r="N1447" s="9"/>
      <c r="P1447" s="14"/>
      <c r="Q1447" s="85"/>
      <c r="R1447" s="89"/>
      <c r="U1447" s="11" t="str">
        <f t="shared" si="217"/>
        <v/>
      </c>
      <c r="V1447" s="12" t="str">
        <f t="shared" si="218"/>
        <v/>
      </c>
      <c r="Z1447" s="15"/>
    </row>
    <row r="1448" spans="1:26" x14ac:dyDescent="0.25">
      <c r="A1448" s="15" t="str">
        <f>IF(C1448="","",COUNTA($C$3:C1448))</f>
        <v/>
      </c>
      <c r="B1448" s="15" t="str">
        <f t="shared" si="219"/>
        <v/>
      </c>
      <c r="M1448" s="9"/>
      <c r="N1448" s="9"/>
      <c r="P1448" s="14"/>
      <c r="Q1448" s="85"/>
      <c r="R1448" s="89"/>
      <c r="U1448" s="11" t="str">
        <f t="shared" si="217"/>
        <v/>
      </c>
      <c r="V1448" s="12" t="str">
        <f t="shared" si="218"/>
        <v/>
      </c>
      <c r="Z1448" s="15"/>
    </row>
    <row r="1449" spans="1:26" x14ac:dyDescent="0.25">
      <c r="A1449" s="15" t="str">
        <f>IF(C1449="","",COUNTA($C$3:C1449))</f>
        <v/>
      </c>
      <c r="B1449" s="15" t="str">
        <f t="shared" si="219"/>
        <v/>
      </c>
      <c r="M1449" s="9"/>
      <c r="N1449" s="9"/>
      <c r="P1449" s="14"/>
      <c r="Q1449" s="85"/>
      <c r="R1449" s="89"/>
      <c r="U1449" s="11" t="str">
        <f t="shared" si="217"/>
        <v/>
      </c>
      <c r="V1449" s="12" t="str">
        <f t="shared" si="218"/>
        <v/>
      </c>
      <c r="Z1449" s="15"/>
    </row>
    <row r="1450" spans="1:26" x14ac:dyDescent="0.25">
      <c r="A1450" s="15" t="str">
        <f>IF(C1450="","",COUNTA($C$3:C1450))</f>
        <v/>
      </c>
      <c r="B1450" s="15" t="str">
        <f t="shared" si="219"/>
        <v/>
      </c>
      <c r="M1450" s="9"/>
      <c r="N1450" s="9"/>
      <c r="P1450" s="14"/>
      <c r="Q1450" s="85"/>
      <c r="R1450" s="89"/>
      <c r="U1450" s="11" t="str">
        <f t="shared" si="217"/>
        <v/>
      </c>
      <c r="V1450" s="12" t="str">
        <f t="shared" si="218"/>
        <v/>
      </c>
      <c r="Z1450" s="15"/>
    </row>
    <row r="1451" spans="1:26" x14ac:dyDescent="0.25">
      <c r="A1451" s="15" t="str">
        <f>IF(C1451="","",COUNTA($C$3:C1451))</f>
        <v/>
      </c>
      <c r="B1451" s="15" t="str">
        <f t="shared" si="219"/>
        <v/>
      </c>
      <c r="M1451" s="9"/>
      <c r="N1451" s="9"/>
      <c r="P1451" s="14"/>
      <c r="Q1451" s="85"/>
      <c r="R1451" s="89"/>
      <c r="U1451" s="11" t="str">
        <f t="shared" si="217"/>
        <v/>
      </c>
      <c r="V1451" s="12" t="str">
        <f t="shared" si="218"/>
        <v/>
      </c>
      <c r="Z1451" s="15"/>
    </row>
    <row r="1452" spans="1:26" x14ac:dyDescent="0.25">
      <c r="A1452" s="15" t="str">
        <f>IF(C1452="","",COUNTA($C$3:C1452))</f>
        <v/>
      </c>
      <c r="B1452" s="15" t="str">
        <f t="shared" si="219"/>
        <v/>
      </c>
      <c r="M1452" s="9"/>
      <c r="N1452" s="9"/>
      <c r="P1452" s="14"/>
      <c r="Q1452" s="85"/>
      <c r="R1452" s="89"/>
      <c r="U1452" s="11" t="str">
        <f t="shared" si="217"/>
        <v/>
      </c>
      <c r="V1452" s="12" t="str">
        <f t="shared" si="218"/>
        <v/>
      </c>
      <c r="Z1452" s="15"/>
    </row>
    <row r="1453" spans="1:26" x14ac:dyDescent="0.25">
      <c r="A1453" s="15" t="str">
        <f>IF(C1453="","",COUNTA($C$3:C1453))</f>
        <v/>
      </c>
      <c r="B1453" s="15" t="str">
        <f t="shared" si="219"/>
        <v/>
      </c>
      <c r="M1453" s="9"/>
      <c r="N1453" s="9"/>
      <c r="P1453" s="14"/>
      <c r="Q1453" s="85"/>
      <c r="R1453" s="89"/>
      <c r="U1453" s="11" t="str">
        <f t="shared" si="217"/>
        <v/>
      </c>
      <c r="V1453" s="12" t="str">
        <f t="shared" si="218"/>
        <v/>
      </c>
      <c r="Z1453" s="15"/>
    </row>
    <row r="1454" spans="1:26" x14ac:dyDescent="0.25">
      <c r="A1454" s="15" t="str">
        <f>IF(C1454="","",COUNTA($C$3:C1454))</f>
        <v/>
      </c>
      <c r="B1454" s="15" t="str">
        <f t="shared" si="219"/>
        <v/>
      </c>
      <c r="M1454" s="9"/>
      <c r="N1454" s="9"/>
      <c r="P1454" s="14"/>
      <c r="Q1454" s="85"/>
      <c r="R1454" s="89"/>
      <c r="U1454" s="11" t="str">
        <f t="shared" si="217"/>
        <v/>
      </c>
      <c r="V1454" s="12" t="str">
        <f t="shared" si="218"/>
        <v/>
      </c>
      <c r="Z1454" s="15"/>
    </row>
    <row r="1455" spans="1:26" x14ac:dyDescent="0.25">
      <c r="A1455" s="15" t="str">
        <f>IF(C1455="","",COUNTA($C$3:C1455))</f>
        <v/>
      </c>
      <c r="B1455" s="15" t="str">
        <f t="shared" si="219"/>
        <v/>
      </c>
      <c r="M1455" s="9"/>
      <c r="N1455" s="9"/>
      <c r="P1455" s="14"/>
      <c r="Q1455" s="85"/>
      <c r="R1455" s="89"/>
      <c r="U1455" s="11" t="str">
        <f t="shared" si="217"/>
        <v/>
      </c>
      <c r="V1455" s="12" t="str">
        <f t="shared" si="218"/>
        <v/>
      </c>
      <c r="Z1455" s="15"/>
    </row>
    <row r="1456" spans="1:26" x14ac:dyDescent="0.25">
      <c r="A1456" s="15" t="str">
        <f>IF(C1456="","",COUNTA($C$3:C1456))</f>
        <v/>
      </c>
      <c r="B1456" s="15" t="str">
        <f t="shared" si="219"/>
        <v/>
      </c>
      <c r="M1456" s="9"/>
      <c r="N1456" s="9"/>
      <c r="P1456" s="14"/>
      <c r="Q1456" s="85"/>
      <c r="R1456" s="89"/>
      <c r="U1456" s="11" t="str">
        <f t="shared" si="217"/>
        <v/>
      </c>
      <c r="V1456" s="12" t="str">
        <f t="shared" si="218"/>
        <v/>
      </c>
      <c r="Z1456" s="15"/>
    </row>
    <row r="1457" spans="1:26" x14ac:dyDescent="0.25">
      <c r="A1457" s="15" t="str">
        <f>IF(C1457="","",COUNTA($C$3:C1457))</f>
        <v/>
      </c>
      <c r="B1457" s="15" t="str">
        <f t="shared" si="219"/>
        <v/>
      </c>
      <c r="M1457" s="9"/>
      <c r="N1457" s="9"/>
      <c r="P1457" s="14"/>
      <c r="Q1457" s="85"/>
      <c r="R1457" s="89"/>
      <c r="U1457" s="11" t="str">
        <f t="shared" si="217"/>
        <v/>
      </c>
      <c r="V1457" s="12" t="str">
        <f t="shared" si="218"/>
        <v/>
      </c>
      <c r="Z1457" s="15"/>
    </row>
    <row r="1458" spans="1:26" x14ac:dyDescent="0.25">
      <c r="A1458" s="15" t="str">
        <f>IF(C1458="","",COUNTA($C$3:C1458))</f>
        <v/>
      </c>
      <c r="B1458" s="15" t="str">
        <f t="shared" si="219"/>
        <v/>
      </c>
      <c r="M1458" s="9"/>
      <c r="N1458" s="9"/>
      <c r="P1458" s="14"/>
      <c r="Q1458" s="85"/>
      <c r="R1458" s="89"/>
      <c r="U1458" s="11" t="str">
        <f t="shared" si="217"/>
        <v/>
      </c>
      <c r="V1458" s="12" t="str">
        <f t="shared" si="218"/>
        <v/>
      </c>
      <c r="Z1458" s="15"/>
    </row>
    <row r="1459" spans="1:26" x14ac:dyDescent="0.25">
      <c r="A1459" s="15" t="str">
        <f>IF(C1459="","",COUNTA($C$3:C1459))</f>
        <v/>
      </c>
      <c r="B1459" s="15" t="str">
        <f t="shared" si="219"/>
        <v/>
      </c>
      <c r="M1459" s="9"/>
      <c r="N1459" s="9"/>
      <c r="P1459" s="14"/>
      <c r="Q1459" s="85"/>
      <c r="R1459" s="89"/>
      <c r="U1459" s="11" t="str">
        <f t="shared" si="217"/>
        <v/>
      </c>
      <c r="V1459" s="12" t="str">
        <f t="shared" si="218"/>
        <v/>
      </c>
      <c r="Z1459" s="15"/>
    </row>
    <row r="1460" spans="1:26" x14ac:dyDescent="0.25">
      <c r="A1460" s="15" t="str">
        <f>IF(C1460="","",COUNTA($C$3:C1460))</f>
        <v/>
      </c>
      <c r="B1460" s="15" t="str">
        <f t="shared" si="219"/>
        <v/>
      </c>
      <c r="M1460" s="9"/>
      <c r="N1460" s="9"/>
      <c r="P1460" s="14"/>
      <c r="Q1460" s="85"/>
      <c r="R1460" s="89"/>
      <c r="U1460" s="11" t="str">
        <f t="shared" si="217"/>
        <v/>
      </c>
      <c r="V1460" s="12" t="str">
        <f t="shared" si="218"/>
        <v/>
      </c>
      <c r="Z1460" s="15"/>
    </row>
    <row r="1461" spans="1:26" x14ac:dyDescent="0.25">
      <c r="A1461" s="15" t="str">
        <f>IF(C1461="","",COUNTA($C$3:C1461))</f>
        <v/>
      </c>
      <c r="B1461" s="15" t="str">
        <f t="shared" si="219"/>
        <v/>
      </c>
      <c r="M1461" s="9"/>
      <c r="N1461" s="9"/>
      <c r="P1461" s="14"/>
      <c r="Q1461" s="85"/>
      <c r="R1461" s="89"/>
      <c r="U1461" s="11" t="str">
        <f t="shared" si="217"/>
        <v/>
      </c>
      <c r="V1461" s="12" t="str">
        <f t="shared" si="218"/>
        <v/>
      </c>
      <c r="Z1461" s="15"/>
    </row>
    <row r="1462" spans="1:26" x14ac:dyDescent="0.25">
      <c r="A1462" s="15" t="str">
        <f>IF(C1462="","",COUNTA($C$3:C1462))</f>
        <v/>
      </c>
      <c r="B1462" s="15" t="str">
        <f t="shared" si="219"/>
        <v/>
      </c>
      <c r="M1462" s="9"/>
      <c r="N1462" s="9"/>
      <c r="P1462" s="14"/>
      <c r="Q1462" s="85"/>
      <c r="R1462" s="89"/>
      <c r="U1462" s="11" t="str">
        <f t="shared" si="217"/>
        <v/>
      </c>
      <c r="V1462" s="12" t="str">
        <f t="shared" si="218"/>
        <v/>
      </c>
      <c r="Z1462" s="15"/>
    </row>
    <row r="1463" spans="1:26" x14ac:dyDescent="0.25">
      <c r="A1463" s="15" t="str">
        <f>IF(C1463="","",COUNTA($C$3:C1463))</f>
        <v/>
      </c>
      <c r="B1463" s="15" t="str">
        <f t="shared" si="219"/>
        <v/>
      </c>
      <c r="M1463" s="9"/>
      <c r="N1463" s="9"/>
      <c r="P1463" s="14"/>
      <c r="Q1463" s="85"/>
      <c r="R1463" s="89"/>
      <c r="U1463" s="11" t="str">
        <f t="shared" si="217"/>
        <v/>
      </c>
      <c r="V1463" s="12" t="str">
        <f t="shared" si="218"/>
        <v/>
      </c>
      <c r="Z1463" s="15"/>
    </row>
    <row r="1464" spans="1:26" x14ac:dyDescent="0.25">
      <c r="A1464" s="15" t="str">
        <f>IF(C1464="","",COUNTA($C$3:C1464))</f>
        <v/>
      </c>
      <c r="B1464" s="15" t="str">
        <f t="shared" si="219"/>
        <v/>
      </c>
      <c r="M1464" s="9"/>
      <c r="N1464" s="9"/>
      <c r="P1464" s="14"/>
      <c r="Q1464" s="85"/>
      <c r="R1464" s="89"/>
      <c r="U1464" s="11" t="str">
        <f t="shared" si="217"/>
        <v/>
      </c>
      <c r="V1464" s="12" t="str">
        <f t="shared" si="218"/>
        <v/>
      </c>
      <c r="Z1464" s="15"/>
    </row>
    <row r="1465" spans="1:26" x14ac:dyDescent="0.25">
      <c r="A1465" s="15" t="str">
        <f>IF(C1465="","",COUNTA($C$3:C1465))</f>
        <v/>
      </c>
      <c r="B1465" s="15" t="str">
        <f t="shared" si="219"/>
        <v/>
      </c>
      <c r="M1465" s="9"/>
      <c r="N1465" s="9"/>
      <c r="P1465" s="14"/>
      <c r="Q1465" s="85"/>
      <c r="R1465" s="89"/>
      <c r="U1465" s="11" t="str">
        <f t="shared" si="217"/>
        <v/>
      </c>
      <c r="V1465" s="12" t="str">
        <f t="shared" si="218"/>
        <v/>
      </c>
      <c r="Z1465" s="15"/>
    </row>
    <row r="1466" spans="1:26" x14ac:dyDescent="0.25">
      <c r="A1466" s="15" t="str">
        <f>IF(C1466="","",COUNTA($C$3:C1466))</f>
        <v/>
      </c>
      <c r="B1466" s="15" t="str">
        <f t="shared" si="219"/>
        <v/>
      </c>
      <c r="M1466" s="9"/>
      <c r="N1466" s="9"/>
      <c r="P1466" s="14"/>
      <c r="Q1466" s="85"/>
      <c r="R1466" s="89"/>
      <c r="U1466" s="11" t="str">
        <f t="shared" si="217"/>
        <v/>
      </c>
      <c r="V1466" s="12" t="str">
        <f t="shared" si="218"/>
        <v/>
      </c>
      <c r="Z1466" s="15"/>
    </row>
    <row r="1467" spans="1:26" x14ac:dyDescent="0.25">
      <c r="A1467" s="15" t="str">
        <f>IF(C1467="","",COUNTA($C$3:C1467))</f>
        <v/>
      </c>
      <c r="B1467" s="15" t="str">
        <f t="shared" si="219"/>
        <v/>
      </c>
      <c r="M1467" s="9"/>
      <c r="N1467" s="9"/>
      <c r="P1467" s="14"/>
      <c r="Q1467" s="85"/>
      <c r="R1467" s="89"/>
      <c r="U1467" s="11" t="str">
        <f t="shared" si="217"/>
        <v/>
      </c>
      <c r="V1467" s="12" t="str">
        <f t="shared" si="218"/>
        <v/>
      </c>
      <c r="Z1467" s="15"/>
    </row>
    <row r="1468" spans="1:26" x14ac:dyDescent="0.25">
      <c r="A1468" s="15" t="str">
        <f>IF(C1468="","",COUNTA($C$3:C1468))</f>
        <v/>
      </c>
      <c r="B1468" s="15" t="str">
        <f t="shared" si="219"/>
        <v/>
      </c>
      <c r="M1468" s="9"/>
      <c r="N1468" s="9"/>
      <c r="P1468" s="14"/>
      <c r="Q1468" s="85"/>
      <c r="R1468" s="89"/>
      <c r="U1468" s="11" t="str">
        <f t="shared" si="217"/>
        <v/>
      </c>
      <c r="V1468" s="12" t="str">
        <f t="shared" si="218"/>
        <v/>
      </c>
      <c r="Z1468" s="15"/>
    </row>
    <row r="1469" spans="1:26" x14ac:dyDescent="0.25">
      <c r="A1469" s="15" t="str">
        <f>IF(C1469="","",COUNTA($C$3:C1469))</f>
        <v/>
      </c>
      <c r="B1469" s="15" t="str">
        <f t="shared" si="219"/>
        <v/>
      </c>
      <c r="M1469" s="9"/>
      <c r="N1469" s="9"/>
      <c r="P1469" s="14"/>
      <c r="Q1469" s="85"/>
      <c r="R1469" s="89"/>
      <c r="U1469" s="11" t="str">
        <f t="shared" si="217"/>
        <v/>
      </c>
      <c r="V1469" s="12" t="str">
        <f t="shared" si="218"/>
        <v/>
      </c>
      <c r="Z1469" s="15"/>
    </row>
    <row r="1470" spans="1:26" x14ac:dyDescent="0.25">
      <c r="A1470" s="15" t="str">
        <f>IF(C1470="","",COUNTA($C$3:C1470))</f>
        <v/>
      </c>
      <c r="B1470" s="15" t="str">
        <f t="shared" si="219"/>
        <v/>
      </c>
      <c r="M1470" s="9"/>
      <c r="N1470" s="9"/>
      <c r="P1470" s="14"/>
      <c r="Q1470" s="85"/>
      <c r="R1470" s="89"/>
      <c r="U1470" s="11" t="str">
        <f t="shared" si="217"/>
        <v/>
      </c>
      <c r="V1470" s="12" t="str">
        <f t="shared" si="218"/>
        <v/>
      </c>
      <c r="Z1470" s="15"/>
    </row>
    <row r="1471" spans="1:26" x14ac:dyDescent="0.25">
      <c r="A1471" s="15" t="str">
        <f>IF(C1471="","",COUNTA($C$3:C1471))</f>
        <v/>
      </c>
      <c r="B1471" s="15" t="str">
        <f t="shared" si="219"/>
        <v/>
      </c>
      <c r="M1471" s="9"/>
      <c r="N1471" s="9"/>
      <c r="P1471" s="14"/>
      <c r="Q1471" s="85"/>
      <c r="R1471" s="89"/>
      <c r="U1471" s="11" t="str">
        <f t="shared" si="217"/>
        <v/>
      </c>
      <c r="V1471" s="12" t="str">
        <f t="shared" si="218"/>
        <v/>
      </c>
      <c r="Z1471" s="15"/>
    </row>
    <row r="1472" spans="1:26" x14ac:dyDescent="0.25">
      <c r="A1472" s="15" t="str">
        <f>IF(C1472="","",COUNTA($C$3:C1472))</f>
        <v/>
      </c>
      <c r="B1472" s="15" t="str">
        <f t="shared" si="219"/>
        <v/>
      </c>
      <c r="M1472" s="9"/>
      <c r="N1472" s="9"/>
      <c r="P1472" s="14"/>
      <c r="Q1472" s="85"/>
      <c r="R1472" s="89"/>
      <c r="U1472" s="11" t="str">
        <f t="shared" si="217"/>
        <v/>
      </c>
      <c r="V1472" s="12" t="str">
        <f t="shared" si="218"/>
        <v/>
      </c>
      <c r="Z1472" s="15"/>
    </row>
    <row r="1473" spans="1:26" x14ac:dyDescent="0.25">
      <c r="A1473" s="15" t="str">
        <f>IF(C1473="","",COUNTA($C$3:C1473))</f>
        <v/>
      </c>
      <c r="B1473" s="15" t="str">
        <f t="shared" si="219"/>
        <v/>
      </c>
      <c r="M1473" s="9"/>
      <c r="N1473" s="9"/>
      <c r="P1473" s="14"/>
      <c r="Q1473" s="85"/>
      <c r="R1473" s="89"/>
      <c r="U1473" s="11" t="str">
        <f t="shared" si="217"/>
        <v/>
      </c>
      <c r="V1473" s="12" t="str">
        <f t="shared" si="218"/>
        <v/>
      </c>
      <c r="Z1473" s="15"/>
    </row>
    <row r="1474" spans="1:26" x14ac:dyDescent="0.25">
      <c r="A1474" s="15" t="str">
        <f>IF(C1474="","",COUNTA($C$3:C1474))</f>
        <v/>
      </c>
      <c r="B1474" s="15" t="str">
        <f t="shared" si="219"/>
        <v/>
      </c>
      <c r="M1474" s="9"/>
      <c r="N1474" s="9"/>
      <c r="P1474" s="14"/>
      <c r="Q1474" s="85"/>
      <c r="R1474" s="89"/>
      <c r="U1474" s="11" t="str">
        <f t="shared" ref="U1474:U1537" si="220">IF(S1474="","",(S1474-T1474))</f>
        <v/>
      </c>
      <c r="V1474" s="12" t="str">
        <f t="shared" ref="V1474:V1537" si="221">IF(U1474="","",(U1474/T1474))</f>
        <v/>
      </c>
      <c r="Z1474" s="15"/>
    </row>
    <row r="1475" spans="1:26" x14ac:dyDescent="0.25">
      <c r="A1475" s="15" t="str">
        <f>IF(C1475="","",COUNTA($C$3:C1475))</f>
        <v/>
      </c>
      <c r="B1475" s="15" t="str">
        <f t="shared" ref="B1475:B1538" si="222">IF(C1475="","",TEXT(C1475,"mmmm"))</f>
        <v/>
      </c>
      <c r="M1475" s="9"/>
      <c r="N1475" s="9"/>
      <c r="P1475" s="14"/>
      <c r="Q1475" s="85"/>
      <c r="R1475" s="89"/>
      <c r="U1475" s="11" t="str">
        <f t="shared" si="220"/>
        <v/>
      </c>
      <c r="V1475" s="12" t="str">
        <f t="shared" si="221"/>
        <v/>
      </c>
      <c r="Z1475" s="15"/>
    </row>
    <row r="1476" spans="1:26" x14ac:dyDescent="0.25">
      <c r="A1476" s="15" t="str">
        <f>IF(C1476="","",COUNTA($C$3:C1476))</f>
        <v/>
      </c>
      <c r="B1476" s="15" t="str">
        <f t="shared" si="222"/>
        <v/>
      </c>
      <c r="M1476" s="9"/>
      <c r="N1476" s="9"/>
      <c r="P1476" s="14"/>
      <c r="Q1476" s="85"/>
      <c r="R1476" s="89"/>
      <c r="U1476" s="11" t="str">
        <f t="shared" si="220"/>
        <v/>
      </c>
      <c r="V1476" s="12" t="str">
        <f t="shared" si="221"/>
        <v/>
      </c>
      <c r="Z1476" s="15"/>
    </row>
    <row r="1477" spans="1:26" x14ac:dyDescent="0.25">
      <c r="A1477" s="15" t="str">
        <f>IF(C1477="","",COUNTA($C$3:C1477))</f>
        <v/>
      </c>
      <c r="B1477" s="15" t="str">
        <f t="shared" si="222"/>
        <v/>
      </c>
      <c r="M1477" s="9"/>
      <c r="N1477" s="9"/>
      <c r="P1477" s="14"/>
      <c r="Q1477" s="85"/>
      <c r="R1477" s="89"/>
      <c r="U1477" s="11" t="str">
        <f t="shared" si="220"/>
        <v/>
      </c>
      <c r="V1477" s="12" t="str">
        <f t="shared" si="221"/>
        <v/>
      </c>
      <c r="Z1477" s="15"/>
    </row>
    <row r="1478" spans="1:26" x14ac:dyDescent="0.25">
      <c r="A1478" s="15" t="str">
        <f>IF(C1478="","",COUNTA($C$3:C1478))</f>
        <v/>
      </c>
      <c r="B1478" s="15" t="str">
        <f t="shared" si="222"/>
        <v/>
      </c>
      <c r="M1478" s="9"/>
      <c r="N1478" s="9"/>
      <c r="P1478" s="14"/>
      <c r="Q1478" s="85"/>
      <c r="R1478" s="89"/>
      <c r="U1478" s="11" t="str">
        <f t="shared" si="220"/>
        <v/>
      </c>
      <c r="V1478" s="12" t="str">
        <f t="shared" si="221"/>
        <v/>
      </c>
      <c r="Z1478" s="15"/>
    </row>
    <row r="1479" spans="1:26" x14ac:dyDescent="0.25">
      <c r="A1479" s="15" t="str">
        <f>IF(C1479="","",COUNTA($C$3:C1479))</f>
        <v/>
      </c>
      <c r="B1479" s="15" t="str">
        <f t="shared" si="222"/>
        <v/>
      </c>
      <c r="M1479" s="9"/>
      <c r="N1479" s="9"/>
      <c r="P1479" s="14"/>
      <c r="Q1479" s="85"/>
      <c r="R1479" s="89"/>
      <c r="U1479" s="11" t="str">
        <f t="shared" si="220"/>
        <v/>
      </c>
      <c r="V1479" s="12" t="str">
        <f t="shared" si="221"/>
        <v/>
      </c>
      <c r="Z1479" s="15"/>
    </row>
    <row r="1480" spans="1:26" x14ac:dyDescent="0.25">
      <c r="A1480" s="15" t="str">
        <f>IF(C1480="","",COUNTA($C$3:C1480))</f>
        <v/>
      </c>
      <c r="B1480" s="15" t="str">
        <f t="shared" si="222"/>
        <v/>
      </c>
      <c r="M1480" s="9"/>
      <c r="N1480" s="9"/>
      <c r="P1480" s="14"/>
      <c r="Q1480" s="85"/>
      <c r="R1480" s="89"/>
      <c r="U1480" s="11" t="str">
        <f t="shared" si="220"/>
        <v/>
      </c>
      <c r="V1480" s="12" t="str">
        <f t="shared" si="221"/>
        <v/>
      </c>
      <c r="Z1480" s="15"/>
    </row>
    <row r="1481" spans="1:26" x14ac:dyDescent="0.25">
      <c r="A1481" s="15" t="str">
        <f>IF(C1481="","",COUNTA($C$3:C1481))</f>
        <v/>
      </c>
      <c r="B1481" s="15" t="str">
        <f t="shared" si="222"/>
        <v/>
      </c>
      <c r="M1481" s="9"/>
      <c r="N1481" s="9"/>
      <c r="P1481" s="14"/>
      <c r="Q1481" s="85"/>
      <c r="R1481" s="89"/>
      <c r="U1481" s="11" t="str">
        <f t="shared" si="220"/>
        <v/>
      </c>
      <c r="V1481" s="12" t="str">
        <f t="shared" si="221"/>
        <v/>
      </c>
      <c r="Z1481" s="15"/>
    </row>
    <row r="1482" spans="1:26" x14ac:dyDescent="0.25">
      <c r="A1482" s="15" t="str">
        <f>IF(C1482="","",COUNTA($C$3:C1482))</f>
        <v/>
      </c>
      <c r="B1482" s="15" t="str">
        <f t="shared" si="222"/>
        <v/>
      </c>
      <c r="M1482" s="9"/>
      <c r="N1482" s="9"/>
      <c r="P1482" s="14"/>
      <c r="Q1482" s="85"/>
      <c r="R1482" s="89"/>
      <c r="U1482" s="11" t="str">
        <f t="shared" si="220"/>
        <v/>
      </c>
      <c r="V1482" s="12" t="str">
        <f t="shared" si="221"/>
        <v/>
      </c>
      <c r="Z1482" s="15"/>
    </row>
    <row r="1483" spans="1:26" x14ac:dyDescent="0.25">
      <c r="A1483" s="15" t="str">
        <f>IF(C1483="","",COUNTA($C$3:C1483))</f>
        <v/>
      </c>
      <c r="B1483" s="15" t="str">
        <f t="shared" si="222"/>
        <v/>
      </c>
      <c r="M1483" s="9"/>
      <c r="N1483" s="9"/>
      <c r="P1483" s="14"/>
      <c r="Q1483" s="85"/>
      <c r="R1483" s="89"/>
      <c r="U1483" s="11" t="str">
        <f t="shared" si="220"/>
        <v/>
      </c>
      <c r="V1483" s="12" t="str">
        <f t="shared" si="221"/>
        <v/>
      </c>
      <c r="Z1483" s="15"/>
    </row>
    <row r="1484" spans="1:26" x14ac:dyDescent="0.25">
      <c r="A1484" s="15" t="str">
        <f>IF(C1484="","",COUNTA($C$3:C1484))</f>
        <v/>
      </c>
      <c r="B1484" s="15" t="str">
        <f t="shared" si="222"/>
        <v/>
      </c>
      <c r="M1484" s="9"/>
      <c r="N1484" s="9"/>
      <c r="P1484" s="14"/>
      <c r="Q1484" s="85"/>
      <c r="R1484" s="89"/>
      <c r="U1484" s="11" t="str">
        <f t="shared" si="220"/>
        <v/>
      </c>
      <c r="V1484" s="12" t="str">
        <f t="shared" si="221"/>
        <v/>
      </c>
      <c r="Z1484" s="15"/>
    </row>
    <row r="1485" spans="1:26" x14ac:dyDescent="0.25">
      <c r="A1485" s="15" t="str">
        <f>IF(C1485="","",COUNTA($C$3:C1485))</f>
        <v/>
      </c>
      <c r="B1485" s="15" t="str">
        <f t="shared" si="222"/>
        <v/>
      </c>
      <c r="M1485" s="9"/>
      <c r="N1485" s="9"/>
      <c r="P1485" s="14"/>
      <c r="Q1485" s="85"/>
      <c r="R1485" s="89"/>
      <c r="U1485" s="11" t="str">
        <f t="shared" si="220"/>
        <v/>
      </c>
      <c r="V1485" s="12" t="str">
        <f t="shared" si="221"/>
        <v/>
      </c>
      <c r="Z1485" s="15"/>
    </row>
    <row r="1486" spans="1:26" x14ac:dyDescent="0.25">
      <c r="A1486" s="15" t="str">
        <f>IF(C1486="","",COUNTA($C$3:C1486))</f>
        <v/>
      </c>
      <c r="B1486" s="15" t="str">
        <f t="shared" si="222"/>
        <v/>
      </c>
      <c r="M1486" s="9"/>
      <c r="N1486" s="9"/>
      <c r="P1486" s="14"/>
      <c r="Q1486" s="85"/>
      <c r="R1486" s="89"/>
      <c r="U1486" s="11" t="str">
        <f t="shared" si="220"/>
        <v/>
      </c>
      <c r="V1486" s="12" t="str">
        <f t="shared" si="221"/>
        <v/>
      </c>
      <c r="Z1486" s="15"/>
    </row>
    <row r="1487" spans="1:26" x14ac:dyDescent="0.25">
      <c r="A1487" s="15" t="str">
        <f>IF(C1487="","",COUNTA($C$3:C1487))</f>
        <v/>
      </c>
      <c r="B1487" s="15" t="str">
        <f t="shared" si="222"/>
        <v/>
      </c>
      <c r="M1487" s="9"/>
      <c r="N1487" s="9"/>
      <c r="P1487" s="14"/>
      <c r="Q1487" s="85"/>
      <c r="R1487" s="89"/>
      <c r="U1487" s="11" t="str">
        <f t="shared" si="220"/>
        <v/>
      </c>
      <c r="V1487" s="12" t="str">
        <f t="shared" si="221"/>
        <v/>
      </c>
      <c r="Z1487" s="15"/>
    </row>
    <row r="1488" spans="1:26" x14ac:dyDescent="0.25">
      <c r="A1488" s="15" t="str">
        <f>IF(C1488="","",COUNTA($C$3:C1488))</f>
        <v/>
      </c>
      <c r="B1488" s="15" t="str">
        <f t="shared" si="222"/>
        <v/>
      </c>
      <c r="M1488" s="9"/>
      <c r="N1488" s="9"/>
      <c r="P1488" s="14"/>
      <c r="Q1488" s="85"/>
      <c r="R1488" s="89"/>
      <c r="U1488" s="11" t="str">
        <f t="shared" si="220"/>
        <v/>
      </c>
      <c r="V1488" s="12" t="str">
        <f t="shared" si="221"/>
        <v/>
      </c>
      <c r="Z1488" s="15"/>
    </row>
    <row r="1489" spans="1:26" x14ac:dyDescent="0.25">
      <c r="A1489" s="15" t="str">
        <f>IF(C1489="","",COUNTA($C$3:C1489))</f>
        <v/>
      </c>
      <c r="B1489" s="15" t="str">
        <f t="shared" si="222"/>
        <v/>
      </c>
      <c r="M1489" s="9"/>
      <c r="N1489" s="9"/>
      <c r="P1489" s="14"/>
      <c r="Q1489" s="85"/>
      <c r="R1489" s="89"/>
      <c r="U1489" s="11" t="str">
        <f t="shared" si="220"/>
        <v/>
      </c>
      <c r="V1489" s="12" t="str">
        <f t="shared" si="221"/>
        <v/>
      </c>
      <c r="Z1489" s="15"/>
    </row>
    <row r="1490" spans="1:26" x14ac:dyDescent="0.25">
      <c r="A1490" s="15" t="str">
        <f>IF(C1490="","",COUNTA($C$3:C1490))</f>
        <v/>
      </c>
      <c r="B1490" s="15" t="str">
        <f t="shared" si="222"/>
        <v/>
      </c>
      <c r="M1490" s="9"/>
      <c r="N1490" s="9"/>
      <c r="P1490" s="14"/>
      <c r="Q1490" s="85"/>
      <c r="R1490" s="89"/>
      <c r="U1490" s="11" t="str">
        <f t="shared" si="220"/>
        <v/>
      </c>
      <c r="V1490" s="12" t="str">
        <f t="shared" si="221"/>
        <v/>
      </c>
      <c r="Z1490" s="15"/>
    </row>
    <row r="1491" spans="1:26" x14ac:dyDescent="0.25">
      <c r="A1491" s="15" t="str">
        <f>IF(C1491="","",COUNTA($C$3:C1491))</f>
        <v/>
      </c>
      <c r="B1491" s="15" t="str">
        <f t="shared" si="222"/>
        <v/>
      </c>
      <c r="M1491" s="9"/>
      <c r="N1491" s="9"/>
      <c r="P1491" s="14"/>
      <c r="Q1491" s="85"/>
      <c r="R1491" s="89"/>
      <c r="U1491" s="11" t="str">
        <f t="shared" si="220"/>
        <v/>
      </c>
      <c r="V1491" s="12" t="str">
        <f t="shared" si="221"/>
        <v/>
      </c>
      <c r="Z1491" s="15"/>
    </row>
    <row r="1492" spans="1:26" x14ac:dyDescent="0.25">
      <c r="A1492" s="15" t="str">
        <f>IF(C1492="","",COUNTA($C$3:C1492))</f>
        <v/>
      </c>
      <c r="B1492" s="15" t="str">
        <f t="shared" si="222"/>
        <v/>
      </c>
      <c r="M1492" s="9"/>
      <c r="N1492" s="9"/>
      <c r="P1492" s="14"/>
      <c r="Q1492" s="85"/>
      <c r="R1492" s="89"/>
      <c r="U1492" s="11" t="str">
        <f t="shared" si="220"/>
        <v/>
      </c>
      <c r="V1492" s="12" t="str">
        <f t="shared" si="221"/>
        <v/>
      </c>
      <c r="Z1492" s="15"/>
    </row>
    <row r="1493" spans="1:26" x14ac:dyDescent="0.25">
      <c r="A1493" s="15" t="str">
        <f>IF(C1493="","",COUNTA($C$3:C1493))</f>
        <v/>
      </c>
      <c r="B1493" s="15" t="str">
        <f t="shared" si="222"/>
        <v/>
      </c>
      <c r="M1493" s="9"/>
      <c r="N1493" s="9"/>
      <c r="P1493" s="14"/>
      <c r="Q1493" s="85"/>
      <c r="R1493" s="89"/>
      <c r="U1493" s="11" t="str">
        <f t="shared" si="220"/>
        <v/>
      </c>
      <c r="V1493" s="12" t="str">
        <f t="shared" si="221"/>
        <v/>
      </c>
      <c r="Z1493" s="15"/>
    </row>
    <row r="1494" spans="1:26" x14ac:dyDescent="0.25">
      <c r="A1494" s="15" t="str">
        <f>IF(C1494="","",COUNTA($C$3:C1494))</f>
        <v/>
      </c>
      <c r="B1494" s="15" t="str">
        <f t="shared" si="222"/>
        <v/>
      </c>
      <c r="M1494" s="9"/>
      <c r="N1494" s="9"/>
      <c r="P1494" s="14"/>
      <c r="Q1494" s="85"/>
      <c r="R1494" s="89"/>
      <c r="U1494" s="11" t="str">
        <f t="shared" si="220"/>
        <v/>
      </c>
      <c r="V1494" s="12" t="str">
        <f t="shared" si="221"/>
        <v/>
      </c>
      <c r="Z1494" s="15"/>
    </row>
    <row r="1495" spans="1:26" x14ac:dyDescent="0.25">
      <c r="A1495" s="15" t="str">
        <f>IF(C1495="","",COUNTA($C$3:C1495))</f>
        <v/>
      </c>
      <c r="B1495" s="15" t="str">
        <f t="shared" si="222"/>
        <v/>
      </c>
      <c r="M1495" s="9"/>
      <c r="N1495" s="9"/>
      <c r="P1495" s="14"/>
      <c r="Q1495" s="85"/>
      <c r="R1495" s="89"/>
      <c r="U1495" s="11" t="str">
        <f t="shared" si="220"/>
        <v/>
      </c>
      <c r="V1495" s="12" t="str">
        <f t="shared" si="221"/>
        <v/>
      </c>
      <c r="Z1495" s="15"/>
    </row>
    <row r="1496" spans="1:26" x14ac:dyDescent="0.25">
      <c r="A1496" s="15" t="str">
        <f>IF(C1496="","",COUNTA($C$3:C1496))</f>
        <v/>
      </c>
      <c r="B1496" s="15" t="str">
        <f t="shared" si="222"/>
        <v/>
      </c>
      <c r="M1496" s="9"/>
      <c r="N1496" s="9"/>
      <c r="P1496" s="14"/>
      <c r="Q1496" s="85"/>
      <c r="R1496" s="89"/>
      <c r="U1496" s="11" t="str">
        <f t="shared" si="220"/>
        <v/>
      </c>
      <c r="V1496" s="12" t="str">
        <f t="shared" si="221"/>
        <v/>
      </c>
      <c r="Z1496" s="15"/>
    </row>
    <row r="1497" spans="1:26" x14ac:dyDescent="0.25">
      <c r="A1497" s="15" t="str">
        <f>IF(C1497="","",COUNTA($C$3:C1497))</f>
        <v/>
      </c>
      <c r="B1497" s="15" t="str">
        <f t="shared" si="222"/>
        <v/>
      </c>
      <c r="M1497" s="9"/>
      <c r="N1497" s="9"/>
      <c r="P1497" s="14"/>
      <c r="Q1497" s="85"/>
      <c r="R1497" s="89"/>
      <c r="U1497" s="11" t="str">
        <f t="shared" si="220"/>
        <v/>
      </c>
      <c r="V1497" s="12" t="str">
        <f t="shared" si="221"/>
        <v/>
      </c>
      <c r="Z1497" s="15"/>
    </row>
    <row r="1498" spans="1:26" x14ac:dyDescent="0.25">
      <c r="A1498" s="15" t="str">
        <f>IF(C1498="","",COUNTA($C$3:C1498))</f>
        <v/>
      </c>
      <c r="B1498" s="15" t="str">
        <f t="shared" si="222"/>
        <v/>
      </c>
      <c r="M1498" s="9"/>
      <c r="N1498" s="9"/>
      <c r="P1498" s="14"/>
      <c r="Q1498" s="85"/>
      <c r="R1498" s="89"/>
      <c r="U1498" s="11" t="str">
        <f t="shared" si="220"/>
        <v/>
      </c>
      <c r="V1498" s="12" t="str">
        <f t="shared" si="221"/>
        <v/>
      </c>
      <c r="Z1498" s="15"/>
    </row>
    <row r="1499" spans="1:26" x14ac:dyDescent="0.25">
      <c r="A1499" s="15" t="str">
        <f>IF(C1499="","",COUNTA($C$3:C1499))</f>
        <v/>
      </c>
      <c r="B1499" s="15" t="str">
        <f t="shared" si="222"/>
        <v/>
      </c>
      <c r="M1499" s="9"/>
      <c r="N1499" s="9"/>
      <c r="P1499" s="14"/>
      <c r="Q1499" s="85"/>
      <c r="R1499" s="89"/>
      <c r="U1499" s="11" t="str">
        <f t="shared" si="220"/>
        <v/>
      </c>
      <c r="V1499" s="12" t="str">
        <f t="shared" si="221"/>
        <v/>
      </c>
      <c r="Z1499" s="15"/>
    </row>
    <row r="1500" spans="1:26" x14ac:dyDescent="0.25">
      <c r="A1500" s="15" t="str">
        <f>IF(C1500="","",COUNTA($C$3:C1500))</f>
        <v/>
      </c>
      <c r="B1500" s="15" t="str">
        <f t="shared" si="222"/>
        <v/>
      </c>
      <c r="M1500" s="9"/>
      <c r="N1500" s="9"/>
      <c r="P1500" s="14"/>
      <c r="Q1500" s="85"/>
      <c r="R1500" s="89"/>
      <c r="U1500" s="11" t="str">
        <f t="shared" si="220"/>
        <v/>
      </c>
      <c r="V1500" s="12" t="str">
        <f t="shared" si="221"/>
        <v/>
      </c>
      <c r="Z1500" s="15"/>
    </row>
    <row r="1501" spans="1:26" x14ac:dyDescent="0.25">
      <c r="A1501" s="15" t="str">
        <f>IF(C1501="","",COUNTA($C$3:C1501))</f>
        <v/>
      </c>
      <c r="B1501" s="15" t="str">
        <f t="shared" si="222"/>
        <v/>
      </c>
      <c r="M1501" s="9"/>
      <c r="N1501" s="9"/>
      <c r="P1501" s="14"/>
      <c r="Q1501" s="85"/>
      <c r="R1501" s="89"/>
      <c r="U1501" s="11" t="str">
        <f t="shared" si="220"/>
        <v/>
      </c>
      <c r="V1501" s="12" t="str">
        <f t="shared" si="221"/>
        <v/>
      </c>
      <c r="Z1501" s="15"/>
    </row>
    <row r="1502" spans="1:26" x14ac:dyDescent="0.25">
      <c r="A1502" s="15" t="str">
        <f>IF(C1502="","",COUNTA($C$3:C1502))</f>
        <v/>
      </c>
      <c r="B1502" s="15" t="str">
        <f t="shared" si="222"/>
        <v/>
      </c>
      <c r="M1502" s="9"/>
      <c r="N1502" s="9"/>
      <c r="P1502" s="14"/>
      <c r="Q1502" s="85"/>
      <c r="R1502" s="89"/>
      <c r="U1502" s="11" t="str">
        <f t="shared" si="220"/>
        <v/>
      </c>
      <c r="V1502" s="12" t="str">
        <f t="shared" si="221"/>
        <v/>
      </c>
      <c r="Z1502" s="15"/>
    </row>
    <row r="1503" spans="1:26" x14ac:dyDescent="0.25">
      <c r="A1503" s="15" t="str">
        <f>IF(C1503="","",COUNTA($C$3:C1503))</f>
        <v/>
      </c>
      <c r="B1503" s="15" t="str">
        <f t="shared" si="222"/>
        <v/>
      </c>
      <c r="M1503" s="9"/>
      <c r="N1503" s="9"/>
      <c r="P1503" s="14"/>
      <c r="Q1503" s="85"/>
      <c r="R1503" s="89"/>
      <c r="U1503" s="11" t="str">
        <f t="shared" si="220"/>
        <v/>
      </c>
      <c r="V1503" s="12" t="str">
        <f t="shared" si="221"/>
        <v/>
      </c>
      <c r="Z1503" s="15"/>
    </row>
    <row r="1504" spans="1:26" x14ac:dyDescent="0.25">
      <c r="A1504" s="15" t="str">
        <f>IF(C1504="","",COUNTA($C$3:C1504))</f>
        <v/>
      </c>
      <c r="B1504" s="15" t="str">
        <f t="shared" si="222"/>
        <v/>
      </c>
      <c r="M1504" s="9"/>
      <c r="N1504" s="9"/>
      <c r="P1504" s="14"/>
      <c r="Q1504" s="85"/>
      <c r="R1504" s="89"/>
      <c r="U1504" s="11" t="str">
        <f t="shared" si="220"/>
        <v/>
      </c>
      <c r="V1504" s="12" t="str">
        <f t="shared" si="221"/>
        <v/>
      </c>
      <c r="Z1504" s="15"/>
    </row>
    <row r="1505" spans="1:26" x14ac:dyDescent="0.25">
      <c r="A1505" s="15" t="str">
        <f>IF(C1505="","",COUNTA($C$3:C1505))</f>
        <v/>
      </c>
      <c r="B1505" s="15" t="str">
        <f t="shared" si="222"/>
        <v/>
      </c>
      <c r="M1505" s="9"/>
      <c r="N1505" s="9"/>
      <c r="P1505" s="14"/>
      <c r="Q1505" s="85"/>
      <c r="R1505" s="89"/>
      <c r="U1505" s="11" t="str">
        <f t="shared" si="220"/>
        <v/>
      </c>
      <c r="V1505" s="12" t="str">
        <f t="shared" si="221"/>
        <v/>
      </c>
      <c r="Z1505" s="15"/>
    </row>
    <row r="1506" spans="1:26" x14ac:dyDescent="0.25">
      <c r="A1506" s="15" t="str">
        <f>IF(C1506="","",COUNTA($C$3:C1506))</f>
        <v/>
      </c>
      <c r="B1506" s="15" t="str">
        <f t="shared" si="222"/>
        <v/>
      </c>
      <c r="M1506" s="9"/>
      <c r="N1506" s="9"/>
      <c r="P1506" s="14"/>
      <c r="Q1506" s="85"/>
      <c r="R1506" s="89"/>
      <c r="U1506" s="11" t="str">
        <f t="shared" si="220"/>
        <v/>
      </c>
      <c r="V1506" s="12" t="str">
        <f t="shared" si="221"/>
        <v/>
      </c>
      <c r="Z1506" s="15"/>
    </row>
    <row r="1507" spans="1:26" x14ac:dyDescent="0.25">
      <c r="A1507" s="15" t="str">
        <f>IF(C1507="","",COUNTA($C$3:C1507))</f>
        <v/>
      </c>
      <c r="B1507" s="15" t="str">
        <f t="shared" si="222"/>
        <v/>
      </c>
      <c r="M1507" s="9"/>
      <c r="N1507" s="9"/>
      <c r="P1507" s="14"/>
      <c r="Q1507" s="85"/>
      <c r="R1507" s="89"/>
      <c r="U1507" s="11" t="str">
        <f t="shared" si="220"/>
        <v/>
      </c>
      <c r="V1507" s="12" t="str">
        <f t="shared" si="221"/>
        <v/>
      </c>
      <c r="Z1507" s="15"/>
    </row>
    <row r="1508" spans="1:26" x14ac:dyDescent="0.25">
      <c r="A1508" s="15" t="str">
        <f>IF(C1508="","",COUNTA($C$3:C1508))</f>
        <v/>
      </c>
      <c r="B1508" s="15" t="str">
        <f t="shared" si="222"/>
        <v/>
      </c>
      <c r="M1508" s="9"/>
      <c r="N1508" s="9"/>
      <c r="P1508" s="14"/>
      <c r="Q1508" s="85"/>
      <c r="R1508" s="89"/>
      <c r="U1508" s="11" t="str">
        <f t="shared" si="220"/>
        <v/>
      </c>
      <c r="V1508" s="12" t="str">
        <f t="shared" si="221"/>
        <v/>
      </c>
      <c r="Z1508" s="15"/>
    </row>
    <row r="1509" spans="1:26" x14ac:dyDescent="0.25">
      <c r="A1509" s="15" t="str">
        <f>IF(C1509="","",COUNTA($C$3:C1509))</f>
        <v/>
      </c>
      <c r="B1509" s="15" t="str">
        <f t="shared" si="222"/>
        <v/>
      </c>
      <c r="M1509" s="9"/>
      <c r="N1509" s="9"/>
      <c r="P1509" s="14"/>
      <c r="Q1509" s="85"/>
      <c r="R1509" s="89"/>
      <c r="U1509" s="11" t="str">
        <f t="shared" si="220"/>
        <v/>
      </c>
      <c r="V1509" s="12" t="str">
        <f t="shared" si="221"/>
        <v/>
      </c>
      <c r="Z1509" s="15"/>
    </row>
    <row r="1510" spans="1:26" x14ac:dyDescent="0.25">
      <c r="A1510" s="15" t="str">
        <f>IF(C1510="","",COUNTA($C$3:C1510))</f>
        <v/>
      </c>
      <c r="B1510" s="15" t="str">
        <f t="shared" si="222"/>
        <v/>
      </c>
      <c r="M1510" s="9"/>
      <c r="N1510" s="9"/>
      <c r="P1510" s="14"/>
      <c r="Q1510" s="85"/>
      <c r="R1510" s="89"/>
      <c r="U1510" s="11" t="str">
        <f t="shared" si="220"/>
        <v/>
      </c>
      <c r="V1510" s="12" t="str">
        <f t="shared" si="221"/>
        <v/>
      </c>
      <c r="Z1510" s="15"/>
    </row>
    <row r="1511" spans="1:26" x14ac:dyDescent="0.25">
      <c r="A1511" s="15" t="str">
        <f>IF(C1511="","",COUNTA($C$3:C1511))</f>
        <v/>
      </c>
      <c r="B1511" s="15" t="str">
        <f t="shared" si="222"/>
        <v/>
      </c>
      <c r="M1511" s="9"/>
      <c r="N1511" s="9"/>
      <c r="P1511" s="14"/>
      <c r="Q1511" s="85"/>
      <c r="R1511" s="89"/>
      <c r="U1511" s="11" t="str">
        <f t="shared" si="220"/>
        <v/>
      </c>
      <c r="V1511" s="12" t="str">
        <f t="shared" si="221"/>
        <v/>
      </c>
      <c r="Z1511" s="15"/>
    </row>
    <row r="1512" spans="1:26" x14ac:dyDescent="0.25">
      <c r="A1512" s="15" t="str">
        <f>IF(C1512="","",COUNTA($C$3:C1512))</f>
        <v/>
      </c>
      <c r="B1512" s="15" t="str">
        <f t="shared" si="222"/>
        <v/>
      </c>
      <c r="M1512" s="9"/>
      <c r="N1512" s="9"/>
      <c r="P1512" s="14"/>
      <c r="Q1512" s="85"/>
      <c r="R1512" s="89"/>
      <c r="U1512" s="11" t="str">
        <f t="shared" si="220"/>
        <v/>
      </c>
      <c r="V1512" s="12" t="str">
        <f t="shared" si="221"/>
        <v/>
      </c>
      <c r="Z1512" s="15"/>
    </row>
    <row r="1513" spans="1:26" x14ac:dyDescent="0.25">
      <c r="A1513" s="15" t="str">
        <f>IF(C1513="","",COUNTA($C$3:C1513))</f>
        <v/>
      </c>
      <c r="B1513" s="15" t="str">
        <f t="shared" si="222"/>
        <v/>
      </c>
      <c r="M1513" s="9"/>
      <c r="N1513" s="9"/>
      <c r="P1513" s="14"/>
      <c r="Q1513" s="85"/>
      <c r="R1513" s="89"/>
      <c r="U1513" s="11" t="str">
        <f t="shared" si="220"/>
        <v/>
      </c>
      <c r="V1513" s="12" t="str">
        <f t="shared" si="221"/>
        <v/>
      </c>
      <c r="Z1513" s="15"/>
    </row>
    <row r="1514" spans="1:26" x14ac:dyDescent="0.25">
      <c r="A1514" s="15" t="str">
        <f>IF(C1514="","",COUNTA($C$3:C1514))</f>
        <v/>
      </c>
      <c r="B1514" s="15" t="str">
        <f t="shared" si="222"/>
        <v/>
      </c>
      <c r="M1514" s="9"/>
      <c r="N1514" s="9"/>
      <c r="P1514" s="14"/>
      <c r="Q1514" s="85"/>
      <c r="R1514" s="89"/>
      <c r="U1514" s="11" t="str">
        <f t="shared" si="220"/>
        <v/>
      </c>
      <c r="V1514" s="12" t="str">
        <f t="shared" si="221"/>
        <v/>
      </c>
      <c r="Z1514" s="15"/>
    </row>
    <row r="1515" spans="1:26" x14ac:dyDescent="0.25">
      <c r="A1515" s="15" t="str">
        <f>IF(C1515="","",COUNTA($C$3:C1515))</f>
        <v/>
      </c>
      <c r="B1515" s="15" t="str">
        <f t="shared" si="222"/>
        <v/>
      </c>
      <c r="M1515" s="9"/>
      <c r="N1515" s="9"/>
      <c r="P1515" s="14"/>
      <c r="Q1515" s="85"/>
      <c r="R1515" s="89"/>
      <c r="U1515" s="11" t="str">
        <f t="shared" si="220"/>
        <v/>
      </c>
      <c r="V1515" s="12" t="str">
        <f t="shared" si="221"/>
        <v/>
      </c>
      <c r="Z1515" s="15"/>
    </row>
    <row r="1516" spans="1:26" x14ac:dyDescent="0.25">
      <c r="A1516" s="15" t="str">
        <f>IF(C1516="","",COUNTA($C$3:C1516))</f>
        <v/>
      </c>
      <c r="B1516" s="15" t="str">
        <f t="shared" si="222"/>
        <v/>
      </c>
      <c r="M1516" s="9"/>
      <c r="N1516" s="9"/>
      <c r="P1516" s="14"/>
      <c r="Q1516" s="85"/>
      <c r="R1516" s="89"/>
      <c r="U1516" s="11" t="str">
        <f t="shared" si="220"/>
        <v/>
      </c>
      <c r="V1516" s="12" t="str">
        <f t="shared" si="221"/>
        <v/>
      </c>
      <c r="Z1516" s="15"/>
    </row>
    <row r="1517" spans="1:26" x14ac:dyDescent="0.25">
      <c r="A1517" s="15" t="str">
        <f>IF(C1517="","",COUNTA($C$3:C1517))</f>
        <v/>
      </c>
      <c r="B1517" s="15" t="str">
        <f t="shared" si="222"/>
        <v/>
      </c>
      <c r="M1517" s="9"/>
      <c r="N1517" s="9"/>
      <c r="P1517" s="14"/>
      <c r="Q1517" s="85"/>
      <c r="R1517" s="89"/>
      <c r="U1517" s="11" t="str">
        <f t="shared" si="220"/>
        <v/>
      </c>
      <c r="V1517" s="12" t="str">
        <f t="shared" si="221"/>
        <v/>
      </c>
      <c r="Z1517" s="15"/>
    </row>
    <row r="1518" spans="1:26" x14ac:dyDescent="0.25">
      <c r="A1518" s="15" t="str">
        <f>IF(C1518="","",COUNTA($C$3:C1518))</f>
        <v/>
      </c>
      <c r="B1518" s="15" t="str">
        <f t="shared" si="222"/>
        <v/>
      </c>
      <c r="M1518" s="9"/>
      <c r="N1518" s="9"/>
      <c r="P1518" s="14"/>
      <c r="Q1518" s="85"/>
      <c r="R1518" s="89"/>
      <c r="U1518" s="11" t="str">
        <f t="shared" si="220"/>
        <v/>
      </c>
      <c r="V1518" s="12" t="str">
        <f t="shared" si="221"/>
        <v/>
      </c>
      <c r="Z1518" s="15"/>
    </row>
    <row r="1519" spans="1:26" x14ac:dyDescent="0.25">
      <c r="A1519" s="15" t="str">
        <f>IF(C1519="","",COUNTA($C$3:C1519))</f>
        <v/>
      </c>
      <c r="B1519" s="15" t="str">
        <f t="shared" si="222"/>
        <v/>
      </c>
      <c r="M1519" s="9"/>
      <c r="N1519" s="9"/>
      <c r="P1519" s="14"/>
      <c r="Q1519" s="85"/>
      <c r="R1519" s="89"/>
      <c r="U1519" s="11" t="str">
        <f t="shared" si="220"/>
        <v/>
      </c>
      <c r="V1519" s="12" t="str">
        <f t="shared" si="221"/>
        <v/>
      </c>
      <c r="Z1519" s="15"/>
    </row>
    <row r="1520" spans="1:26" x14ac:dyDescent="0.25">
      <c r="A1520" s="15" t="str">
        <f>IF(C1520="","",COUNTA($C$3:C1520))</f>
        <v/>
      </c>
      <c r="B1520" s="15" t="str">
        <f t="shared" si="222"/>
        <v/>
      </c>
      <c r="M1520" s="9"/>
      <c r="N1520" s="9"/>
      <c r="P1520" s="14"/>
      <c r="Q1520" s="85"/>
      <c r="R1520" s="89"/>
      <c r="U1520" s="11" t="str">
        <f t="shared" si="220"/>
        <v/>
      </c>
      <c r="V1520" s="12" t="str">
        <f t="shared" si="221"/>
        <v/>
      </c>
      <c r="Z1520" s="15"/>
    </row>
    <row r="1521" spans="1:26" x14ac:dyDescent="0.25">
      <c r="A1521" s="15" t="str">
        <f>IF(C1521="","",COUNTA($C$3:C1521))</f>
        <v/>
      </c>
      <c r="B1521" s="15" t="str">
        <f t="shared" si="222"/>
        <v/>
      </c>
      <c r="M1521" s="9"/>
      <c r="N1521" s="9"/>
      <c r="P1521" s="14"/>
      <c r="Q1521" s="85"/>
      <c r="R1521" s="89"/>
      <c r="U1521" s="11" t="str">
        <f t="shared" si="220"/>
        <v/>
      </c>
      <c r="V1521" s="12" t="str">
        <f t="shared" si="221"/>
        <v/>
      </c>
      <c r="Z1521" s="15"/>
    </row>
    <row r="1522" spans="1:26" x14ac:dyDescent="0.25">
      <c r="A1522" s="15" t="str">
        <f>IF(C1522="","",COUNTA($C$3:C1522))</f>
        <v/>
      </c>
      <c r="B1522" s="15" t="str">
        <f t="shared" si="222"/>
        <v/>
      </c>
      <c r="M1522" s="9"/>
      <c r="N1522" s="9"/>
      <c r="P1522" s="14"/>
      <c r="Q1522" s="85"/>
      <c r="R1522" s="89"/>
      <c r="U1522" s="11" t="str">
        <f t="shared" si="220"/>
        <v/>
      </c>
      <c r="V1522" s="12" t="str">
        <f t="shared" si="221"/>
        <v/>
      </c>
      <c r="Z1522" s="15"/>
    </row>
    <row r="1523" spans="1:26" x14ac:dyDescent="0.25">
      <c r="A1523" s="15" t="str">
        <f>IF(C1523="","",COUNTA($C$3:C1523))</f>
        <v/>
      </c>
      <c r="B1523" s="15" t="str">
        <f t="shared" si="222"/>
        <v/>
      </c>
      <c r="M1523" s="9"/>
      <c r="N1523" s="9"/>
      <c r="P1523" s="14"/>
      <c r="Q1523" s="85"/>
      <c r="R1523" s="89"/>
      <c r="U1523" s="11" t="str">
        <f t="shared" si="220"/>
        <v/>
      </c>
      <c r="V1523" s="12" t="str">
        <f t="shared" si="221"/>
        <v/>
      </c>
      <c r="Z1523" s="15"/>
    </row>
    <row r="1524" spans="1:26" x14ac:dyDescent="0.25">
      <c r="A1524" s="15" t="str">
        <f>IF(C1524="","",COUNTA($C$3:C1524))</f>
        <v/>
      </c>
      <c r="B1524" s="15" t="str">
        <f t="shared" si="222"/>
        <v/>
      </c>
      <c r="M1524" s="9"/>
      <c r="N1524" s="9"/>
      <c r="P1524" s="14"/>
      <c r="Q1524" s="85"/>
      <c r="R1524" s="89"/>
      <c r="U1524" s="11" t="str">
        <f t="shared" si="220"/>
        <v/>
      </c>
      <c r="V1524" s="12" t="str">
        <f t="shared" si="221"/>
        <v/>
      </c>
      <c r="Z1524" s="15"/>
    </row>
    <row r="1525" spans="1:26" x14ac:dyDescent="0.25">
      <c r="A1525" s="15" t="str">
        <f>IF(C1525="","",COUNTA($C$3:C1525))</f>
        <v/>
      </c>
      <c r="B1525" s="15" t="str">
        <f t="shared" si="222"/>
        <v/>
      </c>
      <c r="M1525" s="9"/>
      <c r="N1525" s="9"/>
      <c r="P1525" s="14"/>
      <c r="Q1525" s="85"/>
      <c r="R1525" s="89"/>
      <c r="U1525" s="11" t="str">
        <f t="shared" si="220"/>
        <v/>
      </c>
      <c r="V1525" s="12" t="str">
        <f t="shared" si="221"/>
        <v/>
      </c>
      <c r="Z1525" s="15"/>
    </row>
    <row r="1526" spans="1:26" x14ac:dyDescent="0.25">
      <c r="A1526" s="15" t="str">
        <f>IF(C1526="","",COUNTA($C$3:C1526))</f>
        <v/>
      </c>
      <c r="B1526" s="15" t="str">
        <f t="shared" si="222"/>
        <v/>
      </c>
      <c r="M1526" s="9"/>
      <c r="N1526" s="9"/>
      <c r="P1526" s="14"/>
      <c r="Q1526" s="85"/>
      <c r="R1526" s="89"/>
      <c r="U1526" s="11" t="str">
        <f t="shared" si="220"/>
        <v/>
      </c>
      <c r="V1526" s="12" t="str">
        <f t="shared" si="221"/>
        <v/>
      </c>
      <c r="Z1526" s="15"/>
    </row>
    <row r="1527" spans="1:26" x14ac:dyDescent="0.25">
      <c r="A1527" s="15" t="str">
        <f>IF(C1527="","",COUNTA($C$3:C1527))</f>
        <v/>
      </c>
      <c r="B1527" s="15" t="str">
        <f t="shared" si="222"/>
        <v/>
      </c>
      <c r="M1527" s="9"/>
      <c r="N1527" s="9"/>
      <c r="P1527" s="14"/>
      <c r="Q1527" s="85"/>
      <c r="R1527" s="89"/>
      <c r="U1527" s="11" t="str">
        <f t="shared" si="220"/>
        <v/>
      </c>
      <c r="V1527" s="12" t="str">
        <f t="shared" si="221"/>
        <v/>
      </c>
      <c r="Z1527" s="15"/>
    </row>
    <row r="1528" spans="1:26" x14ac:dyDescent="0.25">
      <c r="A1528" s="15" t="str">
        <f>IF(C1528="","",COUNTA($C$3:C1528))</f>
        <v/>
      </c>
      <c r="B1528" s="15" t="str">
        <f t="shared" si="222"/>
        <v/>
      </c>
      <c r="M1528" s="9"/>
      <c r="N1528" s="9"/>
      <c r="P1528" s="14"/>
      <c r="Q1528" s="85"/>
      <c r="R1528" s="89"/>
      <c r="U1528" s="11" t="str">
        <f t="shared" si="220"/>
        <v/>
      </c>
      <c r="V1528" s="12" t="str">
        <f t="shared" si="221"/>
        <v/>
      </c>
      <c r="Z1528" s="15"/>
    </row>
    <row r="1529" spans="1:26" x14ac:dyDescent="0.25">
      <c r="A1529" s="15" t="str">
        <f>IF(C1529="","",COUNTA($C$3:C1529))</f>
        <v/>
      </c>
      <c r="B1529" s="15" t="str">
        <f t="shared" si="222"/>
        <v/>
      </c>
      <c r="M1529" s="9"/>
      <c r="N1529" s="9"/>
      <c r="P1529" s="14"/>
      <c r="Q1529" s="85"/>
      <c r="R1529" s="89"/>
      <c r="U1529" s="11" t="str">
        <f t="shared" si="220"/>
        <v/>
      </c>
      <c r="V1529" s="12" t="str">
        <f t="shared" si="221"/>
        <v/>
      </c>
      <c r="Z1529" s="15"/>
    </row>
    <row r="1530" spans="1:26" x14ac:dyDescent="0.25">
      <c r="A1530" s="15" t="str">
        <f>IF(C1530="","",COUNTA($C$3:C1530))</f>
        <v/>
      </c>
      <c r="B1530" s="15" t="str">
        <f t="shared" si="222"/>
        <v/>
      </c>
      <c r="M1530" s="9"/>
      <c r="N1530" s="9"/>
      <c r="P1530" s="14"/>
      <c r="Q1530" s="85"/>
      <c r="R1530" s="89"/>
      <c r="U1530" s="11" t="str">
        <f t="shared" si="220"/>
        <v/>
      </c>
      <c r="V1530" s="12" t="str">
        <f t="shared" si="221"/>
        <v/>
      </c>
      <c r="Z1530" s="15"/>
    </row>
    <row r="1531" spans="1:26" x14ac:dyDescent="0.25">
      <c r="A1531" s="15" t="str">
        <f>IF(C1531="","",COUNTA($C$3:C1531))</f>
        <v/>
      </c>
      <c r="B1531" s="15" t="str">
        <f t="shared" si="222"/>
        <v/>
      </c>
      <c r="M1531" s="9"/>
      <c r="N1531" s="9"/>
      <c r="P1531" s="14"/>
      <c r="Q1531" s="85"/>
      <c r="R1531" s="89"/>
      <c r="U1531" s="11" t="str">
        <f t="shared" si="220"/>
        <v/>
      </c>
      <c r="V1531" s="12" t="str">
        <f t="shared" si="221"/>
        <v/>
      </c>
      <c r="Z1531" s="15"/>
    </row>
    <row r="1532" spans="1:26" x14ac:dyDescent="0.25">
      <c r="A1532" s="15" t="str">
        <f>IF(C1532="","",COUNTA($C$3:C1532))</f>
        <v/>
      </c>
      <c r="B1532" s="15" t="str">
        <f t="shared" si="222"/>
        <v/>
      </c>
      <c r="M1532" s="9"/>
      <c r="N1532" s="9"/>
      <c r="P1532" s="14"/>
      <c r="Q1532" s="85"/>
      <c r="R1532" s="89"/>
      <c r="U1532" s="11" t="str">
        <f t="shared" si="220"/>
        <v/>
      </c>
      <c r="V1532" s="12" t="str">
        <f t="shared" si="221"/>
        <v/>
      </c>
      <c r="Z1532" s="15"/>
    </row>
    <row r="1533" spans="1:26" x14ac:dyDescent="0.25">
      <c r="A1533" s="15" t="str">
        <f>IF(C1533="","",COUNTA($C$3:C1533))</f>
        <v/>
      </c>
      <c r="B1533" s="15" t="str">
        <f t="shared" si="222"/>
        <v/>
      </c>
      <c r="M1533" s="9"/>
      <c r="N1533" s="9"/>
      <c r="P1533" s="14"/>
      <c r="Q1533" s="85"/>
      <c r="R1533" s="89"/>
      <c r="U1533" s="11" t="str">
        <f t="shared" si="220"/>
        <v/>
      </c>
      <c r="V1533" s="12" t="str">
        <f t="shared" si="221"/>
        <v/>
      </c>
      <c r="Z1533" s="15"/>
    </row>
    <row r="1534" spans="1:26" x14ac:dyDescent="0.25">
      <c r="A1534" s="15" t="str">
        <f>IF(C1534="","",COUNTA($C$3:C1534))</f>
        <v/>
      </c>
      <c r="B1534" s="15" t="str">
        <f t="shared" si="222"/>
        <v/>
      </c>
      <c r="M1534" s="9"/>
      <c r="N1534" s="9"/>
      <c r="P1534" s="14"/>
      <c r="Q1534" s="85"/>
      <c r="R1534" s="89"/>
      <c r="U1534" s="11" t="str">
        <f t="shared" si="220"/>
        <v/>
      </c>
      <c r="V1534" s="12" t="str">
        <f t="shared" si="221"/>
        <v/>
      </c>
      <c r="Z1534" s="15"/>
    </row>
    <row r="1535" spans="1:26" x14ac:dyDescent="0.25">
      <c r="A1535" s="15" t="str">
        <f>IF(C1535="","",COUNTA($C$3:C1535))</f>
        <v/>
      </c>
      <c r="B1535" s="15" t="str">
        <f t="shared" si="222"/>
        <v/>
      </c>
      <c r="M1535" s="9"/>
      <c r="N1535" s="9"/>
      <c r="P1535" s="14"/>
      <c r="Q1535" s="85"/>
      <c r="R1535" s="89"/>
      <c r="U1535" s="11" t="str">
        <f t="shared" si="220"/>
        <v/>
      </c>
      <c r="V1535" s="12" t="str">
        <f t="shared" si="221"/>
        <v/>
      </c>
      <c r="Z1535" s="15"/>
    </row>
    <row r="1536" spans="1:26" x14ac:dyDescent="0.25">
      <c r="A1536" s="15" t="str">
        <f>IF(C1536="","",COUNTA($C$3:C1536))</f>
        <v/>
      </c>
      <c r="B1536" s="15" t="str">
        <f t="shared" si="222"/>
        <v/>
      </c>
      <c r="M1536" s="9"/>
      <c r="N1536" s="9"/>
      <c r="P1536" s="14"/>
      <c r="Q1536" s="85"/>
      <c r="R1536" s="89"/>
      <c r="U1536" s="11" t="str">
        <f t="shared" si="220"/>
        <v/>
      </c>
      <c r="V1536" s="12" t="str">
        <f t="shared" si="221"/>
        <v/>
      </c>
      <c r="Z1536" s="15"/>
    </row>
    <row r="1537" spans="1:26" x14ac:dyDescent="0.25">
      <c r="A1537" s="15" t="str">
        <f>IF(C1537="","",COUNTA($C$3:C1537))</f>
        <v/>
      </c>
      <c r="B1537" s="15" t="str">
        <f t="shared" si="222"/>
        <v/>
      </c>
      <c r="M1537" s="9"/>
      <c r="N1537" s="9"/>
      <c r="P1537" s="14"/>
      <c r="Q1537" s="85"/>
      <c r="R1537" s="89"/>
      <c r="U1537" s="11" t="str">
        <f t="shared" si="220"/>
        <v/>
      </c>
      <c r="V1537" s="12" t="str">
        <f t="shared" si="221"/>
        <v/>
      </c>
      <c r="Z1537" s="15"/>
    </row>
    <row r="1538" spans="1:26" x14ac:dyDescent="0.25">
      <c r="A1538" s="15" t="str">
        <f>IF(C1538="","",COUNTA($C$3:C1538))</f>
        <v/>
      </c>
      <c r="B1538" s="15" t="str">
        <f t="shared" si="222"/>
        <v/>
      </c>
      <c r="M1538" s="9"/>
      <c r="N1538" s="9"/>
      <c r="P1538" s="14"/>
      <c r="Q1538" s="85"/>
      <c r="R1538" s="89"/>
      <c r="U1538" s="11" t="str">
        <f t="shared" ref="U1538:U1601" si="223">IF(S1538="","",(S1538-T1538))</f>
        <v/>
      </c>
      <c r="V1538" s="12" t="str">
        <f t="shared" ref="V1538:V1601" si="224">IF(U1538="","",(U1538/T1538))</f>
        <v/>
      </c>
      <c r="Z1538" s="15"/>
    </row>
    <row r="1539" spans="1:26" x14ac:dyDescent="0.25">
      <c r="A1539" s="15" t="str">
        <f>IF(C1539="","",COUNTA($C$3:C1539))</f>
        <v/>
      </c>
      <c r="B1539" s="15" t="str">
        <f t="shared" ref="B1539:B1602" si="225">IF(C1539="","",TEXT(C1539,"mmmm"))</f>
        <v/>
      </c>
      <c r="M1539" s="9"/>
      <c r="N1539" s="9"/>
      <c r="P1539" s="14"/>
      <c r="Q1539" s="85"/>
      <c r="R1539" s="89"/>
      <c r="U1539" s="11" t="str">
        <f t="shared" si="223"/>
        <v/>
      </c>
      <c r="V1539" s="12" t="str">
        <f t="shared" si="224"/>
        <v/>
      </c>
      <c r="Z1539" s="15"/>
    </row>
    <row r="1540" spans="1:26" x14ac:dyDescent="0.25">
      <c r="A1540" s="15" t="str">
        <f>IF(C1540="","",COUNTA($C$3:C1540))</f>
        <v/>
      </c>
      <c r="B1540" s="15" t="str">
        <f t="shared" si="225"/>
        <v/>
      </c>
      <c r="M1540" s="9"/>
      <c r="N1540" s="9"/>
      <c r="P1540" s="14"/>
      <c r="Q1540" s="85"/>
      <c r="R1540" s="89"/>
      <c r="U1540" s="11" t="str">
        <f t="shared" si="223"/>
        <v/>
      </c>
      <c r="V1540" s="12" t="str">
        <f t="shared" si="224"/>
        <v/>
      </c>
      <c r="Z1540" s="15"/>
    </row>
    <row r="1541" spans="1:26" x14ac:dyDescent="0.25">
      <c r="A1541" s="15" t="str">
        <f>IF(C1541="","",COUNTA($C$3:C1541))</f>
        <v/>
      </c>
      <c r="B1541" s="15" t="str">
        <f t="shared" si="225"/>
        <v/>
      </c>
      <c r="M1541" s="9"/>
      <c r="N1541" s="9"/>
      <c r="P1541" s="14"/>
      <c r="Q1541" s="85"/>
      <c r="R1541" s="89"/>
      <c r="U1541" s="11" t="str">
        <f t="shared" si="223"/>
        <v/>
      </c>
      <c r="V1541" s="12" t="str">
        <f t="shared" si="224"/>
        <v/>
      </c>
      <c r="Z1541" s="15"/>
    </row>
    <row r="1542" spans="1:26" x14ac:dyDescent="0.25">
      <c r="A1542" s="15" t="str">
        <f>IF(C1542="","",COUNTA($C$3:C1542))</f>
        <v/>
      </c>
      <c r="B1542" s="15" t="str">
        <f t="shared" si="225"/>
        <v/>
      </c>
      <c r="M1542" s="9"/>
      <c r="N1542" s="9"/>
      <c r="P1542" s="14"/>
      <c r="Q1542" s="85"/>
      <c r="R1542" s="89"/>
      <c r="U1542" s="11" t="str">
        <f t="shared" si="223"/>
        <v/>
      </c>
      <c r="V1542" s="12" t="str">
        <f t="shared" si="224"/>
        <v/>
      </c>
      <c r="Z1542" s="15"/>
    </row>
    <row r="1543" spans="1:26" x14ac:dyDescent="0.25">
      <c r="A1543" s="15" t="str">
        <f>IF(C1543="","",COUNTA($C$3:C1543))</f>
        <v/>
      </c>
      <c r="B1543" s="15" t="str">
        <f t="shared" si="225"/>
        <v/>
      </c>
      <c r="M1543" s="9"/>
      <c r="N1543" s="9"/>
      <c r="P1543" s="14"/>
      <c r="Q1543" s="85"/>
      <c r="R1543" s="89"/>
      <c r="U1543" s="11" t="str">
        <f t="shared" si="223"/>
        <v/>
      </c>
      <c r="V1543" s="12" t="str">
        <f t="shared" si="224"/>
        <v/>
      </c>
      <c r="Z1543" s="15"/>
    </row>
    <row r="1544" spans="1:26" x14ac:dyDescent="0.25">
      <c r="A1544" s="15" t="str">
        <f>IF(C1544="","",COUNTA($C$3:C1544))</f>
        <v/>
      </c>
      <c r="B1544" s="15" t="str">
        <f t="shared" si="225"/>
        <v/>
      </c>
      <c r="M1544" s="9"/>
      <c r="N1544" s="9"/>
      <c r="P1544" s="14"/>
      <c r="Q1544" s="85"/>
      <c r="R1544" s="89"/>
      <c r="U1544" s="11" t="str">
        <f t="shared" si="223"/>
        <v/>
      </c>
      <c r="V1544" s="12" t="str">
        <f t="shared" si="224"/>
        <v/>
      </c>
      <c r="Z1544" s="15"/>
    </row>
    <row r="1545" spans="1:26" x14ac:dyDescent="0.25">
      <c r="A1545" s="15" t="str">
        <f>IF(C1545="","",COUNTA($C$3:C1545))</f>
        <v/>
      </c>
      <c r="B1545" s="15" t="str">
        <f t="shared" si="225"/>
        <v/>
      </c>
      <c r="M1545" s="9"/>
      <c r="N1545" s="9"/>
      <c r="P1545" s="14"/>
      <c r="Q1545" s="85"/>
      <c r="R1545" s="89"/>
      <c r="U1545" s="11" t="str">
        <f t="shared" si="223"/>
        <v/>
      </c>
      <c r="V1545" s="12" t="str">
        <f t="shared" si="224"/>
        <v/>
      </c>
      <c r="Z1545" s="15"/>
    </row>
    <row r="1546" spans="1:26" x14ac:dyDescent="0.25">
      <c r="A1546" s="15" t="str">
        <f>IF(C1546="","",COUNTA($C$3:C1546))</f>
        <v/>
      </c>
      <c r="B1546" s="15" t="str">
        <f t="shared" si="225"/>
        <v/>
      </c>
      <c r="M1546" s="9"/>
      <c r="N1546" s="9"/>
      <c r="P1546" s="14"/>
      <c r="Q1546" s="85"/>
      <c r="R1546" s="89"/>
      <c r="U1546" s="11" t="str">
        <f t="shared" si="223"/>
        <v/>
      </c>
      <c r="V1546" s="12" t="str">
        <f t="shared" si="224"/>
        <v/>
      </c>
      <c r="Z1546" s="15"/>
    </row>
    <row r="1547" spans="1:26" x14ac:dyDescent="0.25">
      <c r="A1547" s="15" t="str">
        <f>IF(C1547="","",COUNTA($C$3:C1547))</f>
        <v/>
      </c>
      <c r="B1547" s="15" t="str">
        <f t="shared" si="225"/>
        <v/>
      </c>
      <c r="M1547" s="9"/>
      <c r="N1547" s="9"/>
      <c r="P1547" s="14"/>
      <c r="Q1547" s="85"/>
      <c r="R1547" s="89"/>
      <c r="U1547" s="11" t="str">
        <f t="shared" si="223"/>
        <v/>
      </c>
      <c r="V1547" s="12" t="str">
        <f t="shared" si="224"/>
        <v/>
      </c>
      <c r="Z1547" s="15"/>
    </row>
    <row r="1548" spans="1:26" x14ac:dyDescent="0.25">
      <c r="A1548" s="15" t="str">
        <f>IF(C1548="","",COUNTA($C$3:C1548))</f>
        <v/>
      </c>
      <c r="B1548" s="15" t="str">
        <f t="shared" si="225"/>
        <v/>
      </c>
      <c r="M1548" s="9"/>
      <c r="N1548" s="9"/>
      <c r="P1548" s="14"/>
      <c r="Q1548" s="85"/>
      <c r="R1548" s="89"/>
      <c r="U1548" s="11" t="str">
        <f t="shared" si="223"/>
        <v/>
      </c>
      <c r="V1548" s="12" t="str">
        <f t="shared" si="224"/>
        <v/>
      </c>
      <c r="Z1548" s="15"/>
    </row>
    <row r="1549" spans="1:26" x14ac:dyDescent="0.25">
      <c r="A1549" s="15" t="str">
        <f>IF(C1549="","",COUNTA($C$3:C1549))</f>
        <v/>
      </c>
      <c r="B1549" s="15" t="str">
        <f t="shared" si="225"/>
        <v/>
      </c>
      <c r="M1549" s="9"/>
      <c r="N1549" s="9"/>
      <c r="P1549" s="14"/>
      <c r="Q1549" s="85"/>
      <c r="R1549" s="89"/>
      <c r="U1549" s="11" t="str">
        <f t="shared" si="223"/>
        <v/>
      </c>
      <c r="V1549" s="12" t="str">
        <f t="shared" si="224"/>
        <v/>
      </c>
      <c r="Z1549" s="15"/>
    </row>
    <row r="1550" spans="1:26" x14ac:dyDescent="0.25">
      <c r="A1550" s="15" t="str">
        <f>IF(C1550="","",COUNTA($C$3:C1550))</f>
        <v/>
      </c>
      <c r="B1550" s="15" t="str">
        <f t="shared" si="225"/>
        <v/>
      </c>
      <c r="M1550" s="9"/>
      <c r="N1550" s="9"/>
      <c r="P1550" s="14"/>
      <c r="Q1550" s="85"/>
      <c r="R1550" s="89"/>
      <c r="U1550" s="11" t="str">
        <f t="shared" si="223"/>
        <v/>
      </c>
      <c r="V1550" s="12" t="str">
        <f t="shared" si="224"/>
        <v/>
      </c>
      <c r="Z1550" s="15"/>
    </row>
    <row r="1551" spans="1:26" x14ac:dyDescent="0.25">
      <c r="A1551" s="15" t="str">
        <f>IF(C1551="","",COUNTA($C$3:C1551))</f>
        <v/>
      </c>
      <c r="B1551" s="15" t="str">
        <f t="shared" si="225"/>
        <v/>
      </c>
      <c r="M1551" s="9"/>
      <c r="N1551" s="9"/>
      <c r="P1551" s="14"/>
      <c r="Q1551" s="85"/>
      <c r="R1551" s="89"/>
      <c r="U1551" s="11" t="str">
        <f t="shared" si="223"/>
        <v/>
      </c>
      <c r="V1551" s="12" t="str">
        <f t="shared" si="224"/>
        <v/>
      </c>
      <c r="Z1551" s="15"/>
    </row>
    <row r="1552" spans="1:26" x14ac:dyDescent="0.25">
      <c r="A1552" s="15" t="str">
        <f>IF(C1552="","",COUNTA($C$3:C1552))</f>
        <v/>
      </c>
      <c r="B1552" s="15" t="str">
        <f t="shared" si="225"/>
        <v/>
      </c>
      <c r="M1552" s="9"/>
      <c r="N1552" s="9"/>
      <c r="P1552" s="14"/>
      <c r="Q1552" s="85"/>
      <c r="R1552" s="89"/>
      <c r="U1552" s="11" t="str">
        <f t="shared" si="223"/>
        <v/>
      </c>
      <c r="V1552" s="12" t="str">
        <f t="shared" si="224"/>
        <v/>
      </c>
      <c r="Z1552" s="15"/>
    </row>
    <row r="1553" spans="1:26" x14ac:dyDescent="0.25">
      <c r="A1553" s="15" t="str">
        <f>IF(C1553="","",COUNTA($C$3:C1553))</f>
        <v/>
      </c>
      <c r="B1553" s="15" t="str">
        <f t="shared" si="225"/>
        <v/>
      </c>
      <c r="M1553" s="9"/>
      <c r="N1553" s="9"/>
      <c r="P1553" s="14"/>
      <c r="Q1553" s="85"/>
      <c r="R1553" s="89"/>
      <c r="U1553" s="11" t="str">
        <f t="shared" si="223"/>
        <v/>
      </c>
      <c r="V1553" s="12" t="str">
        <f t="shared" si="224"/>
        <v/>
      </c>
      <c r="Z1553" s="15"/>
    </row>
    <row r="1554" spans="1:26" x14ac:dyDescent="0.25">
      <c r="A1554" s="15" t="str">
        <f>IF(C1554="","",COUNTA($C$3:C1554))</f>
        <v/>
      </c>
      <c r="B1554" s="15" t="str">
        <f t="shared" si="225"/>
        <v/>
      </c>
      <c r="M1554" s="9"/>
      <c r="N1554" s="9"/>
      <c r="P1554" s="14"/>
      <c r="Q1554" s="85"/>
      <c r="R1554" s="89"/>
      <c r="U1554" s="11" t="str">
        <f t="shared" si="223"/>
        <v/>
      </c>
      <c r="V1554" s="12" t="str">
        <f t="shared" si="224"/>
        <v/>
      </c>
      <c r="Z1554" s="15"/>
    </row>
    <row r="1555" spans="1:26" x14ac:dyDescent="0.25">
      <c r="A1555" s="15" t="str">
        <f>IF(C1555="","",COUNTA($C$3:C1555))</f>
        <v/>
      </c>
      <c r="B1555" s="15" t="str">
        <f t="shared" si="225"/>
        <v/>
      </c>
      <c r="M1555" s="9"/>
      <c r="N1555" s="9"/>
      <c r="P1555" s="14"/>
      <c r="Q1555" s="85"/>
      <c r="R1555" s="89"/>
      <c r="U1555" s="11" t="str">
        <f t="shared" si="223"/>
        <v/>
      </c>
      <c r="V1555" s="12" t="str">
        <f t="shared" si="224"/>
        <v/>
      </c>
      <c r="Z1555" s="15"/>
    </row>
    <row r="1556" spans="1:26" x14ac:dyDescent="0.25">
      <c r="A1556" s="15" t="str">
        <f>IF(C1556="","",COUNTA($C$3:C1556))</f>
        <v/>
      </c>
      <c r="B1556" s="15" t="str">
        <f t="shared" si="225"/>
        <v/>
      </c>
      <c r="M1556" s="9"/>
      <c r="N1556" s="9"/>
      <c r="P1556" s="14"/>
      <c r="Q1556" s="85"/>
      <c r="R1556" s="89"/>
      <c r="U1556" s="11" t="str">
        <f t="shared" si="223"/>
        <v/>
      </c>
      <c r="V1556" s="12" t="str">
        <f t="shared" si="224"/>
        <v/>
      </c>
      <c r="Z1556" s="15"/>
    </row>
    <row r="1557" spans="1:26" x14ac:dyDescent="0.25">
      <c r="A1557" s="15" t="str">
        <f>IF(C1557="","",COUNTA($C$3:C1557))</f>
        <v/>
      </c>
      <c r="B1557" s="15" t="str">
        <f t="shared" si="225"/>
        <v/>
      </c>
      <c r="M1557" s="9"/>
      <c r="N1557" s="9"/>
      <c r="P1557" s="14"/>
      <c r="Q1557" s="85"/>
      <c r="R1557" s="89"/>
      <c r="U1557" s="11" t="str">
        <f t="shared" si="223"/>
        <v/>
      </c>
      <c r="V1557" s="12" t="str">
        <f t="shared" si="224"/>
        <v/>
      </c>
      <c r="Z1557" s="15"/>
    </row>
    <row r="1558" spans="1:26" x14ac:dyDescent="0.25">
      <c r="A1558" s="15" t="str">
        <f>IF(C1558="","",COUNTA($C$3:C1558))</f>
        <v/>
      </c>
      <c r="B1558" s="15" t="str">
        <f t="shared" si="225"/>
        <v/>
      </c>
      <c r="M1558" s="9"/>
      <c r="N1558" s="9"/>
      <c r="P1558" s="14"/>
      <c r="Q1558" s="85"/>
      <c r="R1558" s="89"/>
      <c r="U1558" s="11" t="str">
        <f t="shared" si="223"/>
        <v/>
      </c>
      <c r="V1558" s="12" t="str">
        <f t="shared" si="224"/>
        <v/>
      </c>
      <c r="Z1558" s="15"/>
    </row>
    <row r="1559" spans="1:26" x14ac:dyDescent="0.25">
      <c r="A1559" s="15" t="str">
        <f>IF(C1559="","",COUNTA($C$3:C1559))</f>
        <v/>
      </c>
      <c r="B1559" s="15" t="str">
        <f t="shared" si="225"/>
        <v/>
      </c>
      <c r="M1559" s="9"/>
      <c r="N1559" s="9"/>
      <c r="P1559" s="14"/>
      <c r="Q1559" s="85"/>
      <c r="R1559" s="89"/>
      <c r="U1559" s="11" t="str">
        <f t="shared" si="223"/>
        <v/>
      </c>
      <c r="V1559" s="12" t="str">
        <f t="shared" si="224"/>
        <v/>
      </c>
      <c r="Z1559" s="15"/>
    </row>
    <row r="1560" spans="1:26" x14ac:dyDescent="0.25">
      <c r="A1560" s="15" t="str">
        <f>IF(C1560="","",COUNTA($C$3:C1560))</f>
        <v/>
      </c>
      <c r="B1560" s="15" t="str">
        <f t="shared" si="225"/>
        <v/>
      </c>
      <c r="M1560" s="9"/>
      <c r="N1560" s="9"/>
      <c r="P1560" s="14"/>
      <c r="Q1560" s="85"/>
      <c r="R1560" s="89"/>
      <c r="U1560" s="11" t="str">
        <f t="shared" si="223"/>
        <v/>
      </c>
      <c r="V1560" s="12" t="str">
        <f t="shared" si="224"/>
        <v/>
      </c>
      <c r="Z1560" s="15"/>
    </row>
    <row r="1561" spans="1:26" x14ac:dyDescent="0.25">
      <c r="A1561" s="15" t="str">
        <f>IF(C1561="","",COUNTA($C$3:C1561))</f>
        <v/>
      </c>
      <c r="B1561" s="15" t="str">
        <f t="shared" si="225"/>
        <v/>
      </c>
      <c r="M1561" s="9"/>
      <c r="N1561" s="9"/>
      <c r="P1561" s="14"/>
      <c r="Q1561" s="85"/>
      <c r="R1561" s="89"/>
      <c r="U1561" s="11" t="str">
        <f t="shared" si="223"/>
        <v/>
      </c>
      <c r="V1561" s="12" t="str">
        <f t="shared" si="224"/>
        <v/>
      </c>
      <c r="Z1561" s="15"/>
    </row>
    <row r="1562" spans="1:26" x14ac:dyDescent="0.25">
      <c r="A1562" s="15" t="str">
        <f>IF(C1562="","",COUNTA($C$3:C1562))</f>
        <v/>
      </c>
      <c r="B1562" s="15" t="str">
        <f t="shared" si="225"/>
        <v/>
      </c>
      <c r="M1562" s="9"/>
      <c r="N1562" s="9"/>
      <c r="P1562" s="14"/>
      <c r="Q1562" s="85"/>
      <c r="R1562" s="89"/>
      <c r="U1562" s="11" t="str">
        <f t="shared" si="223"/>
        <v/>
      </c>
      <c r="V1562" s="12" t="str">
        <f t="shared" si="224"/>
        <v/>
      </c>
      <c r="Z1562" s="15"/>
    </row>
    <row r="1563" spans="1:26" x14ac:dyDescent="0.25">
      <c r="A1563" s="15" t="str">
        <f>IF(C1563="","",COUNTA($C$3:C1563))</f>
        <v/>
      </c>
      <c r="B1563" s="15" t="str">
        <f t="shared" si="225"/>
        <v/>
      </c>
      <c r="M1563" s="9"/>
      <c r="N1563" s="9"/>
      <c r="P1563" s="14"/>
      <c r="Q1563" s="85"/>
      <c r="R1563" s="89"/>
      <c r="U1563" s="11" t="str">
        <f t="shared" si="223"/>
        <v/>
      </c>
      <c r="V1563" s="12" t="str">
        <f t="shared" si="224"/>
        <v/>
      </c>
      <c r="Z1563" s="15"/>
    </row>
    <row r="1564" spans="1:26" x14ac:dyDescent="0.25">
      <c r="A1564" s="15" t="str">
        <f>IF(C1564="","",COUNTA($C$3:C1564))</f>
        <v/>
      </c>
      <c r="B1564" s="15" t="str">
        <f t="shared" si="225"/>
        <v/>
      </c>
      <c r="M1564" s="9"/>
      <c r="N1564" s="9"/>
      <c r="P1564" s="14"/>
      <c r="Q1564" s="85"/>
      <c r="R1564" s="89"/>
      <c r="U1564" s="11" t="str">
        <f t="shared" si="223"/>
        <v/>
      </c>
      <c r="V1564" s="12" t="str">
        <f t="shared" si="224"/>
        <v/>
      </c>
      <c r="Z1564" s="15"/>
    </row>
    <row r="1565" spans="1:26" x14ac:dyDescent="0.25">
      <c r="A1565" s="15" t="str">
        <f>IF(C1565="","",COUNTA($C$3:C1565))</f>
        <v/>
      </c>
      <c r="B1565" s="15" t="str">
        <f t="shared" si="225"/>
        <v/>
      </c>
      <c r="M1565" s="9"/>
      <c r="N1565" s="9"/>
      <c r="P1565" s="14"/>
      <c r="Q1565" s="85"/>
      <c r="R1565" s="89"/>
      <c r="U1565" s="11" t="str">
        <f t="shared" si="223"/>
        <v/>
      </c>
      <c r="V1565" s="12" t="str">
        <f t="shared" si="224"/>
        <v/>
      </c>
      <c r="Z1565" s="15"/>
    </row>
    <row r="1566" spans="1:26" x14ac:dyDescent="0.25">
      <c r="A1566" s="15" t="str">
        <f>IF(C1566="","",COUNTA($C$3:C1566))</f>
        <v/>
      </c>
      <c r="B1566" s="15" t="str">
        <f t="shared" si="225"/>
        <v/>
      </c>
      <c r="M1566" s="9"/>
      <c r="N1566" s="9"/>
      <c r="P1566" s="14"/>
      <c r="Q1566" s="85"/>
      <c r="R1566" s="89"/>
      <c r="U1566" s="11" t="str">
        <f t="shared" si="223"/>
        <v/>
      </c>
      <c r="V1566" s="12" t="str">
        <f t="shared" si="224"/>
        <v/>
      </c>
      <c r="Z1566" s="15"/>
    </row>
    <row r="1567" spans="1:26" x14ac:dyDescent="0.25">
      <c r="A1567" s="15" t="str">
        <f>IF(C1567="","",COUNTA($C$3:C1567))</f>
        <v/>
      </c>
      <c r="B1567" s="15" t="str">
        <f t="shared" si="225"/>
        <v/>
      </c>
      <c r="M1567" s="9"/>
      <c r="N1567" s="9"/>
      <c r="P1567" s="14"/>
      <c r="Q1567" s="85"/>
      <c r="R1567" s="89"/>
      <c r="U1567" s="11" t="str">
        <f t="shared" si="223"/>
        <v/>
      </c>
      <c r="V1567" s="12" t="str">
        <f t="shared" si="224"/>
        <v/>
      </c>
      <c r="Z1567" s="15"/>
    </row>
    <row r="1568" spans="1:26" x14ac:dyDescent="0.25">
      <c r="A1568" s="15" t="str">
        <f>IF(C1568="","",COUNTA($C$3:C1568))</f>
        <v/>
      </c>
      <c r="B1568" s="15" t="str">
        <f t="shared" si="225"/>
        <v/>
      </c>
      <c r="M1568" s="9"/>
      <c r="N1568" s="9"/>
      <c r="P1568" s="14"/>
      <c r="Q1568" s="85"/>
      <c r="R1568" s="89"/>
      <c r="U1568" s="11" t="str">
        <f t="shared" si="223"/>
        <v/>
      </c>
      <c r="V1568" s="12" t="str">
        <f t="shared" si="224"/>
        <v/>
      </c>
      <c r="Z1568" s="15"/>
    </row>
    <row r="1569" spans="1:26" x14ac:dyDescent="0.25">
      <c r="A1569" s="15" t="str">
        <f>IF(C1569="","",COUNTA($C$3:C1569))</f>
        <v/>
      </c>
      <c r="B1569" s="15" t="str">
        <f t="shared" si="225"/>
        <v/>
      </c>
      <c r="M1569" s="9"/>
      <c r="N1569" s="9"/>
      <c r="P1569" s="14"/>
      <c r="Q1569" s="85"/>
      <c r="R1569" s="89"/>
      <c r="U1569" s="11" t="str">
        <f t="shared" si="223"/>
        <v/>
      </c>
      <c r="V1569" s="12" t="str">
        <f t="shared" si="224"/>
        <v/>
      </c>
      <c r="Z1569" s="15"/>
    </row>
    <row r="1570" spans="1:26" x14ac:dyDescent="0.25">
      <c r="A1570" s="15" t="str">
        <f>IF(C1570="","",COUNTA($C$3:C1570))</f>
        <v/>
      </c>
      <c r="B1570" s="15" t="str">
        <f t="shared" si="225"/>
        <v/>
      </c>
      <c r="M1570" s="9"/>
      <c r="N1570" s="9"/>
      <c r="P1570" s="14"/>
      <c r="Q1570" s="85"/>
      <c r="R1570" s="89"/>
      <c r="U1570" s="11" t="str">
        <f t="shared" si="223"/>
        <v/>
      </c>
      <c r="V1570" s="12" t="str">
        <f t="shared" si="224"/>
        <v/>
      </c>
      <c r="Z1570" s="15"/>
    </row>
    <row r="1571" spans="1:26" x14ac:dyDescent="0.25">
      <c r="A1571" s="15" t="str">
        <f>IF(C1571="","",COUNTA($C$3:C1571))</f>
        <v/>
      </c>
      <c r="B1571" s="15" t="str">
        <f t="shared" si="225"/>
        <v/>
      </c>
      <c r="M1571" s="9"/>
      <c r="N1571" s="9"/>
      <c r="P1571" s="14"/>
      <c r="Q1571" s="85"/>
      <c r="R1571" s="89"/>
      <c r="U1571" s="11" t="str">
        <f t="shared" si="223"/>
        <v/>
      </c>
      <c r="V1571" s="12" t="str">
        <f t="shared" si="224"/>
        <v/>
      </c>
      <c r="Z1571" s="15"/>
    </row>
    <row r="1572" spans="1:26" x14ac:dyDescent="0.25">
      <c r="A1572" s="15" t="str">
        <f>IF(C1572="","",COUNTA($C$3:C1572))</f>
        <v/>
      </c>
      <c r="B1572" s="15" t="str">
        <f t="shared" si="225"/>
        <v/>
      </c>
      <c r="M1572" s="9"/>
      <c r="N1572" s="9"/>
      <c r="P1572" s="14"/>
      <c r="Q1572" s="85"/>
      <c r="R1572" s="89"/>
      <c r="U1572" s="11" t="str">
        <f t="shared" si="223"/>
        <v/>
      </c>
      <c r="V1572" s="12" t="str">
        <f t="shared" si="224"/>
        <v/>
      </c>
      <c r="Z1572" s="15"/>
    </row>
    <row r="1573" spans="1:26" x14ac:dyDescent="0.25">
      <c r="A1573" s="15" t="str">
        <f>IF(C1573="","",COUNTA($C$3:C1573))</f>
        <v/>
      </c>
      <c r="B1573" s="15" t="str">
        <f t="shared" si="225"/>
        <v/>
      </c>
      <c r="M1573" s="9"/>
      <c r="N1573" s="9"/>
      <c r="P1573" s="14"/>
      <c r="Q1573" s="85"/>
      <c r="R1573" s="89"/>
      <c r="U1573" s="11" t="str">
        <f t="shared" si="223"/>
        <v/>
      </c>
      <c r="V1573" s="12" t="str">
        <f t="shared" si="224"/>
        <v/>
      </c>
      <c r="Z1573" s="15"/>
    </row>
    <row r="1574" spans="1:26" x14ac:dyDescent="0.25">
      <c r="A1574" s="15" t="str">
        <f>IF(C1574="","",COUNTA($C$3:C1574))</f>
        <v/>
      </c>
      <c r="B1574" s="15" t="str">
        <f t="shared" si="225"/>
        <v/>
      </c>
      <c r="M1574" s="9"/>
      <c r="N1574" s="9"/>
      <c r="P1574" s="14"/>
      <c r="Q1574" s="85"/>
      <c r="R1574" s="89"/>
      <c r="U1574" s="11" t="str">
        <f t="shared" si="223"/>
        <v/>
      </c>
      <c r="V1574" s="12" t="str">
        <f t="shared" si="224"/>
        <v/>
      </c>
      <c r="Z1574" s="15"/>
    </row>
    <row r="1575" spans="1:26" x14ac:dyDescent="0.25">
      <c r="A1575" s="15" t="str">
        <f>IF(C1575="","",COUNTA($C$3:C1575))</f>
        <v/>
      </c>
      <c r="B1575" s="15" t="str">
        <f t="shared" si="225"/>
        <v/>
      </c>
      <c r="M1575" s="9"/>
      <c r="N1575" s="9"/>
      <c r="P1575" s="14"/>
      <c r="Q1575" s="85"/>
      <c r="R1575" s="89"/>
      <c r="U1575" s="11" t="str">
        <f t="shared" si="223"/>
        <v/>
      </c>
      <c r="V1575" s="12" t="str">
        <f t="shared" si="224"/>
        <v/>
      </c>
      <c r="Z1575" s="15"/>
    </row>
    <row r="1576" spans="1:26" x14ac:dyDescent="0.25">
      <c r="A1576" s="15" t="str">
        <f>IF(C1576="","",COUNTA($C$3:C1576))</f>
        <v/>
      </c>
      <c r="B1576" s="15" t="str">
        <f t="shared" si="225"/>
        <v/>
      </c>
      <c r="M1576" s="9"/>
      <c r="N1576" s="9"/>
      <c r="P1576" s="14"/>
      <c r="Q1576" s="85"/>
      <c r="R1576" s="89"/>
      <c r="U1576" s="11" t="str">
        <f t="shared" si="223"/>
        <v/>
      </c>
      <c r="V1576" s="12" t="str">
        <f t="shared" si="224"/>
        <v/>
      </c>
      <c r="Z1576" s="15"/>
    </row>
    <row r="1577" spans="1:26" x14ac:dyDescent="0.25">
      <c r="A1577" s="15" t="str">
        <f>IF(C1577="","",COUNTA($C$3:C1577))</f>
        <v/>
      </c>
      <c r="B1577" s="15" t="str">
        <f t="shared" si="225"/>
        <v/>
      </c>
      <c r="M1577" s="9"/>
      <c r="N1577" s="9"/>
      <c r="P1577" s="14"/>
      <c r="Q1577" s="85"/>
      <c r="R1577" s="89"/>
      <c r="U1577" s="11" t="str">
        <f t="shared" si="223"/>
        <v/>
      </c>
      <c r="V1577" s="12" t="str">
        <f t="shared" si="224"/>
        <v/>
      </c>
      <c r="Z1577" s="15"/>
    </row>
    <row r="1578" spans="1:26" x14ac:dyDescent="0.25">
      <c r="A1578" s="15" t="str">
        <f>IF(C1578="","",COUNTA($C$3:C1578))</f>
        <v/>
      </c>
      <c r="B1578" s="15" t="str">
        <f t="shared" si="225"/>
        <v/>
      </c>
      <c r="M1578" s="9"/>
      <c r="N1578" s="9"/>
      <c r="P1578" s="14"/>
      <c r="Q1578" s="85"/>
      <c r="R1578" s="89"/>
      <c r="U1578" s="11" t="str">
        <f t="shared" si="223"/>
        <v/>
      </c>
      <c r="V1578" s="12" t="str">
        <f t="shared" si="224"/>
        <v/>
      </c>
      <c r="Z1578" s="15"/>
    </row>
    <row r="1579" spans="1:26" x14ac:dyDescent="0.25">
      <c r="A1579" s="15" t="str">
        <f>IF(C1579="","",COUNTA($C$3:C1579))</f>
        <v/>
      </c>
      <c r="B1579" s="15" t="str">
        <f t="shared" si="225"/>
        <v/>
      </c>
      <c r="M1579" s="9"/>
      <c r="N1579" s="9"/>
      <c r="P1579" s="14"/>
      <c r="Q1579" s="85"/>
      <c r="R1579" s="89"/>
      <c r="U1579" s="11" t="str">
        <f t="shared" si="223"/>
        <v/>
      </c>
      <c r="V1579" s="12" t="str">
        <f t="shared" si="224"/>
        <v/>
      </c>
      <c r="Z1579" s="15"/>
    </row>
    <row r="1580" spans="1:26" x14ac:dyDescent="0.25">
      <c r="A1580" s="15" t="str">
        <f>IF(C1580="","",COUNTA($C$3:C1580))</f>
        <v/>
      </c>
      <c r="B1580" s="15" t="str">
        <f t="shared" si="225"/>
        <v/>
      </c>
      <c r="M1580" s="9"/>
      <c r="N1580" s="9"/>
      <c r="P1580" s="14"/>
      <c r="Q1580" s="85"/>
      <c r="R1580" s="89"/>
      <c r="U1580" s="11" t="str">
        <f t="shared" si="223"/>
        <v/>
      </c>
      <c r="V1580" s="12" t="str">
        <f t="shared" si="224"/>
        <v/>
      </c>
      <c r="Z1580" s="15"/>
    </row>
    <row r="1581" spans="1:26" x14ac:dyDescent="0.25">
      <c r="A1581" s="15" t="str">
        <f>IF(C1581="","",COUNTA($C$3:C1581))</f>
        <v/>
      </c>
      <c r="B1581" s="15" t="str">
        <f t="shared" si="225"/>
        <v/>
      </c>
      <c r="M1581" s="9"/>
      <c r="N1581" s="9"/>
      <c r="P1581" s="14"/>
      <c r="Q1581" s="85"/>
      <c r="R1581" s="89"/>
      <c r="U1581" s="11" t="str">
        <f t="shared" si="223"/>
        <v/>
      </c>
      <c r="V1581" s="12" t="str">
        <f t="shared" si="224"/>
        <v/>
      </c>
      <c r="Z1581" s="15"/>
    </row>
    <row r="1582" spans="1:26" x14ac:dyDescent="0.25">
      <c r="A1582" s="15" t="str">
        <f>IF(C1582="","",COUNTA($C$3:C1582))</f>
        <v/>
      </c>
      <c r="B1582" s="15" t="str">
        <f t="shared" si="225"/>
        <v/>
      </c>
      <c r="M1582" s="9"/>
      <c r="N1582" s="9"/>
      <c r="P1582" s="14"/>
      <c r="Q1582" s="85"/>
      <c r="R1582" s="89"/>
      <c r="U1582" s="11" t="str">
        <f t="shared" si="223"/>
        <v/>
      </c>
      <c r="V1582" s="12" t="str">
        <f t="shared" si="224"/>
        <v/>
      </c>
      <c r="Z1582" s="15"/>
    </row>
    <row r="1583" spans="1:26" x14ac:dyDescent="0.25">
      <c r="A1583" s="15" t="str">
        <f>IF(C1583="","",COUNTA($C$3:C1583))</f>
        <v/>
      </c>
      <c r="B1583" s="15" t="str">
        <f t="shared" si="225"/>
        <v/>
      </c>
      <c r="M1583" s="9"/>
      <c r="N1583" s="9"/>
      <c r="P1583" s="14"/>
      <c r="Q1583" s="85"/>
      <c r="R1583" s="89"/>
      <c r="U1583" s="11" t="str">
        <f t="shared" si="223"/>
        <v/>
      </c>
      <c r="V1583" s="12" t="str">
        <f t="shared" si="224"/>
        <v/>
      </c>
      <c r="Z1583" s="15"/>
    </row>
    <row r="1584" spans="1:26" x14ac:dyDescent="0.25">
      <c r="A1584" s="15" t="str">
        <f>IF(C1584="","",COUNTA($C$3:C1584))</f>
        <v/>
      </c>
      <c r="B1584" s="15" t="str">
        <f t="shared" si="225"/>
        <v/>
      </c>
      <c r="M1584" s="9"/>
      <c r="N1584" s="9"/>
      <c r="P1584" s="14"/>
      <c r="Q1584" s="85"/>
      <c r="R1584" s="89"/>
      <c r="U1584" s="11" t="str">
        <f t="shared" si="223"/>
        <v/>
      </c>
      <c r="V1584" s="12" t="str">
        <f t="shared" si="224"/>
        <v/>
      </c>
      <c r="Z1584" s="15"/>
    </row>
    <row r="1585" spans="1:26" x14ac:dyDescent="0.25">
      <c r="A1585" s="15" t="str">
        <f>IF(C1585="","",COUNTA($C$3:C1585))</f>
        <v/>
      </c>
      <c r="B1585" s="15" t="str">
        <f t="shared" si="225"/>
        <v/>
      </c>
      <c r="M1585" s="9"/>
      <c r="N1585" s="9"/>
      <c r="P1585" s="14"/>
      <c r="Q1585" s="85"/>
      <c r="R1585" s="89"/>
      <c r="U1585" s="11" t="str">
        <f t="shared" si="223"/>
        <v/>
      </c>
      <c r="V1585" s="12" t="str">
        <f t="shared" si="224"/>
        <v/>
      </c>
      <c r="Z1585" s="15"/>
    </row>
    <row r="1586" spans="1:26" x14ac:dyDescent="0.25">
      <c r="A1586" s="15" t="str">
        <f>IF(C1586="","",COUNTA($C$3:C1586))</f>
        <v/>
      </c>
      <c r="B1586" s="15" t="str">
        <f t="shared" si="225"/>
        <v/>
      </c>
      <c r="M1586" s="9"/>
      <c r="N1586" s="9"/>
      <c r="P1586" s="14"/>
      <c r="Q1586" s="85"/>
      <c r="R1586" s="89"/>
      <c r="U1586" s="11" t="str">
        <f t="shared" si="223"/>
        <v/>
      </c>
      <c r="V1586" s="12" t="str">
        <f t="shared" si="224"/>
        <v/>
      </c>
      <c r="Z1586" s="15"/>
    </row>
    <row r="1587" spans="1:26" x14ac:dyDescent="0.25">
      <c r="A1587" s="15" t="str">
        <f>IF(C1587="","",COUNTA($C$3:C1587))</f>
        <v/>
      </c>
      <c r="B1587" s="15" t="str">
        <f t="shared" si="225"/>
        <v/>
      </c>
      <c r="M1587" s="9"/>
      <c r="N1587" s="9"/>
      <c r="P1587" s="14"/>
      <c r="Q1587" s="85"/>
      <c r="R1587" s="89"/>
      <c r="U1587" s="11" t="str">
        <f t="shared" si="223"/>
        <v/>
      </c>
      <c r="V1587" s="12" t="str">
        <f t="shared" si="224"/>
        <v/>
      </c>
      <c r="Z1587" s="15"/>
    </row>
    <row r="1588" spans="1:26" x14ac:dyDescent="0.25">
      <c r="A1588" s="15" t="str">
        <f>IF(C1588="","",COUNTA($C$3:C1588))</f>
        <v/>
      </c>
      <c r="B1588" s="15" t="str">
        <f t="shared" si="225"/>
        <v/>
      </c>
      <c r="M1588" s="9"/>
      <c r="N1588" s="9"/>
      <c r="P1588" s="14"/>
      <c r="Q1588" s="85"/>
      <c r="R1588" s="89"/>
      <c r="U1588" s="11" t="str">
        <f t="shared" si="223"/>
        <v/>
      </c>
      <c r="V1588" s="12" t="str">
        <f t="shared" si="224"/>
        <v/>
      </c>
      <c r="Z1588" s="15"/>
    </row>
    <row r="1589" spans="1:26" x14ac:dyDescent="0.25">
      <c r="A1589" s="15" t="str">
        <f>IF(C1589="","",COUNTA($C$3:C1589))</f>
        <v/>
      </c>
      <c r="B1589" s="15" t="str">
        <f t="shared" si="225"/>
        <v/>
      </c>
      <c r="M1589" s="9"/>
      <c r="N1589" s="9"/>
      <c r="P1589" s="14"/>
      <c r="Q1589" s="85"/>
      <c r="R1589" s="89"/>
      <c r="U1589" s="11" t="str">
        <f t="shared" si="223"/>
        <v/>
      </c>
      <c r="V1589" s="12" t="str">
        <f t="shared" si="224"/>
        <v/>
      </c>
      <c r="Z1589" s="15"/>
    </row>
    <row r="1590" spans="1:26" x14ac:dyDescent="0.25">
      <c r="A1590" s="15" t="str">
        <f>IF(C1590="","",COUNTA($C$3:C1590))</f>
        <v/>
      </c>
      <c r="B1590" s="15" t="str">
        <f t="shared" si="225"/>
        <v/>
      </c>
      <c r="M1590" s="9"/>
      <c r="N1590" s="9"/>
      <c r="P1590" s="14"/>
      <c r="Q1590" s="85"/>
      <c r="R1590" s="89"/>
      <c r="U1590" s="11" t="str">
        <f t="shared" si="223"/>
        <v/>
      </c>
      <c r="V1590" s="12" t="str">
        <f t="shared" si="224"/>
        <v/>
      </c>
      <c r="Z1590" s="15"/>
    </row>
    <row r="1591" spans="1:26" x14ac:dyDescent="0.25">
      <c r="A1591" s="15" t="str">
        <f>IF(C1591="","",COUNTA($C$3:C1591))</f>
        <v/>
      </c>
      <c r="B1591" s="15" t="str">
        <f t="shared" si="225"/>
        <v/>
      </c>
      <c r="M1591" s="9"/>
      <c r="N1591" s="9"/>
      <c r="P1591" s="14"/>
      <c r="Q1591" s="85"/>
      <c r="R1591" s="89"/>
      <c r="U1591" s="11" t="str">
        <f t="shared" si="223"/>
        <v/>
      </c>
      <c r="V1591" s="12" t="str">
        <f t="shared" si="224"/>
        <v/>
      </c>
      <c r="Z1591" s="15"/>
    </row>
    <row r="1592" spans="1:26" x14ac:dyDescent="0.25">
      <c r="A1592" s="15" t="str">
        <f>IF(C1592="","",COUNTA($C$3:C1592))</f>
        <v/>
      </c>
      <c r="B1592" s="15" t="str">
        <f t="shared" si="225"/>
        <v/>
      </c>
      <c r="M1592" s="9"/>
      <c r="N1592" s="9"/>
      <c r="P1592" s="14"/>
      <c r="Q1592" s="85"/>
      <c r="R1592" s="89"/>
      <c r="U1592" s="11" t="str">
        <f t="shared" si="223"/>
        <v/>
      </c>
      <c r="V1592" s="12" t="str">
        <f t="shared" si="224"/>
        <v/>
      </c>
      <c r="Z1592" s="15"/>
    </row>
    <row r="1593" spans="1:26" x14ac:dyDescent="0.25">
      <c r="A1593" s="15" t="str">
        <f>IF(C1593="","",COUNTA($C$3:C1593))</f>
        <v/>
      </c>
      <c r="B1593" s="15" t="str">
        <f t="shared" si="225"/>
        <v/>
      </c>
      <c r="M1593" s="9"/>
      <c r="N1593" s="9"/>
      <c r="P1593" s="14"/>
      <c r="Q1593" s="85"/>
      <c r="R1593" s="89"/>
      <c r="U1593" s="11" t="str">
        <f t="shared" si="223"/>
        <v/>
      </c>
      <c r="V1593" s="12" t="str">
        <f t="shared" si="224"/>
        <v/>
      </c>
      <c r="Z1593" s="15"/>
    </row>
    <row r="1594" spans="1:26" x14ac:dyDescent="0.25">
      <c r="A1594" s="15" t="str">
        <f>IF(C1594="","",COUNTA($C$3:C1594))</f>
        <v/>
      </c>
      <c r="B1594" s="15" t="str">
        <f t="shared" si="225"/>
        <v/>
      </c>
      <c r="M1594" s="9"/>
      <c r="N1594" s="9"/>
      <c r="P1594" s="14"/>
      <c r="Q1594" s="85"/>
      <c r="R1594" s="89"/>
      <c r="U1594" s="11" t="str">
        <f t="shared" si="223"/>
        <v/>
      </c>
      <c r="V1594" s="12" t="str">
        <f t="shared" si="224"/>
        <v/>
      </c>
      <c r="Z1594" s="15"/>
    </row>
    <row r="1595" spans="1:26" x14ac:dyDescent="0.25">
      <c r="A1595" s="15" t="str">
        <f>IF(C1595="","",COUNTA($C$3:C1595))</f>
        <v/>
      </c>
      <c r="B1595" s="15" t="str">
        <f t="shared" si="225"/>
        <v/>
      </c>
      <c r="M1595" s="9"/>
      <c r="N1595" s="9"/>
      <c r="P1595" s="14"/>
      <c r="Q1595" s="85"/>
      <c r="R1595" s="89"/>
      <c r="U1595" s="11" t="str">
        <f t="shared" si="223"/>
        <v/>
      </c>
      <c r="V1595" s="12" t="str">
        <f t="shared" si="224"/>
        <v/>
      </c>
      <c r="Z1595" s="15"/>
    </row>
    <row r="1596" spans="1:26" x14ac:dyDescent="0.25">
      <c r="A1596" s="15" t="str">
        <f>IF(C1596="","",COUNTA($C$3:C1596))</f>
        <v/>
      </c>
      <c r="B1596" s="15" t="str">
        <f t="shared" si="225"/>
        <v/>
      </c>
      <c r="M1596" s="9"/>
      <c r="N1596" s="9"/>
      <c r="P1596" s="14"/>
      <c r="Q1596" s="85"/>
      <c r="R1596" s="89"/>
      <c r="U1596" s="11" t="str">
        <f t="shared" si="223"/>
        <v/>
      </c>
      <c r="V1596" s="12" t="str">
        <f t="shared" si="224"/>
        <v/>
      </c>
      <c r="Z1596" s="15"/>
    </row>
    <row r="1597" spans="1:26" x14ac:dyDescent="0.25">
      <c r="A1597" s="15" t="str">
        <f>IF(C1597="","",COUNTA($C$3:C1597))</f>
        <v/>
      </c>
      <c r="B1597" s="15" t="str">
        <f t="shared" si="225"/>
        <v/>
      </c>
      <c r="M1597" s="9"/>
      <c r="N1597" s="9"/>
      <c r="P1597" s="14"/>
      <c r="Q1597" s="85"/>
      <c r="R1597" s="89"/>
      <c r="U1597" s="11" t="str">
        <f t="shared" si="223"/>
        <v/>
      </c>
      <c r="V1597" s="12" t="str">
        <f t="shared" si="224"/>
        <v/>
      </c>
      <c r="Z1597" s="15"/>
    </row>
    <row r="1598" spans="1:26" x14ac:dyDescent="0.25">
      <c r="A1598" s="15" t="str">
        <f>IF(C1598="","",COUNTA($C$3:C1598))</f>
        <v/>
      </c>
      <c r="B1598" s="15" t="str">
        <f t="shared" si="225"/>
        <v/>
      </c>
      <c r="M1598" s="9"/>
      <c r="N1598" s="9"/>
      <c r="P1598" s="14"/>
      <c r="Q1598" s="85"/>
      <c r="R1598" s="89"/>
      <c r="U1598" s="11" t="str">
        <f t="shared" si="223"/>
        <v/>
      </c>
      <c r="V1598" s="12" t="str">
        <f t="shared" si="224"/>
        <v/>
      </c>
      <c r="Z1598" s="15"/>
    </row>
    <row r="1599" spans="1:26" x14ac:dyDescent="0.25">
      <c r="A1599" s="15" t="str">
        <f>IF(C1599="","",COUNTA($C$3:C1599))</f>
        <v/>
      </c>
      <c r="B1599" s="15" t="str">
        <f t="shared" si="225"/>
        <v/>
      </c>
      <c r="M1599" s="9"/>
      <c r="N1599" s="9"/>
      <c r="P1599" s="14"/>
      <c r="Q1599" s="85"/>
      <c r="R1599" s="89"/>
      <c r="U1599" s="11" t="str">
        <f t="shared" si="223"/>
        <v/>
      </c>
      <c r="V1599" s="12" t="str">
        <f t="shared" si="224"/>
        <v/>
      </c>
      <c r="Z1599" s="15"/>
    </row>
    <row r="1600" spans="1:26" x14ac:dyDescent="0.25">
      <c r="A1600" s="15" t="str">
        <f>IF(C1600="","",COUNTA($C$3:C1600))</f>
        <v/>
      </c>
      <c r="B1600" s="15" t="str">
        <f t="shared" si="225"/>
        <v/>
      </c>
      <c r="M1600" s="9"/>
      <c r="N1600" s="9"/>
      <c r="P1600" s="14"/>
      <c r="Q1600" s="85"/>
      <c r="R1600" s="89"/>
      <c r="U1600" s="11" t="str">
        <f t="shared" si="223"/>
        <v/>
      </c>
      <c r="V1600" s="12" t="str">
        <f t="shared" si="224"/>
        <v/>
      </c>
      <c r="Z1600" s="15"/>
    </row>
    <row r="1601" spans="1:26" x14ac:dyDescent="0.25">
      <c r="A1601" s="15" t="str">
        <f>IF(C1601="","",COUNTA($C$3:C1601))</f>
        <v/>
      </c>
      <c r="B1601" s="15" t="str">
        <f t="shared" si="225"/>
        <v/>
      </c>
      <c r="M1601" s="9"/>
      <c r="N1601" s="9"/>
      <c r="P1601" s="14"/>
      <c r="Q1601" s="85"/>
      <c r="R1601" s="89"/>
      <c r="U1601" s="11" t="str">
        <f t="shared" si="223"/>
        <v/>
      </c>
      <c r="V1601" s="12" t="str">
        <f t="shared" si="224"/>
        <v/>
      </c>
      <c r="Z1601" s="15"/>
    </row>
    <row r="1602" spans="1:26" x14ac:dyDescent="0.25">
      <c r="A1602" s="15" t="str">
        <f>IF(C1602="","",COUNTA($C$3:C1602))</f>
        <v/>
      </c>
      <c r="B1602" s="15" t="str">
        <f t="shared" si="225"/>
        <v/>
      </c>
      <c r="M1602" s="9"/>
      <c r="N1602" s="9"/>
      <c r="P1602" s="14"/>
      <c r="Q1602" s="85"/>
      <c r="R1602" s="89"/>
      <c r="U1602" s="11" t="str">
        <f t="shared" ref="U1602:U1665" si="226">IF(S1602="","",(S1602-T1602))</f>
        <v/>
      </c>
      <c r="V1602" s="12" t="str">
        <f t="shared" ref="V1602:V1665" si="227">IF(U1602="","",(U1602/T1602))</f>
        <v/>
      </c>
      <c r="Z1602" s="15"/>
    </row>
    <row r="1603" spans="1:26" x14ac:dyDescent="0.25">
      <c r="A1603" s="15" t="str">
        <f>IF(C1603="","",COUNTA($C$3:C1603))</f>
        <v/>
      </c>
      <c r="B1603" s="15" t="str">
        <f t="shared" ref="B1603:B1666" si="228">IF(C1603="","",TEXT(C1603,"mmmm"))</f>
        <v/>
      </c>
      <c r="M1603" s="9"/>
      <c r="N1603" s="9"/>
      <c r="P1603" s="14"/>
      <c r="Q1603" s="85"/>
      <c r="R1603" s="89"/>
      <c r="U1603" s="11" t="str">
        <f t="shared" si="226"/>
        <v/>
      </c>
      <c r="V1603" s="12" t="str">
        <f t="shared" si="227"/>
        <v/>
      </c>
      <c r="Z1603" s="15"/>
    </row>
    <row r="1604" spans="1:26" x14ac:dyDescent="0.25">
      <c r="A1604" s="15" t="str">
        <f>IF(C1604="","",COUNTA($C$3:C1604))</f>
        <v/>
      </c>
      <c r="B1604" s="15" t="str">
        <f t="shared" si="228"/>
        <v/>
      </c>
      <c r="M1604" s="9"/>
      <c r="N1604" s="9"/>
      <c r="P1604" s="14"/>
      <c r="Q1604" s="85"/>
      <c r="R1604" s="89"/>
      <c r="U1604" s="11" t="str">
        <f t="shared" si="226"/>
        <v/>
      </c>
      <c r="V1604" s="12" t="str">
        <f t="shared" si="227"/>
        <v/>
      </c>
      <c r="Z1604" s="15"/>
    </row>
    <row r="1605" spans="1:26" x14ac:dyDescent="0.25">
      <c r="A1605" s="15" t="str">
        <f>IF(C1605="","",COUNTA($C$3:C1605))</f>
        <v/>
      </c>
      <c r="B1605" s="15" t="str">
        <f t="shared" si="228"/>
        <v/>
      </c>
      <c r="M1605" s="9"/>
      <c r="N1605" s="9"/>
      <c r="P1605" s="14"/>
      <c r="Q1605" s="85"/>
      <c r="R1605" s="89"/>
      <c r="U1605" s="11" t="str">
        <f t="shared" si="226"/>
        <v/>
      </c>
      <c r="V1605" s="12" t="str">
        <f t="shared" si="227"/>
        <v/>
      </c>
      <c r="Z1605" s="15"/>
    </row>
    <row r="1606" spans="1:26" x14ac:dyDescent="0.25">
      <c r="A1606" s="15" t="str">
        <f>IF(C1606="","",COUNTA($C$3:C1606))</f>
        <v/>
      </c>
      <c r="B1606" s="15" t="str">
        <f t="shared" si="228"/>
        <v/>
      </c>
      <c r="M1606" s="9"/>
      <c r="N1606" s="9"/>
      <c r="P1606" s="14"/>
      <c r="Q1606" s="85"/>
      <c r="R1606" s="89"/>
      <c r="U1606" s="11" t="str">
        <f t="shared" si="226"/>
        <v/>
      </c>
      <c r="V1606" s="12" t="str">
        <f t="shared" si="227"/>
        <v/>
      </c>
      <c r="Z1606" s="15"/>
    </row>
    <row r="1607" spans="1:26" x14ac:dyDescent="0.25">
      <c r="A1607" s="15" t="str">
        <f>IF(C1607="","",COUNTA($C$3:C1607))</f>
        <v/>
      </c>
      <c r="B1607" s="15" t="str">
        <f t="shared" si="228"/>
        <v/>
      </c>
      <c r="M1607" s="9"/>
      <c r="N1607" s="9"/>
      <c r="P1607" s="14"/>
      <c r="Q1607" s="85"/>
      <c r="R1607" s="89"/>
      <c r="U1607" s="11" t="str">
        <f t="shared" si="226"/>
        <v/>
      </c>
      <c r="V1607" s="12" t="str">
        <f t="shared" si="227"/>
        <v/>
      </c>
      <c r="Z1607" s="15"/>
    </row>
    <row r="1608" spans="1:26" x14ac:dyDescent="0.25">
      <c r="A1608" s="15" t="str">
        <f>IF(C1608="","",COUNTA($C$3:C1608))</f>
        <v/>
      </c>
      <c r="B1608" s="15" t="str">
        <f t="shared" si="228"/>
        <v/>
      </c>
      <c r="M1608" s="9"/>
      <c r="N1608" s="9"/>
      <c r="P1608" s="14"/>
      <c r="Q1608" s="85"/>
      <c r="R1608" s="89"/>
      <c r="U1608" s="11" t="str">
        <f t="shared" si="226"/>
        <v/>
      </c>
      <c r="V1608" s="12" t="str">
        <f t="shared" si="227"/>
        <v/>
      </c>
      <c r="Z1608" s="15"/>
    </row>
    <row r="1609" spans="1:26" x14ac:dyDescent="0.25">
      <c r="A1609" s="15" t="str">
        <f>IF(C1609="","",COUNTA($C$3:C1609))</f>
        <v/>
      </c>
      <c r="B1609" s="15" t="str">
        <f t="shared" si="228"/>
        <v/>
      </c>
      <c r="M1609" s="9"/>
      <c r="N1609" s="9"/>
      <c r="P1609" s="14"/>
      <c r="Q1609" s="85"/>
      <c r="R1609" s="89"/>
      <c r="U1609" s="11" t="str">
        <f t="shared" si="226"/>
        <v/>
      </c>
      <c r="V1609" s="12" t="str">
        <f t="shared" si="227"/>
        <v/>
      </c>
      <c r="Z1609" s="15"/>
    </row>
    <row r="1610" spans="1:26" x14ac:dyDescent="0.25">
      <c r="A1610" s="15" t="str">
        <f>IF(C1610="","",COUNTA($C$3:C1610))</f>
        <v/>
      </c>
      <c r="B1610" s="15" t="str">
        <f t="shared" si="228"/>
        <v/>
      </c>
      <c r="M1610" s="9"/>
      <c r="N1610" s="9"/>
      <c r="P1610" s="14"/>
      <c r="Q1610" s="85"/>
      <c r="R1610" s="89"/>
      <c r="U1610" s="11" t="str">
        <f t="shared" si="226"/>
        <v/>
      </c>
      <c r="V1610" s="12" t="str">
        <f t="shared" si="227"/>
        <v/>
      </c>
      <c r="Z1610" s="15"/>
    </row>
    <row r="1611" spans="1:26" x14ac:dyDescent="0.25">
      <c r="A1611" s="15" t="str">
        <f>IF(C1611="","",COUNTA($C$3:C1611))</f>
        <v/>
      </c>
      <c r="B1611" s="15" t="str">
        <f t="shared" si="228"/>
        <v/>
      </c>
      <c r="M1611" s="9"/>
      <c r="N1611" s="9"/>
      <c r="P1611" s="14"/>
      <c r="Q1611" s="85"/>
      <c r="R1611" s="89"/>
      <c r="U1611" s="11" t="str">
        <f t="shared" si="226"/>
        <v/>
      </c>
      <c r="V1611" s="12" t="str">
        <f t="shared" si="227"/>
        <v/>
      </c>
      <c r="Z1611" s="15"/>
    </row>
    <row r="1612" spans="1:26" x14ac:dyDescent="0.25">
      <c r="A1612" s="15" t="str">
        <f>IF(C1612="","",COUNTA($C$3:C1612))</f>
        <v/>
      </c>
      <c r="B1612" s="15" t="str">
        <f t="shared" si="228"/>
        <v/>
      </c>
      <c r="M1612" s="9"/>
      <c r="N1612" s="9"/>
      <c r="P1612" s="14"/>
      <c r="Q1612" s="85"/>
      <c r="R1612" s="89"/>
      <c r="U1612" s="11" t="str">
        <f t="shared" si="226"/>
        <v/>
      </c>
      <c r="V1612" s="12" t="str">
        <f t="shared" si="227"/>
        <v/>
      </c>
      <c r="Z1612" s="15"/>
    </row>
    <row r="1613" spans="1:26" x14ac:dyDescent="0.25">
      <c r="A1613" s="15" t="str">
        <f>IF(C1613="","",COUNTA($C$3:C1613))</f>
        <v/>
      </c>
      <c r="B1613" s="15" t="str">
        <f t="shared" si="228"/>
        <v/>
      </c>
      <c r="M1613" s="9"/>
      <c r="N1613" s="9"/>
      <c r="P1613" s="14"/>
      <c r="Q1613" s="85"/>
      <c r="R1613" s="89"/>
      <c r="U1613" s="11" t="str">
        <f t="shared" si="226"/>
        <v/>
      </c>
      <c r="V1613" s="12" t="str">
        <f t="shared" si="227"/>
        <v/>
      </c>
      <c r="Z1613" s="15"/>
    </row>
    <row r="1614" spans="1:26" x14ac:dyDescent="0.25">
      <c r="A1614" s="15" t="str">
        <f>IF(C1614="","",COUNTA($C$3:C1614))</f>
        <v/>
      </c>
      <c r="B1614" s="15" t="str">
        <f t="shared" si="228"/>
        <v/>
      </c>
      <c r="M1614" s="9"/>
      <c r="N1614" s="9"/>
      <c r="P1614" s="14"/>
      <c r="Q1614" s="85"/>
      <c r="R1614" s="89"/>
      <c r="U1614" s="11" t="str">
        <f t="shared" si="226"/>
        <v/>
      </c>
      <c r="V1614" s="12" t="str">
        <f t="shared" si="227"/>
        <v/>
      </c>
      <c r="Z1614" s="15"/>
    </row>
    <row r="1615" spans="1:26" x14ac:dyDescent="0.25">
      <c r="A1615" s="15" t="str">
        <f>IF(C1615="","",COUNTA($C$3:C1615))</f>
        <v/>
      </c>
      <c r="B1615" s="15" t="str">
        <f t="shared" si="228"/>
        <v/>
      </c>
      <c r="M1615" s="9"/>
      <c r="N1615" s="9"/>
      <c r="P1615" s="14"/>
      <c r="Q1615" s="85"/>
      <c r="R1615" s="89"/>
      <c r="U1615" s="11" t="str">
        <f t="shared" si="226"/>
        <v/>
      </c>
      <c r="V1615" s="12" t="str">
        <f t="shared" si="227"/>
        <v/>
      </c>
      <c r="Z1615" s="15"/>
    </row>
    <row r="1616" spans="1:26" x14ac:dyDescent="0.25">
      <c r="A1616" s="15" t="str">
        <f>IF(C1616="","",COUNTA($C$3:C1616))</f>
        <v/>
      </c>
      <c r="B1616" s="15" t="str">
        <f t="shared" si="228"/>
        <v/>
      </c>
      <c r="M1616" s="9"/>
      <c r="N1616" s="9"/>
      <c r="P1616" s="14"/>
      <c r="Q1616" s="85"/>
      <c r="R1616" s="89"/>
      <c r="U1616" s="11" t="str">
        <f t="shared" si="226"/>
        <v/>
      </c>
      <c r="V1616" s="12" t="str">
        <f t="shared" si="227"/>
        <v/>
      </c>
      <c r="Z1616" s="15"/>
    </row>
    <row r="1617" spans="1:26" x14ac:dyDescent="0.25">
      <c r="A1617" s="15" t="str">
        <f>IF(C1617="","",COUNTA($C$3:C1617))</f>
        <v/>
      </c>
      <c r="B1617" s="15" t="str">
        <f t="shared" si="228"/>
        <v/>
      </c>
      <c r="M1617" s="9"/>
      <c r="N1617" s="9"/>
      <c r="P1617" s="14"/>
      <c r="Q1617" s="85"/>
      <c r="R1617" s="89"/>
      <c r="U1617" s="11" t="str">
        <f t="shared" si="226"/>
        <v/>
      </c>
      <c r="V1617" s="12" t="str">
        <f t="shared" si="227"/>
        <v/>
      </c>
      <c r="Z1617" s="15"/>
    </row>
    <row r="1618" spans="1:26" x14ac:dyDescent="0.25">
      <c r="A1618" s="15" t="str">
        <f>IF(C1618="","",COUNTA($C$3:C1618))</f>
        <v/>
      </c>
      <c r="B1618" s="15" t="str">
        <f t="shared" si="228"/>
        <v/>
      </c>
      <c r="M1618" s="9"/>
      <c r="N1618" s="9"/>
      <c r="P1618" s="14"/>
      <c r="Q1618" s="85"/>
      <c r="R1618" s="89"/>
      <c r="U1618" s="11" t="str">
        <f t="shared" si="226"/>
        <v/>
      </c>
      <c r="V1618" s="12" t="str">
        <f t="shared" si="227"/>
        <v/>
      </c>
      <c r="Z1618" s="15"/>
    </row>
    <row r="1619" spans="1:26" x14ac:dyDescent="0.25">
      <c r="A1619" s="15" t="str">
        <f>IF(C1619="","",COUNTA($C$3:C1619))</f>
        <v/>
      </c>
      <c r="B1619" s="15" t="str">
        <f t="shared" si="228"/>
        <v/>
      </c>
      <c r="M1619" s="9"/>
      <c r="N1619" s="9"/>
      <c r="P1619" s="14"/>
      <c r="Q1619" s="85"/>
      <c r="R1619" s="89"/>
      <c r="U1619" s="11" t="str">
        <f t="shared" si="226"/>
        <v/>
      </c>
      <c r="V1619" s="12" t="str">
        <f t="shared" si="227"/>
        <v/>
      </c>
      <c r="Z1619" s="15"/>
    </row>
    <row r="1620" spans="1:26" x14ac:dyDescent="0.25">
      <c r="A1620" s="15" t="str">
        <f>IF(C1620="","",COUNTA($C$3:C1620))</f>
        <v/>
      </c>
      <c r="B1620" s="15" t="str">
        <f t="shared" si="228"/>
        <v/>
      </c>
      <c r="M1620" s="9"/>
      <c r="N1620" s="9"/>
      <c r="P1620" s="14"/>
      <c r="Q1620" s="85"/>
      <c r="R1620" s="89"/>
      <c r="U1620" s="11" t="str">
        <f t="shared" si="226"/>
        <v/>
      </c>
      <c r="V1620" s="12" t="str">
        <f t="shared" si="227"/>
        <v/>
      </c>
      <c r="Z1620" s="15"/>
    </row>
    <row r="1621" spans="1:26" x14ac:dyDescent="0.25">
      <c r="A1621" s="15" t="str">
        <f>IF(C1621="","",COUNTA($C$3:C1621))</f>
        <v/>
      </c>
      <c r="B1621" s="15" t="str">
        <f t="shared" si="228"/>
        <v/>
      </c>
      <c r="M1621" s="9"/>
      <c r="N1621" s="9"/>
      <c r="P1621" s="14"/>
      <c r="Q1621" s="85"/>
      <c r="R1621" s="89"/>
      <c r="U1621" s="11" t="str">
        <f t="shared" si="226"/>
        <v/>
      </c>
      <c r="V1621" s="12" t="str">
        <f t="shared" si="227"/>
        <v/>
      </c>
      <c r="Z1621" s="15"/>
    </row>
    <row r="1622" spans="1:26" x14ac:dyDescent="0.25">
      <c r="A1622" s="15" t="str">
        <f>IF(C1622="","",COUNTA($C$3:C1622))</f>
        <v/>
      </c>
      <c r="B1622" s="15" t="str">
        <f t="shared" si="228"/>
        <v/>
      </c>
      <c r="M1622" s="9"/>
      <c r="N1622" s="9"/>
      <c r="P1622" s="14"/>
      <c r="Q1622" s="85"/>
      <c r="R1622" s="89"/>
      <c r="U1622" s="11" t="str">
        <f t="shared" si="226"/>
        <v/>
      </c>
      <c r="V1622" s="12" t="str">
        <f t="shared" si="227"/>
        <v/>
      </c>
      <c r="Z1622" s="15"/>
    </row>
    <row r="1623" spans="1:26" x14ac:dyDescent="0.25">
      <c r="A1623" s="15" t="str">
        <f>IF(C1623="","",COUNTA($C$3:C1623))</f>
        <v/>
      </c>
      <c r="B1623" s="15" t="str">
        <f t="shared" si="228"/>
        <v/>
      </c>
      <c r="M1623" s="9"/>
      <c r="N1623" s="9"/>
      <c r="P1623" s="14"/>
      <c r="Q1623" s="85"/>
      <c r="R1623" s="89"/>
      <c r="U1623" s="11" t="str">
        <f t="shared" si="226"/>
        <v/>
      </c>
      <c r="V1623" s="12" t="str">
        <f t="shared" si="227"/>
        <v/>
      </c>
      <c r="Z1623" s="15"/>
    </row>
    <row r="1624" spans="1:26" x14ac:dyDescent="0.25">
      <c r="A1624" s="15" t="str">
        <f>IF(C1624="","",COUNTA($C$3:C1624))</f>
        <v/>
      </c>
      <c r="B1624" s="15" t="str">
        <f t="shared" si="228"/>
        <v/>
      </c>
      <c r="M1624" s="9"/>
      <c r="N1624" s="9"/>
      <c r="P1624" s="14"/>
      <c r="Q1624" s="85"/>
      <c r="R1624" s="89"/>
      <c r="U1624" s="11" t="str">
        <f t="shared" si="226"/>
        <v/>
      </c>
      <c r="V1624" s="12" t="str">
        <f t="shared" si="227"/>
        <v/>
      </c>
      <c r="Z1624" s="15"/>
    </row>
    <row r="1625" spans="1:26" x14ac:dyDescent="0.25">
      <c r="A1625" s="15" t="str">
        <f>IF(C1625="","",COUNTA($C$3:C1625))</f>
        <v/>
      </c>
      <c r="B1625" s="15" t="str">
        <f t="shared" si="228"/>
        <v/>
      </c>
      <c r="M1625" s="9"/>
      <c r="N1625" s="9"/>
      <c r="P1625" s="14"/>
      <c r="Q1625" s="85"/>
      <c r="R1625" s="89"/>
      <c r="U1625" s="11" t="str">
        <f t="shared" si="226"/>
        <v/>
      </c>
      <c r="V1625" s="12" t="str">
        <f t="shared" si="227"/>
        <v/>
      </c>
      <c r="Z1625" s="15"/>
    </row>
    <row r="1626" spans="1:26" x14ac:dyDescent="0.25">
      <c r="A1626" s="15" t="str">
        <f>IF(C1626="","",COUNTA($C$3:C1626))</f>
        <v/>
      </c>
      <c r="B1626" s="15" t="str">
        <f t="shared" si="228"/>
        <v/>
      </c>
      <c r="M1626" s="9"/>
      <c r="N1626" s="9"/>
      <c r="P1626" s="14"/>
      <c r="Q1626" s="85"/>
      <c r="R1626" s="89"/>
      <c r="U1626" s="11" t="str">
        <f t="shared" si="226"/>
        <v/>
      </c>
      <c r="V1626" s="12" t="str">
        <f t="shared" si="227"/>
        <v/>
      </c>
      <c r="Z1626" s="15"/>
    </row>
    <row r="1627" spans="1:26" x14ac:dyDescent="0.25">
      <c r="A1627" s="15" t="str">
        <f>IF(C1627="","",COUNTA($C$3:C1627))</f>
        <v/>
      </c>
      <c r="B1627" s="15" t="str">
        <f t="shared" si="228"/>
        <v/>
      </c>
      <c r="M1627" s="9"/>
      <c r="N1627" s="9"/>
      <c r="P1627" s="14"/>
      <c r="Q1627" s="85"/>
      <c r="R1627" s="89"/>
      <c r="U1627" s="11" t="str">
        <f t="shared" si="226"/>
        <v/>
      </c>
      <c r="V1627" s="12" t="str">
        <f t="shared" si="227"/>
        <v/>
      </c>
      <c r="Z1627" s="15"/>
    </row>
    <row r="1628" spans="1:26" x14ac:dyDescent="0.25">
      <c r="A1628" s="15" t="str">
        <f>IF(C1628="","",COUNTA($C$3:C1628))</f>
        <v/>
      </c>
      <c r="B1628" s="15" t="str">
        <f t="shared" si="228"/>
        <v/>
      </c>
      <c r="M1628" s="9"/>
      <c r="N1628" s="9"/>
      <c r="P1628" s="14"/>
      <c r="Q1628" s="85"/>
      <c r="R1628" s="89"/>
      <c r="U1628" s="11" t="str">
        <f t="shared" si="226"/>
        <v/>
      </c>
      <c r="V1628" s="12" t="str">
        <f t="shared" si="227"/>
        <v/>
      </c>
      <c r="Z1628" s="15"/>
    </row>
    <row r="1629" spans="1:26" x14ac:dyDescent="0.25">
      <c r="A1629" s="15" t="str">
        <f>IF(C1629="","",COUNTA($C$3:C1629))</f>
        <v/>
      </c>
      <c r="B1629" s="15" t="str">
        <f t="shared" si="228"/>
        <v/>
      </c>
      <c r="M1629" s="9"/>
      <c r="N1629" s="9"/>
      <c r="P1629" s="14"/>
      <c r="Q1629" s="85"/>
      <c r="R1629" s="89"/>
      <c r="U1629" s="11" t="str">
        <f t="shared" si="226"/>
        <v/>
      </c>
      <c r="V1629" s="12" t="str">
        <f t="shared" si="227"/>
        <v/>
      </c>
      <c r="Z1629" s="15"/>
    </row>
    <row r="1630" spans="1:26" x14ac:dyDescent="0.25">
      <c r="A1630" s="15" t="str">
        <f>IF(C1630="","",COUNTA($C$3:C1630))</f>
        <v/>
      </c>
      <c r="B1630" s="15" t="str">
        <f t="shared" si="228"/>
        <v/>
      </c>
      <c r="M1630" s="9"/>
      <c r="N1630" s="9"/>
      <c r="P1630" s="14"/>
      <c r="Q1630" s="85"/>
      <c r="R1630" s="89"/>
      <c r="U1630" s="11" t="str">
        <f t="shared" si="226"/>
        <v/>
      </c>
      <c r="V1630" s="12" t="str">
        <f t="shared" si="227"/>
        <v/>
      </c>
      <c r="Z1630" s="15"/>
    </row>
    <row r="1631" spans="1:26" x14ac:dyDescent="0.25">
      <c r="A1631" s="15" t="str">
        <f>IF(C1631="","",COUNTA($C$3:C1631))</f>
        <v/>
      </c>
      <c r="B1631" s="15" t="str">
        <f t="shared" si="228"/>
        <v/>
      </c>
      <c r="M1631" s="9"/>
      <c r="N1631" s="9"/>
      <c r="P1631" s="14"/>
      <c r="Q1631" s="85"/>
      <c r="R1631" s="89"/>
      <c r="U1631" s="11" t="str">
        <f t="shared" si="226"/>
        <v/>
      </c>
      <c r="V1631" s="12" t="str">
        <f t="shared" si="227"/>
        <v/>
      </c>
      <c r="Z1631" s="15"/>
    </row>
    <row r="1632" spans="1:26" x14ac:dyDescent="0.25">
      <c r="A1632" s="15" t="str">
        <f>IF(C1632="","",COUNTA($C$3:C1632))</f>
        <v/>
      </c>
      <c r="B1632" s="15" t="str">
        <f t="shared" si="228"/>
        <v/>
      </c>
      <c r="M1632" s="9"/>
      <c r="N1632" s="9"/>
      <c r="P1632" s="14"/>
      <c r="Q1632" s="85"/>
      <c r="R1632" s="89"/>
      <c r="U1632" s="11" t="str">
        <f t="shared" si="226"/>
        <v/>
      </c>
      <c r="V1632" s="12" t="str">
        <f t="shared" si="227"/>
        <v/>
      </c>
      <c r="Z1632" s="15"/>
    </row>
    <row r="1633" spans="1:26" x14ac:dyDescent="0.25">
      <c r="A1633" s="15" t="str">
        <f>IF(C1633="","",COUNTA($C$3:C1633))</f>
        <v/>
      </c>
      <c r="B1633" s="15" t="str">
        <f t="shared" si="228"/>
        <v/>
      </c>
      <c r="M1633" s="9"/>
      <c r="N1633" s="9"/>
      <c r="P1633" s="14"/>
      <c r="Q1633" s="85"/>
      <c r="R1633" s="89"/>
      <c r="U1633" s="11" t="str">
        <f t="shared" si="226"/>
        <v/>
      </c>
      <c r="V1633" s="12" t="str">
        <f t="shared" si="227"/>
        <v/>
      </c>
      <c r="Z1633" s="15"/>
    </row>
    <row r="1634" spans="1:26" x14ac:dyDescent="0.25">
      <c r="A1634" s="15" t="str">
        <f>IF(C1634="","",COUNTA($C$3:C1634))</f>
        <v/>
      </c>
      <c r="B1634" s="15" t="str">
        <f t="shared" si="228"/>
        <v/>
      </c>
      <c r="M1634" s="9"/>
      <c r="N1634" s="9"/>
      <c r="P1634" s="14"/>
      <c r="Q1634" s="85"/>
      <c r="R1634" s="89"/>
      <c r="U1634" s="11" t="str">
        <f t="shared" si="226"/>
        <v/>
      </c>
      <c r="V1634" s="12" t="str">
        <f t="shared" si="227"/>
        <v/>
      </c>
      <c r="Z1634" s="15"/>
    </row>
    <row r="1635" spans="1:26" x14ac:dyDescent="0.25">
      <c r="A1635" s="15" t="str">
        <f>IF(C1635="","",COUNTA($C$3:C1635))</f>
        <v/>
      </c>
      <c r="B1635" s="15" t="str">
        <f t="shared" si="228"/>
        <v/>
      </c>
      <c r="M1635" s="9"/>
      <c r="N1635" s="9"/>
      <c r="P1635" s="14"/>
      <c r="Q1635" s="85"/>
      <c r="R1635" s="89"/>
      <c r="U1635" s="11" t="str">
        <f t="shared" si="226"/>
        <v/>
      </c>
      <c r="V1635" s="12" t="str">
        <f t="shared" si="227"/>
        <v/>
      </c>
      <c r="Z1635" s="15"/>
    </row>
    <row r="1636" spans="1:26" x14ac:dyDescent="0.25">
      <c r="A1636" s="15" t="str">
        <f>IF(C1636="","",COUNTA($C$3:C1636))</f>
        <v/>
      </c>
      <c r="B1636" s="15" t="str">
        <f t="shared" si="228"/>
        <v/>
      </c>
      <c r="M1636" s="9"/>
      <c r="N1636" s="9"/>
      <c r="P1636" s="14"/>
      <c r="Q1636" s="85"/>
      <c r="R1636" s="89"/>
      <c r="U1636" s="11" t="str">
        <f t="shared" si="226"/>
        <v/>
      </c>
      <c r="V1636" s="12" t="str">
        <f t="shared" si="227"/>
        <v/>
      </c>
      <c r="Z1636" s="15"/>
    </row>
    <row r="1637" spans="1:26" x14ac:dyDescent="0.25">
      <c r="A1637" s="15" t="str">
        <f>IF(C1637="","",COUNTA($C$3:C1637))</f>
        <v/>
      </c>
      <c r="B1637" s="15" t="str">
        <f t="shared" si="228"/>
        <v/>
      </c>
      <c r="M1637" s="9"/>
      <c r="N1637" s="9"/>
      <c r="P1637" s="14"/>
      <c r="Q1637" s="85"/>
      <c r="R1637" s="89"/>
      <c r="U1637" s="11" t="str">
        <f t="shared" si="226"/>
        <v/>
      </c>
      <c r="V1637" s="12" t="str">
        <f t="shared" si="227"/>
        <v/>
      </c>
      <c r="Z1637" s="15"/>
    </row>
    <row r="1638" spans="1:26" x14ac:dyDescent="0.25">
      <c r="A1638" s="15" t="str">
        <f>IF(C1638="","",COUNTA($C$3:C1638))</f>
        <v/>
      </c>
      <c r="B1638" s="15" t="str">
        <f t="shared" si="228"/>
        <v/>
      </c>
      <c r="M1638" s="9"/>
      <c r="N1638" s="9"/>
      <c r="P1638" s="14"/>
      <c r="Q1638" s="85"/>
      <c r="R1638" s="89"/>
      <c r="U1638" s="11" t="str">
        <f t="shared" si="226"/>
        <v/>
      </c>
      <c r="V1638" s="12" t="str">
        <f t="shared" si="227"/>
        <v/>
      </c>
      <c r="Z1638" s="15"/>
    </row>
    <row r="1639" spans="1:26" x14ac:dyDescent="0.25">
      <c r="A1639" s="15" t="str">
        <f>IF(C1639="","",COUNTA($C$3:C1639))</f>
        <v/>
      </c>
      <c r="B1639" s="15" t="str">
        <f t="shared" si="228"/>
        <v/>
      </c>
      <c r="M1639" s="9"/>
      <c r="N1639" s="9"/>
      <c r="P1639" s="14"/>
      <c r="Q1639" s="85"/>
      <c r="R1639" s="89"/>
      <c r="U1639" s="11" t="str">
        <f t="shared" si="226"/>
        <v/>
      </c>
      <c r="V1639" s="12" t="str">
        <f t="shared" si="227"/>
        <v/>
      </c>
      <c r="Z1639" s="15"/>
    </row>
    <row r="1640" spans="1:26" x14ac:dyDescent="0.25">
      <c r="A1640" s="15" t="str">
        <f>IF(C1640="","",COUNTA($C$3:C1640))</f>
        <v/>
      </c>
      <c r="B1640" s="15" t="str">
        <f t="shared" si="228"/>
        <v/>
      </c>
      <c r="M1640" s="9"/>
      <c r="N1640" s="9"/>
      <c r="P1640" s="14"/>
      <c r="Q1640" s="85"/>
      <c r="R1640" s="89"/>
      <c r="U1640" s="11" t="str">
        <f t="shared" si="226"/>
        <v/>
      </c>
      <c r="V1640" s="12" t="str">
        <f t="shared" si="227"/>
        <v/>
      </c>
      <c r="Z1640" s="15"/>
    </row>
    <row r="1641" spans="1:26" x14ac:dyDescent="0.25">
      <c r="A1641" s="15" t="str">
        <f>IF(C1641="","",COUNTA($C$3:C1641))</f>
        <v/>
      </c>
      <c r="B1641" s="15" t="str">
        <f t="shared" si="228"/>
        <v/>
      </c>
      <c r="M1641" s="9"/>
      <c r="N1641" s="9"/>
      <c r="P1641" s="14"/>
      <c r="Q1641" s="85"/>
      <c r="R1641" s="89"/>
      <c r="U1641" s="11" t="str">
        <f t="shared" si="226"/>
        <v/>
      </c>
      <c r="V1641" s="12" t="str">
        <f t="shared" si="227"/>
        <v/>
      </c>
      <c r="Z1641" s="15"/>
    </row>
    <row r="1642" spans="1:26" x14ac:dyDescent="0.25">
      <c r="A1642" s="15" t="str">
        <f>IF(C1642="","",COUNTA($C$3:C1642))</f>
        <v/>
      </c>
      <c r="B1642" s="15" t="str">
        <f t="shared" si="228"/>
        <v/>
      </c>
      <c r="M1642" s="9"/>
      <c r="N1642" s="9"/>
      <c r="P1642" s="14"/>
      <c r="Q1642" s="85"/>
      <c r="R1642" s="89"/>
      <c r="U1642" s="11" t="str">
        <f t="shared" si="226"/>
        <v/>
      </c>
      <c r="V1642" s="12" t="str">
        <f t="shared" si="227"/>
        <v/>
      </c>
      <c r="Z1642" s="15"/>
    </row>
    <row r="1643" spans="1:26" x14ac:dyDescent="0.25">
      <c r="A1643" s="15" t="str">
        <f>IF(C1643="","",COUNTA($C$3:C1643))</f>
        <v/>
      </c>
      <c r="B1643" s="15" t="str">
        <f t="shared" si="228"/>
        <v/>
      </c>
      <c r="M1643" s="9"/>
      <c r="N1643" s="9"/>
      <c r="P1643" s="14"/>
      <c r="Q1643" s="85"/>
      <c r="R1643" s="89"/>
      <c r="U1643" s="11" t="str">
        <f t="shared" si="226"/>
        <v/>
      </c>
      <c r="V1643" s="12" t="str">
        <f t="shared" si="227"/>
        <v/>
      </c>
      <c r="Z1643" s="15"/>
    </row>
    <row r="1644" spans="1:26" x14ac:dyDescent="0.25">
      <c r="A1644" s="15" t="str">
        <f>IF(C1644="","",COUNTA($C$3:C1644))</f>
        <v/>
      </c>
      <c r="B1644" s="15" t="str">
        <f t="shared" si="228"/>
        <v/>
      </c>
      <c r="M1644" s="9"/>
      <c r="N1644" s="9"/>
      <c r="P1644" s="14"/>
      <c r="Q1644" s="85"/>
      <c r="R1644" s="89"/>
      <c r="U1644" s="11" t="str">
        <f t="shared" si="226"/>
        <v/>
      </c>
      <c r="V1644" s="12" t="str">
        <f t="shared" si="227"/>
        <v/>
      </c>
      <c r="Z1644" s="15"/>
    </row>
    <row r="1645" spans="1:26" x14ac:dyDescent="0.25">
      <c r="A1645" s="15" t="str">
        <f>IF(C1645="","",COUNTA($C$3:C1645))</f>
        <v/>
      </c>
      <c r="B1645" s="15" t="str">
        <f t="shared" si="228"/>
        <v/>
      </c>
      <c r="M1645" s="9"/>
      <c r="N1645" s="9"/>
      <c r="P1645" s="14"/>
      <c r="Q1645" s="85"/>
      <c r="R1645" s="89"/>
      <c r="U1645" s="11" t="str">
        <f t="shared" si="226"/>
        <v/>
      </c>
      <c r="V1645" s="12" t="str">
        <f t="shared" si="227"/>
        <v/>
      </c>
      <c r="Z1645" s="15"/>
    </row>
    <row r="1646" spans="1:26" x14ac:dyDescent="0.25">
      <c r="A1646" s="15" t="str">
        <f>IF(C1646="","",COUNTA($C$3:C1646))</f>
        <v/>
      </c>
      <c r="B1646" s="15" t="str">
        <f t="shared" si="228"/>
        <v/>
      </c>
      <c r="M1646" s="9"/>
      <c r="N1646" s="9"/>
      <c r="P1646" s="14"/>
      <c r="Q1646" s="85"/>
      <c r="R1646" s="89"/>
      <c r="U1646" s="11" t="str">
        <f t="shared" si="226"/>
        <v/>
      </c>
      <c r="V1646" s="12" t="str">
        <f t="shared" si="227"/>
        <v/>
      </c>
      <c r="Z1646" s="15"/>
    </row>
    <row r="1647" spans="1:26" x14ac:dyDescent="0.25">
      <c r="A1647" s="15" t="str">
        <f>IF(C1647="","",COUNTA($C$3:C1647))</f>
        <v/>
      </c>
      <c r="B1647" s="15" t="str">
        <f t="shared" si="228"/>
        <v/>
      </c>
      <c r="M1647" s="9"/>
      <c r="N1647" s="9"/>
      <c r="P1647" s="14"/>
      <c r="Q1647" s="85"/>
      <c r="R1647" s="89"/>
      <c r="U1647" s="11" t="str">
        <f t="shared" si="226"/>
        <v/>
      </c>
      <c r="V1647" s="12" t="str">
        <f t="shared" si="227"/>
        <v/>
      </c>
      <c r="Z1647" s="15"/>
    </row>
    <row r="1648" spans="1:26" x14ac:dyDescent="0.25">
      <c r="A1648" s="15" t="str">
        <f>IF(C1648="","",COUNTA($C$3:C1648))</f>
        <v/>
      </c>
      <c r="B1648" s="15" t="str">
        <f t="shared" si="228"/>
        <v/>
      </c>
      <c r="M1648" s="9"/>
      <c r="N1648" s="9"/>
      <c r="P1648" s="14"/>
      <c r="Q1648" s="85"/>
      <c r="R1648" s="89"/>
      <c r="U1648" s="11" t="str">
        <f t="shared" si="226"/>
        <v/>
      </c>
      <c r="V1648" s="12" t="str">
        <f t="shared" si="227"/>
        <v/>
      </c>
      <c r="Z1648" s="15"/>
    </row>
    <row r="1649" spans="1:26" x14ac:dyDescent="0.25">
      <c r="A1649" s="15" t="str">
        <f>IF(C1649="","",COUNTA($C$3:C1649))</f>
        <v/>
      </c>
      <c r="B1649" s="15" t="str">
        <f t="shared" si="228"/>
        <v/>
      </c>
      <c r="M1649" s="9"/>
      <c r="N1649" s="9"/>
      <c r="P1649" s="14"/>
      <c r="Q1649" s="85"/>
      <c r="R1649" s="89"/>
      <c r="U1649" s="11" t="str">
        <f t="shared" si="226"/>
        <v/>
      </c>
      <c r="V1649" s="12" t="str">
        <f t="shared" si="227"/>
        <v/>
      </c>
      <c r="Z1649" s="15"/>
    </row>
    <row r="1650" spans="1:26" x14ac:dyDescent="0.25">
      <c r="A1650" s="15" t="str">
        <f>IF(C1650="","",COUNTA($C$3:C1650))</f>
        <v/>
      </c>
      <c r="B1650" s="15" t="str">
        <f t="shared" si="228"/>
        <v/>
      </c>
      <c r="M1650" s="9"/>
      <c r="N1650" s="9"/>
      <c r="P1650" s="14"/>
      <c r="Q1650" s="85"/>
      <c r="R1650" s="89"/>
      <c r="U1650" s="11" t="str">
        <f t="shared" si="226"/>
        <v/>
      </c>
      <c r="V1650" s="12" t="str">
        <f t="shared" si="227"/>
        <v/>
      </c>
      <c r="Z1650" s="15"/>
    </row>
    <row r="1651" spans="1:26" x14ac:dyDescent="0.25">
      <c r="A1651" s="15" t="str">
        <f>IF(C1651="","",COUNTA($C$3:C1651))</f>
        <v/>
      </c>
      <c r="B1651" s="15" t="str">
        <f t="shared" si="228"/>
        <v/>
      </c>
      <c r="M1651" s="9"/>
      <c r="N1651" s="9"/>
      <c r="P1651" s="14"/>
      <c r="Q1651" s="85"/>
      <c r="R1651" s="89"/>
      <c r="U1651" s="11" t="str">
        <f t="shared" si="226"/>
        <v/>
      </c>
      <c r="V1651" s="12" t="str">
        <f t="shared" si="227"/>
        <v/>
      </c>
      <c r="Z1651" s="15"/>
    </row>
    <row r="1652" spans="1:26" x14ac:dyDescent="0.25">
      <c r="A1652" s="15" t="str">
        <f>IF(C1652="","",COUNTA($C$3:C1652))</f>
        <v/>
      </c>
      <c r="B1652" s="15" t="str">
        <f t="shared" si="228"/>
        <v/>
      </c>
      <c r="M1652" s="9"/>
      <c r="N1652" s="9"/>
      <c r="P1652" s="14"/>
      <c r="Q1652" s="85"/>
      <c r="R1652" s="89"/>
      <c r="U1652" s="11" t="str">
        <f t="shared" si="226"/>
        <v/>
      </c>
      <c r="V1652" s="12" t="str">
        <f t="shared" si="227"/>
        <v/>
      </c>
      <c r="Z1652" s="15"/>
    </row>
    <row r="1653" spans="1:26" x14ac:dyDescent="0.25">
      <c r="A1653" s="15" t="str">
        <f>IF(C1653="","",COUNTA($C$3:C1653))</f>
        <v/>
      </c>
      <c r="B1653" s="15" t="str">
        <f t="shared" si="228"/>
        <v/>
      </c>
      <c r="M1653" s="9"/>
      <c r="N1653" s="9"/>
      <c r="P1653" s="14"/>
      <c r="Q1653" s="85"/>
      <c r="R1653" s="89"/>
      <c r="U1653" s="11" t="str">
        <f t="shared" si="226"/>
        <v/>
      </c>
      <c r="V1653" s="12" t="str">
        <f t="shared" si="227"/>
        <v/>
      </c>
      <c r="Z1653" s="15"/>
    </row>
    <row r="1654" spans="1:26" x14ac:dyDescent="0.25">
      <c r="A1654" s="15" t="str">
        <f>IF(C1654="","",COUNTA($C$3:C1654))</f>
        <v/>
      </c>
      <c r="B1654" s="15" t="str">
        <f t="shared" si="228"/>
        <v/>
      </c>
      <c r="M1654" s="9"/>
      <c r="N1654" s="9"/>
      <c r="P1654" s="14"/>
      <c r="Q1654" s="85"/>
      <c r="R1654" s="89"/>
      <c r="U1654" s="11" t="str">
        <f t="shared" si="226"/>
        <v/>
      </c>
      <c r="V1654" s="12" t="str">
        <f t="shared" si="227"/>
        <v/>
      </c>
      <c r="Z1654" s="15"/>
    </row>
    <row r="1655" spans="1:26" x14ac:dyDescent="0.25">
      <c r="A1655" s="15" t="str">
        <f>IF(C1655="","",COUNTA($C$3:C1655))</f>
        <v/>
      </c>
      <c r="B1655" s="15" t="str">
        <f t="shared" si="228"/>
        <v/>
      </c>
      <c r="M1655" s="9"/>
      <c r="N1655" s="9"/>
      <c r="P1655" s="14"/>
      <c r="Q1655" s="85"/>
      <c r="R1655" s="89"/>
      <c r="U1655" s="11" t="str">
        <f t="shared" si="226"/>
        <v/>
      </c>
      <c r="V1655" s="12" t="str">
        <f t="shared" si="227"/>
        <v/>
      </c>
      <c r="Z1655" s="15"/>
    </row>
    <row r="1656" spans="1:26" x14ac:dyDescent="0.25">
      <c r="A1656" s="15" t="str">
        <f>IF(C1656="","",COUNTA($C$3:C1656))</f>
        <v/>
      </c>
      <c r="B1656" s="15" t="str">
        <f t="shared" si="228"/>
        <v/>
      </c>
      <c r="M1656" s="9"/>
      <c r="N1656" s="9"/>
      <c r="P1656" s="14"/>
      <c r="Q1656" s="85"/>
      <c r="R1656" s="89"/>
      <c r="U1656" s="11" t="str">
        <f t="shared" si="226"/>
        <v/>
      </c>
      <c r="V1656" s="12" t="str">
        <f t="shared" si="227"/>
        <v/>
      </c>
      <c r="Z1656" s="15"/>
    </row>
    <row r="1657" spans="1:26" x14ac:dyDescent="0.25">
      <c r="A1657" s="15" t="str">
        <f>IF(C1657="","",COUNTA($C$3:C1657))</f>
        <v/>
      </c>
      <c r="B1657" s="15" t="str">
        <f t="shared" si="228"/>
        <v/>
      </c>
      <c r="M1657" s="9"/>
      <c r="N1657" s="9"/>
      <c r="P1657" s="14"/>
      <c r="Q1657" s="85"/>
      <c r="R1657" s="89"/>
      <c r="U1657" s="11" t="str">
        <f t="shared" si="226"/>
        <v/>
      </c>
      <c r="V1657" s="12" t="str">
        <f t="shared" si="227"/>
        <v/>
      </c>
      <c r="Z1657" s="15"/>
    </row>
    <row r="1658" spans="1:26" x14ac:dyDescent="0.25">
      <c r="A1658" s="15" t="str">
        <f>IF(C1658="","",COUNTA($C$3:C1658))</f>
        <v/>
      </c>
      <c r="B1658" s="15" t="str">
        <f t="shared" si="228"/>
        <v/>
      </c>
      <c r="M1658" s="9"/>
      <c r="N1658" s="9"/>
      <c r="P1658" s="14"/>
      <c r="Q1658" s="85"/>
      <c r="R1658" s="89"/>
      <c r="U1658" s="11" t="str">
        <f t="shared" si="226"/>
        <v/>
      </c>
      <c r="V1658" s="12" t="str">
        <f t="shared" si="227"/>
        <v/>
      </c>
      <c r="Z1658" s="15"/>
    </row>
    <row r="1659" spans="1:26" x14ac:dyDescent="0.25">
      <c r="A1659" s="15" t="str">
        <f>IF(C1659="","",COUNTA($C$3:C1659))</f>
        <v/>
      </c>
      <c r="B1659" s="15" t="str">
        <f t="shared" si="228"/>
        <v/>
      </c>
      <c r="M1659" s="9"/>
      <c r="N1659" s="9"/>
      <c r="P1659" s="14"/>
      <c r="Q1659" s="85"/>
      <c r="R1659" s="89"/>
      <c r="U1659" s="11" t="str">
        <f t="shared" si="226"/>
        <v/>
      </c>
      <c r="V1659" s="12" t="str">
        <f t="shared" si="227"/>
        <v/>
      </c>
      <c r="Z1659" s="15"/>
    </row>
    <row r="1660" spans="1:26" x14ac:dyDescent="0.25">
      <c r="A1660" s="15" t="str">
        <f>IF(C1660="","",COUNTA($C$3:C1660))</f>
        <v/>
      </c>
      <c r="B1660" s="15" t="str">
        <f t="shared" si="228"/>
        <v/>
      </c>
      <c r="M1660" s="9"/>
      <c r="N1660" s="9"/>
      <c r="P1660" s="14"/>
      <c r="Q1660" s="85"/>
      <c r="R1660" s="89"/>
      <c r="U1660" s="11" t="str">
        <f t="shared" si="226"/>
        <v/>
      </c>
      <c r="V1660" s="12" t="str">
        <f t="shared" si="227"/>
        <v/>
      </c>
      <c r="Z1660" s="15"/>
    </row>
    <row r="1661" spans="1:26" x14ac:dyDescent="0.25">
      <c r="A1661" s="15" t="str">
        <f>IF(C1661="","",COUNTA($C$3:C1661))</f>
        <v/>
      </c>
      <c r="B1661" s="15" t="str">
        <f t="shared" si="228"/>
        <v/>
      </c>
      <c r="M1661" s="9"/>
      <c r="N1661" s="9"/>
      <c r="P1661" s="14"/>
      <c r="Q1661" s="85"/>
      <c r="R1661" s="89"/>
      <c r="U1661" s="11" t="str">
        <f t="shared" si="226"/>
        <v/>
      </c>
      <c r="V1661" s="12" t="str">
        <f t="shared" si="227"/>
        <v/>
      </c>
      <c r="Z1661" s="15"/>
    </row>
    <row r="1662" spans="1:26" x14ac:dyDescent="0.25">
      <c r="A1662" s="15" t="str">
        <f>IF(C1662="","",COUNTA($C$3:C1662))</f>
        <v/>
      </c>
      <c r="B1662" s="15" t="str">
        <f t="shared" si="228"/>
        <v/>
      </c>
      <c r="M1662" s="9"/>
      <c r="N1662" s="9"/>
      <c r="P1662" s="14"/>
      <c r="Q1662" s="85"/>
      <c r="R1662" s="89"/>
      <c r="U1662" s="11" t="str">
        <f t="shared" si="226"/>
        <v/>
      </c>
      <c r="V1662" s="12" t="str">
        <f t="shared" si="227"/>
        <v/>
      </c>
      <c r="Z1662" s="15"/>
    </row>
    <row r="1663" spans="1:26" x14ac:dyDescent="0.25">
      <c r="A1663" s="15" t="str">
        <f>IF(C1663="","",COUNTA($C$3:C1663))</f>
        <v/>
      </c>
      <c r="B1663" s="15" t="str">
        <f t="shared" si="228"/>
        <v/>
      </c>
      <c r="M1663" s="9"/>
      <c r="N1663" s="9"/>
      <c r="P1663" s="14"/>
      <c r="Q1663" s="85"/>
      <c r="R1663" s="89"/>
      <c r="U1663" s="11" t="str">
        <f t="shared" si="226"/>
        <v/>
      </c>
      <c r="V1663" s="12" t="str">
        <f t="shared" si="227"/>
        <v/>
      </c>
      <c r="Z1663" s="15"/>
    </row>
    <row r="1664" spans="1:26" x14ac:dyDescent="0.25">
      <c r="A1664" s="15" t="str">
        <f>IF(C1664="","",COUNTA($C$3:C1664))</f>
        <v/>
      </c>
      <c r="B1664" s="15" t="str">
        <f t="shared" si="228"/>
        <v/>
      </c>
      <c r="M1664" s="9"/>
      <c r="N1664" s="9"/>
      <c r="P1664" s="14"/>
      <c r="Q1664" s="85"/>
      <c r="R1664" s="89"/>
      <c r="U1664" s="11" t="str">
        <f t="shared" si="226"/>
        <v/>
      </c>
      <c r="V1664" s="12" t="str">
        <f t="shared" si="227"/>
        <v/>
      </c>
      <c r="Z1664" s="15"/>
    </row>
    <row r="1665" spans="1:26" x14ac:dyDescent="0.25">
      <c r="A1665" s="15" t="str">
        <f>IF(C1665="","",COUNTA($C$3:C1665))</f>
        <v/>
      </c>
      <c r="B1665" s="15" t="str">
        <f t="shared" si="228"/>
        <v/>
      </c>
      <c r="M1665" s="9"/>
      <c r="N1665" s="9"/>
      <c r="P1665" s="14"/>
      <c r="Q1665" s="85"/>
      <c r="R1665" s="89"/>
      <c r="U1665" s="11" t="str">
        <f t="shared" si="226"/>
        <v/>
      </c>
      <c r="V1665" s="12" t="str">
        <f t="shared" si="227"/>
        <v/>
      </c>
      <c r="Z1665" s="15"/>
    </row>
    <row r="1666" spans="1:26" x14ac:dyDescent="0.25">
      <c r="A1666" s="15" t="str">
        <f>IF(C1666="","",COUNTA($C$3:C1666))</f>
        <v/>
      </c>
      <c r="B1666" s="15" t="str">
        <f t="shared" si="228"/>
        <v/>
      </c>
      <c r="M1666" s="9"/>
      <c r="N1666" s="9"/>
      <c r="P1666" s="14"/>
      <c r="Q1666" s="85"/>
      <c r="R1666" s="89"/>
      <c r="U1666" s="11" t="str">
        <f t="shared" ref="U1666:U1729" si="229">IF(S1666="","",(S1666-T1666))</f>
        <v/>
      </c>
      <c r="V1666" s="12" t="str">
        <f t="shared" ref="V1666:V1729" si="230">IF(U1666="","",(U1666/T1666))</f>
        <v/>
      </c>
      <c r="Z1666" s="15"/>
    </row>
    <row r="1667" spans="1:26" x14ac:dyDescent="0.25">
      <c r="A1667" s="15" t="str">
        <f>IF(C1667="","",COUNTA($C$3:C1667))</f>
        <v/>
      </c>
      <c r="B1667" s="15" t="str">
        <f t="shared" ref="B1667:B1730" si="231">IF(C1667="","",TEXT(C1667,"mmmm"))</f>
        <v/>
      </c>
      <c r="M1667" s="9"/>
      <c r="N1667" s="9"/>
      <c r="P1667" s="14"/>
      <c r="Q1667" s="85"/>
      <c r="R1667" s="89"/>
      <c r="U1667" s="11" t="str">
        <f t="shared" si="229"/>
        <v/>
      </c>
      <c r="V1667" s="12" t="str">
        <f t="shared" si="230"/>
        <v/>
      </c>
      <c r="Z1667" s="15"/>
    </row>
    <row r="1668" spans="1:26" x14ac:dyDescent="0.25">
      <c r="A1668" s="15" t="str">
        <f>IF(C1668="","",COUNTA($C$3:C1668))</f>
        <v/>
      </c>
      <c r="B1668" s="15" t="str">
        <f t="shared" si="231"/>
        <v/>
      </c>
      <c r="M1668" s="9"/>
      <c r="N1668" s="9"/>
      <c r="P1668" s="14"/>
      <c r="Q1668" s="85"/>
      <c r="R1668" s="89"/>
      <c r="U1668" s="11" t="str">
        <f t="shared" si="229"/>
        <v/>
      </c>
      <c r="V1668" s="12" t="str">
        <f t="shared" si="230"/>
        <v/>
      </c>
      <c r="Z1668" s="15"/>
    </row>
    <row r="1669" spans="1:26" x14ac:dyDescent="0.25">
      <c r="A1669" s="15" t="str">
        <f>IF(C1669="","",COUNTA($C$3:C1669))</f>
        <v/>
      </c>
      <c r="B1669" s="15" t="str">
        <f t="shared" si="231"/>
        <v/>
      </c>
      <c r="M1669" s="9"/>
      <c r="N1669" s="9"/>
      <c r="P1669" s="14"/>
      <c r="Q1669" s="85"/>
      <c r="R1669" s="89"/>
      <c r="U1669" s="11" t="str">
        <f t="shared" si="229"/>
        <v/>
      </c>
      <c r="V1669" s="12" t="str">
        <f t="shared" si="230"/>
        <v/>
      </c>
      <c r="Z1669" s="15"/>
    </row>
    <row r="1670" spans="1:26" x14ac:dyDescent="0.25">
      <c r="A1670" s="15" t="str">
        <f>IF(C1670="","",COUNTA($C$3:C1670))</f>
        <v/>
      </c>
      <c r="B1670" s="15" t="str">
        <f t="shared" si="231"/>
        <v/>
      </c>
      <c r="M1670" s="9"/>
      <c r="N1670" s="9"/>
      <c r="P1670" s="14"/>
      <c r="Q1670" s="85"/>
      <c r="R1670" s="89"/>
      <c r="U1670" s="11" t="str">
        <f t="shared" si="229"/>
        <v/>
      </c>
      <c r="V1670" s="12" t="str">
        <f t="shared" si="230"/>
        <v/>
      </c>
      <c r="Z1670" s="15"/>
    </row>
    <row r="1671" spans="1:26" x14ac:dyDescent="0.25">
      <c r="A1671" s="15" t="str">
        <f>IF(C1671="","",COUNTA($C$3:C1671))</f>
        <v/>
      </c>
      <c r="B1671" s="15" t="str">
        <f t="shared" si="231"/>
        <v/>
      </c>
      <c r="M1671" s="9"/>
      <c r="N1671" s="9"/>
      <c r="P1671" s="14"/>
      <c r="Q1671" s="85"/>
      <c r="R1671" s="89"/>
      <c r="U1671" s="11" t="str">
        <f t="shared" si="229"/>
        <v/>
      </c>
      <c r="V1671" s="12" t="str">
        <f t="shared" si="230"/>
        <v/>
      </c>
      <c r="Z1671" s="15"/>
    </row>
    <row r="1672" spans="1:26" x14ac:dyDescent="0.25">
      <c r="A1672" s="15" t="str">
        <f>IF(C1672="","",COUNTA($C$3:C1672))</f>
        <v/>
      </c>
      <c r="B1672" s="15" t="str">
        <f t="shared" si="231"/>
        <v/>
      </c>
      <c r="M1672" s="9"/>
      <c r="N1672" s="9"/>
      <c r="P1672" s="14"/>
      <c r="Q1672" s="85"/>
      <c r="R1672" s="89"/>
      <c r="U1672" s="11" t="str">
        <f t="shared" si="229"/>
        <v/>
      </c>
      <c r="V1672" s="12" t="str">
        <f t="shared" si="230"/>
        <v/>
      </c>
      <c r="Z1672" s="15"/>
    </row>
    <row r="1673" spans="1:26" x14ac:dyDescent="0.25">
      <c r="A1673" s="15" t="str">
        <f>IF(C1673="","",COUNTA($C$3:C1673))</f>
        <v/>
      </c>
      <c r="B1673" s="15" t="str">
        <f t="shared" si="231"/>
        <v/>
      </c>
      <c r="M1673" s="9"/>
      <c r="N1673" s="9"/>
      <c r="P1673" s="14"/>
      <c r="Q1673" s="85"/>
      <c r="R1673" s="89"/>
      <c r="U1673" s="11" t="str">
        <f t="shared" si="229"/>
        <v/>
      </c>
      <c r="V1673" s="12" t="str">
        <f t="shared" si="230"/>
        <v/>
      </c>
      <c r="Z1673" s="15"/>
    </row>
    <row r="1674" spans="1:26" x14ac:dyDescent="0.25">
      <c r="A1674" s="15" t="str">
        <f>IF(C1674="","",COUNTA($C$3:C1674))</f>
        <v/>
      </c>
      <c r="B1674" s="15" t="str">
        <f t="shared" si="231"/>
        <v/>
      </c>
      <c r="M1674" s="9"/>
      <c r="N1674" s="9"/>
      <c r="P1674" s="14"/>
      <c r="Q1674" s="85"/>
      <c r="R1674" s="89"/>
      <c r="U1674" s="11" t="str">
        <f t="shared" si="229"/>
        <v/>
      </c>
      <c r="V1674" s="12" t="str">
        <f t="shared" si="230"/>
        <v/>
      </c>
      <c r="Z1674" s="15"/>
    </row>
    <row r="1675" spans="1:26" x14ac:dyDescent="0.25">
      <c r="A1675" s="15" t="str">
        <f>IF(C1675="","",COUNTA($C$3:C1675))</f>
        <v/>
      </c>
      <c r="B1675" s="15" t="str">
        <f t="shared" si="231"/>
        <v/>
      </c>
      <c r="M1675" s="9"/>
      <c r="N1675" s="9"/>
      <c r="P1675" s="14"/>
      <c r="Q1675" s="85"/>
      <c r="R1675" s="89"/>
      <c r="U1675" s="11" t="str">
        <f t="shared" si="229"/>
        <v/>
      </c>
      <c r="V1675" s="12" t="str">
        <f t="shared" si="230"/>
        <v/>
      </c>
      <c r="Z1675" s="15"/>
    </row>
    <row r="1676" spans="1:26" x14ac:dyDescent="0.25">
      <c r="A1676" s="15" t="str">
        <f>IF(C1676="","",COUNTA($C$3:C1676))</f>
        <v/>
      </c>
      <c r="B1676" s="15" t="str">
        <f t="shared" si="231"/>
        <v/>
      </c>
      <c r="M1676" s="9"/>
      <c r="N1676" s="9"/>
      <c r="P1676" s="14"/>
      <c r="Q1676" s="85"/>
      <c r="R1676" s="89"/>
      <c r="U1676" s="11" t="str">
        <f t="shared" si="229"/>
        <v/>
      </c>
      <c r="V1676" s="12" t="str">
        <f t="shared" si="230"/>
        <v/>
      </c>
      <c r="Z1676" s="15"/>
    </row>
    <row r="1677" spans="1:26" x14ac:dyDescent="0.25">
      <c r="A1677" s="15" t="str">
        <f>IF(C1677="","",COUNTA($C$3:C1677))</f>
        <v/>
      </c>
      <c r="B1677" s="15" t="str">
        <f t="shared" si="231"/>
        <v/>
      </c>
      <c r="M1677" s="9"/>
      <c r="N1677" s="9"/>
      <c r="P1677" s="14"/>
      <c r="Q1677" s="85"/>
      <c r="R1677" s="89"/>
      <c r="U1677" s="11" t="str">
        <f t="shared" si="229"/>
        <v/>
      </c>
      <c r="V1677" s="12" t="str">
        <f t="shared" si="230"/>
        <v/>
      </c>
      <c r="Z1677" s="15"/>
    </row>
    <row r="1678" spans="1:26" x14ac:dyDescent="0.25">
      <c r="A1678" s="15" t="str">
        <f>IF(C1678="","",COUNTA($C$3:C1678))</f>
        <v/>
      </c>
      <c r="B1678" s="15" t="str">
        <f t="shared" si="231"/>
        <v/>
      </c>
      <c r="M1678" s="9"/>
      <c r="N1678" s="9"/>
      <c r="P1678" s="14"/>
      <c r="Q1678" s="85"/>
      <c r="R1678" s="89"/>
      <c r="U1678" s="11" t="str">
        <f t="shared" si="229"/>
        <v/>
      </c>
      <c r="V1678" s="12" t="str">
        <f t="shared" si="230"/>
        <v/>
      </c>
      <c r="Z1678" s="15"/>
    </row>
    <row r="1679" spans="1:26" x14ac:dyDescent="0.25">
      <c r="A1679" s="15" t="str">
        <f>IF(C1679="","",COUNTA($C$3:C1679))</f>
        <v/>
      </c>
      <c r="B1679" s="15" t="str">
        <f t="shared" si="231"/>
        <v/>
      </c>
      <c r="M1679" s="9"/>
      <c r="N1679" s="9"/>
      <c r="P1679" s="14"/>
      <c r="Q1679" s="85"/>
      <c r="R1679" s="89"/>
      <c r="U1679" s="11" t="str">
        <f t="shared" si="229"/>
        <v/>
      </c>
      <c r="V1679" s="12" t="str">
        <f t="shared" si="230"/>
        <v/>
      </c>
      <c r="Z1679" s="15"/>
    </row>
    <row r="1680" spans="1:26" x14ac:dyDescent="0.25">
      <c r="A1680" s="15" t="str">
        <f>IF(C1680="","",COUNTA($C$3:C1680))</f>
        <v/>
      </c>
      <c r="B1680" s="15" t="str">
        <f t="shared" si="231"/>
        <v/>
      </c>
      <c r="M1680" s="9"/>
      <c r="N1680" s="9"/>
      <c r="P1680" s="14"/>
      <c r="Q1680" s="85"/>
      <c r="R1680" s="89"/>
      <c r="U1680" s="11" t="str">
        <f t="shared" si="229"/>
        <v/>
      </c>
      <c r="V1680" s="12" t="str">
        <f t="shared" si="230"/>
        <v/>
      </c>
      <c r="Z1680" s="15"/>
    </row>
    <row r="1681" spans="1:26" x14ac:dyDescent="0.25">
      <c r="A1681" s="15" t="str">
        <f>IF(C1681="","",COUNTA($C$3:C1681))</f>
        <v/>
      </c>
      <c r="B1681" s="15" t="str">
        <f t="shared" si="231"/>
        <v/>
      </c>
      <c r="M1681" s="9"/>
      <c r="N1681" s="9"/>
      <c r="P1681" s="14"/>
      <c r="Q1681" s="85"/>
      <c r="R1681" s="89"/>
      <c r="U1681" s="11" t="str">
        <f t="shared" si="229"/>
        <v/>
      </c>
      <c r="V1681" s="12" t="str">
        <f t="shared" si="230"/>
        <v/>
      </c>
      <c r="Z1681" s="15"/>
    </row>
    <row r="1682" spans="1:26" x14ac:dyDescent="0.25">
      <c r="A1682" s="15" t="str">
        <f>IF(C1682="","",COUNTA($C$3:C1682))</f>
        <v/>
      </c>
      <c r="B1682" s="15" t="str">
        <f t="shared" si="231"/>
        <v/>
      </c>
      <c r="M1682" s="9"/>
      <c r="N1682" s="9"/>
      <c r="P1682" s="14"/>
      <c r="Q1682" s="85"/>
      <c r="R1682" s="89"/>
      <c r="U1682" s="11" t="str">
        <f t="shared" si="229"/>
        <v/>
      </c>
      <c r="V1682" s="12" t="str">
        <f t="shared" si="230"/>
        <v/>
      </c>
      <c r="Z1682" s="15"/>
    </row>
    <row r="1683" spans="1:26" x14ac:dyDescent="0.25">
      <c r="A1683" s="15" t="str">
        <f>IF(C1683="","",COUNTA($C$3:C1683))</f>
        <v/>
      </c>
      <c r="B1683" s="15" t="str">
        <f t="shared" si="231"/>
        <v/>
      </c>
      <c r="M1683" s="9"/>
      <c r="N1683" s="9"/>
      <c r="P1683" s="14"/>
      <c r="Q1683" s="85"/>
      <c r="R1683" s="89"/>
      <c r="U1683" s="11" t="str">
        <f t="shared" si="229"/>
        <v/>
      </c>
      <c r="V1683" s="12" t="str">
        <f t="shared" si="230"/>
        <v/>
      </c>
      <c r="Z1683" s="15"/>
    </row>
    <row r="1684" spans="1:26" x14ac:dyDescent="0.25">
      <c r="A1684" s="15" t="str">
        <f>IF(C1684="","",COUNTA($C$3:C1684))</f>
        <v/>
      </c>
      <c r="B1684" s="15" t="str">
        <f t="shared" si="231"/>
        <v/>
      </c>
      <c r="M1684" s="9"/>
      <c r="N1684" s="9"/>
      <c r="P1684" s="14"/>
      <c r="Q1684" s="85"/>
      <c r="R1684" s="89"/>
      <c r="U1684" s="11" t="str">
        <f t="shared" si="229"/>
        <v/>
      </c>
      <c r="V1684" s="12" t="str">
        <f t="shared" si="230"/>
        <v/>
      </c>
      <c r="Z1684" s="15"/>
    </row>
    <row r="1685" spans="1:26" x14ac:dyDescent="0.25">
      <c r="A1685" s="15" t="str">
        <f>IF(C1685="","",COUNTA($C$3:C1685))</f>
        <v/>
      </c>
      <c r="B1685" s="15" t="str">
        <f t="shared" si="231"/>
        <v/>
      </c>
      <c r="M1685" s="9"/>
      <c r="N1685" s="9"/>
      <c r="P1685" s="14"/>
      <c r="Q1685" s="85"/>
      <c r="R1685" s="89"/>
      <c r="U1685" s="11" t="str">
        <f t="shared" si="229"/>
        <v/>
      </c>
      <c r="V1685" s="12" t="str">
        <f t="shared" si="230"/>
        <v/>
      </c>
      <c r="Z1685" s="15"/>
    </row>
    <row r="1686" spans="1:26" x14ac:dyDescent="0.25">
      <c r="A1686" s="15" t="str">
        <f>IF(C1686="","",COUNTA($C$3:C1686))</f>
        <v/>
      </c>
      <c r="B1686" s="15" t="str">
        <f t="shared" si="231"/>
        <v/>
      </c>
      <c r="M1686" s="9"/>
      <c r="N1686" s="9"/>
      <c r="P1686" s="14"/>
      <c r="Q1686" s="85"/>
      <c r="R1686" s="89"/>
      <c r="U1686" s="11" t="str">
        <f t="shared" si="229"/>
        <v/>
      </c>
      <c r="V1686" s="12" t="str">
        <f t="shared" si="230"/>
        <v/>
      </c>
      <c r="Z1686" s="15"/>
    </row>
    <row r="1687" spans="1:26" x14ac:dyDescent="0.25">
      <c r="A1687" s="15" t="str">
        <f>IF(C1687="","",COUNTA($C$3:C1687))</f>
        <v/>
      </c>
      <c r="B1687" s="15" t="str">
        <f t="shared" si="231"/>
        <v/>
      </c>
      <c r="M1687" s="9"/>
      <c r="N1687" s="9"/>
      <c r="P1687" s="14"/>
      <c r="Q1687" s="85"/>
      <c r="R1687" s="89"/>
      <c r="U1687" s="11" t="str">
        <f t="shared" si="229"/>
        <v/>
      </c>
      <c r="V1687" s="12" t="str">
        <f t="shared" si="230"/>
        <v/>
      </c>
      <c r="Z1687" s="15"/>
    </row>
    <row r="1688" spans="1:26" x14ac:dyDescent="0.25">
      <c r="A1688" s="15" t="str">
        <f>IF(C1688="","",COUNTA($C$3:C1688))</f>
        <v/>
      </c>
      <c r="B1688" s="15" t="str">
        <f t="shared" si="231"/>
        <v/>
      </c>
      <c r="M1688" s="9"/>
      <c r="N1688" s="9"/>
      <c r="P1688" s="14"/>
      <c r="Q1688" s="85"/>
      <c r="R1688" s="89"/>
      <c r="U1688" s="11" t="str">
        <f t="shared" si="229"/>
        <v/>
      </c>
      <c r="V1688" s="12" t="str">
        <f t="shared" si="230"/>
        <v/>
      </c>
      <c r="Z1688" s="15"/>
    </row>
    <row r="1689" spans="1:26" x14ac:dyDescent="0.25">
      <c r="A1689" s="15" t="str">
        <f>IF(C1689="","",COUNTA($C$3:C1689))</f>
        <v/>
      </c>
      <c r="B1689" s="15" t="str">
        <f t="shared" si="231"/>
        <v/>
      </c>
      <c r="M1689" s="9"/>
      <c r="N1689" s="9"/>
      <c r="P1689" s="14"/>
      <c r="Q1689" s="85"/>
      <c r="R1689" s="89"/>
      <c r="U1689" s="11" t="str">
        <f t="shared" si="229"/>
        <v/>
      </c>
      <c r="V1689" s="12" t="str">
        <f t="shared" si="230"/>
        <v/>
      </c>
      <c r="Z1689" s="15"/>
    </row>
    <row r="1690" spans="1:26" x14ac:dyDescent="0.25">
      <c r="A1690" s="15" t="str">
        <f>IF(C1690="","",COUNTA($C$3:C1690))</f>
        <v/>
      </c>
      <c r="B1690" s="15" t="str">
        <f t="shared" si="231"/>
        <v/>
      </c>
      <c r="M1690" s="9"/>
      <c r="N1690" s="9"/>
      <c r="P1690" s="14"/>
      <c r="Q1690" s="85"/>
      <c r="R1690" s="89"/>
      <c r="U1690" s="11" t="str">
        <f t="shared" si="229"/>
        <v/>
      </c>
      <c r="V1690" s="12" t="str">
        <f t="shared" si="230"/>
        <v/>
      </c>
      <c r="Z1690" s="15"/>
    </row>
    <row r="1691" spans="1:26" x14ac:dyDescent="0.25">
      <c r="A1691" s="15" t="str">
        <f>IF(C1691="","",COUNTA($C$3:C1691))</f>
        <v/>
      </c>
      <c r="B1691" s="15" t="str">
        <f t="shared" si="231"/>
        <v/>
      </c>
      <c r="M1691" s="9"/>
      <c r="N1691" s="9"/>
      <c r="P1691" s="14"/>
      <c r="Q1691" s="85"/>
      <c r="R1691" s="89"/>
      <c r="U1691" s="11" t="str">
        <f t="shared" si="229"/>
        <v/>
      </c>
      <c r="V1691" s="12" t="str">
        <f t="shared" si="230"/>
        <v/>
      </c>
      <c r="Z1691" s="15"/>
    </row>
    <row r="1692" spans="1:26" x14ac:dyDescent="0.25">
      <c r="A1692" s="15" t="str">
        <f>IF(C1692="","",COUNTA($C$3:C1692))</f>
        <v/>
      </c>
      <c r="B1692" s="15" t="str">
        <f t="shared" si="231"/>
        <v/>
      </c>
      <c r="M1692" s="9"/>
      <c r="N1692" s="9"/>
      <c r="P1692" s="14"/>
      <c r="Q1692" s="85"/>
      <c r="R1692" s="89"/>
      <c r="U1692" s="11" t="str">
        <f t="shared" si="229"/>
        <v/>
      </c>
      <c r="V1692" s="12" t="str">
        <f t="shared" si="230"/>
        <v/>
      </c>
      <c r="Z1692" s="15"/>
    </row>
    <row r="1693" spans="1:26" x14ac:dyDescent="0.25">
      <c r="A1693" s="15" t="str">
        <f>IF(C1693="","",COUNTA($C$3:C1693))</f>
        <v/>
      </c>
      <c r="B1693" s="15" t="str">
        <f t="shared" si="231"/>
        <v/>
      </c>
      <c r="M1693" s="9"/>
      <c r="N1693" s="9"/>
      <c r="P1693" s="14"/>
      <c r="Q1693" s="85"/>
      <c r="R1693" s="89"/>
      <c r="U1693" s="11" t="str">
        <f t="shared" si="229"/>
        <v/>
      </c>
      <c r="V1693" s="12" t="str">
        <f t="shared" si="230"/>
        <v/>
      </c>
      <c r="Z1693" s="15"/>
    </row>
    <row r="1694" spans="1:26" x14ac:dyDescent="0.25">
      <c r="A1694" s="15" t="str">
        <f>IF(C1694="","",COUNTA($C$3:C1694))</f>
        <v/>
      </c>
      <c r="B1694" s="15" t="str">
        <f t="shared" si="231"/>
        <v/>
      </c>
      <c r="M1694" s="9"/>
      <c r="N1694" s="9"/>
      <c r="P1694" s="14"/>
      <c r="Q1694" s="85"/>
      <c r="R1694" s="89"/>
      <c r="U1694" s="11" t="str">
        <f t="shared" si="229"/>
        <v/>
      </c>
      <c r="V1694" s="12" t="str">
        <f t="shared" si="230"/>
        <v/>
      </c>
      <c r="Z1694" s="15"/>
    </row>
    <row r="1695" spans="1:26" x14ac:dyDescent="0.25">
      <c r="A1695" s="15" t="str">
        <f>IF(C1695="","",COUNTA($C$3:C1695))</f>
        <v/>
      </c>
      <c r="B1695" s="15" t="str">
        <f t="shared" si="231"/>
        <v/>
      </c>
      <c r="M1695" s="9"/>
      <c r="N1695" s="9"/>
      <c r="P1695" s="14"/>
      <c r="Q1695" s="85"/>
      <c r="R1695" s="89"/>
      <c r="U1695" s="11" t="str">
        <f t="shared" si="229"/>
        <v/>
      </c>
      <c r="V1695" s="12" t="str">
        <f t="shared" si="230"/>
        <v/>
      </c>
      <c r="Z1695" s="15"/>
    </row>
    <row r="1696" spans="1:26" x14ac:dyDescent="0.25">
      <c r="A1696" s="15" t="str">
        <f>IF(C1696="","",COUNTA($C$3:C1696))</f>
        <v/>
      </c>
      <c r="B1696" s="15" t="str">
        <f t="shared" si="231"/>
        <v/>
      </c>
      <c r="M1696" s="9"/>
      <c r="N1696" s="9"/>
      <c r="P1696" s="14"/>
      <c r="Q1696" s="85"/>
      <c r="R1696" s="89"/>
      <c r="U1696" s="11" t="str">
        <f t="shared" si="229"/>
        <v/>
      </c>
      <c r="V1696" s="12" t="str">
        <f t="shared" si="230"/>
        <v/>
      </c>
      <c r="Z1696" s="15"/>
    </row>
    <row r="1697" spans="1:26" x14ac:dyDescent="0.25">
      <c r="A1697" s="15" t="str">
        <f>IF(C1697="","",COUNTA($C$3:C1697))</f>
        <v/>
      </c>
      <c r="B1697" s="15" t="str">
        <f t="shared" si="231"/>
        <v/>
      </c>
      <c r="M1697" s="9"/>
      <c r="N1697" s="9"/>
      <c r="P1697" s="14"/>
      <c r="Q1697" s="85"/>
      <c r="R1697" s="89"/>
      <c r="U1697" s="11" t="str">
        <f t="shared" si="229"/>
        <v/>
      </c>
      <c r="V1697" s="12" t="str">
        <f t="shared" si="230"/>
        <v/>
      </c>
      <c r="Z1697" s="15"/>
    </row>
    <row r="1698" spans="1:26" x14ac:dyDescent="0.25">
      <c r="A1698" s="15" t="str">
        <f>IF(C1698="","",COUNTA($C$3:C1698))</f>
        <v/>
      </c>
      <c r="B1698" s="15" t="str">
        <f t="shared" si="231"/>
        <v/>
      </c>
      <c r="M1698" s="9"/>
      <c r="N1698" s="9"/>
      <c r="P1698" s="14"/>
      <c r="Q1698" s="85"/>
      <c r="R1698" s="89"/>
      <c r="U1698" s="11" t="str">
        <f t="shared" si="229"/>
        <v/>
      </c>
      <c r="V1698" s="12" t="str">
        <f t="shared" si="230"/>
        <v/>
      </c>
      <c r="Z1698" s="15"/>
    </row>
    <row r="1699" spans="1:26" x14ac:dyDescent="0.25">
      <c r="A1699" s="15" t="str">
        <f>IF(C1699="","",COUNTA($C$3:C1699))</f>
        <v/>
      </c>
      <c r="B1699" s="15" t="str">
        <f t="shared" si="231"/>
        <v/>
      </c>
      <c r="M1699" s="9"/>
      <c r="N1699" s="9"/>
      <c r="P1699" s="14"/>
      <c r="Q1699" s="85"/>
      <c r="R1699" s="89"/>
      <c r="U1699" s="11" t="str">
        <f t="shared" si="229"/>
        <v/>
      </c>
      <c r="V1699" s="12" t="str">
        <f t="shared" si="230"/>
        <v/>
      </c>
      <c r="Z1699" s="15"/>
    </row>
    <row r="1700" spans="1:26" x14ac:dyDescent="0.25">
      <c r="A1700" s="15" t="str">
        <f>IF(C1700="","",COUNTA($C$3:C1700))</f>
        <v/>
      </c>
      <c r="B1700" s="15" t="str">
        <f t="shared" si="231"/>
        <v/>
      </c>
      <c r="M1700" s="9"/>
      <c r="N1700" s="9"/>
      <c r="P1700" s="14"/>
      <c r="Q1700" s="85"/>
      <c r="R1700" s="89"/>
      <c r="U1700" s="11" t="str">
        <f t="shared" si="229"/>
        <v/>
      </c>
      <c r="V1700" s="12" t="str">
        <f t="shared" si="230"/>
        <v/>
      </c>
      <c r="Z1700" s="15"/>
    </row>
    <row r="1701" spans="1:26" x14ac:dyDescent="0.25">
      <c r="A1701" s="15" t="str">
        <f>IF(C1701="","",COUNTA($C$3:C1701))</f>
        <v/>
      </c>
      <c r="B1701" s="15" t="str">
        <f t="shared" si="231"/>
        <v/>
      </c>
      <c r="M1701" s="9"/>
      <c r="N1701" s="9"/>
      <c r="P1701" s="14"/>
      <c r="Q1701" s="85"/>
      <c r="R1701" s="89"/>
      <c r="U1701" s="11" t="str">
        <f t="shared" si="229"/>
        <v/>
      </c>
      <c r="V1701" s="12" t="str">
        <f t="shared" si="230"/>
        <v/>
      </c>
      <c r="Z1701" s="15"/>
    </row>
    <row r="1702" spans="1:26" x14ac:dyDescent="0.25">
      <c r="A1702" s="15" t="str">
        <f>IF(C1702="","",COUNTA($C$3:C1702))</f>
        <v/>
      </c>
      <c r="B1702" s="15" t="str">
        <f t="shared" si="231"/>
        <v/>
      </c>
      <c r="M1702" s="9"/>
      <c r="N1702" s="9"/>
      <c r="P1702" s="14"/>
      <c r="Q1702" s="85"/>
      <c r="R1702" s="89"/>
      <c r="U1702" s="11" t="str">
        <f t="shared" si="229"/>
        <v/>
      </c>
      <c r="V1702" s="12" t="str">
        <f t="shared" si="230"/>
        <v/>
      </c>
      <c r="Z1702" s="15"/>
    </row>
    <row r="1703" spans="1:26" x14ac:dyDescent="0.25">
      <c r="A1703" s="15" t="str">
        <f>IF(C1703="","",COUNTA($C$3:C1703))</f>
        <v/>
      </c>
      <c r="B1703" s="15" t="str">
        <f t="shared" si="231"/>
        <v/>
      </c>
      <c r="M1703" s="9"/>
      <c r="N1703" s="9"/>
      <c r="P1703" s="14"/>
      <c r="Q1703" s="85"/>
      <c r="R1703" s="89"/>
      <c r="U1703" s="11" t="str">
        <f t="shared" si="229"/>
        <v/>
      </c>
      <c r="V1703" s="12" t="str">
        <f t="shared" si="230"/>
        <v/>
      </c>
      <c r="Z1703" s="15"/>
    </row>
    <row r="1704" spans="1:26" x14ac:dyDescent="0.25">
      <c r="A1704" s="15" t="str">
        <f>IF(C1704="","",COUNTA($C$3:C1704))</f>
        <v/>
      </c>
      <c r="B1704" s="15" t="str">
        <f t="shared" si="231"/>
        <v/>
      </c>
      <c r="M1704" s="9"/>
      <c r="N1704" s="9"/>
      <c r="P1704" s="14"/>
      <c r="Q1704" s="85"/>
      <c r="R1704" s="89"/>
      <c r="U1704" s="11" t="str">
        <f t="shared" si="229"/>
        <v/>
      </c>
      <c r="V1704" s="12" t="str">
        <f t="shared" si="230"/>
        <v/>
      </c>
      <c r="Z1704" s="15"/>
    </row>
    <row r="1705" spans="1:26" x14ac:dyDescent="0.25">
      <c r="A1705" s="15" t="str">
        <f>IF(C1705="","",COUNTA($C$3:C1705))</f>
        <v/>
      </c>
      <c r="B1705" s="15" t="str">
        <f t="shared" si="231"/>
        <v/>
      </c>
      <c r="M1705" s="9"/>
      <c r="N1705" s="9"/>
      <c r="P1705" s="14"/>
      <c r="Q1705" s="85"/>
      <c r="R1705" s="89"/>
      <c r="U1705" s="11" t="str">
        <f t="shared" si="229"/>
        <v/>
      </c>
      <c r="V1705" s="12" t="str">
        <f t="shared" si="230"/>
        <v/>
      </c>
      <c r="Z1705" s="15"/>
    </row>
    <row r="1706" spans="1:26" x14ac:dyDescent="0.25">
      <c r="A1706" s="15" t="str">
        <f>IF(C1706="","",COUNTA($C$3:C1706))</f>
        <v/>
      </c>
      <c r="B1706" s="15" t="str">
        <f t="shared" si="231"/>
        <v/>
      </c>
      <c r="M1706" s="9"/>
      <c r="N1706" s="9"/>
      <c r="P1706" s="14"/>
      <c r="Q1706" s="85"/>
      <c r="R1706" s="89"/>
      <c r="U1706" s="11" t="str">
        <f t="shared" si="229"/>
        <v/>
      </c>
      <c r="V1706" s="12" t="str">
        <f t="shared" si="230"/>
        <v/>
      </c>
      <c r="Z1706" s="15"/>
    </row>
    <row r="1707" spans="1:26" x14ac:dyDescent="0.25">
      <c r="A1707" s="15" t="str">
        <f>IF(C1707="","",COUNTA($C$3:C1707))</f>
        <v/>
      </c>
      <c r="B1707" s="15" t="str">
        <f t="shared" si="231"/>
        <v/>
      </c>
      <c r="M1707" s="9"/>
      <c r="N1707" s="9"/>
      <c r="P1707" s="14"/>
      <c r="Q1707" s="85"/>
      <c r="R1707" s="89"/>
      <c r="U1707" s="11" t="str">
        <f t="shared" si="229"/>
        <v/>
      </c>
      <c r="V1707" s="12" t="str">
        <f t="shared" si="230"/>
        <v/>
      </c>
      <c r="Z1707" s="15"/>
    </row>
    <row r="1708" spans="1:26" x14ac:dyDescent="0.25">
      <c r="A1708" s="15" t="str">
        <f>IF(C1708="","",COUNTA($C$3:C1708))</f>
        <v/>
      </c>
      <c r="B1708" s="15" t="str">
        <f t="shared" si="231"/>
        <v/>
      </c>
      <c r="M1708" s="9"/>
      <c r="N1708" s="9"/>
      <c r="P1708" s="14"/>
      <c r="Q1708" s="85"/>
      <c r="R1708" s="89"/>
      <c r="U1708" s="11" t="str">
        <f t="shared" si="229"/>
        <v/>
      </c>
      <c r="V1708" s="12" t="str">
        <f t="shared" si="230"/>
        <v/>
      </c>
      <c r="Z1708" s="15"/>
    </row>
    <row r="1709" spans="1:26" x14ac:dyDescent="0.25">
      <c r="A1709" s="15" t="str">
        <f>IF(C1709="","",COUNTA($C$3:C1709))</f>
        <v/>
      </c>
      <c r="B1709" s="15" t="str">
        <f t="shared" si="231"/>
        <v/>
      </c>
      <c r="M1709" s="9"/>
      <c r="N1709" s="9"/>
      <c r="P1709" s="14"/>
      <c r="Q1709" s="85"/>
      <c r="R1709" s="89"/>
      <c r="U1709" s="11" t="str">
        <f t="shared" si="229"/>
        <v/>
      </c>
      <c r="V1709" s="12" t="str">
        <f t="shared" si="230"/>
        <v/>
      </c>
      <c r="Z1709" s="15"/>
    </row>
    <row r="1710" spans="1:26" x14ac:dyDescent="0.25">
      <c r="A1710" s="15" t="str">
        <f>IF(C1710="","",COUNTA($C$3:C1710))</f>
        <v/>
      </c>
      <c r="B1710" s="15" t="str">
        <f t="shared" si="231"/>
        <v/>
      </c>
      <c r="M1710" s="9"/>
      <c r="N1710" s="9"/>
      <c r="P1710" s="14"/>
      <c r="Q1710" s="85"/>
      <c r="R1710" s="89"/>
      <c r="U1710" s="11" t="str">
        <f t="shared" si="229"/>
        <v/>
      </c>
      <c r="V1710" s="12" t="str">
        <f t="shared" si="230"/>
        <v/>
      </c>
      <c r="Z1710" s="15"/>
    </row>
    <row r="1711" spans="1:26" x14ac:dyDescent="0.25">
      <c r="A1711" s="15" t="str">
        <f>IF(C1711="","",COUNTA($C$3:C1711))</f>
        <v/>
      </c>
      <c r="B1711" s="15" t="str">
        <f t="shared" si="231"/>
        <v/>
      </c>
      <c r="M1711" s="9"/>
      <c r="N1711" s="9"/>
      <c r="P1711" s="14"/>
      <c r="Q1711" s="85"/>
      <c r="R1711" s="89"/>
      <c r="U1711" s="11" t="str">
        <f t="shared" si="229"/>
        <v/>
      </c>
      <c r="V1711" s="12" t="str">
        <f t="shared" si="230"/>
        <v/>
      </c>
      <c r="Z1711" s="15"/>
    </row>
    <row r="1712" spans="1:26" x14ac:dyDescent="0.25">
      <c r="A1712" s="15" t="str">
        <f>IF(C1712="","",COUNTA($C$3:C1712))</f>
        <v/>
      </c>
      <c r="B1712" s="15" t="str">
        <f t="shared" si="231"/>
        <v/>
      </c>
      <c r="M1712" s="9"/>
      <c r="N1712" s="9"/>
      <c r="P1712" s="14"/>
      <c r="Q1712" s="85"/>
      <c r="R1712" s="89"/>
      <c r="U1712" s="11" t="str">
        <f t="shared" si="229"/>
        <v/>
      </c>
      <c r="V1712" s="12" t="str">
        <f t="shared" si="230"/>
        <v/>
      </c>
      <c r="Z1712" s="15"/>
    </row>
    <row r="1713" spans="1:26" x14ac:dyDescent="0.25">
      <c r="A1713" s="15" t="str">
        <f>IF(C1713="","",COUNTA($C$3:C1713))</f>
        <v/>
      </c>
      <c r="B1713" s="15" t="str">
        <f t="shared" si="231"/>
        <v/>
      </c>
      <c r="M1713" s="9"/>
      <c r="N1713" s="9"/>
      <c r="P1713" s="14"/>
      <c r="Q1713" s="85"/>
      <c r="R1713" s="89"/>
      <c r="U1713" s="11" t="str">
        <f t="shared" si="229"/>
        <v/>
      </c>
      <c r="V1713" s="12" t="str">
        <f t="shared" si="230"/>
        <v/>
      </c>
      <c r="Z1713" s="15"/>
    </row>
    <row r="1714" spans="1:26" x14ac:dyDescent="0.25">
      <c r="A1714" s="15" t="str">
        <f>IF(C1714="","",COUNTA($C$3:C1714))</f>
        <v/>
      </c>
      <c r="B1714" s="15" t="str">
        <f t="shared" si="231"/>
        <v/>
      </c>
      <c r="M1714" s="9"/>
      <c r="N1714" s="9"/>
      <c r="P1714" s="14"/>
      <c r="Q1714" s="85"/>
      <c r="R1714" s="89"/>
      <c r="U1714" s="11" t="str">
        <f t="shared" si="229"/>
        <v/>
      </c>
      <c r="V1714" s="12" t="str">
        <f t="shared" si="230"/>
        <v/>
      </c>
      <c r="Z1714" s="15"/>
    </row>
    <row r="1715" spans="1:26" x14ac:dyDescent="0.25">
      <c r="A1715" s="15" t="str">
        <f>IF(C1715="","",COUNTA($C$3:C1715))</f>
        <v/>
      </c>
      <c r="B1715" s="15" t="str">
        <f t="shared" si="231"/>
        <v/>
      </c>
      <c r="M1715" s="9"/>
      <c r="N1715" s="9"/>
      <c r="P1715" s="14"/>
      <c r="Q1715" s="85"/>
      <c r="R1715" s="89"/>
      <c r="U1715" s="11" t="str">
        <f t="shared" si="229"/>
        <v/>
      </c>
      <c r="V1715" s="12" t="str">
        <f t="shared" si="230"/>
        <v/>
      </c>
      <c r="Z1715" s="15"/>
    </row>
    <row r="1716" spans="1:26" x14ac:dyDescent="0.25">
      <c r="A1716" s="15" t="str">
        <f>IF(C1716="","",COUNTA($C$3:C1716))</f>
        <v/>
      </c>
      <c r="B1716" s="15" t="str">
        <f t="shared" si="231"/>
        <v/>
      </c>
      <c r="M1716" s="9"/>
      <c r="N1716" s="9"/>
      <c r="P1716" s="14"/>
      <c r="Q1716" s="85"/>
      <c r="R1716" s="89"/>
      <c r="U1716" s="11" t="str">
        <f t="shared" si="229"/>
        <v/>
      </c>
      <c r="V1716" s="12" t="str">
        <f t="shared" si="230"/>
        <v/>
      </c>
      <c r="Z1716" s="15"/>
    </row>
    <row r="1717" spans="1:26" x14ac:dyDescent="0.25">
      <c r="A1717" s="15" t="str">
        <f>IF(C1717="","",COUNTA($C$3:C1717))</f>
        <v/>
      </c>
      <c r="B1717" s="15" t="str">
        <f t="shared" si="231"/>
        <v/>
      </c>
      <c r="M1717" s="9"/>
      <c r="N1717" s="9"/>
      <c r="P1717" s="14"/>
      <c r="Q1717" s="85"/>
      <c r="R1717" s="89"/>
      <c r="U1717" s="11" t="str">
        <f t="shared" si="229"/>
        <v/>
      </c>
      <c r="V1717" s="12" t="str">
        <f t="shared" si="230"/>
        <v/>
      </c>
      <c r="Z1717" s="15"/>
    </row>
    <row r="1718" spans="1:26" x14ac:dyDescent="0.25">
      <c r="A1718" s="15" t="str">
        <f>IF(C1718="","",COUNTA($C$3:C1718))</f>
        <v/>
      </c>
      <c r="B1718" s="15" t="str">
        <f t="shared" si="231"/>
        <v/>
      </c>
      <c r="M1718" s="9"/>
      <c r="N1718" s="9"/>
      <c r="P1718" s="14"/>
      <c r="Q1718" s="85"/>
      <c r="R1718" s="89"/>
      <c r="U1718" s="11" t="str">
        <f t="shared" si="229"/>
        <v/>
      </c>
      <c r="V1718" s="12" t="str">
        <f t="shared" si="230"/>
        <v/>
      </c>
      <c r="Z1718" s="15"/>
    </row>
    <row r="1719" spans="1:26" x14ac:dyDescent="0.25">
      <c r="A1719" s="15" t="str">
        <f>IF(C1719="","",COUNTA($C$3:C1719))</f>
        <v/>
      </c>
      <c r="B1719" s="15" t="str">
        <f t="shared" si="231"/>
        <v/>
      </c>
      <c r="M1719" s="9"/>
      <c r="N1719" s="9"/>
      <c r="P1719" s="14"/>
      <c r="Q1719" s="85"/>
      <c r="R1719" s="89"/>
      <c r="U1719" s="11" t="str">
        <f t="shared" si="229"/>
        <v/>
      </c>
      <c r="V1719" s="12" t="str">
        <f t="shared" si="230"/>
        <v/>
      </c>
      <c r="Z1719" s="15"/>
    </row>
    <row r="1720" spans="1:26" x14ac:dyDescent="0.25">
      <c r="A1720" s="15" t="str">
        <f>IF(C1720="","",COUNTA($C$3:C1720))</f>
        <v/>
      </c>
      <c r="B1720" s="15" t="str">
        <f t="shared" si="231"/>
        <v/>
      </c>
      <c r="M1720" s="9"/>
      <c r="N1720" s="9"/>
      <c r="P1720" s="14"/>
      <c r="Q1720" s="85"/>
      <c r="R1720" s="89"/>
      <c r="U1720" s="11" t="str">
        <f t="shared" si="229"/>
        <v/>
      </c>
      <c r="V1720" s="12" t="str">
        <f t="shared" si="230"/>
        <v/>
      </c>
      <c r="Z1720" s="15"/>
    </row>
    <row r="1721" spans="1:26" x14ac:dyDescent="0.25">
      <c r="A1721" s="15" t="str">
        <f>IF(C1721="","",COUNTA($C$3:C1721))</f>
        <v/>
      </c>
      <c r="B1721" s="15" t="str">
        <f t="shared" si="231"/>
        <v/>
      </c>
      <c r="M1721" s="9"/>
      <c r="N1721" s="9"/>
      <c r="P1721" s="14"/>
      <c r="Q1721" s="85"/>
      <c r="R1721" s="89"/>
      <c r="U1721" s="11" t="str">
        <f t="shared" si="229"/>
        <v/>
      </c>
      <c r="V1721" s="12" t="str">
        <f t="shared" si="230"/>
        <v/>
      </c>
      <c r="Z1721" s="15"/>
    </row>
    <row r="1722" spans="1:26" x14ac:dyDescent="0.25">
      <c r="A1722" s="15" t="str">
        <f>IF(C1722="","",COUNTA($C$3:C1722))</f>
        <v/>
      </c>
      <c r="B1722" s="15" t="str">
        <f t="shared" si="231"/>
        <v/>
      </c>
      <c r="M1722" s="9"/>
      <c r="N1722" s="9"/>
      <c r="P1722" s="14"/>
      <c r="Q1722" s="85"/>
      <c r="R1722" s="89"/>
      <c r="U1722" s="11" t="str">
        <f t="shared" si="229"/>
        <v/>
      </c>
      <c r="V1722" s="12" t="str">
        <f t="shared" si="230"/>
        <v/>
      </c>
      <c r="Z1722" s="15"/>
    </row>
    <row r="1723" spans="1:26" x14ac:dyDescent="0.25">
      <c r="A1723" s="15" t="str">
        <f>IF(C1723="","",COUNTA($C$3:C1723))</f>
        <v/>
      </c>
      <c r="B1723" s="15" t="str">
        <f t="shared" si="231"/>
        <v/>
      </c>
      <c r="M1723" s="9"/>
      <c r="N1723" s="9"/>
      <c r="P1723" s="14"/>
      <c r="Q1723" s="85"/>
      <c r="R1723" s="89"/>
      <c r="U1723" s="11" t="str">
        <f t="shared" si="229"/>
        <v/>
      </c>
      <c r="V1723" s="12" t="str">
        <f t="shared" si="230"/>
        <v/>
      </c>
      <c r="Z1723" s="15"/>
    </row>
    <row r="1724" spans="1:26" x14ac:dyDescent="0.25">
      <c r="A1724" s="15" t="str">
        <f>IF(C1724="","",COUNTA($C$3:C1724))</f>
        <v/>
      </c>
      <c r="B1724" s="15" t="str">
        <f t="shared" si="231"/>
        <v/>
      </c>
      <c r="M1724" s="9"/>
      <c r="N1724" s="9"/>
      <c r="P1724" s="14"/>
      <c r="Q1724" s="85"/>
      <c r="R1724" s="89"/>
      <c r="U1724" s="11" t="str">
        <f t="shared" si="229"/>
        <v/>
      </c>
      <c r="V1724" s="12" t="str">
        <f t="shared" si="230"/>
        <v/>
      </c>
      <c r="Z1724" s="15"/>
    </row>
    <row r="1725" spans="1:26" x14ac:dyDescent="0.25">
      <c r="A1725" s="15" t="str">
        <f>IF(C1725="","",COUNTA($C$3:C1725))</f>
        <v/>
      </c>
      <c r="B1725" s="15" t="str">
        <f t="shared" si="231"/>
        <v/>
      </c>
      <c r="M1725" s="9"/>
      <c r="N1725" s="9"/>
      <c r="P1725" s="14"/>
      <c r="Q1725" s="85"/>
      <c r="R1725" s="89"/>
      <c r="U1725" s="11" t="str">
        <f t="shared" si="229"/>
        <v/>
      </c>
      <c r="V1725" s="12" t="str">
        <f t="shared" si="230"/>
        <v/>
      </c>
      <c r="Z1725" s="15"/>
    </row>
    <row r="1726" spans="1:26" x14ac:dyDescent="0.25">
      <c r="A1726" s="15" t="str">
        <f>IF(C1726="","",COUNTA($C$3:C1726))</f>
        <v/>
      </c>
      <c r="B1726" s="15" t="str">
        <f t="shared" si="231"/>
        <v/>
      </c>
      <c r="M1726" s="9"/>
      <c r="N1726" s="9"/>
      <c r="P1726" s="14"/>
      <c r="Q1726" s="85"/>
      <c r="R1726" s="89"/>
      <c r="U1726" s="11" t="str">
        <f t="shared" si="229"/>
        <v/>
      </c>
      <c r="V1726" s="12" t="str">
        <f t="shared" si="230"/>
        <v/>
      </c>
      <c r="Z1726" s="15"/>
    </row>
    <row r="1727" spans="1:26" x14ac:dyDescent="0.25">
      <c r="A1727" s="15" t="str">
        <f>IF(C1727="","",COUNTA($C$3:C1727))</f>
        <v/>
      </c>
      <c r="B1727" s="15" t="str">
        <f t="shared" si="231"/>
        <v/>
      </c>
      <c r="M1727" s="9"/>
      <c r="N1727" s="9"/>
      <c r="P1727" s="14"/>
      <c r="Q1727" s="85"/>
      <c r="R1727" s="89"/>
      <c r="U1727" s="11" t="str">
        <f t="shared" si="229"/>
        <v/>
      </c>
      <c r="V1727" s="12" t="str">
        <f t="shared" si="230"/>
        <v/>
      </c>
      <c r="Z1727" s="15"/>
    </row>
    <row r="1728" spans="1:26" x14ac:dyDescent="0.25">
      <c r="A1728" s="15" t="str">
        <f>IF(C1728="","",COUNTA($C$3:C1728))</f>
        <v/>
      </c>
      <c r="B1728" s="15" t="str">
        <f t="shared" si="231"/>
        <v/>
      </c>
      <c r="M1728" s="9"/>
      <c r="N1728" s="9"/>
      <c r="P1728" s="14"/>
      <c r="Q1728" s="85"/>
      <c r="R1728" s="89"/>
      <c r="U1728" s="11" t="str">
        <f t="shared" si="229"/>
        <v/>
      </c>
      <c r="V1728" s="12" t="str">
        <f t="shared" si="230"/>
        <v/>
      </c>
      <c r="Z1728" s="15"/>
    </row>
    <row r="1729" spans="1:26" x14ac:dyDescent="0.25">
      <c r="A1729" s="15" t="str">
        <f>IF(C1729="","",COUNTA($C$3:C1729))</f>
        <v/>
      </c>
      <c r="B1729" s="15" t="str">
        <f t="shared" si="231"/>
        <v/>
      </c>
      <c r="M1729" s="9"/>
      <c r="N1729" s="9"/>
      <c r="P1729" s="14"/>
      <c r="Q1729" s="85"/>
      <c r="R1729" s="89"/>
      <c r="U1729" s="11" t="str">
        <f t="shared" si="229"/>
        <v/>
      </c>
      <c r="V1729" s="12" t="str">
        <f t="shared" si="230"/>
        <v/>
      </c>
      <c r="Z1729" s="15"/>
    </row>
    <row r="1730" spans="1:26" x14ac:dyDescent="0.25">
      <c r="A1730" s="15" t="str">
        <f>IF(C1730="","",COUNTA($C$3:C1730))</f>
        <v/>
      </c>
      <c r="B1730" s="15" t="str">
        <f t="shared" si="231"/>
        <v/>
      </c>
      <c r="M1730" s="9"/>
      <c r="N1730" s="9"/>
      <c r="P1730" s="14"/>
      <c r="Q1730" s="85"/>
      <c r="R1730" s="89"/>
      <c r="U1730" s="11" t="str">
        <f t="shared" ref="U1730:U1793" si="232">IF(S1730="","",(S1730-T1730))</f>
        <v/>
      </c>
      <c r="V1730" s="12" t="str">
        <f t="shared" ref="V1730:V1793" si="233">IF(U1730="","",(U1730/T1730))</f>
        <v/>
      </c>
      <c r="Z1730" s="15"/>
    </row>
    <row r="1731" spans="1:26" x14ac:dyDescent="0.25">
      <c r="A1731" s="15" t="str">
        <f>IF(C1731="","",COUNTA($C$3:C1731))</f>
        <v/>
      </c>
      <c r="B1731" s="15" t="str">
        <f t="shared" ref="B1731:B1794" si="234">IF(C1731="","",TEXT(C1731,"mmmm"))</f>
        <v/>
      </c>
      <c r="M1731" s="9"/>
      <c r="N1731" s="9"/>
      <c r="P1731" s="14"/>
      <c r="Q1731" s="85"/>
      <c r="R1731" s="89"/>
      <c r="U1731" s="11" t="str">
        <f t="shared" si="232"/>
        <v/>
      </c>
      <c r="V1731" s="12" t="str">
        <f t="shared" si="233"/>
        <v/>
      </c>
      <c r="Z1731" s="15"/>
    </row>
    <row r="1732" spans="1:26" x14ac:dyDescent="0.25">
      <c r="A1732" s="15" t="str">
        <f>IF(C1732="","",COUNTA($C$3:C1732))</f>
        <v/>
      </c>
      <c r="B1732" s="15" t="str">
        <f t="shared" si="234"/>
        <v/>
      </c>
      <c r="M1732" s="9"/>
      <c r="N1732" s="9"/>
      <c r="P1732" s="14"/>
      <c r="Q1732" s="85"/>
      <c r="R1732" s="89"/>
      <c r="U1732" s="11" t="str">
        <f t="shared" si="232"/>
        <v/>
      </c>
      <c r="V1732" s="12" t="str">
        <f t="shared" si="233"/>
        <v/>
      </c>
      <c r="Z1732" s="15"/>
    </row>
    <row r="1733" spans="1:26" x14ac:dyDescent="0.25">
      <c r="A1733" s="15" t="str">
        <f>IF(C1733="","",COUNTA($C$3:C1733))</f>
        <v/>
      </c>
      <c r="B1733" s="15" t="str">
        <f t="shared" si="234"/>
        <v/>
      </c>
      <c r="M1733" s="9"/>
      <c r="N1733" s="9"/>
      <c r="P1733" s="14"/>
      <c r="Q1733" s="85"/>
      <c r="R1733" s="89"/>
      <c r="U1733" s="11" t="str">
        <f t="shared" si="232"/>
        <v/>
      </c>
      <c r="V1733" s="12" t="str">
        <f t="shared" si="233"/>
        <v/>
      </c>
      <c r="Z1733" s="15"/>
    </row>
    <row r="1734" spans="1:26" x14ac:dyDescent="0.25">
      <c r="A1734" s="15" t="str">
        <f>IF(C1734="","",COUNTA($C$3:C1734))</f>
        <v/>
      </c>
      <c r="B1734" s="15" t="str">
        <f t="shared" si="234"/>
        <v/>
      </c>
      <c r="M1734" s="9"/>
      <c r="N1734" s="9"/>
      <c r="P1734" s="14"/>
      <c r="Q1734" s="85"/>
      <c r="R1734" s="89"/>
      <c r="U1734" s="11" t="str">
        <f t="shared" si="232"/>
        <v/>
      </c>
      <c r="V1734" s="12" t="str">
        <f t="shared" si="233"/>
        <v/>
      </c>
      <c r="Z1734" s="15"/>
    </row>
    <row r="1735" spans="1:26" x14ac:dyDescent="0.25">
      <c r="A1735" s="15" t="str">
        <f>IF(C1735="","",COUNTA($C$3:C1735))</f>
        <v/>
      </c>
      <c r="B1735" s="15" t="str">
        <f t="shared" si="234"/>
        <v/>
      </c>
      <c r="M1735" s="9"/>
      <c r="N1735" s="9"/>
      <c r="P1735" s="14"/>
      <c r="Q1735" s="85"/>
      <c r="R1735" s="89"/>
      <c r="U1735" s="11" t="str">
        <f t="shared" si="232"/>
        <v/>
      </c>
      <c r="V1735" s="12" t="str">
        <f t="shared" si="233"/>
        <v/>
      </c>
      <c r="Z1735" s="15"/>
    </row>
    <row r="1736" spans="1:26" x14ac:dyDescent="0.25">
      <c r="A1736" s="15" t="str">
        <f>IF(C1736="","",COUNTA($C$3:C1736))</f>
        <v/>
      </c>
      <c r="B1736" s="15" t="str">
        <f t="shared" si="234"/>
        <v/>
      </c>
      <c r="M1736" s="9"/>
      <c r="N1736" s="9"/>
      <c r="P1736" s="14"/>
      <c r="Q1736" s="85"/>
      <c r="R1736" s="89"/>
      <c r="U1736" s="11" t="str">
        <f t="shared" si="232"/>
        <v/>
      </c>
      <c r="V1736" s="12" t="str">
        <f t="shared" si="233"/>
        <v/>
      </c>
      <c r="Z1736" s="15"/>
    </row>
    <row r="1737" spans="1:26" x14ac:dyDescent="0.25">
      <c r="A1737" s="15" t="str">
        <f>IF(C1737="","",COUNTA($C$3:C1737))</f>
        <v/>
      </c>
      <c r="B1737" s="15" t="str">
        <f t="shared" si="234"/>
        <v/>
      </c>
      <c r="M1737" s="9"/>
      <c r="N1737" s="9"/>
      <c r="P1737" s="14"/>
      <c r="Q1737" s="85"/>
      <c r="R1737" s="89"/>
      <c r="U1737" s="11" t="str">
        <f t="shared" si="232"/>
        <v/>
      </c>
      <c r="V1737" s="12" t="str">
        <f t="shared" si="233"/>
        <v/>
      </c>
      <c r="Z1737" s="15"/>
    </row>
    <row r="1738" spans="1:26" x14ac:dyDescent="0.25">
      <c r="A1738" s="15" t="str">
        <f>IF(C1738="","",COUNTA($C$3:C1738))</f>
        <v/>
      </c>
      <c r="B1738" s="15" t="str">
        <f t="shared" si="234"/>
        <v/>
      </c>
      <c r="M1738" s="9"/>
      <c r="N1738" s="9"/>
      <c r="P1738" s="14"/>
      <c r="Q1738" s="85"/>
      <c r="R1738" s="89"/>
      <c r="U1738" s="11" t="str">
        <f t="shared" si="232"/>
        <v/>
      </c>
      <c r="V1738" s="12" t="str">
        <f t="shared" si="233"/>
        <v/>
      </c>
      <c r="Z1738" s="15"/>
    </row>
    <row r="1739" spans="1:26" x14ac:dyDescent="0.25">
      <c r="A1739" s="15" t="str">
        <f>IF(C1739="","",COUNTA($C$3:C1739))</f>
        <v/>
      </c>
      <c r="B1739" s="15" t="str">
        <f t="shared" si="234"/>
        <v/>
      </c>
      <c r="M1739" s="9"/>
      <c r="N1739" s="9"/>
      <c r="P1739" s="14"/>
      <c r="Q1739" s="85"/>
      <c r="R1739" s="89"/>
      <c r="U1739" s="11" t="str">
        <f t="shared" si="232"/>
        <v/>
      </c>
      <c r="V1739" s="12" t="str">
        <f t="shared" si="233"/>
        <v/>
      </c>
      <c r="Z1739" s="15"/>
    </row>
    <row r="1740" spans="1:26" x14ac:dyDescent="0.25">
      <c r="A1740" s="15" t="str">
        <f>IF(C1740="","",COUNTA($C$3:C1740))</f>
        <v/>
      </c>
      <c r="B1740" s="15" t="str">
        <f t="shared" si="234"/>
        <v/>
      </c>
      <c r="M1740" s="9"/>
      <c r="N1740" s="9"/>
      <c r="P1740" s="14"/>
      <c r="Q1740" s="85"/>
      <c r="R1740" s="89"/>
      <c r="U1740" s="11" t="str">
        <f t="shared" si="232"/>
        <v/>
      </c>
      <c r="V1740" s="12" t="str">
        <f t="shared" si="233"/>
        <v/>
      </c>
      <c r="Z1740" s="15"/>
    </row>
    <row r="1741" spans="1:26" x14ac:dyDescent="0.25">
      <c r="A1741" s="15" t="str">
        <f>IF(C1741="","",COUNTA($C$3:C1741))</f>
        <v/>
      </c>
      <c r="B1741" s="15" t="str">
        <f t="shared" si="234"/>
        <v/>
      </c>
      <c r="M1741" s="9"/>
      <c r="N1741" s="9"/>
      <c r="P1741" s="14"/>
      <c r="Q1741" s="85"/>
      <c r="R1741" s="89"/>
      <c r="U1741" s="11" t="str">
        <f t="shared" si="232"/>
        <v/>
      </c>
      <c r="V1741" s="12" t="str">
        <f t="shared" si="233"/>
        <v/>
      </c>
      <c r="Z1741" s="15"/>
    </row>
    <row r="1742" spans="1:26" x14ac:dyDescent="0.25">
      <c r="A1742" s="15" t="str">
        <f>IF(C1742="","",COUNTA($C$3:C1742))</f>
        <v/>
      </c>
      <c r="B1742" s="15" t="str">
        <f t="shared" si="234"/>
        <v/>
      </c>
      <c r="M1742" s="9"/>
      <c r="N1742" s="9"/>
      <c r="P1742" s="14"/>
      <c r="Q1742" s="85"/>
      <c r="R1742" s="89"/>
      <c r="U1742" s="11" t="str">
        <f t="shared" si="232"/>
        <v/>
      </c>
      <c r="V1742" s="12" t="str">
        <f t="shared" si="233"/>
        <v/>
      </c>
      <c r="Z1742" s="15"/>
    </row>
    <row r="1743" spans="1:26" x14ac:dyDescent="0.25">
      <c r="A1743" s="15" t="str">
        <f>IF(C1743="","",COUNTA($C$3:C1743))</f>
        <v/>
      </c>
      <c r="B1743" s="15" t="str">
        <f t="shared" si="234"/>
        <v/>
      </c>
      <c r="M1743" s="9"/>
      <c r="N1743" s="9"/>
      <c r="P1743" s="14"/>
      <c r="Q1743" s="85"/>
      <c r="R1743" s="89"/>
      <c r="U1743" s="11" t="str">
        <f t="shared" si="232"/>
        <v/>
      </c>
      <c r="V1743" s="12" t="str">
        <f t="shared" si="233"/>
        <v/>
      </c>
      <c r="Z1743" s="15"/>
    </row>
    <row r="1744" spans="1:26" x14ac:dyDescent="0.25">
      <c r="A1744" s="15" t="str">
        <f>IF(C1744="","",COUNTA($C$3:C1744))</f>
        <v/>
      </c>
      <c r="B1744" s="15" t="str">
        <f t="shared" si="234"/>
        <v/>
      </c>
      <c r="M1744" s="9"/>
      <c r="N1744" s="9"/>
      <c r="P1744" s="14"/>
      <c r="Q1744" s="85"/>
      <c r="R1744" s="89"/>
      <c r="U1744" s="11" t="str">
        <f t="shared" si="232"/>
        <v/>
      </c>
      <c r="V1744" s="12" t="str">
        <f t="shared" si="233"/>
        <v/>
      </c>
      <c r="Z1744" s="15"/>
    </row>
    <row r="1745" spans="1:26" x14ac:dyDescent="0.25">
      <c r="A1745" s="15" t="str">
        <f>IF(C1745="","",COUNTA($C$3:C1745))</f>
        <v/>
      </c>
      <c r="B1745" s="15" t="str">
        <f t="shared" si="234"/>
        <v/>
      </c>
      <c r="M1745" s="9"/>
      <c r="N1745" s="9"/>
      <c r="P1745" s="14"/>
      <c r="Q1745" s="85"/>
      <c r="R1745" s="89"/>
      <c r="U1745" s="11" t="str">
        <f t="shared" si="232"/>
        <v/>
      </c>
      <c r="V1745" s="12" t="str">
        <f t="shared" si="233"/>
        <v/>
      </c>
      <c r="Z1745" s="15"/>
    </row>
    <row r="1746" spans="1:26" x14ac:dyDescent="0.25">
      <c r="A1746" s="15" t="str">
        <f>IF(C1746="","",COUNTA($C$3:C1746))</f>
        <v/>
      </c>
      <c r="B1746" s="15" t="str">
        <f t="shared" si="234"/>
        <v/>
      </c>
      <c r="M1746" s="9"/>
      <c r="N1746" s="9"/>
      <c r="P1746" s="14"/>
      <c r="Q1746" s="85"/>
      <c r="R1746" s="89"/>
      <c r="U1746" s="11" t="str">
        <f t="shared" si="232"/>
        <v/>
      </c>
      <c r="V1746" s="12" t="str">
        <f t="shared" si="233"/>
        <v/>
      </c>
      <c r="Z1746" s="15"/>
    </row>
    <row r="1747" spans="1:26" x14ac:dyDescent="0.25">
      <c r="A1747" s="15" t="str">
        <f>IF(C1747="","",COUNTA($C$3:C1747))</f>
        <v/>
      </c>
      <c r="B1747" s="15" t="str">
        <f t="shared" si="234"/>
        <v/>
      </c>
      <c r="M1747" s="9"/>
      <c r="N1747" s="9"/>
      <c r="P1747" s="14"/>
      <c r="Q1747" s="85"/>
      <c r="R1747" s="89"/>
      <c r="U1747" s="11" t="str">
        <f t="shared" si="232"/>
        <v/>
      </c>
      <c r="V1747" s="12" t="str">
        <f t="shared" si="233"/>
        <v/>
      </c>
      <c r="Z1747" s="15"/>
    </row>
    <row r="1748" spans="1:26" x14ac:dyDescent="0.25">
      <c r="A1748" s="15" t="str">
        <f>IF(C1748="","",COUNTA($C$3:C1748))</f>
        <v/>
      </c>
      <c r="B1748" s="15" t="str">
        <f t="shared" si="234"/>
        <v/>
      </c>
      <c r="M1748" s="9"/>
      <c r="N1748" s="9"/>
      <c r="P1748" s="14"/>
      <c r="Q1748" s="85"/>
      <c r="R1748" s="89"/>
      <c r="U1748" s="11" t="str">
        <f t="shared" si="232"/>
        <v/>
      </c>
      <c r="V1748" s="12" t="str">
        <f t="shared" si="233"/>
        <v/>
      </c>
      <c r="Z1748" s="15"/>
    </row>
    <row r="1749" spans="1:26" x14ac:dyDescent="0.25">
      <c r="A1749" s="15" t="str">
        <f>IF(C1749="","",COUNTA($C$3:C1749))</f>
        <v/>
      </c>
      <c r="B1749" s="15" t="str">
        <f t="shared" si="234"/>
        <v/>
      </c>
      <c r="M1749" s="9"/>
      <c r="N1749" s="9"/>
      <c r="P1749" s="14"/>
      <c r="Q1749" s="85"/>
      <c r="R1749" s="89"/>
      <c r="U1749" s="11" t="str">
        <f t="shared" si="232"/>
        <v/>
      </c>
      <c r="V1749" s="12" t="str">
        <f t="shared" si="233"/>
        <v/>
      </c>
      <c r="Z1749" s="15"/>
    </row>
    <row r="1750" spans="1:26" x14ac:dyDescent="0.25">
      <c r="A1750" s="15" t="str">
        <f>IF(C1750="","",COUNTA($C$3:C1750))</f>
        <v/>
      </c>
      <c r="B1750" s="15" t="str">
        <f t="shared" si="234"/>
        <v/>
      </c>
      <c r="M1750" s="9"/>
      <c r="N1750" s="9"/>
      <c r="P1750" s="14"/>
      <c r="Q1750" s="85"/>
      <c r="R1750" s="89"/>
      <c r="U1750" s="11" t="str">
        <f t="shared" si="232"/>
        <v/>
      </c>
      <c r="V1750" s="12" t="str">
        <f t="shared" si="233"/>
        <v/>
      </c>
      <c r="Z1750" s="15"/>
    </row>
    <row r="1751" spans="1:26" x14ac:dyDescent="0.25">
      <c r="A1751" s="15" t="str">
        <f>IF(C1751="","",COUNTA($C$3:C1751))</f>
        <v/>
      </c>
      <c r="B1751" s="15" t="str">
        <f t="shared" si="234"/>
        <v/>
      </c>
      <c r="M1751" s="9"/>
      <c r="N1751" s="9"/>
      <c r="P1751" s="14"/>
      <c r="Q1751" s="85"/>
      <c r="R1751" s="89"/>
      <c r="U1751" s="11" t="str">
        <f t="shared" si="232"/>
        <v/>
      </c>
      <c r="V1751" s="12" t="str">
        <f t="shared" si="233"/>
        <v/>
      </c>
      <c r="Z1751" s="15"/>
    </row>
    <row r="1752" spans="1:26" x14ac:dyDescent="0.25">
      <c r="A1752" s="15" t="str">
        <f>IF(C1752="","",COUNTA($C$3:C1752))</f>
        <v/>
      </c>
      <c r="B1752" s="15" t="str">
        <f t="shared" si="234"/>
        <v/>
      </c>
      <c r="M1752" s="9"/>
      <c r="N1752" s="9"/>
      <c r="P1752" s="14"/>
      <c r="Q1752" s="85"/>
      <c r="R1752" s="89"/>
      <c r="U1752" s="11" t="str">
        <f t="shared" si="232"/>
        <v/>
      </c>
      <c r="V1752" s="12" t="str">
        <f t="shared" si="233"/>
        <v/>
      </c>
      <c r="Z1752" s="15"/>
    </row>
    <row r="1753" spans="1:26" x14ac:dyDescent="0.25">
      <c r="A1753" s="15" t="str">
        <f>IF(C1753="","",COUNTA($C$3:C1753))</f>
        <v/>
      </c>
      <c r="B1753" s="15" t="str">
        <f t="shared" si="234"/>
        <v/>
      </c>
      <c r="M1753" s="9"/>
      <c r="N1753" s="9"/>
      <c r="P1753" s="14"/>
      <c r="Q1753" s="85"/>
      <c r="R1753" s="89"/>
      <c r="U1753" s="11" t="str">
        <f t="shared" si="232"/>
        <v/>
      </c>
      <c r="V1753" s="12" t="str">
        <f t="shared" si="233"/>
        <v/>
      </c>
      <c r="Z1753" s="15"/>
    </row>
    <row r="1754" spans="1:26" x14ac:dyDescent="0.25">
      <c r="A1754" s="15" t="str">
        <f>IF(C1754="","",COUNTA($C$3:C1754))</f>
        <v/>
      </c>
      <c r="B1754" s="15" t="str">
        <f t="shared" si="234"/>
        <v/>
      </c>
      <c r="M1754" s="9"/>
      <c r="N1754" s="9"/>
      <c r="P1754" s="14"/>
      <c r="Q1754" s="85"/>
      <c r="R1754" s="89"/>
      <c r="U1754" s="11" t="str">
        <f t="shared" si="232"/>
        <v/>
      </c>
      <c r="V1754" s="12" t="str">
        <f t="shared" si="233"/>
        <v/>
      </c>
      <c r="Z1754" s="15"/>
    </row>
    <row r="1755" spans="1:26" x14ac:dyDescent="0.25">
      <c r="A1755" s="15" t="str">
        <f>IF(C1755="","",COUNTA($C$3:C1755))</f>
        <v/>
      </c>
      <c r="B1755" s="15" t="str">
        <f t="shared" si="234"/>
        <v/>
      </c>
      <c r="M1755" s="9"/>
      <c r="N1755" s="9"/>
      <c r="P1755" s="14"/>
      <c r="Q1755" s="85"/>
      <c r="R1755" s="89"/>
      <c r="U1755" s="11" t="str">
        <f t="shared" si="232"/>
        <v/>
      </c>
      <c r="V1755" s="12" t="str">
        <f t="shared" si="233"/>
        <v/>
      </c>
      <c r="Z1755" s="15"/>
    </row>
    <row r="1756" spans="1:26" x14ac:dyDescent="0.25">
      <c r="A1756" s="15" t="str">
        <f>IF(C1756="","",COUNTA($C$3:C1756))</f>
        <v/>
      </c>
      <c r="B1756" s="15" t="str">
        <f t="shared" si="234"/>
        <v/>
      </c>
      <c r="M1756" s="9"/>
      <c r="N1756" s="9"/>
      <c r="P1756" s="14"/>
      <c r="Q1756" s="85"/>
      <c r="R1756" s="89"/>
      <c r="U1756" s="11" t="str">
        <f t="shared" si="232"/>
        <v/>
      </c>
      <c r="V1756" s="12" t="str">
        <f t="shared" si="233"/>
        <v/>
      </c>
      <c r="Z1756" s="15"/>
    </row>
    <row r="1757" spans="1:26" x14ac:dyDescent="0.25">
      <c r="A1757" s="15" t="str">
        <f>IF(C1757="","",COUNTA($C$3:C1757))</f>
        <v/>
      </c>
      <c r="B1757" s="15" t="str">
        <f t="shared" si="234"/>
        <v/>
      </c>
      <c r="M1757" s="9"/>
      <c r="N1757" s="9"/>
      <c r="P1757" s="14"/>
      <c r="Q1757" s="85"/>
      <c r="R1757" s="89"/>
      <c r="U1757" s="11" t="str">
        <f t="shared" si="232"/>
        <v/>
      </c>
      <c r="V1757" s="12" t="str">
        <f t="shared" si="233"/>
        <v/>
      </c>
      <c r="Z1757" s="15"/>
    </row>
    <row r="1758" spans="1:26" x14ac:dyDescent="0.25">
      <c r="A1758" s="15" t="str">
        <f>IF(C1758="","",COUNTA($C$3:C1758))</f>
        <v/>
      </c>
      <c r="B1758" s="15" t="str">
        <f t="shared" si="234"/>
        <v/>
      </c>
      <c r="M1758" s="9"/>
      <c r="N1758" s="9"/>
      <c r="P1758" s="14"/>
      <c r="Q1758" s="85"/>
      <c r="R1758" s="89"/>
      <c r="U1758" s="11" t="str">
        <f t="shared" si="232"/>
        <v/>
      </c>
      <c r="V1758" s="12" t="str">
        <f t="shared" si="233"/>
        <v/>
      </c>
      <c r="Z1758" s="15"/>
    </row>
    <row r="1759" spans="1:26" x14ac:dyDescent="0.25">
      <c r="A1759" s="15" t="str">
        <f>IF(C1759="","",COUNTA($C$3:C1759))</f>
        <v/>
      </c>
      <c r="B1759" s="15" t="str">
        <f t="shared" si="234"/>
        <v/>
      </c>
      <c r="M1759" s="9"/>
      <c r="N1759" s="9"/>
      <c r="P1759" s="14"/>
      <c r="Q1759" s="85"/>
      <c r="R1759" s="89"/>
      <c r="U1759" s="11" t="str">
        <f t="shared" si="232"/>
        <v/>
      </c>
      <c r="V1759" s="12" t="str">
        <f t="shared" si="233"/>
        <v/>
      </c>
      <c r="Z1759" s="15"/>
    </row>
    <row r="1760" spans="1:26" x14ac:dyDescent="0.25">
      <c r="A1760" s="15" t="str">
        <f>IF(C1760="","",COUNTA($C$3:C1760))</f>
        <v/>
      </c>
      <c r="B1760" s="15" t="str">
        <f t="shared" si="234"/>
        <v/>
      </c>
      <c r="M1760" s="9"/>
      <c r="N1760" s="9"/>
      <c r="P1760" s="14"/>
      <c r="Q1760" s="85"/>
      <c r="R1760" s="89"/>
      <c r="U1760" s="11" t="str">
        <f t="shared" si="232"/>
        <v/>
      </c>
      <c r="V1760" s="12" t="str">
        <f t="shared" si="233"/>
        <v/>
      </c>
      <c r="Z1760" s="15"/>
    </row>
    <row r="1761" spans="1:26" x14ac:dyDescent="0.25">
      <c r="A1761" s="15" t="str">
        <f>IF(C1761="","",COUNTA($C$3:C1761))</f>
        <v/>
      </c>
      <c r="B1761" s="15" t="str">
        <f t="shared" si="234"/>
        <v/>
      </c>
      <c r="M1761" s="9"/>
      <c r="N1761" s="9"/>
      <c r="P1761" s="14"/>
      <c r="Q1761" s="85"/>
      <c r="R1761" s="89"/>
      <c r="U1761" s="11" t="str">
        <f t="shared" si="232"/>
        <v/>
      </c>
      <c r="V1761" s="12" t="str">
        <f t="shared" si="233"/>
        <v/>
      </c>
      <c r="Z1761" s="15"/>
    </row>
    <row r="1762" spans="1:26" x14ac:dyDescent="0.25">
      <c r="A1762" s="15" t="str">
        <f>IF(C1762="","",COUNTA($C$3:C1762))</f>
        <v/>
      </c>
      <c r="B1762" s="15" t="str">
        <f t="shared" si="234"/>
        <v/>
      </c>
      <c r="M1762" s="9"/>
      <c r="N1762" s="9"/>
      <c r="P1762" s="14"/>
      <c r="Q1762" s="85"/>
      <c r="R1762" s="89"/>
      <c r="U1762" s="11" t="str">
        <f t="shared" si="232"/>
        <v/>
      </c>
      <c r="V1762" s="12" t="str">
        <f t="shared" si="233"/>
        <v/>
      </c>
      <c r="Z1762" s="15"/>
    </row>
    <row r="1763" spans="1:26" x14ac:dyDescent="0.25">
      <c r="A1763" s="15" t="str">
        <f>IF(C1763="","",COUNTA($C$3:C1763))</f>
        <v/>
      </c>
      <c r="B1763" s="15" t="str">
        <f t="shared" si="234"/>
        <v/>
      </c>
      <c r="M1763" s="9"/>
      <c r="N1763" s="9"/>
      <c r="P1763" s="14"/>
      <c r="Q1763" s="85"/>
      <c r="R1763" s="89"/>
      <c r="U1763" s="11" t="str">
        <f t="shared" si="232"/>
        <v/>
      </c>
      <c r="V1763" s="12" t="str">
        <f t="shared" si="233"/>
        <v/>
      </c>
      <c r="Z1763" s="15"/>
    </row>
    <row r="1764" spans="1:26" x14ac:dyDescent="0.25">
      <c r="A1764" s="15" t="str">
        <f>IF(C1764="","",COUNTA($C$3:C1764))</f>
        <v/>
      </c>
      <c r="B1764" s="15" t="str">
        <f t="shared" si="234"/>
        <v/>
      </c>
      <c r="M1764" s="9"/>
      <c r="N1764" s="9"/>
      <c r="P1764" s="14"/>
      <c r="Q1764" s="85"/>
      <c r="R1764" s="89"/>
      <c r="U1764" s="11" t="str">
        <f t="shared" si="232"/>
        <v/>
      </c>
      <c r="V1764" s="12" t="str">
        <f t="shared" si="233"/>
        <v/>
      </c>
      <c r="Z1764" s="15"/>
    </row>
    <row r="1765" spans="1:26" x14ac:dyDescent="0.25">
      <c r="A1765" s="15" t="str">
        <f>IF(C1765="","",COUNTA($C$3:C1765))</f>
        <v/>
      </c>
      <c r="B1765" s="15" t="str">
        <f t="shared" si="234"/>
        <v/>
      </c>
      <c r="M1765" s="9"/>
      <c r="N1765" s="9"/>
      <c r="P1765" s="14"/>
      <c r="Q1765" s="85"/>
      <c r="R1765" s="89"/>
      <c r="U1765" s="11" t="str">
        <f t="shared" si="232"/>
        <v/>
      </c>
      <c r="V1765" s="12" t="str">
        <f t="shared" si="233"/>
        <v/>
      </c>
      <c r="Z1765" s="15"/>
    </row>
    <row r="1766" spans="1:26" x14ac:dyDescent="0.25">
      <c r="A1766" s="15" t="str">
        <f>IF(C1766="","",COUNTA($C$3:C1766))</f>
        <v/>
      </c>
      <c r="B1766" s="15" t="str">
        <f t="shared" si="234"/>
        <v/>
      </c>
      <c r="M1766" s="9"/>
      <c r="N1766" s="9"/>
      <c r="P1766" s="14"/>
      <c r="Q1766" s="85"/>
      <c r="R1766" s="89"/>
      <c r="U1766" s="11" t="str">
        <f t="shared" si="232"/>
        <v/>
      </c>
      <c r="V1766" s="12" t="str">
        <f t="shared" si="233"/>
        <v/>
      </c>
      <c r="Z1766" s="15"/>
    </row>
    <row r="1767" spans="1:26" x14ac:dyDescent="0.25">
      <c r="A1767" s="15" t="str">
        <f>IF(C1767="","",COUNTA($C$3:C1767))</f>
        <v/>
      </c>
      <c r="B1767" s="15" t="str">
        <f t="shared" si="234"/>
        <v/>
      </c>
      <c r="M1767" s="9"/>
      <c r="N1767" s="9"/>
      <c r="P1767" s="14"/>
      <c r="Q1767" s="85"/>
      <c r="R1767" s="89"/>
      <c r="U1767" s="11" t="str">
        <f t="shared" si="232"/>
        <v/>
      </c>
      <c r="V1767" s="12" t="str">
        <f t="shared" si="233"/>
        <v/>
      </c>
      <c r="Z1767" s="15"/>
    </row>
    <row r="1768" spans="1:26" x14ac:dyDescent="0.25">
      <c r="A1768" s="15" t="str">
        <f>IF(C1768="","",COUNTA($C$3:C1768))</f>
        <v/>
      </c>
      <c r="B1768" s="15" t="str">
        <f t="shared" si="234"/>
        <v/>
      </c>
      <c r="M1768" s="9"/>
      <c r="N1768" s="9"/>
      <c r="P1768" s="14"/>
      <c r="Q1768" s="85"/>
      <c r="R1768" s="89"/>
      <c r="U1768" s="11" t="str">
        <f t="shared" si="232"/>
        <v/>
      </c>
      <c r="V1768" s="12" t="str">
        <f t="shared" si="233"/>
        <v/>
      </c>
      <c r="Z1768" s="15"/>
    </row>
    <row r="1769" spans="1:26" x14ac:dyDescent="0.25">
      <c r="A1769" s="15" t="str">
        <f>IF(C1769="","",COUNTA($C$3:C1769))</f>
        <v/>
      </c>
      <c r="B1769" s="15" t="str">
        <f t="shared" si="234"/>
        <v/>
      </c>
      <c r="M1769" s="9"/>
      <c r="N1769" s="9"/>
      <c r="P1769" s="14"/>
      <c r="Q1769" s="85"/>
      <c r="R1769" s="89"/>
      <c r="U1769" s="11" t="str">
        <f t="shared" si="232"/>
        <v/>
      </c>
      <c r="V1769" s="12" t="str">
        <f t="shared" si="233"/>
        <v/>
      </c>
      <c r="Z1769" s="15"/>
    </row>
    <row r="1770" spans="1:26" x14ac:dyDescent="0.25">
      <c r="A1770" s="15" t="str">
        <f>IF(C1770="","",COUNTA($C$3:C1770))</f>
        <v/>
      </c>
      <c r="B1770" s="15" t="str">
        <f t="shared" si="234"/>
        <v/>
      </c>
      <c r="M1770" s="9"/>
      <c r="N1770" s="9"/>
      <c r="P1770" s="14"/>
      <c r="Q1770" s="85"/>
      <c r="R1770" s="89"/>
      <c r="U1770" s="11" t="str">
        <f t="shared" si="232"/>
        <v/>
      </c>
      <c r="V1770" s="12" t="str">
        <f t="shared" si="233"/>
        <v/>
      </c>
      <c r="Z1770" s="15"/>
    </row>
    <row r="1771" spans="1:26" x14ac:dyDescent="0.25">
      <c r="A1771" s="15" t="str">
        <f>IF(C1771="","",COUNTA($C$3:C1771))</f>
        <v/>
      </c>
      <c r="B1771" s="15" t="str">
        <f t="shared" si="234"/>
        <v/>
      </c>
      <c r="M1771" s="9"/>
      <c r="N1771" s="9"/>
      <c r="P1771" s="14"/>
      <c r="Q1771" s="85"/>
      <c r="R1771" s="89"/>
      <c r="U1771" s="11" t="str">
        <f t="shared" si="232"/>
        <v/>
      </c>
      <c r="V1771" s="12" t="str">
        <f t="shared" si="233"/>
        <v/>
      </c>
      <c r="Z1771" s="15"/>
    </row>
    <row r="1772" spans="1:26" x14ac:dyDescent="0.25">
      <c r="A1772" s="15" t="str">
        <f>IF(C1772="","",COUNTA($C$3:C1772))</f>
        <v/>
      </c>
      <c r="B1772" s="15" t="str">
        <f t="shared" si="234"/>
        <v/>
      </c>
      <c r="M1772" s="9"/>
      <c r="N1772" s="9"/>
      <c r="P1772" s="14"/>
      <c r="Q1772" s="85"/>
      <c r="R1772" s="89"/>
      <c r="U1772" s="11" t="str">
        <f t="shared" si="232"/>
        <v/>
      </c>
      <c r="V1772" s="12" t="str">
        <f t="shared" si="233"/>
        <v/>
      </c>
      <c r="Z1772" s="15"/>
    </row>
    <row r="1773" spans="1:26" x14ac:dyDescent="0.25">
      <c r="A1773" s="15" t="str">
        <f>IF(C1773="","",COUNTA($C$3:C1773))</f>
        <v/>
      </c>
      <c r="B1773" s="15" t="str">
        <f t="shared" si="234"/>
        <v/>
      </c>
      <c r="M1773" s="9"/>
      <c r="N1773" s="9"/>
      <c r="P1773" s="14"/>
      <c r="Q1773" s="85"/>
      <c r="R1773" s="89"/>
      <c r="U1773" s="11" t="str">
        <f t="shared" si="232"/>
        <v/>
      </c>
      <c r="V1773" s="12" t="str">
        <f t="shared" si="233"/>
        <v/>
      </c>
      <c r="Z1773" s="15"/>
    </row>
    <row r="1774" spans="1:26" x14ac:dyDescent="0.25">
      <c r="A1774" s="15" t="str">
        <f>IF(C1774="","",COUNTA($C$3:C1774))</f>
        <v/>
      </c>
      <c r="B1774" s="15" t="str">
        <f t="shared" si="234"/>
        <v/>
      </c>
      <c r="M1774" s="9"/>
      <c r="N1774" s="9"/>
      <c r="P1774" s="14"/>
      <c r="Q1774" s="85"/>
      <c r="R1774" s="89"/>
      <c r="U1774" s="11" t="str">
        <f t="shared" si="232"/>
        <v/>
      </c>
      <c r="V1774" s="12" t="str">
        <f t="shared" si="233"/>
        <v/>
      </c>
      <c r="Z1774" s="15"/>
    </row>
    <row r="1775" spans="1:26" x14ac:dyDescent="0.25">
      <c r="A1775" s="15" t="str">
        <f>IF(C1775="","",COUNTA($C$3:C1775))</f>
        <v/>
      </c>
      <c r="B1775" s="15" t="str">
        <f t="shared" si="234"/>
        <v/>
      </c>
      <c r="M1775" s="9"/>
      <c r="N1775" s="9"/>
      <c r="P1775" s="14"/>
      <c r="Q1775" s="85"/>
      <c r="R1775" s="89"/>
      <c r="U1775" s="11" t="str">
        <f t="shared" si="232"/>
        <v/>
      </c>
      <c r="V1775" s="12" t="str">
        <f t="shared" si="233"/>
        <v/>
      </c>
      <c r="Z1775" s="15"/>
    </row>
    <row r="1776" spans="1:26" x14ac:dyDescent="0.25">
      <c r="A1776" s="15" t="str">
        <f>IF(C1776="","",COUNTA($C$3:C1776))</f>
        <v/>
      </c>
      <c r="B1776" s="15" t="str">
        <f t="shared" si="234"/>
        <v/>
      </c>
      <c r="M1776" s="9"/>
      <c r="N1776" s="9"/>
      <c r="P1776" s="14"/>
      <c r="Q1776" s="85"/>
      <c r="R1776" s="89"/>
      <c r="U1776" s="11" t="str">
        <f t="shared" si="232"/>
        <v/>
      </c>
      <c r="V1776" s="12" t="str">
        <f t="shared" si="233"/>
        <v/>
      </c>
      <c r="Z1776" s="15"/>
    </row>
    <row r="1777" spans="1:26" x14ac:dyDescent="0.25">
      <c r="A1777" s="15" t="str">
        <f>IF(C1777="","",COUNTA($C$3:C1777))</f>
        <v/>
      </c>
      <c r="B1777" s="15" t="str">
        <f t="shared" si="234"/>
        <v/>
      </c>
      <c r="M1777" s="9"/>
      <c r="N1777" s="9"/>
      <c r="P1777" s="14"/>
      <c r="Q1777" s="85"/>
      <c r="R1777" s="89"/>
      <c r="U1777" s="11" t="str">
        <f t="shared" si="232"/>
        <v/>
      </c>
      <c r="V1777" s="12" t="str">
        <f t="shared" si="233"/>
        <v/>
      </c>
      <c r="Z1777" s="15"/>
    </row>
    <row r="1778" spans="1:26" x14ac:dyDescent="0.25">
      <c r="A1778" s="15" t="str">
        <f>IF(C1778="","",COUNTA($C$3:C1778))</f>
        <v/>
      </c>
      <c r="B1778" s="15" t="str">
        <f t="shared" si="234"/>
        <v/>
      </c>
      <c r="M1778" s="9"/>
      <c r="N1778" s="9"/>
      <c r="P1778" s="14"/>
      <c r="Q1778" s="85"/>
      <c r="R1778" s="89"/>
      <c r="U1778" s="11" t="str">
        <f t="shared" si="232"/>
        <v/>
      </c>
      <c r="V1778" s="12" t="str">
        <f t="shared" si="233"/>
        <v/>
      </c>
      <c r="Z1778" s="15"/>
    </row>
    <row r="1779" spans="1:26" x14ac:dyDescent="0.25">
      <c r="A1779" s="15" t="str">
        <f>IF(C1779="","",COUNTA($C$3:C1779))</f>
        <v/>
      </c>
      <c r="B1779" s="15" t="str">
        <f t="shared" si="234"/>
        <v/>
      </c>
      <c r="M1779" s="9"/>
      <c r="N1779" s="9"/>
      <c r="P1779" s="14"/>
      <c r="Q1779" s="85"/>
      <c r="R1779" s="89"/>
      <c r="U1779" s="11" t="str">
        <f t="shared" si="232"/>
        <v/>
      </c>
      <c r="V1779" s="12" t="str">
        <f t="shared" si="233"/>
        <v/>
      </c>
      <c r="Z1779" s="15"/>
    </row>
    <row r="1780" spans="1:26" x14ac:dyDescent="0.25">
      <c r="A1780" s="15" t="str">
        <f>IF(C1780="","",COUNTA($C$3:C1780))</f>
        <v/>
      </c>
      <c r="B1780" s="15" t="str">
        <f t="shared" si="234"/>
        <v/>
      </c>
      <c r="M1780" s="9"/>
      <c r="N1780" s="9"/>
      <c r="P1780" s="14"/>
      <c r="Q1780" s="85"/>
      <c r="R1780" s="89"/>
      <c r="U1780" s="11" t="str">
        <f t="shared" si="232"/>
        <v/>
      </c>
      <c r="V1780" s="12" t="str">
        <f t="shared" si="233"/>
        <v/>
      </c>
      <c r="Z1780" s="15"/>
    </row>
    <row r="1781" spans="1:26" x14ac:dyDescent="0.25">
      <c r="A1781" s="15" t="str">
        <f>IF(C1781="","",COUNTA($C$3:C1781))</f>
        <v/>
      </c>
      <c r="B1781" s="15" t="str">
        <f t="shared" si="234"/>
        <v/>
      </c>
      <c r="M1781" s="9"/>
      <c r="N1781" s="9"/>
      <c r="P1781" s="14"/>
      <c r="Q1781" s="85"/>
      <c r="R1781" s="89"/>
      <c r="U1781" s="11" t="str">
        <f t="shared" si="232"/>
        <v/>
      </c>
      <c r="V1781" s="12" t="str">
        <f t="shared" si="233"/>
        <v/>
      </c>
      <c r="Z1781" s="15"/>
    </row>
    <row r="1782" spans="1:26" x14ac:dyDescent="0.25">
      <c r="A1782" s="15" t="str">
        <f>IF(C1782="","",COUNTA($C$3:C1782))</f>
        <v/>
      </c>
      <c r="B1782" s="15" t="str">
        <f t="shared" si="234"/>
        <v/>
      </c>
      <c r="M1782" s="9"/>
      <c r="N1782" s="9"/>
      <c r="P1782" s="14"/>
      <c r="Q1782" s="85"/>
      <c r="R1782" s="89"/>
      <c r="U1782" s="11" t="str">
        <f t="shared" si="232"/>
        <v/>
      </c>
      <c r="V1782" s="12" t="str">
        <f t="shared" si="233"/>
        <v/>
      </c>
      <c r="Z1782" s="15"/>
    </row>
    <row r="1783" spans="1:26" x14ac:dyDescent="0.25">
      <c r="A1783" s="15" t="str">
        <f>IF(C1783="","",COUNTA($C$3:C1783))</f>
        <v/>
      </c>
      <c r="B1783" s="15" t="str">
        <f t="shared" si="234"/>
        <v/>
      </c>
      <c r="M1783" s="9"/>
      <c r="N1783" s="9"/>
      <c r="P1783" s="14"/>
      <c r="Q1783" s="85"/>
      <c r="R1783" s="89"/>
      <c r="U1783" s="11" t="str">
        <f t="shared" si="232"/>
        <v/>
      </c>
      <c r="V1783" s="12" t="str">
        <f t="shared" si="233"/>
        <v/>
      </c>
      <c r="Z1783" s="15"/>
    </row>
    <row r="1784" spans="1:26" x14ac:dyDescent="0.25">
      <c r="A1784" s="15" t="str">
        <f>IF(C1784="","",COUNTA($C$3:C1784))</f>
        <v/>
      </c>
      <c r="B1784" s="15" t="str">
        <f t="shared" si="234"/>
        <v/>
      </c>
      <c r="M1784" s="9"/>
      <c r="N1784" s="9"/>
      <c r="P1784" s="14"/>
      <c r="Q1784" s="85"/>
      <c r="R1784" s="89"/>
      <c r="U1784" s="11" t="str">
        <f t="shared" si="232"/>
        <v/>
      </c>
      <c r="V1784" s="12" t="str">
        <f t="shared" si="233"/>
        <v/>
      </c>
      <c r="Z1784" s="15"/>
    </row>
    <row r="1785" spans="1:26" x14ac:dyDescent="0.25">
      <c r="A1785" s="15" t="str">
        <f>IF(C1785="","",COUNTA($C$3:C1785))</f>
        <v/>
      </c>
      <c r="B1785" s="15" t="str">
        <f t="shared" si="234"/>
        <v/>
      </c>
      <c r="M1785" s="9"/>
      <c r="N1785" s="9"/>
      <c r="P1785" s="14"/>
      <c r="Q1785" s="85"/>
      <c r="R1785" s="89"/>
      <c r="U1785" s="11" t="str">
        <f t="shared" si="232"/>
        <v/>
      </c>
      <c r="V1785" s="12" t="str">
        <f t="shared" si="233"/>
        <v/>
      </c>
      <c r="Z1785" s="15"/>
    </row>
    <row r="1786" spans="1:26" x14ac:dyDescent="0.25">
      <c r="A1786" s="15" t="str">
        <f>IF(C1786="","",COUNTA($C$3:C1786))</f>
        <v/>
      </c>
      <c r="B1786" s="15" t="str">
        <f t="shared" si="234"/>
        <v/>
      </c>
      <c r="M1786" s="9"/>
      <c r="N1786" s="9"/>
      <c r="P1786" s="14"/>
      <c r="Q1786" s="85"/>
      <c r="R1786" s="89"/>
      <c r="U1786" s="11" t="str">
        <f t="shared" si="232"/>
        <v/>
      </c>
      <c r="V1786" s="12" t="str">
        <f t="shared" si="233"/>
        <v/>
      </c>
      <c r="Z1786" s="15"/>
    </row>
    <row r="1787" spans="1:26" x14ac:dyDescent="0.25">
      <c r="A1787" s="15" t="str">
        <f>IF(C1787="","",COUNTA($C$3:C1787))</f>
        <v/>
      </c>
      <c r="B1787" s="15" t="str">
        <f t="shared" si="234"/>
        <v/>
      </c>
      <c r="M1787" s="9"/>
      <c r="N1787" s="9"/>
      <c r="P1787" s="14"/>
      <c r="Q1787" s="85"/>
      <c r="R1787" s="89"/>
      <c r="U1787" s="11" t="str">
        <f t="shared" si="232"/>
        <v/>
      </c>
      <c r="V1787" s="12" t="str">
        <f t="shared" si="233"/>
        <v/>
      </c>
      <c r="Z1787" s="15"/>
    </row>
    <row r="1788" spans="1:26" x14ac:dyDescent="0.25">
      <c r="A1788" s="15" t="str">
        <f>IF(C1788="","",COUNTA($C$3:C1788))</f>
        <v/>
      </c>
      <c r="B1788" s="15" t="str">
        <f t="shared" si="234"/>
        <v/>
      </c>
      <c r="M1788" s="9"/>
      <c r="N1788" s="9"/>
      <c r="P1788" s="14"/>
      <c r="Q1788" s="85"/>
      <c r="R1788" s="89"/>
      <c r="U1788" s="11" t="str">
        <f t="shared" si="232"/>
        <v/>
      </c>
      <c r="V1788" s="12" t="str">
        <f t="shared" si="233"/>
        <v/>
      </c>
      <c r="Z1788" s="15"/>
    </row>
    <row r="1789" spans="1:26" x14ac:dyDescent="0.25">
      <c r="A1789" s="15" t="str">
        <f>IF(C1789="","",COUNTA($C$3:C1789))</f>
        <v/>
      </c>
      <c r="B1789" s="15" t="str">
        <f t="shared" si="234"/>
        <v/>
      </c>
      <c r="M1789" s="9"/>
      <c r="N1789" s="9"/>
      <c r="P1789" s="14"/>
      <c r="Q1789" s="85"/>
      <c r="R1789" s="89"/>
      <c r="U1789" s="11" t="str">
        <f t="shared" si="232"/>
        <v/>
      </c>
      <c r="V1789" s="12" t="str">
        <f t="shared" si="233"/>
        <v/>
      </c>
      <c r="Z1789" s="15"/>
    </row>
    <row r="1790" spans="1:26" x14ac:dyDescent="0.25">
      <c r="A1790" s="15" t="str">
        <f>IF(C1790="","",COUNTA($C$3:C1790))</f>
        <v/>
      </c>
      <c r="B1790" s="15" t="str">
        <f t="shared" si="234"/>
        <v/>
      </c>
      <c r="M1790" s="9"/>
      <c r="N1790" s="9"/>
      <c r="P1790" s="14"/>
      <c r="Q1790" s="85"/>
      <c r="R1790" s="89"/>
      <c r="U1790" s="11" t="str">
        <f t="shared" si="232"/>
        <v/>
      </c>
      <c r="V1790" s="12" t="str">
        <f t="shared" si="233"/>
        <v/>
      </c>
      <c r="Z1790" s="15"/>
    </row>
    <row r="1791" spans="1:26" x14ac:dyDescent="0.25">
      <c r="A1791" s="15" t="str">
        <f>IF(C1791="","",COUNTA($C$3:C1791))</f>
        <v/>
      </c>
      <c r="B1791" s="15" t="str">
        <f t="shared" si="234"/>
        <v/>
      </c>
      <c r="M1791" s="9"/>
      <c r="N1791" s="9"/>
      <c r="P1791" s="14"/>
      <c r="Q1791" s="85"/>
      <c r="R1791" s="89"/>
      <c r="U1791" s="11" t="str">
        <f t="shared" si="232"/>
        <v/>
      </c>
      <c r="V1791" s="12" t="str">
        <f t="shared" si="233"/>
        <v/>
      </c>
      <c r="Z1791" s="15"/>
    </row>
    <row r="1792" spans="1:26" x14ac:dyDescent="0.25">
      <c r="A1792" s="15" t="str">
        <f>IF(C1792="","",COUNTA($C$3:C1792))</f>
        <v/>
      </c>
      <c r="B1792" s="15" t="str">
        <f t="shared" si="234"/>
        <v/>
      </c>
      <c r="M1792" s="9"/>
      <c r="N1792" s="9"/>
      <c r="P1792" s="14"/>
      <c r="Q1792" s="85"/>
      <c r="R1792" s="89"/>
      <c r="U1792" s="11" t="str">
        <f t="shared" si="232"/>
        <v/>
      </c>
      <c r="V1792" s="12" t="str">
        <f t="shared" si="233"/>
        <v/>
      </c>
      <c r="Z1792" s="15"/>
    </row>
    <row r="1793" spans="1:26" x14ac:dyDescent="0.25">
      <c r="A1793" s="15" t="str">
        <f>IF(C1793="","",COUNTA($C$3:C1793))</f>
        <v/>
      </c>
      <c r="B1793" s="15" t="str">
        <f t="shared" si="234"/>
        <v/>
      </c>
      <c r="M1793" s="9"/>
      <c r="N1793" s="9"/>
      <c r="P1793" s="14"/>
      <c r="Q1793" s="85"/>
      <c r="R1793" s="89"/>
      <c r="U1793" s="11" t="str">
        <f t="shared" si="232"/>
        <v/>
      </c>
      <c r="V1793" s="12" t="str">
        <f t="shared" si="233"/>
        <v/>
      </c>
      <c r="Z1793" s="15"/>
    </row>
    <row r="1794" spans="1:26" x14ac:dyDescent="0.25">
      <c r="A1794" s="15" t="str">
        <f>IF(C1794="","",COUNTA($C$3:C1794))</f>
        <v/>
      </c>
      <c r="B1794" s="15" t="str">
        <f t="shared" si="234"/>
        <v/>
      </c>
      <c r="M1794" s="9"/>
      <c r="N1794" s="9"/>
      <c r="P1794" s="14"/>
      <c r="Q1794" s="85"/>
      <c r="R1794" s="89"/>
      <c r="U1794" s="11" t="str">
        <f t="shared" ref="U1794:U1857" si="235">IF(S1794="","",(S1794-T1794))</f>
        <v/>
      </c>
      <c r="V1794" s="12" t="str">
        <f t="shared" ref="V1794:V1857" si="236">IF(U1794="","",(U1794/T1794))</f>
        <v/>
      </c>
      <c r="Z1794" s="15"/>
    </row>
    <row r="1795" spans="1:26" x14ac:dyDescent="0.25">
      <c r="A1795" s="15" t="str">
        <f>IF(C1795="","",COUNTA($C$3:C1795))</f>
        <v/>
      </c>
      <c r="B1795" s="15" t="str">
        <f t="shared" ref="B1795:B1858" si="237">IF(C1795="","",TEXT(C1795,"mmmm"))</f>
        <v/>
      </c>
      <c r="M1795" s="9"/>
      <c r="N1795" s="9"/>
      <c r="P1795" s="14"/>
      <c r="Q1795" s="85"/>
      <c r="R1795" s="89"/>
      <c r="U1795" s="11" t="str">
        <f t="shared" si="235"/>
        <v/>
      </c>
      <c r="V1795" s="12" t="str">
        <f t="shared" si="236"/>
        <v/>
      </c>
      <c r="Z1795" s="15"/>
    </row>
    <row r="1796" spans="1:26" x14ac:dyDescent="0.25">
      <c r="A1796" s="15" t="str">
        <f>IF(C1796="","",COUNTA($C$3:C1796))</f>
        <v/>
      </c>
      <c r="B1796" s="15" t="str">
        <f t="shared" si="237"/>
        <v/>
      </c>
      <c r="M1796" s="9"/>
      <c r="N1796" s="9"/>
      <c r="P1796" s="14"/>
      <c r="Q1796" s="85"/>
      <c r="R1796" s="89"/>
      <c r="U1796" s="11" t="str">
        <f t="shared" si="235"/>
        <v/>
      </c>
      <c r="V1796" s="12" t="str">
        <f t="shared" si="236"/>
        <v/>
      </c>
      <c r="Z1796" s="15"/>
    </row>
    <row r="1797" spans="1:26" x14ac:dyDescent="0.25">
      <c r="A1797" s="15" t="str">
        <f>IF(C1797="","",COUNTA($C$3:C1797))</f>
        <v/>
      </c>
      <c r="B1797" s="15" t="str">
        <f t="shared" si="237"/>
        <v/>
      </c>
      <c r="M1797" s="9"/>
      <c r="N1797" s="9"/>
      <c r="P1797" s="14"/>
      <c r="Q1797" s="85"/>
      <c r="R1797" s="89"/>
      <c r="U1797" s="11" t="str">
        <f t="shared" si="235"/>
        <v/>
      </c>
      <c r="V1797" s="12" t="str">
        <f t="shared" si="236"/>
        <v/>
      </c>
      <c r="Z1797" s="15"/>
    </row>
    <row r="1798" spans="1:26" x14ac:dyDescent="0.25">
      <c r="A1798" s="15" t="str">
        <f>IF(C1798="","",COUNTA($C$3:C1798))</f>
        <v/>
      </c>
      <c r="B1798" s="15" t="str">
        <f t="shared" si="237"/>
        <v/>
      </c>
      <c r="M1798" s="9"/>
      <c r="N1798" s="9"/>
      <c r="P1798" s="14"/>
      <c r="Q1798" s="85"/>
      <c r="R1798" s="89"/>
      <c r="U1798" s="11" t="str">
        <f t="shared" si="235"/>
        <v/>
      </c>
      <c r="V1798" s="12" t="str">
        <f t="shared" si="236"/>
        <v/>
      </c>
      <c r="Z1798" s="15"/>
    </row>
    <row r="1799" spans="1:26" x14ac:dyDescent="0.25">
      <c r="A1799" s="15" t="str">
        <f>IF(C1799="","",COUNTA($C$3:C1799))</f>
        <v/>
      </c>
      <c r="B1799" s="15" t="str">
        <f t="shared" si="237"/>
        <v/>
      </c>
      <c r="M1799" s="9"/>
      <c r="N1799" s="9"/>
      <c r="P1799" s="14"/>
      <c r="Q1799" s="85"/>
      <c r="R1799" s="89"/>
      <c r="U1799" s="11" t="str">
        <f t="shared" si="235"/>
        <v/>
      </c>
      <c r="V1799" s="12" t="str">
        <f t="shared" si="236"/>
        <v/>
      </c>
      <c r="Z1799" s="15"/>
    </row>
    <row r="1800" spans="1:26" x14ac:dyDescent="0.25">
      <c r="A1800" s="15" t="str">
        <f>IF(C1800="","",COUNTA($C$3:C1800))</f>
        <v/>
      </c>
      <c r="B1800" s="15" t="str">
        <f t="shared" si="237"/>
        <v/>
      </c>
      <c r="M1800" s="9"/>
      <c r="N1800" s="9"/>
      <c r="P1800" s="14"/>
      <c r="Q1800" s="85"/>
      <c r="R1800" s="89"/>
      <c r="U1800" s="11" t="str">
        <f t="shared" si="235"/>
        <v/>
      </c>
      <c r="V1800" s="12" t="str">
        <f t="shared" si="236"/>
        <v/>
      </c>
      <c r="Z1800" s="15"/>
    </row>
    <row r="1801" spans="1:26" x14ac:dyDescent="0.25">
      <c r="A1801" s="15" t="str">
        <f>IF(C1801="","",COUNTA($C$3:C1801))</f>
        <v/>
      </c>
      <c r="B1801" s="15" t="str">
        <f t="shared" si="237"/>
        <v/>
      </c>
      <c r="M1801" s="9"/>
      <c r="N1801" s="9"/>
      <c r="P1801" s="14"/>
      <c r="Q1801" s="85"/>
      <c r="R1801" s="89"/>
      <c r="U1801" s="11" t="str">
        <f t="shared" si="235"/>
        <v/>
      </c>
      <c r="V1801" s="12" t="str">
        <f t="shared" si="236"/>
        <v/>
      </c>
      <c r="Z1801" s="15"/>
    </row>
    <row r="1802" spans="1:26" x14ac:dyDescent="0.25">
      <c r="A1802" s="15" t="str">
        <f>IF(C1802="","",COUNTA($C$3:C1802))</f>
        <v/>
      </c>
      <c r="B1802" s="15" t="str">
        <f t="shared" si="237"/>
        <v/>
      </c>
      <c r="M1802" s="9"/>
      <c r="N1802" s="9"/>
      <c r="P1802" s="14"/>
      <c r="Q1802" s="85"/>
      <c r="R1802" s="89"/>
      <c r="U1802" s="11" t="str">
        <f t="shared" si="235"/>
        <v/>
      </c>
      <c r="V1802" s="12" t="str">
        <f t="shared" si="236"/>
        <v/>
      </c>
      <c r="Z1802" s="15"/>
    </row>
    <row r="1803" spans="1:26" x14ac:dyDescent="0.25">
      <c r="A1803" s="15" t="str">
        <f>IF(C1803="","",COUNTA($C$3:C1803))</f>
        <v/>
      </c>
      <c r="B1803" s="15" t="str">
        <f t="shared" si="237"/>
        <v/>
      </c>
      <c r="M1803" s="9"/>
      <c r="N1803" s="9"/>
      <c r="P1803" s="14"/>
      <c r="Q1803" s="85"/>
      <c r="R1803" s="89"/>
      <c r="U1803" s="11" t="str">
        <f t="shared" si="235"/>
        <v/>
      </c>
      <c r="V1803" s="12" t="str">
        <f t="shared" si="236"/>
        <v/>
      </c>
      <c r="Z1803" s="15"/>
    </row>
    <row r="1804" spans="1:26" x14ac:dyDescent="0.25">
      <c r="A1804" s="15" t="str">
        <f>IF(C1804="","",COUNTA($C$3:C1804))</f>
        <v/>
      </c>
      <c r="B1804" s="15" t="str">
        <f t="shared" si="237"/>
        <v/>
      </c>
      <c r="M1804" s="9"/>
      <c r="N1804" s="9"/>
      <c r="P1804" s="14"/>
      <c r="Q1804" s="85"/>
      <c r="R1804" s="89"/>
      <c r="U1804" s="11" t="str">
        <f t="shared" si="235"/>
        <v/>
      </c>
      <c r="V1804" s="12" t="str">
        <f t="shared" si="236"/>
        <v/>
      </c>
      <c r="Z1804" s="15"/>
    </row>
    <row r="1805" spans="1:26" x14ac:dyDescent="0.25">
      <c r="A1805" s="15" t="str">
        <f>IF(C1805="","",COUNTA($C$3:C1805))</f>
        <v/>
      </c>
      <c r="B1805" s="15" t="str">
        <f t="shared" si="237"/>
        <v/>
      </c>
      <c r="M1805" s="9"/>
      <c r="N1805" s="9"/>
      <c r="P1805" s="14"/>
      <c r="Q1805" s="85"/>
      <c r="R1805" s="89"/>
      <c r="U1805" s="11" t="str">
        <f t="shared" si="235"/>
        <v/>
      </c>
      <c r="V1805" s="12" t="str">
        <f t="shared" si="236"/>
        <v/>
      </c>
      <c r="Z1805" s="15"/>
    </row>
    <row r="1806" spans="1:26" x14ac:dyDescent="0.25">
      <c r="A1806" s="15" t="str">
        <f>IF(C1806="","",COUNTA($C$3:C1806))</f>
        <v/>
      </c>
      <c r="B1806" s="15" t="str">
        <f t="shared" si="237"/>
        <v/>
      </c>
      <c r="M1806" s="9"/>
      <c r="N1806" s="9"/>
      <c r="P1806" s="14"/>
      <c r="Q1806" s="85"/>
      <c r="R1806" s="89"/>
      <c r="U1806" s="11" t="str">
        <f t="shared" si="235"/>
        <v/>
      </c>
      <c r="V1806" s="12" t="str">
        <f t="shared" si="236"/>
        <v/>
      </c>
      <c r="Z1806" s="15"/>
    </row>
    <row r="1807" spans="1:26" x14ac:dyDescent="0.25">
      <c r="A1807" s="15" t="str">
        <f>IF(C1807="","",COUNTA($C$3:C1807))</f>
        <v/>
      </c>
      <c r="B1807" s="15" t="str">
        <f t="shared" si="237"/>
        <v/>
      </c>
      <c r="M1807" s="9"/>
      <c r="N1807" s="9"/>
      <c r="P1807" s="14"/>
      <c r="Q1807" s="85"/>
      <c r="R1807" s="89"/>
      <c r="U1807" s="11" t="str">
        <f t="shared" si="235"/>
        <v/>
      </c>
      <c r="V1807" s="12" t="str">
        <f t="shared" si="236"/>
        <v/>
      </c>
      <c r="Z1807" s="15"/>
    </row>
    <row r="1808" spans="1:26" x14ac:dyDescent="0.25">
      <c r="A1808" s="15" t="str">
        <f>IF(C1808="","",COUNTA($C$3:C1808))</f>
        <v/>
      </c>
      <c r="B1808" s="15" t="str">
        <f t="shared" si="237"/>
        <v/>
      </c>
      <c r="M1808" s="9"/>
      <c r="N1808" s="9"/>
      <c r="P1808" s="14"/>
      <c r="Q1808" s="85"/>
      <c r="R1808" s="89"/>
      <c r="U1808" s="11" t="str">
        <f t="shared" si="235"/>
        <v/>
      </c>
      <c r="V1808" s="12" t="str">
        <f t="shared" si="236"/>
        <v/>
      </c>
      <c r="Z1808" s="15"/>
    </row>
    <row r="1809" spans="1:26" x14ac:dyDescent="0.25">
      <c r="A1809" s="15" t="str">
        <f>IF(C1809="","",COUNTA($C$3:C1809))</f>
        <v/>
      </c>
      <c r="B1809" s="15" t="str">
        <f t="shared" si="237"/>
        <v/>
      </c>
      <c r="M1809" s="9"/>
      <c r="N1809" s="9"/>
      <c r="P1809" s="14"/>
      <c r="Q1809" s="85"/>
      <c r="R1809" s="89"/>
      <c r="U1809" s="11" t="str">
        <f t="shared" si="235"/>
        <v/>
      </c>
      <c r="V1809" s="12" t="str">
        <f t="shared" si="236"/>
        <v/>
      </c>
      <c r="Z1809" s="15"/>
    </row>
    <row r="1810" spans="1:26" x14ac:dyDescent="0.25">
      <c r="A1810" s="15" t="str">
        <f>IF(C1810="","",COUNTA($C$3:C1810))</f>
        <v/>
      </c>
      <c r="B1810" s="15" t="str">
        <f t="shared" si="237"/>
        <v/>
      </c>
      <c r="M1810" s="9"/>
      <c r="N1810" s="9"/>
      <c r="P1810" s="14"/>
      <c r="Q1810" s="85"/>
      <c r="R1810" s="89"/>
      <c r="U1810" s="11" t="str">
        <f t="shared" si="235"/>
        <v/>
      </c>
      <c r="V1810" s="12" t="str">
        <f t="shared" si="236"/>
        <v/>
      </c>
      <c r="Z1810" s="15"/>
    </row>
    <row r="1811" spans="1:26" x14ac:dyDescent="0.25">
      <c r="A1811" s="15" t="str">
        <f>IF(C1811="","",COUNTA($C$3:C1811))</f>
        <v/>
      </c>
      <c r="B1811" s="15" t="str">
        <f t="shared" si="237"/>
        <v/>
      </c>
      <c r="M1811" s="9"/>
      <c r="N1811" s="9"/>
      <c r="P1811" s="14"/>
      <c r="Q1811" s="85"/>
      <c r="R1811" s="89"/>
      <c r="U1811" s="11" t="str">
        <f t="shared" si="235"/>
        <v/>
      </c>
      <c r="V1811" s="12" t="str">
        <f t="shared" si="236"/>
        <v/>
      </c>
      <c r="Z1811" s="15"/>
    </row>
    <row r="1812" spans="1:26" x14ac:dyDescent="0.25">
      <c r="A1812" s="15" t="str">
        <f>IF(C1812="","",COUNTA($C$3:C1812))</f>
        <v/>
      </c>
      <c r="B1812" s="15" t="str">
        <f t="shared" si="237"/>
        <v/>
      </c>
      <c r="M1812" s="9"/>
      <c r="N1812" s="9"/>
      <c r="P1812" s="14"/>
      <c r="Q1812" s="85"/>
      <c r="R1812" s="89"/>
      <c r="U1812" s="11" t="str">
        <f t="shared" si="235"/>
        <v/>
      </c>
      <c r="V1812" s="12" t="str">
        <f t="shared" si="236"/>
        <v/>
      </c>
      <c r="Z1812" s="15"/>
    </row>
    <row r="1813" spans="1:26" x14ac:dyDescent="0.25">
      <c r="A1813" s="15" t="str">
        <f>IF(C1813="","",COUNTA($C$3:C1813))</f>
        <v/>
      </c>
      <c r="B1813" s="15" t="str">
        <f t="shared" si="237"/>
        <v/>
      </c>
      <c r="M1813" s="9"/>
      <c r="N1813" s="9"/>
      <c r="P1813" s="14"/>
      <c r="Q1813" s="85"/>
      <c r="R1813" s="89"/>
      <c r="U1813" s="11" t="str">
        <f t="shared" si="235"/>
        <v/>
      </c>
      <c r="V1813" s="12" t="str">
        <f t="shared" si="236"/>
        <v/>
      </c>
      <c r="Z1813" s="15"/>
    </row>
    <row r="1814" spans="1:26" x14ac:dyDescent="0.25">
      <c r="A1814" s="15" t="str">
        <f>IF(C1814="","",COUNTA($C$3:C1814))</f>
        <v/>
      </c>
      <c r="B1814" s="15" t="str">
        <f t="shared" si="237"/>
        <v/>
      </c>
      <c r="M1814" s="9"/>
      <c r="N1814" s="9"/>
      <c r="P1814" s="14"/>
      <c r="Q1814" s="85"/>
      <c r="R1814" s="89"/>
      <c r="U1814" s="11" t="str">
        <f t="shared" si="235"/>
        <v/>
      </c>
      <c r="V1814" s="12" t="str">
        <f t="shared" si="236"/>
        <v/>
      </c>
      <c r="Z1814" s="15"/>
    </row>
    <row r="1815" spans="1:26" x14ac:dyDescent="0.25">
      <c r="A1815" s="15" t="str">
        <f>IF(C1815="","",COUNTA($C$3:C1815))</f>
        <v/>
      </c>
      <c r="B1815" s="15" t="str">
        <f t="shared" si="237"/>
        <v/>
      </c>
      <c r="M1815" s="9"/>
      <c r="N1815" s="9"/>
      <c r="P1815" s="14"/>
      <c r="Q1815" s="85"/>
      <c r="R1815" s="89"/>
      <c r="U1815" s="11" t="str">
        <f t="shared" si="235"/>
        <v/>
      </c>
      <c r="V1815" s="12" t="str">
        <f t="shared" si="236"/>
        <v/>
      </c>
      <c r="Z1815" s="15"/>
    </row>
    <row r="1816" spans="1:26" x14ac:dyDescent="0.25">
      <c r="A1816" s="15" t="str">
        <f>IF(C1816="","",COUNTA($C$3:C1816))</f>
        <v/>
      </c>
      <c r="B1816" s="15" t="str">
        <f t="shared" si="237"/>
        <v/>
      </c>
      <c r="M1816" s="9"/>
      <c r="N1816" s="9"/>
      <c r="P1816" s="14"/>
      <c r="Q1816" s="85"/>
      <c r="R1816" s="89"/>
      <c r="U1816" s="11" t="str">
        <f t="shared" si="235"/>
        <v/>
      </c>
      <c r="V1816" s="12" t="str">
        <f t="shared" si="236"/>
        <v/>
      </c>
      <c r="Z1816" s="15"/>
    </row>
    <row r="1817" spans="1:26" x14ac:dyDescent="0.25">
      <c r="A1817" s="15" t="str">
        <f>IF(C1817="","",COUNTA($C$3:C1817))</f>
        <v/>
      </c>
      <c r="B1817" s="15" t="str">
        <f t="shared" si="237"/>
        <v/>
      </c>
      <c r="M1817" s="9"/>
      <c r="N1817" s="9"/>
      <c r="P1817" s="14"/>
      <c r="Q1817" s="85"/>
      <c r="R1817" s="89"/>
      <c r="U1817" s="11" t="str">
        <f t="shared" si="235"/>
        <v/>
      </c>
      <c r="V1817" s="12" t="str">
        <f t="shared" si="236"/>
        <v/>
      </c>
      <c r="Z1817" s="15"/>
    </row>
    <row r="1818" spans="1:26" x14ac:dyDescent="0.25">
      <c r="A1818" s="15" t="str">
        <f>IF(C1818="","",COUNTA($C$3:C1818))</f>
        <v/>
      </c>
      <c r="B1818" s="15" t="str">
        <f t="shared" si="237"/>
        <v/>
      </c>
      <c r="M1818" s="9"/>
      <c r="N1818" s="9"/>
      <c r="P1818" s="14"/>
      <c r="Q1818" s="85"/>
      <c r="R1818" s="89"/>
      <c r="U1818" s="11" t="str">
        <f t="shared" si="235"/>
        <v/>
      </c>
      <c r="V1818" s="12" t="str">
        <f t="shared" si="236"/>
        <v/>
      </c>
      <c r="Z1818" s="15"/>
    </row>
    <row r="1819" spans="1:26" x14ac:dyDescent="0.25">
      <c r="A1819" s="15" t="str">
        <f>IF(C1819="","",COUNTA($C$3:C1819))</f>
        <v/>
      </c>
      <c r="B1819" s="15" t="str">
        <f t="shared" si="237"/>
        <v/>
      </c>
      <c r="M1819" s="9"/>
      <c r="N1819" s="9"/>
      <c r="P1819" s="14"/>
      <c r="Q1819" s="85"/>
      <c r="R1819" s="89"/>
      <c r="U1819" s="11" t="str">
        <f t="shared" si="235"/>
        <v/>
      </c>
      <c r="V1819" s="12" t="str">
        <f t="shared" si="236"/>
        <v/>
      </c>
      <c r="Z1819" s="15"/>
    </row>
    <row r="1820" spans="1:26" x14ac:dyDescent="0.25">
      <c r="A1820" s="15" t="str">
        <f>IF(C1820="","",COUNTA($C$3:C1820))</f>
        <v/>
      </c>
      <c r="B1820" s="15" t="str">
        <f t="shared" si="237"/>
        <v/>
      </c>
      <c r="M1820" s="9"/>
      <c r="N1820" s="9"/>
      <c r="P1820" s="14"/>
      <c r="Q1820" s="85"/>
      <c r="R1820" s="89"/>
      <c r="U1820" s="11" t="str">
        <f t="shared" si="235"/>
        <v/>
      </c>
      <c r="V1820" s="12" t="str">
        <f t="shared" si="236"/>
        <v/>
      </c>
      <c r="Z1820" s="15"/>
    </row>
    <row r="1821" spans="1:26" x14ac:dyDescent="0.25">
      <c r="A1821" s="15" t="str">
        <f>IF(C1821="","",COUNTA($C$3:C1821))</f>
        <v/>
      </c>
      <c r="B1821" s="15" t="str">
        <f t="shared" si="237"/>
        <v/>
      </c>
      <c r="M1821" s="9"/>
      <c r="N1821" s="9"/>
      <c r="P1821" s="14"/>
      <c r="Q1821" s="85"/>
      <c r="R1821" s="89"/>
      <c r="U1821" s="11" t="str">
        <f t="shared" si="235"/>
        <v/>
      </c>
      <c r="V1821" s="12" t="str">
        <f t="shared" si="236"/>
        <v/>
      </c>
      <c r="Z1821" s="15"/>
    </row>
    <row r="1822" spans="1:26" x14ac:dyDescent="0.25">
      <c r="A1822" s="15" t="str">
        <f>IF(C1822="","",COUNTA($C$3:C1822))</f>
        <v/>
      </c>
      <c r="B1822" s="15" t="str">
        <f t="shared" si="237"/>
        <v/>
      </c>
      <c r="M1822" s="9"/>
      <c r="N1822" s="9"/>
      <c r="P1822" s="14"/>
      <c r="Q1822" s="85"/>
      <c r="R1822" s="89"/>
      <c r="U1822" s="11" t="str">
        <f t="shared" si="235"/>
        <v/>
      </c>
      <c r="V1822" s="12" t="str">
        <f t="shared" si="236"/>
        <v/>
      </c>
      <c r="Z1822" s="15"/>
    </row>
    <row r="1823" spans="1:26" x14ac:dyDescent="0.25">
      <c r="A1823" s="15" t="str">
        <f>IF(C1823="","",COUNTA($C$3:C1823))</f>
        <v/>
      </c>
      <c r="B1823" s="15" t="str">
        <f t="shared" si="237"/>
        <v/>
      </c>
      <c r="M1823" s="9"/>
      <c r="N1823" s="9"/>
      <c r="P1823" s="14"/>
      <c r="Q1823" s="85"/>
      <c r="R1823" s="89"/>
      <c r="U1823" s="11" t="str">
        <f t="shared" si="235"/>
        <v/>
      </c>
      <c r="V1823" s="12" t="str">
        <f t="shared" si="236"/>
        <v/>
      </c>
      <c r="Z1823" s="15"/>
    </row>
    <row r="1824" spans="1:26" x14ac:dyDescent="0.25">
      <c r="A1824" s="15" t="str">
        <f>IF(C1824="","",COUNTA($C$3:C1824))</f>
        <v/>
      </c>
      <c r="B1824" s="15" t="str">
        <f t="shared" si="237"/>
        <v/>
      </c>
      <c r="M1824" s="9"/>
      <c r="N1824" s="9"/>
      <c r="P1824" s="14"/>
      <c r="Q1824" s="85"/>
      <c r="R1824" s="89"/>
      <c r="U1824" s="11" t="str">
        <f t="shared" si="235"/>
        <v/>
      </c>
      <c r="V1824" s="12" t="str">
        <f t="shared" si="236"/>
        <v/>
      </c>
      <c r="Z1824" s="15"/>
    </row>
    <row r="1825" spans="1:26" x14ac:dyDescent="0.25">
      <c r="A1825" s="15" t="str">
        <f>IF(C1825="","",COUNTA($C$3:C1825))</f>
        <v/>
      </c>
      <c r="B1825" s="15" t="str">
        <f t="shared" si="237"/>
        <v/>
      </c>
      <c r="M1825" s="9"/>
      <c r="N1825" s="9"/>
      <c r="P1825" s="14"/>
      <c r="Q1825" s="85"/>
      <c r="R1825" s="89"/>
      <c r="U1825" s="11" t="str">
        <f t="shared" si="235"/>
        <v/>
      </c>
      <c r="V1825" s="12" t="str">
        <f t="shared" si="236"/>
        <v/>
      </c>
      <c r="Z1825" s="15"/>
    </row>
    <row r="1826" spans="1:26" x14ac:dyDescent="0.25">
      <c r="A1826" s="15" t="str">
        <f>IF(C1826="","",COUNTA($C$3:C1826))</f>
        <v/>
      </c>
      <c r="B1826" s="15" t="str">
        <f t="shared" si="237"/>
        <v/>
      </c>
      <c r="M1826" s="9"/>
      <c r="N1826" s="9"/>
      <c r="P1826" s="14"/>
      <c r="Q1826" s="85"/>
      <c r="R1826" s="89"/>
      <c r="U1826" s="11" t="str">
        <f t="shared" si="235"/>
        <v/>
      </c>
      <c r="V1826" s="12" t="str">
        <f t="shared" si="236"/>
        <v/>
      </c>
      <c r="Z1826" s="15"/>
    </row>
    <row r="1827" spans="1:26" x14ac:dyDescent="0.25">
      <c r="A1827" s="15" t="str">
        <f>IF(C1827="","",COUNTA($C$3:C1827))</f>
        <v/>
      </c>
      <c r="B1827" s="15" t="str">
        <f t="shared" si="237"/>
        <v/>
      </c>
      <c r="M1827" s="9"/>
      <c r="N1827" s="9"/>
      <c r="P1827" s="14"/>
      <c r="Q1827" s="85"/>
      <c r="R1827" s="89"/>
      <c r="U1827" s="11" t="str">
        <f t="shared" si="235"/>
        <v/>
      </c>
      <c r="V1827" s="12" t="str">
        <f t="shared" si="236"/>
        <v/>
      </c>
      <c r="Z1827" s="15"/>
    </row>
    <row r="1828" spans="1:26" x14ac:dyDescent="0.25">
      <c r="A1828" s="15" t="str">
        <f>IF(C1828="","",COUNTA($C$3:C1828))</f>
        <v/>
      </c>
      <c r="B1828" s="15" t="str">
        <f t="shared" si="237"/>
        <v/>
      </c>
      <c r="M1828" s="9"/>
      <c r="N1828" s="9"/>
      <c r="P1828" s="14"/>
      <c r="Q1828" s="85"/>
      <c r="R1828" s="89"/>
      <c r="U1828" s="11" t="str">
        <f t="shared" si="235"/>
        <v/>
      </c>
      <c r="V1828" s="12" t="str">
        <f t="shared" si="236"/>
        <v/>
      </c>
      <c r="Z1828" s="15"/>
    </row>
    <row r="1829" spans="1:26" x14ac:dyDescent="0.25">
      <c r="A1829" s="15" t="str">
        <f>IF(C1829="","",COUNTA($C$3:C1829))</f>
        <v/>
      </c>
      <c r="B1829" s="15" t="str">
        <f t="shared" si="237"/>
        <v/>
      </c>
      <c r="M1829" s="9"/>
      <c r="N1829" s="9"/>
      <c r="P1829" s="14"/>
      <c r="Q1829" s="85"/>
      <c r="R1829" s="89"/>
      <c r="U1829" s="11" t="str">
        <f t="shared" si="235"/>
        <v/>
      </c>
      <c r="V1829" s="12" t="str">
        <f t="shared" si="236"/>
        <v/>
      </c>
      <c r="Z1829" s="15"/>
    </row>
    <row r="1830" spans="1:26" x14ac:dyDescent="0.25">
      <c r="A1830" s="15" t="str">
        <f>IF(C1830="","",COUNTA($C$3:C1830))</f>
        <v/>
      </c>
      <c r="B1830" s="15" t="str">
        <f t="shared" si="237"/>
        <v/>
      </c>
      <c r="M1830" s="9"/>
      <c r="N1830" s="9"/>
      <c r="P1830" s="14"/>
      <c r="Q1830" s="85"/>
      <c r="R1830" s="89"/>
      <c r="U1830" s="11" t="str">
        <f t="shared" si="235"/>
        <v/>
      </c>
      <c r="V1830" s="12" t="str">
        <f t="shared" si="236"/>
        <v/>
      </c>
      <c r="Z1830" s="15"/>
    </row>
    <row r="1831" spans="1:26" x14ac:dyDescent="0.25">
      <c r="A1831" s="15" t="str">
        <f>IF(C1831="","",COUNTA($C$3:C1831))</f>
        <v/>
      </c>
      <c r="B1831" s="15" t="str">
        <f t="shared" si="237"/>
        <v/>
      </c>
      <c r="M1831" s="9"/>
      <c r="N1831" s="9"/>
      <c r="P1831" s="14"/>
      <c r="Q1831" s="85"/>
      <c r="R1831" s="89"/>
      <c r="U1831" s="11" t="str">
        <f t="shared" si="235"/>
        <v/>
      </c>
      <c r="V1831" s="12" t="str">
        <f t="shared" si="236"/>
        <v/>
      </c>
      <c r="Z1831" s="15"/>
    </row>
    <row r="1832" spans="1:26" x14ac:dyDescent="0.25">
      <c r="A1832" s="15" t="str">
        <f>IF(C1832="","",COUNTA($C$3:C1832))</f>
        <v/>
      </c>
      <c r="B1832" s="15" t="str">
        <f t="shared" si="237"/>
        <v/>
      </c>
      <c r="M1832" s="9"/>
      <c r="N1832" s="9"/>
      <c r="P1832" s="14"/>
      <c r="Q1832" s="85"/>
      <c r="R1832" s="89"/>
      <c r="U1832" s="11" t="str">
        <f t="shared" si="235"/>
        <v/>
      </c>
      <c r="V1832" s="12" t="str">
        <f t="shared" si="236"/>
        <v/>
      </c>
      <c r="Z1832" s="15"/>
    </row>
    <row r="1833" spans="1:26" x14ac:dyDescent="0.25">
      <c r="A1833" s="15" t="str">
        <f>IF(C1833="","",COUNTA($C$3:C1833))</f>
        <v/>
      </c>
      <c r="B1833" s="15" t="str">
        <f t="shared" si="237"/>
        <v/>
      </c>
      <c r="M1833" s="9"/>
      <c r="N1833" s="9"/>
      <c r="P1833" s="14"/>
      <c r="Q1833" s="85"/>
      <c r="R1833" s="89"/>
      <c r="U1833" s="11" t="str">
        <f t="shared" si="235"/>
        <v/>
      </c>
      <c r="V1833" s="12" t="str">
        <f t="shared" si="236"/>
        <v/>
      </c>
      <c r="Z1833" s="15"/>
    </row>
    <row r="1834" spans="1:26" x14ac:dyDescent="0.25">
      <c r="A1834" s="15" t="str">
        <f>IF(C1834="","",COUNTA($C$3:C1834))</f>
        <v/>
      </c>
      <c r="B1834" s="15" t="str">
        <f t="shared" si="237"/>
        <v/>
      </c>
      <c r="M1834" s="9"/>
      <c r="N1834" s="9"/>
      <c r="P1834" s="14"/>
      <c r="Q1834" s="85"/>
      <c r="R1834" s="89"/>
      <c r="U1834" s="11" t="str">
        <f t="shared" si="235"/>
        <v/>
      </c>
      <c r="V1834" s="12" t="str">
        <f t="shared" si="236"/>
        <v/>
      </c>
      <c r="Z1834" s="15"/>
    </row>
    <row r="1835" spans="1:26" x14ac:dyDescent="0.25">
      <c r="A1835" s="15" t="str">
        <f>IF(C1835="","",COUNTA($C$3:C1835))</f>
        <v/>
      </c>
      <c r="B1835" s="15" t="str">
        <f t="shared" si="237"/>
        <v/>
      </c>
      <c r="M1835" s="9"/>
      <c r="N1835" s="9"/>
      <c r="P1835" s="14"/>
      <c r="Q1835" s="85"/>
      <c r="R1835" s="89"/>
      <c r="U1835" s="11" t="str">
        <f t="shared" si="235"/>
        <v/>
      </c>
      <c r="V1835" s="12" t="str">
        <f t="shared" si="236"/>
        <v/>
      </c>
      <c r="Z1835" s="15"/>
    </row>
    <row r="1836" spans="1:26" x14ac:dyDescent="0.25">
      <c r="A1836" s="15" t="str">
        <f>IF(C1836="","",COUNTA($C$3:C1836))</f>
        <v/>
      </c>
      <c r="B1836" s="15" t="str">
        <f t="shared" si="237"/>
        <v/>
      </c>
      <c r="M1836" s="9"/>
      <c r="N1836" s="9"/>
      <c r="P1836" s="14"/>
      <c r="Q1836" s="85"/>
      <c r="R1836" s="89"/>
      <c r="U1836" s="11" t="str">
        <f t="shared" si="235"/>
        <v/>
      </c>
      <c r="V1836" s="12" t="str">
        <f t="shared" si="236"/>
        <v/>
      </c>
      <c r="Z1836" s="15"/>
    </row>
    <row r="1837" spans="1:26" x14ac:dyDescent="0.25">
      <c r="A1837" s="15" t="str">
        <f>IF(C1837="","",COUNTA($C$3:C1837))</f>
        <v/>
      </c>
      <c r="B1837" s="15" t="str">
        <f t="shared" si="237"/>
        <v/>
      </c>
      <c r="M1837" s="9"/>
      <c r="N1837" s="9"/>
      <c r="P1837" s="14"/>
      <c r="Q1837" s="85"/>
      <c r="R1837" s="89"/>
      <c r="U1837" s="11" t="str">
        <f t="shared" si="235"/>
        <v/>
      </c>
      <c r="V1837" s="12" t="str">
        <f t="shared" si="236"/>
        <v/>
      </c>
      <c r="Z1837" s="15"/>
    </row>
    <row r="1838" spans="1:26" x14ac:dyDescent="0.25">
      <c r="A1838" s="15" t="str">
        <f>IF(C1838="","",COUNTA($C$3:C1838))</f>
        <v/>
      </c>
      <c r="B1838" s="15" t="str">
        <f t="shared" si="237"/>
        <v/>
      </c>
      <c r="M1838" s="9"/>
      <c r="N1838" s="9"/>
      <c r="P1838" s="14"/>
      <c r="Q1838" s="85"/>
      <c r="R1838" s="89"/>
      <c r="U1838" s="11" t="str">
        <f t="shared" si="235"/>
        <v/>
      </c>
      <c r="V1838" s="12" t="str">
        <f t="shared" si="236"/>
        <v/>
      </c>
      <c r="Z1838" s="15"/>
    </row>
    <row r="1839" spans="1:26" x14ac:dyDescent="0.25">
      <c r="A1839" s="15" t="str">
        <f>IF(C1839="","",COUNTA($C$3:C1839))</f>
        <v/>
      </c>
      <c r="B1839" s="15" t="str">
        <f t="shared" si="237"/>
        <v/>
      </c>
      <c r="M1839" s="9"/>
      <c r="N1839" s="9"/>
      <c r="P1839" s="14"/>
      <c r="Q1839" s="85"/>
      <c r="R1839" s="89"/>
      <c r="U1839" s="11" t="str">
        <f t="shared" si="235"/>
        <v/>
      </c>
      <c r="V1839" s="12" t="str">
        <f t="shared" si="236"/>
        <v/>
      </c>
      <c r="Z1839" s="15"/>
    </row>
    <row r="1840" spans="1:26" x14ac:dyDescent="0.25">
      <c r="A1840" s="15" t="str">
        <f>IF(C1840="","",COUNTA($C$3:C1840))</f>
        <v/>
      </c>
      <c r="B1840" s="15" t="str">
        <f t="shared" si="237"/>
        <v/>
      </c>
      <c r="M1840" s="9"/>
      <c r="N1840" s="9"/>
      <c r="P1840" s="14"/>
      <c r="Q1840" s="85"/>
      <c r="R1840" s="89"/>
      <c r="U1840" s="11" t="str">
        <f t="shared" si="235"/>
        <v/>
      </c>
      <c r="V1840" s="12" t="str">
        <f t="shared" si="236"/>
        <v/>
      </c>
      <c r="Z1840" s="15"/>
    </row>
    <row r="1841" spans="1:26" x14ac:dyDescent="0.25">
      <c r="A1841" s="15" t="str">
        <f>IF(C1841="","",COUNTA($C$3:C1841))</f>
        <v/>
      </c>
      <c r="B1841" s="15" t="str">
        <f t="shared" si="237"/>
        <v/>
      </c>
      <c r="M1841" s="9"/>
      <c r="N1841" s="9"/>
      <c r="P1841" s="14"/>
      <c r="Q1841" s="85"/>
      <c r="R1841" s="89"/>
      <c r="U1841" s="11" t="str">
        <f t="shared" si="235"/>
        <v/>
      </c>
      <c r="V1841" s="12" t="str">
        <f t="shared" si="236"/>
        <v/>
      </c>
      <c r="Z1841" s="15"/>
    </row>
    <row r="1842" spans="1:26" x14ac:dyDescent="0.25">
      <c r="A1842" s="15" t="str">
        <f>IF(C1842="","",COUNTA($C$3:C1842))</f>
        <v/>
      </c>
      <c r="B1842" s="15" t="str">
        <f t="shared" si="237"/>
        <v/>
      </c>
      <c r="M1842" s="9"/>
      <c r="N1842" s="9"/>
      <c r="P1842" s="14"/>
      <c r="Q1842" s="85"/>
      <c r="R1842" s="89"/>
      <c r="U1842" s="11" t="str">
        <f t="shared" si="235"/>
        <v/>
      </c>
      <c r="V1842" s="12" t="str">
        <f t="shared" si="236"/>
        <v/>
      </c>
      <c r="Z1842" s="15"/>
    </row>
    <row r="1843" spans="1:26" x14ac:dyDescent="0.25">
      <c r="A1843" s="15" t="str">
        <f>IF(C1843="","",COUNTA($C$3:C1843))</f>
        <v/>
      </c>
      <c r="B1843" s="15" t="str">
        <f t="shared" si="237"/>
        <v/>
      </c>
      <c r="M1843" s="9"/>
      <c r="N1843" s="9"/>
      <c r="P1843" s="14"/>
      <c r="Q1843" s="85"/>
      <c r="R1843" s="89"/>
      <c r="U1843" s="11" t="str">
        <f t="shared" si="235"/>
        <v/>
      </c>
      <c r="V1843" s="12" t="str">
        <f t="shared" si="236"/>
        <v/>
      </c>
      <c r="Z1843" s="15"/>
    </row>
    <row r="1844" spans="1:26" x14ac:dyDescent="0.25">
      <c r="A1844" s="15" t="str">
        <f>IF(C1844="","",COUNTA($C$3:C1844))</f>
        <v/>
      </c>
      <c r="B1844" s="15" t="str">
        <f t="shared" si="237"/>
        <v/>
      </c>
      <c r="M1844" s="9"/>
      <c r="N1844" s="9"/>
      <c r="P1844" s="14"/>
      <c r="Q1844" s="85"/>
      <c r="R1844" s="89"/>
      <c r="U1844" s="11" t="str">
        <f t="shared" si="235"/>
        <v/>
      </c>
      <c r="V1844" s="12" t="str">
        <f t="shared" si="236"/>
        <v/>
      </c>
      <c r="Z1844" s="15"/>
    </row>
    <row r="1845" spans="1:26" x14ac:dyDescent="0.25">
      <c r="A1845" s="15" t="str">
        <f>IF(C1845="","",COUNTA($C$3:C1845))</f>
        <v/>
      </c>
      <c r="B1845" s="15" t="str">
        <f t="shared" si="237"/>
        <v/>
      </c>
      <c r="M1845" s="9"/>
      <c r="N1845" s="9"/>
      <c r="P1845" s="14"/>
      <c r="Q1845" s="85"/>
      <c r="R1845" s="89"/>
      <c r="U1845" s="11" t="str">
        <f t="shared" si="235"/>
        <v/>
      </c>
      <c r="V1845" s="12" t="str">
        <f t="shared" si="236"/>
        <v/>
      </c>
      <c r="Z1845" s="15"/>
    </row>
    <row r="1846" spans="1:26" x14ac:dyDescent="0.25">
      <c r="A1846" s="15" t="str">
        <f>IF(C1846="","",COUNTA($C$3:C1846))</f>
        <v/>
      </c>
      <c r="B1846" s="15" t="str">
        <f t="shared" si="237"/>
        <v/>
      </c>
      <c r="M1846" s="9"/>
      <c r="N1846" s="9"/>
      <c r="P1846" s="14"/>
      <c r="Q1846" s="85"/>
      <c r="R1846" s="89"/>
      <c r="U1846" s="11" t="str">
        <f t="shared" si="235"/>
        <v/>
      </c>
      <c r="V1846" s="12" t="str">
        <f t="shared" si="236"/>
        <v/>
      </c>
      <c r="Z1846" s="15"/>
    </row>
    <row r="1847" spans="1:26" x14ac:dyDescent="0.25">
      <c r="A1847" s="15" t="str">
        <f>IF(C1847="","",COUNTA($C$3:C1847))</f>
        <v/>
      </c>
      <c r="B1847" s="15" t="str">
        <f t="shared" si="237"/>
        <v/>
      </c>
      <c r="M1847" s="9"/>
      <c r="N1847" s="9"/>
      <c r="P1847" s="14"/>
      <c r="Q1847" s="85"/>
      <c r="R1847" s="89"/>
      <c r="U1847" s="11" t="str">
        <f t="shared" si="235"/>
        <v/>
      </c>
      <c r="V1847" s="12" t="str">
        <f t="shared" si="236"/>
        <v/>
      </c>
      <c r="Z1847" s="15"/>
    </row>
    <row r="1848" spans="1:26" x14ac:dyDescent="0.25">
      <c r="A1848" s="15" t="str">
        <f>IF(C1848="","",COUNTA($C$3:C1848))</f>
        <v/>
      </c>
      <c r="B1848" s="15" t="str">
        <f t="shared" si="237"/>
        <v/>
      </c>
      <c r="M1848" s="9"/>
      <c r="N1848" s="9"/>
      <c r="P1848" s="14"/>
      <c r="Q1848" s="85"/>
      <c r="R1848" s="89"/>
      <c r="U1848" s="11" t="str">
        <f t="shared" si="235"/>
        <v/>
      </c>
      <c r="V1848" s="12" t="str">
        <f t="shared" si="236"/>
        <v/>
      </c>
      <c r="Z1848" s="15"/>
    </row>
    <row r="1849" spans="1:26" x14ac:dyDescent="0.25">
      <c r="A1849" s="15" t="str">
        <f>IF(C1849="","",COUNTA($C$3:C1849))</f>
        <v/>
      </c>
      <c r="B1849" s="15" t="str">
        <f t="shared" si="237"/>
        <v/>
      </c>
      <c r="M1849" s="9"/>
      <c r="N1849" s="9"/>
      <c r="P1849" s="14"/>
      <c r="Q1849" s="85"/>
      <c r="R1849" s="89"/>
      <c r="U1849" s="11" t="str">
        <f t="shared" si="235"/>
        <v/>
      </c>
      <c r="V1849" s="12" t="str">
        <f t="shared" si="236"/>
        <v/>
      </c>
      <c r="Z1849" s="15"/>
    </row>
    <row r="1850" spans="1:26" x14ac:dyDescent="0.25">
      <c r="A1850" s="15" t="str">
        <f>IF(C1850="","",COUNTA($C$3:C1850))</f>
        <v/>
      </c>
      <c r="B1850" s="15" t="str">
        <f t="shared" si="237"/>
        <v/>
      </c>
      <c r="M1850" s="9"/>
      <c r="N1850" s="9"/>
      <c r="P1850" s="14"/>
      <c r="Q1850" s="85"/>
      <c r="R1850" s="89"/>
      <c r="U1850" s="11" t="str">
        <f t="shared" si="235"/>
        <v/>
      </c>
      <c r="V1850" s="12" t="str">
        <f t="shared" si="236"/>
        <v/>
      </c>
      <c r="Z1850" s="15"/>
    </row>
    <row r="1851" spans="1:26" x14ac:dyDescent="0.25">
      <c r="A1851" s="15" t="str">
        <f>IF(C1851="","",COUNTA($C$3:C1851))</f>
        <v/>
      </c>
      <c r="B1851" s="15" t="str">
        <f t="shared" si="237"/>
        <v/>
      </c>
      <c r="M1851" s="9"/>
      <c r="N1851" s="9"/>
      <c r="P1851" s="14"/>
      <c r="Q1851" s="85"/>
      <c r="R1851" s="89"/>
      <c r="U1851" s="11" t="str">
        <f t="shared" si="235"/>
        <v/>
      </c>
      <c r="V1851" s="12" t="str">
        <f t="shared" si="236"/>
        <v/>
      </c>
      <c r="Z1851" s="15"/>
    </row>
    <row r="1852" spans="1:26" x14ac:dyDescent="0.25">
      <c r="A1852" s="15" t="str">
        <f>IF(C1852="","",COUNTA($C$3:C1852))</f>
        <v/>
      </c>
      <c r="B1852" s="15" t="str">
        <f t="shared" si="237"/>
        <v/>
      </c>
      <c r="M1852" s="9"/>
      <c r="N1852" s="9"/>
      <c r="P1852" s="14"/>
      <c r="Q1852" s="85"/>
      <c r="R1852" s="89"/>
      <c r="U1852" s="11" t="str">
        <f t="shared" si="235"/>
        <v/>
      </c>
      <c r="V1852" s="12" t="str">
        <f t="shared" si="236"/>
        <v/>
      </c>
      <c r="Z1852" s="15"/>
    </row>
    <row r="1853" spans="1:26" x14ac:dyDescent="0.25">
      <c r="A1853" s="15" t="str">
        <f>IF(C1853="","",COUNTA($C$3:C1853))</f>
        <v/>
      </c>
      <c r="B1853" s="15" t="str">
        <f t="shared" si="237"/>
        <v/>
      </c>
      <c r="M1853" s="9"/>
      <c r="N1853" s="9"/>
      <c r="P1853" s="14"/>
      <c r="Q1853" s="85"/>
      <c r="R1853" s="89"/>
      <c r="U1853" s="11" t="str">
        <f t="shared" si="235"/>
        <v/>
      </c>
      <c r="V1853" s="12" t="str">
        <f t="shared" si="236"/>
        <v/>
      </c>
      <c r="Z1853" s="15"/>
    </row>
    <row r="1854" spans="1:26" x14ac:dyDescent="0.25">
      <c r="A1854" s="15" t="str">
        <f>IF(C1854="","",COUNTA($C$3:C1854))</f>
        <v/>
      </c>
      <c r="B1854" s="15" t="str">
        <f t="shared" si="237"/>
        <v/>
      </c>
      <c r="M1854" s="9"/>
      <c r="N1854" s="9"/>
      <c r="P1854" s="14"/>
      <c r="Q1854" s="85"/>
      <c r="R1854" s="89"/>
      <c r="U1854" s="11" t="str">
        <f t="shared" si="235"/>
        <v/>
      </c>
      <c r="V1854" s="12" t="str">
        <f t="shared" si="236"/>
        <v/>
      </c>
      <c r="Z1854" s="15"/>
    </row>
    <row r="1855" spans="1:26" x14ac:dyDescent="0.25">
      <c r="A1855" s="15" t="str">
        <f>IF(C1855="","",COUNTA($C$3:C1855))</f>
        <v/>
      </c>
      <c r="B1855" s="15" t="str">
        <f t="shared" si="237"/>
        <v/>
      </c>
      <c r="M1855" s="9"/>
      <c r="N1855" s="9"/>
      <c r="P1855" s="14"/>
      <c r="Q1855" s="85"/>
      <c r="R1855" s="89"/>
      <c r="U1855" s="11" t="str">
        <f t="shared" si="235"/>
        <v/>
      </c>
      <c r="V1855" s="12" t="str">
        <f t="shared" si="236"/>
        <v/>
      </c>
      <c r="Z1855" s="15"/>
    </row>
    <row r="1856" spans="1:26" x14ac:dyDescent="0.25">
      <c r="A1856" s="15" t="str">
        <f>IF(C1856="","",COUNTA($C$3:C1856))</f>
        <v/>
      </c>
      <c r="B1856" s="15" t="str">
        <f t="shared" si="237"/>
        <v/>
      </c>
      <c r="M1856" s="9"/>
      <c r="N1856" s="9"/>
      <c r="P1856" s="14"/>
      <c r="Q1856" s="85"/>
      <c r="R1856" s="89"/>
      <c r="U1856" s="11" t="str">
        <f t="shared" si="235"/>
        <v/>
      </c>
      <c r="V1856" s="12" t="str">
        <f t="shared" si="236"/>
        <v/>
      </c>
      <c r="Z1856" s="15"/>
    </row>
    <row r="1857" spans="1:26" x14ac:dyDescent="0.25">
      <c r="A1857" s="15" t="str">
        <f>IF(C1857="","",COUNTA($C$3:C1857))</f>
        <v/>
      </c>
      <c r="B1857" s="15" t="str">
        <f t="shared" si="237"/>
        <v/>
      </c>
      <c r="M1857" s="9"/>
      <c r="N1857" s="9"/>
      <c r="P1857" s="14"/>
      <c r="Q1857" s="85"/>
      <c r="R1857" s="89"/>
      <c r="U1857" s="11" t="str">
        <f t="shared" si="235"/>
        <v/>
      </c>
      <c r="V1857" s="12" t="str">
        <f t="shared" si="236"/>
        <v/>
      </c>
      <c r="Z1857" s="15"/>
    </row>
    <row r="1858" spans="1:26" x14ac:dyDescent="0.25">
      <c r="A1858" s="15" t="str">
        <f>IF(C1858="","",COUNTA($C$3:C1858))</f>
        <v/>
      </c>
      <c r="B1858" s="15" t="str">
        <f t="shared" si="237"/>
        <v/>
      </c>
      <c r="M1858" s="9"/>
      <c r="N1858" s="9"/>
      <c r="P1858" s="14"/>
      <c r="Q1858" s="85"/>
      <c r="R1858" s="89"/>
      <c r="U1858" s="11" t="str">
        <f t="shared" ref="U1858:U1921" si="238">IF(S1858="","",(S1858-T1858))</f>
        <v/>
      </c>
      <c r="V1858" s="12" t="str">
        <f t="shared" ref="V1858:V1921" si="239">IF(U1858="","",(U1858/T1858))</f>
        <v/>
      </c>
      <c r="Z1858" s="15"/>
    </row>
    <row r="1859" spans="1:26" x14ac:dyDescent="0.25">
      <c r="A1859" s="15" t="str">
        <f>IF(C1859="","",COUNTA($C$3:C1859))</f>
        <v/>
      </c>
      <c r="B1859" s="15" t="str">
        <f t="shared" ref="B1859:B1922" si="240">IF(C1859="","",TEXT(C1859,"mmmm"))</f>
        <v/>
      </c>
      <c r="M1859" s="9"/>
      <c r="N1859" s="9"/>
      <c r="P1859" s="14"/>
      <c r="Q1859" s="85"/>
      <c r="R1859" s="89"/>
      <c r="U1859" s="11" t="str">
        <f t="shared" si="238"/>
        <v/>
      </c>
      <c r="V1859" s="12" t="str">
        <f t="shared" si="239"/>
        <v/>
      </c>
      <c r="Z1859" s="15"/>
    </row>
    <row r="1860" spans="1:26" x14ac:dyDescent="0.25">
      <c r="A1860" s="15" t="str">
        <f>IF(C1860="","",COUNTA($C$3:C1860))</f>
        <v/>
      </c>
      <c r="B1860" s="15" t="str">
        <f t="shared" si="240"/>
        <v/>
      </c>
      <c r="M1860" s="9"/>
      <c r="N1860" s="9"/>
      <c r="P1860" s="14"/>
      <c r="Q1860" s="85"/>
      <c r="R1860" s="89"/>
      <c r="U1860" s="11" t="str">
        <f t="shared" si="238"/>
        <v/>
      </c>
      <c r="V1860" s="12" t="str">
        <f t="shared" si="239"/>
        <v/>
      </c>
      <c r="Z1860" s="15"/>
    </row>
    <row r="1861" spans="1:26" x14ac:dyDescent="0.25">
      <c r="A1861" s="15" t="str">
        <f>IF(C1861="","",COUNTA($C$3:C1861))</f>
        <v/>
      </c>
      <c r="B1861" s="15" t="str">
        <f t="shared" si="240"/>
        <v/>
      </c>
      <c r="M1861" s="9"/>
      <c r="N1861" s="9"/>
      <c r="P1861" s="14"/>
      <c r="Q1861" s="85"/>
      <c r="R1861" s="89"/>
      <c r="U1861" s="11" t="str">
        <f t="shared" si="238"/>
        <v/>
      </c>
      <c r="V1861" s="12" t="str">
        <f t="shared" si="239"/>
        <v/>
      </c>
      <c r="Z1861" s="15"/>
    </row>
    <row r="1862" spans="1:26" x14ac:dyDescent="0.25">
      <c r="A1862" s="15" t="str">
        <f>IF(C1862="","",COUNTA($C$3:C1862))</f>
        <v/>
      </c>
      <c r="B1862" s="15" t="str">
        <f t="shared" si="240"/>
        <v/>
      </c>
      <c r="M1862" s="9"/>
      <c r="N1862" s="9"/>
      <c r="P1862" s="14"/>
      <c r="Q1862" s="85"/>
      <c r="R1862" s="89"/>
      <c r="U1862" s="11" t="str">
        <f t="shared" si="238"/>
        <v/>
      </c>
      <c r="V1862" s="12" t="str">
        <f t="shared" si="239"/>
        <v/>
      </c>
      <c r="Z1862" s="15"/>
    </row>
    <row r="1863" spans="1:26" x14ac:dyDescent="0.25">
      <c r="A1863" s="15" t="str">
        <f>IF(C1863="","",COUNTA($C$3:C1863))</f>
        <v/>
      </c>
      <c r="B1863" s="15" t="str">
        <f t="shared" si="240"/>
        <v/>
      </c>
      <c r="M1863" s="9"/>
      <c r="N1863" s="9"/>
      <c r="P1863" s="14"/>
      <c r="Q1863" s="85"/>
      <c r="R1863" s="89"/>
      <c r="U1863" s="11" t="str">
        <f t="shared" si="238"/>
        <v/>
      </c>
      <c r="V1863" s="12" t="str">
        <f t="shared" si="239"/>
        <v/>
      </c>
      <c r="Z1863" s="15"/>
    </row>
    <row r="1864" spans="1:26" x14ac:dyDescent="0.25">
      <c r="A1864" s="15" t="str">
        <f>IF(C1864="","",COUNTA($C$3:C1864))</f>
        <v/>
      </c>
      <c r="B1864" s="15" t="str">
        <f t="shared" si="240"/>
        <v/>
      </c>
      <c r="M1864" s="9"/>
      <c r="N1864" s="9"/>
      <c r="P1864" s="14"/>
      <c r="Q1864" s="85"/>
      <c r="R1864" s="89"/>
      <c r="U1864" s="11" t="str">
        <f t="shared" si="238"/>
        <v/>
      </c>
      <c r="V1864" s="12" t="str">
        <f t="shared" si="239"/>
        <v/>
      </c>
      <c r="Z1864" s="15"/>
    </row>
    <row r="1865" spans="1:26" x14ac:dyDescent="0.25">
      <c r="A1865" s="15" t="str">
        <f>IF(C1865="","",COUNTA($C$3:C1865))</f>
        <v/>
      </c>
      <c r="B1865" s="15" t="str">
        <f t="shared" si="240"/>
        <v/>
      </c>
      <c r="M1865" s="9"/>
      <c r="N1865" s="9"/>
      <c r="P1865" s="14"/>
      <c r="Q1865" s="85"/>
      <c r="R1865" s="89"/>
      <c r="U1865" s="11" t="str">
        <f t="shared" si="238"/>
        <v/>
      </c>
      <c r="V1865" s="12" t="str">
        <f t="shared" si="239"/>
        <v/>
      </c>
      <c r="Z1865" s="15"/>
    </row>
    <row r="1866" spans="1:26" x14ac:dyDescent="0.25">
      <c r="A1866" s="15" t="str">
        <f>IF(C1866="","",COUNTA($C$3:C1866))</f>
        <v/>
      </c>
      <c r="B1866" s="15" t="str">
        <f t="shared" si="240"/>
        <v/>
      </c>
      <c r="M1866" s="9"/>
      <c r="N1866" s="9"/>
      <c r="P1866" s="14"/>
      <c r="Q1866" s="85"/>
      <c r="R1866" s="89"/>
      <c r="U1866" s="11" t="str">
        <f t="shared" si="238"/>
        <v/>
      </c>
      <c r="V1866" s="12" t="str">
        <f t="shared" si="239"/>
        <v/>
      </c>
      <c r="Z1866" s="15"/>
    </row>
    <row r="1867" spans="1:26" x14ac:dyDescent="0.25">
      <c r="A1867" s="15" t="str">
        <f>IF(C1867="","",COUNTA($C$3:C1867))</f>
        <v/>
      </c>
      <c r="B1867" s="15" t="str">
        <f t="shared" si="240"/>
        <v/>
      </c>
      <c r="M1867" s="9"/>
      <c r="N1867" s="9"/>
      <c r="P1867" s="14"/>
      <c r="Q1867" s="85"/>
      <c r="R1867" s="89"/>
      <c r="U1867" s="11" t="str">
        <f t="shared" si="238"/>
        <v/>
      </c>
      <c r="V1867" s="12" t="str">
        <f t="shared" si="239"/>
        <v/>
      </c>
      <c r="Z1867" s="15"/>
    </row>
    <row r="1868" spans="1:26" x14ac:dyDescent="0.25">
      <c r="A1868" s="15" t="str">
        <f>IF(C1868="","",COUNTA($C$3:C1868))</f>
        <v/>
      </c>
      <c r="B1868" s="15" t="str">
        <f t="shared" si="240"/>
        <v/>
      </c>
      <c r="M1868" s="9"/>
      <c r="N1868" s="9"/>
      <c r="P1868" s="14"/>
      <c r="Q1868" s="85"/>
      <c r="R1868" s="89"/>
      <c r="U1868" s="11" t="str">
        <f t="shared" si="238"/>
        <v/>
      </c>
      <c r="V1868" s="12" t="str">
        <f t="shared" si="239"/>
        <v/>
      </c>
      <c r="Z1868" s="15"/>
    </row>
    <row r="1869" spans="1:26" x14ac:dyDescent="0.25">
      <c r="A1869" s="15" t="str">
        <f>IF(C1869="","",COUNTA($C$3:C1869))</f>
        <v/>
      </c>
      <c r="B1869" s="15" t="str">
        <f t="shared" si="240"/>
        <v/>
      </c>
      <c r="M1869" s="9"/>
      <c r="N1869" s="9"/>
      <c r="P1869" s="14"/>
      <c r="Q1869" s="85"/>
      <c r="R1869" s="89"/>
      <c r="U1869" s="11" t="str">
        <f t="shared" si="238"/>
        <v/>
      </c>
      <c r="V1869" s="12" t="str">
        <f t="shared" si="239"/>
        <v/>
      </c>
      <c r="Z1869" s="15"/>
    </row>
    <row r="1870" spans="1:26" x14ac:dyDescent="0.25">
      <c r="A1870" s="15" t="str">
        <f>IF(C1870="","",COUNTA($C$3:C1870))</f>
        <v/>
      </c>
      <c r="B1870" s="15" t="str">
        <f t="shared" si="240"/>
        <v/>
      </c>
      <c r="M1870" s="9"/>
      <c r="N1870" s="9"/>
      <c r="P1870" s="14"/>
      <c r="Q1870" s="85"/>
      <c r="R1870" s="89"/>
      <c r="U1870" s="11" t="str">
        <f t="shared" si="238"/>
        <v/>
      </c>
      <c r="V1870" s="12" t="str">
        <f t="shared" si="239"/>
        <v/>
      </c>
      <c r="Z1870" s="15"/>
    </row>
    <row r="1871" spans="1:26" x14ac:dyDescent="0.25">
      <c r="A1871" s="15" t="str">
        <f>IF(C1871="","",COUNTA($C$3:C1871))</f>
        <v/>
      </c>
      <c r="B1871" s="15" t="str">
        <f t="shared" si="240"/>
        <v/>
      </c>
      <c r="M1871" s="9"/>
      <c r="N1871" s="9"/>
      <c r="P1871" s="14"/>
      <c r="Q1871" s="85"/>
      <c r="R1871" s="89"/>
      <c r="U1871" s="11" t="str">
        <f t="shared" si="238"/>
        <v/>
      </c>
      <c r="V1871" s="12" t="str">
        <f t="shared" si="239"/>
        <v/>
      </c>
      <c r="Z1871" s="15"/>
    </row>
    <row r="1872" spans="1:26" x14ac:dyDescent="0.25">
      <c r="A1872" s="15" t="str">
        <f>IF(C1872="","",COUNTA($C$3:C1872))</f>
        <v/>
      </c>
      <c r="B1872" s="15" t="str">
        <f t="shared" si="240"/>
        <v/>
      </c>
      <c r="M1872" s="9"/>
      <c r="N1872" s="9"/>
      <c r="P1872" s="14"/>
      <c r="Q1872" s="85"/>
      <c r="R1872" s="89"/>
      <c r="U1872" s="11" t="str">
        <f t="shared" si="238"/>
        <v/>
      </c>
      <c r="V1872" s="12" t="str">
        <f t="shared" si="239"/>
        <v/>
      </c>
      <c r="Z1872" s="15"/>
    </row>
    <row r="1873" spans="1:26" x14ac:dyDescent="0.25">
      <c r="A1873" s="15" t="str">
        <f>IF(C1873="","",COUNTA($C$3:C1873))</f>
        <v/>
      </c>
      <c r="B1873" s="15" t="str">
        <f t="shared" si="240"/>
        <v/>
      </c>
      <c r="M1873" s="9"/>
      <c r="N1873" s="9"/>
      <c r="P1873" s="14"/>
      <c r="Q1873" s="85"/>
      <c r="R1873" s="89"/>
      <c r="U1873" s="11" t="str">
        <f t="shared" si="238"/>
        <v/>
      </c>
      <c r="V1873" s="12" t="str">
        <f t="shared" si="239"/>
        <v/>
      </c>
      <c r="Z1873" s="15"/>
    </row>
    <row r="1874" spans="1:26" x14ac:dyDescent="0.25">
      <c r="A1874" s="15" t="str">
        <f>IF(C1874="","",COUNTA($C$3:C1874))</f>
        <v/>
      </c>
      <c r="B1874" s="15" t="str">
        <f t="shared" si="240"/>
        <v/>
      </c>
      <c r="M1874" s="9"/>
      <c r="N1874" s="9"/>
      <c r="P1874" s="14"/>
      <c r="Q1874" s="85"/>
      <c r="R1874" s="89"/>
      <c r="U1874" s="11" t="str">
        <f t="shared" si="238"/>
        <v/>
      </c>
      <c r="V1874" s="12" t="str">
        <f t="shared" si="239"/>
        <v/>
      </c>
      <c r="Z1874" s="15"/>
    </row>
    <row r="1875" spans="1:26" x14ac:dyDescent="0.25">
      <c r="A1875" s="15" t="str">
        <f>IF(C1875="","",COUNTA($C$3:C1875))</f>
        <v/>
      </c>
      <c r="B1875" s="15" t="str">
        <f t="shared" si="240"/>
        <v/>
      </c>
      <c r="M1875" s="9"/>
      <c r="N1875" s="9"/>
      <c r="P1875" s="14"/>
      <c r="Q1875" s="85"/>
      <c r="R1875" s="89"/>
      <c r="U1875" s="11" t="str">
        <f t="shared" si="238"/>
        <v/>
      </c>
      <c r="V1875" s="12" t="str">
        <f t="shared" si="239"/>
        <v/>
      </c>
      <c r="Z1875" s="15"/>
    </row>
    <row r="1876" spans="1:26" x14ac:dyDescent="0.25">
      <c r="A1876" s="15" t="str">
        <f>IF(C1876="","",COUNTA($C$3:C1876))</f>
        <v/>
      </c>
      <c r="B1876" s="15" t="str">
        <f t="shared" si="240"/>
        <v/>
      </c>
      <c r="M1876" s="9"/>
      <c r="N1876" s="9"/>
      <c r="P1876" s="14"/>
      <c r="Q1876" s="85"/>
      <c r="R1876" s="89"/>
      <c r="U1876" s="11" t="str">
        <f t="shared" si="238"/>
        <v/>
      </c>
      <c r="V1876" s="12" t="str">
        <f t="shared" si="239"/>
        <v/>
      </c>
      <c r="Z1876" s="15"/>
    </row>
    <row r="1877" spans="1:26" x14ac:dyDescent="0.25">
      <c r="A1877" s="15" t="str">
        <f>IF(C1877="","",COUNTA($C$3:C1877))</f>
        <v/>
      </c>
      <c r="B1877" s="15" t="str">
        <f t="shared" si="240"/>
        <v/>
      </c>
      <c r="M1877" s="9"/>
      <c r="N1877" s="9"/>
      <c r="P1877" s="14"/>
      <c r="Q1877" s="85"/>
      <c r="R1877" s="89"/>
      <c r="U1877" s="11" t="str">
        <f t="shared" si="238"/>
        <v/>
      </c>
      <c r="V1877" s="12" t="str">
        <f t="shared" si="239"/>
        <v/>
      </c>
      <c r="Z1877" s="15"/>
    </row>
    <row r="1878" spans="1:26" x14ac:dyDescent="0.25">
      <c r="A1878" s="15" t="str">
        <f>IF(C1878="","",COUNTA($C$3:C1878))</f>
        <v/>
      </c>
      <c r="B1878" s="15" t="str">
        <f t="shared" si="240"/>
        <v/>
      </c>
      <c r="M1878" s="9"/>
      <c r="N1878" s="9"/>
      <c r="P1878" s="14"/>
      <c r="Q1878" s="85"/>
      <c r="R1878" s="89"/>
      <c r="U1878" s="11" t="str">
        <f t="shared" si="238"/>
        <v/>
      </c>
      <c r="V1878" s="12" t="str">
        <f t="shared" si="239"/>
        <v/>
      </c>
      <c r="Z1878" s="15"/>
    </row>
    <row r="1879" spans="1:26" x14ac:dyDescent="0.25">
      <c r="A1879" s="15" t="str">
        <f>IF(C1879="","",COUNTA($C$3:C1879))</f>
        <v/>
      </c>
      <c r="B1879" s="15" t="str">
        <f t="shared" si="240"/>
        <v/>
      </c>
      <c r="M1879" s="9"/>
      <c r="N1879" s="9"/>
      <c r="P1879" s="14"/>
      <c r="Q1879" s="85"/>
      <c r="R1879" s="89"/>
      <c r="U1879" s="11" t="str">
        <f t="shared" si="238"/>
        <v/>
      </c>
      <c r="V1879" s="12" t="str">
        <f t="shared" si="239"/>
        <v/>
      </c>
      <c r="Z1879" s="15"/>
    </row>
    <row r="1880" spans="1:26" x14ac:dyDescent="0.25">
      <c r="A1880" s="15" t="str">
        <f>IF(C1880="","",COUNTA($C$3:C1880))</f>
        <v/>
      </c>
      <c r="B1880" s="15" t="str">
        <f t="shared" si="240"/>
        <v/>
      </c>
      <c r="M1880" s="9"/>
      <c r="N1880" s="9"/>
      <c r="P1880" s="14"/>
      <c r="Q1880" s="85"/>
      <c r="R1880" s="89"/>
      <c r="U1880" s="11" t="str">
        <f t="shared" si="238"/>
        <v/>
      </c>
      <c r="V1880" s="12" t="str">
        <f t="shared" si="239"/>
        <v/>
      </c>
      <c r="Z1880" s="15"/>
    </row>
    <row r="1881" spans="1:26" x14ac:dyDescent="0.25">
      <c r="A1881" s="15" t="str">
        <f>IF(C1881="","",COUNTA($C$3:C1881))</f>
        <v/>
      </c>
      <c r="B1881" s="15" t="str">
        <f t="shared" si="240"/>
        <v/>
      </c>
      <c r="M1881" s="9"/>
      <c r="N1881" s="9"/>
      <c r="P1881" s="14"/>
      <c r="Q1881" s="85"/>
      <c r="R1881" s="89"/>
      <c r="U1881" s="11" t="str">
        <f t="shared" si="238"/>
        <v/>
      </c>
      <c r="V1881" s="12" t="str">
        <f t="shared" si="239"/>
        <v/>
      </c>
      <c r="Z1881" s="15"/>
    </row>
    <row r="1882" spans="1:26" x14ac:dyDescent="0.25">
      <c r="A1882" s="15" t="str">
        <f>IF(C1882="","",COUNTA($C$3:C1882))</f>
        <v/>
      </c>
      <c r="B1882" s="15" t="str">
        <f t="shared" si="240"/>
        <v/>
      </c>
      <c r="M1882" s="9"/>
      <c r="N1882" s="9"/>
      <c r="P1882" s="14"/>
      <c r="Q1882" s="85"/>
      <c r="R1882" s="89"/>
      <c r="U1882" s="11" t="str">
        <f t="shared" si="238"/>
        <v/>
      </c>
      <c r="V1882" s="12" t="str">
        <f t="shared" si="239"/>
        <v/>
      </c>
      <c r="Z1882" s="15"/>
    </row>
    <row r="1883" spans="1:26" x14ac:dyDescent="0.25">
      <c r="A1883" s="15" t="str">
        <f>IF(C1883="","",COUNTA($C$3:C1883))</f>
        <v/>
      </c>
      <c r="B1883" s="15" t="str">
        <f t="shared" si="240"/>
        <v/>
      </c>
      <c r="M1883" s="9"/>
      <c r="N1883" s="9"/>
      <c r="P1883" s="14"/>
      <c r="Q1883" s="85"/>
      <c r="R1883" s="89"/>
      <c r="U1883" s="11" t="str">
        <f t="shared" si="238"/>
        <v/>
      </c>
      <c r="V1883" s="12" t="str">
        <f t="shared" si="239"/>
        <v/>
      </c>
      <c r="Z1883" s="15"/>
    </row>
    <row r="1884" spans="1:26" x14ac:dyDescent="0.25">
      <c r="A1884" s="15" t="str">
        <f>IF(C1884="","",COUNTA($C$3:C1884))</f>
        <v/>
      </c>
      <c r="B1884" s="15" t="str">
        <f t="shared" si="240"/>
        <v/>
      </c>
      <c r="M1884" s="9"/>
      <c r="N1884" s="9"/>
      <c r="P1884" s="14"/>
      <c r="Q1884" s="85"/>
      <c r="R1884" s="89"/>
      <c r="U1884" s="11" t="str">
        <f t="shared" si="238"/>
        <v/>
      </c>
      <c r="V1884" s="12" t="str">
        <f t="shared" si="239"/>
        <v/>
      </c>
      <c r="Z1884" s="15"/>
    </row>
    <row r="1885" spans="1:26" x14ac:dyDescent="0.25">
      <c r="A1885" s="15" t="str">
        <f>IF(C1885="","",COUNTA($C$3:C1885))</f>
        <v/>
      </c>
      <c r="B1885" s="15" t="str">
        <f t="shared" si="240"/>
        <v/>
      </c>
      <c r="M1885" s="9"/>
      <c r="N1885" s="9"/>
      <c r="P1885" s="14"/>
      <c r="Q1885" s="85"/>
      <c r="R1885" s="89"/>
      <c r="U1885" s="11" t="str">
        <f t="shared" si="238"/>
        <v/>
      </c>
      <c r="V1885" s="12" t="str">
        <f t="shared" si="239"/>
        <v/>
      </c>
      <c r="Z1885" s="15"/>
    </row>
    <row r="1886" spans="1:26" x14ac:dyDescent="0.25">
      <c r="A1886" s="15" t="str">
        <f>IF(C1886="","",COUNTA($C$3:C1886))</f>
        <v/>
      </c>
      <c r="B1886" s="15" t="str">
        <f t="shared" si="240"/>
        <v/>
      </c>
      <c r="M1886" s="9"/>
      <c r="N1886" s="9"/>
      <c r="P1886" s="14"/>
      <c r="Q1886" s="85"/>
      <c r="R1886" s="89"/>
      <c r="U1886" s="11" t="str">
        <f t="shared" si="238"/>
        <v/>
      </c>
      <c r="V1886" s="12" t="str">
        <f t="shared" si="239"/>
        <v/>
      </c>
      <c r="Z1886" s="15"/>
    </row>
    <row r="1887" spans="1:26" x14ac:dyDescent="0.25">
      <c r="A1887" s="15" t="str">
        <f>IF(C1887="","",COUNTA($C$3:C1887))</f>
        <v/>
      </c>
      <c r="B1887" s="15" t="str">
        <f t="shared" si="240"/>
        <v/>
      </c>
      <c r="M1887" s="9"/>
      <c r="N1887" s="9"/>
      <c r="P1887" s="14"/>
      <c r="Q1887" s="85"/>
      <c r="R1887" s="89"/>
      <c r="U1887" s="11" t="str">
        <f t="shared" si="238"/>
        <v/>
      </c>
      <c r="V1887" s="12" t="str">
        <f t="shared" si="239"/>
        <v/>
      </c>
      <c r="Z1887" s="15"/>
    </row>
    <row r="1888" spans="1:26" x14ac:dyDescent="0.25">
      <c r="A1888" s="15" t="str">
        <f>IF(C1888="","",COUNTA($C$3:C1888))</f>
        <v/>
      </c>
      <c r="B1888" s="15" t="str">
        <f t="shared" si="240"/>
        <v/>
      </c>
      <c r="M1888" s="9"/>
      <c r="N1888" s="9"/>
      <c r="P1888" s="14"/>
      <c r="Q1888" s="85"/>
      <c r="R1888" s="89"/>
      <c r="U1888" s="11" t="str">
        <f t="shared" si="238"/>
        <v/>
      </c>
      <c r="V1888" s="12" t="str">
        <f t="shared" si="239"/>
        <v/>
      </c>
      <c r="Z1888" s="15"/>
    </row>
    <row r="1889" spans="1:26" x14ac:dyDescent="0.25">
      <c r="A1889" s="15" t="str">
        <f>IF(C1889="","",COUNTA($C$3:C1889))</f>
        <v/>
      </c>
      <c r="B1889" s="15" t="str">
        <f t="shared" si="240"/>
        <v/>
      </c>
      <c r="M1889" s="9"/>
      <c r="N1889" s="9"/>
      <c r="P1889" s="14"/>
      <c r="Q1889" s="85"/>
      <c r="R1889" s="89"/>
      <c r="U1889" s="11" t="str">
        <f t="shared" si="238"/>
        <v/>
      </c>
      <c r="V1889" s="12" t="str">
        <f t="shared" si="239"/>
        <v/>
      </c>
      <c r="Z1889" s="15"/>
    </row>
    <row r="1890" spans="1:26" x14ac:dyDescent="0.25">
      <c r="A1890" s="15" t="str">
        <f>IF(C1890="","",COUNTA($C$3:C1890))</f>
        <v/>
      </c>
      <c r="B1890" s="15" t="str">
        <f t="shared" si="240"/>
        <v/>
      </c>
      <c r="M1890" s="9"/>
      <c r="N1890" s="9"/>
      <c r="P1890" s="14"/>
      <c r="Q1890" s="85"/>
      <c r="R1890" s="89"/>
      <c r="U1890" s="11" t="str">
        <f t="shared" si="238"/>
        <v/>
      </c>
      <c r="V1890" s="12" t="str">
        <f t="shared" si="239"/>
        <v/>
      </c>
      <c r="Z1890" s="15"/>
    </row>
    <row r="1891" spans="1:26" x14ac:dyDescent="0.25">
      <c r="A1891" s="15" t="str">
        <f>IF(C1891="","",COUNTA($C$3:C1891))</f>
        <v/>
      </c>
      <c r="B1891" s="15" t="str">
        <f t="shared" si="240"/>
        <v/>
      </c>
      <c r="M1891" s="9"/>
      <c r="N1891" s="9"/>
      <c r="P1891" s="14"/>
      <c r="Q1891" s="85"/>
      <c r="R1891" s="89"/>
      <c r="U1891" s="11" t="str">
        <f t="shared" si="238"/>
        <v/>
      </c>
      <c r="V1891" s="12" t="str">
        <f t="shared" si="239"/>
        <v/>
      </c>
      <c r="Z1891" s="15"/>
    </row>
    <row r="1892" spans="1:26" x14ac:dyDescent="0.25">
      <c r="A1892" s="15" t="str">
        <f>IF(C1892="","",COUNTA($C$3:C1892))</f>
        <v/>
      </c>
      <c r="B1892" s="15" t="str">
        <f t="shared" si="240"/>
        <v/>
      </c>
      <c r="M1892" s="9"/>
      <c r="N1892" s="9"/>
      <c r="P1892" s="14"/>
      <c r="Q1892" s="85"/>
      <c r="R1892" s="89"/>
      <c r="U1892" s="11" t="str">
        <f t="shared" si="238"/>
        <v/>
      </c>
      <c r="V1892" s="12" t="str">
        <f t="shared" si="239"/>
        <v/>
      </c>
      <c r="Z1892" s="15"/>
    </row>
    <row r="1893" spans="1:26" x14ac:dyDescent="0.25">
      <c r="A1893" s="15" t="str">
        <f>IF(C1893="","",COUNTA($C$3:C1893))</f>
        <v/>
      </c>
      <c r="B1893" s="15" t="str">
        <f t="shared" si="240"/>
        <v/>
      </c>
      <c r="M1893" s="9"/>
      <c r="N1893" s="9"/>
      <c r="P1893" s="14"/>
      <c r="Q1893" s="85"/>
      <c r="R1893" s="89"/>
      <c r="U1893" s="11" t="str">
        <f t="shared" si="238"/>
        <v/>
      </c>
      <c r="V1893" s="12" t="str">
        <f t="shared" si="239"/>
        <v/>
      </c>
      <c r="Z1893" s="15"/>
    </row>
    <row r="1894" spans="1:26" x14ac:dyDescent="0.25">
      <c r="A1894" s="15" t="str">
        <f>IF(C1894="","",COUNTA($C$3:C1894))</f>
        <v/>
      </c>
      <c r="B1894" s="15" t="str">
        <f t="shared" si="240"/>
        <v/>
      </c>
      <c r="M1894" s="9"/>
      <c r="N1894" s="9"/>
      <c r="P1894" s="14"/>
      <c r="Q1894" s="85"/>
      <c r="R1894" s="89"/>
      <c r="U1894" s="11" t="str">
        <f t="shared" si="238"/>
        <v/>
      </c>
      <c r="V1894" s="12" t="str">
        <f t="shared" si="239"/>
        <v/>
      </c>
      <c r="Z1894" s="15"/>
    </row>
    <row r="1895" spans="1:26" x14ac:dyDescent="0.25">
      <c r="A1895" s="15" t="str">
        <f>IF(C1895="","",COUNTA($C$3:C1895))</f>
        <v/>
      </c>
      <c r="B1895" s="15" t="str">
        <f t="shared" si="240"/>
        <v/>
      </c>
      <c r="M1895" s="9"/>
      <c r="N1895" s="9"/>
      <c r="P1895" s="14"/>
      <c r="Q1895" s="85"/>
      <c r="R1895" s="89"/>
      <c r="U1895" s="11" t="str">
        <f t="shared" si="238"/>
        <v/>
      </c>
      <c r="V1895" s="12" t="str">
        <f t="shared" si="239"/>
        <v/>
      </c>
      <c r="Z1895" s="15"/>
    </row>
    <row r="1896" spans="1:26" x14ac:dyDescent="0.25">
      <c r="A1896" s="15" t="str">
        <f>IF(C1896="","",COUNTA($C$3:C1896))</f>
        <v/>
      </c>
      <c r="B1896" s="15" t="str">
        <f t="shared" si="240"/>
        <v/>
      </c>
      <c r="M1896" s="9"/>
      <c r="N1896" s="9"/>
      <c r="P1896" s="14"/>
      <c r="Q1896" s="85"/>
      <c r="R1896" s="89"/>
      <c r="U1896" s="11" t="str">
        <f t="shared" si="238"/>
        <v/>
      </c>
      <c r="V1896" s="12" t="str">
        <f t="shared" si="239"/>
        <v/>
      </c>
      <c r="Z1896" s="15"/>
    </row>
    <row r="1897" spans="1:26" x14ac:dyDescent="0.25">
      <c r="A1897" s="15" t="str">
        <f>IF(C1897="","",COUNTA($C$3:C1897))</f>
        <v/>
      </c>
      <c r="B1897" s="15" t="str">
        <f t="shared" si="240"/>
        <v/>
      </c>
      <c r="M1897" s="9"/>
      <c r="N1897" s="9"/>
      <c r="P1897" s="14"/>
      <c r="Q1897" s="85"/>
      <c r="R1897" s="89"/>
      <c r="U1897" s="11" t="str">
        <f t="shared" si="238"/>
        <v/>
      </c>
      <c r="V1897" s="12" t="str">
        <f t="shared" si="239"/>
        <v/>
      </c>
      <c r="Z1897" s="15"/>
    </row>
    <row r="1898" spans="1:26" x14ac:dyDescent="0.25">
      <c r="A1898" s="15" t="str">
        <f>IF(C1898="","",COUNTA($C$3:C1898))</f>
        <v/>
      </c>
      <c r="B1898" s="15" t="str">
        <f t="shared" si="240"/>
        <v/>
      </c>
      <c r="M1898" s="9"/>
      <c r="N1898" s="9"/>
      <c r="P1898" s="14"/>
      <c r="Q1898" s="85"/>
      <c r="R1898" s="89"/>
      <c r="U1898" s="11" t="str">
        <f t="shared" si="238"/>
        <v/>
      </c>
      <c r="V1898" s="12" t="str">
        <f t="shared" si="239"/>
        <v/>
      </c>
      <c r="Z1898" s="15"/>
    </row>
    <row r="1899" spans="1:26" x14ac:dyDescent="0.25">
      <c r="A1899" s="15" t="str">
        <f>IF(C1899="","",COUNTA($C$3:C1899))</f>
        <v/>
      </c>
      <c r="B1899" s="15" t="str">
        <f t="shared" si="240"/>
        <v/>
      </c>
      <c r="M1899" s="9"/>
      <c r="N1899" s="9"/>
      <c r="P1899" s="14"/>
      <c r="Q1899" s="85"/>
      <c r="R1899" s="89"/>
      <c r="U1899" s="11" t="str">
        <f t="shared" si="238"/>
        <v/>
      </c>
      <c r="V1899" s="12" t="str">
        <f t="shared" si="239"/>
        <v/>
      </c>
      <c r="Z1899" s="15"/>
    </row>
    <row r="1900" spans="1:26" x14ac:dyDescent="0.25">
      <c r="A1900" s="15" t="str">
        <f>IF(C1900="","",COUNTA($C$3:C1900))</f>
        <v/>
      </c>
      <c r="B1900" s="15" t="str">
        <f t="shared" si="240"/>
        <v/>
      </c>
      <c r="M1900" s="9"/>
      <c r="N1900" s="9"/>
      <c r="P1900" s="14"/>
      <c r="Q1900" s="85"/>
      <c r="R1900" s="89"/>
      <c r="U1900" s="11" t="str">
        <f t="shared" si="238"/>
        <v/>
      </c>
      <c r="V1900" s="12" t="str">
        <f t="shared" si="239"/>
        <v/>
      </c>
      <c r="Z1900" s="15"/>
    </row>
    <row r="1901" spans="1:26" x14ac:dyDescent="0.25">
      <c r="A1901" s="15" t="str">
        <f>IF(C1901="","",COUNTA($C$3:C1901))</f>
        <v/>
      </c>
      <c r="B1901" s="15" t="str">
        <f t="shared" si="240"/>
        <v/>
      </c>
      <c r="M1901" s="9"/>
      <c r="N1901" s="9"/>
      <c r="P1901" s="14"/>
      <c r="Q1901" s="85"/>
      <c r="R1901" s="89"/>
      <c r="U1901" s="11" t="str">
        <f t="shared" si="238"/>
        <v/>
      </c>
      <c r="V1901" s="12" t="str">
        <f t="shared" si="239"/>
        <v/>
      </c>
      <c r="Z1901" s="15"/>
    </row>
    <row r="1902" spans="1:26" x14ac:dyDescent="0.25">
      <c r="A1902" s="15" t="str">
        <f>IF(C1902="","",COUNTA($C$3:C1902))</f>
        <v/>
      </c>
      <c r="B1902" s="15" t="str">
        <f t="shared" si="240"/>
        <v/>
      </c>
      <c r="M1902" s="9"/>
      <c r="N1902" s="9"/>
      <c r="P1902" s="14"/>
      <c r="Q1902" s="85"/>
      <c r="R1902" s="89"/>
      <c r="U1902" s="11" t="str">
        <f t="shared" si="238"/>
        <v/>
      </c>
      <c r="V1902" s="12" t="str">
        <f t="shared" si="239"/>
        <v/>
      </c>
      <c r="Z1902" s="15"/>
    </row>
    <row r="1903" spans="1:26" x14ac:dyDescent="0.25">
      <c r="A1903" s="15" t="str">
        <f>IF(C1903="","",COUNTA($C$3:C1903))</f>
        <v/>
      </c>
      <c r="B1903" s="15" t="str">
        <f t="shared" si="240"/>
        <v/>
      </c>
      <c r="M1903" s="9"/>
      <c r="N1903" s="9"/>
      <c r="P1903" s="14"/>
      <c r="Q1903" s="85"/>
      <c r="R1903" s="89"/>
      <c r="U1903" s="11" t="str">
        <f t="shared" si="238"/>
        <v/>
      </c>
      <c r="V1903" s="12" t="str">
        <f t="shared" si="239"/>
        <v/>
      </c>
      <c r="Z1903" s="15"/>
    </row>
    <row r="1904" spans="1:26" x14ac:dyDescent="0.25">
      <c r="A1904" s="15" t="str">
        <f>IF(C1904="","",COUNTA($C$3:C1904))</f>
        <v/>
      </c>
      <c r="B1904" s="15" t="str">
        <f t="shared" si="240"/>
        <v/>
      </c>
      <c r="M1904" s="9"/>
      <c r="N1904" s="9"/>
      <c r="P1904" s="14"/>
      <c r="Q1904" s="85"/>
      <c r="R1904" s="89"/>
      <c r="U1904" s="11" t="str">
        <f t="shared" si="238"/>
        <v/>
      </c>
      <c r="V1904" s="12" t="str">
        <f t="shared" si="239"/>
        <v/>
      </c>
      <c r="Z1904" s="15"/>
    </row>
    <row r="1905" spans="1:26" x14ac:dyDescent="0.25">
      <c r="A1905" s="15" t="str">
        <f>IF(C1905="","",COUNTA($C$3:C1905))</f>
        <v/>
      </c>
      <c r="B1905" s="15" t="str">
        <f t="shared" si="240"/>
        <v/>
      </c>
      <c r="M1905" s="9"/>
      <c r="N1905" s="9"/>
      <c r="P1905" s="14"/>
      <c r="Q1905" s="85"/>
      <c r="R1905" s="89"/>
      <c r="U1905" s="11" t="str">
        <f t="shared" si="238"/>
        <v/>
      </c>
      <c r="V1905" s="12" t="str">
        <f t="shared" si="239"/>
        <v/>
      </c>
      <c r="Z1905" s="15"/>
    </row>
    <row r="1906" spans="1:26" x14ac:dyDescent="0.25">
      <c r="A1906" s="15" t="str">
        <f>IF(C1906="","",COUNTA($C$3:C1906))</f>
        <v/>
      </c>
      <c r="B1906" s="15" t="str">
        <f t="shared" si="240"/>
        <v/>
      </c>
      <c r="M1906" s="9"/>
      <c r="N1906" s="9"/>
      <c r="P1906" s="14"/>
      <c r="Q1906" s="85"/>
      <c r="R1906" s="89"/>
      <c r="U1906" s="11" t="str">
        <f t="shared" si="238"/>
        <v/>
      </c>
      <c r="V1906" s="12" t="str">
        <f t="shared" si="239"/>
        <v/>
      </c>
      <c r="Z1906" s="15"/>
    </row>
    <row r="1907" spans="1:26" x14ac:dyDescent="0.25">
      <c r="A1907" s="15" t="str">
        <f>IF(C1907="","",COUNTA($C$3:C1907))</f>
        <v/>
      </c>
      <c r="B1907" s="15" t="str">
        <f t="shared" si="240"/>
        <v/>
      </c>
      <c r="M1907" s="9"/>
      <c r="N1907" s="9"/>
      <c r="P1907" s="14"/>
      <c r="Q1907" s="85"/>
      <c r="R1907" s="89"/>
      <c r="U1907" s="11" t="str">
        <f t="shared" si="238"/>
        <v/>
      </c>
      <c r="V1907" s="12" t="str">
        <f t="shared" si="239"/>
        <v/>
      </c>
      <c r="Z1907" s="15"/>
    </row>
    <row r="1908" spans="1:26" x14ac:dyDescent="0.25">
      <c r="A1908" s="15" t="str">
        <f>IF(C1908="","",COUNTA($C$3:C1908))</f>
        <v/>
      </c>
      <c r="B1908" s="15" t="str">
        <f t="shared" si="240"/>
        <v/>
      </c>
      <c r="M1908" s="9"/>
      <c r="N1908" s="9"/>
      <c r="P1908" s="14"/>
      <c r="Q1908" s="85"/>
      <c r="R1908" s="89"/>
      <c r="U1908" s="11" t="str">
        <f t="shared" si="238"/>
        <v/>
      </c>
      <c r="V1908" s="12" t="str">
        <f t="shared" si="239"/>
        <v/>
      </c>
      <c r="Z1908" s="15"/>
    </row>
    <row r="1909" spans="1:26" x14ac:dyDescent="0.25">
      <c r="A1909" s="15" t="str">
        <f>IF(C1909="","",COUNTA($C$3:C1909))</f>
        <v/>
      </c>
      <c r="B1909" s="15" t="str">
        <f t="shared" si="240"/>
        <v/>
      </c>
      <c r="M1909" s="9"/>
      <c r="N1909" s="9"/>
      <c r="P1909" s="14"/>
      <c r="Q1909" s="85"/>
      <c r="R1909" s="89"/>
      <c r="U1909" s="11" t="str">
        <f t="shared" si="238"/>
        <v/>
      </c>
      <c r="V1909" s="12" t="str">
        <f t="shared" si="239"/>
        <v/>
      </c>
      <c r="Z1909" s="15"/>
    </row>
    <row r="1910" spans="1:26" x14ac:dyDescent="0.25">
      <c r="A1910" s="15" t="str">
        <f>IF(C1910="","",COUNTA($C$3:C1910))</f>
        <v/>
      </c>
      <c r="B1910" s="15" t="str">
        <f t="shared" si="240"/>
        <v/>
      </c>
      <c r="M1910" s="9"/>
      <c r="N1910" s="9"/>
      <c r="P1910" s="14"/>
      <c r="Q1910" s="85"/>
      <c r="R1910" s="89"/>
      <c r="U1910" s="11" t="str">
        <f t="shared" si="238"/>
        <v/>
      </c>
      <c r="V1910" s="12" t="str">
        <f t="shared" si="239"/>
        <v/>
      </c>
      <c r="Z1910" s="15"/>
    </row>
    <row r="1911" spans="1:26" x14ac:dyDescent="0.25">
      <c r="A1911" s="15" t="str">
        <f>IF(C1911="","",COUNTA($C$3:C1911))</f>
        <v/>
      </c>
      <c r="B1911" s="15" t="str">
        <f t="shared" si="240"/>
        <v/>
      </c>
      <c r="M1911" s="9"/>
      <c r="N1911" s="9"/>
      <c r="P1911" s="14"/>
      <c r="Q1911" s="85"/>
      <c r="R1911" s="89"/>
      <c r="U1911" s="11" t="str">
        <f t="shared" si="238"/>
        <v/>
      </c>
      <c r="V1911" s="12" t="str">
        <f t="shared" si="239"/>
        <v/>
      </c>
      <c r="Z1911" s="15"/>
    </row>
    <row r="1912" spans="1:26" x14ac:dyDescent="0.25">
      <c r="A1912" s="15" t="str">
        <f>IF(C1912="","",COUNTA($C$3:C1912))</f>
        <v/>
      </c>
      <c r="B1912" s="15" t="str">
        <f t="shared" si="240"/>
        <v/>
      </c>
      <c r="M1912" s="9"/>
      <c r="N1912" s="9"/>
      <c r="P1912" s="14"/>
      <c r="Q1912" s="85"/>
      <c r="R1912" s="89"/>
      <c r="U1912" s="11" t="str">
        <f t="shared" si="238"/>
        <v/>
      </c>
      <c r="V1912" s="12" t="str">
        <f t="shared" si="239"/>
        <v/>
      </c>
      <c r="Z1912" s="15"/>
    </row>
    <row r="1913" spans="1:26" x14ac:dyDescent="0.25">
      <c r="A1913" s="15" t="str">
        <f>IF(C1913="","",COUNTA($C$3:C1913))</f>
        <v/>
      </c>
      <c r="B1913" s="15" t="str">
        <f t="shared" si="240"/>
        <v/>
      </c>
      <c r="M1913" s="9"/>
      <c r="N1913" s="9"/>
      <c r="P1913" s="14"/>
      <c r="Q1913" s="85"/>
      <c r="R1913" s="89"/>
      <c r="U1913" s="11" t="str">
        <f t="shared" si="238"/>
        <v/>
      </c>
      <c r="V1913" s="12" t="str">
        <f t="shared" si="239"/>
        <v/>
      </c>
      <c r="Z1913" s="15"/>
    </row>
    <row r="1914" spans="1:26" x14ac:dyDescent="0.25">
      <c r="A1914" s="15" t="str">
        <f>IF(C1914="","",COUNTA($C$3:C1914))</f>
        <v/>
      </c>
      <c r="B1914" s="15" t="str">
        <f t="shared" si="240"/>
        <v/>
      </c>
      <c r="M1914" s="9"/>
      <c r="N1914" s="9"/>
      <c r="P1914" s="14"/>
      <c r="Q1914" s="85"/>
      <c r="R1914" s="89"/>
      <c r="U1914" s="11" t="str">
        <f t="shared" si="238"/>
        <v/>
      </c>
      <c r="V1914" s="12" t="str">
        <f t="shared" si="239"/>
        <v/>
      </c>
      <c r="Z1914" s="15"/>
    </row>
    <row r="1915" spans="1:26" x14ac:dyDescent="0.25">
      <c r="A1915" s="15" t="str">
        <f>IF(C1915="","",COUNTA($C$3:C1915))</f>
        <v/>
      </c>
      <c r="B1915" s="15" t="str">
        <f t="shared" si="240"/>
        <v/>
      </c>
      <c r="M1915" s="9"/>
      <c r="N1915" s="9"/>
      <c r="P1915" s="14"/>
      <c r="Q1915" s="85"/>
      <c r="R1915" s="89"/>
      <c r="U1915" s="11" t="str">
        <f t="shared" si="238"/>
        <v/>
      </c>
      <c r="V1915" s="12" t="str">
        <f t="shared" si="239"/>
        <v/>
      </c>
      <c r="Z1915" s="15"/>
    </row>
    <row r="1916" spans="1:26" x14ac:dyDescent="0.25">
      <c r="A1916" s="15" t="str">
        <f>IF(C1916="","",COUNTA($C$3:C1916))</f>
        <v/>
      </c>
      <c r="B1916" s="15" t="str">
        <f t="shared" si="240"/>
        <v/>
      </c>
      <c r="M1916" s="9"/>
      <c r="N1916" s="9"/>
      <c r="P1916" s="14"/>
      <c r="Q1916" s="85"/>
      <c r="R1916" s="89"/>
      <c r="U1916" s="11" t="str">
        <f t="shared" si="238"/>
        <v/>
      </c>
      <c r="V1916" s="12" t="str">
        <f t="shared" si="239"/>
        <v/>
      </c>
      <c r="Z1916" s="15"/>
    </row>
    <row r="1917" spans="1:26" x14ac:dyDescent="0.25">
      <c r="A1917" s="15" t="str">
        <f>IF(C1917="","",COUNTA($C$3:C1917))</f>
        <v/>
      </c>
      <c r="B1917" s="15" t="str">
        <f t="shared" si="240"/>
        <v/>
      </c>
      <c r="M1917" s="9"/>
      <c r="N1917" s="9"/>
      <c r="P1917" s="14"/>
      <c r="Q1917" s="85"/>
      <c r="R1917" s="89"/>
      <c r="U1917" s="11" t="str">
        <f t="shared" si="238"/>
        <v/>
      </c>
      <c r="V1917" s="12" t="str">
        <f t="shared" si="239"/>
        <v/>
      </c>
      <c r="Z1917" s="15"/>
    </row>
    <row r="1918" spans="1:26" x14ac:dyDescent="0.25">
      <c r="A1918" s="15" t="str">
        <f>IF(C1918="","",COUNTA($C$3:C1918))</f>
        <v/>
      </c>
      <c r="B1918" s="15" t="str">
        <f t="shared" si="240"/>
        <v/>
      </c>
      <c r="M1918" s="9"/>
      <c r="N1918" s="9"/>
      <c r="P1918" s="14"/>
      <c r="Q1918" s="85"/>
      <c r="R1918" s="89"/>
      <c r="U1918" s="11" t="str">
        <f t="shared" si="238"/>
        <v/>
      </c>
      <c r="V1918" s="12" t="str">
        <f t="shared" si="239"/>
        <v/>
      </c>
      <c r="Z1918" s="15"/>
    </row>
    <row r="1919" spans="1:26" x14ac:dyDescent="0.25">
      <c r="A1919" s="15" t="str">
        <f>IF(C1919="","",COUNTA($C$3:C1919))</f>
        <v/>
      </c>
      <c r="B1919" s="15" t="str">
        <f t="shared" si="240"/>
        <v/>
      </c>
      <c r="M1919" s="9"/>
      <c r="N1919" s="9"/>
      <c r="P1919" s="14"/>
      <c r="Q1919" s="85"/>
      <c r="R1919" s="89"/>
      <c r="U1919" s="11" t="str">
        <f t="shared" si="238"/>
        <v/>
      </c>
      <c r="V1919" s="12" t="str">
        <f t="shared" si="239"/>
        <v/>
      </c>
      <c r="Z1919" s="15"/>
    </row>
    <row r="1920" spans="1:26" x14ac:dyDescent="0.25">
      <c r="A1920" s="15" t="str">
        <f>IF(C1920="","",COUNTA($C$3:C1920))</f>
        <v/>
      </c>
      <c r="B1920" s="15" t="str">
        <f t="shared" si="240"/>
        <v/>
      </c>
      <c r="M1920" s="9"/>
      <c r="N1920" s="9"/>
      <c r="P1920" s="14"/>
      <c r="Q1920" s="85"/>
      <c r="R1920" s="89"/>
      <c r="U1920" s="11" t="str">
        <f t="shared" si="238"/>
        <v/>
      </c>
      <c r="V1920" s="12" t="str">
        <f t="shared" si="239"/>
        <v/>
      </c>
      <c r="Z1920" s="15"/>
    </row>
    <row r="1921" spans="1:26" x14ac:dyDescent="0.25">
      <c r="A1921" s="15" t="str">
        <f>IF(C1921="","",COUNTA($C$3:C1921))</f>
        <v/>
      </c>
      <c r="B1921" s="15" t="str">
        <f t="shared" si="240"/>
        <v/>
      </c>
      <c r="M1921" s="9"/>
      <c r="N1921" s="9"/>
      <c r="P1921" s="14"/>
      <c r="Q1921" s="85"/>
      <c r="R1921" s="89"/>
      <c r="U1921" s="11" t="str">
        <f t="shared" si="238"/>
        <v/>
      </c>
      <c r="V1921" s="12" t="str">
        <f t="shared" si="239"/>
        <v/>
      </c>
      <c r="Z1921" s="15"/>
    </row>
    <row r="1922" spans="1:26" x14ac:dyDescent="0.25">
      <c r="A1922" s="15" t="str">
        <f>IF(C1922="","",COUNTA($C$3:C1922))</f>
        <v/>
      </c>
      <c r="B1922" s="15" t="str">
        <f t="shared" si="240"/>
        <v/>
      </c>
      <c r="M1922" s="9"/>
      <c r="N1922" s="9"/>
      <c r="P1922" s="14"/>
      <c r="Q1922" s="85"/>
      <c r="R1922" s="89"/>
      <c r="U1922" s="11" t="str">
        <f t="shared" ref="U1922:U1985" si="241">IF(S1922="","",(S1922-T1922))</f>
        <v/>
      </c>
      <c r="V1922" s="12" t="str">
        <f t="shared" ref="V1922:V1985" si="242">IF(U1922="","",(U1922/T1922))</f>
        <v/>
      </c>
      <c r="Z1922" s="15"/>
    </row>
    <row r="1923" spans="1:26" x14ac:dyDescent="0.25">
      <c r="A1923" s="15" t="str">
        <f>IF(C1923="","",COUNTA($C$3:C1923))</f>
        <v/>
      </c>
      <c r="B1923" s="15" t="str">
        <f t="shared" ref="B1923:B1986" si="243">IF(C1923="","",TEXT(C1923,"mmmm"))</f>
        <v/>
      </c>
      <c r="M1923" s="9"/>
      <c r="N1923" s="9"/>
      <c r="P1923" s="14"/>
      <c r="Q1923" s="85"/>
      <c r="R1923" s="89"/>
      <c r="U1923" s="11" t="str">
        <f t="shared" si="241"/>
        <v/>
      </c>
      <c r="V1923" s="12" t="str">
        <f t="shared" si="242"/>
        <v/>
      </c>
      <c r="Z1923" s="15"/>
    </row>
    <row r="1924" spans="1:26" x14ac:dyDescent="0.25">
      <c r="A1924" s="15" t="str">
        <f>IF(C1924="","",COUNTA($C$3:C1924))</f>
        <v/>
      </c>
      <c r="B1924" s="15" t="str">
        <f t="shared" si="243"/>
        <v/>
      </c>
      <c r="M1924" s="9"/>
      <c r="N1924" s="9"/>
      <c r="P1924" s="14"/>
      <c r="Q1924" s="85"/>
      <c r="R1924" s="89"/>
      <c r="U1924" s="11" t="str">
        <f t="shared" si="241"/>
        <v/>
      </c>
      <c r="V1924" s="12" t="str">
        <f t="shared" si="242"/>
        <v/>
      </c>
      <c r="Z1924" s="15"/>
    </row>
    <row r="1925" spans="1:26" x14ac:dyDescent="0.25">
      <c r="A1925" s="15" t="str">
        <f>IF(C1925="","",COUNTA($C$3:C1925))</f>
        <v/>
      </c>
      <c r="B1925" s="15" t="str">
        <f t="shared" si="243"/>
        <v/>
      </c>
      <c r="M1925" s="9"/>
      <c r="N1925" s="9"/>
      <c r="P1925" s="14"/>
      <c r="Q1925" s="85"/>
      <c r="R1925" s="89"/>
      <c r="U1925" s="11" t="str">
        <f t="shared" si="241"/>
        <v/>
      </c>
      <c r="V1925" s="12" t="str">
        <f t="shared" si="242"/>
        <v/>
      </c>
      <c r="Z1925" s="15"/>
    </row>
    <row r="1926" spans="1:26" x14ac:dyDescent="0.25">
      <c r="A1926" s="15" t="str">
        <f>IF(C1926="","",COUNTA($C$3:C1926))</f>
        <v/>
      </c>
      <c r="B1926" s="15" t="str">
        <f t="shared" si="243"/>
        <v/>
      </c>
      <c r="M1926" s="9"/>
      <c r="N1926" s="9"/>
      <c r="P1926" s="14"/>
      <c r="Q1926" s="85"/>
      <c r="R1926" s="89"/>
      <c r="U1926" s="11" t="str">
        <f t="shared" si="241"/>
        <v/>
      </c>
      <c r="V1926" s="12" t="str">
        <f t="shared" si="242"/>
        <v/>
      </c>
      <c r="Z1926" s="15"/>
    </row>
    <row r="1927" spans="1:26" x14ac:dyDescent="0.25">
      <c r="A1927" s="15" t="str">
        <f>IF(C1927="","",COUNTA($C$3:C1927))</f>
        <v/>
      </c>
      <c r="B1927" s="15" t="str">
        <f t="shared" si="243"/>
        <v/>
      </c>
      <c r="M1927" s="9"/>
      <c r="N1927" s="9"/>
      <c r="P1927" s="14"/>
      <c r="Q1927" s="85"/>
      <c r="R1927" s="89"/>
      <c r="U1927" s="11" t="str">
        <f t="shared" si="241"/>
        <v/>
      </c>
      <c r="V1927" s="12" t="str">
        <f t="shared" si="242"/>
        <v/>
      </c>
      <c r="Z1927" s="15"/>
    </row>
    <row r="1928" spans="1:26" x14ac:dyDescent="0.25">
      <c r="A1928" s="15" t="str">
        <f>IF(C1928="","",COUNTA($C$3:C1928))</f>
        <v/>
      </c>
      <c r="B1928" s="15" t="str">
        <f t="shared" si="243"/>
        <v/>
      </c>
      <c r="M1928" s="9"/>
      <c r="N1928" s="9"/>
      <c r="P1928" s="14"/>
      <c r="Q1928" s="85"/>
      <c r="R1928" s="89"/>
      <c r="U1928" s="11" t="str">
        <f t="shared" si="241"/>
        <v/>
      </c>
      <c r="V1928" s="12" t="str">
        <f t="shared" si="242"/>
        <v/>
      </c>
      <c r="Z1928" s="15"/>
    </row>
    <row r="1929" spans="1:26" x14ac:dyDescent="0.25">
      <c r="A1929" s="15" t="str">
        <f>IF(C1929="","",COUNTA($C$3:C1929))</f>
        <v/>
      </c>
      <c r="B1929" s="15" t="str">
        <f t="shared" si="243"/>
        <v/>
      </c>
      <c r="M1929" s="9"/>
      <c r="N1929" s="9"/>
      <c r="P1929" s="14"/>
      <c r="Q1929" s="85"/>
      <c r="R1929" s="89"/>
      <c r="U1929" s="11" t="str">
        <f t="shared" si="241"/>
        <v/>
      </c>
      <c r="V1929" s="12" t="str">
        <f t="shared" si="242"/>
        <v/>
      </c>
      <c r="Z1929" s="15"/>
    </row>
    <row r="1930" spans="1:26" x14ac:dyDescent="0.25">
      <c r="A1930" s="15" t="str">
        <f>IF(C1930="","",COUNTA($C$3:C1930))</f>
        <v/>
      </c>
      <c r="B1930" s="15" t="str">
        <f t="shared" si="243"/>
        <v/>
      </c>
      <c r="M1930" s="9"/>
      <c r="N1930" s="9"/>
      <c r="P1930" s="14"/>
      <c r="Q1930" s="85"/>
      <c r="R1930" s="89"/>
      <c r="U1930" s="11" t="str">
        <f t="shared" si="241"/>
        <v/>
      </c>
      <c r="V1930" s="12" t="str">
        <f t="shared" si="242"/>
        <v/>
      </c>
      <c r="Z1930" s="15"/>
    </row>
    <row r="1931" spans="1:26" x14ac:dyDescent="0.25">
      <c r="A1931" s="15" t="str">
        <f>IF(C1931="","",COUNTA($C$3:C1931))</f>
        <v/>
      </c>
      <c r="B1931" s="15" t="str">
        <f t="shared" si="243"/>
        <v/>
      </c>
      <c r="M1931" s="9"/>
      <c r="N1931" s="9"/>
      <c r="P1931" s="14"/>
      <c r="Q1931" s="85"/>
      <c r="R1931" s="89"/>
      <c r="U1931" s="11" t="str">
        <f t="shared" si="241"/>
        <v/>
      </c>
      <c r="V1931" s="12" t="str">
        <f t="shared" si="242"/>
        <v/>
      </c>
      <c r="Z1931" s="15"/>
    </row>
    <row r="1932" spans="1:26" x14ac:dyDescent="0.25">
      <c r="A1932" s="15" t="str">
        <f>IF(C1932="","",COUNTA($C$3:C1932))</f>
        <v/>
      </c>
      <c r="B1932" s="15" t="str">
        <f t="shared" si="243"/>
        <v/>
      </c>
      <c r="M1932" s="9"/>
      <c r="N1932" s="9"/>
      <c r="P1932" s="14"/>
      <c r="Q1932" s="85"/>
      <c r="R1932" s="89"/>
      <c r="U1932" s="11" t="str">
        <f t="shared" si="241"/>
        <v/>
      </c>
      <c r="V1932" s="12" t="str">
        <f t="shared" si="242"/>
        <v/>
      </c>
      <c r="Z1932" s="15"/>
    </row>
    <row r="1933" spans="1:26" x14ac:dyDescent="0.25">
      <c r="A1933" s="15" t="str">
        <f>IF(C1933="","",COUNTA($C$3:C1933))</f>
        <v/>
      </c>
      <c r="B1933" s="15" t="str">
        <f t="shared" si="243"/>
        <v/>
      </c>
      <c r="M1933" s="9"/>
      <c r="N1933" s="9"/>
      <c r="P1933" s="14"/>
      <c r="Q1933" s="85"/>
      <c r="R1933" s="89"/>
      <c r="U1933" s="11" t="str">
        <f t="shared" si="241"/>
        <v/>
      </c>
      <c r="V1933" s="12" t="str">
        <f t="shared" si="242"/>
        <v/>
      </c>
      <c r="Z1933" s="15"/>
    </row>
    <row r="1934" spans="1:26" x14ac:dyDescent="0.25">
      <c r="A1934" s="15" t="str">
        <f>IF(C1934="","",COUNTA($C$3:C1934))</f>
        <v/>
      </c>
      <c r="B1934" s="15" t="str">
        <f t="shared" si="243"/>
        <v/>
      </c>
      <c r="M1934" s="9"/>
      <c r="N1934" s="9"/>
      <c r="P1934" s="14"/>
      <c r="Q1934" s="85"/>
      <c r="R1934" s="89"/>
      <c r="U1934" s="11" t="str">
        <f t="shared" si="241"/>
        <v/>
      </c>
      <c r="V1934" s="12" t="str">
        <f t="shared" si="242"/>
        <v/>
      </c>
      <c r="Z1934" s="15"/>
    </row>
    <row r="1935" spans="1:26" x14ac:dyDescent="0.25">
      <c r="A1935" s="15" t="str">
        <f>IF(C1935="","",COUNTA($C$3:C1935))</f>
        <v/>
      </c>
      <c r="B1935" s="15" t="str">
        <f t="shared" si="243"/>
        <v/>
      </c>
      <c r="M1935" s="9"/>
      <c r="N1935" s="9"/>
      <c r="P1935" s="14"/>
      <c r="Q1935" s="85"/>
      <c r="R1935" s="89"/>
      <c r="U1935" s="11" t="str">
        <f t="shared" si="241"/>
        <v/>
      </c>
      <c r="V1935" s="12" t="str">
        <f t="shared" si="242"/>
        <v/>
      </c>
      <c r="Z1935" s="15"/>
    </row>
    <row r="1936" spans="1:26" x14ac:dyDescent="0.25">
      <c r="A1936" s="15" t="str">
        <f>IF(C1936="","",COUNTA($C$3:C1936))</f>
        <v/>
      </c>
      <c r="B1936" s="15" t="str">
        <f t="shared" si="243"/>
        <v/>
      </c>
      <c r="M1936" s="9"/>
      <c r="N1936" s="9"/>
      <c r="P1936" s="14"/>
      <c r="Q1936" s="85"/>
      <c r="R1936" s="89"/>
      <c r="U1936" s="11" t="str">
        <f t="shared" si="241"/>
        <v/>
      </c>
      <c r="V1936" s="12" t="str">
        <f t="shared" si="242"/>
        <v/>
      </c>
      <c r="Z1936" s="15"/>
    </row>
    <row r="1937" spans="1:26" x14ac:dyDescent="0.25">
      <c r="A1937" s="15" t="str">
        <f>IF(C1937="","",COUNTA($C$3:C1937))</f>
        <v/>
      </c>
      <c r="B1937" s="15" t="str">
        <f t="shared" si="243"/>
        <v/>
      </c>
      <c r="M1937" s="9"/>
      <c r="N1937" s="9"/>
      <c r="P1937" s="14"/>
      <c r="Q1937" s="85"/>
      <c r="R1937" s="89"/>
      <c r="U1937" s="11" t="str">
        <f t="shared" si="241"/>
        <v/>
      </c>
      <c r="V1937" s="12" t="str">
        <f t="shared" si="242"/>
        <v/>
      </c>
      <c r="Z1937" s="15"/>
    </row>
    <row r="1938" spans="1:26" x14ac:dyDescent="0.25">
      <c r="A1938" s="15" t="str">
        <f>IF(C1938="","",COUNTA($C$3:C1938))</f>
        <v/>
      </c>
      <c r="B1938" s="15" t="str">
        <f t="shared" si="243"/>
        <v/>
      </c>
      <c r="M1938" s="9"/>
      <c r="N1938" s="9"/>
      <c r="P1938" s="14"/>
      <c r="Q1938" s="85"/>
      <c r="R1938" s="89"/>
      <c r="U1938" s="11" t="str">
        <f t="shared" si="241"/>
        <v/>
      </c>
      <c r="V1938" s="12" t="str">
        <f t="shared" si="242"/>
        <v/>
      </c>
      <c r="Z1938" s="15"/>
    </row>
    <row r="1939" spans="1:26" x14ac:dyDescent="0.25">
      <c r="A1939" s="15" t="str">
        <f>IF(C1939="","",COUNTA($C$3:C1939))</f>
        <v/>
      </c>
      <c r="B1939" s="15" t="str">
        <f t="shared" si="243"/>
        <v/>
      </c>
      <c r="M1939" s="9"/>
      <c r="N1939" s="9"/>
      <c r="P1939" s="14"/>
      <c r="Q1939" s="85"/>
      <c r="R1939" s="89"/>
      <c r="U1939" s="11" t="str">
        <f t="shared" si="241"/>
        <v/>
      </c>
      <c r="V1939" s="12" t="str">
        <f t="shared" si="242"/>
        <v/>
      </c>
      <c r="Z1939" s="15"/>
    </row>
    <row r="1940" spans="1:26" x14ac:dyDescent="0.25">
      <c r="A1940" s="15" t="str">
        <f>IF(C1940="","",COUNTA($C$3:C1940))</f>
        <v/>
      </c>
      <c r="B1940" s="15" t="str">
        <f t="shared" si="243"/>
        <v/>
      </c>
      <c r="M1940" s="9"/>
      <c r="N1940" s="9"/>
      <c r="P1940" s="14"/>
      <c r="Q1940" s="85"/>
      <c r="R1940" s="89"/>
      <c r="U1940" s="11" t="str">
        <f t="shared" si="241"/>
        <v/>
      </c>
      <c r="V1940" s="12" t="str">
        <f t="shared" si="242"/>
        <v/>
      </c>
      <c r="Z1940" s="15"/>
    </row>
    <row r="1941" spans="1:26" x14ac:dyDescent="0.25">
      <c r="A1941" s="15" t="str">
        <f>IF(C1941="","",COUNTA($C$3:C1941))</f>
        <v/>
      </c>
      <c r="B1941" s="15" t="str">
        <f t="shared" si="243"/>
        <v/>
      </c>
      <c r="M1941" s="9"/>
      <c r="N1941" s="9"/>
      <c r="P1941" s="14"/>
      <c r="Q1941" s="85"/>
      <c r="R1941" s="89"/>
      <c r="U1941" s="11" t="str">
        <f t="shared" si="241"/>
        <v/>
      </c>
      <c r="V1941" s="12" t="str">
        <f t="shared" si="242"/>
        <v/>
      </c>
      <c r="Z1941" s="15"/>
    </row>
    <row r="1942" spans="1:26" x14ac:dyDescent="0.25">
      <c r="A1942" s="15" t="str">
        <f>IF(C1942="","",COUNTA($C$3:C1942))</f>
        <v/>
      </c>
      <c r="B1942" s="15" t="str">
        <f t="shared" si="243"/>
        <v/>
      </c>
      <c r="M1942" s="9"/>
      <c r="N1942" s="9"/>
      <c r="P1942" s="14"/>
      <c r="Q1942" s="85"/>
      <c r="R1942" s="89"/>
      <c r="U1942" s="11" t="str">
        <f t="shared" si="241"/>
        <v/>
      </c>
      <c r="V1942" s="12" t="str">
        <f t="shared" si="242"/>
        <v/>
      </c>
      <c r="Z1942" s="15"/>
    </row>
    <row r="1943" spans="1:26" x14ac:dyDescent="0.25">
      <c r="A1943" s="15" t="str">
        <f>IF(C1943="","",COUNTA($C$3:C1943))</f>
        <v/>
      </c>
      <c r="B1943" s="15" t="str">
        <f t="shared" si="243"/>
        <v/>
      </c>
      <c r="M1943" s="9"/>
      <c r="N1943" s="9"/>
      <c r="P1943" s="14"/>
      <c r="Q1943" s="85"/>
      <c r="R1943" s="89"/>
      <c r="U1943" s="11" t="str">
        <f t="shared" si="241"/>
        <v/>
      </c>
      <c r="V1943" s="12" t="str">
        <f t="shared" si="242"/>
        <v/>
      </c>
      <c r="Z1943" s="15"/>
    </row>
    <row r="1944" spans="1:26" x14ac:dyDescent="0.25">
      <c r="A1944" s="15" t="str">
        <f>IF(C1944="","",COUNTA($C$3:C1944))</f>
        <v/>
      </c>
      <c r="B1944" s="15" t="str">
        <f t="shared" si="243"/>
        <v/>
      </c>
      <c r="M1944" s="9"/>
      <c r="N1944" s="9"/>
      <c r="P1944" s="14"/>
      <c r="Q1944" s="85"/>
      <c r="R1944" s="89"/>
      <c r="U1944" s="11" t="str">
        <f t="shared" si="241"/>
        <v/>
      </c>
      <c r="V1944" s="12" t="str">
        <f t="shared" si="242"/>
        <v/>
      </c>
      <c r="Z1944" s="15"/>
    </row>
    <row r="1945" spans="1:26" x14ac:dyDescent="0.25">
      <c r="A1945" s="15" t="str">
        <f>IF(C1945="","",COUNTA($C$3:C1945))</f>
        <v/>
      </c>
      <c r="B1945" s="15" t="str">
        <f t="shared" si="243"/>
        <v/>
      </c>
      <c r="M1945" s="9"/>
      <c r="N1945" s="9"/>
      <c r="P1945" s="14"/>
      <c r="Q1945" s="85"/>
      <c r="R1945" s="89"/>
      <c r="U1945" s="11" t="str">
        <f t="shared" si="241"/>
        <v/>
      </c>
      <c r="V1945" s="12" t="str">
        <f t="shared" si="242"/>
        <v/>
      </c>
      <c r="Z1945" s="15"/>
    </row>
    <row r="1946" spans="1:26" x14ac:dyDescent="0.25">
      <c r="A1946" s="15" t="str">
        <f>IF(C1946="","",COUNTA($C$3:C1946))</f>
        <v/>
      </c>
      <c r="B1946" s="15" t="str">
        <f t="shared" si="243"/>
        <v/>
      </c>
      <c r="M1946" s="9"/>
      <c r="N1946" s="9"/>
      <c r="P1946" s="14"/>
      <c r="Q1946" s="85"/>
      <c r="R1946" s="89"/>
      <c r="U1946" s="11" t="str">
        <f t="shared" si="241"/>
        <v/>
      </c>
      <c r="V1946" s="12" t="str">
        <f t="shared" si="242"/>
        <v/>
      </c>
      <c r="Z1946" s="15"/>
    </row>
    <row r="1947" spans="1:26" x14ac:dyDescent="0.25">
      <c r="A1947" s="15" t="str">
        <f>IF(C1947="","",COUNTA($C$3:C1947))</f>
        <v/>
      </c>
      <c r="B1947" s="15" t="str">
        <f t="shared" si="243"/>
        <v/>
      </c>
      <c r="M1947" s="9"/>
      <c r="N1947" s="9"/>
      <c r="P1947" s="14"/>
      <c r="Q1947" s="85"/>
      <c r="R1947" s="89"/>
      <c r="U1947" s="11" t="str">
        <f t="shared" si="241"/>
        <v/>
      </c>
      <c r="V1947" s="12" t="str">
        <f t="shared" si="242"/>
        <v/>
      </c>
      <c r="Z1947" s="15"/>
    </row>
    <row r="1948" spans="1:26" x14ac:dyDescent="0.25">
      <c r="A1948" s="15" t="str">
        <f>IF(C1948="","",COUNTA($C$3:C1948))</f>
        <v/>
      </c>
      <c r="B1948" s="15" t="str">
        <f t="shared" si="243"/>
        <v/>
      </c>
      <c r="M1948" s="9"/>
      <c r="N1948" s="9"/>
      <c r="P1948" s="14"/>
      <c r="Q1948" s="85"/>
      <c r="R1948" s="89"/>
      <c r="U1948" s="11" t="str">
        <f t="shared" si="241"/>
        <v/>
      </c>
      <c r="V1948" s="12" t="str">
        <f t="shared" si="242"/>
        <v/>
      </c>
      <c r="Z1948" s="15"/>
    </row>
    <row r="1949" spans="1:26" x14ac:dyDescent="0.25">
      <c r="A1949" s="15" t="str">
        <f>IF(C1949="","",COUNTA($C$3:C1949))</f>
        <v/>
      </c>
      <c r="B1949" s="15" t="str">
        <f t="shared" si="243"/>
        <v/>
      </c>
      <c r="M1949" s="9"/>
      <c r="N1949" s="9"/>
      <c r="P1949" s="14"/>
      <c r="Q1949" s="85"/>
      <c r="R1949" s="89"/>
      <c r="U1949" s="11" t="str">
        <f t="shared" si="241"/>
        <v/>
      </c>
      <c r="V1949" s="12" t="str">
        <f t="shared" si="242"/>
        <v/>
      </c>
      <c r="Z1949" s="15"/>
    </row>
    <row r="1950" spans="1:26" x14ac:dyDescent="0.25">
      <c r="A1950" s="15" t="str">
        <f>IF(C1950="","",COUNTA($C$3:C1950))</f>
        <v/>
      </c>
      <c r="B1950" s="15" t="str">
        <f t="shared" si="243"/>
        <v/>
      </c>
      <c r="M1950" s="9"/>
      <c r="N1950" s="9"/>
      <c r="P1950" s="14"/>
      <c r="Q1950" s="85"/>
      <c r="R1950" s="89"/>
      <c r="U1950" s="11" t="str">
        <f t="shared" si="241"/>
        <v/>
      </c>
      <c r="V1950" s="12" t="str">
        <f t="shared" si="242"/>
        <v/>
      </c>
      <c r="Z1950" s="15"/>
    </row>
    <row r="1951" spans="1:26" x14ac:dyDescent="0.25">
      <c r="A1951" s="15" t="str">
        <f>IF(C1951="","",COUNTA($C$3:C1951))</f>
        <v/>
      </c>
      <c r="B1951" s="15" t="str">
        <f t="shared" si="243"/>
        <v/>
      </c>
      <c r="M1951" s="9"/>
      <c r="N1951" s="9"/>
      <c r="P1951" s="14"/>
      <c r="Q1951" s="85"/>
      <c r="R1951" s="89"/>
      <c r="U1951" s="11" t="str">
        <f t="shared" si="241"/>
        <v/>
      </c>
      <c r="V1951" s="12" t="str">
        <f t="shared" si="242"/>
        <v/>
      </c>
      <c r="Z1951" s="15"/>
    </row>
    <row r="1952" spans="1:26" x14ac:dyDescent="0.25">
      <c r="A1952" s="15" t="str">
        <f>IF(C1952="","",COUNTA($C$3:C1952))</f>
        <v/>
      </c>
      <c r="B1952" s="15" t="str">
        <f t="shared" si="243"/>
        <v/>
      </c>
      <c r="M1952" s="9"/>
      <c r="N1952" s="9"/>
      <c r="P1952" s="14"/>
      <c r="Q1952" s="85"/>
      <c r="R1952" s="89"/>
      <c r="U1952" s="11" t="str">
        <f t="shared" si="241"/>
        <v/>
      </c>
      <c r="V1952" s="12" t="str">
        <f t="shared" si="242"/>
        <v/>
      </c>
      <c r="Z1952" s="15"/>
    </row>
    <row r="1953" spans="1:26" x14ac:dyDescent="0.25">
      <c r="A1953" s="15" t="str">
        <f>IF(C1953="","",COUNTA($C$3:C1953))</f>
        <v/>
      </c>
      <c r="B1953" s="15" t="str">
        <f t="shared" si="243"/>
        <v/>
      </c>
      <c r="M1953" s="9"/>
      <c r="N1953" s="9"/>
      <c r="P1953" s="14"/>
      <c r="Q1953" s="85"/>
      <c r="R1953" s="89"/>
      <c r="U1953" s="11" t="str">
        <f t="shared" si="241"/>
        <v/>
      </c>
      <c r="V1953" s="12" t="str">
        <f t="shared" si="242"/>
        <v/>
      </c>
      <c r="Z1953" s="15"/>
    </row>
    <row r="1954" spans="1:26" x14ac:dyDescent="0.25">
      <c r="A1954" s="15" t="str">
        <f>IF(C1954="","",COUNTA($C$3:C1954))</f>
        <v/>
      </c>
      <c r="B1954" s="15" t="str">
        <f t="shared" si="243"/>
        <v/>
      </c>
      <c r="M1954" s="9"/>
      <c r="N1954" s="9"/>
      <c r="P1954" s="14"/>
      <c r="Q1954" s="85"/>
      <c r="R1954" s="89"/>
      <c r="U1954" s="11" t="str">
        <f t="shared" si="241"/>
        <v/>
      </c>
      <c r="V1954" s="12" t="str">
        <f t="shared" si="242"/>
        <v/>
      </c>
      <c r="Z1954" s="15"/>
    </row>
    <row r="1955" spans="1:26" x14ac:dyDescent="0.25">
      <c r="A1955" s="15" t="str">
        <f>IF(C1955="","",COUNTA($C$3:C1955))</f>
        <v/>
      </c>
      <c r="B1955" s="15" t="str">
        <f t="shared" si="243"/>
        <v/>
      </c>
      <c r="M1955" s="9"/>
      <c r="N1955" s="9"/>
      <c r="P1955" s="14"/>
      <c r="Q1955" s="85"/>
      <c r="R1955" s="89"/>
      <c r="U1955" s="11" t="str">
        <f t="shared" si="241"/>
        <v/>
      </c>
      <c r="V1955" s="12" t="str">
        <f t="shared" si="242"/>
        <v/>
      </c>
      <c r="Z1955" s="15"/>
    </row>
    <row r="1956" spans="1:26" x14ac:dyDescent="0.25">
      <c r="A1956" s="15" t="str">
        <f>IF(C1956="","",COUNTA($C$3:C1956))</f>
        <v/>
      </c>
      <c r="B1956" s="15" t="str">
        <f t="shared" si="243"/>
        <v/>
      </c>
      <c r="M1956" s="9"/>
      <c r="N1956" s="9"/>
      <c r="P1956" s="14"/>
      <c r="Q1956" s="85"/>
      <c r="R1956" s="89"/>
      <c r="U1956" s="11" t="str">
        <f t="shared" si="241"/>
        <v/>
      </c>
      <c r="V1956" s="12" t="str">
        <f t="shared" si="242"/>
        <v/>
      </c>
      <c r="Z1956" s="15"/>
    </row>
    <row r="1957" spans="1:26" x14ac:dyDescent="0.25">
      <c r="A1957" s="15" t="str">
        <f>IF(C1957="","",COUNTA($C$3:C1957))</f>
        <v/>
      </c>
      <c r="B1957" s="15" t="str">
        <f t="shared" si="243"/>
        <v/>
      </c>
      <c r="M1957" s="9"/>
      <c r="N1957" s="9"/>
      <c r="P1957" s="14"/>
      <c r="Q1957" s="85"/>
      <c r="R1957" s="89"/>
      <c r="U1957" s="11" t="str">
        <f t="shared" si="241"/>
        <v/>
      </c>
      <c r="V1957" s="12" t="str">
        <f t="shared" si="242"/>
        <v/>
      </c>
      <c r="Z1957" s="15"/>
    </row>
    <row r="1958" spans="1:26" x14ac:dyDescent="0.25">
      <c r="A1958" s="15" t="str">
        <f>IF(C1958="","",COUNTA($C$3:C1958))</f>
        <v/>
      </c>
      <c r="B1958" s="15" t="str">
        <f t="shared" si="243"/>
        <v/>
      </c>
      <c r="M1958" s="9"/>
      <c r="N1958" s="9"/>
      <c r="P1958" s="14"/>
      <c r="Q1958" s="85"/>
      <c r="R1958" s="89"/>
      <c r="U1958" s="11" t="str">
        <f t="shared" si="241"/>
        <v/>
      </c>
      <c r="V1958" s="12" t="str">
        <f t="shared" si="242"/>
        <v/>
      </c>
      <c r="Z1958" s="15"/>
    </row>
    <row r="1959" spans="1:26" x14ac:dyDescent="0.25">
      <c r="A1959" s="15" t="str">
        <f>IF(C1959="","",COUNTA($C$3:C1959))</f>
        <v/>
      </c>
      <c r="B1959" s="15" t="str">
        <f t="shared" si="243"/>
        <v/>
      </c>
      <c r="M1959" s="9"/>
      <c r="N1959" s="9"/>
      <c r="P1959" s="14"/>
      <c r="Q1959" s="85"/>
      <c r="R1959" s="89"/>
      <c r="U1959" s="11" t="str">
        <f t="shared" si="241"/>
        <v/>
      </c>
      <c r="V1959" s="12" t="str">
        <f t="shared" si="242"/>
        <v/>
      </c>
      <c r="Z1959" s="15"/>
    </row>
    <row r="1960" spans="1:26" x14ac:dyDescent="0.25">
      <c r="A1960" s="15" t="str">
        <f>IF(C1960="","",COUNTA($C$3:C1960))</f>
        <v/>
      </c>
      <c r="B1960" s="15" t="str">
        <f t="shared" si="243"/>
        <v/>
      </c>
      <c r="M1960" s="9"/>
      <c r="N1960" s="9"/>
      <c r="P1960" s="14"/>
      <c r="Q1960" s="85"/>
      <c r="R1960" s="89"/>
      <c r="U1960" s="11" t="str">
        <f t="shared" si="241"/>
        <v/>
      </c>
      <c r="V1960" s="12" t="str">
        <f t="shared" si="242"/>
        <v/>
      </c>
      <c r="Z1960" s="15"/>
    </row>
    <row r="1961" spans="1:26" x14ac:dyDescent="0.25">
      <c r="A1961" s="15" t="str">
        <f>IF(C1961="","",COUNTA($C$3:C1961))</f>
        <v/>
      </c>
      <c r="B1961" s="15" t="str">
        <f t="shared" si="243"/>
        <v/>
      </c>
      <c r="M1961" s="9"/>
      <c r="N1961" s="9"/>
      <c r="P1961" s="14"/>
      <c r="Q1961" s="85"/>
      <c r="R1961" s="89"/>
      <c r="U1961" s="11" t="str">
        <f t="shared" si="241"/>
        <v/>
      </c>
      <c r="V1961" s="12" t="str">
        <f t="shared" si="242"/>
        <v/>
      </c>
      <c r="Z1961" s="15"/>
    </row>
    <row r="1962" spans="1:26" x14ac:dyDescent="0.25">
      <c r="A1962" s="15" t="str">
        <f>IF(C1962="","",COUNTA($C$3:C1962))</f>
        <v/>
      </c>
      <c r="B1962" s="15" t="str">
        <f t="shared" si="243"/>
        <v/>
      </c>
      <c r="M1962" s="9"/>
      <c r="N1962" s="9"/>
      <c r="P1962" s="14"/>
      <c r="Q1962" s="85"/>
      <c r="R1962" s="89"/>
      <c r="U1962" s="11" t="str">
        <f t="shared" si="241"/>
        <v/>
      </c>
      <c r="V1962" s="12" t="str">
        <f t="shared" si="242"/>
        <v/>
      </c>
      <c r="Z1962" s="15"/>
    </row>
    <row r="1963" spans="1:26" x14ac:dyDescent="0.25">
      <c r="A1963" s="15" t="str">
        <f>IF(C1963="","",COUNTA($C$3:C1963))</f>
        <v/>
      </c>
      <c r="B1963" s="15" t="str">
        <f t="shared" si="243"/>
        <v/>
      </c>
      <c r="M1963" s="9"/>
      <c r="N1963" s="9"/>
      <c r="P1963" s="14"/>
      <c r="Q1963" s="85"/>
      <c r="R1963" s="89"/>
      <c r="U1963" s="11" t="str">
        <f t="shared" si="241"/>
        <v/>
      </c>
      <c r="V1963" s="12" t="str">
        <f t="shared" si="242"/>
        <v/>
      </c>
      <c r="Z1963" s="15"/>
    </row>
    <row r="1964" spans="1:26" x14ac:dyDescent="0.25">
      <c r="A1964" s="15" t="str">
        <f>IF(C1964="","",COUNTA($C$3:C1964))</f>
        <v/>
      </c>
      <c r="B1964" s="15" t="str">
        <f t="shared" si="243"/>
        <v/>
      </c>
      <c r="M1964" s="9"/>
      <c r="N1964" s="9"/>
      <c r="P1964" s="14"/>
      <c r="Q1964" s="85"/>
      <c r="R1964" s="89"/>
      <c r="U1964" s="11" t="str">
        <f t="shared" si="241"/>
        <v/>
      </c>
      <c r="V1964" s="12" t="str">
        <f t="shared" si="242"/>
        <v/>
      </c>
      <c r="Z1964" s="15"/>
    </row>
    <row r="1965" spans="1:26" x14ac:dyDescent="0.25">
      <c r="A1965" s="15" t="str">
        <f>IF(C1965="","",COUNTA($C$3:C1965))</f>
        <v/>
      </c>
      <c r="B1965" s="15" t="str">
        <f t="shared" si="243"/>
        <v/>
      </c>
      <c r="M1965" s="9"/>
      <c r="N1965" s="9"/>
      <c r="P1965" s="14"/>
      <c r="Q1965" s="85"/>
      <c r="R1965" s="89"/>
      <c r="U1965" s="11" t="str">
        <f t="shared" si="241"/>
        <v/>
      </c>
      <c r="V1965" s="12" t="str">
        <f t="shared" si="242"/>
        <v/>
      </c>
      <c r="Z1965" s="15"/>
    </row>
    <row r="1966" spans="1:26" x14ac:dyDescent="0.25">
      <c r="A1966" s="15" t="str">
        <f>IF(C1966="","",COUNTA($C$3:C1966))</f>
        <v/>
      </c>
      <c r="B1966" s="15" t="str">
        <f t="shared" si="243"/>
        <v/>
      </c>
      <c r="M1966" s="9"/>
      <c r="N1966" s="9"/>
      <c r="P1966" s="14"/>
      <c r="Q1966" s="85"/>
      <c r="R1966" s="89"/>
      <c r="U1966" s="11" t="str">
        <f t="shared" si="241"/>
        <v/>
      </c>
      <c r="V1966" s="12" t="str">
        <f t="shared" si="242"/>
        <v/>
      </c>
      <c r="Z1966" s="15"/>
    </row>
    <row r="1967" spans="1:26" x14ac:dyDescent="0.25">
      <c r="A1967" s="15" t="str">
        <f>IF(C1967="","",COUNTA($C$3:C1967))</f>
        <v/>
      </c>
      <c r="B1967" s="15" t="str">
        <f t="shared" si="243"/>
        <v/>
      </c>
      <c r="M1967" s="9"/>
      <c r="N1967" s="9"/>
      <c r="P1967" s="14"/>
      <c r="Q1967" s="85"/>
      <c r="R1967" s="89"/>
      <c r="U1967" s="11" t="str">
        <f t="shared" si="241"/>
        <v/>
      </c>
      <c r="V1967" s="12" t="str">
        <f t="shared" si="242"/>
        <v/>
      </c>
      <c r="Z1967" s="15"/>
    </row>
    <row r="1968" spans="1:26" x14ac:dyDescent="0.25">
      <c r="A1968" s="15" t="str">
        <f>IF(C1968="","",COUNTA($C$3:C1968))</f>
        <v/>
      </c>
      <c r="B1968" s="15" t="str">
        <f t="shared" si="243"/>
        <v/>
      </c>
      <c r="M1968" s="9"/>
      <c r="N1968" s="9"/>
      <c r="P1968" s="14"/>
      <c r="Q1968" s="85"/>
      <c r="R1968" s="89"/>
      <c r="U1968" s="11" t="str">
        <f t="shared" si="241"/>
        <v/>
      </c>
      <c r="V1968" s="12" t="str">
        <f t="shared" si="242"/>
        <v/>
      </c>
      <c r="Z1968" s="15"/>
    </row>
    <row r="1969" spans="1:26" x14ac:dyDescent="0.25">
      <c r="A1969" s="15" t="str">
        <f>IF(C1969="","",COUNTA($C$3:C1969))</f>
        <v/>
      </c>
      <c r="B1969" s="15" t="str">
        <f t="shared" si="243"/>
        <v/>
      </c>
      <c r="M1969" s="9"/>
      <c r="N1969" s="9"/>
      <c r="P1969" s="14"/>
      <c r="Q1969" s="85"/>
      <c r="R1969" s="89"/>
      <c r="U1969" s="11" t="str">
        <f t="shared" si="241"/>
        <v/>
      </c>
      <c r="V1969" s="12" t="str">
        <f t="shared" si="242"/>
        <v/>
      </c>
      <c r="Z1969" s="15"/>
    </row>
    <row r="1970" spans="1:26" x14ac:dyDescent="0.25">
      <c r="A1970" s="15" t="str">
        <f>IF(C1970="","",COUNTA($C$3:C1970))</f>
        <v/>
      </c>
      <c r="B1970" s="15" t="str">
        <f t="shared" si="243"/>
        <v/>
      </c>
      <c r="M1970" s="9"/>
      <c r="N1970" s="9"/>
      <c r="P1970" s="14"/>
      <c r="Q1970" s="85"/>
      <c r="R1970" s="89"/>
      <c r="U1970" s="11" t="str">
        <f t="shared" si="241"/>
        <v/>
      </c>
      <c r="V1970" s="12" t="str">
        <f t="shared" si="242"/>
        <v/>
      </c>
      <c r="Z1970" s="15"/>
    </row>
    <row r="1971" spans="1:26" x14ac:dyDescent="0.25">
      <c r="A1971" s="15" t="str">
        <f>IF(C1971="","",COUNTA($C$3:C1971))</f>
        <v/>
      </c>
      <c r="B1971" s="15" t="str">
        <f t="shared" si="243"/>
        <v/>
      </c>
      <c r="M1971" s="9"/>
      <c r="N1971" s="9"/>
      <c r="P1971" s="14"/>
      <c r="Q1971" s="85"/>
      <c r="R1971" s="89"/>
      <c r="U1971" s="11" t="str">
        <f t="shared" si="241"/>
        <v/>
      </c>
      <c r="V1971" s="12" t="str">
        <f t="shared" si="242"/>
        <v/>
      </c>
      <c r="Z1971" s="15"/>
    </row>
    <row r="1972" spans="1:26" x14ac:dyDescent="0.25">
      <c r="A1972" s="15" t="str">
        <f>IF(C1972="","",COUNTA($C$3:C1972))</f>
        <v/>
      </c>
      <c r="B1972" s="15" t="str">
        <f t="shared" si="243"/>
        <v/>
      </c>
      <c r="M1972" s="9"/>
      <c r="N1972" s="9"/>
      <c r="P1972" s="14"/>
      <c r="Q1972" s="85"/>
      <c r="R1972" s="89"/>
      <c r="U1972" s="11" t="str">
        <f t="shared" si="241"/>
        <v/>
      </c>
      <c r="V1972" s="12" t="str">
        <f t="shared" si="242"/>
        <v/>
      </c>
      <c r="Z1972" s="15"/>
    </row>
    <row r="1973" spans="1:26" x14ac:dyDescent="0.25">
      <c r="A1973" s="15" t="str">
        <f>IF(C1973="","",COUNTA($C$3:C1973))</f>
        <v/>
      </c>
      <c r="B1973" s="15" t="str">
        <f t="shared" si="243"/>
        <v/>
      </c>
      <c r="M1973" s="9"/>
      <c r="N1973" s="9"/>
      <c r="P1973" s="14"/>
      <c r="Q1973" s="85"/>
      <c r="R1973" s="89"/>
      <c r="U1973" s="11" t="str">
        <f t="shared" si="241"/>
        <v/>
      </c>
      <c r="V1973" s="12" t="str">
        <f t="shared" si="242"/>
        <v/>
      </c>
      <c r="Z1973" s="15"/>
    </row>
    <row r="1974" spans="1:26" x14ac:dyDescent="0.25">
      <c r="A1974" s="15" t="str">
        <f>IF(C1974="","",COUNTA($C$3:C1974))</f>
        <v/>
      </c>
      <c r="B1974" s="15" t="str">
        <f t="shared" si="243"/>
        <v/>
      </c>
      <c r="M1974" s="9"/>
      <c r="N1974" s="9"/>
      <c r="P1974" s="14"/>
      <c r="Q1974" s="85"/>
      <c r="R1974" s="89"/>
      <c r="U1974" s="11" t="str">
        <f t="shared" si="241"/>
        <v/>
      </c>
      <c r="V1974" s="12" t="str">
        <f t="shared" si="242"/>
        <v/>
      </c>
      <c r="Z1974" s="15"/>
    </row>
    <row r="1975" spans="1:26" x14ac:dyDescent="0.25">
      <c r="A1975" s="15" t="str">
        <f>IF(C1975="","",COUNTA($C$3:C1975))</f>
        <v/>
      </c>
      <c r="B1975" s="15" t="str">
        <f t="shared" si="243"/>
        <v/>
      </c>
      <c r="M1975" s="9"/>
      <c r="N1975" s="9"/>
      <c r="P1975" s="14"/>
      <c r="Q1975" s="85"/>
      <c r="R1975" s="89"/>
      <c r="U1975" s="11" t="str">
        <f t="shared" si="241"/>
        <v/>
      </c>
      <c r="V1975" s="12" t="str">
        <f t="shared" si="242"/>
        <v/>
      </c>
      <c r="Z1975" s="15"/>
    </row>
    <row r="1976" spans="1:26" x14ac:dyDescent="0.25">
      <c r="A1976" s="15" t="str">
        <f>IF(C1976="","",COUNTA($C$3:C1976))</f>
        <v/>
      </c>
      <c r="B1976" s="15" t="str">
        <f t="shared" si="243"/>
        <v/>
      </c>
      <c r="M1976" s="9"/>
      <c r="N1976" s="9"/>
      <c r="P1976" s="14"/>
      <c r="Q1976" s="85"/>
      <c r="R1976" s="89"/>
      <c r="U1976" s="11" t="str">
        <f t="shared" si="241"/>
        <v/>
      </c>
      <c r="V1976" s="12" t="str">
        <f t="shared" si="242"/>
        <v/>
      </c>
      <c r="Z1976" s="15"/>
    </row>
    <row r="1977" spans="1:26" x14ac:dyDescent="0.25">
      <c r="A1977" s="15" t="str">
        <f>IF(C1977="","",COUNTA($C$3:C1977))</f>
        <v/>
      </c>
      <c r="B1977" s="15" t="str">
        <f t="shared" si="243"/>
        <v/>
      </c>
      <c r="M1977" s="9"/>
      <c r="N1977" s="9"/>
      <c r="P1977" s="14"/>
      <c r="Q1977" s="85"/>
      <c r="R1977" s="89"/>
      <c r="U1977" s="11" t="str">
        <f t="shared" si="241"/>
        <v/>
      </c>
      <c r="V1977" s="12" t="str">
        <f t="shared" si="242"/>
        <v/>
      </c>
      <c r="Z1977" s="15"/>
    </row>
    <row r="1978" spans="1:26" x14ac:dyDescent="0.25">
      <c r="A1978" s="15" t="str">
        <f>IF(C1978="","",COUNTA($C$3:C1978))</f>
        <v/>
      </c>
      <c r="B1978" s="15" t="str">
        <f t="shared" si="243"/>
        <v/>
      </c>
      <c r="M1978" s="9"/>
      <c r="N1978" s="9"/>
      <c r="P1978" s="14"/>
      <c r="Q1978" s="85"/>
      <c r="R1978" s="89"/>
      <c r="U1978" s="11" t="str">
        <f t="shared" si="241"/>
        <v/>
      </c>
      <c r="V1978" s="12" t="str">
        <f t="shared" si="242"/>
        <v/>
      </c>
      <c r="Z1978" s="15"/>
    </row>
    <row r="1979" spans="1:26" x14ac:dyDescent="0.25">
      <c r="A1979" s="15" t="str">
        <f>IF(C1979="","",COUNTA($C$3:C1979))</f>
        <v/>
      </c>
      <c r="B1979" s="15" t="str">
        <f t="shared" si="243"/>
        <v/>
      </c>
      <c r="M1979" s="9"/>
      <c r="N1979" s="9"/>
      <c r="P1979" s="14"/>
      <c r="Q1979" s="85"/>
      <c r="R1979" s="89"/>
      <c r="U1979" s="11" t="str">
        <f t="shared" si="241"/>
        <v/>
      </c>
      <c r="V1979" s="12" t="str">
        <f t="shared" si="242"/>
        <v/>
      </c>
      <c r="Z1979" s="15"/>
    </row>
    <row r="1980" spans="1:26" x14ac:dyDescent="0.25">
      <c r="A1980" s="15" t="str">
        <f>IF(C1980="","",COUNTA($C$3:C1980))</f>
        <v/>
      </c>
      <c r="B1980" s="15" t="str">
        <f t="shared" si="243"/>
        <v/>
      </c>
      <c r="M1980" s="9"/>
      <c r="N1980" s="9"/>
      <c r="P1980" s="14"/>
      <c r="Q1980" s="85"/>
      <c r="R1980" s="89"/>
      <c r="U1980" s="11" t="str">
        <f t="shared" si="241"/>
        <v/>
      </c>
      <c r="V1980" s="12" t="str">
        <f t="shared" si="242"/>
        <v/>
      </c>
      <c r="Z1980" s="15"/>
    </row>
    <row r="1981" spans="1:26" x14ac:dyDescent="0.25">
      <c r="A1981" s="15" t="str">
        <f>IF(C1981="","",COUNTA($C$3:C1981))</f>
        <v/>
      </c>
      <c r="B1981" s="15" t="str">
        <f t="shared" si="243"/>
        <v/>
      </c>
      <c r="M1981" s="9"/>
      <c r="N1981" s="9"/>
      <c r="P1981" s="14"/>
      <c r="Q1981" s="85"/>
      <c r="R1981" s="89"/>
      <c r="U1981" s="11" t="str">
        <f t="shared" si="241"/>
        <v/>
      </c>
      <c r="V1981" s="12" t="str">
        <f t="shared" si="242"/>
        <v/>
      </c>
      <c r="Z1981" s="15"/>
    </row>
    <row r="1982" spans="1:26" x14ac:dyDescent="0.25">
      <c r="A1982" s="15" t="str">
        <f>IF(C1982="","",COUNTA($C$3:C1982))</f>
        <v/>
      </c>
      <c r="B1982" s="15" t="str">
        <f t="shared" si="243"/>
        <v/>
      </c>
      <c r="M1982" s="9"/>
      <c r="N1982" s="9"/>
      <c r="P1982" s="14"/>
      <c r="Q1982" s="85"/>
      <c r="R1982" s="89"/>
      <c r="U1982" s="11" t="str">
        <f t="shared" si="241"/>
        <v/>
      </c>
      <c r="V1982" s="12" t="str">
        <f t="shared" si="242"/>
        <v/>
      </c>
      <c r="Z1982" s="15"/>
    </row>
    <row r="1983" spans="1:26" x14ac:dyDescent="0.25">
      <c r="A1983" s="15" t="str">
        <f>IF(C1983="","",COUNTA($C$3:C1983))</f>
        <v/>
      </c>
      <c r="B1983" s="15" t="str">
        <f t="shared" si="243"/>
        <v/>
      </c>
      <c r="M1983" s="9"/>
      <c r="N1983" s="9"/>
      <c r="P1983" s="14"/>
      <c r="Q1983" s="85"/>
      <c r="R1983" s="89"/>
      <c r="U1983" s="11" t="str">
        <f t="shared" si="241"/>
        <v/>
      </c>
      <c r="V1983" s="12" t="str">
        <f t="shared" si="242"/>
        <v/>
      </c>
      <c r="Z1983" s="15"/>
    </row>
    <row r="1984" spans="1:26" x14ac:dyDescent="0.25">
      <c r="A1984" s="15" t="str">
        <f>IF(C1984="","",COUNTA($C$3:C1984))</f>
        <v/>
      </c>
      <c r="B1984" s="15" t="str">
        <f t="shared" si="243"/>
        <v/>
      </c>
      <c r="M1984" s="9"/>
      <c r="N1984" s="9"/>
      <c r="P1984" s="14"/>
      <c r="Q1984" s="85"/>
      <c r="R1984" s="89"/>
      <c r="U1984" s="11" t="str">
        <f t="shared" si="241"/>
        <v/>
      </c>
      <c r="V1984" s="12" t="str">
        <f t="shared" si="242"/>
        <v/>
      </c>
      <c r="Z1984" s="15"/>
    </row>
    <row r="1985" spans="1:26" x14ac:dyDescent="0.25">
      <c r="A1985" s="15" t="str">
        <f>IF(C1985="","",COUNTA($C$3:C1985))</f>
        <v/>
      </c>
      <c r="B1985" s="15" t="str">
        <f t="shared" si="243"/>
        <v/>
      </c>
      <c r="M1985" s="9"/>
      <c r="N1985" s="9"/>
      <c r="P1985" s="14"/>
      <c r="Q1985" s="85"/>
      <c r="R1985" s="89"/>
      <c r="U1985" s="11" t="str">
        <f t="shared" si="241"/>
        <v/>
      </c>
      <c r="V1985" s="12" t="str">
        <f t="shared" si="242"/>
        <v/>
      </c>
      <c r="Z1985" s="15"/>
    </row>
    <row r="1986" spans="1:26" x14ac:dyDescent="0.25">
      <c r="A1986" s="15" t="str">
        <f>IF(C1986="","",COUNTA($C$3:C1986))</f>
        <v/>
      </c>
      <c r="B1986" s="15" t="str">
        <f t="shared" si="243"/>
        <v/>
      </c>
      <c r="M1986" s="9"/>
      <c r="N1986" s="9"/>
      <c r="P1986" s="14"/>
      <c r="Q1986" s="85"/>
      <c r="R1986" s="89"/>
      <c r="U1986" s="11" t="str">
        <f t="shared" ref="U1986:U2049" si="244">IF(S1986="","",(S1986-T1986))</f>
        <v/>
      </c>
      <c r="V1986" s="12" t="str">
        <f t="shared" ref="V1986:V2049" si="245">IF(U1986="","",(U1986/T1986))</f>
        <v/>
      </c>
      <c r="Z1986" s="15"/>
    </row>
    <row r="1987" spans="1:26" x14ac:dyDescent="0.25">
      <c r="A1987" s="15" t="str">
        <f>IF(C1987="","",COUNTA($C$3:C1987))</f>
        <v/>
      </c>
      <c r="B1987" s="15" t="str">
        <f t="shared" ref="B1987:B2050" si="246">IF(C1987="","",TEXT(C1987,"mmmm"))</f>
        <v/>
      </c>
      <c r="M1987" s="9"/>
      <c r="N1987" s="9"/>
      <c r="P1987" s="14"/>
      <c r="Q1987" s="85"/>
      <c r="R1987" s="89"/>
      <c r="U1987" s="11" t="str">
        <f t="shared" si="244"/>
        <v/>
      </c>
      <c r="V1987" s="12" t="str">
        <f t="shared" si="245"/>
        <v/>
      </c>
      <c r="Z1987" s="15"/>
    </row>
    <row r="1988" spans="1:26" x14ac:dyDescent="0.25">
      <c r="A1988" s="15" t="str">
        <f>IF(C1988="","",COUNTA($C$3:C1988))</f>
        <v/>
      </c>
      <c r="B1988" s="15" t="str">
        <f t="shared" si="246"/>
        <v/>
      </c>
      <c r="M1988" s="9"/>
      <c r="N1988" s="9"/>
      <c r="P1988" s="14"/>
      <c r="Q1988" s="85"/>
      <c r="R1988" s="89"/>
      <c r="U1988" s="11" t="str">
        <f t="shared" si="244"/>
        <v/>
      </c>
      <c r="V1988" s="12" t="str">
        <f t="shared" si="245"/>
        <v/>
      </c>
      <c r="Z1988" s="15"/>
    </row>
    <row r="1989" spans="1:26" x14ac:dyDescent="0.25">
      <c r="A1989" s="15" t="str">
        <f>IF(C1989="","",COUNTA($C$3:C1989))</f>
        <v/>
      </c>
      <c r="B1989" s="15" t="str">
        <f t="shared" si="246"/>
        <v/>
      </c>
      <c r="M1989" s="9"/>
      <c r="N1989" s="9"/>
      <c r="P1989" s="14"/>
      <c r="Q1989" s="85"/>
      <c r="R1989" s="89"/>
      <c r="U1989" s="11" t="str">
        <f t="shared" si="244"/>
        <v/>
      </c>
      <c r="V1989" s="12" t="str">
        <f t="shared" si="245"/>
        <v/>
      </c>
      <c r="Z1989" s="15"/>
    </row>
    <row r="1990" spans="1:26" x14ac:dyDescent="0.25">
      <c r="A1990" s="15" t="str">
        <f>IF(C1990="","",COUNTA($C$3:C1990))</f>
        <v/>
      </c>
      <c r="B1990" s="15" t="str">
        <f t="shared" si="246"/>
        <v/>
      </c>
      <c r="M1990" s="9"/>
      <c r="N1990" s="9"/>
      <c r="P1990" s="14"/>
      <c r="Q1990" s="85"/>
      <c r="R1990" s="89"/>
      <c r="U1990" s="11" t="str">
        <f t="shared" si="244"/>
        <v/>
      </c>
      <c r="V1990" s="12" t="str">
        <f t="shared" si="245"/>
        <v/>
      </c>
      <c r="Z1990" s="15"/>
    </row>
    <row r="1991" spans="1:26" x14ac:dyDescent="0.25">
      <c r="A1991" s="15" t="str">
        <f>IF(C1991="","",COUNTA($C$3:C1991))</f>
        <v/>
      </c>
      <c r="B1991" s="15" t="str">
        <f t="shared" si="246"/>
        <v/>
      </c>
      <c r="M1991" s="9"/>
      <c r="N1991" s="9"/>
      <c r="P1991" s="14"/>
      <c r="Q1991" s="85"/>
      <c r="R1991" s="89"/>
      <c r="U1991" s="11" t="str">
        <f t="shared" si="244"/>
        <v/>
      </c>
      <c r="V1991" s="12" t="str">
        <f t="shared" si="245"/>
        <v/>
      </c>
      <c r="Z1991" s="15"/>
    </row>
    <row r="1992" spans="1:26" x14ac:dyDescent="0.25">
      <c r="A1992" s="15" t="str">
        <f>IF(C1992="","",COUNTA($C$3:C1992))</f>
        <v/>
      </c>
      <c r="B1992" s="15" t="str">
        <f t="shared" si="246"/>
        <v/>
      </c>
      <c r="M1992" s="9"/>
      <c r="N1992" s="9"/>
      <c r="P1992" s="14"/>
      <c r="Q1992" s="85"/>
      <c r="R1992" s="89"/>
      <c r="U1992" s="11" t="str">
        <f t="shared" si="244"/>
        <v/>
      </c>
      <c r="V1992" s="12" t="str">
        <f t="shared" si="245"/>
        <v/>
      </c>
      <c r="Z1992" s="15"/>
    </row>
    <row r="1993" spans="1:26" x14ac:dyDescent="0.25">
      <c r="A1993" s="15" t="str">
        <f>IF(C1993="","",COUNTA($C$3:C1993))</f>
        <v/>
      </c>
      <c r="B1993" s="15" t="str">
        <f t="shared" si="246"/>
        <v/>
      </c>
      <c r="M1993" s="9"/>
      <c r="N1993" s="9"/>
      <c r="P1993" s="14"/>
      <c r="Q1993" s="85"/>
      <c r="R1993" s="89"/>
      <c r="U1993" s="11" t="str">
        <f t="shared" si="244"/>
        <v/>
      </c>
      <c r="V1993" s="12" t="str">
        <f t="shared" si="245"/>
        <v/>
      </c>
      <c r="Z1993" s="15"/>
    </row>
    <row r="1994" spans="1:26" x14ac:dyDescent="0.25">
      <c r="A1994" s="15" t="str">
        <f>IF(C1994="","",COUNTA($C$3:C1994))</f>
        <v/>
      </c>
      <c r="B1994" s="15" t="str">
        <f t="shared" si="246"/>
        <v/>
      </c>
      <c r="M1994" s="9"/>
      <c r="N1994" s="9"/>
      <c r="P1994" s="14"/>
      <c r="Q1994" s="85"/>
      <c r="R1994" s="89"/>
      <c r="U1994" s="11" t="str">
        <f t="shared" si="244"/>
        <v/>
      </c>
      <c r="V1994" s="12" t="str">
        <f t="shared" si="245"/>
        <v/>
      </c>
      <c r="Z1994" s="15"/>
    </row>
    <row r="1995" spans="1:26" x14ac:dyDescent="0.25">
      <c r="A1995" s="15" t="str">
        <f>IF(C1995="","",COUNTA($C$3:C1995))</f>
        <v/>
      </c>
      <c r="B1995" s="15" t="str">
        <f t="shared" si="246"/>
        <v/>
      </c>
      <c r="M1995" s="9"/>
      <c r="N1995" s="9"/>
      <c r="P1995" s="14"/>
      <c r="Q1995" s="85"/>
      <c r="R1995" s="89"/>
      <c r="U1995" s="11" t="str">
        <f t="shared" si="244"/>
        <v/>
      </c>
      <c r="V1995" s="12" t="str">
        <f t="shared" si="245"/>
        <v/>
      </c>
      <c r="Z1995" s="15"/>
    </row>
    <row r="1996" spans="1:26" x14ac:dyDescent="0.25">
      <c r="A1996" s="15" t="str">
        <f>IF(C1996="","",COUNTA($C$3:C1996))</f>
        <v/>
      </c>
      <c r="B1996" s="15" t="str">
        <f t="shared" si="246"/>
        <v/>
      </c>
      <c r="M1996" s="9"/>
      <c r="N1996" s="9"/>
      <c r="P1996" s="14"/>
      <c r="Q1996" s="85"/>
      <c r="R1996" s="89"/>
      <c r="U1996" s="11" t="str">
        <f t="shared" si="244"/>
        <v/>
      </c>
      <c r="V1996" s="12" t="str">
        <f t="shared" si="245"/>
        <v/>
      </c>
      <c r="Z1996" s="15"/>
    </row>
    <row r="1997" spans="1:26" x14ac:dyDescent="0.25">
      <c r="A1997" s="15" t="str">
        <f>IF(C1997="","",COUNTA($C$3:C1997))</f>
        <v/>
      </c>
      <c r="B1997" s="15" t="str">
        <f t="shared" si="246"/>
        <v/>
      </c>
      <c r="M1997" s="9"/>
      <c r="N1997" s="9"/>
      <c r="P1997" s="14"/>
      <c r="Q1997" s="85"/>
      <c r="R1997" s="89"/>
      <c r="U1997" s="11" t="str">
        <f t="shared" si="244"/>
        <v/>
      </c>
      <c r="V1997" s="12" t="str">
        <f t="shared" si="245"/>
        <v/>
      </c>
      <c r="Z1997" s="15"/>
    </row>
    <row r="1998" spans="1:26" x14ac:dyDescent="0.25">
      <c r="A1998" s="15" t="str">
        <f>IF(C1998="","",COUNTA($C$3:C1998))</f>
        <v/>
      </c>
      <c r="B1998" s="15" t="str">
        <f t="shared" si="246"/>
        <v/>
      </c>
      <c r="M1998" s="9"/>
      <c r="N1998" s="9"/>
      <c r="P1998" s="14"/>
      <c r="Q1998" s="85"/>
      <c r="R1998" s="89"/>
      <c r="U1998" s="11" t="str">
        <f t="shared" si="244"/>
        <v/>
      </c>
      <c r="V1998" s="12" t="str">
        <f t="shared" si="245"/>
        <v/>
      </c>
      <c r="Z1998" s="15"/>
    </row>
    <row r="1999" spans="1:26" x14ac:dyDescent="0.25">
      <c r="A1999" s="15" t="str">
        <f>IF(C1999="","",COUNTA($C$3:C1999))</f>
        <v/>
      </c>
      <c r="B1999" s="15" t="str">
        <f t="shared" si="246"/>
        <v/>
      </c>
      <c r="M1999" s="9"/>
      <c r="N1999" s="9"/>
      <c r="P1999" s="14"/>
      <c r="Q1999" s="85"/>
      <c r="R1999" s="89"/>
      <c r="U1999" s="11" t="str">
        <f t="shared" si="244"/>
        <v/>
      </c>
      <c r="V1999" s="12" t="str">
        <f t="shared" si="245"/>
        <v/>
      </c>
      <c r="Z1999" s="15"/>
    </row>
    <row r="2000" spans="1:26" x14ac:dyDescent="0.25">
      <c r="A2000" s="15" t="str">
        <f>IF(C2000="","",COUNTA($C$3:C2000))</f>
        <v/>
      </c>
      <c r="B2000" s="15" t="str">
        <f t="shared" si="246"/>
        <v/>
      </c>
      <c r="M2000" s="9"/>
      <c r="N2000" s="9"/>
      <c r="P2000" s="14"/>
      <c r="Q2000" s="85"/>
      <c r="R2000" s="89"/>
      <c r="U2000" s="11" t="str">
        <f t="shared" si="244"/>
        <v/>
      </c>
      <c r="V2000" s="12" t="str">
        <f t="shared" si="245"/>
        <v/>
      </c>
      <c r="Z2000" s="15"/>
    </row>
    <row r="2001" spans="1:26" x14ac:dyDescent="0.25">
      <c r="A2001" s="15" t="str">
        <f>IF(C2001="","",COUNTA($C$3:C2001))</f>
        <v/>
      </c>
      <c r="B2001" s="15" t="str">
        <f t="shared" si="246"/>
        <v/>
      </c>
      <c r="M2001" s="9"/>
      <c r="N2001" s="9"/>
      <c r="P2001" s="14"/>
      <c r="Q2001" s="85"/>
      <c r="R2001" s="89"/>
      <c r="U2001" s="11" t="str">
        <f t="shared" si="244"/>
        <v/>
      </c>
      <c r="V2001" s="12" t="str">
        <f t="shared" si="245"/>
        <v/>
      </c>
      <c r="Z2001" s="15"/>
    </row>
    <row r="2002" spans="1:26" x14ac:dyDescent="0.25">
      <c r="A2002" s="15" t="str">
        <f>IF(C2002="","",COUNTA($C$3:C2002))</f>
        <v/>
      </c>
      <c r="B2002" s="15" t="str">
        <f t="shared" si="246"/>
        <v/>
      </c>
      <c r="M2002" s="9"/>
      <c r="N2002" s="9"/>
      <c r="P2002" s="14"/>
      <c r="Q2002" s="85"/>
      <c r="R2002" s="89"/>
      <c r="U2002" s="11" t="str">
        <f t="shared" si="244"/>
        <v/>
      </c>
      <c r="V2002" s="12" t="str">
        <f t="shared" si="245"/>
        <v/>
      </c>
      <c r="Z2002" s="15"/>
    </row>
    <row r="2003" spans="1:26" x14ac:dyDescent="0.25">
      <c r="A2003" s="15" t="str">
        <f>IF(C2003="","",COUNTA($C$3:C2003))</f>
        <v/>
      </c>
      <c r="B2003" s="15" t="str">
        <f t="shared" si="246"/>
        <v/>
      </c>
      <c r="M2003" s="9"/>
      <c r="N2003" s="9"/>
      <c r="P2003" s="14"/>
      <c r="Q2003" s="85"/>
      <c r="R2003" s="89"/>
      <c r="U2003" s="11" t="str">
        <f t="shared" si="244"/>
        <v/>
      </c>
      <c r="V2003" s="12" t="str">
        <f t="shared" si="245"/>
        <v/>
      </c>
      <c r="Z2003" s="15"/>
    </row>
    <row r="2004" spans="1:26" x14ac:dyDescent="0.25">
      <c r="A2004" s="15" t="str">
        <f>IF(C2004="","",COUNTA($C$3:C2004))</f>
        <v/>
      </c>
      <c r="B2004" s="15" t="str">
        <f t="shared" si="246"/>
        <v/>
      </c>
      <c r="M2004" s="9"/>
      <c r="N2004" s="9"/>
      <c r="P2004" s="14"/>
      <c r="Q2004" s="85"/>
      <c r="R2004" s="89"/>
      <c r="U2004" s="11" t="str">
        <f t="shared" si="244"/>
        <v/>
      </c>
      <c r="V2004" s="12" t="str">
        <f t="shared" si="245"/>
        <v/>
      </c>
      <c r="Z2004" s="15"/>
    </row>
    <row r="2005" spans="1:26" x14ac:dyDescent="0.25">
      <c r="A2005" s="15" t="str">
        <f>IF(C2005="","",COUNTA($C$3:C2005))</f>
        <v/>
      </c>
      <c r="B2005" s="15" t="str">
        <f t="shared" si="246"/>
        <v/>
      </c>
      <c r="M2005" s="9"/>
      <c r="N2005" s="9"/>
      <c r="P2005" s="14"/>
      <c r="Q2005" s="85"/>
      <c r="R2005" s="89"/>
      <c r="U2005" s="11" t="str">
        <f t="shared" si="244"/>
        <v/>
      </c>
      <c r="V2005" s="12" t="str">
        <f t="shared" si="245"/>
        <v/>
      </c>
      <c r="Z2005" s="15"/>
    </row>
    <row r="2006" spans="1:26" x14ac:dyDescent="0.25">
      <c r="A2006" s="15" t="str">
        <f>IF(C2006="","",COUNTA($C$3:C2006))</f>
        <v/>
      </c>
      <c r="B2006" s="15" t="str">
        <f t="shared" si="246"/>
        <v/>
      </c>
      <c r="M2006" s="9"/>
      <c r="N2006" s="9"/>
      <c r="P2006" s="14"/>
      <c r="Q2006" s="85"/>
      <c r="R2006" s="89"/>
      <c r="U2006" s="11" t="str">
        <f t="shared" si="244"/>
        <v/>
      </c>
      <c r="V2006" s="12" t="str">
        <f t="shared" si="245"/>
        <v/>
      </c>
      <c r="Z2006" s="15"/>
    </row>
    <row r="2007" spans="1:26" x14ac:dyDescent="0.25">
      <c r="A2007" s="15" t="str">
        <f>IF(C2007="","",COUNTA($C$3:C2007))</f>
        <v/>
      </c>
      <c r="B2007" s="15" t="str">
        <f t="shared" si="246"/>
        <v/>
      </c>
      <c r="M2007" s="9"/>
      <c r="N2007" s="9"/>
      <c r="P2007" s="14"/>
      <c r="Q2007" s="85"/>
      <c r="R2007" s="89"/>
      <c r="U2007" s="11" t="str">
        <f t="shared" si="244"/>
        <v/>
      </c>
      <c r="V2007" s="12" t="str">
        <f t="shared" si="245"/>
        <v/>
      </c>
      <c r="Z2007" s="15"/>
    </row>
    <row r="2008" spans="1:26" x14ac:dyDescent="0.25">
      <c r="A2008" s="15" t="str">
        <f>IF(C2008="","",COUNTA($C$3:C2008))</f>
        <v/>
      </c>
      <c r="B2008" s="15" t="str">
        <f t="shared" si="246"/>
        <v/>
      </c>
      <c r="M2008" s="9"/>
      <c r="N2008" s="9"/>
      <c r="P2008" s="14"/>
      <c r="Q2008" s="85"/>
      <c r="R2008" s="89"/>
      <c r="U2008" s="11" t="str">
        <f t="shared" si="244"/>
        <v/>
      </c>
      <c r="V2008" s="12" t="str">
        <f t="shared" si="245"/>
        <v/>
      </c>
      <c r="Z2008" s="15"/>
    </row>
    <row r="2009" spans="1:26" x14ac:dyDescent="0.25">
      <c r="A2009" s="15" t="str">
        <f>IF(C2009="","",COUNTA($C$3:C2009))</f>
        <v/>
      </c>
      <c r="B2009" s="15" t="str">
        <f t="shared" si="246"/>
        <v/>
      </c>
      <c r="M2009" s="9"/>
      <c r="N2009" s="9"/>
      <c r="P2009" s="14"/>
      <c r="Q2009" s="85"/>
      <c r="R2009" s="89"/>
      <c r="U2009" s="11" t="str">
        <f t="shared" si="244"/>
        <v/>
      </c>
      <c r="V2009" s="12" t="str">
        <f t="shared" si="245"/>
        <v/>
      </c>
      <c r="Z2009" s="15"/>
    </row>
    <row r="2010" spans="1:26" x14ac:dyDescent="0.25">
      <c r="A2010" s="15" t="str">
        <f>IF(C2010="","",COUNTA($C$3:C2010))</f>
        <v/>
      </c>
      <c r="B2010" s="15" t="str">
        <f t="shared" si="246"/>
        <v/>
      </c>
      <c r="M2010" s="9"/>
      <c r="N2010" s="9"/>
      <c r="P2010" s="14"/>
      <c r="Q2010" s="85"/>
      <c r="R2010" s="89"/>
      <c r="U2010" s="11" t="str">
        <f t="shared" si="244"/>
        <v/>
      </c>
      <c r="V2010" s="12" t="str">
        <f t="shared" si="245"/>
        <v/>
      </c>
      <c r="Z2010" s="15"/>
    </row>
    <row r="2011" spans="1:26" x14ac:dyDescent="0.25">
      <c r="A2011" s="15" t="str">
        <f>IF(C2011="","",COUNTA($C$3:C2011))</f>
        <v/>
      </c>
      <c r="B2011" s="15" t="str">
        <f t="shared" si="246"/>
        <v/>
      </c>
      <c r="M2011" s="9"/>
      <c r="N2011" s="9"/>
      <c r="P2011" s="14"/>
      <c r="Q2011" s="85"/>
      <c r="R2011" s="89"/>
      <c r="U2011" s="11" t="str">
        <f t="shared" si="244"/>
        <v/>
      </c>
      <c r="V2011" s="12" t="str">
        <f t="shared" si="245"/>
        <v/>
      </c>
      <c r="Z2011" s="15"/>
    </row>
    <row r="2012" spans="1:26" x14ac:dyDescent="0.25">
      <c r="A2012" s="15" t="str">
        <f>IF(C2012="","",COUNTA($C$3:C2012))</f>
        <v/>
      </c>
      <c r="B2012" s="15" t="str">
        <f t="shared" si="246"/>
        <v/>
      </c>
      <c r="M2012" s="9"/>
      <c r="N2012" s="9"/>
      <c r="P2012" s="14"/>
      <c r="Q2012" s="85"/>
      <c r="R2012" s="89"/>
      <c r="U2012" s="11" t="str">
        <f t="shared" si="244"/>
        <v/>
      </c>
      <c r="V2012" s="12" t="str">
        <f t="shared" si="245"/>
        <v/>
      </c>
      <c r="Z2012" s="15"/>
    </row>
    <row r="2013" spans="1:26" x14ac:dyDescent="0.25">
      <c r="A2013" s="15" t="str">
        <f>IF(C2013="","",COUNTA($C$3:C2013))</f>
        <v/>
      </c>
      <c r="B2013" s="15" t="str">
        <f t="shared" si="246"/>
        <v/>
      </c>
      <c r="M2013" s="9"/>
      <c r="N2013" s="9"/>
      <c r="P2013" s="14"/>
      <c r="Q2013" s="85"/>
      <c r="R2013" s="89"/>
      <c r="U2013" s="11" t="str">
        <f t="shared" si="244"/>
        <v/>
      </c>
      <c r="V2013" s="12" t="str">
        <f t="shared" si="245"/>
        <v/>
      </c>
      <c r="Z2013" s="15"/>
    </row>
    <row r="2014" spans="1:26" x14ac:dyDescent="0.25">
      <c r="A2014" s="15" t="str">
        <f>IF(C2014="","",COUNTA($C$3:C2014))</f>
        <v/>
      </c>
      <c r="B2014" s="15" t="str">
        <f t="shared" si="246"/>
        <v/>
      </c>
      <c r="M2014" s="9"/>
      <c r="N2014" s="9"/>
      <c r="P2014" s="14"/>
      <c r="Q2014" s="85"/>
      <c r="R2014" s="89"/>
      <c r="U2014" s="11" t="str">
        <f t="shared" si="244"/>
        <v/>
      </c>
      <c r="V2014" s="12" t="str">
        <f t="shared" si="245"/>
        <v/>
      </c>
      <c r="Z2014" s="15"/>
    </row>
    <row r="2015" spans="1:26" x14ac:dyDescent="0.25">
      <c r="A2015" s="15" t="str">
        <f>IF(C2015="","",COUNTA($C$3:C2015))</f>
        <v/>
      </c>
      <c r="B2015" s="15" t="str">
        <f t="shared" si="246"/>
        <v/>
      </c>
      <c r="M2015" s="9"/>
      <c r="N2015" s="9"/>
      <c r="P2015" s="14"/>
      <c r="Q2015" s="85"/>
      <c r="R2015" s="89"/>
      <c r="U2015" s="11" t="str">
        <f t="shared" si="244"/>
        <v/>
      </c>
      <c r="V2015" s="12" t="str">
        <f t="shared" si="245"/>
        <v/>
      </c>
      <c r="Z2015" s="15"/>
    </row>
    <row r="2016" spans="1:26" x14ac:dyDescent="0.25">
      <c r="A2016" s="15" t="str">
        <f>IF(C2016="","",COUNTA($C$3:C2016))</f>
        <v/>
      </c>
      <c r="B2016" s="15" t="str">
        <f t="shared" si="246"/>
        <v/>
      </c>
      <c r="M2016" s="9"/>
      <c r="N2016" s="9"/>
      <c r="P2016" s="14"/>
      <c r="Q2016" s="85"/>
      <c r="R2016" s="89"/>
      <c r="U2016" s="11" t="str">
        <f t="shared" si="244"/>
        <v/>
      </c>
      <c r="V2016" s="12" t="str">
        <f t="shared" si="245"/>
        <v/>
      </c>
      <c r="Z2016" s="15"/>
    </row>
    <row r="2017" spans="1:26" x14ac:dyDescent="0.25">
      <c r="A2017" s="15" t="str">
        <f>IF(C2017="","",COUNTA($C$3:C2017))</f>
        <v/>
      </c>
      <c r="B2017" s="15" t="str">
        <f t="shared" si="246"/>
        <v/>
      </c>
      <c r="M2017" s="9"/>
      <c r="N2017" s="9"/>
      <c r="P2017" s="14"/>
      <c r="Q2017" s="85"/>
      <c r="R2017" s="89"/>
      <c r="U2017" s="11" t="str">
        <f t="shared" si="244"/>
        <v/>
      </c>
      <c r="V2017" s="12" t="str">
        <f t="shared" si="245"/>
        <v/>
      </c>
      <c r="Z2017" s="15"/>
    </row>
    <row r="2018" spans="1:26" x14ac:dyDescent="0.25">
      <c r="A2018" s="15" t="str">
        <f>IF(C2018="","",COUNTA($C$3:C2018))</f>
        <v/>
      </c>
      <c r="B2018" s="15" t="str">
        <f t="shared" si="246"/>
        <v/>
      </c>
      <c r="M2018" s="9"/>
      <c r="N2018" s="9"/>
      <c r="P2018" s="14"/>
      <c r="Q2018" s="85"/>
      <c r="R2018" s="89"/>
      <c r="U2018" s="11" t="str">
        <f t="shared" si="244"/>
        <v/>
      </c>
      <c r="V2018" s="12" t="str">
        <f t="shared" si="245"/>
        <v/>
      </c>
      <c r="Z2018" s="15"/>
    </row>
    <row r="2019" spans="1:26" x14ac:dyDescent="0.25">
      <c r="A2019" s="15" t="str">
        <f>IF(C2019="","",COUNTA($C$3:C2019))</f>
        <v/>
      </c>
      <c r="B2019" s="15" t="str">
        <f t="shared" si="246"/>
        <v/>
      </c>
      <c r="M2019" s="9"/>
      <c r="N2019" s="9"/>
      <c r="P2019" s="14"/>
      <c r="Q2019" s="85"/>
      <c r="R2019" s="89"/>
      <c r="U2019" s="11" t="str">
        <f t="shared" si="244"/>
        <v/>
      </c>
      <c r="V2019" s="12" t="str">
        <f t="shared" si="245"/>
        <v/>
      </c>
      <c r="Z2019" s="15"/>
    </row>
    <row r="2020" spans="1:26" x14ac:dyDescent="0.25">
      <c r="A2020" s="15" t="str">
        <f>IF(C2020="","",COUNTA($C$3:C2020))</f>
        <v/>
      </c>
      <c r="B2020" s="15" t="str">
        <f t="shared" si="246"/>
        <v/>
      </c>
      <c r="M2020" s="9"/>
      <c r="N2020" s="9"/>
      <c r="P2020" s="14"/>
      <c r="Q2020" s="85"/>
      <c r="R2020" s="89"/>
      <c r="U2020" s="11" t="str">
        <f t="shared" si="244"/>
        <v/>
      </c>
      <c r="V2020" s="12" t="str">
        <f t="shared" si="245"/>
        <v/>
      </c>
      <c r="Z2020" s="15"/>
    </row>
    <row r="2021" spans="1:26" x14ac:dyDescent="0.25">
      <c r="A2021" s="15" t="str">
        <f>IF(C2021="","",COUNTA($C$3:C2021))</f>
        <v/>
      </c>
      <c r="B2021" s="15" t="str">
        <f t="shared" si="246"/>
        <v/>
      </c>
      <c r="M2021" s="9"/>
      <c r="N2021" s="9"/>
      <c r="P2021" s="14"/>
      <c r="Q2021" s="85"/>
      <c r="R2021" s="89"/>
      <c r="U2021" s="11" t="str">
        <f t="shared" si="244"/>
        <v/>
      </c>
      <c r="V2021" s="12" t="str">
        <f t="shared" si="245"/>
        <v/>
      </c>
      <c r="Z2021" s="15"/>
    </row>
    <row r="2022" spans="1:26" x14ac:dyDescent="0.25">
      <c r="A2022" s="15" t="str">
        <f>IF(C2022="","",COUNTA($C$3:C2022))</f>
        <v/>
      </c>
      <c r="B2022" s="15" t="str">
        <f t="shared" si="246"/>
        <v/>
      </c>
      <c r="M2022" s="9"/>
      <c r="N2022" s="9"/>
      <c r="P2022" s="14"/>
      <c r="Q2022" s="85"/>
      <c r="R2022" s="89"/>
      <c r="U2022" s="11" t="str">
        <f t="shared" si="244"/>
        <v/>
      </c>
      <c r="V2022" s="12" t="str">
        <f t="shared" si="245"/>
        <v/>
      </c>
      <c r="Z2022" s="15"/>
    </row>
    <row r="2023" spans="1:26" x14ac:dyDescent="0.25">
      <c r="A2023" s="15" t="str">
        <f>IF(C2023="","",COUNTA($C$3:C2023))</f>
        <v/>
      </c>
      <c r="B2023" s="15" t="str">
        <f t="shared" si="246"/>
        <v/>
      </c>
      <c r="M2023" s="9"/>
      <c r="N2023" s="9"/>
      <c r="P2023" s="14"/>
      <c r="Q2023" s="85"/>
      <c r="R2023" s="89"/>
      <c r="U2023" s="11" t="str">
        <f t="shared" si="244"/>
        <v/>
      </c>
      <c r="V2023" s="12" t="str">
        <f t="shared" si="245"/>
        <v/>
      </c>
      <c r="Z2023" s="15"/>
    </row>
    <row r="2024" spans="1:26" x14ac:dyDescent="0.25">
      <c r="A2024" s="15" t="str">
        <f>IF(C2024="","",COUNTA($C$3:C2024))</f>
        <v/>
      </c>
      <c r="B2024" s="15" t="str">
        <f t="shared" si="246"/>
        <v/>
      </c>
      <c r="M2024" s="9"/>
      <c r="N2024" s="9"/>
      <c r="P2024" s="14"/>
      <c r="Q2024" s="85"/>
      <c r="R2024" s="89"/>
      <c r="U2024" s="11" t="str">
        <f t="shared" si="244"/>
        <v/>
      </c>
      <c r="V2024" s="12" t="str">
        <f t="shared" si="245"/>
        <v/>
      </c>
      <c r="Z2024" s="15"/>
    </row>
    <row r="2025" spans="1:26" x14ac:dyDescent="0.25">
      <c r="A2025" s="15" t="str">
        <f>IF(C2025="","",COUNTA($C$3:C2025))</f>
        <v/>
      </c>
      <c r="B2025" s="15" t="str">
        <f t="shared" si="246"/>
        <v/>
      </c>
      <c r="M2025" s="9"/>
      <c r="N2025" s="9"/>
      <c r="P2025" s="14"/>
      <c r="Q2025" s="85"/>
      <c r="R2025" s="89"/>
      <c r="U2025" s="11" t="str">
        <f t="shared" si="244"/>
        <v/>
      </c>
      <c r="V2025" s="12" t="str">
        <f t="shared" si="245"/>
        <v/>
      </c>
      <c r="Z2025" s="15"/>
    </row>
    <row r="2026" spans="1:26" x14ac:dyDescent="0.25">
      <c r="A2026" s="15" t="str">
        <f>IF(C2026="","",COUNTA($C$3:C2026))</f>
        <v/>
      </c>
      <c r="B2026" s="15" t="str">
        <f t="shared" si="246"/>
        <v/>
      </c>
      <c r="M2026" s="9"/>
      <c r="N2026" s="9"/>
      <c r="P2026" s="14"/>
      <c r="Q2026" s="85"/>
      <c r="R2026" s="89"/>
      <c r="U2026" s="11" t="str">
        <f t="shared" si="244"/>
        <v/>
      </c>
      <c r="V2026" s="12" t="str">
        <f t="shared" si="245"/>
        <v/>
      </c>
      <c r="Z2026" s="15"/>
    </row>
    <row r="2027" spans="1:26" x14ac:dyDescent="0.25">
      <c r="A2027" s="15" t="str">
        <f>IF(C2027="","",COUNTA($C$3:C2027))</f>
        <v/>
      </c>
      <c r="B2027" s="15" t="str">
        <f t="shared" si="246"/>
        <v/>
      </c>
      <c r="M2027" s="9"/>
      <c r="N2027" s="9"/>
      <c r="P2027" s="14"/>
      <c r="Q2027" s="85"/>
      <c r="R2027" s="89"/>
      <c r="U2027" s="11" t="str">
        <f t="shared" si="244"/>
        <v/>
      </c>
      <c r="V2027" s="12" t="str">
        <f t="shared" si="245"/>
        <v/>
      </c>
      <c r="Z2027" s="15"/>
    </row>
    <row r="2028" spans="1:26" x14ac:dyDescent="0.25">
      <c r="A2028" s="15" t="str">
        <f>IF(C2028="","",COUNTA($C$3:C2028))</f>
        <v/>
      </c>
      <c r="B2028" s="15" t="str">
        <f t="shared" si="246"/>
        <v/>
      </c>
      <c r="M2028" s="9"/>
      <c r="N2028" s="9"/>
      <c r="P2028" s="14"/>
      <c r="Q2028" s="85"/>
      <c r="R2028" s="89"/>
      <c r="U2028" s="11" t="str">
        <f t="shared" si="244"/>
        <v/>
      </c>
      <c r="V2028" s="12" t="str">
        <f t="shared" si="245"/>
        <v/>
      </c>
      <c r="Z2028" s="15"/>
    </row>
    <row r="2029" spans="1:26" x14ac:dyDescent="0.25">
      <c r="A2029" s="15" t="str">
        <f>IF(C2029="","",COUNTA($C$3:C2029))</f>
        <v/>
      </c>
      <c r="B2029" s="15" t="str">
        <f t="shared" si="246"/>
        <v/>
      </c>
      <c r="M2029" s="9"/>
      <c r="N2029" s="9"/>
      <c r="P2029" s="14"/>
      <c r="Q2029" s="85"/>
      <c r="R2029" s="89"/>
      <c r="U2029" s="11" t="str">
        <f t="shared" si="244"/>
        <v/>
      </c>
      <c r="V2029" s="12" t="str">
        <f t="shared" si="245"/>
        <v/>
      </c>
      <c r="Z2029" s="15"/>
    </row>
    <row r="2030" spans="1:26" x14ac:dyDescent="0.25">
      <c r="A2030" s="15" t="str">
        <f>IF(C2030="","",COUNTA($C$3:C2030))</f>
        <v/>
      </c>
      <c r="B2030" s="15" t="str">
        <f t="shared" si="246"/>
        <v/>
      </c>
      <c r="M2030" s="9"/>
      <c r="N2030" s="9"/>
      <c r="P2030" s="14"/>
      <c r="Q2030" s="85"/>
      <c r="R2030" s="89"/>
      <c r="U2030" s="11" t="str">
        <f t="shared" si="244"/>
        <v/>
      </c>
      <c r="V2030" s="12" t="str">
        <f t="shared" si="245"/>
        <v/>
      </c>
      <c r="Z2030" s="15"/>
    </row>
    <row r="2031" spans="1:26" x14ac:dyDescent="0.25">
      <c r="A2031" s="15" t="str">
        <f>IF(C2031="","",COUNTA($C$3:C2031))</f>
        <v/>
      </c>
      <c r="B2031" s="15" t="str">
        <f t="shared" si="246"/>
        <v/>
      </c>
      <c r="M2031" s="9"/>
      <c r="N2031" s="9"/>
      <c r="P2031" s="14"/>
      <c r="Q2031" s="85"/>
      <c r="R2031" s="89"/>
      <c r="U2031" s="11" t="str">
        <f t="shared" si="244"/>
        <v/>
      </c>
      <c r="V2031" s="12" t="str">
        <f t="shared" si="245"/>
        <v/>
      </c>
      <c r="Z2031" s="15"/>
    </row>
    <row r="2032" spans="1:26" x14ac:dyDescent="0.25">
      <c r="A2032" s="15" t="str">
        <f>IF(C2032="","",COUNTA($C$3:C2032))</f>
        <v/>
      </c>
      <c r="B2032" s="15" t="str">
        <f t="shared" si="246"/>
        <v/>
      </c>
      <c r="M2032" s="9"/>
      <c r="N2032" s="9"/>
      <c r="P2032" s="14"/>
      <c r="Q2032" s="85"/>
      <c r="R2032" s="89"/>
      <c r="U2032" s="11" t="str">
        <f t="shared" si="244"/>
        <v/>
      </c>
      <c r="V2032" s="12" t="str">
        <f t="shared" si="245"/>
        <v/>
      </c>
      <c r="Z2032" s="15"/>
    </row>
    <row r="2033" spans="1:26" x14ac:dyDescent="0.25">
      <c r="A2033" s="15" t="str">
        <f>IF(C2033="","",COUNTA($C$3:C2033))</f>
        <v/>
      </c>
      <c r="B2033" s="15" t="str">
        <f t="shared" si="246"/>
        <v/>
      </c>
      <c r="M2033" s="9"/>
      <c r="N2033" s="9"/>
      <c r="P2033" s="14"/>
      <c r="Q2033" s="85"/>
      <c r="R2033" s="89"/>
      <c r="U2033" s="11" t="str">
        <f t="shared" si="244"/>
        <v/>
      </c>
      <c r="V2033" s="12" t="str">
        <f t="shared" si="245"/>
        <v/>
      </c>
      <c r="Z2033" s="15"/>
    </row>
    <row r="2034" spans="1:26" x14ac:dyDescent="0.25">
      <c r="A2034" s="15" t="str">
        <f>IF(C2034="","",COUNTA($C$3:C2034))</f>
        <v/>
      </c>
      <c r="B2034" s="15" t="str">
        <f t="shared" si="246"/>
        <v/>
      </c>
      <c r="M2034" s="9"/>
      <c r="N2034" s="9"/>
      <c r="P2034" s="14"/>
      <c r="Q2034" s="85"/>
      <c r="R2034" s="89"/>
      <c r="U2034" s="11" t="str">
        <f t="shared" si="244"/>
        <v/>
      </c>
      <c r="V2034" s="12" t="str">
        <f t="shared" si="245"/>
        <v/>
      </c>
      <c r="Z2034" s="15"/>
    </row>
    <row r="2035" spans="1:26" x14ac:dyDescent="0.25">
      <c r="A2035" s="15" t="str">
        <f>IF(C2035="","",COUNTA($C$3:C2035))</f>
        <v/>
      </c>
      <c r="B2035" s="15" t="str">
        <f t="shared" si="246"/>
        <v/>
      </c>
      <c r="M2035" s="9"/>
      <c r="N2035" s="9"/>
      <c r="P2035" s="14"/>
      <c r="Q2035" s="85"/>
      <c r="R2035" s="89"/>
      <c r="U2035" s="11" t="str">
        <f t="shared" si="244"/>
        <v/>
      </c>
      <c r="V2035" s="12" t="str">
        <f t="shared" si="245"/>
        <v/>
      </c>
      <c r="Z2035" s="15"/>
    </row>
    <row r="2036" spans="1:26" x14ac:dyDescent="0.25">
      <c r="A2036" s="15" t="str">
        <f>IF(C2036="","",COUNTA($C$3:C2036))</f>
        <v/>
      </c>
      <c r="B2036" s="15" t="str">
        <f t="shared" si="246"/>
        <v/>
      </c>
      <c r="M2036" s="9"/>
      <c r="N2036" s="9"/>
      <c r="P2036" s="14"/>
      <c r="Q2036" s="85"/>
      <c r="R2036" s="89"/>
      <c r="U2036" s="11" t="str">
        <f t="shared" si="244"/>
        <v/>
      </c>
      <c r="V2036" s="12" t="str">
        <f t="shared" si="245"/>
        <v/>
      </c>
      <c r="Z2036" s="15"/>
    </row>
    <row r="2037" spans="1:26" x14ac:dyDescent="0.25">
      <c r="A2037" s="15" t="str">
        <f>IF(C2037="","",COUNTA($C$3:C2037))</f>
        <v/>
      </c>
      <c r="B2037" s="15" t="str">
        <f t="shared" si="246"/>
        <v/>
      </c>
      <c r="M2037" s="9"/>
      <c r="N2037" s="9"/>
      <c r="P2037" s="14"/>
      <c r="Q2037" s="85"/>
      <c r="R2037" s="89"/>
      <c r="U2037" s="11" t="str">
        <f t="shared" si="244"/>
        <v/>
      </c>
      <c r="V2037" s="12" t="str">
        <f t="shared" si="245"/>
        <v/>
      </c>
      <c r="Z2037" s="15"/>
    </row>
    <row r="2038" spans="1:26" x14ac:dyDescent="0.25">
      <c r="A2038" s="15" t="str">
        <f>IF(C2038="","",COUNTA($C$3:C2038))</f>
        <v/>
      </c>
      <c r="B2038" s="15" t="str">
        <f t="shared" si="246"/>
        <v/>
      </c>
      <c r="M2038" s="9"/>
      <c r="N2038" s="9"/>
      <c r="P2038" s="14"/>
      <c r="Q2038" s="85"/>
      <c r="R2038" s="89"/>
      <c r="U2038" s="11" t="str">
        <f t="shared" si="244"/>
        <v/>
      </c>
      <c r="V2038" s="12" t="str">
        <f t="shared" si="245"/>
        <v/>
      </c>
      <c r="Z2038" s="15"/>
    </row>
    <row r="2039" spans="1:26" x14ac:dyDescent="0.25">
      <c r="A2039" s="15" t="str">
        <f>IF(C2039="","",COUNTA($C$3:C2039))</f>
        <v/>
      </c>
      <c r="B2039" s="15" t="str">
        <f t="shared" si="246"/>
        <v/>
      </c>
      <c r="M2039" s="9"/>
      <c r="N2039" s="9"/>
      <c r="P2039" s="14"/>
      <c r="Q2039" s="85"/>
      <c r="R2039" s="89"/>
      <c r="U2039" s="11" t="str">
        <f t="shared" si="244"/>
        <v/>
      </c>
      <c r="V2039" s="12" t="str">
        <f t="shared" si="245"/>
        <v/>
      </c>
      <c r="Z2039" s="15"/>
    </row>
    <row r="2040" spans="1:26" x14ac:dyDescent="0.25">
      <c r="A2040" s="15" t="str">
        <f>IF(C2040="","",COUNTA($C$3:C2040))</f>
        <v/>
      </c>
      <c r="B2040" s="15" t="str">
        <f t="shared" si="246"/>
        <v/>
      </c>
      <c r="M2040" s="9"/>
      <c r="N2040" s="9"/>
      <c r="P2040" s="14"/>
      <c r="Q2040" s="85"/>
      <c r="R2040" s="89"/>
      <c r="U2040" s="11" t="str">
        <f t="shared" si="244"/>
        <v/>
      </c>
      <c r="V2040" s="12" t="str">
        <f t="shared" si="245"/>
        <v/>
      </c>
      <c r="Z2040" s="15"/>
    </row>
    <row r="2041" spans="1:26" x14ac:dyDescent="0.25">
      <c r="A2041" s="15" t="str">
        <f>IF(C2041="","",COUNTA($C$3:C2041))</f>
        <v/>
      </c>
      <c r="B2041" s="15" t="str">
        <f t="shared" si="246"/>
        <v/>
      </c>
      <c r="M2041" s="9"/>
      <c r="N2041" s="9"/>
      <c r="P2041" s="14"/>
      <c r="Q2041" s="85"/>
      <c r="R2041" s="89"/>
      <c r="U2041" s="11" t="str">
        <f t="shared" si="244"/>
        <v/>
      </c>
      <c r="V2041" s="12" t="str">
        <f t="shared" si="245"/>
        <v/>
      </c>
      <c r="Z2041" s="15"/>
    </row>
    <row r="2042" spans="1:26" x14ac:dyDescent="0.25">
      <c r="A2042" s="15" t="str">
        <f>IF(C2042="","",COUNTA($C$3:C2042))</f>
        <v/>
      </c>
      <c r="B2042" s="15" t="str">
        <f t="shared" si="246"/>
        <v/>
      </c>
      <c r="M2042" s="9"/>
      <c r="N2042" s="9"/>
      <c r="P2042" s="14"/>
      <c r="Q2042" s="85"/>
      <c r="R2042" s="89"/>
      <c r="U2042" s="11" t="str">
        <f t="shared" si="244"/>
        <v/>
      </c>
      <c r="V2042" s="12" t="str">
        <f t="shared" si="245"/>
        <v/>
      </c>
      <c r="Z2042" s="15"/>
    </row>
    <row r="2043" spans="1:26" x14ac:dyDescent="0.25">
      <c r="A2043" s="15" t="str">
        <f>IF(C2043="","",COUNTA($C$3:C2043))</f>
        <v/>
      </c>
      <c r="B2043" s="15" t="str">
        <f t="shared" si="246"/>
        <v/>
      </c>
      <c r="M2043" s="9"/>
      <c r="N2043" s="9"/>
      <c r="P2043" s="14"/>
      <c r="Q2043" s="85"/>
      <c r="R2043" s="89"/>
      <c r="U2043" s="11" t="str">
        <f t="shared" si="244"/>
        <v/>
      </c>
      <c r="V2043" s="12" t="str">
        <f t="shared" si="245"/>
        <v/>
      </c>
      <c r="Z2043" s="15"/>
    </row>
    <row r="2044" spans="1:26" x14ac:dyDescent="0.25">
      <c r="A2044" s="15" t="str">
        <f>IF(C2044="","",COUNTA($C$3:C2044))</f>
        <v/>
      </c>
      <c r="B2044" s="15" t="str">
        <f t="shared" si="246"/>
        <v/>
      </c>
      <c r="M2044" s="9"/>
      <c r="N2044" s="9"/>
      <c r="P2044" s="14"/>
      <c r="Q2044" s="85"/>
      <c r="R2044" s="89"/>
      <c r="U2044" s="11" t="str">
        <f t="shared" si="244"/>
        <v/>
      </c>
      <c r="V2044" s="12" t="str">
        <f t="shared" si="245"/>
        <v/>
      </c>
      <c r="Z2044" s="15"/>
    </row>
    <row r="2045" spans="1:26" x14ac:dyDescent="0.25">
      <c r="A2045" s="15" t="str">
        <f>IF(C2045="","",COUNTA($C$3:C2045))</f>
        <v/>
      </c>
      <c r="B2045" s="15" t="str">
        <f t="shared" si="246"/>
        <v/>
      </c>
      <c r="M2045" s="9"/>
      <c r="N2045" s="9"/>
      <c r="P2045" s="14"/>
      <c r="Q2045" s="85"/>
      <c r="R2045" s="89"/>
      <c r="U2045" s="11" t="str">
        <f t="shared" si="244"/>
        <v/>
      </c>
      <c r="V2045" s="12" t="str">
        <f t="shared" si="245"/>
        <v/>
      </c>
      <c r="Z2045" s="15"/>
    </row>
    <row r="2046" spans="1:26" x14ac:dyDescent="0.25">
      <c r="A2046" s="15" t="str">
        <f>IF(C2046="","",COUNTA($C$3:C2046))</f>
        <v/>
      </c>
      <c r="B2046" s="15" t="str">
        <f t="shared" si="246"/>
        <v/>
      </c>
      <c r="M2046" s="9"/>
      <c r="N2046" s="9"/>
      <c r="P2046" s="14"/>
      <c r="Q2046" s="85"/>
      <c r="R2046" s="89"/>
      <c r="U2046" s="11" t="str">
        <f t="shared" si="244"/>
        <v/>
      </c>
      <c r="V2046" s="12" t="str">
        <f t="shared" si="245"/>
        <v/>
      </c>
      <c r="Z2046" s="15"/>
    </row>
    <row r="2047" spans="1:26" x14ac:dyDescent="0.25">
      <c r="A2047" s="15" t="str">
        <f>IF(C2047="","",COUNTA($C$3:C2047))</f>
        <v/>
      </c>
      <c r="B2047" s="15" t="str">
        <f t="shared" si="246"/>
        <v/>
      </c>
      <c r="M2047" s="9"/>
      <c r="N2047" s="9"/>
      <c r="P2047" s="14"/>
      <c r="Q2047" s="85"/>
      <c r="R2047" s="89"/>
      <c r="U2047" s="11" t="str">
        <f t="shared" si="244"/>
        <v/>
      </c>
      <c r="V2047" s="12" t="str">
        <f t="shared" si="245"/>
        <v/>
      </c>
      <c r="Z2047" s="15"/>
    </row>
    <row r="2048" spans="1:26" x14ac:dyDescent="0.25">
      <c r="A2048" s="15" t="str">
        <f>IF(C2048="","",COUNTA($C$3:C2048))</f>
        <v/>
      </c>
      <c r="B2048" s="15" t="str">
        <f t="shared" si="246"/>
        <v/>
      </c>
      <c r="M2048" s="9"/>
      <c r="N2048" s="9"/>
      <c r="P2048" s="14"/>
      <c r="Q2048" s="85"/>
      <c r="R2048" s="89"/>
      <c r="U2048" s="11" t="str">
        <f t="shared" si="244"/>
        <v/>
      </c>
      <c r="V2048" s="12" t="str">
        <f t="shared" si="245"/>
        <v/>
      </c>
      <c r="Z2048" s="15"/>
    </row>
    <row r="2049" spans="1:26" x14ac:dyDescent="0.25">
      <c r="A2049" s="15" t="str">
        <f>IF(C2049="","",COUNTA($C$3:C2049))</f>
        <v/>
      </c>
      <c r="B2049" s="15" t="str">
        <f t="shared" si="246"/>
        <v/>
      </c>
      <c r="M2049" s="9"/>
      <c r="N2049" s="9"/>
      <c r="P2049" s="14"/>
      <c r="Q2049" s="85"/>
      <c r="R2049" s="89"/>
      <c r="U2049" s="11" t="str">
        <f t="shared" si="244"/>
        <v/>
      </c>
      <c r="V2049" s="12" t="str">
        <f t="shared" si="245"/>
        <v/>
      </c>
      <c r="Z2049" s="15"/>
    </row>
    <row r="2050" spans="1:26" x14ac:dyDescent="0.25">
      <c r="A2050" s="15" t="str">
        <f>IF(C2050="","",COUNTA($C$3:C2050))</f>
        <v/>
      </c>
      <c r="B2050" s="15" t="str">
        <f t="shared" si="246"/>
        <v/>
      </c>
      <c r="M2050" s="9"/>
      <c r="N2050" s="9"/>
      <c r="P2050" s="14"/>
      <c r="Q2050" s="85"/>
      <c r="R2050" s="89"/>
      <c r="U2050" s="11" t="str">
        <f t="shared" ref="U2050:U2113" si="247">IF(S2050="","",(S2050-T2050))</f>
        <v/>
      </c>
      <c r="V2050" s="12" t="str">
        <f t="shared" ref="V2050:V2113" si="248">IF(U2050="","",(U2050/T2050))</f>
        <v/>
      </c>
      <c r="Z2050" s="15"/>
    </row>
    <row r="2051" spans="1:26" x14ac:dyDescent="0.25">
      <c r="A2051" s="15" t="str">
        <f>IF(C2051="","",COUNTA($C$3:C2051))</f>
        <v/>
      </c>
      <c r="B2051" s="15" t="str">
        <f t="shared" ref="B2051:B2114" si="249">IF(C2051="","",TEXT(C2051,"mmmm"))</f>
        <v/>
      </c>
      <c r="M2051" s="9"/>
      <c r="N2051" s="9"/>
      <c r="P2051" s="14"/>
      <c r="Q2051" s="85"/>
      <c r="R2051" s="89"/>
      <c r="U2051" s="11" t="str">
        <f t="shared" si="247"/>
        <v/>
      </c>
      <c r="V2051" s="12" t="str">
        <f t="shared" si="248"/>
        <v/>
      </c>
      <c r="Z2051" s="15"/>
    </row>
    <row r="2052" spans="1:26" x14ac:dyDescent="0.25">
      <c r="A2052" s="15" t="str">
        <f>IF(C2052="","",COUNTA($C$3:C2052))</f>
        <v/>
      </c>
      <c r="B2052" s="15" t="str">
        <f t="shared" si="249"/>
        <v/>
      </c>
      <c r="M2052" s="9"/>
      <c r="N2052" s="9"/>
      <c r="P2052" s="14"/>
      <c r="Q2052" s="85"/>
      <c r="R2052" s="89"/>
      <c r="U2052" s="11" t="str">
        <f t="shared" si="247"/>
        <v/>
      </c>
      <c r="V2052" s="12" t="str">
        <f t="shared" si="248"/>
        <v/>
      </c>
      <c r="Z2052" s="15"/>
    </row>
    <row r="2053" spans="1:26" x14ac:dyDescent="0.25">
      <c r="A2053" s="15" t="str">
        <f>IF(C2053="","",COUNTA($C$3:C2053))</f>
        <v/>
      </c>
      <c r="B2053" s="15" t="str">
        <f t="shared" si="249"/>
        <v/>
      </c>
      <c r="M2053" s="9"/>
      <c r="N2053" s="9"/>
      <c r="P2053" s="14"/>
      <c r="Q2053" s="85"/>
      <c r="R2053" s="89"/>
      <c r="U2053" s="11" t="str">
        <f t="shared" si="247"/>
        <v/>
      </c>
      <c r="V2053" s="12" t="str">
        <f t="shared" si="248"/>
        <v/>
      </c>
      <c r="Z2053" s="15"/>
    </row>
    <row r="2054" spans="1:26" x14ac:dyDescent="0.25">
      <c r="A2054" s="15" t="str">
        <f>IF(C2054="","",COUNTA($C$3:C2054))</f>
        <v/>
      </c>
      <c r="B2054" s="15" t="str">
        <f t="shared" si="249"/>
        <v/>
      </c>
      <c r="M2054" s="9"/>
      <c r="N2054" s="9"/>
      <c r="P2054" s="14"/>
      <c r="Q2054" s="85"/>
      <c r="R2054" s="89"/>
      <c r="U2054" s="11" t="str">
        <f t="shared" si="247"/>
        <v/>
      </c>
      <c r="V2054" s="12" t="str">
        <f t="shared" si="248"/>
        <v/>
      </c>
      <c r="Z2054" s="15"/>
    </row>
    <row r="2055" spans="1:26" x14ac:dyDescent="0.25">
      <c r="A2055" s="15" t="str">
        <f>IF(C2055="","",COUNTA($C$3:C2055))</f>
        <v/>
      </c>
      <c r="B2055" s="15" t="str">
        <f t="shared" si="249"/>
        <v/>
      </c>
      <c r="M2055" s="9"/>
      <c r="N2055" s="9"/>
      <c r="P2055" s="14"/>
      <c r="Q2055" s="85"/>
      <c r="R2055" s="89"/>
      <c r="U2055" s="11" t="str">
        <f t="shared" si="247"/>
        <v/>
      </c>
      <c r="V2055" s="12" t="str">
        <f t="shared" si="248"/>
        <v/>
      </c>
      <c r="Z2055" s="15"/>
    </row>
    <row r="2056" spans="1:26" x14ac:dyDescent="0.25">
      <c r="A2056" s="15" t="str">
        <f>IF(C2056="","",COUNTA($C$3:C2056))</f>
        <v/>
      </c>
      <c r="B2056" s="15" t="str">
        <f t="shared" si="249"/>
        <v/>
      </c>
      <c r="M2056" s="9"/>
      <c r="N2056" s="9"/>
      <c r="P2056" s="14"/>
      <c r="Q2056" s="85"/>
      <c r="R2056" s="89"/>
      <c r="U2056" s="11" t="str">
        <f t="shared" si="247"/>
        <v/>
      </c>
      <c r="V2056" s="12" t="str">
        <f t="shared" si="248"/>
        <v/>
      </c>
      <c r="Z2056" s="15"/>
    </row>
    <row r="2057" spans="1:26" x14ac:dyDescent="0.25">
      <c r="A2057" s="15" t="str">
        <f>IF(C2057="","",COUNTA($C$3:C2057))</f>
        <v/>
      </c>
      <c r="B2057" s="15" t="str">
        <f t="shared" si="249"/>
        <v/>
      </c>
      <c r="M2057" s="9"/>
      <c r="N2057" s="9"/>
      <c r="P2057" s="14"/>
      <c r="Q2057" s="85"/>
      <c r="R2057" s="89"/>
      <c r="U2057" s="11" t="str">
        <f t="shared" si="247"/>
        <v/>
      </c>
      <c r="V2057" s="12" t="str">
        <f t="shared" si="248"/>
        <v/>
      </c>
      <c r="Z2057" s="15"/>
    </row>
    <row r="2058" spans="1:26" x14ac:dyDescent="0.25">
      <c r="A2058" s="15" t="str">
        <f>IF(C2058="","",COUNTA($C$3:C2058))</f>
        <v/>
      </c>
      <c r="B2058" s="15" t="str">
        <f t="shared" si="249"/>
        <v/>
      </c>
      <c r="M2058" s="9"/>
      <c r="N2058" s="9"/>
      <c r="P2058" s="14"/>
      <c r="Q2058" s="85"/>
      <c r="R2058" s="89"/>
      <c r="U2058" s="11" t="str">
        <f t="shared" si="247"/>
        <v/>
      </c>
      <c r="V2058" s="12" t="str">
        <f t="shared" si="248"/>
        <v/>
      </c>
      <c r="Z2058" s="15"/>
    </row>
    <row r="2059" spans="1:26" x14ac:dyDescent="0.25">
      <c r="A2059" s="15" t="str">
        <f>IF(C2059="","",COUNTA($C$3:C2059))</f>
        <v/>
      </c>
      <c r="B2059" s="15" t="str">
        <f t="shared" si="249"/>
        <v/>
      </c>
      <c r="M2059" s="9"/>
      <c r="N2059" s="9"/>
      <c r="P2059" s="14"/>
      <c r="Q2059" s="85"/>
      <c r="R2059" s="89"/>
      <c r="U2059" s="11" t="str">
        <f t="shared" si="247"/>
        <v/>
      </c>
      <c r="V2059" s="12" t="str">
        <f t="shared" si="248"/>
        <v/>
      </c>
      <c r="Z2059" s="15"/>
    </row>
    <row r="2060" spans="1:26" x14ac:dyDescent="0.25">
      <c r="A2060" s="15" t="str">
        <f>IF(C2060="","",COUNTA($C$3:C2060))</f>
        <v/>
      </c>
      <c r="B2060" s="15" t="str">
        <f t="shared" si="249"/>
        <v/>
      </c>
      <c r="M2060" s="9"/>
      <c r="N2060" s="9"/>
      <c r="P2060" s="14"/>
      <c r="Q2060" s="85"/>
      <c r="R2060" s="89"/>
      <c r="U2060" s="11" t="str">
        <f t="shared" si="247"/>
        <v/>
      </c>
      <c r="V2060" s="12" t="str">
        <f t="shared" si="248"/>
        <v/>
      </c>
      <c r="Z2060" s="15"/>
    </row>
    <row r="2061" spans="1:26" x14ac:dyDescent="0.25">
      <c r="A2061" s="15" t="str">
        <f>IF(C2061="","",COUNTA($C$3:C2061))</f>
        <v/>
      </c>
      <c r="B2061" s="15" t="str">
        <f t="shared" si="249"/>
        <v/>
      </c>
      <c r="M2061" s="9"/>
      <c r="N2061" s="9"/>
      <c r="P2061" s="14"/>
      <c r="Q2061" s="85"/>
      <c r="R2061" s="89"/>
      <c r="U2061" s="11" t="str">
        <f t="shared" si="247"/>
        <v/>
      </c>
      <c r="V2061" s="12" t="str">
        <f t="shared" si="248"/>
        <v/>
      </c>
      <c r="Z2061" s="15"/>
    </row>
    <row r="2062" spans="1:26" x14ac:dyDescent="0.25">
      <c r="A2062" s="15" t="str">
        <f>IF(C2062="","",COUNTA($C$3:C2062))</f>
        <v/>
      </c>
      <c r="B2062" s="15" t="str">
        <f t="shared" si="249"/>
        <v/>
      </c>
      <c r="M2062" s="9"/>
      <c r="N2062" s="9"/>
      <c r="P2062" s="14"/>
      <c r="Q2062" s="85"/>
      <c r="R2062" s="89"/>
      <c r="U2062" s="11" t="str">
        <f t="shared" si="247"/>
        <v/>
      </c>
      <c r="V2062" s="12" t="str">
        <f t="shared" si="248"/>
        <v/>
      </c>
      <c r="Z2062" s="15"/>
    </row>
    <row r="2063" spans="1:26" x14ac:dyDescent="0.25">
      <c r="A2063" s="15" t="str">
        <f>IF(C2063="","",COUNTA($C$3:C2063))</f>
        <v/>
      </c>
      <c r="B2063" s="15" t="str">
        <f t="shared" si="249"/>
        <v/>
      </c>
      <c r="M2063" s="9"/>
      <c r="N2063" s="9"/>
      <c r="P2063" s="14"/>
      <c r="Q2063" s="85"/>
      <c r="R2063" s="89"/>
      <c r="U2063" s="11" t="str">
        <f t="shared" si="247"/>
        <v/>
      </c>
      <c r="V2063" s="12" t="str">
        <f t="shared" si="248"/>
        <v/>
      </c>
      <c r="Z2063" s="15"/>
    </row>
    <row r="2064" spans="1:26" x14ac:dyDescent="0.25">
      <c r="A2064" s="15" t="str">
        <f>IF(C2064="","",COUNTA($C$3:C2064))</f>
        <v/>
      </c>
      <c r="B2064" s="15" t="str">
        <f t="shared" si="249"/>
        <v/>
      </c>
      <c r="M2064" s="9"/>
      <c r="N2064" s="9"/>
      <c r="P2064" s="14"/>
      <c r="Q2064" s="85"/>
      <c r="R2064" s="89"/>
      <c r="U2064" s="11" t="str">
        <f t="shared" si="247"/>
        <v/>
      </c>
      <c r="V2064" s="12" t="str">
        <f t="shared" si="248"/>
        <v/>
      </c>
      <c r="Z2064" s="15"/>
    </row>
    <row r="2065" spans="1:26" x14ac:dyDescent="0.25">
      <c r="A2065" s="15" t="str">
        <f>IF(C2065="","",COUNTA($C$3:C2065))</f>
        <v/>
      </c>
      <c r="B2065" s="15" t="str">
        <f t="shared" si="249"/>
        <v/>
      </c>
      <c r="M2065" s="9"/>
      <c r="N2065" s="9"/>
      <c r="P2065" s="14"/>
      <c r="Q2065" s="85"/>
      <c r="R2065" s="89"/>
      <c r="U2065" s="11" t="str">
        <f t="shared" si="247"/>
        <v/>
      </c>
      <c r="V2065" s="12" t="str">
        <f t="shared" si="248"/>
        <v/>
      </c>
      <c r="Z2065" s="15"/>
    </row>
    <row r="2066" spans="1:26" x14ac:dyDescent="0.25">
      <c r="A2066" s="15" t="str">
        <f>IF(C2066="","",COUNTA($C$3:C2066))</f>
        <v/>
      </c>
      <c r="B2066" s="15" t="str">
        <f t="shared" si="249"/>
        <v/>
      </c>
      <c r="M2066" s="9"/>
      <c r="N2066" s="9"/>
      <c r="P2066" s="14"/>
      <c r="Q2066" s="85"/>
      <c r="R2066" s="89"/>
      <c r="U2066" s="11" t="str">
        <f t="shared" si="247"/>
        <v/>
      </c>
      <c r="V2066" s="12" t="str">
        <f t="shared" si="248"/>
        <v/>
      </c>
      <c r="Z2066" s="15"/>
    </row>
    <row r="2067" spans="1:26" x14ac:dyDescent="0.25">
      <c r="A2067" s="15" t="str">
        <f>IF(C2067="","",COUNTA($C$3:C2067))</f>
        <v/>
      </c>
      <c r="B2067" s="15" t="str">
        <f t="shared" si="249"/>
        <v/>
      </c>
      <c r="M2067" s="9"/>
      <c r="N2067" s="9"/>
      <c r="P2067" s="14"/>
      <c r="Q2067" s="85"/>
      <c r="R2067" s="89"/>
      <c r="U2067" s="11" t="str">
        <f t="shared" si="247"/>
        <v/>
      </c>
      <c r="V2067" s="12" t="str">
        <f t="shared" si="248"/>
        <v/>
      </c>
      <c r="Z2067" s="15"/>
    </row>
    <row r="2068" spans="1:26" x14ac:dyDescent="0.25">
      <c r="A2068" s="15" t="str">
        <f>IF(C2068="","",COUNTA($C$3:C2068))</f>
        <v/>
      </c>
      <c r="B2068" s="15" t="str">
        <f t="shared" si="249"/>
        <v/>
      </c>
      <c r="M2068" s="9"/>
      <c r="N2068" s="9"/>
      <c r="P2068" s="14"/>
      <c r="Q2068" s="85"/>
      <c r="R2068" s="89"/>
      <c r="U2068" s="11" t="str">
        <f t="shared" si="247"/>
        <v/>
      </c>
      <c r="V2068" s="12" t="str">
        <f t="shared" si="248"/>
        <v/>
      </c>
      <c r="Z2068" s="15"/>
    </row>
    <row r="2069" spans="1:26" x14ac:dyDescent="0.25">
      <c r="A2069" s="15" t="str">
        <f>IF(C2069="","",COUNTA($C$3:C2069))</f>
        <v/>
      </c>
      <c r="B2069" s="15" t="str">
        <f t="shared" si="249"/>
        <v/>
      </c>
      <c r="M2069" s="9"/>
      <c r="N2069" s="9"/>
      <c r="P2069" s="14"/>
      <c r="Q2069" s="85"/>
      <c r="R2069" s="89"/>
      <c r="U2069" s="11" t="str">
        <f t="shared" si="247"/>
        <v/>
      </c>
      <c r="V2069" s="12" t="str">
        <f t="shared" si="248"/>
        <v/>
      </c>
      <c r="Z2069" s="15"/>
    </row>
    <row r="2070" spans="1:26" x14ac:dyDescent="0.25">
      <c r="A2070" s="15" t="str">
        <f>IF(C2070="","",COUNTA($C$3:C2070))</f>
        <v/>
      </c>
      <c r="B2070" s="15" t="str">
        <f t="shared" si="249"/>
        <v/>
      </c>
      <c r="M2070" s="9"/>
      <c r="N2070" s="9"/>
      <c r="P2070" s="14"/>
      <c r="Q2070" s="85"/>
      <c r="R2070" s="89"/>
      <c r="U2070" s="11" t="str">
        <f t="shared" si="247"/>
        <v/>
      </c>
      <c r="V2070" s="12" t="str">
        <f t="shared" si="248"/>
        <v/>
      </c>
      <c r="Z2070" s="15"/>
    </row>
    <row r="2071" spans="1:26" x14ac:dyDescent="0.25">
      <c r="A2071" s="15" t="str">
        <f>IF(C2071="","",COUNTA($C$3:C2071))</f>
        <v/>
      </c>
      <c r="B2071" s="15" t="str">
        <f t="shared" si="249"/>
        <v/>
      </c>
      <c r="M2071" s="9"/>
      <c r="N2071" s="9"/>
      <c r="P2071" s="14"/>
      <c r="Q2071" s="85"/>
      <c r="R2071" s="89"/>
      <c r="U2071" s="11" t="str">
        <f t="shared" si="247"/>
        <v/>
      </c>
      <c r="V2071" s="12" t="str">
        <f t="shared" si="248"/>
        <v/>
      </c>
      <c r="Z2071" s="15"/>
    </row>
    <row r="2072" spans="1:26" x14ac:dyDescent="0.25">
      <c r="A2072" s="15" t="str">
        <f>IF(C2072="","",COUNTA($C$3:C2072))</f>
        <v/>
      </c>
      <c r="B2072" s="15" t="str">
        <f t="shared" si="249"/>
        <v/>
      </c>
      <c r="M2072" s="9"/>
      <c r="N2072" s="9"/>
      <c r="P2072" s="14"/>
      <c r="Q2072" s="85"/>
      <c r="R2072" s="89"/>
      <c r="U2072" s="11" t="str">
        <f t="shared" si="247"/>
        <v/>
      </c>
      <c r="V2072" s="12" t="str">
        <f t="shared" si="248"/>
        <v/>
      </c>
      <c r="Z2072" s="15"/>
    </row>
    <row r="2073" spans="1:26" x14ac:dyDescent="0.25">
      <c r="A2073" s="15" t="str">
        <f>IF(C2073="","",COUNTA($C$3:C2073))</f>
        <v/>
      </c>
      <c r="B2073" s="15" t="str">
        <f t="shared" si="249"/>
        <v/>
      </c>
      <c r="M2073" s="9"/>
      <c r="N2073" s="9"/>
      <c r="P2073" s="14"/>
      <c r="Q2073" s="85"/>
      <c r="R2073" s="89"/>
      <c r="U2073" s="11" t="str">
        <f t="shared" si="247"/>
        <v/>
      </c>
      <c r="V2073" s="12" t="str">
        <f t="shared" si="248"/>
        <v/>
      </c>
      <c r="Z2073" s="15"/>
    </row>
    <row r="2074" spans="1:26" x14ac:dyDescent="0.25">
      <c r="A2074" s="15" t="str">
        <f>IF(C2074="","",COUNTA($C$3:C2074))</f>
        <v/>
      </c>
      <c r="B2074" s="15" t="str">
        <f t="shared" si="249"/>
        <v/>
      </c>
      <c r="M2074" s="9"/>
      <c r="N2074" s="9"/>
      <c r="P2074" s="14"/>
      <c r="Q2074" s="85"/>
      <c r="R2074" s="89"/>
      <c r="U2074" s="11" t="str">
        <f t="shared" si="247"/>
        <v/>
      </c>
      <c r="V2074" s="12" t="str">
        <f t="shared" si="248"/>
        <v/>
      </c>
      <c r="Z2074" s="15"/>
    </row>
    <row r="2075" spans="1:26" x14ac:dyDescent="0.25">
      <c r="A2075" s="15" t="str">
        <f>IF(C2075="","",COUNTA($C$3:C2075))</f>
        <v/>
      </c>
      <c r="B2075" s="15" t="str">
        <f t="shared" si="249"/>
        <v/>
      </c>
      <c r="M2075" s="9"/>
      <c r="N2075" s="9"/>
      <c r="P2075" s="14"/>
      <c r="Q2075" s="85"/>
      <c r="R2075" s="89"/>
      <c r="U2075" s="11" t="str">
        <f t="shared" si="247"/>
        <v/>
      </c>
      <c r="V2075" s="12" t="str">
        <f t="shared" si="248"/>
        <v/>
      </c>
      <c r="Z2075" s="15"/>
    </row>
    <row r="2076" spans="1:26" x14ac:dyDescent="0.25">
      <c r="A2076" s="15" t="str">
        <f>IF(C2076="","",COUNTA($C$3:C2076))</f>
        <v/>
      </c>
      <c r="B2076" s="15" t="str">
        <f t="shared" si="249"/>
        <v/>
      </c>
      <c r="M2076" s="9"/>
      <c r="N2076" s="9"/>
      <c r="P2076" s="14"/>
      <c r="Q2076" s="85"/>
      <c r="R2076" s="89"/>
      <c r="U2076" s="11" t="str">
        <f t="shared" si="247"/>
        <v/>
      </c>
      <c r="V2076" s="12" t="str">
        <f t="shared" si="248"/>
        <v/>
      </c>
      <c r="Z2076" s="15"/>
    </row>
    <row r="2077" spans="1:26" x14ac:dyDescent="0.25">
      <c r="A2077" s="15" t="str">
        <f>IF(C2077="","",COUNTA($C$3:C2077))</f>
        <v/>
      </c>
      <c r="B2077" s="15" t="str">
        <f t="shared" si="249"/>
        <v/>
      </c>
      <c r="M2077" s="9"/>
      <c r="N2077" s="9"/>
      <c r="P2077" s="14"/>
      <c r="Q2077" s="85"/>
      <c r="R2077" s="89"/>
      <c r="U2077" s="11" t="str">
        <f t="shared" si="247"/>
        <v/>
      </c>
      <c r="V2077" s="12" t="str">
        <f t="shared" si="248"/>
        <v/>
      </c>
      <c r="Z2077" s="15"/>
    </row>
    <row r="2078" spans="1:26" x14ac:dyDescent="0.25">
      <c r="A2078" s="15" t="str">
        <f>IF(C2078="","",COUNTA($C$3:C2078))</f>
        <v/>
      </c>
      <c r="B2078" s="15" t="str">
        <f t="shared" si="249"/>
        <v/>
      </c>
      <c r="M2078" s="9"/>
      <c r="N2078" s="9"/>
      <c r="P2078" s="14"/>
      <c r="Q2078" s="85"/>
      <c r="R2078" s="89"/>
      <c r="U2078" s="11" t="str">
        <f t="shared" si="247"/>
        <v/>
      </c>
      <c r="V2078" s="12" t="str">
        <f t="shared" si="248"/>
        <v/>
      </c>
      <c r="Z2078" s="15"/>
    </row>
    <row r="2079" spans="1:26" x14ac:dyDescent="0.25">
      <c r="A2079" s="15" t="str">
        <f>IF(C2079="","",COUNTA($C$3:C2079))</f>
        <v/>
      </c>
      <c r="B2079" s="15" t="str">
        <f t="shared" si="249"/>
        <v/>
      </c>
      <c r="M2079" s="9"/>
      <c r="N2079" s="9"/>
      <c r="P2079" s="14"/>
      <c r="Q2079" s="85"/>
      <c r="R2079" s="89"/>
      <c r="U2079" s="11" t="str">
        <f t="shared" si="247"/>
        <v/>
      </c>
      <c r="V2079" s="12" t="str">
        <f t="shared" si="248"/>
        <v/>
      </c>
      <c r="Z2079" s="15"/>
    </row>
    <row r="2080" spans="1:26" x14ac:dyDescent="0.25">
      <c r="A2080" s="15" t="str">
        <f>IF(C2080="","",COUNTA($C$3:C2080))</f>
        <v/>
      </c>
      <c r="B2080" s="15" t="str">
        <f t="shared" si="249"/>
        <v/>
      </c>
      <c r="M2080" s="9"/>
      <c r="N2080" s="9"/>
      <c r="P2080" s="14"/>
      <c r="Q2080" s="85"/>
      <c r="R2080" s="89"/>
      <c r="U2080" s="11" t="str">
        <f t="shared" si="247"/>
        <v/>
      </c>
      <c r="V2080" s="12" t="str">
        <f t="shared" si="248"/>
        <v/>
      </c>
      <c r="Z2080" s="15"/>
    </row>
    <row r="2081" spans="1:26" x14ac:dyDescent="0.25">
      <c r="A2081" s="15" t="str">
        <f>IF(C2081="","",COUNTA($C$3:C2081))</f>
        <v/>
      </c>
      <c r="B2081" s="15" t="str">
        <f t="shared" si="249"/>
        <v/>
      </c>
      <c r="M2081" s="9"/>
      <c r="N2081" s="9"/>
      <c r="P2081" s="14"/>
      <c r="Q2081" s="85"/>
      <c r="R2081" s="89"/>
      <c r="U2081" s="11" t="str">
        <f t="shared" si="247"/>
        <v/>
      </c>
      <c r="V2081" s="12" t="str">
        <f t="shared" si="248"/>
        <v/>
      </c>
      <c r="Z2081" s="15"/>
    </row>
    <row r="2082" spans="1:26" x14ac:dyDescent="0.25">
      <c r="A2082" s="15" t="str">
        <f>IF(C2082="","",COUNTA($C$3:C2082))</f>
        <v/>
      </c>
      <c r="B2082" s="15" t="str">
        <f t="shared" si="249"/>
        <v/>
      </c>
      <c r="M2082" s="9"/>
      <c r="N2082" s="9"/>
      <c r="P2082" s="14"/>
      <c r="Q2082" s="85"/>
      <c r="R2082" s="89"/>
      <c r="U2082" s="11" t="str">
        <f t="shared" si="247"/>
        <v/>
      </c>
      <c r="V2082" s="12" t="str">
        <f t="shared" si="248"/>
        <v/>
      </c>
      <c r="Z2082" s="15"/>
    </row>
    <row r="2083" spans="1:26" x14ac:dyDescent="0.25">
      <c r="A2083" s="15" t="str">
        <f>IF(C2083="","",COUNTA($C$3:C2083))</f>
        <v/>
      </c>
      <c r="B2083" s="15" t="str">
        <f t="shared" si="249"/>
        <v/>
      </c>
      <c r="M2083" s="9"/>
      <c r="N2083" s="9"/>
      <c r="P2083" s="14"/>
      <c r="Q2083" s="85"/>
      <c r="R2083" s="89"/>
      <c r="U2083" s="11" t="str">
        <f t="shared" si="247"/>
        <v/>
      </c>
      <c r="V2083" s="12" t="str">
        <f t="shared" si="248"/>
        <v/>
      </c>
      <c r="Z2083" s="15"/>
    </row>
    <row r="2084" spans="1:26" x14ac:dyDescent="0.25">
      <c r="A2084" s="15" t="str">
        <f>IF(C2084="","",COUNTA($C$3:C2084))</f>
        <v/>
      </c>
      <c r="B2084" s="15" t="str">
        <f t="shared" si="249"/>
        <v/>
      </c>
      <c r="M2084" s="9"/>
      <c r="N2084" s="9"/>
      <c r="P2084" s="14"/>
      <c r="Q2084" s="85"/>
      <c r="R2084" s="89"/>
      <c r="U2084" s="11" t="str">
        <f t="shared" si="247"/>
        <v/>
      </c>
      <c r="V2084" s="12" t="str">
        <f t="shared" si="248"/>
        <v/>
      </c>
      <c r="Z2084" s="15"/>
    </row>
    <row r="2085" spans="1:26" x14ac:dyDescent="0.25">
      <c r="A2085" s="15" t="str">
        <f>IF(C2085="","",COUNTA($C$3:C2085))</f>
        <v/>
      </c>
      <c r="B2085" s="15" t="str">
        <f t="shared" si="249"/>
        <v/>
      </c>
      <c r="M2085" s="9"/>
      <c r="N2085" s="9"/>
      <c r="P2085" s="14"/>
      <c r="Q2085" s="85"/>
      <c r="R2085" s="89"/>
      <c r="U2085" s="11" t="str">
        <f t="shared" si="247"/>
        <v/>
      </c>
      <c r="V2085" s="12" t="str">
        <f t="shared" si="248"/>
        <v/>
      </c>
      <c r="Z2085" s="15"/>
    </row>
    <row r="2086" spans="1:26" x14ac:dyDescent="0.25">
      <c r="A2086" s="15" t="str">
        <f>IF(C2086="","",COUNTA($C$3:C2086))</f>
        <v/>
      </c>
      <c r="B2086" s="15" t="str">
        <f t="shared" si="249"/>
        <v/>
      </c>
      <c r="M2086" s="9"/>
      <c r="N2086" s="9"/>
      <c r="P2086" s="14"/>
      <c r="Q2086" s="85"/>
      <c r="R2086" s="89"/>
      <c r="U2086" s="11" t="str">
        <f t="shared" si="247"/>
        <v/>
      </c>
      <c r="V2086" s="12" t="str">
        <f t="shared" si="248"/>
        <v/>
      </c>
      <c r="Z2086" s="15"/>
    </row>
    <row r="2087" spans="1:26" x14ac:dyDescent="0.25">
      <c r="A2087" s="15" t="str">
        <f>IF(C2087="","",COUNTA($C$3:C2087))</f>
        <v/>
      </c>
      <c r="B2087" s="15" t="str">
        <f t="shared" si="249"/>
        <v/>
      </c>
      <c r="M2087" s="9"/>
      <c r="N2087" s="9"/>
      <c r="P2087" s="14"/>
      <c r="Q2087" s="85"/>
      <c r="R2087" s="89"/>
      <c r="U2087" s="11" t="str">
        <f t="shared" si="247"/>
        <v/>
      </c>
      <c r="V2087" s="12" t="str">
        <f t="shared" si="248"/>
        <v/>
      </c>
      <c r="Z2087" s="15"/>
    </row>
    <row r="2088" spans="1:26" x14ac:dyDescent="0.25">
      <c r="A2088" s="15" t="str">
        <f>IF(C2088="","",COUNTA($C$3:C2088))</f>
        <v/>
      </c>
      <c r="B2088" s="15" t="str">
        <f t="shared" si="249"/>
        <v/>
      </c>
      <c r="M2088" s="9"/>
      <c r="N2088" s="9"/>
      <c r="P2088" s="14"/>
      <c r="Q2088" s="85"/>
      <c r="R2088" s="89"/>
      <c r="U2088" s="11" t="str">
        <f t="shared" si="247"/>
        <v/>
      </c>
      <c r="V2088" s="12" t="str">
        <f t="shared" si="248"/>
        <v/>
      </c>
      <c r="Z2088" s="15"/>
    </row>
    <row r="2089" spans="1:26" x14ac:dyDescent="0.25">
      <c r="A2089" s="15" t="str">
        <f>IF(C2089="","",COUNTA($C$3:C2089))</f>
        <v/>
      </c>
      <c r="B2089" s="15" t="str">
        <f t="shared" si="249"/>
        <v/>
      </c>
      <c r="M2089" s="9"/>
      <c r="N2089" s="9"/>
      <c r="P2089" s="14"/>
      <c r="Q2089" s="85"/>
      <c r="R2089" s="89"/>
      <c r="U2089" s="11" t="str">
        <f t="shared" si="247"/>
        <v/>
      </c>
      <c r="V2089" s="12" t="str">
        <f t="shared" si="248"/>
        <v/>
      </c>
      <c r="Z2089" s="15"/>
    </row>
    <row r="2090" spans="1:26" x14ac:dyDescent="0.25">
      <c r="A2090" s="15" t="str">
        <f>IF(C2090="","",COUNTA($C$3:C2090))</f>
        <v/>
      </c>
      <c r="B2090" s="15" t="str">
        <f t="shared" si="249"/>
        <v/>
      </c>
      <c r="M2090" s="9"/>
      <c r="N2090" s="9"/>
      <c r="P2090" s="14"/>
      <c r="Q2090" s="85"/>
      <c r="R2090" s="89"/>
      <c r="U2090" s="11" t="str">
        <f t="shared" si="247"/>
        <v/>
      </c>
      <c r="V2090" s="12" t="str">
        <f t="shared" si="248"/>
        <v/>
      </c>
      <c r="Z2090" s="15"/>
    </row>
    <row r="2091" spans="1:26" x14ac:dyDescent="0.25">
      <c r="A2091" s="15" t="str">
        <f>IF(C2091="","",COUNTA($C$3:C2091))</f>
        <v/>
      </c>
      <c r="B2091" s="15" t="str">
        <f t="shared" si="249"/>
        <v/>
      </c>
      <c r="M2091" s="9"/>
      <c r="N2091" s="9"/>
      <c r="P2091" s="14"/>
      <c r="Q2091" s="85"/>
      <c r="R2091" s="89"/>
      <c r="U2091" s="11" t="str">
        <f t="shared" si="247"/>
        <v/>
      </c>
      <c r="V2091" s="12" t="str">
        <f t="shared" si="248"/>
        <v/>
      </c>
      <c r="Z2091" s="15"/>
    </row>
    <row r="2092" spans="1:26" x14ac:dyDescent="0.25">
      <c r="A2092" s="15" t="str">
        <f>IF(C2092="","",COUNTA($C$3:C2092))</f>
        <v/>
      </c>
      <c r="B2092" s="15" t="str">
        <f t="shared" si="249"/>
        <v/>
      </c>
      <c r="M2092" s="9"/>
      <c r="N2092" s="9"/>
      <c r="P2092" s="14"/>
      <c r="Q2092" s="85"/>
      <c r="R2092" s="89"/>
      <c r="U2092" s="11" t="str">
        <f t="shared" si="247"/>
        <v/>
      </c>
      <c r="V2092" s="12" t="str">
        <f t="shared" si="248"/>
        <v/>
      </c>
      <c r="Z2092" s="15"/>
    </row>
    <row r="2093" spans="1:26" x14ac:dyDescent="0.25">
      <c r="A2093" s="15" t="str">
        <f>IF(C2093="","",COUNTA($C$3:C2093))</f>
        <v/>
      </c>
      <c r="B2093" s="15" t="str">
        <f t="shared" si="249"/>
        <v/>
      </c>
      <c r="M2093" s="9"/>
      <c r="N2093" s="9"/>
      <c r="P2093" s="14"/>
      <c r="Q2093" s="85"/>
      <c r="R2093" s="89"/>
      <c r="U2093" s="11" t="str">
        <f t="shared" si="247"/>
        <v/>
      </c>
      <c r="V2093" s="12" t="str">
        <f t="shared" si="248"/>
        <v/>
      </c>
      <c r="Z2093" s="15"/>
    </row>
    <row r="2094" spans="1:26" x14ac:dyDescent="0.25">
      <c r="A2094" s="15" t="str">
        <f>IF(C2094="","",COUNTA($C$3:C2094))</f>
        <v/>
      </c>
      <c r="B2094" s="15" t="str">
        <f t="shared" si="249"/>
        <v/>
      </c>
      <c r="M2094" s="9"/>
      <c r="N2094" s="9"/>
      <c r="P2094" s="14"/>
      <c r="Q2094" s="85"/>
      <c r="R2094" s="89"/>
      <c r="U2094" s="11" t="str">
        <f t="shared" si="247"/>
        <v/>
      </c>
      <c r="V2094" s="12" t="str">
        <f t="shared" si="248"/>
        <v/>
      </c>
      <c r="Z2094" s="15"/>
    </row>
    <row r="2095" spans="1:26" x14ac:dyDescent="0.25">
      <c r="A2095" s="15" t="str">
        <f>IF(C2095="","",COUNTA($C$3:C2095))</f>
        <v/>
      </c>
      <c r="B2095" s="15" t="str">
        <f t="shared" si="249"/>
        <v/>
      </c>
      <c r="M2095" s="9"/>
      <c r="N2095" s="9"/>
      <c r="P2095" s="14"/>
      <c r="Q2095" s="85"/>
      <c r="R2095" s="89"/>
      <c r="U2095" s="11" t="str">
        <f t="shared" si="247"/>
        <v/>
      </c>
      <c r="V2095" s="12" t="str">
        <f t="shared" si="248"/>
        <v/>
      </c>
      <c r="Z2095" s="15"/>
    </row>
    <row r="2096" spans="1:26" x14ac:dyDescent="0.25">
      <c r="A2096" s="15" t="str">
        <f>IF(C2096="","",COUNTA($C$3:C2096))</f>
        <v/>
      </c>
      <c r="B2096" s="15" t="str">
        <f t="shared" si="249"/>
        <v/>
      </c>
      <c r="M2096" s="9"/>
      <c r="N2096" s="9"/>
      <c r="P2096" s="14"/>
      <c r="Q2096" s="85"/>
      <c r="R2096" s="89"/>
      <c r="U2096" s="11" t="str">
        <f t="shared" si="247"/>
        <v/>
      </c>
      <c r="V2096" s="12" t="str">
        <f t="shared" si="248"/>
        <v/>
      </c>
      <c r="Z2096" s="15"/>
    </row>
    <row r="2097" spans="1:26" x14ac:dyDescent="0.25">
      <c r="A2097" s="15" t="str">
        <f>IF(C2097="","",COUNTA($C$3:C2097))</f>
        <v/>
      </c>
      <c r="B2097" s="15" t="str">
        <f t="shared" si="249"/>
        <v/>
      </c>
      <c r="M2097" s="9"/>
      <c r="N2097" s="9"/>
      <c r="P2097" s="14"/>
      <c r="Q2097" s="85"/>
      <c r="R2097" s="89"/>
      <c r="U2097" s="11" t="str">
        <f t="shared" si="247"/>
        <v/>
      </c>
      <c r="V2097" s="12" t="str">
        <f t="shared" si="248"/>
        <v/>
      </c>
      <c r="Z2097" s="15"/>
    </row>
    <row r="2098" spans="1:26" x14ac:dyDescent="0.25">
      <c r="A2098" s="15" t="str">
        <f>IF(C2098="","",COUNTA($C$3:C2098))</f>
        <v/>
      </c>
      <c r="B2098" s="15" t="str">
        <f t="shared" si="249"/>
        <v/>
      </c>
      <c r="M2098" s="9"/>
      <c r="N2098" s="9"/>
      <c r="P2098" s="14"/>
      <c r="Q2098" s="85"/>
      <c r="R2098" s="89"/>
      <c r="U2098" s="11" t="str">
        <f t="shared" si="247"/>
        <v/>
      </c>
      <c r="V2098" s="12" t="str">
        <f t="shared" si="248"/>
        <v/>
      </c>
      <c r="Z2098" s="15"/>
    </row>
    <row r="2099" spans="1:26" x14ac:dyDescent="0.25">
      <c r="A2099" s="15" t="str">
        <f>IF(C2099="","",COUNTA($C$3:C2099))</f>
        <v/>
      </c>
      <c r="B2099" s="15" t="str">
        <f t="shared" si="249"/>
        <v/>
      </c>
      <c r="M2099" s="9"/>
      <c r="N2099" s="9"/>
      <c r="P2099" s="14"/>
      <c r="Q2099" s="85"/>
      <c r="R2099" s="89"/>
      <c r="U2099" s="11" t="str">
        <f t="shared" si="247"/>
        <v/>
      </c>
      <c r="V2099" s="12" t="str">
        <f t="shared" si="248"/>
        <v/>
      </c>
      <c r="Z2099" s="15"/>
    </row>
    <row r="2100" spans="1:26" x14ac:dyDescent="0.25">
      <c r="A2100" s="15" t="str">
        <f>IF(C2100="","",COUNTA($C$3:C2100))</f>
        <v/>
      </c>
      <c r="B2100" s="15" t="str">
        <f t="shared" si="249"/>
        <v/>
      </c>
      <c r="M2100" s="9"/>
      <c r="N2100" s="9"/>
      <c r="P2100" s="14"/>
      <c r="Q2100" s="85"/>
      <c r="R2100" s="89"/>
      <c r="U2100" s="11" t="str">
        <f t="shared" si="247"/>
        <v/>
      </c>
      <c r="V2100" s="12" t="str">
        <f t="shared" si="248"/>
        <v/>
      </c>
      <c r="Z2100" s="15"/>
    </row>
    <row r="2101" spans="1:26" x14ac:dyDescent="0.25">
      <c r="A2101" s="15" t="str">
        <f>IF(C2101="","",COUNTA($C$3:C2101))</f>
        <v/>
      </c>
      <c r="B2101" s="15" t="str">
        <f t="shared" si="249"/>
        <v/>
      </c>
      <c r="M2101" s="9"/>
      <c r="N2101" s="9"/>
      <c r="P2101" s="14"/>
      <c r="Q2101" s="85"/>
      <c r="R2101" s="89"/>
      <c r="U2101" s="11" t="str">
        <f t="shared" si="247"/>
        <v/>
      </c>
      <c r="V2101" s="12" t="str">
        <f t="shared" si="248"/>
        <v/>
      </c>
      <c r="Z2101" s="15"/>
    </row>
    <row r="2102" spans="1:26" x14ac:dyDescent="0.25">
      <c r="A2102" s="15" t="str">
        <f>IF(C2102="","",COUNTA($C$3:C2102))</f>
        <v/>
      </c>
      <c r="B2102" s="15" t="str">
        <f t="shared" si="249"/>
        <v/>
      </c>
      <c r="M2102" s="9"/>
      <c r="N2102" s="9"/>
      <c r="P2102" s="14"/>
      <c r="Q2102" s="85"/>
      <c r="R2102" s="89"/>
      <c r="U2102" s="11" t="str">
        <f t="shared" si="247"/>
        <v/>
      </c>
      <c r="V2102" s="12" t="str">
        <f t="shared" si="248"/>
        <v/>
      </c>
      <c r="Z2102" s="15"/>
    </row>
    <row r="2103" spans="1:26" x14ac:dyDescent="0.25">
      <c r="A2103" s="15" t="str">
        <f>IF(C2103="","",COUNTA($C$3:C2103))</f>
        <v/>
      </c>
      <c r="B2103" s="15" t="str">
        <f t="shared" si="249"/>
        <v/>
      </c>
      <c r="M2103" s="9"/>
      <c r="N2103" s="9"/>
      <c r="P2103" s="14"/>
      <c r="Q2103" s="85"/>
      <c r="R2103" s="89"/>
      <c r="U2103" s="11" t="str">
        <f t="shared" si="247"/>
        <v/>
      </c>
      <c r="V2103" s="12" t="str">
        <f t="shared" si="248"/>
        <v/>
      </c>
      <c r="Z2103" s="15"/>
    </row>
    <row r="2104" spans="1:26" x14ac:dyDescent="0.25">
      <c r="A2104" s="15" t="str">
        <f>IF(C2104="","",COUNTA($C$3:C2104))</f>
        <v/>
      </c>
      <c r="B2104" s="15" t="str">
        <f t="shared" si="249"/>
        <v/>
      </c>
      <c r="M2104" s="9"/>
      <c r="N2104" s="9"/>
      <c r="P2104" s="14"/>
      <c r="Q2104" s="85"/>
      <c r="R2104" s="89"/>
      <c r="U2104" s="11" t="str">
        <f t="shared" si="247"/>
        <v/>
      </c>
      <c r="V2104" s="12" t="str">
        <f t="shared" si="248"/>
        <v/>
      </c>
      <c r="Z2104" s="15"/>
    </row>
    <row r="2105" spans="1:26" x14ac:dyDescent="0.25">
      <c r="A2105" s="15" t="str">
        <f>IF(C2105="","",COUNTA($C$3:C2105))</f>
        <v/>
      </c>
      <c r="B2105" s="15" t="str">
        <f t="shared" si="249"/>
        <v/>
      </c>
      <c r="M2105" s="9"/>
      <c r="N2105" s="9"/>
      <c r="P2105" s="14"/>
      <c r="Q2105" s="85"/>
      <c r="R2105" s="89"/>
      <c r="U2105" s="11" t="str">
        <f t="shared" si="247"/>
        <v/>
      </c>
      <c r="V2105" s="12" t="str">
        <f t="shared" si="248"/>
        <v/>
      </c>
      <c r="Z2105" s="15"/>
    </row>
    <row r="2106" spans="1:26" x14ac:dyDescent="0.25">
      <c r="A2106" s="15" t="str">
        <f>IF(C2106="","",COUNTA($C$3:C2106))</f>
        <v/>
      </c>
      <c r="B2106" s="15" t="str">
        <f t="shared" si="249"/>
        <v/>
      </c>
      <c r="M2106" s="9"/>
      <c r="N2106" s="9"/>
      <c r="P2106" s="14"/>
      <c r="Q2106" s="85"/>
      <c r="R2106" s="89"/>
      <c r="U2106" s="11" t="str">
        <f t="shared" si="247"/>
        <v/>
      </c>
      <c r="V2106" s="12" t="str">
        <f t="shared" si="248"/>
        <v/>
      </c>
      <c r="Z2106" s="15"/>
    </row>
    <row r="2107" spans="1:26" x14ac:dyDescent="0.25">
      <c r="A2107" s="15" t="str">
        <f>IF(C2107="","",COUNTA($C$3:C2107))</f>
        <v/>
      </c>
      <c r="B2107" s="15" t="str">
        <f t="shared" si="249"/>
        <v/>
      </c>
      <c r="M2107" s="9"/>
      <c r="N2107" s="9"/>
      <c r="P2107" s="14"/>
      <c r="Q2107" s="85"/>
      <c r="R2107" s="89"/>
      <c r="U2107" s="11" t="str">
        <f t="shared" si="247"/>
        <v/>
      </c>
      <c r="V2107" s="12" t="str">
        <f t="shared" si="248"/>
        <v/>
      </c>
      <c r="Z2107" s="15"/>
    </row>
    <row r="2108" spans="1:26" x14ac:dyDescent="0.25">
      <c r="A2108" s="15" t="str">
        <f>IF(C2108="","",COUNTA($C$3:C2108))</f>
        <v/>
      </c>
      <c r="B2108" s="15" t="str">
        <f t="shared" si="249"/>
        <v/>
      </c>
      <c r="M2108" s="9"/>
      <c r="N2108" s="9"/>
      <c r="P2108" s="14"/>
      <c r="Q2108" s="85"/>
      <c r="R2108" s="89"/>
      <c r="U2108" s="11" t="str">
        <f t="shared" si="247"/>
        <v/>
      </c>
      <c r="V2108" s="12" t="str">
        <f t="shared" si="248"/>
        <v/>
      </c>
      <c r="Z2108" s="15"/>
    </row>
    <row r="2109" spans="1:26" x14ac:dyDescent="0.25">
      <c r="A2109" s="15" t="str">
        <f>IF(C2109="","",COUNTA($C$3:C2109))</f>
        <v/>
      </c>
      <c r="B2109" s="15" t="str">
        <f t="shared" si="249"/>
        <v/>
      </c>
      <c r="M2109" s="9"/>
      <c r="N2109" s="9"/>
      <c r="P2109" s="14"/>
      <c r="Q2109" s="85"/>
      <c r="R2109" s="89"/>
      <c r="U2109" s="11" t="str">
        <f t="shared" si="247"/>
        <v/>
      </c>
      <c r="V2109" s="12" t="str">
        <f t="shared" si="248"/>
        <v/>
      </c>
      <c r="Z2109" s="15"/>
    </row>
    <row r="2110" spans="1:26" x14ac:dyDescent="0.25">
      <c r="A2110" s="15" t="str">
        <f>IF(C2110="","",COUNTA($C$3:C2110))</f>
        <v/>
      </c>
      <c r="B2110" s="15" t="str">
        <f t="shared" si="249"/>
        <v/>
      </c>
      <c r="M2110" s="9"/>
      <c r="N2110" s="9"/>
      <c r="P2110" s="14"/>
      <c r="Q2110" s="85"/>
      <c r="R2110" s="89"/>
      <c r="U2110" s="11" t="str">
        <f t="shared" si="247"/>
        <v/>
      </c>
      <c r="V2110" s="12" t="str">
        <f t="shared" si="248"/>
        <v/>
      </c>
      <c r="Z2110" s="15"/>
    </row>
    <row r="2111" spans="1:26" x14ac:dyDescent="0.25">
      <c r="A2111" s="15" t="str">
        <f>IF(C2111="","",COUNTA($C$3:C2111))</f>
        <v/>
      </c>
      <c r="B2111" s="15" t="str">
        <f t="shared" si="249"/>
        <v/>
      </c>
      <c r="M2111" s="9"/>
      <c r="N2111" s="9"/>
      <c r="P2111" s="14"/>
      <c r="Q2111" s="85"/>
      <c r="R2111" s="89"/>
      <c r="U2111" s="11" t="str">
        <f t="shared" si="247"/>
        <v/>
      </c>
      <c r="V2111" s="12" t="str">
        <f t="shared" si="248"/>
        <v/>
      </c>
      <c r="Z2111" s="15"/>
    </row>
    <row r="2112" spans="1:26" x14ac:dyDescent="0.25">
      <c r="A2112" s="15" t="str">
        <f>IF(C2112="","",COUNTA($C$3:C2112))</f>
        <v/>
      </c>
      <c r="B2112" s="15" t="str">
        <f t="shared" si="249"/>
        <v/>
      </c>
      <c r="M2112" s="9"/>
      <c r="N2112" s="9"/>
      <c r="P2112" s="14"/>
      <c r="Q2112" s="85"/>
      <c r="R2112" s="89"/>
      <c r="U2112" s="11" t="str">
        <f t="shared" si="247"/>
        <v/>
      </c>
      <c r="V2112" s="12" t="str">
        <f t="shared" si="248"/>
        <v/>
      </c>
      <c r="Z2112" s="15"/>
    </row>
    <row r="2113" spans="1:26" x14ac:dyDescent="0.25">
      <c r="A2113" s="15" t="str">
        <f>IF(C2113="","",COUNTA($C$3:C2113))</f>
        <v/>
      </c>
      <c r="B2113" s="15" t="str">
        <f t="shared" si="249"/>
        <v/>
      </c>
      <c r="M2113" s="9"/>
      <c r="N2113" s="9"/>
      <c r="P2113" s="14"/>
      <c r="Q2113" s="85"/>
      <c r="R2113" s="89"/>
      <c r="U2113" s="11" t="str">
        <f t="shared" si="247"/>
        <v/>
      </c>
      <c r="V2113" s="12" t="str">
        <f t="shared" si="248"/>
        <v/>
      </c>
      <c r="Z2113" s="15"/>
    </row>
    <row r="2114" spans="1:26" x14ac:dyDescent="0.25">
      <c r="A2114" s="15" t="str">
        <f>IF(C2114="","",COUNTA($C$3:C2114))</f>
        <v/>
      </c>
      <c r="B2114" s="15" t="str">
        <f t="shared" si="249"/>
        <v/>
      </c>
      <c r="M2114" s="9"/>
      <c r="N2114" s="9"/>
      <c r="P2114" s="14"/>
      <c r="Q2114" s="85"/>
      <c r="R2114" s="89"/>
      <c r="U2114" s="11" t="str">
        <f t="shared" ref="U2114:U2177" si="250">IF(S2114="","",(S2114-T2114))</f>
        <v/>
      </c>
      <c r="V2114" s="12" t="str">
        <f t="shared" ref="V2114:V2177" si="251">IF(U2114="","",(U2114/T2114))</f>
        <v/>
      </c>
      <c r="Z2114" s="15"/>
    </row>
    <row r="2115" spans="1:26" x14ac:dyDescent="0.25">
      <c r="A2115" s="15" t="str">
        <f>IF(C2115="","",COUNTA($C$3:C2115))</f>
        <v/>
      </c>
      <c r="B2115" s="15" t="str">
        <f t="shared" ref="B2115:B2178" si="252">IF(C2115="","",TEXT(C2115,"mmmm"))</f>
        <v/>
      </c>
      <c r="M2115" s="9"/>
      <c r="N2115" s="9"/>
      <c r="P2115" s="14"/>
      <c r="Q2115" s="85"/>
      <c r="R2115" s="89"/>
      <c r="U2115" s="11" t="str">
        <f t="shared" si="250"/>
        <v/>
      </c>
      <c r="V2115" s="12" t="str">
        <f t="shared" si="251"/>
        <v/>
      </c>
      <c r="Z2115" s="15"/>
    </row>
    <row r="2116" spans="1:26" x14ac:dyDescent="0.25">
      <c r="A2116" s="15" t="str">
        <f>IF(C2116="","",COUNTA($C$3:C2116))</f>
        <v/>
      </c>
      <c r="B2116" s="15" t="str">
        <f t="shared" si="252"/>
        <v/>
      </c>
      <c r="M2116" s="9"/>
      <c r="N2116" s="9"/>
      <c r="P2116" s="14"/>
      <c r="Q2116" s="85"/>
      <c r="R2116" s="89"/>
      <c r="U2116" s="11" t="str">
        <f t="shared" si="250"/>
        <v/>
      </c>
      <c r="V2116" s="12" t="str">
        <f t="shared" si="251"/>
        <v/>
      </c>
      <c r="Z2116" s="15"/>
    </row>
    <row r="2117" spans="1:26" x14ac:dyDescent="0.25">
      <c r="A2117" s="15" t="str">
        <f>IF(C2117="","",COUNTA($C$3:C2117))</f>
        <v/>
      </c>
      <c r="B2117" s="15" t="str">
        <f t="shared" si="252"/>
        <v/>
      </c>
      <c r="M2117" s="9"/>
      <c r="N2117" s="9"/>
      <c r="P2117" s="14"/>
      <c r="Q2117" s="85"/>
      <c r="R2117" s="89"/>
      <c r="U2117" s="11" t="str">
        <f t="shared" si="250"/>
        <v/>
      </c>
      <c r="V2117" s="12" t="str">
        <f t="shared" si="251"/>
        <v/>
      </c>
      <c r="Z2117" s="15"/>
    </row>
    <row r="2118" spans="1:26" x14ac:dyDescent="0.25">
      <c r="A2118" s="15" t="str">
        <f>IF(C2118="","",COUNTA($C$3:C2118))</f>
        <v/>
      </c>
      <c r="B2118" s="15" t="str">
        <f t="shared" si="252"/>
        <v/>
      </c>
      <c r="M2118" s="9"/>
      <c r="N2118" s="9"/>
      <c r="P2118" s="14"/>
      <c r="Q2118" s="85"/>
      <c r="R2118" s="89"/>
      <c r="U2118" s="11" t="str">
        <f t="shared" si="250"/>
        <v/>
      </c>
      <c r="V2118" s="12" t="str">
        <f t="shared" si="251"/>
        <v/>
      </c>
      <c r="Z2118" s="15"/>
    </row>
    <row r="2119" spans="1:26" x14ac:dyDescent="0.25">
      <c r="A2119" s="15" t="str">
        <f>IF(C2119="","",COUNTA($C$3:C2119))</f>
        <v/>
      </c>
      <c r="B2119" s="15" t="str">
        <f t="shared" si="252"/>
        <v/>
      </c>
      <c r="M2119" s="9"/>
      <c r="N2119" s="9"/>
      <c r="P2119" s="14"/>
      <c r="Q2119" s="85"/>
      <c r="R2119" s="89"/>
      <c r="U2119" s="11" t="str">
        <f t="shared" si="250"/>
        <v/>
      </c>
      <c r="V2119" s="12" t="str">
        <f t="shared" si="251"/>
        <v/>
      </c>
      <c r="Z2119" s="15"/>
    </row>
    <row r="2120" spans="1:26" x14ac:dyDescent="0.25">
      <c r="A2120" s="15" t="str">
        <f>IF(C2120="","",COUNTA($C$3:C2120))</f>
        <v/>
      </c>
      <c r="B2120" s="15" t="str">
        <f t="shared" si="252"/>
        <v/>
      </c>
      <c r="M2120" s="9"/>
      <c r="N2120" s="9"/>
      <c r="P2120" s="14"/>
      <c r="Q2120" s="85"/>
      <c r="R2120" s="89"/>
      <c r="U2120" s="11" t="str">
        <f t="shared" si="250"/>
        <v/>
      </c>
      <c r="V2120" s="12" t="str">
        <f t="shared" si="251"/>
        <v/>
      </c>
      <c r="Z2120" s="15"/>
    </row>
    <row r="2121" spans="1:26" x14ac:dyDescent="0.25">
      <c r="A2121" s="15" t="str">
        <f>IF(C2121="","",COUNTA($C$3:C2121))</f>
        <v/>
      </c>
      <c r="B2121" s="15" t="str">
        <f t="shared" si="252"/>
        <v/>
      </c>
      <c r="M2121" s="9"/>
      <c r="N2121" s="9"/>
      <c r="P2121" s="14"/>
      <c r="Q2121" s="85"/>
      <c r="R2121" s="89"/>
      <c r="U2121" s="11" t="str">
        <f t="shared" si="250"/>
        <v/>
      </c>
      <c r="V2121" s="12" t="str">
        <f t="shared" si="251"/>
        <v/>
      </c>
      <c r="Z2121" s="15"/>
    </row>
    <row r="2122" spans="1:26" x14ac:dyDescent="0.25">
      <c r="A2122" s="15" t="str">
        <f>IF(C2122="","",COUNTA($C$3:C2122))</f>
        <v/>
      </c>
      <c r="B2122" s="15" t="str">
        <f t="shared" si="252"/>
        <v/>
      </c>
      <c r="M2122" s="9"/>
      <c r="N2122" s="9"/>
      <c r="P2122" s="14"/>
      <c r="Q2122" s="85"/>
      <c r="R2122" s="89"/>
      <c r="U2122" s="11" t="str">
        <f t="shared" si="250"/>
        <v/>
      </c>
      <c r="V2122" s="12" t="str">
        <f t="shared" si="251"/>
        <v/>
      </c>
      <c r="Z2122" s="15"/>
    </row>
    <row r="2123" spans="1:26" x14ac:dyDescent="0.25">
      <c r="A2123" s="15" t="str">
        <f>IF(C2123="","",COUNTA($C$3:C2123))</f>
        <v/>
      </c>
      <c r="B2123" s="15" t="str">
        <f t="shared" si="252"/>
        <v/>
      </c>
      <c r="M2123" s="9"/>
      <c r="N2123" s="9"/>
      <c r="P2123" s="14"/>
      <c r="Q2123" s="85"/>
      <c r="R2123" s="89"/>
      <c r="U2123" s="11" t="str">
        <f t="shared" si="250"/>
        <v/>
      </c>
      <c r="V2123" s="12" t="str">
        <f t="shared" si="251"/>
        <v/>
      </c>
      <c r="Z2123" s="15"/>
    </row>
    <row r="2124" spans="1:26" x14ac:dyDescent="0.25">
      <c r="A2124" s="15" t="str">
        <f>IF(C2124="","",COUNTA($C$3:C2124))</f>
        <v/>
      </c>
      <c r="B2124" s="15" t="str">
        <f t="shared" si="252"/>
        <v/>
      </c>
      <c r="M2124" s="9"/>
      <c r="N2124" s="9"/>
      <c r="P2124" s="14"/>
      <c r="Q2124" s="85"/>
      <c r="R2124" s="89"/>
      <c r="U2124" s="11" t="str">
        <f t="shared" si="250"/>
        <v/>
      </c>
      <c r="V2124" s="12" t="str">
        <f t="shared" si="251"/>
        <v/>
      </c>
      <c r="Z2124" s="15"/>
    </row>
    <row r="2125" spans="1:26" x14ac:dyDescent="0.25">
      <c r="A2125" s="15" t="str">
        <f>IF(C2125="","",COUNTA($C$3:C2125))</f>
        <v/>
      </c>
      <c r="B2125" s="15" t="str">
        <f t="shared" si="252"/>
        <v/>
      </c>
      <c r="M2125" s="9"/>
      <c r="N2125" s="9"/>
      <c r="P2125" s="14"/>
      <c r="Q2125" s="85"/>
      <c r="R2125" s="89"/>
      <c r="U2125" s="11" t="str">
        <f t="shared" si="250"/>
        <v/>
      </c>
      <c r="V2125" s="12" t="str">
        <f t="shared" si="251"/>
        <v/>
      </c>
      <c r="Z2125" s="15"/>
    </row>
    <row r="2126" spans="1:26" x14ac:dyDescent="0.25">
      <c r="A2126" s="15" t="str">
        <f>IF(C2126="","",COUNTA($C$3:C2126))</f>
        <v/>
      </c>
      <c r="B2126" s="15" t="str">
        <f t="shared" si="252"/>
        <v/>
      </c>
      <c r="M2126" s="9"/>
      <c r="N2126" s="9"/>
      <c r="P2126" s="14"/>
      <c r="Q2126" s="85"/>
      <c r="R2126" s="89"/>
      <c r="U2126" s="11" t="str">
        <f t="shared" si="250"/>
        <v/>
      </c>
      <c r="V2126" s="12" t="str">
        <f t="shared" si="251"/>
        <v/>
      </c>
      <c r="Z2126" s="15"/>
    </row>
    <row r="2127" spans="1:26" x14ac:dyDescent="0.25">
      <c r="A2127" s="15" t="str">
        <f>IF(C2127="","",COUNTA($C$3:C2127))</f>
        <v/>
      </c>
      <c r="B2127" s="15" t="str">
        <f t="shared" si="252"/>
        <v/>
      </c>
      <c r="M2127" s="9"/>
      <c r="N2127" s="9"/>
      <c r="P2127" s="14"/>
      <c r="Q2127" s="85"/>
      <c r="R2127" s="89"/>
      <c r="U2127" s="11" t="str">
        <f t="shared" si="250"/>
        <v/>
      </c>
      <c r="V2127" s="12" t="str">
        <f t="shared" si="251"/>
        <v/>
      </c>
      <c r="Z2127" s="15"/>
    </row>
    <row r="2128" spans="1:26" x14ac:dyDescent="0.25">
      <c r="A2128" s="15" t="str">
        <f>IF(C2128="","",COUNTA($C$3:C2128))</f>
        <v/>
      </c>
      <c r="B2128" s="15" t="str">
        <f t="shared" si="252"/>
        <v/>
      </c>
      <c r="M2128" s="9"/>
      <c r="N2128" s="9"/>
      <c r="P2128" s="14"/>
      <c r="Q2128" s="85"/>
      <c r="R2128" s="89"/>
      <c r="U2128" s="11" t="str">
        <f t="shared" si="250"/>
        <v/>
      </c>
      <c r="V2128" s="12" t="str">
        <f t="shared" si="251"/>
        <v/>
      </c>
      <c r="Z2128" s="15"/>
    </row>
    <row r="2129" spans="1:26" x14ac:dyDescent="0.25">
      <c r="A2129" s="15" t="str">
        <f>IF(C2129="","",COUNTA($C$3:C2129))</f>
        <v/>
      </c>
      <c r="B2129" s="15" t="str">
        <f t="shared" si="252"/>
        <v/>
      </c>
      <c r="M2129" s="9"/>
      <c r="N2129" s="9"/>
      <c r="P2129" s="14"/>
      <c r="Q2129" s="85"/>
      <c r="R2129" s="89"/>
      <c r="U2129" s="11" t="str">
        <f t="shared" si="250"/>
        <v/>
      </c>
      <c r="V2129" s="12" t="str">
        <f t="shared" si="251"/>
        <v/>
      </c>
      <c r="Z2129" s="15"/>
    </row>
    <row r="2130" spans="1:26" x14ac:dyDescent="0.25">
      <c r="A2130" s="15" t="str">
        <f>IF(C2130="","",COUNTA($C$3:C2130))</f>
        <v/>
      </c>
      <c r="B2130" s="15" t="str">
        <f t="shared" si="252"/>
        <v/>
      </c>
      <c r="M2130" s="9"/>
      <c r="N2130" s="9"/>
      <c r="P2130" s="14"/>
      <c r="Q2130" s="85"/>
      <c r="R2130" s="89"/>
      <c r="U2130" s="11" t="str">
        <f t="shared" si="250"/>
        <v/>
      </c>
      <c r="V2130" s="12" t="str">
        <f t="shared" si="251"/>
        <v/>
      </c>
      <c r="Z2130" s="15"/>
    </row>
    <row r="2131" spans="1:26" x14ac:dyDescent="0.25">
      <c r="A2131" s="15" t="str">
        <f>IF(C2131="","",COUNTA($C$3:C2131))</f>
        <v/>
      </c>
      <c r="B2131" s="15" t="str">
        <f t="shared" si="252"/>
        <v/>
      </c>
      <c r="M2131" s="9"/>
      <c r="N2131" s="9"/>
      <c r="P2131" s="14"/>
      <c r="Q2131" s="85"/>
      <c r="R2131" s="89"/>
      <c r="U2131" s="11" t="str">
        <f t="shared" si="250"/>
        <v/>
      </c>
      <c r="V2131" s="12" t="str">
        <f t="shared" si="251"/>
        <v/>
      </c>
      <c r="Z2131" s="15"/>
    </row>
    <row r="2132" spans="1:26" x14ac:dyDescent="0.25">
      <c r="A2132" s="15" t="str">
        <f>IF(C2132="","",COUNTA($C$3:C2132))</f>
        <v/>
      </c>
      <c r="B2132" s="15" t="str">
        <f t="shared" si="252"/>
        <v/>
      </c>
      <c r="M2132" s="9"/>
      <c r="N2132" s="9"/>
      <c r="P2132" s="14"/>
      <c r="Q2132" s="85"/>
      <c r="R2132" s="89"/>
      <c r="U2132" s="11" t="str">
        <f t="shared" si="250"/>
        <v/>
      </c>
      <c r="V2132" s="12" t="str">
        <f t="shared" si="251"/>
        <v/>
      </c>
      <c r="Z2132" s="15"/>
    </row>
    <row r="2133" spans="1:26" x14ac:dyDescent="0.25">
      <c r="A2133" s="15" t="str">
        <f>IF(C2133="","",COUNTA($C$3:C2133))</f>
        <v/>
      </c>
      <c r="B2133" s="15" t="str">
        <f t="shared" si="252"/>
        <v/>
      </c>
      <c r="M2133" s="9"/>
      <c r="N2133" s="9"/>
      <c r="P2133" s="14"/>
      <c r="Q2133" s="85"/>
      <c r="R2133" s="89"/>
      <c r="U2133" s="11" t="str">
        <f t="shared" si="250"/>
        <v/>
      </c>
      <c r="V2133" s="12" t="str">
        <f t="shared" si="251"/>
        <v/>
      </c>
      <c r="Z2133" s="15"/>
    </row>
    <row r="2134" spans="1:26" x14ac:dyDescent="0.25">
      <c r="A2134" s="15" t="str">
        <f>IF(C2134="","",COUNTA($C$3:C2134))</f>
        <v/>
      </c>
      <c r="B2134" s="15" t="str">
        <f t="shared" si="252"/>
        <v/>
      </c>
      <c r="M2134" s="9"/>
      <c r="N2134" s="9"/>
      <c r="P2134" s="14"/>
      <c r="Q2134" s="85"/>
      <c r="R2134" s="89"/>
      <c r="U2134" s="11" t="str">
        <f t="shared" si="250"/>
        <v/>
      </c>
      <c r="V2134" s="12" t="str">
        <f t="shared" si="251"/>
        <v/>
      </c>
      <c r="Z2134" s="15"/>
    </row>
    <row r="2135" spans="1:26" x14ac:dyDescent="0.25">
      <c r="A2135" s="15" t="str">
        <f>IF(C2135="","",COUNTA($C$3:C2135))</f>
        <v/>
      </c>
      <c r="B2135" s="15" t="str">
        <f t="shared" si="252"/>
        <v/>
      </c>
      <c r="M2135" s="9"/>
      <c r="N2135" s="9"/>
      <c r="P2135" s="14"/>
      <c r="Q2135" s="85"/>
      <c r="R2135" s="89"/>
      <c r="U2135" s="11" t="str">
        <f t="shared" si="250"/>
        <v/>
      </c>
      <c r="V2135" s="12" t="str">
        <f t="shared" si="251"/>
        <v/>
      </c>
      <c r="Z2135" s="15"/>
    </row>
    <row r="2136" spans="1:26" x14ac:dyDescent="0.25">
      <c r="A2136" s="15" t="str">
        <f>IF(C2136="","",COUNTA($C$3:C2136))</f>
        <v/>
      </c>
      <c r="B2136" s="15" t="str">
        <f t="shared" si="252"/>
        <v/>
      </c>
      <c r="M2136" s="9"/>
      <c r="N2136" s="9"/>
      <c r="P2136" s="14"/>
      <c r="Q2136" s="85"/>
      <c r="R2136" s="89"/>
      <c r="U2136" s="11" t="str">
        <f t="shared" si="250"/>
        <v/>
      </c>
      <c r="V2136" s="12" t="str">
        <f t="shared" si="251"/>
        <v/>
      </c>
      <c r="Z2136" s="15"/>
    </row>
    <row r="2137" spans="1:26" x14ac:dyDescent="0.25">
      <c r="A2137" s="15" t="str">
        <f>IF(C2137="","",COUNTA($C$3:C2137))</f>
        <v/>
      </c>
      <c r="B2137" s="15" t="str">
        <f t="shared" si="252"/>
        <v/>
      </c>
      <c r="M2137" s="9"/>
      <c r="N2137" s="9"/>
      <c r="P2137" s="14"/>
      <c r="Q2137" s="85"/>
      <c r="R2137" s="89"/>
      <c r="U2137" s="11" t="str">
        <f t="shared" si="250"/>
        <v/>
      </c>
      <c r="V2137" s="12" t="str">
        <f t="shared" si="251"/>
        <v/>
      </c>
      <c r="Z2137" s="15"/>
    </row>
    <row r="2138" spans="1:26" x14ac:dyDescent="0.25">
      <c r="A2138" s="15" t="str">
        <f>IF(C2138="","",COUNTA($C$3:C2138))</f>
        <v/>
      </c>
      <c r="B2138" s="15" t="str">
        <f t="shared" si="252"/>
        <v/>
      </c>
      <c r="M2138" s="9"/>
      <c r="N2138" s="9"/>
      <c r="P2138" s="14"/>
      <c r="Q2138" s="85"/>
      <c r="R2138" s="89"/>
      <c r="U2138" s="11" t="str">
        <f t="shared" si="250"/>
        <v/>
      </c>
      <c r="V2138" s="12" t="str">
        <f t="shared" si="251"/>
        <v/>
      </c>
      <c r="Z2138" s="15"/>
    </row>
    <row r="2139" spans="1:26" x14ac:dyDescent="0.25">
      <c r="A2139" s="15" t="str">
        <f>IF(C2139="","",COUNTA($C$3:C2139))</f>
        <v/>
      </c>
      <c r="B2139" s="15" t="str">
        <f t="shared" si="252"/>
        <v/>
      </c>
      <c r="M2139" s="9"/>
      <c r="N2139" s="9"/>
      <c r="P2139" s="14"/>
      <c r="Q2139" s="85"/>
      <c r="R2139" s="89"/>
      <c r="U2139" s="11" t="str">
        <f t="shared" si="250"/>
        <v/>
      </c>
      <c r="V2139" s="12" t="str">
        <f t="shared" si="251"/>
        <v/>
      </c>
      <c r="Z2139" s="15"/>
    </row>
    <row r="2140" spans="1:26" x14ac:dyDescent="0.25">
      <c r="A2140" s="15" t="str">
        <f>IF(C2140="","",COUNTA($C$3:C2140))</f>
        <v/>
      </c>
      <c r="B2140" s="15" t="str">
        <f t="shared" si="252"/>
        <v/>
      </c>
      <c r="M2140" s="9"/>
      <c r="N2140" s="9"/>
      <c r="P2140" s="14"/>
      <c r="Q2140" s="85"/>
      <c r="R2140" s="89"/>
      <c r="U2140" s="11" t="str">
        <f t="shared" si="250"/>
        <v/>
      </c>
      <c r="V2140" s="12" t="str">
        <f t="shared" si="251"/>
        <v/>
      </c>
      <c r="Z2140" s="15"/>
    </row>
    <row r="2141" spans="1:26" x14ac:dyDescent="0.25">
      <c r="A2141" s="15" t="str">
        <f>IF(C2141="","",COUNTA($C$3:C2141))</f>
        <v/>
      </c>
      <c r="B2141" s="15" t="str">
        <f t="shared" si="252"/>
        <v/>
      </c>
      <c r="M2141" s="9"/>
      <c r="N2141" s="9"/>
      <c r="P2141" s="14"/>
      <c r="Q2141" s="85"/>
      <c r="R2141" s="89"/>
      <c r="U2141" s="11" t="str">
        <f t="shared" si="250"/>
        <v/>
      </c>
      <c r="V2141" s="12" t="str">
        <f t="shared" si="251"/>
        <v/>
      </c>
      <c r="Z2141" s="15"/>
    </row>
    <row r="2142" spans="1:26" x14ac:dyDescent="0.25">
      <c r="A2142" s="15" t="str">
        <f>IF(C2142="","",COUNTA($C$3:C2142))</f>
        <v/>
      </c>
      <c r="B2142" s="15" t="str">
        <f t="shared" si="252"/>
        <v/>
      </c>
      <c r="M2142" s="9"/>
      <c r="N2142" s="9"/>
      <c r="P2142" s="14"/>
      <c r="Q2142" s="85"/>
      <c r="R2142" s="89"/>
      <c r="U2142" s="11" t="str">
        <f t="shared" si="250"/>
        <v/>
      </c>
      <c r="V2142" s="12" t="str">
        <f t="shared" si="251"/>
        <v/>
      </c>
      <c r="Z2142" s="15"/>
    </row>
    <row r="2143" spans="1:26" x14ac:dyDescent="0.25">
      <c r="A2143" s="15" t="str">
        <f>IF(C2143="","",COUNTA($C$3:C2143))</f>
        <v/>
      </c>
      <c r="B2143" s="15" t="str">
        <f t="shared" si="252"/>
        <v/>
      </c>
      <c r="M2143" s="9"/>
      <c r="N2143" s="9"/>
      <c r="P2143" s="14"/>
      <c r="Q2143" s="85"/>
      <c r="R2143" s="89"/>
      <c r="U2143" s="11" t="str">
        <f t="shared" si="250"/>
        <v/>
      </c>
      <c r="V2143" s="12" t="str">
        <f t="shared" si="251"/>
        <v/>
      </c>
      <c r="Z2143" s="15"/>
    </row>
    <row r="2144" spans="1:26" x14ac:dyDescent="0.25">
      <c r="A2144" s="15" t="str">
        <f>IF(C2144="","",COUNTA($C$3:C2144))</f>
        <v/>
      </c>
      <c r="B2144" s="15" t="str">
        <f t="shared" si="252"/>
        <v/>
      </c>
      <c r="M2144" s="9"/>
      <c r="N2144" s="9"/>
      <c r="P2144" s="14"/>
      <c r="Q2144" s="85"/>
      <c r="R2144" s="89"/>
      <c r="U2144" s="11" t="str">
        <f t="shared" si="250"/>
        <v/>
      </c>
      <c r="V2144" s="12" t="str">
        <f t="shared" si="251"/>
        <v/>
      </c>
      <c r="Z2144" s="15"/>
    </row>
    <row r="2145" spans="1:26" x14ac:dyDescent="0.25">
      <c r="A2145" s="15" t="str">
        <f>IF(C2145="","",COUNTA($C$3:C2145))</f>
        <v/>
      </c>
      <c r="B2145" s="15" t="str">
        <f t="shared" si="252"/>
        <v/>
      </c>
      <c r="M2145" s="9"/>
      <c r="N2145" s="9"/>
      <c r="P2145" s="14"/>
      <c r="Q2145" s="85"/>
      <c r="R2145" s="89"/>
      <c r="U2145" s="11" t="str">
        <f t="shared" si="250"/>
        <v/>
      </c>
      <c r="V2145" s="12" t="str">
        <f t="shared" si="251"/>
        <v/>
      </c>
      <c r="Z2145" s="15"/>
    </row>
    <row r="2146" spans="1:26" x14ac:dyDescent="0.25">
      <c r="A2146" s="15" t="str">
        <f>IF(C2146="","",COUNTA($C$3:C2146))</f>
        <v/>
      </c>
      <c r="B2146" s="15" t="str">
        <f t="shared" si="252"/>
        <v/>
      </c>
      <c r="M2146" s="9"/>
      <c r="N2146" s="9"/>
      <c r="P2146" s="14"/>
      <c r="Q2146" s="85"/>
      <c r="R2146" s="89"/>
      <c r="U2146" s="11" t="str">
        <f t="shared" si="250"/>
        <v/>
      </c>
      <c r="V2146" s="12" t="str">
        <f t="shared" si="251"/>
        <v/>
      </c>
      <c r="Z2146" s="15"/>
    </row>
    <row r="2147" spans="1:26" x14ac:dyDescent="0.25">
      <c r="A2147" s="15" t="str">
        <f>IF(C2147="","",COUNTA($C$3:C2147))</f>
        <v/>
      </c>
      <c r="B2147" s="15" t="str">
        <f t="shared" si="252"/>
        <v/>
      </c>
      <c r="M2147" s="9"/>
      <c r="N2147" s="9"/>
      <c r="P2147" s="14"/>
      <c r="Q2147" s="85"/>
      <c r="R2147" s="89"/>
      <c r="U2147" s="11" t="str">
        <f t="shared" si="250"/>
        <v/>
      </c>
      <c r="V2147" s="12" t="str">
        <f t="shared" si="251"/>
        <v/>
      </c>
      <c r="Z2147" s="15"/>
    </row>
    <row r="2148" spans="1:26" x14ac:dyDescent="0.25">
      <c r="A2148" s="15" t="str">
        <f>IF(C2148="","",COUNTA($C$3:C2148))</f>
        <v/>
      </c>
      <c r="B2148" s="15" t="str">
        <f t="shared" si="252"/>
        <v/>
      </c>
      <c r="M2148" s="9"/>
      <c r="N2148" s="9"/>
      <c r="P2148" s="14"/>
      <c r="Q2148" s="85"/>
      <c r="R2148" s="89"/>
      <c r="U2148" s="11" t="str">
        <f t="shared" si="250"/>
        <v/>
      </c>
      <c r="V2148" s="12" t="str">
        <f t="shared" si="251"/>
        <v/>
      </c>
      <c r="Z2148" s="15"/>
    </row>
    <row r="2149" spans="1:26" x14ac:dyDescent="0.25">
      <c r="A2149" s="15" t="str">
        <f>IF(C2149="","",COUNTA($C$3:C2149))</f>
        <v/>
      </c>
      <c r="B2149" s="15" t="str">
        <f t="shared" si="252"/>
        <v/>
      </c>
      <c r="M2149" s="9"/>
      <c r="N2149" s="9"/>
      <c r="P2149" s="14"/>
      <c r="Q2149" s="85"/>
      <c r="R2149" s="89"/>
      <c r="U2149" s="11" t="str">
        <f t="shared" si="250"/>
        <v/>
      </c>
      <c r="V2149" s="12" t="str">
        <f t="shared" si="251"/>
        <v/>
      </c>
      <c r="Z2149" s="15"/>
    </row>
    <row r="2150" spans="1:26" x14ac:dyDescent="0.25">
      <c r="A2150" s="15" t="str">
        <f>IF(C2150="","",COUNTA($C$3:C2150))</f>
        <v/>
      </c>
      <c r="B2150" s="15" t="str">
        <f t="shared" si="252"/>
        <v/>
      </c>
      <c r="M2150" s="9"/>
      <c r="N2150" s="9"/>
      <c r="P2150" s="14"/>
      <c r="Q2150" s="85"/>
      <c r="R2150" s="89"/>
      <c r="U2150" s="11" t="str">
        <f t="shared" si="250"/>
        <v/>
      </c>
      <c r="V2150" s="12" t="str">
        <f t="shared" si="251"/>
        <v/>
      </c>
      <c r="Z2150" s="15"/>
    </row>
    <row r="2151" spans="1:26" x14ac:dyDescent="0.25">
      <c r="A2151" s="15" t="str">
        <f>IF(C2151="","",COUNTA($C$3:C2151))</f>
        <v/>
      </c>
      <c r="B2151" s="15" t="str">
        <f t="shared" si="252"/>
        <v/>
      </c>
      <c r="M2151" s="9"/>
      <c r="N2151" s="9"/>
      <c r="P2151" s="14"/>
      <c r="Q2151" s="85"/>
      <c r="R2151" s="89"/>
      <c r="U2151" s="11" t="str">
        <f t="shared" si="250"/>
        <v/>
      </c>
      <c r="V2151" s="12" t="str">
        <f t="shared" si="251"/>
        <v/>
      </c>
      <c r="Z2151" s="15"/>
    </row>
    <row r="2152" spans="1:26" x14ac:dyDescent="0.25">
      <c r="A2152" s="15" t="str">
        <f>IF(C2152="","",COUNTA($C$3:C2152))</f>
        <v/>
      </c>
      <c r="B2152" s="15" t="str">
        <f t="shared" si="252"/>
        <v/>
      </c>
      <c r="M2152" s="9"/>
      <c r="N2152" s="9"/>
      <c r="P2152" s="14"/>
      <c r="Q2152" s="85"/>
      <c r="R2152" s="89"/>
      <c r="U2152" s="11" t="str">
        <f t="shared" si="250"/>
        <v/>
      </c>
      <c r="V2152" s="12" t="str">
        <f t="shared" si="251"/>
        <v/>
      </c>
      <c r="Z2152" s="15"/>
    </row>
    <row r="2153" spans="1:26" x14ac:dyDescent="0.25">
      <c r="A2153" s="15" t="str">
        <f>IF(C2153="","",COUNTA($C$3:C2153))</f>
        <v/>
      </c>
      <c r="B2153" s="15" t="str">
        <f t="shared" si="252"/>
        <v/>
      </c>
      <c r="M2153" s="9"/>
      <c r="N2153" s="9"/>
      <c r="P2153" s="14"/>
      <c r="Q2153" s="85"/>
      <c r="R2153" s="89"/>
      <c r="U2153" s="11" t="str">
        <f t="shared" si="250"/>
        <v/>
      </c>
      <c r="V2153" s="12" t="str">
        <f t="shared" si="251"/>
        <v/>
      </c>
      <c r="Z2153" s="15"/>
    </row>
    <row r="2154" spans="1:26" x14ac:dyDescent="0.25">
      <c r="A2154" s="15" t="str">
        <f>IF(C2154="","",COUNTA($C$3:C2154))</f>
        <v/>
      </c>
      <c r="B2154" s="15" t="str">
        <f t="shared" si="252"/>
        <v/>
      </c>
      <c r="M2154" s="9"/>
      <c r="N2154" s="9"/>
      <c r="P2154" s="14"/>
      <c r="Q2154" s="85"/>
      <c r="R2154" s="89"/>
      <c r="U2154" s="11" t="str">
        <f t="shared" si="250"/>
        <v/>
      </c>
      <c r="V2154" s="12" t="str">
        <f t="shared" si="251"/>
        <v/>
      </c>
      <c r="Z2154" s="15"/>
    </row>
    <row r="2155" spans="1:26" x14ac:dyDescent="0.25">
      <c r="A2155" s="15" t="str">
        <f>IF(C2155="","",COUNTA($C$3:C2155))</f>
        <v/>
      </c>
      <c r="B2155" s="15" t="str">
        <f t="shared" si="252"/>
        <v/>
      </c>
      <c r="M2155" s="9"/>
      <c r="N2155" s="9"/>
      <c r="P2155" s="14"/>
      <c r="Q2155" s="85"/>
      <c r="R2155" s="89"/>
      <c r="U2155" s="11" t="str">
        <f t="shared" si="250"/>
        <v/>
      </c>
      <c r="V2155" s="12" t="str">
        <f t="shared" si="251"/>
        <v/>
      </c>
      <c r="Z2155" s="15"/>
    </row>
    <row r="2156" spans="1:26" x14ac:dyDescent="0.25">
      <c r="A2156" s="15" t="str">
        <f>IF(C2156="","",COUNTA($C$3:C2156))</f>
        <v/>
      </c>
      <c r="B2156" s="15" t="str">
        <f t="shared" si="252"/>
        <v/>
      </c>
      <c r="M2156" s="9"/>
      <c r="N2156" s="9"/>
      <c r="P2156" s="14"/>
      <c r="Q2156" s="85"/>
      <c r="R2156" s="89"/>
      <c r="U2156" s="11" t="str">
        <f t="shared" si="250"/>
        <v/>
      </c>
      <c r="V2156" s="12" t="str">
        <f t="shared" si="251"/>
        <v/>
      </c>
      <c r="Z2156" s="15"/>
    </row>
    <row r="2157" spans="1:26" x14ac:dyDescent="0.25">
      <c r="A2157" s="15" t="str">
        <f>IF(C2157="","",COUNTA($C$3:C2157))</f>
        <v/>
      </c>
      <c r="B2157" s="15" t="str">
        <f t="shared" si="252"/>
        <v/>
      </c>
      <c r="M2157" s="9"/>
      <c r="N2157" s="9"/>
      <c r="P2157" s="14"/>
      <c r="Q2157" s="85"/>
      <c r="R2157" s="89"/>
      <c r="U2157" s="11" t="str">
        <f t="shared" si="250"/>
        <v/>
      </c>
      <c r="V2157" s="12" t="str">
        <f t="shared" si="251"/>
        <v/>
      </c>
      <c r="Z2157" s="15"/>
    </row>
    <row r="2158" spans="1:26" x14ac:dyDescent="0.25">
      <c r="A2158" s="15" t="str">
        <f>IF(C2158="","",COUNTA($C$3:C2158))</f>
        <v/>
      </c>
      <c r="B2158" s="15" t="str">
        <f t="shared" si="252"/>
        <v/>
      </c>
      <c r="M2158" s="9"/>
      <c r="N2158" s="9"/>
      <c r="P2158" s="14"/>
      <c r="Q2158" s="85"/>
      <c r="R2158" s="89"/>
      <c r="U2158" s="11" t="str">
        <f t="shared" si="250"/>
        <v/>
      </c>
      <c r="V2158" s="12" t="str">
        <f t="shared" si="251"/>
        <v/>
      </c>
      <c r="Z2158" s="15"/>
    </row>
    <row r="2159" spans="1:26" x14ac:dyDescent="0.25">
      <c r="A2159" s="15" t="str">
        <f>IF(C2159="","",COUNTA($C$3:C2159))</f>
        <v/>
      </c>
      <c r="B2159" s="15" t="str">
        <f t="shared" si="252"/>
        <v/>
      </c>
      <c r="M2159" s="9"/>
      <c r="N2159" s="9"/>
      <c r="P2159" s="14"/>
      <c r="Q2159" s="85"/>
      <c r="R2159" s="89"/>
      <c r="U2159" s="11" t="str">
        <f t="shared" si="250"/>
        <v/>
      </c>
      <c r="V2159" s="12" t="str">
        <f t="shared" si="251"/>
        <v/>
      </c>
      <c r="Z2159" s="15"/>
    </row>
    <row r="2160" spans="1:26" x14ac:dyDescent="0.25">
      <c r="A2160" s="15" t="str">
        <f>IF(C2160="","",COUNTA($C$3:C2160))</f>
        <v/>
      </c>
      <c r="B2160" s="15" t="str">
        <f t="shared" si="252"/>
        <v/>
      </c>
      <c r="M2160" s="9"/>
      <c r="N2160" s="9"/>
      <c r="P2160" s="14"/>
      <c r="Q2160" s="85"/>
      <c r="R2160" s="89"/>
      <c r="U2160" s="11" t="str">
        <f t="shared" si="250"/>
        <v/>
      </c>
      <c r="V2160" s="12" t="str">
        <f t="shared" si="251"/>
        <v/>
      </c>
      <c r="Z2160" s="15"/>
    </row>
    <row r="2161" spans="1:26" x14ac:dyDescent="0.25">
      <c r="A2161" s="15" t="str">
        <f>IF(C2161="","",COUNTA($C$3:C2161))</f>
        <v/>
      </c>
      <c r="B2161" s="15" t="str">
        <f t="shared" si="252"/>
        <v/>
      </c>
      <c r="M2161" s="9"/>
      <c r="N2161" s="9"/>
      <c r="P2161" s="14"/>
      <c r="Q2161" s="85"/>
      <c r="R2161" s="89"/>
      <c r="U2161" s="11" t="str">
        <f t="shared" si="250"/>
        <v/>
      </c>
      <c r="V2161" s="12" t="str">
        <f t="shared" si="251"/>
        <v/>
      </c>
      <c r="Z2161" s="15"/>
    </row>
    <row r="2162" spans="1:26" x14ac:dyDescent="0.25">
      <c r="A2162" s="15" t="str">
        <f>IF(C2162="","",COUNTA($C$3:C2162))</f>
        <v/>
      </c>
      <c r="B2162" s="15" t="str">
        <f t="shared" si="252"/>
        <v/>
      </c>
      <c r="M2162" s="9"/>
      <c r="N2162" s="9"/>
      <c r="P2162" s="14"/>
      <c r="Q2162" s="85"/>
      <c r="R2162" s="89"/>
      <c r="U2162" s="11" t="str">
        <f t="shared" si="250"/>
        <v/>
      </c>
      <c r="V2162" s="12" t="str">
        <f t="shared" si="251"/>
        <v/>
      </c>
      <c r="Z2162" s="15"/>
    </row>
    <row r="2163" spans="1:26" x14ac:dyDescent="0.25">
      <c r="A2163" s="15" t="str">
        <f>IF(C2163="","",COUNTA($C$3:C2163))</f>
        <v/>
      </c>
      <c r="B2163" s="15" t="str">
        <f t="shared" si="252"/>
        <v/>
      </c>
      <c r="M2163" s="9"/>
      <c r="N2163" s="9"/>
      <c r="P2163" s="14"/>
      <c r="Q2163" s="85"/>
      <c r="R2163" s="89"/>
      <c r="U2163" s="11" t="str">
        <f t="shared" si="250"/>
        <v/>
      </c>
      <c r="V2163" s="12" t="str">
        <f t="shared" si="251"/>
        <v/>
      </c>
      <c r="Z2163" s="15"/>
    </row>
    <row r="2164" spans="1:26" x14ac:dyDescent="0.25">
      <c r="A2164" s="15" t="str">
        <f>IF(C2164="","",COUNTA($C$3:C2164))</f>
        <v/>
      </c>
      <c r="B2164" s="15" t="str">
        <f t="shared" si="252"/>
        <v/>
      </c>
      <c r="M2164" s="9"/>
      <c r="N2164" s="9"/>
      <c r="P2164" s="14"/>
      <c r="Q2164" s="85"/>
      <c r="R2164" s="89"/>
      <c r="U2164" s="11" t="str">
        <f t="shared" si="250"/>
        <v/>
      </c>
      <c r="V2164" s="12" t="str">
        <f t="shared" si="251"/>
        <v/>
      </c>
      <c r="Z2164" s="15"/>
    </row>
    <row r="2165" spans="1:26" x14ac:dyDescent="0.25">
      <c r="A2165" s="15" t="str">
        <f>IF(C2165="","",COUNTA($C$3:C2165))</f>
        <v/>
      </c>
      <c r="B2165" s="15" t="str">
        <f t="shared" si="252"/>
        <v/>
      </c>
      <c r="M2165" s="9"/>
      <c r="N2165" s="9"/>
      <c r="P2165" s="14"/>
      <c r="Q2165" s="85"/>
      <c r="R2165" s="89"/>
      <c r="U2165" s="11" t="str">
        <f t="shared" si="250"/>
        <v/>
      </c>
      <c r="V2165" s="12" t="str">
        <f t="shared" si="251"/>
        <v/>
      </c>
      <c r="Z2165" s="15"/>
    </row>
    <row r="2166" spans="1:26" x14ac:dyDescent="0.25">
      <c r="A2166" s="15" t="str">
        <f>IF(C2166="","",COUNTA($C$3:C2166))</f>
        <v/>
      </c>
      <c r="B2166" s="15" t="str">
        <f t="shared" si="252"/>
        <v/>
      </c>
      <c r="M2166" s="9"/>
      <c r="N2166" s="9"/>
      <c r="P2166" s="14"/>
      <c r="Q2166" s="85"/>
      <c r="R2166" s="89"/>
      <c r="U2166" s="11" t="str">
        <f t="shared" si="250"/>
        <v/>
      </c>
      <c r="V2166" s="12" t="str">
        <f t="shared" si="251"/>
        <v/>
      </c>
      <c r="Z2166" s="15"/>
    </row>
    <row r="2167" spans="1:26" x14ac:dyDescent="0.25">
      <c r="A2167" s="15" t="str">
        <f>IF(C2167="","",COUNTA($C$3:C2167))</f>
        <v/>
      </c>
      <c r="B2167" s="15" t="str">
        <f t="shared" si="252"/>
        <v/>
      </c>
      <c r="M2167" s="9"/>
      <c r="N2167" s="9"/>
      <c r="P2167" s="14"/>
      <c r="Q2167" s="85"/>
      <c r="R2167" s="89"/>
      <c r="U2167" s="11" t="str">
        <f t="shared" si="250"/>
        <v/>
      </c>
      <c r="V2167" s="12" t="str">
        <f t="shared" si="251"/>
        <v/>
      </c>
      <c r="Z2167" s="15"/>
    </row>
    <row r="2168" spans="1:26" x14ac:dyDescent="0.25">
      <c r="A2168" s="15" t="str">
        <f>IF(C2168="","",COUNTA($C$3:C2168))</f>
        <v/>
      </c>
      <c r="B2168" s="15" t="str">
        <f t="shared" si="252"/>
        <v/>
      </c>
      <c r="M2168" s="9"/>
      <c r="N2168" s="9"/>
      <c r="P2168" s="14"/>
      <c r="Q2168" s="85"/>
      <c r="R2168" s="89"/>
      <c r="U2168" s="11" t="str">
        <f t="shared" si="250"/>
        <v/>
      </c>
      <c r="V2168" s="12" t="str">
        <f t="shared" si="251"/>
        <v/>
      </c>
      <c r="Z2168" s="15"/>
    </row>
    <row r="2169" spans="1:26" x14ac:dyDescent="0.25">
      <c r="A2169" s="15" t="str">
        <f>IF(C2169="","",COUNTA($C$3:C2169))</f>
        <v/>
      </c>
      <c r="B2169" s="15" t="str">
        <f t="shared" si="252"/>
        <v/>
      </c>
      <c r="M2169" s="9"/>
      <c r="N2169" s="9"/>
      <c r="P2169" s="14"/>
      <c r="Q2169" s="85"/>
      <c r="R2169" s="89"/>
      <c r="U2169" s="11" t="str">
        <f t="shared" si="250"/>
        <v/>
      </c>
      <c r="V2169" s="12" t="str">
        <f t="shared" si="251"/>
        <v/>
      </c>
      <c r="Z2169" s="15"/>
    </row>
    <row r="2170" spans="1:26" x14ac:dyDescent="0.25">
      <c r="A2170" s="15" t="str">
        <f>IF(C2170="","",COUNTA($C$3:C2170))</f>
        <v/>
      </c>
      <c r="B2170" s="15" t="str">
        <f t="shared" si="252"/>
        <v/>
      </c>
      <c r="M2170" s="9"/>
      <c r="N2170" s="9"/>
      <c r="P2170" s="14"/>
      <c r="Q2170" s="85"/>
      <c r="R2170" s="89"/>
      <c r="U2170" s="11" t="str">
        <f t="shared" si="250"/>
        <v/>
      </c>
      <c r="V2170" s="12" t="str">
        <f t="shared" si="251"/>
        <v/>
      </c>
      <c r="Z2170" s="15"/>
    </row>
    <row r="2171" spans="1:26" x14ac:dyDescent="0.25">
      <c r="A2171" s="15" t="str">
        <f>IF(C2171="","",COUNTA($C$3:C2171))</f>
        <v/>
      </c>
      <c r="B2171" s="15" t="str">
        <f t="shared" si="252"/>
        <v/>
      </c>
      <c r="M2171" s="9"/>
      <c r="N2171" s="9"/>
      <c r="P2171" s="14"/>
      <c r="Q2171" s="85"/>
      <c r="R2171" s="89"/>
      <c r="U2171" s="11" t="str">
        <f t="shared" si="250"/>
        <v/>
      </c>
      <c r="V2171" s="12" t="str">
        <f t="shared" si="251"/>
        <v/>
      </c>
      <c r="Z2171" s="15"/>
    </row>
    <row r="2172" spans="1:26" x14ac:dyDescent="0.25">
      <c r="A2172" s="15" t="str">
        <f>IF(C2172="","",COUNTA($C$3:C2172))</f>
        <v/>
      </c>
      <c r="B2172" s="15" t="str">
        <f t="shared" si="252"/>
        <v/>
      </c>
      <c r="M2172" s="9"/>
      <c r="N2172" s="9"/>
      <c r="P2172" s="14"/>
      <c r="Q2172" s="85"/>
      <c r="R2172" s="89"/>
      <c r="U2172" s="11" t="str">
        <f t="shared" si="250"/>
        <v/>
      </c>
      <c r="V2172" s="12" t="str">
        <f t="shared" si="251"/>
        <v/>
      </c>
      <c r="Z2172" s="15"/>
    </row>
    <row r="2173" spans="1:26" x14ac:dyDescent="0.25">
      <c r="A2173" s="15" t="str">
        <f>IF(C2173="","",COUNTA($C$3:C2173))</f>
        <v/>
      </c>
      <c r="B2173" s="15" t="str">
        <f t="shared" si="252"/>
        <v/>
      </c>
      <c r="M2173" s="9"/>
      <c r="N2173" s="9"/>
      <c r="P2173" s="14"/>
      <c r="Q2173" s="85"/>
      <c r="R2173" s="89"/>
      <c r="U2173" s="11" t="str">
        <f t="shared" si="250"/>
        <v/>
      </c>
      <c r="V2173" s="12" t="str">
        <f t="shared" si="251"/>
        <v/>
      </c>
      <c r="Z2173" s="15"/>
    </row>
    <row r="2174" spans="1:26" x14ac:dyDescent="0.25">
      <c r="A2174" s="15" t="str">
        <f>IF(C2174="","",COUNTA($C$3:C2174))</f>
        <v/>
      </c>
      <c r="B2174" s="15" t="str">
        <f t="shared" si="252"/>
        <v/>
      </c>
      <c r="M2174" s="9"/>
      <c r="N2174" s="9"/>
      <c r="P2174" s="14"/>
      <c r="Q2174" s="85"/>
      <c r="R2174" s="89"/>
      <c r="U2174" s="11" t="str">
        <f t="shared" si="250"/>
        <v/>
      </c>
      <c r="V2174" s="12" t="str">
        <f t="shared" si="251"/>
        <v/>
      </c>
      <c r="Z2174" s="15"/>
    </row>
    <row r="2175" spans="1:26" x14ac:dyDescent="0.25">
      <c r="A2175" s="15" t="str">
        <f>IF(C2175="","",COUNTA($C$3:C2175))</f>
        <v/>
      </c>
      <c r="B2175" s="15" t="str">
        <f t="shared" si="252"/>
        <v/>
      </c>
      <c r="M2175" s="9"/>
      <c r="N2175" s="9"/>
      <c r="P2175" s="14"/>
      <c r="Q2175" s="85"/>
      <c r="R2175" s="89"/>
      <c r="U2175" s="11" t="str">
        <f t="shared" si="250"/>
        <v/>
      </c>
      <c r="V2175" s="12" t="str">
        <f t="shared" si="251"/>
        <v/>
      </c>
      <c r="Z2175" s="15"/>
    </row>
    <row r="2176" spans="1:26" x14ac:dyDescent="0.25">
      <c r="A2176" s="15" t="str">
        <f>IF(C2176="","",COUNTA($C$3:C2176))</f>
        <v/>
      </c>
      <c r="B2176" s="15" t="str">
        <f t="shared" si="252"/>
        <v/>
      </c>
      <c r="M2176" s="9"/>
      <c r="N2176" s="9"/>
      <c r="P2176" s="14"/>
      <c r="Q2176" s="85"/>
      <c r="R2176" s="89"/>
      <c r="U2176" s="11" t="str">
        <f t="shared" si="250"/>
        <v/>
      </c>
      <c r="V2176" s="12" t="str">
        <f t="shared" si="251"/>
        <v/>
      </c>
      <c r="Z2176" s="15"/>
    </row>
    <row r="2177" spans="1:26" x14ac:dyDescent="0.25">
      <c r="A2177" s="15" t="str">
        <f>IF(C2177="","",COUNTA($C$3:C2177))</f>
        <v/>
      </c>
      <c r="B2177" s="15" t="str">
        <f t="shared" si="252"/>
        <v/>
      </c>
      <c r="M2177" s="9"/>
      <c r="N2177" s="9"/>
      <c r="P2177" s="14"/>
      <c r="Q2177" s="85"/>
      <c r="R2177" s="89"/>
      <c r="U2177" s="11" t="str">
        <f t="shared" si="250"/>
        <v/>
      </c>
      <c r="V2177" s="12" t="str">
        <f t="shared" si="251"/>
        <v/>
      </c>
      <c r="Z2177" s="15"/>
    </row>
    <row r="2178" spans="1:26" x14ac:dyDescent="0.25">
      <c r="A2178" s="15" t="str">
        <f>IF(C2178="","",COUNTA($C$3:C2178))</f>
        <v/>
      </c>
      <c r="B2178" s="15" t="str">
        <f t="shared" si="252"/>
        <v/>
      </c>
      <c r="M2178" s="9"/>
      <c r="N2178" s="9"/>
      <c r="P2178" s="14"/>
      <c r="Q2178" s="85"/>
      <c r="R2178" s="89"/>
      <c r="U2178" s="11" t="str">
        <f t="shared" ref="U2178:U2241" si="253">IF(S2178="","",(S2178-T2178))</f>
        <v/>
      </c>
      <c r="V2178" s="12" t="str">
        <f t="shared" ref="V2178:V2241" si="254">IF(U2178="","",(U2178/T2178))</f>
        <v/>
      </c>
      <c r="Z2178" s="15"/>
    </row>
    <row r="2179" spans="1:26" x14ac:dyDescent="0.25">
      <c r="A2179" s="15" t="str">
        <f>IF(C2179="","",COUNTA($C$3:C2179))</f>
        <v/>
      </c>
      <c r="B2179" s="15" t="str">
        <f t="shared" ref="B2179:B2242" si="255">IF(C2179="","",TEXT(C2179,"mmmm"))</f>
        <v/>
      </c>
      <c r="M2179" s="9"/>
      <c r="N2179" s="9"/>
      <c r="P2179" s="14"/>
      <c r="Q2179" s="85"/>
      <c r="R2179" s="89"/>
      <c r="U2179" s="11" t="str">
        <f t="shared" si="253"/>
        <v/>
      </c>
      <c r="V2179" s="12" t="str">
        <f t="shared" si="254"/>
        <v/>
      </c>
      <c r="Z2179" s="15"/>
    </row>
    <row r="2180" spans="1:26" x14ac:dyDescent="0.25">
      <c r="A2180" s="15" t="str">
        <f>IF(C2180="","",COUNTA($C$3:C2180))</f>
        <v/>
      </c>
      <c r="B2180" s="15" t="str">
        <f t="shared" si="255"/>
        <v/>
      </c>
      <c r="M2180" s="9"/>
      <c r="N2180" s="9"/>
      <c r="P2180" s="14"/>
      <c r="Q2180" s="85"/>
      <c r="R2180" s="89"/>
      <c r="U2180" s="11" t="str">
        <f t="shared" si="253"/>
        <v/>
      </c>
      <c r="V2180" s="12" t="str">
        <f t="shared" si="254"/>
        <v/>
      </c>
      <c r="Z2180" s="15"/>
    </row>
    <row r="2181" spans="1:26" x14ac:dyDescent="0.25">
      <c r="A2181" s="15" t="str">
        <f>IF(C2181="","",COUNTA($C$3:C2181))</f>
        <v/>
      </c>
      <c r="B2181" s="15" t="str">
        <f t="shared" si="255"/>
        <v/>
      </c>
      <c r="M2181" s="9"/>
      <c r="N2181" s="9"/>
      <c r="P2181" s="14"/>
      <c r="Q2181" s="85"/>
      <c r="R2181" s="89"/>
      <c r="U2181" s="11" t="str">
        <f t="shared" si="253"/>
        <v/>
      </c>
      <c r="V2181" s="12" t="str">
        <f t="shared" si="254"/>
        <v/>
      </c>
      <c r="Z2181" s="15"/>
    </row>
    <row r="2182" spans="1:26" x14ac:dyDescent="0.25">
      <c r="A2182" s="15" t="str">
        <f>IF(C2182="","",COUNTA($C$3:C2182))</f>
        <v/>
      </c>
      <c r="B2182" s="15" t="str">
        <f t="shared" si="255"/>
        <v/>
      </c>
      <c r="M2182" s="9"/>
      <c r="N2182" s="9"/>
      <c r="P2182" s="14"/>
      <c r="Q2182" s="85"/>
      <c r="R2182" s="89"/>
      <c r="U2182" s="11" t="str">
        <f t="shared" si="253"/>
        <v/>
      </c>
      <c r="V2182" s="12" t="str">
        <f t="shared" si="254"/>
        <v/>
      </c>
      <c r="Z2182" s="15"/>
    </row>
    <row r="2183" spans="1:26" x14ac:dyDescent="0.25">
      <c r="A2183" s="15" t="str">
        <f>IF(C2183="","",COUNTA($C$3:C2183))</f>
        <v/>
      </c>
      <c r="B2183" s="15" t="str">
        <f t="shared" si="255"/>
        <v/>
      </c>
      <c r="M2183" s="9"/>
      <c r="N2183" s="9"/>
      <c r="P2183" s="14"/>
      <c r="Q2183" s="85"/>
      <c r="R2183" s="89"/>
      <c r="U2183" s="11" t="str">
        <f t="shared" si="253"/>
        <v/>
      </c>
      <c r="V2183" s="12" t="str">
        <f t="shared" si="254"/>
        <v/>
      </c>
      <c r="Z2183" s="15"/>
    </row>
    <row r="2184" spans="1:26" x14ac:dyDescent="0.25">
      <c r="A2184" s="15" t="str">
        <f>IF(C2184="","",COUNTA($C$3:C2184))</f>
        <v/>
      </c>
      <c r="B2184" s="15" t="str">
        <f t="shared" si="255"/>
        <v/>
      </c>
      <c r="M2184" s="9"/>
      <c r="N2184" s="9"/>
      <c r="P2184" s="14"/>
      <c r="Q2184" s="85"/>
      <c r="R2184" s="89"/>
      <c r="U2184" s="11" t="str">
        <f t="shared" si="253"/>
        <v/>
      </c>
      <c r="V2184" s="12" t="str">
        <f t="shared" si="254"/>
        <v/>
      </c>
      <c r="Z2184" s="15"/>
    </row>
    <row r="2185" spans="1:26" x14ac:dyDescent="0.25">
      <c r="A2185" s="15" t="str">
        <f>IF(C2185="","",COUNTA($C$3:C2185))</f>
        <v/>
      </c>
      <c r="B2185" s="15" t="str">
        <f t="shared" si="255"/>
        <v/>
      </c>
      <c r="M2185" s="9"/>
      <c r="N2185" s="9"/>
      <c r="P2185" s="14"/>
      <c r="Q2185" s="85"/>
      <c r="R2185" s="89"/>
      <c r="U2185" s="11" t="str">
        <f t="shared" si="253"/>
        <v/>
      </c>
      <c r="V2185" s="12" t="str">
        <f t="shared" si="254"/>
        <v/>
      </c>
      <c r="Z2185" s="15"/>
    </row>
    <row r="2186" spans="1:26" x14ac:dyDescent="0.25">
      <c r="A2186" s="15" t="str">
        <f>IF(C2186="","",COUNTA($C$3:C2186))</f>
        <v/>
      </c>
      <c r="B2186" s="15" t="str">
        <f t="shared" si="255"/>
        <v/>
      </c>
      <c r="M2186" s="9"/>
      <c r="N2186" s="9"/>
      <c r="P2186" s="14"/>
      <c r="Q2186" s="85"/>
      <c r="R2186" s="89"/>
      <c r="U2186" s="11" t="str">
        <f t="shared" si="253"/>
        <v/>
      </c>
      <c r="V2186" s="12" t="str">
        <f t="shared" si="254"/>
        <v/>
      </c>
      <c r="Z2186" s="15"/>
    </row>
    <row r="2187" spans="1:26" x14ac:dyDescent="0.25">
      <c r="A2187" s="15" t="str">
        <f>IF(C2187="","",COUNTA($C$3:C2187))</f>
        <v/>
      </c>
      <c r="B2187" s="15" t="str">
        <f t="shared" si="255"/>
        <v/>
      </c>
      <c r="M2187" s="9"/>
      <c r="N2187" s="9"/>
      <c r="P2187" s="14"/>
      <c r="Q2187" s="85"/>
      <c r="R2187" s="89"/>
      <c r="U2187" s="11" t="str">
        <f t="shared" si="253"/>
        <v/>
      </c>
      <c r="V2187" s="12" t="str">
        <f t="shared" si="254"/>
        <v/>
      </c>
      <c r="Z2187" s="15"/>
    </row>
    <row r="2188" spans="1:26" x14ac:dyDescent="0.25">
      <c r="A2188" s="15" t="str">
        <f>IF(C2188="","",COUNTA($C$3:C2188))</f>
        <v/>
      </c>
      <c r="B2188" s="15" t="str">
        <f t="shared" si="255"/>
        <v/>
      </c>
      <c r="M2188" s="9"/>
      <c r="N2188" s="9"/>
      <c r="P2188" s="14"/>
      <c r="Q2188" s="85"/>
      <c r="R2188" s="89"/>
      <c r="U2188" s="11" t="str">
        <f t="shared" si="253"/>
        <v/>
      </c>
      <c r="V2188" s="12" t="str">
        <f t="shared" si="254"/>
        <v/>
      </c>
      <c r="Z2188" s="15"/>
    </row>
    <row r="2189" spans="1:26" x14ac:dyDescent="0.25">
      <c r="A2189" s="15" t="str">
        <f>IF(C2189="","",COUNTA($C$3:C2189))</f>
        <v/>
      </c>
      <c r="B2189" s="15" t="str">
        <f t="shared" si="255"/>
        <v/>
      </c>
      <c r="M2189" s="9"/>
      <c r="N2189" s="9"/>
      <c r="P2189" s="14"/>
      <c r="Q2189" s="85"/>
      <c r="R2189" s="89"/>
      <c r="U2189" s="11" t="str">
        <f t="shared" si="253"/>
        <v/>
      </c>
      <c r="V2189" s="12" t="str">
        <f t="shared" si="254"/>
        <v/>
      </c>
      <c r="Z2189" s="15"/>
    </row>
    <row r="2190" spans="1:26" x14ac:dyDescent="0.25">
      <c r="A2190" s="15" t="str">
        <f>IF(C2190="","",COUNTA($C$3:C2190))</f>
        <v/>
      </c>
      <c r="B2190" s="15" t="str">
        <f t="shared" si="255"/>
        <v/>
      </c>
      <c r="M2190" s="9"/>
      <c r="N2190" s="9"/>
      <c r="P2190" s="14"/>
      <c r="Q2190" s="85"/>
      <c r="R2190" s="89"/>
      <c r="U2190" s="11" t="str">
        <f t="shared" si="253"/>
        <v/>
      </c>
      <c r="V2190" s="12" t="str">
        <f t="shared" si="254"/>
        <v/>
      </c>
      <c r="Z2190" s="15"/>
    </row>
    <row r="2191" spans="1:26" x14ac:dyDescent="0.25">
      <c r="A2191" s="15" t="str">
        <f>IF(C2191="","",COUNTA($C$3:C2191))</f>
        <v/>
      </c>
      <c r="B2191" s="15" t="str">
        <f t="shared" si="255"/>
        <v/>
      </c>
      <c r="M2191" s="9"/>
      <c r="N2191" s="9"/>
      <c r="P2191" s="14"/>
      <c r="Q2191" s="85"/>
      <c r="R2191" s="89"/>
      <c r="U2191" s="11" t="str">
        <f t="shared" si="253"/>
        <v/>
      </c>
      <c r="V2191" s="12" t="str">
        <f t="shared" si="254"/>
        <v/>
      </c>
      <c r="Z2191" s="15"/>
    </row>
    <row r="2192" spans="1:26" x14ac:dyDescent="0.25">
      <c r="A2192" s="15" t="str">
        <f>IF(C2192="","",COUNTA($C$3:C2192))</f>
        <v/>
      </c>
      <c r="B2192" s="15" t="str">
        <f t="shared" si="255"/>
        <v/>
      </c>
      <c r="M2192" s="9"/>
      <c r="N2192" s="9"/>
      <c r="P2192" s="14"/>
      <c r="Q2192" s="85"/>
      <c r="R2192" s="89"/>
      <c r="U2192" s="11" t="str">
        <f t="shared" si="253"/>
        <v/>
      </c>
      <c r="V2192" s="12" t="str">
        <f t="shared" si="254"/>
        <v/>
      </c>
      <c r="Z2192" s="15"/>
    </row>
    <row r="2193" spans="1:26" x14ac:dyDescent="0.25">
      <c r="A2193" s="15" t="str">
        <f>IF(C2193="","",COUNTA($C$3:C2193))</f>
        <v/>
      </c>
      <c r="B2193" s="15" t="str">
        <f t="shared" si="255"/>
        <v/>
      </c>
      <c r="M2193" s="9"/>
      <c r="N2193" s="9"/>
      <c r="P2193" s="14"/>
      <c r="Q2193" s="85"/>
      <c r="R2193" s="89"/>
      <c r="U2193" s="11" t="str">
        <f t="shared" si="253"/>
        <v/>
      </c>
      <c r="V2193" s="12" t="str">
        <f t="shared" si="254"/>
        <v/>
      </c>
      <c r="Z2193" s="15"/>
    </row>
    <row r="2194" spans="1:26" x14ac:dyDescent="0.25">
      <c r="A2194" s="15" t="str">
        <f>IF(C2194="","",COUNTA($C$3:C2194))</f>
        <v/>
      </c>
      <c r="B2194" s="15" t="str">
        <f t="shared" si="255"/>
        <v/>
      </c>
      <c r="M2194" s="9"/>
      <c r="N2194" s="9"/>
      <c r="P2194" s="14"/>
      <c r="Q2194" s="85"/>
      <c r="R2194" s="89"/>
      <c r="U2194" s="11" t="str">
        <f t="shared" si="253"/>
        <v/>
      </c>
      <c r="V2194" s="12" t="str">
        <f t="shared" si="254"/>
        <v/>
      </c>
      <c r="Z2194" s="15"/>
    </row>
    <row r="2195" spans="1:26" x14ac:dyDescent="0.25">
      <c r="A2195" s="15" t="str">
        <f>IF(C2195="","",COUNTA($C$3:C2195))</f>
        <v/>
      </c>
      <c r="B2195" s="15" t="str">
        <f t="shared" si="255"/>
        <v/>
      </c>
      <c r="M2195" s="9"/>
      <c r="N2195" s="9"/>
      <c r="P2195" s="14"/>
      <c r="Q2195" s="85"/>
      <c r="R2195" s="89"/>
      <c r="U2195" s="11" t="str">
        <f t="shared" si="253"/>
        <v/>
      </c>
      <c r="V2195" s="12" t="str">
        <f t="shared" si="254"/>
        <v/>
      </c>
      <c r="Z2195" s="15"/>
    </row>
    <row r="2196" spans="1:26" x14ac:dyDescent="0.25">
      <c r="A2196" s="15" t="str">
        <f>IF(C2196="","",COUNTA($C$3:C2196))</f>
        <v/>
      </c>
      <c r="B2196" s="15" t="str">
        <f t="shared" si="255"/>
        <v/>
      </c>
      <c r="M2196" s="9"/>
      <c r="N2196" s="9"/>
      <c r="P2196" s="14"/>
      <c r="Q2196" s="85"/>
      <c r="R2196" s="89"/>
      <c r="U2196" s="11" t="str">
        <f t="shared" si="253"/>
        <v/>
      </c>
      <c r="V2196" s="12" t="str">
        <f t="shared" si="254"/>
        <v/>
      </c>
      <c r="Z2196" s="15"/>
    </row>
    <row r="2197" spans="1:26" x14ac:dyDescent="0.25">
      <c r="A2197" s="15" t="str">
        <f>IF(C2197="","",COUNTA($C$3:C2197))</f>
        <v/>
      </c>
      <c r="B2197" s="15" t="str">
        <f t="shared" si="255"/>
        <v/>
      </c>
      <c r="M2197" s="9"/>
      <c r="N2197" s="9"/>
      <c r="P2197" s="14"/>
      <c r="Q2197" s="85"/>
      <c r="R2197" s="89"/>
      <c r="U2197" s="11" t="str">
        <f t="shared" si="253"/>
        <v/>
      </c>
      <c r="V2197" s="12" t="str">
        <f t="shared" si="254"/>
        <v/>
      </c>
      <c r="Z2197" s="15"/>
    </row>
    <row r="2198" spans="1:26" x14ac:dyDescent="0.25">
      <c r="A2198" s="15" t="str">
        <f>IF(C2198="","",COUNTA($C$3:C2198))</f>
        <v/>
      </c>
      <c r="B2198" s="15" t="str">
        <f t="shared" si="255"/>
        <v/>
      </c>
      <c r="M2198" s="9"/>
      <c r="N2198" s="9"/>
      <c r="P2198" s="14"/>
      <c r="Q2198" s="85"/>
      <c r="R2198" s="89"/>
      <c r="U2198" s="11" t="str">
        <f t="shared" si="253"/>
        <v/>
      </c>
      <c r="V2198" s="12" t="str">
        <f t="shared" si="254"/>
        <v/>
      </c>
      <c r="Z2198" s="15"/>
    </row>
    <row r="2199" spans="1:26" x14ac:dyDescent="0.25">
      <c r="A2199" s="15" t="str">
        <f>IF(C2199="","",COUNTA($C$3:C2199))</f>
        <v/>
      </c>
      <c r="B2199" s="15" t="str">
        <f t="shared" si="255"/>
        <v/>
      </c>
      <c r="M2199" s="9"/>
      <c r="N2199" s="9"/>
      <c r="P2199" s="14"/>
      <c r="Q2199" s="85"/>
      <c r="R2199" s="89"/>
      <c r="U2199" s="11" t="str">
        <f t="shared" si="253"/>
        <v/>
      </c>
      <c r="V2199" s="12" t="str">
        <f t="shared" si="254"/>
        <v/>
      </c>
      <c r="Z2199" s="15"/>
    </row>
    <row r="2200" spans="1:26" x14ac:dyDescent="0.25">
      <c r="A2200" s="15" t="str">
        <f>IF(C2200="","",COUNTA($C$3:C2200))</f>
        <v/>
      </c>
      <c r="B2200" s="15" t="str">
        <f t="shared" si="255"/>
        <v/>
      </c>
      <c r="M2200" s="9"/>
      <c r="N2200" s="9"/>
      <c r="P2200" s="14"/>
      <c r="Q2200" s="85"/>
      <c r="R2200" s="89"/>
      <c r="U2200" s="11" t="str">
        <f t="shared" si="253"/>
        <v/>
      </c>
      <c r="V2200" s="12" t="str">
        <f t="shared" si="254"/>
        <v/>
      </c>
      <c r="Z2200" s="15"/>
    </row>
    <row r="2201" spans="1:26" x14ac:dyDescent="0.25">
      <c r="A2201" s="15" t="str">
        <f>IF(C2201="","",COUNTA($C$3:C2201))</f>
        <v/>
      </c>
      <c r="B2201" s="15" t="str">
        <f t="shared" si="255"/>
        <v/>
      </c>
      <c r="M2201" s="9"/>
      <c r="N2201" s="9"/>
      <c r="P2201" s="14"/>
      <c r="Q2201" s="85"/>
      <c r="R2201" s="89"/>
      <c r="U2201" s="11" t="str">
        <f t="shared" si="253"/>
        <v/>
      </c>
      <c r="V2201" s="12" t="str">
        <f t="shared" si="254"/>
        <v/>
      </c>
      <c r="Z2201" s="15"/>
    </row>
    <row r="2202" spans="1:26" x14ac:dyDescent="0.25">
      <c r="A2202" s="15" t="str">
        <f>IF(C2202="","",COUNTA($C$3:C2202))</f>
        <v/>
      </c>
      <c r="B2202" s="15" t="str">
        <f t="shared" si="255"/>
        <v/>
      </c>
      <c r="M2202" s="9"/>
      <c r="N2202" s="9"/>
      <c r="P2202" s="14"/>
      <c r="Q2202" s="85"/>
      <c r="R2202" s="89"/>
      <c r="U2202" s="11" t="str">
        <f t="shared" si="253"/>
        <v/>
      </c>
      <c r="V2202" s="12" t="str">
        <f t="shared" si="254"/>
        <v/>
      </c>
      <c r="Z2202" s="15"/>
    </row>
    <row r="2203" spans="1:26" x14ac:dyDescent="0.25">
      <c r="A2203" s="15" t="str">
        <f>IF(C2203="","",COUNTA($C$3:C2203))</f>
        <v/>
      </c>
      <c r="B2203" s="15" t="str">
        <f t="shared" si="255"/>
        <v/>
      </c>
      <c r="M2203" s="9"/>
      <c r="N2203" s="9"/>
      <c r="P2203" s="14"/>
      <c r="Q2203" s="85"/>
      <c r="R2203" s="89"/>
      <c r="U2203" s="11" t="str">
        <f t="shared" si="253"/>
        <v/>
      </c>
      <c r="V2203" s="12" t="str">
        <f t="shared" si="254"/>
        <v/>
      </c>
      <c r="Z2203" s="15"/>
    </row>
    <row r="2204" spans="1:26" x14ac:dyDescent="0.25">
      <c r="A2204" s="15" t="str">
        <f>IF(C2204="","",COUNTA($C$3:C2204))</f>
        <v/>
      </c>
      <c r="B2204" s="15" t="str">
        <f t="shared" si="255"/>
        <v/>
      </c>
      <c r="M2204" s="9"/>
      <c r="N2204" s="9"/>
      <c r="P2204" s="14"/>
      <c r="Q2204" s="85"/>
      <c r="R2204" s="89"/>
      <c r="U2204" s="11" t="str">
        <f t="shared" si="253"/>
        <v/>
      </c>
      <c r="V2204" s="12" t="str">
        <f t="shared" si="254"/>
        <v/>
      </c>
      <c r="Z2204" s="15"/>
    </row>
    <row r="2205" spans="1:26" x14ac:dyDescent="0.25">
      <c r="A2205" s="15" t="str">
        <f>IF(C2205="","",COUNTA($C$3:C2205))</f>
        <v/>
      </c>
      <c r="B2205" s="15" t="str">
        <f t="shared" si="255"/>
        <v/>
      </c>
      <c r="M2205" s="9"/>
      <c r="N2205" s="9"/>
      <c r="P2205" s="14"/>
      <c r="Q2205" s="85"/>
      <c r="R2205" s="89"/>
      <c r="U2205" s="11" t="str">
        <f t="shared" si="253"/>
        <v/>
      </c>
      <c r="V2205" s="12" t="str">
        <f t="shared" si="254"/>
        <v/>
      </c>
      <c r="Z2205" s="15"/>
    </row>
    <row r="2206" spans="1:26" x14ac:dyDescent="0.25">
      <c r="A2206" s="15" t="str">
        <f>IF(C2206="","",COUNTA($C$3:C2206))</f>
        <v/>
      </c>
      <c r="B2206" s="15" t="str">
        <f t="shared" si="255"/>
        <v/>
      </c>
      <c r="M2206" s="9"/>
      <c r="N2206" s="9"/>
      <c r="P2206" s="14"/>
      <c r="Q2206" s="85"/>
      <c r="R2206" s="89"/>
      <c r="U2206" s="11" t="str">
        <f t="shared" si="253"/>
        <v/>
      </c>
      <c r="V2206" s="12" t="str">
        <f t="shared" si="254"/>
        <v/>
      </c>
      <c r="Z2206" s="15"/>
    </row>
    <row r="2207" spans="1:26" x14ac:dyDescent="0.25">
      <c r="A2207" s="15" t="str">
        <f>IF(C2207="","",COUNTA($C$3:C2207))</f>
        <v/>
      </c>
      <c r="B2207" s="15" t="str">
        <f t="shared" si="255"/>
        <v/>
      </c>
      <c r="M2207" s="9"/>
      <c r="N2207" s="9"/>
      <c r="P2207" s="14"/>
      <c r="Q2207" s="85"/>
      <c r="R2207" s="89"/>
      <c r="U2207" s="11" t="str">
        <f t="shared" si="253"/>
        <v/>
      </c>
      <c r="V2207" s="12" t="str">
        <f t="shared" si="254"/>
        <v/>
      </c>
      <c r="Z2207" s="15"/>
    </row>
    <row r="2208" spans="1:26" x14ac:dyDescent="0.25">
      <c r="A2208" s="15" t="str">
        <f>IF(C2208="","",COUNTA($C$3:C2208))</f>
        <v/>
      </c>
      <c r="B2208" s="15" t="str">
        <f t="shared" si="255"/>
        <v/>
      </c>
      <c r="M2208" s="9"/>
      <c r="N2208" s="9"/>
      <c r="P2208" s="14"/>
      <c r="Q2208" s="85"/>
      <c r="R2208" s="89"/>
      <c r="U2208" s="11" t="str">
        <f t="shared" si="253"/>
        <v/>
      </c>
      <c r="V2208" s="12" t="str">
        <f t="shared" si="254"/>
        <v/>
      </c>
      <c r="Z2208" s="15"/>
    </row>
    <row r="2209" spans="1:26" x14ac:dyDescent="0.25">
      <c r="A2209" s="15" t="str">
        <f>IF(C2209="","",COUNTA($C$3:C2209))</f>
        <v/>
      </c>
      <c r="B2209" s="15" t="str">
        <f t="shared" si="255"/>
        <v/>
      </c>
      <c r="M2209" s="9"/>
      <c r="N2209" s="9"/>
      <c r="P2209" s="14"/>
      <c r="Q2209" s="85"/>
      <c r="R2209" s="89"/>
      <c r="U2209" s="11" t="str">
        <f t="shared" si="253"/>
        <v/>
      </c>
      <c r="V2209" s="12" t="str">
        <f t="shared" si="254"/>
        <v/>
      </c>
      <c r="Z2209" s="15"/>
    </row>
    <row r="2210" spans="1:26" x14ac:dyDescent="0.25">
      <c r="A2210" s="15" t="str">
        <f>IF(C2210="","",COUNTA($C$3:C2210))</f>
        <v/>
      </c>
      <c r="B2210" s="15" t="str">
        <f t="shared" si="255"/>
        <v/>
      </c>
      <c r="M2210" s="9"/>
      <c r="N2210" s="9"/>
      <c r="P2210" s="14"/>
      <c r="Q2210" s="85"/>
      <c r="R2210" s="89"/>
      <c r="U2210" s="11" t="str">
        <f t="shared" si="253"/>
        <v/>
      </c>
      <c r="V2210" s="12" t="str">
        <f t="shared" si="254"/>
        <v/>
      </c>
      <c r="Z2210" s="15"/>
    </row>
    <row r="2211" spans="1:26" x14ac:dyDescent="0.25">
      <c r="A2211" s="15" t="str">
        <f>IF(C2211="","",COUNTA($C$3:C2211))</f>
        <v/>
      </c>
      <c r="B2211" s="15" t="str">
        <f t="shared" si="255"/>
        <v/>
      </c>
      <c r="M2211" s="9"/>
      <c r="N2211" s="9"/>
      <c r="P2211" s="14"/>
      <c r="Q2211" s="85"/>
      <c r="R2211" s="89"/>
      <c r="U2211" s="11" t="str">
        <f t="shared" si="253"/>
        <v/>
      </c>
      <c r="V2211" s="12" t="str">
        <f t="shared" si="254"/>
        <v/>
      </c>
      <c r="Z2211" s="15"/>
    </row>
    <row r="2212" spans="1:26" x14ac:dyDescent="0.25">
      <c r="A2212" s="15" t="str">
        <f>IF(C2212="","",COUNTA($C$3:C2212))</f>
        <v/>
      </c>
      <c r="B2212" s="15" t="str">
        <f t="shared" si="255"/>
        <v/>
      </c>
      <c r="M2212" s="9"/>
      <c r="N2212" s="9"/>
      <c r="P2212" s="14"/>
      <c r="Q2212" s="85"/>
      <c r="R2212" s="89"/>
      <c r="U2212" s="11" t="str">
        <f t="shared" si="253"/>
        <v/>
      </c>
      <c r="V2212" s="12" t="str">
        <f t="shared" si="254"/>
        <v/>
      </c>
      <c r="Z2212" s="15"/>
    </row>
    <row r="2213" spans="1:26" x14ac:dyDescent="0.25">
      <c r="A2213" s="15" t="str">
        <f>IF(C2213="","",COUNTA($C$3:C2213))</f>
        <v/>
      </c>
      <c r="B2213" s="15" t="str">
        <f t="shared" si="255"/>
        <v/>
      </c>
      <c r="M2213" s="9"/>
      <c r="N2213" s="9"/>
      <c r="P2213" s="14"/>
      <c r="Q2213" s="85"/>
      <c r="R2213" s="89"/>
      <c r="U2213" s="11" t="str">
        <f t="shared" si="253"/>
        <v/>
      </c>
      <c r="V2213" s="12" t="str">
        <f t="shared" si="254"/>
        <v/>
      </c>
      <c r="Z2213" s="15"/>
    </row>
    <row r="2214" spans="1:26" x14ac:dyDescent="0.25">
      <c r="A2214" s="15" t="str">
        <f>IF(C2214="","",COUNTA($C$3:C2214))</f>
        <v/>
      </c>
      <c r="B2214" s="15" t="str">
        <f t="shared" si="255"/>
        <v/>
      </c>
      <c r="M2214" s="9"/>
      <c r="N2214" s="9"/>
      <c r="P2214" s="14"/>
      <c r="Q2214" s="85"/>
      <c r="R2214" s="89"/>
      <c r="U2214" s="11" t="str">
        <f t="shared" si="253"/>
        <v/>
      </c>
      <c r="V2214" s="12" t="str">
        <f t="shared" si="254"/>
        <v/>
      </c>
      <c r="Z2214" s="15"/>
    </row>
    <row r="2215" spans="1:26" x14ac:dyDescent="0.25">
      <c r="A2215" s="15" t="str">
        <f>IF(C2215="","",COUNTA($C$3:C2215))</f>
        <v/>
      </c>
      <c r="B2215" s="15" t="str">
        <f t="shared" si="255"/>
        <v/>
      </c>
      <c r="M2215" s="9"/>
      <c r="N2215" s="9"/>
      <c r="P2215" s="14"/>
      <c r="Q2215" s="85"/>
      <c r="R2215" s="89"/>
      <c r="U2215" s="11" t="str">
        <f t="shared" si="253"/>
        <v/>
      </c>
      <c r="V2215" s="12" t="str">
        <f t="shared" si="254"/>
        <v/>
      </c>
      <c r="Z2215" s="15"/>
    </row>
    <row r="2216" spans="1:26" x14ac:dyDescent="0.25">
      <c r="A2216" s="15" t="str">
        <f>IF(C2216="","",COUNTA($C$3:C2216))</f>
        <v/>
      </c>
      <c r="B2216" s="15" t="str">
        <f t="shared" si="255"/>
        <v/>
      </c>
      <c r="M2216" s="9"/>
      <c r="N2216" s="9"/>
      <c r="P2216" s="14"/>
      <c r="Q2216" s="85"/>
      <c r="R2216" s="89"/>
      <c r="U2216" s="11" t="str">
        <f t="shared" si="253"/>
        <v/>
      </c>
      <c r="V2216" s="12" t="str">
        <f t="shared" si="254"/>
        <v/>
      </c>
      <c r="Z2216" s="15"/>
    </row>
    <row r="2217" spans="1:26" x14ac:dyDescent="0.25">
      <c r="A2217" s="15" t="str">
        <f>IF(C2217="","",COUNTA($C$3:C2217))</f>
        <v/>
      </c>
      <c r="B2217" s="15" t="str">
        <f t="shared" si="255"/>
        <v/>
      </c>
      <c r="M2217" s="9"/>
      <c r="N2217" s="9"/>
      <c r="P2217" s="14"/>
      <c r="Q2217" s="85"/>
      <c r="R2217" s="89"/>
      <c r="U2217" s="11" t="str">
        <f t="shared" si="253"/>
        <v/>
      </c>
      <c r="V2217" s="12" t="str">
        <f t="shared" si="254"/>
        <v/>
      </c>
      <c r="Z2217" s="15"/>
    </row>
    <row r="2218" spans="1:26" x14ac:dyDescent="0.25">
      <c r="A2218" s="15" t="str">
        <f>IF(C2218="","",COUNTA($C$3:C2218))</f>
        <v/>
      </c>
      <c r="B2218" s="15" t="str">
        <f t="shared" si="255"/>
        <v/>
      </c>
      <c r="M2218" s="9"/>
      <c r="N2218" s="9"/>
      <c r="P2218" s="14"/>
      <c r="Q2218" s="85"/>
      <c r="R2218" s="89"/>
      <c r="U2218" s="11" t="str">
        <f t="shared" si="253"/>
        <v/>
      </c>
      <c r="V2218" s="12" t="str">
        <f t="shared" si="254"/>
        <v/>
      </c>
      <c r="Z2218" s="15"/>
    </row>
    <row r="2219" spans="1:26" x14ac:dyDescent="0.25">
      <c r="A2219" s="15" t="str">
        <f>IF(C2219="","",COUNTA($C$3:C2219))</f>
        <v/>
      </c>
      <c r="B2219" s="15" t="str">
        <f t="shared" si="255"/>
        <v/>
      </c>
      <c r="M2219" s="9"/>
      <c r="N2219" s="9"/>
      <c r="P2219" s="14"/>
      <c r="Q2219" s="85"/>
      <c r="R2219" s="89"/>
      <c r="U2219" s="11" t="str">
        <f t="shared" si="253"/>
        <v/>
      </c>
      <c r="V2219" s="12" t="str">
        <f t="shared" si="254"/>
        <v/>
      </c>
      <c r="Z2219" s="15"/>
    </row>
    <row r="2220" spans="1:26" x14ac:dyDescent="0.25">
      <c r="A2220" s="15" t="str">
        <f>IF(C2220="","",COUNTA($C$3:C2220))</f>
        <v/>
      </c>
      <c r="B2220" s="15" t="str">
        <f t="shared" si="255"/>
        <v/>
      </c>
      <c r="M2220" s="9"/>
      <c r="N2220" s="9"/>
      <c r="P2220" s="14"/>
      <c r="Q2220" s="85"/>
      <c r="R2220" s="89"/>
      <c r="U2220" s="11" t="str">
        <f t="shared" si="253"/>
        <v/>
      </c>
      <c r="V2220" s="12" t="str">
        <f t="shared" si="254"/>
        <v/>
      </c>
      <c r="Z2220" s="15"/>
    </row>
    <row r="2221" spans="1:26" x14ac:dyDescent="0.25">
      <c r="A2221" s="15" t="str">
        <f>IF(C2221="","",COUNTA($C$3:C2221))</f>
        <v/>
      </c>
      <c r="B2221" s="15" t="str">
        <f t="shared" si="255"/>
        <v/>
      </c>
      <c r="M2221" s="9"/>
      <c r="N2221" s="9"/>
      <c r="P2221" s="14"/>
      <c r="Q2221" s="85"/>
      <c r="R2221" s="89"/>
      <c r="U2221" s="11" t="str">
        <f t="shared" si="253"/>
        <v/>
      </c>
      <c r="V2221" s="12" t="str">
        <f t="shared" si="254"/>
        <v/>
      </c>
      <c r="Z2221" s="15"/>
    </row>
    <row r="2222" spans="1:26" x14ac:dyDescent="0.25">
      <c r="A2222" s="15" t="str">
        <f>IF(C2222="","",COUNTA($C$3:C2222))</f>
        <v/>
      </c>
      <c r="B2222" s="15" t="str">
        <f t="shared" si="255"/>
        <v/>
      </c>
      <c r="M2222" s="9"/>
      <c r="N2222" s="9"/>
      <c r="P2222" s="14"/>
      <c r="Q2222" s="85"/>
      <c r="R2222" s="89"/>
      <c r="U2222" s="11" t="str">
        <f t="shared" si="253"/>
        <v/>
      </c>
      <c r="V2222" s="12" t="str">
        <f t="shared" si="254"/>
        <v/>
      </c>
      <c r="Z2222" s="15"/>
    </row>
    <row r="2223" spans="1:26" x14ac:dyDescent="0.25">
      <c r="A2223" s="15" t="str">
        <f>IF(C2223="","",COUNTA($C$3:C2223))</f>
        <v/>
      </c>
      <c r="B2223" s="15" t="str">
        <f t="shared" si="255"/>
        <v/>
      </c>
      <c r="M2223" s="9"/>
      <c r="N2223" s="9"/>
      <c r="P2223" s="14"/>
      <c r="Q2223" s="85"/>
      <c r="R2223" s="89"/>
      <c r="U2223" s="11" t="str">
        <f t="shared" si="253"/>
        <v/>
      </c>
      <c r="V2223" s="12" t="str">
        <f t="shared" si="254"/>
        <v/>
      </c>
      <c r="Z2223" s="15"/>
    </row>
    <row r="2224" spans="1:26" x14ac:dyDescent="0.25">
      <c r="A2224" s="15" t="str">
        <f>IF(C2224="","",COUNTA($C$3:C2224))</f>
        <v/>
      </c>
      <c r="B2224" s="15" t="str">
        <f t="shared" si="255"/>
        <v/>
      </c>
      <c r="M2224" s="9"/>
      <c r="N2224" s="9"/>
      <c r="P2224" s="14"/>
      <c r="Q2224" s="85"/>
      <c r="R2224" s="89"/>
      <c r="U2224" s="11" t="str">
        <f t="shared" si="253"/>
        <v/>
      </c>
      <c r="V2224" s="12" t="str">
        <f t="shared" si="254"/>
        <v/>
      </c>
      <c r="Z2224" s="15"/>
    </row>
    <row r="2225" spans="1:26" x14ac:dyDescent="0.25">
      <c r="A2225" s="15" t="str">
        <f>IF(C2225="","",COUNTA($C$3:C2225))</f>
        <v/>
      </c>
      <c r="B2225" s="15" t="str">
        <f t="shared" si="255"/>
        <v/>
      </c>
      <c r="M2225" s="9"/>
      <c r="N2225" s="9"/>
      <c r="P2225" s="14"/>
      <c r="Q2225" s="85"/>
      <c r="R2225" s="89"/>
      <c r="U2225" s="11" t="str">
        <f t="shared" si="253"/>
        <v/>
      </c>
      <c r="V2225" s="12" t="str">
        <f t="shared" si="254"/>
        <v/>
      </c>
      <c r="Z2225" s="15"/>
    </row>
    <row r="2226" spans="1:26" x14ac:dyDescent="0.25">
      <c r="A2226" s="15" t="str">
        <f>IF(C2226="","",COUNTA($C$3:C2226))</f>
        <v/>
      </c>
      <c r="B2226" s="15" t="str">
        <f t="shared" si="255"/>
        <v/>
      </c>
      <c r="M2226" s="9"/>
      <c r="N2226" s="9"/>
      <c r="P2226" s="14"/>
      <c r="Q2226" s="85"/>
      <c r="R2226" s="89"/>
      <c r="U2226" s="11" t="str">
        <f t="shared" si="253"/>
        <v/>
      </c>
      <c r="V2226" s="12" t="str">
        <f t="shared" si="254"/>
        <v/>
      </c>
      <c r="Z2226" s="15"/>
    </row>
    <row r="2227" spans="1:26" x14ac:dyDescent="0.25">
      <c r="A2227" s="15" t="str">
        <f>IF(C2227="","",COUNTA($C$3:C2227))</f>
        <v/>
      </c>
      <c r="B2227" s="15" t="str">
        <f t="shared" si="255"/>
        <v/>
      </c>
      <c r="M2227" s="9"/>
      <c r="N2227" s="9"/>
      <c r="P2227" s="14"/>
      <c r="Q2227" s="85"/>
      <c r="R2227" s="89"/>
      <c r="U2227" s="11" t="str">
        <f t="shared" si="253"/>
        <v/>
      </c>
      <c r="V2227" s="12" t="str">
        <f t="shared" si="254"/>
        <v/>
      </c>
      <c r="Z2227" s="15"/>
    </row>
    <row r="2228" spans="1:26" x14ac:dyDescent="0.25">
      <c r="A2228" s="15" t="str">
        <f>IF(C2228="","",COUNTA($C$3:C2228))</f>
        <v/>
      </c>
      <c r="B2228" s="15" t="str">
        <f t="shared" si="255"/>
        <v/>
      </c>
      <c r="M2228" s="9"/>
      <c r="N2228" s="9"/>
      <c r="P2228" s="14"/>
      <c r="Q2228" s="85"/>
      <c r="R2228" s="89"/>
      <c r="U2228" s="11" t="str">
        <f t="shared" si="253"/>
        <v/>
      </c>
      <c r="V2228" s="12" t="str">
        <f t="shared" si="254"/>
        <v/>
      </c>
      <c r="Z2228" s="15"/>
    </row>
    <row r="2229" spans="1:26" x14ac:dyDescent="0.25">
      <c r="A2229" s="15" t="str">
        <f>IF(C2229="","",COUNTA($C$3:C2229))</f>
        <v/>
      </c>
      <c r="B2229" s="15" t="str">
        <f t="shared" si="255"/>
        <v/>
      </c>
      <c r="M2229" s="9"/>
      <c r="N2229" s="9"/>
      <c r="P2229" s="14"/>
      <c r="Q2229" s="85"/>
      <c r="R2229" s="89"/>
      <c r="U2229" s="11" t="str">
        <f t="shared" si="253"/>
        <v/>
      </c>
      <c r="V2229" s="12" t="str">
        <f t="shared" si="254"/>
        <v/>
      </c>
      <c r="Z2229" s="15"/>
    </row>
    <row r="2230" spans="1:26" x14ac:dyDescent="0.25">
      <c r="A2230" s="15" t="str">
        <f>IF(C2230="","",COUNTA($C$3:C2230))</f>
        <v/>
      </c>
      <c r="B2230" s="15" t="str">
        <f t="shared" si="255"/>
        <v/>
      </c>
      <c r="M2230" s="9"/>
      <c r="N2230" s="9"/>
      <c r="P2230" s="14"/>
      <c r="Q2230" s="85"/>
      <c r="R2230" s="89"/>
      <c r="U2230" s="11" t="str">
        <f t="shared" si="253"/>
        <v/>
      </c>
      <c r="V2230" s="12" t="str">
        <f t="shared" si="254"/>
        <v/>
      </c>
      <c r="Z2230" s="15"/>
    </row>
    <row r="2231" spans="1:26" x14ac:dyDescent="0.25">
      <c r="A2231" s="15" t="str">
        <f>IF(C2231="","",COUNTA($C$3:C2231))</f>
        <v/>
      </c>
      <c r="B2231" s="15" t="str">
        <f t="shared" si="255"/>
        <v/>
      </c>
      <c r="M2231" s="9"/>
      <c r="N2231" s="9"/>
      <c r="P2231" s="14"/>
      <c r="Q2231" s="85"/>
      <c r="R2231" s="89"/>
      <c r="U2231" s="11" t="str">
        <f t="shared" si="253"/>
        <v/>
      </c>
      <c r="V2231" s="12" t="str">
        <f t="shared" si="254"/>
        <v/>
      </c>
      <c r="Z2231" s="15"/>
    </row>
    <row r="2232" spans="1:26" x14ac:dyDescent="0.25">
      <c r="A2232" s="15" t="str">
        <f>IF(C2232="","",COUNTA($C$3:C2232))</f>
        <v/>
      </c>
      <c r="B2232" s="15" t="str">
        <f t="shared" si="255"/>
        <v/>
      </c>
      <c r="M2232" s="9"/>
      <c r="N2232" s="9"/>
      <c r="P2232" s="14"/>
      <c r="Q2232" s="85"/>
      <c r="R2232" s="89"/>
      <c r="U2232" s="11" t="str">
        <f t="shared" si="253"/>
        <v/>
      </c>
      <c r="V2232" s="12" t="str">
        <f t="shared" si="254"/>
        <v/>
      </c>
      <c r="Z2232" s="15"/>
    </row>
    <row r="2233" spans="1:26" x14ac:dyDescent="0.25">
      <c r="A2233" s="15" t="str">
        <f>IF(C2233="","",COUNTA($C$3:C2233))</f>
        <v/>
      </c>
      <c r="B2233" s="15" t="str">
        <f t="shared" si="255"/>
        <v/>
      </c>
      <c r="M2233" s="9"/>
      <c r="N2233" s="9"/>
      <c r="P2233" s="14"/>
      <c r="Q2233" s="85"/>
      <c r="R2233" s="89"/>
      <c r="U2233" s="11" t="str">
        <f t="shared" si="253"/>
        <v/>
      </c>
      <c r="V2233" s="12" t="str">
        <f t="shared" si="254"/>
        <v/>
      </c>
      <c r="Z2233" s="15"/>
    </row>
    <row r="2234" spans="1:26" x14ac:dyDescent="0.25">
      <c r="A2234" s="15" t="str">
        <f>IF(C2234="","",COUNTA($C$3:C2234))</f>
        <v/>
      </c>
      <c r="B2234" s="15" t="str">
        <f t="shared" si="255"/>
        <v/>
      </c>
      <c r="M2234" s="9"/>
      <c r="N2234" s="9"/>
      <c r="P2234" s="14"/>
      <c r="Q2234" s="85"/>
      <c r="R2234" s="89"/>
      <c r="U2234" s="11" t="str">
        <f t="shared" si="253"/>
        <v/>
      </c>
      <c r="V2234" s="12" t="str">
        <f t="shared" si="254"/>
        <v/>
      </c>
      <c r="Z2234" s="15"/>
    </row>
    <row r="2235" spans="1:26" x14ac:dyDescent="0.25">
      <c r="A2235" s="15" t="str">
        <f>IF(C2235="","",COUNTA($C$3:C2235))</f>
        <v/>
      </c>
      <c r="B2235" s="15" t="str">
        <f t="shared" si="255"/>
        <v/>
      </c>
      <c r="M2235" s="9"/>
      <c r="N2235" s="9"/>
      <c r="P2235" s="14"/>
      <c r="Q2235" s="85"/>
      <c r="R2235" s="89"/>
      <c r="U2235" s="11" t="str">
        <f t="shared" si="253"/>
        <v/>
      </c>
      <c r="V2235" s="12" t="str">
        <f t="shared" si="254"/>
        <v/>
      </c>
      <c r="Z2235" s="15"/>
    </row>
    <row r="2236" spans="1:26" x14ac:dyDescent="0.25">
      <c r="A2236" s="15" t="str">
        <f>IF(C2236="","",COUNTA($C$3:C2236))</f>
        <v/>
      </c>
      <c r="B2236" s="15" t="str">
        <f t="shared" si="255"/>
        <v/>
      </c>
      <c r="M2236" s="9"/>
      <c r="N2236" s="9"/>
      <c r="P2236" s="14"/>
      <c r="Q2236" s="85"/>
      <c r="R2236" s="89"/>
      <c r="U2236" s="11" t="str">
        <f t="shared" si="253"/>
        <v/>
      </c>
      <c r="V2236" s="12" t="str">
        <f t="shared" si="254"/>
        <v/>
      </c>
      <c r="Z2236" s="15"/>
    </row>
    <row r="2237" spans="1:26" x14ac:dyDescent="0.25">
      <c r="A2237" s="15" t="str">
        <f>IF(C2237="","",COUNTA($C$3:C2237))</f>
        <v/>
      </c>
      <c r="B2237" s="15" t="str">
        <f t="shared" si="255"/>
        <v/>
      </c>
      <c r="M2237" s="9"/>
      <c r="N2237" s="9"/>
      <c r="P2237" s="14"/>
      <c r="Q2237" s="85"/>
      <c r="R2237" s="89"/>
      <c r="U2237" s="11" t="str">
        <f t="shared" si="253"/>
        <v/>
      </c>
      <c r="V2237" s="12" t="str">
        <f t="shared" si="254"/>
        <v/>
      </c>
      <c r="Z2237" s="15"/>
    </row>
    <row r="2238" spans="1:26" x14ac:dyDescent="0.25">
      <c r="A2238" s="15" t="str">
        <f>IF(C2238="","",COUNTA($C$3:C2238))</f>
        <v/>
      </c>
      <c r="B2238" s="15" t="str">
        <f t="shared" si="255"/>
        <v/>
      </c>
      <c r="M2238" s="9"/>
      <c r="N2238" s="9"/>
      <c r="P2238" s="14"/>
      <c r="Q2238" s="85"/>
      <c r="R2238" s="89"/>
      <c r="U2238" s="11" t="str">
        <f t="shared" si="253"/>
        <v/>
      </c>
      <c r="V2238" s="12" t="str">
        <f t="shared" si="254"/>
        <v/>
      </c>
      <c r="Z2238" s="15"/>
    </row>
    <row r="2239" spans="1:26" x14ac:dyDescent="0.25">
      <c r="A2239" s="15" t="str">
        <f>IF(C2239="","",COUNTA($C$3:C2239))</f>
        <v/>
      </c>
      <c r="B2239" s="15" t="str">
        <f t="shared" si="255"/>
        <v/>
      </c>
      <c r="M2239" s="9"/>
      <c r="N2239" s="9"/>
      <c r="P2239" s="14"/>
      <c r="Q2239" s="85"/>
      <c r="R2239" s="89"/>
      <c r="U2239" s="11" t="str">
        <f t="shared" si="253"/>
        <v/>
      </c>
      <c r="V2239" s="12" t="str">
        <f t="shared" si="254"/>
        <v/>
      </c>
      <c r="Z2239" s="15"/>
    </row>
    <row r="2240" spans="1:26" x14ac:dyDescent="0.25">
      <c r="A2240" s="15" t="str">
        <f>IF(C2240="","",COUNTA($C$3:C2240))</f>
        <v/>
      </c>
      <c r="B2240" s="15" t="str">
        <f t="shared" si="255"/>
        <v/>
      </c>
      <c r="M2240" s="9"/>
      <c r="N2240" s="9"/>
      <c r="P2240" s="14"/>
      <c r="Q2240" s="85"/>
      <c r="R2240" s="89"/>
      <c r="U2240" s="11" t="str">
        <f t="shared" si="253"/>
        <v/>
      </c>
      <c r="V2240" s="12" t="str">
        <f t="shared" si="254"/>
        <v/>
      </c>
      <c r="Z2240" s="15"/>
    </row>
    <row r="2241" spans="1:26" x14ac:dyDescent="0.25">
      <c r="A2241" s="15" t="str">
        <f>IF(C2241="","",COUNTA($C$3:C2241))</f>
        <v/>
      </c>
      <c r="B2241" s="15" t="str">
        <f t="shared" si="255"/>
        <v/>
      </c>
      <c r="M2241" s="9"/>
      <c r="N2241" s="9"/>
      <c r="P2241" s="14"/>
      <c r="Q2241" s="85"/>
      <c r="R2241" s="89"/>
      <c r="U2241" s="11" t="str">
        <f t="shared" si="253"/>
        <v/>
      </c>
      <c r="V2241" s="12" t="str">
        <f t="shared" si="254"/>
        <v/>
      </c>
      <c r="Z2241" s="15"/>
    </row>
    <row r="2242" spans="1:26" x14ac:dyDescent="0.25">
      <c r="A2242" s="15" t="str">
        <f>IF(C2242="","",COUNTA($C$3:C2242))</f>
        <v/>
      </c>
      <c r="B2242" s="15" t="str">
        <f t="shared" si="255"/>
        <v/>
      </c>
      <c r="M2242" s="9"/>
      <c r="N2242" s="9"/>
      <c r="P2242" s="14"/>
      <c r="Q2242" s="85"/>
      <c r="R2242" s="89"/>
      <c r="U2242" s="11" t="str">
        <f t="shared" ref="U2242:U2305" si="256">IF(S2242="","",(S2242-T2242))</f>
        <v/>
      </c>
      <c r="V2242" s="12" t="str">
        <f t="shared" ref="V2242:V2305" si="257">IF(U2242="","",(U2242/T2242))</f>
        <v/>
      </c>
      <c r="Z2242" s="15"/>
    </row>
    <row r="2243" spans="1:26" x14ac:dyDescent="0.25">
      <c r="A2243" s="15" t="str">
        <f>IF(C2243="","",COUNTA($C$3:C2243))</f>
        <v/>
      </c>
      <c r="B2243" s="15" t="str">
        <f t="shared" ref="B2243:B2306" si="258">IF(C2243="","",TEXT(C2243,"mmmm"))</f>
        <v/>
      </c>
      <c r="M2243" s="9"/>
      <c r="N2243" s="9"/>
      <c r="P2243" s="14"/>
      <c r="Q2243" s="85"/>
      <c r="R2243" s="89"/>
      <c r="U2243" s="11" t="str">
        <f t="shared" si="256"/>
        <v/>
      </c>
      <c r="V2243" s="12" t="str">
        <f t="shared" si="257"/>
        <v/>
      </c>
      <c r="Z2243" s="15"/>
    </row>
    <row r="2244" spans="1:26" x14ac:dyDescent="0.25">
      <c r="A2244" s="15" t="str">
        <f>IF(C2244="","",COUNTA($C$3:C2244))</f>
        <v/>
      </c>
      <c r="B2244" s="15" t="str">
        <f t="shared" si="258"/>
        <v/>
      </c>
      <c r="M2244" s="9"/>
      <c r="N2244" s="9"/>
      <c r="P2244" s="14"/>
      <c r="Q2244" s="85"/>
      <c r="R2244" s="89"/>
      <c r="U2244" s="11" t="str">
        <f t="shared" si="256"/>
        <v/>
      </c>
      <c r="V2244" s="12" t="str">
        <f t="shared" si="257"/>
        <v/>
      </c>
      <c r="Z2244" s="15"/>
    </row>
    <row r="2245" spans="1:26" x14ac:dyDescent="0.25">
      <c r="A2245" s="15" t="str">
        <f>IF(C2245="","",COUNTA($C$3:C2245))</f>
        <v/>
      </c>
      <c r="B2245" s="15" t="str">
        <f t="shared" si="258"/>
        <v/>
      </c>
      <c r="M2245" s="9"/>
      <c r="N2245" s="9"/>
      <c r="P2245" s="14"/>
      <c r="Q2245" s="85"/>
      <c r="R2245" s="89"/>
      <c r="U2245" s="11" t="str">
        <f t="shared" si="256"/>
        <v/>
      </c>
      <c r="V2245" s="12" t="str">
        <f t="shared" si="257"/>
        <v/>
      </c>
      <c r="Z2245" s="15"/>
    </row>
    <row r="2246" spans="1:26" x14ac:dyDescent="0.25">
      <c r="A2246" s="15" t="str">
        <f>IF(C2246="","",COUNTA($C$3:C2246))</f>
        <v/>
      </c>
      <c r="B2246" s="15" t="str">
        <f t="shared" si="258"/>
        <v/>
      </c>
      <c r="M2246" s="9"/>
      <c r="N2246" s="9"/>
      <c r="P2246" s="14"/>
      <c r="Q2246" s="85"/>
      <c r="R2246" s="89"/>
      <c r="U2246" s="11" t="str">
        <f t="shared" si="256"/>
        <v/>
      </c>
      <c r="V2246" s="12" t="str">
        <f t="shared" si="257"/>
        <v/>
      </c>
      <c r="Z2246" s="15"/>
    </row>
    <row r="2247" spans="1:26" x14ac:dyDescent="0.25">
      <c r="A2247" s="15" t="str">
        <f>IF(C2247="","",COUNTA($C$3:C2247))</f>
        <v/>
      </c>
      <c r="B2247" s="15" t="str">
        <f t="shared" si="258"/>
        <v/>
      </c>
      <c r="M2247" s="9"/>
      <c r="N2247" s="9"/>
      <c r="P2247" s="14"/>
      <c r="Q2247" s="85"/>
      <c r="R2247" s="89"/>
      <c r="U2247" s="11" t="str">
        <f t="shared" si="256"/>
        <v/>
      </c>
      <c r="V2247" s="12" t="str">
        <f t="shared" si="257"/>
        <v/>
      </c>
      <c r="Z2247" s="15"/>
    </row>
    <row r="2248" spans="1:26" x14ac:dyDescent="0.25">
      <c r="A2248" s="15" t="str">
        <f>IF(C2248="","",COUNTA($C$3:C2248))</f>
        <v/>
      </c>
      <c r="B2248" s="15" t="str">
        <f t="shared" si="258"/>
        <v/>
      </c>
      <c r="M2248" s="9"/>
      <c r="N2248" s="9"/>
      <c r="P2248" s="14"/>
      <c r="Q2248" s="85"/>
      <c r="R2248" s="89"/>
      <c r="U2248" s="11" t="str">
        <f t="shared" si="256"/>
        <v/>
      </c>
      <c r="V2248" s="12" t="str">
        <f t="shared" si="257"/>
        <v/>
      </c>
      <c r="Z2248" s="15"/>
    </row>
    <row r="2249" spans="1:26" x14ac:dyDescent="0.25">
      <c r="A2249" s="15" t="str">
        <f>IF(C2249="","",COUNTA($C$3:C2249))</f>
        <v/>
      </c>
      <c r="B2249" s="15" t="str">
        <f t="shared" si="258"/>
        <v/>
      </c>
      <c r="M2249" s="9"/>
      <c r="N2249" s="9"/>
      <c r="P2249" s="14"/>
      <c r="Q2249" s="85"/>
      <c r="R2249" s="89"/>
      <c r="U2249" s="11" t="str">
        <f t="shared" si="256"/>
        <v/>
      </c>
      <c r="V2249" s="12" t="str">
        <f t="shared" si="257"/>
        <v/>
      </c>
      <c r="Z2249" s="15"/>
    </row>
    <row r="2250" spans="1:26" x14ac:dyDescent="0.25">
      <c r="A2250" s="15" t="str">
        <f>IF(C2250="","",COUNTA($C$3:C2250))</f>
        <v/>
      </c>
      <c r="B2250" s="15" t="str">
        <f t="shared" si="258"/>
        <v/>
      </c>
      <c r="M2250" s="9"/>
      <c r="N2250" s="9"/>
      <c r="P2250" s="14"/>
      <c r="Q2250" s="85"/>
      <c r="R2250" s="89"/>
      <c r="U2250" s="11" t="str">
        <f t="shared" si="256"/>
        <v/>
      </c>
      <c r="V2250" s="12" t="str">
        <f t="shared" si="257"/>
        <v/>
      </c>
      <c r="Z2250" s="15"/>
    </row>
    <row r="2251" spans="1:26" x14ac:dyDescent="0.25">
      <c r="A2251" s="15" t="str">
        <f>IF(C2251="","",COUNTA($C$3:C2251))</f>
        <v/>
      </c>
      <c r="B2251" s="15" t="str">
        <f t="shared" si="258"/>
        <v/>
      </c>
      <c r="M2251" s="9"/>
      <c r="N2251" s="9"/>
      <c r="P2251" s="14"/>
      <c r="Q2251" s="85"/>
      <c r="R2251" s="89"/>
      <c r="U2251" s="11" t="str">
        <f t="shared" si="256"/>
        <v/>
      </c>
      <c r="V2251" s="12" t="str">
        <f t="shared" si="257"/>
        <v/>
      </c>
      <c r="Z2251" s="15"/>
    </row>
    <row r="2252" spans="1:26" x14ac:dyDescent="0.25">
      <c r="A2252" s="15" t="str">
        <f>IF(C2252="","",COUNTA($C$3:C2252))</f>
        <v/>
      </c>
      <c r="B2252" s="15" t="str">
        <f t="shared" si="258"/>
        <v/>
      </c>
      <c r="M2252" s="9"/>
      <c r="N2252" s="9"/>
      <c r="P2252" s="14"/>
      <c r="Q2252" s="85"/>
      <c r="R2252" s="89"/>
      <c r="U2252" s="11" t="str">
        <f t="shared" si="256"/>
        <v/>
      </c>
      <c r="V2252" s="12" t="str">
        <f t="shared" si="257"/>
        <v/>
      </c>
      <c r="Z2252" s="15"/>
    </row>
    <row r="2253" spans="1:26" x14ac:dyDescent="0.25">
      <c r="A2253" s="15" t="str">
        <f>IF(C2253="","",COUNTA($C$3:C2253))</f>
        <v/>
      </c>
      <c r="B2253" s="15" t="str">
        <f t="shared" si="258"/>
        <v/>
      </c>
      <c r="M2253" s="9"/>
      <c r="N2253" s="9"/>
      <c r="P2253" s="14"/>
      <c r="Q2253" s="85"/>
      <c r="R2253" s="89"/>
      <c r="U2253" s="11" t="str">
        <f t="shared" si="256"/>
        <v/>
      </c>
      <c r="V2253" s="12" t="str">
        <f t="shared" si="257"/>
        <v/>
      </c>
      <c r="Z2253" s="15"/>
    </row>
    <row r="2254" spans="1:26" x14ac:dyDescent="0.25">
      <c r="A2254" s="15" t="str">
        <f>IF(C2254="","",COUNTA($C$3:C2254))</f>
        <v/>
      </c>
      <c r="B2254" s="15" t="str">
        <f t="shared" si="258"/>
        <v/>
      </c>
      <c r="M2254" s="9"/>
      <c r="N2254" s="9"/>
      <c r="P2254" s="14"/>
      <c r="Q2254" s="85"/>
      <c r="R2254" s="89"/>
      <c r="U2254" s="11" t="str">
        <f t="shared" si="256"/>
        <v/>
      </c>
      <c r="V2254" s="12" t="str">
        <f t="shared" si="257"/>
        <v/>
      </c>
      <c r="Z2254" s="15"/>
    </row>
    <row r="2255" spans="1:26" x14ac:dyDescent="0.25">
      <c r="A2255" s="15" t="str">
        <f>IF(C2255="","",COUNTA($C$3:C2255))</f>
        <v/>
      </c>
      <c r="B2255" s="15" t="str">
        <f t="shared" si="258"/>
        <v/>
      </c>
      <c r="M2255" s="9"/>
      <c r="N2255" s="9"/>
      <c r="P2255" s="14"/>
      <c r="Q2255" s="85"/>
      <c r="R2255" s="89"/>
      <c r="U2255" s="11" t="str">
        <f t="shared" si="256"/>
        <v/>
      </c>
      <c r="V2255" s="12" t="str">
        <f t="shared" si="257"/>
        <v/>
      </c>
      <c r="Z2255" s="15"/>
    </row>
    <row r="2256" spans="1:26" x14ac:dyDescent="0.25">
      <c r="A2256" s="15" t="str">
        <f>IF(C2256="","",COUNTA($C$3:C2256))</f>
        <v/>
      </c>
      <c r="B2256" s="15" t="str">
        <f t="shared" si="258"/>
        <v/>
      </c>
      <c r="M2256" s="9"/>
      <c r="N2256" s="9"/>
      <c r="P2256" s="14"/>
      <c r="Q2256" s="85"/>
      <c r="R2256" s="89"/>
      <c r="U2256" s="11" t="str">
        <f t="shared" si="256"/>
        <v/>
      </c>
      <c r="V2256" s="12" t="str">
        <f t="shared" si="257"/>
        <v/>
      </c>
      <c r="Z2256" s="15"/>
    </row>
    <row r="2257" spans="1:26" x14ac:dyDescent="0.25">
      <c r="A2257" s="15" t="str">
        <f>IF(C2257="","",COUNTA($C$3:C2257))</f>
        <v/>
      </c>
      <c r="B2257" s="15" t="str">
        <f t="shared" si="258"/>
        <v/>
      </c>
      <c r="M2257" s="9"/>
      <c r="N2257" s="9"/>
      <c r="P2257" s="14"/>
      <c r="Q2257" s="85"/>
      <c r="R2257" s="89"/>
      <c r="U2257" s="11" t="str">
        <f t="shared" si="256"/>
        <v/>
      </c>
      <c r="V2257" s="12" t="str">
        <f t="shared" si="257"/>
        <v/>
      </c>
      <c r="Z2257" s="15"/>
    </row>
    <row r="2258" spans="1:26" x14ac:dyDescent="0.25">
      <c r="A2258" s="15" t="str">
        <f>IF(C2258="","",COUNTA($C$3:C2258))</f>
        <v/>
      </c>
      <c r="B2258" s="15" t="str">
        <f t="shared" si="258"/>
        <v/>
      </c>
      <c r="M2258" s="9"/>
      <c r="N2258" s="9"/>
      <c r="P2258" s="14"/>
      <c r="Q2258" s="85"/>
      <c r="R2258" s="89"/>
      <c r="U2258" s="11" t="str">
        <f t="shared" si="256"/>
        <v/>
      </c>
      <c r="V2258" s="12" t="str">
        <f t="shared" si="257"/>
        <v/>
      </c>
      <c r="Z2258" s="15"/>
    </row>
    <row r="2259" spans="1:26" x14ac:dyDescent="0.25">
      <c r="A2259" s="15" t="str">
        <f>IF(C2259="","",COUNTA($C$3:C2259))</f>
        <v/>
      </c>
      <c r="B2259" s="15" t="str">
        <f t="shared" si="258"/>
        <v/>
      </c>
      <c r="M2259" s="9"/>
      <c r="N2259" s="9"/>
      <c r="P2259" s="14"/>
      <c r="Q2259" s="85"/>
      <c r="R2259" s="89"/>
      <c r="U2259" s="11" t="str">
        <f t="shared" si="256"/>
        <v/>
      </c>
      <c r="V2259" s="12" t="str">
        <f t="shared" si="257"/>
        <v/>
      </c>
      <c r="Z2259" s="15"/>
    </row>
    <row r="2260" spans="1:26" x14ac:dyDescent="0.25">
      <c r="A2260" s="15" t="str">
        <f>IF(C2260="","",COUNTA($C$3:C2260))</f>
        <v/>
      </c>
      <c r="B2260" s="15" t="str">
        <f t="shared" si="258"/>
        <v/>
      </c>
      <c r="M2260" s="9"/>
      <c r="N2260" s="9"/>
      <c r="P2260" s="14"/>
      <c r="Q2260" s="85"/>
      <c r="R2260" s="89"/>
      <c r="U2260" s="11" t="str">
        <f t="shared" si="256"/>
        <v/>
      </c>
      <c r="V2260" s="12" t="str">
        <f t="shared" si="257"/>
        <v/>
      </c>
      <c r="Z2260" s="15"/>
    </row>
    <row r="2261" spans="1:26" x14ac:dyDescent="0.25">
      <c r="A2261" s="15" t="str">
        <f>IF(C2261="","",COUNTA($C$3:C2261))</f>
        <v/>
      </c>
      <c r="B2261" s="15" t="str">
        <f t="shared" si="258"/>
        <v/>
      </c>
      <c r="M2261" s="9"/>
      <c r="N2261" s="9"/>
      <c r="P2261" s="14"/>
      <c r="Q2261" s="85"/>
      <c r="R2261" s="89"/>
      <c r="U2261" s="11" t="str">
        <f t="shared" si="256"/>
        <v/>
      </c>
      <c r="V2261" s="12" t="str">
        <f t="shared" si="257"/>
        <v/>
      </c>
      <c r="Z2261" s="15"/>
    </row>
    <row r="2262" spans="1:26" x14ac:dyDescent="0.25">
      <c r="A2262" s="15" t="str">
        <f>IF(C2262="","",COUNTA($C$3:C2262))</f>
        <v/>
      </c>
      <c r="B2262" s="15" t="str">
        <f t="shared" si="258"/>
        <v/>
      </c>
      <c r="M2262" s="9"/>
      <c r="N2262" s="9"/>
      <c r="P2262" s="14"/>
      <c r="Q2262" s="85"/>
      <c r="R2262" s="89"/>
      <c r="U2262" s="11" t="str">
        <f t="shared" si="256"/>
        <v/>
      </c>
      <c r="V2262" s="12" t="str">
        <f t="shared" si="257"/>
        <v/>
      </c>
      <c r="Z2262" s="15"/>
    </row>
    <row r="2263" spans="1:26" x14ac:dyDescent="0.25">
      <c r="A2263" s="15" t="str">
        <f>IF(C2263="","",COUNTA($C$3:C2263))</f>
        <v/>
      </c>
      <c r="B2263" s="15" t="str">
        <f t="shared" si="258"/>
        <v/>
      </c>
      <c r="M2263" s="9"/>
      <c r="N2263" s="9"/>
      <c r="P2263" s="14"/>
      <c r="Q2263" s="85"/>
      <c r="R2263" s="89"/>
      <c r="U2263" s="11" t="str">
        <f t="shared" si="256"/>
        <v/>
      </c>
      <c r="V2263" s="12" t="str">
        <f t="shared" si="257"/>
        <v/>
      </c>
      <c r="Z2263" s="15"/>
    </row>
    <row r="2264" spans="1:26" x14ac:dyDescent="0.25">
      <c r="A2264" s="15" t="str">
        <f>IF(C2264="","",COUNTA($C$3:C2264))</f>
        <v/>
      </c>
      <c r="B2264" s="15" t="str">
        <f t="shared" si="258"/>
        <v/>
      </c>
      <c r="M2264" s="9"/>
      <c r="N2264" s="9"/>
      <c r="P2264" s="14"/>
      <c r="Q2264" s="85"/>
      <c r="R2264" s="89"/>
      <c r="U2264" s="11" t="str">
        <f t="shared" si="256"/>
        <v/>
      </c>
      <c r="V2264" s="12" t="str">
        <f t="shared" si="257"/>
        <v/>
      </c>
      <c r="Z2264" s="15"/>
    </row>
    <row r="2265" spans="1:26" x14ac:dyDescent="0.25">
      <c r="A2265" s="15" t="str">
        <f>IF(C2265="","",COUNTA($C$3:C2265))</f>
        <v/>
      </c>
      <c r="B2265" s="15" t="str">
        <f t="shared" si="258"/>
        <v/>
      </c>
      <c r="M2265" s="9"/>
      <c r="N2265" s="9"/>
      <c r="P2265" s="14"/>
      <c r="Q2265" s="85"/>
      <c r="R2265" s="89"/>
      <c r="U2265" s="11" t="str">
        <f t="shared" si="256"/>
        <v/>
      </c>
      <c r="V2265" s="12" t="str">
        <f t="shared" si="257"/>
        <v/>
      </c>
      <c r="Z2265" s="15"/>
    </row>
    <row r="2266" spans="1:26" x14ac:dyDescent="0.25">
      <c r="A2266" s="15" t="str">
        <f>IF(C2266="","",COUNTA($C$3:C2266))</f>
        <v/>
      </c>
      <c r="B2266" s="15" t="str">
        <f t="shared" si="258"/>
        <v/>
      </c>
      <c r="M2266" s="9"/>
      <c r="N2266" s="9"/>
      <c r="P2266" s="14"/>
      <c r="Q2266" s="85"/>
      <c r="R2266" s="89"/>
      <c r="U2266" s="11" t="str">
        <f t="shared" si="256"/>
        <v/>
      </c>
      <c r="V2266" s="12" t="str">
        <f t="shared" si="257"/>
        <v/>
      </c>
      <c r="Z2266" s="15"/>
    </row>
    <row r="2267" spans="1:26" x14ac:dyDescent="0.25">
      <c r="A2267" s="15" t="str">
        <f>IF(C2267="","",COUNTA($C$3:C2267))</f>
        <v/>
      </c>
      <c r="B2267" s="15" t="str">
        <f t="shared" si="258"/>
        <v/>
      </c>
      <c r="M2267" s="9"/>
      <c r="N2267" s="9"/>
      <c r="P2267" s="14"/>
      <c r="Q2267" s="85"/>
      <c r="R2267" s="89"/>
      <c r="U2267" s="11" t="str">
        <f t="shared" si="256"/>
        <v/>
      </c>
      <c r="V2267" s="12" t="str">
        <f t="shared" si="257"/>
        <v/>
      </c>
      <c r="Z2267" s="15"/>
    </row>
    <row r="2268" spans="1:26" x14ac:dyDescent="0.25">
      <c r="A2268" s="15" t="str">
        <f>IF(C2268="","",COUNTA($C$3:C2268))</f>
        <v/>
      </c>
      <c r="B2268" s="15" t="str">
        <f t="shared" si="258"/>
        <v/>
      </c>
      <c r="M2268" s="9"/>
      <c r="N2268" s="9"/>
      <c r="P2268" s="14"/>
      <c r="Q2268" s="85"/>
      <c r="R2268" s="89"/>
      <c r="U2268" s="11" t="str">
        <f t="shared" si="256"/>
        <v/>
      </c>
      <c r="V2268" s="12" t="str">
        <f t="shared" si="257"/>
        <v/>
      </c>
      <c r="Z2268" s="15"/>
    </row>
    <row r="2269" spans="1:26" x14ac:dyDescent="0.25">
      <c r="A2269" s="15" t="str">
        <f>IF(C2269="","",COUNTA($C$3:C2269))</f>
        <v/>
      </c>
      <c r="B2269" s="15" t="str">
        <f t="shared" si="258"/>
        <v/>
      </c>
      <c r="M2269" s="9"/>
      <c r="N2269" s="9"/>
      <c r="P2269" s="14"/>
      <c r="Q2269" s="85"/>
      <c r="R2269" s="89"/>
      <c r="U2269" s="11" t="str">
        <f t="shared" si="256"/>
        <v/>
      </c>
      <c r="V2269" s="12" t="str">
        <f t="shared" si="257"/>
        <v/>
      </c>
      <c r="Z2269" s="15"/>
    </row>
    <row r="2270" spans="1:26" x14ac:dyDescent="0.25">
      <c r="A2270" s="15" t="str">
        <f>IF(C2270="","",COUNTA($C$3:C2270))</f>
        <v/>
      </c>
      <c r="B2270" s="15" t="str">
        <f t="shared" si="258"/>
        <v/>
      </c>
      <c r="M2270" s="9"/>
      <c r="N2270" s="9"/>
      <c r="P2270" s="14"/>
      <c r="Q2270" s="85"/>
      <c r="R2270" s="89"/>
      <c r="U2270" s="11" t="str">
        <f t="shared" si="256"/>
        <v/>
      </c>
      <c r="V2270" s="12" t="str">
        <f t="shared" si="257"/>
        <v/>
      </c>
      <c r="Z2270" s="15"/>
    </row>
    <row r="2271" spans="1:26" x14ac:dyDescent="0.25">
      <c r="A2271" s="15" t="str">
        <f>IF(C2271="","",COUNTA($C$3:C2271))</f>
        <v/>
      </c>
      <c r="B2271" s="15" t="str">
        <f t="shared" si="258"/>
        <v/>
      </c>
      <c r="M2271" s="9"/>
      <c r="N2271" s="9"/>
      <c r="P2271" s="14"/>
      <c r="Q2271" s="85"/>
      <c r="R2271" s="89"/>
      <c r="U2271" s="11" t="str">
        <f t="shared" si="256"/>
        <v/>
      </c>
      <c r="V2271" s="12" t="str">
        <f t="shared" si="257"/>
        <v/>
      </c>
      <c r="Z2271" s="15"/>
    </row>
    <row r="2272" spans="1:26" x14ac:dyDescent="0.25">
      <c r="A2272" s="15" t="str">
        <f>IF(C2272="","",COUNTA($C$3:C2272))</f>
        <v/>
      </c>
      <c r="B2272" s="15" t="str">
        <f t="shared" si="258"/>
        <v/>
      </c>
      <c r="M2272" s="9"/>
      <c r="N2272" s="9"/>
      <c r="P2272" s="14"/>
      <c r="Q2272" s="85"/>
      <c r="R2272" s="89"/>
      <c r="U2272" s="11" t="str">
        <f t="shared" si="256"/>
        <v/>
      </c>
      <c r="V2272" s="12" t="str">
        <f t="shared" si="257"/>
        <v/>
      </c>
      <c r="Z2272" s="15"/>
    </row>
    <row r="2273" spans="1:26" x14ac:dyDescent="0.25">
      <c r="A2273" s="15" t="str">
        <f>IF(C2273="","",COUNTA($C$3:C2273))</f>
        <v/>
      </c>
      <c r="B2273" s="15" t="str">
        <f t="shared" si="258"/>
        <v/>
      </c>
      <c r="M2273" s="9"/>
      <c r="N2273" s="9"/>
      <c r="P2273" s="14"/>
      <c r="Q2273" s="85"/>
      <c r="R2273" s="89"/>
      <c r="U2273" s="11" t="str">
        <f t="shared" si="256"/>
        <v/>
      </c>
      <c r="V2273" s="12" t="str">
        <f t="shared" si="257"/>
        <v/>
      </c>
      <c r="Z2273" s="15"/>
    </row>
    <row r="2274" spans="1:26" x14ac:dyDescent="0.25">
      <c r="A2274" s="15" t="str">
        <f>IF(C2274="","",COUNTA($C$3:C2274))</f>
        <v/>
      </c>
      <c r="B2274" s="15" t="str">
        <f t="shared" si="258"/>
        <v/>
      </c>
      <c r="M2274" s="9"/>
      <c r="N2274" s="9"/>
      <c r="P2274" s="14"/>
      <c r="Q2274" s="85"/>
      <c r="R2274" s="89"/>
      <c r="U2274" s="11" t="str">
        <f t="shared" si="256"/>
        <v/>
      </c>
      <c r="V2274" s="12" t="str">
        <f t="shared" si="257"/>
        <v/>
      </c>
      <c r="Z2274" s="15"/>
    </row>
    <row r="2275" spans="1:26" x14ac:dyDescent="0.25">
      <c r="A2275" s="15" t="str">
        <f>IF(C2275="","",COUNTA($C$3:C2275))</f>
        <v/>
      </c>
      <c r="B2275" s="15" t="str">
        <f t="shared" si="258"/>
        <v/>
      </c>
      <c r="M2275" s="9"/>
      <c r="N2275" s="9"/>
      <c r="P2275" s="14"/>
      <c r="Q2275" s="85"/>
      <c r="R2275" s="89"/>
      <c r="U2275" s="11" t="str">
        <f t="shared" si="256"/>
        <v/>
      </c>
      <c r="V2275" s="12" t="str">
        <f t="shared" si="257"/>
        <v/>
      </c>
      <c r="Z2275" s="15"/>
    </row>
    <row r="2276" spans="1:26" x14ac:dyDescent="0.25">
      <c r="A2276" s="15" t="str">
        <f>IF(C2276="","",COUNTA($C$3:C2276))</f>
        <v/>
      </c>
      <c r="B2276" s="15" t="str">
        <f t="shared" si="258"/>
        <v/>
      </c>
      <c r="M2276" s="9"/>
      <c r="N2276" s="9"/>
      <c r="P2276" s="14"/>
      <c r="Q2276" s="85"/>
      <c r="R2276" s="89"/>
      <c r="U2276" s="11" t="str">
        <f t="shared" si="256"/>
        <v/>
      </c>
      <c r="V2276" s="12" t="str">
        <f t="shared" si="257"/>
        <v/>
      </c>
      <c r="Z2276" s="15"/>
    </row>
    <row r="2277" spans="1:26" x14ac:dyDescent="0.25">
      <c r="A2277" s="15" t="str">
        <f>IF(C2277="","",COUNTA($C$3:C2277))</f>
        <v/>
      </c>
      <c r="B2277" s="15" t="str">
        <f t="shared" si="258"/>
        <v/>
      </c>
      <c r="M2277" s="9"/>
      <c r="N2277" s="9"/>
      <c r="P2277" s="14"/>
      <c r="Q2277" s="85"/>
      <c r="R2277" s="89"/>
      <c r="U2277" s="11" t="str">
        <f t="shared" si="256"/>
        <v/>
      </c>
      <c r="V2277" s="12" t="str">
        <f t="shared" si="257"/>
        <v/>
      </c>
      <c r="Z2277" s="15"/>
    </row>
    <row r="2278" spans="1:26" x14ac:dyDescent="0.25">
      <c r="A2278" s="15" t="str">
        <f>IF(C2278="","",COUNTA($C$3:C2278))</f>
        <v/>
      </c>
      <c r="B2278" s="15" t="str">
        <f t="shared" si="258"/>
        <v/>
      </c>
      <c r="M2278" s="9"/>
      <c r="N2278" s="9"/>
      <c r="P2278" s="14"/>
      <c r="Q2278" s="85"/>
      <c r="R2278" s="89"/>
      <c r="U2278" s="11" t="str">
        <f t="shared" si="256"/>
        <v/>
      </c>
      <c r="V2278" s="12" t="str">
        <f t="shared" si="257"/>
        <v/>
      </c>
      <c r="Z2278" s="15"/>
    </row>
    <row r="2279" spans="1:26" x14ac:dyDescent="0.25">
      <c r="A2279" s="15" t="str">
        <f>IF(C2279="","",COUNTA($C$3:C2279))</f>
        <v/>
      </c>
      <c r="B2279" s="15" t="str">
        <f t="shared" si="258"/>
        <v/>
      </c>
      <c r="M2279" s="9"/>
      <c r="N2279" s="9"/>
      <c r="P2279" s="14"/>
      <c r="Q2279" s="85"/>
      <c r="R2279" s="89"/>
      <c r="U2279" s="11" t="str">
        <f t="shared" si="256"/>
        <v/>
      </c>
      <c r="V2279" s="12" t="str">
        <f t="shared" si="257"/>
        <v/>
      </c>
      <c r="Z2279" s="15"/>
    </row>
    <row r="2280" spans="1:26" x14ac:dyDescent="0.25">
      <c r="A2280" s="15" t="str">
        <f>IF(C2280="","",COUNTA($C$3:C2280))</f>
        <v/>
      </c>
      <c r="B2280" s="15" t="str">
        <f t="shared" si="258"/>
        <v/>
      </c>
      <c r="M2280" s="9"/>
      <c r="N2280" s="9"/>
      <c r="P2280" s="14"/>
      <c r="Q2280" s="85"/>
      <c r="R2280" s="89"/>
      <c r="U2280" s="11" t="str">
        <f t="shared" si="256"/>
        <v/>
      </c>
      <c r="V2280" s="12" t="str">
        <f t="shared" si="257"/>
        <v/>
      </c>
      <c r="Z2280" s="15"/>
    </row>
    <row r="2281" spans="1:26" x14ac:dyDescent="0.25">
      <c r="A2281" s="15" t="str">
        <f>IF(C2281="","",COUNTA($C$3:C2281))</f>
        <v/>
      </c>
      <c r="B2281" s="15" t="str">
        <f t="shared" si="258"/>
        <v/>
      </c>
      <c r="M2281" s="9"/>
      <c r="N2281" s="9"/>
      <c r="P2281" s="14"/>
      <c r="Q2281" s="85"/>
      <c r="R2281" s="89"/>
      <c r="U2281" s="11" t="str">
        <f t="shared" si="256"/>
        <v/>
      </c>
      <c r="V2281" s="12" t="str">
        <f t="shared" si="257"/>
        <v/>
      </c>
      <c r="Z2281" s="15"/>
    </row>
    <row r="2282" spans="1:26" x14ac:dyDescent="0.25">
      <c r="A2282" s="15" t="str">
        <f>IF(C2282="","",COUNTA($C$3:C2282))</f>
        <v/>
      </c>
      <c r="B2282" s="15" t="str">
        <f t="shared" si="258"/>
        <v/>
      </c>
      <c r="M2282" s="9"/>
      <c r="N2282" s="9"/>
      <c r="P2282" s="14"/>
      <c r="Q2282" s="85"/>
      <c r="R2282" s="89"/>
      <c r="U2282" s="11" t="str">
        <f t="shared" si="256"/>
        <v/>
      </c>
      <c r="V2282" s="12" t="str">
        <f t="shared" si="257"/>
        <v/>
      </c>
      <c r="Z2282" s="15"/>
    </row>
    <row r="2283" spans="1:26" x14ac:dyDescent="0.25">
      <c r="A2283" s="15" t="str">
        <f>IF(C2283="","",COUNTA($C$3:C2283))</f>
        <v/>
      </c>
      <c r="B2283" s="15" t="str">
        <f t="shared" si="258"/>
        <v/>
      </c>
      <c r="M2283" s="9"/>
      <c r="N2283" s="9"/>
      <c r="P2283" s="14"/>
      <c r="Q2283" s="85"/>
      <c r="R2283" s="89"/>
      <c r="U2283" s="11" t="str">
        <f t="shared" si="256"/>
        <v/>
      </c>
      <c r="V2283" s="12" t="str">
        <f t="shared" si="257"/>
        <v/>
      </c>
      <c r="Z2283" s="15"/>
    </row>
    <row r="2284" spans="1:26" x14ac:dyDescent="0.25">
      <c r="A2284" s="15" t="str">
        <f>IF(C2284="","",COUNTA($C$3:C2284))</f>
        <v/>
      </c>
      <c r="B2284" s="15" t="str">
        <f t="shared" si="258"/>
        <v/>
      </c>
      <c r="M2284" s="9"/>
      <c r="N2284" s="9"/>
      <c r="P2284" s="14"/>
      <c r="Q2284" s="85"/>
      <c r="R2284" s="89"/>
      <c r="U2284" s="11" t="str">
        <f t="shared" si="256"/>
        <v/>
      </c>
      <c r="V2284" s="12" t="str">
        <f t="shared" si="257"/>
        <v/>
      </c>
      <c r="Z2284" s="15"/>
    </row>
    <row r="2285" spans="1:26" x14ac:dyDescent="0.25">
      <c r="A2285" s="15" t="str">
        <f>IF(C2285="","",COUNTA($C$3:C2285))</f>
        <v/>
      </c>
      <c r="B2285" s="15" t="str">
        <f t="shared" si="258"/>
        <v/>
      </c>
      <c r="M2285" s="9"/>
      <c r="N2285" s="9"/>
      <c r="P2285" s="14"/>
      <c r="Q2285" s="85"/>
      <c r="R2285" s="89"/>
      <c r="U2285" s="11" t="str">
        <f t="shared" si="256"/>
        <v/>
      </c>
      <c r="V2285" s="12" t="str">
        <f t="shared" si="257"/>
        <v/>
      </c>
      <c r="Z2285" s="15"/>
    </row>
    <row r="2286" spans="1:26" x14ac:dyDescent="0.25">
      <c r="A2286" s="15" t="str">
        <f>IF(C2286="","",COUNTA($C$3:C2286))</f>
        <v/>
      </c>
      <c r="B2286" s="15" t="str">
        <f t="shared" si="258"/>
        <v/>
      </c>
      <c r="M2286" s="9"/>
      <c r="N2286" s="9"/>
      <c r="P2286" s="14"/>
      <c r="Q2286" s="85"/>
      <c r="R2286" s="89"/>
      <c r="U2286" s="11" t="str">
        <f t="shared" si="256"/>
        <v/>
      </c>
      <c r="V2286" s="12" t="str">
        <f t="shared" si="257"/>
        <v/>
      </c>
      <c r="Z2286" s="15"/>
    </row>
    <row r="2287" spans="1:26" x14ac:dyDescent="0.25">
      <c r="A2287" s="15" t="str">
        <f>IF(C2287="","",COUNTA($C$3:C2287))</f>
        <v/>
      </c>
      <c r="B2287" s="15" t="str">
        <f t="shared" si="258"/>
        <v/>
      </c>
      <c r="M2287" s="9"/>
      <c r="N2287" s="9"/>
      <c r="P2287" s="14"/>
      <c r="Q2287" s="85"/>
      <c r="R2287" s="89"/>
      <c r="U2287" s="11" t="str">
        <f t="shared" si="256"/>
        <v/>
      </c>
      <c r="V2287" s="12" t="str">
        <f t="shared" si="257"/>
        <v/>
      </c>
      <c r="Z2287" s="15"/>
    </row>
    <row r="2288" spans="1:26" x14ac:dyDescent="0.25">
      <c r="A2288" s="15" t="str">
        <f>IF(C2288="","",COUNTA($C$3:C2288))</f>
        <v/>
      </c>
      <c r="B2288" s="15" t="str">
        <f t="shared" si="258"/>
        <v/>
      </c>
      <c r="M2288" s="9"/>
      <c r="N2288" s="9"/>
      <c r="P2288" s="14"/>
      <c r="Q2288" s="85"/>
      <c r="R2288" s="89"/>
      <c r="U2288" s="11" t="str">
        <f t="shared" si="256"/>
        <v/>
      </c>
      <c r="V2288" s="12" t="str">
        <f t="shared" si="257"/>
        <v/>
      </c>
      <c r="Z2288" s="15"/>
    </row>
    <row r="2289" spans="1:26" x14ac:dyDescent="0.25">
      <c r="A2289" s="15" t="str">
        <f>IF(C2289="","",COUNTA($C$3:C2289))</f>
        <v/>
      </c>
      <c r="B2289" s="15" t="str">
        <f t="shared" si="258"/>
        <v/>
      </c>
      <c r="M2289" s="9"/>
      <c r="N2289" s="9"/>
      <c r="P2289" s="14"/>
      <c r="Q2289" s="85"/>
      <c r="R2289" s="89"/>
      <c r="U2289" s="11" t="str">
        <f t="shared" si="256"/>
        <v/>
      </c>
      <c r="V2289" s="12" t="str">
        <f t="shared" si="257"/>
        <v/>
      </c>
      <c r="Z2289" s="15"/>
    </row>
    <row r="2290" spans="1:26" x14ac:dyDescent="0.25">
      <c r="A2290" s="15" t="str">
        <f>IF(C2290="","",COUNTA($C$3:C2290))</f>
        <v/>
      </c>
      <c r="B2290" s="15" t="str">
        <f t="shared" si="258"/>
        <v/>
      </c>
      <c r="M2290" s="9"/>
      <c r="N2290" s="9"/>
      <c r="P2290" s="14"/>
      <c r="Q2290" s="85"/>
      <c r="R2290" s="89"/>
      <c r="U2290" s="11" t="str">
        <f t="shared" si="256"/>
        <v/>
      </c>
      <c r="V2290" s="12" t="str">
        <f t="shared" si="257"/>
        <v/>
      </c>
      <c r="Z2290" s="15"/>
    </row>
    <row r="2291" spans="1:26" x14ac:dyDescent="0.25">
      <c r="A2291" s="15" t="str">
        <f>IF(C2291="","",COUNTA($C$3:C2291))</f>
        <v/>
      </c>
      <c r="B2291" s="15" t="str">
        <f t="shared" si="258"/>
        <v/>
      </c>
      <c r="M2291" s="9"/>
      <c r="N2291" s="9"/>
      <c r="P2291" s="14"/>
      <c r="Q2291" s="85"/>
      <c r="R2291" s="89"/>
      <c r="U2291" s="11" t="str">
        <f t="shared" si="256"/>
        <v/>
      </c>
      <c r="V2291" s="12" t="str">
        <f t="shared" si="257"/>
        <v/>
      </c>
      <c r="Z2291" s="15"/>
    </row>
    <row r="2292" spans="1:26" x14ac:dyDescent="0.25">
      <c r="A2292" s="15" t="str">
        <f>IF(C2292="","",COUNTA($C$3:C2292))</f>
        <v/>
      </c>
      <c r="B2292" s="15" t="str">
        <f t="shared" si="258"/>
        <v/>
      </c>
      <c r="M2292" s="9"/>
      <c r="N2292" s="9"/>
      <c r="P2292" s="14"/>
      <c r="Q2292" s="85"/>
      <c r="R2292" s="89"/>
      <c r="U2292" s="11" t="str">
        <f t="shared" si="256"/>
        <v/>
      </c>
      <c r="V2292" s="12" t="str">
        <f t="shared" si="257"/>
        <v/>
      </c>
      <c r="Z2292" s="15"/>
    </row>
    <row r="2293" spans="1:26" x14ac:dyDescent="0.25">
      <c r="A2293" s="15" t="str">
        <f>IF(C2293="","",COUNTA($C$3:C2293))</f>
        <v/>
      </c>
      <c r="B2293" s="15" t="str">
        <f t="shared" si="258"/>
        <v/>
      </c>
      <c r="M2293" s="9"/>
      <c r="N2293" s="9"/>
      <c r="P2293" s="14"/>
      <c r="Q2293" s="85"/>
      <c r="R2293" s="89"/>
      <c r="U2293" s="11" t="str">
        <f t="shared" si="256"/>
        <v/>
      </c>
      <c r="V2293" s="12" t="str">
        <f t="shared" si="257"/>
        <v/>
      </c>
      <c r="Z2293" s="15"/>
    </row>
    <row r="2294" spans="1:26" x14ac:dyDescent="0.25">
      <c r="A2294" s="15" t="str">
        <f>IF(C2294="","",COUNTA($C$3:C2294))</f>
        <v/>
      </c>
      <c r="B2294" s="15" t="str">
        <f t="shared" si="258"/>
        <v/>
      </c>
      <c r="M2294" s="9"/>
      <c r="N2294" s="9"/>
      <c r="P2294" s="14"/>
      <c r="Q2294" s="85"/>
      <c r="R2294" s="89"/>
      <c r="U2294" s="11" t="str">
        <f t="shared" si="256"/>
        <v/>
      </c>
      <c r="V2294" s="12" t="str">
        <f t="shared" si="257"/>
        <v/>
      </c>
      <c r="Z2294" s="15"/>
    </row>
    <row r="2295" spans="1:26" x14ac:dyDescent="0.25">
      <c r="A2295" s="15" t="str">
        <f>IF(C2295="","",COUNTA($C$3:C2295))</f>
        <v/>
      </c>
      <c r="B2295" s="15" t="str">
        <f t="shared" si="258"/>
        <v/>
      </c>
      <c r="M2295" s="9"/>
      <c r="N2295" s="9"/>
      <c r="P2295" s="14"/>
      <c r="Q2295" s="85"/>
      <c r="R2295" s="89"/>
      <c r="U2295" s="11" t="str">
        <f t="shared" si="256"/>
        <v/>
      </c>
      <c r="V2295" s="12" t="str">
        <f t="shared" si="257"/>
        <v/>
      </c>
      <c r="Z2295" s="15"/>
    </row>
    <row r="2296" spans="1:26" x14ac:dyDescent="0.25">
      <c r="A2296" s="15" t="str">
        <f>IF(C2296="","",COUNTA($C$3:C2296))</f>
        <v/>
      </c>
      <c r="B2296" s="15" t="str">
        <f t="shared" si="258"/>
        <v/>
      </c>
      <c r="M2296" s="9"/>
      <c r="N2296" s="9"/>
      <c r="P2296" s="14"/>
      <c r="Q2296" s="85"/>
      <c r="R2296" s="89"/>
      <c r="U2296" s="11" t="str">
        <f t="shared" si="256"/>
        <v/>
      </c>
      <c r="V2296" s="12" t="str">
        <f t="shared" si="257"/>
        <v/>
      </c>
      <c r="Z2296" s="15"/>
    </row>
    <row r="2297" spans="1:26" x14ac:dyDescent="0.25">
      <c r="A2297" s="15" t="str">
        <f>IF(C2297="","",COUNTA($C$3:C2297))</f>
        <v/>
      </c>
      <c r="B2297" s="15" t="str">
        <f t="shared" si="258"/>
        <v/>
      </c>
      <c r="M2297" s="9"/>
      <c r="N2297" s="9"/>
      <c r="P2297" s="14"/>
      <c r="Q2297" s="85"/>
      <c r="R2297" s="89"/>
      <c r="U2297" s="11" t="str">
        <f t="shared" si="256"/>
        <v/>
      </c>
      <c r="V2297" s="12" t="str">
        <f t="shared" si="257"/>
        <v/>
      </c>
      <c r="Z2297" s="15"/>
    </row>
    <row r="2298" spans="1:26" x14ac:dyDescent="0.25">
      <c r="A2298" s="15" t="str">
        <f>IF(C2298="","",COUNTA($C$3:C2298))</f>
        <v/>
      </c>
      <c r="B2298" s="15" t="str">
        <f t="shared" si="258"/>
        <v/>
      </c>
      <c r="M2298" s="9"/>
      <c r="N2298" s="9"/>
      <c r="P2298" s="14"/>
      <c r="Q2298" s="85"/>
      <c r="R2298" s="89"/>
      <c r="U2298" s="11" t="str">
        <f t="shared" si="256"/>
        <v/>
      </c>
      <c r="V2298" s="12" t="str">
        <f t="shared" si="257"/>
        <v/>
      </c>
      <c r="Z2298" s="15"/>
    </row>
    <row r="2299" spans="1:26" x14ac:dyDescent="0.25">
      <c r="A2299" s="15" t="str">
        <f>IF(C2299="","",COUNTA($C$3:C2299))</f>
        <v/>
      </c>
      <c r="B2299" s="15" t="str">
        <f t="shared" si="258"/>
        <v/>
      </c>
      <c r="M2299" s="9"/>
      <c r="N2299" s="9"/>
      <c r="P2299" s="14"/>
      <c r="Q2299" s="85"/>
      <c r="R2299" s="89"/>
      <c r="U2299" s="11" t="str">
        <f t="shared" si="256"/>
        <v/>
      </c>
      <c r="V2299" s="12" t="str">
        <f t="shared" si="257"/>
        <v/>
      </c>
      <c r="Z2299" s="15"/>
    </row>
    <row r="2300" spans="1:26" x14ac:dyDescent="0.25">
      <c r="A2300" s="15" t="str">
        <f>IF(C2300="","",COUNTA($C$3:C2300))</f>
        <v/>
      </c>
      <c r="B2300" s="15" t="str">
        <f t="shared" si="258"/>
        <v/>
      </c>
      <c r="M2300" s="9"/>
      <c r="N2300" s="9"/>
      <c r="P2300" s="14"/>
      <c r="Q2300" s="85"/>
      <c r="R2300" s="89"/>
      <c r="U2300" s="11" t="str">
        <f t="shared" si="256"/>
        <v/>
      </c>
      <c r="V2300" s="12" t="str">
        <f t="shared" si="257"/>
        <v/>
      </c>
      <c r="Z2300" s="15"/>
    </row>
    <row r="2301" spans="1:26" x14ac:dyDescent="0.25">
      <c r="A2301" s="15" t="str">
        <f>IF(C2301="","",COUNTA($C$3:C2301))</f>
        <v/>
      </c>
      <c r="B2301" s="15" t="str">
        <f t="shared" si="258"/>
        <v/>
      </c>
      <c r="M2301" s="9"/>
      <c r="N2301" s="9"/>
      <c r="P2301" s="14"/>
      <c r="Q2301" s="85"/>
      <c r="R2301" s="89"/>
      <c r="U2301" s="11" t="str">
        <f t="shared" si="256"/>
        <v/>
      </c>
      <c r="V2301" s="12" t="str">
        <f t="shared" si="257"/>
        <v/>
      </c>
      <c r="Z2301" s="15"/>
    </row>
    <row r="2302" spans="1:26" x14ac:dyDescent="0.25">
      <c r="A2302" s="15" t="str">
        <f>IF(C2302="","",COUNTA($C$3:C2302))</f>
        <v/>
      </c>
      <c r="B2302" s="15" t="str">
        <f t="shared" si="258"/>
        <v/>
      </c>
      <c r="M2302" s="9"/>
      <c r="N2302" s="9"/>
      <c r="P2302" s="14"/>
      <c r="Q2302" s="85"/>
      <c r="R2302" s="89"/>
      <c r="U2302" s="11" t="str">
        <f t="shared" si="256"/>
        <v/>
      </c>
      <c r="V2302" s="12" t="str">
        <f t="shared" si="257"/>
        <v/>
      </c>
      <c r="Z2302" s="15"/>
    </row>
    <row r="2303" spans="1:26" x14ac:dyDescent="0.25">
      <c r="A2303" s="15" t="str">
        <f>IF(C2303="","",COUNTA($C$3:C2303))</f>
        <v/>
      </c>
      <c r="B2303" s="15" t="str">
        <f t="shared" si="258"/>
        <v/>
      </c>
      <c r="M2303" s="9"/>
      <c r="N2303" s="9"/>
      <c r="P2303" s="14"/>
      <c r="Q2303" s="85"/>
      <c r="R2303" s="89"/>
      <c r="U2303" s="11" t="str">
        <f t="shared" si="256"/>
        <v/>
      </c>
      <c r="V2303" s="12" t="str">
        <f t="shared" si="257"/>
        <v/>
      </c>
      <c r="Z2303" s="15"/>
    </row>
    <row r="2304" spans="1:26" x14ac:dyDescent="0.25">
      <c r="A2304" s="15" t="str">
        <f>IF(C2304="","",COUNTA($C$3:C2304))</f>
        <v/>
      </c>
      <c r="B2304" s="15" t="str">
        <f t="shared" si="258"/>
        <v/>
      </c>
      <c r="M2304" s="9"/>
      <c r="N2304" s="9"/>
      <c r="P2304" s="14"/>
      <c r="Q2304" s="85"/>
      <c r="R2304" s="89"/>
      <c r="U2304" s="11" t="str">
        <f t="shared" si="256"/>
        <v/>
      </c>
      <c r="V2304" s="12" t="str">
        <f t="shared" si="257"/>
        <v/>
      </c>
      <c r="Z2304" s="15"/>
    </row>
    <row r="2305" spans="1:26" x14ac:dyDescent="0.25">
      <c r="A2305" s="15" t="str">
        <f>IF(C2305="","",COUNTA($C$3:C2305))</f>
        <v/>
      </c>
      <c r="B2305" s="15" t="str">
        <f t="shared" si="258"/>
        <v/>
      </c>
      <c r="M2305" s="9"/>
      <c r="N2305" s="9"/>
      <c r="P2305" s="14"/>
      <c r="Q2305" s="85"/>
      <c r="R2305" s="89"/>
      <c r="U2305" s="11" t="str">
        <f t="shared" si="256"/>
        <v/>
      </c>
      <c r="V2305" s="12" t="str">
        <f t="shared" si="257"/>
        <v/>
      </c>
      <c r="Z2305" s="15"/>
    </row>
    <row r="2306" spans="1:26" x14ac:dyDescent="0.25">
      <c r="A2306" s="15" t="str">
        <f>IF(C2306="","",COUNTA($C$3:C2306))</f>
        <v/>
      </c>
      <c r="B2306" s="15" t="str">
        <f t="shared" si="258"/>
        <v/>
      </c>
      <c r="M2306" s="9"/>
      <c r="N2306" s="9"/>
      <c r="P2306" s="14"/>
      <c r="Q2306" s="85"/>
      <c r="R2306" s="89"/>
      <c r="U2306" s="11" t="str">
        <f t="shared" ref="U2306:U2369" si="259">IF(S2306="","",(S2306-T2306))</f>
        <v/>
      </c>
      <c r="V2306" s="12" t="str">
        <f t="shared" ref="V2306:V2369" si="260">IF(U2306="","",(U2306/T2306))</f>
        <v/>
      </c>
      <c r="Z2306" s="15"/>
    </row>
    <row r="2307" spans="1:26" x14ac:dyDescent="0.25">
      <c r="A2307" s="15" t="str">
        <f>IF(C2307="","",COUNTA($C$3:C2307))</f>
        <v/>
      </c>
      <c r="B2307" s="15" t="str">
        <f t="shared" ref="B2307:B2370" si="261">IF(C2307="","",TEXT(C2307,"mmmm"))</f>
        <v/>
      </c>
      <c r="M2307" s="9"/>
      <c r="N2307" s="9"/>
      <c r="P2307" s="14"/>
      <c r="Q2307" s="85"/>
      <c r="R2307" s="89"/>
      <c r="U2307" s="11" t="str">
        <f t="shared" si="259"/>
        <v/>
      </c>
      <c r="V2307" s="12" t="str">
        <f t="shared" si="260"/>
        <v/>
      </c>
      <c r="Z2307" s="15"/>
    </row>
    <row r="2308" spans="1:26" x14ac:dyDescent="0.25">
      <c r="A2308" s="15" t="str">
        <f>IF(C2308="","",COUNTA($C$3:C2308))</f>
        <v/>
      </c>
      <c r="B2308" s="15" t="str">
        <f t="shared" si="261"/>
        <v/>
      </c>
      <c r="M2308" s="9"/>
      <c r="N2308" s="9"/>
      <c r="P2308" s="14"/>
      <c r="Q2308" s="85"/>
      <c r="R2308" s="89"/>
      <c r="U2308" s="11" t="str">
        <f t="shared" si="259"/>
        <v/>
      </c>
      <c r="V2308" s="12" t="str">
        <f t="shared" si="260"/>
        <v/>
      </c>
      <c r="Z2308" s="15"/>
    </row>
    <row r="2309" spans="1:26" x14ac:dyDescent="0.25">
      <c r="A2309" s="15" t="str">
        <f>IF(C2309="","",COUNTA($C$3:C2309))</f>
        <v/>
      </c>
      <c r="B2309" s="15" t="str">
        <f t="shared" si="261"/>
        <v/>
      </c>
      <c r="M2309" s="9"/>
      <c r="N2309" s="9"/>
      <c r="P2309" s="14"/>
      <c r="Q2309" s="85"/>
      <c r="R2309" s="89"/>
      <c r="U2309" s="11" t="str">
        <f t="shared" si="259"/>
        <v/>
      </c>
      <c r="V2309" s="12" t="str">
        <f t="shared" si="260"/>
        <v/>
      </c>
      <c r="Z2309" s="15"/>
    </row>
    <row r="2310" spans="1:26" x14ac:dyDescent="0.25">
      <c r="A2310" s="15" t="str">
        <f>IF(C2310="","",COUNTA($C$3:C2310))</f>
        <v/>
      </c>
      <c r="B2310" s="15" t="str">
        <f t="shared" si="261"/>
        <v/>
      </c>
      <c r="M2310" s="9"/>
      <c r="N2310" s="9"/>
      <c r="P2310" s="14"/>
      <c r="Q2310" s="85"/>
      <c r="R2310" s="89"/>
      <c r="U2310" s="11" t="str">
        <f t="shared" si="259"/>
        <v/>
      </c>
      <c r="V2310" s="12" t="str">
        <f t="shared" si="260"/>
        <v/>
      </c>
      <c r="Z2310" s="15"/>
    </row>
    <row r="2311" spans="1:26" x14ac:dyDescent="0.25">
      <c r="A2311" s="15" t="str">
        <f>IF(C2311="","",COUNTA($C$3:C2311))</f>
        <v/>
      </c>
      <c r="B2311" s="15" t="str">
        <f t="shared" si="261"/>
        <v/>
      </c>
      <c r="M2311" s="9"/>
      <c r="N2311" s="9"/>
      <c r="P2311" s="14"/>
      <c r="Q2311" s="85"/>
      <c r="R2311" s="89"/>
      <c r="U2311" s="11" t="str">
        <f t="shared" si="259"/>
        <v/>
      </c>
      <c r="V2311" s="12" t="str">
        <f t="shared" si="260"/>
        <v/>
      </c>
      <c r="Z2311" s="15"/>
    </row>
    <row r="2312" spans="1:26" x14ac:dyDescent="0.25">
      <c r="A2312" s="15" t="str">
        <f>IF(C2312="","",COUNTA($C$3:C2312))</f>
        <v/>
      </c>
      <c r="B2312" s="15" t="str">
        <f t="shared" si="261"/>
        <v/>
      </c>
      <c r="M2312" s="9"/>
      <c r="N2312" s="9"/>
      <c r="P2312" s="14"/>
      <c r="Q2312" s="85"/>
      <c r="R2312" s="89"/>
      <c r="U2312" s="11" t="str">
        <f t="shared" si="259"/>
        <v/>
      </c>
      <c r="V2312" s="12" t="str">
        <f t="shared" si="260"/>
        <v/>
      </c>
      <c r="Z2312" s="15"/>
    </row>
    <row r="2313" spans="1:26" x14ac:dyDescent="0.25">
      <c r="A2313" s="15" t="str">
        <f>IF(C2313="","",COUNTA($C$3:C2313))</f>
        <v/>
      </c>
      <c r="B2313" s="15" t="str">
        <f t="shared" si="261"/>
        <v/>
      </c>
      <c r="M2313" s="9"/>
      <c r="N2313" s="9"/>
      <c r="P2313" s="14"/>
      <c r="Q2313" s="85"/>
      <c r="R2313" s="89"/>
      <c r="U2313" s="11" t="str">
        <f t="shared" si="259"/>
        <v/>
      </c>
      <c r="V2313" s="12" t="str">
        <f t="shared" si="260"/>
        <v/>
      </c>
      <c r="Z2313" s="15"/>
    </row>
    <row r="2314" spans="1:26" x14ac:dyDescent="0.25">
      <c r="A2314" s="15" t="str">
        <f>IF(C2314="","",COUNTA($C$3:C2314))</f>
        <v/>
      </c>
      <c r="B2314" s="15" t="str">
        <f t="shared" si="261"/>
        <v/>
      </c>
      <c r="M2314" s="9"/>
      <c r="N2314" s="9"/>
      <c r="P2314" s="14"/>
      <c r="Q2314" s="85"/>
      <c r="R2314" s="89"/>
      <c r="U2314" s="11" t="str">
        <f t="shared" si="259"/>
        <v/>
      </c>
      <c r="V2314" s="12" t="str">
        <f t="shared" si="260"/>
        <v/>
      </c>
      <c r="Z2314" s="15"/>
    </row>
    <row r="2315" spans="1:26" x14ac:dyDescent="0.25">
      <c r="A2315" s="15" t="str">
        <f>IF(C2315="","",COUNTA($C$3:C2315))</f>
        <v/>
      </c>
      <c r="B2315" s="15" t="str">
        <f t="shared" si="261"/>
        <v/>
      </c>
      <c r="M2315" s="9"/>
      <c r="N2315" s="9"/>
      <c r="P2315" s="14"/>
      <c r="Q2315" s="85"/>
      <c r="R2315" s="89"/>
      <c r="U2315" s="11" t="str">
        <f t="shared" si="259"/>
        <v/>
      </c>
      <c r="V2315" s="12" t="str">
        <f t="shared" si="260"/>
        <v/>
      </c>
      <c r="Z2315" s="15"/>
    </row>
    <row r="2316" spans="1:26" x14ac:dyDescent="0.25">
      <c r="A2316" s="15" t="str">
        <f>IF(C2316="","",COUNTA($C$3:C2316))</f>
        <v/>
      </c>
      <c r="B2316" s="15" t="str">
        <f t="shared" si="261"/>
        <v/>
      </c>
      <c r="M2316" s="9"/>
      <c r="N2316" s="9"/>
      <c r="P2316" s="14"/>
      <c r="Q2316" s="85"/>
      <c r="R2316" s="89"/>
      <c r="U2316" s="11" t="str">
        <f t="shared" si="259"/>
        <v/>
      </c>
      <c r="V2316" s="12" t="str">
        <f t="shared" si="260"/>
        <v/>
      </c>
      <c r="Z2316" s="15"/>
    </row>
    <row r="2317" spans="1:26" x14ac:dyDescent="0.25">
      <c r="A2317" s="15" t="str">
        <f>IF(C2317="","",COUNTA($C$3:C2317))</f>
        <v/>
      </c>
      <c r="B2317" s="15" t="str">
        <f t="shared" si="261"/>
        <v/>
      </c>
      <c r="M2317" s="9"/>
      <c r="N2317" s="9"/>
      <c r="P2317" s="14"/>
      <c r="Q2317" s="85"/>
      <c r="R2317" s="89"/>
      <c r="U2317" s="11" t="str">
        <f t="shared" si="259"/>
        <v/>
      </c>
      <c r="V2317" s="12" t="str">
        <f t="shared" si="260"/>
        <v/>
      </c>
      <c r="Z2317" s="15"/>
    </row>
    <row r="2318" spans="1:26" x14ac:dyDescent="0.25">
      <c r="A2318" s="15" t="str">
        <f>IF(C2318="","",COUNTA($C$3:C2318))</f>
        <v/>
      </c>
      <c r="B2318" s="15" t="str">
        <f t="shared" si="261"/>
        <v/>
      </c>
      <c r="M2318" s="9"/>
      <c r="N2318" s="9"/>
      <c r="P2318" s="14"/>
      <c r="Q2318" s="85"/>
      <c r="R2318" s="89"/>
      <c r="U2318" s="11" t="str">
        <f t="shared" si="259"/>
        <v/>
      </c>
      <c r="V2318" s="12" t="str">
        <f t="shared" si="260"/>
        <v/>
      </c>
      <c r="Z2318" s="15"/>
    </row>
    <row r="2319" spans="1:26" x14ac:dyDescent="0.25">
      <c r="A2319" s="15" t="str">
        <f>IF(C2319="","",COUNTA($C$3:C2319))</f>
        <v/>
      </c>
      <c r="B2319" s="15" t="str">
        <f t="shared" si="261"/>
        <v/>
      </c>
      <c r="M2319" s="9"/>
      <c r="N2319" s="9"/>
      <c r="P2319" s="14"/>
      <c r="Q2319" s="85"/>
      <c r="R2319" s="89"/>
      <c r="U2319" s="11" t="str">
        <f t="shared" si="259"/>
        <v/>
      </c>
      <c r="V2319" s="12" t="str">
        <f t="shared" si="260"/>
        <v/>
      </c>
      <c r="Z2319" s="15"/>
    </row>
    <row r="2320" spans="1:26" x14ac:dyDescent="0.25">
      <c r="A2320" s="15" t="str">
        <f>IF(C2320="","",COUNTA($C$3:C2320))</f>
        <v/>
      </c>
      <c r="B2320" s="15" t="str">
        <f t="shared" si="261"/>
        <v/>
      </c>
      <c r="M2320" s="9"/>
      <c r="N2320" s="9"/>
      <c r="P2320" s="14"/>
      <c r="Q2320" s="85"/>
      <c r="R2320" s="89"/>
      <c r="U2320" s="11" t="str">
        <f t="shared" si="259"/>
        <v/>
      </c>
      <c r="V2320" s="12" t="str">
        <f t="shared" si="260"/>
        <v/>
      </c>
      <c r="Z2320" s="15"/>
    </row>
    <row r="2321" spans="1:26" x14ac:dyDescent="0.25">
      <c r="A2321" s="15" t="str">
        <f>IF(C2321="","",COUNTA($C$3:C2321))</f>
        <v/>
      </c>
      <c r="B2321" s="15" t="str">
        <f t="shared" si="261"/>
        <v/>
      </c>
      <c r="M2321" s="9"/>
      <c r="N2321" s="9"/>
      <c r="P2321" s="14"/>
      <c r="Q2321" s="85"/>
      <c r="R2321" s="89"/>
      <c r="U2321" s="11" t="str">
        <f t="shared" si="259"/>
        <v/>
      </c>
      <c r="V2321" s="12" t="str">
        <f t="shared" si="260"/>
        <v/>
      </c>
      <c r="Z2321" s="15"/>
    </row>
    <row r="2322" spans="1:26" x14ac:dyDescent="0.25">
      <c r="A2322" s="15" t="str">
        <f>IF(C2322="","",COUNTA($C$3:C2322))</f>
        <v/>
      </c>
      <c r="B2322" s="15" t="str">
        <f t="shared" si="261"/>
        <v/>
      </c>
      <c r="M2322" s="9"/>
      <c r="N2322" s="9"/>
      <c r="P2322" s="14"/>
      <c r="Q2322" s="85"/>
      <c r="R2322" s="89"/>
      <c r="U2322" s="11" t="str">
        <f t="shared" si="259"/>
        <v/>
      </c>
      <c r="V2322" s="12" t="str">
        <f t="shared" si="260"/>
        <v/>
      </c>
      <c r="Z2322" s="15"/>
    </row>
    <row r="2323" spans="1:26" x14ac:dyDescent="0.25">
      <c r="A2323" s="15" t="str">
        <f>IF(C2323="","",COUNTA($C$3:C2323))</f>
        <v/>
      </c>
      <c r="B2323" s="15" t="str">
        <f t="shared" si="261"/>
        <v/>
      </c>
      <c r="M2323" s="9"/>
      <c r="N2323" s="9"/>
      <c r="P2323" s="14"/>
      <c r="Q2323" s="85"/>
      <c r="R2323" s="89"/>
      <c r="U2323" s="11" t="str">
        <f t="shared" si="259"/>
        <v/>
      </c>
      <c r="V2323" s="12" t="str">
        <f t="shared" si="260"/>
        <v/>
      </c>
      <c r="Z2323" s="15"/>
    </row>
    <row r="2324" spans="1:26" x14ac:dyDescent="0.25">
      <c r="A2324" s="15" t="str">
        <f>IF(C2324="","",COUNTA($C$3:C2324))</f>
        <v/>
      </c>
      <c r="B2324" s="15" t="str">
        <f t="shared" si="261"/>
        <v/>
      </c>
      <c r="M2324" s="9"/>
      <c r="N2324" s="9"/>
      <c r="P2324" s="14"/>
      <c r="Q2324" s="85"/>
      <c r="R2324" s="89"/>
      <c r="U2324" s="11" t="str">
        <f t="shared" si="259"/>
        <v/>
      </c>
      <c r="V2324" s="12" t="str">
        <f t="shared" si="260"/>
        <v/>
      </c>
      <c r="Z2324" s="15"/>
    </row>
    <row r="2325" spans="1:26" x14ac:dyDescent="0.25">
      <c r="A2325" s="15" t="str">
        <f>IF(C2325="","",COUNTA($C$3:C2325))</f>
        <v/>
      </c>
      <c r="B2325" s="15" t="str">
        <f t="shared" si="261"/>
        <v/>
      </c>
      <c r="M2325" s="9"/>
      <c r="N2325" s="9"/>
      <c r="P2325" s="14"/>
      <c r="Q2325" s="85"/>
      <c r="R2325" s="89"/>
      <c r="U2325" s="11" t="str">
        <f t="shared" si="259"/>
        <v/>
      </c>
      <c r="V2325" s="12" t="str">
        <f t="shared" si="260"/>
        <v/>
      </c>
      <c r="Z2325" s="15"/>
    </row>
    <row r="2326" spans="1:26" x14ac:dyDescent="0.25">
      <c r="A2326" s="15" t="str">
        <f>IF(C2326="","",COUNTA($C$3:C2326))</f>
        <v/>
      </c>
      <c r="B2326" s="15" t="str">
        <f t="shared" si="261"/>
        <v/>
      </c>
      <c r="M2326" s="9"/>
      <c r="N2326" s="9"/>
      <c r="P2326" s="14"/>
      <c r="Q2326" s="85"/>
      <c r="R2326" s="89"/>
      <c r="U2326" s="11" t="str">
        <f t="shared" si="259"/>
        <v/>
      </c>
      <c r="V2326" s="12" t="str">
        <f t="shared" si="260"/>
        <v/>
      </c>
      <c r="Z2326" s="15"/>
    </row>
    <row r="2327" spans="1:26" x14ac:dyDescent="0.25">
      <c r="A2327" s="15" t="str">
        <f>IF(C2327="","",COUNTA($C$3:C2327))</f>
        <v/>
      </c>
      <c r="B2327" s="15" t="str">
        <f t="shared" si="261"/>
        <v/>
      </c>
      <c r="M2327" s="9"/>
      <c r="N2327" s="9"/>
      <c r="P2327" s="14"/>
      <c r="Q2327" s="85"/>
      <c r="R2327" s="89"/>
      <c r="U2327" s="11" t="str">
        <f t="shared" si="259"/>
        <v/>
      </c>
      <c r="V2327" s="12" t="str">
        <f t="shared" si="260"/>
        <v/>
      </c>
      <c r="Z2327" s="15"/>
    </row>
    <row r="2328" spans="1:26" x14ac:dyDescent="0.25">
      <c r="A2328" s="15" t="str">
        <f>IF(C2328="","",COUNTA($C$3:C2328))</f>
        <v/>
      </c>
      <c r="B2328" s="15" t="str">
        <f t="shared" si="261"/>
        <v/>
      </c>
      <c r="M2328" s="9"/>
      <c r="N2328" s="9"/>
      <c r="P2328" s="14"/>
      <c r="Q2328" s="85"/>
      <c r="R2328" s="89"/>
      <c r="U2328" s="11" t="str">
        <f t="shared" si="259"/>
        <v/>
      </c>
      <c r="V2328" s="12" t="str">
        <f t="shared" si="260"/>
        <v/>
      </c>
      <c r="Z2328" s="15"/>
    </row>
    <row r="2329" spans="1:26" x14ac:dyDescent="0.25">
      <c r="A2329" s="15" t="str">
        <f>IF(C2329="","",COUNTA($C$3:C2329))</f>
        <v/>
      </c>
      <c r="B2329" s="15" t="str">
        <f t="shared" si="261"/>
        <v/>
      </c>
      <c r="M2329" s="9"/>
      <c r="N2329" s="9"/>
      <c r="P2329" s="14"/>
      <c r="Q2329" s="85"/>
      <c r="R2329" s="89"/>
      <c r="U2329" s="11" t="str">
        <f t="shared" si="259"/>
        <v/>
      </c>
      <c r="V2329" s="12" t="str">
        <f t="shared" si="260"/>
        <v/>
      </c>
      <c r="Z2329" s="15"/>
    </row>
    <row r="2330" spans="1:26" x14ac:dyDescent="0.25">
      <c r="A2330" s="15" t="str">
        <f>IF(C2330="","",COUNTA($C$3:C2330))</f>
        <v/>
      </c>
      <c r="B2330" s="15" t="str">
        <f t="shared" si="261"/>
        <v/>
      </c>
      <c r="M2330" s="9"/>
      <c r="N2330" s="9"/>
      <c r="P2330" s="14"/>
      <c r="Q2330" s="85"/>
      <c r="R2330" s="89"/>
      <c r="U2330" s="11" t="str">
        <f t="shared" si="259"/>
        <v/>
      </c>
      <c r="V2330" s="12" t="str">
        <f t="shared" si="260"/>
        <v/>
      </c>
      <c r="Z2330" s="15"/>
    </row>
    <row r="2331" spans="1:26" x14ac:dyDescent="0.25">
      <c r="A2331" s="15" t="str">
        <f>IF(C2331="","",COUNTA($C$3:C2331))</f>
        <v/>
      </c>
      <c r="B2331" s="15" t="str">
        <f t="shared" si="261"/>
        <v/>
      </c>
      <c r="M2331" s="9"/>
      <c r="N2331" s="9"/>
      <c r="P2331" s="14"/>
      <c r="Q2331" s="85"/>
      <c r="R2331" s="89"/>
      <c r="U2331" s="11" t="str">
        <f t="shared" si="259"/>
        <v/>
      </c>
      <c r="V2331" s="12" t="str">
        <f t="shared" si="260"/>
        <v/>
      </c>
      <c r="Z2331" s="15"/>
    </row>
    <row r="2332" spans="1:26" x14ac:dyDescent="0.25">
      <c r="A2332" s="15" t="str">
        <f>IF(C2332="","",COUNTA($C$3:C2332))</f>
        <v/>
      </c>
      <c r="B2332" s="15" t="str">
        <f t="shared" si="261"/>
        <v/>
      </c>
      <c r="M2332" s="9"/>
      <c r="N2332" s="9"/>
      <c r="P2332" s="14"/>
      <c r="Q2332" s="85"/>
      <c r="R2332" s="89"/>
      <c r="U2332" s="11" t="str">
        <f t="shared" si="259"/>
        <v/>
      </c>
      <c r="V2332" s="12" t="str">
        <f t="shared" si="260"/>
        <v/>
      </c>
      <c r="Z2332" s="15"/>
    </row>
    <row r="2333" spans="1:26" x14ac:dyDescent="0.25">
      <c r="A2333" s="15" t="str">
        <f>IF(C2333="","",COUNTA($C$3:C2333))</f>
        <v/>
      </c>
      <c r="B2333" s="15" t="str">
        <f t="shared" si="261"/>
        <v/>
      </c>
      <c r="M2333" s="9"/>
      <c r="N2333" s="9"/>
      <c r="P2333" s="14"/>
      <c r="Q2333" s="85"/>
      <c r="R2333" s="89"/>
      <c r="U2333" s="11" t="str">
        <f t="shared" si="259"/>
        <v/>
      </c>
      <c r="V2333" s="12" t="str">
        <f t="shared" si="260"/>
        <v/>
      </c>
      <c r="Z2333" s="15"/>
    </row>
    <row r="2334" spans="1:26" x14ac:dyDescent="0.25">
      <c r="A2334" s="15" t="str">
        <f>IF(C2334="","",COUNTA($C$3:C2334))</f>
        <v/>
      </c>
      <c r="B2334" s="15" t="str">
        <f t="shared" si="261"/>
        <v/>
      </c>
      <c r="M2334" s="9"/>
      <c r="N2334" s="9"/>
      <c r="P2334" s="14"/>
      <c r="Q2334" s="85"/>
      <c r="R2334" s="89"/>
      <c r="U2334" s="11" t="str">
        <f t="shared" si="259"/>
        <v/>
      </c>
      <c r="V2334" s="12" t="str">
        <f t="shared" si="260"/>
        <v/>
      </c>
      <c r="Z2334" s="15"/>
    </row>
    <row r="2335" spans="1:26" x14ac:dyDescent="0.25">
      <c r="A2335" s="15" t="str">
        <f>IF(C2335="","",COUNTA($C$3:C2335))</f>
        <v/>
      </c>
      <c r="B2335" s="15" t="str">
        <f t="shared" si="261"/>
        <v/>
      </c>
      <c r="M2335" s="9"/>
      <c r="N2335" s="9"/>
      <c r="P2335" s="14"/>
      <c r="Q2335" s="85"/>
      <c r="R2335" s="89"/>
      <c r="U2335" s="11" t="str">
        <f t="shared" si="259"/>
        <v/>
      </c>
      <c r="V2335" s="12" t="str">
        <f t="shared" si="260"/>
        <v/>
      </c>
      <c r="Z2335" s="15"/>
    </row>
    <row r="2336" spans="1:26" x14ac:dyDescent="0.25">
      <c r="A2336" s="15" t="str">
        <f>IF(C2336="","",COUNTA($C$3:C2336))</f>
        <v/>
      </c>
      <c r="B2336" s="15" t="str">
        <f t="shared" si="261"/>
        <v/>
      </c>
      <c r="M2336" s="9"/>
      <c r="N2336" s="9"/>
      <c r="P2336" s="14"/>
      <c r="Q2336" s="85"/>
      <c r="R2336" s="89"/>
      <c r="U2336" s="11" t="str">
        <f t="shared" si="259"/>
        <v/>
      </c>
      <c r="V2336" s="12" t="str">
        <f t="shared" si="260"/>
        <v/>
      </c>
      <c r="Z2336" s="15"/>
    </row>
    <row r="2337" spans="1:26" x14ac:dyDescent="0.25">
      <c r="A2337" s="15" t="str">
        <f>IF(C2337="","",COUNTA($C$3:C2337))</f>
        <v/>
      </c>
      <c r="B2337" s="15" t="str">
        <f t="shared" si="261"/>
        <v/>
      </c>
      <c r="M2337" s="9"/>
      <c r="N2337" s="9"/>
      <c r="P2337" s="14"/>
      <c r="Q2337" s="85"/>
      <c r="R2337" s="89"/>
      <c r="U2337" s="11" t="str">
        <f t="shared" si="259"/>
        <v/>
      </c>
      <c r="V2337" s="12" t="str">
        <f t="shared" si="260"/>
        <v/>
      </c>
      <c r="Z2337" s="15"/>
    </row>
    <row r="2338" spans="1:26" x14ac:dyDescent="0.25">
      <c r="A2338" s="15" t="str">
        <f>IF(C2338="","",COUNTA($C$3:C2338))</f>
        <v/>
      </c>
      <c r="B2338" s="15" t="str">
        <f t="shared" si="261"/>
        <v/>
      </c>
      <c r="M2338" s="9"/>
      <c r="N2338" s="9"/>
      <c r="P2338" s="14"/>
      <c r="Q2338" s="85"/>
      <c r="R2338" s="89"/>
      <c r="U2338" s="11" t="str">
        <f t="shared" si="259"/>
        <v/>
      </c>
      <c r="V2338" s="12" t="str">
        <f t="shared" si="260"/>
        <v/>
      </c>
      <c r="Z2338" s="15"/>
    </row>
    <row r="2339" spans="1:26" x14ac:dyDescent="0.25">
      <c r="A2339" s="15" t="str">
        <f>IF(C2339="","",COUNTA($C$3:C2339))</f>
        <v/>
      </c>
      <c r="B2339" s="15" t="str">
        <f t="shared" si="261"/>
        <v/>
      </c>
      <c r="M2339" s="9"/>
      <c r="N2339" s="9"/>
      <c r="P2339" s="14"/>
      <c r="Q2339" s="85"/>
      <c r="R2339" s="89"/>
      <c r="U2339" s="11" t="str">
        <f t="shared" si="259"/>
        <v/>
      </c>
      <c r="V2339" s="12" t="str">
        <f t="shared" si="260"/>
        <v/>
      </c>
      <c r="Z2339" s="15"/>
    </row>
    <row r="2340" spans="1:26" x14ac:dyDescent="0.25">
      <c r="A2340" s="15" t="str">
        <f>IF(C2340="","",COUNTA($C$3:C2340))</f>
        <v/>
      </c>
      <c r="B2340" s="15" t="str">
        <f t="shared" si="261"/>
        <v/>
      </c>
      <c r="M2340" s="9"/>
      <c r="N2340" s="9"/>
      <c r="P2340" s="14"/>
      <c r="Q2340" s="85"/>
      <c r="R2340" s="89"/>
      <c r="U2340" s="11" t="str">
        <f t="shared" si="259"/>
        <v/>
      </c>
      <c r="V2340" s="12" t="str">
        <f t="shared" si="260"/>
        <v/>
      </c>
      <c r="Z2340" s="15"/>
    </row>
    <row r="2341" spans="1:26" x14ac:dyDescent="0.25">
      <c r="A2341" s="15" t="str">
        <f>IF(C2341="","",COUNTA($C$3:C2341))</f>
        <v/>
      </c>
      <c r="B2341" s="15" t="str">
        <f t="shared" si="261"/>
        <v/>
      </c>
      <c r="M2341" s="9"/>
      <c r="N2341" s="9"/>
      <c r="P2341" s="14"/>
      <c r="Q2341" s="85"/>
      <c r="R2341" s="89"/>
      <c r="U2341" s="11" t="str">
        <f t="shared" si="259"/>
        <v/>
      </c>
      <c r="V2341" s="12" t="str">
        <f t="shared" si="260"/>
        <v/>
      </c>
      <c r="Z2341" s="15"/>
    </row>
    <row r="2342" spans="1:26" x14ac:dyDescent="0.25">
      <c r="A2342" s="15" t="str">
        <f>IF(C2342="","",COUNTA($C$3:C2342))</f>
        <v/>
      </c>
      <c r="B2342" s="15" t="str">
        <f t="shared" si="261"/>
        <v/>
      </c>
      <c r="M2342" s="9"/>
      <c r="N2342" s="9"/>
      <c r="P2342" s="14"/>
      <c r="Q2342" s="85"/>
      <c r="R2342" s="89"/>
      <c r="U2342" s="11" t="str">
        <f t="shared" si="259"/>
        <v/>
      </c>
      <c r="V2342" s="12" t="str">
        <f t="shared" si="260"/>
        <v/>
      </c>
      <c r="Z2342" s="15"/>
    </row>
    <row r="2343" spans="1:26" x14ac:dyDescent="0.25">
      <c r="A2343" s="15" t="str">
        <f>IF(C2343="","",COUNTA($C$3:C2343))</f>
        <v/>
      </c>
      <c r="B2343" s="15" t="str">
        <f t="shared" si="261"/>
        <v/>
      </c>
      <c r="M2343" s="9"/>
      <c r="N2343" s="9"/>
      <c r="P2343" s="14"/>
      <c r="Q2343" s="85"/>
      <c r="R2343" s="89"/>
      <c r="U2343" s="11" t="str">
        <f t="shared" si="259"/>
        <v/>
      </c>
      <c r="V2343" s="12" t="str">
        <f t="shared" si="260"/>
        <v/>
      </c>
      <c r="Z2343" s="15"/>
    </row>
    <row r="2344" spans="1:26" x14ac:dyDescent="0.25">
      <c r="A2344" s="15" t="str">
        <f>IF(C2344="","",COUNTA($C$3:C2344))</f>
        <v/>
      </c>
      <c r="B2344" s="15" t="str">
        <f t="shared" si="261"/>
        <v/>
      </c>
      <c r="M2344" s="9"/>
      <c r="N2344" s="9"/>
      <c r="P2344" s="14"/>
      <c r="Q2344" s="85"/>
      <c r="R2344" s="89"/>
      <c r="U2344" s="11" t="str">
        <f t="shared" si="259"/>
        <v/>
      </c>
      <c r="V2344" s="12" t="str">
        <f t="shared" si="260"/>
        <v/>
      </c>
      <c r="Z2344" s="15"/>
    </row>
    <row r="2345" spans="1:26" x14ac:dyDescent="0.25">
      <c r="A2345" s="15" t="str">
        <f>IF(C2345="","",COUNTA($C$3:C2345))</f>
        <v/>
      </c>
      <c r="B2345" s="15" t="str">
        <f t="shared" si="261"/>
        <v/>
      </c>
      <c r="M2345" s="9"/>
      <c r="N2345" s="9"/>
      <c r="P2345" s="14"/>
      <c r="Q2345" s="85"/>
      <c r="R2345" s="89"/>
      <c r="U2345" s="11" t="str">
        <f t="shared" si="259"/>
        <v/>
      </c>
      <c r="V2345" s="12" t="str">
        <f t="shared" si="260"/>
        <v/>
      </c>
      <c r="Z2345" s="15"/>
    </row>
    <row r="2346" spans="1:26" x14ac:dyDescent="0.25">
      <c r="A2346" s="15" t="str">
        <f>IF(C2346="","",COUNTA($C$3:C2346))</f>
        <v/>
      </c>
      <c r="B2346" s="15" t="str">
        <f t="shared" si="261"/>
        <v/>
      </c>
      <c r="M2346" s="9"/>
      <c r="N2346" s="9"/>
      <c r="P2346" s="14"/>
      <c r="Q2346" s="85"/>
      <c r="R2346" s="89"/>
      <c r="U2346" s="11" t="str">
        <f t="shared" si="259"/>
        <v/>
      </c>
      <c r="V2346" s="12" t="str">
        <f t="shared" si="260"/>
        <v/>
      </c>
      <c r="Z2346" s="15"/>
    </row>
    <row r="2347" spans="1:26" x14ac:dyDescent="0.25">
      <c r="A2347" s="15" t="str">
        <f>IF(C2347="","",COUNTA($C$3:C2347))</f>
        <v/>
      </c>
      <c r="B2347" s="15" t="str">
        <f t="shared" si="261"/>
        <v/>
      </c>
      <c r="M2347" s="9"/>
      <c r="N2347" s="9"/>
      <c r="P2347" s="14"/>
      <c r="Q2347" s="85"/>
      <c r="R2347" s="89"/>
      <c r="U2347" s="11" t="str">
        <f t="shared" si="259"/>
        <v/>
      </c>
      <c r="V2347" s="12" t="str">
        <f t="shared" si="260"/>
        <v/>
      </c>
      <c r="Z2347" s="15"/>
    </row>
    <row r="2348" spans="1:26" x14ac:dyDescent="0.25">
      <c r="A2348" s="15" t="str">
        <f>IF(C2348="","",COUNTA($C$3:C2348))</f>
        <v/>
      </c>
      <c r="B2348" s="15" t="str">
        <f t="shared" si="261"/>
        <v/>
      </c>
      <c r="M2348" s="9"/>
      <c r="N2348" s="9"/>
      <c r="P2348" s="14"/>
      <c r="Q2348" s="85"/>
      <c r="R2348" s="89"/>
      <c r="U2348" s="11" t="str">
        <f t="shared" si="259"/>
        <v/>
      </c>
      <c r="V2348" s="12" t="str">
        <f t="shared" si="260"/>
        <v/>
      </c>
      <c r="Z2348" s="15"/>
    </row>
    <row r="2349" spans="1:26" x14ac:dyDescent="0.25">
      <c r="A2349" s="15" t="str">
        <f>IF(C2349="","",COUNTA($C$3:C2349))</f>
        <v/>
      </c>
      <c r="B2349" s="15" t="str">
        <f t="shared" si="261"/>
        <v/>
      </c>
      <c r="M2349" s="9"/>
      <c r="N2349" s="9"/>
      <c r="P2349" s="14"/>
      <c r="Q2349" s="85"/>
      <c r="R2349" s="89"/>
      <c r="U2349" s="11" t="str">
        <f t="shared" si="259"/>
        <v/>
      </c>
      <c r="V2349" s="12" t="str">
        <f t="shared" si="260"/>
        <v/>
      </c>
      <c r="Z2349" s="15"/>
    </row>
    <row r="2350" spans="1:26" x14ac:dyDescent="0.25">
      <c r="A2350" s="15" t="str">
        <f>IF(C2350="","",COUNTA($C$3:C2350))</f>
        <v/>
      </c>
      <c r="B2350" s="15" t="str">
        <f t="shared" si="261"/>
        <v/>
      </c>
      <c r="M2350" s="9"/>
      <c r="N2350" s="9"/>
      <c r="P2350" s="14"/>
      <c r="Q2350" s="85"/>
      <c r="R2350" s="89"/>
      <c r="U2350" s="11" t="str">
        <f t="shared" si="259"/>
        <v/>
      </c>
      <c r="V2350" s="12" t="str">
        <f t="shared" si="260"/>
        <v/>
      </c>
      <c r="Z2350" s="15"/>
    </row>
    <row r="2351" spans="1:26" x14ac:dyDescent="0.25">
      <c r="A2351" s="15" t="str">
        <f>IF(C2351="","",COUNTA($C$3:C2351))</f>
        <v/>
      </c>
      <c r="B2351" s="15" t="str">
        <f t="shared" si="261"/>
        <v/>
      </c>
      <c r="M2351" s="9"/>
      <c r="N2351" s="9"/>
      <c r="P2351" s="14"/>
      <c r="Q2351" s="85"/>
      <c r="R2351" s="89"/>
      <c r="U2351" s="11" t="str">
        <f t="shared" si="259"/>
        <v/>
      </c>
      <c r="V2351" s="12" t="str">
        <f t="shared" si="260"/>
        <v/>
      </c>
      <c r="Z2351" s="15"/>
    </row>
    <row r="2352" spans="1:26" x14ac:dyDescent="0.25">
      <c r="A2352" s="15" t="str">
        <f>IF(C2352="","",COUNTA($C$3:C2352))</f>
        <v/>
      </c>
      <c r="B2352" s="15" t="str">
        <f t="shared" si="261"/>
        <v/>
      </c>
      <c r="M2352" s="9"/>
      <c r="N2352" s="9"/>
      <c r="P2352" s="14"/>
      <c r="Q2352" s="85"/>
      <c r="R2352" s="89"/>
      <c r="U2352" s="11" t="str">
        <f t="shared" si="259"/>
        <v/>
      </c>
      <c r="V2352" s="12" t="str">
        <f t="shared" si="260"/>
        <v/>
      </c>
      <c r="Z2352" s="15"/>
    </row>
    <row r="2353" spans="1:26" x14ac:dyDescent="0.25">
      <c r="A2353" s="15" t="str">
        <f>IF(C2353="","",COUNTA($C$3:C2353))</f>
        <v/>
      </c>
      <c r="B2353" s="15" t="str">
        <f t="shared" si="261"/>
        <v/>
      </c>
      <c r="M2353" s="9"/>
      <c r="N2353" s="9"/>
      <c r="P2353" s="14"/>
      <c r="Q2353" s="85"/>
      <c r="R2353" s="89"/>
      <c r="U2353" s="11" t="str">
        <f t="shared" si="259"/>
        <v/>
      </c>
      <c r="V2353" s="12" t="str">
        <f t="shared" si="260"/>
        <v/>
      </c>
      <c r="Z2353" s="15"/>
    </row>
    <row r="2354" spans="1:26" x14ac:dyDescent="0.25">
      <c r="A2354" s="15" t="str">
        <f>IF(C2354="","",COUNTA($C$3:C2354))</f>
        <v/>
      </c>
      <c r="B2354" s="15" t="str">
        <f t="shared" si="261"/>
        <v/>
      </c>
      <c r="M2354" s="9"/>
      <c r="N2354" s="9"/>
      <c r="P2354" s="14"/>
      <c r="Q2354" s="85"/>
      <c r="R2354" s="89"/>
      <c r="U2354" s="11" t="str">
        <f t="shared" si="259"/>
        <v/>
      </c>
      <c r="V2354" s="12" t="str">
        <f t="shared" si="260"/>
        <v/>
      </c>
      <c r="Z2354" s="15"/>
    </row>
    <row r="2355" spans="1:26" x14ac:dyDescent="0.25">
      <c r="A2355" s="15" t="str">
        <f>IF(C2355="","",COUNTA($C$3:C2355))</f>
        <v/>
      </c>
      <c r="B2355" s="15" t="str">
        <f t="shared" si="261"/>
        <v/>
      </c>
      <c r="M2355" s="9"/>
      <c r="N2355" s="9"/>
      <c r="P2355" s="14"/>
      <c r="Q2355" s="85"/>
      <c r="R2355" s="89"/>
      <c r="U2355" s="11" t="str">
        <f t="shared" si="259"/>
        <v/>
      </c>
      <c r="V2355" s="12" t="str">
        <f t="shared" si="260"/>
        <v/>
      </c>
      <c r="Z2355" s="15"/>
    </row>
    <row r="2356" spans="1:26" x14ac:dyDescent="0.25">
      <c r="A2356" s="15" t="str">
        <f>IF(C2356="","",COUNTA($C$3:C2356))</f>
        <v/>
      </c>
      <c r="B2356" s="15" t="str">
        <f t="shared" si="261"/>
        <v/>
      </c>
      <c r="M2356" s="9"/>
      <c r="N2356" s="9"/>
      <c r="P2356" s="14"/>
      <c r="Q2356" s="85"/>
      <c r="R2356" s="89"/>
      <c r="U2356" s="11" t="str">
        <f t="shared" si="259"/>
        <v/>
      </c>
      <c r="V2356" s="12" t="str">
        <f t="shared" si="260"/>
        <v/>
      </c>
      <c r="Z2356" s="15"/>
    </row>
    <row r="2357" spans="1:26" x14ac:dyDescent="0.25">
      <c r="A2357" s="15" t="str">
        <f>IF(C2357="","",COUNTA($C$3:C2357))</f>
        <v/>
      </c>
      <c r="B2357" s="15" t="str">
        <f t="shared" si="261"/>
        <v/>
      </c>
      <c r="M2357" s="9"/>
      <c r="N2357" s="9"/>
      <c r="P2357" s="14"/>
      <c r="Q2357" s="85"/>
      <c r="R2357" s="89"/>
      <c r="U2357" s="11" t="str">
        <f t="shared" si="259"/>
        <v/>
      </c>
      <c r="V2357" s="12" t="str">
        <f t="shared" si="260"/>
        <v/>
      </c>
      <c r="Z2357" s="15"/>
    </row>
    <row r="2358" spans="1:26" x14ac:dyDescent="0.25">
      <c r="A2358" s="15" t="str">
        <f>IF(C2358="","",COUNTA($C$3:C2358))</f>
        <v/>
      </c>
      <c r="B2358" s="15" t="str">
        <f t="shared" si="261"/>
        <v/>
      </c>
      <c r="M2358" s="9"/>
      <c r="N2358" s="9"/>
      <c r="P2358" s="14"/>
      <c r="Q2358" s="85"/>
      <c r="R2358" s="89"/>
      <c r="U2358" s="11" t="str">
        <f t="shared" si="259"/>
        <v/>
      </c>
      <c r="V2358" s="12" t="str">
        <f t="shared" si="260"/>
        <v/>
      </c>
      <c r="Z2358" s="15"/>
    </row>
    <row r="2359" spans="1:26" x14ac:dyDescent="0.25">
      <c r="A2359" s="15" t="str">
        <f>IF(C2359="","",COUNTA($C$3:C2359))</f>
        <v/>
      </c>
      <c r="B2359" s="15" t="str">
        <f t="shared" si="261"/>
        <v/>
      </c>
      <c r="M2359" s="9"/>
      <c r="N2359" s="9"/>
      <c r="P2359" s="14"/>
      <c r="Q2359" s="85"/>
      <c r="R2359" s="89"/>
      <c r="U2359" s="11" t="str">
        <f t="shared" si="259"/>
        <v/>
      </c>
      <c r="V2359" s="12" t="str">
        <f t="shared" si="260"/>
        <v/>
      </c>
      <c r="Z2359" s="15"/>
    </row>
    <row r="2360" spans="1:26" x14ac:dyDescent="0.25">
      <c r="A2360" s="15" t="str">
        <f>IF(C2360="","",COUNTA($C$3:C2360))</f>
        <v/>
      </c>
      <c r="B2360" s="15" t="str">
        <f t="shared" si="261"/>
        <v/>
      </c>
      <c r="M2360" s="9"/>
      <c r="N2360" s="9"/>
      <c r="P2360" s="14"/>
      <c r="Q2360" s="85"/>
      <c r="R2360" s="89"/>
      <c r="U2360" s="11" t="str">
        <f t="shared" si="259"/>
        <v/>
      </c>
      <c r="V2360" s="12" t="str">
        <f t="shared" si="260"/>
        <v/>
      </c>
      <c r="Z2360" s="15"/>
    </row>
    <row r="2361" spans="1:26" x14ac:dyDescent="0.25">
      <c r="A2361" s="15" t="str">
        <f>IF(C2361="","",COUNTA($C$3:C2361))</f>
        <v/>
      </c>
      <c r="B2361" s="15" t="str">
        <f t="shared" si="261"/>
        <v/>
      </c>
      <c r="M2361" s="9"/>
      <c r="N2361" s="9"/>
      <c r="P2361" s="14"/>
      <c r="Q2361" s="85"/>
      <c r="R2361" s="89"/>
      <c r="U2361" s="11" t="str">
        <f t="shared" si="259"/>
        <v/>
      </c>
      <c r="V2361" s="12" t="str">
        <f t="shared" si="260"/>
        <v/>
      </c>
      <c r="Z2361" s="15"/>
    </row>
    <row r="2362" spans="1:26" x14ac:dyDescent="0.25">
      <c r="A2362" s="15" t="str">
        <f>IF(C2362="","",COUNTA($C$3:C2362))</f>
        <v/>
      </c>
      <c r="B2362" s="15" t="str">
        <f t="shared" si="261"/>
        <v/>
      </c>
      <c r="M2362" s="9"/>
      <c r="N2362" s="9"/>
      <c r="P2362" s="14"/>
      <c r="Q2362" s="85"/>
      <c r="R2362" s="89"/>
      <c r="U2362" s="11" t="str">
        <f t="shared" si="259"/>
        <v/>
      </c>
      <c r="V2362" s="12" t="str">
        <f t="shared" si="260"/>
        <v/>
      </c>
      <c r="Z2362" s="15"/>
    </row>
    <row r="2363" spans="1:26" x14ac:dyDescent="0.25">
      <c r="A2363" s="15" t="str">
        <f>IF(C2363="","",COUNTA($C$3:C2363))</f>
        <v/>
      </c>
      <c r="B2363" s="15" t="str">
        <f t="shared" si="261"/>
        <v/>
      </c>
      <c r="M2363" s="9"/>
      <c r="N2363" s="9"/>
      <c r="P2363" s="14"/>
      <c r="Q2363" s="85"/>
      <c r="R2363" s="89"/>
      <c r="U2363" s="11" t="str">
        <f t="shared" si="259"/>
        <v/>
      </c>
      <c r="V2363" s="12" t="str">
        <f t="shared" si="260"/>
        <v/>
      </c>
      <c r="Z2363" s="15"/>
    </row>
    <row r="2364" spans="1:26" x14ac:dyDescent="0.25">
      <c r="A2364" s="15" t="str">
        <f>IF(C2364="","",COUNTA($C$3:C2364))</f>
        <v/>
      </c>
      <c r="B2364" s="15" t="str">
        <f t="shared" si="261"/>
        <v/>
      </c>
      <c r="M2364" s="9"/>
      <c r="N2364" s="9"/>
      <c r="P2364" s="14"/>
      <c r="Q2364" s="85"/>
      <c r="R2364" s="89"/>
      <c r="U2364" s="11" t="str">
        <f t="shared" si="259"/>
        <v/>
      </c>
      <c r="V2364" s="12" t="str">
        <f t="shared" si="260"/>
        <v/>
      </c>
      <c r="Z2364" s="15"/>
    </row>
    <row r="2365" spans="1:26" x14ac:dyDescent="0.25">
      <c r="A2365" s="15" t="str">
        <f>IF(C2365="","",COUNTA($C$3:C2365))</f>
        <v/>
      </c>
      <c r="B2365" s="15" t="str">
        <f t="shared" si="261"/>
        <v/>
      </c>
      <c r="M2365" s="9"/>
      <c r="N2365" s="9"/>
      <c r="P2365" s="14"/>
      <c r="Q2365" s="85"/>
      <c r="R2365" s="89"/>
      <c r="U2365" s="11" t="str">
        <f t="shared" si="259"/>
        <v/>
      </c>
      <c r="V2365" s="12" t="str">
        <f t="shared" si="260"/>
        <v/>
      </c>
      <c r="Z2365" s="15"/>
    </row>
    <row r="2366" spans="1:26" x14ac:dyDescent="0.25">
      <c r="A2366" s="15" t="str">
        <f>IF(C2366="","",COUNTA($C$3:C2366))</f>
        <v/>
      </c>
      <c r="B2366" s="15" t="str">
        <f t="shared" si="261"/>
        <v/>
      </c>
      <c r="M2366" s="9"/>
      <c r="N2366" s="9"/>
      <c r="P2366" s="14"/>
      <c r="Q2366" s="85"/>
      <c r="R2366" s="89"/>
      <c r="U2366" s="11" t="str">
        <f t="shared" si="259"/>
        <v/>
      </c>
      <c r="V2366" s="12" t="str">
        <f t="shared" si="260"/>
        <v/>
      </c>
      <c r="Z2366" s="15"/>
    </row>
    <row r="2367" spans="1:26" x14ac:dyDescent="0.25">
      <c r="A2367" s="15" t="str">
        <f>IF(C2367="","",COUNTA($C$3:C2367))</f>
        <v/>
      </c>
      <c r="B2367" s="15" t="str">
        <f t="shared" si="261"/>
        <v/>
      </c>
      <c r="M2367" s="9"/>
      <c r="N2367" s="9"/>
      <c r="P2367" s="14"/>
      <c r="Q2367" s="85"/>
      <c r="R2367" s="89"/>
      <c r="U2367" s="11" t="str">
        <f t="shared" si="259"/>
        <v/>
      </c>
      <c r="V2367" s="12" t="str">
        <f t="shared" si="260"/>
        <v/>
      </c>
      <c r="Z2367" s="15"/>
    </row>
    <row r="2368" spans="1:26" x14ac:dyDescent="0.25">
      <c r="A2368" s="15" t="str">
        <f>IF(C2368="","",COUNTA($C$3:C2368))</f>
        <v/>
      </c>
      <c r="B2368" s="15" t="str">
        <f t="shared" si="261"/>
        <v/>
      </c>
      <c r="M2368" s="9"/>
      <c r="N2368" s="9"/>
      <c r="P2368" s="14"/>
      <c r="Q2368" s="85"/>
      <c r="R2368" s="89"/>
      <c r="U2368" s="11" t="str">
        <f t="shared" si="259"/>
        <v/>
      </c>
      <c r="V2368" s="12" t="str">
        <f t="shared" si="260"/>
        <v/>
      </c>
      <c r="Z2368" s="15"/>
    </row>
    <row r="2369" spans="1:26" x14ac:dyDescent="0.25">
      <c r="A2369" s="15" t="str">
        <f>IF(C2369="","",COUNTA($C$3:C2369))</f>
        <v/>
      </c>
      <c r="B2369" s="15" t="str">
        <f t="shared" si="261"/>
        <v/>
      </c>
      <c r="M2369" s="9"/>
      <c r="N2369" s="9"/>
      <c r="P2369" s="14"/>
      <c r="Q2369" s="85"/>
      <c r="R2369" s="89"/>
      <c r="U2369" s="11" t="str">
        <f t="shared" si="259"/>
        <v/>
      </c>
      <c r="V2369" s="12" t="str">
        <f t="shared" si="260"/>
        <v/>
      </c>
      <c r="Z2369" s="15"/>
    </row>
    <row r="2370" spans="1:26" x14ac:dyDescent="0.25">
      <c r="A2370" s="15" t="str">
        <f>IF(C2370="","",COUNTA($C$3:C2370))</f>
        <v/>
      </c>
      <c r="B2370" s="15" t="str">
        <f t="shared" si="261"/>
        <v/>
      </c>
      <c r="M2370" s="9"/>
      <c r="N2370" s="9"/>
      <c r="P2370" s="14"/>
      <c r="Q2370" s="85"/>
      <c r="R2370" s="89"/>
      <c r="U2370" s="11" t="str">
        <f t="shared" ref="U2370:U2433" si="262">IF(S2370="","",(S2370-T2370))</f>
        <v/>
      </c>
      <c r="V2370" s="12" t="str">
        <f t="shared" ref="V2370:V2433" si="263">IF(U2370="","",(U2370/T2370))</f>
        <v/>
      </c>
      <c r="Z2370" s="15"/>
    </row>
    <row r="2371" spans="1:26" x14ac:dyDescent="0.25">
      <c r="A2371" s="15" t="str">
        <f>IF(C2371="","",COUNTA($C$3:C2371))</f>
        <v/>
      </c>
      <c r="B2371" s="15" t="str">
        <f t="shared" ref="B2371:B2434" si="264">IF(C2371="","",TEXT(C2371,"mmmm"))</f>
        <v/>
      </c>
      <c r="M2371" s="9"/>
      <c r="N2371" s="9"/>
      <c r="P2371" s="14"/>
      <c r="Q2371" s="85"/>
      <c r="R2371" s="89"/>
      <c r="U2371" s="11" t="str">
        <f t="shared" si="262"/>
        <v/>
      </c>
      <c r="V2371" s="12" t="str">
        <f t="shared" si="263"/>
        <v/>
      </c>
      <c r="Z2371" s="15"/>
    </row>
    <row r="2372" spans="1:26" x14ac:dyDescent="0.25">
      <c r="A2372" s="15" t="str">
        <f>IF(C2372="","",COUNTA($C$3:C2372))</f>
        <v/>
      </c>
      <c r="B2372" s="15" t="str">
        <f t="shared" si="264"/>
        <v/>
      </c>
      <c r="M2372" s="9"/>
      <c r="N2372" s="9"/>
      <c r="P2372" s="14"/>
      <c r="Q2372" s="85"/>
      <c r="R2372" s="89"/>
      <c r="U2372" s="11" t="str">
        <f t="shared" si="262"/>
        <v/>
      </c>
      <c r="V2372" s="12" t="str">
        <f t="shared" si="263"/>
        <v/>
      </c>
      <c r="Z2372" s="15"/>
    </row>
    <row r="2373" spans="1:26" x14ac:dyDescent="0.25">
      <c r="A2373" s="15" t="str">
        <f>IF(C2373="","",COUNTA($C$3:C2373))</f>
        <v/>
      </c>
      <c r="B2373" s="15" t="str">
        <f t="shared" si="264"/>
        <v/>
      </c>
      <c r="M2373" s="9"/>
      <c r="N2373" s="9"/>
      <c r="P2373" s="14"/>
      <c r="Q2373" s="85"/>
      <c r="R2373" s="89"/>
      <c r="U2373" s="11" t="str">
        <f t="shared" si="262"/>
        <v/>
      </c>
      <c r="V2373" s="12" t="str">
        <f t="shared" si="263"/>
        <v/>
      </c>
      <c r="Z2373" s="15"/>
    </row>
    <row r="2374" spans="1:26" x14ac:dyDescent="0.25">
      <c r="A2374" s="15" t="str">
        <f>IF(C2374="","",COUNTA($C$3:C2374))</f>
        <v/>
      </c>
      <c r="B2374" s="15" t="str">
        <f t="shared" si="264"/>
        <v/>
      </c>
      <c r="M2374" s="9"/>
      <c r="N2374" s="9"/>
      <c r="P2374" s="14"/>
      <c r="Q2374" s="85"/>
      <c r="R2374" s="89"/>
      <c r="U2374" s="11" t="str">
        <f t="shared" si="262"/>
        <v/>
      </c>
      <c r="V2374" s="12" t="str">
        <f t="shared" si="263"/>
        <v/>
      </c>
      <c r="Z2374" s="15"/>
    </row>
    <row r="2375" spans="1:26" x14ac:dyDescent="0.25">
      <c r="A2375" s="15" t="str">
        <f>IF(C2375="","",COUNTA($C$3:C2375))</f>
        <v/>
      </c>
      <c r="B2375" s="15" t="str">
        <f t="shared" si="264"/>
        <v/>
      </c>
      <c r="M2375" s="9"/>
      <c r="N2375" s="9"/>
      <c r="P2375" s="14"/>
      <c r="Q2375" s="85"/>
      <c r="R2375" s="89"/>
      <c r="U2375" s="11" t="str">
        <f t="shared" si="262"/>
        <v/>
      </c>
      <c r="V2375" s="12" t="str">
        <f t="shared" si="263"/>
        <v/>
      </c>
      <c r="Z2375" s="15"/>
    </row>
    <row r="2376" spans="1:26" x14ac:dyDescent="0.25">
      <c r="A2376" s="15" t="str">
        <f>IF(C2376="","",COUNTA($C$3:C2376))</f>
        <v/>
      </c>
      <c r="B2376" s="15" t="str">
        <f t="shared" si="264"/>
        <v/>
      </c>
      <c r="M2376" s="9"/>
      <c r="N2376" s="9"/>
      <c r="P2376" s="14"/>
      <c r="Q2376" s="85"/>
      <c r="R2376" s="89"/>
      <c r="U2376" s="11" t="str">
        <f t="shared" si="262"/>
        <v/>
      </c>
      <c r="V2376" s="12" t="str">
        <f t="shared" si="263"/>
        <v/>
      </c>
      <c r="Z2376" s="15"/>
    </row>
    <row r="2377" spans="1:26" x14ac:dyDescent="0.25">
      <c r="A2377" s="15" t="str">
        <f>IF(C2377="","",COUNTA($C$3:C2377))</f>
        <v/>
      </c>
      <c r="B2377" s="15" t="str">
        <f t="shared" si="264"/>
        <v/>
      </c>
      <c r="M2377" s="9"/>
      <c r="N2377" s="9"/>
      <c r="P2377" s="14"/>
      <c r="Q2377" s="85"/>
      <c r="R2377" s="89"/>
      <c r="U2377" s="11" t="str">
        <f t="shared" si="262"/>
        <v/>
      </c>
      <c r="V2377" s="12" t="str">
        <f t="shared" si="263"/>
        <v/>
      </c>
      <c r="Z2377" s="15"/>
    </row>
    <row r="2378" spans="1:26" x14ac:dyDescent="0.25">
      <c r="A2378" s="15" t="str">
        <f>IF(C2378="","",COUNTA($C$3:C2378))</f>
        <v/>
      </c>
      <c r="B2378" s="15" t="str">
        <f t="shared" si="264"/>
        <v/>
      </c>
      <c r="M2378" s="9"/>
      <c r="N2378" s="9"/>
      <c r="P2378" s="14"/>
      <c r="Q2378" s="85"/>
      <c r="R2378" s="89"/>
      <c r="U2378" s="11" t="str">
        <f t="shared" si="262"/>
        <v/>
      </c>
      <c r="V2378" s="12" t="str">
        <f t="shared" si="263"/>
        <v/>
      </c>
      <c r="Z2378" s="15"/>
    </row>
    <row r="2379" spans="1:26" x14ac:dyDescent="0.25">
      <c r="A2379" s="15" t="str">
        <f>IF(C2379="","",COUNTA($C$3:C2379))</f>
        <v/>
      </c>
      <c r="B2379" s="15" t="str">
        <f t="shared" si="264"/>
        <v/>
      </c>
      <c r="M2379" s="9"/>
      <c r="N2379" s="9"/>
      <c r="P2379" s="14"/>
      <c r="Q2379" s="85"/>
      <c r="R2379" s="89"/>
      <c r="U2379" s="11" t="str">
        <f t="shared" si="262"/>
        <v/>
      </c>
      <c r="V2379" s="12" t="str">
        <f t="shared" si="263"/>
        <v/>
      </c>
      <c r="Z2379" s="15"/>
    </row>
    <row r="2380" spans="1:26" x14ac:dyDescent="0.25">
      <c r="A2380" s="15" t="str">
        <f>IF(C2380="","",COUNTA($C$3:C2380))</f>
        <v/>
      </c>
      <c r="B2380" s="15" t="str">
        <f t="shared" si="264"/>
        <v/>
      </c>
      <c r="M2380" s="9"/>
      <c r="N2380" s="9"/>
      <c r="P2380" s="14"/>
      <c r="Q2380" s="85"/>
      <c r="R2380" s="89"/>
      <c r="U2380" s="11" t="str">
        <f t="shared" si="262"/>
        <v/>
      </c>
      <c r="V2380" s="12" t="str">
        <f t="shared" si="263"/>
        <v/>
      </c>
      <c r="Z2380" s="15"/>
    </row>
    <row r="2381" spans="1:26" x14ac:dyDescent="0.25">
      <c r="A2381" s="15" t="str">
        <f>IF(C2381="","",COUNTA($C$3:C2381))</f>
        <v/>
      </c>
      <c r="B2381" s="15" t="str">
        <f t="shared" si="264"/>
        <v/>
      </c>
      <c r="M2381" s="9"/>
      <c r="N2381" s="9"/>
      <c r="P2381" s="14"/>
      <c r="Q2381" s="85"/>
      <c r="R2381" s="89"/>
      <c r="U2381" s="11" t="str">
        <f t="shared" si="262"/>
        <v/>
      </c>
      <c r="V2381" s="12" t="str">
        <f t="shared" si="263"/>
        <v/>
      </c>
      <c r="Z2381" s="15"/>
    </row>
    <row r="2382" spans="1:26" x14ac:dyDescent="0.25">
      <c r="A2382" s="15" t="str">
        <f>IF(C2382="","",COUNTA($C$3:C2382))</f>
        <v/>
      </c>
      <c r="B2382" s="15" t="str">
        <f t="shared" si="264"/>
        <v/>
      </c>
      <c r="M2382" s="9"/>
      <c r="N2382" s="9"/>
      <c r="P2382" s="14"/>
      <c r="Q2382" s="85"/>
      <c r="R2382" s="89"/>
      <c r="U2382" s="11" t="str">
        <f t="shared" si="262"/>
        <v/>
      </c>
      <c r="V2382" s="12" t="str">
        <f t="shared" si="263"/>
        <v/>
      </c>
      <c r="Z2382" s="15"/>
    </row>
    <row r="2383" spans="1:26" x14ac:dyDescent="0.25">
      <c r="A2383" s="15" t="str">
        <f>IF(C2383="","",COUNTA($C$3:C2383))</f>
        <v/>
      </c>
      <c r="B2383" s="15" t="str">
        <f t="shared" si="264"/>
        <v/>
      </c>
      <c r="M2383" s="9"/>
      <c r="N2383" s="9"/>
      <c r="P2383" s="14"/>
      <c r="Q2383" s="85"/>
      <c r="R2383" s="89"/>
      <c r="U2383" s="11" t="str">
        <f t="shared" si="262"/>
        <v/>
      </c>
      <c r="V2383" s="12" t="str">
        <f t="shared" si="263"/>
        <v/>
      </c>
      <c r="Z2383" s="15"/>
    </row>
    <row r="2384" spans="1:26" x14ac:dyDescent="0.25">
      <c r="A2384" s="15" t="str">
        <f>IF(C2384="","",COUNTA($C$3:C2384))</f>
        <v/>
      </c>
      <c r="B2384" s="15" t="str">
        <f t="shared" si="264"/>
        <v/>
      </c>
      <c r="M2384" s="9"/>
      <c r="N2384" s="9"/>
      <c r="P2384" s="14"/>
      <c r="Q2384" s="85"/>
      <c r="R2384" s="89"/>
      <c r="U2384" s="11" t="str">
        <f t="shared" si="262"/>
        <v/>
      </c>
      <c r="V2384" s="12" t="str">
        <f t="shared" si="263"/>
        <v/>
      </c>
      <c r="Z2384" s="15"/>
    </row>
    <row r="2385" spans="1:26" x14ac:dyDescent="0.25">
      <c r="A2385" s="15" t="str">
        <f>IF(C2385="","",COUNTA($C$3:C2385))</f>
        <v/>
      </c>
      <c r="B2385" s="15" t="str">
        <f t="shared" si="264"/>
        <v/>
      </c>
      <c r="M2385" s="9"/>
      <c r="N2385" s="9"/>
      <c r="P2385" s="14"/>
      <c r="Q2385" s="85"/>
      <c r="R2385" s="89"/>
      <c r="U2385" s="11" t="str">
        <f t="shared" si="262"/>
        <v/>
      </c>
      <c r="V2385" s="12" t="str">
        <f t="shared" si="263"/>
        <v/>
      </c>
      <c r="Z2385" s="15"/>
    </row>
    <row r="2386" spans="1:26" x14ac:dyDescent="0.25">
      <c r="A2386" s="15" t="str">
        <f>IF(C2386="","",COUNTA($C$3:C2386))</f>
        <v/>
      </c>
      <c r="B2386" s="15" t="str">
        <f t="shared" si="264"/>
        <v/>
      </c>
      <c r="M2386" s="9"/>
      <c r="N2386" s="9"/>
      <c r="P2386" s="14"/>
      <c r="Q2386" s="85"/>
      <c r="R2386" s="89"/>
      <c r="U2386" s="11" t="str">
        <f t="shared" si="262"/>
        <v/>
      </c>
      <c r="V2386" s="12" t="str">
        <f t="shared" si="263"/>
        <v/>
      </c>
      <c r="Z2386" s="15"/>
    </row>
    <row r="2387" spans="1:26" x14ac:dyDescent="0.25">
      <c r="A2387" s="15" t="str">
        <f>IF(C2387="","",COUNTA($C$3:C2387))</f>
        <v/>
      </c>
      <c r="B2387" s="15" t="str">
        <f t="shared" si="264"/>
        <v/>
      </c>
      <c r="M2387" s="9"/>
      <c r="N2387" s="9"/>
      <c r="P2387" s="14"/>
      <c r="Q2387" s="85"/>
      <c r="R2387" s="89"/>
      <c r="U2387" s="11" t="str">
        <f t="shared" si="262"/>
        <v/>
      </c>
      <c r="V2387" s="12" t="str">
        <f t="shared" si="263"/>
        <v/>
      </c>
      <c r="Z2387" s="15"/>
    </row>
    <row r="2388" spans="1:26" x14ac:dyDescent="0.25">
      <c r="A2388" s="15" t="str">
        <f>IF(C2388="","",COUNTA($C$3:C2388))</f>
        <v/>
      </c>
      <c r="B2388" s="15" t="str">
        <f t="shared" si="264"/>
        <v/>
      </c>
      <c r="M2388" s="9"/>
      <c r="N2388" s="9"/>
      <c r="P2388" s="14"/>
      <c r="Q2388" s="85"/>
      <c r="R2388" s="89"/>
      <c r="U2388" s="11" t="str">
        <f t="shared" si="262"/>
        <v/>
      </c>
      <c r="V2388" s="12" t="str">
        <f t="shared" si="263"/>
        <v/>
      </c>
      <c r="Z2388" s="15"/>
    </row>
    <row r="2389" spans="1:26" x14ac:dyDescent="0.25">
      <c r="A2389" s="15" t="str">
        <f>IF(C2389="","",COUNTA($C$3:C2389))</f>
        <v/>
      </c>
      <c r="B2389" s="15" t="str">
        <f t="shared" si="264"/>
        <v/>
      </c>
      <c r="M2389" s="9"/>
      <c r="N2389" s="9"/>
      <c r="P2389" s="14"/>
      <c r="Q2389" s="85"/>
      <c r="R2389" s="89"/>
      <c r="U2389" s="11" t="str">
        <f t="shared" si="262"/>
        <v/>
      </c>
      <c r="V2389" s="12" t="str">
        <f t="shared" si="263"/>
        <v/>
      </c>
      <c r="Z2389" s="15"/>
    </row>
    <row r="2390" spans="1:26" x14ac:dyDescent="0.25">
      <c r="A2390" s="15" t="str">
        <f>IF(C2390="","",COUNTA($C$3:C2390))</f>
        <v/>
      </c>
      <c r="B2390" s="15" t="str">
        <f t="shared" si="264"/>
        <v/>
      </c>
      <c r="M2390" s="9"/>
      <c r="N2390" s="9"/>
      <c r="P2390" s="14"/>
      <c r="Q2390" s="85"/>
      <c r="R2390" s="89"/>
      <c r="U2390" s="11" t="str">
        <f t="shared" si="262"/>
        <v/>
      </c>
      <c r="V2390" s="12" t="str">
        <f t="shared" si="263"/>
        <v/>
      </c>
      <c r="Z2390" s="15"/>
    </row>
    <row r="2391" spans="1:26" x14ac:dyDescent="0.25">
      <c r="A2391" s="15" t="str">
        <f>IF(C2391="","",COUNTA($C$3:C2391))</f>
        <v/>
      </c>
      <c r="B2391" s="15" t="str">
        <f t="shared" si="264"/>
        <v/>
      </c>
      <c r="M2391" s="9"/>
      <c r="N2391" s="9"/>
      <c r="P2391" s="14"/>
      <c r="Q2391" s="85"/>
      <c r="R2391" s="89"/>
      <c r="U2391" s="11" t="str">
        <f t="shared" si="262"/>
        <v/>
      </c>
      <c r="V2391" s="12" t="str">
        <f t="shared" si="263"/>
        <v/>
      </c>
      <c r="Z2391" s="15"/>
    </row>
    <row r="2392" spans="1:26" x14ac:dyDescent="0.25">
      <c r="A2392" s="15" t="str">
        <f>IF(C2392="","",COUNTA($C$3:C2392))</f>
        <v/>
      </c>
      <c r="B2392" s="15" t="str">
        <f t="shared" si="264"/>
        <v/>
      </c>
      <c r="M2392" s="9"/>
      <c r="N2392" s="9"/>
      <c r="P2392" s="14"/>
      <c r="Q2392" s="85"/>
      <c r="R2392" s="89"/>
      <c r="U2392" s="11" t="str">
        <f t="shared" si="262"/>
        <v/>
      </c>
      <c r="V2392" s="12" t="str">
        <f t="shared" si="263"/>
        <v/>
      </c>
      <c r="Z2392" s="15"/>
    </row>
    <row r="2393" spans="1:26" x14ac:dyDescent="0.25">
      <c r="A2393" s="15" t="str">
        <f>IF(C2393="","",COUNTA($C$3:C2393))</f>
        <v/>
      </c>
      <c r="B2393" s="15" t="str">
        <f t="shared" si="264"/>
        <v/>
      </c>
      <c r="M2393" s="9"/>
      <c r="N2393" s="9"/>
      <c r="P2393" s="14"/>
      <c r="Q2393" s="85"/>
      <c r="R2393" s="89"/>
      <c r="U2393" s="11" t="str">
        <f t="shared" si="262"/>
        <v/>
      </c>
      <c r="V2393" s="12" t="str">
        <f t="shared" si="263"/>
        <v/>
      </c>
      <c r="Z2393" s="15"/>
    </row>
    <row r="2394" spans="1:26" x14ac:dyDescent="0.25">
      <c r="A2394" s="15" t="str">
        <f>IF(C2394="","",COUNTA($C$3:C2394))</f>
        <v/>
      </c>
      <c r="B2394" s="15" t="str">
        <f t="shared" si="264"/>
        <v/>
      </c>
      <c r="M2394" s="9"/>
      <c r="N2394" s="9"/>
      <c r="P2394" s="14"/>
      <c r="Q2394" s="85"/>
      <c r="R2394" s="89"/>
      <c r="U2394" s="11" t="str">
        <f t="shared" si="262"/>
        <v/>
      </c>
      <c r="V2394" s="12" t="str">
        <f t="shared" si="263"/>
        <v/>
      </c>
      <c r="Z2394" s="15"/>
    </row>
    <row r="2395" spans="1:26" x14ac:dyDescent="0.25">
      <c r="A2395" s="15" t="str">
        <f>IF(C2395="","",COUNTA($C$3:C2395))</f>
        <v/>
      </c>
      <c r="B2395" s="15" t="str">
        <f t="shared" si="264"/>
        <v/>
      </c>
      <c r="M2395" s="9"/>
      <c r="N2395" s="9"/>
      <c r="P2395" s="14"/>
      <c r="Q2395" s="85"/>
      <c r="R2395" s="89"/>
      <c r="U2395" s="11" t="str">
        <f t="shared" si="262"/>
        <v/>
      </c>
      <c r="V2395" s="12" t="str">
        <f t="shared" si="263"/>
        <v/>
      </c>
      <c r="Z2395" s="15"/>
    </row>
    <row r="2396" spans="1:26" x14ac:dyDescent="0.25">
      <c r="A2396" s="15" t="str">
        <f>IF(C2396="","",COUNTA($C$3:C2396))</f>
        <v/>
      </c>
      <c r="B2396" s="15" t="str">
        <f t="shared" si="264"/>
        <v/>
      </c>
      <c r="M2396" s="9"/>
      <c r="N2396" s="9"/>
      <c r="P2396" s="14"/>
      <c r="Q2396" s="85"/>
      <c r="R2396" s="89"/>
      <c r="U2396" s="11" t="str">
        <f t="shared" si="262"/>
        <v/>
      </c>
      <c r="V2396" s="12" t="str">
        <f t="shared" si="263"/>
        <v/>
      </c>
      <c r="Z2396" s="15"/>
    </row>
    <row r="2397" spans="1:26" x14ac:dyDescent="0.25">
      <c r="A2397" s="15" t="str">
        <f>IF(C2397="","",COUNTA($C$3:C2397))</f>
        <v/>
      </c>
      <c r="B2397" s="15" t="str">
        <f t="shared" si="264"/>
        <v/>
      </c>
      <c r="M2397" s="9"/>
      <c r="N2397" s="9"/>
      <c r="P2397" s="14"/>
      <c r="Q2397" s="85"/>
      <c r="R2397" s="89"/>
      <c r="U2397" s="11" t="str">
        <f t="shared" si="262"/>
        <v/>
      </c>
      <c r="V2397" s="12" t="str">
        <f t="shared" si="263"/>
        <v/>
      </c>
      <c r="Z2397" s="15"/>
    </row>
    <row r="2398" spans="1:26" x14ac:dyDescent="0.25">
      <c r="A2398" s="15" t="str">
        <f>IF(C2398="","",COUNTA($C$3:C2398))</f>
        <v/>
      </c>
      <c r="B2398" s="15" t="str">
        <f t="shared" si="264"/>
        <v/>
      </c>
      <c r="M2398" s="9"/>
      <c r="N2398" s="9"/>
      <c r="P2398" s="14"/>
      <c r="Q2398" s="85"/>
      <c r="R2398" s="89"/>
      <c r="U2398" s="11" t="str">
        <f t="shared" si="262"/>
        <v/>
      </c>
      <c r="V2398" s="12" t="str">
        <f t="shared" si="263"/>
        <v/>
      </c>
      <c r="Z2398" s="15"/>
    </row>
    <row r="2399" spans="1:26" x14ac:dyDescent="0.25">
      <c r="A2399" s="15" t="str">
        <f>IF(C2399="","",COUNTA($C$3:C2399))</f>
        <v/>
      </c>
      <c r="B2399" s="15" t="str">
        <f t="shared" si="264"/>
        <v/>
      </c>
      <c r="M2399" s="9"/>
      <c r="N2399" s="9"/>
      <c r="P2399" s="14"/>
      <c r="Q2399" s="85"/>
      <c r="R2399" s="89"/>
      <c r="U2399" s="11" t="str">
        <f t="shared" si="262"/>
        <v/>
      </c>
      <c r="V2399" s="12" t="str">
        <f t="shared" si="263"/>
        <v/>
      </c>
      <c r="Z2399" s="15"/>
    </row>
    <row r="2400" spans="1:26" x14ac:dyDescent="0.25">
      <c r="A2400" s="15" t="str">
        <f>IF(C2400="","",COUNTA($C$3:C2400))</f>
        <v/>
      </c>
      <c r="B2400" s="15" t="str">
        <f t="shared" si="264"/>
        <v/>
      </c>
      <c r="M2400" s="9"/>
      <c r="N2400" s="9"/>
      <c r="P2400" s="14"/>
      <c r="Q2400" s="85"/>
      <c r="R2400" s="89"/>
      <c r="U2400" s="11" t="str">
        <f t="shared" si="262"/>
        <v/>
      </c>
      <c r="V2400" s="12" t="str">
        <f t="shared" si="263"/>
        <v/>
      </c>
      <c r="Z2400" s="15"/>
    </row>
    <row r="2401" spans="1:26" x14ac:dyDescent="0.25">
      <c r="A2401" s="15" t="str">
        <f>IF(C2401="","",COUNTA($C$3:C2401))</f>
        <v/>
      </c>
      <c r="B2401" s="15" t="str">
        <f t="shared" si="264"/>
        <v/>
      </c>
      <c r="M2401" s="9"/>
      <c r="N2401" s="9"/>
      <c r="P2401" s="14"/>
      <c r="Q2401" s="85"/>
      <c r="R2401" s="89"/>
      <c r="U2401" s="11" t="str">
        <f t="shared" si="262"/>
        <v/>
      </c>
      <c r="V2401" s="12" t="str">
        <f t="shared" si="263"/>
        <v/>
      </c>
      <c r="Z2401" s="15"/>
    </row>
    <row r="2402" spans="1:26" x14ac:dyDescent="0.25">
      <c r="A2402" s="15" t="str">
        <f>IF(C2402="","",COUNTA($C$3:C2402))</f>
        <v/>
      </c>
      <c r="B2402" s="15" t="str">
        <f t="shared" si="264"/>
        <v/>
      </c>
      <c r="M2402" s="9"/>
      <c r="N2402" s="9"/>
      <c r="P2402" s="14"/>
      <c r="Q2402" s="85"/>
      <c r="R2402" s="89"/>
      <c r="U2402" s="11" t="str">
        <f t="shared" si="262"/>
        <v/>
      </c>
      <c r="V2402" s="12" t="str">
        <f t="shared" si="263"/>
        <v/>
      </c>
      <c r="Z2402" s="15"/>
    </row>
    <row r="2403" spans="1:26" x14ac:dyDescent="0.25">
      <c r="A2403" s="15" t="str">
        <f>IF(C2403="","",COUNTA($C$3:C2403))</f>
        <v/>
      </c>
      <c r="B2403" s="15" t="str">
        <f t="shared" si="264"/>
        <v/>
      </c>
      <c r="M2403" s="9"/>
      <c r="N2403" s="9"/>
      <c r="P2403" s="14"/>
      <c r="Q2403" s="85"/>
      <c r="R2403" s="89"/>
      <c r="U2403" s="11" t="str">
        <f t="shared" si="262"/>
        <v/>
      </c>
      <c r="V2403" s="12" t="str">
        <f t="shared" si="263"/>
        <v/>
      </c>
      <c r="Z2403" s="15"/>
    </row>
    <row r="2404" spans="1:26" x14ac:dyDescent="0.25">
      <c r="A2404" s="15" t="str">
        <f>IF(C2404="","",COUNTA($C$3:C2404))</f>
        <v/>
      </c>
      <c r="B2404" s="15" t="str">
        <f t="shared" si="264"/>
        <v/>
      </c>
      <c r="M2404" s="9"/>
      <c r="N2404" s="9"/>
      <c r="P2404" s="14"/>
      <c r="Q2404" s="85"/>
      <c r="R2404" s="89"/>
      <c r="U2404" s="11" t="str">
        <f t="shared" si="262"/>
        <v/>
      </c>
      <c r="V2404" s="12" t="str">
        <f t="shared" si="263"/>
        <v/>
      </c>
      <c r="Z2404" s="15"/>
    </row>
    <row r="2405" spans="1:26" x14ac:dyDescent="0.25">
      <c r="A2405" s="15" t="str">
        <f>IF(C2405="","",COUNTA($C$3:C2405))</f>
        <v/>
      </c>
      <c r="B2405" s="15" t="str">
        <f t="shared" si="264"/>
        <v/>
      </c>
      <c r="M2405" s="9"/>
      <c r="N2405" s="9"/>
      <c r="P2405" s="14"/>
      <c r="Q2405" s="85"/>
      <c r="R2405" s="89"/>
      <c r="U2405" s="11" t="str">
        <f t="shared" si="262"/>
        <v/>
      </c>
      <c r="V2405" s="12" t="str">
        <f t="shared" si="263"/>
        <v/>
      </c>
      <c r="Z2405" s="15"/>
    </row>
    <row r="2406" spans="1:26" x14ac:dyDescent="0.25">
      <c r="A2406" s="15" t="str">
        <f>IF(C2406="","",COUNTA($C$3:C2406))</f>
        <v/>
      </c>
      <c r="B2406" s="15" t="str">
        <f t="shared" si="264"/>
        <v/>
      </c>
      <c r="M2406" s="9"/>
      <c r="N2406" s="9"/>
      <c r="P2406" s="14"/>
      <c r="Q2406" s="85"/>
      <c r="R2406" s="89"/>
      <c r="U2406" s="11" t="str">
        <f t="shared" si="262"/>
        <v/>
      </c>
      <c r="V2406" s="12" t="str">
        <f t="shared" si="263"/>
        <v/>
      </c>
      <c r="Z2406" s="15"/>
    </row>
    <row r="2407" spans="1:26" x14ac:dyDescent="0.25">
      <c r="A2407" s="15" t="str">
        <f>IF(C2407="","",COUNTA($C$3:C2407))</f>
        <v/>
      </c>
      <c r="B2407" s="15" t="str">
        <f t="shared" si="264"/>
        <v/>
      </c>
      <c r="M2407" s="9"/>
      <c r="N2407" s="9"/>
      <c r="P2407" s="14"/>
      <c r="Q2407" s="85"/>
      <c r="R2407" s="89"/>
      <c r="U2407" s="11" t="str">
        <f t="shared" si="262"/>
        <v/>
      </c>
      <c r="V2407" s="12" t="str">
        <f t="shared" si="263"/>
        <v/>
      </c>
      <c r="Z2407" s="15"/>
    </row>
    <row r="2408" spans="1:26" x14ac:dyDescent="0.25">
      <c r="A2408" s="15" t="str">
        <f>IF(C2408="","",COUNTA($C$3:C2408))</f>
        <v/>
      </c>
      <c r="B2408" s="15" t="str">
        <f t="shared" si="264"/>
        <v/>
      </c>
      <c r="M2408" s="9"/>
      <c r="N2408" s="9"/>
      <c r="P2408" s="14"/>
      <c r="Q2408" s="85"/>
      <c r="R2408" s="89"/>
      <c r="U2408" s="11" t="str">
        <f t="shared" si="262"/>
        <v/>
      </c>
      <c r="V2408" s="12" t="str">
        <f t="shared" si="263"/>
        <v/>
      </c>
      <c r="Z2408" s="15"/>
    </row>
    <row r="2409" spans="1:26" x14ac:dyDescent="0.25">
      <c r="A2409" s="15" t="str">
        <f>IF(C2409="","",COUNTA($C$3:C2409))</f>
        <v/>
      </c>
      <c r="B2409" s="15" t="str">
        <f t="shared" si="264"/>
        <v/>
      </c>
      <c r="M2409" s="9"/>
      <c r="N2409" s="9"/>
      <c r="P2409" s="14"/>
      <c r="Q2409" s="85"/>
      <c r="R2409" s="89"/>
      <c r="U2409" s="11" t="str">
        <f t="shared" si="262"/>
        <v/>
      </c>
      <c r="V2409" s="12" t="str">
        <f t="shared" si="263"/>
        <v/>
      </c>
      <c r="Z2409" s="15"/>
    </row>
    <row r="2410" spans="1:26" x14ac:dyDescent="0.25">
      <c r="A2410" s="15" t="str">
        <f>IF(C2410="","",COUNTA($C$3:C2410))</f>
        <v/>
      </c>
      <c r="B2410" s="15" t="str">
        <f t="shared" si="264"/>
        <v/>
      </c>
      <c r="M2410" s="9"/>
      <c r="N2410" s="9"/>
      <c r="P2410" s="14"/>
      <c r="Q2410" s="85"/>
      <c r="R2410" s="89"/>
      <c r="U2410" s="11" t="str">
        <f t="shared" si="262"/>
        <v/>
      </c>
      <c r="V2410" s="12" t="str">
        <f t="shared" si="263"/>
        <v/>
      </c>
      <c r="Z2410" s="15"/>
    </row>
    <row r="2411" spans="1:26" x14ac:dyDescent="0.25">
      <c r="A2411" s="15" t="str">
        <f>IF(C2411="","",COUNTA($C$3:C2411))</f>
        <v/>
      </c>
      <c r="B2411" s="15" t="str">
        <f t="shared" si="264"/>
        <v/>
      </c>
      <c r="M2411" s="9"/>
      <c r="N2411" s="9"/>
      <c r="P2411" s="14"/>
      <c r="Q2411" s="85"/>
      <c r="R2411" s="89"/>
      <c r="U2411" s="11" t="str">
        <f t="shared" si="262"/>
        <v/>
      </c>
      <c r="V2411" s="12" t="str">
        <f t="shared" si="263"/>
        <v/>
      </c>
      <c r="Z2411" s="15"/>
    </row>
    <row r="2412" spans="1:26" x14ac:dyDescent="0.25">
      <c r="A2412" s="15" t="str">
        <f>IF(C2412="","",COUNTA($C$3:C2412))</f>
        <v/>
      </c>
      <c r="B2412" s="15" t="str">
        <f t="shared" si="264"/>
        <v/>
      </c>
      <c r="M2412" s="9"/>
      <c r="N2412" s="9"/>
      <c r="P2412" s="14"/>
      <c r="Q2412" s="85"/>
      <c r="R2412" s="89"/>
      <c r="U2412" s="11" t="str">
        <f t="shared" si="262"/>
        <v/>
      </c>
      <c r="V2412" s="12" t="str">
        <f t="shared" si="263"/>
        <v/>
      </c>
      <c r="Z2412" s="15"/>
    </row>
    <row r="2413" spans="1:26" x14ac:dyDescent="0.25">
      <c r="A2413" s="15" t="str">
        <f>IF(C2413="","",COUNTA($C$3:C2413))</f>
        <v/>
      </c>
      <c r="B2413" s="15" t="str">
        <f t="shared" si="264"/>
        <v/>
      </c>
      <c r="M2413" s="9"/>
      <c r="N2413" s="9"/>
      <c r="P2413" s="14"/>
      <c r="Q2413" s="85"/>
      <c r="R2413" s="89"/>
      <c r="U2413" s="11" t="str">
        <f t="shared" si="262"/>
        <v/>
      </c>
      <c r="V2413" s="12" t="str">
        <f t="shared" si="263"/>
        <v/>
      </c>
      <c r="Z2413" s="15"/>
    </row>
    <row r="2414" spans="1:26" x14ac:dyDescent="0.25">
      <c r="A2414" s="15" t="str">
        <f>IF(C2414="","",COUNTA($C$3:C2414))</f>
        <v/>
      </c>
      <c r="B2414" s="15" t="str">
        <f t="shared" si="264"/>
        <v/>
      </c>
      <c r="M2414" s="9"/>
      <c r="N2414" s="9"/>
      <c r="P2414" s="14"/>
      <c r="Q2414" s="85"/>
      <c r="R2414" s="89"/>
      <c r="U2414" s="11" t="str">
        <f t="shared" si="262"/>
        <v/>
      </c>
      <c r="V2414" s="12" t="str">
        <f t="shared" si="263"/>
        <v/>
      </c>
      <c r="Z2414" s="15"/>
    </row>
    <row r="2415" spans="1:26" x14ac:dyDescent="0.25">
      <c r="A2415" s="15" t="str">
        <f>IF(C2415="","",COUNTA($C$3:C2415))</f>
        <v/>
      </c>
      <c r="B2415" s="15" t="str">
        <f t="shared" si="264"/>
        <v/>
      </c>
      <c r="M2415" s="9"/>
      <c r="N2415" s="9"/>
      <c r="P2415" s="14"/>
      <c r="Q2415" s="85"/>
      <c r="R2415" s="89"/>
      <c r="U2415" s="11" t="str">
        <f t="shared" si="262"/>
        <v/>
      </c>
      <c r="V2415" s="12" t="str">
        <f t="shared" si="263"/>
        <v/>
      </c>
      <c r="Z2415" s="15"/>
    </row>
    <row r="2416" spans="1:26" x14ac:dyDescent="0.25">
      <c r="A2416" s="15" t="str">
        <f>IF(C2416="","",COUNTA($C$3:C2416))</f>
        <v/>
      </c>
      <c r="B2416" s="15" t="str">
        <f t="shared" si="264"/>
        <v/>
      </c>
      <c r="M2416" s="9"/>
      <c r="N2416" s="9"/>
      <c r="P2416" s="14"/>
      <c r="Q2416" s="85"/>
      <c r="R2416" s="89"/>
      <c r="U2416" s="11" t="str">
        <f t="shared" si="262"/>
        <v/>
      </c>
      <c r="V2416" s="12" t="str">
        <f t="shared" si="263"/>
        <v/>
      </c>
      <c r="Z2416" s="15"/>
    </row>
    <row r="2417" spans="1:26" x14ac:dyDescent="0.25">
      <c r="A2417" s="15" t="str">
        <f>IF(C2417="","",COUNTA($C$3:C2417))</f>
        <v/>
      </c>
      <c r="B2417" s="15" t="str">
        <f t="shared" si="264"/>
        <v/>
      </c>
      <c r="M2417" s="9"/>
      <c r="N2417" s="9"/>
      <c r="P2417" s="14"/>
      <c r="Q2417" s="85"/>
      <c r="R2417" s="89"/>
      <c r="U2417" s="11" t="str">
        <f t="shared" si="262"/>
        <v/>
      </c>
      <c r="V2417" s="12" t="str">
        <f t="shared" si="263"/>
        <v/>
      </c>
      <c r="Z2417" s="15"/>
    </row>
    <row r="2418" spans="1:26" x14ac:dyDescent="0.25">
      <c r="A2418" s="15" t="str">
        <f>IF(C2418="","",COUNTA($C$3:C2418))</f>
        <v/>
      </c>
      <c r="B2418" s="15" t="str">
        <f t="shared" si="264"/>
        <v/>
      </c>
      <c r="M2418" s="9"/>
      <c r="N2418" s="9"/>
      <c r="P2418" s="14"/>
      <c r="Q2418" s="85"/>
      <c r="R2418" s="89"/>
      <c r="U2418" s="11" t="str">
        <f t="shared" si="262"/>
        <v/>
      </c>
      <c r="V2418" s="12" t="str">
        <f t="shared" si="263"/>
        <v/>
      </c>
      <c r="Z2418" s="15"/>
    </row>
    <row r="2419" spans="1:26" x14ac:dyDescent="0.25">
      <c r="A2419" s="15" t="str">
        <f>IF(C2419="","",COUNTA($C$3:C2419))</f>
        <v/>
      </c>
      <c r="B2419" s="15" t="str">
        <f t="shared" si="264"/>
        <v/>
      </c>
      <c r="M2419" s="9"/>
      <c r="N2419" s="9"/>
      <c r="P2419" s="14"/>
      <c r="Q2419" s="85"/>
      <c r="R2419" s="89"/>
      <c r="U2419" s="11" t="str">
        <f t="shared" si="262"/>
        <v/>
      </c>
      <c r="V2419" s="12" t="str">
        <f t="shared" si="263"/>
        <v/>
      </c>
      <c r="Z2419" s="15"/>
    </row>
    <row r="2420" spans="1:26" x14ac:dyDescent="0.25">
      <c r="A2420" s="15" t="str">
        <f>IF(C2420="","",COUNTA($C$3:C2420))</f>
        <v/>
      </c>
      <c r="B2420" s="15" t="str">
        <f t="shared" si="264"/>
        <v/>
      </c>
      <c r="M2420" s="9"/>
      <c r="N2420" s="9"/>
      <c r="P2420" s="14"/>
      <c r="Q2420" s="85"/>
      <c r="R2420" s="89"/>
      <c r="U2420" s="11" t="str">
        <f t="shared" si="262"/>
        <v/>
      </c>
      <c r="V2420" s="12" t="str">
        <f t="shared" si="263"/>
        <v/>
      </c>
      <c r="Z2420" s="15"/>
    </row>
    <row r="2421" spans="1:26" x14ac:dyDescent="0.25">
      <c r="A2421" s="15" t="str">
        <f>IF(C2421="","",COUNTA($C$3:C2421))</f>
        <v/>
      </c>
      <c r="B2421" s="15" t="str">
        <f t="shared" si="264"/>
        <v/>
      </c>
      <c r="M2421" s="9"/>
      <c r="N2421" s="9"/>
      <c r="P2421" s="14"/>
      <c r="Q2421" s="85"/>
      <c r="R2421" s="89"/>
      <c r="U2421" s="11" t="str">
        <f t="shared" si="262"/>
        <v/>
      </c>
      <c r="V2421" s="12" t="str">
        <f t="shared" si="263"/>
        <v/>
      </c>
      <c r="Z2421" s="15"/>
    </row>
    <row r="2422" spans="1:26" x14ac:dyDescent="0.25">
      <c r="A2422" s="15" t="str">
        <f>IF(C2422="","",COUNTA($C$3:C2422))</f>
        <v/>
      </c>
      <c r="B2422" s="15" t="str">
        <f t="shared" si="264"/>
        <v/>
      </c>
      <c r="M2422" s="9"/>
      <c r="N2422" s="9"/>
      <c r="P2422" s="14"/>
      <c r="Q2422" s="85"/>
      <c r="R2422" s="89"/>
      <c r="U2422" s="11" t="str">
        <f t="shared" si="262"/>
        <v/>
      </c>
      <c r="V2422" s="12" t="str">
        <f t="shared" si="263"/>
        <v/>
      </c>
      <c r="Z2422" s="15"/>
    </row>
    <row r="2423" spans="1:26" x14ac:dyDescent="0.25">
      <c r="A2423" s="15" t="str">
        <f>IF(C2423="","",COUNTA($C$3:C2423))</f>
        <v/>
      </c>
      <c r="B2423" s="15" t="str">
        <f t="shared" si="264"/>
        <v/>
      </c>
      <c r="M2423" s="9"/>
      <c r="N2423" s="9"/>
      <c r="P2423" s="14"/>
      <c r="Q2423" s="85"/>
      <c r="R2423" s="89"/>
      <c r="U2423" s="11" t="str">
        <f t="shared" si="262"/>
        <v/>
      </c>
      <c r="V2423" s="12" t="str">
        <f t="shared" si="263"/>
        <v/>
      </c>
      <c r="Z2423" s="15"/>
    </row>
    <row r="2424" spans="1:26" x14ac:dyDescent="0.25">
      <c r="A2424" s="15" t="str">
        <f>IF(C2424="","",COUNTA($C$3:C2424))</f>
        <v/>
      </c>
      <c r="B2424" s="15" t="str">
        <f t="shared" si="264"/>
        <v/>
      </c>
      <c r="M2424" s="9"/>
      <c r="N2424" s="9"/>
      <c r="P2424" s="14"/>
      <c r="Q2424" s="85"/>
      <c r="R2424" s="89"/>
      <c r="U2424" s="11" t="str">
        <f t="shared" si="262"/>
        <v/>
      </c>
      <c r="V2424" s="12" t="str">
        <f t="shared" si="263"/>
        <v/>
      </c>
      <c r="Z2424" s="15"/>
    </row>
    <row r="2425" spans="1:26" x14ac:dyDescent="0.25">
      <c r="A2425" s="15" t="str">
        <f>IF(C2425="","",COUNTA($C$3:C2425))</f>
        <v/>
      </c>
      <c r="B2425" s="15" t="str">
        <f t="shared" si="264"/>
        <v/>
      </c>
      <c r="M2425" s="9"/>
      <c r="N2425" s="9"/>
      <c r="P2425" s="14"/>
      <c r="Q2425" s="85"/>
      <c r="R2425" s="89"/>
      <c r="U2425" s="11" t="str">
        <f t="shared" si="262"/>
        <v/>
      </c>
      <c r="V2425" s="12" t="str">
        <f t="shared" si="263"/>
        <v/>
      </c>
      <c r="Z2425" s="15"/>
    </row>
    <row r="2426" spans="1:26" x14ac:dyDescent="0.25">
      <c r="A2426" s="15" t="str">
        <f>IF(C2426="","",COUNTA($C$3:C2426))</f>
        <v/>
      </c>
      <c r="B2426" s="15" t="str">
        <f t="shared" si="264"/>
        <v/>
      </c>
      <c r="M2426" s="9"/>
      <c r="N2426" s="9"/>
      <c r="P2426" s="14"/>
      <c r="Q2426" s="85"/>
      <c r="R2426" s="89"/>
      <c r="U2426" s="11" t="str">
        <f t="shared" si="262"/>
        <v/>
      </c>
      <c r="V2426" s="12" t="str">
        <f t="shared" si="263"/>
        <v/>
      </c>
      <c r="Z2426" s="15"/>
    </row>
    <row r="2427" spans="1:26" x14ac:dyDescent="0.25">
      <c r="A2427" s="15" t="str">
        <f>IF(C2427="","",COUNTA($C$3:C2427))</f>
        <v/>
      </c>
      <c r="B2427" s="15" t="str">
        <f t="shared" si="264"/>
        <v/>
      </c>
      <c r="M2427" s="9"/>
      <c r="N2427" s="9"/>
      <c r="P2427" s="14"/>
      <c r="Q2427" s="85"/>
      <c r="R2427" s="89"/>
      <c r="U2427" s="11" t="str">
        <f t="shared" si="262"/>
        <v/>
      </c>
      <c r="V2427" s="12" t="str">
        <f t="shared" si="263"/>
        <v/>
      </c>
      <c r="Z2427" s="15"/>
    </row>
    <row r="2428" spans="1:26" x14ac:dyDescent="0.25">
      <c r="A2428" s="15" t="str">
        <f>IF(C2428="","",COUNTA($C$3:C2428))</f>
        <v/>
      </c>
      <c r="B2428" s="15" t="str">
        <f t="shared" si="264"/>
        <v/>
      </c>
      <c r="M2428" s="9"/>
      <c r="N2428" s="9"/>
      <c r="P2428" s="14"/>
      <c r="Q2428" s="85"/>
      <c r="R2428" s="89"/>
      <c r="U2428" s="11" t="str">
        <f t="shared" si="262"/>
        <v/>
      </c>
      <c r="V2428" s="12" t="str">
        <f t="shared" si="263"/>
        <v/>
      </c>
      <c r="Z2428" s="15"/>
    </row>
    <row r="2429" spans="1:26" x14ac:dyDescent="0.25">
      <c r="A2429" s="15" t="str">
        <f>IF(C2429="","",COUNTA($C$3:C2429))</f>
        <v/>
      </c>
      <c r="B2429" s="15" t="str">
        <f t="shared" si="264"/>
        <v/>
      </c>
      <c r="M2429" s="9"/>
      <c r="N2429" s="9"/>
      <c r="P2429" s="14"/>
      <c r="Q2429" s="85"/>
      <c r="R2429" s="89"/>
      <c r="U2429" s="11" t="str">
        <f t="shared" si="262"/>
        <v/>
      </c>
      <c r="V2429" s="12" t="str">
        <f t="shared" si="263"/>
        <v/>
      </c>
      <c r="Z2429" s="15"/>
    </row>
    <row r="2430" spans="1:26" x14ac:dyDescent="0.25">
      <c r="A2430" s="15" t="str">
        <f>IF(C2430="","",COUNTA($C$3:C2430))</f>
        <v/>
      </c>
      <c r="B2430" s="15" t="str">
        <f t="shared" si="264"/>
        <v/>
      </c>
      <c r="M2430" s="9"/>
      <c r="N2430" s="9"/>
      <c r="P2430" s="14"/>
      <c r="Q2430" s="85"/>
      <c r="R2430" s="89"/>
      <c r="U2430" s="11" t="str">
        <f t="shared" si="262"/>
        <v/>
      </c>
      <c r="V2430" s="12" t="str">
        <f t="shared" si="263"/>
        <v/>
      </c>
      <c r="Z2430" s="15"/>
    </row>
    <row r="2431" spans="1:26" x14ac:dyDescent="0.25">
      <c r="A2431" s="15" t="str">
        <f>IF(C2431="","",COUNTA($C$3:C2431))</f>
        <v/>
      </c>
      <c r="B2431" s="15" t="str">
        <f t="shared" si="264"/>
        <v/>
      </c>
      <c r="M2431" s="9"/>
      <c r="N2431" s="9"/>
      <c r="P2431" s="14"/>
      <c r="Q2431" s="85"/>
      <c r="R2431" s="89"/>
      <c r="U2431" s="11" t="str">
        <f t="shared" si="262"/>
        <v/>
      </c>
      <c r="V2431" s="12" t="str">
        <f t="shared" si="263"/>
        <v/>
      </c>
      <c r="Z2431" s="15"/>
    </row>
    <row r="2432" spans="1:26" x14ac:dyDescent="0.25">
      <c r="A2432" s="15" t="str">
        <f>IF(C2432="","",COUNTA($C$3:C2432))</f>
        <v/>
      </c>
      <c r="B2432" s="15" t="str">
        <f t="shared" si="264"/>
        <v/>
      </c>
      <c r="M2432" s="9"/>
      <c r="N2432" s="9"/>
      <c r="P2432" s="14"/>
      <c r="Q2432" s="85"/>
      <c r="R2432" s="89"/>
      <c r="U2432" s="11" t="str">
        <f t="shared" si="262"/>
        <v/>
      </c>
      <c r="V2432" s="12" t="str">
        <f t="shared" si="263"/>
        <v/>
      </c>
      <c r="Z2432" s="15"/>
    </row>
    <row r="2433" spans="1:26" x14ac:dyDescent="0.25">
      <c r="A2433" s="15" t="str">
        <f>IF(C2433="","",COUNTA($C$3:C2433))</f>
        <v/>
      </c>
      <c r="B2433" s="15" t="str">
        <f t="shared" si="264"/>
        <v/>
      </c>
      <c r="M2433" s="9"/>
      <c r="N2433" s="9"/>
      <c r="P2433" s="14"/>
      <c r="Q2433" s="85"/>
      <c r="R2433" s="89"/>
      <c r="U2433" s="11" t="str">
        <f t="shared" si="262"/>
        <v/>
      </c>
      <c r="V2433" s="12" t="str">
        <f t="shared" si="263"/>
        <v/>
      </c>
      <c r="Z2433" s="15"/>
    </row>
    <row r="2434" spans="1:26" x14ac:dyDescent="0.25">
      <c r="A2434" s="15" t="str">
        <f>IF(C2434="","",COUNTA($C$3:C2434))</f>
        <v/>
      </c>
      <c r="B2434" s="15" t="str">
        <f t="shared" si="264"/>
        <v/>
      </c>
      <c r="M2434" s="9"/>
      <c r="N2434" s="9"/>
      <c r="P2434" s="14"/>
      <c r="Q2434" s="85"/>
      <c r="R2434" s="89"/>
      <c r="U2434" s="11" t="str">
        <f t="shared" ref="U2434:U2497" si="265">IF(S2434="","",(S2434-T2434))</f>
        <v/>
      </c>
      <c r="V2434" s="12" t="str">
        <f t="shared" ref="V2434:V2497" si="266">IF(U2434="","",(U2434/T2434))</f>
        <v/>
      </c>
      <c r="Z2434" s="15"/>
    </row>
    <row r="2435" spans="1:26" x14ac:dyDescent="0.25">
      <c r="A2435" s="15" t="str">
        <f>IF(C2435="","",COUNTA($C$3:C2435))</f>
        <v/>
      </c>
      <c r="B2435" s="15" t="str">
        <f t="shared" ref="B2435:B2498" si="267">IF(C2435="","",TEXT(C2435,"mmmm"))</f>
        <v/>
      </c>
      <c r="M2435" s="9"/>
      <c r="N2435" s="9"/>
      <c r="P2435" s="14"/>
      <c r="Q2435" s="85"/>
      <c r="R2435" s="89"/>
      <c r="U2435" s="11" t="str">
        <f t="shared" si="265"/>
        <v/>
      </c>
      <c r="V2435" s="12" t="str">
        <f t="shared" si="266"/>
        <v/>
      </c>
      <c r="Z2435" s="15"/>
    </row>
    <row r="2436" spans="1:26" x14ac:dyDescent="0.25">
      <c r="A2436" s="15" t="str">
        <f>IF(C2436="","",COUNTA($C$3:C2436))</f>
        <v/>
      </c>
      <c r="B2436" s="15" t="str">
        <f t="shared" si="267"/>
        <v/>
      </c>
      <c r="M2436" s="9"/>
      <c r="N2436" s="9"/>
      <c r="P2436" s="14"/>
      <c r="Q2436" s="85"/>
      <c r="R2436" s="89"/>
      <c r="U2436" s="11" t="str">
        <f t="shared" si="265"/>
        <v/>
      </c>
      <c r="V2436" s="12" t="str">
        <f t="shared" si="266"/>
        <v/>
      </c>
      <c r="Z2436" s="15"/>
    </row>
    <row r="2437" spans="1:26" x14ac:dyDescent="0.25">
      <c r="A2437" s="15" t="str">
        <f>IF(C2437="","",COUNTA($C$3:C2437))</f>
        <v/>
      </c>
      <c r="B2437" s="15" t="str">
        <f t="shared" si="267"/>
        <v/>
      </c>
      <c r="M2437" s="9"/>
      <c r="N2437" s="9"/>
      <c r="P2437" s="14"/>
      <c r="Q2437" s="85"/>
      <c r="R2437" s="89"/>
      <c r="U2437" s="11" t="str">
        <f t="shared" si="265"/>
        <v/>
      </c>
      <c r="V2437" s="12" t="str">
        <f t="shared" si="266"/>
        <v/>
      </c>
      <c r="Z2437" s="15"/>
    </row>
    <row r="2438" spans="1:26" x14ac:dyDescent="0.25">
      <c r="A2438" s="15" t="str">
        <f>IF(C2438="","",COUNTA($C$3:C2438))</f>
        <v/>
      </c>
      <c r="B2438" s="15" t="str">
        <f t="shared" si="267"/>
        <v/>
      </c>
      <c r="M2438" s="9"/>
      <c r="N2438" s="9"/>
      <c r="P2438" s="14"/>
      <c r="Q2438" s="85"/>
      <c r="R2438" s="89"/>
      <c r="U2438" s="11" t="str">
        <f t="shared" si="265"/>
        <v/>
      </c>
      <c r="V2438" s="12" t="str">
        <f t="shared" si="266"/>
        <v/>
      </c>
      <c r="Z2438" s="15"/>
    </row>
    <row r="2439" spans="1:26" x14ac:dyDescent="0.25">
      <c r="A2439" s="15" t="str">
        <f>IF(C2439="","",COUNTA($C$3:C2439))</f>
        <v/>
      </c>
      <c r="B2439" s="15" t="str">
        <f t="shared" si="267"/>
        <v/>
      </c>
      <c r="M2439" s="9"/>
      <c r="N2439" s="9"/>
      <c r="P2439" s="14"/>
      <c r="Q2439" s="85"/>
      <c r="R2439" s="89"/>
      <c r="U2439" s="11" t="str">
        <f t="shared" si="265"/>
        <v/>
      </c>
      <c r="V2439" s="12" t="str">
        <f t="shared" si="266"/>
        <v/>
      </c>
      <c r="Z2439" s="15"/>
    </row>
    <row r="2440" spans="1:26" x14ac:dyDescent="0.25">
      <c r="A2440" s="15" t="str">
        <f>IF(C2440="","",COUNTA($C$3:C2440))</f>
        <v/>
      </c>
      <c r="B2440" s="15" t="str">
        <f t="shared" si="267"/>
        <v/>
      </c>
      <c r="M2440" s="9"/>
      <c r="N2440" s="9"/>
      <c r="P2440" s="14"/>
      <c r="Q2440" s="85"/>
      <c r="R2440" s="89"/>
      <c r="U2440" s="11" t="str">
        <f t="shared" si="265"/>
        <v/>
      </c>
      <c r="V2440" s="12" t="str">
        <f t="shared" si="266"/>
        <v/>
      </c>
      <c r="Z2440" s="15"/>
    </row>
    <row r="2441" spans="1:26" x14ac:dyDescent="0.25">
      <c r="A2441" s="15" t="str">
        <f>IF(C2441="","",COUNTA($C$3:C2441))</f>
        <v/>
      </c>
      <c r="B2441" s="15" t="str">
        <f t="shared" si="267"/>
        <v/>
      </c>
      <c r="M2441" s="9"/>
      <c r="N2441" s="9"/>
      <c r="P2441" s="14"/>
      <c r="Q2441" s="85"/>
      <c r="R2441" s="89"/>
      <c r="U2441" s="11" t="str">
        <f t="shared" si="265"/>
        <v/>
      </c>
      <c r="V2441" s="12" t="str">
        <f t="shared" si="266"/>
        <v/>
      </c>
      <c r="Z2441" s="15"/>
    </row>
    <row r="2442" spans="1:26" x14ac:dyDescent="0.25">
      <c r="A2442" s="15" t="str">
        <f>IF(C2442="","",COUNTA($C$3:C2442))</f>
        <v/>
      </c>
      <c r="B2442" s="15" t="str">
        <f t="shared" si="267"/>
        <v/>
      </c>
      <c r="M2442" s="9"/>
      <c r="N2442" s="9"/>
      <c r="P2442" s="14"/>
      <c r="Q2442" s="85"/>
      <c r="R2442" s="89"/>
      <c r="U2442" s="11" t="str">
        <f t="shared" si="265"/>
        <v/>
      </c>
      <c r="V2442" s="12" t="str">
        <f t="shared" si="266"/>
        <v/>
      </c>
      <c r="Z2442" s="15"/>
    </row>
    <row r="2443" spans="1:26" x14ac:dyDescent="0.25">
      <c r="A2443" s="15" t="str">
        <f>IF(C2443="","",COUNTA($C$3:C2443))</f>
        <v/>
      </c>
      <c r="B2443" s="15" t="str">
        <f t="shared" si="267"/>
        <v/>
      </c>
      <c r="M2443" s="9"/>
      <c r="N2443" s="9"/>
      <c r="P2443" s="14"/>
      <c r="Q2443" s="85"/>
      <c r="R2443" s="89"/>
      <c r="U2443" s="11" t="str">
        <f t="shared" si="265"/>
        <v/>
      </c>
      <c r="V2443" s="12" t="str">
        <f t="shared" si="266"/>
        <v/>
      </c>
      <c r="Z2443" s="15"/>
    </row>
    <row r="2444" spans="1:26" x14ac:dyDescent="0.25">
      <c r="A2444" s="15" t="str">
        <f>IF(C2444="","",COUNTA($C$3:C2444))</f>
        <v/>
      </c>
      <c r="B2444" s="15" t="str">
        <f t="shared" si="267"/>
        <v/>
      </c>
      <c r="M2444" s="9"/>
      <c r="N2444" s="9"/>
      <c r="P2444" s="14"/>
      <c r="Q2444" s="85"/>
      <c r="R2444" s="89"/>
      <c r="U2444" s="11" t="str">
        <f t="shared" si="265"/>
        <v/>
      </c>
      <c r="V2444" s="12" t="str">
        <f t="shared" si="266"/>
        <v/>
      </c>
      <c r="Z2444" s="15"/>
    </row>
    <row r="2445" spans="1:26" x14ac:dyDescent="0.25">
      <c r="A2445" s="15" t="str">
        <f>IF(C2445="","",COUNTA($C$3:C2445))</f>
        <v/>
      </c>
      <c r="B2445" s="15" t="str">
        <f t="shared" si="267"/>
        <v/>
      </c>
      <c r="M2445" s="9"/>
      <c r="N2445" s="9"/>
      <c r="P2445" s="14"/>
      <c r="Q2445" s="85"/>
      <c r="R2445" s="89"/>
      <c r="U2445" s="11" t="str">
        <f t="shared" si="265"/>
        <v/>
      </c>
      <c r="V2445" s="12" t="str">
        <f t="shared" si="266"/>
        <v/>
      </c>
      <c r="Z2445" s="15"/>
    </row>
    <row r="2446" spans="1:26" x14ac:dyDescent="0.25">
      <c r="A2446" s="15" t="str">
        <f>IF(C2446="","",COUNTA($C$3:C2446))</f>
        <v/>
      </c>
      <c r="B2446" s="15" t="str">
        <f t="shared" si="267"/>
        <v/>
      </c>
      <c r="M2446" s="9"/>
      <c r="N2446" s="9"/>
      <c r="P2446" s="14"/>
      <c r="Q2446" s="85"/>
      <c r="R2446" s="89"/>
      <c r="U2446" s="11" t="str">
        <f t="shared" si="265"/>
        <v/>
      </c>
      <c r="V2446" s="12" t="str">
        <f t="shared" si="266"/>
        <v/>
      </c>
      <c r="Z2446" s="15"/>
    </row>
    <row r="2447" spans="1:26" x14ac:dyDescent="0.25">
      <c r="A2447" s="15" t="str">
        <f>IF(C2447="","",COUNTA($C$3:C2447))</f>
        <v/>
      </c>
      <c r="B2447" s="15" t="str">
        <f t="shared" si="267"/>
        <v/>
      </c>
      <c r="M2447" s="9"/>
      <c r="N2447" s="9"/>
      <c r="P2447" s="14"/>
      <c r="Q2447" s="85"/>
      <c r="R2447" s="89"/>
      <c r="U2447" s="11" t="str">
        <f t="shared" si="265"/>
        <v/>
      </c>
      <c r="V2447" s="12" t="str">
        <f t="shared" si="266"/>
        <v/>
      </c>
      <c r="Z2447" s="15"/>
    </row>
    <row r="2448" spans="1:26" x14ac:dyDescent="0.25">
      <c r="A2448" s="15" t="str">
        <f>IF(C2448="","",COUNTA($C$3:C2448))</f>
        <v/>
      </c>
      <c r="B2448" s="15" t="str">
        <f t="shared" si="267"/>
        <v/>
      </c>
      <c r="M2448" s="9"/>
      <c r="N2448" s="9"/>
      <c r="P2448" s="14"/>
      <c r="Q2448" s="85"/>
      <c r="R2448" s="89"/>
      <c r="U2448" s="11" t="str">
        <f t="shared" si="265"/>
        <v/>
      </c>
      <c r="V2448" s="12" t="str">
        <f t="shared" si="266"/>
        <v/>
      </c>
      <c r="Z2448" s="15"/>
    </row>
    <row r="2449" spans="1:26" x14ac:dyDescent="0.25">
      <c r="A2449" s="15" t="str">
        <f>IF(C2449="","",COUNTA($C$3:C2449))</f>
        <v/>
      </c>
      <c r="B2449" s="15" t="str">
        <f t="shared" si="267"/>
        <v/>
      </c>
      <c r="M2449" s="9"/>
      <c r="N2449" s="9"/>
      <c r="P2449" s="14"/>
      <c r="Q2449" s="85"/>
      <c r="R2449" s="89"/>
      <c r="U2449" s="11" t="str">
        <f t="shared" si="265"/>
        <v/>
      </c>
      <c r="V2449" s="12" t="str">
        <f t="shared" si="266"/>
        <v/>
      </c>
      <c r="Z2449" s="15"/>
    </row>
    <row r="2450" spans="1:26" x14ac:dyDescent="0.25">
      <c r="A2450" s="15" t="str">
        <f>IF(C2450="","",COUNTA($C$3:C2450))</f>
        <v/>
      </c>
      <c r="B2450" s="15" t="str">
        <f t="shared" si="267"/>
        <v/>
      </c>
      <c r="M2450" s="9"/>
      <c r="N2450" s="9"/>
      <c r="P2450" s="14"/>
      <c r="Q2450" s="85"/>
      <c r="R2450" s="89"/>
      <c r="U2450" s="11" t="str">
        <f t="shared" si="265"/>
        <v/>
      </c>
      <c r="V2450" s="12" t="str">
        <f t="shared" si="266"/>
        <v/>
      </c>
      <c r="Z2450" s="15"/>
    </row>
    <row r="2451" spans="1:26" x14ac:dyDescent="0.25">
      <c r="A2451" s="15" t="str">
        <f>IF(C2451="","",COUNTA($C$3:C2451))</f>
        <v/>
      </c>
      <c r="B2451" s="15" t="str">
        <f t="shared" si="267"/>
        <v/>
      </c>
      <c r="M2451" s="9"/>
      <c r="N2451" s="9"/>
      <c r="P2451" s="14"/>
      <c r="Q2451" s="85"/>
      <c r="R2451" s="89"/>
      <c r="U2451" s="11" t="str">
        <f t="shared" si="265"/>
        <v/>
      </c>
      <c r="V2451" s="12" t="str">
        <f t="shared" si="266"/>
        <v/>
      </c>
      <c r="Z2451" s="15"/>
    </row>
    <row r="2452" spans="1:26" x14ac:dyDescent="0.25">
      <c r="A2452" s="15" t="str">
        <f>IF(C2452="","",COUNTA($C$3:C2452))</f>
        <v/>
      </c>
      <c r="B2452" s="15" t="str">
        <f t="shared" si="267"/>
        <v/>
      </c>
      <c r="M2452" s="9"/>
      <c r="N2452" s="9"/>
      <c r="P2452" s="14"/>
      <c r="Q2452" s="85"/>
      <c r="R2452" s="89"/>
      <c r="U2452" s="11" t="str">
        <f t="shared" si="265"/>
        <v/>
      </c>
      <c r="V2452" s="12" t="str">
        <f t="shared" si="266"/>
        <v/>
      </c>
      <c r="Z2452" s="15"/>
    </row>
    <row r="2453" spans="1:26" x14ac:dyDescent="0.25">
      <c r="A2453" s="15" t="str">
        <f>IF(C2453="","",COUNTA($C$3:C2453))</f>
        <v/>
      </c>
      <c r="B2453" s="15" t="str">
        <f t="shared" si="267"/>
        <v/>
      </c>
      <c r="M2453" s="9"/>
      <c r="N2453" s="9"/>
      <c r="P2453" s="14"/>
      <c r="Q2453" s="85"/>
      <c r="R2453" s="89"/>
      <c r="U2453" s="11" t="str">
        <f t="shared" si="265"/>
        <v/>
      </c>
      <c r="V2453" s="12" t="str">
        <f t="shared" si="266"/>
        <v/>
      </c>
      <c r="Z2453" s="15"/>
    </row>
    <row r="2454" spans="1:26" x14ac:dyDescent="0.25">
      <c r="A2454" s="15" t="str">
        <f>IF(C2454="","",COUNTA($C$3:C2454))</f>
        <v/>
      </c>
      <c r="B2454" s="15" t="str">
        <f t="shared" si="267"/>
        <v/>
      </c>
      <c r="M2454" s="9"/>
      <c r="N2454" s="9"/>
      <c r="P2454" s="14"/>
      <c r="Q2454" s="85"/>
      <c r="R2454" s="89"/>
      <c r="U2454" s="11" t="str">
        <f t="shared" si="265"/>
        <v/>
      </c>
      <c r="V2454" s="12" t="str">
        <f t="shared" si="266"/>
        <v/>
      </c>
      <c r="Z2454" s="15"/>
    </row>
    <row r="2455" spans="1:26" x14ac:dyDescent="0.25">
      <c r="A2455" s="15" t="str">
        <f>IF(C2455="","",COUNTA($C$3:C2455))</f>
        <v/>
      </c>
      <c r="B2455" s="15" t="str">
        <f t="shared" si="267"/>
        <v/>
      </c>
      <c r="M2455" s="9"/>
      <c r="N2455" s="9"/>
      <c r="P2455" s="14"/>
      <c r="Q2455" s="85"/>
      <c r="R2455" s="89"/>
      <c r="U2455" s="11" t="str">
        <f t="shared" si="265"/>
        <v/>
      </c>
      <c r="V2455" s="12" t="str">
        <f t="shared" si="266"/>
        <v/>
      </c>
      <c r="Z2455" s="15"/>
    </row>
    <row r="2456" spans="1:26" x14ac:dyDescent="0.25">
      <c r="A2456" s="15" t="str">
        <f>IF(C2456="","",COUNTA($C$3:C2456))</f>
        <v/>
      </c>
      <c r="B2456" s="15" t="str">
        <f t="shared" si="267"/>
        <v/>
      </c>
      <c r="M2456" s="9"/>
      <c r="N2456" s="9"/>
      <c r="P2456" s="14"/>
      <c r="Q2456" s="85"/>
      <c r="R2456" s="89"/>
      <c r="U2456" s="11" t="str">
        <f t="shared" si="265"/>
        <v/>
      </c>
      <c r="V2456" s="12" t="str">
        <f t="shared" si="266"/>
        <v/>
      </c>
      <c r="Z2456" s="15"/>
    </row>
    <row r="2457" spans="1:26" x14ac:dyDescent="0.25">
      <c r="A2457" s="15" t="str">
        <f>IF(C2457="","",COUNTA($C$3:C2457))</f>
        <v/>
      </c>
      <c r="B2457" s="15" t="str">
        <f t="shared" si="267"/>
        <v/>
      </c>
      <c r="M2457" s="9"/>
      <c r="N2457" s="9"/>
      <c r="P2457" s="14"/>
      <c r="Q2457" s="85"/>
      <c r="R2457" s="89"/>
      <c r="U2457" s="11" t="str">
        <f t="shared" si="265"/>
        <v/>
      </c>
      <c r="V2457" s="12" t="str">
        <f t="shared" si="266"/>
        <v/>
      </c>
      <c r="Z2457" s="15"/>
    </row>
    <row r="2458" spans="1:26" x14ac:dyDescent="0.25">
      <c r="A2458" s="15" t="str">
        <f>IF(C2458="","",COUNTA($C$3:C2458))</f>
        <v/>
      </c>
      <c r="B2458" s="15" t="str">
        <f t="shared" si="267"/>
        <v/>
      </c>
      <c r="M2458" s="9"/>
      <c r="N2458" s="9"/>
      <c r="P2458" s="14"/>
      <c r="Q2458" s="85"/>
      <c r="R2458" s="89"/>
      <c r="U2458" s="11" t="str">
        <f t="shared" si="265"/>
        <v/>
      </c>
      <c r="V2458" s="12" t="str">
        <f t="shared" si="266"/>
        <v/>
      </c>
      <c r="Z2458" s="15"/>
    </row>
    <row r="2459" spans="1:26" x14ac:dyDescent="0.25">
      <c r="A2459" s="15" t="str">
        <f>IF(C2459="","",COUNTA($C$3:C2459))</f>
        <v/>
      </c>
      <c r="B2459" s="15" t="str">
        <f t="shared" si="267"/>
        <v/>
      </c>
      <c r="M2459" s="9"/>
      <c r="N2459" s="9"/>
      <c r="P2459" s="14"/>
      <c r="Q2459" s="85"/>
      <c r="R2459" s="89"/>
      <c r="U2459" s="11" t="str">
        <f t="shared" si="265"/>
        <v/>
      </c>
      <c r="V2459" s="12" t="str">
        <f t="shared" si="266"/>
        <v/>
      </c>
      <c r="Z2459" s="15"/>
    </row>
    <row r="2460" spans="1:26" x14ac:dyDescent="0.25">
      <c r="A2460" s="15" t="str">
        <f>IF(C2460="","",COUNTA($C$3:C2460))</f>
        <v/>
      </c>
      <c r="B2460" s="15" t="str">
        <f t="shared" si="267"/>
        <v/>
      </c>
      <c r="M2460" s="9"/>
      <c r="N2460" s="9"/>
      <c r="P2460" s="14"/>
      <c r="Q2460" s="85"/>
      <c r="R2460" s="89"/>
      <c r="U2460" s="11" t="str">
        <f t="shared" si="265"/>
        <v/>
      </c>
      <c r="V2460" s="12" t="str">
        <f t="shared" si="266"/>
        <v/>
      </c>
      <c r="Z2460" s="15"/>
    </row>
    <row r="2461" spans="1:26" x14ac:dyDescent="0.25">
      <c r="A2461" s="15" t="str">
        <f>IF(C2461="","",COUNTA($C$3:C2461))</f>
        <v/>
      </c>
      <c r="B2461" s="15" t="str">
        <f t="shared" si="267"/>
        <v/>
      </c>
      <c r="M2461" s="9"/>
      <c r="N2461" s="9"/>
      <c r="P2461" s="14"/>
      <c r="Q2461" s="85"/>
      <c r="R2461" s="89"/>
      <c r="U2461" s="11" t="str">
        <f t="shared" si="265"/>
        <v/>
      </c>
      <c r="V2461" s="12" t="str">
        <f t="shared" si="266"/>
        <v/>
      </c>
      <c r="Z2461" s="15"/>
    </row>
    <row r="2462" spans="1:26" x14ac:dyDescent="0.25">
      <c r="A2462" s="15" t="str">
        <f>IF(C2462="","",COUNTA($C$3:C2462))</f>
        <v/>
      </c>
      <c r="B2462" s="15" t="str">
        <f t="shared" si="267"/>
        <v/>
      </c>
      <c r="M2462" s="9"/>
      <c r="N2462" s="9"/>
      <c r="P2462" s="14"/>
      <c r="Q2462" s="85"/>
      <c r="R2462" s="89"/>
      <c r="U2462" s="11" t="str">
        <f t="shared" si="265"/>
        <v/>
      </c>
      <c r="V2462" s="12" t="str">
        <f t="shared" si="266"/>
        <v/>
      </c>
      <c r="Z2462" s="15"/>
    </row>
    <row r="2463" spans="1:26" x14ac:dyDescent="0.25">
      <c r="A2463" s="15" t="str">
        <f>IF(C2463="","",COUNTA($C$3:C2463))</f>
        <v/>
      </c>
      <c r="B2463" s="15" t="str">
        <f t="shared" si="267"/>
        <v/>
      </c>
      <c r="M2463" s="9"/>
      <c r="N2463" s="9"/>
      <c r="P2463" s="14"/>
      <c r="Q2463" s="85"/>
      <c r="R2463" s="89"/>
      <c r="U2463" s="11" t="str">
        <f t="shared" si="265"/>
        <v/>
      </c>
      <c r="V2463" s="12" t="str">
        <f t="shared" si="266"/>
        <v/>
      </c>
      <c r="Z2463" s="15"/>
    </row>
    <row r="2464" spans="1:26" x14ac:dyDescent="0.25">
      <c r="A2464" s="15" t="str">
        <f>IF(C2464="","",COUNTA($C$3:C2464))</f>
        <v/>
      </c>
      <c r="B2464" s="15" t="str">
        <f t="shared" si="267"/>
        <v/>
      </c>
      <c r="M2464" s="9"/>
      <c r="N2464" s="9"/>
      <c r="P2464" s="14"/>
      <c r="Q2464" s="85"/>
      <c r="R2464" s="89"/>
      <c r="U2464" s="11" t="str">
        <f t="shared" si="265"/>
        <v/>
      </c>
      <c r="V2464" s="12" t="str">
        <f t="shared" si="266"/>
        <v/>
      </c>
      <c r="Z2464" s="15"/>
    </row>
    <row r="2465" spans="1:26" x14ac:dyDescent="0.25">
      <c r="A2465" s="15" t="str">
        <f>IF(C2465="","",COUNTA($C$3:C2465))</f>
        <v/>
      </c>
      <c r="B2465" s="15" t="str">
        <f t="shared" si="267"/>
        <v/>
      </c>
      <c r="M2465" s="9"/>
      <c r="N2465" s="9"/>
      <c r="P2465" s="14"/>
      <c r="Q2465" s="85"/>
      <c r="R2465" s="89"/>
      <c r="U2465" s="11" t="str">
        <f t="shared" si="265"/>
        <v/>
      </c>
      <c r="V2465" s="12" t="str">
        <f t="shared" si="266"/>
        <v/>
      </c>
      <c r="Z2465" s="15"/>
    </row>
    <row r="2466" spans="1:26" x14ac:dyDescent="0.25">
      <c r="A2466" s="15" t="str">
        <f>IF(C2466="","",COUNTA($C$3:C2466))</f>
        <v/>
      </c>
      <c r="B2466" s="15" t="str">
        <f t="shared" si="267"/>
        <v/>
      </c>
      <c r="M2466" s="9"/>
      <c r="N2466" s="9"/>
      <c r="P2466" s="14"/>
      <c r="Q2466" s="85"/>
      <c r="R2466" s="89"/>
      <c r="U2466" s="11" t="str">
        <f t="shared" si="265"/>
        <v/>
      </c>
      <c r="V2466" s="12" t="str">
        <f t="shared" si="266"/>
        <v/>
      </c>
      <c r="Z2466" s="15"/>
    </row>
    <row r="2467" spans="1:26" x14ac:dyDescent="0.25">
      <c r="A2467" s="15" t="str">
        <f>IF(C2467="","",COUNTA($C$3:C2467))</f>
        <v/>
      </c>
      <c r="B2467" s="15" t="str">
        <f t="shared" si="267"/>
        <v/>
      </c>
      <c r="M2467" s="9"/>
      <c r="N2467" s="9"/>
      <c r="P2467" s="14"/>
      <c r="Q2467" s="85"/>
      <c r="R2467" s="89"/>
      <c r="U2467" s="11" t="str">
        <f t="shared" si="265"/>
        <v/>
      </c>
      <c r="V2467" s="12" t="str">
        <f t="shared" si="266"/>
        <v/>
      </c>
      <c r="Z2467" s="15"/>
    </row>
    <row r="2468" spans="1:26" x14ac:dyDescent="0.25">
      <c r="A2468" s="15" t="str">
        <f>IF(C2468="","",COUNTA($C$3:C2468))</f>
        <v/>
      </c>
      <c r="B2468" s="15" t="str">
        <f t="shared" si="267"/>
        <v/>
      </c>
      <c r="M2468" s="9"/>
      <c r="N2468" s="9"/>
      <c r="P2468" s="14"/>
      <c r="Q2468" s="85"/>
      <c r="R2468" s="89"/>
      <c r="U2468" s="11" t="str">
        <f t="shared" si="265"/>
        <v/>
      </c>
      <c r="V2468" s="12" t="str">
        <f t="shared" si="266"/>
        <v/>
      </c>
      <c r="Z2468" s="15"/>
    </row>
    <row r="2469" spans="1:26" x14ac:dyDescent="0.25">
      <c r="A2469" s="15" t="str">
        <f>IF(C2469="","",COUNTA($C$3:C2469))</f>
        <v/>
      </c>
      <c r="B2469" s="15" t="str">
        <f t="shared" si="267"/>
        <v/>
      </c>
      <c r="M2469" s="9"/>
      <c r="N2469" s="9"/>
      <c r="P2469" s="14"/>
      <c r="Q2469" s="85"/>
      <c r="R2469" s="89"/>
      <c r="U2469" s="11" t="str">
        <f t="shared" si="265"/>
        <v/>
      </c>
      <c r="V2469" s="12" t="str">
        <f t="shared" si="266"/>
        <v/>
      </c>
      <c r="Z2469" s="15"/>
    </row>
    <row r="2470" spans="1:26" x14ac:dyDescent="0.25">
      <c r="A2470" s="15" t="str">
        <f>IF(C2470="","",COUNTA($C$3:C2470))</f>
        <v/>
      </c>
      <c r="B2470" s="15" t="str">
        <f t="shared" si="267"/>
        <v/>
      </c>
      <c r="M2470" s="9"/>
      <c r="N2470" s="9"/>
      <c r="P2470" s="14"/>
      <c r="Q2470" s="85"/>
      <c r="R2470" s="89"/>
      <c r="U2470" s="11" t="str">
        <f t="shared" si="265"/>
        <v/>
      </c>
      <c r="V2470" s="12" t="str">
        <f t="shared" si="266"/>
        <v/>
      </c>
      <c r="Z2470" s="15"/>
    </row>
    <row r="2471" spans="1:26" x14ac:dyDescent="0.25">
      <c r="A2471" s="15" t="str">
        <f>IF(C2471="","",COUNTA($C$3:C2471))</f>
        <v/>
      </c>
      <c r="B2471" s="15" t="str">
        <f t="shared" si="267"/>
        <v/>
      </c>
      <c r="M2471" s="9"/>
      <c r="N2471" s="9"/>
      <c r="P2471" s="14"/>
      <c r="Q2471" s="85"/>
      <c r="R2471" s="89"/>
      <c r="U2471" s="11" t="str">
        <f t="shared" si="265"/>
        <v/>
      </c>
      <c r="V2471" s="12" t="str">
        <f t="shared" si="266"/>
        <v/>
      </c>
      <c r="Z2471" s="15"/>
    </row>
    <row r="2472" spans="1:26" x14ac:dyDescent="0.25">
      <c r="A2472" s="15" t="str">
        <f>IF(C2472="","",COUNTA($C$3:C2472))</f>
        <v/>
      </c>
      <c r="B2472" s="15" t="str">
        <f t="shared" si="267"/>
        <v/>
      </c>
      <c r="M2472" s="9"/>
      <c r="N2472" s="9"/>
      <c r="P2472" s="14"/>
      <c r="Q2472" s="85"/>
      <c r="R2472" s="89"/>
      <c r="U2472" s="11" t="str">
        <f t="shared" si="265"/>
        <v/>
      </c>
      <c r="V2472" s="12" t="str">
        <f t="shared" si="266"/>
        <v/>
      </c>
      <c r="Z2472" s="15"/>
    </row>
    <row r="2473" spans="1:26" x14ac:dyDescent="0.25">
      <c r="A2473" s="15" t="str">
        <f>IF(C2473="","",COUNTA($C$3:C2473))</f>
        <v/>
      </c>
      <c r="B2473" s="15" t="str">
        <f t="shared" si="267"/>
        <v/>
      </c>
      <c r="M2473" s="9"/>
      <c r="N2473" s="9"/>
      <c r="P2473" s="14"/>
      <c r="Q2473" s="85"/>
      <c r="R2473" s="89"/>
      <c r="U2473" s="11" t="str">
        <f t="shared" si="265"/>
        <v/>
      </c>
      <c r="V2473" s="12" t="str">
        <f t="shared" si="266"/>
        <v/>
      </c>
      <c r="Z2473" s="15"/>
    </row>
    <row r="2474" spans="1:26" x14ac:dyDescent="0.25">
      <c r="A2474" s="15" t="str">
        <f>IF(C2474="","",COUNTA($C$3:C2474))</f>
        <v/>
      </c>
      <c r="B2474" s="15" t="str">
        <f t="shared" si="267"/>
        <v/>
      </c>
      <c r="M2474" s="9"/>
      <c r="N2474" s="9"/>
      <c r="P2474" s="14"/>
      <c r="Q2474" s="85"/>
      <c r="R2474" s="89"/>
      <c r="U2474" s="11" t="str">
        <f t="shared" si="265"/>
        <v/>
      </c>
      <c r="V2474" s="12" t="str">
        <f t="shared" si="266"/>
        <v/>
      </c>
      <c r="Z2474" s="15"/>
    </row>
    <row r="2475" spans="1:26" x14ac:dyDescent="0.25">
      <c r="A2475" s="15" t="str">
        <f>IF(C2475="","",COUNTA($C$3:C2475))</f>
        <v/>
      </c>
      <c r="B2475" s="15" t="str">
        <f t="shared" si="267"/>
        <v/>
      </c>
      <c r="M2475" s="9"/>
      <c r="N2475" s="9"/>
      <c r="P2475" s="14"/>
      <c r="Q2475" s="85"/>
      <c r="R2475" s="89"/>
      <c r="U2475" s="11" t="str">
        <f t="shared" si="265"/>
        <v/>
      </c>
      <c r="V2475" s="12" t="str">
        <f t="shared" si="266"/>
        <v/>
      </c>
      <c r="Z2475" s="15"/>
    </row>
    <row r="2476" spans="1:26" x14ac:dyDescent="0.25">
      <c r="A2476" s="15" t="str">
        <f>IF(C2476="","",COUNTA($C$3:C2476))</f>
        <v/>
      </c>
      <c r="B2476" s="15" t="str">
        <f t="shared" si="267"/>
        <v/>
      </c>
      <c r="M2476" s="9"/>
      <c r="N2476" s="9"/>
      <c r="P2476" s="14"/>
      <c r="Q2476" s="85"/>
      <c r="R2476" s="89"/>
      <c r="U2476" s="11" t="str">
        <f t="shared" si="265"/>
        <v/>
      </c>
      <c r="V2476" s="12" t="str">
        <f t="shared" si="266"/>
        <v/>
      </c>
      <c r="Z2476" s="15"/>
    </row>
    <row r="2477" spans="1:26" x14ac:dyDescent="0.25">
      <c r="A2477" s="15" t="str">
        <f>IF(C2477="","",COUNTA($C$3:C2477))</f>
        <v/>
      </c>
      <c r="B2477" s="15" t="str">
        <f t="shared" si="267"/>
        <v/>
      </c>
      <c r="M2477" s="9"/>
      <c r="N2477" s="9"/>
      <c r="P2477" s="14"/>
      <c r="Q2477" s="85"/>
      <c r="R2477" s="89"/>
      <c r="U2477" s="11" t="str">
        <f t="shared" si="265"/>
        <v/>
      </c>
      <c r="V2477" s="12" t="str">
        <f t="shared" si="266"/>
        <v/>
      </c>
      <c r="Z2477" s="15"/>
    </row>
    <row r="2478" spans="1:26" x14ac:dyDescent="0.25">
      <c r="A2478" s="15" t="str">
        <f>IF(C2478="","",COUNTA($C$3:C2478))</f>
        <v/>
      </c>
      <c r="B2478" s="15" t="str">
        <f t="shared" si="267"/>
        <v/>
      </c>
      <c r="M2478" s="9"/>
      <c r="N2478" s="9"/>
      <c r="P2478" s="14"/>
      <c r="Q2478" s="85"/>
      <c r="R2478" s="89"/>
      <c r="U2478" s="11" t="str">
        <f t="shared" si="265"/>
        <v/>
      </c>
      <c r="V2478" s="12" t="str">
        <f t="shared" si="266"/>
        <v/>
      </c>
      <c r="Z2478" s="15"/>
    </row>
    <row r="2479" spans="1:26" x14ac:dyDescent="0.25">
      <c r="A2479" s="15" t="str">
        <f>IF(C2479="","",COUNTA($C$3:C2479))</f>
        <v/>
      </c>
      <c r="B2479" s="15" t="str">
        <f t="shared" si="267"/>
        <v/>
      </c>
      <c r="M2479" s="9"/>
      <c r="N2479" s="9"/>
      <c r="P2479" s="14"/>
      <c r="Q2479" s="85"/>
      <c r="R2479" s="89"/>
      <c r="U2479" s="11" t="str">
        <f t="shared" si="265"/>
        <v/>
      </c>
      <c r="V2479" s="12" t="str">
        <f t="shared" si="266"/>
        <v/>
      </c>
      <c r="Z2479" s="15"/>
    </row>
    <row r="2480" spans="1:26" x14ac:dyDescent="0.25">
      <c r="A2480" s="15" t="str">
        <f>IF(C2480="","",COUNTA($C$3:C2480))</f>
        <v/>
      </c>
      <c r="B2480" s="15" t="str">
        <f t="shared" si="267"/>
        <v/>
      </c>
      <c r="M2480" s="9"/>
      <c r="N2480" s="9"/>
      <c r="P2480" s="14"/>
      <c r="Q2480" s="85"/>
      <c r="R2480" s="89"/>
      <c r="U2480" s="11" t="str">
        <f t="shared" si="265"/>
        <v/>
      </c>
      <c r="V2480" s="12" t="str">
        <f t="shared" si="266"/>
        <v/>
      </c>
      <c r="Z2480" s="15"/>
    </row>
    <row r="2481" spans="1:26" x14ac:dyDescent="0.25">
      <c r="A2481" s="15" t="str">
        <f>IF(C2481="","",COUNTA($C$3:C2481))</f>
        <v/>
      </c>
      <c r="B2481" s="15" t="str">
        <f t="shared" si="267"/>
        <v/>
      </c>
      <c r="M2481" s="9"/>
      <c r="N2481" s="9"/>
      <c r="P2481" s="14"/>
      <c r="Q2481" s="85"/>
      <c r="R2481" s="89"/>
      <c r="U2481" s="11" t="str">
        <f t="shared" si="265"/>
        <v/>
      </c>
      <c r="V2481" s="12" t="str">
        <f t="shared" si="266"/>
        <v/>
      </c>
      <c r="Z2481" s="15"/>
    </row>
    <row r="2482" spans="1:26" x14ac:dyDescent="0.25">
      <c r="A2482" s="15" t="str">
        <f>IF(C2482="","",COUNTA($C$3:C2482))</f>
        <v/>
      </c>
      <c r="B2482" s="15" t="str">
        <f t="shared" si="267"/>
        <v/>
      </c>
      <c r="M2482" s="9"/>
      <c r="N2482" s="9"/>
      <c r="P2482" s="14"/>
      <c r="Q2482" s="85"/>
      <c r="R2482" s="89"/>
      <c r="U2482" s="11" t="str">
        <f t="shared" si="265"/>
        <v/>
      </c>
      <c r="V2482" s="12" t="str">
        <f t="shared" si="266"/>
        <v/>
      </c>
      <c r="Z2482" s="15"/>
    </row>
    <row r="2483" spans="1:26" x14ac:dyDescent="0.25">
      <c r="A2483" s="15" t="str">
        <f>IF(C2483="","",COUNTA($C$3:C2483))</f>
        <v/>
      </c>
      <c r="B2483" s="15" t="str">
        <f t="shared" si="267"/>
        <v/>
      </c>
      <c r="M2483" s="9"/>
      <c r="N2483" s="9"/>
      <c r="P2483" s="14"/>
      <c r="Q2483" s="85"/>
      <c r="R2483" s="89"/>
      <c r="U2483" s="11" t="str">
        <f t="shared" si="265"/>
        <v/>
      </c>
      <c r="V2483" s="12" t="str">
        <f t="shared" si="266"/>
        <v/>
      </c>
      <c r="Z2483" s="15"/>
    </row>
    <row r="2484" spans="1:26" x14ac:dyDescent="0.25">
      <c r="A2484" s="15" t="str">
        <f>IF(C2484="","",COUNTA($C$3:C2484))</f>
        <v/>
      </c>
      <c r="B2484" s="15" t="str">
        <f t="shared" si="267"/>
        <v/>
      </c>
      <c r="M2484" s="9"/>
      <c r="N2484" s="9"/>
      <c r="P2484" s="14"/>
      <c r="Q2484" s="85"/>
      <c r="R2484" s="89"/>
      <c r="U2484" s="11" t="str">
        <f t="shared" si="265"/>
        <v/>
      </c>
      <c r="V2484" s="12" t="str">
        <f t="shared" si="266"/>
        <v/>
      </c>
      <c r="Z2484" s="15"/>
    </row>
    <row r="2485" spans="1:26" x14ac:dyDescent="0.25">
      <c r="A2485" s="15" t="str">
        <f>IF(C2485="","",COUNTA($C$3:C2485))</f>
        <v/>
      </c>
      <c r="B2485" s="15" t="str">
        <f t="shared" si="267"/>
        <v/>
      </c>
      <c r="M2485" s="9"/>
      <c r="N2485" s="9"/>
      <c r="P2485" s="14"/>
      <c r="Q2485" s="85"/>
      <c r="R2485" s="89"/>
      <c r="U2485" s="11" t="str">
        <f t="shared" si="265"/>
        <v/>
      </c>
      <c r="V2485" s="12" t="str">
        <f t="shared" si="266"/>
        <v/>
      </c>
      <c r="Z2485" s="15"/>
    </row>
    <row r="2486" spans="1:26" x14ac:dyDescent="0.25">
      <c r="A2486" s="15" t="str">
        <f>IF(C2486="","",COUNTA($C$3:C2486))</f>
        <v/>
      </c>
      <c r="B2486" s="15" t="str">
        <f t="shared" si="267"/>
        <v/>
      </c>
      <c r="M2486" s="9"/>
      <c r="N2486" s="9"/>
      <c r="P2486" s="14"/>
      <c r="Q2486" s="85"/>
      <c r="R2486" s="89"/>
      <c r="U2486" s="11" t="str">
        <f t="shared" si="265"/>
        <v/>
      </c>
      <c r="V2486" s="12" t="str">
        <f t="shared" si="266"/>
        <v/>
      </c>
      <c r="Z2486" s="15"/>
    </row>
    <row r="2487" spans="1:26" x14ac:dyDescent="0.25">
      <c r="A2487" s="15" t="str">
        <f>IF(C2487="","",COUNTA($C$3:C2487))</f>
        <v/>
      </c>
      <c r="B2487" s="15" t="str">
        <f t="shared" si="267"/>
        <v/>
      </c>
      <c r="M2487" s="9"/>
      <c r="N2487" s="9"/>
      <c r="P2487" s="14"/>
      <c r="Q2487" s="85"/>
      <c r="R2487" s="89"/>
      <c r="U2487" s="11" t="str">
        <f t="shared" si="265"/>
        <v/>
      </c>
      <c r="V2487" s="12" t="str">
        <f t="shared" si="266"/>
        <v/>
      </c>
      <c r="Z2487" s="15"/>
    </row>
    <row r="2488" spans="1:26" x14ac:dyDescent="0.25">
      <c r="A2488" s="15" t="str">
        <f>IF(C2488="","",COUNTA($C$3:C2488))</f>
        <v/>
      </c>
      <c r="B2488" s="15" t="str">
        <f t="shared" si="267"/>
        <v/>
      </c>
      <c r="M2488" s="9"/>
      <c r="N2488" s="9"/>
      <c r="P2488" s="14"/>
      <c r="Q2488" s="85"/>
      <c r="R2488" s="89"/>
      <c r="U2488" s="11" t="str">
        <f t="shared" si="265"/>
        <v/>
      </c>
      <c r="V2488" s="12" t="str">
        <f t="shared" si="266"/>
        <v/>
      </c>
      <c r="Z2488" s="15"/>
    </row>
    <row r="2489" spans="1:26" x14ac:dyDescent="0.25">
      <c r="A2489" s="15" t="str">
        <f>IF(C2489="","",COUNTA($C$3:C2489))</f>
        <v/>
      </c>
      <c r="B2489" s="15" t="str">
        <f t="shared" si="267"/>
        <v/>
      </c>
      <c r="M2489" s="9"/>
      <c r="N2489" s="9"/>
      <c r="P2489" s="14"/>
      <c r="Q2489" s="85"/>
      <c r="R2489" s="89"/>
      <c r="U2489" s="11" t="str">
        <f t="shared" si="265"/>
        <v/>
      </c>
      <c r="V2489" s="12" t="str">
        <f t="shared" si="266"/>
        <v/>
      </c>
      <c r="Z2489" s="15"/>
    </row>
    <row r="2490" spans="1:26" x14ac:dyDescent="0.25">
      <c r="A2490" s="15" t="str">
        <f>IF(C2490="","",COUNTA($C$3:C2490))</f>
        <v/>
      </c>
      <c r="B2490" s="15" t="str">
        <f t="shared" si="267"/>
        <v/>
      </c>
      <c r="M2490" s="9"/>
      <c r="N2490" s="9"/>
      <c r="P2490" s="14"/>
      <c r="Q2490" s="85"/>
      <c r="R2490" s="89"/>
      <c r="U2490" s="11" t="str">
        <f t="shared" si="265"/>
        <v/>
      </c>
      <c r="V2490" s="12" t="str">
        <f t="shared" si="266"/>
        <v/>
      </c>
      <c r="Z2490" s="15"/>
    </row>
    <row r="2491" spans="1:26" x14ac:dyDescent="0.25">
      <c r="A2491" s="15" t="str">
        <f>IF(C2491="","",COUNTA($C$3:C2491))</f>
        <v/>
      </c>
      <c r="B2491" s="15" t="str">
        <f t="shared" si="267"/>
        <v/>
      </c>
      <c r="M2491" s="9"/>
      <c r="N2491" s="9"/>
      <c r="P2491" s="14"/>
      <c r="Q2491" s="85"/>
      <c r="R2491" s="89"/>
      <c r="U2491" s="11" t="str">
        <f t="shared" si="265"/>
        <v/>
      </c>
      <c r="V2491" s="12" t="str">
        <f t="shared" si="266"/>
        <v/>
      </c>
      <c r="Z2491" s="15"/>
    </row>
    <row r="2492" spans="1:26" x14ac:dyDescent="0.25">
      <c r="A2492" s="15" t="str">
        <f>IF(C2492="","",COUNTA($C$3:C2492))</f>
        <v/>
      </c>
      <c r="B2492" s="15" t="str">
        <f t="shared" si="267"/>
        <v/>
      </c>
      <c r="M2492" s="9"/>
      <c r="N2492" s="9"/>
      <c r="P2492" s="14"/>
      <c r="Q2492" s="85"/>
      <c r="R2492" s="89"/>
      <c r="U2492" s="11" t="str">
        <f t="shared" si="265"/>
        <v/>
      </c>
      <c r="V2492" s="12" t="str">
        <f t="shared" si="266"/>
        <v/>
      </c>
      <c r="Z2492" s="15"/>
    </row>
    <row r="2493" spans="1:26" x14ac:dyDescent="0.25">
      <c r="A2493" s="15" t="str">
        <f>IF(C2493="","",COUNTA($C$3:C2493))</f>
        <v/>
      </c>
      <c r="B2493" s="15" t="str">
        <f t="shared" si="267"/>
        <v/>
      </c>
      <c r="M2493" s="9"/>
      <c r="N2493" s="9"/>
      <c r="P2493" s="14"/>
      <c r="Q2493" s="85"/>
      <c r="R2493" s="89"/>
      <c r="U2493" s="11" t="str">
        <f t="shared" si="265"/>
        <v/>
      </c>
      <c r="V2493" s="12" t="str">
        <f t="shared" si="266"/>
        <v/>
      </c>
      <c r="Z2493" s="15"/>
    </row>
    <row r="2494" spans="1:26" x14ac:dyDescent="0.25">
      <c r="A2494" s="15" t="str">
        <f>IF(C2494="","",COUNTA($C$3:C2494))</f>
        <v/>
      </c>
      <c r="B2494" s="15" t="str">
        <f t="shared" si="267"/>
        <v/>
      </c>
      <c r="M2494" s="9"/>
      <c r="N2494" s="9"/>
      <c r="P2494" s="14"/>
      <c r="Q2494" s="85"/>
      <c r="R2494" s="89"/>
      <c r="U2494" s="11" t="str">
        <f t="shared" si="265"/>
        <v/>
      </c>
      <c r="V2494" s="12" t="str">
        <f t="shared" si="266"/>
        <v/>
      </c>
      <c r="Z2494" s="15"/>
    </row>
    <row r="2495" spans="1:26" x14ac:dyDescent="0.25">
      <c r="A2495" s="15" t="str">
        <f>IF(C2495="","",COUNTA($C$3:C2495))</f>
        <v/>
      </c>
      <c r="B2495" s="15" t="str">
        <f t="shared" si="267"/>
        <v/>
      </c>
      <c r="M2495" s="9"/>
      <c r="N2495" s="9"/>
      <c r="P2495" s="14"/>
      <c r="Q2495" s="85"/>
      <c r="R2495" s="89"/>
      <c r="U2495" s="11" t="str">
        <f t="shared" si="265"/>
        <v/>
      </c>
      <c r="V2495" s="12" t="str">
        <f t="shared" si="266"/>
        <v/>
      </c>
      <c r="Z2495" s="15"/>
    </row>
    <row r="2496" spans="1:26" x14ac:dyDescent="0.25">
      <c r="A2496" s="15" t="str">
        <f>IF(C2496="","",COUNTA($C$3:C2496))</f>
        <v/>
      </c>
      <c r="B2496" s="15" t="str">
        <f t="shared" si="267"/>
        <v/>
      </c>
      <c r="M2496" s="9"/>
      <c r="N2496" s="9"/>
      <c r="P2496" s="14"/>
      <c r="Q2496" s="85"/>
      <c r="R2496" s="89"/>
      <c r="U2496" s="11" t="str">
        <f t="shared" si="265"/>
        <v/>
      </c>
      <c r="V2496" s="12" t="str">
        <f t="shared" si="266"/>
        <v/>
      </c>
      <c r="Z2496" s="15"/>
    </row>
    <row r="2497" spans="1:26" x14ac:dyDescent="0.25">
      <c r="A2497" s="15" t="str">
        <f>IF(C2497="","",COUNTA($C$3:C2497))</f>
        <v/>
      </c>
      <c r="B2497" s="15" t="str">
        <f t="shared" si="267"/>
        <v/>
      </c>
      <c r="M2497" s="9"/>
      <c r="N2497" s="9"/>
      <c r="P2497" s="14"/>
      <c r="Q2497" s="85"/>
      <c r="R2497" s="89"/>
      <c r="U2497" s="11" t="str">
        <f t="shared" si="265"/>
        <v/>
      </c>
      <c r="V2497" s="12" t="str">
        <f t="shared" si="266"/>
        <v/>
      </c>
      <c r="Z2497" s="15"/>
    </row>
    <row r="2498" spans="1:26" x14ac:dyDescent="0.25">
      <c r="A2498" s="15" t="str">
        <f>IF(C2498="","",COUNTA($C$3:C2498))</f>
        <v/>
      </c>
      <c r="B2498" s="15" t="str">
        <f t="shared" si="267"/>
        <v/>
      </c>
      <c r="M2498" s="9"/>
      <c r="N2498" s="9"/>
      <c r="P2498" s="14"/>
      <c r="Q2498" s="85"/>
      <c r="R2498" s="89"/>
      <c r="U2498" s="11" t="str">
        <f t="shared" ref="U2498:U2561" si="268">IF(S2498="","",(S2498-T2498))</f>
        <v/>
      </c>
      <c r="V2498" s="12" t="str">
        <f t="shared" ref="V2498:V2561" si="269">IF(U2498="","",(U2498/T2498))</f>
        <v/>
      </c>
      <c r="Z2498" s="15"/>
    </row>
    <row r="2499" spans="1:26" x14ac:dyDescent="0.25">
      <c r="A2499" s="15" t="str">
        <f>IF(C2499="","",COUNTA($C$3:C2499))</f>
        <v/>
      </c>
      <c r="B2499" s="15" t="str">
        <f t="shared" ref="B2499:B2562" si="270">IF(C2499="","",TEXT(C2499,"mmmm"))</f>
        <v/>
      </c>
      <c r="M2499" s="9"/>
      <c r="N2499" s="9"/>
      <c r="P2499" s="14"/>
      <c r="Q2499" s="85"/>
      <c r="R2499" s="89"/>
      <c r="U2499" s="11" t="str">
        <f t="shared" si="268"/>
        <v/>
      </c>
      <c r="V2499" s="12" t="str">
        <f t="shared" si="269"/>
        <v/>
      </c>
      <c r="Z2499" s="15"/>
    </row>
    <row r="2500" spans="1:26" x14ac:dyDescent="0.25">
      <c r="A2500" s="15" t="str">
        <f>IF(C2500="","",COUNTA($C$3:C2500))</f>
        <v/>
      </c>
      <c r="B2500" s="15" t="str">
        <f t="shared" si="270"/>
        <v/>
      </c>
      <c r="M2500" s="9"/>
      <c r="N2500" s="9"/>
      <c r="P2500" s="14"/>
      <c r="Q2500" s="85"/>
      <c r="R2500" s="89"/>
      <c r="U2500" s="11" t="str">
        <f t="shared" si="268"/>
        <v/>
      </c>
      <c r="V2500" s="12" t="str">
        <f t="shared" si="269"/>
        <v/>
      </c>
      <c r="Z2500" s="15"/>
    </row>
    <row r="2501" spans="1:26" x14ac:dyDescent="0.25">
      <c r="A2501" s="15" t="str">
        <f>IF(C2501="","",COUNTA($C$3:C2501))</f>
        <v/>
      </c>
      <c r="B2501" s="15" t="str">
        <f t="shared" si="270"/>
        <v/>
      </c>
      <c r="M2501" s="9"/>
      <c r="N2501" s="9"/>
      <c r="P2501" s="14"/>
      <c r="Q2501" s="85"/>
      <c r="R2501" s="89"/>
      <c r="U2501" s="11" t="str">
        <f t="shared" si="268"/>
        <v/>
      </c>
      <c r="V2501" s="12" t="str">
        <f t="shared" si="269"/>
        <v/>
      </c>
      <c r="Z2501" s="15"/>
    </row>
    <row r="2502" spans="1:26" x14ac:dyDescent="0.25">
      <c r="A2502" s="15" t="str">
        <f>IF(C2502="","",COUNTA($C$3:C2502))</f>
        <v/>
      </c>
      <c r="B2502" s="15" t="str">
        <f t="shared" si="270"/>
        <v/>
      </c>
      <c r="M2502" s="9"/>
      <c r="N2502" s="9"/>
      <c r="P2502" s="14"/>
      <c r="Q2502" s="85"/>
      <c r="R2502" s="89"/>
      <c r="U2502" s="11" t="str">
        <f t="shared" si="268"/>
        <v/>
      </c>
      <c r="V2502" s="12" t="str">
        <f t="shared" si="269"/>
        <v/>
      </c>
      <c r="Z2502" s="15"/>
    </row>
    <row r="2503" spans="1:26" x14ac:dyDescent="0.25">
      <c r="A2503" s="15" t="str">
        <f>IF(C2503="","",COUNTA($C$3:C2503))</f>
        <v/>
      </c>
      <c r="B2503" s="15" t="str">
        <f t="shared" si="270"/>
        <v/>
      </c>
      <c r="M2503" s="9"/>
      <c r="N2503" s="9"/>
      <c r="P2503" s="14"/>
      <c r="Q2503" s="85"/>
      <c r="R2503" s="89"/>
      <c r="U2503" s="11" t="str">
        <f t="shared" si="268"/>
        <v/>
      </c>
      <c r="V2503" s="12" t="str">
        <f t="shared" si="269"/>
        <v/>
      </c>
      <c r="Z2503" s="15"/>
    </row>
    <row r="2504" spans="1:26" x14ac:dyDescent="0.25">
      <c r="A2504" s="15" t="str">
        <f>IF(C2504="","",COUNTA($C$3:C2504))</f>
        <v/>
      </c>
      <c r="B2504" s="15" t="str">
        <f t="shared" si="270"/>
        <v/>
      </c>
      <c r="M2504" s="9"/>
      <c r="N2504" s="9"/>
      <c r="P2504" s="14"/>
      <c r="Q2504" s="85"/>
      <c r="R2504" s="89"/>
      <c r="U2504" s="11" t="str">
        <f t="shared" si="268"/>
        <v/>
      </c>
      <c r="V2504" s="12" t="str">
        <f t="shared" si="269"/>
        <v/>
      </c>
      <c r="Z2504" s="15"/>
    </row>
    <row r="2505" spans="1:26" x14ac:dyDescent="0.25">
      <c r="A2505" s="15" t="str">
        <f>IF(C2505="","",COUNTA($C$3:C2505))</f>
        <v/>
      </c>
      <c r="B2505" s="15" t="str">
        <f t="shared" si="270"/>
        <v/>
      </c>
      <c r="M2505" s="9"/>
      <c r="N2505" s="9"/>
      <c r="P2505" s="14"/>
      <c r="Q2505" s="85"/>
      <c r="R2505" s="89"/>
      <c r="U2505" s="11" t="str">
        <f t="shared" si="268"/>
        <v/>
      </c>
      <c r="V2505" s="12" t="str">
        <f t="shared" si="269"/>
        <v/>
      </c>
      <c r="Z2505" s="15"/>
    </row>
    <row r="2506" spans="1:26" x14ac:dyDescent="0.25">
      <c r="A2506" s="15" t="str">
        <f>IF(C2506="","",COUNTA($C$3:C2506))</f>
        <v/>
      </c>
      <c r="B2506" s="15" t="str">
        <f t="shared" si="270"/>
        <v/>
      </c>
      <c r="M2506" s="9"/>
      <c r="N2506" s="9"/>
      <c r="P2506" s="14"/>
      <c r="Q2506" s="85"/>
      <c r="R2506" s="89"/>
      <c r="U2506" s="11" t="str">
        <f t="shared" si="268"/>
        <v/>
      </c>
      <c r="V2506" s="12" t="str">
        <f t="shared" si="269"/>
        <v/>
      </c>
      <c r="Z2506" s="15"/>
    </row>
    <row r="2507" spans="1:26" x14ac:dyDescent="0.25">
      <c r="A2507" s="15" t="str">
        <f>IF(C2507="","",COUNTA($C$3:C2507))</f>
        <v/>
      </c>
      <c r="B2507" s="15" t="str">
        <f t="shared" si="270"/>
        <v/>
      </c>
      <c r="M2507" s="9"/>
      <c r="N2507" s="9"/>
      <c r="P2507" s="14"/>
      <c r="Q2507" s="85"/>
      <c r="R2507" s="89"/>
      <c r="U2507" s="11" t="str">
        <f t="shared" si="268"/>
        <v/>
      </c>
      <c r="V2507" s="12" t="str">
        <f t="shared" si="269"/>
        <v/>
      </c>
      <c r="Z2507" s="15"/>
    </row>
    <row r="2508" spans="1:26" x14ac:dyDescent="0.25">
      <c r="A2508" s="15" t="str">
        <f>IF(C2508="","",COUNTA($C$3:C2508))</f>
        <v/>
      </c>
      <c r="B2508" s="15" t="str">
        <f t="shared" si="270"/>
        <v/>
      </c>
      <c r="M2508" s="9"/>
      <c r="N2508" s="9"/>
      <c r="P2508" s="14"/>
      <c r="Q2508" s="85"/>
      <c r="R2508" s="89"/>
      <c r="U2508" s="11" t="str">
        <f t="shared" si="268"/>
        <v/>
      </c>
      <c r="V2508" s="12" t="str">
        <f t="shared" si="269"/>
        <v/>
      </c>
      <c r="Z2508" s="15"/>
    </row>
    <row r="2509" spans="1:26" x14ac:dyDescent="0.25">
      <c r="A2509" s="15" t="str">
        <f>IF(C2509="","",COUNTA($C$3:C2509))</f>
        <v/>
      </c>
      <c r="B2509" s="15" t="str">
        <f t="shared" si="270"/>
        <v/>
      </c>
      <c r="M2509" s="9"/>
      <c r="N2509" s="9"/>
      <c r="P2509" s="14"/>
      <c r="Q2509" s="85"/>
      <c r="R2509" s="89"/>
      <c r="U2509" s="11" t="str">
        <f t="shared" si="268"/>
        <v/>
      </c>
      <c r="V2509" s="12" t="str">
        <f t="shared" si="269"/>
        <v/>
      </c>
      <c r="Z2509" s="15"/>
    </row>
    <row r="2510" spans="1:26" x14ac:dyDescent="0.25">
      <c r="A2510" s="15" t="str">
        <f>IF(C2510="","",COUNTA($C$3:C2510))</f>
        <v/>
      </c>
      <c r="B2510" s="15" t="str">
        <f t="shared" si="270"/>
        <v/>
      </c>
      <c r="M2510" s="9"/>
      <c r="N2510" s="9"/>
      <c r="P2510" s="14"/>
      <c r="Q2510" s="85"/>
      <c r="R2510" s="89"/>
      <c r="U2510" s="11" t="str">
        <f t="shared" si="268"/>
        <v/>
      </c>
      <c r="V2510" s="12" t="str">
        <f t="shared" si="269"/>
        <v/>
      </c>
      <c r="Z2510" s="15"/>
    </row>
    <row r="2511" spans="1:26" x14ac:dyDescent="0.25">
      <c r="A2511" s="15" t="str">
        <f>IF(C2511="","",COUNTA($C$3:C2511))</f>
        <v/>
      </c>
      <c r="B2511" s="15" t="str">
        <f t="shared" si="270"/>
        <v/>
      </c>
      <c r="M2511" s="9"/>
      <c r="N2511" s="9"/>
      <c r="P2511" s="14"/>
      <c r="Q2511" s="85"/>
      <c r="R2511" s="89"/>
      <c r="U2511" s="11" t="str">
        <f t="shared" si="268"/>
        <v/>
      </c>
      <c r="V2511" s="12" t="str">
        <f t="shared" si="269"/>
        <v/>
      </c>
      <c r="Z2511" s="15"/>
    </row>
    <row r="2512" spans="1:26" x14ac:dyDescent="0.25">
      <c r="A2512" s="15" t="str">
        <f>IF(C2512="","",COUNTA($C$3:C2512))</f>
        <v/>
      </c>
      <c r="B2512" s="15" t="str">
        <f t="shared" si="270"/>
        <v/>
      </c>
      <c r="M2512" s="9"/>
      <c r="N2512" s="9"/>
      <c r="P2512" s="14"/>
      <c r="Q2512" s="85"/>
      <c r="R2512" s="89"/>
      <c r="U2512" s="11" t="str">
        <f t="shared" si="268"/>
        <v/>
      </c>
      <c r="V2512" s="12" t="str">
        <f t="shared" si="269"/>
        <v/>
      </c>
      <c r="Z2512" s="15"/>
    </row>
    <row r="2513" spans="1:26" x14ac:dyDescent="0.25">
      <c r="A2513" s="15" t="str">
        <f>IF(C2513="","",COUNTA($C$3:C2513))</f>
        <v/>
      </c>
      <c r="B2513" s="15" t="str">
        <f t="shared" si="270"/>
        <v/>
      </c>
      <c r="M2513" s="9"/>
      <c r="N2513" s="9"/>
      <c r="P2513" s="14"/>
      <c r="Q2513" s="85"/>
      <c r="R2513" s="89"/>
      <c r="U2513" s="11" t="str">
        <f t="shared" si="268"/>
        <v/>
      </c>
      <c r="V2513" s="12" t="str">
        <f t="shared" si="269"/>
        <v/>
      </c>
      <c r="Z2513" s="15"/>
    </row>
    <row r="2514" spans="1:26" x14ac:dyDescent="0.25">
      <c r="A2514" s="15" t="str">
        <f>IF(C2514="","",COUNTA($C$3:C2514))</f>
        <v/>
      </c>
      <c r="B2514" s="15" t="str">
        <f t="shared" si="270"/>
        <v/>
      </c>
      <c r="M2514" s="9"/>
      <c r="N2514" s="9"/>
      <c r="P2514" s="14"/>
      <c r="Q2514" s="85"/>
      <c r="R2514" s="89"/>
      <c r="U2514" s="11" t="str">
        <f t="shared" si="268"/>
        <v/>
      </c>
      <c r="V2514" s="12" t="str">
        <f t="shared" si="269"/>
        <v/>
      </c>
      <c r="Z2514" s="15"/>
    </row>
    <row r="2515" spans="1:26" x14ac:dyDescent="0.25">
      <c r="A2515" s="15" t="str">
        <f>IF(C2515="","",COUNTA($C$3:C2515))</f>
        <v/>
      </c>
      <c r="B2515" s="15" t="str">
        <f t="shared" si="270"/>
        <v/>
      </c>
      <c r="M2515" s="9"/>
      <c r="N2515" s="9"/>
      <c r="P2515" s="14"/>
      <c r="Q2515" s="85"/>
      <c r="R2515" s="89"/>
      <c r="U2515" s="11" t="str">
        <f t="shared" si="268"/>
        <v/>
      </c>
      <c r="V2515" s="12" t="str">
        <f t="shared" si="269"/>
        <v/>
      </c>
      <c r="Z2515" s="15"/>
    </row>
    <row r="2516" spans="1:26" x14ac:dyDescent="0.25">
      <c r="A2516" s="15" t="str">
        <f>IF(C2516="","",COUNTA($C$3:C2516))</f>
        <v/>
      </c>
      <c r="B2516" s="15" t="str">
        <f t="shared" si="270"/>
        <v/>
      </c>
      <c r="M2516" s="9"/>
      <c r="N2516" s="9"/>
      <c r="P2516" s="14"/>
      <c r="Q2516" s="85"/>
      <c r="R2516" s="89"/>
      <c r="U2516" s="11" t="str">
        <f t="shared" si="268"/>
        <v/>
      </c>
      <c r="V2516" s="12" t="str">
        <f t="shared" si="269"/>
        <v/>
      </c>
      <c r="Z2516" s="15"/>
    </row>
    <row r="2517" spans="1:26" x14ac:dyDescent="0.25">
      <c r="A2517" s="15" t="str">
        <f>IF(C2517="","",COUNTA($C$3:C2517))</f>
        <v/>
      </c>
      <c r="B2517" s="15" t="str">
        <f t="shared" si="270"/>
        <v/>
      </c>
      <c r="M2517" s="9"/>
      <c r="N2517" s="9"/>
      <c r="P2517" s="14"/>
      <c r="Q2517" s="85"/>
      <c r="R2517" s="89"/>
      <c r="U2517" s="11" t="str">
        <f t="shared" si="268"/>
        <v/>
      </c>
      <c r="V2517" s="12" t="str">
        <f t="shared" si="269"/>
        <v/>
      </c>
      <c r="Z2517" s="15"/>
    </row>
    <row r="2518" spans="1:26" x14ac:dyDescent="0.25">
      <c r="A2518" s="15" t="str">
        <f>IF(C2518="","",COUNTA($C$3:C2518))</f>
        <v/>
      </c>
      <c r="B2518" s="15" t="str">
        <f t="shared" si="270"/>
        <v/>
      </c>
      <c r="M2518" s="9"/>
      <c r="N2518" s="9"/>
      <c r="P2518" s="14"/>
      <c r="Q2518" s="85"/>
      <c r="R2518" s="89"/>
      <c r="U2518" s="11" t="str">
        <f t="shared" si="268"/>
        <v/>
      </c>
      <c r="V2518" s="12" t="str">
        <f t="shared" si="269"/>
        <v/>
      </c>
      <c r="Z2518" s="15"/>
    </row>
    <row r="2519" spans="1:26" x14ac:dyDescent="0.25">
      <c r="A2519" s="15" t="str">
        <f>IF(C2519="","",COUNTA($C$3:C2519))</f>
        <v/>
      </c>
      <c r="B2519" s="15" t="str">
        <f t="shared" si="270"/>
        <v/>
      </c>
      <c r="M2519" s="9"/>
      <c r="N2519" s="9"/>
      <c r="P2519" s="14"/>
      <c r="Q2519" s="85"/>
      <c r="R2519" s="89"/>
      <c r="U2519" s="11" t="str">
        <f t="shared" si="268"/>
        <v/>
      </c>
      <c r="V2519" s="12" t="str">
        <f t="shared" si="269"/>
        <v/>
      </c>
      <c r="Z2519" s="15"/>
    </row>
    <row r="2520" spans="1:26" x14ac:dyDescent="0.25">
      <c r="A2520" s="15" t="str">
        <f>IF(C2520="","",COUNTA($C$3:C2520))</f>
        <v/>
      </c>
      <c r="B2520" s="15" t="str">
        <f t="shared" si="270"/>
        <v/>
      </c>
      <c r="M2520" s="9"/>
      <c r="N2520" s="9"/>
      <c r="P2520" s="14"/>
      <c r="Q2520" s="85"/>
      <c r="R2520" s="89"/>
      <c r="U2520" s="11" t="str">
        <f t="shared" si="268"/>
        <v/>
      </c>
      <c r="V2520" s="12" t="str">
        <f t="shared" si="269"/>
        <v/>
      </c>
      <c r="Z2520" s="15"/>
    </row>
    <row r="2521" spans="1:26" x14ac:dyDescent="0.25">
      <c r="A2521" s="15" t="str">
        <f>IF(C2521="","",COUNTA($C$3:C2521))</f>
        <v/>
      </c>
      <c r="B2521" s="15" t="str">
        <f t="shared" si="270"/>
        <v/>
      </c>
      <c r="M2521" s="9"/>
      <c r="N2521" s="9"/>
      <c r="P2521" s="14"/>
      <c r="Q2521" s="85"/>
      <c r="R2521" s="89"/>
      <c r="U2521" s="11" t="str">
        <f t="shared" si="268"/>
        <v/>
      </c>
      <c r="V2521" s="12" t="str">
        <f t="shared" si="269"/>
        <v/>
      </c>
      <c r="Z2521" s="15"/>
    </row>
    <row r="2522" spans="1:26" x14ac:dyDescent="0.25">
      <c r="A2522" s="15" t="str">
        <f>IF(C2522="","",COUNTA($C$3:C2522))</f>
        <v/>
      </c>
      <c r="B2522" s="15" t="str">
        <f t="shared" si="270"/>
        <v/>
      </c>
      <c r="M2522" s="9"/>
      <c r="N2522" s="9"/>
      <c r="P2522" s="14"/>
      <c r="Q2522" s="85"/>
      <c r="R2522" s="89"/>
      <c r="U2522" s="11" t="str">
        <f t="shared" si="268"/>
        <v/>
      </c>
      <c r="V2522" s="12" t="str">
        <f t="shared" si="269"/>
        <v/>
      </c>
      <c r="Z2522" s="15"/>
    </row>
    <row r="2523" spans="1:26" x14ac:dyDescent="0.25">
      <c r="A2523" s="15" t="str">
        <f>IF(C2523="","",COUNTA($C$3:C2523))</f>
        <v/>
      </c>
      <c r="B2523" s="15" t="str">
        <f t="shared" si="270"/>
        <v/>
      </c>
      <c r="M2523" s="9"/>
      <c r="N2523" s="9"/>
      <c r="P2523" s="14"/>
      <c r="Q2523" s="85"/>
      <c r="R2523" s="89"/>
      <c r="U2523" s="11" t="str">
        <f t="shared" si="268"/>
        <v/>
      </c>
      <c r="V2523" s="12" t="str">
        <f t="shared" si="269"/>
        <v/>
      </c>
      <c r="Z2523" s="15"/>
    </row>
    <row r="2524" spans="1:26" x14ac:dyDescent="0.25">
      <c r="A2524" s="15" t="str">
        <f>IF(C2524="","",COUNTA($C$3:C2524))</f>
        <v/>
      </c>
      <c r="B2524" s="15" t="str">
        <f t="shared" si="270"/>
        <v/>
      </c>
      <c r="M2524" s="9"/>
      <c r="N2524" s="9"/>
      <c r="P2524" s="14"/>
      <c r="Q2524" s="85"/>
      <c r="R2524" s="89"/>
      <c r="U2524" s="11" t="str">
        <f t="shared" si="268"/>
        <v/>
      </c>
      <c r="V2524" s="12" t="str">
        <f t="shared" si="269"/>
        <v/>
      </c>
      <c r="Z2524" s="15"/>
    </row>
    <row r="2525" spans="1:26" x14ac:dyDescent="0.25">
      <c r="A2525" s="15" t="str">
        <f>IF(C2525="","",COUNTA($C$3:C2525))</f>
        <v/>
      </c>
      <c r="B2525" s="15" t="str">
        <f t="shared" si="270"/>
        <v/>
      </c>
      <c r="M2525" s="9"/>
      <c r="N2525" s="9"/>
      <c r="P2525" s="14"/>
      <c r="Q2525" s="85"/>
      <c r="R2525" s="89"/>
      <c r="U2525" s="11" t="str">
        <f t="shared" si="268"/>
        <v/>
      </c>
      <c r="V2525" s="12" t="str">
        <f t="shared" si="269"/>
        <v/>
      </c>
      <c r="Z2525" s="15"/>
    </row>
    <row r="2526" spans="1:26" x14ac:dyDescent="0.25">
      <c r="A2526" s="15" t="str">
        <f>IF(C2526="","",COUNTA($C$3:C2526))</f>
        <v/>
      </c>
      <c r="B2526" s="15" t="str">
        <f t="shared" si="270"/>
        <v/>
      </c>
      <c r="M2526" s="9"/>
      <c r="N2526" s="9"/>
      <c r="P2526" s="14"/>
      <c r="Q2526" s="85"/>
      <c r="R2526" s="89"/>
      <c r="U2526" s="11" t="str">
        <f t="shared" si="268"/>
        <v/>
      </c>
      <c r="V2526" s="12" t="str">
        <f t="shared" si="269"/>
        <v/>
      </c>
      <c r="Z2526" s="15"/>
    </row>
    <row r="2527" spans="1:26" x14ac:dyDescent="0.25">
      <c r="A2527" s="15" t="str">
        <f>IF(C2527="","",COUNTA($C$3:C2527))</f>
        <v/>
      </c>
      <c r="B2527" s="15" t="str">
        <f t="shared" si="270"/>
        <v/>
      </c>
      <c r="M2527" s="9"/>
      <c r="N2527" s="9"/>
      <c r="P2527" s="14"/>
      <c r="Q2527" s="85"/>
      <c r="R2527" s="89"/>
      <c r="U2527" s="11" t="str">
        <f t="shared" si="268"/>
        <v/>
      </c>
      <c r="V2527" s="12" t="str">
        <f t="shared" si="269"/>
        <v/>
      </c>
      <c r="Z2527" s="15"/>
    </row>
    <row r="2528" spans="1:26" x14ac:dyDescent="0.25">
      <c r="A2528" s="15" t="str">
        <f>IF(C2528="","",COUNTA($C$3:C2528))</f>
        <v/>
      </c>
      <c r="B2528" s="15" t="str">
        <f t="shared" si="270"/>
        <v/>
      </c>
      <c r="M2528" s="9"/>
      <c r="N2528" s="9"/>
      <c r="P2528" s="14"/>
      <c r="Q2528" s="85"/>
      <c r="R2528" s="89"/>
      <c r="U2528" s="11" t="str">
        <f t="shared" si="268"/>
        <v/>
      </c>
      <c r="V2528" s="12" t="str">
        <f t="shared" si="269"/>
        <v/>
      </c>
      <c r="Z2528" s="15"/>
    </row>
    <row r="2529" spans="1:26" x14ac:dyDescent="0.25">
      <c r="A2529" s="15" t="str">
        <f>IF(C2529="","",COUNTA($C$3:C2529))</f>
        <v/>
      </c>
      <c r="B2529" s="15" t="str">
        <f t="shared" si="270"/>
        <v/>
      </c>
      <c r="M2529" s="9"/>
      <c r="N2529" s="9"/>
      <c r="P2529" s="14"/>
      <c r="Q2529" s="85"/>
      <c r="R2529" s="89"/>
      <c r="U2529" s="11" t="str">
        <f t="shared" si="268"/>
        <v/>
      </c>
      <c r="V2529" s="12" t="str">
        <f t="shared" si="269"/>
        <v/>
      </c>
      <c r="Z2529" s="15"/>
    </row>
    <row r="2530" spans="1:26" x14ac:dyDescent="0.25">
      <c r="A2530" s="15" t="str">
        <f>IF(C2530="","",COUNTA($C$3:C2530))</f>
        <v/>
      </c>
      <c r="B2530" s="15" t="str">
        <f t="shared" si="270"/>
        <v/>
      </c>
      <c r="M2530" s="9"/>
      <c r="N2530" s="9"/>
      <c r="P2530" s="14"/>
      <c r="Q2530" s="85"/>
      <c r="R2530" s="89"/>
      <c r="U2530" s="11" t="str">
        <f t="shared" si="268"/>
        <v/>
      </c>
      <c r="V2530" s="12" t="str">
        <f t="shared" si="269"/>
        <v/>
      </c>
      <c r="Z2530" s="15"/>
    </row>
    <row r="2531" spans="1:26" x14ac:dyDescent="0.25">
      <c r="A2531" s="15" t="str">
        <f>IF(C2531="","",COUNTA($C$3:C2531))</f>
        <v/>
      </c>
      <c r="B2531" s="15" t="str">
        <f t="shared" si="270"/>
        <v/>
      </c>
      <c r="M2531" s="9"/>
      <c r="N2531" s="9"/>
      <c r="P2531" s="14"/>
      <c r="Q2531" s="85"/>
      <c r="R2531" s="89"/>
      <c r="U2531" s="11" t="str">
        <f t="shared" si="268"/>
        <v/>
      </c>
      <c r="V2531" s="12" t="str">
        <f t="shared" si="269"/>
        <v/>
      </c>
      <c r="Z2531" s="15"/>
    </row>
    <row r="2532" spans="1:26" x14ac:dyDescent="0.25">
      <c r="A2532" s="15" t="str">
        <f>IF(C2532="","",COUNTA($C$3:C2532))</f>
        <v/>
      </c>
      <c r="B2532" s="15" t="str">
        <f t="shared" si="270"/>
        <v/>
      </c>
      <c r="M2532" s="9"/>
      <c r="N2532" s="9"/>
      <c r="P2532" s="14"/>
      <c r="Q2532" s="85"/>
      <c r="R2532" s="89"/>
      <c r="U2532" s="11" t="str">
        <f t="shared" si="268"/>
        <v/>
      </c>
      <c r="V2532" s="12" t="str">
        <f t="shared" si="269"/>
        <v/>
      </c>
      <c r="Z2532" s="15"/>
    </row>
    <row r="2533" spans="1:26" x14ac:dyDescent="0.25">
      <c r="A2533" s="15" t="str">
        <f>IF(C2533="","",COUNTA($C$3:C2533))</f>
        <v/>
      </c>
      <c r="B2533" s="15" t="str">
        <f t="shared" si="270"/>
        <v/>
      </c>
      <c r="M2533" s="9"/>
      <c r="N2533" s="9"/>
      <c r="P2533" s="14"/>
      <c r="Q2533" s="85"/>
      <c r="R2533" s="89"/>
      <c r="U2533" s="11" t="str">
        <f t="shared" si="268"/>
        <v/>
      </c>
      <c r="V2533" s="12" t="str">
        <f t="shared" si="269"/>
        <v/>
      </c>
      <c r="Z2533" s="15"/>
    </row>
    <row r="2534" spans="1:26" x14ac:dyDescent="0.25">
      <c r="A2534" s="15" t="str">
        <f>IF(C2534="","",COUNTA($C$3:C2534))</f>
        <v/>
      </c>
      <c r="B2534" s="15" t="str">
        <f t="shared" si="270"/>
        <v/>
      </c>
      <c r="M2534" s="9"/>
      <c r="N2534" s="9"/>
      <c r="P2534" s="14"/>
      <c r="Q2534" s="85"/>
      <c r="R2534" s="89"/>
      <c r="U2534" s="11" t="str">
        <f t="shared" si="268"/>
        <v/>
      </c>
      <c r="V2534" s="12" t="str">
        <f t="shared" si="269"/>
        <v/>
      </c>
      <c r="Z2534" s="15"/>
    </row>
    <row r="2535" spans="1:26" x14ac:dyDescent="0.25">
      <c r="A2535" s="15" t="str">
        <f>IF(C2535="","",COUNTA($C$3:C2535))</f>
        <v/>
      </c>
      <c r="B2535" s="15" t="str">
        <f t="shared" si="270"/>
        <v/>
      </c>
      <c r="M2535" s="9"/>
      <c r="N2535" s="9"/>
      <c r="P2535" s="14"/>
      <c r="Q2535" s="85"/>
      <c r="R2535" s="89"/>
      <c r="U2535" s="11" t="str">
        <f t="shared" si="268"/>
        <v/>
      </c>
      <c r="V2535" s="12" t="str">
        <f t="shared" si="269"/>
        <v/>
      </c>
      <c r="Z2535" s="15"/>
    </row>
    <row r="2536" spans="1:26" x14ac:dyDescent="0.25">
      <c r="A2536" s="15" t="str">
        <f>IF(C2536="","",COUNTA($C$3:C2536))</f>
        <v/>
      </c>
      <c r="B2536" s="15" t="str">
        <f t="shared" si="270"/>
        <v/>
      </c>
      <c r="M2536" s="9"/>
      <c r="N2536" s="9"/>
      <c r="P2536" s="14"/>
      <c r="Q2536" s="85"/>
      <c r="R2536" s="89"/>
      <c r="U2536" s="11" t="str">
        <f t="shared" si="268"/>
        <v/>
      </c>
      <c r="V2536" s="12" t="str">
        <f t="shared" si="269"/>
        <v/>
      </c>
      <c r="Z2536" s="15"/>
    </row>
    <row r="2537" spans="1:26" x14ac:dyDescent="0.25">
      <c r="A2537" s="15" t="str">
        <f>IF(C2537="","",COUNTA($C$3:C2537))</f>
        <v/>
      </c>
      <c r="B2537" s="15" t="str">
        <f t="shared" si="270"/>
        <v/>
      </c>
      <c r="M2537" s="9"/>
      <c r="N2537" s="9"/>
      <c r="P2537" s="14"/>
      <c r="Q2537" s="85"/>
      <c r="R2537" s="89"/>
      <c r="U2537" s="11" t="str">
        <f t="shared" si="268"/>
        <v/>
      </c>
      <c r="V2537" s="12" t="str">
        <f t="shared" si="269"/>
        <v/>
      </c>
      <c r="Z2537" s="15"/>
    </row>
    <row r="2538" spans="1:26" x14ac:dyDescent="0.25">
      <c r="A2538" s="15" t="str">
        <f>IF(C2538="","",COUNTA($C$3:C2538))</f>
        <v/>
      </c>
      <c r="B2538" s="15" t="str">
        <f t="shared" si="270"/>
        <v/>
      </c>
      <c r="M2538" s="9"/>
      <c r="N2538" s="9"/>
      <c r="P2538" s="14"/>
      <c r="Q2538" s="85"/>
      <c r="R2538" s="89"/>
      <c r="U2538" s="11" t="str">
        <f t="shared" si="268"/>
        <v/>
      </c>
      <c r="V2538" s="12" t="str">
        <f t="shared" si="269"/>
        <v/>
      </c>
      <c r="Z2538" s="15"/>
    </row>
    <row r="2539" spans="1:26" x14ac:dyDescent="0.25">
      <c r="A2539" s="15" t="str">
        <f>IF(C2539="","",COUNTA($C$3:C2539))</f>
        <v/>
      </c>
      <c r="B2539" s="15" t="str">
        <f t="shared" si="270"/>
        <v/>
      </c>
      <c r="M2539" s="9"/>
      <c r="N2539" s="9"/>
      <c r="P2539" s="14"/>
      <c r="Q2539" s="85"/>
      <c r="R2539" s="89"/>
      <c r="U2539" s="11" t="str">
        <f t="shared" si="268"/>
        <v/>
      </c>
      <c r="V2539" s="12" t="str">
        <f t="shared" si="269"/>
        <v/>
      </c>
      <c r="Z2539" s="15"/>
    </row>
    <row r="2540" spans="1:26" x14ac:dyDescent="0.25">
      <c r="A2540" s="15" t="str">
        <f>IF(C2540="","",COUNTA($C$3:C2540))</f>
        <v/>
      </c>
      <c r="B2540" s="15" t="str">
        <f t="shared" si="270"/>
        <v/>
      </c>
      <c r="M2540" s="9"/>
      <c r="N2540" s="9"/>
      <c r="P2540" s="14"/>
      <c r="Q2540" s="85"/>
      <c r="R2540" s="89"/>
      <c r="U2540" s="11" t="str">
        <f t="shared" si="268"/>
        <v/>
      </c>
      <c r="V2540" s="12" t="str">
        <f t="shared" si="269"/>
        <v/>
      </c>
      <c r="Z2540" s="15"/>
    </row>
    <row r="2541" spans="1:26" x14ac:dyDescent="0.25">
      <c r="A2541" s="15" t="str">
        <f>IF(C2541="","",COUNTA($C$3:C2541))</f>
        <v/>
      </c>
      <c r="B2541" s="15" t="str">
        <f t="shared" si="270"/>
        <v/>
      </c>
      <c r="M2541" s="9"/>
      <c r="N2541" s="9"/>
      <c r="P2541" s="14"/>
      <c r="Q2541" s="85"/>
      <c r="R2541" s="89"/>
      <c r="U2541" s="11" t="str">
        <f t="shared" si="268"/>
        <v/>
      </c>
      <c r="V2541" s="12" t="str">
        <f t="shared" si="269"/>
        <v/>
      </c>
      <c r="Z2541" s="15"/>
    </row>
    <row r="2542" spans="1:26" x14ac:dyDescent="0.25">
      <c r="A2542" s="15" t="str">
        <f>IF(C2542="","",COUNTA($C$3:C2542))</f>
        <v/>
      </c>
      <c r="B2542" s="15" t="str">
        <f t="shared" si="270"/>
        <v/>
      </c>
      <c r="M2542" s="9"/>
      <c r="N2542" s="9"/>
      <c r="P2542" s="14"/>
      <c r="Q2542" s="85"/>
      <c r="R2542" s="89"/>
      <c r="U2542" s="11" t="str">
        <f t="shared" si="268"/>
        <v/>
      </c>
      <c r="V2542" s="12" t="str">
        <f t="shared" si="269"/>
        <v/>
      </c>
      <c r="Z2542" s="15"/>
    </row>
    <row r="2543" spans="1:26" x14ac:dyDescent="0.25">
      <c r="A2543" s="15" t="str">
        <f>IF(C2543="","",COUNTA($C$3:C2543))</f>
        <v/>
      </c>
      <c r="B2543" s="15" t="str">
        <f t="shared" si="270"/>
        <v/>
      </c>
      <c r="M2543" s="9"/>
      <c r="N2543" s="9"/>
      <c r="P2543" s="14"/>
      <c r="Q2543" s="85"/>
      <c r="R2543" s="89"/>
      <c r="U2543" s="11" t="str">
        <f t="shared" si="268"/>
        <v/>
      </c>
      <c r="V2543" s="12" t="str">
        <f t="shared" si="269"/>
        <v/>
      </c>
      <c r="Z2543" s="15"/>
    </row>
    <row r="2544" spans="1:26" x14ac:dyDescent="0.25">
      <c r="A2544" s="15" t="str">
        <f>IF(C2544="","",COUNTA($C$3:C2544))</f>
        <v/>
      </c>
      <c r="B2544" s="15" t="str">
        <f t="shared" si="270"/>
        <v/>
      </c>
      <c r="M2544" s="9"/>
      <c r="N2544" s="9"/>
      <c r="P2544" s="14"/>
      <c r="Q2544" s="85"/>
      <c r="R2544" s="89"/>
      <c r="U2544" s="11" t="str">
        <f t="shared" si="268"/>
        <v/>
      </c>
      <c r="V2544" s="12" t="str">
        <f t="shared" si="269"/>
        <v/>
      </c>
      <c r="Z2544" s="15"/>
    </row>
    <row r="2545" spans="1:26" x14ac:dyDescent="0.25">
      <c r="A2545" s="15" t="str">
        <f>IF(C2545="","",COUNTA($C$3:C2545))</f>
        <v/>
      </c>
      <c r="B2545" s="15" t="str">
        <f t="shared" si="270"/>
        <v/>
      </c>
      <c r="M2545" s="9"/>
      <c r="N2545" s="9"/>
      <c r="P2545" s="14"/>
      <c r="Q2545" s="85"/>
      <c r="R2545" s="89"/>
      <c r="U2545" s="11" t="str">
        <f t="shared" si="268"/>
        <v/>
      </c>
      <c r="V2545" s="12" t="str">
        <f t="shared" si="269"/>
        <v/>
      </c>
      <c r="Z2545" s="15"/>
    </row>
    <row r="2546" spans="1:26" x14ac:dyDescent="0.25">
      <c r="A2546" s="15" t="str">
        <f>IF(C2546="","",COUNTA($C$3:C2546))</f>
        <v/>
      </c>
      <c r="B2546" s="15" t="str">
        <f t="shared" si="270"/>
        <v/>
      </c>
      <c r="M2546" s="9"/>
      <c r="N2546" s="9"/>
      <c r="P2546" s="14"/>
      <c r="Q2546" s="85"/>
      <c r="R2546" s="89"/>
      <c r="U2546" s="11" t="str">
        <f t="shared" si="268"/>
        <v/>
      </c>
      <c r="V2546" s="12" t="str">
        <f t="shared" si="269"/>
        <v/>
      </c>
      <c r="Z2546" s="15"/>
    </row>
    <row r="2547" spans="1:26" x14ac:dyDescent="0.25">
      <c r="A2547" s="15" t="str">
        <f>IF(C2547="","",COUNTA($C$3:C2547))</f>
        <v/>
      </c>
      <c r="B2547" s="15" t="str">
        <f t="shared" si="270"/>
        <v/>
      </c>
      <c r="M2547" s="9"/>
      <c r="N2547" s="9"/>
      <c r="P2547" s="14"/>
      <c r="Q2547" s="85"/>
      <c r="R2547" s="89"/>
      <c r="U2547" s="11" t="str">
        <f t="shared" si="268"/>
        <v/>
      </c>
      <c r="V2547" s="12" t="str">
        <f t="shared" si="269"/>
        <v/>
      </c>
      <c r="Z2547" s="15"/>
    </row>
    <row r="2548" spans="1:26" x14ac:dyDescent="0.25">
      <c r="A2548" s="15" t="str">
        <f>IF(C2548="","",COUNTA($C$3:C2548))</f>
        <v/>
      </c>
      <c r="B2548" s="15" t="str">
        <f t="shared" si="270"/>
        <v/>
      </c>
      <c r="M2548" s="9"/>
      <c r="N2548" s="9"/>
      <c r="P2548" s="14"/>
      <c r="Q2548" s="85"/>
      <c r="R2548" s="89"/>
      <c r="U2548" s="11" t="str">
        <f t="shared" si="268"/>
        <v/>
      </c>
      <c r="V2548" s="12" t="str">
        <f t="shared" si="269"/>
        <v/>
      </c>
      <c r="Z2548" s="15"/>
    </row>
    <row r="2549" spans="1:26" x14ac:dyDescent="0.25">
      <c r="A2549" s="15" t="str">
        <f>IF(C2549="","",COUNTA($C$3:C2549))</f>
        <v/>
      </c>
      <c r="B2549" s="15" t="str">
        <f t="shared" si="270"/>
        <v/>
      </c>
      <c r="M2549" s="9"/>
      <c r="N2549" s="9"/>
      <c r="P2549" s="14"/>
      <c r="Q2549" s="85"/>
      <c r="R2549" s="89"/>
      <c r="U2549" s="11" t="str">
        <f t="shared" si="268"/>
        <v/>
      </c>
      <c r="V2549" s="12" t="str">
        <f t="shared" si="269"/>
        <v/>
      </c>
      <c r="Z2549" s="15"/>
    </row>
    <row r="2550" spans="1:26" x14ac:dyDescent="0.25">
      <c r="A2550" s="15" t="str">
        <f>IF(C2550="","",COUNTA($C$3:C2550))</f>
        <v/>
      </c>
      <c r="B2550" s="15" t="str">
        <f t="shared" si="270"/>
        <v/>
      </c>
      <c r="M2550" s="9"/>
      <c r="N2550" s="9"/>
      <c r="P2550" s="14"/>
      <c r="Q2550" s="85"/>
      <c r="R2550" s="89"/>
      <c r="U2550" s="11" t="str">
        <f t="shared" si="268"/>
        <v/>
      </c>
      <c r="V2550" s="12" t="str">
        <f t="shared" si="269"/>
        <v/>
      </c>
      <c r="Z2550" s="15"/>
    </row>
    <row r="2551" spans="1:26" x14ac:dyDescent="0.25">
      <c r="A2551" s="15" t="str">
        <f>IF(C2551="","",COUNTA($C$3:C2551))</f>
        <v/>
      </c>
      <c r="B2551" s="15" t="str">
        <f t="shared" si="270"/>
        <v/>
      </c>
      <c r="M2551" s="9"/>
      <c r="N2551" s="9"/>
      <c r="P2551" s="14"/>
      <c r="Q2551" s="85"/>
      <c r="R2551" s="89"/>
      <c r="U2551" s="11" t="str">
        <f t="shared" si="268"/>
        <v/>
      </c>
      <c r="V2551" s="12" t="str">
        <f t="shared" si="269"/>
        <v/>
      </c>
      <c r="Z2551" s="15"/>
    </row>
    <row r="2552" spans="1:26" x14ac:dyDescent="0.25">
      <c r="A2552" s="15" t="str">
        <f>IF(C2552="","",COUNTA($C$3:C2552))</f>
        <v/>
      </c>
      <c r="B2552" s="15" t="str">
        <f t="shared" si="270"/>
        <v/>
      </c>
      <c r="M2552" s="9"/>
      <c r="N2552" s="9"/>
      <c r="P2552" s="14"/>
      <c r="Q2552" s="85"/>
      <c r="R2552" s="89"/>
      <c r="U2552" s="11" t="str">
        <f t="shared" si="268"/>
        <v/>
      </c>
      <c r="V2552" s="12" t="str">
        <f t="shared" si="269"/>
        <v/>
      </c>
      <c r="Z2552" s="15"/>
    </row>
    <row r="2553" spans="1:26" x14ac:dyDescent="0.25">
      <c r="A2553" s="15" t="str">
        <f>IF(C2553="","",COUNTA($C$3:C2553))</f>
        <v/>
      </c>
      <c r="B2553" s="15" t="str">
        <f t="shared" si="270"/>
        <v/>
      </c>
      <c r="M2553" s="9"/>
      <c r="N2553" s="9"/>
      <c r="P2553" s="14"/>
      <c r="Q2553" s="85"/>
      <c r="R2553" s="89"/>
      <c r="U2553" s="11" t="str">
        <f t="shared" si="268"/>
        <v/>
      </c>
      <c r="V2553" s="12" t="str">
        <f t="shared" si="269"/>
        <v/>
      </c>
      <c r="Z2553" s="15"/>
    </row>
    <row r="2554" spans="1:26" x14ac:dyDescent="0.25">
      <c r="A2554" s="15" t="str">
        <f>IF(C2554="","",COUNTA($C$3:C2554))</f>
        <v/>
      </c>
      <c r="B2554" s="15" t="str">
        <f t="shared" si="270"/>
        <v/>
      </c>
      <c r="M2554" s="9"/>
      <c r="N2554" s="9"/>
      <c r="P2554" s="14"/>
      <c r="Q2554" s="85"/>
      <c r="R2554" s="89"/>
      <c r="U2554" s="11" t="str">
        <f t="shared" si="268"/>
        <v/>
      </c>
      <c r="V2554" s="12" t="str">
        <f t="shared" si="269"/>
        <v/>
      </c>
      <c r="Z2554" s="15"/>
    </row>
    <row r="2555" spans="1:26" x14ac:dyDescent="0.25">
      <c r="A2555" s="15" t="str">
        <f>IF(C2555="","",COUNTA($C$3:C2555))</f>
        <v/>
      </c>
      <c r="B2555" s="15" t="str">
        <f t="shared" si="270"/>
        <v/>
      </c>
      <c r="M2555" s="9"/>
      <c r="N2555" s="9"/>
      <c r="P2555" s="14"/>
      <c r="Q2555" s="85"/>
      <c r="R2555" s="89"/>
      <c r="U2555" s="11" t="str">
        <f t="shared" si="268"/>
        <v/>
      </c>
      <c r="V2555" s="12" t="str">
        <f t="shared" si="269"/>
        <v/>
      </c>
      <c r="Z2555" s="15"/>
    </row>
    <row r="2556" spans="1:26" x14ac:dyDescent="0.25">
      <c r="A2556" s="15" t="str">
        <f>IF(C2556="","",COUNTA($C$3:C2556))</f>
        <v/>
      </c>
      <c r="B2556" s="15" t="str">
        <f t="shared" si="270"/>
        <v/>
      </c>
      <c r="M2556" s="9"/>
      <c r="N2556" s="9"/>
      <c r="P2556" s="14"/>
      <c r="Q2556" s="85"/>
      <c r="R2556" s="89"/>
      <c r="U2556" s="11" t="str">
        <f t="shared" si="268"/>
        <v/>
      </c>
      <c r="V2556" s="12" t="str">
        <f t="shared" si="269"/>
        <v/>
      </c>
      <c r="Z2556" s="15"/>
    </row>
    <row r="2557" spans="1:26" x14ac:dyDescent="0.25">
      <c r="A2557" s="15" t="str">
        <f>IF(C2557="","",COUNTA($C$3:C2557))</f>
        <v/>
      </c>
      <c r="B2557" s="15" t="str">
        <f t="shared" si="270"/>
        <v/>
      </c>
      <c r="M2557" s="9"/>
      <c r="N2557" s="9"/>
      <c r="P2557" s="14"/>
      <c r="Q2557" s="85"/>
      <c r="R2557" s="89"/>
      <c r="U2557" s="11" t="str">
        <f t="shared" si="268"/>
        <v/>
      </c>
      <c r="V2557" s="12" t="str">
        <f t="shared" si="269"/>
        <v/>
      </c>
      <c r="Z2557" s="15"/>
    </row>
    <row r="2558" spans="1:26" x14ac:dyDescent="0.25">
      <c r="A2558" s="15" t="str">
        <f>IF(C2558="","",COUNTA($C$3:C2558))</f>
        <v/>
      </c>
      <c r="B2558" s="15" t="str">
        <f t="shared" si="270"/>
        <v/>
      </c>
      <c r="M2558" s="9"/>
      <c r="N2558" s="9"/>
      <c r="P2558" s="14"/>
      <c r="Q2558" s="85"/>
      <c r="R2558" s="89"/>
      <c r="U2558" s="11" t="str">
        <f t="shared" si="268"/>
        <v/>
      </c>
      <c r="V2558" s="12" t="str">
        <f t="shared" si="269"/>
        <v/>
      </c>
      <c r="Z2558" s="15"/>
    </row>
    <row r="2559" spans="1:26" x14ac:dyDescent="0.25">
      <c r="A2559" s="15" t="str">
        <f>IF(C2559="","",COUNTA($C$3:C2559))</f>
        <v/>
      </c>
      <c r="B2559" s="15" t="str">
        <f t="shared" si="270"/>
        <v/>
      </c>
      <c r="M2559" s="9"/>
      <c r="N2559" s="9"/>
      <c r="P2559" s="14"/>
      <c r="Q2559" s="85"/>
      <c r="R2559" s="89"/>
      <c r="U2559" s="11" t="str">
        <f t="shared" si="268"/>
        <v/>
      </c>
      <c r="V2559" s="12" t="str">
        <f t="shared" si="269"/>
        <v/>
      </c>
      <c r="Z2559" s="15"/>
    </row>
    <row r="2560" spans="1:26" x14ac:dyDescent="0.25">
      <c r="A2560" s="15" t="str">
        <f>IF(C2560="","",COUNTA($C$3:C2560))</f>
        <v/>
      </c>
      <c r="B2560" s="15" t="str">
        <f t="shared" si="270"/>
        <v/>
      </c>
      <c r="M2560" s="9"/>
      <c r="N2560" s="9"/>
      <c r="P2560" s="14"/>
      <c r="Q2560" s="85"/>
      <c r="R2560" s="89"/>
      <c r="U2560" s="11" t="str">
        <f t="shared" si="268"/>
        <v/>
      </c>
      <c r="V2560" s="12" t="str">
        <f t="shared" si="269"/>
        <v/>
      </c>
      <c r="Z2560" s="15"/>
    </row>
    <row r="2561" spans="1:26" x14ac:dyDescent="0.25">
      <c r="A2561" s="15" t="str">
        <f>IF(C2561="","",COUNTA($C$3:C2561))</f>
        <v/>
      </c>
      <c r="B2561" s="15" t="str">
        <f t="shared" si="270"/>
        <v/>
      </c>
      <c r="M2561" s="9"/>
      <c r="N2561" s="9"/>
      <c r="P2561" s="14"/>
      <c r="Q2561" s="85"/>
      <c r="R2561" s="89"/>
      <c r="U2561" s="11" t="str">
        <f t="shared" si="268"/>
        <v/>
      </c>
      <c r="V2561" s="12" t="str">
        <f t="shared" si="269"/>
        <v/>
      </c>
      <c r="Z2561" s="15"/>
    </row>
    <row r="2562" spans="1:26" x14ac:dyDescent="0.25">
      <c r="A2562" s="15" t="str">
        <f>IF(C2562="","",COUNTA($C$3:C2562))</f>
        <v/>
      </c>
      <c r="B2562" s="15" t="str">
        <f t="shared" si="270"/>
        <v/>
      </c>
      <c r="M2562" s="9"/>
      <c r="N2562" s="9"/>
      <c r="P2562" s="14"/>
      <c r="Q2562" s="85"/>
      <c r="R2562" s="89"/>
      <c r="U2562" s="11" t="str">
        <f t="shared" ref="U2562:U2625" si="271">IF(S2562="","",(S2562-T2562))</f>
        <v/>
      </c>
      <c r="V2562" s="12" t="str">
        <f t="shared" ref="V2562:V2625" si="272">IF(U2562="","",(U2562/T2562))</f>
        <v/>
      </c>
      <c r="Z2562" s="15"/>
    </row>
    <row r="2563" spans="1:26" x14ac:dyDescent="0.25">
      <c r="A2563" s="15" t="str">
        <f>IF(C2563="","",COUNTA($C$3:C2563))</f>
        <v/>
      </c>
      <c r="B2563" s="15" t="str">
        <f t="shared" ref="B2563:B2626" si="273">IF(C2563="","",TEXT(C2563,"mmmm"))</f>
        <v/>
      </c>
      <c r="M2563" s="9"/>
      <c r="N2563" s="9"/>
      <c r="P2563" s="14"/>
      <c r="Q2563" s="85"/>
      <c r="R2563" s="89"/>
      <c r="U2563" s="11" t="str">
        <f t="shared" si="271"/>
        <v/>
      </c>
      <c r="V2563" s="12" t="str">
        <f t="shared" si="272"/>
        <v/>
      </c>
      <c r="Z2563" s="15"/>
    </row>
    <row r="2564" spans="1:26" x14ac:dyDescent="0.25">
      <c r="A2564" s="15" t="str">
        <f>IF(C2564="","",COUNTA($C$3:C2564))</f>
        <v/>
      </c>
      <c r="B2564" s="15" t="str">
        <f t="shared" si="273"/>
        <v/>
      </c>
      <c r="M2564" s="9"/>
      <c r="N2564" s="9"/>
      <c r="P2564" s="14"/>
      <c r="Q2564" s="85"/>
      <c r="R2564" s="89"/>
      <c r="U2564" s="11" t="str">
        <f t="shared" si="271"/>
        <v/>
      </c>
      <c r="V2564" s="12" t="str">
        <f t="shared" si="272"/>
        <v/>
      </c>
      <c r="Z2564" s="15"/>
    </row>
    <row r="2565" spans="1:26" x14ac:dyDescent="0.25">
      <c r="A2565" s="15" t="str">
        <f>IF(C2565="","",COUNTA($C$3:C2565))</f>
        <v/>
      </c>
      <c r="B2565" s="15" t="str">
        <f t="shared" si="273"/>
        <v/>
      </c>
      <c r="M2565" s="9"/>
      <c r="N2565" s="9"/>
      <c r="P2565" s="14"/>
      <c r="Q2565" s="85"/>
      <c r="R2565" s="89"/>
      <c r="U2565" s="11" t="str">
        <f t="shared" si="271"/>
        <v/>
      </c>
      <c r="V2565" s="12" t="str">
        <f t="shared" si="272"/>
        <v/>
      </c>
      <c r="Z2565" s="15"/>
    </row>
    <row r="2566" spans="1:26" x14ac:dyDescent="0.25">
      <c r="A2566" s="15" t="str">
        <f>IF(C2566="","",COUNTA($C$3:C2566))</f>
        <v/>
      </c>
      <c r="B2566" s="15" t="str">
        <f t="shared" si="273"/>
        <v/>
      </c>
      <c r="M2566" s="9"/>
      <c r="N2566" s="9"/>
      <c r="P2566" s="14"/>
      <c r="Q2566" s="85"/>
      <c r="R2566" s="89"/>
      <c r="U2566" s="11" t="str">
        <f t="shared" si="271"/>
        <v/>
      </c>
      <c r="V2566" s="12" t="str">
        <f t="shared" si="272"/>
        <v/>
      </c>
      <c r="Z2566" s="15"/>
    </row>
    <row r="2567" spans="1:26" x14ac:dyDescent="0.25">
      <c r="A2567" s="15" t="str">
        <f>IF(C2567="","",COUNTA($C$3:C2567))</f>
        <v/>
      </c>
      <c r="B2567" s="15" t="str">
        <f t="shared" si="273"/>
        <v/>
      </c>
      <c r="M2567" s="9"/>
      <c r="N2567" s="9"/>
      <c r="P2567" s="14"/>
      <c r="Q2567" s="85"/>
      <c r="R2567" s="89"/>
      <c r="U2567" s="11" t="str">
        <f t="shared" si="271"/>
        <v/>
      </c>
      <c r="V2567" s="12" t="str">
        <f t="shared" si="272"/>
        <v/>
      </c>
      <c r="Z2567" s="15"/>
    </row>
    <row r="2568" spans="1:26" x14ac:dyDescent="0.25">
      <c r="A2568" s="15" t="str">
        <f>IF(C2568="","",COUNTA($C$3:C2568))</f>
        <v/>
      </c>
      <c r="B2568" s="15" t="str">
        <f t="shared" si="273"/>
        <v/>
      </c>
      <c r="M2568" s="9"/>
      <c r="N2568" s="9"/>
      <c r="P2568" s="14"/>
      <c r="Q2568" s="85"/>
      <c r="R2568" s="89"/>
      <c r="U2568" s="11" t="str">
        <f t="shared" si="271"/>
        <v/>
      </c>
      <c r="V2568" s="12" t="str">
        <f t="shared" si="272"/>
        <v/>
      </c>
      <c r="Z2568" s="15"/>
    </row>
    <row r="2569" spans="1:26" x14ac:dyDescent="0.25">
      <c r="A2569" s="15" t="str">
        <f>IF(C2569="","",COUNTA($C$3:C2569))</f>
        <v/>
      </c>
      <c r="B2569" s="15" t="str">
        <f t="shared" si="273"/>
        <v/>
      </c>
      <c r="M2569" s="9"/>
      <c r="N2569" s="9"/>
      <c r="P2569" s="14"/>
      <c r="Q2569" s="85"/>
      <c r="R2569" s="89"/>
      <c r="U2569" s="11" t="str">
        <f t="shared" si="271"/>
        <v/>
      </c>
      <c r="V2569" s="12" t="str">
        <f t="shared" si="272"/>
        <v/>
      </c>
      <c r="Z2569" s="15"/>
    </row>
    <row r="2570" spans="1:26" x14ac:dyDescent="0.25">
      <c r="A2570" s="15" t="str">
        <f>IF(C2570="","",COUNTA($C$3:C2570))</f>
        <v/>
      </c>
      <c r="B2570" s="15" t="str">
        <f t="shared" si="273"/>
        <v/>
      </c>
      <c r="M2570" s="9"/>
      <c r="N2570" s="9"/>
      <c r="P2570" s="14"/>
      <c r="Q2570" s="85"/>
      <c r="R2570" s="89"/>
      <c r="U2570" s="11" t="str">
        <f t="shared" si="271"/>
        <v/>
      </c>
      <c r="V2570" s="12" t="str">
        <f t="shared" si="272"/>
        <v/>
      </c>
      <c r="Z2570" s="15"/>
    </row>
    <row r="2571" spans="1:26" x14ac:dyDescent="0.25">
      <c r="A2571" s="15" t="str">
        <f>IF(C2571="","",COUNTA($C$3:C2571))</f>
        <v/>
      </c>
      <c r="B2571" s="15" t="str">
        <f t="shared" si="273"/>
        <v/>
      </c>
      <c r="M2571" s="9"/>
      <c r="N2571" s="9"/>
      <c r="P2571" s="14"/>
      <c r="Q2571" s="85"/>
      <c r="R2571" s="89"/>
      <c r="U2571" s="11" t="str">
        <f t="shared" si="271"/>
        <v/>
      </c>
      <c r="V2571" s="12" t="str">
        <f t="shared" si="272"/>
        <v/>
      </c>
      <c r="Z2571" s="15"/>
    </row>
    <row r="2572" spans="1:26" x14ac:dyDescent="0.25">
      <c r="A2572" s="15" t="str">
        <f>IF(C2572="","",COUNTA($C$3:C2572))</f>
        <v/>
      </c>
      <c r="B2572" s="15" t="str">
        <f t="shared" si="273"/>
        <v/>
      </c>
      <c r="M2572" s="9"/>
      <c r="N2572" s="9"/>
      <c r="P2572" s="14"/>
      <c r="Q2572" s="85"/>
      <c r="R2572" s="89"/>
      <c r="U2572" s="11" t="str">
        <f t="shared" si="271"/>
        <v/>
      </c>
      <c r="V2572" s="12" t="str">
        <f t="shared" si="272"/>
        <v/>
      </c>
      <c r="Z2572" s="15"/>
    </row>
    <row r="2573" spans="1:26" x14ac:dyDescent="0.25">
      <c r="A2573" s="15" t="str">
        <f>IF(C2573="","",COUNTA($C$3:C2573))</f>
        <v/>
      </c>
      <c r="B2573" s="15" t="str">
        <f t="shared" si="273"/>
        <v/>
      </c>
      <c r="M2573" s="9"/>
      <c r="N2573" s="9"/>
      <c r="P2573" s="14"/>
      <c r="Q2573" s="85"/>
      <c r="R2573" s="89"/>
      <c r="U2573" s="11" t="str">
        <f t="shared" si="271"/>
        <v/>
      </c>
      <c r="V2573" s="12" t="str">
        <f t="shared" si="272"/>
        <v/>
      </c>
      <c r="Z2573" s="15"/>
    </row>
    <row r="2574" spans="1:26" x14ac:dyDescent="0.25">
      <c r="A2574" s="15" t="str">
        <f>IF(C2574="","",COUNTA($C$3:C2574))</f>
        <v/>
      </c>
      <c r="B2574" s="15" t="str">
        <f t="shared" si="273"/>
        <v/>
      </c>
      <c r="M2574" s="9"/>
      <c r="N2574" s="9"/>
      <c r="P2574" s="14"/>
      <c r="Q2574" s="85"/>
      <c r="R2574" s="89"/>
      <c r="U2574" s="11" t="str">
        <f t="shared" si="271"/>
        <v/>
      </c>
      <c r="V2574" s="12" t="str">
        <f t="shared" si="272"/>
        <v/>
      </c>
      <c r="Z2574" s="15"/>
    </row>
    <row r="2575" spans="1:26" x14ac:dyDescent="0.25">
      <c r="A2575" s="15" t="str">
        <f>IF(C2575="","",COUNTA($C$3:C2575))</f>
        <v/>
      </c>
      <c r="B2575" s="15" t="str">
        <f t="shared" si="273"/>
        <v/>
      </c>
      <c r="M2575" s="9"/>
      <c r="N2575" s="9"/>
      <c r="P2575" s="14"/>
      <c r="Q2575" s="85"/>
      <c r="R2575" s="89"/>
      <c r="U2575" s="11" t="str">
        <f t="shared" si="271"/>
        <v/>
      </c>
      <c r="V2575" s="12" t="str">
        <f t="shared" si="272"/>
        <v/>
      </c>
      <c r="Z2575" s="15"/>
    </row>
    <row r="2576" spans="1:26" x14ac:dyDescent="0.25">
      <c r="A2576" s="15" t="str">
        <f>IF(C2576="","",COUNTA($C$3:C2576))</f>
        <v/>
      </c>
      <c r="B2576" s="15" t="str">
        <f t="shared" si="273"/>
        <v/>
      </c>
      <c r="M2576" s="9"/>
      <c r="N2576" s="9"/>
      <c r="P2576" s="14"/>
      <c r="Q2576" s="85"/>
      <c r="R2576" s="89"/>
      <c r="U2576" s="11" t="str">
        <f t="shared" si="271"/>
        <v/>
      </c>
      <c r="V2576" s="12" t="str">
        <f t="shared" si="272"/>
        <v/>
      </c>
      <c r="Z2576" s="15"/>
    </row>
    <row r="2577" spans="1:26" x14ac:dyDescent="0.25">
      <c r="A2577" s="15" t="str">
        <f>IF(C2577="","",COUNTA($C$3:C2577))</f>
        <v/>
      </c>
      <c r="B2577" s="15" t="str">
        <f t="shared" si="273"/>
        <v/>
      </c>
      <c r="M2577" s="9"/>
      <c r="N2577" s="9"/>
      <c r="P2577" s="14"/>
      <c r="Q2577" s="85"/>
      <c r="R2577" s="89"/>
      <c r="U2577" s="11" t="str">
        <f t="shared" si="271"/>
        <v/>
      </c>
      <c r="V2577" s="12" t="str">
        <f t="shared" si="272"/>
        <v/>
      </c>
      <c r="Z2577" s="15"/>
    </row>
    <row r="2578" spans="1:26" x14ac:dyDescent="0.25">
      <c r="A2578" s="15" t="str">
        <f>IF(C2578="","",COUNTA($C$3:C2578))</f>
        <v/>
      </c>
      <c r="B2578" s="15" t="str">
        <f t="shared" si="273"/>
        <v/>
      </c>
      <c r="M2578" s="9"/>
      <c r="N2578" s="9"/>
      <c r="P2578" s="14"/>
      <c r="Q2578" s="85"/>
      <c r="R2578" s="89"/>
      <c r="U2578" s="11" t="str">
        <f t="shared" si="271"/>
        <v/>
      </c>
      <c r="V2578" s="12" t="str">
        <f t="shared" si="272"/>
        <v/>
      </c>
      <c r="Z2578" s="15"/>
    </row>
    <row r="2579" spans="1:26" x14ac:dyDescent="0.25">
      <c r="A2579" s="15" t="str">
        <f>IF(C2579="","",COUNTA($C$3:C2579))</f>
        <v/>
      </c>
      <c r="B2579" s="15" t="str">
        <f t="shared" si="273"/>
        <v/>
      </c>
      <c r="M2579" s="9"/>
      <c r="N2579" s="9"/>
      <c r="P2579" s="14"/>
      <c r="Q2579" s="85"/>
      <c r="R2579" s="89"/>
      <c r="U2579" s="11" t="str">
        <f t="shared" si="271"/>
        <v/>
      </c>
      <c r="V2579" s="12" t="str">
        <f t="shared" si="272"/>
        <v/>
      </c>
      <c r="Z2579" s="15"/>
    </row>
    <row r="2580" spans="1:26" x14ac:dyDescent="0.25">
      <c r="A2580" s="15" t="str">
        <f>IF(C2580="","",COUNTA($C$3:C2580))</f>
        <v/>
      </c>
      <c r="B2580" s="15" t="str">
        <f t="shared" si="273"/>
        <v/>
      </c>
      <c r="M2580" s="9"/>
      <c r="N2580" s="9"/>
      <c r="P2580" s="14"/>
      <c r="Q2580" s="85"/>
      <c r="R2580" s="89"/>
      <c r="U2580" s="11" t="str">
        <f t="shared" si="271"/>
        <v/>
      </c>
      <c r="V2580" s="12" t="str">
        <f t="shared" si="272"/>
        <v/>
      </c>
      <c r="Z2580" s="15"/>
    </row>
    <row r="2581" spans="1:26" x14ac:dyDescent="0.25">
      <c r="A2581" s="15" t="str">
        <f>IF(C2581="","",COUNTA($C$3:C2581))</f>
        <v/>
      </c>
      <c r="B2581" s="15" t="str">
        <f t="shared" si="273"/>
        <v/>
      </c>
      <c r="M2581" s="9"/>
      <c r="N2581" s="9"/>
      <c r="P2581" s="14"/>
      <c r="Q2581" s="85"/>
      <c r="R2581" s="89"/>
      <c r="U2581" s="11" t="str">
        <f t="shared" si="271"/>
        <v/>
      </c>
      <c r="V2581" s="12" t="str">
        <f t="shared" si="272"/>
        <v/>
      </c>
      <c r="Z2581" s="15"/>
    </row>
    <row r="2582" spans="1:26" x14ac:dyDescent="0.25">
      <c r="A2582" s="15" t="str">
        <f>IF(C2582="","",COUNTA($C$3:C2582))</f>
        <v/>
      </c>
      <c r="B2582" s="15" t="str">
        <f t="shared" si="273"/>
        <v/>
      </c>
      <c r="M2582" s="9"/>
      <c r="N2582" s="9"/>
      <c r="P2582" s="14"/>
      <c r="Q2582" s="85"/>
      <c r="R2582" s="89"/>
      <c r="U2582" s="11" t="str">
        <f t="shared" si="271"/>
        <v/>
      </c>
      <c r="V2582" s="12" t="str">
        <f t="shared" si="272"/>
        <v/>
      </c>
      <c r="Z2582" s="15"/>
    </row>
    <row r="2583" spans="1:26" x14ac:dyDescent="0.25">
      <c r="A2583" s="15" t="str">
        <f>IF(C2583="","",COUNTA($C$3:C2583))</f>
        <v/>
      </c>
      <c r="B2583" s="15" t="str">
        <f t="shared" si="273"/>
        <v/>
      </c>
      <c r="M2583" s="9"/>
      <c r="N2583" s="9"/>
      <c r="P2583" s="14"/>
      <c r="Q2583" s="85"/>
      <c r="R2583" s="89"/>
      <c r="U2583" s="11" t="str">
        <f t="shared" si="271"/>
        <v/>
      </c>
      <c r="V2583" s="12" t="str">
        <f t="shared" si="272"/>
        <v/>
      </c>
      <c r="Z2583" s="15"/>
    </row>
    <row r="2584" spans="1:26" x14ac:dyDescent="0.25">
      <c r="A2584" s="15" t="str">
        <f>IF(C2584="","",COUNTA($C$3:C2584))</f>
        <v/>
      </c>
      <c r="B2584" s="15" t="str">
        <f t="shared" si="273"/>
        <v/>
      </c>
      <c r="M2584" s="9"/>
      <c r="N2584" s="9"/>
      <c r="P2584" s="14"/>
      <c r="Q2584" s="85"/>
      <c r="R2584" s="89"/>
      <c r="U2584" s="11" t="str">
        <f t="shared" si="271"/>
        <v/>
      </c>
      <c r="V2584" s="12" t="str">
        <f t="shared" si="272"/>
        <v/>
      </c>
      <c r="Z2584" s="15"/>
    </row>
    <row r="2585" spans="1:26" x14ac:dyDescent="0.25">
      <c r="A2585" s="15" t="str">
        <f>IF(C2585="","",COUNTA($C$3:C2585))</f>
        <v/>
      </c>
      <c r="B2585" s="15" t="str">
        <f t="shared" si="273"/>
        <v/>
      </c>
      <c r="M2585" s="9"/>
      <c r="N2585" s="9"/>
      <c r="P2585" s="14"/>
      <c r="Q2585" s="85"/>
      <c r="R2585" s="89"/>
      <c r="U2585" s="11" t="str">
        <f t="shared" si="271"/>
        <v/>
      </c>
      <c r="V2585" s="12" t="str">
        <f t="shared" si="272"/>
        <v/>
      </c>
      <c r="Z2585" s="15"/>
    </row>
    <row r="2586" spans="1:26" x14ac:dyDescent="0.25">
      <c r="A2586" s="15" t="str">
        <f>IF(C2586="","",COUNTA($C$3:C2586))</f>
        <v/>
      </c>
      <c r="B2586" s="15" t="str">
        <f t="shared" si="273"/>
        <v/>
      </c>
      <c r="M2586" s="9"/>
      <c r="N2586" s="9"/>
      <c r="P2586" s="14"/>
      <c r="Q2586" s="85"/>
      <c r="R2586" s="89"/>
      <c r="U2586" s="11" t="str">
        <f t="shared" si="271"/>
        <v/>
      </c>
      <c r="V2586" s="12" t="str">
        <f t="shared" si="272"/>
        <v/>
      </c>
      <c r="Z2586" s="15"/>
    </row>
    <row r="2587" spans="1:26" x14ac:dyDescent="0.25">
      <c r="A2587" s="15" t="str">
        <f>IF(C2587="","",COUNTA($C$3:C2587))</f>
        <v/>
      </c>
      <c r="B2587" s="15" t="str">
        <f t="shared" si="273"/>
        <v/>
      </c>
      <c r="M2587" s="9"/>
      <c r="N2587" s="9"/>
      <c r="P2587" s="14"/>
      <c r="Q2587" s="85"/>
      <c r="R2587" s="89"/>
      <c r="U2587" s="11" t="str">
        <f t="shared" si="271"/>
        <v/>
      </c>
      <c r="V2587" s="12" t="str">
        <f t="shared" si="272"/>
        <v/>
      </c>
      <c r="Z2587" s="15"/>
    </row>
    <row r="2588" spans="1:26" x14ac:dyDescent="0.25">
      <c r="A2588" s="15" t="str">
        <f>IF(C2588="","",COUNTA($C$3:C2588))</f>
        <v/>
      </c>
      <c r="B2588" s="15" t="str">
        <f t="shared" si="273"/>
        <v/>
      </c>
      <c r="M2588" s="9"/>
      <c r="N2588" s="9"/>
      <c r="P2588" s="14"/>
      <c r="Q2588" s="85"/>
      <c r="R2588" s="89"/>
      <c r="U2588" s="11" t="str">
        <f t="shared" si="271"/>
        <v/>
      </c>
      <c r="V2588" s="12" t="str">
        <f t="shared" si="272"/>
        <v/>
      </c>
      <c r="Z2588" s="15"/>
    </row>
    <row r="2589" spans="1:26" x14ac:dyDescent="0.25">
      <c r="A2589" s="15" t="str">
        <f>IF(C2589="","",COUNTA($C$3:C2589))</f>
        <v/>
      </c>
      <c r="B2589" s="15" t="str">
        <f t="shared" si="273"/>
        <v/>
      </c>
      <c r="M2589" s="9"/>
      <c r="N2589" s="9"/>
      <c r="P2589" s="14"/>
      <c r="Q2589" s="85"/>
      <c r="R2589" s="89"/>
      <c r="U2589" s="11" t="str">
        <f t="shared" si="271"/>
        <v/>
      </c>
      <c r="V2589" s="12" t="str">
        <f t="shared" si="272"/>
        <v/>
      </c>
      <c r="Z2589" s="15"/>
    </row>
    <row r="2590" spans="1:26" x14ac:dyDescent="0.25">
      <c r="A2590" s="15" t="str">
        <f>IF(C2590="","",COUNTA($C$3:C2590))</f>
        <v/>
      </c>
      <c r="B2590" s="15" t="str">
        <f t="shared" si="273"/>
        <v/>
      </c>
      <c r="M2590" s="9"/>
      <c r="N2590" s="9"/>
      <c r="P2590" s="14"/>
      <c r="Q2590" s="85"/>
      <c r="R2590" s="89"/>
      <c r="U2590" s="11" t="str">
        <f t="shared" si="271"/>
        <v/>
      </c>
      <c r="V2590" s="12" t="str">
        <f t="shared" si="272"/>
        <v/>
      </c>
      <c r="Z2590" s="15"/>
    </row>
    <row r="2591" spans="1:26" x14ac:dyDescent="0.25">
      <c r="A2591" s="15" t="str">
        <f>IF(C2591="","",COUNTA($C$3:C2591))</f>
        <v/>
      </c>
      <c r="B2591" s="15" t="str">
        <f t="shared" si="273"/>
        <v/>
      </c>
      <c r="M2591" s="9"/>
      <c r="N2591" s="9"/>
      <c r="P2591" s="14"/>
      <c r="Q2591" s="85"/>
      <c r="R2591" s="89"/>
      <c r="U2591" s="11" t="str">
        <f t="shared" si="271"/>
        <v/>
      </c>
      <c r="V2591" s="12" t="str">
        <f t="shared" si="272"/>
        <v/>
      </c>
      <c r="Z2591" s="15"/>
    </row>
    <row r="2592" spans="1:26" x14ac:dyDescent="0.25">
      <c r="A2592" s="15" t="str">
        <f>IF(C2592="","",COUNTA($C$3:C2592))</f>
        <v/>
      </c>
      <c r="B2592" s="15" t="str">
        <f t="shared" si="273"/>
        <v/>
      </c>
      <c r="M2592" s="9"/>
      <c r="N2592" s="9"/>
      <c r="P2592" s="14"/>
      <c r="Q2592" s="85"/>
      <c r="R2592" s="89"/>
      <c r="U2592" s="11" t="str">
        <f t="shared" si="271"/>
        <v/>
      </c>
      <c r="V2592" s="12" t="str">
        <f t="shared" si="272"/>
        <v/>
      </c>
      <c r="Z2592" s="15"/>
    </row>
    <row r="2593" spans="1:26" x14ac:dyDescent="0.25">
      <c r="A2593" s="15" t="str">
        <f>IF(C2593="","",COUNTA($C$3:C2593))</f>
        <v/>
      </c>
      <c r="B2593" s="15" t="str">
        <f t="shared" si="273"/>
        <v/>
      </c>
      <c r="M2593" s="9"/>
      <c r="N2593" s="9"/>
      <c r="P2593" s="14"/>
      <c r="Q2593" s="85"/>
      <c r="R2593" s="89"/>
      <c r="U2593" s="11" t="str">
        <f t="shared" si="271"/>
        <v/>
      </c>
      <c r="V2593" s="12" t="str">
        <f t="shared" si="272"/>
        <v/>
      </c>
      <c r="Z2593" s="15"/>
    </row>
    <row r="2594" spans="1:26" x14ac:dyDescent="0.25">
      <c r="A2594" s="15" t="str">
        <f>IF(C2594="","",COUNTA($C$3:C2594))</f>
        <v/>
      </c>
      <c r="B2594" s="15" t="str">
        <f t="shared" si="273"/>
        <v/>
      </c>
      <c r="M2594" s="9"/>
      <c r="N2594" s="9"/>
      <c r="P2594" s="14"/>
      <c r="Q2594" s="85"/>
      <c r="R2594" s="89"/>
      <c r="U2594" s="11" t="str">
        <f t="shared" si="271"/>
        <v/>
      </c>
      <c r="V2594" s="12" t="str">
        <f t="shared" si="272"/>
        <v/>
      </c>
      <c r="Z2594" s="15"/>
    </row>
    <row r="2595" spans="1:26" x14ac:dyDescent="0.25">
      <c r="A2595" s="15" t="str">
        <f>IF(C2595="","",COUNTA($C$3:C2595))</f>
        <v/>
      </c>
      <c r="B2595" s="15" t="str">
        <f t="shared" si="273"/>
        <v/>
      </c>
      <c r="M2595" s="9"/>
      <c r="N2595" s="9"/>
      <c r="P2595" s="14"/>
      <c r="Q2595" s="85"/>
      <c r="R2595" s="89"/>
      <c r="U2595" s="11" t="str">
        <f t="shared" si="271"/>
        <v/>
      </c>
      <c r="V2595" s="12" t="str">
        <f t="shared" si="272"/>
        <v/>
      </c>
      <c r="Z2595" s="15"/>
    </row>
    <row r="2596" spans="1:26" x14ac:dyDescent="0.25">
      <c r="A2596" s="15" t="str">
        <f>IF(C2596="","",COUNTA($C$3:C2596))</f>
        <v/>
      </c>
      <c r="B2596" s="15" t="str">
        <f t="shared" si="273"/>
        <v/>
      </c>
      <c r="M2596" s="9"/>
      <c r="N2596" s="9"/>
      <c r="P2596" s="14"/>
      <c r="Q2596" s="85"/>
      <c r="R2596" s="89"/>
      <c r="U2596" s="11" t="str">
        <f t="shared" si="271"/>
        <v/>
      </c>
      <c r="V2596" s="12" t="str">
        <f t="shared" si="272"/>
        <v/>
      </c>
      <c r="Z2596" s="15"/>
    </row>
    <row r="2597" spans="1:26" x14ac:dyDescent="0.25">
      <c r="A2597" s="15" t="str">
        <f>IF(C2597="","",COUNTA($C$3:C2597))</f>
        <v/>
      </c>
      <c r="B2597" s="15" t="str">
        <f t="shared" si="273"/>
        <v/>
      </c>
      <c r="M2597" s="9"/>
      <c r="N2597" s="9"/>
      <c r="P2597" s="14"/>
      <c r="Q2597" s="85"/>
      <c r="R2597" s="89"/>
      <c r="U2597" s="11" t="str">
        <f t="shared" si="271"/>
        <v/>
      </c>
      <c r="V2597" s="12" t="str">
        <f t="shared" si="272"/>
        <v/>
      </c>
      <c r="Z2597" s="15"/>
    </row>
    <row r="2598" spans="1:26" x14ac:dyDescent="0.25">
      <c r="A2598" s="15" t="str">
        <f>IF(C2598="","",COUNTA($C$3:C2598))</f>
        <v/>
      </c>
      <c r="B2598" s="15" t="str">
        <f t="shared" si="273"/>
        <v/>
      </c>
      <c r="M2598" s="9"/>
      <c r="N2598" s="9"/>
      <c r="P2598" s="14"/>
      <c r="Q2598" s="85"/>
      <c r="R2598" s="89"/>
      <c r="U2598" s="11" t="str">
        <f t="shared" si="271"/>
        <v/>
      </c>
      <c r="V2598" s="12" t="str">
        <f t="shared" si="272"/>
        <v/>
      </c>
      <c r="Z2598" s="15"/>
    </row>
    <row r="2599" spans="1:26" x14ac:dyDescent="0.25">
      <c r="A2599" s="15" t="str">
        <f>IF(C2599="","",COUNTA($C$3:C2599))</f>
        <v/>
      </c>
      <c r="B2599" s="15" t="str">
        <f t="shared" si="273"/>
        <v/>
      </c>
      <c r="M2599" s="9"/>
      <c r="N2599" s="9"/>
      <c r="P2599" s="14"/>
      <c r="Q2599" s="85"/>
      <c r="R2599" s="89"/>
      <c r="U2599" s="11" t="str">
        <f t="shared" si="271"/>
        <v/>
      </c>
      <c r="V2599" s="12" t="str">
        <f t="shared" si="272"/>
        <v/>
      </c>
      <c r="Z2599" s="15"/>
    </row>
    <row r="2600" spans="1:26" x14ac:dyDescent="0.25">
      <c r="A2600" s="15" t="str">
        <f>IF(C2600="","",COUNTA($C$3:C2600))</f>
        <v/>
      </c>
      <c r="B2600" s="15" t="str">
        <f t="shared" si="273"/>
        <v/>
      </c>
      <c r="M2600" s="9"/>
      <c r="N2600" s="9"/>
      <c r="P2600" s="14"/>
      <c r="Q2600" s="85"/>
      <c r="R2600" s="89"/>
      <c r="U2600" s="11" t="str">
        <f t="shared" si="271"/>
        <v/>
      </c>
      <c r="V2600" s="12" t="str">
        <f t="shared" si="272"/>
        <v/>
      </c>
      <c r="Z2600" s="15"/>
    </row>
    <row r="2601" spans="1:26" x14ac:dyDescent="0.25">
      <c r="A2601" s="15" t="str">
        <f>IF(C2601="","",COUNTA($C$3:C2601))</f>
        <v/>
      </c>
      <c r="B2601" s="15" t="str">
        <f t="shared" si="273"/>
        <v/>
      </c>
      <c r="M2601" s="9"/>
      <c r="N2601" s="9"/>
      <c r="P2601" s="14"/>
      <c r="Q2601" s="85"/>
      <c r="R2601" s="89"/>
      <c r="U2601" s="11" t="str">
        <f t="shared" si="271"/>
        <v/>
      </c>
      <c r="V2601" s="12" t="str">
        <f t="shared" si="272"/>
        <v/>
      </c>
      <c r="Z2601" s="15"/>
    </row>
    <row r="2602" spans="1:26" x14ac:dyDescent="0.25">
      <c r="A2602" s="15" t="str">
        <f>IF(C2602="","",COUNTA($C$3:C2602))</f>
        <v/>
      </c>
      <c r="B2602" s="15" t="str">
        <f t="shared" si="273"/>
        <v/>
      </c>
      <c r="M2602" s="9"/>
      <c r="N2602" s="9"/>
      <c r="P2602" s="14"/>
      <c r="Q2602" s="85"/>
      <c r="R2602" s="89"/>
      <c r="U2602" s="11" t="str">
        <f t="shared" si="271"/>
        <v/>
      </c>
      <c r="V2602" s="12" t="str">
        <f t="shared" si="272"/>
        <v/>
      </c>
      <c r="Z2602" s="15"/>
    </row>
    <row r="2603" spans="1:26" x14ac:dyDescent="0.25">
      <c r="A2603" s="15" t="str">
        <f>IF(C2603="","",COUNTA($C$3:C2603))</f>
        <v/>
      </c>
      <c r="B2603" s="15" t="str">
        <f t="shared" si="273"/>
        <v/>
      </c>
      <c r="M2603" s="9"/>
      <c r="N2603" s="9"/>
      <c r="P2603" s="14"/>
      <c r="Q2603" s="85"/>
      <c r="R2603" s="89"/>
      <c r="U2603" s="11" t="str">
        <f t="shared" si="271"/>
        <v/>
      </c>
      <c r="V2603" s="12" t="str">
        <f t="shared" si="272"/>
        <v/>
      </c>
      <c r="Z2603" s="15"/>
    </row>
    <row r="2604" spans="1:26" x14ac:dyDescent="0.25">
      <c r="A2604" s="15" t="str">
        <f>IF(C2604="","",COUNTA($C$3:C2604))</f>
        <v/>
      </c>
      <c r="B2604" s="15" t="str">
        <f t="shared" si="273"/>
        <v/>
      </c>
      <c r="M2604" s="9"/>
      <c r="N2604" s="9"/>
      <c r="P2604" s="14"/>
      <c r="Q2604" s="85"/>
      <c r="R2604" s="89"/>
      <c r="U2604" s="11" t="str">
        <f t="shared" si="271"/>
        <v/>
      </c>
      <c r="V2604" s="12" t="str">
        <f t="shared" si="272"/>
        <v/>
      </c>
      <c r="Z2604" s="15"/>
    </row>
    <row r="2605" spans="1:26" x14ac:dyDescent="0.25">
      <c r="A2605" s="15" t="str">
        <f>IF(C2605="","",COUNTA($C$3:C2605))</f>
        <v/>
      </c>
      <c r="B2605" s="15" t="str">
        <f t="shared" si="273"/>
        <v/>
      </c>
      <c r="M2605" s="9"/>
      <c r="N2605" s="9"/>
      <c r="P2605" s="14"/>
      <c r="Q2605" s="85"/>
      <c r="R2605" s="89"/>
      <c r="U2605" s="11" t="str">
        <f t="shared" si="271"/>
        <v/>
      </c>
      <c r="V2605" s="12" t="str">
        <f t="shared" si="272"/>
        <v/>
      </c>
      <c r="Z2605" s="15"/>
    </row>
    <row r="2606" spans="1:26" x14ac:dyDescent="0.25">
      <c r="A2606" s="15" t="str">
        <f>IF(C2606="","",COUNTA($C$3:C2606))</f>
        <v/>
      </c>
      <c r="B2606" s="15" t="str">
        <f t="shared" si="273"/>
        <v/>
      </c>
      <c r="M2606" s="9"/>
      <c r="N2606" s="9"/>
      <c r="P2606" s="14"/>
      <c r="Q2606" s="85"/>
      <c r="R2606" s="89"/>
      <c r="U2606" s="11" t="str">
        <f t="shared" si="271"/>
        <v/>
      </c>
      <c r="V2606" s="12" t="str">
        <f t="shared" si="272"/>
        <v/>
      </c>
      <c r="Z2606" s="15"/>
    </row>
    <row r="2607" spans="1:26" x14ac:dyDescent="0.25">
      <c r="A2607" s="15" t="str">
        <f>IF(C2607="","",COUNTA($C$3:C2607))</f>
        <v/>
      </c>
      <c r="B2607" s="15" t="str">
        <f t="shared" si="273"/>
        <v/>
      </c>
      <c r="M2607" s="9"/>
      <c r="N2607" s="9"/>
      <c r="P2607" s="14"/>
      <c r="Q2607" s="85"/>
      <c r="R2607" s="89"/>
      <c r="U2607" s="11" t="str">
        <f t="shared" si="271"/>
        <v/>
      </c>
      <c r="V2607" s="12" t="str">
        <f t="shared" si="272"/>
        <v/>
      </c>
      <c r="Z2607" s="15"/>
    </row>
    <row r="2608" spans="1:26" x14ac:dyDescent="0.25">
      <c r="A2608" s="15" t="str">
        <f>IF(C2608="","",COUNTA($C$3:C2608))</f>
        <v/>
      </c>
      <c r="B2608" s="15" t="str">
        <f t="shared" si="273"/>
        <v/>
      </c>
      <c r="M2608" s="9"/>
      <c r="N2608" s="9"/>
      <c r="P2608" s="14"/>
      <c r="Q2608" s="85"/>
      <c r="R2608" s="89"/>
      <c r="U2608" s="11" t="str">
        <f t="shared" si="271"/>
        <v/>
      </c>
      <c r="V2608" s="12" t="str">
        <f t="shared" si="272"/>
        <v/>
      </c>
      <c r="Z2608" s="15"/>
    </row>
    <row r="2609" spans="1:26" x14ac:dyDescent="0.25">
      <c r="A2609" s="15" t="str">
        <f>IF(C2609="","",COUNTA($C$3:C2609))</f>
        <v/>
      </c>
      <c r="B2609" s="15" t="str">
        <f t="shared" si="273"/>
        <v/>
      </c>
      <c r="M2609" s="9"/>
      <c r="N2609" s="9"/>
      <c r="P2609" s="14"/>
      <c r="Q2609" s="85"/>
      <c r="R2609" s="89"/>
      <c r="U2609" s="11" t="str">
        <f t="shared" si="271"/>
        <v/>
      </c>
      <c r="V2609" s="12" t="str">
        <f t="shared" si="272"/>
        <v/>
      </c>
      <c r="Z2609" s="15"/>
    </row>
    <row r="2610" spans="1:26" x14ac:dyDescent="0.25">
      <c r="A2610" s="15" t="str">
        <f>IF(C2610="","",COUNTA($C$3:C2610))</f>
        <v/>
      </c>
      <c r="B2610" s="15" t="str">
        <f t="shared" si="273"/>
        <v/>
      </c>
      <c r="M2610" s="9"/>
      <c r="N2610" s="9"/>
      <c r="P2610" s="14"/>
      <c r="Q2610" s="85"/>
      <c r="R2610" s="89"/>
      <c r="U2610" s="11" t="str">
        <f t="shared" si="271"/>
        <v/>
      </c>
      <c r="V2610" s="12" t="str">
        <f t="shared" si="272"/>
        <v/>
      </c>
      <c r="Z2610" s="15"/>
    </row>
    <row r="2611" spans="1:26" x14ac:dyDescent="0.25">
      <c r="A2611" s="15" t="str">
        <f>IF(C2611="","",COUNTA($C$3:C2611))</f>
        <v/>
      </c>
      <c r="B2611" s="15" t="str">
        <f t="shared" si="273"/>
        <v/>
      </c>
      <c r="M2611" s="9"/>
      <c r="N2611" s="9"/>
      <c r="P2611" s="14"/>
      <c r="Q2611" s="85"/>
      <c r="R2611" s="89"/>
      <c r="U2611" s="11" t="str">
        <f t="shared" si="271"/>
        <v/>
      </c>
      <c r="V2611" s="12" t="str">
        <f t="shared" si="272"/>
        <v/>
      </c>
      <c r="Z2611" s="15"/>
    </row>
    <row r="2612" spans="1:26" x14ac:dyDescent="0.25">
      <c r="A2612" s="15" t="str">
        <f>IF(C2612="","",COUNTA($C$3:C2612))</f>
        <v/>
      </c>
      <c r="B2612" s="15" t="str">
        <f t="shared" si="273"/>
        <v/>
      </c>
      <c r="M2612" s="9"/>
      <c r="N2612" s="9"/>
      <c r="P2612" s="14"/>
      <c r="Q2612" s="85"/>
      <c r="R2612" s="89"/>
      <c r="U2612" s="11" t="str">
        <f t="shared" si="271"/>
        <v/>
      </c>
      <c r="V2612" s="12" t="str">
        <f t="shared" si="272"/>
        <v/>
      </c>
      <c r="Z2612" s="15"/>
    </row>
    <row r="2613" spans="1:26" x14ac:dyDescent="0.25">
      <c r="A2613" s="15" t="str">
        <f>IF(C2613="","",COUNTA($C$3:C2613))</f>
        <v/>
      </c>
      <c r="B2613" s="15" t="str">
        <f t="shared" si="273"/>
        <v/>
      </c>
      <c r="M2613" s="9"/>
      <c r="N2613" s="9"/>
      <c r="P2613" s="14"/>
      <c r="Q2613" s="85"/>
      <c r="R2613" s="89"/>
      <c r="U2613" s="11" t="str">
        <f t="shared" si="271"/>
        <v/>
      </c>
      <c r="V2613" s="12" t="str">
        <f t="shared" si="272"/>
        <v/>
      </c>
      <c r="Z2613" s="15"/>
    </row>
    <row r="2614" spans="1:26" x14ac:dyDescent="0.25">
      <c r="A2614" s="15" t="str">
        <f>IF(C2614="","",COUNTA($C$3:C2614))</f>
        <v/>
      </c>
      <c r="B2614" s="15" t="str">
        <f t="shared" si="273"/>
        <v/>
      </c>
      <c r="M2614" s="9"/>
      <c r="N2614" s="9"/>
      <c r="P2614" s="14"/>
      <c r="Q2614" s="85"/>
      <c r="R2614" s="89"/>
      <c r="U2614" s="11" t="str">
        <f t="shared" si="271"/>
        <v/>
      </c>
      <c r="V2614" s="12" t="str">
        <f t="shared" si="272"/>
        <v/>
      </c>
      <c r="Z2614" s="15"/>
    </row>
    <row r="2615" spans="1:26" x14ac:dyDescent="0.25">
      <c r="A2615" s="15" t="str">
        <f>IF(C2615="","",COUNTA($C$3:C2615))</f>
        <v/>
      </c>
      <c r="B2615" s="15" t="str">
        <f t="shared" si="273"/>
        <v/>
      </c>
      <c r="M2615" s="9"/>
      <c r="N2615" s="9"/>
      <c r="P2615" s="14"/>
      <c r="Q2615" s="85"/>
      <c r="R2615" s="89"/>
      <c r="U2615" s="11" t="str">
        <f t="shared" si="271"/>
        <v/>
      </c>
      <c r="V2615" s="12" t="str">
        <f t="shared" si="272"/>
        <v/>
      </c>
      <c r="Z2615" s="15"/>
    </row>
    <row r="2616" spans="1:26" x14ac:dyDescent="0.25">
      <c r="A2616" s="15" t="str">
        <f>IF(C2616="","",COUNTA($C$3:C2616))</f>
        <v/>
      </c>
      <c r="B2616" s="15" t="str">
        <f t="shared" si="273"/>
        <v/>
      </c>
      <c r="M2616" s="9"/>
      <c r="N2616" s="9"/>
      <c r="P2616" s="14"/>
      <c r="Q2616" s="85"/>
      <c r="R2616" s="89"/>
      <c r="U2616" s="11" t="str">
        <f t="shared" si="271"/>
        <v/>
      </c>
      <c r="V2616" s="12" t="str">
        <f t="shared" si="272"/>
        <v/>
      </c>
      <c r="Z2616" s="15"/>
    </row>
    <row r="2617" spans="1:26" x14ac:dyDescent="0.25">
      <c r="A2617" s="15" t="str">
        <f>IF(C2617="","",COUNTA($C$3:C2617))</f>
        <v/>
      </c>
      <c r="B2617" s="15" t="str">
        <f t="shared" si="273"/>
        <v/>
      </c>
      <c r="M2617" s="9"/>
      <c r="N2617" s="9"/>
      <c r="P2617" s="14"/>
      <c r="Q2617" s="85"/>
      <c r="R2617" s="89"/>
      <c r="U2617" s="11" t="str">
        <f t="shared" si="271"/>
        <v/>
      </c>
      <c r="V2617" s="12" t="str">
        <f t="shared" si="272"/>
        <v/>
      </c>
      <c r="Z2617" s="15"/>
    </row>
    <row r="2618" spans="1:26" x14ac:dyDescent="0.25">
      <c r="A2618" s="15" t="str">
        <f>IF(C2618="","",COUNTA($C$3:C2618))</f>
        <v/>
      </c>
      <c r="B2618" s="15" t="str">
        <f t="shared" si="273"/>
        <v/>
      </c>
      <c r="M2618" s="9"/>
      <c r="N2618" s="9"/>
      <c r="P2618" s="14"/>
      <c r="Q2618" s="85"/>
      <c r="R2618" s="89"/>
      <c r="U2618" s="11" t="str">
        <f t="shared" si="271"/>
        <v/>
      </c>
      <c r="V2618" s="12" t="str">
        <f t="shared" si="272"/>
        <v/>
      </c>
      <c r="Z2618" s="15"/>
    </row>
    <row r="2619" spans="1:26" x14ac:dyDescent="0.25">
      <c r="A2619" s="15" t="str">
        <f>IF(C2619="","",COUNTA($C$3:C2619))</f>
        <v/>
      </c>
      <c r="B2619" s="15" t="str">
        <f t="shared" si="273"/>
        <v/>
      </c>
      <c r="M2619" s="9"/>
      <c r="N2619" s="9"/>
      <c r="P2619" s="14"/>
      <c r="Q2619" s="85"/>
      <c r="R2619" s="89"/>
      <c r="U2619" s="11" t="str">
        <f t="shared" si="271"/>
        <v/>
      </c>
      <c r="V2619" s="12" t="str">
        <f t="shared" si="272"/>
        <v/>
      </c>
      <c r="Z2619" s="15"/>
    </row>
    <row r="2620" spans="1:26" x14ac:dyDescent="0.25">
      <c r="A2620" s="15" t="str">
        <f>IF(C2620="","",COUNTA($C$3:C2620))</f>
        <v/>
      </c>
      <c r="B2620" s="15" t="str">
        <f t="shared" si="273"/>
        <v/>
      </c>
      <c r="M2620" s="9"/>
      <c r="N2620" s="9"/>
      <c r="P2620" s="14"/>
      <c r="Q2620" s="85"/>
      <c r="R2620" s="89"/>
      <c r="U2620" s="11" t="str">
        <f t="shared" si="271"/>
        <v/>
      </c>
      <c r="V2620" s="12" t="str">
        <f t="shared" si="272"/>
        <v/>
      </c>
      <c r="Z2620" s="15"/>
    </row>
    <row r="2621" spans="1:26" x14ac:dyDescent="0.25">
      <c r="A2621" s="15" t="str">
        <f>IF(C2621="","",COUNTA($C$3:C2621))</f>
        <v/>
      </c>
      <c r="B2621" s="15" t="str">
        <f t="shared" si="273"/>
        <v/>
      </c>
      <c r="M2621" s="9"/>
      <c r="N2621" s="9"/>
      <c r="P2621" s="14"/>
      <c r="Q2621" s="85"/>
      <c r="R2621" s="89"/>
      <c r="U2621" s="11" t="str">
        <f t="shared" si="271"/>
        <v/>
      </c>
      <c r="V2621" s="12" t="str">
        <f t="shared" si="272"/>
        <v/>
      </c>
      <c r="Z2621" s="15"/>
    </row>
    <row r="2622" spans="1:26" x14ac:dyDescent="0.25">
      <c r="A2622" s="15" t="str">
        <f>IF(C2622="","",COUNTA($C$3:C2622))</f>
        <v/>
      </c>
      <c r="B2622" s="15" t="str">
        <f t="shared" si="273"/>
        <v/>
      </c>
      <c r="M2622" s="9"/>
      <c r="N2622" s="9"/>
      <c r="P2622" s="14"/>
      <c r="Q2622" s="85"/>
      <c r="R2622" s="89"/>
      <c r="U2622" s="11" t="str">
        <f t="shared" si="271"/>
        <v/>
      </c>
      <c r="V2622" s="12" t="str">
        <f t="shared" si="272"/>
        <v/>
      </c>
      <c r="Z2622" s="15"/>
    </row>
    <row r="2623" spans="1:26" x14ac:dyDescent="0.25">
      <c r="A2623" s="15" t="str">
        <f>IF(C2623="","",COUNTA($C$3:C2623))</f>
        <v/>
      </c>
      <c r="B2623" s="15" t="str">
        <f t="shared" si="273"/>
        <v/>
      </c>
      <c r="M2623" s="9"/>
      <c r="N2623" s="9"/>
      <c r="P2623" s="14"/>
      <c r="Q2623" s="85"/>
      <c r="R2623" s="89"/>
      <c r="U2623" s="11" t="str">
        <f t="shared" si="271"/>
        <v/>
      </c>
      <c r="V2623" s="12" t="str">
        <f t="shared" si="272"/>
        <v/>
      </c>
      <c r="Z2623" s="15"/>
    </row>
    <row r="2624" spans="1:26" x14ac:dyDescent="0.25">
      <c r="A2624" s="15" t="str">
        <f>IF(C2624="","",COUNTA($C$3:C2624))</f>
        <v/>
      </c>
      <c r="B2624" s="15" t="str">
        <f t="shared" si="273"/>
        <v/>
      </c>
      <c r="M2624" s="9"/>
      <c r="N2624" s="9"/>
      <c r="P2624" s="14"/>
      <c r="Q2624" s="85"/>
      <c r="R2624" s="89"/>
      <c r="U2624" s="11" t="str">
        <f t="shared" si="271"/>
        <v/>
      </c>
      <c r="V2624" s="12" t="str">
        <f t="shared" si="272"/>
        <v/>
      </c>
      <c r="Z2624" s="15"/>
    </row>
    <row r="2625" spans="1:26" x14ac:dyDescent="0.25">
      <c r="A2625" s="15" t="str">
        <f>IF(C2625="","",COUNTA($C$3:C2625))</f>
        <v/>
      </c>
      <c r="B2625" s="15" t="str">
        <f t="shared" si="273"/>
        <v/>
      </c>
      <c r="M2625" s="9"/>
      <c r="N2625" s="9"/>
      <c r="P2625" s="14"/>
      <c r="Q2625" s="85"/>
      <c r="R2625" s="89"/>
      <c r="U2625" s="11" t="str">
        <f t="shared" si="271"/>
        <v/>
      </c>
      <c r="V2625" s="12" t="str">
        <f t="shared" si="272"/>
        <v/>
      </c>
      <c r="Z2625" s="15"/>
    </row>
    <row r="2626" spans="1:26" x14ac:dyDescent="0.25">
      <c r="A2626" s="15" t="str">
        <f>IF(C2626="","",COUNTA($C$3:C2626))</f>
        <v/>
      </c>
      <c r="B2626" s="15" t="str">
        <f t="shared" si="273"/>
        <v/>
      </c>
      <c r="M2626" s="9"/>
      <c r="N2626" s="9"/>
      <c r="P2626" s="14"/>
      <c r="Q2626" s="85"/>
      <c r="R2626" s="89"/>
      <c r="U2626" s="11" t="str">
        <f t="shared" ref="U2626:U2689" si="274">IF(S2626="","",(S2626-T2626))</f>
        <v/>
      </c>
      <c r="V2626" s="12" t="str">
        <f t="shared" ref="V2626:V2689" si="275">IF(U2626="","",(U2626/T2626))</f>
        <v/>
      </c>
      <c r="Z2626" s="15"/>
    </row>
    <row r="2627" spans="1:26" x14ac:dyDescent="0.25">
      <c r="A2627" s="15" t="str">
        <f>IF(C2627="","",COUNTA($C$3:C2627))</f>
        <v/>
      </c>
      <c r="B2627" s="15" t="str">
        <f t="shared" ref="B2627:B2690" si="276">IF(C2627="","",TEXT(C2627,"mmmm"))</f>
        <v/>
      </c>
      <c r="M2627" s="9"/>
      <c r="N2627" s="9"/>
      <c r="P2627" s="14"/>
      <c r="Q2627" s="85"/>
      <c r="R2627" s="89"/>
      <c r="U2627" s="11" t="str">
        <f t="shared" si="274"/>
        <v/>
      </c>
      <c r="V2627" s="12" t="str">
        <f t="shared" si="275"/>
        <v/>
      </c>
      <c r="Z2627" s="15"/>
    </row>
    <row r="2628" spans="1:26" x14ac:dyDescent="0.25">
      <c r="A2628" s="15" t="str">
        <f>IF(C2628="","",COUNTA($C$3:C2628))</f>
        <v/>
      </c>
      <c r="B2628" s="15" t="str">
        <f t="shared" si="276"/>
        <v/>
      </c>
      <c r="M2628" s="9"/>
      <c r="N2628" s="9"/>
      <c r="P2628" s="14"/>
      <c r="Q2628" s="85"/>
      <c r="R2628" s="89"/>
      <c r="U2628" s="11" t="str">
        <f t="shared" si="274"/>
        <v/>
      </c>
      <c r="V2628" s="12" t="str">
        <f t="shared" si="275"/>
        <v/>
      </c>
      <c r="Z2628" s="15"/>
    </row>
    <row r="2629" spans="1:26" x14ac:dyDescent="0.25">
      <c r="A2629" s="15" t="str">
        <f>IF(C2629="","",COUNTA($C$3:C2629))</f>
        <v/>
      </c>
      <c r="B2629" s="15" t="str">
        <f t="shared" si="276"/>
        <v/>
      </c>
      <c r="M2629" s="9"/>
      <c r="N2629" s="9"/>
      <c r="P2629" s="14"/>
      <c r="Q2629" s="85"/>
      <c r="R2629" s="89"/>
      <c r="U2629" s="11" t="str">
        <f t="shared" si="274"/>
        <v/>
      </c>
      <c r="V2629" s="12" t="str">
        <f t="shared" si="275"/>
        <v/>
      </c>
      <c r="Z2629" s="15"/>
    </row>
    <row r="2630" spans="1:26" x14ac:dyDescent="0.25">
      <c r="A2630" s="15" t="str">
        <f>IF(C2630="","",COUNTA($C$3:C2630))</f>
        <v/>
      </c>
      <c r="B2630" s="15" t="str">
        <f t="shared" si="276"/>
        <v/>
      </c>
      <c r="M2630" s="9"/>
      <c r="N2630" s="9"/>
      <c r="P2630" s="14"/>
      <c r="Q2630" s="85"/>
      <c r="R2630" s="89"/>
      <c r="U2630" s="11" t="str">
        <f t="shared" si="274"/>
        <v/>
      </c>
      <c r="V2630" s="12" t="str">
        <f t="shared" si="275"/>
        <v/>
      </c>
      <c r="Z2630" s="15"/>
    </row>
    <row r="2631" spans="1:26" x14ac:dyDescent="0.25">
      <c r="A2631" s="15" t="str">
        <f>IF(C2631="","",COUNTA($C$3:C2631))</f>
        <v/>
      </c>
      <c r="B2631" s="15" t="str">
        <f t="shared" si="276"/>
        <v/>
      </c>
      <c r="M2631" s="9"/>
      <c r="N2631" s="9"/>
      <c r="P2631" s="14"/>
      <c r="Q2631" s="85"/>
      <c r="R2631" s="89"/>
      <c r="U2631" s="11" t="str">
        <f t="shared" si="274"/>
        <v/>
      </c>
      <c r="V2631" s="12" t="str">
        <f t="shared" si="275"/>
        <v/>
      </c>
      <c r="Z2631" s="15"/>
    </row>
    <row r="2632" spans="1:26" x14ac:dyDescent="0.25">
      <c r="A2632" s="15" t="str">
        <f>IF(C2632="","",COUNTA($C$3:C2632))</f>
        <v/>
      </c>
      <c r="B2632" s="15" t="str">
        <f t="shared" si="276"/>
        <v/>
      </c>
      <c r="M2632" s="9"/>
      <c r="N2632" s="9"/>
      <c r="P2632" s="14"/>
      <c r="Q2632" s="85"/>
      <c r="R2632" s="89"/>
      <c r="U2632" s="11" t="str">
        <f t="shared" si="274"/>
        <v/>
      </c>
      <c r="V2632" s="12" t="str">
        <f t="shared" si="275"/>
        <v/>
      </c>
      <c r="Z2632" s="15"/>
    </row>
    <row r="2633" spans="1:26" x14ac:dyDescent="0.25">
      <c r="A2633" s="15" t="str">
        <f>IF(C2633="","",COUNTA($C$3:C2633))</f>
        <v/>
      </c>
      <c r="B2633" s="15" t="str">
        <f t="shared" si="276"/>
        <v/>
      </c>
      <c r="M2633" s="9"/>
      <c r="N2633" s="9"/>
      <c r="P2633" s="14"/>
      <c r="Q2633" s="85"/>
      <c r="R2633" s="89"/>
      <c r="U2633" s="11" t="str">
        <f t="shared" si="274"/>
        <v/>
      </c>
      <c r="V2633" s="12" t="str">
        <f t="shared" si="275"/>
        <v/>
      </c>
      <c r="Z2633" s="15"/>
    </row>
    <row r="2634" spans="1:26" x14ac:dyDescent="0.25">
      <c r="A2634" s="15" t="str">
        <f>IF(C2634="","",COUNTA($C$3:C2634))</f>
        <v/>
      </c>
      <c r="B2634" s="15" t="str">
        <f t="shared" si="276"/>
        <v/>
      </c>
      <c r="M2634" s="9"/>
      <c r="N2634" s="9"/>
      <c r="P2634" s="14"/>
      <c r="Q2634" s="85"/>
      <c r="R2634" s="89"/>
      <c r="U2634" s="11" t="str">
        <f t="shared" si="274"/>
        <v/>
      </c>
      <c r="V2634" s="12" t="str">
        <f t="shared" si="275"/>
        <v/>
      </c>
      <c r="Z2634" s="15"/>
    </row>
    <row r="2635" spans="1:26" x14ac:dyDescent="0.25">
      <c r="A2635" s="15" t="str">
        <f>IF(C2635="","",COUNTA($C$3:C2635))</f>
        <v/>
      </c>
      <c r="B2635" s="15" t="str">
        <f t="shared" si="276"/>
        <v/>
      </c>
      <c r="M2635" s="9"/>
      <c r="N2635" s="9"/>
      <c r="P2635" s="14"/>
      <c r="Q2635" s="85"/>
      <c r="R2635" s="89"/>
      <c r="U2635" s="11" t="str">
        <f t="shared" si="274"/>
        <v/>
      </c>
      <c r="V2635" s="12" t="str">
        <f t="shared" si="275"/>
        <v/>
      </c>
      <c r="Z2635" s="15"/>
    </row>
    <row r="2636" spans="1:26" x14ac:dyDescent="0.25">
      <c r="A2636" s="15" t="str">
        <f>IF(C2636="","",COUNTA($C$3:C2636))</f>
        <v/>
      </c>
      <c r="B2636" s="15" t="str">
        <f t="shared" si="276"/>
        <v/>
      </c>
      <c r="M2636" s="9"/>
      <c r="N2636" s="9"/>
      <c r="P2636" s="14"/>
      <c r="Q2636" s="85"/>
      <c r="R2636" s="89"/>
      <c r="U2636" s="11" t="str">
        <f t="shared" si="274"/>
        <v/>
      </c>
      <c r="V2636" s="12" t="str">
        <f t="shared" si="275"/>
        <v/>
      </c>
      <c r="Z2636" s="15"/>
    </row>
    <row r="2637" spans="1:26" x14ac:dyDescent="0.25">
      <c r="A2637" s="15" t="str">
        <f>IF(C2637="","",COUNTA($C$3:C2637))</f>
        <v/>
      </c>
      <c r="B2637" s="15" t="str">
        <f t="shared" si="276"/>
        <v/>
      </c>
      <c r="M2637" s="9"/>
      <c r="N2637" s="9"/>
      <c r="P2637" s="14"/>
      <c r="Q2637" s="85"/>
      <c r="R2637" s="89"/>
      <c r="U2637" s="11" t="str">
        <f t="shared" si="274"/>
        <v/>
      </c>
      <c r="V2637" s="12" t="str">
        <f t="shared" si="275"/>
        <v/>
      </c>
      <c r="Z2637" s="15"/>
    </row>
    <row r="2638" spans="1:26" x14ac:dyDescent="0.25">
      <c r="A2638" s="15" t="str">
        <f>IF(C2638="","",COUNTA($C$3:C2638))</f>
        <v/>
      </c>
      <c r="B2638" s="15" t="str">
        <f t="shared" si="276"/>
        <v/>
      </c>
      <c r="M2638" s="9"/>
      <c r="N2638" s="9"/>
      <c r="P2638" s="14"/>
      <c r="Q2638" s="85"/>
      <c r="R2638" s="89"/>
      <c r="U2638" s="11" t="str">
        <f t="shared" si="274"/>
        <v/>
      </c>
      <c r="V2638" s="12" t="str">
        <f t="shared" si="275"/>
        <v/>
      </c>
      <c r="Z2638" s="15"/>
    </row>
    <row r="2639" spans="1:26" x14ac:dyDescent="0.25">
      <c r="A2639" s="15" t="str">
        <f>IF(C2639="","",COUNTA($C$3:C2639))</f>
        <v/>
      </c>
      <c r="B2639" s="15" t="str">
        <f t="shared" si="276"/>
        <v/>
      </c>
      <c r="M2639" s="9"/>
      <c r="N2639" s="9"/>
      <c r="P2639" s="14"/>
      <c r="Q2639" s="85"/>
      <c r="R2639" s="89"/>
      <c r="U2639" s="11" t="str">
        <f t="shared" si="274"/>
        <v/>
      </c>
      <c r="V2639" s="12" t="str">
        <f t="shared" si="275"/>
        <v/>
      </c>
      <c r="Z2639" s="15"/>
    </row>
    <row r="2640" spans="1:26" x14ac:dyDescent="0.25">
      <c r="A2640" s="15" t="str">
        <f>IF(C2640="","",COUNTA($C$3:C2640))</f>
        <v/>
      </c>
      <c r="B2640" s="15" t="str">
        <f t="shared" si="276"/>
        <v/>
      </c>
      <c r="M2640" s="9"/>
      <c r="N2640" s="9"/>
      <c r="P2640" s="14"/>
      <c r="Q2640" s="85"/>
      <c r="R2640" s="89"/>
      <c r="U2640" s="11" t="str">
        <f t="shared" si="274"/>
        <v/>
      </c>
      <c r="V2640" s="12" t="str">
        <f t="shared" si="275"/>
        <v/>
      </c>
      <c r="Z2640" s="15"/>
    </row>
    <row r="2641" spans="1:26" x14ac:dyDescent="0.25">
      <c r="A2641" s="15" t="str">
        <f>IF(C2641="","",COUNTA($C$3:C2641))</f>
        <v/>
      </c>
      <c r="B2641" s="15" t="str">
        <f t="shared" si="276"/>
        <v/>
      </c>
      <c r="M2641" s="9"/>
      <c r="N2641" s="9"/>
      <c r="P2641" s="14"/>
      <c r="Q2641" s="85"/>
      <c r="R2641" s="89"/>
      <c r="U2641" s="11" t="str">
        <f t="shared" si="274"/>
        <v/>
      </c>
      <c r="V2641" s="12" t="str">
        <f t="shared" si="275"/>
        <v/>
      </c>
      <c r="Z2641" s="15"/>
    </row>
    <row r="2642" spans="1:26" x14ac:dyDescent="0.25">
      <c r="A2642" s="15" t="str">
        <f>IF(C2642="","",COUNTA($C$3:C2642))</f>
        <v/>
      </c>
      <c r="B2642" s="15" t="str">
        <f t="shared" si="276"/>
        <v/>
      </c>
      <c r="M2642" s="9"/>
      <c r="N2642" s="9"/>
      <c r="P2642" s="14"/>
      <c r="Q2642" s="85"/>
      <c r="R2642" s="89"/>
      <c r="U2642" s="11" t="str">
        <f t="shared" si="274"/>
        <v/>
      </c>
      <c r="V2642" s="12" t="str">
        <f t="shared" si="275"/>
        <v/>
      </c>
      <c r="Z2642" s="15"/>
    </row>
    <row r="2643" spans="1:26" x14ac:dyDescent="0.25">
      <c r="A2643" s="15" t="str">
        <f>IF(C2643="","",COUNTA($C$3:C2643))</f>
        <v/>
      </c>
      <c r="B2643" s="15" t="str">
        <f t="shared" si="276"/>
        <v/>
      </c>
      <c r="M2643" s="9"/>
      <c r="N2643" s="9"/>
      <c r="P2643" s="14"/>
      <c r="Q2643" s="85"/>
      <c r="R2643" s="89"/>
      <c r="U2643" s="11" t="str">
        <f t="shared" si="274"/>
        <v/>
      </c>
      <c r="V2643" s="12" t="str">
        <f t="shared" si="275"/>
        <v/>
      </c>
      <c r="Z2643" s="15"/>
    </row>
    <row r="2644" spans="1:26" x14ac:dyDescent="0.25">
      <c r="A2644" s="15" t="str">
        <f>IF(C2644="","",COUNTA($C$3:C2644))</f>
        <v/>
      </c>
      <c r="B2644" s="15" t="str">
        <f t="shared" si="276"/>
        <v/>
      </c>
      <c r="M2644" s="9"/>
      <c r="N2644" s="9"/>
      <c r="P2644" s="14"/>
      <c r="Q2644" s="85"/>
      <c r="R2644" s="89"/>
      <c r="U2644" s="11" t="str">
        <f t="shared" si="274"/>
        <v/>
      </c>
      <c r="V2644" s="12" t="str">
        <f t="shared" si="275"/>
        <v/>
      </c>
      <c r="Z2644" s="15"/>
    </row>
    <row r="2645" spans="1:26" x14ac:dyDescent="0.25">
      <c r="A2645" s="15" t="str">
        <f>IF(C2645="","",COUNTA($C$3:C2645))</f>
        <v/>
      </c>
      <c r="B2645" s="15" t="str">
        <f t="shared" si="276"/>
        <v/>
      </c>
      <c r="M2645" s="9"/>
      <c r="N2645" s="9"/>
      <c r="P2645" s="14"/>
      <c r="Q2645" s="85"/>
      <c r="R2645" s="89"/>
      <c r="U2645" s="11" t="str">
        <f t="shared" si="274"/>
        <v/>
      </c>
      <c r="V2645" s="12" t="str">
        <f t="shared" si="275"/>
        <v/>
      </c>
      <c r="Z2645" s="15"/>
    </row>
    <row r="2646" spans="1:26" x14ac:dyDescent="0.25">
      <c r="A2646" s="15" t="str">
        <f>IF(C2646="","",COUNTA($C$3:C2646))</f>
        <v/>
      </c>
      <c r="B2646" s="15" t="str">
        <f t="shared" si="276"/>
        <v/>
      </c>
      <c r="M2646" s="9"/>
      <c r="N2646" s="9"/>
      <c r="P2646" s="14"/>
      <c r="Q2646" s="85"/>
      <c r="R2646" s="89"/>
      <c r="U2646" s="11" t="str">
        <f t="shared" si="274"/>
        <v/>
      </c>
      <c r="V2646" s="12" t="str">
        <f t="shared" si="275"/>
        <v/>
      </c>
      <c r="Z2646" s="15"/>
    </row>
    <row r="2647" spans="1:26" x14ac:dyDescent="0.25">
      <c r="A2647" s="15" t="str">
        <f>IF(C2647="","",COUNTA($C$3:C2647))</f>
        <v/>
      </c>
      <c r="B2647" s="15" t="str">
        <f t="shared" si="276"/>
        <v/>
      </c>
      <c r="M2647" s="9"/>
      <c r="N2647" s="9"/>
      <c r="P2647" s="14"/>
      <c r="Q2647" s="85"/>
      <c r="R2647" s="89"/>
      <c r="U2647" s="11" t="str">
        <f t="shared" si="274"/>
        <v/>
      </c>
      <c r="V2647" s="12" t="str">
        <f t="shared" si="275"/>
        <v/>
      </c>
      <c r="Z2647" s="15"/>
    </row>
    <row r="2648" spans="1:26" x14ac:dyDescent="0.25">
      <c r="A2648" s="15" t="str">
        <f>IF(C2648="","",COUNTA($C$3:C2648))</f>
        <v/>
      </c>
      <c r="B2648" s="15" t="str">
        <f t="shared" si="276"/>
        <v/>
      </c>
      <c r="M2648" s="9"/>
      <c r="N2648" s="9"/>
      <c r="P2648" s="14"/>
      <c r="Q2648" s="85"/>
      <c r="R2648" s="89"/>
      <c r="U2648" s="11" t="str">
        <f t="shared" si="274"/>
        <v/>
      </c>
      <c r="V2648" s="12" t="str">
        <f t="shared" si="275"/>
        <v/>
      </c>
      <c r="Z2648" s="15"/>
    </row>
    <row r="2649" spans="1:26" x14ac:dyDescent="0.25">
      <c r="A2649" s="15" t="str">
        <f>IF(C2649="","",COUNTA($C$3:C2649))</f>
        <v/>
      </c>
      <c r="B2649" s="15" t="str">
        <f t="shared" si="276"/>
        <v/>
      </c>
      <c r="M2649" s="9"/>
      <c r="N2649" s="9"/>
      <c r="P2649" s="14"/>
      <c r="Q2649" s="85"/>
      <c r="R2649" s="89"/>
      <c r="U2649" s="11" t="str">
        <f t="shared" si="274"/>
        <v/>
      </c>
      <c r="V2649" s="12" t="str">
        <f t="shared" si="275"/>
        <v/>
      </c>
      <c r="Z2649" s="15"/>
    </row>
    <row r="2650" spans="1:26" x14ac:dyDescent="0.25">
      <c r="A2650" s="15" t="str">
        <f>IF(C2650="","",COUNTA($C$3:C2650))</f>
        <v/>
      </c>
      <c r="B2650" s="15" t="str">
        <f t="shared" si="276"/>
        <v/>
      </c>
      <c r="M2650" s="9"/>
      <c r="N2650" s="9"/>
      <c r="P2650" s="14"/>
      <c r="Q2650" s="85"/>
      <c r="R2650" s="89"/>
      <c r="U2650" s="11" t="str">
        <f t="shared" si="274"/>
        <v/>
      </c>
      <c r="V2650" s="12" t="str">
        <f t="shared" si="275"/>
        <v/>
      </c>
      <c r="Z2650" s="15"/>
    </row>
    <row r="2651" spans="1:26" x14ac:dyDescent="0.25">
      <c r="A2651" s="15" t="str">
        <f>IF(C2651="","",COUNTA($C$3:C2651))</f>
        <v/>
      </c>
      <c r="B2651" s="15" t="str">
        <f t="shared" si="276"/>
        <v/>
      </c>
      <c r="M2651" s="9"/>
      <c r="N2651" s="9"/>
      <c r="P2651" s="14"/>
      <c r="Q2651" s="85"/>
      <c r="R2651" s="89"/>
      <c r="U2651" s="11" t="str">
        <f t="shared" si="274"/>
        <v/>
      </c>
      <c r="V2651" s="12" t="str">
        <f t="shared" si="275"/>
        <v/>
      </c>
      <c r="Z2651" s="15"/>
    </row>
    <row r="2652" spans="1:26" x14ac:dyDescent="0.25">
      <c r="A2652" s="15" t="str">
        <f>IF(C2652="","",COUNTA($C$3:C2652))</f>
        <v/>
      </c>
      <c r="B2652" s="15" t="str">
        <f t="shared" si="276"/>
        <v/>
      </c>
      <c r="M2652" s="9"/>
      <c r="N2652" s="9"/>
      <c r="P2652" s="14"/>
      <c r="Q2652" s="85"/>
      <c r="R2652" s="89"/>
      <c r="U2652" s="11" t="str">
        <f t="shared" si="274"/>
        <v/>
      </c>
      <c r="V2652" s="12" t="str">
        <f t="shared" si="275"/>
        <v/>
      </c>
      <c r="Z2652" s="15"/>
    </row>
    <row r="2653" spans="1:26" x14ac:dyDescent="0.25">
      <c r="A2653" s="15" t="str">
        <f>IF(C2653="","",COUNTA($C$3:C2653))</f>
        <v/>
      </c>
      <c r="B2653" s="15" t="str">
        <f t="shared" si="276"/>
        <v/>
      </c>
      <c r="M2653" s="9"/>
      <c r="N2653" s="9"/>
      <c r="P2653" s="14"/>
      <c r="Q2653" s="85"/>
      <c r="R2653" s="89"/>
      <c r="U2653" s="11" t="str">
        <f t="shared" si="274"/>
        <v/>
      </c>
      <c r="V2653" s="12" t="str">
        <f t="shared" si="275"/>
        <v/>
      </c>
      <c r="Z2653" s="15"/>
    </row>
    <row r="2654" spans="1:26" x14ac:dyDescent="0.25">
      <c r="A2654" s="15" t="str">
        <f>IF(C2654="","",COUNTA($C$3:C2654))</f>
        <v/>
      </c>
      <c r="B2654" s="15" t="str">
        <f t="shared" si="276"/>
        <v/>
      </c>
      <c r="M2654" s="9"/>
      <c r="N2654" s="9"/>
      <c r="P2654" s="14"/>
      <c r="Q2654" s="85"/>
      <c r="R2654" s="89"/>
      <c r="U2654" s="11" t="str">
        <f t="shared" si="274"/>
        <v/>
      </c>
      <c r="V2654" s="12" t="str">
        <f t="shared" si="275"/>
        <v/>
      </c>
      <c r="Z2654" s="15"/>
    </row>
    <row r="2655" spans="1:26" x14ac:dyDescent="0.25">
      <c r="A2655" s="15" t="str">
        <f>IF(C2655="","",COUNTA($C$3:C2655))</f>
        <v/>
      </c>
      <c r="B2655" s="15" t="str">
        <f t="shared" si="276"/>
        <v/>
      </c>
      <c r="M2655" s="9"/>
      <c r="N2655" s="9"/>
      <c r="P2655" s="14"/>
      <c r="Q2655" s="85"/>
      <c r="R2655" s="89"/>
      <c r="U2655" s="11" t="str">
        <f t="shared" si="274"/>
        <v/>
      </c>
      <c r="V2655" s="12" t="str">
        <f t="shared" si="275"/>
        <v/>
      </c>
      <c r="Z2655" s="15"/>
    </row>
    <row r="2656" spans="1:26" x14ac:dyDescent="0.25">
      <c r="A2656" s="15" t="str">
        <f>IF(C2656="","",COUNTA($C$3:C2656))</f>
        <v/>
      </c>
      <c r="B2656" s="15" t="str">
        <f t="shared" si="276"/>
        <v/>
      </c>
      <c r="M2656" s="9"/>
      <c r="N2656" s="9"/>
      <c r="P2656" s="14"/>
      <c r="Q2656" s="85"/>
      <c r="R2656" s="89"/>
      <c r="U2656" s="11" t="str">
        <f t="shared" si="274"/>
        <v/>
      </c>
      <c r="V2656" s="12" t="str">
        <f t="shared" si="275"/>
        <v/>
      </c>
      <c r="Z2656" s="15"/>
    </row>
    <row r="2657" spans="1:26" x14ac:dyDescent="0.25">
      <c r="A2657" s="15" t="str">
        <f>IF(C2657="","",COUNTA($C$3:C2657))</f>
        <v/>
      </c>
      <c r="B2657" s="15" t="str">
        <f t="shared" si="276"/>
        <v/>
      </c>
      <c r="M2657" s="9"/>
      <c r="N2657" s="9"/>
      <c r="P2657" s="14"/>
      <c r="Q2657" s="85"/>
      <c r="R2657" s="89"/>
      <c r="U2657" s="11" t="str">
        <f t="shared" si="274"/>
        <v/>
      </c>
      <c r="V2657" s="12" t="str">
        <f t="shared" si="275"/>
        <v/>
      </c>
      <c r="Z2657" s="15"/>
    </row>
    <row r="2658" spans="1:26" x14ac:dyDescent="0.25">
      <c r="A2658" s="15" t="str">
        <f>IF(C2658="","",COUNTA($C$3:C2658))</f>
        <v/>
      </c>
      <c r="B2658" s="15" t="str">
        <f t="shared" si="276"/>
        <v/>
      </c>
      <c r="M2658" s="9"/>
      <c r="N2658" s="9"/>
      <c r="P2658" s="14"/>
      <c r="Q2658" s="85"/>
      <c r="R2658" s="89"/>
      <c r="U2658" s="11" t="str">
        <f t="shared" si="274"/>
        <v/>
      </c>
      <c r="V2658" s="12" t="str">
        <f t="shared" si="275"/>
        <v/>
      </c>
      <c r="Z2658" s="15"/>
    </row>
    <row r="2659" spans="1:26" x14ac:dyDescent="0.25">
      <c r="A2659" s="15" t="str">
        <f>IF(C2659="","",COUNTA($C$3:C2659))</f>
        <v/>
      </c>
      <c r="B2659" s="15" t="str">
        <f t="shared" si="276"/>
        <v/>
      </c>
      <c r="M2659" s="9"/>
      <c r="N2659" s="9"/>
      <c r="P2659" s="14"/>
      <c r="Q2659" s="85"/>
      <c r="R2659" s="89"/>
      <c r="U2659" s="11" t="str">
        <f t="shared" si="274"/>
        <v/>
      </c>
      <c r="V2659" s="12" t="str">
        <f t="shared" si="275"/>
        <v/>
      </c>
      <c r="Z2659" s="15"/>
    </row>
    <row r="2660" spans="1:26" x14ac:dyDescent="0.25">
      <c r="A2660" s="15" t="str">
        <f>IF(C2660="","",COUNTA($C$3:C2660))</f>
        <v/>
      </c>
      <c r="B2660" s="15" t="str">
        <f t="shared" si="276"/>
        <v/>
      </c>
      <c r="M2660" s="9"/>
      <c r="N2660" s="9"/>
      <c r="P2660" s="14"/>
      <c r="Q2660" s="85"/>
      <c r="R2660" s="89"/>
      <c r="U2660" s="11" t="str">
        <f t="shared" si="274"/>
        <v/>
      </c>
      <c r="V2660" s="12" t="str">
        <f t="shared" si="275"/>
        <v/>
      </c>
      <c r="Z2660" s="15"/>
    </row>
    <row r="2661" spans="1:26" x14ac:dyDescent="0.25">
      <c r="A2661" s="15" t="str">
        <f>IF(C2661="","",COUNTA($C$3:C2661))</f>
        <v/>
      </c>
      <c r="B2661" s="15" t="str">
        <f t="shared" si="276"/>
        <v/>
      </c>
      <c r="M2661" s="9"/>
      <c r="N2661" s="9"/>
      <c r="P2661" s="14"/>
      <c r="Q2661" s="85"/>
      <c r="R2661" s="89"/>
      <c r="U2661" s="11" t="str">
        <f t="shared" si="274"/>
        <v/>
      </c>
      <c r="V2661" s="12" t="str">
        <f t="shared" si="275"/>
        <v/>
      </c>
      <c r="Z2661" s="15"/>
    </row>
    <row r="2662" spans="1:26" x14ac:dyDescent="0.25">
      <c r="A2662" s="15" t="str">
        <f>IF(C2662="","",COUNTA($C$3:C2662))</f>
        <v/>
      </c>
      <c r="B2662" s="15" t="str">
        <f t="shared" si="276"/>
        <v/>
      </c>
      <c r="M2662" s="9"/>
      <c r="N2662" s="9"/>
      <c r="P2662" s="14"/>
      <c r="Q2662" s="85"/>
      <c r="R2662" s="89"/>
      <c r="U2662" s="11" t="str">
        <f t="shared" si="274"/>
        <v/>
      </c>
      <c r="V2662" s="12" t="str">
        <f t="shared" si="275"/>
        <v/>
      </c>
      <c r="Z2662" s="15"/>
    </row>
    <row r="2663" spans="1:26" x14ac:dyDescent="0.25">
      <c r="A2663" s="15" t="str">
        <f>IF(C2663="","",COUNTA($C$3:C2663))</f>
        <v/>
      </c>
      <c r="B2663" s="15" t="str">
        <f t="shared" si="276"/>
        <v/>
      </c>
      <c r="M2663" s="9"/>
      <c r="N2663" s="9"/>
      <c r="P2663" s="14"/>
      <c r="Q2663" s="85"/>
      <c r="R2663" s="89"/>
      <c r="U2663" s="11" t="str">
        <f t="shared" si="274"/>
        <v/>
      </c>
      <c r="V2663" s="12" t="str">
        <f t="shared" si="275"/>
        <v/>
      </c>
      <c r="Z2663" s="15"/>
    </row>
    <row r="2664" spans="1:26" x14ac:dyDescent="0.25">
      <c r="A2664" s="15" t="str">
        <f>IF(C2664="","",COUNTA($C$3:C2664))</f>
        <v/>
      </c>
      <c r="B2664" s="15" t="str">
        <f t="shared" si="276"/>
        <v/>
      </c>
      <c r="M2664" s="9"/>
      <c r="N2664" s="9"/>
      <c r="P2664" s="14"/>
      <c r="Q2664" s="85"/>
      <c r="R2664" s="89"/>
      <c r="U2664" s="11" t="str">
        <f t="shared" si="274"/>
        <v/>
      </c>
      <c r="V2664" s="12" t="str">
        <f t="shared" si="275"/>
        <v/>
      </c>
      <c r="Z2664" s="15"/>
    </row>
    <row r="2665" spans="1:26" x14ac:dyDescent="0.25">
      <c r="A2665" s="15" t="str">
        <f>IF(C2665="","",COUNTA($C$3:C2665))</f>
        <v/>
      </c>
      <c r="B2665" s="15" t="str">
        <f t="shared" si="276"/>
        <v/>
      </c>
      <c r="M2665" s="9"/>
      <c r="N2665" s="9"/>
      <c r="P2665" s="14"/>
      <c r="Q2665" s="85"/>
      <c r="R2665" s="89"/>
      <c r="U2665" s="11" t="str">
        <f t="shared" si="274"/>
        <v/>
      </c>
      <c r="V2665" s="12" t="str">
        <f t="shared" si="275"/>
        <v/>
      </c>
      <c r="Z2665" s="15"/>
    </row>
    <row r="2666" spans="1:26" x14ac:dyDescent="0.25">
      <c r="A2666" s="15" t="str">
        <f>IF(C2666="","",COUNTA($C$3:C2666))</f>
        <v/>
      </c>
      <c r="B2666" s="15" t="str">
        <f t="shared" si="276"/>
        <v/>
      </c>
      <c r="M2666" s="9"/>
      <c r="N2666" s="9"/>
      <c r="P2666" s="14"/>
      <c r="Q2666" s="85"/>
      <c r="R2666" s="89"/>
      <c r="U2666" s="11" t="str">
        <f t="shared" si="274"/>
        <v/>
      </c>
      <c r="V2666" s="12" t="str">
        <f t="shared" si="275"/>
        <v/>
      </c>
      <c r="Z2666" s="15"/>
    </row>
    <row r="2667" spans="1:26" x14ac:dyDescent="0.25">
      <c r="A2667" s="15" t="str">
        <f>IF(C2667="","",COUNTA($C$3:C2667))</f>
        <v/>
      </c>
      <c r="B2667" s="15" t="str">
        <f t="shared" si="276"/>
        <v/>
      </c>
      <c r="M2667" s="9"/>
      <c r="N2667" s="9"/>
      <c r="P2667" s="14"/>
      <c r="Q2667" s="85"/>
      <c r="R2667" s="89"/>
      <c r="U2667" s="11" t="str">
        <f t="shared" si="274"/>
        <v/>
      </c>
      <c r="V2667" s="12" t="str">
        <f t="shared" si="275"/>
        <v/>
      </c>
      <c r="Z2667" s="15"/>
    </row>
    <row r="2668" spans="1:26" x14ac:dyDescent="0.25">
      <c r="A2668" s="15" t="str">
        <f>IF(C2668="","",COUNTA($C$3:C2668))</f>
        <v/>
      </c>
      <c r="B2668" s="15" t="str">
        <f t="shared" si="276"/>
        <v/>
      </c>
      <c r="M2668" s="9"/>
      <c r="N2668" s="9"/>
      <c r="P2668" s="14"/>
      <c r="Q2668" s="85"/>
      <c r="R2668" s="89"/>
      <c r="U2668" s="11" t="str">
        <f t="shared" si="274"/>
        <v/>
      </c>
      <c r="V2668" s="12" t="str">
        <f t="shared" si="275"/>
        <v/>
      </c>
      <c r="Z2668" s="15"/>
    </row>
    <row r="2669" spans="1:26" x14ac:dyDescent="0.25">
      <c r="A2669" s="15" t="str">
        <f>IF(C2669="","",COUNTA($C$3:C2669))</f>
        <v/>
      </c>
      <c r="B2669" s="15" t="str">
        <f t="shared" si="276"/>
        <v/>
      </c>
      <c r="M2669" s="9"/>
      <c r="N2669" s="9"/>
      <c r="P2669" s="14"/>
      <c r="Q2669" s="85"/>
      <c r="R2669" s="89"/>
      <c r="U2669" s="11" t="str">
        <f t="shared" si="274"/>
        <v/>
      </c>
      <c r="V2669" s="12" t="str">
        <f t="shared" si="275"/>
        <v/>
      </c>
      <c r="Z2669" s="15"/>
    </row>
    <row r="2670" spans="1:26" x14ac:dyDescent="0.25">
      <c r="A2670" s="15" t="str">
        <f>IF(C2670="","",COUNTA($C$3:C2670))</f>
        <v/>
      </c>
      <c r="B2670" s="15" t="str">
        <f t="shared" si="276"/>
        <v/>
      </c>
      <c r="M2670" s="9"/>
      <c r="N2670" s="9"/>
      <c r="P2670" s="14"/>
      <c r="Q2670" s="85"/>
      <c r="R2670" s="89"/>
      <c r="U2670" s="11" t="str">
        <f t="shared" si="274"/>
        <v/>
      </c>
      <c r="V2670" s="12" t="str">
        <f t="shared" si="275"/>
        <v/>
      </c>
      <c r="Z2670" s="15"/>
    </row>
    <row r="2671" spans="1:26" x14ac:dyDescent="0.25">
      <c r="A2671" s="15" t="str">
        <f>IF(C2671="","",COUNTA($C$3:C2671))</f>
        <v/>
      </c>
      <c r="B2671" s="15" t="str">
        <f t="shared" si="276"/>
        <v/>
      </c>
      <c r="M2671" s="9"/>
      <c r="N2671" s="9"/>
      <c r="P2671" s="14"/>
      <c r="Q2671" s="85"/>
      <c r="R2671" s="89"/>
      <c r="U2671" s="11" t="str">
        <f t="shared" si="274"/>
        <v/>
      </c>
      <c r="V2671" s="12" t="str">
        <f t="shared" si="275"/>
        <v/>
      </c>
      <c r="Z2671" s="15"/>
    </row>
    <row r="2672" spans="1:26" x14ac:dyDescent="0.25">
      <c r="A2672" s="15" t="str">
        <f>IF(C2672="","",COUNTA($C$3:C2672))</f>
        <v/>
      </c>
      <c r="B2672" s="15" t="str">
        <f t="shared" si="276"/>
        <v/>
      </c>
      <c r="M2672" s="9"/>
      <c r="N2672" s="9"/>
      <c r="P2672" s="14"/>
      <c r="Q2672" s="85"/>
      <c r="R2672" s="89"/>
      <c r="U2672" s="11" t="str">
        <f t="shared" si="274"/>
        <v/>
      </c>
      <c r="V2672" s="12" t="str">
        <f t="shared" si="275"/>
        <v/>
      </c>
      <c r="Z2672" s="15"/>
    </row>
    <row r="2673" spans="1:26" x14ac:dyDescent="0.25">
      <c r="A2673" s="15" t="str">
        <f>IF(C2673="","",COUNTA($C$3:C2673))</f>
        <v/>
      </c>
      <c r="B2673" s="15" t="str">
        <f t="shared" si="276"/>
        <v/>
      </c>
      <c r="M2673" s="9"/>
      <c r="N2673" s="9"/>
      <c r="P2673" s="14"/>
      <c r="Q2673" s="85"/>
      <c r="R2673" s="89"/>
      <c r="U2673" s="11" t="str">
        <f t="shared" si="274"/>
        <v/>
      </c>
      <c r="V2673" s="12" t="str">
        <f t="shared" si="275"/>
        <v/>
      </c>
      <c r="Z2673" s="15"/>
    </row>
    <row r="2674" spans="1:26" x14ac:dyDescent="0.25">
      <c r="A2674" s="15" t="str">
        <f>IF(C2674="","",COUNTA($C$3:C2674))</f>
        <v/>
      </c>
      <c r="B2674" s="15" t="str">
        <f t="shared" si="276"/>
        <v/>
      </c>
      <c r="M2674" s="9"/>
      <c r="N2674" s="9"/>
      <c r="P2674" s="14"/>
      <c r="Q2674" s="85"/>
      <c r="R2674" s="89"/>
      <c r="U2674" s="11" t="str">
        <f t="shared" si="274"/>
        <v/>
      </c>
      <c r="V2674" s="12" t="str">
        <f t="shared" si="275"/>
        <v/>
      </c>
      <c r="Z2674" s="15"/>
    </row>
    <row r="2675" spans="1:26" x14ac:dyDescent="0.25">
      <c r="A2675" s="15" t="str">
        <f>IF(C2675="","",COUNTA($C$3:C2675))</f>
        <v/>
      </c>
      <c r="B2675" s="15" t="str">
        <f t="shared" si="276"/>
        <v/>
      </c>
      <c r="M2675" s="9"/>
      <c r="N2675" s="9"/>
      <c r="P2675" s="14"/>
      <c r="Q2675" s="85"/>
      <c r="R2675" s="89"/>
      <c r="U2675" s="11" t="str">
        <f t="shared" si="274"/>
        <v/>
      </c>
      <c r="V2675" s="12" t="str">
        <f t="shared" si="275"/>
        <v/>
      </c>
      <c r="Z2675" s="15"/>
    </row>
    <row r="2676" spans="1:26" x14ac:dyDescent="0.25">
      <c r="A2676" s="15" t="str">
        <f>IF(C2676="","",COUNTA($C$3:C2676))</f>
        <v/>
      </c>
      <c r="B2676" s="15" t="str">
        <f t="shared" si="276"/>
        <v/>
      </c>
      <c r="M2676" s="9"/>
      <c r="N2676" s="9"/>
      <c r="P2676" s="14"/>
      <c r="Q2676" s="85"/>
      <c r="R2676" s="89"/>
      <c r="U2676" s="11" t="str">
        <f t="shared" si="274"/>
        <v/>
      </c>
      <c r="V2676" s="12" t="str">
        <f t="shared" si="275"/>
        <v/>
      </c>
      <c r="Z2676" s="15"/>
    </row>
    <row r="2677" spans="1:26" x14ac:dyDescent="0.25">
      <c r="A2677" s="15" t="str">
        <f>IF(C2677="","",COUNTA($C$3:C2677))</f>
        <v/>
      </c>
      <c r="B2677" s="15" t="str">
        <f t="shared" si="276"/>
        <v/>
      </c>
      <c r="M2677" s="9"/>
      <c r="N2677" s="9"/>
      <c r="P2677" s="14"/>
      <c r="Q2677" s="85"/>
      <c r="R2677" s="89"/>
      <c r="U2677" s="11" t="str">
        <f t="shared" si="274"/>
        <v/>
      </c>
      <c r="V2677" s="12" t="str">
        <f t="shared" si="275"/>
        <v/>
      </c>
      <c r="Z2677" s="15"/>
    </row>
    <row r="2678" spans="1:26" x14ac:dyDescent="0.25">
      <c r="A2678" s="15" t="str">
        <f>IF(C2678="","",COUNTA($C$3:C2678))</f>
        <v/>
      </c>
      <c r="B2678" s="15" t="str">
        <f t="shared" si="276"/>
        <v/>
      </c>
      <c r="M2678" s="9"/>
      <c r="N2678" s="9"/>
      <c r="P2678" s="14"/>
      <c r="Q2678" s="85"/>
      <c r="R2678" s="89"/>
      <c r="U2678" s="11" t="str">
        <f t="shared" si="274"/>
        <v/>
      </c>
      <c r="V2678" s="12" t="str">
        <f t="shared" si="275"/>
        <v/>
      </c>
      <c r="Z2678" s="15"/>
    </row>
    <row r="2679" spans="1:26" x14ac:dyDescent="0.25">
      <c r="A2679" s="15" t="str">
        <f>IF(C2679="","",COUNTA($C$3:C2679))</f>
        <v/>
      </c>
      <c r="B2679" s="15" t="str">
        <f t="shared" si="276"/>
        <v/>
      </c>
      <c r="M2679" s="9"/>
      <c r="N2679" s="9"/>
      <c r="P2679" s="14"/>
      <c r="Q2679" s="85"/>
      <c r="R2679" s="89"/>
      <c r="U2679" s="11" t="str">
        <f t="shared" si="274"/>
        <v/>
      </c>
      <c r="V2679" s="12" t="str">
        <f t="shared" si="275"/>
        <v/>
      </c>
      <c r="Z2679" s="15"/>
    </row>
    <row r="2680" spans="1:26" x14ac:dyDescent="0.25">
      <c r="A2680" s="15" t="str">
        <f>IF(C2680="","",COUNTA($C$3:C2680))</f>
        <v/>
      </c>
      <c r="B2680" s="15" t="str">
        <f t="shared" si="276"/>
        <v/>
      </c>
      <c r="M2680" s="9"/>
      <c r="N2680" s="9"/>
      <c r="P2680" s="14"/>
      <c r="Q2680" s="85"/>
      <c r="R2680" s="89"/>
      <c r="U2680" s="11" t="str">
        <f t="shared" si="274"/>
        <v/>
      </c>
      <c r="V2680" s="12" t="str">
        <f t="shared" si="275"/>
        <v/>
      </c>
      <c r="Z2680" s="15"/>
    </row>
    <row r="2681" spans="1:26" x14ac:dyDescent="0.25">
      <c r="A2681" s="15" t="str">
        <f>IF(C2681="","",COUNTA($C$3:C2681))</f>
        <v/>
      </c>
      <c r="B2681" s="15" t="str">
        <f t="shared" si="276"/>
        <v/>
      </c>
      <c r="M2681" s="9"/>
      <c r="N2681" s="9"/>
      <c r="P2681" s="14"/>
      <c r="Q2681" s="85"/>
      <c r="R2681" s="89"/>
      <c r="U2681" s="11" t="str">
        <f t="shared" si="274"/>
        <v/>
      </c>
      <c r="V2681" s="12" t="str">
        <f t="shared" si="275"/>
        <v/>
      </c>
      <c r="Z2681" s="15"/>
    </row>
    <row r="2682" spans="1:26" x14ac:dyDescent="0.25">
      <c r="A2682" s="15" t="str">
        <f>IF(C2682="","",COUNTA($C$3:C2682))</f>
        <v/>
      </c>
      <c r="B2682" s="15" t="str">
        <f t="shared" si="276"/>
        <v/>
      </c>
      <c r="M2682" s="9"/>
      <c r="N2682" s="9"/>
      <c r="P2682" s="14"/>
      <c r="Q2682" s="85"/>
      <c r="R2682" s="89"/>
      <c r="U2682" s="11" t="str">
        <f t="shared" si="274"/>
        <v/>
      </c>
      <c r="V2682" s="12" t="str">
        <f t="shared" si="275"/>
        <v/>
      </c>
      <c r="Z2682" s="15"/>
    </row>
    <row r="2683" spans="1:26" x14ac:dyDescent="0.25">
      <c r="A2683" s="15" t="str">
        <f>IF(C2683="","",COUNTA($C$3:C2683))</f>
        <v/>
      </c>
      <c r="B2683" s="15" t="str">
        <f t="shared" si="276"/>
        <v/>
      </c>
      <c r="M2683" s="9"/>
      <c r="N2683" s="9"/>
      <c r="P2683" s="14"/>
      <c r="Q2683" s="85"/>
      <c r="R2683" s="89"/>
      <c r="U2683" s="11" t="str">
        <f t="shared" si="274"/>
        <v/>
      </c>
      <c r="V2683" s="12" t="str">
        <f t="shared" si="275"/>
        <v/>
      </c>
      <c r="Z2683" s="15"/>
    </row>
    <row r="2684" spans="1:26" x14ac:dyDescent="0.25">
      <c r="A2684" s="15" t="str">
        <f>IF(C2684="","",COUNTA($C$3:C2684))</f>
        <v/>
      </c>
      <c r="B2684" s="15" t="str">
        <f t="shared" si="276"/>
        <v/>
      </c>
      <c r="M2684" s="9"/>
      <c r="N2684" s="9"/>
      <c r="P2684" s="14"/>
      <c r="Q2684" s="85"/>
      <c r="R2684" s="89"/>
      <c r="U2684" s="11" t="str">
        <f t="shared" si="274"/>
        <v/>
      </c>
      <c r="V2684" s="12" t="str">
        <f t="shared" si="275"/>
        <v/>
      </c>
      <c r="Z2684" s="15"/>
    </row>
    <row r="2685" spans="1:26" x14ac:dyDescent="0.25">
      <c r="A2685" s="15" t="str">
        <f>IF(C2685="","",COUNTA($C$3:C2685))</f>
        <v/>
      </c>
      <c r="B2685" s="15" t="str">
        <f t="shared" si="276"/>
        <v/>
      </c>
      <c r="M2685" s="9"/>
      <c r="N2685" s="9"/>
      <c r="P2685" s="14"/>
      <c r="Q2685" s="85"/>
      <c r="R2685" s="89"/>
      <c r="U2685" s="11" t="str">
        <f t="shared" si="274"/>
        <v/>
      </c>
      <c r="V2685" s="12" t="str">
        <f t="shared" si="275"/>
        <v/>
      </c>
      <c r="Z2685" s="15"/>
    </row>
    <row r="2686" spans="1:26" x14ac:dyDescent="0.25">
      <c r="A2686" s="15" t="str">
        <f>IF(C2686="","",COUNTA($C$3:C2686))</f>
        <v/>
      </c>
      <c r="B2686" s="15" t="str">
        <f t="shared" si="276"/>
        <v/>
      </c>
      <c r="M2686" s="9"/>
      <c r="N2686" s="9"/>
      <c r="P2686" s="14"/>
      <c r="Q2686" s="85"/>
      <c r="R2686" s="89"/>
      <c r="U2686" s="11" t="str">
        <f t="shared" si="274"/>
        <v/>
      </c>
      <c r="V2686" s="12" t="str">
        <f t="shared" si="275"/>
        <v/>
      </c>
      <c r="Z2686" s="15"/>
    </row>
    <row r="2687" spans="1:26" x14ac:dyDescent="0.25">
      <c r="A2687" s="15" t="str">
        <f>IF(C2687="","",COUNTA($C$3:C2687))</f>
        <v/>
      </c>
      <c r="B2687" s="15" t="str">
        <f t="shared" si="276"/>
        <v/>
      </c>
      <c r="M2687" s="9"/>
      <c r="N2687" s="9"/>
      <c r="P2687" s="14"/>
      <c r="Q2687" s="85"/>
      <c r="R2687" s="89"/>
      <c r="U2687" s="11" t="str">
        <f t="shared" si="274"/>
        <v/>
      </c>
      <c r="V2687" s="12" t="str">
        <f t="shared" si="275"/>
        <v/>
      </c>
      <c r="Z2687" s="15"/>
    </row>
    <row r="2688" spans="1:26" x14ac:dyDescent="0.25">
      <c r="A2688" s="15" t="str">
        <f>IF(C2688="","",COUNTA($C$3:C2688))</f>
        <v/>
      </c>
      <c r="B2688" s="15" t="str">
        <f t="shared" si="276"/>
        <v/>
      </c>
      <c r="M2688" s="9"/>
      <c r="N2688" s="9"/>
      <c r="P2688" s="14"/>
      <c r="Q2688" s="85"/>
      <c r="R2688" s="89"/>
      <c r="U2688" s="11" t="str">
        <f t="shared" si="274"/>
        <v/>
      </c>
      <c r="V2688" s="12" t="str">
        <f t="shared" si="275"/>
        <v/>
      </c>
      <c r="Z2688" s="15"/>
    </row>
    <row r="2689" spans="1:26" x14ac:dyDescent="0.25">
      <c r="A2689" s="15" t="str">
        <f>IF(C2689="","",COUNTA($C$3:C2689))</f>
        <v/>
      </c>
      <c r="B2689" s="15" t="str">
        <f t="shared" si="276"/>
        <v/>
      </c>
      <c r="M2689" s="9"/>
      <c r="N2689" s="9"/>
      <c r="P2689" s="14"/>
      <c r="Q2689" s="85"/>
      <c r="R2689" s="89"/>
      <c r="U2689" s="11" t="str">
        <f t="shared" si="274"/>
        <v/>
      </c>
      <c r="V2689" s="12" t="str">
        <f t="shared" si="275"/>
        <v/>
      </c>
      <c r="Z2689" s="15"/>
    </row>
    <row r="2690" spans="1:26" x14ac:dyDescent="0.25">
      <c r="A2690" s="15" t="str">
        <f>IF(C2690="","",COUNTA($C$3:C2690))</f>
        <v/>
      </c>
      <c r="B2690" s="15" t="str">
        <f t="shared" si="276"/>
        <v/>
      </c>
      <c r="M2690" s="9"/>
      <c r="N2690" s="9"/>
      <c r="P2690" s="14"/>
      <c r="Q2690" s="85"/>
      <c r="R2690" s="89"/>
      <c r="U2690" s="11" t="str">
        <f t="shared" ref="U2690:U2753" si="277">IF(S2690="","",(S2690-T2690))</f>
        <v/>
      </c>
      <c r="V2690" s="12" t="str">
        <f t="shared" ref="V2690:V2753" si="278">IF(U2690="","",(U2690/T2690))</f>
        <v/>
      </c>
      <c r="Z2690" s="15"/>
    </row>
    <row r="2691" spans="1:26" x14ac:dyDescent="0.25">
      <c r="A2691" s="15" t="str">
        <f>IF(C2691="","",COUNTA($C$3:C2691))</f>
        <v/>
      </c>
      <c r="B2691" s="15" t="str">
        <f t="shared" ref="B2691:B2754" si="279">IF(C2691="","",TEXT(C2691,"mmmm"))</f>
        <v/>
      </c>
      <c r="M2691" s="9"/>
      <c r="N2691" s="9"/>
      <c r="P2691" s="14"/>
      <c r="Q2691" s="85"/>
      <c r="R2691" s="89"/>
      <c r="U2691" s="11" t="str">
        <f t="shared" si="277"/>
        <v/>
      </c>
      <c r="V2691" s="12" t="str">
        <f t="shared" si="278"/>
        <v/>
      </c>
      <c r="Z2691" s="15"/>
    </row>
    <row r="2692" spans="1:26" x14ac:dyDescent="0.25">
      <c r="A2692" s="15" t="str">
        <f>IF(C2692="","",COUNTA($C$3:C2692))</f>
        <v/>
      </c>
      <c r="B2692" s="15" t="str">
        <f t="shared" si="279"/>
        <v/>
      </c>
      <c r="M2692" s="9"/>
      <c r="N2692" s="9"/>
      <c r="P2692" s="14"/>
      <c r="Q2692" s="85"/>
      <c r="R2692" s="89"/>
      <c r="U2692" s="11" t="str">
        <f t="shared" si="277"/>
        <v/>
      </c>
      <c r="V2692" s="12" t="str">
        <f t="shared" si="278"/>
        <v/>
      </c>
      <c r="Z2692" s="15"/>
    </row>
    <row r="2693" spans="1:26" x14ac:dyDescent="0.25">
      <c r="A2693" s="15" t="str">
        <f>IF(C2693="","",COUNTA($C$3:C2693))</f>
        <v/>
      </c>
      <c r="B2693" s="15" t="str">
        <f t="shared" si="279"/>
        <v/>
      </c>
      <c r="M2693" s="9"/>
      <c r="N2693" s="9"/>
      <c r="P2693" s="14"/>
      <c r="Q2693" s="85"/>
      <c r="R2693" s="89"/>
      <c r="U2693" s="11" t="str">
        <f t="shared" si="277"/>
        <v/>
      </c>
      <c r="V2693" s="12" t="str">
        <f t="shared" si="278"/>
        <v/>
      </c>
      <c r="Z2693" s="15"/>
    </row>
    <row r="2694" spans="1:26" x14ac:dyDescent="0.25">
      <c r="A2694" s="15" t="str">
        <f>IF(C2694="","",COUNTA($C$3:C2694))</f>
        <v/>
      </c>
      <c r="B2694" s="15" t="str">
        <f t="shared" si="279"/>
        <v/>
      </c>
      <c r="M2694" s="9"/>
      <c r="N2694" s="9"/>
      <c r="P2694" s="14"/>
      <c r="Q2694" s="85"/>
      <c r="R2694" s="89"/>
      <c r="U2694" s="11" t="str">
        <f t="shared" si="277"/>
        <v/>
      </c>
      <c r="V2694" s="12" t="str">
        <f t="shared" si="278"/>
        <v/>
      </c>
      <c r="Z2694" s="15"/>
    </row>
    <row r="2695" spans="1:26" x14ac:dyDescent="0.25">
      <c r="A2695" s="15" t="str">
        <f>IF(C2695="","",COUNTA($C$3:C2695))</f>
        <v/>
      </c>
      <c r="B2695" s="15" t="str">
        <f t="shared" si="279"/>
        <v/>
      </c>
      <c r="M2695" s="9"/>
      <c r="N2695" s="9"/>
      <c r="P2695" s="14"/>
      <c r="Q2695" s="85"/>
      <c r="R2695" s="89"/>
      <c r="U2695" s="11" t="str">
        <f t="shared" si="277"/>
        <v/>
      </c>
      <c r="V2695" s="12" t="str">
        <f t="shared" si="278"/>
        <v/>
      </c>
      <c r="Z2695" s="15"/>
    </row>
    <row r="2696" spans="1:26" x14ac:dyDescent="0.25">
      <c r="A2696" s="15" t="str">
        <f>IF(C2696="","",COUNTA($C$3:C2696))</f>
        <v/>
      </c>
      <c r="B2696" s="15" t="str">
        <f t="shared" si="279"/>
        <v/>
      </c>
      <c r="M2696" s="9"/>
      <c r="N2696" s="9"/>
      <c r="P2696" s="14"/>
      <c r="Q2696" s="85"/>
      <c r="R2696" s="89"/>
      <c r="U2696" s="11" t="str">
        <f t="shared" si="277"/>
        <v/>
      </c>
      <c r="V2696" s="12" t="str">
        <f t="shared" si="278"/>
        <v/>
      </c>
      <c r="Z2696" s="15"/>
    </row>
    <row r="2697" spans="1:26" x14ac:dyDescent="0.25">
      <c r="A2697" s="15" t="str">
        <f>IF(C2697="","",COUNTA($C$3:C2697))</f>
        <v/>
      </c>
      <c r="B2697" s="15" t="str">
        <f t="shared" si="279"/>
        <v/>
      </c>
      <c r="M2697" s="9"/>
      <c r="N2697" s="9"/>
      <c r="P2697" s="14"/>
      <c r="Q2697" s="85"/>
      <c r="R2697" s="89"/>
      <c r="U2697" s="11" t="str">
        <f t="shared" si="277"/>
        <v/>
      </c>
      <c r="V2697" s="12" t="str">
        <f t="shared" si="278"/>
        <v/>
      </c>
      <c r="Z2697" s="15"/>
    </row>
    <row r="2698" spans="1:26" x14ac:dyDescent="0.25">
      <c r="A2698" s="15" t="str">
        <f>IF(C2698="","",COUNTA($C$3:C2698))</f>
        <v/>
      </c>
      <c r="B2698" s="15" t="str">
        <f t="shared" si="279"/>
        <v/>
      </c>
      <c r="M2698" s="9"/>
      <c r="N2698" s="9"/>
      <c r="P2698" s="14"/>
      <c r="Q2698" s="85"/>
      <c r="R2698" s="89"/>
      <c r="U2698" s="11" t="str">
        <f t="shared" si="277"/>
        <v/>
      </c>
      <c r="V2698" s="12" t="str">
        <f t="shared" si="278"/>
        <v/>
      </c>
      <c r="Z2698" s="15"/>
    </row>
    <row r="2699" spans="1:26" x14ac:dyDescent="0.25">
      <c r="A2699" s="15" t="str">
        <f>IF(C2699="","",COUNTA($C$3:C2699))</f>
        <v/>
      </c>
      <c r="B2699" s="15" t="str">
        <f t="shared" si="279"/>
        <v/>
      </c>
      <c r="M2699" s="9"/>
      <c r="N2699" s="9"/>
      <c r="P2699" s="14"/>
      <c r="Q2699" s="85"/>
      <c r="R2699" s="89"/>
      <c r="U2699" s="11" t="str">
        <f t="shared" si="277"/>
        <v/>
      </c>
      <c r="V2699" s="12" t="str">
        <f t="shared" si="278"/>
        <v/>
      </c>
      <c r="Z2699" s="15"/>
    </row>
    <row r="2700" spans="1:26" x14ac:dyDescent="0.25">
      <c r="A2700" s="15" t="str">
        <f>IF(C2700="","",COUNTA($C$3:C2700))</f>
        <v/>
      </c>
      <c r="B2700" s="15" t="str">
        <f t="shared" si="279"/>
        <v/>
      </c>
      <c r="M2700" s="9"/>
      <c r="N2700" s="9"/>
      <c r="P2700" s="14"/>
      <c r="Q2700" s="85"/>
      <c r="R2700" s="89"/>
      <c r="U2700" s="11" t="str">
        <f t="shared" si="277"/>
        <v/>
      </c>
      <c r="V2700" s="12" t="str">
        <f t="shared" si="278"/>
        <v/>
      </c>
      <c r="Z2700" s="15"/>
    </row>
    <row r="2701" spans="1:26" x14ac:dyDescent="0.25">
      <c r="A2701" s="15" t="str">
        <f>IF(C2701="","",COUNTA($C$3:C2701))</f>
        <v/>
      </c>
      <c r="B2701" s="15" t="str">
        <f t="shared" si="279"/>
        <v/>
      </c>
      <c r="M2701" s="9"/>
      <c r="N2701" s="9"/>
      <c r="P2701" s="14"/>
      <c r="Q2701" s="85"/>
      <c r="R2701" s="89"/>
      <c r="U2701" s="11" t="str">
        <f t="shared" si="277"/>
        <v/>
      </c>
      <c r="V2701" s="12" t="str">
        <f t="shared" si="278"/>
        <v/>
      </c>
      <c r="Z2701" s="15"/>
    </row>
    <row r="2702" spans="1:26" x14ac:dyDescent="0.25">
      <c r="A2702" s="15" t="str">
        <f>IF(C2702="","",COUNTA($C$3:C2702))</f>
        <v/>
      </c>
      <c r="B2702" s="15" t="str">
        <f t="shared" si="279"/>
        <v/>
      </c>
      <c r="M2702" s="9"/>
      <c r="N2702" s="9"/>
      <c r="P2702" s="14"/>
      <c r="Q2702" s="85"/>
      <c r="R2702" s="89"/>
      <c r="U2702" s="11" t="str">
        <f t="shared" si="277"/>
        <v/>
      </c>
      <c r="V2702" s="12" t="str">
        <f t="shared" si="278"/>
        <v/>
      </c>
      <c r="Z2702" s="15"/>
    </row>
    <row r="2703" spans="1:26" x14ac:dyDescent="0.25">
      <c r="A2703" s="15" t="str">
        <f>IF(C2703="","",COUNTA($C$3:C2703))</f>
        <v/>
      </c>
      <c r="B2703" s="15" t="str">
        <f t="shared" si="279"/>
        <v/>
      </c>
      <c r="M2703" s="9"/>
      <c r="N2703" s="9"/>
      <c r="P2703" s="14"/>
      <c r="Q2703" s="85"/>
      <c r="R2703" s="89"/>
      <c r="U2703" s="11" t="str">
        <f t="shared" si="277"/>
        <v/>
      </c>
      <c r="V2703" s="12" t="str">
        <f t="shared" si="278"/>
        <v/>
      </c>
      <c r="Z2703" s="15"/>
    </row>
    <row r="2704" spans="1:26" x14ac:dyDescent="0.25">
      <c r="A2704" s="15" t="str">
        <f>IF(C2704="","",COUNTA($C$3:C2704))</f>
        <v/>
      </c>
      <c r="B2704" s="15" t="str">
        <f t="shared" si="279"/>
        <v/>
      </c>
      <c r="M2704" s="9"/>
      <c r="N2704" s="9"/>
      <c r="P2704" s="14"/>
      <c r="Q2704" s="85"/>
      <c r="R2704" s="89"/>
      <c r="U2704" s="11" t="str">
        <f t="shared" si="277"/>
        <v/>
      </c>
      <c r="V2704" s="12" t="str">
        <f t="shared" si="278"/>
        <v/>
      </c>
      <c r="Z2704" s="15"/>
    </row>
    <row r="2705" spans="1:26" x14ac:dyDescent="0.25">
      <c r="A2705" s="15" t="str">
        <f>IF(C2705="","",COUNTA($C$3:C2705))</f>
        <v/>
      </c>
      <c r="B2705" s="15" t="str">
        <f t="shared" si="279"/>
        <v/>
      </c>
      <c r="M2705" s="9"/>
      <c r="N2705" s="9"/>
      <c r="P2705" s="14"/>
      <c r="Q2705" s="85"/>
      <c r="R2705" s="89"/>
      <c r="U2705" s="11" t="str">
        <f t="shared" si="277"/>
        <v/>
      </c>
      <c r="V2705" s="12" t="str">
        <f t="shared" si="278"/>
        <v/>
      </c>
      <c r="Z2705" s="15"/>
    </row>
    <row r="2706" spans="1:26" x14ac:dyDescent="0.25">
      <c r="A2706" s="15" t="str">
        <f>IF(C2706="","",COUNTA($C$3:C2706))</f>
        <v/>
      </c>
      <c r="B2706" s="15" t="str">
        <f t="shared" si="279"/>
        <v/>
      </c>
      <c r="M2706" s="9"/>
      <c r="N2706" s="9"/>
      <c r="P2706" s="14"/>
      <c r="Q2706" s="85"/>
      <c r="R2706" s="89"/>
      <c r="U2706" s="11" t="str">
        <f t="shared" si="277"/>
        <v/>
      </c>
      <c r="V2706" s="12" t="str">
        <f t="shared" si="278"/>
        <v/>
      </c>
      <c r="Z2706" s="15"/>
    </row>
    <row r="2707" spans="1:26" x14ac:dyDescent="0.25">
      <c r="A2707" s="15" t="str">
        <f>IF(C2707="","",COUNTA($C$3:C2707))</f>
        <v/>
      </c>
      <c r="B2707" s="15" t="str">
        <f t="shared" si="279"/>
        <v/>
      </c>
      <c r="M2707" s="9"/>
      <c r="N2707" s="9"/>
      <c r="P2707" s="14"/>
      <c r="Q2707" s="85"/>
      <c r="R2707" s="89"/>
      <c r="U2707" s="11" t="str">
        <f t="shared" si="277"/>
        <v/>
      </c>
      <c r="V2707" s="12" t="str">
        <f t="shared" si="278"/>
        <v/>
      </c>
      <c r="Z2707" s="15"/>
    </row>
    <row r="2708" spans="1:26" x14ac:dyDescent="0.25">
      <c r="A2708" s="15" t="str">
        <f>IF(C2708="","",COUNTA($C$3:C2708))</f>
        <v/>
      </c>
      <c r="B2708" s="15" t="str">
        <f t="shared" si="279"/>
        <v/>
      </c>
      <c r="M2708" s="9"/>
      <c r="N2708" s="9"/>
      <c r="P2708" s="14"/>
      <c r="Q2708" s="85"/>
      <c r="R2708" s="89"/>
      <c r="U2708" s="11" t="str">
        <f t="shared" si="277"/>
        <v/>
      </c>
      <c r="V2708" s="12" t="str">
        <f t="shared" si="278"/>
        <v/>
      </c>
      <c r="Z2708" s="15"/>
    </row>
    <row r="2709" spans="1:26" x14ac:dyDescent="0.25">
      <c r="A2709" s="15" t="str">
        <f>IF(C2709="","",COUNTA($C$3:C2709))</f>
        <v/>
      </c>
      <c r="B2709" s="15" t="str">
        <f t="shared" si="279"/>
        <v/>
      </c>
      <c r="M2709" s="9"/>
      <c r="N2709" s="9"/>
      <c r="P2709" s="14"/>
      <c r="Q2709" s="85"/>
      <c r="R2709" s="89"/>
      <c r="U2709" s="11" t="str">
        <f t="shared" si="277"/>
        <v/>
      </c>
      <c r="V2709" s="12" t="str">
        <f t="shared" si="278"/>
        <v/>
      </c>
      <c r="Z2709" s="15"/>
    </row>
    <row r="2710" spans="1:26" x14ac:dyDescent="0.25">
      <c r="A2710" s="15" t="str">
        <f>IF(C2710="","",COUNTA($C$3:C2710))</f>
        <v/>
      </c>
      <c r="B2710" s="15" t="str">
        <f t="shared" si="279"/>
        <v/>
      </c>
      <c r="M2710" s="9"/>
      <c r="N2710" s="9"/>
      <c r="P2710" s="14"/>
      <c r="Q2710" s="85"/>
      <c r="R2710" s="89"/>
      <c r="U2710" s="11" t="str">
        <f t="shared" si="277"/>
        <v/>
      </c>
      <c r="V2710" s="12" t="str">
        <f t="shared" si="278"/>
        <v/>
      </c>
      <c r="Z2710" s="15"/>
    </row>
    <row r="2711" spans="1:26" x14ac:dyDescent="0.25">
      <c r="A2711" s="15" t="str">
        <f>IF(C2711="","",COUNTA($C$3:C2711))</f>
        <v/>
      </c>
      <c r="B2711" s="15" t="str">
        <f t="shared" si="279"/>
        <v/>
      </c>
      <c r="M2711" s="9"/>
      <c r="N2711" s="9"/>
      <c r="P2711" s="14"/>
      <c r="Q2711" s="85"/>
      <c r="R2711" s="89"/>
      <c r="U2711" s="11" t="str">
        <f t="shared" si="277"/>
        <v/>
      </c>
      <c r="V2711" s="12" t="str">
        <f t="shared" si="278"/>
        <v/>
      </c>
      <c r="Z2711" s="15"/>
    </row>
    <row r="2712" spans="1:26" x14ac:dyDescent="0.25">
      <c r="A2712" s="15" t="str">
        <f>IF(C2712="","",COUNTA($C$3:C2712))</f>
        <v/>
      </c>
      <c r="B2712" s="15" t="str">
        <f t="shared" si="279"/>
        <v/>
      </c>
      <c r="M2712" s="9"/>
      <c r="N2712" s="9"/>
      <c r="P2712" s="14"/>
      <c r="Q2712" s="85"/>
      <c r="R2712" s="89"/>
      <c r="U2712" s="11" t="str">
        <f t="shared" si="277"/>
        <v/>
      </c>
      <c r="V2712" s="12" t="str">
        <f t="shared" si="278"/>
        <v/>
      </c>
      <c r="Z2712" s="15"/>
    </row>
    <row r="2713" spans="1:26" x14ac:dyDescent="0.25">
      <c r="A2713" s="15" t="str">
        <f>IF(C2713="","",COUNTA($C$3:C2713))</f>
        <v/>
      </c>
      <c r="B2713" s="15" t="str">
        <f t="shared" si="279"/>
        <v/>
      </c>
      <c r="M2713" s="9"/>
      <c r="N2713" s="9"/>
      <c r="P2713" s="14"/>
      <c r="Q2713" s="85"/>
      <c r="R2713" s="89"/>
      <c r="U2713" s="11" t="str">
        <f t="shared" si="277"/>
        <v/>
      </c>
      <c r="V2713" s="12" t="str">
        <f t="shared" si="278"/>
        <v/>
      </c>
      <c r="Z2713" s="15"/>
    </row>
    <row r="2714" spans="1:26" x14ac:dyDescent="0.25">
      <c r="A2714" s="15" t="str">
        <f>IF(C2714="","",COUNTA($C$3:C2714))</f>
        <v/>
      </c>
      <c r="B2714" s="15" t="str">
        <f t="shared" si="279"/>
        <v/>
      </c>
      <c r="M2714" s="9"/>
      <c r="N2714" s="9"/>
      <c r="P2714" s="14"/>
      <c r="Q2714" s="85"/>
      <c r="R2714" s="89"/>
      <c r="U2714" s="11" t="str">
        <f t="shared" si="277"/>
        <v/>
      </c>
      <c r="V2714" s="12" t="str">
        <f t="shared" si="278"/>
        <v/>
      </c>
      <c r="Z2714" s="15"/>
    </row>
    <row r="2715" spans="1:26" x14ac:dyDescent="0.25">
      <c r="A2715" s="15" t="str">
        <f>IF(C2715="","",COUNTA($C$3:C2715))</f>
        <v/>
      </c>
      <c r="B2715" s="15" t="str">
        <f t="shared" si="279"/>
        <v/>
      </c>
      <c r="M2715" s="9"/>
      <c r="N2715" s="9"/>
      <c r="P2715" s="14"/>
      <c r="Q2715" s="85"/>
      <c r="R2715" s="89"/>
      <c r="U2715" s="11" t="str">
        <f t="shared" si="277"/>
        <v/>
      </c>
      <c r="V2715" s="12" t="str">
        <f t="shared" si="278"/>
        <v/>
      </c>
      <c r="Z2715" s="15"/>
    </row>
    <row r="2716" spans="1:26" x14ac:dyDescent="0.25">
      <c r="A2716" s="15" t="str">
        <f>IF(C2716="","",COUNTA($C$3:C2716))</f>
        <v/>
      </c>
      <c r="B2716" s="15" t="str">
        <f t="shared" si="279"/>
        <v/>
      </c>
      <c r="M2716" s="9"/>
      <c r="N2716" s="9"/>
      <c r="P2716" s="14"/>
      <c r="Q2716" s="85"/>
      <c r="R2716" s="89"/>
      <c r="U2716" s="11" t="str">
        <f t="shared" si="277"/>
        <v/>
      </c>
      <c r="V2716" s="12" t="str">
        <f t="shared" si="278"/>
        <v/>
      </c>
      <c r="Z2716" s="15"/>
    </row>
    <row r="2717" spans="1:26" x14ac:dyDescent="0.25">
      <c r="A2717" s="15" t="str">
        <f>IF(C2717="","",COUNTA($C$3:C2717))</f>
        <v/>
      </c>
      <c r="B2717" s="15" t="str">
        <f t="shared" si="279"/>
        <v/>
      </c>
      <c r="M2717" s="9"/>
      <c r="N2717" s="9"/>
      <c r="P2717" s="14"/>
      <c r="Q2717" s="85"/>
      <c r="R2717" s="89"/>
      <c r="U2717" s="11" t="str">
        <f t="shared" si="277"/>
        <v/>
      </c>
      <c r="V2717" s="12" t="str">
        <f t="shared" si="278"/>
        <v/>
      </c>
      <c r="Z2717" s="15"/>
    </row>
    <row r="2718" spans="1:26" x14ac:dyDescent="0.25">
      <c r="A2718" s="15" t="str">
        <f>IF(C2718="","",COUNTA($C$3:C2718))</f>
        <v/>
      </c>
      <c r="B2718" s="15" t="str">
        <f t="shared" si="279"/>
        <v/>
      </c>
      <c r="M2718" s="9"/>
      <c r="N2718" s="9"/>
      <c r="P2718" s="14"/>
      <c r="Q2718" s="85"/>
      <c r="R2718" s="89"/>
      <c r="U2718" s="11" t="str">
        <f t="shared" si="277"/>
        <v/>
      </c>
      <c r="V2718" s="12" t="str">
        <f t="shared" si="278"/>
        <v/>
      </c>
      <c r="Z2718" s="15"/>
    </row>
    <row r="2719" spans="1:26" x14ac:dyDescent="0.25">
      <c r="A2719" s="15" t="str">
        <f>IF(C2719="","",COUNTA($C$3:C2719))</f>
        <v/>
      </c>
      <c r="B2719" s="15" t="str">
        <f t="shared" si="279"/>
        <v/>
      </c>
      <c r="M2719" s="9"/>
      <c r="N2719" s="9"/>
      <c r="P2719" s="14"/>
      <c r="Q2719" s="85"/>
      <c r="R2719" s="89"/>
      <c r="U2719" s="11" t="str">
        <f t="shared" si="277"/>
        <v/>
      </c>
      <c r="V2719" s="12" t="str">
        <f t="shared" si="278"/>
        <v/>
      </c>
      <c r="Z2719" s="15"/>
    </row>
    <row r="2720" spans="1:26" x14ac:dyDescent="0.25">
      <c r="A2720" s="15" t="str">
        <f>IF(C2720="","",COUNTA($C$3:C2720))</f>
        <v/>
      </c>
      <c r="B2720" s="15" t="str">
        <f t="shared" si="279"/>
        <v/>
      </c>
      <c r="M2720" s="9"/>
      <c r="N2720" s="9"/>
      <c r="P2720" s="14"/>
      <c r="Q2720" s="85"/>
      <c r="R2720" s="89"/>
      <c r="U2720" s="11" t="str">
        <f t="shared" si="277"/>
        <v/>
      </c>
      <c r="V2720" s="12" t="str">
        <f t="shared" si="278"/>
        <v/>
      </c>
      <c r="Z2720" s="15"/>
    </row>
    <row r="2721" spans="1:26" x14ac:dyDescent="0.25">
      <c r="A2721" s="15" t="str">
        <f>IF(C2721="","",COUNTA($C$3:C2721))</f>
        <v/>
      </c>
      <c r="B2721" s="15" t="str">
        <f t="shared" si="279"/>
        <v/>
      </c>
      <c r="M2721" s="9"/>
      <c r="N2721" s="9"/>
      <c r="P2721" s="14"/>
      <c r="Q2721" s="85"/>
      <c r="R2721" s="89"/>
      <c r="U2721" s="11" t="str">
        <f t="shared" si="277"/>
        <v/>
      </c>
      <c r="V2721" s="12" t="str">
        <f t="shared" si="278"/>
        <v/>
      </c>
      <c r="Z2721" s="15"/>
    </row>
    <row r="2722" spans="1:26" x14ac:dyDescent="0.25">
      <c r="A2722" s="15" t="str">
        <f>IF(C2722="","",COUNTA($C$3:C2722))</f>
        <v/>
      </c>
      <c r="B2722" s="15" t="str">
        <f t="shared" si="279"/>
        <v/>
      </c>
      <c r="M2722" s="9"/>
      <c r="N2722" s="9"/>
      <c r="P2722" s="14"/>
      <c r="Q2722" s="85"/>
      <c r="R2722" s="89"/>
      <c r="U2722" s="11" t="str">
        <f t="shared" si="277"/>
        <v/>
      </c>
      <c r="V2722" s="12" t="str">
        <f t="shared" si="278"/>
        <v/>
      </c>
      <c r="Z2722" s="15"/>
    </row>
    <row r="2723" spans="1:26" x14ac:dyDescent="0.25">
      <c r="A2723" s="15" t="str">
        <f>IF(C2723="","",COUNTA($C$3:C2723))</f>
        <v/>
      </c>
      <c r="B2723" s="15" t="str">
        <f t="shared" si="279"/>
        <v/>
      </c>
      <c r="M2723" s="9"/>
      <c r="N2723" s="9"/>
      <c r="P2723" s="14"/>
      <c r="Q2723" s="85"/>
      <c r="R2723" s="89"/>
      <c r="U2723" s="11" t="str">
        <f t="shared" si="277"/>
        <v/>
      </c>
      <c r="V2723" s="12" t="str">
        <f t="shared" si="278"/>
        <v/>
      </c>
      <c r="Z2723" s="15"/>
    </row>
    <row r="2724" spans="1:26" x14ac:dyDescent="0.25">
      <c r="A2724" s="15" t="str">
        <f>IF(C2724="","",COUNTA($C$3:C2724))</f>
        <v/>
      </c>
      <c r="B2724" s="15" t="str">
        <f t="shared" si="279"/>
        <v/>
      </c>
      <c r="M2724" s="9"/>
      <c r="N2724" s="9"/>
      <c r="P2724" s="14"/>
      <c r="Q2724" s="85"/>
      <c r="R2724" s="89"/>
      <c r="U2724" s="11" t="str">
        <f t="shared" si="277"/>
        <v/>
      </c>
      <c r="V2724" s="12" t="str">
        <f t="shared" si="278"/>
        <v/>
      </c>
      <c r="Z2724" s="15"/>
    </row>
    <row r="2725" spans="1:26" x14ac:dyDescent="0.25">
      <c r="A2725" s="15" t="str">
        <f>IF(C2725="","",COUNTA($C$3:C2725))</f>
        <v/>
      </c>
      <c r="B2725" s="15" t="str">
        <f t="shared" si="279"/>
        <v/>
      </c>
      <c r="M2725" s="9"/>
      <c r="N2725" s="9"/>
      <c r="P2725" s="14"/>
      <c r="Q2725" s="85"/>
      <c r="R2725" s="89"/>
      <c r="U2725" s="11" t="str">
        <f t="shared" si="277"/>
        <v/>
      </c>
      <c r="V2725" s="12" t="str">
        <f t="shared" si="278"/>
        <v/>
      </c>
      <c r="Z2725" s="15"/>
    </row>
    <row r="2726" spans="1:26" x14ac:dyDescent="0.25">
      <c r="A2726" s="15" t="str">
        <f>IF(C2726="","",COUNTA($C$3:C2726))</f>
        <v/>
      </c>
      <c r="B2726" s="15" t="str">
        <f t="shared" si="279"/>
        <v/>
      </c>
      <c r="M2726" s="9"/>
      <c r="N2726" s="9"/>
      <c r="P2726" s="14"/>
      <c r="Q2726" s="85"/>
      <c r="R2726" s="89"/>
      <c r="U2726" s="11" t="str">
        <f t="shared" si="277"/>
        <v/>
      </c>
      <c r="V2726" s="12" t="str">
        <f t="shared" si="278"/>
        <v/>
      </c>
      <c r="Z2726" s="15"/>
    </row>
    <row r="2727" spans="1:26" x14ac:dyDescent="0.25">
      <c r="A2727" s="15" t="str">
        <f>IF(C2727="","",COUNTA($C$3:C2727))</f>
        <v/>
      </c>
      <c r="B2727" s="15" t="str">
        <f t="shared" si="279"/>
        <v/>
      </c>
      <c r="M2727" s="9"/>
      <c r="N2727" s="9"/>
      <c r="P2727" s="14"/>
      <c r="Q2727" s="85"/>
      <c r="R2727" s="89"/>
      <c r="U2727" s="11" t="str">
        <f t="shared" si="277"/>
        <v/>
      </c>
      <c r="V2727" s="12" t="str">
        <f t="shared" si="278"/>
        <v/>
      </c>
      <c r="Z2727" s="15"/>
    </row>
    <row r="2728" spans="1:26" x14ac:dyDescent="0.25">
      <c r="A2728" s="15" t="str">
        <f>IF(C2728="","",COUNTA($C$3:C2728))</f>
        <v/>
      </c>
      <c r="B2728" s="15" t="str">
        <f t="shared" si="279"/>
        <v/>
      </c>
      <c r="M2728" s="9"/>
      <c r="N2728" s="9"/>
      <c r="P2728" s="14"/>
      <c r="Q2728" s="85"/>
      <c r="R2728" s="89"/>
      <c r="U2728" s="11" t="str">
        <f t="shared" si="277"/>
        <v/>
      </c>
      <c r="V2728" s="12" t="str">
        <f t="shared" si="278"/>
        <v/>
      </c>
      <c r="Z2728" s="15"/>
    </row>
    <row r="2729" spans="1:26" x14ac:dyDescent="0.25">
      <c r="A2729" s="15" t="str">
        <f>IF(C2729="","",COUNTA($C$3:C2729))</f>
        <v/>
      </c>
      <c r="B2729" s="15" t="str">
        <f t="shared" si="279"/>
        <v/>
      </c>
      <c r="M2729" s="9"/>
      <c r="N2729" s="9"/>
      <c r="P2729" s="14"/>
      <c r="Q2729" s="85"/>
      <c r="R2729" s="89"/>
      <c r="U2729" s="11" t="str">
        <f t="shared" si="277"/>
        <v/>
      </c>
      <c r="V2729" s="12" t="str">
        <f t="shared" si="278"/>
        <v/>
      </c>
      <c r="Z2729" s="15"/>
    </row>
    <row r="2730" spans="1:26" x14ac:dyDescent="0.25">
      <c r="A2730" s="15" t="str">
        <f>IF(C2730="","",COUNTA($C$3:C2730))</f>
        <v/>
      </c>
      <c r="B2730" s="15" t="str">
        <f t="shared" si="279"/>
        <v/>
      </c>
      <c r="M2730" s="9"/>
      <c r="N2730" s="9"/>
      <c r="P2730" s="14"/>
      <c r="Q2730" s="85"/>
      <c r="R2730" s="89"/>
      <c r="U2730" s="11" t="str">
        <f t="shared" si="277"/>
        <v/>
      </c>
      <c r="V2730" s="12" t="str">
        <f t="shared" si="278"/>
        <v/>
      </c>
      <c r="Z2730" s="15"/>
    </row>
    <row r="2731" spans="1:26" x14ac:dyDescent="0.25">
      <c r="A2731" s="15" t="str">
        <f>IF(C2731="","",COUNTA($C$3:C2731))</f>
        <v/>
      </c>
      <c r="B2731" s="15" t="str">
        <f t="shared" si="279"/>
        <v/>
      </c>
      <c r="M2731" s="9"/>
      <c r="N2731" s="9"/>
      <c r="P2731" s="14"/>
      <c r="Q2731" s="85"/>
      <c r="R2731" s="89"/>
      <c r="U2731" s="11" t="str">
        <f t="shared" si="277"/>
        <v/>
      </c>
      <c r="V2731" s="12" t="str">
        <f t="shared" si="278"/>
        <v/>
      </c>
      <c r="Z2731" s="15"/>
    </row>
    <row r="2732" spans="1:26" x14ac:dyDescent="0.25">
      <c r="A2732" s="15" t="str">
        <f>IF(C2732="","",COUNTA($C$3:C2732))</f>
        <v/>
      </c>
      <c r="B2732" s="15" t="str">
        <f t="shared" si="279"/>
        <v/>
      </c>
      <c r="M2732" s="9"/>
      <c r="N2732" s="9"/>
      <c r="P2732" s="14"/>
      <c r="Q2732" s="85"/>
      <c r="R2732" s="89"/>
      <c r="U2732" s="11" t="str">
        <f t="shared" si="277"/>
        <v/>
      </c>
      <c r="V2732" s="12" t="str">
        <f t="shared" si="278"/>
        <v/>
      </c>
      <c r="Z2732" s="15"/>
    </row>
    <row r="2733" spans="1:26" x14ac:dyDescent="0.25">
      <c r="A2733" s="15" t="str">
        <f>IF(C2733="","",COUNTA($C$3:C2733))</f>
        <v/>
      </c>
      <c r="B2733" s="15" t="str">
        <f t="shared" si="279"/>
        <v/>
      </c>
      <c r="M2733" s="9"/>
      <c r="N2733" s="9"/>
      <c r="P2733" s="14"/>
      <c r="Q2733" s="85"/>
      <c r="R2733" s="89"/>
      <c r="U2733" s="11" t="str">
        <f t="shared" si="277"/>
        <v/>
      </c>
      <c r="V2733" s="12" t="str">
        <f t="shared" si="278"/>
        <v/>
      </c>
      <c r="Z2733" s="15"/>
    </row>
    <row r="2734" spans="1:26" x14ac:dyDescent="0.25">
      <c r="A2734" s="15" t="str">
        <f>IF(C2734="","",COUNTA($C$3:C2734))</f>
        <v/>
      </c>
      <c r="B2734" s="15" t="str">
        <f t="shared" si="279"/>
        <v/>
      </c>
      <c r="M2734" s="9"/>
      <c r="N2734" s="9"/>
      <c r="P2734" s="14"/>
      <c r="Q2734" s="85"/>
      <c r="R2734" s="89"/>
      <c r="U2734" s="11" t="str">
        <f t="shared" si="277"/>
        <v/>
      </c>
      <c r="V2734" s="12" t="str">
        <f t="shared" si="278"/>
        <v/>
      </c>
      <c r="Z2734" s="15"/>
    </row>
    <row r="2735" spans="1:26" x14ac:dyDescent="0.25">
      <c r="A2735" s="15" t="str">
        <f>IF(C2735="","",COUNTA($C$3:C2735))</f>
        <v/>
      </c>
      <c r="B2735" s="15" t="str">
        <f t="shared" si="279"/>
        <v/>
      </c>
      <c r="M2735" s="9"/>
      <c r="N2735" s="9"/>
      <c r="P2735" s="14"/>
      <c r="Q2735" s="85"/>
      <c r="R2735" s="89"/>
      <c r="U2735" s="11" t="str">
        <f t="shared" si="277"/>
        <v/>
      </c>
      <c r="V2735" s="12" t="str">
        <f t="shared" si="278"/>
        <v/>
      </c>
      <c r="Z2735" s="15"/>
    </row>
    <row r="2736" spans="1:26" x14ac:dyDescent="0.25">
      <c r="A2736" s="15" t="str">
        <f>IF(C2736="","",COUNTA($C$3:C2736))</f>
        <v/>
      </c>
      <c r="B2736" s="15" t="str">
        <f t="shared" si="279"/>
        <v/>
      </c>
      <c r="M2736" s="9"/>
      <c r="N2736" s="9"/>
      <c r="P2736" s="14"/>
      <c r="Q2736" s="85"/>
      <c r="R2736" s="89"/>
      <c r="U2736" s="11" t="str">
        <f t="shared" si="277"/>
        <v/>
      </c>
      <c r="V2736" s="12" t="str">
        <f t="shared" si="278"/>
        <v/>
      </c>
      <c r="Z2736" s="15"/>
    </row>
    <row r="2737" spans="1:26" x14ac:dyDescent="0.25">
      <c r="A2737" s="15" t="str">
        <f>IF(C2737="","",COUNTA($C$3:C2737))</f>
        <v/>
      </c>
      <c r="B2737" s="15" t="str">
        <f t="shared" si="279"/>
        <v/>
      </c>
      <c r="M2737" s="9"/>
      <c r="N2737" s="9"/>
      <c r="P2737" s="14"/>
      <c r="Q2737" s="85"/>
      <c r="R2737" s="89"/>
      <c r="U2737" s="11" t="str">
        <f t="shared" si="277"/>
        <v/>
      </c>
      <c r="V2737" s="12" t="str">
        <f t="shared" si="278"/>
        <v/>
      </c>
      <c r="Z2737" s="15"/>
    </row>
    <row r="2738" spans="1:26" x14ac:dyDescent="0.25">
      <c r="A2738" s="15" t="str">
        <f>IF(C2738="","",COUNTA($C$3:C2738))</f>
        <v/>
      </c>
      <c r="B2738" s="15" t="str">
        <f t="shared" si="279"/>
        <v/>
      </c>
      <c r="M2738" s="9"/>
      <c r="N2738" s="9"/>
      <c r="P2738" s="14"/>
      <c r="Q2738" s="85"/>
      <c r="R2738" s="89"/>
      <c r="U2738" s="11" t="str">
        <f t="shared" si="277"/>
        <v/>
      </c>
      <c r="V2738" s="12" t="str">
        <f t="shared" si="278"/>
        <v/>
      </c>
      <c r="Z2738" s="15"/>
    </row>
    <row r="2739" spans="1:26" x14ac:dyDescent="0.25">
      <c r="A2739" s="15" t="str">
        <f>IF(C2739="","",COUNTA($C$3:C2739))</f>
        <v/>
      </c>
      <c r="B2739" s="15" t="str">
        <f t="shared" si="279"/>
        <v/>
      </c>
      <c r="M2739" s="9"/>
      <c r="N2739" s="9"/>
      <c r="P2739" s="14"/>
      <c r="Q2739" s="85"/>
      <c r="R2739" s="89"/>
      <c r="U2739" s="11" t="str">
        <f t="shared" si="277"/>
        <v/>
      </c>
      <c r="V2739" s="12" t="str">
        <f t="shared" si="278"/>
        <v/>
      </c>
      <c r="Z2739" s="15"/>
    </row>
    <row r="2740" spans="1:26" x14ac:dyDescent="0.25">
      <c r="A2740" s="15" t="str">
        <f>IF(C2740="","",COUNTA($C$3:C2740))</f>
        <v/>
      </c>
      <c r="B2740" s="15" t="str">
        <f t="shared" si="279"/>
        <v/>
      </c>
      <c r="M2740" s="9"/>
      <c r="N2740" s="9"/>
      <c r="P2740" s="14"/>
      <c r="Q2740" s="85"/>
      <c r="R2740" s="89"/>
      <c r="U2740" s="11" t="str">
        <f t="shared" si="277"/>
        <v/>
      </c>
      <c r="V2740" s="12" t="str">
        <f t="shared" si="278"/>
        <v/>
      </c>
      <c r="Z2740" s="15"/>
    </row>
    <row r="2741" spans="1:26" x14ac:dyDescent="0.25">
      <c r="A2741" s="15" t="str">
        <f>IF(C2741="","",COUNTA($C$3:C2741))</f>
        <v/>
      </c>
      <c r="B2741" s="15" t="str">
        <f t="shared" si="279"/>
        <v/>
      </c>
      <c r="M2741" s="9"/>
      <c r="N2741" s="9"/>
      <c r="P2741" s="14"/>
      <c r="Q2741" s="85"/>
      <c r="R2741" s="89"/>
      <c r="U2741" s="11" t="str">
        <f t="shared" si="277"/>
        <v/>
      </c>
      <c r="V2741" s="12" t="str">
        <f t="shared" si="278"/>
        <v/>
      </c>
      <c r="Z2741" s="15"/>
    </row>
    <row r="2742" spans="1:26" x14ac:dyDescent="0.25">
      <c r="A2742" s="15" t="str">
        <f>IF(C2742="","",COUNTA($C$3:C2742))</f>
        <v/>
      </c>
      <c r="B2742" s="15" t="str">
        <f t="shared" si="279"/>
        <v/>
      </c>
      <c r="M2742" s="9"/>
      <c r="N2742" s="9"/>
      <c r="P2742" s="14"/>
      <c r="Q2742" s="85"/>
      <c r="R2742" s="89"/>
      <c r="U2742" s="11" t="str">
        <f t="shared" si="277"/>
        <v/>
      </c>
      <c r="V2742" s="12" t="str">
        <f t="shared" si="278"/>
        <v/>
      </c>
      <c r="Z2742" s="15"/>
    </row>
    <row r="2743" spans="1:26" x14ac:dyDescent="0.25">
      <c r="A2743" s="15" t="str">
        <f>IF(C2743="","",COUNTA($C$3:C2743))</f>
        <v/>
      </c>
      <c r="B2743" s="15" t="str">
        <f t="shared" si="279"/>
        <v/>
      </c>
      <c r="M2743" s="9"/>
      <c r="N2743" s="9"/>
      <c r="P2743" s="14"/>
      <c r="Q2743" s="85"/>
      <c r="R2743" s="89"/>
      <c r="U2743" s="11" t="str">
        <f t="shared" si="277"/>
        <v/>
      </c>
      <c r="V2743" s="12" t="str">
        <f t="shared" si="278"/>
        <v/>
      </c>
      <c r="Z2743" s="15"/>
    </row>
    <row r="2744" spans="1:26" x14ac:dyDescent="0.25">
      <c r="A2744" s="15" t="str">
        <f>IF(C2744="","",COUNTA($C$3:C2744))</f>
        <v/>
      </c>
      <c r="B2744" s="15" t="str">
        <f t="shared" si="279"/>
        <v/>
      </c>
      <c r="M2744" s="9"/>
      <c r="N2744" s="9"/>
      <c r="P2744" s="14"/>
      <c r="Q2744" s="85"/>
      <c r="R2744" s="89"/>
      <c r="U2744" s="11" t="str">
        <f t="shared" si="277"/>
        <v/>
      </c>
      <c r="V2744" s="12" t="str">
        <f t="shared" si="278"/>
        <v/>
      </c>
      <c r="Z2744" s="15"/>
    </row>
    <row r="2745" spans="1:26" x14ac:dyDescent="0.25">
      <c r="A2745" s="15" t="str">
        <f>IF(C2745="","",COUNTA($C$3:C2745))</f>
        <v/>
      </c>
      <c r="B2745" s="15" t="str">
        <f t="shared" si="279"/>
        <v/>
      </c>
      <c r="M2745" s="9"/>
      <c r="N2745" s="9"/>
      <c r="P2745" s="14"/>
      <c r="Q2745" s="85"/>
      <c r="R2745" s="89"/>
      <c r="U2745" s="11" t="str">
        <f t="shared" si="277"/>
        <v/>
      </c>
      <c r="V2745" s="12" t="str">
        <f t="shared" si="278"/>
        <v/>
      </c>
      <c r="Z2745" s="15"/>
    </row>
    <row r="2746" spans="1:26" x14ac:dyDescent="0.25">
      <c r="A2746" s="15" t="str">
        <f>IF(C2746="","",COUNTA($C$3:C2746))</f>
        <v/>
      </c>
      <c r="B2746" s="15" t="str">
        <f t="shared" si="279"/>
        <v/>
      </c>
      <c r="M2746" s="9"/>
      <c r="N2746" s="9"/>
      <c r="P2746" s="14"/>
      <c r="Q2746" s="85"/>
      <c r="R2746" s="89"/>
      <c r="U2746" s="11" t="str">
        <f t="shared" si="277"/>
        <v/>
      </c>
      <c r="V2746" s="12" t="str">
        <f t="shared" si="278"/>
        <v/>
      </c>
      <c r="Z2746" s="15"/>
    </row>
    <row r="2747" spans="1:26" x14ac:dyDescent="0.25">
      <c r="A2747" s="15" t="str">
        <f>IF(C2747="","",COUNTA($C$3:C2747))</f>
        <v/>
      </c>
      <c r="B2747" s="15" t="str">
        <f t="shared" si="279"/>
        <v/>
      </c>
      <c r="M2747" s="9"/>
      <c r="N2747" s="9"/>
      <c r="P2747" s="14"/>
      <c r="Q2747" s="85"/>
      <c r="R2747" s="89"/>
      <c r="U2747" s="11" t="str">
        <f t="shared" si="277"/>
        <v/>
      </c>
      <c r="V2747" s="12" t="str">
        <f t="shared" si="278"/>
        <v/>
      </c>
      <c r="Z2747" s="15"/>
    </row>
    <row r="2748" spans="1:26" x14ac:dyDescent="0.25">
      <c r="A2748" s="15" t="str">
        <f>IF(C2748="","",COUNTA($C$3:C2748))</f>
        <v/>
      </c>
      <c r="B2748" s="15" t="str">
        <f t="shared" si="279"/>
        <v/>
      </c>
      <c r="M2748" s="9"/>
      <c r="N2748" s="9"/>
      <c r="P2748" s="14"/>
      <c r="Q2748" s="85"/>
      <c r="R2748" s="89"/>
      <c r="U2748" s="11" t="str">
        <f t="shared" si="277"/>
        <v/>
      </c>
      <c r="V2748" s="12" t="str">
        <f t="shared" si="278"/>
        <v/>
      </c>
      <c r="Z2748" s="15"/>
    </row>
    <row r="2749" spans="1:26" x14ac:dyDescent="0.25">
      <c r="A2749" s="15" t="str">
        <f>IF(C2749="","",COUNTA($C$3:C2749))</f>
        <v/>
      </c>
      <c r="B2749" s="15" t="str">
        <f t="shared" si="279"/>
        <v/>
      </c>
      <c r="M2749" s="9"/>
      <c r="N2749" s="9"/>
      <c r="P2749" s="14"/>
      <c r="Q2749" s="85"/>
      <c r="R2749" s="89"/>
      <c r="U2749" s="11" t="str">
        <f t="shared" si="277"/>
        <v/>
      </c>
      <c r="V2749" s="12" t="str">
        <f t="shared" si="278"/>
        <v/>
      </c>
      <c r="Z2749" s="15"/>
    </row>
    <row r="2750" spans="1:26" x14ac:dyDescent="0.25">
      <c r="A2750" s="15" t="str">
        <f>IF(C2750="","",COUNTA($C$3:C2750))</f>
        <v/>
      </c>
      <c r="B2750" s="15" t="str">
        <f t="shared" si="279"/>
        <v/>
      </c>
      <c r="M2750" s="9"/>
      <c r="N2750" s="9"/>
      <c r="P2750" s="14"/>
      <c r="Q2750" s="85"/>
      <c r="R2750" s="89"/>
      <c r="U2750" s="11" t="str">
        <f t="shared" si="277"/>
        <v/>
      </c>
      <c r="V2750" s="12" t="str">
        <f t="shared" si="278"/>
        <v/>
      </c>
      <c r="Z2750" s="15"/>
    </row>
    <row r="2751" spans="1:26" x14ac:dyDescent="0.25">
      <c r="A2751" s="15" t="str">
        <f>IF(C2751="","",COUNTA($C$3:C2751))</f>
        <v/>
      </c>
      <c r="B2751" s="15" t="str">
        <f t="shared" si="279"/>
        <v/>
      </c>
      <c r="M2751" s="9"/>
      <c r="N2751" s="9"/>
      <c r="P2751" s="14"/>
      <c r="Q2751" s="85"/>
      <c r="R2751" s="89"/>
      <c r="U2751" s="11" t="str">
        <f t="shared" si="277"/>
        <v/>
      </c>
      <c r="V2751" s="12" t="str">
        <f t="shared" si="278"/>
        <v/>
      </c>
      <c r="Z2751" s="15"/>
    </row>
    <row r="2752" spans="1:26" x14ac:dyDescent="0.25">
      <c r="A2752" s="15" t="str">
        <f>IF(C2752="","",COUNTA($C$3:C2752))</f>
        <v/>
      </c>
      <c r="B2752" s="15" t="str">
        <f t="shared" si="279"/>
        <v/>
      </c>
      <c r="M2752" s="9"/>
      <c r="N2752" s="9"/>
      <c r="P2752" s="14"/>
      <c r="Q2752" s="85"/>
      <c r="R2752" s="89"/>
      <c r="U2752" s="11" t="str">
        <f t="shared" si="277"/>
        <v/>
      </c>
      <c r="V2752" s="12" t="str">
        <f t="shared" si="278"/>
        <v/>
      </c>
      <c r="Z2752" s="15"/>
    </row>
    <row r="2753" spans="1:26" x14ac:dyDescent="0.25">
      <c r="A2753" s="15" t="str">
        <f>IF(C2753="","",COUNTA($C$3:C2753))</f>
        <v/>
      </c>
      <c r="B2753" s="15" t="str">
        <f t="shared" si="279"/>
        <v/>
      </c>
      <c r="M2753" s="9"/>
      <c r="N2753" s="9"/>
      <c r="P2753" s="14"/>
      <c r="Q2753" s="85"/>
      <c r="R2753" s="89"/>
      <c r="U2753" s="11" t="str">
        <f t="shared" si="277"/>
        <v/>
      </c>
      <c r="V2753" s="12" t="str">
        <f t="shared" si="278"/>
        <v/>
      </c>
      <c r="Z2753" s="15"/>
    </row>
    <row r="2754" spans="1:26" x14ac:dyDescent="0.25">
      <c r="A2754" s="15" t="str">
        <f>IF(C2754="","",COUNTA($C$3:C2754))</f>
        <v/>
      </c>
      <c r="B2754" s="15" t="str">
        <f t="shared" si="279"/>
        <v/>
      </c>
      <c r="M2754" s="9"/>
      <c r="N2754" s="9"/>
      <c r="P2754" s="14"/>
      <c r="Q2754" s="85"/>
      <c r="R2754" s="89"/>
      <c r="U2754" s="11" t="str">
        <f t="shared" ref="U2754:U2817" si="280">IF(S2754="","",(S2754-T2754))</f>
        <v/>
      </c>
      <c r="V2754" s="12" t="str">
        <f t="shared" ref="V2754:V2817" si="281">IF(U2754="","",(U2754/T2754))</f>
        <v/>
      </c>
      <c r="Z2754" s="15"/>
    </row>
    <row r="2755" spans="1:26" x14ac:dyDescent="0.25">
      <c r="A2755" s="15" t="str">
        <f>IF(C2755="","",COUNTA($C$3:C2755))</f>
        <v/>
      </c>
      <c r="B2755" s="15" t="str">
        <f t="shared" ref="B2755:B2818" si="282">IF(C2755="","",TEXT(C2755,"mmmm"))</f>
        <v/>
      </c>
      <c r="M2755" s="9"/>
      <c r="N2755" s="9"/>
      <c r="P2755" s="14"/>
      <c r="Q2755" s="85"/>
      <c r="R2755" s="89"/>
      <c r="U2755" s="11" t="str">
        <f t="shared" si="280"/>
        <v/>
      </c>
      <c r="V2755" s="12" t="str">
        <f t="shared" si="281"/>
        <v/>
      </c>
      <c r="Z2755" s="15"/>
    </row>
    <row r="2756" spans="1:26" x14ac:dyDescent="0.25">
      <c r="A2756" s="15" t="str">
        <f>IF(C2756="","",COUNTA($C$3:C2756))</f>
        <v/>
      </c>
      <c r="B2756" s="15" t="str">
        <f t="shared" si="282"/>
        <v/>
      </c>
      <c r="M2756" s="9"/>
      <c r="N2756" s="9"/>
      <c r="P2756" s="14"/>
      <c r="Q2756" s="85"/>
      <c r="R2756" s="89"/>
      <c r="U2756" s="11" t="str">
        <f t="shared" si="280"/>
        <v/>
      </c>
      <c r="V2756" s="12" t="str">
        <f t="shared" si="281"/>
        <v/>
      </c>
      <c r="Z2756" s="15"/>
    </row>
    <row r="2757" spans="1:26" x14ac:dyDescent="0.25">
      <c r="A2757" s="15" t="str">
        <f>IF(C2757="","",COUNTA($C$3:C2757))</f>
        <v/>
      </c>
      <c r="B2757" s="15" t="str">
        <f t="shared" si="282"/>
        <v/>
      </c>
      <c r="M2757" s="9"/>
      <c r="N2757" s="9"/>
      <c r="P2757" s="14"/>
      <c r="Q2757" s="85"/>
      <c r="R2757" s="89"/>
      <c r="U2757" s="11" t="str">
        <f t="shared" si="280"/>
        <v/>
      </c>
      <c r="V2757" s="12" t="str">
        <f t="shared" si="281"/>
        <v/>
      </c>
      <c r="Z2757" s="15"/>
    </row>
    <row r="2758" spans="1:26" x14ac:dyDescent="0.25">
      <c r="A2758" s="15" t="str">
        <f>IF(C2758="","",COUNTA($C$3:C2758))</f>
        <v/>
      </c>
      <c r="B2758" s="15" t="str">
        <f t="shared" si="282"/>
        <v/>
      </c>
      <c r="M2758" s="9"/>
      <c r="N2758" s="9"/>
      <c r="P2758" s="14"/>
      <c r="Q2758" s="85"/>
      <c r="R2758" s="89"/>
      <c r="U2758" s="11" t="str">
        <f t="shared" si="280"/>
        <v/>
      </c>
      <c r="V2758" s="12" t="str">
        <f t="shared" si="281"/>
        <v/>
      </c>
      <c r="Z2758" s="15"/>
    </row>
    <row r="2759" spans="1:26" x14ac:dyDescent="0.25">
      <c r="A2759" s="15" t="str">
        <f>IF(C2759="","",COUNTA($C$3:C2759))</f>
        <v/>
      </c>
      <c r="B2759" s="15" t="str">
        <f t="shared" si="282"/>
        <v/>
      </c>
      <c r="M2759" s="9"/>
      <c r="N2759" s="9"/>
      <c r="P2759" s="14"/>
      <c r="Q2759" s="85"/>
      <c r="R2759" s="89"/>
      <c r="U2759" s="11" t="str">
        <f t="shared" si="280"/>
        <v/>
      </c>
      <c r="V2759" s="12" t="str">
        <f t="shared" si="281"/>
        <v/>
      </c>
      <c r="Z2759" s="15"/>
    </row>
    <row r="2760" spans="1:26" x14ac:dyDescent="0.25">
      <c r="A2760" s="15" t="str">
        <f>IF(C2760="","",COUNTA($C$3:C2760))</f>
        <v/>
      </c>
      <c r="B2760" s="15" t="str">
        <f t="shared" si="282"/>
        <v/>
      </c>
      <c r="M2760" s="9"/>
      <c r="N2760" s="9"/>
      <c r="P2760" s="14"/>
      <c r="Q2760" s="85"/>
      <c r="R2760" s="89"/>
      <c r="U2760" s="11" t="str">
        <f t="shared" si="280"/>
        <v/>
      </c>
      <c r="V2760" s="12" t="str">
        <f t="shared" si="281"/>
        <v/>
      </c>
      <c r="Z2760" s="15"/>
    </row>
    <row r="2761" spans="1:26" x14ac:dyDescent="0.25">
      <c r="A2761" s="15" t="str">
        <f>IF(C2761="","",COUNTA($C$3:C2761))</f>
        <v/>
      </c>
      <c r="B2761" s="15" t="str">
        <f t="shared" si="282"/>
        <v/>
      </c>
      <c r="M2761" s="9"/>
      <c r="N2761" s="9"/>
      <c r="P2761" s="14"/>
      <c r="Q2761" s="85"/>
      <c r="R2761" s="89"/>
      <c r="U2761" s="11" t="str">
        <f t="shared" si="280"/>
        <v/>
      </c>
      <c r="V2761" s="12" t="str">
        <f t="shared" si="281"/>
        <v/>
      </c>
      <c r="Z2761" s="15"/>
    </row>
    <row r="2762" spans="1:26" x14ac:dyDescent="0.25">
      <c r="A2762" s="15" t="str">
        <f>IF(C2762="","",COUNTA($C$3:C2762))</f>
        <v/>
      </c>
      <c r="B2762" s="15" t="str">
        <f t="shared" si="282"/>
        <v/>
      </c>
      <c r="M2762" s="9"/>
      <c r="N2762" s="9"/>
      <c r="P2762" s="14"/>
      <c r="Q2762" s="85"/>
      <c r="R2762" s="89"/>
      <c r="U2762" s="11" t="str">
        <f t="shared" si="280"/>
        <v/>
      </c>
      <c r="V2762" s="12" t="str">
        <f t="shared" si="281"/>
        <v/>
      </c>
      <c r="Z2762" s="15"/>
    </row>
    <row r="2763" spans="1:26" x14ac:dyDescent="0.25">
      <c r="A2763" s="15" t="str">
        <f>IF(C2763="","",COUNTA($C$3:C2763))</f>
        <v/>
      </c>
      <c r="B2763" s="15" t="str">
        <f t="shared" si="282"/>
        <v/>
      </c>
      <c r="M2763" s="9"/>
      <c r="N2763" s="9"/>
      <c r="P2763" s="14"/>
      <c r="Q2763" s="85"/>
      <c r="R2763" s="89"/>
      <c r="U2763" s="11" t="str">
        <f t="shared" si="280"/>
        <v/>
      </c>
      <c r="V2763" s="12" t="str">
        <f t="shared" si="281"/>
        <v/>
      </c>
      <c r="Z2763" s="15"/>
    </row>
    <row r="2764" spans="1:26" x14ac:dyDescent="0.25">
      <c r="A2764" s="15" t="str">
        <f>IF(C2764="","",COUNTA($C$3:C2764))</f>
        <v/>
      </c>
      <c r="B2764" s="15" t="str">
        <f t="shared" si="282"/>
        <v/>
      </c>
      <c r="M2764" s="9"/>
      <c r="N2764" s="9"/>
      <c r="P2764" s="14"/>
      <c r="Q2764" s="85"/>
      <c r="R2764" s="89"/>
      <c r="U2764" s="11" t="str">
        <f t="shared" si="280"/>
        <v/>
      </c>
      <c r="V2764" s="12" t="str">
        <f t="shared" si="281"/>
        <v/>
      </c>
      <c r="Z2764" s="15"/>
    </row>
    <row r="2765" spans="1:26" x14ac:dyDescent="0.25">
      <c r="A2765" s="15" t="str">
        <f>IF(C2765="","",COUNTA($C$3:C2765))</f>
        <v/>
      </c>
      <c r="B2765" s="15" t="str">
        <f t="shared" si="282"/>
        <v/>
      </c>
      <c r="M2765" s="9"/>
      <c r="N2765" s="9"/>
      <c r="P2765" s="14"/>
      <c r="Q2765" s="85"/>
      <c r="R2765" s="89"/>
      <c r="U2765" s="11" t="str">
        <f t="shared" si="280"/>
        <v/>
      </c>
      <c r="V2765" s="12" t="str">
        <f t="shared" si="281"/>
        <v/>
      </c>
      <c r="Z2765" s="15"/>
    </row>
    <row r="2766" spans="1:26" x14ac:dyDescent="0.25">
      <c r="A2766" s="15" t="str">
        <f>IF(C2766="","",COUNTA($C$3:C2766))</f>
        <v/>
      </c>
      <c r="B2766" s="15" t="str">
        <f t="shared" si="282"/>
        <v/>
      </c>
      <c r="M2766" s="9"/>
      <c r="N2766" s="9"/>
      <c r="P2766" s="14"/>
      <c r="Q2766" s="85"/>
      <c r="R2766" s="89"/>
      <c r="U2766" s="11" t="str">
        <f t="shared" si="280"/>
        <v/>
      </c>
      <c r="V2766" s="12" t="str">
        <f t="shared" si="281"/>
        <v/>
      </c>
      <c r="Z2766" s="15"/>
    </row>
    <row r="2767" spans="1:26" x14ac:dyDescent="0.25">
      <c r="A2767" s="15" t="str">
        <f>IF(C2767="","",COUNTA($C$3:C2767))</f>
        <v/>
      </c>
      <c r="B2767" s="15" t="str">
        <f t="shared" si="282"/>
        <v/>
      </c>
      <c r="M2767" s="9"/>
      <c r="N2767" s="9"/>
      <c r="P2767" s="14"/>
      <c r="Q2767" s="85"/>
      <c r="R2767" s="89"/>
      <c r="U2767" s="11" t="str">
        <f t="shared" si="280"/>
        <v/>
      </c>
      <c r="V2767" s="12" t="str">
        <f t="shared" si="281"/>
        <v/>
      </c>
      <c r="Z2767" s="15"/>
    </row>
    <row r="2768" spans="1:26" x14ac:dyDescent="0.25">
      <c r="A2768" s="15" t="str">
        <f>IF(C2768="","",COUNTA($C$3:C2768))</f>
        <v/>
      </c>
      <c r="B2768" s="15" t="str">
        <f t="shared" si="282"/>
        <v/>
      </c>
      <c r="M2768" s="9"/>
      <c r="N2768" s="9"/>
      <c r="P2768" s="14"/>
      <c r="Q2768" s="85"/>
      <c r="R2768" s="89"/>
      <c r="U2768" s="11" t="str">
        <f t="shared" si="280"/>
        <v/>
      </c>
      <c r="V2768" s="12" t="str">
        <f t="shared" si="281"/>
        <v/>
      </c>
      <c r="Z2768" s="15"/>
    </row>
    <row r="2769" spans="1:26" x14ac:dyDescent="0.25">
      <c r="A2769" s="15" t="str">
        <f>IF(C2769="","",COUNTA($C$3:C2769))</f>
        <v/>
      </c>
      <c r="B2769" s="15" t="str">
        <f t="shared" si="282"/>
        <v/>
      </c>
      <c r="M2769" s="9"/>
      <c r="N2769" s="9"/>
      <c r="P2769" s="14"/>
      <c r="Q2769" s="85"/>
      <c r="R2769" s="89"/>
      <c r="U2769" s="11" t="str">
        <f t="shared" si="280"/>
        <v/>
      </c>
      <c r="V2769" s="12" t="str">
        <f t="shared" si="281"/>
        <v/>
      </c>
      <c r="Z2769" s="15"/>
    </row>
    <row r="2770" spans="1:26" x14ac:dyDescent="0.25">
      <c r="A2770" s="15" t="str">
        <f>IF(C2770="","",COUNTA($C$3:C2770))</f>
        <v/>
      </c>
      <c r="B2770" s="15" t="str">
        <f t="shared" si="282"/>
        <v/>
      </c>
      <c r="M2770" s="9"/>
      <c r="N2770" s="9"/>
      <c r="P2770" s="14"/>
      <c r="Q2770" s="85"/>
      <c r="R2770" s="89"/>
      <c r="U2770" s="11" t="str">
        <f t="shared" si="280"/>
        <v/>
      </c>
      <c r="V2770" s="12" t="str">
        <f t="shared" si="281"/>
        <v/>
      </c>
      <c r="Z2770" s="15"/>
    </row>
    <row r="2771" spans="1:26" x14ac:dyDescent="0.25">
      <c r="A2771" s="15" t="str">
        <f>IF(C2771="","",COUNTA($C$3:C2771))</f>
        <v/>
      </c>
      <c r="B2771" s="15" t="str">
        <f t="shared" si="282"/>
        <v/>
      </c>
      <c r="M2771" s="9"/>
      <c r="N2771" s="9"/>
      <c r="P2771" s="14"/>
      <c r="Q2771" s="85"/>
      <c r="R2771" s="89"/>
      <c r="U2771" s="11" t="str">
        <f t="shared" si="280"/>
        <v/>
      </c>
      <c r="V2771" s="12" t="str">
        <f t="shared" si="281"/>
        <v/>
      </c>
      <c r="Z2771" s="15"/>
    </row>
    <row r="2772" spans="1:26" x14ac:dyDescent="0.25">
      <c r="A2772" s="15" t="str">
        <f>IF(C2772="","",COUNTA($C$3:C2772))</f>
        <v/>
      </c>
      <c r="B2772" s="15" t="str">
        <f t="shared" si="282"/>
        <v/>
      </c>
      <c r="M2772" s="9"/>
      <c r="N2772" s="9"/>
      <c r="P2772" s="14"/>
      <c r="Q2772" s="85"/>
      <c r="R2772" s="89"/>
      <c r="U2772" s="11" t="str">
        <f t="shared" si="280"/>
        <v/>
      </c>
      <c r="V2772" s="12" t="str">
        <f t="shared" si="281"/>
        <v/>
      </c>
      <c r="Z2772" s="15"/>
    </row>
    <row r="2773" spans="1:26" x14ac:dyDescent="0.25">
      <c r="A2773" s="15" t="str">
        <f>IF(C2773="","",COUNTA($C$3:C2773))</f>
        <v/>
      </c>
      <c r="B2773" s="15" t="str">
        <f t="shared" si="282"/>
        <v/>
      </c>
      <c r="M2773" s="9"/>
      <c r="N2773" s="9"/>
      <c r="P2773" s="14"/>
      <c r="Q2773" s="85"/>
      <c r="R2773" s="89"/>
      <c r="U2773" s="11" t="str">
        <f t="shared" si="280"/>
        <v/>
      </c>
      <c r="V2773" s="12" t="str">
        <f t="shared" si="281"/>
        <v/>
      </c>
      <c r="Z2773" s="15"/>
    </row>
    <row r="2774" spans="1:26" x14ac:dyDescent="0.25">
      <c r="A2774" s="15" t="str">
        <f>IF(C2774="","",COUNTA($C$3:C2774))</f>
        <v/>
      </c>
      <c r="B2774" s="15" t="str">
        <f t="shared" si="282"/>
        <v/>
      </c>
      <c r="M2774" s="9"/>
      <c r="N2774" s="9"/>
      <c r="P2774" s="14"/>
      <c r="Q2774" s="85"/>
      <c r="R2774" s="89"/>
      <c r="U2774" s="11" t="str">
        <f t="shared" si="280"/>
        <v/>
      </c>
      <c r="V2774" s="12" t="str">
        <f t="shared" si="281"/>
        <v/>
      </c>
      <c r="Z2774" s="15"/>
    </row>
    <row r="2775" spans="1:26" x14ac:dyDescent="0.25">
      <c r="A2775" s="15" t="str">
        <f>IF(C2775="","",COUNTA($C$3:C2775))</f>
        <v/>
      </c>
      <c r="B2775" s="15" t="str">
        <f t="shared" si="282"/>
        <v/>
      </c>
      <c r="M2775" s="9"/>
      <c r="N2775" s="9"/>
      <c r="P2775" s="14"/>
      <c r="Q2775" s="85"/>
      <c r="R2775" s="89"/>
      <c r="U2775" s="11" t="str">
        <f t="shared" si="280"/>
        <v/>
      </c>
      <c r="V2775" s="12" t="str">
        <f t="shared" si="281"/>
        <v/>
      </c>
      <c r="Z2775" s="15"/>
    </row>
    <row r="2776" spans="1:26" x14ac:dyDescent="0.25">
      <c r="A2776" s="15" t="str">
        <f>IF(C2776="","",COUNTA($C$3:C2776))</f>
        <v/>
      </c>
      <c r="B2776" s="15" t="str">
        <f t="shared" si="282"/>
        <v/>
      </c>
      <c r="M2776" s="9"/>
      <c r="N2776" s="9"/>
      <c r="P2776" s="14"/>
      <c r="Q2776" s="85"/>
      <c r="R2776" s="89"/>
      <c r="U2776" s="11" t="str">
        <f t="shared" si="280"/>
        <v/>
      </c>
      <c r="V2776" s="12" t="str">
        <f t="shared" si="281"/>
        <v/>
      </c>
      <c r="Z2776" s="15"/>
    </row>
    <row r="2777" spans="1:26" x14ac:dyDescent="0.25">
      <c r="A2777" s="15" t="str">
        <f>IF(C2777="","",COUNTA($C$3:C2777))</f>
        <v/>
      </c>
      <c r="B2777" s="15" t="str">
        <f t="shared" si="282"/>
        <v/>
      </c>
      <c r="M2777" s="9"/>
      <c r="N2777" s="9"/>
      <c r="P2777" s="14"/>
      <c r="Q2777" s="85"/>
      <c r="R2777" s="89"/>
      <c r="U2777" s="11" t="str">
        <f t="shared" si="280"/>
        <v/>
      </c>
      <c r="V2777" s="12" t="str">
        <f t="shared" si="281"/>
        <v/>
      </c>
      <c r="Z2777" s="15"/>
    </row>
    <row r="2778" spans="1:26" x14ac:dyDescent="0.25">
      <c r="A2778" s="15" t="str">
        <f>IF(C2778="","",COUNTA($C$3:C2778))</f>
        <v/>
      </c>
      <c r="B2778" s="15" t="str">
        <f t="shared" si="282"/>
        <v/>
      </c>
      <c r="M2778" s="9"/>
      <c r="N2778" s="9"/>
      <c r="P2778" s="14"/>
      <c r="Q2778" s="85"/>
      <c r="R2778" s="89"/>
      <c r="U2778" s="11" t="str">
        <f t="shared" si="280"/>
        <v/>
      </c>
      <c r="V2778" s="12" t="str">
        <f t="shared" si="281"/>
        <v/>
      </c>
      <c r="Z2778" s="15"/>
    </row>
    <row r="2779" spans="1:26" x14ac:dyDescent="0.25">
      <c r="A2779" s="15" t="str">
        <f>IF(C2779="","",COUNTA($C$3:C2779))</f>
        <v/>
      </c>
      <c r="B2779" s="15" t="str">
        <f t="shared" si="282"/>
        <v/>
      </c>
      <c r="M2779" s="9"/>
      <c r="N2779" s="9"/>
      <c r="P2779" s="14"/>
      <c r="Q2779" s="85"/>
      <c r="R2779" s="89"/>
      <c r="U2779" s="11" t="str">
        <f t="shared" si="280"/>
        <v/>
      </c>
      <c r="V2779" s="12" t="str">
        <f t="shared" si="281"/>
        <v/>
      </c>
      <c r="Z2779" s="15"/>
    </row>
    <row r="2780" spans="1:26" x14ac:dyDescent="0.25">
      <c r="A2780" s="15" t="str">
        <f>IF(C2780="","",COUNTA($C$3:C2780))</f>
        <v/>
      </c>
      <c r="B2780" s="15" t="str">
        <f t="shared" si="282"/>
        <v/>
      </c>
      <c r="M2780" s="9"/>
      <c r="N2780" s="9"/>
      <c r="P2780" s="14"/>
      <c r="Q2780" s="85"/>
      <c r="R2780" s="89"/>
      <c r="U2780" s="11" t="str">
        <f t="shared" si="280"/>
        <v/>
      </c>
      <c r="V2780" s="12" t="str">
        <f t="shared" si="281"/>
        <v/>
      </c>
      <c r="Z2780" s="15"/>
    </row>
    <row r="2781" spans="1:26" x14ac:dyDescent="0.25">
      <c r="A2781" s="15" t="str">
        <f>IF(C2781="","",COUNTA($C$3:C2781))</f>
        <v/>
      </c>
      <c r="B2781" s="15" t="str">
        <f t="shared" si="282"/>
        <v/>
      </c>
      <c r="M2781" s="9"/>
      <c r="N2781" s="9"/>
      <c r="P2781" s="14"/>
      <c r="Q2781" s="85"/>
      <c r="R2781" s="89"/>
      <c r="U2781" s="11" t="str">
        <f t="shared" si="280"/>
        <v/>
      </c>
      <c r="V2781" s="12" t="str">
        <f t="shared" si="281"/>
        <v/>
      </c>
      <c r="Z2781" s="15"/>
    </row>
    <row r="2782" spans="1:26" x14ac:dyDescent="0.25">
      <c r="A2782" s="15" t="str">
        <f>IF(C2782="","",COUNTA($C$3:C2782))</f>
        <v/>
      </c>
      <c r="B2782" s="15" t="str">
        <f t="shared" si="282"/>
        <v/>
      </c>
      <c r="M2782" s="9"/>
      <c r="N2782" s="9"/>
      <c r="P2782" s="14"/>
      <c r="Q2782" s="85"/>
      <c r="R2782" s="89"/>
      <c r="U2782" s="11" t="str">
        <f t="shared" si="280"/>
        <v/>
      </c>
      <c r="V2782" s="12" t="str">
        <f t="shared" si="281"/>
        <v/>
      </c>
      <c r="Z2782" s="15"/>
    </row>
    <row r="2783" spans="1:26" x14ac:dyDescent="0.25">
      <c r="A2783" s="15" t="str">
        <f>IF(C2783="","",COUNTA($C$3:C2783))</f>
        <v/>
      </c>
      <c r="B2783" s="15" t="str">
        <f t="shared" si="282"/>
        <v/>
      </c>
      <c r="M2783" s="9"/>
      <c r="N2783" s="9"/>
      <c r="P2783" s="14"/>
      <c r="Q2783" s="85"/>
      <c r="R2783" s="89"/>
      <c r="U2783" s="11" t="str">
        <f t="shared" si="280"/>
        <v/>
      </c>
      <c r="V2783" s="12" t="str">
        <f t="shared" si="281"/>
        <v/>
      </c>
      <c r="Z2783" s="15"/>
    </row>
    <row r="2784" spans="1:26" x14ac:dyDescent="0.25">
      <c r="A2784" s="15" t="str">
        <f>IF(C2784="","",COUNTA($C$3:C2784))</f>
        <v/>
      </c>
      <c r="B2784" s="15" t="str">
        <f t="shared" si="282"/>
        <v/>
      </c>
      <c r="M2784" s="9"/>
      <c r="N2784" s="9"/>
      <c r="P2784" s="14"/>
      <c r="Q2784" s="85"/>
      <c r="R2784" s="89"/>
      <c r="U2784" s="11" t="str">
        <f t="shared" si="280"/>
        <v/>
      </c>
      <c r="V2784" s="12" t="str">
        <f t="shared" si="281"/>
        <v/>
      </c>
      <c r="Z2784" s="15"/>
    </row>
    <row r="2785" spans="1:26" x14ac:dyDescent="0.25">
      <c r="A2785" s="15" t="str">
        <f>IF(C2785="","",COUNTA($C$3:C2785))</f>
        <v/>
      </c>
      <c r="B2785" s="15" t="str">
        <f t="shared" si="282"/>
        <v/>
      </c>
      <c r="M2785" s="9"/>
      <c r="N2785" s="9"/>
      <c r="P2785" s="14"/>
      <c r="Q2785" s="85"/>
      <c r="R2785" s="89"/>
      <c r="U2785" s="11" t="str">
        <f t="shared" si="280"/>
        <v/>
      </c>
      <c r="V2785" s="12" t="str">
        <f t="shared" si="281"/>
        <v/>
      </c>
      <c r="Z2785" s="15"/>
    </row>
    <row r="2786" spans="1:26" x14ac:dyDescent="0.25">
      <c r="A2786" s="15" t="str">
        <f>IF(C2786="","",COUNTA($C$3:C2786))</f>
        <v/>
      </c>
      <c r="B2786" s="15" t="str">
        <f t="shared" si="282"/>
        <v/>
      </c>
      <c r="M2786" s="9"/>
      <c r="N2786" s="9"/>
      <c r="P2786" s="14"/>
      <c r="Q2786" s="85"/>
      <c r="R2786" s="89"/>
      <c r="U2786" s="11" t="str">
        <f t="shared" si="280"/>
        <v/>
      </c>
      <c r="V2786" s="12" t="str">
        <f t="shared" si="281"/>
        <v/>
      </c>
      <c r="Z2786" s="15"/>
    </row>
    <row r="2787" spans="1:26" x14ac:dyDescent="0.25">
      <c r="A2787" s="15" t="str">
        <f>IF(C2787="","",COUNTA($C$3:C2787))</f>
        <v/>
      </c>
      <c r="B2787" s="15" t="str">
        <f t="shared" si="282"/>
        <v/>
      </c>
      <c r="M2787" s="9"/>
      <c r="N2787" s="9"/>
      <c r="P2787" s="14"/>
      <c r="Q2787" s="85"/>
      <c r="R2787" s="89"/>
      <c r="U2787" s="11" t="str">
        <f t="shared" si="280"/>
        <v/>
      </c>
      <c r="V2787" s="12" t="str">
        <f t="shared" si="281"/>
        <v/>
      </c>
      <c r="Z2787" s="15"/>
    </row>
    <row r="2788" spans="1:26" x14ac:dyDescent="0.25">
      <c r="A2788" s="15" t="str">
        <f>IF(C2788="","",COUNTA($C$3:C2788))</f>
        <v/>
      </c>
      <c r="B2788" s="15" t="str">
        <f t="shared" si="282"/>
        <v/>
      </c>
      <c r="M2788" s="9"/>
      <c r="N2788" s="9"/>
      <c r="P2788" s="14"/>
      <c r="Q2788" s="85"/>
      <c r="R2788" s="89"/>
      <c r="U2788" s="11" t="str">
        <f t="shared" si="280"/>
        <v/>
      </c>
      <c r="V2788" s="12" t="str">
        <f t="shared" si="281"/>
        <v/>
      </c>
      <c r="Z2788" s="15"/>
    </row>
    <row r="2789" spans="1:26" x14ac:dyDescent="0.25">
      <c r="A2789" s="15" t="str">
        <f>IF(C2789="","",COUNTA($C$3:C2789))</f>
        <v/>
      </c>
      <c r="B2789" s="15" t="str">
        <f t="shared" si="282"/>
        <v/>
      </c>
      <c r="M2789" s="9"/>
      <c r="N2789" s="9"/>
      <c r="P2789" s="14"/>
      <c r="Q2789" s="85"/>
      <c r="R2789" s="89"/>
      <c r="U2789" s="11" t="str">
        <f t="shared" si="280"/>
        <v/>
      </c>
      <c r="V2789" s="12" t="str">
        <f t="shared" si="281"/>
        <v/>
      </c>
      <c r="Z2789" s="15"/>
    </row>
    <row r="2790" spans="1:26" x14ac:dyDescent="0.25">
      <c r="A2790" s="15" t="str">
        <f>IF(C2790="","",COUNTA($C$3:C2790))</f>
        <v/>
      </c>
      <c r="B2790" s="15" t="str">
        <f t="shared" si="282"/>
        <v/>
      </c>
      <c r="M2790" s="9"/>
      <c r="N2790" s="9"/>
      <c r="P2790" s="14"/>
      <c r="Q2790" s="85"/>
      <c r="R2790" s="89"/>
      <c r="U2790" s="11" t="str">
        <f t="shared" si="280"/>
        <v/>
      </c>
      <c r="V2790" s="12" t="str">
        <f t="shared" si="281"/>
        <v/>
      </c>
      <c r="Z2790" s="15"/>
    </row>
    <row r="2791" spans="1:26" x14ac:dyDescent="0.25">
      <c r="A2791" s="15" t="str">
        <f>IF(C2791="","",COUNTA($C$3:C2791))</f>
        <v/>
      </c>
      <c r="B2791" s="15" t="str">
        <f t="shared" si="282"/>
        <v/>
      </c>
      <c r="M2791" s="9"/>
      <c r="N2791" s="9"/>
      <c r="P2791" s="14"/>
      <c r="Q2791" s="85"/>
      <c r="R2791" s="89"/>
      <c r="U2791" s="11" t="str">
        <f t="shared" si="280"/>
        <v/>
      </c>
      <c r="V2791" s="12" t="str">
        <f t="shared" si="281"/>
        <v/>
      </c>
      <c r="Z2791" s="15"/>
    </row>
    <row r="2792" spans="1:26" x14ac:dyDescent="0.25">
      <c r="A2792" s="15" t="str">
        <f>IF(C2792="","",COUNTA($C$3:C2792))</f>
        <v/>
      </c>
      <c r="B2792" s="15" t="str">
        <f t="shared" si="282"/>
        <v/>
      </c>
      <c r="M2792" s="9"/>
      <c r="N2792" s="9"/>
      <c r="P2792" s="14"/>
      <c r="Q2792" s="85"/>
      <c r="R2792" s="89"/>
      <c r="U2792" s="11" t="str">
        <f t="shared" si="280"/>
        <v/>
      </c>
      <c r="V2792" s="12" t="str">
        <f t="shared" si="281"/>
        <v/>
      </c>
      <c r="Z2792" s="15"/>
    </row>
    <row r="2793" spans="1:26" x14ac:dyDescent="0.25">
      <c r="A2793" s="15" t="str">
        <f>IF(C2793="","",COUNTA($C$3:C2793))</f>
        <v/>
      </c>
      <c r="B2793" s="15" t="str">
        <f t="shared" si="282"/>
        <v/>
      </c>
      <c r="M2793" s="9"/>
      <c r="N2793" s="9"/>
      <c r="P2793" s="14"/>
      <c r="Q2793" s="85"/>
      <c r="R2793" s="89"/>
      <c r="U2793" s="11" t="str">
        <f t="shared" si="280"/>
        <v/>
      </c>
      <c r="V2793" s="12" t="str">
        <f t="shared" si="281"/>
        <v/>
      </c>
      <c r="Z2793" s="15"/>
    </row>
    <row r="2794" spans="1:26" x14ac:dyDescent="0.25">
      <c r="A2794" s="15" t="str">
        <f>IF(C2794="","",COUNTA($C$3:C2794))</f>
        <v/>
      </c>
      <c r="B2794" s="15" t="str">
        <f t="shared" si="282"/>
        <v/>
      </c>
      <c r="M2794" s="9"/>
      <c r="N2794" s="9"/>
      <c r="P2794" s="14"/>
      <c r="Q2794" s="85"/>
      <c r="R2794" s="89"/>
      <c r="U2794" s="11" t="str">
        <f t="shared" si="280"/>
        <v/>
      </c>
      <c r="V2794" s="12" t="str">
        <f t="shared" si="281"/>
        <v/>
      </c>
      <c r="Z2794" s="15"/>
    </row>
    <row r="2795" spans="1:26" x14ac:dyDescent="0.25">
      <c r="A2795" s="15" t="str">
        <f>IF(C2795="","",COUNTA($C$3:C2795))</f>
        <v/>
      </c>
      <c r="B2795" s="15" t="str">
        <f t="shared" si="282"/>
        <v/>
      </c>
      <c r="M2795" s="9"/>
      <c r="N2795" s="9"/>
      <c r="P2795" s="14"/>
      <c r="Q2795" s="85"/>
      <c r="R2795" s="89"/>
      <c r="U2795" s="11" t="str">
        <f t="shared" si="280"/>
        <v/>
      </c>
      <c r="V2795" s="12" t="str">
        <f t="shared" si="281"/>
        <v/>
      </c>
      <c r="Z2795" s="15"/>
    </row>
    <row r="2796" spans="1:26" x14ac:dyDescent="0.25">
      <c r="A2796" s="15" t="str">
        <f>IF(C2796="","",COUNTA($C$3:C2796))</f>
        <v/>
      </c>
      <c r="B2796" s="15" t="str">
        <f t="shared" si="282"/>
        <v/>
      </c>
      <c r="M2796" s="9"/>
      <c r="N2796" s="9"/>
      <c r="P2796" s="14"/>
      <c r="Q2796" s="85"/>
      <c r="R2796" s="89"/>
      <c r="U2796" s="11" t="str">
        <f t="shared" si="280"/>
        <v/>
      </c>
      <c r="V2796" s="12" t="str">
        <f t="shared" si="281"/>
        <v/>
      </c>
      <c r="Z2796" s="15"/>
    </row>
    <row r="2797" spans="1:26" x14ac:dyDescent="0.25">
      <c r="A2797" s="15" t="str">
        <f>IF(C2797="","",COUNTA($C$3:C2797))</f>
        <v/>
      </c>
      <c r="B2797" s="15" t="str">
        <f t="shared" si="282"/>
        <v/>
      </c>
      <c r="M2797" s="9"/>
      <c r="N2797" s="9"/>
      <c r="P2797" s="14"/>
      <c r="Q2797" s="85"/>
      <c r="R2797" s="89"/>
      <c r="U2797" s="11" t="str">
        <f t="shared" si="280"/>
        <v/>
      </c>
      <c r="V2797" s="12" t="str">
        <f t="shared" si="281"/>
        <v/>
      </c>
      <c r="Z2797" s="15"/>
    </row>
    <row r="2798" spans="1:26" x14ac:dyDescent="0.25">
      <c r="A2798" s="15" t="str">
        <f>IF(C2798="","",COUNTA($C$3:C2798))</f>
        <v/>
      </c>
      <c r="B2798" s="15" t="str">
        <f t="shared" si="282"/>
        <v/>
      </c>
      <c r="M2798" s="9"/>
      <c r="N2798" s="9"/>
      <c r="P2798" s="14"/>
      <c r="Q2798" s="85"/>
      <c r="R2798" s="89"/>
      <c r="U2798" s="11" t="str">
        <f t="shared" si="280"/>
        <v/>
      </c>
      <c r="V2798" s="12" t="str">
        <f t="shared" si="281"/>
        <v/>
      </c>
      <c r="Z2798" s="15"/>
    </row>
    <row r="2799" spans="1:26" x14ac:dyDescent="0.25">
      <c r="A2799" s="15" t="str">
        <f>IF(C2799="","",COUNTA($C$3:C2799))</f>
        <v/>
      </c>
      <c r="B2799" s="15" t="str">
        <f t="shared" si="282"/>
        <v/>
      </c>
      <c r="M2799" s="9"/>
      <c r="N2799" s="9"/>
      <c r="P2799" s="14"/>
      <c r="Q2799" s="85"/>
      <c r="R2799" s="89"/>
      <c r="U2799" s="11" t="str">
        <f t="shared" si="280"/>
        <v/>
      </c>
      <c r="V2799" s="12" t="str">
        <f t="shared" si="281"/>
        <v/>
      </c>
      <c r="Z2799" s="15"/>
    </row>
    <row r="2800" spans="1:26" x14ac:dyDescent="0.25">
      <c r="A2800" s="15" t="str">
        <f>IF(C2800="","",COUNTA($C$3:C2800))</f>
        <v/>
      </c>
      <c r="B2800" s="15" t="str">
        <f t="shared" si="282"/>
        <v/>
      </c>
      <c r="M2800" s="9"/>
      <c r="N2800" s="9"/>
      <c r="P2800" s="14"/>
      <c r="Q2800" s="85"/>
      <c r="R2800" s="89"/>
      <c r="U2800" s="11" t="str">
        <f t="shared" si="280"/>
        <v/>
      </c>
      <c r="V2800" s="12" t="str">
        <f t="shared" si="281"/>
        <v/>
      </c>
      <c r="Z2800" s="15"/>
    </row>
    <row r="2801" spans="1:26" x14ac:dyDescent="0.25">
      <c r="A2801" s="15" t="str">
        <f>IF(C2801="","",COUNTA($C$3:C2801))</f>
        <v/>
      </c>
      <c r="B2801" s="15" t="str">
        <f t="shared" si="282"/>
        <v/>
      </c>
      <c r="M2801" s="9"/>
      <c r="N2801" s="9"/>
      <c r="P2801" s="14"/>
      <c r="Q2801" s="85"/>
      <c r="R2801" s="89"/>
      <c r="U2801" s="11" t="str">
        <f t="shared" si="280"/>
        <v/>
      </c>
      <c r="V2801" s="12" t="str">
        <f t="shared" si="281"/>
        <v/>
      </c>
      <c r="Z2801" s="15"/>
    </row>
    <row r="2802" spans="1:26" x14ac:dyDescent="0.25">
      <c r="A2802" s="15" t="str">
        <f>IF(C2802="","",COUNTA($C$3:C2802))</f>
        <v/>
      </c>
      <c r="B2802" s="15" t="str">
        <f t="shared" si="282"/>
        <v/>
      </c>
      <c r="M2802" s="9"/>
      <c r="N2802" s="9"/>
      <c r="P2802" s="14"/>
      <c r="Q2802" s="85"/>
      <c r="R2802" s="89"/>
      <c r="U2802" s="11" t="str">
        <f t="shared" si="280"/>
        <v/>
      </c>
      <c r="V2802" s="12" t="str">
        <f t="shared" si="281"/>
        <v/>
      </c>
      <c r="Z2802" s="15"/>
    </row>
    <row r="2803" spans="1:26" x14ac:dyDescent="0.25">
      <c r="A2803" s="15" t="str">
        <f>IF(C2803="","",COUNTA($C$3:C2803))</f>
        <v/>
      </c>
      <c r="B2803" s="15" t="str">
        <f t="shared" si="282"/>
        <v/>
      </c>
      <c r="M2803" s="9"/>
      <c r="N2803" s="9"/>
      <c r="P2803" s="14"/>
      <c r="Q2803" s="85"/>
      <c r="R2803" s="89"/>
      <c r="U2803" s="11" t="str">
        <f t="shared" si="280"/>
        <v/>
      </c>
      <c r="V2803" s="12" t="str">
        <f t="shared" si="281"/>
        <v/>
      </c>
      <c r="Z2803" s="15"/>
    </row>
    <row r="2804" spans="1:26" x14ac:dyDescent="0.25">
      <c r="A2804" s="15" t="str">
        <f>IF(C2804="","",COUNTA($C$3:C2804))</f>
        <v/>
      </c>
      <c r="B2804" s="15" t="str">
        <f t="shared" si="282"/>
        <v/>
      </c>
      <c r="M2804" s="9"/>
      <c r="N2804" s="9"/>
      <c r="P2804" s="14"/>
      <c r="Q2804" s="85"/>
      <c r="R2804" s="89"/>
      <c r="U2804" s="11" t="str">
        <f t="shared" si="280"/>
        <v/>
      </c>
      <c r="V2804" s="12" t="str">
        <f t="shared" si="281"/>
        <v/>
      </c>
      <c r="Z2804" s="15"/>
    </row>
    <row r="2805" spans="1:26" x14ac:dyDescent="0.25">
      <c r="A2805" s="15" t="str">
        <f>IF(C2805="","",COUNTA($C$3:C2805))</f>
        <v/>
      </c>
      <c r="B2805" s="15" t="str">
        <f t="shared" si="282"/>
        <v/>
      </c>
      <c r="M2805" s="9"/>
      <c r="N2805" s="9"/>
      <c r="P2805" s="14"/>
      <c r="Q2805" s="85"/>
      <c r="R2805" s="89"/>
      <c r="U2805" s="11" t="str">
        <f t="shared" si="280"/>
        <v/>
      </c>
      <c r="V2805" s="12" t="str">
        <f t="shared" si="281"/>
        <v/>
      </c>
      <c r="Z2805" s="15"/>
    </row>
    <row r="2806" spans="1:26" x14ac:dyDescent="0.25">
      <c r="A2806" s="15" t="str">
        <f>IF(C2806="","",COUNTA($C$3:C2806))</f>
        <v/>
      </c>
      <c r="B2806" s="15" t="str">
        <f t="shared" si="282"/>
        <v/>
      </c>
      <c r="M2806" s="9"/>
      <c r="N2806" s="9"/>
      <c r="P2806" s="14"/>
      <c r="Q2806" s="85"/>
      <c r="R2806" s="89"/>
      <c r="U2806" s="11" t="str">
        <f t="shared" si="280"/>
        <v/>
      </c>
      <c r="V2806" s="12" t="str">
        <f t="shared" si="281"/>
        <v/>
      </c>
      <c r="Z2806" s="15"/>
    </row>
    <row r="2807" spans="1:26" x14ac:dyDescent="0.25">
      <c r="A2807" s="15" t="str">
        <f>IF(C2807="","",COUNTA($C$3:C2807))</f>
        <v/>
      </c>
      <c r="B2807" s="15" t="str">
        <f t="shared" si="282"/>
        <v/>
      </c>
      <c r="M2807" s="9"/>
      <c r="N2807" s="9"/>
      <c r="P2807" s="14"/>
      <c r="Q2807" s="85"/>
      <c r="R2807" s="89"/>
      <c r="U2807" s="11" t="str">
        <f t="shared" si="280"/>
        <v/>
      </c>
      <c r="V2807" s="12" t="str">
        <f t="shared" si="281"/>
        <v/>
      </c>
      <c r="Z2807" s="15"/>
    </row>
    <row r="2808" spans="1:26" x14ac:dyDescent="0.25">
      <c r="A2808" s="15" t="str">
        <f>IF(C2808="","",COUNTA($C$3:C2808))</f>
        <v/>
      </c>
      <c r="B2808" s="15" t="str">
        <f t="shared" si="282"/>
        <v/>
      </c>
      <c r="M2808" s="9"/>
      <c r="N2808" s="9"/>
      <c r="P2808" s="14"/>
      <c r="Q2808" s="85"/>
      <c r="R2808" s="89"/>
      <c r="U2808" s="11" t="str">
        <f t="shared" si="280"/>
        <v/>
      </c>
      <c r="V2808" s="12" t="str">
        <f t="shared" si="281"/>
        <v/>
      </c>
      <c r="Z2808" s="15"/>
    </row>
    <row r="2809" spans="1:26" x14ac:dyDescent="0.25">
      <c r="A2809" s="15" t="str">
        <f>IF(C2809="","",COUNTA($C$3:C2809))</f>
        <v/>
      </c>
      <c r="B2809" s="15" t="str">
        <f t="shared" si="282"/>
        <v/>
      </c>
      <c r="M2809" s="9"/>
      <c r="N2809" s="9"/>
      <c r="P2809" s="14"/>
      <c r="Q2809" s="85"/>
      <c r="R2809" s="89"/>
      <c r="U2809" s="11" t="str">
        <f t="shared" si="280"/>
        <v/>
      </c>
      <c r="V2809" s="12" t="str">
        <f t="shared" si="281"/>
        <v/>
      </c>
      <c r="Z2809" s="15"/>
    </row>
    <row r="2810" spans="1:26" x14ac:dyDescent="0.25">
      <c r="A2810" s="15" t="str">
        <f>IF(C2810="","",COUNTA($C$3:C2810))</f>
        <v/>
      </c>
      <c r="B2810" s="15" t="str">
        <f t="shared" si="282"/>
        <v/>
      </c>
      <c r="M2810" s="9"/>
      <c r="N2810" s="9"/>
      <c r="P2810" s="14"/>
      <c r="Q2810" s="85"/>
      <c r="R2810" s="89"/>
      <c r="U2810" s="11" t="str">
        <f t="shared" si="280"/>
        <v/>
      </c>
      <c r="V2810" s="12" t="str">
        <f t="shared" si="281"/>
        <v/>
      </c>
      <c r="Z2810" s="15"/>
    </row>
    <row r="2811" spans="1:26" x14ac:dyDescent="0.25">
      <c r="A2811" s="15" t="str">
        <f>IF(C2811="","",COUNTA($C$3:C2811))</f>
        <v/>
      </c>
      <c r="B2811" s="15" t="str">
        <f t="shared" si="282"/>
        <v/>
      </c>
      <c r="M2811" s="9"/>
      <c r="N2811" s="9"/>
      <c r="P2811" s="14"/>
      <c r="Q2811" s="85"/>
      <c r="R2811" s="89"/>
      <c r="U2811" s="11" t="str">
        <f t="shared" si="280"/>
        <v/>
      </c>
      <c r="V2811" s="12" t="str">
        <f t="shared" si="281"/>
        <v/>
      </c>
      <c r="Z2811" s="15"/>
    </row>
    <row r="2812" spans="1:26" x14ac:dyDescent="0.25">
      <c r="A2812" s="15" t="str">
        <f>IF(C2812="","",COUNTA($C$3:C2812))</f>
        <v/>
      </c>
      <c r="B2812" s="15" t="str">
        <f t="shared" si="282"/>
        <v/>
      </c>
      <c r="M2812" s="9"/>
      <c r="N2812" s="9"/>
      <c r="P2812" s="14"/>
      <c r="Q2812" s="85"/>
      <c r="R2812" s="89"/>
      <c r="U2812" s="11" t="str">
        <f t="shared" si="280"/>
        <v/>
      </c>
      <c r="V2812" s="12" t="str">
        <f t="shared" si="281"/>
        <v/>
      </c>
      <c r="Z2812" s="15"/>
    </row>
    <row r="2813" spans="1:26" x14ac:dyDescent="0.25">
      <c r="A2813" s="15" t="str">
        <f>IF(C2813="","",COUNTA($C$3:C2813))</f>
        <v/>
      </c>
      <c r="B2813" s="15" t="str">
        <f t="shared" si="282"/>
        <v/>
      </c>
      <c r="M2813" s="9"/>
      <c r="N2813" s="9"/>
      <c r="P2813" s="14"/>
      <c r="Q2813" s="85"/>
      <c r="R2813" s="89"/>
      <c r="U2813" s="11" t="str">
        <f t="shared" si="280"/>
        <v/>
      </c>
      <c r="V2813" s="12" t="str">
        <f t="shared" si="281"/>
        <v/>
      </c>
      <c r="Z2813" s="15"/>
    </row>
    <row r="2814" spans="1:26" x14ac:dyDescent="0.25">
      <c r="A2814" s="15" t="str">
        <f>IF(C2814="","",COUNTA($C$3:C2814))</f>
        <v/>
      </c>
      <c r="B2814" s="15" t="str">
        <f t="shared" si="282"/>
        <v/>
      </c>
      <c r="M2814" s="9"/>
      <c r="N2814" s="9"/>
      <c r="P2814" s="14"/>
      <c r="Q2814" s="85"/>
      <c r="R2814" s="89"/>
      <c r="U2814" s="11" t="str">
        <f t="shared" si="280"/>
        <v/>
      </c>
      <c r="V2814" s="12" t="str">
        <f t="shared" si="281"/>
        <v/>
      </c>
      <c r="Z2814" s="15"/>
    </row>
    <row r="2815" spans="1:26" x14ac:dyDescent="0.25">
      <c r="A2815" s="15" t="str">
        <f>IF(C2815="","",COUNTA($C$3:C2815))</f>
        <v/>
      </c>
      <c r="B2815" s="15" t="str">
        <f t="shared" si="282"/>
        <v/>
      </c>
      <c r="M2815" s="9"/>
      <c r="N2815" s="9"/>
      <c r="P2815" s="14"/>
      <c r="Q2815" s="85"/>
      <c r="R2815" s="89"/>
      <c r="U2815" s="11" t="str">
        <f t="shared" si="280"/>
        <v/>
      </c>
      <c r="V2815" s="12" t="str">
        <f t="shared" si="281"/>
        <v/>
      </c>
      <c r="Z2815" s="15"/>
    </row>
    <row r="2816" spans="1:26" x14ac:dyDescent="0.25">
      <c r="A2816" s="15" t="str">
        <f>IF(C2816="","",COUNTA($C$3:C2816))</f>
        <v/>
      </c>
      <c r="B2816" s="15" t="str">
        <f t="shared" si="282"/>
        <v/>
      </c>
      <c r="M2816" s="9"/>
      <c r="N2816" s="9"/>
      <c r="P2816" s="14"/>
      <c r="Q2816" s="85"/>
      <c r="R2816" s="89"/>
      <c r="U2816" s="11" t="str">
        <f t="shared" si="280"/>
        <v/>
      </c>
      <c r="V2816" s="12" t="str">
        <f t="shared" si="281"/>
        <v/>
      </c>
      <c r="Z2816" s="15"/>
    </row>
    <row r="2817" spans="1:26" x14ac:dyDescent="0.25">
      <c r="A2817" s="15" t="str">
        <f>IF(C2817="","",COUNTA($C$3:C2817))</f>
        <v/>
      </c>
      <c r="B2817" s="15" t="str">
        <f t="shared" si="282"/>
        <v/>
      </c>
      <c r="M2817" s="9"/>
      <c r="N2817" s="9"/>
      <c r="P2817" s="14"/>
      <c r="Q2817" s="85"/>
      <c r="R2817" s="89"/>
      <c r="U2817" s="11" t="str">
        <f t="shared" si="280"/>
        <v/>
      </c>
      <c r="V2817" s="12" t="str">
        <f t="shared" si="281"/>
        <v/>
      </c>
      <c r="Z2817" s="15"/>
    </row>
    <row r="2818" spans="1:26" x14ac:dyDescent="0.25">
      <c r="A2818" s="15" t="str">
        <f>IF(C2818="","",COUNTA($C$3:C2818))</f>
        <v/>
      </c>
      <c r="B2818" s="15" t="str">
        <f t="shared" si="282"/>
        <v/>
      </c>
      <c r="M2818" s="9"/>
      <c r="N2818" s="9"/>
      <c r="P2818" s="14"/>
      <c r="Q2818" s="85"/>
      <c r="R2818" s="89"/>
      <c r="U2818" s="11" t="str">
        <f t="shared" ref="U2818:U2881" si="283">IF(S2818="","",(S2818-T2818))</f>
        <v/>
      </c>
      <c r="V2818" s="12" t="str">
        <f t="shared" ref="V2818:V2881" si="284">IF(U2818="","",(U2818/T2818))</f>
        <v/>
      </c>
      <c r="Z2818" s="15"/>
    </row>
    <row r="2819" spans="1:26" x14ac:dyDescent="0.25">
      <c r="A2819" s="15" t="str">
        <f>IF(C2819="","",COUNTA($C$3:C2819))</f>
        <v/>
      </c>
      <c r="B2819" s="15" t="str">
        <f t="shared" ref="B2819:B2882" si="285">IF(C2819="","",TEXT(C2819,"mmmm"))</f>
        <v/>
      </c>
      <c r="M2819" s="9"/>
      <c r="N2819" s="9"/>
      <c r="P2819" s="14"/>
      <c r="Q2819" s="85"/>
      <c r="R2819" s="89"/>
      <c r="U2819" s="11" t="str">
        <f t="shared" si="283"/>
        <v/>
      </c>
      <c r="V2819" s="12" t="str">
        <f t="shared" si="284"/>
        <v/>
      </c>
      <c r="Z2819" s="15"/>
    </row>
    <row r="2820" spans="1:26" x14ac:dyDescent="0.25">
      <c r="A2820" s="15" t="str">
        <f>IF(C2820="","",COUNTA($C$3:C2820))</f>
        <v/>
      </c>
      <c r="B2820" s="15" t="str">
        <f t="shared" si="285"/>
        <v/>
      </c>
      <c r="M2820" s="9"/>
      <c r="N2820" s="9"/>
      <c r="P2820" s="14"/>
      <c r="Q2820" s="85"/>
      <c r="R2820" s="89"/>
      <c r="U2820" s="11" t="str">
        <f t="shared" si="283"/>
        <v/>
      </c>
      <c r="V2820" s="12" t="str">
        <f t="shared" si="284"/>
        <v/>
      </c>
      <c r="Z2820" s="15"/>
    </row>
    <row r="2821" spans="1:26" x14ac:dyDescent="0.25">
      <c r="A2821" s="15" t="str">
        <f>IF(C2821="","",COUNTA($C$3:C2821))</f>
        <v/>
      </c>
      <c r="B2821" s="15" t="str">
        <f t="shared" si="285"/>
        <v/>
      </c>
      <c r="M2821" s="9"/>
      <c r="N2821" s="9"/>
      <c r="P2821" s="14"/>
      <c r="Q2821" s="85"/>
      <c r="R2821" s="89"/>
      <c r="U2821" s="11" t="str">
        <f t="shared" si="283"/>
        <v/>
      </c>
      <c r="V2821" s="12" t="str">
        <f t="shared" si="284"/>
        <v/>
      </c>
      <c r="Z2821" s="15"/>
    </row>
    <row r="2822" spans="1:26" x14ac:dyDescent="0.25">
      <c r="A2822" s="15" t="str">
        <f>IF(C2822="","",COUNTA($C$3:C2822))</f>
        <v/>
      </c>
      <c r="B2822" s="15" t="str">
        <f t="shared" si="285"/>
        <v/>
      </c>
      <c r="M2822" s="9"/>
      <c r="N2822" s="9"/>
      <c r="P2822" s="14"/>
      <c r="Q2822" s="85"/>
      <c r="R2822" s="89"/>
      <c r="U2822" s="11" t="str">
        <f t="shared" si="283"/>
        <v/>
      </c>
      <c r="V2822" s="12" t="str">
        <f t="shared" si="284"/>
        <v/>
      </c>
      <c r="Z2822" s="15"/>
    </row>
    <row r="2823" spans="1:26" x14ac:dyDescent="0.25">
      <c r="A2823" s="15" t="str">
        <f>IF(C2823="","",COUNTA($C$3:C2823))</f>
        <v/>
      </c>
      <c r="B2823" s="15" t="str">
        <f t="shared" si="285"/>
        <v/>
      </c>
      <c r="M2823" s="9"/>
      <c r="N2823" s="9"/>
      <c r="P2823" s="14"/>
      <c r="Q2823" s="85"/>
      <c r="R2823" s="89"/>
      <c r="U2823" s="11" t="str">
        <f t="shared" si="283"/>
        <v/>
      </c>
      <c r="V2823" s="12" t="str">
        <f t="shared" si="284"/>
        <v/>
      </c>
      <c r="Z2823" s="15"/>
    </row>
    <row r="2824" spans="1:26" x14ac:dyDescent="0.25">
      <c r="A2824" s="15" t="str">
        <f>IF(C2824="","",COUNTA($C$3:C2824))</f>
        <v/>
      </c>
      <c r="B2824" s="15" t="str">
        <f t="shared" si="285"/>
        <v/>
      </c>
      <c r="M2824" s="9"/>
      <c r="N2824" s="9"/>
      <c r="P2824" s="14"/>
      <c r="Q2824" s="85"/>
      <c r="R2824" s="89"/>
      <c r="U2824" s="11" t="str">
        <f t="shared" si="283"/>
        <v/>
      </c>
      <c r="V2824" s="12" t="str">
        <f t="shared" si="284"/>
        <v/>
      </c>
      <c r="Z2824" s="15"/>
    </row>
    <row r="2825" spans="1:26" x14ac:dyDescent="0.25">
      <c r="A2825" s="15" t="str">
        <f>IF(C2825="","",COUNTA($C$3:C2825))</f>
        <v/>
      </c>
      <c r="B2825" s="15" t="str">
        <f t="shared" si="285"/>
        <v/>
      </c>
      <c r="M2825" s="9"/>
      <c r="N2825" s="9"/>
      <c r="P2825" s="14"/>
      <c r="Q2825" s="85"/>
      <c r="R2825" s="89"/>
      <c r="U2825" s="11" t="str">
        <f t="shared" si="283"/>
        <v/>
      </c>
      <c r="V2825" s="12" t="str">
        <f t="shared" si="284"/>
        <v/>
      </c>
      <c r="Z2825" s="15"/>
    </row>
    <row r="2826" spans="1:26" x14ac:dyDescent="0.25">
      <c r="A2826" s="15" t="str">
        <f>IF(C2826="","",COUNTA($C$3:C2826))</f>
        <v/>
      </c>
      <c r="B2826" s="15" t="str">
        <f t="shared" si="285"/>
        <v/>
      </c>
      <c r="M2826" s="9"/>
      <c r="N2826" s="9"/>
      <c r="P2826" s="14"/>
      <c r="Q2826" s="85"/>
      <c r="R2826" s="89"/>
      <c r="U2826" s="11" t="str">
        <f t="shared" si="283"/>
        <v/>
      </c>
      <c r="V2826" s="12" t="str">
        <f t="shared" si="284"/>
        <v/>
      </c>
      <c r="Z2826" s="15"/>
    </row>
    <row r="2827" spans="1:26" x14ac:dyDescent="0.25">
      <c r="A2827" s="15" t="str">
        <f>IF(C2827="","",COUNTA($C$3:C2827))</f>
        <v/>
      </c>
      <c r="B2827" s="15" t="str">
        <f t="shared" si="285"/>
        <v/>
      </c>
      <c r="M2827" s="9"/>
      <c r="N2827" s="9"/>
      <c r="P2827" s="14"/>
      <c r="Q2827" s="85"/>
      <c r="R2827" s="89"/>
      <c r="U2827" s="11" t="str">
        <f t="shared" si="283"/>
        <v/>
      </c>
      <c r="V2827" s="12" t="str">
        <f t="shared" si="284"/>
        <v/>
      </c>
      <c r="Z2827" s="15"/>
    </row>
    <row r="2828" spans="1:26" x14ac:dyDescent="0.25">
      <c r="A2828" s="15" t="str">
        <f>IF(C2828="","",COUNTA($C$3:C2828))</f>
        <v/>
      </c>
      <c r="B2828" s="15" t="str">
        <f t="shared" si="285"/>
        <v/>
      </c>
      <c r="M2828" s="9"/>
      <c r="N2828" s="9"/>
      <c r="P2828" s="14"/>
      <c r="Q2828" s="85"/>
      <c r="R2828" s="89"/>
      <c r="U2828" s="11" t="str">
        <f t="shared" si="283"/>
        <v/>
      </c>
      <c r="V2828" s="12" t="str">
        <f t="shared" si="284"/>
        <v/>
      </c>
      <c r="Z2828" s="15"/>
    </row>
    <row r="2829" spans="1:26" x14ac:dyDescent="0.25">
      <c r="A2829" s="15" t="str">
        <f>IF(C2829="","",COUNTA($C$3:C2829))</f>
        <v/>
      </c>
      <c r="B2829" s="15" t="str">
        <f t="shared" si="285"/>
        <v/>
      </c>
      <c r="M2829" s="9"/>
      <c r="N2829" s="9"/>
      <c r="P2829" s="14"/>
      <c r="Q2829" s="85"/>
      <c r="R2829" s="89"/>
      <c r="U2829" s="11" t="str">
        <f t="shared" si="283"/>
        <v/>
      </c>
      <c r="V2829" s="12" t="str">
        <f t="shared" si="284"/>
        <v/>
      </c>
      <c r="Z2829" s="15"/>
    </row>
    <row r="2830" spans="1:26" x14ac:dyDescent="0.25">
      <c r="A2830" s="15" t="str">
        <f>IF(C2830="","",COUNTA($C$3:C2830))</f>
        <v/>
      </c>
      <c r="B2830" s="15" t="str">
        <f t="shared" si="285"/>
        <v/>
      </c>
      <c r="M2830" s="9"/>
      <c r="N2830" s="9"/>
      <c r="P2830" s="14"/>
      <c r="Q2830" s="85"/>
      <c r="R2830" s="89"/>
      <c r="U2830" s="11" t="str">
        <f t="shared" si="283"/>
        <v/>
      </c>
      <c r="V2830" s="12" t="str">
        <f t="shared" si="284"/>
        <v/>
      </c>
      <c r="Z2830" s="15"/>
    </row>
    <row r="2831" spans="1:26" x14ac:dyDescent="0.25">
      <c r="A2831" s="15" t="str">
        <f>IF(C2831="","",COUNTA($C$3:C2831))</f>
        <v/>
      </c>
      <c r="B2831" s="15" t="str">
        <f t="shared" si="285"/>
        <v/>
      </c>
      <c r="M2831" s="9"/>
      <c r="N2831" s="9"/>
      <c r="P2831" s="14"/>
      <c r="Q2831" s="85"/>
      <c r="R2831" s="89"/>
      <c r="U2831" s="11" t="str">
        <f t="shared" si="283"/>
        <v/>
      </c>
      <c r="V2831" s="12" t="str">
        <f t="shared" si="284"/>
        <v/>
      </c>
      <c r="Z2831" s="15"/>
    </row>
    <row r="2832" spans="1:26" x14ac:dyDescent="0.25">
      <c r="A2832" s="15" t="str">
        <f>IF(C2832="","",COUNTA($C$3:C2832))</f>
        <v/>
      </c>
      <c r="B2832" s="15" t="str">
        <f t="shared" si="285"/>
        <v/>
      </c>
      <c r="M2832" s="9"/>
      <c r="N2832" s="9"/>
      <c r="P2832" s="14"/>
      <c r="Q2832" s="85"/>
      <c r="R2832" s="89"/>
      <c r="U2832" s="11" t="str">
        <f t="shared" si="283"/>
        <v/>
      </c>
      <c r="V2832" s="12" t="str">
        <f t="shared" si="284"/>
        <v/>
      </c>
      <c r="Z2832" s="15"/>
    </row>
    <row r="2833" spans="1:26" x14ac:dyDescent="0.25">
      <c r="A2833" s="15" t="str">
        <f>IF(C2833="","",COUNTA($C$3:C2833))</f>
        <v/>
      </c>
      <c r="B2833" s="15" t="str">
        <f t="shared" si="285"/>
        <v/>
      </c>
      <c r="M2833" s="9"/>
      <c r="N2833" s="9"/>
      <c r="P2833" s="14"/>
      <c r="Q2833" s="85"/>
      <c r="R2833" s="89"/>
      <c r="U2833" s="11" t="str">
        <f t="shared" si="283"/>
        <v/>
      </c>
      <c r="V2833" s="12" t="str">
        <f t="shared" si="284"/>
        <v/>
      </c>
      <c r="Z2833" s="15"/>
    </row>
    <row r="2834" spans="1:26" x14ac:dyDescent="0.25">
      <c r="A2834" s="15" t="str">
        <f>IF(C2834="","",COUNTA($C$3:C2834))</f>
        <v/>
      </c>
      <c r="B2834" s="15" t="str">
        <f t="shared" si="285"/>
        <v/>
      </c>
      <c r="M2834" s="9"/>
      <c r="N2834" s="9"/>
      <c r="P2834" s="14"/>
      <c r="Q2834" s="85"/>
      <c r="R2834" s="89"/>
      <c r="U2834" s="11" t="str">
        <f t="shared" si="283"/>
        <v/>
      </c>
      <c r="V2834" s="12" t="str">
        <f t="shared" si="284"/>
        <v/>
      </c>
      <c r="Z2834" s="15"/>
    </row>
    <row r="2835" spans="1:26" x14ac:dyDescent="0.25">
      <c r="A2835" s="15" t="str">
        <f>IF(C2835="","",COUNTA($C$3:C2835))</f>
        <v/>
      </c>
      <c r="B2835" s="15" t="str">
        <f t="shared" si="285"/>
        <v/>
      </c>
      <c r="M2835" s="9"/>
      <c r="N2835" s="9"/>
      <c r="P2835" s="14"/>
      <c r="Q2835" s="85"/>
      <c r="R2835" s="89"/>
      <c r="U2835" s="11" t="str">
        <f t="shared" si="283"/>
        <v/>
      </c>
      <c r="V2835" s="12" t="str">
        <f t="shared" si="284"/>
        <v/>
      </c>
      <c r="Z2835" s="15"/>
    </row>
    <row r="2836" spans="1:26" x14ac:dyDescent="0.25">
      <c r="A2836" s="15" t="str">
        <f>IF(C2836="","",COUNTA($C$3:C2836))</f>
        <v/>
      </c>
      <c r="B2836" s="15" t="str">
        <f t="shared" si="285"/>
        <v/>
      </c>
      <c r="M2836" s="9"/>
      <c r="N2836" s="9"/>
      <c r="P2836" s="14"/>
      <c r="Q2836" s="85"/>
      <c r="R2836" s="89"/>
      <c r="U2836" s="11" t="str">
        <f t="shared" si="283"/>
        <v/>
      </c>
      <c r="V2836" s="12" t="str">
        <f t="shared" si="284"/>
        <v/>
      </c>
      <c r="Z2836" s="15"/>
    </row>
    <row r="2837" spans="1:26" x14ac:dyDescent="0.25">
      <c r="A2837" s="15" t="str">
        <f>IF(C2837="","",COUNTA($C$3:C2837))</f>
        <v/>
      </c>
      <c r="B2837" s="15" t="str">
        <f t="shared" si="285"/>
        <v/>
      </c>
      <c r="M2837" s="9"/>
      <c r="N2837" s="9"/>
      <c r="P2837" s="14"/>
      <c r="Q2837" s="85"/>
      <c r="R2837" s="89"/>
      <c r="U2837" s="11" t="str">
        <f t="shared" si="283"/>
        <v/>
      </c>
      <c r="V2837" s="12" t="str">
        <f t="shared" si="284"/>
        <v/>
      </c>
      <c r="Z2837" s="15"/>
    </row>
    <row r="2838" spans="1:26" x14ac:dyDescent="0.25">
      <c r="A2838" s="15" t="str">
        <f>IF(C2838="","",COUNTA($C$3:C2838))</f>
        <v/>
      </c>
      <c r="B2838" s="15" t="str">
        <f t="shared" si="285"/>
        <v/>
      </c>
      <c r="M2838" s="9"/>
      <c r="N2838" s="9"/>
      <c r="P2838" s="14"/>
      <c r="Q2838" s="85"/>
      <c r="R2838" s="89"/>
      <c r="U2838" s="11" t="str">
        <f t="shared" si="283"/>
        <v/>
      </c>
      <c r="V2838" s="12" t="str">
        <f t="shared" si="284"/>
        <v/>
      </c>
      <c r="Z2838" s="15"/>
    </row>
    <row r="2839" spans="1:26" x14ac:dyDescent="0.25">
      <c r="A2839" s="15" t="str">
        <f>IF(C2839="","",COUNTA($C$3:C2839))</f>
        <v/>
      </c>
      <c r="B2839" s="15" t="str">
        <f t="shared" si="285"/>
        <v/>
      </c>
      <c r="M2839" s="9"/>
      <c r="N2839" s="9"/>
      <c r="P2839" s="14"/>
      <c r="Q2839" s="85"/>
      <c r="R2839" s="89"/>
      <c r="U2839" s="11" t="str">
        <f t="shared" si="283"/>
        <v/>
      </c>
      <c r="V2839" s="12" t="str">
        <f t="shared" si="284"/>
        <v/>
      </c>
      <c r="Z2839" s="15"/>
    </row>
    <row r="2840" spans="1:26" x14ac:dyDescent="0.25">
      <c r="A2840" s="15" t="str">
        <f>IF(C2840="","",COUNTA($C$3:C2840))</f>
        <v/>
      </c>
      <c r="B2840" s="15" t="str">
        <f t="shared" si="285"/>
        <v/>
      </c>
      <c r="M2840" s="9"/>
      <c r="N2840" s="9"/>
      <c r="P2840" s="14"/>
      <c r="Q2840" s="85"/>
      <c r="R2840" s="89"/>
      <c r="U2840" s="11" t="str">
        <f t="shared" si="283"/>
        <v/>
      </c>
      <c r="V2840" s="12" t="str">
        <f t="shared" si="284"/>
        <v/>
      </c>
      <c r="Z2840" s="15"/>
    </row>
    <row r="2841" spans="1:26" x14ac:dyDescent="0.25">
      <c r="A2841" s="15" t="str">
        <f>IF(C2841="","",COUNTA($C$3:C2841))</f>
        <v/>
      </c>
      <c r="B2841" s="15" t="str">
        <f t="shared" si="285"/>
        <v/>
      </c>
      <c r="M2841" s="9"/>
      <c r="N2841" s="9"/>
      <c r="P2841" s="14"/>
      <c r="Q2841" s="85"/>
      <c r="R2841" s="89"/>
      <c r="U2841" s="11" t="str">
        <f t="shared" si="283"/>
        <v/>
      </c>
      <c r="V2841" s="12" t="str">
        <f t="shared" si="284"/>
        <v/>
      </c>
      <c r="Z2841" s="15"/>
    </row>
    <row r="2842" spans="1:26" x14ac:dyDescent="0.25">
      <c r="A2842" s="15" t="str">
        <f>IF(C2842="","",COUNTA($C$3:C2842))</f>
        <v/>
      </c>
      <c r="B2842" s="15" t="str">
        <f t="shared" si="285"/>
        <v/>
      </c>
      <c r="M2842" s="9"/>
      <c r="N2842" s="9"/>
      <c r="P2842" s="14"/>
      <c r="Q2842" s="85"/>
      <c r="R2842" s="89"/>
      <c r="U2842" s="11" t="str">
        <f t="shared" si="283"/>
        <v/>
      </c>
      <c r="V2842" s="12" t="str">
        <f t="shared" si="284"/>
        <v/>
      </c>
      <c r="Z2842" s="15"/>
    </row>
    <row r="2843" spans="1:26" x14ac:dyDescent="0.25">
      <c r="A2843" s="15" t="str">
        <f>IF(C2843="","",COUNTA($C$3:C2843))</f>
        <v/>
      </c>
      <c r="B2843" s="15" t="str">
        <f t="shared" si="285"/>
        <v/>
      </c>
      <c r="M2843" s="9"/>
      <c r="N2843" s="9"/>
      <c r="P2843" s="14"/>
      <c r="Q2843" s="85"/>
      <c r="R2843" s="89"/>
      <c r="U2843" s="11" t="str">
        <f t="shared" si="283"/>
        <v/>
      </c>
      <c r="V2843" s="12" t="str">
        <f t="shared" si="284"/>
        <v/>
      </c>
      <c r="Z2843" s="15"/>
    </row>
    <row r="2844" spans="1:26" x14ac:dyDescent="0.25">
      <c r="A2844" s="15" t="str">
        <f>IF(C2844="","",COUNTA($C$3:C2844))</f>
        <v/>
      </c>
      <c r="B2844" s="15" t="str">
        <f t="shared" si="285"/>
        <v/>
      </c>
      <c r="M2844" s="9"/>
      <c r="N2844" s="9"/>
      <c r="P2844" s="14"/>
      <c r="Q2844" s="85"/>
      <c r="R2844" s="89"/>
      <c r="U2844" s="11" t="str">
        <f t="shared" si="283"/>
        <v/>
      </c>
      <c r="V2844" s="12" t="str">
        <f t="shared" si="284"/>
        <v/>
      </c>
      <c r="Z2844" s="15"/>
    </row>
    <row r="2845" spans="1:26" x14ac:dyDescent="0.25">
      <c r="A2845" s="15" t="str">
        <f>IF(C2845="","",COUNTA($C$3:C2845))</f>
        <v/>
      </c>
      <c r="B2845" s="15" t="str">
        <f t="shared" si="285"/>
        <v/>
      </c>
      <c r="M2845" s="9"/>
      <c r="N2845" s="9"/>
      <c r="P2845" s="14"/>
      <c r="Q2845" s="85"/>
      <c r="R2845" s="89"/>
      <c r="U2845" s="11" t="str">
        <f t="shared" si="283"/>
        <v/>
      </c>
      <c r="V2845" s="12" t="str">
        <f t="shared" si="284"/>
        <v/>
      </c>
      <c r="Z2845" s="15"/>
    </row>
    <row r="2846" spans="1:26" x14ac:dyDescent="0.25">
      <c r="A2846" s="15" t="str">
        <f>IF(C2846="","",COUNTA($C$3:C2846))</f>
        <v/>
      </c>
      <c r="B2846" s="15" t="str">
        <f t="shared" si="285"/>
        <v/>
      </c>
      <c r="M2846" s="9"/>
      <c r="N2846" s="9"/>
      <c r="P2846" s="14"/>
      <c r="Q2846" s="85"/>
      <c r="R2846" s="89"/>
      <c r="U2846" s="11" t="str">
        <f t="shared" si="283"/>
        <v/>
      </c>
      <c r="V2846" s="12" t="str">
        <f t="shared" si="284"/>
        <v/>
      </c>
      <c r="Z2846" s="15"/>
    </row>
    <row r="2847" spans="1:26" x14ac:dyDescent="0.25">
      <c r="A2847" s="15" t="str">
        <f>IF(C2847="","",COUNTA($C$3:C2847))</f>
        <v/>
      </c>
      <c r="B2847" s="15" t="str">
        <f t="shared" si="285"/>
        <v/>
      </c>
      <c r="M2847" s="9"/>
      <c r="N2847" s="9"/>
      <c r="P2847" s="14"/>
      <c r="Q2847" s="85"/>
      <c r="R2847" s="89"/>
      <c r="U2847" s="11" t="str">
        <f t="shared" si="283"/>
        <v/>
      </c>
      <c r="V2847" s="12" t="str">
        <f t="shared" si="284"/>
        <v/>
      </c>
      <c r="Z2847" s="15"/>
    </row>
    <row r="2848" spans="1:26" x14ac:dyDescent="0.25">
      <c r="A2848" s="15" t="str">
        <f>IF(C2848="","",COUNTA($C$3:C2848))</f>
        <v/>
      </c>
      <c r="B2848" s="15" t="str">
        <f t="shared" si="285"/>
        <v/>
      </c>
      <c r="M2848" s="9"/>
      <c r="N2848" s="9"/>
      <c r="P2848" s="14"/>
      <c r="Q2848" s="85"/>
      <c r="R2848" s="89"/>
      <c r="U2848" s="11" t="str">
        <f t="shared" si="283"/>
        <v/>
      </c>
      <c r="V2848" s="12" t="str">
        <f t="shared" si="284"/>
        <v/>
      </c>
      <c r="Z2848" s="15"/>
    </row>
    <row r="2849" spans="1:26" x14ac:dyDescent="0.25">
      <c r="A2849" s="15" t="str">
        <f>IF(C2849="","",COUNTA($C$3:C2849))</f>
        <v/>
      </c>
      <c r="B2849" s="15" t="str">
        <f t="shared" si="285"/>
        <v/>
      </c>
      <c r="M2849" s="9"/>
      <c r="N2849" s="9"/>
      <c r="P2849" s="14"/>
      <c r="Q2849" s="85"/>
      <c r="R2849" s="89"/>
      <c r="U2849" s="11" t="str">
        <f t="shared" si="283"/>
        <v/>
      </c>
      <c r="V2849" s="12" t="str">
        <f t="shared" si="284"/>
        <v/>
      </c>
      <c r="Z2849" s="15"/>
    </row>
    <row r="2850" spans="1:26" x14ac:dyDescent="0.25">
      <c r="A2850" s="15" t="str">
        <f>IF(C2850="","",COUNTA($C$3:C2850))</f>
        <v/>
      </c>
      <c r="B2850" s="15" t="str">
        <f t="shared" si="285"/>
        <v/>
      </c>
      <c r="M2850" s="9"/>
      <c r="N2850" s="9"/>
      <c r="P2850" s="14"/>
      <c r="Q2850" s="85"/>
      <c r="R2850" s="89"/>
      <c r="U2850" s="11" t="str">
        <f t="shared" si="283"/>
        <v/>
      </c>
      <c r="V2850" s="12" t="str">
        <f t="shared" si="284"/>
        <v/>
      </c>
      <c r="Z2850" s="15"/>
    </row>
    <row r="2851" spans="1:26" x14ac:dyDescent="0.25">
      <c r="A2851" s="15" t="str">
        <f>IF(C2851="","",COUNTA($C$3:C2851))</f>
        <v/>
      </c>
      <c r="B2851" s="15" t="str">
        <f t="shared" si="285"/>
        <v/>
      </c>
      <c r="M2851" s="9"/>
      <c r="N2851" s="9"/>
      <c r="P2851" s="14"/>
      <c r="Q2851" s="85"/>
      <c r="R2851" s="89"/>
      <c r="U2851" s="11" t="str">
        <f t="shared" si="283"/>
        <v/>
      </c>
      <c r="V2851" s="12" t="str">
        <f t="shared" si="284"/>
        <v/>
      </c>
      <c r="Z2851" s="15"/>
    </row>
    <row r="2852" spans="1:26" x14ac:dyDescent="0.25">
      <c r="A2852" s="15" t="str">
        <f>IF(C2852="","",COUNTA($C$3:C2852))</f>
        <v/>
      </c>
      <c r="B2852" s="15" t="str">
        <f t="shared" si="285"/>
        <v/>
      </c>
      <c r="M2852" s="9"/>
      <c r="N2852" s="9"/>
      <c r="P2852" s="14"/>
      <c r="Q2852" s="85"/>
      <c r="R2852" s="89"/>
      <c r="U2852" s="11" t="str">
        <f t="shared" si="283"/>
        <v/>
      </c>
      <c r="V2852" s="12" t="str">
        <f t="shared" si="284"/>
        <v/>
      </c>
      <c r="Z2852" s="15"/>
    </row>
    <row r="2853" spans="1:26" x14ac:dyDescent="0.25">
      <c r="A2853" s="15" t="str">
        <f>IF(C2853="","",COUNTA($C$3:C2853))</f>
        <v/>
      </c>
      <c r="B2853" s="15" t="str">
        <f t="shared" si="285"/>
        <v/>
      </c>
      <c r="M2853" s="9"/>
      <c r="N2853" s="9"/>
      <c r="P2853" s="14"/>
      <c r="Q2853" s="85"/>
      <c r="R2853" s="89"/>
      <c r="U2853" s="11" t="str">
        <f t="shared" si="283"/>
        <v/>
      </c>
      <c r="V2853" s="12" t="str">
        <f t="shared" si="284"/>
        <v/>
      </c>
      <c r="Z2853" s="15"/>
    </row>
    <row r="2854" spans="1:26" x14ac:dyDescent="0.25">
      <c r="A2854" s="15" t="str">
        <f>IF(C2854="","",COUNTA($C$3:C2854))</f>
        <v/>
      </c>
      <c r="B2854" s="15" t="str">
        <f t="shared" si="285"/>
        <v/>
      </c>
      <c r="M2854" s="9"/>
      <c r="N2854" s="9"/>
      <c r="P2854" s="14"/>
      <c r="Q2854" s="85"/>
      <c r="R2854" s="89"/>
      <c r="U2854" s="11" t="str">
        <f t="shared" si="283"/>
        <v/>
      </c>
      <c r="V2854" s="12" t="str">
        <f t="shared" si="284"/>
        <v/>
      </c>
      <c r="Z2854" s="15"/>
    </row>
    <row r="2855" spans="1:26" x14ac:dyDescent="0.25">
      <c r="A2855" s="15" t="str">
        <f>IF(C2855="","",COUNTA($C$3:C2855))</f>
        <v/>
      </c>
      <c r="B2855" s="15" t="str">
        <f t="shared" si="285"/>
        <v/>
      </c>
      <c r="M2855" s="9"/>
      <c r="N2855" s="9"/>
      <c r="P2855" s="14"/>
      <c r="Q2855" s="85"/>
      <c r="R2855" s="89"/>
      <c r="U2855" s="11" t="str">
        <f t="shared" si="283"/>
        <v/>
      </c>
      <c r="V2855" s="12" t="str">
        <f t="shared" si="284"/>
        <v/>
      </c>
      <c r="Z2855" s="15"/>
    </row>
    <row r="2856" spans="1:26" x14ac:dyDescent="0.25">
      <c r="A2856" s="15" t="str">
        <f>IF(C2856="","",COUNTA($C$3:C2856))</f>
        <v/>
      </c>
      <c r="B2856" s="15" t="str">
        <f t="shared" si="285"/>
        <v/>
      </c>
      <c r="M2856" s="9"/>
      <c r="N2856" s="9"/>
      <c r="P2856" s="14"/>
      <c r="Q2856" s="85"/>
      <c r="R2856" s="89"/>
      <c r="U2856" s="11" t="str">
        <f t="shared" si="283"/>
        <v/>
      </c>
      <c r="V2856" s="12" t="str">
        <f t="shared" si="284"/>
        <v/>
      </c>
      <c r="Z2856" s="15"/>
    </row>
    <row r="2857" spans="1:26" x14ac:dyDescent="0.25">
      <c r="A2857" s="15" t="str">
        <f>IF(C2857="","",COUNTA($C$3:C2857))</f>
        <v/>
      </c>
      <c r="B2857" s="15" t="str">
        <f t="shared" si="285"/>
        <v/>
      </c>
      <c r="M2857" s="9"/>
      <c r="N2857" s="9"/>
      <c r="P2857" s="14"/>
      <c r="Q2857" s="85"/>
      <c r="R2857" s="89"/>
      <c r="U2857" s="11" t="str">
        <f t="shared" si="283"/>
        <v/>
      </c>
      <c r="V2857" s="12" t="str">
        <f t="shared" si="284"/>
        <v/>
      </c>
      <c r="Z2857" s="15"/>
    </row>
    <row r="2858" spans="1:26" x14ac:dyDescent="0.25">
      <c r="A2858" s="15" t="str">
        <f>IF(C2858="","",COUNTA($C$3:C2858))</f>
        <v/>
      </c>
      <c r="B2858" s="15" t="str">
        <f t="shared" si="285"/>
        <v/>
      </c>
      <c r="M2858" s="9"/>
      <c r="N2858" s="9"/>
      <c r="P2858" s="14"/>
      <c r="Q2858" s="85"/>
      <c r="R2858" s="89"/>
      <c r="U2858" s="11" t="str">
        <f t="shared" si="283"/>
        <v/>
      </c>
      <c r="V2858" s="12" t="str">
        <f t="shared" si="284"/>
        <v/>
      </c>
      <c r="Z2858" s="15"/>
    </row>
    <row r="2859" spans="1:26" x14ac:dyDescent="0.25">
      <c r="A2859" s="15" t="str">
        <f>IF(C2859="","",COUNTA($C$3:C2859))</f>
        <v/>
      </c>
      <c r="B2859" s="15" t="str">
        <f t="shared" si="285"/>
        <v/>
      </c>
      <c r="M2859" s="9"/>
      <c r="N2859" s="9"/>
      <c r="P2859" s="14"/>
      <c r="Q2859" s="85"/>
      <c r="R2859" s="89"/>
      <c r="U2859" s="11" t="str">
        <f t="shared" si="283"/>
        <v/>
      </c>
      <c r="V2859" s="12" t="str">
        <f t="shared" si="284"/>
        <v/>
      </c>
      <c r="Z2859" s="15"/>
    </row>
    <row r="2860" spans="1:26" x14ac:dyDescent="0.25">
      <c r="A2860" s="15" t="str">
        <f>IF(C2860="","",COUNTA($C$3:C2860))</f>
        <v/>
      </c>
      <c r="B2860" s="15" t="str">
        <f t="shared" si="285"/>
        <v/>
      </c>
      <c r="M2860" s="9"/>
      <c r="N2860" s="9"/>
      <c r="P2860" s="14"/>
      <c r="Q2860" s="85"/>
      <c r="R2860" s="89"/>
      <c r="U2860" s="11" t="str">
        <f t="shared" si="283"/>
        <v/>
      </c>
      <c r="V2860" s="12" t="str">
        <f t="shared" si="284"/>
        <v/>
      </c>
      <c r="Z2860" s="15"/>
    </row>
    <row r="2861" spans="1:26" x14ac:dyDescent="0.25">
      <c r="A2861" s="15" t="str">
        <f>IF(C2861="","",COUNTA($C$3:C2861))</f>
        <v/>
      </c>
      <c r="B2861" s="15" t="str">
        <f t="shared" si="285"/>
        <v/>
      </c>
      <c r="M2861" s="9"/>
      <c r="N2861" s="9"/>
      <c r="P2861" s="14"/>
      <c r="Q2861" s="85"/>
      <c r="R2861" s="89"/>
      <c r="U2861" s="11" t="str">
        <f t="shared" si="283"/>
        <v/>
      </c>
      <c r="V2861" s="12" t="str">
        <f t="shared" si="284"/>
        <v/>
      </c>
      <c r="Z2861" s="15"/>
    </row>
    <row r="2862" spans="1:26" x14ac:dyDescent="0.25">
      <c r="A2862" s="15" t="str">
        <f>IF(C2862="","",COUNTA($C$3:C2862))</f>
        <v/>
      </c>
      <c r="B2862" s="15" t="str">
        <f t="shared" si="285"/>
        <v/>
      </c>
      <c r="M2862" s="9"/>
      <c r="N2862" s="9"/>
      <c r="P2862" s="14"/>
      <c r="Q2862" s="85"/>
      <c r="R2862" s="89"/>
      <c r="U2862" s="11" t="str">
        <f t="shared" si="283"/>
        <v/>
      </c>
      <c r="V2862" s="12" t="str">
        <f t="shared" si="284"/>
        <v/>
      </c>
      <c r="Z2862" s="15"/>
    </row>
    <row r="2863" spans="1:26" x14ac:dyDescent="0.25">
      <c r="A2863" s="15" t="str">
        <f>IF(C2863="","",COUNTA($C$3:C2863))</f>
        <v/>
      </c>
      <c r="B2863" s="15" t="str">
        <f t="shared" si="285"/>
        <v/>
      </c>
      <c r="M2863" s="9"/>
      <c r="N2863" s="9"/>
      <c r="P2863" s="14"/>
      <c r="Q2863" s="85"/>
      <c r="R2863" s="89"/>
      <c r="U2863" s="11" t="str">
        <f t="shared" si="283"/>
        <v/>
      </c>
      <c r="V2863" s="12" t="str">
        <f t="shared" si="284"/>
        <v/>
      </c>
      <c r="Z2863" s="15"/>
    </row>
    <row r="2864" spans="1:26" x14ac:dyDescent="0.25">
      <c r="A2864" s="15" t="str">
        <f>IF(C2864="","",COUNTA($C$3:C2864))</f>
        <v/>
      </c>
      <c r="B2864" s="15" t="str">
        <f t="shared" si="285"/>
        <v/>
      </c>
      <c r="M2864" s="9"/>
      <c r="N2864" s="9"/>
      <c r="P2864" s="14"/>
      <c r="Q2864" s="85"/>
      <c r="R2864" s="89"/>
      <c r="U2864" s="11" t="str">
        <f t="shared" si="283"/>
        <v/>
      </c>
      <c r="V2864" s="12" t="str">
        <f t="shared" si="284"/>
        <v/>
      </c>
      <c r="Z2864" s="15"/>
    </row>
    <row r="2865" spans="1:26" x14ac:dyDescent="0.25">
      <c r="A2865" s="15" t="str">
        <f>IF(C2865="","",COUNTA($C$3:C2865))</f>
        <v/>
      </c>
      <c r="B2865" s="15" t="str">
        <f t="shared" si="285"/>
        <v/>
      </c>
      <c r="M2865" s="9"/>
      <c r="N2865" s="9"/>
      <c r="P2865" s="14"/>
      <c r="Q2865" s="85"/>
      <c r="R2865" s="89"/>
      <c r="U2865" s="11" t="str">
        <f t="shared" si="283"/>
        <v/>
      </c>
      <c r="V2865" s="12" t="str">
        <f t="shared" si="284"/>
        <v/>
      </c>
      <c r="Z2865" s="15"/>
    </row>
    <row r="2866" spans="1:26" x14ac:dyDescent="0.25">
      <c r="A2866" s="15" t="str">
        <f>IF(C2866="","",COUNTA($C$3:C2866))</f>
        <v/>
      </c>
      <c r="B2866" s="15" t="str">
        <f t="shared" si="285"/>
        <v/>
      </c>
      <c r="M2866" s="9"/>
      <c r="N2866" s="9"/>
      <c r="P2866" s="14"/>
      <c r="Q2866" s="85"/>
      <c r="R2866" s="89"/>
      <c r="U2866" s="11" t="str">
        <f t="shared" si="283"/>
        <v/>
      </c>
      <c r="V2866" s="12" t="str">
        <f t="shared" si="284"/>
        <v/>
      </c>
      <c r="Z2866" s="15"/>
    </row>
    <row r="2867" spans="1:26" x14ac:dyDescent="0.25">
      <c r="A2867" s="15" t="str">
        <f>IF(C2867="","",COUNTA($C$3:C2867))</f>
        <v/>
      </c>
      <c r="B2867" s="15" t="str">
        <f t="shared" si="285"/>
        <v/>
      </c>
      <c r="M2867" s="9"/>
      <c r="N2867" s="9"/>
      <c r="P2867" s="14"/>
      <c r="Q2867" s="85"/>
      <c r="R2867" s="89"/>
      <c r="U2867" s="11" t="str">
        <f t="shared" si="283"/>
        <v/>
      </c>
      <c r="V2867" s="12" t="str">
        <f t="shared" si="284"/>
        <v/>
      </c>
      <c r="Z2867" s="15"/>
    </row>
    <row r="2868" spans="1:26" x14ac:dyDescent="0.25">
      <c r="A2868" s="15" t="str">
        <f>IF(C2868="","",COUNTA($C$3:C2868))</f>
        <v/>
      </c>
      <c r="B2868" s="15" t="str">
        <f t="shared" si="285"/>
        <v/>
      </c>
      <c r="M2868" s="9"/>
      <c r="N2868" s="9"/>
      <c r="P2868" s="14"/>
      <c r="Q2868" s="85"/>
      <c r="R2868" s="89"/>
      <c r="U2868" s="11" t="str">
        <f t="shared" si="283"/>
        <v/>
      </c>
      <c r="V2868" s="12" t="str">
        <f t="shared" si="284"/>
        <v/>
      </c>
      <c r="Z2868" s="15"/>
    </row>
    <row r="2869" spans="1:26" x14ac:dyDescent="0.25">
      <c r="A2869" s="15" t="str">
        <f>IF(C2869="","",COUNTA($C$3:C2869))</f>
        <v/>
      </c>
      <c r="B2869" s="15" t="str">
        <f t="shared" si="285"/>
        <v/>
      </c>
      <c r="M2869" s="9"/>
      <c r="N2869" s="9"/>
      <c r="P2869" s="14"/>
      <c r="Q2869" s="85"/>
      <c r="R2869" s="89"/>
      <c r="U2869" s="11" t="str">
        <f t="shared" si="283"/>
        <v/>
      </c>
      <c r="V2869" s="12" t="str">
        <f t="shared" si="284"/>
        <v/>
      </c>
      <c r="Z2869" s="15"/>
    </row>
    <row r="2870" spans="1:26" x14ac:dyDescent="0.25">
      <c r="A2870" s="15" t="str">
        <f>IF(C2870="","",COUNTA($C$3:C2870))</f>
        <v/>
      </c>
      <c r="B2870" s="15" t="str">
        <f t="shared" si="285"/>
        <v/>
      </c>
      <c r="M2870" s="9"/>
      <c r="N2870" s="9"/>
      <c r="P2870" s="14"/>
      <c r="Q2870" s="85"/>
      <c r="R2870" s="89"/>
      <c r="U2870" s="11" t="str">
        <f t="shared" si="283"/>
        <v/>
      </c>
      <c r="V2870" s="12" t="str">
        <f t="shared" si="284"/>
        <v/>
      </c>
      <c r="Z2870" s="15"/>
    </row>
    <row r="2871" spans="1:26" x14ac:dyDescent="0.25">
      <c r="A2871" s="15" t="str">
        <f>IF(C2871="","",COUNTA($C$3:C2871))</f>
        <v/>
      </c>
      <c r="B2871" s="15" t="str">
        <f t="shared" si="285"/>
        <v/>
      </c>
      <c r="M2871" s="9"/>
      <c r="N2871" s="9"/>
      <c r="P2871" s="14"/>
      <c r="Q2871" s="85"/>
      <c r="R2871" s="89"/>
      <c r="U2871" s="11" t="str">
        <f t="shared" si="283"/>
        <v/>
      </c>
      <c r="V2871" s="12" t="str">
        <f t="shared" si="284"/>
        <v/>
      </c>
      <c r="Z2871" s="15"/>
    </row>
    <row r="2872" spans="1:26" x14ac:dyDescent="0.25">
      <c r="A2872" s="15" t="str">
        <f>IF(C2872="","",COUNTA($C$3:C2872))</f>
        <v/>
      </c>
      <c r="B2872" s="15" t="str">
        <f t="shared" si="285"/>
        <v/>
      </c>
      <c r="M2872" s="9"/>
      <c r="N2872" s="9"/>
      <c r="P2872" s="14"/>
      <c r="Q2872" s="85"/>
      <c r="R2872" s="89"/>
      <c r="U2872" s="11" t="str">
        <f t="shared" si="283"/>
        <v/>
      </c>
      <c r="V2872" s="12" t="str">
        <f t="shared" si="284"/>
        <v/>
      </c>
      <c r="Z2872" s="15"/>
    </row>
    <row r="2873" spans="1:26" x14ac:dyDescent="0.25">
      <c r="A2873" s="15" t="str">
        <f>IF(C2873="","",COUNTA($C$3:C2873))</f>
        <v/>
      </c>
      <c r="B2873" s="15" t="str">
        <f t="shared" si="285"/>
        <v/>
      </c>
      <c r="M2873" s="9"/>
      <c r="N2873" s="9"/>
      <c r="P2873" s="14"/>
      <c r="Q2873" s="85"/>
      <c r="R2873" s="89"/>
      <c r="U2873" s="11" t="str">
        <f t="shared" si="283"/>
        <v/>
      </c>
      <c r="V2873" s="12" t="str">
        <f t="shared" si="284"/>
        <v/>
      </c>
      <c r="Z2873" s="15"/>
    </row>
    <row r="2874" spans="1:26" x14ac:dyDescent="0.25">
      <c r="A2874" s="15" t="str">
        <f>IF(C2874="","",COUNTA($C$3:C2874))</f>
        <v/>
      </c>
      <c r="B2874" s="15" t="str">
        <f t="shared" si="285"/>
        <v/>
      </c>
      <c r="M2874" s="9"/>
      <c r="N2874" s="9"/>
      <c r="P2874" s="14"/>
      <c r="Q2874" s="85"/>
      <c r="R2874" s="89"/>
      <c r="U2874" s="11" t="str">
        <f t="shared" si="283"/>
        <v/>
      </c>
      <c r="V2874" s="12" t="str">
        <f t="shared" si="284"/>
        <v/>
      </c>
      <c r="Z2874" s="15"/>
    </row>
    <row r="2875" spans="1:26" x14ac:dyDescent="0.25">
      <c r="A2875" s="15" t="str">
        <f>IF(C2875="","",COUNTA($C$3:C2875))</f>
        <v/>
      </c>
      <c r="B2875" s="15" t="str">
        <f t="shared" si="285"/>
        <v/>
      </c>
      <c r="M2875" s="9"/>
      <c r="N2875" s="9"/>
      <c r="P2875" s="14"/>
      <c r="Q2875" s="85"/>
      <c r="R2875" s="89"/>
      <c r="U2875" s="11" t="str">
        <f t="shared" si="283"/>
        <v/>
      </c>
      <c r="V2875" s="12" t="str">
        <f t="shared" si="284"/>
        <v/>
      </c>
      <c r="Z2875" s="15"/>
    </row>
    <row r="2876" spans="1:26" x14ac:dyDescent="0.25">
      <c r="A2876" s="15" t="str">
        <f>IF(C2876="","",COUNTA($C$3:C2876))</f>
        <v/>
      </c>
      <c r="B2876" s="15" t="str">
        <f t="shared" si="285"/>
        <v/>
      </c>
      <c r="M2876" s="9"/>
      <c r="N2876" s="9"/>
      <c r="P2876" s="14"/>
      <c r="Q2876" s="85"/>
      <c r="R2876" s="89"/>
      <c r="U2876" s="11" t="str">
        <f t="shared" si="283"/>
        <v/>
      </c>
      <c r="V2876" s="12" t="str">
        <f t="shared" si="284"/>
        <v/>
      </c>
      <c r="Z2876" s="15"/>
    </row>
    <row r="2877" spans="1:26" x14ac:dyDescent="0.25">
      <c r="A2877" s="15" t="str">
        <f>IF(C2877="","",COUNTA($C$3:C2877))</f>
        <v/>
      </c>
      <c r="B2877" s="15" t="str">
        <f t="shared" si="285"/>
        <v/>
      </c>
      <c r="M2877" s="9"/>
      <c r="N2877" s="9"/>
      <c r="P2877" s="14"/>
      <c r="Q2877" s="85"/>
      <c r="R2877" s="89"/>
      <c r="U2877" s="11" t="str">
        <f t="shared" si="283"/>
        <v/>
      </c>
      <c r="V2877" s="12" t="str">
        <f t="shared" si="284"/>
        <v/>
      </c>
      <c r="Z2877" s="15"/>
    </row>
    <row r="2878" spans="1:26" x14ac:dyDescent="0.25">
      <c r="A2878" s="15" t="str">
        <f>IF(C2878="","",COUNTA($C$3:C2878))</f>
        <v/>
      </c>
      <c r="B2878" s="15" t="str">
        <f t="shared" si="285"/>
        <v/>
      </c>
      <c r="M2878" s="9"/>
      <c r="N2878" s="9"/>
      <c r="P2878" s="14"/>
      <c r="Q2878" s="85"/>
      <c r="R2878" s="89"/>
      <c r="U2878" s="11" t="str">
        <f t="shared" si="283"/>
        <v/>
      </c>
      <c r="V2878" s="12" t="str">
        <f t="shared" si="284"/>
        <v/>
      </c>
      <c r="Z2878" s="15"/>
    </row>
    <row r="2879" spans="1:26" x14ac:dyDescent="0.25">
      <c r="A2879" s="15" t="str">
        <f>IF(C2879="","",COUNTA($C$3:C2879))</f>
        <v/>
      </c>
      <c r="B2879" s="15" t="str">
        <f t="shared" si="285"/>
        <v/>
      </c>
      <c r="M2879" s="9"/>
      <c r="N2879" s="9"/>
      <c r="P2879" s="14"/>
      <c r="Q2879" s="85"/>
      <c r="R2879" s="89"/>
      <c r="U2879" s="11" t="str">
        <f t="shared" si="283"/>
        <v/>
      </c>
      <c r="V2879" s="12" t="str">
        <f t="shared" si="284"/>
        <v/>
      </c>
      <c r="Z2879" s="15"/>
    </row>
    <row r="2880" spans="1:26" x14ac:dyDescent="0.25">
      <c r="A2880" s="15" t="str">
        <f>IF(C2880="","",COUNTA($C$3:C2880))</f>
        <v/>
      </c>
      <c r="B2880" s="15" t="str">
        <f t="shared" si="285"/>
        <v/>
      </c>
      <c r="M2880" s="9"/>
      <c r="N2880" s="9"/>
      <c r="P2880" s="14"/>
      <c r="Q2880" s="85"/>
      <c r="R2880" s="89"/>
      <c r="U2880" s="11" t="str">
        <f t="shared" si="283"/>
        <v/>
      </c>
      <c r="V2880" s="12" t="str">
        <f t="shared" si="284"/>
        <v/>
      </c>
      <c r="Z2880" s="15"/>
    </row>
    <row r="2881" spans="1:26" x14ac:dyDescent="0.25">
      <c r="A2881" s="15" t="str">
        <f>IF(C2881="","",COUNTA($C$3:C2881))</f>
        <v/>
      </c>
      <c r="B2881" s="15" t="str">
        <f t="shared" si="285"/>
        <v/>
      </c>
      <c r="M2881" s="9"/>
      <c r="N2881" s="9"/>
      <c r="P2881" s="14"/>
      <c r="Q2881" s="85"/>
      <c r="R2881" s="89"/>
      <c r="U2881" s="11" t="str">
        <f t="shared" si="283"/>
        <v/>
      </c>
      <c r="V2881" s="12" t="str">
        <f t="shared" si="284"/>
        <v/>
      </c>
      <c r="Z2881" s="15"/>
    </row>
    <row r="2882" spans="1:26" x14ac:dyDescent="0.25">
      <c r="A2882" s="15" t="str">
        <f>IF(C2882="","",COUNTA($C$3:C2882))</f>
        <v/>
      </c>
      <c r="B2882" s="15" t="str">
        <f t="shared" si="285"/>
        <v/>
      </c>
      <c r="M2882" s="9"/>
      <c r="N2882" s="9"/>
      <c r="P2882" s="14"/>
      <c r="Q2882" s="85"/>
      <c r="R2882" s="89"/>
      <c r="U2882" s="11" t="str">
        <f t="shared" ref="U2882:U2945" si="286">IF(S2882="","",(S2882-T2882))</f>
        <v/>
      </c>
      <c r="V2882" s="12" t="str">
        <f t="shared" ref="V2882:V2945" si="287">IF(U2882="","",(U2882/T2882))</f>
        <v/>
      </c>
      <c r="Z2882" s="15"/>
    </row>
    <row r="2883" spans="1:26" x14ac:dyDescent="0.25">
      <c r="A2883" s="15" t="str">
        <f>IF(C2883="","",COUNTA($C$3:C2883))</f>
        <v/>
      </c>
      <c r="B2883" s="15" t="str">
        <f t="shared" ref="B2883:B2946" si="288">IF(C2883="","",TEXT(C2883,"mmmm"))</f>
        <v/>
      </c>
      <c r="M2883" s="9"/>
      <c r="N2883" s="9"/>
      <c r="P2883" s="14"/>
      <c r="Q2883" s="85"/>
      <c r="R2883" s="89"/>
      <c r="U2883" s="11" t="str">
        <f t="shared" si="286"/>
        <v/>
      </c>
      <c r="V2883" s="12" t="str">
        <f t="shared" si="287"/>
        <v/>
      </c>
      <c r="Z2883" s="15"/>
    </row>
    <row r="2884" spans="1:26" x14ac:dyDescent="0.25">
      <c r="A2884" s="15" t="str">
        <f>IF(C2884="","",COUNTA($C$3:C2884))</f>
        <v/>
      </c>
      <c r="B2884" s="15" t="str">
        <f t="shared" si="288"/>
        <v/>
      </c>
      <c r="M2884" s="9"/>
      <c r="N2884" s="9"/>
      <c r="P2884" s="14"/>
      <c r="Q2884" s="85"/>
      <c r="R2884" s="89"/>
      <c r="U2884" s="11" t="str">
        <f t="shared" si="286"/>
        <v/>
      </c>
      <c r="V2884" s="12" t="str">
        <f t="shared" si="287"/>
        <v/>
      </c>
      <c r="Z2884" s="15"/>
    </row>
    <row r="2885" spans="1:26" x14ac:dyDescent="0.25">
      <c r="A2885" s="15" t="str">
        <f>IF(C2885="","",COUNTA($C$3:C2885))</f>
        <v/>
      </c>
      <c r="B2885" s="15" t="str">
        <f t="shared" si="288"/>
        <v/>
      </c>
      <c r="M2885" s="9"/>
      <c r="N2885" s="9"/>
      <c r="P2885" s="14"/>
      <c r="Q2885" s="85"/>
      <c r="R2885" s="89"/>
      <c r="U2885" s="11" t="str">
        <f t="shared" si="286"/>
        <v/>
      </c>
      <c r="V2885" s="12" t="str">
        <f t="shared" si="287"/>
        <v/>
      </c>
      <c r="Z2885" s="15"/>
    </row>
    <row r="2886" spans="1:26" x14ac:dyDescent="0.25">
      <c r="A2886" s="15" t="str">
        <f>IF(C2886="","",COUNTA($C$3:C2886))</f>
        <v/>
      </c>
      <c r="B2886" s="15" t="str">
        <f t="shared" si="288"/>
        <v/>
      </c>
      <c r="M2886" s="9"/>
      <c r="N2886" s="9"/>
      <c r="P2886" s="14"/>
      <c r="Q2886" s="85"/>
      <c r="R2886" s="89"/>
      <c r="U2886" s="11" t="str">
        <f t="shared" si="286"/>
        <v/>
      </c>
      <c r="V2886" s="12" t="str">
        <f t="shared" si="287"/>
        <v/>
      </c>
      <c r="Z2886" s="15"/>
    </row>
    <row r="2887" spans="1:26" x14ac:dyDescent="0.25">
      <c r="A2887" s="15" t="str">
        <f>IF(C2887="","",COUNTA($C$3:C2887))</f>
        <v/>
      </c>
      <c r="B2887" s="15" t="str">
        <f t="shared" si="288"/>
        <v/>
      </c>
      <c r="M2887" s="9"/>
      <c r="N2887" s="9"/>
      <c r="P2887" s="14"/>
      <c r="Q2887" s="85"/>
      <c r="R2887" s="89"/>
      <c r="U2887" s="11" t="str">
        <f t="shared" si="286"/>
        <v/>
      </c>
      <c r="V2887" s="12" t="str">
        <f t="shared" si="287"/>
        <v/>
      </c>
      <c r="Z2887" s="15"/>
    </row>
    <row r="2888" spans="1:26" x14ac:dyDescent="0.25">
      <c r="A2888" s="15" t="str">
        <f>IF(C2888="","",COUNTA($C$3:C2888))</f>
        <v/>
      </c>
      <c r="B2888" s="15" t="str">
        <f t="shared" si="288"/>
        <v/>
      </c>
      <c r="M2888" s="9"/>
      <c r="N2888" s="9"/>
      <c r="P2888" s="14"/>
      <c r="Q2888" s="85"/>
      <c r="R2888" s="89"/>
      <c r="U2888" s="11" t="str">
        <f t="shared" si="286"/>
        <v/>
      </c>
      <c r="V2888" s="12" t="str">
        <f t="shared" si="287"/>
        <v/>
      </c>
      <c r="Z2888" s="15"/>
    </row>
    <row r="2889" spans="1:26" x14ac:dyDescent="0.25">
      <c r="A2889" s="15" t="str">
        <f>IF(C2889="","",COUNTA($C$3:C2889))</f>
        <v/>
      </c>
      <c r="B2889" s="15" t="str">
        <f t="shared" si="288"/>
        <v/>
      </c>
      <c r="M2889" s="9"/>
      <c r="N2889" s="9"/>
      <c r="P2889" s="14"/>
      <c r="Q2889" s="85"/>
      <c r="R2889" s="89"/>
      <c r="U2889" s="11" t="str">
        <f t="shared" si="286"/>
        <v/>
      </c>
      <c r="V2889" s="12" t="str">
        <f t="shared" si="287"/>
        <v/>
      </c>
      <c r="Z2889" s="15"/>
    </row>
    <row r="2890" spans="1:26" x14ac:dyDescent="0.25">
      <c r="A2890" s="15" t="str">
        <f>IF(C2890="","",COUNTA($C$3:C2890))</f>
        <v/>
      </c>
      <c r="B2890" s="15" t="str">
        <f t="shared" si="288"/>
        <v/>
      </c>
      <c r="M2890" s="9"/>
      <c r="N2890" s="9"/>
      <c r="P2890" s="14"/>
      <c r="Q2890" s="85"/>
      <c r="R2890" s="89"/>
      <c r="U2890" s="11" t="str">
        <f t="shared" si="286"/>
        <v/>
      </c>
      <c r="V2890" s="12" t="str">
        <f t="shared" si="287"/>
        <v/>
      </c>
      <c r="Z2890" s="15"/>
    </row>
    <row r="2891" spans="1:26" x14ac:dyDescent="0.25">
      <c r="A2891" s="15" t="str">
        <f>IF(C2891="","",COUNTA($C$3:C2891))</f>
        <v/>
      </c>
      <c r="B2891" s="15" t="str">
        <f t="shared" si="288"/>
        <v/>
      </c>
      <c r="M2891" s="9"/>
      <c r="N2891" s="9"/>
      <c r="P2891" s="14"/>
      <c r="Q2891" s="85"/>
      <c r="R2891" s="89"/>
      <c r="U2891" s="11" t="str">
        <f t="shared" si="286"/>
        <v/>
      </c>
      <c r="V2891" s="12" t="str">
        <f t="shared" si="287"/>
        <v/>
      </c>
      <c r="Z2891" s="15"/>
    </row>
    <row r="2892" spans="1:26" x14ac:dyDescent="0.25">
      <c r="A2892" s="15" t="str">
        <f>IF(C2892="","",COUNTA($C$3:C2892))</f>
        <v/>
      </c>
      <c r="B2892" s="15" t="str">
        <f t="shared" si="288"/>
        <v/>
      </c>
      <c r="M2892" s="9"/>
      <c r="N2892" s="9"/>
      <c r="P2892" s="14"/>
      <c r="Q2892" s="85"/>
      <c r="R2892" s="89"/>
      <c r="U2892" s="11" t="str">
        <f t="shared" si="286"/>
        <v/>
      </c>
      <c r="V2892" s="12" t="str">
        <f t="shared" si="287"/>
        <v/>
      </c>
      <c r="Z2892" s="15"/>
    </row>
    <row r="2893" spans="1:26" x14ac:dyDescent="0.25">
      <c r="A2893" s="15" t="str">
        <f>IF(C2893="","",COUNTA($C$3:C2893))</f>
        <v/>
      </c>
      <c r="B2893" s="15" t="str">
        <f t="shared" si="288"/>
        <v/>
      </c>
      <c r="M2893" s="9"/>
      <c r="N2893" s="9"/>
      <c r="P2893" s="14"/>
      <c r="Q2893" s="85"/>
      <c r="R2893" s="89"/>
      <c r="U2893" s="11" t="str">
        <f t="shared" si="286"/>
        <v/>
      </c>
      <c r="V2893" s="12" t="str">
        <f t="shared" si="287"/>
        <v/>
      </c>
      <c r="Z2893" s="15"/>
    </row>
    <row r="2894" spans="1:26" x14ac:dyDescent="0.25">
      <c r="A2894" s="15" t="str">
        <f>IF(C2894="","",COUNTA($C$3:C2894))</f>
        <v/>
      </c>
      <c r="B2894" s="15" t="str">
        <f t="shared" si="288"/>
        <v/>
      </c>
      <c r="M2894" s="9"/>
      <c r="N2894" s="9"/>
      <c r="P2894" s="14"/>
      <c r="Q2894" s="85"/>
      <c r="R2894" s="89"/>
      <c r="U2894" s="11" t="str">
        <f t="shared" si="286"/>
        <v/>
      </c>
      <c r="V2894" s="12" t="str">
        <f t="shared" si="287"/>
        <v/>
      </c>
      <c r="Z2894" s="15"/>
    </row>
    <row r="2895" spans="1:26" x14ac:dyDescent="0.25">
      <c r="A2895" s="15" t="str">
        <f>IF(C2895="","",COUNTA($C$3:C2895))</f>
        <v/>
      </c>
      <c r="B2895" s="15" t="str">
        <f t="shared" si="288"/>
        <v/>
      </c>
      <c r="M2895" s="9"/>
      <c r="N2895" s="9"/>
      <c r="P2895" s="14"/>
      <c r="Q2895" s="85"/>
      <c r="R2895" s="89"/>
      <c r="U2895" s="11" t="str">
        <f t="shared" si="286"/>
        <v/>
      </c>
      <c r="V2895" s="12" t="str">
        <f t="shared" si="287"/>
        <v/>
      </c>
      <c r="Z2895" s="15"/>
    </row>
    <row r="2896" spans="1:26" x14ac:dyDescent="0.25">
      <c r="A2896" s="15" t="str">
        <f>IF(C2896="","",COUNTA($C$3:C2896))</f>
        <v/>
      </c>
      <c r="B2896" s="15" t="str">
        <f t="shared" si="288"/>
        <v/>
      </c>
      <c r="M2896" s="9"/>
      <c r="N2896" s="9"/>
      <c r="P2896" s="14"/>
      <c r="Q2896" s="85"/>
      <c r="R2896" s="89"/>
      <c r="U2896" s="11" t="str">
        <f t="shared" si="286"/>
        <v/>
      </c>
      <c r="V2896" s="12" t="str">
        <f t="shared" si="287"/>
        <v/>
      </c>
      <c r="Z2896" s="15"/>
    </row>
    <row r="2897" spans="1:26" x14ac:dyDescent="0.25">
      <c r="A2897" s="15" t="str">
        <f>IF(C2897="","",COUNTA($C$3:C2897))</f>
        <v/>
      </c>
      <c r="B2897" s="15" t="str">
        <f t="shared" si="288"/>
        <v/>
      </c>
      <c r="M2897" s="9"/>
      <c r="N2897" s="9"/>
      <c r="P2897" s="14"/>
      <c r="Q2897" s="85"/>
      <c r="R2897" s="89"/>
      <c r="U2897" s="11" t="str">
        <f t="shared" si="286"/>
        <v/>
      </c>
      <c r="V2897" s="12" t="str">
        <f t="shared" si="287"/>
        <v/>
      </c>
      <c r="Z2897" s="15"/>
    </row>
    <row r="2898" spans="1:26" x14ac:dyDescent="0.25">
      <c r="A2898" s="15" t="str">
        <f>IF(C2898="","",COUNTA($C$3:C2898))</f>
        <v/>
      </c>
      <c r="B2898" s="15" t="str">
        <f t="shared" si="288"/>
        <v/>
      </c>
      <c r="M2898" s="9"/>
      <c r="N2898" s="9"/>
      <c r="P2898" s="14"/>
      <c r="Q2898" s="85"/>
      <c r="R2898" s="89"/>
      <c r="U2898" s="11" t="str">
        <f t="shared" si="286"/>
        <v/>
      </c>
      <c r="V2898" s="12" t="str">
        <f t="shared" si="287"/>
        <v/>
      </c>
      <c r="Z2898" s="15"/>
    </row>
    <row r="2899" spans="1:26" x14ac:dyDescent="0.25">
      <c r="A2899" s="15" t="str">
        <f>IF(C2899="","",COUNTA($C$3:C2899))</f>
        <v/>
      </c>
      <c r="B2899" s="15" t="str">
        <f t="shared" si="288"/>
        <v/>
      </c>
      <c r="M2899" s="9"/>
      <c r="N2899" s="9"/>
      <c r="P2899" s="14"/>
      <c r="Q2899" s="85"/>
      <c r="R2899" s="89"/>
      <c r="U2899" s="11" t="str">
        <f t="shared" si="286"/>
        <v/>
      </c>
      <c r="V2899" s="12" t="str">
        <f t="shared" si="287"/>
        <v/>
      </c>
      <c r="Z2899" s="15"/>
    </row>
    <row r="2900" spans="1:26" x14ac:dyDescent="0.25">
      <c r="A2900" s="15" t="str">
        <f>IF(C2900="","",COUNTA($C$3:C2900))</f>
        <v/>
      </c>
      <c r="B2900" s="15" t="str">
        <f t="shared" si="288"/>
        <v/>
      </c>
      <c r="M2900" s="9"/>
      <c r="N2900" s="9"/>
      <c r="P2900" s="14"/>
      <c r="Q2900" s="85"/>
      <c r="R2900" s="89"/>
      <c r="U2900" s="11" t="str">
        <f t="shared" si="286"/>
        <v/>
      </c>
      <c r="V2900" s="12" t="str">
        <f t="shared" si="287"/>
        <v/>
      </c>
      <c r="Z2900" s="15"/>
    </row>
    <row r="2901" spans="1:26" x14ac:dyDescent="0.25">
      <c r="A2901" s="15" t="str">
        <f>IF(C2901="","",COUNTA($C$3:C2901))</f>
        <v/>
      </c>
      <c r="B2901" s="15" t="str">
        <f t="shared" si="288"/>
        <v/>
      </c>
      <c r="M2901" s="9"/>
      <c r="N2901" s="9"/>
      <c r="P2901" s="14"/>
      <c r="Q2901" s="85"/>
      <c r="R2901" s="89"/>
      <c r="U2901" s="11" t="str">
        <f t="shared" si="286"/>
        <v/>
      </c>
      <c r="V2901" s="12" t="str">
        <f t="shared" si="287"/>
        <v/>
      </c>
      <c r="Z2901" s="15"/>
    </row>
    <row r="2902" spans="1:26" x14ac:dyDescent="0.25">
      <c r="A2902" s="15" t="str">
        <f>IF(C2902="","",COUNTA($C$3:C2902))</f>
        <v/>
      </c>
      <c r="B2902" s="15" t="str">
        <f t="shared" si="288"/>
        <v/>
      </c>
      <c r="M2902" s="9"/>
      <c r="N2902" s="9"/>
      <c r="P2902" s="14"/>
      <c r="Q2902" s="85"/>
      <c r="R2902" s="89"/>
      <c r="U2902" s="11" t="str">
        <f t="shared" si="286"/>
        <v/>
      </c>
      <c r="V2902" s="12" t="str">
        <f t="shared" si="287"/>
        <v/>
      </c>
      <c r="Z2902" s="15"/>
    </row>
    <row r="2903" spans="1:26" x14ac:dyDescent="0.25">
      <c r="A2903" s="15" t="str">
        <f>IF(C2903="","",COUNTA($C$3:C2903))</f>
        <v/>
      </c>
      <c r="B2903" s="15" t="str">
        <f t="shared" si="288"/>
        <v/>
      </c>
      <c r="M2903" s="9"/>
      <c r="N2903" s="9"/>
      <c r="P2903" s="14"/>
      <c r="Q2903" s="85"/>
      <c r="R2903" s="89"/>
      <c r="U2903" s="11" t="str">
        <f t="shared" si="286"/>
        <v/>
      </c>
      <c r="V2903" s="12" t="str">
        <f t="shared" si="287"/>
        <v/>
      </c>
      <c r="Z2903" s="15"/>
    </row>
    <row r="2904" spans="1:26" x14ac:dyDescent="0.25">
      <c r="A2904" s="15" t="str">
        <f>IF(C2904="","",COUNTA($C$3:C2904))</f>
        <v/>
      </c>
      <c r="B2904" s="15" t="str">
        <f t="shared" si="288"/>
        <v/>
      </c>
      <c r="M2904" s="9"/>
      <c r="N2904" s="9"/>
      <c r="P2904" s="14"/>
      <c r="Q2904" s="85"/>
      <c r="R2904" s="89"/>
      <c r="U2904" s="11" t="str">
        <f t="shared" si="286"/>
        <v/>
      </c>
      <c r="V2904" s="12" t="str">
        <f t="shared" si="287"/>
        <v/>
      </c>
      <c r="Z2904" s="15"/>
    </row>
    <row r="2905" spans="1:26" x14ac:dyDescent="0.25">
      <c r="A2905" s="15" t="str">
        <f>IF(C2905="","",COUNTA($C$3:C2905))</f>
        <v/>
      </c>
      <c r="B2905" s="15" t="str">
        <f t="shared" si="288"/>
        <v/>
      </c>
      <c r="M2905" s="9"/>
      <c r="N2905" s="9"/>
      <c r="P2905" s="14"/>
      <c r="Q2905" s="85"/>
      <c r="R2905" s="89"/>
      <c r="U2905" s="11" t="str">
        <f t="shared" si="286"/>
        <v/>
      </c>
      <c r="V2905" s="12" t="str">
        <f t="shared" si="287"/>
        <v/>
      </c>
      <c r="Z2905" s="15"/>
    </row>
    <row r="2906" spans="1:26" x14ac:dyDescent="0.25">
      <c r="A2906" s="15" t="str">
        <f>IF(C2906="","",COUNTA($C$3:C2906))</f>
        <v/>
      </c>
      <c r="B2906" s="15" t="str">
        <f t="shared" si="288"/>
        <v/>
      </c>
      <c r="M2906" s="9"/>
      <c r="N2906" s="9"/>
      <c r="P2906" s="14"/>
      <c r="Q2906" s="85"/>
      <c r="R2906" s="89"/>
      <c r="U2906" s="11" t="str">
        <f t="shared" si="286"/>
        <v/>
      </c>
      <c r="V2906" s="12" t="str">
        <f t="shared" si="287"/>
        <v/>
      </c>
      <c r="Z2906" s="15"/>
    </row>
    <row r="2907" spans="1:26" x14ac:dyDescent="0.25">
      <c r="A2907" s="15" t="str">
        <f>IF(C2907="","",COUNTA($C$3:C2907))</f>
        <v/>
      </c>
      <c r="B2907" s="15" t="str">
        <f t="shared" si="288"/>
        <v/>
      </c>
      <c r="M2907" s="9"/>
      <c r="N2907" s="9"/>
      <c r="P2907" s="14"/>
      <c r="Q2907" s="85"/>
      <c r="R2907" s="89"/>
      <c r="U2907" s="11" t="str">
        <f t="shared" si="286"/>
        <v/>
      </c>
      <c r="V2907" s="12" t="str">
        <f t="shared" si="287"/>
        <v/>
      </c>
      <c r="Z2907" s="15"/>
    </row>
    <row r="2908" spans="1:26" x14ac:dyDescent="0.25">
      <c r="A2908" s="15" t="str">
        <f>IF(C2908="","",COUNTA($C$3:C2908))</f>
        <v/>
      </c>
      <c r="B2908" s="15" t="str">
        <f t="shared" si="288"/>
        <v/>
      </c>
      <c r="M2908" s="9"/>
      <c r="N2908" s="9"/>
      <c r="P2908" s="14"/>
      <c r="Q2908" s="85"/>
      <c r="R2908" s="89"/>
      <c r="U2908" s="11" t="str">
        <f t="shared" si="286"/>
        <v/>
      </c>
      <c r="V2908" s="12" t="str">
        <f t="shared" si="287"/>
        <v/>
      </c>
      <c r="Z2908" s="15"/>
    </row>
    <row r="2909" spans="1:26" x14ac:dyDescent="0.25">
      <c r="A2909" s="15" t="str">
        <f>IF(C2909="","",COUNTA($C$3:C2909))</f>
        <v/>
      </c>
      <c r="B2909" s="15" t="str">
        <f t="shared" si="288"/>
        <v/>
      </c>
      <c r="M2909" s="9"/>
      <c r="N2909" s="9"/>
      <c r="P2909" s="14"/>
      <c r="Q2909" s="85"/>
      <c r="R2909" s="89"/>
      <c r="U2909" s="11" t="str">
        <f t="shared" si="286"/>
        <v/>
      </c>
      <c r="V2909" s="12" t="str">
        <f t="shared" si="287"/>
        <v/>
      </c>
      <c r="Z2909" s="15"/>
    </row>
    <row r="2910" spans="1:26" x14ac:dyDescent="0.25">
      <c r="A2910" s="15" t="str">
        <f>IF(C2910="","",COUNTA($C$3:C2910))</f>
        <v/>
      </c>
      <c r="B2910" s="15" t="str">
        <f t="shared" si="288"/>
        <v/>
      </c>
      <c r="M2910" s="9"/>
      <c r="N2910" s="9"/>
      <c r="P2910" s="14"/>
      <c r="Q2910" s="85"/>
      <c r="R2910" s="89"/>
      <c r="U2910" s="11" t="str">
        <f t="shared" si="286"/>
        <v/>
      </c>
      <c r="V2910" s="12" t="str">
        <f t="shared" si="287"/>
        <v/>
      </c>
      <c r="Z2910" s="15"/>
    </row>
    <row r="2911" spans="1:26" x14ac:dyDescent="0.25">
      <c r="A2911" s="15" t="str">
        <f>IF(C2911="","",COUNTA($C$3:C2911))</f>
        <v/>
      </c>
      <c r="B2911" s="15" t="str">
        <f t="shared" si="288"/>
        <v/>
      </c>
      <c r="M2911" s="9"/>
      <c r="N2911" s="9"/>
      <c r="P2911" s="14"/>
      <c r="Q2911" s="85"/>
      <c r="R2911" s="89"/>
      <c r="U2911" s="11" t="str">
        <f t="shared" si="286"/>
        <v/>
      </c>
      <c r="V2911" s="12" t="str">
        <f t="shared" si="287"/>
        <v/>
      </c>
      <c r="Z2911" s="15"/>
    </row>
    <row r="2912" spans="1:26" x14ac:dyDescent="0.25">
      <c r="A2912" s="15" t="str">
        <f>IF(C2912="","",COUNTA($C$3:C2912))</f>
        <v/>
      </c>
      <c r="B2912" s="15" t="str">
        <f t="shared" si="288"/>
        <v/>
      </c>
      <c r="M2912" s="9"/>
      <c r="N2912" s="9"/>
      <c r="P2912" s="14"/>
      <c r="Q2912" s="85"/>
      <c r="R2912" s="89"/>
      <c r="U2912" s="11" t="str">
        <f t="shared" si="286"/>
        <v/>
      </c>
      <c r="V2912" s="12" t="str">
        <f t="shared" si="287"/>
        <v/>
      </c>
      <c r="Z2912" s="15"/>
    </row>
    <row r="2913" spans="1:26" x14ac:dyDescent="0.25">
      <c r="A2913" s="15" t="str">
        <f>IF(C2913="","",COUNTA($C$3:C2913))</f>
        <v/>
      </c>
      <c r="B2913" s="15" t="str">
        <f t="shared" si="288"/>
        <v/>
      </c>
      <c r="M2913" s="9"/>
      <c r="N2913" s="9"/>
      <c r="P2913" s="14"/>
      <c r="Q2913" s="85"/>
      <c r="R2913" s="89"/>
      <c r="U2913" s="11" t="str">
        <f t="shared" si="286"/>
        <v/>
      </c>
      <c r="V2913" s="12" t="str">
        <f t="shared" si="287"/>
        <v/>
      </c>
      <c r="Z2913" s="15"/>
    </row>
    <row r="2914" spans="1:26" x14ac:dyDescent="0.25">
      <c r="A2914" s="15" t="str">
        <f>IF(C2914="","",COUNTA($C$3:C2914))</f>
        <v/>
      </c>
      <c r="B2914" s="15" t="str">
        <f t="shared" si="288"/>
        <v/>
      </c>
      <c r="M2914" s="9"/>
      <c r="N2914" s="9"/>
      <c r="P2914" s="14"/>
      <c r="Q2914" s="85"/>
      <c r="R2914" s="89"/>
      <c r="U2914" s="11" t="str">
        <f t="shared" si="286"/>
        <v/>
      </c>
      <c r="V2914" s="12" t="str">
        <f t="shared" si="287"/>
        <v/>
      </c>
      <c r="Z2914" s="15"/>
    </row>
    <row r="2915" spans="1:26" x14ac:dyDescent="0.25">
      <c r="A2915" s="15" t="str">
        <f>IF(C2915="","",COUNTA($C$3:C2915))</f>
        <v/>
      </c>
      <c r="B2915" s="15" t="str">
        <f t="shared" si="288"/>
        <v/>
      </c>
      <c r="M2915" s="9"/>
      <c r="N2915" s="9"/>
      <c r="P2915" s="14"/>
      <c r="Q2915" s="85"/>
      <c r="R2915" s="89"/>
      <c r="U2915" s="11" t="str">
        <f t="shared" si="286"/>
        <v/>
      </c>
      <c r="V2915" s="12" t="str">
        <f t="shared" si="287"/>
        <v/>
      </c>
      <c r="Z2915" s="15"/>
    </row>
    <row r="2916" spans="1:26" x14ac:dyDescent="0.25">
      <c r="A2916" s="15" t="str">
        <f>IF(C2916="","",COUNTA($C$3:C2916))</f>
        <v/>
      </c>
      <c r="B2916" s="15" t="str">
        <f t="shared" si="288"/>
        <v/>
      </c>
      <c r="M2916" s="9"/>
      <c r="N2916" s="9"/>
      <c r="P2916" s="14"/>
      <c r="Q2916" s="85"/>
      <c r="R2916" s="89"/>
      <c r="U2916" s="11" t="str">
        <f t="shared" si="286"/>
        <v/>
      </c>
      <c r="V2916" s="12" t="str">
        <f t="shared" si="287"/>
        <v/>
      </c>
      <c r="Z2916" s="15"/>
    </row>
    <row r="2917" spans="1:26" x14ac:dyDescent="0.25">
      <c r="A2917" s="15" t="str">
        <f>IF(C2917="","",COUNTA($C$3:C2917))</f>
        <v/>
      </c>
      <c r="B2917" s="15" t="str">
        <f t="shared" si="288"/>
        <v/>
      </c>
      <c r="M2917" s="9"/>
      <c r="N2917" s="9"/>
      <c r="P2917" s="14"/>
      <c r="Q2917" s="85"/>
      <c r="R2917" s="89"/>
      <c r="U2917" s="11" t="str">
        <f t="shared" si="286"/>
        <v/>
      </c>
      <c r="V2917" s="12" t="str">
        <f t="shared" si="287"/>
        <v/>
      </c>
      <c r="Z2917" s="15"/>
    </row>
    <row r="2918" spans="1:26" x14ac:dyDescent="0.25">
      <c r="A2918" s="15" t="str">
        <f>IF(C2918="","",COUNTA($C$3:C2918))</f>
        <v/>
      </c>
      <c r="B2918" s="15" t="str">
        <f t="shared" si="288"/>
        <v/>
      </c>
      <c r="M2918" s="9"/>
      <c r="N2918" s="9"/>
      <c r="P2918" s="14"/>
      <c r="Q2918" s="85"/>
      <c r="R2918" s="89"/>
      <c r="U2918" s="11" t="str">
        <f t="shared" si="286"/>
        <v/>
      </c>
      <c r="V2918" s="12" t="str">
        <f t="shared" si="287"/>
        <v/>
      </c>
      <c r="Z2918" s="15"/>
    </row>
    <row r="2919" spans="1:26" x14ac:dyDescent="0.25">
      <c r="A2919" s="15" t="str">
        <f>IF(C2919="","",COUNTA($C$3:C2919))</f>
        <v/>
      </c>
      <c r="B2919" s="15" t="str">
        <f t="shared" si="288"/>
        <v/>
      </c>
      <c r="M2919" s="9"/>
      <c r="N2919" s="9"/>
      <c r="P2919" s="14"/>
      <c r="Q2919" s="85"/>
      <c r="R2919" s="89"/>
      <c r="U2919" s="11" t="str">
        <f t="shared" si="286"/>
        <v/>
      </c>
      <c r="V2919" s="12" t="str">
        <f t="shared" si="287"/>
        <v/>
      </c>
      <c r="Z2919" s="15"/>
    </row>
    <row r="2920" spans="1:26" x14ac:dyDescent="0.25">
      <c r="A2920" s="15" t="str">
        <f>IF(C2920="","",COUNTA($C$3:C2920))</f>
        <v/>
      </c>
      <c r="B2920" s="15" t="str">
        <f t="shared" si="288"/>
        <v/>
      </c>
      <c r="M2920" s="9"/>
      <c r="N2920" s="9"/>
      <c r="P2920" s="14"/>
      <c r="Q2920" s="85"/>
      <c r="R2920" s="89"/>
      <c r="U2920" s="11" t="str">
        <f t="shared" si="286"/>
        <v/>
      </c>
      <c r="V2920" s="12" t="str">
        <f t="shared" si="287"/>
        <v/>
      </c>
      <c r="Z2920" s="15"/>
    </row>
    <row r="2921" spans="1:26" x14ac:dyDescent="0.25">
      <c r="A2921" s="15" t="str">
        <f>IF(C2921="","",COUNTA($C$3:C2921))</f>
        <v/>
      </c>
      <c r="B2921" s="15" t="str">
        <f t="shared" si="288"/>
        <v/>
      </c>
      <c r="M2921" s="9"/>
      <c r="N2921" s="9"/>
      <c r="P2921" s="14"/>
      <c r="Q2921" s="85"/>
      <c r="R2921" s="89"/>
      <c r="U2921" s="11" t="str">
        <f t="shared" si="286"/>
        <v/>
      </c>
      <c r="V2921" s="12" t="str">
        <f t="shared" si="287"/>
        <v/>
      </c>
      <c r="Z2921" s="15"/>
    </row>
    <row r="2922" spans="1:26" x14ac:dyDescent="0.25">
      <c r="A2922" s="15" t="str">
        <f>IF(C2922="","",COUNTA($C$3:C2922))</f>
        <v/>
      </c>
      <c r="B2922" s="15" t="str">
        <f t="shared" si="288"/>
        <v/>
      </c>
      <c r="M2922" s="9"/>
      <c r="N2922" s="9"/>
      <c r="P2922" s="14"/>
      <c r="Q2922" s="85"/>
      <c r="R2922" s="89"/>
      <c r="U2922" s="11" t="str">
        <f t="shared" si="286"/>
        <v/>
      </c>
      <c r="V2922" s="12" t="str">
        <f t="shared" si="287"/>
        <v/>
      </c>
      <c r="Z2922" s="15"/>
    </row>
    <row r="2923" spans="1:26" x14ac:dyDescent="0.25">
      <c r="A2923" s="15" t="str">
        <f>IF(C2923="","",COUNTA($C$3:C2923))</f>
        <v/>
      </c>
      <c r="B2923" s="15" t="str">
        <f t="shared" si="288"/>
        <v/>
      </c>
      <c r="M2923" s="9"/>
      <c r="N2923" s="9"/>
      <c r="P2923" s="14"/>
      <c r="Q2923" s="85"/>
      <c r="R2923" s="89"/>
      <c r="U2923" s="11" t="str">
        <f t="shared" si="286"/>
        <v/>
      </c>
      <c r="V2923" s="12" t="str">
        <f t="shared" si="287"/>
        <v/>
      </c>
      <c r="Z2923" s="15"/>
    </row>
    <row r="2924" spans="1:26" x14ac:dyDescent="0.25">
      <c r="A2924" s="15" t="str">
        <f>IF(C2924="","",COUNTA($C$3:C2924))</f>
        <v/>
      </c>
      <c r="B2924" s="15" t="str">
        <f t="shared" si="288"/>
        <v/>
      </c>
      <c r="M2924" s="9"/>
      <c r="N2924" s="9"/>
      <c r="P2924" s="14"/>
      <c r="Q2924" s="85"/>
      <c r="R2924" s="89"/>
      <c r="U2924" s="11" t="str">
        <f t="shared" si="286"/>
        <v/>
      </c>
      <c r="V2924" s="12" t="str">
        <f t="shared" si="287"/>
        <v/>
      </c>
      <c r="Z2924" s="15"/>
    </row>
    <row r="2925" spans="1:26" x14ac:dyDescent="0.25">
      <c r="A2925" s="15" t="str">
        <f>IF(C2925="","",COUNTA($C$3:C2925))</f>
        <v/>
      </c>
      <c r="B2925" s="15" t="str">
        <f t="shared" si="288"/>
        <v/>
      </c>
      <c r="M2925" s="9"/>
      <c r="N2925" s="9"/>
      <c r="P2925" s="14"/>
      <c r="Q2925" s="85"/>
      <c r="R2925" s="89"/>
      <c r="U2925" s="11" t="str">
        <f t="shared" si="286"/>
        <v/>
      </c>
      <c r="V2925" s="12" t="str">
        <f t="shared" si="287"/>
        <v/>
      </c>
      <c r="Z2925" s="15"/>
    </row>
    <row r="2926" spans="1:26" x14ac:dyDescent="0.25">
      <c r="A2926" s="15" t="str">
        <f>IF(C2926="","",COUNTA($C$3:C2926))</f>
        <v/>
      </c>
      <c r="B2926" s="15" t="str">
        <f t="shared" si="288"/>
        <v/>
      </c>
      <c r="M2926" s="9"/>
      <c r="N2926" s="9"/>
      <c r="P2926" s="14"/>
      <c r="Q2926" s="85"/>
      <c r="R2926" s="89"/>
      <c r="U2926" s="11" t="str">
        <f t="shared" si="286"/>
        <v/>
      </c>
      <c r="V2926" s="12" t="str">
        <f t="shared" si="287"/>
        <v/>
      </c>
      <c r="Z2926" s="15"/>
    </row>
    <row r="2927" spans="1:26" x14ac:dyDescent="0.25">
      <c r="A2927" s="15" t="str">
        <f>IF(C2927="","",COUNTA($C$3:C2927))</f>
        <v/>
      </c>
      <c r="B2927" s="15" t="str">
        <f t="shared" si="288"/>
        <v/>
      </c>
      <c r="M2927" s="9"/>
      <c r="N2927" s="9"/>
      <c r="P2927" s="14"/>
      <c r="Q2927" s="85"/>
      <c r="R2927" s="89"/>
      <c r="U2927" s="11" t="str">
        <f t="shared" si="286"/>
        <v/>
      </c>
      <c r="V2927" s="12" t="str">
        <f t="shared" si="287"/>
        <v/>
      </c>
      <c r="Z2927" s="15"/>
    </row>
    <row r="2928" spans="1:26" x14ac:dyDescent="0.25">
      <c r="A2928" s="15" t="str">
        <f>IF(C2928="","",COUNTA($C$3:C2928))</f>
        <v/>
      </c>
      <c r="B2928" s="15" t="str">
        <f t="shared" si="288"/>
        <v/>
      </c>
      <c r="M2928" s="9"/>
      <c r="N2928" s="9"/>
      <c r="P2928" s="14"/>
      <c r="Q2928" s="85"/>
      <c r="R2928" s="89"/>
      <c r="U2928" s="11" t="str">
        <f t="shared" si="286"/>
        <v/>
      </c>
      <c r="V2928" s="12" t="str">
        <f t="shared" si="287"/>
        <v/>
      </c>
      <c r="Z2928" s="15"/>
    </row>
    <row r="2929" spans="1:26" x14ac:dyDescent="0.25">
      <c r="A2929" s="15" t="str">
        <f>IF(C2929="","",COUNTA($C$3:C2929))</f>
        <v/>
      </c>
      <c r="B2929" s="15" t="str">
        <f t="shared" si="288"/>
        <v/>
      </c>
      <c r="M2929" s="9"/>
      <c r="N2929" s="9"/>
      <c r="P2929" s="14"/>
      <c r="Q2929" s="85"/>
      <c r="R2929" s="89"/>
      <c r="U2929" s="11" t="str">
        <f t="shared" si="286"/>
        <v/>
      </c>
      <c r="V2929" s="12" t="str">
        <f t="shared" si="287"/>
        <v/>
      </c>
      <c r="Z2929" s="15"/>
    </row>
    <row r="2930" spans="1:26" x14ac:dyDescent="0.25">
      <c r="A2930" s="15" t="str">
        <f>IF(C2930="","",COUNTA($C$3:C2930))</f>
        <v/>
      </c>
      <c r="B2930" s="15" t="str">
        <f t="shared" si="288"/>
        <v/>
      </c>
      <c r="M2930" s="9"/>
      <c r="N2930" s="9"/>
      <c r="P2930" s="14"/>
      <c r="Q2930" s="85"/>
      <c r="R2930" s="89"/>
      <c r="U2930" s="11" t="str">
        <f t="shared" si="286"/>
        <v/>
      </c>
      <c r="V2930" s="12" t="str">
        <f t="shared" si="287"/>
        <v/>
      </c>
      <c r="Z2930" s="15"/>
    </row>
    <row r="2931" spans="1:26" x14ac:dyDescent="0.25">
      <c r="A2931" s="15" t="str">
        <f>IF(C2931="","",COUNTA($C$3:C2931))</f>
        <v/>
      </c>
      <c r="B2931" s="15" t="str">
        <f t="shared" si="288"/>
        <v/>
      </c>
      <c r="M2931" s="9"/>
      <c r="N2931" s="9"/>
      <c r="P2931" s="14"/>
      <c r="Q2931" s="85"/>
      <c r="R2931" s="89"/>
      <c r="U2931" s="11" t="str">
        <f t="shared" si="286"/>
        <v/>
      </c>
      <c r="V2931" s="12" t="str">
        <f t="shared" si="287"/>
        <v/>
      </c>
      <c r="Z2931" s="15"/>
    </row>
    <row r="2932" spans="1:26" x14ac:dyDescent="0.25">
      <c r="A2932" s="15" t="str">
        <f>IF(C2932="","",COUNTA($C$3:C2932))</f>
        <v/>
      </c>
      <c r="B2932" s="15" t="str">
        <f t="shared" si="288"/>
        <v/>
      </c>
      <c r="M2932" s="9"/>
      <c r="N2932" s="9"/>
      <c r="P2932" s="14"/>
      <c r="Q2932" s="85"/>
      <c r="R2932" s="89"/>
      <c r="U2932" s="11" t="str">
        <f t="shared" si="286"/>
        <v/>
      </c>
      <c r="V2932" s="12" t="str">
        <f t="shared" si="287"/>
        <v/>
      </c>
      <c r="Z2932" s="15"/>
    </row>
    <row r="2933" spans="1:26" x14ac:dyDescent="0.25">
      <c r="A2933" s="15" t="str">
        <f>IF(C2933="","",COUNTA($C$3:C2933))</f>
        <v/>
      </c>
      <c r="B2933" s="15" t="str">
        <f t="shared" si="288"/>
        <v/>
      </c>
      <c r="M2933" s="9"/>
      <c r="N2933" s="9"/>
      <c r="P2933" s="14"/>
      <c r="Q2933" s="85"/>
      <c r="R2933" s="89"/>
      <c r="U2933" s="11" t="str">
        <f t="shared" si="286"/>
        <v/>
      </c>
      <c r="V2933" s="12" t="str">
        <f t="shared" si="287"/>
        <v/>
      </c>
      <c r="Z2933" s="15"/>
    </row>
    <row r="2934" spans="1:26" x14ac:dyDescent="0.25">
      <c r="A2934" s="15" t="str">
        <f>IF(C2934="","",COUNTA($C$3:C2934))</f>
        <v/>
      </c>
      <c r="B2934" s="15" t="str">
        <f t="shared" si="288"/>
        <v/>
      </c>
      <c r="M2934" s="9"/>
      <c r="N2934" s="9"/>
      <c r="P2934" s="14"/>
      <c r="Q2934" s="85"/>
      <c r="R2934" s="89"/>
      <c r="U2934" s="11" t="str">
        <f t="shared" si="286"/>
        <v/>
      </c>
      <c r="V2934" s="12" t="str">
        <f t="shared" si="287"/>
        <v/>
      </c>
      <c r="Z2934" s="15"/>
    </row>
    <row r="2935" spans="1:26" x14ac:dyDescent="0.25">
      <c r="A2935" s="15" t="str">
        <f>IF(C2935="","",COUNTA($C$3:C2935))</f>
        <v/>
      </c>
      <c r="B2935" s="15" t="str">
        <f t="shared" si="288"/>
        <v/>
      </c>
      <c r="M2935" s="9"/>
      <c r="N2935" s="9"/>
      <c r="P2935" s="14"/>
      <c r="Q2935" s="85"/>
      <c r="R2935" s="89"/>
      <c r="U2935" s="11" t="str">
        <f t="shared" si="286"/>
        <v/>
      </c>
      <c r="V2935" s="12" t="str">
        <f t="shared" si="287"/>
        <v/>
      </c>
      <c r="Z2935" s="15"/>
    </row>
    <row r="2936" spans="1:26" x14ac:dyDescent="0.25">
      <c r="A2936" s="15" t="str">
        <f>IF(C2936="","",COUNTA($C$3:C2936))</f>
        <v/>
      </c>
      <c r="B2936" s="15" t="str">
        <f t="shared" si="288"/>
        <v/>
      </c>
      <c r="M2936" s="9"/>
      <c r="N2936" s="9"/>
      <c r="P2936" s="14"/>
      <c r="Q2936" s="85"/>
      <c r="R2936" s="89"/>
      <c r="U2936" s="11" t="str">
        <f t="shared" si="286"/>
        <v/>
      </c>
      <c r="V2936" s="12" t="str">
        <f t="shared" si="287"/>
        <v/>
      </c>
      <c r="Z2936" s="15"/>
    </row>
    <row r="2937" spans="1:26" x14ac:dyDescent="0.25">
      <c r="A2937" s="15" t="str">
        <f>IF(C2937="","",COUNTA($C$3:C2937))</f>
        <v/>
      </c>
      <c r="B2937" s="15" t="str">
        <f t="shared" si="288"/>
        <v/>
      </c>
      <c r="M2937" s="9"/>
      <c r="N2937" s="9"/>
      <c r="P2937" s="14"/>
      <c r="Q2937" s="85"/>
      <c r="R2937" s="89"/>
      <c r="U2937" s="11" t="str">
        <f t="shared" si="286"/>
        <v/>
      </c>
      <c r="V2937" s="12" t="str">
        <f t="shared" si="287"/>
        <v/>
      </c>
      <c r="Z2937" s="15"/>
    </row>
    <row r="2938" spans="1:26" x14ac:dyDescent="0.25">
      <c r="A2938" s="15" t="str">
        <f>IF(C2938="","",COUNTA($C$3:C2938))</f>
        <v/>
      </c>
      <c r="B2938" s="15" t="str">
        <f t="shared" si="288"/>
        <v/>
      </c>
      <c r="M2938" s="9"/>
      <c r="N2938" s="9"/>
      <c r="P2938" s="14"/>
      <c r="Q2938" s="85"/>
      <c r="R2938" s="89"/>
      <c r="U2938" s="11" t="str">
        <f t="shared" si="286"/>
        <v/>
      </c>
      <c r="V2938" s="12" t="str">
        <f t="shared" si="287"/>
        <v/>
      </c>
      <c r="Z2938" s="15"/>
    </row>
    <row r="2939" spans="1:26" x14ac:dyDescent="0.25">
      <c r="A2939" s="15" t="str">
        <f>IF(C2939="","",COUNTA($C$3:C2939))</f>
        <v/>
      </c>
      <c r="B2939" s="15" t="str">
        <f t="shared" si="288"/>
        <v/>
      </c>
      <c r="M2939" s="9"/>
      <c r="N2939" s="9"/>
      <c r="P2939" s="14"/>
      <c r="Q2939" s="85"/>
      <c r="R2939" s="89"/>
      <c r="U2939" s="11" t="str">
        <f t="shared" si="286"/>
        <v/>
      </c>
      <c r="V2939" s="12" t="str">
        <f t="shared" si="287"/>
        <v/>
      </c>
      <c r="Z2939" s="15"/>
    </row>
    <row r="2940" spans="1:26" x14ac:dyDescent="0.25">
      <c r="A2940" s="15" t="str">
        <f>IF(C2940="","",COUNTA($C$3:C2940))</f>
        <v/>
      </c>
      <c r="B2940" s="15" t="str">
        <f t="shared" si="288"/>
        <v/>
      </c>
      <c r="M2940" s="9"/>
      <c r="N2940" s="9"/>
      <c r="P2940" s="14"/>
      <c r="Q2940" s="85"/>
      <c r="R2940" s="89"/>
      <c r="U2940" s="11" t="str">
        <f t="shared" si="286"/>
        <v/>
      </c>
      <c r="V2940" s="12" t="str">
        <f t="shared" si="287"/>
        <v/>
      </c>
      <c r="Z2940" s="15"/>
    </row>
    <row r="2941" spans="1:26" x14ac:dyDescent="0.25">
      <c r="A2941" s="15" t="str">
        <f>IF(C2941="","",COUNTA($C$3:C2941))</f>
        <v/>
      </c>
      <c r="B2941" s="15" t="str">
        <f t="shared" si="288"/>
        <v/>
      </c>
      <c r="M2941" s="9"/>
      <c r="N2941" s="9"/>
      <c r="P2941" s="14"/>
      <c r="Q2941" s="85"/>
      <c r="R2941" s="89"/>
      <c r="U2941" s="11" t="str">
        <f t="shared" si="286"/>
        <v/>
      </c>
      <c r="V2941" s="12" t="str">
        <f t="shared" si="287"/>
        <v/>
      </c>
      <c r="Z2941" s="15"/>
    </row>
    <row r="2942" spans="1:26" x14ac:dyDescent="0.25">
      <c r="A2942" s="15" t="str">
        <f>IF(C2942="","",COUNTA($C$3:C2942))</f>
        <v/>
      </c>
      <c r="B2942" s="15" t="str">
        <f t="shared" si="288"/>
        <v/>
      </c>
      <c r="M2942" s="9"/>
      <c r="N2942" s="9"/>
      <c r="P2942" s="14"/>
      <c r="Q2942" s="85"/>
      <c r="R2942" s="89"/>
      <c r="U2942" s="11" t="str">
        <f t="shared" si="286"/>
        <v/>
      </c>
      <c r="V2942" s="12" t="str">
        <f t="shared" si="287"/>
        <v/>
      </c>
      <c r="Z2942" s="15"/>
    </row>
    <row r="2943" spans="1:26" x14ac:dyDescent="0.25">
      <c r="A2943" s="15" t="str">
        <f>IF(C2943="","",COUNTA($C$3:C2943))</f>
        <v/>
      </c>
      <c r="B2943" s="15" t="str">
        <f t="shared" si="288"/>
        <v/>
      </c>
      <c r="M2943" s="9"/>
      <c r="N2943" s="9"/>
      <c r="P2943" s="14"/>
      <c r="Q2943" s="85"/>
      <c r="R2943" s="89"/>
      <c r="U2943" s="11" t="str">
        <f t="shared" si="286"/>
        <v/>
      </c>
      <c r="V2943" s="12" t="str">
        <f t="shared" si="287"/>
        <v/>
      </c>
      <c r="Z2943" s="15"/>
    </row>
    <row r="2944" spans="1:26" x14ac:dyDescent="0.25">
      <c r="A2944" s="15" t="str">
        <f>IF(C2944="","",COUNTA($C$3:C2944))</f>
        <v/>
      </c>
      <c r="B2944" s="15" t="str">
        <f t="shared" si="288"/>
        <v/>
      </c>
      <c r="M2944" s="9"/>
      <c r="N2944" s="9"/>
      <c r="P2944" s="14"/>
      <c r="Q2944" s="85"/>
      <c r="R2944" s="89"/>
      <c r="U2944" s="11" t="str">
        <f t="shared" si="286"/>
        <v/>
      </c>
      <c r="V2944" s="12" t="str">
        <f t="shared" si="287"/>
        <v/>
      </c>
      <c r="Z2944" s="15"/>
    </row>
    <row r="2945" spans="1:26" x14ac:dyDescent="0.25">
      <c r="A2945" s="15" t="str">
        <f>IF(C2945="","",COUNTA($C$3:C2945))</f>
        <v/>
      </c>
      <c r="B2945" s="15" t="str">
        <f t="shared" si="288"/>
        <v/>
      </c>
      <c r="M2945" s="9"/>
      <c r="N2945" s="9"/>
      <c r="P2945" s="14"/>
      <c r="Q2945" s="85"/>
      <c r="R2945" s="89"/>
      <c r="U2945" s="11" t="str">
        <f t="shared" si="286"/>
        <v/>
      </c>
      <c r="V2945" s="12" t="str">
        <f t="shared" si="287"/>
        <v/>
      </c>
      <c r="Z2945" s="15"/>
    </row>
    <row r="2946" spans="1:26" x14ac:dyDescent="0.25">
      <c r="A2946" s="15" t="str">
        <f>IF(C2946="","",COUNTA($C$3:C2946))</f>
        <v/>
      </c>
      <c r="B2946" s="15" t="str">
        <f t="shared" si="288"/>
        <v/>
      </c>
      <c r="M2946" s="9"/>
      <c r="N2946" s="9"/>
      <c r="P2946" s="14"/>
      <c r="Q2946" s="85"/>
      <c r="R2946" s="89"/>
      <c r="U2946" s="11" t="str">
        <f t="shared" ref="U2946:U3009" si="289">IF(S2946="","",(S2946-T2946))</f>
        <v/>
      </c>
      <c r="V2946" s="12" t="str">
        <f t="shared" ref="V2946:V3009" si="290">IF(U2946="","",(U2946/T2946))</f>
        <v/>
      </c>
      <c r="Z2946" s="15"/>
    </row>
    <row r="2947" spans="1:26" x14ac:dyDescent="0.25">
      <c r="A2947" s="15" t="str">
        <f>IF(C2947="","",COUNTA($C$3:C2947))</f>
        <v/>
      </c>
      <c r="B2947" s="15" t="str">
        <f t="shared" ref="B2947:B3010" si="291">IF(C2947="","",TEXT(C2947,"mmmm"))</f>
        <v/>
      </c>
      <c r="M2947" s="9"/>
      <c r="N2947" s="9"/>
      <c r="P2947" s="14"/>
      <c r="Q2947" s="85"/>
      <c r="R2947" s="89"/>
      <c r="U2947" s="11" t="str">
        <f t="shared" si="289"/>
        <v/>
      </c>
      <c r="V2947" s="12" t="str">
        <f t="shared" si="290"/>
        <v/>
      </c>
      <c r="Z2947" s="15"/>
    </row>
    <row r="2948" spans="1:26" x14ac:dyDescent="0.25">
      <c r="A2948" s="15" t="str">
        <f>IF(C2948="","",COUNTA($C$3:C2948))</f>
        <v/>
      </c>
      <c r="B2948" s="15" t="str">
        <f t="shared" si="291"/>
        <v/>
      </c>
      <c r="M2948" s="9"/>
      <c r="N2948" s="9"/>
      <c r="P2948" s="14"/>
      <c r="Q2948" s="85"/>
      <c r="R2948" s="89"/>
      <c r="U2948" s="11" t="str">
        <f t="shared" si="289"/>
        <v/>
      </c>
      <c r="V2948" s="12" t="str">
        <f t="shared" si="290"/>
        <v/>
      </c>
      <c r="Z2948" s="15"/>
    </row>
    <row r="2949" spans="1:26" x14ac:dyDescent="0.25">
      <c r="A2949" s="15" t="str">
        <f>IF(C2949="","",COUNTA($C$3:C2949))</f>
        <v/>
      </c>
      <c r="B2949" s="15" t="str">
        <f t="shared" si="291"/>
        <v/>
      </c>
      <c r="M2949" s="9"/>
      <c r="N2949" s="9"/>
      <c r="P2949" s="14"/>
      <c r="Q2949" s="85"/>
      <c r="R2949" s="89"/>
      <c r="U2949" s="11" t="str">
        <f t="shared" si="289"/>
        <v/>
      </c>
      <c r="V2949" s="12" t="str">
        <f t="shared" si="290"/>
        <v/>
      </c>
      <c r="Z2949" s="15"/>
    </row>
    <row r="2950" spans="1:26" x14ac:dyDescent="0.25">
      <c r="A2950" s="15" t="str">
        <f>IF(C2950="","",COUNTA($C$3:C2950))</f>
        <v/>
      </c>
      <c r="B2950" s="15" t="str">
        <f t="shared" si="291"/>
        <v/>
      </c>
      <c r="M2950" s="9"/>
      <c r="N2950" s="9"/>
      <c r="P2950" s="14"/>
      <c r="Q2950" s="85"/>
      <c r="R2950" s="89"/>
      <c r="U2950" s="11" t="str">
        <f t="shared" si="289"/>
        <v/>
      </c>
      <c r="V2950" s="12" t="str">
        <f t="shared" si="290"/>
        <v/>
      </c>
      <c r="Z2950" s="15"/>
    </row>
    <row r="2951" spans="1:26" x14ac:dyDescent="0.25">
      <c r="A2951" s="15" t="str">
        <f>IF(C2951="","",COUNTA($C$3:C2951))</f>
        <v/>
      </c>
      <c r="B2951" s="15" t="str">
        <f t="shared" si="291"/>
        <v/>
      </c>
      <c r="M2951" s="9"/>
      <c r="N2951" s="9"/>
      <c r="P2951" s="14"/>
      <c r="Q2951" s="85"/>
      <c r="R2951" s="89"/>
      <c r="U2951" s="11" t="str">
        <f t="shared" si="289"/>
        <v/>
      </c>
      <c r="V2951" s="12" t="str">
        <f t="shared" si="290"/>
        <v/>
      </c>
      <c r="Z2951" s="15"/>
    </row>
    <row r="2952" spans="1:26" x14ac:dyDescent="0.25">
      <c r="A2952" s="15" t="str">
        <f>IF(C2952="","",COUNTA($C$3:C2952))</f>
        <v/>
      </c>
      <c r="B2952" s="15" t="str">
        <f t="shared" si="291"/>
        <v/>
      </c>
      <c r="M2952" s="9"/>
      <c r="N2952" s="9"/>
      <c r="P2952" s="14"/>
      <c r="Q2952" s="85"/>
      <c r="R2952" s="89"/>
      <c r="U2952" s="11" t="str">
        <f t="shared" si="289"/>
        <v/>
      </c>
      <c r="V2952" s="12" t="str">
        <f t="shared" si="290"/>
        <v/>
      </c>
      <c r="Z2952" s="15"/>
    </row>
    <row r="2953" spans="1:26" x14ac:dyDescent="0.25">
      <c r="A2953" s="15" t="str">
        <f>IF(C2953="","",COUNTA($C$3:C2953))</f>
        <v/>
      </c>
      <c r="B2953" s="15" t="str">
        <f t="shared" si="291"/>
        <v/>
      </c>
      <c r="M2953" s="9"/>
      <c r="N2953" s="9"/>
      <c r="P2953" s="14"/>
      <c r="Q2953" s="85"/>
      <c r="R2953" s="89"/>
      <c r="U2953" s="11" t="str">
        <f t="shared" si="289"/>
        <v/>
      </c>
      <c r="V2953" s="12" t="str">
        <f t="shared" si="290"/>
        <v/>
      </c>
      <c r="Z2953" s="15"/>
    </row>
    <row r="2954" spans="1:26" x14ac:dyDescent="0.25">
      <c r="A2954" s="15" t="str">
        <f>IF(C2954="","",COUNTA($C$3:C2954))</f>
        <v/>
      </c>
      <c r="B2954" s="15" t="str">
        <f t="shared" si="291"/>
        <v/>
      </c>
      <c r="M2954" s="9"/>
      <c r="N2954" s="9"/>
      <c r="P2954" s="14"/>
      <c r="Q2954" s="85"/>
      <c r="R2954" s="89"/>
      <c r="U2954" s="11" t="str">
        <f t="shared" si="289"/>
        <v/>
      </c>
      <c r="V2954" s="12" t="str">
        <f t="shared" si="290"/>
        <v/>
      </c>
      <c r="Z2954" s="15"/>
    </row>
    <row r="2955" spans="1:26" x14ac:dyDescent="0.25">
      <c r="A2955" s="15" t="str">
        <f>IF(C2955="","",COUNTA($C$3:C2955))</f>
        <v/>
      </c>
      <c r="B2955" s="15" t="str">
        <f t="shared" si="291"/>
        <v/>
      </c>
      <c r="M2955" s="9"/>
      <c r="N2955" s="9"/>
      <c r="P2955" s="14"/>
      <c r="Q2955" s="85"/>
      <c r="R2955" s="89"/>
      <c r="U2955" s="11" t="str">
        <f t="shared" si="289"/>
        <v/>
      </c>
      <c r="V2955" s="12" t="str">
        <f t="shared" si="290"/>
        <v/>
      </c>
      <c r="Z2955" s="15"/>
    </row>
    <row r="2956" spans="1:26" x14ac:dyDescent="0.25">
      <c r="A2956" s="15" t="str">
        <f>IF(C2956="","",COUNTA($C$3:C2956))</f>
        <v/>
      </c>
      <c r="B2956" s="15" t="str">
        <f t="shared" si="291"/>
        <v/>
      </c>
      <c r="M2956" s="9"/>
      <c r="N2956" s="9"/>
      <c r="P2956" s="14"/>
      <c r="Q2956" s="85"/>
      <c r="R2956" s="89"/>
      <c r="U2956" s="11" t="str">
        <f t="shared" si="289"/>
        <v/>
      </c>
      <c r="V2956" s="12" t="str">
        <f t="shared" si="290"/>
        <v/>
      </c>
      <c r="Z2956" s="15"/>
    </row>
    <row r="2957" spans="1:26" x14ac:dyDescent="0.25">
      <c r="A2957" s="15" t="str">
        <f>IF(C2957="","",COUNTA($C$3:C2957))</f>
        <v/>
      </c>
      <c r="B2957" s="15" t="str">
        <f t="shared" si="291"/>
        <v/>
      </c>
      <c r="M2957" s="9"/>
      <c r="N2957" s="9"/>
      <c r="P2957" s="14"/>
      <c r="Q2957" s="85"/>
      <c r="R2957" s="89"/>
      <c r="U2957" s="11" t="str">
        <f t="shared" si="289"/>
        <v/>
      </c>
      <c r="V2957" s="12" t="str">
        <f t="shared" si="290"/>
        <v/>
      </c>
      <c r="Z2957" s="15"/>
    </row>
    <row r="2958" spans="1:26" x14ac:dyDescent="0.25">
      <c r="A2958" s="15" t="str">
        <f>IF(C2958="","",COUNTA($C$3:C2958))</f>
        <v/>
      </c>
      <c r="B2958" s="15" t="str">
        <f t="shared" si="291"/>
        <v/>
      </c>
      <c r="M2958" s="9"/>
      <c r="N2958" s="9"/>
      <c r="P2958" s="14"/>
      <c r="Q2958" s="85"/>
      <c r="R2958" s="89"/>
      <c r="U2958" s="11" t="str">
        <f t="shared" si="289"/>
        <v/>
      </c>
      <c r="V2958" s="12" t="str">
        <f t="shared" si="290"/>
        <v/>
      </c>
      <c r="Z2958" s="15"/>
    </row>
    <row r="2959" spans="1:26" x14ac:dyDescent="0.25">
      <c r="A2959" s="15" t="str">
        <f>IF(C2959="","",COUNTA($C$3:C2959))</f>
        <v/>
      </c>
      <c r="B2959" s="15" t="str">
        <f t="shared" si="291"/>
        <v/>
      </c>
      <c r="M2959" s="9"/>
      <c r="N2959" s="9"/>
      <c r="P2959" s="14"/>
      <c r="Q2959" s="85"/>
      <c r="R2959" s="89"/>
      <c r="U2959" s="11" t="str">
        <f t="shared" si="289"/>
        <v/>
      </c>
      <c r="V2959" s="12" t="str">
        <f t="shared" si="290"/>
        <v/>
      </c>
      <c r="Z2959" s="15"/>
    </row>
    <row r="2960" spans="1:26" x14ac:dyDescent="0.25">
      <c r="A2960" s="15" t="str">
        <f>IF(C2960="","",COUNTA($C$3:C2960))</f>
        <v/>
      </c>
      <c r="B2960" s="15" t="str">
        <f t="shared" si="291"/>
        <v/>
      </c>
      <c r="M2960" s="9"/>
      <c r="N2960" s="9"/>
      <c r="P2960" s="14"/>
      <c r="Q2960" s="85"/>
      <c r="R2960" s="89"/>
      <c r="U2960" s="11" t="str">
        <f t="shared" si="289"/>
        <v/>
      </c>
      <c r="V2960" s="12" t="str">
        <f t="shared" si="290"/>
        <v/>
      </c>
      <c r="Z2960" s="15"/>
    </row>
    <row r="2961" spans="1:26" x14ac:dyDescent="0.25">
      <c r="A2961" s="15" t="str">
        <f>IF(C2961="","",COUNTA($C$3:C2961))</f>
        <v/>
      </c>
      <c r="B2961" s="15" t="str">
        <f t="shared" si="291"/>
        <v/>
      </c>
      <c r="M2961" s="9"/>
      <c r="N2961" s="9"/>
      <c r="P2961" s="14"/>
      <c r="Q2961" s="85"/>
      <c r="R2961" s="89"/>
      <c r="U2961" s="11" t="str">
        <f t="shared" si="289"/>
        <v/>
      </c>
      <c r="V2961" s="12" t="str">
        <f t="shared" si="290"/>
        <v/>
      </c>
      <c r="Z2961" s="15"/>
    </row>
    <row r="2962" spans="1:26" x14ac:dyDescent="0.25">
      <c r="A2962" s="15" t="str">
        <f>IF(C2962="","",COUNTA($C$3:C2962))</f>
        <v/>
      </c>
      <c r="B2962" s="15" t="str">
        <f t="shared" si="291"/>
        <v/>
      </c>
      <c r="M2962" s="9"/>
      <c r="N2962" s="9"/>
      <c r="P2962" s="14"/>
      <c r="Q2962" s="85"/>
      <c r="R2962" s="89"/>
      <c r="U2962" s="11" t="str">
        <f t="shared" si="289"/>
        <v/>
      </c>
      <c r="V2962" s="12" t="str">
        <f t="shared" si="290"/>
        <v/>
      </c>
      <c r="Z2962" s="15"/>
    </row>
    <row r="2963" spans="1:26" x14ac:dyDescent="0.25">
      <c r="A2963" s="15" t="str">
        <f>IF(C2963="","",COUNTA($C$3:C2963))</f>
        <v/>
      </c>
      <c r="B2963" s="15" t="str">
        <f t="shared" si="291"/>
        <v/>
      </c>
      <c r="M2963" s="9"/>
      <c r="N2963" s="9"/>
      <c r="P2963" s="14"/>
      <c r="Q2963" s="85"/>
      <c r="R2963" s="89"/>
      <c r="U2963" s="11" t="str">
        <f t="shared" si="289"/>
        <v/>
      </c>
      <c r="V2963" s="12" t="str">
        <f t="shared" si="290"/>
        <v/>
      </c>
      <c r="Z2963" s="15"/>
    </row>
    <row r="2964" spans="1:26" x14ac:dyDescent="0.25">
      <c r="A2964" s="15" t="str">
        <f>IF(C2964="","",COUNTA($C$3:C2964))</f>
        <v/>
      </c>
      <c r="B2964" s="15" t="str">
        <f t="shared" si="291"/>
        <v/>
      </c>
      <c r="M2964" s="9"/>
      <c r="N2964" s="9"/>
      <c r="P2964" s="14"/>
      <c r="Q2964" s="85"/>
      <c r="R2964" s="89"/>
      <c r="U2964" s="11" t="str">
        <f t="shared" si="289"/>
        <v/>
      </c>
      <c r="V2964" s="12" t="str">
        <f t="shared" si="290"/>
        <v/>
      </c>
      <c r="Z2964" s="15"/>
    </row>
    <row r="2965" spans="1:26" x14ac:dyDescent="0.25">
      <c r="A2965" s="15" t="str">
        <f>IF(C2965="","",COUNTA($C$3:C2965))</f>
        <v/>
      </c>
      <c r="B2965" s="15" t="str">
        <f t="shared" si="291"/>
        <v/>
      </c>
      <c r="M2965" s="9"/>
      <c r="N2965" s="9"/>
      <c r="P2965" s="14"/>
      <c r="Q2965" s="85"/>
      <c r="R2965" s="89"/>
      <c r="U2965" s="11" t="str">
        <f t="shared" si="289"/>
        <v/>
      </c>
      <c r="V2965" s="12" t="str">
        <f t="shared" si="290"/>
        <v/>
      </c>
      <c r="Z2965" s="15"/>
    </row>
    <row r="2966" spans="1:26" x14ac:dyDescent="0.25">
      <c r="A2966" s="15" t="str">
        <f>IF(C2966="","",COUNTA($C$3:C2966))</f>
        <v/>
      </c>
      <c r="B2966" s="15" t="str">
        <f t="shared" si="291"/>
        <v/>
      </c>
      <c r="M2966" s="9"/>
      <c r="N2966" s="9"/>
      <c r="P2966" s="14"/>
      <c r="Q2966" s="85"/>
      <c r="R2966" s="89"/>
      <c r="U2966" s="11" t="str">
        <f t="shared" si="289"/>
        <v/>
      </c>
      <c r="V2966" s="12" t="str">
        <f t="shared" si="290"/>
        <v/>
      </c>
      <c r="Z2966" s="15"/>
    </row>
    <row r="2967" spans="1:26" x14ac:dyDescent="0.25">
      <c r="A2967" s="15" t="str">
        <f>IF(C2967="","",COUNTA($C$3:C2967))</f>
        <v/>
      </c>
      <c r="B2967" s="15" t="str">
        <f t="shared" si="291"/>
        <v/>
      </c>
      <c r="M2967" s="9"/>
      <c r="N2967" s="9"/>
      <c r="P2967" s="14"/>
      <c r="Q2967" s="85"/>
      <c r="R2967" s="89"/>
      <c r="U2967" s="11" t="str">
        <f t="shared" si="289"/>
        <v/>
      </c>
      <c r="V2967" s="12" t="str">
        <f t="shared" si="290"/>
        <v/>
      </c>
      <c r="Z2967" s="15"/>
    </row>
    <row r="2968" spans="1:26" x14ac:dyDescent="0.25">
      <c r="A2968" s="15" t="str">
        <f>IF(C2968="","",COUNTA($C$3:C2968))</f>
        <v/>
      </c>
      <c r="B2968" s="15" t="str">
        <f t="shared" si="291"/>
        <v/>
      </c>
      <c r="M2968" s="9"/>
      <c r="N2968" s="9"/>
      <c r="P2968" s="14"/>
      <c r="Q2968" s="85"/>
      <c r="R2968" s="89"/>
      <c r="U2968" s="11" t="str">
        <f t="shared" si="289"/>
        <v/>
      </c>
      <c r="V2968" s="12" t="str">
        <f t="shared" si="290"/>
        <v/>
      </c>
      <c r="Z2968" s="15"/>
    </row>
    <row r="2969" spans="1:26" x14ac:dyDescent="0.25">
      <c r="A2969" s="15" t="str">
        <f>IF(C2969="","",COUNTA($C$3:C2969))</f>
        <v/>
      </c>
      <c r="B2969" s="15" t="str">
        <f t="shared" si="291"/>
        <v/>
      </c>
      <c r="M2969" s="9"/>
      <c r="N2969" s="9"/>
      <c r="P2969" s="14"/>
      <c r="Q2969" s="85"/>
      <c r="R2969" s="89"/>
      <c r="U2969" s="11" t="str">
        <f t="shared" si="289"/>
        <v/>
      </c>
      <c r="V2969" s="12" t="str">
        <f t="shared" si="290"/>
        <v/>
      </c>
      <c r="Z2969" s="15"/>
    </row>
    <row r="2970" spans="1:26" x14ac:dyDescent="0.25">
      <c r="A2970" s="15" t="str">
        <f>IF(C2970="","",COUNTA($C$3:C2970))</f>
        <v/>
      </c>
      <c r="B2970" s="15" t="str">
        <f t="shared" si="291"/>
        <v/>
      </c>
      <c r="M2970" s="9"/>
      <c r="N2970" s="9"/>
      <c r="P2970" s="14"/>
      <c r="Q2970" s="85"/>
      <c r="R2970" s="89"/>
      <c r="U2970" s="11" t="str">
        <f t="shared" si="289"/>
        <v/>
      </c>
      <c r="V2970" s="12" t="str">
        <f t="shared" si="290"/>
        <v/>
      </c>
      <c r="Z2970" s="15"/>
    </row>
    <row r="2971" spans="1:26" x14ac:dyDescent="0.25">
      <c r="A2971" s="15" t="str">
        <f>IF(C2971="","",COUNTA($C$3:C2971))</f>
        <v/>
      </c>
      <c r="B2971" s="15" t="str">
        <f t="shared" si="291"/>
        <v/>
      </c>
      <c r="M2971" s="9"/>
      <c r="N2971" s="9"/>
      <c r="P2971" s="14"/>
      <c r="Q2971" s="85"/>
      <c r="R2971" s="89"/>
      <c r="U2971" s="11" t="str">
        <f t="shared" si="289"/>
        <v/>
      </c>
      <c r="V2971" s="12" t="str">
        <f t="shared" si="290"/>
        <v/>
      </c>
      <c r="Z2971" s="15"/>
    </row>
    <row r="2972" spans="1:26" x14ac:dyDescent="0.25">
      <c r="A2972" s="15" t="str">
        <f>IF(C2972="","",COUNTA($C$3:C2972))</f>
        <v/>
      </c>
      <c r="B2972" s="15" t="str">
        <f t="shared" si="291"/>
        <v/>
      </c>
      <c r="M2972" s="9"/>
      <c r="N2972" s="9"/>
      <c r="P2972" s="14"/>
      <c r="Q2972" s="85"/>
      <c r="R2972" s="89"/>
      <c r="U2972" s="11" t="str">
        <f t="shared" si="289"/>
        <v/>
      </c>
      <c r="V2972" s="12" t="str">
        <f t="shared" si="290"/>
        <v/>
      </c>
      <c r="Z2972" s="15"/>
    </row>
    <row r="2973" spans="1:26" x14ac:dyDescent="0.25">
      <c r="A2973" s="15" t="str">
        <f>IF(C2973="","",COUNTA($C$3:C2973))</f>
        <v/>
      </c>
      <c r="B2973" s="15" t="str">
        <f t="shared" si="291"/>
        <v/>
      </c>
      <c r="M2973" s="9"/>
      <c r="N2973" s="9"/>
      <c r="P2973" s="14"/>
      <c r="Q2973" s="85"/>
      <c r="R2973" s="89"/>
      <c r="U2973" s="11" t="str">
        <f t="shared" si="289"/>
        <v/>
      </c>
      <c r="V2973" s="12" t="str">
        <f t="shared" si="290"/>
        <v/>
      </c>
      <c r="Z2973" s="15"/>
    </row>
    <row r="2974" spans="1:26" x14ac:dyDescent="0.25">
      <c r="A2974" s="15" t="str">
        <f>IF(C2974="","",COUNTA($C$3:C2974))</f>
        <v/>
      </c>
      <c r="B2974" s="15" t="str">
        <f t="shared" si="291"/>
        <v/>
      </c>
      <c r="M2974" s="9"/>
      <c r="N2974" s="9"/>
      <c r="P2974" s="14"/>
      <c r="Q2974" s="85"/>
      <c r="R2974" s="89"/>
      <c r="U2974" s="11" t="str">
        <f t="shared" si="289"/>
        <v/>
      </c>
      <c r="V2974" s="12" t="str">
        <f t="shared" si="290"/>
        <v/>
      </c>
      <c r="Z2974" s="15"/>
    </row>
    <row r="2975" spans="1:26" x14ac:dyDescent="0.25">
      <c r="A2975" s="15" t="str">
        <f>IF(C2975="","",COUNTA($C$3:C2975))</f>
        <v/>
      </c>
      <c r="B2975" s="15" t="str">
        <f t="shared" si="291"/>
        <v/>
      </c>
      <c r="M2975" s="9"/>
      <c r="N2975" s="9"/>
      <c r="P2975" s="14"/>
      <c r="Q2975" s="85"/>
      <c r="R2975" s="89"/>
      <c r="U2975" s="11" t="str">
        <f t="shared" si="289"/>
        <v/>
      </c>
      <c r="V2975" s="12" t="str">
        <f t="shared" si="290"/>
        <v/>
      </c>
      <c r="Z2975" s="15"/>
    </row>
    <row r="2976" spans="1:26" x14ac:dyDescent="0.25">
      <c r="A2976" s="15" t="str">
        <f>IF(C2976="","",COUNTA($C$3:C2976))</f>
        <v/>
      </c>
      <c r="B2976" s="15" t="str">
        <f t="shared" si="291"/>
        <v/>
      </c>
      <c r="M2976" s="9"/>
      <c r="N2976" s="9"/>
      <c r="P2976" s="14"/>
      <c r="Q2976" s="85"/>
      <c r="R2976" s="89"/>
      <c r="U2976" s="11" t="str">
        <f t="shared" si="289"/>
        <v/>
      </c>
      <c r="V2976" s="12" t="str">
        <f t="shared" si="290"/>
        <v/>
      </c>
      <c r="Z2976" s="15"/>
    </row>
    <row r="2977" spans="1:26" x14ac:dyDescent="0.25">
      <c r="A2977" s="15" t="str">
        <f>IF(C2977="","",COUNTA($C$3:C2977))</f>
        <v/>
      </c>
      <c r="B2977" s="15" t="str">
        <f t="shared" si="291"/>
        <v/>
      </c>
      <c r="M2977" s="9"/>
      <c r="N2977" s="9"/>
      <c r="P2977" s="14"/>
      <c r="Q2977" s="85"/>
      <c r="R2977" s="89"/>
      <c r="U2977" s="11" t="str">
        <f t="shared" si="289"/>
        <v/>
      </c>
      <c r="V2977" s="12" t="str">
        <f t="shared" si="290"/>
        <v/>
      </c>
      <c r="Z2977" s="15"/>
    </row>
    <row r="2978" spans="1:26" x14ac:dyDescent="0.25">
      <c r="A2978" s="15" t="str">
        <f>IF(C2978="","",COUNTA($C$3:C2978))</f>
        <v/>
      </c>
      <c r="B2978" s="15" t="str">
        <f t="shared" si="291"/>
        <v/>
      </c>
      <c r="M2978" s="9"/>
      <c r="N2978" s="9"/>
      <c r="P2978" s="14"/>
      <c r="Q2978" s="85"/>
      <c r="R2978" s="89"/>
      <c r="U2978" s="11" t="str">
        <f t="shared" si="289"/>
        <v/>
      </c>
      <c r="V2978" s="12" t="str">
        <f t="shared" si="290"/>
        <v/>
      </c>
      <c r="Z2978" s="15"/>
    </row>
    <row r="2979" spans="1:26" x14ac:dyDescent="0.25">
      <c r="A2979" s="15" t="str">
        <f>IF(C2979="","",COUNTA($C$3:C2979))</f>
        <v/>
      </c>
      <c r="B2979" s="15" t="str">
        <f t="shared" si="291"/>
        <v/>
      </c>
      <c r="M2979" s="9"/>
      <c r="N2979" s="9"/>
      <c r="P2979" s="14"/>
      <c r="Q2979" s="85"/>
      <c r="R2979" s="89"/>
      <c r="U2979" s="11" t="str">
        <f t="shared" si="289"/>
        <v/>
      </c>
      <c r="V2979" s="12" t="str">
        <f t="shared" si="290"/>
        <v/>
      </c>
      <c r="Z2979" s="15"/>
    </row>
    <row r="2980" spans="1:26" x14ac:dyDescent="0.25">
      <c r="A2980" s="15" t="str">
        <f>IF(C2980="","",COUNTA($C$3:C2980))</f>
        <v/>
      </c>
      <c r="B2980" s="15" t="str">
        <f t="shared" si="291"/>
        <v/>
      </c>
      <c r="M2980" s="9"/>
      <c r="N2980" s="9"/>
      <c r="P2980" s="14"/>
      <c r="Q2980" s="85"/>
      <c r="R2980" s="89"/>
      <c r="U2980" s="11" t="str">
        <f t="shared" si="289"/>
        <v/>
      </c>
      <c r="V2980" s="12" t="str">
        <f t="shared" si="290"/>
        <v/>
      </c>
      <c r="Z2980" s="15"/>
    </row>
    <row r="2981" spans="1:26" x14ac:dyDescent="0.25">
      <c r="A2981" s="15" t="str">
        <f>IF(C2981="","",COUNTA($C$3:C2981))</f>
        <v/>
      </c>
      <c r="B2981" s="15" t="str">
        <f t="shared" si="291"/>
        <v/>
      </c>
      <c r="M2981" s="9"/>
      <c r="N2981" s="9"/>
      <c r="P2981" s="14"/>
      <c r="Q2981" s="85"/>
      <c r="R2981" s="89"/>
      <c r="U2981" s="11" t="str">
        <f t="shared" si="289"/>
        <v/>
      </c>
      <c r="V2981" s="12" t="str">
        <f t="shared" si="290"/>
        <v/>
      </c>
      <c r="Z2981" s="15"/>
    </row>
    <row r="2982" spans="1:26" x14ac:dyDescent="0.25">
      <c r="A2982" s="15" t="str">
        <f>IF(C2982="","",COUNTA($C$3:C2982))</f>
        <v/>
      </c>
      <c r="B2982" s="15" t="str">
        <f t="shared" si="291"/>
        <v/>
      </c>
      <c r="M2982" s="9"/>
      <c r="N2982" s="9"/>
      <c r="P2982" s="14"/>
      <c r="Q2982" s="85"/>
      <c r="R2982" s="89"/>
      <c r="U2982" s="11" t="str">
        <f t="shared" si="289"/>
        <v/>
      </c>
      <c r="V2982" s="12" t="str">
        <f t="shared" si="290"/>
        <v/>
      </c>
      <c r="Z2982" s="15"/>
    </row>
    <row r="2983" spans="1:26" x14ac:dyDescent="0.25">
      <c r="A2983" s="15" t="str">
        <f>IF(C2983="","",COUNTA($C$3:C2983))</f>
        <v/>
      </c>
      <c r="B2983" s="15" t="str">
        <f t="shared" si="291"/>
        <v/>
      </c>
      <c r="M2983" s="9"/>
      <c r="N2983" s="9"/>
      <c r="P2983" s="14"/>
      <c r="Q2983" s="85"/>
      <c r="R2983" s="89"/>
      <c r="U2983" s="11" t="str">
        <f t="shared" si="289"/>
        <v/>
      </c>
      <c r="V2983" s="12" t="str">
        <f t="shared" si="290"/>
        <v/>
      </c>
      <c r="Z2983" s="15"/>
    </row>
    <row r="2984" spans="1:26" x14ac:dyDescent="0.25">
      <c r="A2984" s="15" t="str">
        <f>IF(C2984="","",COUNTA($C$3:C2984))</f>
        <v/>
      </c>
      <c r="B2984" s="15" t="str">
        <f t="shared" si="291"/>
        <v/>
      </c>
      <c r="M2984" s="9"/>
      <c r="N2984" s="9"/>
      <c r="P2984" s="14"/>
      <c r="Q2984" s="85"/>
      <c r="R2984" s="89"/>
      <c r="U2984" s="11" t="str">
        <f t="shared" si="289"/>
        <v/>
      </c>
      <c r="V2984" s="12" t="str">
        <f t="shared" si="290"/>
        <v/>
      </c>
      <c r="Z2984" s="15"/>
    </row>
    <row r="2985" spans="1:26" x14ac:dyDescent="0.25">
      <c r="A2985" s="15" t="str">
        <f>IF(C2985="","",COUNTA($C$3:C2985))</f>
        <v/>
      </c>
      <c r="B2985" s="15" t="str">
        <f t="shared" si="291"/>
        <v/>
      </c>
      <c r="M2985" s="9"/>
      <c r="N2985" s="9"/>
      <c r="P2985" s="14"/>
      <c r="Q2985" s="85"/>
      <c r="R2985" s="89"/>
      <c r="U2985" s="11" t="str">
        <f t="shared" si="289"/>
        <v/>
      </c>
      <c r="V2985" s="12" t="str">
        <f t="shared" si="290"/>
        <v/>
      </c>
      <c r="Z2985" s="15"/>
    </row>
    <row r="2986" spans="1:26" x14ac:dyDescent="0.25">
      <c r="A2986" s="15" t="str">
        <f>IF(C2986="","",COUNTA($C$3:C2986))</f>
        <v/>
      </c>
      <c r="B2986" s="15" t="str">
        <f t="shared" si="291"/>
        <v/>
      </c>
      <c r="M2986" s="9"/>
      <c r="N2986" s="9"/>
      <c r="P2986" s="14"/>
      <c r="Q2986" s="85"/>
      <c r="R2986" s="89"/>
      <c r="U2986" s="11" t="str">
        <f t="shared" si="289"/>
        <v/>
      </c>
      <c r="V2986" s="12" t="str">
        <f t="shared" si="290"/>
        <v/>
      </c>
      <c r="Z2986" s="15"/>
    </row>
    <row r="2987" spans="1:26" x14ac:dyDescent="0.25">
      <c r="A2987" s="15" t="str">
        <f>IF(C2987="","",COUNTA($C$3:C2987))</f>
        <v/>
      </c>
      <c r="B2987" s="15" t="str">
        <f t="shared" si="291"/>
        <v/>
      </c>
      <c r="M2987" s="9"/>
      <c r="N2987" s="9"/>
      <c r="P2987" s="14"/>
      <c r="Q2987" s="85"/>
      <c r="R2987" s="89"/>
      <c r="U2987" s="11" t="str">
        <f t="shared" si="289"/>
        <v/>
      </c>
      <c r="V2987" s="12" t="str">
        <f t="shared" si="290"/>
        <v/>
      </c>
      <c r="Z2987" s="15"/>
    </row>
    <row r="2988" spans="1:26" x14ac:dyDescent="0.25">
      <c r="A2988" s="15" t="str">
        <f>IF(C2988="","",COUNTA($C$3:C2988))</f>
        <v/>
      </c>
      <c r="B2988" s="15" t="str">
        <f t="shared" si="291"/>
        <v/>
      </c>
      <c r="M2988" s="9"/>
      <c r="N2988" s="9"/>
      <c r="P2988" s="14"/>
      <c r="Q2988" s="85"/>
      <c r="R2988" s="89"/>
      <c r="U2988" s="11" t="str">
        <f t="shared" si="289"/>
        <v/>
      </c>
      <c r="V2988" s="12" t="str">
        <f t="shared" si="290"/>
        <v/>
      </c>
      <c r="Z2988" s="15"/>
    </row>
    <row r="2989" spans="1:26" x14ac:dyDescent="0.25">
      <c r="A2989" s="15" t="str">
        <f>IF(C2989="","",COUNTA($C$3:C2989))</f>
        <v/>
      </c>
      <c r="B2989" s="15" t="str">
        <f t="shared" si="291"/>
        <v/>
      </c>
      <c r="M2989" s="9"/>
      <c r="N2989" s="9"/>
      <c r="P2989" s="14"/>
      <c r="Q2989" s="85"/>
      <c r="R2989" s="89"/>
      <c r="U2989" s="11" t="str">
        <f t="shared" si="289"/>
        <v/>
      </c>
      <c r="V2989" s="12" t="str">
        <f t="shared" si="290"/>
        <v/>
      </c>
      <c r="Z2989" s="15"/>
    </row>
    <row r="2990" spans="1:26" x14ac:dyDescent="0.25">
      <c r="A2990" s="15" t="str">
        <f>IF(C2990="","",COUNTA($C$3:C2990))</f>
        <v/>
      </c>
      <c r="B2990" s="15" t="str">
        <f t="shared" si="291"/>
        <v/>
      </c>
      <c r="M2990" s="9"/>
      <c r="N2990" s="9"/>
      <c r="P2990" s="14"/>
      <c r="Q2990" s="85"/>
      <c r="R2990" s="89"/>
      <c r="U2990" s="11" t="str">
        <f t="shared" si="289"/>
        <v/>
      </c>
      <c r="V2990" s="12" t="str">
        <f t="shared" si="290"/>
        <v/>
      </c>
      <c r="Z2990" s="15"/>
    </row>
    <row r="2991" spans="1:26" x14ac:dyDescent="0.25">
      <c r="A2991" s="15" t="str">
        <f>IF(C2991="","",COUNTA($C$3:C2991))</f>
        <v/>
      </c>
      <c r="B2991" s="15" t="str">
        <f t="shared" si="291"/>
        <v/>
      </c>
      <c r="M2991" s="9"/>
      <c r="N2991" s="9"/>
      <c r="P2991" s="14"/>
      <c r="Q2991" s="85"/>
      <c r="R2991" s="89"/>
      <c r="U2991" s="11" t="str">
        <f t="shared" si="289"/>
        <v/>
      </c>
      <c r="V2991" s="12" t="str">
        <f t="shared" si="290"/>
        <v/>
      </c>
      <c r="Z2991" s="15"/>
    </row>
    <row r="2992" spans="1:26" x14ac:dyDescent="0.25">
      <c r="A2992" s="15" t="str">
        <f>IF(C2992="","",COUNTA($C$3:C2992))</f>
        <v/>
      </c>
      <c r="B2992" s="15" t="str">
        <f t="shared" si="291"/>
        <v/>
      </c>
      <c r="M2992" s="9"/>
      <c r="N2992" s="9"/>
      <c r="P2992" s="14"/>
      <c r="Q2992" s="85"/>
      <c r="R2992" s="89"/>
      <c r="U2992" s="11" t="str">
        <f t="shared" si="289"/>
        <v/>
      </c>
      <c r="V2992" s="12" t="str">
        <f t="shared" si="290"/>
        <v/>
      </c>
      <c r="Z2992" s="15"/>
    </row>
    <row r="2993" spans="1:26" x14ac:dyDescent="0.25">
      <c r="A2993" s="15" t="str">
        <f>IF(C2993="","",COUNTA($C$3:C2993))</f>
        <v/>
      </c>
      <c r="B2993" s="15" t="str">
        <f t="shared" si="291"/>
        <v/>
      </c>
      <c r="M2993" s="9"/>
      <c r="N2993" s="9"/>
      <c r="P2993" s="14"/>
      <c r="Q2993" s="85"/>
      <c r="R2993" s="89"/>
      <c r="U2993" s="11" t="str">
        <f t="shared" si="289"/>
        <v/>
      </c>
      <c r="V2993" s="12" t="str">
        <f t="shared" si="290"/>
        <v/>
      </c>
      <c r="Z2993" s="15"/>
    </row>
    <row r="2994" spans="1:26" x14ac:dyDescent="0.25">
      <c r="A2994" s="15" t="str">
        <f>IF(C2994="","",COUNTA($C$3:C2994))</f>
        <v/>
      </c>
      <c r="B2994" s="15" t="str">
        <f t="shared" si="291"/>
        <v/>
      </c>
      <c r="M2994" s="9"/>
      <c r="N2994" s="9"/>
      <c r="P2994" s="14"/>
      <c r="Q2994" s="85"/>
      <c r="R2994" s="89"/>
      <c r="U2994" s="11" t="str">
        <f t="shared" si="289"/>
        <v/>
      </c>
      <c r="V2994" s="12" t="str">
        <f t="shared" si="290"/>
        <v/>
      </c>
      <c r="Z2994" s="15"/>
    </row>
    <row r="2995" spans="1:26" x14ac:dyDescent="0.25">
      <c r="A2995" s="15" t="str">
        <f>IF(C2995="","",COUNTA($C$3:C2995))</f>
        <v/>
      </c>
      <c r="B2995" s="15" t="str">
        <f t="shared" si="291"/>
        <v/>
      </c>
      <c r="M2995" s="9"/>
      <c r="N2995" s="9"/>
      <c r="P2995" s="14"/>
      <c r="Q2995" s="85"/>
      <c r="R2995" s="89"/>
      <c r="U2995" s="11" t="str">
        <f t="shared" si="289"/>
        <v/>
      </c>
      <c r="V2995" s="12" t="str">
        <f t="shared" si="290"/>
        <v/>
      </c>
      <c r="Z2995" s="15"/>
    </row>
    <row r="2996" spans="1:26" x14ac:dyDescent="0.25">
      <c r="A2996" s="15" t="str">
        <f>IF(C2996="","",COUNTA($C$3:C2996))</f>
        <v/>
      </c>
      <c r="B2996" s="15" t="str">
        <f t="shared" si="291"/>
        <v/>
      </c>
      <c r="M2996" s="9"/>
      <c r="N2996" s="9"/>
      <c r="P2996" s="14"/>
      <c r="Q2996" s="85"/>
      <c r="R2996" s="89"/>
      <c r="U2996" s="11" t="str">
        <f t="shared" si="289"/>
        <v/>
      </c>
      <c r="V2996" s="12" t="str">
        <f t="shared" si="290"/>
        <v/>
      </c>
      <c r="Z2996" s="15"/>
    </row>
    <row r="2997" spans="1:26" x14ac:dyDescent="0.25">
      <c r="A2997" s="15" t="str">
        <f>IF(C2997="","",COUNTA($C$3:C2997))</f>
        <v/>
      </c>
      <c r="B2997" s="15" t="str">
        <f t="shared" si="291"/>
        <v/>
      </c>
      <c r="M2997" s="9"/>
      <c r="N2997" s="9"/>
      <c r="P2997" s="14"/>
      <c r="Q2997" s="85"/>
      <c r="R2997" s="89"/>
      <c r="U2997" s="11" t="str">
        <f t="shared" si="289"/>
        <v/>
      </c>
      <c r="V2997" s="12" t="str">
        <f t="shared" si="290"/>
        <v/>
      </c>
      <c r="Z2997" s="15"/>
    </row>
    <row r="2998" spans="1:26" x14ac:dyDescent="0.25">
      <c r="A2998" s="15" t="str">
        <f>IF(C2998="","",COUNTA($C$3:C2998))</f>
        <v/>
      </c>
      <c r="B2998" s="15" t="str">
        <f t="shared" si="291"/>
        <v/>
      </c>
      <c r="M2998" s="9"/>
      <c r="N2998" s="9"/>
      <c r="P2998" s="14"/>
      <c r="Q2998" s="85"/>
      <c r="R2998" s="89"/>
      <c r="U2998" s="11" t="str">
        <f t="shared" si="289"/>
        <v/>
      </c>
      <c r="V2998" s="12" t="str">
        <f t="shared" si="290"/>
        <v/>
      </c>
      <c r="Z2998" s="15"/>
    </row>
    <row r="2999" spans="1:26" x14ac:dyDescent="0.25">
      <c r="A2999" s="15" t="str">
        <f>IF(C2999="","",COUNTA($C$3:C2999))</f>
        <v/>
      </c>
      <c r="B2999" s="15" t="str">
        <f t="shared" si="291"/>
        <v/>
      </c>
      <c r="M2999" s="9"/>
      <c r="N2999" s="9"/>
      <c r="P2999" s="14"/>
      <c r="Q2999" s="85"/>
      <c r="R2999" s="89"/>
      <c r="U2999" s="11" t="str">
        <f t="shared" si="289"/>
        <v/>
      </c>
      <c r="V2999" s="12" t="str">
        <f t="shared" si="290"/>
        <v/>
      </c>
      <c r="Z2999" s="15"/>
    </row>
    <row r="3000" spans="1:26" x14ac:dyDescent="0.25">
      <c r="A3000" s="15" t="str">
        <f>IF(C3000="","",COUNTA($C$3:C3000))</f>
        <v/>
      </c>
      <c r="B3000" s="15" t="str">
        <f t="shared" si="291"/>
        <v/>
      </c>
      <c r="M3000" s="9"/>
      <c r="N3000" s="9"/>
      <c r="P3000" s="14"/>
      <c r="Q3000" s="85"/>
      <c r="R3000" s="89"/>
      <c r="U3000" s="11" t="str">
        <f t="shared" si="289"/>
        <v/>
      </c>
      <c r="V3000" s="12" t="str">
        <f t="shared" si="290"/>
        <v/>
      </c>
      <c r="Z3000" s="15"/>
    </row>
    <row r="3001" spans="1:26" x14ac:dyDescent="0.25">
      <c r="A3001" s="15" t="str">
        <f>IF(C3001="","",COUNTA($C$3:C3001))</f>
        <v/>
      </c>
      <c r="B3001" s="15" t="str">
        <f t="shared" si="291"/>
        <v/>
      </c>
      <c r="M3001" s="9"/>
      <c r="N3001" s="9"/>
      <c r="P3001" s="14"/>
      <c r="Q3001" s="85"/>
      <c r="R3001" s="89"/>
      <c r="U3001" s="11" t="str">
        <f t="shared" si="289"/>
        <v/>
      </c>
      <c r="V3001" s="12" t="str">
        <f t="shared" si="290"/>
        <v/>
      </c>
      <c r="Z3001" s="15"/>
    </row>
    <row r="3002" spans="1:26" x14ac:dyDescent="0.25">
      <c r="A3002" s="15" t="str">
        <f>IF(C3002="","",COUNTA($C$3:C3002))</f>
        <v/>
      </c>
      <c r="B3002" s="15" t="str">
        <f t="shared" si="291"/>
        <v/>
      </c>
      <c r="M3002" s="9"/>
      <c r="N3002" s="9"/>
      <c r="P3002" s="14"/>
      <c r="Q3002" s="85"/>
      <c r="R3002" s="89"/>
      <c r="U3002" s="11" t="str">
        <f t="shared" si="289"/>
        <v/>
      </c>
      <c r="V3002" s="12" t="str">
        <f t="shared" si="290"/>
        <v/>
      </c>
      <c r="Z3002" s="15"/>
    </row>
    <row r="3003" spans="1:26" x14ac:dyDescent="0.25">
      <c r="A3003" s="15" t="str">
        <f>IF(C3003="","",COUNTA($C$3:C3003))</f>
        <v/>
      </c>
      <c r="B3003" s="15" t="str">
        <f t="shared" si="291"/>
        <v/>
      </c>
      <c r="M3003" s="9"/>
      <c r="N3003" s="9"/>
      <c r="P3003" s="14"/>
      <c r="Q3003" s="85"/>
      <c r="R3003" s="89"/>
      <c r="U3003" s="11" t="str">
        <f t="shared" si="289"/>
        <v/>
      </c>
      <c r="V3003" s="12" t="str">
        <f t="shared" si="290"/>
        <v/>
      </c>
      <c r="Z3003" s="15"/>
    </row>
    <row r="3004" spans="1:26" x14ac:dyDescent="0.25">
      <c r="A3004" s="15" t="str">
        <f>IF(C3004="","",COUNTA($C$3:C3004))</f>
        <v/>
      </c>
      <c r="B3004" s="15" t="str">
        <f t="shared" si="291"/>
        <v/>
      </c>
      <c r="M3004" s="9"/>
      <c r="N3004" s="9"/>
      <c r="P3004" s="14"/>
      <c r="Q3004" s="85"/>
      <c r="R3004" s="89"/>
      <c r="U3004" s="11" t="str">
        <f t="shared" si="289"/>
        <v/>
      </c>
      <c r="V3004" s="12" t="str">
        <f t="shared" si="290"/>
        <v/>
      </c>
      <c r="Z3004" s="15"/>
    </row>
    <row r="3005" spans="1:26" x14ac:dyDescent="0.25">
      <c r="A3005" s="15" t="str">
        <f>IF(C3005="","",COUNTA($C$3:C3005))</f>
        <v/>
      </c>
      <c r="B3005" s="15" t="str">
        <f t="shared" si="291"/>
        <v/>
      </c>
      <c r="M3005" s="9"/>
      <c r="N3005" s="9"/>
      <c r="P3005" s="14"/>
      <c r="Q3005" s="85"/>
      <c r="R3005" s="89"/>
      <c r="U3005" s="11" t="str">
        <f t="shared" si="289"/>
        <v/>
      </c>
      <c r="V3005" s="12" t="str">
        <f t="shared" si="290"/>
        <v/>
      </c>
      <c r="Z3005" s="15"/>
    </row>
    <row r="3006" spans="1:26" x14ac:dyDescent="0.25">
      <c r="A3006" s="15" t="str">
        <f>IF(C3006="","",COUNTA($C$3:C3006))</f>
        <v/>
      </c>
      <c r="B3006" s="15" t="str">
        <f t="shared" si="291"/>
        <v/>
      </c>
      <c r="M3006" s="9"/>
      <c r="N3006" s="9"/>
      <c r="P3006" s="14"/>
      <c r="Q3006" s="85"/>
      <c r="R3006" s="89"/>
      <c r="U3006" s="11" t="str">
        <f t="shared" si="289"/>
        <v/>
      </c>
      <c r="V3006" s="12" t="str">
        <f t="shared" si="290"/>
        <v/>
      </c>
      <c r="Z3006" s="15"/>
    </row>
    <row r="3007" spans="1:26" x14ac:dyDescent="0.25">
      <c r="A3007" s="15" t="str">
        <f>IF(C3007="","",COUNTA($C$3:C3007))</f>
        <v/>
      </c>
      <c r="B3007" s="15" t="str">
        <f t="shared" si="291"/>
        <v/>
      </c>
      <c r="M3007" s="9"/>
      <c r="N3007" s="9"/>
      <c r="P3007" s="14"/>
      <c r="Q3007" s="85"/>
      <c r="R3007" s="89"/>
      <c r="U3007" s="11" t="str">
        <f t="shared" si="289"/>
        <v/>
      </c>
      <c r="V3007" s="12" t="str">
        <f t="shared" si="290"/>
        <v/>
      </c>
      <c r="Z3007" s="15"/>
    </row>
    <row r="3008" spans="1:26" x14ac:dyDescent="0.25">
      <c r="A3008" s="15" t="str">
        <f>IF(C3008="","",COUNTA($C$3:C3008))</f>
        <v/>
      </c>
      <c r="B3008" s="15" t="str">
        <f t="shared" si="291"/>
        <v/>
      </c>
      <c r="M3008" s="9"/>
      <c r="N3008" s="9"/>
      <c r="P3008" s="14"/>
      <c r="Q3008" s="85"/>
      <c r="R3008" s="89"/>
      <c r="U3008" s="11" t="str">
        <f t="shared" si="289"/>
        <v/>
      </c>
      <c r="V3008" s="12" t="str">
        <f t="shared" si="290"/>
        <v/>
      </c>
      <c r="Z3008" s="15"/>
    </row>
    <row r="3009" spans="1:26" x14ac:dyDescent="0.25">
      <c r="A3009" s="15" t="str">
        <f>IF(C3009="","",COUNTA($C$3:C3009))</f>
        <v/>
      </c>
      <c r="B3009" s="15" t="str">
        <f t="shared" si="291"/>
        <v/>
      </c>
      <c r="M3009" s="9"/>
      <c r="N3009" s="9"/>
      <c r="P3009" s="14"/>
      <c r="Q3009" s="85"/>
      <c r="R3009" s="89"/>
      <c r="U3009" s="11" t="str">
        <f t="shared" si="289"/>
        <v/>
      </c>
      <c r="V3009" s="12" t="str">
        <f t="shared" si="290"/>
        <v/>
      </c>
      <c r="Z3009" s="15"/>
    </row>
    <row r="3010" spans="1:26" x14ac:dyDescent="0.25">
      <c r="A3010" s="15" t="str">
        <f>IF(C3010="","",COUNTA($C$3:C3010))</f>
        <v/>
      </c>
      <c r="B3010" s="15" t="str">
        <f t="shared" si="291"/>
        <v/>
      </c>
      <c r="M3010" s="9"/>
      <c r="N3010" s="9"/>
      <c r="P3010" s="14"/>
      <c r="Q3010" s="85"/>
      <c r="R3010" s="89"/>
      <c r="U3010" s="11" t="str">
        <f t="shared" ref="U3010:U3073" si="292">IF(S3010="","",(S3010-T3010))</f>
        <v/>
      </c>
      <c r="V3010" s="12" t="str">
        <f t="shared" ref="V3010:V3073" si="293">IF(U3010="","",(U3010/T3010))</f>
        <v/>
      </c>
      <c r="Z3010" s="15"/>
    </row>
    <row r="3011" spans="1:26" x14ac:dyDescent="0.25">
      <c r="A3011" s="15" t="str">
        <f>IF(C3011="","",COUNTA($C$3:C3011))</f>
        <v/>
      </c>
      <c r="B3011" s="15" t="str">
        <f t="shared" ref="B3011:B3074" si="294">IF(C3011="","",TEXT(C3011,"mmmm"))</f>
        <v/>
      </c>
      <c r="M3011" s="9"/>
      <c r="N3011" s="9"/>
      <c r="P3011" s="14"/>
      <c r="Q3011" s="85"/>
      <c r="R3011" s="89"/>
      <c r="U3011" s="11" t="str">
        <f t="shared" si="292"/>
        <v/>
      </c>
      <c r="V3011" s="12" t="str">
        <f t="shared" si="293"/>
        <v/>
      </c>
      <c r="Z3011" s="15"/>
    </row>
    <row r="3012" spans="1:26" x14ac:dyDescent="0.25">
      <c r="A3012" s="15" t="str">
        <f>IF(C3012="","",COUNTA($C$3:C3012))</f>
        <v/>
      </c>
      <c r="B3012" s="15" t="str">
        <f t="shared" si="294"/>
        <v/>
      </c>
      <c r="M3012" s="9"/>
      <c r="N3012" s="9"/>
      <c r="P3012" s="14"/>
      <c r="Q3012" s="85"/>
      <c r="R3012" s="89"/>
      <c r="U3012" s="11" t="str">
        <f t="shared" si="292"/>
        <v/>
      </c>
      <c r="V3012" s="12" t="str">
        <f t="shared" si="293"/>
        <v/>
      </c>
      <c r="Z3012" s="15"/>
    </row>
    <row r="3013" spans="1:26" x14ac:dyDescent="0.25">
      <c r="A3013" s="15" t="str">
        <f>IF(C3013="","",COUNTA($C$3:C3013))</f>
        <v/>
      </c>
      <c r="B3013" s="15" t="str">
        <f t="shared" si="294"/>
        <v/>
      </c>
      <c r="M3013" s="9"/>
      <c r="N3013" s="9"/>
      <c r="P3013" s="14"/>
      <c r="Q3013" s="85"/>
      <c r="R3013" s="89"/>
      <c r="U3013" s="11" t="str">
        <f t="shared" si="292"/>
        <v/>
      </c>
      <c r="V3013" s="12" t="str">
        <f t="shared" si="293"/>
        <v/>
      </c>
      <c r="Z3013" s="15"/>
    </row>
    <row r="3014" spans="1:26" x14ac:dyDescent="0.25">
      <c r="A3014" s="15" t="str">
        <f>IF(C3014="","",COUNTA($C$3:C3014))</f>
        <v/>
      </c>
      <c r="B3014" s="15" t="str">
        <f t="shared" si="294"/>
        <v/>
      </c>
      <c r="M3014" s="9"/>
      <c r="N3014" s="9"/>
      <c r="P3014" s="14"/>
      <c r="Q3014" s="85"/>
      <c r="R3014" s="89"/>
      <c r="U3014" s="11" t="str">
        <f t="shared" si="292"/>
        <v/>
      </c>
      <c r="V3014" s="12" t="str">
        <f t="shared" si="293"/>
        <v/>
      </c>
      <c r="Z3014" s="15"/>
    </row>
    <row r="3015" spans="1:26" x14ac:dyDescent="0.25">
      <c r="A3015" s="15" t="str">
        <f>IF(C3015="","",COUNTA($C$3:C3015))</f>
        <v/>
      </c>
      <c r="B3015" s="15" t="str">
        <f t="shared" si="294"/>
        <v/>
      </c>
      <c r="M3015" s="9"/>
      <c r="N3015" s="9"/>
      <c r="P3015" s="14"/>
      <c r="Q3015" s="85"/>
      <c r="R3015" s="89"/>
      <c r="U3015" s="11" t="str">
        <f t="shared" si="292"/>
        <v/>
      </c>
      <c r="V3015" s="12" t="str">
        <f t="shared" si="293"/>
        <v/>
      </c>
      <c r="Z3015" s="15"/>
    </row>
    <row r="3016" spans="1:26" x14ac:dyDescent="0.25">
      <c r="A3016" s="15" t="str">
        <f>IF(C3016="","",COUNTA($C$3:C3016))</f>
        <v/>
      </c>
      <c r="B3016" s="15" t="str">
        <f t="shared" si="294"/>
        <v/>
      </c>
      <c r="M3016" s="9"/>
      <c r="N3016" s="9"/>
      <c r="P3016" s="14"/>
      <c r="Q3016" s="85"/>
      <c r="R3016" s="89"/>
      <c r="U3016" s="11" t="str">
        <f t="shared" si="292"/>
        <v/>
      </c>
      <c r="V3016" s="12" t="str">
        <f t="shared" si="293"/>
        <v/>
      </c>
      <c r="Z3016" s="15"/>
    </row>
    <row r="3017" spans="1:26" x14ac:dyDescent="0.25">
      <c r="A3017" s="15" t="str">
        <f>IF(C3017="","",COUNTA($C$3:C3017))</f>
        <v/>
      </c>
      <c r="B3017" s="15" t="str">
        <f t="shared" si="294"/>
        <v/>
      </c>
      <c r="M3017" s="9"/>
      <c r="N3017" s="9"/>
      <c r="P3017" s="14"/>
      <c r="Q3017" s="85"/>
      <c r="R3017" s="89"/>
      <c r="U3017" s="11" t="str">
        <f t="shared" si="292"/>
        <v/>
      </c>
      <c r="V3017" s="12" t="str">
        <f t="shared" si="293"/>
        <v/>
      </c>
      <c r="Z3017" s="15"/>
    </row>
    <row r="3018" spans="1:26" x14ac:dyDescent="0.25">
      <c r="A3018" s="15" t="str">
        <f>IF(C3018="","",COUNTA($C$3:C3018))</f>
        <v/>
      </c>
      <c r="B3018" s="15" t="str">
        <f t="shared" si="294"/>
        <v/>
      </c>
      <c r="M3018" s="9"/>
      <c r="N3018" s="9"/>
      <c r="P3018" s="14"/>
      <c r="Q3018" s="85"/>
      <c r="R3018" s="89"/>
      <c r="U3018" s="11" t="str">
        <f t="shared" si="292"/>
        <v/>
      </c>
      <c r="V3018" s="12" t="str">
        <f t="shared" si="293"/>
        <v/>
      </c>
      <c r="Z3018" s="15"/>
    </row>
    <row r="3019" spans="1:26" x14ac:dyDescent="0.25">
      <c r="A3019" s="15" t="str">
        <f>IF(C3019="","",COUNTA($C$3:C3019))</f>
        <v/>
      </c>
      <c r="B3019" s="15" t="str">
        <f t="shared" si="294"/>
        <v/>
      </c>
      <c r="M3019" s="9"/>
      <c r="N3019" s="9"/>
      <c r="P3019" s="14"/>
      <c r="Q3019" s="85"/>
      <c r="R3019" s="89"/>
      <c r="U3019" s="11" t="str">
        <f t="shared" si="292"/>
        <v/>
      </c>
      <c r="V3019" s="12" t="str">
        <f t="shared" si="293"/>
        <v/>
      </c>
      <c r="Z3019" s="15"/>
    </row>
    <row r="3020" spans="1:26" x14ac:dyDescent="0.25">
      <c r="A3020" s="15" t="str">
        <f>IF(C3020="","",COUNTA($C$3:C3020))</f>
        <v/>
      </c>
      <c r="B3020" s="15" t="str">
        <f t="shared" si="294"/>
        <v/>
      </c>
      <c r="M3020" s="9"/>
      <c r="N3020" s="9"/>
      <c r="P3020" s="14"/>
      <c r="Q3020" s="85"/>
      <c r="R3020" s="89"/>
      <c r="U3020" s="11" t="str">
        <f t="shared" si="292"/>
        <v/>
      </c>
      <c r="V3020" s="12" t="str">
        <f t="shared" si="293"/>
        <v/>
      </c>
      <c r="Z3020" s="15"/>
    </row>
    <row r="3021" spans="1:26" x14ac:dyDescent="0.25">
      <c r="A3021" s="15" t="str">
        <f>IF(C3021="","",COUNTA($C$3:C3021))</f>
        <v/>
      </c>
      <c r="B3021" s="15" t="str">
        <f t="shared" si="294"/>
        <v/>
      </c>
      <c r="M3021" s="9"/>
      <c r="N3021" s="9"/>
      <c r="P3021" s="14"/>
      <c r="Q3021" s="85"/>
      <c r="R3021" s="89"/>
      <c r="U3021" s="11" t="str">
        <f t="shared" si="292"/>
        <v/>
      </c>
      <c r="V3021" s="12" t="str">
        <f t="shared" si="293"/>
        <v/>
      </c>
      <c r="Z3021" s="15"/>
    </row>
    <row r="3022" spans="1:26" x14ac:dyDescent="0.25">
      <c r="A3022" s="15" t="str">
        <f>IF(C3022="","",COUNTA($C$3:C3022))</f>
        <v/>
      </c>
      <c r="B3022" s="15" t="str">
        <f t="shared" si="294"/>
        <v/>
      </c>
      <c r="M3022" s="9"/>
      <c r="N3022" s="9"/>
      <c r="P3022" s="14"/>
      <c r="Q3022" s="85"/>
      <c r="R3022" s="89"/>
      <c r="U3022" s="11" t="str">
        <f t="shared" si="292"/>
        <v/>
      </c>
      <c r="V3022" s="12" t="str">
        <f t="shared" si="293"/>
        <v/>
      </c>
      <c r="Z3022" s="15"/>
    </row>
    <row r="3023" spans="1:26" x14ac:dyDescent="0.25">
      <c r="A3023" s="15" t="str">
        <f>IF(C3023="","",COUNTA($C$3:C3023))</f>
        <v/>
      </c>
      <c r="B3023" s="15" t="str">
        <f t="shared" si="294"/>
        <v/>
      </c>
      <c r="M3023" s="9"/>
      <c r="N3023" s="9"/>
      <c r="P3023" s="14"/>
      <c r="Q3023" s="85"/>
      <c r="R3023" s="89"/>
      <c r="U3023" s="11" t="str">
        <f t="shared" si="292"/>
        <v/>
      </c>
      <c r="V3023" s="12" t="str">
        <f t="shared" si="293"/>
        <v/>
      </c>
      <c r="Z3023" s="15"/>
    </row>
    <row r="3024" spans="1:26" x14ac:dyDescent="0.25">
      <c r="A3024" s="15" t="str">
        <f>IF(C3024="","",COUNTA($C$3:C3024))</f>
        <v/>
      </c>
      <c r="B3024" s="15" t="str">
        <f t="shared" si="294"/>
        <v/>
      </c>
      <c r="M3024" s="9"/>
      <c r="N3024" s="9"/>
      <c r="P3024" s="14"/>
      <c r="Q3024" s="85"/>
      <c r="R3024" s="89"/>
      <c r="U3024" s="11" t="str">
        <f t="shared" si="292"/>
        <v/>
      </c>
      <c r="V3024" s="12" t="str">
        <f t="shared" si="293"/>
        <v/>
      </c>
      <c r="Z3024" s="15"/>
    </row>
    <row r="3025" spans="1:26" x14ac:dyDescent="0.25">
      <c r="A3025" s="15" t="str">
        <f>IF(C3025="","",COUNTA($C$3:C3025))</f>
        <v/>
      </c>
      <c r="B3025" s="15" t="str">
        <f t="shared" si="294"/>
        <v/>
      </c>
      <c r="M3025" s="9"/>
      <c r="N3025" s="9"/>
      <c r="P3025" s="14"/>
      <c r="Q3025" s="85"/>
      <c r="R3025" s="89"/>
      <c r="U3025" s="11" t="str">
        <f t="shared" si="292"/>
        <v/>
      </c>
      <c r="V3025" s="12" t="str">
        <f t="shared" si="293"/>
        <v/>
      </c>
      <c r="Z3025" s="15"/>
    </row>
    <row r="3026" spans="1:26" x14ac:dyDescent="0.25">
      <c r="A3026" s="15" t="str">
        <f>IF(C3026="","",COUNTA($C$3:C3026))</f>
        <v/>
      </c>
      <c r="B3026" s="15" t="str">
        <f t="shared" si="294"/>
        <v/>
      </c>
      <c r="M3026" s="9"/>
      <c r="N3026" s="9"/>
      <c r="P3026" s="14"/>
      <c r="Q3026" s="85"/>
      <c r="R3026" s="89"/>
      <c r="U3026" s="11" t="str">
        <f t="shared" si="292"/>
        <v/>
      </c>
      <c r="V3026" s="12" t="str">
        <f t="shared" si="293"/>
        <v/>
      </c>
      <c r="Z3026" s="15"/>
    </row>
    <row r="3027" spans="1:26" x14ac:dyDescent="0.25">
      <c r="A3027" s="15" t="str">
        <f>IF(C3027="","",COUNTA($C$3:C3027))</f>
        <v/>
      </c>
      <c r="B3027" s="15" t="str">
        <f t="shared" si="294"/>
        <v/>
      </c>
      <c r="M3027" s="9"/>
      <c r="N3027" s="9"/>
      <c r="P3027" s="14"/>
      <c r="Q3027" s="85"/>
      <c r="R3027" s="89"/>
      <c r="U3027" s="11" t="str">
        <f t="shared" si="292"/>
        <v/>
      </c>
      <c r="V3027" s="12" t="str">
        <f t="shared" si="293"/>
        <v/>
      </c>
      <c r="Z3027" s="15"/>
    </row>
    <row r="3028" spans="1:26" x14ac:dyDescent="0.25">
      <c r="A3028" s="15" t="str">
        <f>IF(C3028="","",COUNTA($C$3:C3028))</f>
        <v/>
      </c>
      <c r="B3028" s="15" t="str">
        <f t="shared" si="294"/>
        <v/>
      </c>
      <c r="M3028" s="9"/>
      <c r="N3028" s="9"/>
      <c r="P3028" s="14"/>
      <c r="Q3028" s="85"/>
      <c r="R3028" s="89"/>
      <c r="U3028" s="11" t="str">
        <f t="shared" si="292"/>
        <v/>
      </c>
      <c r="V3028" s="12" t="str">
        <f t="shared" si="293"/>
        <v/>
      </c>
      <c r="Z3028" s="15"/>
    </row>
    <row r="3029" spans="1:26" x14ac:dyDescent="0.25">
      <c r="A3029" s="15" t="str">
        <f>IF(C3029="","",COUNTA($C$3:C3029))</f>
        <v/>
      </c>
      <c r="B3029" s="15" t="str">
        <f t="shared" si="294"/>
        <v/>
      </c>
      <c r="M3029" s="9"/>
      <c r="N3029" s="9"/>
      <c r="P3029" s="14"/>
      <c r="Q3029" s="85"/>
      <c r="R3029" s="89"/>
      <c r="U3029" s="11" t="str">
        <f t="shared" si="292"/>
        <v/>
      </c>
      <c r="V3029" s="12" t="str">
        <f t="shared" si="293"/>
        <v/>
      </c>
      <c r="Z3029" s="15"/>
    </row>
    <row r="3030" spans="1:26" x14ac:dyDescent="0.25">
      <c r="A3030" s="15" t="str">
        <f>IF(C3030="","",COUNTA($C$3:C3030))</f>
        <v/>
      </c>
      <c r="B3030" s="15" t="str">
        <f t="shared" si="294"/>
        <v/>
      </c>
      <c r="M3030" s="9"/>
      <c r="N3030" s="9"/>
      <c r="P3030" s="14"/>
      <c r="Q3030" s="85"/>
      <c r="R3030" s="89"/>
      <c r="U3030" s="11" t="str">
        <f t="shared" si="292"/>
        <v/>
      </c>
      <c r="V3030" s="12" t="str">
        <f t="shared" si="293"/>
        <v/>
      </c>
      <c r="Z3030" s="15"/>
    </row>
    <row r="3031" spans="1:26" x14ac:dyDescent="0.25">
      <c r="A3031" s="15" t="str">
        <f>IF(C3031="","",COUNTA($C$3:C3031))</f>
        <v/>
      </c>
      <c r="B3031" s="15" t="str">
        <f t="shared" si="294"/>
        <v/>
      </c>
      <c r="M3031" s="9"/>
      <c r="N3031" s="9"/>
      <c r="P3031" s="14"/>
      <c r="Q3031" s="85"/>
      <c r="R3031" s="89"/>
      <c r="U3031" s="11" t="str">
        <f t="shared" si="292"/>
        <v/>
      </c>
      <c r="V3031" s="12" t="str">
        <f t="shared" si="293"/>
        <v/>
      </c>
      <c r="Z3031" s="15"/>
    </row>
    <row r="3032" spans="1:26" x14ac:dyDescent="0.25">
      <c r="A3032" s="15" t="str">
        <f>IF(C3032="","",COUNTA($C$3:C3032))</f>
        <v/>
      </c>
      <c r="B3032" s="15" t="str">
        <f t="shared" si="294"/>
        <v/>
      </c>
      <c r="M3032" s="9"/>
      <c r="N3032" s="9"/>
      <c r="P3032" s="14"/>
      <c r="Q3032" s="85"/>
      <c r="R3032" s="89"/>
      <c r="U3032" s="11" t="str">
        <f t="shared" si="292"/>
        <v/>
      </c>
      <c r="V3032" s="12" t="str">
        <f t="shared" si="293"/>
        <v/>
      </c>
      <c r="Z3032" s="15"/>
    </row>
    <row r="3033" spans="1:26" x14ac:dyDescent="0.25">
      <c r="A3033" s="15" t="str">
        <f>IF(C3033="","",COUNTA($C$3:C3033))</f>
        <v/>
      </c>
      <c r="B3033" s="15" t="str">
        <f t="shared" si="294"/>
        <v/>
      </c>
      <c r="M3033" s="9"/>
      <c r="N3033" s="9"/>
      <c r="P3033" s="14"/>
      <c r="Q3033" s="85"/>
      <c r="R3033" s="89"/>
      <c r="U3033" s="11" t="str">
        <f t="shared" si="292"/>
        <v/>
      </c>
      <c r="V3033" s="12" t="str">
        <f t="shared" si="293"/>
        <v/>
      </c>
      <c r="Z3033" s="15"/>
    </row>
    <row r="3034" spans="1:26" x14ac:dyDescent="0.25">
      <c r="A3034" s="15" t="str">
        <f>IF(C3034="","",COUNTA($C$3:C3034))</f>
        <v/>
      </c>
      <c r="B3034" s="15" t="str">
        <f t="shared" si="294"/>
        <v/>
      </c>
      <c r="M3034" s="9"/>
      <c r="N3034" s="9"/>
      <c r="P3034" s="14"/>
      <c r="Q3034" s="85"/>
      <c r="R3034" s="89"/>
      <c r="U3034" s="11" t="str">
        <f t="shared" si="292"/>
        <v/>
      </c>
      <c r="V3034" s="12" t="str">
        <f t="shared" si="293"/>
        <v/>
      </c>
      <c r="Z3034" s="15"/>
    </row>
    <row r="3035" spans="1:26" x14ac:dyDescent="0.25">
      <c r="A3035" s="15" t="str">
        <f>IF(C3035="","",COUNTA($C$3:C3035))</f>
        <v/>
      </c>
      <c r="B3035" s="15" t="str">
        <f t="shared" si="294"/>
        <v/>
      </c>
      <c r="M3035" s="9"/>
      <c r="N3035" s="9"/>
      <c r="P3035" s="14"/>
      <c r="Q3035" s="85"/>
      <c r="R3035" s="89"/>
      <c r="U3035" s="11" t="str">
        <f t="shared" si="292"/>
        <v/>
      </c>
      <c r="V3035" s="12" t="str">
        <f t="shared" si="293"/>
        <v/>
      </c>
      <c r="Z3035" s="15"/>
    </row>
    <row r="3036" spans="1:26" x14ac:dyDescent="0.25">
      <c r="A3036" s="15" t="str">
        <f>IF(C3036="","",COUNTA($C$3:C3036))</f>
        <v/>
      </c>
      <c r="B3036" s="15" t="str">
        <f t="shared" si="294"/>
        <v/>
      </c>
      <c r="M3036" s="9"/>
      <c r="N3036" s="9"/>
      <c r="P3036" s="14"/>
      <c r="Q3036" s="85"/>
      <c r="R3036" s="89"/>
      <c r="U3036" s="11" t="str">
        <f t="shared" si="292"/>
        <v/>
      </c>
      <c r="V3036" s="12" t="str">
        <f t="shared" si="293"/>
        <v/>
      </c>
      <c r="Z3036" s="15"/>
    </row>
    <row r="3037" spans="1:26" x14ac:dyDescent="0.25">
      <c r="A3037" s="15" t="str">
        <f>IF(C3037="","",COUNTA($C$3:C3037))</f>
        <v/>
      </c>
      <c r="B3037" s="15" t="str">
        <f t="shared" si="294"/>
        <v/>
      </c>
      <c r="M3037" s="9"/>
      <c r="N3037" s="9"/>
      <c r="P3037" s="14"/>
      <c r="Q3037" s="85"/>
      <c r="R3037" s="89"/>
      <c r="U3037" s="11" t="str">
        <f t="shared" si="292"/>
        <v/>
      </c>
      <c r="V3037" s="12" t="str">
        <f t="shared" si="293"/>
        <v/>
      </c>
      <c r="Z3037" s="15"/>
    </row>
    <row r="3038" spans="1:26" x14ac:dyDescent="0.25">
      <c r="A3038" s="15" t="str">
        <f>IF(C3038="","",COUNTA($C$3:C3038))</f>
        <v/>
      </c>
      <c r="B3038" s="15" t="str">
        <f t="shared" si="294"/>
        <v/>
      </c>
      <c r="M3038" s="9"/>
      <c r="N3038" s="9"/>
      <c r="P3038" s="14"/>
      <c r="Q3038" s="85"/>
      <c r="R3038" s="89"/>
      <c r="U3038" s="11" t="str">
        <f t="shared" si="292"/>
        <v/>
      </c>
      <c r="V3038" s="12" t="str">
        <f t="shared" si="293"/>
        <v/>
      </c>
      <c r="Z3038" s="15"/>
    </row>
    <row r="3039" spans="1:26" x14ac:dyDescent="0.25">
      <c r="A3039" s="15" t="str">
        <f>IF(C3039="","",COUNTA($C$3:C3039))</f>
        <v/>
      </c>
      <c r="B3039" s="15" t="str">
        <f t="shared" si="294"/>
        <v/>
      </c>
      <c r="M3039" s="9"/>
      <c r="N3039" s="9"/>
      <c r="P3039" s="14"/>
      <c r="Q3039" s="85"/>
      <c r="R3039" s="89"/>
      <c r="U3039" s="11" t="str">
        <f t="shared" si="292"/>
        <v/>
      </c>
      <c r="V3039" s="12" t="str">
        <f t="shared" si="293"/>
        <v/>
      </c>
      <c r="Z3039" s="15"/>
    </row>
    <row r="3040" spans="1:26" x14ac:dyDescent="0.25">
      <c r="A3040" s="15" t="str">
        <f>IF(C3040="","",COUNTA($C$3:C3040))</f>
        <v/>
      </c>
      <c r="B3040" s="15" t="str">
        <f t="shared" si="294"/>
        <v/>
      </c>
      <c r="M3040" s="9"/>
      <c r="N3040" s="9"/>
      <c r="P3040" s="14"/>
      <c r="Q3040" s="85"/>
      <c r="R3040" s="89"/>
      <c r="U3040" s="11" t="str">
        <f t="shared" si="292"/>
        <v/>
      </c>
      <c r="V3040" s="12" t="str">
        <f t="shared" si="293"/>
        <v/>
      </c>
      <c r="Z3040" s="15"/>
    </row>
    <row r="3041" spans="1:26" x14ac:dyDescent="0.25">
      <c r="A3041" s="15" t="str">
        <f>IF(C3041="","",COUNTA($C$3:C3041))</f>
        <v/>
      </c>
      <c r="B3041" s="15" t="str">
        <f t="shared" si="294"/>
        <v/>
      </c>
      <c r="M3041" s="9"/>
      <c r="N3041" s="9"/>
      <c r="P3041" s="14"/>
      <c r="Q3041" s="85"/>
      <c r="R3041" s="89"/>
      <c r="U3041" s="11" t="str">
        <f t="shared" si="292"/>
        <v/>
      </c>
      <c r="V3041" s="12" t="str">
        <f t="shared" si="293"/>
        <v/>
      </c>
      <c r="Z3041" s="15"/>
    </row>
    <row r="3042" spans="1:26" x14ac:dyDescent="0.25">
      <c r="A3042" s="15" t="str">
        <f>IF(C3042="","",COUNTA($C$3:C3042))</f>
        <v/>
      </c>
      <c r="B3042" s="15" t="str">
        <f t="shared" si="294"/>
        <v/>
      </c>
      <c r="M3042" s="9"/>
      <c r="N3042" s="9"/>
      <c r="P3042" s="14"/>
      <c r="Q3042" s="85"/>
      <c r="R3042" s="89"/>
      <c r="U3042" s="11" t="str">
        <f t="shared" si="292"/>
        <v/>
      </c>
      <c r="V3042" s="12" t="str">
        <f t="shared" si="293"/>
        <v/>
      </c>
      <c r="Z3042" s="15"/>
    </row>
    <row r="3043" spans="1:26" x14ac:dyDescent="0.25">
      <c r="A3043" s="15" t="str">
        <f>IF(C3043="","",COUNTA($C$3:C3043))</f>
        <v/>
      </c>
      <c r="B3043" s="15" t="str">
        <f t="shared" si="294"/>
        <v/>
      </c>
      <c r="M3043" s="9"/>
      <c r="N3043" s="9"/>
      <c r="P3043" s="14"/>
      <c r="Q3043" s="85"/>
      <c r="R3043" s="89"/>
      <c r="U3043" s="11" t="str">
        <f t="shared" si="292"/>
        <v/>
      </c>
      <c r="V3043" s="12" t="str">
        <f t="shared" si="293"/>
        <v/>
      </c>
      <c r="Z3043" s="15"/>
    </row>
    <row r="3044" spans="1:26" x14ac:dyDescent="0.25">
      <c r="A3044" s="15" t="str">
        <f>IF(C3044="","",COUNTA($C$3:C3044))</f>
        <v/>
      </c>
      <c r="B3044" s="15" t="str">
        <f t="shared" si="294"/>
        <v/>
      </c>
      <c r="M3044" s="9"/>
      <c r="N3044" s="9"/>
      <c r="P3044" s="14"/>
      <c r="Q3044" s="85"/>
      <c r="R3044" s="89"/>
      <c r="U3044" s="11" t="str">
        <f t="shared" si="292"/>
        <v/>
      </c>
      <c r="V3044" s="12" t="str">
        <f t="shared" si="293"/>
        <v/>
      </c>
      <c r="Z3044" s="15"/>
    </row>
    <row r="3045" spans="1:26" x14ac:dyDescent="0.25">
      <c r="A3045" s="15" t="str">
        <f>IF(C3045="","",COUNTA($C$3:C3045))</f>
        <v/>
      </c>
      <c r="B3045" s="15" t="str">
        <f t="shared" si="294"/>
        <v/>
      </c>
      <c r="M3045" s="9"/>
      <c r="N3045" s="9"/>
      <c r="P3045" s="14"/>
      <c r="Q3045" s="85"/>
      <c r="R3045" s="89"/>
      <c r="U3045" s="11" t="str">
        <f t="shared" si="292"/>
        <v/>
      </c>
      <c r="V3045" s="12" t="str">
        <f t="shared" si="293"/>
        <v/>
      </c>
      <c r="Z3045" s="15"/>
    </row>
    <row r="3046" spans="1:26" x14ac:dyDescent="0.25">
      <c r="A3046" s="15" t="str">
        <f>IF(C3046="","",COUNTA($C$3:C3046))</f>
        <v/>
      </c>
      <c r="B3046" s="15" t="str">
        <f t="shared" si="294"/>
        <v/>
      </c>
      <c r="M3046" s="9"/>
      <c r="N3046" s="9"/>
      <c r="P3046" s="14"/>
      <c r="Q3046" s="85"/>
      <c r="R3046" s="89"/>
      <c r="U3046" s="11" t="str">
        <f t="shared" si="292"/>
        <v/>
      </c>
      <c r="V3046" s="12" t="str">
        <f t="shared" si="293"/>
        <v/>
      </c>
      <c r="Z3046" s="15"/>
    </row>
    <row r="3047" spans="1:26" x14ac:dyDescent="0.25">
      <c r="A3047" s="15" t="str">
        <f>IF(C3047="","",COUNTA($C$3:C3047))</f>
        <v/>
      </c>
      <c r="B3047" s="15" t="str">
        <f t="shared" si="294"/>
        <v/>
      </c>
      <c r="M3047" s="9"/>
      <c r="N3047" s="9"/>
      <c r="P3047" s="14"/>
      <c r="Q3047" s="85"/>
      <c r="R3047" s="89"/>
      <c r="U3047" s="11" t="str">
        <f t="shared" si="292"/>
        <v/>
      </c>
      <c r="V3047" s="12" t="str">
        <f t="shared" si="293"/>
        <v/>
      </c>
      <c r="Z3047" s="15"/>
    </row>
    <row r="3048" spans="1:26" x14ac:dyDescent="0.25">
      <c r="A3048" s="15" t="str">
        <f>IF(C3048="","",COUNTA($C$3:C3048))</f>
        <v/>
      </c>
      <c r="B3048" s="15" t="str">
        <f t="shared" si="294"/>
        <v/>
      </c>
      <c r="M3048" s="9"/>
      <c r="N3048" s="9"/>
      <c r="P3048" s="14"/>
      <c r="Q3048" s="85"/>
      <c r="R3048" s="89"/>
      <c r="U3048" s="11" t="str">
        <f t="shared" si="292"/>
        <v/>
      </c>
      <c r="V3048" s="12" t="str">
        <f t="shared" si="293"/>
        <v/>
      </c>
      <c r="Z3048" s="15"/>
    </row>
    <row r="3049" spans="1:26" x14ac:dyDescent="0.25">
      <c r="A3049" s="15" t="str">
        <f>IF(C3049="","",COUNTA($C$3:C3049))</f>
        <v/>
      </c>
      <c r="B3049" s="15" t="str">
        <f t="shared" si="294"/>
        <v/>
      </c>
      <c r="M3049" s="9"/>
      <c r="N3049" s="9"/>
      <c r="P3049" s="14"/>
      <c r="Q3049" s="85"/>
      <c r="R3049" s="89"/>
      <c r="U3049" s="11" t="str">
        <f t="shared" si="292"/>
        <v/>
      </c>
      <c r="V3049" s="12" t="str">
        <f t="shared" si="293"/>
        <v/>
      </c>
      <c r="Z3049" s="15"/>
    </row>
    <row r="3050" spans="1:26" x14ac:dyDescent="0.25">
      <c r="A3050" s="15" t="str">
        <f>IF(C3050="","",COUNTA($C$3:C3050))</f>
        <v/>
      </c>
      <c r="B3050" s="15" t="str">
        <f t="shared" si="294"/>
        <v/>
      </c>
      <c r="M3050" s="9"/>
      <c r="N3050" s="9"/>
      <c r="P3050" s="14"/>
      <c r="Q3050" s="85"/>
      <c r="R3050" s="89"/>
      <c r="U3050" s="11" t="str">
        <f t="shared" si="292"/>
        <v/>
      </c>
      <c r="V3050" s="12" t="str">
        <f t="shared" si="293"/>
        <v/>
      </c>
      <c r="Z3050" s="15"/>
    </row>
    <row r="3051" spans="1:26" x14ac:dyDescent="0.25">
      <c r="A3051" s="15" t="str">
        <f>IF(C3051="","",COUNTA($C$3:C3051))</f>
        <v/>
      </c>
      <c r="B3051" s="15" t="str">
        <f t="shared" si="294"/>
        <v/>
      </c>
      <c r="M3051" s="9"/>
      <c r="N3051" s="9"/>
      <c r="P3051" s="14"/>
      <c r="Q3051" s="85"/>
      <c r="R3051" s="89"/>
      <c r="U3051" s="11" t="str">
        <f t="shared" si="292"/>
        <v/>
      </c>
      <c r="V3051" s="12" t="str">
        <f t="shared" si="293"/>
        <v/>
      </c>
      <c r="Z3051" s="15"/>
    </row>
    <row r="3052" spans="1:26" x14ac:dyDescent="0.25">
      <c r="A3052" s="15" t="str">
        <f>IF(C3052="","",COUNTA($C$3:C3052))</f>
        <v/>
      </c>
      <c r="B3052" s="15" t="str">
        <f t="shared" si="294"/>
        <v/>
      </c>
      <c r="M3052" s="9"/>
      <c r="N3052" s="9"/>
      <c r="P3052" s="14"/>
      <c r="Q3052" s="85"/>
      <c r="R3052" s="89"/>
      <c r="U3052" s="11" t="str">
        <f t="shared" si="292"/>
        <v/>
      </c>
      <c r="V3052" s="12" t="str">
        <f t="shared" si="293"/>
        <v/>
      </c>
      <c r="Z3052" s="15"/>
    </row>
    <row r="3053" spans="1:26" x14ac:dyDescent="0.25">
      <c r="A3053" s="15" t="str">
        <f>IF(C3053="","",COUNTA($C$3:C3053))</f>
        <v/>
      </c>
      <c r="B3053" s="15" t="str">
        <f t="shared" si="294"/>
        <v/>
      </c>
      <c r="M3053" s="9"/>
      <c r="N3053" s="9"/>
      <c r="P3053" s="14"/>
      <c r="Q3053" s="85"/>
      <c r="R3053" s="89"/>
      <c r="U3053" s="11" t="str">
        <f t="shared" si="292"/>
        <v/>
      </c>
      <c r="V3053" s="12" t="str">
        <f t="shared" si="293"/>
        <v/>
      </c>
      <c r="Z3053" s="15"/>
    </row>
    <row r="3054" spans="1:26" x14ac:dyDescent="0.25">
      <c r="A3054" s="15" t="str">
        <f>IF(C3054="","",COUNTA($C$3:C3054))</f>
        <v/>
      </c>
      <c r="B3054" s="15" t="str">
        <f t="shared" si="294"/>
        <v/>
      </c>
      <c r="M3054" s="9"/>
      <c r="N3054" s="9"/>
      <c r="P3054" s="14"/>
      <c r="Q3054" s="85"/>
      <c r="R3054" s="89"/>
      <c r="U3054" s="11" t="str">
        <f t="shared" si="292"/>
        <v/>
      </c>
      <c r="V3054" s="12" t="str">
        <f t="shared" si="293"/>
        <v/>
      </c>
      <c r="Z3054" s="15"/>
    </row>
    <row r="3055" spans="1:26" x14ac:dyDescent="0.25">
      <c r="A3055" s="15" t="str">
        <f>IF(C3055="","",COUNTA($C$3:C3055))</f>
        <v/>
      </c>
      <c r="B3055" s="15" t="str">
        <f t="shared" si="294"/>
        <v/>
      </c>
      <c r="M3055" s="9"/>
      <c r="N3055" s="9"/>
      <c r="P3055" s="14"/>
      <c r="Q3055" s="85"/>
      <c r="R3055" s="89"/>
      <c r="U3055" s="11" t="str">
        <f t="shared" si="292"/>
        <v/>
      </c>
      <c r="V3055" s="12" t="str">
        <f t="shared" si="293"/>
        <v/>
      </c>
      <c r="Z3055" s="15"/>
    </row>
    <row r="3056" spans="1:26" x14ac:dyDescent="0.25">
      <c r="A3056" s="15" t="str">
        <f>IF(C3056="","",COUNTA($C$3:C3056))</f>
        <v/>
      </c>
      <c r="B3056" s="15" t="str">
        <f t="shared" si="294"/>
        <v/>
      </c>
      <c r="M3056" s="9"/>
      <c r="N3056" s="9"/>
      <c r="P3056" s="14"/>
      <c r="Q3056" s="85"/>
      <c r="R3056" s="89"/>
      <c r="U3056" s="11" t="str">
        <f t="shared" si="292"/>
        <v/>
      </c>
      <c r="V3056" s="12" t="str">
        <f t="shared" si="293"/>
        <v/>
      </c>
      <c r="Z3056" s="15"/>
    </row>
    <row r="3057" spans="1:26" x14ac:dyDescent="0.25">
      <c r="A3057" s="15" t="str">
        <f>IF(C3057="","",COUNTA($C$3:C3057))</f>
        <v/>
      </c>
      <c r="B3057" s="15" t="str">
        <f t="shared" si="294"/>
        <v/>
      </c>
      <c r="M3057" s="9"/>
      <c r="N3057" s="9"/>
      <c r="P3057" s="14"/>
      <c r="Q3057" s="85"/>
      <c r="R3057" s="89"/>
      <c r="U3057" s="11" t="str">
        <f t="shared" si="292"/>
        <v/>
      </c>
      <c r="V3057" s="12" t="str">
        <f t="shared" si="293"/>
        <v/>
      </c>
      <c r="Z3057" s="15"/>
    </row>
    <row r="3058" spans="1:26" x14ac:dyDescent="0.25">
      <c r="A3058" s="15" t="str">
        <f>IF(C3058="","",COUNTA($C$3:C3058))</f>
        <v/>
      </c>
      <c r="B3058" s="15" t="str">
        <f t="shared" si="294"/>
        <v/>
      </c>
      <c r="M3058" s="9"/>
      <c r="N3058" s="9"/>
      <c r="P3058" s="14"/>
      <c r="Q3058" s="85"/>
      <c r="R3058" s="89"/>
      <c r="U3058" s="11" t="str">
        <f t="shared" si="292"/>
        <v/>
      </c>
      <c r="V3058" s="12" t="str">
        <f t="shared" si="293"/>
        <v/>
      </c>
      <c r="Z3058" s="15"/>
    </row>
    <row r="3059" spans="1:26" x14ac:dyDescent="0.25">
      <c r="A3059" s="15" t="str">
        <f>IF(C3059="","",COUNTA($C$3:C3059))</f>
        <v/>
      </c>
      <c r="B3059" s="15" t="str">
        <f t="shared" si="294"/>
        <v/>
      </c>
      <c r="M3059" s="9"/>
      <c r="N3059" s="9"/>
      <c r="P3059" s="14"/>
      <c r="Q3059" s="85"/>
      <c r="R3059" s="89"/>
      <c r="U3059" s="11" t="str">
        <f t="shared" si="292"/>
        <v/>
      </c>
      <c r="V3059" s="12" t="str">
        <f t="shared" si="293"/>
        <v/>
      </c>
      <c r="Z3059" s="15"/>
    </row>
    <row r="3060" spans="1:26" x14ac:dyDescent="0.25">
      <c r="A3060" s="15" t="str">
        <f>IF(C3060="","",COUNTA($C$3:C3060))</f>
        <v/>
      </c>
      <c r="B3060" s="15" t="str">
        <f t="shared" si="294"/>
        <v/>
      </c>
      <c r="M3060" s="9"/>
      <c r="N3060" s="9"/>
      <c r="P3060" s="14"/>
      <c r="Q3060" s="85"/>
      <c r="R3060" s="89"/>
      <c r="U3060" s="11" t="str">
        <f t="shared" si="292"/>
        <v/>
      </c>
      <c r="V3060" s="12" t="str">
        <f t="shared" si="293"/>
        <v/>
      </c>
      <c r="Z3060" s="15"/>
    </row>
    <row r="3061" spans="1:26" x14ac:dyDescent="0.25">
      <c r="A3061" s="15" t="str">
        <f>IF(C3061="","",COUNTA($C$3:C3061))</f>
        <v/>
      </c>
      <c r="B3061" s="15" t="str">
        <f t="shared" si="294"/>
        <v/>
      </c>
      <c r="M3061" s="9"/>
      <c r="N3061" s="9"/>
      <c r="P3061" s="14"/>
      <c r="Q3061" s="85"/>
      <c r="R3061" s="89"/>
      <c r="U3061" s="11" t="str">
        <f t="shared" si="292"/>
        <v/>
      </c>
      <c r="V3061" s="12" t="str">
        <f t="shared" si="293"/>
        <v/>
      </c>
      <c r="Z3061" s="15"/>
    </row>
    <row r="3062" spans="1:26" x14ac:dyDescent="0.25">
      <c r="A3062" s="15" t="str">
        <f>IF(C3062="","",COUNTA($C$3:C3062))</f>
        <v/>
      </c>
      <c r="B3062" s="15" t="str">
        <f t="shared" si="294"/>
        <v/>
      </c>
      <c r="M3062" s="9"/>
      <c r="N3062" s="9"/>
      <c r="P3062" s="14"/>
      <c r="Q3062" s="85"/>
      <c r="R3062" s="89"/>
      <c r="U3062" s="11" t="str">
        <f t="shared" si="292"/>
        <v/>
      </c>
      <c r="V3062" s="12" t="str">
        <f t="shared" si="293"/>
        <v/>
      </c>
      <c r="Z3062" s="15"/>
    </row>
    <row r="3063" spans="1:26" x14ac:dyDescent="0.25">
      <c r="A3063" s="15" t="str">
        <f>IF(C3063="","",COUNTA($C$3:C3063))</f>
        <v/>
      </c>
      <c r="B3063" s="15" t="str">
        <f t="shared" si="294"/>
        <v/>
      </c>
      <c r="M3063" s="9"/>
      <c r="N3063" s="9"/>
      <c r="P3063" s="14"/>
      <c r="Q3063" s="85"/>
      <c r="R3063" s="89"/>
      <c r="U3063" s="11" t="str">
        <f t="shared" si="292"/>
        <v/>
      </c>
      <c r="V3063" s="12" t="str">
        <f t="shared" si="293"/>
        <v/>
      </c>
      <c r="Z3063" s="15"/>
    </row>
    <row r="3064" spans="1:26" x14ac:dyDescent="0.25">
      <c r="A3064" s="15" t="str">
        <f>IF(C3064="","",COUNTA($C$3:C3064))</f>
        <v/>
      </c>
      <c r="B3064" s="15" t="str">
        <f t="shared" si="294"/>
        <v/>
      </c>
      <c r="M3064" s="9"/>
      <c r="N3064" s="9"/>
      <c r="P3064" s="14"/>
      <c r="Q3064" s="85"/>
      <c r="R3064" s="89"/>
      <c r="U3064" s="11" t="str">
        <f t="shared" si="292"/>
        <v/>
      </c>
      <c r="V3064" s="12" t="str">
        <f t="shared" si="293"/>
        <v/>
      </c>
      <c r="Z3064" s="15"/>
    </row>
    <row r="3065" spans="1:26" x14ac:dyDescent="0.25">
      <c r="A3065" s="15" t="str">
        <f>IF(C3065="","",COUNTA($C$3:C3065))</f>
        <v/>
      </c>
      <c r="B3065" s="15" t="str">
        <f t="shared" si="294"/>
        <v/>
      </c>
      <c r="M3065" s="9"/>
      <c r="N3065" s="9"/>
      <c r="P3065" s="14"/>
      <c r="Q3065" s="85"/>
      <c r="R3065" s="89"/>
      <c r="U3065" s="11" t="str">
        <f t="shared" si="292"/>
        <v/>
      </c>
      <c r="V3065" s="12" t="str">
        <f t="shared" si="293"/>
        <v/>
      </c>
      <c r="Z3065" s="15"/>
    </row>
    <row r="3066" spans="1:26" x14ac:dyDescent="0.25">
      <c r="A3066" s="15" t="str">
        <f>IF(C3066="","",COUNTA($C$3:C3066))</f>
        <v/>
      </c>
      <c r="B3066" s="15" t="str">
        <f t="shared" si="294"/>
        <v/>
      </c>
      <c r="M3066" s="9"/>
      <c r="N3066" s="9"/>
      <c r="P3066" s="14"/>
      <c r="Q3066" s="85"/>
      <c r="R3066" s="89"/>
      <c r="U3066" s="11" t="str">
        <f t="shared" si="292"/>
        <v/>
      </c>
      <c r="V3066" s="12" t="str">
        <f t="shared" si="293"/>
        <v/>
      </c>
      <c r="Z3066" s="15"/>
    </row>
    <row r="3067" spans="1:26" x14ac:dyDescent="0.25">
      <c r="A3067" s="15" t="str">
        <f>IF(C3067="","",COUNTA($C$3:C3067))</f>
        <v/>
      </c>
      <c r="B3067" s="15" t="str">
        <f t="shared" si="294"/>
        <v/>
      </c>
      <c r="M3067" s="9"/>
      <c r="N3067" s="9"/>
      <c r="P3067" s="14"/>
      <c r="Q3067" s="85"/>
      <c r="R3067" s="89"/>
      <c r="U3067" s="11" t="str">
        <f t="shared" si="292"/>
        <v/>
      </c>
      <c r="V3067" s="12" t="str">
        <f t="shared" si="293"/>
        <v/>
      </c>
      <c r="Z3067" s="15"/>
    </row>
    <row r="3068" spans="1:26" x14ac:dyDescent="0.25">
      <c r="A3068" s="15" t="str">
        <f>IF(C3068="","",COUNTA($C$3:C3068))</f>
        <v/>
      </c>
      <c r="B3068" s="15" t="str">
        <f t="shared" si="294"/>
        <v/>
      </c>
      <c r="M3068" s="9"/>
      <c r="N3068" s="9"/>
      <c r="P3068" s="14"/>
      <c r="Q3068" s="85"/>
      <c r="R3068" s="89"/>
      <c r="U3068" s="11" t="str">
        <f t="shared" si="292"/>
        <v/>
      </c>
      <c r="V3068" s="12" t="str">
        <f t="shared" si="293"/>
        <v/>
      </c>
      <c r="Z3068" s="15"/>
    </row>
    <row r="3069" spans="1:26" x14ac:dyDescent="0.25">
      <c r="A3069" s="15" t="str">
        <f>IF(C3069="","",COUNTA($C$3:C3069))</f>
        <v/>
      </c>
      <c r="B3069" s="15" t="str">
        <f t="shared" si="294"/>
        <v/>
      </c>
      <c r="M3069" s="9"/>
      <c r="N3069" s="9"/>
      <c r="P3069" s="14"/>
      <c r="Q3069" s="85"/>
      <c r="R3069" s="89"/>
      <c r="U3069" s="11" t="str">
        <f t="shared" si="292"/>
        <v/>
      </c>
      <c r="V3069" s="12" t="str">
        <f t="shared" si="293"/>
        <v/>
      </c>
      <c r="Z3069" s="15"/>
    </row>
    <row r="3070" spans="1:26" x14ac:dyDescent="0.25">
      <c r="A3070" s="15" t="str">
        <f>IF(C3070="","",COUNTA($C$3:C3070))</f>
        <v/>
      </c>
      <c r="B3070" s="15" t="str">
        <f t="shared" si="294"/>
        <v/>
      </c>
      <c r="M3070" s="9"/>
      <c r="N3070" s="9"/>
      <c r="P3070" s="14"/>
      <c r="Q3070" s="85"/>
      <c r="R3070" s="89"/>
      <c r="U3070" s="11" t="str">
        <f t="shared" si="292"/>
        <v/>
      </c>
      <c r="V3070" s="12" t="str">
        <f t="shared" si="293"/>
        <v/>
      </c>
      <c r="Z3070" s="15"/>
    </row>
    <row r="3071" spans="1:26" x14ac:dyDescent="0.25">
      <c r="A3071" s="15" t="str">
        <f>IF(C3071="","",COUNTA($C$3:C3071))</f>
        <v/>
      </c>
      <c r="B3071" s="15" t="str">
        <f t="shared" si="294"/>
        <v/>
      </c>
      <c r="M3071" s="9"/>
      <c r="N3071" s="9"/>
      <c r="P3071" s="14"/>
      <c r="Q3071" s="85"/>
      <c r="R3071" s="89"/>
      <c r="U3071" s="11" t="str">
        <f t="shared" si="292"/>
        <v/>
      </c>
      <c r="V3071" s="12" t="str">
        <f t="shared" si="293"/>
        <v/>
      </c>
      <c r="Z3071" s="15"/>
    </row>
    <row r="3072" spans="1:26" x14ac:dyDescent="0.25">
      <c r="A3072" s="15" t="str">
        <f>IF(C3072="","",COUNTA($C$3:C3072))</f>
        <v/>
      </c>
      <c r="B3072" s="15" t="str">
        <f t="shared" si="294"/>
        <v/>
      </c>
      <c r="M3072" s="9"/>
      <c r="N3072" s="9"/>
      <c r="P3072" s="14"/>
      <c r="Q3072" s="85"/>
      <c r="R3072" s="89"/>
      <c r="U3072" s="11" t="str">
        <f t="shared" si="292"/>
        <v/>
      </c>
      <c r="V3072" s="12" t="str">
        <f t="shared" si="293"/>
        <v/>
      </c>
      <c r="Z3072" s="15"/>
    </row>
    <row r="3073" spans="1:26" x14ac:dyDescent="0.25">
      <c r="A3073" s="15" t="str">
        <f>IF(C3073="","",COUNTA($C$3:C3073))</f>
        <v/>
      </c>
      <c r="B3073" s="15" t="str">
        <f t="shared" si="294"/>
        <v/>
      </c>
      <c r="M3073" s="9"/>
      <c r="N3073" s="9"/>
      <c r="P3073" s="14"/>
      <c r="Q3073" s="85"/>
      <c r="R3073" s="89"/>
      <c r="U3073" s="11" t="str">
        <f t="shared" si="292"/>
        <v/>
      </c>
      <c r="V3073" s="12" t="str">
        <f t="shared" si="293"/>
        <v/>
      </c>
      <c r="Z3073" s="15"/>
    </row>
    <row r="3074" spans="1:26" x14ac:dyDescent="0.25">
      <c r="A3074" s="15" t="str">
        <f>IF(C3074="","",COUNTA($C$3:C3074))</f>
        <v/>
      </c>
      <c r="B3074" s="15" t="str">
        <f t="shared" si="294"/>
        <v/>
      </c>
      <c r="M3074" s="9"/>
      <c r="N3074" s="9"/>
      <c r="P3074" s="14"/>
      <c r="Q3074" s="85"/>
      <c r="R3074" s="89"/>
      <c r="U3074" s="11" t="str">
        <f t="shared" ref="U3074:U3137" si="295">IF(S3074="","",(S3074-T3074))</f>
        <v/>
      </c>
      <c r="V3074" s="12" t="str">
        <f t="shared" ref="V3074:V3137" si="296">IF(U3074="","",(U3074/T3074))</f>
        <v/>
      </c>
      <c r="Z3074" s="15"/>
    </row>
    <row r="3075" spans="1:26" x14ac:dyDescent="0.25">
      <c r="A3075" s="15" t="str">
        <f>IF(C3075="","",COUNTA($C$3:C3075))</f>
        <v/>
      </c>
      <c r="B3075" s="15" t="str">
        <f t="shared" ref="B3075:B3138" si="297">IF(C3075="","",TEXT(C3075,"mmmm"))</f>
        <v/>
      </c>
      <c r="M3075" s="9"/>
      <c r="N3075" s="9"/>
      <c r="P3075" s="14"/>
      <c r="Q3075" s="85"/>
      <c r="R3075" s="89"/>
      <c r="U3075" s="11" t="str">
        <f t="shared" si="295"/>
        <v/>
      </c>
      <c r="V3075" s="12" t="str">
        <f t="shared" si="296"/>
        <v/>
      </c>
      <c r="Z3075" s="15"/>
    </row>
    <row r="3076" spans="1:26" x14ac:dyDescent="0.25">
      <c r="A3076" s="15" t="str">
        <f>IF(C3076="","",COUNTA($C$3:C3076))</f>
        <v/>
      </c>
      <c r="B3076" s="15" t="str">
        <f t="shared" si="297"/>
        <v/>
      </c>
      <c r="M3076" s="9"/>
      <c r="N3076" s="9"/>
      <c r="P3076" s="14"/>
      <c r="Q3076" s="85"/>
      <c r="R3076" s="89"/>
      <c r="U3076" s="11" t="str">
        <f t="shared" si="295"/>
        <v/>
      </c>
      <c r="V3076" s="12" t="str">
        <f t="shared" si="296"/>
        <v/>
      </c>
      <c r="Z3076" s="15"/>
    </row>
    <row r="3077" spans="1:26" x14ac:dyDescent="0.25">
      <c r="A3077" s="15" t="str">
        <f>IF(C3077="","",COUNTA($C$3:C3077))</f>
        <v/>
      </c>
      <c r="B3077" s="15" t="str">
        <f t="shared" si="297"/>
        <v/>
      </c>
      <c r="M3077" s="9"/>
      <c r="N3077" s="9"/>
      <c r="P3077" s="14"/>
      <c r="Q3077" s="85"/>
      <c r="R3077" s="89"/>
      <c r="U3077" s="11" t="str">
        <f t="shared" si="295"/>
        <v/>
      </c>
      <c r="V3077" s="12" t="str">
        <f t="shared" si="296"/>
        <v/>
      </c>
      <c r="Z3077" s="15"/>
    </row>
    <row r="3078" spans="1:26" x14ac:dyDescent="0.25">
      <c r="A3078" s="15" t="str">
        <f>IF(C3078="","",COUNTA($C$3:C3078))</f>
        <v/>
      </c>
      <c r="B3078" s="15" t="str">
        <f t="shared" si="297"/>
        <v/>
      </c>
      <c r="M3078" s="9"/>
      <c r="N3078" s="9"/>
      <c r="P3078" s="14"/>
      <c r="Q3078" s="85"/>
      <c r="R3078" s="89"/>
      <c r="U3078" s="11" t="str">
        <f t="shared" si="295"/>
        <v/>
      </c>
      <c r="V3078" s="12" t="str">
        <f t="shared" si="296"/>
        <v/>
      </c>
      <c r="Z3078" s="15"/>
    </row>
    <row r="3079" spans="1:26" x14ac:dyDescent="0.25">
      <c r="A3079" s="15" t="str">
        <f>IF(C3079="","",COUNTA($C$3:C3079))</f>
        <v/>
      </c>
      <c r="B3079" s="15" t="str">
        <f t="shared" si="297"/>
        <v/>
      </c>
      <c r="M3079" s="9"/>
      <c r="N3079" s="9"/>
      <c r="P3079" s="14"/>
      <c r="Q3079" s="85"/>
      <c r="R3079" s="89"/>
      <c r="U3079" s="11" t="str">
        <f t="shared" si="295"/>
        <v/>
      </c>
      <c r="V3079" s="12" t="str">
        <f t="shared" si="296"/>
        <v/>
      </c>
      <c r="Z3079" s="15"/>
    </row>
    <row r="3080" spans="1:26" x14ac:dyDescent="0.25">
      <c r="A3080" s="15" t="str">
        <f>IF(C3080="","",COUNTA($C$3:C3080))</f>
        <v/>
      </c>
      <c r="B3080" s="15" t="str">
        <f t="shared" si="297"/>
        <v/>
      </c>
      <c r="M3080" s="9"/>
      <c r="N3080" s="9"/>
      <c r="P3080" s="14"/>
      <c r="Q3080" s="85"/>
      <c r="R3080" s="89"/>
      <c r="U3080" s="11" t="str">
        <f t="shared" si="295"/>
        <v/>
      </c>
      <c r="V3080" s="12" t="str">
        <f t="shared" si="296"/>
        <v/>
      </c>
      <c r="Z3080" s="15"/>
    </row>
    <row r="3081" spans="1:26" x14ac:dyDescent="0.25">
      <c r="A3081" s="15" t="str">
        <f>IF(C3081="","",COUNTA($C$3:C3081))</f>
        <v/>
      </c>
      <c r="B3081" s="15" t="str">
        <f t="shared" si="297"/>
        <v/>
      </c>
      <c r="M3081" s="9"/>
      <c r="N3081" s="9"/>
      <c r="P3081" s="14"/>
      <c r="Q3081" s="85"/>
      <c r="R3081" s="89"/>
      <c r="U3081" s="11" t="str">
        <f t="shared" si="295"/>
        <v/>
      </c>
      <c r="V3081" s="12" t="str">
        <f t="shared" si="296"/>
        <v/>
      </c>
      <c r="Z3081" s="15"/>
    </row>
    <row r="3082" spans="1:26" x14ac:dyDescent="0.25">
      <c r="A3082" s="15" t="str">
        <f>IF(C3082="","",COUNTA($C$3:C3082))</f>
        <v/>
      </c>
      <c r="B3082" s="15" t="str">
        <f t="shared" si="297"/>
        <v/>
      </c>
      <c r="M3082" s="9"/>
      <c r="N3082" s="9"/>
      <c r="P3082" s="14"/>
      <c r="Q3082" s="85"/>
      <c r="R3082" s="89"/>
      <c r="U3082" s="11" t="str">
        <f t="shared" si="295"/>
        <v/>
      </c>
      <c r="V3082" s="12" t="str">
        <f t="shared" si="296"/>
        <v/>
      </c>
      <c r="Z3082" s="15"/>
    </row>
    <row r="3083" spans="1:26" x14ac:dyDescent="0.25">
      <c r="A3083" s="15" t="str">
        <f>IF(C3083="","",COUNTA($C$3:C3083))</f>
        <v/>
      </c>
      <c r="B3083" s="15" t="str">
        <f t="shared" si="297"/>
        <v/>
      </c>
      <c r="M3083" s="9"/>
      <c r="N3083" s="9"/>
      <c r="P3083" s="14"/>
      <c r="Q3083" s="85"/>
      <c r="R3083" s="89"/>
      <c r="U3083" s="11" t="str">
        <f t="shared" si="295"/>
        <v/>
      </c>
      <c r="V3083" s="12" t="str">
        <f t="shared" si="296"/>
        <v/>
      </c>
      <c r="Z3083" s="15"/>
    </row>
    <row r="3084" spans="1:26" x14ac:dyDescent="0.25">
      <c r="A3084" s="15" t="str">
        <f>IF(C3084="","",COUNTA($C$3:C3084))</f>
        <v/>
      </c>
      <c r="B3084" s="15" t="str">
        <f t="shared" si="297"/>
        <v/>
      </c>
      <c r="M3084" s="9"/>
      <c r="N3084" s="9"/>
      <c r="P3084" s="14"/>
      <c r="Q3084" s="85"/>
      <c r="R3084" s="89"/>
      <c r="U3084" s="11" t="str">
        <f t="shared" si="295"/>
        <v/>
      </c>
      <c r="V3084" s="12" t="str">
        <f t="shared" si="296"/>
        <v/>
      </c>
      <c r="Z3084" s="15"/>
    </row>
    <row r="3085" spans="1:26" x14ac:dyDescent="0.25">
      <c r="A3085" s="15" t="str">
        <f>IF(C3085="","",COUNTA($C$3:C3085))</f>
        <v/>
      </c>
      <c r="B3085" s="15" t="str">
        <f t="shared" si="297"/>
        <v/>
      </c>
      <c r="M3085" s="9"/>
      <c r="N3085" s="9"/>
      <c r="P3085" s="14"/>
      <c r="Q3085" s="85"/>
      <c r="R3085" s="89"/>
      <c r="U3085" s="11" t="str">
        <f t="shared" si="295"/>
        <v/>
      </c>
      <c r="V3085" s="12" t="str">
        <f t="shared" si="296"/>
        <v/>
      </c>
      <c r="Z3085" s="15"/>
    </row>
    <row r="3086" spans="1:26" x14ac:dyDescent="0.25">
      <c r="A3086" s="15" t="str">
        <f>IF(C3086="","",COUNTA($C$3:C3086))</f>
        <v/>
      </c>
      <c r="B3086" s="15" t="str">
        <f t="shared" si="297"/>
        <v/>
      </c>
      <c r="M3086" s="9"/>
      <c r="N3086" s="9"/>
      <c r="P3086" s="14"/>
      <c r="Q3086" s="85"/>
      <c r="R3086" s="89"/>
      <c r="U3086" s="11" t="str">
        <f t="shared" si="295"/>
        <v/>
      </c>
      <c r="V3086" s="12" t="str">
        <f t="shared" si="296"/>
        <v/>
      </c>
      <c r="Z3086" s="15"/>
    </row>
    <row r="3087" spans="1:26" x14ac:dyDescent="0.25">
      <c r="A3087" s="15" t="str">
        <f>IF(C3087="","",COUNTA($C$3:C3087))</f>
        <v/>
      </c>
      <c r="B3087" s="15" t="str">
        <f t="shared" si="297"/>
        <v/>
      </c>
      <c r="M3087" s="9"/>
      <c r="N3087" s="9"/>
      <c r="P3087" s="14"/>
      <c r="Q3087" s="85"/>
      <c r="R3087" s="89"/>
      <c r="U3087" s="11" t="str">
        <f t="shared" si="295"/>
        <v/>
      </c>
      <c r="V3087" s="12" t="str">
        <f t="shared" si="296"/>
        <v/>
      </c>
      <c r="Z3087" s="15"/>
    </row>
    <row r="3088" spans="1:26" x14ac:dyDescent="0.25">
      <c r="A3088" s="15" t="str">
        <f>IF(C3088="","",COUNTA($C$3:C3088))</f>
        <v/>
      </c>
      <c r="B3088" s="15" t="str">
        <f t="shared" si="297"/>
        <v/>
      </c>
      <c r="M3088" s="9"/>
      <c r="N3088" s="9"/>
      <c r="P3088" s="14"/>
      <c r="Q3088" s="85"/>
      <c r="R3088" s="89"/>
      <c r="U3088" s="11" t="str">
        <f t="shared" si="295"/>
        <v/>
      </c>
      <c r="V3088" s="12" t="str">
        <f t="shared" si="296"/>
        <v/>
      </c>
      <c r="Z3088" s="15"/>
    </row>
    <row r="3089" spans="1:26" x14ac:dyDescent="0.25">
      <c r="A3089" s="15" t="str">
        <f>IF(C3089="","",COUNTA($C$3:C3089))</f>
        <v/>
      </c>
      <c r="B3089" s="15" t="str">
        <f t="shared" si="297"/>
        <v/>
      </c>
      <c r="M3089" s="9"/>
      <c r="N3089" s="9"/>
      <c r="P3089" s="14"/>
      <c r="Q3089" s="85"/>
      <c r="R3089" s="89"/>
      <c r="U3089" s="11" t="str">
        <f t="shared" si="295"/>
        <v/>
      </c>
      <c r="V3089" s="12" t="str">
        <f t="shared" si="296"/>
        <v/>
      </c>
      <c r="Z3089" s="15"/>
    </row>
    <row r="3090" spans="1:26" x14ac:dyDescent="0.25">
      <c r="A3090" s="15" t="str">
        <f>IF(C3090="","",COUNTA($C$3:C3090))</f>
        <v/>
      </c>
      <c r="B3090" s="15" t="str">
        <f t="shared" si="297"/>
        <v/>
      </c>
      <c r="M3090" s="9"/>
      <c r="N3090" s="9"/>
      <c r="P3090" s="14"/>
      <c r="Q3090" s="85"/>
      <c r="R3090" s="89"/>
      <c r="U3090" s="11" t="str">
        <f t="shared" si="295"/>
        <v/>
      </c>
      <c r="V3090" s="12" t="str">
        <f t="shared" si="296"/>
        <v/>
      </c>
      <c r="Z3090" s="15"/>
    </row>
    <row r="3091" spans="1:26" x14ac:dyDescent="0.25">
      <c r="A3091" s="15" t="str">
        <f>IF(C3091="","",COUNTA($C$3:C3091))</f>
        <v/>
      </c>
      <c r="B3091" s="15" t="str">
        <f t="shared" si="297"/>
        <v/>
      </c>
      <c r="M3091" s="9"/>
      <c r="N3091" s="9"/>
      <c r="P3091" s="14"/>
      <c r="Q3091" s="85"/>
      <c r="R3091" s="89"/>
      <c r="U3091" s="11" t="str">
        <f t="shared" si="295"/>
        <v/>
      </c>
      <c r="V3091" s="12" t="str">
        <f t="shared" si="296"/>
        <v/>
      </c>
      <c r="Z3091" s="15"/>
    </row>
    <row r="3092" spans="1:26" x14ac:dyDescent="0.25">
      <c r="A3092" s="15" t="str">
        <f>IF(C3092="","",COUNTA($C$3:C3092))</f>
        <v/>
      </c>
      <c r="B3092" s="15" t="str">
        <f t="shared" si="297"/>
        <v/>
      </c>
      <c r="M3092" s="9"/>
      <c r="N3092" s="9"/>
      <c r="P3092" s="14"/>
      <c r="Q3092" s="85"/>
      <c r="R3092" s="89"/>
      <c r="U3092" s="11" t="str">
        <f t="shared" si="295"/>
        <v/>
      </c>
      <c r="V3092" s="12" t="str">
        <f t="shared" si="296"/>
        <v/>
      </c>
      <c r="Z3092" s="15"/>
    </row>
    <row r="3093" spans="1:26" x14ac:dyDescent="0.25">
      <c r="A3093" s="15" t="str">
        <f>IF(C3093="","",COUNTA($C$3:C3093))</f>
        <v/>
      </c>
      <c r="B3093" s="15" t="str">
        <f t="shared" si="297"/>
        <v/>
      </c>
      <c r="M3093" s="9"/>
      <c r="N3093" s="9"/>
      <c r="P3093" s="14"/>
      <c r="Q3093" s="85"/>
      <c r="R3093" s="89"/>
      <c r="U3093" s="11" t="str">
        <f t="shared" si="295"/>
        <v/>
      </c>
      <c r="V3093" s="12" t="str">
        <f t="shared" si="296"/>
        <v/>
      </c>
      <c r="Z3093" s="15"/>
    </row>
    <row r="3094" spans="1:26" x14ac:dyDescent="0.25">
      <c r="A3094" s="15" t="str">
        <f>IF(C3094="","",COUNTA($C$3:C3094))</f>
        <v/>
      </c>
      <c r="B3094" s="15" t="str">
        <f t="shared" si="297"/>
        <v/>
      </c>
      <c r="M3094" s="9"/>
      <c r="N3094" s="9"/>
      <c r="P3094" s="14"/>
      <c r="Q3094" s="85"/>
      <c r="R3094" s="89"/>
      <c r="U3094" s="11" t="str">
        <f t="shared" si="295"/>
        <v/>
      </c>
      <c r="V3094" s="12" t="str">
        <f t="shared" si="296"/>
        <v/>
      </c>
      <c r="Z3094" s="15"/>
    </row>
    <row r="3095" spans="1:26" x14ac:dyDescent="0.25">
      <c r="A3095" s="15" t="str">
        <f>IF(C3095="","",COUNTA($C$3:C3095))</f>
        <v/>
      </c>
      <c r="B3095" s="15" t="str">
        <f t="shared" si="297"/>
        <v/>
      </c>
      <c r="M3095" s="9"/>
      <c r="N3095" s="9"/>
      <c r="P3095" s="14"/>
      <c r="Q3095" s="85"/>
      <c r="R3095" s="89"/>
      <c r="U3095" s="11" t="str">
        <f t="shared" si="295"/>
        <v/>
      </c>
      <c r="V3095" s="12" t="str">
        <f t="shared" si="296"/>
        <v/>
      </c>
      <c r="Z3095" s="15"/>
    </row>
    <row r="3096" spans="1:26" x14ac:dyDescent="0.25">
      <c r="A3096" s="15" t="str">
        <f>IF(C3096="","",COUNTA($C$3:C3096))</f>
        <v/>
      </c>
      <c r="B3096" s="15" t="str">
        <f t="shared" si="297"/>
        <v/>
      </c>
      <c r="M3096" s="9"/>
      <c r="N3096" s="9"/>
      <c r="P3096" s="14"/>
      <c r="Q3096" s="85"/>
      <c r="R3096" s="89"/>
      <c r="U3096" s="11" t="str">
        <f t="shared" si="295"/>
        <v/>
      </c>
      <c r="V3096" s="12" t="str">
        <f t="shared" si="296"/>
        <v/>
      </c>
      <c r="Z3096" s="15"/>
    </row>
    <row r="3097" spans="1:26" x14ac:dyDescent="0.25">
      <c r="A3097" s="15" t="str">
        <f>IF(C3097="","",COUNTA($C$3:C3097))</f>
        <v/>
      </c>
      <c r="B3097" s="15" t="str">
        <f t="shared" si="297"/>
        <v/>
      </c>
      <c r="M3097" s="9"/>
      <c r="N3097" s="9"/>
      <c r="P3097" s="14"/>
      <c r="Q3097" s="85"/>
      <c r="R3097" s="89"/>
      <c r="U3097" s="11" t="str">
        <f t="shared" si="295"/>
        <v/>
      </c>
      <c r="V3097" s="12" t="str">
        <f t="shared" si="296"/>
        <v/>
      </c>
      <c r="Z3097" s="15"/>
    </row>
    <row r="3098" spans="1:26" x14ac:dyDescent="0.25">
      <c r="A3098" s="15" t="str">
        <f>IF(C3098="","",COUNTA($C$3:C3098))</f>
        <v/>
      </c>
      <c r="B3098" s="15" t="str">
        <f t="shared" si="297"/>
        <v/>
      </c>
      <c r="M3098" s="9"/>
      <c r="N3098" s="9"/>
      <c r="P3098" s="14"/>
      <c r="Q3098" s="85"/>
      <c r="R3098" s="89"/>
      <c r="U3098" s="11" t="str">
        <f t="shared" si="295"/>
        <v/>
      </c>
      <c r="V3098" s="12" t="str">
        <f t="shared" si="296"/>
        <v/>
      </c>
      <c r="Z3098" s="15"/>
    </row>
    <row r="3099" spans="1:26" x14ac:dyDescent="0.25">
      <c r="A3099" s="15" t="str">
        <f>IF(C3099="","",COUNTA($C$3:C3099))</f>
        <v/>
      </c>
      <c r="B3099" s="15" t="str">
        <f t="shared" si="297"/>
        <v/>
      </c>
      <c r="M3099" s="9"/>
      <c r="N3099" s="9"/>
      <c r="P3099" s="14"/>
      <c r="Q3099" s="85"/>
      <c r="R3099" s="89"/>
      <c r="U3099" s="11" t="str">
        <f t="shared" si="295"/>
        <v/>
      </c>
      <c r="V3099" s="12" t="str">
        <f t="shared" si="296"/>
        <v/>
      </c>
      <c r="Z3099" s="15"/>
    </row>
    <row r="3100" spans="1:26" x14ac:dyDescent="0.25">
      <c r="A3100" s="15" t="str">
        <f>IF(C3100="","",COUNTA($C$3:C3100))</f>
        <v/>
      </c>
      <c r="B3100" s="15" t="str">
        <f t="shared" si="297"/>
        <v/>
      </c>
      <c r="M3100" s="9"/>
      <c r="N3100" s="9"/>
      <c r="P3100" s="14"/>
      <c r="Q3100" s="85"/>
      <c r="R3100" s="89"/>
      <c r="U3100" s="11" t="str">
        <f t="shared" si="295"/>
        <v/>
      </c>
      <c r="V3100" s="12" t="str">
        <f t="shared" si="296"/>
        <v/>
      </c>
      <c r="Z3100" s="15"/>
    </row>
    <row r="3101" spans="1:26" x14ac:dyDescent="0.25">
      <c r="A3101" s="15" t="str">
        <f>IF(C3101="","",COUNTA($C$3:C3101))</f>
        <v/>
      </c>
      <c r="B3101" s="15" t="str">
        <f t="shared" si="297"/>
        <v/>
      </c>
      <c r="M3101" s="9"/>
      <c r="N3101" s="9"/>
      <c r="P3101" s="14"/>
      <c r="Q3101" s="85"/>
      <c r="R3101" s="89"/>
      <c r="U3101" s="11" t="str">
        <f t="shared" si="295"/>
        <v/>
      </c>
      <c r="V3101" s="12" t="str">
        <f t="shared" si="296"/>
        <v/>
      </c>
      <c r="Z3101" s="15"/>
    </row>
    <row r="3102" spans="1:26" x14ac:dyDescent="0.25">
      <c r="A3102" s="15" t="str">
        <f>IF(C3102="","",COUNTA($C$3:C3102))</f>
        <v/>
      </c>
      <c r="B3102" s="15" t="str">
        <f t="shared" si="297"/>
        <v/>
      </c>
      <c r="M3102" s="9"/>
      <c r="N3102" s="9"/>
      <c r="P3102" s="14"/>
      <c r="Q3102" s="85"/>
      <c r="R3102" s="89"/>
      <c r="U3102" s="11" t="str">
        <f t="shared" si="295"/>
        <v/>
      </c>
      <c r="V3102" s="12" t="str">
        <f t="shared" si="296"/>
        <v/>
      </c>
      <c r="Z3102" s="15"/>
    </row>
    <row r="3103" spans="1:26" x14ac:dyDescent="0.25">
      <c r="A3103" s="15" t="str">
        <f>IF(C3103="","",COUNTA($C$3:C3103))</f>
        <v/>
      </c>
      <c r="B3103" s="15" t="str">
        <f t="shared" si="297"/>
        <v/>
      </c>
      <c r="M3103" s="9"/>
      <c r="N3103" s="9"/>
      <c r="P3103" s="14"/>
      <c r="Q3103" s="85"/>
      <c r="R3103" s="89"/>
      <c r="U3103" s="11" t="str">
        <f t="shared" si="295"/>
        <v/>
      </c>
      <c r="V3103" s="12" t="str">
        <f t="shared" si="296"/>
        <v/>
      </c>
      <c r="Z3103" s="15"/>
    </row>
    <row r="3104" spans="1:26" x14ac:dyDescent="0.25">
      <c r="A3104" s="15" t="str">
        <f>IF(C3104="","",COUNTA($C$3:C3104))</f>
        <v/>
      </c>
      <c r="B3104" s="15" t="str">
        <f t="shared" si="297"/>
        <v/>
      </c>
      <c r="M3104" s="9"/>
      <c r="N3104" s="9"/>
      <c r="P3104" s="14"/>
      <c r="Q3104" s="85"/>
      <c r="R3104" s="89"/>
      <c r="U3104" s="11" t="str">
        <f t="shared" si="295"/>
        <v/>
      </c>
      <c r="V3104" s="12" t="str">
        <f t="shared" si="296"/>
        <v/>
      </c>
      <c r="Z3104" s="15"/>
    </row>
    <row r="3105" spans="1:26" x14ac:dyDescent="0.25">
      <c r="A3105" s="15" t="str">
        <f>IF(C3105="","",COUNTA($C$3:C3105))</f>
        <v/>
      </c>
      <c r="B3105" s="15" t="str">
        <f t="shared" si="297"/>
        <v/>
      </c>
      <c r="M3105" s="9"/>
      <c r="N3105" s="9"/>
      <c r="P3105" s="14"/>
      <c r="Q3105" s="85"/>
      <c r="R3105" s="89"/>
      <c r="U3105" s="11" t="str">
        <f t="shared" si="295"/>
        <v/>
      </c>
      <c r="V3105" s="12" t="str">
        <f t="shared" si="296"/>
        <v/>
      </c>
      <c r="Z3105" s="15"/>
    </row>
    <row r="3106" spans="1:26" x14ac:dyDescent="0.25">
      <c r="A3106" s="15" t="str">
        <f>IF(C3106="","",COUNTA($C$3:C3106))</f>
        <v/>
      </c>
      <c r="B3106" s="15" t="str">
        <f t="shared" si="297"/>
        <v/>
      </c>
      <c r="M3106" s="9"/>
      <c r="N3106" s="9"/>
      <c r="P3106" s="14"/>
      <c r="Q3106" s="85"/>
      <c r="R3106" s="89"/>
      <c r="U3106" s="11" t="str">
        <f t="shared" si="295"/>
        <v/>
      </c>
      <c r="V3106" s="12" t="str">
        <f t="shared" si="296"/>
        <v/>
      </c>
      <c r="Z3106" s="15"/>
    </row>
    <row r="3107" spans="1:26" x14ac:dyDescent="0.25">
      <c r="A3107" s="15" t="str">
        <f>IF(C3107="","",COUNTA($C$3:C3107))</f>
        <v/>
      </c>
      <c r="B3107" s="15" t="str">
        <f t="shared" si="297"/>
        <v/>
      </c>
      <c r="M3107" s="9"/>
      <c r="N3107" s="9"/>
      <c r="P3107" s="14"/>
      <c r="Q3107" s="85"/>
      <c r="R3107" s="89"/>
      <c r="U3107" s="11" t="str">
        <f t="shared" si="295"/>
        <v/>
      </c>
      <c r="V3107" s="12" t="str">
        <f t="shared" si="296"/>
        <v/>
      </c>
      <c r="Z3107" s="15"/>
    </row>
    <row r="3108" spans="1:26" x14ac:dyDescent="0.25">
      <c r="A3108" s="15" t="str">
        <f>IF(C3108="","",COUNTA($C$3:C3108))</f>
        <v/>
      </c>
      <c r="B3108" s="15" t="str">
        <f t="shared" si="297"/>
        <v/>
      </c>
      <c r="M3108" s="9"/>
      <c r="N3108" s="9"/>
      <c r="P3108" s="14"/>
      <c r="Q3108" s="85"/>
      <c r="R3108" s="89"/>
      <c r="U3108" s="11" t="str">
        <f t="shared" si="295"/>
        <v/>
      </c>
      <c r="V3108" s="12" t="str">
        <f t="shared" si="296"/>
        <v/>
      </c>
      <c r="Z3108" s="15"/>
    </row>
    <row r="3109" spans="1:26" x14ac:dyDescent="0.25">
      <c r="A3109" s="15" t="str">
        <f>IF(C3109="","",COUNTA($C$3:C3109))</f>
        <v/>
      </c>
      <c r="B3109" s="15" t="str">
        <f t="shared" si="297"/>
        <v/>
      </c>
      <c r="M3109" s="9"/>
      <c r="N3109" s="9"/>
      <c r="P3109" s="14"/>
      <c r="Q3109" s="85"/>
      <c r="R3109" s="89"/>
      <c r="U3109" s="11" t="str">
        <f t="shared" si="295"/>
        <v/>
      </c>
      <c r="V3109" s="12" t="str">
        <f t="shared" si="296"/>
        <v/>
      </c>
      <c r="Z3109" s="15"/>
    </row>
    <row r="3110" spans="1:26" x14ac:dyDescent="0.25">
      <c r="A3110" s="15" t="str">
        <f>IF(C3110="","",COUNTA($C$3:C3110))</f>
        <v/>
      </c>
      <c r="B3110" s="15" t="str">
        <f t="shared" si="297"/>
        <v/>
      </c>
      <c r="M3110" s="9"/>
      <c r="N3110" s="9"/>
      <c r="P3110" s="14"/>
      <c r="Q3110" s="85"/>
      <c r="R3110" s="89"/>
      <c r="U3110" s="11" t="str">
        <f t="shared" si="295"/>
        <v/>
      </c>
      <c r="V3110" s="12" t="str">
        <f t="shared" si="296"/>
        <v/>
      </c>
      <c r="Z3110" s="15"/>
    </row>
    <row r="3111" spans="1:26" x14ac:dyDescent="0.25">
      <c r="A3111" s="15" t="str">
        <f>IF(C3111="","",COUNTA($C$3:C3111))</f>
        <v/>
      </c>
      <c r="B3111" s="15" t="str">
        <f t="shared" si="297"/>
        <v/>
      </c>
      <c r="M3111" s="9"/>
      <c r="N3111" s="9"/>
      <c r="P3111" s="14"/>
      <c r="Q3111" s="85"/>
      <c r="R3111" s="89"/>
      <c r="U3111" s="11" t="str">
        <f t="shared" si="295"/>
        <v/>
      </c>
      <c r="V3111" s="12" t="str">
        <f t="shared" si="296"/>
        <v/>
      </c>
      <c r="Z3111" s="15"/>
    </row>
    <row r="3112" spans="1:26" x14ac:dyDescent="0.25">
      <c r="A3112" s="15" t="str">
        <f>IF(C3112="","",COUNTA($C$3:C3112))</f>
        <v/>
      </c>
      <c r="B3112" s="15" t="str">
        <f t="shared" si="297"/>
        <v/>
      </c>
      <c r="M3112" s="9"/>
      <c r="N3112" s="9"/>
      <c r="P3112" s="14"/>
      <c r="Q3112" s="85"/>
      <c r="R3112" s="89"/>
      <c r="U3112" s="11" t="str">
        <f t="shared" si="295"/>
        <v/>
      </c>
      <c r="V3112" s="12" t="str">
        <f t="shared" si="296"/>
        <v/>
      </c>
      <c r="Z3112" s="15"/>
    </row>
    <row r="3113" spans="1:26" x14ac:dyDescent="0.25">
      <c r="A3113" s="15" t="str">
        <f>IF(C3113="","",COUNTA($C$3:C3113))</f>
        <v/>
      </c>
      <c r="B3113" s="15" t="str">
        <f t="shared" si="297"/>
        <v/>
      </c>
      <c r="M3113" s="9"/>
      <c r="N3113" s="9"/>
      <c r="P3113" s="14"/>
      <c r="Q3113" s="85"/>
      <c r="R3113" s="89"/>
      <c r="U3113" s="11" t="str">
        <f t="shared" si="295"/>
        <v/>
      </c>
      <c r="V3113" s="12" t="str">
        <f t="shared" si="296"/>
        <v/>
      </c>
      <c r="Z3113" s="15"/>
    </row>
    <row r="3114" spans="1:26" x14ac:dyDescent="0.25">
      <c r="A3114" s="15" t="str">
        <f>IF(C3114="","",COUNTA($C$3:C3114))</f>
        <v/>
      </c>
      <c r="B3114" s="15" t="str">
        <f t="shared" si="297"/>
        <v/>
      </c>
      <c r="M3114" s="9"/>
      <c r="N3114" s="9"/>
      <c r="P3114" s="14"/>
      <c r="Q3114" s="85"/>
      <c r="R3114" s="89"/>
      <c r="U3114" s="11" t="str">
        <f t="shared" si="295"/>
        <v/>
      </c>
      <c r="V3114" s="12" t="str">
        <f t="shared" si="296"/>
        <v/>
      </c>
      <c r="Z3114" s="15"/>
    </row>
    <row r="3115" spans="1:26" x14ac:dyDescent="0.25">
      <c r="A3115" s="15" t="str">
        <f>IF(C3115="","",COUNTA($C$3:C3115))</f>
        <v/>
      </c>
      <c r="B3115" s="15" t="str">
        <f t="shared" si="297"/>
        <v/>
      </c>
      <c r="M3115" s="9"/>
      <c r="N3115" s="9"/>
      <c r="P3115" s="14"/>
      <c r="Q3115" s="85"/>
      <c r="R3115" s="89"/>
      <c r="U3115" s="11" t="str">
        <f t="shared" si="295"/>
        <v/>
      </c>
      <c r="V3115" s="12" t="str">
        <f t="shared" si="296"/>
        <v/>
      </c>
      <c r="Z3115" s="15"/>
    </row>
    <row r="3116" spans="1:26" x14ac:dyDescent="0.25">
      <c r="A3116" s="15" t="str">
        <f>IF(C3116="","",COUNTA($C$3:C3116))</f>
        <v/>
      </c>
      <c r="B3116" s="15" t="str">
        <f t="shared" si="297"/>
        <v/>
      </c>
      <c r="M3116" s="9"/>
      <c r="N3116" s="9"/>
      <c r="P3116" s="14"/>
      <c r="Q3116" s="85"/>
      <c r="R3116" s="89"/>
      <c r="U3116" s="11" t="str">
        <f t="shared" si="295"/>
        <v/>
      </c>
      <c r="V3116" s="12" t="str">
        <f t="shared" si="296"/>
        <v/>
      </c>
      <c r="Z3116" s="15"/>
    </row>
    <row r="3117" spans="1:26" x14ac:dyDescent="0.25">
      <c r="A3117" s="15" t="str">
        <f>IF(C3117="","",COUNTA($C$3:C3117))</f>
        <v/>
      </c>
      <c r="B3117" s="15" t="str">
        <f t="shared" si="297"/>
        <v/>
      </c>
      <c r="M3117" s="9"/>
      <c r="N3117" s="9"/>
      <c r="P3117" s="14"/>
      <c r="Q3117" s="85"/>
      <c r="R3117" s="89"/>
      <c r="U3117" s="11" t="str">
        <f t="shared" si="295"/>
        <v/>
      </c>
      <c r="V3117" s="12" t="str">
        <f t="shared" si="296"/>
        <v/>
      </c>
      <c r="Z3117" s="15"/>
    </row>
    <row r="3118" spans="1:26" x14ac:dyDescent="0.25">
      <c r="A3118" s="15" t="str">
        <f>IF(C3118="","",COUNTA($C$3:C3118))</f>
        <v/>
      </c>
      <c r="B3118" s="15" t="str">
        <f t="shared" si="297"/>
        <v/>
      </c>
      <c r="M3118" s="9"/>
      <c r="N3118" s="9"/>
      <c r="P3118" s="14"/>
      <c r="Q3118" s="85"/>
      <c r="R3118" s="89"/>
      <c r="U3118" s="11" t="str">
        <f t="shared" si="295"/>
        <v/>
      </c>
      <c r="V3118" s="12" t="str">
        <f t="shared" si="296"/>
        <v/>
      </c>
      <c r="Z3118" s="15"/>
    </row>
    <row r="3119" spans="1:26" x14ac:dyDescent="0.25">
      <c r="A3119" s="15" t="str">
        <f>IF(C3119="","",COUNTA($C$3:C3119))</f>
        <v/>
      </c>
      <c r="B3119" s="15" t="str">
        <f t="shared" si="297"/>
        <v/>
      </c>
      <c r="M3119" s="9"/>
      <c r="N3119" s="9"/>
      <c r="P3119" s="14"/>
      <c r="Q3119" s="85"/>
      <c r="R3119" s="89"/>
      <c r="U3119" s="11" t="str">
        <f t="shared" si="295"/>
        <v/>
      </c>
      <c r="V3119" s="12" t="str">
        <f t="shared" si="296"/>
        <v/>
      </c>
      <c r="Z3119" s="15"/>
    </row>
    <row r="3120" spans="1:26" x14ac:dyDescent="0.25">
      <c r="A3120" s="15" t="str">
        <f>IF(C3120="","",COUNTA($C$3:C3120))</f>
        <v/>
      </c>
      <c r="B3120" s="15" t="str">
        <f t="shared" si="297"/>
        <v/>
      </c>
      <c r="M3120" s="9"/>
      <c r="N3120" s="9"/>
      <c r="P3120" s="14"/>
      <c r="Q3120" s="85"/>
      <c r="R3120" s="89"/>
      <c r="U3120" s="11" t="str">
        <f t="shared" si="295"/>
        <v/>
      </c>
      <c r="V3120" s="12" t="str">
        <f t="shared" si="296"/>
        <v/>
      </c>
      <c r="Z3120" s="15"/>
    </row>
    <row r="3121" spans="1:26" x14ac:dyDescent="0.25">
      <c r="A3121" s="15" t="str">
        <f>IF(C3121="","",COUNTA($C$3:C3121))</f>
        <v/>
      </c>
      <c r="B3121" s="15" t="str">
        <f t="shared" si="297"/>
        <v/>
      </c>
      <c r="M3121" s="9"/>
      <c r="N3121" s="9"/>
      <c r="P3121" s="14"/>
      <c r="Q3121" s="85"/>
      <c r="R3121" s="89"/>
      <c r="U3121" s="11" t="str">
        <f t="shared" si="295"/>
        <v/>
      </c>
      <c r="V3121" s="12" t="str">
        <f t="shared" si="296"/>
        <v/>
      </c>
      <c r="Z3121" s="15"/>
    </row>
    <row r="3122" spans="1:26" x14ac:dyDescent="0.25">
      <c r="A3122" s="15" t="str">
        <f>IF(C3122="","",COUNTA($C$3:C3122))</f>
        <v/>
      </c>
      <c r="B3122" s="15" t="str">
        <f t="shared" si="297"/>
        <v/>
      </c>
      <c r="M3122" s="9"/>
      <c r="N3122" s="9"/>
      <c r="P3122" s="14"/>
      <c r="Q3122" s="85"/>
      <c r="R3122" s="89"/>
      <c r="U3122" s="11" t="str">
        <f t="shared" si="295"/>
        <v/>
      </c>
      <c r="V3122" s="12" t="str">
        <f t="shared" si="296"/>
        <v/>
      </c>
      <c r="Z3122" s="15"/>
    </row>
    <row r="3123" spans="1:26" x14ac:dyDescent="0.25">
      <c r="A3123" s="15" t="str">
        <f>IF(C3123="","",COUNTA($C$3:C3123))</f>
        <v/>
      </c>
      <c r="B3123" s="15" t="str">
        <f t="shared" si="297"/>
        <v/>
      </c>
      <c r="M3123" s="9"/>
      <c r="N3123" s="9"/>
      <c r="P3123" s="14"/>
      <c r="Q3123" s="85"/>
      <c r="R3123" s="89"/>
      <c r="U3123" s="11" t="str">
        <f t="shared" si="295"/>
        <v/>
      </c>
      <c r="V3123" s="12" t="str">
        <f t="shared" si="296"/>
        <v/>
      </c>
      <c r="Z3123" s="15"/>
    </row>
    <row r="3124" spans="1:26" x14ac:dyDescent="0.25">
      <c r="A3124" s="15" t="str">
        <f>IF(C3124="","",COUNTA($C$3:C3124))</f>
        <v/>
      </c>
      <c r="B3124" s="15" t="str">
        <f t="shared" si="297"/>
        <v/>
      </c>
      <c r="M3124" s="9"/>
      <c r="N3124" s="9"/>
      <c r="P3124" s="14"/>
      <c r="Q3124" s="85"/>
      <c r="R3124" s="89"/>
      <c r="U3124" s="11" t="str">
        <f t="shared" si="295"/>
        <v/>
      </c>
      <c r="V3124" s="12" t="str">
        <f t="shared" si="296"/>
        <v/>
      </c>
      <c r="Z3124" s="15"/>
    </row>
    <row r="3125" spans="1:26" x14ac:dyDescent="0.25">
      <c r="A3125" s="15" t="str">
        <f>IF(C3125="","",COUNTA($C$3:C3125))</f>
        <v/>
      </c>
      <c r="B3125" s="15" t="str">
        <f t="shared" si="297"/>
        <v/>
      </c>
      <c r="M3125" s="9"/>
      <c r="N3125" s="9"/>
      <c r="P3125" s="14"/>
      <c r="Q3125" s="85"/>
      <c r="R3125" s="89"/>
      <c r="U3125" s="11" t="str">
        <f t="shared" si="295"/>
        <v/>
      </c>
      <c r="V3125" s="12" t="str">
        <f t="shared" si="296"/>
        <v/>
      </c>
      <c r="Z3125" s="15"/>
    </row>
    <row r="3126" spans="1:26" x14ac:dyDescent="0.25">
      <c r="A3126" s="15" t="str">
        <f>IF(C3126="","",COUNTA($C$3:C3126))</f>
        <v/>
      </c>
      <c r="B3126" s="15" t="str">
        <f t="shared" si="297"/>
        <v/>
      </c>
      <c r="M3126" s="9"/>
      <c r="N3126" s="9"/>
      <c r="P3126" s="14"/>
      <c r="Q3126" s="85"/>
      <c r="R3126" s="89"/>
      <c r="U3126" s="11" t="str">
        <f t="shared" si="295"/>
        <v/>
      </c>
      <c r="V3126" s="12" t="str">
        <f t="shared" si="296"/>
        <v/>
      </c>
      <c r="Z3126" s="15"/>
    </row>
    <row r="3127" spans="1:26" x14ac:dyDescent="0.25">
      <c r="A3127" s="15" t="str">
        <f>IF(C3127="","",COUNTA($C$3:C3127))</f>
        <v/>
      </c>
      <c r="B3127" s="15" t="str">
        <f t="shared" si="297"/>
        <v/>
      </c>
      <c r="M3127" s="9"/>
      <c r="N3127" s="9"/>
      <c r="P3127" s="14"/>
      <c r="Q3127" s="85"/>
      <c r="R3127" s="89"/>
      <c r="U3127" s="11" t="str">
        <f t="shared" si="295"/>
        <v/>
      </c>
      <c r="V3127" s="12" t="str">
        <f t="shared" si="296"/>
        <v/>
      </c>
      <c r="Z3127" s="15"/>
    </row>
    <row r="3128" spans="1:26" x14ac:dyDescent="0.25">
      <c r="A3128" s="15" t="str">
        <f>IF(C3128="","",COUNTA($C$3:C3128))</f>
        <v/>
      </c>
      <c r="B3128" s="15" t="str">
        <f t="shared" si="297"/>
        <v/>
      </c>
      <c r="M3128" s="9"/>
      <c r="N3128" s="9"/>
      <c r="P3128" s="14"/>
      <c r="Q3128" s="85"/>
      <c r="R3128" s="89"/>
      <c r="U3128" s="11" t="str">
        <f t="shared" si="295"/>
        <v/>
      </c>
      <c r="V3128" s="12" t="str">
        <f t="shared" si="296"/>
        <v/>
      </c>
      <c r="Z3128" s="15"/>
    </row>
    <row r="3129" spans="1:26" x14ac:dyDescent="0.25">
      <c r="A3129" s="15" t="str">
        <f>IF(C3129="","",COUNTA($C$3:C3129))</f>
        <v/>
      </c>
      <c r="B3129" s="15" t="str">
        <f t="shared" si="297"/>
        <v/>
      </c>
      <c r="M3129" s="9"/>
      <c r="N3129" s="9"/>
      <c r="P3129" s="14"/>
      <c r="Q3129" s="85"/>
      <c r="R3129" s="89"/>
      <c r="U3129" s="11" t="str">
        <f t="shared" si="295"/>
        <v/>
      </c>
      <c r="V3129" s="12" t="str">
        <f t="shared" si="296"/>
        <v/>
      </c>
      <c r="Z3129" s="15"/>
    </row>
    <row r="3130" spans="1:26" x14ac:dyDescent="0.25">
      <c r="A3130" s="15" t="str">
        <f>IF(C3130="","",COUNTA($C$3:C3130))</f>
        <v/>
      </c>
      <c r="B3130" s="15" t="str">
        <f t="shared" si="297"/>
        <v/>
      </c>
      <c r="M3130" s="9"/>
      <c r="N3130" s="9"/>
      <c r="P3130" s="14"/>
      <c r="Q3130" s="85"/>
      <c r="R3130" s="89"/>
      <c r="U3130" s="11" t="str">
        <f t="shared" si="295"/>
        <v/>
      </c>
      <c r="V3130" s="12" t="str">
        <f t="shared" si="296"/>
        <v/>
      </c>
      <c r="Z3130" s="15"/>
    </row>
    <row r="3131" spans="1:26" x14ac:dyDescent="0.25">
      <c r="A3131" s="15" t="str">
        <f>IF(C3131="","",COUNTA($C$3:C3131))</f>
        <v/>
      </c>
      <c r="B3131" s="15" t="str">
        <f t="shared" si="297"/>
        <v/>
      </c>
      <c r="M3131" s="9"/>
      <c r="N3131" s="9"/>
      <c r="P3131" s="14"/>
      <c r="Q3131" s="85"/>
      <c r="R3131" s="89"/>
      <c r="U3131" s="11" t="str">
        <f t="shared" si="295"/>
        <v/>
      </c>
      <c r="V3131" s="12" t="str">
        <f t="shared" si="296"/>
        <v/>
      </c>
      <c r="Z3131" s="15"/>
    </row>
    <row r="3132" spans="1:26" x14ac:dyDescent="0.25">
      <c r="A3132" s="15" t="str">
        <f>IF(C3132="","",COUNTA($C$3:C3132))</f>
        <v/>
      </c>
      <c r="B3132" s="15" t="str">
        <f t="shared" si="297"/>
        <v/>
      </c>
      <c r="M3132" s="9"/>
      <c r="N3132" s="9"/>
      <c r="P3132" s="14"/>
      <c r="Q3132" s="85"/>
      <c r="R3132" s="89"/>
      <c r="U3132" s="11" t="str">
        <f t="shared" si="295"/>
        <v/>
      </c>
      <c r="V3132" s="12" t="str">
        <f t="shared" si="296"/>
        <v/>
      </c>
      <c r="Z3132" s="15"/>
    </row>
    <row r="3133" spans="1:26" x14ac:dyDescent="0.25">
      <c r="A3133" s="15" t="str">
        <f>IF(C3133="","",COUNTA($C$3:C3133))</f>
        <v/>
      </c>
      <c r="B3133" s="15" t="str">
        <f t="shared" si="297"/>
        <v/>
      </c>
      <c r="M3133" s="9"/>
      <c r="N3133" s="9"/>
      <c r="P3133" s="14"/>
      <c r="Q3133" s="85"/>
      <c r="R3133" s="89"/>
      <c r="U3133" s="11" t="str">
        <f t="shared" si="295"/>
        <v/>
      </c>
      <c r="V3133" s="12" t="str">
        <f t="shared" si="296"/>
        <v/>
      </c>
      <c r="Z3133" s="15"/>
    </row>
    <row r="3134" spans="1:26" x14ac:dyDescent="0.25">
      <c r="A3134" s="15" t="str">
        <f>IF(C3134="","",COUNTA($C$3:C3134))</f>
        <v/>
      </c>
      <c r="B3134" s="15" t="str">
        <f t="shared" si="297"/>
        <v/>
      </c>
      <c r="M3134" s="9"/>
      <c r="N3134" s="9"/>
      <c r="P3134" s="14"/>
      <c r="Q3134" s="85"/>
      <c r="R3134" s="89"/>
      <c r="U3134" s="11" t="str">
        <f t="shared" si="295"/>
        <v/>
      </c>
      <c r="V3134" s="12" t="str">
        <f t="shared" si="296"/>
        <v/>
      </c>
      <c r="Z3134" s="15"/>
    </row>
    <row r="3135" spans="1:26" x14ac:dyDescent="0.25">
      <c r="A3135" s="15" t="str">
        <f>IF(C3135="","",COUNTA($C$3:C3135))</f>
        <v/>
      </c>
      <c r="B3135" s="15" t="str">
        <f t="shared" si="297"/>
        <v/>
      </c>
      <c r="M3135" s="9"/>
      <c r="N3135" s="9"/>
      <c r="P3135" s="14"/>
      <c r="Q3135" s="85"/>
      <c r="R3135" s="89"/>
      <c r="U3135" s="11" t="str">
        <f t="shared" si="295"/>
        <v/>
      </c>
      <c r="V3135" s="12" t="str">
        <f t="shared" si="296"/>
        <v/>
      </c>
      <c r="Z3135" s="15"/>
    </row>
    <row r="3136" spans="1:26" x14ac:dyDescent="0.25">
      <c r="A3136" s="15" t="str">
        <f>IF(C3136="","",COUNTA($C$3:C3136))</f>
        <v/>
      </c>
      <c r="B3136" s="15" t="str">
        <f t="shared" si="297"/>
        <v/>
      </c>
      <c r="M3136" s="9"/>
      <c r="N3136" s="9"/>
      <c r="P3136" s="14"/>
      <c r="Q3136" s="85"/>
      <c r="R3136" s="89"/>
      <c r="U3136" s="11" t="str">
        <f t="shared" si="295"/>
        <v/>
      </c>
      <c r="V3136" s="12" t="str">
        <f t="shared" si="296"/>
        <v/>
      </c>
      <c r="Z3136" s="15"/>
    </row>
    <row r="3137" spans="1:26" x14ac:dyDescent="0.25">
      <c r="A3137" s="15" t="str">
        <f>IF(C3137="","",COUNTA($C$3:C3137))</f>
        <v/>
      </c>
      <c r="B3137" s="15" t="str">
        <f t="shared" si="297"/>
        <v/>
      </c>
      <c r="M3137" s="9"/>
      <c r="N3137" s="9"/>
      <c r="P3137" s="14"/>
      <c r="Q3137" s="85"/>
      <c r="R3137" s="89"/>
      <c r="U3137" s="11" t="str">
        <f t="shared" si="295"/>
        <v/>
      </c>
      <c r="V3137" s="12" t="str">
        <f t="shared" si="296"/>
        <v/>
      </c>
      <c r="Z3137" s="15"/>
    </row>
    <row r="3138" spans="1:26" x14ac:dyDescent="0.25">
      <c r="A3138" s="15" t="str">
        <f>IF(C3138="","",COUNTA($C$3:C3138))</f>
        <v/>
      </c>
      <c r="B3138" s="15" t="str">
        <f t="shared" si="297"/>
        <v/>
      </c>
      <c r="M3138" s="9"/>
      <c r="N3138" s="9"/>
      <c r="P3138" s="14"/>
      <c r="Q3138" s="85"/>
      <c r="R3138" s="89"/>
      <c r="U3138" s="11" t="str">
        <f t="shared" ref="U3138:U3201" si="298">IF(S3138="","",(S3138-T3138))</f>
        <v/>
      </c>
      <c r="V3138" s="12" t="str">
        <f t="shared" ref="V3138:V3201" si="299">IF(U3138="","",(U3138/T3138))</f>
        <v/>
      </c>
      <c r="Z3138" s="15"/>
    </row>
    <row r="3139" spans="1:26" x14ac:dyDescent="0.25">
      <c r="A3139" s="15" t="str">
        <f>IF(C3139="","",COUNTA($C$3:C3139))</f>
        <v/>
      </c>
      <c r="B3139" s="15" t="str">
        <f t="shared" ref="B3139:B3202" si="300">IF(C3139="","",TEXT(C3139,"mmmm"))</f>
        <v/>
      </c>
      <c r="M3139" s="9"/>
      <c r="N3139" s="9"/>
      <c r="P3139" s="14"/>
      <c r="Q3139" s="85"/>
      <c r="R3139" s="89"/>
      <c r="U3139" s="11" t="str">
        <f t="shared" si="298"/>
        <v/>
      </c>
      <c r="V3139" s="12" t="str">
        <f t="shared" si="299"/>
        <v/>
      </c>
      <c r="Z3139" s="15"/>
    </row>
    <row r="3140" spans="1:26" x14ac:dyDescent="0.25">
      <c r="A3140" s="15" t="str">
        <f>IF(C3140="","",COUNTA($C$3:C3140))</f>
        <v/>
      </c>
      <c r="B3140" s="15" t="str">
        <f t="shared" si="300"/>
        <v/>
      </c>
      <c r="M3140" s="9"/>
      <c r="N3140" s="9"/>
      <c r="P3140" s="14"/>
      <c r="Q3140" s="85"/>
      <c r="R3140" s="89"/>
      <c r="U3140" s="11" t="str">
        <f t="shared" si="298"/>
        <v/>
      </c>
      <c r="V3140" s="12" t="str">
        <f t="shared" si="299"/>
        <v/>
      </c>
      <c r="Z3140" s="15"/>
    </row>
    <row r="3141" spans="1:26" x14ac:dyDescent="0.25">
      <c r="A3141" s="15" t="str">
        <f>IF(C3141="","",COUNTA($C$3:C3141))</f>
        <v/>
      </c>
      <c r="B3141" s="15" t="str">
        <f t="shared" si="300"/>
        <v/>
      </c>
      <c r="M3141" s="9"/>
      <c r="N3141" s="9"/>
      <c r="P3141" s="14"/>
      <c r="Q3141" s="85"/>
      <c r="R3141" s="89"/>
      <c r="U3141" s="11" t="str">
        <f t="shared" si="298"/>
        <v/>
      </c>
      <c r="V3141" s="12" t="str">
        <f t="shared" si="299"/>
        <v/>
      </c>
      <c r="Z3141" s="15"/>
    </row>
    <row r="3142" spans="1:26" x14ac:dyDescent="0.25">
      <c r="A3142" s="15" t="str">
        <f>IF(C3142="","",COUNTA($C$3:C3142))</f>
        <v/>
      </c>
      <c r="B3142" s="15" t="str">
        <f t="shared" si="300"/>
        <v/>
      </c>
      <c r="M3142" s="9"/>
      <c r="N3142" s="9"/>
      <c r="P3142" s="14"/>
      <c r="Q3142" s="85"/>
      <c r="R3142" s="89"/>
      <c r="U3142" s="11" t="str">
        <f t="shared" si="298"/>
        <v/>
      </c>
      <c r="V3142" s="12" t="str">
        <f t="shared" si="299"/>
        <v/>
      </c>
      <c r="Z3142" s="15"/>
    </row>
    <row r="3143" spans="1:26" x14ac:dyDescent="0.25">
      <c r="A3143" s="15" t="str">
        <f>IF(C3143="","",COUNTA($C$3:C3143))</f>
        <v/>
      </c>
      <c r="B3143" s="15" t="str">
        <f t="shared" si="300"/>
        <v/>
      </c>
      <c r="M3143" s="9"/>
      <c r="N3143" s="9"/>
      <c r="P3143" s="14"/>
      <c r="Q3143" s="85"/>
      <c r="R3143" s="89"/>
      <c r="U3143" s="11" t="str">
        <f t="shared" si="298"/>
        <v/>
      </c>
      <c r="V3143" s="12" t="str">
        <f t="shared" si="299"/>
        <v/>
      </c>
      <c r="Z3143" s="15"/>
    </row>
    <row r="3144" spans="1:26" x14ac:dyDescent="0.25">
      <c r="A3144" s="15" t="str">
        <f>IF(C3144="","",COUNTA($C$3:C3144))</f>
        <v/>
      </c>
      <c r="B3144" s="15" t="str">
        <f t="shared" si="300"/>
        <v/>
      </c>
      <c r="M3144" s="9"/>
      <c r="N3144" s="9"/>
      <c r="P3144" s="14"/>
      <c r="Q3144" s="85"/>
      <c r="R3144" s="89"/>
      <c r="U3144" s="11" t="str">
        <f t="shared" si="298"/>
        <v/>
      </c>
      <c r="V3144" s="12" t="str">
        <f t="shared" si="299"/>
        <v/>
      </c>
      <c r="Z3144" s="15"/>
    </row>
    <row r="3145" spans="1:26" x14ac:dyDescent="0.25">
      <c r="A3145" s="15" t="str">
        <f>IF(C3145="","",COUNTA($C$3:C3145))</f>
        <v/>
      </c>
      <c r="B3145" s="15" t="str">
        <f t="shared" si="300"/>
        <v/>
      </c>
      <c r="M3145" s="9"/>
      <c r="N3145" s="9"/>
      <c r="P3145" s="14"/>
      <c r="Q3145" s="85"/>
      <c r="R3145" s="89"/>
      <c r="U3145" s="11" t="str">
        <f t="shared" si="298"/>
        <v/>
      </c>
      <c r="V3145" s="12" t="str">
        <f t="shared" si="299"/>
        <v/>
      </c>
      <c r="Z3145" s="15"/>
    </row>
    <row r="3146" spans="1:26" x14ac:dyDescent="0.25">
      <c r="A3146" s="15" t="str">
        <f>IF(C3146="","",COUNTA($C$3:C3146))</f>
        <v/>
      </c>
      <c r="B3146" s="15" t="str">
        <f t="shared" si="300"/>
        <v/>
      </c>
      <c r="M3146" s="9"/>
      <c r="N3146" s="9"/>
      <c r="P3146" s="14"/>
      <c r="Q3146" s="85"/>
      <c r="R3146" s="89"/>
      <c r="U3146" s="11" t="str">
        <f t="shared" si="298"/>
        <v/>
      </c>
      <c r="V3146" s="12" t="str">
        <f t="shared" si="299"/>
        <v/>
      </c>
      <c r="Z3146" s="15"/>
    </row>
    <row r="3147" spans="1:26" x14ac:dyDescent="0.25">
      <c r="A3147" s="15" t="str">
        <f>IF(C3147="","",COUNTA($C$3:C3147))</f>
        <v/>
      </c>
      <c r="B3147" s="15" t="str">
        <f t="shared" si="300"/>
        <v/>
      </c>
      <c r="M3147" s="9"/>
      <c r="N3147" s="9"/>
      <c r="P3147" s="14"/>
      <c r="Q3147" s="85"/>
      <c r="R3147" s="89"/>
      <c r="U3147" s="11" t="str">
        <f t="shared" si="298"/>
        <v/>
      </c>
      <c r="V3147" s="12" t="str">
        <f t="shared" si="299"/>
        <v/>
      </c>
      <c r="Z3147" s="15"/>
    </row>
    <row r="3148" spans="1:26" x14ac:dyDescent="0.25">
      <c r="A3148" s="15" t="str">
        <f>IF(C3148="","",COUNTA($C$3:C3148))</f>
        <v/>
      </c>
      <c r="B3148" s="15" t="str">
        <f t="shared" si="300"/>
        <v/>
      </c>
      <c r="M3148" s="9"/>
      <c r="N3148" s="9"/>
      <c r="P3148" s="14"/>
      <c r="Q3148" s="85"/>
      <c r="R3148" s="89"/>
      <c r="U3148" s="11" t="str">
        <f t="shared" si="298"/>
        <v/>
      </c>
      <c r="V3148" s="12" t="str">
        <f t="shared" si="299"/>
        <v/>
      </c>
      <c r="Z3148" s="15"/>
    </row>
    <row r="3149" spans="1:26" x14ac:dyDescent="0.25">
      <c r="A3149" s="15" t="str">
        <f>IF(C3149="","",COUNTA($C$3:C3149))</f>
        <v/>
      </c>
      <c r="B3149" s="15" t="str">
        <f t="shared" si="300"/>
        <v/>
      </c>
      <c r="M3149" s="9"/>
      <c r="N3149" s="9"/>
      <c r="P3149" s="14"/>
      <c r="Q3149" s="85"/>
      <c r="R3149" s="89"/>
      <c r="U3149" s="11" t="str">
        <f t="shared" si="298"/>
        <v/>
      </c>
      <c r="V3149" s="12" t="str">
        <f t="shared" si="299"/>
        <v/>
      </c>
      <c r="Z3149" s="15"/>
    </row>
    <row r="3150" spans="1:26" x14ac:dyDescent="0.25">
      <c r="A3150" s="15" t="str">
        <f>IF(C3150="","",COUNTA($C$3:C3150))</f>
        <v/>
      </c>
      <c r="B3150" s="15" t="str">
        <f t="shared" si="300"/>
        <v/>
      </c>
      <c r="M3150" s="9"/>
      <c r="N3150" s="9"/>
      <c r="P3150" s="14"/>
      <c r="Q3150" s="85"/>
      <c r="R3150" s="89"/>
      <c r="U3150" s="11" t="str">
        <f t="shared" si="298"/>
        <v/>
      </c>
      <c r="V3150" s="12" t="str">
        <f t="shared" si="299"/>
        <v/>
      </c>
      <c r="Z3150" s="15"/>
    </row>
    <row r="3151" spans="1:26" x14ac:dyDescent="0.25">
      <c r="A3151" s="15" t="str">
        <f>IF(C3151="","",COUNTA($C$3:C3151))</f>
        <v/>
      </c>
      <c r="B3151" s="15" t="str">
        <f t="shared" si="300"/>
        <v/>
      </c>
      <c r="M3151" s="9"/>
      <c r="N3151" s="9"/>
      <c r="P3151" s="14"/>
      <c r="Q3151" s="85"/>
      <c r="R3151" s="89"/>
      <c r="U3151" s="11" t="str">
        <f t="shared" si="298"/>
        <v/>
      </c>
      <c r="V3151" s="12" t="str">
        <f t="shared" si="299"/>
        <v/>
      </c>
      <c r="Z3151" s="15"/>
    </row>
    <row r="3152" spans="1:26" x14ac:dyDescent="0.25">
      <c r="A3152" s="15" t="str">
        <f>IF(C3152="","",COUNTA($C$3:C3152))</f>
        <v/>
      </c>
      <c r="B3152" s="15" t="str">
        <f t="shared" si="300"/>
        <v/>
      </c>
      <c r="M3152" s="9"/>
      <c r="N3152" s="9"/>
      <c r="P3152" s="14"/>
      <c r="Q3152" s="85"/>
      <c r="R3152" s="89"/>
      <c r="U3152" s="11" t="str">
        <f t="shared" si="298"/>
        <v/>
      </c>
      <c r="V3152" s="12" t="str">
        <f t="shared" si="299"/>
        <v/>
      </c>
      <c r="Z3152" s="15"/>
    </row>
    <row r="3153" spans="1:26" x14ac:dyDescent="0.25">
      <c r="A3153" s="15" t="str">
        <f>IF(C3153="","",COUNTA($C$3:C3153))</f>
        <v/>
      </c>
      <c r="B3153" s="15" t="str">
        <f t="shared" si="300"/>
        <v/>
      </c>
      <c r="M3153" s="9"/>
      <c r="N3153" s="9"/>
      <c r="P3153" s="14"/>
      <c r="Q3153" s="85"/>
      <c r="R3153" s="89"/>
      <c r="U3153" s="11" t="str">
        <f t="shared" si="298"/>
        <v/>
      </c>
      <c r="V3153" s="12" t="str">
        <f t="shared" si="299"/>
        <v/>
      </c>
      <c r="Z3153" s="15"/>
    </row>
    <row r="3154" spans="1:26" x14ac:dyDescent="0.25">
      <c r="A3154" s="15" t="str">
        <f>IF(C3154="","",COUNTA($C$3:C3154))</f>
        <v/>
      </c>
      <c r="B3154" s="15" t="str">
        <f t="shared" si="300"/>
        <v/>
      </c>
      <c r="M3154" s="9"/>
      <c r="N3154" s="9"/>
      <c r="P3154" s="14"/>
      <c r="Q3154" s="85"/>
      <c r="R3154" s="89"/>
      <c r="U3154" s="11" t="str">
        <f t="shared" si="298"/>
        <v/>
      </c>
      <c r="V3154" s="12" t="str">
        <f t="shared" si="299"/>
        <v/>
      </c>
      <c r="Z3154" s="15"/>
    </row>
    <row r="3155" spans="1:26" x14ac:dyDescent="0.25">
      <c r="A3155" s="15" t="str">
        <f>IF(C3155="","",COUNTA($C$3:C3155))</f>
        <v/>
      </c>
      <c r="B3155" s="15" t="str">
        <f t="shared" si="300"/>
        <v/>
      </c>
      <c r="M3155" s="9"/>
      <c r="N3155" s="9"/>
      <c r="P3155" s="14"/>
      <c r="Q3155" s="85"/>
      <c r="R3155" s="89"/>
      <c r="U3155" s="11" t="str">
        <f t="shared" si="298"/>
        <v/>
      </c>
      <c r="V3155" s="12" t="str">
        <f t="shared" si="299"/>
        <v/>
      </c>
      <c r="Z3155" s="15"/>
    </row>
    <row r="3156" spans="1:26" x14ac:dyDescent="0.25">
      <c r="A3156" s="15" t="str">
        <f>IF(C3156="","",COUNTA($C$3:C3156))</f>
        <v/>
      </c>
      <c r="B3156" s="15" t="str">
        <f t="shared" si="300"/>
        <v/>
      </c>
      <c r="M3156" s="9"/>
      <c r="N3156" s="9"/>
      <c r="P3156" s="14"/>
      <c r="Q3156" s="85"/>
      <c r="R3156" s="89"/>
      <c r="U3156" s="11" t="str">
        <f t="shared" si="298"/>
        <v/>
      </c>
      <c r="V3156" s="12" t="str">
        <f t="shared" si="299"/>
        <v/>
      </c>
      <c r="Z3156" s="15"/>
    </row>
    <row r="3157" spans="1:26" x14ac:dyDescent="0.25">
      <c r="A3157" s="15" t="str">
        <f>IF(C3157="","",COUNTA($C$3:C3157))</f>
        <v/>
      </c>
      <c r="B3157" s="15" t="str">
        <f t="shared" si="300"/>
        <v/>
      </c>
      <c r="M3157" s="9"/>
      <c r="N3157" s="9"/>
      <c r="P3157" s="14"/>
      <c r="Q3157" s="85"/>
      <c r="R3157" s="89"/>
      <c r="U3157" s="11" t="str">
        <f t="shared" si="298"/>
        <v/>
      </c>
      <c r="V3157" s="12" t="str">
        <f t="shared" si="299"/>
        <v/>
      </c>
      <c r="Z3157" s="15"/>
    </row>
    <row r="3158" spans="1:26" x14ac:dyDescent="0.25">
      <c r="A3158" s="15" t="str">
        <f>IF(C3158="","",COUNTA($C$3:C3158))</f>
        <v/>
      </c>
      <c r="B3158" s="15" t="str">
        <f t="shared" si="300"/>
        <v/>
      </c>
      <c r="M3158" s="9"/>
      <c r="N3158" s="9"/>
      <c r="P3158" s="14"/>
      <c r="Q3158" s="85"/>
      <c r="R3158" s="89"/>
      <c r="U3158" s="11" t="str">
        <f t="shared" si="298"/>
        <v/>
      </c>
      <c r="V3158" s="12" t="str">
        <f t="shared" si="299"/>
        <v/>
      </c>
      <c r="Z3158" s="15"/>
    </row>
    <row r="3159" spans="1:26" x14ac:dyDescent="0.25">
      <c r="A3159" s="15" t="str">
        <f>IF(C3159="","",COUNTA($C$3:C3159))</f>
        <v/>
      </c>
      <c r="B3159" s="15" t="str">
        <f t="shared" si="300"/>
        <v/>
      </c>
      <c r="M3159" s="9"/>
      <c r="N3159" s="9"/>
      <c r="P3159" s="14"/>
      <c r="Q3159" s="85"/>
      <c r="R3159" s="89"/>
      <c r="U3159" s="11" t="str">
        <f t="shared" si="298"/>
        <v/>
      </c>
      <c r="V3159" s="12" t="str">
        <f t="shared" si="299"/>
        <v/>
      </c>
      <c r="Z3159" s="15"/>
    </row>
    <row r="3160" spans="1:26" x14ac:dyDescent="0.25">
      <c r="A3160" s="15" t="str">
        <f>IF(C3160="","",COUNTA($C$3:C3160))</f>
        <v/>
      </c>
      <c r="B3160" s="15" t="str">
        <f t="shared" si="300"/>
        <v/>
      </c>
      <c r="M3160" s="9"/>
      <c r="N3160" s="9"/>
      <c r="P3160" s="14"/>
      <c r="Q3160" s="85"/>
      <c r="R3160" s="89"/>
      <c r="U3160" s="11" t="str">
        <f t="shared" si="298"/>
        <v/>
      </c>
      <c r="V3160" s="12" t="str">
        <f t="shared" si="299"/>
        <v/>
      </c>
      <c r="Z3160" s="15"/>
    </row>
    <row r="3161" spans="1:26" x14ac:dyDescent="0.25">
      <c r="A3161" s="15" t="str">
        <f>IF(C3161="","",COUNTA($C$3:C3161))</f>
        <v/>
      </c>
      <c r="B3161" s="15" t="str">
        <f t="shared" si="300"/>
        <v/>
      </c>
      <c r="M3161" s="9"/>
      <c r="N3161" s="9"/>
      <c r="P3161" s="14"/>
      <c r="Q3161" s="85"/>
      <c r="R3161" s="89"/>
      <c r="U3161" s="11" t="str">
        <f t="shared" si="298"/>
        <v/>
      </c>
      <c r="V3161" s="12" t="str">
        <f t="shared" si="299"/>
        <v/>
      </c>
      <c r="Z3161" s="15"/>
    </row>
    <row r="3162" spans="1:26" x14ac:dyDescent="0.25">
      <c r="A3162" s="15" t="str">
        <f>IF(C3162="","",COUNTA($C$3:C3162))</f>
        <v/>
      </c>
      <c r="B3162" s="15" t="str">
        <f t="shared" si="300"/>
        <v/>
      </c>
      <c r="M3162" s="9"/>
      <c r="N3162" s="9"/>
      <c r="P3162" s="14"/>
      <c r="Q3162" s="85"/>
      <c r="R3162" s="89"/>
      <c r="U3162" s="11" t="str">
        <f t="shared" si="298"/>
        <v/>
      </c>
      <c r="V3162" s="12" t="str">
        <f t="shared" si="299"/>
        <v/>
      </c>
      <c r="Z3162" s="15"/>
    </row>
    <row r="3163" spans="1:26" x14ac:dyDescent="0.25">
      <c r="A3163" s="15" t="str">
        <f>IF(C3163="","",COUNTA($C$3:C3163))</f>
        <v/>
      </c>
      <c r="B3163" s="15" t="str">
        <f t="shared" si="300"/>
        <v/>
      </c>
      <c r="M3163" s="9"/>
      <c r="N3163" s="9"/>
      <c r="P3163" s="14"/>
      <c r="Q3163" s="85"/>
      <c r="R3163" s="89"/>
      <c r="U3163" s="11" t="str">
        <f t="shared" si="298"/>
        <v/>
      </c>
      <c r="V3163" s="12" t="str">
        <f t="shared" si="299"/>
        <v/>
      </c>
      <c r="Z3163" s="15"/>
    </row>
    <row r="3164" spans="1:26" x14ac:dyDescent="0.25">
      <c r="A3164" s="15" t="str">
        <f>IF(C3164="","",COUNTA($C$3:C3164))</f>
        <v/>
      </c>
      <c r="B3164" s="15" t="str">
        <f t="shared" si="300"/>
        <v/>
      </c>
      <c r="M3164" s="9"/>
      <c r="N3164" s="9"/>
      <c r="P3164" s="14"/>
      <c r="Q3164" s="85"/>
      <c r="R3164" s="89"/>
      <c r="U3164" s="11" t="str">
        <f t="shared" si="298"/>
        <v/>
      </c>
      <c r="V3164" s="12" t="str">
        <f t="shared" si="299"/>
        <v/>
      </c>
      <c r="Z3164" s="15"/>
    </row>
    <row r="3165" spans="1:26" x14ac:dyDescent="0.25">
      <c r="A3165" s="15" t="str">
        <f>IF(C3165="","",COUNTA($C$3:C3165))</f>
        <v/>
      </c>
      <c r="B3165" s="15" t="str">
        <f t="shared" si="300"/>
        <v/>
      </c>
      <c r="M3165" s="9"/>
      <c r="N3165" s="9"/>
      <c r="P3165" s="14"/>
      <c r="Q3165" s="85"/>
      <c r="R3165" s="89"/>
      <c r="U3165" s="11" t="str">
        <f t="shared" si="298"/>
        <v/>
      </c>
      <c r="V3165" s="12" t="str">
        <f t="shared" si="299"/>
        <v/>
      </c>
      <c r="Z3165" s="15"/>
    </row>
    <row r="3166" spans="1:26" x14ac:dyDescent="0.25">
      <c r="A3166" s="15" t="str">
        <f>IF(C3166="","",COUNTA($C$3:C3166))</f>
        <v/>
      </c>
      <c r="B3166" s="15" t="str">
        <f t="shared" si="300"/>
        <v/>
      </c>
      <c r="M3166" s="9"/>
      <c r="N3166" s="9"/>
      <c r="P3166" s="14"/>
      <c r="Q3166" s="85"/>
      <c r="R3166" s="89"/>
      <c r="U3166" s="11" t="str">
        <f t="shared" si="298"/>
        <v/>
      </c>
      <c r="V3166" s="12" t="str">
        <f t="shared" si="299"/>
        <v/>
      </c>
      <c r="Z3166" s="15"/>
    </row>
    <row r="3167" spans="1:26" x14ac:dyDescent="0.25">
      <c r="A3167" s="15" t="str">
        <f>IF(C3167="","",COUNTA($C$3:C3167))</f>
        <v/>
      </c>
      <c r="B3167" s="15" t="str">
        <f t="shared" si="300"/>
        <v/>
      </c>
      <c r="M3167" s="9"/>
      <c r="N3167" s="9"/>
      <c r="P3167" s="14"/>
      <c r="Q3167" s="85"/>
      <c r="R3167" s="89"/>
      <c r="U3167" s="11" t="str">
        <f t="shared" si="298"/>
        <v/>
      </c>
      <c r="V3167" s="12" t="str">
        <f t="shared" si="299"/>
        <v/>
      </c>
      <c r="Z3167" s="15"/>
    </row>
    <row r="3168" spans="1:26" x14ac:dyDescent="0.25">
      <c r="A3168" s="15" t="str">
        <f>IF(C3168="","",COUNTA($C$3:C3168))</f>
        <v/>
      </c>
      <c r="B3168" s="15" t="str">
        <f t="shared" si="300"/>
        <v/>
      </c>
      <c r="M3168" s="9"/>
      <c r="N3168" s="9"/>
      <c r="P3168" s="14"/>
      <c r="Q3168" s="85"/>
      <c r="R3168" s="89"/>
      <c r="U3168" s="11" t="str">
        <f t="shared" si="298"/>
        <v/>
      </c>
      <c r="V3168" s="12" t="str">
        <f t="shared" si="299"/>
        <v/>
      </c>
      <c r="Z3168" s="15"/>
    </row>
    <row r="3169" spans="1:26" x14ac:dyDescent="0.25">
      <c r="A3169" s="15" t="str">
        <f>IF(C3169="","",COUNTA($C$3:C3169))</f>
        <v/>
      </c>
      <c r="B3169" s="15" t="str">
        <f t="shared" si="300"/>
        <v/>
      </c>
      <c r="M3169" s="9"/>
      <c r="N3169" s="9"/>
      <c r="P3169" s="14"/>
      <c r="Q3169" s="85"/>
      <c r="R3169" s="89"/>
      <c r="U3169" s="11" t="str">
        <f t="shared" si="298"/>
        <v/>
      </c>
      <c r="V3169" s="12" t="str">
        <f t="shared" si="299"/>
        <v/>
      </c>
      <c r="Z3169" s="15"/>
    </row>
    <row r="3170" spans="1:26" x14ac:dyDescent="0.25">
      <c r="A3170" s="15" t="str">
        <f>IF(C3170="","",COUNTA($C$3:C3170))</f>
        <v/>
      </c>
      <c r="B3170" s="15" t="str">
        <f t="shared" si="300"/>
        <v/>
      </c>
      <c r="M3170" s="9"/>
      <c r="N3170" s="9"/>
      <c r="P3170" s="14"/>
      <c r="Q3170" s="85"/>
      <c r="R3170" s="89"/>
      <c r="U3170" s="11" t="str">
        <f t="shared" si="298"/>
        <v/>
      </c>
      <c r="V3170" s="12" t="str">
        <f t="shared" si="299"/>
        <v/>
      </c>
      <c r="Z3170" s="15"/>
    </row>
    <row r="3171" spans="1:26" x14ac:dyDescent="0.25">
      <c r="A3171" s="15" t="str">
        <f>IF(C3171="","",COUNTA($C$3:C3171))</f>
        <v/>
      </c>
      <c r="B3171" s="15" t="str">
        <f t="shared" si="300"/>
        <v/>
      </c>
      <c r="M3171" s="9"/>
      <c r="N3171" s="9"/>
      <c r="P3171" s="14"/>
      <c r="Q3171" s="85"/>
      <c r="R3171" s="89"/>
      <c r="U3171" s="11" t="str">
        <f t="shared" si="298"/>
        <v/>
      </c>
      <c r="V3171" s="12" t="str">
        <f t="shared" si="299"/>
        <v/>
      </c>
      <c r="Z3171" s="15"/>
    </row>
    <row r="3172" spans="1:26" x14ac:dyDescent="0.25">
      <c r="A3172" s="15" t="str">
        <f>IF(C3172="","",COUNTA($C$3:C3172))</f>
        <v/>
      </c>
      <c r="B3172" s="15" t="str">
        <f t="shared" si="300"/>
        <v/>
      </c>
      <c r="M3172" s="9"/>
      <c r="N3172" s="9"/>
      <c r="P3172" s="14"/>
      <c r="Q3172" s="85"/>
      <c r="R3172" s="89"/>
      <c r="U3172" s="11" t="str">
        <f t="shared" si="298"/>
        <v/>
      </c>
      <c r="V3172" s="12" t="str">
        <f t="shared" si="299"/>
        <v/>
      </c>
      <c r="Z3172" s="15"/>
    </row>
    <row r="3173" spans="1:26" x14ac:dyDescent="0.25">
      <c r="A3173" s="15" t="str">
        <f>IF(C3173="","",COUNTA($C$3:C3173))</f>
        <v/>
      </c>
      <c r="B3173" s="15" t="str">
        <f t="shared" si="300"/>
        <v/>
      </c>
      <c r="M3173" s="9"/>
      <c r="N3173" s="9"/>
      <c r="P3173" s="14"/>
      <c r="Q3173" s="85"/>
      <c r="R3173" s="89"/>
      <c r="U3173" s="11" t="str">
        <f t="shared" si="298"/>
        <v/>
      </c>
      <c r="V3173" s="12" t="str">
        <f t="shared" si="299"/>
        <v/>
      </c>
      <c r="Z3173" s="15"/>
    </row>
    <row r="3174" spans="1:26" x14ac:dyDescent="0.25">
      <c r="A3174" s="15" t="str">
        <f>IF(C3174="","",COUNTA($C$3:C3174))</f>
        <v/>
      </c>
      <c r="B3174" s="15" t="str">
        <f t="shared" si="300"/>
        <v/>
      </c>
      <c r="M3174" s="9"/>
      <c r="N3174" s="9"/>
      <c r="P3174" s="14"/>
      <c r="Q3174" s="85"/>
      <c r="R3174" s="89"/>
      <c r="U3174" s="11" t="str">
        <f t="shared" si="298"/>
        <v/>
      </c>
      <c r="V3174" s="12" t="str">
        <f t="shared" si="299"/>
        <v/>
      </c>
      <c r="Z3174" s="15"/>
    </row>
    <row r="3175" spans="1:26" x14ac:dyDescent="0.25">
      <c r="A3175" s="15" t="str">
        <f>IF(C3175="","",COUNTA($C$3:C3175))</f>
        <v/>
      </c>
      <c r="B3175" s="15" t="str">
        <f t="shared" si="300"/>
        <v/>
      </c>
      <c r="M3175" s="9"/>
      <c r="N3175" s="9"/>
      <c r="P3175" s="14"/>
      <c r="Q3175" s="85"/>
      <c r="R3175" s="89"/>
      <c r="U3175" s="11" t="str">
        <f t="shared" si="298"/>
        <v/>
      </c>
      <c r="V3175" s="12" t="str">
        <f t="shared" si="299"/>
        <v/>
      </c>
      <c r="Z3175" s="15"/>
    </row>
    <row r="3176" spans="1:26" x14ac:dyDescent="0.25">
      <c r="A3176" s="15" t="str">
        <f>IF(C3176="","",COUNTA($C$3:C3176))</f>
        <v/>
      </c>
      <c r="B3176" s="15" t="str">
        <f t="shared" si="300"/>
        <v/>
      </c>
      <c r="M3176" s="9"/>
      <c r="N3176" s="9"/>
      <c r="P3176" s="14"/>
      <c r="Q3176" s="85"/>
      <c r="R3176" s="89"/>
      <c r="U3176" s="11" t="str">
        <f t="shared" si="298"/>
        <v/>
      </c>
      <c r="V3176" s="12" t="str">
        <f t="shared" si="299"/>
        <v/>
      </c>
      <c r="Z3176" s="15"/>
    </row>
    <row r="3177" spans="1:26" x14ac:dyDescent="0.25">
      <c r="A3177" s="15" t="str">
        <f>IF(C3177="","",COUNTA($C$3:C3177))</f>
        <v/>
      </c>
      <c r="B3177" s="15" t="str">
        <f t="shared" si="300"/>
        <v/>
      </c>
      <c r="M3177" s="9"/>
      <c r="N3177" s="9"/>
      <c r="P3177" s="14"/>
      <c r="Q3177" s="85"/>
      <c r="R3177" s="89"/>
      <c r="U3177" s="11" t="str">
        <f t="shared" si="298"/>
        <v/>
      </c>
      <c r="V3177" s="12" t="str">
        <f t="shared" si="299"/>
        <v/>
      </c>
      <c r="Z3177" s="15"/>
    </row>
    <row r="3178" spans="1:26" x14ac:dyDescent="0.25">
      <c r="A3178" s="15" t="str">
        <f>IF(C3178="","",COUNTA($C$3:C3178))</f>
        <v/>
      </c>
      <c r="B3178" s="15" t="str">
        <f t="shared" si="300"/>
        <v/>
      </c>
      <c r="M3178" s="9"/>
      <c r="N3178" s="9"/>
      <c r="P3178" s="14"/>
      <c r="Q3178" s="85"/>
      <c r="R3178" s="89"/>
      <c r="U3178" s="11" t="str">
        <f t="shared" si="298"/>
        <v/>
      </c>
      <c r="V3178" s="12" t="str">
        <f t="shared" si="299"/>
        <v/>
      </c>
      <c r="Z3178" s="15"/>
    </row>
    <row r="3179" spans="1:26" x14ac:dyDescent="0.25">
      <c r="A3179" s="15" t="str">
        <f>IF(C3179="","",COUNTA($C$3:C3179))</f>
        <v/>
      </c>
      <c r="B3179" s="15" t="str">
        <f t="shared" si="300"/>
        <v/>
      </c>
      <c r="M3179" s="9"/>
      <c r="N3179" s="9"/>
      <c r="P3179" s="14"/>
      <c r="Q3179" s="85"/>
      <c r="R3179" s="89"/>
      <c r="U3179" s="11" t="str">
        <f t="shared" si="298"/>
        <v/>
      </c>
      <c r="V3179" s="12" t="str">
        <f t="shared" si="299"/>
        <v/>
      </c>
      <c r="Z3179" s="15"/>
    </row>
    <row r="3180" spans="1:26" x14ac:dyDescent="0.25">
      <c r="A3180" s="15" t="str">
        <f>IF(C3180="","",COUNTA($C$3:C3180))</f>
        <v/>
      </c>
      <c r="B3180" s="15" t="str">
        <f t="shared" si="300"/>
        <v/>
      </c>
      <c r="M3180" s="9"/>
      <c r="N3180" s="9"/>
      <c r="P3180" s="14"/>
      <c r="Q3180" s="85"/>
      <c r="R3180" s="89"/>
      <c r="U3180" s="11" t="str">
        <f t="shared" si="298"/>
        <v/>
      </c>
      <c r="V3180" s="12" t="str">
        <f t="shared" si="299"/>
        <v/>
      </c>
      <c r="Z3180" s="15"/>
    </row>
    <row r="3181" spans="1:26" x14ac:dyDescent="0.25">
      <c r="A3181" s="15" t="str">
        <f>IF(C3181="","",COUNTA($C$3:C3181))</f>
        <v/>
      </c>
      <c r="B3181" s="15" t="str">
        <f t="shared" si="300"/>
        <v/>
      </c>
      <c r="M3181" s="9"/>
      <c r="N3181" s="9"/>
      <c r="P3181" s="14"/>
      <c r="Q3181" s="85"/>
      <c r="R3181" s="89"/>
      <c r="U3181" s="11" t="str">
        <f t="shared" si="298"/>
        <v/>
      </c>
      <c r="V3181" s="12" t="str">
        <f t="shared" si="299"/>
        <v/>
      </c>
      <c r="Z3181" s="15"/>
    </row>
    <row r="3182" spans="1:26" x14ac:dyDescent="0.25">
      <c r="A3182" s="15" t="str">
        <f>IF(C3182="","",COUNTA($C$3:C3182))</f>
        <v/>
      </c>
      <c r="B3182" s="15" t="str">
        <f t="shared" si="300"/>
        <v/>
      </c>
      <c r="M3182" s="9"/>
      <c r="N3182" s="9"/>
      <c r="P3182" s="14"/>
      <c r="Q3182" s="85"/>
      <c r="R3182" s="89"/>
      <c r="U3182" s="11" t="str">
        <f t="shared" si="298"/>
        <v/>
      </c>
      <c r="V3182" s="12" t="str">
        <f t="shared" si="299"/>
        <v/>
      </c>
      <c r="Z3182" s="15"/>
    </row>
    <row r="3183" spans="1:26" x14ac:dyDescent="0.25">
      <c r="A3183" s="15" t="str">
        <f>IF(C3183="","",COUNTA($C$3:C3183))</f>
        <v/>
      </c>
      <c r="B3183" s="15" t="str">
        <f t="shared" si="300"/>
        <v/>
      </c>
      <c r="M3183" s="9"/>
      <c r="N3183" s="9"/>
      <c r="P3183" s="14"/>
      <c r="Q3183" s="85"/>
      <c r="R3183" s="89"/>
      <c r="U3183" s="11" t="str">
        <f t="shared" si="298"/>
        <v/>
      </c>
      <c r="V3183" s="12" t="str">
        <f t="shared" si="299"/>
        <v/>
      </c>
      <c r="Z3183" s="15"/>
    </row>
    <row r="3184" spans="1:26" x14ac:dyDescent="0.25">
      <c r="A3184" s="15" t="str">
        <f>IF(C3184="","",COUNTA($C$3:C3184))</f>
        <v/>
      </c>
      <c r="B3184" s="15" t="str">
        <f t="shared" si="300"/>
        <v/>
      </c>
      <c r="M3184" s="9"/>
      <c r="N3184" s="9"/>
      <c r="P3184" s="14"/>
      <c r="Q3184" s="85"/>
      <c r="R3184" s="89"/>
      <c r="U3184" s="11" t="str">
        <f t="shared" si="298"/>
        <v/>
      </c>
      <c r="V3184" s="12" t="str">
        <f t="shared" si="299"/>
        <v/>
      </c>
      <c r="Z3184" s="15"/>
    </row>
    <row r="3185" spans="1:26" x14ac:dyDescent="0.25">
      <c r="A3185" s="15" t="str">
        <f>IF(C3185="","",COUNTA($C$3:C3185))</f>
        <v/>
      </c>
      <c r="B3185" s="15" t="str">
        <f t="shared" si="300"/>
        <v/>
      </c>
      <c r="M3185" s="9"/>
      <c r="N3185" s="9"/>
      <c r="P3185" s="14"/>
      <c r="Q3185" s="85"/>
      <c r="R3185" s="89"/>
      <c r="U3185" s="11" t="str">
        <f t="shared" si="298"/>
        <v/>
      </c>
      <c r="V3185" s="12" t="str">
        <f t="shared" si="299"/>
        <v/>
      </c>
      <c r="Z3185" s="15"/>
    </row>
    <row r="3186" spans="1:26" x14ac:dyDescent="0.25">
      <c r="A3186" s="15" t="str">
        <f>IF(C3186="","",COUNTA($C$3:C3186))</f>
        <v/>
      </c>
      <c r="B3186" s="15" t="str">
        <f t="shared" si="300"/>
        <v/>
      </c>
      <c r="M3186" s="9"/>
      <c r="N3186" s="9"/>
      <c r="P3186" s="14"/>
      <c r="Q3186" s="85"/>
      <c r="R3186" s="89"/>
      <c r="U3186" s="11" t="str">
        <f t="shared" si="298"/>
        <v/>
      </c>
      <c r="V3186" s="12" t="str">
        <f t="shared" si="299"/>
        <v/>
      </c>
      <c r="Z3186" s="15"/>
    </row>
    <row r="3187" spans="1:26" x14ac:dyDescent="0.25">
      <c r="A3187" s="15" t="str">
        <f>IF(C3187="","",COUNTA($C$3:C3187))</f>
        <v/>
      </c>
      <c r="B3187" s="15" t="str">
        <f t="shared" si="300"/>
        <v/>
      </c>
      <c r="M3187" s="9"/>
      <c r="N3187" s="9"/>
      <c r="P3187" s="14"/>
      <c r="Q3187" s="85"/>
      <c r="R3187" s="89"/>
      <c r="U3187" s="11" t="str">
        <f t="shared" si="298"/>
        <v/>
      </c>
      <c r="V3187" s="12" t="str">
        <f t="shared" si="299"/>
        <v/>
      </c>
      <c r="Z3187" s="15"/>
    </row>
    <row r="3188" spans="1:26" x14ac:dyDescent="0.25">
      <c r="A3188" s="15" t="str">
        <f>IF(C3188="","",COUNTA($C$3:C3188))</f>
        <v/>
      </c>
      <c r="B3188" s="15" t="str">
        <f t="shared" si="300"/>
        <v/>
      </c>
      <c r="M3188" s="9"/>
      <c r="N3188" s="9"/>
      <c r="P3188" s="14"/>
      <c r="Q3188" s="85"/>
      <c r="R3188" s="89"/>
      <c r="U3188" s="11" t="str">
        <f t="shared" si="298"/>
        <v/>
      </c>
      <c r="V3188" s="12" t="str">
        <f t="shared" si="299"/>
        <v/>
      </c>
      <c r="Z3188" s="15"/>
    </row>
    <row r="3189" spans="1:26" x14ac:dyDescent="0.25">
      <c r="A3189" s="15" t="str">
        <f>IF(C3189="","",COUNTA($C$3:C3189))</f>
        <v/>
      </c>
      <c r="B3189" s="15" t="str">
        <f t="shared" si="300"/>
        <v/>
      </c>
      <c r="M3189" s="9"/>
      <c r="N3189" s="9"/>
      <c r="P3189" s="14"/>
      <c r="Q3189" s="85"/>
      <c r="R3189" s="89"/>
      <c r="U3189" s="11" t="str">
        <f t="shared" si="298"/>
        <v/>
      </c>
      <c r="V3189" s="12" t="str">
        <f t="shared" si="299"/>
        <v/>
      </c>
      <c r="Z3189" s="15"/>
    </row>
    <row r="3190" spans="1:26" x14ac:dyDescent="0.25">
      <c r="A3190" s="15" t="str">
        <f>IF(C3190="","",COUNTA($C$3:C3190))</f>
        <v/>
      </c>
      <c r="B3190" s="15" t="str">
        <f t="shared" si="300"/>
        <v/>
      </c>
      <c r="M3190" s="9"/>
      <c r="N3190" s="9"/>
      <c r="P3190" s="14"/>
      <c r="Q3190" s="85"/>
      <c r="R3190" s="89"/>
      <c r="U3190" s="11" t="str">
        <f t="shared" si="298"/>
        <v/>
      </c>
      <c r="V3190" s="12" t="str">
        <f t="shared" si="299"/>
        <v/>
      </c>
      <c r="Z3190" s="15"/>
    </row>
    <row r="3191" spans="1:26" x14ac:dyDescent="0.25">
      <c r="A3191" s="15" t="str">
        <f>IF(C3191="","",COUNTA($C$3:C3191))</f>
        <v/>
      </c>
      <c r="B3191" s="15" t="str">
        <f t="shared" si="300"/>
        <v/>
      </c>
      <c r="M3191" s="9"/>
      <c r="N3191" s="9"/>
      <c r="P3191" s="14"/>
      <c r="Q3191" s="85"/>
      <c r="R3191" s="89"/>
      <c r="U3191" s="11" t="str">
        <f t="shared" si="298"/>
        <v/>
      </c>
      <c r="V3191" s="12" t="str">
        <f t="shared" si="299"/>
        <v/>
      </c>
      <c r="Z3191" s="15"/>
    </row>
    <row r="3192" spans="1:26" x14ac:dyDescent="0.25">
      <c r="A3192" s="15" t="str">
        <f>IF(C3192="","",COUNTA($C$3:C3192))</f>
        <v/>
      </c>
      <c r="B3192" s="15" t="str">
        <f t="shared" si="300"/>
        <v/>
      </c>
      <c r="M3192" s="9"/>
      <c r="N3192" s="9"/>
      <c r="P3192" s="14"/>
      <c r="Q3192" s="85"/>
      <c r="R3192" s="89"/>
      <c r="U3192" s="11" t="str">
        <f t="shared" si="298"/>
        <v/>
      </c>
      <c r="V3192" s="12" t="str">
        <f t="shared" si="299"/>
        <v/>
      </c>
      <c r="Z3192" s="15"/>
    </row>
    <row r="3193" spans="1:26" x14ac:dyDescent="0.25">
      <c r="A3193" s="15" t="str">
        <f>IF(C3193="","",COUNTA($C$3:C3193))</f>
        <v/>
      </c>
      <c r="B3193" s="15" t="str">
        <f t="shared" si="300"/>
        <v/>
      </c>
      <c r="M3193" s="9"/>
      <c r="N3193" s="9"/>
      <c r="P3193" s="14"/>
      <c r="Q3193" s="85"/>
      <c r="R3193" s="89"/>
      <c r="U3193" s="11" t="str">
        <f t="shared" si="298"/>
        <v/>
      </c>
      <c r="V3193" s="12" t="str">
        <f t="shared" si="299"/>
        <v/>
      </c>
      <c r="Z3193" s="15"/>
    </row>
    <row r="3194" spans="1:26" x14ac:dyDescent="0.25">
      <c r="A3194" s="15" t="str">
        <f>IF(C3194="","",COUNTA($C$3:C3194))</f>
        <v/>
      </c>
      <c r="B3194" s="15" t="str">
        <f t="shared" si="300"/>
        <v/>
      </c>
      <c r="M3194" s="9"/>
      <c r="N3194" s="9"/>
      <c r="P3194" s="14"/>
      <c r="Q3194" s="85"/>
      <c r="R3194" s="89"/>
      <c r="U3194" s="11" t="str">
        <f t="shared" si="298"/>
        <v/>
      </c>
      <c r="V3194" s="12" t="str">
        <f t="shared" si="299"/>
        <v/>
      </c>
      <c r="Z3194" s="15"/>
    </row>
    <row r="3195" spans="1:26" x14ac:dyDescent="0.25">
      <c r="A3195" s="15" t="str">
        <f>IF(C3195="","",COUNTA($C$3:C3195))</f>
        <v/>
      </c>
      <c r="B3195" s="15" t="str">
        <f t="shared" si="300"/>
        <v/>
      </c>
      <c r="M3195" s="9"/>
      <c r="N3195" s="9"/>
      <c r="P3195" s="14"/>
      <c r="Q3195" s="85"/>
      <c r="R3195" s="89"/>
      <c r="U3195" s="11" t="str">
        <f t="shared" si="298"/>
        <v/>
      </c>
      <c r="V3195" s="12" t="str">
        <f t="shared" si="299"/>
        <v/>
      </c>
      <c r="Z3195" s="15"/>
    </row>
    <row r="3196" spans="1:26" x14ac:dyDescent="0.25">
      <c r="A3196" s="15" t="str">
        <f>IF(C3196="","",COUNTA($C$3:C3196))</f>
        <v/>
      </c>
      <c r="B3196" s="15" t="str">
        <f t="shared" si="300"/>
        <v/>
      </c>
      <c r="M3196" s="9"/>
      <c r="N3196" s="9"/>
      <c r="P3196" s="14"/>
      <c r="Q3196" s="85"/>
      <c r="R3196" s="89"/>
      <c r="U3196" s="11" t="str">
        <f t="shared" si="298"/>
        <v/>
      </c>
      <c r="V3196" s="12" t="str">
        <f t="shared" si="299"/>
        <v/>
      </c>
      <c r="Z3196" s="15"/>
    </row>
    <row r="3197" spans="1:26" x14ac:dyDescent="0.25">
      <c r="A3197" s="15" t="str">
        <f>IF(C3197="","",COUNTA($C$3:C3197))</f>
        <v/>
      </c>
      <c r="B3197" s="15" t="str">
        <f t="shared" si="300"/>
        <v/>
      </c>
      <c r="M3197" s="9"/>
      <c r="N3197" s="9"/>
      <c r="P3197" s="14"/>
      <c r="Q3197" s="85"/>
      <c r="R3197" s="89"/>
      <c r="U3197" s="11" t="str">
        <f t="shared" si="298"/>
        <v/>
      </c>
      <c r="V3197" s="12" t="str">
        <f t="shared" si="299"/>
        <v/>
      </c>
      <c r="Z3197" s="15"/>
    </row>
    <row r="3198" spans="1:26" x14ac:dyDescent="0.25">
      <c r="A3198" s="15" t="str">
        <f>IF(C3198="","",COUNTA($C$3:C3198))</f>
        <v/>
      </c>
      <c r="B3198" s="15" t="str">
        <f t="shared" si="300"/>
        <v/>
      </c>
      <c r="M3198" s="9"/>
      <c r="N3198" s="9"/>
      <c r="P3198" s="14"/>
      <c r="Q3198" s="85"/>
      <c r="R3198" s="89"/>
      <c r="U3198" s="11" t="str">
        <f t="shared" si="298"/>
        <v/>
      </c>
      <c r="V3198" s="12" t="str">
        <f t="shared" si="299"/>
        <v/>
      </c>
      <c r="Z3198" s="15"/>
    </row>
    <row r="3199" spans="1:26" x14ac:dyDescent="0.25">
      <c r="A3199" s="15" t="str">
        <f>IF(C3199="","",COUNTA($C$3:C3199))</f>
        <v/>
      </c>
      <c r="B3199" s="15" t="str">
        <f t="shared" si="300"/>
        <v/>
      </c>
      <c r="M3199" s="9"/>
      <c r="N3199" s="9"/>
      <c r="P3199" s="14"/>
      <c r="Q3199" s="85"/>
      <c r="R3199" s="89"/>
      <c r="U3199" s="11" t="str">
        <f t="shared" si="298"/>
        <v/>
      </c>
      <c r="V3199" s="12" t="str">
        <f t="shared" si="299"/>
        <v/>
      </c>
      <c r="Z3199" s="15"/>
    </row>
    <row r="3200" spans="1:26" x14ac:dyDescent="0.25">
      <c r="A3200" s="15" t="str">
        <f>IF(C3200="","",COUNTA($C$3:C3200))</f>
        <v/>
      </c>
      <c r="B3200" s="15" t="str">
        <f t="shared" si="300"/>
        <v/>
      </c>
      <c r="M3200" s="9"/>
      <c r="N3200" s="9"/>
      <c r="P3200" s="14"/>
      <c r="Q3200" s="85"/>
      <c r="R3200" s="89"/>
      <c r="U3200" s="11" t="str">
        <f t="shared" si="298"/>
        <v/>
      </c>
      <c r="V3200" s="12" t="str">
        <f t="shared" si="299"/>
        <v/>
      </c>
      <c r="Z3200" s="15"/>
    </row>
    <row r="3201" spans="1:26" x14ac:dyDescent="0.25">
      <c r="A3201" s="15" t="str">
        <f>IF(C3201="","",COUNTA($C$3:C3201))</f>
        <v/>
      </c>
      <c r="B3201" s="15" t="str">
        <f t="shared" si="300"/>
        <v/>
      </c>
      <c r="M3201" s="9"/>
      <c r="N3201" s="9"/>
      <c r="P3201" s="14"/>
      <c r="Q3201" s="85"/>
      <c r="R3201" s="89"/>
      <c r="U3201" s="11" t="str">
        <f t="shared" si="298"/>
        <v/>
      </c>
      <c r="V3201" s="12" t="str">
        <f t="shared" si="299"/>
        <v/>
      </c>
      <c r="Z3201" s="15"/>
    </row>
    <row r="3202" spans="1:26" x14ac:dyDescent="0.25">
      <c r="A3202" s="15" t="str">
        <f>IF(C3202="","",COUNTA($C$3:C3202))</f>
        <v/>
      </c>
      <c r="B3202" s="15" t="str">
        <f t="shared" si="300"/>
        <v/>
      </c>
      <c r="M3202" s="9"/>
      <c r="N3202" s="9"/>
      <c r="P3202" s="14"/>
      <c r="Q3202" s="85"/>
      <c r="R3202" s="89"/>
      <c r="U3202" s="11" t="str">
        <f t="shared" ref="U3202:U3265" si="301">IF(S3202="","",(S3202-T3202))</f>
        <v/>
      </c>
      <c r="V3202" s="12" t="str">
        <f t="shared" ref="V3202:V3265" si="302">IF(U3202="","",(U3202/T3202))</f>
        <v/>
      </c>
      <c r="Z3202" s="15"/>
    </row>
    <row r="3203" spans="1:26" x14ac:dyDescent="0.25">
      <c r="A3203" s="15" t="str">
        <f>IF(C3203="","",COUNTA($C$3:C3203))</f>
        <v/>
      </c>
      <c r="B3203" s="15" t="str">
        <f t="shared" ref="B3203:B3266" si="303">IF(C3203="","",TEXT(C3203,"mmmm"))</f>
        <v/>
      </c>
      <c r="M3203" s="9"/>
      <c r="N3203" s="9"/>
      <c r="P3203" s="14"/>
      <c r="Q3203" s="85"/>
      <c r="R3203" s="89"/>
      <c r="U3203" s="11" t="str">
        <f t="shared" si="301"/>
        <v/>
      </c>
      <c r="V3203" s="12" t="str">
        <f t="shared" si="302"/>
        <v/>
      </c>
      <c r="Z3203" s="15"/>
    </row>
    <row r="3204" spans="1:26" x14ac:dyDescent="0.25">
      <c r="A3204" s="15" t="str">
        <f>IF(C3204="","",COUNTA($C$3:C3204))</f>
        <v/>
      </c>
      <c r="B3204" s="15" t="str">
        <f t="shared" si="303"/>
        <v/>
      </c>
      <c r="M3204" s="9"/>
      <c r="N3204" s="9"/>
      <c r="P3204" s="14"/>
      <c r="Q3204" s="85"/>
      <c r="R3204" s="89"/>
      <c r="U3204" s="11" t="str">
        <f t="shared" si="301"/>
        <v/>
      </c>
      <c r="V3204" s="12" t="str">
        <f t="shared" si="302"/>
        <v/>
      </c>
      <c r="Z3204" s="15"/>
    </row>
    <row r="3205" spans="1:26" x14ac:dyDescent="0.25">
      <c r="A3205" s="15" t="str">
        <f>IF(C3205="","",COUNTA($C$3:C3205))</f>
        <v/>
      </c>
      <c r="B3205" s="15" t="str">
        <f t="shared" si="303"/>
        <v/>
      </c>
      <c r="M3205" s="9"/>
      <c r="N3205" s="9"/>
      <c r="P3205" s="14"/>
      <c r="Q3205" s="85"/>
      <c r="R3205" s="89"/>
      <c r="U3205" s="11" t="str">
        <f t="shared" si="301"/>
        <v/>
      </c>
      <c r="V3205" s="12" t="str">
        <f t="shared" si="302"/>
        <v/>
      </c>
      <c r="Z3205" s="15"/>
    </row>
    <row r="3206" spans="1:26" x14ac:dyDescent="0.25">
      <c r="A3206" s="15" t="str">
        <f>IF(C3206="","",COUNTA($C$3:C3206))</f>
        <v/>
      </c>
      <c r="B3206" s="15" t="str">
        <f t="shared" si="303"/>
        <v/>
      </c>
      <c r="M3206" s="9"/>
      <c r="N3206" s="9"/>
      <c r="P3206" s="14"/>
      <c r="Q3206" s="85"/>
      <c r="R3206" s="89"/>
      <c r="U3206" s="11" t="str">
        <f t="shared" si="301"/>
        <v/>
      </c>
      <c r="V3206" s="12" t="str">
        <f t="shared" si="302"/>
        <v/>
      </c>
      <c r="Z3206" s="15"/>
    </row>
    <row r="3207" spans="1:26" x14ac:dyDescent="0.25">
      <c r="A3207" s="15" t="str">
        <f>IF(C3207="","",COUNTA($C$3:C3207))</f>
        <v/>
      </c>
      <c r="B3207" s="15" t="str">
        <f t="shared" si="303"/>
        <v/>
      </c>
      <c r="M3207" s="9"/>
      <c r="N3207" s="9"/>
      <c r="P3207" s="14"/>
      <c r="Q3207" s="85"/>
      <c r="R3207" s="89"/>
      <c r="U3207" s="11" t="str">
        <f t="shared" si="301"/>
        <v/>
      </c>
      <c r="V3207" s="12" t="str">
        <f t="shared" si="302"/>
        <v/>
      </c>
      <c r="Z3207" s="15"/>
    </row>
    <row r="3208" spans="1:26" x14ac:dyDescent="0.25">
      <c r="A3208" s="15" t="str">
        <f>IF(C3208="","",COUNTA($C$3:C3208))</f>
        <v/>
      </c>
      <c r="B3208" s="15" t="str">
        <f t="shared" si="303"/>
        <v/>
      </c>
      <c r="M3208" s="9"/>
      <c r="N3208" s="9"/>
      <c r="P3208" s="14"/>
      <c r="Q3208" s="85"/>
      <c r="R3208" s="89"/>
      <c r="U3208" s="11" t="str">
        <f t="shared" si="301"/>
        <v/>
      </c>
      <c r="V3208" s="12" t="str">
        <f t="shared" si="302"/>
        <v/>
      </c>
      <c r="Z3208" s="15"/>
    </row>
    <row r="3209" spans="1:26" x14ac:dyDescent="0.25">
      <c r="A3209" s="15" t="str">
        <f>IF(C3209="","",COUNTA($C$3:C3209))</f>
        <v/>
      </c>
      <c r="B3209" s="15" t="str">
        <f t="shared" si="303"/>
        <v/>
      </c>
      <c r="M3209" s="9"/>
      <c r="N3209" s="9"/>
      <c r="P3209" s="14"/>
      <c r="Q3209" s="85"/>
      <c r="R3209" s="89"/>
      <c r="U3209" s="11" t="str">
        <f t="shared" si="301"/>
        <v/>
      </c>
      <c r="V3209" s="12" t="str">
        <f t="shared" si="302"/>
        <v/>
      </c>
      <c r="Z3209" s="15"/>
    </row>
    <row r="3210" spans="1:26" x14ac:dyDescent="0.25">
      <c r="A3210" s="15" t="str">
        <f>IF(C3210="","",COUNTA($C$3:C3210))</f>
        <v/>
      </c>
      <c r="B3210" s="15" t="str">
        <f t="shared" si="303"/>
        <v/>
      </c>
      <c r="M3210" s="9"/>
      <c r="N3210" s="9"/>
      <c r="P3210" s="14"/>
      <c r="Q3210" s="85"/>
      <c r="R3210" s="89"/>
      <c r="U3210" s="11" t="str">
        <f t="shared" si="301"/>
        <v/>
      </c>
      <c r="V3210" s="12" t="str">
        <f t="shared" si="302"/>
        <v/>
      </c>
      <c r="Z3210" s="15"/>
    </row>
    <row r="3211" spans="1:26" x14ac:dyDescent="0.25">
      <c r="A3211" s="15" t="str">
        <f>IF(C3211="","",COUNTA($C$3:C3211))</f>
        <v/>
      </c>
      <c r="B3211" s="15" t="str">
        <f t="shared" si="303"/>
        <v/>
      </c>
      <c r="M3211" s="9"/>
      <c r="N3211" s="9"/>
      <c r="P3211" s="14"/>
      <c r="Q3211" s="85"/>
      <c r="R3211" s="89"/>
      <c r="U3211" s="11" t="str">
        <f t="shared" si="301"/>
        <v/>
      </c>
      <c r="V3211" s="12" t="str">
        <f t="shared" si="302"/>
        <v/>
      </c>
      <c r="Z3211" s="15"/>
    </row>
    <row r="3212" spans="1:26" x14ac:dyDescent="0.25">
      <c r="A3212" s="15" t="str">
        <f>IF(C3212="","",COUNTA($C$3:C3212))</f>
        <v/>
      </c>
      <c r="B3212" s="15" t="str">
        <f t="shared" si="303"/>
        <v/>
      </c>
      <c r="M3212" s="9"/>
      <c r="N3212" s="9"/>
      <c r="P3212" s="14"/>
      <c r="Q3212" s="85"/>
      <c r="R3212" s="89"/>
      <c r="U3212" s="11" t="str">
        <f t="shared" si="301"/>
        <v/>
      </c>
      <c r="V3212" s="12" t="str">
        <f t="shared" si="302"/>
        <v/>
      </c>
      <c r="Z3212" s="15"/>
    </row>
    <row r="3213" spans="1:26" x14ac:dyDescent="0.25">
      <c r="A3213" s="15" t="str">
        <f>IF(C3213="","",COUNTA($C$3:C3213))</f>
        <v/>
      </c>
      <c r="B3213" s="15" t="str">
        <f t="shared" si="303"/>
        <v/>
      </c>
      <c r="M3213" s="9"/>
      <c r="N3213" s="9"/>
      <c r="P3213" s="14"/>
      <c r="Q3213" s="85"/>
      <c r="R3213" s="89"/>
      <c r="U3213" s="11" t="str">
        <f t="shared" si="301"/>
        <v/>
      </c>
      <c r="V3213" s="12" t="str">
        <f t="shared" si="302"/>
        <v/>
      </c>
      <c r="Z3213" s="15"/>
    </row>
    <row r="3214" spans="1:26" x14ac:dyDescent="0.25">
      <c r="A3214" s="15" t="str">
        <f>IF(C3214="","",COUNTA($C$3:C3214))</f>
        <v/>
      </c>
      <c r="B3214" s="15" t="str">
        <f t="shared" si="303"/>
        <v/>
      </c>
      <c r="M3214" s="9"/>
      <c r="N3214" s="9"/>
      <c r="P3214" s="14"/>
      <c r="Q3214" s="85"/>
      <c r="R3214" s="89"/>
      <c r="U3214" s="11" t="str">
        <f t="shared" si="301"/>
        <v/>
      </c>
      <c r="V3214" s="12" t="str">
        <f t="shared" si="302"/>
        <v/>
      </c>
      <c r="Z3214" s="15"/>
    </row>
    <row r="3215" spans="1:26" x14ac:dyDescent="0.25">
      <c r="A3215" s="15" t="str">
        <f>IF(C3215="","",COUNTA($C$3:C3215))</f>
        <v/>
      </c>
      <c r="B3215" s="15" t="str">
        <f t="shared" si="303"/>
        <v/>
      </c>
      <c r="M3215" s="9"/>
      <c r="N3215" s="9"/>
      <c r="P3215" s="14"/>
      <c r="Q3215" s="85"/>
      <c r="R3215" s="89"/>
      <c r="U3215" s="11" t="str">
        <f t="shared" si="301"/>
        <v/>
      </c>
      <c r="V3215" s="12" t="str">
        <f t="shared" si="302"/>
        <v/>
      </c>
      <c r="Z3215" s="15"/>
    </row>
    <row r="3216" spans="1:26" x14ac:dyDescent="0.25">
      <c r="A3216" s="15" t="str">
        <f>IF(C3216="","",COUNTA($C$3:C3216))</f>
        <v/>
      </c>
      <c r="B3216" s="15" t="str">
        <f t="shared" si="303"/>
        <v/>
      </c>
      <c r="M3216" s="9"/>
      <c r="N3216" s="9"/>
      <c r="P3216" s="14"/>
      <c r="Q3216" s="85"/>
      <c r="R3216" s="89"/>
      <c r="U3216" s="11" t="str">
        <f t="shared" si="301"/>
        <v/>
      </c>
      <c r="V3216" s="12" t="str">
        <f t="shared" si="302"/>
        <v/>
      </c>
      <c r="Z3216" s="15"/>
    </row>
    <row r="3217" spans="1:26" x14ac:dyDescent="0.25">
      <c r="A3217" s="15" t="str">
        <f>IF(C3217="","",COUNTA($C$3:C3217))</f>
        <v/>
      </c>
      <c r="B3217" s="15" t="str">
        <f t="shared" si="303"/>
        <v/>
      </c>
      <c r="M3217" s="9"/>
      <c r="N3217" s="9"/>
      <c r="P3217" s="14"/>
      <c r="Q3217" s="85"/>
      <c r="R3217" s="89"/>
      <c r="U3217" s="11" t="str">
        <f t="shared" si="301"/>
        <v/>
      </c>
      <c r="V3217" s="12" t="str">
        <f t="shared" si="302"/>
        <v/>
      </c>
      <c r="Z3217" s="15"/>
    </row>
    <row r="3218" spans="1:26" x14ac:dyDescent="0.25">
      <c r="A3218" s="15" t="str">
        <f>IF(C3218="","",COUNTA($C$3:C3218))</f>
        <v/>
      </c>
      <c r="B3218" s="15" t="str">
        <f t="shared" si="303"/>
        <v/>
      </c>
      <c r="M3218" s="9"/>
      <c r="N3218" s="9"/>
      <c r="P3218" s="14"/>
      <c r="Q3218" s="85"/>
      <c r="R3218" s="89"/>
      <c r="U3218" s="11" t="str">
        <f t="shared" si="301"/>
        <v/>
      </c>
      <c r="V3218" s="12" t="str">
        <f t="shared" si="302"/>
        <v/>
      </c>
      <c r="Z3218" s="15"/>
    </row>
    <row r="3219" spans="1:26" x14ac:dyDescent="0.25">
      <c r="A3219" s="15" t="str">
        <f>IF(C3219="","",COUNTA($C$3:C3219))</f>
        <v/>
      </c>
      <c r="B3219" s="15" t="str">
        <f t="shared" si="303"/>
        <v/>
      </c>
      <c r="M3219" s="9"/>
      <c r="N3219" s="9"/>
      <c r="P3219" s="14"/>
      <c r="Q3219" s="85"/>
      <c r="R3219" s="89"/>
      <c r="U3219" s="11" t="str">
        <f t="shared" si="301"/>
        <v/>
      </c>
      <c r="V3219" s="12" t="str">
        <f t="shared" si="302"/>
        <v/>
      </c>
      <c r="Z3219" s="15"/>
    </row>
    <row r="3220" spans="1:26" x14ac:dyDescent="0.25">
      <c r="A3220" s="15" t="str">
        <f>IF(C3220="","",COUNTA($C$3:C3220))</f>
        <v/>
      </c>
      <c r="B3220" s="15" t="str">
        <f t="shared" si="303"/>
        <v/>
      </c>
      <c r="M3220" s="9"/>
      <c r="N3220" s="9"/>
      <c r="P3220" s="14"/>
      <c r="Q3220" s="85"/>
      <c r="R3220" s="89"/>
      <c r="U3220" s="11" t="str">
        <f t="shared" si="301"/>
        <v/>
      </c>
      <c r="V3220" s="12" t="str">
        <f t="shared" si="302"/>
        <v/>
      </c>
      <c r="Z3220" s="15"/>
    </row>
    <row r="3221" spans="1:26" x14ac:dyDescent="0.25">
      <c r="A3221" s="15" t="str">
        <f>IF(C3221="","",COUNTA($C$3:C3221))</f>
        <v/>
      </c>
      <c r="B3221" s="15" t="str">
        <f t="shared" si="303"/>
        <v/>
      </c>
      <c r="M3221" s="9"/>
      <c r="N3221" s="9"/>
      <c r="P3221" s="14"/>
      <c r="Q3221" s="85"/>
      <c r="R3221" s="89"/>
      <c r="U3221" s="11" t="str">
        <f t="shared" si="301"/>
        <v/>
      </c>
      <c r="V3221" s="12" t="str">
        <f t="shared" si="302"/>
        <v/>
      </c>
      <c r="Z3221" s="15"/>
    </row>
    <row r="3222" spans="1:26" x14ac:dyDescent="0.25">
      <c r="A3222" s="15" t="str">
        <f>IF(C3222="","",COUNTA($C$3:C3222))</f>
        <v/>
      </c>
      <c r="B3222" s="15" t="str">
        <f t="shared" si="303"/>
        <v/>
      </c>
      <c r="M3222" s="9"/>
      <c r="N3222" s="9"/>
      <c r="P3222" s="14"/>
      <c r="Q3222" s="85"/>
      <c r="R3222" s="89"/>
      <c r="U3222" s="11" t="str">
        <f t="shared" si="301"/>
        <v/>
      </c>
      <c r="V3222" s="12" t="str">
        <f t="shared" si="302"/>
        <v/>
      </c>
      <c r="Z3222" s="15"/>
    </row>
    <row r="3223" spans="1:26" x14ac:dyDescent="0.25">
      <c r="A3223" s="15" t="str">
        <f>IF(C3223="","",COUNTA($C$3:C3223))</f>
        <v/>
      </c>
      <c r="B3223" s="15" t="str">
        <f t="shared" si="303"/>
        <v/>
      </c>
      <c r="M3223" s="9"/>
      <c r="N3223" s="9"/>
      <c r="P3223" s="14"/>
      <c r="Q3223" s="85"/>
      <c r="R3223" s="89"/>
      <c r="U3223" s="11" t="str">
        <f t="shared" si="301"/>
        <v/>
      </c>
      <c r="V3223" s="12" t="str">
        <f t="shared" si="302"/>
        <v/>
      </c>
      <c r="Z3223" s="15"/>
    </row>
    <row r="3224" spans="1:26" x14ac:dyDescent="0.25">
      <c r="A3224" s="15" t="str">
        <f>IF(C3224="","",COUNTA($C$3:C3224))</f>
        <v/>
      </c>
      <c r="B3224" s="15" t="str">
        <f t="shared" si="303"/>
        <v/>
      </c>
      <c r="M3224" s="9"/>
      <c r="N3224" s="9"/>
      <c r="P3224" s="14"/>
      <c r="Q3224" s="85"/>
      <c r="R3224" s="89"/>
      <c r="U3224" s="11" t="str">
        <f t="shared" si="301"/>
        <v/>
      </c>
      <c r="V3224" s="12" t="str">
        <f t="shared" si="302"/>
        <v/>
      </c>
      <c r="Z3224" s="15"/>
    </row>
    <row r="3225" spans="1:26" x14ac:dyDescent="0.25">
      <c r="A3225" s="15" t="str">
        <f>IF(C3225="","",COUNTA($C$3:C3225))</f>
        <v/>
      </c>
      <c r="B3225" s="15" t="str">
        <f t="shared" si="303"/>
        <v/>
      </c>
      <c r="M3225" s="9"/>
      <c r="N3225" s="9"/>
      <c r="P3225" s="14"/>
      <c r="Q3225" s="85"/>
      <c r="R3225" s="89"/>
      <c r="U3225" s="11" t="str">
        <f t="shared" si="301"/>
        <v/>
      </c>
      <c r="V3225" s="12" t="str">
        <f t="shared" si="302"/>
        <v/>
      </c>
      <c r="Z3225" s="15"/>
    </row>
    <row r="3226" spans="1:26" x14ac:dyDescent="0.25">
      <c r="A3226" s="15" t="str">
        <f>IF(C3226="","",COUNTA($C$3:C3226))</f>
        <v/>
      </c>
      <c r="B3226" s="15" t="str">
        <f t="shared" si="303"/>
        <v/>
      </c>
      <c r="M3226" s="9"/>
      <c r="N3226" s="9"/>
      <c r="P3226" s="14"/>
      <c r="Q3226" s="85"/>
      <c r="R3226" s="89"/>
      <c r="U3226" s="11" t="str">
        <f t="shared" si="301"/>
        <v/>
      </c>
      <c r="V3226" s="12" t="str">
        <f t="shared" si="302"/>
        <v/>
      </c>
      <c r="Z3226" s="15"/>
    </row>
    <row r="3227" spans="1:26" x14ac:dyDescent="0.25">
      <c r="A3227" s="15" t="str">
        <f>IF(C3227="","",COUNTA($C$3:C3227))</f>
        <v/>
      </c>
      <c r="B3227" s="15" t="str">
        <f t="shared" si="303"/>
        <v/>
      </c>
      <c r="M3227" s="9"/>
      <c r="N3227" s="9"/>
      <c r="P3227" s="14"/>
      <c r="Q3227" s="85"/>
      <c r="R3227" s="89"/>
      <c r="U3227" s="11" t="str">
        <f t="shared" si="301"/>
        <v/>
      </c>
      <c r="V3227" s="12" t="str">
        <f t="shared" si="302"/>
        <v/>
      </c>
      <c r="Z3227" s="15"/>
    </row>
    <row r="3228" spans="1:26" x14ac:dyDescent="0.25">
      <c r="A3228" s="15" t="str">
        <f>IF(C3228="","",COUNTA($C$3:C3228))</f>
        <v/>
      </c>
      <c r="B3228" s="15" t="str">
        <f t="shared" si="303"/>
        <v/>
      </c>
      <c r="M3228" s="9"/>
      <c r="N3228" s="9"/>
      <c r="P3228" s="14"/>
      <c r="Q3228" s="85"/>
      <c r="R3228" s="89"/>
      <c r="U3228" s="11" t="str">
        <f t="shared" si="301"/>
        <v/>
      </c>
      <c r="V3228" s="12" t="str">
        <f t="shared" si="302"/>
        <v/>
      </c>
      <c r="Z3228" s="15"/>
    </row>
    <row r="3229" spans="1:26" x14ac:dyDescent="0.25">
      <c r="A3229" s="15" t="str">
        <f>IF(C3229="","",COUNTA($C$3:C3229))</f>
        <v/>
      </c>
      <c r="B3229" s="15" t="str">
        <f t="shared" si="303"/>
        <v/>
      </c>
      <c r="M3229" s="9"/>
      <c r="N3229" s="9"/>
      <c r="P3229" s="14"/>
      <c r="Q3229" s="85"/>
      <c r="R3229" s="89"/>
      <c r="U3229" s="11" t="str">
        <f t="shared" si="301"/>
        <v/>
      </c>
      <c r="V3229" s="12" t="str">
        <f t="shared" si="302"/>
        <v/>
      </c>
      <c r="Z3229" s="15"/>
    </row>
    <row r="3230" spans="1:26" x14ac:dyDescent="0.25">
      <c r="A3230" s="15" t="str">
        <f>IF(C3230="","",COUNTA($C$3:C3230))</f>
        <v/>
      </c>
      <c r="B3230" s="15" t="str">
        <f t="shared" si="303"/>
        <v/>
      </c>
      <c r="M3230" s="9"/>
      <c r="N3230" s="9"/>
      <c r="P3230" s="14"/>
      <c r="Q3230" s="85"/>
      <c r="R3230" s="89"/>
      <c r="U3230" s="11" t="str">
        <f t="shared" si="301"/>
        <v/>
      </c>
      <c r="V3230" s="12" t="str">
        <f t="shared" si="302"/>
        <v/>
      </c>
      <c r="Z3230" s="15"/>
    </row>
    <row r="3231" spans="1:26" x14ac:dyDescent="0.25">
      <c r="A3231" s="15" t="str">
        <f>IF(C3231="","",COUNTA($C$3:C3231))</f>
        <v/>
      </c>
      <c r="B3231" s="15" t="str">
        <f t="shared" si="303"/>
        <v/>
      </c>
      <c r="M3231" s="9"/>
      <c r="N3231" s="9"/>
      <c r="P3231" s="14"/>
      <c r="Q3231" s="85"/>
      <c r="R3231" s="89"/>
      <c r="U3231" s="11" t="str">
        <f t="shared" si="301"/>
        <v/>
      </c>
      <c r="V3231" s="12" t="str">
        <f t="shared" si="302"/>
        <v/>
      </c>
      <c r="Z3231" s="15"/>
    </row>
    <row r="3232" spans="1:26" x14ac:dyDescent="0.25">
      <c r="A3232" s="15" t="str">
        <f>IF(C3232="","",COUNTA($C$3:C3232))</f>
        <v/>
      </c>
      <c r="B3232" s="15" t="str">
        <f t="shared" si="303"/>
        <v/>
      </c>
      <c r="M3232" s="9"/>
      <c r="N3232" s="9"/>
      <c r="P3232" s="14"/>
      <c r="Q3232" s="85"/>
      <c r="R3232" s="89"/>
      <c r="U3232" s="11" t="str">
        <f t="shared" si="301"/>
        <v/>
      </c>
      <c r="V3232" s="12" t="str">
        <f t="shared" si="302"/>
        <v/>
      </c>
      <c r="Z3232" s="15"/>
    </row>
    <row r="3233" spans="1:26" x14ac:dyDescent="0.25">
      <c r="A3233" s="15" t="str">
        <f>IF(C3233="","",COUNTA($C$3:C3233))</f>
        <v/>
      </c>
      <c r="B3233" s="15" t="str">
        <f t="shared" si="303"/>
        <v/>
      </c>
      <c r="M3233" s="9"/>
      <c r="N3233" s="9"/>
      <c r="P3233" s="14"/>
      <c r="Q3233" s="85"/>
      <c r="R3233" s="89"/>
      <c r="U3233" s="11" t="str">
        <f t="shared" si="301"/>
        <v/>
      </c>
      <c r="V3233" s="12" t="str">
        <f t="shared" si="302"/>
        <v/>
      </c>
      <c r="Z3233" s="15"/>
    </row>
    <row r="3234" spans="1:26" x14ac:dyDescent="0.25">
      <c r="A3234" s="15" t="str">
        <f>IF(C3234="","",COUNTA($C$3:C3234))</f>
        <v/>
      </c>
      <c r="B3234" s="15" t="str">
        <f t="shared" si="303"/>
        <v/>
      </c>
      <c r="M3234" s="9"/>
      <c r="N3234" s="9"/>
      <c r="P3234" s="14"/>
      <c r="Q3234" s="85"/>
      <c r="R3234" s="89"/>
      <c r="U3234" s="11" t="str">
        <f t="shared" si="301"/>
        <v/>
      </c>
      <c r="V3234" s="12" t="str">
        <f t="shared" si="302"/>
        <v/>
      </c>
      <c r="Z3234" s="15"/>
    </row>
    <row r="3235" spans="1:26" x14ac:dyDescent="0.25">
      <c r="A3235" s="15" t="str">
        <f>IF(C3235="","",COUNTA($C$3:C3235))</f>
        <v/>
      </c>
      <c r="B3235" s="15" t="str">
        <f t="shared" si="303"/>
        <v/>
      </c>
      <c r="M3235" s="9"/>
      <c r="N3235" s="9"/>
      <c r="P3235" s="14"/>
      <c r="Q3235" s="85"/>
      <c r="R3235" s="89"/>
      <c r="U3235" s="11" t="str">
        <f t="shared" si="301"/>
        <v/>
      </c>
      <c r="V3235" s="12" t="str">
        <f t="shared" si="302"/>
        <v/>
      </c>
      <c r="Z3235" s="15"/>
    </row>
    <row r="3236" spans="1:26" x14ac:dyDescent="0.25">
      <c r="A3236" s="15" t="str">
        <f>IF(C3236="","",COUNTA($C$3:C3236))</f>
        <v/>
      </c>
      <c r="B3236" s="15" t="str">
        <f t="shared" si="303"/>
        <v/>
      </c>
      <c r="M3236" s="9"/>
      <c r="N3236" s="9"/>
      <c r="P3236" s="14"/>
      <c r="Q3236" s="85"/>
      <c r="R3236" s="89"/>
      <c r="U3236" s="11" t="str">
        <f t="shared" si="301"/>
        <v/>
      </c>
      <c r="V3236" s="12" t="str">
        <f t="shared" si="302"/>
        <v/>
      </c>
      <c r="Z3236" s="15"/>
    </row>
    <row r="3237" spans="1:26" x14ac:dyDescent="0.25">
      <c r="A3237" s="15" t="str">
        <f>IF(C3237="","",COUNTA($C$3:C3237))</f>
        <v/>
      </c>
      <c r="B3237" s="15" t="str">
        <f t="shared" si="303"/>
        <v/>
      </c>
      <c r="M3237" s="9"/>
      <c r="N3237" s="9"/>
      <c r="P3237" s="14"/>
      <c r="Q3237" s="85"/>
      <c r="R3237" s="89"/>
      <c r="U3237" s="11" t="str">
        <f t="shared" si="301"/>
        <v/>
      </c>
      <c r="V3237" s="12" t="str">
        <f t="shared" si="302"/>
        <v/>
      </c>
      <c r="Z3237" s="15"/>
    </row>
    <row r="3238" spans="1:26" x14ac:dyDescent="0.25">
      <c r="A3238" s="15" t="str">
        <f>IF(C3238="","",COUNTA($C$3:C3238))</f>
        <v/>
      </c>
      <c r="B3238" s="15" t="str">
        <f t="shared" si="303"/>
        <v/>
      </c>
      <c r="M3238" s="9"/>
      <c r="N3238" s="9"/>
      <c r="P3238" s="14"/>
      <c r="Q3238" s="85"/>
      <c r="R3238" s="89"/>
      <c r="U3238" s="11" t="str">
        <f t="shared" si="301"/>
        <v/>
      </c>
      <c r="V3238" s="12" t="str">
        <f t="shared" si="302"/>
        <v/>
      </c>
      <c r="Z3238" s="15"/>
    </row>
    <row r="3239" spans="1:26" x14ac:dyDescent="0.25">
      <c r="A3239" s="15" t="str">
        <f>IF(C3239="","",COUNTA($C$3:C3239))</f>
        <v/>
      </c>
      <c r="B3239" s="15" t="str">
        <f t="shared" si="303"/>
        <v/>
      </c>
      <c r="M3239" s="9"/>
      <c r="N3239" s="9"/>
      <c r="P3239" s="14"/>
      <c r="Q3239" s="85"/>
      <c r="R3239" s="89"/>
      <c r="U3239" s="11" t="str">
        <f t="shared" si="301"/>
        <v/>
      </c>
      <c r="V3239" s="12" t="str">
        <f t="shared" si="302"/>
        <v/>
      </c>
      <c r="Z3239" s="15"/>
    </row>
    <row r="3240" spans="1:26" x14ac:dyDescent="0.25">
      <c r="A3240" s="15" t="str">
        <f>IF(C3240="","",COUNTA($C$3:C3240))</f>
        <v/>
      </c>
      <c r="B3240" s="15" t="str">
        <f t="shared" si="303"/>
        <v/>
      </c>
      <c r="M3240" s="9"/>
      <c r="N3240" s="9"/>
      <c r="P3240" s="14"/>
      <c r="Q3240" s="85"/>
      <c r="R3240" s="89"/>
      <c r="U3240" s="11" t="str">
        <f t="shared" si="301"/>
        <v/>
      </c>
      <c r="V3240" s="12" t="str">
        <f t="shared" si="302"/>
        <v/>
      </c>
      <c r="Z3240" s="15"/>
    </row>
    <row r="3241" spans="1:26" x14ac:dyDescent="0.25">
      <c r="A3241" s="15" t="str">
        <f>IF(C3241="","",COUNTA($C$3:C3241))</f>
        <v/>
      </c>
      <c r="B3241" s="15" t="str">
        <f t="shared" si="303"/>
        <v/>
      </c>
      <c r="M3241" s="9"/>
      <c r="N3241" s="9"/>
      <c r="P3241" s="14"/>
      <c r="Q3241" s="85"/>
      <c r="R3241" s="89"/>
      <c r="U3241" s="11" t="str">
        <f t="shared" si="301"/>
        <v/>
      </c>
      <c r="V3241" s="12" t="str">
        <f t="shared" si="302"/>
        <v/>
      </c>
      <c r="Z3241" s="15"/>
    </row>
    <row r="3242" spans="1:26" x14ac:dyDescent="0.25">
      <c r="A3242" s="15" t="str">
        <f>IF(C3242="","",COUNTA($C$3:C3242))</f>
        <v/>
      </c>
      <c r="B3242" s="15" t="str">
        <f t="shared" si="303"/>
        <v/>
      </c>
      <c r="M3242" s="9"/>
      <c r="N3242" s="9"/>
      <c r="P3242" s="14"/>
      <c r="Q3242" s="85"/>
      <c r="R3242" s="89"/>
      <c r="U3242" s="11" t="str">
        <f t="shared" si="301"/>
        <v/>
      </c>
      <c r="V3242" s="12" t="str">
        <f t="shared" si="302"/>
        <v/>
      </c>
      <c r="Z3242" s="15"/>
    </row>
    <row r="3243" spans="1:26" x14ac:dyDescent="0.25">
      <c r="A3243" s="15" t="str">
        <f>IF(C3243="","",COUNTA($C$3:C3243))</f>
        <v/>
      </c>
      <c r="B3243" s="15" t="str">
        <f t="shared" si="303"/>
        <v/>
      </c>
      <c r="M3243" s="9"/>
      <c r="N3243" s="9"/>
      <c r="P3243" s="14"/>
      <c r="Q3243" s="85"/>
      <c r="R3243" s="89"/>
      <c r="U3243" s="11" t="str">
        <f t="shared" si="301"/>
        <v/>
      </c>
      <c r="V3243" s="12" t="str">
        <f t="shared" si="302"/>
        <v/>
      </c>
      <c r="Z3243" s="15"/>
    </row>
    <row r="3244" spans="1:26" x14ac:dyDescent="0.25">
      <c r="A3244" s="15" t="str">
        <f>IF(C3244="","",COUNTA($C$3:C3244))</f>
        <v/>
      </c>
      <c r="B3244" s="15" t="str">
        <f t="shared" si="303"/>
        <v/>
      </c>
      <c r="M3244" s="9"/>
      <c r="N3244" s="9"/>
      <c r="P3244" s="14"/>
      <c r="Q3244" s="85"/>
      <c r="R3244" s="89"/>
      <c r="U3244" s="11" t="str">
        <f t="shared" si="301"/>
        <v/>
      </c>
      <c r="V3244" s="12" t="str">
        <f t="shared" si="302"/>
        <v/>
      </c>
      <c r="Z3244" s="15"/>
    </row>
    <row r="3245" spans="1:26" x14ac:dyDescent="0.25">
      <c r="A3245" s="15" t="str">
        <f>IF(C3245="","",COUNTA($C$3:C3245))</f>
        <v/>
      </c>
      <c r="B3245" s="15" t="str">
        <f t="shared" si="303"/>
        <v/>
      </c>
      <c r="M3245" s="9"/>
      <c r="N3245" s="9"/>
      <c r="P3245" s="14"/>
      <c r="Q3245" s="85"/>
      <c r="R3245" s="89"/>
      <c r="U3245" s="11" t="str">
        <f t="shared" si="301"/>
        <v/>
      </c>
      <c r="V3245" s="12" t="str">
        <f t="shared" si="302"/>
        <v/>
      </c>
      <c r="Z3245" s="15"/>
    </row>
    <row r="3246" spans="1:26" x14ac:dyDescent="0.25">
      <c r="A3246" s="15" t="str">
        <f>IF(C3246="","",COUNTA($C$3:C3246))</f>
        <v/>
      </c>
      <c r="B3246" s="15" t="str">
        <f t="shared" si="303"/>
        <v/>
      </c>
      <c r="M3246" s="9"/>
      <c r="N3246" s="9"/>
      <c r="P3246" s="14"/>
      <c r="Q3246" s="85"/>
      <c r="R3246" s="89"/>
      <c r="U3246" s="11" t="str">
        <f t="shared" si="301"/>
        <v/>
      </c>
      <c r="V3246" s="12" t="str">
        <f t="shared" si="302"/>
        <v/>
      </c>
      <c r="Z3246" s="15"/>
    </row>
    <row r="3247" spans="1:26" x14ac:dyDescent="0.25">
      <c r="A3247" s="15" t="str">
        <f>IF(C3247="","",COUNTA($C$3:C3247))</f>
        <v/>
      </c>
      <c r="B3247" s="15" t="str">
        <f t="shared" si="303"/>
        <v/>
      </c>
      <c r="M3247" s="9"/>
      <c r="N3247" s="9"/>
      <c r="P3247" s="14"/>
      <c r="Q3247" s="85"/>
      <c r="R3247" s="89"/>
      <c r="U3247" s="11" t="str">
        <f t="shared" si="301"/>
        <v/>
      </c>
      <c r="V3247" s="12" t="str">
        <f t="shared" si="302"/>
        <v/>
      </c>
      <c r="Z3247" s="15"/>
    </row>
    <row r="3248" spans="1:26" x14ac:dyDescent="0.25">
      <c r="A3248" s="15" t="str">
        <f>IF(C3248="","",COUNTA($C$3:C3248))</f>
        <v/>
      </c>
      <c r="B3248" s="15" t="str">
        <f t="shared" si="303"/>
        <v/>
      </c>
      <c r="M3248" s="9"/>
      <c r="N3248" s="9"/>
      <c r="P3248" s="14"/>
      <c r="Q3248" s="85"/>
      <c r="R3248" s="89"/>
      <c r="U3248" s="11" t="str">
        <f t="shared" si="301"/>
        <v/>
      </c>
      <c r="V3248" s="12" t="str">
        <f t="shared" si="302"/>
        <v/>
      </c>
      <c r="Z3248" s="15"/>
    </row>
    <row r="3249" spans="1:26" x14ac:dyDescent="0.25">
      <c r="A3249" s="15" t="str">
        <f>IF(C3249="","",COUNTA($C$3:C3249))</f>
        <v/>
      </c>
      <c r="B3249" s="15" t="str">
        <f t="shared" si="303"/>
        <v/>
      </c>
      <c r="M3249" s="9"/>
      <c r="N3249" s="9"/>
      <c r="P3249" s="14"/>
      <c r="Q3249" s="85"/>
      <c r="R3249" s="89"/>
      <c r="U3249" s="11" t="str">
        <f t="shared" si="301"/>
        <v/>
      </c>
      <c r="V3249" s="12" t="str">
        <f t="shared" si="302"/>
        <v/>
      </c>
      <c r="Z3249" s="15"/>
    </row>
    <row r="3250" spans="1:26" x14ac:dyDescent="0.25">
      <c r="A3250" s="15" t="str">
        <f>IF(C3250="","",COUNTA($C$3:C3250))</f>
        <v/>
      </c>
      <c r="B3250" s="15" t="str">
        <f t="shared" si="303"/>
        <v/>
      </c>
      <c r="M3250" s="9"/>
      <c r="N3250" s="9"/>
      <c r="P3250" s="14"/>
      <c r="Q3250" s="85"/>
      <c r="R3250" s="89"/>
      <c r="U3250" s="11" t="str">
        <f t="shared" si="301"/>
        <v/>
      </c>
      <c r="V3250" s="12" t="str">
        <f t="shared" si="302"/>
        <v/>
      </c>
      <c r="Z3250" s="15"/>
    </row>
    <row r="3251" spans="1:26" x14ac:dyDescent="0.25">
      <c r="A3251" s="15" t="str">
        <f>IF(C3251="","",COUNTA($C$3:C3251))</f>
        <v/>
      </c>
      <c r="B3251" s="15" t="str">
        <f t="shared" si="303"/>
        <v/>
      </c>
      <c r="M3251" s="9"/>
      <c r="N3251" s="9"/>
      <c r="P3251" s="14"/>
      <c r="Q3251" s="85"/>
      <c r="R3251" s="89"/>
      <c r="U3251" s="11" t="str">
        <f t="shared" si="301"/>
        <v/>
      </c>
      <c r="V3251" s="12" t="str">
        <f t="shared" si="302"/>
        <v/>
      </c>
      <c r="Z3251" s="15"/>
    </row>
    <row r="3252" spans="1:26" x14ac:dyDescent="0.25">
      <c r="A3252" s="15" t="str">
        <f>IF(C3252="","",COUNTA($C$3:C3252))</f>
        <v/>
      </c>
      <c r="B3252" s="15" t="str">
        <f t="shared" si="303"/>
        <v/>
      </c>
      <c r="M3252" s="9"/>
      <c r="N3252" s="9"/>
      <c r="P3252" s="14"/>
      <c r="Q3252" s="85"/>
      <c r="R3252" s="89"/>
      <c r="U3252" s="11" t="str">
        <f t="shared" si="301"/>
        <v/>
      </c>
      <c r="V3252" s="12" t="str">
        <f t="shared" si="302"/>
        <v/>
      </c>
      <c r="Z3252" s="15"/>
    </row>
    <row r="3253" spans="1:26" x14ac:dyDescent="0.25">
      <c r="A3253" s="15" t="str">
        <f>IF(C3253="","",COUNTA($C$3:C3253))</f>
        <v/>
      </c>
      <c r="B3253" s="15" t="str">
        <f t="shared" si="303"/>
        <v/>
      </c>
      <c r="M3253" s="9"/>
      <c r="N3253" s="9"/>
      <c r="P3253" s="14"/>
      <c r="Q3253" s="85"/>
      <c r="R3253" s="89"/>
      <c r="U3253" s="11" t="str">
        <f t="shared" si="301"/>
        <v/>
      </c>
      <c r="V3253" s="12" t="str">
        <f t="shared" si="302"/>
        <v/>
      </c>
      <c r="Z3253" s="15"/>
    </row>
    <row r="3254" spans="1:26" x14ac:dyDescent="0.25">
      <c r="A3254" s="15" t="str">
        <f>IF(C3254="","",COUNTA($C$3:C3254))</f>
        <v/>
      </c>
      <c r="B3254" s="15" t="str">
        <f t="shared" si="303"/>
        <v/>
      </c>
      <c r="M3254" s="9"/>
      <c r="N3254" s="9"/>
      <c r="P3254" s="14"/>
      <c r="Q3254" s="85"/>
      <c r="R3254" s="89"/>
      <c r="U3254" s="11" t="str">
        <f t="shared" si="301"/>
        <v/>
      </c>
      <c r="V3254" s="12" t="str">
        <f t="shared" si="302"/>
        <v/>
      </c>
      <c r="Z3254" s="15"/>
    </row>
    <row r="3255" spans="1:26" x14ac:dyDescent="0.25">
      <c r="A3255" s="15" t="str">
        <f>IF(C3255="","",COUNTA($C$3:C3255))</f>
        <v/>
      </c>
      <c r="B3255" s="15" t="str">
        <f t="shared" si="303"/>
        <v/>
      </c>
      <c r="M3255" s="9"/>
      <c r="N3255" s="9"/>
      <c r="P3255" s="14"/>
      <c r="Q3255" s="85"/>
      <c r="R3255" s="89"/>
      <c r="U3255" s="11" t="str">
        <f t="shared" si="301"/>
        <v/>
      </c>
      <c r="V3255" s="12" t="str">
        <f t="shared" si="302"/>
        <v/>
      </c>
      <c r="Z3255" s="15"/>
    </row>
    <row r="3256" spans="1:26" x14ac:dyDescent="0.25">
      <c r="A3256" s="15" t="str">
        <f>IF(C3256="","",COUNTA($C$3:C3256))</f>
        <v/>
      </c>
      <c r="B3256" s="15" t="str">
        <f t="shared" si="303"/>
        <v/>
      </c>
      <c r="M3256" s="9"/>
      <c r="N3256" s="9"/>
      <c r="P3256" s="14"/>
      <c r="Q3256" s="85"/>
      <c r="R3256" s="89"/>
      <c r="U3256" s="11" t="str">
        <f t="shared" si="301"/>
        <v/>
      </c>
      <c r="V3256" s="12" t="str">
        <f t="shared" si="302"/>
        <v/>
      </c>
      <c r="Z3256" s="15"/>
    </row>
    <row r="3257" spans="1:26" x14ac:dyDescent="0.25">
      <c r="A3257" s="15" t="str">
        <f>IF(C3257="","",COUNTA($C$3:C3257))</f>
        <v/>
      </c>
      <c r="B3257" s="15" t="str">
        <f t="shared" si="303"/>
        <v/>
      </c>
      <c r="M3257" s="9"/>
      <c r="N3257" s="9"/>
      <c r="P3257" s="14"/>
      <c r="Q3257" s="85"/>
      <c r="R3257" s="89"/>
      <c r="U3257" s="11" t="str">
        <f t="shared" si="301"/>
        <v/>
      </c>
      <c r="V3257" s="12" t="str">
        <f t="shared" si="302"/>
        <v/>
      </c>
      <c r="Z3257" s="15"/>
    </row>
    <row r="3258" spans="1:26" x14ac:dyDescent="0.25">
      <c r="A3258" s="15" t="str">
        <f>IF(C3258="","",COUNTA($C$3:C3258))</f>
        <v/>
      </c>
      <c r="B3258" s="15" t="str">
        <f t="shared" si="303"/>
        <v/>
      </c>
      <c r="M3258" s="9"/>
      <c r="N3258" s="9"/>
      <c r="P3258" s="14"/>
      <c r="Q3258" s="85"/>
      <c r="R3258" s="89"/>
      <c r="U3258" s="11" t="str">
        <f t="shared" si="301"/>
        <v/>
      </c>
      <c r="V3258" s="12" t="str">
        <f t="shared" si="302"/>
        <v/>
      </c>
      <c r="Z3258" s="15"/>
    </row>
    <row r="3259" spans="1:26" x14ac:dyDescent="0.25">
      <c r="A3259" s="15" t="str">
        <f>IF(C3259="","",COUNTA($C$3:C3259))</f>
        <v/>
      </c>
      <c r="B3259" s="15" t="str">
        <f t="shared" si="303"/>
        <v/>
      </c>
      <c r="M3259" s="9"/>
      <c r="N3259" s="9"/>
      <c r="P3259" s="14"/>
      <c r="Q3259" s="85"/>
      <c r="R3259" s="89"/>
      <c r="U3259" s="11" t="str">
        <f t="shared" si="301"/>
        <v/>
      </c>
      <c r="V3259" s="12" t="str">
        <f t="shared" si="302"/>
        <v/>
      </c>
      <c r="Z3259" s="15"/>
    </row>
    <row r="3260" spans="1:26" x14ac:dyDescent="0.25">
      <c r="A3260" s="15" t="str">
        <f>IF(C3260="","",COUNTA($C$3:C3260))</f>
        <v/>
      </c>
      <c r="B3260" s="15" t="str">
        <f t="shared" si="303"/>
        <v/>
      </c>
      <c r="M3260" s="9"/>
      <c r="N3260" s="9"/>
      <c r="P3260" s="14"/>
      <c r="Q3260" s="85"/>
      <c r="R3260" s="89"/>
      <c r="U3260" s="11" t="str">
        <f t="shared" si="301"/>
        <v/>
      </c>
      <c r="V3260" s="12" t="str">
        <f t="shared" si="302"/>
        <v/>
      </c>
      <c r="Z3260" s="15"/>
    </row>
    <row r="3261" spans="1:26" x14ac:dyDescent="0.25">
      <c r="A3261" s="15" t="str">
        <f>IF(C3261="","",COUNTA($C$3:C3261))</f>
        <v/>
      </c>
      <c r="B3261" s="15" t="str">
        <f t="shared" si="303"/>
        <v/>
      </c>
      <c r="M3261" s="9"/>
      <c r="N3261" s="9"/>
      <c r="P3261" s="14"/>
      <c r="Q3261" s="85"/>
      <c r="R3261" s="89"/>
      <c r="U3261" s="11" t="str">
        <f t="shared" si="301"/>
        <v/>
      </c>
      <c r="V3261" s="12" t="str">
        <f t="shared" si="302"/>
        <v/>
      </c>
      <c r="Z3261" s="15"/>
    </row>
    <row r="3262" spans="1:26" x14ac:dyDescent="0.25">
      <c r="A3262" s="15" t="str">
        <f>IF(C3262="","",COUNTA($C$3:C3262))</f>
        <v/>
      </c>
      <c r="B3262" s="15" t="str">
        <f t="shared" si="303"/>
        <v/>
      </c>
      <c r="M3262" s="9"/>
      <c r="N3262" s="9"/>
      <c r="P3262" s="14"/>
      <c r="Q3262" s="85"/>
      <c r="R3262" s="89"/>
      <c r="U3262" s="11" t="str">
        <f t="shared" si="301"/>
        <v/>
      </c>
      <c r="V3262" s="12" t="str">
        <f t="shared" si="302"/>
        <v/>
      </c>
      <c r="Z3262" s="15"/>
    </row>
    <row r="3263" spans="1:26" x14ac:dyDescent="0.25">
      <c r="A3263" s="15" t="str">
        <f>IF(C3263="","",COUNTA($C$3:C3263))</f>
        <v/>
      </c>
      <c r="B3263" s="15" t="str">
        <f t="shared" si="303"/>
        <v/>
      </c>
      <c r="M3263" s="9"/>
      <c r="N3263" s="9"/>
      <c r="P3263" s="14"/>
      <c r="Q3263" s="85"/>
      <c r="R3263" s="89"/>
      <c r="U3263" s="11" t="str">
        <f t="shared" si="301"/>
        <v/>
      </c>
      <c r="V3263" s="12" t="str">
        <f t="shared" si="302"/>
        <v/>
      </c>
      <c r="Z3263" s="15"/>
    </row>
    <row r="3264" spans="1:26" x14ac:dyDescent="0.25">
      <c r="A3264" s="15" t="str">
        <f>IF(C3264="","",COUNTA($C$3:C3264))</f>
        <v/>
      </c>
      <c r="B3264" s="15" t="str">
        <f t="shared" si="303"/>
        <v/>
      </c>
      <c r="M3264" s="9"/>
      <c r="N3264" s="9"/>
      <c r="P3264" s="14"/>
      <c r="Q3264" s="85"/>
      <c r="R3264" s="89"/>
      <c r="U3264" s="11" t="str">
        <f t="shared" si="301"/>
        <v/>
      </c>
      <c r="V3264" s="12" t="str">
        <f t="shared" si="302"/>
        <v/>
      </c>
      <c r="Z3264" s="15"/>
    </row>
    <row r="3265" spans="1:26" x14ac:dyDescent="0.25">
      <c r="A3265" s="15" t="str">
        <f>IF(C3265="","",COUNTA($C$3:C3265))</f>
        <v/>
      </c>
      <c r="B3265" s="15" t="str">
        <f t="shared" si="303"/>
        <v/>
      </c>
      <c r="M3265" s="9"/>
      <c r="N3265" s="9"/>
      <c r="P3265" s="14"/>
      <c r="Q3265" s="85"/>
      <c r="R3265" s="89"/>
      <c r="U3265" s="11" t="str">
        <f t="shared" si="301"/>
        <v/>
      </c>
      <c r="V3265" s="12" t="str">
        <f t="shared" si="302"/>
        <v/>
      </c>
      <c r="Z3265" s="15"/>
    </row>
    <row r="3266" spans="1:26" x14ac:dyDescent="0.25">
      <c r="A3266" s="15" t="str">
        <f>IF(C3266="","",COUNTA($C$3:C3266))</f>
        <v/>
      </c>
      <c r="B3266" s="15" t="str">
        <f t="shared" si="303"/>
        <v/>
      </c>
      <c r="M3266" s="9"/>
      <c r="N3266" s="9"/>
      <c r="P3266" s="14"/>
      <c r="Q3266" s="85"/>
      <c r="R3266" s="89"/>
      <c r="U3266" s="11" t="str">
        <f t="shared" ref="U3266:U3329" si="304">IF(S3266="","",(S3266-T3266))</f>
        <v/>
      </c>
      <c r="V3266" s="12" t="str">
        <f t="shared" ref="V3266:V3329" si="305">IF(U3266="","",(U3266/T3266))</f>
        <v/>
      </c>
      <c r="Z3266" s="15"/>
    </row>
    <row r="3267" spans="1:26" x14ac:dyDescent="0.25">
      <c r="A3267" s="15" t="str">
        <f>IF(C3267="","",COUNTA($C$3:C3267))</f>
        <v/>
      </c>
      <c r="B3267" s="15" t="str">
        <f t="shared" ref="B3267:B3330" si="306">IF(C3267="","",TEXT(C3267,"mmmm"))</f>
        <v/>
      </c>
      <c r="M3267" s="9"/>
      <c r="N3267" s="9"/>
      <c r="P3267" s="14"/>
      <c r="Q3267" s="85"/>
      <c r="R3267" s="89"/>
      <c r="U3267" s="11" t="str">
        <f t="shared" si="304"/>
        <v/>
      </c>
      <c r="V3267" s="12" t="str">
        <f t="shared" si="305"/>
        <v/>
      </c>
      <c r="Z3267" s="15"/>
    </row>
    <row r="3268" spans="1:26" x14ac:dyDescent="0.25">
      <c r="A3268" s="15" t="str">
        <f>IF(C3268="","",COUNTA($C$3:C3268))</f>
        <v/>
      </c>
      <c r="B3268" s="15" t="str">
        <f t="shared" si="306"/>
        <v/>
      </c>
      <c r="M3268" s="9"/>
      <c r="N3268" s="9"/>
      <c r="P3268" s="14"/>
      <c r="Q3268" s="85"/>
      <c r="R3268" s="89"/>
      <c r="U3268" s="11" t="str">
        <f t="shared" si="304"/>
        <v/>
      </c>
      <c r="V3268" s="12" t="str">
        <f t="shared" si="305"/>
        <v/>
      </c>
      <c r="Z3268" s="15"/>
    </row>
    <row r="3269" spans="1:26" x14ac:dyDescent="0.25">
      <c r="A3269" s="15" t="str">
        <f>IF(C3269="","",COUNTA($C$3:C3269))</f>
        <v/>
      </c>
      <c r="B3269" s="15" t="str">
        <f t="shared" si="306"/>
        <v/>
      </c>
      <c r="M3269" s="9"/>
      <c r="N3269" s="9"/>
      <c r="P3269" s="14"/>
      <c r="Q3269" s="85"/>
      <c r="R3269" s="89"/>
      <c r="U3269" s="11" t="str">
        <f t="shared" si="304"/>
        <v/>
      </c>
      <c r="V3269" s="12" t="str">
        <f t="shared" si="305"/>
        <v/>
      </c>
      <c r="Z3269" s="15"/>
    </row>
    <row r="3270" spans="1:26" x14ac:dyDescent="0.25">
      <c r="A3270" s="15" t="str">
        <f>IF(C3270="","",COUNTA($C$3:C3270))</f>
        <v/>
      </c>
      <c r="B3270" s="15" t="str">
        <f t="shared" si="306"/>
        <v/>
      </c>
      <c r="M3270" s="9"/>
      <c r="N3270" s="9"/>
      <c r="P3270" s="14"/>
      <c r="Q3270" s="85"/>
      <c r="R3270" s="89"/>
      <c r="U3270" s="11" t="str">
        <f t="shared" si="304"/>
        <v/>
      </c>
      <c r="V3270" s="12" t="str">
        <f t="shared" si="305"/>
        <v/>
      </c>
      <c r="Z3270" s="15"/>
    </row>
    <row r="3271" spans="1:26" x14ac:dyDescent="0.25">
      <c r="A3271" s="15" t="str">
        <f>IF(C3271="","",COUNTA($C$3:C3271))</f>
        <v/>
      </c>
      <c r="B3271" s="15" t="str">
        <f t="shared" si="306"/>
        <v/>
      </c>
      <c r="M3271" s="9"/>
      <c r="N3271" s="9"/>
      <c r="P3271" s="14"/>
      <c r="Q3271" s="85"/>
      <c r="R3271" s="89"/>
      <c r="U3271" s="11" t="str">
        <f t="shared" si="304"/>
        <v/>
      </c>
      <c r="V3271" s="12" t="str">
        <f t="shared" si="305"/>
        <v/>
      </c>
      <c r="Z3271" s="15"/>
    </row>
    <row r="3272" spans="1:26" x14ac:dyDescent="0.25">
      <c r="A3272" s="15" t="str">
        <f>IF(C3272="","",COUNTA($C$3:C3272))</f>
        <v/>
      </c>
      <c r="B3272" s="15" t="str">
        <f t="shared" si="306"/>
        <v/>
      </c>
      <c r="M3272" s="9"/>
      <c r="N3272" s="9"/>
      <c r="P3272" s="14"/>
      <c r="Q3272" s="85"/>
      <c r="R3272" s="89"/>
      <c r="U3272" s="11" t="str">
        <f t="shared" si="304"/>
        <v/>
      </c>
      <c r="V3272" s="12" t="str">
        <f t="shared" si="305"/>
        <v/>
      </c>
      <c r="Z3272" s="15"/>
    </row>
    <row r="3273" spans="1:26" x14ac:dyDescent="0.25">
      <c r="A3273" s="15" t="str">
        <f>IF(C3273="","",COUNTA($C$3:C3273))</f>
        <v/>
      </c>
      <c r="B3273" s="15" t="str">
        <f t="shared" si="306"/>
        <v/>
      </c>
      <c r="M3273" s="9"/>
      <c r="N3273" s="9"/>
      <c r="P3273" s="14"/>
      <c r="Q3273" s="85"/>
      <c r="R3273" s="89"/>
      <c r="U3273" s="11" t="str">
        <f t="shared" si="304"/>
        <v/>
      </c>
      <c r="V3273" s="12" t="str">
        <f t="shared" si="305"/>
        <v/>
      </c>
      <c r="Z3273" s="15"/>
    </row>
    <row r="3274" spans="1:26" x14ac:dyDescent="0.25">
      <c r="A3274" s="15" t="str">
        <f>IF(C3274="","",COUNTA($C$3:C3274))</f>
        <v/>
      </c>
      <c r="B3274" s="15" t="str">
        <f t="shared" si="306"/>
        <v/>
      </c>
      <c r="M3274" s="9"/>
      <c r="N3274" s="9"/>
      <c r="P3274" s="14"/>
      <c r="Q3274" s="85"/>
      <c r="R3274" s="89"/>
      <c r="U3274" s="11" t="str">
        <f t="shared" si="304"/>
        <v/>
      </c>
      <c r="V3274" s="12" t="str">
        <f t="shared" si="305"/>
        <v/>
      </c>
      <c r="Z3274" s="15"/>
    </row>
    <row r="3275" spans="1:26" x14ac:dyDescent="0.25">
      <c r="A3275" s="15" t="str">
        <f>IF(C3275="","",COUNTA($C$3:C3275))</f>
        <v/>
      </c>
      <c r="B3275" s="15" t="str">
        <f t="shared" si="306"/>
        <v/>
      </c>
      <c r="M3275" s="9"/>
      <c r="N3275" s="9"/>
      <c r="P3275" s="14"/>
      <c r="Q3275" s="85"/>
      <c r="R3275" s="89"/>
      <c r="U3275" s="11" t="str">
        <f t="shared" si="304"/>
        <v/>
      </c>
      <c r="V3275" s="12" t="str">
        <f t="shared" si="305"/>
        <v/>
      </c>
      <c r="Z3275" s="15"/>
    </row>
    <row r="3276" spans="1:26" x14ac:dyDescent="0.25">
      <c r="A3276" s="15" t="str">
        <f>IF(C3276="","",COUNTA($C$3:C3276))</f>
        <v/>
      </c>
      <c r="B3276" s="15" t="str">
        <f t="shared" si="306"/>
        <v/>
      </c>
      <c r="M3276" s="9"/>
      <c r="N3276" s="9"/>
      <c r="P3276" s="14"/>
      <c r="Q3276" s="85"/>
      <c r="R3276" s="89"/>
      <c r="U3276" s="11" t="str">
        <f t="shared" si="304"/>
        <v/>
      </c>
      <c r="V3276" s="12" t="str">
        <f t="shared" si="305"/>
        <v/>
      </c>
      <c r="Z3276" s="15"/>
    </row>
    <row r="3277" spans="1:26" x14ac:dyDescent="0.25">
      <c r="A3277" s="15" t="str">
        <f>IF(C3277="","",COUNTA($C$3:C3277))</f>
        <v/>
      </c>
      <c r="B3277" s="15" t="str">
        <f t="shared" si="306"/>
        <v/>
      </c>
      <c r="M3277" s="9"/>
      <c r="N3277" s="9"/>
      <c r="P3277" s="14"/>
      <c r="Q3277" s="85"/>
      <c r="R3277" s="89"/>
      <c r="U3277" s="11" t="str">
        <f t="shared" si="304"/>
        <v/>
      </c>
      <c r="V3277" s="12" t="str">
        <f t="shared" si="305"/>
        <v/>
      </c>
      <c r="Z3277" s="15"/>
    </row>
    <row r="3278" spans="1:26" x14ac:dyDescent="0.25">
      <c r="A3278" s="15" t="str">
        <f>IF(C3278="","",COUNTA($C$3:C3278))</f>
        <v/>
      </c>
      <c r="B3278" s="15" t="str">
        <f t="shared" si="306"/>
        <v/>
      </c>
      <c r="M3278" s="9"/>
      <c r="N3278" s="9"/>
      <c r="P3278" s="14"/>
      <c r="Q3278" s="85"/>
      <c r="R3278" s="89"/>
      <c r="U3278" s="11" t="str">
        <f t="shared" si="304"/>
        <v/>
      </c>
      <c r="V3278" s="12" t="str">
        <f t="shared" si="305"/>
        <v/>
      </c>
      <c r="Z3278" s="15"/>
    </row>
    <row r="3279" spans="1:26" x14ac:dyDescent="0.25">
      <c r="A3279" s="15" t="str">
        <f>IF(C3279="","",COUNTA($C$3:C3279))</f>
        <v/>
      </c>
      <c r="B3279" s="15" t="str">
        <f t="shared" si="306"/>
        <v/>
      </c>
      <c r="M3279" s="9"/>
      <c r="N3279" s="9"/>
      <c r="P3279" s="14"/>
      <c r="Q3279" s="85"/>
      <c r="R3279" s="89"/>
      <c r="U3279" s="11" t="str">
        <f t="shared" si="304"/>
        <v/>
      </c>
      <c r="V3279" s="12" t="str">
        <f t="shared" si="305"/>
        <v/>
      </c>
      <c r="Z3279" s="15"/>
    </row>
    <row r="3280" spans="1:26" x14ac:dyDescent="0.25">
      <c r="A3280" s="15" t="str">
        <f>IF(C3280="","",COUNTA($C$3:C3280))</f>
        <v/>
      </c>
      <c r="B3280" s="15" t="str">
        <f t="shared" si="306"/>
        <v/>
      </c>
      <c r="M3280" s="9"/>
      <c r="N3280" s="9"/>
      <c r="P3280" s="14"/>
      <c r="Q3280" s="85"/>
      <c r="R3280" s="89"/>
      <c r="U3280" s="11" t="str">
        <f t="shared" si="304"/>
        <v/>
      </c>
      <c r="V3280" s="12" t="str">
        <f t="shared" si="305"/>
        <v/>
      </c>
      <c r="Z3280" s="15"/>
    </row>
    <row r="3281" spans="1:26" x14ac:dyDescent="0.25">
      <c r="A3281" s="15" t="str">
        <f>IF(C3281="","",COUNTA($C$3:C3281))</f>
        <v/>
      </c>
      <c r="B3281" s="15" t="str">
        <f t="shared" si="306"/>
        <v/>
      </c>
      <c r="M3281" s="9"/>
      <c r="N3281" s="9"/>
      <c r="P3281" s="14"/>
      <c r="Q3281" s="85"/>
      <c r="R3281" s="89"/>
      <c r="U3281" s="11" t="str">
        <f t="shared" si="304"/>
        <v/>
      </c>
      <c r="V3281" s="12" t="str">
        <f t="shared" si="305"/>
        <v/>
      </c>
      <c r="Z3281" s="15"/>
    </row>
    <row r="3282" spans="1:26" x14ac:dyDescent="0.25">
      <c r="A3282" s="15" t="str">
        <f>IF(C3282="","",COUNTA($C$3:C3282))</f>
        <v/>
      </c>
      <c r="B3282" s="15" t="str">
        <f t="shared" si="306"/>
        <v/>
      </c>
      <c r="M3282" s="9"/>
      <c r="N3282" s="9"/>
      <c r="P3282" s="14"/>
      <c r="Q3282" s="85"/>
      <c r="R3282" s="89"/>
      <c r="U3282" s="11" t="str">
        <f t="shared" si="304"/>
        <v/>
      </c>
      <c r="V3282" s="12" t="str">
        <f t="shared" si="305"/>
        <v/>
      </c>
      <c r="Z3282" s="15"/>
    </row>
    <row r="3283" spans="1:26" x14ac:dyDescent="0.25">
      <c r="A3283" s="15" t="str">
        <f>IF(C3283="","",COUNTA($C$3:C3283))</f>
        <v/>
      </c>
      <c r="B3283" s="15" t="str">
        <f t="shared" si="306"/>
        <v/>
      </c>
      <c r="M3283" s="9"/>
      <c r="N3283" s="9"/>
      <c r="P3283" s="14"/>
      <c r="Q3283" s="85"/>
      <c r="R3283" s="89"/>
      <c r="U3283" s="11" t="str">
        <f t="shared" si="304"/>
        <v/>
      </c>
      <c r="V3283" s="12" t="str">
        <f t="shared" si="305"/>
        <v/>
      </c>
      <c r="Z3283" s="15"/>
    </row>
    <row r="3284" spans="1:26" x14ac:dyDescent="0.25">
      <c r="A3284" s="15" t="str">
        <f>IF(C3284="","",COUNTA($C$3:C3284))</f>
        <v/>
      </c>
      <c r="B3284" s="15" t="str">
        <f t="shared" si="306"/>
        <v/>
      </c>
      <c r="M3284" s="9"/>
      <c r="N3284" s="9"/>
      <c r="P3284" s="14"/>
      <c r="Q3284" s="85"/>
      <c r="R3284" s="89"/>
      <c r="U3284" s="11" t="str">
        <f t="shared" si="304"/>
        <v/>
      </c>
      <c r="V3284" s="12" t="str">
        <f t="shared" si="305"/>
        <v/>
      </c>
      <c r="Z3284" s="15"/>
    </row>
    <row r="3285" spans="1:26" x14ac:dyDescent="0.25">
      <c r="A3285" s="15" t="str">
        <f>IF(C3285="","",COUNTA($C$3:C3285))</f>
        <v/>
      </c>
      <c r="B3285" s="15" t="str">
        <f t="shared" si="306"/>
        <v/>
      </c>
      <c r="M3285" s="9"/>
      <c r="N3285" s="9"/>
      <c r="P3285" s="14"/>
      <c r="Q3285" s="85"/>
      <c r="R3285" s="89"/>
      <c r="U3285" s="11" t="str">
        <f t="shared" si="304"/>
        <v/>
      </c>
      <c r="V3285" s="12" t="str">
        <f t="shared" si="305"/>
        <v/>
      </c>
      <c r="Z3285" s="15"/>
    </row>
    <row r="3286" spans="1:26" x14ac:dyDescent="0.25">
      <c r="A3286" s="15" t="str">
        <f>IF(C3286="","",COUNTA($C$3:C3286))</f>
        <v/>
      </c>
      <c r="B3286" s="15" t="str">
        <f t="shared" si="306"/>
        <v/>
      </c>
      <c r="M3286" s="9"/>
      <c r="N3286" s="9"/>
      <c r="P3286" s="14"/>
      <c r="Q3286" s="85"/>
      <c r="R3286" s="89"/>
      <c r="U3286" s="11" t="str">
        <f t="shared" si="304"/>
        <v/>
      </c>
      <c r="V3286" s="12" t="str">
        <f t="shared" si="305"/>
        <v/>
      </c>
      <c r="Z3286" s="15"/>
    </row>
    <row r="3287" spans="1:26" x14ac:dyDescent="0.25">
      <c r="A3287" s="15" t="str">
        <f>IF(C3287="","",COUNTA($C$3:C3287))</f>
        <v/>
      </c>
      <c r="B3287" s="15" t="str">
        <f t="shared" si="306"/>
        <v/>
      </c>
      <c r="M3287" s="9"/>
      <c r="N3287" s="9"/>
      <c r="P3287" s="14"/>
      <c r="Q3287" s="85"/>
      <c r="R3287" s="89"/>
      <c r="U3287" s="11" t="str">
        <f t="shared" si="304"/>
        <v/>
      </c>
      <c r="V3287" s="12" t="str">
        <f t="shared" si="305"/>
        <v/>
      </c>
      <c r="Z3287" s="15"/>
    </row>
    <row r="3288" spans="1:26" x14ac:dyDescent="0.25">
      <c r="A3288" s="15" t="str">
        <f>IF(C3288="","",COUNTA($C$3:C3288))</f>
        <v/>
      </c>
      <c r="B3288" s="15" t="str">
        <f t="shared" si="306"/>
        <v/>
      </c>
      <c r="M3288" s="9"/>
      <c r="N3288" s="9"/>
      <c r="P3288" s="14"/>
      <c r="Q3288" s="85"/>
      <c r="R3288" s="89"/>
      <c r="U3288" s="11" t="str">
        <f t="shared" si="304"/>
        <v/>
      </c>
      <c r="V3288" s="12" t="str">
        <f t="shared" si="305"/>
        <v/>
      </c>
      <c r="Z3288" s="15"/>
    </row>
    <row r="3289" spans="1:26" x14ac:dyDescent="0.25">
      <c r="A3289" s="15" t="str">
        <f>IF(C3289="","",COUNTA($C$3:C3289))</f>
        <v/>
      </c>
      <c r="B3289" s="15" t="str">
        <f t="shared" si="306"/>
        <v/>
      </c>
      <c r="M3289" s="9"/>
      <c r="N3289" s="9"/>
      <c r="P3289" s="14"/>
      <c r="Q3289" s="85"/>
      <c r="R3289" s="89"/>
      <c r="U3289" s="11" t="str">
        <f t="shared" si="304"/>
        <v/>
      </c>
      <c r="V3289" s="12" t="str">
        <f t="shared" si="305"/>
        <v/>
      </c>
      <c r="Z3289" s="15"/>
    </row>
    <row r="3290" spans="1:26" x14ac:dyDescent="0.25">
      <c r="A3290" s="15" t="str">
        <f>IF(C3290="","",COUNTA($C$3:C3290))</f>
        <v/>
      </c>
      <c r="B3290" s="15" t="str">
        <f t="shared" si="306"/>
        <v/>
      </c>
      <c r="M3290" s="9"/>
      <c r="N3290" s="9"/>
      <c r="P3290" s="14"/>
      <c r="Q3290" s="85"/>
      <c r="R3290" s="89"/>
      <c r="U3290" s="11" t="str">
        <f t="shared" si="304"/>
        <v/>
      </c>
      <c r="V3290" s="12" t="str">
        <f t="shared" si="305"/>
        <v/>
      </c>
      <c r="Z3290" s="15"/>
    </row>
    <row r="3291" spans="1:26" x14ac:dyDescent="0.25">
      <c r="A3291" s="15" t="str">
        <f>IF(C3291="","",COUNTA($C$3:C3291))</f>
        <v/>
      </c>
      <c r="B3291" s="15" t="str">
        <f t="shared" si="306"/>
        <v/>
      </c>
      <c r="M3291" s="9"/>
      <c r="N3291" s="9"/>
      <c r="P3291" s="14"/>
      <c r="Q3291" s="85"/>
      <c r="R3291" s="89"/>
      <c r="U3291" s="11" t="str">
        <f t="shared" si="304"/>
        <v/>
      </c>
      <c r="V3291" s="12" t="str">
        <f t="shared" si="305"/>
        <v/>
      </c>
      <c r="Z3291" s="15"/>
    </row>
    <row r="3292" spans="1:26" x14ac:dyDescent="0.25">
      <c r="A3292" s="15" t="str">
        <f>IF(C3292="","",COUNTA($C$3:C3292))</f>
        <v/>
      </c>
      <c r="B3292" s="15" t="str">
        <f t="shared" si="306"/>
        <v/>
      </c>
      <c r="M3292" s="9"/>
      <c r="N3292" s="9"/>
      <c r="P3292" s="14"/>
      <c r="Q3292" s="85"/>
      <c r="R3292" s="89"/>
      <c r="U3292" s="11" t="str">
        <f t="shared" si="304"/>
        <v/>
      </c>
      <c r="V3292" s="12" t="str">
        <f t="shared" si="305"/>
        <v/>
      </c>
      <c r="Z3292" s="15"/>
    </row>
    <row r="3293" spans="1:26" x14ac:dyDescent="0.25">
      <c r="A3293" s="15" t="str">
        <f>IF(C3293="","",COUNTA($C$3:C3293))</f>
        <v/>
      </c>
      <c r="B3293" s="15" t="str">
        <f t="shared" si="306"/>
        <v/>
      </c>
      <c r="M3293" s="9"/>
      <c r="N3293" s="9"/>
      <c r="P3293" s="14"/>
      <c r="Q3293" s="85"/>
      <c r="R3293" s="89"/>
      <c r="U3293" s="11" t="str">
        <f t="shared" si="304"/>
        <v/>
      </c>
      <c r="V3293" s="12" t="str">
        <f t="shared" si="305"/>
        <v/>
      </c>
      <c r="Z3293" s="15"/>
    </row>
    <row r="3294" spans="1:26" x14ac:dyDescent="0.25">
      <c r="A3294" s="15" t="str">
        <f>IF(C3294="","",COUNTA($C$3:C3294))</f>
        <v/>
      </c>
      <c r="B3294" s="15" t="str">
        <f t="shared" si="306"/>
        <v/>
      </c>
      <c r="M3294" s="9"/>
      <c r="N3294" s="9"/>
      <c r="P3294" s="14"/>
      <c r="Q3294" s="85"/>
      <c r="R3294" s="89"/>
      <c r="U3294" s="11" t="str">
        <f t="shared" si="304"/>
        <v/>
      </c>
      <c r="V3294" s="12" t="str">
        <f t="shared" si="305"/>
        <v/>
      </c>
      <c r="Z3294" s="15"/>
    </row>
    <row r="3295" spans="1:26" x14ac:dyDescent="0.25">
      <c r="A3295" s="15" t="str">
        <f>IF(C3295="","",COUNTA($C$3:C3295))</f>
        <v/>
      </c>
      <c r="B3295" s="15" t="str">
        <f t="shared" si="306"/>
        <v/>
      </c>
      <c r="M3295" s="9"/>
      <c r="N3295" s="9"/>
      <c r="P3295" s="14"/>
      <c r="Q3295" s="85"/>
      <c r="R3295" s="89"/>
      <c r="U3295" s="11" t="str">
        <f t="shared" si="304"/>
        <v/>
      </c>
      <c r="V3295" s="12" t="str">
        <f t="shared" si="305"/>
        <v/>
      </c>
      <c r="Z3295" s="15"/>
    </row>
    <row r="3296" spans="1:26" x14ac:dyDescent="0.25">
      <c r="A3296" s="15" t="str">
        <f>IF(C3296="","",COUNTA($C$3:C3296))</f>
        <v/>
      </c>
      <c r="B3296" s="15" t="str">
        <f t="shared" si="306"/>
        <v/>
      </c>
      <c r="M3296" s="9"/>
      <c r="N3296" s="9"/>
      <c r="P3296" s="14"/>
      <c r="Q3296" s="85"/>
      <c r="R3296" s="89"/>
      <c r="U3296" s="11" t="str">
        <f t="shared" si="304"/>
        <v/>
      </c>
      <c r="V3296" s="12" t="str">
        <f t="shared" si="305"/>
        <v/>
      </c>
      <c r="Z3296" s="15"/>
    </row>
    <row r="3297" spans="1:26" x14ac:dyDescent="0.25">
      <c r="A3297" s="15" t="str">
        <f>IF(C3297="","",COUNTA($C$3:C3297))</f>
        <v/>
      </c>
      <c r="B3297" s="15" t="str">
        <f t="shared" si="306"/>
        <v/>
      </c>
      <c r="M3297" s="9"/>
      <c r="N3297" s="9"/>
      <c r="P3297" s="14"/>
      <c r="Q3297" s="85"/>
      <c r="R3297" s="89"/>
      <c r="U3297" s="11" t="str">
        <f t="shared" si="304"/>
        <v/>
      </c>
      <c r="V3297" s="12" t="str">
        <f t="shared" si="305"/>
        <v/>
      </c>
      <c r="Z3297" s="15"/>
    </row>
    <row r="3298" spans="1:26" x14ac:dyDescent="0.25">
      <c r="A3298" s="15" t="str">
        <f>IF(C3298="","",COUNTA($C$3:C3298))</f>
        <v/>
      </c>
      <c r="B3298" s="15" t="str">
        <f t="shared" si="306"/>
        <v/>
      </c>
      <c r="M3298" s="9"/>
      <c r="N3298" s="9"/>
      <c r="P3298" s="14"/>
      <c r="Q3298" s="85"/>
      <c r="R3298" s="89"/>
      <c r="U3298" s="11" t="str">
        <f t="shared" si="304"/>
        <v/>
      </c>
      <c r="V3298" s="12" t="str">
        <f t="shared" si="305"/>
        <v/>
      </c>
      <c r="Z3298" s="15"/>
    </row>
    <row r="3299" spans="1:26" x14ac:dyDescent="0.25">
      <c r="A3299" s="15" t="str">
        <f>IF(C3299="","",COUNTA($C$3:C3299))</f>
        <v/>
      </c>
      <c r="B3299" s="15" t="str">
        <f t="shared" si="306"/>
        <v/>
      </c>
      <c r="M3299" s="9"/>
      <c r="N3299" s="9"/>
      <c r="P3299" s="14"/>
      <c r="Q3299" s="85"/>
      <c r="R3299" s="89"/>
      <c r="U3299" s="11" t="str">
        <f t="shared" si="304"/>
        <v/>
      </c>
      <c r="V3299" s="12" t="str">
        <f t="shared" si="305"/>
        <v/>
      </c>
      <c r="Z3299" s="15"/>
    </row>
    <row r="3300" spans="1:26" x14ac:dyDescent="0.25">
      <c r="A3300" s="15" t="str">
        <f>IF(C3300="","",COUNTA($C$3:C3300))</f>
        <v/>
      </c>
      <c r="B3300" s="15" t="str">
        <f t="shared" si="306"/>
        <v/>
      </c>
      <c r="M3300" s="9"/>
      <c r="N3300" s="9"/>
      <c r="P3300" s="14"/>
      <c r="Q3300" s="85"/>
      <c r="R3300" s="89"/>
      <c r="U3300" s="11" t="str">
        <f t="shared" si="304"/>
        <v/>
      </c>
      <c r="V3300" s="12" t="str">
        <f t="shared" si="305"/>
        <v/>
      </c>
      <c r="Z3300" s="15"/>
    </row>
    <row r="3301" spans="1:26" x14ac:dyDescent="0.25">
      <c r="A3301" s="15" t="str">
        <f>IF(C3301="","",COUNTA($C$3:C3301))</f>
        <v/>
      </c>
      <c r="B3301" s="15" t="str">
        <f t="shared" si="306"/>
        <v/>
      </c>
      <c r="M3301" s="9"/>
      <c r="N3301" s="9"/>
      <c r="P3301" s="14"/>
      <c r="Q3301" s="85"/>
      <c r="R3301" s="89"/>
      <c r="U3301" s="11" t="str">
        <f t="shared" si="304"/>
        <v/>
      </c>
      <c r="V3301" s="12" t="str">
        <f t="shared" si="305"/>
        <v/>
      </c>
      <c r="Z3301" s="15"/>
    </row>
    <row r="3302" spans="1:26" x14ac:dyDescent="0.25">
      <c r="A3302" s="15" t="str">
        <f>IF(C3302="","",COUNTA($C$3:C3302))</f>
        <v/>
      </c>
      <c r="B3302" s="15" t="str">
        <f t="shared" si="306"/>
        <v/>
      </c>
      <c r="M3302" s="9"/>
      <c r="N3302" s="9"/>
      <c r="P3302" s="14"/>
      <c r="Q3302" s="85"/>
      <c r="R3302" s="89"/>
      <c r="U3302" s="11" t="str">
        <f t="shared" si="304"/>
        <v/>
      </c>
      <c r="V3302" s="12" t="str">
        <f t="shared" si="305"/>
        <v/>
      </c>
      <c r="Z3302" s="15"/>
    </row>
    <row r="3303" spans="1:26" x14ac:dyDescent="0.25">
      <c r="A3303" s="15" t="str">
        <f>IF(C3303="","",COUNTA($C$3:C3303))</f>
        <v/>
      </c>
      <c r="B3303" s="15" t="str">
        <f t="shared" si="306"/>
        <v/>
      </c>
      <c r="M3303" s="9"/>
      <c r="N3303" s="9"/>
      <c r="P3303" s="14"/>
      <c r="Q3303" s="85"/>
      <c r="R3303" s="89"/>
      <c r="U3303" s="11" t="str">
        <f t="shared" si="304"/>
        <v/>
      </c>
      <c r="V3303" s="12" t="str">
        <f t="shared" si="305"/>
        <v/>
      </c>
      <c r="Z3303" s="15"/>
    </row>
    <row r="3304" spans="1:26" x14ac:dyDescent="0.25">
      <c r="A3304" s="15" t="str">
        <f>IF(C3304="","",COUNTA($C$3:C3304))</f>
        <v/>
      </c>
      <c r="B3304" s="15" t="str">
        <f t="shared" si="306"/>
        <v/>
      </c>
      <c r="M3304" s="9"/>
      <c r="N3304" s="9"/>
      <c r="P3304" s="14"/>
      <c r="Q3304" s="85"/>
      <c r="R3304" s="89"/>
      <c r="U3304" s="11" t="str">
        <f t="shared" si="304"/>
        <v/>
      </c>
      <c r="V3304" s="12" t="str">
        <f t="shared" si="305"/>
        <v/>
      </c>
      <c r="Z3304" s="15"/>
    </row>
    <row r="3305" spans="1:26" x14ac:dyDescent="0.25">
      <c r="A3305" s="15" t="str">
        <f>IF(C3305="","",COUNTA($C$3:C3305))</f>
        <v/>
      </c>
      <c r="B3305" s="15" t="str">
        <f t="shared" si="306"/>
        <v/>
      </c>
      <c r="M3305" s="9"/>
      <c r="N3305" s="9"/>
      <c r="P3305" s="14"/>
      <c r="Q3305" s="85"/>
      <c r="R3305" s="89"/>
      <c r="U3305" s="11" t="str">
        <f t="shared" si="304"/>
        <v/>
      </c>
      <c r="V3305" s="12" t="str">
        <f t="shared" si="305"/>
        <v/>
      </c>
      <c r="Z3305" s="15"/>
    </row>
    <row r="3306" spans="1:26" x14ac:dyDescent="0.25">
      <c r="A3306" s="15" t="str">
        <f>IF(C3306="","",COUNTA($C$3:C3306))</f>
        <v/>
      </c>
      <c r="B3306" s="15" t="str">
        <f t="shared" si="306"/>
        <v/>
      </c>
      <c r="M3306" s="9"/>
      <c r="N3306" s="9"/>
      <c r="P3306" s="14"/>
      <c r="Q3306" s="85"/>
      <c r="R3306" s="89"/>
      <c r="U3306" s="11" t="str">
        <f t="shared" si="304"/>
        <v/>
      </c>
      <c r="V3306" s="12" t="str">
        <f t="shared" si="305"/>
        <v/>
      </c>
      <c r="Z3306" s="15"/>
    </row>
    <row r="3307" spans="1:26" x14ac:dyDescent="0.25">
      <c r="A3307" s="15" t="str">
        <f>IF(C3307="","",COUNTA($C$3:C3307))</f>
        <v/>
      </c>
      <c r="B3307" s="15" t="str">
        <f t="shared" si="306"/>
        <v/>
      </c>
      <c r="M3307" s="9"/>
      <c r="N3307" s="9"/>
      <c r="P3307" s="14"/>
      <c r="Q3307" s="85"/>
      <c r="R3307" s="89"/>
      <c r="U3307" s="11" t="str">
        <f t="shared" si="304"/>
        <v/>
      </c>
      <c r="V3307" s="12" t="str">
        <f t="shared" si="305"/>
        <v/>
      </c>
      <c r="Z3307" s="15"/>
    </row>
    <row r="3308" spans="1:26" x14ac:dyDescent="0.25">
      <c r="A3308" s="15" t="str">
        <f>IF(C3308="","",COUNTA($C$3:C3308))</f>
        <v/>
      </c>
      <c r="B3308" s="15" t="str">
        <f t="shared" si="306"/>
        <v/>
      </c>
      <c r="M3308" s="9"/>
      <c r="N3308" s="9"/>
      <c r="P3308" s="14"/>
      <c r="Q3308" s="85"/>
      <c r="R3308" s="89"/>
      <c r="U3308" s="11" t="str">
        <f t="shared" si="304"/>
        <v/>
      </c>
      <c r="V3308" s="12" t="str">
        <f t="shared" si="305"/>
        <v/>
      </c>
      <c r="Z3308" s="15"/>
    </row>
    <row r="3309" spans="1:26" x14ac:dyDescent="0.25">
      <c r="A3309" s="15" t="str">
        <f>IF(C3309="","",COUNTA($C$3:C3309))</f>
        <v/>
      </c>
      <c r="B3309" s="15" t="str">
        <f t="shared" si="306"/>
        <v/>
      </c>
      <c r="M3309" s="9"/>
      <c r="N3309" s="9"/>
      <c r="P3309" s="14"/>
      <c r="Q3309" s="85"/>
      <c r="R3309" s="89"/>
      <c r="U3309" s="11" t="str">
        <f t="shared" si="304"/>
        <v/>
      </c>
      <c r="V3309" s="12" t="str">
        <f t="shared" si="305"/>
        <v/>
      </c>
      <c r="Z3309" s="15"/>
    </row>
    <row r="3310" spans="1:26" x14ac:dyDescent="0.25">
      <c r="A3310" s="15" t="str">
        <f>IF(C3310="","",COUNTA($C$3:C3310))</f>
        <v/>
      </c>
      <c r="B3310" s="15" t="str">
        <f t="shared" si="306"/>
        <v/>
      </c>
      <c r="M3310" s="9"/>
      <c r="N3310" s="9"/>
      <c r="P3310" s="14"/>
      <c r="Q3310" s="85"/>
      <c r="R3310" s="89"/>
      <c r="U3310" s="11" t="str">
        <f t="shared" si="304"/>
        <v/>
      </c>
      <c r="V3310" s="12" t="str">
        <f t="shared" si="305"/>
        <v/>
      </c>
      <c r="Z3310" s="15"/>
    </row>
    <row r="3311" spans="1:26" x14ac:dyDescent="0.25">
      <c r="A3311" s="15" t="str">
        <f>IF(C3311="","",COUNTA($C$3:C3311))</f>
        <v/>
      </c>
      <c r="B3311" s="15" t="str">
        <f t="shared" si="306"/>
        <v/>
      </c>
      <c r="M3311" s="9"/>
      <c r="N3311" s="9"/>
      <c r="P3311" s="14"/>
      <c r="Q3311" s="85"/>
      <c r="R3311" s="89"/>
      <c r="U3311" s="11" t="str">
        <f t="shared" si="304"/>
        <v/>
      </c>
      <c r="V3311" s="12" t="str">
        <f t="shared" si="305"/>
        <v/>
      </c>
      <c r="Z3311" s="15"/>
    </row>
    <row r="3312" spans="1:26" x14ac:dyDescent="0.25">
      <c r="A3312" s="15" t="str">
        <f>IF(C3312="","",COUNTA($C$3:C3312))</f>
        <v/>
      </c>
      <c r="B3312" s="15" t="str">
        <f t="shared" si="306"/>
        <v/>
      </c>
      <c r="M3312" s="9"/>
      <c r="N3312" s="9"/>
      <c r="P3312" s="14"/>
      <c r="Q3312" s="85"/>
      <c r="R3312" s="89"/>
      <c r="U3312" s="11" t="str">
        <f t="shared" si="304"/>
        <v/>
      </c>
      <c r="V3312" s="12" t="str">
        <f t="shared" si="305"/>
        <v/>
      </c>
      <c r="Z3312" s="15"/>
    </row>
    <row r="3313" spans="1:26" x14ac:dyDescent="0.25">
      <c r="A3313" s="15" t="str">
        <f>IF(C3313="","",COUNTA($C$3:C3313))</f>
        <v/>
      </c>
      <c r="B3313" s="15" t="str">
        <f t="shared" si="306"/>
        <v/>
      </c>
      <c r="M3313" s="9"/>
      <c r="N3313" s="9"/>
      <c r="P3313" s="14"/>
      <c r="Q3313" s="85"/>
      <c r="R3313" s="89"/>
      <c r="U3313" s="11" t="str">
        <f t="shared" si="304"/>
        <v/>
      </c>
      <c r="V3313" s="12" t="str">
        <f t="shared" si="305"/>
        <v/>
      </c>
      <c r="Z3313" s="15"/>
    </row>
    <row r="3314" spans="1:26" x14ac:dyDescent="0.25">
      <c r="A3314" s="15" t="str">
        <f>IF(C3314="","",COUNTA($C$3:C3314))</f>
        <v/>
      </c>
      <c r="B3314" s="15" t="str">
        <f t="shared" si="306"/>
        <v/>
      </c>
      <c r="M3314" s="9"/>
      <c r="N3314" s="9"/>
      <c r="P3314" s="14"/>
      <c r="Q3314" s="85"/>
      <c r="R3314" s="89"/>
      <c r="U3314" s="11" t="str">
        <f t="shared" si="304"/>
        <v/>
      </c>
      <c r="V3314" s="12" t="str">
        <f t="shared" si="305"/>
        <v/>
      </c>
      <c r="Z3314" s="15"/>
    </row>
    <row r="3315" spans="1:26" x14ac:dyDescent="0.25">
      <c r="A3315" s="15" t="str">
        <f>IF(C3315="","",COUNTA($C$3:C3315))</f>
        <v/>
      </c>
      <c r="B3315" s="15" t="str">
        <f t="shared" si="306"/>
        <v/>
      </c>
      <c r="M3315" s="9"/>
      <c r="N3315" s="9"/>
      <c r="P3315" s="14"/>
      <c r="Q3315" s="85"/>
      <c r="R3315" s="89"/>
      <c r="U3315" s="11" t="str">
        <f t="shared" si="304"/>
        <v/>
      </c>
      <c r="V3315" s="12" t="str">
        <f t="shared" si="305"/>
        <v/>
      </c>
      <c r="Z3315" s="15"/>
    </row>
    <row r="3316" spans="1:26" x14ac:dyDescent="0.25">
      <c r="A3316" s="15" t="str">
        <f>IF(C3316="","",COUNTA($C$3:C3316))</f>
        <v/>
      </c>
      <c r="B3316" s="15" t="str">
        <f t="shared" si="306"/>
        <v/>
      </c>
      <c r="M3316" s="9"/>
      <c r="N3316" s="9"/>
      <c r="P3316" s="14"/>
      <c r="Q3316" s="85"/>
      <c r="R3316" s="89"/>
      <c r="U3316" s="11" t="str">
        <f t="shared" si="304"/>
        <v/>
      </c>
      <c r="V3316" s="12" t="str">
        <f t="shared" si="305"/>
        <v/>
      </c>
      <c r="Z3316" s="15"/>
    </row>
    <row r="3317" spans="1:26" x14ac:dyDescent="0.25">
      <c r="A3317" s="15" t="str">
        <f>IF(C3317="","",COUNTA($C$3:C3317))</f>
        <v/>
      </c>
      <c r="B3317" s="15" t="str">
        <f t="shared" si="306"/>
        <v/>
      </c>
      <c r="M3317" s="9"/>
      <c r="N3317" s="9"/>
      <c r="P3317" s="14"/>
      <c r="Q3317" s="85"/>
      <c r="R3317" s="89"/>
      <c r="U3317" s="11" t="str">
        <f t="shared" si="304"/>
        <v/>
      </c>
      <c r="V3317" s="12" t="str">
        <f t="shared" si="305"/>
        <v/>
      </c>
      <c r="Z3317" s="15"/>
    </row>
    <row r="3318" spans="1:26" x14ac:dyDescent="0.25">
      <c r="A3318" s="15" t="str">
        <f>IF(C3318="","",COUNTA($C$3:C3318))</f>
        <v/>
      </c>
      <c r="B3318" s="15" t="str">
        <f t="shared" si="306"/>
        <v/>
      </c>
      <c r="M3318" s="9"/>
      <c r="N3318" s="9"/>
      <c r="P3318" s="14"/>
      <c r="Q3318" s="85"/>
      <c r="R3318" s="89"/>
      <c r="U3318" s="11" t="str">
        <f t="shared" si="304"/>
        <v/>
      </c>
      <c r="V3318" s="12" t="str">
        <f t="shared" si="305"/>
        <v/>
      </c>
      <c r="Z3318" s="15"/>
    </row>
    <row r="3319" spans="1:26" x14ac:dyDescent="0.25">
      <c r="A3319" s="15" t="str">
        <f>IF(C3319="","",COUNTA($C$3:C3319))</f>
        <v/>
      </c>
      <c r="B3319" s="15" t="str">
        <f t="shared" si="306"/>
        <v/>
      </c>
      <c r="M3319" s="9"/>
      <c r="N3319" s="9"/>
      <c r="P3319" s="14"/>
      <c r="Q3319" s="85"/>
      <c r="R3319" s="89"/>
      <c r="U3319" s="11" t="str">
        <f t="shared" si="304"/>
        <v/>
      </c>
      <c r="V3319" s="12" t="str">
        <f t="shared" si="305"/>
        <v/>
      </c>
      <c r="Z3319" s="15"/>
    </row>
    <row r="3320" spans="1:26" x14ac:dyDescent="0.25">
      <c r="A3320" s="15" t="str">
        <f>IF(C3320="","",COUNTA($C$3:C3320))</f>
        <v/>
      </c>
      <c r="B3320" s="15" t="str">
        <f t="shared" si="306"/>
        <v/>
      </c>
      <c r="M3320" s="9"/>
      <c r="N3320" s="9"/>
      <c r="P3320" s="14"/>
      <c r="Q3320" s="85"/>
      <c r="R3320" s="89"/>
      <c r="U3320" s="11" t="str">
        <f t="shared" si="304"/>
        <v/>
      </c>
      <c r="V3320" s="12" t="str">
        <f t="shared" si="305"/>
        <v/>
      </c>
      <c r="Z3320" s="15"/>
    </row>
    <row r="3321" spans="1:26" x14ac:dyDescent="0.25">
      <c r="A3321" s="15" t="str">
        <f>IF(C3321="","",COUNTA($C$3:C3321))</f>
        <v/>
      </c>
      <c r="B3321" s="15" t="str">
        <f t="shared" si="306"/>
        <v/>
      </c>
      <c r="M3321" s="9"/>
      <c r="N3321" s="9"/>
      <c r="P3321" s="14"/>
      <c r="Q3321" s="85"/>
      <c r="R3321" s="89"/>
      <c r="U3321" s="11" t="str">
        <f t="shared" si="304"/>
        <v/>
      </c>
      <c r="V3321" s="12" t="str">
        <f t="shared" si="305"/>
        <v/>
      </c>
      <c r="Z3321" s="15"/>
    </row>
    <row r="3322" spans="1:26" x14ac:dyDescent="0.25">
      <c r="A3322" s="15" t="str">
        <f>IF(C3322="","",COUNTA($C$3:C3322))</f>
        <v/>
      </c>
      <c r="B3322" s="15" t="str">
        <f t="shared" si="306"/>
        <v/>
      </c>
      <c r="M3322" s="9"/>
      <c r="N3322" s="9"/>
      <c r="P3322" s="14"/>
      <c r="Q3322" s="85"/>
      <c r="R3322" s="89"/>
      <c r="U3322" s="11" t="str">
        <f t="shared" si="304"/>
        <v/>
      </c>
      <c r="V3322" s="12" t="str">
        <f t="shared" si="305"/>
        <v/>
      </c>
      <c r="Z3322" s="15"/>
    </row>
    <row r="3323" spans="1:26" x14ac:dyDescent="0.25">
      <c r="A3323" s="15" t="str">
        <f>IF(C3323="","",COUNTA($C$3:C3323))</f>
        <v/>
      </c>
      <c r="B3323" s="15" t="str">
        <f t="shared" si="306"/>
        <v/>
      </c>
      <c r="M3323" s="9"/>
      <c r="N3323" s="9"/>
      <c r="P3323" s="14"/>
      <c r="Q3323" s="85"/>
      <c r="R3323" s="89"/>
      <c r="U3323" s="11" t="str">
        <f t="shared" si="304"/>
        <v/>
      </c>
      <c r="V3323" s="12" t="str">
        <f t="shared" si="305"/>
        <v/>
      </c>
      <c r="Z3323" s="15"/>
    </row>
    <row r="3324" spans="1:26" x14ac:dyDescent="0.25">
      <c r="A3324" s="15" t="str">
        <f>IF(C3324="","",COUNTA($C$3:C3324))</f>
        <v/>
      </c>
      <c r="B3324" s="15" t="str">
        <f t="shared" si="306"/>
        <v/>
      </c>
      <c r="M3324" s="9"/>
      <c r="N3324" s="9"/>
      <c r="P3324" s="14"/>
      <c r="Q3324" s="85"/>
      <c r="R3324" s="89"/>
      <c r="U3324" s="11" t="str">
        <f t="shared" si="304"/>
        <v/>
      </c>
      <c r="V3324" s="12" t="str">
        <f t="shared" si="305"/>
        <v/>
      </c>
      <c r="Z3324" s="15"/>
    </row>
    <row r="3325" spans="1:26" x14ac:dyDescent="0.25">
      <c r="A3325" s="15" t="str">
        <f>IF(C3325="","",COUNTA($C$3:C3325))</f>
        <v/>
      </c>
      <c r="B3325" s="15" t="str">
        <f t="shared" si="306"/>
        <v/>
      </c>
      <c r="M3325" s="9"/>
      <c r="N3325" s="9"/>
      <c r="P3325" s="14"/>
      <c r="Q3325" s="85"/>
      <c r="R3325" s="89"/>
      <c r="U3325" s="11" t="str">
        <f t="shared" si="304"/>
        <v/>
      </c>
      <c r="V3325" s="12" t="str">
        <f t="shared" si="305"/>
        <v/>
      </c>
      <c r="Z3325" s="15"/>
    </row>
    <row r="3326" spans="1:26" x14ac:dyDescent="0.25">
      <c r="A3326" s="15" t="str">
        <f>IF(C3326="","",COUNTA($C$3:C3326))</f>
        <v/>
      </c>
      <c r="B3326" s="15" t="str">
        <f t="shared" si="306"/>
        <v/>
      </c>
      <c r="M3326" s="9"/>
      <c r="N3326" s="9"/>
      <c r="P3326" s="14"/>
      <c r="Q3326" s="85"/>
      <c r="R3326" s="89"/>
      <c r="U3326" s="11" t="str">
        <f t="shared" si="304"/>
        <v/>
      </c>
      <c r="V3326" s="12" t="str">
        <f t="shared" si="305"/>
        <v/>
      </c>
      <c r="Z3326" s="15"/>
    </row>
    <row r="3327" spans="1:26" x14ac:dyDescent="0.25">
      <c r="A3327" s="15" t="str">
        <f>IF(C3327="","",COUNTA($C$3:C3327))</f>
        <v/>
      </c>
      <c r="B3327" s="15" t="str">
        <f t="shared" si="306"/>
        <v/>
      </c>
      <c r="M3327" s="9"/>
      <c r="N3327" s="9"/>
      <c r="P3327" s="14"/>
      <c r="Q3327" s="85"/>
      <c r="R3327" s="89"/>
      <c r="U3327" s="11" t="str">
        <f t="shared" si="304"/>
        <v/>
      </c>
      <c r="V3327" s="12" t="str">
        <f t="shared" si="305"/>
        <v/>
      </c>
      <c r="Z3327" s="15"/>
    </row>
    <row r="3328" spans="1:26" x14ac:dyDescent="0.25">
      <c r="A3328" s="15" t="str">
        <f>IF(C3328="","",COUNTA($C$3:C3328))</f>
        <v/>
      </c>
      <c r="B3328" s="15" t="str">
        <f t="shared" si="306"/>
        <v/>
      </c>
      <c r="M3328" s="9"/>
      <c r="N3328" s="9"/>
      <c r="P3328" s="14"/>
      <c r="Q3328" s="85"/>
      <c r="R3328" s="89"/>
      <c r="U3328" s="11" t="str">
        <f t="shared" si="304"/>
        <v/>
      </c>
      <c r="V3328" s="12" t="str">
        <f t="shared" si="305"/>
        <v/>
      </c>
      <c r="Z3328" s="15"/>
    </row>
    <row r="3329" spans="1:26" x14ac:dyDescent="0.25">
      <c r="A3329" s="15" t="str">
        <f>IF(C3329="","",COUNTA($C$3:C3329))</f>
        <v/>
      </c>
      <c r="B3329" s="15" t="str">
        <f t="shared" si="306"/>
        <v/>
      </c>
      <c r="M3329" s="9"/>
      <c r="N3329" s="9"/>
      <c r="P3329" s="14"/>
      <c r="Q3329" s="85"/>
      <c r="R3329" s="89"/>
      <c r="U3329" s="11" t="str">
        <f t="shared" si="304"/>
        <v/>
      </c>
      <c r="V3329" s="12" t="str">
        <f t="shared" si="305"/>
        <v/>
      </c>
      <c r="Z3329" s="15"/>
    </row>
    <row r="3330" spans="1:26" x14ac:dyDescent="0.25">
      <c r="A3330" s="15" t="str">
        <f>IF(C3330="","",COUNTA($C$3:C3330))</f>
        <v/>
      </c>
      <c r="B3330" s="15" t="str">
        <f t="shared" si="306"/>
        <v/>
      </c>
      <c r="M3330" s="9"/>
      <c r="N3330" s="9"/>
      <c r="P3330" s="14"/>
      <c r="Q3330" s="85"/>
      <c r="R3330" s="89"/>
      <c r="U3330" s="11" t="str">
        <f t="shared" ref="U3330:U3393" si="307">IF(S3330="","",(S3330-T3330))</f>
        <v/>
      </c>
      <c r="V3330" s="12" t="str">
        <f t="shared" ref="V3330:V3393" si="308">IF(U3330="","",(U3330/T3330))</f>
        <v/>
      </c>
      <c r="Z3330" s="15"/>
    </row>
    <row r="3331" spans="1:26" x14ac:dyDescent="0.25">
      <c r="A3331" s="15" t="str">
        <f>IF(C3331="","",COUNTA($C$3:C3331))</f>
        <v/>
      </c>
      <c r="B3331" s="15" t="str">
        <f t="shared" ref="B3331:B3394" si="309">IF(C3331="","",TEXT(C3331,"mmmm"))</f>
        <v/>
      </c>
      <c r="M3331" s="9"/>
      <c r="N3331" s="9"/>
      <c r="P3331" s="14"/>
      <c r="Q3331" s="85"/>
      <c r="R3331" s="89"/>
      <c r="U3331" s="11" t="str">
        <f t="shared" si="307"/>
        <v/>
      </c>
      <c r="V3331" s="12" t="str">
        <f t="shared" si="308"/>
        <v/>
      </c>
      <c r="Z3331" s="15"/>
    </row>
    <row r="3332" spans="1:26" x14ac:dyDescent="0.25">
      <c r="A3332" s="15" t="str">
        <f>IF(C3332="","",COUNTA($C$3:C3332))</f>
        <v/>
      </c>
      <c r="B3332" s="15" t="str">
        <f t="shared" si="309"/>
        <v/>
      </c>
      <c r="M3332" s="9"/>
      <c r="N3332" s="9"/>
      <c r="P3332" s="14"/>
      <c r="Q3332" s="85"/>
      <c r="R3332" s="89"/>
      <c r="U3332" s="11" t="str">
        <f t="shared" si="307"/>
        <v/>
      </c>
      <c r="V3332" s="12" t="str">
        <f t="shared" si="308"/>
        <v/>
      </c>
      <c r="Z3332" s="15"/>
    </row>
    <row r="3333" spans="1:26" x14ac:dyDescent="0.25">
      <c r="A3333" s="15" t="str">
        <f>IF(C3333="","",COUNTA($C$3:C3333))</f>
        <v/>
      </c>
      <c r="B3333" s="15" t="str">
        <f t="shared" si="309"/>
        <v/>
      </c>
      <c r="M3333" s="9"/>
      <c r="N3333" s="9"/>
      <c r="P3333" s="14"/>
      <c r="Q3333" s="85"/>
      <c r="R3333" s="89"/>
      <c r="U3333" s="11" t="str">
        <f t="shared" si="307"/>
        <v/>
      </c>
      <c r="V3333" s="12" t="str">
        <f t="shared" si="308"/>
        <v/>
      </c>
      <c r="Z3333" s="15"/>
    </row>
    <row r="3334" spans="1:26" x14ac:dyDescent="0.25">
      <c r="A3334" s="15" t="str">
        <f>IF(C3334="","",COUNTA($C$3:C3334))</f>
        <v/>
      </c>
      <c r="B3334" s="15" t="str">
        <f t="shared" si="309"/>
        <v/>
      </c>
      <c r="M3334" s="9"/>
      <c r="N3334" s="9"/>
      <c r="P3334" s="14"/>
      <c r="Q3334" s="85"/>
      <c r="R3334" s="89"/>
      <c r="U3334" s="11" t="str">
        <f t="shared" si="307"/>
        <v/>
      </c>
      <c r="V3334" s="12" t="str">
        <f t="shared" si="308"/>
        <v/>
      </c>
      <c r="Z3334" s="15"/>
    </row>
    <row r="3335" spans="1:26" x14ac:dyDescent="0.25">
      <c r="A3335" s="15" t="str">
        <f>IF(C3335="","",COUNTA($C$3:C3335))</f>
        <v/>
      </c>
      <c r="B3335" s="15" t="str">
        <f t="shared" si="309"/>
        <v/>
      </c>
      <c r="M3335" s="9"/>
      <c r="N3335" s="9"/>
      <c r="P3335" s="14"/>
      <c r="Q3335" s="85"/>
      <c r="R3335" s="89"/>
      <c r="U3335" s="11" t="str">
        <f t="shared" si="307"/>
        <v/>
      </c>
      <c r="V3335" s="12" t="str">
        <f t="shared" si="308"/>
        <v/>
      </c>
      <c r="Z3335" s="15"/>
    </row>
    <row r="3336" spans="1:26" x14ac:dyDescent="0.25">
      <c r="A3336" s="15" t="str">
        <f>IF(C3336="","",COUNTA($C$3:C3336))</f>
        <v/>
      </c>
      <c r="B3336" s="15" t="str">
        <f t="shared" si="309"/>
        <v/>
      </c>
      <c r="M3336" s="9"/>
      <c r="N3336" s="9"/>
      <c r="P3336" s="14"/>
      <c r="Q3336" s="85"/>
      <c r="R3336" s="89"/>
      <c r="U3336" s="11" t="str">
        <f t="shared" si="307"/>
        <v/>
      </c>
      <c r="V3336" s="12" t="str">
        <f t="shared" si="308"/>
        <v/>
      </c>
      <c r="Z3336" s="15"/>
    </row>
    <row r="3337" spans="1:26" x14ac:dyDescent="0.25">
      <c r="A3337" s="15" t="str">
        <f>IF(C3337="","",COUNTA($C$3:C3337))</f>
        <v/>
      </c>
      <c r="B3337" s="15" t="str">
        <f t="shared" si="309"/>
        <v/>
      </c>
      <c r="M3337" s="9"/>
      <c r="N3337" s="9"/>
      <c r="P3337" s="14"/>
      <c r="Q3337" s="85"/>
      <c r="R3337" s="89"/>
      <c r="U3337" s="11" t="str">
        <f t="shared" si="307"/>
        <v/>
      </c>
      <c r="V3337" s="12" t="str">
        <f t="shared" si="308"/>
        <v/>
      </c>
      <c r="Z3337" s="15"/>
    </row>
    <row r="3338" spans="1:26" x14ac:dyDescent="0.25">
      <c r="A3338" s="15" t="str">
        <f>IF(C3338="","",COUNTA($C$3:C3338))</f>
        <v/>
      </c>
      <c r="B3338" s="15" t="str">
        <f t="shared" si="309"/>
        <v/>
      </c>
      <c r="M3338" s="9"/>
      <c r="N3338" s="9"/>
      <c r="P3338" s="14"/>
      <c r="Q3338" s="85"/>
      <c r="R3338" s="89"/>
      <c r="U3338" s="11" t="str">
        <f t="shared" si="307"/>
        <v/>
      </c>
      <c r="V3338" s="12" t="str">
        <f t="shared" si="308"/>
        <v/>
      </c>
      <c r="Z3338" s="15"/>
    </row>
    <row r="3339" spans="1:26" x14ac:dyDescent="0.25">
      <c r="A3339" s="15" t="str">
        <f>IF(C3339="","",COUNTA($C$3:C3339))</f>
        <v/>
      </c>
      <c r="B3339" s="15" t="str">
        <f t="shared" si="309"/>
        <v/>
      </c>
      <c r="M3339" s="9"/>
      <c r="N3339" s="9"/>
      <c r="P3339" s="14"/>
      <c r="Q3339" s="85"/>
      <c r="R3339" s="89"/>
      <c r="U3339" s="11" t="str">
        <f t="shared" si="307"/>
        <v/>
      </c>
      <c r="V3339" s="12" t="str">
        <f t="shared" si="308"/>
        <v/>
      </c>
      <c r="Z3339" s="15"/>
    </row>
    <row r="3340" spans="1:26" x14ac:dyDescent="0.25">
      <c r="A3340" s="15" t="str">
        <f>IF(C3340="","",COUNTA($C$3:C3340))</f>
        <v/>
      </c>
      <c r="B3340" s="15" t="str">
        <f t="shared" si="309"/>
        <v/>
      </c>
      <c r="M3340" s="9"/>
      <c r="N3340" s="9"/>
      <c r="P3340" s="14"/>
      <c r="Q3340" s="85"/>
      <c r="R3340" s="89"/>
      <c r="U3340" s="11" t="str">
        <f t="shared" si="307"/>
        <v/>
      </c>
      <c r="V3340" s="12" t="str">
        <f t="shared" si="308"/>
        <v/>
      </c>
      <c r="Z3340" s="15"/>
    </row>
    <row r="3341" spans="1:26" x14ac:dyDescent="0.25">
      <c r="A3341" s="15" t="str">
        <f>IF(C3341="","",COUNTA($C$3:C3341))</f>
        <v/>
      </c>
      <c r="B3341" s="15" t="str">
        <f t="shared" si="309"/>
        <v/>
      </c>
      <c r="M3341" s="9"/>
      <c r="N3341" s="9"/>
      <c r="P3341" s="14"/>
      <c r="Q3341" s="85"/>
      <c r="R3341" s="89"/>
      <c r="U3341" s="11" t="str">
        <f t="shared" si="307"/>
        <v/>
      </c>
      <c r="V3341" s="12" t="str">
        <f t="shared" si="308"/>
        <v/>
      </c>
      <c r="Z3341" s="15"/>
    </row>
    <row r="3342" spans="1:26" x14ac:dyDescent="0.25">
      <c r="A3342" s="15" t="str">
        <f>IF(C3342="","",COUNTA($C$3:C3342))</f>
        <v/>
      </c>
      <c r="B3342" s="15" t="str">
        <f t="shared" si="309"/>
        <v/>
      </c>
      <c r="M3342" s="9"/>
      <c r="N3342" s="9"/>
      <c r="P3342" s="14"/>
      <c r="Q3342" s="85"/>
      <c r="R3342" s="89"/>
      <c r="U3342" s="11" t="str">
        <f t="shared" si="307"/>
        <v/>
      </c>
      <c r="V3342" s="12" t="str">
        <f t="shared" si="308"/>
        <v/>
      </c>
      <c r="Z3342" s="15"/>
    </row>
    <row r="3343" spans="1:26" x14ac:dyDescent="0.25">
      <c r="A3343" s="15" t="str">
        <f>IF(C3343="","",COUNTA($C$3:C3343))</f>
        <v/>
      </c>
      <c r="B3343" s="15" t="str">
        <f t="shared" si="309"/>
        <v/>
      </c>
      <c r="M3343" s="9"/>
      <c r="N3343" s="9"/>
      <c r="P3343" s="14"/>
      <c r="Q3343" s="85"/>
      <c r="R3343" s="89"/>
      <c r="U3343" s="11" t="str">
        <f t="shared" si="307"/>
        <v/>
      </c>
      <c r="V3343" s="12" t="str">
        <f t="shared" si="308"/>
        <v/>
      </c>
      <c r="Z3343" s="15"/>
    </row>
    <row r="3344" spans="1:26" x14ac:dyDescent="0.25">
      <c r="A3344" s="15" t="str">
        <f>IF(C3344="","",COUNTA($C$3:C3344))</f>
        <v/>
      </c>
      <c r="B3344" s="15" t="str">
        <f t="shared" si="309"/>
        <v/>
      </c>
      <c r="M3344" s="9"/>
      <c r="N3344" s="9"/>
      <c r="P3344" s="14"/>
      <c r="Q3344" s="85"/>
      <c r="R3344" s="89"/>
      <c r="U3344" s="11" t="str">
        <f t="shared" si="307"/>
        <v/>
      </c>
      <c r="V3344" s="12" t="str">
        <f t="shared" si="308"/>
        <v/>
      </c>
      <c r="Z3344" s="15"/>
    </row>
    <row r="3345" spans="1:26" x14ac:dyDescent="0.25">
      <c r="A3345" s="15" t="str">
        <f>IF(C3345="","",COUNTA($C$3:C3345))</f>
        <v/>
      </c>
      <c r="B3345" s="15" t="str">
        <f t="shared" si="309"/>
        <v/>
      </c>
      <c r="M3345" s="9"/>
      <c r="N3345" s="9"/>
      <c r="P3345" s="14"/>
      <c r="Q3345" s="85"/>
      <c r="R3345" s="89"/>
      <c r="U3345" s="11" t="str">
        <f t="shared" si="307"/>
        <v/>
      </c>
      <c r="V3345" s="12" t="str">
        <f t="shared" si="308"/>
        <v/>
      </c>
      <c r="Z3345" s="15"/>
    </row>
    <row r="3346" spans="1:26" x14ac:dyDescent="0.25">
      <c r="A3346" s="15" t="str">
        <f>IF(C3346="","",COUNTA($C$3:C3346))</f>
        <v/>
      </c>
      <c r="B3346" s="15" t="str">
        <f t="shared" si="309"/>
        <v/>
      </c>
      <c r="M3346" s="9"/>
      <c r="N3346" s="9"/>
      <c r="P3346" s="14"/>
      <c r="Q3346" s="85"/>
      <c r="R3346" s="89"/>
      <c r="U3346" s="11" t="str">
        <f t="shared" si="307"/>
        <v/>
      </c>
      <c r="V3346" s="12" t="str">
        <f t="shared" si="308"/>
        <v/>
      </c>
      <c r="Z3346" s="15"/>
    </row>
    <row r="3347" spans="1:26" x14ac:dyDescent="0.25">
      <c r="A3347" s="15" t="str">
        <f>IF(C3347="","",COUNTA($C$3:C3347))</f>
        <v/>
      </c>
      <c r="B3347" s="15" t="str">
        <f t="shared" si="309"/>
        <v/>
      </c>
      <c r="M3347" s="9"/>
      <c r="N3347" s="9"/>
      <c r="P3347" s="14"/>
      <c r="Q3347" s="85"/>
      <c r="R3347" s="89"/>
      <c r="U3347" s="11" t="str">
        <f t="shared" si="307"/>
        <v/>
      </c>
      <c r="V3347" s="12" t="str">
        <f t="shared" si="308"/>
        <v/>
      </c>
      <c r="Z3347" s="15"/>
    </row>
    <row r="3348" spans="1:26" x14ac:dyDescent="0.25">
      <c r="A3348" s="15" t="str">
        <f>IF(C3348="","",COUNTA($C$3:C3348))</f>
        <v/>
      </c>
      <c r="B3348" s="15" t="str">
        <f t="shared" si="309"/>
        <v/>
      </c>
      <c r="M3348" s="9"/>
      <c r="N3348" s="9"/>
      <c r="P3348" s="14"/>
      <c r="Q3348" s="85"/>
      <c r="R3348" s="89"/>
      <c r="U3348" s="11" t="str">
        <f t="shared" si="307"/>
        <v/>
      </c>
      <c r="V3348" s="12" t="str">
        <f t="shared" si="308"/>
        <v/>
      </c>
      <c r="Z3348" s="15"/>
    </row>
    <row r="3349" spans="1:26" x14ac:dyDescent="0.25">
      <c r="A3349" s="15" t="str">
        <f>IF(C3349="","",COUNTA($C$3:C3349))</f>
        <v/>
      </c>
      <c r="B3349" s="15" t="str">
        <f t="shared" si="309"/>
        <v/>
      </c>
      <c r="M3349" s="9"/>
      <c r="N3349" s="9"/>
      <c r="P3349" s="14"/>
      <c r="Q3349" s="85"/>
      <c r="R3349" s="89"/>
      <c r="U3349" s="11" t="str">
        <f t="shared" si="307"/>
        <v/>
      </c>
      <c r="V3349" s="12" t="str">
        <f t="shared" si="308"/>
        <v/>
      </c>
      <c r="Z3349" s="15"/>
    </row>
    <row r="3350" spans="1:26" x14ac:dyDescent="0.25">
      <c r="A3350" s="15" t="str">
        <f>IF(C3350="","",COUNTA($C$3:C3350))</f>
        <v/>
      </c>
      <c r="B3350" s="15" t="str">
        <f t="shared" si="309"/>
        <v/>
      </c>
      <c r="M3350" s="9"/>
      <c r="N3350" s="9"/>
      <c r="P3350" s="14"/>
      <c r="Q3350" s="85"/>
      <c r="R3350" s="89"/>
      <c r="U3350" s="11" t="str">
        <f t="shared" si="307"/>
        <v/>
      </c>
      <c r="V3350" s="12" t="str">
        <f t="shared" si="308"/>
        <v/>
      </c>
      <c r="Z3350" s="15"/>
    </row>
    <row r="3351" spans="1:26" x14ac:dyDescent="0.25">
      <c r="A3351" s="15" t="str">
        <f>IF(C3351="","",COUNTA($C$3:C3351))</f>
        <v/>
      </c>
      <c r="B3351" s="15" t="str">
        <f t="shared" si="309"/>
        <v/>
      </c>
      <c r="M3351" s="9"/>
      <c r="N3351" s="9"/>
      <c r="P3351" s="14"/>
      <c r="Q3351" s="85"/>
      <c r="R3351" s="89"/>
      <c r="U3351" s="11" t="str">
        <f t="shared" si="307"/>
        <v/>
      </c>
      <c r="V3351" s="12" t="str">
        <f t="shared" si="308"/>
        <v/>
      </c>
      <c r="Z3351" s="15"/>
    </row>
    <row r="3352" spans="1:26" x14ac:dyDescent="0.25">
      <c r="A3352" s="15" t="str">
        <f>IF(C3352="","",COUNTA($C$3:C3352))</f>
        <v/>
      </c>
      <c r="B3352" s="15" t="str">
        <f t="shared" si="309"/>
        <v/>
      </c>
      <c r="M3352" s="9"/>
      <c r="N3352" s="9"/>
      <c r="P3352" s="14"/>
      <c r="Q3352" s="85"/>
      <c r="R3352" s="89"/>
      <c r="U3352" s="11" t="str">
        <f t="shared" si="307"/>
        <v/>
      </c>
      <c r="V3352" s="12" t="str">
        <f t="shared" si="308"/>
        <v/>
      </c>
      <c r="Z3352" s="15"/>
    </row>
    <row r="3353" spans="1:26" x14ac:dyDescent="0.25">
      <c r="A3353" s="15" t="str">
        <f>IF(C3353="","",COUNTA($C$3:C3353))</f>
        <v/>
      </c>
      <c r="B3353" s="15" t="str">
        <f t="shared" si="309"/>
        <v/>
      </c>
      <c r="M3353" s="9"/>
      <c r="N3353" s="9"/>
      <c r="P3353" s="14"/>
      <c r="Q3353" s="85"/>
      <c r="R3353" s="89"/>
      <c r="U3353" s="11" t="str">
        <f t="shared" si="307"/>
        <v/>
      </c>
      <c r="V3353" s="12" t="str">
        <f t="shared" si="308"/>
        <v/>
      </c>
      <c r="Z3353" s="15"/>
    </row>
    <row r="3354" spans="1:26" x14ac:dyDescent="0.25">
      <c r="A3354" s="15" t="str">
        <f>IF(C3354="","",COUNTA($C$3:C3354))</f>
        <v/>
      </c>
      <c r="B3354" s="15" t="str">
        <f t="shared" si="309"/>
        <v/>
      </c>
      <c r="M3354" s="9"/>
      <c r="N3354" s="9"/>
      <c r="P3354" s="14"/>
      <c r="Q3354" s="85"/>
      <c r="R3354" s="89"/>
      <c r="U3354" s="11" t="str">
        <f t="shared" si="307"/>
        <v/>
      </c>
      <c r="V3354" s="12" t="str">
        <f t="shared" si="308"/>
        <v/>
      </c>
      <c r="Z3354" s="15"/>
    </row>
    <row r="3355" spans="1:26" x14ac:dyDescent="0.25">
      <c r="A3355" s="15" t="str">
        <f>IF(C3355="","",COUNTA($C$3:C3355))</f>
        <v/>
      </c>
      <c r="B3355" s="15" t="str">
        <f t="shared" si="309"/>
        <v/>
      </c>
      <c r="M3355" s="9"/>
      <c r="N3355" s="9"/>
      <c r="P3355" s="14"/>
      <c r="Q3355" s="85"/>
      <c r="R3355" s="89"/>
      <c r="U3355" s="11" t="str">
        <f t="shared" si="307"/>
        <v/>
      </c>
      <c r="V3355" s="12" t="str">
        <f t="shared" si="308"/>
        <v/>
      </c>
      <c r="Z3355" s="15"/>
    </row>
    <row r="3356" spans="1:26" x14ac:dyDescent="0.25">
      <c r="A3356" s="15" t="str">
        <f>IF(C3356="","",COUNTA($C$3:C3356))</f>
        <v/>
      </c>
      <c r="B3356" s="15" t="str">
        <f t="shared" si="309"/>
        <v/>
      </c>
      <c r="M3356" s="9"/>
      <c r="N3356" s="9"/>
      <c r="P3356" s="14"/>
      <c r="Q3356" s="85"/>
      <c r="R3356" s="89"/>
      <c r="U3356" s="11" t="str">
        <f t="shared" si="307"/>
        <v/>
      </c>
      <c r="V3356" s="12" t="str">
        <f t="shared" si="308"/>
        <v/>
      </c>
      <c r="Z3356" s="15"/>
    </row>
    <row r="3357" spans="1:26" x14ac:dyDescent="0.25">
      <c r="A3357" s="15" t="str">
        <f>IF(C3357="","",COUNTA($C$3:C3357))</f>
        <v/>
      </c>
      <c r="B3357" s="15" t="str">
        <f t="shared" si="309"/>
        <v/>
      </c>
      <c r="M3357" s="9"/>
      <c r="N3357" s="9"/>
      <c r="P3357" s="14"/>
      <c r="Q3357" s="85"/>
      <c r="R3357" s="89"/>
      <c r="U3357" s="11" t="str">
        <f t="shared" si="307"/>
        <v/>
      </c>
      <c r="V3357" s="12" t="str">
        <f t="shared" si="308"/>
        <v/>
      </c>
      <c r="Z3357" s="15"/>
    </row>
    <row r="3358" spans="1:26" x14ac:dyDescent="0.25">
      <c r="A3358" s="15" t="str">
        <f>IF(C3358="","",COUNTA($C$3:C3358))</f>
        <v/>
      </c>
      <c r="B3358" s="15" t="str">
        <f t="shared" si="309"/>
        <v/>
      </c>
      <c r="M3358" s="9"/>
      <c r="N3358" s="9"/>
      <c r="P3358" s="14"/>
      <c r="Q3358" s="85"/>
      <c r="R3358" s="89"/>
      <c r="U3358" s="11" t="str">
        <f t="shared" si="307"/>
        <v/>
      </c>
      <c r="V3358" s="12" t="str">
        <f t="shared" si="308"/>
        <v/>
      </c>
      <c r="Z3358" s="15"/>
    </row>
    <row r="3359" spans="1:26" x14ac:dyDescent="0.25">
      <c r="A3359" s="15" t="str">
        <f>IF(C3359="","",COUNTA($C$3:C3359))</f>
        <v/>
      </c>
      <c r="B3359" s="15" t="str">
        <f t="shared" si="309"/>
        <v/>
      </c>
      <c r="M3359" s="9"/>
      <c r="N3359" s="9"/>
      <c r="P3359" s="14"/>
      <c r="Q3359" s="85"/>
      <c r="R3359" s="89"/>
      <c r="U3359" s="11" t="str">
        <f t="shared" si="307"/>
        <v/>
      </c>
      <c r="V3359" s="12" t="str">
        <f t="shared" si="308"/>
        <v/>
      </c>
      <c r="Z3359" s="15"/>
    </row>
    <row r="3360" spans="1:26" x14ac:dyDescent="0.25">
      <c r="A3360" s="15" t="str">
        <f>IF(C3360="","",COUNTA($C$3:C3360))</f>
        <v/>
      </c>
      <c r="B3360" s="15" t="str">
        <f t="shared" si="309"/>
        <v/>
      </c>
      <c r="M3360" s="9"/>
      <c r="N3360" s="9"/>
      <c r="P3360" s="14"/>
      <c r="Q3360" s="85"/>
      <c r="R3360" s="89"/>
      <c r="U3360" s="11" t="str">
        <f t="shared" si="307"/>
        <v/>
      </c>
      <c r="V3360" s="12" t="str">
        <f t="shared" si="308"/>
        <v/>
      </c>
      <c r="Z3360" s="15"/>
    </row>
    <row r="3361" spans="1:26" x14ac:dyDescent="0.25">
      <c r="A3361" s="15" t="str">
        <f>IF(C3361="","",COUNTA($C$3:C3361))</f>
        <v/>
      </c>
      <c r="B3361" s="15" t="str">
        <f t="shared" si="309"/>
        <v/>
      </c>
      <c r="M3361" s="9"/>
      <c r="N3361" s="9"/>
      <c r="P3361" s="14"/>
      <c r="Q3361" s="85"/>
      <c r="R3361" s="89"/>
      <c r="U3361" s="11" t="str">
        <f t="shared" si="307"/>
        <v/>
      </c>
      <c r="V3361" s="12" t="str">
        <f t="shared" si="308"/>
        <v/>
      </c>
      <c r="Z3361" s="15"/>
    </row>
    <row r="3362" spans="1:26" x14ac:dyDescent="0.25">
      <c r="A3362" s="15" t="str">
        <f>IF(C3362="","",COUNTA($C$3:C3362))</f>
        <v/>
      </c>
      <c r="B3362" s="15" t="str">
        <f t="shared" si="309"/>
        <v/>
      </c>
      <c r="M3362" s="9"/>
      <c r="N3362" s="9"/>
      <c r="P3362" s="14"/>
      <c r="Q3362" s="85"/>
      <c r="R3362" s="89"/>
      <c r="U3362" s="11" t="str">
        <f t="shared" si="307"/>
        <v/>
      </c>
      <c r="V3362" s="12" t="str">
        <f t="shared" si="308"/>
        <v/>
      </c>
      <c r="Z3362" s="15"/>
    </row>
    <row r="3363" spans="1:26" x14ac:dyDescent="0.25">
      <c r="A3363" s="15" t="str">
        <f>IF(C3363="","",COUNTA($C$3:C3363))</f>
        <v/>
      </c>
      <c r="B3363" s="15" t="str">
        <f t="shared" si="309"/>
        <v/>
      </c>
      <c r="M3363" s="9"/>
      <c r="N3363" s="9"/>
      <c r="P3363" s="14"/>
      <c r="Q3363" s="85"/>
      <c r="R3363" s="89"/>
      <c r="U3363" s="11" t="str">
        <f t="shared" si="307"/>
        <v/>
      </c>
      <c r="V3363" s="12" t="str">
        <f t="shared" si="308"/>
        <v/>
      </c>
      <c r="Z3363" s="15"/>
    </row>
    <row r="3364" spans="1:26" x14ac:dyDescent="0.25">
      <c r="A3364" s="15" t="str">
        <f>IF(C3364="","",COUNTA($C$3:C3364))</f>
        <v/>
      </c>
      <c r="B3364" s="15" t="str">
        <f t="shared" si="309"/>
        <v/>
      </c>
      <c r="M3364" s="9"/>
      <c r="N3364" s="9"/>
      <c r="P3364" s="14"/>
      <c r="Q3364" s="85"/>
      <c r="R3364" s="89"/>
      <c r="U3364" s="11" t="str">
        <f t="shared" si="307"/>
        <v/>
      </c>
      <c r="V3364" s="12" t="str">
        <f t="shared" si="308"/>
        <v/>
      </c>
      <c r="Z3364" s="15"/>
    </row>
    <row r="3365" spans="1:26" x14ac:dyDescent="0.25">
      <c r="A3365" s="15" t="str">
        <f>IF(C3365="","",COUNTA($C$3:C3365))</f>
        <v/>
      </c>
      <c r="B3365" s="15" t="str">
        <f t="shared" si="309"/>
        <v/>
      </c>
      <c r="M3365" s="9"/>
      <c r="N3365" s="9"/>
      <c r="P3365" s="14"/>
      <c r="Q3365" s="85"/>
      <c r="R3365" s="89"/>
      <c r="U3365" s="11" t="str">
        <f t="shared" si="307"/>
        <v/>
      </c>
      <c r="V3365" s="12" t="str">
        <f t="shared" si="308"/>
        <v/>
      </c>
      <c r="Z3365" s="15"/>
    </row>
    <row r="3366" spans="1:26" x14ac:dyDescent="0.25">
      <c r="A3366" s="15" t="str">
        <f>IF(C3366="","",COUNTA($C$3:C3366))</f>
        <v/>
      </c>
      <c r="B3366" s="15" t="str">
        <f t="shared" si="309"/>
        <v/>
      </c>
      <c r="M3366" s="9"/>
      <c r="N3366" s="9"/>
      <c r="P3366" s="14"/>
      <c r="Q3366" s="85"/>
      <c r="R3366" s="89"/>
      <c r="U3366" s="11" t="str">
        <f t="shared" si="307"/>
        <v/>
      </c>
      <c r="V3366" s="12" t="str">
        <f t="shared" si="308"/>
        <v/>
      </c>
      <c r="Z3366" s="15"/>
    </row>
    <row r="3367" spans="1:26" x14ac:dyDescent="0.25">
      <c r="A3367" s="15" t="str">
        <f>IF(C3367="","",COUNTA($C$3:C3367))</f>
        <v/>
      </c>
      <c r="B3367" s="15" t="str">
        <f t="shared" si="309"/>
        <v/>
      </c>
      <c r="M3367" s="9"/>
      <c r="N3367" s="9"/>
      <c r="P3367" s="14"/>
      <c r="Q3367" s="85"/>
      <c r="R3367" s="89"/>
      <c r="U3367" s="11" t="str">
        <f t="shared" si="307"/>
        <v/>
      </c>
      <c r="V3367" s="12" t="str">
        <f t="shared" si="308"/>
        <v/>
      </c>
      <c r="Z3367" s="15"/>
    </row>
    <row r="3368" spans="1:26" x14ac:dyDescent="0.25">
      <c r="A3368" s="15" t="str">
        <f>IF(C3368="","",COUNTA($C$3:C3368))</f>
        <v/>
      </c>
      <c r="B3368" s="15" t="str">
        <f t="shared" si="309"/>
        <v/>
      </c>
      <c r="M3368" s="9"/>
      <c r="N3368" s="9"/>
      <c r="P3368" s="14"/>
      <c r="Q3368" s="85"/>
      <c r="R3368" s="89"/>
      <c r="U3368" s="11" t="str">
        <f t="shared" si="307"/>
        <v/>
      </c>
      <c r="V3368" s="12" t="str">
        <f t="shared" si="308"/>
        <v/>
      </c>
      <c r="Z3368" s="15"/>
    </row>
    <row r="3369" spans="1:26" x14ac:dyDescent="0.25">
      <c r="A3369" s="15" t="str">
        <f>IF(C3369="","",COUNTA($C$3:C3369))</f>
        <v/>
      </c>
      <c r="B3369" s="15" t="str">
        <f t="shared" si="309"/>
        <v/>
      </c>
      <c r="M3369" s="9"/>
      <c r="N3369" s="9"/>
      <c r="P3369" s="14"/>
      <c r="Q3369" s="85"/>
      <c r="R3369" s="89"/>
      <c r="U3369" s="11" t="str">
        <f t="shared" si="307"/>
        <v/>
      </c>
      <c r="V3369" s="12" t="str">
        <f t="shared" si="308"/>
        <v/>
      </c>
      <c r="Z3369" s="15"/>
    </row>
    <row r="3370" spans="1:26" x14ac:dyDescent="0.25">
      <c r="A3370" s="15" t="str">
        <f>IF(C3370="","",COUNTA($C$3:C3370))</f>
        <v/>
      </c>
      <c r="B3370" s="15" t="str">
        <f t="shared" si="309"/>
        <v/>
      </c>
      <c r="M3370" s="9"/>
      <c r="N3370" s="9"/>
      <c r="P3370" s="14"/>
      <c r="Q3370" s="85"/>
      <c r="R3370" s="89"/>
      <c r="U3370" s="11" t="str">
        <f t="shared" si="307"/>
        <v/>
      </c>
      <c r="V3370" s="12" t="str">
        <f t="shared" si="308"/>
        <v/>
      </c>
      <c r="Z3370" s="15"/>
    </row>
    <row r="3371" spans="1:26" x14ac:dyDescent="0.25">
      <c r="A3371" s="15" t="str">
        <f>IF(C3371="","",COUNTA($C$3:C3371))</f>
        <v/>
      </c>
      <c r="B3371" s="15" t="str">
        <f t="shared" si="309"/>
        <v/>
      </c>
      <c r="M3371" s="9"/>
      <c r="N3371" s="9"/>
      <c r="P3371" s="14"/>
      <c r="Q3371" s="85"/>
      <c r="R3371" s="89"/>
      <c r="U3371" s="11" t="str">
        <f t="shared" si="307"/>
        <v/>
      </c>
      <c r="V3371" s="12" t="str">
        <f t="shared" si="308"/>
        <v/>
      </c>
      <c r="Z3371" s="15"/>
    </row>
    <row r="3372" spans="1:26" x14ac:dyDescent="0.25">
      <c r="A3372" s="15" t="str">
        <f>IF(C3372="","",COUNTA($C$3:C3372))</f>
        <v/>
      </c>
      <c r="B3372" s="15" t="str">
        <f t="shared" si="309"/>
        <v/>
      </c>
      <c r="M3372" s="9"/>
      <c r="N3372" s="9"/>
      <c r="P3372" s="14"/>
      <c r="Q3372" s="85"/>
      <c r="R3372" s="89"/>
      <c r="U3372" s="11" t="str">
        <f t="shared" si="307"/>
        <v/>
      </c>
      <c r="V3372" s="12" t="str">
        <f t="shared" si="308"/>
        <v/>
      </c>
      <c r="Z3372" s="15"/>
    </row>
    <row r="3373" spans="1:26" x14ac:dyDescent="0.25">
      <c r="A3373" s="15" t="str">
        <f>IF(C3373="","",COUNTA($C$3:C3373))</f>
        <v/>
      </c>
      <c r="B3373" s="15" t="str">
        <f t="shared" si="309"/>
        <v/>
      </c>
      <c r="M3373" s="9"/>
      <c r="N3373" s="9"/>
      <c r="P3373" s="14"/>
      <c r="Q3373" s="85"/>
      <c r="R3373" s="89"/>
      <c r="U3373" s="11" t="str">
        <f t="shared" si="307"/>
        <v/>
      </c>
      <c r="V3373" s="12" t="str">
        <f t="shared" si="308"/>
        <v/>
      </c>
      <c r="Z3373" s="15"/>
    </row>
    <row r="3374" spans="1:26" x14ac:dyDescent="0.25">
      <c r="A3374" s="15" t="str">
        <f>IF(C3374="","",COUNTA($C$3:C3374))</f>
        <v/>
      </c>
      <c r="B3374" s="15" t="str">
        <f t="shared" si="309"/>
        <v/>
      </c>
      <c r="M3374" s="9"/>
      <c r="N3374" s="9"/>
      <c r="P3374" s="14"/>
      <c r="Q3374" s="85"/>
      <c r="R3374" s="89"/>
      <c r="U3374" s="11" t="str">
        <f t="shared" si="307"/>
        <v/>
      </c>
      <c r="V3374" s="12" t="str">
        <f t="shared" si="308"/>
        <v/>
      </c>
      <c r="Z3374" s="15"/>
    </row>
    <row r="3375" spans="1:26" x14ac:dyDescent="0.25">
      <c r="A3375" s="15" t="str">
        <f>IF(C3375="","",COUNTA($C$3:C3375))</f>
        <v/>
      </c>
      <c r="B3375" s="15" t="str">
        <f t="shared" si="309"/>
        <v/>
      </c>
      <c r="M3375" s="9"/>
      <c r="N3375" s="9"/>
      <c r="P3375" s="14"/>
      <c r="Q3375" s="85"/>
      <c r="R3375" s="89"/>
      <c r="U3375" s="11" t="str">
        <f t="shared" si="307"/>
        <v/>
      </c>
      <c r="V3375" s="12" t="str">
        <f t="shared" si="308"/>
        <v/>
      </c>
      <c r="Z3375" s="15"/>
    </row>
    <row r="3376" spans="1:26" x14ac:dyDescent="0.25">
      <c r="A3376" s="15" t="str">
        <f>IF(C3376="","",COUNTA($C$3:C3376))</f>
        <v/>
      </c>
      <c r="B3376" s="15" t="str">
        <f t="shared" si="309"/>
        <v/>
      </c>
      <c r="M3376" s="9"/>
      <c r="N3376" s="9"/>
      <c r="P3376" s="14"/>
      <c r="Q3376" s="85"/>
      <c r="R3376" s="89"/>
      <c r="U3376" s="11" t="str">
        <f t="shared" si="307"/>
        <v/>
      </c>
      <c r="V3376" s="12" t="str">
        <f t="shared" si="308"/>
        <v/>
      </c>
      <c r="Z3376" s="15"/>
    </row>
    <row r="3377" spans="1:26" x14ac:dyDescent="0.25">
      <c r="A3377" s="15" t="str">
        <f>IF(C3377="","",COUNTA($C$3:C3377))</f>
        <v/>
      </c>
      <c r="B3377" s="15" t="str">
        <f t="shared" si="309"/>
        <v/>
      </c>
      <c r="M3377" s="9"/>
      <c r="N3377" s="9"/>
      <c r="P3377" s="14"/>
      <c r="Q3377" s="85"/>
      <c r="R3377" s="89"/>
      <c r="U3377" s="11" t="str">
        <f t="shared" si="307"/>
        <v/>
      </c>
      <c r="V3377" s="12" t="str">
        <f t="shared" si="308"/>
        <v/>
      </c>
      <c r="Z3377" s="15"/>
    </row>
    <row r="3378" spans="1:26" x14ac:dyDescent="0.25">
      <c r="A3378" s="15" t="str">
        <f>IF(C3378="","",COUNTA($C$3:C3378))</f>
        <v/>
      </c>
      <c r="B3378" s="15" t="str">
        <f t="shared" si="309"/>
        <v/>
      </c>
      <c r="M3378" s="9"/>
      <c r="N3378" s="9"/>
      <c r="P3378" s="14"/>
      <c r="Q3378" s="85"/>
      <c r="R3378" s="89"/>
      <c r="U3378" s="11" t="str">
        <f t="shared" si="307"/>
        <v/>
      </c>
      <c r="V3378" s="12" t="str">
        <f t="shared" si="308"/>
        <v/>
      </c>
      <c r="Z3378" s="15"/>
    </row>
    <row r="3379" spans="1:26" x14ac:dyDescent="0.25">
      <c r="A3379" s="15" t="str">
        <f>IF(C3379="","",COUNTA($C$3:C3379))</f>
        <v/>
      </c>
      <c r="B3379" s="15" t="str">
        <f t="shared" si="309"/>
        <v/>
      </c>
      <c r="M3379" s="9"/>
      <c r="N3379" s="9"/>
      <c r="P3379" s="14"/>
      <c r="Q3379" s="85"/>
      <c r="R3379" s="89"/>
      <c r="U3379" s="11" t="str">
        <f t="shared" si="307"/>
        <v/>
      </c>
      <c r="V3379" s="12" t="str">
        <f t="shared" si="308"/>
        <v/>
      </c>
      <c r="Z3379" s="15"/>
    </row>
    <row r="3380" spans="1:26" x14ac:dyDescent="0.25">
      <c r="A3380" s="15" t="str">
        <f>IF(C3380="","",COUNTA($C$3:C3380))</f>
        <v/>
      </c>
      <c r="B3380" s="15" t="str">
        <f t="shared" si="309"/>
        <v/>
      </c>
      <c r="M3380" s="9"/>
      <c r="N3380" s="9"/>
      <c r="P3380" s="14"/>
      <c r="Q3380" s="85"/>
      <c r="R3380" s="89"/>
      <c r="U3380" s="11" t="str">
        <f t="shared" si="307"/>
        <v/>
      </c>
      <c r="V3380" s="12" t="str">
        <f t="shared" si="308"/>
        <v/>
      </c>
      <c r="Z3380" s="15"/>
    </row>
    <row r="3381" spans="1:26" x14ac:dyDescent="0.25">
      <c r="A3381" s="15" t="str">
        <f>IF(C3381="","",COUNTA($C$3:C3381))</f>
        <v/>
      </c>
      <c r="B3381" s="15" t="str">
        <f t="shared" si="309"/>
        <v/>
      </c>
      <c r="M3381" s="9"/>
      <c r="N3381" s="9"/>
      <c r="P3381" s="14"/>
      <c r="Q3381" s="85"/>
      <c r="R3381" s="89"/>
      <c r="U3381" s="11" t="str">
        <f t="shared" si="307"/>
        <v/>
      </c>
      <c r="V3381" s="12" t="str">
        <f t="shared" si="308"/>
        <v/>
      </c>
      <c r="Z3381" s="15"/>
    </row>
    <row r="3382" spans="1:26" x14ac:dyDescent="0.25">
      <c r="A3382" s="15" t="str">
        <f>IF(C3382="","",COUNTA($C$3:C3382))</f>
        <v/>
      </c>
      <c r="B3382" s="15" t="str">
        <f t="shared" si="309"/>
        <v/>
      </c>
      <c r="M3382" s="9"/>
      <c r="N3382" s="9"/>
      <c r="P3382" s="14"/>
      <c r="Q3382" s="85"/>
      <c r="R3382" s="89"/>
      <c r="U3382" s="11" t="str">
        <f t="shared" si="307"/>
        <v/>
      </c>
      <c r="V3382" s="12" t="str">
        <f t="shared" si="308"/>
        <v/>
      </c>
      <c r="Z3382" s="15"/>
    </row>
    <row r="3383" spans="1:26" x14ac:dyDescent="0.25">
      <c r="A3383" s="15" t="str">
        <f>IF(C3383="","",COUNTA($C$3:C3383))</f>
        <v/>
      </c>
      <c r="B3383" s="15" t="str">
        <f t="shared" si="309"/>
        <v/>
      </c>
      <c r="M3383" s="9"/>
      <c r="N3383" s="9"/>
      <c r="P3383" s="14"/>
      <c r="Q3383" s="85"/>
      <c r="R3383" s="89"/>
      <c r="U3383" s="11" t="str">
        <f t="shared" si="307"/>
        <v/>
      </c>
      <c r="V3383" s="12" t="str">
        <f t="shared" si="308"/>
        <v/>
      </c>
      <c r="Z3383" s="15"/>
    </row>
    <row r="3384" spans="1:26" x14ac:dyDescent="0.25">
      <c r="A3384" s="15" t="str">
        <f>IF(C3384="","",COUNTA($C$3:C3384))</f>
        <v/>
      </c>
      <c r="B3384" s="15" t="str">
        <f t="shared" si="309"/>
        <v/>
      </c>
      <c r="M3384" s="9"/>
      <c r="N3384" s="9"/>
      <c r="P3384" s="14"/>
      <c r="Q3384" s="85"/>
      <c r="R3384" s="89"/>
      <c r="U3384" s="11" t="str">
        <f t="shared" si="307"/>
        <v/>
      </c>
      <c r="V3384" s="12" t="str">
        <f t="shared" si="308"/>
        <v/>
      </c>
      <c r="Z3384" s="15"/>
    </row>
    <row r="3385" spans="1:26" x14ac:dyDescent="0.25">
      <c r="A3385" s="15" t="str">
        <f>IF(C3385="","",COUNTA($C$3:C3385))</f>
        <v/>
      </c>
      <c r="B3385" s="15" t="str">
        <f t="shared" si="309"/>
        <v/>
      </c>
      <c r="M3385" s="9"/>
      <c r="N3385" s="9"/>
      <c r="P3385" s="14"/>
      <c r="Q3385" s="85"/>
      <c r="R3385" s="89"/>
      <c r="U3385" s="11" t="str">
        <f t="shared" si="307"/>
        <v/>
      </c>
      <c r="V3385" s="12" t="str">
        <f t="shared" si="308"/>
        <v/>
      </c>
      <c r="Z3385" s="15"/>
    </row>
    <row r="3386" spans="1:26" x14ac:dyDescent="0.25">
      <c r="A3386" s="15" t="str">
        <f>IF(C3386="","",COUNTA($C$3:C3386))</f>
        <v/>
      </c>
      <c r="B3386" s="15" t="str">
        <f t="shared" si="309"/>
        <v/>
      </c>
      <c r="M3386" s="9"/>
      <c r="N3386" s="9"/>
      <c r="P3386" s="14"/>
      <c r="Q3386" s="85"/>
      <c r="R3386" s="89"/>
      <c r="U3386" s="11" t="str">
        <f t="shared" si="307"/>
        <v/>
      </c>
      <c r="V3386" s="12" t="str">
        <f t="shared" si="308"/>
        <v/>
      </c>
      <c r="Z3386" s="15"/>
    </row>
    <row r="3387" spans="1:26" x14ac:dyDescent="0.25">
      <c r="A3387" s="15" t="str">
        <f>IF(C3387="","",COUNTA($C$3:C3387))</f>
        <v/>
      </c>
      <c r="B3387" s="15" t="str">
        <f t="shared" si="309"/>
        <v/>
      </c>
      <c r="M3387" s="9"/>
      <c r="N3387" s="9"/>
      <c r="P3387" s="14"/>
      <c r="Q3387" s="85"/>
      <c r="R3387" s="89"/>
      <c r="U3387" s="11" t="str">
        <f t="shared" si="307"/>
        <v/>
      </c>
      <c r="V3387" s="12" t="str">
        <f t="shared" si="308"/>
        <v/>
      </c>
      <c r="Z3387" s="15"/>
    </row>
    <row r="3388" spans="1:26" x14ac:dyDescent="0.25">
      <c r="A3388" s="15" t="str">
        <f>IF(C3388="","",COUNTA($C$3:C3388))</f>
        <v/>
      </c>
      <c r="B3388" s="15" t="str">
        <f t="shared" si="309"/>
        <v/>
      </c>
      <c r="M3388" s="9"/>
      <c r="N3388" s="9"/>
      <c r="P3388" s="14"/>
      <c r="Q3388" s="85"/>
      <c r="R3388" s="89"/>
      <c r="U3388" s="11" t="str">
        <f t="shared" si="307"/>
        <v/>
      </c>
      <c r="V3388" s="12" t="str">
        <f t="shared" si="308"/>
        <v/>
      </c>
      <c r="Z3388" s="15"/>
    </row>
    <row r="3389" spans="1:26" x14ac:dyDescent="0.25">
      <c r="A3389" s="15" t="str">
        <f>IF(C3389="","",COUNTA($C$3:C3389))</f>
        <v/>
      </c>
      <c r="B3389" s="15" t="str">
        <f t="shared" si="309"/>
        <v/>
      </c>
      <c r="M3389" s="9"/>
      <c r="N3389" s="9"/>
      <c r="P3389" s="14"/>
      <c r="Q3389" s="85"/>
      <c r="R3389" s="89"/>
      <c r="U3389" s="11" t="str">
        <f t="shared" si="307"/>
        <v/>
      </c>
      <c r="V3389" s="12" t="str">
        <f t="shared" si="308"/>
        <v/>
      </c>
      <c r="Z3389" s="15"/>
    </row>
    <row r="3390" spans="1:26" x14ac:dyDescent="0.25">
      <c r="A3390" s="15" t="str">
        <f>IF(C3390="","",COUNTA($C$3:C3390))</f>
        <v/>
      </c>
      <c r="B3390" s="15" t="str">
        <f t="shared" si="309"/>
        <v/>
      </c>
      <c r="M3390" s="9"/>
      <c r="N3390" s="9"/>
      <c r="P3390" s="14"/>
      <c r="Q3390" s="85"/>
      <c r="R3390" s="89"/>
      <c r="U3390" s="11" t="str">
        <f t="shared" si="307"/>
        <v/>
      </c>
      <c r="V3390" s="12" t="str">
        <f t="shared" si="308"/>
        <v/>
      </c>
      <c r="Z3390" s="15"/>
    </row>
    <row r="3391" spans="1:26" x14ac:dyDescent="0.25">
      <c r="A3391" s="15" t="str">
        <f>IF(C3391="","",COUNTA($C$3:C3391))</f>
        <v/>
      </c>
      <c r="B3391" s="15" t="str">
        <f t="shared" si="309"/>
        <v/>
      </c>
      <c r="M3391" s="9"/>
      <c r="N3391" s="9"/>
      <c r="P3391" s="14"/>
      <c r="Q3391" s="85"/>
      <c r="R3391" s="89"/>
      <c r="U3391" s="11" t="str">
        <f t="shared" si="307"/>
        <v/>
      </c>
      <c r="V3391" s="12" t="str">
        <f t="shared" si="308"/>
        <v/>
      </c>
      <c r="Z3391" s="15"/>
    </row>
    <row r="3392" spans="1:26" x14ac:dyDescent="0.25">
      <c r="A3392" s="15" t="str">
        <f>IF(C3392="","",COUNTA($C$3:C3392))</f>
        <v/>
      </c>
      <c r="B3392" s="15" t="str">
        <f t="shared" si="309"/>
        <v/>
      </c>
      <c r="M3392" s="9"/>
      <c r="N3392" s="9"/>
      <c r="P3392" s="14"/>
      <c r="Q3392" s="85"/>
      <c r="R3392" s="89"/>
      <c r="U3392" s="11" t="str">
        <f t="shared" si="307"/>
        <v/>
      </c>
      <c r="V3392" s="12" t="str">
        <f t="shared" si="308"/>
        <v/>
      </c>
      <c r="Z3392" s="15"/>
    </row>
    <row r="3393" spans="1:26" x14ac:dyDescent="0.25">
      <c r="A3393" s="15" t="str">
        <f>IF(C3393="","",COUNTA($C$3:C3393))</f>
        <v/>
      </c>
      <c r="B3393" s="15" t="str">
        <f t="shared" si="309"/>
        <v/>
      </c>
      <c r="M3393" s="9"/>
      <c r="N3393" s="9"/>
      <c r="P3393" s="14"/>
      <c r="Q3393" s="85"/>
      <c r="R3393" s="89"/>
      <c r="U3393" s="11" t="str">
        <f t="shared" si="307"/>
        <v/>
      </c>
      <c r="V3393" s="12" t="str">
        <f t="shared" si="308"/>
        <v/>
      </c>
      <c r="Z3393" s="15"/>
    </row>
    <row r="3394" spans="1:26" x14ac:dyDescent="0.25">
      <c r="A3394" s="15" t="str">
        <f>IF(C3394="","",COUNTA($C$3:C3394))</f>
        <v/>
      </c>
      <c r="B3394" s="15" t="str">
        <f t="shared" si="309"/>
        <v/>
      </c>
      <c r="M3394" s="9"/>
      <c r="N3394" s="9"/>
      <c r="P3394" s="14"/>
      <c r="Q3394" s="85"/>
      <c r="R3394" s="89"/>
      <c r="U3394" s="11" t="str">
        <f t="shared" ref="U3394:U3457" si="310">IF(S3394="","",(S3394-T3394))</f>
        <v/>
      </c>
      <c r="V3394" s="12" t="str">
        <f t="shared" ref="V3394:V3457" si="311">IF(U3394="","",(U3394/T3394))</f>
        <v/>
      </c>
      <c r="Z3394" s="15"/>
    </row>
    <row r="3395" spans="1:26" x14ac:dyDescent="0.25">
      <c r="A3395" s="15" t="str">
        <f>IF(C3395="","",COUNTA($C$3:C3395))</f>
        <v/>
      </c>
      <c r="B3395" s="15" t="str">
        <f t="shared" ref="B3395:B3458" si="312">IF(C3395="","",TEXT(C3395,"mmmm"))</f>
        <v/>
      </c>
      <c r="M3395" s="9"/>
      <c r="N3395" s="9"/>
      <c r="P3395" s="14"/>
      <c r="Q3395" s="85"/>
      <c r="R3395" s="89"/>
      <c r="U3395" s="11" t="str">
        <f t="shared" si="310"/>
        <v/>
      </c>
      <c r="V3395" s="12" t="str">
        <f t="shared" si="311"/>
        <v/>
      </c>
      <c r="Z3395" s="15"/>
    </row>
    <row r="3396" spans="1:26" x14ac:dyDescent="0.25">
      <c r="A3396" s="15" t="str">
        <f>IF(C3396="","",COUNTA($C$3:C3396))</f>
        <v/>
      </c>
      <c r="B3396" s="15" t="str">
        <f t="shared" si="312"/>
        <v/>
      </c>
      <c r="M3396" s="9"/>
      <c r="N3396" s="9"/>
      <c r="P3396" s="14"/>
      <c r="Q3396" s="85"/>
      <c r="R3396" s="89"/>
      <c r="U3396" s="11" t="str">
        <f t="shared" si="310"/>
        <v/>
      </c>
      <c r="V3396" s="12" t="str">
        <f t="shared" si="311"/>
        <v/>
      </c>
      <c r="Z3396" s="15"/>
    </row>
    <row r="3397" spans="1:26" x14ac:dyDescent="0.25">
      <c r="A3397" s="15" t="str">
        <f>IF(C3397="","",COUNTA($C$3:C3397))</f>
        <v/>
      </c>
      <c r="B3397" s="15" t="str">
        <f t="shared" si="312"/>
        <v/>
      </c>
      <c r="M3397" s="9"/>
      <c r="N3397" s="9"/>
      <c r="P3397" s="14"/>
      <c r="Q3397" s="85"/>
      <c r="R3397" s="89"/>
      <c r="U3397" s="11" t="str">
        <f t="shared" si="310"/>
        <v/>
      </c>
      <c r="V3397" s="12" t="str">
        <f t="shared" si="311"/>
        <v/>
      </c>
      <c r="Z3397" s="15"/>
    </row>
    <row r="3398" spans="1:26" x14ac:dyDescent="0.25">
      <c r="A3398" s="15" t="str">
        <f>IF(C3398="","",COUNTA($C$3:C3398))</f>
        <v/>
      </c>
      <c r="B3398" s="15" t="str">
        <f t="shared" si="312"/>
        <v/>
      </c>
      <c r="M3398" s="9"/>
      <c r="N3398" s="9"/>
      <c r="P3398" s="14"/>
      <c r="Q3398" s="85"/>
      <c r="R3398" s="89"/>
      <c r="U3398" s="11" t="str">
        <f t="shared" si="310"/>
        <v/>
      </c>
      <c r="V3398" s="12" t="str">
        <f t="shared" si="311"/>
        <v/>
      </c>
      <c r="Z3398" s="15"/>
    </row>
    <row r="3399" spans="1:26" x14ac:dyDescent="0.25">
      <c r="A3399" s="15" t="str">
        <f>IF(C3399="","",COUNTA($C$3:C3399))</f>
        <v/>
      </c>
      <c r="B3399" s="15" t="str">
        <f t="shared" si="312"/>
        <v/>
      </c>
      <c r="M3399" s="9"/>
      <c r="N3399" s="9"/>
      <c r="P3399" s="14"/>
      <c r="Q3399" s="85"/>
      <c r="R3399" s="89"/>
      <c r="U3399" s="11" t="str">
        <f t="shared" si="310"/>
        <v/>
      </c>
      <c r="V3399" s="12" t="str">
        <f t="shared" si="311"/>
        <v/>
      </c>
      <c r="Z3399" s="15"/>
    </row>
    <row r="3400" spans="1:26" x14ac:dyDescent="0.25">
      <c r="A3400" s="15" t="str">
        <f>IF(C3400="","",COUNTA($C$3:C3400))</f>
        <v/>
      </c>
      <c r="B3400" s="15" t="str">
        <f t="shared" si="312"/>
        <v/>
      </c>
      <c r="M3400" s="9"/>
      <c r="N3400" s="9"/>
      <c r="P3400" s="14"/>
      <c r="Q3400" s="85"/>
      <c r="R3400" s="89"/>
      <c r="U3400" s="11" t="str">
        <f t="shared" si="310"/>
        <v/>
      </c>
      <c r="V3400" s="12" t="str">
        <f t="shared" si="311"/>
        <v/>
      </c>
      <c r="Z3400" s="15"/>
    </row>
    <row r="3401" spans="1:26" x14ac:dyDescent="0.25">
      <c r="A3401" s="15" t="str">
        <f>IF(C3401="","",COUNTA($C$3:C3401))</f>
        <v/>
      </c>
      <c r="B3401" s="15" t="str">
        <f t="shared" si="312"/>
        <v/>
      </c>
      <c r="M3401" s="9"/>
      <c r="N3401" s="9"/>
      <c r="P3401" s="14"/>
      <c r="Q3401" s="85"/>
      <c r="R3401" s="89"/>
      <c r="U3401" s="11" t="str">
        <f t="shared" si="310"/>
        <v/>
      </c>
      <c r="V3401" s="12" t="str">
        <f t="shared" si="311"/>
        <v/>
      </c>
      <c r="Z3401" s="15"/>
    </row>
    <row r="3402" spans="1:26" x14ac:dyDescent="0.25">
      <c r="A3402" s="15" t="str">
        <f>IF(C3402="","",COUNTA($C$3:C3402))</f>
        <v/>
      </c>
      <c r="B3402" s="15" t="str">
        <f t="shared" si="312"/>
        <v/>
      </c>
      <c r="M3402" s="9"/>
      <c r="N3402" s="9"/>
      <c r="P3402" s="14"/>
      <c r="Q3402" s="85"/>
      <c r="R3402" s="89"/>
      <c r="U3402" s="11" t="str">
        <f t="shared" si="310"/>
        <v/>
      </c>
      <c r="V3402" s="12" t="str">
        <f t="shared" si="311"/>
        <v/>
      </c>
      <c r="Z3402" s="15"/>
    </row>
    <row r="3403" spans="1:26" x14ac:dyDescent="0.25">
      <c r="A3403" s="15" t="str">
        <f>IF(C3403="","",COUNTA($C$3:C3403))</f>
        <v/>
      </c>
      <c r="B3403" s="15" t="str">
        <f t="shared" si="312"/>
        <v/>
      </c>
      <c r="M3403" s="9"/>
      <c r="N3403" s="9"/>
      <c r="P3403" s="14"/>
      <c r="Q3403" s="85"/>
      <c r="R3403" s="89"/>
      <c r="U3403" s="11" t="str">
        <f t="shared" si="310"/>
        <v/>
      </c>
      <c r="V3403" s="12" t="str">
        <f t="shared" si="311"/>
        <v/>
      </c>
      <c r="Z3403" s="15"/>
    </row>
    <row r="3404" spans="1:26" x14ac:dyDescent="0.25">
      <c r="A3404" s="15" t="str">
        <f>IF(C3404="","",COUNTA($C$3:C3404))</f>
        <v/>
      </c>
      <c r="B3404" s="15" t="str">
        <f t="shared" si="312"/>
        <v/>
      </c>
      <c r="M3404" s="9"/>
      <c r="N3404" s="9"/>
      <c r="P3404" s="14"/>
      <c r="Q3404" s="85"/>
      <c r="R3404" s="89"/>
      <c r="U3404" s="11" t="str">
        <f t="shared" si="310"/>
        <v/>
      </c>
      <c r="V3404" s="12" t="str">
        <f t="shared" si="311"/>
        <v/>
      </c>
      <c r="Z3404" s="15"/>
    </row>
    <row r="3405" spans="1:26" x14ac:dyDescent="0.25">
      <c r="A3405" s="15" t="str">
        <f>IF(C3405="","",COUNTA($C$3:C3405))</f>
        <v/>
      </c>
      <c r="B3405" s="15" t="str">
        <f t="shared" si="312"/>
        <v/>
      </c>
      <c r="M3405" s="9"/>
      <c r="N3405" s="9"/>
      <c r="P3405" s="14"/>
      <c r="Q3405" s="85"/>
      <c r="R3405" s="89"/>
      <c r="U3405" s="11" t="str">
        <f t="shared" si="310"/>
        <v/>
      </c>
      <c r="V3405" s="12" t="str">
        <f t="shared" si="311"/>
        <v/>
      </c>
      <c r="Z3405" s="15"/>
    </row>
    <row r="3406" spans="1:26" x14ac:dyDescent="0.25">
      <c r="A3406" s="15" t="str">
        <f>IF(C3406="","",COUNTA($C$3:C3406))</f>
        <v/>
      </c>
      <c r="B3406" s="15" t="str">
        <f t="shared" si="312"/>
        <v/>
      </c>
      <c r="M3406" s="9"/>
      <c r="N3406" s="9"/>
      <c r="P3406" s="14"/>
      <c r="Q3406" s="85"/>
      <c r="R3406" s="89"/>
      <c r="U3406" s="11" t="str">
        <f t="shared" si="310"/>
        <v/>
      </c>
      <c r="V3406" s="12" t="str">
        <f t="shared" si="311"/>
        <v/>
      </c>
      <c r="Z3406" s="15"/>
    </row>
    <row r="3407" spans="1:26" x14ac:dyDescent="0.25">
      <c r="A3407" s="15" t="str">
        <f>IF(C3407="","",COUNTA($C$3:C3407))</f>
        <v/>
      </c>
      <c r="B3407" s="15" t="str">
        <f t="shared" si="312"/>
        <v/>
      </c>
      <c r="M3407" s="9"/>
      <c r="N3407" s="9"/>
      <c r="P3407" s="14"/>
      <c r="Q3407" s="85"/>
      <c r="R3407" s="89"/>
      <c r="U3407" s="11" t="str">
        <f t="shared" si="310"/>
        <v/>
      </c>
      <c r="V3407" s="12" t="str">
        <f t="shared" si="311"/>
        <v/>
      </c>
      <c r="Z3407" s="15"/>
    </row>
    <row r="3408" spans="1:26" x14ac:dyDescent="0.25">
      <c r="A3408" s="15" t="str">
        <f>IF(C3408="","",COUNTA($C$3:C3408))</f>
        <v/>
      </c>
      <c r="B3408" s="15" t="str">
        <f t="shared" si="312"/>
        <v/>
      </c>
      <c r="M3408" s="9"/>
      <c r="N3408" s="9"/>
      <c r="P3408" s="14"/>
      <c r="Q3408" s="85"/>
      <c r="R3408" s="89"/>
      <c r="U3408" s="11" t="str">
        <f t="shared" si="310"/>
        <v/>
      </c>
      <c r="V3408" s="12" t="str">
        <f t="shared" si="311"/>
        <v/>
      </c>
      <c r="Z3408" s="15"/>
    </row>
    <row r="3409" spans="1:26" x14ac:dyDescent="0.25">
      <c r="A3409" s="15" t="str">
        <f>IF(C3409="","",COUNTA($C$3:C3409))</f>
        <v/>
      </c>
      <c r="B3409" s="15" t="str">
        <f t="shared" si="312"/>
        <v/>
      </c>
      <c r="M3409" s="9"/>
      <c r="N3409" s="9"/>
      <c r="P3409" s="14"/>
      <c r="Q3409" s="85"/>
      <c r="R3409" s="89"/>
      <c r="U3409" s="11" t="str">
        <f t="shared" si="310"/>
        <v/>
      </c>
      <c r="V3409" s="12" t="str">
        <f t="shared" si="311"/>
        <v/>
      </c>
      <c r="Z3409" s="15"/>
    </row>
    <row r="3410" spans="1:26" x14ac:dyDescent="0.25">
      <c r="A3410" s="15" t="str">
        <f>IF(C3410="","",COUNTA($C$3:C3410))</f>
        <v/>
      </c>
      <c r="B3410" s="15" t="str">
        <f t="shared" si="312"/>
        <v/>
      </c>
      <c r="M3410" s="9"/>
      <c r="N3410" s="9"/>
      <c r="P3410" s="14"/>
      <c r="Q3410" s="85"/>
      <c r="R3410" s="89"/>
      <c r="U3410" s="11" t="str">
        <f t="shared" si="310"/>
        <v/>
      </c>
      <c r="V3410" s="12" t="str">
        <f t="shared" si="311"/>
        <v/>
      </c>
      <c r="Z3410" s="15"/>
    </row>
    <row r="3411" spans="1:26" x14ac:dyDescent="0.25">
      <c r="A3411" s="15" t="str">
        <f>IF(C3411="","",COUNTA($C$3:C3411))</f>
        <v/>
      </c>
      <c r="B3411" s="15" t="str">
        <f t="shared" si="312"/>
        <v/>
      </c>
      <c r="M3411" s="9"/>
      <c r="N3411" s="9"/>
      <c r="P3411" s="14"/>
      <c r="Q3411" s="85"/>
      <c r="R3411" s="89"/>
      <c r="U3411" s="11" t="str">
        <f t="shared" si="310"/>
        <v/>
      </c>
      <c r="V3411" s="12" t="str">
        <f t="shared" si="311"/>
        <v/>
      </c>
      <c r="Z3411" s="15"/>
    </row>
    <row r="3412" spans="1:26" x14ac:dyDescent="0.25">
      <c r="A3412" s="15" t="str">
        <f>IF(C3412="","",COUNTA($C$3:C3412))</f>
        <v/>
      </c>
      <c r="B3412" s="15" t="str">
        <f t="shared" si="312"/>
        <v/>
      </c>
      <c r="M3412" s="9"/>
      <c r="N3412" s="9"/>
      <c r="P3412" s="14"/>
      <c r="Q3412" s="85"/>
      <c r="R3412" s="89"/>
      <c r="U3412" s="11" t="str">
        <f t="shared" si="310"/>
        <v/>
      </c>
      <c r="V3412" s="12" t="str">
        <f t="shared" si="311"/>
        <v/>
      </c>
      <c r="Z3412" s="15"/>
    </row>
    <row r="3413" spans="1:26" x14ac:dyDescent="0.25">
      <c r="A3413" s="15" t="str">
        <f>IF(C3413="","",COUNTA($C$3:C3413))</f>
        <v/>
      </c>
      <c r="B3413" s="15" t="str">
        <f t="shared" si="312"/>
        <v/>
      </c>
      <c r="M3413" s="9"/>
      <c r="N3413" s="9"/>
      <c r="P3413" s="14"/>
      <c r="Q3413" s="85"/>
      <c r="R3413" s="89"/>
      <c r="U3413" s="11" t="str">
        <f t="shared" si="310"/>
        <v/>
      </c>
      <c r="V3413" s="12" t="str">
        <f t="shared" si="311"/>
        <v/>
      </c>
      <c r="Z3413" s="15"/>
    </row>
    <row r="3414" spans="1:26" x14ac:dyDescent="0.25">
      <c r="A3414" s="15" t="str">
        <f>IF(C3414="","",COUNTA($C$3:C3414))</f>
        <v/>
      </c>
      <c r="B3414" s="15" t="str">
        <f t="shared" si="312"/>
        <v/>
      </c>
      <c r="M3414" s="9"/>
      <c r="N3414" s="9"/>
      <c r="P3414" s="14"/>
      <c r="Q3414" s="85"/>
      <c r="R3414" s="89"/>
      <c r="U3414" s="11" t="str">
        <f t="shared" si="310"/>
        <v/>
      </c>
      <c r="V3414" s="12" t="str">
        <f t="shared" si="311"/>
        <v/>
      </c>
      <c r="Z3414" s="15"/>
    </row>
    <row r="3415" spans="1:26" x14ac:dyDescent="0.25">
      <c r="A3415" s="15" t="str">
        <f>IF(C3415="","",COUNTA($C$3:C3415))</f>
        <v/>
      </c>
      <c r="B3415" s="15" t="str">
        <f t="shared" si="312"/>
        <v/>
      </c>
      <c r="M3415" s="9"/>
      <c r="N3415" s="9"/>
      <c r="P3415" s="14"/>
      <c r="Q3415" s="85"/>
      <c r="R3415" s="89"/>
      <c r="U3415" s="11" t="str">
        <f t="shared" si="310"/>
        <v/>
      </c>
      <c r="V3415" s="12" t="str">
        <f t="shared" si="311"/>
        <v/>
      </c>
      <c r="Z3415" s="15"/>
    </row>
    <row r="3416" spans="1:26" x14ac:dyDescent="0.25">
      <c r="A3416" s="15" t="str">
        <f>IF(C3416="","",COUNTA($C$3:C3416))</f>
        <v/>
      </c>
      <c r="B3416" s="15" t="str">
        <f t="shared" si="312"/>
        <v/>
      </c>
      <c r="M3416" s="9"/>
      <c r="N3416" s="9"/>
      <c r="P3416" s="14"/>
      <c r="Q3416" s="85"/>
      <c r="R3416" s="89"/>
      <c r="U3416" s="11" t="str">
        <f t="shared" si="310"/>
        <v/>
      </c>
      <c r="V3416" s="12" t="str">
        <f t="shared" si="311"/>
        <v/>
      </c>
      <c r="Z3416" s="15"/>
    </row>
    <row r="3417" spans="1:26" x14ac:dyDescent="0.25">
      <c r="A3417" s="15" t="str">
        <f>IF(C3417="","",COUNTA($C$3:C3417))</f>
        <v/>
      </c>
      <c r="B3417" s="15" t="str">
        <f t="shared" si="312"/>
        <v/>
      </c>
      <c r="M3417" s="9"/>
      <c r="N3417" s="9"/>
      <c r="P3417" s="14"/>
      <c r="Q3417" s="85"/>
      <c r="R3417" s="89"/>
      <c r="U3417" s="11" t="str">
        <f t="shared" si="310"/>
        <v/>
      </c>
      <c r="V3417" s="12" t="str">
        <f t="shared" si="311"/>
        <v/>
      </c>
      <c r="Z3417" s="15"/>
    </row>
    <row r="3418" spans="1:26" x14ac:dyDescent="0.25">
      <c r="A3418" s="15" t="str">
        <f>IF(C3418="","",COUNTA($C$3:C3418))</f>
        <v/>
      </c>
      <c r="B3418" s="15" t="str">
        <f t="shared" si="312"/>
        <v/>
      </c>
      <c r="M3418" s="9"/>
      <c r="N3418" s="9"/>
      <c r="P3418" s="14"/>
      <c r="Q3418" s="85"/>
      <c r="R3418" s="89"/>
      <c r="U3418" s="11" t="str">
        <f t="shared" si="310"/>
        <v/>
      </c>
      <c r="V3418" s="12" t="str">
        <f t="shared" si="311"/>
        <v/>
      </c>
      <c r="Z3418" s="15"/>
    </row>
    <row r="3419" spans="1:26" x14ac:dyDescent="0.25">
      <c r="A3419" s="15" t="str">
        <f>IF(C3419="","",COUNTA($C$3:C3419))</f>
        <v/>
      </c>
      <c r="B3419" s="15" t="str">
        <f t="shared" si="312"/>
        <v/>
      </c>
      <c r="M3419" s="9"/>
      <c r="N3419" s="9"/>
      <c r="P3419" s="14"/>
      <c r="Q3419" s="85"/>
      <c r="R3419" s="89"/>
      <c r="U3419" s="11" t="str">
        <f t="shared" si="310"/>
        <v/>
      </c>
      <c r="V3419" s="12" t="str">
        <f t="shared" si="311"/>
        <v/>
      </c>
      <c r="Z3419" s="15"/>
    </row>
    <row r="3420" spans="1:26" x14ac:dyDescent="0.25">
      <c r="A3420" s="15" t="str">
        <f>IF(C3420="","",COUNTA($C$3:C3420))</f>
        <v/>
      </c>
      <c r="B3420" s="15" t="str">
        <f t="shared" si="312"/>
        <v/>
      </c>
      <c r="M3420" s="9"/>
      <c r="N3420" s="9"/>
      <c r="P3420" s="14"/>
      <c r="Q3420" s="85"/>
      <c r="R3420" s="89"/>
      <c r="U3420" s="11" t="str">
        <f t="shared" si="310"/>
        <v/>
      </c>
      <c r="V3420" s="12" t="str">
        <f t="shared" si="311"/>
        <v/>
      </c>
      <c r="Z3420" s="15"/>
    </row>
    <row r="3421" spans="1:26" x14ac:dyDescent="0.25">
      <c r="A3421" s="15" t="str">
        <f>IF(C3421="","",COUNTA($C$3:C3421))</f>
        <v/>
      </c>
      <c r="B3421" s="15" t="str">
        <f t="shared" si="312"/>
        <v/>
      </c>
      <c r="M3421" s="9"/>
      <c r="N3421" s="9"/>
      <c r="P3421" s="14"/>
      <c r="Q3421" s="85"/>
      <c r="R3421" s="89"/>
      <c r="U3421" s="11" t="str">
        <f t="shared" si="310"/>
        <v/>
      </c>
      <c r="V3421" s="12" t="str">
        <f t="shared" si="311"/>
        <v/>
      </c>
      <c r="Z3421" s="15"/>
    </row>
    <row r="3422" spans="1:26" x14ac:dyDescent="0.25">
      <c r="A3422" s="15" t="str">
        <f>IF(C3422="","",COUNTA($C$3:C3422))</f>
        <v/>
      </c>
      <c r="B3422" s="15" t="str">
        <f t="shared" si="312"/>
        <v/>
      </c>
      <c r="M3422" s="9"/>
      <c r="N3422" s="9"/>
      <c r="P3422" s="14"/>
      <c r="Q3422" s="85"/>
      <c r="R3422" s="89"/>
      <c r="U3422" s="11" t="str">
        <f t="shared" si="310"/>
        <v/>
      </c>
      <c r="V3422" s="12" t="str">
        <f t="shared" si="311"/>
        <v/>
      </c>
      <c r="Z3422" s="15"/>
    </row>
    <row r="3423" spans="1:26" x14ac:dyDescent="0.25">
      <c r="A3423" s="15" t="str">
        <f>IF(C3423="","",COUNTA($C$3:C3423))</f>
        <v/>
      </c>
      <c r="B3423" s="15" t="str">
        <f t="shared" si="312"/>
        <v/>
      </c>
      <c r="M3423" s="9"/>
      <c r="N3423" s="9"/>
      <c r="P3423" s="14"/>
      <c r="Q3423" s="85"/>
      <c r="R3423" s="89"/>
      <c r="U3423" s="11" t="str">
        <f t="shared" si="310"/>
        <v/>
      </c>
      <c r="V3423" s="12" t="str">
        <f t="shared" si="311"/>
        <v/>
      </c>
      <c r="Z3423" s="15"/>
    </row>
    <row r="3424" spans="1:26" x14ac:dyDescent="0.25">
      <c r="A3424" s="15" t="str">
        <f>IF(C3424="","",COUNTA($C$3:C3424))</f>
        <v/>
      </c>
      <c r="B3424" s="15" t="str">
        <f t="shared" si="312"/>
        <v/>
      </c>
      <c r="M3424" s="9"/>
      <c r="N3424" s="9"/>
      <c r="P3424" s="14"/>
      <c r="Q3424" s="85"/>
      <c r="R3424" s="89"/>
      <c r="U3424" s="11" t="str">
        <f t="shared" si="310"/>
        <v/>
      </c>
      <c r="V3424" s="12" t="str">
        <f t="shared" si="311"/>
        <v/>
      </c>
      <c r="Z3424" s="15"/>
    </row>
    <row r="3425" spans="1:26" x14ac:dyDescent="0.25">
      <c r="A3425" s="15" t="str">
        <f>IF(C3425="","",COUNTA($C$3:C3425))</f>
        <v/>
      </c>
      <c r="B3425" s="15" t="str">
        <f t="shared" si="312"/>
        <v/>
      </c>
      <c r="M3425" s="9"/>
      <c r="N3425" s="9"/>
      <c r="P3425" s="14"/>
      <c r="Q3425" s="85"/>
      <c r="R3425" s="89"/>
      <c r="U3425" s="11" t="str">
        <f t="shared" si="310"/>
        <v/>
      </c>
      <c r="V3425" s="12" t="str">
        <f t="shared" si="311"/>
        <v/>
      </c>
      <c r="Z3425" s="15"/>
    </row>
    <row r="3426" spans="1:26" x14ac:dyDescent="0.25">
      <c r="A3426" s="15" t="str">
        <f>IF(C3426="","",COUNTA($C$3:C3426))</f>
        <v/>
      </c>
      <c r="B3426" s="15" t="str">
        <f t="shared" si="312"/>
        <v/>
      </c>
      <c r="M3426" s="9"/>
      <c r="N3426" s="9"/>
      <c r="P3426" s="14"/>
      <c r="Q3426" s="85"/>
      <c r="R3426" s="89"/>
      <c r="U3426" s="11" t="str">
        <f t="shared" si="310"/>
        <v/>
      </c>
      <c r="V3426" s="12" t="str">
        <f t="shared" si="311"/>
        <v/>
      </c>
      <c r="Z3426" s="15"/>
    </row>
    <row r="3427" spans="1:26" x14ac:dyDescent="0.25">
      <c r="A3427" s="15" t="str">
        <f>IF(C3427="","",COUNTA($C$3:C3427))</f>
        <v/>
      </c>
      <c r="B3427" s="15" t="str">
        <f t="shared" si="312"/>
        <v/>
      </c>
      <c r="M3427" s="9"/>
      <c r="N3427" s="9"/>
      <c r="P3427" s="14"/>
      <c r="Q3427" s="85"/>
      <c r="R3427" s="89"/>
      <c r="U3427" s="11" t="str">
        <f t="shared" si="310"/>
        <v/>
      </c>
      <c r="V3427" s="12" t="str">
        <f t="shared" si="311"/>
        <v/>
      </c>
      <c r="Z3427" s="15"/>
    </row>
    <row r="3428" spans="1:26" x14ac:dyDescent="0.25">
      <c r="A3428" s="15" t="str">
        <f>IF(C3428="","",COUNTA($C$3:C3428))</f>
        <v/>
      </c>
      <c r="B3428" s="15" t="str">
        <f t="shared" si="312"/>
        <v/>
      </c>
      <c r="M3428" s="9"/>
      <c r="N3428" s="9"/>
      <c r="P3428" s="14"/>
      <c r="Q3428" s="85"/>
      <c r="R3428" s="89"/>
      <c r="U3428" s="11" t="str">
        <f t="shared" si="310"/>
        <v/>
      </c>
      <c r="V3428" s="12" t="str">
        <f t="shared" si="311"/>
        <v/>
      </c>
      <c r="Z3428" s="15"/>
    </row>
    <row r="3429" spans="1:26" x14ac:dyDescent="0.25">
      <c r="A3429" s="15" t="str">
        <f>IF(C3429="","",COUNTA($C$3:C3429))</f>
        <v/>
      </c>
      <c r="B3429" s="15" t="str">
        <f t="shared" si="312"/>
        <v/>
      </c>
      <c r="M3429" s="9"/>
      <c r="N3429" s="9"/>
      <c r="P3429" s="14"/>
      <c r="Q3429" s="85"/>
      <c r="R3429" s="89"/>
      <c r="U3429" s="11" t="str">
        <f t="shared" si="310"/>
        <v/>
      </c>
      <c r="V3429" s="12" t="str">
        <f t="shared" si="311"/>
        <v/>
      </c>
      <c r="Z3429" s="15"/>
    </row>
    <row r="3430" spans="1:26" x14ac:dyDescent="0.25">
      <c r="A3430" s="15" t="str">
        <f>IF(C3430="","",COUNTA($C$3:C3430))</f>
        <v/>
      </c>
      <c r="B3430" s="15" t="str">
        <f t="shared" si="312"/>
        <v/>
      </c>
      <c r="M3430" s="9"/>
      <c r="N3430" s="9"/>
      <c r="P3430" s="14"/>
      <c r="Q3430" s="85"/>
      <c r="R3430" s="89"/>
      <c r="U3430" s="11" t="str">
        <f t="shared" si="310"/>
        <v/>
      </c>
      <c r="V3430" s="12" t="str">
        <f t="shared" si="311"/>
        <v/>
      </c>
      <c r="Z3430" s="15"/>
    </row>
    <row r="3431" spans="1:26" x14ac:dyDescent="0.25">
      <c r="A3431" s="15" t="str">
        <f>IF(C3431="","",COUNTA($C$3:C3431))</f>
        <v/>
      </c>
      <c r="B3431" s="15" t="str">
        <f t="shared" si="312"/>
        <v/>
      </c>
      <c r="M3431" s="9"/>
      <c r="N3431" s="9"/>
      <c r="P3431" s="14"/>
      <c r="Q3431" s="85"/>
      <c r="R3431" s="89"/>
      <c r="U3431" s="11" t="str">
        <f t="shared" si="310"/>
        <v/>
      </c>
      <c r="V3431" s="12" t="str">
        <f t="shared" si="311"/>
        <v/>
      </c>
      <c r="Z3431" s="15"/>
    </row>
    <row r="3432" spans="1:26" x14ac:dyDescent="0.25">
      <c r="A3432" s="15" t="str">
        <f>IF(C3432="","",COUNTA($C$3:C3432))</f>
        <v/>
      </c>
      <c r="B3432" s="15" t="str">
        <f t="shared" si="312"/>
        <v/>
      </c>
      <c r="M3432" s="9"/>
      <c r="N3432" s="9"/>
      <c r="P3432" s="14"/>
      <c r="Q3432" s="85"/>
      <c r="R3432" s="89"/>
      <c r="U3432" s="11" t="str">
        <f t="shared" si="310"/>
        <v/>
      </c>
      <c r="V3432" s="12" t="str">
        <f t="shared" si="311"/>
        <v/>
      </c>
      <c r="Z3432" s="15"/>
    </row>
    <row r="3433" spans="1:26" x14ac:dyDescent="0.25">
      <c r="A3433" s="15" t="str">
        <f>IF(C3433="","",COUNTA($C$3:C3433))</f>
        <v/>
      </c>
      <c r="B3433" s="15" t="str">
        <f t="shared" si="312"/>
        <v/>
      </c>
      <c r="M3433" s="9"/>
      <c r="N3433" s="9"/>
      <c r="P3433" s="14"/>
      <c r="Q3433" s="85"/>
      <c r="R3433" s="89"/>
      <c r="U3433" s="11" t="str">
        <f t="shared" si="310"/>
        <v/>
      </c>
      <c r="V3433" s="12" t="str">
        <f t="shared" si="311"/>
        <v/>
      </c>
      <c r="Z3433" s="15"/>
    </row>
    <row r="3434" spans="1:26" x14ac:dyDescent="0.25">
      <c r="A3434" s="15" t="str">
        <f>IF(C3434="","",COUNTA($C$3:C3434))</f>
        <v/>
      </c>
      <c r="B3434" s="15" t="str">
        <f t="shared" si="312"/>
        <v/>
      </c>
      <c r="M3434" s="9"/>
      <c r="N3434" s="9"/>
      <c r="P3434" s="14"/>
      <c r="Q3434" s="85"/>
      <c r="R3434" s="89"/>
      <c r="U3434" s="11" t="str">
        <f t="shared" si="310"/>
        <v/>
      </c>
      <c r="V3434" s="12" t="str">
        <f t="shared" si="311"/>
        <v/>
      </c>
      <c r="Z3434" s="15"/>
    </row>
    <row r="3435" spans="1:26" x14ac:dyDescent="0.25">
      <c r="A3435" s="15" t="str">
        <f>IF(C3435="","",COUNTA($C$3:C3435))</f>
        <v/>
      </c>
      <c r="B3435" s="15" t="str">
        <f t="shared" si="312"/>
        <v/>
      </c>
      <c r="M3435" s="9"/>
      <c r="N3435" s="9"/>
      <c r="P3435" s="14"/>
      <c r="Q3435" s="85"/>
      <c r="R3435" s="89"/>
      <c r="U3435" s="11" t="str">
        <f t="shared" si="310"/>
        <v/>
      </c>
      <c r="V3435" s="12" t="str">
        <f t="shared" si="311"/>
        <v/>
      </c>
      <c r="Z3435" s="15"/>
    </row>
    <row r="3436" spans="1:26" x14ac:dyDescent="0.25">
      <c r="A3436" s="15" t="str">
        <f>IF(C3436="","",COUNTA($C$3:C3436))</f>
        <v/>
      </c>
      <c r="B3436" s="15" t="str">
        <f t="shared" si="312"/>
        <v/>
      </c>
      <c r="M3436" s="9"/>
      <c r="N3436" s="9"/>
      <c r="P3436" s="14"/>
      <c r="Q3436" s="85"/>
      <c r="R3436" s="89"/>
      <c r="U3436" s="11" t="str">
        <f t="shared" si="310"/>
        <v/>
      </c>
      <c r="V3436" s="12" t="str">
        <f t="shared" si="311"/>
        <v/>
      </c>
      <c r="Z3436" s="15"/>
    </row>
    <row r="3437" spans="1:26" x14ac:dyDescent="0.25">
      <c r="A3437" s="15" t="str">
        <f>IF(C3437="","",COUNTA($C$3:C3437))</f>
        <v/>
      </c>
      <c r="B3437" s="15" t="str">
        <f t="shared" si="312"/>
        <v/>
      </c>
      <c r="M3437" s="9"/>
      <c r="N3437" s="9"/>
      <c r="P3437" s="14"/>
      <c r="Q3437" s="85"/>
      <c r="R3437" s="89"/>
      <c r="U3437" s="11" t="str">
        <f t="shared" si="310"/>
        <v/>
      </c>
      <c r="V3437" s="12" t="str">
        <f t="shared" si="311"/>
        <v/>
      </c>
      <c r="Z3437" s="15"/>
    </row>
    <row r="3438" spans="1:26" x14ac:dyDescent="0.25">
      <c r="A3438" s="15" t="str">
        <f>IF(C3438="","",COUNTA($C$3:C3438))</f>
        <v/>
      </c>
      <c r="B3438" s="15" t="str">
        <f t="shared" si="312"/>
        <v/>
      </c>
      <c r="M3438" s="9"/>
      <c r="N3438" s="9"/>
      <c r="P3438" s="14"/>
      <c r="Q3438" s="85"/>
      <c r="R3438" s="89"/>
      <c r="U3438" s="11" t="str">
        <f t="shared" si="310"/>
        <v/>
      </c>
      <c r="V3438" s="12" t="str">
        <f t="shared" si="311"/>
        <v/>
      </c>
      <c r="Z3438" s="15"/>
    </row>
    <row r="3439" spans="1:26" x14ac:dyDescent="0.25">
      <c r="A3439" s="15" t="str">
        <f>IF(C3439="","",COUNTA($C$3:C3439))</f>
        <v/>
      </c>
      <c r="B3439" s="15" t="str">
        <f t="shared" si="312"/>
        <v/>
      </c>
      <c r="M3439" s="9"/>
      <c r="N3439" s="9"/>
      <c r="P3439" s="14"/>
      <c r="Q3439" s="85"/>
      <c r="R3439" s="89"/>
      <c r="U3439" s="11" t="str">
        <f t="shared" si="310"/>
        <v/>
      </c>
      <c r="V3439" s="12" t="str">
        <f t="shared" si="311"/>
        <v/>
      </c>
      <c r="Z3439" s="15"/>
    </row>
    <row r="3440" spans="1:26" x14ac:dyDescent="0.25">
      <c r="A3440" s="15" t="str">
        <f>IF(C3440="","",COUNTA($C$3:C3440))</f>
        <v/>
      </c>
      <c r="B3440" s="15" t="str">
        <f t="shared" si="312"/>
        <v/>
      </c>
      <c r="M3440" s="9"/>
      <c r="N3440" s="9"/>
      <c r="P3440" s="14"/>
      <c r="Q3440" s="85"/>
      <c r="R3440" s="89"/>
      <c r="U3440" s="11" t="str">
        <f t="shared" si="310"/>
        <v/>
      </c>
      <c r="V3440" s="12" t="str">
        <f t="shared" si="311"/>
        <v/>
      </c>
      <c r="Z3440" s="15"/>
    </row>
    <row r="3441" spans="1:26" x14ac:dyDescent="0.25">
      <c r="A3441" s="15" t="str">
        <f>IF(C3441="","",COUNTA($C$3:C3441))</f>
        <v/>
      </c>
      <c r="B3441" s="15" t="str">
        <f t="shared" si="312"/>
        <v/>
      </c>
      <c r="M3441" s="9"/>
      <c r="N3441" s="9"/>
      <c r="P3441" s="14"/>
      <c r="Q3441" s="85"/>
      <c r="R3441" s="89"/>
      <c r="U3441" s="11" t="str">
        <f t="shared" si="310"/>
        <v/>
      </c>
      <c r="V3441" s="12" t="str">
        <f t="shared" si="311"/>
        <v/>
      </c>
      <c r="Z3441" s="15"/>
    </row>
    <row r="3442" spans="1:26" x14ac:dyDescent="0.25">
      <c r="A3442" s="15" t="str">
        <f>IF(C3442="","",COUNTA($C$3:C3442))</f>
        <v/>
      </c>
      <c r="B3442" s="15" t="str">
        <f t="shared" si="312"/>
        <v/>
      </c>
      <c r="M3442" s="9"/>
      <c r="N3442" s="9"/>
      <c r="P3442" s="14"/>
      <c r="Q3442" s="85"/>
      <c r="R3442" s="89"/>
      <c r="U3442" s="11" t="str">
        <f t="shared" si="310"/>
        <v/>
      </c>
      <c r="V3442" s="12" t="str">
        <f t="shared" si="311"/>
        <v/>
      </c>
      <c r="Z3442" s="15"/>
    </row>
    <row r="3443" spans="1:26" x14ac:dyDescent="0.25">
      <c r="A3443" s="15" t="str">
        <f>IF(C3443="","",COUNTA($C$3:C3443))</f>
        <v/>
      </c>
      <c r="B3443" s="15" t="str">
        <f t="shared" si="312"/>
        <v/>
      </c>
      <c r="M3443" s="9"/>
      <c r="N3443" s="9"/>
      <c r="P3443" s="14"/>
      <c r="Q3443" s="85"/>
      <c r="R3443" s="89"/>
      <c r="U3443" s="11" t="str">
        <f t="shared" si="310"/>
        <v/>
      </c>
      <c r="V3443" s="12" t="str">
        <f t="shared" si="311"/>
        <v/>
      </c>
      <c r="Z3443" s="15"/>
    </row>
    <row r="3444" spans="1:26" x14ac:dyDescent="0.25">
      <c r="A3444" s="15" t="str">
        <f>IF(C3444="","",COUNTA($C$3:C3444))</f>
        <v/>
      </c>
      <c r="B3444" s="15" t="str">
        <f t="shared" si="312"/>
        <v/>
      </c>
      <c r="M3444" s="9"/>
      <c r="N3444" s="9"/>
      <c r="P3444" s="14"/>
      <c r="Q3444" s="85"/>
      <c r="R3444" s="89"/>
      <c r="U3444" s="11" t="str">
        <f t="shared" si="310"/>
        <v/>
      </c>
      <c r="V3444" s="12" t="str">
        <f t="shared" si="311"/>
        <v/>
      </c>
      <c r="Z3444" s="15"/>
    </row>
    <row r="3445" spans="1:26" x14ac:dyDescent="0.25">
      <c r="A3445" s="15" t="str">
        <f>IF(C3445="","",COUNTA($C$3:C3445))</f>
        <v/>
      </c>
      <c r="B3445" s="15" t="str">
        <f t="shared" si="312"/>
        <v/>
      </c>
      <c r="M3445" s="9"/>
      <c r="N3445" s="9"/>
      <c r="P3445" s="14"/>
      <c r="Q3445" s="85"/>
      <c r="R3445" s="89"/>
      <c r="U3445" s="11" t="str">
        <f t="shared" si="310"/>
        <v/>
      </c>
      <c r="V3445" s="12" t="str">
        <f t="shared" si="311"/>
        <v/>
      </c>
      <c r="Z3445" s="15"/>
    </row>
    <row r="3446" spans="1:26" x14ac:dyDescent="0.25">
      <c r="A3446" s="15" t="str">
        <f>IF(C3446="","",COUNTA($C$3:C3446))</f>
        <v/>
      </c>
      <c r="B3446" s="15" t="str">
        <f t="shared" si="312"/>
        <v/>
      </c>
      <c r="M3446" s="9"/>
      <c r="N3446" s="9"/>
      <c r="P3446" s="14"/>
      <c r="Q3446" s="85"/>
      <c r="R3446" s="89"/>
      <c r="U3446" s="11" t="str">
        <f t="shared" si="310"/>
        <v/>
      </c>
      <c r="V3446" s="12" t="str">
        <f t="shared" si="311"/>
        <v/>
      </c>
      <c r="Z3446" s="15"/>
    </row>
    <row r="3447" spans="1:26" x14ac:dyDescent="0.25">
      <c r="A3447" s="15" t="str">
        <f>IF(C3447="","",COUNTA($C$3:C3447))</f>
        <v/>
      </c>
      <c r="B3447" s="15" t="str">
        <f t="shared" si="312"/>
        <v/>
      </c>
      <c r="M3447" s="9"/>
      <c r="N3447" s="9"/>
      <c r="P3447" s="14"/>
      <c r="Q3447" s="85"/>
      <c r="R3447" s="89"/>
      <c r="U3447" s="11" t="str">
        <f t="shared" si="310"/>
        <v/>
      </c>
      <c r="V3447" s="12" t="str">
        <f t="shared" si="311"/>
        <v/>
      </c>
      <c r="Z3447" s="15"/>
    </row>
    <row r="3448" spans="1:26" x14ac:dyDescent="0.25">
      <c r="A3448" s="15" t="str">
        <f>IF(C3448="","",COUNTA($C$3:C3448))</f>
        <v/>
      </c>
      <c r="B3448" s="15" t="str">
        <f t="shared" si="312"/>
        <v/>
      </c>
      <c r="M3448" s="9"/>
      <c r="N3448" s="9"/>
      <c r="P3448" s="14"/>
      <c r="Q3448" s="85"/>
      <c r="R3448" s="89"/>
      <c r="U3448" s="11" t="str">
        <f t="shared" si="310"/>
        <v/>
      </c>
      <c r="V3448" s="12" t="str">
        <f t="shared" si="311"/>
        <v/>
      </c>
      <c r="Z3448" s="15"/>
    </row>
    <row r="3449" spans="1:26" x14ac:dyDescent="0.25">
      <c r="A3449" s="15" t="str">
        <f>IF(C3449="","",COUNTA($C$3:C3449))</f>
        <v/>
      </c>
      <c r="B3449" s="15" t="str">
        <f t="shared" si="312"/>
        <v/>
      </c>
      <c r="M3449" s="9"/>
      <c r="N3449" s="9"/>
      <c r="P3449" s="14"/>
      <c r="Q3449" s="85"/>
      <c r="R3449" s="89"/>
      <c r="U3449" s="11" t="str">
        <f t="shared" si="310"/>
        <v/>
      </c>
      <c r="V3449" s="12" t="str">
        <f t="shared" si="311"/>
        <v/>
      </c>
      <c r="Z3449" s="15"/>
    </row>
    <row r="3450" spans="1:26" x14ac:dyDescent="0.25">
      <c r="A3450" s="15" t="str">
        <f>IF(C3450="","",COUNTA($C$3:C3450))</f>
        <v/>
      </c>
      <c r="B3450" s="15" t="str">
        <f t="shared" si="312"/>
        <v/>
      </c>
      <c r="M3450" s="9"/>
      <c r="N3450" s="9"/>
      <c r="P3450" s="14"/>
      <c r="Q3450" s="85"/>
      <c r="R3450" s="89"/>
      <c r="U3450" s="11" t="str">
        <f t="shared" si="310"/>
        <v/>
      </c>
      <c r="V3450" s="12" t="str">
        <f t="shared" si="311"/>
        <v/>
      </c>
      <c r="Z3450" s="15"/>
    </row>
    <row r="3451" spans="1:26" x14ac:dyDescent="0.25">
      <c r="A3451" s="15" t="str">
        <f>IF(C3451="","",COUNTA($C$3:C3451))</f>
        <v/>
      </c>
      <c r="B3451" s="15" t="str">
        <f t="shared" si="312"/>
        <v/>
      </c>
      <c r="M3451" s="9"/>
      <c r="N3451" s="9"/>
      <c r="P3451" s="14"/>
      <c r="Q3451" s="85"/>
      <c r="R3451" s="89"/>
      <c r="U3451" s="11" t="str">
        <f t="shared" si="310"/>
        <v/>
      </c>
      <c r="V3451" s="12" t="str">
        <f t="shared" si="311"/>
        <v/>
      </c>
      <c r="Z3451" s="15"/>
    </row>
    <row r="3452" spans="1:26" x14ac:dyDescent="0.25">
      <c r="A3452" s="15" t="str">
        <f>IF(C3452="","",COUNTA($C$3:C3452))</f>
        <v/>
      </c>
      <c r="B3452" s="15" t="str">
        <f t="shared" si="312"/>
        <v/>
      </c>
      <c r="M3452" s="9"/>
      <c r="N3452" s="9"/>
      <c r="P3452" s="14"/>
      <c r="Q3452" s="85"/>
      <c r="R3452" s="89"/>
      <c r="U3452" s="11" t="str">
        <f t="shared" si="310"/>
        <v/>
      </c>
      <c r="V3452" s="12" t="str">
        <f t="shared" si="311"/>
        <v/>
      </c>
      <c r="Z3452" s="15"/>
    </row>
    <row r="3453" spans="1:26" x14ac:dyDescent="0.25">
      <c r="A3453" s="15" t="str">
        <f>IF(C3453="","",COUNTA($C$3:C3453))</f>
        <v/>
      </c>
      <c r="B3453" s="15" t="str">
        <f t="shared" si="312"/>
        <v/>
      </c>
      <c r="M3453" s="9"/>
      <c r="N3453" s="9"/>
      <c r="P3453" s="14"/>
      <c r="Q3453" s="85"/>
      <c r="R3453" s="89"/>
      <c r="U3453" s="11" t="str">
        <f t="shared" si="310"/>
        <v/>
      </c>
      <c r="V3453" s="12" t="str">
        <f t="shared" si="311"/>
        <v/>
      </c>
      <c r="Z3453" s="15"/>
    </row>
    <row r="3454" spans="1:26" x14ac:dyDescent="0.25">
      <c r="A3454" s="15" t="str">
        <f>IF(C3454="","",COUNTA($C$3:C3454))</f>
        <v/>
      </c>
      <c r="B3454" s="15" t="str">
        <f t="shared" si="312"/>
        <v/>
      </c>
      <c r="M3454" s="9"/>
      <c r="N3454" s="9"/>
      <c r="P3454" s="14"/>
      <c r="Q3454" s="85"/>
      <c r="R3454" s="89"/>
      <c r="U3454" s="11" t="str">
        <f t="shared" si="310"/>
        <v/>
      </c>
      <c r="V3454" s="12" t="str">
        <f t="shared" si="311"/>
        <v/>
      </c>
      <c r="Z3454" s="15"/>
    </row>
    <row r="3455" spans="1:26" x14ac:dyDescent="0.25">
      <c r="A3455" s="15" t="str">
        <f>IF(C3455="","",COUNTA($C$3:C3455))</f>
        <v/>
      </c>
      <c r="B3455" s="15" t="str">
        <f t="shared" si="312"/>
        <v/>
      </c>
      <c r="M3455" s="9"/>
      <c r="N3455" s="9"/>
      <c r="P3455" s="14"/>
      <c r="Q3455" s="85"/>
      <c r="R3455" s="89"/>
      <c r="U3455" s="11" t="str">
        <f t="shared" si="310"/>
        <v/>
      </c>
      <c r="V3455" s="12" t="str">
        <f t="shared" si="311"/>
        <v/>
      </c>
      <c r="Z3455" s="15"/>
    </row>
    <row r="3456" spans="1:26" x14ac:dyDescent="0.25">
      <c r="A3456" s="15" t="str">
        <f>IF(C3456="","",COUNTA($C$3:C3456))</f>
        <v/>
      </c>
      <c r="B3456" s="15" t="str">
        <f t="shared" si="312"/>
        <v/>
      </c>
      <c r="M3456" s="9"/>
      <c r="N3456" s="9"/>
      <c r="P3456" s="14"/>
      <c r="Q3456" s="85"/>
      <c r="R3456" s="89"/>
      <c r="U3456" s="11" t="str">
        <f t="shared" si="310"/>
        <v/>
      </c>
      <c r="V3456" s="12" t="str">
        <f t="shared" si="311"/>
        <v/>
      </c>
      <c r="Z3456" s="15"/>
    </row>
    <row r="3457" spans="1:26" x14ac:dyDescent="0.25">
      <c r="A3457" s="15" t="str">
        <f>IF(C3457="","",COUNTA($C$3:C3457))</f>
        <v/>
      </c>
      <c r="B3457" s="15" t="str">
        <f t="shared" si="312"/>
        <v/>
      </c>
      <c r="M3457" s="9"/>
      <c r="N3457" s="9"/>
      <c r="P3457" s="14"/>
      <c r="Q3457" s="85"/>
      <c r="R3457" s="89"/>
      <c r="U3457" s="11" t="str">
        <f t="shared" si="310"/>
        <v/>
      </c>
      <c r="V3457" s="12" t="str">
        <f t="shared" si="311"/>
        <v/>
      </c>
      <c r="Z3457" s="15"/>
    </row>
    <row r="3458" spans="1:26" x14ac:dyDescent="0.25">
      <c r="A3458" s="15" t="str">
        <f>IF(C3458="","",COUNTA($C$3:C3458))</f>
        <v/>
      </c>
      <c r="B3458" s="15" t="str">
        <f t="shared" si="312"/>
        <v/>
      </c>
      <c r="M3458" s="9"/>
      <c r="N3458" s="9"/>
      <c r="P3458" s="14"/>
      <c r="Q3458" s="85"/>
      <c r="R3458" s="89"/>
      <c r="U3458" s="11" t="str">
        <f t="shared" ref="U3458:U3521" si="313">IF(S3458="","",(S3458-T3458))</f>
        <v/>
      </c>
      <c r="V3458" s="12" t="str">
        <f t="shared" ref="V3458:V3521" si="314">IF(U3458="","",(U3458/T3458))</f>
        <v/>
      </c>
      <c r="Z3458" s="15"/>
    </row>
    <row r="3459" spans="1:26" x14ac:dyDescent="0.25">
      <c r="A3459" s="15" t="str">
        <f>IF(C3459="","",COUNTA($C$3:C3459))</f>
        <v/>
      </c>
      <c r="B3459" s="15" t="str">
        <f t="shared" ref="B3459:B3522" si="315">IF(C3459="","",TEXT(C3459,"mmmm"))</f>
        <v/>
      </c>
      <c r="M3459" s="9"/>
      <c r="N3459" s="9"/>
      <c r="P3459" s="14"/>
      <c r="Q3459" s="85"/>
      <c r="R3459" s="89"/>
      <c r="U3459" s="11" t="str">
        <f t="shared" si="313"/>
        <v/>
      </c>
      <c r="V3459" s="12" t="str">
        <f t="shared" si="314"/>
        <v/>
      </c>
      <c r="Z3459" s="15"/>
    </row>
    <row r="3460" spans="1:26" x14ac:dyDescent="0.25">
      <c r="A3460" s="15" t="str">
        <f>IF(C3460="","",COUNTA($C$3:C3460))</f>
        <v/>
      </c>
      <c r="B3460" s="15" t="str">
        <f t="shared" si="315"/>
        <v/>
      </c>
      <c r="M3460" s="9"/>
      <c r="N3460" s="9"/>
      <c r="P3460" s="14"/>
      <c r="Q3460" s="85"/>
      <c r="R3460" s="89"/>
      <c r="U3460" s="11" t="str">
        <f t="shared" si="313"/>
        <v/>
      </c>
      <c r="V3460" s="12" t="str">
        <f t="shared" si="314"/>
        <v/>
      </c>
      <c r="Z3460" s="15"/>
    </row>
    <row r="3461" spans="1:26" x14ac:dyDescent="0.25">
      <c r="A3461" s="15" t="str">
        <f>IF(C3461="","",COUNTA($C$3:C3461))</f>
        <v/>
      </c>
      <c r="B3461" s="15" t="str">
        <f t="shared" si="315"/>
        <v/>
      </c>
      <c r="M3461" s="9"/>
      <c r="N3461" s="9"/>
      <c r="P3461" s="14"/>
      <c r="Q3461" s="85"/>
      <c r="R3461" s="89"/>
      <c r="U3461" s="11" t="str">
        <f t="shared" si="313"/>
        <v/>
      </c>
      <c r="V3461" s="12" t="str">
        <f t="shared" si="314"/>
        <v/>
      </c>
      <c r="Z3461" s="15"/>
    </row>
    <row r="3462" spans="1:26" x14ac:dyDescent="0.25">
      <c r="A3462" s="15" t="str">
        <f>IF(C3462="","",COUNTA($C$3:C3462))</f>
        <v/>
      </c>
      <c r="B3462" s="15" t="str">
        <f t="shared" si="315"/>
        <v/>
      </c>
      <c r="M3462" s="9"/>
      <c r="N3462" s="9"/>
      <c r="P3462" s="14"/>
      <c r="Q3462" s="85"/>
      <c r="R3462" s="89"/>
      <c r="U3462" s="11" t="str">
        <f t="shared" si="313"/>
        <v/>
      </c>
      <c r="V3462" s="12" t="str">
        <f t="shared" si="314"/>
        <v/>
      </c>
      <c r="Z3462" s="15"/>
    </row>
    <row r="3463" spans="1:26" x14ac:dyDescent="0.25">
      <c r="A3463" s="15" t="str">
        <f>IF(C3463="","",COUNTA($C$3:C3463))</f>
        <v/>
      </c>
      <c r="B3463" s="15" t="str">
        <f t="shared" si="315"/>
        <v/>
      </c>
      <c r="M3463" s="9"/>
      <c r="N3463" s="9"/>
      <c r="P3463" s="14"/>
      <c r="Q3463" s="85"/>
      <c r="R3463" s="89"/>
      <c r="U3463" s="11" t="str">
        <f t="shared" si="313"/>
        <v/>
      </c>
      <c r="V3463" s="12" t="str">
        <f t="shared" si="314"/>
        <v/>
      </c>
      <c r="Z3463" s="15"/>
    </row>
    <row r="3464" spans="1:26" x14ac:dyDescent="0.25">
      <c r="A3464" s="15" t="str">
        <f>IF(C3464="","",COUNTA($C$3:C3464))</f>
        <v/>
      </c>
      <c r="B3464" s="15" t="str">
        <f t="shared" si="315"/>
        <v/>
      </c>
      <c r="M3464" s="9"/>
      <c r="N3464" s="9"/>
      <c r="P3464" s="14"/>
      <c r="Q3464" s="85"/>
      <c r="R3464" s="89"/>
      <c r="U3464" s="11" t="str">
        <f t="shared" si="313"/>
        <v/>
      </c>
      <c r="V3464" s="12" t="str">
        <f t="shared" si="314"/>
        <v/>
      </c>
      <c r="Z3464" s="15"/>
    </row>
    <row r="3465" spans="1:26" x14ac:dyDescent="0.25">
      <c r="A3465" s="15" t="str">
        <f>IF(C3465="","",COUNTA($C$3:C3465))</f>
        <v/>
      </c>
      <c r="B3465" s="15" t="str">
        <f t="shared" si="315"/>
        <v/>
      </c>
      <c r="M3465" s="9"/>
      <c r="N3465" s="9"/>
      <c r="P3465" s="14"/>
      <c r="Q3465" s="85"/>
      <c r="R3465" s="89"/>
      <c r="U3465" s="11" t="str">
        <f t="shared" si="313"/>
        <v/>
      </c>
      <c r="V3465" s="12" t="str">
        <f t="shared" si="314"/>
        <v/>
      </c>
      <c r="Z3465" s="15"/>
    </row>
    <row r="3466" spans="1:26" x14ac:dyDescent="0.25">
      <c r="A3466" s="15" t="str">
        <f>IF(C3466="","",COUNTA($C$3:C3466))</f>
        <v/>
      </c>
      <c r="B3466" s="15" t="str">
        <f t="shared" si="315"/>
        <v/>
      </c>
      <c r="M3466" s="9"/>
      <c r="N3466" s="9"/>
      <c r="P3466" s="14"/>
      <c r="Q3466" s="85"/>
      <c r="R3466" s="89"/>
      <c r="U3466" s="11" t="str">
        <f t="shared" si="313"/>
        <v/>
      </c>
      <c r="V3466" s="12" t="str">
        <f t="shared" si="314"/>
        <v/>
      </c>
      <c r="Z3466" s="15"/>
    </row>
    <row r="3467" spans="1:26" x14ac:dyDescent="0.25">
      <c r="A3467" s="15" t="str">
        <f>IF(C3467="","",COUNTA($C$3:C3467))</f>
        <v/>
      </c>
      <c r="B3467" s="15" t="str">
        <f t="shared" si="315"/>
        <v/>
      </c>
      <c r="M3467" s="9"/>
      <c r="N3467" s="9"/>
      <c r="P3467" s="14"/>
      <c r="Q3467" s="85"/>
      <c r="R3467" s="89"/>
      <c r="U3467" s="11" t="str">
        <f t="shared" si="313"/>
        <v/>
      </c>
      <c r="V3467" s="12" t="str">
        <f t="shared" si="314"/>
        <v/>
      </c>
      <c r="Z3467" s="15"/>
    </row>
    <row r="3468" spans="1:26" x14ac:dyDescent="0.25">
      <c r="A3468" s="15" t="str">
        <f>IF(C3468="","",COUNTA($C$3:C3468))</f>
        <v/>
      </c>
      <c r="B3468" s="15" t="str">
        <f t="shared" si="315"/>
        <v/>
      </c>
      <c r="M3468" s="9"/>
      <c r="N3468" s="9"/>
      <c r="P3468" s="14"/>
      <c r="Q3468" s="85"/>
      <c r="R3468" s="89"/>
      <c r="U3468" s="11" t="str">
        <f t="shared" si="313"/>
        <v/>
      </c>
      <c r="V3468" s="12" t="str">
        <f t="shared" si="314"/>
        <v/>
      </c>
      <c r="Z3468" s="15"/>
    </row>
    <row r="3469" spans="1:26" x14ac:dyDescent="0.25">
      <c r="A3469" s="15" t="str">
        <f>IF(C3469="","",COUNTA($C$3:C3469))</f>
        <v/>
      </c>
      <c r="B3469" s="15" t="str">
        <f t="shared" si="315"/>
        <v/>
      </c>
      <c r="M3469" s="9"/>
      <c r="N3469" s="9"/>
      <c r="P3469" s="14"/>
      <c r="Q3469" s="85"/>
      <c r="R3469" s="89"/>
      <c r="U3469" s="11" t="str">
        <f t="shared" si="313"/>
        <v/>
      </c>
      <c r="V3469" s="12" t="str">
        <f t="shared" si="314"/>
        <v/>
      </c>
      <c r="Z3469" s="15"/>
    </row>
    <row r="3470" spans="1:26" x14ac:dyDescent="0.25">
      <c r="A3470" s="15" t="str">
        <f>IF(C3470="","",COUNTA($C$3:C3470))</f>
        <v/>
      </c>
      <c r="B3470" s="15" t="str">
        <f t="shared" si="315"/>
        <v/>
      </c>
      <c r="M3470" s="9"/>
      <c r="N3470" s="9"/>
      <c r="P3470" s="14"/>
      <c r="Q3470" s="85"/>
      <c r="R3470" s="89"/>
      <c r="U3470" s="11" t="str">
        <f t="shared" si="313"/>
        <v/>
      </c>
      <c r="V3470" s="12" t="str">
        <f t="shared" si="314"/>
        <v/>
      </c>
      <c r="Z3470" s="15"/>
    </row>
    <row r="3471" spans="1:26" x14ac:dyDescent="0.25">
      <c r="A3471" s="15" t="str">
        <f>IF(C3471="","",COUNTA($C$3:C3471))</f>
        <v/>
      </c>
      <c r="B3471" s="15" t="str">
        <f t="shared" si="315"/>
        <v/>
      </c>
      <c r="M3471" s="9"/>
      <c r="N3471" s="9"/>
      <c r="P3471" s="14"/>
      <c r="Q3471" s="85"/>
      <c r="R3471" s="89"/>
      <c r="U3471" s="11" t="str">
        <f t="shared" si="313"/>
        <v/>
      </c>
      <c r="V3471" s="12" t="str">
        <f t="shared" si="314"/>
        <v/>
      </c>
      <c r="Z3471" s="15"/>
    </row>
    <row r="3472" spans="1:26" x14ac:dyDescent="0.25">
      <c r="A3472" s="15" t="str">
        <f>IF(C3472="","",COUNTA($C$3:C3472))</f>
        <v/>
      </c>
      <c r="B3472" s="15" t="str">
        <f t="shared" si="315"/>
        <v/>
      </c>
      <c r="M3472" s="9"/>
      <c r="N3472" s="9"/>
      <c r="P3472" s="14"/>
      <c r="Q3472" s="85"/>
      <c r="R3472" s="89"/>
      <c r="U3472" s="11" t="str">
        <f t="shared" si="313"/>
        <v/>
      </c>
      <c r="V3472" s="12" t="str">
        <f t="shared" si="314"/>
        <v/>
      </c>
      <c r="Z3472" s="15"/>
    </row>
    <row r="3473" spans="1:26" x14ac:dyDescent="0.25">
      <c r="A3473" s="15" t="str">
        <f>IF(C3473="","",COUNTA($C$3:C3473))</f>
        <v/>
      </c>
      <c r="B3473" s="15" t="str">
        <f t="shared" si="315"/>
        <v/>
      </c>
      <c r="M3473" s="9"/>
      <c r="N3473" s="9"/>
      <c r="P3473" s="14"/>
      <c r="Q3473" s="85"/>
      <c r="R3473" s="89"/>
      <c r="U3473" s="11" t="str">
        <f t="shared" si="313"/>
        <v/>
      </c>
      <c r="V3473" s="12" t="str">
        <f t="shared" si="314"/>
        <v/>
      </c>
      <c r="Z3473" s="15"/>
    </row>
    <row r="3474" spans="1:26" x14ac:dyDescent="0.25">
      <c r="A3474" s="15" t="str">
        <f>IF(C3474="","",COUNTA($C$3:C3474))</f>
        <v/>
      </c>
      <c r="B3474" s="15" t="str">
        <f t="shared" si="315"/>
        <v/>
      </c>
      <c r="M3474" s="9"/>
      <c r="N3474" s="9"/>
      <c r="P3474" s="14"/>
      <c r="Q3474" s="85"/>
      <c r="R3474" s="89"/>
      <c r="U3474" s="11" t="str">
        <f t="shared" si="313"/>
        <v/>
      </c>
      <c r="V3474" s="12" t="str">
        <f t="shared" si="314"/>
        <v/>
      </c>
      <c r="Z3474" s="15"/>
    </row>
    <row r="3475" spans="1:26" x14ac:dyDescent="0.25">
      <c r="A3475" s="15" t="str">
        <f>IF(C3475="","",COUNTA($C$3:C3475))</f>
        <v/>
      </c>
      <c r="B3475" s="15" t="str">
        <f t="shared" si="315"/>
        <v/>
      </c>
      <c r="M3475" s="9"/>
      <c r="N3475" s="9"/>
      <c r="P3475" s="14"/>
      <c r="Q3475" s="85"/>
      <c r="R3475" s="89"/>
      <c r="U3475" s="11" t="str">
        <f t="shared" si="313"/>
        <v/>
      </c>
      <c r="V3475" s="12" t="str">
        <f t="shared" si="314"/>
        <v/>
      </c>
      <c r="Z3475" s="15"/>
    </row>
    <row r="3476" spans="1:26" x14ac:dyDescent="0.25">
      <c r="A3476" s="15" t="str">
        <f>IF(C3476="","",COUNTA($C$3:C3476))</f>
        <v/>
      </c>
      <c r="B3476" s="15" t="str">
        <f t="shared" si="315"/>
        <v/>
      </c>
      <c r="M3476" s="9"/>
      <c r="N3476" s="9"/>
      <c r="P3476" s="14"/>
      <c r="Q3476" s="85"/>
      <c r="R3476" s="89"/>
      <c r="U3476" s="11" t="str">
        <f t="shared" si="313"/>
        <v/>
      </c>
      <c r="V3476" s="12" t="str">
        <f t="shared" si="314"/>
        <v/>
      </c>
      <c r="Z3476" s="15"/>
    </row>
    <row r="3477" spans="1:26" x14ac:dyDescent="0.25">
      <c r="A3477" s="15" t="str">
        <f>IF(C3477="","",COUNTA($C$3:C3477))</f>
        <v/>
      </c>
      <c r="B3477" s="15" t="str">
        <f t="shared" si="315"/>
        <v/>
      </c>
      <c r="M3477" s="9"/>
      <c r="N3477" s="9"/>
      <c r="P3477" s="14"/>
      <c r="Q3477" s="85"/>
      <c r="R3477" s="89"/>
      <c r="U3477" s="11" t="str">
        <f t="shared" si="313"/>
        <v/>
      </c>
      <c r="V3477" s="12" t="str">
        <f t="shared" si="314"/>
        <v/>
      </c>
      <c r="Z3477" s="15"/>
    </row>
    <row r="3478" spans="1:26" x14ac:dyDescent="0.25">
      <c r="A3478" s="15" t="str">
        <f>IF(C3478="","",COUNTA($C$3:C3478))</f>
        <v/>
      </c>
      <c r="B3478" s="15" t="str">
        <f t="shared" si="315"/>
        <v/>
      </c>
      <c r="M3478" s="9"/>
      <c r="N3478" s="9"/>
      <c r="P3478" s="14"/>
      <c r="Q3478" s="85"/>
      <c r="R3478" s="89"/>
      <c r="U3478" s="11" t="str">
        <f t="shared" si="313"/>
        <v/>
      </c>
      <c r="V3478" s="12" t="str">
        <f t="shared" si="314"/>
        <v/>
      </c>
      <c r="Z3478" s="15"/>
    </row>
    <row r="3479" spans="1:26" x14ac:dyDescent="0.25">
      <c r="A3479" s="15" t="str">
        <f>IF(C3479="","",COUNTA($C$3:C3479))</f>
        <v/>
      </c>
      <c r="B3479" s="15" t="str">
        <f t="shared" si="315"/>
        <v/>
      </c>
      <c r="M3479" s="9"/>
      <c r="N3479" s="9"/>
      <c r="P3479" s="14"/>
      <c r="Q3479" s="85"/>
      <c r="R3479" s="89"/>
      <c r="U3479" s="11" t="str">
        <f t="shared" si="313"/>
        <v/>
      </c>
      <c r="V3479" s="12" t="str">
        <f t="shared" si="314"/>
        <v/>
      </c>
      <c r="Z3479" s="15"/>
    </row>
    <row r="3480" spans="1:26" x14ac:dyDescent="0.25">
      <c r="A3480" s="15" t="str">
        <f>IF(C3480="","",COUNTA($C$3:C3480))</f>
        <v/>
      </c>
      <c r="B3480" s="15" t="str">
        <f t="shared" si="315"/>
        <v/>
      </c>
      <c r="M3480" s="9"/>
      <c r="N3480" s="9"/>
      <c r="P3480" s="14"/>
      <c r="Q3480" s="85"/>
      <c r="R3480" s="89"/>
      <c r="U3480" s="11" t="str">
        <f t="shared" si="313"/>
        <v/>
      </c>
      <c r="V3480" s="12" t="str">
        <f t="shared" si="314"/>
        <v/>
      </c>
      <c r="Z3480" s="15"/>
    </row>
    <row r="3481" spans="1:26" x14ac:dyDescent="0.25">
      <c r="A3481" s="15" t="str">
        <f>IF(C3481="","",COUNTA($C$3:C3481))</f>
        <v/>
      </c>
      <c r="B3481" s="15" t="str">
        <f t="shared" si="315"/>
        <v/>
      </c>
      <c r="M3481" s="9"/>
      <c r="N3481" s="9"/>
      <c r="P3481" s="14"/>
      <c r="Q3481" s="85"/>
      <c r="R3481" s="89"/>
      <c r="U3481" s="11" t="str">
        <f t="shared" si="313"/>
        <v/>
      </c>
      <c r="V3481" s="12" t="str">
        <f t="shared" si="314"/>
        <v/>
      </c>
      <c r="Z3481" s="15"/>
    </row>
    <row r="3482" spans="1:26" x14ac:dyDescent="0.25">
      <c r="A3482" s="15" t="str">
        <f>IF(C3482="","",COUNTA($C$3:C3482))</f>
        <v/>
      </c>
      <c r="B3482" s="15" t="str">
        <f t="shared" si="315"/>
        <v/>
      </c>
      <c r="M3482" s="9"/>
      <c r="N3482" s="9"/>
      <c r="P3482" s="14"/>
      <c r="Q3482" s="85"/>
      <c r="R3482" s="89"/>
      <c r="U3482" s="11" t="str">
        <f t="shared" si="313"/>
        <v/>
      </c>
      <c r="V3482" s="12" t="str">
        <f t="shared" si="314"/>
        <v/>
      </c>
      <c r="Z3482" s="15"/>
    </row>
    <row r="3483" spans="1:26" x14ac:dyDescent="0.25">
      <c r="A3483" s="15" t="str">
        <f>IF(C3483="","",COUNTA($C$3:C3483))</f>
        <v/>
      </c>
      <c r="B3483" s="15" t="str">
        <f t="shared" si="315"/>
        <v/>
      </c>
      <c r="M3483" s="9"/>
      <c r="N3483" s="9"/>
      <c r="P3483" s="14"/>
      <c r="Q3483" s="85"/>
      <c r="R3483" s="89"/>
      <c r="U3483" s="11" t="str">
        <f t="shared" si="313"/>
        <v/>
      </c>
      <c r="V3483" s="12" t="str">
        <f t="shared" si="314"/>
        <v/>
      </c>
      <c r="Z3483" s="15"/>
    </row>
    <row r="3484" spans="1:26" x14ac:dyDescent="0.25">
      <c r="A3484" s="15" t="str">
        <f>IF(C3484="","",COUNTA($C$3:C3484))</f>
        <v/>
      </c>
      <c r="B3484" s="15" t="str">
        <f t="shared" si="315"/>
        <v/>
      </c>
      <c r="M3484" s="9"/>
      <c r="N3484" s="9"/>
      <c r="P3484" s="14"/>
      <c r="Q3484" s="85"/>
      <c r="R3484" s="89"/>
      <c r="U3484" s="11" t="str">
        <f t="shared" si="313"/>
        <v/>
      </c>
      <c r="V3484" s="12" t="str">
        <f t="shared" si="314"/>
        <v/>
      </c>
      <c r="Z3484" s="15"/>
    </row>
    <row r="3485" spans="1:26" x14ac:dyDescent="0.25">
      <c r="A3485" s="15" t="str">
        <f>IF(C3485="","",COUNTA($C$3:C3485))</f>
        <v/>
      </c>
      <c r="B3485" s="15" t="str">
        <f t="shared" si="315"/>
        <v/>
      </c>
      <c r="M3485" s="9"/>
      <c r="N3485" s="9"/>
      <c r="P3485" s="14"/>
      <c r="Q3485" s="85"/>
      <c r="R3485" s="89"/>
      <c r="U3485" s="11" t="str">
        <f t="shared" si="313"/>
        <v/>
      </c>
      <c r="V3485" s="12" t="str">
        <f t="shared" si="314"/>
        <v/>
      </c>
      <c r="Z3485" s="15"/>
    </row>
    <row r="3486" spans="1:26" x14ac:dyDescent="0.25">
      <c r="A3486" s="15" t="str">
        <f>IF(C3486="","",COUNTA($C$3:C3486))</f>
        <v/>
      </c>
      <c r="B3486" s="15" t="str">
        <f t="shared" si="315"/>
        <v/>
      </c>
      <c r="M3486" s="9"/>
      <c r="N3486" s="9"/>
      <c r="P3486" s="14"/>
      <c r="Q3486" s="85"/>
      <c r="R3486" s="89"/>
      <c r="U3486" s="11" t="str">
        <f t="shared" si="313"/>
        <v/>
      </c>
      <c r="V3486" s="12" t="str">
        <f t="shared" si="314"/>
        <v/>
      </c>
      <c r="Z3486" s="15"/>
    </row>
    <row r="3487" spans="1:26" x14ac:dyDescent="0.25">
      <c r="A3487" s="15" t="str">
        <f>IF(C3487="","",COUNTA($C$3:C3487))</f>
        <v/>
      </c>
      <c r="B3487" s="15" t="str">
        <f t="shared" si="315"/>
        <v/>
      </c>
      <c r="M3487" s="9"/>
      <c r="N3487" s="9"/>
      <c r="P3487" s="14"/>
      <c r="Q3487" s="85"/>
      <c r="R3487" s="89"/>
      <c r="U3487" s="11" t="str">
        <f t="shared" si="313"/>
        <v/>
      </c>
      <c r="V3487" s="12" t="str">
        <f t="shared" si="314"/>
        <v/>
      </c>
      <c r="Z3487" s="15"/>
    </row>
    <row r="3488" spans="1:26" x14ac:dyDescent="0.25">
      <c r="A3488" s="15" t="str">
        <f>IF(C3488="","",COUNTA($C$3:C3488))</f>
        <v/>
      </c>
      <c r="B3488" s="15" t="str">
        <f t="shared" si="315"/>
        <v/>
      </c>
      <c r="M3488" s="9"/>
      <c r="N3488" s="9"/>
      <c r="P3488" s="14"/>
      <c r="Q3488" s="85"/>
      <c r="R3488" s="89"/>
      <c r="U3488" s="11" t="str">
        <f t="shared" si="313"/>
        <v/>
      </c>
      <c r="V3488" s="12" t="str">
        <f t="shared" si="314"/>
        <v/>
      </c>
      <c r="Z3488" s="15"/>
    </row>
    <row r="3489" spans="1:26" x14ac:dyDescent="0.25">
      <c r="A3489" s="15" t="str">
        <f>IF(C3489="","",COUNTA($C$3:C3489))</f>
        <v/>
      </c>
      <c r="B3489" s="15" t="str">
        <f t="shared" si="315"/>
        <v/>
      </c>
      <c r="M3489" s="9"/>
      <c r="N3489" s="9"/>
      <c r="P3489" s="14"/>
      <c r="Q3489" s="85"/>
      <c r="R3489" s="89"/>
      <c r="U3489" s="11" t="str">
        <f t="shared" si="313"/>
        <v/>
      </c>
      <c r="V3489" s="12" t="str">
        <f t="shared" si="314"/>
        <v/>
      </c>
      <c r="Z3489" s="15"/>
    </row>
    <row r="3490" spans="1:26" x14ac:dyDescent="0.25">
      <c r="A3490" s="15" t="str">
        <f>IF(C3490="","",COUNTA($C$3:C3490))</f>
        <v/>
      </c>
      <c r="B3490" s="15" t="str">
        <f t="shared" si="315"/>
        <v/>
      </c>
      <c r="M3490" s="9"/>
      <c r="N3490" s="9"/>
      <c r="P3490" s="14"/>
      <c r="Q3490" s="85"/>
      <c r="R3490" s="89"/>
      <c r="U3490" s="11" t="str">
        <f t="shared" si="313"/>
        <v/>
      </c>
      <c r="V3490" s="12" t="str">
        <f t="shared" si="314"/>
        <v/>
      </c>
      <c r="Z3490" s="15"/>
    </row>
    <row r="3491" spans="1:26" x14ac:dyDescent="0.25">
      <c r="A3491" s="15" t="str">
        <f>IF(C3491="","",COUNTA($C$3:C3491))</f>
        <v/>
      </c>
      <c r="B3491" s="15" t="str">
        <f t="shared" si="315"/>
        <v/>
      </c>
      <c r="M3491" s="9"/>
      <c r="N3491" s="9"/>
      <c r="P3491" s="14"/>
      <c r="Q3491" s="85"/>
      <c r="R3491" s="89"/>
      <c r="U3491" s="11" t="str">
        <f t="shared" si="313"/>
        <v/>
      </c>
      <c r="V3491" s="12" t="str">
        <f t="shared" si="314"/>
        <v/>
      </c>
      <c r="Z3491" s="15"/>
    </row>
    <row r="3492" spans="1:26" x14ac:dyDescent="0.25">
      <c r="A3492" s="15" t="str">
        <f>IF(C3492="","",COUNTA($C$3:C3492))</f>
        <v/>
      </c>
      <c r="B3492" s="15" t="str">
        <f t="shared" si="315"/>
        <v/>
      </c>
      <c r="M3492" s="9"/>
      <c r="N3492" s="9"/>
      <c r="P3492" s="14"/>
      <c r="Q3492" s="85"/>
      <c r="R3492" s="89"/>
      <c r="U3492" s="11" t="str">
        <f t="shared" si="313"/>
        <v/>
      </c>
      <c r="V3492" s="12" t="str">
        <f t="shared" si="314"/>
        <v/>
      </c>
      <c r="Z3492" s="15"/>
    </row>
    <row r="3493" spans="1:26" x14ac:dyDescent="0.25">
      <c r="A3493" s="15" t="str">
        <f>IF(C3493="","",COUNTA($C$3:C3493))</f>
        <v/>
      </c>
      <c r="B3493" s="15" t="str">
        <f t="shared" si="315"/>
        <v/>
      </c>
      <c r="M3493" s="9"/>
      <c r="N3493" s="9"/>
      <c r="P3493" s="14"/>
      <c r="Q3493" s="85"/>
      <c r="R3493" s="89"/>
      <c r="U3493" s="11" t="str">
        <f t="shared" si="313"/>
        <v/>
      </c>
      <c r="V3493" s="12" t="str">
        <f t="shared" si="314"/>
        <v/>
      </c>
      <c r="Z3493" s="15"/>
    </row>
    <row r="3494" spans="1:26" x14ac:dyDescent="0.25">
      <c r="A3494" s="15" t="str">
        <f>IF(C3494="","",COUNTA($C$3:C3494))</f>
        <v/>
      </c>
      <c r="B3494" s="15" t="str">
        <f t="shared" si="315"/>
        <v/>
      </c>
      <c r="M3494" s="9"/>
      <c r="N3494" s="9"/>
      <c r="P3494" s="14"/>
      <c r="Q3494" s="85"/>
      <c r="R3494" s="89"/>
      <c r="U3494" s="11" t="str">
        <f t="shared" si="313"/>
        <v/>
      </c>
      <c r="V3494" s="12" t="str">
        <f t="shared" si="314"/>
        <v/>
      </c>
      <c r="Z3494" s="15"/>
    </row>
    <row r="3495" spans="1:26" x14ac:dyDescent="0.25">
      <c r="A3495" s="15" t="str">
        <f>IF(C3495="","",COUNTA($C$3:C3495))</f>
        <v/>
      </c>
      <c r="B3495" s="15" t="str">
        <f t="shared" si="315"/>
        <v/>
      </c>
      <c r="M3495" s="9"/>
      <c r="N3495" s="9"/>
      <c r="P3495" s="14"/>
      <c r="Q3495" s="85"/>
      <c r="R3495" s="89"/>
      <c r="U3495" s="11" t="str">
        <f t="shared" si="313"/>
        <v/>
      </c>
      <c r="V3495" s="12" t="str">
        <f t="shared" si="314"/>
        <v/>
      </c>
      <c r="Z3495" s="15"/>
    </row>
    <row r="3496" spans="1:26" x14ac:dyDescent="0.25">
      <c r="A3496" s="15" t="str">
        <f>IF(C3496="","",COUNTA($C$3:C3496))</f>
        <v/>
      </c>
      <c r="B3496" s="15" t="str">
        <f t="shared" si="315"/>
        <v/>
      </c>
      <c r="M3496" s="9"/>
      <c r="N3496" s="9"/>
      <c r="P3496" s="14"/>
      <c r="Q3496" s="85"/>
      <c r="R3496" s="89"/>
      <c r="U3496" s="11" t="str">
        <f t="shared" si="313"/>
        <v/>
      </c>
      <c r="V3496" s="12" t="str">
        <f t="shared" si="314"/>
        <v/>
      </c>
      <c r="Z3496" s="15"/>
    </row>
    <row r="3497" spans="1:26" x14ac:dyDescent="0.25">
      <c r="A3497" s="15" t="str">
        <f>IF(C3497="","",COUNTA($C$3:C3497))</f>
        <v/>
      </c>
      <c r="B3497" s="15" t="str">
        <f t="shared" si="315"/>
        <v/>
      </c>
      <c r="M3497" s="9"/>
      <c r="N3497" s="9"/>
      <c r="P3497" s="14"/>
      <c r="Q3497" s="85"/>
      <c r="R3497" s="89"/>
      <c r="U3497" s="11" t="str">
        <f t="shared" si="313"/>
        <v/>
      </c>
      <c r="V3497" s="12" t="str">
        <f t="shared" si="314"/>
        <v/>
      </c>
      <c r="Z3497" s="15"/>
    </row>
    <row r="3498" spans="1:26" x14ac:dyDescent="0.25">
      <c r="A3498" s="15" t="str">
        <f>IF(C3498="","",COUNTA($C$3:C3498))</f>
        <v/>
      </c>
      <c r="B3498" s="15" t="str">
        <f t="shared" si="315"/>
        <v/>
      </c>
      <c r="M3498" s="9"/>
      <c r="N3498" s="9"/>
      <c r="P3498" s="14"/>
      <c r="Q3498" s="85"/>
      <c r="R3498" s="89"/>
      <c r="U3498" s="11" t="str">
        <f t="shared" si="313"/>
        <v/>
      </c>
      <c r="V3498" s="12" t="str">
        <f t="shared" si="314"/>
        <v/>
      </c>
      <c r="Z3498" s="15"/>
    </row>
    <row r="3499" spans="1:26" x14ac:dyDescent="0.25">
      <c r="A3499" s="15" t="str">
        <f>IF(C3499="","",COUNTA($C$3:C3499))</f>
        <v/>
      </c>
      <c r="B3499" s="15" t="str">
        <f t="shared" si="315"/>
        <v/>
      </c>
      <c r="M3499" s="9"/>
      <c r="N3499" s="9"/>
      <c r="P3499" s="14"/>
      <c r="Q3499" s="85"/>
      <c r="R3499" s="89"/>
      <c r="U3499" s="11" t="str">
        <f t="shared" si="313"/>
        <v/>
      </c>
      <c r="V3499" s="12" t="str">
        <f t="shared" si="314"/>
        <v/>
      </c>
      <c r="Z3499" s="15"/>
    </row>
    <row r="3500" spans="1:26" x14ac:dyDescent="0.25">
      <c r="A3500" s="15" t="str">
        <f>IF(C3500="","",COUNTA($C$3:C3500))</f>
        <v/>
      </c>
      <c r="B3500" s="15" t="str">
        <f t="shared" si="315"/>
        <v/>
      </c>
      <c r="M3500" s="9"/>
      <c r="N3500" s="9"/>
      <c r="P3500" s="14"/>
      <c r="Q3500" s="85"/>
      <c r="R3500" s="89"/>
      <c r="U3500" s="11" t="str">
        <f t="shared" si="313"/>
        <v/>
      </c>
      <c r="V3500" s="12" t="str">
        <f t="shared" si="314"/>
        <v/>
      </c>
      <c r="Z3500" s="15"/>
    </row>
    <row r="3501" spans="1:26" x14ac:dyDescent="0.25">
      <c r="A3501" s="15" t="str">
        <f>IF(C3501="","",COUNTA($C$3:C3501))</f>
        <v/>
      </c>
      <c r="B3501" s="15" t="str">
        <f t="shared" si="315"/>
        <v/>
      </c>
      <c r="M3501" s="9"/>
      <c r="N3501" s="9"/>
      <c r="P3501" s="14"/>
      <c r="Q3501" s="85"/>
      <c r="R3501" s="89"/>
      <c r="U3501" s="11" t="str">
        <f t="shared" si="313"/>
        <v/>
      </c>
      <c r="V3501" s="12" t="str">
        <f t="shared" si="314"/>
        <v/>
      </c>
      <c r="Z3501" s="15"/>
    </row>
    <row r="3502" spans="1:26" x14ac:dyDescent="0.25">
      <c r="A3502" s="15" t="str">
        <f>IF(C3502="","",COUNTA($C$3:C3502))</f>
        <v/>
      </c>
      <c r="B3502" s="15" t="str">
        <f t="shared" si="315"/>
        <v/>
      </c>
      <c r="M3502" s="9"/>
      <c r="N3502" s="9"/>
      <c r="P3502" s="14"/>
      <c r="Q3502" s="85"/>
      <c r="R3502" s="89"/>
      <c r="U3502" s="11" t="str">
        <f t="shared" si="313"/>
        <v/>
      </c>
      <c r="V3502" s="12" t="str">
        <f t="shared" si="314"/>
        <v/>
      </c>
      <c r="Z3502" s="15"/>
    </row>
    <row r="3503" spans="1:26" x14ac:dyDescent="0.25">
      <c r="A3503" s="15" t="str">
        <f>IF(C3503="","",COUNTA($C$3:C3503))</f>
        <v/>
      </c>
      <c r="B3503" s="15" t="str">
        <f t="shared" si="315"/>
        <v/>
      </c>
      <c r="M3503" s="9"/>
      <c r="N3503" s="9"/>
      <c r="P3503" s="14"/>
      <c r="Q3503" s="85"/>
      <c r="R3503" s="89"/>
      <c r="U3503" s="11" t="str">
        <f t="shared" si="313"/>
        <v/>
      </c>
      <c r="V3503" s="12" t="str">
        <f t="shared" si="314"/>
        <v/>
      </c>
      <c r="Z3503" s="15"/>
    </row>
    <row r="3504" spans="1:26" x14ac:dyDescent="0.25">
      <c r="A3504" s="15" t="str">
        <f>IF(C3504="","",COUNTA($C$3:C3504))</f>
        <v/>
      </c>
      <c r="B3504" s="15" t="str">
        <f t="shared" si="315"/>
        <v/>
      </c>
      <c r="M3504" s="9"/>
      <c r="N3504" s="9"/>
      <c r="P3504" s="14"/>
      <c r="Q3504" s="85"/>
      <c r="R3504" s="89"/>
      <c r="U3504" s="11" t="str">
        <f t="shared" si="313"/>
        <v/>
      </c>
      <c r="V3504" s="12" t="str">
        <f t="shared" si="314"/>
        <v/>
      </c>
      <c r="Z3504" s="15"/>
    </row>
    <row r="3505" spans="1:26" x14ac:dyDescent="0.25">
      <c r="A3505" s="15" t="str">
        <f>IF(C3505="","",COUNTA($C$3:C3505))</f>
        <v/>
      </c>
      <c r="B3505" s="15" t="str">
        <f t="shared" si="315"/>
        <v/>
      </c>
      <c r="M3505" s="9"/>
      <c r="N3505" s="9"/>
      <c r="P3505" s="14"/>
      <c r="Q3505" s="85"/>
      <c r="R3505" s="89"/>
      <c r="U3505" s="11" t="str">
        <f t="shared" si="313"/>
        <v/>
      </c>
      <c r="V3505" s="12" t="str">
        <f t="shared" si="314"/>
        <v/>
      </c>
      <c r="Z3505" s="15"/>
    </row>
    <row r="3506" spans="1:26" x14ac:dyDescent="0.25">
      <c r="A3506" s="15" t="str">
        <f>IF(C3506="","",COUNTA($C$3:C3506))</f>
        <v/>
      </c>
      <c r="B3506" s="15" t="str">
        <f t="shared" si="315"/>
        <v/>
      </c>
      <c r="M3506" s="9"/>
      <c r="N3506" s="9"/>
      <c r="P3506" s="14"/>
      <c r="Q3506" s="85"/>
      <c r="R3506" s="89"/>
      <c r="U3506" s="11" t="str">
        <f t="shared" si="313"/>
        <v/>
      </c>
      <c r="V3506" s="12" t="str">
        <f t="shared" si="314"/>
        <v/>
      </c>
      <c r="Z3506" s="15"/>
    </row>
    <row r="3507" spans="1:26" x14ac:dyDescent="0.25">
      <c r="A3507" s="15" t="str">
        <f>IF(C3507="","",COUNTA($C$3:C3507))</f>
        <v/>
      </c>
      <c r="B3507" s="15" t="str">
        <f t="shared" si="315"/>
        <v/>
      </c>
      <c r="M3507" s="9"/>
      <c r="N3507" s="9"/>
      <c r="P3507" s="14"/>
      <c r="Q3507" s="85"/>
      <c r="R3507" s="89"/>
      <c r="U3507" s="11" t="str">
        <f t="shared" si="313"/>
        <v/>
      </c>
      <c r="V3507" s="12" t="str">
        <f t="shared" si="314"/>
        <v/>
      </c>
      <c r="Z3507" s="15"/>
    </row>
    <row r="3508" spans="1:26" x14ac:dyDescent="0.25">
      <c r="A3508" s="15" t="str">
        <f>IF(C3508="","",COUNTA($C$3:C3508))</f>
        <v/>
      </c>
      <c r="B3508" s="15" t="str">
        <f t="shared" si="315"/>
        <v/>
      </c>
      <c r="M3508" s="9"/>
      <c r="N3508" s="9"/>
      <c r="P3508" s="14"/>
      <c r="Q3508" s="85"/>
      <c r="R3508" s="89"/>
      <c r="U3508" s="11" t="str">
        <f t="shared" si="313"/>
        <v/>
      </c>
      <c r="V3508" s="12" t="str">
        <f t="shared" si="314"/>
        <v/>
      </c>
      <c r="Z3508" s="15"/>
    </row>
    <row r="3509" spans="1:26" x14ac:dyDescent="0.25">
      <c r="A3509" s="15" t="str">
        <f>IF(C3509="","",COUNTA($C$3:C3509))</f>
        <v/>
      </c>
      <c r="B3509" s="15" t="str">
        <f t="shared" si="315"/>
        <v/>
      </c>
      <c r="M3509" s="9"/>
      <c r="N3509" s="9"/>
      <c r="P3509" s="14"/>
      <c r="Q3509" s="85"/>
      <c r="R3509" s="89"/>
      <c r="U3509" s="11" t="str">
        <f t="shared" si="313"/>
        <v/>
      </c>
      <c r="V3509" s="12" t="str">
        <f t="shared" si="314"/>
        <v/>
      </c>
      <c r="Z3509" s="15"/>
    </row>
    <row r="3510" spans="1:26" x14ac:dyDescent="0.25">
      <c r="A3510" s="15" t="str">
        <f>IF(C3510="","",COUNTA($C$3:C3510))</f>
        <v/>
      </c>
      <c r="B3510" s="15" t="str">
        <f t="shared" si="315"/>
        <v/>
      </c>
      <c r="M3510" s="9"/>
      <c r="N3510" s="9"/>
      <c r="P3510" s="14"/>
      <c r="Q3510" s="85"/>
      <c r="R3510" s="89"/>
      <c r="U3510" s="11" t="str">
        <f t="shared" si="313"/>
        <v/>
      </c>
      <c r="V3510" s="12" t="str">
        <f t="shared" si="314"/>
        <v/>
      </c>
      <c r="Z3510" s="15"/>
    </row>
    <row r="3511" spans="1:26" x14ac:dyDescent="0.25">
      <c r="A3511" s="15" t="str">
        <f>IF(C3511="","",COUNTA($C$3:C3511))</f>
        <v/>
      </c>
      <c r="B3511" s="15" t="str">
        <f t="shared" si="315"/>
        <v/>
      </c>
      <c r="M3511" s="9"/>
      <c r="N3511" s="9"/>
      <c r="P3511" s="14"/>
      <c r="Q3511" s="85"/>
      <c r="R3511" s="89"/>
      <c r="U3511" s="11" t="str">
        <f t="shared" si="313"/>
        <v/>
      </c>
      <c r="V3511" s="12" t="str">
        <f t="shared" si="314"/>
        <v/>
      </c>
      <c r="Z3511" s="15"/>
    </row>
    <row r="3512" spans="1:26" x14ac:dyDescent="0.25">
      <c r="A3512" s="15" t="str">
        <f>IF(C3512="","",COUNTA($C$3:C3512))</f>
        <v/>
      </c>
      <c r="B3512" s="15" t="str">
        <f t="shared" si="315"/>
        <v/>
      </c>
      <c r="M3512" s="9"/>
      <c r="N3512" s="9"/>
      <c r="P3512" s="14"/>
      <c r="Q3512" s="85"/>
      <c r="R3512" s="89"/>
      <c r="U3512" s="11" t="str">
        <f t="shared" si="313"/>
        <v/>
      </c>
      <c r="V3512" s="12" t="str">
        <f t="shared" si="314"/>
        <v/>
      </c>
      <c r="Z3512" s="15"/>
    </row>
    <row r="3513" spans="1:26" x14ac:dyDescent="0.25">
      <c r="A3513" s="15" t="str">
        <f>IF(C3513="","",COUNTA($C$3:C3513))</f>
        <v/>
      </c>
      <c r="B3513" s="15" t="str">
        <f t="shared" si="315"/>
        <v/>
      </c>
      <c r="M3513" s="9"/>
      <c r="N3513" s="9"/>
      <c r="P3513" s="14"/>
      <c r="Q3513" s="85"/>
      <c r="R3513" s="89"/>
      <c r="U3513" s="11" t="str">
        <f t="shared" si="313"/>
        <v/>
      </c>
      <c r="V3513" s="12" t="str">
        <f t="shared" si="314"/>
        <v/>
      </c>
      <c r="Z3513" s="15"/>
    </row>
    <row r="3514" spans="1:26" x14ac:dyDescent="0.25">
      <c r="A3514" s="15" t="str">
        <f>IF(C3514="","",COUNTA($C$3:C3514))</f>
        <v/>
      </c>
      <c r="B3514" s="15" t="str">
        <f t="shared" si="315"/>
        <v/>
      </c>
      <c r="M3514" s="9"/>
      <c r="N3514" s="9"/>
      <c r="P3514" s="14"/>
      <c r="Q3514" s="85"/>
      <c r="R3514" s="89"/>
      <c r="U3514" s="11" t="str">
        <f t="shared" si="313"/>
        <v/>
      </c>
      <c r="V3514" s="12" t="str">
        <f t="shared" si="314"/>
        <v/>
      </c>
      <c r="Z3514" s="15"/>
    </row>
    <row r="3515" spans="1:26" x14ac:dyDescent="0.25">
      <c r="A3515" s="15" t="str">
        <f>IF(C3515="","",COUNTA($C$3:C3515))</f>
        <v/>
      </c>
      <c r="B3515" s="15" t="str">
        <f t="shared" si="315"/>
        <v/>
      </c>
      <c r="M3515" s="9"/>
      <c r="N3515" s="9"/>
      <c r="P3515" s="14"/>
      <c r="Q3515" s="85"/>
      <c r="R3515" s="89"/>
      <c r="U3515" s="11" t="str">
        <f t="shared" si="313"/>
        <v/>
      </c>
      <c r="V3515" s="12" t="str">
        <f t="shared" si="314"/>
        <v/>
      </c>
      <c r="Z3515" s="15"/>
    </row>
    <row r="3516" spans="1:26" x14ac:dyDescent="0.25">
      <c r="A3516" s="15" t="str">
        <f>IF(C3516="","",COUNTA($C$3:C3516))</f>
        <v/>
      </c>
      <c r="B3516" s="15" t="str">
        <f t="shared" si="315"/>
        <v/>
      </c>
      <c r="M3516" s="9"/>
      <c r="N3516" s="9"/>
      <c r="P3516" s="14"/>
      <c r="Q3516" s="85"/>
      <c r="R3516" s="89"/>
      <c r="U3516" s="11" t="str">
        <f t="shared" si="313"/>
        <v/>
      </c>
      <c r="V3516" s="12" t="str">
        <f t="shared" si="314"/>
        <v/>
      </c>
      <c r="Z3516" s="15"/>
    </row>
    <row r="3517" spans="1:26" x14ac:dyDescent="0.25">
      <c r="A3517" s="15" t="str">
        <f>IF(C3517="","",COUNTA($C$3:C3517))</f>
        <v/>
      </c>
      <c r="B3517" s="15" t="str">
        <f t="shared" si="315"/>
        <v/>
      </c>
      <c r="M3517" s="9"/>
      <c r="N3517" s="9"/>
      <c r="P3517" s="14"/>
      <c r="Q3517" s="85"/>
      <c r="R3517" s="89"/>
      <c r="U3517" s="11" t="str">
        <f t="shared" si="313"/>
        <v/>
      </c>
      <c r="V3517" s="12" t="str">
        <f t="shared" si="314"/>
        <v/>
      </c>
      <c r="Z3517" s="15"/>
    </row>
    <row r="3518" spans="1:26" x14ac:dyDescent="0.25">
      <c r="A3518" s="15" t="str">
        <f>IF(C3518="","",COUNTA($C$3:C3518))</f>
        <v/>
      </c>
      <c r="B3518" s="15" t="str">
        <f t="shared" si="315"/>
        <v/>
      </c>
      <c r="M3518" s="9"/>
      <c r="N3518" s="9"/>
      <c r="P3518" s="14"/>
      <c r="Q3518" s="85"/>
      <c r="R3518" s="89"/>
      <c r="U3518" s="11" t="str">
        <f t="shared" si="313"/>
        <v/>
      </c>
      <c r="V3518" s="12" t="str">
        <f t="shared" si="314"/>
        <v/>
      </c>
      <c r="Z3518" s="15"/>
    </row>
    <row r="3519" spans="1:26" x14ac:dyDescent="0.25">
      <c r="A3519" s="15" t="str">
        <f>IF(C3519="","",COUNTA($C$3:C3519))</f>
        <v/>
      </c>
      <c r="B3519" s="15" t="str">
        <f t="shared" si="315"/>
        <v/>
      </c>
      <c r="M3519" s="9"/>
      <c r="N3519" s="9"/>
      <c r="P3519" s="14"/>
      <c r="Q3519" s="85"/>
      <c r="R3519" s="89"/>
      <c r="U3519" s="11" t="str">
        <f t="shared" si="313"/>
        <v/>
      </c>
      <c r="V3519" s="12" t="str">
        <f t="shared" si="314"/>
        <v/>
      </c>
      <c r="Z3519" s="15"/>
    </row>
    <row r="3520" spans="1:26" x14ac:dyDescent="0.25">
      <c r="A3520" s="15" t="str">
        <f>IF(C3520="","",COUNTA($C$3:C3520))</f>
        <v/>
      </c>
      <c r="B3520" s="15" t="str">
        <f t="shared" si="315"/>
        <v/>
      </c>
      <c r="M3520" s="9"/>
      <c r="N3520" s="9"/>
      <c r="P3520" s="14"/>
      <c r="Q3520" s="85"/>
      <c r="R3520" s="89"/>
      <c r="U3520" s="11" t="str">
        <f t="shared" si="313"/>
        <v/>
      </c>
      <c r="V3520" s="12" t="str">
        <f t="shared" si="314"/>
        <v/>
      </c>
      <c r="Z3520" s="15"/>
    </row>
    <row r="3521" spans="1:26" x14ac:dyDescent="0.25">
      <c r="A3521" s="15" t="str">
        <f>IF(C3521="","",COUNTA($C$3:C3521))</f>
        <v/>
      </c>
      <c r="B3521" s="15" t="str">
        <f t="shared" si="315"/>
        <v/>
      </c>
      <c r="M3521" s="9"/>
      <c r="N3521" s="9"/>
      <c r="P3521" s="14"/>
      <c r="Q3521" s="85"/>
      <c r="R3521" s="89"/>
      <c r="U3521" s="11" t="str">
        <f t="shared" si="313"/>
        <v/>
      </c>
      <c r="V3521" s="12" t="str">
        <f t="shared" si="314"/>
        <v/>
      </c>
      <c r="Z3521" s="15"/>
    </row>
    <row r="3522" spans="1:26" x14ac:dyDescent="0.25">
      <c r="A3522" s="15" t="str">
        <f>IF(C3522="","",COUNTA($C$3:C3522))</f>
        <v/>
      </c>
      <c r="B3522" s="15" t="str">
        <f t="shared" si="315"/>
        <v/>
      </c>
      <c r="M3522" s="9"/>
      <c r="N3522" s="9"/>
      <c r="P3522" s="14"/>
      <c r="Q3522" s="85"/>
      <c r="R3522" s="89"/>
      <c r="U3522" s="11" t="str">
        <f t="shared" ref="U3522:U3585" si="316">IF(S3522="","",(S3522-T3522))</f>
        <v/>
      </c>
      <c r="V3522" s="12" t="str">
        <f t="shared" ref="V3522:V3585" si="317">IF(U3522="","",(U3522/T3522))</f>
        <v/>
      </c>
      <c r="Z3522" s="15"/>
    </row>
    <row r="3523" spans="1:26" x14ac:dyDescent="0.25">
      <c r="A3523" s="15" t="str">
        <f>IF(C3523="","",COUNTA($C$3:C3523))</f>
        <v/>
      </c>
      <c r="B3523" s="15" t="str">
        <f t="shared" ref="B3523:B3586" si="318">IF(C3523="","",TEXT(C3523,"mmmm"))</f>
        <v/>
      </c>
      <c r="M3523" s="9"/>
      <c r="N3523" s="9"/>
      <c r="P3523" s="14"/>
      <c r="Q3523" s="85"/>
      <c r="R3523" s="89"/>
      <c r="U3523" s="11" t="str">
        <f t="shared" si="316"/>
        <v/>
      </c>
      <c r="V3523" s="12" t="str">
        <f t="shared" si="317"/>
        <v/>
      </c>
      <c r="Z3523" s="15"/>
    </row>
    <row r="3524" spans="1:26" x14ac:dyDescent="0.25">
      <c r="A3524" s="15" t="str">
        <f>IF(C3524="","",COUNTA($C$3:C3524))</f>
        <v/>
      </c>
      <c r="B3524" s="15" t="str">
        <f t="shared" si="318"/>
        <v/>
      </c>
      <c r="M3524" s="9"/>
      <c r="N3524" s="9"/>
      <c r="P3524" s="14"/>
      <c r="Q3524" s="85"/>
      <c r="R3524" s="89"/>
      <c r="U3524" s="11" t="str">
        <f t="shared" si="316"/>
        <v/>
      </c>
      <c r="V3524" s="12" t="str">
        <f t="shared" si="317"/>
        <v/>
      </c>
      <c r="Z3524" s="15"/>
    </row>
    <row r="3525" spans="1:26" x14ac:dyDescent="0.25">
      <c r="A3525" s="15" t="str">
        <f>IF(C3525="","",COUNTA($C$3:C3525))</f>
        <v/>
      </c>
      <c r="B3525" s="15" t="str">
        <f t="shared" si="318"/>
        <v/>
      </c>
      <c r="M3525" s="9"/>
      <c r="N3525" s="9"/>
      <c r="P3525" s="14"/>
      <c r="Q3525" s="85"/>
      <c r="R3525" s="89"/>
      <c r="U3525" s="11" t="str">
        <f t="shared" si="316"/>
        <v/>
      </c>
      <c r="V3525" s="12" t="str">
        <f t="shared" si="317"/>
        <v/>
      </c>
      <c r="Z3525" s="15"/>
    </row>
    <row r="3526" spans="1:26" x14ac:dyDescent="0.25">
      <c r="A3526" s="15" t="str">
        <f>IF(C3526="","",COUNTA($C$3:C3526))</f>
        <v/>
      </c>
      <c r="B3526" s="15" t="str">
        <f t="shared" si="318"/>
        <v/>
      </c>
      <c r="M3526" s="9"/>
      <c r="N3526" s="9"/>
      <c r="P3526" s="14"/>
      <c r="Q3526" s="85"/>
      <c r="R3526" s="89"/>
      <c r="U3526" s="11" t="str">
        <f t="shared" si="316"/>
        <v/>
      </c>
      <c r="V3526" s="12" t="str">
        <f t="shared" si="317"/>
        <v/>
      </c>
      <c r="Z3526" s="15"/>
    </row>
    <row r="3527" spans="1:26" x14ac:dyDescent="0.25">
      <c r="A3527" s="15" t="str">
        <f>IF(C3527="","",COUNTA($C$3:C3527))</f>
        <v/>
      </c>
      <c r="B3527" s="15" t="str">
        <f t="shared" si="318"/>
        <v/>
      </c>
      <c r="M3527" s="9"/>
      <c r="N3527" s="9"/>
      <c r="P3527" s="14"/>
      <c r="Q3527" s="85"/>
      <c r="R3527" s="89"/>
      <c r="U3527" s="11" t="str">
        <f t="shared" si="316"/>
        <v/>
      </c>
      <c r="V3527" s="12" t="str">
        <f t="shared" si="317"/>
        <v/>
      </c>
      <c r="Z3527" s="15"/>
    </row>
    <row r="3528" spans="1:26" x14ac:dyDescent="0.25">
      <c r="A3528" s="15" t="str">
        <f>IF(C3528="","",COUNTA($C$3:C3528))</f>
        <v/>
      </c>
      <c r="B3528" s="15" t="str">
        <f t="shared" si="318"/>
        <v/>
      </c>
      <c r="M3528" s="9"/>
      <c r="N3528" s="9"/>
      <c r="P3528" s="14"/>
      <c r="Q3528" s="85"/>
      <c r="R3528" s="89"/>
      <c r="U3528" s="11" t="str">
        <f t="shared" si="316"/>
        <v/>
      </c>
      <c r="V3528" s="12" t="str">
        <f t="shared" si="317"/>
        <v/>
      </c>
      <c r="Z3528" s="15"/>
    </row>
    <row r="3529" spans="1:26" x14ac:dyDescent="0.25">
      <c r="A3529" s="15" t="str">
        <f>IF(C3529="","",COUNTA($C$3:C3529))</f>
        <v/>
      </c>
      <c r="B3529" s="15" t="str">
        <f t="shared" si="318"/>
        <v/>
      </c>
      <c r="M3529" s="9"/>
      <c r="N3529" s="9"/>
      <c r="P3529" s="14"/>
      <c r="Q3529" s="85"/>
      <c r="R3529" s="89"/>
      <c r="U3529" s="11" t="str">
        <f t="shared" si="316"/>
        <v/>
      </c>
      <c r="V3529" s="12" t="str">
        <f t="shared" si="317"/>
        <v/>
      </c>
      <c r="Z3529" s="15"/>
    </row>
    <row r="3530" spans="1:26" x14ac:dyDescent="0.25">
      <c r="A3530" s="15" t="str">
        <f>IF(C3530="","",COUNTA($C$3:C3530))</f>
        <v/>
      </c>
      <c r="B3530" s="15" t="str">
        <f t="shared" si="318"/>
        <v/>
      </c>
      <c r="M3530" s="9"/>
      <c r="N3530" s="9"/>
      <c r="P3530" s="14"/>
      <c r="Q3530" s="85"/>
      <c r="R3530" s="89"/>
      <c r="U3530" s="11" t="str">
        <f t="shared" si="316"/>
        <v/>
      </c>
      <c r="V3530" s="12" t="str">
        <f t="shared" si="317"/>
        <v/>
      </c>
      <c r="Z3530" s="15"/>
    </row>
    <row r="3531" spans="1:26" x14ac:dyDescent="0.25">
      <c r="A3531" s="15" t="str">
        <f>IF(C3531="","",COUNTA($C$3:C3531))</f>
        <v/>
      </c>
      <c r="B3531" s="15" t="str">
        <f t="shared" si="318"/>
        <v/>
      </c>
      <c r="M3531" s="9"/>
      <c r="N3531" s="9"/>
      <c r="P3531" s="14"/>
      <c r="Q3531" s="85"/>
      <c r="R3531" s="89"/>
      <c r="U3531" s="11" t="str">
        <f t="shared" si="316"/>
        <v/>
      </c>
      <c r="V3531" s="12" t="str">
        <f t="shared" si="317"/>
        <v/>
      </c>
      <c r="Z3531" s="15"/>
    </row>
    <row r="3532" spans="1:26" x14ac:dyDescent="0.25">
      <c r="A3532" s="15" t="str">
        <f>IF(C3532="","",COUNTA($C$3:C3532))</f>
        <v/>
      </c>
      <c r="B3532" s="15" t="str">
        <f t="shared" si="318"/>
        <v/>
      </c>
      <c r="M3532" s="9"/>
      <c r="N3532" s="9"/>
      <c r="P3532" s="14"/>
      <c r="Q3532" s="85"/>
      <c r="R3532" s="89"/>
      <c r="U3532" s="11" t="str">
        <f t="shared" si="316"/>
        <v/>
      </c>
      <c r="V3532" s="12" t="str">
        <f t="shared" si="317"/>
        <v/>
      </c>
      <c r="Z3532" s="15"/>
    </row>
    <row r="3533" spans="1:26" x14ac:dyDescent="0.25">
      <c r="A3533" s="15" t="str">
        <f>IF(C3533="","",COUNTA($C$3:C3533))</f>
        <v/>
      </c>
      <c r="B3533" s="15" t="str">
        <f t="shared" si="318"/>
        <v/>
      </c>
      <c r="M3533" s="9"/>
      <c r="N3533" s="9"/>
      <c r="P3533" s="14"/>
      <c r="Q3533" s="85"/>
      <c r="R3533" s="89"/>
      <c r="U3533" s="11" t="str">
        <f t="shared" si="316"/>
        <v/>
      </c>
      <c r="V3533" s="12" t="str">
        <f t="shared" si="317"/>
        <v/>
      </c>
      <c r="Z3533" s="15"/>
    </row>
    <row r="3534" spans="1:26" x14ac:dyDescent="0.25">
      <c r="A3534" s="15" t="str">
        <f>IF(C3534="","",COUNTA($C$3:C3534))</f>
        <v/>
      </c>
      <c r="B3534" s="15" t="str">
        <f t="shared" si="318"/>
        <v/>
      </c>
      <c r="M3534" s="9"/>
      <c r="N3534" s="9"/>
      <c r="P3534" s="14"/>
      <c r="Q3534" s="85"/>
      <c r="R3534" s="89"/>
      <c r="U3534" s="11" t="str">
        <f t="shared" si="316"/>
        <v/>
      </c>
      <c r="V3534" s="12" t="str">
        <f t="shared" si="317"/>
        <v/>
      </c>
      <c r="Z3534" s="15"/>
    </row>
    <row r="3535" spans="1:26" x14ac:dyDescent="0.25">
      <c r="A3535" s="15" t="str">
        <f>IF(C3535="","",COUNTA($C$3:C3535))</f>
        <v/>
      </c>
      <c r="B3535" s="15" t="str">
        <f t="shared" si="318"/>
        <v/>
      </c>
      <c r="M3535" s="9"/>
      <c r="N3535" s="9"/>
      <c r="P3535" s="14"/>
      <c r="Q3535" s="85"/>
      <c r="R3535" s="89"/>
      <c r="U3535" s="11" t="str">
        <f t="shared" si="316"/>
        <v/>
      </c>
      <c r="V3535" s="12" t="str">
        <f t="shared" si="317"/>
        <v/>
      </c>
      <c r="Z3535" s="15"/>
    </row>
    <row r="3536" spans="1:26" x14ac:dyDescent="0.25">
      <c r="A3536" s="15" t="str">
        <f>IF(C3536="","",COUNTA($C$3:C3536))</f>
        <v/>
      </c>
      <c r="B3536" s="15" t="str">
        <f t="shared" si="318"/>
        <v/>
      </c>
      <c r="M3536" s="9"/>
      <c r="N3536" s="9"/>
      <c r="P3536" s="14"/>
      <c r="Q3536" s="85"/>
      <c r="R3536" s="89"/>
      <c r="U3536" s="11" t="str">
        <f t="shared" si="316"/>
        <v/>
      </c>
      <c r="V3536" s="12" t="str">
        <f t="shared" si="317"/>
        <v/>
      </c>
      <c r="Z3536" s="15"/>
    </row>
    <row r="3537" spans="1:26" x14ac:dyDescent="0.25">
      <c r="A3537" s="15" t="str">
        <f>IF(C3537="","",COUNTA($C$3:C3537))</f>
        <v/>
      </c>
      <c r="B3537" s="15" t="str">
        <f t="shared" si="318"/>
        <v/>
      </c>
      <c r="M3537" s="9"/>
      <c r="N3537" s="9"/>
      <c r="P3537" s="14"/>
      <c r="Q3537" s="85"/>
      <c r="R3537" s="89"/>
      <c r="U3537" s="11" t="str">
        <f t="shared" si="316"/>
        <v/>
      </c>
      <c r="V3537" s="12" t="str">
        <f t="shared" si="317"/>
        <v/>
      </c>
      <c r="Z3537" s="15"/>
    </row>
    <row r="3538" spans="1:26" x14ac:dyDescent="0.25">
      <c r="A3538" s="15" t="str">
        <f>IF(C3538="","",COUNTA($C$3:C3538))</f>
        <v/>
      </c>
      <c r="B3538" s="15" t="str">
        <f t="shared" si="318"/>
        <v/>
      </c>
      <c r="M3538" s="9"/>
      <c r="N3538" s="9"/>
      <c r="P3538" s="14"/>
      <c r="Q3538" s="85"/>
      <c r="R3538" s="89"/>
      <c r="U3538" s="11" t="str">
        <f t="shared" si="316"/>
        <v/>
      </c>
      <c r="V3538" s="12" t="str">
        <f t="shared" si="317"/>
        <v/>
      </c>
      <c r="Z3538" s="15"/>
    </row>
    <row r="3539" spans="1:26" x14ac:dyDescent="0.25">
      <c r="A3539" s="15" t="str">
        <f>IF(C3539="","",COUNTA($C$3:C3539))</f>
        <v/>
      </c>
      <c r="B3539" s="15" t="str">
        <f t="shared" si="318"/>
        <v/>
      </c>
      <c r="M3539" s="9"/>
      <c r="N3539" s="9"/>
      <c r="P3539" s="14"/>
      <c r="Q3539" s="85"/>
      <c r="R3539" s="89"/>
      <c r="U3539" s="11" t="str">
        <f t="shared" si="316"/>
        <v/>
      </c>
      <c r="V3539" s="12" t="str">
        <f t="shared" si="317"/>
        <v/>
      </c>
      <c r="Z3539" s="15"/>
    </row>
    <row r="3540" spans="1:26" x14ac:dyDescent="0.25">
      <c r="A3540" s="15" t="str">
        <f>IF(C3540="","",COUNTA($C$3:C3540))</f>
        <v/>
      </c>
      <c r="B3540" s="15" t="str">
        <f t="shared" si="318"/>
        <v/>
      </c>
      <c r="M3540" s="9"/>
      <c r="N3540" s="9"/>
      <c r="P3540" s="14"/>
      <c r="Q3540" s="85"/>
      <c r="R3540" s="89"/>
      <c r="U3540" s="11" t="str">
        <f t="shared" si="316"/>
        <v/>
      </c>
      <c r="V3540" s="12" t="str">
        <f t="shared" si="317"/>
        <v/>
      </c>
      <c r="Z3540" s="15"/>
    </row>
    <row r="3541" spans="1:26" x14ac:dyDescent="0.25">
      <c r="A3541" s="15" t="str">
        <f>IF(C3541="","",COUNTA($C$3:C3541))</f>
        <v/>
      </c>
      <c r="B3541" s="15" t="str">
        <f t="shared" si="318"/>
        <v/>
      </c>
      <c r="M3541" s="9"/>
      <c r="N3541" s="9"/>
      <c r="P3541" s="14"/>
      <c r="Q3541" s="85"/>
      <c r="R3541" s="89"/>
      <c r="U3541" s="11" t="str">
        <f t="shared" si="316"/>
        <v/>
      </c>
      <c r="V3541" s="12" t="str">
        <f t="shared" si="317"/>
        <v/>
      </c>
      <c r="Z3541" s="15"/>
    </row>
    <row r="3542" spans="1:26" x14ac:dyDescent="0.25">
      <c r="A3542" s="15" t="str">
        <f>IF(C3542="","",COUNTA($C$3:C3542))</f>
        <v/>
      </c>
      <c r="B3542" s="15" t="str">
        <f t="shared" si="318"/>
        <v/>
      </c>
      <c r="M3542" s="9"/>
      <c r="N3542" s="9"/>
      <c r="P3542" s="14"/>
      <c r="Q3542" s="85"/>
      <c r="R3542" s="89"/>
      <c r="U3542" s="11" t="str">
        <f t="shared" si="316"/>
        <v/>
      </c>
      <c r="V3542" s="12" t="str">
        <f t="shared" si="317"/>
        <v/>
      </c>
      <c r="Z3542" s="15"/>
    </row>
    <row r="3543" spans="1:26" x14ac:dyDescent="0.25">
      <c r="A3543" s="15" t="str">
        <f>IF(C3543="","",COUNTA($C$3:C3543))</f>
        <v/>
      </c>
      <c r="B3543" s="15" t="str">
        <f t="shared" si="318"/>
        <v/>
      </c>
      <c r="M3543" s="9"/>
      <c r="N3543" s="9"/>
      <c r="P3543" s="14"/>
      <c r="Q3543" s="85"/>
      <c r="R3543" s="89"/>
      <c r="U3543" s="11" t="str">
        <f t="shared" si="316"/>
        <v/>
      </c>
      <c r="V3543" s="12" t="str">
        <f t="shared" si="317"/>
        <v/>
      </c>
      <c r="Z3543" s="15"/>
    </row>
    <row r="3544" spans="1:26" x14ac:dyDescent="0.25">
      <c r="A3544" s="15" t="str">
        <f>IF(C3544="","",COUNTA($C$3:C3544))</f>
        <v/>
      </c>
      <c r="B3544" s="15" t="str">
        <f t="shared" si="318"/>
        <v/>
      </c>
      <c r="M3544" s="9"/>
      <c r="N3544" s="9"/>
      <c r="P3544" s="14"/>
      <c r="Q3544" s="85"/>
      <c r="R3544" s="89"/>
      <c r="U3544" s="11" t="str">
        <f t="shared" si="316"/>
        <v/>
      </c>
      <c r="V3544" s="12" t="str">
        <f t="shared" si="317"/>
        <v/>
      </c>
      <c r="Z3544" s="15"/>
    </row>
    <row r="3545" spans="1:26" x14ac:dyDescent="0.25">
      <c r="A3545" s="15" t="str">
        <f>IF(C3545="","",COUNTA($C$3:C3545))</f>
        <v/>
      </c>
      <c r="B3545" s="15" t="str">
        <f t="shared" si="318"/>
        <v/>
      </c>
      <c r="M3545" s="9"/>
      <c r="N3545" s="9"/>
      <c r="P3545" s="14"/>
      <c r="Q3545" s="85"/>
      <c r="R3545" s="89"/>
      <c r="U3545" s="11" t="str">
        <f t="shared" si="316"/>
        <v/>
      </c>
      <c r="V3545" s="12" t="str">
        <f t="shared" si="317"/>
        <v/>
      </c>
      <c r="Z3545" s="15"/>
    </row>
    <row r="3546" spans="1:26" x14ac:dyDescent="0.25">
      <c r="A3546" s="15" t="str">
        <f>IF(C3546="","",COUNTA($C$3:C3546))</f>
        <v/>
      </c>
      <c r="B3546" s="15" t="str">
        <f t="shared" si="318"/>
        <v/>
      </c>
      <c r="M3546" s="9"/>
      <c r="N3546" s="9"/>
      <c r="P3546" s="14"/>
      <c r="Q3546" s="85"/>
      <c r="R3546" s="89"/>
      <c r="U3546" s="11" t="str">
        <f t="shared" si="316"/>
        <v/>
      </c>
      <c r="V3546" s="12" t="str">
        <f t="shared" si="317"/>
        <v/>
      </c>
      <c r="Z3546" s="15"/>
    </row>
    <row r="3547" spans="1:26" x14ac:dyDescent="0.25">
      <c r="A3547" s="15" t="str">
        <f>IF(C3547="","",COUNTA($C$3:C3547))</f>
        <v/>
      </c>
      <c r="B3547" s="15" t="str">
        <f t="shared" si="318"/>
        <v/>
      </c>
      <c r="M3547" s="9"/>
      <c r="N3547" s="9"/>
      <c r="P3547" s="14"/>
      <c r="Q3547" s="85"/>
      <c r="R3547" s="89"/>
      <c r="U3547" s="11" t="str">
        <f t="shared" si="316"/>
        <v/>
      </c>
      <c r="V3547" s="12" t="str">
        <f t="shared" si="317"/>
        <v/>
      </c>
      <c r="Z3547" s="15"/>
    </row>
    <row r="3548" spans="1:26" x14ac:dyDescent="0.25">
      <c r="A3548" s="15" t="str">
        <f>IF(C3548="","",COUNTA($C$3:C3548))</f>
        <v/>
      </c>
      <c r="B3548" s="15" t="str">
        <f t="shared" si="318"/>
        <v/>
      </c>
      <c r="M3548" s="9"/>
      <c r="N3548" s="9"/>
      <c r="P3548" s="14"/>
      <c r="Q3548" s="85"/>
      <c r="R3548" s="89"/>
      <c r="U3548" s="11" t="str">
        <f t="shared" si="316"/>
        <v/>
      </c>
      <c r="V3548" s="12" t="str">
        <f t="shared" si="317"/>
        <v/>
      </c>
      <c r="Z3548" s="15"/>
    </row>
    <row r="3549" spans="1:26" x14ac:dyDescent="0.25">
      <c r="A3549" s="15" t="str">
        <f>IF(C3549="","",COUNTA($C$3:C3549))</f>
        <v/>
      </c>
      <c r="B3549" s="15" t="str">
        <f t="shared" si="318"/>
        <v/>
      </c>
      <c r="M3549" s="9"/>
      <c r="N3549" s="9"/>
      <c r="P3549" s="14"/>
      <c r="Q3549" s="85"/>
      <c r="R3549" s="89"/>
      <c r="U3549" s="11" t="str">
        <f t="shared" si="316"/>
        <v/>
      </c>
      <c r="V3549" s="12" t="str">
        <f t="shared" si="317"/>
        <v/>
      </c>
      <c r="Z3549" s="15"/>
    </row>
    <row r="3550" spans="1:26" x14ac:dyDescent="0.25">
      <c r="A3550" s="15" t="str">
        <f>IF(C3550="","",COUNTA($C$3:C3550))</f>
        <v/>
      </c>
      <c r="B3550" s="15" t="str">
        <f t="shared" si="318"/>
        <v/>
      </c>
      <c r="M3550" s="9"/>
      <c r="N3550" s="9"/>
      <c r="P3550" s="14"/>
      <c r="Q3550" s="85"/>
      <c r="R3550" s="89"/>
      <c r="U3550" s="11" t="str">
        <f t="shared" si="316"/>
        <v/>
      </c>
      <c r="V3550" s="12" t="str">
        <f t="shared" si="317"/>
        <v/>
      </c>
      <c r="Z3550" s="15"/>
    </row>
    <row r="3551" spans="1:26" x14ac:dyDescent="0.25">
      <c r="A3551" s="15" t="str">
        <f>IF(C3551="","",COUNTA($C$3:C3551))</f>
        <v/>
      </c>
      <c r="B3551" s="15" t="str">
        <f t="shared" si="318"/>
        <v/>
      </c>
      <c r="M3551" s="9"/>
      <c r="N3551" s="9"/>
      <c r="P3551" s="14"/>
      <c r="Q3551" s="85"/>
      <c r="R3551" s="89"/>
      <c r="U3551" s="11" t="str">
        <f t="shared" si="316"/>
        <v/>
      </c>
      <c r="V3551" s="12" t="str">
        <f t="shared" si="317"/>
        <v/>
      </c>
      <c r="Z3551" s="15"/>
    </row>
    <row r="3552" spans="1:26" x14ac:dyDescent="0.25">
      <c r="A3552" s="15" t="str">
        <f>IF(C3552="","",COUNTA($C$3:C3552))</f>
        <v/>
      </c>
      <c r="B3552" s="15" t="str">
        <f t="shared" si="318"/>
        <v/>
      </c>
      <c r="M3552" s="9"/>
      <c r="N3552" s="9"/>
      <c r="P3552" s="14"/>
      <c r="Q3552" s="85"/>
      <c r="R3552" s="89"/>
      <c r="U3552" s="11" t="str">
        <f t="shared" si="316"/>
        <v/>
      </c>
      <c r="V3552" s="12" t="str">
        <f t="shared" si="317"/>
        <v/>
      </c>
      <c r="Z3552" s="15"/>
    </row>
    <row r="3553" spans="1:26" x14ac:dyDescent="0.25">
      <c r="A3553" s="15" t="str">
        <f>IF(C3553="","",COUNTA($C$3:C3553))</f>
        <v/>
      </c>
      <c r="B3553" s="15" t="str">
        <f t="shared" si="318"/>
        <v/>
      </c>
      <c r="M3553" s="9"/>
      <c r="N3553" s="9"/>
      <c r="P3553" s="14"/>
      <c r="Q3553" s="85"/>
      <c r="R3553" s="89"/>
      <c r="U3553" s="11" t="str">
        <f t="shared" si="316"/>
        <v/>
      </c>
      <c r="V3553" s="12" t="str">
        <f t="shared" si="317"/>
        <v/>
      </c>
      <c r="Z3553" s="15"/>
    </row>
    <row r="3554" spans="1:26" x14ac:dyDescent="0.25">
      <c r="A3554" s="15" t="str">
        <f>IF(C3554="","",COUNTA($C$3:C3554))</f>
        <v/>
      </c>
      <c r="B3554" s="15" t="str">
        <f t="shared" si="318"/>
        <v/>
      </c>
      <c r="M3554" s="9"/>
      <c r="N3554" s="9"/>
      <c r="P3554" s="14"/>
      <c r="Q3554" s="85"/>
      <c r="R3554" s="89"/>
      <c r="U3554" s="11" t="str">
        <f t="shared" si="316"/>
        <v/>
      </c>
      <c r="V3554" s="12" t="str">
        <f t="shared" si="317"/>
        <v/>
      </c>
      <c r="Z3554" s="15"/>
    </row>
    <row r="3555" spans="1:26" x14ac:dyDescent="0.25">
      <c r="A3555" s="15" t="str">
        <f>IF(C3555="","",COUNTA($C$3:C3555))</f>
        <v/>
      </c>
      <c r="B3555" s="15" t="str">
        <f t="shared" si="318"/>
        <v/>
      </c>
      <c r="M3555" s="9"/>
      <c r="N3555" s="9"/>
      <c r="P3555" s="14"/>
      <c r="Q3555" s="85"/>
      <c r="R3555" s="89"/>
      <c r="U3555" s="11" t="str">
        <f t="shared" si="316"/>
        <v/>
      </c>
      <c r="V3555" s="12" t="str">
        <f t="shared" si="317"/>
        <v/>
      </c>
      <c r="Z3555" s="15"/>
    </row>
    <row r="3556" spans="1:26" x14ac:dyDescent="0.25">
      <c r="A3556" s="15" t="str">
        <f>IF(C3556="","",COUNTA($C$3:C3556))</f>
        <v/>
      </c>
      <c r="B3556" s="15" t="str">
        <f t="shared" si="318"/>
        <v/>
      </c>
      <c r="M3556" s="9"/>
      <c r="N3556" s="9"/>
      <c r="P3556" s="14"/>
      <c r="Q3556" s="85"/>
      <c r="R3556" s="89"/>
      <c r="U3556" s="11" t="str">
        <f t="shared" si="316"/>
        <v/>
      </c>
      <c r="V3556" s="12" t="str">
        <f t="shared" si="317"/>
        <v/>
      </c>
      <c r="Z3556" s="15"/>
    </row>
    <row r="3557" spans="1:26" x14ac:dyDescent="0.25">
      <c r="A3557" s="15" t="str">
        <f>IF(C3557="","",COUNTA($C$3:C3557))</f>
        <v/>
      </c>
      <c r="B3557" s="15" t="str">
        <f t="shared" si="318"/>
        <v/>
      </c>
      <c r="M3557" s="9"/>
      <c r="N3557" s="9"/>
      <c r="P3557" s="14"/>
      <c r="Q3557" s="85"/>
      <c r="R3557" s="89"/>
      <c r="U3557" s="11" t="str">
        <f t="shared" si="316"/>
        <v/>
      </c>
      <c r="V3557" s="12" t="str">
        <f t="shared" si="317"/>
        <v/>
      </c>
      <c r="Z3557" s="15"/>
    </row>
    <row r="3558" spans="1:26" x14ac:dyDescent="0.25">
      <c r="A3558" s="15" t="str">
        <f>IF(C3558="","",COUNTA($C$3:C3558))</f>
        <v/>
      </c>
      <c r="B3558" s="15" t="str">
        <f t="shared" si="318"/>
        <v/>
      </c>
      <c r="M3558" s="9"/>
      <c r="N3558" s="9"/>
      <c r="P3558" s="14"/>
      <c r="Q3558" s="85"/>
      <c r="R3558" s="89"/>
      <c r="U3558" s="11" t="str">
        <f t="shared" si="316"/>
        <v/>
      </c>
      <c r="V3558" s="12" t="str">
        <f t="shared" si="317"/>
        <v/>
      </c>
      <c r="Z3558" s="15"/>
    </row>
    <row r="3559" spans="1:26" x14ac:dyDescent="0.25">
      <c r="A3559" s="15" t="str">
        <f>IF(C3559="","",COUNTA($C$3:C3559))</f>
        <v/>
      </c>
      <c r="B3559" s="15" t="str">
        <f t="shared" si="318"/>
        <v/>
      </c>
      <c r="M3559" s="9"/>
      <c r="N3559" s="9"/>
      <c r="P3559" s="14"/>
      <c r="Q3559" s="85"/>
      <c r="R3559" s="89"/>
      <c r="U3559" s="11" t="str">
        <f t="shared" si="316"/>
        <v/>
      </c>
      <c r="V3559" s="12" t="str">
        <f t="shared" si="317"/>
        <v/>
      </c>
      <c r="Z3559" s="15"/>
    </row>
    <row r="3560" spans="1:26" x14ac:dyDescent="0.25">
      <c r="A3560" s="15" t="str">
        <f>IF(C3560="","",COUNTA($C$3:C3560))</f>
        <v/>
      </c>
      <c r="B3560" s="15" t="str">
        <f t="shared" si="318"/>
        <v/>
      </c>
      <c r="M3560" s="9"/>
      <c r="N3560" s="9"/>
      <c r="P3560" s="14"/>
      <c r="Q3560" s="85"/>
      <c r="R3560" s="89"/>
      <c r="U3560" s="11" t="str">
        <f t="shared" si="316"/>
        <v/>
      </c>
      <c r="V3560" s="12" t="str">
        <f t="shared" si="317"/>
        <v/>
      </c>
      <c r="Z3560" s="15"/>
    </row>
    <row r="3561" spans="1:26" x14ac:dyDescent="0.25">
      <c r="A3561" s="15" t="str">
        <f>IF(C3561="","",COUNTA($C$3:C3561))</f>
        <v/>
      </c>
      <c r="B3561" s="15" t="str">
        <f t="shared" si="318"/>
        <v/>
      </c>
      <c r="M3561" s="9"/>
      <c r="N3561" s="9"/>
      <c r="P3561" s="14"/>
      <c r="Q3561" s="85"/>
      <c r="R3561" s="89"/>
      <c r="U3561" s="11" t="str">
        <f t="shared" si="316"/>
        <v/>
      </c>
      <c r="V3561" s="12" t="str">
        <f t="shared" si="317"/>
        <v/>
      </c>
      <c r="Z3561" s="15"/>
    </row>
    <row r="3562" spans="1:26" x14ac:dyDescent="0.25">
      <c r="A3562" s="15" t="str">
        <f>IF(C3562="","",COUNTA($C$3:C3562))</f>
        <v/>
      </c>
      <c r="B3562" s="15" t="str">
        <f t="shared" si="318"/>
        <v/>
      </c>
      <c r="M3562" s="9"/>
      <c r="N3562" s="9"/>
      <c r="P3562" s="14"/>
      <c r="Q3562" s="85"/>
      <c r="R3562" s="89"/>
      <c r="U3562" s="11" t="str">
        <f t="shared" si="316"/>
        <v/>
      </c>
      <c r="V3562" s="12" t="str">
        <f t="shared" si="317"/>
        <v/>
      </c>
      <c r="Z3562" s="15"/>
    </row>
    <row r="3563" spans="1:26" x14ac:dyDescent="0.25">
      <c r="A3563" s="15" t="str">
        <f>IF(C3563="","",COUNTA($C$3:C3563))</f>
        <v/>
      </c>
      <c r="B3563" s="15" t="str">
        <f t="shared" si="318"/>
        <v/>
      </c>
      <c r="M3563" s="9"/>
      <c r="N3563" s="9"/>
      <c r="P3563" s="14"/>
      <c r="Q3563" s="85"/>
      <c r="R3563" s="89"/>
      <c r="U3563" s="11" t="str">
        <f t="shared" si="316"/>
        <v/>
      </c>
      <c r="V3563" s="12" t="str">
        <f t="shared" si="317"/>
        <v/>
      </c>
      <c r="Z3563" s="15"/>
    </row>
    <row r="3564" spans="1:26" x14ac:dyDescent="0.25">
      <c r="A3564" s="15" t="str">
        <f>IF(C3564="","",COUNTA($C$3:C3564))</f>
        <v/>
      </c>
      <c r="B3564" s="15" t="str">
        <f t="shared" si="318"/>
        <v/>
      </c>
      <c r="M3564" s="9"/>
      <c r="N3564" s="9"/>
      <c r="P3564" s="14"/>
      <c r="Q3564" s="85"/>
      <c r="R3564" s="89"/>
      <c r="U3564" s="11" t="str">
        <f t="shared" si="316"/>
        <v/>
      </c>
      <c r="V3564" s="12" t="str">
        <f t="shared" si="317"/>
        <v/>
      </c>
      <c r="Z3564" s="15"/>
    </row>
    <row r="3565" spans="1:26" x14ac:dyDescent="0.25">
      <c r="A3565" s="15" t="str">
        <f>IF(C3565="","",COUNTA($C$3:C3565))</f>
        <v/>
      </c>
      <c r="B3565" s="15" t="str">
        <f t="shared" si="318"/>
        <v/>
      </c>
      <c r="M3565" s="9"/>
      <c r="N3565" s="9"/>
      <c r="P3565" s="14"/>
      <c r="Q3565" s="85"/>
      <c r="R3565" s="89"/>
      <c r="U3565" s="11" t="str">
        <f t="shared" si="316"/>
        <v/>
      </c>
      <c r="V3565" s="12" t="str">
        <f t="shared" si="317"/>
        <v/>
      </c>
      <c r="Z3565" s="15"/>
    </row>
    <row r="3566" spans="1:26" x14ac:dyDescent="0.25">
      <c r="A3566" s="15" t="str">
        <f>IF(C3566="","",COUNTA($C$3:C3566))</f>
        <v/>
      </c>
      <c r="B3566" s="15" t="str">
        <f t="shared" si="318"/>
        <v/>
      </c>
      <c r="M3566" s="9"/>
      <c r="N3566" s="9"/>
      <c r="P3566" s="14"/>
      <c r="Q3566" s="85"/>
      <c r="R3566" s="89"/>
      <c r="U3566" s="11" t="str">
        <f t="shared" si="316"/>
        <v/>
      </c>
      <c r="V3566" s="12" t="str">
        <f t="shared" si="317"/>
        <v/>
      </c>
      <c r="Z3566" s="15"/>
    </row>
    <row r="3567" spans="1:26" x14ac:dyDescent="0.25">
      <c r="A3567" s="15" t="str">
        <f>IF(C3567="","",COUNTA($C$3:C3567))</f>
        <v/>
      </c>
      <c r="B3567" s="15" t="str">
        <f t="shared" si="318"/>
        <v/>
      </c>
      <c r="M3567" s="9"/>
      <c r="N3567" s="9"/>
      <c r="P3567" s="14"/>
      <c r="Q3567" s="85"/>
      <c r="R3567" s="89"/>
      <c r="U3567" s="11" t="str">
        <f t="shared" si="316"/>
        <v/>
      </c>
      <c r="V3567" s="12" t="str">
        <f t="shared" si="317"/>
        <v/>
      </c>
      <c r="Z3567" s="15"/>
    </row>
    <row r="3568" spans="1:26" x14ac:dyDescent="0.25">
      <c r="A3568" s="15" t="str">
        <f>IF(C3568="","",COUNTA($C$3:C3568))</f>
        <v/>
      </c>
      <c r="B3568" s="15" t="str">
        <f t="shared" si="318"/>
        <v/>
      </c>
      <c r="M3568" s="9"/>
      <c r="N3568" s="9"/>
      <c r="P3568" s="14"/>
      <c r="Q3568" s="85"/>
      <c r="R3568" s="89"/>
      <c r="U3568" s="11" t="str">
        <f t="shared" si="316"/>
        <v/>
      </c>
      <c r="V3568" s="12" t="str">
        <f t="shared" si="317"/>
        <v/>
      </c>
      <c r="Z3568" s="15"/>
    </row>
    <row r="3569" spans="1:26" x14ac:dyDescent="0.25">
      <c r="A3569" s="15" t="str">
        <f>IF(C3569="","",COUNTA($C$3:C3569))</f>
        <v/>
      </c>
      <c r="B3569" s="15" t="str">
        <f t="shared" si="318"/>
        <v/>
      </c>
      <c r="M3569" s="9"/>
      <c r="N3569" s="9"/>
      <c r="P3569" s="14"/>
      <c r="Q3569" s="85"/>
      <c r="R3569" s="89"/>
      <c r="U3569" s="11" t="str">
        <f t="shared" si="316"/>
        <v/>
      </c>
      <c r="V3569" s="12" t="str">
        <f t="shared" si="317"/>
        <v/>
      </c>
      <c r="Z3569" s="15"/>
    </row>
    <row r="3570" spans="1:26" x14ac:dyDescent="0.25">
      <c r="A3570" s="15" t="str">
        <f>IF(C3570="","",COUNTA($C$3:C3570))</f>
        <v/>
      </c>
      <c r="B3570" s="15" t="str">
        <f t="shared" si="318"/>
        <v/>
      </c>
      <c r="M3570" s="9"/>
      <c r="N3570" s="9"/>
      <c r="P3570" s="14"/>
      <c r="Q3570" s="85"/>
      <c r="R3570" s="89"/>
      <c r="U3570" s="11" t="str">
        <f t="shared" si="316"/>
        <v/>
      </c>
      <c r="V3570" s="12" t="str">
        <f t="shared" si="317"/>
        <v/>
      </c>
      <c r="Z3570" s="15"/>
    </row>
    <row r="3571" spans="1:26" x14ac:dyDescent="0.25">
      <c r="A3571" s="15" t="str">
        <f>IF(C3571="","",COUNTA($C$3:C3571))</f>
        <v/>
      </c>
      <c r="B3571" s="15" t="str">
        <f t="shared" si="318"/>
        <v/>
      </c>
      <c r="M3571" s="9"/>
      <c r="N3571" s="9"/>
      <c r="P3571" s="14"/>
      <c r="Q3571" s="85"/>
      <c r="R3571" s="89"/>
      <c r="U3571" s="11" t="str">
        <f t="shared" si="316"/>
        <v/>
      </c>
      <c r="V3571" s="12" t="str">
        <f t="shared" si="317"/>
        <v/>
      </c>
      <c r="Z3571" s="15"/>
    </row>
    <row r="3572" spans="1:26" x14ac:dyDescent="0.25">
      <c r="A3572" s="15" t="str">
        <f>IF(C3572="","",COUNTA($C$3:C3572))</f>
        <v/>
      </c>
      <c r="B3572" s="15" t="str">
        <f t="shared" si="318"/>
        <v/>
      </c>
      <c r="M3572" s="9"/>
      <c r="N3572" s="9"/>
      <c r="P3572" s="14"/>
      <c r="Q3572" s="85"/>
      <c r="R3572" s="89"/>
      <c r="U3572" s="11" t="str">
        <f t="shared" si="316"/>
        <v/>
      </c>
      <c r="V3572" s="12" t="str">
        <f t="shared" si="317"/>
        <v/>
      </c>
      <c r="Z3572" s="15"/>
    </row>
    <row r="3573" spans="1:26" x14ac:dyDescent="0.25">
      <c r="A3573" s="15" t="str">
        <f>IF(C3573="","",COUNTA($C$3:C3573))</f>
        <v/>
      </c>
      <c r="B3573" s="15" t="str">
        <f t="shared" si="318"/>
        <v/>
      </c>
      <c r="M3573" s="9"/>
      <c r="N3573" s="9"/>
      <c r="P3573" s="14"/>
      <c r="Q3573" s="85"/>
      <c r="R3573" s="89"/>
      <c r="U3573" s="11" t="str">
        <f t="shared" si="316"/>
        <v/>
      </c>
      <c r="V3573" s="12" t="str">
        <f t="shared" si="317"/>
        <v/>
      </c>
      <c r="Z3573" s="15"/>
    </row>
    <row r="3574" spans="1:26" x14ac:dyDescent="0.25">
      <c r="A3574" s="15" t="str">
        <f>IF(C3574="","",COUNTA($C$3:C3574))</f>
        <v/>
      </c>
      <c r="B3574" s="15" t="str">
        <f t="shared" si="318"/>
        <v/>
      </c>
      <c r="M3574" s="9"/>
      <c r="N3574" s="9"/>
      <c r="P3574" s="14"/>
      <c r="Q3574" s="85"/>
      <c r="R3574" s="89"/>
      <c r="U3574" s="11" t="str">
        <f t="shared" si="316"/>
        <v/>
      </c>
      <c r="V3574" s="12" t="str">
        <f t="shared" si="317"/>
        <v/>
      </c>
      <c r="Z3574" s="15"/>
    </row>
    <row r="3575" spans="1:26" x14ac:dyDescent="0.25">
      <c r="A3575" s="15" t="str">
        <f>IF(C3575="","",COUNTA($C$3:C3575))</f>
        <v/>
      </c>
      <c r="B3575" s="15" t="str">
        <f t="shared" si="318"/>
        <v/>
      </c>
      <c r="M3575" s="9"/>
      <c r="N3575" s="9"/>
      <c r="P3575" s="14"/>
      <c r="Q3575" s="85"/>
      <c r="R3575" s="89"/>
      <c r="U3575" s="11" t="str">
        <f t="shared" si="316"/>
        <v/>
      </c>
      <c r="V3575" s="12" t="str">
        <f t="shared" si="317"/>
        <v/>
      </c>
      <c r="Z3575" s="15"/>
    </row>
    <row r="3576" spans="1:26" x14ac:dyDescent="0.25">
      <c r="A3576" s="15" t="str">
        <f>IF(C3576="","",COUNTA($C$3:C3576))</f>
        <v/>
      </c>
      <c r="B3576" s="15" t="str">
        <f t="shared" si="318"/>
        <v/>
      </c>
      <c r="M3576" s="9"/>
      <c r="N3576" s="9"/>
      <c r="P3576" s="14"/>
      <c r="Q3576" s="85"/>
      <c r="R3576" s="89"/>
      <c r="U3576" s="11" t="str">
        <f t="shared" si="316"/>
        <v/>
      </c>
      <c r="V3576" s="12" t="str">
        <f t="shared" si="317"/>
        <v/>
      </c>
      <c r="Z3576" s="15"/>
    </row>
    <row r="3577" spans="1:26" x14ac:dyDescent="0.25">
      <c r="A3577" s="15" t="str">
        <f>IF(C3577="","",COUNTA($C$3:C3577))</f>
        <v/>
      </c>
      <c r="B3577" s="15" t="str">
        <f t="shared" si="318"/>
        <v/>
      </c>
      <c r="M3577" s="9"/>
      <c r="N3577" s="9"/>
      <c r="P3577" s="14"/>
      <c r="Q3577" s="85"/>
      <c r="R3577" s="89"/>
      <c r="U3577" s="11" t="str">
        <f t="shared" si="316"/>
        <v/>
      </c>
      <c r="V3577" s="12" t="str">
        <f t="shared" si="317"/>
        <v/>
      </c>
      <c r="Z3577" s="15"/>
    </row>
    <row r="3578" spans="1:26" x14ac:dyDescent="0.25">
      <c r="A3578" s="15" t="str">
        <f>IF(C3578="","",COUNTA($C$3:C3578))</f>
        <v/>
      </c>
      <c r="B3578" s="15" t="str">
        <f t="shared" si="318"/>
        <v/>
      </c>
      <c r="M3578" s="9"/>
      <c r="N3578" s="9"/>
      <c r="P3578" s="14"/>
      <c r="Q3578" s="85"/>
      <c r="R3578" s="89"/>
      <c r="U3578" s="11" t="str">
        <f t="shared" si="316"/>
        <v/>
      </c>
      <c r="V3578" s="12" t="str">
        <f t="shared" si="317"/>
        <v/>
      </c>
      <c r="Z3578" s="15"/>
    </row>
    <row r="3579" spans="1:26" x14ac:dyDescent="0.25">
      <c r="A3579" s="15" t="str">
        <f>IF(C3579="","",COUNTA($C$3:C3579))</f>
        <v/>
      </c>
      <c r="B3579" s="15" t="str">
        <f t="shared" si="318"/>
        <v/>
      </c>
      <c r="M3579" s="9"/>
      <c r="N3579" s="9"/>
      <c r="P3579" s="14"/>
      <c r="Q3579" s="85"/>
      <c r="R3579" s="89"/>
      <c r="U3579" s="11" t="str">
        <f t="shared" si="316"/>
        <v/>
      </c>
      <c r="V3579" s="12" t="str">
        <f t="shared" si="317"/>
        <v/>
      </c>
      <c r="Z3579" s="15"/>
    </row>
    <row r="3580" spans="1:26" x14ac:dyDescent="0.25">
      <c r="A3580" s="15" t="str">
        <f>IF(C3580="","",COUNTA($C$3:C3580))</f>
        <v/>
      </c>
      <c r="B3580" s="15" t="str">
        <f t="shared" si="318"/>
        <v/>
      </c>
      <c r="M3580" s="9"/>
      <c r="N3580" s="9"/>
      <c r="P3580" s="14"/>
      <c r="Q3580" s="85"/>
      <c r="R3580" s="89"/>
      <c r="U3580" s="11" t="str">
        <f t="shared" si="316"/>
        <v/>
      </c>
      <c r="V3580" s="12" t="str">
        <f t="shared" si="317"/>
        <v/>
      </c>
      <c r="Z3580" s="15"/>
    </row>
    <row r="3581" spans="1:26" x14ac:dyDescent="0.25">
      <c r="A3581" s="15" t="str">
        <f>IF(C3581="","",COUNTA($C$3:C3581))</f>
        <v/>
      </c>
      <c r="B3581" s="15" t="str">
        <f t="shared" si="318"/>
        <v/>
      </c>
      <c r="M3581" s="9"/>
      <c r="N3581" s="9"/>
      <c r="P3581" s="14"/>
      <c r="Q3581" s="85"/>
      <c r="R3581" s="89"/>
      <c r="U3581" s="11" t="str">
        <f t="shared" si="316"/>
        <v/>
      </c>
      <c r="V3581" s="12" t="str">
        <f t="shared" si="317"/>
        <v/>
      </c>
      <c r="Z3581" s="15"/>
    </row>
    <row r="3582" spans="1:26" x14ac:dyDescent="0.25">
      <c r="A3582" s="15" t="str">
        <f>IF(C3582="","",COUNTA($C$3:C3582))</f>
        <v/>
      </c>
      <c r="B3582" s="15" t="str">
        <f t="shared" si="318"/>
        <v/>
      </c>
      <c r="M3582" s="9"/>
      <c r="N3582" s="9"/>
      <c r="P3582" s="14"/>
      <c r="Q3582" s="85"/>
      <c r="R3582" s="89"/>
      <c r="U3582" s="11" t="str">
        <f t="shared" si="316"/>
        <v/>
      </c>
      <c r="V3582" s="12" t="str">
        <f t="shared" si="317"/>
        <v/>
      </c>
      <c r="Z3582" s="15"/>
    </row>
    <row r="3583" spans="1:26" x14ac:dyDescent="0.25">
      <c r="A3583" s="15" t="str">
        <f>IF(C3583="","",COUNTA($C$3:C3583))</f>
        <v/>
      </c>
      <c r="B3583" s="15" t="str">
        <f t="shared" si="318"/>
        <v/>
      </c>
      <c r="M3583" s="9"/>
      <c r="N3583" s="9"/>
      <c r="P3583" s="14"/>
      <c r="Q3583" s="85"/>
      <c r="R3583" s="89"/>
      <c r="U3583" s="11" t="str">
        <f t="shared" si="316"/>
        <v/>
      </c>
      <c r="V3583" s="12" t="str">
        <f t="shared" si="317"/>
        <v/>
      </c>
      <c r="Z3583" s="15"/>
    </row>
    <row r="3584" spans="1:26" x14ac:dyDescent="0.25">
      <c r="A3584" s="15" t="str">
        <f>IF(C3584="","",COUNTA($C$3:C3584))</f>
        <v/>
      </c>
      <c r="B3584" s="15" t="str">
        <f t="shared" si="318"/>
        <v/>
      </c>
      <c r="M3584" s="9"/>
      <c r="N3584" s="9"/>
      <c r="P3584" s="14"/>
      <c r="Q3584" s="85"/>
      <c r="R3584" s="89"/>
      <c r="U3584" s="11" t="str">
        <f t="shared" si="316"/>
        <v/>
      </c>
      <c r="V3584" s="12" t="str">
        <f t="shared" si="317"/>
        <v/>
      </c>
      <c r="Z3584" s="15"/>
    </row>
    <row r="3585" spans="1:26" x14ac:dyDescent="0.25">
      <c r="A3585" s="15" t="str">
        <f>IF(C3585="","",COUNTA($C$3:C3585))</f>
        <v/>
      </c>
      <c r="B3585" s="15" t="str">
        <f t="shared" si="318"/>
        <v/>
      </c>
      <c r="M3585" s="9"/>
      <c r="N3585" s="9"/>
      <c r="P3585" s="14"/>
      <c r="Q3585" s="85"/>
      <c r="R3585" s="89"/>
      <c r="U3585" s="11" t="str">
        <f t="shared" si="316"/>
        <v/>
      </c>
      <c r="V3585" s="12" t="str">
        <f t="shared" si="317"/>
        <v/>
      </c>
      <c r="Z3585" s="15"/>
    </row>
    <row r="3586" spans="1:26" x14ac:dyDescent="0.25">
      <c r="A3586" s="15" t="str">
        <f>IF(C3586="","",COUNTA($C$3:C3586))</f>
        <v/>
      </c>
      <c r="B3586" s="15" t="str">
        <f t="shared" si="318"/>
        <v/>
      </c>
      <c r="M3586" s="9"/>
      <c r="N3586" s="9"/>
      <c r="P3586" s="14"/>
      <c r="Q3586" s="85"/>
      <c r="R3586" s="89"/>
      <c r="U3586" s="11" t="str">
        <f t="shared" ref="U3586:U3649" si="319">IF(S3586="","",(S3586-T3586))</f>
        <v/>
      </c>
      <c r="V3586" s="12" t="str">
        <f t="shared" ref="V3586:V3649" si="320">IF(U3586="","",(U3586/T3586))</f>
        <v/>
      </c>
      <c r="Z3586" s="15"/>
    </row>
    <row r="3587" spans="1:26" x14ac:dyDescent="0.25">
      <c r="A3587" s="15" t="str">
        <f>IF(C3587="","",COUNTA($C$3:C3587))</f>
        <v/>
      </c>
      <c r="B3587" s="15" t="str">
        <f t="shared" ref="B3587:B3650" si="321">IF(C3587="","",TEXT(C3587,"mmmm"))</f>
        <v/>
      </c>
      <c r="M3587" s="9"/>
      <c r="N3587" s="9"/>
      <c r="P3587" s="14"/>
      <c r="Q3587" s="85"/>
      <c r="R3587" s="89"/>
      <c r="U3587" s="11" t="str">
        <f t="shared" si="319"/>
        <v/>
      </c>
      <c r="V3587" s="12" t="str">
        <f t="shared" si="320"/>
        <v/>
      </c>
      <c r="Z3587" s="15"/>
    </row>
    <row r="3588" spans="1:26" x14ac:dyDescent="0.25">
      <c r="A3588" s="15" t="str">
        <f>IF(C3588="","",COUNTA($C$3:C3588))</f>
        <v/>
      </c>
      <c r="B3588" s="15" t="str">
        <f t="shared" si="321"/>
        <v/>
      </c>
      <c r="M3588" s="9"/>
      <c r="N3588" s="9"/>
      <c r="P3588" s="14"/>
      <c r="Q3588" s="85"/>
      <c r="R3588" s="89"/>
      <c r="U3588" s="11" t="str">
        <f t="shared" si="319"/>
        <v/>
      </c>
      <c r="V3588" s="12" t="str">
        <f t="shared" si="320"/>
        <v/>
      </c>
      <c r="Z3588" s="15"/>
    </row>
    <row r="3589" spans="1:26" x14ac:dyDescent="0.25">
      <c r="A3589" s="15" t="str">
        <f>IF(C3589="","",COUNTA($C$3:C3589))</f>
        <v/>
      </c>
      <c r="B3589" s="15" t="str">
        <f t="shared" si="321"/>
        <v/>
      </c>
      <c r="M3589" s="9"/>
      <c r="N3589" s="9"/>
      <c r="P3589" s="14"/>
      <c r="Q3589" s="85"/>
      <c r="R3589" s="89"/>
      <c r="U3589" s="11" t="str">
        <f t="shared" si="319"/>
        <v/>
      </c>
      <c r="V3589" s="12" t="str">
        <f t="shared" si="320"/>
        <v/>
      </c>
      <c r="Z3589" s="15"/>
    </row>
    <row r="3590" spans="1:26" x14ac:dyDescent="0.25">
      <c r="A3590" s="15" t="str">
        <f>IF(C3590="","",COUNTA($C$3:C3590))</f>
        <v/>
      </c>
      <c r="B3590" s="15" t="str">
        <f t="shared" si="321"/>
        <v/>
      </c>
      <c r="M3590" s="9"/>
      <c r="N3590" s="9"/>
      <c r="P3590" s="14"/>
      <c r="Q3590" s="85"/>
      <c r="R3590" s="89"/>
      <c r="U3590" s="11" t="str">
        <f t="shared" si="319"/>
        <v/>
      </c>
      <c r="V3590" s="12" t="str">
        <f t="shared" si="320"/>
        <v/>
      </c>
      <c r="Z3590" s="15"/>
    </row>
    <row r="3591" spans="1:26" x14ac:dyDescent="0.25">
      <c r="A3591" s="15" t="str">
        <f>IF(C3591="","",COUNTA($C$3:C3591))</f>
        <v/>
      </c>
      <c r="B3591" s="15" t="str">
        <f t="shared" si="321"/>
        <v/>
      </c>
      <c r="M3591" s="9"/>
      <c r="N3591" s="9"/>
      <c r="P3591" s="14"/>
      <c r="Q3591" s="85"/>
      <c r="R3591" s="89"/>
      <c r="U3591" s="11" t="str">
        <f t="shared" si="319"/>
        <v/>
      </c>
      <c r="V3591" s="12" t="str">
        <f t="shared" si="320"/>
        <v/>
      </c>
      <c r="Z3591" s="15"/>
    </row>
    <row r="3592" spans="1:26" x14ac:dyDescent="0.25">
      <c r="A3592" s="15" t="str">
        <f>IF(C3592="","",COUNTA($C$3:C3592))</f>
        <v/>
      </c>
      <c r="B3592" s="15" t="str">
        <f t="shared" si="321"/>
        <v/>
      </c>
      <c r="M3592" s="9"/>
      <c r="N3592" s="9"/>
      <c r="P3592" s="14"/>
      <c r="Q3592" s="85"/>
      <c r="R3592" s="89"/>
      <c r="U3592" s="11" t="str">
        <f t="shared" si="319"/>
        <v/>
      </c>
      <c r="V3592" s="12" t="str">
        <f t="shared" si="320"/>
        <v/>
      </c>
      <c r="Z3592" s="15"/>
    </row>
    <row r="3593" spans="1:26" x14ac:dyDescent="0.25">
      <c r="A3593" s="15" t="str">
        <f>IF(C3593="","",COUNTA($C$3:C3593))</f>
        <v/>
      </c>
      <c r="B3593" s="15" t="str">
        <f t="shared" si="321"/>
        <v/>
      </c>
      <c r="M3593" s="9"/>
      <c r="N3593" s="9"/>
      <c r="P3593" s="14"/>
      <c r="Q3593" s="85"/>
      <c r="R3593" s="89"/>
      <c r="U3593" s="11" t="str">
        <f t="shared" si="319"/>
        <v/>
      </c>
      <c r="V3593" s="12" t="str">
        <f t="shared" si="320"/>
        <v/>
      </c>
      <c r="Z3593" s="15"/>
    </row>
    <row r="3594" spans="1:26" x14ac:dyDescent="0.25">
      <c r="A3594" s="15" t="str">
        <f>IF(C3594="","",COUNTA($C$3:C3594))</f>
        <v/>
      </c>
      <c r="B3594" s="15" t="str">
        <f t="shared" si="321"/>
        <v/>
      </c>
      <c r="M3594" s="9"/>
      <c r="N3594" s="9"/>
      <c r="P3594" s="14"/>
      <c r="Q3594" s="85"/>
      <c r="R3594" s="89"/>
      <c r="U3594" s="11" t="str">
        <f t="shared" si="319"/>
        <v/>
      </c>
      <c r="V3594" s="12" t="str">
        <f t="shared" si="320"/>
        <v/>
      </c>
      <c r="Z3594" s="15"/>
    </row>
    <row r="3595" spans="1:26" x14ac:dyDescent="0.25">
      <c r="A3595" s="15" t="str">
        <f>IF(C3595="","",COUNTA($C$3:C3595))</f>
        <v/>
      </c>
      <c r="B3595" s="15" t="str">
        <f t="shared" si="321"/>
        <v/>
      </c>
      <c r="M3595" s="9"/>
      <c r="N3595" s="9"/>
      <c r="P3595" s="14"/>
      <c r="Q3595" s="85"/>
      <c r="R3595" s="89"/>
      <c r="U3595" s="11" t="str">
        <f t="shared" si="319"/>
        <v/>
      </c>
      <c r="V3595" s="12" t="str">
        <f t="shared" si="320"/>
        <v/>
      </c>
      <c r="Z3595" s="15"/>
    </row>
    <row r="3596" spans="1:26" x14ac:dyDescent="0.25">
      <c r="A3596" s="15" t="str">
        <f>IF(C3596="","",COUNTA($C$3:C3596))</f>
        <v/>
      </c>
      <c r="B3596" s="15" t="str">
        <f t="shared" si="321"/>
        <v/>
      </c>
      <c r="M3596" s="9"/>
      <c r="N3596" s="9"/>
      <c r="P3596" s="14"/>
      <c r="Q3596" s="85"/>
      <c r="R3596" s="89"/>
      <c r="U3596" s="11" t="str">
        <f t="shared" si="319"/>
        <v/>
      </c>
      <c r="V3596" s="12" t="str">
        <f t="shared" si="320"/>
        <v/>
      </c>
      <c r="Z3596" s="15"/>
    </row>
    <row r="3597" spans="1:26" x14ac:dyDescent="0.25">
      <c r="A3597" s="15" t="str">
        <f>IF(C3597="","",COUNTA($C$3:C3597))</f>
        <v/>
      </c>
      <c r="B3597" s="15" t="str">
        <f t="shared" si="321"/>
        <v/>
      </c>
      <c r="M3597" s="9"/>
      <c r="N3597" s="9"/>
      <c r="P3597" s="14"/>
      <c r="Q3597" s="85"/>
      <c r="R3597" s="89"/>
      <c r="U3597" s="11" t="str">
        <f t="shared" si="319"/>
        <v/>
      </c>
      <c r="V3597" s="12" t="str">
        <f t="shared" si="320"/>
        <v/>
      </c>
      <c r="Z3597" s="15"/>
    </row>
    <row r="3598" spans="1:26" x14ac:dyDescent="0.25">
      <c r="A3598" s="15" t="str">
        <f>IF(C3598="","",COUNTA($C$3:C3598))</f>
        <v/>
      </c>
      <c r="B3598" s="15" t="str">
        <f t="shared" si="321"/>
        <v/>
      </c>
      <c r="M3598" s="9"/>
      <c r="N3598" s="9"/>
      <c r="P3598" s="14"/>
      <c r="Q3598" s="85"/>
      <c r="R3598" s="89"/>
      <c r="U3598" s="11" t="str">
        <f t="shared" si="319"/>
        <v/>
      </c>
      <c r="V3598" s="12" t="str">
        <f t="shared" si="320"/>
        <v/>
      </c>
      <c r="Z3598" s="15"/>
    </row>
    <row r="3599" spans="1:26" x14ac:dyDescent="0.25">
      <c r="A3599" s="15" t="str">
        <f>IF(C3599="","",COUNTA($C$3:C3599))</f>
        <v/>
      </c>
      <c r="B3599" s="15" t="str">
        <f t="shared" si="321"/>
        <v/>
      </c>
      <c r="M3599" s="9"/>
      <c r="N3599" s="9"/>
      <c r="P3599" s="14"/>
      <c r="Q3599" s="85"/>
      <c r="R3599" s="89"/>
      <c r="U3599" s="11" t="str">
        <f t="shared" si="319"/>
        <v/>
      </c>
      <c r="V3599" s="12" t="str">
        <f t="shared" si="320"/>
        <v/>
      </c>
      <c r="Z3599" s="15"/>
    </row>
    <row r="3600" spans="1:26" x14ac:dyDescent="0.25">
      <c r="A3600" s="15" t="str">
        <f>IF(C3600="","",COUNTA($C$3:C3600))</f>
        <v/>
      </c>
      <c r="B3600" s="15" t="str">
        <f t="shared" si="321"/>
        <v/>
      </c>
      <c r="M3600" s="9"/>
      <c r="N3600" s="9"/>
      <c r="P3600" s="14"/>
      <c r="Q3600" s="85"/>
      <c r="R3600" s="89"/>
      <c r="U3600" s="11" t="str">
        <f t="shared" si="319"/>
        <v/>
      </c>
      <c r="V3600" s="12" t="str">
        <f t="shared" si="320"/>
        <v/>
      </c>
      <c r="Z3600" s="15"/>
    </row>
    <row r="3601" spans="1:26" x14ac:dyDescent="0.25">
      <c r="A3601" s="15" t="str">
        <f>IF(C3601="","",COUNTA($C$3:C3601))</f>
        <v/>
      </c>
      <c r="B3601" s="15" t="str">
        <f t="shared" si="321"/>
        <v/>
      </c>
      <c r="M3601" s="9"/>
      <c r="N3601" s="9"/>
      <c r="P3601" s="14"/>
      <c r="Q3601" s="85"/>
      <c r="R3601" s="89"/>
      <c r="U3601" s="11" t="str">
        <f t="shared" si="319"/>
        <v/>
      </c>
      <c r="V3601" s="12" t="str">
        <f t="shared" si="320"/>
        <v/>
      </c>
      <c r="Z3601" s="15"/>
    </row>
    <row r="3602" spans="1:26" x14ac:dyDescent="0.25">
      <c r="A3602" s="15" t="str">
        <f>IF(C3602="","",COUNTA($C$3:C3602))</f>
        <v/>
      </c>
      <c r="B3602" s="15" t="str">
        <f t="shared" si="321"/>
        <v/>
      </c>
      <c r="M3602" s="9"/>
      <c r="N3602" s="9"/>
      <c r="P3602" s="14"/>
      <c r="Q3602" s="85"/>
      <c r="R3602" s="89"/>
      <c r="U3602" s="11" t="str">
        <f t="shared" si="319"/>
        <v/>
      </c>
      <c r="V3602" s="12" t="str">
        <f t="shared" si="320"/>
        <v/>
      </c>
      <c r="Z3602" s="15"/>
    </row>
    <row r="3603" spans="1:26" x14ac:dyDescent="0.25">
      <c r="A3603" s="15" t="str">
        <f>IF(C3603="","",COUNTA($C$3:C3603))</f>
        <v/>
      </c>
      <c r="B3603" s="15" t="str">
        <f t="shared" si="321"/>
        <v/>
      </c>
      <c r="M3603" s="9"/>
      <c r="N3603" s="9"/>
      <c r="P3603" s="14"/>
      <c r="Q3603" s="85"/>
      <c r="R3603" s="89"/>
      <c r="U3603" s="11" t="str">
        <f t="shared" si="319"/>
        <v/>
      </c>
      <c r="V3603" s="12" t="str">
        <f t="shared" si="320"/>
        <v/>
      </c>
      <c r="Z3603" s="15"/>
    </row>
    <row r="3604" spans="1:26" x14ac:dyDescent="0.25">
      <c r="A3604" s="15" t="str">
        <f>IF(C3604="","",COUNTA($C$3:C3604))</f>
        <v/>
      </c>
      <c r="B3604" s="15" t="str">
        <f t="shared" si="321"/>
        <v/>
      </c>
      <c r="M3604" s="9"/>
      <c r="N3604" s="9"/>
      <c r="P3604" s="14"/>
      <c r="Q3604" s="85"/>
      <c r="R3604" s="89"/>
      <c r="U3604" s="11" t="str">
        <f t="shared" si="319"/>
        <v/>
      </c>
      <c r="V3604" s="12" t="str">
        <f t="shared" si="320"/>
        <v/>
      </c>
      <c r="Z3604" s="15"/>
    </row>
    <row r="3605" spans="1:26" x14ac:dyDescent="0.25">
      <c r="A3605" s="15" t="str">
        <f>IF(C3605="","",COUNTA($C$3:C3605))</f>
        <v/>
      </c>
      <c r="B3605" s="15" t="str">
        <f t="shared" si="321"/>
        <v/>
      </c>
      <c r="M3605" s="9"/>
      <c r="N3605" s="9"/>
      <c r="P3605" s="14"/>
      <c r="Q3605" s="85"/>
      <c r="R3605" s="89"/>
      <c r="U3605" s="11" t="str">
        <f t="shared" si="319"/>
        <v/>
      </c>
      <c r="V3605" s="12" t="str">
        <f t="shared" si="320"/>
        <v/>
      </c>
      <c r="Z3605" s="15"/>
    </row>
    <row r="3606" spans="1:26" x14ac:dyDescent="0.25">
      <c r="A3606" s="15" t="str">
        <f>IF(C3606="","",COUNTA($C$3:C3606))</f>
        <v/>
      </c>
      <c r="B3606" s="15" t="str">
        <f t="shared" si="321"/>
        <v/>
      </c>
      <c r="M3606" s="9"/>
      <c r="N3606" s="9"/>
      <c r="P3606" s="14"/>
      <c r="Q3606" s="85"/>
      <c r="R3606" s="89"/>
      <c r="U3606" s="11" t="str">
        <f t="shared" si="319"/>
        <v/>
      </c>
      <c r="V3606" s="12" t="str">
        <f t="shared" si="320"/>
        <v/>
      </c>
      <c r="Z3606" s="15"/>
    </row>
    <row r="3607" spans="1:26" x14ac:dyDescent="0.25">
      <c r="A3607" s="15" t="str">
        <f>IF(C3607="","",COUNTA($C$3:C3607))</f>
        <v/>
      </c>
      <c r="B3607" s="15" t="str">
        <f t="shared" si="321"/>
        <v/>
      </c>
      <c r="M3607" s="9"/>
      <c r="N3607" s="9"/>
      <c r="P3607" s="14"/>
      <c r="Q3607" s="85"/>
      <c r="R3607" s="89"/>
      <c r="U3607" s="11" t="str">
        <f t="shared" si="319"/>
        <v/>
      </c>
      <c r="V3607" s="12" t="str">
        <f t="shared" si="320"/>
        <v/>
      </c>
      <c r="Z3607" s="15"/>
    </row>
    <row r="3608" spans="1:26" x14ac:dyDescent="0.25">
      <c r="A3608" s="15" t="str">
        <f>IF(C3608="","",COUNTA($C$3:C3608))</f>
        <v/>
      </c>
      <c r="B3608" s="15" t="str">
        <f t="shared" si="321"/>
        <v/>
      </c>
      <c r="M3608" s="9"/>
      <c r="N3608" s="9"/>
      <c r="P3608" s="14"/>
      <c r="Q3608" s="85"/>
      <c r="R3608" s="89"/>
      <c r="U3608" s="11" t="str">
        <f t="shared" si="319"/>
        <v/>
      </c>
      <c r="V3608" s="12" t="str">
        <f t="shared" si="320"/>
        <v/>
      </c>
      <c r="Z3608" s="15"/>
    </row>
    <row r="3609" spans="1:26" x14ac:dyDescent="0.25">
      <c r="A3609" s="15" t="str">
        <f>IF(C3609="","",COUNTA($C$3:C3609))</f>
        <v/>
      </c>
      <c r="B3609" s="15" t="str">
        <f t="shared" si="321"/>
        <v/>
      </c>
      <c r="M3609" s="9"/>
      <c r="N3609" s="9"/>
      <c r="P3609" s="14"/>
      <c r="Q3609" s="85"/>
      <c r="R3609" s="89"/>
      <c r="U3609" s="11" t="str">
        <f t="shared" si="319"/>
        <v/>
      </c>
      <c r="V3609" s="12" t="str">
        <f t="shared" si="320"/>
        <v/>
      </c>
      <c r="Z3609" s="15"/>
    </row>
    <row r="3610" spans="1:26" x14ac:dyDescent="0.25">
      <c r="A3610" s="15" t="str">
        <f>IF(C3610="","",COUNTA($C$3:C3610))</f>
        <v/>
      </c>
      <c r="B3610" s="15" t="str">
        <f t="shared" si="321"/>
        <v/>
      </c>
      <c r="M3610" s="9"/>
      <c r="N3610" s="9"/>
      <c r="P3610" s="14"/>
      <c r="Q3610" s="85"/>
      <c r="R3610" s="89"/>
      <c r="U3610" s="11" t="str">
        <f t="shared" si="319"/>
        <v/>
      </c>
      <c r="V3610" s="12" t="str">
        <f t="shared" si="320"/>
        <v/>
      </c>
      <c r="Z3610" s="15"/>
    </row>
    <row r="3611" spans="1:26" x14ac:dyDescent="0.25">
      <c r="A3611" s="15" t="str">
        <f>IF(C3611="","",COUNTA($C$3:C3611))</f>
        <v/>
      </c>
      <c r="B3611" s="15" t="str">
        <f t="shared" si="321"/>
        <v/>
      </c>
      <c r="M3611" s="9"/>
      <c r="N3611" s="9"/>
      <c r="P3611" s="14"/>
      <c r="Q3611" s="85"/>
      <c r="R3611" s="89"/>
      <c r="U3611" s="11" t="str">
        <f t="shared" si="319"/>
        <v/>
      </c>
      <c r="V3611" s="12" t="str">
        <f t="shared" si="320"/>
        <v/>
      </c>
      <c r="Z3611" s="15"/>
    </row>
    <row r="3612" spans="1:26" x14ac:dyDescent="0.25">
      <c r="A3612" s="15" t="str">
        <f>IF(C3612="","",COUNTA($C$3:C3612))</f>
        <v/>
      </c>
      <c r="B3612" s="15" t="str">
        <f t="shared" si="321"/>
        <v/>
      </c>
      <c r="M3612" s="9"/>
      <c r="N3612" s="9"/>
      <c r="P3612" s="14"/>
      <c r="Q3612" s="85"/>
      <c r="R3612" s="89"/>
      <c r="U3612" s="11" t="str">
        <f t="shared" si="319"/>
        <v/>
      </c>
      <c r="V3612" s="12" t="str">
        <f t="shared" si="320"/>
        <v/>
      </c>
      <c r="Z3612" s="15"/>
    </row>
    <row r="3613" spans="1:26" x14ac:dyDescent="0.25">
      <c r="A3613" s="15" t="str">
        <f>IF(C3613="","",COUNTA($C$3:C3613))</f>
        <v/>
      </c>
      <c r="B3613" s="15" t="str">
        <f t="shared" si="321"/>
        <v/>
      </c>
      <c r="M3613" s="9"/>
      <c r="N3613" s="9"/>
      <c r="P3613" s="14"/>
      <c r="Q3613" s="85"/>
      <c r="R3613" s="89"/>
      <c r="U3613" s="11" t="str">
        <f t="shared" si="319"/>
        <v/>
      </c>
      <c r="V3613" s="12" t="str">
        <f t="shared" si="320"/>
        <v/>
      </c>
      <c r="Z3613" s="15"/>
    </row>
    <row r="3614" spans="1:26" x14ac:dyDescent="0.25">
      <c r="A3614" s="15" t="str">
        <f>IF(C3614="","",COUNTA($C$3:C3614))</f>
        <v/>
      </c>
      <c r="B3614" s="15" t="str">
        <f t="shared" si="321"/>
        <v/>
      </c>
      <c r="M3614" s="9"/>
      <c r="N3614" s="9"/>
      <c r="P3614" s="14"/>
      <c r="Q3614" s="85"/>
      <c r="R3614" s="89"/>
      <c r="U3614" s="11" t="str">
        <f t="shared" si="319"/>
        <v/>
      </c>
      <c r="V3614" s="12" t="str">
        <f t="shared" si="320"/>
        <v/>
      </c>
      <c r="Z3614" s="15"/>
    </row>
    <row r="3615" spans="1:26" x14ac:dyDescent="0.25">
      <c r="A3615" s="15" t="str">
        <f>IF(C3615="","",COUNTA($C$3:C3615))</f>
        <v/>
      </c>
      <c r="B3615" s="15" t="str">
        <f t="shared" si="321"/>
        <v/>
      </c>
      <c r="M3615" s="9"/>
      <c r="N3615" s="9"/>
      <c r="P3615" s="14"/>
      <c r="Q3615" s="85"/>
      <c r="R3615" s="89"/>
      <c r="U3615" s="11" t="str">
        <f t="shared" si="319"/>
        <v/>
      </c>
      <c r="V3615" s="12" t="str">
        <f t="shared" si="320"/>
        <v/>
      </c>
      <c r="Z3615" s="15"/>
    </row>
    <row r="3616" spans="1:26" x14ac:dyDescent="0.25">
      <c r="A3616" s="15" t="str">
        <f>IF(C3616="","",COUNTA($C$3:C3616))</f>
        <v/>
      </c>
      <c r="B3616" s="15" t="str">
        <f t="shared" si="321"/>
        <v/>
      </c>
      <c r="M3616" s="9"/>
      <c r="N3616" s="9"/>
      <c r="P3616" s="14"/>
      <c r="Q3616" s="85"/>
      <c r="R3616" s="89"/>
      <c r="U3616" s="11" t="str">
        <f t="shared" si="319"/>
        <v/>
      </c>
      <c r="V3616" s="12" t="str">
        <f t="shared" si="320"/>
        <v/>
      </c>
      <c r="Z3616" s="15"/>
    </row>
    <row r="3617" spans="1:26" x14ac:dyDescent="0.25">
      <c r="A3617" s="15" t="str">
        <f>IF(C3617="","",COUNTA($C$3:C3617))</f>
        <v/>
      </c>
      <c r="B3617" s="15" t="str">
        <f t="shared" si="321"/>
        <v/>
      </c>
      <c r="M3617" s="9"/>
      <c r="N3617" s="9"/>
      <c r="P3617" s="14"/>
      <c r="Q3617" s="85"/>
      <c r="R3617" s="89"/>
      <c r="U3617" s="11" t="str">
        <f t="shared" si="319"/>
        <v/>
      </c>
      <c r="V3617" s="12" t="str">
        <f t="shared" si="320"/>
        <v/>
      </c>
      <c r="Z3617" s="15"/>
    </row>
    <row r="3618" spans="1:26" x14ac:dyDescent="0.25">
      <c r="A3618" s="15" t="str">
        <f>IF(C3618="","",COUNTA($C$3:C3618))</f>
        <v/>
      </c>
      <c r="B3618" s="15" t="str">
        <f t="shared" si="321"/>
        <v/>
      </c>
      <c r="M3618" s="9"/>
      <c r="N3618" s="9"/>
      <c r="P3618" s="14"/>
      <c r="Q3618" s="85"/>
      <c r="R3618" s="89"/>
      <c r="U3618" s="11" t="str">
        <f t="shared" si="319"/>
        <v/>
      </c>
      <c r="V3618" s="12" t="str">
        <f t="shared" si="320"/>
        <v/>
      </c>
      <c r="Z3618" s="15"/>
    </row>
    <row r="3619" spans="1:26" x14ac:dyDescent="0.25">
      <c r="A3619" s="15" t="str">
        <f>IF(C3619="","",COUNTA($C$3:C3619))</f>
        <v/>
      </c>
      <c r="B3619" s="15" t="str">
        <f t="shared" si="321"/>
        <v/>
      </c>
      <c r="M3619" s="9"/>
      <c r="N3619" s="9"/>
      <c r="P3619" s="14"/>
      <c r="Q3619" s="85"/>
      <c r="R3619" s="89"/>
      <c r="U3619" s="11" t="str">
        <f t="shared" si="319"/>
        <v/>
      </c>
      <c r="V3619" s="12" t="str">
        <f t="shared" si="320"/>
        <v/>
      </c>
      <c r="Z3619" s="15"/>
    </row>
    <row r="3620" spans="1:26" x14ac:dyDescent="0.25">
      <c r="A3620" s="15" t="str">
        <f>IF(C3620="","",COUNTA($C$3:C3620))</f>
        <v/>
      </c>
      <c r="B3620" s="15" t="str">
        <f t="shared" si="321"/>
        <v/>
      </c>
      <c r="M3620" s="9"/>
      <c r="N3620" s="9"/>
      <c r="P3620" s="14"/>
      <c r="Q3620" s="85"/>
      <c r="R3620" s="89"/>
      <c r="U3620" s="11" t="str">
        <f t="shared" si="319"/>
        <v/>
      </c>
      <c r="V3620" s="12" t="str">
        <f t="shared" si="320"/>
        <v/>
      </c>
      <c r="Z3620" s="15"/>
    </row>
    <row r="3621" spans="1:26" x14ac:dyDescent="0.25">
      <c r="A3621" s="15" t="str">
        <f>IF(C3621="","",COUNTA($C$3:C3621))</f>
        <v/>
      </c>
      <c r="B3621" s="15" t="str">
        <f t="shared" si="321"/>
        <v/>
      </c>
      <c r="M3621" s="9"/>
      <c r="N3621" s="9"/>
      <c r="P3621" s="14"/>
      <c r="Q3621" s="85"/>
      <c r="R3621" s="89"/>
      <c r="U3621" s="11" t="str">
        <f t="shared" si="319"/>
        <v/>
      </c>
      <c r="V3621" s="12" t="str">
        <f t="shared" si="320"/>
        <v/>
      </c>
      <c r="Z3621" s="15"/>
    </row>
    <row r="3622" spans="1:26" x14ac:dyDescent="0.25">
      <c r="A3622" s="15" t="str">
        <f>IF(C3622="","",COUNTA($C$3:C3622))</f>
        <v/>
      </c>
      <c r="B3622" s="15" t="str">
        <f t="shared" si="321"/>
        <v/>
      </c>
      <c r="M3622" s="9"/>
      <c r="N3622" s="9"/>
      <c r="P3622" s="14"/>
      <c r="Q3622" s="85"/>
      <c r="R3622" s="89"/>
      <c r="U3622" s="11" t="str">
        <f t="shared" si="319"/>
        <v/>
      </c>
      <c r="V3622" s="12" t="str">
        <f t="shared" si="320"/>
        <v/>
      </c>
      <c r="Z3622" s="15"/>
    </row>
    <row r="3623" spans="1:26" x14ac:dyDescent="0.25">
      <c r="A3623" s="15" t="str">
        <f>IF(C3623="","",COUNTA($C$3:C3623))</f>
        <v/>
      </c>
      <c r="B3623" s="15" t="str">
        <f t="shared" si="321"/>
        <v/>
      </c>
      <c r="M3623" s="9"/>
      <c r="N3623" s="9"/>
      <c r="P3623" s="14"/>
      <c r="Q3623" s="85"/>
      <c r="R3623" s="89"/>
      <c r="U3623" s="11" t="str">
        <f t="shared" si="319"/>
        <v/>
      </c>
      <c r="V3623" s="12" t="str">
        <f t="shared" si="320"/>
        <v/>
      </c>
      <c r="Z3623" s="15"/>
    </row>
    <row r="3624" spans="1:26" x14ac:dyDescent="0.25">
      <c r="A3624" s="15" t="str">
        <f>IF(C3624="","",COUNTA($C$3:C3624))</f>
        <v/>
      </c>
      <c r="B3624" s="15" t="str">
        <f t="shared" si="321"/>
        <v/>
      </c>
      <c r="M3624" s="9"/>
      <c r="N3624" s="9"/>
      <c r="P3624" s="14"/>
      <c r="Q3624" s="85"/>
      <c r="R3624" s="89"/>
      <c r="U3624" s="11" t="str">
        <f t="shared" si="319"/>
        <v/>
      </c>
      <c r="V3624" s="12" t="str">
        <f t="shared" si="320"/>
        <v/>
      </c>
      <c r="Z3624" s="15"/>
    </row>
    <row r="3625" spans="1:26" x14ac:dyDescent="0.25">
      <c r="A3625" s="15" t="str">
        <f>IF(C3625="","",COUNTA($C$3:C3625))</f>
        <v/>
      </c>
      <c r="B3625" s="15" t="str">
        <f t="shared" si="321"/>
        <v/>
      </c>
      <c r="M3625" s="9"/>
      <c r="N3625" s="9"/>
      <c r="P3625" s="14"/>
      <c r="Q3625" s="85"/>
      <c r="R3625" s="89"/>
      <c r="U3625" s="11" t="str">
        <f t="shared" si="319"/>
        <v/>
      </c>
      <c r="V3625" s="12" t="str">
        <f t="shared" si="320"/>
        <v/>
      </c>
      <c r="Z3625" s="15"/>
    </row>
    <row r="3626" spans="1:26" x14ac:dyDescent="0.25">
      <c r="A3626" s="15" t="str">
        <f>IF(C3626="","",COUNTA($C$3:C3626))</f>
        <v/>
      </c>
      <c r="B3626" s="15" t="str">
        <f t="shared" si="321"/>
        <v/>
      </c>
      <c r="M3626" s="9"/>
      <c r="N3626" s="9"/>
      <c r="P3626" s="14"/>
      <c r="Q3626" s="85"/>
      <c r="R3626" s="89"/>
      <c r="U3626" s="11" t="str">
        <f t="shared" si="319"/>
        <v/>
      </c>
      <c r="V3626" s="12" t="str">
        <f t="shared" si="320"/>
        <v/>
      </c>
      <c r="Z3626" s="15"/>
    </row>
    <row r="3627" spans="1:26" x14ac:dyDescent="0.25">
      <c r="A3627" s="15" t="str">
        <f>IF(C3627="","",COUNTA($C$3:C3627))</f>
        <v/>
      </c>
      <c r="B3627" s="15" t="str">
        <f t="shared" si="321"/>
        <v/>
      </c>
      <c r="M3627" s="9"/>
      <c r="N3627" s="9"/>
      <c r="P3627" s="14"/>
      <c r="Q3627" s="85"/>
      <c r="R3627" s="89"/>
      <c r="U3627" s="11" t="str">
        <f t="shared" si="319"/>
        <v/>
      </c>
      <c r="V3627" s="12" t="str">
        <f t="shared" si="320"/>
        <v/>
      </c>
      <c r="Z3627" s="15"/>
    </row>
    <row r="3628" spans="1:26" x14ac:dyDescent="0.25">
      <c r="A3628" s="15" t="str">
        <f>IF(C3628="","",COUNTA($C$3:C3628))</f>
        <v/>
      </c>
      <c r="B3628" s="15" t="str">
        <f t="shared" si="321"/>
        <v/>
      </c>
      <c r="M3628" s="9"/>
      <c r="N3628" s="9"/>
      <c r="P3628" s="14"/>
      <c r="Q3628" s="85"/>
      <c r="R3628" s="89"/>
      <c r="U3628" s="11" t="str">
        <f t="shared" si="319"/>
        <v/>
      </c>
      <c r="V3628" s="12" t="str">
        <f t="shared" si="320"/>
        <v/>
      </c>
      <c r="Z3628" s="15"/>
    </row>
    <row r="3629" spans="1:26" x14ac:dyDescent="0.25">
      <c r="A3629" s="15" t="str">
        <f>IF(C3629="","",COUNTA($C$3:C3629))</f>
        <v/>
      </c>
      <c r="B3629" s="15" t="str">
        <f t="shared" si="321"/>
        <v/>
      </c>
      <c r="M3629" s="9"/>
      <c r="N3629" s="9"/>
      <c r="P3629" s="14"/>
      <c r="Q3629" s="85"/>
      <c r="R3629" s="89"/>
      <c r="U3629" s="11" t="str">
        <f t="shared" si="319"/>
        <v/>
      </c>
      <c r="V3629" s="12" t="str">
        <f t="shared" si="320"/>
        <v/>
      </c>
      <c r="Z3629" s="15"/>
    </row>
    <row r="3630" spans="1:26" x14ac:dyDescent="0.25">
      <c r="A3630" s="15" t="str">
        <f>IF(C3630="","",COUNTA($C$3:C3630))</f>
        <v/>
      </c>
      <c r="B3630" s="15" t="str">
        <f t="shared" si="321"/>
        <v/>
      </c>
      <c r="M3630" s="9"/>
      <c r="N3630" s="9"/>
      <c r="P3630" s="14"/>
      <c r="Q3630" s="85"/>
      <c r="R3630" s="89"/>
      <c r="U3630" s="11" t="str">
        <f t="shared" si="319"/>
        <v/>
      </c>
      <c r="V3630" s="12" t="str">
        <f t="shared" si="320"/>
        <v/>
      </c>
      <c r="Z3630" s="15"/>
    </row>
    <row r="3631" spans="1:26" x14ac:dyDescent="0.25">
      <c r="A3631" s="15" t="str">
        <f>IF(C3631="","",COUNTA($C$3:C3631))</f>
        <v/>
      </c>
      <c r="B3631" s="15" t="str">
        <f t="shared" si="321"/>
        <v/>
      </c>
      <c r="M3631" s="9"/>
      <c r="N3631" s="9"/>
      <c r="P3631" s="14"/>
      <c r="Q3631" s="85"/>
      <c r="R3631" s="89"/>
      <c r="U3631" s="11" t="str">
        <f t="shared" si="319"/>
        <v/>
      </c>
      <c r="V3631" s="12" t="str">
        <f t="shared" si="320"/>
        <v/>
      </c>
      <c r="Z3631" s="15"/>
    </row>
    <row r="3632" spans="1:26" x14ac:dyDescent="0.25">
      <c r="A3632" s="15" t="str">
        <f>IF(C3632="","",COUNTA($C$3:C3632))</f>
        <v/>
      </c>
      <c r="B3632" s="15" t="str">
        <f t="shared" si="321"/>
        <v/>
      </c>
      <c r="M3632" s="9"/>
      <c r="N3632" s="9"/>
      <c r="P3632" s="14"/>
      <c r="Q3632" s="85"/>
      <c r="R3632" s="89"/>
      <c r="U3632" s="11" t="str">
        <f t="shared" si="319"/>
        <v/>
      </c>
      <c r="V3632" s="12" t="str">
        <f t="shared" si="320"/>
        <v/>
      </c>
      <c r="Z3632" s="15"/>
    </row>
    <row r="3633" spans="1:26" x14ac:dyDescent="0.25">
      <c r="A3633" s="15" t="str">
        <f>IF(C3633="","",COUNTA($C$3:C3633))</f>
        <v/>
      </c>
      <c r="B3633" s="15" t="str">
        <f t="shared" si="321"/>
        <v/>
      </c>
      <c r="M3633" s="9"/>
      <c r="N3633" s="9"/>
      <c r="P3633" s="14"/>
      <c r="Q3633" s="85"/>
      <c r="R3633" s="89"/>
      <c r="U3633" s="11" t="str">
        <f t="shared" si="319"/>
        <v/>
      </c>
      <c r="V3633" s="12" t="str">
        <f t="shared" si="320"/>
        <v/>
      </c>
      <c r="Z3633" s="15"/>
    </row>
    <row r="3634" spans="1:26" x14ac:dyDescent="0.25">
      <c r="A3634" s="15" t="str">
        <f>IF(C3634="","",COUNTA($C$3:C3634))</f>
        <v/>
      </c>
      <c r="B3634" s="15" t="str">
        <f t="shared" si="321"/>
        <v/>
      </c>
      <c r="M3634" s="9"/>
      <c r="N3634" s="9"/>
      <c r="P3634" s="14"/>
      <c r="Q3634" s="85"/>
      <c r="R3634" s="89"/>
      <c r="U3634" s="11" t="str">
        <f t="shared" si="319"/>
        <v/>
      </c>
      <c r="V3634" s="12" t="str">
        <f t="shared" si="320"/>
        <v/>
      </c>
      <c r="Z3634" s="15"/>
    </row>
    <row r="3635" spans="1:26" x14ac:dyDescent="0.25">
      <c r="A3635" s="15" t="str">
        <f>IF(C3635="","",COUNTA($C$3:C3635))</f>
        <v/>
      </c>
      <c r="B3635" s="15" t="str">
        <f t="shared" si="321"/>
        <v/>
      </c>
      <c r="M3635" s="9"/>
      <c r="N3635" s="9"/>
      <c r="P3635" s="14"/>
      <c r="Q3635" s="85"/>
      <c r="R3635" s="89"/>
      <c r="U3635" s="11" t="str">
        <f t="shared" si="319"/>
        <v/>
      </c>
      <c r="V3635" s="12" t="str">
        <f t="shared" si="320"/>
        <v/>
      </c>
      <c r="Z3635" s="15"/>
    </row>
    <row r="3636" spans="1:26" x14ac:dyDescent="0.25">
      <c r="A3636" s="15" t="str">
        <f>IF(C3636="","",COUNTA($C$3:C3636))</f>
        <v/>
      </c>
      <c r="B3636" s="15" t="str">
        <f t="shared" si="321"/>
        <v/>
      </c>
      <c r="M3636" s="9"/>
      <c r="N3636" s="9"/>
      <c r="P3636" s="14"/>
      <c r="Q3636" s="85"/>
      <c r="R3636" s="89"/>
      <c r="U3636" s="11" t="str">
        <f t="shared" si="319"/>
        <v/>
      </c>
      <c r="V3636" s="12" t="str">
        <f t="shared" si="320"/>
        <v/>
      </c>
      <c r="Z3636" s="15"/>
    </row>
    <row r="3637" spans="1:26" x14ac:dyDescent="0.25">
      <c r="A3637" s="15" t="str">
        <f>IF(C3637="","",COUNTA($C$3:C3637))</f>
        <v/>
      </c>
      <c r="B3637" s="15" t="str">
        <f t="shared" si="321"/>
        <v/>
      </c>
      <c r="M3637" s="9"/>
      <c r="N3637" s="9"/>
      <c r="P3637" s="14"/>
      <c r="Q3637" s="85"/>
      <c r="R3637" s="89"/>
      <c r="U3637" s="11" t="str">
        <f t="shared" si="319"/>
        <v/>
      </c>
      <c r="V3637" s="12" t="str">
        <f t="shared" si="320"/>
        <v/>
      </c>
      <c r="Z3637" s="15"/>
    </row>
    <row r="3638" spans="1:26" x14ac:dyDescent="0.25">
      <c r="A3638" s="15" t="str">
        <f>IF(C3638="","",COUNTA($C$3:C3638))</f>
        <v/>
      </c>
      <c r="B3638" s="15" t="str">
        <f t="shared" si="321"/>
        <v/>
      </c>
      <c r="M3638" s="9"/>
      <c r="N3638" s="9"/>
      <c r="P3638" s="14"/>
      <c r="Q3638" s="85"/>
      <c r="R3638" s="89"/>
      <c r="U3638" s="11" t="str">
        <f t="shared" si="319"/>
        <v/>
      </c>
      <c r="V3638" s="12" t="str">
        <f t="shared" si="320"/>
        <v/>
      </c>
      <c r="Z3638" s="15"/>
    </row>
    <row r="3639" spans="1:26" x14ac:dyDescent="0.25">
      <c r="A3639" s="15" t="str">
        <f>IF(C3639="","",COUNTA($C$3:C3639))</f>
        <v/>
      </c>
      <c r="B3639" s="15" t="str">
        <f t="shared" si="321"/>
        <v/>
      </c>
      <c r="M3639" s="9"/>
      <c r="N3639" s="9"/>
      <c r="P3639" s="14"/>
      <c r="Q3639" s="85"/>
      <c r="R3639" s="89"/>
      <c r="U3639" s="11" t="str">
        <f t="shared" si="319"/>
        <v/>
      </c>
      <c r="V3639" s="12" t="str">
        <f t="shared" si="320"/>
        <v/>
      </c>
      <c r="Z3639" s="15"/>
    </row>
    <row r="3640" spans="1:26" x14ac:dyDescent="0.25">
      <c r="A3640" s="15" t="str">
        <f>IF(C3640="","",COUNTA($C$3:C3640))</f>
        <v/>
      </c>
      <c r="B3640" s="15" t="str">
        <f t="shared" si="321"/>
        <v/>
      </c>
      <c r="M3640" s="9"/>
      <c r="N3640" s="9"/>
      <c r="P3640" s="14"/>
      <c r="Q3640" s="85"/>
      <c r="R3640" s="89"/>
      <c r="U3640" s="11" t="str">
        <f t="shared" si="319"/>
        <v/>
      </c>
      <c r="V3640" s="12" t="str">
        <f t="shared" si="320"/>
        <v/>
      </c>
      <c r="Z3640" s="15"/>
    </row>
    <row r="3641" spans="1:26" x14ac:dyDescent="0.25">
      <c r="A3641" s="15" t="str">
        <f>IF(C3641="","",COUNTA($C$3:C3641))</f>
        <v/>
      </c>
      <c r="B3641" s="15" t="str">
        <f t="shared" si="321"/>
        <v/>
      </c>
      <c r="M3641" s="9"/>
      <c r="N3641" s="9"/>
      <c r="P3641" s="14"/>
      <c r="Q3641" s="85"/>
      <c r="R3641" s="89"/>
      <c r="U3641" s="11" t="str">
        <f t="shared" si="319"/>
        <v/>
      </c>
      <c r="V3641" s="12" t="str">
        <f t="shared" si="320"/>
        <v/>
      </c>
      <c r="Z3641" s="15"/>
    </row>
    <row r="3642" spans="1:26" x14ac:dyDescent="0.25">
      <c r="A3642" s="15" t="str">
        <f>IF(C3642="","",COUNTA($C$3:C3642))</f>
        <v/>
      </c>
      <c r="B3642" s="15" t="str">
        <f t="shared" si="321"/>
        <v/>
      </c>
      <c r="M3642" s="9"/>
      <c r="N3642" s="9"/>
      <c r="P3642" s="14"/>
      <c r="Q3642" s="85"/>
      <c r="R3642" s="89"/>
      <c r="U3642" s="11" t="str">
        <f t="shared" si="319"/>
        <v/>
      </c>
      <c r="V3642" s="12" t="str">
        <f t="shared" si="320"/>
        <v/>
      </c>
      <c r="Z3642" s="15"/>
    </row>
    <row r="3643" spans="1:26" x14ac:dyDescent="0.25">
      <c r="A3643" s="15" t="str">
        <f>IF(C3643="","",COUNTA($C$3:C3643))</f>
        <v/>
      </c>
      <c r="B3643" s="15" t="str">
        <f t="shared" si="321"/>
        <v/>
      </c>
      <c r="M3643" s="9"/>
      <c r="N3643" s="9"/>
      <c r="P3643" s="14"/>
      <c r="Q3643" s="85"/>
      <c r="R3643" s="89"/>
      <c r="U3643" s="11" t="str">
        <f t="shared" si="319"/>
        <v/>
      </c>
      <c r="V3643" s="12" t="str">
        <f t="shared" si="320"/>
        <v/>
      </c>
      <c r="Z3643" s="15"/>
    </row>
    <row r="3644" spans="1:26" x14ac:dyDescent="0.25">
      <c r="A3644" s="15" t="str">
        <f>IF(C3644="","",COUNTA($C$3:C3644))</f>
        <v/>
      </c>
      <c r="B3644" s="15" t="str">
        <f t="shared" si="321"/>
        <v/>
      </c>
      <c r="M3644" s="9"/>
      <c r="N3644" s="9"/>
      <c r="P3644" s="14"/>
      <c r="Q3644" s="85"/>
      <c r="R3644" s="89"/>
      <c r="U3644" s="11" t="str">
        <f t="shared" si="319"/>
        <v/>
      </c>
      <c r="V3644" s="12" t="str">
        <f t="shared" si="320"/>
        <v/>
      </c>
      <c r="Z3644" s="15"/>
    </row>
    <row r="3645" spans="1:26" x14ac:dyDescent="0.25">
      <c r="A3645" s="15" t="str">
        <f>IF(C3645="","",COUNTA($C$3:C3645))</f>
        <v/>
      </c>
      <c r="B3645" s="15" t="str">
        <f t="shared" si="321"/>
        <v/>
      </c>
      <c r="M3645" s="9"/>
      <c r="N3645" s="9"/>
      <c r="P3645" s="14"/>
      <c r="Q3645" s="85"/>
      <c r="R3645" s="89"/>
      <c r="U3645" s="11" t="str">
        <f t="shared" si="319"/>
        <v/>
      </c>
      <c r="V3645" s="12" t="str">
        <f t="shared" si="320"/>
        <v/>
      </c>
      <c r="Z3645" s="15"/>
    </row>
    <row r="3646" spans="1:26" x14ac:dyDescent="0.25">
      <c r="A3646" s="15" t="str">
        <f>IF(C3646="","",COUNTA($C$3:C3646))</f>
        <v/>
      </c>
      <c r="B3646" s="15" t="str">
        <f t="shared" si="321"/>
        <v/>
      </c>
      <c r="M3646" s="9"/>
      <c r="N3646" s="9"/>
      <c r="P3646" s="14"/>
      <c r="Q3646" s="85"/>
      <c r="R3646" s="89"/>
      <c r="U3646" s="11" t="str">
        <f t="shared" si="319"/>
        <v/>
      </c>
      <c r="V3646" s="12" t="str">
        <f t="shared" si="320"/>
        <v/>
      </c>
      <c r="Z3646" s="15"/>
    </row>
    <row r="3647" spans="1:26" x14ac:dyDescent="0.25">
      <c r="A3647" s="15" t="str">
        <f>IF(C3647="","",COUNTA($C$3:C3647))</f>
        <v/>
      </c>
      <c r="B3647" s="15" t="str">
        <f t="shared" si="321"/>
        <v/>
      </c>
      <c r="M3647" s="9"/>
      <c r="N3647" s="9"/>
      <c r="P3647" s="14"/>
      <c r="Q3647" s="85"/>
      <c r="R3647" s="89"/>
      <c r="U3647" s="11" t="str">
        <f t="shared" si="319"/>
        <v/>
      </c>
      <c r="V3647" s="12" t="str">
        <f t="shared" si="320"/>
        <v/>
      </c>
      <c r="Z3647" s="15"/>
    </row>
    <row r="3648" spans="1:26" x14ac:dyDescent="0.25">
      <c r="A3648" s="15" t="str">
        <f>IF(C3648="","",COUNTA($C$3:C3648))</f>
        <v/>
      </c>
      <c r="B3648" s="15" t="str">
        <f t="shared" si="321"/>
        <v/>
      </c>
      <c r="M3648" s="9"/>
      <c r="N3648" s="9"/>
      <c r="P3648" s="14"/>
      <c r="Q3648" s="85"/>
      <c r="R3648" s="89"/>
      <c r="U3648" s="11" t="str">
        <f t="shared" si="319"/>
        <v/>
      </c>
      <c r="V3648" s="12" t="str">
        <f t="shared" si="320"/>
        <v/>
      </c>
      <c r="Z3648" s="15"/>
    </row>
    <row r="3649" spans="1:26" x14ac:dyDescent="0.25">
      <c r="A3649" s="15" t="str">
        <f>IF(C3649="","",COUNTA($C$3:C3649))</f>
        <v/>
      </c>
      <c r="B3649" s="15" t="str">
        <f t="shared" si="321"/>
        <v/>
      </c>
      <c r="M3649" s="9"/>
      <c r="N3649" s="9"/>
      <c r="P3649" s="14"/>
      <c r="Q3649" s="85"/>
      <c r="R3649" s="89"/>
      <c r="U3649" s="11" t="str">
        <f t="shared" si="319"/>
        <v/>
      </c>
      <c r="V3649" s="12" t="str">
        <f t="shared" si="320"/>
        <v/>
      </c>
      <c r="Z3649" s="15"/>
    </row>
    <row r="3650" spans="1:26" x14ac:dyDescent="0.25">
      <c r="A3650" s="15" t="str">
        <f>IF(C3650="","",COUNTA($C$3:C3650))</f>
        <v/>
      </c>
      <c r="B3650" s="15" t="str">
        <f t="shared" si="321"/>
        <v/>
      </c>
      <c r="M3650" s="9"/>
      <c r="N3650" s="9"/>
      <c r="P3650" s="14"/>
      <c r="Q3650" s="85"/>
      <c r="R3650" s="89"/>
      <c r="U3650" s="11" t="str">
        <f t="shared" ref="U3650:U3713" si="322">IF(S3650="","",(S3650-T3650))</f>
        <v/>
      </c>
      <c r="V3650" s="12" t="str">
        <f t="shared" ref="V3650:V3713" si="323">IF(U3650="","",(U3650/T3650))</f>
        <v/>
      </c>
      <c r="Z3650" s="15"/>
    </row>
    <row r="3651" spans="1:26" x14ac:dyDescent="0.25">
      <c r="A3651" s="15" t="str">
        <f>IF(C3651="","",COUNTA($C$3:C3651))</f>
        <v/>
      </c>
      <c r="B3651" s="15" t="str">
        <f t="shared" ref="B3651:B3714" si="324">IF(C3651="","",TEXT(C3651,"mmmm"))</f>
        <v/>
      </c>
      <c r="M3651" s="9"/>
      <c r="N3651" s="9"/>
      <c r="P3651" s="14"/>
      <c r="Q3651" s="85"/>
      <c r="R3651" s="89"/>
      <c r="U3651" s="11" t="str">
        <f t="shared" si="322"/>
        <v/>
      </c>
      <c r="V3651" s="12" t="str">
        <f t="shared" si="323"/>
        <v/>
      </c>
      <c r="Z3651" s="15"/>
    </row>
    <row r="3652" spans="1:26" x14ac:dyDescent="0.25">
      <c r="A3652" s="15" t="str">
        <f>IF(C3652="","",COUNTA($C$3:C3652))</f>
        <v/>
      </c>
      <c r="B3652" s="15" t="str">
        <f t="shared" si="324"/>
        <v/>
      </c>
      <c r="M3652" s="9"/>
      <c r="N3652" s="9"/>
      <c r="P3652" s="14"/>
      <c r="Q3652" s="85"/>
      <c r="R3652" s="89"/>
      <c r="U3652" s="11" t="str">
        <f t="shared" si="322"/>
        <v/>
      </c>
      <c r="V3652" s="12" t="str">
        <f t="shared" si="323"/>
        <v/>
      </c>
      <c r="Z3652" s="15"/>
    </row>
    <row r="3653" spans="1:26" x14ac:dyDescent="0.25">
      <c r="A3653" s="15" t="str">
        <f>IF(C3653="","",COUNTA($C$3:C3653))</f>
        <v/>
      </c>
      <c r="B3653" s="15" t="str">
        <f t="shared" si="324"/>
        <v/>
      </c>
      <c r="M3653" s="9"/>
      <c r="N3653" s="9"/>
      <c r="P3653" s="14"/>
      <c r="Q3653" s="85"/>
      <c r="R3653" s="89"/>
      <c r="U3653" s="11" t="str">
        <f t="shared" si="322"/>
        <v/>
      </c>
      <c r="V3653" s="12" t="str">
        <f t="shared" si="323"/>
        <v/>
      </c>
      <c r="Z3653" s="15"/>
    </row>
    <row r="3654" spans="1:26" x14ac:dyDescent="0.25">
      <c r="A3654" s="15" t="str">
        <f>IF(C3654="","",COUNTA($C$3:C3654))</f>
        <v/>
      </c>
      <c r="B3654" s="15" t="str">
        <f t="shared" si="324"/>
        <v/>
      </c>
      <c r="M3654" s="9"/>
      <c r="N3654" s="9"/>
      <c r="P3654" s="14"/>
      <c r="Q3654" s="85"/>
      <c r="R3654" s="89"/>
      <c r="U3654" s="11" t="str">
        <f t="shared" si="322"/>
        <v/>
      </c>
      <c r="V3654" s="12" t="str">
        <f t="shared" si="323"/>
        <v/>
      </c>
      <c r="Z3654" s="15"/>
    </row>
    <row r="3655" spans="1:26" x14ac:dyDescent="0.25">
      <c r="A3655" s="15" t="str">
        <f>IF(C3655="","",COUNTA($C$3:C3655))</f>
        <v/>
      </c>
      <c r="B3655" s="15" t="str">
        <f t="shared" si="324"/>
        <v/>
      </c>
      <c r="M3655" s="9"/>
      <c r="N3655" s="9"/>
      <c r="P3655" s="14"/>
      <c r="Q3655" s="85"/>
      <c r="R3655" s="89"/>
      <c r="U3655" s="11" t="str">
        <f t="shared" si="322"/>
        <v/>
      </c>
      <c r="V3655" s="12" t="str">
        <f t="shared" si="323"/>
        <v/>
      </c>
      <c r="Z3655" s="15"/>
    </row>
    <row r="3656" spans="1:26" x14ac:dyDescent="0.25">
      <c r="A3656" s="15" t="str">
        <f>IF(C3656="","",COUNTA($C$3:C3656))</f>
        <v/>
      </c>
      <c r="B3656" s="15" t="str">
        <f t="shared" si="324"/>
        <v/>
      </c>
      <c r="M3656" s="9"/>
      <c r="N3656" s="9"/>
      <c r="P3656" s="14"/>
      <c r="Q3656" s="85"/>
      <c r="R3656" s="89"/>
      <c r="U3656" s="11" t="str">
        <f t="shared" si="322"/>
        <v/>
      </c>
      <c r="V3656" s="12" t="str">
        <f t="shared" si="323"/>
        <v/>
      </c>
      <c r="Z3656" s="15"/>
    </row>
    <row r="3657" spans="1:26" x14ac:dyDescent="0.25">
      <c r="A3657" s="15" t="str">
        <f>IF(C3657="","",COUNTA($C$3:C3657))</f>
        <v/>
      </c>
      <c r="B3657" s="15" t="str">
        <f t="shared" si="324"/>
        <v/>
      </c>
      <c r="M3657" s="9"/>
      <c r="N3657" s="9"/>
      <c r="P3657" s="14"/>
      <c r="Q3657" s="85"/>
      <c r="R3657" s="89"/>
      <c r="U3657" s="11" t="str">
        <f t="shared" si="322"/>
        <v/>
      </c>
      <c r="V3657" s="12" t="str">
        <f t="shared" si="323"/>
        <v/>
      </c>
      <c r="Z3657" s="15"/>
    </row>
    <row r="3658" spans="1:26" x14ac:dyDescent="0.25">
      <c r="A3658" s="15" t="str">
        <f>IF(C3658="","",COUNTA($C$3:C3658))</f>
        <v/>
      </c>
      <c r="B3658" s="15" t="str">
        <f t="shared" si="324"/>
        <v/>
      </c>
      <c r="M3658" s="9"/>
      <c r="N3658" s="9"/>
      <c r="P3658" s="14"/>
      <c r="Q3658" s="85"/>
      <c r="R3658" s="89"/>
      <c r="U3658" s="11" t="str">
        <f t="shared" si="322"/>
        <v/>
      </c>
      <c r="V3658" s="12" t="str">
        <f t="shared" si="323"/>
        <v/>
      </c>
      <c r="Z3658" s="15"/>
    </row>
    <row r="3659" spans="1:26" x14ac:dyDescent="0.25">
      <c r="A3659" s="15" t="str">
        <f>IF(C3659="","",COUNTA($C$3:C3659))</f>
        <v/>
      </c>
      <c r="B3659" s="15" t="str">
        <f t="shared" si="324"/>
        <v/>
      </c>
      <c r="M3659" s="9"/>
      <c r="N3659" s="9"/>
      <c r="P3659" s="14"/>
      <c r="Q3659" s="85"/>
      <c r="R3659" s="89"/>
      <c r="U3659" s="11" t="str">
        <f t="shared" si="322"/>
        <v/>
      </c>
      <c r="V3659" s="12" t="str">
        <f t="shared" si="323"/>
        <v/>
      </c>
      <c r="Z3659" s="15"/>
    </row>
    <row r="3660" spans="1:26" x14ac:dyDescent="0.25">
      <c r="A3660" s="15" t="str">
        <f>IF(C3660="","",COUNTA($C$3:C3660))</f>
        <v/>
      </c>
      <c r="B3660" s="15" t="str">
        <f t="shared" si="324"/>
        <v/>
      </c>
      <c r="M3660" s="9"/>
      <c r="N3660" s="9"/>
      <c r="P3660" s="14"/>
      <c r="Q3660" s="85"/>
      <c r="R3660" s="89"/>
      <c r="U3660" s="11" t="str">
        <f t="shared" si="322"/>
        <v/>
      </c>
      <c r="V3660" s="12" t="str">
        <f t="shared" si="323"/>
        <v/>
      </c>
      <c r="Z3660" s="15"/>
    </row>
    <row r="3661" spans="1:26" x14ac:dyDescent="0.25">
      <c r="A3661" s="15" t="str">
        <f>IF(C3661="","",COUNTA($C$3:C3661))</f>
        <v/>
      </c>
      <c r="B3661" s="15" t="str">
        <f t="shared" si="324"/>
        <v/>
      </c>
      <c r="M3661" s="9"/>
      <c r="N3661" s="9"/>
      <c r="P3661" s="14"/>
      <c r="Q3661" s="85"/>
      <c r="R3661" s="89"/>
      <c r="U3661" s="11" t="str">
        <f t="shared" si="322"/>
        <v/>
      </c>
      <c r="V3661" s="12" t="str">
        <f t="shared" si="323"/>
        <v/>
      </c>
      <c r="Z3661" s="15"/>
    </row>
    <row r="3662" spans="1:26" x14ac:dyDescent="0.25">
      <c r="A3662" s="15" t="str">
        <f>IF(C3662="","",COUNTA($C$3:C3662))</f>
        <v/>
      </c>
      <c r="B3662" s="15" t="str">
        <f t="shared" si="324"/>
        <v/>
      </c>
      <c r="M3662" s="9"/>
      <c r="N3662" s="9"/>
      <c r="P3662" s="14"/>
      <c r="Q3662" s="85"/>
      <c r="R3662" s="89"/>
      <c r="U3662" s="11" t="str">
        <f t="shared" si="322"/>
        <v/>
      </c>
      <c r="V3662" s="12" t="str">
        <f t="shared" si="323"/>
        <v/>
      </c>
      <c r="Z3662" s="15"/>
    </row>
    <row r="3663" spans="1:26" x14ac:dyDescent="0.25">
      <c r="A3663" s="15" t="str">
        <f>IF(C3663="","",COUNTA($C$3:C3663))</f>
        <v/>
      </c>
      <c r="B3663" s="15" t="str">
        <f t="shared" si="324"/>
        <v/>
      </c>
      <c r="M3663" s="9"/>
      <c r="N3663" s="9"/>
      <c r="P3663" s="14"/>
      <c r="Q3663" s="85"/>
      <c r="R3663" s="89"/>
      <c r="U3663" s="11" t="str">
        <f t="shared" si="322"/>
        <v/>
      </c>
      <c r="V3663" s="12" t="str">
        <f t="shared" si="323"/>
        <v/>
      </c>
      <c r="Z3663" s="15"/>
    </row>
    <row r="3664" spans="1:26" x14ac:dyDescent="0.25">
      <c r="A3664" s="15" t="str">
        <f>IF(C3664="","",COUNTA($C$3:C3664))</f>
        <v/>
      </c>
      <c r="B3664" s="15" t="str">
        <f t="shared" si="324"/>
        <v/>
      </c>
      <c r="M3664" s="9"/>
      <c r="N3664" s="9"/>
      <c r="P3664" s="14"/>
      <c r="Q3664" s="85"/>
      <c r="R3664" s="89"/>
      <c r="U3664" s="11" t="str">
        <f t="shared" si="322"/>
        <v/>
      </c>
      <c r="V3664" s="12" t="str">
        <f t="shared" si="323"/>
        <v/>
      </c>
      <c r="Z3664" s="15"/>
    </row>
    <row r="3665" spans="1:26" x14ac:dyDescent="0.25">
      <c r="A3665" s="15" t="str">
        <f>IF(C3665="","",COUNTA($C$3:C3665))</f>
        <v/>
      </c>
      <c r="B3665" s="15" t="str">
        <f t="shared" si="324"/>
        <v/>
      </c>
      <c r="M3665" s="9"/>
      <c r="N3665" s="9"/>
      <c r="P3665" s="14"/>
      <c r="Q3665" s="85"/>
      <c r="R3665" s="89"/>
      <c r="U3665" s="11" t="str">
        <f t="shared" si="322"/>
        <v/>
      </c>
      <c r="V3665" s="12" t="str">
        <f t="shared" si="323"/>
        <v/>
      </c>
      <c r="Z3665" s="15"/>
    </row>
    <row r="3666" spans="1:26" x14ac:dyDescent="0.25">
      <c r="A3666" s="15" t="str">
        <f>IF(C3666="","",COUNTA($C$3:C3666))</f>
        <v/>
      </c>
      <c r="B3666" s="15" t="str">
        <f t="shared" si="324"/>
        <v/>
      </c>
      <c r="M3666" s="9"/>
      <c r="N3666" s="9"/>
      <c r="P3666" s="14"/>
      <c r="Q3666" s="85"/>
      <c r="R3666" s="89"/>
      <c r="U3666" s="11" t="str">
        <f t="shared" si="322"/>
        <v/>
      </c>
      <c r="V3666" s="12" t="str">
        <f t="shared" si="323"/>
        <v/>
      </c>
      <c r="Z3666" s="15"/>
    </row>
    <row r="3667" spans="1:26" x14ac:dyDescent="0.25">
      <c r="A3667" s="15" t="str">
        <f>IF(C3667="","",COUNTA($C$3:C3667))</f>
        <v/>
      </c>
      <c r="B3667" s="15" t="str">
        <f t="shared" si="324"/>
        <v/>
      </c>
      <c r="M3667" s="9"/>
      <c r="N3667" s="9"/>
      <c r="P3667" s="14"/>
      <c r="Q3667" s="85"/>
      <c r="R3667" s="89"/>
      <c r="U3667" s="11" t="str">
        <f t="shared" si="322"/>
        <v/>
      </c>
      <c r="V3667" s="12" t="str">
        <f t="shared" si="323"/>
        <v/>
      </c>
      <c r="Z3667" s="15"/>
    </row>
    <row r="3668" spans="1:26" x14ac:dyDescent="0.25">
      <c r="A3668" s="15" t="str">
        <f>IF(C3668="","",COUNTA($C$3:C3668))</f>
        <v/>
      </c>
      <c r="B3668" s="15" t="str">
        <f t="shared" si="324"/>
        <v/>
      </c>
      <c r="M3668" s="9"/>
      <c r="N3668" s="9"/>
      <c r="P3668" s="14"/>
      <c r="Q3668" s="85"/>
      <c r="R3668" s="89"/>
      <c r="U3668" s="11" t="str">
        <f t="shared" si="322"/>
        <v/>
      </c>
      <c r="V3668" s="12" t="str">
        <f t="shared" si="323"/>
        <v/>
      </c>
      <c r="Z3668" s="15"/>
    </row>
    <row r="3669" spans="1:26" x14ac:dyDescent="0.25">
      <c r="A3669" s="15" t="str">
        <f>IF(C3669="","",COUNTA($C$3:C3669))</f>
        <v/>
      </c>
      <c r="B3669" s="15" t="str">
        <f t="shared" si="324"/>
        <v/>
      </c>
      <c r="M3669" s="9"/>
      <c r="N3669" s="9"/>
      <c r="P3669" s="14"/>
      <c r="Q3669" s="85"/>
      <c r="R3669" s="89"/>
      <c r="U3669" s="11" t="str">
        <f t="shared" si="322"/>
        <v/>
      </c>
      <c r="V3669" s="12" t="str">
        <f t="shared" si="323"/>
        <v/>
      </c>
      <c r="Z3669" s="15"/>
    </row>
    <row r="3670" spans="1:26" x14ac:dyDescent="0.25">
      <c r="A3670" s="15" t="str">
        <f>IF(C3670="","",COUNTA($C$3:C3670))</f>
        <v/>
      </c>
      <c r="B3670" s="15" t="str">
        <f t="shared" si="324"/>
        <v/>
      </c>
      <c r="M3670" s="9"/>
      <c r="N3670" s="9"/>
      <c r="P3670" s="14"/>
      <c r="Q3670" s="85"/>
      <c r="R3670" s="89"/>
      <c r="U3670" s="11" t="str">
        <f t="shared" si="322"/>
        <v/>
      </c>
      <c r="V3670" s="12" t="str">
        <f t="shared" si="323"/>
        <v/>
      </c>
      <c r="Z3670" s="15"/>
    </row>
    <row r="3671" spans="1:26" x14ac:dyDescent="0.25">
      <c r="A3671" s="15" t="str">
        <f>IF(C3671="","",COUNTA($C$3:C3671))</f>
        <v/>
      </c>
      <c r="B3671" s="15" t="str">
        <f t="shared" si="324"/>
        <v/>
      </c>
      <c r="M3671" s="9"/>
      <c r="N3671" s="9"/>
      <c r="P3671" s="14"/>
      <c r="Q3671" s="85"/>
      <c r="R3671" s="89"/>
      <c r="U3671" s="11" t="str">
        <f t="shared" si="322"/>
        <v/>
      </c>
      <c r="V3671" s="12" t="str">
        <f t="shared" si="323"/>
        <v/>
      </c>
      <c r="Z3671" s="15"/>
    </row>
    <row r="3672" spans="1:26" x14ac:dyDescent="0.25">
      <c r="A3672" s="15" t="str">
        <f>IF(C3672="","",COUNTA($C$3:C3672))</f>
        <v/>
      </c>
      <c r="B3672" s="15" t="str">
        <f t="shared" si="324"/>
        <v/>
      </c>
      <c r="M3672" s="9"/>
      <c r="N3672" s="9"/>
      <c r="P3672" s="14"/>
      <c r="Q3672" s="85"/>
      <c r="R3672" s="89"/>
      <c r="U3672" s="11" t="str">
        <f t="shared" si="322"/>
        <v/>
      </c>
      <c r="V3672" s="12" t="str">
        <f t="shared" si="323"/>
        <v/>
      </c>
      <c r="Z3672" s="15"/>
    </row>
    <row r="3673" spans="1:26" x14ac:dyDescent="0.25">
      <c r="A3673" s="15" t="str">
        <f>IF(C3673="","",COUNTA($C$3:C3673))</f>
        <v/>
      </c>
      <c r="B3673" s="15" t="str">
        <f t="shared" si="324"/>
        <v/>
      </c>
      <c r="M3673" s="9"/>
      <c r="N3673" s="9"/>
      <c r="P3673" s="14"/>
      <c r="Q3673" s="85"/>
      <c r="R3673" s="89"/>
      <c r="U3673" s="11" t="str">
        <f t="shared" si="322"/>
        <v/>
      </c>
      <c r="V3673" s="12" t="str">
        <f t="shared" si="323"/>
        <v/>
      </c>
      <c r="Z3673" s="15"/>
    </row>
    <row r="3674" spans="1:26" x14ac:dyDescent="0.25">
      <c r="A3674" s="15" t="str">
        <f>IF(C3674="","",COUNTA($C$3:C3674))</f>
        <v/>
      </c>
      <c r="B3674" s="15" t="str">
        <f t="shared" si="324"/>
        <v/>
      </c>
      <c r="M3674" s="9"/>
      <c r="N3674" s="9"/>
      <c r="P3674" s="14"/>
      <c r="Q3674" s="85"/>
      <c r="R3674" s="89"/>
      <c r="U3674" s="11" t="str">
        <f t="shared" si="322"/>
        <v/>
      </c>
      <c r="V3674" s="12" t="str">
        <f t="shared" si="323"/>
        <v/>
      </c>
      <c r="Z3674" s="15"/>
    </row>
    <row r="3675" spans="1:26" x14ac:dyDescent="0.25">
      <c r="A3675" s="15" t="str">
        <f>IF(C3675="","",COUNTA($C$3:C3675))</f>
        <v/>
      </c>
      <c r="B3675" s="15" t="str">
        <f t="shared" si="324"/>
        <v/>
      </c>
      <c r="M3675" s="9"/>
      <c r="N3675" s="9"/>
      <c r="P3675" s="14"/>
      <c r="Q3675" s="85"/>
      <c r="R3675" s="89"/>
      <c r="U3675" s="11" t="str">
        <f t="shared" si="322"/>
        <v/>
      </c>
      <c r="V3675" s="12" t="str">
        <f t="shared" si="323"/>
        <v/>
      </c>
      <c r="Z3675" s="15"/>
    </row>
    <row r="3676" spans="1:26" x14ac:dyDescent="0.25">
      <c r="A3676" s="15" t="str">
        <f>IF(C3676="","",COUNTA($C$3:C3676))</f>
        <v/>
      </c>
      <c r="B3676" s="15" t="str">
        <f t="shared" si="324"/>
        <v/>
      </c>
      <c r="M3676" s="9"/>
      <c r="N3676" s="9"/>
      <c r="P3676" s="14"/>
      <c r="Q3676" s="85"/>
      <c r="R3676" s="89"/>
      <c r="U3676" s="11" t="str">
        <f t="shared" si="322"/>
        <v/>
      </c>
      <c r="V3676" s="12" t="str">
        <f t="shared" si="323"/>
        <v/>
      </c>
      <c r="Z3676" s="15"/>
    </row>
    <row r="3677" spans="1:26" x14ac:dyDescent="0.25">
      <c r="A3677" s="15" t="str">
        <f>IF(C3677="","",COUNTA($C$3:C3677))</f>
        <v/>
      </c>
      <c r="B3677" s="15" t="str">
        <f t="shared" si="324"/>
        <v/>
      </c>
      <c r="M3677" s="9"/>
      <c r="N3677" s="9"/>
      <c r="P3677" s="14"/>
      <c r="Q3677" s="85"/>
      <c r="R3677" s="89"/>
      <c r="U3677" s="11" t="str">
        <f t="shared" si="322"/>
        <v/>
      </c>
      <c r="V3677" s="12" t="str">
        <f t="shared" si="323"/>
        <v/>
      </c>
      <c r="Z3677" s="15"/>
    </row>
    <row r="3678" spans="1:26" x14ac:dyDescent="0.25">
      <c r="A3678" s="15" t="str">
        <f>IF(C3678="","",COUNTA($C$3:C3678))</f>
        <v/>
      </c>
      <c r="B3678" s="15" t="str">
        <f t="shared" si="324"/>
        <v/>
      </c>
      <c r="M3678" s="9"/>
      <c r="N3678" s="9"/>
      <c r="P3678" s="14"/>
      <c r="Q3678" s="85"/>
      <c r="R3678" s="89"/>
      <c r="U3678" s="11" t="str">
        <f t="shared" si="322"/>
        <v/>
      </c>
      <c r="V3678" s="12" t="str">
        <f t="shared" si="323"/>
        <v/>
      </c>
      <c r="Z3678" s="15"/>
    </row>
    <row r="3679" spans="1:26" x14ac:dyDescent="0.25">
      <c r="A3679" s="15" t="str">
        <f>IF(C3679="","",COUNTA($C$3:C3679))</f>
        <v/>
      </c>
      <c r="B3679" s="15" t="str">
        <f t="shared" si="324"/>
        <v/>
      </c>
      <c r="M3679" s="9"/>
      <c r="N3679" s="9"/>
      <c r="P3679" s="14"/>
      <c r="Q3679" s="85"/>
      <c r="R3679" s="89"/>
      <c r="U3679" s="11" t="str">
        <f t="shared" si="322"/>
        <v/>
      </c>
      <c r="V3679" s="12" t="str">
        <f t="shared" si="323"/>
        <v/>
      </c>
      <c r="Z3679" s="15"/>
    </row>
    <row r="3680" spans="1:26" x14ac:dyDescent="0.25">
      <c r="A3680" s="15" t="str">
        <f>IF(C3680="","",COUNTA($C$3:C3680))</f>
        <v/>
      </c>
      <c r="B3680" s="15" t="str">
        <f t="shared" si="324"/>
        <v/>
      </c>
      <c r="M3680" s="9"/>
      <c r="N3680" s="9"/>
      <c r="P3680" s="14"/>
      <c r="Q3680" s="85"/>
      <c r="R3680" s="89"/>
      <c r="U3680" s="11" t="str">
        <f t="shared" si="322"/>
        <v/>
      </c>
      <c r="V3680" s="12" t="str">
        <f t="shared" si="323"/>
        <v/>
      </c>
      <c r="Z3680" s="15"/>
    </row>
    <row r="3681" spans="1:26" x14ac:dyDescent="0.25">
      <c r="A3681" s="15" t="str">
        <f>IF(C3681="","",COUNTA($C$3:C3681))</f>
        <v/>
      </c>
      <c r="B3681" s="15" t="str">
        <f t="shared" si="324"/>
        <v/>
      </c>
      <c r="M3681" s="9"/>
      <c r="N3681" s="9"/>
      <c r="P3681" s="14"/>
      <c r="Q3681" s="85"/>
      <c r="R3681" s="89"/>
      <c r="U3681" s="11" t="str">
        <f t="shared" si="322"/>
        <v/>
      </c>
      <c r="V3681" s="12" t="str">
        <f t="shared" si="323"/>
        <v/>
      </c>
      <c r="Z3681" s="15"/>
    </row>
    <row r="3682" spans="1:26" x14ac:dyDescent="0.25">
      <c r="A3682" s="15" t="str">
        <f>IF(C3682="","",COUNTA($C$3:C3682))</f>
        <v/>
      </c>
      <c r="B3682" s="15" t="str">
        <f t="shared" si="324"/>
        <v/>
      </c>
      <c r="M3682" s="9"/>
      <c r="N3682" s="9"/>
      <c r="P3682" s="14"/>
      <c r="Q3682" s="85"/>
      <c r="R3682" s="89"/>
      <c r="U3682" s="11" t="str">
        <f t="shared" si="322"/>
        <v/>
      </c>
      <c r="V3682" s="12" t="str">
        <f t="shared" si="323"/>
        <v/>
      </c>
      <c r="Z3682" s="15"/>
    </row>
    <row r="3683" spans="1:26" x14ac:dyDescent="0.25">
      <c r="A3683" s="15" t="str">
        <f>IF(C3683="","",COUNTA($C$3:C3683))</f>
        <v/>
      </c>
      <c r="B3683" s="15" t="str">
        <f t="shared" si="324"/>
        <v/>
      </c>
      <c r="M3683" s="9"/>
      <c r="N3683" s="9"/>
      <c r="P3683" s="14"/>
      <c r="Q3683" s="85"/>
      <c r="R3683" s="89"/>
      <c r="U3683" s="11" t="str">
        <f t="shared" si="322"/>
        <v/>
      </c>
      <c r="V3683" s="12" t="str">
        <f t="shared" si="323"/>
        <v/>
      </c>
      <c r="Z3683" s="15"/>
    </row>
    <row r="3684" spans="1:26" x14ac:dyDescent="0.25">
      <c r="A3684" s="15" t="str">
        <f>IF(C3684="","",COUNTA($C$3:C3684))</f>
        <v/>
      </c>
      <c r="B3684" s="15" t="str">
        <f t="shared" si="324"/>
        <v/>
      </c>
      <c r="M3684" s="9"/>
      <c r="N3684" s="9"/>
      <c r="P3684" s="14"/>
      <c r="Q3684" s="85"/>
      <c r="R3684" s="89"/>
      <c r="U3684" s="11" t="str">
        <f t="shared" si="322"/>
        <v/>
      </c>
      <c r="V3684" s="12" t="str">
        <f t="shared" si="323"/>
        <v/>
      </c>
      <c r="Z3684" s="15"/>
    </row>
    <row r="3685" spans="1:26" x14ac:dyDescent="0.25">
      <c r="A3685" s="15" t="str">
        <f>IF(C3685="","",COUNTA($C$3:C3685))</f>
        <v/>
      </c>
      <c r="B3685" s="15" t="str">
        <f t="shared" si="324"/>
        <v/>
      </c>
      <c r="M3685" s="9"/>
      <c r="N3685" s="9"/>
      <c r="P3685" s="14"/>
      <c r="Q3685" s="85"/>
      <c r="R3685" s="89"/>
      <c r="U3685" s="11" t="str">
        <f t="shared" si="322"/>
        <v/>
      </c>
      <c r="V3685" s="12" t="str">
        <f t="shared" si="323"/>
        <v/>
      </c>
      <c r="Z3685" s="15"/>
    </row>
    <row r="3686" spans="1:26" x14ac:dyDescent="0.25">
      <c r="A3686" s="15" t="str">
        <f>IF(C3686="","",COUNTA($C$3:C3686))</f>
        <v/>
      </c>
      <c r="B3686" s="15" t="str">
        <f t="shared" si="324"/>
        <v/>
      </c>
      <c r="M3686" s="9"/>
      <c r="N3686" s="9"/>
      <c r="P3686" s="14"/>
      <c r="Q3686" s="85"/>
      <c r="R3686" s="89"/>
      <c r="U3686" s="11" t="str">
        <f t="shared" si="322"/>
        <v/>
      </c>
      <c r="V3686" s="12" t="str">
        <f t="shared" si="323"/>
        <v/>
      </c>
      <c r="Z3686" s="15"/>
    </row>
    <row r="3687" spans="1:26" x14ac:dyDescent="0.25">
      <c r="A3687" s="15" t="str">
        <f>IF(C3687="","",COUNTA($C$3:C3687))</f>
        <v/>
      </c>
      <c r="B3687" s="15" t="str">
        <f t="shared" si="324"/>
        <v/>
      </c>
      <c r="M3687" s="9"/>
      <c r="N3687" s="9"/>
      <c r="P3687" s="14"/>
      <c r="Q3687" s="85"/>
      <c r="R3687" s="89"/>
      <c r="U3687" s="11" t="str">
        <f t="shared" si="322"/>
        <v/>
      </c>
      <c r="V3687" s="12" t="str">
        <f t="shared" si="323"/>
        <v/>
      </c>
      <c r="Z3687" s="15"/>
    </row>
    <row r="3688" spans="1:26" x14ac:dyDescent="0.25">
      <c r="A3688" s="15" t="str">
        <f>IF(C3688="","",COUNTA($C$3:C3688))</f>
        <v/>
      </c>
      <c r="B3688" s="15" t="str">
        <f t="shared" si="324"/>
        <v/>
      </c>
      <c r="M3688" s="9"/>
      <c r="N3688" s="9"/>
      <c r="P3688" s="14"/>
      <c r="Q3688" s="85"/>
      <c r="R3688" s="89"/>
      <c r="U3688" s="11" t="str">
        <f t="shared" si="322"/>
        <v/>
      </c>
      <c r="V3688" s="12" t="str">
        <f t="shared" si="323"/>
        <v/>
      </c>
      <c r="Z3688" s="15"/>
    </row>
    <row r="3689" spans="1:26" x14ac:dyDescent="0.25">
      <c r="A3689" s="15" t="str">
        <f>IF(C3689="","",COUNTA($C$3:C3689))</f>
        <v/>
      </c>
      <c r="B3689" s="15" t="str">
        <f t="shared" si="324"/>
        <v/>
      </c>
      <c r="M3689" s="9"/>
      <c r="N3689" s="9"/>
      <c r="P3689" s="14"/>
      <c r="Q3689" s="85"/>
      <c r="R3689" s="89"/>
      <c r="U3689" s="11" t="str">
        <f t="shared" si="322"/>
        <v/>
      </c>
      <c r="V3689" s="12" t="str">
        <f t="shared" si="323"/>
        <v/>
      </c>
      <c r="Z3689" s="15"/>
    </row>
    <row r="3690" spans="1:26" x14ac:dyDescent="0.25">
      <c r="A3690" s="15" t="str">
        <f>IF(C3690="","",COUNTA($C$3:C3690))</f>
        <v/>
      </c>
      <c r="B3690" s="15" t="str">
        <f t="shared" si="324"/>
        <v/>
      </c>
      <c r="M3690" s="9"/>
      <c r="N3690" s="9"/>
      <c r="P3690" s="14"/>
      <c r="Q3690" s="85"/>
      <c r="R3690" s="89"/>
      <c r="U3690" s="11" t="str">
        <f t="shared" si="322"/>
        <v/>
      </c>
      <c r="V3690" s="12" t="str">
        <f t="shared" si="323"/>
        <v/>
      </c>
      <c r="Z3690" s="15"/>
    </row>
    <row r="3691" spans="1:26" x14ac:dyDescent="0.25">
      <c r="A3691" s="15" t="str">
        <f>IF(C3691="","",COUNTA($C$3:C3691))</f>
        <v/>
      </c>
      <c r="B3691" s="15" t="str">
        <f t="shared" si="324"/>
        <v/>
      </c>
      <c r="M3691" s="9"/>
      <c r="N3691" s="9"/>
      <c r="P3691" s="14"/>
      <c r="Q3691" s="85"/>
      <c r="R3691" s="89"/>
      <c r="U3691" s="11" t="str">
        <f t="shared" si="322"/>
        <v/>
      </c>
      <c r="V3691" s="12" t="str">
        <f t="shared" si="323"/>
        <v/>
      </c>
      <c r="Z3691" s="15"/>
    </row>
    <row r="3692" spans="1:26" x14ac:dyDescent="0.25">
      <c r="A3692" s="15" t="str">
        <f>IF(C3692="","",COUNTA($C$3:C3692))</f>
        <v/>
      </c>
      <c r="B3692" s="15" t="str">
        <f t="shared" si="324"/>
        <v/>
      </c>
      <c r="M3692" s="9"/>
      <c r="N3692" s="9"/>
      <c r="P3692" s="14"/>
      <c r="Q3692" s="85"/>
      <c r="R3692" s="89"/>
      <c r="U3692" s="11" t="str">
        <f t="shared" si="322"/>
        <v/>
      </c>
      <c r="V3692" s="12" t="str">
        <f t="shared" si="323"/>
        <v/>
      </c>
      <c r="Z3692" s="15"/>
    </row>
    <row r="3693" spans="1:26" x14ac:dyDescent="0.25">
      <c r="A3693" s="15" t="str">
        <f>IF(C3693="","",COUNTA($C$3:C3693))</f>
        <v/>
      </c>
      <c r="B3693" s="15" t="str">
        <f t="shared" si="324"/>
        <v/>
      </c>
      <c r="M3693" s="9"/>
      <c r="N3693" s="9"/>
      <c r="P3693" s="14"/>
      <c r="Q3693" s="85"/>
      <c r="R3693" s="89"/>
      <c r="U3693" s="11" t="str">
        <f t="shared" si="322"/>
        <v/>
      </c>
      <c r="V3693" s="12" t="str">
        <f t="shared" si="323"/>
        <v/>
      </c>
      <c r="Z3693" s="15"/>
    </row>
    <row r="3694" spans="1:26" x14ac:dyDescent="0.25">
      <c r="A3694" s="15" t="str">
        <f>IF(C3694="","",COUNTA($C$3:C3694))</f>
        <v/>
      </c>
      <c r="B3694" s="15" t="str">
        <f t="shared" si="324"/>
        <v/>
      </c>
      <c r="M3694" s="9"/>
      <c r="N3694" s="9"/>
      <c r="P3694" s="14"/>
      <c r="Q3694" s="85"/>
      <c r="R3694" s="89"/>
      <c r="U3694" s="11" t="str">
        <f t="shared" si="322"/>
        <v/>
      </c>
      <c r="V3694" s="12" t="str">
        <f t="shared" si="323"/>
        <v/>
      </c>
      <c r="Z3694" s="15"/>
    </row>
    <row r="3695" spans="1:26" x14ac:dyDescent="0.25">
      <c r="A3695" s="15" t="str">
        <f>IF(C3695="","",COUNTA($C$3:C3695))</f>
        <v/>
      </c>
      <c r="B3695" s="15" t="str">
        <f t="shared" si="324"/>
        <v/>
      </c>
      <c r="M3695" s="9"/>
      <c r="N3695" s="9"/>
      <c r="P3695" s="14"/>
      <c r="Q3695" s="85"/>
      <c r="R3695" s="89"/>
      <c r="U3695" s="11" t="str">
        <f t="shared" si="322"/>
        <v/>
      </c>
      <c r="V3695" s="12" t="str">
        <f t="shared" si="323"/>
        <v/>
      </c>
      <c r="Z3695" s="15"/>
    </row>
    <row r="3696" spans="1:26" x14ac:dyDescent="0.25">
      <c r="A3696" s="15" t="str">
        <f>IF(C3696="","",COUNTA($C$3:C3696))</f>
        <v/>
      </c>
      <c r="B3696" s="15" t="str">
        <f t="shared" si="324"/>
        <v/>
      </c>
      <c r="M3696" s="9"/>
      <c r="N3696" s="9"/>
      <c r="P3696" s="14"/>
      <c r="Q3696" s="85"/>
      <c r="R3696" s="89"/>
      <c r="U3696" s="11" t="str">
        <f t="shared" si="322"/>
        <v/>
      </c>
      <c r="V3696" s="12" t="str">
        <f t="shared" si="323"/>
        <v/>
      </c>
      <c r="Z3696" s="15"/>
    </row>
    <row r="3697" spans="1:26" x14ac:dyDescent="0.25">
      <c r="A3697" s="15" t="str">
        <f>IF(C3697="","",COUNTA($C$3:C3697))</f>
        <v/>
      </c>
      <c r="B3697" s="15" t="str">
        <f t="shared" si="324"/>
        <v/>
      </c>
      <c r="M3697" s="9"/>
      <c r="N3697" s="9"/>
      <c r="P3697" s="14"/>
      <c r="Q3697" s="85"/>
      <c r="R3697" s="89"/>
      <c r="U3697" s="11" t="str">
        <f t="shared" si="322"/>
        <v/>
      </c>
      <c r="V3697" s="12" t="str">
        <f t="shared" si="323"/>
        <v/>
      </c>
      <c r="Z3697" s="15"/>
    </row>
    <row r="3698" spans="1:26" x14ac:dyDescent="0.25">
      <c r="A3698" s="15" t="str">
        <f>IF(C3698="","",COUNTA($C$3:C3698))</f>
        <v/>
      </c>
      <c r="B3698" s="15" t="str">
        <f t="shared" si="324"/>
        <v/>
      </c>
      <c r="M3698" s="9"/>
      <c r="N3698" s="9"/>
      <c r="P3698" s="14"/>
      <c r="Q3698" s="85"/>
      <c r="R3698" s="89"/>
      <c r="U3698" s="11" t="str">
        <f t="shared" si="322"/>
        <v/>
      </c>
      <c r="V3698" s="12" t="str">
        <f t="shared" si="323"/>
        <v/>
      </c>
      <c r="Z3698" s="15"/>
    </row>
    <row r="3699" spans="1:26" x14ac:dyDescent="0.25">
      <c r="A3699" s="15" t="str">
        <f>IF(C3699="","",COUNTA($C$3:C3699))</f>
        <v/>
      </c>
      <c r="B3699" s="15" t="str">
        <f t="shared" si="324"/>
        <v/>
      </c>
      <c r="M3699" s="9"/>
      <c r="N3699" s="9"/>
      <c r="P3699" s="14"/>
      <c r="Q3699" s="85"/>
      <c r="R3699" s="89"/>
      <c r="U3699" s="11" t="str">
        <f t="shared" si="322"/>
        <v/>
      </c>
      <c r="V3699" s="12" t="str">
        <f t="shared" si="323"/>
        <v/>
      </c>
      <c r="Z3699" s="15"/>
    </row>
    <row r="3700" spans="1:26" x14ac:dyDescent="0.25">
      <c r="A3700" s="15" t="str">
        <f>IF(C3700="","",COUNTA($C$3:C3700))</f>
        <v/>
      </c>
      <c r="B3700" s="15" t="str">
        <f t="shared" si="324"/>
        <v/>
      </c>
      <c r="M3700" s="9"/>
      <c r="N3700" s="9"/>
      <c r="P3700" s="14"/>
      <c r="Q3700" s="85"/>
      <c r="R3700" s="89"/>
      <c r="U3700" s="11" t="str">
        <f t="shared" si="322"/>
        <v/>
      </c>
      <c r="V3700" s="12" t="str">
        <f t="shared" si="323"/>
        <v/>
      </c>
      <c r="Z3700" s="15"/>
    </row>
    <row r="3701" spans="1:26" x14ac:dyDescent="0.25">
      <c r="A3701" s="15" t="str">
        <f>IF(C3701="","",COUNTA($C$3:C3701))</f>
        <v/>
      </c>
      <c r="B3701" s="15" t="str">
        <f t="shared" si="324"/>
        <v/>
      </c>
      <c r="M3701" s="9"/>
      <c r="N3701" s="9"/>
      <c r="P3701" s="14"/>
      <c r="Q3701" s="85"/>
      <c r="R3701" s="89"/>
      <c r="U3701" s="11" t="str">
        <f t="shared" si="322"/>
        <v/>
      </c>
      <c r="V3701" s="12" t="str">
        <f t="shared" si="323"/>
        <v/>
      </c>
      <c r="Z3701" s="15"/>
    </row>
    <row r="3702" spans="1:26" x14ac:dyDescent="0.25">
      <c r="A3702" s="15" t="str">
        <f>IF(C3702="","",COUNTA($C$3:C3702))</f>
        <v/>
      </c>
      <c r="B3702" s="15" t="str">
        <f t="shared" si="324"/>
        <v/>
      </c>
      <c r="M3702" s="9"/>
      <c r="N3702" s="9"/>
      <c r="P3702" s="14"/>
      <c r="Q3702" s="85"/>
      <c r="R3702" s="89"/>
      <c r="U3702" s="11" t="str">
        <f t="shared" si="322"/>
        <v/>
      </c>
      <c r="V3702" s="12" t="str">
        <f t="shared" si="323"/>
        <v/>
      </c>
      <c r="Z3702" s="15"/>
    </row>
    <row r="3703" spans="1:26" x14ac:dyDescent="0.25">
      <c r="A3703" s="15" t="str">
        <f>IF(C3703="","",COUNTA($C$3:C3703))</f>
        <v/>
      </c>
      <c r="B3703" s="15" t="str">
        <f t="shared" si="324"/>
        <v/>
      </c>
      <c r="M3703" s="9"/>
      <c r="N3703" s="9"/>
      <c r="P3703" s="14"/>
      <c r="Q3703" s="85"/>
      <c r="R3703" s="89"/>
      <c r="U3703" s="11" t="str">
        <f t="shared" si="322"/>
        <v/>
      </c>
      <c r="V3703" s="12" t="str">
        <f t="shared" si="323"/>
        <v/>
      </c>
      <c r="Z3703" s="15"/>
    </row>
    <row r="3704" spans="1:26" x14ac:dyDescent="0.25">
      <c r="A3704" s="15" t="str">
        <f>IF(C3704="","",COUNTA($C$3:C3704))</f>
        <v/>
      </c>
      <c r="B3704" s="15" t="str">
        <f t="shared" si="324"/>
        <v/>
      </c>
      <c r="M3704" s="9"/>
      <c r="N3704" s="9"/>
      <c r="P3704" s="14"/>
      <c r="Q3704" s="85"/>
      <c r="R3704" s="89"/>
      <c r="U3704" s="11" t="str">
        <f t="shared" si="322"/>
        <v/>
      </c>
      <c r="V3704" s="12" t="str">
        <f t="shared" si="323"/>
        <v/>
      </c>
      <c r="Z3704" s="15"/>
    </row>
    <row r="3705" spans="1:26" x14ac:dyDescent="0.25">
      <c r="A3705" s="15" t="str">
        <f>IF(C3705="","",COUNTA($C$3:C3705))</f>
        <v/>
      </c>
      <c r="B3705" s="15" t="str">
        <f t="shared" si="324"/>
        <v/>
      </c>
      <c r="M3705" s="9"/>
      <c r="N3705" s="9"/>
      <c r="P3705" s="14"/>
      <c r="Q3705" s="85"/>
      <c r="R3705" s="89"/>
      <c r="U3705" s="11" t="str">
        <f t="shared" si="322"/>
        <v/>
      </c>
      <c r="V3705" s="12" t="str">
        <f t="shared" si="323"/>
        <v/>
      </c>
      <c r="Z3705" s="15"/>
    </row>
    <row r="3706" spans="1:26" x14ac:dyDescent="0.25">
      <c r="A3706" s="15" t="str">
        <f>IF(C3706="","",COUNTA($C$3:C3706))</f>
        <v/>
      </c>
      <c r="B3706" s="15" t="str">
        <f t="shared" si="324"/>
        <v/>
      </c>
      <c r="M3706" s="9"/>
      <c r="N3706" s="9"/>
      <c r="P3706" s="14"/>
      <c r="Q3706" s="85"/>
      <c r="R3706" s="89"/>
      <c r="U3706" s="11" t="str">
        <f t="shared" si="322"/>
        <v/>
      </c>
      <c r="V3706" s="12" t="str">
        <f t="shared" si="323"/>
        <v/>
      </c>
      <c r="Z3706" s="15"/>
    </row>
    <row r="3707" spans="1:26" x14ac:dyDescent="0.25">
      <c r="A3707" s="15" t="str">
        <f>IF(C3707="","",COUNTA($C$3:C3707))</f>
        <v/>
      </c>
      <c r="B3707" s="15" t="str">
        <f t="shared" si="324"/>
        <v/>
      </c>
      <c r="M3707" s="9"/>
      <c r="N3707" s="9"/>
      <c r="P3707" s="14"/>
      <c r="Q3707" s="85"/>
      <c r="R3707" s="89"/>
      <c r="U3707" s="11" t="str">
        <f t="shared" si="322"/>
        <v/>
      </c>
      <c r="V3707" s="12" t="str">
        <f t="shared" si="323"/>
        <v/>
      </c>
      <c r="Z3707" s="15"/>
    </row>
    <row r="3708" spans="1:26" x14ac:dyDescent="0.25">
      <c r="A3708" s="15" t="str">
        <f>IF(C3708="","",COUNTA($C$3:C3708))</f>
        <v/>
      </c>
      <c r="B3708" s="15" t="str">
        <f t="shared" si="324"/>
        <v/>
      </c>
      <c r="M3708" s="9"/>
      <c r="N3708" s="9"/>
      <c r="P3708" s="14"/>
      <c r="Q3708" s="85"/>
      <c r="R3708" s="89"/>
      <c r="U3708" s="11" t="str">
        <f t="shared" si="322"/>
        <v/>
      </c>
      <c r="V3708" s="12" t="str">
        <f t="shared" si="323"/>
        <v/>
      </c>
      <c r="Z3708" s="15"/>
    </row>
    <row r="3709" spans="1:26" x14ac:dyDescent="0.25">
      <c r="A3709" s="15" t="str">
        <f>IF(C3709="","",COUNTA($C$3:C3709))</f>
        <v/>
      </c>
      <c r="B3709" s="15" t="str">
        <f t="shared" si="324"/>
        <v/>
      </c>
      <c r="M3709" s="9"/>
      <c r="N3709" s="9"/>
      <c r="P3709" s="14"/>
      <c r="Q3709" s="85"/>
      <c r="R3709" s="89"/>
      <c r="U3709" s="11" t="str">
        <f t="shared" si="322"/>
        <v/>
      </c>
      <c r="V3709" s="12" t="str">
        <f t="shared" si="323"/>
        <v/>
      </c>
      <c r="Z3709" s="15"/>
    </row>
    <row r="3710" spans="1:26" x14ac:dyDescent="0.25">
      <c r="A3710" s="15" t="str">
        <f>IF(C3710="","",COUNTA($C$3:C3710))</f>
        <v/>
      </c>
      <c r="B3710" s="15" t="str">
        <f t="shared" si="324"/>
        <v/>
      </c>
      <c r="M3710" s="9"/>
      <c r="N3710" s="9"/>
      <c r="P3710" s="14"/>
      <c r="Q3710" s="85"/>
      <c r="R3710" s="89"/>
      <c r="U3710" s="11" t="str">
        <f t="shared" si="322"/>
        <v/>
      </c>
      <c r="V3710" s="12" t="str">
        <f t="shared" si="323"/>
        <v/>
      </c>
      <c r="Z3710" s="15"/>
    </row>
    <row r="3711" spans="1:26" x14ac:dyDescent="0.25">
      <c r="A3711" s="15" t="str">
        <f>IF(C3711="","",COUNTA($C$3:C3711))</f>
        <v/>
      </c>
      <c r="B3711" s="15" t="str">
        <f t="shared" si="324"/>
        <v/>
      </c>
      <c r="M3711" s="9"/>
      <c r="N3711" s="9"/>
      <c r="P3711" s="14"/>
      <c r="Q3711" s="85"/>
      <c r="R3711" s="89"/>
      <c r="U3711" s="11" t="str">
        <f t="shared" si="322"/>
        <v/>
      </c>
      <c r="V3711" s="12" t="str">
        <f t="shared" si="323"/>
        <v/>
      </c>
      <c r="Z3711" s="15"/>
    </row>
    <row r="3712" spans="1:26" x14ac:dyDescent="0.25">
      <c r="A3712" s="15" t="str">
        <f>IF(C3712="","",COUNTA($C$3:C3712))</f>
        <v/>
      </c>
      <c r="B3712" s="15" t="str">
        <f t="shared" si="324"/>
        <v/>
      </c>
      <c r="M3712" s="9"/>
      <c r="N3712" s="9"/>
      <c r="P3712" s="14"/>
      <c r="Q3712" s="85"/>
      <c r="R3712" s="89"/>
      <c r="U3712" s="11" t="str">
        <f t="shared" si="322"/>
        <v/>
      </c>
      <c r="V3712" s="12" t="str">
        <f t="shared" si="323"/>
        <v/>
      </c>
      <c r="Z3712" s="15"/>
    </row>
    <row r="3713" spans="1:26" x14ac:dyDescent="0.25">
      <c r="A3713" s="15" t="str">
        <f>IF(C3713="","",COUNTA($C$3:C3713))</f>
        <v/>
      </c>
      <c r="B3713" s="15" t="str">
        <f t="shared" si="324"/>
        <v/>
      </c>
      <c r="M3713" s="9"/>
      <c r="N3713" s="9"/>
      <c r="P3713" s="14"/>
      <c r="Q3713" s="85"/>
      <c r="R3713" s="89"/>
      <c r="U3713" s="11" t="str">
        <f t="shared" si="322"/>
        <v/>
      </c>
      <c r="V3713" s="12" t="str">
        <f t="shared" si="323"/>
        <v/>
      </c>
      <c r="Z3713" s="15"/>
    </row>
    <row r="3714" spans="1:26" x14ac:dyDescent="0.25">
      <c r="A3714" s="15" t="str">
        <f>IF(C3714="","",COUNTA($C$3:C3714))</f>
        <v/>
      </c>
      <c r="B3714" s="15" t="str">
        <f t="shared" si="324"/>
        <v/>
      </c>
      <c r="M3714" s="9"/>
      <c r="N3714" s="9"/>
      <c r="P3714" s="14"/>
      <c r="Q3714" s="85"/>
      <c r="R3714" s="89"/>
      <c r="U3714" s="11" t="str">
        <f t="shared" ref="U3714:U3777" si="325">IF(S3714="","",(S3714-T3714))</f>
        <v/>
      </c>
      <c r="V3714" s="12" t="str">
        <f t="shared" ref="V3714:V3777" si="326">IF(U3714="","",(U3714/T3714))</f>
        <v/>
      </c>
      <c r="Z3714" s="15"/>
    </row>
    <row r="3715" spans="1:26" x14ac:dyDescent="0.25">
      <c r="A3715" s="15" t="str">
        <f>IF(C3715="","",COUNTA($C$3:C3715))</f>
        <v/>
      </c>
      <c r="B3715" s="15" t="str">
        <f t="shared" ref="B3715:B3778" si="327">IF(C3715="","",TEXT(C3715,"mmmm"))</f>
        <v/>
      </c>
      <c r="M3715" s="9"/>
      <c r="N3715" s="9"/>
      <c r="P3715" s="14"/>
      <c r="Q3715" s="85"/>
      <c r="R3715" s="89"/>
      <c r="U3715" s="11" t="str">
        <f t="shared" si="325"/>
        <v/>
      </c>
      <c r="V3715" s="12" t="str">
        <f t="shared" si="326"/>
        <v/>
      </c>
      <c r="Z3715" s="15"/>
    </row>
    <row r="3716" spans="1:26" x14ac:dyDescent="0.25">
      <c r="A3716" s="15" t="str">
        <f>IF(C3716="","",COUNTA($C$3:C3716))</f>
        <v/>
      </c>
      <c r="B3716" s="15" t="str">
        <f t="shared" si="327"/>
        <v/>
      </c>
      <c r="M3716" s="9"/>
      <c r="N3716" s="9"/>
      <c r="P3716" s="14"/>
      <c r="Q3716" s="85"/>
      <c r="R3716" s="89"/>
      <c r="U3716" s="11" t="str">
        <f t="shared" si="325"/>
        <v/>
      </c>
      <c r="V3716" s="12" t="str">
        <f t="shared" si="326"/>
        <v/>
      </c>
      <c r="Z3716" s="15"/>
    </row>
    <row r="3717" spans="1:26" x14ac:dyDescent="0.25">
      <c r="A3717" s="15" t="str">
        <f>IF(C3717="","",COUNTA($C$3:C3717))</f>
        <v/>
      </c>
      <c r="B3717" s="15" t="str">
        <f t="shared" si="327"/>
        <v/>
      </c>
      <c r="M3717" s="9"/>
      <c r="N3717" s="9"/>
      <c r="P3717" s="14"/>
      <c r="Q3717" s="85"/>
      <c r="R3717" s="89"/>
      <c r="U3717" s="11" t="str">
        <f t="shared" si="325"/>
        <v/>
      </c>
      <c r="V3717" s="12" t="str">
        <f t="shared" si="326"/>
        <v/>
      </c>
      <c r="Z3717" s="15"/>
    </row>
    <row r="3718" spans="1:26" x14ac:dyDescent="0.25">
      <c r="A3718" s="15" t="str">
        <f>IF(C3718="","",COUNTA($C$3:C3718))</f>
        <v/>
      </c>
      <c r="B3718" s="15" t="str">
        <f t="shared" si="327"/>
        <v/>
      </c>
      <c r="M3718" s="9"/>
      <c r="N3718" s="9"/>
      <c r="P3718" s="14"/>
      <c r="Q3718" s="85"/>
      <c r="R3718" s="89"/>
      <c r="U3718" s="11" t="str">
        <f t="shared" si="325"/>
        <v/>
      </c>
      <c r="V3718" s="12" t="str">
        <f t="shared" si="326"/>
        <v/>
      </c>
      <c r="Z3718" s="15"/>
    </row>
    <row r="3719" spans="1:26" x14ac:dyDescent="0.25">
      <c r="A3719" s="15" t="str">
        <f>IF(C3719="","",COUNTA($C$3:C3719))</f>
        <v/>
      </c>
      <c r="B3719" s="15" t="str">
        <f t="shared" si="327"/>
        <v/>
      </c>
      <c r="M3719" s="9"/>
      <c r="N3719" s="9"/>
      <c r="P3719" s="14"/>
      <c r="Q3719" s="85"/>
      <c r="R3719" s="89"/>
      <c r="U3719" s="11" t="str">
        <f t="shared" si="325"/>
        <v/>
      </c>
      <c r="V3719" s="12" t="str">
        <f t="shared" si="326"/>
        <v/>
      </c>
      <c r="Z3719" s="15"/>
    </row>
    <row r="3720" spans="1:26" x14ac:dyDescent="0.25">
      <c r="A3720" s="15" t="str">
        <f>IF(C3720="","",COUNTA($C$3:C3720))</f>
        <v/>
      </c>
      <c r="B3720" s="15" t="str">
        <f t="shared" si="327"/>
        <v/>
      </c>
      <c r="M3720" s="9"/>
      <c r="N3720" s="9"/>
      <c r="P3720" s="14"/>
      <c r="Q3720" s="85"/>
      <c r="R3720" s="89"/>
      <c r="U3720" s="11" t="str">
        <f t="shared" si="325"/>
        <v/>
      </c>
      <c r="V3720" s="12" t="str">
        <f t="shared" si="326"/>
        <v/>
      </c>
      <c r="Z3720" s="15"/>
    </row>
    <row r="3721" spans="1:26" x14ac:dyDescent="0.25">
      <c r="A3721" s="15" t="str">
        <f>IF(C3721="","",COUNTA($C$3:C3721))</f>
        <v/>
      </c>
      <c r="B3721" s="15" t="str">
        <f t="shared" si="327"/>
        <v/>
      </c>
      <c r="M3721" s="9"/>
      <c r="N3721" s="9"/>
      <c r="P3721" s="14"/>
      <c r="Q3721" s="85"/>
      <c r="R3721" s="89"/>
      <c r="U3721" s="11" t="str">
        <f t="shared" si="325"/>
        <v/>
      </c>
      <c r="V3721" s="12" t="str">
        <f t="shared" si="326"/>
        <v/>
      </c>
      <c r="Z3721" s="15"/>
    </row>
    <row r="3722" spans="1:26" x14ac:dyDescent="0.25">
      <c r="A3722" s="15" t="str">
        <f>IF(C3722="","",COUNTA($C$3:C3722))</f>
        <v/>
      </c>
      <c r="B3722" s="15" t="str">
        <f t="shared" si="327"/>
        <v/>
      </c>
      <c r="M3722" s="9"/>
      <c r="N3722" s="9"/>
      <c r="P3722" s="14"/>
      <c r="Q3722" s="85"/>
      <c r="R3722" s="89"/>
      <c r="U3722" s="11" t="str">
        <f t="shared" si="325"/>
        <v/>
      </c>
      <c r="V3722" s="12" t="str">
        <f t="shared" si="326"/>
        <v/>
      </c>
      <c r="Z3722" s="15"/>
    </row>
    <row r="3723" spans="1:26" x14ac:dyDescent="0.25">
      <c r="A3723" s="15" t="str">
        <f>IF(C3723="","",COUNTA($C$3:C3723))</f>
        <v/>
      </c>
      <c r="B3723" s="15" t="str">
        <f t="shared" si="327"/>
        <v/>
      </c>
      <c r="M3723" s="9"/>
      <c r="N3723" s="9"/>
      <c r="P3723" s="14"/>
      <c r="Q3723" s="85"/>
      <c r="R3723" s="89"/>
      <c r="U3723" s="11" t="str">
        <f t="shared" si="325"/>
        <v/>
      </c>
      <c r="V3723" s="12" t="str">
        <f t="shared" si="326"/>
        <v/>
      </c>
      <c r="Z3723" s="15"/>
    </row>
    <row r="3724" spans="1:26" x14ac:dyDescent="0.25">
      <c r="A3724" s="15" t="str">
        <f>IF(C3724="","",COUNTA($C$3:C3724))</f>
        <v/>
      </c>
      <c r="B3724" s="15" t="str">
        <f t="shared" si="327"/>
        <v/>
      </c>
      <c r="M3724" s="9"/>
      <c r="N3724" s="9"/>
      <c r="P3724" s="14"/>
      <c r="Q3724" s="85"/>
      <c r="R3724" s="89"/>
      <c r="U3724" s="11" t="str">
        <f t="shared" si="325"/>
        <v/>
      </c>
      <c r="V3724" s="12" t="str">
        <f t="shared" si="326"/>
        <v/>
      </c>
      <c r="Z3724" s="15"/>
    </row>
    <row r="3725" spans="1:26" x14ac:dyDescent="0.25">
      <c r="A3725" s="15" t="str">
        <f>IF(C3725="","",COUNTA($C$3:C3725))</f>
        <v/>
      </c>
      <c r="B3725" s="15" t="str">
        <f t="shared" si="327"/>
        <v/>
      </c>
      <c r="M3725" s="9"/>
      <c r="N3725" s="9"/>
      <c r="P3725" s="14"/>
      <c r="Q3725" s="85"/>
      <c r="R3725" s="89"/>
      <c r="U3725" s="11" t="str">
        <f t="shared" si="325"/>
        <v/>
      </c>
      <c r="V3725" s="12" t="str">
        <f t="shared" si="326"/>
        <v/>
      </c>
      <c r="Z3725" s="15"/>
    </row>
    <row r="3726" spans="1:26" x14ac:dyDescent="0.25">
      <c r="A3726" s="15" t="str">
        <f>IF(C3726="","",COUNTA($C$3:C3726))</f>
        <v/>
      </c>
      <c r="B3726" s="15" t="str">
        <f t="shared" si="327"/>
        <v/>
      </c>
      <c r="M3726" s="9"/>
      <c r="N3726" s="9"/>
      <c r="P3726" s="14"/>
      <c r="Q3726" s="85"/>
      <c r="R3726" s="89"/>
      <c r="U3726" s="11" t="str">
        <f t="shared" si="325"/>
        <v/>
      </c>
      <c r="V3726" s="12" t="str">
        <f t="shared" si="326"/>
        <v/>
      </c>
      <c r="Z3726" s="15"/>
    </row>
    <row r="3727" spans="1:26" x14ac:dyDescent="0.25">
      <c r="A3727" s="15" t="str">
        <f>IF(C3727="","",COUNTA($C$3:C3727))</f>
        <v/>
      </c>
      <c r="B3727" s="15" t="str">
        <f t="shared" si="327"/>
        <v/>
      </c>
      <c r="M3727" s="9"/>
      <c r="N3727" s="9"/>
      <c r="P3727" s="14"/>
      <c r="Q3727" s="85"/>
      <c r="R3727" s="89"/>
      <c r="U3727" s="11" t="str">
        <f t="shared" si="325"/>
        <v/>
      </c>
      <c r="V3727" s="12" t="str">
        <f t="shared" si="326"/>
        <v/>
      </c>
      <c r="Z3727" s="15"/>
    </row>
    <row r="3728" spans="1:26" x14ac:dyDescent="0.25">
      <c r="A3728" s="15" t="str">
        <f>IF(C3728="","",COUNTA($C$3:C3728))</f>
        <v/>
      </c>
      <c r="B3728" s="15" t="str">
        <f t="shared" si="327"/>
        <v/>
      </c>
      <c r="M3728" s="9"/>
      <c r="N3728" s="9"/>
      <c r="P3728" s="14"/>
      <c r="Q3728" s="85"/>
      <c r="R3728" s="89"/>
      <c r="U3728" s="11" t="str">
        <f t="shared" si="325"/>
        <v/>
      </c>
      <c r="V3728" s="12" t="str">
        <f t="shared" si="326"/>
        <v/>
      </c>
      <c r="Z3728" s="15"/>
    </row>
    <row r="3729" spans="1:26" x14ac:dyDescent="0.25">
      <c r="A3729" s="15" t="str">
        <f>IF(C3729="","",COUNTA($C$3:C3729))</f>
        <v/>
      </c>
      <c r="B3729" s="15" t="str">
        <f t="shared" si="327"/>
        <v/>
      </c>
      <c r="M3729" s="9"/>
      <c r="N3729" s="9"/>
      <c r="P3729" s="14"/>
      <c r="Q3729" s="85"/>
      <c r="R3729" s="89"/>
      <c r="U3729" s="11" t="str">
        <f t="shared" si="325"/>
        <v/>
      </c>
      <c r="V3729" s="12" t="str">
        <f t="shared" si="326"/>
        <v/>
      </c>
      <c r="Z3729" s="15"/>
    </row>
    <row r="3730" spans="1:26" x14ac:dyDescent="0.25">
      <c r="A3730" s="15" t="str">
        <f>IF(C3730="","",COUNTA($C$3:C3730))</f>
        <v/>
      </c>
      <c r="B3730" s="15" t="str">
        <f t="shared" si="327"/>
        <v/>
      </c>
      <c r="M3730" s="9"/>
      <c r="N3730" s="9"/>
      <c r="P3730" s="14"/>
      <c r="Q3730" s="85"/>
      <c r="R3730" s="89"/>
      <c r="U3730" s="11" t="str">
        <f t="shared" si="325"/>
        <v/>
      </c>
      <c r="V3730" s="12" t="str">
        <f t="shared" si="326"/>
        <v/>
      </c>
      <c r="Z3730" s="15"/>
    </row>
    <row r="3731" spans="1:26" x14ac:dyDescent="0.25">
      <c r="A3731" s="15" t="str">
        <f>IF(C3731="","",COUNTA($C$3:C3731))</f>
        <v/>
      </c>
      <c r="B3731" s="15" t="str">
        <f t="shared" si="327"/>
        <v/>
      </c>
      <c r="M3731" s="9"/>
      <c r="N3731" s="9"/>
      <c r="P3731" s="14"/>
      <c r="Q3731" s="85"/>
      <c r="R3731" s="89"/>
      <c r="U3731" s="11" t="str">
        <f t="shared" si="325"/>
        <v/>
      </c>
      <c r="V3731" s="12" t="str">
        <f t="shared" si="326"/>
        <v/>
      </c>
      <c r="Z3731" s="15"/>
    </row>
    <row r="3732" spans="1:26" x14ac:dyDescent="0.25">
      <c r="A3732" s="15" t="str">
        <f>IF(C3732="","",COUNTA($C$3:C3732))</f>
        <v/>
      </c>
      <c r="B3732" s="15" t="str">
        <f t="shared" si="327"/>
        <v/>
      </c>
      <c r="M3732" s="9"/>
      <c r="N3732" s="9"/>
      <c r="P3732" s="14"/>
      <c r="Q3732" s="85"/>
      <c r="R3732" s="89"/>
      <c r="U3732" s="11" t="str">
        <f t="shared" si="325"/>
        <v/>
      </c>
      <c r="V3732" s="12" t="str">
        <f t="shared" si="326"/>
        <v/>
      </c>
      <c r="Z3732" s="15"/>
    </row>
    <row r="3733" spans="1:26" x14ac:dyDescent="0.25">
      <c r="A3733" s="15" t="str">
        <f>IF(C3733="","",COUNTA($C$3:C3733))</f>
        <v/>
      </c>
      <c r="B3733" s="15" t="str">
        <f t="shared" si="327"/>
        <v/>
      </c>
      <c r="M3733" s="9"/>
      <c r="N3733" s="9"/>
      <c r="P3733" s="14"/>
      <c r="Q3733" s="85"/>
      <c r="R3733" s="89"/>
      <c r="U3733" s="11" t="str">
        <f t="shared" si="325"/>
        <v/>
      </c>
      <c r="V3733" s="12" t="str">
        <f t="shared" si="326"/>
        <v/>
      </c>
      <c r="Z3733" s="15"/>
    </row>
    <row r="3734" spans="1:26" x14ac:dyDescent="0.25">
      <c r="A3734" s="15" t="str">
        <f>IF(C3734="","",COUNTA($C$3:C3734))</f>
        <v/>
      </c>
      <c r="B3734" s="15" t="str">
        <f t="shared" si="327"/>
        <v/>
      </c>
      <c r="M3734" s="9"/>
      <c r="N3734" s="9"/>
      <c r="P3734" s="14"/>
      <c r="Q3734" s="85"/>
      <c r="R3734" s="89"/>
      <c r="U3734" s="11" t="str">
        <f t="shared" si="325"/>
        <v/>
      </c>
      <c r="V3734" s="12" t="str">
        <f t="shared" si="326"/>
        <v/>
      </c>
      <c r="Z3734" s="15"/>
    </row>
    <row r="3735" spans="1:26" x14ac:dyDescent="0.25">
      <c r="A3735" s="15" t="str">
        <f>IF(C3735="","",COUNTA($C$3:C3735))</f>
        <v/>
      </c>
      <c r="B3735" s="15" t="str">
        <f t="shared" si="327"/>
        <v/>
      </c>
      <c r="M3735" s="9"/>
      <c r="N3735" s="9"/>
      <c r="P3735" s="14"/>
      <c r="Q3735" s="85"/>
      <c r="R3735" s="89"/>
      <c r="U3735" s="11" t="str">
        <f t="shared" si="325"/>
        <v/>
      </c>
      <c r="V3735" s="12" t="str">
        <f t="shared" si="326"/>
        <v/>
      </c>
      <c r="Z3735" s="15"/>
    </row>
    <row r="3736" spans="1:26" x14ac:dyDescent="0.25">
      <c r="A3736" s="15" t="str">
        <f>IF(C3736="","",COUNTA($C$3:C3736))</f>
        <v/>
      </c>
      <c r="B3736" s="15" t="str">
        <f t="shared" si="327"/>
        <v/>
      </c>
      <c r="M3736" s="9"/>
      <c r="N3736" s="9"/>
      <c r="P3736" s="14"/>
      <c r="Q3736" s="85"/>
      <c r="R3736" s="89"/>
      <c r="U3736" s="11" t="str">
        <f t="shared" si="325"/>
        <v/>
      </c>
      <c r="V3736" s="12" t="str">
        <f t="shared" si="326"/>
        <v/>
      </c>
      <c r="Z3736" s="15"/>
    </row>
    <row r="3737" spans="1:26" x14ac:dyDescent="0.25">
      <c r="A3737" s="15" t="str">
        <f>IF(C3737="","",COUNTA($C$3:C3737))</f>
        <v/>
      </c>
      <c r="B3737" s="15" t="str">
        <f t="shared" si="327"/>
        <v/>
      </c>
      <c r="M3737" s="9"/>
      <c r="N3737" s="9"/>
      <c r="P3737" s="14"/>
      <c r="Q3737" s="85"/>
      <c r="R3737" s="89"/>
      <c r="U3737" s="11" t="str">
        <f t="shared" si="325"/>
        <v/>
      </c>
      <c r="V3737" s="12" t="str">
        <f t="shared" si="326"/>
        <v/>
      </c>
      <c r="Z3737" s="15"/>
    </row>
    <row r="3738" spans="1:26" x14ac:dyDescent="0.25">
      <c r="A3738" s="15" t="str">
        <f>IF(C3738="","",COUNTA($C$3:C3738))</f>
        <v/>
      </c>
      <c r="B3738" s="15" t="str">
        <f t="shared" si="327"/>
        <v/>
      </c>
      <c r="M3738" s="9"/>
      <c r="N3738" s="9"/>
      <c r="P3738" s="14"/>
      <c r="Q3738" s="85"/>
      <c r="R3738" s="89"/>
      <c r="U3738" s="11" t="str">
        <f t="shared" si="325"/>
        <v/>
      </c>
      <c r="V3738" s="12" t="str">
        <f t="shared" si="326"/>
        <v/>
      </c>
      <c r="Z3738" s="15"/>
    </row>
    <row r="3739" spans="1:26" x14ac:dyDescent="0.25">
      <c r="A3739" s="15" t="str">
        <f>IF(C3739="","",COUNTA($C$3:C3739))</f>
        <v/>
      </c>
      <c r="B3739" s="15" t="str">
        <f t="shared" si="327"/>
        <v/>
      </c>
      <c r="M3739" s="9"/>
      <c r="N3739" s="9"/>
      <c r="P3739" s="14"/>
      <c r="Q3739" s="85"/>
      <c r="R3739" s="89"/>
      <c r="U3739" s="11" t="str">
        <f t="shared" si="325"/>
        <v/>
      </c>
      <c r="V3739" s="12" t="str">
        <f t="shared" si="326"/>
        <v/>
      </c>
      <c r="Z3739" s="15"/>
    </row>
    <row r="3740" spans="1:26" x14ac:dyDescent="0.25">
      <c r="A3740" s="15" t="str">
        <f>IF(C3740="","",COUNTA($C$3:C3740))</f>
        <v/>
      </c>
      <c r="B3740" s="15" t="str">
        <f t="shared" si="327"/>
        <v/>
      </c>
      <c r="M3740" s="9"/>
      <c r="N3740" s="9"/>
      <c r="P3740" s="14"/>
      <c r="Q3740" s="85"/>
      <c r="R3740" s="89"/>
      <c r="U3740" s="11" t="str">
        <f t="shared" si="325"/>
        <v/>
      </c>
      <c r="V3740" s="12" t="str">
        <f t="shared" si="326"/>
        <v/>
      </c>
      <c r="Z3740" s="15"/>
    </row>
    <row r="3741" spans="1:26" x14ac:dyDescent="0.25">
      <c r="A3741" s="15" t="str">
        <f>IF(C3741="","",COUNTA($C$3:C3741))</f>
        <v/>
      </c>
      <c r="B3741" s="15" t="str">
        <f t="shared" si="327"/>
        <v/>
      </c>
      <c r="M3741" s="9"/>
      <c r="N3741" s="9"/>
      <c r="P3741" s="14"/>
      <c r="Q3741" s="85"/>
      <c r="R3741" s="89"/>
      <c r="U3741" s="11" t="str">
        <f t="shared" si="325"/>
        <v/>
      </c>
      <c r="V3741" s="12" t="str">
        <f t="shared" si="326"/>
        <v/>
      </c>
      <c r="Z3741" s="15"/>
    </row>
    <row r="3742" spans="1:26" x14ac:dyDescent="0.25">
      <c r="A3742" s="15" t="str">
        <f>IF(C3742="","",COUNTA($C$3:C3742))</f>
        <v/>
      </c>
      <c r="B3742" s="15" t="str">
        <f t="shared" si="327"/>
        <v/>
      </c>
      <c r="M3742" s="9"/>
      <c r="N3742" s="9"/>
      <c r="P3742" s="14"/>
      <c r="Q3742" s="85"/>
      <c r="R3742" s="89"/>
      <c r="U3742" s="11" t="str">
        <f t="shared" si="325"/>
        <v/>
      </c>
      <c r="V3742" s="12" t="str">
        <f t="shared" si="326"/>
        <v/>
      </c>
      <c r="Z3742" s="15"/>
    </row>
    <row r="3743" spans="1:26" x14ac:dyDescent="0.25">
      <c r="A3743" s="15" t="str">
        <f>IF(C3743="","",COUNTA($C$3:C3743))</f>
        <v/>
      </c>
      <c r="B3743" s="15" t="str">
        <f t="shared" si="327"/>
        <v/>
      </c>
      <c r="M3743" s="9"/>
      <c r="N3743" s="9"/>
      <c r="P3743" s="14"/>
      <c r="Q3743" s="85"/>
      <c r="R3743" s="89"/>
      <c r="U3743" s="11" t="str">
        <f t="shared" si="325"/>
        <v/>
      </c>
      <c r="V3743" s="12" t="str">
        <f t="shared" si="326"/>
        <v/>
      </c>
      <c r="Z3743" s="15"/>
    </row>
    <row r="3744" spans="1:26" x14ac:dyDescent="0.25">
      <c r="A3744" s="15" t="str">
        <f>IF(C3744="","",COUNTA($C$3:C3744))</f>
        <v/>
      </c>
      <c r="B3744" s="15" t="str">
        <f t="shared" si="327"/>
        <v/>
      </c>
      <c r="M3744" s="9"/>
      <c r="N3744" s="9"/>
      <c r="P3744" s="14"/>
      <c r="Q3744" s="85"/>
      <c r="R3744" s="89"/>
      <c r="U3744" s="11" t="str">
        <f t="shared" si="325"/>
        <v/>
      </c>
      <c r="V3744" s="12" t="str">
        <f t="shared" si="326"/>
        <v/>
      </c>
      <c r="Z3744" s="15"/>
    </row>
    <row r="3745" spans="1:26" x14ac:dyDescent="0.25">
      <c r="A3745" s="15" t="str">
        <f>IF(C3745="","",COUNTA($C$3:C3745))</f>
        <v/>
      </c>
      <c r="B3745" s="15" t="str">
        <f t="shared" si="327"/>
        <v/>
      </c>
      <c r="M3745" s="9"/>
      <c r="N3745" s="9"/>
      <c r="P3745" s="14"/>
      <c r="Q3745" s="85"/>
      <c r="R3745" s="89"/>
      <c r="U3745" s="11" t="str">
        <f t="shared" si="325"/>
        <v/>
      </c>
      <c r="V3745" s="12" t="str">
        <f t="shared" si="326"/>
        <v/>
      </c>
      <c r="Z3745" s="15"/>
    </row>
    <row r="3746" spans="1:26" x14ac:dyDescent="0.25">
      <c r="A3746" s="15" t="str">
        <f>IF(C3746="","",COUNTA($C$3:C3746))</f>
        <v/>
      </c>
      <c r="B3746" s="15" t="str">
        <f t="shared" si="327"/>
        <v/>
      </c>
      <c r="M3746" s="9"/>
      <c r="N3746" s="9"/>
      <c r="P3746" s="14"/>
      <c r="Q3746" s="85"/>
      <c r="R3746" s="89"/>
      <c r="U3746" s="11" t="str">
        <f t="shared" si="325"/>
        <v/>
      </c>
      <c r="V3746" s="12" t="str">
        <f t="shared" si="326"/>
        <v/>
      </c>
      <c r="Z3746" s="15"/>
    </row>
    <row r="3747" spans="1:26" x14ac:dyDescent="0.25">
      <c r="A3747" s="15" t="str">
        <f>IF(C3747="","",COUNTA($C$3:C3747))</f>
        <v/>
      </c>
      <c r="B3747" s="15" t="str">
        <f t="shared" si="327"/>
        <v/>
      </c>
      <c r="M3747" s="9"/>
      <c r="N3747" s="9"/>
      <c r="P3747" s="14"/>
      <c r="Q3747" s="85"/>
      <c r="R3747" s="89"/>
      <c r="U3747" s="11" t="str">
        <f t="shared" si="325"/>
        <v/>
      </c>
      <c r="V3747" s="12" t="str">
        <f t="shared" si="326"/>
        <v/>
      </c>
      <c r="Z3747" s="15"/>
    </row>
    <row r="3748" spans="1:26" x14ac:dyDescent="0.25">
      <c r="A3748" s="15" t="str">
        <f>IF(C3748="","",COUNTA($C$3:C3748))</f>
        <v/>
      </c>
      <c r="B3748" s="15" t="str">
        <f t="shared" si="327"/>
        <v/>
      </c>
      <c r="M3748" s="9"/>
      <c r="N3748" s="9"/>
      <c r="P3748" s="14"/>
      <c r="Q3748" s="85"/>
      <c r="R3748" s="89"/>
      <c r="U3748" s="11" t="str">
        <f t="shared" si="325"/>
        <v/>
      </c>
      <c r="V3748" s="12" t="str">
        <f t="shared" si="326"/>
        <v/>
      </c>
      <c r="Z3748" s="15"/>
    </row>
    <row r="3749" spans="1:26" x14ac:dyDescent="0.25">
      <c r="A3749" s="15" t="str">
        <f>IF(C3749="","",COUNTA($C$3:C3749))</f>
        <v/>
      </c>
      <c r="B3749" s="15" t="str">
        <f t="shared" si="327"/>
        <v/>
      </c>
      <c r="M3749" s="9"/>
      <c r="N3749" s="9"/>
      <c r="P3749" s="14"/>
      <c r="Q3749" s="85"/>
      <c r="R3749" s="89"/>
      <c r="U3749" s="11" t="str">
        <f t="shared" si="325"/>
        <v/>
      </c>
      <c r="V3749" s="12" t="str">
        <f t="shared" si="326"/>
        <v/>
      </c>
      <c r="Z3749" s="15"/>
    </row>
    <row r="3750" spans="1:26" x14ac:dyDescent="0.25">
      <c r="A3750" s="15" t="str">
        <f>IF(C3750="","",COUNTA($C$3:C3750))</f>
        <v/>
      </c>
      <c r="B3750" s="15" t="str">
        <f t="shared" si="327"/>
        <v/>
      </c>
      <c r="M3750" s="9"/>
      <c r="N3750" s="9"/>
      <c r="P3750" s="14"/>
      <c r="Q3750" s="85"/>
      <c r="R3750" s="89"/>
      <c r="U3750" s="11" t="str">
        <f t="shared" si="325"/>
        <v/>
      </c>
      <c r="V3750" s="12" t="str">
        <f t="shared" si="326"/>
        <v/>
      </c>
      <c r="Z3750" s="15"/>
    </row>
    <row r="3751" spans="1:26" x14ac:dyDescent="0.25">
      <c r="A3751" s="15" t="str">
        <f>IF(C3751="","",COUNTA($C$3:C3751))</f>
        <v/>
      </c>
      <c r="B3751" s="15" t="str">
        <f t="shared" si="327"/>
        <v/>
      </c>
      <c r="M3751" s="9"/>
      <c r="N3751" s="9"/>
      <c r="P3751" s="14"/>
      <c r="Q3751" s="85"/>
      <c r="R3751" s="89"/>
      <c r="U3751" s="11" t="str">
        <f t="shared" si="325"/>
        <v/>
      </c>
      <c r="V3751" s="12" t="str">
        <f t="shared" si="326"/>
        <v/>
      </c>
      <c r="Z3751" s="15"/>
    </row>
    <row r="3752" spans="1:26" x14ac:dyDescent="0.25">
      <c r="A3752" s="15" t="str">
        <f>IF(C3752="","",COUNTA($C$3:C3752))</f>
        <v/>
      </c>
      <c r="B3752" s="15" t="str">
        <f t="shared" si="327"/>
        <v/>
      </c>
      <c r="M3752" s="9"/>
      <c r="N3752" s="9"/>
      <c r="P3752" s="14"/>
      <c r="Q3752" s="85"/>
      <c r="R3752" s="89"/>
      <c r="U3752" s="11" t="str">
        <f t="shared" si="325"/>
        <v/>
      </c>
      <c r="V3752" s="12" t="str">
        <f t="shared" si="326"/>
        <v/>
      </c>
      <c r="Z3752" s="15"/>
    </row>
    <row r="3753" spans="1:26" x14ac:dyDescent="0.25">
      <c r="A3753" s="15" t="str">
        <f>IF(C3753="","",COUNTA($C$3:C3753))</f>
        <v/>
      </c>
      <c r="B3753" s="15" t="str">
        <f t="shared" si="327"/>
        <v/>
      </c>
      <c r="M3753" s="9"/>
      <c r="N3753" s="9"/>
      <c r="P3753" s="14"/>
      <c r="Q3753" s="85"/>
      <c r="R3753" s="89"/>
      <c r="U3753" s="11" t="str">
        <f t="shared" si="325"/>
        <v/>
      </c>
      <c r="V3753" s="12" t="str">
        <f t="shared" si="326"/>
        <v/>
      </c>
      <c r="Z3753" s="15"/>
    </row>
    <row r="3754" spans="1:26" x14ac:dyDescent="0.25">
      <c r="A3754" s="15" t="str">
        <f>IF(C3754="","",COUNTA($C$3:C3754))</f>
        <v/>
      </c>
      <c r="B3754" s="15" t="str">
        <f t="shared" si="327"/>
        <v/>
      </c>
      <c r="M3754" s="9"/>
      <c r="N3754" s="9"/>
      <c r="P3754" s="14"/>
      <c r="Q3754" s="85"/>
      <c r="R3754" s="89"/>
      <c r="U3754" s="11" t="str">
        <f t="shared" si="325"/>
        <v/>
      </c>
      <c r="V3754" s="12" t="str">
        <f t="shared" si="326"/>
        <v/>
      </c>
      <c r="Z3754" s="15"/>
    </row>
    <row r="3755" spans="1:26" x14ac:dyDescent="0.25">
      <c r="A3755" s="15" t="str">
        <f>IF(C3755="","",COUNTA($C$3:C3755))</f>
        <v/>
      </c>
      <c r="B3755" s="15" t="str">
        <f t="shared" si="327"/>
        <v/>
      </c>
      <c r="M3755" s="9"/>
      <c r="N3755" s="9"/>
      <c r="P3755" s="14"/>
      <c r="Q3755" s="85"/>
      <c r="R3755" s="89"/>
      <c r="U3755" s="11" t="str">
        <f t="shared" si="325"/>
        <v/>
      </c>
      <c r="V3755" s="12" t="str">
        <f t="shared" si="326"/>
        <v/>
      </c>
      <c r="Z3755" s="15"/>
    </row>
    <row r="3756" spans="1:26" x14ac:dyDescent="0.25">
      <c r="A3756" s="15" t="str">
        <f>IF(C3756="","",COUNTA($C$3:C3756))</f>
        <v/>
      </c>
      <c r="B3756" s="15" t="str">
        <f t="shared" si="327"/>
        <v/>
      </c>
      <c r="M3756" s="9"/>
      <c r="N3756" s="9"/>
      <c r="P3756" s="14"/>
      <c r="Q3756" s="85"/>
      <c r="R3756" s="89"/>
      <c r="U3756" s="11" t="str">
        <f t="shared" si="325"/>
        <v/>
      </c>
      <c r="V3756" s="12" t="str">
        <f t="shared" si="326"/>
        <v/>
      </c>
      <c r="Z3756" s="15"/>
    </row>
    <row r="3757" spans="1:26" x14ac:dyDescent="0.25">
      <c r="A3757" s="15" t="str">
        <f>IF(C3757="","",COUNTA($C$3:C3757))</f>
        <v/>
      </c>
      <c r="B3757" s="15" t="str">
        <f t="shared" si="327"/>
        <v/>
      </c>
      <c r="M3757" s="9"/>
      <c r="N3757" s="9"/>
      <c r="P3757" s="14"/>
      <c r="Q3757" s="85"/>
      <c r="R3757" s="89"/>
      <c r="U3757" s="11" t="str">
        <f t="shared" si="325"/>
        <v/>
      </c>
      <c r="V3757" s="12" t="str">
        <f t="shared" si="326"/>
        <v/>
      </c>
      <c r="Z3757" s="15"/>
    </row>
    <row r="3758" spans="1:26" x14ac:dyDescent="0.25">
      <c r="A3758" s="15" t="str">
        <f>IF(C3758="","",COUNTA($C$3:C3758))</f>
        <v/>
      </c>
      <c r="B3758" s="15" t="str">
        <f t="shared" si="327"/>
        <v/>
      </c>
      <c r="M3758" s="9"/>
      <c r="N3758" s="9"/>
      <c r="P3758" s="14"/>
      <c r="Q3758" s="85"/>
      <c r="R3758" s="89"/>
      <c r="U3758" s="11" t="str">
        <f t="shared" si="325"/>
        <v/>
      </c>
      <c r="V3758" s="12" t="str">
        <f t="shared" si="326"/>
        <v/>
      </c>
      <c r="Z3758" s="15"/>
    </row>
    <row r="3759" spans="1:26" x14ac:dyDescent="0.25">
      <c r="A3759" s="15" t="str">
        <f>IF(C3759="","",COUNTA($C$3:C3759))</f>
        <v/>
      </c>
      <c r="B3759" s="15" t="str">
        <f t="shared" si="327"/>
        <v/>
      </c>
      <c r="M3759" s="9"/>
      <c r="N3759" s="9"/>
      <c r="P3759" s="14"/>
      <c r="Q3759" s="85"/>
      <c r="R3759" s="89"/>
      <c r="U3759" s="11" t="str">
        <f t="shared" si="325"/>
        <v/>
      </c>
      <c r="V3759" s="12" t="str">
        <f t="shared" si="326"/>
        <v/>
      </c>
      <c r="Z3759" s="15"/>
    </row>
    <row r="3760" spans="1:26" x14ac:dyDescent="0.25">
      <c r="A3760" s="15" t="str">
        <f>IF(C3760="","",COUNTA($C$3:C3760))</f>
        <v/>
      </c>
      <c r="B3760" s="15" t="str">
        <f t="shared" si="327"/>
        <v/>
      </c>
      <c r="M3760" s="9"/>
      <c r="N3760" s="9"/>
      <c r="P3760" s="14"/>
      <c r="Q3760" s="85"/>
      <c r="R3760" s="89"/>
      <c r="U3760" s="11" t="str">
        <f t="shared" si="325"/>
        <v/>
      </c>
      <c r="V3760" s="12" t="str">
        <f t="shared" si="326"/>
        <v/>
      </c>
      <c r="Z3760" s="15"/>
    </row>
    <row r="3761" spans="1:26" x14ac:dyDescent="0.25">
      <c r="A3761" s="15" t="str">
        <f>IF(C3761="","",COUNTA($C$3:C3761))</f>
        <v/>
      </c>
      <c r="B3761" s="15" t="str">
        <f t="shared" si="327"/>
        <v/>
      </c>
      <c r="M3761" s="9"/>
      <c r="N3761" s="9"/>
      <c r="P3761" s="14"/>
      <c r="Q3761" s="85"/>
      <c r="R3761" s="89"/>
      <c r="U3761" s="11" t="str">
        <f t="shared" si="325"/>
        <v/>
      </c>
      <c r="V3761" s="12" t="str">
        <f t="shared" si="326"/>
        <v/>
      </c>
      <c r="Z3761" s="15"/>
    </row>
    <row r="3762" spans="1:26" x14ac:dyDescent="0.25">
      <c r="A3762" s="15" t="str">
        <f>IF(C3762="","",COUNTA($C$3:C3762))</f>
        <v/>
      </c>
      <c r="B3762" s="15" t="str">
        <f t="shared" si="327"/>
        <v/>
      </c>
      <c r="M3762" s="9"/>
      <c r="N3762" s="9"/>
      <c r="P3762" s="14"/>
      <c r="Q3762" s="85"/>
      <c r="R3762" s="89"/>
      <c r="U3762" s="11" t="str">
        <f t="shared" si="325"/>
        <v/>
      </c>
      <c r="V3762" s="12" t="str">
        <f t="shared" si="326"/>
        <v/>
      </c>
      <c r="Z3762" s="15"/>
    </row>
    <row r="3763" spans="1:26" x14ac:dyDescent="0.25">
      <c r="A3763" s="15" t="str">
        <f>IF(C3763="","",COUNTA($C$3:C3763))</f>
        <v/>
      </c>
      <c r="B3763" s="15" t="str">
        <f t="shared" si="327"/>
        <v/>
      </c>
      <c r="M3763" s="9"/>
      <c r="N3763" s="9"/>
      <c r="P3763" s="14"/>
      <c r="Q3763" s="85"/>
      <c r="R3763" s="89"/>
      <c r="U3763" s="11" t="str">
        <f t="shared" si="325"/>
        <v/>
      </c>
      <c r="V3763" s="12" t="str">
        <f t="shared" si="326"/>
        <v/>
      </c>
      <c r="Z3763" s="15"/>
    </row>
    <row r="3764" spans="1:26" x14ac:dyDescent="0.25">
      <c r="A3764" s="15" t="str">
        <f>IF(C3764="","",COUNTA($C$3:C3764))</f>
        <v/>
      </c>
      <c r="B3764" s="15" t="str">
        <f t="shared" si="327"/>
        <v/>
      </c>
      <c r="M3764" s="9"/>
      <c r="N3764" s="9"/>
      <c r="P3764" s="14"/>
      <c r="Q3764" s="85"/>
      <c r="R3764" s="89"/>
      <c r="U3764" s="11" t="str">
        <f t="shared" si="325"/>
        <v/>
      </c>
      <c r="V3764" s="12" t="str">
        <f t="shared" si="326"/>
        <v/>
      </c>
      <c r="Z3764" s="15"/>
    </row>
    <row r="3765" spans="1:26" x14ac:dyDescent="0.25">
      <c r="A3765" s="15" t="str">
        <f>IF(C3765="","",COUNTA($C$3:C3765))</f>
        <v/>
      </c>
      <c r="B3765" s="15" t="str">
        <f t="shared" si="327"/>
        <v/>
      </c>
      <c r="M3765" s="9"/>
      <c r="N3765" s="9"/>
      <c r="P3765" s="14"/>
      <c r="Q3765" s="85"/>
      <c r="R3765" s="89"/>
      <c r="U3765" s="11" t="str">
        <f t="shared" si="325"/>
        <v/>
      </c>
      <c r="V3765" s="12" t="str">
        <f t="shared" si="326"/>
        <v/>
      </c>
      <c r="Z3765" s="15"/>
    </row>
    <row r="3766" spans="1:26" x14ac:dyDescent="0.25">
      <c r="A3766" s="15" t="str">
        <f>IF(C3766="","",COUNTA($C$3:C3766))</f>
        <v/>
      </c>
      <c r="B3766" s="15" t="str">
        <f t="shared" si="327"/>
        <v/>
      </c>
      <c r="M3766" s="9"/>
      <c r="N3766" s="9"/>
      <c r="P3766" s="14"/>
      <c r="Q3766" s="85"/>
      <c r="R3766" s="89"/>
      <c r="U3766" s="11" t="str">
        <f t="shared" si="325"/>
        <v/>
      </c>
      <c r="V3766" s="12" t="str">
        <f t="shared" si="326"/>
        <v/>
      </c>
      <c r="Z3766" s="15"/>
    </row>
    <row r="3767" spans="1:26" x14ac:dyDescent="0.25">
      <c r="A3767" s="15" t="str">
        <f>IF(C3767="","",COUNTA($C$3:C3767))</f>
        <v/>
      </c>
      <c r="B3767" s="15" t="str">
        <f t="shared" si="327"/>
        <v/>
      </c>
      <c r="M3767" s="9"/>
      <c r="N3767" s="9"/>
      <c r="P3767" s="14"/>
      <c r="Q3767" s="85"/>
      <c r="R3767" s="89"/>
      <c r="U3767" s="11" t="str">
        <f t="shared" si="325"/>
        <v/>
      </c>
      <c r="V3767" s="12" t="str">
        <f t="shared" si="326"/>
        <v/>
      </c>
      <c r="Z3767" s="15"/>
    </row>
    <row r="3768" spans="1:26" x14ac:dyDescent="0.25">
      <c r="A3768" s="15" t="str">
        <f>IF(C3768="","",COUNTA($C$3:C3768))</f>
        <v/>
      </c>
      <c r="B3768" s="15" t="str">
        <f t="shared" si="327"/>
        <v/>
      </c>
      <c r="M3768" s="9"/>
      <c r="N3768" s="9"/>
      <c r="P3768" s="14"/>
      <c r="Q3768" s="85"/>
      <c r="R3768" s="89"/>
      <c r="U3768" s="11" t="str">
        <f t="shared" si="325"/>
        <v/>
      </c>
      <c r="V3768" s="12" t="str">
        <f t="shared" si="326"/>
        <v/>
      </c>
      <c r="Z3768" s="15"/>
    </row>
    <row r="3769" spans="1:26" x14ac:dyDescent="0.25">
      <c r="A3769" s="15" t="str">
        <f>IF(C3769="","",COUNTA($C$3:C3769))</f>
        <v/>
      </c>
      <c r="B3769" s="15" t="str">
        <f t="shared" si="327"/>
        <v/>
      </c>
      <c r="M3769" s="9"/>
      <c r="N3769" s="9"/>
      <c r="P3769" s="14"/>
      <c r="Q3769" s="85"/>
      <c r="R3769" s="89"/>
      <c r="U3769" s="11" t="str">
        <f t="shared" si="325"/>
        <v/>
      </c>
      <c r="V3769" s="12" t="str">
        <f t="shared" si="326"/>
        <v/>
      </c>
      <c r="Z3769" s="15"/>
    </row>
    <row r="3770" spans="1:26" x14ac:dyDescent="0.25">
      <c r="A3770" s="15" t="str">
        <f>IF(C3770="","",COUNTA($C$3:C3770))</f>
        <v/>
      </c>
      <c r="B3770" s="15" t="str">
        <f t="shared" si="327"/>
        <v/>
      </c>
      <c r="M3770" s="9"/>
      <c r="N3770" s="9"/>
      <c r="P3770" s="14"/>
      <c r="Q3770" s="85"/>
      <c r="R3770" s="89"/>
      <c r="U3770" s="11" t="str">
        <f t="shared" si="325"/>
        <v/>
      </c>
      <c r="V3770" s="12" t="str">
        <f t="shared" si="326"/>
        <v/>
      </c>
      <c r="Z3770" s="15"/>
    </row>
    <row r="3771" spans="1:26" x14ac:dyDescent="0.25">
      <c r="A3771" s="15" t="str">
        <f>IF(C3771="","",COUNTA($C$3:C3771))</f>
        <v/>
      </c>
      <c r="B3771" s="15" t="str">
        <f t="shared" si="327"/>
        <v/>
      </c>
      <c r="M3771" s="9"/>
      <c r="N3771" s="9"/>
      <c r="P3771" s="14"/>
      <c r="Q3771" s="85"/>
      <c r="R3771" s="89"/>
      <c r="U3771" s="11" t="str">
        <f t="shared" si="325"/>
        <v/>
      </c>
      <c r="V3771" s="12" t="str">
        <f t="shared" si="326"/>
        <v/>
      </c>
      <c r="Z3771" s="15"/>
    </row>
    <row r="3772" spans="1:26" x14ac:dyDescent="0.25">
      <c r="A3772" s="15" t="str">
        <f>IF(C3772="","",COUNTA($C$3:C3772))</f>
        <v/>
      </c>
      <c r="B3772" s="15" t="str">
        <f t="shared" si="327"/>
        <v/>
      </c>
      <c r="M3772" s="9"/>
      <c r="N3772" s="9"/>
      <c r="P3772" s="14"/>
      <c r="Q3772" s="85"/>
      <c r="R3772" s="89"/>
      <c r="U3772" s="11" t="str">
        <f t="shared" si="325"/>
        <v/>
      </c>
      <c r="V3772" s="12" t="str">
        <f t="shared" si="326"/>
        <v/>
      </c>
      <c r="Z3772" s="15"/>
    </row>
    <row r="3773" spans="1:26" x14ac:dyDescent="0.25">
      <c r="A3773" s="15" t="str">
        <f>IF(C3773="","",COUNTA($C$3:C3773))</f>
        <v/>
      </c>
      <c r="B3773" s="15" t="str">
        <f t="shared" si="327"/>
        <v/>
      </c>
      <c r="M3773" s="9"/>
      <c r="N3773" s="9"/>
      <c r="P3773" s="14"/>
      <c r="Q3773" s="85"/>
      <c r="R3773" s="89"/>
      <c r="U3773" s="11" t="str">
        <f t="shared" si="325"/>
        <v/>
      </c>
      <c r="V3773" s="12" t="str">
        <f t="shared" si="326"/>
        <v/>
      </c>
      <c r="Z3773" s="15"/>
    </row>
    <row r="3774" spans="1:26" x14ac:dyDescent="0.25">
      <c r="A3774" s="15" t="str">
        <f>IF(C3774="","",COUNTA($C$3:C3774))</f>
        <v/>
      </c>
      <c r="B3774" s="15" t="str">
        <f t="shared" si="327"/>
        <v/>
      </c>
      <c r="M3774" s="9"/>
      <c r="N3774" s="9"/>
      <c r="P3774" s="14"/>
      <c r="Q3774" s="85"/>
      <c r="R3774" s="89"/>
      <c r="U3774" s="11" t="str">
        <f t="shared" si="325"/>
        <v/>
      </c>
      <c r="V3774" s="12" t="str">
        <f t="shared" si="326"/>
        <v/>
      </c>
      <c r="Z3774" s="15"/>
    </row>
    <row r="3775" spans="1:26" x14ac:dyDescent="0.25">
      <c r="A3775" s="15" t="str">
        <f>IF(C3775="","",COUNTA($C$3:C3775))</f>
        <v/>
      </c>
      <c r="B3775" s="15" t="str">
        <f t="shared" si="327"/>
        <v/>
      </c>
      <c r="M3775" s="9"/>
      <c r="N3775" s="9"/>
      <c r="P3775" s="14"/>
      <c r="Q3775" s="85"/>
      <c r="R3775" s="89"/>
      <c r="U3775" s="11" t="str">
        <f t="shared" si="325"/>
        <v/>
      </c>
      <c r="V3775" s="12" t="str">
        <f t="shared" si="326"/>
        <v/>
      </c>
      <c r="Z3775" s="15"/>
    </row>
    <row r="3776" spans="1:26" x14ac:dyDescent="0.25">
      <c r="A3776" s="15" t="str">
        <f>IF(C3776="","",COUNTA($C$3:C3776))</f>
        <v/>
      </c>
      <c r="B3776" s="15" t="str">
        <f t="shared" si="327"/>
        <v/>
      </c>
      <c r="M3776" s="9"/>
      <c r="N3776" s="9"/>
      <c r="P3776" s="14"/>
      <c r="Q3776" s="85"/>
      <c r="R3776" s="89"/>
      <c r="U3776" s="11" t="str">
        <f t="shared" si="325"/>
        <v/>
      </c>
      <c r="V3776" s="12" t="str">
        <f t="shared" si="326"/>
        <v/>
      </c>
      <c r="Z3776" s="15"/>
    </row>
    <row r="3777" spans="1:26" x14ac:dyDescent="0.25">
      <c r="A3777" s="15" t="str">
        <f>IF(C3777="","",COUNTA($C$3:C3777))</f>
        <v/>
      </c>
      <c r="B3777" s="15" t="str">
        <f t="shared" si="327"/>
        <v/>
      </c>
      <c r="M3777" s="9"/>
      <c r="N3777" s="9"/>
      <c r="P3777" s="14"/>
      <c r="Q3777" s="85"/>
      <c r="R3777" s="89"/>
      <c r="U3777" s="11" t="str">
        <f t="shared" si="325"/>
        <v/>
      </c>
      <c r="V3777" s="12" t="str">
        <f t="shared" si="326"/>
        <v/>
      </c>
      <c r="Z3777" s="15"/>
    </row>
    <row r="3778" spans="1:26" x14ac:dyDescent="0.25">
      <c r="A3778" s="15" t="str">
        <f>IF(C3778="","",COUNTA($C$3:C3778))</f>
        <v/>
      </c>
      <c r="B3778" s="15" t="str">
        <f t="shared" si="327"/>
        <v/>
      </c>
      <c r="M3778" s="9"/>
      <c r="N3778" s="9"/>
      <c r="P3778" s="14"/>
      <c r="Q3778" s="85"/>
      <c r="R3778" s="89"/>
      <c r="U3778" s="11" t="str">
        <f t="shared" ref="U3778:U3841" si="328">IF(S3778="","",(S3778-T3778))</f>
        <v/>
      </c>
      <c r="V3778" s="12" t="str">
        <f t="shared" ref="V3778:V3841" si="329">IF(U3778="","",(U3778/T3778))</f>
        <v/>
      </c>
      <c r="Z3778" s="15"/>
    </row>
    <row r="3779" spans="1:26" x14ac:dyDescent="0.25">
      <c r="A3779" s="15" t="str">
        <f>IF(C3779="","",COUNTA($C$3:C3779))</f>
        <v/>
      </c>
      <c r="B3779" s="15" t="str">
        <f t="shared" ref="B3779:B3842" si="330">IF(C3779="","",TEXT(C3779,"mmmm"))</f>
        <v/>
      </c>
      <c r="M3779" s="9"/>
      <c r="N3779" s="9"/>
      <c r="P3779" s="14"/>
      <c r="Q3779" s="85"/>
      <c r="R3779" s="89"/>
      <c r="U3779" s="11" t="str">
        <f t="shared" si="328"/>
        <v/>
      </c>
      <c r="V3779" s="12" t="str">
        <f t="shared" si="329"/>
        <v/>
      </c>
      <c r="Z3779" s="15"/>
    </row>
    <row r="3780" spans="1:26" x14ac:dyDescent="0.25">
      <c r="A3780" s="15" t="str">
        <f>IF(C3780="","",COUNTA($C$3:C3780))</f>
        <v/>
      </c>
      <c r="B3780" s="15" t="str">
        <f t="shared" si="330"/>
        <v/>
      </c>
      <c r="M3780" s="9"/>
      <c r="N3780" s="9"/>
      <c r="P3780" s="14"/>
      <c r="Q3780" s="85"/>
      <c r="R3780" s="89"/>
      <c r="U3780" s="11" t="str">
        <f t="shared" si="328"/>
        <v/>
      </c>
      <c r="V3780" s="12" t="str">
        <f t="shared" si="329"/>
        <v/>
      </c>
      <c r="Z3780" s="15"/>
    </row>
    <row r="3781" spans="1:26" x14ac:dyDescent="0.25">
      <c r="A3781" s="15" t="str">
        <f>IF(C3781="","",COUNTA($C$3:C3781))</f>
        <v/>
      </c>
      <c r="B3781" s="15" t="str">
        <f t="shared" si="330"/>
        <v/>
      </c>
      <c r="M3781" s="9"/>
      <c r="N3781" s="9"/>
      <c r="P3781" s="14"/>
      <c r="Q3781" s="85"/>
      <c r="R3781" s="89"/>
      <c r="U3781" s="11" t="str">
        <f t="shared" si="328"/>
        <v/>
      </c>
      <c r="V3781" s="12" t="str">
        <f t="shared" si="329"/>
        <v/>
      </c>
      <c r="Z3781" s="15"/>
    </row>
    <row r="3782" spans="1:26" x14ac:dyDescent="0.25">
      <c r="A3782" s="15" t="str">
        <f>IF(C3782="","",COUNTA($C$3:C3782))</f>
        <v/>
      </c>
      <c r="B3782" s="15" t="str">
        <f t="shared" si="330"/>
        <v/>
      </c>
      <c r="M3782" s="9"/>
      <c r="N3782" s="9"/>
      <c r="P3782" s="14"/>
      <c r="Q3782" s="85"/>
      <c r="R3782" s="89"/>
      <c r="U3782" s="11" t="str">
        <f t="shared" si="328"/>
        <v/>
      </c>
      <c r="V3782" s="12" t="str">
        <f t="shared" si="329"/>
        <v/>
      </c>
      <c r="Z3782" s="15"/>
    </row>
    <row r="3783" spans="1:26" x14ac:dyDescent="0.25">
      <c r="A3783" s="15" t="str">
        <f>IF(C3783="","",COUNTA($C$3:C3783))</f>
        <v/>
      </c>
      <c r="B3783" s="15" t="str">
        <f t="shared" si="330"/>
        <v/>
      </c>
      <c r="M3783" s="9"/>
      <c r="N3783" s="9"/>
      <c r="P3783" s="14"/>
      <c r="Q3783" s="85"/>
      <c r="R3783" s="89"/>
      <c r="U3783" s="11" t="str">
        <f t="shared" si="328"/>
        <v/>
      </c>
      <c r="V3783" s="12" t="str">
        <f t="shared" si="329"/>
        <v/>
      </c>
      <c r="Z3783" s="15"/>
    </row>
    <row r="3784" spans="1:26" x14ac:dyDescent="0.25">
      <c r="A3784" s="15" t="str">
        <f>IF(C3784="","",COUNTA($C$3:C3784))</f>
        <v/>
      </c>
      <c r="B3784" s="15" t="str">
        <f t="shared" si="330"/>
        <v/>
      </c>
      <c r="M3784" s="9"/>
      <c r="N3784" s="9"/>
      <c r="P3784" s="14"/>
      <c r="Q3784" s="85"/>
      <c r="R3784" s="89"/>
      <c r="U3784" s="11" t="str">
        <f t="shared" si="328"/>
        <v/>
      </c>
      <c r="V3784" s="12" t="str">
        <f t="shared" si="329"/>
        <v/>
      </c>
      <c r="Z3784" s="15"/>
    </row>
    <row r="3785" spans="1:26" x14ac:dyDescent="0.25">
      <c r="A3785" s="15" t="str">
        <f>IF(C3785="","",COUNTA($C$3:C3785))</f>
        <v/>
      </c>
      <c r="B3785" s="15" t="str">
        <f t="shared" si="330"/>
        <v/>
      </c>
      <c r="M3785" s="9"/>
      <c r="N3785" s="9"/>
      <c r="P3785" s="14"/>
      <c r="Q3785" s="85"/>
      <c r="R3785" s="89"/>
      <c r="U3785" s="11" t="str">
        <f t="shared" si="328"/>
        <v/>
      </c>
      <c r="V3785" s="12" t="str">
        <f t="shared" si="329"/>
        <v/>
      </c>
      <c r="Z3785" s="15"/>
    </row>
    <row r="3786" spans="1:26" x14ac:dyDescent="0.25">
      <c r="A3786" s="15" t="str">
        <f>IF(C3786="","",COUNTA($C$3:C3786))</f>
        <v/>
      </c>
      <c r="B3786" s="15" t="str">
        <f t="shared" si="330"/>
        <v/>
      </c>
      <c r="M3786" s="9"/>
      <c r="N3786" s="9"/>
      <c r="P3786" s="14"/>
      <c r="Q3786" s="85"/>
      <c r="R3786" s="89"/>
      <c r="U3786" s="11" t="str">
        <f t="shared" si="328"/>
        <v/>
      </c>
      <c r="V3786" s="12" t="str">
        <f t="shared" si="329"/>
        <v/>
      </c>
      <c r="Z3786" s="15"/>
    </row>
    <row r="3787" spans="1:26" x14ac:dyDescent="0.25">
      <c r="A3787" s="15" t="str">
        <f>IF(C3787="","",COUNTA($C$3:C3787))</f>
        <v/>
      </c>
      <c r="B3787" s="15" t="str">
        <f t="shared" si="330"/>
        <v/>
      </c>
      <c r="M3787" s="9"/>
      <c r="N3787" s="9"/>
      <c r="P3787" s="14"/>
      <c r="Q3787" s="85"/>
      <c r="R3787" s="89"/>
      <c r="U3787" s="11" t="str">
        <f t="shared" si="328"/>
        <v/>
      </c>
      <c r="V3787" s="12" t="str">
        <f t="shared" si="329"/>
        <v/>
      </c>
      <c r="Z3787" s="15"/>
    </row>
    <row r="3788" spans="1:26" x14ac:dyDescent="0.25">
      <c r="A3788" s="15" t="str">
        <f>IF(C3788="","",COUNTA($C$3:C3788))</f>
        <v/>
      </c>
      <c r="B3788" s="15" t="str">
        <f t="shared" si="330"/>
        <v/>
      </c>
      <c r="M3788" s="9"/>
      <c r="N3788" s="9"/>
      <c r="P3788" s="14"/>
      <c r="Q3788" s="85"/>
      <c r="R3788" s="89"/>
      <c r="U3788" s="11" t="str">
        <f t="shared" si="328"/>
        <v/>
      </c>
      <c r="V3788" s="12" t="str">
        <f t="shared" si="329"/>
        <v/>
      </c>
      <c r="Z3788" s="15"/>
    </row>
    <row r="3789" spans="1:26" x14ac:dyDescent="0.25">
      <c r="A3789" s="15" t="str">
        <f>IF(C3789="","",COUNTA($C$3:C3789))</f>
        <v/>
      </c>
      <c r="B3789" s="15" t="str">
        <f t="shared" si="330"/>
        <v/>
      </c>
      <c r="M3789" s="9"/>
      <c r="N3789" s="9"/>
      <c r="P3789" s="14"/>
      <c r="Q3789" s="85"/>
      <c r="R3789" s="89"/>
      <c r="U3789" s="11" t="str">
        <f t="shared" si="328"/>
        <v/>
      </c>
      <c r="V3789" s="12" t="str">
        <f t="shared" si="329"/>
        <v/>
      </c>
      <c r="Z3789" s="15"/>
    </row>
    <row r="3790" spans="1:26" x14ac:dyDescent="0.25">
      <c r="A3790" s="15" t="str">
        <f>IF(C3790="","",COUNTA($C$3:C3790))</f>
        <v/>
      </c>
      <c r="B3790" s="15" t="str">
        <f t="shared" si="330"/>
        <v/>
      </c>
      <c r="M3790" s="9"/>
      <c r="N3790" s="9"/>
      <c r="P3790" s="14"/>
      <c r="Q3790" s="85"/>
      <c r="R3790" s="89"/>
      <c r="U3790" s="11" t="str">
        <f t="shared" si="328"/>
        <v/>
      </c>
      <c r="V3790" s="12" t="str">
        <f t="shared" si="329"/>
        <v/>
      </c>
      <c r="Z3790" s="15"/>
    </row>
    <row r="3791" spans="1:26" x14ac:dyDescent="0.25">
      <c r="A3791" s="15" t="str">
        <f>IF(C3791="","",COUNTA($C$3:C3791))</f>
        <v/>
      </c>
      <c r="B3791" s="15" t="str">
        <f t="shared" si="330"/>
        <v/>
      </c>
      <c r="M3791" s="9"/>
      <c r="N3791" s="9"/>
      <c r="P3791" s="14"/>
      <c r="Q3791" s="85"/>
      <c r="R3791" s="89"/>
      <c r="U3791" s="11" t="str">
        <f t="shared" si="328"/>
        <v/>
      </c>
      <c r="V3791" s="12" t="str">
        <f t="shared" si="329"/>
        <v/>
      </c>
      <c r="Z3791" s="15"/>
    </row>
    <row r="3792" spans="1:26" x14ac:dyDescent="0.25">
      <c r="A3792" s="15" t="str">
        <f>IF(C3792="","",COUNTA($C$3:C3792))</f>
        <v/>
      </c>
      <c r="B3792" s="15" t="str">
        <f t="shared" si="330"/>
        <v/>
      </c>
      <c r="M3792" s="9"/>
      <c r="N3792" s="9"/>
      <c r="P3792" s="14"/>
      <c r="Q3792" s="85"/>
      <c r="R3792" s="89"/>
      <c r="U3792" s="11" t="str">
        <f t="shared" si="328"/>
        <v/>
      </c>
      <c r="V3792" s="12" t="str">
        <f t="shared" si="329"/>
        <v/>
      </c>
      <c r="Z3792" s="15"/>
    </row>
    <row r="3793" spans="1:26" x14ac:dyDescent="0.25">
      <c r="A3793" s="15" t="str">
        <f>IF(C3793="","",COUNTA($C$3:C3793))</f>
        <v/>
      </c>
      <c r="B3793" s="15" t="str">
        <f t="shared" si="330"/>
        <v/>
      </c>
      <c r="M3793" s="9"/>
      <c r="N3793" s="9"/>
      <c r="P3793" s="14"/>
      <c r="Q3793" s="85"/>
      <c r="R3793" s="89"/>
      <c r="U3793" s="11" t="str">
        <f t="shared" si="328"/>
        <v/>
      </c>
      <c r="V3793" s="12" t="str">
        <f t="shared" si="329"/>
        <v/>
      </c>
      <c r="Z3793" s="15"/>
    </row>
    <row r="3794" spans="1:26" x14ac:dyDescent="0.25">
      <c r="A3794" s="15" t="str">
        <f>IF(C3794="","",COUNTA($C$3:C3794))</f>
        <v/>
      </c>
      <c r="B3794" s="15" t="str">
        <f t="shared" si="330"/>
        <v/>
      </c>
      <c r="M3794" s="9"/>
      <c r="N3794" s="9"/>
      <c r="P3794" s="14"/>
      <c r="Q3794" s="85"/>
      <c r="R3794" s="89"/>
      <c r="U3794" s="11" t="str">
        <f t="shared" si="328"/>
        <v/>
      </c>
      <c r="V3794" s="12" t="str">
        <f t="shared" si="329"/>
        <v/>
      </c>
      <c r="Z3794" s="15"/>
    </row>
    <row r="3795" spans="1:26" x14ac:dyDescent="0.25">
      <c r="A3795" s="15" t="str">
        <f>IF(C3795="","",COUNTA($C$3:C3795))</f>
        <v/>
      </c>
      <c r="B3795" s="15" t="str">
        <f t="shared" si="330"/>
        <v/>
      </c>
      <c r="M3795" s="9"/>
      <c r="N3795" s="9"/>
      <c r="P3795" s="14"/>
      <c r="Q3795" s="85"/>
      <c r="R3795" s="89"/>
      <c r="U3795" s="11" t="str">
        <f t="shared" si="328"/>
        <v/>
      </c>
      <c r="V3795" s="12" t="str">
        <f t="shared" si="329"/>
        <v/>
      </c>
      <c r="Z3795" s="15"/>
    </row>
    <row r="3796" spans="1:26" x14ac:dyDescent="0.25">
      <c r="A3796" s="15" t="str">
        <f>IF(C3796="","",COUNTA($C$3:C3796))</f>
        <v/>
      </c>
      <c r="B3796" s="15" t="str">
        <f t="shared" si="330"/>
        <v/>
      </c>
      <c r="M3796" s="9"/>
      <c r="N3796" s="9"/>
      <c r="P3796" s="14"/>
      <c r="Q3796" s="85"/>
      <c r="R3796" s="89"/>
      <c r="U3796" s="11" t="str">
        <f t="shared" si="328"/>
        <v/>
      </c>
      <c r="V3796" s="12" t="str">
        <f t="shared" si="329"/>
        <v/>
      </c>
      <c r="Z3796" s="15"/>
    </row>
    <row r="3797" spans="1:26" x14ac:dyDescent="0.25">
      <c r="A3797" s="15" t="str">
        <f>IF(C3797="","",COUNTA($C$3:C3797))</f>
        <v/>
      </c>
      <c r="B3797" s="15" t="str">
        <f t="shared" si="330"/>
        <v/>
      </c>
      <c r="M3797" s="9"/>
      <c r="N3797" s="9"/>
      <c r="P3797" s="14"/>
      <c r="Q3797" s="85"/>
      <c r="R3797" s="89"/>
      <c r="U3797" s="11" t="str">
        <f t="shared" si="328"/>
        <v/>
      </c>
      <c r="V3797" s="12" t="str">
        <f t="shared" si="329"/>
        <v/>
      </c>
      <c r="Z3797" s="15"/>
    </row>
    <row r="3798" spans="1:26" x14ac:dyDescent="0.25">
      <c r="A3798" s="15" t="str">
        <f>IF(C3798="","",COUNTA($C$3:C3798))</f>
        <v/>
      </c>
      <c r="B3798" s="15" t="str">
        <f t="shared" si="330"/>
        <v/>
      </c>
      <c r="M3798" s="9"/>
      <c r="N3798" s="9"/>
      <c r="P3798" s="14"/>
      <c r="Q3798" s="85"/>
      <c r="R3798" s="89"/>
      <c r="U3798" s="11" t="str">
        <f t="shared" si="328"/>
        <v/>
      </c>
      <c r="V3798" s="12" t="str">
        <f t="shared" si="329"/>
        <v/>
      </c>
      <c r="Z3798" s="15"/>
    </row>
    <row r="3799" spans="1:26" x14ac:dyDescent="0.25">
      <c r="A3799" s="15" t="str">
        <f>IF(C3799="","",COUNTA($C$3:C3799))</f>
        <v/>
      </c>
      <c r="B3799" s="15" t="str">
        <f t="shared" si="330"/>
        <v/>
      </c>
      <c r="M3799" s="9"/>
      <c r="N3799" s="9"/>
      <c r="P3799" s="14"/>
      <c r="Q3799" s="85"/>
      <c r="R3799" s="89"/>
      <c r="U3799" s="11" t="str">
        <f t="shared" si="328"/>
        <v/>
      </c>
      <c r="V3799" s="12" t="str">
        <f t="shared" si="329"/>
        <v/>
      </c>
      <c r="Z3799" s="15"/>
    </row>
    <row r="3800" spans="1:26" x14ac:dyDescent="0.25">
      <c r="A3800" s="15" t="str">
        <f>IF(C3800="","",COUNTA($C$3:C3800))</f>
        <v/>
      </c>
      <c r="B3800" s="15" t="str">
        <f t="shared" si="330"/>
        <v/>
      </c>
      <c r="M3800" s="9"/>
      <c r="N3800" s="9"/>
      <c r="P3800" s="14"/>
      <c r="Q3800" s="85"/>
      <c r="R3800" s="89"/>
      <c r="U3800" s="11" t="str">
        <f t="shared" si="328"/>
        <v/>
      </c>
      <c r="V3800" s="12" t="str">
        <f t="shared" si="329"/>
        <v/>
      </c>
      <c r="Z3800" s="15"/>
    </row>
    <row r="3801" spans="1:26" x14ac:dyDescent="0.25">
      <c r="A3801" s="15" t="str">
        <f>IF(C3801="","",COUNTA($C$3:C3801))</f>
        <v/>
      </c>
      <c r="B3801" s="15" t="str">
        <f t="shared" si="330"/>
        <v/>
      </c>
      <c r="M3801" s="9"/>
      <c r="N3801" s="9"/>
      <c r="P3801" s="14"/>
      <c r="Q3801" s="85"/>
      <c r="R3801" s="89"/>
      <c r="U3801" s="11" t="str">
        <f t="shared" si="328"/>
        <v/>
      </c>
      <c r="V3801" s="12" t="str">
        <f t="shared" si="329"/>
        <v/>
      </c>
      <c r="Z3801" s="15"/>
    </row>
    <row r="3802" spans="1:26" x14ac:dyDescent="0.25">
      <c r="A3802" s="15" t="str">
        <f>IF(C3802="","",COUNTA($C$3:C3802))</f>
        <v/>
      </c>
      <c r="B3802" s="15" t="str">
        <f t="shared" si="330"/>
        <v/>
      </c>
      <c r="M3802" s="9"/>
      <c r="N3802" s="9"/>
      <c r="P3802" s="14"/>
      <c r="Q3802" s="85"/>
      <c r="R3802" s="89"/>
      <c r="U3802" s="11" t="str">
        <f t="shared" si="328"/>
        <v/>
      </c>
      <c r="V3802" s="12" t="str">
        <f t="shared" si="329"/>
        <v/>
      </c>
      <c r="Z3802" s="15"/>
    </row>
    <row r="3803" spans="1:26" x14ac:dyDescent="0.25">
      <c r="A3803" s="15" t="str">
        <f>IF(C3803="","",COUNTA($C$3:C3803))</f>
        <v/>
      </c>
      <c r="B3803" s="15" t="str">
        <f t="shared" si="330"/>
        <v/>
      </c>
      <c r="M3803" s="9"/>
      <c r="N3803" s="9"/>
      <c r="P3803" s="14"/>
      <c r="Q3803" s="85"/>
      <c r="R3803" s="89"/>
      <c r="U3803" s="11" t="str">
        <f t="shared" si="328"/>
        <v/>
      </c>
      <c r="V3803" s="12" t="str">
        <f t="shared" si="329"/>
        <v/>
      </c>
      <c r="Z3803" s="15"/>
    </row>
    <row r="3804" spans="1:26" x14ac:dyDescent="0.25">
      <c r="A3804" s="15" t="str">
        <f>IF(C3804="","",COUNTA($C$3:C3804))</f>
        <v/>
      </c>
      <c r="B3804" s="15" t="str">
        <f t="shared" si="330"/>
        <v/>
      </c>
      <c r="M3804" s="9"/>
      <c r="N3804" s="9"/>
      <c r="P3804" s="14"/>
      <c r="Q3804" s="85"/>
      <c r="R3804" s="89"/>
      <c r="U3804" s="11" t="str">
        <f t="shared" si="328"/>
        <v/>
      </c>
      <c r="V3804" s="12" t="str">
        <f t="shared" si="329"/>
        <v/>
      </c>
      <c r="Z3804" s="15"/>
    </row>
    <row r="3805" spans="1:26" x14ac:dyDescent="0.25">
      <c r="A3805" s="15" t="str">
        <f>IF(C3805="","",COUNTA($C$3:C3805))</f>
        <v/>
      </c>
      <c r="B3805" s="15" t="str">
        <f t="shared" si="330"/>
        <v/>
      </c>
      <c r="M3805" s="9"/>
      <c r="N3805" s="9"/>
      <c r="P3805" s="14"/>
      <c r="Q3805" s="85"/>
      <c r="R3805" s="89"/>
      <c r="U3805" s="11" t="str">
        <f t="shared" si="328"/>
        <v/>
      </c>
      <c r="V3805" s="12" t="str">
        <f t="shared" si="329"/>
        <v/>
      </c>
      <c r="Z3805" s="15"/>
    </row>
    <row r="3806" spans="1:26" x14ac:dyDescent="0.25">
      <c r="A3806" s="15" t="str">
        <f>IF(C3806="","",COUNTA($C$3:C3806))</f>
        <v/>
      </c>
      <c r="B3806" s="15" t="str">
        <f t="shared" si="330"/>
        <v/>
      </c>
      <c r="M3806" s="9"/>
      <c r="N3806" s="9"/>
      <c r="P3806" s="14"/>
      <c r="Q3806" s="85"/>
      <c r="R3806" s="89"/>
      <c r="U3806" s="11" t="str">
        <f t="shared" si="328"/>
        <v/>
      </c>
      <c r="V3806" s="12" t="str">
        <f t="shared" si="329"/>
        <v/>
      </c>
      <c r="Z3806" s="15"/>
    </row>
    <row r="3807" spans="1:26" x14ac:dyDescent="0.25">
      <c r="A3807" s="15" t="str">
        <f>IF(C3807="","",COUNTA($C$3:C3807))</f>
        <v/>
      </c>
      <c r="B3807" s="15" t="str">
        <f t="shared" si="330"/>
        <v/>
      </c>
      <c r="M3807" s="9"/>
      <c r="N3807" s="9"/>
      <c r="P3807" s="14"/>
      <c r="Q3807" s="85"/>
      <c r="R3807" s="89"/>
      <c r="U3807" s="11" t="str">
        <f t="shared" si="328"/>
        <v/>
      </c>
      <c r="V3807" s="12" t="str">
        <f t="shared" si="329"/>
        <v/>
      </c>
      <c r="Z3807" s="15"/>
    </row>
    <row r="3808" spans="1:26" x14ac:dyDescent="0.25">
      <c r="A3808" s="15" t="str">
        <f>IF(C3808="","",COUNTA($C$3:C3808))</f>
        <v/>
      </c>
      <c r="B3808" s="15" t="str">
        <f t="shared" si="330"/>
        <v/>
      </c>
      <c r="M3808" s="9"/>
      <c r="N3808" s="9"/>
      <c r="P3808" s="14"/>
      <c r="Q3808" s="85"/>
      <c r="R3808" s="89"/>
      <c r="U3808" s="11" t="str">
        <f t="shared" si="328"/>
        <v/>
      </c>
      <c r="V3808" s="12" t="str">
        <f t="shared" si="329"/>
        <v/>
      </c>
      <c r="Z3808" s="15"/>
    </row>
    <row r="3809" spans="1:26" x14ac:dyDescent="0.25">
      <c r="A3809" s="15" t="str">
        <f>IF(C3809="","",COUNTA($C$3:C3809))</f>
        <v/>
      </c>
      <c r="B3809" s="15" t="str">
        <f t="shared" si="330"/>
        <v/>
      </c>
      <c r="M3809" s="9"/>
      <c r="N3809" s="9"/>
      <c r="P3809" s="14"/>
      <c r="Q3809" s="85"/>
      <c r="R3809" s="89"/>
      <c r="U3809" s="11" t="str">
        <f t="shared" si="328"/>
        <v/>
      </c>
      <c r="V3809" s="12" t="str">
        <f t="shared" si="329"/>
        <v/>
      </c>
      <c r="Z3809" s="15"/>
    </row>
    <row r="3810" spans="1:26" x14ac:dyDescent="0.25">
      <c r="A3810" s="15" t="str">
        <f>IF(C3810="","",COUNTA($C$3:C3810))</f>
        <v/>
      </c>
      <c r="B3810" s="15" t="str">
        <f t="shared" si="330"/>
        <v/>
      </c>
      <c r="M3810" s="9"/>
      <c r="N3810" s="9"/>
      <c r="P3810" s="14"/>
      <c r="Q3810" s="85"/>
      <c r="R3810" s="89"/>
      <c r="U3810" s="11" t="str">
        <f t="shared" si="328"/>
        <v/>
      </c>
      <c r="V3810" s="12" t="str">
        <f t="shared" si="329"/>
        <v/>
      </c>
      <c r="Z3810" s="15"/>
    </row>
    <row r="3811" spans="1:26" x14ac:dyDescent="0.25">
      <c r="A3811" s="15" t="str">
        <f>IF(C3811="","",COUNTA($C$3:C3811))</f>
        <v/>
      </c>
      <c r="B3811" s="15" t="str">
        <f t="shared" si="330"/>
        <v/>
      </c>
      <c r="M3811" s="9"/>
      <c r="N3811" s="9"/>
      <c r="P3811" s="14"/>
      <c r="Q3811" s="85"/>
      <c r="R3811" s="89"/>
      <c r="U3811" s="11" t="str">
        <f t="shared" si="328"/>
        <v/>
      </c>
      <c r="V3811" s="12" t="str">
        <f t="shared" si="329"/>
        <v/>
      </c>
      <c r="Z3811" s="15"/>
    </row>
    <row r="3812" spans="1:26" x14ac:dyDescent="0.25">
      <c r="A3812" s="15" t="str">
        <f>IF(C3812="","",COUNTA($C$3:C3812))</f>
        <v/>
      </c>
      <c r="B3812" s="15" t="str">
        <f t="shared" si="330"/>
        <v/>
      </c>
      <c r="M3812" s="9"/>
      <c r="N3812" s="9"/>
      <c r="P3812" s="14"/>
      <c r="Q3812" s="85"/>
      <c r="R3812" s="89"/>
      <c r="U3812" s="11" t="str">
        <f t="shared" si="328"/>
        <v/>
      </c>
      <c r="V3812" s="12" t="str">
        <f t="shared" si="329"/>
        <v/>
      </c>
      <c r="Z3812" s="15"/>
    </row>
    <row r="3813" spans="1:26" x14ac:dyDescent="0.25">
      <c r="A3813" s="15" t="str">
        <f>IF(C3813="","",COUNTA($C$3:C3813))</f>
        <v/>
      </c>
      <c r="B3813" s="15" t="str">
        <f t="shared" si="330"/>
        <v/>
      </c>
      <c r="M3813" s="9"/>
      <c r="N3813" s="9"/>
      <c r="P3813" s="14"/>
      <c r="Q3813" s="85"/>
      <c r="R3813" s="89"/>
      <c r="U3813" s="11" t="str">
        <f t="shared" si="328"/>
        <v/>
      </c>
      <c r="V3813" s="12" t="str">
        <f t="shared" si="329"/>
        <v/>
      </c>
      <c r="Z3813" s="15"/>
    </row>
    <row r="3814" spans="1:26" x14ac:dyDescent="0.25">
      <c r="A3814" s="15" t="str">
        <f>IF(C3814="","",COUNTA($C$3:C3814))</f>
        <v/>
      </c>
      <c r="B3814" s="15" t="str">
        <f t="shared" si="330"/>
        <v/>
      </c>
      <c r="M3814" s="9"/>
      <c r="N3814" s="9"/>
      <c r="P3814" s="14"/>
      <c r="Q3814" s="85"/>
      <c r="R3814" s="89"/>
      <c r="U3814" s="11" t="str">
        <f t="shared" si="328"/>
        <v/>
      </c>
      <c r="V3814" s="12" t="str">
        <f t="shared" si="329"/>
        <v/>
      </c>
      <c r="Z3814" s="15"/>
    </row>
    <row r="3815" spans="1:26" x14ac:dyDescent="0.25">
      <c r="A3815" s="15" t="str">
        <f>IF(C3815="","",COUNTA($C$3:C3815))</f>
        <v/>
      </c>
      <c r="B3815" s="15" t="str">
        <f t="shared" si="330"/>
        <v/>
      </c>
      <c r="M3815" s="9"/>
      <c r="N3815" s="9"/>
      <c r="P3815" s="14"/>
      <c r="Q3815" s="85"/>
      <c r="R3815" s="89"/>
      <c r="U3815" s="11" t="str">
        <f t="shared" si="328"/>
        <v/>
      </c>
      <c r="V3815" s="12" t="str">
        <f t="shared" si="329"/>
        <v/>
      </c>
      <c r="Z3815" s="15"/>
    </row>
    <row r="3816" spans="1:26" x14ac:dyDescent="0.25">
      <c r="A3816" s="15" t="str">
        <f>IF(C3816="","",COUNTA($C$3:C3816))</f>
        <v/>
      </c>
      <c r="B3816" s="15" t="str">
        <f t="shared" si="330"/>
        <v/>
      </c>
      <c r="M3816" s="9"/>
      <c r="N3816" s="9"/>
      <c r="P3816" s="14"/>
      <c r="Q3816" s="85"/>
      <c r="R3816" s="89"/>
      <c r="U3816" s="11" t="str">
        <f t="shared" si="328"/>
        <v/>
      </c>
      <c r="V3816" s="12" t="str">
        <f t="shared" si="329"/>
        <v/>
      </c>
      <c r="Z3816" s="15"/>
    </row>
    <row r="3817" spans="1:26" x14ac:dyDescent="0.25">
      <c r="A3817" s="15" t="str">
        <f>IF(C3817="","",COUNTA($C$3:C3817))</f>
        <v/>
      </c>
      <c r="B3817" s="15" t="str">
        <f t="shared" si="330"/>
        <v/>
      </c>
      <c r="M3817" s="9"/>
      <c r="N3817" s="9"/>
      <c r="P3817" s="14"/>
      <c r="Q3817" s="85"/>
      <c r="R3817" s="89"/>
      <c r="U3817" s="11" t="str">
        <f t="shared" si="328"/>
        <v/>
      </c>
      <c r="V3817" s="12" t="str">
        <f t="shared" si="329"/>
        <v/>
      </c>
      <c r="Z3817" s="15"/>
    </row>
    <row r="3818" spans="1:26" x14ac:dyDescent="0.25">
      <c r="A3818" s="15" t="str">
        <f>IF(C3818="","",COUNTA($C$3:C3818))</f>
        <v/>
      </c>
      <c r="B3818" s="15" t="str">
        <f t="shared" si="330"/>
        <v/>
      </c>
      <c r="M3818" s="9"/>
      <c r="N3818" s="9"/>
      <c r="P3818" s="14"/>
      <c r="Q3818" s="85"/>
      <c r="R3818" s="89"/>
      <c r="U3818" s="11" t="str">
        <f t="shared" si="328"/>
        <v/>
      </c>
      <c r="V3818" s="12" t="str">
        <f t="shared" si="329"/>
        <v/>
      </c>
      <c r="Z3818" s="15"/>
    </row>
    <row r="3819" spans="1:26" x14ac:dyDescent="0.25">
      <c r="A3819" s="15" t="str">
        <f>IF(C3819="","",COUNTA($C$3:C3819))</f>
        <v/>
      </c>
      <c r="B3819" s="15" t="str">
        <f t="shared" si="330"/>
        <v/>
      </c>
      <c r="M3819" s="9"/>
      <c r="N3819" s="9"/>
      <c r="P3819" s="14"/>
      <c r="Q3819" s="85"/>
      <c r="R3819" s="89"/>
      <c r="U3819" s="11" t="str">
        <f t="shared" si="328"/>
        <v/>
      </c>
      <c r="V3819" s="12" t="str">
        <f t="shared" si="329"/>
        <v/>
      </c>
      <c r="Z3819" s="15"/>
    </row>
    <row r="3820" spans="1:26" x14ac:dyDescent="0.25">
      <c r="A3820" s="15" t="str">
        <f>IF(C3820="","",COUNTA($C$3:C3820))</f>
        <v/>
      </c>
      <c r="B3820" s="15" t="str">
        <f t="shared" si="330"/>
        <v/>
      </c>
      <c r="M3820" s="9"/>
      <c r="N3820" s="9"/>
      <c r="P3820" s="14"/>
      <c r="Q3820" s="85"/>
      <c r="R3820" s="89"/>
      <c r="U3820" s="11" t="str">
        <f t="shared" si="328"/>
        <v/>
      </c>
      <c r="V3820" s="12" t="str">
        <f t="shared" si="329"/>
        <v/>
      </c>
      <c r="Z3820" s="15"/>
    </row>
    <row r="3821" spans="1:26" x14ac:dyDescent="0.25">
      <c r="A3821" s="15" t="str">
        <f>IF(C3821="","",COUNTA($C$3:C3821))</f>
        <v/>
      </c>
      <c r="B3821" s="15" t="str">
        <f t="shared" si="330"/>
        <v/>
      </c>
      <c r="M3821" s="9"/>
      <c r="N3821" s="9"/>
      <c r="P3821" s="14"/>
      <c r="Q3821" s="85"/>
      <c r="R3821" s="89"/>
      <c r="U3821" s="11" t="str">
        <f t="shared" si="328"/>
        <v/>
      </c>
      <c r="V3821" s="12" t="str">
        <f t="shared" si="329"/>
        <v/>
      </c>
      <c r="Z3821" s="15"/>
    </row>
    <row r="3822" spans="1:26" x14ac:dyDescent="0.25">
      <c r="A3822" s="15" t="str">
        <f>IF(C3822="","",COUNTA($C$3:C3822))</f>
        <v/>
      </c>
      <c r="B3822" s="15" t="str">
        <f t="shared" si="330"/>
        <v/>
      </c>
      <c r="M3822" s="9"/>
      <c r="N3822" s="9"/>
      <c r="P3822" s="14"/>
      <c r="Q3822" s="85"/>
      <c r="R3822" s="89"/>
      <c r="U3822" s="11" t="str">
        <f t="shared" si="328"/>
        <v/>
      </c>
      <c r="V3822" s="12" t="str">
        <f t="shared" si="329"/>
        <v/>
      </c>
      <c r="Z3822" s="15"/>
    </row>
    <row r="3823" spans="1:26" x14ac:dyDescent="0.25">
      <c r="A3823" s="15" t="str">
        <f>IF(C3823="","",COUNTA($C$3:C3823))</f>
        <v/>
      </c>
      <c r="B3823" s="15" t="str">
        <f t="shared" si="330"/>
        <v/>
      </c>
      <c r="M3823" s="9"/>
      <c r="N3823" s="9"/>
      <c r="P3823" s="14"/>
      <c r="Q3823" s="85"/>
      <c r="R3823" s="89"/>
      <c r="U3823" s="11" t="str">
        <f t="shared" si="328"/>
        <v/>
      </c>
      <c r="V3823" s="12" t="str">
        <f t="shared" si="329"/>
        <v/>
      </c>
      <c r="Z3823" s="15"/>
    </row>
    <row r="3824" spans="1:26" x14ac:dyDescent="0.25">
      <c r="A3824" s="15" t="str">
        <f>IF(C3824="","",COUNTA($C$3:C3824))</f>
        <v/>
      </c>
      <c r="B3824" s="15" t="str">
        <f t="shared" si="330"/>
        <v/>
      </c>
      <c r="M3824" s="9"/>
      <c r="N3824" s="9"/>
      <c r="P3824" s="14"/>
      <c r="Q3824" s="85"/>
      <c r="R3824" s="89"/>
      <c r="U3824" s="11" t="str">
        <f t="shared" si="328"/>
        <v/>
      </c>
      <c r="V3824" s="12" t="str">
        <f t="shared" si="329"/>
        <v/>
      </c>
      <c r="Z3824" s="15"/>
    </row>
    <row r="3825" spans="1:26" x14ac:dyDescent="0.25">
      <c r="A3825" s="15" t="str">
        <f>IF(C3825="","",COUNTA($C$3:C3825))</f>
        <v/>
      </c>
      <c r="B3825" s="15" t="str">
        <f t="shared" si="330"/>
        <v/>
      </c>
      <c r="M3825" s="9"/>
      <c r="N3825" s="9"/>
      <c r="P3825" s="14"/>
      <c r="Q3825" s="85"/>
      <c r="R3825" s="89"/>
      <c r="U3825" s="11" t="str">
        <f t="shared" si="328"/>
        <v/>
      </c>
      <c r="V3825" s="12" t="str">
        <f t="shared" si="329"/>
        <v/>
      </c>
      <c r="Z3825" s="15"/>
    </row>
    <row r="3826" spans="1:26" x14ac:dyDescent="0.25">
      <c r="A3826" s="15" t="str">
        <f>IF(C3826="","",COUNTA($C$3:C3826))</f>
        <v/>
      </c>
      <c r="B3826" s="15" t="str">
        <f t="shared" si="330"/>
        <v/>
      </c>
      <c r="M3826" s="9"/>
      <c r="N3826" s="9"/>
      <c r="P3826" s="14"/>
      <c r="Q3826" s="85"/>
      <c r="R3826" s="89"/>
      <c r="U3826" s="11" t="str">
        <f t="shared" si="328"/>
        <v/>
      </c>
      <c r="V3826" s="12" t="str">
        <f t="shared" si="329"/>
        <v/>
      </c>
      <c r="Z3826" s="15"/>
    </row>
    <row r="3827" spans="1:26" x14ac:dyDescent="0.25">
      <c r="A3827" s="15" t="str">
        <f>IF(C3827="","",COUNTA($C$3:C3827))</f>
        <v/>
      </c>
      <c r="B3827" s="15" t="str">
        <f t="shared" si="330"/>
        <v/>
      </c>
      <c r="M3827" s="9"/>
      <c r="N3827" s="9"/>
      <c r="P3827" s="14"/>
      <c r="Q3827" s="85"/>
      <c r="R3827" s="89"/>
      <c r="U3827" s="11" t="str">
        <f t="shared" si="328"/>
        <v/>
      </c>
      <c r="V3827" s="12" t="str">
        <f t="shared" si="329"/>
        <v/>
      </c>
      <c r="Z3827" s="15"/>
    </row>
    <row r="3828" spans="1:26" x14ac:dyDescent="0.25">
      <c r="A3828" s="15" t="str">
        <f>IF(C3828="","",COUNTA($C$3:C3828))</f>
        <v/>
      </c>
      <c r="B3828" s="15" t="str">
        <f t="shared" si="330"/>
        <v/>
      </c>
      <c r="M3828" s="9"/>
      <c r="N3828" s="9"/>
      <c r="P3828" s="14"/>
      <c r="Q3828" s="85"/>
      <c r="R3828" s="89"/>
      <c r="U3828" s="11" t="str">
        <f t="shared" si="328"/>
        <v/>
      </c>
      <c r="V3828" s="12" t="str">
        <f t="shared" si="329"/>
        <v/>
      </c>
      <c r="Z3828" s="15"/>
    </row>
    <row r="3829" spans="1:26" x14ac:dyDescent="0.25">
      <c r="A3829" s="15" t="str">
        <f>IF(C3829="","",COUNTA($C$3:C3829))</f>
        <v/>
      </c>
      <c r="B3829" s="15" t="str">
        <f t="shared" si="330"/>
        <v/>
      </c>
      <c r="M3829" s="9"/>
      <c r="N3829" s="9"/>
      <c r="P3829" s="14"/>
      <c r="Q3829" s="85"/>
      <c r="R3829" s="89"/>
      <c r="U3829" s="11" t="str">
        <f t="shared" si="328"/>
        <v/>
      </c>
      <c r="V3829" s="12" t="str">
        <f t="shared" si="329"/>
        <v/>
      </c>
      <c r="Z3829" s="15"/>
    </row>
    <row r="3830" spans="1:26" x14ac:dyDescent="0.25">
      <c r="A3830" s="15" t="str">
        <f>IF(C3830="","",COUNTA($C$3:C3830))</f>
        <v/>
      </c>
      <c r="B3830" s="15" t="str">
        <f t="shared" si="330"/>
        <v/>
      </c>
      <c r="M3830" s="9"/>
      <c r="N3830" s="9"/>
      <c r="P3830" s="14"/>
      <c r="Q3830" s="85"/>
      <c r="R3830" s="89"/>
      <c r="U3830" s="11" t="str">
        <f t="shared" si="328"/>
        <v/>
      </c>
      <c r="V3830" s="12" t="str">
        <f t="shared" si="329"/>
        <v/>
      </c>
      <c r="Z3830" s="15"/>
    </row>
    <row r="3831" spans="1:26" x14ac:dyDescent="0.25">
      <c r="A3831" s="15" t="str">
        <f>IF(C3831="","",COUNTA($C$3:C3831))</f>
        <v/>
      </c>
      <c r="B3831" s="15" t="str">
        <f t="shared" si="330"/>
        <v/>
      </c>
      <c r="M3831" s="9"/>
      <c r="N3831" s="9"/>
      <c r="P3831" s="14"/>
      <c r="Q3831" s="85"/>
      <c r="R3831" s="89"/>
      <c r="U3831" s="11" t="str">
        <f t="shared" si="328"/>
        <v/>
      </c>
      <c r="V3831" s="12" t="str">
        <f t="shared" si="329"/>
        <v/>
      </c>
      <c r="Z3831" s="15"/>
    </row>
    <row r="3832" spans="1:26" x14ac:dyDescent="0.25">
      <c r="A3832" s="15" t="str">
        <f>IF(C3832="","",COUNTA($C$3:C3832))</f>
        <v/>
      </c>
      <c r="B3832" s="15" t="str">
        <f t="shared" si="330"/>
        <v/>
      </c>
      <c r="M3832" s="9"/>
      <c r="N3832" s="9"/>
      <c r="P3832" s="14"/>
      <c r="Q3832" s="85"/>
      <c r="R3832" s="89"/>
      <c r="U3832" s="11" t="str">
        <f t="shared" si="328"/>
        <v/>
      </c>
      <c r="V3832" s="12" t="str">
        <f t="shared" si="329"/>
        <v/>
      </c>
      <c r="Z3832" s="15"/>
    </row>
    <row r="3833" spans="1:26" x14ac:dyDescent="0.25">
      <c r="A3833" s="15" t="str">
        <f>IF(C3833="","",COUNTA($C$3:C3833))</f>
        <v/>
      </c>
      <c r="B3833" s="15" t="str">
        <f t="shared" si="330"/>
        <v/>
      </c>
      <c r="M3833" s="9"/>
      <c r="N3833" s="9"/>
      <c r="P3833" s="14"/>
      <c r="Q3833" s="85"/>
      <c r="R3833" s="89"/>
      <c r="U3833" s="11" t="str">
        <f t="shared" si="328"/>
        <v/>
      </c>
      <c r="V3833" s="12" t="str">
        <f t="shared" si="329"/>
        <v/>
      </c>
      <c r="Z3833" s="15"/>
    </row>
    <row r="3834" spans="1:26" x14ac:dyDescent="0.25">
      <c r="A3834" s="15" t="str">
        <f>IF(C3834="","",COUNTA($C$3:C3834))</f>
        <v/>
      </c>
      <c r="B3834" s="15" t="str">
        <f t="shared" si="330"/>
        <v/>
      </c>
      <c r="M3834" s="9"/>
      <c r="N3834" s="9"/>
      <c r="P3834" s="14"/>
      <c r="Q3834" s="85"/>
      <c r="R3834" s="89"/>
      <c r="U3834" s="11" t="str">
        <f t="shared" si="328"/>
        <v/>
      </c>
      <c r="V3834" s="12" t="str">
        <f t="shared" si="329"/>
        <v/>
      </c>
      <c r="Z3834" s="15"/>
    </row>
    <row r="3835" spans="1:26" x14ac:dyDescent="0.25">
      <c r="A3835" s="15" t="str">
        <f>IF(C3835="","",COUNTA($C$3:C3835))</f>
        <v/>
      </c>
      <c r="B3835" s="15" t="str">
        <f t="shared" si="330"/>
        <v/>
      </c>
      <c r="M3835" s="9"/>
      <c r="N3835" s="9"/>
      <c r="P3835" s="14"/>
      <c r="Q3835" s="85"/>
      <c r="R3835" s="89"/>
      <c r="U3835" s="11" t="str">
        <f t="shared" si="328"/>
        <v/>
      </c>
      <c r="V3835" s="12" t="str">
        <f t="shared" si="329"/>
        <v/>
      </c>
      <c r="Z3835" s="15"/>
    </row>
    <row r="3836" spans="1:26" x14ac:dyDescent="0.25">
      <c r="A3836" s="15" t="str">
        <f>IF(C3836="","",COUNTA($C$3:C3836))</f>
        <v/>
      </c>
      <c r="B3836" s="15" t="str">
        <f t="shared" si="330"/>
        <v/>
      </c>
      <c r="M3836" s="9"/>
      <c r="N3836" s="9"/>
      <c r="P3836" s="14"/>
      <c r="Q3836" s="85"/>
      <c r="R3836" s="89"/>
      <c r="U3836" s="11" t="str">
        <f t="shared" si="328"/>
        <v/>
      </c>
      <c r="V3836" s="12" t="str">
        <f t="shared" si="329"/>
        <v/>
      </c>
      <c r="Z3836" s="15"/>
    </row>
    <row r="3837" spans="1:26" x14ac:dyDescent="0.25">
      <c r="A3837" s="15" t="str">
        <f>IF(C3837="","",COUNTA($C$3:C3837))</f>
        <v/>
      </c>
      <c r="B3837" s="15" t="str">
        <f t="shared" si="330"/>
        <v/>
      </c>
      <c r="M3837" s="9"/>
      <c r="N3837" s="9"/>
      <c r="P3837" s="14"/>
      <c r="Q3837" s="85"/>
      <c r="R3837" s="89"/>
      <c r="U3837" s="11" t="str">
        <f t="shared" si="328"/>
        <v/>
      </c>
      <c r="V3837" s="12" t="str">
        <f t="shared" si="329"/>
        <v/>
      </c>
      <c r="Z3837" s="15"/>
    </row>
    <row r="3838" spans="1:26" x14ac:dyDescent="0.25">
      <c r="A3838" s="15" t="str">
        <f>IF(C3838="","",COUNTA($C$3:C3838))</f>
        <v/>
      </c>
      <c r="B3838" s="15" t="str">
        <f t="shared" si="330"/>
        <v/>
      </c>
      <c r="M3838" s="9"/>
      <c r="N3838" s="9"/>
      <c r="P3838" s="14"/>
      <c r="Q3838" s="85"/>
      <c r="R3838" s="89"/>
      <c r="U3838" s="11" t="str">
        <f t="shared" si="328"/>
        <v/>
      </c>
      <c r="V3838" s="12" t="str">
        <f t="shared" si="329"/>
        <v/>
      </c>
      <c r="Z3838" s="15"/>
    </row>
    <row r="3839" spans="1:26" x14ac:dyDescent="0.25">
      <c r="A3839" s="15" t="str">
        <f>IF(C3839="","",COUNTA($C$3:C3839))</f>
        <v/>
      </c>
      <c r="B3839" s="15" t="str">
        <f t="shared" si="330"/>
        <v/>
      </c>
      <c r="M3839" s="9"/>
      <c r="N3839" s="9"/>
      <c r="P3839" s="14"/>
      <c r="Q3839" s="85"/>
      <c r="R3839" s="89"/>
      <c r="U3839" s="11" t="str">
        <f t="shared" si="328"/>
        <v/>
      </c>
      <c r="V3839" s="12" t="str">
        <f t="shared" si="329"/>
        <v/>
      </c>
      <c r="Z3839" s="15"/>
    </row>
    <row r="3840" spans="1:26" x14ac:dyDescent="0.25">
      <c r="A3840" s="15" t="str">
        <f>IF(C3840="","",COUNTA($C$3:C3840))</f>
        <v/>
      </c>
      <c r="B3840" s="15" t="str">
        <f t="shared" si="330"/>
        <v/>
      </c>
      <c r="M3840" s="9"/>
      <c r="N3840" s="9"/>
      <c r="P3840" s="14"/>
      <c r="Q3840" s="85"/>
      <c r="R3840" s="89"/>
      <c r="U3840" s="11" t="str">
        <f t="shared" si="328"/>
        <v/>
      </c>
      <c r="V3840" s="12" t="str">
        <f t="shared" si="329"/>
        <v/>
      </c>
      <c r="Z3840" s="15"/>
    </row>
    <row r="3841" spans="1:26" x14ac:dyDescent="0.25">
      <c r="A3841" s="15" t="str">
        <f>IF(C3841="","",COUNTA($C$3:C3841))</f>
        <v/>
      </c>
      <c r="B3841" s="15" t="str">
        <f t="shared" si="330"/>
        <v/>
      </c>
      <c r="M3841" s="9"/>
      <c r="N3841" s="9"/>
      <c r="P3841" s="14"/>
      <c r="Q3841" s="85"/>
      <c r="R3841" s="89"/>
      <c r="U3841" s="11" t="str">
        <f t="shared" si="328"/>
        <v/>
      </c>
      <c r="V3841" s="12" t="str">
        <f t="shared" si="329"/>
        <v/>
      </c>
      <c r="Z3841" s="15"/>
    </row>
    <row r="3842" spans="1:26" x14ac:dyDescent="0.25">
      <c r="A3842" s="15" t="str">
        <f>IF(C3842="","",COUNTA($C$3:C3842))</f>
        <v/>
      </c>
      <c r="B3842" s="15" t="str">
        <f t="shared" si="330"/>
        <v/>
      </c>
      <c r="M3842" s="9"/>
      <c r="N3842" s="9"/>
      <c r="P3842" s="14"/>
      <c r="Q3842" s="85"/>
      <c r="R3842" s="89"/>
      <c r="U3842" s="11" t="str">
        <f t="shared" ref="U3842:U3905" si="331">IF(S3842="","",(S3842-T3842))</f>
        <v/>
      </c>
      <c r="V3842" s="12" t="str">
        <f t="shared" ref="V3842:V3905" si="332">IF(U3842="","",(U3842/T3842))</f>
        <v/>
      </c>
      <c r="Z3842" s="15"/>
    </row>
    <row r="3843" spans="1:26" x14ac:dyDescent="0.25">
      <c r="A3843" s="15" t="str">
        <f>IF(C3843="","",COUNTA($C$3:C3843))</f>
        <v/>
      </c>
      <c r="B3843" s="15" t="str">
        <f t="shared" ref="B3843:B3906" si="333">IF(C3843="","",TEXT(C3843,"mmmm"))</f>
        <v/>
      </c>
      <c r="M3843" s="9"/>
      <c r="N3843" s="9"/>
      <c r="P3843" s="14"/>
      <c r="Q3843" s="85"/>
      <c r="R3843" s="89"/>
      <c r="U3843" s="11" t="str">
        <f t="shared" si="331"/>
        <v/>
      </c>
      <c r="V3843" s="12" t="str">
        <f t="shared" si="332"/>
        <v/>
      </c>
      <c r="Z3843" s="15"/>
    </row>
    <row r="3844" spans="1:26" x14ac:dyDescent="0.25">
      <c r="A3844" s="15" t="str">
        <f>IF(C3844="","",COUNTA($C$3:C3844))</f>
        <v/>
      </c>
      <c r="B3844" s="15" t="str">
        <f t="shared" si="333"/>
        <v/>
      </c>
      <c r="M3844" s="9"/>
      <c r="N3844" s="9"/>
      <c r="P3844" s="14"/>
      <c r="Q3844" s="85"/>
      <c r="R3844" s="89"/>
      <c r="U3844" s="11" t="str">
        <f t="shared" si="331"/>
        <v/>
      </c>
      <c r="V3844" s="12" t="str">
        <f t="shared" si="332"/>
        <v/>
      </c>
      <c r="Z3844" s="15"/>
    </row>
    <row r="3845" spans="1:26" x14ac:dyDescent="0.25">
      <c r="A3845" s="15" t="str">
        <f>IF(C3845="","",COUNTA($C$3:C3845))</f>
        <v/>
      </c>
      <c r="B3845" s="15" t="str">
        <f t="shared" si="333"/>
        <v/>
      </c>
      <c r="M3845" s="9"/>
      <c r="N3845" s="9"/>
      <c r="P3845" s="14"/>
      <c r="Q3845" s="85"/>
      <c r="R3845" s="89"/>
      <c r="U3845" s="11" t="str">
        <f t="shared" si="331"/>
        <v/>
      </c>
      <c r="V3845" s="12" t="str">
        <f t="shared" si="332"/>
        <v/>
      </c>
      <c r="Z3845" s="15"/>
    </row>
    <row r="3846" spans="1:26" x14ac:dyDescent="0.25">
      <c r="A3846" s="15" t="str">
        <f>IF(C3846="","",COUNTA($C$3:C3846))</f>
        <v/>
      </c>
      <c r="B3846" s="15" t="str">
        <f t="shared" si="333"/>
        <v/>
      </c>
      <c r="M3846" s="9"/>
      <c r="N3846" s="9"/>
      <c r="P3846" s="14"/>
      <c r="Q3846" s="85"/>
      <c r="R3846" s="89"/>
      <c r="U3846" s="11" t="str">
        <f t="shared" si="331"/>
        <v/>
      </c>
      <c r="V3846" s="12" t="str">
        <f t="shared" si="332"/>
        <v/>
      </c>
      <c r="Z3846" s="15"/>
    </row>
    <row r="3847" spans="1:26" x14ac:dyDescent="0.25">
      <c r="A3847" s="15" t="str">
        <f>IF(C3847="","",COUNTA($C$3:C3847))</f>
        <v/>
      </c>
      <c r="B3847" s="15" t="str">
        <f t="shared" si="333"/>
        <v/>
      </c>
      <c r="M3847" s="9"/>
      <c r="N3847" s="9"/>
      <c r="P3847" s="14"/>
      <c r="Q3847" s="85"/>
      <c r="R3847" s="89"/>
      <c r="U3847" s="11" t="str">
        <f t="shared" si="331"/>
        <v/>
      </c>
      <c r="V3847" s="12" t="str">
        <f t="shared" si="332"/>
        <v/>
      </c>
      <c r="Z3847" s="15"/>
    </row>
    <row r="3848" spans="1:26" x14ac:dyDescent="0.25">
      <c r="A3848" s="15" t="str">
        <f>IF(C3848="","",COUNTA($C$3:C3848))</f>
        <v/>
      </c>
      <c r="B3848" s="15" t="str">
        <f t="shared" si="333"/>
        <v/>
      </c>
      <c r="M3848" s="9"/>
      <c r="N3848" s="9"/>
      <c r="P3848" s="14"/>
      <c r="Q3848" s="85"/>
      <c r="R3848" s="89"/>
      <c r="U3848" s="11" t="str">
        <f t="shared" si="331"/>
        <v/>
      </c>
      <c r="V3848" s="12" t="str">
        <f t="shared" si="332"/>
        <v/>
      </c>
      <c r="Z3848" s="15"/>
    </row>
    <row r="3849" spans="1:26" x14ac:dyDescent="0.25">
      <c r="A3849" s="15" t="str">
        <f>IF(C3849="","",COUNTA($C$3:C3849))</f>
        <v/>
      </c>
      <c r="B3849" s="15" t="str">
        <f t="shared" si="333"/>
        <v/>
      </c>
      <c r="M3849" s="9"/>
      <c r="N3849" s="9"/>
      <c r="P3849" s="14"/>
      <c r="Q3849" s="85"/>
      <c r="R3849" s="89"/>
      <c r="U3849" s="11" t="str">
        <f t="shared" si="331"/>
        <v/>
      </c>
      <c r="V3849" s="12" t="str">
        <f t="shared" si="332"/>
        <v/>
      </c>
      <c r="Z3849" s="15"/>
    </row>
    <row r="3850" spans="1:26" x14ac:dyDescent="0.25">
      <c r="A3850" s="15" t="str">
        <f>IF(C3850="","",COUNTA($C$3:C3850))</f>
        <v/>
      </c>
      <c r="B3850" s="15" t="str">
        <f t="shared" si="333"/>
        <v/>
      </c>
      <c r="M3850" s="9"/>
      <c r="N3850" s="9"/>
      <c r="P3850" s="14"/>
      <c r="Q3850" s="85"/>
      <c r="R3850" s="89"/>
      <c r="U3850" s="11" t="str">
        <f t="shared" si="331"/>
        <v/>
      </c>
      <c r="V3850" s="12" t="str">
        <f t="shared" si="332"/>
        <v/>
      </c>
      <c r="Z3850" s="15"/>
    </row>
    <row r="3851" spans="1:26" x14ac:dyDescent="0.25">
      <c r="A3851" s="15" t="str">
        <f>IF(C3851="","",COUNTA($C$3:C3851))</f>
        <v/>
      </c>
      <c r="B3851" s="15" t="str">
        <f t="shared" si="333"/>
        <v/>
      </c>
      <c r="M3851" s="9"/>
      <c r="N3851" s="9"/>
      <c r="P3851" s="14"/>
      <c r="Q3851" s="85"/>
      <c r="R3851" s="89"/>
      <c r="U3851" s="11" t="str">
        <f t="shared" si="331"/>
        <v/>
      </c>
      <c r="V3851" s="12" t="str">
        <f t="shared" si="332"/>
        <v/>
      </c>
      <c r="Z3851" s="15"/>
    </row>
    <row r="3852" spans="1:26" x14ac:dyDescent="0.25">
      <c r="A3852" s="15" t="str">
        <f>IF(C3852="","",COUNTA($C$3:C3852))</f>
        <v/>
      </c>
      <c r="B3852" s="15" t="str">
        <f t="shared" si="333"/>
        <v/>
      </c>
      <c r="M3852" s="9"/>
      <c r="N3852" s="9"/>
      <c r="P3852" s="14"/>
      <c r="Q3852" s="85"/>
      <c r="R3852" s="89"/>
      <c r="U3852" s="11" t="str">
        <f t="shared" si="331"/>
        <v/>
      </c>
      <c r="V3852" s="12" t="str">
        <f t="shared" si="332"/>
        <v/>
      </c>
      <c r="Z3852" s="15"/>
    </row>
    <row r="3853" spans="1:26" x14ac:dyDescent="0.25">
      <c r="A3853" s="15" t="str">
        <f>IF(C3853="","",COUNTA($C$3:C3853))</f>
        <v/>
      </c>
      <c r="B3853" s="15" t="str">
        <f t="shared" si="333"/>
        <v/>
      </c>
      <c r="M3853" s="9"/>
      <c r="N3853" s="9"/>
      <c r="P3853" s="14"/>
      <c r="Q3853" s="85"/>
      <c r="R3853" s="89"/>
      <c r="U3853" s="11" t="str">
        <f t="shared" si="331"/>
        <v/>
      </c>
      <c r="V3853" s="12" t="str">
        <f t="shared" si="332"/>
        <v/>
      </c>
      <c r="Z3853" s="15"/>
    </row>
    <row r="3854" spans="1:26" x14ac:dyDescent="0.25">
      <c r="A3854" s="15" t="str">
        <f>IF(C3854="","",COUNTA($C$3:C3854))</f>
        <v/>
      </c>
      <c r="B3854" s="15" t="str">
        <f t="shared" si="333"/>
        <v/>
      </c>
      <c r="M3854" s="9"/>
      <c r="N3854" s="9"/>
      <c r="P3854" s="14"/>
      <c r="Q3854" s="85"/>
      <c r="R3854" s="89"/>
      <c r="U3854" s="11" t="str">
        <f t="shared" si="331"/>
        <v/>
      </c>
      <c r="V3854" s="12" t="str">
        <f t="shared" si="332"/>
        <v/>
      </c>
      <c r="Z3854" s="15"/>
    </row>
    <row r="3855" spans="1:26" x14ac:dyDescent="0.25">
      <c r="A3855" s="15" t="str">
        <f>IF(C3855="","",COUNTA($C$3:C3855))</f>
        <v/>
      </c>
      <c r="B3855" s="15" t="str">
        <f t="shared" si="333"/>
        <v/>
      </c>
      <c r="M3855" s="9"/>
      <c r="N3855" s="9"/>
      <c r="P3855" s="14"/>
      <c r="Q3855" s="85"/>
      <c r="R3855" s="89"/>
      <c r="U3855" s="11" t="str">
        <f t="shared" si="331"/>
        <v/>
      </c>
      <c r="V3855" s="12" t="str">
        <f t="shared" si="332"/>
        <v/>
      </c>
      <c r="Z3855" s="15"/>
    </row>
    <row r="3856" spans="1:26" x14ac:dyDescent="0.25">
      <c r="A3856" s="15" t="str">
        <f>IF(C3856="","",COUNTA($C$3:C3856))</f>
        <v/>
      </c>
      <c r="B3856" s="15" t="str">
        <f t="shared" si="333"/>
        <v/>
      </c>
      <c r="M3856" s="9"/>
      <c r="N3856" s="9"/>
      <c r="P3856" s="14"/>
      <c r="Q3856" s="85"/>
      <c r="R3856" s="89"/>
      <c r="U3856" s="11" t="str">
        <f t="shared" si="331"/>
        <v/>
      </c>
      <c r="V3856" s="12" t="str">
        <f t="shared" si="332"/>
        <v/>
      </c>
      <c r="Z3856" s="15"/>
    </row>
    <row r="3857" spans="1:26" x14ac:dyDescent="0.25">
      <c r="A3857" s="15" t="str">
        <f>IF(C3857="","",COUNTA($C$3:C3857))</f>
        <v/>
      </c>
      <c r="B3857" s="15" t="str">
        <f t="shared" si="333"/>
        <v/>
      </c>
      <c r="M3857" s="9"/>
      <c r="N3857" s="9"/>
      <c r="P3857" s="14"/>
      <c r="Q3857" s="85"/>
      <c r="R3857" s="89"/>
      <c r="U3857" s="11" t="str">
        <f t="shared" si="331"/>
        <v/>
      </c>
      <c r="V3857" s="12" t="str">
        <f t="shared" si="332"/>
        <v/>
      </c>
      <c r="Z3857" s="15"/>
    </row>
    <row r="3858" spans="1:26" x14ac:dyDescent="0.25">
      <c r="A3858" s="15" t="str">
        <f>IF(C3858="","",COUNTA($C$3:C3858))</f>
        <v/>
      </c>
      <c r="B3858" s="15" t="str">
        <f t="shared" si="333"/>
        <v/>
      </c>
      <c r="M3858" s="9"/>
      <c r="N3858" s="9"/>
      <c r="P3858" s="14"/>
      <c r="Q3858" s="85"/>
      <c r="R3858" s="89"/>
      <c r="U3858" s="11" t="str">
        <f t="shared" si="331"/>
        <v/>
      </c>
      <c r="V3858" s="12" t="str">
        <f t="shared" si="332"/>
        <v/>
      </c>
      <c r="Z3858" s="15"/>
    </row>
    <row r="3859" spans="1:26" x14ac:dyDescent="0.25">
      <c r="A3859" s="15" t="str">
        <f>IF(C3859="","",COUNTA($C$3:C3859))</f>
        <v/>
      </c>
      <c r="B3859" s="15" t="str">
        <f t="shared" si="333"/>
        <v/>
      </c>
      <c r="M3859" s="9"/>
      <c r="N3859" s="9"/>
      <c r="P3859" s="14"/>
      <c r="Q3859" s="85"/>
      <c r="R3859" s="89"/>
      <c r="U3859" s="11" t="str">
        <f t="shared" si="331"/>
        <v/>
      </c>
      <c r="V3859" s="12" t="str">
        <f t="shared" si="332"/>
        <v/>
      </c>
      <c r="Z3859" s="15"/>
    </row>
    <row r="3860" spans="1:26" x14ac:dyDescent="0.25">
      <c r="A3860" s="15" t="str">
        <f>IF(C3860="","",COUNTA($C$3:C3860))</f>
        <v/>
      </c>
      <c r="B3860" s="15" t="str">
        <f t="shared" si="333"/>
        <v/>
      </c>
      <c r="M3860" s="9"/>
      <c r="N3860" s="9"/>
      <c r="P3860" s="14"/>
      <c r="Q3860" s="85"/>
      <c r="R3860" s="89"/>
      <c r="U3860" s="11" t="str">
        <f t="shared" si="331"/>
        <v/>
      </c>
      <c r="V3860" s="12" t="str">
        <f t="shared" si="332"/>
        <v/>
      </c>
      <c r="Z3860" s="15"/>
    </row>
    <row r="3861" spans="1:26" x14ac:dyDescent="0.25">
      <c r="A3861" s="15" t="str">
        <f>IF(C3861="","",COUNTA($C$3:C3861))</f>
        <v/>
      </c>
      <c r="B3861" s="15" t="str">
        <f t="shared" si="333"/>
        <v/>
      </c>
      <c r="M3861" s="9"/>
      <c r="N3861" s="9"/>
      <c r="P3861" s="14"/>
      <c r="Q3861" s="85"/>
      <c r="R3861" s="89"/>
      <c r="U3861" s="11" t="str">
        <f t="shared" si="331"/>
        <v/>
      </c>
      <c r="V3861" s="12" t="str">
        <f t="shared" si="332"/>
        <v/>
      </c>
      <c r="Z3861" s="15"/>
    </row>
    <row r="3862" spans="1:26" x14ac:dyDescent="0.25">
      <c r="A3862" s="15" t="str">
        <f>IF(C3862="","",COUNTA($C$3:C3862))</f>
        <v/>
      </c>
      <c r="B3862" s="15" t="str">
        <f t="shared" si="333"/>
        <v/>
      </c>
      <c r="M3862" s="9"/>
      <c r="N3862" s="9"/>
      <c r="P3862" s="14"/>
      <c r="Q3862" s="85"/>
      <c r="R3862" s="89"/>
      <c r="U3862" s="11" t="str">
        <f t="shared" si="331"/>
        <v/>
      </c>
      <c r="V3862" s="12" t="str">
        <f t="shared" si="332"/>
        <v/>
      </c>
      <c r="Z3862" s="15"/>
    </row>
    <row r="3863" spans="1:26" x14ac:dyDescent="0.25">
      <c r="A3863" s="15" t="str">
        <f>IF(C3863="","",COUNTA($C$3:C3863))</f>
        <v/>
      </c>
      <c r="B3863" s="15" t="str">
        <f t="shared" si="333"/>
        <v/>
      </c>
      <c r="M3863" s="9"/>
      <c r="N3863" s="9"/>
      <c r="P3863" s="14"/>
      <c r="Q3863" s="85"/>
      <c r="R3863" s="89"/>
      <c r="U3863" s="11" t="str">
        <f t="shared" si="331"/>
        <v/>
      </c>
      <c r="V3863" s="12" t="str">
        <f t="shared" si="332"/>
        <v/>
      </c>
      <c r="Z3863" s="15"/>
    </row>
    <row r="3864" spans="1:26" x14ac:dyDescent="0.25">
      <c r="A3864" s="15" t="str">
        <f>IF(C3864="","",COUNTA($C$3:C3864))</f>
        <v/>
      </c>
      <c r="B3864" s="15" t="str">
        <f t="shared" si="333"/>
        <v/>
      </c>
      <c r="M3864" s="9"/>
      <c r="N3864" s="9"/>
      <c r="P3864" s="14"/>
      <c r="Q3864" s="85"/>
      <c r="R3864" s="89"/>
      <c r="U3864" s="11" t="str">
        <f t="shared" si="331"/>
        <v/>
      </c>
      <c r="V3864" s="12" t="str">
        <f t="shared" si="332"/>
        <v/>
      </c>
      <c r="Z3864" s="15"/>
    </row>
    <row r="3865" spans="1:26" x14ac:dyDescent="0.25">
      <c r="A3865" s="15" t="str">
        <f>IF(C3865="","",COUNTA($C$3:C3865))</f>
        <v/>
      </c>
      <c r="B3865" s="15" t="str">
        <f t="shared" si="333"/>
        <v/>
      </c>
      <c r="M3865" s="9"/>
      <c r="N3865" s="9"/>
      <c r="P3865" s="14"/>
      <c r="Q3865" s="85"/>
      <c r="R3865" s="89"/>
      <c r="U3865" s="11" t="str">
        <f t="shared" si="331"/>
        <v/>
      </c>
      <c r="V3865" s="12" t="str">
        <f t="shared" si="332"/>
        <v/>
      </c>
      <c r="Z3865" s="15"/>
    </row>
    <row r="3866" spans="1:26" x14ac:dyDescent="0.25">
      <c r="A3866" s="15" t="str">
        <f>IF(C3866="","",COUNTA($C$3:C3866))</f>
        <v/>
      </c>
      <c r="B3866" s="15" t="str">
        <f t="shared" si="333"/>
        <v/>
      </c>
      <c r="M3866" s="9"/>
      <c r="N3866" s="9"/>
      <c r="P3866" s="14"/>
      <c r="Q3866" s="85"/>
      <c r="R3866" s="89"/>
      <c r="U3866" s="11" t="str">
        <f t="shared" si="331"/>
        <v/>
      </c>
      <c r="V3866" s="12" t="str">
        <f t="shared" si="332"/>
        <v/>
      </c>
      <c r="Z3866" s="15"/>
    </row>
    <row r="3867" spans="1:26" x14ac:dyDescent="0.25">
      <c r="A3867" s="15" t="str">
        <f>IF(C3867="","",COUNTA($C$3:C3867))</f>
        <v/>
      </c>
      <c r="B3867" s="15" t="str">
        <f t="shared" si="333"/>
        <v/>
      </c>
      <c r="M3867" s="9"/>
      <c r="N3867" s="9"/>
      <c r="P3867" s="14"/>
      <c r="Q3867" s="85"/>
      <c r="R3867" s="89"/>
      <c r="U3867" s="11" t="str">
        <f t="shared" si="331"/>
        <v/>
      </c>
      <c r="V3867" s="12" t="str">
        <f t="shared" si="332"/>
        <v/>
      </c>
      <c r="Z3867" s="15"/>
    </row>
    <row r="3868" spans="1:26" x14ac:dyDescent="0.25">
      <c r="A3868" s="15" t="str">
        <f>IF(C3868="","",COUNTA($C$3:C3868))</f>
        <v/>
      </c>
      <c r="B3868" s="15" t="str">
        <f t="shared" si="333"/>
        <v/>
      </c>
      <c r="M3868" s="9"/>
      <c r="N3868" s="9"/>
      <c r="P3868" s="14"/>
      <c r="Q3868" s="85"/>
      <c r="R3868" s="89"/>
      <c r="U3868" s="11" t="str">
        <f t="shared" si="331"/>
        <v/>
      </c>
      <c r="V3868" s="12" t="str">
        <f t="shared" si="332"/>
        <v/>
      </c>
      <c r="Z3868" s="15"/>
    </row>
    <row r="3869" spans="1:26" x14ac:dyDescent="0.25">
      <c r="A3869" s="15" t="str">
        <f>IF(C3869="","",COUNTA($C$3:C3869))</f>
        <v/>
      </c>
      <c r="B3869" s="15" t="str">
        <f t="shared" si="333"/>
        <v/>
      </c>
      <c r="M3869" s="9"/>
      <c r="N3869" s="9"/>
      <c r="P3869" s="14"/>
      <c r="Q3869" s="85"/>
      <c r="R3869" s="89"/>
      <c r="U3869" s="11" t="str">
        <f t="shared" si="331"/>
        <v/>
      </c>
      <c r="V3869" s="12" t="str">
        <f t="shared" si="332"/>
        <v/>
      </c>
      <c r="Z3869" s="15"/>
    </row>
    <row r="3870" spans="1:26" x14ac:dyDescent="0.25">
      <c r="A3870" s="15" t="str">
        <f>IF(C3870="","",COUNTA($C$3:C3870))</f>
        <v/>
      </c>
      <c r="B3870" s="15" t="str">
        <f t="shared" si="333"/>
        <v/>
      </c>
      <c r="M3870" s="9"/>
      <c r="N3870" s="9"/>
      <c r="P3870" s="14"/>
      <c r="Q3870" s="85"/>
      <c r="R3870" s="89"/>
      <c r="U3870" s="11" t="str">
        <f t="shared" si="331"/>
        <v/>
      </c>
      <c r="V3870" s="12" t="str">
        <f t="shared" si="332"/>
        <v/>
      </c>
      <c r="Z3870" s="15"/>
    </row>
    <row r="3871" spans="1:26" x14ac:dyDescent="0.25">
      <c r="A3871" s="15" t="str">
        <f>IF(C3871="","",COUNTA($C$3:C3871))</f>
        <v/>
      </c>
      <c r="B3871" s="15" t="str">
        <f t="shared" si="333"/>
        <v/>
      </c>
      <c r="M3871" s="9"/>
      <c r="N3871" s="9"/>
      <c r="P3871" s="14"/>
      <c r="Q3871" s="85"/>
      <c r="R3871" s="89"/>
      <c r="U3871" s="11" t="str">
        <f t="shared" si="331"/>
        <v/>
      </c>
      <c r="V3871" s="12" t="str">
        <f t="shared" si="332"/>
        <v/>
      </c>
      <c r="Z3871" s="15"/>
    </row>
    <row r="3872" spans="1:26" x14ac:dyDescent="0.25">
      <c r="A3872" s="15" t="str">
        <f>IF(C3872="","",COUNTA($C$3:C3872))</f>
        <v/>
      </c>
      <c r="B3872" s="15" t="str">
        <f t="shared" si="333"/>
        <v/>
      </c>
      <c r="M3872" s="9"/>
      <c r="N3872" s="9"/>
      <c r="P3872" s="14"/>
      <c r="Q3872" s="85"/>
      <c r="R3872" s="89"/>
      <c r="U3872" s="11" t="str">
        <f t="shared" si="331"/>
        <v/>
      </c>
      <c r="V3872" s="12" t="str">
        <f t="shared" si="332"/>
        <v/>
      </c>
      <c r="Z3872" s="15"/>
    </row>
    <row r="3873" spans="1:26" x14ac:dyDescent="0.25">
      <c r="A3873" s="15" t="str">
        <f>IF(C3873="","",COUNTA($C$3:C3873))</f>
        <v/>
      </c>
      <c r="B3873" s="15" t="str">
        <f t="shared" si="333"/>
        <v/>
      </c>
      <c r="M3873" s="9"/>
      <c r="N3873" s="9"/>
      <c r="P3873" s="14"/>
      <c r="Q3873" s="85"/>
      <c r="R3873" s="89"/>
      <c r="U3873" s="11" t="str">
        <f t="shared" si="331"/>
        <v/>
      </c>
      <c r="V3873" s="12" t="str">
        <f t="shared" si="332"/>
        <v/>
      </c>
      <c r="Z3873" s="15"/>
    </row>
    <row r="3874" spans="1:26" x14ac:dyDescent="0.25">
      <c r="A3874" s="15" t="str">
        <f>IF(C3874="","",COUNTA($C$3:C3874))</f>
        <v/>
      </c>
      <c r="B3874" s="15" t="str">
        <f t="shared" si="333"/>
        <v/>
      </c>
      <c r="M3874" s="9"/>
      <c r="N3874" s="9"/>
      <c r="P3874" s="14"/>
      <c r="Q3874" s="85"/>
      <c r="R3874" s="89"/>
      <c r="U3874" s="11" t="str">
        <f t="shared" si="331"/>
        <v/>
      </c>
      <c r="V3874" s="12" t="str">
        <f t="shared" si="332"/>
        <v/>
      </c>
      <c r="Z3874" s="15"/>
    </row>
    <row r="3875" spans="1:26" x14ac:dyDescent="0.25">
      <c r="A3875" s="15" t="str">
        <f>IF(C3875="","",COUNTA($C$3:C3875))</f>
        <v/>
      </c>
      <c r="B3875" s="15" t="str">
        <f t="shared" si="333"/>
        <v/>
      </c>
      <c r="M3875" s="9"/>
      <c r="N3875" s="9"/>
      <c r="P3875" s="14"/>
      <c r="Q3875" s="85"/>
      <c r="R3875" s="89"/>
      <c r="U3875" s="11" t="str">
        <f t="shared" si="331"/>
        <v/>
      </c>
      <c r="V3875" s="12" t="str">
        <f t="shared" si="332"/>
        <v/>
      </c>
      <c r="Z3875" s="15"/>
    </row>
    <row r="3876" spans="1:26" x14ac:dyDescent="0.25">
      <c r="A3876" s="15" t="str">
        <f>IF(C3876="","",COUNTA($C$3:C3876))</f>
        <v/>
      </c>
      <c r="B3876" s="15" t="str">
        <f t="shared" si="333"/>
        <v/>
      </c>
      <c r="M3876" s="9"/>
      <c r="N3876" s="9"/>
      <c r="P3876" s="14"/>
      <c r="Q3876" s="85"/>
      <c r="R3876" s="89"/>
      <c r="U3876" s="11" t="str">
        <f t="shared" si="331"/>
        <v/>
      </c>
      <c r="V3876" s="12" t="str">
        <f t="shared" si="332"/>
        <v/>
      </c>
      <c r="Z3876" s="15"/>
    </row>
    <row r="3877" spans="1:26" x14ac:dyDescent="0.25">
      <c r="A3877" s="15" t="str">
        <f>IF(C3877="","",COUNTA($C$3:C3877))</f>
        <v/>
      </c>
      <c r="B3877" s="15" t="str">
        <f t="shared" si="333"/>
        <v/>
      </c>
      <c r="M3877" s="9"/>
      <c r="N3877" s="9"/>
      <c r="P3877" s="14"/>
      <c r="Q3877" s="85"/>
      <c r="R3877" s="89"/>
      <c r="U3877" s="11" t="str">
        <f t="shared" si="331"/>
        <v/>
      </c>
      <c r="V3877" s="12" t="str">
        <f t="shared" si="332"/>
        <v/>
      </c>
      <c r="Z3877" s="15"/>
    </row>
    <row r="3878" spans="1:26" x14ac:dyDescent="0.25">
      <c r="A3878" s="15" t="str">
        <f>IF(C3878="","",COUNTA($C$3:C3878))</f>
        <v/>
      </c>
      <c r="B3878" s="15" t="str">
        <f t="shared" si="333"/>
        <v/>
      </c>
      <c r="M3878" s="9"/>
      <c r="N3878" s="9"/>
      <c r="P3878" s="14"/>
      <c r="Q3878" s="85"/>
      <c r="R3878" s="89"/>
      <c r="U3878" s="11" t="str">
        <f t="shared" si="331"/>
        <v/>
      </c>
      <c r="V3878" s="12" t="str">
        <f t="shared" si="332"/>
        <v/>
      </c>
      <c r="Z3878" s="15"/>
    </row>
    <row r="3879" spans="1:26" x14ac:dyDescent="0.25">
      <c r="A3879" s="15" t="str">
        <f>IF(C3879="","",COUNTA($C$3:C3879))</f>
        <v/>
      </c>
      <c r="B3879" s="15" t="str">
        <f t="shared" si="333"/>
        <v/>
      </c>
      <c r="M3879" s="9"/>
      <c r="N3879" s="9"/>
      <c r="P3879" s="14"/>
      <c r="Q3879" s="85"/>
      <c r="R3879" s="89"/>
      <c r="U3879" s="11" t="str">
        <f t="shared" si="331"/>
        <v/>
      </c>
      <c r="V3879" s="12" t="str">
        <f t="shared" si="332"/>
        <v/>
      </c>
      <c r="Z3879" s="15"/>
    </row>
    <row r="3880" spans="1:26" x14ac:dyDescent="0.25">
      <c r="A3880" s="15" t="str">
        <f>IF(C3880="","",COUNTA($C$3:C3880))</f>
        <v/>
      </c>
      <c r="B3880" s="15" t="str">
        <f t="shared" si="333"/>
        <v/>
      </c>
      <c r="M3880" s="9"/>
      <c r="N3880" s="9"/>
      <c r="P3880" s="14"/>
      <c r="Q3880" s="85"/>
      <c r="R3880" s="89"/>
      <c r="U3880" s="11" t="str">
        <f t="shared" si="331"/>
        <v/>
      </c>
      <c r="V3880" s="12" t="str">
        <f t="shared" si="332"/>
        <v/>
      </c>
      <c r="Z3880" s="15"/>
    </row>
    <row r="3881" spans="1:26" x14ac:dyDescent="0.25">
      <c r="A3881" s="15" t="str">
        <f>IF(C3881="","",COUNTA($C$3:C3881))</f>
        <v/>
      </c>
      <c r="B3881" s="15" t="str">
        <f t="shared" si="333"/>
        <v/>
      </c>
      <c r="M3881" s="9"/>
      <c r="N3881" s="9"/>
      <c r="P3881" s="14"/>
      <c r="Q3881" s="85"/>
      <c r="R3881" s="89"/>
      <c r="U3881" s="11" t="str">
        <f t="shared" si="331"/>
        <v/>
      </c>
      <c r="V3881" s="12" t="str">
        <f t="shared" si="332"/>
        <v/>
      </c>
      <c r="Z3881" s="15"/>
    </row>
    <row r="3882" spans="1:26" x14ac:dyDescent="0.25">
      <c r="A3882" s="15" t="str">
        <f>IF(C3882="","",COUNTA($C$3:C3882))</f>
        <v/>
      </c>
      <c r="B3882" s="15" t="str">
        <f t="shared" si="333"/>
        <v/>
      </c>
      <c r="M3882" s="9"/>
      <c r="N3882" s="9"/>
      <c r="P3882" s="14"/>
      <c r="Q3882" s="85"/>
      <c r="R3882" s="89"/>
      <c r="U3882" s="11" t="str">
        <f t="shared" si="331"/>
        <v/>
      </c>
      <c r="V3882" s="12" t="str">
        <f t="shared" si="332"/>
        <v/>
      </c>
      <c r="Z3882" s="15"/>
    </row>
    <row r="3883" spans="1:26" x14ac:dyDescent="0.25">
      <c r="A3883" s="15" t="str">
        <f>IF(C3883="","",COUNTA($C$3:C3883))</f>
        <v/>
      </c>
      <c r="B3883" s="15" t="str">
        <f t="shared" si="333"/>
        <v/>
      </c>
      <c r="M3883" s="9"/>
      <c r="N3883" s="9"/>
      <c r="P3883" s="14"/>
      <c r="Q3883" s="85"/>
      <c r="R3883" s="89"/>
      <c r="U3883" s="11" t="str">
        <f t="shared" si="331"/>
        <v/>
      </c>
      <c r="V3883" s="12" t="str">
        <f t="shared" si="332"/>
        <v/>
      </c>
      <c r="Z3883" s="15"/>
    </row>
    <row r="3884" spans="1:26" x14ac:dyDescent="0.25">
      <c r="A3884" s="15" t="str">
        <f>IF(C3884="","",COUNTA($C$3:C3884))</f>
        <v/>
      </c>
      <c r="B3884" s="15" t="str">
        <f t="shared" si="333"/>
        <v/>
      </c>
      <c r="M3884" s="9"/>
      <c r="N3884" s="9"/>
      <c r="P3884" s="14"/>
      <c r="Q3884" s="85"/>
      <c r="R3884" s="89"/>
      <c r="U3884" s="11" t="str">
        <f t="shared" si="331"/>
        <v/>
      </c>
      <c r="V3884" s="12" t="str">
        <f t="shared" si="332"/>
        <v/>
      </c>
      <c r="Z3884" s="15"/>
    </row>
    <row r="3885" spans="1:26" x14ac:dyDescent="0.25">
      <c r="A3885" s="15" t="str">
        <f>IF(C3885="","",COUNTA($C$3:C3885))</f>
        <v/>
      </c>
      <c r="B3885" s="15" t="str">
        <f t="shared" si="333"/>
        <v/>
      </c>
      <c r="M3885" s="9"/>
      <c r="N3885" s="9"/>
      <c r="P3885" s="14"/>
      <c r="Q3885" s="85"/>
      <c r="R3885" s="89"/>
      <c r="U3885" s="11" t="str">
        <f t="shared" si="331"/>
        <v/>
      </c>
      <c r="V3885" s="12" t="str">
        <f t="shared" si="332"/>
        <v/>
      </c>
      <c r="Z3885" s="15"/>
    </row>
    <row r="3886" spans="1:26" x14ac:dyDescent="0.25">
      <c r="A3886" s="15" t="str">
        <f>IF(C3886="","",COUNTA($C$3:C3886))</f>
        <v/>
      </c>
      <c r="B3886" s="15" t="str">
        <f t="shared" si="333"/>
        <v/>
      </c>
      <c r="M3886" s="9"/>
      <c r="N3886" s="9"/>
      <c r="P3886" s="14"/>
      <c r="Q3886" s="85"/>
      <c r="R3886" s="89"/>
      <c r="U3886" s="11" t="str">
        <f t="shared" si="331"/>
        <v/>
      </c>
      <c r="V3886" s="12" t="str">
        <f t="shared" si="332"/>
        <v/>
      </c>
      <c r="Z3886" s="15"/>
    </row>
    <row r="3887" spans="1:26" x14ac:dyDescent="0.25">
      <c r="A3887" s="15" t="str">
        <f>IF(C3887="","",COUNTA($C$3:C3887))</f>
        <v/>
      </c>
      <c r="B3887" s="15" t="str">
        <f t="shared" si="333"/>
        <v/>
      </c>
      <c r="M3887" s="9"/>
      <c r="N3887" s="9"/>
      <c r="P3887" s="14"/>
      <c r="Q3887" s="85"/>
      <c r="R3887" s="89"/>
      <c r="U3887" s="11" t="str">
        <f t="shared" si="331"/>
        <v/>
      </c>
      <c r="V3887" s="12" t="str">
        <f t="shared" si="332"/>
        <v/>
      </c>
      <c r="Z3887" s="15"/>
    </row>
    <row r="3888" spans="1:26" x14ac:dyDescent="0.25">
      <c r="A3888" s="15" t="str">
        <f>IF(C3888="","",COUNTA($C$3:C3888))</f>
        <v/>
      </c>
      <c r="B3888" s="15" t="str">
        <f t="shared" si="333"/>
        <v/>
      </c>
      <c r="M3888" s="9"/>
      <c r="N3888" s="9"/>
      <c r="P3888" s="14"/>
      <c r="Q3888" s="85"/>
      <c r="R3888" s="89"/>
      <c r="U3888" s="11" t="str">
        <f t="shared" si="331"/>
        <v/>
      </c>
      <c r="V3888" s="12" t="str">
        <f t="shared" si="332"/>
        <v/>
      </c>
      <c r="Z3888" s="15"/>
    </row>
    <row r="3889" spans="1:26" x14ac:dyDescent="0.25">
      <c r="A3889" s="15" t="str">
        <f>IF(C3889="","",COUNTA($C$3:C3889))</f>
        <v/>
      </c>
      <c r="B3889" s="15" t="str">
        <f t="shared" si="333"/>
        <v/>
      </c>
      <c r="M3889" s="9"/>
      <c r="N3889" s="9"/>
      <c r="P3889" s="14"/>
      <c r="Q3889" s="85"/>
      <c r="R3889" s="89"/>
      <c r="U3889" s="11" t="str">
        <f t="shared" si="331"/>
        <v/>
      </c>
      <c r="V3889" s="12" t="str">
        <f t="shared" si="332"/>
        <v/>
      </c>
      <c r="Z3889" s="15"/>
    </row>
    <row r="3890" spans="1:26" x14ac:dyDescent="0.25">
      <c r="A3890" s="15" t="str">
        <f>IF(C3890="","",COUNTA($C$3:C3890))</f>
        <v/>
      </c>
      <c r="B3890" s="15" t="str">
        <f t="shared" si="333"/>
        <v/>
      </c>
      <c r="M3890" s="9"/>
      <c r="N3890" s="9"/>
      <c r="P3890" s="14"/>
      <c r="Q3890" s="85"/>
      <c r="R3890" s="89"/>
      <c r="U3890" s="11" t="str">
        <f t="shared" si="331"/>
        <v/>
      </c>
      <c r="V3890" s="12" t="str">
        <f t="shared" si="332"/>
        <v/>
      </c>
      <c r="Z3890" s="15"/>
    </row>
    <row r="3891" spans="1:26" x14ac:dyDescent="0.25">
      <c r="A3891" s="15" t="str">
        <f>IF(C3891="","",COUNTA($C$3:C3891))</f>
        <v/>
      </c>
      <c r="B3891" s="15" t="str">
        <f t="shared" si="333"/>
        <v/>
      </c>
      <c r="M3891" s="9"/>
      <c r="N3891" s="9"/>
      <c r="P3891" s="14"/>
      <c r="Q3891" s="85"/>
      <c r="R3891" s="89"/>
      <c r="U3891" s="11" t="str">
        <f t="shared" si="331"/>
        <v/>
      </c>
      <c r="V3891" s="12" t="str">
        <f t="shared" si="332"/>
        <v/>
      </c>
      <c r="Z3891" s="15"/>
    </row>
    <row r="3892" spans="1:26" x14ac:dyDescent="0.25">
      <c r="A3892" s="15" t="str">
        <f>IF(C3892="","",COUNTA($C$3:C3892))</f>
        <v/>
      </c>
      <c r="B3892" s="15" t="str">
        <f t="shared" si="333"/>
        <v/>
      </c>
      <c r="M3892" s="9"/>
      <c r="N3892" s="9"/>
      <c r="P3892" s="14"/>
      <c r="Q3892" s="85"/>
      <c r="R3892" s="89"/>
      <c r="U3892" s="11" t="str">
        <f t="shared" si="331"/>
        <v/>
      </c>
      <c r="V3892" s="12" t="str">
        <f t="shared" si="332"/>
        <v/>
      </c>
      <c r="Z3892" s="15"/>
    </row>
    <row r="3893" spans="1:26" x14ac:dyDescent="0.25">
      <c r="A3893" s="15" t="str">
        <f>IF(C3893="","",COUNTA($C$3:C3893))</f>
        <v/>
      </c>
      <c r="B3893" s="15" t="str">
        <f t="shared" si="333"/>
        <v/>
      </c>
      <c r="M3893" s="9"/>
      <c r="N3893" s="9"/>
      <c r="P3893" s="14"/>
      <c r="Q3893" s="85"/>
      <c r="R3893" s="89"/>
      <c r="U3893" s="11" t="str">
        <f t="shared" si="331"/>
        <v/>
      </c>
      <c r="V3893" s="12" t="str">
        <f t="shared" si="332"/>
        <v/>
      </c>
      <c r="Z3893" s="15"/>
    </row>
    <row r="3894" spans="1:26" x14ac:dyDescent="0.25">
      <c r="A3894" s="15" t="str">
        <f>IF(C3894="","",COUNTA($C$3:C3894))</f>
        <v/>
      </c>
      <c r="B3894" s="15" t="str">
        <f t="shared" si="333"/>
        <v/>
      </c>
      <c r="M3894" s="9"/>
      <c r="N3894" s="9"/>
      <c r="P3894" s="14"/>
      <c r="Q3894" s="85"/>
      <c r="R3894" s="89"/>
      <c r="U3894" s="11" t="str">
        <f t="shared" si="331"/>
        <v/>
      </c>
      <c r="V3894" s="12" t="str">
        <f t="shared" si="332"/>
        <v/>
      </c>
      <c r="Z3894" s="15"/>
    </row>
    <row r="3895" spans="1:26" x14ac:dyDescent="0.25">
      <c r="A3895" s="15" t="str">
        <f>IF(C3895="","",COUNTA($C$3:C3895))</f>
        <v/>
      </c>
      <c r="B3895" s="15" t="str">
        <f t="shared" si="333"/>
        <v/>
      </c>
      <c r="M3895" s="9"/>
      <c r="N3895" s="9"/>
      <c r="P3895" s="14"/>
      <c r="Q3895" s="85"/>
      <c r="R3895" s="89"/>
      <c r="U3895" s="11" t="str">
        <f t="shared" si="331"/>
        <v/>
      </c>
      <c r="V3895" s="12" t="str">
        <f t="shared" si="332"/>
        <v/>
      </c>
      <c r="Z3895" s="15"/>
    </row>
    <row r="3896" spans="1:26" x14ac:dyDescent="0.25">
      <c r="A3896" s="15" t="str">
        <f>IF(C3896="","",COUNTA($C$3:C3896))</f>
        <v/>
      </c>
      <c r="B3896" s="15" t="str">
        <f t="shared" si="333"/>
        <v/>
      </c>
      <c r="M3896" s="9"/>
      <c r="N3896" s="9"/>
      <c r="P3896" s="14"/>
      <c r="Q3896" s="85"/>
      <c r="R3896" s="89"/>
      <c r="U3896" s="11" t="str">
        <f t="shared" si="331"/>
        <v/>
      </c>
      <c r="V3896" s="12" t="str">
        <f t="shared" si="332"/>
        <v/>
      </c>
      <c r="Z3896" s="15"/>
    </row>
    <row r="3897" spans="1:26" x14ac:dyDescent="0.25">
      <c r="A3897" s="15" t="str">
        <f>IF(C3897="","",COUNTA($C$3:C3897))</f>
        <v/>
      </c>
      <c r="B3897" s="15" t="str">
        <f t="shared" si="333"/>
        <v/>
      </c>
      <c r="M3897" s="9"/>
      <c r="N3897" s="9"/>
      <c r="P3897" s="14"/>
      <c r="Q3897" s="85"/>
      <c r="R3897" s="89"/>
      <c r="U3897" s="11" t="str">
        <f t="shared" si="331"/>
        <v/>
      </c>
      <c r="V3897" s="12" t="str">
        <f t="shared" si="332"/>
        <v/>
      </c>
      <c r="Z3897" s="15"/>
    </row>
    <row r="3898" spans="1:26" x14ac:dyDescent="0.25">
      <c r="A3898" s="15" t="str">
        <f>IF(C3898="","",COUNTA($C$3:C3898))</f>
        <v/>
      </c>
      <c r="B3898" s="15" t="str">
        <f t="shared" si="333"/>
        <v/>
      </c>
      <c r="M3898" s="9"/>
      <c r="N3898" s="9"/>
      <c r="P3898" s="14"/>
      <c r="Q3898" s="85"/>
      <c r="R3898" s="89"/>
      <c r="U3898" s="11" t="str">
        <f t="shared" si="331"/>
        <v/>
      </c>
      <c r="V3898" s="12" t="str">
        <f t="shared" si="332"/>
        <v/>
      </c>
      <c r="Z3898" s="15"/>
    </row>
    <row r="3899" spans="1:26" x14ac:dyDescent="0.25">
      <c r="A3899" s="15" t="str">
        <f>IF(C3899="","",COUNTA($C$3:C3899))</f>
        <v/>
      </c>
      <c r="B3899" s="15" t="str">
        <f t="shared" si="333"/>
        <v/>
      </c>
      <c r="M3899" s="9"/>
      <c r="N3899" s="9"/>
      <c r="P3899" s="14"/>
      <c r="Q3899" s="85"/>
      <c r="R3899" s="89"/>
      <c r="U3899" s="11" t="str">
        <f t="shared" si="331"/>
        <v/>
      </c>
      <c r="V3899" s="12" t="str">
        <f t="shared" si="332"/>
        <v/>
      </c>
      <c r="Z3899" s="15"/>
    </row>
    <row r="3900" spans="1:26" x14ac:dyDescent="0.25">
      <c r="A3900" s="15" t="str">
        <f>IF(C3900="","",COUNTA($C$3:C3900))</f>
        <v/>
      </c>
      <c r="B3900" s="15" t="str">
        <f t="shared" si="333"/>
        <v/>
      </c>
      <c r="M3900" s="9"/>
      <c r="N3900" s="9"/>
      <c r="P3900" s="14"/>
      <c r="Q3900" s="85"/>
      <c r="R3900" s="89"/>
      <c r="U3900" s="11" t="str">
        <f t="shared" si="331"/>
        <v/>
      </c>
      <c r="V3900" s="12" t="str">
        <f t="shared" si="332"/>
        <v/>
      </c>
      <c r="Z3900" s="15"/>
    </row>
    <row r="3901" spans="1:26" x14ac:dyDescent="0.25">
      <c r="A3901" s="15" t="str">
        <f>IF(C3901="","",COUNTA($C$3:C3901))</f>
        <v/>
      </c>
      <c r="B3901" s="15" t="str">
        <f t="shared" si="333"/>
        <v/>
      </c>
      <c r="M3901" s="9"/>
      <c r="N3901" s="9"/>
      <c r="P3901" s="14"/>
      <c r="Q3901" s="85"/>
      <c r="R3901" s="89"/>
      <c r="U3901" s="11" t="str">
        <f t="shared" si="331"/>
        <v/>
      </c>
      <c r="V3901" s="12" t="str">
        <f t="shared" si="332"/>
        <v/>
      </c>
      <c r="Z3901" s="15"/>
    </row>
    <row r="3902" spans="1:26" x14ac:dyDescent="0.25">
      <c r="A3902" s="15" t="str">
        <f>IF(C3902="","",COUNTA($C$3:C3902))</f>
        <v/>
      </c>
      <c r="B3902" s="15" t="str">
        <f t="shared" si="333"/>
        <v/>
      </c>
      <c r="M3902" s="9"/>
      <c r="N3902" s="9"/>
      <c r="P3902" s="14"/>
      <c r="Q3902" s="85"/>
      <c r="R3902" s="89"/>
      <c r="U3902" s="11" t="str">
        <f t="shared" si="331"/>
        <v/>
      </c>
      <c r="V3902" s="12" t="str">
        <f t="shared" si="332"/>
        <v/>
      </c>
      <c r="Z3902" s="15"/>
    </row>
    <row r="3903" spans="1:26" x14ac:dyDescent="0.25">
      <c r="A3903" s="15" t="str">
        <f>IF(C3903="","",COUNTA($C$3:C3903))</f>
        <v/>
      </c>
      <c r="B3903" s="15" t="str">
        <f t="shared" si="333"/>
        <v/>
      </c>
      <c r="M3903" s="9"/>
      <c r="N3903" s="9"/>
      <c r="P3903" s="14"/>
      <c r="Q3903" s="85"/>
      <c r="R3903" s="89"/>
      <c r="U3903" s="11" t="str">
        <f t="shared" si="331"/>
        <v/>
      </c>
      <c r="V3903" s="12" t="str">
        <f t="shared" si="332"/>
        <v/>
      </c>
      <c r="Z3903" s="15"/>
    </row>
    <row r="3904" spans="1:26" x14ac:dyDescent="0.25">
      <c r="A3904" s="15" t="str">
        <f>IF(C3904="","",COUNTA($C$3:C3904))</f>
        <v/>
      </c>
      <c r="B3904" s="15" t="str">
        <f t="shared" si="333"/>
        <v/>
      </c>
      <c r="M3904" s="9"/>
      <c r="N3904" s="9"/>
      <c r="P3904" s="14"/>
      <c r="Q3904" s="85"/>
      <c r="R3904" s="89"/>
      <c r="U3904" s="11" t="str">
        <f t="shared" si="331"/>
        <v/>
      </c>
      <c r="V3904" s="12" t="str">
        <f t="shared" si="332"/>
        <v/>
      </c>
      <c r="Z3904" s="15"/>
    </row>
    <row r="3905" spans="1:26" x14ac:dyDescent="0.25">
      <c r="A3905" s="15" t="str">
        <f>IF(C3905="","",COUNTA($C$3:C3905))</f>
        <v/>
      </c>
      <c r="B3905" s="15" t="str">
        <f t="shared" si="333"/>
        <v/>
      </c>
      <c r="M3905" s="9"/>
      <c r="N3905" s="9"/>
      <c r="P3905" s="14"/>
      <c r="Q3905" s="85"/>
      <c r="R3905" s="89"/>
      <c r="U3905" s="11" t="str">
        <f t="shared" si="331"/>
        <v/>
      </c>
      <c r="V3905" s="12" t="str">
        <f t="shared" si="332"/>
        <v/>
      </c>
      <c r="Z3905" s="15"/>
    </row>
    <row r="3906" spans="1:26" x14ac:dyDescent="0.25">
      <c r="A3906" s="15" t="str">
        <f>IF(C3906="","",COUNTA($C$3:C3906))</f>
        <v/>
      </c>
      <c r="B3906" s="15" t="str">
        <f t="shared" si="333"/>
        <v/>
      </c>
      <c r="M3906" s="9"/>
      <c r="N3906" s="9"/>
      <c r="P3906" s="14"/>
      <c r="Q3906" s="85"/>
      <c r="R3906" s="89"/>
      <c r="U3906" s="11" t="str">
        <f t="shared" ref="U3906:U3969" si="334">IF(S3906="","",(S3906-T3906))</f>
        <v/>
      </c>
      <c r="V3906" s="12" t="str">
        <f t="shared" ref="V3906:V3969" si="335">IF(U3906="","",(U3906/T3906))</f>
        <v/>
      </c>
      <c r="Z3906" s="15"/>
    </row>
    <row r="3907" spans="1:26" x14ac:dyDescent="0.25">
      <c r="A3907" s="15" t="str">
        <f>IF(C3907="","",COUNTA($C$3:C3907))</f>
        <v/>
      </c>
      <c r="B3907" s="15" t="str">
        <f t="shared" ref="B3907:B3970" si="336">IF(C3907="","",TEXT(C3907,"mmmm"))</f>
        <v/>
      </c>
      <c r="M3907" s="9"/>
      <c r="N3907" s="9"/>
      <c r="P3907" s="14"/>
      <c r="Q3907" s="85"/>
      <c r="R3907" s="89"/>
      <c r="U3907" s="11" t="str">
        <f t="shared" si="334"/>
        <v/>
      </c>
      <c r="V3907" s="12" t="str">
        <f t="shared" si="335"/>
        <v/>
      </c>
      <c r="Z3907" s="15"/>
    </row>
    <row r="3908" spans="1:26" x14ac:dyDescent="0.25">
      <c r="A3908" s="15" t="str">
        <f>IF(C3908="","",COUNTA($C$3:C3908))</f>
        <v/>
      </c>
      <c r="B3908" s="15" t="str">
        <f t="shared" si="336"/>
        <v/>
      </c>
      <c r="M3908" s="9"/>
      <c r="N3908" s="9"/>
      <c r="P3908" s="14"/>
      <c r="Q3908" s="85"/>
      <c r="R3908" s="89"/>
      <c r="U3908" s="11" t="str">
        <f t="shared" si="334"/>
        <v/>
      </c>
      <c r="V3908" s="12" t="str">
        <f t="shared" si="335"/>
        <v/>
      </c>
      <c r="Z3908" s="15"/>
    </row>
    <row r="3909" spans="1:26" x14ac:dyDescent="0.25">
      <c r="A3909" s="15" t="str">
        <f>IF(C3909="","",COUNTA($C$3:C3909))</f>
        <v/>
      </c>
      <c r="B3909" s="15" t="str">
        <f t="shared" si="336"/>
        <v/>
      </c>
      <c r="M3909" s="9"/>
      <c r="N3909" s="9"/>
      <c r="P3909" s="14"/>
      <c r="Q3909" s="85"/>
      <c r="R3909" s="89"/>
      <c r="U3909" s="11" t="str">
        <f t="shared" si="334"/>
        <v/>
      </c>
      <c r="V3909" s="12" t="str">
        <f t="shared" si="335"/>
        <v/>
      </c>
      <c r="Z3909" s="15"/>
    </row>
    <row r="3910" spans="1:26" x14ac:dyDescent="0.25">
      <c r="A3910" s="15" t="str">
        <f>IF(C3910="","",COUNTA($C$3:C3910))</f>
        <v/>
      </c>
      <c r="B3910" s="15" t="str">
        <f t="shared" si="336"/>
        <v/>
      </c>
      <c r="M3910" s="9"/>
      <c r="N3910" s="9"/>
      <c r="P3910" s="14"/>
      <c r="Q3910" s="85"/>
      <c r="R3910" s="89"/>
      <c r="U3910" s="11" t="str">
        <f t="shared" si="334"/>
        <v/>
      </c>
      <c r="V3910" s="12" t="str">
        <f t="shared" si="335"/>
        <v/>
      </c>
      <c r="Z3910" s="15"/>
    </row>
    <row r="3911" spans="1:26" x14ac:dyDescent="0.25">
      <c r="A3911" s="15" t="str">
        <f>IF(C3911="","",COUNTA($C$3:C3911))</f>
        <v/>
      </c>
      <c r="B3911" s="15" t="str">
        <f t="shared" si="336"/>
        <v/>
      </c>
      <c r="M3911" s="9"/>
      <c r="N3911" s="9"/>
      <c r="P3911" s="14"/>
      <c r="Q3911" s="85"/>
      <c r="R3911" s="89"/>
      <c r="U3911" s="11" t="str">
        <f t="shared" si="334"/>
        <v/>
      </c>
      <c r="V3911" s="12" t="str">
        <f t="shared" si="335"/>
        <v/>
      </c>
      <c r="Z3911" s="15"/>
    </row>
    <row r="3912" spans="1:26" x14ac:dyDescent="0.25">
      <c r="A3912" s="15" t="str">
        <f>IF(C3912="","",COUNTA($C$3:C3912))</f>
        <v/>
      </c>
      <c r="B3912" s="15" t="str">
        <f t="shared" si="336"/>
        <v/>
      </c>
      <c r="M3912" s="9"/>
      <c r="N3912" s="9"/>
      <c r="P3912" s="14"/>
      <c r="Q3912" s="85"/>
      <c r="R3912" s="89"/>
      <c r="U3912" s="11" t="str">
        <f t="shared" si="334"/>
        <v/>
      </c>
      <c r="V3912" s="12" t="str">
        <f t="shared" si="335"/>
        <v/>
      </c>
      <c r="Z3912" s="15"/>
    </row>
    <row r="3913" spans="1:26" x14ac:dyDescent="0.25">
      <c r="A3913" s="15" t="str">
        <f>IF(C3913="","",COUNTA($C$3:C3913))</f>
        <v/>
      </c>
      <c r="B3913" s="15" t="str">
        <f t="shared" si="336"/>
        <v/>
      </c>
      <c r="M3913" s="9"/>
      <c r="N3913" s="9"/>
      <c r="P3913" s="14"/>
      <c r="Q3913" s="85"/>
      <c r="R3913" s="89"/>
      <c r="U3913" s="11" t="str">
        <f t="shared" si="334"/>
        <v/>
      </c>
      <c r="V3913" s="12" t="str">
        <f t="shared" si="335"/>
        <v/>
      </c>
      <c r="Z3913" s="15"/>
    </row>
    <row r="3914" spans="1:26" x14ac:dyDescent="0.25">
      <c r="A3914" s="15" t="str">
        <f>IF(C3914="","",COUNTA($C$3:C3914))</f>
        <v/>
      </c>
      <c r="B3914" s="15" t="str">
        <f t="shared" si="336"/>
        <v/>
      </c>
      <c r="M3914" s="9"/>
      <c r="N3914" s="9"/>
      <c r="P3914" s="14"/>
      <c r="Q3914" s="85"/>
      <c r="R3914" s="89"/>
      <c r="U3914" s="11" t="str">
        <f t="shared" si="334"/>
        <v/>
      </c>
      <c r="V3914" s="12" t="str">
        <f t="shared" si="335"/>
        <v/>
      </c>
      <c r="Z3914" s="15"/>
    </row>
    <row r="3915" spans="1:26" x14ac:dyDescent="0.25">
      <c r="A3915" s="15" t="str">
        <f>IF(C3915="","",COUNTA($C$3:C3915))</f>
        <v/>
      </c>
      <c r="B3915" s="15" t="str">
        <f t="shared" si="336"/>
        <v/>
      </c>
      <c r="M3915" s="9"/>
      <c r="N3915" s="9"/>
      <c r="P3915" s="14"/>
      <c r="Q3915" s="85"/>
      <c r="R3915" s="89"/>
      <c r="U3915" s="11" t="str">
        <f t="shared" si="334"/>
        <v/>
      </c>
      <c r="V3915" s="12" t="str">
        <f t="shared" si="335"/>
        <v/>
      </c>
      <c r="Z3915" s="15"/>
    </row>
    <row r="3916" spans="1:26" x14ac:dyDescent="0.25">
      <c r="A3916" s="15" t="str">
        <f>IF(C3916="","",COUNTA($C$3:C3916))</f>
        <v/>
      </c>
      <c r="B3916" s="15" t="str">
        <f t="shared" si="336"/>
        <v/>
      </c>
      <c r="M3916" s="9"/>
      <c r="N3916" s="9"/>
      <c r="P3916" s="14"/>
      <c r="Q3916" s="85"/>
      <c r="R3916" s="89"/>
      <c r="U3916" s="11" t="str">
        <f t="shared" si="334"/>
        <v/>
      </c>
      <c r="V3916" s="12" t="str">
        <f t="shared" si="335"/>
        <v/>
      </c>
      <c r="Z3916" s="15"/>
    </row>
    <row r="3917" spans="1:26" x14ac:dyDescent="0.25">
      <c r="A3917" s="15" t="str">
        <f>IF(C3917="","",COUNTA($C$3:C3917))</f>
        <v/>
      </c>
      <c r="B3917" s="15" t="str">
        <f t="shared" si="336"/>
        <v/>
      </c>
      <c r="M3917" s="9"/>
      <c r="N3917" s="9"/>
      <c r="P3917" s="14"/>
      <c r="Q3917" s="85"/>
      <c r="R3917" s="89"/>
      <c r="U3917" s="11" t="str">
        <f t="shared" si="334"/>
        <v/>
      </c>
      <c r="V3917" s="12" t="str">
        <f t="shared" si="335"/>
        <v/>
      </c>
      <c r="Z3917" s="15"/>
    </row>
    <row r="3918" spans="1:26" x14ac:dyDescent="0.25">
      <c r="A3918" s="15" t="str">
        <f>IF(C3918="","",COUNTA($C$3:C3918))</f>
        <v/>
      </c>
      <c r="B3918" s="15" t="str">
        <f t="shared" si="336"/>
        <v/>
      </c>
      <c r="M3918" s="9"/>
      <c r="N3918" s="9"/>
      <c r="P3918" s="14"/>
      <c r="Q3918" s="85"/>
      <c r="R3918" s="89"/>
      <c r="U3918" s="11" t="str">
        <f t="shared" si="334"/>
        <v/>
      </c>
      <c r="V3918" s="12" t="str">
        <f t="shared" si="335"/>
        <v/>
      </c>
      <c r="Z3918" s="15"/>
    </row>
    <row r="3919" spans="1:26" x14ac:dyDescent="0.25">
      <c r="A3919" s="15" t="str">
        <f>IF(C3919="","",COUNTA($C$3:C3919))</f>
        <v/>
      </c>
      <c r="B3919" s="15" t="str">
        <f t="shared" si="336"/>
        <v/>
      </c>
      <c r="M3919" s="9"/>
      <c r="N3919" s="9"/>
      <c r="P3919" s="14"/>
      <c r="Q3919" s="85"/>
      <c r="R3919" s="89"/>
      <c r="U3919" s="11" t="str">
        <f t="shared" si="334"/>
        <v/>
      </c>
      <c r="V3919" s="12" t="str">
        <f t="shared" si="335"/>
        <v/>
      </c>
      <c r="Z3919" s="15"/>
    </row>
    <row r="3920" spans="1:26" x14ac:dyDescent="0.25">
      <c r="A3920" s="15" t="str">
        <f>IF(C3920="","",COUNTA($C$3:C3920))</f>
        <v/>
      </c>
      <c r="B3920" s="15" t="str">
        <f t="shared" si="336"/>
        <v/>
      </c>
      <c r="M3920" s="9"/>
      <c r="N3920" s="9"/>
      <c r="P3920" s="14"/>
      <c r="Q3920" s="85"/>
      <c r="R3920" s="89"/>
      <c r="U3920" s="11" t="str">
        <f t="shared" si="334"/>
        <v/>
      </c>
      <c r="V3920" s="12" t="str">
        <f t="shared" si="335"/>
        <v/>
      </c>
      <c r="Z3920" s="15"/>
    </row>
    <row r="3921" spans="1:26" x14ac:dyDescent="0.25">
      <c r="A3921" s="15" t="str">
        <f>IF(C3921="","",COUNTA($C$3:C3921))</f>
        <v/>
      </c>
      <c r="B3921" s="15" t="str">
        <f t="shared" si="336"/>
        <v/>
      </c>
      <c r="M3921" s="9"/>
      <c r="N3921" s="9"/>
      <c r="P3921" s="14"/>
      <c r="Q3921" s="85"/>
      <c r="R3921" s="89"/>
      <c r="U3921" s="11" t="str">
        <f t="shared" si="334"/>
        <v/>
      </c>
      <c r="V3921" s="12" t="str">
        <f t="shared" si="335"/>
        <v/>
      </c>
      <c r="Z3921" s="15"/>
    </row>
    <row r="3922" spans="1:26" x14ac:dyDescent="0.25">
      <c r="A3922" s="15" t="str">
        <f>IF(C3922="","",COUNTA($C$3:C3922))</f>
        <v/>
      </c>
      <c r="B3922" s="15" t="str">
        <f t="shared" si="336"/>
        <v/>
      </c>
      <c r="M3922" s="9"/>
      <c r="N3922" s="9"/>
      <c r="P3922" s="14"/>
      <c r="Q3922" s="85"/>
      <c r="R3922" s="89"/>
      <c r="U3922" s="11" t="str">
        <f t="shared" si="334"/>
        <v/>
      </c>
      <c r="V3922" s="12" t="str">
        <f t="shared" si="335"/>
        <v/>
      </c>
      <c r="Z3922" s="15"/>
    </row>
    <row r="3923" spans="1:26" x14ac:dyDescent="0.25">
      <c r="A3923" s="15" t="str">
        <f>IF(C3923="","",COUNTA($C$3:C3923))</f>
        <v/>
      </c>
      <c r="B3923" s="15" t="str">
        <f t="shared" si="336"/>
        <v/>
      </c>
      <c r="M3923" s="9"/>
      <c r="N3923" s="9"/>
      <c r="P3923" s="14"/>
      <c r="Q3923" s="85"/>
      <c r="R3923" s="89"/>
      <c r="U3923" s="11" t="str">
        <f t="shared" si="334"/>
        <v/>
      </c>
      <c r="V3923" s="12" t="str">
        <f t="shared" si="335"/>
        <v/>
      </c>
      <c r="Z3923" s="15"/>
    </row>
    <row r="3924" spans="1:26" x14ac:dyDescent="0.25">
      <c r="A3924" s="15" t="str">
        <f>IF(C3924="","",COUNTA($C$3:C3924))</f>
        <v/>
      </c>
      <c r="B3924" s="15" t="str">
        <f t="shared" si="336"/>
        <v/>
      </c>
      <c r="M3924" s="9"/>
      <c r="N3924" s="9"/>
      <c r="P3924" s="14"/>
      <c r="Q3924" s="85"/>
      <c r="R3924" s="89"/>
      <c r="U3924" s="11" t="str">
        <f t="shared" si="334"/>
        <v/>
      </c>
      <c r="V3924" s="12" t="str">
        <f t="shared" si="335"/>
        <v/>
      </c>
      <c r="Z3924" s="15"/>
    </row>
    <row r="3925" spans="1:26" x14ac:dyDescent="0.25">
      <c r="A3925" s="15" t="str">
        <f>IF(C3925="","",COUNTA($C$3:C3925))</f>
        <v/>
      </c>
      <c r="B3925" s="15" t="str">
        <f t="shared" si="336"/>
        <v/>
      </c>
      <c r="M3925" s="9"/>
      <c r="N3925" s="9"/>
      <c r="P3925" s="14"/>
      <c r="Q3925" s="85"/>
      <c r="R3925" s="89"/>
      <c r="U3925" s="11" t="str">
        <f t="shared" si="334"/>
        <v/>
      </c>
      <c r="V3925" s="12" t="str">
        <f t="shared" si="335"/>
        <v/>
      </c>
      <c r="Z3925" s="15"/>
    </row>
    <row r="3926" spans="1:26" x14ac:dyDescent="0.25">
      <c r="A3926" s="15" t="str">
        <f>IF(C3926="","",COUNTA($C$3:C3926))</f>
        <v/>
      </c>
      <c r="B3926" s="15" t="str">
        <f t="shared" si="336"/>
        <v/>
      </c>
      <c r="M3926" s="9"/>
      <c r="N3926" s="9"/>
      <c r="P3926" s="14"/>
      <c r="Q3926" s="85"/>
      <c r="R3926" s="89"/>
      <c r="U3926" s="11" t="str">
        <f t="shared" si="334"/>
        <v/>
      </c>
      <c r="V3926" s="12" t="str">
        <f t="shared" si="335"/>
        <v/>
      </c>
      <c r="Z3926" s="15"/>
    </row>
    <row r="3927" spans="1:26" x14ac:dyDescent="0.25">
      <c r="A3927" s="15" t="str">
        <f>IF(C3927="","",COUNTA($C$3:C3927))</f>
        <v/>
      </c>
      <c r="B3927" s="15" t="str">
        <f t="shared" si="336"/>
        <v/>
      </c>
      <c r="M3927" s="9"/>
      <c r="N3927" s="9"/>
      <c r="P3927" s="14"/>
      <c r="Q3927" s="85"/>
      <c r="R3927" s="89"/>
      <c r="U3927" s="11" t="str">
        <f t="shared" si="334"/>
        <v/>
      </c>
      <c r="V3927" s="12" t="str">
        <f t="shared" si="335"/>
        <v/>
      </c>
      <c r="Z3927" s="15"/>
    </row>
    <row r="3928" spans="1:26" x14ac:dyDescent="0.25">
      <c r="A3928" s="15" t="str">
        <f>IF(C3928="","",COUNTA($C$3:C3928))</f>
        <v/>
      </c>
      <c r="B3928" s="15" t="str">
        <f t="shared" si="336"/>
        <v/>
      </c>
      <c r="M3928" s="9"/>
      <c r="N3928" s="9"/>
      <c r="P3928" s="14"/>
      <c r="Q3928" s="85"/>
      <c r="R3928" s="89"/>
      <c r="U3928" s="11" t="str">
        <f t="shared" si="334"/>
        <v/>
      </c>
      <c r="V3928" s="12" t="str">
        <f t="shared" si="335"/>
        <v/>
      </c>
      <c r="Z3928" s="15"/>
    </row>
    <row r="3929" spans="1:26" x14ac:dyDescent="0.25">
      <c r="A3929" s="15" t="str">
        <f>IF(C3929="","",COUNTA($C$3:C3929))</f>
        <v/>
      </c>
      <c r="B3929" s="15" t="str">
        <f t="shared" si="336"/>
        <v/>
      </c>
      <c r="M3929" s="9"/>
      <c r="N3929" s="9"/>
      <c r="P3929" s="14"/>
      <c r="Q3929" s="85"/>
      <c r="R3929" s="89"/>
      <c r="U3929" s="11" t="str">
        <f t="shared" si="334"/>
        <v/>
      </c>
      <c r="V3929" s="12" t="str">
        <f t="shared" si="335"/>
        <v/>
      </c>
      <c r="Z3929" s="15"/>
    </row>
    <row r="3930" spans="1:26" x14ac:dyDescent="0.25">
      <c r="A3930" s="15" t="str">
        <f>IF(C3930="","",COUNTA($C$3:C3930))</f>
        <v/>
      </c>
      <c r="B3930" s="15" t="str">
        <f t="shared" si="336"/>
        <v/>
      </c>
      <c r="M3930" s="9"/>
      <c r="N3930" s="9"/>
      <c r="P3930" s="14"/>
      <c r="Q3930" s="85"/>
      <c r="R3930" s="89"/>
      <c r="U3930" s="11" t="str">
        <f t="shared" si="334"/>
        <v/>
      </c>
      <c r="V3930" s="12" t="str">
        <f t="shared" si="335"/>
        <v/>
      </c>
      <c r="Z3930" s="15"/>
    </row>
    <row r="3931" spans="1:26" x14ac:dyDescent="0.25">
      <c r="A3931" s="15" t="str">
        <f>IF(C3931="","",COUNTA($C$3:C3931))</f>
        <v/>
      </c>
      <c r="B3931" s="15" t="str">
        <f t="shared" si="336"/>
        <v/>
      </c>
      <c r="M3931" s="9"/>
      <c r="N3931" s="9"/>
      <c r="P3931" s="14"/>
      <c r="Q3931" s="85"/>
      <c r="R3931" s="89"/>
      <c r="U3931" s="11" t="str">
        <f t="shared" si="334"/>
        <v/>
      </c>
      <c r="V3931" s="12" t="str">
        <f t="shared" si="335"/>
        <v/>
      </c>
      <c r="Z3931" s="15"/>
    </row>
    <row r="3932" spans="1:26" x14ac:dyDescent="0.25">
      <c r="A3932" s="15" t="str">
        <f>IF(C3932="","",COUNTA($C$3:C3932))</f>
        <v/>
      </c>
      <c r="B3932" s="15" t="str">
        <f t="shared" si="336"/>
        <v/>
      </c>
      <c r="M3932" s="9"/>
      <c r="N3932" s="9"/>
      <c r="P3932" s="14"/>
      <c r="Q3932" s="85"/>
      <c r="R3932" s="89"/>
      <c r="U3932" s="11" t="str">
        <f t="shared" si="334"/>
        <v/>
      </c>
      <c r="V3932" s="12" t="str">
        <f t="shared" si="335"/>
        <v/>
      </c>
      <c r="Z3932" s="15"/>
    </row>
    <row r="3933" spans="1:26" x14ac:dyDescent="0.25">
      <c r="A3933" s="15" t="str">
        <f>IF(C3933="","",COUNTA($C$3:C3933))</f>
        <v/>
      </c>
      <c r="B3933" s="15" t="str">
        <f t="shared" si="336"/>
        <v/>
      </c>
      <c r="M3933" s="9"/>
      <c r="N3933" s="9"/>
      <c r="P3933" s="14"/>
      <c r="Q3933" s="85"/>
      <c r="R3933" s="89"/>
      <c r="U3933" s="11" t="str">
        <f t="shared" si="334"/>
        <v/>
      </c>
      <c r="V3933" s="12" t="str">
        <f t="shared" si="335"/>
        <v/>
      </c>
      <c r="Z3933" s="15"/>
    </row>
    <row r="3934" spans="1:26" x14ac:dyDescent="0.25">
      <c r="A3934" s="15" t="str">
        <f>IF(C3934="","",COUNTA($C$3:C3934))</f>
        <v/>
      </c>
      <c r="B3934" s="15" t="str">
        <f t="shared" si="336"/>
        <v/>
      </c>
      <c r="M3934" s="9"/>
      <c r="N3934" s="9"/>
      <c r="P3934" s="14"/>
      <c r="Q3934" s="85"/>
      <c r="R3934" s="89"/>
      <c r="U3934" s="11" t="str">
        <f t="shared" si="334"/>
        <v/>
      </c>
      <c r="V3934" s="12" t="str">
        <f t="shared" si="335"/>
        <v/>
      </c>
      <c r="Z3934" s="15"/>
    </row>
    <row r="3935" spans="1:26" x14ac:dyDescent="0.25">
      <c r="A3935" s="15" t="str">
        <f>IF(C3935="","",COUNTA($C$3:C3935))</f>
        <v/>
      </c>
      <c r="B3935" s="15" t="str">
        <f t="shared" si="336"/>
        <v/>
      </c>
      <c r="M3935" s="9"/>
      <c r="N3935" s="9"/>
      <c r="P3935" s="14"/>
      <c r="Q3935" s="85"/>
      <c r="R3935" s="89"/>
      <c r="U3935" s="11" t="str">
        <f t="shared" si="334"/>
        <v/>
      </c>
      <c r="V3935" s="12" t="str">
        <f t="shared" si="335"/>
        <v/>
      </c>
      <c r="Z3935" s="15"/>
    </row>
    <row r="3936" spans="1:26" x14ac:dyDescent="0.25">
      <c r="A3936" s="15" t="str">
        <f>IF(C3936="","",COUNTA($C$3:C3936))</f>
        <v/>
      </c>
      <c r="B3936" s="15" t="str">
        <f t="shared" si="336"/>
        <v/>
      </c>
      <c r="M3936" s="9"/>
      <c r="N3936" s="9"/>
      <c r="P3936" s="14"/>
      <c r="Q3936" s="85"/>
      <c r="R3936" s="89"/>
      <c r="U3936" s="11" t="str">
        <f t="shared" si="334"/>
        <v/>
      </c>
      <c r="V3936" s="12" t="str">
        <f t="shared" si="335"/>
        <v/>
      </c>
      <c r="Z3936" s="15"/>
    </row>
    <row r="3937" spans="1:26" x14ac:dyDescent="0.25">
      <c r="A3937" s="15" t="str">
        <f>IF(C3937="","",COUNTA($C$3:C3937))</f>
        <v/>
      </c>
      <c r="B3937" s="15" t="str">
        <f t="shared" si="336"/>
        <v/>
      </c>
      <c r="M3937" s="9"/>
      <c r="N3937" s="9"/>
      <c r="P3937" s="14"/>
      <c r="Q3937" s="85"/>
      <c r="R3937" s="89"/>
      <c r="U3937" s="11" t="str">
        <f t="shared" si="334"/>
        <v/>
      </c>
      <c r="V3937" s="12" t="str">
        <f t="shared" si="335"/>
        <v/>
      </c>
      <c r="Z3937" s="15"/>
    </row>
    <row r="3938" spans="1:26" x14ac:dyDescent="0.25">
      <c r="A3938" s="15" t="str">
        <f>IF(C3938="","",COUNTA($C$3:C3938))</f>
        <v/>
      </c>
      <c r="B3938" s="15" t="str">
        <f t="shared" si="336"/>
        <v/>
      </c>
      <c r="M3938" s="9"/>
      <c r="N3938" s="9"/>
      <c r="P3938" s="14"/>
      <c r="Q3938" s="85"/>
      <c r="R3938" s="89"/>
      <c r="U3938" s="11" t="str">
        <f t="shared" si="334"/>
        <v/>
      </c>
      <c r="V3938" s="12" t="str">
        <f t="shared" si="335"/>
        <v/>
      </c>
      <c r="Z3938" s="15"/>
    </row>
    <row r="3939" spans="1:26" x14ac:dyDescent="0.25">
      <c r="A3939" s="15" t="str">
        <f>IF(C3939="","",COUNTA($C$3:C3939))</f>
        <v/>
      </c>
      <c r="B3939" s="15" t="str">
        <f t="shared" si="336"/>
        <v/>
      </c>
      <c r="M3939" s="9"/>
      <c r="N3939" s="9"/>
      <c r="P3939" s="14"/>
      <c r="Q3939" s="85"/>
      <c r="R3939" s="89"/>
      <c r="U3939" s="11" t="str">
        <f t="shared" si="334"/>
        <v/>
      </c>
      <c r="V3939" s="12" t="str">
        <f t="shared" si="335"/>
        <v/>
      </c>
      <c r="Z3939" s="15"/>
    </row>
    <row r="3940" spans="1:26" x14ac:dyDescent="0.25">
      <c r="A3940" s="15" t="str">
        <f>IF(C3940="","",COUNTA($C$3:C3940))</f>
        <v/>
      </c>
      <c r="B3940" s="15" t="str">
        <f t="shared" si="336"/>
        <v/>
      </c>
      <c r="M3940" s="9"/>
      <c r="N3940" s="9"/>
      <c r="P3940" s="14"/>
      <c r="Q3940" s="85"/>
      <c r="R3940" s="89"/>
      <c r="U3940" s="11" t="str">
        <f t="shared" si="334"/>
        <v/>
      </c>
      <c r="V3940" s="12" t="str">
        <f t="shared" si="335"/>
        <v/>
      </c>
      <c r="Z3940" s="15"/>
    </row>
    <row r="3941" spans="1:26" x14ac:dyDescent="0.25">
      <c r="A3941" s="15" t="str">
        <f>IF(C3941="","",COUNTA($C$3:C3941))</f>
        <v/>
      </c>
      <c r="B3941" s="15" t="str">
        <f t="shared" si="336"/>
        <v/>
      </c>
      <c r="M3941" s="9"/>
      <c r="N3941" s="9"/>
      <c r="P3941" s="14"/>
      <c r="Q3941" s="85"/>
      <c r="R3941" s="89"/>
      <c r="U3941" s="11" t="str">
        <f t="shared" si="334"/>
        <v/>
      </c>
      <c r="V3941" s="12" t="str">
        <f t="shared" si="335"/>
        <v/>
      </c>
      <c r="Z3941" s="15"/>
    </row>
    <row r="3942" spans="1:26" x14ac:dyDescent="0.25">
      <c r="A3942" s="15" t="str">
        <f>IF(C3942="","",COUNTA($C$3:C3942))</f>
        <v/>
      </c>
      <c r="B3942" s="15" t="str">
        <f t="shared" si="336"/>
        <v/>
      </c>
      <c r="M3942" s="9"/>
      <c r="N3942" s="9"/>
      <c r="P3942" s="14"/>
      <c r="Q3942" s="85"/>
      <c r="R3942" s="89"/>
      <c r="U3942" s="11" t="str">
        <f t="shared" si="334"/>
        <v/>
      </c>
      <c r="V3942" s="12" t="str">
        <f t="shared" si="335"/>
        <v/>
      </c>
      <c r="Z3942" s="15"/>
    </row>
    <row r="3943" spans="1:26" x14ac:dyDescent="0.25">
      <c r="A3943" s="15" t="str">
        <f>IF(C3943="","",COUNTA($C$3:C3943))</f>
        <v/>
      </c>
      <c r="B3943" s="15" t="str">
        <f t="shared" si="336"/>
        <v/>
      </c>
      <c r="M3943" s="9"/>
      <c r="N3943" s="9"/>
      <c r="P3943" s="14"/>
      <c r="Q3943" s="85"/>
      <c r="R3943" s="89"/>
      <c r="U3943" s="11" t="str">
        <f t="shared" si="334"/>
        <v/>
      </c>
      <c r="V3943" s="12" t="str">
        <f t="shared" si="335"/>
        <v/>
      </c>
      <c r="Z3943" s="15"/>
    </row>
    <row r="3944" spans="1:26" x14ac:dyDescent="0.25">
      <c r="A3944" s="15" t="str">
        <f>IF(C3944="","",COUNTA($C$3:C3944))</f>
        <v/>
      </c>
      <c r="B3944" s="15" t="str">
        <f t="shared" si="336"/>
        <v/>
      </c>
      <c r="M3944" s="9"/>
      <c r="N3944" s="9"/>
      <c r="P3944" s="14"/>
      <c r="Q3944" s="85"/>
      <c r="R3944" s="89"/>
      <c r="U3944" s="11" t="str">
        <f t="shared" si="334"/>
        <v/>
      </c>
      <c r="V3944" s="12" t="str">
        <f t="shared" si="335"/>
        <v/>
      </c>
      <c r="Z3944" s="15"/>
    </row>
    <row r="3945" spans="1:26" x14ac:dyDescent="0.25">
      <c r="A3945" s="15" t="str">
        <f>IF(C3945="","",COUNTA($C$3:C3945))</f>
        <v/>
      </c>
      <c r="B3945" s="15" t="str">
        <f t="shared" si="336"/>
        <v/>
      </c>
      <c r="M3945" s="9"/>
      <c r="N3945" s="9"/>
      <c r="P3945" s="14"/>
      <c r="Q3945" s="85"/>
      <c r="R3945" s="89"/>
      <c r="U3945" s="11" t="str">
        <f t="shared" si="334"/>
        <v/>
      </c>
      <c r="V3945" s="12" t="str">
        <f t="shared" si="335"/>
        <v/>
      </c>
      <c r="Z3945" s="15"/>
    </row>
    <row r="3946" spans="1:26" x14ac:dyDescent="0.25">
      <c r="A3946" s="15" t="str">
        <f>IF(C3946="","",COUNTA($C$3:C3946))</f>
        <v/>
      </c>
      <c r="B3946" s="15" t="str">
        <f t="shared" si="336"/>
        <v/>
      </c>
      <c r="M3946" s="9"/>
      <c r="N3946" s="9"/>
      <c r="P3946" s="14"/>
      <c r="Q3946" s="85"/>
      <c r="R3946" s="89"/>
      <c r="U3946" s="11" t="str">
        <f t="shared" si="334"/>
        <v/>
      </c>
      <c r="V3946" s="12" t="str">
        <f t="shared" si="335"/>
        <v/>
      </c>
      <c r="Z3946" s="15"/>
    </row>
    <row r="3947" spans="1:26" x14ac:dyDescent="0.25">
      <c r="A3947" s="15" t="str">
        <f>IF(C3947="","",COUNTA($C$3:C3947))</f>
        <v/>
      </c>
      <c r="B3947" s="15" t="str">
        <f t="shared" si="336"/>
        <v/>
      </c>
      <c r="M3947" s="9"/>
      <c r="N3947" s="9"/>
      <c r="P3947" s="14"/>
      <c r="Q3947" s="85"/>
      <c r="R3947" s="89"/>
      <c r="U3947" s="11" t="str">
        <f t="shared" si="334"/>
        <v/>
      </c>
      <c r="V3947" s="12" t="str">
        <f t="shared" si="335"/>
        <v/>
      </c>
      <c r="Z3947" s="15"/>
    </row>
    <row r="3948" spans="1:26" x14ac:dyDescent="0.25">
      <c r="A3948" s="15" t="str">
        <f>IF(C3948="","",COUNTA($C$3:C3948))</f>
        <v/>
      </c>
      <c r="B3948" s="15" t="str">
        <f t="shared" si="336"/>
        <v/>
      </c>
      <c r="M3948" s="9"/>
      <c r="N3948" s="9"/>
      <c r="P3948" s="14"/>
      <c r="Q3948" s="85"/>
      <c r="R3948" s="89"/>
      <c r="U3948" s="11" t="str">
        <f t="shared" si="334"/>
        <v/>
      </c>
      <c r="V3948" s="12" t="str">
        <f t="shared" si="335"/>
        <v/>
      </c>
      <c r="Z3948" s="15"/>
    </row>
    <row r="3949" spans="1:26" x14ac:dyDescent="0.25">
      <c r="A3949" s="15" t="str">
        <f>IF(C3949="","",COUNTA($C$3:C3949))</f>
        <v/>
      </c>
      <c r="B3949" s="15" t="str">
        <f t="shared" si="336"/>
        <v/>
      </c>
      <c r="M3949" s="9"/>
      <c r="N3949" s="9"/>
      <c r="P3949" s="14"/>
      <c r="Q3949" s="85"/>
      <c r="R3949" s="89"/>
      <c r="U3949" s="11" t="str">
        <f t="shared" si="334"/>
        <v/>
      </c>
      <c r="V3949" s="12" t="str">
        <f t="shared" si="335"/>
        <v/>
      </c>
      <c r="Z3949" s="15"/>
    </row>
    <row r="3950" spans="1:26" x14ac:dyDescent="0.25">
      <c r="A3950" s="15" t="str">
        <f>IF(C3950="","",COUNTA($C$3:C3950))</f>
        <v/>
      </c>
      <c r="B3950" s="15" t="str">
        <f t="shared" si="336"/>
        <v/>
      </c>
      <c r="M3950" s="9"/>
      <c r="N3950" s="9"/>
      <c r="P3950" s="14"/>
      <c r="Q3950" s="85"/>
      <c r="R3950" s="89"/>
      <c r="U3950" s="11" t="str">
        <f t="shared" si="334"/>
        <v/>
      </c>
      <c r="V3950" s="12" t="str">
        <f t="shared" si="335"/>
        <v/>
      </c>
      <c r="Z3950" s="15"/>
    </row>
    <row r="3951" spans="1:26" x14ac:dyDescent="0.25">
      <c r="A3951" s="15" t="str">
        <f>IF(C3951="","",COUNTA($C$3:C3951))</f>
        <v/>
      </c>
      <c r="B3951" s="15" t="str">
        <f t="shared" si="336"/>
        <v/>
      </c>
      <c r="M3951" s="9"/>
      <c r="N3951" s="9"/>
      <c r="P3951" s="14"/>
      <c r="Q3951" s="85"/>
      <c r="R3951" s="89"/>
      <c r="U3951" s="11" t="str">
        <f t="shared" si="334"/>
        <v/>
      </c>
      <c r="V3951" s="12" t="str">
        <f t="shared" si="335"/>
        <v/>
      </c>
      <c r="Z3951" s="15"/>
    </row>
    <row r="3952" spans="1:26" x14ac:dyDescent="0.25">
      <c r="A3952" s="15" t="str">
        <f>IF(C3952="","",COUNTA($C$3:C3952))</f>
        <v/>
      </c>
      <c r="B3952" s="15" t="str">
        <f t="shared" si="336"/>
        <v/>
      </c>
      <c r="M3952" s="9"/>
      <c r="N3952" s="9"/>
      <c r="P3952" s="14"/>
      <c r="Q3952" s="85"/>
      <c r="R3952" s="89"/>
      <c r="U3952" s="11" t="str">
        <f t="shared" si="334"/>
        <v/>
      </c>
      <c r="V3952" s="12" t="str">
        <f t="shared" si="335"/>
        <v/>
      </c>
      <c r="Z3952" s="15"/>
    </row>
    <row r="3953" spans="1:26" x14ac:dyDescent="0.25">
      <c r="A3953" s="15" t="str">
        <f>IF(C3953="","",COUNTA($C$3:C3953))</f>
        <v/>
      </c>
      <c r="B3953" s="15" t="str">
        <f t="shared" si="336"/>
        <v/>
      </c>
      <c r="M3953" s="9"/>
      <c r="N3953" s="9"/>
      <c r="P3953" s="14"/>
      <c r="Q3953" s="85"/>
      <c r="R3953" s="89"/>
      <c r="U3953" s="11" t="str">
        <f t="shared" si="334"/>
        <v/>
      </c>
      <c r="V3953" s="12" t="str">
        <f t="shared" si="335"/>
        <v/>
      </c>
      <c r="Z3953" s="15"/>
    </row>
    <row r="3954" spans="1:26" x14ac:dyDescent="0.25">
      <c r="A3954" s="15" t="str">
        <f>IF(C3954="","",COUNTA($C$3:C3954))</f>
        <v/>
      </c>
      <c r="B3954" s="15" t="str">
        <f t="shared" si="336"/>
        <v/>
      </c>
      <c r="M3954" s="9"/>
      <c r="N3954" s="9"/>
      <c r="P3954" s="14"/>
      <c r="Q3954" s="85"/>
      <c r="R3954" s="89"/>
      <c r="U3954" s="11" t="str">
        <f t="shared" si="334"/>
        <v/>
      </c>
      <c r="V3954" s="12" t="str">
        <f t="shared" si="335"/>
        <v/>
      </c>
      <c r="Z3954" s="15"/>
    </row>
    <row r="3955" spans="1:26" x14ac:dyDescent="0.25">
      <c r="A3955" s="15" t="str">
        <f>IF(C3955="","",COUNTA($C$3:C3955))</f>
        <v/>
      </c>
      <c r="B3955" s="15" t="str">
        <f t="shared" si="336"/>
        <v/>
      </c>
      <c r="M3955" s="9"/>
      <c r="N3955" s="9"/>
      <c r="P3955" s="14"/>
      <c r="Q3955" s="85"/>
      <c r="R3955" s="89"/>
      <c r="U3955" s="11" t="str">
        <f t="shared" si="334"/>
        <v/>
      </c>
      <c r="V3955" s="12" t="str">
        <f t="shared" si="335"/>
        <v/>
      </c>
      <c r="Z3955" s="15"/>
    </row>
    <row r="3956" spans="1:26" x14ac:dyDescent="0.25">
      <c r="A3956" s="15" t="str">
        <f>IF(C3956="","",COUNTA($C$3:C3956))</f>
        <v/>
      </c>
      <c r="B3956" s="15" t="str">
        <f t="shared" si="336"/>
        <v/>
      </c>
      <c r="M3956" s="9"/>
      <c r="N3956" s="9"/>
      <c r="P3956" s="14"/>
      <c r="Q3956" s="85"/>
      <c r="R3956" s="89"/>
      <c r="U3956" s="11" t="str">
        <f t="shared" si="334"/>
        <v/>
      </c>
      <c r="V3956" s="12" t="str">
        <f t="shared" si="335"/>
        <v/>
      </c>
      <c r="Z3956" s="15"/>
    </row>
    <row r="3957" spans="1:26" x14ac:dyDescent="0.25">
      <c r="A3957" s="15" t="str">
        <f>IF(C3957="","",COUNTA($C$3:C3957))</f>
        <v/>
      </c>
      <c r="B3957" s="15" t="str">
        <f t="shared" si="336"/>
        <v/>
      </c>
      <c r="M3957" s="9"/>
      <c r="N3957" s="9"/>
      <c r="P3957" s="14"/>
      <c r="Q3957" s="85"/>
      <c r="R3957" s="89"/>
      <c r="U3957" s="11" t="str">
        <f t="shared" si="334"/>
        <v/>
      </c>
      <c r="V3957" s="12" t="str">
        <f t="shared" si="335"/>
        <v/>
      </c>
      <c r="Z3957" s="15"/>
    </row>
    <row r="3958" spans="1:26" x14ac:dyDescent="0.25">
      <c r="A3958" s="15" t="str">
        <f>IF(C3958="","",COUNTA($C$3:C3958))</f>
        <v/>
      </c>
      <c r="B3958" s="15" t="str">
        <f t="shared" si="336"/>
        <v/>
      </c>
      <c r="M3958" s="9"/>
      <c r="N3958" s="9"/>
      <c r="P3958" s="14"/>
      <c r="Q3958" s="85"/>
      <c r="R3958" s="89"/>
      <c r="U3958" s="11" t="str">
        <f t="shared" si="334"/>
        <v/>
      </c>
      <c r="V3958" s="12" t="str">
        <f t="shared" si="335"/>
        <v/>
      </c>
      <c r="Z3958" s="15"/>
    </row>
    <row r="3959" spans="1:26" x14ac:dyDescent="0.25">
      <c r="A3959" s="15" t="str">
        <f>IF(C3959="","",COUNTA($C$3:C3959))</f>
        <v/>
      </c>
      <c r="B3959" s="15" t="str">
        <f t="shared" si="336"/>
        <v/>
      </c>
      <c r="M3959" s="9"/>
      <c r="N3959" s="9"/>
      <c r="P3959" s="14"/>
      <c r="Q3959" s="85"/>
      <c r="R3959" s="89"/>
      <c r="U3959" s="11" t="str">
        <f t="shared" si="334"/>
        <v/>
      </c>
      <c r="V3959" s="12" t="str">
        <f t="shared" si="335"/>
        <v/>
      </c>
      <c r="Z3959" s="15"/>
    </row>
    <row r="3960" spans="1:26" x14ac:dyDescent="0.25">
      <c r="A3960" s="15" t="str">
        <f>IF(C3960="","",COUNTA($C$3:C3960))</f>
        <v/>
      </c>
      <c r="B3960" s="15" t="str">
        <f t="shared" si="336"/>
        <v/>
      </c>
      <c r="M3960" s="9"/>
      <c r="N3960" s="9"/>
      <c r="P3960" s="14"/>
      <c r="Q3960" s="85"/>
      <c r="R3960" s="89"/>
      <c r="U3960" s="11" t="str">
        <f t="shared" si="334"/>
        <v/>
      </c>
      <c r="V3960" s="12" t="str">
        <f t="shared" si="335"/>
        <v/>
      </c>
      <c r="Z3960" s="15"/>
    </row>
    <row r="3961" spans="1:26" x14ac:dyDescent="0.25">
      <c r="A3961" s="15" t="str">
        <f>IF(C3961="","",COUNTA($C$3:C3961))</f>
        <v/>
      </c>
      <c r="B3961" s="15" t="str">
        <f t="shared" si="336"/>
        <v/>
      </c>
      <c r="M3961" s="9"/>
      <c r="N3961" s="9"/>
      <c r="P3961" s="14"/>
      <c r="Q3961" s="85"/>
      <c r="R3961" s="89"/>
      <c r="U3961" s="11" t="str">
        <f t="shared" si="334"/>
        <v/>
      </c>
      <c r="V3961" s="12" t="str">
        <f t="shared" si="335"/>
        <v/>
      </c>
      <c r="Z3961" s="15"/>
    </row>
    <row r="3962" spans="1:26" x14ac:dyDescent="0.25">
      <c r="A3962" s="15" t="str">
        <f>IF(C3962="","",COUNTA($C$3:C3962))</f>
        <v/>
      </c>
      <c r="B3962" s="15" t="str">
        <f t="shared" si="336"/>
        <v/>
      </c>
      <c r="M3962" s="9"/>
      <c r="N3962" s="9"/>
      <c r="P3962" s="14"/>
      <c r="Q3962" s="85"/>
      <c r="R3962" s="89"/>
      <c r="U3962" s="11" t="str">
        <f t="shared" si="334"/>
        <v/>
      </c>
      <c r="V3962" s="12" t="str">
        <f t="shared" si="335"/>
        <v/>
      </c>
      <c r="Z3962" s="15"/>
    </row>
    <row r="3963" spans="1:26" x14ac:dyDescent="0.25">
      <c r="A3963" s="15" t="str">
        <f>IF(C3963="","",COUNTA($C$3:C3963))</f>
        <v/>
      </c>
      <c r="B3963" s="15" t="str">
        <f t="shared" si="336"/>
        <v/>
      </c>
      <c r="M3963" s="9"/>
      <c r="N3963" s="9"/>
      <c r="P3963" s="14"/>
      <c r="Q3963" s="85"/>
      <c r="R3963" s="89"/>
      <c r="U3963" s="11" t="str">
        <f t="shared" si="334"/>
        <v/>
      </c>
      <c r="V3963" s="12" t="str">
        <f t="shared" si="335"/>
        <v/>
      </c>
      <c r="Z3963" s="15"/>
    </row>
    <row r="3964" spans="1:26" x14ac:dyDescent="0.25">
      <c r="A3964" s="15" t="str">
        <f>IF(C3964="","",COUNTA($C$3:C3964))</f>
        <v/>
      </c>
      <c r="B3964" s="15" t="str">
        <f t="shared" si="336"/>
        <v/>
      </c>
      <c r="M3964" s="9"/>
      <c r="N3964" s="9"/>
      <c r="P3964" s="14"/>
      <c r="Q3964" s="85"/>
      <c r="R3964" s="89"/>
      <c r="U3964" s="11" t="str">
        <f t="shared" si="334"/>
        <v/>
      </c>
      <c r="V3964" s="12" t="str">
        <f t="shared" si="335"/>
        <v/>
      </c>
      <c r="Z3964" s="15"/>
    </row>
    <row r="3965" spans="1:26" x14ac:dyDescent="0.25">
      <c r="A3965" s="15" t="str">
        <f>IF(C3965="","",COUNTA($C$3:C3965))</f>
        <v/>
      </c>
      <c r="B3965" s="15" t="str">
        <f t="shared" si="336"/>
        <v/>
      </c>
      <c r="M3965" s="9"/>
      <c r="N3965" s="9"/>
      <c r="P3965" s="14"/>
      <c r="Q3965" s="85"/>
      <c r="R3965" s="89"/>
      <c r="U3965" s="11" t="str">
        <f t="shared" si="334"/>
        <v/>
      </c>
      <c r="V3965" s="12" t="str">
        <f t="shared" si="335"/>
        <v/>
      </c>
      <c r="Z3965" s="15"/>
    </row>
    <row r="3966" spans="1:26" x14ac:dyDescent="0.25">
      <c r="A3966" s="15" t="str">
        <f>IF(C3966="","",COUNTA($C$3:C3966))</f>
        <v/>
      </c>
      <c r="B3966" s="15" t="str">
        <f t="shared" si="336"/>
        <v/>
      </c>
      <c r="M3966" s="9"/>
      <c r="N3966" s="9"/>
      <c r="P3966" s="14"/>
      <c r="Q3966" s="85"/>
      <c r="R3966" s="89"/>
      <c r="U3966" s="11" t="str">
        <f t="shared" si="334"/>
        <v/>
      </c>
      <c r="V3966" s="12" t="str">
        <f t="shared" si="335"/>
        <v/>
      </c>
      <c r="Z3966" s="15"/>
    </row>
    <row r="3967" spans="1:26" x14ac:dyDescent="0.25">
      <c r="A3967" s="15" t="str">
        <f>IF(C3967="","",COUNTA($C$3:C3967))</f>
        <v/>
      </c>
      <c r="B3967" s="15" t="str">
        <f t="shared" si="336"/>
        <v/>
      </c>
      <c r="M3967" s="9"/>
      <c r="N3967" s="9"/>
      <c r="P3967" s="14"/>
      <c r="Q3967" s="85"/>
      <c r="R3967" s="89"/>
      <c r="U3967" s="11" t="str">
        <f t="shared" si="334"/>
        <v/>
      </c>
      <c r="V3967" s="12" t="str">
        <f t="shared" si="335"/>
        <v/>
      </c>
      <c r="Z3967" s="15"/>
    </row>
    <row r="3968" spans="1:26" x14ac:dyDescent="0.25">
      <c r="A3968" s="15" t="str">
        <f>IF(C3968="","",COUNTA($C$3:C3968))</f>
        <v/>
      </c>
      <c r="B3968" s="15" t="str">
        <f t="shared" si="336"/>
        <v/>
      </c>
      <c r="M3968" s="9"/>
      <c r="N3968" s="9"/>
      <c r="P3968" s="14"/>
      <c r="Q3968" s="85"/>
      <c r="R3968" s="89"/>
      <c r="U3968" s="11" t="str">
        <f t="shared" si="334"/>
        <v/>
      </c>
      <c r="V3968" s="12" t="str">
        <f t="shared" si="335"/>
        <v/>
      </c>
      <c r="Z3968" s="15"/>
    </row>
    <row r="3969" spans="1:26" x14ac:dyDescent="0.25">
      <c r="A3969" s="15" t="str">
        <f>IF(C3969="","",COUNTA($C$3:C3969))</f>
        <v/>
      </c>
      <c r="B3969" s="15" t="str">
        <f t="shared" si="336"/>
        <v/>
      </c>
      <c r="M3969" s="9"/>
      <c r="N3969" s="9"/>
      <c r="P3969" s="14"/>
      <c r="Q3969" s="85"/>
      <c r="R3969" s="89"/>
      <c r="U3969" s="11" t="str">
        <f t="shared" si="334"/>
        <v/>
      </c>
      <c r="V3969" s="12" t="str">
        <f t="shared" si="335"/>
        <v/>
      </c>
      <c r="Z3969" s="15"/>
    </row>
    <row r="3970" spans="1:26" x14ac:dyDescent="0.25">
      <c r="A3970" s="15" t="str">
        <f>IF(C3970="","",COUNTA($C$3:C3970))</f>
        <v/>
      </c>
      <c r="B3970" s="15" t="str">
        <f t="shared" si="336"/>
        <v/>
      </c>
      <c r="M3970" s="9"/>
      <c r="N3970" s="9"/>
      <c r="P3970" s="14"/>
      <c r="Q3970" s="85"/>
      <c r="R3970" s="89"/>
      <c r="U3970" s="11" t="str">
        <f t="shared" ref="U3970:U4033" si="337">IF(S3970="","",(S3970-T3970))</f>
        <v/>
      </c>
      <c r="V3970" s="12" t="str">
        <f t="shared" ref="V3970:V4033" si="338">IF(U3970="","",(U3970/T3970))</f>
        <v/>
      </c>
      <c r="Z3970" s="15"/>
    </row>
    <row r="3971" spans="1:26" x14ac:dyDescent="0.25">
      <c r="A3971" s="15" t="str">
        <f>IF(C3971="","",COUNTA($C$3:C3971))</f>
        <v/>
      </c>
      <c r="B3971" s="15" t="str">
        <f t="shared" ref="B3971:B4034" si="339">IF(C3971="","",TEXT(C3971,"mmmm"))</f>
        <v/>
      </c>
      <c r="M3971" s="9"/>
      <c r="N3971" s="9"/>
      <c r="P3971" s="14"/>
      <c r="Q3971" s="85"/>
      <c r="R3971" s="89"/>
      <c r="U3971" s="11" t="str">
        <f t="shared" si="337"/>
        <v/>
      </c>
      <c r="V3971" s="12" t="str">
        <f t="shared" si="338"/>
        <v/>
      </c>
      <c r="Z3971" s="15"/>
    </row>
    <row r="3972" spans="1:26" x14ac:dyDescent="0.25">
      <c r="A3972" s="15" t="str">
        <f>IF(C3972="","",COUNTA($C$3:C3972))</f>
        <v/>
      </c>
      <c r="B3972" s="15" t="str">
        <f t="shared" si="339"/>
        <v/>
      </c>
      <c r="M3972" s="9"/>
      <c r="N3972" s="9"/>
      <c r="P3972" s="14"/>
      <c r="Q3972" s="85"/>
      <c r="R3972" s="89"/>
      <c r="U3972" s="11" t="str">
        <f t="shared" si="337"/>
        <v/>
      </c>
      <c r="V3972" s="12" t="str">
        <f t="shared" si="338"/>
        <v/>
      </c>
      <c r="Z3972" s="15"/>
    </row>
    <row r="3973" spans="1:26" x14ac:dyDescent="0.25">
      <c r="A3973" s="15" t="str">
        <f>IF(C3973="","",COUNTA($C$3:C3973))</f>
        <v/>
      </c>
      <c r="B3973" s="15" t="str">
        <f t="shared" si="339"/>
        <v/>
      </c>
      <c r="M3973" s="9"/>
      <c r="N3973" s="9"/>
      <c r="P3973" s="14"/>
      <c r="Q3973" s="85"/>
      <c r="R3973" s="89"/>
      <c r="U3973" s="11" t="str">
        <f t="shared" si="337"/>
        <v/>
      </c>
      <c r="V3973" s="12" t="str">
        <f t="shared" si="338"/>
        <v/>
      </c>
      <c r="Z3973" s="15"/>
    </row>
    <row r="3974" spans="1:26" x14ac:dyDescent="0.25">
      <c r="A3974" s="15" t="str">
        <f>IF(C3974="","",COUNTA($C$3:C3974))</f>
        <v/>
      </c>
      <c r="B3974" s="15" t="str">
        <f t="shared" si="339"/>
        <v/>
      </c>
      <c r="M3974" s="9"/>
      <c r="N3974" s="9"/>
      <c r="P3974" s="14"/>
      <c r="Q3974" s="85"/>
      <c r="R3974" s="89"/>
      <c r="U3974" s="11" t="str">
        <f t="shared" si="337"/>
        <v/>
      </c>
      <c r="V3974" s="12" t="str">
        <f t="shared" si="338"/>
        <v/>
      </c>
      <c r="Z3974" s="15"/>
    </row>
    <row r="3975" spans="1:26" x14ac:dyDescent="0.25">
      <c r="A3975" s="15" t="str">
        <f>IF(C3975="","",COUNTA($C$3:C3975))</f>
        <v/>
      </c>
      <c r="B3975" s="15" t="str">
        <f t="shared" si="339"/>
        <v/>
      </c>
      <c r="M3975" s="9"/>
      <c r="N3975" s="9"/>
      <c r="P3975" s="14"/>
      <c r="Q3975" s="85"/>
      <c r="R3975" s="89"/>
      <c r="U3975" s="11" t="str">
        <f t="shared" si="337"/>
        <v/>
      </c>
      <c r="V3975" s="12" t="str">
        <f t="shared" si="338"/>
        <v/>
      </c>
      <c r="Z3975" s="15"/>
    </row>
    <row r="3976" spans="1:26" x14ac:dyDescent="0.25">
      <c r="A3976" s="15" t="str">
        <f>IF(C3976="","",COUNTA($C$3:C3976))</f>
        <v/>
      </c>
      <c r="B3976" s="15" t="str">
        <f t="shared" si="339"/>
        <v/>
      </c>
      <c r="M3976" s="9"/>
      <c r="N3976" s="9"/>
      <c r="P3976" s="14"/>
      <c r="Q3976" s="85"/>
      <c r="R3976" s="89"/>
      <c r="U3976" s="11" t="str">
        <f t="shared" si="337"/>
        <v/>
      </c>
      <c r="V3976" s="12" t="str">
        <f t="shared" si="338"/>
        <v/>
      </c>
      <c r="Z3976" s="15"/>
    </row>
    <row r="3977" spans="1:26" x14ac:dyDescent="0.25">
      <c r="A3977" s="15" t="str">
        <f>IF(C3977="","",COUNTA($C$3:C3977))</f>
        <v/>
      </c>
      <c r="B3977" s="15" t="str">
        <f t="shared" si="339"/>
        <v/>
      </c>
      <c r="M3977" s="9"/>
      <c r="N3977" s="9"/>
      <c r="P3977" s="14"/>
      <c r="Q3977" s="85"/>
      <c r="R3977" s="89"/>
      <c r="U3977" s="11" t="str">
        <f t="shared" si="337"/>
        <v/>
      </c>
      <c r="V3977" s="12" t="str">
        <f t="shared" si="338"/>
        <v/>
      </c>
      <c r="Z3977" s="15"/>
    </row>
    <row r="3978" spans="1:26" x14ac:dyDescent="0.25">
      <c r="A3978" s="15" t="str">
        <f>IF(C3978="","",COUNTA($C$3:C3978))</f>
        <v/>
      </c>
      <c r="B3978" s="15" t="str">
        <f t="shared" si="339"/>
        <v/>
      </c>
      <c r="M3978" s="9"/>
      <c r="N3978" s="9"/>
      <c r="P3978" s="14"/>
      <c r="Q3978" s="85"/>
      <c r="R3978" s="89"/>
      <c r="U3978" s="11" t="str">
        <f t="shared" si="337"/>
        <v/>
      </c>
      <c r="V3978" s="12" t="str">
        <f t="shared" si="338"/>
        <v/>
      </c>
      <c r="Z3978" s="15"/>
    </row>
    <row r="3979" spans="1:26" x14ac:dyDescent="0.25">
      <c r="A3979" s="15" t="str">
        <f>IF(C3979="","",COUNTA($C$3:C3979))</f>
        <v/>
      </c>
      <c r="B3979" s="15" t="str">
        <f t="shared" si="339"/>
        <v/>
      </c>
      <c r="M3979" s="9"/>
      <c r="N3979" s="9"/>
      <c r="P3979" s="14"/>
      <c r="Q3979" s="85"/>
      <c r="R3979" s="89"/>
      <c r="U3979" s="11" t="str">
        <f t="shared" si="337"/>
        <v/>
      </c>
      <c r="V3979" s="12" t="str">
        <f t="shared" si="338"/>
        <v/>
      </c>
      <c r="Z3979" s="15"/>
    </row>
    <row r="3980" spans="1:26" x14ac:dyDescent="0.25">
      <c r="A3980" s="15" t="str">
        <f>IF(C3980="","",COUNTA($C$3:C3980))</f>
        <v/>
      </c>
      <c r="B3980" s="15" t="str">
        <f t="shared" si="339"/>
        <v/>
      </c>
      <c r="M3980" s="9"/>
      <c r="N3980" s="9"/>
      <c r="P3980" s="14"/>
      <c r="Q3980" s="85"/>
      <c r="R3980" s="89"/>
      <c r="U3980" s="11" t="str">
        <f t="shared" si="337"/>
        <v/>
      </c>
      <c r="V3980" s="12" t="str">
        <f t="shared" si="338"/>
        <v/>
      </c>
      <c r="Z3980" s="15"/>
    </row>
    <row r="3981" spans="1:26" x14ac:dyDescent="0.25">
      <c r="A3981" s="15" t="str">
        <f>IF(C3981="","",COUNTA($C$3:C3981))</f>
        <v/>
      </c>
      <c r="B3981" s="15" t="str">
        <f t="shared" si="339"/>
        <v/>
      </c>
      <c r="M3981" s="9"/>
      <c r="N3981" s="9"/>
      <c r="P3981" s="14"/>
      <c r="Q3981" s="85"/>
      <c r="R3981" s="89"/>
      <c r="U3981" s="11" t="str">
        <f t="shared" si="337"/>
        <v/>
      </c>
      <c r="V3981" s="12" t="str">
        <f t="shared" si="338"/>
        <v/>
      </c>
      <c r="Z3981" s="15"/>
    </row>
    <row r="3982" spans="1:26" x14ac:dyDescent="0.25">
      <c r="A3982" s="15" t="str">
        <f>IF(C3982="","",COUNTA($C$3:C3982))</f>
        <v/>
      </c>
      <c r="B3982" s="15" t="str">
        <f t="shared" si="339"/>
        <v/>
      </c>
      <c r="M3982" s="9"/>
      <c r="N3982" s="9"/>
      <c r="P3982" s="14"/>
      <c r="Q3982" s="85"/>
      <c r="R3982" s="89"/>
      <c r="U3982" s="11" t="str">
        <f t="shared" si="337"/>
        <v/>
      </c>
      <c r="V3982" s="12" t="str">
        <f t="shared" si="338"/>
        <v/>
      </c>
      <c r="Z3982" s="15"/>
    </row>
    <row r="3983" spans="1:26" x14ac:dyDescent="0.25">
      <c r="A3983" s="15" t="str">
        <f>IF(C3983="","",COUNTA($C$3:C3983))</f>
        <v/>
      </c>
      <c r="B3983" s="15" t="str">
        <f t="shared" si="339"/>
        <v/>
      </c>
      <c r="M3983" s="9"/>
      <c r="N3983" s="9"/>
      <c r="P3983" s="14"/>
      <c r="Q3983" s="85"/>
      <c r="R3983" s="89"/>
      <c r="U3983" s="11" t="str">
        <f t="shared" si="337"/>
        <v/>
      </c>
      <c r="V3983" s="12" t="str">
        <f t="shared" si="338"/>
        <v/>
      </c>
      <c r="Z3983" s="15"/>
    </row>
    <row r="3984" spans="1:26" x14ac:dyDescent="0.25">
      <c r="A3984" s="15" t="str">
        <f>IF(C3984="","",COUNTA($C$3:C3984))</f>
        <v/>
      </c>
      <c r="B3984" s="15" t="str">
        <f t="shared" si="339"/>
        <v/>
      </c>
      <c r="M3984" s="9"/>
      <c r="N3984" s="9"/>
      <c r="P3984" s="14"/>
      <c r="Q3984" s="85"/>
      <c r="R3984" s="89"/>
      <c r="U3984" s="11" t="str">
        <f t="shared" si="337"/>
        <v/>
      </c>
      <c r="V3984" s="12" t="str">
        <f t="shared" si="338"/>
        <v/>
      </c>
      <c r="Z3984" s="15"/>
    </row>
    <row r="3985" spans="1:26" x14ac:dyDescent="0.25">
      <c r="A3985" s="15" t="str">
        <f>IF(C3985="","",COUNTA($C$3:C3985))</f>
        <v/>
      </c>
      <c r="B3985" s="15" t="str">
        <f t="shared" si="339"/>
        <v/>
      </c>
      <c r="M3985" s="9"/>
      <c r="N3985" s="9"/>
      <c r="P3985" s="14"/>
      <c r="Q3985" s="85"/>
      <c r="R3985" s="89"/>
      <c r="U3985" s="11" t="str">
        <f t="shared" si="337"/>
        <v/>
      </c>
      <c r="V3985" s="12" t="str">
        <f t="shared" si="338"/>
        <v/>
      </c>
      <c r="Z3985" s="15"/>
    </row>
    <row r="3986" spans="1:26" x14ac:dyDescent="0.25">
      <c r="A3986" s="15" t="str">
        <f>IF(C3986="","",COUNTA($C$3:C3986))</f>
        <v/>
      </c>
      <c r="B3986" s="15" t="str">
        <f t="shared" si="339"/>
        <v/>
      </c>
      <c r="M3986" s="9"/>
      <c r="N3986" s="9"/>
      <c r="P3986" s="14"/>
      <c r="Q3986" s="85"/>
      <c r="R3986" s="89"/>
      <c r="U3986" s="11" t="str">
        <f t="shared" si="337"/>
        <v/>
      </c>
      <c r="V3986" s="12" t="str">
        <f t="shared" si="338"/>
        <v/>
      </c>
      <c r="Z3986" s="15"/>
    </row>
    <row r="3987" spans="1:26" x14ac:dyDescent="0.25">
      <c r="A3987" s="15" t="str">
        <f>IF(C3987="","",COUNTA($C$3:C3987))</f>
        <v/>
      </c>
      <c r="B3987" s="15" t="str">
        <f t="shared" si="339"/>
        <v/>
      </c>
      <c r="M3987" s="9"/>
      <c r="N3987" s="9"/>
      <c r="P3987" s="14"/>
      <c r="Q3987" s="85"/>
      <c r="R3987" s="89"/>
      <c r="U3987" s="11" t="str">
        <f t="shared" si="337"/>
        <v/>
      </c>
      <c r="V3987" s="12" t="str">
        <f t="shared" si="338"/>
        <v/>
      </c>
      <c r="Z3987" s="15"/>
    </row>
    <row r="3988" spans="1:26" x14ac:dyDescent="0.25">
      <c r="A3988" s="15" t="str">
        <f>IF(C3988="","",COUNTA($C$3:C3988))</f>
        <v/>
      </c>
      <c r="B3988" s="15" t="str">
        <f t="shared" si="339"/>
        <v/>
      </c>
      <c r="M3988" s="9"/>
      <c r="N3988" s="9"/>
      <c r="P3988" s="14"/>
      <c r="Q3988" s="85"/>
      <c r="R3988" s="89"/>
      <c r="U3988" s="11" t="str">
        <f t="shared" si="337"/>
        <v/>
      </c>
      <c r="V3988" s="12" t="str">
        <f t="shared" si="338"/>
        <v/>
      </c>
      <c r="Z3988" s="15"/>
    </row>
    <row r="3989" spans="1:26" x14ac:dyDescent="0.25">
      <c r="A3989" s="15" t="str">
        <f>IF(C3989="","",COUNTA($C$3:C3989))</f>
        <v/>
      </c>
      <c r="B3989" s="15" t="str">
        <f t="shared" si="339"/>
        <v/>
      </c>
      <c r="M3989" s="9"/>
      <c r="N3989" s="9"/>
      <c r="P3989" s="14"/>
      <c r="Q3989" s="85"/>
      <c r="R3989" s="89"/>
      <c r="U3989" s="11" t="str">
        <f t="shared" si="337"/>
        <v/>
      </c>
      <c r="V3989" s="12" t="str">
        <f t="shared" si="338"/>
        <v/>
      </c>
      <c r="Z3989" s="15"/>
    </row>
    <row r="3990" spans="1:26" x14ac:dyDescent="0.25">
      <c r="A3990" s="15" t="str">
        <f>IF(C3990="","",COUNTA($C$3:C3990))</f>
        <v/>
      </c>
      <c r="B3990" s="15" t="str">
        <f t="shared" si="339"/>
        <v/>
      </c>
      <c r="M3990" s="9"/>
      <c r="N3990" s="9"/>
      <c r="P3990" s="14"/>
      <c r="Q3990" s="85"/>
      <c r="R3990" s="89"/>
      <c r="U3990" s="11" t="str">
        <f t="shared" si="337"/>
        <v/>
      </c>
      <c r="V3990" s="12" t="str">
        <f t="shared" si="338"/>
        <v/>
      </c>
      <c r="Z3990" s="15"/>
    </row>
    <row r="3991" spans="1:26" x14ac:dyDescent="0.25">
      <c r="A3991" s="15" t="str">
        <f>IF(C3991="","",COUNTA($C$3:C3991))</f>
        <v/>
      </c>
      <c r="B3991" s="15" t="str">
        <f t="shared" si="339"/>
        <v/>
      </c>
      <c r="M3991" s="9"/>
      <c r="N3991" s="9"/>
      <c r="P3991" s="14"/>
      <c r="Q3991" s="85"/>
      <c r="R3991" s="89"/>
      <c r="U3991" s="11" t="str">
        <f t="shared" si="337"/>
        <v/>
      </c>
      <c r="V3991" s="12" t="str">
        <f t="shared" si="338"/>
        <v/>
      </c>
      <c r="Z3991" s="15"/>
    </row>
    <row r="3992" spans="1:26" x14ac:dyDescent="0.25">
      <c r="A3992" s="15" t="str">
        <f>IF(C3992="","",COUNTA($C$3:C3992))</f>
        <v/>
      </c>
      <c r="B3992" s="15" t="str">
        <f t="shared" si="339"/>
        <v/>
      </c>
      <c r="M3992" s="9"/>
      <c r="N3992" s="9"/>
      <c r="P3992" s="14"/>
      <c r="Q3992" s="85"/>
      <c r="R3992" s="89"/>
      <c r="U3992" s="11" t="str">
        <f t="shared" si="337"/>
        <v/>
      </c>
      <c r="V3992" s="12" t="str">
        <f t="shared" si="338"/>
        <v/>
      </c>
      <c r="Z3992" s="15"/>
    </row>
    <row r="3993" spans="1:26" x14ac:dyDescent="0.25">
      <c r="A3993" s="15" t="str">
        <f>IF(C3993="","",COUNTA($C$3:C3993))</f>
        <v/>
      </c>
      <c r="B3993" s="15" t="str">
        <f t="shared" si="339"/>
        <v/>
      </c>
      <c r="M3993" s="9"/>
      <c r="N3993" s="9"/>
      <c r="P3993" s="14"/>
      <c r="Q3993" s="85"/>
      <c r="R3993" s="89"/>
      <c r="U3993" s="11" t="str">
        <f t="shared" si="337"/>
        <v/>
      </c>
      <c r="V3993" s="12" t="str">
        <f t="shared" si="338"/>
        <v/>
      </c>
      <c r="Z3993" s="15"/>
    </row>
    <row r="3994" spans="1:26" x14ac:dyDescent="0.25">
      <c r="A3994" s="15" t="str">
        <f>IF(C3994="","",COUNTA($C$3:C3994))</f>
        <v/>
      </c>
      <c r="B3994" s="15" t="str">
        <f t="shared" si="339"/>
        <v/>
      </c>
      <c r="M3994" s="9"/>
      <c r="N3994" s="9"/>
      <c r="P3994" s="14"/>
      <c r="Q3994" s="85"/>
      <c r="R3994" s="89"/>
      <c r="U3994" s="11" t="str">
        <f t="shared" si="337"/>
        <v/>
      </c>
      <c r="V3994" s="12" t="str">
        <f t="shared" si="338"/>
        <v/>
      </c>
      <c r="Z3994" s="15"/>
    </row>
    <row r="3995" spans="1:26" x14ac:dyDescent="0.25">
      <c r="A3995" s="15" t="str">
        <f>IF(C3995="","",COUNTA($C$3:C3995))</f>
        <v/>
      </c>
      <c r="B3995" s="15" t="str">
        <f t="shared" si="339"/>
        <v/>
      </c>
      <c r="M3995" s="9"/>
      <c r="N3995" s="9"/>
      <c r="P3995" s="14"/>
      <c r="Q3995" s="85"/>
      <c r="R3995" s="89"/>
      <c r="U3995" s="11" t="str">
        <f t="shared" si="337"/>
        <v/>
      </c>
      <c r="V3995" s="12" t="str">
        <f t="shared" si="338"/>
        <v/>
      </c>
      <c r="Z3995" s="15"/>
    </row>
    <row r="3996" spans="1:26" x14ac:dyDescent="0.25">
      <c r="A3996" s="15" t="str">
        <f>IF(C3996="","",COUNTA($C$3:C3996))</f>
        <v/>
      </c>
      <c r="B3996" s="15" t="str">
        <f t="shared" si="339"/>
        <v/>
      </c>
      <c r="M3996" s="9"/>
      <c r="N3996" s="9"/>
      <c r="P3996" s="14"/>
      <c r="Q3996" s="85"/>
      <c r="R3996" s="89"/>
      <c r="U3996" s="11" t="str">
        <f t="shared" si="337"/>
        <v/>
      </c>
      <c r="V3996" s="12" t="str">
        <f t="shared" si="338"/>
        <v/>
      </c>
      <c r="Z3996" s="15"/>
    </row>
    <row r="3997" spans="1:26" x14ac:dyDescent="0.25">
      <c r="A3997" s="15" t="str">
        <f>IF(C3997="","",COUNTA($C$3:C3997))</f>
        <v/>
      </c>
      <c r="B3997" s="15" t="str">
        <f t="shared" si="339"/>
        <v/>
      </c>
      <c r="M3997" s="9"/>
      <c r="N3997" s="9"/>
      <c r="P3997" s="14"/>
      <c r="Q3997" s="85"/>
      <c r="R3997" s="89"/>
      <c r="U3997" s="11" t="str">
        <f t="shared" si="337"/>
        <v/>
      </c>
      <c r="V3997" s="12" t="str">
        <f t="shared" si="338"/>
        <v/>
      </c>
      <c r="Z3997" s="15"/>
    </row>
    <row r="3998" spans="1:26" x14ac:dyDescent="0.25">
      <c r="A3998" s="15" t="str">
        <f>IF(C3998="","",COUNTA($C$3:C3998))</f>
        <v/>
      </c>
      <c r="B3998" s="15" t="str">
        <f t="shared" si="339"/>
        <v/>
      </c>
      <c r="M3998" s="9"/>
      <c r="N3998" s="9"/>
      <c r="P3998" s="14"/>
      <c r="Q3998" s="85"/>
      <c r="R3998" s="89"/>
      <c r="U3998" s="11" t="str">
        <f t="shared" si="337"/>
        <v/>
      </c>
      <c r="V3998" s="12" t="str">
        <f t="shared" si="338"/>
        <v/>
      </c>
      <c r="Z3998" s="15"/>
    </row>
    <row r="3999" spans="1:26" x14ac:dyDescent="0.25">
      <c r="A3999" s="15" t="str">
        <f>IF(C3999="","",COUNTA($C$3:C3999))</f>
        <v/>
      </c>
      <c r="B3999" s="15" t="str">
        <f t="shared" si="339"/>
        <v/>
      </c>
      <c r="M3999" s="9"/>
      <c r="N3999" s="9"/>
      <c r="P3999" s="14"/>
      <c r="Q3999" s="85"/>
      <c r="R3999" s="89"/>
      <c r="U3999" s="11" t="str">
        <f t="shared" si="337"/>
        <v/>
      </c>
      <c r="V3999" s="12" t="str">
        <f t="shared" si="338"/>
        <v/>
      </c>
      <c r="Z3999" s="15"/>
    </row>
    <row r="4000" spans="1:26" x14ac:dyDescent="0.25">
      <c r="A4000" s="15" t="str">
        <f>IF(C4000="","",COUNTA($C$3:C4000))</f>
        <v/>
      </c>
      <c r="B4000" s="15" t="str">
        <f t="shared" si="339"/>
        <v/>
      </c>
      <c r="M4000" s="9"/>
      <c r="N4000" s="9"/>
      <c r="P4000" s="14"/>
      <c r="Q4000" s="85"/>
      <c r="R4000" s="89"/>
      <c r="U4000" s="11" t="str">
        <f t="shared" si="337"/>
        <v/>
      </c>
      <c r="V4000" s="12" t="str">
        <f t="shared" si="338"/>
        <v/>
      </c>
      <c r="Z4000" s="15"/>
    </row>
    <row r="4001" spans="1:26" x14ac:dyDescent="0.25">
      <c r="A4001" s="15" t="str">
        <f>IF(C4001="","",COUNTA($C$3:C4001))</f>
        <v/>
      </c>
      <c r="B4001" s="15" t="str">
        <f t="shared" si="339"/>
        <v/>
      </c>
      <c r="M4001" s="9"/>
      <c r="N4001" s="9"/>
      <c r="P4001" s="14"/>
      <c r="Q4001" s="85"/>
      <c r="R4001" s="89"/>
      <c r="U4001" s="11" t="str">
        <f t="shared" si="337"/>
        <v/>
      </c>
      <c r="V4001" s="12" t="str">
        <f t="shared" si="338"/>
        <v/>
      </c>
      <c r="Z4001" s="15"/>
    </row>
    <row r="4002" spans="1:26" x14ac:dyDescent="0.25">
      <c r="A4002" s="15" t="str">
        <f>IF(C4002="","",COUNTA($C$3:C4002))</f>
        <v/>
      </c>
      <c r="B4002" s="15" t="str">
        <f t="shared" si="339"/>
        <v/>
      </c>
      <c r="M4002" s="9"/>
      <c r="N4002" s="9"/>
      <c r="P4002" s="14"/>
      <c r="Q4002" s="85"/>
      <c r="R4002" s="89"/>
      <c r="U4002" s="11" t="str">
        <f t="shared" si="337"/>
        <v/>
      </c>
      <c r="V4002" s="12" t="str">
        <f t="shared" si="338"/>
        <v/>
      </c>
      <c r="Z4002" s="15"/>
    </row>
    <row r="4003" spans="1:26" x14ac:dyDescent="0.25">
      <c r="A4003" s="15" t="str">
        <f>IF(C4003="","",COUNTA($C$3:C4003))</f>
        <v/>
      </c>
      <c r="B4003" s="15" t="str">
        <f t="shared" si="339"/>
        <v/>
      </c>
      <c r="M4003" s="9"/>
      <c r="N4003" s="9"/>
      <c r="P4003" s="14"/>
      <c r="Q4003" s="85"/>
      <c r="R4003" s="89"/>
      <c r="U4003" s="11" t="str">
        <f t="shared" si="337"/>
        <v/>
      </c>
      <c r="V4003" s="12" t="str">
        <f t="shared" si="338"/>
        <v/>
      </c>
      <c r="Z4003" s="15"/>
    </row>
    <row r="4004" spans="1:26" x14ac:dyDescent="0.25">
      <c r="A4004" s="15" t="str">
        <f>IF(C4004="","",COUNTA($C$3:C4004))</f>
        <v/>
      </c>
      <c r="B4004" s="15" t="str">
        <f t="shared" si="339"/>
        <v/>
      </c>
      <c r="M4004" s="9"/>
      <c r="N4004" s="9"/>
      <c r="P4004" s="14"/>
      <c r="Q4004" s="85"/>
      <c r="R4004" s="89"/>
      <c r="U4004" s="11" t="str">
        <f t="shared" si="337"/>
        <v/>
      </c>
      <c r="V4004" s="12" t="str">
        <f t="shared" si="338"/>
        <v/>
      </c>
      <c r="Z4004" s="15"/>
    </row>
    <row r="4005" spans="1:26" x14ac:dyDescent="0.25">
      <c r="A4005" s="15" t="str">
        <f>IF(C4005="","",COUNTA($C$3:C4005))</f>
        <v/>
      </c>
      <c r="B4005" s="15" t="str">
        <f t="shared" si="339"/>
        <v/>
      </c>
      <c r="M4005" s="9"/>
      <c r="N4005" s="9"/>
      <c r="P4005" s="14"/>
      <c r="Q4005" s="85"/>
      <c r="R4005" s="89"/>
      <c r="U4005" s="11" t="str">
        <f t="shared" si="337"/>
        <v/>
      </c>
      <c r="V4005" s="12" t="str">
        <f t="shared" si="338"/>
        <v/>
      </c>
      <c r="Z4005" s="15"/>
    </row>
    <row r="4006" spans="1:26" x14ac:dyDescent="0.25">
      <c r="A4006" s="15" t="str">
        <f>IF(C4006="","",COUNTA($C$3:C4006))</f>
        <v/>
      </c>
      <c r="B4006" s="15" t="str">
        <f t="shared" si="339"/>
        <v/>
      </c>
      <c r="M4006" s="9"/>
      <c r="N4006" s="9"/>
      <c r="P4006" s="14"/>
      <c r="Q4006" s="85"/>
      <c r="R4006" s="89"/>
      <c r="U4006" s="11" t="str">
        <f t="shared" si="337"/>
        <v/>
      </c>
      <c r="V4006" s="12" t="str">
        <f t="shared" si="338"/>
        <v/>
      </c>
      <c r="Z4006" s="15"/>
    </row>
    <row r="4007" spans="1:26" x14ac:dyDescent="0.25">
      <c r="A4007" s="15" t="str">
        <f>IF(C4007="","",COUNTA($C$3:C4007))</f>
        <v/>
      </c>
      <c r="B4007" s="15" t="str">
        <f t="shared" si="339"/>
        <v/>
      </c>
      <c r="M4007" s="9"/>
      <c r="N4007" s="9"/>
      <c r="P4007" s="14"/>
      <c r="Q4007" s="85"/>
      <c r="R4007" s="89"/>
      <c r="U4007" s="11" t="str">
        <f t="shared" si="337"/>
        <v/>
      </c>
      <c r="V4007" s="12" t="str">
        <f t="shared" si="338"/>
        <v/>
      </c>
      <c r="Z4007" s="15"/>
    </row>
    <row r="4008" spans="1:26" x14ac:dyDescent="0.25">
      <c r="A4008" s="15" t="str">
        <f>IF(C4008="","",COUNTA($C$3:C4008))</f>
        <v/>
      </c>
      <c r="B4008" s="15" t="str">
        <f t="shared" si="339"/>
        <v/>
      </c>
      <c r="M4008" s="9"/>
      <c r="N4008" s="9"/>
      <c r="P4008" s="14"/>
      <c r="Q4008" s="85"/>
      <c r="R4008" s="89"/>
      <c r="U4008" s="11" t="str">
        <f t="shared" si="337"/>
        <v/>
      </c>
      <c r="V4008" s="12" t="str">
        <f t="shared" si="338"/>
        <v/>
      </c>
      <c r="Z4008" s="15"/>
    </row>
    <row r="4009" spans="1:26" x14ac:dyDescent="0.25">
      <c r="A4009" s="15" t="str">
        <f>IF(C4009="","",COUNTA($C$3:C4009))</f>
        <v/>
      </c>
      <c r="B4009" s="15" t="str">
        <f t="shared" si="339"/>
        <v/>
      </c>
      <c r="M4009" s="9"/>
      <c r="N4009" s="9"/>
      <c r="P4009" s="14"/>
      <c r="Q4009" s="85"/>
      <c r="R4009" s="89"/>
      <c r="U4009" s="11" t="str">
        <f t="shared" si="337"/>
        <v/>
      </c>
      <c r="V4009" s="12" t="str">
        <f t="shared" si="338"/>
        <v/>
      </c>
      <c r="Z4009" s="15"/>
    </row>
    <row r="4010" spans="1:26" x14ac:dyDescent="0.25">
      <c r="A4010" s="15" t="str">
        <f>IF(C4010="","",COUNTA($C$3:C4010))</f>
        <v/>
      </c>
      <c r="B4010" s="15" t="str">
        <f t="shared" si="339"/>
        <v/>
      </c>
      <c r="M4010" s="9"/>
      <c r="N4010" s="9"/>
      <c r="P4010" s="14"/>
      <c r="Q4010" s="85"/>
      <c r="R4010" s="89"/>
      <c r="U4010" s="11" t="str">
        <f t="shared" si="337"/>
        <v/>
      </c>
      <c r="V4010" s="12" t="str">
        <f t="shared" si="338"/>
        <v/>
      </c>
      <c r="Z4010" s="15"/>
    </row>
    <row r="4011" spans="1:26" x14ac:dyDescent="0.25">
      <c r="A4011" s="15" t="str">
        <f>IF(C4011="","",COUNTA($C$3:C4011))</f>
        <v/>
      </c>
      <c r="B4011" s="15" t="str">
        <f t="shared" si="339"/>
        <v/>
      </c>
      <c r="M4011" s="9"/>
      <c r="N4011" s="9"/>
      <c r="P4011" s="14"/>
      <c r="Q4011" s="85"/>
      <c r="R4011" s="89"/>
      <c r="U4011" s="11" t="str">
        <f t="shared" si="337"/>
        <v/>
      </c>
      <c r="V4011" s="12" t="str">
        <f t="shared" si="338"/>
        <v/>
      </c>
      <c r="Z4011" s="15"/>
    </row>
    <row r="4012" spans="1:26" x14ac:dyDescent="0.25">
      <c r="A4012" s="15" t="str">
        <f>IF(C4012="","",COUNTA($C$3:C4012))</f>
        <v/>
      </c>
      <c r="B4012" s="15" t="str">
        <f t="shared" si="339"/>
        <v/>
      </c>
      <c r="M4012" s="9"/>
      <c r="N4012" s="9"/>
      <c r="P4012" s="14"/>
      <c r="Q4012" s="85"/>
      <c r="R4012" s="89"/>
      <c r="U4012" s="11" t="str">
        <f t="shared" si="337"/>
        <v/>
      </c>
      <c r="V4012" s="12" t="str">
        <f t="shared" si="338"/>
        <v/>
      </c>
      <c r="Z4012" s="15"/>
    </row>
    <row r="4013" spans="1:26" x14ac:dyDescent="0.25">
      <c r="A4013" s="15" t="str">
        <f>IF(C4013="","",COUNTA($C$3:C4013))</f>
        <v/>
      </c>
      <c r="B4013" s="15" t="str">
        <f t="shared" si="339"/>
        <v/>
      </c>
      <c r="M4013" s="9"/>
      <c r="N4013" s="9"/>
      <c r="P4013" s="14"/>
      <c r="Q4013" s="85"/>
      <c r="R4013" s="89"/>
      <c r="U4013" s="11" t="str">
        <f t="shared" si="337"/>
        <v/>
      </c>
      <c r="V4013" s="12" t="str">
        <f t="shared" si="338"/>
        <v/>
      </c>
      <c r="Z4013" s="15"/>
    </row>
    <row r="4014" spans="1:26" x14ac:dyDescent="0.25">
      <c r="A4014" s="15" t="str">
        <f>IF(C4014="","",COUNTA($C$3:C4014))</f>
        <v/>
      </c>
      <c r="B4014" s="15" t="str">
        <f t="shared" si="339"/>
        <v/>
      </c>
      <c r="M4014" s="9"/>
      <c r="N4014" s="9"/>
      <c r="P4014" s="14"/>
      <c r="Q4014" s="85"/>
      <c r="R4014" s="89"/>
      <c r="U4014" s="11" t="str">
        <f t="shared" si="337"/>
        <v/>
      </c>
      <c r="V4014" s="12" t="str">
        <f t="shared" si="338"/>
        <v/>
      </c>
      <c r="Z4014" s="15"/>
    </row>
    <row r="4015" spans="1:26" x14ac:dyDescent="0.25">
      <c r="A4015" s="15" t="str">
        <f>IF(C4015="","",COUNTA($C$3:C4015))</f>
        <v/>
      </c>
      <c r="B4015" s="15" t="str">
        <f t="shared" si="339"/>
        <v/>
      </c>
      <c r="M4015" s="9"/>
      <c r="N4015" s="9"/>
      <c r="P4015" s="14"/>
      <c r="Q4015" s="85"/>
      <c r="R4015" s="89"/>
      <c r="U4015" s="11" t="str">
        <f t="shared" si="337"/>
        <v/>
      </c>
      <c r="V4015" s="12" t="str">
        <f t="shared" si="338"/>
        <v/>
      </c>
      <c r="Z4015" s="15"/>
    </row>
    <row r="4016" spans="1:26" x14ac:dyDescent="0.25">
      <c r="A4016" s="15" t="str">
        <f>IF(C4016="","",COUNTA($C$3:C4016))</f>
        <v/>
      </c>
      <c r="B4016" s="15" t="str">
        <f t="shared" si="339"/>
        <v/>
      </c>
      <c r="M4016" s="9"/>
      <c r="N4016" s="9"/>
      <c r="P4016" s="14"/>
      <c r="Q4016" s="85"/>
      <c r="R4016" s="89"/>
      <c r="U4016" s="11" t="str">
        <f t="shared" si="337"/>
        <v/>
      </c>
      <c r="V4016" s="12" t="str">
        <f t="shared" si="338"/>
        <v/>
      </c>
      <c r="Z4016" s="15"/>
    </row>
    <row r="4017" spans="1:26" x14ac:dyDescent="0.25">
      <c r="A4017" s="15" t="str">
        <f>IF(C4017="","",COUNTA($C$3:C4017))</f>
        <v/>
      </c>
      <c r="B4017" s="15" t="str">
        <f t="shared" si="339"/>
        <v/>
      </c>
      <c r="M4017" s="9"/>
      <c r="N4017" s="9"/>
      <c r="P4017" s="14"/>
      <c r="Q4017" s="85"/>
      <c r="R4017" s="89"/>
      <c r="U4017" s="11" t="str">
        <f t="shared" si="337"/>
        <v/>
      </c>
      <c r="V4017" s="12" t="str">
        <f t="shared" si="338"/>
        <v/>
      </c>
      <c r="Z4017" s="15"/>
    </row>
    <row r="4018" spans="1:26" x14ac:dyDescent="0.25">
      <c r="A4018" s="15" t="str">
        <f>IF(C4018="","",COUNTA($C$3:C4018))</f>
        <v/>
      </c>
      <c r="B4018" s="15" t="str">
        <f t="shared" si="339"/>
        <v/>
      </c>
      <c r="M4018" s="9"/>
      <c r="N4018" s="9"/>
      <c r="P4018" s="14"/>
      <c r="Q4018" s="85"/>
      <c r="R4018" s="89"/>
      <c r="U4018" s="11" t="str">
        <f t="shared" si="337"/>
        <v/>
      </c>
      <c r="V4018" s="12" t="str">
        <f t="shared" si="338"/>
        <v/>
      </c>
      <c r="Z4018" s="15"/>
    </row>
    <row r="4019" spans="1:26" x14ac:dyDescent="0.25">
      <c r="A4019" s="15" t="str">
        <f>IF(C4019="","",COUNTA($C$3:C4019))</f>
        <v/>
      </c>
      <c r="B4019" s="15" t="str">
        <f t="shared" si="339"/>
        <v/>
      </c>
      <c r="M4019" s="9"/>
      <c r="N4019" s="9"/>
      <c r="P4019" s="14"/>
      <c r="Q4019" s="85"/>
      <c r="R4019" s="89"/>
      <c r="U4019" s="11" t="str">
        <f t="shared" si="337"/>
        <v/>
      </c>
      <c r="V4019" s="12" t="str">
        <f t="shared" si="338"/>
        <v/>
      </c>
      <c r="Z4019" s="15"/>
    </row>
    <row r="4020" spans="1:26" x14ac:dyDescent="0.25">
      <c r="A4020" s="15" t="str">
        <f>IF(C4020="","",COUNTA($C$3:C4020))</f>
        <v/>
      </c>
      <c r="B4020" s="15" t="str">
        <f t="shared" si="339"/>
        <v/>
      </c>
      <c r="M4020" s="9"/>
      <c r="N4020" s="9"/>
      <c r="P4020" s="14"/>
      <c r="Q4020" s="85"/>
      <c r="R4020" s="89"/>
      <c r="U4020" s="11" t="str">
        <f t="shared" si="337"/>
        <v/>
      </c>
      <c r="V4020" s="12" t="str">
        <f t="shared" si="338"/>
        <v/>
      </c>
      <c r="Z4020" s="15"/>
    </row>
    <row r="4021" spans="1:26" x14ac:dyDescent="0.25">
      <c r="A4021" s="15" t="str">
        <f>IF(C4021="","",COUNTA($C$3:C4021))</f>
        <v/>
      </c>
      <c r="B4021" s="15" t="str">
        <f t="shared" si="339"/>
        <v/>
      </c>
      <c r="M4021" s="9"/>
      <c r="N4021" s="9"/>
      <c r="P4021" s="14"/>
      <c r="Q4021" s="85"/>
      <c r="R4021" s="89"/>
      <c r="U4021" s="11" t="str">
        <f t="shared" si="337"/>
        <v/>
      </c>
      <c r="V4021" s="12" t="str">
        <f t="shared" si="338"/>
        <v/>
      </c>
      <c r="Z4021" s="15"/>
    </row>
    <row r="4022" spans="1:26" x14ac:dyDescent="0.25">
      <c r="A4022" s="15" t="str">
        <f>IF(C4022="","",COUNTA($C$3:C4022))</f>
        <v/>
      </c>
      <c r="B4022" s="15" t="str">
        <f t="shared" si="339"/>
        <v/>
      </c>
      <c r="M4022" s="9"/>
      <c r="N4022" s="9"/>
      <c r="P4022" s="14"/>
      <c r="Q4022" s="85"/>
      <c r="R4022" s="89"/>
      <c r="U4022" s="11" t="str">
        <f t="shared" si="337"/>
        <v/>
      </c>
      <c r="V4022" s="12" t="str">
        <f t="shared" si="338"/>
        <v/>
      </c>
      <c r="Z4022" s="15"/>
    </row>
    <row r="4023" spans="1:26" x14ac:dyDescent="0.25">
      <c r="A4023" s="15" t="str">
        <f>IF(C4023="","",COUNTA($C$3:C4023))</f>
        <v/>
      </c>
      <c r="B4023" s="15" t="str">
        <f t="shared" si="339"/>
        <v/>
      </c>
      <c r="M4023" s="9"/>
      <c r="N4023" s="9"/>
      <c r="P4023" s="14"/>
      <c r="Q4023" s="85"/>
      <c r="R4023" s="89"/>
      <c r="U4023" s="11" t="str">
        <f t="shared" si="337"/>
        <v/>
      </c>
      <c r="V4023" s="12" t="str">
        <f t="shared" si="338"/>
        <v/>
      </c>
      <c r="Z4023" s="15"/>
    </row>
    <row r="4024" spans="1:26" x14ac:dyDescent="0.25">
      <c r="A4024" s="15" t="str">
        <f>IF(C4024="","",COUNTA($C$3:C4024))</f>
        <v/>
      </c>
      <c r="B4024" s="15" t="str">
        <f t="shared" si="339"/>
        <v/>
      </c>
      <c r="M4024" s="9"/>
      <c r="N4024" s="9"/>
      <c r="P4024" s="14"/>
      <c r="Q4024" s="85"/>
      <c r="R4024" s="89"/>
      <c r="U4024" s="11" t="str">
        <f t="shared" si="337"/>
        <v/>
      </c>
      <c r="V4024" s="12" t="str">
        <f t="shared" si="338"/>
        <v/>
      </c>
      <c r="Z4024" s="15"/>
    </row>
    <row r="4025" spans="1:26" x14ac:dyDescent="0.25">
      <c r="A4025" s="15" t="str">
        <f>IF(C4025="","",COUNTA($C$3:C4025))</f>
        <v/>
      </c>
      <c r="B4025" s="15" t="str">
        <f t="shared" si="339"/>
        <v/>
      </c>
      <c r="M4025" s="9"/>
      <c r="N4025" s="9"/>
      <c r="P4025" s="14"/>
      <c r="Q4025" s="85"/>
      <c r="R4025" s="89"/>
      <c r="U4025" s="11" t="str">
        <f t="shared" si="337"/>
        <v/>
      </c>
      <c r="V4025" s="12" t="str">
        <f t="shared" si="338"/>
        <v/>
      </c>
      <c r="Z4025" s="15"/>
    </row>
    <row r="4026" spans="1:26" x14ac:dyDescent="0.25">
      <c r="A4026" s="15" t="str">
        <f>IF(C4026="","",COUNTA($C$3:C4026))</f>
        <v/>
      </c>
      <c r="B4026" s="15" t="str">
        <f t="shared" si="339"/>
        <v/>
      </c>
      <c r="M4026" s="9"/>
      <c r="N4026" s="9"/>
      <c r="P4026" s="14"/>
      <c r="Q4026" s="85"/>
      <c r="R4026" s="89"/>
      <c r="U4026" s="11" t="str">
        <f t="shared" si="337"/>
        <v/>
      </c>
      <c r="V4026" s="12" t="str">
        <f t="shared" si="338"/>
        <v/>
      </c>
      <c r="Z4026" s="15"/>
    </row>
    <row r="4027" spans="1:26" x14ac:dyDescent="0.25">
      <c r="A4027" s="15" t="str">
        <f>IF(C4027="","",COUNTA($C$3:C4027))</f>
        <v/>
      </c>
      <c r="B4027" s="15" t="str">
        <f t="shared" si="339"/>
        <v/>
      </c>
      <c r="M4027" s="9"/>
      <c r="N4027" s="9"/>
      <c r="P4027" s="14"/>
      <c r="Q4027" s="85"/>
      <c r="R4027" s="89"/>
      <c r="U4027" s="11" t="str">
        <f t="shared" si="337"/>
        <v/>
      </c>
      <c r="V4027" s="12" t="str">
        <f t="shared" si="338"/>
        <v/>
      </c>
      <c r="Z4027" s="15"/>
    </row>
    <row r="4028" spans="1:26" x14ac:dyDescent="0.25">
      <c r="A4028" s="15" t="str">
        <f>IF(C4028="","",COUNTA($C$3:C4028))</f>
        <v/>
      </c>
      <c r="B4028" s="15" t="str">
        <f t="shared" si="339"/>
        <v/>
      </c>
      <c r="M4028" s="9"/>
      <c r="N4028" s="9"/>
      <c r="P4028" s="14"/>
      <c r="Q4028" s="85"/>
      <c r="R4028" s="89"/>
      <c r="U4028" s="11" t="str">
        <f t="shared" si="337"/>
        <v/>
      </c>
      <c r="V4028" s="12" t="str">
        <f t="shared" si="338"/>
        <v/>
      </c>
      <c r="Z4028" s="15"/>
    </row>
    <row r="4029" spans="1:26" x14ac:dyDescent="0.25">
      <c r="A4029" s="15" t="str">
        <f>IF(C4029="","",COUNTA($C$3:C4029))</f>
        <v/>
      </c>
      <c r="B4029" s="15" t="str">
        <f t="shared" si="339"/>
        <v/>
      </c>
      <c r="M4029" s="9"/>
      <c r="N4029" s="9"/>
      <c r="P4029" s="14"/>
      <c r="Q4029" s="85"/>
      <c r="R4029" s="89"/>
      <c r="U4029" s="11" t="str">
        <f t="shared" si="337"/>
        <v/>
      </c>
      <c r="V4029" s="12" t="str">
        <f t="shared" si="338"/>
        <v/>
      </c>
      <c r="Z4029" s="15"/>
    </row>
    <row r="4030" spans="1:26" x14ac:dyDescent="0.25">
      <c r="A4030" s="15" t="str">
        <f>IF(C4030="","",COUNTA($C$3:C4030))</f>
        <v/>
      </c>
      <c r="B4030" s="15" t="str">
        <f t="shared" si="339"/>
        <v/>
      </c>
      <c r="M4030" s="9"/>
      <c r="N4030" s="9"/>
      <c r="P4030" s="14"/>
      <c r="Q4030" s="85"/>
      <c r="R4030" s="89"/>
      <c r="U4030" s="11" t="str">
        <f t="shared" si="337"/>
        <v/>
      </c>
      <c r="V4030" s="12" t="str">
        <f t="shared" si="338"/>
        <v/>
      </c>
      <c r="Z4030" s="15"/>
    </row>
    <row r="4031" spans="1:26" x14ac:dyDescent="0.25">
      <c r="A4031" s="15" t="str">
        <f>IF(C4031="","",COUNTA($C$3:C4031))</f>
        <v/>
      </c>
      <c r="B4031" s="15" t="str">
        <f t="shared" si="339"/>
        <v/>
      </c>
      <c r="M4031" s="9"/>
      <c r="N4031" s="9"/>
      <c r="P4031" s="14"/>
      <c r="Q4031" s="85"/>
      <c r="R4031" s="89"/>
      <c r="U4031" s="11" t="str">
        <f t="shared" si="337"/>
        <v/>
      </c>
      <c r="V4031" s="12" t="str">
        <f t="shared" si="338"/>
        <v/>
      </c>
      <c r="Z4031" s="15"/>
    </row>
    <row r="4032" spans="1:26" x14ac:dyDescent="0.25">
      <c r="A4032" s="15" t="str">
        <f>IF(C4032="","",COUNTA($C$3:C4032))</f>
        <v/>
      </c>
      <c r="B4032" s="15" t="str">
        <f t="shared" si="339"/>
        <v/>
      </c>
      <c r="M4032" s="9"/>
      <c r="N4032" s="9"/>
      <c r="P4032" s="14"/>
      <c r="Q4032" s="85"/>
      <c r="R4032" s="89"/>
      <c r="U4032" s="11" t="str">
        <f t="shared" si="337"/>
        <v/>
      </c>
      <c r="V4032" s="12" t="str">
        <f t="shared" si="338"/>
        <v/>
      </c>
      <c r="Z4032" s="15"/>
    </row>
    <row r="4033" spans="1:26" x14ac:dyDescent="0.25">
      <c r="A4033" s="15" t="str">
        <f>IF(C4033="","",COUNTA($C$3:C4033))</f>
        <v/>
      </c>
      <c r="B4033" s="15" t="str">
        <f t="shared" si="339"/>
        <v/>
      </c>
      <c r="M4033" s="9"/>
      <c r="N4033" s="9"/>
      <c r="P4033" s="14"/>
      <c r="Q4033" s="85"/>
      <c r="R4033" s="89"/>
      <c r="U4033" s="11" t="str">
        <f t="shared" si="337"/>
        <v/>
      </c>
      <c r="V4033" s="12" t="str">
        <f t="shared" si="338"/>
        <v/>
      </c>
      <c r="Z4033" s="15"/>
    </row>
    <row r="4034" spans="1:26" x14ac:dyDescent="0.25">
      <c r="A4034" s="15" t="str">
        <f>IF(C4034="","",COUNTA($C$3:C4034))</f>
        <v/>
      </c>
      <c r="B4034" s="15" t="str">
        <f t="shared" si="339"/>
        <v/>
      </c>
      <c r="M4034" s="9"/>
      <c r="N4034" s="9"/>
      <c r="P4034" s="14"/>
      <c r="Q4034" s="85"/>
      <c r="R4034" s="89"/>
      <c r="U4034" s="11" t="str">
        <f t="shared" ref="U4034:U4097" si="340">IF(S4034="","",(S4034-T4034))</f>
        <v/>
      </c>
      <c r="V4034" s="12" t="str">
        <f t="shared" ref="V4034:V4097" si="341">IF(U4034="","",(U4034/T4034))</f>
        <v/>
      </c>
      <c r="Z4034" s="15"/>
    </row>
    <row r="4035" spans="1:26" x14ac:dyDescent="0.25">
      <c r="A4035" s="15" t="str">
        <f>IF(C4035="","",COUNTA($C$3:C4035))</f>
        <v/>
      </c>
      <c r="B4035" s="15" t="str">
        <f t="shared" ref="B4035:B4098" si="342">IF(C4035="","",TEXT(C4035,"mmmm"))</f>
        <v/>
      </c>
      <c r="M4035" s="9"/>
      <c r="N4035" s="9"/>
      <c r="P4035" s="14"/>
      <c r="Q4035" s="85"/>
      <c r="R4035" s="89"/>
      <c r="U4035" s="11" t="str">
        <f t="shared" si="340"/>
        <v/>
      </c>
      <c r="V4035" s="12" t="str">
        <f t="shared" si="341"/>
        <v/>
      </c>
      <c r="Z4035" s="15"/>
    </row>
    <row r="4036" spans="1:26" x14ac:dyDescent="0.25">
      <c r="A4036" s="15" t="str">
        <f>IF(C4036="","",COUNTA($C$3:C4036))</f>
        <v/>
      </c>
      <c r="B4036" s="15" t="str">
        <f t="shared" si="342"/>
        <v/>
      </c>
      <c r="M4036" s="9"/>
      <c r="N4036" s="9"/>
      <c r="P4036" s="14"/>
      <c r="Q4036" s="85"/>
      <c r="R4036" s="89"/>
      <c r="U4036" s="11" t="str">
        <f t="shared" si="340"/>
        <v/>
      </c>
      <c r="V4036" s="12" t="str">
        <f t="shared" si="341"/>
        <v/>
      </c>
      <c r="Z4036" s="15"/>
    </row>
    <row r="4037" spans="1:26" x14ac:dyDescent="0.25">
      <c r="A4037" s="15" t="str">
        <f>IF(C4037="","",COUNTA($C$3:C4037))</f>
        <v/>
      </c>
      <c r="B4037" s="15" t="str">
        <f t="shared" si="342"/>
        <v/>
      </c>
      <c r="M4037" s="9"/>
      <c r="N4037" s="9"/>
      <c r="P4037" s="14"/>
      <c r="Q4037" s="85"/>
      <c r="R4037" s="89"/>
      <c r="U4037" s="11" t="str">
        <f t="shared" si="340"/>
        <v/>
      </c>
      <c r="V4037" s="12" t="str">
        <f t="shared" si="341"/>
        <v/>
      </c>
      <c r="Z4037" s="15"/>
    </row>
    <row r="4038" spans="1:26" x14ac:dyDescent="0.25">
      <c r="A4038" s="15" t="str">
        <f>IF(C4038="","",COUNTA($C$3:C4038))</f>
        <v/>
      </c>
      <c r="B4038" s="15" t="str">
        <f t="shared" si="342"/>
        <v/>
      </c>
      <c r="M4038" s="9"/>
      <c r="N4038" s="9"/>
      <c r="P4038" s="14"/>
      <c r="Q4038" s="85"/>
      <c r="R4038" s="89"/>
      <c r="U4038" s="11" t="str">
        <f t="shared" si="340"/>
        <v/>
      </c>
      <c r="V4038" s="12" t="str">
        <f t="shared" si="341"/>
        <v/>
      </c>
      <c r="Z4038" s="15"/>
    </row>
    <row r="4039" spans="1:26" x14ac:dyDescent="0.25">
      <c r="A4039" s="15" t="str">
        <f>IF(C4039="","",COUNTA($C$3:C4039))</f>
        <v/>
      </c>
      <c r="B4039" s="15" t="str">
        <f t="shared" si="342"/>
        <v/>
      </c>
      <c r="M4039" s="9"/>
      <c r="N4039" s="9"/>
      <c r="P4039" s="14"/>
      <c r="Q4039" s="85"/>
      <c r="R4039" s="89"/>
      <c r="U4039" s="11" t="str">
        <f t="shared" si="340"/>
        <v/>
      </c>
      <c r="V4039" s="12" t="str">
        <f t="shared" si="341"/>
        <v/>
      </c>
      <c r="Z4039" s="15"/>
    </row>
    <row r="4040" spans="1:26" x14ac:dyDescent="0.25">
      <c r="A4040" s="15" t="str">
        <f>IF(C4040="","",COUNTA($C$3:C4040))</f>
        <v/>
      </c>
      <c r="B4040" s="15" t="str">
        <f t="shared" si="342"/>
        <v/>
      </c>
      <c r="M4040" s="9"/>
      <c r="N4040" s="9"/>
      <c r="P4040" s="14"/>
      <c r="Q4040" s="85"/>
      <c r="R4040" s="89"/>
      <c r="U4040" s="11" t="str">
        <f t="shared" si="340"/>
        <v/>
      </c>
      <c r="V4040" s="12" t="str">
        <f t="shared" si="341"/>
        <v/>
      </c>
      <c r="Z4040" s="15"/>
    </row>
    <row r="4041" spans="1:26" x14ac:dyDescent="0.25">
      <c r="A4041" s="15" t="str">
        <f>IF(C4041="","",COUNTA($C$3:C4041))</f>
        <v/>
      </c>
      <c r="B4041" s="15" t="str">
        <f t="shared" si="342"/>
        <v/>
      </c>
      <c r="M4041" s="9"/>
      <c r="N4041" s="9"/>
      <c r="P4041" s="14"/>
      <c r="Q4041" s="85"/>
      <c r="R4041" s="89"/>
      <c r="U4041" s="11" t="str">
        <f t="shared" si="340"/>
        <v/>
      </c>
      <c r="V4041" s="12" t="str">
        <f t="shared" si="341"/>
        <v/>
      </c>
      <c r="Z4041" s="15"/>
    </row>
    <row r="4042" spans="1:26" x14ac:dyDescent="0.25">
      <c r="A4042" s="15" t="str">
        <f>IF(C4042="","",COUNTA($C$3:C4042))</f>
        <v/>
      </c>
      <c r="B4042" s="15" t="str">
        <f t="shared" si="342"/>
        <v/>
      </c>
      <c r="M4042" s="9"/>
      <c r="N4042" s="9"/>
      <c r="P4042" s="14"/>
      <c r="Q4042" s="85"/>
      <c r="R4042" s="89"/>
      <c r="U4042" s="11" t="str">
        <f t="shared" si="340"/>
        <v/>
      </c>
      <c r="V4042" s="12" t="str">
        <f t="shared" si="341"/>
        <v/>
      </c>
      <c r="Z4042" s="15"/>
    </row>
    <row r="4043" spans="1:26" x14ac:dyDescent="0.25">
      <c r="A4043" s="15" t="str">
        <f>IF(C4043="","",COUNTA($C$3:C4043))</f>
        <v/>
      </c>
      <c r="B4043" s="15" t="str">
        <f t="shared" si="342"/>
        <v/>
      </c>
      <c r="M4043" s="9"/>
      <c r="N4043" s="9"/>
      <c r="P4043" s="14"/>
      <c r="Q4043" s="85"/>
      <c r="R4043" s="89"/>
      <c r="U4043" s="11" t="str">
        <f t="shared" si="340"/>
        <v/>
      </c>
      <c r="V4043" s="12" t="str">
        <f t="shared" si="341"/>
        <v/>
      </c>
      <c r="Z4043" s="15"/>
    </row>
    <row r="4044" spans="1:26" x14ac:dyDescent="0.25">
      <c r="A4044" s="15" t="str">
        <f>IF(C4044="","",COUNTA($C$3:C4044))</f>
        <v/>
      </c>
      <c r="B4044" s="15" t="str">
        <f t="shared" si="342"/>
        <v/>
      </c>
      <c r="M4044" s="9"/>
      <c r="N4044" s="9"/>
      <c r="P4044" s="14"/>
      <c r="Q4044" s="85"/>
      <c r="R4044" s="89"/>
      <c r="U4044" s="11" t="str">
        <f t="shared" si="340"/>
        <v/>
      </c>
      <c r="V4044" s="12" t="str">
        <f t="shared" si="341"/>
        <v/>
      </c>
      <c r="Z4044" s="15"/>
    </row>
    <row r="4045" spans="1:26" x14ac:dyDescent="0.25">
      <c r="A4045" s="15" t="str">
        <f>IF(C4045="","",COUNTA($C$3:C4045))</f>
        <v/>
      </c>
      <c r="B4045" s="15" t="str">
        <f t="shared" si="342"/>
        <v/>
      </c>
      <c r="M4045" s="9"/>
      <c r="N4045" s="9"/>
      <c r="P4045" s="14"/>
      <c r="Q4045" s="85"/>
      <c r="R4045" s="89"/>
      <c r="U4045" s="11" t="str">
        <f t="shared" si="340"/>
        <v/>
      </c>
      <c r="V4045" s="12" t="str">
        <f t="shared" si="341"/>
        <v/>
      </c>
      <c r="Z4045" s="15"/>
    </row>
    <row r="4046" spans="1:26" x14ac:dyDescent="0.25">
      <c r="A4046" s="15" t="str">
        <f>IF(C4046="","",COUNTA($C$3:C4046))</f>
        <v/>
      </c>
      <c r="B4046" s="15" t="str">
        <f t="shared" si="342"/>
        <v/>
      </c>
      <c r="M4046" s="9"/>
      <c r="N4046" s="9"/>
      <c r="P4046" s="14"/>
      <c r="Q4046" s="85"/>
      <c r="R4046" s="89"/>
      <c r="U4046" s="11" t="str">
        <f t="shared" si="340"/>
        <v/>
      </c>
      <c r="V4046" s="12" t="str">
        <f t="shared" si="341"/>
        <v/>
      </c>
      <c r="Z4046" s="15"/>
    </row>
    <row r="4047" spans="1:26" x14ac:dyDescent="0.25">
      <c r="A4047" s="15" t="str">
        <f>IF(C4047="","",COUNTA($C$3:C4047))</f>
        <v/>
      </c>
      <c r="B4047" s="15" t="str">
        <f t="shared" si="342"/>
        <v/>
      </c>
      <c r="M4047" s="9"/>
      <c r="N4047" s="9"/>
      <c r="P4047" s="14"/>
      <c r="Q4047" s="85"/>
      <c r="R4047" s="89"/>
      <c r="U4047" s="11" t="str">
        <f t="shared" si="340"/>
        <v/>
      </c>
      <c r="V4047" s="12" t="str">
        <f t="shared" si="341"/>
        <v/>
      </c>
      <c r="Z4047" s="15"/>
    </row>
    <row r="4048" spans="1:26" x14ac:dyDescent="0.25">
      <c r="A4048" s="15" t="str">
        <f>IF(C4048="","",COUNTA($C$3:C4048))</f>
        <v/>
      </c>
      <c r="B4048" s="15" t="str">
        <f t="shared" si="342"/>
        <v/>
      </c>
      <c r="M4048" s="9"/>
      <c r="N4048" s="9"/>
      <c r="P4048" s="14"/>
      <c r="Q4048" s="85"/>
      <c r="R4048" s="89"/>
      <c r="U4048" s="11" t="str">
        <f t="shared" si="340"/>
        <v/>
      </c>
      <c r="V4048" s="12" t="str">
        <f t="shared" si="341"/>
        <v/>
      </c>
      <c r="Z4048" s="15"/>
    </row>
    <row r="4049" spans="1:26" x14ac:dyDescent="0.25">
      <c r="A4049" s="15" t="str">
        <f>IF(C4049="","",COUNTA($C$3:C4049))</f>
        <v/>
      </c>
      <c r="B4049" s="15" t="str">
        <f t="shared" si="342"/>
        <v/>
      </c>
      <c r="M4049" s="9"/>
      <c r="N4049" s="9"/>
      <c r="P4049" s="14"/>
      <c r="Q4049" s="85"/>
      <c r="R4049" s="89"/>
      <c r="U4049" s="11" t="str">
        <f t="shared" si="340"/>
        <v/>
      </c>
      <c r="V4049" s="12" t="str">
        <f t="shared" si="341"/>
        <v/>
      </c>
      <c r="Z4049" s="15"/>
    </row>
    <row r="4050" spans="1:26" x14ac:dyDescent="0.25">
      <c r="A4050" s="15" t="str">
        <f>IF(C4050="","",COUNTA($C$3:C4050))</f>
        <v/>
      </c>
      <c r="B4050" s="15" t="str">
        <f t="shared" si="342"/>
        <v/>
      </c>
      <c r="M4050" s="9"/>
      <c r="N4050" s="9"/>
      <c r="P4050" s="14"/>
      <c r="Q4050" s="85"/>
      <c r="R4050" s="89"/>
      <c r="U4050" s="11" t="str">
        <f t="shared" si="340"/>
        <v/>
      </c>
      <c r="V4050" s="12" t="str">
        <f t="shared" si="341"/>
        <v/>
      </c>
      <c r="Z4050" s="15"/>
    </row>
    <row r="4051" spans="1:26" x14ac:dyDescent="0.25">
      <c r="A4051" s="15" t="str">
        <f>IF(C4051="","",COUNTA($C$3:C4051))</f>
        <v/>
      </c>
      <c r="B4051" s="15" t="str">
        <f t="shared" si="342"/>
        <v/>
      </c>
      <c r="M4051" s="9"/>
      <c r="N4051" s="9"/>
      <c r="P4051" s="14"/>
      <c r="Q4051" s="85"/>
      <c r="R4051" s="89"/>
      <c r="U4051" s="11" t="str">
        <f t="shared" si="340"/>
        <v/>
      </c>
      <c r="V4051" s="12" t="str">
        <f t="shared" si="341"/>
        <v/>
      </c>
      <c r="Z4051" s="15"/>
    </row>
    <row r="4052" spans="1:26" x14ac:dyDescent="0.25">
      <c r="A4052" s="15" t="str">
        <f>IF(C4052="","",COUNTA($C$3:C4052))</f>
        <v/>
      </c>
      <c r="B4052" s="15" t="str">
        <f t="shared" si="342"/>
        <v/>
      </c>
      <c r="M4052" s="9"/>
      <c r="N4052" s="9"/>
      <c r="P4052" s="14"/>
      <c r="Q4052" s="85"/>
      <c r="R4052" s="89"/>
      <c r="U4052" s="11" t="str">
        <f t="shared" si="340"/>
        <v/>
      </c>
      <c r="V4052" s="12" t="str">
        <f t="shared" si="341"/>
        <v/>
      </c>
      <c r="Z4052" s="15"/>
    </row>
    <row r="4053" spans="1:26" x14ac:dyDescent="0.25">
      <c r="A4053" s="15" t="str">
        <f>IF(C4053="","",COUNTA($C$3:C4053))</f>
        <v/>
      </c>
      <c r="B4053" s="15" t="str">
        <f t="shared" si="342"/>
        <v/>
      </c>
      <c r="M4053" s="9"/>
      <c r="N4053" s="9"/>
      <c r="P4053" s="14"/>
      <c r="Q4053" s="85"/>
      <c r="R4053" s="89"/>
      <c r="U4053" s="11" t="str">
        <f t="shared" si="340"/>
        <v/>
      </c>
      <c r="V4053" s="12" t="str">
        <f t="shared" si="341"/>
        <v/>
      </c>
      <c r="Z4053" s="15"/>
    </row>
    <row r="4054" spans="1:26" x14ac:dyDescent="0.25">
      <c r="A4054" s="15" t="str">
        <f>IF(C4054="","",COUNTA($C$3:C4054))</f>
        <v/>
      </c>
      <c r="B4054" s="15" t="str">
        <f t="shared" si="342"/>
        <v/>
      </c>
      <c r="M4054" s="9"/>
      <c r="N4054" s="9"/>
      <c r="P4054" s="14"/>
      <c r="Q4054" s="85"/>
      <c r="R4054" s="89"/>
      <c r="U4054" s="11" t="str">
        <f t="shared" si="340"/>
        <v/>
      </c>
      <c r="V4054" s="12" t="str">
        <f t="shared" si="341"/>
        <v/>
      </c>
      <c r="Z4054" s="15"/>
    </row>
    <row r="4055" spans="1:26" x14ac:dyDescent="0.25">
      <c r="A4055" s="15" t="str">
        <f>IF(C4055="","",COUNTA($C$3:C4055))</f>
        <v/>
      </c>
      <c r="B4055" s="15" t="str">
        <f t="shared" si="342"/>
        <v/>
      </c>
      <c r="M4055" s="9"/>
      <c r="N4055" s="9"/>
      <c r="P4055" s="14"/>
      <c r="Q4055" s="85"/>
      <c r="R4055" s="89"/>
      <c r="U4055" s="11" t="str">
        <f t="shared" si="340"/>
        <v/>
      </c>
      <c r="V4055" s="12" t="str">
        <f t="shared" si="341"/>
        <v/>
      </c>
      <c r="Z4055" s="15"/>
    </row>
    <row r="4056" spans="1:26" x14ac:dyDescent="0.25">
      <c r="A4056" s="15" t="str">
        <f>IF(C4056="","",COUNTA($C$3:C4056))</f>
        <v/>
      </c>
      <c r="B4056" s="15" t="str">
        <f t="shared" si="342"/>
        <v/>
      </c>
      <c r="M4056" s="9"/>
      <c r="N4056" s="9"/>
      <c r="P4056" s="14"/>
      <c r="Q4056" s="85"/>
      <c r="R4056" s="89"/>
      <c r="U4056" s="11" t="str">
        <f t="shared" si="340"/>
        <v/>
      </c>
      <c r="V4056" s="12" t="str">
        <f t="shared" si="341"/>
        <v/>
      </c>
      <c r="Z4056" s="15"/>
    </row>
    <row r="4057" spans="1:26" x14ac:dyDescent="0.25">
      <c r="A4057" s="15" t="str">
        <f>IF(C4057="","",COUNTA($C$3:C4057))</f>
        <v/>
      </c>
      <c r="B4057" s="15" t="str">
        <f t="shared" si="342"/>
        <v/>
      </c>
      <c r="M4057" s="9"/>
      <c r="N4057" s="9"/>
      <c r="P4057" s="14"/>
      <c r="Q4057" s="85"/>
      <c r="R4057" s="89"/>
      <c r="U4057" s="11" t="str">
        <f t="shared" si="340"/>
        <v/>
      </c>
      <c r="V4057" s="12" t="str">
        <f t="shared" si="341"/>
        <v/>
      </c>
      <c r="Z4057" s="15"/>
    </row>
    <row r="4058" spans="1:26" x14ac:dyDescent="0.25">
      <c r="A4058" s="15" t="str">
        <f>IF(C4058="","",COUNTA($C$3:C4058))</f>
        <v/>
      </c>
      <c r="B4058" s="15" t="str">
        <f t="shared" si="342"/>
        <v/>
      </c>
      <c r="M4058" s="9"/>
      <c r="N4058" s="9"/>
      <c r="P4058" s="14"/>
      <c r="Q4058" s="85"/>
      <c r="R4058" s="89"/>
      <c r="U4058" s="11" t="str">
        <f t="shared" si="340"/>
        <v/>
      </c>
      <c r="V4058" s="12" t="str">
        <f t="shared" si="341"/>
        <v/>
      </c>
      <c r="Z4058" s="15"/>
    </row>
    <row r="4059" spans="1:26" x14ac:dyDescent="0.25">
      <c r="A4059" s="15" t="str">
        <f>IF(C4059="","",COUNTA($C$3:C4059))</f>
        <v/>
      </c>
      <c r="B4059" s="15" t="str">
        <f t="shared" si="342"/>
        <v/>
      </c>
      <c r="M4059" s="9"/>
      <c r="N4059" s="9"/>
      <c r="P4059" s="14"/>
      <c r="Q4059" s="85"/>
      <c r="R4059" s="89"/>
      <c r="U4059" s="11" t="str">
        <f t="shared" si="340"/>
        <v/>
      </c>
      <c r="V4059" s="12" t="str">
        <f t="shared" si="341"/>
        <v/>
      </c>
      <c r="Z4059" s="15"/>
    </row>
    <row r="4060" spans="1:26" x14ac:dyDescent="0.25">
      <c r="A4060" s="15" t="str">
        <f>IF(C4060="","",COUNTA($C$3:C4060))</f>
        <v/>
      </c>
      <c r="B4060" s="15" t="str">
        <f t="shared" si="342"/>
        <v/>
      </c>
      <c r="M4060" s="9"/>
      <c r="N4060" s="9"/>
      <c r="P4060" s="14"/>
      <c r="Q4060" s="85"/>
      <c r="R4060" s="89"/>
      <c r="U4060" s="11" t="str">
        <f t="shared" si="340"/>
        <v/>
      </c>
      <c r="V4060" s="12" t="str">
        <f t="shared" si="341"/>
        <v/>
      </c>
      <c r="Z4060" s="15"/>
    </row>
    <row r="4061" spans="1:26" x14ac:dyDescent="0.25">
      <c r="A4061" s="15" t="str">
        <f>IF(C4061="","",COUNTA($C$3:C4061))</f>
        <v/>
      </c>
      <c r="B4061" s="15" t="str">
        <f t="shared" si="342"/>
        <v/>
      </c>
      <c r="M4061" s="9"/>
      <c r="N4061" s="9"/>
      <c r="P4061" s="14"/>
      <c r="Q4061" s="85"/>
      <c r="R4061" s="89"/>
      <c r="U4061" s="11" t="str">
        <f t="shared" si="340"/>
        <v/>
      </c>
      <c r="V4061" s="12" t="str">
        <f t="shared" si="341"/>
        <v/>
      </c>
      <c r="Z4061" s="15"/>
    </row>
    <row r="4062" spans="1:26" x14ac:dyDescent="0.25">
      <c r="A4062" s="15" t="str">
        <f>IF(C4062="","",COUNTA($C$3:C4062))</f>
        <v/>
      </c>
      <c r="B4062" s="15" t="str">
        <f t="shared" si="342"/>
        <v/>
      </c>
      <c r="M4062" s="9"/>
      <c r="N4062" s="9"/>
      <c r="P4062" s="14"/>
      <c r="Q4062" s="85"/>
      <c r="R4062" s="89"/>
      <c r="U4062" s="11" t="str">
        <f t="shared" si="340"/>
        <v/>
      </c>
      <c r="V4062" s="12" t="str">
        <f t="shared" si="341"/>
        <v/>
      </c>
      <c r="Z4062" s="15"/>
    </row>
    <row r="4063" spans="1:26" x14ac:dyDescent="0.25">
      <c r="A4063" s="15" t="str">
        <f>IF(C4063="","",COUNTA($C$3:C4063))</f>
        <v/>
      </c>
      <c r="B4063" s="15" t="str">
        <f t="shared" si="342"/>
        <v/>
      </c>
      <c r="M4063" s="9"/>
      <c r="N4063" s="9"/>
      <c r="P4063" s="14"/>
      <c r="Q4063" s="85"/>
      <c r="R4063" s="89"/>
      <c r="U4063" s="11" t="str">
        <f t="shared" si="340"/>
        <v/>
      </c>
      <c r="V4063" s="12" t="str">
        <f t="shared" si="341"/>
        <v/>
      </c>
      <c r="Z4063" s="15"/>
    </row>
    <row r="4064" spans="1:26" x14ac:dyDescent="0.25">
      <c r="A4064" s="15" t="str">
        <f>IF(C4064="","",COUNTA($C$3:C4064))</f>
        <v/>
      </c>
      <c r="B4064" s="15" t="str">
        <f t="shared" si="342"/>
        <v/>
      </c>
      <c r="M4064" s="9"/>
      <c r="N4064" s="9"/>
      <c r="P4064" s="14"/>
      <c r="Q4064" s="85"/>
      <c r="R4064" s="89"/>
      <c r="U4064" s="11" t="str">
        <f t="shared" si="340"/>
        <v/>
      </c>
      <c r="V4064" s="12" t="str">
        <f t="shared" si="341"/>
        <v/>
      </c>
      <c r="Z4064" s="15"/>
    </row>
    <row r="4065" spans="1:26" x14ac:dyDescent="0.25">
      <c r="A4065" s="15" t="str">
        <f>IF(C4065="","",COUNTA($C$3:C4065))</f>
        <v/>
      </c>
      <c r="B4065" s="15" t="str">
        <f t="shared" si="342"/>
        <v/>
      </c>
      <c r="M4065" s="9"/>
      <c r="N4065" s="9"/>
      <c r="P4065" s="14"/>
      <c r="Q4065" s="85"/>
      <c r="R4065" s="89"/>
      <c r="U4065" s="11" t="str">
        <f t="shared" si="340"/>
        <v/>
      </c>
      <c r="V4065" s="12" t="str">
        <f t="shared" si="341"/>
        <v/>
      </c>
      <c r="Z4065" s="15"/>
    </row>
    <row r="4066" spans="1:26" x14ac:dyDescent="0.25">
      <c r="A4066" s="15" t="str">
        <f>IF(C4066="","",COUNTA($C$3:C4066))</f>
        <v/>
      </c>
      <c r="B4066" s="15" t="str">
        <f t="shared" si="342"/>
        <v/>
      </c>
      <c r="M4066" s="9"/>
      <c r="N4066" s="9"/>
      <c r="P4066" s="14"/>
      <c r="Q4066" s="85"/>
      <c r="R4066" s="89"/>
      <c r="U4066" s="11" t="str">
        <f t="shared" si="340"/>
        <v/>
      </c>
      <c r="V4066" s="12" t="str">
        <f t="shared" si="341"/>
        <v/>
      </c>
      <c r="Z4066" s="15"/>
    </row>
    <row r="4067" spans="1:26" x14ac:dyDescent="0.25">
      <c r="A4067" s="15" t="str">
        <f>IF(C4067="","",COUNTA($C$3:C4067))</f>
        <v/>
      </c>
      <c r="B4067" s="15" t="str">
        <f t="shared" si="342"/>
        <v/>
      </c>
      <c r="M4067" s="9"/>
      <c r="N4067" s="9"/>
      <c r="P4067" s="14"/>
      <c r="Q4067" s="85"/>
      <c r="R4067" s="89"/>
      <c r="U4067" s="11" t="str">
        <f t="shared" si="340"/>
        <v/>
      </c>
      <c r="V4067" s="12" t="str">
        <f t="shared" si="341"/>
        <v/>
      </c>
      <c r="Z4067" s="15"/>
    </row>
    <row r="4068" spans="1:26" x14ac:dyDescent="0.25">
      <c r="A4068" s="15" t="str">
        <f>IF(C4068="","",COUNTA($C$3:C4068))</f>
        <v/>
      </c>
      <c r="B4068" s="15" t="str">
        <f t="shared" si="342"/>
        <v/>
      </c>
      <c r="M4068" s="9"/>
      <c r="N4068" s="9"/>
      <c r="P4068" s="14"/>
      <c r="Q4068" s="85"/>
      <c r="R4068" s="89"/>
      <c r="U4068" s="11" t="str">
        <f t="shared" si="340"/>
        <v/>
      </c>
      <c r="V4068" s="12" t="str">
        <f t="shared" si="341"/>
        <v/>
      </c>
      <c r="Z4068" s="15"/>
    </row>
    <row r="4069" spans="1:26" x14ac:dyDescent="0.25">
      <c r="A4069" s="15" t="str">
        <f>IF(C4069="","",COUNTA($C$3:C4069))</f>
        <v/>
      </c>
      <c r="B4069" s="15" t="str">
        <f t="shared" si="342"/>
        <v/>
      </c>
      <c r="M4069" s="9"/>
      <c r="N4069" s="9"/>
      <c r="P4069" s="14"/>
      <c r="Q4069" s="85"/>
      <c r="R4069" s="89"/>
      <c r="U4069" s="11" t="str">
        <f t="shared" si="340"/>
        <v/>
      </c>
      <c r="V4069" s="12" t="str">
        <f t="shared" si="341"/>
        <v/>
      </c>
      <c r="Z4069" s="15"/>
    </row>
    <row r="4070" spans="1:26" x14ac:dyDescent="0.25">
      <c r="A4070" s="15" t="str">
        <f>IF(C4070="","",COUNTA($C$3:C4070))</f>
        <v/>
      </c>
      <c r="B4070" s="15" t="str">
        <f t="shared" si="342"/>
        <v/>
      </c>
      <c r="M4070" s="9"/>
      <c r="N4070" s="9"/>
      <c r="P4070" s="14"/>
      <c r="Q4070" s="85"/>
      <c r="R4070" s="89"/>
      <c r="U4070" s="11" t="str">
        <f t="shared" si="340"/>
        <v/>
      </c>
      <c r="V4070" s="12" t="str">
        <f t="shared" si="341"/>
        <v/>
      </c>
      <c r="Z4070" s="15"/>
    </row>
    <row r="4071" spans="1:26" x14ac:dyDescent="0.25">
      <c r="A4071" s="15" t="str">
        <f>IF(C4071="","",COUNTA($C$3:C4071))</f>
        <v/>
      </c>
      <c r="B4071" s="15" t="str">
        <f t="shared" si="342"/>
        <v/>
      </c>
      <c r="M4071" s="9"/>
      <c r="N4071" s="9"/>
      <c r="P4071" s="14"/>
      <c r="Q4071" s="85"/>
      <c r="R4071" s="89"/>
      <c r="U4071" s="11" t="str">
        <f t="shared" si="340"/>
        <v/>
      </c>
      <c r="V4071" s="12" t="str">
        <f t="shared" si="341"/>
        <v/>
      </c>
      <c r="Z4071" s="15"/>
    </row>
    <row r="4072" spans="1:26" x14ac:dyDescent="0.25">
      <c r="A4072" s="15" t="str">
        <f>IF(C4072="","",COUNTA($C$3:C4072))</f>
        <v/>
      </c>
      <c r="B4072" s="15" t="str">
        <f t="shared" si="342"/>
        <v/>
      </c>
      <c r="M4072" s="9"/>
      <c r="N4072" s="9"/>
      <c r="P4072" s="14"/>
      <c r="Q4072" s="85"/>
      <c r="R4072" s="89"/>
      <c r="U4072" s="11" t="str">
        <f t="shared" si="340"/>
        <v/>
      </c>
      <c r="V4072" s="12" t="str">
        <f t="shared" si="341"/>
        <v/>
      </c>
      <c r="Z4072" s="15"/>
    </row>
    <row r="4073" spans="1:26" x14ac:dyDescent="0.25">
      <c r="A4073" s="15" t="str">
        <f>IF(C4073="","",COUNTA($C$3:C4073))</f>
        <v/>
      </c>
      <c r="B4073" s="15" t="str">
        <f t="shared" si="342"/>
        <v/>
      </c>
      <c r="M4073" s="9"/>
      <c r="N4073" s="9"/>
      <c r="P4073" s="14"/>
      <c r="Q4073" s="85"/>
      <c r="R4073" s="89"/>
      <c r="U4073" s="11" t="str">
        <f t="shared" si="340"/>
        <v/>
      </c>
      <c r="V4073" s="12" t="str">
        <f t="shared" si="341"/>
        <v/>
      </c>
      <c r="Z4073" s="15"/>
    </row>
    <row r="4074" spans="1:26" x14ac:dyDescent="0.25">
      <c r="A4074" s="15" t="str">
        <f>IF(C4074="","",COUNTA($C$3:C4074))</f>
        <v/>
      </c>
      <c r="B4074" s="15" t="str">
        <f t="shared" si="342"/>
        <v/>
      </c>
      <c r="M4074" s="9"/>
      <c r="N4074" s="9"/>
      <c r="P4074" s="14"/>
      <c r="Q4074" s="85"/>
      <c r="R4074" s="89"/>
      <c r="U4074" s="11" t="str">
        <f t="shared" si="340"/>
        <v/>
      </c>
      <c r="V4074" s="12" t="str">
        <f t="shared" si="341"/>
        <v/>
      </c>
      <c r="Z4074" s="15"/>
    </row>
    <row r="4075" spans="1:26" x14ac:dyDescent="0.25">
      <c r="A4075" s="15" t="str">
        <f>IF(C4075="","",COUNTA($C$3:C4075))</f>
        <v/>
      </c>
      <c r="B4075" s="15" t="str">
        <f t="shared" si="342"/>
        <v/>
      </c>
      <c r="M4075" s="9"/>
      <c r="N4075" s="9"/>
      <c r="P4075" s="14"/>
      <c r="Q4075" s="85"/>
      <c r="R4075" s="89"/>
      <c r="U4075" s="11" t="str">
        <f t="shared" si="340"/>
        <v/>
      </c>
      <c r="V4075" s="12" t="str">
        <f t="shared" si="341"/>
        <v/>
      </c>
      <c r="Z4075" s="15"/>
    </row>
    <row r="4076" spans="1:26" x14ac:dyDescent="0.25">
      <c r="A4076" s="15" t="str">
        <f>IF(C4076="","",COUNTA($C$3:C4076))</f>
        <v/>
      </c>
      <c r="B4076" s="15" t="str">
        <f t="shared" si="342"/>
        <v/>
      </c>
      <c r="M4076" s="9"/>
      <c r="N4076" s="9"/>
      <c r="P4076" s="14"/>
      <c r="Q4076" s="85"/>
      <c r="R4076" s="89"/>
      <c r="U4076" s="11" t="str">
        <f t="shared" si="340"/>
        <v/>
      </c>
      <c r="V4076" s="12" t="str">
        <f t="shared" si="341"/>
        <v/>
      </c>
      <c r="Z4076" s="15"/>
    </row>
    <row r="4077" spans="1:26" x14ac:dyDescent="0.25">
      <c r="A4077" s="15" t="str">
        <f>IF(C4077="","",COUNTA($C$3:C4077))</f>
        <v/>
      </c>
      <c r="B4077" s="15" t="str">
        <f t="shared" si="342"/>
        <v/>
      </c>
      <c r="M4077" s="9"/>
      <c r="N4077" s="9"/>
      <c r="P4077" s="14"/>
      <c r="Q4077" s="85"/>
      <c r="R4077" s="89"/>
      <c r="U4077" s="11" t="str">
        <f t="shared" si="340"/>
        <v/>
      </c>
      <c r="V4077" s="12" t="str">
        <f t="shared" si="341"/>
        <v/>
      </c>
      <c r="Z4077" s="15"/>
    </row>
    <row r="4078" spans="1:26" x14ac:dyDescent="0.25">
      <c r="A4078" s="15" t="str">
        <f>IF(C4078="","",COUNTA($C$3:C4078))</f>
        <v/>
      </c>
      <c r="B4078" s="15" t="str">
        <f t="shared" si="342"/>
        <v/>
      </c>
      <c r="M4078" s="9"/>
      <c r="N4078" s="9"/>
      <c r="P4078" s="14"/>
      <c r="Q4078" s="85"/>
      <c r="R4078" s="89"/>
      <c r="U4078" s="11" t="str">
        <f t="shared" si="340"/>
        <v/>
      </c>
      <c r="V4078" s="12" t="str">
        <f t="shared" si="341"/>
        <v/>
      </c>
      <c r="Z4078" s="15"/>
    </row>
    <row r="4079" spans="1:26" x14ac:dyDescent="0.25">
      <c r="A4079" s="15" t="str">
        <f>IF(C4079="","",COUNTA($C$3:C4079))</f>
        <v/>
      </c>
      <c r="B4079" s="15" t="str">
        <f t="shared" si="342"/>
        <v/>
      </c>
      <c r="M4079" s="9"/>
      <c r="N4079" s="9"/>
      <c r="P4079" s="14"/>
      <c r="Q4079" s="85"/>
      <c r="R4079" s="89"/>
      <c r="U4079" s="11" t="str">
        <f t="shared" si="340"/>
        <v/>
      </c>
      <c r="V4079" s="12" t="str">
        <f t="shared" si="341"/>
        <v/>
      </c>
      <c r="Z4079" s="15"/>
    </row>
    <row r="4080" spans="1:26" x14ac:dyDescent="0.25">
      <c r="A4080" s="15" t="str">
        <f>IF(C4080="","",COUNTA($C$3:C4080))</f>
        <v/>
      </c>
      <c r="B4080" s="15" t="str">
        <f t="shared" si="342"/>
        <v/>
      </c>
      <c r="M4080" s="9"/>
      <c r="N4080" s="9"/>
      <c r="P4080" s="14"/>
      <c r="Q4080" s="85"/>
      <c r="R4080" s="89"/>
      <c r="U4080" s="11" t="str">
        <f t="shared" si="340"/>
        <v/>
      </c>
      <c r="V4080" s="12" t="str">
        <f t="shared" si="341"/>
        <v/>
      </c>
      <c r="Z4080" s="15"/>
    </row>
    <row r="4081" spans="1:26" x14ac:dyDescent="0.25">
      <c r="A4081" s="15" t="str">
        <f>IF(C4081="","",COUNTA($C$3:C4081))</f>
        <v/>
      </c>
      <c r="B4081" s="15" t="str">
        <f t="shared" si="342"/>
        <v/>
      </c>
      <c r="M4081" s="9"/>
      <c r="N4081" s="9"/>
      <c r="P4081" s="14"/>
      <c r="Q4081" s="85"/>
      <c r="R4081" s="89"/>
      <c r="U4081" s="11" t="str">
        <f t="shared" si="340"/>
        <v/>
      </c>
      <c r="V4081" s="12" t="str">
        <f t="shared" si="341"/>
        <v/>
      </c>
      <c r="Z4081" s="15"/>
    </row>
    <row r="4082" spans="1:26" x14ac:dyDescent="0.25">
      <c r="A4082" s="15" t="str">
        <f>IF(C4082="","",COUNTA($C$3:C4082))</f>
        <v/>
      </c>
      <c r="B4082" s="15" t="str">
        <f t="shared" si="342"/>
        <v/>
      </c>
      <c r="M4082" s="9"/>
      <c r="N4082" s="9"/>
      <c r="P4082" s="14"/>
      <c r="Q4082" s="85"/>
      <c r="R4082" s="89"/>
      <c r="U4082" s="11" t="str">
        <f t="shared" si="340"/>
        <v/>
      </c>
      <c r="V4082" s="12" t="str">
        <f t="shared" si="341"/>
        <v/>
      </c>
      <c r="Z4082" s="15"/>
    </row>
    <row r="4083" spans="1:26" x14ac:dyDescent="0.25">
      <c r="A4083" s="15" t="str">
        <f>IF(C4083="","",COUNTA($C$3:C4083))</f>
        <v/>
      </c>
      <c r="B4083" s="15" t="str">
        <f t="shared" si="342"/>
        <v/>
      </c>
      <c r="M4083" s="9"/>
      <c r="N4083" s="9"/>
      <c r="P4083" s="14"/>
      <c r="Q4083" s="85"/>
      <c r="R4083" s="89"/>
      <c r="U4083" s="11" t="str">
        <f t="shared" si="340"/>
        <v/>
      </c>
      <c r="V4083" s="12" t="str">
        <f t="shared" si="341"/>
        <v/>
      </c>
      <c r="Z4083" s="15"/>
    </row>
    <row r="4084" spans="1:26" x14ac:dyDescent="0.25">
      <c r="A4084" s="15" t="str">
        <f>IF(C4084="","",COUNTA($C$3:C4084))</f>
        <v/>
      </c>
      <c r="B4084" s="15" t="str">
        <f t="shared" si="342"/>
        <v/>
      </c>
      <c r="M4084" s="9"/>
      <c r="N4084" s="9"/>
      <c r="P4084" s="14"/>
      <c r="Q4084" s="85"/>
      <c r="R4084" s="89"/>
      <c r="U4084" s="11" t="str">
        <f t="shared" si="340"/>
        <v/>
      </c>
      <c r="V4084" s="12" t="str">
        <f t="shared" si="341"/>
        <v/>
      </c>
      <c r="Z4084" s="15"/>
    </row>
    <row r="4085" spans="1:26" x14ac:dyDescent="0.25">
      <c r="A4085" s="15" t="str">
        <f>IF(C4085="","",COUNTA($C$3:C4085))</f>
        <v/>
      </c>
      <c r="B4085" s="15" t="str">
        <f t="shared" si="342"/>
        <v/>
      </c>
      <c r="M4085" s="9"/>
      <c r="N4085" s="9"/>
      <c r="P4085" s="14"/>
      <c r="Q4085" s="85"/>
      <c r="R4085" s="89"/>
      <c r="U4085" s="11" t="str">
        <f t="shared" si="340"/>
        <v/>
      </c>
      <c r="V4085" s="12" t="str">
        <f t="shared" si="341"/>
        <v/>
      </c>
      <c r="Z4085" s="15"/>
    </row>
    <row r="4086" spans="1:26" x14ac:dyDescent="0.25">
      <c r="A4086" s="15" t="str">
        <f>IF(C4086="","",COUNTA($C$3:C4086))</f>
        <v/>
      </c>
      <c r="B4086" s="15" t="str">
        <f t="shared" si="342"/>
        <v/>
      </c>
      <c r="M4086" s="9"/>
      <c r="N4086" s="9"/>
      <c r="P4086" s="14"/>
      <c r="Q4086" s="85"/>
      <c r="R4086" s="89"/>
      <c r="U4086" s="11" t="str">
        <f t="shared" si="340"/>
        <v/>
      </c>
      <c r="V4086" s="12" t="str">
        <f t="shared" si="341"/>
        <v/>
      </c>
      <c r="Z4086" s="15"/>
    </row>
    <row r="4087" spans="1:26" x14ac:dyDescent="0.25">
      <c r="A4087" s="15" t="str">
        <f>IF(C4087="","",COUNTA($C$3:C4087))</f>
        <v/>
      </c>
      <c r="B4087" s="15" t="str">
        <f t="shared" si="342"/>
        <v/>
      </c>
      <c r="M4087" s="9"/>
      <c r="N4087" s="9"/>
      <c r="P4087" s="14"/>
      <c r="Q4087" s="85"/>
      <c r="R4087" s="89"/>
      <c r="U4087" s="11" t="str">
        <f t="shared" si="340"/>
        <v/>
      </c>
      <c r="V4087" s="12" t="str">
        <f t="shared" si="341"/>
        <v/>
      </c>
      <c r="Z4087" s="15"/>
    </row>
    <row r="4088" spans="1:26" x14ac:dyDescent="0.25">
      <c r="A4088" s="15" t="str">
        <f>IF(C4088="","",COUNTA($C$3:C4088))</f>
        <v/>
      </c>
      <c r="B4088" s="15" t="str">
        <f t="shared" si="342"/>
        <v/>
      </c>
      <c r="M4088" s="9"/>
      <c r="N4088" s="9"/>
      <c r="P4088" s="14"/>
      <c r="Q4088" s="85"/>
      <c r="R4088" s="89"/>
      <c r="U4088" s="11" t="str">
        <f t="shared" si="340"/>
        <v/>
      </c>
      <c r="V4088" s="12" t="str">
        <f t="shared" si="341"/>
        <v/>
      </c>
      <c r="Z4088" s="15"/>
    </row>
    <row r="4089" spans="1:26" x14ac:dyDescent="0.25">
      <c r="A4089" s="15" t="str">
        <f>IF(C4089="","",COUNTA($C$3:C4089))</f>
        <v/>
      </c>
      <c r="B4089" s="15" t="str">
        <f t="shared" si="342"/>
        <v/>
      </c>
      <c r="M4089" s="9"/>
      <c r="N4089" s="9"/>
      <c r="P4089" s="14"/>
      <c r="Q4089" s="85"/>
      <c r="R4089" s="89"/>
      <c r="U4089" s="11" t="str">
        <f t="shared" si="340"/>
        <v/>
      </c>
      <c r="V4089" s="12" t="str">
        <f t="shared" si="341"/>
        <v/>
      </c>
      <c r="Z4089" s="15"/>
    </row>
    <row r="4090" spans="1:26" x14ac:dyDescent="0.25">
      <c r="A4090" s="15" t="str">
        <f>IF(C4090="","",COUNTA($C$3:C4090))</f>
        <v/>
      </c>
      <c r="B4090" s="15" t="str">
        <f t="shared" si="342"/>
        <v/>
      </c>
      <c r="M4090" s="9"/>
      <c r="N4090" s="9"/>
      <c r="P4090" s="14"/>
      <c r="Q4090" s="85"/>
      <c r="R4090" s="89"/>
      <c r="U4090" s="11" t="str">
        <f t="shared" si="340"/>
        <v/>
      </c>
      <c r="V4090" s="12" t="str">
        <f t="shared" si="341"/>
        <v/>
      </c>
      <c r="Z4090" s="15"/>
    </row>
    <row r="4091" spans="1:26" x14ac:dyDescent="0.25">
      <c r="A4091" s="15" t="str">
        <f>IF(C4091="","",COUNTA($C$3:C4091))</f>
        <v/>
      </c>
      <c r="B4091" s="15" t="str">
        <f t="shared" si="342"/>
        <v/>
      </c>
      <c r="M4091" s="9"/>
      <c r="N4091" s="9"/>
      <c r="P4091" s="14"/>
      <c r="Q4091" s="85"/>
      <c r="R4091" s="89"/>
      <c r="U4091" s="11" t="str">
        <f t="shared" si="340"/>
        <v/>
      </c>
      <c r="V4091" s="12" t="str">
        <f t="shared" si="341"/>
        <v/>
      </c>
      <c r="Z4091" s="15"/>
    </row>
    <row r="4092" spans="1:26" x14ac:dyDescent="0.25">
      <c r="A4092" s="15" t="str">
        <f>IF(C4092="","",COUNTA($C$3:C4092))</f>
        <v/>
      </c>
      <c r="B4092" s="15" t="str">
        <f t="shared" si="342"/>
        <v/>
      </c>
      <c r="M4092" s="9"/>
      <c r="N4092" s="9"/>
      <c r="P4092" s="14"/>
      <c r="Q4092" s="85"/>
      <c r="R4092" s="89"/>
      <c r="U4092" s="11" t="str">
        <f t="shared" si="340"/>
        <v/>
      </c>
      <c r="V4092" s="12" t="str">
        <f t="shared" si="341"/>
        <v/>
      </c>
      <c r="Z4092" s="15"/>
    </row>
    <row r="4093" spans="1:26" x14ac:dyDescent="0.25">
      <c r="A4093" s="15" t="str">
        <f>IF(C4093="","",COUNTA($C$3:C4093))</f>
        <v/>
      </c>
      <c r="B4093" s="15" t="str">
        <f t="shared" si="342"/>
        <v/>
      </c>
      <c r="M4093" s="9"/>
      <c r="N4093" s="9"/>
      <c r="P4093" s="14"/>
      <c r="Q4093" s="85"/>
      <c r="R4093" s="89"/>
      <c r="U4093" s="11" t="str">
        <f t="shared" si="340"/>
        <v/>
      </c>
      <c r="V4093" s="12" t="str">
        <f t="shared" si="341"/>
        <v/>
      </c>
      <c r="Z4093" s="15"/>
    </row>
    <row r="4094" spans="1:26" x14ac:dyDescent="0.25">
      <c r="A4094" s="15" t="str">
        <f>IF(C4094="","",COUNTA($C$3:C4094))</f>
        <v/>
      </c>
      <c r="B4094" s="15" t="str">
        <f t="shared" si="342"/>
        <v/>
      </c>
      <c r="M4094" s="9"/>
      <c r="N4094" s="9"/>
      <c r="P4094" s="14"/>
      <c r="Q4094" s="85"/>
      <c r="R4094" s="89"/>
      <c r="U4094" s="11" t="str">
        <f t="shared" si="340"/>
        <v/>
      </c>
      <c r="V4094" s="12" t="str">
        <f t="shared" si="341"/>
        <v/>
      </c>
      <c r="Z4094" s="15"/>
    </row>
    <row r="4095" spans="1:26" x14ac:dyDescent="0.25">
      <c r="A4095" s="15" t="str">
        <f>IF(C4095="","",COUNTA($C$3:C4095))</f>
        <v/>
      </c>
      <c r="B4095" s="15" t="str">
        <f t="shared" si="342"/>
        <v/>
      </c>
      <c r="M4095" s="9"/>
      <c r="N4095" s="9"/>
      <c r="P4095" s="14"/>
      <c r="Q4095" s="85"/>
      <c r="R4095" s="89"/>
      <c r="U4095" s="11" t="str">
        <f t="shared" si="340"/>
        <v/>
      </c>
      <c r="V4095" s="12" t="str">
        <f t="shared" si="341"/>
        <v/>
      </c>
      <c r="Z4095" s="15"/>
    </row>
    <row r="4096" spans="1:26" x14ac:dyDescent="0.25">
      <c r="A4096" s="15" t="str">
        <f>IF(C4096="","",COUNTA($C$3:C4096))</f>
        <v/>
      </c>
      <c r="B4096" s="15" t="str">
        <f t="shared" si="342"/>
        <v/>
      </c>
      <c r="M4096" s="9"/>
      <c r="N4096" s="9"/>
      <c r="P4096" s="14"/>
      <c r="Q4096" s="85"/>
      <c r="R4096" s="89"/>
      <c r="U4096" s="11" t="str">
        <f t="shared" si="340"/>
        <v/>
      </c>
      <c r="V4096" s="12" t="str">
        <f t="shared" si="341"/>
        <v/>
      </c>
      <c r="Z4096" s="15"/>
    </row>
    <row r="4097" spans="1:26" x14ac:dyDescent="0.25">
      <c r="A4097" s="15" t="str">
        <f>IF(C4097="","",COUNTA($C$3:C4097))</f>
        <v/>
      </c>
      <c r="B4097" s="15" t="str">
        <f t="shared" si="342"/>
        <v/>
      </c>
      <c r="M4097" s="9"/>
      <c r="N4097" s="9"/>
      <c r="P4097" s="14"/>
      <c r="Q4097" s="85"/>
      <c r="R4097" s="89"/>
      <c r="U4097" s="11" t="str">
        <f t="shared" si="340"/>
        <v/>
      </c>
      <c r="V4097" s="12" t="str">
        <f t="shared" si="341"/>
        <v/>
      </c>
      <c r="Z4097" s="15"/>
    </row>
    <row r="4098" spans="1:26" x14ac:dyDescent="0.25">
      <c r="A4098" s="15" t="str">
        <f>IF(C4098="","",COUNTA($C$3:C4098))</f>
        <v/>
      </c>
      <c r="B4098" s="15" t="str">
        <f t="shared" si="342"/>
        <v/>
      </c>
      <c r="M4098" s="9"/>
      <c r="N4098" s="9"/>
      <c r="P4098" s="14"/>
      <c r="Q4098" s="85"/>
      <c r="R4098" s="89"/>
      <c r="U4098" s="11" t="str">
        <f t="shared" ref="U4098:U4161" si="343">IF(S4098="","",(S4098-T4098))</f>
        <v/>
      </c>
      <c r="V4098" s="12" t="str">
        <f t="shared" ref="V4098:V4161" si="344">IF(U4098="","",(U4098/T4098))</f>
        <v/>
      </c>
      <c r="Z4098" s="15"/>
    </row>
    <row r="4099" spans="1:26" x14ac:dyDescent="0.25">
      <c r="A4099" s="15" t="str">
        <f>IF(C4099="","",COUNTA($C$3:C4099))</f>
        <v/>
      </c>
      <c r="B4099" s="15" t="str">
        <f t="shared" ref="B4099:B4162" si="345">IF(C4099="","",TEXT(C4099,"mmmm"))</f>
        <v/>
      </c>
      <c r="M4099" s="9"/>
      <c r="N4099" s="9"/>
      <c r="P4099" s="14"/>
      <c r="Q4099" s="85"/>
      <c r="R4099" s="89"/>
      <c r="U4099" s="11" t="str">
        <f t="shared" si="343"/>
        <v/>
      </c>
      <c r="V4099" s="12" t="str">
        <f t="shared" si="344"/>
        <v/>
      </c>
      <c r="Z4099" s="15"/>
    </row>
    <row r="4100" spans="1:26" x14ac:dyDescent="0.25">
      <c r="A4100" s="15" t="str">
        <f>IF(C4100="","",COUNTA($C$3:C4100))</f>
        <v/>
      </c>
      <c r="B4100" s="15" t="str">
        <f t="shared" si="345"/>
        <v/>
      </c>
      <c r="M4100" s="9"/>
      <c r="N4100" s="9"/>
      <c r="P4100" s="14"/>
      <c r="Q4100" s="85"/>
      <c r="R4100" s="89"/>
      <c r="U4100" s="11" t="str">
        <f t="shared" si="343"/>
        <v/>
      </c>
      <c r="V4100" s="12" t="str">
        <f t="shared" si="344"/>
        <v/>
      </c>
      <c r="Z4100" s="15"/>
    </row>
    <row r="4101" spans="1:26" x14ac:dyDescent="0.25">
      <c r="A4101" s="15" t="str">
        <f>IF(C4101="","",COUNTA($C$3:C4101))</f>
        <v/>
      </c>
      <c r="B4101" s="15" t="str">
        <f t="shared" si="345"/>
        <v/>
      </c>
      <c r="M4101" s="9"/>
      <c r="N4101" s="9"/>
      <c r="P4101" s="14"/>
      <c r="Q4101" s="85"/>
      <c r="R4101" s="89"/>
      <c r="U4101" s="11" t="str">
        <f t="shared" si="343"/>
        <v/>
      </c>
      <c r="V4101" s="12" t="str">
        <f t="shared" si="344"/>
        <v/>
      </c>
      <c r="Z4101" s="15"/>
    </row>
    <row r="4102" spans="1:26" x14ac:dyDescent="0.25">
      <c r="A4102" s="15" t="str">
        <f>IF(C4102="","",COUNTA($C$3:C4102))</f>
        <v/>
      </c>
      <c r="B4102" s="15" t="str">
        <f t="shared" si="345"/>
        <v/>
      </c>
      <c r="M4102" s="9"/>
      <c r="N4102" s="9"/>
      <c r="P4102" s="14"/>
      <c r="Q4102" s="85"/>
      <c r="R4102" s="89"/>
      <c r="U4102" s="11" t="str">
        <f t="shared" si="343"/>
        <v/>
      </c>
      <c r="V4102" s="12" t="str">
        <f t="shared" si="344"/>
        <v/>
      </c>
      <c r="Z4102" s="15"/>
    </row>
    <row r="4103" spans="1:26" x14ac:dyDescent="0.25">
      <c r="A4103" s="15" t="str">
        <f>IF(C4103="","",COUNTA($C$3:C4103))</f>
        <v/>
      </c>
      <c r="B4103" s="15" t="str">
        <f t="shared" si="345"/>
        <v/>
      </c>
      <c r="M4103" s="9"/>
      <c r="N4103" s="9"/>
      <c r="P4103" s="14"/>
      <c r="Q4103" s="85"/>
      <c r="R4103" s="89"/>
      <c r="U4103" s="11" t="str">
        <f t="shared" si="343"/>
        <v/>
      </c>
      <c r="V4103" s="12" t="str">
        <f t="shared" si="344"/>
        <v/>
      </c>
      <c r="Z4103" s="15"/>
    </row>
    <row r="4104" spans="1:26" x14ac:dyDescent="0.25">
      <c r="A4104" s="15" t="str">
        <f>IF(C4104="","",COUNTA($C$3:C4104))</f>
        <v/>
      </c>
      <c r="B4104" s="15" t="str">
        <f t="shared" si="345"/>
        <v/>
      </c>
      <c r="M4104" s="9"/>
      <c r="N4104" s="9"/>
      <c r="P4104" s="14"/>
      <c r="Q4104" s="85"/>
      <c r="R4104" s="89"/>
      <c r="U4104" s="11" t="str">
        <f t="shared" si="343"/>
        <v/>
      </c>
      <c r="V4104" s="12" t="str">
        <f t="shared" si="344"/>
        <v/>
      </c>
      <c r="Z4104" s="15"/>
    </row>
    <row r="4105" spans="1:26" x14ac:dyDescent="0.25">
      <c r="A4105" s="15" t="str">
        <f>IF(C4105="","",COUNTA($C$3:C4105))</f>
        <v/>
      </c>
      <c r="B4105" s="15" t="str">
        <f t="shared" si="345"/>
        <v/>
      </c>
      <c r="M4105" s="9"/>
      <c r="N4105" s="9"/>
      <c r="P4105" s="14"/>
      <c r="Q4105" s="85"/>
      <c r="R4105" s="89"/>
      <c r="U4105" s="11" t="str">
        <f t="shared" si="343"/>
        <v/>
      </c>
      <c r="V4105" s="12" t="str">
        <f t="shared" si="344"/>
        <v/>
      </c>
      <c r="Z4105" s="15"/>
    </row>
    <row r="4106" spans="1:26" x14ac:dyDescent="0.25">
      <c r="A4106" s="15" t="str">
        <f>IF(C4106="","",COUNTA($C$3:C4106))</f>
        <v/>
      </c>
      <c r="B4106" s="15" t="str">
        <f t="shared" si="345"/>
        <v/>
      </c>
      <c r="M4106" s="9"/>
      <c r="N4106" s="9"/>
      <c r="P4106" s="14"/>
      <c r="Q4106" s="85"/>
      <c r="R4106" s="89"/>
      <c r="U4106" s="11" t="str">
        <f t="shared" si="343"/>
        <v/>
      </c>
      <c r="V4106" s="12" t="str">
        <f t="shared" si="344"/>
        <v/>
      </c>
      <c r="Z4106" s="15"/>
    </row>
    <row r="4107" spans="1:26" x14ac:dyDescent="0.25">
      <c r="A4107" s="15" t="str">
        <f>IF(C4107="","",COUNTA($C$3:C4107))</f>
        <v/>
      </c>
      <c r="B4107" s="15" t="str">
        <f t="shared" si="345"/>
        <v/>
      </c>
      <c r="M4107" s="9"/>
      <c r="N4107" s="9"/>
      <c r="P4107" s="14"/>
      <c r="Q4107" s="85"/>
      <c r="R4107" s="89"/>
      <c r="U4107" s="11" t="str">
        <f t="shared" si="343"/>
        <v/>
      </c>
      <c r="V4107" s="12" t="str">
        <f t="shared" si="344"/>
        <v/>
      </c>
      <c r="Z4107" s="15"/>
    </row>
    <row r="4108" spans="1:26" x14ac:dyDescent="0.25">
      <c r="A4108" s="15" t="str">
        <f>IF(C4108="","",COUNTA($C$3:C4108))</f>
        <v/>
      </c>
      <c r="B4108" s="15" t="str">
        <f t="shared" si="345"/>
        <v/>
      </c>
      <c r="M4108" s="9"/>
      <c r="N4108" s="9"/>
      <c r="P4108" s="14"/>
      <c r="Q4108" s="85"/>
      <c r="R4108" s="89"/>
      <c r="U4108" s="11" t="str">
        <f t="shared" si="343"/>
        <v/>
      </c>
      <c r="V4108" s="12" t="str">
        <f t="shared" si="344"/>
        <v/>
      </c>
      <c r="Z4108" s="15"/>
    </row>
    <row r="4109" spans="1:26" x14ac:dyDescent="0.25">
      <c r="A4109" s="15" t="str">
        <f>IF(C4109="","",COUNTA($C$3:C4109))</f>
        <v/>
      </c>
      <c r="B4109" s="15" t="str">
        <f t="shared" si="345"/>
        <v/>
      </c>
      <c r="M4109" s="9"/>
      <c r="N4109" s="9"/>
      <c r="P4109" s="14"/>
      <c r="Q4109" s="85"/>
      <c r="R4109" s="89"/>
      <c r="U4109" s="11" t="str">
        <f t="shared" si="343"/>
        <v/>
      </c>
      <c r="V4109" s="12" t="str">
        <f t="shared" si="344"/>
        <v/>
      </c>
      <c r="Z4109" s="15"/>
    </row>
    <row r="4110" spans="1:26" x14ac:dyDescent="0.25">
      <c r="A4110" s="15" t="str">
        <f>IF(C4110="","",COUNTA($C$3:C4110))</f>
        <v/>
      </c>
      <c r="B4110" s="15" t="str">
        <f t="shared" si="345"/>
        <v/>
      </c>
      <c r="M4110" s="9"/>
      <c r="N4110" s="9"/>
      <c r="P4110" s="14"/>
      <c r="Q4110" s="85"/>
      <c r="R4110" s="89"/>
      <c r="U4110" s="11" t="str">
        <f t="shared" si="343"/>
        <v/>
      </c>
      <c r="V4110" s="12" t="str">
        <f t="shared" si="344"/>
        <v/>
      </c>
      <c r="Z4110" s="15"/>
    </row>
    <row r="4111" spans="1:26" x14ac:dyDescent="0.25">
      <c r="A4111" s="15" t="str">
        <f>IF(C4111="","",COUNTA($C$3:C4111))</f>
        <v/>
      </c>
      <c r="B4111" s="15" t="str">
        <f t="shared" si="345"/>
        <v/>
      </c>
      <c r="M4111" s="9"/>
      <c r="N4111" s="9"/>
      <c r="P4111" s="14"/>
      <c r="Q4111" s="85"/>
      <c r="R4111" s="89"/>
      <c r="U4111" s="11" t="str">
        <f t="shared" si="343"/>
        <v/>
      </c>
      <c r="V4111" s="12" t="str">
        <f t="shared" si="344"/>
        <v/>
      </c>
      <c r="Z4111" s="15"/>
    </row>
    <row r="4112" spans="1:26" x14ac:dyDescent="0.25">
      <c r="A4112" s="15" t="str">
        <f>IF(C4112="","",COUNTA($C$3:C4112))</f>
        <v/>
      </c>
      <c r="B4112" s="15" t="str">
        <f t="shared" si="345"/>
        <v/>
      </c>
      <c r="M4112" s="9"/>
      <c r="N4112" s="9"/>
      <c r="P4112" s="14"/>
      <c r="Q4112" s="85"/>
      <c r="R4112" s="89"/>
      <c r="U4112" s="11" t="str">
        <f t="shared" si="343"/>
        <v/>
      </c>
      <c r="V4112" s="12" t="str">
        <f t="shared" si="344"/>
        <v/>
      </c>
      <c r="Z4112" s="15"/>
    </row>
    <row r="4113" spans="1:26" x14ac:dyDescent="0.25">
      <c r="A4113" s="15" t="str">
        <f>IF(C4113="","",COUNTA($C$3:C4113))</f>
        <v/>
      </c>
      <c r="B4113" s="15" t="str">
        <f t="shared" si="345"/>
        <v/>
      </c>
      <c r="M4113" s="9"/>
      <c r="N4113" s="9"/>
      <c r="P4113" s="14"/>
      <c r="Q4113" s="85"/>
      <c r="R4113" s="89"/>
      <c r="U4113" s="11" t="str">
        <f t="shared" si="343"/>
        <v/>
      </c>
      <c r="V4113" s="12" t="str">
        <f t="shared" si="344"/>
        <v/>
      </c>
      <c r="Z4113" s="15"/>
    </row>
    <row r="4114" spans="1:26" x14ac:dyDescent="0.25">
      <c r="A4114" s="15" t="str">
        <f>IF(C4114="","",COUNTA($C$3:C4114))</f>
        <v/>
      </c>
      <c r="B4114" s="15" t="str">
        <f t="shared" si="345"/>
        <v/>
      </c>
      <c r="M4114" s="9"/>
      <c r="N4114" s="9"/>
      <c r="P4114" s="14"/>
      <c r="Q4114" s="85"/>
      <c r="R4114" s="89"/>
      <c r="U4114" s="11" t="str">
        <f t="shared" si="343"/>
        <v/>
      </c>
      <c r="V4114" s="12" t="str">
        <f t="shared" si="344"/>
        <v/>
      </c>
      <c r="Z4114" s="15"/>
    </row>
    <row r="4115" spans="1:26" x14ac:dyDescent="0.25">
      <c r="A4115" s="15" t="str">
        <f>IF(C4115="","",COUNTA($C$3:C4115))</f>
        <v/>
      </c>
      <c r="B4115" s="15" t="str">
        <f t="shared" si="345"/>
        <v/>
      </c>
      <c r="M4115" s="9"/>
      <c r="N4115" s="9"/>
      <c r="P4115" s="14"/>
      <c r="Q4115" s="85"/>
      <c r="R4115" s="89"/>
      <c r="U4115" s="11" t="str">
        <f t="shared" si="343"/>
        <v/>
      </c>
      <c r="V4115" s="12" t="str">
        <f t="shared" si="344"/>
        <v/>
      </c>
      <c r="Z4115" s="15"/>
    </row>
    <row r="4116" spans="1:26" x14ac:dyDescent="0.25">
      <c r="A4116" s="15" t="str">
        <f>IF(C4116="","",COUNTA($C$3:C4116))</f>
        <v/>
      </c>
      <c r="B4116" s="15" t="str">
        <f t="shared" si="345"/>
        <v/>
      </c>
      <c r="M4116" s="9"/>
      <c r="N4116" s="9"/>
      <c r="P4116" s="14"/>
      <c r="Q4116" s="85"/>
      <c r="R4116" s="89"/>
      <c r="U4116" s="11" t="str">
        <f t="shared" si="343"/>
        <v/>
      </c>
      <c r="V4116" s="12" t="str">
        <f t="shared" si="344"/>
        <v/>
      </c>
      <c r="Z4116" s="15"/>
    </row>
    <row r="4117" spans="1:26" x14ac:dyDescent="0.25">
      <c r="A4117" s="15" t="str">
        <f>IF(C4117="","",COUNTA($C$3:C4117))</f>
        <v/>
      </c>
      <c r="B4117" s="15" t="str">
        <f t="shared" si="345"/>
        <v/>
      </c>
      <c r="M4117" s="9"/>
      <c r="N4117" s="9"/>
      <c r="P4117" s="14"/>
      <c r="Q4117" s="85"/>
      <c r="R4117" s="89"/>
      <c r="U4117" s="11" t="str">
        <f t="shared" si="343"/>
        <v/>
      </c>
      <c r="V4117" s="12" t="str">
        <f t="shared" si="344"/>
        <v/>
      </c>
      <c r="Z4117" s="15"/>
    </row>
    <row r="4118" spans="1:26" x14ac:dyDescent="0.25">
      <c r="A4118" s="15" t="str">
        <f>IF(C4118="","",COUNTA($C$3:C4118))</f>
        <v/>
      </c>
      <c r="B4118" s="15" t="str">
        <f t="shared" si="345"/>
        <v/>
      </c>
      <c r="M4118" s="9"/>
      <c r="N4118" s="9"/>
      <c r="P4118" s="14"/>
      <c r="Q4118" s="85"/>
      <c r="R4118" s="89"/>
      <c r="U4118" s="11" t="str">
        <f t="shared" si="343"/>
        <v/>
      </c>
      <c r="V4118" s="12" t="str">
        <f t="shared" si="344"/>
        <v/>
      </c>
      <c r="Z4118" s="15"/>
    </row>
    <row r="4119" spans="1:26" x14ac:dyDescent="0.25">
      <c r="A4119" s="15" t="str">
        <f>IF(C4119="","",COUNTA($C$3:C4119))</f>
        <v/>
      </c>
      <c r="B4119" s="15" t="str">
        <f t="shared" si="345"/>
        <v/>
      </c>
      <c r="M4119" s="9"/>
      <c r="N4119" s="9"/>
      <c r="P4119" s="14"/>
      <c r="Q4119" s="85"/>
      <c r="R4119" s="89"/>
      <c r="U4119" s="11" t="str">
        <f t="shared" si="343"/>
        <v/>
      </c>
      <c r="V4119" s="12" t="str">
        <f t="shared" si="344"/>
        <v/>
      </c>
      <c r="Z4119" s="15"/>
    </row>
    <row r="4120" spans="1:26" x14ac:dyDescent="0.25">
      <c r="A4120" s="15" t="str">
        <f>IF(C4120="","",COUNTA($C$3:C4120))</f>
        <v/>
      </c>
      <c r="B4120" s="15" t="str">
        <f t="shared" si="345"/>
        <v/>
      </c>
      <c r="M4120" s="9"/>
      <c r="N4120" s="9"/>
      <c r="P4120" s="14"/>
      <c r="Q4120" s="85"/>
      <c r="R4120" s="89"/>
      <c r="U4120" s="11" t="str">
        <f t="shared" si="343"/>
        <v/>
      </c>
      <c r="V4120" s="12" t="str">
        <f t="shared" si="344"/>
        <v/>
      </c>
      <c r="Z4120" s="15"/>
    </row>
    <row r="4121" spans="1:26" x14ac:dyDescent="0.25">
      <c r="A4121" s="15" t="str">
        <f>IF(C4121="","",COUNTA($C$3:C4121))</f>
        <v/>
      </c>
      <c r="B4121" s="15" t="str">
        <f t="shared" si="345"/>
        <v/>
      </c>
      <c r="M4121" s="9"/>
      <c r="N4121" s="9"/>
      <c r="P4121" s="14"/>
      <c r="Q4121" s="85"/>
      <c r="R4121" s="89"/>
      <c r="U4121" s="11" t="str">
        <f t="shared" si="343"/>
        <v/>
      </c>
      <c r="V4121" s="12" t="str">
        <f t="shared" si="344"/>
        <v/>
      </c>
      <c r="Z4121" s="15"/>
    </row>
    <row r="4122" spans="1:26" x14ac:dyDescent="0.25">
      <c r="A4122" s="15" t="str">
        <f>IF(C4122="","",COUNTA($C$3:C4122))</f>
        <v/>
      </c>
      <c r="B4122" s="15" t="str">
        <f t="shared" si="345"/>
        <v/>
      </c>
      <c r="M4122" s="9"/>
      <c r="N4122" s="9"/>
      <c r="P4122" s="14"/>
      <c r="Q4122" s="85"/>
      <c r="R4122" s="89"/>
      <c r="U4122" s="11" t="str">
        <f t="shared" si="343"/>
        <v/>
      </c>
      <c r="V4122" s="12" t="str">
        <f t="shared" si="344"/>
        <v/>
      </c>
      <c r="Z4122" s="15"/>
    </row>
    <row r="4123" spans="1:26" x14ac:dyDescent="0.25">
      <c r="A4123" s="15" t="str">
        <f>IF(C4123="","",COUNTA($C$3:C4123))</f>
        <v/>
      </c>
      <c r="B4123" s="15" t="str">
        <f t="shared" si="345"/>
        <v/>
      </c>
      <c r="M4123" s="9"/>
      <c r="N4123" s="9"/>
      <c r="P4123" s="14"/>
      <c r="Q4123" s="85"/>
      <c r="R4123" s="89"/>
      <c r="U4123" s="11" t="str">
        <f t="shared" si="343"/>
        <v/>
      </c>
      <c r="V4123" s="12" t="str">
        <f t="shared" si="344"/>
        <v/>
      </c>
      <c r="Z4123" s="15"/>
    </row>
    <row r="4124" spans="1:26" x14ac:dyDescent="0.25">
      <c r="A4124" s="15" t="str">
        <f>IF(C4124="","",COUNTA($C$3:C4124))</f>
        <v/>
      </c>
      <c r="B4124" s="15" t="str">
        <f t="shared" si="345"/>
        <v/>
      </c>
      <c r="M4124" s="9"/>
      <c r="N4124" s="9"/>
      <c r="P4124" s="14"/>
      <c r="Q4124" s="85"/>
      <c r="R4124" s="89"/>
      <c r="U4124" s="11" t="str">
        <f t="shared" si="343"/>
        <v/>
      </c>
      <c r="V4124" s="12" t="str">
        <f t="shared" si="344"/>
        <v/>
      </c>
      <c r="Z4124" s="15"/>
    </row>
    <row r="4125" spans="1:26" x14ac:dyDescent="0.25">
      <c r="A4125" s="15" t="str">
        <f>IF(C4125="","",COUNTA($C$3:C4125))</f>
        <v/>
      </c>
      <c r="B4125" s="15" t="str">
        <f t="shared" si="345"/>
        <v/>
      </c>
      <c r="M4125" s="9"/>
      <c r="N4125" s="9"/>
      <c r="P4125" s="14"/>
      <c r="Q4125" s="85"/>
      <c r="R4125" s="89"/>
      <c r="U4125" s="11" t="str">
        <f t="shared" si="343"/>
        <v/>
      </c>
      <c r="V4125" s="12" t="str">
        <f t="shared" si="344"/>
        <v/>
      </c>
      <c r="Z4125" s="15"/>
    </row>
    <row r="4126" spans="1:26" x14ac:dyDescent="0.25">
      <c r="A4126" s="15" t="str">
        <f>IF(C4126="","",COUNTA($C$3:C4126))</f>
        <v/>
      </c>
      <c r="B4126" s="15" t="str">
        <f t="shared" si="345"/>
        <v/>
      </c>
      <c r="M4126" s="9"/>
      <c r="N4126" s="9"/>
      <c r="P4126" s="14"/>
      <c r="Q4126" s="85"/>
      <c r="R4126" s="89"/>
      <c r="U4126" s="11" t="str">
        <f t="shared" si="343"/>
        <v/>
      </c>
      <c r="V4126" s="12" t="str">
        <f t="shared" si="344"/>
        <v/>
      </c>
      <c r="Z4126" s="15"/>
    </row>
    <row r="4127" spans="1:26" x14ac:dyDescent="0.25">
      <c r="A4127" s="15" t="str">
        <f>IF(C4127="","",COUNTA($C$3:C4127))</f>
        <v/>
      </c>
      <c r="B4127" s="15" t="str">
        <f t="shared" si="345"/>
        <v/>
      </c>
      <c r="M4127" s="9"/>
      <c r="N4127" s="9"/>
      <c r="P4127" s="14"/>
      <c r="Q4127" s="85"/>
      <c r="R4127" s="89"/>
      <c r="U4127" s="11" t="str">
        <f t="shared" si="343"/>
        <v/>
      </c>
      <c r="V4127" s="12" t="str">
        <f t="shared" si="344"/>
        <v/>
      </c>
      <c r="Z4127" s="15"/>
    </row>
    <row r="4128" spans="1:26" x14ac:dyDescent="0.25">
      <c r="A4128" s="15" t="str">
        <f>IF(C4128="","",COUNTA($C$3:C4128))</f>
        <v/>
      </c>
      <c r="B4128" s="15" t="str">
        <f t="shared" si="345"/>
        <v/>
      </c>
      <c r="M4128" s="9"/>
      <c r="N4128" s="9"/>
      <c r="P4128" s="14"/>
      <c r="Q4128" s="85"/>
      <c r="R4128" s="89"/>
      <c r="U4128" s="11" t="str">
        <f t="shared" si="343"/>
        <v/>
      </c>
      <c r="V4128" s="12" t="str">
        <f t="shared" si="344"/>
        <v/>
      </c>
      <c r="Z4128" s="15"/>
    </row>
    <row r="4129" spans="1:26" x14ac:dyDescent="0.25">
      <c r="A4129" s="15" t="str">
        <f>IF(C4129="","",COUNTA($C$3:C4129))</f>
        <v/>
      </c>
      <c r="B4129" s="15" t="str">
        <f t="shared" si="345"/>
        <v/>
      </c>
      <c r="M4129" s="9"/>
      <c r="N4129" s="9"/>
      <c r="P4129" s="14"/>
      <c r="Q4129" s="85"/>
      <c r="R4129" s="89"/>
      <c r="U4129" s="11" t="str">
        <f t="shared" si="343"/>
        <v/>
      </c>
      <c r="V4129" s="12" t="str">
        <f t="shared" si="344"/>
        <v/>
      </c>
      <c r="Z4129" s="15"/>
    </row>
    <row r="4130" spans="1:26" x14ac:dyDescent="0.25">
      <c r="A4130" s="15" t="str">
        <f>IF(C4130="","",COUNTA($C$3:C4130))</f>
        <v/>
      </c>
      <c r="B4130" s="15" t="str">
        <f t="shared" si="345"/>
        <v/>
      </c>
      <c r="M4130" s="9"/>
      <c r="N4130" s="9"/>
      <c r="P4130" s="14"/>
      <c r="Q4130" s="85"/>
      <c r="R4130" s="89"/>
      <c r="U4130" s="11" t="str">
        <f t="shared" si="343"/>
        <v/>
      </c>
      <c r="V4130" s="12" t="str">
        <f t="shared" si="344"/>
        <v/>
      </c>
      <c r="Z4130" s="15"/>
    </row>
    <row r="4131" spans="1:26" x14ac:dyDescent="0.25">
      <c r="A4131" s="15" t="str">
        <f>IF(C4131="","",COUNTA($C$3:C4131))</f>
        <v/>
      </c>
      <c r="B4131" s="15" t="str">
        <f t="shared" si="345"/>
        <v/>
      </c>
      <c r="M4131" s="9"/>
      <c r="N4131" s="9"/>
      <c r="P4131" s="14"/>
      <c r="Q4131" s="85"/>
      <c r="R4131" s="89"/>
      <c r="U4131" s="11" t="str">
        <f t="shared" si="343"/>
        <v/>
      </c>
      <c r="V4131" s="12" t="str">
        <f t="shared" si="344"/>
        <v/>
      </c>
      <c r="Z4131" s="15"/>
    </row>
    <row r="4132" spans="1:26" x14ac:dyDescent="0.25">
      <c r="A4132" s="15" t="str">
        <f>IF(C4132="","",COUNTA($C$3:C4132))</f>
        <v/>
      </c>
      <c r="B4132" s="15" t="str">
        <f t="shared" si="345"/>
        <v/>
      </c>
      <c r="M4132" s="9"/>
      <c r="N4132" s="9"/>
      <c r="P4132" s="14"/>
      <c r="Q4132" s="85"/>
      <c r="R4132" s="89"/>
      <c r="U4132" s="11" t="str">
        <f t="shared" si="343"/>
        <v/>
      </c>
      <c r="V4132" s="12" t="str">
        <f t="shared" si="344"/>
        <v/>
      </c>
      <c r="Z4132" s="15"/>
    </row>
    <row r="4133" spans="1:26" x14ac:dyDescent="0.25">
      <c r="A4133" s="15" t="str">
        <f>IF(C4133="","",COUNTA($C$3:C4133))</f>
        <v/>
      </c>
      <c r="B4133" s="15" t="str">
        <f t="shared" si="345"/>
        <v/>
      </c>
      <c r="M4133" s="9"/>
      <c r="N4133" s="9"/>
      <c r="P4133" s="14"/>
      <c r="Q4133" s="85"/>
      <c r="R4133" s="89"/>
      <c r="U4133" s="11" t="str">
        <f t="shared" si="343"/>
        <v/>
      </c>
      <c r="V4133" s="12" t="str">
        <f t="shared" si="344"/>
        <v/>
      </c>
      <c r="Z4133" s="15"/>
    </row>
    <row r="4134" spans="1:26" x14ac:dyDescent="0.25">
      <c r="A4134" s="15" t="str">
        <f>IF(C4134="","",COUNTA($C$3:C4134))</f>
        <v/>
      </c>
      <c r="B4134" s="15" t="str">
        <f t="shared" si="345"/>
        <v/>
      </c>
      <c r="M4134" s="9"/>
      <c r="N4134" s="9"/>
      <c r="P4134" s="14"/>
      <c r="Q4134" s="85"/>
      <c r="R4134" s="89"/>
      <c r="U4134" s="11" t="str">
        <f t="shared" si="343"/>
        <v/>
      </c>
      <c r="V4134" s="12" t="str">
        <f t="shared" si="344"/>
        <v/>
      </c>
      <c r="Z4134" s="15"/>
    </row>
    <row r="4135" spans="1:26" x14ac:dyDescent="0.25">
      <c r="A4135" s="15" t="str">
        <f>IF(C4135="","",COUNTA($C$3:C4135))</f>
        <v/>
      </c>
      <c r="B4135" s="15" t="str">
        <f t="shared" si="345"/>
        <v/>
      </c>
      <c r="M4135" s="9"/>
      <c r="N4135" s="9"/>
      <c r="P4135" s="14"/>
      <c r="Q4135" s="85"/>
      <c r="R4135" s="89"/>
      <c r="U4135" s="11" t="str">
        <f t="shared" si="343"/>
        <v/>
      </c>
      <c r="V4135" s="12" t="str">
        <f t="shared" si="344"/>
        <v/>
      </c>
      <c r="Z4135" s="15"/>
    </row>
    <row r="4136" spans="1:26" x14ac:dyDescent="0.25">
      <c r="A4136" s="15" t="str">
        <f>IF(C4136="","",COUNTA($C$3:C4136))</f>
        <v/>
      </c>
      <c r="B4136" s="15" t="str">
        <f t="shared" si="345"/>
        <v/>
      </c>
      <c r="M4136" s="9"/>
      <c r="N4136" s="9"/>
      <c r="P4136" s="14"/>
      <c r="Q4136" s="85"/>
      <c r="R4136" s="89"/>
      <c r="U4136" s="11" t="str">
        <f t="shared" si="343"/>
        <v/>
      </c>
      <c r="V4136" s="12" t="str">
        <f t="shared" si="344"/>
        <v/>
      </c>
      <c r="Z4136" s="15"/>
    </row>
    <row r="4137" spans="1:26" x14ac:dyDescent="0.25">
      <c r="A4137" s="15" t="str">
        <f>IF(C4137="","",COUNTA($C$3:C4137))</f>
        <v/>
      </c>
      <c r="B4137" s="15" t="str">
        <f t="shared" si="345"/>
        <v/>
      </c>
      <c r="M4137" s="9"/>
      <c r="N4137" s="9"/>
      <c r="P4137" s="14"/>
      <c r="Q4137" s="85"/>
      <c r="R4137" s="89"/>
      <c r="U4137" s="11" t="str">
        <f t="shared" si="343"/>
        <v/>
      </c>
      <c r="V4137" s="12" t="str">
        <f t="shared" si="344"/>
        <v/>
      </c>
      <c r="Z4137" s="15"/>
    </row>
    <row r="4138" spans="1:26" x14ac:dyDescent="0.25">
      <c r="A4138" s="15" t="str">
        <f>IF(C4138="","",COUNTA($C$3:C4138))</f>
        <v/>
      </c>
      <c r="B4138" s="15" t="str">
        <f t="shared" si="345"/>
        <v/>
      </c>
      <c r="M4138" s="9"/>
      <c r="N4138" s="9"/>
      <c r="P4138" s="14"/>
      <c r="Q4138" s="85"/>
      <c r="R4138" s="89"/>
      <c r="U4138" s="11" t="str">
        <f t="shared" si="343"/>
        <v/>
      </c>
      <c r="V4138" s="12" t="str">
        <f t="shared" si="344"/>
        <v/>
      </c>
      <c r="Z4138" s="15"/>
    </row>
    <row r="4139" spans="1:26" x14ac:dyDescent="0.25">
      <c r="A4139" s="15" t="str">
        <f>IF(C4139="","",COUNTA($C$3:C4139))</f>
        <v/>
      </c>
      <c r="B4139" s="15" t="str">
        <f t="shared" si="345"/>
        <v/>
      </c>
      <c r="M4139" s="9"/>
      <c r="N4139" s="9"/>
      <c r="P4139" s="14"/>
      <c r="Q4139" s="85"/>
      <c r="R4139" s="89"/>
      <c r="U4139" s="11" t="str">
        <f t="shared" si="343"/>
        <v/>
      </c>
      <c r="V4139" s="12" t="str">
        <f t="shared" si="344"/>
        <v/>
      </c>
      <c r="Z4139" s="15"/>
    </row>
    <row r="4140" spans="1:26" x14ac:dyDescent="0.25">
      <c r="A4140" s="15" t="str">
        <f>IF(C4140="","",COUNTA($C$3:C4140))</f>
        <v/>
      </c>
      <c r="B4140" s="15" t="str">
        <f t="shared" si="345"/>
        <v/>
      </c>
      <c r="M4140" s="9"/>
      <c r="N4140" s="9"/>
      <c r="P4140" s="14"/>
      <c r="Q4140" s="85"/>
      <c r="R4140" s="89"/>
      <c r="U4140" s="11" t="str">
        <f t="shared" si="343"/>
        <v/>
      </c>
      <c r="V4140" s="12" t="str">
        <f t="shared" si="344"/>
        <v/>
      </c>
      <c r="Z4140" s="15"/>
    </row>
    <row r="4141" spans="1:26" x14ac:dyDescent="0.25">
      <c r="A4141" s="15" t="str">
        <f>IF(C4141="","",COUNTA($C$3:C4141))</f>
        <v/>
      </c>
      <c r="B4141" s="15" t="str">
        <f t="shared" si="345"/>
        <v/>
      </c>
      <c r="M4141" s="9"/>
      <c r="N4141" s="9"/>
      <c r="P4141" s="14"/>
      <c r="Q4141" s="85"/>
      <c r="R4141" s="89"/>
      <c r="U4141" s="11" t="str">
        <f t="shared" si="343"/>
        <v/>
      </c>
      <c r="V4141" s="12" t="str">
        <f t="shared" si="344"/>
        <v/>
      </c>
      <c r="Z4141" s="15"/>
    </row>
    <row r="4142" spans="1:26" x14ac:dyDescent="0.25">
      <c r="A4142" s="15" t="str">
        <f>IF(C4142="","",COUNTA($C$3:C4142))</f>
        <v/>
      </c>
      <c r="B4142" s="15" t="str">
        <f t="shared" si="345"/>
        <v/>
      </c>
      <c r="M4142" s="9"/>
      <c r="N4142" s="9"/>
      <c r="P4142" s="14"/>
      <c r="Q4142" s="85"/>
      <c r="R4142" s="89"/>
      <c r="U4142" s="11" t="str">
        <f t="shared" si="343"/>
        <v/>
      </c>
      <c r="V4142" s="12" t="str">
        <f t="shared" si="344"/>
        <v/>
      </c>
      <c r="Z4142" s="15"/>
    </row>
    <row r="4143" spans="1:26" x14ac:dyDescent="0.25">
      <c r="A4143" s="15" t="str">
        <f>IF(C4143="","",COUNTA($C$3:C4143))</f>
        <v/>
      </c>
      <c r="B4143" s="15" t="str">
        <f t="shared" si="345"/>
        <v/>
      </c>
      <c r="M4143" s="9"/>
      <c r="N4143" s="9"/>
      <c r="P4143" s="14"/>
      <c r="Q4143" s="85"/>
      <c r="R4143" s="89"/>
      <c r="U4143" s="11" t="str">
        <f t="shared" si="343"/>
        <v/>
      </c>
      <c r="V4143" s="12" t="str">
        <f t="shared" si="344"/>
        <v/>
      </c>
      <c r="Z4143" s="15"/>
    </row>
    <row r="4144" spans="1:26" x14ac:dyDescent="0.25">
      <c r="A4144" s="15" t="str">
        <f>IF(C4144="","",COUNTA($C$3:C4144))</f>
        <v/>
      </c>
      <c r="B4144" s="15" t="str">
        <f t="shared" si="345"/>
        <v/>
      </c>
      <c r="M4144" s="9"/>
      <c r="N4144" s="9"/>
      <c r="P4144" s="14"/>
      <c r="Q4144" s="85"/>
      <c r="R4144" s="89"/>
      <c r="U4144" s="11" t="str">
        <f t="shared" si="343"/>
        <v/>
      </c>
      <c r="V4144" s="12" t="str">
        <f t="shared" si="344"/>
        <v/>
      </c>
      <c r="Z4144" s="15"/>
    </row>
    <row r="4145" spans="1:26" x14ac:dyDescent="0.25">
      <c r="A4145" s="15" t="str">
        <f>IF(C4145="","",COUNTA($C$3:C4145))</f>
        <v/>
      </c>
      <c r="B4145" s="15" t="str">
        <f t="shared" si="345"/>
        <v/>
      </c>
      <c r="M4145" s="9"/>
      <c r="N4145" s="9"/>
      <c r="P4145" s="14"/>
      <c r="Q4145" s="85"/>
      <c r="R4145" s="89"/>
      <c r="U4145" s="11" t="str">
        <f t="shared" si="343"/>
        <v/>
      </c>
      <c r="V4145" s="12" t="str">
        <f t="shared" si="344"/>
        <v/>
      </c>
      <c r="Z4145" s="15"/>
    </row>
    <row r="4146" spans="1:26" x14ac:dyDescent="0.25">
      <c r="A4146" s="15" t="str">
        <f>IF(C4146="","",COUNTA($C$3:C4146))</f>
        <v/>
      </c>
      <c r="B4146" s="15" t="str">
        <f t="shared" si="345"/>
        <v/>
      </c>
      <c r="M4146" s="9"/>
      <c r="N4146" s="9"/>
      <c r="P4146" s="14"/>
      <c r="Q4146" s="85"/>
      <c r="R4146" s="89"/>
      <c r="U4146" s="11" t="str">
        <f t="shared" si="343"/>
        <v/>
      </c>
      <c r="V4146" s="12" t="str">
        <f t="shared" si="344"/>
        <v/>
      </c>
      <c r="Z4146" s="15"/>
    </row>
    <row r="4147" spans="1:26" x14ac:dyDescent="0.25">
      <c r="A4147" s="15" t="str">
        <f>IF(C4147="","",COUNTA($C$3:C4147))</f>
        <v/>
      </c>
      <c r="B4147" s="15" t="str">
        <f t="shared" si="345"/>
        <v/>
      </c>
      <c r="M4147" s="9"/>
      <c r="N4147" s="9"/>
      <c r="P4147" s="14"/>
      <c r="Q4147" s="85"/>
      <c r="R4147" s="89"/>
      <c r="U4147" s="11" t="str">
        <f t="shared" si="343"/>
        <v/>
      </c>
      <c r="V4147" s="12" t="str">
        <f t="shared" si="344"/>
        <v/>
      </c>
      <c r="Z4147" s="15"/>
    </row>
    <row r="4148" spans="1:26" x14ac:dyDescent="0.25">
      <c r="A4148" s="15" t="str">
        <f>IF(C4148="","",COUNTA($C$3:C4148))</f>
        <v/>
      </c>
      <c r="B4148" s="15" t="str">
        <f t="shared" si="345"/>
        <v/>
      </c>
      <c r="M4148" s="9"/>
      <c r="N4148" s="9"/>
      <c r="P4148" s="14"/>
      <c r="Q4148" s="85"/>
      <c r="R4148" s="89"/>
      <c r="U4148" s="11" t="str">
        <f t="shared" si="343"/>
        <v/>
      </c>
      <c r="V4148" s="12" t="str">
        <f t="shared" si="344"/>
        <v/>
      </c>
      <c r="Z4148" s="15"/>
    </row>
    <row r="4149" spans="1:26" x14ac:dyDescent="0.25">
      <c r="A4149" s="15" t="str">
        <f>IF(C4149="","",COUNTA($C$3:C4149))</f>
        <v/>
      </c>
      <c r="B4149" s="15" t="str">
        <f t="shared" si="345"/>
        <v/>
      </c>
      <c r="M4149" s="9"/>
      <c r="N4149" s="9"/>
      <c r="P4149" s="14"/>
      <c r="Q4149" s="85"/>
      <c r="R4149" s="89"/>
      <c r="U4149" s="11" t="str">
        <f t="shared" si="343"/>
        <v/>
      </c>
      <c r="V4149" s="12" t="str">
        <f t="shared" si="344"/>
        <v/>
      </c>
      <c r="Z4149" s="15"/>
    </row>
    <row r="4150" spans="1:26" x14ac:dyDescent="0.25">
      <c r="A4150" s="15" t="str">
        <f>IF(C4150="","",COUNTA($C$3:C4150))</f>
        <v/>
      </c>
      <c r="B4150" s="15" t="str">
        <f t="shared" si="345"/>
        <v/>
      </c>
      <c r="M4150" s="9"/>
      <c r="N4150" s="9"/>
      <c r="P4150" s="14"/>
      <c r="Q4150" s="85"/>
      <c r="R4150" s="89"/>
      <c r="U4150" s="11" t="str">
        <f t="shared" si="343"/>
        <v/>
      </c>
      <c r="V4150" s="12" t="str">
        <f t="shared" si="344"/>
        <v/>
      </c>
      <c r="Z4150" s="15"/>
    </row>
    <row r="4151" spans="1:26" x14ac:dyDescent="0.25">
      <c r="A4151" s="15" t="str">
        <f>IF(C4151="","",COUNTA($C$3:C4151))</f>
        <v/>
      </c>
      <c r="B4151" s="15" t="str">
        <f t="shared" si="345"/>
        <v/>
      </c>
      <c r="M4151" s="9"/>
      <c r="N4151" s="9"/>
      <c r="P4151" s="14"/>
      <c r="Q4151" s="85"/>
      <c r="R4151" s="89"/>
      <c r="U4151" s="11" t="str">
        <f t="shared" si="343"/>
        <v/>
      </c>
      <c r="V4151" s="12" t="str">
        <f t="shared" si="344"/>
        <v/>
      </c>
      <c r="Z4151" s="15"/>
    </row>
    <row r="4152" spans="1:26" x14ac:dyDescent="0.25">
      <c r="A4152" s="15" t="str">
        <f>IF(C4152="","",COUNTA($C$3:C4152))</f>
        <v/>
      </c>
      <c r="B4152" s="15" t="str">
        <f t="shared" si="345"/>
        <v/>
      </c>
      <c r="M4152" s="9"/>
      <c r="N4152" s="9"/>
      <c r="P4152" s="14"/>
      <c r="Q4152" s="85"/>
      <c r="R4152" s="89"/>
      <c r="U4152" s="11" t="str">
        <f t="shared" si="343"/>
        <v/>
      </c>
      <c r="V4152" s="12" t="str">
        <f t="shared" si="344"/>
        <v/>
      </c>
      <c r="Z4152" s="15"/>
    </row>
    <row r="4153" spans="1:26" x14ac:dyDescent="0.25">
      <c r="A4153" s="15" t="str">
        <f>IF(C4153="","",COUNTA($C$3:C4153))</f>
        <v/>
      </c>
      <c r="B4153" s="15" t="str">
        <f t="shared" si="345"/>
        <v/>
      </c>
      <c r="M4153" s="9"/>
      <c r="N4153" s="9"/>
      <c r="P4153" s="14"/>
      <c r="Q4153" s="85"/>
      <c r="R4153" s="89"/>
      <c r="U4153" s="11" t="str">
        <f t="shared" si="343"/>
        <v/>
      </c>
      <c r="V4153" s="12" t="str">
        <f t="shared" si="344"/>
        <v/>
      </c>
      <c r="Z4153" s="15"/>
    </row>
    <row r="4154" spans="1:26" x14ac:dyDescent="0.25">
      <c r="A4154" s="15" t="str">
        <f>IF(C4154="","",COUNTA($C$3:C4154))</f>
        <v/>
      </c>
      <c r="B4154" s="15" t="str">
        <f t="shared" si="345"/>
        <v/>
      </c>
      <c r="M4154" s="9"/>
      <c r="N4154" s="9"/>
      <c r="P4154" s="14"/>
      <c r="Q4154" s="85"/>
      <c r="R4154" s="89"/>
      <c r="U4154" s="11" t="str">
        <f t="shared" si="343"/>
        <v/>
      </c>
      <c r="V4154" s="12" t="str">
        <f t="shared" si="344"/>
        <v/>
      </c>
      <c r="Z4154" s="15"/>
    </row>
    <row r="4155" spans="1:26" x14ac:dyDescent="0.25">
      <c r="A4155" s="15" t="str">
        <f>IF(C4155="","",COUNTA($C$3:C4155))</f>
        <v/>
      </c>
      <c r="B4155" s="15" t="str">
        <f t="shared" si="345"/>
        <v/>
      </c>
      <c r="M4155" s="9"/>
      <c r="N4155" s="9"/>
      <c r="P4155" s="14"/>
      <c r="Q4155" s="85"/>
      <c r="R4155" s="89"/>
      <c r="U4155" s="11" t="str">
        <f t="shared" si="343"/>
        <v/>
      </c>
      <c r="V4155" s="12" t="str">
        <f t="shared" si="344"/>
        <v/>
      </c>
      <c r="Z4155" s="15"/>
    </row>
    <row r="4156" spans="1:26" x14ac:dyDescent="0.25">
      <c r="A4156" s="15" t="str">
        <f>IF(C4156="","",COUNTA($C$3:C4156))</f>
        <v/>
      </c>
      <c r="B4156" s="15" t="str">
        <f t="shared" si="345"/>
        <v/>
      </c>
      <c r="M4156" s="9"/>
      <c r="N4156" s="9"/>
      <c r="P4156" s="14"/>
      <c r="Q4156" s="85"/>
      <c r="R4156" s="89"/>
      <c r="U4156" s="11" t="str">
        <f t="shared" si="343"/>
        <v/>
      </c>
      <c r="V4156" s="12" t="str">
        <f t="shared" si="344"/>
        <v/>
      </c>
      <c r="Z4156" s="15"/>
    </row>
    <row r="4157" spans="1:26" x14ac:dyDescent="0.25">
      <c r="A4157" s="15" t="str">
        <f>IF(C4157="","",COUNTA($C$3:C4157))</f>
        <v/>
      </c>
      <c r="B4157" s="15" t="str">
        <f t="shared" si="345"/>
        <v/>
      </c>
      <c r="M4157" s="9"/>
      <c r="N4157" s="9"/>
      <c r="P4157" s="14"/>
      <c r="Q4157" s="85"/>
      <c r="R4157" s="89"/>
      <c r="U4157" s="11" t="str">
        <f t="shared" si="343"/>
        <v/>
      </c>
      <c r="V4157" s="12" t="str">
        <f t="shared" si="344"/>
        <v/>
      </c>
      <c r="Z4157" s="15"/>
    </row>
    <row r="4158" spans="1:26" x14ac:dyDescent="0.25">
      <c r="A4158" s="15" t="str">
        <f>IF(C4158="","",COUNTA($C$3:C4158))</f>
        <v/>
      </c>
      <c r="B4158" s="15" t="str">
        <f t="shared" si="345"/>
        <v/>
      </c>
      <c r="M4158" s="9"/>
      <c r="N4158" s="9"/>
      <c r="P4158" s="14"/>
      <c r="Q4158" s="85"/>
      <c r="R4158" s="89"/>
      <c r="U4158" s="11" t="str">
        <f t="shared" si="343"/>
        <v/>
      </c>
      <c r="V4158" s="12" t="str">
        <f t="shared" si="344"/>
        <v/>
      </c>
      <c r="Z4158" s="15"/>
    </row>
    <row r="4159" spans="1:26" x14ac:dyDescent="0.25">
      <c r="A4159" s="15" t="str">
        <f>IF(C4159="","",COUNTA($C$3:C4159))</f>
        <v/>
      </c>
      <c r="B4159" s="15" t="str">
        <f t="shared" si="345"/>
        <v/>
      </c>
      <c r="M4159" s="9"/>
      <c r="N4159" s="9"/>
      <c r="P4159" s="14"/>
      <c r="Q4159" s="85"/>
      <c r="R4159" s="89"/>
      <c r="U4159" s="11" t="str">
        <f t="shared" si="343"/>
        <v/>
      </c>
      <c r="V4159" s="12" t="str">
        <f t="shared" si="344"/>
        <v/>
      </c>
      <c r="Z4159" s="15"/>
    </row>
    <row r="4160" spans="1:26" x14ac:dyDescent="0.25">
      <c r="A4160" s="15" t="str">
        <f>IF(C4160="","",COUNTA($C$3:C4160))</f>
        <v/>
      </c>
      <c r="B4160" s="15" t="str">
        <f t="shared" si="345"/>
        <v/>
      </c>
      <c r="M4160" s="9"/>
      <c r="N4160" s="9"/>
      <c r="P4160" s="14"/>
      <c r="Q4160" s="85"/>
      <c r="R4160" s="89"/>
      <c r="U4160" s="11" t="str">
        <f t="shared" si="343"/>
        <v/>
      </c>
      <c r="V4160" s="12" t="str">
        <f t="shared" si="344"/>
        <v/>
      </c>
      <c r="Z4160" s="15"/>
    </row>
    <row r="4161" spans="1:26" x14ac:dyDescent="0.25">
      <c r="A4161" s="15" t="str">
        <f>IF(C4161="","",COUNTA($C$3:C4161))</f>
        <v/>
      </c>
      <c r="B4161" s="15" t="str">
        <f t="shared" si="345"/>
        <v/>
      </c>
      <c r="M4161" s="9"/>
      <c r="N4161" s="9"/>
      <c r="P4161" s="14"/>
      <c r="Q4161" s="85"/>
      <c r="R4161" s="89"/>
      <c r="U4161" s="11" t="str">
        <f t="shared" si="343"/>
        <v/>
      </c>
      <c r="V4161" s="12" t="str">
        <f t="shared" si="344"/>
        <v/>
      </c>
      <c r="Z4161" s="15"/>
    </row>
    <row r="4162" spans="1:26" x14ac:dyDescent="0.25">
      <c r="A4162" s="15" t="str">
        <f>IF(C4162="","",COUNTA($C$3:C4162))</f>
        <v/>
      </c>
      <c r="B4162" s="15" t="str">
        <f t="shared" si="345"/>
        <v/>
      </c>
      <c r="M4162" s="9"/>
      <c r="N4162" s="9"/>
      <c r="P4162" s="14"/>
      <c r="Q4162" s="85"/>
      <c r="R4162" s="89"/>
      <c r="U4162" s="11" t="str">
        <f t="shared" ref="U4162:U4225" si="346">IF(S4162="","",(S4162-T4162))</f>
        <v/>
      </c>
      <c r="V4162" s="12" t="str">
        <f t="shared" ref="V4162:V4225" si="347">IF(U4162="","",(U4162/T4162))</f>
        <v/>
      </c>
      <c r="Z4162" s="15"/>
    </row>
    <row r="4163" spans="1:26" x14ac:dyDescent="0.25">
      <c r="A4163" s="15" t="str">
        <f>IF(C4163="","",COUNTA($C$3:C4163))</f>
        <v/>
      </c>
      <c r="B4163" s="15" t="str">
        <f t="shared" ref="B4163:B4226" si="348">IF(C4163="","",TEXT(C4163,"mmmm"))</f>
        <v/>
      </c>
      <c r="M4163" s="9"/>
      <c r="N4163" s="9"/>
      <c r="P4163" s="14"/>
      <c r="Q4163" s="85"/>
      <c r="R4163" s="89"/>
      <c r="U4163" s="11" t="str">
        <f t="shared" si="346"/>
        <v/>
      </c>
      <c r="V4163" s="12" t="str">
        <f t="shared" si="347"/>
        <v/>
      </c>
      <c r="Z4163" s="15"/>
    </row>
    <row r="4164" spans="1:26" x14ac:dyDescent="0.25">
      <c r="A4164" s="15" t="str">
        <f>IF(C4164="","",COUNTA($C$3:C4164))</f>
        <v/>
      </c>
      <c r="B4164" s="15" t="str">
        <f t="shared" si="348"/>
        <v/>
      </c>
      <c r="M4164" s="9"/>
      <c r="N4164" s="9"/>
      <c r="P4164" s="14"/>
      <c r="Q4164" s="85"/>
      <c r="R4164" s="89"/>
      <c r="U4164" s="11" t="str">
        <f t="shared" si="346"/>
        <v/>
      </c>
      <c r="V4164" s="12" t="str">
        <f t="shared" si="347"/>
        <v/>
      </c>
      <c r="Z4164" s="15"/>
    </row>
    <row r="4165" spans="1:26" x14ac:dyDescent="0.25">
      <c r="A4165" s="15" t="str">
        <f>IF(C4165="","",COUNTA($C$3:C4165))</f>
        <v/>
      </c>
      <c r="B4165" s="15" t="str">
        <f t="shared" si="348"/>
        <v/>
      </c>
      <c r="M4165" s="9"/>
      <c r="N4165" s="9"/>
      <c r="P4165" s="14"/>
      <c r="Q4165" s="85"/>
      <c r="R4165" s="89"/>
      <c r="U4165" s="11" t="str">
        <f t="shared" si="346"/>
        <v/>
      </c>
      <c r="V4165" s="12" t="str">
        <f t="shared" si="347"/>
        <v/>
      </c>
      <c r="Z4165" s="15"/>
    </row>
    <row r="4166" spans="1:26" x14ac:dyDescent="0.25">
      <c r="A4166" s="15" t="str">
        <f>IF(C4166="","",COUNTA($C$3:C4166))</f>
        <v/>
      </c>
      <c r="B4166" s="15" t="str">
        <f t="shared" si="348"/>
        <v/>
      </c>
      <c r="M4166" s="9"/>
      <c r="N4166" s="9"/>
      <c r="P4166" s="14"/>
      <c r="Q4166" s="85"/>
      <c r="R4166" s="89"/>
      <c r="U4166" s="11" t="str">
        <f t="shared" si="346"/>
        <v/>
      </c>
      <c r="V4166" s="12" t="str">
        <f t="shared" si="347"/>
        <v/>
      </c>
      <c r="Z4166" s="15"/>
    </row>
    <row r="4167" spans="1:26" x14ac:dyDescent="0.25">
      <c r="A4167" s="15" t="str">
        <f>IF(C4167="","",COUNTA($C$3:C4167))</f>
        <v/>
      </c>
      <c r="B4167" s="15" t="str">
        <f t="shared" si="348"/>
        <v/>
      </c>
      <c r="M4167" s="9"/>
      <c r="N4167" s="9"/>
      <c r="P4167" s="14"/>
      <c r="Q4167" s="85"/>
      <c r="R4167" s="89"/>
      <c r="U4167" s="11" t="str">
        <f t="shared" si="346"/>
        <v/>
      </c>
      <c r="V4167" s="12" t="str">
        <f t="shared" si="347"/>
        <v/>
      </c>
      <c r="Z4167" s="15"/>
    </row>
    <row r="4168" spans="1:26" x14ac:dyDescent="0.25">
      <c r="A4168" s="15" t="str">
        <f>IF(C4168="","",COUNTA($C$3:C4168))</f>
        <v/>
      </c>
      <c r="B4168" s="15" t="str">
        <f t="shared" si="348"/>
        <v/>
      </c>
      <c r="M4168" s="9"/>
      <c r="N4168" s="9"/>
      <c r="P4168" s="14"/>
      <c r="Q4168" s="85"/>
      <c r="R4168" s="89"/>
      <c r="U4168" s="11" t="str">
        <f t="shared" si="346"/>
        <v/>
      </c>
      <c r="V4168" s="12" t="str">
        <f t="shared" si="347"/>
        <v/>
      </c>
      <c r="Z4168" s="15"/>
    </row>
    <row r="4169" spans="1:26" x14ac:dyDescent="0.25">
      <c r="A4169" s="15" t="str">
        <f>IF(C4169="","",COUNTA($C$3:C4169))</f>
        <v/>
      </c>
      <c r="B4169" s="15" t="str">
        <f t="shared" si="348"/>
        <v/>
      </c>
      <c r="M4169" s="9"/>
      <c r="N4169" s="9"/>
      <c r="P4169" s="14"/>
      <c r="Q4169" s="85"/>
      <c r="R4169" s="89"/>
      <c r="U4169" s="11" t="str">
        <f t="shared" si="346"/>
        <v/>
      </c>
      <c r="V4169" s="12" t="str">
        <f t="shared" si="347"/>
        <v/>
      </c>
      <c r="Z4169" s="15"/>
    </row>
    <row r="4170" spans="1:26" x14ac:dyDescent="0.25">
      <c r="A4170" s="15" t="str">
        <f>IF(C4170="","",COUNTA($C$3:C4170))</f>
        <v/>
      </c>
      <c r="B4170" s="15" t="str">
        <f t="shared" si="348"/>
        <v/>
      </c>
      <c r="M4170" s="9"/>
      <c r="N4170" s="9"/>
      <c r="P4170" s="14"/>
      <c r="Q4170" s="85"/>
      <c r="R4170" s="89"/>
      <c r="U4170" s="11" t="str">
        <f t="shared" si="346"/>
        <v/>
      </c>
      <c r="V4170" s="12" t="str">
        <f t="shared" si="347"/>
        <v/>
      </c>
      <c r="Z4170" s="15"/>
    </row>
    <row r="4171" spans="1:26" x14ac:dyDescent="0.25">
      <c r="A4171" s="15" t="str">
        <f>IF(C4171="","",COUNTA($C$3:C4171))</f>
        <v/>
      </c>
      <c r="B4171" s="15" t="str">
        <f t="shared" si="348"/>
        <v/>
      </c>
      <c r="M4171" s="9"/>
      <c r="N4171" s="9"/>
      <c r="P4171" s="14"/>
      <c r="Q4171" s="85"/>
      <c r="R4171" s="89"/>
      <c r="U4171" s="11" t="str">
        <f t="shared" si="346"/>
        <v/>
      </c>
      <c r="V4171" s="12" t="str">
        <f t="shared" si="347"/>
        <v/>
      </c>
      <c r="Z4171" s="15"/>
    </row>
    <row r="4172" spans="1:26" x14ac:dyDescent="0.25">
      <c r="A4172" s="15" t="str">
        <f>IF(C4172="","",COUNTA($C$3:C4172))</f>
        <v/>
      </c>
      <c r="B4172" s="15" t="str">
        <f t="shared" si="348"/>
        <v/>
      </c>
      <c r="M4172" s="9"/>
      <c r="N4172" s="9"/>
      <c r="P4172" s="14"/>
      <c r="Q4172" s="85"/>
      <c r="R4172" s="89"/>
      <c r="U4172" s="11" t="str">
        <f t="shared" si="346"/>
        <v/>
      </c>
      <c r="V4172" s="12" t="str">
        <f t="shared" si="347"/>
        <v/>
      </c>
      <c r="Z4172" s="15"/>
    </row>
    <row r="4173" spans="1:26" x14ac:dyDescent="0.25">
      <c r="A4173" s="15" t="str">
        <f>IF(C4173="","",COUNTA($C$3:C4173))</f>
        <v/>
      </c>
      <c r="B4173" s="15" t="str">
        <f t="shared" si="348"/>
        <v/>
      </c>
      <c r="M4173" s="9"/>
      <c r="N4173" s="9"/>
      <c r="P4173" s="14"/>
      <c r="Q4173" s="85"/>
      <c r="R4173" s="89"/>
      <c r="U4173" s="11" t="str">
        <f t="shared" si="346"/>
        <v/>
      </c>
      <c r="V4173" s="12" t="str">
        <f t="shared" si="347"/>
        <v/>
      </c>
      <c r="Z4173" s="15"/>
    </row>
    <row r="4174" spans="1:26" x14ac:dyDescent="0.25">
      <c r="A4174" s="15" t="str">
        <f>IF(C4174="","",COUNTA($C$3:C4174))</f>
        <v/>
      </c>
      <c r="B4174" s="15" t="str">
        <f t="shared" si="348"/>
        <v/>
      </c>
      <c r="M4174" s="9"/>
      <c r="N4174" s="9"/>
      <c r="P4174" s="14"/>
      <c r="Q4174" s="85"/>
      <c r="R4174" s="89"/>
      <c r="U4174" s="11" t="str">
        <f t="shared" si="346"/>
        <v/>
      </c>
      <c r="V4174" s="12" t="str">
        <f t="shared" si="347"/>
        <v/>
      </c>
      <c r="Z4174" s="15"/>
    </row>
    <row r="4175" spans="1:26" x14ac:dyDescent="0.25">
      <c r="A4175" s="15" t="str">
        <f>IF(C4175="","",COUNTA($C$3:C4175))</f>
        <v/>
      </c>
      <c r="B4175" s="15" t="str">
        <f t="shared" si="348"/>
        <v/>
      </c>
      <c r="M4175" s="9"/>
      <c r="N4175" s="9"/>
      <c r="P4175" s="14"/>
      <c r="Q4175" s="85"/>
      <c r="R4175" s="89"/>
      <c r="U4175" s="11" t="str">
        <f t="shared" si="346"/>
        <v/>
      </c>
      <c r="V4175" s="12" t="str">
        <f t="shared" si="347"/>
        <v/>
      </c>
      <c r="Z4175" s="15"/>
    </row>
    <row r="4176" spans="1:26" x14ac:dyDescent="0.25">
      <c r="A4176" s="15" t="str">
        <f>IF(C4176="","",COUNTA($C$3:C4176))</f>
        <v/>
      </c>
      <c r="B4176" s="15" t="str">
        <f t="shared" si="348"/>
        <v/>
      </c>
      <c r="M4176" s="9"/>
      <c r="N4176" s="9"/>
      <c r="P4176" s="14"/>
      <c r="Q4176" s="85"/>
      <c r="R4176" s="89"/>
      <c r="U4176" s="11" t="str">
        <f t="shared" si="346"/>
        <v/>
      </c>
      <c r="V4176" s="12" t="str">
        <f t="shared" si="347"/>
        <v/>
      </c>
      <c r="Z4176" s="15"/>
    </row>
    <row r="4177" spans="1:26" x14ac:dyDescent="0.25">
      <c r="A4177" s="15" t="str">
        <f>IF(C4177="","",COUNTA($C$3:C4177))</f>
        <v/>
      </c>
      <c r="B4177" s="15" t="str">
        <f t="shared" si="348"/>
        <v/>
      </c>
      <c r="M4177" s="9"/>
      <c r="N4177" s="9"/>
      <c r="P4177" s="14"/>
      <c r="Q4177" s="85"/>
      <c r="R4177" s="89"/>
      <c r="U4177" s="11" t="str">
        <f t="shared" si="346"/>
        <v/>
      </c>
      <c r="V4177" s="12" t="str">
        <f t="shared" si="347"/>
        <v/>
      </c>
      <c r="Z4177" s="15"/>
    </row>
    <row r="4178" spans="1:26" x14ac:dyDescent="0.25">
      <c r="A4178" s="15" t="str">
        <f>IF(C4178="","",COUNTA($C$3:C4178))</f>
        <v/>
      </c>
      <c r="B4178" s="15" t="str">
        <f t="shared" si="348"/>
        <v/>
      </c>
      <c r="M4178" s="9"/>
      <c r="N4178" s="9"/>
      <c r="P4178" s="14"/>
      <c r="Q4178" s="85"/>
      <c r="R4178" s="89"/>
      <c r="U4178" s="11" t="str">
        <f t="shared" si="346"/>
        <v/>
      </c>
      <c r="V4178" s="12" t="str">
        <f t="shared" si="347"/>
        <v/>
      </c>
      <c r="Z4178" s="15"/>
    </row>
    <row r="4179" spans="1:26" x14ac:dyDescent="0.25">
      <c r="A4179" s="15" t="str">
        <f>IF(C4179="","",COUNTA($C$3:C4179))</f>
        <v/>
      </c>
      <c r="B4179" s="15" t="str">
        <f t="shared" si="348"/>
        <v/>
      </c>
      <c r="M4179" s="9"/>
      <c r="N4179" s="9"/>
      <c r="P4179" s="14"/>
      <c r="Q4179" s="85"/>
      <c r="R4179" s="89"/>
      <c r="U4179" s="11" t="str">
        <f t="shared" si="346"/>
        <v/>
      </c>
      <c r="V4179" s="12" t="str">
        <f t="shared" si="347"/>
        <v/>
      </c>
      <c r="Z4179" s="15"/>
    </row>
    <row r="4180" spans="1:26" x14ac:dyDescent="0.25">
      <c r="A4180" s="15" t="str">
        <f>IF(C4180="","",COUNTA($C$3:C4180))</f>
        <v/>
      </c>
      <c r="B4180" s="15" t="str">
        <f t="shared" si="348"/>
        <v/>
      </c>
      <c r="M4180" s="9"/>
      <c r="N4180" s="9"/>
      <c r="P4180" s="14"/>
      <c r="Q4180" s="85"/>
      <c r="R4180" s="89"/>
      <c r="U4180" s="11" t="str">
        <f t="shared" si="346"/>
        <v/>
      </c>
      <c r="V4180" s="12" t="str">
        <f t="shared" si="347"/>
        <v/>
      </c>
      <c r="Z4180" s="15"/>
    </row>
    <row r="4181" spans="1:26" x14ac:dyDescent="0.25">
      <c r="A4181" s="15" t="str">
        <f>IF(C4181="","",COUNTA($C$3:C4181))</f>
        <v/>
      </c>
      <c r="B4181" s="15" t="str">
        <f t="shared" si="348"/>
        <v/>
      </c>
      <c r="M4181" s="9"/>
      <c r="N4181" s="9"/>
      <c r="P4181" s="14"/>
      <c r="Q4181" s="85"/>
      <c r="R4181" s="89"/>
      <c r="U4181" s="11" t="str">
        <f t="shared" si="346"/>
        <v/>
      </c>
      <c r="V4181" s="12" t="str">
        <f t="shared" si="347"/>
        <v/>
      </c>
      <c r="Z4181" s="15"/>
    </row>
    <row r="4182" spans="1:26" x14ac:dyDescent="0.25">
      <c r="A4182" s="15" t="str">
        <f>IF(C4182="","",COUNTA($C$3:C4182))</f>
        <v/>
      </c>
      <c r="B4182" s="15" t="str">
        <f t="shared" si="348"/>
        <v/>
      </c>
      <c r="M4182" s="9"/>
      <c r="N4182" s="9"/>
      <c r="P4182" s="14"/>
      <c r="Q4182" s="85"/>
      <c r="R4182" s="89"/>
      <c r="U4182" s="11" t="str">
        <f t="shared" si="346"/>
        <v/>
      </c>
      <c r="V4182" s="12" t="str">
        <f t="shared" si="347"/>
        <v/>
      </c>
      <c r="Z4182" s="15"/>
    </row>
    <row r="4183" spans="1:26" x14ac:dyDescent="0.25">
      <c r="A4183" s="15" t="str">
        <f>IF(C4183="","",COUNTA($C$3:C4183))</f>
        <v/>
      </c>
      <c r="B4183" s="15" t="str">
        <f t="shared" si="348"/>
        <v/>
      </c>
      <c r="M4183" s="9"/>
      <c r="N4183" s="9"/>
      <c r="P4183" s="14"/>
      <c r="Q4183" s="85"/>
      <c r="R4183" s="89"/>
      <c r="U4183" s="11" t="str">
        <f t="shared" si="346"/>
        <v/>
      </c>
      <c r="V4183" s="12" t="str">
        <f t="shared" si="347"/>
        <v/>
      </c>
      <c r="Z4183" s="15"/>
    </row>
    <row r="4184" spans="1:26" x14ac:dyDescent="0.25">
      <c r="A4184" s="15" t="str">
        <f>IF(C4184="","",COUNTA($C$3:C4184))</f>
        <v/>
      </c>
      <c r="B4184" s="15" t="str">
        <f t="shared" si="348"/>
        <v/>
      </c>
      <c r="M4184" s="9"/>
      <c r="N4184" s="9"/>
      <c r="P4184" s="14"/>
      <c r="Q4184" s="85"/>
      <c r="R4184" s="89"/>
      <c r="U4184" s="11" t="str">
        <f t="shared" si="346"/>
        <v/>
      </c>
      <c r="V4184" s="12" t="str">
        <f t="shared" si="347"/>
        <v/>
      </c>
      <c r="Z4184" s="15"/>
    </row>
    <row r="4185" spans="1:26" x14ac:dyDescent="0.25">
      <c r="A4185" s="15" t="str">
        <f>IF(C4185="","",COUNTA($C$3:C4185))</f>
        <v/>
      </c>
      <c r="B4185" s="15" t="str">
        <f t="shared" si="348"/>
        <v/>
      </c>
      <c r="M4185" s="9"/>
      <c r="N4185" s="9"/>
      <c r="P4185" s="14"/>
      <c r="Q4185" s="85"/>
      <c r="R4185" s="89"/>
      <c r="U4185" s="11" t="str">
        <f t="shared" si="346"/>
        <v/>
      </c>
      <c r="V4185" s="12" t="str">
        <f t="shared" si="347"/>
        <v/>
      </c>
      <c r="Z4185" s="15"/>
    </row>
    <row r="4186" spans="1:26" x14ac:dyDescent="0.25">
      <c r="A4186" s="15" t="str">
        <f>IF(C4186="","",COUNTA($C$3:C4186))</f>
        <v/>
      </c>
      <c r="B4186" s="15" t="str">
        <f t="shared" si="348"/>
        <v/>
      </c>
      <c r="M4186" s="9"/>
      <c r="N4186" s="9"/>
      <c r="P4186" s="14"/>
      <c r="Q4186" s="85"/>
      <c r="R4186" s="89"/>
      <c r="U4186" s="11" t="str">
        <f t="shared" si="346"/>
        <v/>
      </c>
      <c r="V4186" s="12" t="str">
        <f t="shared" si="347"/>
        <v/>
      </c>
      <c r="Z4186" s="15"/>
    </row>
    <row r="4187" spans="1:26" x14ac:dyDescent="0.25">
      <c r="A4187" s="15" t="str">
        <f>IF(C4187="","",COUNTA($C$3:C4187))</f>
        <v/>
      </c>
      <c r="B4187" s="15" t="str">
        <f t="shared" si="348"/>
        <v/>
      </c>
      <c r="M4187" s="9"/>
      <c r="N4187" s="9"/>
      <c r="P4187" s="14"/>
      <c r="Q4187" s="85"/>
      <c r="R4187" s="89"/>
      <c r="U4187" s="11" t="str">
        <f t="shared" si="346"/>
        <v/>
      </c>
      <c r="V4187" s="12" t="str">
        <f t="shared" si="347"/>
        <v/>
      </c>
      <c r="Z4187" s="15"/>
    </row>
    <row r="4188" spans="1:26" x14ac:dyDescent="0.25">
      <c r="A4188" s="15" t="str">
        <f>IF(C4188="","",COUNTA($C$3:C4188))</f>
        <v/>
      </c>
      <c r="B4188" s="15" t="str">
        <f t="shared" si="348"/>
        <v/>
      </c>
      <c r="M4188" s="9"/>
      <c r="N4188" s="9"/>
      <c r="P4188" s="14"/>
      <c r="Q4188" s="85"/>
      <c r="R4188" s="89"/>
      <c r="U4188" s="11" t="str">
        <f t="shared" si="346"/>
        <v/>
      </c>
      <c r="V4188" s="12" t="str">
        <f t="shared" si="347"/>
        <v/>
      </c>
      <c r="Z4188" s="15"/>
    </row>
    <row r="4189" spans="1:26" x14ac:dyDescent="0.25">
      <c r="A4189" s="15" t="str">
        <f>IF(C4189="","",COUNTA($C$3:C4189))</f>
        <v/>
      </c>
      <c r="B4189" s="15" t="str">
        <f t="shared" si="348"/>
        <v/>
      </c>
      <c r="M4189" s="9"/>
      <c r="N4189" s="9"/>
      <c r="P4189" s="14"/>
      <c r="Q4189" s="85"/>
      <c r="R4189" s="89"/>
      <c r="U4189" s="11" t="str">
        <f t="shared" si="346"/>
        <v/>
      </c>
      <c r="V4189" s="12" t="str">
        <f t="shared" si="347"/>
        <v/>
      </c>
      <c r="Z4189" s="15"/>
    </row>
    <row r="4190" spans="1:26" x14ac:dyDescent="0.25">
      <c r="A4190" s="15" t="str">
        <f>IF(C4190="","",COUNTA($C$3:C4190))</f>
        <v/>
      </c>
      <c r="B4190" s="15" t="str">
        <f t="shared" si="348"/>
        <v/>
      </c>
      <c r="M4190" s="9"/>
      <c r="N4190" s="9"/>
      <c r="P4190" s="14"/>
      <c r="Q4190" s="85"/>
      <c r="R4190" s="89"/>
      <c r="U4190" s="11" t="str">
        <f t="shared" si="346"/>
        <v/>
      </c>
      <c r="V4190" s="12" t="str">
        <f t="shared" si="347"/>
        <v/>
      </c>
      <c r="Z4190" s="15"/>
    </row>
    <row r="4191" spans="1:26" x14ac:dyDescent="0.25">
      <c r="A4191" s="15" t="str">
        <f>IF(C4191="","",COUNTA($C$3:C4191))</f>
        <v/>
      </c>
      <c r="B4191" s="15" t="str">
        <f t="shared" si="348"/>
        <v/>
      </c>
      <c r="M4191" s="9"/>
      <c r="N4191" s="9"/>
      <c r="P4191" s="14"/>
      <c r="Q4191" s="85"/>
      <c r="R4191" s="89"/>
      <c r="U4191" s="11" t="str">
        <f t="shared" si="346"/>
        <v/>
      </c>
      <c r="V4191" s="12" t="str">
        <f t="shared" si="347"/>
        <v/>
      </c>
      <c r="Z4191" s="15"/>
    </row>
    <row r="4192" spans="1:26" x14ac:dyDescent="0.25">
      <c r="A4192" s="15" t="str">
        <f>IF(C4192="","",COUNTA($C$3:C4192))</f>
        <v/>
      </c>
      <c r="B4192" s="15" t="str">
        <f t="shared" si="348"/>
        <v/>
      </c>
      <c r="M4192" s="9"/>
      <c r="N4192" s="9"/>
      <c r="P4192" s="14"/>
      <c r="Q4192" s="85"/>
      <c r="R4192" s="89"/>
      <c r="U4192" s="11" t="str">
        <f t="shared" si="346"/>
        <v/>
      </c>
      <c r="V4192" s="12" t="str">
        <f t="shared" si="347"/>
        <v/>
      </c>
      <c r="Z4192" s="15"/>
    </row>
    <row r="4193" spans="1:26" x14ac:dyDescent="0.25">
      <c r="A4193" s="15" t="str">
        <f>IF(C4193="","",COUNTA($C$3:C4193))</f>
        <v/>
      </c>
      <c r="B4193" s="15" t="str">
        <f t="shared" si="348"/>
        <v/>
      </c>
      <c r="M4193" s="9"/>
      <c r="N4193" s="9"/>
      <c r="P4193" s="14"/>
      <c r="Q4193" s="85"/>
      <c r="R4193" s="89"/>
      <c r="U4193" s="11" t="str">
        <f t="shared" si="346"/>
        <v/>
      </c>
      <c r="V4193" s="12" t="str">
        <f t="shared" si="347"/>
        <v/>
      </c>
      <c r="Z4193" s="15"/>
    </row>
    <row r="4194" spans="1:26" x14ac:dyDescent="0.25">
      <c r="A4194" s="15" t="str">
        <f>IF(C4194="","",COUNTA($C$3:C4194))</f>
        <v/>
      </c>
      <c r="B4194" s="15" t="str">
        <f t="shared" si="348"/>
        <v/>
      </c>
      <c r="M4194" s="9"/>
      <c r="N4194" s="9"/>
      <c r="P4194" s="14"/>
      <c r="Q4194" s="85"/>
      <c r="R4194" s="89"/>
      <c r="U4194" s="11" t="str">
        <f t="shared" si="346"/>
        <v/>
      </c>
      <c r="V4194" s="12" t="str">
        <f t="shared" si="347"/>
        <v/>
      </c>
      <c r="Z4194" s="15"/>
    </row>
    <row r="4195" spans="1:26" x14ac:dyDescent="0.25">
      <c r="A4195" s="15" t="str">
        <f>IF(C4195="","",COUNTA($C$3:C4195))</f>
        <v/>
      </c>
      <c r="B4195" s="15" t="str">
        <f t="shared" si="348"/>
        <v/>
      </c>
      <c r="M4195" s="9"/>
      <c r="N4195" s="9"/>
      <c r="P4195" s="14"/>
      <c r="Q4195" s="85"/>
      <c r="R4195" s="89"/>
      <c r="U4195" s="11" t="str">
        <f t="shared" si="346"/>
        <v/>
      </c>
      <c r="V4195" s="12" t="str">
        <f t="shared" si="347"/>
        <v/>
      </c>
      <c r="Z4195" s="15"/>
    </row>
    <row r="4196" spans="1:26" x14ac:dyDescent="0.25">
      <c r="A4196" s="15" t="str">
        <f>IF(C4196="","",COUNTA($C$3:C4196))</f>
        <v/>
      </c>
      <c r="B4196" s="15" t="str">
        <f t="shared" si="348"/>
        <v/>
      </c>
      <c r="M4196" s="9"/>
      <c r="N4196" s="9"/>
      <c r="P4196" s="14"/>
      <c r="Q4196" s="85"/>
      <c r="R4196" s="89"/>
      <c r="U4196" s="11" t="str">
        <f t="shared" si="346"/>
        <v/>
      </c>
      <c r="V4196" s="12" t="str">
        <f t="shared" si="347"/>
        <v/>
      </c>
      <c r="Z4196" s="15"/>
    </row>
    <row r="4197" spans="1:26" x14ac:dyDescent="0.25">
      <c r="A4197" s="15" t="str">
        <f>IF(C4197="","",COUNTA($C$3:C4197))</f>
        <v/>
      </c>
      <c r="B4197" s="15" t="str">
        <f t="shared" si="348"/>
        <v/>
      </c>
      <c r="M4197" s="9"/>
      <c r="N4197" s="9"/>
      <c r="P4197" s="14"/>
      <c r="Q4197" s="85"/>
      <c r="R4197" s="89"/>
      <c r="U4197" s="11" t="str">
        <f t="shared" si="346"/>
        <v/>
      </c>
      <c r="V4197" s="12" t="str">
        <f t="shared" si="347"/>
        <v/>
      </c>
      <c r="Z4197" s="15"/>
    </row>
    <row r="4198" spans="1:26" x14ac:dyDescent="0.25">
      <c r="A4198" s="15" t="str">
        <f>IF(C4198="","",COUNTA($C$3:C4198))</f>
        <v/>
      </c>
      <c r="B4198" s="15" t="str">
        <f t="shared" si="348"/>
        <v/>
      </c>
      <c r="M4198" s="9"/>
      <c r="N4198" s="9"/>
      <c r="P4198" s="14"/>
      <c r="Q4198" s="85"/>
      <c r="R4198" s="89"/>
      <c r="U4198" s="11" t="str">
        <f t="shared" si="346"/>
        <v/>
      </c>
      <c r="V4198" s="12" t="str">
        <f t="shared" si="347"/>
        <v/>
      </c>
      <c r="Z4198" s="15"/>
    </row>
    <row r="4199" spans="1:26" x14ac:dyDescent="0.25">
      <c r="A4199" s="15" t="str">
        <f>IF(C4199="","",COUNTA($C$3:C4199))</f>
        <v/>
      </c>
      <c r="B4199" s="15" t="str">
        <f t="shared" si="348"/>
        <v/>
      </c>
      <c r="M4199" s="9"/>
      <c r="N4199" s="9"/>
      <c r="P4199" s="14"/>
      <c r="Q4199" s="85"/>
      <c r="R4199" s="89"/>
      <c r="U4199" s="11" t="str">
        <f t="shared" si="346"/>
        <v/>
      </c>
      <c r="V4199" s="12" t="str">
        <f t="shared" si="347"/>
        <v/>
      </c>
      <c r="Z4199" s="15"/>
    </row>
    <row r="4200" spans="1:26" x14ac:dyDescent="0.25">
      <c r="A4200" s="15" t="str">
        <f>IF(C4200="","",COUNTA($C$3:C4200))</f>
        <v/>
      </c>
      <c r="B4200" s="15" t="str">
        <f t="shared" si="348"/>
        <v/>
      </c>
      <c r="M4200" s="9"/>
      <c r="N4200" s="9"/>
      <c r="P4200" s="14"/>
      <c r="Q4200" s="85"/>
      <c r="R4200" s="89"/>
      <c r="U4200" s="11" t="str">
        <f t="shared" si="346"/>
        <v/>
      </c>
      <c r="V4200" s="12" t="str">
        <f t="shared" si="347"/>
        <v/>
      </c>
      <c r="Z4200" s="15"/>
    </row>
    <row r="4201" spans="1:26" x14ac:dyDescent="0.25">
      <c r="A4201" s="15" t="str">
        <f>IF(C4201="","",COUNTA($C$3:C4201))</f>
        <v/>
      </c>
      <c r="B4201" s="15" t="str">
        <f t="shared" si="348"/>
        <v/>
      </c>
      <c r="M4201" s="9"/>
      <c r="N4201" s="9"/>
      <c r="P4201" s="14"/>
      <c r="Q4201" s="85"/>
      <c r="R4201" s="89"/>
      <c r="U4201" s="11" t="str">
        <f t="shared" si="346"/>
        <v/>
      </c>
      <c r="V4201" s="12" t="str">
        <f t="shared" si="347"/>
        <v/>
      </c>
      <c r="Z4201" s="15"/>
    </row>
    <row r="4202" spans="1:26" x14ac:dyDescent="0.25">
      <c r="A4202" s="15" t="str">
        <f>IF(C4202="","",COUNTA($C$3:C4202))</f>
        <v/>
      </c>
      <c r="B4202" s="15" t="str">
        <f t="shared" si="348"/>
        <v/>
      </c>
      <c r="M4202" s="9"/>
      <c r="N4202" s="9"/>
      <c r="P4202" s="14"/>
      <c r="Q4202" s="85"/>
      <c r="R4202" s="89"/>
      <c r="U4202" s="11" t="str">
        <f t="shared" si="346"/>
        <v/>
      </c>
      <c r="V4202" s="12" t="str">
        <f t="shared" si="347"/>
        <v/>
      </c>
      <c r="Z4202" s="15"/>
    </row>
    <row r="4203" spans="1:26" x14ac:dyDescent="0.25">
      <c r="A4203" s="15" t="str">
        <f>IF(C4203="","",COUNTA($C$3:C4203))</f>
        <v/>
      </c>
      <c r="B4203" s="15" t="str">
        <f t="shared" si="348"/>
        <v/>
      </c>
      <c r="M4203" s="9"/>
      <c r="N4203" s="9"/>
      <c r="P4203" s="14"/>
      <c r="Q4203" s="85"/>
      <c r="R4203" s="89"/>
      <c r="U4203" s="11" t="str">
        <f t="shared" si="346"/>
        <v/>
      </c>
      <c r="V4203" s="12" t="str">
        <f t="shared" si="347"/>
        <v/>
      </c>
      <c r="Z4203" s="15"/>
    </row>
    <row r="4204" spans="1:26" x14ac:dyDescent="0.25">
      <c r="A4204" s="15" t="str">
        <f>IF(C4204="","",COUNTA($C$3:C4204))</f>
        <v/>
      </c>
      <c r="B4204" s="15" t="str">
        <f t="shared" si="348"/>
        <v/>
      </c>
      <c r="M4204" s="9"/>
      <c r="N4204" s="9"/>
      <c r="P4204" s="14"/>
      <c r="Q4204" s="85"/>
      <c r="R4204" s="89"/>
      <c r="U4204" s="11" t="str">
        <f t="shared" si="346"/>
        <v/>
      </c>
      <c r="V4204" s="12" t="str">
        <f t="shared" si="347"/>
        <v/>
      </c>
      <c r="Z4204" s="15"/>
    </row>
    <row r="4205" spans="1:26" x14ac:dyDescent="0.25">
      <c r="A4205" s="15" t="str">
        <f>IF(C4205="","",COUNTA($C$3:C4205))</f>
        <v/>
      </c>
      <c r="B4205" s="15" t="str">
        <f t="shared" si="348"/>
        <v/>
      </c>
      <c r="M4205" s="9"/>
      <c r="N4205" s="9"/>
      <c r="P4205" s="14"/>
      <c r="Q4205" s="85"/>
      <c r="R4205" s="89"/>
      <c r="U4205" s="11" t="str">
        <f t="shared" si="346"/>
        <v/>
      </c>
      <c r="V4205" s="12" t="str">
        <f t="shared" si="347"/>
        <v/>
      </c>
      <c r="Z4205" s="15"/>
    </row>
    <row r="4206" spans="1:26" x14ac:dyDescent="0.25">
      <c r="A4206" s="15" t="str">
        <f>IF(C4206="","",COUNTA($C$3:C4206))</f>
        <v/>
      </c>
      <c r="B4206" s="15" t="str">
        <f t="shared" si="348"/>
        <v/>
      </c>
      <c r="M4206" s="9"/>
      <c r="N4206" s="9"/>
      <c r="P4206" s="14"/>
      <c r="Q4206" s="85"/>
      <c r="R4206" s="89"/>
      <c r="U4206" s="11" t="str">
        <f t="shared" si="346"/>
        <v/>
      </c>
      <c r="V4206" s="12" t="str">
        <f t="shared" si="347"/>
        <v/>
      </c>
      <c r="Z4206" s="15"/>
    </row>
    <row r="4207" spans="1:26" x14ac:dyDescent="0.25">
      <c r="A4207" s="15" t="str">
        <f>IF(C4207="","",COUNTA($C$3:C4207))</f>
        <v/>
      </c>
      <c r="B4207" s="15" t="str">
        <f t="shared" si="348"/>
        <v/>
      </c>
      <c r="M4207" s="9"/>
      <c r="N4207" s="9"/>
      <c r="P4207" s="14"/>
      <c r="Q4207" s="85"/>
      <c r="R4207" s="89"/>
      <c r="U4207" s="11" t="str">
        <f t="shared" si="346"/>
        <v/>
      </c>
      <c r="V4207" s="12" t="str">
        <f t="shared" si="347"/>
        <v/>
      </c>
      <c r="Z4207" s="15"/>
    </row>
    <row r="4208" spans="1:26" x14ac:dyDescent="0.25">
      <c r="A4208" s="15" t="str">
        <f>IF(C4208="","",COUNTA($C$3:C4208))</f>
        <v/>
      </c>
      <c r="B4208" s="15" t="str">
        <f t="shared" si="348"/>
        <v/>
      </c>
      <c r="M4208" s="9"/>
      <c r="N4208" s="9"/>
      <c r="P4208" s="14"/>
      <c r="Q4208" s="85"/>
      <c r="R4208" s="89"/>
      <c r="U4208" s="11" t="str">
        <f t="shared" si="346"/>
        <v/>
      </c>
      <c r="V4208" s="12" t="str">
        <f t="shared" si="347"/>
        <v/>
      </c>
      <c r="Z4208" s="15"/>
    </row>
    <row r="4209" spans="1:26" x14ac:dyDescent="0.25">
      <c r="A4209" s="15" t="str">
        <f>IF(C4209="","",COUNTA($C$3:C4209))</f>
        <v/>
      </c>
      <c r="B4209" s="15" t="str">
        <f t="shared" si="348"/>
        <v/>
      </c>
      <c r="M4209" s="9"/>
      <c r="N4209" s="9"/>
      <c r="P4209" s="14"/>
      <c r="Q4209" s="85"/>
      <c r="R4209" s="89"/>
      <c r="U4209" s="11" t="str">
        <f t="shared" si="346"/>
        <v/>
      </c>
      <c r="V4209" s="12" t="str">
        <f t="shared" si="347"/>
        <v/>
      </c>
      <c r="Z4209" s="15"/>
    </row>
    <row r="4210" spans="1:26" x14ac:dyDescent="0.25">
      <c r="A4210" s="15" t="str">
        <f>IF(C4210="","",COUNTA($C$3:C4210))</f>
        <v/>
      </c>
      <c r="B4210" s="15" t="str">
        <f t="shared" si="348"/>
        <v/>
      </c>
      <c r="M4210" s="9"/>
      <c r="N4210" s="9"/>
      <c r="P4210" s="14"/>
      <c r="Q4210" s="85"/>
      <c r="R4210" s="89"/>
      <c r="U4210" s="11" t="str">
        <f t="shared" si="346"/>
        <v/>
      </c>
      <c r="V4210" s="12" t="str">
        <f t="shared" si="347"/>
        <v/>
      </c>
      <c r="Z4210" s="15"/>
    </row>
    <row r="4211" spans="1:26" x14ac:dyDescent="0.25">
      <c r="A4211" s="15" t="str">
        <f>IF(C4211="","",COUNTA($C$3:C4211))</f>
        <v/>
      </c>
      <c r="B4211" s="15" t="str">
        <f t="shared" si="348"/>
        <v/>
      </c>
      <c r="M4211" s="9"/>
      <c r="N4211" s="9"/>
      <c r="P4211" s="14"/>
      <c r="Q4211" s="85"/>
      <c r="R4211" s="89"/>
      <c r="U4211" s="11" t="str">
        <f t="shared" si="346"/>
        <v/>
      </c>
      <c r="V4211" s="12" t="str">
        <f t="shared" si="347"/>
        <v/>
      </c>
      <c r="Z4211" s="15"/>
    </row>
    <row r="4212" spans="1:26" x14ac:dyDescent="0.25">
      <c r="A4212" s="15" t="str">
        <f>IF(C4212="","",COUNTA($C$3:C4212))</f>
        <v/>
      </c>
      <c r="B4212" s="15" t="str">
        <f t="shared" si="348"/>
        <v/>
      </c>
      <c r="M4212" s="9"/>
      <c r="N4212" s="9"/>
      <c r="P4212" s="14"/>
      <c r="Q4212" s="85"/>
      <c r="R4212" s="89"/>
      <c r="U4212" s="11" t="str">
        <f t="shared" si="346"/>
        <v/>
      </c>
      <c r="V4212" s="12" t="str">
        <f t="shared" si="347"/>
        <v/>
      </c>
      <c r="Z4212" s="15"/>
    </row>
    <row r="4213" spans="1:26" x14ac:dyDescent="0.25">
      <c r="A4213" s="15" t="str">
        <f>IF(C4213="","",COUNTA($C$3:C4213))</f>
        <v/>
      </c>
      <c r="B4213" s="15" t="str">
        <f t="shared" si="348"/>
        <v/>
      </c>
      <c r="M4213" s="9"/>
      <c r="N4213" s="9"/>
      <c r="P4213" s="14"/>
      <c r="Q4213" s="85"/>
      <c r="R4213" s="89"/>
      <c r="U4213" s="11" t="str">
        <f t="shared" si="346"/>
        <v/>
      </c>
      <c r="V4213" s="12" t="str">
        <f t="shared" si="347"/>
        <v/>
      </c>
      <c r="Z4213" s="15"/>
    </row>
    <row r="4214" spans="1:26" x14ac:dyDescent="0.25">
      <c r="A4214" s="15" t="str">
        <f>IF(C4214="","",COUNTA($C$3:C4214))</f>
        <v/>
      </c>
      <c r="B4214" s="15" t="str">
        <f t="shared" si="348"/>
        <v/>
      </c>
      <c r="M4214" s="9"/>
      <c r="N4214" s="9"/>
      <c r="P4214" s="14"/>
      <c r="Q4214" s="85"/>
      <c r="R4214" s="89"/>
      <c r="U4214" s="11" t="str">
        <f t="shared" si="346"/>
        <v/>
      </c>
      <c r="V4214" s="12" t="str">
        <f t="shared" si="347"/>
        <v/>
      </c>
      <c r="Z4214" s="15"/>
    </row>
    <row r="4215" spans="1:26" x14ac:dyDescent="0.25">
      <c r="A4215" s="15" t="str">
        <f>IF(C4215="","",COUNTA($C$3:C4215))</f>
        <v/>
      </c>
      <c r="B4215" s="15" t="str">
        <f t="shared" si="348"/>
        <v/>
      </c>
      <c r="M4215" s="9"/>
      <c r="N4215" s="9"/>
      <c r="P4215" s="14"/>
      <c r="Q4215" s="85"/>
      <c r="R4215" s="89"/>
      <c r="U4215" s="11" t="str">
        <f t="shared" si="346"/>
        <v/>
      </c>
      <c r="V4215" s="12" t="str">
        <f t="shared" si="347"/>
        <v/>
      </c>
      <c r="Z4215" s="15"/>
    </row>
    <row r="4216" spans="1:26" x14ac:dyDescent="0.25">
      <c r="A4216" s="15" t="str">
        <f>IF(C4216="","",COUNTA($C$3:C4216))</f>
        <v/>
      </c>
      <c r="B4216" s="15" t="str">
        <f t="shared" si="348"/>
        <v/>
      </c>
      <c r="M4216" s="9"/>
      <c r="N4216" s="9"/>
      <c r="P4216" s="14"/>
      <c r="Q4216" s="85"/>
      <c r="R4216" s="89"/>
      <c r="U4216" s="11" t="str">
        <f t="shared" si="346"/>
        <v/>
      </c>
      <c r="V4216" s="12" t="str">
        <f t="shared" si="347"/>
        <v/>
      </c>
      <c r="Z4216" s="15"/>
    </row>
    <row r="4217" spans="1:26" x14ac:dyDescent="0.25">
      <c r="A4217" s="15" t="str">
        <f>IF(C4217="","",COUNTA($C$3:C4217))</f>
        <v/>
      </c>
      <c r="B4217" s="15" t="str">
        <f t="shared" si="348"/>
        <v/>
      </c>
      <c r="M4217" s="9"/>
      <c r="N4217" s="9"/>
      <c r="P4217" s="14"/>
      <c r="Q4217" s="85"/>
      <c r="R4217" s="89"/>
      <c r="U4217" s="11" t="str">
        <f t="shared" si="346"/>
        <v/>
      </c>
      <c r="V4217" s="12" t="str">
        <f t="shared" si="347"/>
        <v/>
      </c>
      <c r="Z4217" s="15"/>
    </row>
    <row r="4218" spans="1:26" x14ac:dyDescent="0.25">
      <c r="A4218" s="15" t="str">
        <f>IF(C4218="","",COUNTA($C$3:C4218))</f>
        <v/>
      </c>
      <c r="B4218" s="15" t="str">
        <f t="shared" si="348"/>
        <v/>
      </c>
      <c r="M4218" s="9"/>
      <c r="N4218" s="9"/>
      <c r="P4218" s="14"/>
      <c r="Q4218" s="85"/>
      <c r="R4218" s="89"/>
      <c r="U4218" s="11" t="str">
        <f t="shared" si="346"/>
        <v/>
      </c>
      <c r="V4218" s="12" t="str">
        <f t="shared" si="347"/>
        <v/>
      </c>
      <c r="Z4218" s="15"/>
    </row>
    <row r="4219" spans="1:26" x14ac:dyDescent="0.25">
      <c r="A4219" s="15" t="str">
        <f>IF(C4219="","",COUNTA($C$3:C4219))</f>
        <v/>
      </c>
      <c r="B4219" s="15" t="str">
        <f t="shared" si="348"/>
        <v/>
      </c>
      <c r="M4219" s="9"/>
      <c r="N4219" s="9"/>
      <c r="P4219" s="14"/>
      <c r="Q4219" s="85"/>
      <c r="R4219" s="89"/>
      <c r="U4219" s="11" t="str">
        <f t="shared" si="346"/>
        <v/>
      </c>
      <c r="V4219" s="12" t="str">
        <f t="shared" si="347"/>
        <v/>
      </c>
      <c r="Z4219" s="15"/>
    </row>
    <row r="4220" spans="1:26" x14ac:dyDescent="0.25">
      <c r="A4220" s="15" t="str">
        <f>IF(C4220="","",COUNTA($C$3:C4220))</f>
        <v/>
      </c>
      <c r="B4220" s="15" t="str">
        <f t="shared" si="348"/>
        <v/>
      </c>
      <c r="M4220" s="9"/>
      <c r="N4220" s="9"/>
      <c r="P4220" s="14"/>
      <c r="Q4220" s="85"/>
      <c r="R4220" s="89"/>
      <c r="U4220" s="11" t="str">
        <f t="shared" si="346"/>
        <v/>
      </c>
      <c r="V4220" s="12" t="str">
        <f t="shared" si="347"/>
        <v/>
      </c>
      <c r="Z4220" s="15"/>
    </row>
    <row r="4221" spans="1:26" x14ac:dyDescent="0.25">
      <c r="A4221" s="15" t="str">
        <f>IF(C4221="","",COUNTA($C$3:C4221))</f>
        <v/>
      </c>
      <c r="B4221" s="15" t="str">
        <f t="shared" si="348"/>
        <v/>
      </c>
      <c r="M4221" s="9"/>
      <c r="N4221" s="9"/>
      <c r="P4221" s="14"/>
      <c r="Q4221" s="85"/>
      <c r="R4221" s="89"/>
      <c r="U4221" s="11" t="str">
        <f t="shared" si="346"/>
        <v/>
      </c>
      <c r="V4221" s="12" t="str">
        <f t="shared" si="347"/>
        <v/>
      </c>
      <c r="Z4221" s="15"/>
    </row>
    <row r="4222" spans="1:26" x14ac:dyDescent="0.25">
      <c r="A4222" s="15" t="str">
        <f>IF(C4222="","",COUNTA($C$3:C4222))</f>
        <v/>
      </c>
      <c r="B4222" s="15" t="str">
        <f t="shared" si="348"/>
        <v/>
      </c>
      <c r="M4222" s="9"/>
      <c r="N4222" s="9"/>
      <c r="P4222" s="14"/>
      <c r="Q4222" s="85"/>
      <c r="R4222" s="89"/>
      <c r="U4222" s="11" t="str">
        <f t="shared" si="346"/>
        <v/>
      </c>
      <c r="V4222" s="12" t="str">
        <f t="shared" si="347"/>
        <v/>
      </c>
      <c r="Z4222" s="15"/>
    </row>
    <row r="4223" spans="1:26" x14ac:dyDescent="0.25">
      <c r="A4223" s="15" t="str">
        <f>IF(C4223="","",COUNTA($C$3:C4223))</f>
        <v/>
      </c>
      <c r="B4223" s="15" t="str">
        <f t="shared" si="348"/>
        <v/>
      </c>
      <c r="M4223" s="9"/>
      <c r="N4223" s="9"/>
      <c r="P4223" s="14"/>
      <c r="Q4223" s="85"/>
      <c r="R4223" s="89"/>
      <c r="U4223" s="11" t="str">
        <f t="shared" si="346"/>
        <v/>
      </c>
      <c r="V4223" s="12" t="str">
        <f t="shared" si="347"/>
        <v/>
      </c>
      <c r="Z4223" s="15"/>
    </row>
    <row r="4224" spans="1:26" x14ac:dyDescent="0.25">
      <c r="A4224" s="15" t="str">
        <f>IF(C4224="","",COUNTA($C$3:C4224))</f>
        <v/>
      </c>
      <c r="B4224" s="15" t="str">
        <f t="shared" si="348"/>
        <v/>
      </c>
      <c r="M4224" s="9"/>
      <c r="N4224" s="9"/>
      <c r="P4224" s="14"/>
      <c r="Q4224" s="85"/>
      <c r="R4224" s="89"/>
      <c r="U4224" s="11" t="str">
        <f t="shared" si="346"/>
        <v/>
      </c>
      <c r="V4224" s="12" t="str">
        <f t="shared" si="347"/>
        <v/>
      </c>
      <c r="Z4224" s="15"/>
    </row>
    <row r="4225" spans="1:26" x14ac:dyDescent="0.25">
      <c r="A4225" s="15" t="str">
        <f>IF(C4225="","",COUNTA($C$3:C4225))</f>
        <v/>
      </c>
      <c r="B4225" s="15" t="str">
        <f t="shared" si="348"/>
        <v/>
      </c>
      <c r="M4225" s="9"/>
      <c r="N4225" s="9"/>
      <c r="P4225" s="14"/>
      <c r="Q4225" s="85"/>
      <c r="R4225" s="89"/>
      <c r="U4225" s="11" t="str">
        <f t="shared" si="346"/>
        <v/>
      </c>
      <c r="V4225" s="12" t="str">
        <f t="shared" si="347"/>
        <v/>
      </c>
      <c r="Z4225" s="15"/>
    </row>
    <row r="4226" spans="1:26" x14ac:dyDescent="0.25">
      <c r="A4226" s="15" t="str">
        <f>IF(C4226="","",COUNTA($C$3:C4226))</f>
        <v/>
      </c>
      <c r="B4226" s="15" t="str">
        <f t="shared" si="348"/>
        <v/>
      </c>
      <c r="M4226" s="9"/>
      <c r="N4226" s="9"/>
      <c r="P4226" s="14"/>
      <c r="Q4226" s="85"/>
      <c r="R4226" s="89"/>
      <c r="U4226" s="11" t="str">
        <f t="shared" ref="U4226:U4289" si="349">IF(S4226="","",(S4226-T4226))</f>
        <v/>
      </c>
      <c r="V4226" s="12" t="str">
        <f t="shared" ref="V4226:V4289" si="350">IF(U4226="","",(U4226/T4226))</f>
        <v/>
      </c>
      <c r="Z4226" s="15"/>
    </row>
    <row r="4227" spans="1:26" x14ac:dyDescent="0.25">
      <c r="A4227" s="15" t="str">
        <f>IF(C4227="","",COUNTA($C$3:C4227))</f>
        <v/>
      </c>
      <c r="B4227" s="15" t="str">
        <f t="shared" ref="B4227:B4290" si="351">IF(C4227="","",TEXT(C4227,"mmmm"))</f>
        <v/>
      </c>
      <c r="M4227" s="9"/>
      <c r="N4227" s="9"/>
      <c r="P4227" s="14"/>
      <c r="Q4227" s="85"/>
      <c r="R4227" s="89"/>
      <c r="U4227" s="11" t="str">
        <f t="shared" si="349"/>
        <v/>
      </c>
      <c r="V4227" s="12" t="str">
        <f t="shared" si="350"/>
        <v/>
      </c>
      <c r="Z4227" s="15"/>
    </row>
    <row r="4228" spans="1:26" x14ac:dyDescent="0.25">
      <c r="A4228" s="15" t="str">
        <f>IF(C4228="","",COUNTA($C$3:C4228))</f>
        <v/>
      </c>
      <c r="B4228" s="15" t="str">
        <f t="shared" si="351"/>
        <v/>
      </c>
      <c r="M4228" s="9"/>
      <c r="N4228" s="9"/>
      <c r="P4228" s="14"/>
      <c r="Q4228" s="85"/>
      <c r="R4228" s="89"/>
      <c r="U4228" s="11" t="str">
        <f t="shared" si="349"/>
        <v/>
      </c>
      <c r="V4228" s="12" t="str">
        <f t="shared" si="350"/>
        <v/>
      </c>
      <c r="Z4228" s="15"/>
    </row>
    <row r="4229" spans="1:26" x14ac:dyDescent="0.25">
      <c r="A4229" s="15" t="str">
        <f>IF(C4229="","",COUNTA($C$3:C4229))</f>
        <v/>
      </c>
      <c r="B4229" s="15" t="str">
        <f t="shared" si="351"/>
        <v/>
      </c>
      <c r="M4229" s="9"/>
      <c r="N4229" s="9"/>
      <c r="P4229" s="14"/>
      <c r="Q4229" s="85"/>
      <c r="R4229" s="89"/>
      <c r="U4229" s="11" t="str">
        <f t="shared" si="349"/>
        <v/>
      </c>
      <c r="V4229" s="12" t="str">
        <f t="shared" si="350"/>
        <v/>
      </c>
      <c r="Z4229" s="15"/>
    </row>
    <row r="4230" spans="1:26" x14ac:dyDescent="0.25">
      <c r="A4230" s="15" t="str">
        <f>IF(C4230="","",COUNTA($C$3:C4230))</f>
        <v/>
      </c>
      <c r="B4230" s="15" t="str">
        <f t="shared" si="351"/>
        <v/>
      </c>
      <c r="M4230" s="9"/>
      <c r="N4230" s="9"/>
      <c r="P4230" s="14"/>
      <c r="Q4230" s="85"/>
      <c r="R4230" s="89"/>
      <c r="U4230" s="11" t="str">
        <f t="shared" si="349"/>
        <v/>
      </c>
      <c r="V4230" s="12" t="str">
        <f t="shared" si="350"/>
        <v/>
      </c>
      <c r="Z4230" s="15"/>
    </row>
    <row r="4231" spans="1:26" x14ac:dyDescent="0.25">
      <c r="A4231" s="15" t="str">
        <f>IF(C4231="","",COUNTA($C$3:C4231))</f>
        <v/>
      </c>
      <c r="B4231" s="15" t="str">
        <f t="shared" si="351"/>
        <v/>
      </c>
      <c r="M4231" s="9"/>
      <c r="N4231" s="9"/>
      <c r="P4231" s="14"/>
      <c r="Q4231" s="85"/>
      <c r="R4231" s="89"/>
      <c r="U4231" s="11" t="str">
        <f t="shared" si="349"/>
        <v/>
      </c>
      <c r="V4231" s="12" t="str">
        <f t="shared" si="350"/>
        <v/>
      </c>
      <c r="Z4231" s="15"/>
    </row>
    <row r="4232" spans="1:26" x14ac:dyDescent="0.25">
      <c r="A4232" s="15" t="str">
        <f>IF(C4232="","",COUNTA($C$3:C4232))</f>
        <v/>
      </c>
      <c r="B4232" s="15" t="str">
        <f t="shared" si="351"/>
        <v/>
      </c>
      <c r="M4232" s="9"/>
      <c r="N4232" s="9"/>
      <c r="P4232" s="14"/>
      <c r="Q4232" s="85"/>
      <c r="R4232" s="89"/>
      <c r="U4232" s="11" t="str">
        <f t="shared" si="349"/>
        <v/>
      </c>
      <c r="V4232" s="12" t="str">
        <f t="shared" si="350"/>
        <v/>
      </c>
      <c r="Z4232" s="15"/>
    </row>
    <row r="4233" spans="1:26" x14ac:dyDescent="0.25">
      <c r="A4233" s="15" t="str">
        <f>IF(C4233="","",COUNTA($C$3:C4233))</f>
        <v/>
      </c>
      <c r="B4233" s="15" t="str">
        <f t="shared" si="351"/>
        <v/>
      </c>
      <c r="M4233" s="9"/>
      <c r="N4233" s="9"/>
      <c r="P4233" s="14"/>
      <c r="Q4233" s="85"/>
      <c r="R4233" s="89"/>
      <c r="U4233" s="11" t="str">
        <f t="shared" si="349"/>
        <v/>
      </c>
      <c r="V4233" s="12" t="str">
        <f t="shared" si="350"/>
        <v/>
      </c>
      <c r="Z4233" s="15"/>
    </row>
    <row r="4234" spans="1:26" x14ac:dyDescent="0.25">
      <c r="A4234" s="15" t="str">
        <f>IF(C4234="","",COUNTA($C$3:C4234))</f>
        <v/>
      </c>
      <c r="B4234" s="15" t="str">
        <f t="shared" si="351"/>
        <v/>
      </c>
      <c r="M4234" s="9"/>
      <c r="N4234" s="9"/>
      <c r="P4234" s="14"/>
      <c r="Q4234" s="85"/>
      <c r="R4234" s="89"/>
      <c r="U4234" s="11" t="str">
        <f t="shared" si="349"/>
        <v/>
      </c>
      <c r="V4234" s="12" t="str">
        <f t="shared" si="350"/>
        <v/>
      </c>
      <c r="Z4234" s="15"/>
    </row>
    <row r="4235" spans="1:26" x14ac:dyDescent="0.25">
      <c r="A4235" s="15" t="str">
        <f>IF(C4235="","",COUNTA($C$3:C4235))</f>
        <v/>
      </c>
      <c r="B4235" s="15" t="str">
        <f t="shared" si="351"/>
        <v/>
      </c>
      <c r="M4235" s="9"/>
      <c r="N4235" s="9"/>
      <c r="P4235" s="14"/>
      <c r="Q4235" s="85"/>
      <c r="R4235" s="89"/>
      <c r="U4235" s="11" t="str">
        <f t="shared" si="349"/>
        <v/>
      </c>
      <c r="V4235" s="12" t="str">
        <f t="shared" si="350"/>
        <v/>
      </c>
      <c r="Z4235" s="15"/>
    </row>
    <row r="4236" spans="1:26" x14ac:dyDescent="0.25">
      <c r="A4236" s="15" t="str">
        <f>IF(C4236="","",COUNTA($C$3:C4236))</f>
        <v/>
      </c>
      <c r="B4236" s="15" t="str">
        <f t="shared" si="351"/>
        <v/>
      </c>
      <c r="M4236" s="9"/>
      <c r="N4236" s="9"/>
      <c r="P4236" s="14"/>
      <c r="Q4236" s="85"/>
      <c r="R4236" s="89"/>
      <c r="U4236" s="11" t="str">
        <f t="shared" si="349"/>
        <v/>
      </c>
      <c r="V4236" s="12" t="str">
        <f t="shared" si="350"/>
        <v/>
      </c>
      <c r="Z4236" s="15"/>
    </row>
    <row r="4237" spans="1:26" x14ac:dyDescent="0.25">
      <c r="A4237" s="15" t="str">
        <f>IF(C4237="","",COUNTA($C$3:C4237))</f>
        <v/>
      </c>
      <c r="B4237" s="15" t="str">
        <f t="shared" si="351"/>
        <v/>
      </c>
      <c r="M4237" s="9"/>
      <c r="N4237" s="9"/>
      <c r="P4237" s="14"/>
      <c r="Q4237" s="85"/>
      <c r="R4237" s="89"/>
      <c r="U4237" s="11" t="str">
        <f t="shared" si="349"/>
        <v/>
      </c>
      <c r="V4237" s="12" t="str">
        <f t="shared" si="350"/>
        <v/>
      </c>
      <c r="Z4237" s="15"/>
    </row>
    <row r="4238" spans="1:26" x14ac:dyDescent="0.25">
      <c r="A4238" s="15" t="str">
        <f>IF(C4238="","",COUNTA($C$3:C4238))</f>
        <v/>
      </c>
      <c r="B4238" s="15" t="str">
        <f t="shared" si="351"/>
        <v/>
      </c>
      <c r="M4238" s="9"/>
      <c r="N4238" s="9"/>
      <c r="P4238" s="14"/>
      <c r="Q4238" s="85"/>
      <c r="R4238" s="89"/>
      <c r="U4238" s="11" t="str">
        <f t="shared" si="349"/>
        <v/>
      </c>
      <c r="V4238" s="12" t="str">
        <f t="shared" si="350"/>
        <v/>
      </c>
      <c r="Z4238" s="15"/>
    </row>
    <row r="4239" spans="1:26" x14ac:dyDescent="0.25">
      <c r="A4239" s="15" t="str">
        <f>IF(C4239="","",COUNTA($C$3:C4239))</f>
        <v/>
      </c>
      <c r="B4239" s="15" t="str">
        <f t="shared" si="351"/>
        <v/>
      </c>
      <c r="M4239" s="9"/>
      <c r="N4239" s="9"/>
      <c r="P4239" s="14"/>
      <c r="Q4239" s="85"/>
      <c r="R4239" s="89"/>
      <c r="U4239" s="11" t="str">
        <f t="shared" si="349"/>
        <v/>
      </c>
      <c r="V4239" s="12" t="str">
        <f t="shared" si="350"/>
        <v/>
      </c>
      <c r="Z4239" s="15"/>
    </row>
    <row r="4240" spans="1:26" x14ac:dyDescent="0.25">
      <c r="A4240" s="15" t="str">
        <f>IF(C4240="","",COUNTA($C$3:C4240))</f>
        <v/>
      </c>
      <c r="B4240" s="15" t="str">
        <f t="shared" si="351"/>
        <v/>
      </c>
      <c r="M4240" s="9"/>
      <c r="N4240" s="9"/>
      <c r="P4240" s="14"/>
      <c r="Q4240" s="85"/>
      <c r="R4240" s="89"/>
      <c r="U4240" s="11" t="str">
        <f t="shared" si="349"/>
        <v/>
      </c>
      <c r="V4240" s="12" t="str">
        <f t="shared" si="350"/>
        <v/>
      </c>
      <c r="Z4240" s="15"/>
    </row>
    <row r="4241" spans="1:26" x14ac:dyDescent="0.25">
      <c r="A4241" s="15" t="str">
        <f>IF(C4241="","",COUNTA($C$3:C4241))</f>
        <v/>
      </c>
      <c r="B4241" s="15" t="str">
        <f t="shared" si="351"/>
        <v/>
      </c>
      <c r="M4241" s="9"/>
      <c r="N4241" s="9"/>
      <c r="P4241" s="14"/>
      <c r="Q4241" s="85"/>
      <c r="R4241" s="89"/>
      <c r="U4241" s="11" t="str">
        <f t="shared" si="349"/>
        <v/>
      </c>
      <c r="V4241" s="12" t="str">
        <f t="shared" si="350"/>
        <v/>
      </c>
      <c r="Z4241" s="15"/>
    </row>
    <row r="4242" spans="1:26" x14ac:dyDescent="0.25">
      <c r="A4242" s="15" t="str">
        <f>IF(C4242="","",COUNTA($C$3:C4242))</f>
        <v/>
      </c>
      <c r="B4242" s="15" t="str">
        <f t="shared" si="351"/>
        <v/>
      </c>
      <c r="M4242" s="9"/>
      <c r="N4242" s="9"/>
      <c r="P4242" s="14"/>
      <c r="Q4242" s="85"/>
      <c r="R4242" s="89"/>
      <c r="U4242" s="11" t="str">
        <f t="shared" si="349"/>
        <v/>
      </c>
      <c r="V4242" s="12" t="str">
        <f t="shared" si="350"/>
        <v/>
      </c>
      <c r="Z4242" s="15"/>
    </row>
    <row r="4243" spans="1:26" x14ac:dyDescent="0.25">
      <c r="A4243" s="15" t="str">
        <f>IF(C4243="","",COUNTA($C$3:C4243))</f>
        <v/>
      </c>
      <c r="B4243" s="15" t="str">
        <f t="shared" si="351"/>
        <v/>
      </c>
      <c r="M4243" s="9"/>
      <c r="N4243" s="9"/>
      <c r="P4243" s="14"/>
      <c r="Q4243" s="85"/>
      <c r="R4243" s="89"/>
      <c r="U4243" s="11" t="str">
        <f t="shared" si="349"/>
        <v/>
      </c>
      <c r="V4243" s="12" t="str">
        <f t="shared" si="350"/>
        <v/>
      </c>
      <c r="Z4243" s="15"/>
    </row>
    <row r="4244" spans="1:26" x14ac:dyDescent="0.25">
      <c r="A4244" s="15" t="str">
        <f>IF(C4244="","",COUNTA($C$3:C4244))</f>
        <v/>
      </c>
      <c r="B4244" s="15" t="str">
        <f t="shared" si="351"/>
        <v/>
      </c>
      <c r="M4244" s="9"/>
      <c r="N4244" s="9"/>
      <c r="P4244" s="14"/>
      <c r="Q4244" s="85"/>
      <c r="R4244" s="89"/>
      <c r="U4244" s="11" t="str">
        <f t="shared" si="349"/>
        <v/>
      </c>
      <c r="V4244" s="12" t="str">
        <f t="shared" si="350"/>
        <v/>
      </c>
      <c r="Z4244" s="15"/>
    </row>
    <row r="4245" spans="1:26" x14ac:dyDescent="0.25">
      <c r="A4245" s="15" t="str">
        <f>IF(C4245="","",COUNTA($C$3:C4245))</f>
        <v/>
      </c>
      <c r="B4245" s="15" t="str">
        <f t="shared" si="351"/>
        <v/>
      </c>
      <c r="M4245" s="9"/>
      <c r="N4245" s="9"/>
      <c r="P4245" s="14"/>
      <c r="Q4245" s="85"/>
      <c r="R4245" s="89"/>
      <c r="U4245" s="11" t="str">
        <f t="shared" si="349"/>
        <v/>
      </c>
      <c r="V4245" s="12" t="str">
        <f t="shared" si="350"/>
        <v/>
      </c>
      <c r="Z4245" s="15"/>
    </row>
    <row r="4246" spans="1:26" x14ac:dyDescent="0.25">
      <c r="A4246" s="15" t="str">
        <f>IF(C4246="","",COUNTA($C$3:C4246))</f>
        <v/>
      </c>
      <c r="B4246" s="15" t="str">
        <f t="shared" si="351"/>
        <v/>
      </c>
      <c r="M4246" s="9"/>
      <c r="N4246" s="9"/>
      <c r="P4246" s="14"/>
      <c r="Q4246" s="85"/>
      <c r="R4246" s="89"/>
      <c r="U4246" s="11" t="str">
        <f t="shared" si="349"/>
        <v/>
      </c>
      <c r="V4246" s="12" t="str">
        <f t="shared" si="350"/>
        <v/>
      </c>
      <c r="Z4246" s="15"/>
    </row>
    <row r="4247" spans="1:26" x14ac:dyDescent="0.25">
      <c r="A4247" s="15" t="str">
        <f>IF(C4247="","",COUNTA($C$3:C4247))</f>
        <v/>
      </c>
      <c r="B4247" s="15" t="str">
        <f t="shared" si="351"/>
        <v/>
      </c>
      <c r="M4247" s="9"/>
      <c r="N4247" s="9"/>
      <c r="P4247" s="14"/>
      <c r="Q4247" s="85"/>
      <c r="R4247" s="89"/>
      <c r="U4247" s="11" t="str">
        <f t="shared" si="349"/>
        <v/>
      </c>
      <c r="V4247" s="12" t="str">
        <f t="shared" si="350"/>
        <v/>
      </c>
      <c r="Z4247" s="15"/>
    </row>
    <row r="4248" spans="1:26" x14ac:dyDescent="0.25">
      <c r="A4248" s="15" t="str">
        <f>IF(C4248="","",COUNTA($C$3:C4248))</f>
        <v/>
      </c>
      <c r="B4248" s="15" t="str">
        <f t="shared" si="351"/>
        <v/>
      </c>
      <c r="M4248" s="9"/>
      <c r="N4248" s="9"/>
      <c r="P4248" s="14"/>
      <c r="Q4248" s="85"/>
      <c r="R4248" s="89"/>
      <c r="U4248" s="11" t="str">
        <f t="shared" si="349"/>
        <v/>
      </c>
      <c r="V4248" s="12" t="str">
        <f t="shared" si="350"/>
        <v/>
      </c>
      <c r="Z4248" s="15"/>
    </row>
    <row r="4249" spans="1:26" x14ac:dyDescent="0.25">
      <c r="A4249" s="15" t="str">
        <f>IF(C4249="","",COUNTA($C$3:C4249))</f>
        <v/>
      </c>
      <c r="B4249" s="15" t="str">
        <f t="shared" si="351"/>
        <v/>
      </c>
      <c r="M4249" s="9"/>
      <c r="N4249" s="9"/>
      <c r="P4249" s="14"/>
      <c r="Q4249" s="85"/>
      <c r="R4249" s="89"/>
      <c r="U4249" s="11" t="str">
        <f t="shared" si="349"/>
        <v/>
      </c>
      <c r="V4249" s="12" t="str">
        <f t="shared" si="350"/>
        <v/>
      </c>
      <c r="Z4249" s="15"/>
    </row>
    <row r="4250" spans="1:26" x14ac:dyDescent="0.25">
      <c r="A4250" s="15" t="str">
        <f>IF(C4250="","",COUNTA($C$3:C4250))</f>
        <v/>
      </c>
      <c r="B4250" s="15" t="str">
        <f t="shared" si="351"/>
        <v/>
      </c>
      <c r="M4250" s="9"/>
      <c r="N4250" s="9"/>
      <c r="P4250" s="14"/>
      <c r="Q4250" s="85"/>
      <c r="R4250" s="89"/>
      <c r="U4250" s="11" t="str">
        <f t="shared" si="349"/>
        <v/>
      </c>
      <c r="V4250" s="12" t="str">
        <f t="shared" si="350"/>
        <v/>
      </c>
      <c r="Z4250" s="15"/>
    </row>
    <row r="4251" spans="1:26" x14ac:dyDescent="0.25">
      <c r="A4251" s="15" t="str">
        <f>IF(C4251="","",COUNTA($C$3:C4251))</f>
        <v/>
      </c>
      <c r="B4251" s="15" t="str">
        <f t="shared" si="351"/>
        <v/>
      </c>
      <c r="M4251" s="9"/>
      <c r="N4251" s="9"/>
      <c r="P4251" s="14"/>
      <c r="Q4251" s="85"/>
      <c r="R4251" s="89"/>
      <c r="U4251" s="11" t="str">
        <f t="shared" si="349"/>
        <v/>
      </c>
      <c r="V4251" s="12" t="str">
        <f t="shared" si="350"/>
        <v/>
      </c>
      <c r="Z4251" s="15"/>
    </row>
    <row r="4252" spans="1:26" x14ac:dyDescent="0.25">
      <c r="A4252" s="15" t="str">
        <f>IF(C4252="","",COUNTA($C$3:C4252))</f>
        <v/>
      </c>
      <c r="B4252" s="15" t="str">
        <f t="shared" si="351"/>
        <v/>
      </c>
      <c r="M4252" s="9"/>
      <c r="N4252" s="9"/>
      <c r="P4252" s="14"/>
      <c r="Q4252" s="85"/>
      <c r="R4252" s="89"/>
      <c r="U4252" s="11" t="str">
        <f t="shared" si="349"/>
        <v/>
      </c>
      <c r="V4252" s="12" t="str">
        <f t="shared" si="350"/>
        <v/>
      </c>
      <c r="Z4252" s="15"/>
    </row>
    <row r="4253" spans="1:26" x14ac:dyDescent="0.25">
      <c r="A4253" s="15" t="str">
        <f>IF(C4253="","",COUNTA($C$3:C4253))</f>
        <v/>
      </c>
      <c r="B4253" s="15" t="str">
        <f t="shared" si="351"/>
        <v/>
      </c>
      <c r="M4253" s="9"/>
      <c r="N4253" s="9"/>
      <c r="P4253" s="14"/>
      <c r="Q4253" s="85"/>
      <c r="R4253" s="89"/>
      <c r="U4253" s="11" t="str">
        <f t="shared" si="349"/>
        <v/>
      </c>
      <c r="V4253" s="12" t="str">
        <f t="shared" si="350"/>
        <v/>
      </c>
      <c r="Z4253" s="15"/>
    </row>
    <row r="4254" spans="1:26" x14ac:dyDescent="0.25">
      <c r="A4254" s="15" t="str">
        <f>IF(C4254="","",COUNTA($C$3:C4254))</f>
        <v/>
      </c>
      <c r="B4254" s="15" t="str">
        <f t="shared" si="351"/>
        <v/>
      </c>
      <c r="M4254" s="9"/>
      <c r="N4254" s="9"/>
      <c r="P4254" s="14"/>
      <c r="Q4254" s="85"/>
      <c r="R4254" s="89"/>
      <c r="U4254" s="11" t="str">
        <f t="shared" si="349"/>
        <v/>
      </c>
      <c r="V4254" s="12" t="str">
        <f t="shared" si="350"/>
        <v/>
      </c>
      <c r="Z4254" s="15"/>
    </row>
    <row r="4255" spans="1:26" x14ac:dyDescent="0.25">
      <c r="A4255" s="15" t="str">
        <f>IF(C4255="","",COUNTA($C$3:C4255))</f>
        <v/>
      </c>
      <c r="B4255" s="15" t="str">
        <f t="shared" si="351"/>
        <v/>
      </c>
      <c r="M4255" s="9"/>
      <c r="N4255" s="9"/>
      <c r="P4255" s="14"/>
      <c r="Q4255" s="85"/>
      <c r="R4255" s="89"/>
      <c r="U4255" s="11" t="str">
        <f t="shared" si="349"/>
        <v/>
      </c>
      <c r="V4255" s="12" t="str">
        <f t="shared" si="350"/>
        <v/>
      </c>
      <c r="Z4255" s="15"/>
    </row>
    <row r="4256" spans="1:26" x14ac:dyDescent="0.25">
      <c r="A4256" s="15" t="str">
        <f>IF(C4256="","",COUNTA($C$3:C4256))</f>
        <v/>
      </c>
      <c r="B4256" s="15" t="str">
        <f t="shared" si="351"/>
        <v/>
      </c>
      <c r="M4256" s="9"/>
      <c r="N4256" s="9"/>
      <c r="P4256" s="14"/>
      <c r="Q4256" s="85"/>
      <c r="R4256" s="89"/>
      <c r="U4256" s="11" t="str">
        <f t="shared" si="349"/>
        <v/>
      </c>
      <c r="V4256" s="12" t="str">
        <f t="shared" si="350"/>
        <v/>
      </c>
      <c r="Z4256" s="15"/>
    </row>
    <row r="4257" spans="1:26" x14ac:dyDescent="0.25">
      <c r="A4257" s="15" t="str">
        <f>IF(C4257="","",COUNTA($C$3:C4257))</f>
        <v/>
      </c>
      <c r="B4257" s="15" t="str">
        <f t="shared" si="351"/>
        <v/>
      </c>
      <c r="M4257" s="9"/>
      <c r="N4257" s="9"/>
      <c r="P4257" s="14"/>
      <c r="Q4257" s="85"/>
      <c r="R4257" s="89"/>
      <c r="U4257" s="11" t="str">
        <f t="shared" si="349"/>
        <v/>
      </c>
      <c r="V4257" s="12" t="str">
        <f t="shared" si="350"/>
        <v/>
      </c>
      <c r="Z4257" s="15"/>
    </row>
    <row r="4258" spans="1:26" x14ac:dyDescent="0.25">
      <c r="A4258" s="15" t="str">
        <f>IF(C4258="","",COUNTA($C$3:C4258))</f>
        <v/>
      </c>
      <c r="B4258" s="15" t="str">
        <f t="shared" si="351"/>
        <v/>
      </c>
      <c r="M4258" s="9"/>
      <c r="N4258" s="9"/>
      <c r="P4258" s="14"/>
      <c r="Q4258" s="85"/>
      <c r="R4258" s="89"/>
      <c r="U4258" s="11" t="str">
        <f t="shared" si="349"/>
        <v/>
      </c>
      <c r="V4258" s="12" t="str">
        <f t="shared" si="350"/>
        <v/>
      </c>
      <c r="Z4258" s="15"/>
    </row>
    <row r="4259" spans="1:26" x14ac:dyDescent="0.25">
      <c r="A4259" s="15" t="str">
        <f>IF(C4259="","",COUNTA($C$3:C4259))</f>
        <v/>
      </c>
      <c r="B4259" s="15" t="str">
        <f t="shared" si="351"/>
        <v/>
      </c>
      <c r="M4259" s="9"/>
      <c r="N4259" s="9"/>
      <c r="P4259" s="14"/>
      <c r="Q4259" s="85"/>
      <c r="R4259" s="89"/>
      <c r="U4259" s="11" t="str">
        <f t="shared" si="349"/>
        <v/>
      </c>
      <c r="V4259" s="12" t="str">
        <f t="shared" si="350"/>
        <v/>
      </c>
      <c r="Z4259" s="15"/>
    </row>
    <row r="4260" spans="1:26" x14ac:dyDescent="0.25">
      <c r="A4260" s="15" t="str">
        <f>IF(C4260="","",COUNTA($C$3:C4260))</f>
        <v/>
      </c>
      <c r="B4260" s="15" t="str">
        <f t="shared" si="351"/>
        <v/>
      </c>
      <c r="M4260" s="9"/>
      <c r="N4260" s="9"/>
      <c r="P4260" s="14"/>
      <c r="Q4260" s="85"/>
      <c r="R4260" s="89"/>
      <c r="U4260" s="11" t="str">
        <f t="shared" si="349"/>
        <v/>
      </c>
      <c r="V4260" s="12" t="str">
        <f t="shared" si="350"/>
        <v/>
      </c>
      <c r="Z4260" s="15"/>
    </row>
    <row r="4261" spans="1:26" x14ac:dyDescent="0.25">
      <c r="A4261" s="15" t="str">
        <f>IF(C4261="","",COUNTA($C$3:C4261))</f>
        <v/>
      </c>
      <c r="B4261" s="15" t="str">
        <f t="shared" si="351"/>
        <v/>
      </c>
      <c r="M4261" s="9"/>
      <c r="N4261" s="9"/>
      <c r="P4261" s="14"/>
      <c r="Q4261" s="85"/>
      <c r="R4261" s="89"/>
      <c r="U4261" s="11" t="str">
        <f t="shared" si="349"/>
        <v/>
      </c>
      <c r="V4261" s="12" t="str">
        <f t="shared" si="350"/>
        <v/>
      </c>
      <c r="Z4261" s="15"/>
    </row>
    <row r="4262" spans="1:26" x14ac:dyDescent="0.25">
      <c r="A4262" s="15" t="str">
        <f>IF(C4262="","",COUNTA($C$3:C4262))</f>
        <v/>
      </c>
      <c r="B4262" s="15" t="str">
        <f t="shared" si="351"/>
        <v/>
      </c>
      <c r="M4262" s="9"/>
      <c r="N4262" s="9"/>
      <c r="P4262" s="14"/>
      <c r="Q4262" s="85"/>
      <c r="R4262" s="89"/>
      <c r="U4262" s="11" t="str">
        <f t="shared" si="349"/>
        <v/>
      </c>
      <c r="V4262" s="12" t="str">
        <f t="shared" si="350"/>
        <v/>
      </c>
      <c r="Z4262" s="15"/>
    </row>
    <row r="4263" spans="1:26" x14ac:dyDescent="0.25">
      <c r="A4263" s="15" t="str">
        <f>IF(C4263="","",COUNTA($C$3:C4263))</f>
        <v/>
      </c>
      <c r="B4263" s="15" t="str">
        <f t="shared" si="351"/>
        <v/>
      </c>
      <c r="M4263" s="9"/>
      <c r="N4263" s="9"/>
      <c r="P4263" s="14"/>
      <c r="Q4263" s="85"/>
      <c r="R4263" s="89"/>
      <c r="U4263" s="11" t="str">
        <f t="shared" si="349"/>
        <v/>
      </c>
      <c r="V4263" s="12" t="str">
        <f t="shared" si="350"/>
        <v/>
      </c>
      <c r="Z4263" s="15"/>
    </row>
    <row r="4264" spans="1:26" x14ac:dyDescent="0.25">
      <c r="A4264" s="15" t="str">
        <f>IF(C4264="","",COUNTA($C$3:C4264))</f>
        <v/>
      </c>
      <c r="B4264" s="15" t="str">
        <f t="shared" si="351"/>
        <v/>
      </c>
      <c r="M4264" s="9"/>
      <c r="N4264" s="9"/>
      <c r="P4264" s="14"/>
      <c r="Q4264" s="85"/>
      <c r="R4264" s="89"/>
      <c r="U4264" s="11" t="str">
        <f t="shared" si="349"/>
        <v/>
      </c>
      <c r="V4264" s="12" t="str">
        <f t="shared" si="350"/>
        <v/>
      </c>
      <c r="Z4264" s="15"/>
    </row>
    <row r="4265" spans="1:26" x14ac:dyDescent="0.25">
      <c r="A4265" s="15" t="str">
        <f>IF(C4265="","",COUNTA($C$3:C4265))</f>
        <v/>
      </c>
      <c r="B4265" s="15" t="str">
        <f t="shared" si="351"/>
        <v/>
      </c>
      <c r="M4265" s="9"/>
      <c r="N4265" s="9"/>
      <c r="P4265" s="14"/>
      <c r="Q4265" s="85"/>
      <c r="R4265" s="89"/>
      <c r="U4265" s="11" t="str">
        <f t="shared" si="349"/>
        <v/>
      </c>
      <c r="V4265" s="12" t="str">
        <f t="shared" si="350"/>
        <v/>
      </c>
      <c r="Z4265" s="15"/>
    </row>
    <row r="4266" spans="1:26" x14ac:dyDescent="0.25">
      <c r="A4266" s="15" t="str">
        <f>IF(C4266="","",COUNTA($C$3:C4266))</f>
        <v/>
      </c>
      <c r="B4266" s="15" t="str">
        <f t="shared" si="351"/>
        <v/>
      </c>
      <c r="M4266" s="9"/>
      <c r="N4266" s="9"/>
      <c r="P4266" s="14"/>
      <c r="Q4266" s="85"/>
      <c r="R4266" s="89"/>
      <c r="U4266" s="11" t="str">
        <f t="shared" si="349"/>
        <v/>
      </c>
      <c r="V4266" s="12" t="str">
        <f t="shared" si="350"/>
        <v/>
      </c>
      <c r="Z4266" s="15"/>
    </row>
    <row r="4267" spans="1:26" x14ac:dyDescent="0.25">
      <c r="A4267" s="15" t="str">
        <f>IF(C4267="","",COUNTA($C$3:C4267))</f>
        <v/>
      </c>
      <c r="B4267" s="15" t="str">
        <f t="shared" si="351"/>
        <v/>
      </c>
      <c r="M4267" s="9"/>
      <c r="N4267" s="9"/>
      <c r="P4267" s="14"/>
      <c r="Q4267" s="85"/>
      <c r="R4267" s="89"/>
      <c r="U4267" s="11" t="str">
        <f t="shared" si="349"/>
        <v/>
      </c>
      <c r="V4267" s="12" t="str">
        <f t="shared" si="350"/>
        <v/>
      </c>
      <c r="Z4267" s="15"/>
    </row>
    <row r="4268" spans="1:26" x14ac:dyDescent="0.25">
      <c r="A4268" s="15" t="str">
        <f>IF(C4268="","",COUNTA($C$3:C4268))</f>
        <v/>
      </c>
      <c r="B4268" s="15" t="str">
        <f t="shared" si="351"/>
        <v/>
      </c>
      <c r="M4268" s="9"/>
      <c r="N4268" s="9"/>
      <c r="P4268" s="14"/>
      <c r="Q4268" s="85"/>
      <c r="R4268" s="89"/>
      <c r="U4268" s="11" t="str">
        <f t="shared" si="349"/>
        <v/>
      </c>
      <c r="V4268" s="12" t="str">
        <f t="shared" si="350"/>
        <v/>
      </c>
      <c r="Z4268" s="15"/>
    </row>
    <row r="4269" spans="1:26" x14ac:dyDescent="0.25">
      <c r="A4269" s="15" t="str">
        <f>IF(C4269="","",COUNTA($C$3:C4269))</f>
        <v/>
      </c>
      <c r="B4269" s="15" t="str">
        <f t="shared" si="351"/>
        <v/>
      </c>
      <c r="M4269" s="9"/>
      <c r="N4269" s="9"/>
      <c r="P4269" s="14"/>
      <c r="Q4269" s="85"/>
      <c r="R4269" s="89"/>
      <c r="U4269" s="11" t="str">
        <f t="shared" si="349"/>
        <v/>
      </c>
      <c r="V4269" s="12" t="str">
        <f t="shared" si="350"/>
        <v/>
      </c>
      <c r="Z4269" s="15"/>
    </row>
    <row r="4270" spans="1:26" x14ac:dyDescent="0.25">
      <c r="A4270" s="15" t="str">
        <f>IF(C4270="","",COUNTA($C$3:C4270))</f>
        <v/>
      </c>
      <c r="B4270" s="15" t="str">
        <f t="shared" si="351"/>
        <v/>
      </c>
      <c r="M4270" s="9"/>
      <c r="N4270" s="9"/>
      <c r="P4270" s="14"/>
      <c r="Q4270" s="85"/>
      <c r="R4270" s="89"/>
      <c r="U4270" s="11" t="str">
        <f t="shared" si="349"/>
        <v/>
      </c>
      <c r="V4270" s="12" t="str">
        <f t="shared" si="350"/>
        <v/>
      </c>
      <c r="Z4270" s="15"/>
    </row>
    <row r="4271" spans="1:26" x14ac:dyDescent="0.25">
      <c r="A4271" s="15" t="str">
        <f>IF(C4271="","",COUNTA($C$3:C4271))</f>
        <v/>
      </c>
      <c r="B4271" s="15" t="str">
        <f t="shared" si="351"/>
        <v/>
      </c>
      <c r="M4271" s="9"/>
      <c r="N4271" s="9"/>
      <c r="P4271" s="14"/>
      <c r="Q4271" s="85"/>
      <c r="R4271" s="89"/>
      <c r="U4271" s="11" t="str">
        <f t="shared" si="349"/>
        <v/>
      </c>
      <c r="V4271" s="12" t="str">
        <f t="shared" si="350"/>
        <v/>
      </c>
      <c r="Z4271" s="15"/>
    </row>
    <row r="4272" spans="1:26" x14ac:dyDescent="0.25">
      <c r="A4272" s="15" t="str">
        <f>IF(C4272="","",COUNTA($C$3:C4272))</f>
        <v/>
      </c>
      <c r="B4272" s="15" t="str">
        <f t="shared" si="351"/>
        <v/>
      </c>
      <c r="M4272" s="9"/>
      <c r="N4272" s="9"/>
      <c r="P4272" s="14"/>
      <c r="Q4272" s="85"/>
      <c r="R4272" s="89"/>
      <c r="U4272" s="11" t="str">
        <f t="shared" si="349"/>
        <v/>
      </c>
      <c r="V4272" s="12" t="str">
        <f t="shared" si="350"/>
        <v/>
      </c>
      <c r="Z4272" s="15"/>
    </row>
    <row r="4273" spans="1:26" x14ac:dyDescent="0.25">
      <c r="A4273" s="15" t="str">
        <f>IF(C4273="","",COUNTA($C$3:C4273))</f>
        <v/>
      </c>
      <c r="B4273" s="15" t="str">
        <f t="shared" si="351"/>
        <v/>
      </c>
      <c r="M4273" s="9"/>
      <c r="N4273" s="9"/>
      <c r="P4273" s="14"/>
      <c r="Q4273" s="85"/>
      <c r="R4273" s="89"/>
      <c r="U4273" s="11" t="str">
        <f t="shared" si="349"/>
        <v/>
      </c>
      <c r="V4273" s="12" t="str">
        <f t="shared" si="350"/>
        <v/>
      </c>
      <c r="Z4273" s="15"/>
    </row>
    <row r="4274" spans="1:26" x14ac:dyDescent="0.25">
      <c r="A4274" s="15" t="str">
        <f>IF(C4274="","",COUNTA($C$3:C4274))</f>
        <v/>
      </c>
      <c r="B4274" s="15" t="str">
        <f t="shared" si="351"/>
        <v/>
      </c>
      <c r="M4274" s="9"/>
      <c r="N4274" s="9"/>
      <c r="P4274" s="14"/>
      <c r="Q4274" s="85"/>
      <c r="R4274" s="89"/>
      <c r="U4274" s="11" t="str">
        <f t="shared" si="349"/>
        <v/>
      </c>
      <c r="V4274" s="12" t="str">
        <f t="shared" si="350"/>
        <v/>
      </c>
      <c r="Z4274" s="15"/>
    </row>
    <row r="4275" spans="1:26" x14ac:dyDescent="0.25">
      <c r="A4275" s="15" t="str">
        <f>IF(C4275="","",COUNTA($C$3:C4275))</f>
        <v/>
      </c>
      <c r="B4275" s="15" t="str">
        <f t="shared" si="351"/>
        <v/>
      </c>
      <c r="M4275" s="9"/>
      <c r="N4275" s="9"/>
      <c r="P4275" s="14"/>
      <c r="Q4275" s="85"/>
      <c r="R4275" s="89"/>
      <c r="U4275" s="11" t="str">
        <f t="shared" si="349"/>
        <v/>
      </c>
      <c r="V4275" s="12" t="str">
        <f t="shared" si="350"/>
        <v/>
      </c>
      <c r="Z4275" s="15"/>
    </row>
    <row r="4276" spans="1:26" x14ac:dyDescent="0.25">
      <c r="A4276" s="15" t="str">
        <f>IF(C4276="","",COUNTA($C$3:C4276))</f>
        <v/>
      </c>
      <c r="B4276" s="15" t="str">
        <f t="shared" si="351"/>
        <v/>
      </c>
      <c r="M4276" s="9"/>
      <c r="N4276" s="9"/>
      <c r="P4276" s="14"/>
      <c r="Q4276" s="85"/>
      <c r="R4276" s="89"/>
      <c r="U4276" s="11" t="str">
        <f t="shared" si="349"/>
        <v/>
      </c>
      <c r="V4276" s="12" t="str">
        <f t="shared" si="350"/>
        <v/>
      </c>
      <c r="Z4276" s="15"/>
    </row>
    <row r="4277" spans="1:26" x14ac:dyDescent="0.25">
      <c r="A4277" s="15" t="str">
        <f>IF(C4277="","",COUNTA($C$3:C4277))</f>
        <v/>
      </c>
      <c r="B4277" s="15" t="str">
        <f t="shared" si="351"/>
        <v/>
      </c>
      <c r="M4277" s="9"/>
      <c r="N4277" s="9"/>
      <c r="P4277" s="14"/>
      <c r="Q4277" s="85"/>
      <c r="R4277" s="89"/>
      <c r="U4277" s="11" t="str">
        <f t="shared" si="349"/>
        <v/>
      </c>
      <c r="V4277" s="12" t="str">
        <f t="shared" si="350"/>
        <v/>
      </c>
      <c r="Z4277" s="15"/>
    </row>
    <row r="4278" spans="1:26" x14ac:dyDescent="0.25">
      <c r="A4278" s="15" t="str">
        <f>IF(C4278="","",COUNTA($C$3:C4278))</f>
        <v/>
      </c>
      <c r="B4278" s="15" t="str">
        <f t="shared" si="351"/>
        <v/>
      </c>
      <c r="M4278" s="9"/>
      <c r="N4278" s="9"/>
      <c r="P4278" s="14"/>
      <c r="Q4278" s="85"/>
      <c r="R4278" s="89"/>
      <c r="U4278" s="11" t="str">
        <f t="shared" si="349"/>
        <v/>
      </c>
      <c r="V4278" s="12" t="str">
        <f t="shared" si="350"/>
        <v/>
      </c>
      <c r="Z4278" s="15"/>
    </row>
    <row r="4279" spans="1:26" x14ac:dyDescent="0.25">
      <c r="A4279" s="15" t="str">
        <f>IF(C4279="","",COUNTA($C$3:C4279))</f>
        <v/>
      </c>
      <c r="B4279" s="15" t="str">
        <f t="shared" si="351"/>
        <v/>
      </c>
      <c r="M4279" s="9"/>
      <c r="N4279" s="9"/>
      <c r="P4279" s="14"/>
      <c r="Q4279" s="85"/>
      <c r="R4279" s="89"/>
      <c r="U4279" s="11" t="str">
        <f t="shared" si="349"/>
        <v/>
      </c>
      <c r="V4279" s="12" t="str">
        <f t="shared" si="350"/>
        <v/>
      </c>
      <c r="Z4279" s="15"/>
    </row>
    <row r="4280" spans="1:26" x14ac:dyDescent="0.25">
      <c r="A4280" s="15" t="str">
        <f>IF(C4280="","",COUNTA($C$3:C4280))</f>
        <v/>
      </c>
      <c r="B4280" s="15" t="str">
        <f t="shared" si="351"/>
        <v/>
      </c>
      <c r="M4280" s="9"/>
      <c r="N4280" s="9"/>
      <c r="P4280" s="14"/>
      <c r="Q4280" s="85"/>
      <c r="R4280" s="89"/>
      <c r="U4280" s="11" t="str">
        <f t="shared" si="349"/>
        <v/>
      </c>
      <c r="V4280" s="12" t="str">
        <f t="shared" si="350"/>
        <v/>
      </c>
      <c r="Z4280" s="15"/>
    </row>
    <row r="4281" spans="1:26" x14ac:dyDescent="0.25">
      <c r="A4281" s="15" t="str">
        <f>IF(C4281="","",COUNTA($C$3:C4281))</f>
        <v/>
      </c>
      <c r="B4281" s="15" t="str">
        <f t="shared" si="351"/>
        <v/>
      </c>
      <c r="M4281" s="9"/>
      <c r="N4281" s="9"/>
      <c r="P4281" s="14"/>
      <c r="Q4281" s="85"/>
      <c r="R4281" s="89"/>
      <c r="U4281" s="11" t="str">
        <f t="shared" si="349"/>
        <v/>
      </c>
      <c r="V4281" s="12" t="str">
        <f t="shared" si="350"/>
        <v/>
      </c>
      <c r="Z4281" s="15"/>
    </row>
    <row r="4282" spans="1:26" x14ac:dyDescent="0.25">
      <c r="A4282" s="15" t="str">
        <f>IF(C4282="","",COUNTA($C$3:C4282))</f>
        <v/>
      </c>
      <c r="B4282" s="15" t="str">
        <f t="shared" si="351"/>
        <v/>
      </c>
      <c r="M4282" s="9"/>
      <c r="N4282" s="9"/>
      <c r="P4282" s="14"/>
      <c r="Q4282" s="85"/>
      <c r="R4282" s="89"/>
      <c r="U4282" s="11" t="str">
        <f t="shared" si="349"/>
        <v/>
      </c>
      <c r="V4282" s="12" t="str">
        <f t="shared" si="350"/>
        <v/>
      </c>
      <c r="Z4282" s="15"/>
    </row>
    <row r="4283" spans="1:26" x14ac:dyDescent="0.25">
      <c r="A4283" s="15" t="str">
        <f>IF(C4283="","",COUNTA($C$3:C4283))</f>
        <v/>
      </c>
      <c r="B4283" s="15" t="str">
        <f t="shared" si="351"/>
        <v/>
      </c>
      <c r="M4283" s="9"/>
      <c r="N4283" s="9"/>
      <c r="P4283" s="14"/>
      <c r="Q4283" s="85"/>
      <c r="R4283" s="89"/>
      <c r="U4283" s="11" t="str">
        <f t="shared" si="349"/>
        <v/>
      </c>
      <c r="V4283" s="12" t="str">
        <f t="shared" si="350"/>
        <v/>
      </c>
      <c r="Z4283" s="15"/>
    </row>
    <row r="4284" spans="1:26" x14ac:dyDescent="0.25">
      <c r="A4284" s="15" t="str">
        <f>IF(C4284="","",COUNTA($C$3:C4284))</f>
        <v/>
      </c>
      <c r="B4284" s="15" t="str">
        <f t="shared" si="351"/>
        <v/>
      </c>
      <c r="M4284" s="9"/>
      <c r="N4284" s="9"/>
      <c r="P4284" s="14"/>
      <c r="Q4284" s="85"/>
      <c r="R4284" s="89"/>
      <c r="U4284" s="11" t="str">
        <f t="shared" si="349"/>
        <v/>
      </c>
      <c r="V4284" s="12" t="str">
        <f t="shared" si="350"/>
        <v/>
      </c>
      <c r="Z4284" s="15"/>
    </row>
    <row r="4285" spans="1:26" x14ac:dyDescent="0.25">
      <c r="A4285" s="15" t="str">
        <f>IF(C4285="","",COUNTA($C$3:C4285))</f>
        <v/>
      </c>
      <c r="B4285" s="15" t="str">
        <f t="shared" si="351"/>
        <v/>
      </c>
      <c r="M4285" s="9"/>
      <c r="N4285" s="9"/>
      <c r="P4285" s="14"/>
      <c r="Q4285" s="85"/>
      <c r="R4285" s="89"/>
      <c r="U4285" s="11" t="str">
        <f t="shared" si="349"/>
        <v/>
      </c>
      <c r="V4285" s="12" t="str">
        <f t="shared" si="350"/>
        <v/>
      </c>
      <c r="Z4285" s="15"/>
    </row>
    <row r="4286" spans="1:26" x14ac:dyDescent="0.25">
      <c r="A4286" s="15" t="str">
        <f>IF(C4286="","",COUNTA($C$3:C4286))</f>
        <v/>
      </c>
      <c r="B4286" s="15" t="str">
        <f t="shared" si="351"/>
        <v/>
      </c>
      <c r="M4286" s="9"/>
      <c r="N4286" s="9"/>
      <c r="P4286" s="14"/>
      <c r="Q4286" s="85"/>
      <c r="R4286" s="89"/>
      <c r="U4286" s="11" t="str">
        <f t="shared" si="349"/>
        <v/>
      </c>
      <c r="V4286" s="12" t="str">
        <f t="shared" si="350"/>
        <v/>
      </c>
      <c r="Z4286" s="15"/>
    </row>
    <row r="4287" spans="1:26" x14ac:dyDescent="0.25">
      <c r="A4287" s="15" t="str">
        <f>IF(C4287="","",COUNTA($C$3:C4287))</f>
        <v/>
      </c>
      <c r="B4287" s="15" t="str">
        <f t="shared" si="351"/>
        <v/>
      </c>
      <c r="M4287" s="9"/>
      <c r="N4287" s="9"/>
      <c r="P4287" s="14"/>
      <c r="Q4287" s="85"/>
      <c r="R4287" s="89"/>
      <c r="U4287" s="11" t="str">
        <f t="shared" si="349"/>
        <v/>
      </c>
      <c r="V4287" s="12" t="str">
        <f t="shared" si="350"/>
        <v/>
      </c>
      <c r="Z4287" s="15"/>
    </row>
    <row r="4288" spans="1:26" x14ac:dyDescent="0.25">
      <c r="A4288" s="15" t="str">
        <f>IF(C4288="","",COUNTA($C$3:C4288))</f>
        <v/>
      </c>
      <c r="B4288" s="15" t="str">
        <f t="shared" si="351"/>
        <v/>
      </c>
      <c r="M4288" s="9"/>
      <c r="N4288" s="9"/>
      <c r="P4288" s="14"/>
      <c r="Q4288" s="85"/>
      <c r="R4288" s="89"/>
      <c r="U4288" s="11" t="str">
        <f t="shared" si="349"/>
        <v/>
      </c>
      <c r="V4288" s="12" t="str">
        <f t="shared" si="350"/>
        <v/>
      </c>
      <c r="Z4288" s="15"/>
    </row>
    <row r="4289" spans="1:26" x14ac:dyDescent="0.25">
      <c r="A4289" s="15" t="str">
        <f>IF(C4289="","",COUNTA($C$3:C4289))</f>
        <v/>
      </c>
      <c r="B4289" s="15" t="str">
        <f t="shared" si="351"/>
        <v/>
      </c>
      <c r="M4289" s="9"/>
      <c r="N4289" s="9"/>
      <c r="P4289" s="14"/>
      <c r="Q4289" s="85"/>
      <c r="R4289" s="89"/>
      <c r="U4289" s="11" t="str">
        <f t="shared" si="349"/>
        <v/>
      </c>
      <c r="V4289" s="12" t="str">
        <f t="shared" si="350"/>
        <v/>
      </c>
      <c r="Z4289" s="15"/>
    </row>
    <row r="4290" spans="1:26" x14ac:dyDescent="0.25">
      <c r="A4290" s="15" t="str">
        <f>IF(C4290="","",COUNTA($C$3:C4290))</f>
        <v/>
      </c>
      <c r="B4290" s="15" t="str">
        <f t="shared" si="351"/>
        <v/>
      </c>
      <c r="M4290" s="9"/>
      <c r="N4290" s="9"/>
      <c r="P4290" s="14"/>
      <c r="Q4290" s="85"/>
      <c r="R4290" s="89"/>
      <c r="U4290" s="11" t="str">
        <f t="shared" ref="U4290:U4353" si="352">IF(S4290="","",(S4290-T4290))</f>
        <v/>
      </c>
      <c r="V4290" s="12" t="str">
        <f t="shared" ref="V4290:V4353" si="353">IF(U4290="","",(U4290/T4290))</f>
        <v/>
      </c>
      <c r="Z4290" s="15"/>
    </row>
    <row r="4291" spans="1:26" x14ac:dyDescent="0.25">
      <c r="A4291" s="15" t="str">
        <f>IF(C4291="","",COUNTA($C$3:C4291))</f>
        <v/>
      </c>
      <c r="B4291" s="15" t="str">
        <f t="shared" ref="B4291:B4354" si="354">IF(C4291="","",TEXT(C4291,"mmmm"))</f>
        <v/>
      </c>
      <c r="M4291" s="9"/>
      <c r="N4291" s="9"/>
      <c r="P4291" s="14"/>
      <c r="Q4291" s="85"/>
      <c r="R4291" s="89"/>
      <c r="U4291" s="11" t="str">
        <f t="shared" si="352"/>
        <v/>
      </c>
      <c r="V4291" s="12" t="str">
        <f t="shared" si="353"/>
        <v/>
      </c>
      <c r="Z4291" s="15"/>
    </row>
    <row r="4292" spans="1:26" x14ac:dyDescent="0.25">
      <c r="A4292" s="15" t="str">
        <f>IF(C4292="","",COUNTA($C$3:C4292))</f>
        <v/>
      </c>
      <c r="B4292" s="15" t="str">
        <f t="shared" si="354"/>
        <v/>
      </c>
      <c r="M4292" s="9"/>
      <c r="N4292" s="9"/>
      <c r="P4292" s="14"/>
      <c r="Q4292" s="85"/>
      <c r="R4292" s="89"/>
      <c r="U4292" s="11" t="str">
        <f t="shared" si="352"/>
        <v/>
      </c>
      <c r="V4292" s="12" t="str">
        <f t="shared" si="353"/>
        <v/>
      </c>
      <c r="Z4292" s="15"/>
    </row>
    <row r="4293" spans="1:26" x14ac:dyDescent="0.25">
      <c r="A4293" s="15" t="str">
        <f>IF(C4293="","",COUNTA($C$3:C4293))</f>
        <v/>
      </c>
      <c r="B4293" s="15" t="str">
        <f t="shared" si="354"/>
        <v/>
      </c>
      <c r="M4293" s="9"/>
      <c r="N4293" s="9"/>
      <c r="P4293" s="14"/>
      <c r="Q4293" s="85"/>
      <c r="R4293" s="89"/>
      <c r="U4293" s="11" t="str">
        <f t="shared" si="352"/>
        <v/>
      </c>
      <c r="V4293" s="12" t="str">
        <f t="shared" si="353"/>
        <v/>
      </c>
      <c r="Z4293" s="15"/>
    </row>
    <row r="4294" spans="1:26" x14ac:dyDescent="0.25">
      <c r="A4294" s="15" t="str">
        <f>IF(C4294="","",COUNTA($C$3:C4294))</f>
        <v/>
      </c>
      <c r="B4294" s="15" t="str">
        <f t="shared" si="354"/>
        <v/>
      </c>
      <c r="M4294" s="9"/>
      <c r="N4294" s="9"/>
      <c r="P4294" s="14"/>
      <c r="Q4294" s="85"/>
      <c r="R4294" s="89"/>
      <c r="U4294" s="11" t="str">
        <f t="shared" si="352"/>
        <v/>
      </c>
      <c r="V4294" s="12" t="str">
        <f t="shared" si="353"/>
        <v/>
      </c>
      <c r="Z4294" s="15"/>
    </row>
    <row r="4295" spans="1:26" x14ac:dyDescent="0.25">
      <c r="A4295" s="15" t="str">
        <f>IF(C4295="","",COUNTA($C$3:C4295))</f>
        <v/>
      </c>
      <c r="B4295" s="15" t="str">
        <f t="shared" si="354"/>
        <v/>
      </c>
      <c r="M4295" s="9"/>
      <c r="N4295" s="9"/>
      <c r="P4295" s="14"/>
      <c r="Q4295" s="85"/>
      <c r="R4295" s="89"/>
      <c r="U4295" s="11" t="str">
        <f t="shared" si="352"/>
        <v/>
      </c>
      <c r="V4295" s="12" t="str">
        <f t="shared" si="353"/>
        <v/>
      </c>
      <c r="Z4295" s="15"/>
    </row>
    <row r="4296" spans="1:26" x14ac:dyDescent="0.25">
      <c r="A4296" s="15" t="str">
        <f>IF(C4296="","",COUNTA($C$3:C4296))</f>
        <v/>
      </c>
      <c r="B4296" s="15" t="str">
        <f t="shared" si="354"/>
        <v/>
      </c>
      <c r="M4296" s="9"/>
      <c r="N4296" s="9"/>
      <c r="P4296" s="14"/>
      <c r="Q4296" s="85"/>
      <c r="R4296" s="89"/>
      <c r="U4296" s="11" t="str">
        <f t="shared" si="352"/>
        <v/>
      </c>
      <c r="V4296" s="12" t="str">
        <f t="shared" si="353"/>
        <v/>
      </c>
      <c r="Z4296" s="15"/>
    </row>
    <row r="4297" spans="1:26" x14ac:dyDescent="0.25">
      <c r="A4297" s="15" t="str">
        <f>IF(C4297="","",COUNTA($C$3:C4297))</f>
        <v/>
      </c>
      <c r="B4297" s="15" t="str">
        <f t="shared" si="354"/>
        <v/>
      </c>
      <c r="M4297" s="9"/>
      <c r="N4297" s="9"/>
      <c r="P4297" s="14"/>
      <c r="Q4297" s="85"/>
      <c r="R4297" s="89"/>
      <c r="U4297" s="11" t="str">
        <f t="shared" si="352"/>
        <v/>
      </c>
      <c r="V4297" s="12" t="str">
        <f t="shared" si="353"/>
        <v/>
      </c>
      <c r="Z4297" s="15"/>
    </row>
    <row r="4298" spans="1:26" x14ac:dyDescent="0.25">
      <c r="A4298" s="15" t="str">
        <f>IF(C4298="","",COUNTA($C$3:C4298))</f>
        <v/>
      </c>
      <c r="B4298" s="15" t="str">
        <f t="shared" si="354"/>
        <v/>
      </c>
      <c r="M4298" s="9"/>
      <c r="N4298" s="9"/>
      <c r="P4298" s="14"/>
      <c r="Q4298" s="85"/>
      <c r="R4298" s="89"/>
      <c r="U4298" s="11" t="str">
        <f t="shared" si="352"/>
        <v/>
      </c>
      <c r="V4298" s="12" t="str">
        <f t="shared" si="353"/>
        <v/>
      </c>
      <c r="Z4298" s="15"/>
    </row>
    <row r="4299" spans="1:26" x14ac:dyDescent="0.25">
      <c r="A4299" s="15" t="str">
        <f>IF(C4299="","",COUNTA($C$3:C4299))</f>
        <v/>
      </c>
      <c r="B4299" s="15" t="str">
        <f t="shared" si="354"/>
        <v/>
      </c>
      <c r="M4299" s="9"/>
      <c r="N4299" s="9"/>
      <c r="P4299" s="14"/>
      <c r="Q4299" s="85"/>
      <c r="R4299" s="89"/>
      <c r="U4299" s="11" t="str">
        <f t="shared" si="352"/>
        <v/>
      </c>
      <c r="V4299" s="12" t="str">
        <f t="shared" si="353"/>
        <v/>
      </c>
      <c r="Z4299" s="15"/>
    </row>
    <row r="4300" spans="1:26" x14ac:dyDescent="0.25">
      <c r="A4300" s="15" t="str">
        <f>IF(C4300="","",COUNTA($C$3:C4300))</f>
        <v/>
      </c>
      <c r="B4300" s="15" t="str">
        <f t="shared" si="354"/>
        <v/>
      </c>
      <c r="M4300" s="9"/>
      <c r="N4300" s="9"/>
      <c r="P4300" s="14"/>
      <c r="Q4300" s="85"/>
      <c r="R4300" s="89"/>
      <c r="U4300" s="11" t="str">
        <f t="shared" si="352"/>
        <v/>
      </c>
      <c r="V4300" s="12" t="str">
        <f t="shared" si="353"/>
        <v/>
      </c>
      <c r="Z4300" s="15"/>
    </row>
    <row r="4301" spans="1:26" x14ac:dyDescent="0.25">
      <c r="A4301" s="15" t="str">
        <f>IF(C4301="","",COUNTA($C$3:C4301))</f>
        <v/>
      </c>
      <c r="B4301" s="15" t="str">
        <f t="shared" si="354"/>
        <v/>
      </c>
      <c r="M4301" s="9"/>
      <c r="N4301" s="9"/>
      <c r="P4301" s="14"/>
      <c r="Q4301" s="85"/>
      <c r="R4301" s="89"/>
      <c r="U4301" s="11" t="str">
        <f t="shared" si="352"/>
        <v/>
      </c>
      <c r="V4301" s="12" t="str">
        <f t="shared" si="353"/>
        <v/>
      </c>
      <c r="Z4301" s="15"/>
    </row>
    <row r="4302" spans="1:26" x14ac:dyDescent="0.25">
      <c r="A4302" s="15" t="str">
        <f>IF(C4302="","",COUNTA($C$3:C4302))</f>
        <v/>
      </c>
      <c r="B4302" s="15" t="str">
        <f t="shared" si="354"/>
        <v/>
      </c>
      <c r="M4302" s="9"/>
      <c r="N4302" s="9"/>
      <c r="P4302" s="14"/>
      <c r="Q4302" s="85"/>
      <c r="R4302" s="89"/>
      <c r="U4302" s="11" t="str">
        <f t="shared" si="352"/>
        <v/>
      </c>
      <c r="V4302" s="12" t="str">
        <f t="shared" si="353"/>
        <v/>
      </c>
      <c r="Z4302" s="15"/>
    </row>
    <row r="4303" spans="1:26" x14ac:dyDescent="0.25">
      <c r="A4303" s="15" t="str">
        <f>IF(C4303="","",COUNTA($C$3:C4303))</f>
        <v/>
      </c>
      <c r="B4303" s="15" t="str">
        <f t="shared" si="354"/>
        <v/>
      </c>
      <c r="M4303" s="9"/>
      <c r="N4303" s="9"/>
      <c r="P4303" s="14"/>
      <c r="Q4303" s="85"/>
      <c r="R4303" s="89"/>
      <c r="U4303" s="11" t="str">
        <f t="shared" si="352"/>
        <v/>
      </c>
      <c r="V4303" s="12" t="str">
        <f t="shared" si="353"/>
        <v/>
      </c>
      <c r="Z4303" s="15"/>
    </row>
    <row r="4304" spans="1:26" x14ac:dyDescent="0.25">
      <c r="A4304" s="15" t="str">
        <f>IF(C4304="","",COUNTA($C$3:C4304))</f>
        <v/>
      </c>
      <c r="B4304" s="15" t="str">
        <f t="shared" si="354"/>
        <v/>
      </c>
      <c r="M4304" s="9"/>
      <c r="N4304" s="9"/>
      <c r="P4304" s="14"/>
      <c r="Q4304" s="85"/>
      <c r="R4304" s="89"/>
      <c r="U4304" s="11" t="str">
        <f t="shared" si="352"/>
        <v/>
      </c>
      <c r="V4304" s="12" t="str">
        <f t="shared" si="353"/>
        <v/>
      </c>
      <c r="Z4304" s="15"/>
    </row>
    <row r="4305" spans="1:26" x14ac:dyDescent="0.25">
      <c r="A4305" s="15" t="str">
        <f>IF(C4305="","",COUNTA($C$3:C4305))</f>
        <v/>
      </c>
      <c r="B4305" s="15" t="str">
        <f t="shared" si="354"/>
        <v/>
      </c>
      <c r="M4305" s="9"/>
      <c r="N4305" s="9"/>
      <c r="P4305" s="14"/>
      <c r="Q4305" s="85"/>
      <c r="R4305" s="89"/>
      <c r="U4305" s="11" t="str">
        <f t="shared" si="352"/>
        <v/>
      </c>
      <c r="V4305" s="12" t="str">
        <f t="shared" si="353"/>
        <v/>
      </c>
      <c r="Z4305" s="15"/>
    </row>
    <row r="4306" spans="1:26" x14ac:dyDescent="0.25">
      <c r="A4306" s="15" t="str">
        <f>IF(C4306="","",COUNTA($C$3:C4306))</f>
        <v/>
      </c>
      <c r="B4306" s="15" t="str">
        <f t="shared" si="354"/>
        <v/>
      </c>
      <c r="M4306" s="9"/>
      <c r="N4306" s="9"/>
      <c r="P4306" s="14"/>
      <c r="Q4306" s="85"/>
      <c r="R4306" s="89"/>
      <c r="U4306" s="11" t="str">
        <f t="shared" si="352"/>
        <v/>
      </c>
      <c r="V4306" s="12" t="str">
        <f t="shared" si="353"/>
        <v/>
      </c>
      <c r="Z4306" s="15"/>
    </row>
    <row r="4307" spans="1:26" x14ac:dyDescent="0.25">
      <c r="A4307" s="15" t="str">
        <f>IF(C4307="","",COUNTA($C$3:C4307))</f>
        <v/>
      </c>
      <c r="B4307" s="15" t="str">
        <f t="shared" si="354"/>
        <v/>
      </c>
      <c r="M4307" s="9"/>
      <c r="N4307" s="9"/>
      <c r="P4307" s="14"/>
      <c r="Q4307" s="85"/>
      <c r="R4307" s="89"/>
      <c r="U4307" s="11" t="str">
        <f t="shared" si="352"/>
        <v/>
      </c>
      <c r="V4307" s="12" t="str">
        <f t="shared" si="353"/>
        <v/>
      </c>
      <c r="Z4307" s="15"/>
    </row>
    <row r="4308" spans="1:26" x14ac:dyDescent="0.25">
      <c r="A4308" s="15" t="str">
        <f>IF(C4308="","",COUNTA($C$3:C4308))</f>
        <v/>
      </c>
      <c r="B4308" s="15" t="str">
        <f t="shared" si="354"/>
        <v/>
      </c>
      <c r="M4308" s="9"/>
      <c r="N4308" s="9"/>
      <c r="P4308" s="14"/>
      <c r="Q4308" s="85"/>
      <c r="R4308" s="89"/>
      <c r="U4308" s="11" t="str">
        <f t="shared" si="352"/>
        <v/>
      </c>
      <c r="V4308" s="12" t="str">
        <f t="shared" si="353"/>
        <v/>
      </c>
      <c r="Z4308" s="15"/>
    </row>
    <row r="4309" spans="1:26" x14ac:dyDescent="0.25">
      <c r="A4309" s="15" t="str">
        <f>IF(C4309="","",COUNTA($C$3:C4309))</f>
        <v/>
      </c>
      <c r="B4309" s="15" t="str">
        <f t="shared" si="354"/>
        <v/>
      </c>
      <c r="M4309" s="9"/>
      <c r="N4309" s="9"/>
      <c r="P4309" s="14"/>
      <c r="Q4309" s="85"/>
      <c r="R4309" s="89"/>
      <c r="U4309" s="11" t="str">
        <f t="shared" si="352"/>
        <v/>
      </c>
      <c r="V4309" s="12" t="str">
        <f t="shared" si="353"/>
        <v/>
      </c>
      <c r="Z4309" s="15"/>
    </row>
    <row r="4310" spans="1:26" x14ac:dyDescent="0.25">
      <c r="A4310" s="15" t="str">
        <f>IF(C4310="","",COUNTA($C$3:C4310))</f>
        <v/>
      </c>
      <c r="B4310" s="15" t="str">
        <f t="shared" si="354"/>
        <v/>
      </c>
      <c r="M4310" s="9"/>
      <c r="N4310" s="9"/>
      <c r="P4310" s="14"/>
      <c r="Q4310" s="85"/>
      <c r="R4310" s="89"/>
      <c r="U4310" s="11" t="str">
        <f t="shared" si="352"/>
        <v/>
      </c>
      <c r="V4310" s="12" t="str">
        <f t="shared" si="353"/>
        <v/>
      </c>
      <c r="Z4310" s="15"/>
    </row>
    <row r="4311" spans="1:26" x14ac:dyDescent="0.25">
      <c r="A4311" s="15" t="str">
        <f>IF(C4311="","",COUNTA($C$3:C4311))</f>
        <v/>
      </c>
      <c r="B4311" s="15" t="str">
        <f t="shared" si="354"/>
        <v/>
      </c>
      <c r="M4311" s="9"/>
      <c r="N4311" s="9"/>
      <c r="P4311" s="14"/>
      <c r="Q4311" s="85"/>
      <c r="R4311" s="89"/>
      <c r="U4311" s="11" t="str">
        <f t="shared" si="352"/>
        <v/>
      </c>
      <c r="V4311" s="12" t="str">
        <f t="shared" si="353"/>
        <v/>
      </c>
      <c r="Z4311" s="15"/>
    </row>
    <row r="4312" spans="1:26" x14ac:dyDescent="0.25">
      <c r="A4312" s="15" t="str">
        <f>IF(C4312="","",COUNTA($C$3:C4312))</f>
        <v/>
      </c>
      <c r="B4312" s="15" t="str">
        <f t="shared" si="354"/>
        <v/>
      </c>
      <c r="M4312" s="9"/>
      <c r="N4312" s="9"/>
      <c r="P4312" s="14"/>
      <c r="Q4312" s="85"/>
      <c r="R4312" s="89"/>
      <c r="U4312" s="11" t="str">
        <f t="shared" si="352"/>
        <v/>
      </c>
      <c r="V4312" s="12" t="str">
        <f t="shared" si="353"/>
        <v/>
      </c>
      <c r="Z4312" s="15"/>
    </row>
    <row r="4313" spans="1:26" x14ac:dyDescent="0.25">
      <c r="A4313" s="15" t="str">
        <f>IF(C4313="","",COUNTA($C$3:C4313))</f>
        <v/>
      </c>
      <c r="B4313" s="15" t="str">
        <f t="shared" si="354"/>
        <v/>
      </c>
      <c r="M4313" s="9"/>
      <c r="N4313" s="9"/>
      <c r="P4313" s="14"/>
      <c r="Q4313" s="85"/>
      <c r="R4313" s="89"/>
      <c r="U4313" s="11" t="str">
        <f t="shared" si="352"/>
        <v/>
      </c>
      <c r="V4313" s="12" t="str">
        <f t="shared" si="353"/>
        <v/>
      </c>
      <c r="Z4313" s="15"/>
    </row>
    <row r="4314" spans="1:26" x14ac:dyDescent="0.25">
      <c r="A4314" s="15" t="str">
        <f>IF(C4314="","",COUNTA($C$3:C4314))</f>
        <v/>
      </c>
      <c r="B4314" s="15" t="str">
        <f t="shared" si="354"/>
        <v/>
      </c>
      <c r="M4314" s="9"/>
      <c r="N4314" s="9"/>
      <c r="P4314" s="14"/>
      <c r="Q4314" s="85"/>
      <c r="R4314" s="89"/>
      <c r="U4314" s="11" t="str">
        <f t="shared" si="352"/>
        <v/>
      </c>
      <c r="V4314" s="12" t="str">
        <f t="shared" si="353"/>
        <v/>
      </c>
      <c r="Z4314" s="15"/>
    </row>
    <row r="4315" spans="1:26" x14ac:dyDescent="0.25">
      <c r="A4315" s="15" t="str">
        <f>IF(C4315="","",COUNTA($C$3:C4315))</f>
        <v/>
      </c>
      <c r="B4315" s="15" t="str">
        <f t="shared" si="354"/>
        <v/>
      </c>
      <c r="M4315" s="9"/>
      <c r="N4315" s="9"/>
      <c r="P4315" s="14"/>
      <c r="Q4315" s="85"/>
      <c r="R4315" s="89"/>
      <c r="U4315" s="11" t="str">
        <f t="shared" si="352"/>
        <v/>
      </c>
      <c r="V4315" s="12" t="str">
        <f t="shared" si="353"/>
        <v/>
      </c>
      <c r="Z4315" s="15"/>
    </row>
    <row r="4316" spans="1:26" x14ac:dyDescent="0.25">
      <c r="A4316" s="15" t="str">
        <f>IF(C4316="","",COUNTA($C$3:C4316))</f>
        <v/>
      </c>
      <c r="B4316" s="15" t="str">
        <f t="shared" si="354"/>
        <v/>
      </c>
      <c r="M4316" s="9"/>
      <c r="N4316" s="9"/>
      <c r="P4316" s="14"/>
      <c r="Q4316" s="85"/>
      <c r="R4316" s="89"/>
      <c r="U4316" s="11" t="str">
        <f t="shared" si="352"/>
        <v/>
      </c>
      <c r="V4316" s="12" t="str">
        <f t="shared" si="353"/>
        <v/>
      </c>
      <c r="Z4316" s="15"/>
    </row>
    <row r="4317" spans="1:26" x14ac:dyDescent="0.25">
      <c r="A4317" s="15" t="str">
        <f>IF(C4317="","",COUNTA($C$3:C4317))</f>
        <v/>
      </c>
      <c r="B4317" s="15" t="str">
        <f t="shared" si="354"/>
        <v/>
      </c>
      <c r="M4317" s="9"/>
      <c r="N4317" s="9"/>
      <c r="P4317" s="14"/>
      <c r="Q4317" s="85"/>
      <c r="R4317" s="89"/>
      <c r="U4317" s="11" t="str">
        <f t="shared" si="352"/>
        <v/>
      </c>
      <c r="V4317" s="12" t="str">
        <f t="shared" si="353"/>
        <v/>
      </c>
      <c r="Z4317" s="15"/>
    </row>
    <row r="4318" spans="1:26" x14ac:dyDescent="0.25">
      <c r="A4318" s="15" t="str">
        <f>IF(C4318="","",COUNTA($C$3:C4318))</f>
        <v/>
      </c>
      <c r="B4318" s="15" t="str">
        <f t="shared" si="354"/>
        <v/>
      </c>
      <c r="M4318" s="9"/>
      <c r="N4318" s="9"/>
      <c r="P4318" s="14"/>
      <c r="Q4318" s="85"/>
      <c r="R4318" s="89"/>
      <c r="U4318" s="11" t="str">
        <f t="shared" si="352"/>
        <v/>
      </c>
      <c r="V4318" s="12" t="str">
        <f t="shared" si="353"/>
        <v/>
      </c>
      <c r="Z4318" s="15"/>
    </row>
    <row r="4319" spans="1:26" x14ac:dyDescent="0.25">
      <c r="A4319" s="15" t="str">
        <f>IF(C4319="","",COUNTA($C$3:C4319))</f>
        <v/>
      </c>
      <c r="B4319" s="15" t="str">
        <f t="shared" si="354"/>
        <v/>
      </c>
      <c r="M4319" s="9"/>
      <c r="N4319" s="9"/>
      <c r="P4319" s="14"/>
      <c r="Q4319" s="85"/>
      <c r="R4319" s="89"/>
      <c r="U4319" s="11" t="str">
        <f t="shared" si="352"/>
        <v/>
      </c>
      <c r="V4319" s="12" t="str">
        <f t="shared" si="353"/>
        <v/>
      </c>
      <c r="Z4319" s="15"/>
    </row>
    <row r="4320" spans="1:26" x14ac:dyDescent="0.25">
      <c r="A4320" s="15" t="str">
        <f>IF(C4320="","",COUNTA($C$3:C4320))</f>
        <v/>
      </c>
      <c r="B4320" s="15" t="str">
        <f t="shared" si="354"/>
        <v/>
      </c>
      <c r="M4320" s="9"/>
      <c r="N4320" s="9"/>
      <c r="P4320" s="14"/>
      <c r="Q4320" s="85"/>
      <c r="R4320" s="89"/>
      <c r="U4320" s="11" t="str">
        <f t="shared" si="352"/>
        <v/>
      </c>
      <c r="V4320" s="12" t="str">
        <f t="shared" si="353"/>
        <v/>
      </c>
      <c r="Z4320" s="15"/>
    </row>
    <row r="4321" spans="1:26" x14ac:dyDescent="0.25">
      <c r="A4321" s="15" t="str">
        <f>IF(C4321="","",COUNTA($C$3:C4321))</f>
        <v/>
      </c>
      <c r="B4321" s="15" t="str">
        <f t="shared" si="354"/>
        <v/>
      </c>
      <c r="M4321" s="9"/>
      <c r="N4321" s="9"/>
      <c r="P4321" s="14"/>
      <c r="Q4321" s="85"/>
      <c r="R4321" s="89"/>
      <c r="U4321" s="11" t="str">
        <f t="shared" si="352"/>
        <v/>
      </c>
      <c r="V4321" s="12" t="str">
        <f t="shared" si="353"/>
        <v/>
      </c>
      <c r="Z4321" s="15"/>
    </row>
    <row r="4322" spans="1:26" x14ac:dyDescent="0.25">
      <c r="A4322" s="15" t="str">
        <f>IF(C4322="","",COUNTA($C$3:C4322))</f>
        <v/>
      </c>
      <c r="B4322" s="15" t="str">
        <f t="shared" si="354"/>
        <v/>
      </c>
      <c r="M4322" s="9"/>
      <c r="N4322" s="9"/>
      <c r="P4322" s="14"/>
      <c r="Q4322" s="85"/>
      <c r="R4322" s="89"/>
      <c r="U4322" s="11" t="str">
        <f t="shared" si="352"/>
        <v/>
      </c>
      <c r="V4322" s="12" t="str">
        <f t="shared" si="353"/>
        <v/>
      </c>
      <c r="Z4322" s="15"/>
    </row>
    <row r="4323" spans="1:26" x14ac:dyDescent="0.25">
      <c r="A4323" s="15" t="str">
        <f>IF(C4323="","",COUNTA($C$3:C4323))</f>
        <v/>
      </c>
      <c r="B4323" s="15" t="str">
        <f t="shared" si="354"/>
        <v/>
      </c>
      <c r="M4323" s="9"/>
      <c r="N4323" s="9"/>
      <c r="P4323" s="14"/>
      <c r="Q4323" s="85"/>
      <c r="R4323" s="89"/>
      <c r="U4323" s="11" t="str">
        <f t="shared" si="352"/>
        <v/>
      </c>
      <c r="V4323" s="12" t="str">
        <f t="shared" si="353"/>
        <v/>
      </c>
      <c r="Z4323" s="15"/>
    </row>
    <row r="4324" spans="1:26" x14ac:dyDescent="0.25">
      <c r="A4324" s="15" t="str">
        <f>IF(C4324="","",COUNTA($C$3:C4324))</f>
        <v/>
      </c>
      <c r="B4324" s="15" t="str">
        <f t="shared" si="354"/>
        <v/>
      </c>
      <c r="M4324" s="9"/>
      <c r="N4324" s="9"/>
      <c r="P4324" s="14"/>
      <c r="Q4324" s="85"/>
      <c r="R4324" s="89"/>
      <c r="U4324" s="11" t="str">
        <f t="shared" si="352"/>
        <v/>
      </c>
      <c r="V4324" s="12" t="str">
        <f t="shared" si="353"/>
        <v/>
      </c>
      <c r="Z4324" s="15"/>
    </row>
    <row r="4325" spans="1:26" x14ac:dyDescent="0.25">
      <c r="A4325" s="15" t="str">
        <f>IF(C4325="","",COUNTA($C$3:C4325))</f>
        <v/>
      </c>
      <c r="B4325" s="15" t="str">
        <f t="shared" si="354"/>
        <v/>
      </c>
      <c r="M4325" s="9"/>
      <c r="N4325" s="9"/>
      <c r="P4325" s="14"/>
      <c r="Q4325" s="85"/>
      <c r="R4325" s="89"/>
      <c r="U4325" s="11" t="str">
        <f t="shared" si="352"/>
        <v/>
      </c>
      <c r="V4325" s="12" t="str">
        <f t="shared" si="353"/>
        <v/>
      </c>
      <c r="Z4325" s="15"/>
    </row>
    <row r="4326" spans="1:26" x14ac:dyDescent="0.25">
      <c r="A4326" s="15" t="str">
        <f>IF(C4326="","",COUNTA($C$3:C4326))</f>
        <v/>
      </c>
      <c r="B4326" s="15" t="str">
        <f t="shared" si="354"/>
        <v/>
      </c>
      <c r="M4326" s="9"/>
      <c r="N4326" s="9"/>
      <c r="P4326" s="14"/>
      <c r="Q4326" s="85"/>
      <c r="R4326" s="89"/>
      <c r="U4326" s="11" t="str">
        <f t="shared" si="352"/>
        <v/>
      </c>
      <c r="V4326" s="12" t="str">
        <f t="shared" si="353"/>
        <v/>
      </c>
      <c r="Z4326" s="15"/>
    </row>
    <row r="4327" spans="1:26" x14ac:dyDescent="0.25">
      <c r="A4327" s="15" t="str">
        <f>IF(C4327="","",COUNTA($C$3:C4327))</f>
        <v/>
      </c>
      <c r="B4327" s="15" t="str">
        <f t="shared" si="354"/>
        <v/>
      </c>
      <c r="M4327" s="9"/>
      <c r="N4327" s="9"/>
      <c r="P4327" s="14"/>
      <c r="Q4327" s="85"/>
      <c r="R4327" s="89"/>
      <c r="U4327" s="11" t="str">
        <f t="shared" si="352"/>
        <v/>
      </c>
      <c r="V4327" s="12" t="str">
        <f t="shared" si="353"/>
        <v/>
      </c>
      <c r="Z4327" s="15"/>
    </row>
    <row r="4328" spans="1:26" x14ac:dyDescent="0.25">
      <c r="A4328" s="15" t="str">
        <f>IF(C4328="","",COUNTA($C$3:C4328))</f>
        <v/>
      </c>
      <c r="B4328" s="15" t="str">
        <f t="shared" si="354"/>
        <v/>
      </c>
      <c r="M4328" s="9"/>
      <c r="N4328" s="9"/>
      <c r="P4328" s="14"/>
      <c r="Q4328" s="85"/>
      <c r="R4328" s="89"/>
      <c r="U4328" s="11" t="str">
        <f t="shared" si="352"/>
        <v/>
      </c>
      <c r="V4328" s="12" t="str">
        <f t="shared" si="353"/>
        <v/>
      </c>
      <c r="Z4328" s="15"/>
    </row>
    <row r="4329" spans="1:26" x14ac:dyDescent="0.25">
      <c r="A4329" s="15" t="str">
        <f>IF(C4329="","",COUNTA($C$3:C4329))</f>
        <v/>
      </c>
      <c r="B4329" s="15" t="str">
        <f t="shared" si="354"/>
        <v/>
      </c>
      <c r="M4329" s="9"/>
      <c r="N4329" s="9"/>
      <c r="P4329" s="14"/>
      <c r="Q4329" s="85"/>
      <c r="R4329" s="89"/>
      <c r="U4329" s="11" t="str">
        <f t="shared" si="352"/>
        <v/>
      </c>
      <c r="V4329" s="12" t="str">
        <f t="shared" si="353"/>
        <v/>
      </c>
      <c r="Z4329" s="15"/>
    </row>
    <row r="4330" spans="1:26" x14ac:dyDescent="0.25">
      <c r="A4330" s="15" t="str">
        <f>IF(C4330="","",COUNTA($C$3:C4330))</f>
        <v/>
      </c>
      <c r="B4330" s="15" t="str">
        <f t="shared" si="354"/>
        <v/>
      </c>
      <c r="M4330" s="9"/>
      <c r="N4330" s="9"/>
      <c r="P4330" s="14"/>
      <c r="Q4330" s="85"/>
      <c r="R4330" s="89"/>
      <c r="U4330" s="11" t="str">
        <f t="shared" si="352"/>
        <v/>
      </c>
      <c r="V4330" s="12" t="str">
        <f t="shared" si="353"/>
        <v/>
      </c>
      <c r="Z4330" s="15"/>
    </row>
    <row r="4331" spans="1:26" x14ac:dyDescent="0.25">
      <c r="A4331" s="15" t="str">
        <f>IF(C4331="","",COUNTA($C$3:C4331))</f>
        <v/>
      </c>
      <c r="B4331" s="15" t="str">
        <f t="shared" si="354"/>
        <v/>
      </c>
      <c r="M4331" s="9"/>
      <c r="N4331" s="9"/>
      <c r="P4331" s="14"/>
      <c r="Q4331" s="85"/>
      <c r="R4331" s="89"/>
      <c r="U4331" s="11" t="str">
        <f t="shared" si="352"/>
        <v/>
      </c>
      <c r="V4331" s="12" t="str">
        <f t="shared" si="353"/>
        <v/>
      </c>
      <c r="Z4331" s="15"/>
    </row>
    <row r="4332" spans="1:26" x14ac:dyDescent="0.25">
      <c r="A4332" s="15" t="str">
        <f>IF(C4332="","",COUNTA($C$3:C4332))</f>
        <v/>
      </c>
      <c r="B4332" s="15" t="str">
        <f t="shared" si="354"/>
        <v/>
      </c>
      <c r="M4332" s="9"/>
      <c r="N4332" s="9"/>
      <c r="P4332" s="14"/>
      <c r="Q4332" s="85"/>
      <c r="R4332" s="89"/>
      <c r="U4332" s="11" t="str">
        <f t="shared" si="352"/>
        <v/>
      </c>
      <c r="V4332" s="12" t="str">
        <f t="shared" si="353"/>
        <v/>
      </c>
      <c r="Z4332" s="15"/>
    </row>
    <row r="4333" spans="1:26" x14ac:dyDescent="0.25">
      <c r="A4333" s="15" t="str">
        <f>IF(C4333="","",COUNTA($C$3:C4333))</f>
        <v/>
      </c>
      <c r="B4333" s="15" t="str">
        <f t="shared" si="354"/>
        <v/>
      </c>
      <c r="M4333" s="9"/>
      <c r="N4333" s="9"/>
      <c r="P4333" s="14"/>
      <c r="Q4333" s="85"/>
      <c r="R4333" s="89"/>
      <c r="U4333" s="11" t="str">
        <f t="shared" si="352"/>
        <v/>
      </c>
      <c r="V4333" s="12" t="str">
        <f t="shared" si="353"/>
        <v/>
      </c>
      <c r="Z4333" s="15"/>
    </row>
    <row r="4334" spans="1:26" x14ac:dyDescent="0.25">
      <c r="A4334" s="15" t="str">
        <f>IF(C4334="","",COUNTA($C$3:C4334))</f>
        <v/>
      </c>
      <c r="B4334" s="15" t="str">
        <f t="shared" si="354"/>
        <v/>
      </c>
      <c r="M4334" s="9"/>
      <c r="N4334" s="9"/>
      <c r="P4334" s="14"/>
      <c r="Q4334" s="85"/>
      <c r="R4334" s="89"/>
      <c r="U4334" s="11" t="str">
        <f t="shared" si="352"/>
        <v/>
      </c>
      <c r="V4334" s="12" t="str">
        <f t="shared" si="353"/>
        <v/>
      </c>
      <c r="Z4334" s="15"/>
    </row>
    <row r="4335" spans="1:26" x14ac:dyDescent="0.25">
      <c r="A4335" s="15" t="str">
        <f>IF(C4335="","",COUNTA($C$3:C4335))</f>
        <v/>
      </c>
      <c r="B4335" s="15" t="str">
        <f t="shared" si="354"/>
        <v/>
      </c>
      <c r="M4335" s="9"/>
      <c r="N4335" s="9"/>
      <c r="P4335" s="14"/>
      <c r="Q4335" s="85"/>
      <c r="R4335" s="89"/>
      <c r="U4335" s="11" t="str">
        <f t="shared" si="352"/>
        <v/>
      </c>
      <c r="V4335" s="12" t="str">
        <f t="shared" si="353"/>
        <v/>
      </c>
      <c r="Z4335" s="15"/>
    </row>
    <row r="4336" spans="1:26" x14ac:dyDescent="0.25">
      <c r="A4336" s="15" t="str">
        <f>IF(C4336="","",COUNTA($C$3:C4336))</f>
        <v/>
      </c>
      <c r="B4336" s="15" t="str">
        <f t="shared" si="354"/>
        <v/>
      </c>
      <c r="M4336" s="9"/>
      <c r="N4336" s="9"/>
      <c r="P4336" s="14"/>
      <c r="Q4336" s="85"/>
      <c r="R4336" s="89"/>
      <c r="U4336" s="11" t="str">
        <f t="shared" si="352"/>
        <v/>
      </c>
      <c r="V4336" s="12" t="str">
        <f t="shared" si="353"/>
        <v/>
      </c>
      <c r="Z4336" s="15"/>
    </row>
    <row r="4337" spans="1:26" x14ac:dyDescent="0.25">
      <c r="A4337" s="15" t="str">
        <f>IF(C4337="","",COUNTA($C$3:C4337))</f>
        <v/>
      </c>
      <c r="B4337" s="15" t="str">
        <f t="shared" si="354"/>
        <v/>
      </c>
      <c r="M4337" s="9"/>
      <c r="N4337" s="9"/>
      <c r="P4337" s="14"/>
      <c r="Q4337" s="85"/>
      <c r="R4337" s="89"/>
      <c r="U4337" s="11" t="str">
        <f t="shared" si="352"/>
        <v/>
      </c>
      <c r="V4337" s="12" t="str">
        <f t="shared" si="353"/>
        <v/>
      </c>
      <c r="Z4337" s="15"/>
    </row>
    <row r="4338" spans="1:26" x14ac:dyDescent="0.25">
      <c r="A4338" s="15" t="str">
        <f>IF(C4338="","",COUNTA($C$3:C4338))</f>
        <v/>
      </c>
      <c r="B4338" s="15" t="str">
        <f t="shared" si="354"/>
        <v/>
      </c>
      <c r="M4338" s="9"/>
      <c r="N4338" s="9"/>
      <c r="P4338" s="14"/>
      <c r="Q4338" s="85"/>
      <c r="R4338" s="89"/>
      <c r="U4338" s="11" t="str">
        <f t="shared" si="352"/>
        <v/>
      </c>
      <c r="V4338" s="12" t="str">
        <f t="shared" si="353"/>
        <v/>
      </c>
      <c r="Z4338" s="15"/>
    </row>
    <row r="4339" spans="1:26" x14ac:dyDescent="0.25">
      <c r="A4339" s="15" t="str">
        <f>IF(C4339="","",COUNTA($C$3:C4339))</f>
        <v/>
      </c>
      <c r="B4339" s="15" t="str">
        <f t="shared" si="354"/>
        <v/>
      </c>
      <c r="M4339" s="9"/>
      <c r="N4339" s="9"/>
      <c r="P4339" s="14"/>
      <c r="Q4339" s="85"/>
      <c r="R4339" s="89"/>
      <c r="U4339" s="11" t="str">
        <f t="shared" si="352"/>
        <v/>
      </c>
      <c r="V4339" s="12" t="str">
        <f t="shared" si="353"/>
        <v/>
      </c>
      <c r="Z4339" s="15"/>
    </row>
    <row r="4340" spans="1:26" x14ac:dyDescent="0.25">
      <c r="A4340" s="15" t="str">
        <f>IF(C4340="","",COUNTA($C$3:C4340))</f>
        <v/>
      </c>
      <c r="B4340" s="15" t="str">
        <f t="shared" si="354"/>
        <v/>
      </c>
      <c r="M4340" s="9"/>
      <c r="N4340" s="9"/>
      <c r="P4340" s="14"/>
      <c r="Q4340" s="85"/>
      <c r="R4340" s="89"/>
      <c r="U4340" s="11" t="str">
        <f t="shared" si="352"/>
        <v/>
      </c>
      <c r="V4340" s="12" t="str">
        <f t="shared" si="353"/>
        <v/>
      </c>
      <c r="Z4340" s="15"/>
    </row>
    <row r="4341" spans="1:26" x14ac:dyDescent="0.25">
      <c r="A4341" s="15" t="str">
        <f>IF(C4341="","",COUNTA($C$3:C4341))</f>
        <v/>
      </c>
      <c r="B4341" s="15" t="str">
        <f t="shared" si="354"/>
        <v/>
      </c>
      <c r="M4341" s="9"/>
      <c r="N4341" s="9"/>
      <c r="P4341" s="14"/>
      <c r="Q4341" s="85"/>
      <c r="R4341" s="89"/>
      <c r="U4341" s="11" t="str">
        <f t="shared" si="352"/>
        <v/>
      </c>
      <c r="V4341" s="12" t="str">
        <f t="shared" si="353"/>
        <v/>
      </c>
      <c r="Z4341" s="15"/>
    </row>
    <row r="4342" spans="1:26" x14ac:dyDescent="0.25">
      <c r="A4342" s="15" t="str">
        <f>IF(C4342="","",COUNTA($C$3:C4342))</f>
        <v/>
      </c>
      <c r="B4342" s="15" t="str">
        <f t="shared" si="354"/>
        <v/>
      </c>
      <c r="M4342" s="9"/>
      <c r="N4342" s="9"/>
      <c r="P4342" s="14"/>
      <c r="Q4342" s="85"/>
      <c r="R4342" s="89"/>
      <c r="U4342" s="11" t="str">
        <f t="shared" si="352"/>
        <v/>
      </c>
      <c r="V4342" s="12" t="str">
        <f t="shared" si="353"/>
        <v/>
      </c>
      <c r="Z4342" s="15"/>
    </row>
    <row r="4343" spans="1:26" x14ac:dyDescent="0.25">
      <c r="A4343" s="15" t="str">
        <f>IF(C4343="","",COUNTA($C$3:C4343))</f>
        <v/>
      </c>
      <c r="B4343" s="15" t="str">
        <f t="shared" si="354"/>
        <v/>
      </c>
      <c r="M4343" s="9"/>
      <c r="N4343" s="9"/>
      <c r="P4343" s="14"/>
      <c r="Q4343" s="85"/>
      <c r="R4343" s="89"/>
      <c r="U4343" s="11" t="str">
        <f t="shared" si="352"/>
        <v/>
      </c>
      <c r="V4343" s="12" t="str">
        <f t="shared" si="353"/>
        <v/>
      </c>
      <c r="Z4343" s="15"/>
    </row>
    <row r="4344" spans="1:26" x14ac:dyDescent="0.25">
      <c r="A4344" s="15" t="str">
        <f>IF(C4344="","",COUNTA($C$3:C4344))</f>
        <v/>
      </c>
      <c r="B4344" s="15" t="str">
        <f t="shared" si="354"/>
        <v/>
      </c>
      <c r="M4344" s="9"/>
      <c r="N4344" s="9"/>
      <c r="P4344" s="14"/>
      <c r="Q4344" s="85"/>
      <c r="R4344" s="89"/>
      <c r="U4344" s="11" t="str">
        <f t="shared" si="352"/>
        <v/>
      </c>
      <c r="V4344" s="12" t="str">
        <f t="shared" si="353"/>
        <v/>
      </c>
      <c r="Z4344" s="15"/>
    </row>
    <row r="4345" spans="1:26" x14ac:dyDescent="0.25">
      <c r="A4345" s="15" t="str">
        <f>IF(C4345="","",COUNTA($C$3:C4345))</f>
        <v/>
      </c>
      <c r="B4345" s="15" t="str">
        <f t="shared" si="354"/>
        <v/>
      </c>
      <c r="M4345" s="9"/>
      <c r="N4345" s="9"/>
      <c r="P4345" s="14"/>
      <c r="Q4345" s="85"/>
      <c r="R4345" s="89"/>
      <c r="U4345" s="11" t="str">
        <f t="shared" si="352"/>
        <v/>
      </c>
      <c r="V4345" s="12" t="str">
        <f t="shared" si="353"/>
        <v/>
      </c>
      <c r="Z4345" s="15"/>
    </row>
    <row r="4346" spans="1:26" x14ac:dyDescent="0.25">
      <c r="A4346" s="15" t="str">
        <f>IF(C4346="","",COUNTA($C$3:C4346))</f>
        <v/>
      </c>
      <c r="B4346" s="15" t="str">
        <f t="shared" si="354"/>
        <v/>
      </c>
      <c r="M4346" s="9"/>
      <c r="N4346" s="9"/>
      <c r="P4346" s="14"/>
      <c r="Q4346" s="85"/>
      <c r="R4346" s="89"/>
      <c r="U4346" s="11" t="str">
        <f t="shared" si="352"/>
        <v/>
      </c>
      <c r="V4346" s="12" t="str">
        <f t="shared" si="353"/>
        <v/>
      </c>
      <c r="Z4346" s="15"/>
    </row>
    <row r="4347" spans="1:26" x14ac:dyDescent="0.25">
      <c r="A4347" s="15" t="str">
        <f>IF(C4347="","",COUNTA($C$3:C4347))</f>
        <v/>
      </c>
      <c r="B4347" s="15" t="str">
        <f t="shared" si="354"/>
        <v/>
      </c>
      <c r="M4347" s="9"/>
      <c r="N4347" s="9"/>
      <c r="P4347" s="14"/>
      <c r="Q4347" s="85"/>
      <c r="R4347" s="89"/>
      <c r="U4347" s="11" t="str">
        <f t="shared" si="352"/>
        <v/>
      </c>
      <c r="V4347" s="12" t="str">
        <f t="shared" si="353"/>
        <v/>
      </c>
      <c r="Z4347" s="15"/>
    </row>
    <row r="4348" spans="1:26" x14ac:dyDescent="0.25">
      <c r="A4348" s="15" t="str">
        <f>IF(C4348="","",COUNTA($C$3:C4348))</f>
        <v/>
      </c>
      <c r="B4348" s="15" t="str">
        <f t="shared" si="354"/>
        <v/>
      </c>
      <c r="M4348" s="9"/>
      <c r="N4348" s="9"/>
      <c r="P4348" s="14"/>
      <c r="Q4348" s="85"/>
      <c r="R4348" s="89"/>
      <c r="U4348" s="11" t="str">
        <f t="shared" si="352"/>
        <v/>
      </c>
      <c r="V4348" s="12" t="str">
        <f t="shared" si="353"/>
        <v/>
      </c>
      <c r="Z4348" s="15"/>
    </row>
    <row r="4349" spans="1:26" x14ac:dyDescent="0.25">
      <c r="A4349" s="15" t="str">
        <f>IF(C4349="","",COUNTA($C$3:C4349))</f>
        <v/>
      </c>
      <c r="B4349" s="15" t="str">
        <f t="shared" si="354"/>
        <v/>
      </c>
      <c r="M4349" s="9"/>
      <c r="N4349" s="9"/>
      <c r="P4349" s="14"/>
      <c r="Q4349" s="85"/>
      <c r="R4349" s="89"/>
      <c r="U4349" s="11" t="str">
        <f t="shared" si="352"/>
        <v/>
      </c>
      <c r="V4349" s="12" t="str">
        <f t="shared" si="353"/>
        <v/>
      </c>
      <c r="Z4349" s="15"/>
    </row>
    <row r="4350" spans="1:26" x14ac:dyDescent="0.25">
      <c r="A4350" s="15" t="str">
        <f>IF(C4350="","",COUNTA($C$3:C4350))</f>
        <v/>
      </c>
      <c r="B4350" s="15" t="str">
        <f t="shared" si="354"/>
        <v/>
      </c>
      <c r="M4350" s="9"/>
      <c r="N4350" s="9"/>
      <c r="P4350" s="14"/>
      <c r="Q4350" s="85"/>
      <c r="R4350" s="89"/>
      <c r="U4350" s="11" t="str">
        <f t="shared" si="352"/>
        <v/>
      </c>
      <c r="V4350" s="12" t="str">
        <f t="shared" si="353"/>
        <v/>
      </c>
      <c r="Z4350" s="15"/>
    </row>
    <row r="4351" spans="1:26" x14ac:dyDescent="0.25">
      <c r="A4351" s="15" t="str">
        <f>IF(C4351="","",COUNTA($C$3:C4351))</f>
        <v/>
      </c>
      <c r="B4351" s="15" t="str">
        <f t="shared" si="354"/>
        <v/>
      </c>
      <c r="M4351" s="9"/>
      <c r="N4351" s="9"/>
      <c r="P4351" s="14"/>
      <c r="Q4351" s="85"/>
      <c r="R4351" s="89"/>
      <c r="U4351" s="11" t="str">
        <f t="shared" si="352"/>
        <v/>
      </c>
      <c r="V4351" s="12" t="str">
        <f t="shared" si="353"/>
        <v/>
      </c>
      <c r="Z4351" s="15"/>
    </row>
    <row r="4352" spans="1:26" x14ac:dyDescent="0.25">
      <c r="A4352" s="15" t="str">
        <f>IF(C4352="","",COUNTA($C$3:C4352))</f>
        <v/>
      </c>
      <c r="B4352" s="15" t="str">
        <f t="shared" si="354"/>
        <v/>
      </c>
      <c r="M4352" s="9"/>
      <c r="N4352" s="9"/>
      <c r="P4352" s="14"/>
      <c r="Q4352" s="85"/>
      <c r="R4352" s="89"/>
      <c r="U4352" s="11" t="str">
        <f t="shared" si="352"/>
        <v/>
      </c>
      <c r="V4352" s="12" t="str">
        <f t="shared" si="353"/>
        <v/>
      </c>
      <c r="Z4352" s="15"/>
    </row>
    <row r="4353" spans="1:26" x14ac:dyDescent="0.25">
      <c r="A4353" s="15" t="str">
        <f>IF(C4353="","",COUNTA($C$3:C4353))</f>
        <v/>
      </c>
      <c r="B4353" s="15" t="str">
        <f t="shared" si="354"/>
        <v/>
      </c>
      <c r="M4353" s="9"/>
      <c r="N4353" s="9"/>
      <c r="P4353" s="14"/>
      <c r="Q4353" s="85"/>
      <c r="R4353" s="89"/>
      <c r="U4353" s="11" t="str">
        <f t="shared" si="352"/>
        <v/>
      </c>
      <c r="V4353" s="12" t="str">
        <f t="shared" si="353"/>
        <v/>
      </c>
      <c r="Z4353" s="15"/>
    </row>
    <row r="4354" spans="1:26" x14ac:dyDescent="0.25">
      <c r="A4354" s="15" t="str">
        <f>IF(C4354="","",COUNTA($C$3:C4354))</f>
        <v/>
      </c>
      <c r="B4354" s="15" t="str">
        <f t="shared" si="354"/>
        <v/>
      </c>
      <c r="M4354" s="9"/>
      <c r="N4354" s="9"/>
      <c r="P4354" s="14"/>
      <c r="Q4354" s="85"/>
      <c r="R4354" s="89"/>
      <c r="U4354" s="11" t="str">
        <f t="shared" ref="U4354:U4417" si="355">IF(S4354="","",(S4354-T4354))</f>
        <v/>
      </c>
      <c r="V4354" s="12" t="str">
        <f t="shared" ref="V4354:V4417" si="356">IF(U4354="","",(U4354/T4354))</f>
        <v/>
      </c>
      <c r="Z4354" s="15"/>
    </row>
    <row r="4355" spans="1:26" x14ac:dyDescent="0.25">
      <c r="A4355" s="15" t="str">
        <f>IF(C4355="","",COUNTA($C$3:C4355))</f>
        <v/>
      </c>
      <c r="B4355" s="15" t="str">
        <f t="shared" ref="B4355:B4418" si="357">IF(C4355="","",TEXT(C4355,"mmmm"))</f>
        <v/>
      </c>
      <c r="M4355" s="9"/>
      <c r="N4355" s="9"/>
      <c r="P4355" s="14"/>
      <c r="Q4355" s="85"/>
      <c r="R4355" s="89"/>
      <c r="U4355" s="11" t="str">
        <f t="shared" si="355"/>
        <v/>
      </c>
      <c r="V4355" s="12" t="str">
        <f t="shared" si="356"/>
        <v/>
      </c>
      <c r="Z4355" s="15"/>
    </row>
    <row r="4356" spans="1:26" x14ac:dyDescent="0.25">
      <c r="A4356" s="15" t="str">
        <f>IF(C4356="","",COUNTA($C$3:C4356))</f>
        <v/>
      </c>
      <c r="B4356" s="15" t="str">
        <f t="shared" si="357"/>
        <v/>
      </c>
      <c r="M4356" s="9"/>
      <c r="N4356" s="9"/>
      <c r="P4356" s="14"/>
      <c r="Q4356" s="85"/>
      <c r="R4356" s="89"/>
      <c r="U4356" s="11" t="str">
        <f t="shared" si="355"/>
        <v/>
      </c>
      <c r="V4356" s="12" t="str">
        <f t="shared" si="356"/>
        <v/>
      </c>
      <c r="Z4356" s="15"/>
    </row>
    <row r="4357" spans="1:26" x14ac:dyDescent="0.25">
      <c r="A4357" s="15" t="str">
        <f>IF(C4357="","",COUNTA($C$3:C4357))</f>
        <v/>
      </c>
      <c r="B4357" s="15" t="str">
        <f t="shared" si="357"/>
        <v/>
      </c>
      <c r="M4357" s="9"/>
      <c r="N4357" s="9"/>
      <c r="P4357" s="14"/>
      <c r="Q4357" s="85"/>
      <c r="R4357" s="89"/>
      <c r="U4357" s="11" t="str">
        <f t="shared" si="355"/>
        <v/>
      </c>
      <c r="V4357" s="12" t="str">
        <f t="shared" si="356"/>
        <v/>
      </c>
      <c r="Z4357" s="15"/>
    </row>
    <row r="4358" spans="1:26" x14ac:dyDescent="0.25">
      <c r="A4358" s="15" t="str">
        <f>IF(C4358="","",COUNTA($C$3:C4358))</f>
        <v/>
      </c>
      <c r="B4358" s="15" t="str">
        <f t="shared" si="357"/>
        <v/>
      </c>
      <c r="M4358" s="9"/>
      <c r="N4358" s="9"/>
      <c r="P4358" s="14"/>
      <c r="Q4358" s="85"/>
      <c r="R4358" s="89"/>
      <c r="U4358" s="11" t="str">
        <f t="shared" si="355"/>
        <v/>
      </c>
      <c r="V4358" s="12" t="str">
        <f t="shared" si="356"/>
        <v/>
      </c>
      <c r="Z4358" s="15"/>
    </row>
    <row r="4359" spans="1:26" x14ac:dyDescent="0.25">
      <c r="A4359" s="15" t="str">
        <f>IF(C4359="","",COUNTA($C$3:C4359))</f>
        <v/>
      </c>
      <c r="B4359" s="15" t="str">
        <f t="shared" si="357"/>
        <v/>
      </c>
      <c r="M4359" s="9"/>
      <c r="N4359" s="9"/>
      <c r="P4359" s="14"/>
      <c r="Q4359" s="85"/>
      <c r="R4359" s="89"/>
      <c r="U4359" s="11" t="str">
        <f t="shared" si="355"/>
        <v/>
      </c>
      <c r="V4359" s="12" t="str">
        <f t="shared" si="356"/>
        <v/>
      </c>
      <c r="Z4359" s="15"/>
    </row>
    <row r="4360" spans="1:26" x14ac:dyDescent="0.25">
      <c r="A4360" s="15" t="str">
        <f>IF(C4360="","",COUNTA($C$3:C4360))</f>
        <v/>
      </c>
      <c r="B4360" s="15" t="str">
        <f t="shared" si="357"/>
        <v/>
      </c>
      <c r="M4360" s="9"/>
      <c r="N4360" s="9"/>
      <c r="P4360" s="14"/>
      <c r="Q4360" s="85"/>
      <c r="R4360" s="89"/>
      <c r="U4360" s="11" t="str">
        <f t="shared" si="355"/>
        <v/>
      </c>
      <c r="V4360" s="12" t="str">
        <f t="shared" si="356"/>
        <v/>
      </c>
      <c r="Z4360" s="15"/>
    </row>
    <row r="4361" spans="1:26" x14ac:dyDescent="0.25">
      <c r="A4361" s="15" t="str">
        <f>IF(C4361="","",COUNTA($C$3:C4361))</f>
        <v/>
      </c>
      <c r="B4361" s="15" t="str">
        <f t="shared" si="357"/>
        <v/>
      </c>
      <c r="M4361" s="9"/>
      <c r="N4361" s="9"/>
      <c r="P4361" s="14"/>
      <c r="Q4361" s="85"/>
      <c r="R4361" s="89"/>
      <c r="U4361" s="11" t="str">
        <f t="shared" si="355"/>
        <v/>
      </c>
      <c r="V4361" s="12" t="str">
        <f t="shared" si="356"/>
        <v/>
      </c>
      <c r="Z4361" s="15"/>
    </row>
    <row r="4362" spans="1:26" x14ac:dyDescent="0.25">
      <c r="A4362" s="15" t="str">
        <f>IF(C4362="","",COUNTA($C$3:C4362))</f>
        <v/>
      </c>
      <c r="B4362" s="15" t="str">
        <f t="shared" si="357"/>
        <v/>
      </c>
      <c r="M4362" s="9"/>
      <c r="N4362" s="9"/>
      <c r="P4362" s="14"/>
      <c r="Q4362" s="85"/>
      <c r="R4362" s="89"/>
      <c r="U4362" s="11" t="str">
        <f t="shared" si="355"/>
        <v/>
      </c>
      <c r="V4362" s="12" t="str">
        <f t="shared" si="356"/>
        <v/>
      </c>
      <c r="Z4362" s="15"/>
    </row>
    <row r="4363" spans="1:26" x14ac:dyDescent="0.25">
      <c r="A4363" s="15" t="str">
        <f>IF(C4363="","",COUNTA($C$3:C4363))</f>
        <v/>
      </c>
      <c r="B4363" s="15" t="str">
        <f t="shared" si="357"/>
        <v/>
      </c>
      <c r="M4363" s="9"/>
      <c r="N4363" s="9"/>
      <c r="P4363" s="14"/>
      <c r="Q4363" s="85"/>
      <c r="R4363" s="89"/>
      <c r="U4363" s="11" t="str">
        <f t="shared" si="355"/>
        <v/>
      </c>
      <c r="V4363" s="12" t="str">
        <f t="shared" si="356"/>
        <v/>
      </c>
      <c r="Z4363" s="15"/>
    </row>
    <row r="4364" spans="1:26" x14ac:dyDescent="0.25">
      <c r="A4364" s="15" t="str">
        <f>IF(C4364="","",COUNTA($C$3:C4364))</f>
        <v/>
      </c>
      <c r="B4364" s="15" t="str">
        <f t="shared" si="357"/>
        <v/>
      </c>
      <c r="M4364" s="9"/>
      <c r="N4364" s="9"/>
      <c r="P4364" s="14"/>
      <c r="Q4364" s="85"/>
      <c r="R4364" s="89"/>
      <c r="U4364" s="11" t="str">
        <f t="shared" si="355"/>
        <v/>
      </c>
      <c r="V4364" s="12" t="str">
        <f t="shared" si="356"/>
        <v/>
      </c>
      <c r="Z4364" s="15"/>
    </row>
    <row r="4365" spans="1:26" x14ac:dyDescent="0.25">
      <c r="A4365" s="15" t="str">
        <f>IF(C4365="","",COUNTA($C$3:C4365))</f>
        <v/>
      </c>
      <c r="B4365" s="15" t="str">
        <f t="shared" si="357"/>
        <v/>
      </c>
      <c r="M4365" s="9"/>
      <c r="N4365" s="9"/>
      <c r="P4365" s="14"/>
      <c r="Q4365" s="85"/>
      <c r="R4365" s="89"/>
      <c r="U4365" s="11" t="str">
        <f t="shared" si="355"/>
        <v/>
      </c>
      <c r="V4365" s="12" t="str">
        <f t="shared" si="356"/>
        <v/>
      </c>
      <c r="Z4365" s="15"/>
    </row>
    <row r="4366" spans="1:26" x14ac:dyDescent="0.25">
      <c r="A4366" s="15" t="str">
        <f>IF(C4366="","",COUNTA($C$3:C4366))</f>
        <v/>
      </c>
      <c r="B4366" s="15" t="str">
        <f t="shared" si="357"/>
        <v/>
      </c>
      <c r="M4366" s="9"/>
      <c r="N4366" s="9"/>
      <c r="P4366" s="14"/>
      <c r="Q4366" s="85"/>
      <c r="R4366" s="89"/>
      <c r="U4366" s="11" t="str">
        <f t="shared" si="355"/>
        <v/>
      </c>
      <c r="V4366" s="12" t="str">
        <f t="shared" si="356"/>
        <v/>
      </c>
      <c r="Z4366" s="15"/>
    </row>
    <row r="4367" spans="1:26" x14ac:dyDescent="0.25">
      <c r="A4367" s="15" t="str">
        <f>IF(C4367="","",COUNTA($C$3:C4367))</f>
        <v/>
      </c>
      <c r="B4367" s="15" t="str">
        <f t="shared" si="357"/>
        <v/>
      </c>
      <c r="M4367" s="9"/>
      <c r="N4367" s="9"/>
      <c r="P4367" s="14"/>
      <c r="Q4367" s="85"/>
      <c r="R4367" s="89"/>
      <c r="U4367" s="11" t="str">
        <f t="shared" si="355"/>
        <v/>
      </c>
      <c r="V4367" s="12" t="str">
        <f t="shared" si="356"/>
        <v/>
      </c>
      <c r="Z4367" s="15"/>
    </row>
    <row r="4368" spans="1:26" x14ac:dyDescent="0.25">
      <c r="A4368" s="15" t="str">
        <f>IF(C4368="","",COUNTA($C$3:C4368))</f>
        <v/>
      </c>
      <c r="B4368" s="15" t="str">
        <f t="shared" si="357"/>
        <v/>
      </c>
      <c r="M4368" s="9"/>
      <c r="N4368" s="9"/>
      <c r="P4368" s="14"/>
      <c r="Q4368" s="85"/>
      <c r="R4368" s="89"/>
      <c r="U4368" s="11" t="str">
        <f t="shared" si="355"/>
        <v/>
      </c>
      <c r="V4368" s="12" t="str">
        <f t="shared" si="356"/>
        <v/>
      </c>
      <c r="Z4368" s="15"/>
    </row>
    <row r="4369" spans="1:26" x14ac:dyDescent="0.25">
      <c r="A4369" s="15" t="str">
        <f>IF(C4369="","",COUNTA($C$3:C4369))</f>
        <v/>
      </c>
      <c r="B4369" s="15" t="str">
        <f t="shared" si="357"/>
        <v/>
      </c>
      <c r="M4369" s="9"/>
      <c r="N4369" s="9"/>
      <c r="P4369" s="14"/>
      <c r="Q4369" s="85"/>
      <c r="R4369" s="89"/>
      <c r="U4369" s="11" t="str">
        <f t="shared" si="355"/>
        <v/>
      </c>
      <c r="V4369" s="12" t="str">
        <f t="shared" si="356"/>
        <v/>
      </c>
      <c r="Z4369" s="15"/>
    </row>
    <row r="4370" spans="1:26" x14ac:dyDescent="0.25">
      <c r="A4370" s="15" t="str">
        <f>IF(C4370="","",COUNTA($C$3:C4370))</f>
        <v/>
      </c>
      <c r="B4370" s="15" t="str">
        <f t="shared" si="357"/>
        <v/>
      </c>
      <c r="M4370" s="9"/>
      <c r="N4370" s="9"/>
      <c r="P4370" s="14"/>
      <c r="Q4370" s="85"/>
      <c r="R4370" s="89"/>
      <c r="U4370" s="11" t="str">
        <f t="shared" si="355"/>
        <v/>
      </c>
      <c r="V4370" s="12" t="str">
        <f t="shared" si="356"/>
        <v/>
      </c>
      <c r="Z4370" s="15"/>
    </row>
    <row r="4371" spans="1:26" x14ac:dyDescent="0.25">
      <c r="A4371" s="15" t="str">
        <f>IF(C4371="","",COUNTA($C$3:C4371))</f>
        <v/>
      </c>
      <c r="B4371" s="15" t="str">
        <f t="shared" si="357"/>
        <v/>
      </c>
      <c r="M4371" s="9"/>
      <c r="N4371" s="9"/>
      <c r="P4371" s="14"/>
      <c r="Q4371" s="85"/>
      <c r="R4371" s="89"/>
      <c r="U4371" s="11" t="str">
        <f t="shared" si="355"/>
        <v/>
      </c>
      <c r="V4371" s="12" t="str">
        <f t="shared" si="356"/>
        <v/>
      </c>
      <c r="Z4371" s="15"/>
    </row>
    <row r="4372" spans="1:26" x14ac:dyDescent="0.25">
      <c r="A4372" s="15" t="str">
        <f>IF(C4372="","",COUNTA($C$3:C4372))</f>
        <v/>
      </c>
      <c r="B4372" s="15" t="str">
        <f t="shared" si="357"/>
        <v/>
      </c>
      <c r="M4372" s="9"/>
      <c r="N4372" s="9"/>
      <c r="P4372" s="14"/>
      <c r="Q4372" s="85"/>
      <c r="R4372" s="89"/>
      <c r="U4372" s="11" t="str">
        <f t="shared" si="355"/>
        <v/>
      </c>
      <c r="V4372" s="12" t="str">
        <f t="shared" si="356"/>
        <v/>
      </c>
      <c r="Z4372" s="15"/>
    </row>
    <row r="4373" spans="1:26" x14ac:dyDescent="0.25">
      <c r="A4373" s="15" t="str">
        <f>IF(C4373="","",COUNTA($C$3:C4373))</f>
        <v/>
      </c>
      <c r="B4373" s="15" t="str">
        <f t="shared" si="357"/>
        <v/>
      </c>
      <c r="M4373" s="9"/>
      <c r="N4373" s="9"/>
      <c r="P4373" s="14"/>
      <c r="Q4373" s="85"/>
      <c r="R4373" s="89"/>
      <c r="U4373" s="11" t="str">
        <f t="shared" si="355"/>
        <v/>
      </c>
      <c r="V4373" s="12" t="str">
        <f t="shared" si="356"/>
        <v/>
      </c>
      <c r="Z4373" s="15"/>
    </row>
    <row r="4374" spans="1:26" x14ac:dyDescent="0.25">
      <c r="A4374" s="15" t="str">
        <f>IF(C4374="","",COUNTA($C$3:C4374))</f>
        <v/>
      </c>
      <c r="B4374" s="15" t="str">
        <f t="shared" si="357"/>
        <v/>
      </c>
      <c r="M4374" s="9"/>
      <c r="N4374" s="9"/>
      <c r="P4374" s="14"/>
      <c r="Q4374" s="85"/>
      <c r="R4374" s="89"/>
      <c r="U4374" s="11" t="str">
        <f t="shared" si="355"/>
        <v/>
      </c>
      <c r="V4374" s="12" t="str">
        <f t="shared" si="356"/>
        <v/>
      </c>
      <c r="Z4374" s="15"/>
    </row>
    <row r="4375" spans="1:26" x14ac:dyDescent="0.25">
      <c r="A4375" s="15" t="str">
        <f>IF(C4375="","",COUNTA($C$3:C4375))</f>
        <v/>
      </c>
      <c r="B4375" s="15" t="str">
        <f t="shared" si="357"/>
        <v/>
      </c>
      <c r="M4375" s="9"/>
      <c r="N4375" s="9"/>
      <c r="P4375" s="14"/>
      <c r="Q4375" s="85"/>
      <c r="R4375" s="89"/>
      <c r="U4375" s="11" t="str">
        <f t="shared" si="355"/>
        <v/>
      </c>
      <c r="V4375" s="12" t="str">
        <f t="shared" si="356"/>
        <v/>
      </c>
      <c r="Z4375" s="15"/>
    </row>
    <row r="4376" spans="1:26" x14ac:dyDescent="0.25">
      <c r="A4376" s="15" t="str">
        <f>IF(C4376="","",COUNTA($C$3:C4376))</f>
        <v/>
      </c>
      <c r="B4376" s="15" t="str">
        <f t="shared" si="357"/>
        <v/>
      </c>
      <c r="M4376" s="9"/>
      <c r="N4376" s="9"/>
      <c r="P4376" s="14"/>
      <c r="Q4376" s="85"/>
      <c r="R4376" s="89"/>
      <c r="U4376" s="11" t="str">
        <f t="shared" si="355"/>
        <v/>
      </c>
      <c r="V4376" s="12" t="str">
        <f t="shared" si="356"/>
        <v/>
      </c>
      <c r="Z4376" s="15"/>
    </row>
    <row r="4377" spans="1:26" x14ac:dyDescent="0.25">
      <c r="A4377" s="15" t="str">
        <f>IF(C4377="","",COUNTA($C$3:C4377))</f>
        <v/>
      </c>
      <c r="B4377" s="15" t="str">
        <f t="shared" si="357"/>
        <v/>
      </c>
      <c r="M4377" s="9"/>
      <c r="N4377" s="9"/>
      <c r="P4377" s="14"/>
      <c r="Q4377" s="85"/>
      <c r="R4377" s="89"/>
      <c r="U4377" s="11" t="str">
        <f t="shared" si="355"/>
        <v/>
      </c>
      <c r="V4377" s="12" t="str">
        <f t="shared" si="356"/>
        <v/>
      </c>
      <c r="Z4377" s="15"/>
    </row>
    <row r="4378" spans="1:26" x14ac:dyDescent="0.25">
      <c r="A4378" s="15" t="str">
        <f>IF(C4378="","",COUNTA($C$3:C4378))</f>
        <v/>
      </c>
      <c r="B4378" s="15" t="str">
        <f t="shared" si="357"/>
        <v/>
      </c>
      <c r="M4378" s="9"/>
      <c r="N4378" s="9"/>
      <c r="P4378" s="14"/>
      <c r="Q4378" s="85"/>
      <c r="R4378" s="89"/>
      <c r="U4378" s="11" t="str">
        <f t="shared" si="355"/>
        <v/>
      </c>
      <c r="V4378" s="12" t="str">
        <f t="shared" si="356"/>
        <v/>
      </c>
      <c r="Z4378" s="15"/>
    </row>
    <row r="4379" spans="1:26" x14ac:dyDescent="0.25">
      <c r="A4379" s="15" t="str">
        <f>IF(C4379="","",COUNTA($C$3:C4379))</f>
        <v/>
      </c>
      <c r="B4379" s="15" t="str">
        <f t="shared" si="357"/>
        <v/>
      </c>
      <c r="M4379" s="9"/>
      <c r="N4379" s="9"/>
      <c r="P4379" s="14"/>
      <c r="Q4379" s="85"/>
      <c r="R4379" s="89"/>
      <c r="U4379" s="11" t="str">
        <f t="shared" si="355"/>
        <v/>
      </c>
      <c r="V4379" s="12" t="str">
        <f t="shared" si="356"/>
        <v/>
      </c>
      <c r="Z4379" s="15"/>
    </row>
    <row r="4380" spans="1:26" x14ac:dyDescent="0.25">
      <c r="A4380" s="15" t="str">
        <f>IF(C4380="","",COUNTA($C$3:C4380))</f>
        <v/>
      </c>
      <c r="B4380" s="15" t="str">
        <f t="shared" si="357"/>
        <v/>
      </c>
      <c r="M4380" s="9"/>
      <c r="N4380" s="9"/>
      <c r="P4380" s="14"/>
      <c r="Q4380" s="85"/>
      <c r="R4380" s="89"/>
      <c r="U4380" s="11" t="str">
        <f t="shared" si="355"/>
        <v/>
      </c>
      <c r="V4380" s="12" t="str">
        <f t="shared" si="356"/>
        <v/>
      </c>
      <c r="Z4380" s="15"/>
    </row>
    <row r="4381" spans="1:26" x14ac:dyDescent="0.25">
      <c r="A4381" s="15" t="str">
        <f>IF(C4381="","",COUNTA($C$3:C4381))</f>
        <v/>
      </c>
      <c r="B4381" s="15" t="str">
        <f t="shared" si="357"/>
        <v/>
      </c>
      <c r="M4381" s="9"/>
      <c r="N4381" s="9"/>
      <c r="P4381" s="14"/>
      <c r="Q4381" s="85"/>
      <c r="R4381" s="89"/>
      <c r="U4381" s="11" t="str">
        <f t="shared" si="355"/>
        <v/>
      </c>
      <c r="V4381" s="12" t="str">
        <f t="shared" si="356"/>
        <v/>
      </c>
      <c r="Z4381" s="15"/>
    </row>
    <row r="4382" spans="1:26" x14ac:dyDescent="0.25">
      <c r="A4382" s="15" t="str">
        <f>IF(C4382="","",COUNTA($C$3:C4382))</f>
        <v/>
      </c>
      <c r="B4382" s="15" t="str">
        <f t="shared" si="357"/>
        <v/>
      </c>
      <c r="M4382" s="9"/>
      <c r="N4382" s="9"/>
      <c r="P4382" s="14"/>
      <c r="Q4382" s="85"/>
      <c r="R4382" s="89"/>
      <c r="U4382" s="11" t="str">
        <f t="shared" si="355"/>
        <v/>
      </c>
      <c r="V4382" s="12" t="str">
        <f t="shared" si="356"/>
        <v/>
      </c>
      <c r="Z4382" s="15"/>
    </row>
    <row r="4383" spans="1:26" x14ac:dyDescent="0.25">
      <c r="A4383" s="15" t="str">
        <f>IF(C4383="","",COUNTA($C$3:C4383))</f>
        <v/>
      </c>
      <c r="B4383" s="15" t="str">
        <f t="shared" si="357"/>
        <v/>
      </c>
      <c r="M4383" s="9"/>
      <c r="N4383" s="9"/>
      <c r="P4383" s="14"/>
      <c r="Q4383" s="85"/>
      <c r="R4383" s="89"/>
      <c r="U4383" s="11" t="str">
        <f t="shared" si="355"/>
        <v/>
      </c>
      <c r="V4383" s="12" t="str">
        <f t="shared" si="356"/>
        <v/>
      </c>
      <c r="Z4383" s="15"/>
    </row>
    <row r="4384" spans="1:26" x14ac:dyDescent="0.25">
      <c r="A4384" s="15" t="str">
        <f>IF(C4384="","",COUNTA($C$3:C4384))</f>
        <v/>
      </c>
      <c r="B4384" s="15" t="str">
        <f t="shared" si="357"/>
        <v/>
      </c>
      <c r="M4384" s="9"/>
      <c r="N4384" s="9"/>
      <c r="P4384" s="14"/>
      <c r="Q4384" s="85"/>
      <c r="R4384" s="89"/>
      <c r="U4384" s="11" t="str">
        <f t="shared" si="355"/>
        <v/>
      </c>
      <c r="V4384" s="12" t="str">
        <f t="shared" si="356"/>
        <v/>
      </c>
      <c r="Z4384" s="15"/>
    </row>
    <row r="4385" spans="1:26" x14ac:dyDescent="0.25">
      <c r="A4385" s="15" t="str">
        <f>IF(C4385="","",COUNTA($C$3:C4385))</f>
        <v/>
      </c>
      <c r="B4385" s="15" t="str">
        <f t="shared" si="357"/>
        <v/>
      </c>
      <c r="M4385" s="9"/>
      <c r="N4385" s="9"/>
      <c r="P4385" s="14"/>
      <c r="Q4385" s="85"/>
      <c r="R4385" s="89"/>
      <c r="U4385" s="11" t="str">
        <f t="shared" si="355"/>
        <v/>
      </c>
      <c r="V4385" s="12" t="str">
        <f t="shared" si="356"/>
        <v/>
      </c>
      <c r="Z4385" s="15"/>
    </row>
    <row r="4386" spans="1:26" x14ac:dyDescent="0.25">
      <c r="A4386" s="15" t="str">
        <f>IF(C4386="","",COUNTA($C$3:C4386))</f>
        <v/>
      </c>
      <c r="B4386" s="15" t="str">
        <f t="shared" si="357"/>
        <v/>
      </c>
      <c r="M4386" s="9"/>
      <c r="N4386" s="9"/>
      <c r="P4386" s="14"/>
      <c r="Q4386" s="85"/>
      <c r="R4386" s="89"/>
      <c r="U4386" s="11" t="str">
        <f t="shared" si="355"/>
        <v/>
      </c>
      <c r="V4386" s="12" t="str">
        <f t="shared" si="356"/>
        <v/>
      </c>
      <c r="Z4386" s="15"/>
    </row>
    <row r="4387" spans="1:26" x14ac:dyDescent="0.25">
      <c r="A4387" s="15" t="str">
        <f>IF(C4387="","",COUNTA($C$3:C4387))</f>
        <v/>
      </c>
      <c r="B4387" s="15" t="str">
        <f t="shared" si="357"/>
        <v/>
      </c>
      <c r="M4387" s="9"/>
      <c r="N4387" s="9"/>
      <c r="P4387" s="14"/>
      <c r="Q4387" s="85"/>
      <c r="R4387" s="89"/>
      <c r="U4387" s="11" t="str">
        <f t="shared" si="355"/>
        <v/>
      </c>
      <c r="V4387" s="12" t="str">
        <f t="shared" si="356"/>
        <v/>
      </c>
      <c r="Z4387" s="15"/>
    </row>
    <row r="4388" spans="1:26" x14ac:dyDescent="0.25">
      <c r="A4388" s="15" t="str">
        <f>IF(C4388="","",COUNTA($C$3:C4388))</f>
        <v/>
      </c>
      <c r="B4388" s="15" t="str">
        <f t="shared" si="357"/>
        <v/>
      </c>
      <c r="M4388" s="9"/>
      <c r="N4388" s="9"/>
      <c r="P4388" s="14"/>
      <c r="Q4388" s="85"/>
      <c r="R4388" s="89"/>
      <c r="U4388" s="11" t="str">
        <f t="shared" si="355"/>
        <v/>
      </c>
      <c r="V4388" s="12" t="str">
        <f t="shared" si="356"/>
        <v/>
      </c>
      <c r="Z4388" s="15"/>
    </row>
    <row r="4389" spans="1:26" x14ac:dyDescent="0.25">
      <c r="A4389" s="15" t="str">
        <f>IF(C4389="","",COUNTA($C$3:C4389))</f>
        <v/>
      </c>
      <c r="B4389" s="15" t="str">
        <f t="shared" si="357"/>
        <v/>
      </c>
      <c r="M4389" s="9"/>
      <c r="N4389" s="9"/>
      <c r="P4389" s="14"/>
      <c r="Q4389" s="85"/>
      <c r="R4389" s="89"/>
      <c r="U4389" s="11" t="str">
        <f t="shared" si="355"/>
        <v/>
      </c>
      <c r="V4389" s="12" t="str">
        <f t="shared" si="356"/>
        <v/>
      </c>
      <c r="Z4389" s="15"/>
    </row>
    <row r="4390" spans="1:26" x14ac:dyDescent="0.25">
      <c r="A4390" s="15" t="str">
        <f>IF(C4390="","",COUNTA($C$3:C4390))</f>
        <v/>
      </c>
      <c r="B4390" s="15" t="str">
        <f t="shared" si="357"/>
        <v/>
      </c>
      <c r="M4390" s="9"/>
      <c r="N4390" s="9"/>
      <c r="P4390" s="14"/>
      <c r="Q4390" s="85"/>
      <c r="R4390" s="89"/>
      <c r="U4390" s="11" t="str">
        <f t="shared" si="355"/>
        <v/>
      </c>
      <c r="V4390" s="12" t="str">
        <f t="shared" si="356"/>
        <v/>
      </c>
      <c r="Z4390" s="15"/>
    </row>
    <row r="4391" spans="1:26" x14ac:dyDescent="0.25">
      <c r="A4391" s="15" t="str">
        <f>IF(C4391="","",COUNTA($C$3:C4391))</f>
        <v/>
      </c>
      <c r="B4391" s="15" t="str">
        <f t="shared" si="357"/>
        <v/>
      </c>
      <c r="M4391" s="9"/>
      <c r="N4391" s="9"/>
      <c r="P4391" s="14"/>
      <c r="Q4391" s="85"/>
      <c r="R4391" s="89"/>
      <c r="U4391" s="11" t="str">
        <f t="shared" si="355"/>
        <v/>
      </c>
      <c r="V4391" s="12" t="str">
        <f t="shared" si="356"/>
        <v/>
      </c>
      <c r="Z4391" s="15"/>
    </row>
    <row r="4392" spans="1:26" x14ac:dyDescent="0.25">
      <c r="A4392" s="15" t="str">
        <f>IF(C4392="","",COUNTA($C$3:C4392))</f>
        <v/>
      </c>
      <c r="B4392" s="15" t="str">
        <f t="shared" si="357"/>
        <v/>
      </c>
      <c r="M4392" s="9"/>
      <c r="N4392" s="9"/>
      <c r="P4392" s="14"/>
      <c r="Q4392" s="85"/>
      <c r="R4392" s="89"/>
      <c r="U4392" s="11" t="str">
        <f t="shared" si="355"/>
        <v/>
      </c>
      <c r="V4392" s="12" t="str">
        <f t="shared" si="356"/>
        <v/>
      </c>
      <c r="Z4392" s="15"/>
    </row>
    <row r="4393" spans="1:26" x14ac:dyDescent="0.25">
      <c r="A4393" s="15" t="str">
        <f>IF(C4393="","",COUNTA($C$3:C4393))</f>
        <v/>
      </c>
      <c r="B4393" s="15" t="str">
        <f t="shared" si="357"/>
        <v/>
      </c>
      <c r="M4393" s="9"/>
      <c r="N4393" s="9"/>
      <c r="P4393" s="14"/>
      <c r="Q4393" s="85"/>
      <c r="R4393" s="89"/>
      <c r="U4393" s="11" t="str">
        <f t="shared" si="355"/>
        <v/>
      </c>
      <c r="V4393" s="12" t="str">
        <f t="shared" si="356"/>
        <v/>
      </c>
      <c r="Z4393" s="15"/>
    </row>
    <row r="4394" spans="1:26" x14ac:dyDescent="0.25">
      <c r="A4394" s="15" t="str">
        <f>IF(C4394="","",COUNTA($C$3:C4394))</f>
        <v/>
      </c>
      <c r="B4394" s="15" t="str">
        <f t="shared" si="357"/>
        <v/>
      </c>
      <c r="M4394" s="9"/>
      <c r="N4394" s="9"/>
      <c r="P4394" s="14"/>
      <c r="Q4394" s="85"/>
      <c r="R4394" s="89"/>
      <c r="U4394" s="11" t="str">
        <f t="shared" si="355"/>
        <v/>
      </c>
      <c r="V4394" s="12" t="str">
        <f t="shared" si="356"/>
        <v/>
      </c>
      <c r="Z4394" s="15"/>
    </row>
    <row r="4395" spans="1:26" x14ac:dyDescent="0.25">
      <c r="A4395" s="15" t="str">
        <f>IF(C4395="","",COUNTA($C$3:C4395))</f>
        <v/>
      </c>
      <c r="B4395" s="15" t="str">
        <f t="shared" si="357"/>
        <v/>
      </c>
      <c r="M4395" s="9"/>
      <c r="N4395" s="9"/>
      <c r="P4395" s="14"/>
      <c r="Q4395" s="85"/>
      <c r="R4395" s="89"/>
      <c r="U4395" s="11" t="str">
        <f t="shared" si="355"/>
        <v/>
      </c>
      <c r="V4395" s="12" t="str">
        <f t="shared" si="356"/>
        <v/>
      </c>
      <c r="Z4395" s="15"/>
    </row>
    <row r="4396" spans="1:26" x14ac:dyDescent="0.25">
      <c r="A4396" s="15" t="str">
        <f>IF(C4396="","",COUNTA($C$3:C4396))</f>
        <v/>
      </c>
      <c r="B4396" s="15" t="str">
        <f t="shared" si="357"/>
        <v/>
      </c>
      <c r="M4396" s="9"/>
      <c r="N4396" s="9"/>
      <c r="P4396" s="14"/>
      <c r="Q4396" s="85"/>
      <c r="R4396" s="89"/>
      <c r="U4396" s="11" t="str">
        <f t="shared" si="355"/>
        <v/>
      </c>
      <c r="V4396" s="12" t="str">
        <f t="shared" si="356"/>
        <v/>
      </c>
      <c r="Z4396" s="15"/>
    </row>
    <row r="4397" spans="1:26" x14ac:dyDescent="0.25">
      <c r="A4397" s="15" t="str">
        <f>IF(C4397="","",COUNTA($C$3:C4397))</f>
        <v/>
      </c>
      <c r="B4397" s="15" t="str">
        <f t="shared" si="357"/>
        <v/>
      </c>
      <c r="M4397" s="9"/>
      <c r="N4397" s="9"/>
      <c r="P4397" s="14"/>
      <c r="Q4397" s="85"/>
      <c r="R4397" s="89"/>
      <c r="U4397" s="11" t="str">
        <f t="shared" si="355"/>
        <v/>
      </c>
      <c r="V4397" s="12" t="str">
        <f t="shared" si="356"/>
        <v/>
      </c>
      <c r="Z4397" s="15"/>
    </row>
    <row r="4398" spans="1:26" x14ac:dyDescent="0.25">
      <c r="A4398" s="15" t="str">
        <f>IF(C4398="","",COUNTA($C$3:C4398))</f>
        <v/>
      </c>
      <c r="B4398" s="15" t="str">
        <f t="shared" si="357"/>
        <v/>
      </c>
      <c r="M4398" s="9"/>
      <c r="N4398" s="9"/>
      <c r="P4398" s="14"/>
      <c r="Q4398" s="85"/>
      <c r="R4398" s="89"/>
      <c r="U4398" s="11" t="str">
        <f t="shared" si="355"/>
        <v/>
      </c>
      <c r="V4398" s="12" t="str">
        <f t="shared" si="356"/>
        <v/>
      </c>
      <c r="Z4398" s="15"/>
    </row>
    <row r="4399" spans="1:26" x14ac:dyDescent="0.25">
      <c r="A4399" s="15" t="str">
        <f>IF(C4399="","",COUNTA($C$3:C4399))</f>
        <v/>
      </c>
      <c r="B4399" s="15" t="str">
        <f t="shared" si="357"/>
        <v/>
      </c>
      <c r="M4399" s="9"/>
      <c r="N4399" s="9"/>
      <c r="P4399" s="14"/>
      <c r="Q4399" s="85"/>
      <c r="R4399" s="89"/>
      <c r="U4399" s="11" t="str">
        <f t="shared" si="355"/>
        <v/>
      </c>
      <c r="V4399" s="12" t="str">
        <f t="shared" si="356"/>
        <v/>
      </c>
      <c r="Z4399" s="15"/>
    </row>
    <row r="4400" spans="1:26" x14ac:dyDescent="0.25">
      <c r="A4400" s="15" t="str">
        <f>IF(C4400="","",COUNTA($C$3:C4400))</f>
        <v/>
      </c>
      <c r="B4400" s="15" t="str">
        <f t="shared" si="357"/>
        <v/>
      </c>
      <c r="M4400" s="9"/>
      <c r="N4400" s="9"/>
      <c r="P4400" s="14"/>
      <c r="Q4400" s="85"/>
      <c r="R4400" s="89"/>
      <c r="U4400" s="11" t="str">
        <f t="shared" si="355"/>
        <v/>
      </c>
      <c r="V4400" s="12" t="str">
        <f t="shared" si="356"/>
        <v/>
      </c>
      <c r="Z4400" s="15"/>
    </row>
    <row r="4401" spans="1:26" x14ac:dyDescent="0.25">
      <c r="A4401" s="15" t="str">
        <f>IF(C4401="","",COUNTA($C$3:C4401))</f>
        <v/>
      </c>
      <c r="B4401" s="15" t="str">
        <f t="shared" si="357"/>
        <v/>
      </c>
      <c r="M4401" s="9"/>
      <c r="N4401" s="9"/>
      <c r="P4401" s="14"/>
      <c r="Q4401" s="85"/>
      <c r="R4401" s="89"/>
      <c r="U4401" s="11" t="str">
        <f t="shared" si="355"/>
        <v/>
      </c>
      <c r="V4401" s="12" t="str">
        <f t="shared" si="356"/>
        <v/>
      </c>
      <c r="Z4401" s="15"/>
    </row>
    <row r="4402" spans="1:26" x14ac:dyDescent="0.25">
      <c r="A4402" s="15" t="str">
        <f>IF(C4402="","",COUNTA($C$3:C4402))</f>
        <v/>
      </c>
      <c r="B4402" s="15" t="str">
        <f t="shared" si="357"/>
        <v/>
      </c>
      <c r="M4402" s="9"/>
      <c r="N4402" s="9"/>
      <c r="P4402" s="14"/>
      <c r="Q4402" s="85"/>
      <c r="R4402" s="89"/>
      <c r="U4402" s="11" t="str">
        <f t="shared" si="355"/>
        <v/>
      </c>
      <c r="V4402" s="12" t="str">
        <f t="shared" si="356"/>
        <v/>
      </c>
      <c r="Z4402" s="15"/>
    </row>
    <row r="4403" spans="1:26" x14ac:dyDescent="0.25">
      <c r="A4403" s="15" t="str">
        <f>IF(C4403="","",COUNTA($C$3:C4403))</f>
        <v/>
      </c>
      <c r="B4403" s="15" t="str">
        <f t="shared" si="357"/>
        <v/>
      </c>
      <c r="M4403" s="9"/>
      <c r="N4403" s="9"/>
      <c r="P4403" s="14"/>
      <c r="Q4403" s="85"/>
      <c r="R4403" s="89"/>
      <c r="U4403" s="11" t="str">
        <f t="shared" si="355"/>
        <v/>
      </c>
      <c r="V4403" s="12" t="str">
        <f t="shared" si="356"/>
        <v/>
      </c>
      <c r="Z4403" s="15"/>
    </row>
    <row r="4404" spans="1:26" x14ac:dyDescent="0.25">
      <c r="A4404" s="15" t="str">
        <f>IF(C4404="","",COUNTA($C$3:C4404))</f>
        <v/>
      </c>
      <c r="B4404" s="15" t="str">
        <f t="shared" si="357"/>
        <v/>
      </c>
      <c r="M4404" s="9"/>
      <c r="N4404" s="9"/>
      <c r="P4404" s="14"/>
      <c r="Q4404" s="85"/>
      <c r="R4404" s="89"/>
      <c r="U4404" s="11" t="str">
        <f t="shared" si="355"/>
        <v/>
      </c>
      <c r="V4404" s="12" t="str">
        <f t="shared" si="356"/>
        <v/>
      </c>
      <c r="Z4404" s="15"/>
    </row>
    <row r="4405" spans="1:26" x14ac:dyDescent="0.25">
      <c r="A4405" s="15" t="str">
        <f>IF(C4405="","",COUNTA($C$3:C4405))</f>
        <v/>
      </c>
      <c r="B4405" s="15" t="str">
        <f t="shared" si="357"/>
        <v/>
      </c>
      <c r="M4405" s="9"/>
      <c r="N4405" s="9"/>
      <c r="P4405" s="14"/>
      <c r="Q4405" s="85"/>
      <c r="R4405" s="89"/>
      <c r="U4405" s="11" t="str">
        <f t="shared" si="355"/>
        <v/>
      </c>
      <c r="V4405" s="12" t="str">
        <f t="shared" si="356"/>
        <v/>
      </c>
      <c r="Z4405" s="15"/>
    </row>
    <row r="4406" spans="1:26" x14ac:dyDescent="0.25">
      <c r="A4406" s="15" t="str">
        <f>IF(C4406="","",COUNTA($C$3:C4406))</f>
        <v/>
      </c>
      <c r="B4406" s="15" t="str">
        <f t="shared" si="357"/>
        <v/>
      </c>
      <c r="M4406" s="9"/>
      <c r="N4406" s="9"/>
      <c r="P4406" s="14"/>
      <c r="Q4406" s="85"/>
      <c r="R4406" s="89"/>
      <c r="U4406" s="11" t="str">
        <f t="shared" si="355"/>
        <v/>
      </c>
      <c r="V4406" s="12" t="str">
        <f t="shared" si="356"/>
        <v/>
      </c>
      <c r="Z4406" s="15"/>
    </row>
    <row r="4407" spans="1:26" x14ac:dyDescent="0.25">
      <c r="A4407" s="15" t="str">
        <f>IF(C4407="","",COUNTA($C$3:C4407))</f>
        <v/>
      </c>
      <c r="B4407" s="15" t="str">
        <f t="shared" si="357"/>
        <v/>
      </c>
      <c r="M4407" s="9"/>
      <c r="N4407" s="9"/>
      <c r="P4407" s="14"/>
      <c r="Q4407" s="85"/>
      <c r="R4407" s="89"/>
      <c r="U4407" s="11" t="str">
        <f t="shared" si="355"/>
        <v/>
      </c>
      <c r="V4407" s="12" t="str">
        <f t="shared" si="356"/>
        <v/>
      </c>
      <c r="Z4407" s="15"/>
    </row>
    <row r="4408" spans="1:26" x14ac:dyDescent="0.25">
      <c r="A4408" s="15" t="str">
        <f>IF(C4408="","",COUNTA($C$3:C4408))</f>
        <v/>
      </c>
      <c r="B4408" s="15" t="str">
        <f t="shared" si="357"/>
        <v/>
      </c>
      <c r="M4408" s="9"/>
      <c r="N4408" s="9"/>
      <c r="P4408" s="14"/>
      <c r="Q4408" s="85"/>
      <c r="R4408" s="89"/>
      <c r="U4408" s="11" t="str">
        <f t="shared" si="355"/>
        <v/>
      </c>
      <c r="V4408" s="12" t="str">
        <f t="shared" si="356"/>
        <v/>
      </c>
      <c r="Z4408" s="15"/>
    </row>
    <row r="4409" spans="1:26" x14ac:dyDescent="0.25">
      <c r="A4409" s="15" t="str">
        <f>IF(C4409="","",COUNTA($C$3:C4409))</f>
        <v/>
      </c>
      <c r="B4409" s="15" t="str">
        <f t="shared" si="357"/>
        <v/>
      </c>
      <c r="M4409" s="9"/>
      <c r="N4409" s="9"/>
      <c r="P4409" s="14"/>
      <c r="Q4409" s="85"/>
      <c r="R4409" s="89"/>
      <c r="U4409" s="11" t="str">
        <f t="shared" si="355"/>
        <v/>
      </c>
      <c r="V4409" s="12" t="str">
        <f t="shared" si="356"/>
        <v/>
      </c>
      <c r="Z4409" s="15"/>
    </row>
    <row r="4410" spans="1:26" x14ac:dyDescent="0.25">
      <c r="A4410" s="15" t="str">
        <f>IF(C4410="","",COUNTA($C$3:C4410))</f>
        <v/>
      </c>
      <c r="B4410" s="15" t="str">
        <f t="shared" si="357"/>
        <v/>
      </c>
      <c r="M4410" s="9"/>
      <c r="N4410" s="9"/>
      <c r="P4410" s="14"/>
      <c r="Q4410" s="85"/>
      <c r="R4410" s="89"/>
      <c r="U4410" s="11" t="str">
        <f t="shared" si="355"/>
        <v/>
      </c>
      <c r="V4410" s="12" t="str">
        <f t="shared" si="356"/>
        <v/>
      </c>
      <c r="Z4410" s="15"/>
    </row>
    <row r="4411" spans="1:26" x14ac:dyDescent="0.25">
      <c r="A4411" s="15" t="str">
        <f>IF(C4411="","",COUNTA($C$3:C4411))</f>
        <v/>
      </c>
      <c r="B4411" s="15" t="str">
        <f t="shared" si="357"/>
        <v/>
      </c>
      <c r="M4411" s="9"/>
      <c r="N4411" s="9"/>
      <c r="P4411" s="14"/>
      <c r="Q4411" s="85"/>
      <c r="R4411" s="89"/>
      <c r="U4411" s="11" t="str">
        <f t="shared" si="355"/>
        <v/>
      </c>
      <c r="V4411" s="12" t="str">
        <f t="shared" si="356"/>
        <v/>
      </c>
      <c r="Z4411" s="15"/>
    </row>
    <row r="4412" spans="1:26" x14ac:dyDescent="0.25">
      <c r="A4412" s="15" t="str">
        <f>IF(C4412="","",COUNTA($C$3:C4412))</f>
        <v/>
      </c>
      <c r="B4412" s="15" t="str">
        <f t="shared" si="357"/>
        <v/>
      </c>
      <c r="M4412" s="9"/>
      <c r="N4412" s="9"/>
      <c r="P4412" s="14"/>
      <c r="Q4412" s="85"/>
      <c r="R4412" s="89"/>
      <c r="U4412" s="11" t="str">
        <f t="shared" si="355"/>
        <v/>
      </c>
      <c r="V4412" s="12" t="str">
        <f t="shared" si="356"/>
        <v/>
      </c>
      <c r="Z4412" s="15"/>
    </row>
    <row r="4413" spans="1:26" x14ac:dyDescent="0.25">
      <c r="A4413" s="15" t="str">
        <f>IF(C4413="","",COUNTA($C$3:C4413))</f>
        <v/>
      </c>
      <c r="B4413" s="15" t="str">
        <f t="shared" si="357"/>
        <v/>
      </c>
      <c r="M4413" s="9"/>
      <c r="N4413" s="9"/>
      <c r="P4413" s="14"/>
      <c r="Q4413" s="85"/>
      <c r="R4413" s="89"/>
      <c r="U4413" s="11" t="str">
        <f t="shared" si="355"/>
        <v/>
      </c>
      <c r="V4413" s="12" t="str">
        <f t="shared" si="356"/>
        <v/>
      </c>
      <c r="Z4413" s="15"/>
    </row>
    <row r="4414" spans="1:26" x14ac:dyDescent="0.25">
      <c r="A4414" s="15" t="str">
        <f>IF(C4414="","",COUNTA($C$3:C4414))</f>
        <v/>
      </c>
      <c r="B4414" s="15" t="str">
        <f t="shared" si="357"/>
        <v/>
      </c>
      <c r="M4414" s="9"/>
      <c r="N4414" s="9"/>
      <c r="P4414" s="14"/>
      <c r="Q4414" s="85"/>
      <c r="R4414" s="89"/>
      <c r="U4414" s="11" t="str">
        <f t="shared" si="355"/>
        <v/>
      </c>
      <c r="V4414" s="12" t="str">
        <f t="shared" si="356"/>
        <v/>
      </c>
      <c r="Z4414" s="15"/>
    </row>
    <row r="4415" spans="1:26" x14ac:dyDescent="0.25">
      <c r="A4415" s="15" t="str">
        <f>IF(C4415="","",COUNTA($C$3:C4415))</f>
        <v/>
      </c>
      <c r="B4415" s="15" t="str">
        <f t="shared" si="357"/>
        <v/>
      </c>
      <c r="M4415" s="9"/>
      <c r="N4415" s="9"/>
      <c r="P4415" s="14"/>
      <c r="Q4415" s="85"/>
      <c r="R4415" s="89"/>
      <c r="U4415" s="11" t="str">
        <f t="shared" si="355"/>
        <v/>
      </c>
      <c r="V4415" s="12" t="str">
        <f t="shared" si="356"/>
        <v/>
      </c>
      <c r="Z4415" s="15"/>
    </row>
    <row r="4416" spans="1:26" x14ac:dyDescent="0.25">
      <c r="A4416" s="15" t="str">
        <f>IF(C4416="","",COUNTA($C$3:C4416))</f>
        <v/>
      </c>
      <c r="B4416" s="15" t="str">
        <f t="shared" si="357"/>
        <v/>
      </c>
      <c r="M4416" s="9"/>
      <c r="N4416" s="9"/>
      <c r="P4416" s="14"/>
      <c r="Q4416" s="85"/>
      <c r="R4416" s="89"/>
      <c r="U4416" s="11" t="str">
        <f t="shared" si="355"/>
        <v/>
      </c>
      <c r="V4416" s="12" t="str">
        <f t="shared" si="356"/>
        <v/>
      </c>
      <c r="Z4416" s="15"/>
    </row>
    <row r="4417" spans="1:26" x14ac:dyDescent="0.25">
      <c r="A4417" s="15" t="str">
        <f>IF(C4417="","",COUNTA($C$3:C4417))</f>
        <v/>
      </c>
      <c r="B4417" s="15" t="str">
        <f t="shared" si="357"/>
        <v/>
      </c>
      <c r="M4417" s="9"/>
      <c r="N4417" s="9"/>
      <c r="P4417" s="14"/>
      <c r="Q4417" s="85"/>
      <c r="R4417" s="89"/>
      <c r="U4417" s="11" t="str">
        <f t="shared" si="355"/>
        <v/>
      </c>
      <c r="V4417" s="12" t="str">
        <f t="shared" si="356"/>
        <v/>
      </c>
      <c r="Z4417" s="15"/>
    </row>
    <row r="4418" spans="1:26" x14ac:dyDescent="0.25">
      <c r="A4418" s="15" t="str">
        <f>IF(C4418="","",COUNTA($C$3:C4418))</f>
        <v/>
      </c>
      <c r="B4418" s="15" t="str">
        <f t="shared" si="357"/>
        <v/>
      </c>
      <c r="M4418" s="9"/>
      <c r="N4418" s="9"/>
      <c r="P4418" s="14"/>
      <c r="Q4418" s="85"/>
      <c r="R4418" s="89"/>
      <c r="U4418" s="11" t="str">
        <f t="shared" ref="U4418:U4481" si="358">IF(S4418="","",(S4418-T4418))</f>
        <v/>
      </c>
      <c r="V4418" s="12" t="str">
        <f t="shared" ref="V4418:V4481" si="359">IF(U4418="","",(U4418/T4418))</f>
        <v/>
      </c>
      <c r="Z4418" s="15"/>
    </row>
    <row r="4419" spans="1:26" x14ac:dyDescent="0.25">
      <c r="A4419" s="15" t="str">
        <f>IF(C4419="","",COUNTA($C$3:C4419))</f>
        <v/>
      </c>
      <c r="B4419" s="15" t="str">
        <f t="shared" ref="B4419:B4482" si="360">IF(C4419="","",TEXT(C4419,"mmmm"))</f>
        <v/>
      </c>
      <c r="M4419" s="9"/>
      <c r="N4419" s="9"/>
      <c r="P4419" s="14"/>
      <c r="Q4419" s="85"/>
      <c r="R4419" s="89"/>
      <c r="U4419" s="11" t="str">
        <f t="shared" si="358"/>
        <v/>
      </c>
      <c r="V4419" s="12" t="str">
        <f t="shared" si="359"/>
        <v/>
      </c>
      <c r="Z4419" s="15"/>
    </row>
    <row r="4420" spans="1:26" x14ac:dyDescent="0.25">
      <c r="A4420" s="15" t="str">
        <f>IF(C4420="","",COUNTA($C$3:C4420))</f>
        <v/>
      </c>
      <c r="B4420" s="15" t="str">
        <f t="shared" si="360"/>
        <v/>
      </c>
      <c r="M4420" s="9"/>
      <c r="N4420" s="9"/>
      <c r="P4420" s="14"/>
      <c r="Q4420" s="85"/>
      <c r="R4420" s="89"/>
      <c r="U4420" s="11" t="str">
        <f t="shared" si="358"/>
        <v/>
      </c>
      <c r="V4420" s="12" t="str">
        <f t="shared" si="359"/>
        <v/>
      </c>
      <c r="Z4420" s="15"/>
    </row>
    <row r="4421" spans="1:26" x14ac:dyDescent="0.25">
      <c r="A4421" s="15" t="str">
        <f>IF(C4421="","",COUNTA($C$3:C4421))</f>
        <v/>
      </c>
      <c r="B4421" s="15" t="str">
        <f t="shared" si="360"/>
        <v/>
      </c>
      <c r="M4421" s="9"/>
      <c r="N4421" s="9"/>
      <c r="P4421" s="14"/>
      <c r="Q4421" s="85"/>
      <c r="R4421" s="89"/>
      <c r="U4421" s="11" t="str">
        <f t="shared" si="358"/>
        <v/>
      </c>
      <c r="V4421" s="12" t="str">
        <f t="shared" si="359"/>
        <v/>
      </c>
      <c r="Z4421" s="15"/>
    </row>
    <row r="4422" spans="1:26" x14ac:dyDescent="0.25">
      <c r="A4422" s="15" t="str">
        <f>IF(C4422="","",COUNTA($C$3:C4422))</f>
        <v/>
      </c>
      <c r="B4422" s="15" t="str">
        <f t="shared" si="360"/>
        <v/>
      </c>
      <c r="M4422" s="9"/>
      <c r="N4422" s="9"/>
      <c r="P4422" s="14"/>
      <c r="Q4422" s="85"/>
      <c r="R4422" s="89"/>
      <c r="U4422" s="11" t="str">
        <f t="shared" si="358"/>
        <v/>
      </c>
      <c r="V4422" s="12" t="str">
        <f t="shared" si="359"/>
        <v/>
      </c>
      <c r="Z4422" s="15"/>
    </row>
    <row r="4423" spans="1:26" x14ac:dyDescent="0.25">
      <c r="A4423" s="15" t="str">
        <f>IF(C4423="","",COUNTA($C$3:C4423))</f>
        <v/>
      </c>
      <c r="B4423" s="15" t="str">
        <f t="shared" si="360"/>
        <v/>
      </c>
      <c r="M4423" s="9"/>
      <c r="N4423" s="9"/>
      <c r="P4423" s="14"/>
      <c r="Q4423" s="85"/>
      <c r="R4423" s="89"/>
      <c r="U4423" s="11" t="str">
        <f t="shared" si="358"/>
        <v/>
      </c>
      <c r="V4423" s="12" t="str">
        <f t="shared" si="359"/>
        <v/>
      </c>
      <c r="Z4423" s="15"/>
    </row>
    <row r="4424" spans="1:26" x14ac:dyDescent="0.25">
      <c r="A4424" s="15" t="str">
        <f>IF(C4424="","",COUNTA($C$3:C4424))</f>
        <v/>
      </c>
      <c r="B4424" s="15" t="str">
        <f t="shared" si="360"/>
        <v/>
      </c>
      <c r="M4424" s="9"/>
      <c r="N4424" s="9"/>
      <c r="P4424" s="14"/>
      <c r="Q4424" s="85"/>
      <c r="R4424" s="89"/>
      <c r="U4424" s="11" t="str">
        <f t="shared" si="358"/>
        <v/>
      </c>
      <c r="V4424" s="12" t="str">
        <f t="shared" si="359"/>
        <v/>
      </c>
      <c r="Z4424" s="15"/>
    </row>
    <row r="4425" spans="1:26" x14ac:dyDescent="0.25">
      <c r="A4425" s="15" t="str">
        <f>IF(C4425="","",COUNTA($C$3:C4425))</f>
        <v/>
      </c>
      <c r="B4425" s="15" t="str">
        <f t="shared" si="360"/>
        <v/>
      </c>
      <c r="M4425" s="9"/>
      <c r="N4425" s="9"/>
      <c r="P4425" s="14"/>
      <c r="Q4425" s="85"/>
      <c r="R4425" s="89"/>
      <c r="U4425" s="11" t="str">
        <f t="shared" si="358"/>
        <v/>
      </c>
      <c r="V4425" s="12" t="str">
        <f t="shared" si="359"/>
        <v/>
      </c>
      <c r="Z4425" s="15"/>
    </row>
    <row r="4426" spans="1:26" x14ac:dyDescent="0.25">
      <c r="A4426" s="15" t="str">
        <f>IF(C4426="","",COUNTA($C$3:C4426))</f>
        <v/>
      </c>
      <c r="B4426" s="15" t="str">
        <f t="shared" si="360"/>
        <v/>
      </c>
      <c r="M4426" s="9"/>
      <c r="N4426" s="9"/>
      <c r="P4426" s="14"/>
      <c r="Q4426" s="85"/>
      <c r="R4426" s="89"/>
      <c r="U4426" s="11" t="str">
        <f t="shared" si="358"/>
        <v/>
      </c>
      <c r="V4426" s="12" t="str">
        <f t="shared" si="359"/>
        <v/>
      </c>
      <c r="Z4426" s="15"/>
    </row>
    <row r="4427" spans="1:26" x14ac:dyDescent="0.25">
      <c r="A4427" s="15" t="str">
        <f>IF(C4427="","",COUNTA($C$3:C4427))</f>
        <v/>
      </c>
      <c r="B4427" s="15" t="str">
        <f t="shared" si="360"/>
        <v/>
      </c>
      <c r="M4427" s="9"/>
      <c r="N4427" s="9"/>
      <c r="P4427" s="14"/>
      <c r="Q4427" s="85"/>
      <c r="R4427" s="89"/>
      <c r="U4427" s="11" t="str">
        <f t="shared" si="358"/>
        <v/>
      </c>
      <c r="V4427" s="12" t="str">
        <f t="shared" si="359"/>
        <v/>
      </c>
      <c r="Z4427" s="15"/>
    </row>
    <row r="4428" spans="1:26" x14ac:dyDescent="0.25">
      <c r="A4428" s="15" t="str">
        <f>IF(C4428="","",COUNTA($C$3:C4428))</f>
        <v/>
      </c>
      <c r="B4428" s="15" t="str">
        <f t="shared" si="360"/>
        <v/>
      </c>
      <c r="M4428" s="9"/>
      <c r="N4428" s="9"/>
      <c r="P4428" s="14"/>
      <c r="Q4428" s="85"/>
      <c r="R4428" s="89"/>
      <c r="U4428" s="11" t="str">
        <f t="shared" si="358"/>
        <v/>
      </c>
      <c r="V4428" s="12" t="str">
        <f t="shared" si="359"/>
        <v/>
      </c>
      <c r="Z4428" s="15"/>
    </row>
    <row r="4429" spans="1:26" x14ac:dyDescent="0.25">
      <c r="A4429" s="15" t="str">
        <f>IF(C4429="","",COUNTA($C$3:C4429))</f>
        <v/>
      </c>
      <c r="B4429" s="15" t="str">
        <f t="shared" si="360"/>
        <v/>
      </c>
      <c r="M4429" s="9"/>
      <c r="N4429" s="9"/>
      <c r="P4429" s="14"/>
      <c r="Q4429" s="85"/>
      <c r="R4429" s="89"/>
      <c r="U4429" s="11" t="str">
        <f t="shared" si="358"/>
        <v/>
      </c>
      <c r="V4429" s="12" t="str">
        <f t="shared" si="359"/>
        <v/>
      </c>
      <c r="Z4429" s="15"/>
    </row>
    <row r="4430" spans="1:26" x14ac:dyDescent="0.25">
      <c r="A4430" s="15" t="str">
        <f>IF(C4430="","",COUNTA($C$3:C4430))</f>
        <v/>
      </c>
      <c r="B4430" s="15" t="str">
        <f t="shared" si="360"/>
        <v/>
      </c>
      <c r="M4430" s="9"/>
      <c r="N4430" s="9"/>
      <c r="P4430" s="14"/>
      <c r="Q4430" s="85"/>
      <c r="R4430" s="89"/>
      <c r="U4430" s="11" t="str">
        <f t="shared" si="358"/>
        <v/>
      </c>
      <c r="V4430" s="12" t="str">
        <f t="shared" si="359"/>
        <v/>
      </c>
      <c r="Z4430" s="15"/>
    </row>
    <row r="4431" spans="1:26" x14ac:dyDescent="0.25">
      <c r="A4431" s="15" t="str">
        <f>IF(C4431="","",COUNTA($C$3:C4431))</f>
        <v/>
      </c>
      <c r="B4431" s="15" t="str">
        <f t="shared" si="360"/>
        <v/>
      </c>
      <c r="M4431" s="9"/>
      <c r="N4431" s="9"/>
      <c r="P4431" s="14"/>
      <c r="Q4431" s="85"/>
      <c r="R4431" s="89"/>
      <c r="U4431" s="11" t="str">
        <f t="shared" si="358"/>
        <v/>
      </c>
      <c r="V4431" s="12" t="str">
        <f t="shared" si="359"/>
        <v/>
      </c>
      <c r="Z4431" s="15"/>
    </row>
    <row r="4432" spans="1:26" x14ac:dyDescent="0.25">
      <c r="A4432" s="15" t="str">
        <f>IF(C4432="","",COUNTA($C$3:C4432))</f>
        <v/>
      </c>
      <c r="B4432" s="15" t="str">
        <f t="shared" si="360"/>
        <v/>
      </c>
      <c r="M4432" s="9"/>
      <c r="N4432" s="9"/>
      <c r="P4432" s="14"/>
      <c r="Q4432" s="85"/>
      <c r="R4432" s="89"/>
      <c r="U4432" s="11" t="str">
        <f t="shared" si="358"/>
        <v/>
      </c>
      <c r="V4432" s="12" t="str">
        <f t="shared" si="359"/>
        <v/>
      </c>
      <c r="Z4432" s="15"/>
    </row>
    <row r="4433" spans="1:26" x14ac:dyDescent="0.25">
      <c r="A4433" s="15" t="str">
        <f>IF(C4433="","",COUNTA($C$3:C4433))</f>
        <v/>
      </c>
      <c r="B4433" s="15" t="str">
        <f t="shared" si="360"/>
        <v/>
      </c>
      <c r="M4433" s="9"/>
      <c r="N4433" s="9"/>
      <c r="P4433" s="14"/>
      <c r="Q4433" s="85"/>
      <c r="R4433" s="89"/>
      <c r="U4433" s="11" t="str">
        <f t="shared" si="358"/>
        <v/>
      </c>
      <c r="V4433" s="12" t="str">
        <f t="shared" si="359"/>
        <v/>
      </c>
      <c r="Z4433" s="15"/>
    </row>
    <row r="4434" spans="1:26" x14ac:dyDescent="0.25">
      <c r="A4434" s="15" t="str">
        <f>IF(C4434="","",COUNTA($C$3:C4434))</f>
        <v/>
      </c>
      <c r="B4434" s="15" t="str">
        <f t="shared" si="360"/>
        <v/>
      </c>
      <c r="M4434" s="9"/>
      <c r="N4434" s="9"/>
      <c r="P4434" s="14"/>
      <c r="Q4434" s="85"/>
      <c r="R4434" s="89"/>
      <c r="U4434" s="11" t="str">
        <f t="shared" si="358"/>
        <v/>
      </c>
      <c r="V4434" s="12" t="str">
        <f t="shared" si="359"/>
        <v/>
      </c>
      <c r="Z4434" s="15"/>
    </row>
    <row r="4435" spans="1:26" x14ac:dyDescent="0.25">
      <c r="A4435" s="15" t="str">
        <f>IF(C4435="","",COUNTA($C$3:C4435))</f>
        <v/>
      </c>
      <c r="B4435" s="15" t="str">
        <f t="shared" si="360"/>
        <v/>
      </c>
      <c r="M4435" s="9"/>
      <c r="N4435" s="9"/>
      <c r="P4435" s="14"/>
      <c r="Q4435" s="85"/>
      <c r="R4435" s="89"/>
      <c r="U4435" s="11" t="str">
        <f t="shared" si="358"/>
        <v/>
      </c>
      <c r="V4435" s="12" t="str">
        <f t="shared" si="359"/>
        <v/>
      </c>
      <c r="Z4435" s="15"/>
    </row>
    <row r="4436" spans="1:26" x14ac:dyDescent="0.25">
      <c r="A4436" s="15" t="str">
        <f>IF(C4436="","",COUNTA($C$3:C4436))</f>
        <v/>
      </c>
      <c r="B4436" s="15" t="str">
        <f t="shared" si="360"/>
        <v/>
      </c>
      <c r="M4436" s="9"/>
      <c r="N4436" s="9"/>
      <c r="P4436" s="14"/>
      <c r="Q4436" s="85"/>
      <c r="R4436" s="89"/>
      <c r="U4436" s="11" t="str">
        <f t="shared" si="358"/>
        <v/>
      </c>
      <c r="V4436" s="12" t="str">
        <f t="shared" si="359"/>
        <v/>
      </c>
      <c r="Z4436" s="15"/>
    </row>
    <row r="4437" spans="1:26" x14ac:dyDescent="0.25">
      <c r="A4437" s="15" t="str">
        <f>IF(C4437="","",COUNTA($C$3:C4437))</f>
        <v/>
      </c>
      <c r="B4437" s="15" t="str">
        <f t="shared" si="360"/>
        <v/>
      </c>
      <c r="M4437" s="9"/>
      <c r="N4437" s="9"/>
      <c r="P4437" s="14"/>
      <c r="Q4437" s="85"/>
      <c r="R4437" s="89"/>
      <c r="U4437" s="11" t="str">
        <f t="shared" si="358"/>
        <v/>
      </c>
      <c r="V4437" s="12" t="str">
        <f t="shared" si="359"/>
        <v/>
      </c>
      <c r="Z4437" s="15"/>
    </row>
    <row r="4438" spans="1:26" x14ac:dyDescent="0.25">
      <c r="A4438" s="15" t="str">
        <f>IF(C4438="","",COUNTA($C$3:C4438))</f>
        <v/>
      </c>
      <c r="B4438" s="15" t="str">
        <f t="shared" si="360"/>
        <v/>
      </c>
      <c r="M4438" s="9"/>
      <c r="N4438" s="9"/>
      <c r="P4438" s="14"/>
      <c r="Q4438" s="85"/>
      <c r="R4438" s="89"/>
      <c r="U4438" s="11" t="str">
        <f t="shared" si="358"/>
        <v/>
      </c>
      <c r="V4438" s="12" t="str">
        <f t="shared" si="359"/>
        <v/>
      </c>
      <c r="Z4438" s="15"/>
    </row>
    <row r="4439" spans="1:26" x14ac:dyDescent="0.25">
      <c r="A4439" s="15" t="str">
        <f>IF(C4439="","",COUNTA($C$3:C4439))</f>
        <v/>
      </c>
      <c r="B4439" s="15" t="str">
        <f t="shared" si="360"/>
        <v/>
      </c>
      <c r="M4439" s="9"/>
      <c r="N4439" s="9"/>
      <c r="P4439" s="14"/>
      <c r="Q4439" s="85"/>
      <c r="R4439" s="89"/>
      <c r="U4439" s="11" t="str">
        <f t="shared" si="358"/>
        <v/>
      </c>
      <c r="V4439" s="12" t="str">
        <f t="shared" si="359"/>
        <v/>
      </c>
      <c r="Z4439" s="15"/>
    </row>
    <row r="4440" spans="1:26" x14ac:dyDescent="0.25">
      <c r="A4440" s="15" t="str">
        <f>IF(C4440="","",COUNTA($C$3:C4440))</f>
        <v/>
      </c>
      <c r="B4440" s="15" t="str">
        <f t="shared" si="360"/>
        <v/>
      </c>
      <c r="M4440" s="9"/>
      <c r="N4440" s="9"/>
      <c r="P4440" s="14"/>
      <c r="Q4440" s="85"/>
      <c r="R4440" s="89"/>
      <c r="U4440" s="11" t="str">
        <f t="shared" si="358"/>
        <v/>
      </c>
      <c r="V4440" s="12" t="str">
        <f t="shared" si="359"/>
        <v/>
      </c>
      <c r="Z4440" s="15"/>
    </row>
    <row r="4441" spans="1:26" x14ac:dyDescent="0.25">
      <c r="A4441" s="15" t="str">
        <f>IF(C4441="","",COUNTA($C$3:C4441))</f>
        <v/>
      </c>
      <c r="B4441" s="15" t="str">
        <f t="shared" si="360"/>
        <v/>
      </c>
      <c r="M4441" s="9"/>
      <c r="N4441" s="9"/>
      <c r="P4441" s="14"/>
      <c r="Q4441" s="85"/>
      <c r="R4441" s="89"/>
      <c r="U4441" s="11" t="str">
        <f t="shared" si="358"/>
        <v/>
      </c>
      <c r="V4441" s="12" t="str">
        <f t="shared" si="359"/>
        <v/>
      </c>
      <c r="Z4441" s="15"/>
    </row>
    <row r="4442" spans="1:26" x14ac:dyDescent="0.25">
      <c r="A4442" s="15" t="str">
        <f>IF(C4442="","",COUNTA($C$3:C4442))</f>
        <v/>
      </c>
      <c r="B4442" s="15" t="str">
        <f t="shared" si="360"/>
        <v/>
      </c>
      <c r="M4442" s="9"/>
      <c r="N4442" s="9"/>
      <c r="P4442" s="14"/>
      <c r="Q4442" s="85"/>
      <c r="R4442" s="89"/>
      <c r="U4442" s="11" t="str">
        <f t="shared" si="358"/>
        <v/>
      </c>
      <c r="V4442" s="12" t="str">
        <f t="shared" si="359"/>
        <v/>
      </c>
      <c r="Z4442" s="15"/>
    </row>
    <row r="4443" spans="1:26" x14ac:dyDescent="0.25">
      <c r="A4443" s="15" t="str">
        <f>IF(C4443="","",COUNTA($C$3:C4443))</f>
        <v/>
      </c>
      <c r="B4443" s="15" t="str">
        <f t="shared" si="360"/>
        <v/>
      </c>
      <c r="M4443" s="9"/>
      <c r="N4443" s="9"/>
      <c r="P4443" s="14"/>
      <c r="Q4443" s="85"/>
      <c r="R4443" s="89"/>
      <c r="U4443" s="11" t="str">
        <f t="shared" si="358"/>
        <v/>
      </c>
      <c r="V4443" s="12" t="str">
        <f t="shared" si="359"/>
        <v/>
      </c>
      <c r="Z4443" s="15"/>
    </row>
    <row r="4444" spans="1:26" x14ac:dyDescent="0.25">
      <c r="A4444" s="15" t="str">
        <f>IF(C4444="","",COUNTA($C$3:C4444))</f>
        <v/>
      </c>
      <c r="B4444" s="15" t="str">
        <f t="shared" si="360"/>
        <v/>
      </c>
      <c r="M4444" s="9"/>
      <c r="N4444" s="9"/>
      <c r="P4444" s="14"/>
      <c r="Q4444" s="85"/>
      <c r="R4444" s="89"/>
      <c r="U4444" s="11" t="str">
        <f t="shared" si="358"/>
        <v/>
      </c>
      <c r="V4444" s="12" t="str">
        <f t="shared" si="359"/>
        <v/>
      </c>
      <c r="Z4444" s="15"/>
    </row>
    <row r="4445" spans="1:26" x14ac:dyDescent="0.25">
      <c r="A4445" s="15" t="str">
        <f>IF(C4445="","",COUNTA($C$3:C4445))</f>
        <v/>
      </c>
      <c r="B4445" s="15" t="str">
        <f t="shared" si="360"/>
        <v/>
      </c>
      <c r="M4445" s="9"/>
      <c r="N4445" s="9"/>
      <c r="P4445" s="14"/>
      <c r="Q4445" s="85"/>
      <c r="R4445" s="89"/>
      <c r="U4445" s="11" t="str">
        <f t="shared" si="358"/>
        <v/>
      </c>
      <c r="V4445" s="12" t="str">
        <f t="shared" si="359"/>
        <v/>
      </c>
      <c r="Z4445" s="15"/>
    </row>
    <row r="4446" spans="1:26" x14ac:dyDescent="0.25">
      <c r="A4446" s="15" t="str">
        <f>IF(C4446="","",COUNTA($C$3:C4446))</f>
        <v/>
      </c>
      <c r="B4446" s="15" t="str">
        <f t="shared" si="360"/>
        <v/>
      </c>
      <c r="M4446" s="9"/>
      <c r="N4446" s="9"/>
      <c r="P4446" s="14"/>
      <c r="Q4446" s="85"/>
      <c r="R4446" s="89"/>
      <c r="U4446" s="11" t="str">
        <f t="shared" si="358"/>
        <v/>
      </c>
      <c r="V4446" s="12" t="str">
        <f t="shared" si="359"/>
        <v/>
      </c>
      <c r="Z4446" s="15"/>
    </row>
    <row r="4447" spans="1:26" x14ac:dyDescent="0.25">
      <c r="A4447" s="15" t="str">
        <f>IF(C4447="","",COUNTA($C$3:C4447))</f>
        <v/>
      </c>
      <c r="B4447" s="15" t="str">
        <f t="shared" si="360"/>
        <v/>
      </c>
      <c r="M4447" s="9"/>
      <c r="N4447" s="9"/>
      <c r="P4447" s="14"/>
      <c r="Q4447" s="85"/>
      <c r="R4447" s="89"/>
      <c r="U4447" s="11" t="str">
        <f t="shared" si="358"/>
        <v/>
      </c>
      <c r="V4447" s="12" t="str">
        <f t="shared" si="359"/>
        <v/>
      </c>
      <c r="Z4447" s="15"/>
    </row>
    <row r="4448" spans="1:26" x14ac:dyDescent="0.25">
      <c r="A4448" s="15" t="str">
        <f>IF(C4448="","",COUNTA($C$3:C4448))</f>
        <v/>
      </c>
      <c r="B4448" s="15" t="str">
        <f t="shared" si="360"/>
        <v/>
      </c>
      <c r="M4448" s="9"/>
      <c r="N4448" s="9"/>
      <c r="P4448" s="14"/>
      <c r="Q4448" s="85"/>
      <c r="R4448" s="89"/>
      <c r="U4448" s="11" t="str">
        <f t="shared" si="358"/>
        <v/>
      </c>
      <c r="V4448" s="12" t="str">
        <f t="shared" si="359"/>
        <v/>
      </c>
      <c r="Z4448" s="15"/>
    </row>
    <row r="4449" spans="1:26" x14ac:dyDescent="0.25">
      <c r="A4449" s="15" t="str">
        <f>IF(C4449="","",COUNTA($C$3:C4449))</f>
        <v/>
      </c>
      <c r="B4449" s="15" t="str">
        <f t="shared" si="360"/>
        <v/>
      </c>
      <c r="M4449" s="9"/>
      <c r="N4449" s="9"/>
      <c r="P4449" s="14"/>
      <c r="Q4449" s="85"/>
      <c r="R4449" s="89"/>
      <c r="U4449" s="11" t="str">
        <f t="shared" si="358"/>
        <v/>
      </c>
      <c r="V4449" s="12" t="str">
        <f t="shared" si="359"/>
        <v/>
      </c>
      <c r="Z4449" s="15"/>
    </row>
    <row r="4450" spans="1:26" x14ac:dyDescent="0.25">
      <c r="A4450" s="15" t="str">
        <f>IF(C4450="","",COUNTA($C$3:C4450))</f>
        <v/>
      </c>
      <c r="B4450" s="15" t="str">
        <f t="shared" si="360"/>
        <v/>
      </c>
      <c r="M4450" s="9"/>
      <c r="N4450" s="9"/>
      <c r="P4450" s="14"/>
      <c r="Q4450" s="85"/>
      <c r="R4450" s="89"/>
      <c r="U4450" s="11" t="str">
        <f t="shared" si="358"/>
        <v/>
      </c>
      <c r="V4450" s="12" t="str">
        <f t="shared" si="359"/>
        <v/>
      </c>
      <c r="Z4450" s="15"/>
    </row>
    <row r="4451" spans="1:26" x14ac:dyDescent="0.25">
      <c r="A4451" s="15" t="str">
        <f>IF(C4451="","",COUNTA($C$3:C4451))</f>
        <v/>
      </c>
      <c r="B4451" s="15" t="str">
        <f t="shared" si="360"/>
        <v/>
      </c>
      <c r="M4451" s="9"/>
      <c r="N4451" s="9"/>
      <c r="P4451" s="14"/>
      <c r="Q4451" s="85"/>
      <c r="R4451" s="89"/>
      <c r="U4451" s="11" t="str">
        <f t="shared" si="358"/>
        <v/>
      </c>
      <c r="V4451" s="12" t="str">
        <f t="shared" si="359"/>
        <v/>
      </c>
      <c r="Z4451" s="15"/>
    </row>
    <row r="4452" spans="1:26" x14ac:dyDescent="0.25">
      <c r="A4452" s="15" t="str">
        <f>IF(C4452="","",COUNTA($C$3:C4452))</f>
        <v/>
      </c>
      <c r="B4452" s="15" t="str">
        <f t="shared" si="360"/>
        <v/>
      </c>
      <c r="M4452" s="9"/>
      <c r="N4452" s="9"/>
      <c r="P4452" s="14"/>
      <c r="Q4452" s="85"/>
      <c r="R4452" s="89"/>
      <c r="U4452" s="11" t="str">
        <f t="shared" si="358"/>
        <v/>
      </c>
      <c r="V4452" s="12" t="str">
        <f t="shared" si="359"/>
        <v/>
      </c>
      <c r="Z4452" s="15"/>
    </row>
    <row r="4453" spans="1:26" x14ac:dyDescent="0.25">
      <c r="A4453" s="15" t="str">
        <f>IF(C4453="","",COUNTA($C$3:C4453))</f>
        <v/>
      </c>
      <c r="B4453" s="15" t="str">
        <f t="shared" si="360"/>
        <v/>
      </c>
      <c r="M4453" s="9"/>
      <c r="N4453" s="9"/>
      <c r="P4453" s="14"/>
      <c r="Q4453" s="85"/>
      <c r="R4453" s="89"/>
      <c r="U4453" s="11" t="str">
        <f t="shared" si="358"/>
        <v/>
      </c>
      <c r="V4453" s="12" t="str">
        <f t="shared" si="359"/>
        <v/>
      </c>
      <c r="Z4453" s="15"/>
    </row>
    <row r="4454" spans="1:26" x14ac:dyDescent="0.25">
      <c r="A4454" s="15" t="str">
        <f>IF(C4454="","",COUNTA($C$3:C4454))</f>
        <v/>
      </c>
      <c r="B4454" s="15" t="str">
        <f t="shared" si="360"/>
        <v/>
      </c>
      <c r="M4454" s="9"/>
      <c r="N4454" s="9"/>
      <c r="P4454" s="14"/>
      <c r="Q4454" s="85"/>
      <c r="R4454" s="89"/>
      <c r="U4454" s="11" t="str">
        <f t="shared" si="358"/>
        <v/>
      </c>
      <c r="V4454" s="12" t="str">
        <f t="shared" si="359"/>
        <v/>
      </c>
      <c r="Z4454" s="15"/>
    </row>
    <row r="4455" spans="1:26" x14ac:dyDescent="0.25">
      <c r="A4455" s="15" t="str">
        <f>IF(C4455="","",COUNTA($C$3:C4455))</f>
        <v/>
      </c>
      <c r="B4455" s="15" t="str">
        <f t="shared" si="360"/>
        <v/>
      </c>
      <c r="M4455" s="9"/>
      <c r="N4455" s="9"/>
      <c r="P4455" s="14"/>
      <c r="Q4455" s="85"/>
      <c r="R4455" s="89"/>
      <c r="U4455" s="11" t="str">
        <f t="shared" si="358"/>
        <v/>
      </c>
      <c r="V4455" s="12" t="str">
        <f t="shared" si="359"/>
        <v/>
      </c>
      <c r="Z4455" s="15"/>
    </row>
    <row r="4456" spans="1:26" x14ac:dyDescent="0.25">
      <c r="A4456" s="15" t="str">
        <f>IF(C4456="","",COUNTA($C$3:C4456))</f>
        <v/>
      </c>
      <c r="B4456" s="15" t="str">
        <f t="shared" si="360"/>
        <v/>
      </c>
      <c r="M4456" s="9"/>
      <c r="N4456" s="9"/>
      <c r="P4456" s="14"/>
      <c r="Q4456" s="85"/>
      <c r="R4456" s="89"/>
      <c r="U4456" s="11" t="str">
        <f t="shared" si="358"/>
        <v/>
      </c>
      <c r="V4456" s="12" t="str">
        <f t="shared" si="359"/>
        <v/>
      </c>
      <c r="Z4456" s="15"/>
    </row>
    <row r="4457" spans="1:26" x14ac:dyDescent="0.25">
      <c r="A4457" s="15" t="str">
        <f>IF(C4457="","",COUNTA($C$3:C4457))</f>
        <v/>
      </c>
      <c r="B4457" s="15" t="str">
        <f t="shared" si="360"/>
        <v/>
      </c>
      <c r="M4457" s="9"/>
      <c r="N4457" s="9"/>
      <c r="P4457" s="14"/>
      <c r="Q4457" s="85"/>
      <c r="R4457" s="89"/>
      <c r="U4457" s="11" t="str">
        <f t="shared" si="358"/>
        <v/>
      </c>
      <c r="V4457" s="12" t="str">
        <f t="shared" si="359"/>
        <v/>
      </c>
      <c r="Z4457" s="15"/>
    </row>
    <row r="4458" spans="1:26" x14ac:dyDescent="0.25">
      <c r="A4458" s="15" t="str">
        <f>IF(C4458="","",COUNTA($C$3:C4458))</f>
        <v/>
      </c>
      <c r="B4458" s="15" t="str">
        <f t="shared" si="360"/>
        <v/>
      </c>
      <c r="M4458" s="9"/>
      <c r="N4458" s="9"/>
      <c r="P4458" s="14"/>
      <c r="Q4458" s="85"/>
      <c r="R4458" s="89"/>
      <c r="U4458" s="11" t="str">
        <f t="shared" si="358"/>
        <v/>
      </c>
      <c r="V4458" s="12" t="str">
        <f t="shared" si="359"/>
        <v/>
      </c>
      <c r="Z4458" s="15"/>
    </row>
    <row r="4459" spans="1:26" x14ac:dyDescent="0.25">
      <c r="A4459" s="15" t="str">
        <f>IF(C4459="","",COUNTA($C$3:C4459))</f>
        <v/>
      </c>
      <c r="B4459" s="15" t="str">
        <f t="shared" si="360"/>
        <v/>
      </c>
      <c r="M4459" s="9"/>
      <c r="N4459" s="9"/>
      <c r="P4459" s="14"/>
      <c r="Q4459" s="85"/>
      <c r="R4459" s="89"/>
      <c r="U4459" s="11" t="str">
        <f t="shared" si="358"/>
        <v/>
      </c>
      <c r="V4459" s="12" t="str">
        <f t="shared" si="359"/>
        <v/>
      </c>
      <c r="Z4459" s="15"/>
    </row>
    <row r="4460" spans="1:26" x14ac:dyDescent="0.25">
      <c r="A4460" s="15" t="str">
        <f>IF(C4460="","",COUNTA($C$3:C4460))</f>
        <v/>
      </c>
      <c r="B4460" s="15" t="str">
        <f t="shared" si="360"/>
        <v/>
      </c>
      <c r="M4460" s="9"/>
      <c r="N4460" s="9"/>
      <c r="P4460" s="14"/>
      <c r="Q4460" s="85"/>
      <c r="R4460" s="89"/>
      <c r="U4460" s="11" t="str">
        <f t="shared" si="358"/>
        <v/>
      </c>
      <c r="V4460" s="12" t="str">
        <f t="shared" si="359"/>
        <v/>
      </c>
      <c r="Z4460" s="15"/>
    </row>
    <row r="4461" spans="1:26" x14ac:dyDescent="0.25">
      <c r="A4461" s="15" t="str">
        <f>IF(C4461="","",COUNTA($C$3:C4461))</f>
        <v/>
      </c>
      <c r="B4461" s="15" t="str">
        <f t="shared" si="360"/>
        <v/>
      </c>
      <c r="M4461" s="9"/>
      <c r="N4461" s="9"/>
      <c r="P4461" s="14"/>
      <c r="Q4461" s="85"/>
      <c r="R4461" s="89"/>
      <c r="U4461" s="11" t="str">
        <f t="shared" si="358"/>
        <v/>
      </c>
      <c r="V4461" s="12" t="str">
        <f t="shared" si="359"/>
        <v/>
      </c>
      <c r="Z4461" s="15"/>
    </row>
    <row r="4462" spans="1:26" x14ac:dyDescent="0.25">
      <c r="A4462" s="15" t="str">
        <f>IF(C4462="","",COUNTA($C$3:C4462))</f>
        <v/>
      </c>
      <c r="B4462" s="15" t="str">
        <f t="shared" si="360"/>
        <v/>
      </c>
      <c r="M4462" s="9"/>
      <c r="N4462" s="9"/>
      <c r="P4462" s="14"/>
      <c r="Q4462" s="85"/>
      <c r="R4462" s="89"/>
      <c r="U4462" s="11" t="str">
        <f t="shared" si="358"/>
        <v/>
      </c>
      <c r="V4462" s="12" t="str">
        <f t="shared" si="359"/>
        <v/>
      </c>
      <c r="Z4462" s="15"/>
    </row>
    <row r="4463" spans="1:26" x14ac:dyDescent="0.25">
      <c r="A4463" s="15" t="str">
        <f>IF(C4463="","",COUNTA($C$3:C4463))</f>
        <v/>
      </c>
      <c r="B4463" s="15" t="str">
        <f t="shared" si="360"/>
        <v/>
      </c>
      <c r="M4463" s="9"/>
      <c r="N4463" s="9"/>
      <c r="P4463" s="14"/>
      <c r="Q4463" s="85"/>
      <c r="R4463" s="89"/>
      <c r="U4463" s="11" t="str">
        <f t="shared" si="358"/>
        <v/>
      </c>
      <c r="V4463" s="12" t="str">
        <f t="shared" si="359"/>
        <v/>
      </c>
      <c r="Z4463" s="15"/>
    </row>
    <row r="4464" spans="1:26" x14ac:dyDescent="0.25">
      <c r="A4464" s="15" t="str">
        <f>IF(C4464="","",COUNTA($C$3:C4464))</f>
        <v/>
      </c>
      <c r="B4464" s="15" t="str">
        <f t="shared" si="360"/>
        <v/>
      </c>
      <c r="M4464" s="9"/>
      <c r="N4464" s="9"/>
      <c r="P4464" s="14"/>
      <c r="Q4464" s="85"/>
      <c r="R4464" s="89"/>
      <c r="U4464" s="11" t="str">
        <f t="shared" si="358"/>
        <v/>
      </c>
      <c r="V4464" s="12" t="str">
        <f t="shared" si="359"/>
        <v/>
      </c>
      <c r="Z4464" s="15"/>
    </row>
    <row r="4465" spans="1:26" x14ac:dyDescent="0.25">
      <c r="A4465" s="15" t="str">
        <f>IF(C4465="","",COUNTA($C$3:C4465))</f>
        <v/>
      </c>
      <c r="B4465" s="15" t="str">
        <f t="shared" si="360"/>
        <v/>
      </c>
      <c r="M4465" s="9"/>
      <c r="N4465" s="9"/>
      <c r="P4465" s="14"/>
      <c r="Q4465" s="85"/>
      <c r="R4465" s="89"/>
      <c r="U4465" s="11" t="str">
        <f t="shared" si="358"/>
        <v/>
      </c>
      <c r="V4465" s="12" t="str">
        <f t="shared" si="359"/>
        <v/>
      </c>
      <c r="Z4465" s="15"/>
    </row>
    <row r="4466" spans="1:26" x14ac:dyDescent="0.25">
      <c r="A4466" s="15" t="str">
        <f>IF(C4466="","",COUNTA($C$3:C4466))</f>
        <v/>
      </c>
      <c r="B4466" s="15" t="str">
        <f t="shared" si="360"/>
        <v/>
      </c>
      <c r="M4466" s="9"/>
      <c r="N4466" s="9"/>
      <c r="P4466" s="14"/>
      <c r="Q4466" s="85"/>
      <c r="R4466" s="89"/>
      <c r="U4466" s="11" t="str">
        <f t="shared" si="358"/>
        <v/>
      </c>
      <c r="V4466" s="12" t="str">
        <f t="shared" si="359"/>
        <v/>
      </c>
      <c r="Z4466" s="15"/>
    </row>
    <row r="4467" spans="1:26" x14ac:dyDescent="0.25">
      <c r="A4467" s="15" t="str">
        <f>IF(C4467="","",COUNTA($C$3:C4467))</f>
        <v/>
      </c>
      <c r="B4467" s="15" t="str">
        <f t="shared" si="360"/>
        <v/>
      </c>
      <c r="M4467" s="9"/>
      <c r="N4467" s="9"/>
      <c r="P4467" s="14"/>
      <c r="Q4467" s="85"/>
      <c r="R4467" s="89"/>
      <c r="U4467" s="11" t="str">
        <f t="shared" si="358"/>
        <v/>
      </c>
      <c r="V4467" s="12" t="str">
        <f t="shared" si="359"/>
        <v/>
      </c>
      <c r="Z4467" s="15"/>
    </row>
    <row r="4468" spans="1:26" x14ac:dyDescent="0.25">
      <c r="A4468" s="15" t="str">
        <f>IF(C4468="","",COUNTA($C$3:C4468))</f>
        <v/>
      </c>
      <c r="B4468" s="15" t="str">
        <f t="shared" si="360"/>
        <v/>
      </c>
      <c r="M4468" s="9"/>
      <c r="N4468" s="9"/>
      <c r="P4468" s="14"/>
      <c r="Q4468" s="85"/>
      <c r="R4468" s="89"/>
      <c r="U4468" s="11" t="str">
        <f t="shared" si="358"/>
        <v/>
      </c>
      <c r="V4468" s="12" t="str">
        <f t="shared" si="359"/>
        <v/>
      </c>
      <c r="Z4468" s="15"/>
    </row>
    <row r="4469" spans="1:26" x14ac:dyDescent="0.25">
      <c r="A4469" s="15" t="str">
        <f>IF(C4469="","",COUNTA($C$3:C4469))</f>
        <v/>
      </c>
      <c r="B4469" s="15" t="str">
        <f t="shared" si="360"/>
        <v/>
      </c>
      <c r="M4469" s="9"/>
      <c r="N4469" s="9"/>
      <c r="P4469" s="14"/>
      <c r="Q4469" s="85"/>
      <c r="R4469" s="89"/>
      <c r="U4469" s="11" t="str">
        <f t="shared" si="358"/>
        <v/>
      </c>
      <c r="V4469" s="12" t="str">
        <f t="shared" si="359"/>
        <v/>
      </c>
      <c r="Z4469" s="15"/>
    </row>
    <row r="4470" spans="1:26" x14ac:dyDescent="0.25">
      <c r="A4470" s="15" t="str">
        <f>IF(C4470="","",COUNTA($C$3:C4470))</f>
        <v/>
      </c>
      <c r="B4470" s="15" t="str">
        <f t="shared" si="360"/>
        <v/>
      </c>
      <c r="M4470" s="9"/>
      <c r="N4470" s="9"/>
      <c r="P4470" s="14"/>
      <c r="Q4470" s="85"/>
      <c r="R4470" s="89"/>
      <c r="U4470" s="11" t="str">
        <f t="shared" si="358"/>
        <v/>
      </c>
      <c r="V4470" s="12" t="str">
        <f t="shared" si="359"/>
        <v/>
      </c>
      <c r="Z4470" s="15"/>
    </row>
    <row r="4471" spans="1:26" x14ac:dyDescent="0.25">
      <c r="A4471" s="15" t="str">
        <f>IF(C4471="","",COUNTA($C$3:C4471))</f>
        <v/>
      </c>
      <c r="B4471" s="15" t="str">
        <f t="shared" si="360"/>
        <v/>
      </c>
      <c r="M4471" s="9"/>
      <c r="N4471" s="9"/>
      <c r="P4471" s="14"/>
      <c r="Q4471" s="85"/>
      <c r="R4471" s="89"/>
      <c r="U4471" s="11" t="str">
        <f t="shared" si="358"/>
        <v/>
      </c>
      <c r="V4471" s="12" t="str">
        <f t="shared" si="359"/>
        <v/>
      </c>
      <c r="Z4471" s="15"/>
    </row>
    <row r="4472" spans="1:26" x14ac:dyDescent="0.25">
      <c r="A4472" s="15" t="str">
        <f>IF(C4472="","",COUNTA($C$3:C4472))</f>
        <v/>
      </c>
      <c r="B4472" s="15" t="str">
        <f t="shared" si="360"/>
        <v/>
      </c>
      <c r="M4472" s="9"/>
      <c r="N4472" s="9"/>
      <c r="P4472" s="14"/>
      <c r="Q4472" s="85"/>
      <c r="R4472" s="89"/>
      <c r="U4472" s="11" t="str">
        <f t="shared" si="358"/>
        <v/>
      </c>
      <c r="V4472" s="12" t="str">
        <f t="shared" si="359"/>
        <v/>
      </c>
      <c r="Z4472" s="15"/>
    </row>
    <row r="4473" spans="1:26" x14ac:dyDescent="0.25">
      <c r="A4473" s="15" t="str">
        <f>IF(C4473="","",COUNTA($C$3:C4473))</f>
        <v/>
      </c>
      <c r="B4473" s="15" t="str">
        <f t="shared" si="360"/>
        <v/>
      </c>
      <c r="M4473" s="9"/>
      <c r="N4473" s="9"/>
      <c r="P4473" s="14"/>
      <c r="Q4473" s="85"/>
      <c r="R4473" s="89"/>
      <c r="U4473" s="11" t="str">
        <f t="shared" si="358"/>
        <v/>
      </c>
      <c r="V4473" s="12" t="str">
        <f t="shared" si="359"/>
        <v/>
      </c>
      <c r="Z4473" s="15"/>
    </row>
    <row r="4474" spans="1:26" x14ac:dyDescent="0.25">
      <c r="A4474" s="15" t="str">
        <f>IF(C4474="","",COUNTA($C$3:C4474))</f>
        <v/>
      </c>
      <c r="B4474" s="15" t="str">
        <f t="shared" si="360"/>
        <v/>
      </c>
      <c r="M4474" s="9"/>
      <c r="N4474" s="9"/>
      <c r="P4474" s="14"/>
      <c r="Q4474" s="85"/>
      <c r="R4474" s="89"/>
      <c r="U4474" s="11" t="str">
        <f t="shared" si="358"/>
        <v/>
      </c>
      <c r="V4474" s="12" t="str">
        <f t="shared" si="359"/>
        <v/>
      </c>
      <c r="Z4474" s="15"/>
    </row>
    <row r="4475" spans="1:26" x14ac:dyDescent="0.25">
      <c r="A4475" s="15" t="str">
        <f>IF(C4475="","",COUNTA($C$3:C4475))</f>
        <v/>
      </c>
      <c r="B4475" s="15" t="str">
        <f t="shared" si="360"/>
        <v/>
      </c>
      <c r="M4475" s="9"/>
      <c r="N4475" s="9"/>
      <c r="P4475" s="14"/>
      <c r="Q4475" s="85"/>
      <c r="R4475" s="89"/>
      <c r="U4475" s="11" t="str">
        <f t="shared" si="358"/>
        <v/>
      </c>
      <c r="V4475" s="12" t="str">
        <f t="shared" si="359"/>
        <v/>
      </c>
      <c r="Z4475" s="15"/>
    </row>
    <row r="4476" spans="1:26" x14ac:dyDescent="0.25">
      <c r="A4476" s="15" t="str">
        <f>IF(C4476="","",COUNTA($C$3:C4476))</f>
        <v/>
      </c>
      <c r="B4476" s="15" t="str">
        <f t="shared" si="360"/>
        <v/>
      </c>
      <c r="M4476" s="9"/>
      <c r="N4476" s="9"/>
      <c r="P4476" s="14"/>
      <c r="Q4476" s="85"/>
      <c r="R4476" s="89"/>
      <c r="U4476" s="11" t="str">
        <f t="shared" si="358"/>
        <v/>
      </c>
      <c r="V4476" s="12" t="str">
        <f t="shared" si="359"/>
        <v/>
      </c>
      <c r="Z4476" s="15"/>
    </row>
    <row r="4477" spans="1:26" x14ac:dyDescent="0.25">
      <c r="A4477" s="15" t="str">
        <f>IF(C4477="","",COUNTA($C$3:C4477))</f>
        <v/>
      </c>
      <c r="B4477" s="15" t="str">
        <f t="shared" si="360"/>
        <v/>
      </c>
      <c r="M4477" s="9"/>
      <c r="N4477" s="9"/>
      <c r="P4477" s="14"/>
      <c r="Q4477" s="85"/>
      <c r="R4477" s="89"/>
      <c r="U4477" s="11" t="str">
        <f t="shared" si="358"/>
        <v/>
      </c>
      <c r="V4477" s="12" t="str">
        <f t="shared" si="359"/>
        <v/>
      </c>
      <c r="Z4477" s="15"/>
    </row>
    <row r="4478" spans="1:26" x14ac:dyDescent="0.25">
      <c r="A4478" s="15" t="str">
        <f>IF(C4478="","",COUNTA($C$3:C4478))</f>
        <v/>
      </c>
      <c r="B4478" s="15" t="str">
        <f t="shared" si="360"/>
        <v/>
      </c>
      <c r="M4478" s="9"/>
      <c r="N4478" s="9"/>
      <c r="P4478" s="14"/>
      <c r="Q4478" s="85"/>
      <c r="R4478" s="89"/>
      <c r="U4478" s="11" t="str">
        <f t="shared" si="358"/>
        <v/>
      </c>
      <c r="V4478" s="12" t="str">
        <f t="shared" si="359"/>
        <v/>
      </c>
      <c r="Z4478" s="15"/>
    </row>
    <row r="4479" spans="1:26" x14ac:dyDescent="0.25">
      <c r="A4479" s="15" t="str">
        <f>IF(C4479="","",COUNTA($C$3:C4479))</f>
        <v/>
      </c>
      <c r="B4479" s="15" t="str">
        <f t="shared" si="360"/>
        <v/>
      </c>
      <c r="M4479" s="9"/>
      <c r="N4479" s="9"/>
      <c r="P4479" s="14"/>
      <c r="Q4479" s="85"/>
      <c r="R4479" s="89"/>
      <c r="U4479" s="11" t="str">
        <f t="shared" si="358"/>
        <v/>
      </c>
      <c r="V4479" s="12" t="str">
        <f t="shared" si="359"/>
        <v/>
      </c>
      <c r="Z4479" s="15"/>
    </row>
    <row r="4480" spans="1:26" x14ac:dyDescent="0.25">
      <c r="A4480" s="15" t="str">
        <f>IF(C4480="","",COUNTA($C$3:C4480))</f>
        <v/>
      </c>
      <c r="B4480" s="15" t="str">
        <f t="shared" si="360"/>
        <v/>
      </c>
      <c r="M4480" s="9"/>
      <c r="N4480" s="9"/>
      <c r="P4480" s="14"/>
      <c r="Q4480" s="85"/>
      <c r="R4480" s="89"/>
      <c r="U4480" s="11" t="str">
        <f t="shared" si="358"/>
        <v/>
      </c>
      <c r="V4480" s="12" t="str">
        <f t="shared" si="359"/>
        <v/>
      </c>
      <c r="Z4480" s="15"/>
    </row>
    <row r="4481" spans="1:26" x14ac:dyDescent="0.25">
      <c r="A4481" s="15" t="str">
        <f>IF(C4481="","",COUNTA($C$3:C4481))</f>
        <v/>
      </c>
      <c r="B4481" s="15" t="str">
        <f t="shared" si="360"/>
        <v/>
      </c>
      <c r="M4481" s="9"/>
      <c r="N4481" s="9"/>
      <c r="P4481" s="14"/>
      <c r="Q4481" s="85"/>
      <c r="R4481" s="89"/>
      <c r="U4481" s="11" t="str">
        <f t="shared" si="358"/>
        <v/>
      </c>
      <c r="V4481" s="12" t="str">
        <f t="shared" si="359"/>
        <v/>
      </c>
      <c r="Z4481" s="15"/>
    </row>
    <row r="4482" spans="1:26" x14ac:dyDescent="0.25">
      <c r="A4482" s="15" t="str">
        <f>IF(C4482="","",COUNTA($C$3:C4482))</f>
        <v/>
      </c>
      <c r="B4482" s="15" t="str">
        <f t="shared" si="360"/>
        <v/>
      </c>
      <c r="M4482" s="9"/>
      <c r="N4482" s="9"/>
      <c r="P4482" s="14"/>
      <c r="Q4482" s="85"/>
      <c r="R4482" s="89"/>
      <c r="U4482" s="11" t="str">
        <f t="shared" ref="U4482:U4545" si="361">IF(S4482="","",(S4482-T4482))</f>
        <v/>
      </c>
      <c r="V4482" s="12" t="str">
        <f t="shared" ref="V4482:V4545" si="362">IF(U4482="","",(U4482/T4482))</f>
        <v/>
      </c>
      <c r="Z4482" s="15"/>
    </row>
    <row r="4483" spans="1:26" x14ac:dyDescent="0.25">
      <c r="A4483" s="15" t="str">
        <f>IF(C4483="","",COUNTA($C$3:C4483))</f>
        <v/>
      </c>
      <c r="B4483" s="15" t="str">
        <f t="shared" ref="B4483:B4546" si="363">IF(C4483="","",TEXT(C4483,"mmmm"))</f>
        <v/>
      </c>
      <c r="M4483" s="9"/>
      <c r="N4483" s="9"/>
      <c r="P4483" s="14"/>
      <c r="Q4483" s="85"/>
      <c r="R4483" s="89"/>
      <c r="U4483" s="11" t="str">
        <f t="shared" si="361"/>
        <v/>
      </c>
      <c r="V4483" s="12" t="str">
        <f t="shared" si="362"/>
        <v/>
      </c>
      <c r="Z4483" s="15"/>
    </row>
    <row r="4484" spans="1:26" x14ac:dyDescent="0.25">
      <c r="A4484" s="15" t="str">
        <f>IF(C4484="","",COUNTA($C$3:C4484))</f>
        <v/>
      </c>
      <c r="B4484" s="15" t="str">
        <f t="shared" si="363"/>
        <v/>
      </c>
      <c r="M4484" s="9"/>
      <c r="N4484" s="9"/>
      <c r="P4484" s="14"/>
      <c r="Q4484" s="85"/>
      <c r="R4484" s="89"/>
      <c r="U4484" s="11" t="str">
        <f t="shared" si="361"/>
        <v/>
      </c>
      <c r="V4484" s="12" t="str">
        <f t="shared" si="362"/>
        <v/>
      </c>
      <c r="Z4484" s="15"/>
    </row>
    <row r="4485" spans="1:26" x14ac:dyDescent="0.25">
      <c r="A4485" s="15" t="str">
        <f>IF(C4485="","",COUNTA($C$3:C4485))</f>
        <v/>
      </c>
      <c r="B4485" s="15" t="str">
        <f t="shared" si="363"/>
        <v/>
      </c>
      <c r="M4485" s="9"/>
      <c r="N4485" s="9"/>
      <c r="P4485" s="14"/>
      <c r="Q4485" s="85"/>
      <c r="R4485" s="89"/>
      <c r="U4485" s="11" t="str">
        <f t="shared" si="361"/>
        <v/>
      </c>
      <c r="V4485" s="12" t="str">
        <f t="shared" si="362"/>
        <v/>
      </c>
      <c r="Z4485" s="15"/>
    </row>
    <row r="4486" spans="1:26" x14ac:dyDescent="0.25">
      <c r="A4486" s="15" t="str">
        <f>IF(C4486="","",COUNTA($C$3:C4486))</f>
        <v/>
      </c>
      <c r="B4486" s="15" t="str">
        <f t="shared" si="363"/>
        <v/>
      </c>
      <c r="M4486" s="9"/>
      <c r="N4486" s="9"/>
      <c r="P4486" s="14"/>
      <c r="Q4486" s="85"/>
      <c r="R4486" s="89"/>
      <c r="U4486" s="11" t="str">
        <f t="shared" si="361"/>
        <v/>
      </c>
      <c r="V4486" s="12" t="str">
        <f t="shared" si="362"/>
        <v/>
      </c>
      <c r="Z4486" s="15"/>
    </row>
    <row r="4487" spans="1:26" x14ac:dyDescent="0.25">
      <c r="A4487" s="15" t="str">
        <f>IF(C4487="","",COUNTA($C$3:C4487))</f>
        <v/>
      </c>
      <c r="B4487" s="15" t="str">
        <f t="shared" si="363"/>
        <v/>
      </c>
      <c r="M4487" s="9"/>
      <c r="N4487" s="9"/>
      <c r="P4487" s="14"/>
      <c r="Q4487" s="85"/>
      <c r="R4487" s="89"/>
      <c r="U4487" s="11" t="str">
        <f t="shared" si="361"/>
        <v/>
      </c>
      <c r="V4487" s="12" t="str">
        <f t="shared" si="362"/>
        <v/>
      </c>
      <c r="Z4487" s="15"/>
    </row>
    <row r="4488" spans="1:26" x14ac:dyDescent="0.25">
      <c r="A4488" s="15" t="str">
        <f>IF(C4488="","",COUNTA($C$3:C4488))</f>
        <v/>
      </c>
      <c r="B4488" s="15" t="str">
        <f t="shared" si="363"/>
        <v/>
      </c>
      <c r="M4488" s="9"/>
      <c r="N4488" s="9"/>
      <c r="P4488" s="14"/>
      <c r="Q4488" s="85"/>
      <c r="R4488" s="89"/>
      <c r="U4488" s="11" t="str">
        <f t="shared" si="361"/>
        <v/>
      </c>
      <c r="V4488" s="12" t="str">
        <f t="shared" si="362"/>
        <v/>
      </c>
      <c r="Z4488" s="15"/>
    </row>
    <row r="4489" spans="1:26" x14ac:dyDescent="0.25">
      <c r="A4489" s="15" t="str">
        <f>IF(C4489="","",COUNTA($C$3:C4489))</f>
        <v/>
      </c>
      <c r="B4489" s="15" t="str">
        <f t="shared" si="363"/>
        <v/>
      </c>
      <c r="M4489" s="9"/>
      <c r="N4489" s="9"/>
      <c r="P4489" s="14"/>
      <c r="Q4489" s="85"/>
      <c r="R4489" s="89"/>
      <c r="U4489" s="11" t="str">
        <f t="shared" si="361"/>
        <v/>
      </c>
      <c r="V4489" s="12" t="str">
        <f t="shared" si="362"/>
        <v/>
      </c>
      <c r="Z4489" s="15"/>
    </row>
    <row r="4490" spans="1:26" x14ac:dyDescent="0.25">
      <c r="A4490" s="15" t="str">
        <f>IF(C4490="","",COUNTA($C$3:C4490))</f>
        <v/>
      </c>
      <c r="B4490" s="15" t="str">
        <f t="shared" si="363"/>
        <v/>
      </c>
      <c r="M4490" s="9"/>
      <c r="N4490" s="9"/>
      <c r="P4490" s="14"/>
      <c r="Q4490" s="85"/>
      <c r="R4490" s="89"/>
      <c r="U4490" s="11" t="str">
        <f t="shared" si="361"/>
        <v/>
      </c>
      <c r="V4490" s="12" t="str">
        <f t="shared" si="362"/>
        <v/>
      </c>
      <c r="Z4490" s="15"/>
    </row>
    <row r="4491" spans="1:26" x14ac:dyDescent="0.25">
      <c r="A4491" s="15" t="str">
        <f>IF(C4491="","",COUNTA($C$3:C4491))</f>
        <v/>
      </c>
      <c r="B4491" s="15" t="str">
        <f t="shared" si="363"/>
        <v/>
      </c>
      <c r="M4491" s="9"/>
      <c r="N4491" s="9"/>
      <c r="P4491" s="14"/>
      <c r="Q4491" s="85"/>
      <c r="R4491" s="89"/>
      <c r="U4491" s="11" t="str">
        <f t="shared" si="361"/>
        <v/>
      </c>
      <c r="V4491" s="12" t="str">
        <f t="shared" si="362"/>
        <v/>
      </c>
      <c r="Z4491" s="15"/>
    </row>
    <row r="4492" spans="1:26" x14ac:dyDescent="0.25">
      <c r="A4492" s="15" t="str">
        <f>IF(C4492="","",COUNTA($C$3:C4492))</f>
        <v/>
      </c>
      <c r="B4492" s="15" t="str">
        <f t="shared" si="363"/>
        <v/>
      </c>
      <c r="M4492" s="9"/>
      <c r="N4492" s="9"/>
      <c r="P4492" s="14"/>
      <c r="Q4492" s="85"/>
      <c r="R4492" s="89"/>
      <c r="U4492" s="11" t="str">
        <f t="shared" si="361"/>
        <v/>
      </c>
      <c r="V4492" s="12" t="str">
        <f t="shared" si="362"/>
        <v/>
      </c>
      <c r="Z4492" s="15"/>
    </row>
    <row r="4493" spans="1:26" x14ac:dyDescent="0.25">
      <c r="A4493" s="15" t="str">
        <f>IF(C4493="","",COUNTA($C$3:C4493))</f>
        <v/>
      </c>
      <c r="B4493" s="15" t="str">
        <f t="shared" si="363"/>
        <v/>
      </c>
      <c r="M4493" s="9"/>
      <c r="N4493" s="9"/>
      <c r="P4493" s="14"/>
      <c r="Q4493" s="85"/>
      <c r="R4493" s="89"/>
      <c r="U4493" s="11" t="str">
        <f t="shared" si="361"/>
        <v/>
      </c>
      <c r="V4493" s="12" t="str">
        <f t="shared" si="362"/>
        <v/>
      </c>
      <c r="Z4493" s="15"/>
    </row>
    <row r="4494" spans="1:26" x14ac:dyDescent="0.25">
      <c r="A4494" s="15" t="str">
        <f>IF(C4494="","",COUNTA($C$3:C4494))</f>
        <v/>
      </c>
      <c r="B4494" s="15" t="str">
        <f t="shared" si="363"/>
        <v/>
      </c>
      <c r="M4494" s="9"/>
      <c r="N4494" s="9"/>
      <c r="P4494" s="14"/>
      <c r="Q4494" s="85"/>
      <c r="R4494" s="89"/>
      <c r="U4494" s="11" t="str">
        <f t="shared" si="361"/>
        <v/>
      </c>
      <c r="V4494" s="12" t="str">
        <f t="shared" si="362"/>
        <v/>
      </c>
      <c r="Z4494" s="15"/>
    </row>
    <row r="4495" spans="1:26" x14ac:dyDescent="0.25">
      <c r="A4495" s="15" t="str">
        <f>IF(C4495="","",COUNTA($C$3:C4495))</f>
        <v/>
      </c>
      <c r="B4495" s="15" t="str">
        <f t="shared" si="363"/>
        <v/>
      </c>
      <c r="M4495" s="9"/>
      <c r="N4495" s="9"/>
      <c r="P4495" s="14"/>
      <c r="Q4495" s="85"/>
      <c r="R4495" s="89"/>
      <c r="U4495" s="11" t="str">
        <f t="shared" si="361"/>
        <v/>
      </c>
      <c r="V4495" s="12" t="str">
        <f t="shared" si="362"/>
        <v/>
      </c>
      <c r="Z4495" s="15"/>
    </row>
    <row r="4496" spans="1:26" x14ac:dyDescent="0.25">
      <c r="A4496" s="15" t="str">
        <f>IF(C4496="","",COUNTA($C$3:C4496))</f>
        <v/>
      </c>
      <c r="B4496" s="15" t="str">
        <f t="shared" si="363"/>
        <v/>
      </c>
      <c r="M4496" s="9"/>
      <c r="N4496" s="9"/>
      <c r="P4496" s="14"/>
      <c r="Q4496" s="85"/>
      <c r="R4496" s="89"/>
      <c r="U4496" s="11" t="str">
        <f t="shared" si="361"/>
        <v/>
      </c>
      <c r="V4496" s="12" t="str">
        <f t="shared" si="362"/>
        <v/>
      </c>
      <c r="Z4496" s="15"/>
    </row>
    <row r="4497" spans="1:26" x14ac:dyDescent="0.25">
      <c r="A4497" s="15" t="str">
        <f>IF(C4497="","",COUNTA($C$3:C4497))</f>
        <v/>
      </c>
      <c r="B4497" s="15" t="str">
        <f t="shared" si="363"/>
        <v/>
      </c>
      <c r="M4497" s="9"/>
      <c r="N4497" s="9"/>
      <c r="P4497" s="14"/>
      <c r="Q4497" s="85"/>
      <c r="R4497" s="89"/>
      <c r="U4497" s="11" t="str">
        <f t="shared" si="361"/>
        <v/>
      </c>
      <c r="V4497" s="12" t="str">
        <f t="shared" si="362"/>
        <v/>
      </c>
      <c r="Z4497" s="15"/>
    </row>
    <row r="4498" spans="1:26" x14ac:dyDescent="0.25">
      <c r="A4498" s="15" t="str">
        <f>IF(C4498="","",COUNTA($C$3:C4498))</f>
        <v/>
      </c>
      <c r="B4498" s="15" t="str">
        <f t="shared" si="363"/>
        <v/>
      </c>
      <c r="M4498" s="9"/>
      <c r="N4498" s="9"/>
      <c r="P4498" s="14"/>
      <c r="Q4498" s="85"/>
      <c r="R4498" s="89"/>
      <c r="U4498" s="11" t="str">
        <f t="shared" si="361"/>
        <v/>
      </c>
      <c r="V4498" s="12" t="str">
        <f t="shared" si="362"/>
        <v/>
      </c>
      <c r="Z4498" s="15"/>
    </row>
    <row r="4499" spans="1:26" x14ac:dyDescent="0.25">
      <c r="A4499" s="15" t="str">
        <f>IF(C4499="","",COUNTA($C$3:C4499))</f>
        <v/>
      </c>
      <c r="B4499" s="15" t="str">
        <f t="shared" si="363"/>
        <v/>
      </c>
      <c r="M4499" s="9"/>
      <c r="N4499" s="9"/>
      <c r="P4499" s="14"/>
      <c r="Q4499" s="85"/>
      <c r="R4499" s="89"/>
      <c r="U4499" s="11" t="str">
        <f t="shared" si="361"/>
        <v/>
      </c>
      <c r="V4499" s="12" t="str">
        <f t="shared" si="362"/>
        <v/>
      </c>
      <c r="Z4499" s="15"/>
    </row>
    <row r="4500" spans="1:26" x14ac:dyDescent="0.25">
      <c r="A4500" s="15" t="str">
        <f>IF(C4500="","",COUNTA($C$3:C4500))</f>
        <v/>
      </c>
      <c r="B4500" s="15" t="str">
        <f t="shared" si="363"/>
        <v/>
      </c>
      <c r="M4500" s="9"/>
      <c r="N4500" s="9"/>
      <c r="P4500" s="14"/>
      <c r="Q4500" s="85"/>
      <c r="R4500" s="89"/>
      <c r="U4500" s="11" t="str">
        <f t="shared" si="361"/>
        <v/>
      </c>
      <c r="V4500" s="12" t="str">
        <f t="shared" si="362"/>
        <v/>
      </c>
      <c r="Z4500" s="15"/>
    </row>
    <row r="4501" spans="1:26" x14ac:dyDescent="0.25">
      <c r="A4501" s="15" t="str">
        <f>IF(C4501="","",COUNTA($C$3:C4501))</f>
        <v/>
      </c>
      <c r="B4501" s="15" t="str">
        <f t="shared" si="363"/>
        <v/>
      </c>
      <c r="M4501" s="9"/>
      <c r="N4501" s="9"/>
      <c r="P4501" s="14"/>
      <c r="Q4501" s="85"/>
      <c r="R4501" s="89"/>
      <c r="U4501" s="11" t="str">
        <f t="shared" si="361"/>
        <v/>
      </c>
      <c r="V4501" s="12" t="str">
        <f t="shared" si="362"/>
        <v/>
      </c>
      <c r="Z4501" s="15"/>
    </row>
    <row r="4502" spans="1:26" x14ac:dyDescent="0.25">
      <c r="A4502" s="15" t="str">
        <f>IF(C4502="","",COUNTA($C$3:C4502))</f>
        <v/>
      </c>
      <c r="B4502" s="15" t="str">
        <f t="shared" si="363"/>
        <v/>
      </c>
      <c r="M4502" s="9"/>
      <c r="N4502" s="9"/>
      <c r="P4502" s="14"/>
      <c r="Q4502" s="85"/>
      <c r="R4502" s="89"/>
      <c r="U4502" s="11" t="str">
        <f t="shared" si="361"/>
        <v/>
      </c>
      <c r="V4502" s="12" t="str">
        <f t="shared" si="362"/>
        <v/>
      </c>
      <c r="Z4502" s="15"/>
    </row>
    <row r="4503" spans="1:26" x14ac:dyDescent="0.25">
      <c r="A4503" s="15" t="str">
        <f>IF(C4503="","",COUNTA($C$3:C4503))</f>
        <v/>
      </c>
      <c r="B4503" s="15" t="str">
        <f t="shared" si="363"/>
        <v/>
      </c>
      <c r="M4503" s="9"/>
      <c r="N4503" s="9"/>
      <c r="P4503" s="14"/>
      <c r="Q4503" s="85"/>
      <c r="R4503" s="89"/>
      <c r="U4503" s="11" t="str">
        <f t="shared" si="361"/>
        <v/>
      </c>
      <c r="V4503" s="12" t="str">
        <f t="shared" si="362"/>
        <v/>
      </c>
      <c r="Z4503" s="15"/>
    </row>
    <row r="4504" spans="1:26" x14ac:dyDescent="0.25">
      <c r="A4504" s="15" t="str">
        <f>IF(C4504="","",COUNTA($C$3:C4504))</f>
        <v/>
      </c>
      <c r="B4504" s="15" t="str">
        <f t="shared" si="363"/>
        <v/>
      </c>
      <c r="M4504" s="9"/>
      <c r="N4504" s="9"/>
      <c r="P4504" s="14"/>
      <c r="Q4504" s="85"/>
      <c r="R4504" s="89"/>
      <c r="U4504" s="11" t="str">
        <f t="shared" si="361"/>
        <v/>
      </c>
      <c r="V4504" s="12" t="str">
        <f t="shared" si="362"/>
        <v/>
      </c>
      <c r="Z4504" s="15"/>
    </row>
    <row r="4505" spans="1:26" x14ac:dyDescent="0.25">
      <c r="A4505" s="15" t="str">
        <f>IF(C4505="","",COUNTA($C$3:C4505))</f>
        <v/>
      </c>
      <c r="B4505" s="15" t="str">
        <f t="shared" si="363"/>
        <v/>
      </c>
      <c r="M4505" s="9"/>
      <c r="N4505" s="9"/>
      <c r="P4505" s="14"/>
      <c r="Q4505" s="85"/>
      <c r="R4505" s="89"/>
      <c r="U4505" s="11" t="str">
        <f t="shared" si="361"/>
        <v/>
      </c>
      <c r="V4505" s="12" t="str">
        <f t="shared" si="362"/>
        <v/>
      </c>
      <c r="Z4505" s="15"/>
    </row>
    <row r="4506" spans="1:26" x14ac:dyDescent="0.25">
      <c r="A4506" s="15" t="str">
        <f>IF(C4506="","",COUNTA($C$3:C4506))</f>
        <v/>
      </c>
      <c r="B4506" s="15" t="str">
        <f t="shared" si="363"/>
        <v/>
      </c>
      <c r="M4506" s="9"/>
      <c r="N4506" s="9"/>
      <c r="P4506" s="14"/>
      <c r="Q4506" s="85"/>
      <c r="R4506" s="89"/>
      <c r="U4506" s="11" t="str">
        <f t="shared" si="361"/>
        <v/>
      </c>
      <c r="V4506" s="12" t="str">
        <f t="shared" si="362"/>
        <v/>
      </c>
      <c r="Z4506" s="15"/>
    </row>
    <row r="4507" spans="1:26" x14ac:dyDescent="0.25">
      <c r="A4507" s="15" t="str">
        <f>IF(C4507="","",COUNTA($C$3:C4507))</f>
        <v/>
      </c>
      <c r="B4507" s="15" t="str">
        <f t="shared" si="363"/>
        <v/>
      </c>
      <c r="M4507" s="9"/>
      <c r="N4507" s="9"/>
      <c r="P4507" s="14"/>
      <c r="Q4507" s="85"/>
      <c r="R4507" s="89"/>
      <c r="U4507" s="11" t="str">
        <f t="shared" si="361"/>
        <v/>
      </c>
      <c r="V4507" s="12" t="str">
        <f t="shared" si="362"/>
        <v/>
      </c>
      <c r="Z4507" s="15"/>
    </row>
    <row r="4508" spans="1:26" x14ac:dyDescent="0.25">
      <c r="A4508" s="15" t="str">
        <f>IF(C4508="","",COUNTA($C$3:C4508))</f>
        <v/>
      </c>
      <c r="B4508" s="15" t="str">
        <f t="shared" si="363"/>
        <v/>
      </c>
      <c r="M4508" s="9"/>
      <c r="N4508" s="9"/>
      <c r="P4508" s="14"/>
      <c r="Q4508" s="85"/>
      <c r="R4508" s="89"/>
      <c r="U4508" s="11" t="str">
        <f t="shared" si="361"/>
        <v/>
      </c>
      <c r="V4508" s="12" t="str">
        <f t="shared" si="362"/>
        <v/>
      </c>
      <c r="Z4508" s="15"/>
    </row>
    <row r="4509" spans="1:26" x14ac:dyDescent="0.25">
      <c r="A4509" s="15" t="str">
        <f>IF(C4509="","",COUNTA($C$3:C4509))</f>
        <v/>
      </c>
      <c r="B4509" s="15" t="str">
        <f t="shared" si="363"/>
        <v/>
      </c>
      <c r="M4509" s="9"/>
      <c r="N4509" s="9"/>
      <c r="P4509" s="14"/>
      <c r="Q4509" s="85"/>
      <c r="R4509" s="89"/>
      <c r="U4509" s="11" t="str">
        <f t="shared" si="361"/>
        <v/>
      </c>
      <c r="V4509" s="12" t="str">
        <f t="shared" si="362"/>
        <v/>
      </c>
      <c r="Z4509" s="15"/>
    </row>
    <row r="4510" spans="1:26" x14ac:dyDescent="0.25">
      <c r="A4510" s="15" t="str">
        <f>IF(C4510="","",COUNTA($C$3:C4510))</f>
        <v/>
      </c>
      <c r="B4510" s="15" t="str">
        <f t="shared" si="363"/>
        <v/>
      </c>
      <c r="M4510" s="9"/>
      <c r="N4510" s="9"/>
      <c r="P4510" s="14"/>
      <c r="Q4510" s="85"/>
      <c r="R4510" s="89"/>
      <c r="U4510" s="11" t="str">
        <f t="shared" si="361"/>
        <v/>
      </c>
      <c r="V4510" s="12" t="str">
        <f t="shared" si="362"/>
        <v/>
      </c>
      <c r="Z4510" s="15"/>
    </row>
    <row r="4511" spans="1:26" x14ac:dyDescent="0.25">
      <c r="A4511" s="15" t="str">
        <f>IF(C4511="","",COUNTA($C$3:C4511))</f>
        <v/>
      </c>
      <c r="B4511" s="15" t="str">
        <f t="shared" si="363"/>
        <v/>
      </c>
      <c r="M4511" s="9"/>
      <c r="N4511" s="9"/>
      <c r="P4511" s="14"/>
      <c r="Q4511" s="85"/>
      <c r="R4511" s="89"/>
      <c r="U4511" s="11" t="str">
        <f t="shared" si="361"/>
        <v/>
      </c>
      <c r="V4511" s="12" t="str">
        <f t="shared" si="362"/>
        <v/>
      </c>
      <c r="Z4511" s="15"/>
    </row>
    <row r="4512" spans="1:26" x14ac:dyDescent="0.25">
      <c r="A4512" s="15" t="str">
        <f>IF(C4512="","",COUNTA($C$3:C4512))</f>
        <v/>
      </c>
      <c r="B4512" s="15" t="str">
        <f t="shared" si="363"/>
        <v/>
      </c>
      <c r="M4512" s="9"/>
      <c r="N4512" s="9"/>
      <c r="P4512" s="14"/>
      <c r="Q4512" s="85"/>
      <c r="R4512" s="89"/>
      <c r="U4512" s="11" t="str">
        <f t="shared" si="361"/>
        <v/>
      </c>
      <c r="V4512" s="12" t="str">
        <f t="shared" si="362"/>
        <v/>
      </c>
      <c r="Z4512" s="15"/>
    </row>
    <row r="4513" spans="1:26" x14ac:dyDescent="0.25">
      <c r="A4513" s="15" t="str">
        <f>IF(C4513="","",COUNTA($C$3:C4513))</f>
        <v/>
      </c>
      <c r="B4513" s="15" t="str">
        <f t="shared" si="363"/>
        <v/>
      </c>
      <c r="M4513" s="9"/>
      <c r="N4513" s="9"/>
      <c r="P4513" s="14"/>
      <c r="Q4513" s="85"/>
      <c r="R4513" s="89"/>
      <c r="U4513" s="11" t="str">
        <f t="shared" si="361"/>
        <v/>
      </c>
      <c r="V4513" s="12" t="str">
        <f t="shared" si="362"/>
        <v/>
      </c>
      <c r="Z4513" s="15"/>
    </row>
    <row r="4514" spans="1:26" x14ac:dyDescent="0.25">
      <c r="A4514" s="15" t="str">
        <f>IF(C4514="","",COUNTA($C$3:C4514))</f>
        <v/>
      </c>
      <c r="B4514" s="15" t="str">
        <f t="shared" si="363"/>
        <v/>
      </c>
      <c r="M4514" s="9"/>
      <c r="N4514" s="9"/>
      <c r="P4514" s="14"/>
      <c r="Q4514" s="85"/>
      <c r="R4514" s="89"/>
      <c r="U4514" s="11" t="str">
        <f t="shared" si="361"/>
        <v/>
      </c>
      <c r="V4514" s="12" t="str">
        <f t="shared" si="362"/>
        <v/>
      </c>
      <c r="Z4514" s="15"/>
    </row>
    <row r="4515" spans="1:26" x14ac:dyDescent="0.25">
      <c r="A4515" s="15" t="str">
        <f>IF(C4515="","",COUNTA($C$3:C4515))</f>
        <v/>
      </c>
      <c r="B4515" s="15" t="str">
        <f t="shared" si="363"/>
        <v/>
      </c>
      <c r="M4515" s="9"/>
      <c r="N4515" s="9"/>
      <c r="P4515" s="14"/>
      <c r="Q4515" s="85"/>
      <c r="R4515" s="89"/>
      <c r="U4515" s="11" t="str">
        <f t="shared" si="361"/>
        <v/>
      </c>
      <c r="V4515" s="12" t="str">
        <f t="shared" si="362"/>
        <v/>
      </c>
      <c r="Z4515" s="15"/>
    </row>
    <row r="4516" spans="1:26" x14ac:dyDescent="0.25">
      <c r="A4516" s="15" t="str">
        <f>IF(C4516="","",COUNTA($C$3:C4516))</f>
        <v/>
      </c>
      <c r="B4516" s="15" t="str">
        <f t="shared" si="363"/>
        <v/>
      </c>
      <c r="M4516" s="9"/>
      <c r="N4516" s="9"/>
      <c r="P4516" s="14"/>
      <c r="Q4516" s="85"/>
      <c r="R4516" s="89"/>
      <c r="U4516" s="11" t="str">
        <f t="shared" si="361"/>
        <v/>
      </c>
      <c r="V4516" s="12" t="str">
        <f t="shared" si="362"/>
        <v/>
      </c>
      <c r="Z4516" s="15"/>
    </row>
    <row r="4517" spans="1:26" x14ac:dyDescent="0.25">
      <c r="A4517" s="15" t="str">
        <f>IF(C4517="","",COUNTA($C$3:C4517))</f>
        <v/>
      </c>
      <c r="B4517" s="15" t="str">
        <f t="shared" si="363"/>
        <v/>
      </c>
      <c r="M4517" s="9"/>
      <c r="N4517" s="9"/>
      <c r="P4517" s="14"/>
      <c r="Q4517" s="85"/>
      <c r="R4517" s="89"/>
      <c r="U4517" s="11" t="str">
        <f t="shared" si="361"/>
        <v/>
      </c>
      <c r="V4517" s="12" t="str">
        <f t="shared" si="362"/>
        <v/>
      </c>
      <c r="Z4517" s="15"/>
    </row>
    <row r="4518" spans="1:26" x14ac:dyDescent="0.25">
      <c r="A4518" s="15" t="str">
        <f>IF(C4518="","",COUNTA($C$3:C4518))</f>
        <v/>
      </c>
      <c r="B4518" s="15" t="str">
        <f t="shared" si="363"/>
        <v/>
      </c>
      <c r="M4518" s="9"/>
      <c r="N4518" s="9"/>
      <c r="P4518" s="14"/>
      <c r="Q4518" s="85"/>
      <c r="R4518" s="89"/>
      <c r="U4518" s="11" t="str">
        <f t="shared" si="361"/>
        <v/>
      </c>
      <c r="V4518" s="12" t="str">
        <f t="shared" si="362"/>
        <v/>
      </c>
      <c r="Z4518" s="15"/>
    </row>
    <row r="4519" spans="1:26" x14ac:dyDescent="0.25">
      <c r="A4519" s="15" t="str">
        <f>IF(C4519="","",COUNTA($C$3:C4519))</f>
        <v/>
      </c>
      <c r="B4519" s="15" t="str">
        <f t="shared" si="363"/>
        <v/>
      </c>
      <c r="M4519" s="9"/>
      <c r="N4519" s="9"/>
      <c r="P4519" s="14"/>
      <c r="Q4519" s="85"/>
      <c r="R4519" s="89"/>
      <c r="U4519" s="11" t="str">
        <f t="shared" si="361"/>
        <v/>
      </c>
      <c r="V4519" s="12" t="str">
        <f t="shared" si="362"/>
        <v/>
      </c>
      <c r="Z4519" s="15"/>
    </row>
    <row r="4520" spans="1:26" x14ac:dyDescent="0.25">
      <c r="A4520" s="15" t="str">
        <f>IF(C4520="","",COUNTA($C$3:C4520))</f>
        <v/>
      </c>
      <c r="B4520" s="15" t="str">
        <f t="shared" si="363"/>
        <v/>
      </c>
      <c r="M4520" s="9"/>
      <c r="N4520" s="9"/>
      <c r="P4520" s="14"/>
      <c r="Q4520" s="85"/>
      <c r="R4520" s="89"/>
      <c r="U4520" s="11" t="str">
        <f t="shared" si="361"/>
        <v/>
      </c>
      <c r="V4520" s="12" t="str">
        <f t="shared" si="362"/>
        <v/>
      </c>
      <c r="Z4520" s="15"/>
    </row>
    <row r="4521" spans="1:26" x14ac:dyDescent="0.25">
      <c r="A4521" s="15" t="str">
        <f>IF(C4521="","",COUNTA($C$3:C4521))</f>
        <v/>
      </c>
      <c r="B4521" s="15" t="str">
        <f t="shared" si="363"/>
        <v/>
      </c>
      <c r="M4521" s="9"/>
      <c r="N4521" s="9"/>
      <c r="P4521" s="14"/>
      <c r="Q4521" s="85"/>
      <c r="R4521" s="89"/>
      <c r="U4521" s="11" t="str">
        <f t="shared" si="361"/>
        <v/>
      </c>
      <c r="V4521" s="12" t="str">
        <f t="shared" si="362"/>
        <v/>
      </c>
      <c r="Z4521" s="15"/>
    </row>
    <row r="4522" spans="1:26" x14ac:dyDescent="0.25">
      <c r="A4522" s="15" t="str">
        <f>IF(C4522="","",COUNTA($C$3:C4522))</f>
        <v/>
      </c>
      <c r="B4522" s="15" t="str">
        <f t="shared" si="363"/>
        <v/>
      </c>
      <c r="M4522" s="9"/>
      <c r="N4522" s="9"/>
      <c r="P4522" s="14"/>
      <c r="Q4522" s="85"/>
      <c r="R4522" s="89"/>
      <c r="U4522" s="11" t="str">
        <f t="shared" si="361"/>
        <v/>
      </c>
      <c r="V4522" s="12" t="str">
        <f t="shared" si="362"/>
        <v/>
      </c>
      <c r="Z4522" s="15"/>
    </row>
    <row r="4523" spans="1:26" x14ac:dyDescent="0.25">
      <c r="A4523" s="15" t="str">
        <f>IF(C4523="","",COUNTA($C$3:C4523))</f>
        <v/>
      </c>
      <c r="B4523" s="15" t="str">
        <f t="shared" si="363"/>
        <v/>
      </c>
      <c r="M4523" s="9"/>
      <c r="N4523" s="9"/>
      <c r="P4523" s="14"/>
      <c r="Q4523" s="85"/>
      <c r="R4523" s="89"/>
      <c r="U4523" s="11" t="str">
        <f t="shared" si="361"/>
        <v/>
      </c>
      <c r="V4523" s="12" t="str">
        <f t="shared" si="362"/>
        <v/>
      </c>
      <c r="Z4523" s="15"/>
    </row>
    <row r="4524" spans="1:26" x14ac:dyDescent="0.25">
      <c r="A4524" s="15" t="str">
        <f>IF(C4524="","",COUNTA($C$3:C4524))</f>
        <v/>
      </c>
      <c r="B4524" s="15" t="str">
        <f t="shared" si="363"/>
        <v/>
      </c>
      <c r="M4524" s="9"/>
      <c r="N4524" s="9"/>
      <c r="P4524" s="14"/>
      <c r="Q4524" s="85"/>
      <c r="R4524" s="89"/>
      <c r="U4524" s="11" t="str">
        <f t="shared" si="361"/>
        <v/>
      </c>
      <c r="V4524" s="12" t="str">
        <f t="shared" si="362"/>
        <v/>
      </c>
      <c r="Z4524" s="15"/>
    </row>
    <row r="4525" spans="1:26" x14ac:dyDescent="0.25">
      <c r="A4525" s="15" t="str">
        <f>IF(C4525="","",COUNTA($C$3:C4525))</f>
        <v/>
      </c>
      <c r="B4525" s="15" t="str">
        <f t="shared" si="363"/>
        <v/>
      </c>
      <c r="M4525" s="9"/>
      <c r="N4525" s="9"/>
      <c r="P4525" s="14"/>
      <c r="Q4525" s="85"/>
      <c r="R4525" s="89"/>
      <c r="U4525" s="11" t="str">
        <f t="shared" si="361"/>
        <v/>
      </c>
      <c r="V4525" s="12" t="str">
        <f t="shared" si="362"/>
        <v/>
      </c>
      <c r="Z4525" s="15"/>
    </row>
    <row r="4526" spans="1:26" x14ac:dyDescent="0.25">
      <c r="A4526" s="15" t="str">
        <f>IF(C4526="","",COUNTA($C$3:C4526))</f>
        <v/>
      </c>
      <c r="B4526" s="15" t="str">
        <f t="shared" si="363"/>
        <v/>
      </c>
      <c r="M4526" s="9"/>
      <c r="N4526" s="9"/>
      <c r="P4526" s="14"/>
      <c r="Q4526" s="85"/>
      <c r="R4526" s="89"/>
      <c r="U4526" s="11" t="str">
        <f t="shared" si="361"/>
        <v/>
      </c>
      <c r="V4526" s="12" t="str">
        <f t="shared" si="362"/>
        <v/>
      </c>
      <c r="Z4526" s="15"/>
    </row>
    <row r="4527" spans="1:26" x14ac:dyDescent="0.25">
      <c r="A4527" s="15" t="str">
        <f>IF(C4527="","",COUNTA($C$3:C4527))</f>
        <v/>
      </c>
      <c r="B4527" s="15" t="str">
        <f t="shared" si="363"/>
        <v/>
      </c>
      <c r="M4527" s="9"/>
      <c r="N4527" s="9"/>
      <c r="P4527" s="14"/>
      <c r="Q4527" s="85"/>
      <c r="R4527" s="89"/>
      <c r="U4527" s="11" t="str">
        <f t="shared" si="361"/>
        <v/>
      </c>
      <c r="V4527" s="12" t="str">
        <f t="shared" si="362"/>
        <v/>
      </c>
      <c r="Z4527" s="15"/>
    </row>
    <row r="4528" spans="1:26" x14ac:dyDescent="0.25">
      <c r="A4528" s="15" t="str">
        <f>IF(C4528="","",COUNTA($C$3:C4528))</f>
        <v/>
      </c>
      <c r="B4528" s="15" t="str">
        <f t="shared" si="363"/>
        <v/>
      </c>
      <c r="M4528" s="9"/>
      <c r="N4528" s="9"/>
      <c r="P4528" s="14"/>
      <c r="Q4528" s="85"/>
      <c r="R4528" s="89"/>
      <c r="U4528" s="11" t="str">
        <f t="shared" si="361"/>
        <v/>
      </c>
      <c r="V4528" s="12" t="str">
        <f t="shared" si="362"/>
        <v/>
      </c>
      <c r="Z4528" s="15"/>
    </row>
    <row r="4529" spans="1:26" x14ac:dyDescent="0.25">
      <c r="A4529" s="15" t="str">
        <f>IF(C4529="","",COUNTA($C$3:C4529))</f>
        <v/>
      </c>
      <c r="B4529" s="15" t="str">
        <f t="shared" si="363"/>
        <v/>
      </c>
      <c r="M4529" s="9"/>
      <c r="N4529" s="9"/>
      <c r="P4529" s="14"/>
      <c r="Q4529" s="85"/>
      <c r="R4529" s="89"/>
      <c r="U4529" s="11" t="str">
        <f t="shared" si="361"/>
        <v/>
      </c>
      <c r="V4529" s="12" t="str">
        <f t="shared" si="362"/>
        <v/>
      </c>
      <c r="Z4529" s="15"/>
    </row>
    <row r="4530" spans="1:26" x14ac:dyDescent="0.25">
      <c r="A4530" s="15" t="str">
        <f>IF(C4530="","",COUNTA($C$3:C4530))</f>
        <v/>
      </c>
      <c r="B4530" s="15" t="str">
        <f t="shared" si="363"/>
        <v/>
      </c>
      <c r="M4530" s="9"/>
      <c r="N4530" s="9"/>
      <c r="P4530" s="14"/>
      <c r="Q4530" s="85"/>
      <c r="R4530" s="89"/>
      <c r="U4530" s="11" t="str">
        <f t="shared" si="361"/>
        <v/>
      </c>
      <c r="V4530" s="12" t="str">
        <f t="shared" si="362"/>
        <v/>
      </c>
      <c r="Z4530" s="15"/>
    </row>
    <row r="4531" spans="1:26" x14ac:dyDescent="0.25">
      <c r="A4531" s="15" t="str">
        <f>IF(C4531="","",COUNTA($C$3:C4531))</f>
        <v/>
      </c>
      <c r="B4531" s="15" t="str">
        <f t="shared" si="363"/>
        <v/>
      </c>
      <c r="M4531" s="9"/>
      <c r="N4531" s="9"/>
      <c r="P4531" s="14"/>
      <c r="Q4531" s="85"/>
      <c r="R4531" s="89"/>
      <c r="U4531" s="11" t="str">
        <f t="shared" si="361"/>
        <v/>
      </c>
      <c r="V4531" s="12" t="str">
        <f t="shared" si="362"/>
        <v/>
      </c>
      <c r="Z4531" s="15"/>
    </row>
    <row r="4532" spans="1:26" x14ac:dyDescent="0.25">
      <c r="A4532" s="15" t="str">
        <f>IF(C4532="","",COUNTA($C$3:C4532))</f>
        <v/>
      </c>
      <c r="B4532" s="15" t="str">
        <f t="shared" si="363"/>
        <v/>
      </c>
      <c r="M4532" s="9"/>
      <c r="N4532" s="9"/>
      <c r="P4532" s="14"/>
      <c r="Q4532" s="85"/>
      <c r="R4532" s="89"/>
      <c r="U4532" s="11" t="str">
        <f t="shared" si="361"/>
        <v/>
      </c>
      <c r="V4532" s="12" t="str">
        <f t="shared" si="362"/>
        <v/>
      </c>
      <c r="Z4532" s="15"/>
    </row>
    <row r="4533" spans="1:26" x14ac:dyDescent="0.25">
      <c r="A4533" s="15" t="str">
        <f>IF(C4533="","",COUNTA($C$3:C4533))</f>
        <v/>
      </c>
      <c r="B4533" s="15" t="str">
        <f t="shared" si="363"/>
        <v/>
      </c>
      <c r="M4533" s="9"/>
      <c r="N4533" s="9"/>
      <c r="P4533" s="14"/>
      <c r="Q4533" s="85"/>
      <c r="R4533" s="89"/>
      <c r="U4533" s="11" t="str">
        <f t="shared" si="361"/>
        <v/>
      </c>
      <c r="V4533" s="12" t="str">
        <f t="shared" si="362"/>
        <v/>
      </c>
      <c r="Z4533" s="15"/>
    </row>
    <row r="4534" spans="1:26" x14ac:dyDescent="0.25">
      <c r="A4534" s="15" t="str">
        <f>IF(C4534="","",COUNTA($C$3:C4534))</f>
        <v/>
      </c>
      <c r="B4534" s="15" t="str">
        <f t="shared" si="363"/>
        <v/>
      </c>
      <c r="M4534" s="9"/>
      <c r="N4534" s="9"/>
      <c r="P4534" s="14"/>
      <c r="Q4534" s="85"/>
      <c r="R4534" s="89"/>
      <c r="U4534" s="11" t="str">
        <f t="shared" si="361"/>
        <v/>
      </c>
      <c r="V4534" s="12" t="str">
        <f t="shared" si="362"/>
        <v/>
      </c>
      <c r="Z4534" s="15"/>
    </row>
    <row r="4535" spans="1:26" x14ac:dyDescent="0.25">
      <c r="A4535" s="15" t="str">
        <f>IF(C4535="","",COUNTA($C$3:C4535))</f>
        <v/>
      </c>
      <c r="B4535" s="15" t="str">
        <f t="shared" si="363"/>
        <v/>
      </c>
      <c r="M4535" s="9"/>
      <c r="N4535" s="9"/>
      <c r="P4535" s="14"/>
      <c r="Q4535" s="85"/>
      <c r="R4535" s="89"/>
      <c r="U4535" s="11" t="str">
        <f t="shared" si="361"/>
        <v/>
      </c>
      <c r="V4535" s="12" t="str">
        <f t="shared" si="362"/>
        <v/>
      </c>
      <c r="Z4535" s="15"/>
    </row>
    <row r="4536" spans="1:26" x14ac:dyDescent="0.25">
      <c r="A4536" s="15" t="str">
        <f>IF(C4536="","",COUNTA($C$3:C4536))</f>
        <v/>
      </c>
      <c r="B4536" s="15" t="str">
        <f t="shared" si="363"/>
        <v/>
      </c>
      <c r="M4536" s="9"/>
      <c r="N4536" s="9"/>
      <c r="P4536" s="14"/>
      <c r="Q4536" s="85"/>
      <c r="R4536" s="89"/>
      <c r="U4536" s="11" t="str">
        <f t="shared" si="361"/>
        <v/>
      </c>
      <c r="V4536" s="12" t="str">
        <f t="shared" si="362"/>
        <v/>
      </c>
      <c r="Z4536" s="15"/>
    </row>
    <row r="4537" spans="1:26" x14ac:dyDescent="0.25">
      <c r="A4537" s="15" t="str">
        <f>IF(C4537="","",COUNTA($C$3:C4537))</f>
        <v/>
      </c>
      <c r="B4537" s="15" t="str">
        <f t="shared" si="363"/>
        <v/>
      </c>
      <c r="M4537" s="9"/>
      <c r="N4537" s="9"/>
      <c r="P4537" s="14"/>
      <c r="Q4537" s="85"/>
      <c r="R4537" s="89"/>
      <c r="U4537" s="11" t="str">
        <f t="shared" si="361"/>
        <v/>
      </c>
      <c r="V4537" s="12" t="str">
        <f t="shared" si="362"/>
        <v/>
      </c>
      <c r="Z4537" s="15"/>
    </row>
    <row r="4538" spans="1:26" x14ac:dyDescent="0.25">
      <c r="A4538" s="15" t="str">
        <f>IF(C4538="","",COUNTA($C$3:C4538))</f>
        <v/>
      </c>
      <c r="B4538" s="15" t="str">
        <f t="shared" si="363"/>
        <v/>
      </c>
      <c r="M4538" s="9"/>
      <c r="N4538" s="9"/>
      <c r="P4538" s="14"/>
      <c r="Q4538" s="85"/>
      <c r="R4538" s="89"/>
      <c r="U4538" s="11" t="str">
        <f t="shared" si="361"/>
        <v/>
      </c>
      <c r="V4538" s="12" t="str">
        <f t="shared" si="362"/>
        <v/>
      </c>
      <c r="Z4538" s="15"/>
    </row>
    <row r="4539" spans="1:26" x14ac:dyDescent="0.25">
      <c r="A4539" s="15" t="str">
        <f>IF(C4539="","",COUNTA($C$3:C4539))</f>
        <v/>
      </c>
      <c r="B4539" s="15" t="str">
        <f t="shared" si="363"/>
        <v/>
      </c>
      <c r="M4539" s="9"/>
      <c r="N4539" s="9"/>
      <c r="P4539" s="14"/>
      <c r="Q4539" s="85"/>
      <c r="R4539" s="89"/>
      <c r="U4539" s="11" t="str">
        <f t="shared" si="361"/>
        <v/>
      </c>
      <c r="V4539" s="12" t="str">
        <f t="shared" si="362"/>
        <v/>
      </c>
      <c r="Z4539" s="15"/>
    </row>
    <row r="4540" spans="1:26" x14ac:dyDescent="0.25">
      <c r="A4540" s="15" t="str">
        <f>IF(C4540="","",COUNTA($C$3:C4540))</f>
        <v/>
      </c>
      <c r="B4540" s="15" t="str">
        <f t="shared" si="363"/>
        <v/>
      </c>
      <c r="M4540" s="9"/>
      <c r="N4540" s="9"/>
      <c r="P4540" s="14"/>
      <c r="Q4540" s="85"/>
      <c r="R4540" s="89"/>
      <c r="U4540" s="11" t="str">
        <f t="shared" si="361"/>
        <v/>
      </c>
      <c r="V4540" s="12" t="str">
        <f t="shared" si="362"/>
        <v/>
      </c>
      <c r="Z4540" s="15"/>
    </row>
    <row r="4541" spans="1:26" x14ac:dyDescent="0.25">
      <c r="A4541" s="15" t="str">
        <f>IF(C4541="","",COUNTA($C$3:C4541))</f>
        <v/>
      </c>
      <c r="B4541" s="15" t="str">
        <f t="shared" si="363"/>
        <v/>
      </c>
      <c r="M4541" s="9"/>
      <c r="N4541" s="9"/>
      <c r="P4541" s="14"/>
      <c r="Q4541" s="85"/>
      <c r="R4541" s="89"/>
      <c r="U4541" s="11" t="str">
        <f t="shared" si="361"/>
        <v/>
      </c>
      <c r="V4541" s="12" t="str">
        <f t="shared" si="362"/>
        <v/>
      </c>
      <c r="Z4541" s="15"/>
    </row>
    <row r="4542" spans="1:26" x14ac:dyDescent="0.25">
      <c r="A4542" s="15" t="str">
        <f>IF(C4542="","",COUNTA($C$3:C4542))</f>
        <v/>
      </c>
      <c r="B4542" s="15" t="str">
        <f t="shared" si="363"/>
        <v/>
      </c>
      <c r="M4542" s="9"/>
      <c r="N4542" s="9"/>
      <c r="P4542" s="14"/>
      <c r="Q4542" s="85"/>
      <c r="R4542" s="89"/>
      <c r="U4542" s="11" t="str">
        <f t="shared" si="361"/>
        <v/>
      </c>
      <c r="V4542" s="12" t="str">
        <f t="shared" si="362"/>
        <v/>
      </c>
      <c r="Z4542" s="15"/>
    </row>
    <row r="4543" spans="1:26" x14ac:dyDescent="0.25">
      <c r="A4543" s="15" t="str">
        <f>IF(C4543="","",COUNTA($C$3:C4543))</f>
        <v/>
      </c>
      <c r="B4543" s="15" t="str">
        <f t="shared" si="363"/>
        <v/>
      </c>
      <c r="M4543" s="9"/>
      <c r="N4543" s="9"/>
      <c r="P4543" s="14"/>
      <c r="Q4543" s="85"/>
      <c r="R4543" s="89"/>
      <c r="U4543" s="11" t="str">
        <f t="shared" si="361"/>
        <v/>
      </c>
      <c r="V4543" s="12" t="str">
        <f t="shared" si="362"/>
        <v/>
      </c>
      <c r="Z4543" s="15"/>
    </row>
    <row r="4544" spans="1:26" x14ac:dyDescent="0.25">
      <c r="A4544" s="15" t="str">
        <f>IF(C4544="","",COUNTA($C$3:C4544))</f>
        <v/>
      </c>
      <c r="B4544" s="15" t="str">
        <f t="shared" si="363"/>
        <v/>
      </c>
      <c r="M4544" s="9"/>
      <c r="N4544" s="9"/>
      <c r="P4544" s="14"/>
      <c r="Q4544" s="85"/>
      <c r="R4544" s="89"/>
      <c r="U4544" s="11" t="str">
        <f t="shared" si="361"/>
        <v/>
      </c>
      <c r="V4544" s="12" t="str">
        <f t="shared" si="362"/>
        <v/>
      </c>
      <c r="Z4544" s="15"/>
    </row>
    <row r="4545" spans="1:26" x14ac:dyDescent="0.25">
      <c r="A4545" s="15" t="str">
        <f>IF(C4545="","",COUNTA($C$3:C4545))</f>
        <v/>
      </c>
      <c r="B4545" s="15" t="str">
        <f t="shared" si="363"/>
        <v/>
      </c>
      <c r="M4545" s="9"/>
      <c r="N4545" s="9"/>
      <c r="P4545" s="14"/>
      <c r="Q4545" s="85"/>
      <c r="R4545" s="89"/>
      <c r="U4545" s="11" t="str">
        <f t="shared" si="361"/>
        <v/>
      </c>
      <c r="V4545" s="12" t="str">
        <f t="shared" si="362"/>
        <v/>
      </c>
      <c r="Z4545" s="15"/>
    </row>
    <row r="4546" spans="1:26" x14ac:dyDescent="0.25">
      <c r="A4546" s="15" t="str">
        <f>IF(C4546="","",COUNTA($C$3:C4546))</f>
        <v/>
      </c>
      <c r="B4546" s="15" t="str">
        <f t="shared" si="363"/>
        <v/>
      </c>
      <c r="M4546" s="9"/>
      <c r="N4546" s="9"/>
      <c r="P4546" s="14"/>
      <c r="Q4546" s="85"/>
      <c r="R4546" s="89"/>
      <c r="U4546" s="11" t="str">
        <f t="shared" ref="U4546:U4609" si="364">IF(S4546="","",(S4546-T4546))</f>
        <v/>
      </c>
      <c r="V4546" s="12" t="str">
        <f t="shared" ref="V4546:V4609" si="365">IF(U4546="","",(U4546/T4546))</f>
        <v/>
      </c>
      <c r="Z4546" s="15"/>
    </row>
    <row r="4547" spans="1:26" x14ac:dyDescent="0.25">
      <c r="A4547" s="15" t="str">
        <f>IF(C4547="","",COUNTA($C$3:C4547))</f>
        <v/>
      </c>
      <c r="B4547" s="15" t="str">
        <f t="shared" ref="B4547:B4610" si="366">IF(C4547="","",TEXT(C4547,"mmmm"))</f>
        <v/>
      </c>
      <c r="M4547" s="9"/>
      <c r="N4547" s="9"/>
      <c r="P4547" s="14"/>
      <c r="Q4547" s="85"/>
      <c r="R4547" s="89"/>
      <c r="U4547" s="11" t="str">
        <f t="shared" si="364"/>
        <v/>
      </c>
      <c r="V4547" s="12" t="str">
        <f t="shared" si="365"/>
        <v/>
      </c>
      <c r="Z4547" s="15"/>
    </row>
    <row r="4548" spans="1:26" x14ac:dyDescent="0.25">
      <c r="A4548" s="15" t="str">
        <f>IF(C4548="","",COUNTA($C$3:C4548))</f>
        <v/>
      </c>
      <c r="B4548" s="15" t="str">
        <f t="shared" si="366"/>
        <v/>
      </c>
      <c r="M4548" s="9"/>
      <c r="N4548" s="9"/>
      <c r="P4548" s="14"/>
      <c r="Q4548" s="85"/>
      <c r="R4548" s="89"/>
      <c r="U4548" s="11" t="str">
        <f t="shared" si="364"/>
        <v/>
      </c>
      <c r="V4548" s="12" t="str">
        <f t="shared" si="365"/>
        <v/>
      </c>
      <c r="Z4548" s="15"/>
    </row>
    <row r="4549" spans="1:26" x14ac:dyDescent="0.25">
      <c r="A4549" s="15" t="str">
        <f>IF(C4549="","",COUNTA($C$3:C4549))</f>
        <v/>
      </c>
      <c r="B4549" s="15" t="str">
        <f t="shared" si="366"/>
        <v/>
      </c>
      <c r="M4549" s="9"/>
      <c r="N4549" s="9"/>
      <c r="P4549" s="14"/>
      <c r="Q4549" s="85"/>
      <c r="R4549" s="89"/>
      <c r="U4549" s="11" t="str">
        <f t="shared" si="364"/>
        <v/>
      </c>
      <c r="V4549" s="12" t="str">
        <f t="shared" si="365"/>
        <v/>
      </c>
      <c r="Z4549" s="15"/>
    </row>
    <row r="4550" spans="1:26" x14ac:dyDescent="0.25">
      <c r="A4550" s="15" t="str">
        <f>IF(C4550="","",COUNTA($C$3:C4550))</f>
        <v/>
      </c>
      <c r="B4550" s="15" t="str">
        <f t="shared" si="366"/>
        <v/>
      </c>
      <c r="M4550" s="9"/>
      <c r="N4550" s="9"/>
      <c r="P4550" s="14"/>
      <c r="Q4550" s="85"/>
      <c r="R4550" s="89"/>
      <c r="U4550" s="11" t="str">
        <f t="shared" si="364"/>
        <v/>
      </c>
      <c r="V4550" s="12" t="str">
        <f t="shared" si="365"/>
        <v/>
      </c>
      <c r="Z4550" s="15"/>
    </row>
    <row r="4551" spans="1:26" x14ac:dyDescent="0.25">
      <c r="A4551" s="15" t="str">
        <f>IF(C4551="","",COUNTA($C$3:C4551))</f>
        <v/>
      </c>
      <c r="B4551" s="15" t="str">
        <f t="shared" si="366"/>
        <v/>
      </c>
      <c r="M4551" s="9"/>
      <c r="N4551" s="9"/>
      <c r="P4551" s="14"/>
      <c r="Q4551" s="85"/>
      <c r="R4551" s="89"/>
      <c r="U4551" s="11" t="str">
        <f t="shared" si="364"/>
        <v/>
      </c>
      <c r="V4551" s="12" t="str">
        <f t="shared" si="365"/>
        <v/>
      </c>
      <c r="Z4551" s="15"/>
    </row>
    <row r="4552" spans="1:26" x14ac:dyDescent="0.25">
      <c r="A4552" s="15" t="str">
        <f>IF(C4552="","",COUNTA($C$3:C4552))</f>
        <v/>
      </c>
      <c r="B4552" s="15" t="str">
        <f t="shared" si="366"/>
        <v/>
      </c>
      <c r="M4552" s="9"/>
      <c r="N4552" s="9"/>
      <c r="P4552" s="14"/>
      <c r="Q4552" s="85"/>
      <c r="R4552" s="89"/>
      <c r="U4552" s="11" t="str">
        <f t="shared" si="364"/>
        <v/>
      </c>
      <c r="V4552" s="12" t="str">
        <f t="shared" si="365"/>
        <v/>
      </c>
      <c r="Z4552" s="15"/>
    </row>
    <row r="4553" spans="1:26" x14ac:dyDescent="0.25">
      <c r="A4553" s="15" t="str">
        <f>IF(C4553="","",COUNTA($C$3:C4553))</f>
        <v/>
      </c>
      <c r="B4553" s="15" t="str">
        <f t="shared" si="366"/>
        <v/>
      </c>
      <c r="M4553" s="9"/>
      <c r="N4553" s="9"/>
      <c r="P4553" s="14"/>
      <c r="Q4553" s="85"/>
      <c r="R4553" s="89"/>
      <c r="U4553" s="11" t="str">
        <f t="shared" si="364"/>
        <v/>
      </c>
      <c r="V4553" s="12" t="str">
        <f t="shared" si="365"/>
        <v/>
      </c>
      <c r="Z4553" s="15"/>
    </row>
    <row r="4554" spans="1:26" x14ac:dyDescent="0.25">
      <c r="A4554" s="15" t="str">
        <f>IF(C4554="","",COUNTA($C$3:C4554))</f>
        <v/>
      </c>
      <c r="B4554" s="15" t="str">
        <f t="shared" si="366"/>
        <v/>
      </c>
      <c r="M4554" s="9"/>
      <c r="N4554" s="9"/>
      <c r="P4554" s="14"/>
      <c r="Q4554" s="85"/>
      <c r="R4554" s="89"/>
      <c r="U4554" s="11" t="str">
        <f t="shared" si="364"/>
        <v/>
      </c>
      <c r="V4554" s="12" t="str">
        <f t="shared" si="365"/>
        <v/>
      </c>
      <c r="Z4554" s="15"/>
    </row>
    <row r="4555" spans="1:26" x14ac:dyDescent="0.25">
      <c r="A4555" s="15" t="str">
        <f>IF(C4555="","",COUNTA($C$3:C4555))</f>
        <v/>
      </c>
      <c r="B4555" s="15" t="str">
        <f t="shared" si="366"/>
        <v/>
      </c>
      <c r="M4555" s="9"/>
      <c r="N4555" s="9"/>
      <c r="P4555" s="14"/>
      <c r="Q4555" s="85"/>
      <c r="R4555" s="89"/>
      <c r="U4555" s="11" t="str">
        <f t="shared" si="364"/>
        <v/>
      </c>
      <c r="V4555" s="12" t="str">
        <f t="shared" si="365"/>
        <v/>
      </c>
      <c r="Z4555" s="15"/>
    </row>
    <row r="4556" spans="1:26" x14ac:dyDescent="0.25">
      <c r="A4556" s="15" t="str">
        <f>IF(C4556="","",COUNTA($C$3:C4556))</f>
        <v/>
      </c>
      <c r="B4556" s="15" t="str">
        <f t="shared" si="366"/>
        <v/>
      </c>
      <c r="M4556" s="9"/>
      <c r="N4556" s="9"/>
      <c r="P4556" s="14"/>
      <c r="Q4556" s="85"/>
      <c r="R4556" s="89"/>
      <c r="U4556" s="11" t="str">
        <f t="shared" si="364"/>
        <v/>
      </c>
      <c r="V4556" s="12" t="str">
        <f t="shared" si="365"/>
        <v/>
      </c>
      <c r="Z4556" s="15"/>
    </row>
    <row r="4557" spans="1:26" x14ac:dyDescent="0.25">
      <c r="A4557" s="15" t="str">
        <f>IF(C4557="","",COUNTA($C$3:C4557))</f>
        <v/>
      </c>
      <c r="B4557" s="15" t="str">
        <f t="shared" si="366"/>
        <v/>
      </c>
      <c r="M4557" s="9"/>
      <c r="N4557" s="9"/>
      <c r="P4557" s="14"/>
      <c r="Q4557" s="85"/>
      <c r="R4557" s="89"/>
      <c r="U4557" s="11" t="str">
        <f t="shared" si="364"/>
        <v/>
      </c>
      <c r="V4557" s="12" t="str">
        <f t="shared" si="365"/>
        <v/>
      </c>
      <c r="Z4557" s="15"/>
    </row>
    <row r="4558" spans="1:26" x14ac:dyDescent="0.25">
      <c r="A4558" s="15" t="str">
        <f>IF(C4558="","",COUNTA($C$3:C4558))</f>
        <v/>
      </c>
      <c r="B4558" s="15" t="str">
        <f t="shared" si="366"/>
        <v/>
      </c>
      <c r="M4558" s="9"/>
      <c r="N4558" s="9"/>
      <c r="P4558" s="14"/>
      <c r="Q4558" s="85"/>
      <c r="R4558" s="89"/>
      <c r="U4558" s="11" t="str">
        <f t="shared" si="364"/>
        <v/>
      </c>
      <c r="V4558" s="12" t="str">
        <f t="shared" si="365"/>
        <v/>
      </c>
      <c r="Z4558" s="15"/>
    </row>
    <row r="4559" spans="1:26" x14ac:dyDescent="0.25">
      <c r="A4559" s="15" t="str">
        <f>IF(C4559="","",COUNTA($C$3:C4559))</f>
        <v/>
      </c>
      <c r="B4559" s="15" t="str">
        <f t="shared" si="366"/>
        <v/>
      </c>
      <c r="M4559" s="9"/>
      <c r="N4559" s="9"/>
      <c r="P4559" s="14"/>
      <c r="Q4559" s="85"/>
      <c r="R4559" s="89"/>
      <c r="U4559" s="11" t="str">
        <f t="shared" si="364"/>
        <v/>
      </c>
      <c r="V4559" s="12" t="str">
        <f t="shared" si="365"/>
        <v/>
      </c>
      <c r="Z4559" s="15"/>
    </row>
    <row r="4560" spans="1:26" x14ac:dyDescent="0.25">
      <c r="A4560" s="15" t="str">
        <f>IF(C4560="","",COUNTA($C$3:C4560))</f>
        <v/>
      </c>
      <c r="B4560" s="15" t="str">
        <f t="shared" si="366"/>
        <v/>
      </c>
      <c r="M4560" s="9"/>
      <c r="N4560" s="9"/>
      <c r="P4560" s="14"/>
      <c r="Q4560" s="85"/>
      <c r="R4560" s="89"/>
      <c r="U4560" s="11" t="str">
        <f t="shared" si="364"/>
        <v/>
      </c>
      <c r="V4560" s="12" t="str">
        <f t="shared" si="365"/>
        <v/>
      </c>
      <c r="Z4560" s="15"/>
    </row>
    <row r="4561" spans="1:26" x14ac:dyDescent="0.25">
      <c r="A4561" s="15" t="str">
        <f>IF(C4561="","",COUNTA($C$3:C4561))</f>
        <v/>
      </c>
      <c r="B4561" s="15" t="str">
        <f t="shared" si="366"/>
        <v/>
      </c>
      <c r="M4561" s="9"/>
      <c r="N4561" s="9"/>
      <c r="P4561" s="14"/>
      <c r="Q4561" s="85"/>
      <c r="R4561" s="89"/>
      <c r="U4561" s="11" t="str">
        <f t="shared" si="364"/>
        <v/>
      </c>
      <c r="V4561" s="12" t="str">
        <f t="shared" si="365"/>
        <v/>
      </c>
      <c r="Z4561" s="15"/>
    </row>
    <row r="4562" spans="1:26" x14ac:dyDescent="0.25">
      <c r="A4562" s="15" t="str">
        <f>IF(C4562="","",COUNTA($C$3:C4562))</f>
        <v/>
      </c>
      <c r="B4562" s="15" t="str">
        <f t="shared" si="366"/>
        <v/>
      </c>
      <c r="M4562" s="9"/>
      <c r="N4562" s="9"/>
      <c r="P4562" s="14"/>
      <c r="Q4562" s="85"/>
      <c r="R4562" s="89"/>
      <c r="U4562" s="11" t="str">
        <f t="shared" si="364"/>
        <v/>
      </c>
      <c r="V4562" s="12" t="str">
        <f t="shared" si="365"/>
        <v/>
      </c>
      <c r="Z4562" s="15"/>
    </row>
    <row r="4563" spans="1:26" x14ac:dyDescent="0.25">
      <c r="A4563" s="15" t="str">
        <f>IF(C4563="","",COUNTA($C$3:C4563))</f>
        <v/>
      </c>
      <c r="B4563" s="15" t="str">
        <f t="shared" si="366"/>
        <v/>
      </c>
      <c r="M4563" s="9"/>
      <c r="N4563" s="9"/>
      <c r="P4563" s="14"/>
      <c r="Q4563" s="85"/>
      <c r="R4563" s="89"/>
      <c r="U4563" s="11" t="str">
        <f t="shared" si="364"/>
        <v/>
      </c>
      <c r="V4563" s="12" t="str">
        <f t="shared" si="365"/>
        <v/>
      </c>
      <c r="Z4563" s="15"/>
    </row>
    <row r="4564" spans="1:26" x14ac:dyDescent="0.25">
      <c r="A4564" s="15" t="str">
        <f>IF(C4564="","",COUNTA($C$3:C4564))</f>
        <v/>
      </c>
      <c r="B4564" s="15" t="str">
        <f t="shared" si="366"/>
        <v/>
      </c>
      <c r="M4564" s="9"/>
      <c r="N4564" s="9"/>
      <c r="P4564" s="14"/>
      <c r="Q4564" s="85"/>
      <c r="R4564" s="89"/>
      <c r="U4564" s="11" t="str">
        <f t="shared" si="364"/>
        <v/>
      </c>
      <c r="V4564" s="12" t="str">
        <f t="shared" si="365"/>
        <v/>
      </c>
      <c r="Z4564" s="15"/>
    </row>
    <row r="4565" spans="1:26" x14ac:dyDescent="0.25">
      <c r="A4565" s="15" t="str">
        <f>IF(C4565="","",COUNTA($C$3:C4565))</f>
        <v/>
      </c>
      <c r="B4565" s="15" t="str">
        <f t="shared" si="366"/>
        <v/>
      </c>
      <c r="M4565" s="9"/>
      <c r="N4565" s="9"/>
      <c r="P4565" s="14"/>
      <c r="Q4565" s="85"/>
      <c r="R4565" s="89"/>
      <c r="U4565" s="11" t="str">
        <f t="shared" si="364"/>
        <v/>
      </c>
      <c r="V4565" s="12" t="str">
        <f t="shared" si="365"/>
        <v/>
      </c>
      <c r="Z4565" s="15"/>
    </row>
    <row r="4566" spans="1:26" x14ac:dyDescent="0.25">
      <c r="A4566" s="15" t="str">
        <f>IF(C4566="","",COUNTA($C$3:C4566))</f>
        <v/>
      </c>
      <c r="B4566" s="15" t="str">
        <f t="shared" si="366"/>
        <v/>
      </c>
      <c r="M4566" s="9"/>
      <c r="N4566" s="9"/>
      <c r="P4566" s="14"/>
      <c r="Q4566" s="85"/>
      <c r="R4566" s="89"/>
      <c r="U4566" s="11" t="str">
        <f t="shared" si="364"/>
        <v/>
      </c>
      <c r="V4566" s="12" t="str">
        <f t="shared" si="365"/>
        <v/>
      </c>
      <c r="Z4566" s="15"/>
    </row>
    <row r="4567" spans="1:26" x14ac:dyDescent="0.25">
      <c r="A4567" s="15" t="str">
        <f>IF(C4567="","",COUNTA($C$3:C4567))</f>
        <v/>
      </c>
      <c r="B4567" s="15" t="str">
        <f t="shared" si="366"/>
        <v/>
      </c>
      <c r="M4567" s="9"/>
      <c r="N4567" s="9"/>
      <c r="P4567" s="14"/>
      <c r="Q4567" s="85"/>
      <c r="R4567" s="89"/>
      <c r="U4567" s="11" t="str">
        <f t="shared" si="364"/>
        <v/>
      </c>
      <c r="V4567" s="12" t="str">
        <f t="shared" si="365"/>
        <v/>
      </c>
      <c r="Z4567" s="15"/>
    </row>
    <row r="4568" spans="1:26" x14ac:dyDescent="0.25">
      <c r="A4568" s="15" t="str">
        <f>IF(C4568="","",COUNTA($C$3:C4568))</f>
        <v/>
      </c>
      <c r="B4568" s="15" t="str">
        <f t="shared" si="366"/>
        <v/>
      </c>
      <c r="M4568" s="9"/>
      <c r="N4568" s="9"/>
      <c r="P4568" s="14"/>
      <c r="Q4568" s="85"/>
      <c r="R4568" s="89"/>
      <c r="U4568" s="11" t="str">
        <f t="shared" si="364"/>
        <v/>
      </c>
      <c r="V4568" s="12" t="str">
        <f t="shared" si="365"/>
        <v/>
      </c>
      <c r="Z4568" s="15"/>
    </row>
    <row r="4569" spans="1:26" x14ac:dyDescent="0.25">
      <c r="A4569" s="15" t="str">
        <f>IF(C4569="","",COUNTA($C$3:C4569))</f>
        <v/>
      </c>
      <c r="B4569" s="15" t="str">
        <f t="shared" si="366"/>
        <v/>
      </c>
      <c r="M4569" s="9"/>
      <c r="N4569" s="9"/>
      <c r="P4569" s="14"/>
      <c r="Q4569" s="85"/>
      <c r="R4569" s="89"/>
      <c r="U4569" s="11" t="str">
        <f t="shared" si="364"/>
        <v/>
      </c>
      <c r="V4569" s="12" t="str">
        <f t="shared" si="365"/>
        <v/>
      </c>
      <c r="Z4569" s="15"/>
    </row>
    <row r="4570" spans="1:26" x14ac:dyDescent="0.25">
      <c r="A4570" s="15" t="str">
        <f>IF(C4570="","",COUNTA($C$3:C4570))</f>
        <v/>
      </c>
      <c r="B4570" s="15" t="str">
        <f t="shared" si="366"/>
        <v/>
      </c>
      <c r="M4570" s="9"/>
      <c r="N4570" s="9"/>
      <c r="P4570" s="14"/>
      <c r="Q4570" s="85"/>
      <c r="R4570" s="89"/>
      <c r="U4570" s="11" t="str">
        <f t="shared" si="364"/>
        <v/>
      </c>
      <c r="V4570" s="12" t="str">
        <f t="shared" si="365"/>
        <v/>
      </c>
      <c r="Z4570" s="15"/>
    </row>
    <row r="4571" spans="1:26" x14ac:dyDescent="0.25">
      <c r="A4571" s="15" t="str">
        <f>IF(C4571="","",COUNTA($C$3:C4571))</f>
        <v/>
      </c>
      <c r="B4571" s="15" t="str">
        <f t="shared" si="366"/>
        <v/>
      </c>
      <c r="M4571" s="9"/>
      <c r="N4571" s="9"/>
      <c r="P4571" s="14"/>
      <c r="Q4571" s="85"/>
      <c r="R4571" s="89"/>
      <c r="U4571" s="11" t="str">
        <f t="shared" si="364"/>
        <v/>
      </c>
      <c r="V4571" s="12" t="str">
        <f t="shared" si="365"/>
        <v/>
      </c>
      <c r="Z4571" s="15"/>
    </row>
    <row r="4572" spans="1:26" x14ac:dyDescent="0.25">
      <c r="A4572" s="15" t="str">
        <f>IF(C4572="","",COUNTA($C$3:C4572))</f>
        <v/>
      </c>
      <c r="B4572" s="15" t="str">
        <f t="shared" si="366"/>
        <v/>
      </c>
      <c r="M4572" s="9"/>
      <c r="N4572" s="9"/>
      <c r="P4572" s="14"/>
      <c r="Q4572" s="85"/>
      <c r="R4572" s="89"/>
      <c r="U4572" s="11" t="str">
        <f t="shared" si="364"/>
        <v/>
      </c>
      <c r="V4572" s="12" t="str">
        <f t="shared" si="365"/>
        <v/>
      </c>
      <c r="Z4572" s="15"/>
    </row>
    <row r="4573" spans="1:26" x14ac:dyDescent="0.25">
      <c r="A4573" s="15" t="str">
        <f>IF(C4573="","",COUNTA($C$3:C4573))</f>
        <v/>
      </c>
      <c r="B4573" s="15" t="str">
        <f t="shared" si="366"/>
        <v/>
      </c>
      <c r="M4573" s="9"/>
      <c r="N4573" s="9"/>
      <c r="P4573" s="14"/>
      <c r="Q4573" s="85"/>
      <c r="R4573" s="89"/>
      <c r="U4573" s="11" t="str">
        <f t="shared" si="364"/>
        <v/>
      </c>
      <c r="V4573" s="12" t="str">
        <f t="shared" si="365"/>
        <v/>
      </c>
      <c r="Z4573" s="15"/>
    </row>
    <row r="4574" spans="1:26" x14ac:dyDescent="0.25">
      <c r="A4574" s="15" t="str">
        <f>IF(C4574="","",COUNTA($C$3:C4574))</f>
        <v/>
      </c>
      <c r="B4574" s="15" t="str">
        <f t="shared" si="366"/>
        <v/>
      </c>
      <c r="M4574" s="9"/>
      <c r="N4574" s="9"/>
      <c r="P4574" s="14"/>
      <c r="Q4574" s="85"/>
      <c r="R4574" s="89"/>
      <c r="U4574" s="11" t="str">
        <f t="shared" si="364"/>
        <v/>
      </c>
      <c r="V4574" s="12" t="str">
        <f t="shared" si="365"/>
        <v/>
      </c>
      <c r="Z4574" s="15"/>
    </row>
    <row r="4575" spans="1:26" x14ac:dyDescent="0.25">
      <c r="A4575" s="15" t="str">
        <f>IF(C4575="","",COUNTA($C$3:C4575))</f>
        <v/>
      </c>
      <c r="B4575" s="15" t="str">
        <f t="shared" si="366"/>
        <v/>
      </c>
      <c r="M4575" s="9"/>
      <c r="N4575" s="9"/>
      <c r="P4575" s="14"/>
      <c r="Q4575" s="85"/>
      <c r="R4575" s="89"/>
      <c r="U4575" s="11" t="str">
        <f t="shared" si="364"/>
        <v/>
      </c>
      <c r="V4575" s="12" t="str">
        <f t="shared" si="365"/>
        <v/>
      </c>
      <c r="Z4575" s="15"/>
    </row>
    <row r="4576" spans="1:26" x14ac:dyDescent="0.25">
      <c r="A4576" s="15" t="str">
        <f>IF(C4576="","",COUNTA($C$3:C4576))</f>
        <v/>
      </c>
      <c r="B4576" s="15" t="str">
        <f t="shared" si="366"/>
        <v/>
      </c>
      <c r="M4576" s="9"/>
      <c r="N4576" s="9"/>
      <c r="P4576" s="14"/>
      <c r="Q4576" s="85"/>
      <c r="R4576" s="89"/>
      <c r="U4576" s="11" t="str">
        <f t="shared" si="364"/>
        <v/>
      </c>
      <c r="V4576" s="12" t="str">
        <f t="shared" si="365"/>
        <v/>
      </c>
      <c r="Z4576" s="15"/>
    </row>
    <row r="4577" spans="1:26" x14ac:dyDescent="0.25">
      <c r="A4577" s="15" t="str">
        <f>IF(C4577="","",COUNTA($C$3:C4577))</f>
        <v/>
      </c>
      <c r="B4577" s="15" t="str">
        <f t="shared" si="366"/>
        <v/>
      </c>
      <c r="M4577" s="9"/>
      <c r="N4577" s="9"/>
      <c r="P4577" s="14"/>
      <c r="Q4577" s="85"/>
      <c r="R4577" s="89"/>
      <c r="U4577" s="11" t="str">
        <f t="shared" si="364"/>
        <v/>
      </c>
      <c r="V4577" s="12" t="str">
        <f t="shared" si="365"/>
        <v/>
      </c>
      <c r="Z4577" s="15"/>
    </row>
    <row r="4578" spans="1:26" x14ac:dyDescent="0.25">
      <c r="A4578" s="15" t="str">
        <f>IF(C4578="","",COUNTA($C$3:C4578))</f>
        <v/>
      </c>
      <c r="B4578" s="15" t="str">
        <f t="shared" si="366"/>
        <v/>
      </c>
      <c r="M4578" s="9"/>
      <c r="N4578" s="9"/>
      <c r="P4578" s="14"/>
      <c r="Q4578" s="85"/>
      <c r="R4578" s="89"/>
      <c r="U4578" s="11" t="str">
        <f t="shared" si="364"/>
        <v/>
      </c>
      <c r="V4578" s="12" t="str">
        <f t="shared" si="365"/>
        <v/>
      </c>
      <c r="Z4578" s="15"/>
    </row>
    <row r="4579" spans="1:26" x14ac:dyDescent="0.25">
      <c r="A4579" s="15" t="str">
        <f>IF(C4579="","",COUNTA($C$3:C4579))</f>
        <v/>
      </c>
      <c r="B4579" s="15" t="str">
        <f t="shared" si="366"/>
        <v/>
      </c>
      <c r="M4579" s="9"/>
      <c r="N4579" s="9"/>
      <c r="P4579" s="14"/>
      <c r="Q4579" s="85"/>
      <c r="R4579" s="89"/>
      <c r="U4579" s="11" t="str">
        <f t="shared" si="364"/>
        <v/>
      </c>
      <c r="V4579" s="12" t="str">
        <f t="shared" si="365"/>
        <v/>
      </c>
      <c r="Z4579" s="15"/>
    </row>
    <row r="4580" spans="1:26" x14ac:dyDescent="0.25">
      <c r="A4580" s="15" t="str">
        <f>IF(C4580="","",COUNTA($C$3:C4580))</f>
        <v/>
      </c>
      <c r="B4580" s="15" t="str">
        <f t="shared" si="366"/>
        <v/>
      </c>
      <c r="M4580" s="9"/>
      <c r="N4580" s="9"/>
      <c r="P4580" s="14"/>
      <c r="Q4580" s="85"/>
      <c r="R4580" s="89"/>
      <c r="U4580" s="11" t="str">
        <f t="shared" si="364"/>
        <v/>
      </c>
      <c r="V4580" s="12" t="str">
        <f t="shared" si="365"/>
        <v/>
      </c>
      <c r="Z4580" s="15"/>
    </row>
    <row r="4581" spans="1:26" x14ac:dyDescent="0.25">
      <c r="A4581" s="15" t="str">
        <f>IF(C4581="","",COUNTA($C$3:C4581))</f>
        <v/>
      </c>
      <c r="B4581" s="15" t="str">
        <f t="shared" si="366"/>
        <v/>
      </c>
      <c r="M4581" s="9"/>
      <c r="N4581" s="9"/>
      <c r="P4581" s="14"/>
      <c r="Q4581" s="85"/>
      <c r="R4581" s="89"/>
      <c r="U4581" s="11" t="str">
        <f t="shared" si="364"/>
        <v/>
      </c>
      <c r="V4581" s="12" t="str">
        <f t="shared" si="365"/>
        <v/>
      </c>
      <c r="Z4581" s="15"/>
    </row>
    <row r="4582" spans="1:26" x14ac:dyDescent="0.25">
      <c r="A4582" s="15" t="str">
        <f>IF(C4582="","",COUNTA($C$3:C4582))</f>
        <v/>
      </c>
      <c r="B4582" s="15" t="str">
        <f t="shared" si="366"/>
        <v/>
      </c>
      <c r="M4582" s="9"/>
      <c r="N4582" s="9"/>
      <c r="P4582" s="14"/>
      <c r="Q4582" s="85"/>
      <c r="R4582" s="89"/>
      <c r="U4582" s="11" t="str">
        <f t="shared" si="364"/>
        <v/>
      </c>
      <c r="V4582" s="12" t="str">
        <f t="shared" si="365"/>
        <v/>
      </c>
      <c r="Z4582" s="15"/>
    </row>
    <row r="4583" spans="1:26" x14ac:dyDescent="0.25">
      <c r="A4583" s="15" t="str">
        <f>IF(C4583="","",COUNTA($C$3:C4583))</f>
        <v/>
      </c>
      <c r="B4583" s="15" t="str">
        <f t="shared" si="366"/>
        <v/>
      </c>
      <c r="M4583" s="9"/>
      <c r="N4583" s="9"/>
      <c r="P4583" s="14"/>
      <c r="Q4583" s="85"/>
      <c r="R4583" s="89"/>
      <c r="U4583" s="11" t="str">
        <f t="shared" si="364"/>
        <v/>
      </c>
      <c r="V4583" s="12" t="str">
        <f t="shared" si="365"/>
        <v/>
      </c>
      <c r="Z4583" s="15"/>
    </row>
    <row r="4584" spans="1:26" x14ac:dyDescent="0.25">
      <c r="A4584" s="15" t="str">
        <f>IF(C4584="","",COUNTA($C$3:C4584))</f>
        <v/>
      </c>
      <c r="B4584" s="15" t="str">
        <f t="shared" si="366"/>
        <v/>
      </c>
      <c r="M4584" s="9"/>
      <c r="N4584" s="9"/>
      <c r="P4584" s="14"/>
      <c r="Q4584" s="85"/>
      <c r="R4584" s="89"/>
      <c r="U4584" s="11" t="str">
        <f t="shared" si="364"/>
        <v/>
      </c>
      <c r="V4584" s="12" t="str">
        <f t="shared" si="365"/>
        <v/>
      </c>
      <c r="Z4584" s="15"/>
    </row>
    <row r="4585" spans="1:26" x14ac:dyDescent="0.25">
      <c r="A4585" s="15" t="str">
        <f>IF(C4585="","",COUNTA($C$3:C4585))</f>
        <v/>
      </c>
      <c r="B4585" s="15" t="str">
        <f t="shared" si="366"/>
        <v/>
      </c>
      <c r="M4585" s="9"/>
      <c r="N4585" s="9"/>
      <c r="P4585" s="14"/>
      <c r="Q4585" s="85"/>
      <c r="R4585" s="89"/>
      <c r="U4585" s="11" t="str">
        <f t="shared" si="364"/>
        <v/>
      </c>
      <c r="V4585" s="12" t="str">
        <f t="shared" si="365"/>
        <v/>
      </c>
      <c r="Z4585" s="15"/>
    </row>
    <row r="4586" spans="1:26" x14ac:dyDescent="0.25">
      <c r="A4586" s="15" t="str">
        <f>IF(C4586="","",COUNTA($C$3:C4586))</f>
        <v/>
      </c>
      <c r="B4586" s="15" t="str">
        <f t="shared" si="366"/>
        <v/>
      </c>
      <c r="M4586" s="9"/>
      <c r="N4586" s="9"/>
      <c r="P4586" s="14"/>
      <c r="Q4586" s="85"/>
      <c r="R4586" s="89"/>
      <c r="U4586" s="11" t="str">
        <f t="shared" si="364"/>
        <v/>
      </c>
      <c r="V4586" s="12" t="str">
        <f t="shared" si="365"/>
        <v/>
      </c>
      <c r="Z4586" s="15"/>
    </row>
    <row r="4587" spans="1:26" x14ac:dyDescent="0.25">
      <c r="A4587" s="15" t="str">
        <f>IF(C4587="","",COUNTA($C$3:C4587))</f>
        <v/>
      </c>
      <c r="B4587" s="15" t="str">
        <f t="shared" si="366"/>
        <v/>
      </c>
      <c r="M4587" s="9"/>
      <c r="N4587" s="9"/>
      <c r="P4587" s="14"/>
      <c r="Q4587" s="85"/>
      <c r="R4587" s="89"/>
      <c r="U4587" s="11" t="str">
        <f t="shared" si="364"/>
        <v/>
      </c>
      <c r="V4587" s="12" t="str">
        <f t="shared" si="365"/>
        <v/>
      </c>
      <c r="Z4587" s="15"/>
    </row>
    <row r="4588" spans="1:26" x14ac:dyDescent="0.25">
      <c r="A4588" s="15" t="str">
        <f>IF(C4588="","",COUNTA($C$3:C4588))</f>
        <v/>
      </c>
      <c r="B4588" s="15" t="str">
        <f t="shared" si="366"/>
        <v/>
      </c>
      <c r="M4588" s="9"/>
      <c r="N4588" s="9"/>
      <c r="P4588" s="14"/>
      <c r="Q4588" s="85"/>
      <c r="R4588" s="89"/>
      <c r="U4588" s="11" t="str">
        <f t="shared" si="364"/>
        <v/>
      </c>
      <c r="V4588" s="12" t="str">
        <f t="shared" si="365"/>
        <v/>
      </c>
      <c r="Z4588" s="15"/>
    </row>
    <row r="4589" spans="1:26" x14ac:dyDescent="0.25">
      <c r="A4589" s="15" t="str">
        <f>IF(C4589="","",COUNTA($C$3:C4589))</f>
        <v/>
      </c>
      <c r="B4589" s="15" t="str">
        <f t="shared" si="366"/>
        <v/>
      </c>
      <c r="M4589" s="9"/>
      <c r="N4589" s="9"/>
      <c r="P4589" s="14"/>
      <c r="Q4589" s="85"/>
      <c r="R4589" s="89"/>
      <c r="U4589" s="11" t="str">
        <f t="shared" si="364"/>
        <v/>
      </c>
      <c r="V4589" s="12" t="str">
        <f t="shared" si="365"/>
        <v/>
      </c>
      <c r="Z4589" s="15"/>
    </row>
    <row r="4590" spans="1:26" x14ac:dyDescent="0.25">
      <c r="A4590" s="15" t="str">
        <f>IF(C4590="","",COUNTA($C$3:C4590))</f>
        <v/>
      </c>
      <c r="B4590" s="15" t="str">
        <f t="shared" si="366"/>
        <v/>
      </c>
      <c r="M4590" s="9"/>
      <c r="N4590" s="9"/>
      <c r="P4590" s="14"/>
      <c r="Q4590" s="85"/>
      <c r="R4590" s="89"/>
      <c r="U4590" s="11" t="str">
        <f t="shared" si="364"/>
        <v/>
      </c>
      <c r="V4590" s="12" t="str">
        <f t="shared" si="365"/>
        <v/>
      </c>
      <c r="Z4590" s="15"/>
    </row>
    <row r="4591" spans="1:26" x14ac:dyDescent="0.25">
      <c r="A4591" s="15" t="str">
        <f>IF(C4591="","",COUNTA($C$3:C4591))</f>
        <v/>
      </c>
      <c r="B4591" s="15" t="str">
        <f t="shared" si="366"/>
        <v/>
      </c>
      <c r="M4591" s="9"/>
      <c r="N4591" s="9"/>
      <c r="P4591" s="14"/>
      <c r="Q4591" s="85"/>
      <c r="R4591" s="89"/>
      <c r="U4591" s="11" t="str">
        <f t="shared" si="364"/>
        <v/>
      </c>
      <c r="V4591" s="12" t="str">
        <f t="shared" si="365"/>
        <v/>
      </c>
      <c r="Z4591" s="15"/>
    </row>
    <row r="4592" spans="1:26" x14ac:dyDescent="0.25">
      <c r="A4592" s="15" t="str">
        <f>IF(C4592="","",COUNTA($C$3:C4592))</f>
        <v/>
      </c>
      <c r="B4592" s="15" t="str">
        <f t="shared" si="366"/>
        <v/>
      </c>
      <c r="M4592" s="9"/>
      <c r="N4592" s="9"/>
      <c r="P4592" s="14"/>
      <c r="Q4592" s="85"/>
      <c r="R4592" s="89"/>
      <c r="U4592" s="11" t="str">
        <f t="shared" si="364"/>
        <v/>
      </c>
      <c r="V4592" s="12" t="str">
        <f t="shared" si="365"/>
        <v/>
      </c>
      <c r="Z4592" s="15"/>
    </row>
    <row r="4593" spans="1:26" x14ac:dyDescent="0.25">
      <c r="A4593" s="15" t="str">
        <f>IF(C4593="","",COUNTA($C$3:C4593))</f>
        <v/>
      </c>
      <c r="B4593" s="15" t="str">
        <f t="shared" si="366"/>
        <v/>
      </c>
      <c r="M4593" s="9"/>
      <c r="N4593" s="9"/>
      <c r="P4593" s="14"/>
      <c r="Q4593" s="85"/>
      <c r="R4593" s="89"/>
      <c r="U4593" s="11" t="str">
        <f t="shared" si="364"/>
        <v/>
      </c>
      <c r="V4593" s="12" t="str">
        <f t="shared" si="365"/>
        <v/>
      </c>
      <c r="Z4593" s="15"/>
    </row>
    <row r="4594" spans="1:26" x14ac:dyDescent="0.25">
      <c r="A4594" s="15" t="str">
        <f>IF(C4594="","",COUNTA($C$3:C4594))</f>
        <v/>
      </c>
      <c r="B4594" s="15" t="str">
        <f t="shared" si="366"/>
        <v/>
      </c>
      <c r="M4594" s="9"/>
      <c r="N4594" s="9"/>
      <c r="P4594" s="14"/>
      <c r="Q4594" s="85"/>
      <c r="R4594" s="89"/>
      <c r="U4594" s="11" t="str">
        <f t="shared" si="364"/>
        <v/>
      </c>
      <c r="V4594" s="12" t="str">
        <f t="shared" si="365"/>
        <v/>
      </c>
      <c r="Z4594" s="15"/>
    </row>
    <row r="4595" spans="1:26" x14ac:dyDescent="0.25">
      <c r="A4595" s="15" t="str">
        <f>IF(C4595="","",COUNTA($C$3:C4595))</f>
        <v/>
      </c>
      <c r="B4595" s="15" t="str">
        <f t="shared" si="366"/>
        <v/>
      </c>
      <c r="M4595" s="9"/>
      <c r="N4595" s="9"/>
      <c r="P4595" s="14"/>
      <c r="Q4595" s="85"/>
      <c r="R4595" s="89"/>
      <c r="U4595" s="11" t="str">
        <f t="shared" si="364"/>
        <v/>
      </c>
      <c r="V4595" s="12" t="str">
        <f t="shared" si="365"/>
        <v/>
      </c>
      <c r="Z4595" s="15"/>
    </row>
    <row r="4596" spans="1:26" x14ac:dyDescent="0.25">
      <c r="A4596" s="15" t="str">
        <f>IF(C4596="","",COUNTA($C$3:C4596))</f>
        <v/>
      </c>
      <c r="B4596" s="15" t="str">
        <f t="shared" si="366"/>
        <v/>
      </c>
      <c r="M4596" s="9"/>
      <c r="N4596" s="9"/>
      <c r="P4596" s="14"/>
      <c r="Q4596" s="85"/>
      <c r="R4596" s="89"/>
      <c r="U4596" s="11" t="str">
        <f t="shared" si="364"/>
        <v/>
      </c>
      <c r="V4596" s="12" t="str">
        <f t="shared" si="365"/>
        <v/>
      </c>
      <c r="Z4596" s="15"/>
    </row>
    <row r="4597" spans="1:26" x14ac:dyDescent="0.25">
      <c r="A4597" s="15" t="str">
        <f>IF(C4597="","",COUNTA($C$3:C4597))</f>
        <v/>
      </c>
      <c r="B4597" s="15" t="str">
        <f t="shared" si="366"/>
        <v/>
      </c>
      <c r="M4597" s="9"/>
      <c r="N4597" s="9"/>
      <c r="P4597" s="14"/>
      <c r="Q4597" s="85"/>
      <c r="R4597" s="89"/>
      <c r="U4597" s="11" t="str">
        <f t="shared" si="364"/>
        <v/>
      </c>
      <c r="V4597" s="12" t="str">
        <f t="shared" si="365"/>
        <v/>
      </c>
      <c r="Z4597" s="15"/>
    </row>
    <row r="4598" spans="1:26" x14ac:dyDescent="0.25">
      <c r="A4598" s="15" t="str">
        <f>IF(C4598="","",COUNTA($C$3:C4598))</f>
        <v/>
      </c>
      <c r="B4598" s="15" t="str">
        <f t="shared" si="366"/>
        <v/>
      </c>
      <c r="M4598" s="9"/>
      <c r="N4598" s="9"/>
      <c r="P4598" s="14"/>
      <c r="Q4598" s="85"/>
      <c r="R4598" s="89"/>
      <c r="U4598" s="11" t="str">
        <f t="shared" si="364"/>
        <v/>
      </c>
      <c r="V4598" s="12" t="str">
        <f t="shared" si="365"/>
        <v/>
      </c>
      <c r="Z4598" s="15"/>
    </row>
    <row r="4599" spans="1:26" x14ac:dyDescent="0.25">
      <c r="A4599" s="15" t="str">
        <f>IF(C4599="","",COUNTA($C$3:C4599))</f>
        <v/>
      </c>
      <c r="B4599" s="15" t="str">
        <f t="shared" si="366"/>
        <v/>
      </c>
      <c r="M4599" s="9"/>
      <c r="N4599" s="9"/>
      <c r="P4599" s="14"/>
      <c r="Q4599" s="85"/>
      <c r="R4599" s="89"/>
      <c r="U4599" s="11" t="str">
        <f t="shared" si="364"/>
        <v/>
      </c>
      <c r="V4599" s="12" t="str">
        <f t="shared" si="365"/>
        <v/>
      </c>
      <c r="Z4599" s="15"/>
    </row>
    <row r="4600" spans="1:26" x14ac:dyDescent="0.25">
      <c r="A4600" s="15" t="str">
        <f>IF(C4600="","",COUNTA($C$3:C4600))</f>
        <v/>
      </c>
      <c r="B4600" s="15" t="str">
        <f t="shared" si="366"/>
        <v/>
      </c>
      <c r="M4600" s="9"/>
      <c r="N4600" s="9"/>
      <c r="P4600" s="14"/>
      <c r="Q4600" s="85"/>
      <c r="R4600" s="89"/>
      <c r="U4600" s="11" t="str">
        <f t="shared" si="364"/>
        <v/>
      </c>
      <c r="V4600" s="12" t="str">
        <f t="shared" si="365"/>
        <v/>
      </c>
      <c r="Z4600" s="15"/>
    </row>
    <row r="4601" spans="1:26" x14ac:dyDescent="0.25">
      <c r="A4601" s="15" t="str">
        <f>IF(C4601="","",COUNTA($C$3:C4601))</f>
        <v/>
      </c>
      <c r="B4601" s="15" t="str">
        <f t="shared" si="366"/>
        <v/>
      </c>
      <c r="M4601" s="9"/>
      <c r="N4601" s="9"/>
      <c r="P4601" s="14"/>
      <c r="Q4601" s="85"/>
      <c r="R4601" s="89"/>
      <c r="U4601" s="11" t="str">
        <f t="shared" si="364"/>
        <v/>
      </c>
      <c r="V4601" s="12" t="str">
        <f t="shared" si="365"/>
        <v/>
      </c>
      <c r="Z4601" s="15"/>
    </row>
    <row r="4602" spans="1:26" x14ac:dyDescent="0.25">
      <c r="A4602" s="15" t="str">
        <f>IF(C4602="","",COUNTA($C$3:C4602))</f>
        <v/>
      </c>
      <c r="B4602" s="15" t="str">
        <f t="shared" si="366"/>
        <v/>
      </c>
      <c r="M4602" s="9"/>
      <c r="N4602" s="9"/>
      <c r="P4602" s="14"/>
      <c r="Q4602" s="85"/>
      <c r="R4602" s="89"/>
      <c r="U4602" s="11" t="str">
        <f t="shared" si="364"/>
        <v/>
      </c>
      <c r="V4602" s="12" t="str">
        <f t="shared" si="365"/>
        <v/>
      </c>
      <c r="Z4602" s="15"/>
    </row>
    <row r="4603" spans="1:26" x14ac:dyDescent="0.25">
      <c r="A4603" s="15" t="str">
        <f>IF(C4603="","",COUNTA($C$3:C4603))</f>
        <v/>
      </c>
      <c r="B4603" s="15" t="str">
        <f t="shared" si="366"/>
        <v/>
      </c>
      <c r="M4603" s="9"/>
      <c r="N4603" s="9"/>
      <c r="P4603" s="14"/>
      <c r="Q4603" s="85"/>
      <c r="R4603" s="89"/>
      <c r="U4603" s="11" t="str">
        <f t="shared" si="364"/>
        <v/>
      </c>
      <c r="V4603" s="12" t="str">
        <f t="shared" si="365"/>
        <v/>
      </c>
      <c r="Z4603" s="15"/>
    </row>
    <row r="4604" spans="1:26" x14ac:dyDescent="0.25">
      <c r="A4604" s="15" t="str">
        <f>IF(C4604="","",COUNTA($C$3:C4604))</f>
        <v/>
      </c>
      <c r="B4604" s="15" t="str">
        <f t="shared" si="366"/>
        <v/>
      </c>
      <c r="M4604" s="9"/>
      <c r="N4604" s="9"/>
      <c r="P4604" s="14"/>
      <c r="Q4604" s="85"/>
      <c r="R4604" s="89"/>
      <c r="U4604" s="11" t="str">
        <f t="shared" si="364"/>
        <v/>
      </c>
      <c r="V4604" s="12" t="str">
        <f t="shared" si="365"/>
        <v/>
      </c>
      <c r="Z4604" s="15"/>
    </row>
    <row r="4605" spans="1:26" x14ac:dyDescent="0.25">
      <c r="A4605" s="15" t="str">
        <f>IF(C4605="","",COUNTA($C$3:C4605))</f>
        <v/>
      </c>
      <c r="B4605" s="15" t="str">
        <f t="shared" si="366"/>
        <v/>
      </c>
      <c r="M4605" s="9"/>
      <c r="N4605" s="9"/>
      <c r="P4605" s="14"/>
      <c r="Q4605" s="85"/>
      <c r="R4605" s="89"/>
      <c r="U4605" s="11" t="str">
        <f t="shared" si="364"/>
        <v/>
      </c>
      <c r="V4605" s="12" t="str">
        <f t="shared" si="365"/>
        <v/>
      </c>
      <c r="Z4605" s="15"/>
    </row>
    <row r="4606" spans="1:26" x14ac:dyDescent="0.25">
      <c r="A4606" s="15" t="str">
        <f>IF(C4606="","",COUNTA($C$3:C4606))</f>
        <v/>
      </c>
      <c r="B4606" s="15" t="str">
        <f t="shared" si="366"/>
        <v/>
      </c>
      <c r="M4606" s="9"/>
      <c r="N4606" s="9"/>
      <c r="P4606" s="14"/>
      <c r="Q4606" s="85"/>
      <c r="R4606" s="89"/>
      <c r="U4606" s="11" t="str">
        <f t="shared" si="364"/>
        <v/>
      </c>
      <c r="V4606" s="12" t="str">
        <f t="shared" si="365"/>
        <v/>
      </c>
      <c r="Z4606" s="15"/>
    </row>
    <row r="4607" spans="1:26" x14ac:dyDescent="0.25">
      <c r="A4607" s="15" t="str">
        <f>IF(C4607="","",COUNTA($C$3:C4607))</f>
        <v/>
      </c>
      <c r="B4607" s="15" t="str">
        <f t="shared" si="366"/>
        <v/>
      </c>
      <c r="M4607" s="9"/>
      <c r="N4607" s="9"/>
      <c r="P4607" s="14"/>
      <c r="Q4607" s="85"/>
      <c r="R4607" s="89"/>
      <c r="U4607" s="11" t="str">
        <f t="shared" si="364"/>
        <v/>
      </c>
      <c r="V4607" s="12" t="str">
        <f t="shared" si="365"/>
        <v/>
      </c>
      <c r="Z4607" s="15"/>
    </row>
    <row r="4608" spans="1:26" x14ac:dyDescent="0.25">
      <c r="A4608" s="15" t="str">
        <f>IF(C4608="","",COUNTA($C$3:C4608))</f>
        <v/>
      </c>
      <c r="B4608" s="15" t="str">
        <f t="shared" si="366"/>
        <v/>
      </c>
      <c r="M4608" s="9"/>
      <c r="N4608" s="9"/>
      <c r="P4608" s="14"/>
      <c r="Q4608" s="85"/>
      <c r="R4608" s="89"/>
      <c r="U4608" s="11" t="str">
        <f t="shared" si="364"/>
        <v/>
      </c>
      <c r="V4608" s="12" t="str">
        <f t="shared" si="365"/>
        <v/>
      </c>
      <c r="Z4608" s="15"/>
    </row>
    <row r="4609" spans="1:26" x14ac:dyDescent="0.25">
      <c r="A4609" s="15" t="str">
        <f>IF(C4609="","",COUNTA($C$3:C4609))</f>
        <v/>
      </c>
      <c r="B4609" s="15" t="str">
        <f t="shared" si="366"/>
        <v/>
      </c>
      <c r="M4609" s="9"/>
      <c r="N4609" s="9"/>
      <c r="P4609" s="14"/>
      <c r="Q4609" s="85"/>
      <c r="R4609" s="89"/>
      <c r="U4609" s="11" t="str">
        <f t="shared" si="364"/>
        <v/>
      </c>
      <c r="V4609" s="12" t="str">
        <f t="shared" si="365"/>
        <v/>
      </c>
      <c r="Z4609" s="15"/>
    </row>
    <row r="4610" spans="1:26" x14ac:dyDescent="0.25">
      <c r="A4610" s="15" t="str">
        <f>IF(C4610="","",COUNTA($C$3:C4610))</f>
        <v/>
      </c>
      <c r="B4610" s="15" t="str">
        <f t="shared" si="366"/>
        <v/>
      </c>
      <c r="M4610" s="9"/>
      <c r="N4610" s="9"/>
      <c r="P4610" s="14"/>
      <c r="Q4610" s="85"/>
      <c r="R4610" s="89"/>
      <c r="U4610" s="11" t="str">
        <f t="shared" ref="U4610:U4673" si="367">IF(S4610="","",(S4610-T4610))</f>
        <v/>
      </c>
      <c r="V4610" s="12" t="str">
        <f t="shared" ref="V4610:V4673" si="368">IF(U4610="","",(U4610/T4610))</f>
        <v/>
      </c>
      <c r="Z4610" s="15"/>
    </row>
    <row r="4611" spans="1:26" x14ac:dyDescent="0.25">
      <c r="A4611" s="15" t="str">
        <f>IF(C4611="","",COUNTA($C$3:C4611))</f>
        <v/>
      </c>
      <c r="B4611" s="15" t="str">
        <f t="shared" ref="B4611:B4674" si="369">IF(C4611="","",TEXT(C4611,"mmmm"))</f>
        <v/>
      </c>
      <c r="M4611" s="9"/>
      <c r="N4611" s="9"/>
      <c r="P4611" s="14"/>
      <c r="Q4611" s="85"/>
      <c r="R4611" s="89"/>
      <c r="U4611" s="11" t="str">
        <f t="shared" si="367"/>
        <v/>
      </c>
      <c r="V4611" s="12" t="str">
        <f t="shared" si="368"/>
        <v/>
      </c>
      <c r="Z4611" s="15"/>
    </row>
    <row r="4612" spans="1:26" x14ac:dyDescent="0.25">
      <c r="A4612" s="15" t="str">
        <f>IF(C4612="","",COUNTA($C$3:C4612))</f>
        <v/>
      </c>
      <c r="B4612" s="15" t="str">
        <f t="shared" si="369"/>
        <v/>
      </c>
      <c r="M4612" s="9"/>
      <c r="N4612" s="9"/>
      <c r="P4612" s="14"/>
      <c r="Q4612" s="85"/>
      <c r="R4612" s="89"/>
      <c r="U4612" s="11" t="str">
        <f t="shared" si="367"/>
        <v/>
      </c>
      <c r="V4612" s="12" t="str">
        <f t="shared" si="368"/>
        <v/>
      </c>
      <c r="Z4612" s="15"/>
    </row>
    <row r="4613" spans="1:26" x14ac:dyDescent="0.25">
      <c r="A4613" s="15" t="str">
        <f>IF(C4613="","",COUNTA($C$3:C4613))</f>
        <v/>
      </c>
      <c r="B4613" s="15" t="str">
        <f t="shared" si="369"/>
        <v/>
      </c>
      <c r="M4613" s="9"/>
      <c r="N4613" s="9"/>
      <c r="P4613" s="14"/>
      <c r="Q4613" s="85"/>
      <c r="R4613" s="89"/>
      <c r="U4613" s="11" t="str">
        <f t="shared" si="367"/>
        <v/>
      </c>
      <c r="V4613" s="12" t="str">
        <f t="shared" si="368"/>
        <v/>
      </c>
      <c r="Z4613" s="15"/>
    </row>
    <row r="4614" spans="1:26" x14ac:dyDescent="0.25">
      <c r="A4614" s="15" t="str">
        <f>IF(C4614="","",COUNTA($C$3:C4614))</f>
        <v/>
      </c>
      <c r="B4614" s="15" t="str">
        <f t="shared" si="369"/>
        <v/>
      </c>
      <c r="M4614" s="9"/>
      <c r="N4614" s="9"/>
      <c r="P4614" s="14"/>
      <c r="Q4614" s="85"/>
      <c r="R4614" s="89"/>
      <c r="U4614" s="11" t="str">
        <f t="shared" si="367"/>
        <v/>
      </c>
      <c r="V4614" s="12" t="str">
        <f t="shared" si="368"/>
        <v/>
      </c>
      <c r="Z4614" s="15"/>
    </row>
    <row r="4615" spans="1:26" x14ac:dyDescent="0.25">
      <c r="A4615" s="15" t="str">
        <f>IF(C4615="","",COUNTA($C$3:C4615))</f>
        <v/>
      </c>
      <c r="B4615" s="15" t="str">
        <f t="shared" si="369"/>
        <v/>
      </c>
      <c r="M4615" s="9"/>
      <c r="N4615" s="9"/>
      <c r="P4615" s="14"/>
      <c r="Q4615" s="85"/>
      <c r="R4615" s="89"/>
      <c r="U4615" s="11" t="str">
        <f t="shared" si="367"/>
        <v/>
      </c>
      <c r="V4615" s="12" t="str">
        <f t="shared" si="368"/>
        <v/>
      </c>
      <c r="Z4615" s="15"/>
    </row>
    <row r="4616" spans="1:26" x14ac:dyDescent="0.25">
      <c r="A4616" s="15" t="str">
        <f>IF(C4616="","",COUNTA($C$3:C4616))</f>
        <v/>
      </c>
      <c r="B4616" s="15" t="str">
        <f t="shared" si="369"/>
        <v/>
      </c>
      <c r="M4616" s="9"/>
      <c r="N4616" s="9"/>
      <c r="P4616" s="14"/>
      <c r="Q4616" s="85"/>
      <c r="R4616" s="89"/>
      <c r="U4616" s="11" t="str">
        <f t="shared" si="367"/>
        <v/>
      </c>
      <c r="V4616" s="12" t="str">
        <f t="shared" si="368"/>
        <v/>
      </c>
      <c r="Z4616" s="15"/>
    </row>
    <row r="4617" spans="1:26" x14ac:dyDescent="0.25">
      <c r="A4617" s="15" t="str">
        <f>IF(C4617="","",COUNTA($C$3:C4617))</f>
        <v/>
      </c>
      <c r="B4617" s="15" t="str">
        <f t="shared" si="369"/>
        <v/>
      </c>
      <c r="M4617" s="9"/>
      <c r="N4617" s="9"/>
      <c r="P4617" s="14"/>
      <c r="Q4617" s="85"/>
      <c r="R4617" s="89"/>
      <c r="U4617" s="11" t="str">
        <f t="shared" si="367"/>
        <v/>
      </c>
      <c r="V4617" s="12" t="str">
        <f t="shared" si="368"/>
        <v/>
      </c>
      <c r="Z4617" s="15"/>
    </row>
    <row r="4618" spans="1:26" x14ac:dyDescent="0.25">
      <c r="A4618" s="15" t="str">
        <f>IF(C4618="","",COUNTA($C$3:C4618))</f>
        <v/>
      </c>
      <c r="B4618" s="15" t="str">
        <f t="shared" si="369"/>
        <v/>
      </c>
      <c r="M4618" s="9"/>
      <c r="N4618" s="9"/>
      <c r="P4618" s="14"/>
      <c r="Q4618" s="85"/>
      <c r="R4618" s="89"/>
      <c r="U4618" s="11" t="str">
        <f t="shared" si="367"/>
        <v/>
      </c>
      <c r="V4618" s="12" t="str">
        <f t="shared" si="368"/>
        <v/>
      </c>
      <c r="Z4618" s="15"/>
    </row>
    <row r="4619" spans="1:26" x14ac:dyDescent="0.25">
      <c r="A4619" s="15" t="str">
        <f>IF(C4619="","",COUNTA($C$3:C4619))</f>
        <v/>
      </c>
      <c r="B4619" s="15" t="str">
        <f t="shared" si="369"/>
        <v/>
      </c>
      <c r="M4619" s="9"/>
      <c r="N4619" s="9"/>
      <c r="P4619" s="14"/>
      <c r="Q4619" s="85"/>
      <c r="R4619" s="89"/>
      <c r="U4619" s="11" t="str">
        <f t="shared" si="367"/>
        <v/>
      </c>
      <c r="V4619" s="12" t="str">
        <f t="shared" si="368"/>
        <v/>
      </c>
      <c r="Z4619" s="15"/>
    </row>
    <row r="4620" spans="1:26" x14ac:dyDescent="0.25">
      <c r="A4620" s="15" t="str">
        <f>IF(C4620="","",COUNTA($C$3:C4620))</f>
        <v/>
      </c>
      <c r="B4620" s="15" t="str">
        <f t="shared" si="369"/>
        <v/>
      </c>
      <c r="M4620" s="9"/>
      <c r="N4620" s="9"/>
      <c r="P4620" s="14"/>
      <c r="Q4620" s="85"/>
      <c r="R4620" s="89"/>
      <c r="U4620" s="11" t="str">
        <f t="shared" si="367"/>
        <v/>
      </c>
      <c r="V4620" s="12" t="str">
        <f t="shared" si="368"/>
        <v/>
      </c>
      <c r="Z4620" s="15"/>
    </row>
    <row r="4621" spans="1:26" x14ac:dyDescent="0.25">
      <c r="A4621" s="15" t="str">
        <f>IF(C4621="","",COUNTA($C$3:C4621))</f>
        <v/>
      </c>
      <c r="B4621" s="15" t="str">
        <f t="shared" si="369"/>
        <v/>
      </c>
      <c r="M4621" s="9"/>
      <c r="N4621" s="9"/>
      <c r="P4621" s="14"/>
      <c r="Q4621" s="85"/>
      <c r="R4621" s="89"/>
      <c r="U4621" s="11" t="str">
        <f t="shared" si="367"/>
        <v/>
      </c>
      <c r="V4621" s="12" t="str">
        <f t="shared" si="368"/>
        <v/>
      </c>
      <c r="Z4621" s="15"/>
    </row>
    <row r="4622" spans="1:26" x14ac:dyDescent="0.25">
      <c r="A4622" s="15" t="str">
        <f>IF(C4622="","",COUNTA($C$3:C4622))</f>
        <v/>
      </c>
      <c r="B4622" s="15" t="str">
        <f t="shared" si="369"/>
        <v/>
      </c>
      <c r="M4622" s="9"/>
      <c r="N4622" s="9"/>
      <c r="P4622" s="14"/>
      <c r="Q4622" s="85"/>
      <c r="R4622" s="89"/>
      <c r="U4622" s="11" t="str">
        <f t="shared" si="367"/>
        <v/>
      </c>
      <c r="V4622" s="12" t="str">
        <f t="shared" si="368"/>
        <v/>
      </c>
      <c r="Z4622" s="15"/>
    </row>
    <row r="4623" spans="1:26" x14ac:dyDescent="0.25">
      <c r="A4623" s="15" t="str">
        <f>IF(C4623="","",COUNTA($C$3:C4623))</f>
        <v/>
      </c>
      <c r="B4623" s="15" t="str">
        <f t="shared" si="369"/>
        <v/>
      </c>
      <c r="M4623" s="9"/>
      <c r="N4623" s="9"/>
      <c r="P4623" s="14"/>
      <c r="Q4623" s="85"/>
      <c r="R4623" s="89"/>
      <c r="U4623" s="11" t="str">
        <f t="shared" si="367"/>
        <v/>
      </c>
      <c r="V4623" s="12" t="str">
        <f t="shared" si="368"/>
        <v/>
      </c>
      <c r="Z4623" s="15"/>
    </row>
    <row r="4624" spans="1:26" x14ac:dyDescent="0.25">
      <c r="A4624" s="15" t="str">
        <f>IF(C4624="","",COUNTA($C$3:C4624))</f>
        <v/>
      </c>
      <c r="B4624" s="15" t="str">
        <f t="shared" si="369"/>
        <v/>
      </c>
      <c r="M4624" s="9"/>
      <c r="N4624" s="9"/>
      <c r="P4624" s="14"/>
      <c r="Q4624" s="85"/>
      <c r="R4624" s="89"/>
      <c r="U4624" s="11" t="str">
        <f t="shared" si="367"/>
        <v/>
      </c>
      <c r="V4624" s="12" t="str">
        <f t="shared" si="368"/>
        <v/>
      </c>
      <c r="Z4624" s="15"/>
    </row>
    <row r="4625" spans="1:26" x14ac:dyDescent="0.25">
      <c r="A4625" s="15" t="str">
        <f>IF(C4625="","",COUNTA($C$3:C4625))</f>
        <v/>
      </c>
      <c r="B4625" s="15" t="str">
        <f t="shared" si="369"/>
        <v/>
      </c>
      <c r="M4625" s="9"/>
      <c r="N4625" s="9"/>
      <c r="P4625" s="14"/>
      <c r="Q4625" s="85"/>
      <c r="R4625" s="89"/>
      <c r="U4625" s="11" t="str">
        <f t="shared" si="367"/>
        <v/>
      </c>
      <c r="V4625" s="12" t="str">
        <f t="shared" si="368"/>
        <v/>
      </c>
      <c r="Z4625" s="15"/>
    </row>
    <row r="4626" spans="1:26" x14ac:dyDescent="0.25">
      <c r="A4626" s="15" t="str">
        <f>IF(C4626="","",COUNTA($C$3:C4626))</f>
        <v/>
      </c>
      <c r="B4626" s="15" t="str">
        <f t="shared" si="369"/>
        <v/>
      </c>
      <c r="M4626" s="9"/>
      <c r="N4626" s="9"/>
      <c r="P4626" s="14"/>
      <c r="Q4626" s="85"/>
      <c r="R4626" s="89"/>
      <c r="U4626" s="11" t="str">
        <f t="shared" si="367"/>
        <v/>
      </c>
      <c r="V4626" s="12" t="str">
        <f t="shared" si="368"/>
        <v/>
      </c>
      <c r="Z4626" s="15"/>
    </row>
    <row r="4627" spans="1:26" x14ac:dyDescent="0.25">
      <c r="A4627" s="15" t="str">
        <f>IF(C4627="","",COUNTA($C$3:C4627))</f>
        <v/>
      </c>
      <c r="B4627" s="15" t="str">
        <f t="shared" si="369"/>
        <v/>
      </c>
      <c r="M4627" s="9"/>
      <c r="N4627" s="9"/>
      <c r="P4627" s="14"/>
      <c r="Q4627" s="85"/>
      <c r="R4627" s="89"/>
      <c r="U4627" s="11" t="str">
        <f t="shared" si="367"/>
        <v/>
      </c>
      <c r="V4627" s="12" t="str">
        <f t="shared" si="368"/>
        <v/>
      </c>
      <c r="Z4627" s="15"/>
    </row>
    <row r="4628" spans="1:26" x14ac:dyDescent="0.25">
      <c r="A4628" s="15" t="str">
        <f>IF(C4628="","",COUNTA($C$3:C4628))</f>
        <v/>
      </c>
      <c r="B4628" s="15" t="str">
        <f t="shared" si="369"/>
        <v/>
      </c>
      <c r="M4628" s="9"/>
      <c r="N4628" s="9"/>
      <c r="P4628" s="14"/>
      <c r="Q4628" s="85"/>
      <c r="R4628" s="89"/>
      <c r="U4628" s="11" t="str">
        <f t="shared" si="367"/>
        <v/>
      </c>
      <c r="V4628" s="12" t="str">
        <f t="shared" si="368"/>
        <v/>
      </c>
      <c r="Z4628" s="15"/>
    </row>
    <row r="4629" spans="1:26" x14ac:dyDescent="0.25">
      <c r="A4629" s="15" t="str">
        <f>IF(C4629="","",COUNTA($C$3:C4629))</f>
        <v/>
      </c>
      <c r="B4629" s="15" t="str">
        <f t="shared" si="369"/>
        <v/>
      </c>
      <c r="M4629" s="9"/>
      <c r="N4629" s="9"/>
      <c r="P4629" s="14"/>
      <c r="Q4629" s="85"/>
      <c r="R4629" s="89"/>
      <c r="U4629" s="11" t="str">
        <f t="shared" si="367"/>
        <v/>
      </c>
      <c r="V4629" s="12" t="str">
        <f t="shared" si="368"/>
        <v/>
      </c>
      <c r="Z4629" s="15"/>
    </row>
    <row r="4630" spans="1:26" x14ac:dyDescent="0.25">
      <c r="A4630" s="15" t="str">
        <f>IF(C4630="","",COUNTA($C$3:C4630))</f>
        <v/>
      </c>
      <c r="B4630" s="15" t="str">
        <f t="shared" si="369"/>
        <v/>
      </c>
      <c r="M4630" s="9"/>
      <c r="N4630" s="9"/>
      <c r="P4630" s="14"/>
      <c r="Q4630" s="85"/>
      <c r="R4630" s="89"/>
      <c r="U4630" s="11" t="str">
        <f t="shared" si="367"/>
        <v/>
      </c>
      <c r="V4630" s="12" t="str">
        <f t="shared" si="368"/>
        <v/>
      </c>
      <c r="Z4630" s="15"/>
    </row>
    <row r="4631" spans="1:26" x14ac:dyDescent="0.25">
      <c r="A4631" s="15" t="str">
        <f>IF(C4631="","",COUNTA($C$3:C4631))</f>
        <v/>
      </c>
      <c r="B4631" s="15" t="str">
        <f t="shared" si="369"/>
        <v/>
      </c>
      <c r="M4631" s="9"/>
      <c r="N4631" s="9"/>
      <c r="P4631" s="14"/>
      <c r="Q4631" s="85"/>
      <c r="R4631" s="89"/>
      <c r="U4631" s="11" t="str">
        <f t="shared" si="367"/>
        <v/>
      </c>
      <c r="V4631" s="12" t="str">
        <f t="shared" si="368"/>
        <v/>
      </c>
      <c r="Z4631" s="15"/>
    </row>
    <row r="4632" spans="1:26" x14ac:dyDescent="0.25">
      <c r="A4632" s="15" t="str">
        <f>IF(C4632="","",COUNTA($C$3:C4632))</f>
        <v/>
      </c>
      <c r="B4632" s="15" t="str">
        <f t="shared" si="369"/>
        <v/>
      </c>
      <c r="M4632" s="9"/>
      <c r="N4632" s="9"/>
      <c r="P4632" s="14"/>
      <c r="Q4632" s="85"/>
      <c r="R4632" s="89"/>
      <c r="U4632" s="11" t="str">
        <f t="shared" si="367"/>
        <v/>
      </c>
      <c r="V4632" s="12" t="str">
        <f t="shared" si="368"/>
        <v/>
      </c>
      <c r="Z4632" s="15"/>
    </row>
    <row r="4633" spans="1:26" x14ac:dyDescent="0.25">
      <c r="A4633" s="15" t="str">
        <f>IF(C4633="","",COUNTA($C$3:C4633))</f>
        <v/>
      </c>
      <c r="B4633" s="15" t="str">
        <f t="shared" si="369"/>
        <v/>
      </c>
      <c r="M4633" s="9"/>
      <c r="N4633" s="9"/>
      <c r="P4633" s="14"/>
      <c r="Q4633" s="85"/>
      <c r="R4633" s="89"/>
      <c r="U4633" s="11" t="str">
        <f t="shared" si="367"/>
        <v/>
      </c>
      <c r="V4633" s="12" t="str">
        <f t="shared" si="368"/>
        <v/>
      </c>
      <c r="Z4633" s="15"/>
    </row>
    <row r="4634" spans="1:26" x14ac:dyDescent="0.25">
      <c r="A4634" s="15" t="str">
        <f>IF(C4634="","",COUNTA($C$3:C4634))</f>
        <v/>
      </c>
      <c r="B4634" s="15" t="str">
        <f t="shared" si="369"/>
        <v/>
      </c>
      <c r="M4634" s="9"/>
      <c r="N4634" s="9"/>
      <c r="P4634" s="14"/>
      <c r="Q4634" s="85"/>
      <c r="R4634" s="89"/>
      <c r="U4634" s="11" t="str">
        <f t="shared" si="367"/>
        <v/>
      </c>
      <c r="V4634" s="12" t="str">
        <f t="shared" si="368"/>
        <v/>
      </c>
      <c r="Z4634" s="15"/>
    </row>
    <row r="4635" spans="1:26" x14ac:dyDescent="0.25">
      <c r="A4635" s="15" t="str">
        <f>IF(C4635="","",COUNTA($C$3:C4635))</f>
        <v/>
      </c>
      <c r="B4635" s="15" t="str">
        <f t="shared" si="369"/>
        <v/>
      </c>
      <c r="M4635" s="9"/>
      <c r="N4635" s="9"/>
      <c r="P4635" s="14"/>
      <c r="Q4635" s="85"/>
      <c r="R4635" s="89"/>
      <c r="U4635" s="11" t="str">
        <f t="shared" si="367"/>
        <v/>
      </c>
      <c r="V4635" s="12" t="str">
        <f t="shared" si="368"/>
        <v/>
      </c>
      <c r="Z4635" s="15"/>
    </row>
    <row r="4636" spans="1:26" x14ac:dyDescent="0.25">
      <c r="A4636" s="15" t="str">
        <f>IF(C4636="","",COUNTA($C$3:C4636))</f>
        <v/>
      </c>
      <c r="B4636" s="15" t="str">
        <f t="shared" si="369"/>
        <v/>
      </c>
      <c r="M4636" s="9"/>
      <c r="N4636" s="9"/>
      <c r="P4636" s="14"/>
      <c r="Q4636" s="85"/>
      <c r="R4636" s="89"/>
      <c r="U4636" s="11" t="str">
        <f t="shared" si="367"/>
        <v/>
      </c>
      <c r="V4636" s="12" t="str">
        <f t="shared" si="368"/>
        <v/>
      </c>
      <c r="Z4636" s="15"/>
    </row>
    <row r="4637" spans="1:26" x14ac:dyDescent="0.25">
      <c r="A4637" s="15" t="str">
        <f>IF(C4637="","",COUNTA($C$3:C4637))</f>
        <v/>
      </c>
      <c r="B4637" s="15" t="str">
        <f t="shared" si="369"/>
        <v/>
      </c>
      <c r="M4637" s="9"/>
      <c r="N4637" s="9"/>
      <c r="P4637" s="14"/>
      <c r="Q4637" s="85"/>
      <c r="R4637" s="89"/>
      <c r="U4637" s="11" t="str">
        <f t="shared" si="367"/>
        <v/>
      </c>
      <c r="V4637" s="12" t="str">
        <f t="shared" si="368"/>
        <v/>
      </c>
      <c r="Z4637" s="15"/>
    </row>
    <row r="4638" spans="1:26" x14ac:dyDescent="0.25">
      <c r="A4638" s="15" t="str">
        <f>IF(C4638="","",COUNTA($C$3:C4638))</f>
        <v/>
      </c>
      <c r="B4638" s="15" t="str">
        <f t="shared" si="369"/>
        <v/>
      </c>
      <c r="M4638" s="9"/>
      <c r="N4638" s="9"/>
      <c r="P4638" s="14"/>
      <c r="Q4638" s="85"/>
      <c r="R4638" s="89"/>
      <c r="U4638" s="11" t="str">
        <f t="shared" si="367"/>
        <v/>
      </c>
      <c r="V4638" s="12" t="str">
        <f t="shared" si="368"/>
        <v/>
      </c>
      <c r="Z4638" s="15"/>
    </row>
    <row r="4639" spans="1:26" x14ac:dyDescent="0.25">
      <c r="A4639" s="15" t="str">
        <f>IF(C4639="","",COUNTA($C$3:C4639))</f>
        <v/>
      </c>
      <c r="B4639" s="15" t="str">
        <f t="shared" si="369"/>
        <v/>
      </c>
      <c r="M4639" s="9"/>
      <c r="N4639" s="9"/>
      <c r="P4639" s="14"/>
      <c r="Q4639" s="85"/>
      <c r="R4639" s="89"/>
      <c r="U4639" s="11" t="str">
        <f t="shared" si="367"/>
        <v/>
      </c>
      <c r="V4639" s="12" t="str">
        <f t="shared" si="368"/>
        <v/>
      </c>
      <c r="Z4639" s="15"/>
    </row>
    <row r="4640" spans="1:26" x14ac:dyDescent="0.25">
      <c r="A4640" s="15" t="str">
        <f>IF(C4640="","",COUNTA($C$3:C4640))</f>
        <v/>
      </c>
      <c r="B4640" s="15" t="str">
        <f t="shared" si="369"/>
        <v/>
      </c>
      <c r="M4640" s="9"/>
      <c r="N4640" s="9"/>
      <c r="P4640" s="14"/>
      <c r="Q4640" s="85"/>
      <c r="R4640" s="89"/>
      <c r="U4640" s="11" t="str">
        <f t="shared" si="367"/>
        <v/>
      </c>
      <c r="V4640" s="12" t="str">
        <f t="shared" si="368"/>
        <v/>
      </c>
      <c r="Z4640" s="15"/>
    </row>
    <row r="4641" spans="1:26" x14ac:dyDescent="0.25">
      <c r="A4641" s="15" t="str">
        <f>IF(C4641="","",COUNTA($C$3:C4641))</f>
        <v/>
      </c>
      <c r="B4641" s="15" t="str">
        <f t="shared" si="369"/>
        <v/>
      </c>
      <c r="M4641" s="9"/>
      <c r="N4641" s="9"/>
      <c r="P4641" s="14"/>
      <c r="Q4641" s="85"/>
      <c r="R4641" s="89"/>
      <c r="U4641" s="11" t="str">
        <f t="shared" si="367"/>
        <v/>
      </c>
      <c r="V4641" s="12" t="str">
        <f t="shared" si="368"/>
        <v/>
      </c>
      <c r="Z4641" s="15"/>
    </row>
    <row r="4642" spans="1:26" x14ac:dyDescent="0.25">
      <c r="A4642" s="15" t="str">
        <f>IF(C4642="","",COUNTA($C$3:C4642))</f>
        <v/>
      </c>
      <c r="B4642" s="15" t="str">
        <f t="shared" si="369"/>
        <v/>
      </c>
      <c r="M4642" s="9"/>
      <c r="N4642" s="9"/>
      <c r="P4642" s="14"/>
      <c r="Q4642" s="85"/>
      <c r="R4642" s="89"/>
      <c r="U4642" s="11" t="str">
        <f t="shared" si="367"/>
        <v/>
      </c>
      <c r="V4642" s="12" t="str">
        <f t="shared" si="368"/>
        <v/>
      </c>
      <c r="Z4642" s="15"/>
    </row>
    <row r="4643" spans="1:26" x14ac:dyDescent="0.25">
      <c r="A4643" s="15" t="str">
        <f>IF(C4643="","",COUNTA($C$3:C4643))</f>
        <v/>
      </c>
      <c r="B4643" s="15" t="str">
        <f t="shared" si="369"/>
        <v/>
      </c>
      <c r="M4643" s="9"/>
      <c r="N4643" s="9"/>
      <c r="P4643" s="14"/>
      <c r="Q4643" s="85"/>
      <c r="R4643" s="89"/>
      <c r="U4643" s="11" t="str">
        <f t="shared" si="367"/>
        <v/>
      </c>
      <c r="V4643" s="12" t="str">
        <f t="shared" si="368"/>
        <v/>
      </c>
      <c r="Z4643" s="15"/>
    </row>
    <row r="4644" spans="1:26" x14ac:dyDescent="0.25">
      <c r="A4644" s="15" t="str">
        <f>IF(C4644="","",COUNTA($C$3:C4644))</f>
        <v/>
      </c>
      <c r="B4644" s="15" t="str">
        <f t="shared" si="369"/>
        <v/>
      </c>
      <c r="M4644" s="9"/>
      <c r="N4644" s="9"/>
      <c r="P4644" s="14"/>
      <c r="Q4644" s="85"/>
      <c r="R4644" s="89"/>
      <c r="U4644" s="11" t="str">
        <f t="shared" si="367"/>
        <v/>
      </c>
      <c r="V4644" s="12" t="str">
        <f t="shared" si="368"/>
        <v/>
      </c>
      <c r="Z4644" s="15"/>
    </row>
    <row r="4645" spans="1:26" x14ac:dyDescent="0.25">
      <c r="A4645" s="15" t="str">
        <f>IF(C4645="","",COUNTA($C$3:C4645))</f>
        <v/>
      </c>
      <c r="B4645" s="15" t="str">
        <f t="shared" si="369"/>
        <v/>
      </c>
      <c r="M4645" s="9"/>
      <c r="N4645" s="9"/>
      <c r="P4645" s="14"/>
      <c r="Q4645" s="85"/>
      <c r="R4645" s="89"/>
      <c r="U4645" s="11" t="str">
        <f t="shared" si="367"/>
        <v/>
      </c>
      <c r="V4645" s="12" t="str">
        <f t="shared" si="368"/>
        <v/>
      </c>
      <c r="Z4645" s="15"/>
    </row>
    <row r="4646" spans="1:26" x14ac:dyDescent="0.25">
      <c r="A4646" s="15" t="str">
        <f>IF(C4646="","",COUNTA($C$3:C4646))</f>
        <v/>
      </c>
      <c r="B4646" s="15" t="str">
        <f t="shared" si="369"/>
        <v/>
      </c>
      <c r="M4646" s="9"/>
      <c r="N4646" s="9"/>
      <c r="P4646" s="14"/>
      <c r="Q4646" s="85"/>
      <c r="R4646" s="89"/>
      <c r="U4646" s="11" t="str">
        <f t="shared" si="367"/>
        <v/>
      </c>
      <c r="V4646" s="12" t="str">
        <f t="shared" si="368"/>
        <v/>
      </c>
      <c r="Z4646" s="15"/>
    </row>
    <row r="4647" spans="1:26" x14ac:dyDescent="0.25">
      <c r="A4647" s="15" t="str">
        <f>IF(C4647="","",COUNTA($C$3:C4647))</f>
        <v/>
      </c>
      <c r="B4647" s="15" t="str">
        <f t="shared" si="369"/>
        <v/>
      </c>
      <c r="M4647" s="9"/>
      <c r="N4647" s="9"/>
      <c r="P4647" s="14"/>
      <c r="Q4647" s="85"/>
      <c r="R4647" s="89"/>
      <c r="U4647" s="11" t="str">
        <f t="shared" si="367"/>
        <v/>
      </c>
      <c r="V4647" s="12" t="str">
        <f t="shared" si="368"/>
        <v/>
      </c>
      <c r="Z4647" s="15"/>
    </row>
    <row r="4648" spans="1:26" x14ac:dyDescent="0.25">
      <c r="A4648" s="15" t="str">
        <f>IF(C4648="","",COUNTA($C$3:C4648))</f>
        <v/>
      </c>
      <c r="B4648" s="15" t="str">
        <f t="shared" si="369"/>
        <v/>
      </c>
      <c r="M4648" s="9"/>
      <c r="N4648" s="9"/>
      <c r="P4648" s="14"/>
      <c r="Q4648" s="85"/>
      <c r="R4648" s="89"/>
      <c r="U4648" s="11" t="str">
        <f t="shared" si="367"/>
        <v/>
      </c>
      <c r="V4648" s="12" t="str">
        <f t="shared" si="368"/>
        <v/>
      </c>
      <c r="Z4648" s="15"/>
    </row>
    <row r="4649" spans="1:26" x14ac:dyDescent="0.25">
      <c r="A4649" s="15" t="str">
        <f>IF(C4649="","",COUNTA($C$3:C4649))</f>
        <v/>
      </c>
      <c r="B4649" s="15" t="str">
        <f t="shared" si="369"/>
        <v/>
      </c>
      <c r="M4649" s="9"/>
      <c r="N4649" s="9"/>
      <c r="P4649" s="14"/>
      <c r="Q4649" s="85"/>
      <c r="R4649" s="89"/>
      <c r="U4649" s="11" t="str">
        <f t="shared" si="367"/>
        <v/>
      </c>
      <c r="V4649" s="12" t="str">
        <f t="shared" si="368"/>
        <v/>
      </c>
      <c r="Z4649" s="15"/>
    </row>
    <row r="4650" spans="1:26" x14ac:dyDescent="0.25">
      <c r="A4650" s="15" t="str">
        <f>IF(C4650="","",COUNTA($C$3:C4650))</f>
        <v/>
      </c>
      <c r="B4650" s="15" t="str">
        <f t="shared" si="369"/>
        <v/>
      </c>
      <c r="M4650" s="9"/>
      <c r="N4650" s="9"/>
      <c r="P4650" s="14"/>
      <c r="Q4650" s="85"/>
      <c r="R4650" s="89"/>
      <c r="U4650" s="11" t="str">
        <f t="shared" si="367"/>
        <v/>
      </c>
      <c r="V4650" s="12" t="str">
        <f t="shared" si="368"/>
        <v/>
      </c>
      <c r="Z4650" s="15"/>
    </row>
    <row r="4651" spans="1:26" x14ac:dyDescent="0.25">
      <c r="A4651" s="15" t="str">
        <f>IF(C4651="","",COUNTA($C$3:C4651))</f>
        <v/>
      </c>
      <c r="B4651" s="15" t="str">
        <f t="shared" si="369"/>
        <v/>
      </c>
      <c r="M4651" s="9"/>
      <c r="N4651" s="9"/>
      <c r="P4651" s="14"/>
      <c r="Q4651" s="85"/>
      <c r="R4651" s="89"/>
      <c r="U4651" s="11" t="str">
        <f t="shared" si="367"/>
        <v/>
      </c>
      <c r="V4651" s="12" t="str">
        <f t="shared" si="368"/>
        <v/>
      </c>
      <c r="Z4651" s="15"/>
    </row>
    <row r="4652" spans="1:26" x14ac:dyDescent="0.25">
      <c r="A4652" s="15" t="str">
        <f>IF(C4652="","",COUNTA($C$3:C4652))</f>
        <v/>
      </c>
      <c r="B4652" s="15" t="str">
        <f t="shared" si="369"/>
        <v/>
      </c>
      <c r="M4652" s="9"/>
      <c r="N4652" s="9"/>
      <c r="P4652" s="14"/>
      <c r="Q4652" s="85"/>
      <c r="R4652" s="89"/>
      <c r="U4652" s="11" t="str">
        <f t="shared" si="367"/>
        <v/>
      </c>
      <c r="V4652" s="12" t="str">
        <f t="shared" si="368"/>
        <v/>
      </c>
      <c r="Z4652" s="15"/>
    </row>
    <row r="4653" spans="1:26" x14ac:dyDescent="0.25">
      <c r="A4653" s="15" t="str">
        <f>IF(C4653="","",COUNTA($C$3:C4653))</f>
        <v/>
      </c>
      <c r="B4653" s="15" t="str">
        <f t="shared" si="369"/>
        <v/>
      </c>
      <c r="M4653" s="9"/>
      <c r="N4653" s="9"/>
      <c r="P4653" s="14"/>
      <c r="Q4653" s="85"/>
      <c r="R4653" s="89"/>
      <c r="U4653" s="11" t="str">
        <f t="shared" si="367"/>
        <v/>
      </c>
      <c r="V4653" s="12" t="str">
        <f t="shared" si="368"/>
        <v/>
      </c>
      <c r="Z4653" s="15"/>
    </row>
    <row r="4654" spans="1:26" x14ac:dyDescent="0.25">
      <c r="A4654" s="15" t="str">
        <f>IF(C4654="","",COUNTA($C$3:C4654))</f>
        <v/>
      </c>
      <c r="B4654" s="15" t="str">
        <f t="shared" si="369"/>
        <v/>
      </c>
      <c r="M4654" s="9"/>
      <c r="N4654" s="9"/>
      <c r="P4654" s="14"/>
      <c r="Q4654" s="85"/>
      <c r="R4654" s="89"/>
      <c r="U4654" s="11" t="str">
        <f t="shared" si="367"/>
        <v/>
      </c>
      <c r="V4654" s="12" t="str">
        <f t="shared" si="368"/>
        <v/>
      </c>
      <c r="Z4654" s="15"/>
    </row>
    <row r="4655" spans="1:26" x14ac:dyDescent="0.25">
      <c r="A4655" s="15" t="str">
        <f>IF(C4655="","",COUNTA($C$3:C4655))</f>
        <v/>
      </c>
      <c r="B4655" s="15" t="str">
        <f t="shared" si="369"/>
        <v/>
      </c>
      <c r="M4655" s="9"/>
      <c r="N4655" s="9"/>
      <c r="P4655" s="14"/>
      <c r="Q4655" s="85"/>
      <c r="R4655" s="89"/>
      <c r="U4655" s="11" t="str">
        <f t="shared" si="367"/>
        <v/>
      </c>
      <c r="V4655" s="12" t="str">
        <f t="shared" si="368"/>
        <v/>
      </c>
      <c r="Z4655" s="15"/>
    </row>
    <row r="4656" spans="1:26" x14ac:dyDescent="0.25">
      <c r="A4656" s="15" t="str">
        <f>IF(C4656="","",COUNTA($C$3:C4656))</f>
        <v/>
      </c>
      <c r="B4656" s="15" t="str">
        <f t="shared" si="369"/>
        <v/>
      </c>
      <c r="M4656" s="9"/>
      <c r="N4656" s="9"/>
      <c r="P4656" s="14"/>
      <c r="Q4656" s="85"/>
      <c r="R4656" s="89"/>
      <c r="U4656" s="11" t="str">
        <f t="shared" si="367"/>
        <v/>
      </c>
      <c r="V4656" s="12" t="str">
        <f t="shared" si="368"/>
        <v/>
      </c>
      <c r="Z4656" s="15"/>
    </row>
    <row r="4657" spans="1:26" x14ac:dyDescent="0.25">
      <c r="A4657" s="15" t="str">
        <f>IF(C4657="","",COUNTA($C$3:C4657))</f>
        <v/>
      </c>
      <c r="B4657" s="15" t="str">
        <f t="shared" si="369"/>
        <v/>
      </c>
      <c r="M4657" s="9"/>
      <c r="N4657" s="9"/>
      <c r="P4657" s="14"/>
      <c r="Q4657" s="85"/>
      <c r="R4657" s="89"/>
      <c r="U4657" s="11" t="str">
        <f t="shared" si="367"/>
        <v/>
      </c>
      <c r="V4657" s="12" t="str">
        <f t="shared" si="368"/>
        <v/>
      </c>
      <c r="Z4657" s="15"/>
    </row>
    <row r="4658" spans="1:26" x14ac:dyDescent="0.25">
      <c r="A4658" s="15" t="str">
        <f>IF(C4658="","",COUNTA($C$3:C4658))</f>
        <v/>
      </c>
      <c r="B4658" s="15" t="str">
        <f t="shared" si="369"/>
        <v/>
      </c>
      <c r="M4658" s="9"/>
      <c r="N4658" s="9"/>
      <c r="P4658" s="14"/>
      <c r="Q4658" s="85"/>
      <c r="R4658" s="89"/>
      <c r="U4658" s="11" t="str">
        <f t="shared" si="367"/>
        <v/>
      </c>
      <c r="V4658" s="12" t="str">
        <f t="shared" si="368"/>
        <v/>
      </c>
      <c r="Z4658" s="15"/>
    </row>
    <row r="4659" spans="1:26" x14ac:dyDescent="0.25">
      <c r="A4659" s="15" t="str">
        <f>IF(C4659="","",COUNTA($C$3:C4659))</f>
        <v/>
      </c>
      <c r="B4659" s="15" t="str">
        <f t="shared" si="369"/>
        <v/>
      </c>
      <c r="M4659" s="9"/>
      <c r="N4659" s="9"/>
      <c r="P4659" s="14"/>
      <c r="Q4659" s="85"/>
      <c r="R4659" s="89"/>
      <c r="U4659" s="11" t="str">
        <f t="shared" si="367"/>
        <v/>
      </c>
      <c r="V4659" s="12" t="str">
        <f t="shared" si="368"/>
        <v/>
      </c>
      <c r="Z4659" s="15"/>
    </row>
    <row r="4660" spans="1:26" x14ac:dyDescent="0.25">
      <c r="A4660" s="15" t="str">
        <f>IF(C4660="","",COUNTA($C$3:C4660))</f>
        <v/>
      </c>
      <c r="B4660" s="15" t="str">
        <f t="shared" si="369"/>
        <v/>
      </c>
      <c r="M4660" s="9"/>
      <c r="N4660" s="9"/>
      <c r="P4660" s="14"/>
      <c r="Q4660" s="85"/>
      <c r="R4660" s="89"/>
      <c r="U4660" s="11" t="str">
        <f t="shared" si="367"/>
        <v/>
      </c>
      <c r="V4660" s="12" t="str">
        <f t="shared" si="368"/>
        <v/>
      </c>
      <c r="Z4660" s="15"/>
    </row>
    <row r="4661" spans="1:26" x14ac:dyDescent="0.25">
      <c r="A4661" s="15" t="str">
        <f>IF(C4661="","",COUNTA($C$3:C4661))</f>
        <v/>
      </c>
      <c r="B4661" s="15" t="str">
        <f t="shared" si="369"/>
        <v/>
      </c>
      <c r="M4661" s="9"/>
      <c r="N4661" s="9"/>
      <c r="P4661" s="14"/>
      <c r="Q4661" s="85"/>
      <c r="R4661" s="89"/>
      <c r="U4661" s="11" t="str">
        <f t="shared" si="367"/>
        <v/>
      </c>
      <c r="V4661" s="12" t="str">
        <f t="shared" si="368"/>
        <v/>
      </c>
      <c r="Z4661" s="15"/>
    </row>
    <row r="4662" spans="1:26" x14ac:dyDescent="0.25">
      <c r="A4662" s="15" t="str">
        <f>IF(C4662="","",COUNTA($C$3:C4662))</f>
        <v/>
      </c>
      <c r="B4662" s="15" t="str">
        <f t="shared" si="369"/>
        <v/>
      </c>
      <c r="M4662" s="9"/>
      <c r="N4662" s="9"/>
      <c r="P4662" s="14"/>
      <c r="Q4662" s="85"/>
      <c r="R4662" s="89"/>
      <c r="U4662" s="11" t="str">
        <f t="shared" si="367"/>
        <v/>
      </c>
      <c r="V4662" s="12" t="str">
        <f t="shared" si="368"/>
        <v/>
      </c>
      <c r="Z4662" s="15"/>
    </row>
    <row r="4663" spans="1:26" x14ac:dyDescent="0.25">
      <c r="A4663" s="15" t="str">
        <f>IF(C4663="","",COUNTA($C$3:C4663))</f>
        <v/>
      </c>
      <c r="B4663" s="15" t="str">
        <f t="shared" si="369"/>
        <v/>
      </c>
      <c r="M4663" s="9"/>
      <c r="N4663" s="9"/>
      <c r="P4663" s="14"/>
      <c r="Q4663" s="85"/>
      <c r="R4663" s="89"/>
      <c r="U4663" s="11" t="str">
        <f t="shared" si="367"/>
        <v/>
      </c>
      <c r="V4663" s="12" t="str">
        <f t="shared" si="368"/>
        <v/>
      </c>
      <c r="Z4663" s="15"/>
    </row>
    <row r="4664" spans="1:26" x14ac:dyDescent="0.25">
      <c r="A4664" s="15" t="str">
        <f>IF(C4664="","",COUNTA($C$3:C4664))</f>
        <v/>
      </c>
      <c r="B4664" s="15" t="str">
        <f t="shared" si="369"/>
        <v/>
      </c>
      <c r="M4664" s="9"/>
      <c r="N4664" s="9"/>
      <c r="P4664" s="14"/>
      <c r="Q4664" s="85"/>
      <c r="R4664" s="89"/>
      <c r="U4664" s="11" t="str">
        <f t="shared" si="367"/>
        <v/>
      </c>
      <c r="V4664" s="12" t="str">
        <f t="shared" si="368"/>
        <v/>
      </c>
      <c r="Z4664" s="15"/>
    </row>
    <row r="4665" spans="1:26" x14ac:dyDescent="0.25">
      <c r="A4665" s="15" t="str">
        <f>IF(C4665="","",COUNTA($C$3:C4665))</f>
        <v/>
      </c>
      <c r="B4665" s="15" t="str">
        <f t="shared" si="369"/>
        <v/>
      </c>
      <c r="M4665" s="9"/>
      <c r="N4665" s="9"/>
      <c r="P4665" s="14"/>
      <c r="Q4665" s="85"/>
      <c r="R4665" s="89"/>
      <c r="U4665" s="11" t="str">
        <f t="shared" si="367"/>
        <v/>
      </c>
      <c r="V4665" s="12" t="str">
        <f t="shared" si="368"/>
        <v/>
      </c>
      <c r="Z4665" s="15"/>
    </row>
    <row r="4666" spans="1:26" x14ac:dyDescent="0.25">
      <c r="A4666" s="15" t="str">
        <f>IF(C4666="","",COUNTA($C$3:C4666))</f>
        <v/>
      </c>
      <c r="B4666" s="15" t="str">
        <f t="shared" si="369"/>
        <v/>
      </c>
      <c r="M4666" s="9"/>
      <c r="N4666" s="9"/>
      <c r="P4666" s="14"/>
      <c r="Q4666" s="85"/>
      <c r="R4666" s="89"/>
      <c r="U4666" s="11" t="str">
        <f t="shared" si="367"/>
        <v/>
      </c>
      <c r="V4666" s="12" t="str">
        <f t="shared" si="368"/>
        <v/>
      </c>
      <c r="Z4666" s="15"/>
    </row>
    <row r="4667" spans="1:26" x14ac:dyDescent="0.25">
      <c r="A4667" s="15" t="str">
        <f>IF(C4667="","",COUNTA($C$3:C4667))</f>
        <v/>
      </c>
      <c r="B4667" s="15" t="str">
        <f t="shared" si="369"/>
        <v/>
      </c>
      <c r="M4667" s="9"/>
      <c r="N4667" s="9"/>
      <c r="P4667" s="14"/>
      <c r="Q4667" s="85"/>
      <c r="R4667" s="89"/>
      <c r="U4667" s="11" t="str">
        <f t="shared" si="367"/>
        <v/>
      </c>
      <c r="V4667" s="12" t="str">
        <f t="shared" si="368"/>
        <v/>
      </c>
      <c r="Z4667" s="15"/>
    </row>
    <row r="4668" spans="1:26" x14ac:dyDescent="0.25">
      <c r="A4668" s="15" t="str">
        <f>IF(C4668="","",COUNTA($C$3:C4668))</f>
        <v/>
      </c>
      <c r="B4668" s="15" t="str">
        <f t="shared" si="369"/>
        <v/>
      </c>
      <c r="M4668" s="9"/>
      <c r="N4668" s="9"/>
      <c r="P4668" s="14"/>
      <c r="Q4668" s="85"/>
      <c r="R4668" s="89"/>
      <c r="U4668" s="11" t="str">
        <f t="shared" si="367"/>
        <v/>
      </c>
      <c r="V4668" s="12" t="str">
        <f t="shared" si="368"/>
        <v/>
      </c>
      <c r="Z4668" s="15"/>
    </row>
    <row r="4669" spans="1:26" x14ac:dyDescent="0.25">
      <c r="A4669" s="15" t="str">
        <f>IF(C4669="","",COUNTA($C$3:C4669))</f>
        <v/>
      </c>
      <c r="B4669" s="15" t="str">
        <f t="shared" si="369"/>
        <v/>
      </c>
      <c r="M4669" s="9"/>
      <c r="N4669" s="9"/>
      <c r="P4669" s="14"/>
      <c r="Q4669" s="85"/>
      <c r="R4669" s="89"/>
      <c r="U4669" s="11" t="str">
        <f t="shared" si="367"/>
        <v/>
      </c>
      <c r="V4669" s="12" t="str">
        <f t="shared" si="368"/>
        <v/>
      </c>
      <c r="Z4669" s="15"/>
    </row>
    <row r="4670" spans="1:26" x14ac:dyDescent="0.25">
      <c r="A4670" s="15" t="str">
        <f>IF(C4670="","",COUNTA($C$3:C4670))</f>
        <v/>
      </c>
      <c r="B4670" s="15" t="str">
        <f t="shared" si="369"/>
        <v/>
      </c>
      <c r="M4670" s="9"/>
      <c r="N4670" s="9"/>
      <c r="P4670" s="14"/>
      <c r="Q4670" s="85"/>
      <c r="R4670" s="89"/>
      <c r="U4670" s="11" t="str">
        <f t="shared" si="367"/>
        <v/>
      </c>
      <c r="V4670" s="12" t="str">
        <f t="shared" si="368"/>
        <v/>
      </c>
      <c r="Z4670" s="15"/>
    </row>
    <row r="4671" spans="1:26" x14ac:dyDescent="0.25">
      <c r="A4671" s="15" t="str">
        <f>IF(C4671="","",COUNTA($C$3:C4671))</f>
        <v/>
      </c>
      <c r="B4671" s="15" t="str">
        <f t="shared" si="369"/>
        <v/>
      </c>
      <c r="M4671" s="9"/>
      <c r="N4671" s="9"/>
      <c r="P4671" s="14"/>
      <c r="Q4671" s="85"/>
      <c r="R4671" s="89"/>
      <c r="U4671" s="11" t="str">
        <f t="shared" si="367"/>
        <v/>
      </c>
      <c r="V4671" s="12" t="str">
        <f t="shared" si="368"/>
        <v/>
      </c>
      <c r="Z4671" s="15"/>
    </row>
    <row r="4672" spans="1:26" x14ac:dyDescent="0.25">
      <c r="A4672" s="15" t="str">
        <f>IF(C4672="","",COUNTA($C$3:C4672))</f>
        <v/>
      </c>
      <c r="B4672" s="15" t="str">
        <f t="shared" si="369"/>
        <v/>
      </c>
      <c r="M4672" s="9"/>
      <c r="N4672" s="9"/>
      <c r="P4672" s="14"/>
      <c r="Q4672" s="85"/>
      <c r="R4672" s="89"/>
      <c r="U4672" s="11" t="str">
        <f t="shared" si="367"/>
        <v/>
      </c>
      <c r="V4672" s="12" t="str">
        <f t="shared" si="368"/>
        <v/>
      </c>
      <c r="Z4672" s="15"/>
    </row>
    <row r="4673" spans="1:26" x14ac:dyDescent="0.25">
      <c r="A4673" s="15" t="str">
        <f>IF(C4673="","",COUNTA($C$3:C4673))</f>
        <v/>
      </c>
      <c r="B4673" s="15" t="str">
        <f t="shared" si="369"/>
        <v/>
      </c>
      <c r="M4673" s="9"/>
      <c r="N4673" s="9"/>
      <c r="P4673" s="14"/>
      <c r="Q4673" s="85"/>
      <c r="R4673" s="89"/>
      <c r="U4673" s="11" t="str">
        <f t="shared" si="367"/>
        <v/>
      </c>
      <c r="V4673" s="12" t="str">
        <f t="shared" si="368"/>
        <v/>
      </c>
      <c r="Z4673" s="15"/>
    </row>
    <row r="4674" spans="1:26" x14ac:dyDescent="0.25">
      <c r="A4674" s="15" t="str">
        <f>IF(C4674="","",COUNTA($C$3:C4674))</f>
        <v/>
      </c>
      <c r="B4674" s="15" t="str">
        <f t="shared" si="369"/>
        <v/>
      </c>
      <c r="M4674" s="9"/>
      <c r="N4674" s="9"/>
      <c r="P4674" s="14"/>
      <c r="Q4674" s="85"/>
      <c r="R4674" s="89"/>
      <c r="U4674" s="11" t="str">
        <f t="shared" ref="U4674:U4737" si="370">IF(S4674="","",(S4674-T4674))</f>
        <v/>
      </c>
      <c r="V4674" s="12" t="str">
        <f t="shared" ref="V4674:V4737" si="371">IF(U4674="","",(U4674/T4674))</f>
        <v/>
      </c>
      <c r="Z4674" s="15"/>
    </row>
    <row r="4675" spans="1:26" x14ac:dyDescent="0.25">
      <c r="A4675" s="15" t="str">
        <f>IF(C4675="","",COUNTA($C$3:C4675))</f>
        <v/>
      </c>
      <c r="B4675" s="15" t="str">
        <f t="shared" ref="B4675:B4738" si="372">IF(C4675="","",TEXT(C4675,"mmmm"))</f>
        <v/>
      </c>
      <c r="M4675" s="9"/>
      <c r="N4675" s="9"/>
      <c r="P4675" s="14"/>
      <c r="Q4675" s="85"/>
      <c r="R4675" s="89"/>
      <c r="U4675" s="11" t="str">
        <f t="shared" si="370"/>
        <v/>
      </c>
      <c r="V4675" s="12" t="str">
        <f t="shared" si="371"/>
        <v/>
      </c>
      <c r="Z4675" s="15"/>
    </row>
    <row r="4676" spans="1:26" x14ac:dyDescent="0.25">
      <c r="A4676" s="15" t="str">
        <f>IF(C4676="","",COUNTA($C$3:C4676))</f>
        <v/>
      </c>
      <c r="B4676" s="15" t="str">
        <f t="shared" si="372"/>
        <v/>
      </c>
      <c r="M4676" s="9"/>
      <c r="N4676" s="9"/>
      <c r="P4676" s="14"/>
      <c r="Q4676" s="85"/>
      <c r="R4676" s="89"/>
      <c r="U4676" s="11" t="str">
        <f t="shared" si="370"/>
        <v/>
      </c>
      <c r="V4676" s="12" t="str">
        <f t="shared" si="371"/>
        <v/>
      </c>
      <c r="Z4676" s="15"/>
    </row>
    <row r="4677" spans="1:26" x14ac:dyDescent="0.25">
      <c r="A4677" s="15" t="str">
        <f>IF(C4677="","",COUNTA($C$3:C4677))</f>
        <v/>
      </c>
      <c r="B4677" s="15" t="str">
        <f t="shared" si="372"/>
        <v/>
      </c>
      <c r="M4677" s="9"/>
      <c r="N4677" s="9"/>
      <c r="P4677" s="14"/>
      <c r="Q4677" s="85"/>
      <c r="R4677" s="89"/>
      <c r="U4677" s="11" t="str">
        <f t="shared" si="370"/>
        <v/>
      </c>
      <c r="V4677" s="12" t="str">
        <f t="shared" si="371"/>
        <v/>
      </c>
      <c r="Z4677" s="15"/>
    </row>
    <row r="4678" spans="1:26" x14ac:dyDescent="0.25">
      <c r="A4678" s="15" t="str">
        <f>IF(C4678="","",COUNTA($C$3:C4678))</f>
        <v/>
      </c>
      <c r="B4678" s="15" t="str">
        <f t="shared" si="372"/>
        <v/>
      </c>
      <c r="M4678" s="9"/>
      <c r="N4678" s="9"/>
      <c r="P4678" s="14"/>
      <c r="Q4678" s="85"/>
      <c r="R4678" s="89"/>
      <c r="U4678" s="11" t="str">
        <f t="shared" si="370"/>
        <v/>
      </c>
      <c r="V4678" s="12" t="str">
        <f t="shared" si="371"/>
        <v/>
      </c>
      <c r="Z4678" s="15"/>
    </row>
    <row r="4679" spans="1:26" x14ac:dyDescent="0.25">
      <c r="A4679" s="15" t="str">
        <f>IF(C4679="","",COUNTA($C$3:C4679))</f>
        <v/>
      </c>
      <c r="B4679" s="15" t="str">
        <f t="shared" si="372"/>
        <v/>
      </c>
      <c r="M4679" s="9"/>
      <c r="N4679" s="9"/>
      <c r="P4679" s="14"/>
      <c r="Q4679" s="85"/>
      <c r="R4679" s="89"/>
      <c r="U4679" s="11" t="str">
        <f t="shared" si="370"/>
        <v/>
      </c>
      <c r="V4679" s="12" t="str">
        <f t="shared" si="371"/>
        <v/>
      </c>
      <c r="Z4679" s="15"/>
    </row>
    <row r="4680" spans="1:26" x14ac:dyDescent="0.25">
      <c r="A4680" s="15" t="str">
        <f>IF(C4680="","",COUNTA($C$3:C4680))</f>
        <v/>
      </c>
      <c r="B4680" s="15" t="str">
        <f t="shared" si="372"/>
        <v/>
      </c>
      <c r="M4680" s="9"/>
      <c r="N4680" s="9"/>
      <c r="P4680" s="14"/>
      <c r="Q4680" s="85"/>
      <c r="R4680" s="89"/>
      <c r="U4680" s="11" t="str">
        <f t="shared" si="370"/>
        <v/>
      </c>
      <c r="V4680" s="12" t="str">
        <f t="shared" si="371"/>
        <v/>
      </c>
      <c r="Z4680" s="15"/>
    </row>
    <row r="4681" spans="1:26" x14ac:dyDescent="0.25">
      <c r="A4681" s="15" t="str">
        <f>IF(C4681="","",COUNTA($C$3:C4681))</f>
        <v/>
      </c>
      <c r="B4681" s="15" t="str">
        <f t="shared" si="372"/>
        <v/>
      </c>
      <c r="M4681" s="9"/>
      <c r="N4681" s="9"/>
      <c r="P4681" s="14"/>
      <c r="Q4681" s="85"/>
      <c r="R4681" s="89"/>
      <c r="U4681" s="11" t="str">
        <f t="shared" si="370"/>
        <v/>
      </c>
      <c r="V4681" s="12" t="str">
        <f t="shared" si="371"/>
        <v/>
      </c>
      <c r="Z4681" s="15"/>
    </row>
    <row r="4682" spans="1:26" x14ac:dyDescent="0.25">
      <c r="A4682" s="15" t="str">
        <f>IF(C4682="","",COUNTA($C$3:C4682))</f>
        <v/>
      </c>
      <c r="B4682" s="15" t="str">
        <f t="shared" si="372"/>
        <v/>
      </c>
      <c r="M4682" s="9"/>
      <c r="N4682" s="9"/>
      <c r="P4682" s="14"/>
      <c r="Q4682" s="85"/>
      <c r="R4682" s="89"/>
      <c r="U4682" s="11" t="str">
        <f t="shared" si="370"/>
        <v/>
      </c>
      <c r="V4682" s="12" t="str">
        <f t="shared" si="371"/>
        <v/>
      </c>
      <c r="Z4682" s="15"/>
    </row>
    <row r="4683" spans="1:26" x14ac:dyDescent="0.25">
      <c r="A4683" s="15" t="str">
        <f>IF(C4683="","",COUNTA($C$3:C4683))</f>
        <v/>
      </c>
      <c r="B4683" s="15" t="str">
        <f t="shared" si="372"/>
        <v/>
      </c>
      <c r="M4683" s="9"/>
      <c r="N4683" s="9"/>
      <c r="P4683" s="14"/>
      <c r="Q4683" s="85"/>
      <c r="R4683" s="89"/>
      <c r="U4683" s="11" t="str">
        <f t="shared" si="370"/>
        <v/>
      </c>
      <c r="V4683" s="12" t="str">
        <f t="shared" si="371"/>
        <v/>
      </c>
      <c r="Z4683" s="15"/>
    </row>
    <row r="4684" spans="1:26" x14ac:dyDescent="0.25">
      <c r="A4684" s="15" t="str">
        <f>IF(C4684="","",COUNTA($C$3:C4684))</f>
        <v/>
      </c>
      <c r="B4684" s="15" t="str">
        <f t="shared" si="372"/>
        <v/>
      </c>
      <c r="M4684" s="9"/>
      <c r="N4684" s="9"/>
      <c r="P4684" s="14"/>
      <c r="Q4684" s="85"/>
      <c r="R4684" s="89"/>
      <c r="U4684" s="11" t="str">
        <f t="shared" si="370"/>
        <v/>
      </c>
      <c r="V4684" s="12" t="str">
        <f t="shared" si="371"/>
        <v/>
      </c>
      <c r="Z4684" s="15"/>
    </row>
    <row r="4685" spans="1:26" x14ac:dyDescent="0.25">
      <c r="A4685" s="15" t="str">
        <f>IF(C4685="","",COUNTA($C$3:C4685))</f>
        <v/>
      </c>
      <c r="B4685" s="15" t="str">
        <f t="shared" si="372"/>
        <v/>
      </c>
      <c r="M4685" s="9"/>
      <c r="N4685" s="9"/>
      <c r="P4685" s="14"/>
      <c r="Q4685" s="85"/>
      <c r="R4685" s="89"/>
      <c r="U4685" s="11" t="str">
        <f t="shared" si="370"/>
        <v/>
      </c>
      <c r="V4685" s="12" t="str">
        <f t="shared" si="371"/>
        <v/>
      </c>
      <c r="Z4685" s="15"/>
    </row>
    <row r="4686" spans="1:26" x14ac:dyDescent="0.25">
      <c r="A4686" s="15" t="str">
        <f>IF(C4686="","",COUNTA($C$3:C4686))</f>
        <v/>
      </c>
      <c r="B4686" s="15" t="str">
        <f t="shared" si="372"/>
        <v/>
      </c>
      <c r="M4686" s="9"/>
      <c r="N4686" s="9"/>
      <c r="P4686" s="14"/>
      <c r="Q4686" s="85"/>
      <c r="R4686" s="89"/>
      <c r="U4686" s="11" t="str">
        <f t="shared" si="370"/>
        <v/>
      </c>
      <c r="V4686" s="12" t="str">
        <f t="shared" si="371"/>
        <v/>
      </c>
      <c r="Z4686" s="15"/>
    </row>
    <row r="4687" spans="1:26" x14ac:dyDescent="0.25">
      <c r="A4687" s="15" t="str">
        <f>IF(C4687="","",COUNTA($C$3:C4687))</f>
        <v/>
      </c>
      <c r="B4687" s="15" t="str">
        <f t="shared" si="372"/>
        <v/>
      </c>
      <c r="M4687" s="9"/>
      <c r="N4687" s="9"/>
      <c r="P4687" s="14"/>
      <c r="Q4687" s="85"/>
      <c r="R4687" s="89"/>
      <c r="U4687" s="11" t="str">
        <f t="shared" si="370"/>
        <v/>
      </c>
      <c r="V4687" s="12" t="str">
        <f t="shared" si="371"/>
        <v/>
      </c>
      <c r="Z4687" s="15"/>
    </row>
    <row r="4688" spans="1:26" x14ac:dyDescent="0.25">
      <c r="A4688" s="15" t="str">
        <f>IF(C4688="","",COUNTA($C$3:C4688))</f>
        <v/>
      </c>
      <c r="B4688" s="15" t="str">
        <f t="shared" si="372"/>
        <v/>
      </c>
      <c r="M4688" s="9"/>
      <c r="N4688" s="9"/>
      <c r="P4688" s="14"/>
      <c r="Q4688" s="85"/>
      <c r="R4688" s="89"/>
      <c r="U4688" s="11" t="str">
        <f t="shared" si="370"/>
        <v/>
      </c>
      <c r="V4688" s="12" t="str">
        <f t="shared" si="371"/>
        <v/>
      </c>
      <c r="Z4688" s="15"/>
    </row>
    <row r="4689" spans="1:26" x14ac:dyDescent="0.25">
      <c r="A4689" s="15" t="str">
        <f>IF(C4689="","",COUNTA($C$3:C4689))</f>
        <v/>
      </c>
      <c r="B4689" s="15" t="str">
        <f t="shared" si="372"/>
        <v/>
      </c>
      <c r="M4689" s="9"/>
      <c r="N4689" s="9"/>
      <c r="P4689" s="14"/>
      <c r="Q4689" s="85"/>
      <c r="R4689" s="89"/>
      <c r="U4689" s="11" t="str">
        <f t="shared" si="370"/>
        <v/>
      </c>
      <c r="V4689" s="12" t="str">
        <f t="shared" si="371"/>
        <v/>
      </c>
      <c r="Z4689" s="15"/>
    </row>
    <row r="4690" spans="1:26" x14ac:dyDescent="0.25">
      <c r="A4690" s="15" t="str">
        <f>IF(C4690="","",COUNTA($C$3:C4690))</f>
        <v/>
      </c>
      <c r="B4690" s="15" t="str">
        <f t="shared" si="372"/>
        <v/>
      </c>
      <c r="M4690" s="9"/>
      <c r="N4690" s="9"/>
      <c r="P4690" s="14"/>
      <c r="Q4690" s="85"/>
      <c r="R4690" s="89"/>
      <c r="U4690" s="11" t="str">
        <f t="shared" si="370"/>
        <v/>
      </c>
      <c r="V4690" s="12" t="str">
        <f t="shared" si="371"/>
        <v/>
      </c>
      <c r="Z4690" s="15"/>
    </row>
    <row r="4691" spans="1:26" x14ac:dyDescent="0.25">
      <c r="A4691" s="15" t="str">
        <f>IF(C4691="","",COUNTA($C$3:C4691))</f>
        <v/>
      </c>
      <c r="B4691" s="15" t="str">
        <f t="shared" si="372"/>
        <v/>
      </c>
      <c r="M4691" s="9"/>
      <c r="N4691" s="9"/>
      <c r="P4691" s="14"/>
      <c r="Q4691" s="85"/>
      <c r="R4691" s="89"/>
      <c r="U4691" s="11" t="str">
        <f t="shared" si="370"/>
        <v/>
      </c>
      <c r="V4691" s="12" t="str">
        <f t="shared" si="371"/>
        <v/>
      </c>
      <c r="Z4691" s="15"/>
    </row>
    <row r="4692" spans="1:26" x14ac:dyDescent="0.25">
      <c r="A4692" s="15" t="str">
        <f>IF(C4692="","",COUNTA($C$3:C4692))</f>
        <v/>
      </c>
      <c r="B4692" s="15" t="str">
        <f t="shared" si="372"/>
        <v/>
      </c>
      <c r="M4692" s="9"/>
      <c r="N4692" s="9"/>
      <c r="P4692" s="14"/>
      <c r="Q4692" s="85"/>
      <c r="R4692" s="89"/>
      <c r="U4692" s="11" t="str">
        <f t="shared" si="370"/>
        <v/>
      </c>
      <c r="V4692" s="12" t="str">
        <f t="shared" si="371"/>
        <v/>
      </c>
      <c r="Z4692" s="15"/>
    </row>
    <row r="4693" spans="1:26" x14ac:dyDescent="0.25">
      <c r="A4693" s="15" t="str">
        <f>IF(C4693="","",COUNTA($C$3:C4693))</f>
        <v/>
      </c>
      <c r="B4693" s="15" t="str">
        <f t="shared" si="372"/>
        <v/>
      </c>
      <c r="M4693" s="9"/>
      <c r="N4693" s="9"/>
      <c r="P4693" s="14"/>
      <c r="Q4693" s="85"/>
      <c r="R4693" s="89"/>
      <c r="U4693" s="11" t="str">
        <f t="shared" si="370"/>
        <v/>
      </c>
      <c r="V4693" s="12" t="str">
        <f t="shared" si="371"/>
        <v/>
      </c>
      <c r="Z4693" s="15"/>
    </row>
    <row r="4694" spans="1:26" x14ac:dyDescent="0.25">
      <c r="A4694" s="15" t="str">
        <f>IF(C4694="","",COUNTA($C$3:C4694))</f>
        <v/>
      </c>
      <c r="B4694" s="15" t="str">
        <f t="shared" si="372"/>
        <v/>
      </c>
      <c r="M4694" s="9"/>
      <c r="N4694" s="9"/>
      <c r="P4694" s="14"/>
      <c r="Q4694" s="85"/>
      <c r="R4694" s="89"/>
      <c r="U4694" s="11" t="str">
        <f t="shared" si="370"/>
        <v/>
      </c>
      <c r="V4694" s="12" t="str">
        <f t="shared" si="371"/>
        <v/>
      </c>
      <c r="Z4694" s="15"/>
    </row>
    <row r="4695" spans="1:26" x14ac:dyDescent="0.25">
      <c r="A4695" s="15" t="str">
        <f>IF(C4695="","",COUNTA($C$3:C4695))</f>
        <v/>
      </c>
      <c r="B4695" s="15" t="str">
        <f t="shared" si="372"/>
        <v/>
      </c>
      <c r="M4695" s="9"/>
      <c r="N4695" s="9"/>
      <c r="P4695" s="14"/>
      <c r="Q4695" s="85"/>
      <c r="R4695" s="89"/>
      <c r="U4695" s="11" t="str">
        <f t="shared" si="370"/>
        <v/>
      </c>
      <c r="V4695" s="12" t="str">
        <f t="shared" si="371"/>
        <v/>
      </c>
      <c r="Z4695" s="15"/>
    </row>
    <row r="4696" spans="1:26" x14ac:dyDescent="0.25">
      <c r="A4696" s="15" t="str">
        <f>IF(C4696="","",COUNTA($C$3:C4696))</f>
        <v/>
      </c>
      <c r="B4696" s="15" t="str">
        <f t="shared" si="372"/>
        <v/>
      </c>
      <c r="M4696" s="9"/>
      <c r="N4696" s="9"/>
      <c r="P4696" s="14"/>
      <c r="Q4696" s="85"/>
      <c r="R4696" s="89"/>
      <c r="U4696" s="11" t="str">
        <f t="shared" si="370"/>
        <v/>
      </c>
      <c r="V4696" s="12" t="str">
        <f t="shared" si="371"/>
        <v/>
      </c>
      <c r="Z4696" s="15"/>
    </row>
    <row r="4697" spans="1:26" x14ac:dyDescent="0.25">
      <c r="A4697" s="15" t="str">
        <f>IF(C4697="","",COUNTA($C$3:C4697))</f>
        <v/>
      </c>
      <c r="B4697" s="15" t="str">
        <f t="shared" si="372"/>
        <v/>
      </c>
      <c r="M4697" s="9"/>
      <c r="N4697" s="9"/>
      <c r="P4697" s="14"/>
      <c r="Q4697" s="85"/>
      <c r="R4697" s="89"/>
      <c r="U4697" s="11" t="str">
        <f t="shared" si="370"/>
        <v/>
      </c>
      <c r="V4697" s="12" t="str">
        <f t="shared" si="371"/>
        <v/>
      </c>
      <c r="Z4697" s="15"/>
    </row>
    <row r="4698" spans="1:26" x14ac:dyDescent="0.25">
      <c r="A4698" s="15" t="str">
        <f>IF(C4698="","",COUNTA($C$3:C4698))</f>
        <v/>
      </c>
      <c r="B4698" s="15" t="str">
        <f t="shared" si="372"/>
        <v/>
      </c>
      <c r="M4698" s="9"/>
      <c r="N4698" s="9"/>
      <c r="P4698" s="14"/>
      <c r="Q4698" s="85"/>
      <c r="R4698" s="89"/>
      <c r="U4698" s="11" t="str">
        <f t="shared" si="370"/>
        <v/>
      </c>
      <c r="V4698" s="12" t="str">
        <f t="shared" si="371"/>
        <v/>
      </c>
      <c r="Z4698" s="15"/>
    </row>
    <row r="4699" spans="1:26" x14ac:dyDescent="0.25">
      <c r="A4699" s="15" t="str">
        <f>IF(C4699="","",COUNTA($C$3:C4699))</f>
        <v/>
      </c>
      <c r="B4699" s="15" t="str">
        <f t="shared" si="372"/>
        <v/>
      </c>
      <c r="M4699" s="9"/>
      <c r="N4699" s="9"/>
      <c r="P4699" s="14"/>
      <c r="Q4699" s="85"/>
      <c r="R4699" s="89"/>
      <c r="U4699" s="11" t="str">
        <f t="shared" si="370"/>
        <v/>
      </c>
      <c r="V4699" s="12" t="str">
        <f t="shared" si="371"/>
        <v/>
      </c>
      <c r="Z4699" s="15"/>
    </row>
    <row r="4700" spans="1:26" x14ac:dyDescent="0.25">
      <c r="A4700" s="15" t="str">
        <f>IF(C4700="","",COUNTA($C$3:C4700))</f>
        <v/>
      </c>
      <c r="B4700" s="15" t="str">
        <f t="shared" si="372"/>
        <v/>
      </c>
      <c r="M4700" s="9"/>
      <c r="N4700" s="9"/>
      <c r="P4700" s="14"/>
      <c r="Q4700" s="85"/>
      <c r="R4700" s="89"/>
      <c r="U4700" s="11" t="str">
        <f t="shared" si="370"/>
        <v/>
      </c>
      <c r="V4700" s="12" t="str">
        <f t="shared" si="371"/>
        <v/>
      </c>
      <c r="Z4700" s="15"/>
    </row>
    <row r="4701" spans="1:26" x14ac:dyDescent="0.25">
      <c r="A4701" s="15" t="str">
        <f>IF(C4701="","",COUNTA($C$3:C4701))</f>
        <v/>
      </c>
      <c r="B4701" s="15" t="str">
        <f t="shared" si="372"/>
        <v/>
      </c>
      <c r="M4701" s="9"/>
      <c r="N4701" s="9"/>
      <c r="P4701" s="14"/>
      <c r="Q4701" s="85"/>
      <c r="R4701" s="89"/>
      <c r="U4701" s="11" t="str">
        <f t="shared" si="370"/>
        <v/>
      </c>
      <c r="V4701" s="12" t="str">
        <f t="shared" si="371"/>
        <v/>
      </c>
      <c r="Z4701" s="15"/>
    </row>
    <row r="4702" spans="1:26" x14ac:dyDescent="0.25">
      <c r="A4702" s="15" t="str">
        <f>IF(C4702="","",COUNTA($C$3:C4702))</f>
        <v/>
      </c>
      <c r="B4702" s="15" t="str">
        <f t="shared" si="372"/>
        <v/>
      </c>
      <c r="M4702" s="9"/>
      <c r="N4702" s="9"/>
      <c r="P4702" s="14"/>
      <c r="Q4702" s="85"/>
      <c r="R4702" s="89"/>
      <c r="U4702" s="11" t="str">
        <f t="shared" si="370"/>
        <v/>
      </c>
      <c r="V4702" s="12" t="str">
        <f t="shared" si="371"/>
        <v/>
      </c>
      <c r="Z4702" s="15"/>
    </row>
    <row r="4703" spans="1:26" x14ac:dyDescent="0.25">
      <c r="A4703" s="15" t="str">
        <f>IF(C4703="","",COUNTA($C$3:C4703))</f>
        <v/>
      </c>
      <c r="B4703" s="15" t="str">
        <f t="shared" si="372"/>
        <v/>
      </c>
      <c r="M4703" s="9"/>
      <c r="N4703" s="9"/>
      <c r="P4703" s="14"/>
      <c r="Q4703" s="85"/>
      <c r="R4703" s="89"/>
      <c r="U4703" s="11" t="str">
        <f t="shared" si="370"/>
        <v/>
      </c>
      <c r="V4703" s="12" t="str">
        <f t="shared" si="371"/>
        <v/>
      </c>
      <c r="Z4703" s="15"/>
    </row>
    <row r="4704" spans="1:26" x14ac:dyDescent="0.25">
      <c r="A4704" s="15" t="str">
        <f>IF(C4704="","",COUNTA($C$3:C4704))</f>
        <v/>
      </c>
      <c r="B4704" s="15" t="str">
        <f t="shared" si="372"/>
        <v/>
      </c>
      <c r="M4704" s="9"/>
      <c r="N4704" s="9"/>
      <c r="P4704" s="14"/>
      <c r="Q4704" s="85"/>
      <c r="R4704" s="89"/>
      <c r="U4704" s="11" t="str">
        <f t="shared" si="370"/>
        <v/>
      </c>
      <c r="V4704" s="12" t="str">
        <f t="shared" si="371"/>
        <v/>
      </c>
      <c r="Z4704" s="15"/>
    </row>
    <row r="4705" spans="1:26" x14ac:dyDescent="0.25">
      <c r="A4705" s="15" t="str">
        <f>IF(C4705="","",COUNTA($C$3:C4705))</f>
        <v/>
      </c>
      <c r="B4705" s="15" t="str">
        <f t="shared" si="372"/>
        <v/>
      </c>
      <c r="M4705" s="9"/>
      <c r="N4705" s="9"/>
      <c r="P4705" s="14"/>
      <c r="Q4705" s="85"/>
      <c r="R4705" s="89"/>
      <c r="U4705" s="11" t="str">
        <f t="shared" si="370"/>
        <v/>
      </c>
      <c r="V4705" s="12" t="str">
        <f t="shared" si="371"/>
        <v/>
      </c>
      <c r="Z4705" s="15"/>
    </row>
    <row r="4706" spans="1:26" x14ac:dyDescent="0.25">
      <c r="A4706" s="15" t="str">
        <f>IF(C4706="","",COUNTA($C$3:C4706))</f>
        <v/>
      </c>
      <c r="B4706" s="15" t="str">
        <f t="shared" si="372"/>
        <v/>
      </c>
      <c r="M4706" s="9"/>
      <c r="N4706" s="9"/>
      <c r="P4706" s="14"/>
      <c r="Q4706" s="85"/>
      <c r="R4706" s="89"/>
      <c r="U4706" s="11" t="str">
        <f t="shared" si="370"/>
        <v/>
      </c>
      <c r="V4706" s="12" t="str">
        <f t="shared" si="371"/>
        <v/>
      </c>
      <c r="Z4706" s="15"/>
    </row>
    <row r="4707" spans="1:26" x14ac:dyDescent="0.25">
      <c r="A4707" s="15" t="str">
        <f>IF(C4707="","",COUNTA($C$3:C4707))</f>
        <v/>
      </c>
      <c r="B4707" s="15" t="str">
        <f t="shared" si="372"/>
        <v/>
      </c>
      <c r="M4707" s="9"/>
      <c r="N4707" s="9"/>
      <c r="P4707" s="14"/>
      <c r="Q4707" s="85"/>
      <c r="R4707" s="89"/>
      <c r="U4707" s="11" t="str">
        <f t="shared" si="370"/>
        <v/>
      </c>
      <c r="V4707" s="12" t="str">
        <f t="shared" si="371"/>
        <v/>
      </c>
      <c r="Z4707" s="15"/>
    </row>
    <row r="4708" spans="1:26" x14ac:dyDescent="0.25">
      <c r="A4708" s="15" t="str">
        <f>IF(C4708="","",COUNTA($C$3:C4708))</f>
        <v/>
      </c>
      <c r="B4708" s="15" t="str">
        <f t="shared" si="372"/>
        <v/>
      </c>
      <c r="M4708" s="9"/>
      <c r="N4708" s="9"/>
      <c r="P4708" s="14"/>
      <c r="Q4708" s="85"/>
      <c r="R4708" s="89"/>
      <c r="U4708" s="11" t="str">
        <f t="shared" si="370"/>
        <v/>
      </c>
      <c r="V4708" s="12" t="str">
        <f t="shared" si="371"/>
        <v/>
      </c>
      <c r="Z4708" s="15"/>
    </row>
    <row r="4709" spans="1:26" x14ac:dyDescent="0.25">
      <c r="A4709" s="15" t="str">
        <f>IF(C4709="","",COUNTA($C$3:C4709))</f>
        <v/>
      </c>
      <c r="B4709" s="15" t="str">
        <f t="shared" si="372"/>
        <v/>
      </c>
      <c r="M4709" s="9"/>
      <c r="N4709" s="9"/>
      <c r="P4709" s="14"/>
      <c r="Q4709" s="85"/>
      <c r="R4709" s="89"/>
      <c r="U4709" s="11" t="str">
        <f t="shared" si="370"/>
        <v/>
      </c>
      <c r="V4709" s="12" t="str">
        <f t="shared" si="371"/>
        <v/>
      </c>
      <c r="Z4709" s="15"/>
    </row>
    <row r="4710" spans="1:26" x14ac:dyDescent="0.25">
      <c r="A4710" s="15" t="str">
        <f>IF(C4710="","",COUNTA($C$3:C4710))</f>
        <v/>
      </c>
      <c r="B4710" s="15" t="str">
        <f t="shared" si="372"/>
        <v/>
      </c>
      <c r="M4710" s="9"/>
      <c r="N4710" s="9"/>
      <c r="P4710" s="14"/>
      <c r="Q4710" s="85"/>
      <c r="R4710" s="89"/>
      <c r="U4710" s="11" t="str">
        <f t="shared" si="370"/>
        <v/>
      </c>
      <c r="V4710" s="12" t="str">
        <f t="shared" si="371"/>
        <v/>
      </c>
      <c r="Z4710" s="15"/>
    </row>
    <row r="4711" spans="1:26" x14ac:dyDescent="0.25">
      <c r="A4711" s="15" t="str">
        <f>IF(C4711="","",COUNTA($C$3:C4711))</f>
        <v/>
      </c>
      <c r="B4711" s="15" t="str">
        <f t="shared" si="372"/>
        <v/>
      </c>
      <c r="M4711" s="9"/>
      <c r="N4711" s="9"/>
      <c r="P4711" s="14"/>
      <c r="Q4711" s="85"/>
      <c r="R4711" s="89"/>
      <c r="U4711" s="11" t="str">
        <f t="shared" si="370"/>
        <v/>
      </c>
      <c r="V4711" s="12" t="str">
        <f t="shared" si="371"/>
        <v/>
      </c>
      <c r="Z4711" s="15"/>
    </row>
    <row r="4712" spans="1:26" x14ac:dyDescent="0.25">
      <c r="A4712" s="15" t="str">
        <f>IF(C4712="","",COUNTA($C$3:C4712))</f>
        <v/>
      </c>
      <c r="B4712" s="15" t="str">
        <f t="shared" si="372"/>
        <v/>
      </c>
      <c r="M4712" s="9"/>
      <c r="N4712" s="9"/>
      <c r="P4712" s="14"/>
      <c r="Q4712" s="85"/>
      <c r="R4712" s="89"/>
      <c r="U4712" s="11" t="str">
        <f t="shared" si="370"/>
        <v/>
      </c>
      <c r="V4712" s="12" t="str">
        <f t="shared" si="371"/>
        <v/>
      </c>
      <c r="Z4712" s="15"/>
    </row>
    <row r="4713" spans="1:26" x14ac:dyDescent="0.25">
      <c r="A4713" s="15" t="str">
        <f>IF(C4713="","",COUNTA($C$3:C4713))</f>
        <v/>
      </c>
      <c r="B4713" s="15" t="str">
        <f t="shared" si="372"/>
        <v/>
      </c>
      <c r="M4713" s="9"/>
      <c r="N4713" s="9"/>
      <c r="P4713" s="14"/>
      <c r="Q4713" s="85"/>
      <c r="R4713" s="89"/>
      <c r="U4713" s="11" t="str">
        <f t="shared" si="370"/>
        <v/>
      </c>
      <c r="V4713" s="12" t="str">
        <f t="shared" si="371"/>
        <v/>
      </c>
      <c r="Z4713" s="15"/>
    </row>
    <row r="4714" spans="1:26" x14ac:dyDescent="0.25">
      <c r="A4714" s="15" t="str">
        <f>IF(C4714="","",COUNTA($C$3:C4714))</f>
        <v/>
      </c>
      <c r="B4714" s="15" t="str">
        <f t="shared" si="372"/>
        <v/>
      </c>
      <c r="M4714" s="9"/>
      <c r="N4714" s="9"/>
      <c r="P4714" s="14"/>
      <c r="Q4714" s="85"/>
      <c r="R4714" s="89"/>
      <c r="U4714" s="11" t="str">
        <f t="shared" si="370"/>
        <v/>
      </c>
      <c r="V4714" s="12" t="str">
        <f t="shared" si="371"/>
        <v/>
      </c>
      <c r="Z4714" s="15"/>
    </row>
    <row r="4715" spans="1:26" x14ac:dyDescent="0.25">
      <c r="A4715" s="15" t="str">
        <f>IF(C4715="","",COUNTA($C$3:C4715))</f>
        <v/>
      </c>
      <c r="B4715" s="15" t="str">
        <f t="shared" si="372"/>
        <v/>
      </c>
      <c r="M4715" s="9"/>
      <c r="N4715" s="9"/>
      <c r="P4715" s="14"/>
      <c r="Q4715" s="85"/>
      <c r="R4715" s="89"/>
      <c r="U4715" s="11" t="str">
        <f t="shared" si="370"/>
        <v/>
      </c>
      <c r="V4715" s="12" t="str">
        <f t="shared" si="371"/>
        <v/>
      </c>
      <c r="Z4715" s="15"/>
    </row>
    <row r="4716" spans="1:26" x14ac:dyDescent="0.25">
      <c r="A4716" s="15" t="str">
        <f>IF(C4716="","",COUNTA($C$3:C4716))</f>
        <v/>
      </c>
      <c r="B4716" s="15" t="str">
        <f t="shared" si="372"/>
        <v/>
      </c>
      <c r="M4716" s="9"/>
      <c r="N4716" s="9"/>
      <c r="P4716" s="14"/>
      <c r="Q4716" s="85"/>
      <c r="R4716" s="89"/>
      <c r="U4716" s="11" t="str">
        <f t="shared" si="370"/>
        <v/>
      </c>
      <c r="V4716" s="12" t="str">
        <f t="shared" si="371"/>
        <v/>
      </c>
      <c r="Z4716" s="15"/>
    </row>
    <row r="4717" spans="1:26" x14ac:dyDescent="0.25">
      <c r="A4717" s="15" t="str">
        <f>IF(C4717="","",COUNTA($C$3:C4717))</f>
        <v/>
      </c>
      <c r="B4717" s="15" t="str">
        <f t="shared" si="372"/>
        <v/>
      </c>
      <c r="M4717" s="9"/>
      <c r="N4717" s="9"/>
      <c r="P4717" s="14"/>
      <c r="Q4717" s="85"/>
      <c r="R4717" s="89"/>
      <c r="U4717" s="11" t="str">
        <f t="shared" si="370"/>
        <v/>
      </c>
      <c r="V4717" s="12" t="str">
        <f t="shared" si="371"/>
        <v/>
      </c>
      <c r="Z4717" s="15"/>
    </row>
    <row r="4718" spans="1:26" x14ac:dyDescent="0.25">
      <c r="A4718" s="15" t="str">
        <f>IF(C4718="","",COUNTA($C$3:C4718))</f>
        <v/>
      </c>
      <c r="B4718" s="15" t="str">
        <f t="shared" si="372"/>
        <v/>
      </c>
      <c r="M4718" s="9"/>
      <c r="N4718" s="9"/>
      <c r="P4718" s="14"/>
      <c r="Q4718" s="85"/>
      <c r="R4718" s="89"/>
      <c r="U4718" s="11" t="str">
        <f t="shared" si="370"/>
        <v/>
      </c>
      <c r="V4718" s="12" t="str">
        <f t="shared" si="371"/>
        <v/>
      </c>
      <c r="Z4718" s="15"/>
    </row>
    <row r="4719" spans="1:26" x14ac:dyDescent="0.25">
      <c r="A4719" s="15" t="str">
        <f>IF(C4719="","",COUNTA($C$3:C4719))</f>
        <v/>
      </c>
      <c r="B4719" s="15" t="str">
        <f t="shared" si="372"/>
        <v/>
      </c>
      <c r="M4719" s="9"/>
      <c r="N4719" s="9"/>
      <c r="P4719" s="14"/>
      <c r="Q4719" s="85"/>
      <c r="R4719" s="89"/>
      <c r="U4719" s="11" t="str">
        <f t="shared" si="370"/>
        <v/>
      </c>
      <c r="V4719" s="12" t="str">
        <f t="shared" si="371"/>
        <v/>
      </c>
      <c r="Z4719" s="15"/>
    </row>
    <row r="4720" spans="1:26" x14ac:dyDescent="0.25">
      <c r="A4720" s="15" t="str">
        <f>IF(C4720="","",COUNTA($C$3:C4720))</f>
        <v/>
      </c>
      <c r="B4720" s="15" t="str">
        <f t="shared" si="372"/>
        <v/>
      </c>
      <c r="M4720" s="9"/>
      <c r="N4720" s="9"/>
      <c r="P4720" s="14"/>
      <c r="Q4720" s="85"/>
      <c r="R4720" s="89"/>
      <c r="U4720" s="11" t="str">
        <f t="shared" si="370"/>
        <v/>
      </c>
      <c r="V4720" s="12" t="str">
        <f t="shared" si="371"/>
        <v/>
      </c>
      <c r="Z4720" s="15"/>
    </row>
    <row r="4721" spans="1:26" x14ac:dyDescent="0.25">
      <c r="A4721" s="15" t="str">
        <f>IF(C4721="","",COUNTA($C$3:C4721))</f>
        <v/>
      </c>
      <c r="B4721" s="15" t="str">
        <f t="shared" si="372"/>
        <v/>
      </c>
      <c r="M4721" s="9"/>
      <c r="N4721" s="9"/>
      <c r="P4721" s="14"/>
      <c r="Q4721" s="85"/>
      <c r="R4721" s="89"/>
      <c r="U4721" s="11" t="str">
        <f t="shared" si="370"/>
        <v/>
      </c>
      <c r="V4721" s="12" t="str">
        <f t="shared" si="371"/>
        <v/>
      </c>
      <c r="Z4721" s="15"/>
    </row>
    <row r="4722" spans="1:26" x14ac:dyDescent="0.25">
      <c r="A4722" s="15" t="str">
        <f>IF(C4722="","",COUNTA($C$3:C4722))</f>
        <v/>
      </c>
      <c r="B4722" s="15" t="str">
        <f t="shared" si="372"/>
        <v/>
      </c>
      <c r="M4722" s="9"/>
      <c r="N4722" s="9"/>
      <c r="P4722" s="14"/>
      <c r="Q4722" s="85"/>
      <c r="R4722" s="89"/>
      <c r="U4722" s="11" t="str">
        <f t="shared" si="370"/>
        <v/>
      </c>
      <c r="V4722" s="12" t="str">
        <f t="shared" si="371"/>
        <v/>
      </c>
      <c r="Z4722" s="15"/>
    </row>
    <row r="4723" spans="1:26" x14ac:dyDescent="0.25">
      <c r="A4723" s="15" t="str">
        <f>IF(C4723="","",COUNTA($C$3:C4723))</f>
        <v/>
      </c>
      <c r="B4723" s="15" t="str">
        <f t="shared" si="372"/>
        <v/>
      </c>
      <c r="M4723" s="9"/>
      <c r="N4723" s="9"/>
      <c r="P4723" s="14"/>
      <c r="Q4723" s="85"/>
      <c r="R4723" s="89"/>
      <c r="U4723" s="11" t="str">
        <f t="shared" si="370"/>
        <v/>
      </c>
      <c r="V4723" s="12" t="str">
        <f t="shared" si="371"/>
        <v/>
      </c>
      <c r="Z4723" s="15"/>
    </row>
    <row r="4724" spans="1:26" x14ac:dyDescent="0.25">
      <c r="A4724" s="15" t="str">
        <f>IF(C4724="","",COUNTA($C$3:C4724))</f>
        <v/>
      </c>
      <c r="B4724" s="15" t="str">
        <f t="shared" si="372"/>
        <v/>
      </c>
      <c r="M4724" s="9"/>
      <c r="N4724" s="9"/>
      <c r="P4724" s="14"/>
      <c r="Q4724" s="85"/>
      <c r="R4724" s="89"/>
      <c r="U4724" s="11" t="str">
        <f t="shared" si="370"/>
        <v/>
      </c>
      <c r="V4724" s="12" t="str">
        <f t="shared" si="371"/>
        <v/>
      </c>
      <c r="Z4724" s="15"/>
    </row>
    <row r="4725" spans="1:26" x14ac:dyDescent="0.25">
      <c r="A4725" s="15" t="str">
        <f>IF(C4725="","",COUNTA($C$3:C4725))</f>
        <v/>
      </c>
      <c r="B4725" s="15" t="str">
        <f t="shared" si="372"/>
        <v/>
      </c>
      <c r="M4725" s="9"/>
      <c r="N4725" s="9"/>
      <c r="P4725" s="14"/>
      <c r="Q4725" s="85"/>
      <c r="R4725" s="89"/>
      <c r="U4725" s="11" t="str">
        <f t="shared" si="370"/>
        <v/>
      </c>
      <c r="V4725" s="12" t="str">
        <f t="shared" si="371"/>
        <v/>
      </c>
      <c r="Z4725" s="15"/>
    </row>
    <row r="4726" spans="1:26" x14ac:dyDescent="0.25">
      <c r="A4726" s="15" t="str">
        <f>IF(C4726="","",COUNTA($C$3:C4726))</f>
        <v/>
      </c>
      <c r="B4726" s="15" t="str">
        <f t="shared" si="372"/>
        <v/>
      </c>
      <c r="M4726" s="9"/>
      <c r="N4726" s="9"/>
      <c r="P4726" s="14"/>
      <c r="Q4726" s="85"/>
      <c r="R4726" s="89"/>
      <c r="U4726" s="11" t="str">
        <f t="shared" si="370"/>
        <v/>
      </c>
      <c r="V4726" s="12" t="str">
        <f t="shared" si="371"/>
        <v/>
      </c>
      <c r="Z4726" s="15"/>
    </row>
    <row r="4727" spans="1:26" x14ac:dyDescent="0.25">
      <c r="A4727" s="15" t="str">
        <f>IF(C4727="","",COUNTA($C$3:C4727))</f>
        <v/>
      </c>
      <c r="B4727" s="15" t="str">
        <f t="shared" si="372"/>
        <v/>
      </c>
      <c r="M4727" s="9"/>
      <c r="N4727" s="9"/>
      <c r="P4727" s="14"/>
      <c r="Q4727" s="85"/>
      <c r="R4727" s="89"/>
      <c r="U4727" s="11" t="str">
        <f t="shared" si="370"/>
        <v/>
      </c>
      <c r="V4727" s="12" t="str">
        <f t="shared" si="371"/>
        <v/>
      </c>
      <c r="Z4727" s="15"/>
    </row>
    <row r="4728" spans="1:26" x14ac:dyDescent="0.25">
      <c r="A4728" s="15" t="str">
        <f>IF(C4728="","",COUNTA($C$3:C4728))</f>
        <v/>
      </c>
      <c r="B4728" s="15" t="str">
        <f t="shared" si="372"/>
        <v/>
      </c>
      <c r="M4728" s="9"/>
      <c r="N4728" s="9"/>
      <c r="P4728" s="14"/>
      <c r="Q4728" s="85"/>
      <c r="R4728" s="89"/>
      <c r="U4728" s="11" t="str">
        <f t="shared" si="370"/>
        <v/>
      </c>
      <c r="V4728" s="12" t="str">
        <f t="shared" si="371"/>
        <v/>
      </c>
      <c r="Z4728" s="15"/>
    </row>
    <row r="4729" spans="1:26" x14ac:dyDescent="0.25">
      <c r="A4729" s="15" t="str">
        <f>IF(C4729="","",COUNTA($C$3:C4729))</f>
        <v/>
      </c>
      <c r="B4729" s="15" t="str">
        <f t="shared" si="372"/>
        <v/>
      </c>
      <c r="M4729" s="9"/>
      <c r="N4729" s="9"/>
      <c r="P4729" s="14"/>
      <c r="Q4729" s="85"/>
      <c r="R4729" s="89"/>
      <c r="U4729" s="11" t="str">
        <f t="shared" si="370"/>
        <v/>
      </c>
      <c r="V4729" s="12" t="str">
        <f t="shared" si="371"/>
        <v/>
      </c>
      <c r="Z4729" s="15"/>
    </row>
    <row r="4730" spans="1:26" x14ac:dyDescent="0.25">
      <c r="A4730" s="15" t="str">
        <f>IF(C4730="","",COUNTA($C$3:C4730))</f>
        <v/>
      </c>
      <c r="B4730" s="15" t="str">
        <f t="shared" si="372"/>
        <v/>
      </c>
      <c r="M4730" s="9"/>
      <c r="N4730" s="9"/>
      <c r="P4730" s="14"/>
      <c r="Q4730" s="85"/>
      <c r="R4730" s="89"/>
      <c r="U4730" s="11" t="str">
        <f t="shared" si="370"/>
        <v/>
      </c>
      <c r="V4730" s="12" t="str">
        <f t="shared" si="371"/>
        <v/>
      </c>
      <c r="Z4730" s="15"/>
    </row>
    <row r="4731" spans="1:26" x14ac:dyDescent="0.25">
      <c r="A4731" s="15" t="str">
        <f>IF(C4731="","",COUNTA($C$3:C4731))</f>
        <v/>
      </c>
      <c r="B4731" s="15" t="str">
        <f t="shared" si="372"/>
        <v/>
      </c>
      <c r="M4731" s="9"/>
      <c r="N4731" s="9"/>
      <c r="P4731" s="14"/>
      <c r="Q4731" s="85"/>
      <c r="R4731" s="89"/>
      <c r="U4731" s="11" t="str">
        <f t="shared" si="370"/>
        <v/>
      </c>
      <c r="V4731" s="12" t="str">
        <f t="shared" si="371"/>
        <v/>
      </c>
      <c r="Z4731" s="15"/>
    </row>
    <row r="4732" spans="1:26" x14ac:dyDescent="0.25">
      <c r="A4732" s="15" t="str">
        <f>IF(C4732="","",COUNTA($C$3:C4732))</f>
        <v/>
      </c>
      <c r="B4732" s="15" t="str">
        <f t="shared" si="372"/>
        <v/>
      </c>
      <c r="M4732" s="9"/>
      <c r="N4732" s="9"/>
      <c r="P4732" s="14"/>
      <c r="Q4732" s="85"/>
      <c r="R4732" s="89"/>
      <c r="U4732" s="11" t="str">
        <f t="shared" si="370"/>
        <v/>
      </c>
      <c r="V4732" s="12" t="str">
        <f t="shared" si="371"/>
        <v/>
      </c>
      <c r="Z4732" s="15"/>
    </row>
    <row r="4733" spans="1:26" x14ac:dyDescent="0.25">
      <c r="A4733" s="15" t="str">
        <f>IF(C4733="","",COUNTA($C$3:C4733))</f>
        <v/>
      </c>
      <c r="B4733" s="15" t="str">
        <f t="shared" si="372"/>
        <v/>
      </c>
      <c r="M4733" s="9"/>
      <c r="N4733" s="9"/>
      <c r="P4733" s="14"/>
      <c r="Q4733" s="85"/>
      <c r="R4733" s="89"/>
      <c r="U4733" s="11" t="str">
        <f t="shared" si="370"/>
        <v/>
      </c>
      <c r="V4733" s="12" t="str">
        <f t="shared" si="371"/>
        <v/>
      </c>
      <c r="Z4733" s="15"/>
    </row>
    <row r="4734" spans="1:26" x14ac:dyDescent="0.25">
      <c r="A4734" s="15" t="str">
        <f>IF(C4734="","",COUNTA($C$3:C4734))</f>
        <v/>
      </c>
      <c r="B4734" s="15" t="str">
        <f t="shared" si="372"/>
        <v/>
      </c>
      <c r="M4734" s="9"/>
      <c r="N4734" s="9"/>
      <c r="P4734" s="14"/>
      <c r="Q4734" s="85"/>
      <c r="R4734" s="89"/>
      <c r="U4734" s="11" t="str">
        <f t="shared" si="370"/>
        <v/>
      </c>
      <c r="V4734" s="12" t="str">
        <f t="shared" si="371"/>
        <v/>
      </c>
      <c r="Z4734" s="15"/>
    </row>
    <row r="4735" spans="1:26" x14ac:dyDescent="0.25">
      <c r="A4735" s="15" t="str">
        <f>IF(C4735="","",COUNTA($C$3:C4735))</f>
        <v/>
      </c>
      <c r="B4735" s="15" t="str">
        <f t="shared" si="372"/>
        <v/>
      </c>
      <c r="M4735" s="9"/>
      <c r="N4735" s="9"/>
      <c r="P4735" s="14"/>
      <c r="Q4735" s="85"/>
      <c r="R4735" s="89"/>
      <c r="U4735" s="11" t="str">
        <f t="shared" si="370"/>
        <v/>
      </c>
      <c r="V4735" s="12" t="str">
        <f t="shared" si="371"/>
        <v/>
      </c>
      <c r="Z4735" s="15"/>
    </row>
    <row r="4736" spans="1:26" x14ac:dyDescent="0.25">
      <c r="A4736" s="15" t="str">
        <f>IF(C4736="","",COUNTA($C$3:C4736))</f>
        <v/>
      </c>
      <c r="B4736" s="15" t="str">
        <f t="shared" si="372"/>
        <v/>
      </c>
      <c r="M4736" s="9"/>
      <c r="N4736" s="9"/>
      <c r="P4736" s="14"/>
      <c r="Q4736" s="85"/>
      <c r="R4736" s="89"/>
      <c r="U4736" s="11" t="str">
        <f t="shared" si="370"/>
        <v/>
      </c>
      <c r="V4736" s="12" t="str">
        <f t="shared" si="371"/>
        <v/>
      </c>
      <c r="Z4736" s="15"/>
    </row>
    <row r="4737" spans="1:26" x14ac:dyDescent="0.25">
      <c r="A4737" s="15" t="str">
        <f>IF(C4737="","",COUNTA($C$3:C4737))</f>
        <v/>
      </c>
      <c r="B4737" s="15" t="str">
        <f t="shared" si="372"/>
        <v/>
      </c>
      <c r="M4737" s="9"/>
      <c r="N4737" s="9"/>
      <c r="P4737" s="14"/>
      <c r="Q4737" s="85"/>
      <c r="R4737" s="89"/>
      <c r="U4737" s="11" t="str">
        <f t="shared" si="370"/>
        <v/>
      </c>
      <c r="V4737" s="12" t="str">
        <f t="shared" si="371"/>
        <v/>
      </c>
      <c r="Z4737" s="15"/>
    </row>
    <row r="4738" spans="1:26" x14ac:dyDescent="0.25">
      <c r="A4738" s="15" t="str">
        <f>IF(C4738="","",COUNTA($C$3:C4738))</f>
        <v/>
      </c>
      <c r="B4738" s="15" t="str">
        <f t="shared" si="372"/>
        <v/>
      </c>
      <c r="M4738" s="9"/>
      <c r="N4738" s="9"/>
      <c r="P4738" s="14"/>
      <c r="Q4738" s="85"/>
      <c r="R4738" s="89"/>
      <c r="U4738" s="11" t="str">
        <f t="shared" ref="U4738:U4801" si="373">IF(S4738="","",(S4738-T4738))</f>
        <v/>
      </c>
      <c r="V4738" s="12" t="str">
        <f t="shared" ref="V4738:V4801" si="374">IF(U4738="","",(U4738/T4738))</f>
        <v/>
      </c>
      <c r="Z4738" s="15"/>
    </row>
    <row r="4739" spans="1:26" x14ac:dyDescent="0.25">
      <c r="A4739" s="15" t="str">
        <f>IF(C4739="","",COUNTA($C$3:C4739))</f>
        <v/>
      </c>
      <c r="B4739" s="15" t="str">
        <f t="shared" ref="B4739:B4802" si="375">IF(C4739="","",TEXT(C4739,"mmmm"))</f>
        <v/>
      </c>
      <c r="M4739" s="9"/>
      <c r="N4739" s="9"/>
      <c r="P4739" s="14"/>
      <c r="Q4739" s="85"/>
      <c r="R4739" s="89"/>
      <c r="U4739" s="11" t="str">
        <f t="shared" si="373"/>
        <v/>
      </c>
      <c r="V4739" s="12" t="str">
        <f t="shared" si="374"/>
        <v/>
      </c>
      <c r="Z4739" s="15"/>
    </row>
    <row r="4740" spans="1:26" x14ac:dyDescent="0.25">
      <c r="A4740" s="15" t="str">
        <f>IF(C4740="","",COUNTA($C$3:C4740))</f>
        <v/>
      </c>
      <c r="B4740" s="15" t="str">
        <f t="shared" si="375"/>
        <v/>
      </c>
      <c r="M4740" s="9"/>
      <c r="N4740" s="9"/>
      <c r="P4740" s="14"/>
      <c r="Q4740" s="85"/>
      <c r="R4740" s="89"/>
      <c r="U4740" s="11" t="str">
        <f t="shared" si="373"/>
        <v/>
      </c>
      <c r="V4740" s="12" t="str">
        <f t="shared" si="374"/>
        <v/>
      </c>
      <c r="Z4740" s="15"/>
    </row>
    <row r="4741" spans="1:26" x14ac:dyDescent="0.25">
      <c r="A4741" s="15" t="str">
        <f>IF(C4741="","",COUNTA($C$3:C4741))</f>
        <v/>
      </c>
      <c r="B4741" s="15" t="str">
        <f t="shared" si="375"/>
        <v/>
      </c>
      <c r="M4741" s="9"/>
      <c r="N4741" s="9"/>
      <c r="P4741" s="14"/>
      <c r="Q4741" s="85"/>
      <c r="R4741" s="89"/>
      <c r="U4741" s="11" t="str">
        <f t="shared" si="373"/>
        <v/>
      </c>
      <c r="V4741" s="12" t="str">
        <f t="shared" si="374"/>
        <v/>
      </c>
      <c r="Z4741" s="15"/>
    </row>
    <row r="4742" spans="1:26" x14ac:dyDescent="0.25">
      <c r="A4742" s="15" t="str">
        <f>IF(C4742="","",COUNTA($C$3:C4742))</f>
        <v/>
      </c>
      <c r="B4742" s="15" t="str">
        <f t="shared" si="375"/>
        <v/>
      </c>
      <c r="M4742" s="9"/>
      <c r="N4742" s="9"/>
      <c r="P4742" s="14"/>
      <c r="Q4742" s="85"/>
      <c r="R4742" s="89"/>
      <c r="U4742" s="11" t="str">
        <f t="shared" si="373"/>
        <v/>
      </c>
      <c r="V4742" s="12" t="str">
        <f t="shared" si="374"/>
        <v/>
      </c>
      <c r="Z4742" s="15"/>
    </row>
    <row r="4743" spans="1:26" x14ac:dyDescent="0.25">
      <c r="A4743" s="15" t="str">
        <f>IF(C4743="","",COUNTA($C$3:C4743))</f>
        <v/>
      </c>
      <c r="B4743" s="15" t="str">
        <f t="shared" si="375"/>
        <v/>
      </c>
      <c r="M4743" s="9"/>
      <c r="N4743" s="9"/>
      <c r="P4743" s="14"/>
      <c r="Q4743" s="85"/>
      <c r="R4743" s="89"/>
      <c r="U4743" s="11" t="str">
        <f t="shared" si="373"/>
        <v/>
      </c>
      <c r="V4743" s="12" t="str">
        <f t="shared" si="374"/>
        <v/>
      </c>
      <c r="Z4743" s="15"/>
    </row>
    <row r="4744" spans="1:26" x14ac:dyDescent="0.25">
      <c r="A4744" s="15" t="str">
        <f>IF(C4744="","",COUNTA($C$3:C4744))</f>
        <v/>
      </c>
      <c r="B4744" s="15" t="str">
        <f t="shared" si="375"/>
        <v/>
      </c>
      <c r="M4744" s="9"/>
      <c r="N4744" s="9"/>
      <c r="P4744" s="14"/>
      <c r="Q4744" s="85"/>
      <c r="R4744" s="89"/>
      <c r="U4744" s="11" t="str">
        <f t="shared" si="373"/>
        <v/>
      </c>
      <c r="V4744" s="12" t="str">
        <f t="shared" si="374"/>
        <v/>
      </c>
      <c r="Z4744" s="15"/>
    </row>
    <row r="4745" spans="1:26" x14ac:dyDescent="0.25">
      <c r="A4745" s="15" t="str">
        <f>IF(C4745="","",COUNTA($C$3:C4745))</f>
        <v/>
      </c>
      <c r="B4745" s="15" t="str">
        <f t="shared" si="375"/>
        <v/>
      </c>
      <c r="M4745" s="9"/>
      <c r="N4745" s="9"/>
      <c r="P4745" s="14"/>
      <c r="Q4745" s="85"/>
      <c r="R4745" s="89"/>
      <c r="U4745" s="11" t="str">
        <f t="shared" si="373"/>
        <v/>
      </c>
      <c r="V4745" s="12" t="str">
        <f t="shared" si="374"/>
        <v/>
      </c>
      <c r="Z4745" s="15"/>
    </row>
    <row r="4746" spans="1:26" x14ac:dyDescent="0.25">
      <c r="A4746" s="15" t="str">
        <f>IF(C4746="","",COUNTA($C$3:C4746))</f>
        <v/>
      </c>
      <c r="B4746" s="15" t="str">
        <f t="shared" si="375"/>
        <v/>
      </c>
      <c r="M4746" s="9"/>
      <c r="N4746" s="9"/>
      <c r="P4746" s="14"/>
      <c r="Q4746" s="85"/>
      <c r="R4746" s="89"/>
      <c r="U4746" s="11" t="str">
        <f t="shared" si="373"/>
        <v/>
      </c>
      <c r="V4746" s="12" t="str">
        <f t="shared" si="374"/>
        <v/>
      </c>
      <c r="Z4746" s="15"/>
    </row>
    <row r="4747" spans="1:26" x14ac:dyDescent="0.25">
      <c r="A4747" s="15" t="str">
        <f>IF(C4747="","",COUNTA($C$3:C4747))</f>
        <v/>
      </c>
      <c r="B4747" s="15" t="str">
        <f t="shared" si="375"/>
        <v/>
      </c>
      <c r="M4747" s="9"/>
      <c r="N4747" s="9"/>
      <c r="P4747" s="14"/>
      <c r="Q4747" s="85"/>
      <c r="R4747" s="89"/>
      <c r="U4747" s="11" t="str">
        <f t="shared" si="373"/>
        <v/>
      </c>
      <c r="V4747" s="12" t="str">
        <f t="shared" si="374"/>
        <v/>
      </c>
      <c r="Z4747" s="15"/>
    </row>
    <row r="4748" spans="1:26" x14ac:dyDescent="0.25">
      <c r="A4748" s="15" t="str">
        <f>IF(C4748="","",COUNTA($C$3:C4748))</f>
        <v/>
      </c>
      <c r="B4748" s="15" t="str">
        <f t="shared" si="375"/>
        <v/>
      </c>
      <c r="M4748" s="9"/>
      <c r="N4748" s="9"/>
      <c r="P4748" s="14"/>
      <c r="Q4748" s="85"/>
      <c r="R4748" s="89"/>
      <c r="U4748" s="11" t="str">
        <f t="shared" si="373"/>
        <v/>
      </c>
      <c r="V4748" s="12" t="str">
        <f t="shared" si="374"/>
        <v/>
      </c>
      <c r="Z4748" s="15"/>
    </row>
    <row r="4749" spans="1:26" x14ac:dyDescent="0.25">
      <c r="A4749" s="15" t="str">
        <f>IF(C4749="","",COUNTA($C$3:C4749))</f>
        <v/>
      </c>
      <c r="B4749" s="15" t="str">
        <f t="shared" si="375"/>
        <v/>
      </c>
      <c r="M4749" s="9"/>
      <c r="N4749" s="9"/>
      <c r="P4749" s="14"/>
      <c r="Q4749" s="85"/>
      <c r="R4749" s="89"/>
      <c r="U4749" s="11" t="str">
        <f t="shared" si="373"/>
        <v/>
      </c>
      <c r="V4749" s="12" t="str">
        <f t="shared" si="374"/>
        <v/>
      </c>
      <c r="Z4749" s="15"/>
    </row>
    <row r="4750" spans="1:26" x14ac:dyDescent="0.25">
      <c r="A4750" s="15" t="str">
        <f>IF(C4750="","",COUNTA($C$3:C4750))</f>
        <v/>
      </c>
      <c r="B4750" s="15" t="str">
        <f t="shared" si="375"/>
        <v/>
      </c>
      <c r="M4750" s="9"/>
      <c r="N4750" s="9"/>
      <c r="P4750" s="14"/>
      <c r="Q4750" s="85"/>
      <c r="R4750" s="89"/>
      <c r="U4750" s="11" t="str">
        <f t="shared" si="373"/>
        <v/>
      </c>
      <c r="V4750" s="12" t="str">
        <f t="shared" si="374"/>
        <v/>
      </c>
      <c r="Z4750" s="15"/>
    </row>
    <row r="4751" spans="1:26" x14ac:dyDescent="0.25">
      <c r="A4751" s="15" t="str">
        <f>IF(C4751="","",COUNTA($C$3:C4751))</f>
        <v/>
      </c>
      <c r="B4751" s="15" t="str">
        <f t="shared" si="375"/>
        <v/>
      </c>
      <c r="M4751" s="9"/>
      <c r="N4751" s="9"/>
      <c r="P4751" s="14"/>
      <c r="Q4751" s="85"/>
      <c r="R4751" s="89"/>
      <c r="U4751" s="11" t="str">
        <f t="shared" si="373"/>
        <v/>
      </c>
      <c r="V4751" s="12" t="str">
        <f t="shared" si="374"/>
        <v/>
      </c>
      <c r="Z4751" s="15"/>
    </row>
    <row r="4752" spans="1:26" x14ac:dyDescent="0.25">
      <c r="A4752" s="15" t="str">
        <f>IF(C4752="","",COUNTA($C$3:C4752))</f>
        <v/>
      </c>
      <c r="B4752" s="15" t="str">
        <f t="shared" si="375"/>
        <v/>
      </c>
      <c r="M4752" s="9"/>
      <c r="N4752" s="9"/>
      <c r="P4752" s="14"/>
      <c r="Q4752" s="85"/>
      <c r="R4752" s="89"/>
      <c r="U4752" s="11" t="str">
        <f t="shared" si="373"/>
        <v/>
      </c>
      <c r="V4752" s="12" t="str">
        <f t="shared" si="374"/>
        <v/>
      </c>
      <c r="Z4752" s="15"/>
    </row>
    <row r="4753" spans="1:26" x14ac:dyDescent="0.25">
      <c r="A4753" s="15" t="str">
        <f>IF(C4753="","",COUNTA($C$3:C4753))</f>
        <v/>
      </c>
      <c r="B4753" s="15" t="str">
        <f t="shared" si="375"/>
        <v/>
      </c>
      <c r="M4753" s="9"/>
      <c r="N4753" s="9"/>
      <c r="P4753" s="14"/>
      <c r="Q4753" s="85"/>
      <c r="R4753" s="89"/>
      <c r="U4753" s="11" t="str">
        <f t="shared" si="373"/>
        <v/>
      </c>
      <c r="V4753" s="12" t="str">
        <f t="shared" si="374"/>
        <v/>
      </c>
      <c r="Z4753" s="15"/>
    </row>
    <row r="4754" spans="1:26" x14ac:dyDescent="0.25">
      <c r="A4754" s="15" t="str">
        <f>IF(C4754="","",COUNTA($C$3:C4754))</f>
        <v/>
      </c>
      <c r="B4754" s="15" t="str">
        <f t="shared" si="375"/>
        <v/>
      </c>
      <c r="M4754" s="9"/>
      <c r="N4754" s="9"/>
      <c r="P4754" s="14"/>
      <c r="Q4754" s="85"/>
      <c r="R4754" s="89"/>
      <c r="U4754" s="11" t="str">
        <f t="shared" si="373"/>
        <v/>
      </c>
      <c r="V4754" s="12" t="str">
        <f t="shared" si="374"/>
        <v/>
      </c>
      <c r="Z4754" s="15"/>
    </row>
    <row r="4755" spans="1:26" x14ac:dyDescent="0.25">
      <c r="A4755" s="15" t="str">
        <f>IF(C4755="","",COUNTA($C$3:C4755))</f>
        <v/>
      </c>
      <c r="B4755" s="15" t="str">
        <f t="shared" si="375"/>
        <v/>
      </c>
      <c r="M4755" s="9"/>
      <c r="N4755" s="9"/>
      <c r="P4755" s="14"/>
      <c r="Q4755" s="85"/>
      <c r="R4755" s="89"/>
      <c r="U4755" s="11" t="str">
        <f t="shared" si="373"/>
        <v/>
      </c>
      <c r="V4755" s="12" t="str">
        <f t="shared" si="374"/>
        <v/>
      </c>
      <c r="Z4755" s="15"/>
    </row>
    <row r="4756" spans="1:26" x14ac:dyDescent="0.25">
      <c r="A4756" s="15" t="str">
        <f>IF(C4756="","",COUNTA($C$3:C4756))</f>
        <v/>
      </c>
      <c r="B4756" s="15" t="str">
        <f t="shared" si="375"/>
        <v/>
      </c>
      <c r="M4756" s="9"/>
      <c r="N4756" s="9"/>
      <c r="P4756" s="14"/>
      <c r="Q4756" s="85"/>
      <c r="R4756" s="89"/>
      <c r="U4756" s="11" t="str">
        <f t="shared" si="373"/>
        <v/>
      </c>
      <c r="V4756" s="12" t="str">
        <f t="shared" si="374"/>
        <v/>
      </c>
      <c r="Z4756" s="15"/>
    </row>
    <row r="4757" spans="1:26" x14ac:dyDescent="0.25">
      <c r="A4757" s="15" t="str">
        <f>IF(C4757="","",COUNTA($C$3:C4757))</f>
        <v/>
      </c>
      <c r="B4757" s="15" t="str">
        <f t="shared" si="375"/>
        <v/>
      </c>
      <c r="M4757" s="9"/>
      <c r="N4757" s="9"/>
      <c r="P4757" s="14"/>
      <c r="Q4757" s="85"/>
      <c r="R4757" s="89"/>
      <c r="U4757" s="11" t="str">
        <f t="shared" si="373"/>
        <v/>
      </c>
      <c r="V4757" s="12" t="str">
        <f t="shared" si="374"/>
        <v/>
      </c>
      <c r="Z4757" s="15"/>
    </row>
    <row r="4758" spans="1:26" x14ac:dyDescent="0.25">
      <c r="A4758" s="15" t="str">
        <f>IF(C4758="","",COUNTA($C$3:C4758))</f>
        <v/>
      </c>
      <c r="B4758" s="15" t="str">
        <f t="shared" si="375"/>
        <v/>
      </c>
      <c r="M4758" s="9"/>
      <c r="N4758" s="9"/>
      <c r="P4758" s="14"/>
      <c r="Q4758" s="85"/>
      <c r="R4758" s="89"/>
      <c r="U4758" s="11" t="str">
        <f t="shared" si="373"/>
        <v/>
      </c>
      <c r="V4758" s="12" t="str">
        <f t="shared" si="374"/>
        <v/>
      </c>
      <c r="Z4758" s="15"/>
    </row>
    <row r="4759" spans="1:26" x14ac:dyDescent="0.25">
      <c r="A4759" s="15" t="str">
        <f>IF(C4759="","",COUNTA($C$3:C4759))</f>
        <v/>
      </c>
      <c r="B4759" s="15" t="str">
        <f t="shared" si="375"/>
        <v/>
      </c>
      <c r="M4759" s="9"/>
      <c r="N4759" s="9"/>
      <c r="P4759" s="14"/>
      <c r="Q4759" s="85"/>
      <c r="R4759" s="89"/>
      <c r="U4759" s="11" t="str">
        <f t="shared" si="373"/>
        <v/>
      </c>
      <c r="V4759" s="12" t="str">
        <f t="shared" si="374"/>
        <v/>
      </c>
      <c r="Z4759" s="15"/>
    </row>
    <row r="4760" spans="1:26" x14ac:dyDescent="0.25">
      <c r="A4760" s="15" t="str">
        <f>IF(C4760="","",COUNTA($C$3:C4760))</f>
        <v/>
      </c>
      <c r="B4760" s="15" t="str">
        <f t="shared" si="375"/>
        <v/>
      </c>
      <c r="M4760" s="9"/>
      <c r="N4760" s="9"/>
      <c r="P4760" s="14"/>
      <c r="Q4760" s="85"/>
      <c r="R4760" s="89"/>
      <c r="U4760" s="11" t="str">
        <f t="shared" si="373"/>
        <v/>
      </c>
      <c r="V4760" s="12" t="str">
        <f t="shared" si="374"/>
        <v/>
      </c>
      <c r="Z4760" s="15"/>
    </row>
    <row r="4761" spans="1:26" x14ac:dyDescent="0.25">
      <c r="A4761" s="15" t="str">
        <f>IF(C4761="","",COUNTA($C$3:C4761))</f>
        <v/>
      </c>
      <c r="B4761" s="15" t="str">
        <f t="shared" si="375"/>
        <v/>
      </c>
      <c r="M4761" s="9"/>
      <c r="N4761" s="9"/>
      <c r="P4761" s="14"/>
      <c r="Q4761" s="85"/>
      <c r="R4761" s="89"/>
      <c r="U4761" s="11" t="str">
        <f t="shared" si="373"/>
        <v/>
      </c>
      <c r="V4761" s="12" t="str">
        <f t="shared" si="374"/>
        <v/>
      </c>
      <c r="Z4761" s="15"/>
    </row>
    <row r="4762" spans="1:26" x14ac:dyDescent="0.25">
      <c r="A4762" s="15" t="str">
        <f>IF(C4762="","",COUNTA($C$3:C4762))</f>
        <v/>
      </c>
      <c r="B4762" s="15" t="str">
        <f t="shared" si="375"/>
        <v/>
      </c>
      <c r="M4762" s="9"/>
      <c r="N4762" s="9"/>
      <c r="P4762" s="14"/>
      <c r="Q4762" s="85"/>
      <c r="R4762" s="89"/>
      <c r="U4762" s="11" t="str">
        <f t="shared" si="373"/>
        <v/>
      </c>
      <c r="V4762" s="12" t="str">
        <f t="shared" si="374"/>
        <v/>
      </c>
      <c r="Z4762" s="15"/>
    </row>
    <row r="4763" spans="1:26" x14ac:dyDescent="0.25">
      <c r="A4763" s="15" t="str">
        <f>IF(C4763="","",COUNTA($C$3:C4763))</f>
        <v/>
      </c>
      <c r="B4763" s="15" t="str">
        <f t="shared" si="375"/>
        <v/>
      </c>
      <c r="M4763" s="9"/>
      <c r="N4763" s="9"/>
      <c r="P4763" s="14"/>
      <c r="Q4763" s="85"/>
      <c r="R4763" s="89"/>
      <c r="U4763" s="11" t="str">
        <f t="shared" si="373"/>
        <v/>
      </c>
      <c r="V4763" s="12" t="str">
        <f t="shared" si="374"/>
        <v/>
      </c>
      <c r="Z4763" s="15"/>
    </row>
    <row r="4764" spans="1:26" x14ac:dyDescent="0.25">
      <c r="A4764" s="15" t="str">
        <f>IF(C4764="","",COUNTA($C$3:C4764))</f>
        <v/>
      </c>
      <c r="B4764" s="15" t="str">
        <f t="shared" si="375"/>
        <v/>
      </c>
      <c r="M4764" s="9"/>
      <c r="N4764" s="9"/>
      <c r="P4764" s="14"/>
      <c r="Q4764" s="85"/>
      <c r="R4764" s="89"/>
      <c r="U4764" s="11" t="str">
        <f t="shared" si="373"/>
        <v/>
      </c>
      <c r="V4764" s="12" t="str">
        <f t="shared" si="374"/>
        <v/>
      </c>
      <c r="Z4764" s="15"/>
    </row>
    <row r="4765" spans="1:26" x14ac:dyDescent="0.25">
      <c r="A4765" s="15" t="str">
        <f>IF(C4765="","",COUNTA($C$3:C4765))</f>
        <v/>
      </c>
      <c r="B4765" s="15" t="str">
        <f t="shared" si="375"/>
        <v/>
      </c>
      <c r="M4765" s="9"/>
      <c r="N4765" s="9"/>
      <c r="P4765" s="14"/>
      <c r="Q4765" s="85"/>
      <c r="R4765" s="89"/>
      <c r="U4765" s="11" t="str">
        <f t="shared" si="373"/>
        <v/>
      </c>
      <c r="V4765" s="12" t="str">
        <f t="shared" si="374"/>
        <v/>
      </c>
      <c r="Z4765" s="15"/>
    </row>
    <row r="4766" spans="1:26" x14ac:dyDescent="0.25">
      <c r="A4766" s="15" t="str">
        <f>IF(C4766="","",COUNTA($C$3:C4766))</f>
        <v/>
      </c>
      <c r="B4766" s="15" t="str">
        <f t="shared" si="375"/>
        <v/>
      </c>
      <c r="M4766" s="9"/>
      <c r="N4766" s="9"/>
      <c r="P4766" s="14"/>
      <c r="Q4766" s="85"/>
      <c r="R4766" s="89"/>
      <c r="U4766" s="11" t="str">
        <f t="shared" si="373"/>
        <v/>
      </c>
      <c r="V4766" s="12" t="str">
        <f t="shared" si="374"/>
        <v/>
      </c>
      <c r="Z4766" s="15"/>
    </row>
    <row r="4767" spans="1:26" x14ac:dyDescent="0.25">
      <c r="A4767" s="15" t="str">
        <f>IF(C4767="","",COUNTA($C$3:C4767))</f>
        <v/>
      </c>
      <c r="B4767" s="15" t="str">
        <f t="shared" si="375"/>
        <v/>
      </c>
      <c r="M4767" s="9"/>
      <c r="N4767" s="9"/>
      <c r="P4767" s="14"/>
      <c r="Q4767" s="85"/>
      <c r="R4767" s="89"/>
      <c r="U4767" s="11" t="str">
        <f t="shared" si="373"/>
        <v/>
      </c>
      <c r="V4767" s="12" t="str">
        <f t="shared" si="374"/>
        <v/>
      </c>
      <c r="Z4767" s="15"/>
    </row>
    <row r="4768" spans="1:26" x14ac:dyDescent="0.25">
      <c r="A4768" s="15" t="str">
        <f>IF(C4768="","",COUNTA($C$3:C4768))</f>
        <v/>
      </c>
      <c r="B4768" s="15" t="str">
        <f t="shared" si="375"/>
        <v/>
      </c>
      <c r="M4768" s="9"/>
      <c r="N4768" s="9"/>
      <c r="P4768" s="14"/>
      <c r="Q4768" s="85"/>
      <c r="R4768" s="89"/>
      <c r="U4768" s="11" t="str">
        <f t="shared" si="373"/>
        <v/>
      </c>
      <c r="V4768" s="12" t="str">
        <f t="shared" si="374"/>
        <v/>
      </c>
      <c r="Z4768" s="15"/>
    </row>
    <row r="4769" spans="1:26" x14ac:dyDescent="0.25">
      <c r="A4769" s="15" t="str">
        <f>IF(C4769="","",COUNTA($C$3:C4769))</f>
        <v/>
      </c>
      <c r="B4769" s="15" t="str">
        <f t="shared" si="375"/>
        <v/>
      </c>
      <c r="M4769" s="9"/>
      <c r="N4769" s="9"/>
      <c r="P4769" s="14"/>
      <c r="Q4769" s="85"/>
      <c r="R4769" s="89"/>
      <c r="U4769" s="11" t="str">
        <f t="shared" si="373"/>
        <v/>
      </c>
      <c r="V4769" s="12" t="str">
        <f t="shared" si="374"/>
        <v/>
      </c>
      <c r="Z4769" s="15"/>
    </row>
    <row r="4770" spans="1:26" x14ac:dyDescent="0.25">
      <c r="A4770" s="15" t="str">
        <f>IF(C4770="","",COUNTA($C$3:C4770))</f>
        <v/>
      </c>
      <c r="B4770" s="15" t="str">
        <f t="shared" si="375"/>
        <v/>
      </c>
      <c r="M4770" s="9"/>
      <c r="N4770" s="9"/>
      <c r="P4770" s="14"/>
      <c r="Q4770" s="85"/>
      <c r="R4770" s="89"/>
      <c r="U4770" s="11" t="str">
        <f t="shared" si="373"/>
        <v/>
      </c>
      <c r="V4770" s="12" t="str">
        <f t="shared" si="374"/>
        <v/>
      </c>
      <c r="Z4770" s="15"/>
    </row>
    <row r="4771" spans="1:26" x14ac:dyDescent="0.25">
      <c r="A4771" s="15" t="str">
        <f>IF(C4771="","",COUNTA($C$3:C4771))</f>
        <v/>
      </c>
      <c r="B4771" s="15" t="str">
        <f t="shared" si="375"/>
        <v/>
      </c>
      <c r="M4771" s="9"/>
      <c r="N4771" s="9"/>
      <c r="P4771" s="14"/>
      <c r="Q4771" s="85"/>
      <c r="R4771" s="89"/>
      <c r="U4771" s="11" t="str">
        <f t="shared" si="373"/>
        <v/>
      </c>
      <c r="V4771" s="12" t="str">
        <f t="shared" si="374"/>
        <v/>
      </c>
      <c r="Z4771" s="15"/>
    </row>
    <row r="4772" spans="1:26" x14ac:dyDescent="0.25">
      <c r="A4772" s="15" t="str">
        <f>IF(C4772="","",COUNTA($C$3:C4772))</f>
        <v/>
      </c>
      <c r="B4772" s="15" t="str">
        <f t="shared" si="375"/>
        <v/>
      </c>
      <c r="M4772" s="9"/>
      <c r="N4772" s="9"/>
      <c r="P4772" s="14"/>
      <c r="Q4772" s="85"/>
      <c r="R4772" s="89"/>
      <c r="U4772" s="11" t="str">
        <f t="shared" si="373"/>
        <v/>
      </c>
      <c r="V4772" s="12" t="str">
        <f t="shared" si="374"/>
        <v/>
      </c>
      <c r="Z4772" s="15"/>
    </row>
    <row r="4773" spans="1:26" x14ac:dyDescent="0.25">
      <c r="A4773" s="15" t="str">
        <f>IF(C4773="","",COUNTA($C$3:C4773))</f>
        <v/>
      </c>
      <c r="B4773" s="15" t="str">
        <f t="shared" si="375"/>
        <v/>
      </c>
      <c r="M4773" s="9"/>
      <c r="N4773" s="9"/>
      <c r="P4773" s="14"/>
      <c r="Q4773" s="85"/>
      <c r="R4773" s="89"/>
      <c r="U4773" s="11" t="str">
        <f t="shared" si="373"/>
        <v/>
      </c>
      <c r="V4773" s="12" t="str">
        <f t="shared" si="374"/>
        <v/>
      </c>
      <c r="Z4773" s="15"/>
    </row>
    <row r="4774" spans="1:26" x14ac:dyDescent="0.25">
      <c r="A4774" s="15" t="str">
        <f>IF(C4774="","",COUNTA($C$3:C4774))</f>
        <v/>
      </c>
      <c r="B4774" s="15" t="str">
        <f t="shared" si="375"/>
        <v/>
      </c>
      <c r="M4774" s="9"/>
      <c r="N4774" s="9"/>
      <c r="P4774" s="14"/>
      <c r="Q4774" s="85"/>
      <c r="R4774" s="89"/>
      <c r="U4774" s="11" t="str">
        <f t="shared" si="373"/>
        <v/>
      </c>
      <c r="V4774" s="12" t="str">
        <f t="shared" si="374"/>
        <v/>
      </c>
      <c r="Z4774" s="15"/>
    </row>
    <row r="4775" spans="1:26" x14ac:dyDescent="0.25">
      <c r="A4775" s="15" t="str">
        <f>IF(C4775="","",COUNTA($C$3:C4775))</f>
        <v/>
      </c>
      <c r="B4775" s="15" t="str">
        <f t="shared" si="375"/>
        <v/>
      </c>
      <c r="M4775" s="9"/>
      <c r="N4775" s="9"/>
      <c r="P4775" s="14"/>
      <c r="Q4775" s="85"/>
      <c r="R4775" s="89"/>
      <c r="U4775" s="11" t="str">
        <f t="shared" si="373"/>
        <v/>
      </c>
      <c r="V4775" s="12" t="str">
        <f t="shared" si="374"/>
        <v/>
      </c>
      <c r="Z4775" s="15"/>
    </row>
    <row r="4776" spans="1:26" x14ac:dyDescent="0.25">
      <c r="A4776" s="15" t="str">
        <f>IF(C4776="","",COUNTA($C$3:C4776))</f>
        <v/>
      </c>
      <c r="B4776" s="15" t="str">
        <f t="shared" si="375"/>
        <v/>
      </c>
      <c r="M4776" s="9"/>
      <c r="N4776" s="9"/>
      <c r="P4776" s="14"/>
      <c r="Q4776" s="85"/>
      <c r="R4776" s="89"/>
      <c r="U4776" s="11" t="str">
        <f t="shared" si="373"/>
        <v/>
      </c>
      <c r="V4776" s="12" t="str">
        <f t="shared" si="374"/>
        <v/>
      </c>
      <c r="Z4776" s="15"/>
    </row>
    <row r="4777" spans="1:26" x14ac:dyDescent="0.25">
      <c r="A4777" s="15" t="str">
        <f>IF(C4777="","",COUNTA($C$3:C4777))</f>
        <v/>
      </c>
      <c r="B4777" s="15" t="str">
        <f t="shared" si="375"/>
        <v/>
      </c>
      <c r="M4777" s="9"/>
      <c r="N4777" s="9"/>
      <c r="P4777" s="14"/>
      <c r="Q4777" s="85"/>
      <c r="R4777" s="89"/>
      <c r="U4777" s="11" t="str">
        <f t="shared" si="373"/>
        <v/>
      </c>
      <c r="V4777" s="12" t="str">
        <f t="shared" si="374"/>
        <v/>
      </c>
      <c r="Z4777" s="15"/>
    </row>
    <row r="4778" spans="1:26" x14ac:dyDescent="0.25">
      <c r="A4778" s="15" t="str">
        <f>IF(C4778="","",COUNTA($C$3:C4778))</f>
        <v/>
      </c>
      <c r="B4778" s="15" t="str">
        <f t="shared" si="375"/>
        <v/>
      </c>
      <c r="M4778" s="9"/>
      <c r="N4778" s="9"/>
      <c r="P4778" s="14"/>
      <c r="Q4778" s="85"/>
      <c r="R4778" s="89"/>
      <c r="U4778" s="11" t="str">
        <f t="shared" si="373"/>
        <v/>
      </c>
      <c r="V4778" s="12" t="str">
        <f t="shared" si="374"/>
        <v/>
      </c>
      <c r="Z4778" s="15"/>
    </row>
    <row r="4779" spans="1:26" x14ac:dyDescent="0.25">
      <c r="A4779" s="15" t="str">
        <f>IF(C4779="","",COUNTA($C$3:C4779))</f>
        <v/>
      </c>
      <c r="B4779" s="15" t="str">
        <f t="shared" si="375"/>
        <v/>
      </c>
      <c r="M4779" s="9"/>
      <c r="N4779" s="9"/>
      <c r="P4779" s="14"/>
      <c r="Q4779" s="85"/>
      <c r="R4779" s="89"/>
      <c r="U4779" s="11" t="str">
        <f t="shared" si="373"/>
        <v/>
      </c>
      <c r="V4779" s="12" t="str">
        <f t="shared" si="374"/>
        <v/>
      </c>
      <c r="Z4779" s="15"/>
    </row>
    <row r="4780" spans="1:26" x14ac:dyDescent="0.25">
      <c r="A4780" s="15" t="str">
        <f>IF(C4780="","",COUNTA($C$3:C4780))</f>
        <v/>
      </c>
      <c r="B4780" s="15" t="str">
        <f t="shared" si="375"/>
        <v/>
      </c>
      <c r="M4780" s="9"/>
      <c r="N4780" s="9"/>
      <c r="P4780" s="14"/>
      <c r="Q4780" s="85"/>
      <c r="R4780" s="89"/>
      <c r="U4780" s="11" t="str">
        <f t="shared" si="373"/>
        <v/>
      </c>
      <c r="V4780" s="12" t="str">
        <f t="shared" si="374"/>
        <v/>
      </c>
      <c r="Z4780" s="15"/>
    </row>
    <row r="4781" spans="1:26" x14ac:dyDescent="0.25">
      <c r="A4781" s="15" t="str">
        <f>IF(C4781="","",COUNTA($C$3:C4781))</f>
        <v/>
      </c>
      <c r="B4781" s="15" t="str">
        <f t="shared" si="375"/>
        <v/>
      </c>
      <c r="M4781" s="9"/>
      <c r="N4781" s="9"/>
      <c r="P4781" s="14"/>
      <c r="Q4781" s="85"/>
      <c r="R4781" s="89"/>
      <c r="U4781" s="11" t="str">
        <f t="shared" si="373"/>
        <v/>
      </c>
      <c r="V4781" s="12" t="str">
        <f t="shared" si="374"/>
        <v/>
      </c>
      <c r="Z4781" s="15"/>
    </row>
    <row r="4782" spans="1:26" x14ac:dyDescent="0.25">
      <c r="A4782" s="15" t="str">
        <f>IF(C4782="","",COUNTA($C$3:C4782))</f>
        <v/>
      </c>
      <c r="B4782" s="15" t="str">
        <f t="shared" si="375"/>
        <v/>
      </c>
      <c r="M4782" s="9"/>
      <c r="N4782" s="9"/>
      <c r="P4782" s="14"/>
      <c r="Q4782" s="85"/>
      <c r="R4782" s="89"/>
      <c r="U4782" s="11" t="str">
        <f t="shared" si="373"/>
        <v/>
      </c>
      <c r="V4782" s="12" t="str">
        <f t="shared" si="374"/>
        <v/>
      </c>
      <c r="Z4782" s="15"/>
    </row>
    <row r="4783" spans="1:26" x14ac:dyDescent="0.25">
      <c r="A4783" s="15" t="str">
        <f>IF(C4783="","",COUNTA($C$3:C4783))</f>
        <v/>
      </c>
      <c r="B4783" s="15" t="str">
        <f t="shared" si="375"/>
        <v/>
      </c>
      <c r="M4783" s="9"/>
      <c r="N4783" s="9"/>
      <c r="P4783" s="14"/>
      <c r="Q4783" s="85"/>
      <c r="R4783" s="89"/>
      <c r="U4783" s="11" t="str">
        <f t="shared" si="373"/>
        <v/>
      </c>
      <c r="V4783" s="12" t="str">
        <f t="shared" si="374"/>
        <v/>
      </c>
      <c r="Z4783" s="15"/>
    </row>
    <row r="4784" spans="1:26" x14ac:dyDescent="0.25">
      <c r="A4784" s="15" t="str">
        <f>IF(C4784="","",COUNTA($C$3:C4784))</f>
        <v/>
      </c>
      <c r="B4784" s="15" t="str">
        <f t="shared" si="375"/>
        <v/>
      </c>
      <c r="M4784" s="9"/>
      <c r="N4784" s="9"/>
      <c r="P4784" s="14"/>
      <c r="Q4784" s="85"/>
      <c r="R4784" s="89"/>
      <c r="U4784" s="11" t="str">
        <f t="shared" si="373"/>
        <v/>
      </c>
      <c r="V4784" s="12" t="str">
        <f t="shared" si="374"/>
        <v/>
      </c>
      <c r="Z4784" s="15"/>
    </row>
    <row r="4785" spans="1:26" x14ac:dyDescent="0.25">
      <c r="A4785" s="15" t="str">
        <f>IF(C4785="","",COUNTA($C$3:C4785))</f>
        <v/>
      </c>
      <c r="B4785" s="15" t="str">
        <f t="shared" si="375"/>
        <v/>
      </c>
      <c r="M4785" s="9"/>
      <c r="N4785" s="9"/>
      <c r="P4785" s="14"/>
      <c r="Q4785" s="85"/>
      <c r="R4785" s="89"/>
      <c r="U4785" s="11" t="str">
        <f t="shared" si="373"/>
        <v/>
      </c>
      <c r="V4785" s="12" t="str">
        <f t="shared" si="374"/>
        <v/>
      </c>
      <c r="Z4785" s="15"/>
    </row>
    <row r="4786" spans="1:26" x14ac:dyDescent="0.25">
      <c r="A4786" s="15" t="str">
        <f>IF(C4786="","",COUNTA($C$3:C4786))</f>
        <v/>
      </c>
      <c r="B4786" s="15" t="str">
        <f t="shared" si="375"/>
        <v/>
      </c>
      <c r="M4786" s="9"/>
      <c r="N4786" s="9"/>
      <c r="P4786" s="14"/>
      <c r="Q4786" s="85"/>
      <c r="R4786" s="89"/>
      <c r="U4786" s="11" t="str">
        <f t="shared" si="373"/>
        <v/>
      </c>
      <c r="V4786" s="12" t="str">
        <f t="shared" si="374"/>
        <v/>
      </c>
      <c r="Z4786" s="15"/>
    </row>
    <row r="4787" spans="1:26" x14ac:dyDescent="0.25">
      <c r="A4787" s="15" t="str">
        <f>IF(C4787="","",COUNTA($C$3:C4787))</f>
        <v/>
      </c>
      <c r="B4787" s="15" t="str">
        <f t="shared" si="375"/>
        <v/>
      </c>
      <c r="M4787" s="9"/>
      <c r="N4787" s="9"/>
      <c r="P4787" s="14"/>
      <c r="Q4787" s="85"/>
      <c r="R4787" s="89"/>
      <c r="U4787" s="11" t="str">
        <f t="shared" si="373"/>
        <v/>
      </c>
      <c r="V4787" s="12" t="str">
        <f t="shared" si="374"/>
        <v/>
      </c>
      <c r="Z4787" s="15"/>
    </row>
    <row r="4788" spans="1:26" x14ac:dyDescent="0.25">
      <c r="A4788" s="15" t="str">
        <f>IF(C4788="","",COUNTA($C$3:C4788))</f>
        <v/>
      </c>
      <c r="B4788" s="15" t="str">
        <f t="shared" si="375"/>
        <v/>
      </c>
      <c r="M4788" s="9"/>
      <c r="N4788" s="9"/>
      <c r="P4788" s="14"/>
      <c r="Q4788" s="85"/>
      <c r="R4788" s="89"/>
      <c r="U4788" s="11" t="str">
        <f t="shared" si="373"/>
        <v/>
      </c>
      <c r="V4788" s="12" t="str">
        <f t="shared" si="374"/>
        <v/>
      </c>
      <c r="Z4788" s="15"/>
    </row>
    <row r="4789" spans="1:26" x14ac:dyDescent="0.25">
      <c r="A4789" s="15" t="str">
        <f>IF(C4789="","",COUNTA($C$3:C4789))</f>
        <v/>
      </c>
      <c r="B4789" s="15" t="str">
        <f t="shared" si="375"/>
        <v/>
      </c>
      <c r="M4789" s="9"/>
      <c r="N4789" s="9"/>
      <c r="P4789" s="14"/>
      <c r="Q4789" s="85"/>
      <c r="R4789" s="89"/>
      <c r="U4789" s="11" t="str">
        <f t="shared" si="373"/>
        <v/>
      </c>
      <c r="V4789" s="12" t="str">
        <f t="shared" si="374"/>
        <v/>
      </c>
      <c r="Z4789" s="15"/>
    </row>
    <row r="4790" spans="1:26" x14ac:dyDescent="0.25">
      <c r="A4790" s="15" t="str">
        <f>IF(C4790="","",COUNTA($C$3:C4790))</f>
        <v/>
      </c>
      <c r="B4790" s="15" t="str">
        <f t="shared" si="375"/>
        <v/>
      </c>
      <c r="M4790" s="9"/>
      <c r="N4790" s="9"/>
      <c r="P4790" s="14"/>
      <c r="Q4790" s="85"/>
      <c r="R4790" s="89"/>
      <c r="U4790" s="11" t="str">
        <f t="shared" si="373"/>
        <v/>
      </c>
      <c r="V4790" s="12" t="str">
        <f t="shared" si="374"/>
        <v/>
      </c>
      <c r="Z4790" s="15"/>
    </row>
    <row r="4791" spans="1:26" x14ac:dyDescent="0.25">
      <c r="A4791" s="15" t="str">
        <f>IF(C4791="","",COUNTA($C$3:C4791))</f>
        <v/>
      </c>
      <c r="B4791" s="15" t="str">
        <f t="shared" si="375"/>
        <v/>
      </c>
      <c r="M4791" s="9"/>
      <c r="N4791" s="9"/>
      <c r="P4791" s="14"/>
      <c r="Q4791" s="85"/>
      <c r="R4791" s="89"/>
      <c r="U4791" s="11" t="str">
        <f t="shared" si="373"/>
        <v/>
      </c>
      <c r="V4791" s="12" t="str">
        <f t="shared" si="374"/>
        <v/>
      </c>
      <c r="Z4791" s="15"/>
    </row>
    <row r="4792" spans="1:26" x14ac:dyDescent="0.25">
      <c r="A4792" s="15" t="str">
        <f>IF(C4792="","",COUNTA($C$3:C4792))</f>
        <v/>
      </c>
      <c r="B4792" s="15" t="str">
        <f t="shared" si="375"/>
        <v/>
      </c>
      <c r="M4792" s="9"/>
      <c r="N4792" s="9"/>
      <c r="P4792" s="14"/>
      <c r="Q4792" s="85"/>
      <c r="R4792" s="89"/>
      <c r="U4792" s="11" t="str">
        <f t="shared" si="373"/>
        <v/>
      </c>
      <c r="V4792" s="12" t="str">
        <f t="shared" si="374"/>
        <v/>
      </c>
      <c r="Z4792" s="15"/>
    </row>
    <row r="4793" spans="1:26" x14ac:dyDescent="0.25">
      <c r="A4793" s="15" t="str">
        <f>IF(C4793="","",COUNTA($C$3:C4793))</f>
        <v/>
      </c>
      <c r="B4793" s="15" t="str">
        <f t="shared" si="375"/>
        <v/>
      </c>
      <c r="M4793" s="9"/>
      <c r="N4793" s="9"/>
      <c r="P4793" s="14"/>
      <c r="Q4793" s="85"/>
      <c r="R4793" s="89"/>
      <c r="U4793" s="11" t="str">
        <f t="shared" si="373"/>
        <v/>
      </c>
      <c r="V4793" s="12" t="str">
        <f t="shared" si="374"/>
        <v/>
      </c>
      <c r="Z4793" s="15"/>
    </row>
    <row r="4794" spans="1:26" x14ac:dyDescent="0.25">
      <c r="A4794" s="15" t="str">
        <f>IF(C4794="","",COUNTA($C$3:C4794))</f>
        <v/>
      </c>
      <c r="B4794" s="15" t="str">
        <f t="shared" si="375"/>
        <v/>
      </c>
      <c r="M4794" s="9"/>
      <c r="N4794" s="9"/>
      <c r="P4794" s="14"/>
      <c r="Q4794" s="85"/>
      <c r="R4794" s="89"/>
      <c r="U4794" s="11" t="str">
        <f t="shared" si="373"/>
        <v/>
      </c>
      <c r="V4794" s="12" t="str">
        <f t="shared" si="374"/>
        <v/>
      </c>
      <c r="Z4794" s="15"/>
    </row>
    <row r="4795" spans="1:26" x14ac:dyDescent="0.25">
      <c r="A4795" s="15" t="str">
        <f>IF(C4795="","",COUNTA($C$3:C4795))</f>
        <v/>
      </c>
      <c r="B4795" s="15" t="str">
        <f t="shared" si="375"/>
        <v/>
      </c>
      <c r="M4795" s="9"/>
      <c r="N4795" s="9"/>
      <c r="P4795" s="14"/>
      <c r="Q4795" s="85"/>
      <c r="R4795" s="89"/>
      <c r="U4795" s="11" t="str">
        <f t="shared" si="373"/>
        <v/>
      </c>
      <c r="V4795" s="12" t="str">
        <f t="shared" si="374"/>
        <v/>
      </c>
      <c r="Z4795" s="15"/>
    </row>
    <row r="4796" spans="1:26" x14ac:dyDescent="0.25">
      <c r="A4796" s="15" t="str">
        <f>IF(C4796="","",COUNTA($C$3:C4796))</f>
        <v/>
      </c>
      <c r="B4796" s="15" t="str">
        <f t="shared" si="375"/>
        <v/>
      </c>
      <c r="M4796" s="9"/>
      <c r="N4796" s="9"/>
      <c r="P4796" s="14"/>
      <c r="Q4796" s="85"/>
      <c r="R4796" s="89"/>
      <c r="U4796" s="11" t="str">
        <f t="shared" si="373"/>
        <v/>
      </c>
      <c r="V4796" s="12" t="str">
        <f t="shared" si="374"/>
        <v/>
      </c>
      <c r="Z4796" s="15"/>
    </row>
    <row r="4797" spans="1:26" x14ac:dyDescent="0.25">
      <c r="A4797" s="15" t="str">
        <f>IF(C4797="","",COUNTA($C$3:C4797))</f>
        <v/>
      </c>
      <c r="B4797" s="15" t="str">
        <f t="shared" si="375"/>
        <v/>
      </c>
      <c r="M4797" s="9"/>
      <c r="N4797" s="9"/>
      <c r="P4797" s="14"/>
      <c r="Q4797" s="85"/>
      <c r="R4797" s="89"/>
      <c r="U4797" s="11" t="str">
        <f t="shared" si="373"/>
        <v/>
      </c>
      <c r="V4797" s="12" t="str">
        <f t="shared" si="374"/>
        <v/>
      </c>
      <c r="Z4797" s="15"/>
    </row>
    <row r="4798" spans="1:26" x14ac:dyDescent="0.25">
      <c r="A4798" s="15" t="str">
        <f>IF(C4798="","",COUNTA($C$3:C4798))</f>
        <v/>
      </c>
      <c r="B4798" s="15" t="str">
        <f t="shared" si="375"/>
        <v/>
      </c>
      <c r="M4798" s="9"/>
      <c r="N4798" s="9"/>
      <c r="P4798" s="14"/>
      <c r="Q4798" s="85"/>
      <c r="R4798" s="89"/>
      <c r="U4798" s="11" t="str">
        <f t="shared" si="373"/>
        <v/>
      </c>
      <c r="V4798" s="12" t="str">
        <f t="shared" si="374"/>
        <v/>
      </c>
      <c r="Z4798" s="15"/>
    </row>
    <row r="4799" spans="1:26" x14ac:dyDescent="0.25">
      <c r="A4799" s="15" t="str">
        <f>IF(C4799="","",COUNTA($C$3:C4799))</f>
        <v/>
      </c>
      <c r="B4799" s="15" t="str">
        <f t="shared" si="375"/>
        <v/>
      </c>
      <c r="M4799" s="9"/>
      <c r="N4799" s="9"/>
      <c r="P4799" s="14"/>
      <c r="Q4799" s="85"/>
      <c r="R4799" s="89"/>
      <c r="U4799" s="11" t="str">
        <f t="shared" si="373"/>
        <v/>
      </c>
      <c r="V4799" s="12" t="str">
        <f t="shared" si="374"/>
        <v/>
      </c>
      <c r="Z4799" s="15"/>
    </row>
    <row r="4800" spans="1:26" x14ac:dyDescent="0.25">
      <c r="A4800" s="15" t="str">
        <f>IF(C4800="","",COUNTA($C$3:C4800))</f>
        <v/>
      </c>
      <c r="B4800" s="15" t="str">
        <f t="shared" si="375"/>
        <v/>
      </c>
      <c r="M4800" s="9"/>
      <c r="N4800" s="9"/>
      <c r="P4800" s="14"/>
      <c r="Q4800" s="85"/>
      <c r="R4800" s="89"/>
      <c r="U4800" s="11" t="str">
        <f t="shared" si="373"/>
        <v/>
      </c>
      <c r="V4800" s="12" t="str">
        <f t="shared" si="374"/>
        <v/>
      </c>
      <c r="Z4800" s="15"/>
    </row>
    <row r="4801" spans="1:26" x14ac:dyDescent="0.25">
      <c r="A4801" s="15" t="str">
        <f>IF(C4801="","",COUNTA($C$3:C4801))</f>
        <v/>
      </c>
      <c r="B4801" s="15" t="str">
        <f t="shared" si="375"/>
        <v/>
      </c>
      <c r="M4801" s="9"/>
      <c r="N4801" s="9"/>
      <c r="P4801" s="14"/>
      <c r="Q4801" s="85"/>
      <c r="R4801" s="89"/>
      <c r="U4801" s="11" t="str">
        <f t="shared" si="373"/>
        <v/>
      </c>
      <c r="V4801" s="12" t="str">
        <f t="shared" si="374"/>
        <v/>
      </c>
      <c r="Z4801" s="15"/>
    </row>
    <row r="4802" spans="1:26" x14ac:dyDescent="0.25">
      <c r="A4802" s="15" t="str">
        <f>IF(C4802="","",COUNTA($C$3:C4802))</f>
        <v/>
      </c>
      <c r="B4802" s="15" t="str">
        <f t="shared" si="375"/>
        <v/>
      </c>
      <c r="M4802" s="9"/>
      <c r="N4802" s="9"/>
      <c r="P4802" s="14"/>
      <c r="Q4802" s="85"/>
      <c r="R4802" s="89"/>
      <c r="U4802" s="11" t="str">
        <f t="shared" ref="U4802:U4865" si="376">IF(S4802="","",(S4802-T4802))</f>
        <v/>
      </c>
      <c r="V4802" s="12" t="str">
        <f t="shared" ref="V4802:V4865" si="377">IF(U4802="","",(U4802/T4802))</f>
        <v/>
      </c>
      <c r="Z4802" s="15"/>
    </row>
    <row r="4803" spans="1:26" x14ac:dyDescent="0.25">
      <c r="A4803" s="15" t="str">
        <f>IF(C4803="","",COUNTA($C$3:C4803))</f>
        <v/>
      </c>
      <c r="B4803" s="15" t="str">
        <f t="shared" ref="B4803:B4866" si="378">IF(C4803="","",TEXT(C4803,"mmmm"))</f>
        <v/>
      </c>
      <c r="M4803" s="9"/>
      <c r="N4803" s="9"/>
      <c r="P4803" s="14"/>
      <c r="Q4803" s="85"/>
      <c r="R4803" s="89"/>
      <c r="U4803" s="11" t="str">
        <f t="shared" si="376"/>
        <v/>
      </c>
      <c r="V4803" s="12" t="str">
        <f t="shared" si="377"/>
        <v/>
      </c>
      <c r="Z4803" s="15"/>
    </row>
    <row r="4804" spans="1:26" x14ac:dyDescent="0.25">
      <c r="A4804" s="15" t="str">
        <f>IF(C4804="","",COUNTA($C$3:C4804))</f>
        <v/>
      </c>
      <c r="B4804" s="15" t="str">
        <f t="shared" si="378"/>
        <v/>
      </c>
      <c r="M4804" s="9"/>
      <c r="N4804" s="9"/>
      <c r="P4804" s="14"/>
      <c r="Q4804" s="85"/>
      <c r="R4804" s="89"/>
      <c r="U4804" s="11" t="str">
        <f t="shared" si="376"/>
        <v/>
      </c>
      <c r="V4804" s="12" t="str">
        <f t="shared" si="377"/>
        <v/>
      </c>
      <c r="Z4804" s="15"/>
    </row>
    <row r="4805" spans="1:26" x14ac:dyDescent="0.25">
      <c r="A4805" s="15" t="str">
        <f>IF(C4805="","",COUNTA($C$3:C4805))</f>
        <v/>
      </c>
      <c r="B4805" s="15" t="str">
        <f t="shared" si="378"/>
        <v/>
      </c>
      <c r="M4805" s="9"/>
      <c r="N4805" s="9"/>
      <c r="P4805" s="14"/>
      <c r="Q4805" s="85"/>
      <c r="R4805" s="89"/>
      <c r="U4805" s="11" t="str">
        <f t="shared" si="376"/>
        <v/>
      </c>
      <c r="V4805" s="12" t="str">
        <f t="shared" si="377"/>
        <v/>
      </c>
      <c r="Z4805" s="15"/>
    </row>
    <row r="4806" spans="1:26" x14ac:dyDescent="0.25">
      <c r="A4806" s="15" t="str">
        <f>IF(C4806="","",COUNTA($C$3:C4806))</f>
        <v/>
      </c>
      <c r="B4806" s="15" t="str">
        <f t="shared" si="378"/>
        <v/>
      </c>
      <c r="M4806" s="9"/>
      <c r="N4806" s="9"/>
      <c r="P4806" s="14"/>
      <c r="Q4806" s="85"/>
      <c r="R4806" s="89"/>
      <c r="U4806" s="11" t="str">
        <f t="shared" si="376"/>
        <v/>
      </c>
      <c r="V4806" s="12" t="str">
        <f t="shared" si="377"/>
        <v/>
      </c>
      <c r="Z4806" s="15"/>
    </row>
    <row r="4807" spans="1:26" x14ac:dyDescent="0.25">
      <c r="A4807" s="15" t="str">
        <f>IF(C4807="","",COUNTA($C$3:C4807))</f>
        <v/>
      </c>
      <c r="B4807" s="15" t="str">
        <f t="shared" si="378"/>
        <v/>
      </c>
      <c r="M4807" s="9"/>
      <c r="N4807" s="9"/>
      <c r="P4807" s="14"/>
      <c r="Q4807" s="85"/>
      <c r="R4807" s="89"/>
      <c r="U4807" s="11" t="str">
        <f t="shared" si="376"/>
        <v/>
      </c>
      <c r="V4807" s="12" t="str">
        <f t="shared" si="377"/>
        <v/>
      </c>
      <c r="Z4807" s="15"/>
    </row>
    <row r="4808" spans="1:26" x14ac:dyDescent="0.25">
      <c r="A4808" s="15" t="str">
        <f>IF(C4808="","",COUNTA($C$3:C4808))</f>
        <v/>
      </c>
      <c r="B4808" s="15" t="str">
        <f t="shared" si="378"/>
        <v/>
      </c>
      <c r="M4808" s="9"/>
      <c r="N4808" s="9"/>
      <c r="P4808" s="14"/>
      <c r="Q4808" s="85"/>
      <c r="R4808" s="89"/>
      <c r="U4808" s="11" t="str">
        <f t="shared" si="376"/>
        <v/>
      </c>
      <c r="V4808" s="12" t="str">
        <f t="shared" si="377"/>
        <v/>
      </c>
      <c r="Z4808" s="15"/>
    </row>
    <row r="4809" spans="1:26" x14ac:dyDescent="0.25">
      <c r="A4809" s="15" t="str">
        <f>IF(C4809="","",COUNTA($C$3:C4809))</f>
        <v/>
      </c>
      <c r="B4809" s="15" t="str">
        <f t="shared" si="378"/>
        <v/>
      </c>
      <c r="M4809" s="9"/>
      <c r="N4809" s="9"/>
      <c r="P4809" s="14"/>
      <c r="Q4809" s="85"/>
      <c r="R4809" s="89"/>
      <c r="U4809" s="11" t="str">
        <f t="shared" si="376"/>
        <v/>
      </c>
      <c r="V4809" s="12" t="str">
        <f t="shared" si="377"/>
        <v/>
      </c>
      <c r="Z4809" s="15"/>
    </row>
    <row r="4810" spans="1:26" x14ac:dyDescent="0.25">
      <c r="A4810" s="15" t="str">
        <f>IF(C4810="","",COUNTA($C$3:C4810))</f>
        <v/>
      </c>
      <c r="B4810" s="15" t="str">
        <f t="shared" si="378"/>
        <v/>
      </c>
      <c r="M4810" s="9"/>
      <c r="N4810" s="9"/>
      <c r="P4810" s="14"/>
      <c r="Q4810" s="85"/>
      <c r="R4810" s="89"/>
      <c r="U4810" s="11" t="str">
        <f t="shared" si="376"/>
        <v/>
      </c>
      <c r="V4810" s="12" t="str">
        <f t="shared" si="377"/>
        <v/>
      </c>
      <c r="Z4810" s="15"/>
    </row>
    <row r="4811" spans="1:26" x14ac:dyDescent="0.25">
      <c r="A4811" s="15" t="str">
        <f>IF(C4811="","",COUNTA($C$3:C4811))</f>
        <v/>
      </c>
      <c r="B4811" s="15" t="str">
        <f t="shared" si="378"/>
        <v/>
      </c>
      <c r="M4811" s="9"/>
      <c r="N4811" s="9"/>
      <c r="P4811" s="14"/>
      <c r="Q4811" s="85"/>
      <c r="R4811" s="89"/>
      <c r="U4811" s="11" t="str">
        <f t="shared" si="376"/>
        <v/>
      </c>
      <c r="V4811" s="12" t="str">
        <f t="shared" si="377"/>
        <v/>
      </c>
      <c r="Z4811" s="15"/>
    </row>
    <row r="4812" spans="1:26" x14ac:dyDescent="0.25">
      <c r="A4812" s="15" t="str">
        <f>IF(C4812="","",COUNTA($C$3:C4812))</f>
        <v/>
      </c>
      <c r="B4812" s="15" t="str">
        <f t="shared" si="378"/>
        <v/>
      </c>
      <c r="M4812" s="9"/>
      <c r="N4812" s="9"/>
      <c r="P4812" s="14"/>
      <c r="Q4812" s="85"/>
      <c r="R4812" s="89"/>
      <c r="U4812" s="11" t="str">
        <f t="shared" si="376"/>
        <v/>
      </c>
      <c r="V4812" s="12" t="str">
        <f t="shared" si="377"/>
        <v/>
      </c>
      <c r="Z4812" s="15"/>
    </row>
    <row r="4813" spans="1:26" x14ac:dyDescent="0.25">
      <c r="A4813" s="15" t="str">
        <f>IF(C4813="","",COUNTA($C$3:C4813))</f>
        <v/>
      </c>
      <c r="B4813" s="15" t="str">
        <f t="shared" si="378"/>
        <v/>
      </c>
      <c r="M4813" s="9"/>
      <c r="N4813" s="9"/>
      <c r="P4813" s="14"/>
      <c r="Q4813" s="85"/>
      <c r="R4813" s="89"/>
      <c r="U4813" s="11" t="str">
        <f t="shared" si="376"/>
        <v/>
      </c>
      <c r="V4813" s="12" t="str">
        <f t="shared" si="377"/>
        <v/>
      </c>
      <c r="Z4813" s="15"/>
    </row>
    <row r="4814" spans="1:26" x14ac:dyDescent="0.25">
      <c r="A4814" s="15" t="str">
        <f>IF(C4814="","",COUNTA($C$3:C4814))</f>
        <v/>
      </c>
      <c r="B4814" s="15" t="str">
        <f t="shared" si="378"/>
        <v/>
      </c>
      <c r="M4814" s="9"/>
      <c r="N4814" s="9"/>
      <c r="P4814" s="14"/>
      <c r="Q4814" s="85"/>
      <c r="R4814" s="89"/>
      <c r="U4814" s="11" t="str">
        <f t="shared" si="376"/>
        <v/>
      </c>
      <c r="V4814" s="12" t="str">
        <f t="shared" si="377"/>
        <v/>
      </c>
      <c r="Z4814" s="15"/>
    </row>
    <row r="4815" spans="1:26" x14ac:dyDescent="0.25">
      <c r="A4815" s="15" t="str">
        <f>IF(C4815="","",COUNTA($C$3:C4815))</f>
        <v/>
      </c>
      <c r="B4815" s="15" t="str">
        <f t="shared" si="378"/>
        <v/>
      </c>
      <c r="M4815" s="9"/>
      <c r="N4815" s="9"/>
      <c r="P4815" s="14"/>
      <c r="Q4815" s="85"/>
      <c r="R4815" s="89"/>
      <c r="U4815" s="11" t="str">
        <f t="shared" si="376"/>
        <v/>
      </c>
      <c r="V4815" s="12" t="str">
        <f t="shared" si="377"/>
        <v/>
      </c>
      <c r="Z4815" s="15"/>
    </row>
    <row r="4816" spans="1:26" x14ac:dyDescent="0.25">
      <c r="A4816" s="15" t="str">
        <f>IF(C4816="","",COUNTA($C$3:C4816))</f>
        <v/>
      </c>
      <c r="B4816" s="15" t="str">
        <f t="shared" si="378"/>
        <v/>
      </c>
      <c r="M4816" s="9"/>
      <c r="N4816" s="9"/>
      <c r="P4816" s="14"/>
      <c r="Q4816" s="85"/>
      <c r="R4816" s="89"/>
      <c r="U4816" s="11" t="str">
        <f t="shared" si="376"/>
        <v/>
      </c>
      <c r="V4816" s="12" t="str">
        <f t="shared" si="377"/>
        <v/>
      </c>
      <c r="Z4816" s="15"/>
    </row>
    <row r="4817" spans="1:26" x14ac:dyDescent="0.25">
      <c r="A4817" s="15" t="str">
        <f>IF(C4817="","",COUNTA($C$3:C4817))</f>
        <v/>
      </c>
      <c r="B4817" s="15" t="str">
        <f t="shared" si="378"/>
        <v/>
      </c>
      <c r="M4817" s="9"/>
      <c r="N4817" s="9"/>
      <c r="P4817" s="14"/>
      <c r="Q4817" s="85"/>
      <c r="R4817" s="89"/>
      <c r="U4817" s="11" t="str">
        <f t="shared" si="376"/>
        <v/>
      </c>
      <c r="V4817" s="12" t="str">
        <f t="shared" si="377"/>
        <v/>
      </c>
      <c r="Z4817" s="15"/>
    </row>
    <row r="4818" spans="1:26" x14ac:dyDescent="0.25">
      <c r="A4818" s="15" t="str">
        <f>IF(C4818="","",COUNTA($C$3:C4818))</f>
        <v/>
      </c>
      <c r="B4818" s="15" t="str">
        <f t="shared" si="378"/>
        <v/>
      </c>
      <c r="M4818" s="9"/>
      <c r="N4818" s="9"/>
      <c r="P4818" s="14"/>
      <c r="Q4818" s="85"/>
      <c r="R4818" s="89"/>
      <c r="U4818" s="11" t="str">
        <f t="shared" si="376"/>
        <v/>
      </c>
      <c r="V4818" s="12" t="str">
        <f t="shared" si="377"/>
        <v/>
      </c>
      <c r="Z4818" s="15"/>
    </row>
    <row r="4819" spans="1:26" x14ac:dyDescent="0.25">
      <c r="A4819" s="15" t="str">
        <f>IF(C4819="","",COUNTA($C$3:C4819))</f>
        <v/>
      </c>
      <c r="B4819" s="15" t="str">
        <f t="shared" si="378"/>
        <v/>
      </c>
      <c r="M4819" s="9"/>
      <c r="N4819" s="9"/>
      <c r="P4819" s="14"/>
      <c r="Q4819" s="85"/>
      <c r="R4819" s="89"/>
      <c r="U4819" s="11" t="str">
        <f t="shared" si="376"/>
        <v/>
      </c>
      <c r="V4819" s="12" t="str">
        <f t="shared" si="377"/>
        <v/>
      </c>
      <c r="Z4819" s="15"/>
    </row>
    <row r="4820" spans="1:26" x14ac:dyDescent="0.25">
      <c r="A4820" s="15" t="str">
        <f>IF(C4820="","",COUNTA($C$3:C4820))</f>
        <v/>
      </c>
      <c r="B4820" s="15" t="str">
        <f t="shared" si="378"/>
        <v/>
      </c>
      <c r="M4820" s="9"/>
      <c r="N4820" s="9"/>
      <c r="P4820" s="14"/>
      <c r="Q4820" s="85"/>
      <c r="R4820" s="89"/>
      <c r="U4820" s="11" t="str">
        <f t="shared" si="376"/>
        <v/>
      </c>
      <c r="V4820" s="12" t="str">
        <f t="shared" si="377"/>
        <v/>
      </c>
      <c r="Z4820" s="15"/>
    </row>
    <row r="4821" spans="1:26" x14ac:dyDescent="0.25">
      <c r="A4821" s="15" t="str">
        <f>IF(C4821="","",COUNTA($C$3:C4821))</f>
        <v/>
      </c>
      <c r="B4821" s="15" t="str">
        <f t="shared" si="378"/>
        <v/>
      </c>
      <c r="M4821" s="9"/>
      <c r="N4821" s="9"/>
      <c r="P4821" s="14"/>
      <c r="Q4821" s="85"/>
      <c r="R4821" s="89"/>
      <c r="U4821" s="11" t="str">
        <f t="shared" si="376"/>
        <v/>
      </c>
      <c r="V4821" s="12" t="str">
        <f t="shared" si="377"/>
        <v/>
      </c>
      <c r="Z4821" s="15"/>
    </row>
    <row r="4822" spans="1:26" x14ac:dyDescent="0.25">
      <c r="A4822" s="15" t="str">
        <f>IF(C4822="","",COUNTA($C$3:C4822))</f>
        <v/>
      </c>
      <c r="B4822" s="15" t="str">
        <f t="shared" si="378"/>
        <v/>
      </c>
      <c r="M4822" s="9"/>
      <c r="N4822" s="9"/>
      <c r="P4822" s="14"/>
      <c r="Q4822" s="85"/>
      <c r="R4822" s="89"/>
      <c r="U4822" s="11" t="str">
        <f t="shared" si="376"/>
        <v/>
      </c>
      <c r="V4822" s="12" t="str">
        <f t="shared" si="377"/>
        <v/>
      </c>
      <c r="Z4822" s="15"/>
    </row>
    <row r="4823" spans="1:26" x14ac:dyDescent="0.25">
      <c r="A4823" s="15" t="str">
        <f>IF(C4823="","",COUNTA($C$3:C4823))</f>
        <v/>
      </c>
      <c r="B4823" s="15" t="str">
        <f t="shared" si="378"/>
        <v/>
      </c>
      <c r="M4823" s="9"/>
      <c r="N4823" s="9"/>
      <c r="P4823" s="14"/>
      <c r="Q4823" s="85"/>
      <c r="R4823" s="89"/>
      <c r="U4823" s="11" t="str">
        <f t="shared" si="376"/>
        <v/>
      </c>
      <c r="V4823" s="12" t="str">
        <f t="shared" si="377"/>
        <v/>
      </c>
      <c r="Z4823" s="15"/>
    </row>
    <row r="4824" spans="1:26" x14ac:dyDescent="0.25">
      <c r="A4824" s="15" t="str">
        <f>IF(C4824="","",COUNTA($C$3:C4824))</f>
        <v/>
      </c>
      <c r="B4824" s="15" t="str">
        <f t="shared" si="378"/>
        <v/>
      </c>
      <c r="M4824" s="9"/>
      <c r="N4824" s="9"/>
      <c r="P4824" s="14"/>
      <c r="Q4824" s="85"/>
      <c r="R4824" s="89"/>
      <c r="U4824" s="11" t="str">
        <f t="shared" si="376"/>
        <v/>
      </c>
      <c r="V4824" s="12" t="str">
        <f t="shared" si="377"/>
        <v/>
      </c>
      <c r="Z4824" s="15"/>
    </row>
    <row r="4825" spans="1:26" x14ac:dyDescent="0.25">
      <c r="A4825" s="15" t="str">
        <f>IF(C4825="","",COUNTA($C$3:C4825))</f>
        <v/>
      </c>
      <c r="B4825" s="15" t="str">
        <f t="shared" si="378"/>
        <v/>
      </c>
      <c r="M4825" s="9"/>
      <c r="N4825" s="9"/>
      <c r="P4825" s="14"/>
      <c r="Q4825" s="85"/>
      <c r="R4825" s="89"/>
      <c r="U4825" s="11" t="str">
        <f t="shared" si="376"/>
        <v/>
      </c>
      <c r="V4825" s="12" t="str">
        <f t="shared" si="377"/>
        <v/>
      </c>
      <c r="Z4825" s="15"/>
    </row>
    <row r="4826" spans="1:26" x14ac:dyDescent="0.25">
      <c r="A4826" s="15" t="str">
        <f>IF(C4826="","",COUNTA($C$3:C4826))</f>
        <v/>
      </c>
      <c r="B4826" s="15" t="str">
        <f t="shared" si="378"/>
        <v/>
      </c>
      <c r="M4826" s="9"/>
      <c r="N4826" s="9"/>
      <c r="P4826" s="14"/>
      <c r="Q4826" s="85"/>
      <c r="R4826" s="89"/>
      <c r="U4826" s="11" t="str">
        <f t="shared" si="376"/>
        <v/>
      </c>
      <c r="V4826" s="12" t="str">
        <f t="shared" si="377"/>
        <v/>
      </c>
      <c r="Z4826" s="15"/>
    </row>
    <row r="4827" spans="1:26" x14ac:dyDescent="0.25">
      <c r="A4827" s="15" t="str">
        <f>IF(C4827="","",COUNTA($C$3:C4827))</f>
        <v/>
      </c>
      <c r="B4827" s="15" t="str">
        <f t="shared" si="378"/>
        <v/>
      </c>
      <c r="M4827" s="9"/>
      <c r="N4827" s="9"/>
      <c r="P4827" s="14"/>
      <c r="Q4827" s="85"/>
      <c r="R4827" s="89"/>
      <c r="U4827" s="11" t="str">
        <f t="shared" si="376"/>
        <v/>
      </c>
      <c r="V4827" s="12" t="str">
        <f t="shared" si="377"/>
        <v/>
      </c>
      <c r="Z4827" s="15"/>
    </row>
    <row r="4828" spans="1:26" x14ac:dyDescent="0.25">
      <c r="A4828" s="15" t="str">
        <f>IF(C4828="","",COUNTA($C$3:C4828))</f>
        <v/>
      </c>
      <c r="B4828" s="15" t="str">
        <f t="shared" si="378"/>
        <v/>
      </c>
      <c r="M4828" s="9"/>
      <c r="N4828" s="9"/>
      <c r="P4828" s="14"/>
      <c r="Q4828" s="85"/>
      <c r="R4828" s="89"/>
      <c r="U4828" s="11" t="str">
        <f t="shared" si="376"/>
        <v/>
      </c>
      <c r="V4828" s="12" t="str">
        <f t="shared" si="377"/>
        <v/>
      </c>
      <c r="Z4828" s="15"/>
    </row>
    <row r="4829" spans="1:26" x14ac:dyDescent="0.25">
      <c r="A4829" s="15" t="str">
        <f>IF(C4829="","",COUNTA($C$3:C4829))</f>
        <v/>
      </c>
      <c r="B4829" s="15" t="str">
        <f t="shared" si="378"/>
        <v/>
      </c>
      <c r="M4829" s="9"/>
      <c r="N4829" s="9"/>
      <c r="P4829" s="14"/>
      <c r="Q4829" s="85"/>
      <c r="R4829" s="89"/>
      <c r="U4829" s="11" t="str">
        <f t="shared" si="376"/>
        <v/>
      </c>
      <c r="V4829" s="12" t="str">
        <f t="shared" si="377"/>
        <v/>
      </c>
      <c r="Z4829" s="15"/>
    </row>
    <row r="4830" spans="1:26" x14ac:dyDescent="0.25">
      <c r="A4830" s="15" t="str">
        <f>IF(C4830="","",COUNTA($C$3:C4830))</f>
        <v/>
      </c>
      <c r="B4830" s="15" t="str">
        <f t="shared" si="378"/>
        <v/>
      </c>
      <c r="M4830" s="9"/>
      <c r="N4830" s="9"/>
      <c r="P4830" s="14"/>
      <c r="Q4830" s="85"/>
      <c r="R4830" s="89"/>
      <c r="U4830" s="11" t="str">
        <f t="shared" si="376"/>
        <v/>
      </c>
      <c r="V4830" s="12" t="str">
        <f t="shared" si="377"/>
        <v/>
      </c>
      <c r="Z4830" s="15"/>
    </row>
    <row r="4831" spans="1:26" x14ac:dyDescent="0.25">
      <c r="A4831" s="15" t="str">
        <f>IF(C4831="","",COUNTA($C$3:C4831))</f>
        <v/>
      </c>
      <c r="B4831" s="15" t="str">
        <f t="shared" si="378"/>
        <v/>
      </c>
      <c r="M4831" s="9"/>
      <c r="N4831" s="9"/>
      <c r="P4831" s="14"/>
      <c r="Q4831" s="85"/>
      <c r="R4831" s="89"/>
      <c r="U4831" s="11" t="str">
        <f t="shared" si="376"/>
        <v/>
      </c>
      <c r="V4831" s="12" t="str">
        <f t="shared" si="377"/>
        <v/>
      </c>
      <c r="Z4831" s="15"/>
    </row>
    <row r="4832" spans="1:26" x14ac:dyDescent="0.25">
      <c r="A4832" s="15" t="str">
        <f>IF(C4832="","",COUNTA($C$3:C4832))</f>
        <v/>
      </c>
      <c r="B4832" s="15" t="str">
        <f t="shared" si="378"/>
        <v/>
      </c>
      <c r="M4832" s="9"/>
      <c r="N4832" s="9"/>
      <c r="P4832" s="14"/>
      <c r="Q4832" s="85"/>
      <c r="R4832" s="89"/>
      <c r="U4832" s="11" t="str">
        <f t="shared" si="376"/>
        <v/>
      </c>
      <c r="V4832" s="12" t="str">
        <f t="shared" si="377"/>
        <v/>
      </c>
      <c r="Z4832" s="15"/>
    </row>
    <row r="4833" spans="1:26" x14ac:dyDescent="0.25">
      <c r="A4833" s="15" t="str">
        <f>IF(C4833="","",COUNTA($C$3:C4833))</f>
        <v/>
      </c>
      <c r="B4833" s="15" t="str">
        <f t="shared" si="378"/>
        <v/>
      </c>
      <c r="M4833" s="9"/>
      <c r="N4833" s="9"/>
      <c r="P4833" s="14"/>
      <c r="Q4833" s="85"/>
      <c r="R4833" s="89"/>
      <c r="U4833" s="11" t="str">
        <f t="shared" si="376"/>
        <v/>
      </c>
      <c r="V4833" s="12" t="str">
        <f t="shared" si="377"/>
        <v/>
      </c>
      <c r="Z4833" s="15"/>
    </row>
    <row r="4834" spans="1:26" x14ac:dyDescent="0.25">
      <c r="A4834" s="15" t="str">
        <f>IF(C4834="","",COUNTA($C$3:C4834))</f>
        <v/>
      </c>
      <c r="B4834" s="15" t="str">
        <f t="shared" si="378"/>
        <v/>
      </c>
      <c r="M4834" s="9"/>
      <c r="N4834" s="9"/>
      <c r="P4834" s="14"/>
      <c r="Q4834" s="85"/>
      <c r="R4834" s="89"/>
      <c r="U4834" s="11" t="str">
        <f t="shared" si="376"/>
        <v/>
      </c>
      <c r="V4834" s="12" t="str">
        <f t="shared" si="377"/>
        <v/>
      </c>
      <c r="Z4834" s="15"/>
    </row>
    <row r="4835" spans="1:26" x14ac:dyDescent="0.25">
      <c r="A4835" s="15" t="str">
        <f>IF(C4835="","",COUNTA($C$3:C4835))</f>
        <v/>
      </c>
      <c r="B4835" s="15" t="str">
        <f t="shared" si="378"/>
        <v/>
      </c>
      <c r="M4835" s="9"/>
      <c r="N4835" s="9"/>
      <c r="P4835" s="14"/>
      <c r="Q4835" s="85"/>
      <c r="R4835" s="89"/>
      <c r="U4835" s="11" t="str">
        <f t="shared" si="376"/>
        <v/>
      </c>
      <c r="V4835" s="12" t="str">
        <f t="shared" si="377"/>
        <v/>
      </c>
      <c r="Z4835" s="15"/>
    </row>
    <row r="4836" spans="1:26" x14ac:dyDescent="0.25">
      <c r="A4836" s="15" t="str">
        <f>IF(C4836="","",COUNTA($C$3:C4836))</f>
        <v/>
      </c>
      <c r="B4836" s="15" t="str">
        <f t="shared" si="378"/>
        <v/>
      </c>
      <c r="M4836" s="9"/>
      <c r="N4836" s="9"/>
      <c r="P4836" s="14"/>
      <c r="Q4836" s="85"/>
      <c r="R4836" s="89"/>
      <c r="U4836" s="11" t="str">
        <f t="shared" si="376"/>
        <v/>
      </c>
      <c r="V4836" s="12" t="str">
        <f t="shared" si="377"/>
        <v/>
      </c>
      <c r="Z4836" s="15"/>
    </row>
    <row r="4837" spans="1:26" x14ac:dyDescent="0.25">
      <c r="A4837" s="15" t="str">
        <f>IF(C4837="","",COUNTA($C$3:C4837))</f>
        <v/>
      </c>
      <c r="B4837" s="15" t="str">
        <f t="shared" si="378"/>
        <v/>
      </c>
      <c r="M4837" s="9"/>
      <c r="N4837" s="9"/>
      <c r="P4837" s="14"/>
      <c r="Q4837" s="85"/>
      <c r="R4837" s="89"/>
      <c r="U4837" s="11" t="str">
        <f t="shared" si="376"/>
        <v/>
      </c>
      <c r="V4837" s="12" t="str">
        <f t="shared" si="377"/>
        <v/>
      </c>
      <c r="Z4837" s="15"/>
    </row>
    <row r="4838" spans="1:26" x14ac:dyDescent="0.25">
      <c r="A4838" s="15" t="str">
        <f>IF(C4838="","",COUNTA($C$3:C4838))</f>
        <v/>
      </c>
      <c r="B4838" s="15" t="str">
        <f t="shared" si="378"/>
        <v/>
      </c>
      <c r="M4838" s="9"/>
      <c r="N4838" s="9"/>
      <c r="P4838" s="14"/>
      <c r="Q4838" s="85"/>
      <c r="R4838" s="89"/>
      <c r="U4838" s="11" t="str">
        <f t="shared" si="376"/>
        <v/>
      </c>
      <c r="V4838" s="12" t="str">
        <f t="shared" si="377"/>
        <v/>
      </c>
      <c r="Z4838" s="15"/>
    </row>
    <row r="4839" spans="1:26" x14ac:dyDescent="0.25">
      <c r="A4839" s="15" t="str">
        <f>IF(C4839="","",COUNTA($C$3:C4839))</f>
        <v/>
      </c>
      <c r="B4839" s="15" t="str">
        <f t="shared" si="378"/>
        <v/>
      </c>
      <c r="M4839" s="9"/>
      <c r="N4839" s="9"/>
      <c r="P4839" s="14"/>
      <c r="Q4839" s="85"/>
      <c r="R4839" s="89"/>
      <c r="U4839" s="11" t="str">
        <f t="shared" si="376"/>
        <v/>
      </c>
      <c r="V4839" s="12" t="str">
        <f t="shared" si="377"/>
        <v/>
      </c>
      <c r="Z4839" s="15"/>
    </row>
    <row r="4840" spans="1:26" x14ac:dyDescent="0.25">
      <c r="A4840" s="15" t="str">
        <f>IF(C4840="","",COUNTA($C$3:C4840))</f>
        <v/>
      </c>
      <c r="B4840" s="15" t="str">
        <f t="shared" si="378"/>
        <v/>
      </c>
      <c r="M4840" s="9"/>
      <c r="N4840" s="9"/>
      <c r="P4840" s="14"/>
      <c r="Q4840" s="85"/>
      <c r="R4840" s="89"/>
      <c r="U4840" s="11" t="str">
        <f t="shared" si="376"/>
        <v/>
      </c>
      <c r="V4840" s="12" t="str">
        <f t="shared" si="377"/>
        <v/>
      </c>
      <c r="Z4840" s="15"/>
    </row>
    <row r="4841" spans="1:26" x14ac:dyDescent="0.25">
      <c r="A4841" s="15" t="str">
        <f>IF(C4841="","",COUNTA($C$3:C4841))</f>
        <v/>
      </c>
      <c r="B4841" s="15" t="str">
        <f t="shared" si="378"/>
        <v/>
      </c>
      <c r="M4841" s="9"/>
      <c r="N4841" s="9"/>
      <c r="P4841" s="14"/>
      <c r="Q4841" s="85"/>
      <c r="R4841" s="89"/>
      <c r="U4841" s="11" t="str">
        <f t="shared" si="376"/>
        <v/>
      </c>
      <c r="V4841" s="12" t="str">
        <f t="shared" si="377"/>
        <v/>
      </c>
      <c r="Z4841" s="15"/>
    </row>
    <row r="4842" spans="1:26" x14ac:dyDescent="0.25">
      <c r="A4842" s="15" t="str">
        <f>IF(C4842="","",COUNTA($C$3:C4842))</f>
        <v/>
      </c>
      <c r="B4842" s="15" t="str">
        <f t="shared" si="378"/>
        <v/>
      </c>
      <c r="M4842" s="9"/>
      <c r="N4842" s="9"/>
      <c r="P4842" s="14"/>
      <c r="Q4842" s="85"/>
      <c r="R4842" s="89"/>
      <c r="U4842" s="11" t="str">
        <f t="shared" si="376"/>
        <v/>
      </c>
      <c r="V4842" s="12" t="str">
        <f t="shared" si="377"/>
        <v/>
      </c>
      <c r="Z4842" s="15"/>
    </row>
    <row r="4843" spans="1:26" x14ac:dyDescent="0.25">
      <c r="A4843" s="15" t="str">
        <f>IF(C4843="","",COUNTA($C$3:C4843))</f>
        <v/>
      </c>
      <c r="B4843" s="15" t="str">
        <f t="shared" si="378"/>
        <v/>
      </c>
      <c r="M4843" s="9"/>
      <c r="N4843" s="9"/>
      <c r="P4843" s="14"/>
      <c r="Q4843" s="85"/>
      <c r="R4843" s="89"/>
      <c r="U4843" s="11" t="str">
        <f t="shared" si="376"/>
        <v/>
      </c>
      <c r="V4843" s="12" t="str">
        <f t="shared" si="377"/>
        <v/>
      </c>
      <c r="Z4843" s="15"/>
    </row>
    <row r="4844" spans="1:26" x14ac:dyDescent="0.25">
      <c r="A4844" s="15" t="str">
        <f>IF(C4844="","",COUNTA($C$3:C4844))</f>
        <v/>
      </c>
      <c r="B4844" s="15" t="str">
        <f t="shared" si="378"/>
        <v/>
      </c>
      <c r="M4844" s="9"/>
      <c r="N4844" s="9"/>
      <c r="P4844" s="14"/>
      <c r="Q4844" s="85"/>
      <c r="R4844" s="89"/>
      <c r="U4844" s="11" t="str">
        <f t="shared" si="376"/>
        <v/>
      </c>
      <c r="V4844" s="12" t="str">
        <f t="shared" si="377"/>
        <v/>
      </c>
      <c r="Z4844" s="15"/>
    </row>
    <row r="4845" spans="1:26" x14ac:dyDescent="0.25">
      <c r="A4845" s="15" t="str">
        <f>IF(C4845="","",COUNTA($C$3:C4845))</f>
        <v/>
      </c>
      <c r="B4845" s="15" t="str">
        <f t="shared" si="378"/>
        <v/>
      </c>
      <c r="M4845" s="9"/>
      <c r="N4845" s="9"/>
      <c r="P4845" s="14"/>
      <c r="Q4845" s="85"/>
      <c r="R4845" s="89"/>
      <c r="U4845" s="11" t="str">
        <f t="shared" si="376"/>
        <v/>
      </c>
      <c r="V4845" s="12" t="str">
        <f t="shared" si="377"/>
        <v/>
      </c>
      <c r="Z4845" s="15"/>
    </row>
    <row r="4846" spans="1:26" x14ac:dyDescent="0.25">
      <c r="A4846" s="15" t="str">
        <f>IF(C4846="","",COUNTA($C$3:C4846))</f>
        <v/>
      </c>
      <c r="B4846" s="15" t="str">
        <f t="shared" si="378"/>
        <v/>
      </c>
      <c r="M4846" s="9"/>
      <c r="N4846" s="9"/>
      <c r="P4846" s="14"/>
      <c r="Q4846" s="85"/>
      <c r="R4846" s="89"/>
      <c r="U4846" s="11" t="str">
        <f t="shared" si="376"/>
        <v/>
      </c>
      <c r="V4846" s="12" t="str">
        <f t="shared" si="377"/>
        <v/>
      </c>
      <c r="Z4846" s="15"/>
    </row>
    <row r="4847" spans="1:26" x14ac:dyDescent="0.25">
      <c r="A4847" s="15" t="str">
        <f>IF(C4847="","",COUNTA($C$3:C4847))</f>
        <v/>
      </c>
      <c r="B4847" s="15" t="str">
        <f t="shared" si="378"/>
        <v/>
      </c>
      <c r="M4847" s="9"/>
      <c r="N4847" s="9"/>
      <c r="P4847" s="14"/>
      <c r="Q4847" s="85"/>
      <c r="R4847" s="89"/>
      <c r="U4847" s="11" t="str">
        <f t="shared" si="376"/>
        <v/>
      </c>
      <c r="V4847" s="12" t="str">
        <f t="shared" si="377"/>
        <v/>
      </c>
      <c r="Z4847" s="15"/>
    </row>
    <row r="4848" spans="1:26" x14ac:dyDescent="0.25">
      <c r="A4848" s="15" t="str">
        <f>IF(C4848="","",COUNTA($C$3:C4848))</f>
        <v/>
      </c>
      <c r="B4848" s="15" t="str">
        <f t="shared" si="378"/>
        <v/>
      </c>
      <c r="M4848" s="9"/>
      <c r="N4848" s="9"/>
      <c r="P4848" s="14"/>
      <c r="Q4848" s="85"/>
      <c r="R4848" s="89"/>
      <c r="U4848" s="11" t="str">
        <f t="shared" si="376"/>
        <v/>
      </c>
      <c r="V4848" s="12" t="str">
        <f t="shared" si="377"/>
        <v/>
      </c>
      <c r="Z4848" s="15"/>
    </row>
    <row r="4849" spans="1:26" x14ac:dyDescent="0.25">
      <c r="A4849" s="15" t="str">
        <f>IF(C4849="","",COUNTA($C$3:C4849))</f>
        <v/>
      </c>
      <c r="B4849" s="15" t="str">
        <f t="shared" si="378"/>
        <v/>
      </c>
      <c r="M4849" s="9"/>
      <c r="N4849" s="9"/>
      <c r="P4849" s="14"/>
      <c r="Q4849" s="85"/>
      <c r="R4849" s="89"/>
      <c r="U4849" s="11" t="str">
        <f t="shared" si="376"/>
        <v/>
      </c>
      <c r="V4849" s="12" t="str">
        <f t="shared" si="377"/>
        <v/>
      </c>
      <c r="Z4849" s="15"/>
    </row>
    <row r="4850" spans="1:26" x14ac:dyDescent="0.25">
      <c r="A4850" s="15" t="str">
        <f>IF(C4850="","",COUNTA($C$3:C4850))</f>
        <v/>
      </c>
      <c r="B4850" s="15" t="str">
        <f t="shared" si="378"/>
        <v/>
      </c>
      <c r="M4850" s="9"/>
      <c r="N4850" s="9"/>
      <c r="P4850" s="14"/>
      <c r="Q4850" s="85"/>
      <c r="R4850" s="89"/>
      <c r="U4850" s="11" t="str">
        <f t="shared" si="376"/>
        <v/>
      </c>
      <c r="V4850" s="12" t="str">
        <f t="shared" si="377"/>
        <v/>
      </c>
      <c r="Z4850" s="15"/>
    </row>
    <row r="4851" spans="1:26" x14ac:dyDescent="0.25">
      <c r="A4851" s="15" t="str">
        <f>IF(C4851="","",COUNTA($C$3:C4851))</f>
        <v/>
      </c>
      <c r="B4851" s="15" t="str">
        <f t="shared" si="378"/>
        <v/>
      </c>
      <c r="M4851" s="9"/>
      <c r="N4851" s="9"/>
      <c r="P4851" s="14"/>
      <c r="Q4851" s="85"/>
      <c r="R4851" s="89"/>
      <c r="U4851" s="11" t="str">
        <f t="shared" si="376"/>
        <v/>
      </c>
      <c r="V4851" s="12" t="str">
        <f t="shared" si="377"/>
        <v/>
      </c>
      <c r="Z4851" s="15"/>
    </row>
    <row r="4852" spans="1:26" x14ac:dyDescent="0.25">
      <c r="A4852" s="15" t="str">
        <f>IF(C4852="","",COUNTA($C$3:C4852))</f>
        <v/>
      </c>
      <c r="B4852" s="15" t="str">
        <f t="shared" si="378"/>
        <v/>
      </c>
      <c r="M4852" s="9"/>
      <c r="N4852" s="9"/>
      <c r="P4852" s="14"/>
      <c r="Q4852" s="85"/>
      <c r="R4852" s="89"/>
      <c r="U4852" s="11" t="str">
        <f t="shared" si="376"/>
        <v/>
      </c>
      <c r="V4852" s="12" t="str">
        <f t="shared" si="377"/>
        <v/>
      </c>
      <c r="Z4852" s="15"/>
    </row>
    <row r="4853" spans="1:26" x14ac:dyDescent="0.25">
      <c r="A4853" s="15" t="str">
        <f>IF(C4853="","",COUNTA($C$3:C4853))</f>
        <v/>
      </c>
      <c r="B4853" s="15" t="str">
        <f t="shared" si="378"/>
        <v/>
      </c>
      <c r="M4853" s="9"/>
      <c r="N4853" s="9"/>
      <c r="P4853" s="14"/>
      <c r="Q4853" s="85"/>
      <c r="R4853" s="89"/>
      <c r="U4853" s="11" t="str">
        <f t="shared" si="376"/>
        <v/>
      </c>
      <c r="V4853" s="12" t="str">
        <f t="shared" si="377"/>
        <v/>
      </c>
      <c r="Z4853" s="15"/>
    </row>
    <row r="4854" spans="1:26" x14ac:dyDescent="0.25">
      <c r="A4854" s="15" t="str">
        <f>IF(C4854="","",COUNTA($C$3:C4854))</f>
        <v/>
      </c>
      <c r="B4854" s="15" t="str">
        <f t="shared" si="378"/>
        <v/>
      </c>
      <c r="M4854" s="9"/>
      <c r="N4854" s="9"/>
      <c r="P4854" s="14"/>
      <c r="Q4854" s="85"/>
      <c r="R4854" s="89"/>
      <c r="U4854" s="11" t="str">
        <f t="shared" si="376"/>
        <v/>
      </c>
      <c r="V4854" s="12" t="str">
        <f t="shared" si="377"/>
        <v/>
      </c>
      <c r="Z4854" s="15"/>
    </row>
    <row r="4855" spans="1:26" x14ac:dyDescent="0.25">
      <c r="A4855" s="15" t="str">
        <f>IF(C4855="","",COUNTA($C$3:C4855))</f>
        <v/>
      </c>
      <c r="B4855" s="15" t="str">
        <f t="shared" si="378"/>
        <v/>
      </c>
      <c r="M4855" s="9"/>
      <c r="N4855" s="9"/>
      <c r="P4855" s="14"/>
      <c r="Q4855" s="85"/>
      <c r="R4855" s="89"/>
      <c r="U4855" s="11" t="str">
        <f t="shared" si="376"/>
        <v/>
      </c>
      <c r="V4855" s="12" t="str">
        <f t="shared" si="377"/>
        <v/>
      </c>
      <c r="Z4855" s="15"/>
    </row>
    <row r="4856" spans="1:26" x14ac:dyDescent="0.25">
      <c r="A4856" s="15" t="str">
        <f>IF(C4856="","",COUNTA($C$3:C4856))</f>
        <v/>
      </c>
      <c r="B4856" s="15" t="str">
        <f t="shared" si="378"/>
        <v/>
      </c>
      <c r="M4856" s="9"/>
      <c r="N4856" s="9"/>
      <c r="P4856" s="14"/>
      <c r="Q4856" s="85"/>
      <c r="R4856" s="89"/>
      <c r="U4856" s="11" t="str">
        <f t="shared" si="376"/>
        <v/>
      </c>
      <c r="V4856" s="12" t="str">
        <f t="shared" si="377"/>
        <v/>
      </c>
      <c r="Z4856" s="15"/>
    </row>
    <row r="4857" spans="1:26" x14ac:dyDescent="0.25">
      <c r="A4857" s="15" t="str">
        <f>IF(C4857="","",COUNTA($C$3:C4857))</f>
        <v/>
      </c>
      <c r="B4857" s="15" t="str">
        <f t="shared" si="378"/>
        <v/>
      </c>
      <c r="M4857" s="9"/>
      <c r="N4857" s="9"/>
      <c r="P4857" s="14"/>
      <c r="Q4857" s="85"/>
      <c r="R4857" s="89"/>
      <c r="U4857" s="11" t="str">
        <f t="shared" si="376"/>
        <v/>
      </c>
      <c r="V4857" s="12" t="str">
        <f t="shared" si="377"/>
        <v/>
      </c>
      <c r="Z4857" s="15"/>
    </row>
    <row r="4858" spans="1:26" x14ac:dyDescent="0.25">
      <c r="A4858" s="15" t="str">
        <f>IF(C4858="","",COUNTA($C$3:C4858))</f>
        <v/>
      </c>
      <c r="B4858" s="15" t="str">
        <f t="shared" si="378"/>
        <v/>
      </c>
      <c r="M4858" s="9"/>
      <c r="N4858" s="9"/>
      <c r="P4858" s="14"/>
      <c r="Q4858" s="85"/>
      <c r="R4858" s="89"/>
      <c r="U4858" s="11" t="str">
        <f t="shared" si="376"/>
        <v/>
      </c>
      <c r="V4858" s="12" t="str">
        <f t="shared" si="377"/>
        <v/>
      </c>
      <c r="Z4858" s="15"/>
    </row>
    <row r="4859" spans="1:26" x14ac:dyDescent="0.25">
      <c r="A4859" s="15" t="str">
        <f>IF(C4859="","",COUNTA($C$3:C4859))</f>
        <v/>
      </c>
      <c r="B4859" s="15" t="str">
        <f t="shared" si="378"/>
        <v/>
      </c>
      <c r="M4859" s="9"/>
      <c r="N4859" s="9"/>
      <c r="P4859" s="14"/>
      <c r="Q4859" s="85"/>
      <c r="R4859" s="89"/>
      <c r="U4859" s="11" t="str">
        <f t="shared" si="376"/>
        <v/>
      </c>
      <c r="V4859" s="12" t="str">
        <f t="shared" si="377"/>
        <v/>
      </c>
      <c r="Z4859" s="15"/>
    </row>
    <row r="4860" spans="1:26" x14ac:dyDescent="0.25">
      <c r="A4860" s="15" t="str">
        <f>IF(C4860="","",COUNTA($C$3:C4860))</f>
        <v/>
      </c>
      <c r="B4860" s="15" t="str">
        <f t="shared" si="378"/>
        <v/>
      </c>
      <c r="M4860" s="9"/>
      <c r="N4860" s="9"/>
      <c r="P4860" s="14"/>
      <c r="Q4860" s="85"/>
      <c r="R4860" s="89"/>
      <c r="U4860" s="11" t="str">
        <f t="shared" si="376"/>
        <v/>
      </c>
      <c r="V4860" s="12" t="str">
        <f t="shared" si="377"/>
        <v/>
      </c>
      <c r="Z4860" s="15"/>
    </row>
    <row r="4861" spans="1:26" x14ac:dyDescent="0.25">
      <c r="A4861" s="15" t="str">
        <f>IF(C4861="","",COUNTA($C$3:C4861))</f>
        <v/>
      </c>
      <c r="B4861" s="15" t="str">
        <f t="shared" si="378"/>
        <v/>
      </c>
      <c r="M4861" s="9"/>
      <c r="N4861" s="9"/>
      <c r="P4861" s="14"/>
      <c r="Q4861" s="85"/>
      <c r="R4861" s="89"/>
      <c r="U4861" s="11" t="str">
        <f t="shared" si="376"/>
        <v/>
      </c>
      <c r="V4861" s="12" t="str">
        <f t="shared" si="377"/>
        <v/>
      </c>
      <c r="Z4861" s="15"/>
    </row>
    <row r="4862" spans="1:26" x14ac:dyDescent="0.25">
      <c r="A4862" s="15" t="str">
        <f>IF(C4862="","",COUNTA($C$3:C4862))</f>
        <v/>
      </c>
      <c r="B4862" s="15" t="str">
        <f t="shared" si="378"/>
        <v/>
      </c>
      <c r="M4862" s="9"/>
      <c r="N4862" s="9"/>
      <c r="P4862" s="14"/>
      <c r="Q4862" s="85"/>
      <c r="R4862" s="89"/>
      <c r="U4862" s="11" t="str">
        <f t="shared" si="376"/>
        <v/>
      </c>
      <c r="V4862" s="12" t="str">
        <f t="shared" si="377"/>
        <v/>
      </c>
      <c r="Z4862" s="15"/>
    </row>
    <row r="4863" spans="1:26" x14ac:dyDescent="0.25">
      <c r="A4863" s="15" t="str">
        <f>IF(C4863="","",COUNTA($C$3:C4863))</f>
        <v/>
      </c>
      <c r="B4863" s="15" t="str">
        <f t="shared" si="378"/>
        <v/>
      </c>
      <c r="M4863" s="9"/>
      <c r="N4863" s="9"/>
      <c r="P4863" s="14"/>
      <c r="Q4863" s="85"/>
      <c r="R4863" s="89"/>
      <c r="U4863" s="11" t="str">
        <f t="shared" si="376"/>
        <v/>
      </c>
      <c r="V4863" s="12" t="str">
        <f t="shared" si="377"/>
        <v/>
      </c>
      <c r="Z4863" s="15"/>
    </row>
    <row r="4864" spans="1:26" x14ac:dyDescent="0.25">
      <c r="A4864" s="15" t="str">
        <f>IF(C4864="","",COUNTA($C$3:C4864))</f>
        <v/>
      </c>
      <c r="B4864" s="15" t="str">
        <f t="shared" si="378"/>
        <v/>
      </c>
      <c r="M4864" s="9"/>
      <c r="N4864" s="9"/>
      <c r="P4864" s="14"/>
      <c r="Q4864" s="85"/>
      <c r="R4864" s="89"/>
      <c r="U4864" s="11" t="str">
        <f t="shared" si="376"/>
        <v/>
      </c>
      <c r="V4864" s="12" t="str">
        <f t="shared" si="377"/>
        <v/>
      </c>
      <c r="Z4864" s="15"/>
    </row>
    <row r="4865" spans="1:26" x14ac:dyDescent="0.25">
      <c r="A4865" s="15" t="str">
        <f>IF(C4865="","",COUNTA($C$3:C4865))</f>
        <v/>
      </c>
      <c r="B4865" s="15" t="str">
        <f t="shared" si="378"/>
        <v/>
      </c>
      <c r="M4865" s="9"/>
      <c r="N4865" s="9"/>
      <c r="P4865" s="14"/>
      <c r="Q4865" s="85"/>
      <c r="R4865" s="89"/>
      <c r="U4865" s="11" t="str">
        <f t="shared" si="376"/>
        <v/>
      </c>
      <c r="V4865" s="12" t="str">
        <f t="shared" si="377"/>
        <v/>
      </c>
      <c r="Z4865" s="15"/>
    </row>
    <row r="4866" spans="1:26" x14ac:dyDescent="0.25">
      <c r="A4866" s="15" t="str">
        <f>IF(C4866="","",COUNTA($C$3:C4866))</f>
        <v/>
      </c>
      <c r="B4866" s="15" t="str">
        <f t="shared" si="378"/>
        <v/>
      </c>
      <c r="M4866" s="9"/>
      <c r="N4866" s="9"/>
      <c r="P4866" s="14"/>
      <c r="Q4866" s="85"/>
      <c r="R4866" s="89"/>
      <c r="U4866" s="11" t="str">
        <f t="shared" ref="U4866:U4929" si="379">IF(S4866="","",(S4866-T4866))</f>
        <v/>
      </c>
      <c r="V4866" s="12" t="str">
        <f t="shared" ref="V4866:V4929" si="380">IF(U4866="","",(U4866/T4866))</f>
        <v/>
      </c>
      <c r="Z4866" s="15"/>
    </row>
    <row r="4867" spans="1:26" x14ac:dyDescent="0.25">
      <c r="A4867" s="15" t="str">
        <f>IF(C4867="","",COUNTA($C$3:C4867))</f>
        <v/>
      </c>
      <c r="B4867" s="15" t="str">
        <f t="shared" ref="B4867:B4930" si="381">IF(C4867="","",TEXT(C4867,"mmmm"))</f>
        <v/>
      </c>
      <c r="M4867" s="9"/>
      <c r="N4867" s="9"/>
      <c r="P4867" s="14"/>
      <c r="Q4867" s="85"/>
      <c r="R4867" s="89"/>
      <c r="U4867" s="11" t="str">
        <f t="shared" si="379"/>
        <v/>
      </c>
      <c r="V4867" s="12" t="str">
        <f t="shared" si="380"/>
        <v/>
      </c>
      <c r="Z4867" s="15"/>
    </row>
    <row r="4868" spans="1:26" x14ac:dyDescent="0.25">
      <c r="A4868" s="15" t="str">
        <f>IF(C4868="","",COUNTA($C$3:C4868))</f>
        <v/>
      </c>
      <c r="B4868" s="15" t="str">
        <f t="shared" si="381"/>
        <v/>
      </c>
      <c r="M4868" s="9"/>
      <c r="N4868" s="9"/>
      <c r="P4868" s="14"/>
      <c r="Q4868" s="85"/>
      <c r="R4868" s="89"/>
      <c r="U4868" s="11" t="str">
        <f t="shared" si="379"/>
        <v/>
      </c>
      <c r="V4868" s="12" t="str">
        <f t="shared" si="380"/>
        <v/>
      </c>
      <c r="Z4868" s="15"/>
    </row>
    <row r="4869" spans="1:26" x14ac:dyDescent="0.25">
      <c r="A4869" s="15" t="str">
        <f>IF(C4869="","",COUNTA($C$3:C4869))</f>
        <v/>
      </c>
      <c r="B4869" s="15" t="str">
        <f t="shared" si="381"/>
        <v/>
      </c>
      <c r="M4869" s="9"/>
      <c r="N4869" s="9"/>
      <c r="P4869" s="14"/>
      <c r="Q4869" s="85"/>
      <c r="R4869" s="89"/>
      <c r="U4869" s="11" t="str">
        <f t="shared" si="379"/>
        <v/>
      </c>
      <c r="V4869" s="12" t="str">
        <f t="shared" si="380"/>
        <v/>
      </c>
      <c r="Z4869" s="15"/>
    </row>
    <row r="4870" spans="1:26" x14ac:dyDescent="0.25">
      <c r="A4870" s="15" t="str">
        <f>IF(C4870="","",COUNTA($C$3:C4870))</f>
        <v/>
      </c>
      <c r="B4870" s="15" t="str">
        <f t="shared" si="381"/>
        <v/>
      </c>
      <c r="M4870" s="9"/>
      <c r="N4870" s="9"/>
      <c r="P4870" s="14"/>
      <c r="Q4870" s="85"/>
      <c r="R4870" s="89"/>
      <c r="U4870" s="11" t="str">
        <f t="shared" si="379"/>
        <v/>
      </c>
      <c r="V4870" s="12" t="str">
        <f t="shared" si="380"/>
        <v/>
      </c>
      <c r="Z4870" s="15"/>
    </row>
    <row r="4871" spans="1:26" x14ac:dyDescent="0.25">
      <c r="A4871" s="15" t="str">
        <f>IF(C4871="","",COUNTA($C$3:C4871))</f>
        <v/>
      </c>
      <c r="B4871" s="15" t="str">
        <f t="shared" si="381"/>
        <v/>
      </c>
      <c r="M4871" s="9"/>
      <c r="N4871" s="9"/>
      <c r="P4871" s="14"/>
      <c r="Q4871" s="85"/>
      <c r="R4871" s="89"/>
      <c r="U4871" s="11" t="str">
        <f t="shared" si="379"/>
        <v/>
      </c>
      <c r="V4871" s="12" t="str">
        <f t="shared" si="380"/>
        <v/>
      </c>
      <c r="Z4871" s="15"/>
    </row>
    <row r="4872" spans="1:26" x14ac:dyDescent="0.25">
      <c r="A4872" s="15" t="str">
        <f>IF(C4872="","",COUNTA($C$3:C4872))</f>
        <v/>
      </c>
      <c r="B4872" s="15" t="str">
        <f t="shared" si="381"/>
        <v/>
      </c>
      <c r="M4872" s="9"/>
      <c r="N4872" s="9"/>
      <c r="P4872" s="14"/>
      <c r="Q4872" s="85"/>
      <c r="R4872" s="89"/>
      <c r="U4872" s="11" t="str">
        <f t="shared" si="379"/>
        <v/>
      </c>
      <c r="V4872" s="12" t="str">
        <f t="shared" si="380"/>
        <v/>
      </c>
      <c r="Z4872" s="15"/>
    </row>
    <row r="4873" spans="1:26" x14ac:dyDescent="0.25">
      <c r="A4873" s="15" t="str">
        <f>IF(C4873="","",COUNTA($C$3:C4873))</f>
        <v/>
      </c>
      <c r="B4873" s="15" t="str">
        <f t="shared" si="381"/>
        <v/>
      </c>
      <c r="M4873" s="9"/>
      <c r="N4873" s="9"/>
      <c r="P4873" s="14"/>
      <c r="Q4873" s="85"/>
      <c r="R4873" s="89"/>
      <c r="U4873" s="11" t="str">
        <f t="shared" si="379"/>
        <v/>
      </c>
      <c r="V4873" s="12" t="str">
        <f t="shared" si="380"/>
        <v/>
      </c>
      <c r="Z4873" s="15"/>
    </row>
    <row r="4874" spans="1:26" x14ac:dyDescent="0.25">
      <c r="A4874" s="15" t="str">
        <f>IF(C4874="","",COUNTA($C$3:C4874))</f>
        <v/>
      </c>
      <c r="B4874" s="15" t="str">
        <f t="shared" si="381"/>
        <v/>
      </c>
      <c r="M4874" s="9"/>
      <c r="N4874" s="9"/>
      <c r="P4874" s="14"/>
      <c r="Q4874" s="85"/>
      <c r="R4874" s="89"/>
      <c r="U4874" s="11" t="str">
        <f t="shared" si="379"/>
        <v/>
      </c>
      <c r="V4874" s="12" t="str">
        <f t="shared" si="380"/>
        <v/>
      </c>
      <c r="Z4874" s="15"/>
    </row>
    <row r="4875" spans="1:26" x14ac:dyDescent="0.25">
      <c r="A4875" s="15" t="str">
        <f>IF(C4875="","",COUNTA($C$3:C4875))</f>
        <v/>
      </c>
      <c r="B4875" s="15" t="str">
        <f t="shared" si="381"/>
        <v/>
      </c>
      <c r="M4875" s="9"/>
      <c r="N4875" s="9"/>
      <c r="P4875" s="14"/>
      <c r="Q4875" s="85"/>
      <c r="R4875" s="89"/>
      <c r="U4875" s="11" t="str">
        <f t="shared" si="379"/>
        <v/>
      </c>
      <c r="V4875" s="12" t="str">
        <f t="shared" si="380"/>
        <v/>
      </c>
      <c r="Z4875" s="15"/>
    </row>
    <row r="4876" spans="1:26" x14ac:dyDescent="0.25">
      <c r="A4876" s="15" t="str">
        <f>IF(C4876="","",COUNTA($C$3:C4876))</f>
        <v/>
      </c>
      <c r="B4876" s="15" t="str">
        <f t="shared" si="381"/>
        <v/>
      </c>
      <c r="M4876" s="9"/>
      <c r="N4876" s="9"/>
      <c r="P4876" s="14"/>
      <c r="Q4876" s="85"/>
      <c r="R4876" s="89"/>
      <c r="U4876" s="11" t="str">
        <f t="shared" si="379"/>
        <v/>
      </c>
      <c r="V4876" s="12" t="str">
        <f t="shared" si="380"/>
        <v/>
      </c>
      <c r="Z4876" s="15"/>
    </row>
    <row r="4877" spans="1:26" x14ac:dyDescent="0.25">
      <c r="A4877" s="15" t="str">
        <f>IF(C4877="","",COUNTA($C$3:C4877))</f>
        <v/>
      </c>
      <c r="B4877" s="15" t="str">
        <f t="shared" si="381"/>
        <v/>
      </c>
      <c r="M4877" s="9"/>
      <c r="N4877" s="9"/>
      <c r="P4877" s="14"/>
      <c r="Q4877" s="85"/>
      <c r="R4877" s="89"/>
      <c r="U4877" s="11" t="str">
        <f t="shared" si="379"/>
        <v/>
      </c>
      <c r="V4877" s="12" t="str">
        <f t="shared" si="380"/>
        <v/>
      </c>
      <c r="Z4877" s="15"/>
    </row>
    <row r="4878" spans="1:26" x14ac:dyDescent="0.25">
      <c r="A4878" s="15" t="str">
        <f>IF(C4878="","",COUNTA($C$3:C4878))</f>
        <v/>
      </c>
      <c r="B4878" s="15" t="str">
        <f t="shared" si="381"/>
        <v/>
      </c>
      <c r="M4878" s="9"/>
      <c r="N4878" s="9"/>
      <c r="P4878" s="14"/>
      <c r="Q4878" s="85"/>
      <c r="R4878" s="89"/>
      <c r="U4878" s="11" t="str">
        <f t="shared" si="379"/>
        <v/>
      </c>
      <c r="V4878" s="12" t="str">
        <f t="shared" si="380"/>
        <v/>
      </c>
      <c r="Z4878" s="15"/>
    </row>
    <row r="4879" spans="1:26" x14ac:dyDescent="0.25">
      <c r="A4879" s="15" t="str">
        <f>IF(C4879="","",COUNTA($C$3:C4879))</f>
        <v/>
      </c>
      <c r="B4879" s="15" t="str">
        <f t="shared" si="381"/>
        <v/>
      </c>
      <c r="M4879" s="9"/>
      <c r="N4879" s="9"/>
      <c r="P4879" s="14"/>
      <c r="Q4879" s="85"/>
      <c r="R4879" s="89"/>
      <c r="U4879" s="11" t="str">
        <f t="shared" si="379"/>
        <v/>
      </c>
      <c r="V4879" s="12" t="str">
        <f t="shared" si="380"/>
        <v/>
      </c>
      <c r="Z4879" s="15"/>
    </row>
    <row r="4880" spans="1:26" x14ac:dyDescent="0.25">
      <c r="A4880" s="15" t="str">
        <f>IF(C4880="","",COUNTA($C$3:C4880))</f>
        <v/>
      </c>
      <c r="B4880" s="15" t="str">
        <f t="shared" si="381"/>
        <v/>
      </c>
      <c r="M4880" s="9"/>
      <c r="N4880" s="9"/>
      <c r="P4880" s="14"/>
      <c r="Q4880" s="85"/>
      <c r="R4880" s="89"/>
      <c r="U4880" s="11" t="str">
        <f t="shared" si="379"/>
        <v/>
      </c>
      <c r="V4880" s="12" t="str">
        <f t="shared" si="380"/>
        <v/>
      </c>
      <c r="Z4880" s="15"/>
    </row>
    <row r="4881" spans="1:26" x14ac:dyDescent="0.25">
      <c r="A4881" s="15" t="str">
        <f>IF(C4881="","",COUNTA($C$3:C4881))</f>
        <v/>
      </c>
      <c r="B4881" s="15" t="str">
        <f t="shared" si="381"/>
        <v/>
      </c>
      <c r="M4881" s="9"/>
      <c r="N4881" s="9"/>
      <c r="P4881" s="14"/>
      <c r="Q4881" s="85"/>
      <c r="R4881" s="89"/>
      <c r="U4881" s="11" t="str">
        <f t="shared" si="379"/>
        <v/>
      </c>
      <c r="V4881" s="12" t="str">
        <f t="shared" si="380"/>
        <v/>
      </c>
      <c r="Z4881" s="15"/>
    </row>
    <row r="4882" spans="1:26" x14ac:dyDescent="0.25">
      <c r="A4882" s="15" t="str">
        <f>IF(C4882="","",COUNTA($C$3:C4882))</f>
        <v/>
      </c>
      <c r="B4882" s="15" t="str">
        <f t="shared" si="381"/>
        <v/>
      </c>
      <c r="M4882" s="9"/>
      <c r="N4882" s="9"/>
      <c r="P4882" s="14"/>
      <c r="Q4882" s="85"/>
      <c r="R4882" s="89"/>
      <c r="U4882" s="11" t="str">
        <f t="shared" si="379"/>
        <v/>
      </c>
      <c r="V4882" s="12" t="str">
        <f t="shared" si="380"/>
        <v/>
      </c>
      <c r="Z4882" s="15"/>
    </row>
    <row r="4883" spans="1:26" x14ac:dyDescent="0.25">
      <c r="A4883" s="15" t="str">
        <f>IF(C4883="","",COUNTA($C$3:C4883))</f>
        <v/>
      </c>
      <c r="B4883" s="15" t="str">
        <f t="shared" si="381"/>
        <v/>
      </c>
      <c r="M4883" s="9"/>
      <c r="N4883" s="9"/>
      <c r="P4883" s="14"/>
      <c r="Q4883" s="85"/>
      <c r="R4883" s="89"/>
      <c r="U4883" s="11" t="str">
        <f t="shared" si="379"/>
        <v/>
      </c>
      <c r="V4883" s="12" t="str">
        <f t="shared" si="380"/>
        <v/>
      </c>
      <c r="Z4883" s="15"/>
    </row>
    <row r="4884" spans="1:26" x14ac:dyDescent="0.25">
      <c r="A4884" s="15" t="str">
        <f>IF(C4884="","",COUNTA($C$3:C4884))</f>
        <v/>
      </c>
      <c r="B4884" s="15" t="str">
        <f t="shared" si="381"/>
        <v/>
      </c>
      <c r="M4884" s="9"/>
      <c r="N4884" s="9"/>
      <c r="P4884" s="14"/>
      <c r="Q4884" s="85"/>
      <c r="R4884" s="89"/>
      <c r="U4884" s="11" t="str">
        <f t="shared" si="379"/>
        <v/>
      </c>
      <c r="V4884" s="12" t="str">
        <f t="shared" si="380"/>
        <v/>
      </c>
      <c r="Z4884" s="15"/>
    </row>
    <row r="4885" spans="1:26" x14ac:dyDescent="0.25">
      <c r="A4885" s="15" t="str">
        <f>IF(C4885="","",COUNTA($C$3:C4885))</f>
        <v/>
      </c>
      <c r="B4885" s="15" t="str">
        <f t="shared" si="381"/>
        <v/>
      </c>
      <c r="M4885" s="9"/>
      <c r="N4885" s="9"/>
      <c r="P4885" s="14"/>
      <c r="Q4885" s="85"/>
      <c r="R4885" s="89"/>
      <c r="U4885" s="11" t="str">
        <f t="shared" si="379"/>
        <v/>
      </c>
      <c r="V4885" s="12" t="str">
        <f t="shared" si="380"/>
        <v/>
      </c>
      <c r="Z4885" s="15"/>
    </row>
    <row r="4886" spans="1:26" x14ac:dyDescent="0.25">
      <c r="A4886" s="15" t="str">
        <f>IF(C4886="","",COUNTA($C$3:C4886))</f>
        <v/>
      </c>
      <c r="B4886" s="15" t="str">
        <f t="shared" si="381"/>
        <v/>
      </c>
      <c r="M4886" s="9"/>
      <c r="N4886" s="9"/>
      <c r="P4886" s="14"/>
      <c r="Q4886" s="85"/>
      <c r="R4886" s="89"/>
      <c r="U4886" s="11" t="str">
        <f t="shared" si="379"/>
        <v/>
      </c>
      <c r="V4886" s="12" t="str">
        <f t="shared" si="380"/>
        <v/>
      </c>
      <c r="Z4886" s="15"/>
    </row>
    <row r="4887" spans="1:26" x14ac:dyDescent="0.25">
      <c r="A4887" s="15" t="str">
        <f>IF(C4887="","",COUNTA($C$3:C4887))</f>
        <v/>
      </c>
      <c r="B4887" s="15" t="str">
        <f t="shared" si="381"/>
        <v/>
      </c>
      <c r="M4887" s="9"/>
      <c r="N4887" s="9"/>
      <c r="P4887" s="14"/>
      <c r="Q4887" s="85"/>
      <c r="R4887" s="89"/>
      <c r="U4887" s="11" t="str">
        <f t="shared" si="379"/>
        <v/>
      </c>
      <c r="V4887" s="12" t="str">
        <f t="shared" si="380"/>
        <v/>
      </c>
      <c r="Z4887" s="15"/>
    </row>
    <row r="4888" spans="1:26" x14ac:dyDescent="0.25">
      <c r="A4888" s="15" t="str">
        <f>IF(C4888="","",COUNTA($C$3:C4888))</f>
        <v/>
      </c>
      <c r="B4888" s="15" t="str">
        <f t="shared" si="381"/>
        <v/>
      </c>
      <c r="M4888" s="9"/>
      <c r="N4888" s="9"/>
      <c r="P4888" s="14"/>
      <c r="Q4888" s="85"/>
      <c r="R4888" s="89"/>
      <c r="U4888" s="11" t="str">
        <f t="shared" si="379"/>
        <v/>
      </c>
      <c r="V4888" s="12" t="str">
        <f t="shared" si="380"/>
        <v/>
      </c>
      <c r="Z4888" s="15"/>
    </row>
    <row r="4889" spans="1:26" x14ac:dyDescent="0.25">
      <c r="A4889" s="15" t="str">
        <f>IF(C4889="","",COUNTA($C$3:C4889))</f>
        <v/>
      </c>
      <c r="B4889" s="15" t="str">
        <f t="shared" si="381"/>
        <v/>
      </c>
      <c r="M4889" s="9"/>
      <c r="N4889" s="9"/>
      <c r="P4889" s="14"/>
      <c r="Q4889" s="85"/>
      <c r="R4889" s="89"/>
      <c r="U4889" s="11" t="str">
        <f t="shared" si="379"/>
        <v/>
      </c>
      <c r="V4889" s="12" t="str">
        <f t="shared" si="380"/>
        <v/>
      </c>
      <c r="Z4889" s="15"/>
    </row>
    <row r="4890" spans="1:26" x14ac:dyDescent="0.25">
      <c r="A4890" s="15" t="str">
        <f>IF(C4890="","",COUNTA($C$3:C4890))</f>
        <v/>
      </c>
      <c r="B4890" s="15" t="str">
        <f t="shared" si="381"/>
        <v/>
      </c>
      <c r="M4890" s="9"/>
      <c r="N4890" s="9"/>
      <c r="P4890" s="14"/>
      <c r="Q4890" s="85"/>
      <c r="R4890" s="89"/>
      <c r="U4890" s="11" t="str">
        <f t="shared" si="379"/>
        <v/>
      </c>
      <c r="V4890" s="12" t="str">
        <f t="shared" si="380"/>
        <v/>
      </c>
      <c r="Z4890" s="15"/>
    </row>
    <row r="4891" spans="1:26" x14ac:dyDescent="0.25">
      <c r="A4891" s="15" t="str">
        <f>IF(C4891="","",COUNTA($C$3:C4891))</f>
        <v/>
      </c>
      <c r="B4891" s="15" t="str">
        <f t="shared" si="381"/>
        <v/>
      </c>
      <c r="M4891" s="9"/>
      <c r="N4891" s="9"/>
      <c r="P4891" s="14"/>
      <c r="Q4891" s="85"/>
      <c r="R4891" s="89"/>
      <c r="U4891" s="11" t="str">
        <f t="shared" si="379"/>
        <v/>
      </c>
      <c r="V4891" s="12" t="str">
        <f t="shared" si="380"/>
        <v/>
      </c>
      <c r="Z4891" s="15"/>
    </row>
    <row r="4892" spans="1:26" x14ac:dyDescent="0.25">
      <c r="A4892" s="15" t="str">
        <f>IF(C4892="","",COUNTA($C$3:C4892))</f>
        <v/>
      </c>
      <c r="B4892" s="15" t="str">
        <f t="shared" si="381"/>
        <v/>
      </c>
      <c r="M4892" s="9"/>
      <c r="N4892" s="9"/>
      <c r="P4892" s="14"/>
      <c r="Q4892" s="85"/>
      <c r="R4892" s="89"/>
      <c r="U4892" s="11" t="str">
        <f t="shared" si="379"/>
        <v/>
      </c>
      <c r="V4892" s="12" t="str">
        <f t="shared" si="380"/>
        <v/>
      </c>
      <c r="Z4892" s="15"/>
    </row>
    <row r="4893" spans="1:26" x14ac:dyDescent="0.25">
      <c r="A4893" s="15" t="str">
        <f>IF(C4893="","",COUNTA($C$3:C4893))</f>
        <v/>
      </c>
      <c r="B4893" s="15" t="str">
        <f t="shared" si="381"/>
        <v/>
      </c>
      <c r="M4893" s="9"/>
      <c r="N4893" s="9"/>
      <c r="P4893" s="14"/>
      <c r="Q4893" s="85"/>
      <c r="R4893" s="89"/>
      <c r="U4893" s="11" t="str">
        <f t="shared" si="379"/>
        <v/>
      </c>
      <c r="V4893" s="12" t="str">
        <f t="shared" si="380"/>
        <v/>
      </c>
      <c r="Z4893" s="15"/>
    </row>
    <row r="4894" spans="1:26" x14ac:dyDescent="0.25">
      <c r="A4894" s="15" t="str">
        <f>IF(C4894="","",COUNTA($C$3:C4894))</f>
        <v/>
      </c>
      <c r="B4894" s="15" t="str">
        <f t="shared" si="381"/>
        <v/>
      </c>
      <c r="M4894" s="9"/>
      <c r="N4894" s="9"/>
      <c r="P4894" s="14"/>
      <c r="Q4894" s="85"/>
      <c r="R4894" s="89"/>
      <c r="U4894" s="11" t="str">
        <f t="shared" si="379"/>
        <v/>
      </c>
      <c r="V4894" s="12" t="str">
        <f t="shared" si="380"/>
        <v/>
      </c>
      <c r="Z4894" s="15"/>
    </row>
    <row r="4895" spans="1:26" x14ac:dyDescent="0.25">
      <c r="A4895" s="15" t="str">
        <f>IF(C4895="","",COUNTA($C$3:C4895))</f>
        <v/>
      </c>
      <c r="B4895" s="15" t="str">
        <f t="shared" si="381"/>
        <v/>
      </c>
      <c r="M4895" s="9"/>
      <c r="N4895" s="9"/>
      <c r="P4895" s="14"/>
      <c r="Q4895" s="85"/>
      <c r="R4895" s="89"/>
      <c r="U4895" s="11" t="str">
        <f t="shared" si="379"/>
        <v/>
      </c>
      <c r="V4895" s="12" t="str">
        <f t="shared" si="380"/>
        <v/>
      </c>
      <c r="Z4895" s="15"/>
    </row>
    <row r="4896" spans="1:26" x14ac:dyDescent="0.25">
      <c r="A4896" s="15" t="str">
        <f>IF(C4896="","",COUNTA($C$3:C4896))</f>
        <v/>
      </c>
      <c r="B4896" s="15" t="str">
        <f t="shared" si="381"/>
        <v/>
      </c>
      <c r="M4896" s="9"/>
      <c r="N4896" s="9"/>
      <c r="P4896" s="14"/>
      <c r="Q4896" s="85"/>
      <c r="R4896" s="89"/>
      <c r="U4896" s="11" t="str">
        <f t="shared" si="379"/>
        <v/>
      </c>
      <c r="V4896" s="12" t="str">
        <f t="shared" si="380"/>
        <v/>
      </c>
      <c r="Z4896" s="15"/>
    </row>
    <row r="4897" spans="1:26" x14ac:dyDescent="0.25">
      <c r="A4897" s="15" t="str">
        <f>IF(C4897="","",COUNTA($C$3:C4897))</f>
        <v/>
      </c>
      <c r="B4897" s="15" t="str">
        <f t="shared" si="381"/>
        <v/>
      </c>
      <c r="M4897" s="9"/>
      <c r="N4897" s="9"/>
      <c r="P4897" s="14"/>
      <c r="Q4897" s="85"/>
      <c r="R4897" s="89"/>
      <c r="U4897" s="11" t="str">
        <f t="shared" si="379"/>
        <v/>
      </c>
      <c r="V4897" s="12" t="str">
        <f t="shared" si="380"/>
        <v/>
      </c>
      <c r="Z4897" s="15"/>
    </row>
    <row r="4898" spans="1:26" x14ac:dyDescent="0.25">
      <c r="A4898" s="15" t="str">
        <f>IF(C4898="","",COUNTA($C$3:C4898))</f>
        <v/>
      </c>
      <c r="B4898" s="15" t="str">
        <f t="shared" si="381"/>
        <v/>
      </c>
      <c r="M4898" s="9"/>
      <c r="N4898" s="9"/>
      <c r="P4898" s="14"/>
      <c r="Q4898" s="85"/>
      <c r="R4898" s="89"/>
      <c r="U4898" s="11" t="str">
        <f t="shared" si="379"/>
        <v/>
      </c>
      <c r="V4898" s="12" t="str">
        <f t="shared" si="380"/>
        <v/>
      </c>
      <c r="Z4898" s="15"/>
    </row>
    <row r="4899" spans="1:26" x14ac:dyDescent="0.25">
      <c r="A4899" s="15" t="str">
        <f>IF(C4899="","",COUNTA($C$3:C4899))</f>
        <v/>
      </c>
      <c r="B4899" s="15" t="str">
        <f t="shared" si="381"/>
        <v/>
      </c>
      <c r="M4899" s="9"/>
      <c r="N4899" s="9"/>
      <c r="P4899" s="14"/>
      <c r="Q4899" s="85"/>
      <c r="R4899" s="89"/>
      <c r="U4899" s="11" t="str">
        <f t="shared" si="379"/>
        <v/>
      </c>
      <c r="V4899" s="12" t="str">
        <f t="shared" si="380"/>
        <v/>
      </c>
      <c r="Z4899" s="15"/>
    </row>
    <row r="4900" spans="1:26" x14ac:dyDescent="0.25">
      <c r="A4900" s="15" t="str">
        <f>IF(C4900="","",COUNTA($C$3:C4900))</f>
        <v/>
      </c>
      <c r="B4900" s="15" t="str">
        <f t="shared" si="381"/>
        <v/>
      </c>
      <c r="M4900" s="9"/>
      <c r="N4900" s="9"/>
      <c r="P4900" s="14"/>
      <c r="Q4900" s="85"/>
      <c r="R4900" s="89"/>
      <c r="U4900" s="11" t="str">
        <f t="shared" si="379"/>
        <v/>
      </c>
      <c r="V4900" s="12" t="str">
        <f t="shared" si="380"/>
        <v/>
      </c>
      <c r="Z4900" s="15"/>
    </row>
    <row r="4901" spans="1:26" x14ac:dyDescent="0.25">
      <c r="A4901" s="15" t="str">
        <f>IF(C4901="","",COUNTA($C$3:C4901))</f>
        <v/>
      </c>
      <c r="B4901" s="15" t="str">
        <f t="shared" si="381"/>
        <v/>
      </c>
      <c r="M4901" s="9"/>
      <c r="N4901" s="9"/>
      <c r="P4901" s="14"/>
      <c r="Q4901" s="85"/>
      <c r="R4901" s="89"/>
      <c r="U4901" s="11" t="str">
        <f t="shared" si="379"/>
        <v/>
      </c>
      <c r="V4901" s="12" t="str">
        <f t="shared" si="380"/>
        <v/>
      </c>
      <c r="Z4901" s="15"/>
    </row>
    <row r="4902" spans="1:26" x14ac:dyDescent="0.25">
      <c r="A4902" s="15" t="str">
        <f>IF(C4902="","",COUNTA($C$3:C4902))</f>
        <v/>
      </c>
      <c r="B4902" s="15" t="str">
        <f t="shared" si="381"/>
        <v/>
      </c>
      <c r="M4902" s="9"/>
      <c r="N4902" s="9"/>
      <c r="P4902" s="14"/>
      <c r="Q4902" s="85"/>
      <c r="R4902" s="89"/>
      <c r="U4902" s="11" t="str">
        <f t="shared" si="379"/>
        <v/>
      </c>
      <c r="V4902" s="12" t="str">
        <f t="shared" si="380"/>
        <v/>
      </c>
      <c r="Z4902" s="15"/>
    </row>
    <row r="4903" spans="1:26" x14ac:dyDescent="0.25">
      <c r="A4903" s="15" t="str">
        <f>IF(C4903="","",COUNTA($C$3:C4903))</f>
        <v/>
      </c>
      <c r="B4903" s="15" t="str">
        <f t="shared" si="381"/>
        <v/>
      </c>
      <c r="M4903" s="9"/>
      <c r="N4903" s="9"/>
      <c r="P4903" s="14"/>
      <c r="Q4903" s="85"/>
      <c r="R4903" s="89"/>
      <c r="U4903" s="11" t="str">
        <f t="shared" si="379"/>
        <v/>
      </c>
      <c r="V4903" s="12" t="str">
        <f t="shared" si="380"/>
        <v/>
      </c>
      <c r="Z4903" s="15"/>
    </row>
    <row r="4904" spans="1:26" x14ac:dyDescent="0.25">
      <c r="A4904" s="15" t="str">
        <f>IF(C4904="","",COUNTA($C$3:C4904))</f>
        <v/>
      </c>
      <c r="B4904" s="15" t="str">
        <f t="shared" si="381"/>
        <v/>
      </c>
      <c r="M4904" s="9"/>
      <c r="N4904" s="9"/>
      <c r="P4904" s="14"/>
      <c r="Q4904" s="85"/>
      <c r="R4904" s="89"/>
      <c r="U4904" s="11" t="str">
        <f t="shared" si="379"/>
        <v/>
      </c>
      <c r="V4904" s="12" t="str">
        <f t="shared" si="380"/>
        <v/>
      </c>
      <c r="Z4904" s="15"/>
    </row>
    <row r="4905" spans="1:26" x14ac:dyDescent="0.25">
      <c r="A4905" s="15" t="str">
        <f>IF(C4905="","",COUNTA($C$3:C4905))</f>
        <v/>
      </c>
      <c r="B4905" s="15" t="str">
        <f t="shared" si="381"/>
        <v/>
      </c>
      <c r="M4905" s="9"/>
      <c r="N4905" s="9"/>
      <c r="P4905" s="14"/>
      <c r="Q4905" s="85"/>
      <c r="R4905" s="89"/>
      <c r="U4905" s="11" t="str">
        <f t="shared" si="379"/>
        <v/>
      </c>
      <c r="V4905" s="12" t="str">
        <f t="shared" si="380"/>
        <v/>
      </c>
      <c r="Z4905" s="15"/>
    </row>
    <row r="4906" spans="1:26" x14ac:dyDescent="0.25">
      <c r="A4906" s="15" t="str">
        <f>IF(C4906="","",COUNTA($C$3:C4906))</f>
        <v/>
      </c>
      <c r="B4906" s="15" t="str">
        <f t="shared" si="381"/>
        <v/>
      </c>
      <c r="M4906" s="9"/>
      <c r="N4906" s="9"/>
      <c r="P4906" s="14"/>
      <c r="Q4906" s="85"/>
      <c r="R4906" s="89"/>
      <c r="U4906" s="11" t="str">
        <f t="shared" si="379"/>
        <v/>
      </c>
      <c r="V4906" s="12" t="str">
        <f t="shared" si="380"/>
        <v/>
      </c>
      <c r="Z4906" s="15"/>
    </row>
    <row r="4907" spans="1:26" x14ac:dyDescent="0.25">
      <c r="A4907" s="15" t="str">
        <f>IF(C4907="","",COUNTA($C$3:C4907))</f>
        <v/>
      </c>
      <c r="B4907" s="15" t="str">
        <f t="shared" si="381"/>
        <v/>
      </c>
      <c r="M4907" s="9"/>
      <c r="N4907" s="9"/>
      <c r="P4907" s="14"/>
      <c r="Q4907" s="85"/>
      <c r="R4907" s="89"/>
      <c r="U4907" s="11" t="str">
        <f t="shared" si="379"/>
        <v/>
      </c>
      <c r="V4907" s="12" t="str">
        <f t="shared" si="380"/>
        <v/>
      </c>
      <c r="Z4907" s="15"/>
    </row>
    <row r="4908" spans="1:26" x14ac:dyDescent="0.25">
      <c r="A4908" s="15" t="str">
        <f>IF(C4908="","",COUNTA($C$3:C4908))</f>
        <v/>
      </c>
      <c r="B4908" s="15" t="str">
        <f t="shared" si="381"/>
        <v/>
      </c>
      <c r="M4908" s="9"/>
      <c r="N4908" s="9"/>
      <c r="P4908" s="14"/>
      <c r="Q4908" s="85"/>
      <c r="R4908" s="89"/>
      <c r="U4908" s="11" t="str">
        <f t="shared" si="379"/>
        <v/>
      </c>
      <c r="V4908" s="12" t="str">
        <f t="shared" si="380"/>
        <v/>
      </c>
      <c r="Z4908" s="15"/>
    </row>
    <row r="4909" spans="1:26" x14ac:dyDescent="0.25">
      <c r="A4909" s="15" t="str">
        <f>IF(C4909="","",COUNTA($C$3:C4909))</f>
        <v/>
      </c>
      <c r="B4909" s="15" t="str">
        <f t="shared" si="381"/>
        <v/>
      </c>
      <c r="M4909" s="9"/>
      <c r="N4909" s="9"/>
      <c r="P4909" s="14"/>
      <c r="Q4909" s="85"/>
      <c r="R4909" s="89"/>
      <c r="U4909" s="11" t="str">
        <f t="shared" si="379"/>
        <v/>
      </c>
      <c r="V4909" s="12" t="str">
        <f t="shared" si="380"/>
        <v/>
      </c>
      <c r="Z4909" s="15"/>
    </row>
    <row r="4910" spans="1:26" x14ac:dyDescent="0.25">
      <c r="A4910" s="15" t="str">
        <f>IF(C4910="","",COUNTA($C$3:C4910))</f>
        <v/>
      </c>
      <c r="B4910" s="15" t="str">
        <f t="shared" si="381"/>
        <v/>
      </c>
      <c r="M4910" s="9"/>
      <c r="N4910" s="9"/>
      <c r="P4910" s="14"/>
      <c r="Q4910" s="85"/>
      <c r="R4910" s="89"/>
      <c r="U4910" s="11" t="str">
        <f t="shared" si="379"/>
        <v/>
      </c>
      <c r="V4910" s="12" t="str">
        <f t="shared" si="380"/>
        <v/>
      </c>
      <c r="Z4910" s="15"/>
    </row>
    <row r="4911" spans="1:26" x14ac:dyDescent="0.25">
      <c r="A4911" s="15" t="str">
        <f>IF(C4911="","",COUNTA($C$3:C4911))</f>
        <v/>
      </c>
      <c r="B4911" s="15" t="str">
        <f t="shared" si="381"/>
        <v/>
      </c>
      <c r="M4911" s="9"/>
      <c r="N4911" s="9"/>
      <c r="P4911" s="14"/>
      <c r="Q4911" s="85"/>
      <c r="R4911" s="89"/>
      <c r="U4911" s="11" t="str">
        <f t="shared" si="379"/>
        <v/>
      </c>
      <c r="V4911" s="12" t="str">
        <f t="shared" si="380"/>
        <v/>
      </c>
      <c r="Z4911" s="15"/>
    </row>
    <row r="4912" spans="1:26" x14ac:dyDescent="0.25">
      <c r="A4912" s="15" t="str">
        <f>IF(C4912="","",COUNTA($C$3:C4912))</f>
        <v/>
      </c>
      <c r="B4912" s="15" t="str">
        <f t="shared" si="381"/>
        <v/>
      </c>
      <c r="M4912" s="9"/>
      <c r="N4912" s="9"/>
      <c r="P4912" s="14"/>
      <c r="Q4912" s="85"/>
      <c r="R4912" s="89"/>
      <c r="U4912" s="11" t="str">
        <f t="shared" si="379"/>
        <v/>
      </c>
      <c r="V4912" s="12" t="str">
        <f t="shared" si="380"/>
        <v/>
      </c>
      <c r="Z4912" s="15"/>
    </row>
    <row r="4913" spans="1:26" x14ac:dyDescent="0.25">
      <c r="A4913" s="15" t="str">
        <f>IF(C4913="","",COUNTA($C$3:C4913))</f>
        <v/>
      </c>
      <c r="B4913" s="15" t="str">
        <f t="shared" si="381"/>
        <v/>
      </c>
      <c r="M4913" s="9"/>
      <c r="N4913" s="9"/>
      <c r="P4913" s="14"/>
      <c r="Q4913" s="85"/>
      <c r="R4913" s="89"/>
      <c r="U4913" s="11" t="str">
        <f t="shared" si="379"/>
        <v/>
      </c>
      <c r="V4913" s="12" t="str">
        <f t="shared" si="380"/>
        <v/>
      </c>
      <c r="Z4913" s="15"/>
    </row>
    <row r="4914" spans="1:26" x14ac:dyDescent="0.25">
      <c r="A4914" s="15" t="str">
        <f>IF(C4914="","",COUNTA($C$3:C4914))</f>
        <v/>
      </c>
      <c r="B4914" s="15" t="str">
        <f t="shared" si="381"/>
        <v/>
      </c>
      <c r="M4914" s="9"/>
      <c r="N4914" s="9"/>
      <c r="P4914" s="14"/>
      <c r="Q4914" s="85"/>
      <c r="R4914" s="89"/>
      <c r="U4914" s="11" t="str">
        <f t="shared" si="379"/>
        <v/>
      </c>
      <c r="V4914" s="12" t="str">
        <f t="shared" si="380"/>
        <v/>
      </c>
      <c r="Z4914" s="15"/>
    </row>
    <row r="4915" spans="1:26" x14ac:dyDescent="0.25">
      <c r="A4915" s="15" t="str">
        <f>IF(C4915="","",COUNTA($C$3:C4915))</f>
        <v/>
      </c>
      <c r="B4915" s="15" t="str">
        <f t="shared" si="381"/>
        <v/>
      </c>
      <c r="M4915" s="9"/>
      <c r="N4915" s="9"/>
      <c r="P4915" s="14"/>
      <c r="Q4915" s="85"/>
      <c r="R4915" s="89"/>
      <c r="U4915" s="11" t="str">
        <f t="shared" si="379"/>
        <v/>
      </c>
      <c r="V4915" s="12" t="str">
        <f t="shared" si="380"/>
        <v/>
      </c>
      <c r="Z4915" s="15"/>
    </row>
    <row r="4916" spans="1:26" x14ac:dyDescent="0.25">
      <c r="A4916" s="15" t="str">
        <f>IF(C4916="","",COUNTA($C$3:C4916))</f>
        <v/>
      </c>
      <c r="B4916" s="15" t="str">
        <f t="shared" si="381"/>
        <v/>
      </c>
      <c r="M4916" s="9"/>
      <c r="N4916" s="9"/>
      <c r="P4916" s="14"/>
      <c r="Q4916" s="85"/>
      <c r="R4916" s="89"/>
      <c r="U4916" s="11" t="str">
        <f t="shared" si="379"/>
        <v/>
      </c>
      <c r="V4916" s="12" t="str">
        <f t="shared" si="380"/>
        <v/>
      </c>
      <c r="Z4916" s="15"/>
    </row>
    <row r="4917" spans="1:26" x14ac:dyDescent="0.25">
      <c r="A4917" s="15" t="str">
        <f>IF(C4917="","",COUNTA($C$3:C4917))</f>
        <v/>
      </c>
      <c r="B4917" s="15" t="str">
        <f t="shared" si="381"/>
        <v/>
      </c>
      <c r="M4917" s="9"/>
      <c r="N4917" s="9"/>
      <c r="P4917" s="14"/>
      <c r="Q4917" s="85"/>
      <c r="R4917" s="89"/>
      <c r="U4917" s="11" t="str">
        <f t="shared" si="379"/>
        <v/>
      </c>
      <c r="V4917" s="12" t="str">
        <f t="shared" si="380"/>
        <v/>
      </c>
      <c r="Z4917" s="15"/>
    </row>
    <row r="4918" spans="1:26" x14ac:dyDescent="0.25">
      <c r="A4918" s="15" t="str">
        <f>IF(C4918="","",COUNTA($C$3:C4918))</f>
        <v/>
      </c>
      <c r="B4918" s="15" t="str">
        <f t="shared" si="381"/>
        <v/>
      </c>
      <c r="M4918" s="9"/>
      <c r="N4918" s="9"/>
      <c r="P4918" s="14"/>
      <c r="Q4918" s="85"/>
      <c r="R4918" s="89"/>
      <c r="U4918" s="11" t="str">
        <f t="shared" si="379"/>
        <v/>
      </c>
      <c r="V4918" s="12" t="str">
        <f t="shared" si="380"/>
        <v/>
      </c>
      <c r="Z4918" s="15"/>
    </row>
    <row r="4919" spans="1:26" x14ac:dyDescent="0.25">
      <c r="A4919" s="15" t="str">
        <f>IF(C4919="","",COUNTA($C$3:C4919))</f>
        <v/>
      </c>
      <c r="B4919" s="15" t="str">
        <f t="shared" si="381"/>
        <v/>
      </c>
      <c r="M4919" s="9"/>
      <c r="N4919" s="9"/>
      <c r="P4919" s="14"/>
      <c r="Q4919" s="85"/>
      <c r="R4919" s="89"/>
      <c r="U4919" s="11" t="str">
        <f t="shared" si="379"/>
        <v/>
      </c>
      <c r="V4919" s="12" t="str">
        <f t="shared" si="380"/>
        <v/>
      </c>
      <c r="Z4919" s="15"/>
    </row>
    <row r="4920" spans="1:26" x14ac:dyDescent="0.25">
      <c r="A4920" s="15" t="str">
        <f>IF(C4920="","",COUNTA($C$3:C4920))</f>
        <v/>
      </c>
      <c r="B4920" s="15" t="str">
        <f t="shared" si="381"/>
        <v/>
      </c>
      <c r="M4920" s="9"/>
      <c r="N4920" s="9"/>
      <c r="P4920" s="14"/>
      <c r="Q4920" s="85"/>
      <c r="R4920" s="89"/>
      <c r="U4920" s="11" t="str">
        <f t="shared" si="379"/>
        <v/>
      </c>
      <c r="V4920" s="12" t="str">
        <f t="shared" si="380"/>
        <v/>
      </c>
      <c r="Z4920" s="15"/>
    </row>
    <row r="4921" spans="1:26" x14ac:dyDescent="0.25">
      <c r="A4921" s="15" t="str">
        <f>IF(C4921="","",COUNTA($C$3:C4921))</f>
        <v/>
      </c>
      <c r="B4921" s="15" t="str">
        <f t="shared" si="381"/>
        <v/>
      </c>
      <c r="M4921" s="9"/>
      <c r="N4921" s="9"/>
      <c r="P4921" s="14"/>
      <c r="Q4921" s="85"/>
      <c r="R4921" s="89"/>
      <c r="U4921" s="11" t="str">
        <f t="shared" si="379"/>
        <v/>
      </c>
      <c r="V4921" s="12" t="str">
        <f t="shared" si="380"/>
        <v/>
      </c>
      <c r="Z4921" s="15"/>
    </row>
    <row r="4922" spans="1:26" x14ac:dyDescent="0.25">
      <c r="A4922" s="15" t="str">
        <f>IF(C4922="","",COUNTA($C$3:C4922))</f>
        <v/>
      </c>
      <c r="B4922" s="15" t="str">
        <f t="shared" si="381"/>
        <v/>
      </c>
      <c r="M4922" s="9"/>
      <c r="N4922" s="9"/>
      <c r="P4922" s="14"/>
      <c r="Q4922" s="85"/>
      <c r="R4922" s="89"/>
      <c r="U4922" s="11" t="str">
        <f t="shared" si="379"/>
        <v/>
      </c>
      <c r="V4922" s="12" t="str">
        <f t="shared" si="380"/>
        <v/>
      </c>
      <c r="Z4922" s="15"/>
    </row>
    <row r="4923" spans="1:26" x14ac:dyDescent="0.25">
      <c r="A4923" s="15" t="str">
        <f>IF(C4923="","",COUNTA($C$3:C4923))</f>
        <v/>
      </c>
      <c r="B4923" s="15" t="str">
        <f t="shared" si="381"/>
        <v/>
      </c>
      <c r="M4923" s="9"/>
      <c r="N4923" s="9"/>
      <c r="P4923" s="14"/>
      <c r="Q4923" s="85"/>
      <c r="R4923" s="89"/>
      <c r="U4923" s="11" t="str">
        <f t="shared" si="379"/>
        <v/>
      </c>
      <c r="V4923" s="12" t="str">
        <f t="shared" si="380"/>
        <v/>
      </c>
      <c r="Z4923" s="15"/>
    </row>
    <row r="4924" spans="1:26" x14ac:dyDescent="0.25">
      <c r="A4924" s="15" t="str">
        <f>IF(C4924="","",COUNTA($C$3:C4924))</f>
        <v/>
      </c>
      <c r="B4924" s="15" t="str">
        <f t="shared" si="381"/>
        <v/>
      </c>
      <c r="M4924" s="9"/>
      <c r="N4924" s="9"/>
      <c r="P4924" s="14"/>
      <c r="Q4924" s="85"/>
      <c r="R4924" s="89"/>
      <c r="U4924" s="11" t="str">
        <f t="shared" si="379"/>
        <v/>
      </c>
      <c r="V4924" s="12" t="str">
        <f t="shared" si="380"/>
        <v/>
      </c>
      <c r="Z4924" s="15"/>
    </row>
    <row r="4925" spans="1:26" x14ac:dyDescent="0.25">
      <c r="A4925" s="15" t="str">
        <f>IF(C4925="","",COUNTA($C$3:C4925))</f>
        <v/>
      </c>
      <c r="B4925" s="15" t="str">
        <f t="shared" si="381"/>
        <v/>
      </c>
      <c r="M4925" s="9"/>
      <c r="N4925" s="9"/>
      <c r="P4925" s="14"/>
      <c r="Q4925" s="85"/>
      <c r="R4925" s="89"/>
      <c r="U4925" s="11" t="str">
        <f t="shared" si="379"/>
        <v/>
      </c>
      <c r="V4925" s="12" t="str">
        <f t="shared" si="380"/>
        <v/>
      </c>
      <c r="Z4925" s="15"/>
    </row>
    <row r="4926" spans="1:26" x14ac:dyDescent="0.25">
      <c r="A4926" s="15" t="str">
        <f>IF(C4926="","",COUNTA($C$3:C4926))</f>
        <v/>
      </c>
      <c r="B4926" s="15" t="str">
        <f t="shared" si="381"/>
        <v/>
      </c>
      <c r="M4926" s="9"/>
      <c r="N4926" s="9"/>
      <c r="P4926" s="14"/>
      <c r="Q4926" s="85"/>
      <c r="R4926" s="89"/>
      <c r="U4926" s="11" t="str">
        <f t="shared" si="379"/>
        <v/>
      </c>
      <c r="V4926" s="12" t="str">
        <f t="shared" si="380"/>
        <v/>
      </c>
      <c r="Z4926" s="15"/>
    </row>
    <row r="4927" spans="1:26" x14ac:dyDescent="0.25">
      <c r="A4927" s="15" t="str">
        <f>IF(C4927="","",COUNTA($C$3:C4927))</f>
        <v/>
      </c>
      <c r="B4927" s="15" t="str">
        <f t="shared" si="381"/>
        <v/>
      </c>
      <c r="M4927" s="9"/>
      <c r="N4927" s="9"/>
      <c r="P4927" s="14"/>
      <c r="Q4927" s="85"/>
      <c r="R4927" s="89"/>
      <c r="U4927" s="11" t="str">
        <f t="shared" si="379"/>
        <v/>
      </c>
      <c r="V4927" s="12" t="str">
        <f t="shared" si="380"/>
        <v/>
      </c>
      <c r="Z4927" s="15"/>
    </row>
    <row r="4928" spans="1:26" x14ac:dyDescent="0.25">
      <c r="A4928" s="15" t="str">
        <f>IF(C4928="","",COUNTA($C$3:C4928))</f>
        <v/>
      </c>
      <c r="B4928" s="15" t="str">
        <f t="shared" si="381"/>
        <v/>
      </c>
      <c r="M4928" s="9"/>
      <c r="N4928" s="9"/>
      <c r="P4928" s="14"/>
      <c r="Q4928" s="85"/>
      <c r="R4928" s="89"/>
      <c r="U4928" s="11" t="str">
        <f t="shared" si="379"/>
        <v/>
      </c>
      <c r="V4928" s="12" t="str">
        <f t="shared" si="380"/>
        <v/>
      </c>
      <c r="Z4928" s="15"/>
    </row>
    <row r="4929" spans="1:26" x14ac:dyDescent="0.25">
      <c r="A4929" s="15" t="str">
        <f>IF(C4929="","",COUNTA($C$3:C4929))</f>
        <v/>
      </c>
      <c r="B4929" s="15" t="str">
        <f t="shared" si="381"/>
        <v/>
      </c>
      <c r="M4929" s="9"/>
      <c r="N4929" s="9"/>
      <c r="P4929" s="14"/>
      <c r="Q4929" s="85"/>
      <c r="R4929" s="89"/>
      <c r="U4929" s="11" t="str">
        <f t="shared" si="379"/>
        <v/>
      </c>
      <c r="V4929" s="12" t="str">
        <f t="shared" si="380"/>
        <v/>
      </c>
      <c r="Z4929" s="15"/>
    </row>
    <row r="4930" spans="1:26" x14ac:dyDescent="0.25">
      <c r="A4930" s="15" t="str">
        <f>IF(C4930="","",COUNTA($C$3:C4930))</f>
        <v/>
      </c>
      <c r="B4930" s="15" t="str">
        <f t="shared" si="381"/>
        <v/>
      </c>
      <c r="M4930" s="9"/>
      <c r="N4930" s="9"/>
      <c r="P4930" s="14"/>
      <c r="Q4930" s="85"/>
      <c r="R4930" s="89"/>
      <c r="U4930" s="11" t="str">
        <f t="shared" ref="U4930:U4993" si="382">IF(S4930="","",(S4930-T4930))</f>
        <v/>
      </c>
      <c r="V4930" s="12" t="str">
        <f t="shared" ref="V4930:V4993" si="383">IF(U4930="","",(U4930/T4930))</f>
        <v/>
      </c>
      <c r="Z4930" s="15"/>
    </row>
    <row r="4931" spans="1:26" x14ac:dyDescent="0.25">
      <c r="A4931" s="15" t="str">
        <f>IF(C4931="","",COUNTA($C$3:C4931))</f>
        <v/>
      </c>
      <c r="B4931" s="15" t="str">
        <f t="shared" ref="B4931:B4994" si="384">IF(C4931="","",TEXT(C4931,"mmmm"))</f>
        <v/>
      </c>
      <c r="M4931" s="9"/>
      <c r="N4931" s="9"/>
      <c r="P4931" s="14"/>
      <c r="Q4931" s="85"/>
      <c r="R4931" s="89"/>
      <c r="U4931" s="11" t="str">
        <f t="shared" si="382"/>
        <v/>
      </c>
      <c r="V4931" s="12" t="str">
        <f t="shared" si="383"/>
        <v/>
      </c>
      <c r="Z4931" s="15"/>
    </row>
    <row r="4932" spans="1:26" x14ac:dyDescent="0.25">
      <c r="A4932" s="15" t="str">
        <f>IF(C4932="","",COUNTA($C$3:C4932))</f>
        <v/>
      </c>
      <c r="B4932" s="15" t="str">
        <f t="shared" si="384"/>
        <v/>
      </c>
      <c r="M4932" s="9"/>
      <c r="N4932" s="9"/>
      <c r="P4932" s="14"/>
      <c r="Q4932" s="85"/>
      <c r="R4932" s="89"/>
      <c r="U4932" s="11" t="str">
        <f t="shared" si="382"/>
        <v/>
      </c>
      <c r="V4932" s="12" t="str">
        <f t="shared" si="383"/>
        <v/>
      </c>
      <c r="Z4932" s="15"/>
    </row>
    <row r="4933" spans="1:26" x14ac:dyDescent="0.25">
      <c r="A4933" s="15" t="str">
        <f>IF(C4933="","",COUNTA($C$3:C4933))</f>
        <v/>
      </c>
      <c r="B4933" s="15" t="str">
        <f t="shared" si="384"/>
        <v/>
      </c>
      <c r="M4933" s="9"/>
      <c r="N4933" s="9"/>
      <c r="P4933" s="14"/>
      <c r="Q4933" s="85"/>
      <c r="R4933" s="89"/>
      <c r="U4933" s="11" t="str">
        <f t="shared" si="382"/>
        <v/>
      </c>
      <c r="V4933" s="12" t="str">
        <f t="shared" si="383"/>
        <v/>
      </c>
      <c r="Z4933" s="15"/>
    </row>
    <row r="4934" spans="1:26" x14ac:dyDescent="0.25">
      <c r="A4934" s="15" t="str">
        <f>IF(C4934="","",COUNTA($C$3:C4934))</f>
        <v/>
      </c>
      <c r="B4934" s="15" t="str">
        <f t="shared" si="384"/>
        <v/>
      </c>
      <c r="M4934" s="9"/>
      <c r="N4934" s="9"/>
      <c r="P4934" s="14"/>
      <c r="Q4934" s="85"/>
      <c r="R4934" s="89"/>
      <c r="U4934" s="11" t="str">
        <f t="shared" si="382"/>
        <v/>
      </c>
      <c r="V4934" s="12" t="str">
        <f t="shared" si="383"/>
        <v/>
      </c>
      <c r="Z4934" s="15"/>
    </row>
    <row r="4935" spans="1:26" x14ac:dyDescent="0.25">
      <c r="A4935" s="15" t="str">
        <f>IF(C4935="","",COUNTA($C$3:C4935))</f>
        <v/>
      </c>
      <c r="B4935" s="15" t="str">
        <f t="shared" si="384"/>
        <v/>
      </c>
      <c r="M4935" s="9"/>
      <c r="N4935" s="9"/>
      <c r="P4935" s="14"/>
      <c r="Q4935" s="85"/>
      <c r="R4935" s="89"/>
      <c r="U4935" s="11" t="str">
        <f t="shared" si="382"/>
        <v/>
      </c>
      <c r="V4935" s="12" t="str">
        <f t="shared" si="383"/>
        <v/>
      </c>
      <c r="Z4935" s="15"/>
    </row>
    <row r="4936" spans="1:26" x14ac:dyDescent="0.25">
      <c r="A4936" s="15" t="str">
        <f>IF(C4936="","",COUNTA($C$3:C4936))</f>
        <v/>
      </c>
      <c r="B4936" s="15" t="str">
        <f t="shared" si="384"/>
        <v/>
      </c>
      <c r="M4936" s="9"/>
      <c r="N4936" s="9"/>
      <c r="P4936" s="14"/>
      <c r="Q4936" s="85"/>
      <c r="R4936" s="89"/>
      <c r="U4936" s="11" t="str">
        <f t="shared" si="382"/>
        <v/>
      </c>
      <c r="V4936" s="12" t="str">
        <f t="shared" si="383"/>
        <v/>
      </c>
      <c r="Z4936" s="15"/>
    </row>
    <row r="4937" spans="1:26" x14ac:dyDescent="0.25">
      <c r="A4937" s="15" t="str">
        <f>IF(C4937="","",COUNTA($C$3:C4937))</f>
        <v/>
      </c>
      <c r="B4937" s="15" t="str">
        <f t="shared" si="384"/>
        <v/>
      </c>
      <c r="M4937" s="9"/>
      <c r="N4937" s="9"/>
      <c r="P4937" s="14"/>
      <c r="Q4937" s="85"/>
      <c r="R4937" s="89"/>
      <c r="U4937" s="11" t="str">
        <f t="shared" si="382"/>
        <v/>
      </c>
      <c r="V4937" s="12" t="str">
        <f t="shared" si="383"/>
        <v/>
      </c>
      <c r="Z4937" s="15"/>
    </row>
    <row r="4938" spans="1:26" x14ac:dyDescent="0.25">
      <c r="A4938" s="15" t="str">
        <f>IF(C4938="","",COUNTA($C$3:C4938))</f>
        <v/>
      </c>
      <c r="B4938" s="15" t="str">
        <f t="shared" si="384"/>
        <v/>
      </c>
      <c r="M4938" s="9"/>
      <c r="N4938" s="9"/>
      <c r="P4938" s="14"/>
      <c r="Q4938" s="85"/>
      <c r="R4938" s="89"/>
      <c r="U4938" s="11" t="str">
        <f t="shared" si="382"/>
        <v/>
      </c>
      <c r="V4938" s="12" t="str">
        <f t="shared" si="383"/>
        <v/>
      </c>
      <c r="Z4938" s="15"/>
    </row>
    <row r="4939" spans="1:26" x14ac:dyDescent="0.25">
      <c r="A4939" s="15" t="str">
        <f>IF(C4939="","",COUNTA($C$3:C4939))</f>
        <v/>
      </c>
      <c r="B4939" s="15" t="str">
        <f t="shared" si="384"/>
        <v/>
      </c>
      <c r="M4939" s="9"/>
      <c r="N4939" s="9"/>
      <c r="P4939" s="14"/>
      <c r="Q4939" s="85"/>
      <c r="R4939" s="89"/>
      <c r="U4939" s="11" t="str">
        <f t="shared" si="382"/>
        <v/>
      </c>
      <c r="V4939" s="12" t="str">
        <f t="shared" si="383"/>
        <v/>
      </c>
      <c r="Z4939" s="15"/>
    </row>
    <row r="4940" spans="1:26" x14ac:dyDescent="0.25">
      <c r="A4940" s="15" t="str">
        <f>IF(C4940="","",COUNTA($C$3:C4940))</f>
        <v/>
      </c>
      <c r="B4940" s="15" t="str">
        <f t="shared" si="384"/>
        <v/>
      </c>
      <c r="M4940" s="9"/>
      <c r="N4940" s="9"/>
      <c r="P4940" s="14"/>
      <c r="Q4940" s="85"/>
      <c r="R4940" s="89"/>
      <c r="U4940" s="11" t="str">
        <f t="shared" si="382"/>
        <v/>
      </c>
      <c r="V4940" s="12" t="str">
        <f t="shared" si="383"/>
        <v/>
      </c>
      <c r="Z4940" s="15"/>
    </row>
    <row r="4941" spans="1:26" x14ac:dyDescent="0.25">
      <c r="A4941" s="15" t="str">
        <f>IF(C4941="","",COUNTA($C$3:C4941))</f>
        <v/>
      </c>
      <c r="B4941" s="15" t="str">
        <f t="shared" si="384"/>
        <v/>
      </c>
      <c r="M4941" s="9"/>
      <c r="N4941" s="9"/>
      <c r="P4941" s="14"/>
      <c r="Q4941" s="85"/>
      <c r="R4941" s="89"/>
      <c r="U4941" s="11" t="str">
        <f t="shared" si="382"/>
        <v/>
      </c>
      <c r="V4941" s="12" t="str">
        <f t="shared" si="383"/>
        <v/>
      </c>
      <c r="Z4941" s="15"/>
    </row>
    <row r="4942" spans="1:26" x14ac:dyDescent="0.25">
      <c r="A4942" s="15" t="str">
        <f>IF(C4942="","",COUNTA($C$3:C4942))</f>
        <v/>
      </c>
      <c r="B4942" s="15" t="str">
        <f t="shared" si="384"/>
        <v/>
      </c>
      <c r="M4942" s="9"/>
      <c r="N4942" s="9"/>
      <c r="P4942" s="14"/>
      <c r="Q4942" s="85"/>
      <c r="R4942" s="89"/>
      <c r="U4942" s="11" t="str">
        <f t="shared" si="382"/>
        <v/>
      </c>
      <c r="V4942" s="12" t="str">
        <f t="shared" si="383"/>
        <v/>
      </c>
      <c r="Z4942" s="15"/>
    </row>
    <row r="4943" spans="1:26" x14ac:dyDescent="0.25">
      <c r="A4943" s="15" t="str">
        <f>IF(C4943="","",COUNTA($C$3:C4943))</f>
        <v/>
      </c>
      <c r="B4943" s="15" t="str">
        <f t="shared" si="384"/>
        <v/>
      </c>
      <c r="M4943" s="9"/>
      <c r="N4943" s="9"/>
      <c r="P4943" s="14"/>
      <c r="Q4943" s="85"/>
      <c r="R4943" s="89"/>
      <c r="U4943" s="11" t="str">
        <f t="shared" si="382"/>
        <v/>
      </c>
      <c r="V4943" s="12" t="str">
        <f t="shared" si="383"/>
        <v/>
      </c>
      <c r="Z4943" s="15"/>
    </row>
    <row r="4944" spans="1:26" x14ac:dyDescent="0.25">
      <c r="A4944" s="15" t="str">
        <f>IF(C4944="","",COUNTA($C$3:C4944))</f>
        <v/>
      </c>
      <c r="B4944" s="15" t="str">
        <f t="shared" si="384"/>
        <v/>
      </c>
      <c r="M4944" s="9"/>
      <c r="N4944" s="9"/>
      <c r="P4944" s="14"/>
      <c r="Q4944" s="85"/>
      <c r="R4944" s="89"/>
      <c r="U4944" s="11" t="str">
        <f t="shared" si="382"/>
        <v/>
      </c>
      <c r="V4944" s="12" t="str">
        <f t="shared" si="383"/>
        <v/>
      </c>
      <c r="Z4944" s="15"/>
    </row>
    <row r="4945" spans="1:26" x14ac:dyDescent="0.25">
      <c r="A4945" s="15" t="str">
        <f>IF(C4945="","",COUNTA($C$3:C4945))</f>
        <v/>
      </c>
      <c r="B4945" s="15" t="str">
        <f t="shared" si="384"/>
        <v/>
      </c>
      <c r="M4945" s="9"/>
      <c r="N4945" s="9"/>
      <c r="P4945" s="14"/>
      <c r="Q4945" s="85"/>
      <c r="R4945" s="89"/>
      <c r="U4945" s="11" t="str">
        <f t="shared" si="382"/>
        <v/>
      </c>
      <c r="V4945" s="12" t="str">
        <f t="shared" si="383"/>
        <v/>
      </c>
      <c r="Z4945" s="15"/>
    </row>
    <row r="4946" spans="1:26" x14ac:dyDescent="0.25">
      <c r="A4946" s="15" t="str">
        <f>IF(C4946="","",COUNTA($C$3:C4946))</f>
        <v/>
      </c>
      <c r="B4946" s="15" t="str">
        <f t="shared" si="384"/>
        <v/>
      </c>
      <c r="M4946" s="9"/>
      <c r="N4946" s="9"/>
      <c r="P4946" s="14"/>
      <c r="Q4946" s="85"/>
      <c r="R4946" s="89"/>
      <c r="U4946" s="11" t="str">
        <f t="shared" si="382"/>
        <v/>
      </c>
      <c r="V4946" s="12" t="str">
        <f t="shared" si="383"/>
        <v/>
      </c>
      <c r="Z4946" s="15"/>
    </row>
    <row r="4947" spans="1:26" x14ac:dyDescent="0.25">
      <c r="A4947" s="15" t="str">
        <f>IF(C4947="","",COUNTA($C$3:C4947))</f>
        <v/>
      </c>
      <c r="B4947" s="15" t="str">
        <f t="shared" si="384"/>
        <v/>
      </c>
      <c r="M4947" s="9"/>
      <c r="N4947" s="9"/>
      <c r="P4947" s="14"/>
      <c r="Q4947" s="85"/>
      <c r="R4947" s="89"/>
      <c r="U4947" s="11" t="str">
        <f t="shared" si="382"/>
        <v/>
      </c>
      <c r="V4947" s="12" t="str">
        <f t="shared" si="383"/>
        <v/>
      </c>
      <c r="Z4947" s="15"/>
    </row>
    <row r="4948" spans="1:26" x14ac:dyDescent="0.25">
      <c r="A4948" s="15" t="str">
        <f>IF(C4948="","",COUNTA($C$3:C4948))</f>
        <v/>
      </c>
      <c r="B4948" s="15" t="str">
        <f t="shared" si="384"/>
        <v/>
      </c>
      <c r="M4948" s="9"/>
      <c r="N4948" s="9"/>
      <c r="P4948" s="14"/>
      <c r="Q4948" s="85"/>
      <c r="R4948" s="89"/>
      <c r="U4948" s="11" t="str">
        <f t="shared" si="382"/>
        <v/>
      </c>
      <c r="V4948" s="12" t="str">
        <f t="shared" si="383"/>
        <v/>
      </c>
      <c r="Z4948" s="15"/>
    </row>
    <row r="4949" spans="1:26" x14ac:dyDescent="0.25">
      <c r="A4949" s="15" t="str">
        <f>IF(C4949="","",COUNTA($C$3:C4949))</f>
        <v/>
      </c>
      <c r="B4949" s="15" t="str">
        <f t="shared" si="384"/>
        <v/>
      </c>
      <c r="M4949" s="9"/>
      <c r="N4949" s="9"/>
      <c r="P4949" s="14"/>
      <c r="Q4949" s="85"/>
      <c r="R4949" s="89"/>
      <c r="U4949" s="11" t="str">
        <f t="shared" si="382"/>
        <v/>
      </c>
      <c r="V4949" s="12" t="str">
        <f t="shared" si="383"/>
        <v/>
      </c>
      <c r="Z4949" s="15"/>
    </row>
    <row r="4950" spans="1:26" x14ac:dyDescent="0.25">
      <c r="A4950" s="15" t="str">
        <f>IF(C4950="","",COUNTA($C$3:C4950))</f>
        <v/>
      </c>
      <c r="B4950" s="15" t="str">
        <f t="shared" si="384"/>
        <v/>
      </c>
      <c r="M4950" s="9"/>
      <c r="N4950" s="9"/>
      <c r="P4950" s="14"/>
      <c r="Q4950" s="85"/>
      <c r="R4950" s="89"/>
      <c r="U4950" s="11" t="str">
        <f t="shared" si="382"/>
        <v/>
      </c>
      <c r="V4950" s="12" t="str">
        <f t="shared" si="383"/>
        <v/>
      </c>
      <c r="Z4950" s="15"/>
    </row>
    <row r="4951" spans="1:26" x14ac:dyDescent="0.25">
      <c r="A4951" s="15" t="str">
        <f>IF(C4951="","",COUNTA($C$3:C4951))</f>
        <v/>
      </c>
      <c r="B4951" s="15" t="str">
        <f t="shared" si="384"/>
        <v/>
      </c>
      <c r="M4951" s="9"/>
      <c r="N4951" s="9"/>
      <c r="P4951" s="14"/>
      <c r="Q4951" s="85"/>
      <c r="R4951" s="89"/>
      <c r="U4951" s="11" t="str">
        <f t="shared" si="382"/>
        <v/>
      </c>
      <c r="V4951" s="12" t="str">
        <f t="shared" si="383"/>
        <v/>
      </c>
      <c r="Z4951" s="15"/>
    </row>
    <row r="4952" spans="1:26" x14ac:dyDescent="0.25">
      <c r="A4952" s="15" t="str">
        <f>IF(C4952="","",COUNTA($C$3:C4952))</f>
        <v/>
      </c>
      <c r="B4952" s="15" t="str">
        <f t="shared" si="384"/>
        <v/>
      </c>
      <c r="M4952" s="9"/>
      <c r="N4952" s="9"/>
      <c r="P4952" s="14"/>
      <c r="Q4952" s="85"/>
      <c r="R4952" s="89"/>
      <c r="U4952" s="11" t="str">
        <f t="shared" si="382"/>
        <v/>
      </c>
      <c r="V4952" s="12" t="str">
        <f t="shared" si="383"/>
        <v/>
      </c>
      <c r="Z4952" s="15"/>
    </row>
    <row r="4953" spans="1:26" x14ac:dyDescent="0.25">
      <c r="A4953" s="15" t="str">
        <f>IF(C4953="","",COUNTA($C$3:C4953))</f>
        <v/>
      </c>
      <c r="B4953" s="15" t="str">
        <f t="shared" si="384"/>
        <v/>
      </c>
      <c r="M4953" s="9"/>
      <c r="N4953" s="9"/>
      <c r="P4953" s="14"/>
      <c r="Q4953" s="85"/>
      <c r="R4953" s="89"/>
      <c r="U4953" s="11" t="str">
        <f t="shared" si="382"/>
        <v/>
      </c>
      <c r="V4953" s="12" t="str">
        <f t="shared" si="383"/>
        <v/>
      </c>
      <c r="Z4953" s="15"/>
    </row>
    <row r="4954" spans="1:26" x14ac:dyDescent="0.25">
      <c r="A4954" s="15" t="str">
        <f>IF(C4954="","",COUNTA($C$3:C4954))</f>
        <v/>
      </c>
      <c r="B4954" s="15" t="str">
        <f t="shared" si="384"/>
        <v/>
      </c>
      <c r="M4954" s="9"/>
      <c r="N4954" s="9"/>
      <c r="P4954" s="14"/>
      <c r="Q4954" s="85"/>
      <c r="R4954" s="89"/>
      <c r="U4954" s="11" t="str">
        <f t="shared" si="382"/>
        <v/>
      </c>
      <c r="V4954" s="12" t="str">
        <f t="shared" si="383"/>
        <v/>
      </c>
      <c r="Z4954" s="15"/>
    </row>
    <row r="4955" spans="1:26" x14ac:dyDescent="0.25">
      <c r="A4955" s="15" t="str">
        <f>IF(C4955="","",COUNTA($C$3:C4955))</f>
        <v/>
      </c>
      <c r="B4955" s="15" t="str">
        <f t="shared" si="384"/>
        <v/>
      </c>
      <c r="M4955" s="9"/>
      <c r="N4955" s="9"/>
      <c r="P4955" s="14"/>
      <c r="Q4955" s="85"/>
      <c r="R4955" s="89"/>
      <c r="U4955" s="11" t="str">
        <f t="shared" si="382"/>
        <v/>
      </c>
      <c r="V4955" s="12" t="str">
        <f t="shared" si="383"/>
        <v/>
      </c>
      <c r="Z4955" s="15"/>
    </row>
    <row r="4956" spans="1:26" x14ac:dyDescent="0.25">
      <c r="A4956" s="15" t="str">
        <f>IF(C4956="","",COUNTA($C$3:C4956))</f>
        <v/>
      </c>
      <c r="B4956" s="15" t="str">
        <f t="shared" si="384"/>
        <v/>
      </c>
      <c r="M4956" s="9"/>
      <c r="N4956" s="9"/>
      <c r="P4956" s="14"/>
      <c r="Q4956" s="85"/>
      <c r="R4956" s="89"/>
      <c r="U4956" s="11" t="str">
        <f t="shared" si="382"/>
        <v/>
      </c>
      <c r="V4956" s="12" t="str">
        <f t="shared" si="383"/>
        <v/>
      </c>
      <c r="Z4956" s="15"/>
    </row>
    <row r="4957" spans="1:26" x14ac:dyDescent="0.25">
      <c r="A4957" s="15" t="str">
        <f>IF(C4957="","",COUNTA($C$3:C4957))</f>
        <v/>
      </c>
      <c r="B4957" s="15" t="str">
        <f t="shared" si="384"/>
        <v/>
      </c>
      <c r="M4957" s="9"/>
      <c r="N4957" s="9"/>
      <c r="P4957" s="14"/>
      <c r="Q4957" s="85"/>
      <c r="R4957" s="89"/>
      <c r="U4957" s="11" t="str">
        <f t="shared" si="382"/>
        <v/>
      </c>
      <c r="V4957" s="12" t="str">
        <f t="shared" si="383"/>
        <v/>
      </c>
      <c r="Z4957" s="15"/>
    </row>
    <row r="4958" spans="1:26" x14ac:dyDescent="0.25">
      <c r="A4958" s="15" t="str">
        <f>IF(C4958="","",COUNTA($C$3:C4958))</f>
        <v/>
      </c>
      <c r="B4958" s="15" t="str">
        <f t="shared" si="384"/>
        <v/>
      </c>
      <c r="M4958" s="9"/>
      <c r="N4958" s="9"/>
      <c r="P4958" s="14"/>
      <c r="Q4958" s="85"/>
      <c r="R4958" s="89"/>
      <c r="U4958" s="11" t="str">
        <f t="shared" si="382"/>
        <v/>
      </c>
      <c r="V4958" s="12" t="str">
        <f t="shared" si="383"/>
        <v/>
      </c>
      <c r="Z4958" s="15"/>
    </row>
    <row r="4959" spans="1:26" x14ac:dyDescent="0.25">
      <c r="A4959" s="15" t="str">
        <f>IF(C4959="","",COUNTA($C$3:C4959))</f>
        <v/>
      </c>
      <c r="B4959" s="15" t="str">
        <f t="shared" si="384"/>
        <v/>
      </c>
      <c r="M4959" s="9"/>
      <c r="N4959" s="9"/>
      <c r="P4959" s="14"/>
      <c r="Q4959" s="85"/>
      <c r="R4959" s="89"/>
      <c r="U4959" s="11" t="str">
        <f t="shared" si="382"/>
        <v/>
      </c>
      <c r="V4959" s="12" t="str">
        <f t="shared" si="383"/>
        <v/>
      </c>
      <c r="Z4959" s="15"/>
    </row>
    <row r="4960" spans="1:26" x14ac:dyDescent="0.25">
      <c r="A4960" s="15" t="str">
        <f>IF(C4960="","",COUNTA($C$3:C4960))</f>
        <v/>
      </c>
      <c r="B4960" s="15" t="str">
        <f t="shared" si="384"/>
        <v/>
      </c>
      <c r="M4960" s="9"/>
      <c r="N4960" s="9"/>
      <c r="P4960" s="14"/>
      <c r="Q4960" s="85"/>
      <c r="R4960" s="89"/>
      <c r="U4960" s="11" t="str">
        <f t="shared" si="382"/>
        <v/>
      </c>
      <c r="V4960" s="12" t="str">
        <f t="shared" si="383"/>
        <v/>
      </c>
      <c r="Z4960" s="15"/>
    </row>
    <row r="4961" spans="1:26" x14ac:dyDescent="0.25">
      <c r="A4961" s="15" t="str">
        <f>IF(C4961="","",COUNTA($C$3:C4961))</f>
        <v/>
      </c>
      <c r="B4961" s="15" t="str">
        <f t="shared" si="384"/>
        <v/>
      </c>
      <c r="M4961" s="9"/>
      <c r="N4961" s="9"/>
      <c r="P4961" s="14"/>
      <c r="Q4961" s="85"/>
      <c r="R4961" s="89"/>
      <c r="U4961" s="11" t="str">
        <f t="shared" si="382"/>
        <v/>
      </c>
      <c r="V4961" s="12" t="str">
        <f t="shared" si="383"/>
        <v/>
      </c>
      <c r="Z4961" s="15"/>
    </row>
    <row r="4962" spans="1:26" x14ac:dyDescent="0.25">
      <c r="A4962" s="15" t="str">
        <f>IF(C4962="","",COUNTA($C$3:C4962))</f>
        <v/>
      </c>
      <c r="B4962" s="15" t="str">
        <f t="shared" si="384"/>
        <v/>
      </c>
      <c r="M4962" s="9"/>
      <c r="N4962" s="9"/>
      <c r="P4962" s="14"/>
      <c r="Q4962" s="85"/>
      <c r="R4962" s="89"/>
      <c r="U4962" s="11" t="str">
        <f t="shared" si="382"/>
        <v/>
      </c>
      <c r="V4962" s="12" t="str">
        <f t="shared" si="383"/>
        <v/>
      </c>
      <c r="Z4962" s="15"/>
    </row>
    <row r="4963" spans="1:26" x14ac:dyDescent="0.25">
      <c r="A4963" s="15" t="str">
        <f>IF(C4963="","",COUNTA($C$3:C4963))</f>
        <v/>
      </c>
      <c r="B4963" s="15" t="str">
        <f t="shared" si="384"/>
        <v/>
      </c>
      <c r="M4963" s="9"/>
      <c r="N4963" s="9"/>
      <c r="P4963" s="14"/>
      <c r="Q4963" s="85"/>
      <c r="R4963" s="89"/>
      <c r="U4963" s="11" t="str">
        <f t="shared" si="382"/>
        <v/>
      </c>
      <c r="V4963" s="12" t="str">
        <f t="shared" si="383"/>
        <v/>
      </c>
      <c r="Z4963" s="15"/>
    </row>
    <row r="4964" spans="1:26" x14ac:dyDescent="0.25">
      <c r="A4964" s="15" t="str">
        <f>IF(C4964="","",COUNTA($C$3:C4964))</f>
        <v/>
      </c>
      <c r="B4964" s="15" t="str">
        <f t="shared" si="384"/>
        <v/>
      </c>
      <c r="M4964" s="9"/>
      <c r="N4964" s="9"/>
      <c r="P4964" s="14"/>
      <c r="Q4964" s="85"/>
      <c r="R4964" s="89"/>
      <c r="U4964" s="11" t="str">
        <f t="shared" si="382"/>
        <v/>
      </c>
      <c r="V4964" s="12" t="str">
        <f t="shared" si="383"/>
        <v/>
      </c>
      <c r="Z4964" s="15"/>
    </row>
    <row r="4965" spans="1:26" x14ac:dyDescent="0.25">
      <c r="A4965" s="15" t="str">
        <f>IF(C4965="","",COUNTA($C$3:C4965))</f>
        <v/>
      </c>
      <c r="B4965" s="15" t="str">
        <f t="shared" si="384"/>
        <v/>
      </c>
      <c r="M4965" s="9"/>
      <c r="N4965" s="9"/>
      <c r="P4965" s="14"/>
      <c r="Q4965" s="85"/>
      <c r="R4965" s="89"/>
      <c r="U4965" s="11" t="str">
        <f t="shared" si="382"/>
        <v/>
      </c>
      <c r="V4965" s="12" t="str">
        <f t="shared" si="383"/>
        <v/>
      </c>
      <c r="Z4965" s="15"/>
    </row>
    <row r="4966" spans="1:26" x14ac:dyDescent="0.25">
      <c r="A4966" s="15" t="str">
        <f>IF(C4966="","",COUNTA($C$3:C4966))</f>
        <v/>
      </c>
      <c r="B4966" s="15" t="str">
        <f t="shared" si="384"/>
        <v/>
      </c>
      <c r="M4966" s="9"/>
      <c r="N4966" s="9"/>
      <c r="P4966" s="14"/>
      <c r="Q4966" s="85"/>
      <c r="R4966" s="89"/>
      <c r="U4966" s="11" t="str">
        <f t="shared" si="382"/>
        <v/>
      </c>
      <c r="V4966" s="12" t="str">
        <f t="shared" si="383"/>
        <v/>
      </c>
      <c r="Z4966" s="15"/>
    </row>
    <row r="4967" spans="1:26" x14ac:dyDescent="0.25">
      <c r="A4967" s="15" t="str">
        <f>IF(C4967="","",COUNTA($C$3:C4967))</f>
        <v/>
      </c>
      <c r="B4967" s="15" t="str">
        <f t="shared" si="384"/>
        <v/>
      </c>
      <c r="M4967" s="9"/>
      <c r="N4967" s="9"/>
      <c r="P4967" s="14"/>
      <c r="Q4967" s="85"/>
      <c r="R4967" s="89"/>
      <c r="U4967" s="11" t="str">
        <f t="shared" si="382"/>
        <v/>
      </c>
      <c r="V4967" s="12" t="str">
        <f t="shared" si="383"/>
        <v/>
      </c>
      <c r="Z4967" s="15"/>
    </row>
    <row r="4968" spans="1:26" x14ac:dyDescent="0.25">
      <c r="A4968" s="15" t="str">
        <f>IF(C4968="","",COUNTA($C$3:C4968))</f>
        <v/>
      </c>
      <c r="B4968" s="15" t="str">
        <f t="shared" si="384"/>
        <v/>
      </c>
      <c r="M4968" s="9"/>
      <c r="N4968" s="9"/>
      <c r="P4968" s="14"/>
      <c r="Q4968" s="85"/>
      <c r="R4968" s="89"/>
      <c r="U4968" s="11" t="str">
        <f t="shared" si="382"/>
        <v/>
      </c>
      <c r="V4968" s="12" t="str">
        <f t="shared" si="383"/>
        <v/>
      </c>
      <c r="Z4968" s="15"/>
    </row>
    <row r="4969" spans="1:26" x14ac:dyDescent="0.25">
      <c r="A4969" s="15" t="str">
        <f>IF(C4969="","",COUNTA($C$3:C4969))</f>
        <v/>
      </c>
      <c r="B4969" s="15" t="str">
        <f t="shared" si="384"/>
        <v/>
      </c>
      <c r="M4969" s="9"/>
      <c r="N4969" s="9"/>
      <c r="P4969" s="14"/>
      <c r="Q4969" s="85"/>
      <c r="R4969" s="89"/>
      <c r="U4969" s="11" t="str">
        <f t="shared" si="382"/>
        <v/>
      </c>
      <c r="V4969" s="12" t="str">
        <f t="shared" si="383"/>
        <v/>
      </c>
      <c r="Z4969" s="15"/>
    </row>
    <row r="4970" spans="1:26" x14ac:dyDescent="0.25">
      <c r="A4970" s="15" t="str">
        <f>IF(C4970="","",COUNTA($C$3:C4970))</f>
        <v/>
      </c>
      <c r="B4970" s="15" t="str">
        <f t="shared" si="384"/>
        <v/>
      </c>
      <c r="M4970" s="9"/>
      <c r="N4970" s="9"/>
      <c r="P4970" s="14"/>
      <c r="Q4970" s="85"/>
      <c r="R4970" s="89"/>
      <c r="U4970" s="11" t="str">
        <f t="shared" si="382"/>
        <v/>
      </c>
      <c r="V4970" s="12" t="str">
        <f t="shared" si="383"/>
        <v/>
      </c>
      <c r="Z4970" s="15"/>
    </row>
    <row r="4971" spans="1:26" x14ac:dyDescent="0.25">
      <c r="A4971" s="15" t="str">
        <f>IF(C4971="","",COUNTA($C$3:C4971))</f>
        <v/>
      </c>
      <c r="B4971" s="15" t="str">
        <f t="shared" si="384"/>
        <v/>
      </c>
      <c r="M4971" s="9"/>
      <c r="N4971" s="9"/>
      <c r="P4971" s="14"/>
      <c r="Q4971" s="85"/>
      <c r="R4971" s="89"/>
      <c r="U4971" s="11" t="str">
        <f t="shared" si="382"/>
        <v/>
      </c>
      <c r="V4971" s="12" t="str">
        <f t="shared" si="383"/>
        <v/>
      </c>
      <c r="Z4971" s="15"/>
    </row>
    <row r="4972" spans="1:26" x14ac:dyDescent="0.25">
      <c r="A4972" s="15" t="str">
        <f>IF(C4972="","",COUNTA($C$3:C4972))</f>
        <v/>
      </c>
      <c r="B4972" s="15" t="str">
        <f t="shared" si="384"/>
        <v/>
      </c>
      <c r="M4972" s="9"/>
      <c r="N4972" s="9"/>
      <c r="P4972" s="14"/>
      <c r="Q4972" s="85"/>
      <c r="R4972" s="89"/>
      <c r="U4972" s="11" t="str">
        <f t="shared" si="382"/>
        <v/>
      </c>
      <c r="V4972" s="12" t="str">
        <f t="shared" si="383"/>
        <v/>
      </c>
      <c r="Z4972" s="15"/>
    </row>
    <row r="4973" spans="1:26" x14ac:dyDescent="0.25">
      <c r="A4973" s="15" t="str">
        <f>IF(C4973="","",COUNTA($C$3:C4973))</f>
        <v/>
      </c>
      <c r="B4973" s="15" t="str">
        <f t="shared" si="384"/>
        <v/>
      </c>
      <c r="M4973" s="9"/>
      <c r="N4973" s="9"/>
      <c r="P4973" s="14"/>
      <c r="Q4973" s="85"/>
      <c r="R4973" s="89"/>
      <c r="U4973" s="11" t="str">
        <f t="shared" si="382"/>
        <v/>
      </c>
      <c r="V4973" s="12" t="str">
        <f t="shared" si="383"/>
        <v/>
      </c>
      <c r="Z4973" s="15"/>
    </row>
    <row r="4974" spans="1:26" x14ac:dyDescent="0.25">
      <c r="A4974" s="15" t="str">
        <f>IF(C4974="","",COUNTA($C$3:C4974))</f>
        <v/>
      </c>
      <c r="B4974" s="15" t="str">
        <f t="shared" si="384"/>
        <v/>
      </c>
      <c r="M4974" s="9"/>
      <c r="N4974" s="9"/>
      <c r="P4974" s="14"/>
      <c r="Q4974" s="85"/>
      <c r="R4974" s="89"/>
      <c r="U4974" s="11" t="str">
        <f t="shared" si="382"/>
        <v/>
      </c>
      <c r="V4974" s="12" t="str">
        <f t="shared" si="383"/>
        <v/>
      </c>
      <c r="Z4974" s="15"/>
    </row>
    <row r="4975" spans="1:26" x14ac:dyDescent="0.25">
      <c r="A4975" s="15" t="str">
        <f>IF(C4975="","",COUNTA($C$3:C4975))</f>
        <v/>
      </c>
      <c r="B4975" s="15" t="str">
        <f t="shared" si="384"/>
        <v/>
      </c>
      <c r="M4975" s="9"/>
      <c r="N4975" s="9"/>
      <c r="P4975" s="14"/>
      <c r="Q4975" s="85"/>
      <c r="R4975" s="89"/>
      <c r="U4975" s="11" t="str">
        <f t="shared" si="382"/>
        <v/>
      </c>
      <c r="V4975" s="12" t="str">
        <f t="shared" si="383"/>
        <v/>
      </c>
      <c r="Z4975" s="15"/>
    </row>
    <row r="4976" spans="1:26" x14ac:dyDescent="0.25">
      <c r="A4976" s="15" t="str">
        <f>IF(C4976="","",COUNTA($C$3:C4976))</f>
        <v/>
      </c>
      <c r="B4976" s="15" t="str">
        <f t="shared" si="384"/>
        <v/>
      </c>
      <c r="M4976" s="9"/>
      <c r="N4976" s="9"/>
      <c r="P4976" s="14"/>
      <c r="Q4976" s="85"/>
      <c r="R4976" s="89"/>
      <c r="U4976" s="11" t="str">
        <f t="shared" si="382"/>
        <v/>
      </c>
      <c r="V4976" s="12" t="str">
        <f t="shared" si="383"/>
        <v/>
      </c>
      <c r="Z4976" s="15"/>
    </row>
    <row r="4977" spans="1:26" x14ac:dyDescent="0.25">
      <c r="A4977" s="15" t="str">
        <f>IF(C4977="","",COUNTA($C$3:C4977))</f>
        <v/>
      </c>
      <c r="B4977" s="15" t="str">
        <f t="shared" si="384"/>
        <v/>
      </c>
      <c r="M4977" s="9"/>
      <c r="N4977" s="9"/>
      <c r="P4977" s="14"/>
      <c r="Q4977" s="85"/>
      <c r="R4977" s="89"/>
      <c r="U4977" s="11" t="str">
        <f t="shared" si="382"/>
        <v/>
      </c>
      <c r="V4977" s="12" t="str">
        <f t="shared" si="383"/>
        <v/>
      </c>
      <c r="Z4977" s="15"/>
    </row>
    <row r="4978" spans="1:26" x14ac:dyDescent="0.25">
      <c r="A4978" s="15" t="str">
        <f>IF(C4978="","",COUNTA($C$3:C4978))</f>
        <v/>
      </c>
      <c r="B4978" s="15" t="str">
        <f t="shared" si="384"/>
        <v/>
      </c>
      <c r="M4978" s="9"/>
      <c r="N4978" s="9"/>
      <c r="P4978" s="14"/>
      <c r="Q4978" s="85"/>
      <c r="R4978" s="89"/>
      <c r="U4978" s="11" t="str">
        <f t="shared" si="382"/>
        <v/>
      </c>
      <c r="V4978" s="12" t="str">
        <f t="shared" si="383"/>
        <v/>
      </c>
      <c r="Z4978" s="15"/>
    </row>
    <row r="4979" spans="1:26" x14ac:dyDescent="0.25">
      <c r="A4979" s="15" t="str">
        <f>IF(C4979="","",COUNTA($C$3:C4979))</f>
        <v/>
      </c>
      <c r="B4979" s="15" t="str">
        <f t="shared" si="384"/>
        <v/>
      </c>
      <c r="M4979" s="9"/>
      <c r="N4979" s="9"/>
      <c r="P4979" s="14"/>
      <c r="Q4979" s="85"/>
      <c r="R4979" s="89"/>
      <c r="U4979" s="11" t="str">
        <f t="shared" si="382"/>
        <v/>
      </c>
      <c r="V4979" s="12" t="str">
        <f t="shared" si="383"/>
        <v/>
      </c>
      <c r="Z4979" s="15"/>
    </row>
    <row r="4980" spans="1:26" x14ac:dyDescent="0.25">
      <c r="A4980" s="15" t="str">
        <f>IF(C4980="","",COUNTA($C$3:C4980))</f>
        <v/>
      </c>
      <c r="B4980" s="15" t="str">
        <f t="shared" si="384"/>
        <v/>
      </c>
      <c r="M4980" s="9"/>
      <c r="N4980" s="9"/>
      <c r="P4980" s="14"/>
      <c r="Q4980" s="85"/>
      <c r="R4980" s="89"/>
      <c r="U4980" s="11" t="str">
        <f t="shared" si="382"/>
        <v/>
      </c>
      <c r="V4980" s="12" t="str">
        <f t="shared" si="383"/>
        <v/>
      </c>
      <c r="Z4980" s="15"/>
    </row>
    <row r="4981" spans="1:26" x14ac:dyDescent="0.25">
      <c r="A4981" s="15" t="str">
        <f>IF(C4981="","",COUNTA($C$3:C4981))</f>
        <v/>
      </c>
      <c r="B4981" s="15" t="str">
        <f t="shared" si="384"/>
        <v/>
      </c>
      <c r="M4981" s="9"/>
      <c r="N4981" s="9"/>
      <c r="P4981" s="14"/>
      <c r="Q4981" s="85"/>
      <c r="R4981" s="89"/>
      <c r="U4981" s="11" t="str">
        <f t="shared" si="382"/>
        <v/>
      </c>
      <c r="V4981" s="12" t="str">
        <f t="shared" si="383"/>
        <v/>
      </c>
      <c r="Z4981" s="15"/>
    </row>
    <row r="4982" spans="1:26" x14ac:dyDescent="0.25">
      <c r="A4982" s="15" t="str">
        <f>IF(C4982="","",COUNTA($C$3:C4982))</f>
        <v/>
      </c>
      <c r="B4982" s="15" t="str">
        <f t="shared" si="384"/>
        <v/>
      </c>
      <c r="M4982" s="9"/>
      <c r="N4982" s="9"/>
      <c r="P4982" s="14"/>
      <c r="Q4982" s="85"/>
      <c r="R4982" s="89"/>
      <c r="U4982" s="11" t="str">
        <f t="shared" si="382"/>
        <v/>
      </c>
      <c r="V4982" s="12" t="str">
        <f t="shared" si="383"/>
        <v/>
      </c>
      <c r="Z4982" s="15"/>
    </row>
    <row r="4983" spans="1:26" x14ac:dyDescent="0.25">
      <c r="A4983" s="15" t="str">
        <f>IF(C4983="","",COUNTA($C$3:C4983))</f>
        <v/>
      </c>
      <c r="B4983" s="15" t="str">
        <f t="shared" si="384"/>
        <v/>
      </c>
      <c r="M4983" s="9"/>
      <c r="N4983" s="9"/>
      <c r="P4983" s="14"/>
      <c r="Q4983" s="85"/>
      <c r="R4983" s="89"/>
      <c r="U4983" s="11" t="str">
        <f t="shared" si="382"/>
        <v/>
      </c>
      <c r="V4983" s="12" t="str">
        <f t="shared" si="383"/>
        <v/>
      </c>
      <c r="Z4983" s="15"/>
    </row>
    <row r="4984" spans="1:26" x14ac:dyDescent="0.25">
      <c r="A4984" s="15" t="str">
        <f>IF(C4984="","",COUNTA($C$3:C4984))</f>
        <v/>
      </c>
      <c r="B4984" s="15" t="str">
        <f t="shared" si="384"/>
        <v/>
      </c>
      <c r="M4984" s="9"/>
      <c r="N4984" s="9"/>
      <c r="P4984" s="14"/>
      <c r="Q4984" s="85"/>
      <c r="R4984" s="89"/>
      <c r="U4984" s="11" t="str">
        <f t="shared" si="382"/>
        <v/>
      </c>
      <c r="V4984" s="12" t="str">
        <f t="shared" si="383"/>
        <v/>
      </c>
      <c r="Z4984" s="15"/>
    </row>
    <row r="4985" spans="1:26" x14ac:dyDescent="0.25">
      <c r="A4985" s="15" t="str">
        <f>IF(C4985="","",COUNTA($C$3:C4985))</f>
        <v/>
      </c>
      <c r="B4985" s="15" t="str">
        <f t="shared" si="384"/>
        <v/>
      </c>
      <c r="M4985" s="9"/>
      <c r="N4985" s="9"/>
      <c r="P4985" s="14"/>
      <c r="Q4985" s="85"/>
      <c r="R4985" s="89"/>
      <c r="U4985" s="11" t="str">
        <f t="shared" si="382"/>
        <v/>
      </c>
      <c r="V4985" s="12" t="str">
        <f t="shared" si="383"/>
        <v/>
      </c>
      <c r="Z4985" s="15"/>
    </row>
    <row r="4986" spans="1:26" x14ac:dyDescent="0.25">
      <c r="A4986" s="15" t="str">
        <f>IF(C4986="","",COUNTA($C$3:C4986))</f>
        <v/>
      </c>
      <c r="B4986" s="15" t="str">
        <f t="shared" si="384"/>
        <v/>
      </c>
      <c r="M4986" s="9"/>
      <c r="N4986" s="9"/>
      <c r="P4986" s="14"/>
      <c r="Q4986" s="85"/>
      <c r="R4986" s="89"/>
      <c r="U4986" s="11" t="str">
        <f t="shared" si="382"/>
        <v/>
      </c>
      <c r="V4986" s="12" t="str">
        <f t="shared" si="383"/>
        <v/>
      </c>
      <c r="Z4986" s="15"/>
    </row>
    <row r="4987" spans="1:26" x14ac:dyDescent="0.25">
      <c r="A4987" s="15" t="str">
        <f>IF(C4987="","",COUNTA($C$3:C4987))</f>
        <v/>
      </c>
      <c r="B4987" s="15" t="str">
        <f t="shared" si="384"/>
        <v/>
      </c>
      <c r="M4987" s="9"/>
      <c r="N4987" s="9"/>
      <c r="P4987" s="14"/>
      <c r="Q4987" s="85"/>
      <c r="R4987" s="89"/>
      <c r="U4987" s="11" t="str">
        <f t="shared" si="382"/>
        <v/>
      </c>
      <c r="V4987" s="12" t="str">
        <f t="shared" si="383"/>
        <v/>
      </c>
      <c r="Z4987" s="15"/>
    </row>
    <row r="4988" spans="1:26" x14ac:dyDescent="0.25">
      <c r="A4988" s="15" t="str">
        <f>IF(C4988="","",COUNTA($C$3:C4988))</f>
        <v/>
      </c>
      <c r="B4988" s="15" t="str">
        <f t="shared" si="384"/>
        <v/>
      </c>
      <c r="M4988" s="9"/>
      <c r="N4988" s="9"/>
      <c r="P4988" s="14"/>
      <c r="Q4988" s="85"/>
      <c r="R4988" s="89"/>
      <c r="U4988" s="11" t="str">
        <f t="shared" si="382"/>
        <v/>
      </c>
      <c r="V4988" s="12" t="str">
        <f t="shared" si="383"/>
        <v/>
      </c>
      <c r="Z4988" s="15"/>
    </row>
    <row r="4989" spans="1:26" x14ac:dyDescent="0.25">
      <c r="A4989" s="15" t="str">
        <f>IF(C4989="","",COUNTA($C$3:C4989))</f>
        <v/>
      </c>
      <c r="B4989" s="15" t="str">
        <f t="shared" si="384"/>
        <v/>
      </c>
      <c r="M4989" s="9"/>
      <c r="N4989" s="9"/>
      <c r="P4989" s="14"/>
      <c r="Q4989" s="85"/>
      <c r="R4989" s="89"/>
      <c r="U4989" s="11" t="str">
        <f t="shared" si="382"/>
        <v/>
      </c>
      <c r="V4989" s="12" t="str">
        <f t="shared" si="383"/>
        <v/>
      </c>
      <c r="Z4989" s="15"/>
    </row>
    <row r="4990" spans="1:26" x14ac:dyDescent="0.25">
      <c r="A4990" s="15" t="str">
        <f>IF(C4990="","",COUNTA($C$3:C4990))</f>
        <v/>
      </c>
      <c r="B4990" s="15" t="str">
        <f t="shared" si="384"/>
        <v/>
      </c>
      <c r="M4990" s="9"/>
      <c r="N4990" s="9"/>
      <c r="P4990" s="14"/>
      <c r="Q4990" s="85"/>
      <c r="R4990" s="89"/>
      <c r="U4990" s="11" t="str">
        <f t="shared" si="382"/>
        <v/>
      </c>
      <c r="V4990" s="12" t="str">
        <f t="shared" si="383"/>
        <v/>
      </c>
      <c r="Z4990" s="15"/>
    </row>
    <row r="4991" spans="1:26" x14ac:dyDescent="0.25">
      <c r="A4991" s="15" t="str">
        <f>IF(C4991="","",COUNTA($C$3:C4991))</f>
        <v/>
      </c>
      <c r="B4991" s="15" t="str">
        <f t="shared" si="384"/>
        <v/>
      </c>
      <c r="M4991" s="9"/>
      <c r="N4991" s="9"/>
      <c r="P4991" s="14"/>
      <c r="Q4991" s="85"/>
      <c r="R4991" s="89"/>
      <c r="U4991" s="11" t="str">
        <f t="shared" si="382"/>
        <v/>
      </c>
      <c r="V4991" s="12" t="str">
        <f t="shared" si="383"/>
        <v/>
      </c>
      <c r="Z4991" s="15"/>
    </row>
    <row r="4992" spans="1:26" x14ac:dyDescent="0.25">
      <c r="A4992" s="15" t="str">
        <f>IF(C4992="","",COUNTA($C$3:C4992))</f>
        <v/>
      </c>
      <c r="B4992" s="15" t="str">
        <f t="shared" si="384"/>
        <v/>
      </c>
      <c r="M4992" s="9"/>
      <c r="N4992" s="9"/>
      <c r="P4992" s="14"/>
      <c r="Q4992" s="85"/>
      <c r="R4992" s="89"/>
      <c r="U4992" s="11" t="str">
        <f t="shared" si="382"/>
        <v/>
      </c>
      <c r="V4992" s="12" t="str">
        <f t="shared" si="383"/>
        <v/>
      </c>
      <c r="Z4992" s="15"/>
    </row>
    <row r="4993" spans="1:26" x14ac:dyDescent="0.25">
      <c r="A4993" s="15" t="str">
        <f>IF(C4993="","",COUNTA($C$3:C4993))</f>
        <v/>
      </c>
      <c r="B4993" s="15" t="str">
        <f t="shared" si="384"/>
        <v/>
      </c>
      <c r="M4993" s="9"/>
      <c r="N4993" s="9"/>
      <c r="P4993" s="14"/>
      <c r="Q4993" s="85"/>
      <c r="R4993" s="89"/>
      <c r="U4993" s="11" t="str">
        <f t="shared" si="382"/>
        <v/>
      </c>
      <c r="V4993" s="12" t="str">
        <f t="shared" si="383"/>
        <v/>
      </c>
      <c r="Z4993" s="15"/>
    </row>
    <row r="4994" spans="1:26" x14ac:dyDescent="0.25">
      <c r="A4994" s="15" t="str">
        <f>IF(C4994="","",COUNTA($C$3:C4994))</f>
        <v/>
      </c>
      <c r="B4994" s="15" t="str">
        <f t="shared" si="384"/>
        <v/>
      </c>
      <c r="M4994" s="9"/>
      <c r="N4994" s="9"/>
      <c r="P4994" s="14"/>
      <c r="Q4994" s="85"/>
      <c r="R4994" s="89"/>
      <c r="U4994" s="11" t="str">
        <f t="shared" ref="U4994:U5057" si="385">IF(S4994="","",(S4994-T4994))</f>
        <v/>
      </c>
      <c r="V4994" s="12" t="str">
        <f t="shared" ref="V4994:V5057" si="386">IF(U4994="","",(U4994/T4994))</f>
        <v/>
      </c>
      <c r="Z4994" s="15"/>
    </row>
    <row r="4995" spans="1:26" x14ac:dyDescent="0.25">
      <c r="A4995" s="15" t="str">
        <f>IF(C4995="","",COUNTA($C$3:C4995))</f>
        <v/>
      </c>
      <c r="B4995" s="15" t="str">
        <f t="shared" ref="B4995:B5058" si="387">IF(C4995="","",TEXT(C4995,"mmmm"))</f>
        <v/>
      </c>
      <c r="M4995" s="9"/>
      <c r="N4995" s="9"/>
      <c r="P4995" s="14"/>
      <c r="Q4995" s="85"/>
      <c r="R4995" s="89"/>
      <c r="U4995" s="11" t="str">
        <f t="shared" si="385"/>
        <v/>
      </c>
      <c r="V4995" s="12" t="str">
        <f t="shared" si="386"/>
        <v/>
      </c>
      <c r="Z4995" s="15"/>
    </row>
    <row r="4996" spans="1:26" x14ac:dyDescent="0.25">
      <c r="A4996" s="15" t="str">
        <f>IF(C4996="","",COUNTA($C$3:C4996))</f>
        <v/>
      </c>
      <c r="B4996" s="15" t="str">
        <f t="shared" si="387"/>
        <v/>
      </c>
      <c r="M4996" s="9"/>
      <c r="N4996" s="9"/>
      <c r="P4996" s="14"/>
      <c r="Q4996" s="85"/>
      <c r="R4996" s="89"/>
      <c r="U4996" s="11" t="str">
        <f t="shared" si="385"/>
        <v/>
      </c>
      <c r="V4996" s="12" t="str">
        <f t="shared" si="386"/>
        <v/>
      </c>
      <c r="Z4996" s="15"/>
    </row>
    <row r="4997" spans="1:26" x14ac:dyDescent="0.25">
      <c r="A4997" s="15" t="str">
        <f>IF(C4997="","",COUNTA($C$3:C4997))</f>
        <v/>
      </c>
      <c r="B4997" s="15" t="str">
        <f t="shared" si="387"/>
        <v/>
      </c>
      <c r="M4997" s="9"/>
      <c r="N4997" s="9"/>
      <c r="P4997" s="14"/>
      <c r="Q4997" s="85"/>
      <c r="R4997" s="89"/>
      <c r="U4997" s="11" t="str">
        <f t="shared" si="385"/>
        <v/>
      </c>
      <c r="V4997" s="12" t="str">
        <f t="shared" si="386"/>
        <v/>
      </c>
      <c r="Z4997" s="15"/>
    </row>
    <row r="4998" spans="1:26" x14ac:dyDescent="0.25">
      <c r="A4998" s="15" t="str">
        <f>IF(C4998="","",COUNTA($C$3:C4998))</f>
        <v/>
      </c>
      <c r="B4998" s="15" t="str">
        <f t="shared" si="387"/>
        <v/>
      </c>
      <c r="M4998" s="9"/>
      <c r="N4998" s="9"/>
      <c r="P4998" s="14"/>
      <c r="Q4998" s="85"/>
      <c r="R4998" s="89"/>
      <c r="U4998" s="11" t="str">
        <f t="shared" si="385"/>
        <v/>
      </c>
      <c r="V4998" s="12" t="str">
        <f t="shared" si="386"/>
        <v/>
      </c>
      <c r="Z4998" s="15"/>
    </row>
    <row r="4999" spans="1:26" x14ac:dyDescent="0.25">
      <c r="A4999" s="15" t="str">
        <f>IF(C4999="","",COUNTA($C$3:C4999))</f>
        <v/>
      </c>
      <c r="B4999" s="15" t="str">
        <f t="shared" si="387"/>
        <v/>
      </c>
      <c r="M4999" s="9"/>
      <c r="N4999" s="9"/>
      <c r="P4999" s="14"/>
      <c r="Q4999" s="85"/>
      <c r="R4999" s="89"/>
      <c r="U4999" s="11" t="str">
        <f t="shared" si="385"/>
        <v/>
      </c>
      <c r="V4999" s="12" t="str">
        <f t="shared" si="386"/>
        <v/>
      </c>
      <c r="Z4999" s="15"/>
    </row>
    <row r="5000" spans="1:26" x14ac:dyDescent="0.25">
      <c r="A5000" s="15" t="str">
        <f>IF(C5000="","",COUNTA($C$3:C5000))</f>
        <v/>
      </c>
      <c r="B5000" s="15" t="str">
        <f t="shared" si="387"/>
        <v/>
      </c>
      <c r="M5000" s="9"/>
      <c r="N5000" s="9"/>
      <c r="P5000" s="14"/>
      <c r="Q5000" s="85"/>
      <c r="R5000" s="89"/>
      <c r="U5000" s="11" t="str">
        <f t="shared" si="385"/>
        <v/>
      </c>
      <c r="V5000" s="12" t="str">
        <f t="shared" si="386"/>
        <v/>
      </c>
      <c r="Z5000" s="15"/>
    </row>
    <row r="5001" spans="1:26" x14ac:dyDescent="0.25">
      <c r="A5001" s="15" t="str">
        <f>IF(C5001="","",COUNTA($C$3:C5001))</f>
        <v/>
      </c>
      <c r="B5001" s="15" t="str">
        <f t="shared" si="387"/>
        <v/>
      </c>
      <c r="M5001" s="9"/>
      <c r="N5001" s="9"/>
      <c r="P5001" s="14"/>
      <c r="Q5001" s="85"/>
      <c r="R5001" s="89"/>
      <c r="U5001" s="11" t="str">
        <f t="shared" si="385"/>
        <v/>
      </c>
      <c r="V5001" s="12" t="str">
        <f t="shared" si="386"/>
        <v/>
      </c>
      <c r="Z5001" s="15"/>
    </row>
    <row r="5002" spans="1:26" x14ac:dyDescent="0.25">
      <c r="A5002" s="15" t="str">
        <f>IF(C5002="","",COUNTA($C$3:C5002))</f>
        <v/>
      </c>
      <c r="B5002" s="15" t="str">
        <f t="shared" si="387"/>
        <v/>
      </c>
      <c r="M5002" s="9"/>
      <c r="N5002" s="9"/>
      <c r="P5002" s="14"/>
      <c r="Q5002" s="85"/>
      <c r="R5002" s="89"/>
      <c r="U5002" s="11" t="str">
        <f t="shared" si="385"/>
        <v/>
      </c>
      <c r="V5002" s="12" t="str">
        <f t="shared" si="386"/>
        <v/>
      </c>
      <c r="Z5002" s="15"/>
    </row>
    <row r="5003" spans="1:26" x14ac:dyDescent="0.25">
      <c r="A5003" s="15" t="str">
        <f>IF(C5003="","",COUNTA($C$3:C5003))</f>
        <v/>
      </c>
      <c r="B5003" s="15" t="str">
        <f t="shared" si="387"/>
        <v/>
      </c>
      <c r="M5003" s="9"/>
      <c r="N5003" s="9"/>
      <c r="P5003" s="14"/>
      <c r="Q5003" s="85"/>
      <c r="R5003" s="89"/>
      <c r="U5003" s="11" t="str">
        <f t="shared" si="385"/>
        <v/>
      </c>
      <c r="V5003" s="12" t="str">
        <f t="shared" si="386"/>
        <v/>
      </c>
      <c r="Z5003" s="15"/>
    </row>
    <row r="5004" spans="1:26" x14ac:dyDescent="0.25">
      <c r="A5004" s="15" t="str">
        <f>IF(C5004="","",COUNTA($C$3:C5004))</f>
        <v/>
      </c>
      <c r="B5004" s="15" t="str">
        <f t="shared" si="387"/>
        <v/>
      </c>
      <c r="M5004" s="9"/>
      <c r="N5004" s="9"/>
      <c r="P5004" s="14"/>
      <c r="Q5004" s="85"/>
      <c r="R5004" s="89"/>
      <c r="U5004" s="11" t="str">
        <f t="shared" si="385"/>
        <v/>
      </c>
      <c r="V5004" s="12" t="str">
        <f t="shared" si="386"/>
        <v/>
      </c>
      <c r="Z5004" s="15"/>
    </row>
    <row r="5005" spans="1:26" x14ac:dyDescent="0.25">
      <c r="A5005" s="15" t="str">
        <f>IF(C5005="","",COUNTA($C$3:C5005))</f>
        <v/>
      </c>
      <c r="B5005" s="15" t="str">
        <f t="shared" si="387"/>
        <v/>
      </c>
      <c r="M5005" s="9"/>
      <c r="N5005" s="9"/>
      <c r="P5005" s="14"/>
      <c r="Q5005" s="85"/>
      <c r="R5005" s="89"/>
      <c r="U5005" s="11" t="str">
        <f t="shared" si="385"/>
        <v/>
      </c>
      <c r="V5005" s="12" t="str">
        <f t="shared" si="386"/>
        <v/>
      </c>
      <c r="Z5005" s="15"/>
    </row>
    <row r="5006" spans="1:26" x14ac:dyDescent="0.25">
      <c r="A5006" s="15" t="str">
        <f>IF(C5006="","",COUNTA($C$3:C5006))</f>
        <v/>
      </c>
      <c r="B5006" s="15" t="str">
        <f t="shared" si="387"/>
        <v/>
      </c>
      <c r="M5006" s="9"/>
      <c r="N5006" s="9"/>
      <c r="P5006" s="14"/>
      <c r="Q5006" s="85"/>
      <c r="R5006" s="89"/>
      <c r="U5006" s="11" t="str">
        <f t="shared" si="385"/>
        <v/>
      </c>
      <c r="V5006" s="12" t="str">
        <f t="shared" si="386"/>
        <v/>
      </c>
      <c r="Z5006" s="15"/>
    </row>
    <row r="5007" spans="1:26" x14ac:dyDescent="0.25">
      <c r="A5007" s="15" t="str">
        <f>IF(C5007="","",COUNTA($C$3:C5007))</f>
        <v/>
      </c>
      <c r="B5007" s="15" t="str">
        <f t="shared" si="387"/>
        <v/>
      </c>
      <c r="M5007" s="9"/>
      <c r="N5007" s="9"/>
      <c r="P5007" s="14"/>
      <c r="Q5007" s="85"/>
      <c r="R5007" s="89"/>
      <c r="U5007" s="11" t="str">
        <f t="shared" si="385"/>
        <v/>
      </c>
      <c r="V5007" s="12" t="str">
        <f t="shared" si="386"/>
        <v/>
      </c>
      <c r="Z5007" s="15"/>
    </row>
    <row r="5008" spans="1:26" x14ac:dyDescent="0.25">
      <c r="A5008" s="15" t="str">
        <f>IF(C5008="","",COUNTA($C$3:C5008))</f>
        <v/>
      </c>
      <c r="B5008" s="15" t="str">
        <f t="shared" si="387"/>
        <v/>
      </c>
      <c r="M5008" s="9"/>
      <c r="N5008" s="9"/>
      <c r="P5008" s="14"/>
      <c r="Q5008" s="85"/>
      <c r="R5008" s="89"/>
      <c r="U5008" s="11" t="str">
        <f t="shared" si="385"/>
        <v/>
      </c>
      <c r="V5008" s="12" t="str">
        <f t="shared" si="386"/>
        <v/>
      </c>
      <c r="Z5008" s="15"/>
    </row>
    <row r="5009" spans="1:26" x14ac:dyDescent="0.25">
      <c r="A5009" s="15" t="str">
        <f>IF(C5009="","",COUNTA($C$3:C5009))</f>
        <v/>
      </c>
      <c r="B5009" s="15" t="str">
        <f t="shared" si="387"/>
        <v/>
      </c>
      <c r="M5009" s="9"/>
      <c r="N5009" s="9"/>
      <c r="P5009" s="14"/>
      <c r="Q5009" s="85"/>
      <c r="R5009" s="89"/>
      <c r="U5009" s="11" t="str">
        <f t="shared" si="385"/>
        <v/>
      </c>
      <c r="V5009" s="12" t="str">
        <f t="shared" si="386"/>
        <v/>
      </c>
      <c r="Z5009" s="15"/>
    </row>
    <row r="5010" spans="1:26" x14ac:dyDescent="0.25">
      <c r="A5010" s="15" t="str">
        <f>IF(C5010="","",COUNTA($C$3:C5010))</f>
        <v/>
      </c>
      <c r="B5010" s="15" t="str">
        <f t="shared" si="387"/>
        <v/>
      </c>
      <c r="M5010" s="9"/>
      <c r="N5010" s="9"/>
      <c r="P5010" s="14"/>
      <c r="Q5010" s="85"/>
      <c r="R5010" s="89"/>
      <c r="U5010" s="11" t="str">
        <f t="shared" si="385"/>
        <v/>
      </c>
      <c r="V5010" s="12" t="str">
        <f t="shared" si="386"/>
        <v/>
      </c>
      <c r="Z5010" s="15"/>
    </row>
    <row r="5011" spans="1:26" x14ac:dyDescent="0.25">
      <c r="A5011" s="15" t="str">
        <f>IF(C5011="","",COUNTA($C$3:C5011))</f>
        <v/>
      </c>
      <c r="B5011" s="15" t="str">
        <f t="shared" si="387"/>
        <v/>
      </c>
      <c r="M5011" s="9"/>
      <c r="N5011" s="9"/>
      <c r="P5011" s="14"/>
      <c r="Q5011" s="85"/>
      <c r="R5011" s="89"/>
      <c r="U5011" s="11" t="str">
        <f t="shared" si="385"/>
        <v/>
      </c>
      <c r="V5011" s="12" t="str">
        <f t="shared" si="386"/>
        <v/>
      </c>
      <c r="Z5011" s="15"/>
    </row>
    <row r="5012" spans="1:26" x14ac:dyDescent="0.25">
      <c r="A5012" s="15" t="str">
        <f>IF(C5012="","",COUNTA($C$3:C5012))</f>
        <v/>
      </c>
      <c r="B5012" s="15" t="str">
        <f t="shared" si="387"/>
        <v/>
      </c>
      <c r="M5012" s="9"/>
      <c r="N5012" s="9"/>
      <c r="P5012" s="14"/>
      <c r="Q5012" s="85"/>
      <c r="R5012" s="89"/>
      <c r="U5012" s="11" t="str">
        <f t="shared" si="385"/>
        <v/>
      </c>
      <c r="V5012" s="12" t="str">
        <f t="shared" si="386"/>
        <v/>
      </c>
      <c r="Z5012" s="15"/>
    </row>
    <row r="5013" spans="1:26" x14ac:dyDescent="0.25">
      <c r="A5013" s="15" t="str">
        <f>IF(C5013="","",COUNTA($C$3:C5013))</f>
        <v/>
      </c>
      <c r="B5013" s="15" t="str">
        <f t="shared" si="387"/>
        <v/>
      </c>
      <c r="M5013" s="9"/>
      <c r="N5013" s="9"/>
      <c r="P5013" s="14"/>
      <c r="Q5013" s="85"/>
      <c r="R5013" s="89"/>
      <c r="U5013" s="11" t="str">
        <f t="shared" si="385"/>
        <v/>
      </c>
      <c r="V5013" s="12" t="str">
        <f t="shared" si="386"/>
        <v/>
      </c>
      <c r="Z5013" s="15"/>
    </row>
    <row r="5014" spans="1:26" x14ac:dyDescent="0.25">
      <c r="A5014" s="15" t="str">
        <f>IF(C5014="","",COUNTA($C$3:C5014))</f>
        <v/>
      </c>
      <c r="B5014" s="15" t="str">
        <f t="shared" si="387"/>
        <v/>
      </c>
      <c r="M5014" s="9"/>
      <c r="N5014" s="9"/>
      <c r="P5014" s="14"/>
      <c r="Q5014" s="85"/>
      <c r="R5014" s="89"/>
      <c r="U5014" s="11" t="str">
        <f t="shared" si="385"/>
        <v/>
      </c>
      <c r="V5014" s="12" t="str">
        <f t="shared" si="386"/>
        <v/>
      </c>
      <c r="Z5014" s="15"/>
    </row>
    <row r="5015" spans="1:26" x14ac:dyDescent="0.25">
      <c r="A5015" s="15" t="str">
        <f>IF(C5015="","",COUNTA($C$3:C5015))</f>
        <v/>
      </c>
      <c r="B5015" s="15" t="str">
        <f t="shared" si="387"/>
        <v/>
      </c>
      <c r="M5015" s="9"/>
      <c r="N5015" s="9"/>
      <c r="P5015" s="14"/>
      <c r="Q5015" s="85"/>
      <c r="R5015" s="89"/>
      <c r="U5015" s="11" t="str">
        <f t="shared" si="385"/>
        <v/>
      </c>
      <c r="V5015" s="12" t="str">
        <f t="shared" si="386"/>
        <v/>
      </c>
      <c r="Z5015" s="15"/>
    </row>
    <row r="5016" spans="1:26" x14ac:dyDescent="0.25">
      <c r="A5016" s="15" t="str">
        <f>IF(C5016="","",COUNTA($C$3:C5016))</f>
        <v/>
      </c>
      <c r="B5016" s="15" t="str">
        <f t="shared" si="387"/>
        <v/>
      </c>
      <c r="M5016" s="9"/>
      <c r="N5016" s="9"/>
      <c r="P5016" s="14"/>
      <c r="Q5016" s="85"/>
      <c r="R5016" s="89"/>
      <c r="U5016" s="11" t="str">
        <f t="shared" si="385"/>
        <v/>
      </c>
      <c r="V5016" s="12" t="str">
        <f t="shared" si="386"/>
        <v/>
      </c>
      <c r="Z5016" s="15"/>
    </row>
    <row r="5017" spans="1:26" x14ac:dyDescent="0.25">
      <c r="A5017" s="15" t="str">
        <f>IF(C5017="","",COUNTA($C$3:C5017))</f>
        <v/>
      </c>
      <c r="B5017" s="15" t="str">
        <f t="shared" si="387"/>
        <v/>
      </c>
      <c r="M5017" s="9"/>
      <c r="N5017" s="9"/>
      <c r="P5017" s="14"/>
      <c r="Q5017" s="85"/>
      <c r="R5017" s="89"/>
      <c r="U5017" s="11" t="str">
        <f t="shared" si="385"/>
        <v/>
      </c>
      <c r="V5017" s="12" t="str">
        <f t="shared" si="386"/>
        <v/>
      </c>
      <c r="Z5017" s="15"/>
    </row>
    <row r="5018" spans="1:26" x14ac:dyDescent="0.25">
      <c r="A5018" s="15" t="str">
        <f>IF(C5018="","",COUNTA($C$3:C5018))</f>
        <v/>
      </c>
      <c r="B5018" s="15" t="str">
        <f t="shared" si="387"/>
        <v/>
      </c>
      <c r="M5018" s="9"/>
      <c r="N5018" s="9"/>
      <c r="P5018" s="14"/>
      <c r="Q5018" s="85"/>
      <c r="R5018" s="89"/>
      <c r="U5018" s="11" t="str">
        <f t="shared" si="385"/>
        <v/>
      </c>
      <c r="V5018" s="12" t="str">
        <f t="shared" si="386"/>
        <v/>
      </c>
      <c r="Z5018" s="15"/>
    </row>
    <row r="5019" spans="1:26" x14ac:dyDescent="0.25">
      <c r="A5019" s="15" t="str">
        <f>IF(C5019="","",COUNTA($C$3:C5019))</f>
        <v/>
      </c>
      <c r="B5019" s="15" t="str">
        <f t="shared" si="387"/>
        <v/>
      </c>
      <c r="M5019" s="9"/>
      <c r="N5019" s="9"/>
      <c r="P5019" s="14"/>
      <c r="Q5019" s="85"/>
      <c r="R5019" s="89"/>
      <c r="U5019" s="11" t="str">
        <f t="shared" si="385"/>
        <v/>
      </c>
      <c r="V5019" s="12" t="str">
        <f t="shared" si="386"/>
        <v/>
      </c>
      <c r="Z5019" s="15"/>
    </row>
    <row r="5020" spans="1:26" x14ac:dyDescent="0.25">
      <c r="A5020" s="15" t="str">
        <f>IF(C5020="","",COUNTA($C$3:C5020))</f>
        <v/>
      </c>
      <c r="B5020" s="15" t="str">
        <f t="shared" si="387"/>
        <v/>
      </c>
      <c r="M5020" s="9"/>
      <c r="N5020" s="9"/>
      <c r="P5020" s="14"/>
      <c r="Q5020" s="85"/>
      <c r="R5020" s="89"/>
      <c r="U5020" s="11" t="str">
        <f t="shared" si="385"/>
        <v/>
      </c>
      <c r="V5020" s="12" t="str">
        <f t="shared" si="386"/>
        <v/>
      </c>
      <c r="Z5020" s="15"/>
    </row>
    <row r="5021" spans="1:26" x14ac:dyDescent="0.25">
      <c r="A5021" s="15" t="str">
        <f>IF(C5021="","",COUNTA($C$3:C5021))</f>
        <v/>
      </c>
      <c r="B5021" s="15" t="str">
        <f t="shared" si="387"/>
        <v/>
      </c>
      <c r="M5021" s="9"/>
      <c r="N5021" s="9"/>
      <c r="P5021" s="14"/>
      <c r="Q5021" s="85"/>
      <c r="R5021" s="89"/>
      <c r="U5021" s="11" t="str">
        <f t="shared" si="385"/>
        <v/>
      </c>
      <c r="V5021" s="12" t="str">
        <f t="shared" si="386"/>
        <v/>
      </c>
      <c r="Z5021" s="15"/>
    </row>
    <row r="5022" spans="1:26" x14ac:dyDescent="0.25">
      <c r="A5022" s="15" t="str">
        <f>IF(C5022="","",COUNTA($C$3:C5022))</f>
        <v/>
      </c>
      <c r="B5022" s="15" t="str">
        <f t="shared" si="387"/>
        <v/>
      </c>
      <c r="M5022" s="9"/>
      <c r="N5022" s="9"/>
      <c r="P5022" s="14"/>
      <c r="Q5022" s="85"/>
      <c r="R5022" s="89"/>
      <c r="U5022" s="11" t="str">
        <f t="shared" si="385"/>
        <v/>
      </c>
      <c r="V5022" s="12" t="str">
        <f t="shared" si="386"/>
        <v/>
      </c>
      <c r="Z5022" s="15"/>
    </row>
    <row r="5023" spans="1:26" x14ac:dyDescent="0.25">
      <c r="A5023" s="15" t="str">
        <f>IF(C5023="","",COUNTA($C$3:C5023))</f>
        <v/>
      </c>
      <c r="B5023" s="15" t="str">
        <f t="shared" si="387"/>
        <v/>
      </c>
      <c r="M5023" s="9"/>
      <c r="N5023" s="9"/>
      <c r="P5023" s="14"/>
      <c r="Q5023" s="85"/>
      <c r="R5023" s="89"/>
      <c r="U5023" s="11" t="str">
        <f t="shared" si="385"/>
        <v/>
      </c>
      <c r="V5023" s="12" t="str">
        <f t="shared" si="386"/>
        <v/>
      </c>
      <c r="Z5023" s="15"/>
    </row>
    <row r="5024" spans="1:26" x14ac:dyDescent="0.25">
      <c r="A5024" s="15" t="str">
        <f>IF(C5024="","",COUNTA($C$3:C5024))</f>
        <v/>
      </c>
      <c r="B5024" s="15" t="str">
        <f t="shared" si="387"/>
        <v/>
      </c>
      <c r="M5024" s="9"/>
      <c r="N5024" s="9"/>
      <c r="P5024" s="14"/>
      <c r="Q5024" s="85"/>
      <c r="R5024" s="89"/>
      <c r="U5024" s="11" t="str">
        <f t="shared" si="385"/>
        <v/>
      </c>
      <c r="V5024" s="12" t="str">
        <f t="shared" si="386"/>
        <v/>
      </c>
      <c r="Z5024" s="15"/>
    </row>
    <row r="5025" spans="1:26" x14ac:dyDescent="0.25">
      <c r="A5025" s="15" t="str">
        <f>IF(C5025="","",COUNTA($C$3:C5025))</f>
        <v/>
      </c>
      <c r="B5025" s="15" t="str">
        <f t="shared" si="387"/>
        <v/>
      </c>
      <c r="M5025" s="9"/>
      <c r="N5025" s="9"/>
      <c r="P5025" s="14"/>
      <c r="Q5025" s="85"/>
      <c r="R5025" s="89"/>
      <c r="U5025" s="11" t="str">
        <f t="shared" si="385"/>
        <v/>
      </c>
      <c r="V5025" s="12" t="str">
        <f t="shared" si="386"/>
        <v/>
      </c>
      <c r="Z5025" s="15"/>
    </row>
    <row r="5026" spans="1:26" x14ac:dyDescent="0.25">
      <c r="A5026" s="15" t="str">
        <f>IF(C5026="","",COUNTA($C$3:C5026))</f>
        <v/>
      </c>
      <c r="B5026" s="15" t="str">
        <f t="shared" si="387"/>
        <v/>
      </c>
      <c r="M5026" s="9"/>
      <c r="N5026" s="9"/>
      <c r="P5026" s="14"/>
      <c r="Q5026" s="85"/>
      <c r="R5026" s="89"/>
      <c r="U5026" s="11" t="str">
        <f t="shared" si="385"/>
        <v/>
      </c>
      <c r="V5026" s="12" t="str">
        <f t="shared" si="386"/>
        <v/>
      </c>
      <c r="Z5026" s="15"/>
    </row>
    <row r="5027" spans="1:26" x14ac:dyDescent="0.25">
      <c r="A5027" s="15" t="str">
        <f>IF(C5027="","",COUNTA($C$3:C5027))</f>
        <v/>
      </c>
      <c r="B5027" s="15" t="str">
        <f t="shared" si="387"/>
        <v/>
      </c>
      <c r="M5027" s="9"/>
      <c r="N5027" s="9"/>
      <c r="P5027" s="14"/>
      <c r="Q5027" s="85"/>
      <c r="R5027" s="89"/>
      <c r="U5027" s="11" t="str">
        <f t="shared" si="385"/>
        <v/>
      </c>
      <c r="V5027" s="12" t="str">
        <f t="shared" si="386"/>
        <v/>
      </c>
      <c r="Z5027" s="15"/>
    </row>
    <row r="5028" spans="1:26" x14ac:dyDescent="0.25">
      <c r="A5028" s="15" t="str">
        <f>IF(C5028="","",COUNTA($C$3:C5028))</f>
        <v/>
      </c>
      <c r="B5028" s="15" t="str">
        <f t="shared" si="387"/>
        <v/>
      </c>
      <c r="M5028" s="9"/>
      <c r="N5028" s="9"/>
      <c r="P5028" s="14"/>
      <c r="Q5028" s="85"/>
      <c r="R5028" s="89"/>
      <c r="U5028" s="11" t="str">
        <f t="shared" si="385"/>
        <v/>
      </c>
      <c r="V5028" s="12" t="str">
        <f t="shared" si="386"/>
        <v/>
      </c>
      <c r="Z5028" s="15"/>
    </row>
    <row r="5029" spans="1:26" x14ac:dyDescent="0.25">
      <c r="A5029" s="15" t="str">
        <f>IF(C5029="","",COUNTA($C$3:C5029))</f>
        <v/>
      </c>
      <c r="B5029" s="15" t="str">
        <f t="shared" si="387"/>
        <v/>
      </c>
      <c r="M5029" s="9"/>
      <c r="N5029" s="9"/>
      <c r="P5029" s="14"/>
      <c r="Q5029" s="85"/>
      <c r="R5029" s="89"/>
      <c r="U5029" s="11" t="str">
        <f t="shared" si="385"/>
        <v/>
      </c>
      <c r="V5029" s="12" t="str">
        <f t="shared" si="386"/>
        <v/>
      </c>
      <c r="Z5029" s="15"/>
    </row>
    <row r="5030" spans="1:26" x14ac:dyDescent="0.25">
      <c r="A5030" s="15" t="str">
        <f>IF(C5030="","",COUNTA($C$3:C5030))</f>
        <v/>
      </c>
      <c r="B5030" s="15" t="str">
        <f t="shared" si="387"/>
        <v/>
      </c>
      <c r="M5030" s="9"/>
      <c r="N5030" s="9"/>
      <c r="P5030" s="14"/>
      <c r="Q5030" s="85"/>
      <c r="R5030" s="89"/>
      <c r="U5030" s="11" t="str">
        <f t="shared" si="385"/>
        <v/>
      </c>
      <c r="V5030" s="12" t="str">
        <f t="shared" si="386"/>
        <v/>
      </c>
      <c r="Z5030" s="15"/>
    </row>
    <row r="5031" spans="1:26" x14ac:dyDescent="0.25">
      <c r="A5031" s="15" t="str">
        <f>IF(C5031="","",COUNTA($C$3:C5031))</f>
        <v/>
      </c>
      <c r="B5031" s="15" t="str">
        <f t="shared" si="387"/>
        <v/>
      </c>
      <c r="M5031" s="9"/>
      <c r="N5031" s="9"/>
      <c r="P5031" s="14"/>
      <c r="Q5031" s="85"/>
      <c r="R5031" s="89"/>
      <c r="U5031" s="11" t="str">
        <f t="shared" si="385"/>
        <v/>
      </c>
      <c r="V5031" s="12" t="str">
        <f t="shared" si="386"/>
        <v/>
      </c>
      <c r="Z5031" s="15"/>
    </row>
    <row r="5032" spans="1:26" x14ac:dyDescent="0.25">
      <c r="A5032" s="15" t="str">
        <f>IF(C5032="","",COUNTA($C$3:C5032))</f>
        <v/>
      </c>
      <c r="B5032" s="15" t="str">
        <f t="shared" si="387"/>
        <v/>
      </c>
      <c r="M5032" s="9"/>
      <c r="N5032" s="9"/>
      <c r="P5032" s="14"/>
      <c r="Q5032" s="85"/>
      <c r="R5032" s="89"/>
      <c r="U5032" s="11" t="str">
        <f t="shared" si="385"/>
        <v/>
      </c>
      <c r="V5032" s="12" t="str">
        <f t="shared" si="386"/>
        <v/>
      </c>
      <c r="Z5032" s="15"/>
    </row>
    <row r="5033" spans="1:26" x14ac:dyDescent="0.25">
      <c r="A5033" s="15" t="str">
        <f>IF(C5033="","",COUNTA($C$3:C5033))</f>
        <v/>
      </c>
      <c r="B5033" s="15" t="str">
        <f t="shared" si="387"/>
        <v/>
      </c>
      <c r="M5033" s="9"/>
      <c r="N5033" s="9"/>
      <c r="P5033" s="14"/>
      <c r="Q5033" s="85"/>
      <c r="R5033" s="89"/>
      <c r="U5033" s="11" t="str">
        <f t="shared" si="385"/>
        <v/>
      </c>
      <c r="V5033" s="12" t="str">
        <f t="shared" si="386"/>
        <v/>
      </c>
      <c r="Z5033" s="15"/>
    </row>
    <row r="5034" spans="1:26" x14ac:dyDescent="0.25">
      <c r="A5034" s="15" t="str">
        <f>IF(C5034="","",COUNTA($C$3:C5034))</f>
        <v/>
      </c>
      <c r="B5034" s="15" t="str">
        <f t="shared" si="387"/>
        <v/>
      </c>
      <c r="M5034" s="9"/>
      <c r="N5034" s="9"/>
      <c r="P5034" s="14"/>
      <c r="Q5034" s="85"/>
      <c r="R5034" s="89"/>
      <c r="U5034" s="11" t="str">
        <f t="shared" si="385"/>
        <v/>
      </c>
      <c r="V5034" s="12" t="str">
        <f t="shared" si="386"/>
        <v/>
      </c>
      <c r="Z5034" s="15"/>
    </row>
    <row r="5035" spans="1:26" x14ac:dyDescent="0.25">
      <c r="A5035" s="15" t="str">
        <f>IF(C5035="","",COUNTA($C$3:C5035))</f>
        <v/>
      </c>
      <c r="B5035" s="15" t="str">
        <f t="shared" si="387"/>
        <v/>
      </c>
      <c r="M5035" s="9"/>
      <c r="N5035" s="9"/>
      <c r="P5035" s="14"/>
      <c r="Q5035" s="85"/>
      <c r="R5035" s="89"/>
      <c r="U5035" s="11" t="str">
        <f t="shared" si="385"/>
        <v/>
      </c>
      <c r="V5035" s="12" t="str">
        <f t="shared" si="386"/>
        <v/>
      </c>
      <c r="Z5035" s="15"/>
    </row>
    <row r="5036" spans="1:26" x14ac:dyDescent="0.25">
      <c r="A5036" s="15" t="str">
        <f>IF(C5036="","",COUNTA($C$3:C5036))</f>
        <v/>
      </c>
      <c r="B5036" s="15" t="str">
        <f t="shared" si="387"/>
        <v/>
      </c>
      <c r="M5036" s="9"/>
      <c r="N5036" s="9"/>
      <c r="P5036" s="14"/>
      <c r="Q5036" s="85"/>
      <c r="R5036" s="89"/>
      <c r="U5036" s="11" t="str">
        <f t="shared" si="385"/>
        <v/>
      </c>
      <c r="V5036" s="12" t="str">
        <f t="shared" si="386"/>
        <v/>
      </c>
      <c r="Z5036" s="15"/>
    </row>
    <row r="5037" spans="1:26" x14ac:dyDescent="0.25">
      <c r="A5037" s="15" t="str">
        <f>IF(C5037="","",COUNTA($C$3:C5037))</f>
        <v/>
      </c>
      <c r="B5037" s="15" t="str">
        <f t="shared" si="387"/>
        <v/>
      </c>
      <c r="M5037" s="9"/>
      <c r="N5037" s="9"/>
      <c r="P5037" s="14"/>
      <c r="Q5037" s="85"/>
      <c r="R5037" s="89"/>
      <c r="U5037" s="11" t="str">
        <f t="shared" si="385"/>
        <v/>
      </c>
      <c r="V5037" s="12" t="str">
        <f t="shared" si="386"/>
        <v/>
      </c>
      <c r="Z5037" s="15"/>
    </row>
    <row r="5038" spans="1:26" x14ac:dyDescent="0.25">
      <c r="A5038" s="15" t="str">
        <f>IF(C5038="","",COUNTA($C$3:C5038))</f>
        <v/>
      </c>
      <c r="B5038" s="15" t="str">
        <f t="shared" si="387"/>
        <v/>
      </c>
      <c r="M5038" s="9"/>
      <c r="N5038" s="9"/>
      <c r="P5038" s="14"/>
      <c r="Q5038" s="85"/>
      <c r="R5038" s="89"/>
      <c r="U5038" s="11" t="str">
        <f t="shared" si="385"/>
        <v/>
      </c>
      <c r="V5038" s="12" t="str">
        <f t="shared" si="386"/>
        <v/>
      </c>
      <c r="Z5038" s="15"/>
    </row>
    <row r="5039" spans="1:26" x14ac:dyDescent="0.25">
      <c r="A5039" s="15" t="str">
        <f>IF(C5039="","",COUNTA($C$3:C5039))</f>
        <v/>
      </c>
      <c r="B5039" s="15" t="str">
        <f t="shared" si="387"/>
        <v/>
      </c>
      <c r="M5039" s="9"/>
      <c r="N5039" s="9"/>
      <c r="P5039" s="14"/>
      <c r="Q5039" s="85"/>
      <c r="R5039" s="89"/>
      <c r="U5039" s="11" t="str">
        <f t="shared" si="385"/>
        <v/>
      </c>
      <c r="V5039" s="12" t="str">
        <f t="shared" si="386"/>
        <v/>
      </c>
      <c r="Z5039" s="15"/>
    </row>
    <row r="5040" spans="1:26" x14ac:dyDescent="0.25">
      <c r="A5040" s="15" t="str">
        <f>IF(C5040="","",COUNTA($C$3:C5040))</f>
        <v/>
      </c>
      <c r="B5040" s="15" t="str">
        <f t="shared" si="387"/>
        <v/>
      </c>
      <c r="M5040" s="9"/>
      <c r="N5040" s="9"/>
      <c r="P5040" s="14"/>
      <c r="Q5040" s="85"/>
      <c r="R5040" s="89"/>
      <c r="U5040" s="11" t="str">
        <f t="shared" si="385"/>
        <v/>
      </c>
      <c r="V5040" s="12" t="str">
        <f t="shared" si="386"/>
        <v/>
      </c>
      <c r="Z5040" s="15"/>
    </row>
    <row r="5041" spans="1:26" x14ac:dyDescent="0.25">
      <c r="A5041" s="15" t="str">
        <f>IF(C5041="","",COUNTA($C$3:C5041))</f>
        <v/>
      </c>
      <c r="B5041" s="15" t="str">
        <f t="shared" si="387"/>
        <v/>
      </c>
      <c r="M5041" s="9"/>
      <c r="N5041" s="9"/>
      <c r="P5041" s="14"/>
      <c r="Q5041" s="85"/>
      <c r="R5041" s="89"/>
      <c r="U5041" s="11" t="str">
        <f t="shared" si="385"/>
        <v/>
      </c>
      <c r="V5041" s="12" t="str">
        <f t="shared" si="386"/>
        <v/>
      </c>
      <c r="Z5041" s="15"/>
    </row>
    <row r="5042" spans="1:26" x14ac:dyDescent="0.25">
      <c r="A5042" s="15" t="str">
        <f>IF(C5042="","",COUNTA($C$3:C5042))</f>
        <v/>
      </c>
      <c r="B5042" s="15" t="str">
        <f t="shared" si="387"/>
        <v/>
      </c>
      <c r="M5042" s="9"/>
      <c r="N5042" s="9"/>
      <c r="P5042" s="14"/>
      <c r="Q5042" s="85"/>
      <c r="R5042" s="89"/>
      <c r="U5042" s="11" t="str">
        <f t="shared" si="385"/>
        <v/>
      </c>
      <c r="V5042" s="12" t="str">
        <f t="shared" si="386"/>
        <v/>
      </c>
      <c r="Z5042" s="15"/>
    </row>
    <row r="5043" spans="1:26" x14ac:dyDescent="0.25">
      <c r="A5043" s="15" t="str">
        <f>IF(C5043="","",COUNTA($C$3:C5043))</f>
        <v/>
      </c>
      <c r="B5043" s="15" t="str">
        <f t="shared" si="387"/>
        <v/>
      </c>
      <c r="M5043" s="9"/>
      <c r="N5043" s="9"/>
      <c r="P5043" s="14"/>
      <c r="Q5043" s="85"/>
      <c r="R5043" s="89"/>
      <c r="U5043" s="11" t="str">
        <f t="shared" si="385"/>
        <v/>
      </c>
      <c r="V5043" s="12" t="str">
        <f t="shared" si="386"/>
        <v/>
      </c>
      <c r="Z5043" s="15"/>
    </row>
    <row r="5044" spans="1:26" x14ac:dyDescent="0.25">
      <c r="A5044" s="15" t="str">
        <f>IF(C5044="","",COUNTA($C$3:C5044))</f>
        <v/>
      </c>
      <c r="B5044" s="15" t="str">
        <f t="shared" si="387"/>
        <v/>
      </c>
      <c r="M5044" s="9"/>
      <c r="N5044" s="9"/>
      <c r="P5044" s="14"/>
      <c r="Q5044" s="85"/>
      <c r="R5044" s="89"/>
      <c r="U5044" s="11" t="str">
        <f t="shared" si="385"/>
        <v/>
      </c>
      <c r="V5044" s="12" t="str">
        <f t="shared" si="386"/>
        <v/>
      </c>
      <c r="Z5044" s="15"/>
    </row>
    <row r="5045" spans="1:26" x14ac:dyDescent="0.25">
      <c r="A5045" s="15" t="str">
        <f>IF(C5045="","",COUNTA($C$3:C5045))</f>
        <v/>
      </c>
      <c r="B5045" s="15" t="str">
        <f t="shared" si="387"/>
        <v/>
      </c>
      <c r="M5045" s="9"/>
      <c r="N5045" s="9"/>
      <c r="P5045" s="14"/>
      <c r="Q5045" s="85"/>
      <c r="R5045" s="89"/>
      <c r="U5045" s="11" t="str">
        <f t="shared" si="385"/>
        <v/>
      </c>
      <c r="V5045" s="12" t="str">
        <f t="shared" si="386"/>
        <v/>
      </c>
      <c r="Z5045" s="15"/>
    </row>
    <row r="5046" spans="1:26" x14ac:dyDescent="0.25">
      <c r="A5046" s="15" t="str">
        <f>IF(C5046="","",COUNTA($C$3:C5046))</f>
        <v/>
      </c>
      <c r="B5046" s="15" t="str">
        <f t="shared" si="387"/>
        <v/>
      </c>
      <c r="M5046" s="9"/>
      <c r="N5046" s="9"/>
      <c r="P5046" s="14"/>
      <c r="Q5046" s="85"/>
      <c r="R5046" s="89"/>
      <c r="U5046" s="11" t="str">
        <f t="shared" si="385"/>
        <v/>
      </c>
      <c r="V5046" s="12" t="str">
        <f t="shared" si="386"/>
        <v/>
      </c>
      <c r="Z5046" s="15"/>
    </row>
    <row r="5047" spans="1:26" x14ac:dyDescent="0.25">
      <c r="A5047" s="15" t="str">
        <f>IF(C5047="","",COUNTA($C$3:C5047))</f>
        <v/>
      </c>
      <c r="B5047" s="15" t="str">
        <f t="shared" si="387"/>
        <v/>
      </c>
      <c r="M5047" s="9"/>
      <c r="N5047" s="9"/>
      <c r="P5047" s="14"/>
      <c r="Q5047" s="85"/>
      <c r="R5047" s="89"/>
      <c r="U5047" s="11" t="str">
        <f t="shared" si="385"/>
        <v/>
      </c>
      <c r="V5047" s="12" t="str">
        <f t="shared" si="386"/>
        <v/>
      </c>
      <c r="Z5047" s="15"/>
    </row>
    <row r="5048" spans="1:26" x14ac:dyDescent="0.25">
      <c r="A5048" s="15" t="str">
        <f>IF(C5048="","",COUNTA($C$3:C5048))</f>
        <v/>
      </c>
      <c r="B5048" s="15" t="str">
        <f t="shared" si="387"/>
        <v/>
      </c>
      <c r="M5048" s="9"/>
      <c r="N5048" s="9"/>
      <c r="P5048" s="14"/>
      <c r="Q5048" s="85"/>
      <c r="R5048" s="89"/>
      <c r="U5048" s="11" t="str">
        <f t="shared" si="385"/>
        <v/>
      </c>
      <c r="V5048" s="12" t="str">
        <f t="shared" si="386"/>
        <v/>
      </c>
      <c r="Z5048" s="15"/>
    </row>
    <row r="5049" spans="1:26" x14ac:dyDescent="0.25">
      <c r="A5049" s="15" t="str">
        <f>IF(C5049="","",COUNTA($C$3:C5049))</f>
        <v/>
      </c>
      <c r="B5049" s="15" t="str">
        <f t="shared" si="387"/>
        <v/>
      </c>
      <c r="M5049" s="9"/>
      <c r="N5049" s="9"/>
      <c r="P5049" s="14"/>
      <c r="Q5049" s="85"/>
      <c r="R5049" s="89"/>
      <c r="U5049" s="11" t="str">
        <f t="shared" si="385"/>
        <v/>
      </c>
      <c r="V5049" s="12" t="str">
        <f t="shared" si="386"/>
        <v/>
      </c>
      <c r="Z5049" s="15"/>
    </row>
    <row r="5050" spans="1:26" x14ac:dyDescent="0.25">
      <c r="A5050" s="15" t="str">
        <f>IF(C5050="","",COUNTA($C$3:C5050))</f>
        <v/>
      </c>
      <c r="B5050" s="15" t="str">
        <f t="shared" si="387"/>
        <v/>
      </c>
      <c r="M5050" s="9"/>
      <c r="N5050" s="9"/>
      <c r="P5050" s="14"/>
      <c r="Q5050" s="85"/>
      <c r="R5050" s="89"/>
      <c r="U5050" s="11" t="str">
        <f t="shared" si="385"/>
        <v/>
      </c>
      <c r="V5050" s="12" t="str">
        <f t="shared" si="386"/>
        <v/>
      </c>
      <c r="Z5050" s="15"/>
    </row>
    <row r="5051" spans="1:26" x14ac:dyDescent="0.25">
      <c r="A5051" s="15" t="str">
        <f>IF(C5051="","",COUNTA($C$3:C5051))</f>
        <v/>
      </c>
      <c r="B5051" s="15" t="str">
        <f t="shared" si="387"/>
        <v/>
      </c>
      <c r="M5051" s="9"/>
      <c r="N5051" s="9"/>
      <c r="P5051" s="14"/>
      <c r="Q5051" s="85"/>
      <c r="R5051" s="89"/>
      <c r="U5051" s="11" t="str">
        <f t="shared" si="385"/>
        <v/>
      </c>
      <c r="V5051" s="12" t="str">
        <f t="shared" si="386"/>
        <v/>
      </c>
      <c r="Z5051" s="15"/>
    </row>
    <row r="5052" spans="1:26" x14ac:dyDescent="0.25">
      <c r="A5052" s="15" t="str">
        <f>IF(C5052="","",COUNTA($C$3:C5052))</f>
        <v/>
      </c>
      <c r="B5052" s="15" t="str">
        <f t="shared" si="387"/>
        <v/>
      </c>
      <c r="M5052" s="9"/>
      <c r="N5052" s="9"/>
      <c r="P5052" s="14"/>
      <c r="Q5052" s="85"/>
      <c r="R5052" s="89"/>
      <c r="U5052" s="11" t="str">
        <f t="shared" si="385"/>
        <v/>
      </c>
      <c r="V5052" s="12" t="str">
        <f t="shared" si="386"/>
        <v/>
      </c>
      <c r="Z5052" s="15"/>
    </row>
    <row r="5053" spans="1:26" x14ac:dyDescent="0.25">
      <c r="A5053" s="15" t="str">
        <f>IF(C5053="","",COUNTA($C$3:C5053))</f>
        <v/>
      </c>
      <c r="B5053" s="15" t="str">
        <f t="shared" si="387"/>
        <v/>
      </c>
      <c r="M5053" s="9"/>
      <c r="N5053" s="9"/>
      <c r="P5053" s="14"/>
      <c r="Q5053" s="85"/>
      <c r="R5053" s="89"/>
      <c r="U5053" s="11" t="str">
        <f t="shared" si="385"/>
        <v/>
      </c>
      <c r="V5053" s="12" t="str">
        <f t="shared" si="386"/>
        <v/>
      </c>
      <c r="Z5053" s="15"/>
    </row>
    <row r="5054" spans="1:26" x14ac:dyDescent="0.25">
      <c r="A5054" s="15" t="str">
        <f>IF(C5054="","",COUNTA($C$3:C5054))</f>
        <v/>
      </c>
      <c r="B5054" s="15" t="str">
        <f t="shared" si="387"/>
        <v/>
      </c>
      <c r="M5054" s="9"/>
      <c r="N5054" s="9"/>
      <c r="P5054" s="14"/>
      <c r="Q5054" s="85"/>
      <c r="R5054" s="89"/>
      <c r="U5054" s="11" t="str">
        <f t="shared" si="385"/>
        <v/>
      </c>
      <c r="V5054" s="12" t="str">
        <f t="shared" si="386"/>
        <v/>
      </c>
      <c r="Z5054" s="15"/>
    </row>
    <row r="5055" spans="1:26" x14ac:dyDescent="0.25">
      <c r="A5055" s="15" t="str">
        <f>IF(C5055="","",COUNTA($C$3:C5055))</f>
        <v/>
      </c>
      <c r="B5055" s="15" t="str">
        <f t="shared" si="387"/>
        <v/>
      </c>
      <c r="M5055" s="9"/>
      <c r="N5055" s="9"/>
      <c r="P5055" s="14"/>
      <c r="Q5055" s="85"/>
      <c r="R5055" s="89"/>
      <c r="U5055" s="11" t="str">
        <f t="shared" si="385"/>
        <v/>
      </c>
      <c r="V5055" s="12" t="str">
        <f t="shared" si="386"/>
        <v/>
      </c>
      <c r="Z5055" s="15"/>
    </row>
    <row r="5056" spans="1:26" x14ac:dyDescent="0.25">
      <c r="A5056" s="15" t="str">
        <f>IF(C5056="","",COUNTA($C$3:C5056))</f>
        <v/>
      </c>
      <c r="B5056" s="15" t="str">
        <f t="shared" si="387"/>
        <v/>
      </c>
      <c r="M5056" s="9"/>
      <c r="N5056" s="9"/>
      <c r="P5056" s="14"/>
      <c r="Q5056" s="85"/>
      <c r="R5056" s="89"/>
      <c r="U5056" s="11" t="str">
        <f t="shared" si="385"/>
        <v/>
      </c>
      <c r="V5056" s="12" t="str">
        <f t="shared" si="386"/>
        <v/>
      </c>
      <c r="Z5056" s="15"/>
    </row>
    <row r="5057" spans="1:26" x14ac:dyDescent="0.25">
      <c r="A5057" s="15" t="str">
        <f>IF(C5057="","",COUNTA($C$3:C5057))</f>
        <v/>
      </c>
      <c r="B5057" s="15" t="str">
        <f t="shared" si="387"/>
        <v/>
      </c>
      <c r="M5057" s="9"/>
      <c r="N5057" s="9"/>
      <c r="P5057" s="14"/>
      <c r="Q5057" s="85"/>
      <c r="R5057" s="89"/>
      <c r="U5057" s="11" t="str">
        <f t="shared" si="385"/>
        <v/>
      </c>
      <c r="V5057" s="12" t="str">
        <f t="shared" si="386"/>
        <v/>
      </c>
      <c r="Z5057" s="15"/>
    </row>
    <row r="5058" spans="1:26" x14ac:dyDescent="0.25">
      <c r="A5058" s="15" t="str">
        <f>IF(C5058="","",COUNTA($C$3:C5058))</f>
        <v/>
      </c>
      <c r="B5058" s="15" t="str">
        <f t="shared" si="387"/>
        <v/>
      </c>
      <c r="M5058" s="9"/>
      <c r="N5058" s="9"/>
      <c r="P5058" s="14"/>
      <c r="Q5058" s="85"/>
      <c r="R5058" s="89"/>
      <c r="U5058" s="11" t="str">
        <f t="shared" ref="U5058:U5121" si="388">IF(S5058="","",(S5058-T5058))</f>
        <v/>
      </c>
      <c r="V5058" s="12" t="str">
        <f t="shared" ref="V5058:V5121" si="389">IF(U5058="","",(U5058/T5058))</f>
        <v/>
      </c>
      <c r="Z5058" s="15"/>
    </row>
    <row r="5059" spans="1:26" x14ac:dyDescent="0.25">
      <c r="A5059" s="15" t="str">
        <f>IF(C5059="","",COUNTA($C$3:C5059))</f>
        <v/>
      </c>
      <c r="B5059" s="15" t="str">
        <f t="shared" ref="B5059:B5122" si="390">IF(C5059="","",TEXT(C5059,"mmmm"))</f>
        <v/>
      </c>
      <c r="M5059" s="9"/>
      <c r="N5059" s="9"/>
      <c r="P5059" s="14"/>
      <c r="Q5059" s="85"/>
      <c r="R5059" s="89"/>
      <c r="U5059" s="11" t="str">
        <f t="shared" si="388"/>
        <v/>
      </c>
      <c r="V5059" s="12" t="str">
        <f t="shared" si="389"/>
        <v/>
      </c>
      <c r="Z5059" s="15"/>
    </row>
    <row r="5060" spans="1:26" x14ac:dyDescent="0.25">
      <c r="A5060" s="15" t="str">
        <f>IF(C5060="","",COUNTA($C$3:C5060))</f>
        <v/>
      </c>
      <c r="B5060" s="15" t="str">
        <f t="shared" si="390"/>
        <v/>
      </c>
      <c r="M5060" s="9"/>
      <c r="N5060" s="9"/>
      <c r="P5060" s="14"/>
      <c r="Q5060" s="85"/>
      <c r="R5060" s="89"/>
      <c r="U5060" s="11" t="str">
        <f t="shared" si="388"/>
        <v/>
      </c>
      <c r="V5060" s="12" t="str">
        <f t="shared" si="389"/>
        <v/>
      </c>
      <c r="Z5060" s="15"/>
    </row>
    <row r="5061" spans="1:26" x14ac:dyDescent="0.25">
      <c r="A5061" s="15" t="str">
        <f>IF(C5061="","",COUNTA($C$3:C5061))</f>
        <v/>
      </c>
      <c r="B5061" s="15" t="str">
        <f t="shared" si="390"/>
        <v/>
      </c>
      <c r="M5061" s="9"/>
      <c r="N5061" s="9"/>
      <c r="P5061" s="14"/>
      <c r="Q5061" s="85"/>
      <c r="R5061" s="89"/>
      <c r="U5061" s="11" t="str">
        <f t="shared" si="388"/>
        <v/>
      </c>
      <c r="V5061" s="12" t="str">
        <f t="shared" si="389"/>
        <v/>
      </c>
      <c r="Z5061" s="15"/>
    </row>
    <row r="5062" spans="1:26" x14ac:dyDescent="0.25">
      <c r="A5062" s="15" t="str">
        <f>IF(C5062="","",COUNTA($C$3:C5062))</f>
        <v/>
      </c>
      <c r="B5062" s="15" t="str">
        <f t="shared" si="390"/>
        <v/>
      </c>
      <c r="M5062" s="9"/>
      <c r="N5062" s="9"/>
      <c r="P5062" s="14"/>
      <c r="Q5062" s="85"/>
      <c r="R5062" s="89"/>
      <c r="U5062" s="11" t="str">
        <f t="shared" si="388"/>
        <v/>
      </c>
      <c r="V5062" s="12" t="str">
        <f t="shared" si="389"/>
        <v/>
      </c>
      <c r="Z5062" s="15"/>
    </row>
    <row r="5063" spans="1:26" x14ac:dyDescent="0.25">
      <c r="A5063" s="15" t="str">
        <f>IF(C5063="","",COUNTA($C$3:C5063))</f>
        <v/>
      </c>
      <c r="B5063" s="15" t="str">
        <f t="shared" si="390"/>
        <v/>
      </c>
      <c r="M5063" s="9"/>
      <c r="N5063" s="9"/>
      <c r="P5063" s="14"/>
      <c r="Q5063" s="85"/>
      <c r="R5063" s="89"/>
      <c r="U5063" s="11" t="str">
        <f t="shared" si="388"/>
        <v/>
      </c>
      <c r="V5063" s="12" t="str">
        <f t="shared" si="389"/>
        <v/>
      </c>
      <c r="Z5063" s="15"/>
    </row>
    <row r="5064" spans="1:26" x14ac:dyDescent="0.25">
      <c r="A5064" s="15" t="str">
        <f>IF(C5064="","",COUNTA($C$3:C5064))</f>
        <v/>
      </c>
      <c r="B5064" s="15" t="str">
        <f t="shared" si="390"/>
        <v/>
      </c>
      <c r="M5064" s="9"/>
      <c r="N5064" s="9"/>
      <c r="P5064" s="14"/>
      <c r="Q5064" s="85"/>
      <c r="R5064" s="89"/>
      <c r="U5064" s="11" t="str">
        <f t="shared" si="388"/>
        <v/>
      </c>
      <c r="V5064" s="12" t="str">
        <f t="shared" si="389"/>
        <v/>
      </c>
      <c r="Z5064" s="15"/>
    </row>
    <row r="5065" spans="1:26" x14ac:dyDescent="0.25">
      <c r="A5065" s="15" t="str">
        <f>IF(C5065="","",COUNTA($C$3:C5065))</f>
        <v/>
      </c>
      <c r="B5065" s="15" t="str">
        <f t="shared" si="390"/>
        <v/>
      </c>
      <c r="M5065" s="9"/>
      <c r="N5065" s="9"/>
      <c r="P5065" s="14"/>
      <c r="Q5065" s="85"/>
      <c r="R5065" s="89"/>
      <c r="U5065" s="11" t="str">
        <f t="shared" si="388"/>
        <v/>
      </c>
      <c r="V5065" s="12" t="str">
        <f t="shared" si="389"/>
        <v/>
      </c>
      <c r="Z5065" s="15"/>
    </row>
    <row r="5066" spans="1:26" x14ac:dyDescent="0.25">
      <c r="A5066" s="15" t="str">
        <f>IF(C5066="","",COUNTA($C$3:C5066))</f>
        <v/>
      </c>
      <c r="B5066" s="15" t="str">
        <f t="shared" si="390"/>
        <v/>
      </c>
      <c r="M5066" s="9"/>
      <c r="N5066" s="9"/>
      <c r="P5066" s="14"/>
      <c r="Q5066" s="85"/>
      <c r="R5066" s="89"/>
      <c r="U5066" s="11" t="str">
        <f t="shared" si="388"/>
        <v/>
      </c>
      <c r="V5066" s="12" t="str">
        <f t="shared" si="389"/>
        <v/>
      </c>
      <c r="Z5066" s="15"/>
    </row>
    <row r="5067" spans="1:26" x14ac:dyDescent="0.25">
      <c r="A5067" s="15" t="str">
        <f>IF(C5067="","",COUNTA($C$3:C5067))</f>
        <v/>
      </c>
      <c r="B5067" s="15" t="str">
        <f t="shared" si="390"/>
        <v/>
      </c>
      <c r="M5067" s="9"/>
      <c r="N5067" s="9"/>
      <c r="P5067" s="14"/>
      <c r="Q5067" s="85"/>
      <c r="R5067" s="89"/>
      <c r="U5067" s="11" t="str">
        <f t="shared" si="388"/>
        <v/>
      </c>
      <c r="V5067" s="12" t="str">
        <f t="shared" si="389"/>
        <v/>
      </c>
      <c r="Z5067" s="15"/>
    </row>
    <row r="5068" spans="1:26" x14ac:dyDescent="0.25">
      <c r="A5068" s="15" t="str">
        <f>IF(C5068="","",COUNTA($C$3:C5068))</f>
        <v/>
      </c>
      <c r="B5068" s="15" t="str">
        <f t="shared" si="390"/>
        <v/>
      </c>
      <c r="M5068" s="9"/>
      <c r="N5068" s="9"/>
      <c r="P5068" s="14"/>
      <c r="Q5068" s="85"/>
      <c r="R5068" s="89"/>
      <c r="U5068" s="11" t="str">
        <f t="shared" si="388"/>
        <v/>
      </c>
      <c r="V5068" s="12" t="str">
        <f t="shared" si="389"/>
        <v/>
      </c>
      <c r="Z5068" s="15"/>
    </row>
    <row r="5069" spans="1:26" x14ac:dyDescent="0.25">
      <c r="A5069" s="15" t="str">
        <f>IF(C5069="","",COUNTA($C$3:C5069))</f>
        <v/>
      </c>
      <c r="B5069" s="15" t="str">
        <f t="shared" si="390"/>
        <v/>
      </c>
      <c r="M5069" s="9"/>
      <c r="N5069" s="9"/>
      <c r="P5069" s="14"/>
      <c r="Q5069" s="85"/>
      <c r="R5069" s="89"/>
      <c r="U5069" s="11" t="str">
        <f t="shared" si="388"/>
        <v/>
      </c>
      <c r="V5069" s="12" t="str">
        <f t="shared" si="389"/>
        <v/>
      </c>
      <c r="Z5069" s="15"/>
    </row>
    <row r="5070" spans="1:26" x14ac:dyDescent="0.25">
      <c r="A5070" s="15" t="str">
        <f>IF(C5070="","",COUNTA($C$3:C5070))</f>
        <v/>
      </c>
      <c r="B5070" s="15" t="str">
        <f t="shared" si="390"/>
        <v/>
      </c>
      <c r="M5070" s="9"/>
      <c r="N5070" s="9"/>
      <c r="P5070" s="14"/>
      <c r="Q5070" s="85"/>
      <c r="R5070" s="89"/>
      <c r="U5070" s="11" t="str">
        <f t="shared" si="388"/>
        <v/>
      </c>
      <c r="V5070" s="12" t="str">
        <f t="shared" si="389"/>
        <v/>
      </c>
      <c r="Z5070" s="15"/>
    </row>
    <row r="5071" spans="1:26" x14ac:dyDescent="0.25">
      <c r="A5071" s="15" t="str">
        <f>IF(C5071="","",COUNTA($C$3:C5071))</f>
        <v/>
      </c>
      <c r="B5071" s="15" t="str">
        <f t="shared" si="390"/>
        <v/>
      </c>
      <c r="M5071" s="9"/>
      <c r="N5071" s="9"/>
      <c r="P5071" s="14"/>
      <c r="Q5071" s="85"/>
      <c r="R5071" s="89"/>
      <c r="U5071" s="11" t="str">
        <f t="shared" si="388"/>
        <v/>
      </c>
      <c r="V5071" s="12" t="str">
        <f t="shared" si="389"/>
        <v/>
      </c>
      <c r="Z5071" s="15"/>
    </row>
    <row r="5072" spans="1:26" x14ac:dyDescent="0.25">
      <c r="A5072" s="15" t="str">
        <f>IF(C5072="","",COUNTA($C$3:C5072))</f>
        <v/>
      </c>
      <c r="B5072" s="15" t="str">
        <f t="shared" si="390"/>
        <v/>
      </c>
      <c r="M5072" s="9"/>
      <c r="N5072" s="9"/>
      <c r="P5072" s="14"/>
      <c r="Q5072" s="85"/>
      <c r="R5072" s="89"/>
      <c r="U5072" s="11" t="str">
        <f t="shared" si="388"/>
        <v/>
      </c>
      <c r="V5072" s="12" t="str">
        <f t="shared" si="389"/>
        <v/>
      </c>
      <c r="Z5072" s="15"/>
    </row>
    <row r="5073" spans="1:26" x14ac:dyDescent="0.25">
      <c r="A5073" s="15" t="str">
        <f>IF(C5073="","",COUNTA($C$3:C5073))</f>
        <v/>
      </c>
      <c r="B5073" s="15" t="str">
        <f t="shared" si="390"/>
        <v/>
      </c>
      <c r="M5073" s="9"/>
      <c r="N5073" s="9"/>
      <c r="P5073" s="14"/>
      <c r="Q5073" s="85"/>
      <c r="R5073" s="89"/>
      <c r="U5073" s="11" t="str">
        <f t="shared" si="388"/>
        <v/>
      </c>
      <c r="V5073" s="12" t="str">
        <f t="shared" si="389"/>
        <v/>
      </c>
      <c r="Z5073" s="15"/>
    </row>
    <row r="5074" spans="1:26" x14ac:dyDescent="0.25">
      <c r="A5074" s="15" t="str">
        <f>IF(C5074="","",COUNTA($C$3:C5074))</f>
        <v/>
      </c>
      <c r="B5074" s="15" t="str">
        <f t="shared" si="390"/>
        <v/>
      </c>
      <c r="M5074" s="9"/>
      <c r="N5074" s="9"/>
      <c r="P5074" s="14"/>
      <c r="Q5074" s="85"/>
      <c r="R5074" s="89"/>
      <c r="U5074" s="11" t="str">
        <f t="shared" si="388"/>
        <v/>
      </c>
      <c r="V5074" s="12" t="str">
        <f t="shared" si="389"/>
        <v/>
      </c>
      <c r="Z5074" s="15"/>
    </row>
    <row r="5075" spans="1:26" x14ac:dyDescent="0.25">
      <c r="A5075" s="15" t="str">
        <f>IF(C5075="","",COUNTA($C$3:C5075))</f>
        <v/>
      </c>
      <c r="B5075" s="15" t="str">
        <f t="shared" si="390"/>
        <v/>
      </c>
      <c r="M5075" s="9"/>
      <c r="N5075" s="9"/>
      <c r="P5075" s="14"/>
      <c r="Q5075" s="85"/>
      <c r="R5075" s="89"/>
      <c r="U5075" s="11" t="str">
        <f t="shared" si="388"/>
        <v/>
      </c>
      <c r="V5075" s="12" t="str">
        <f t="shared" si="389"/>
        <v/>
      </c>
      <c r="Z5075" s="15"/>
    </row>
    <row r="5076" spans="1:26" x14ac:dyDescent="0.25">
      <c r="A5076" s="15" t="str">
        <f>IF(C5076="","",COUNTA($C$3:C5076))</f>
        <v/>
      </c>
      <c r="B5076" s="15" t="str">
        <f t="shared" si="390"/>
        <v/>
      </c>
      <c r="M5076" s="9"/>
      <c r="N5076" s="9"/>
      <c r="P5076" s="14"/>
      <c r="Q5076" s="85"/>
      <c r="R5076" s="89"/>
      <c r="U5076" s="11" t="str">
        <f t="shared" si="388"/>
        <v/>
      </c>
      <c r="V5076" s="12" t="str">
        <f t="shared" si="389"/>
        <v/>
      </c>
      <c r="Z5076" s="15"/>
    </row>
    <row r="5077" spans="1:26" x14ac:dyDescent="0.25">
      <c r="A5077" s="15" t="str">
        <f>IF(C5077="","",COUNTA($C$3:C5077))</f>
        <v/>
      </c>
      <c r="B5077" s="15" t="str">
        <f t="shared" si="390"/>
        <v/>
      </c>
      <c r="M5077" s="9"/>
      <c r="N5077" s="9"/>
      <c r="P5077" s="14"/>
      <c r="Q5077" s="85"/>
      <c r="R5077" s="89"/>
      <c r="U5077" s="11" t="str">
        <f t="shared" si="388"/>
        <v/>
      </c>
      <c r="V5077" s="12" t="str">
        <f t="shared" si="389"/>
        <v/>
      </c>
      <c r="Z5077" s="15"/>
    </row>
    <row r="5078" spans="1:26" x14ac:dyDescent="0.25">
      <c r="A5078" s="15" t="str">
        <f>IF(C5078="","",COUNTA($C$3:C5078))</f>
        <v/>
      </c>
      <c r="B5078" s="15" t="str">
        <f t="shared" si="390"/>
        <v/>
      </c>
      <c r="M5078" s="9"/>
      <c r="N5078" s="9"/>
      <c r="P5078" s="14"/>
      <c r="Q5078" s="85"/>
      <c r="R5078" s="89"/>
      <c r="U5078" s="11" t="str">
        <f t="shared" si="388"/>
        <v/>
      </c>
      <c r="V5078" s="12" t="str">
        <f t="shared" si="389"/>
        <v/>
      </c>
      <c r="Z5078" s="15"/>
    </row>
    <row r="5079" spans="1:26" x14ac:dyDescent="0.25">
      <c r="A5079" s="15" t="str">
        <f>IF(C5079="","",COUNTA($C$3:C5079))</f>
        <v/>
      </c>
      <c r="B5079" s="15" t="str">
        <f t="shared" si="390"/>
        <v/>
      </c>
      <c r="M5079" s="9"/>
      <c r="N5079" s="9"/>
      <c r="P5079" s="14"/>
      <c r="Q5079" s="85"/>
      <c r="R5079" s="89"/>
      <c r="U5079" s="11" t="str">
        <f t="shared" si="388"/>
        <v/>
      </c>
      <c r="V5079" s="12" t="str">
        <f t="shared" si="389"/>
        <v/>
      </c>
      <c r="Z5079" s="15"/>
    </row>
    <row r="5080" spans="1:26" x14ac:dyDescent="0.25">
      <c r="A5080" s="15" t="str">
        <f>IF(C5080="","",COUNTA($C$3:C5080))</f>
        <v/>
      </c>
      <c r="B5080" s="15" t="str">
        <f t="shared" si="390"/>
        <v/>
      </c>
      <c r="M5080" s="9"/>
      <c r="N5080" s="9"/>
      <c r="P5080" s="14"/>
      <c r="Q5080" s="85"/>
      <c r="R5080" s="89"/>
      <c r="U5080" s="11" t="str">
        <f t="shared" si="388"/>
        <v/>
      </c>
      <c r="V5080" s="12" t="str">
        <f t="shared" si="389"/>
        <v/>
      </c>
      <c r="Z5080" s="15"/>
    </row>
    <row r="5081" spans="1:26" x14ac:dyDescent="0.25">
      <c r="A5081" s="15" t="str">
        <f>IF(C5081="","",COUNTA($C$3:C5081))</f>
        <v/>
      </c>
      <c r="B5081" s="15" t="str">
        <f t="shared" si="390"/>
        <v/>
      </c>
      <c r="M5081" s="9"/>
      <c r="N5081" s="9"/>
      <c r="P5081" s="14"/>
      <c r="Q5081" s="85"/>
      <c r="R5081" s="89"/>
      <c r="U5081" s="11" t="str">
        <f t="shared" si="388"/>
        <v/>
      </c>
      <c r="V5081" s="12" t="str">
        <f t="shared" si="389"/>
        <v/>
      </c>
      <c r="Z5081" s="15"/>
    </row>
    <row r="5082" spans="1:26" x14ac:dyDescent="0.25">
      <c r="A5082" s="15" t="str">
        <f>IF(C5082="","",COUNTA($C$3:C5082))</f>
        <v/>
      </c>
      <c r="B5082" s="15" t="str">
        <f t="shared" si="390"/>
        <v/>
      </c>
      <c r="M5082" s="9"/>
      <c r="N5082" s="9"/>
      <c r="P5082" s="14"/>
      <c r="Q5082" s="85"/>
      <c r="R5082" s="89"/>
      <c r="U5082" s="11" t="str">
        <f t="shared" si="388"/>
        <v/>
      </c>
      <c r="V5082" s="12" t="str">
        <f t="shared" si="389"/>
        <v/>
      </c>
      <c r="Z5082" s="15"/>
    </row>
    <row r="5083" spans="1:26" x14ac:dyDescent="0.25">
      <c r="A5083" s="15" t="str">
        <f>IF(C5083="","",COUNTA($C$3:C5083))</f>
        <v/>
      </c>
      <c r="B5083" s="15" t="str">
        <f t="shared" si="390"/>
        <v/>
      </c>
      <c r="M5083" s="9"/>
      <c r="N5083" s="9"/>
      <c r="P5083" s="14"/>
      <c r="Q5083" s="85"/>
      <c r="R5083" s="89"/>
      <c r="U5083" s="11" t="str">
        <f t="shared" si="388"/>
        <v/>
      </c>
      <c r="V5083" s="12" t="str">
        <f t="shared" si="389"/>
        <v/>
      </c>
      <c r="Z5083" s="15"/>
    </row>
    <row r="5084" spans="1:26" x14ac:dyDescent="0.25">
      <c r="A5084" s="15" t="str">
        <f>IF(C5084="","",COUNTA($C$3:C5084))</f>
        <v/>
      </c>
      <c r="B5084" s="15" t="str">
        <f t="shared" si="390"/>
        <v/>
      </c>
      <c r="M5084" s="9"/>
      <c r="N5084" s="9"/>
      <c r="P5084" s="14"/>
      <c r="Q5084" s="85"/>
      <c r="R5084" s="89"/>
      <c r="U5084" s="11" t="str">
        <f t="shared" si="388"/>
        <v/>
      </c>
      <c r="V5084" s="12" t="str">
        <f t="shared" si="389"/>
        <v/>
      </c>
      <c r="Z5084" s="15"/>
    </row>
    <row r="5085" spans="1:26" x14ac:dyDescent="0.25">
      <c r="A5085" s="15" t="str">
        <f>IF(C5085="","",COUNTA($C$3:C5085))</f>
        <v/>
      </c>
      <c r="B5085" s="15" t="str">
        <f t="shared" si="390"/>
        <v/>
      </c>
      <c r="M5085" s="9"/>
      <c r="N5085" s="9"/>
      <c r="P5085" s="14"/>
      <c r="Q5085" s="85"/>
      <c r="R5085" s="89"/>
      <c r="U5085" s="11" t="str">
        <f t="shared" si="388"/>
        <v/>
      </c>
      <c r="V5085" s="12" t="str">
        <f t="shared" si="389"/>
        <v/>
      </c>
      <c r="Z5085" s="15"/>
    </row>
    <row r="5086" spans="1:26" x14ac:dyDescent="0.25">
      <c r="A5086" s="15" t="str">
        <f>IF(C5086="","",COUNTA($C$3:C5086))</f>
        <v/>
      </c>
      <c r="B5086" s="15" t="str">
        <f t="shared" si="390"/>
        <v/>
      </c>
      <c r="M5086" s="9"/>
      <c r="N5086" s="9"/>
      <c r="P5086" s="14"/>
      <c r="Q5086" s="85"/>
      <c r="R5086" s="89"/>
      <c r="U5086" s="11" t="str">
        <f t="shared" si="388"/>
        <v/>
      </c>
      <c r="V5086" s="12" t="str">
        <f t="shared" si="389"/>
        <v/>
      </c>
      <c r="Z5086" s="15"/>
    </row>
    <row r="5087" spans="1:26" x14ac:dyDescent="0.25">
      <c r="A5087" s="15" t="str">
        <f>IF(C5087="","",COUNTA($C$3:C5087))</f>
        <v/>
      </c>
      <c r="B5087" s="15" t="str">
        <f t="shared" si="390"/>
        <v/>
      </c>
      <c r="M5087" s="9"/>
      <c r="N5087" s="9"/>
      <c r="P5087" s="14"/>
      <c r="Q5087" s="85"/>
      <c r="R5087" s="89"/>
      <c r="U5087" s="11" t="str">
        <f t="shared" si="388"/>
        <v/>
      </c>
      <c r="V5087" s="12" t="str">
        <f t="shared" si="389"/>
        <v/>
      </c>
      <c r="Z5087" s="15"/>
    </row>
    <row r="5088" spans="1:26" x14ac:dyDescent="0.25">
      <c r="A5088" s="15" t="str">
        <f>IF(C5088="","",COUNTA($C$3:C5088))</f>
        <v/>
      </c>
      <c r="B5088" s="15" t="str">
        <f t="shared" si="390"/>
        <v/>
      </c>
      <c r="M5088" s="9"/>
      <c r="N5088" s="9"/>
      <c r="P5088" s="14"/>
      <c r="Q5088" s="85"/>
      <c r="R5088" s="89"/>
      <c r="U5088" s="11" t="str">
        <f t="shared" si="388"/>
        <v/>
      </c>
      <c r="V5088" s="12" t="str">
        <f t="shared" si="389"/>
        <v/>
      </c>
      <c r="Z5088" s="15"/>
    </row>
    <row r="5089" spans="1:26" x14ac:dyDescent="0.25">
      <c r="A5089" s="15" t="str">
        <f>IF(C5089="","",COUNTA($C$3:C5089))</f>
        <v/>
      </c>
      <c r="B5089" s="15" t="str">
        <f t="shared" si="390"/>
        <v/>
      </c>
      <c r="M5089" s="9"/>
      <c r="N5089" s="9"/>
      <c r="P5089" s="14"/>
      <c r="Q5089" s="85"/>
      <c r="R5089" s="89"/>
      <c r="U5089" s="11" t="str">
        <f t="shared" si="388"/>
        <v/>
      </c>
      <c r="V5089" s="12" t="str">
        <f t="shared" si="389"/>
        <v/>
      </c>
      <c r="Z5089" s="15"/>
    </row>
    <row r="5090" spans="1:26" x14ac:dyDescent="0.25">
      <c r="A5090" s="15" t="str">
        <f>IF(C5090="","",COUNTA($C$3:C5090))</f>
        <v/>
      </c>
      <c r="B5090" s="15" t="str">
        <f t="shared" si="390"/>
        <v/>
      </c>
      <c r="M5090" s="9"/>
      <c r="N5090" s="9"/>
      <c r="P5090" s="14"/>
      <c r="Q5090" s="85"/>
      <c r="R5090" s="89"/>
      <c r="U5090" s="11" t="str">
        <f t="shared" si="388"/>
        <v/>
      </c>
      <c r="V5090" s="12" t="str">
        <f t="shared" si="389"/>
        <v/>
      </c>
      <c r="Z5090" s="15"/>
    </row>
    <row r="5091" spans="1:26" x14ac:dyDescent="0.25">
      <c r="A5091" s="15" t="str">
        <f>IF(C5091="","",COUNTA($C$3:C5091))</f>
        <v/>
      </c>
      <c r="B5091" s="15" t="str">
        <f t="shared" si="390"/>
        <v/>
      </c>
      <c r="M5091" s="9"/>
      <c r="N5091" s="9"/>
      <c r="P5091" s="14"/>
      <c r="Q5091" s="85"/>
      <c r="R5091" s="89"/>
      <c r="U5091" s="11" t="str">
        <f t="shared" si="388"/>
        <v/>
      </c>
      <c r="V5091" s="12" t="str">
        <f t="shared" si="389"/>
        <v/>
      </c>
      <c r="Z5091" s="15"/>
    </row>
    <row r="5092" spans="1:26" x14ac:dyDescent="0.25">
      <c r="A5092" s="15" t="str">
        <f>IF(C5092="","",COUNTA($C$3:C5092))</f>
        <v/>
      </c>
      <c r="B5092" s="15" t="str">
        <f t="shared" si="390"/>
        <v/>
      </c>
      <c r="M5092" s="9"/>
      <c r="N5092" s="9"/>
      <c r="P5092" s="14"/>
      <c r="Q5092" s="85"/>
      <c r="R5092" s="89"/>
      <c r="U5092" s="11" t="str">
        <f t="shared" si="388"/>
        <v/>
      </c>
      <c r="V5092" s="12" t="str">
        <f t="shared" si="389"/>
        <v/>
      </c>
      <c r="Z5092" s="15"/>
    </row>
    <row r="5093" spans="1:26" x14ac:dyDescent="0.25">
      <c r="A5093" s="15" t="str">
        <f>IF(C5093="","",COUNTA($C$3:C5093))</f>
        <v/>
      </c>
      <c r="B5093" s="15" t="str">
        <f t="shared" si="390"/>
        <v/>
      </c>
      <c r="M5093" s="9"/>
      <c r="N5093" s="9"/>
      <c r="P5093" s="14"/>
      <c r="Q5093" s="85"/>
      <c r="R5093" s="89"/>
      <c r="U5093" s="11" t="str">
        <f t="shared" si="388"/>
        <v/>
      </c>
      <c r="V5093" s="12" t="str">
        <f t="shared" si="389"/>
        <v/>
      </c>
      <c r="Z5093" s="15"/>
    </row>
    <row r="5094" spans="1:26" x14ac:dyDescent="0.25">
      <c r="A5094" s="15" t="str">
        <f>IF(C5094="","",COUNTA($C$3:C5094))</f>
        <v/>
      </c>
      <c r="B5094" s="15" t="str">
        <f t="shared" si="390"/>
        <v/>
      </c>
      <c r="M5094" s="9"/>
      <c r="N5094" s="9"/>
      <c r="P5094" s="14"/>
      <c r="Q5094" s="85"/>
      <c r="R5094" s="89"/>
      <c r="U5094" s="11" t="str">
        <f t="shared" si="388"/>
        <v/>
      </c>
      <c r="V5094" s="12" t="str">
        <f t="shared" si="389"/>
        <v/>
      </c>
      <c r="Z5094" s="15"/>
    </row>
    <row r="5095" spans="1:26" x14ac:dyDescent="0.25">
      <c r="A5095" s="15" t="str">
        <f>IF(C5095="","",COUNTA($C$3:C5095))</f>
        <v/>
      </c>
      <c r="B5095" s="15" t="str">
        <f t="shared" si="390"/>
        <v/>
      </c>
      <c r="M5095" s="9"/>
      <c r="N5095" s="9"/>
      <c r="P5095" s="14"/>
      <c r="Q5095" s="85"/>
      <c r="R5095" s="89"/>
      <c r="U5095" s="11" t="str">
        <f t="shared" si="388"/>
        <v/>
      </c>
      <c r="V5095" s="12" t="str">
        <f t="shared" si="389"/>
        <v/>
      </c>
      <c r="Z5095" s="15"/>
    </row>
    <row r="5096" spans="1:26" x14ac:dyDescent="0.25">
      <c r="A5096" s="15" t="str">
        <f>IF(C5096="","",COUNTA($C$3:C5096))</f>
        <v/>
      </c>
      <c r="B5096" s="15" t="str">
        <f t="shared" si="390"/>
        <v/>
      </c>
      <c r="M5096" s="9"/>
      <c r="N5096" s="9"/>
      <c r="P5096" s="14"/>
      <c r="Q5096" s="85"/>
      <c r="R5096" s="89"/>
      <c r="U5096" s="11" t="str">
        <f t="shared" si="388"/>
        <v/>
      </c>
      <c r="V5096" s="12" t="str">
        <f t="shared" si="389"/>
        <v/>
      </c>
      <c r="Z5096" s="15"/>
    </row>
    <row r="5097" spans="1:26" x14ac:dyDescent="0.25">
      <c r="A5097" s="15" t="str">
        <f>IF(C5097="","",COUNTA($C$3:C5097))</f>
        <v/>
      </c>
      <c r="B5097" s="15" t="str">
        <f t="shared" si="390"/>
        <v/>
      </c>
      <c r="M5097" s="9"/>
      <c r="N5097" s="9"/>
      <c r="P5097" s="14"/>
      <c r="Q5097" s="85"/>
      <c r="R5097" s="89"/>
      <c r="U5097" s="11" t="str">
        <f t="shared" si="388"/>
        <v/>
      </c>
      <c r="V5097" s="12" t="str">
        <f t="shared" si="389"/>
        <v/>
      </c>
      <c r="Z5097" s="15"/>
    </row>
    <row r="5098" spans="1:26" x14ac:dyDescent="0.25">
      <c r="A5098" s="15" t="str">
        <f>IF(C5098="","",COUNTA($C$3:C5098))</f>
        <v/>
      </c>
      <c r="B5098" s="15" t="str">
        <f t="shared" si="390"/>
        <v/>
      </c>
      <c r="M5098" s="9"/>
      <c r="N5098" s="9"/>
      <c r="P5098" s="14"/>
      <c r="Q5098" s="85"/>
      <c r="R5098" s="89"/>
      <c r="U5098" s="11" t="str">
        <f t="shared" si="388"/>
        <v/>
      </c>
      <c r="V5098" s="12" t="str">
        <f t="shared" si="389"/>
        <v/>
      </c>
      <c r="Z5098" s="15"/>
    </row>
    <row r="5099" spans="1:26" x14ac:dyDescent="0.25">
      <c r="A5099" s="15" t="str">
        <f>IF(C5099="","",COUNTA($C$3:C5099))</f>
        <v/>
      </c>
      <c r="B5099" s="15" t="str">
        <f t="shared" si="390"/>
        <v/>
      </c>
      <c r="M5099" s="9"/>
      <c r="N5099" s="9"/>
      <c r="P5099" s="14"/>
      <c r="Q5099" s="85"/>
      <c r="R5099" s="89"/>
      <c r="U5099" s="11" t="str">
        <f t="shared" si="388"/>
        <v/>
      </c>
      <c r="V5099" s="12" t="str">
        <f t="shared" si="389"/>
        <v/>
      </c>
      <c r="Z5099" s="15"/>
    </row>
    <row r="5100" spans="1:26" x14ac:dyDescent="0.25">
      <c r="A5100" s="15" t="str">
        <f>IF(C5100="","",COUNTA($C$3:C5100))</f>
        <v/>
      </c>
      <c r="B5100" s="15" t="str">
        <f t="shared" si="390"/>
        <v/>
      </c>
      <c r="M5100" s="9"/>
      <c r="N5100" s="9"/>
      <c r="P5100" s="14"/>
      <c r="Q5100" s="85"/>
      <c r="R5100" s="89"/>
      <c r="U5100" s="11" t="str">
        <f t="shared" si="388"/>
        <v/>
      </c>
      <c r="V5100" s="12" t="str">
        <f t="shared" si="389"/>
        <v/>
      </c>
      <c r="Z5100" s="15"/>
    </row>
    <row r="5101" spans="1:26" x14ac:dyDescent="0.25">
      <c r="A5101" s="15" t="str">
        <f>IF(C5101="","",COUNTA($C$3:C5101))</f>
        <v/>
      </c>
      <c r="B5101" s="15" t="str">
        <f t="shared" si="390"/>
        <v/>
      </c>
      <c r="M5101" s="9"/>
      <c r="N5101" s="9"/>
      <c r="P5101" s="14"/>
      <c r="Q5101" s="85"/>
      <c r="R5101" s="89"/>
      <c r="U5101" s="11" t="str">
        <f t="shared" si="388"/>
        <v/>
      </c>
      <c r="V5101" s="12" t="str">
        <f t="shared" si="389"/>
        <v/>
      </c>
      <c r="Z5101" s="15"/>
    </row>
    <row r="5102" spans="1:26" x14ac:dyDescent="0.25">
      <c r="A5102" s="15" t="str">
        <f>IF(C5102="","",COUNTA($C$3:C5102))</f>
        <v/>
      </c>
      <c r="B5102" s="15" t="str">
        <f t="shared" si="390"/>
        <v/>
      </c>
      <c r="M5102" s="9"/>
      <c r="N5102" s="9"/>
      <c r="P5102" s="14"/>
      <c r="Q5102" s="85"/>
      <c r="R5102" s="89"/>
      <c r="U5102" s="11" t="str">
        <f t="shared" si="388"/>
        <v/>
      </c>
      <c r="V5102" s="12" t="str">
        <f t="shared" si="389"/>
        <v/>
      </c>
      <c r="Z5102" s="15"/>
    </row>
    <row r="5103" spans="1:26" x14ac:dyDescent="0.25">
      <c r="A5103" s="15" t="str">
        <f>IF(C5103="","",COUNTA($C$3:C5103))</f>
        <v/>
      </c>
      <c r="B5103" s="15" t="str">
        <f t="shared" si="390"/>
        <v/>
      </c>
      <c r="M5103" s="9"/>
      <c r="N5103" s="9"/>
      <c r="P5103" s="14"/>
      <c r="Q5103" s="85"/>
      <c r="R5103" s="89"/>
      <c r="U5103" s="11" t="str">
        <f t="shared" si="388"/>
        <v/>
      </c>
      <c r="V5103" s="12" t="str">
        <f t="shared" si="389"/>
        <v/>
      </c>
      <c r="Z5103" s="15"/>
    </row>
    <row r="5104" spans="1:26" x14ac:dyDescent="0.25">
      <c r="A5104" s="15" t="str">
        <f>IF(C5104="","",COUNTA($C$3:C5104))</f>
        <v/>
      </c>
      <c r="B5104" s="15" t="str">
        <f t="shared" si="390"/>
        <v/>
      </c>
      <c r="M5104" s="9"/>
      <c r="N5104" s="9"/>
      <c r="P5104" s="14"/>
      <c r="Q5104" s="85"/>
      <c r="R5104" s="89"/>
      <c r="U5104" s="11" t="str">
        <f t="shared" si="388"/>
        <v/>
      </c>
      <c r="V5104" s="12" t="str">
        <f t="shared" si="389"/>
        <v/>
      </c>
      <c r="Z5104" s="15"/>
    </row>
    <row r="5105" spans="1:26" x14ac:dyDescent="0.25">
      <c r="A5105" s="15" t="str">
        <f>IF(C5105="","",COUNTA($C$3:C5105))</f>
        <v/>
      </c>
      <c r="B5105" s="15" t="str">
        <f t="shared" si="390"/>
        <v/>
      </c>
      <c r="M5105" s="9"/>
      <c r="N5105" s="9"/>
      <c r="P5105" s="14"/>
      <c r="Q5105" s="85"/>
      <c r="R5105" s="89"/>
      <c r="U5105" s="11" t="str">
        <f t="shared" si="388"/>
        <v/>
      </c>
      <c r="V5105" s="12" t="str">
        <f t="shared" si="389"/>
        <v/>
      </c>
      <c r="Z5105" s="15"/>
    </row>
    <row r="5106" spans="1:26" x14ac:dyDescent="0.25">
      <c r="A5106" s="15" t="str">
        <f>IF(C5106="","",COUNTA($C$3:C5106))</f>
        <v/>
      </c>
      <c r="B5106" s="15" t="str">
        <f t="shared" si="390"/>
        <v/>
      </c>
      <c r="M5106" s="9"/>
      <c r="N5106" s="9"/>
      <c r="P5106" s="14"/>
      <c r="Q5106" s="85"/>
      <c r="R5106" s="89"/>
      <c r="U5106" s="11" t="str">
        <f t="shared" si="388"/>
        <v/>
      </c>
      <c r="V5106" s="12" t="str">
        <f t="shared" si="389"/>
        <v/>
      </c>
      <c r="Z5106" s="15"/>
    </row>
    <row r="5107" spans="1:26" x14ac:dyDescent="0.25">
      <c r="A5107" s="15" t="str">
        <f>IF(C5107="","",COUNTA($C$3:C5107))</f>
        <v/>
      </c>
      <c r="B5107" s="15" t="str">
        <f t="shared" si="390"/>
        <v/>
      </c>
      <c r="M5107" s="9"/>
      <c r="N5107" s="9"/>
      <c r="P5107" s="14"/>
      <c r="Q5107" s="85"/>
      <c r="R5107" s="89"/>
      <c r="U5107" s="11" t="str">
        <f t="shared" si="388"/>
        <v/>
      </c>
      <c r="V5107" s="12" t="str">
        <f t="shared" si="389"/>
        <v/>
      </c>
      <c r="Z5107" s="15"/>
    </row>
    <row r="5108" spans="1:26" x14ac:dyDescent="0.25">
      <c r="A5108" s="15" t="str">
        <f>IF(C5108="","",COUNTA($C$3:C5108))</f>
        <v/>
      </c>
      <c r="B5108" s="15" t="str">
        <f t="shared" si="390"/>
        <v/>
      </c>
      <c r="M5108" s="9"/>
      <c r="N5108" s="9"/>
      <c r="P5108" s="14"/>
      <c r="Q5108" s="85"/>
      <c r="R5108" s="89"/>
      <c r="U5108" s="11" t="str">
        <f t="shared" si="388"/>
        <v/>
      </c>
      <c r="V5108" s="12" t="str">
        <f t="shared" si="389"/>
        <v/>
      </c>
      <c r="Z5108" s="15"/>
    </row>
    <row r="5109" spans="1:26" x14ac:dyDescent="0.25">
      <c r="A5109" s="15" t="str">
        <f>IF(C5109="","",COUNTA($C$3:C5109))</f>
        <v/>
      </c>
      <c r="B5109" s="15" t="str">
        <f t="shared" si="390"/>
        <v/>
      </c>
      <c r="M5109" s="9"/>
      <c r="N5109" s="9"/>
      <c r="P5109" s="14"/>
      <c r="Q5109" s="85"/>
      <c r="R5109" s="89"/>
      <c r="U5109" s="11" t="str">
        <f t="shared" si="388"/>
        <v/>
      </c>
      <c r="V5109" s="12" t="str">
        <f t="shared" si="389"/>
        <v/>
      </c>
      <c r="Z5109" s="15"/>
    </row>
    <row r="5110" spans="1:26" x14ac:dyDescent="0.25">
      <c r="A5110" s="15" t="str">
        <f>IF(C5110="","",COUNTA($C$3:C5110))</f>
        <v/>
      </c>
      <c r="B5110" s="15" t="str">
        <f t="shared" si="390"/>
        <v/>
      </c>
      <c r="M5110" s="9"/>
      <c r="N5110" s="9"/>
      <c r="P5110" s="14"/>
      <c r="Q5110" s="85"/>
      <c r="R5110" s="89"/>
      <c r="U5110" s="11" t="str">
        <f t="shared" si="388"/>
        <v/>
      </c>
      <c r="V5110" s="12" t="str">
        <f t="shared" si="389"/>
        <v/>
      </c>
      <c r="Z5110" s="15"/>
    </row>
    <row r="5111" spans="1:26" x14ac:dyDescent="0.25">
      <c r="A5111" s="15" t="str">
        <f>IF(C5111="","",COUNTA($C$3:C5111))</f>
        <v/>
      </c>
      <c r="B5111" s="15" t="str">
        <f t="shared" si="390"/>
        <v/>
      </c>
      <c r="M5111" s="9"/>
      <c r="N5111" s="9"/>
      <c r="P5111" s="14"/>
      <c r="Q5111" s="85"/>
      <c r="R5111" s="89"/>
      <c r="U5111" s="11" t="str">
        <f t="shared" si="388"/>
        <v/>
      </c>
      <c r="V5111" s="12" t="str">
        <f t="shared" si="389"/>
        <v/>
      </c>
      <c r="Z5111" s="15"/>
    </row>
    <row r="5112" spans="1:26" x14ac:dyDescent="0.25">
      <c r="A5112" s="15" t="str">
        <f>IF(C5112="","",COUNTA($C$3:C5112))</f>
        <v/>
      </c>
      <c r="B5112" s="15" t="str">
        <f t="shared" si="390"/>
        <v/>
      </c>
      <c r="M5112" s="9"/>
      <c r="N5112" s="9"/>
      <c r="P5112" s="14"/>
      <c r="Q5112" s="85"/>
      <c r="R5112" s="89"/>
      <c r="U5112" s="11" t="str">
        <f t="shared" si="388"/>
        <v/>
      </c>
      <c r="V5112" s="12" t="str">
        <f t="shared" si="389"/>
        <v/>
      </c>
      <c r="Z5112" s="15"/>
    </row>
    <row r="5113" spans="1:26" x14ac:dyDescent="0.25">
      <c r="A5113" s="15" t="str">
        <f>IF(C5113="","",COUNTA($C$3:C5113))</f>
        <v/>
      </c>
      <c r="B5113" s="15" t="str">
        <f t="shared" si="390"/>
        <v/>
      </c>
      <c r="M5113" s="9"/>
      <c r="N5113" s="9"/>
      <c r="P5113" s="14"/>
      <c r="Q5113" s="85"/>
      <c r="R5113" s="89"/>
      <c r="U5113" s="11" t="str">
        <f t="shared" si="388"/>
        <v/>
      </c>
      <c r="V5113" s="12" t="str">
        <f t="shared" si="389"/>
        <v/>
      </c>
      <c r="Z5113" s="15"/>
    </row>
    <row r="5114" spans="1:26" x14ac:dyDescent="0.25">
      <c r="A5114" s="15" t="str">
        <f>IF(C5114="","",COUNTA($C$3:C5114))</f>
        <v/>
      </c>
      <c r="B5114" s="15" t="str">
        <f t="shared" si="390"/>
        <v/>
      </c>
      <c r="M5114" s="9"/>
      <c r="N5114" s="9"/>
      <c r="P5114" s="14"/>
      <c r="Q5114" s="85"/>
      <c r="R5114" s="89"/>
      <c r="U5114" s="11" t="str">
        <f t="shared" si="388"/>
        <v/>
      </c>
      <c r="V5114" s="12" t="str">
        <f t="shared" si="389"/>
        <v/>
      </c>
      <c r="Z5114" s="15"/>
    </row>
    <row r="5115" spans="1:26" x14ac:dyDescent="0.25">
      <c r="A5115" s="15" t="str">
        <f>IF(C5115="","",COUNTA($C$3:C5115))</f>
        <v/>
      </c>
      <c r="B5115" s="15" t="str">
        <f t="shared" si="390"/>
        <v/>
      </c>
      <c r="M5115" s="9"/>
      <c r="N5115" s="9"/>
      <c r="P5115" s="14"/>
      <c r="Q5115" s="85"/>
      <c r="R5115" s="89"/>
      <c r="U5115" s="11" t="str">
        <f t="shared" si="388"/>
        <v/>
      </c>
      <c r="V5115" s="12" t="str">
        <f t="shared" si="389"/>
        <v/>
      </c>
      <c r="Z5115" s="15"/>
    </row>
    <row r="5116" spans="1:26" x14ac:dyDescent="0.25">
      <c r="A5116" s="15" t="str">
        <f>IF(C5116="","",COUNTA($C$3:C5116))</f>
        <v/>
      </c>
      <c r="B5116" s="15" t="str">
        <f t="shared" si="390"/>
        <v/>
      </c>
      <c r="M5116" s="9"/>
      <c r="N5116" s="9"/>
      <c r="P5116" s="14"/>
      <c r="Q5116" s="85"/>
      <c r="R5116" s="89"/>
      <c r="U5116" s="11" t="str">
        <f t="shared" si="388"/>
        <v/>
      </c>
      <c r="V5116" s="12" t="str">
        <f t="shared" si="389"/>
        <v/>
      </c>
      <c r="Z5116" s="15"/>
    </row>
    <row r="5117" spans="1:26" x14ac:dyDescent="0.25">
      <c r="A5117" s="15" t="str">
        <f>IF(C5117="","",COUNTA($C$3:C5117))</f>
        <v/>
      </c>
      <c r="B5117" s="15" t="str">
        <f t="shared" si="390"/>
        <v/>
      </c>
      <c r="M5117" s="9"/>
      <c r="N5117" s="9"/>
      <c r="P5117" s="14"/>
      <c r="Q5117" s="85"/>
      <c r="R5117" s="89"/>
      <c r="U5117" s="11" t="str">
        <f t="shared" si="388"/>
        <v/>
      </c>
      <c r="V5117" s="12" t="str">
        <f t="shared" si="389"/>
        <v/>
      </c>
      <c r="Z5117" s="15"/>
    </row>
    <row r="5118" spans="1:26" x14ac:dyDescent="0.25">
      <c r="A5118" s="15" t="str">
        <f>IF(C5118="","",COUNTA($C$3:C5118))</f>
        <v/>
      </c>
      <c r="B5118" s="15" t="str">
        <f t="shared" si="390"/>
        <v/>
      </c>
      <c r="M5118" s="9"/>
      <c r="N5118" s="9"/>
      <c r="P5118" s="14"/>
      <c r="Q5118" s="85"/>
      <c r="R5118" s="89"/>
      <c r="U5118" s="11" t="str">
        <f t="shared" si="388"/>
        <v/>
      </c>
      <c r="V5118" s="12" t="str">
        <f t="shared" si="389"/>
        <v/>
      </c>
      <c r="Z5118" s="15"/>
    </row>
    <row r="5119" spans="1:26" x14ac:dyDescent="0.25">
      <c r="A5119" s="15" t="str">
        <f>IF(C5119="","",COUNTA($C$3:C5119))</f>
        <v/>
      </c>
      <c r="B5119" s="15" t="str">
        <f t="shared" si="390"/>
        <v/>
      </c>
      <c r="M5119" s="9"/>
      <c r="N5119" s="9"/>
      <c r="P5119" s="14"/>
      <c r="Q5119" s="85"/>
      <c r="R5119" s="89"/>
      <c r="U5119" s="11" t="str">
        <f t="shared" si="388"/>
        <v/>
      </c>
      <c r="V5119" s="12" t="str">
        <f t="shared" si="389"/>
        <v/>
      </c>
      <c r="Z5119" s="15"/>
    </row>
    <row r="5120" spans="1:26" x14ac:dyDescent="0.25">
      <c r="A5120" s="15" t="str">
        <f>IF(C5120="","",COUNTA($C$3:C5120))</f>
        <v/>
      </c>
      <c r="B5120" s="15" t="str">
        <f t="shared" si="390"/>
        <v/>
      </c>
      <c r="M5120" s="9"/>
      <c r="N5120" s="9"/>
      <c r="P5120" s="14"/>
      <c r="Q5120" s="85"/>
      <c r="R5120" s="89"/>
      <c r="U5120" s="11" t="str">
        <f t="shared" si="388"/>
        <v/>
      </c>
      <c r="V5120" s="12" t="str">
        <f t="shared" si="389"/>
        <v/>
      </c>
      <c r="Z5120" s="15"/>
    </row>
    <row r="5121" spans="1:26" x14ac:dyDescent="0.25">
      <c r="A5121" s="15" t="str">
        <f>IF(C5121="","",COUNTA($C$3:C5121))</f>
        <v/>
      </c>
      <c r="B5121" s="15" t="str">
        <f t="shared" si="390"/>
        <v/>
      </c>
      <c r="M5121" s="9"/>
      <c r="N5121" s="9"/>
      <c r="P5121" s="14"/>
      <c r="Q5121" s="85"/>
      <c r="R5121" s="89"/>
      <c r="U5121" s="11" t="str">
        <f t="shared" si="388"/>
        <v/>
      </c>
      <c r="V5121" s="12" t="str">
        <f t="shared" si="389"/>
        <v/>
      </c>
      <c r="Z5121" s="15"/>
    </row>
    <row r="5122" spans="1:26" x14ac:dyDescent="0.25">
      <c r="A5122" s="15" t="str">
        <f>IF(C5122="","",COUNTA($C$3:C5122))</f>
        <v/>
      </c>
      <c r="B5122" s="15" t="str">
        <f t="shared" si="390"/>
        <v/>
      </c>
      <c r="M5122" s="9"/>
      <c r="N5122" s="9"/>
      <c r="P5122" s="14"/>
      <c r="Q5122" s="85"/>
      <c r="R5122" s="89"/>
      <c r="U5122" s="11" t="str">
        <f t="shared" ref="U5122:U5185" si="391">IF(S5122="","",(S5122-T5122))</f>
        <v/>
      </c>
      <c r="V5122" s="12" t="str">
        <f t="shared" ref="V5122:V5185" si="392">IF(U5122="","",(U5122/T5122))</f>
        <v/>
      </c>
      <c r="Z5122" s="15"/>
    </row>
    <row r="5123" spans="1:26" x14ac:dyDescent="0.25">
      <c r="A5123" s="15" t="str">
        <f>IF(C5123="","",COUNTA($C$3:C5123))</f>
        <v/>
      </c>
      <c r="B5123" s="15" t="str">
        <f t="shared" ref="B5123:B5186" si="393">IF(C5123="","",TEXT(C5123,"mmmm"))</f>
        <v/>
      </c>
      <c r="M5123" s="9"/>
      <c r="N5123" s="9"/>
      <c r="P5123" s="14"/>
      <c r="Q5123" s="85"/>
      <c r="R5123" s="89"/>
      <c r="U5123" s="11" t="str">
        <f t="shared" si="391"/>
        <v/>
      </c>
      <c r="V5123" s="12" t="str">
        <f t="shared" si="392"/>
        <v/>
      </c>
      <c r="Z5123" s="15"/>
    </row>
    <row r="5124" spans="1:26" x14ac:dyDescent="0.25">
      <c r="A5124" s="15" t="str">
        <f>IF(C5124="","",COUNTA($C$3:C5124))</f>
        <v/>
      </c>
      <c r="B5124" s="15" t="str">
        <f t="shared" si="393"/>
        <v/>
      </c>
      <c r="M5124" s="9"/>
      <c r="N5124" s="9"/>
      <c r="P5124" s="14"/>
      <c r="Q5124" s="85"/>
      <c r="R5124" s="89"/>
      <c r="U5124" s="11" t="str">
        <f t="shared" si="391"/>
        <v/>
      </c>
      <c r="V5124" s="12" t="str">
        <f t="shared" si="392"/>
        <v/>
      </c>
      <c r="Z5124" s="15"/>
    </row>
    <row r="5125" spans="1:26" x14ac:dyDescent="0.25">
      <c r="A5125" s="15" t="str">
        <f>IF(C5125="","",COUNTA($C$3:C5125))</f>
        <v/>
      </c>
      <c r="B5125" s="15" t="str">
        <f t="shared" si="393"/>
        <v/>
      </c>
      <c r="M5125" s="9"/>
      <c r="N5125" s="9"/>
      <c r="P5125" s="14"/>
      <c r="Q5125" s="85"/>
      <c r="R5125" s="89"/>
      <c r="U5125" s="11" t="str">
        <f t="shared" si="391"/>
        <v/>
      </c>
      <c r="V5125" s="12" t="str">
        <f t="shared" si="392"/>
        <v/>
      </c>
      <c r="Z5125" s="15"/>
    </row>
    <row r="5126" spans="1:26" x14ac:dyDescent="0.25">
      <c r="A5126" s="15" t="str">
        <f>IF(C5126="","",COUNTA($C$3:C5126))</f>
        <v/>
      </c>
      <c r="B5126" s="15" t="str">
        <f t="shared" si="393"/>
        <v/>
      </c>
      <c r="M5126" s="9"/>
      <c r="N5126" s="9"/>
      <c r="P5126" s="14"/>
      <c r="Q5126" s="85"/>
      <c r="R5126" s="89"/>
      <c r="U5126" s="11" t="str">
        <f t="shared" si="391"/>
        <v/>
      </c>
      <c r="V5126" s="12" t="str">
        <f t="shared" si="392"/>
        <v/>
      </c>
      <c r="Z5126" s="15"/>
    </row>
    <row r="5127" spans="1:26" x14ac:dyDescent="0.25">
      <c r="A5127" s="15" t="str">
        <f>IF(C5127="","",COUNTA($C$3:C5127))</f>
        <v/>
      </c>
      <c r="B5127" s="15" t="str">
        <f t="shared" si="393"/>
        <v/>
      </c>
      <c r="M5127" s="9"/>
      <c r="N5127" s="9"/>
      <c r="P5127" s="14"/>
      <c r="Q5127" s="85"/>
      <c r="R5127" s="89"/>
      <c r="U5127" s="11" t="str">
        <f t="shared" si="391"/>
        <v/>
      </c>
      <c r="V5127" s="12" t="str">
        <f t="shared" si="392"/>
        <v/>
      </c>
      <c r="Z5127" s="15"/>
    </row>
    <row r="5128" spans="1:26" x14ac:dyDescent="0.25">
      <c r="A5128" s="15" t="str">
        <f>IF(C5128="","",COUNTA($C$3:C5128))</f>
        <v/>
      </c>
      <c r="B5128" s="15" t="str">
        <f t="shared" si="393"/>
        <v/>
      </c>
      <c r="M5128" s="9"/>
      <c r="N5128" s="9"/>
      <c r="P5128" s="14"/>
      <c r="Q5128" s="85"/>
      <c r="R5128" s="89"/>
      <c r="U5128" s="11" t="str">
        <f t="shared" si="391"/>
        <v/>
      </c>
      <c r="V5128" s="12" t="str">
        <f t="shared" si="392"/>
        <v/>
      </c>
      <c r="Z5128" s="15"/>
    </row>
    <row r="5129" spans="1:26" x14ac:dyDescent="0.25">
      <c r="A5129" s="15" t="str">
        <f>IF(C5129="","",COUNTA($C$3:C5129))</f>
        <v/>
      </c>
      <c r="B5129" s="15" t="str">
        <f t="shared" si="393"/>
        <v/>
      </c>
      <c r="M5129" s="9"/>
      <c r="N5129" s="9"/>
      <c r="P5129" s="14"/>
      <c r="Q5129" s="85"/>
      <c r="R5129" s="89"/>
      <c r="U5129" s="11" t="str">
        <f t="shared" si="391"/>
        <v/>
      </c>
      <c r="V5129" s="12" t="str">
        <f t="shared" si="392"/>
        <v/>
      </c>
      <c r="Z5129" s="15"/>
    </row>
    <row r="5130" spans="1:26" x14ac:dyDescent="0.25">
      <c r="A5130" s="15" t="str">
        <f>IF(C5130="","",COUNTA($C$3:C5130))</f>
        <v/>
      </c>
      <c r="B5130" s="15" t="str">
        <f t="shared" si="393"/>
        <v/>
      </c>
      <c r="M5130" s="9"/>
      <c r="N5130" s="9"/>
      <c r="P5130" s="14"/>
      <c r="Q5130" s="85"/>
      <c r="R5130" s="89"/>
      <c r="U5130" s="11" t="str">
        <f t="shared" si="391"/>
        <v/>
      </c>
      <c r="V5130" s="12" t="str">
        <f t="shared" si="392"/>
        <v/>
      </c>
      <c r="Z5130" s="15"/>
    </row>
    <row r="5131" spans="1:26" x14ac:dyDescent="0.25">
      <c r="A5131" s="15" t="str">
        <f>IF(C5131="","",COUNTA($C$3:C5131))</f>
        <v/>
      </c>
      <c r="B5131" s="15" t="str">
        <f t="shared" si="393"/>
        <v/>
      </c>
      <c r="M5131" s="9"/>
      <c r="N5131" s="9"/>
      <c r="P5131" s="14"/>
      <c r="Q5131" s="85"/>
      <c r="R5131" s="89"/>
      <c r="U5131" s="11" t="str">
        <f t="shared" si="391"/>
        <v/>
      </c>
      <c r="V5131" s="12" t="str">
        <f t="shared" si="392"/>
        <v/>
      </c>
      <c r="Z5131" s="15"/>
    </row>
    <row r="5132" spans="1:26" x14ac:dyDescent="0.25">
      <c r="A5132" s="15" t="str">
        <f>IF(C5132="","",COUNTA($C$3:C5132))</f>
        <v/>
      </c>
      <c r="B5132" s="15" t="str">
        <f t="shared" si="393"/>
        <v/>
      </c>
      <c r="M5132" s="9"/>
      <c r="N5132" s="9"/>
      <c r="P5132" s="14"/>
      <c r="Q5132" s="85"/>
      <c r="R5132" s="89"/>
      <c r="U5132" s="11" t="str">
        <f t="shared" si="391"/>
        <v/>
      </c>
      <c r="V5132" s="12" t="str">
        <f t="shared" si="392"/>
        <v/>
      </c>
      <c r="Z5132" s="15"/>
    </row>
    <row r="5133" spans="1:26" x14ac:dyDescent="0.25">
      <c r="A5133" s="15" t="str">
        <f>IF(C5133="","",COUNTA($C$3:C5133))</f>
        <v/>
      </c>
      <c r="B5133" s="15" t="str">
        <f t="shared" si="393"/>
        <v/>
      </c>
      <c r="M5133" s="9"/>
      <c r="N5133" s="9"/>
      <c r="P5133" s="14"/>
      <c r="Q5133" s="85"/>
      <c r="R5133" s="89"/>
      <c r="U5133" s="11" t="str">
        <f t="shared" si="391"/>
        <v/>
      </c>
      <c r="V5133" s="12" t="str">
        <f t="shared" si="392"/>
        <v/>
      </c>
      <c r="Z5133" s="15"/>
    </row>
    <row r="5134" spans="1:26" x14ac:dyDescent="0.25">
      <c r="A5134" s="15" t="str">
        <f>IF(C5134="","",COUNTA($C$3:C5134))</f>
        <v/>
      </c>
      <c r="B5134" s="15" t="str">
        <f t="shared" si="393"/>
        <v/>
      </c>
      <c r="M5134" s="9"/>
      <c r="N5134" s="9"/>
      <c r="P5134" s="14"/>
      <c r="Q5134" s="85"/>
      <c r="R5134" s="89"/>
      <c r="U5134" s="11" t="str">
        <f t="shared" si="391"/>
        <v/>
      </c>
      <c r="V5134" s="12" t="str">
        <f t="shared" si="392"/>
        <v/>
      </c>
      <c r="Z5134" s="15"/>
    </row>
    <row r="5135" spans="1:26" x14ac:dyDescent="0.25">
      <c r="A5135" s="15" t="str">
        <f>IF(C5135="","",COUNTA($C$3:C5135))</f>
        <v/>
      </c>
      <c r="B5135" s="15" t="str">
        <f t="shared" si="393"/>
        <v/>
      </c>
      <c r="M5135" s="9"/>
      <c r="N5135" s="9"/>
      <c r="P5135" s="14"/>
      <c r="Q5135" s="85"/>
      <c r="R5135" s="89"/>
      <c r="U5135" s="11" t="str">
        <f t="shared" si="391"/>
        <v/>
      </c>
      <c r="V5135" s="12" t="str">
        <f t="shared" si="392"/>
        <v/>
      </c>
      <c r="Z5135" s="15"/>
    </row>
    <row r="5136" spans="1:26" x14ac:dyDescent="0.25">
      <c r="A5136" s="15" t="str">
        <f>IF(C5136="","",COUNTA($C$3:C5136))</f>
        <v/>
      </c>
      <c r="B5136" s="15" t="str">
        <f t="shared" si="393"/>
        <v/>
      </c>
      <c r="M5136" s="9"/>
      <c r="N5136" s="9"/>
      <c r="P5136" s="14"/>
      <c r="Q5136" s="85"/>
      <c r="R5136" s="89"/>
      <c r="U5136" s="11" t="str">
        <f t="shared" si="391"/>
        <v/>
      </c>
      <c r="V5136" s="12" t="str">
        <f t="shared" si="392"/>
        <v/>
      </c>
      <c r="Z5136" s="15"/>
    </row>
    <row r="5137" spans="1:26" x14ac:dyDescent="0.25">
      <c r="A5137" s="15" t="str">
        <f>IF(C5137="","",COUNTA($C$3:C5137))</f>
        <v/>
      </c>
      <c r="B5137" s="15" t="str">
        <f t="shared" si="393"/>
        <v/>
      </c>
      <c r="M5137" s="9"/>
      <c r="N5137" s="9"/>
      <c r="P5137" s="14"/>
      <c r="Q5137" s="85"/>
      <c r="R5137" s="89"/>
      <c r="U5137" s="11" t="str">
        <f t="shared" si="391"/>
        <v/>
      </c>
      <c r="V5137" s="12" t="str">
        <f t="shared" si="392"/>
        <v/>
      </c>
      <c r="Z5137" s="15"/>
    </row>
    <row r="5138" spans="1:26" x14ac:dyDescent="0.25">
      <c r="A5138" s="15" t="str">
        <f>IF(C5138="","",COUNTA($C$3:C5138))</f>
        <v/>
      </c>
      <c r="B5138" s="15" t="str">
        <f t="shared" si="393"/>
        <v/>
      </c>
      <c r="M5138" s="9"/>
      <c r="N5138" s="9"/>
      <c r="P5138" s="14"/>
      <c r="Q5138" s="85"/>
      <c r="R5138" s="89"/>
      <c r="U5138" s="11" t="str">
        <f t="shared" si="391"/>
        <v/>
      </c>
      <c r="V5138" s="12" t="str">
        <f t="shared" si="392"/>
        <v/>
      </c>
      <c r="Z5138" s="15"/>
    </row>
    <row r="5139" spans="1:26" x14ac:dyDescent="0.25">
      <c r="A5139" s="15" t="str">
        <f>IF(C5139="","",COUNTA($C$3:C5139))</f>
        <v/>
      </c>
      <c r="B5139" s="15" t="str">
        <f t="shared" si="393"/>
        <v/>
      </c>
      <c r="M5139" s="9"/>
      <c r="N5139" s="9"/>
      <c r="P5139" s="14"/>
      <c r="Q5139" s="85"/>
      <c r="R5139" s="89"/>
      <c r="U5139" s="11" t="str">
        <f t="shared" si="391"/>
        <v/>
      </c>
      <c r="V5139" s="12" t="str">
        <f t="shared" si="392"/>
        <v/>
      </c>
      <c r="Z5139" s="15"/>
    </row>
    <row r="5140" spans="1:26" x14ac:dyDescent="0.25">
      <c r="A5140" s="15" t="str">
        <f>IF(C5140="","",COUNTA($C$3:C5140))</f>
        <v/>
      </c>
      <c r="B5140" s="15" t="str">
        <f t="shared" si="393"/>
        <v/>
      </c>
      <c r="M5140" s="9"/>
      <c r="N5140" s="9"/>
      <c r="P5140" s="14"/>
      <c r="Q5140" s="85"/>
      <c r="R5140" s="89"/>
      <c r="U5140" s="11" t="str">
        <f t="shared" si="391"/>
        <v/>
      </c>
      <c r="V5140" s="12" t="str">
        <f t="shared" si="392"/>
        <v/>
      </c>
      <c r="Z5140" s="15"/>
    </row>
    <row r="5141" spans="1:26" x14ac:dyDescent="0.25">
      <c r="A5141" s="15" t="str">
        <f>IF(C5141="","",COUNTA($C$3:C5141))</f>
        <v/>
      </c>
      <c r="B5141" s="15" t="str">
        <f t="shared" si="393"/>
        <v/>
      </c>
      <c r="M5141" s="9"/>
      <c r="N5141" s="9"/>
      <c r="P5141" s="14"/>
      <c r="Q5141" s="85"/>
      <c r="R5141" s="89"/>
      <c r="U5141" s="11" t="str">
        <f t="shared" si="391"/>
        <v/>
      </c>
      <c r="V5141" s="12" t="str">
        <f t="shared" si="392"/>
        <v/>
      </c>
      <c r="Z5141" s="15"/>
    </row>
    <row r="5142" spans="1:26" x14ac:dyDescent="0.25">
      <c r="A5142" s="15" t="str">
        <f>IF(C5142="","",COUNTA($C$3:C5142))</f>
        <v/>
      </c>
      <c r="B5142" s="15" t="str">
        <f t="shared" si="393"/>
        <v/>
      </c>
      <c r="M5142" s="9"/>
      <c r="N5142" s="9"/>
      <c r="P5142" s="14"/>
      <c r="Q5142" s="85"/>
      <c r="R5142" s="89"/>
      <c r="U5142" s="11" t="str">
        <f t="shared" si="391"/>
        <v/>
      </c>
      <c r="V5142" s="12" t="str">
        <f t="shared" si="392"/>
        <v/>
      </c>
      <c r="Z5142" s="15"/>
    </row>
    <row r="5143" spans="1:26" x14ac:dyDescent="0.25">
      <c r="A5143" s="15" t="str">
        <f>IF(C5143="","",COUNTA($C$3:C5143))</f>
        <v/>
      </c>
      <c r="B5143" s="15" t="str">
        <f t="shared" si="393"/>
        <v/>
      </c>
      <c r="M5143" s="9"/>
      <c r="N5143" s="9"/>
      <c r="P5143" s="14"/>
      <c r="Q5143" s="85"/>
      <c r="R5143" s="89"/>
      <c r="U5143" s="11" t="str">
        <f t="shared" si="391"/>
        <v/>
      </c>
      <c r="V5143" s="12" t="str">
        <f t="shared" si="392"/>
        <v/>
      </c>
      <c r="Z5143" s="15"/>
    </row>
    <row r="5144" spans="1:26" x14ac:dyDescent="0.25">
      <c r="A5144" s="15" t="str">
        <f>IF(C5144="","",COUNTA($C$3:C5144))</f>
        <v/>
      </c>
      <c r="B5144" s="15" t="str">
        <f t="shared" si="393"/>
        <v/>
      </c>
      <c r="M5144" s="9"/>
      <c r="N5144" s="9"/>
      <c r="P5144" s="14"/>
      <c r="Q5144" s="85"/>
      <c r="R5144" s="89"/>
      <c r="U5144" s="11" t="str">
        <f t="shared" si="391"/>
        <v/>
      </c>
      <c r="V5144" s="12" t="str">
        <f t="shared" si="392"/>
        <v/>
      </c>
      <c r="Z5144" s="15"/>
    </row>
    <row r="5145" spans="1:26" x14ac:dyDescent="0.25">
      <c r="A5145" s="15" t="str">
        <f>IF(C5145="","",COUNTA($C$3:C5145))</f>
        <v/>
      </c>
      <c r="B5145" s="15" t="str">
        <f t="shared" si="393"/>
        <v/>
      </c>
      <c r="M5145" s="9"/>
      <c r="N5145" s="9"/>
      <c r="P5145" s="14"/>
      <c r="Q5145" s="85"/>
      <c r="R5145" s="89"/>
      <c r="U5145" s="11" t="str">
        <f t="shared" si="391"/>
        <v/>
      </c>
      <c r="V5145" s="12" t="str">
        <f t="shared" si="392"/>
        <v/>
      </c>
      <c r="Z5145" s="15"/>
    </row>
    <row r="5146" spans="1:26" x14ac:dyDescent="0.25">
      <c r="A5146" s="15" t="str">
        <f>IF(C5146="","",COUNTA($C$3:C5146))</f>
        <v/>
      </c>
      <c r="B5146" s="15" t="str">
        <f t="shared" si="393"/>
        <v/>
      </c>
      <c r="M5146" s="9"/>
      <c r="N5146" s="9"/>
      <c r="P5146" s="14"/>
      <c r="Q5146" s="85"/>
      <c r="R5146" s="89"/>
      <c r="U5146" s="11" t="str">
        <f t="shared" si="391"/>
        <v/>
      </c>
      <c r="V5146" s="12" t="str">
        <f t="shared" si="392"/>
        <v/>
      </c>
      <c r="Z5146" s="15"/>
    </row>
    <row r="5147" spans="1:26" x14ac:dyDescent="0.25">
      <c r="A5147" s="15" t="str">
        <f>IF(C5147="","",COUNTA($C$3:C5147))</f>
        <v/>
      </c>
      <c r="B5147" s="15" t="str">
        <f t="shared" si="393"/>
        <v/>
      </c>
      <c r="M5147" s="9"/>
      <c r="N5147" s="9"/>
      <c r="P5147" s="14"/>
      <c r="Q5147" s="85"/>
      <c r="R5147" s="89"/>
      <c r="U5147" s="11" t="str">
        <f t="shared" si="391"/>
        <v/>
      </c>
      <c r="V5147" s="12" t="str">
        <f t="shared" si="392"/>
        <v/>
      </c>
      <c r="Z5147" s="15"/>
    </row>
    <row r="5148" spans="1:26" x14ac:dyDescent="0.25">
      <c r="A5148" s="15" t="str">
        <f>IF(C5148="","",COUNTA($C$3:C5148))</f>
        <v/>
      </c>
      <c r="B5148" s="15" t="str">
        <f t="shared" si="393"/>
        <v/>
      </c>
      <c r="M5148" s="9"/>
      <c r="N5148" s="9"/>
      <c r="P5148" s="14"/>
      <c r="Q5148" s="85"/>
      <c r="R5148" s="89"/>
      <c r="U5148" s="11" t="str">
        <f t="shared" si="391"/>
        <v/>
      </c>
      <c r="V5148" s="12" t="str">
        <f t="shared" si="392"/>
        <v/>
      </c>
      <c r="Z5148" s="15"/>
    </row>
    <row r="5149" spans="1:26" x14ac:dyDescent="0.25">
      <c r="A5149" s="15" t="str">
        <f>IF(C5149="","",COUNTA($C$3:C5149))</f>
        <v/>
      </c>
      <c r="B5149" s="15" t="str">
        <f t="shared" si="393"/>
        <v/>
      </c>
      <c r="M5149" s="9"/>
      <c r="N5149" s="9"/>
      <c r="P5149" s="14"/>
      <c r="Q5149" s="85"/>
      <c r="R5149" s="89"/>
      <c r="U5149" s="11" t="str">
        <f t="shared" si="391"/>
        <v/>
      </c>
      <c r="V5149" s="12" t="str">
        <f t="shared" si="392"/>
        <v/>
      </c>
      <c r="Z5149" s="15"/>
    </row>
    <row r="5150" spans="1:26" x14ac:dyDescent="0.25">
      <c r="A5150" s="15" t="str">
        <f>IF(C5150="","",COUNTA($C$3:C5150))</f>
        <v/>
      </c>
      <c r="B5150" s="15" t="str">
        <f t="shared" si="393"/>
        <v/>
      </c>
      <c r="M5150" s="9"/>
      <c r="N5150" s="9"/>
      <c r="P5150" s="14"/>
      <c r="Q5150" s="85"/>
      <c r="R5150" s="89"/>
      <c r="U5150" s="11" t="str">
        <f t="shared" si="391"/>
        <v/>
      </c>
      <c r="V5150" s="12" t="str">
        <f t="shared" si="392"/>
        <v/>
      </c>
      <c r="Z5150" s="15"/>
    </row>
    <row r="5151" spans="1:26" x14ac:dyDescent="0.25">
      <c r="A5151" s="15" t="str">
        <f>IF(C5151="","",COUNTA($C$3:C5151))</f>
        <v/>
      </c>
      <c r="B5151" s="15" t="str">
        <f t="shared" si="393"/>
        <v/>
      </c>
      <c r="M5151" s="9"/>
      <c r="N5151" s="9"/>
      <c r="P5151" s="14"/>
      <c r="Q5151" s="85"/>
      <c r="R5151" s="89"/>
      <c r="U5151" s="11" t="str">
        <f t="shared" si="391"/>
        <v/>
      </c>
      <c r="V5151" s="12" t="str">
        <f t="shared" si="392"/>
        <v/>
      </c>
      <c r="Z5151" s="15"/>
    </row>
    <row r="5152" spans="1:26" x14ac:dyDescent="0.25">
      <c r="A5152" s="15" t="str">
        <f>IF(C5152="","",COUNTA($C$3:C5152))</f>
        <v/>
      </c>
      <c r="B5152" s="15" t="str">
        <f t="shared" si="393"/>
        <v/>
      </c>
      <c r="M5152" s="9"/>
      <c r="N5152" s="9"/>
      <c r="P5152" s="14"/>
      <c r="Q5152" s="85"/>
      <c r="R5152" s="89"/>
      <c r="U5152" s="11" t="str">
        <f t="shared" si="391"/>
        <v/>
      </c>
      <c r="V5152" s="12" t="str">
        <f t="shared" si="392"/>
        <v/>
      </c>
      <c r="Z5152" s="15"/>
    </row>
    <row r="5153" spans="1:26" x14ac:dyDescent="0.25">
      <c r="A5153" s="15" t="str">
        <f>IF(C5153="","",COUNTA($C$3:C5153))</f>
        <v/>
      </c>
      <c r="B5153" s="15" t="str">
        <f t="shared" si="393"/>
        <v/>
      </c>
      <c r="M5153" s="9"/>
      <c r="N5153" s="9"/>
      <c r="P5153" s="14"/>
      <c r="Q5153" s="85"/>
      <c r="R5153" s="89"/>
      <c r="U5153" s="11" t="str">
        <f t="shared" si="391"/>
        <v/>
      </c>
      <c r="V5153" s="12" t="str">
        <f t="shared" si="392"/>
        <v/>
      </c>
      <c r="Z5153" s="15"/>
    </row>
    <row r="5154" spans="1:26" x14ac:dyDescent="0.25">
      <c r="A5154" s="15" t="str">
        <f>IF(C5154="","",COUNTA($C$3:C5154))</f>
        <v/>
      </c>
      <c r="B5154" s="15" t="str">
        <f t="shared" si="393"/>
        <v/>
      </c>
      <c r="M5154" s="9"/>
      <c r="N5154" s="9"/>
      <c r="P5154" s="14"/>
      <c r="Q5154" s="85"/>
      <c r="R5154" s="89"/>
      <c r="U5154" s="11" t="str">
        <f t="shared" si="391"/>
        <v/>
      </c>
      <c r="V5154" s="12" t="str">
        <f t="shared" si="392"/>
        <v/>
      </c>
      <c r="Z5154" s="15"/>
    </row>
    <row r="5155" spans="1:26" x14ac:dyDescent="0.25">
      <c r="A5155" s="15" t="str">
        <f>IF(C5155="","",COUNTA($C$3:C5155))</f>
        <v/>
      </c>
      <c r="B5155" s="15" t="str">
        <f t="shared" si="393"/>
        <v/>
      </c>
      <c r="M5155" s="9"/>
      <c r="N5155" s="9"/>
      <c r="P5155" s="14"/>
      <c r="Q5155" s="85"/>
      <c r="R5155" s="89"/>
      <c r="U5155" s="11" t="str">
        <f t="shared" si="391"/>
        <v/>
      </c>
      <c r="V5155" s="12" t="str">
        <f t="shared" si="392"/>
        <v/>
      </c>
      <c r="Z5155" s="15"/>
    </row>
    <row r="5156" spans="1:26" x14ac:dyDescent="0.25">
      <c r="A5156" s="15" t="str">
        <f>IF(C5156="","",COUNTA($C$3:C5156))</f>
        <v/>
      </c>
      <c r="B5156" s="15" t="str">
        <f t="shared" si="393"/>
        <v/>
      </c>
      <c r="M5156" s="9"/>
      <c r="N5156" s="9"/>
      <c r="P5156" s="14"/>
      <c r="Q5156" s="85"/>
      <c r="R5156" s="89"/>
      <c r="U5156" s="11" t="str">
        <f t="shared" si="391"/>
        <v/>
      </c>
      <c r="V5156" s="12" t="str">
        <f t="shared" si="392"/>
        <v/>
      </c>
      <c r="Z5156" s="15"/>
    </row>
    <row r="5157" spans="1:26" x14ac:dyDescent="0.25">
      <c r="A5157" s="15" t="str">
        <f>IF(C5157="","",COUNTA($C$3:C5157))</f>
        <v/>
      </c>
      <c r="B5157" s="15" t="str">
        <f t="shared" si="393"/>
        <v/>
      </c>
      <c r="M5157" s="9"/>
      <c r="N5157" s="9"/>
      <c r="P5157" s="14"/>
      <c r="Q5157" s="85"/>
      <c r="R5157" s="89"/>
      <c r="U5157" s="11" t="str">
        <f t="shared" si="391"/>
        <v/>
      </c>
      <c r="V5157" s="12" t="str">
        <f t="shared" si="392"/>
        <v/>
      </c>
      <c r="Z5157" s="15"/>
    </row>
    <row r="5158" spans="1:26" x14ac:dyDescent="0.25">
      <c r="A5158" s="15" t="str">
        <f>IF(C5158="","",COUNTA($C$3:C5158))</f>
        <v/>
      </c>
      <c r="B5158" s="15" t="str">
        <f t="shared" si="393"/>
        <v/>
      </c>
      <c r="M5158" s="9"/>
      <c r="N5158" s="9"/>
      <c r="P5158" s="14"/>
      <c r="Q5158" s="85"/>
      <c r="R5158" s="89"/>
      <c r="U5158" s="11" t="str">
        <f t="shared" si="391"/>
        <v/>
      </c>
      <c r="V5158" s="12" t="str">
        <f t="shared" si="392"/>
        <v/>
      </c>
      <c r="Z5158" s="15"/>
    </row>
    <row r="5159" spans="1:26" x14ac:dyDescent="0.25">
      <c r="A5159" s="15" t="str">
        <f>IF(C5159="","",COUNTA($C$3:C5159))</f>
        <v/>
      </c>
      <c r="B5159" s="15" t="str">
        <f t="shared" si="393"/>
        <v/>
      </c>
      <c r="M5159" s="9"/>
      <c r="N5159" s="9"/>
      <c r="P5159" s="14"/>
      <c r="Q5159" s="85"/>
      <c r="R5159" s="89"/>
      <c r="U5159" s="11" t="str">
        <f t="shared" si="391"/>
        <v/>
      </c>
      <c r="V5159" s="12" t="str">
        <f t="shared" si="392"/>
        <v/>
      </c>
      <c r="Z5159" s="15"/>
    </row>
    <row r="5160" spans="1:26" x14ac:dyDescent="0.25">
      <c r="A5160" s="15" t="str">
        <f>IF(C5160="","",COUNTA($C$3:C5160))</f>
        <v/>
      </c>
      <c r="B5160" s="15" t="str">
        <f t="shared" si="393"/>
        <v/>
      </c>
      <c r="M5160" s="9"/>
      <c r="N5160" s="9"/>
      <c r="P5160" s="14"/>
      <c r="Q5160" s="85"/>
      <c r="R5160" s="89"/>
      <c r="U5160" s="11" t="str">
        <f t="shared" si="391"/>
        <v/>
      </c>
      <c r="V5160" s="12" t="str">
        <f t="shared" si="392"/>
        <v/>
      </c>
      <c r="Z5160" s="15"/>
    </row>
    <row r="5161" spans="1:26" x14ac:dyDescent="0.25">
      <c r="A5161" s="15" t="str">
        <f>IF(C5161="","",COUNTA($C$3:C5161))</f>
        <v/>
      </c>
      <c r="B5161" s="15" t="str">
        <f t="shared" si="393"/>
        <v/>
      </c>
      <c r="M5161" s="9"/>
      <c r="N5161" s="9"/>
      <c r="P5161" s="14"/>
      <c r="Q5161" s="85"/>
      <c r="R5161" s="89"/>
      <c r="U5161" s="11" t="str">
        <f t="shared" si="391"/>
        <v/>
      </c>
      <c r="V5161" s="12" t="str">
        <f t="shared" si="392"/>
        <v/>
      </c>
      <c r="Z5161" s="15"/>
    </row>
    <row r="5162" spans="1:26" x14ac:dyDescent="0.25">
      <c r="A5162" s="15" t="str">
        <f>IF(C5162="","",COUNTA($C$3:C5162))</f>
        <v/>
      </c>
      <c r="B5162" s="15" t="str">
        <f t="shared" si="393"/>
        <v/>
      </c>
      <c r="M5162" s="9"/>
      <c r="N5162" s="9"/>
      <c r="P5162" s="14"/>
      <c r="Q5162" s="85"/>
      <c r="R5162" s="89"/>
      <c r="U5162" s="11" t="str">
        <f t="shared" si="391"/>
        <v/>
      </c>
      <c r="V5162" s="12" t="str">
        <f t="shared" si="392"/>
        <v/>
      </c>
      <c r="Z5162" s="15"/>
    </row>
    <row r="5163" spans="1:26" x14ac:dyDescent="0.25">
      <c r="A5163" s="15" t="str">
        <f>IF(C5163="","",COUNTA($C$3:C5163))</f>
        <v/>
      </c>
      <c r="B5163" s="15" t="str">
        <f t="shared" si="393"/>
        <v/>
      </c>
      <c r="M5163" s="9"/>
      <c r="N5163" s="9"/>
      <c r="P5163" s="14"/>
      <c r="Q5163" s="85"/>
      <c r="R5163" s="89"/>
      <c r="U5163" s="11" t="str">
        <f t="shared" si="391"/>
        <v/>
      </c>
      <c r="V5163" s="12" t="str">
        <f t="shared" si="392"/>
        <v/>
      </c>
      <c r="Z5163" s="15"/>
    </row>
    <row r="5164" spans="1:26" x14ac:dyDescent="0.25">
      <c r="A5164" s="15" t="str">
        <f>IF(C5164="","",COUNTA($C$3:C5164))</f>
        <v/>
      </c>
      <c r="B5164" s="15" t="str">
        <f t="shared" si="393"/>
        <v/>
      </c>
      <c r="M5164" s="9"/>
      <c r="N5164" s="9"/>
      <c r="P5164" s="14"/>
      <c r="Q5164" s="85"/>
      <c r="R5164" s="89"/>
      <c r="U5164" s="11" t="str">
        <f t="shared" si="391"/>
        <v/>
      </c>
      <c r="V5164" s="12" t="str">
        <f t="shared" si="392"/>
        <v/>
      </c>
      <c r="Z5164" s="15"/>
    </row>
    <row r="5165" spans="1:26" x14ac:dyDescent="0.25">
      <c r="A5165" s="15" t="str">
        <f>IF(C5165="","",COUNTA($C$3:C5165))</f>
        <v/>
      </c>
      <c r="B5165" s="15" t="str">
        <f t="shared" si="393"/>
        <v/>
      </c>
      <c r="M5165" s="9"/>
      <c r="N5165" s="9"/>
      <c r="P5165" s="14"/>
      <c r="Q5165" s="85"/>
      <c r="R5165" s="89"/>
      <c r="U5165" s="11" t="str">
        <f t="shared" si="391"/>
        <v/>
      </c>
      <c r="V5165" s="12" t="str">
        <f t="shared" si="392"/>
        <v/>
      </c>
      <c r="Z5165" s="15"/>
    </row>
    <row r="5166" spans="1:26" x14ac:dyDescent="0.25">
      <c r="A5166" s="15" t="str">
        <f>IF(C5166="","",COUNTA($C$3:C5166))</f>
        <v/>
      </c>
      <c r="B5166" s="15" t="str">
        <f t="shared" si="393"/>
        <v/>
      </c>
      <c r="M5166" s="9"/>
      <c r="N5166" s="9"/>
      <c r="P5166" s="14"/>
      <c r="Q5166" s="85"/>
      <c r="R5166" s="89"/>
      <c r="U5166" s="11" t="str">
        <f t="shared" si="391"/>
        <v/>
      </c>
      <c r="V5166" s="12" t="str">
        <f t="shared" si="392"/>
        <v/>
      </c>
      <c r="Z5166" s="15"/>
    </row>
    <row r="5167" spans="1:26" x14ac:dyDescent="0.25">
      <c r="A5167" s="15" t="str">
        <f>IF(C5167="","",COUNTA($C$3:C5167))</f>
        <v/>
      </c>
      <c r="B5167" s="15" t="str">
        <f t="shared" si="393"/>
        <v/>
      </c>
      <c r="M5167" s="9"/>
      <c r="N5167" s="9"/>
      <c r="P5167" s="14"/>
      <c r="Q5167" s="85"/>
      <c r="R5167" s="89"/>
      <c r="U5167" s="11" t="str">
        <f t="shared" si="391"/>
        <v/>
      </c>
      <c r="V5167" s="12" t="str">
        <f t="shared" si="392"/>
        <v/>
      </c>
      <c r="Z5167" s="15"/>
    </row>
    <row r="5168" spans="1:26" x14ac:dyDescent="0.25">
      <c r="A5168" s="15" t="str">
        <f>IF(C5168="","",COUNTA($C$3:C5168))</f>
        <v/>
      </c>
      <c r="B5168" s="15" t="str">
        <f t="shared" si="393"/>
        <v/>
      </c>
      <c r="M5168" s="9"/>
      <c r="N5168" s="9"/>
      <c r="P5168" s="14"/>
      <c r="Q5168" s="85"/>
      <c r="R5168" s="89"/>
      <c r="U5168" s="11" t="str">
        <f t="shared" si="391"/>
        <v/>
      </c>
      <c r="V5168" s="12" t="str">
        <f t="shared" si="392"/>
        <v/>
      </c>
      <c r="Z5168" s="15"/>
    </row>
    <row r="5169" spans="1:26" x14ac:dyDescent="0.25">
      <c r="A5169" s="15" t="str">
        <f>IF(C5169="","",COUNTA($C$3:C5169))</f>
        <v/>
      </c>
      <c r="B5169" s="15" t="str">
        <f t="shared" si="393"/>
        <v/>
      </c>
      <c r="M5169" s="9"/>
      <c r="N5169" s="9"/>
      <c r="P5169" s="14"/>
      <c r="Q5169" s="85"/>
      <c r="R5169" s="89"/>
      <c r="U5169" s="11" t="str">
        <f t="shared" si="391"/>
        <v/>
      </c>
      <c r="V5169" s="12" t="str">
        <f t="shared" si="392"/>
        <v/>
      </c>
      <c r="Z5169" s="15"/>
    </row>
    <row r="5170" spans="1:26" x14ac:dyDescent="0.25">
      <c r="A5170" s="15" t="str">
        <f>IF(C5170="","",COUNTA($C$3:C5170))</f>
        <v/>
      </c>
      <c r="B5170" s="15" t="str">
        <f t="shared" si="393"/>
        <v/>
      </c>
      <c r="M5170" s="9"/>
      <c r="N5170" s="9"/>
      <c r="P5170" s="14"/>
      <c r="Q5170" s="85"/>
      <c r="R5170" s="89"/>
      <c r="U5170" s="11" t="str">
        <f t="shared" si="391"/>
        <v/>
      </c>
      <c r="V5170" s="12" t="str">
        <f t="shared" si="392"/>
        <v/>
      </c>
      <c r="Z5170" s="15"/>
    </row>
    <row r="5171" spans="1:26" x14ac:dyDescent="0.25">
      <c r="A5171" s="15" t="str">
        <f>IF(C5171="","",COUNTA($C$3:C5171))</f>
        <v/>
      </c>
      <c r="B5171" s="15" t="str">
        <f t="shared" si="393"/>
        <v/>
      </c>
      <c r="M5171" s="9"/>
      <c r="N5171" s="9"/>
      <c r="P5171" s="14"/>
      <c r="Q5171" s="85"/>
      <c r="R5171" s="89"/>
      <c r="U5171" s="11" t="str">
        <f t="shared" si="391"/>
        <v/>
      </c>
      <c r="V5171" s="12" t="str">
        <f t="shared" si="392"/>
        <v/>
      </c>
      <c r="Z5171" s="15"/>
    </row>
    <row r="5172" spans="1:26" x14ac:dyDescent="0.25">
      <c r="A5172" s="15" t="str">
        <f>IF(C5172="","",COUNTA($C$3:C5172))</f>
        <v/>
      </c>
      <c r="B5172" s="15" t="str">
        <f t="shared" si="393"/>
        <v/>
      </c>
      <c r="M5172" s="9"/>
      <c r="N5172" s="9"/>
      <c r="P5172" s="14"/>
      <c r="Q5172" s="85"/>
      <c r="R5172" s="89"/>
      <c r="U5172" s="11" t="str">
        <f t="shared" si="391"/>
        <v/>
      </c>
      <c r="V5172" s="12" t="str">
        <f t="shared" si="392"/>
        <v/>
      </c>
      <c r="Z5172" s="15"/>
    </row>
    <row r="5173" spans="1:26" x14ac:dyDescent="0.25">
      <c r="A5173" s="15" t="str">
        <f>IF(C5173="","",COUNTA($C$3:C5173))</f>
        <v/>
      </c>
      <c r="B5173" s="15" t="str">
        <f t="shared" si="393"/>
        <v/>
      </c>
      <c r="M5173" s="9"/>
      <c r="N5173" s="9"/>
      <c r="P5173" s="14"/>
      <c r="Q5173" s="85"/>
      <c r="R5173" s="89"/>
      <c r="U5173" s="11" t="str">
        <f t="shared" si="391"/>
        <v/>
      </c>
      <c r="V5173" s="12" t="str">
        <f t="shared" si="392"/>
        <v/>
      </c>
      <c r="Z5173" s="15"/>
    </row>
    <row r="5174" spans="1:26" x14ac:dyDescent="0.25">
      <c r="A5174" s="15" t="str">
        <f>IF(C5174="","",COUNTA($C$3:C5174))</f>
        <v/>
      </c>
      <c r="B5174" s="15" t="str">
        <f t="shared" si="393"/>
        <v/>
      </c>
      <c r="M5174" s="9"/>
      <c r="N5174" s="9"/>
      <c r="P5174" s="14"/>
      <c r="Q5174" s="85"/>
      <c r="R5174" s="89"/>
      <c r="U5174" s="11" t="str">
        <f t="shared" si="391"/>
        <v/>
      </c>
      <c r="V5174" s="12" t="str">
        <f t="shared" si="392"/>
        <v/>
      </c>
      <c r="Z5174" s="15"/>
    </row>
    <row r="5175" spans="1:26" x14ac:dyDescent="0.25">
      <c r="A5175" s="15" t="str">
        <f>IF(C5175="","",COUNTA($C$3:C5175))</f>
        <v/>
      </c>
      <c r="B5175" s="15" t="str">
        <f t="shared" si="393"/>
        <v/>
      </c>
      <c r="M5175" s="9"/>
      <c r="N5175" s="9"/>
      <c r="P5175" s="14"/>
      <c r="Q5175" s="85"/>
      <c r="R5175" s="89"/>
      <c r="U5175" s="11" t="str">
        <f t="shared" si="391"/>
        <v/>
      </c>
      <c r="V5175" s="12" t="str">
        <f t="shared" si="392"/>
        <v/>
      </c>
      <c r="Z5175" s="15"/>
    </row>
    <row r="5176" spans="1:26" x14ac:dyDescent="0.25">
      <c r="A5176" s="15" t="str">
        <f>IF(C5176="","",COUNTA($C$3:C5176))</f>
        <v/>
      </c>
      <c r="B5176" s="15" t="str">
        <f t="shared" si="393"/>
        <v/>
      </c>
      <c r="M5176" s="9"/>
      <c r="N5176" s="9"/>
      <c r="P5176" s="14"/>
      <c r="Q5176" s="85"/>
      <c r="R5176" s="89"/>
      <c r="U5176" s="11" t="str">
        <f t="shared" si="391"/>
        <v/>
      </c>
      <c r="V5176" s="12" t="str">
        <f t="shared" si="392"/>
        <v/>
      </c>
      <c r="Z5176" s="15"/>
    </row>
    <row r="5177" spans="1:26" x14ac:dyDescent="0.25">
      <c r="A5177" s="15" t="str">
        <f>IF(C5177="","",COUNTA($C$3:C5177))</f>
        <v/>
      </c>
      <c r="B5177" s="15" t="str">
        <f t="shared" si="393"/>
        <v/>
      </c>
      <c r="M5177" s="9"/>
      <c r="N5177" s="9"/>
      <c r="P5177" s="14"/>
      <c r="Q5177" s="85"/>
      <c r="R5177" s="89"/>
      <c r="U5177" s="11" t="str">
        <f t="shared" si="391"/>
        <v/>
      </c>
      <c r="V5177" s="12" t="str">
        <f t="shared" si="392"/>
        <v/>
      </c>
      <c r="Z5177" s="15"/>
    </row>
    <row r="5178" spans="1:26" x14ac:dyDescent="0.25">
      <c r="A5178" s="15" t="str">
        <f>IF(C5178="","",COUNTA($C$3:C5178))</f>
        <v/>
      </c>
      <c r="B5178" s="15" t="str">
        <f t="shared" si="393"/>
        <v/>
      </c>
      <c r="M5178" s="9"/>
      <c r="N5178" s="9"/>
      <c r="P5178" s="14"/>
      <c r="Q5178" s="85"/>
      <c r="R5178" s="89"/>
      <c r="U5178" s="11" t="str">
        <f t="shared" si="391"/>
        <v/>
      </c>
      <c r="V5178" s="12" t="str">
        <f t="shared" si="392"/>
        <v/>
      </c>
      <c r="Z5178" s="15"/>
    </row>
    <row r="5179" spans="1:26" x14ac:dyDescent="0.25">
      <c r="A5179" s="15" t="str">
        <f>IF(C5179="","",COUNTA($C$3:C5179))</f>
        <v/>
      </c>
      <c r="B5179" s="15" t="str">
        <f t="shared" si="393"/>
        <v/>
      </c>
      <c r="M5179" s="9"/>
      <c r="N5179" s="9"/>
      <c r="P5179" s="14"/>
      <c r="Q5179" s="85"/>
      <c r="R5179" s="89"/>
      <c r="U5179" s="11" t="str">
        <f t="shared" si="391"/>
        <v/>
      </c>
      <c r="V5179" s="12" t="str">
        <f t="shared" si="392"/>
        <v/>
      </c>
      <c r="Z5179" s="15"/>
    </row>
    <row r="5180" spans="1:26" x14ac:dyDescent="0.25">
      <c r="A5180" s="15" t="str">
        <f>IF(C5180="","",COUNTA($C$3:C5180))</f>
        <v/>
      </c>
      <c r="B5180" s="15" t="str">
        <f t="shared" si="393"/>
        <v/>
      </c>
      <c r="M5180" s="9"/>
      <c r="N5180" s="9"/>
      <c r="P5180" s="14"/>
      <c r="Q5180" s="85"/>
      <c r="R5180" s="89"/>
      <c r="U5180" s="11" t="str">
        <f t="shared" si="391"/>
        <v/>
      </c>
      <c r="V5180" s="12" t="str">
        <f t="shared" si="392"/>
        <v/>
      </c>
      <c r="Z5180" s="15"/>
    </row>
    <row r="5181" spans="1:26" x14ac:dyDescent="0.25">
      <c r="A5181" s="15" t="str">
        <f>IF(C5181="","",COUNTA($C$3:C5181))</f>
        <v/>
      </c>
      <c r="B5181" s="15" t="str">
        <f t="shared" si="393"/>
        <v/>
      </c>
      <c r="M5181" s="9"/>
      <c r="N5181" s="9"/>
      <c r="P5181" s="14"/>
      <c r="Q5181" s="85"/>
      <c r="R5181" s="89"/>
      <c r="U5181" s="11" t="str">
        <f t="shared" si="391"/>
        <v/>
      </c>
      <c r="V5181" s="12" t="str">
        <f t="shared" si="392"/>
        <v/>
      </c>
      <c r="Z5181" s="15"/>
    </row>
    <row r="5182" spans="1:26" x14ac:dyDescent="0.25">
      <c r="A5182" s="15" t="str">
        <f>IF(C5182="","",COUNTA($C$3:C5182))</f>
        <v/>
      </c>
      <c r="B5182" s="15" t="str">
        <f t="shared" si="393"/>
        <v/>
      </c>
      <c r="M5182" s="9"/>
      <c r="N5182" s="9"/>
      <c r="P5182" s="14"/>
      <c r="Q5182" s="85"/>
      <c r="R5182" s="89"/>
      <c r="U5182" s="11" t="str">
        <f t="shared" si="391"/>
        <v/>
      </c>
      <c r="V5182" s="12" t="str">
        <f t="shared" si="392"/>
        <v/>
      </c>
      <c r="Z5182" s="15"/>
    </row>
    <row r="5183" spans="1:26" x14ac:dyDescent="0.25">
      <c r="A5183" s="15" t="str">
        <f>IF(C5183="","",COUNTA($C$3:C5183))</f>
        <v/>
      </c>
      <c r="B5183" s="15" t="str">
        <f t="shared" si="393"/>
        <v/>
      </c>
      <c r="M5183" s="9"/>
      <c r="N5183" s="9"/>
      <c r="P5183" s="14"/>
      <c r="Q5183" s="85"/>
      <c r="R5183" s="89"/>
      <c r="U5183" s="11" t="str">
        <f t="shared" si="391"/>
        <v/>
      </c>
      <c r="V5183" s="12" t="str">
        <f t="shared" si="392"/>
        <v/>
      </c>
      <c r="Z5183" s="15"/>
    </row>
    <row r="5184" spans="1:26" x14ac:dyDescent="0.25">
      <c r="A5184" s="15" t="str">
        <f>IF(C5184="","",COUNTA($C$3:C5184))</f>
        <v/>
      </c>
      <c r="B5184" s="15" t="str">
        <f t="shared" si="393"/>
        <v/>
      </c>
      <c r="M5184" s="9"/>
      <c r="N5184" s="9"/>
      <c r="P5184" s="14"/>
      <c r="Q5184" s="85"/>
      <c r="R5184" s="89"/>
      <c r="U5184" s="11" t="str">
        <f t="shared" si="391"/>
        <v/>
      </c>
      <c r="V5184" s="12" t="str">
        <f t="shared" si="392"/>
        <v/>
      </c>
      <c r="Z5184" s="15"/>
    </row>
    <row r="5185" spans="1:26" x14ac:dyDescent="0.25">
      <c r="A5185" s="15" t="str">
        <f>IF(C5185="","",COUNTA($C$3:C5185))</f>
        <v/>
      </c>
      <c r="B5185" s="15" t="str">
        <f t="shared" si="393"/>
        <v/>
      </c>
      <c r="M5185" s="9"/>
      <c r="N5185" s="9"/>
      <c r="P5185" s="14"/>
      <c r="Q5185" s="85"/>
      <c r="R5185" s="89"/>
      <c r="U5185" s="11" t="str">
        <f t="shared" si="391"/>
        <v/>
      </c>
      <c r="V5185" s="12" t="str">
        <f t="shared" si="392"/>
        <v/>
      </c>
      <c r="Z5185" s="15"/>
    </row>
    <row r="5186" spans="1:26" x14ac:dyDescent="0.25">
      <c r="A5186" s="15" t="str">
        <f>IF(C5186="","",COUNTA($C$3:C5186))</f>
        <v/>
      </c>
      <c r="B5186" s="15" t="str">
        <f t="shared" si="393"/>
        <v/>
      </c>
      <c r="M5186" s="9"/>
      <c r="N5186" s="9"/>
      <c r="P5186" s="14"/>
      <c r="Q5186" s="85"/>
      <c r="R5186" s="89"/>
      <c r="U5186" s="11" t="str">
        <f t="shared" ref="U5186:U5249" si="394">IF(S5186="","",(S5186-T5186))</f>
        <v/>
      </c>
      <c r="V5186" s="12" t="str">
        <f t="shared" ref="V5186:V5249" si="395">IF(U5186="","",(U5186/T5186))</f>
        <v/>
      </c>
      <c r="Z5186" s="15"/>
    </row>
    <row r="5187" spans="1:26" x14ac:dyDescent="0.25">
      <c r="A5187" s="15" t="str">
        <f>IF(C5187="","",COUNTA($C$3:C5187))</f>
        <v/>
      </c>
      <c r="B5187" s="15" t="str">
        <f t="shared" ref="B5187:B5250" si="396">IF(C5187="","",TEXT(C5187,"mmmm"))</f>
        <v/>
      </c>
      <c r="M5187" s="9"/>
      <c r="N5187" s="9"/>
      <c r="P5187" s="14"/>
      <c r="Q5187" s="85"/>
      <c r="R5187" s="89"/>
      <c r="U5187" s="11" t="str">
        <f t="shared" si="394"/>
        <v/>
      </c>
      <c r="V5187" s="12" t="str">
        <f t="shared" si="395"/>
        <v/>
      </c>
      <c r="Z5187" s="15"/>
    </row>
    <row r="5188" spans="1:26" x14ac:dyDescent="0.25">
      <c r="A5188" s="15" t="str">
        <f>IF(C5188="","",COUNTA($C$3:C5188))</f>
        <v/>
      </c>
      <c r="B5188" s="15" t="str">
        <f t="shared" si="396"/>
        <v/>
      </c>
      <c r="M5188" s="9"/>
      <c r="N5188" s="9"/>
      <c r="P5188" s="14"/>
      <c r="Q5188" s="85"/>
      <c r="R5188" s="89"/>
      <c r="U5188" s="11" t="str">
        <f t="shared" si="394"/>
        <v/>
      </c>
      <c r="V5188" s="12" t="str">
        <f t="shared" si="395"/>
        <v/>
      </c>
      <c r="Z5188" s="15"/>
    </row>
    <row r="5189" spans="1:26" x14ac:dyDescent="0.25">
      <c r="A5189" s="15" t="str">
        <f>IF(C5189="","",COUNTA($C$3:C5189))</f>
        <v/>
      </c>
      <c r="B5189" s="15" t="str">
        <f t="shared" si="396"/>
        <v/>
      </c>
      <c r="M5189" s="9"/>
      <c r="N5189" s="9"/>
      <c r="P5189" s="14"/>
      <c r="Q5189" s="85"/>
      <c r="R5189" s="89"/>
      <c r="U5189" s="11" t="str">
        <f t="shared" si="394"/>
        <v/>
      </c>
      <c r="V5189" s="12" t="str">
        <f t="shared" si="395"/>
        <v/>
      </c>
      <c r="Z5189" s="15"/>
    </row>
    <row r="5190" spans="1:26" x14ac:dyDescent="0.25">
      <c r="A5190" s="15" t="str">
        <f>IF(C5190="","",COUNTA($C$3:C5190))</f>
        <v/>
      </c>
      <c r="B5190" s="15" t="str">
        <f t="shared" si="396"/>
        <v/>
      </c>
      <c r="M5190" s="9"/>
      <c r="N5190" s="9"/>
      <c r="P5190" s="14"/>
      <c r="Q5190" s="85"/>
      <c r="R5190" s="89"/>
      <c r="U5190" s="11" t="str">
        <f t="shared" si="394"/>
        <v/>
      </c>
      <c r="V5190" s="12" t="str">
        <f t="shared" si="395"/>
        <v/>
      </c>
      <c r="Z5190" s="15"/>
    </row>
    <row r="5191" spans="1:26" x14ac:dyDescent="0.25">
      <c r="A5191" s="15" t="str">
        <f>IF(C5191="","",COUNTA($C$3:C5191))</f>
        <v/>
      </c>
      <c r="B5191" s="15" t="str">
        <f t="shared" si="396"/>
        <v/>
      </c>
      <c r="M5191" s="9"/>
      <c r="N5191" s="9"/>
      <c r="P5191" s="14"/>
      <c r="Q5191" s="85"/>
      <c r="R5191" s="89"/>
      <c r="U5191" s="11" t="str">
        <f t="shared" si="394"/>
        <v/>
      </c>
      <c r="V5191" s="12" t="str">
        <f t="shared" si="395"/>
        <v/>
      </c>
      <c r="Z5191" s="15"/>
    </row>
    <row r="5192" spans="1:26" x14ac:dyDescent="0.25">
      <c r="A5192" s="15" t="str">
        <f>IF(C5192="","",COUNTA($C$3:C5192))</f>
        <v/>
      </c>
      <c r="B5192" s="15" t="str">
        <f t="shared" si="396"/>
        <v/>
      </c>
      <c r="M5192" s="9"/>
      <c r="N5192" s="9"/>
      <c r="P5192" s="14"/>
      <c r="Q5192" s="85"/>
      <c r="R5192" s="89"/>
      <c r="U5192" s="11" t="str">
        <f t="shared" si="394"/>
        <v/>
      </c>
      <c r="V5192" s="12" t="str">
        <f t="shared" si="395"/>
        <v/>
      </c>
      <c r="Z5192" s="15"/>
    </row>
    <row r="5193" spans="1:26" x14ac:dyDescent="0.25">
      <c r="A5193" s="15" t="str">
        <f>IF(C5193="","",COUNTA($C$3:C5193))</f>
        <v/>
      </c>
      <c r="B5193" s="15" t="str">
        <f t="shared" si="396"/>
        <v/>
      </c>
      <c r="M5193" s="9"/>
      <c r="N5193" s="9"/>
      <c r="P5193" s="14"/>
      <c r="Q5193" s="85"/>
      <c r="R5193" s="89"/>
      <c r="U5193" s="11" t="str">
        <f t="shared" si="394"/>
        <v/>
      </c>
      <c r="V5193" s="12" t="str">
        <f t="shared" si="395"/>
        <v/>
      </c>
      <c r="Z5193" s="15"/>
    </row>
    <row r="5194" spans="1:26" x14ac:dyDescent="0.25">
      <c r="A5194" s="15" t="str">
        <f>IF(C5194="","",COUNTA($C$3:C5194))</f>
        <v/>
      </c>
      <c r="B5194" s="15" t="str">
        <f t="shared" si="396"/>
        <v/>
      </c>
      <c r="M5194" s="9"/>
      <c r="N5194" s="9"/>
      <c r="P5194" s="14"/>
      <c r="Q5194" s="85"/>
      <c r="R5194" s="89"/>
      <c r="U5194" s="11" t="str">
        <f t="shared" si="394"/>
        <v/>
      </c>
      <c r="V5194" s="12" t="str">
        <f t="shared" si="395"/>
        <v/>
      </c>
      <c r="Z5194" s="15"/>
    </row>
    <row r="5195" spans="1:26" x14ac:dyDescent="0.25">
      <c r="A5195" s="15" t="str">
        <f>IF(C5195="","",COUNTA($C$3:C5195))</f>
        <v/>
      </c>
      <c r="B5195" s="15" t="str">
        <f t="shared" si="396"/>
        <v/>
      </c>
      <c r="M5195" s="9"/>
      <c r="N5195" s="9"/>
      <c r="P5195" s="14"/>
      <c r="Q5195" s="85"/>
      <c r="R5195" s="89"/>
      <c r="U5195" s="11" t="str">
        <f t="shared" si="394"/>
        <v/>
      </c>
      <c r="V5195" s="12" t="str">
        <f t="shared" si="395"/>
        <v/>
      </c>
      <c r="Z5195" s="15"/>
    </row>
    <row r="5196" spans="1:26" x14ac:dyDescent="0.25">
      <c r="A5196" s="15" t="str">
        <f>IF(C5196="","",COUNTA($C$3:C5196))</f>
        <v/>
      </c>
      <c r="B5196" s="15" t="str">
        <f t="shared" si="396"/>
        <v/>
      </c>
      <c r="M5196" s="9"/>
      <c r="N5196" s="9"/>
      <c r="P5196" s="14"/>
      <c r="Q5196" s="85"/>
      <c r="R5196" s="89"/>
      <c r="U5196" s="11" t="str">
        <f t="shared" si="394"/>
        <v/>
      </c>
      <c r="V5196" s="12" t="str">
        <f t="shared" si="395"/>
        <v/>
      </c>
      <c r="Z5196" s="15"/>
    </row>
    <row r="5197" spans="1:26" x14ac:dyDescent="0.25">
      <c r="A5197" s="15" t="str">
        <f>IF(C5197="","",COUNTA($C$3:C5197))</f>
        <v/>
      </c>
      <c r="B5197" s="15" t="str">
        <f t="shared" si="396"/>
        <v/>
      </c>
      <c r="M5197" s="9"/>
      <c r="N5197" s="9"/>
      <c r="P5197" s="14"/>
      <c r="Q5197" s="85"/>
      <c r="R5197" s="89"/>
      <c r="U5197" s="11" t="str">
        <f t="shared" si="394"/>
        <v/>
      </c>
      <c r="V5197" s="12" t="str">
        <f t="shared" si="395"/>
        <v/>
      </c>
      <c r="Z5197" s="15"/>
    </row>
    <row r="5198" spans="1:26" x14ac:dyDescent="0.25">
      <c r="A5198" s="15" t="str">
        <f>IF(C5198="","",COUNTA($C$3:C5198))</f>
        <v/>
      </c>
      <c r="B5198" s="15" t="str">
        <f t="shared" si="396"/>
        <v/>
      </c>
      <c r="M5198" s="9"/>
      <c r="N5198" s="9"/>
      <c r="P5198" s="14"/>
      <c r="Q5198" s="85"/>
      <c r="R5198" s="89"/>
      <c r="U5198" s="11" t="str">
        <f t="shared" si="394"/>
        <v/>
      </c>
      <c r="V5198" s="12" t="str">
        <f t="shared" si="395"/>
        <v/>
      </c>
      <c r="Z5198" s="15"/>
    </row>
    <row r="5199" spans="1:26" x14ac:dyDescent="0.25">
      <c r="A5199" s="15" t="str">
        <f>IF(C5199="","",COUNTA($C$3:C5199))</f>
        <v/>
      </c>
      <c r="B5199" s="15" t="str">
        <f t="shared" si="396"/>
        <v/>
      </c>
      <c r="M5199" s="9"/>
      <c r="N5199" s="9"/>
      <c r="P5199" s="14"/>
      <c r="Q5199" s="85"/>
      <c r="R5199" s="89"/>
      <c r="U5199" s="11" t="str">
        <f t="shared" si="394"/>
        <v/>
      </c>
      <c r="V5199" s="12" t="str">
        <f t="shared" si="395"/>
        <v/>
      </c>
      <c r="Z5199" s="15"/>
    </row>
    <row r="5200" spans="1:26" x14ac:dyDescent="0.25">
      <c r="A5200" s="15" t="str">
        <f>IF(C5200="","",COUNTA($C$3:C5200))</f>
        <v/>
      </c>
      <c r="B5200" s="15" t="str">
        <f t="shared" si="396"/>
        <v/>
      </c>
      <c r="M5200" s="9"/>
      <c r="N5200" s="9"/>
      <c r="P5200" s="14"/>
      <c r="Q5200" s="85"/>
      <c r="R5200" s="89"/>
      <c r="U5200" s="11" t="str">
        <f t="shared" si="394"/>
        <v/>
      </c>
      <c r="V5200" s="12" t="str">
        <f t="shared" si="395"/>
        <v/>
      </c>
      <c r="Z5200" s="15"/>
    </row>
    <row r="5201" spans="1:26" x14ac:dyDescent="0.25">
      <c r="A5201" s="15" t="str">
        <f>IF(C5201="","",COUNTA($C$3:C5201))</f>
        <v/>
      </c>
      <c r="B5201" s="15" t="str">
        <f t="shared" si="396"/>
        <v/>
      </c>
      <c r="M5201" s="9"/>
      <c r="N5201" s="9"/>
      <c r="P5201" s="14"/>
      <c r="Q5201" s="85"/>
      <c r="R5201" s="89"/>
      <c r="U5201" s="11" t="str">
        <f t="shared" si="394"/>
        <v/>
      </c>
      <c r="V5201" s="12" t="str">
        <f t="shared" si="395"/>
        <v/>
      </c>
      <c r="Z5201" s="15"/>
    </row>
    <row r="5202" spans="1:26" x14ac:dyDescent="0.25">
      <c r="A5202" s="15" t="str">
        <f>IF(C5202="","",COUNTA($C$3:C5202))</f>
        <v/>
      </c>
      <c r="B5202" s="15" t="str">
        <f t="shared" si="396"/>
        <v/>
      </c>
      <c r="M5202" s="9"/>
      <c r="N5202" s="9"/>
      <c r="P5202" s="14"/>
      <c r="Q5202" s="85"/>
      <c r="R5202" s="89"/>
      <c r="U5202" s="11" t="str">
        <f t="shared" si="394"/>
        <v/>
      </c>
      <c r="V5202" s="12" t="str">
        <f t="shared" si="395"/>
        <v/>
      </c>
      <c r="Z5202" s="15"/>
    </row>
    <row r="5203" spans="1:26" x14ac:dyDescent="0.25">
      <c r="A5203" s="15" t="str">
        <f>IF(C5203="","",COUNTA($C$3:C5203))</f>
        <v/>
      </c>
      <c r="B5203" s="15" t="str">
        <f t="shared" si="396"/>
        <v/>
      </c>
      <c r="M5203" s="9"/>
      <c r="N5203" s="9"/>
      <c r="P5203" s="14"/>
      <c r="Q5203" s="85"/>
      <c r="R5203" s="89"/>
      <c r="U5203" s="11" t="str">
        <f t="shared" si="394"/>
        <v/>
      </c>
      <c r="V5203" s="12" t="str">
        <f t="shared" si="395"/>
        <v/>
      </c>
      <c r="Z5203" s="15"/>
    </row>
    <row r="5204" spans="1:26" x14ac:dyDescent="0.25">
      <c r="A5204" s="15" t="str">
        <f>IF(C5204="","",COUNTA($C$3:C5204))</f>
        <v/>
      </c>
      <c r="B5204" s="15" t="str">
        <f t="shared" si="396"/>
        <v/>
      </c>
      <c r="M5204" s="9"/>
      <c r="N5204" s="9"/>
      <c r="P5204" s="14"/>
      <c r="Q5204" s="85"/>
      <c r="R5204" s="89"/>
      <c r="U5204" s="11" t="str">
        <f t="shared" si="394"/>
        <v/>
      </c>
      <c r="V5204" s="12" t="str">
        <f t="shared" si="395"/>
        <v/>
      </c>
      <c r="Z5204" s="15"/>
    </row>
    <row r="5205" spans="1:26" x14ac:dyDescent="0.25">
      <c r="A5205" s="15" t="str">
        <f>IF(C5205="","",COUNTA($C$3:C5205))</f>
        <v/>
      </c>
      <c r="B5205" s="15" t="str">
        <f t="shared" si="396"/>
        <v/>
      </c>
      <c r="M5205" s="9"/>
      <c r="N5205" s="9"/>
      <c r="P5205" s="14"/>
      <c r="Q5205" s="85"/>
      <c r="R5205" s="89"/>
      <c r="U5205" s="11" t="str">
        <f t="shared" si="394"/>
        <v/>
      </c>
      <c r="V5205" s="12" t="str">
        <f t="shared" si="395"/>
        <v/>
      </c>
      <c r="Z5205" s="15"/>
    </row>
    <row r="5206" spans="1:26" x14ac:dyDescent="0.25">
      <c r="A5206" s="15" t="str">
        <f>IF(C5206="","",COUNTA($C$3:C5206))</f>
        <v/>
      </c>
      <c r="B5206" s="15" t="str">
        <f t="shared" si="396"/>
        <v/>
      </c>
      <c r="M5206" s="9"/>
      <c r="N5206" s="9"/>
      <c r="P5206" s="14"/>
      <c r="Q5206" s="85"/>
      <c r="R5206" s="89"/>
      <c r="U5206" s="11" t="str">
        <f t="shared" si="394"/>
        <v/>
      </c>
      <c r="V5206" s="12" t="str">
        <f t="shared" si="395"/>
        <v/>
      </c>
      <c r="Z5206" s="15"/>
    </row>
    <row r="5207" spans="1:26" x14ac:dyDescent="0.25">
      <c r="A5207" s="15" t="str">
        <f>IF(C5207="","",COUNTA($C$3:C5207))</f>
        <v/>
      </c>
      <c r="B5207" s="15" t="str">
        <f t="shared" si="396"/>
        <v/>
      </c>
      <c r="M5207" s="9"/>
      <c r="N5207" s="9"/>
      <c r="P5207" s="14"/>
      <c r="Q5207" s="85"/>
      <c r="R5207" s="89"/>
      <c r="U5207" s="11" t="str">
        <f t="shared" si="394"/>
        <v/>
      </c>
      <c r="V5207" s="12" t="str">
        <f t="shared" si="395"/>
        <v/>
      </c>
      <c r="Z5207" s="15"/>
    </row>
    <row r="5208" spans="1:26" x14ac:dyDescent="0.25">
      <c r="A5208" s="15" t="str">
        <f>IF(C5208="","",COUNTA($C$3:C5208))</f>
        <v/>
      </c>
      <c r="B5208" s="15" t="str">
        <f t="shared" si="396"/>
        <v/>
      </c>
      <c r="M5208" s="9"/>
      <c r="N5208" s="9"/>
      <c r="P5208" s="14"/>
      <c r="Q5208" s="85"/>
      <c r="R5208" s="89"/>
      <c r="U5208" s="11" t="str">
        <f t="shared" si="394"/>
        <v/>
      </c>
      <c r="V5208" s="12" t="str">
        <f t="shared" si="395"/>
        <v/>
      </c>
      <c r="Z5208" s="15"/>
    </row>
    <row r="5209" spans="1:26" x14ac:dyDescent="0.25">
      <c r="A5209" s="15" t="str">
        <f>IF(C5209="","",COUNTA($C$3:C5209))</f>
        <v/>
      </c>
      <c r="B5209" s="15" t="str">
        <f t="shared" si="396"/>
        <v/>
      </c>
      <c r="M5209" s="9"/>
      <c r="N5209" s="9"/>
      <c r="P5209" s="14"/>
      <c r="Q5209" s="85"/>
      <c r="R5209" s="89"/>
      <c r="U5209" s="11" t="str">
        <f t="shared" si="394"/>
        <v/>
      </c>
      <c r="V5209" s="12" t="str">
        <f t="shared" si="395"/>
        <v/>
      </c>
      <c r="Z5209" s="15"/>
    </row>
    <row r="5210" spans="1:26" x14ac:dyDescent="0.25">
      <c r="A5210" s="15" t="str">
        <f>IF(C5210="","",COUNTA($C$3:C5210))</f>
        <v/>
      </c>
      <c r="B5210" s="15" t="str">
        <f t="shared" si="396"/>
        <v/>
      </c>
      <c r="M5210" s="9"/>
      <c r="N5210" s="9"/>
      <c r="P5210" s="14"/>
      <c r="Q5210" s="85"/>
      <c r="R5210" s="89"/>
      <c r="U5210" s="11" t="str">
        <f t="shared" si="394"/>
        <v/>
      </c>
      <c r="V5210" s="12" t="str">
        <f t="shared" si="395"/>
        <v/>
      </c>
      <c r="Z5210" s="15"/>
    </row>
    <row r="5211" spans="1:26" x14ac:dyDescent="0.25">
      <c r="A5211" s="15" t="str">
        <f>IF(C5211="","",COUNTA($C$3:C5211))</f>
        <v/>
      </c>
      <c r="B5211" s="15" t="str">
        <f t="shared" si="396"/>
        <v/>
      </c>
      <c r="M5211" s="9"/>
      <c r="N5211" s="9"/>
      <c r="P5211" s="14"/>
      <c r="Q5211" s="85"/>
      <c r="R5211" s="89"/>
      <c r="U5211" s="11" t="str">
        <f t="shared" si="394"/>
        <v/>
      </c>
      <c r="V5211" s="12" t="str">
        <f t="shared" si="395"/>
        <v/>
      </c>
      <c r="Z5211" s="15"/>
    </row>
    <row r="5212" spans="1:26" x14ac:dyDescent="0.25">
      <c r="A5212" s="15" t="str">
        <f>IF(C5212="","",COUNTA($C$3:C5212))</f>
        <v/>
      </c>
      <c r="B5212" s="15" t="str">
        <f t="shared" si="396"/>
        <v/>
      </c>
      <c r="M5212" s="9"/>
      <c r="N5212" s="9"/>
      <c r="P5212" s="14"/>
      <c r="Q5212" s="85"/>
      <c r="R5212" s="89"/>
      <c r="U5212" s="11" t="str">
        <f t="shared" si="394"/>
        <v/>
      </c>
      <c r="V5212" s="12" t="str">
        <f t="shared" si="395"/>
        <v/>
      </c>
      <c r="Z5212" s="15"/>
    </row>
    <row r="5213" spans="1:26" x14ac:dyDescent="0.25">
      <c r="A5213" s="15" t="str">
        <f>IF(C5213="","",COUNTA($C$3:C5213))</f>
        <v/>
      </c>
      <c r="B5213" s="15" t="str">
        <f t="shared" si="396"/>
        <v/>
      </c>
      <c r="M5213" s="9"/>
      <c r="N5213" s="9"/>
      <c r="P5213" s="14"/>
      <c r="Q5213" s="85"/>
      <c r="R5213" s="89"/>
      <c r="U5213" s="11" t="str">
        <f t="shared" si="394"/>
        <v/>
      </c>
      <c r="V5213" s="12" t="str">
        <f t="shared" si="395"/>
        <v/>
      </c>
      <c r="Z5213" s="15"/>
    </row>
    <row r="5214" spans="1:26" x14ac:dyDescent="0.25">
      <c r="A5214" s="15" t="str">
        <f>IF(C5214="","",COUNTA($C$3:C5214))</f>
        <v/>
      </c>
      <c r="B5214" s="15" t="str">
        <f t="shared" si="396"/>
        <v/>
      </c>
      <c r="M5214" s="9"/>
      <c r="N5214" s="9"/>
      <c r="P5214" s="14"/>
      <c r="Q5214" s="85"/>
      <c r="R5214" s="89"/>
      <c r="U5214" s="11" t="str">
        <f t="shared" si="394"/>
        <v/>
      </c>
      <c r="V5214" s="12" t="str">
        <f t="shared" si="395"/>
        <v/>
      </c>
      <c r="Z5214" s="15"/>
    </row>
    <row r="5215" spans="1:26" x14ac:dyDescent="0.25">
      <c r="A5215" s="15" t="str">
        <f>IF(C5215="","",COUNTA($C$3:C5215))</f>
        <v/>
      </c>
      <c r="B5215" s="15" t="str">
        <f t="shared" si="396"/>
        <v/>
      </c>
      <c r="M5215" s="9"/>
      <c r="N5215" s="9"/>
      <c r="P5215" s="14"/>
      <c r="Q5215" s="85"/>
      <c r="R5215" s="89"/>
      <c r="U5215" s="11" t="str">
        <f t="shared" si="394"/>
        <v/>
      </c>
      <c r="V5215" s="12" t="str">
        <f t="shared" si="395"/>
        <v/>
      </c>
      <c r="Z5215" s="15"/>
    </row>
    <row r="5216" spans="1:26" x14ac:dyDescent="0.25">
      <c r="A5216" s="15" t="str">
        <f>IF(C5216="","",COUNTA($C$3:C5216))</f>
        <v/>
      </c>
      <c r="B5216" s="15" t="str">
        <f t="shared" si="396"/>
        <v/>
      </c>
      <c r="M5216" s="9"/>
      <c r="N5216" s="9"/>
      <c r="P5216" s="14"/>
      <c r="Q5216" s="85"/>
      <c r="R5216" s="89"/>
      <c r="U5216" s="11" t="str">
        <f t="shared" si="394"/>
        <v/>
      </c>
      <c r="V5216" s="12" t="str">
        <f t="shared" si="395"/>
        <v/>
      </c>
      <c r="Z5216" s="15"/>
    </row>
    <row r="5217" spans="1:26" x14ac:dyDescent="0.25">
      <c r="A5217" s="15" t="str">
        <f>IF(C5217="","",COUNTA($C$3:C5217))</f>
        <v/>
      </c>
      <c r="B5217" s="15" t="str">
        <f t="shared" si="396"/>
        <v/>
      </c>
      <c r="M5217" s="9"/>
      <c r="N5217" s="9"/>
      <c r="P5217" s="14"/>
      <c r="Q5217" s="85"/>
      <c r="R5217" s="89"/>
      <c r="U5217" s="11" t="str">
        <f t="shared" si="394"/>
        <v/>
      </c>
      <c r="V5217" s="12" t="str">
        <f t="shared" si="395"/>
        <v/>
      </c>
      <c r="Z5217" s="15"/>
    </row>
    <row r="5218" spans="1:26" x14ac:dyDescent="0.25">
      <c r="A5218" s="15" t="str">
        <f>IF(C5218="","",COUNTA($C$3:C5218))</f>
        <v/>
      </c>
      <c r="B5218" s="15" t="str">
        <f t="shared" si="396"/>
        <v/>
      </c>
      <c r="M5218" s="9"/>
      <c r="N5218" s="9"/>
      <c r="P5218" s="14"/>
      <c r="Q5218" s="85"/>
      <c r="R5218" s="89"/>
      <c r="U5218" s="11" t="str">
        <f t="shared" si="394"/>
        <v/>
      </c>
      <c r="V5218" s="12" t="str">
        <f t="shared" si="395"/>
        <v/>
      </c>
      <c r="Z5218" s="15"/>
    </row>
    <row r="5219" spans="1:26" x14ac:dyDescent="0.25">
      <c r="A5219" s="15" t="str">
        <f>IF(C5219="","",COUNTA($C$3:C5219))</f>
        <v/>
      </c>
      <c r="B5219" s="15" t="str">
        <f t="shared" si="396"/>
        <v/>
      </c>
      <c r="M5219" s="9"/>
      <c r="N5219" s="9"/>
      <c r="P5219" s="14"/>
      <c r="Q5219" s="85"/>
      <c r="R5219" s="89"/>
      <c r="U5219" s="11" t="str">
        <f t="shared" si="394"/>
        <v/>
      </c>
      <c r="V5219" s="12" t="str">
        <f t="shared" si="395"/>
        <v/>
      </c>
      <c r="Z5219" s="15"/>
    </row>
    <row r="5220" spans="1:26" x14ac:dyDescent="0.25">
      <c r="A5220" s="15" t="str">
        <f>IF(C5220="","",COUNTA($C$3:C5220))</f>
        <v/>
      </c>
      <c r="B5220" s="15" t="str">
        <f t="shared" si="396"/>
        <v/>
      </c>
      <c r="M5220" s="9"/>
      <c r="N5220" s="9"/>
      <c r="P5220" s="14"/>
      <c r="Q5220" s="85"/>
      <c r="R5220" s="89"/>
      <c r="U5220" s="11" t="str">
        <f t="shared" si="394"/>
        <v/>
      </c>
      <c r="V5220" s="12" t="str">
        <f t="shared" si="395"/>
        <v/>
      </c>
      <c r="Z5220" s="15"/>
    </row>
    <row r="5221" spans="1:26" x14ac:dyDescent="0.25">
      <c r="A5221" s="15" t="str">
        <f>IF(C5221="","",COUNTA($C$3:C5221))</f>
        <v/>
      </c>
      <c r="B5221" s="15" t="str">
        <f t="shared" si="396"/>
        <v/>
      </c>
      <c r="M5221" s="9"/>
      <c r="N5221" s="9"/>
      <c r="P5221" s="14"/>
      <c r="Q5221" s="85"/>
      <c r="R5221" s="89"/>
      <c r="U5221" s="11" t="str">
        <f t="shared" si="394"/>
        <v/>
      </c>
      <c r="V5221" s="12" t="str">
        <f t="shared" si="395"/>
        <v/>
      </c>
      <c r="Z5221" s="15"/>
    </row>
    <row r="5222" spans="1:26" x14ac:dyDescent="0.25">
      <c r="A5222" s="15" t="str">
        <f>IF(C5222="","",COUNTA($C$3:C5222))</f>
        <v/>
      </c>
      <c r="B5222" s="15" t="str">
        <f t="shared" si="396"/>
        <v/>
      </c>
      <c r="M5222" s="9"/>
      <c r="N5222" s="9"/>
      <c r="P5222" s="14"/>
      <c r="Q5222" s="85"/>
      <c r="R5222" s="89"/>
      <c r="U5222" s="11" t="str">
        <f t="shared" si="394"/>
        <v/>
      </c>
      <c r="V5222" s="12" t="str">
        <f t="shared" si="395"/>
        <v/>
      </c>
      <c r="Z5222" s="15"/>
    </row>
    <row r="5223" spans="1:26" x14ac:dyDescent="0.25">
      <c r="A5223" s="15" t="str">
        <f>IF(C5223="","",COUNTA($C$3:C5223))</f>
        <v/>
      </c>
      <c r="B5223" s="15" t="str">
        <f t="shared" si="396"/>
        <v/>
      </c>
      <c r="M5223" s="9"/>
      <c r="N5223" s="9"/>
      <c r="P5223" s="14"/>
      <c r="Q5223" s="85"/>
      <c r="R5223" s="89"/>
      <c r="U5223" s="11" t="str">
        <f t="shared" si="394"/>
        <v/>
      </c>
      <c r="V5223" s="12" t="str">
        <f t="shared" si="395"/>
        <v/>
      </c>
      <c r="Z5223" s="15"/>
    </row>
    <row r="5224" spans="1:26" x14ac:dyDescent="0.25">
      <c r="A5224" s="15" t="str">
        <f>IF(C5224="","",COUNTA($C$3:C5224))</f>
        <v/>
      </c>
      <c r="B5224" s="15" t="str">
        <f t="shared" si="396"/>
        <v/>
      </c>
      <c r="M5224" s="9"/>
      <c r="N5224" s="9"/>
      <c r="P5224" s="14"/>
      <c r="Q5224" s="85"/>
      <c r="R5224" s="89"/>
      <c r="U5224" s="11" t="str">
        <f t="shared" si="394"/>
        <v/>
      </c>
      <c r="V5224" s="12" t="str">
        <f t="shared" si="395"/>
        <v/>
      </c>
      <c r="Z5224" s="15"/>
    </row>
    <row r="5225" spans="1:26" x14ac:dyDescent="0.25">
      <c r="A5225" s="15" t="str">
        <f>IF(C5225="","",COUNTA($C$3:C5225))</f>
        <v/>
      </c>
      <c r="B5225" s="15" t="str">
        <f t="shared" si="396"/>
        <v/>
      </c>
      <c r="M5225" s="9"/>
      <c r="N5225" s="9"/>
      <c r="P5225" s="14"/>
      <c r="Q5225" s="85"/>
      <c r="R5225" s="89"/>
      <c r="U5225" s="11" t="str">
        <f t="shared" si="394"/>
        <v/>
      </c>
      <c r="V5225" s="12" t="str">
        <f t="shared" si="395"/>
        <v/>
      </c>
      <c r="Z5225" s="15"/>
    </row>
    <row r="5226" spans="1:26" x14ac:dyDescent="0.25">
      <c r="A5226" s="15" t="str">
        <f>IF(C5226="","",COUNTA($C$3:C5226))</f>
        <v/>
      </c>
      <c r="B5226" s="15" t="str">
        <f t="shared" si="396"/>
        <v/>
      </c>
      <c r="M5226" s="9"/>
      <c r="N5226" s="9"/>
      <c r="P5226" s="14"/>
      <c r="Q5226" s="85"/>
      <c r="R5226" s="89"/>
      <c r="U5226" s="11" t="str">
        <f t="shared" si="394"/>
        <v/>
      </c>
      <c r="V5226" s="12" t="str">
        <f t="shared" si="395"/>
        <v/>
      </c>
      <c r="Z5226" s="15"/>
    </row>
    <row r="5227" spans="1:26" x14ac:dyDescent="0.25">
      <c r="A5227" s="15" t="str">
        <f>IF(C5227="","",COUNTA($C$3:C5227))</f>
        <v/>
      </c>
      <c r="B5227" s="15" t="str">
        <f t="shared" si="396"/>
        <v/>
      </c>
      <c r="M5227" s="9"/>
      <c r="N5227" s="9"/>
      <c r="P5227" s="14"/>
      <c r="Q5227" s="85"/>
      <c r="R5227" s="89"/>
      <c r="U5227" s="11" t="str">
        <f t="shared" si="394"/>
        <v/>
      </c>
      <c r="V5227" s="12" t="str">
        <f t="shared" si="395"/>
        <v/>
      </c>
      <c r="Z5227" s="15"/>
    </row>
    <row r="5228" spans="1:26" x14ac:dyDescent="0.25">
      <c r="A5228" s="15" t="str">
        <f>IF(C5228="","",COUNTA($C$3:C5228))</f>
        <v/>
      </c>
      <c r="B5228" s="15" t="str">
        <f t="shared" si="396"/>
        <v/>
      </c>
      <c r="M5228" s="9"/>
      <c r="N5228" s="9"/>
      <c r="P5228" s="14"/>
      <c r="Q5228" s="85"/>
      <c r="R5228" s="89"/>
      <c r="U5228" s="11" t="str">
        <f t="shared" si="394"/>
        <v/>
      </c>
      <c r="V5228" s="12" t="str">
        <f t="shared" si="395"/>
        <v/>
      </c>
      <c r="Z5228" s="15"/>
    </row>
    <row r="5229" spans="1:26" x14ac:dyDescent="0.25">
      <c r="A5229" s="15" t="str">
        <f>IF(C5229="","",COUNTA($C$3:C5229))</f>
        <v/>
      </c>
      <c r="B5229" s="15" t="str">
        <f t="shared" si="396"/>
        <v/>
      </c>
      <c r="M5229" s="9"/>
      <c r="N5229" s="9"/>
      <c r="P5229" s="14"/>
      <c r="Q5229" s="85"/>
      <c r="R5229" s="89"/>
      <c r="U5229" s="11" t="str">
        <f t="shared" si="394"/>
        <v/>
      </c>
      <c r="V5229" s="12" t="str">
        <f t="shared" si="395"/>
        <v/>
      </c>
      <c r="Z5229" s="15"/>
    </row>
    <row r="5230" spans="1:26" x14ac:dyDescent="0.25">
      <c r="A5230" s="15" t="str">
        <f>IF(C5230="","",COUNTA($C$3:C5230))</f>
        <v/>
      </c>
      <c r="B5230" s="15" t="str">
        <f t="shared" si="396"/>
        <v/>
      </c>
      <c r="M5230" s="9"/>
      <c r="N5230" s="9"/>
      <c r="P5230" s="14"/>
      <c r="Q5230" s="85"/>
      <c r="R5230" s="89"/>
      <c r="U5230" s="11" t="str">
        <f t="shared" si="394"/>
        <v/>
      </c>
      <c r="V5230" s="12" t="str">
        <f t="shared" si="395"/>
        <v/>
      </c>
      <c r="Z5230" s="15"/>
    </row>
    <row r="5231" spans="1:26" x14ac:dyDescent="0.25">
      <c r="A5231" s="15" t="str">
        <f>IF(C5231="","",COUNTA($C$3:C5231))</f>
        <v/>
      </c>
      <c r="B5231" s="15" t="str">
        <f t="shared" si="396"/>
        <v/>
      </c>
      <c r="M5231" s="9"/>
      <c r="N5231" s="9"/>
      <c r="P5231" s="14"/>
      <c r="Q5231" s="85"/>
      <c r="R5231" s="89"/>
      <c r="U5231" s="11" t="str">
        <f t="shared" si="394"/>
        <v/>
      </c>
      <c r="V5231" s="12" t="str">
        <f t="shared" si="395"/>
        <v/>
      </c>
      <c r="Z5231" s="15"/>
    </row>
    <row r="5232" spans="1:26" x14ac:dyDescent="0.25">
      <c r="A5232" s="15" t="str">
        <f>IF(C5232="","",COUNTA($C$3:C5232))</f>
        <v/>
      </c>
      <c r="B5232" s="15" t="str">
        <f t="shared" si="396"/>
        <v/>
      </c>
      <c r="M5232" s="9"/>
      <c r="N5232" s="9"/>
      <c r="P5232" s="14"/>
      <c r="Q5232" s="85"/>
      <c r="R5232" s="89"/>
      <c r="U5232" s="11" t="str">
        <f t="shared" si="394"/>
        <v/>
      </c>
      <c r="V5232" s="12" t="str">
        <f t="shared" si="395"/>
        <v/>
      </c>
      <c r="Z5232" s="15"/>
    </row>
    <row r="5233" spans="1:26" x14ac:dyDescent="0.25">
      <c r="A5233" s="15" t="str">
        <f>IF(C5233="","",COUNTA($C$3:C5233))</f>
        <v/>
      </c>
      <c r="B5233" s="15" t="str">
        <f t="shared" si="396"/>
        <v/>
      </c>
      <c r="M5233" s="9"/>
      <c r="N5233" s="9"/>
      <c r="P5233" s="14"/>
      <c r="Q5233" s="85"/>
      <c r="R5233" s="89"/>
      <c r="U5233" s="11" t="str">
        <f t="shared" si="394"/>
        <v/>
      </c>
      <c r="V5233" s="12" t="str">
        <f t="shared" si="395"/>
        <v/>
      </c>
      <c r="Z5233" s="15"/>
    </row>
    <row r="5234" spans="1:26" x14ac:dyDescent="0.25">
      <c r="A5234" s="15" t="str">
        <f>IF(C5234="","",COUNTA($C$3:C5234))</f>
        <v/>
      </c>
      <c r="B5234" s="15" t="str">
        <f t="shared" si="396"/>
        <v/>
      </c>
      <c r="M5234" s="9"/>
      <c r="N5234" s="9"/>
      <c r="P5234" s="14"/>
      <c r="Q5234" s="85"/>
      <c r="R5234" s="89"/>
      <c r="U5234" s="11" t="str">
        <f t="shared" si="394"/>
        <v/>
      </c>
      <c r="V5234" s="12" t="str">
        <f t="shared" si="395"/>
        <v/>
      </c>
      <c r="Z5234" s="15"/>
    </row>
    <row r="5235" spans="1:26" x14ac:dyDescent="0.25">
      <c r="A5235" s="15" t="str">
        <f>IF(C5235="","",COUNTA($C$3:C5235))</f>
        <v/>
      </c>
      <c r="B5235" s="15" t="str">
        <f t="shared" si="396"/>
        <v/>
      </c>
      <c r="M5235" s="9"/>
      <c r="N5235" s="9"/>
      <c r="P5235" s="14"/>
      <c r="Q5235" s="85"/>
      <c r="R5235" s="89"/>
      <c r="U5235" s="11" t="str">
        <f t="shared" si="394"/>
        <v/>
      </c>
      <c r="V5235" s="12" t="str">
        <f t="shared" si="395"/>
        <v/>
      </c>
      <c r="Z5235" s="15"/>
    </row>
    <row r="5236" spans="1:26" x14ac:dyDescent="0.25">
      <c r="A5236" s="15" t="str">
        <f>IF(C5236="","",COUNTA($C$3:C5236))</f>
        <v/>
      </c>
      <c r="B5236" s="15" t="str">
        <f t="shared" si="396"/>
        <v/>
      </c>
      <c r="M5236" s="9"/>
      <c r="N5236" s="9"/>
      <c r="P5236" s="14"/>
      <c r="Q5236" s="85"/>
      <c r="R5236" s="89"/>
      <c r="U5236" s="11" t="str">
        <f t="shared" si="394"/>
        <v/>
      </c>
      <c r="V5236" s="12" t="str">
        <f t="shared" si="395"/>
        <v/>
      </c>
      <c r="Z5236" s="15"/>
    </row>
    <row r="5237" spans="1:26" x14ac:dyDescent="0.25">
      <c r="A5237" s="15" t="str">
        <f>IF(C5237="","",COUNTA($C$3:C5237))</f>
        <v/>
      </c>
      <c r="B5237" s="15" t="str">
        <f t="shared" si="396"/>
        <v/>
      </c>
      <c r="M5237" s="9"/>
      <c r="N5237" s="9"/>
      <c r="P5237" s="14"/>
      <c r="Q5237" s="85"/>
      <c r="R5237" s="89"/>
      <c r="U5237" s="11" t="str">
        <f t="shared" si="394"/>
        <v/>
      </c>
      <c r="V5237" s="12" t="str">
        <f t="shared" si="395"/>
        <v/>
      </c>
      <c r="Z5237" s="15"/>
    </row>
    <row r="5238" spans="1:26" x14ac:dyDescent="0.25">
      <c r="A5238" s="15" t="str">
        <f>IF(C5238="","",COUNTA($C$3:C5238))</f>
        <v/>
      </c>
      <c r="B5238" s="15" t="str">
        <f t="shared" si="396"/>
        <v/>
      </c>
      <c r="M5238" s="9"/>
      <c r="N5238" s="9"/>
      <c r="P5238" s="14"/>
      <c r="Q5238" s="85"/>
      <c r="R5238" s="89"/>
      <c r="U5238" s="11" t="str">
        <f t="shared" si="394"/>
        <v/>
      </c>
      <c r="V5238" s="12" t="str">
        <f t="shared" si="395"/>
        <v/>
      </c>
      <c r="Z5238" s="15"/>
    </row>
    <row r="5239" spans="1:26" x14ac:dyDescent="0.25">
      <c r="A5239" s="15" t="str">
        <f>IF(C5239="","",COUNTA($C$3:C5239))</f>
        <v/>
      </c>
      <c r="B5239" s="15" t="str">
        <f t="shared" si="396"/>
        <v/>
      </c>
      <c r="M5239" s="9"/>
      <c r="N5239" s="9"/>
      <c r="P5239" s="14"/>
      <c r="Q5239" s="85"/>
      <c r="R5239" s="89"/>
      <c r="U5239" s="11" t="str">
        <f t="shared" si="394"/>
        <v/>
      </c>
      <c r="V5239" s="12" t="str">
        <f t="shared" si="395"/>
        <v/>
      </c>
      <c r="Z5239" s="15"/>
    </row>
    <row r="5240" spans="1:26" x14ac:dyDescent="0.25">
      <c r="A5240" s="15" t="str">
        <f>IF(C5240="","",COUNTA($C$3:C5240))</f>
        <v/>
      </c>
      <c r="B5240" s="15" t="str">
        <f t="shared" si="396"/>
        <v/>
      </c>
      <c r="M5240" s="9"/>
      <c r="N5240" s="9"/>
      <c r="P5240" s="14"/>
      <c r="Q5240" s="85"/>
      <c r="R5240" s="89"/>
      <c r="U5240" s="11" t="str">
        <f t="shared" si="394"/>
        <v/>
      </c>
      <c r="V5240" s="12" t="str">
        <f t="shared" si="395"/>
        <v/>
      </c>
      <c r="Z5240" s="15"/>
    </row>
    <row r="5241" spans="1:26" x14ac:dyDescent="0.25">
      <c r="A5241" s="15" t="str">
        <f>IF(C5241="","",COUNTA($C$3:C5241))</f>
        <v/>
      </c>
      <c r="B5241" s="15" t="str">
        <f t="shared" si="396"/>
        <v/>
      </c>
      <c r="M5241" s="9"/>
      <c r="N5241" s="9"/>
      <c r="P5241" s="14"/>
      <c r="Q5241" s="85"/>
      <c r="R5241" s="89"/>
      <c r="U5241" s="11" t="str">
        <f t="shared" si="394"/>
        <v/>
      </c>
      <c r="V5241" s="12" t="str">
        <f t="shared" si="395"/>
        <v/>
      </c>
      <c r="Z5241" s="15"/>
    </row>
    <row r="5242" spans="1:26" x14ac:dyDescent="0.25">
      <c r="A5242" s="15" t="str">
        <f>IF(C5242="","",COUNTA($C$3:C5242))</f>
        <v/>
      </c>
      <c r="B5242" s="15" t="str">
        <f t="shared" si="396"/>
        <v/>
      </c>
      <c r="M5242" s="9"/>
      <c r="N5242" s="9"/>
      <c r="P5242" s="14"/>
      <c r="Q5242" s="85"/>
      <c r="R5242" s="89"/>
      <c r="U5242" s="11" t="str">
        <f t="shared" si="394"/>
        <v/>
      </c>
      <c r="V5242" s="12" t="str">
        <f t="shared" si="395"/>
        <v/>
      </c>
      <c r="Z5242" s="15"/>
    </row>
    <row r="5243" spans="1:26" x14ac:dyDescent="0.25">
      <c r="A5243" s="15" t="str">
        <f>IF(C5243="","",COUNTA($C$3:C5243))</f>
        <v/>
      </c>
      <c r="B5243" s="15" t="str">
        <f t="shared" si="396"/>
        <v/>
      </c>
      <c r="M5243" s="9"/>
      <c r="N5243" s="9"/>
      <c r="P5243" s="14"/>
      <c r="Q5243" s="85"/>
      <c r="R5243" s="89"/>
      <c r="U5243" s="11" t="str">
        <f t="shared" si="394"/>
        <v/>
      </c>
      <c r="V5243" s="12" t="str">
        <f t="shared" si="395"/>
        <v/>
      </c>
      <c r="Z5243" s="15"/>
    </row>
    <row r="5244" spans="1:26" x14ac:dyDescent="0.25">
      <c r="A5244" s="15" t="str">
        <f>IF(C5244="","",COUNTA($C$3:C5244))</f>
        <v/>
      </c>
      <c r="B5244" s="15" t="str">
        <f t="shared" si="396"/>
        <v/>
      </c>
      <c r="M5244" s="9"/>
      <c r="N5244" s="9"/>
      <c r="P5244" s="14"/>
      <c r="Q5244" s="85"/>
      <c r="R5244" s="89"/>
      <c r="U5244" s="11" t="str">
        <f t="shared" si="394"/>
        <v/>
      </c>
      <c r="V5244" s="12" t="str">
        <f t="shared" si="395"/>
        <v/>
      </c>
      <c r="Z5244" s="15"/>
    </row>
    <row r="5245" spans="1:26" x14ac:dyDescent="0.25">
      <c r="A5245" s="15" t="str">
        <f>IF(C5245="","",COUNTA($C$3:C5245))</f>
        <v/>
      </c>
      <c r="B5245" s="15" t="str">
        <f t="shared" si="396"/>
        <v/>
      </c>
      <c r="M5245" s="9"/>
      <c r="N5245" s="9"/>
      <c r="P5245" s="14"/>
      <c r="Q5245" s="85"/>
      <c r="R5245" s="89"/>
      <c r="U5245" s="11" t="str">
        <f t="shared" si="394"/>
        <v/>
      </c>
      <c r="V5245" s="12" t="str">
        <f t="shared" si="395"/>
        <v/>
      </c>
      <c r="Z5245" s="15"/>
    </row>
    <row r="5246" spans="1:26" x14ac:dyDescent="0.25">
      <c r="A5246" s="15" t="str">
        <f>IF(C5246="","",COUNTA($C$3:C5246))</f>
        <v/>
      </c>
      <c r="B5246" s="15" t="str">
        <f t="shared" si="396"/>
        <v/>
      </c>
      <c r="M5246" s="9"/>
      <c r="N5246" s="9"/>
      <c r="P5246" s="14"/>
      <c r="Q5246" s="85"/>
      <c r="R5246" s="89"/>
      <c r="U5246" s="11" t="str">
        <f t="shared" si="394"/>
        <v/>
      </c>
      <c r="V5246" s="12" t="str">
        <f t="shared" si="395"/>
        <v/>
      </c>
      <c r="Z5246" s="15"/>
    </row>
    <row r="5247" spans="1:26" x14ac:dyDescent="0.25">
      <c r="A5247" s="15" t="str">
        <f>IF(C5247="","",COUNTA($C$3:C5247))</f>
        <v/>
      </c>
      <c r="B5247" s="15" t="str">
        <f t="shared" si="396"/>
        <v/>
      </c>
      <c r="M5247" s="9"/>
      <c r="N5247" s="9"/>
      <c r="P5247" s="14"/>
      <c r="Q5247" s="85"/>
      <c r="R5247" s="89"/>
      <c r="U5247" s="11" t="str">
        <f t="shared" si="394"/>
        <v/>
      </c>
      <c r="V5247" s="12" t="str">
        <f t="shared" si="395"/>
        <v/>
      </c>
      <c r="Z5247" s="15"/>
    </row>
    <row r="5248" spans="1:26" x14ac:dyDescent="0.25">
      <c r="A5248" s="15" t="str">
        <f>IF(C5248="","",COUNTA($C$3:C5248))</f>
        <v/>
      </c>
      <c r="B5248" s="15" t="str">
        <f t="shared" si="396"/>
        <v/>
      </c>
      <c r="M5248" s="9"/>
      <c r="N5248" s="9"/>
      <c r="P5248" s="14"/>
      <c r="Q5248" s="85"/>
      <c r="R5248" s="89"/>
      <c r="U5248" s="11" t="str">
        <f t="shared" si="394"/>
        <v/>
      </c>
      <c r="V5248" s="12" t="str">
        <f t="shared" si="395"/>
        <v/>
      </c>
      <c r="Z5248" s="15"/>
    </row>
    <row r="5249" spans="1:26" x14ac:dyDescent="0.25">
      <c r="A5249" s="15" t="str">
        <f>IF(C5249="","",COUNTA($C$3:C5249))</f>
        <v/>
      </c>
      <c r="B5249" s="15" t="str">
        <f t="shared" si="396"/>
        <v/>
      </c>
      <c r="M5249" s="9"/>
      <c r="N5249" s="9"/>
      <c r="P5249" s="14"/>
      <c r="Q5249" s="85"/>
      <c r="R5249" s="89"/>
      <c r="U5249" s="11" t="str">
        <f t="shared" si="394"/>
        <v/>
      </c>
      <c r="V5249" s="12" t="str">
        <f t="shared" si="395"/>
        <v/>
      </c>
      <c r="Z5249" s="15"/>
    </row>
    <row r="5250" spans="1:26" x14ac:dyDescent="0.25">
      <c r="A5250" s="15" t="str">
        <f>IF(C5250="","",COUNTA($C$3:C5250))</f>
        <v/>
      </c>
      <c r="B5250" s="15" t="str">
        <f t="shared" si="396"/>
        <v/>
      </c>
      <c r="M5250" s="9"/>
      <c r="N5250" s="9"/>
      <c r="P5250" s="14"/>
      <c r="Q5250" s="85"/>
      <c r="R5250" s="89"/>
      <c r="U5250" s="11" t="str">
        <f t="shared" ref="U5250:U5313" si="397">IF(S5250="","",(S5250-T5250))</f>
        <v/>
      </c>
      <c r="V5250" s="12" t="str">
        <f t="shared" ref="V5250:V5313" si="398">IF(U5250="","",(U5250/T5250))</f>
        <v/>
      </c>
      <c r="Z5250" s="15"/>
    </row>
    <row r="5251" spans="1:26" x14ac:dyDescent="0.25">
      <c r="A5251" s="15" t="str">
        <f>IF(C5251="","",COUNTA($C$3:C5251))</f>
        <v/>
      </c>
      <c r="B5251" s="15" t="str">
        <f t="shared" ref="B5251:B5314" si="399">IF(C5251="","",TEXT(C5251,"mmmm"))</f>
        <v/>
      </c>
      <c r="M5251" s="9"/>
      <c r="N5251" s="9"/>
      <c r="P5251" s="14"/>
      <c r="Q5251" s="85"/>
      <c r="R5251" s="89"/>
      <c r="U5251" s="11" t="str">
        <f t="shared" si="397"/>
        <v/>
      </c>
      <c r="V5251" s="12" t="str">
        <f t="shared" si="398"/>
        <v/>
      </c>
      <c r="Z5251" s="15"/>
    </row>
    <row r="5252" spans="1:26" x14ac:dyDescent="0.25">
      <c r="A5252" s="15" t="str">
        <f>IF(C5252="","",COUNTA($C$3:C5252))</f>
        <v/>
      </c>
      <c r="B5252" s="15" t="str">
        <f t="shared" si="399"/>
        <v/>
      </c>
      <c r="M5252" s="9"/>
      <c r="N5252" s="9"/>
      <c r="P5252" s="14"/>
      <c r="Q5252" s="85"/>
      <c r="R5252" s="89"/>
      <c r="U5252" s="11" t="str">
        <f t="shared" si="397"/>
        <v/>
      </c>
      <c r="V5252" s="12" t="str">
        <f t="shared" si="398"/>
        <v/>
      </c>
      <c r="Z5252" s="15"/>
    </row>
    <row r="5253" spans="1:26" x14ac:dyDescent="0.25">
      <c r="A5253" s="15" t="str">
        <f>IF(C5253="","",COUNTA($C$3:C5253))</f>
        <v/>
      </c>
      <c r="B5253" s="15" t="str">
        <f t="shared" si="399"/>
        <v/>
      </c>
      <c r="M5253" s="9"/>
      <c r="N5253" s="9"/>
      <c r="P5253" s="14"/>
      <c r="Q5253" s="85"/>
      <c r="R5253" s="89"/>
      <c r="U5253" s="11" t="str">
        <f t="shared" si="397"/>
        <v/>
      </c>
      <c r="V5253" s="12" t="str">
        <f t="shared" si="398"/>
        <v/>
      </c>
      <c r="Z5253" s="15"/>
    </row>
    <row r="5254" spans="1:26" x14ac:dyDescent="0.25">
      <c r="A5254" s="15" t="str">
        <f>IF(C5254="","",COUNTA($C$3:C5254))</f>
        <v/>
      </c>
      <c r="B5254" s="15" t="str">
        <f t="shared" si="399"/>
        <v/>
      </c>
      <c r="M5254" s="9"/>
      <c r="N5254" s="9"/>
      <c r="P5254" s="14"/>
      <c r="Q5254" s="85"/>
      <c r="R5254" s="89"/>
      <c r="U5254" s="11" t="str">
        <f t="shared" si="397"/>
        <v/>
      </c>
      <c r="V5254" s="12" t="str">
        <f t="shared" si="398"/>
        <v/>
      </c>
      <c r="Z5254" s="15"/>
    </row>
    <row r="5255" spans="1:26" x14ac:dyDescent="0.25">
      <c r="A5255" s="15" t="str">
        <f>IF(C5255="","",COUNTA($C$3:C5255))</f>
        <v/>
      </c>
      <c r="B5255" s="15" t="str">
        <f t="shared" si="399"/>
        <v/>
      </c>
      <c r="M5255" s="9"/>
      <c r="N5255" s="9"/>
      <c r="P5255" s="14"/>
      <c r="Q5255" s="85"/>
      <c r="R5255" s="89"/>
      <c r="U5255" s="11" t="str">
        <f t="shared" si="397"/>
        <v/>
      </c>
      <c r="V5255" s="12" t="str">
        <f t="shared" si="398"/>
        <v/>
      </c>
      <c r="Z5255" s="15"/>
    </row>
    <row r="5256" spans="1:26" x14ac:dyDescent="0.25">
      <c r="A5256" s="15" t="str">
        <f>IF(C5256="","",COUNTA($C$3:C5256))</f>
        <v/>
      </c>
      <c r="B5256" s="15" t="str">
        <f t="shared" si="399"/>
        <v/>
      </c>
      <c r="M5256" s="9"/>
      <c r="N5256" s="9"/>
      <c r="P5256" s="14"/>
      <c r="Q5256" s="85"/>
      <c r="R5256" s="89"/>
      <c r="U5256" s="11" t="str">
        <f t="shared" si="397"/>
        <v/>
      </c>
      <c r="V5256" s="12" t="str">
        <f t="shared" si="398"/>
        <v/>
      </c>
      <c r="Z5256" s="15"/>
    </row>
    <row r="5257" spans="1:26" x14ac:dyDescent="0.25">
      <c r="A5257" s="15" t="str">
        <f>IF(C5257="","",COUNTA($C$3:C5257))</f>
        <v/>
      </c>
      <c r="B5257" s="15" t="str">
        <f t="shared" si="399"/>
        <v/>
      </c>
      <c r="M5257" s="9"/>
      <c r="N5257" s="9"/>
      <c r="P5257" s="14"/>
      <c r="Q5257" s="85"/>
      <c r="R5257" s="89"/>
      <c r="U5257" s="11" t="str">
        <f t="shared" si="397"/>
        <v/>
      </c>
      <c r="V5257" s="12" t="str">
        <f t="shared" si="398"/>
        <v/>
      </c>
      <c r="Z5257" s="15"/>
    </row>
    <row r="5258" spans="1:26" x14ac:dyDescent="0.25">
      <c r="A5258" s="15" t="str">
        <f>IF(C5258="","",COUNTA($C$3:C5258))</f>
        <v/>
      </c>
      <c r="B5258" s="15" t="str">
        <f t="shared" si="399"/>
        <v/>
      </c>
      <c r="M5258" s="9"/>
      <c r="N5258" s="9"/>
      <c r="P5258" s="14"/>
      <c r="Q5258" s="85"/>
      <c r="R5258" s="89"/>
      <c r="U5258" s="11" t="str">
        <f t="shared" si="397"/>
        <v/>
      </c>
      <c r="V5258" s="12" t="str">
        <f t="shared" si="398"/>
        <v/>
      </c>
      <c r="Z5258" s="15"/>
    </row>
    <row r="5259" spans="1:26" x14ac:dyDescent="0.25">
      <c r="A5259" s="15" t="str">
        <f>IF(C5259="","",COUNTA($C$3:C5259))</f>
        <v/>
      </c>
      <c r="B5259" s="15" t="str">
        <f t="shared" si="399"/>
        <v/>
      </c>
      <c r="M5259" s="9"/>
      <c r="N5259" s="9"/>
      <c r="P5259" s="14"/>
      <c r="Q5259" s="85"/>
      <c r="R5259" s="89"/>
      <c r="U5259" s="11" t="str">
        <f t="shared" si="397"/>
        <v/>
      </c>
      <c r="V5259" s="12" t="str">
        <f t="shared" si="398"/>
        <v/>
      </c>
      <c r="Z5259" s="15"/>
    </row>
    <row r="5260" spans="1:26" x14ac:dyDescent="0.25">
      <c r="A5260" s="15" t="str">
        <f>IF(C5260="","",COUNTA($C$3:C5260))</f>
        <v/>
      </c>
      <c r="B5260" s="15" t="str">
        <f t="shared" si="399"/>
        <v/>
      </c>
      <c r="M5260" s="9"/>
      <c r="N5260" s="9"/>
      <c r="P5260" s="14"/>
      <c r="Q5260" s="85"/>
      <c r="R5260" s="89"/>
      <c r="U5260" s="11" t="str">
        <f t="shared" si="397"/>
        <v/>
      </c>
      <c r="V5260" s="12" t="str">
        <f t="shared" si="398"/>
        <v/>
      </c>
      <c r="Z5260" s="15"/>
    </row>
    <row r="5261" spans="1:26" x14ac:dyDescent="0.25">
      <c r="A5261" s="15" t="str">
        <f>IF(C5261="","",COUNTA($C$3:C5261))</f>
        <v/>
      </c>
      <c r="B5261" s="15" t="str">
        <f t="shared" si="399"/>
        <v/>
      </c>
      <c r="M5261" s="9"/>
      <c r="N5261" s="9"/>
      <c r="P5261" s="14"/>
      <c r="Q5261" s="85"/>
      <c r="R5261" s="89"/>
      <c r="U5261" s="11" t="str">
        <f t="shared" si="397"/>
        <v/>
      </c>
      <c r="V5261" s="12" t="str">
        <f t="shared" si="398"/>
        <v/>
      </c>
      <c r="Z5261" s="15"/>
    </row>
    <row r="5262" spans="1:26" x14ac:dyDescent="0.25">
      <c r="A5262" s="15" t="str">
        <f>IF(C5262="","",COUNTA($C$3:C5262))</f>
        <v/>
      </c>
      <c r="B5262" s="15" t="str">
        <f t="shared" si="399"/>
        <v/>
      </c>
      <c r="M5262" s="9"/>
      <c r="N5262" s="9"/>
      <c r="P5262" s="14"/>
      <c r="Q5262" s="85"/>
      <c r="R5262" s="89"/>
      <c r="U5262" s="11" t="str">
        <f t="shared" si="397"/>
        <v/>
      </c>
      <c r="V5262" s="12" t="str">
        <f t="shared" si="398"/>
        <v/>
      </c>
      <c r="Z5262" s="15"/>
    </row>
    <row r="5263" spans="1:26" x14ac:dyDescent="0.25">
      <c r="A5263" s="15" t="str">
        <f>IF(C5263="","",COUNTA($C$3:C5263))</f>
        <v/>
      </c>
      <c r="B5263" s="15" t="str">
        <f t="shared" si="399"/>
        <v/>
      </c>
      <c r="M5263" s="9"/>
      <c r="N5263" s="9"/>
      <c r="P5263" s="14"/>
      <c r="Q5263" s="85"/>
      <c r="R5263" s="89"/>
      <c r="U5263" s="11" t="str">
        <f t="shared" si="397"/>
        <v/>
      </c>
      <c r="V5263" s="12" t="str">
        <f t="shared" si="398"/>
        <v/>
      </c>
      <c r="Z5263" s="15"/>
    </row>
    <row r="5264" spans="1:26" x14ac:dyDescent="0.25">
      <c r="A5264" s="15" t="str">
        <f>IF(C5264="","",COUNTA($C$3:C5264))</f>
        <v/>
      </c>
      <c r="B5264" s="15" t="str">
        <f t="shared" si="399"/>
        <v/>
      </c>
      <c r="M5264" s="9"/>
      <c r="N5264" s="9"/>
      <c r="P5264" s="14"/>
      <c r="Q5264" s="85"/>
      <c r="R5264" s="89"/>
      <c r="U5264" s="11" t="str">
        <f t="shared" si="397"/>
        <v/>
      </c>
      <c r="V5264" s="12" t="str">
        <f t="shared" si="398"/>
        <v/>
      </c>
      <c r="Z5264" s="15"/>
    </row>
    <row r="5265" spans="1:26" x14ac:dyDescent="0.25">
      <c r="A5265" s="15" t="str">
        <f>IF(C5265="","",COUNTA($C$3:C5265))</f>
        <v/>
      </c>
      <c r="B5265" s="15" t="str">
        <f t="shared" si="399"/>
        <v/>
      </c>
      <c r="M5265" s="9"/>
      <c r="N5265" s="9"/>
      <c r="P5265" s="14"/>
      <c r="Q5265" s="85"/>
      <c r="R5265" s="89"/>
      <c r="U5265" s="11" t="str">
        <f t="shared" si="397"/>
        <v/>
      </c>
      <c r="V5265" s="12" t="str">
        <f t="shared" si="398"/>
        <v/>
      </c>
      <c r="Z5265" s="15"/>
    </row>
    <row r="5266" spans="1:26" x14ac:dyDescent="0.25">
      <c r="A5266" s="15" t="str">
        <f>IF(C5266="","",COUNTA($C$3:C5266))</f>
        <v/>
      </c>
      <c r="B5266" s="15" t="str">
        <f t="shared" si="399"/>
        <v/>
      </c>
      <c r="M5266" s="9"/>
      <c r="N5266" s="9"/>
      <c r="P5266" s="14"/>
      <c r="Q5266" s="85"/>
      <c r="R5266" s="89"/>
      <c r="U5266" s="11" t="str">
        <f t="shared" si="397"/>
        <v/>
      </c>
      <c r="V5266" s="12" t="str">
        <f t="shared" si="398"/>
        <v/>
      </c>
      <c r="Z5266" s="15"/>
    </row>
    <row r="5267" spans="1:26" x14ac:dyDescent="0.25">
      <c r="A5267" s="15" t="str">
        <f>IF(C5267="","",COUNTA($C$3:C5267))</f>
        <v/>
      </c>
      <c r="B5267" s="15" t="str">
        <f t="shared" si="399"/>
        <v/>
      </c>
      <c r="M5267" s="9"/>
      <c r="N5267" s="9"/>
      <c r="P5267" s="14"/>
      <c r="Q5267" s="85"/>
      <c r="R5267" s="89"/>
      <c r="U5267" s="11" t="str">
        <f t="shared" si="397"/>
        <v/>
      </c>
      <c r="V5267" s="12" t="str">
        <f t="shared" si="398"/>
        <v/>
      </c>
      <c r="Z5267" s="15"/>
    </row>
    <row r="5268" spans="1:26" x14ac:dyDescent="0.25">
      <c r="A5268" s="15" t="str">
        <f>IF(C5268="","",COUNTA($C$3:C5268))</f>
        <v/>
      </c>
      <c r="B5268" s="15" t="str">
        <f t="shared" si="399"/>
        <v/>
      </c>
      <c r="M5268" s="9"/>
      <c r="N5268" s="9"/>
      <c r="P5268" s="14"/>
      <c r="Q5268" s="85"/>
      <c r="R5268" s="89"/>
      <c r="U5268" s="11" t="str">
        <f t="shared" si="397"/>
        <v/>
      </c>
      <c r="V5268" s="12" t="str">
        <f t="shared" si="398"/>
        <v/>
      </c>
      <c r="Z5268" s="15"/>
    </row>
    <row r="5269" spans="1:26" x14ac:dyDescent="0.25">
      <c r="A5269" s="15" t="str">
        <f>IF(C5269="","",COUNTA($C$3:C5269))</f>
        <v/>
      </c>
      <c r="B5269" s="15" t="str">
        <f t="shared" si="399"/>
        <v/>
      </c>
      <c r="M5269" s="9"/>
      <c r="N5269" s="9"/>
      <c r="P5269" s="14"/>
      <c r="Q5269" s="85"/>
      <c r="R5269" s="89"/>
      <c r="U5269" s="11" t="str">
        <f t="shared" si="397"/>
        <v/>
      </c>
      <c r="V5269" s="12" t="str">
        <f t="shared" si="398"/>
        <v/>
      </c>
      <c r="Z5269" s="15"/>
    </row>
    <row r="5270" spans="1:26" x14ac:dyDescent="0.25">
      <c r="A5270" s="15" t="str">
        <f>IF(C5270="","",COUNTA($C$3:C5270))</f>
        <v/>
      </c>
      <c r="B5270" s="15" t="str">
        <f t="shared" si="399"/>
        <v/>
      </c>
      <c r="M5270" s="9"/>
      <c r="N5270" s="9"/>
      <c r="P5270" s="14"/>
      <c r="Q5270" s="85"/>
      <c r="R5270" s="89"/>
      <c r="U5270" s="11" t="str">
        <f t="shared" si="397"/>
        <v/>
      </c>
      <c r="V5270" s="12" t="str">
        <f t="shared" si="398"/>
        <v/>
      </c>
      <c r="Z5270" s="15"/>
    </row>
    <row r="5271" spans="1:26" x14ac:dyDescent="0.25">
      <c r="A5271" s="15" t="str">
        <f>IF(C5271="","",COUNTA($C$3:C5271))</f>
        <v/>
      </c>
      <c r="B5271" s="15" t="str">
        <f t="shared" si="399"/>
        <v/>
      </c>
      <c r="M5271" s="9"/>
      <c r="N5271" s="9"/>
      <c r="P5271" s="14"/>
      <c r="Q5271" s="85"/>
      <c r="R5271" s="89"/>
      <c r="U5271" s="11" t="str">
        <f t="shared" si="397"/>
        <v/>
      </c>
      <c r="V5271" s="12" t="str">
        <f t="shared" si="398"/>
        <v/>
      </c>
      <c r="Z5271" s="15"/>
    </row>
    <row r="5272" spans="1:26" x14ac:dyDescent="0.25">
      <c r="A5272" s="15" t="str">
        <f>IF(C5272="","",COUNTA($C$3:C5272))</f>
        <v/>
      </c>
      <c r="B5272" s="15" t="str">
        <f t="shared" si="399"/>
        <v/>
      </c>
      <c r="M5272" s="9"/>
      <c r="N5272" s="9"/>
      <c r="P5272" s="14"/>
      <c r="Q5272" s="85"/>
      <c r="R5272" s="89"/>
      <c r="U5272" s="11" t="str">
        <f t="shared" si="397"/>
        <v/>
      </c>
      <c r="V5272" s="12" t="str">
        <f t="shared" si="398"/>
        <v/>
      </c>
      <c r="Z5272" s="15"/>
    </row>
    <row r="5273" spans="1:26" x14ac:dyDescent="0.25">
      <c r="A5273" s="15" t="str">
        <f>IF(C5273="","",COUNTA($C$3:C5273))</f>
        <v/>
      </c>
      <c r="B5273" s="15" t="str">
        <f t="shared" si="399"/>
        <v/>
      </c>
      <c r="M5273" s="9"/>
      <c r="N5273" s="9"/>
      <c r="P5273" s="14"/>
      <c r="Q5273" s="85"/>
      <c r="R5273" s="89"/>
      <c r="U5273" s="11" t="str">
        <f t="shared" si="397"/>
        <v/>
      </c>
      <c r="V5273" s="12" t="str">
        <f t="shared" si="398"/>
        <v/>
      </c>
      <c r="Z5273" s="15"/>
    </row>
    <row r="5274" spans="1:26" x14ac:dyDescent="0.25">
      <c r="A5274" s="15" t="str">
        <f>IF(C5274="","",COUNTA($C$3:C5274))</f>
        <v/>
      </c>
      <c r="B5274" s="15" t="str">
        <f t="shared" si="399"/>
        <v/>
      </c>
      <c r="M5274" s="9"/>
      <c r="N5274" s="9"/>
      <c r="P5274" s="14"/>
      <c r="Q5274" s="85"/>
      <c r="R5274" s="89"/>
      <c r="U5274" s="11" t="str">
        <f t="shared" si="397"/>
        <v/>
      </c>
      <c r="V5274" s="12" t="str">
        <f t="shared" si="398"/>
        <v/>
      </c>
      <c r="Z5274" s="15"/>
    </row>
    <row r="5275" spans="1:26" x14ac:dyDescent="0.25">
      <c r="A5275" s="15" t="str">
        <f>IF(C5275="","",COUNTA($C$3:C5275))</f>
        <v/>
      </c>
      <c r="B5275" s="15" t="str">
        <f t="shared" si="399"/>
        <v/>
      </c>
      <c r="M5275" s="9"/>
      <c r="N5275" s="9"/>
      <c r="P5275" s="14"/>
      <c r="Q5275" s="85"/>
      <c r="R5275" s="89"/>
      <c r="U5275" s="11" t="str">
        <f t="shared" si="397"/>
        <v/>
      </c>
      <c r="V5275" s="12" t="str">
        <f t="shared" si="398"/>
        <v/>
      </c>
      <c r="Z5275" s="15"/>
    </row>
    <row r="5276" spans="1:26" x14ac:dyDescent="0.25">
      <c r="A5276" s="15" t="str">
        <f>IF(C5276="","",COUNTA($C$3:C5276))</f>
        <v/>
      </c>
      <c r="B5276" s="15" t="str">
        <f t="shared" si="399"/>
        <v/>
      </c>
      <c r="M5276" s="9"/>
      <c r="N5276" s="9"/>
      <c r="P5276" s="14"/>
      <c r="Q5276" s="85"/>
      <c r="R5276" s="89"/>
      <c r="U5276" s="11" t="str">
        <f t="shared" si="397"/>
        <v/>
      </c>
      <c r="V5276" s="12" t="str">
        <f t="shared" si="398"/>
        <v/>
      </c>
      <c r="Z5276" s="15"/>
    </row>
    <row r="5277" spans="1:26" x14ac:dyDescent="0.25">
      <c r="A5277" s="15" t="str">
        <f>IF(C5277="","",COUNTA($C$3:C5277))</f>
        <v/>
      </c>
      <c r="B5277" s="15" t="str">
        <f t="shared" si="399"/>
        <v/>
      </c>
      <c r="M5277" s="9"/>
      <c r="N5277" s="9"/>
      <c r="P5277" s="14"/>
      <c r="Q5277" s="85"/>
      <c r="R5277" s="89"/>
      <c r="U5277" s="11" t="str">
        <f t="shared" si="397"/>
        <v/>
      </c>
      <c r="V5277" s="12" t="str">
        <f t="shared" si="398"/>
        <v/>
      </c>
      <c r="Z5277" s="15"/>
    </row>
    <row r="5278" spans="1:26" x14ac:dyDescent="0.25">
      <c r="A5278" s="15" t="str">
        <f>IF(C5278="","",COUNTA($C$3:C5278))</f>
        <v/>
      </c>
      <c r="B5278" s="15" t="str">
        <f t="shared" si="399"/>
        <v/>
      </c>
      <c r="M5278" s="9"/>
      <c r="N5278" s="9"/>
      <c r="P5278" s="14"/>
      <c r="Q5278" s="85"/>
      <c r="R5278" s="89"/>
      <c r="U5278" s="11" t="str">
        <f t="shared" si="397"/>
        <v/>
      </c>
      <c r="V5278" s="12" t="str">
        <f t="shared" si="398"/>
        <v/>
      </c>
      <c r="Z5278" s="15"/>
    </row>
    <row r="5279" spans="1:26" x14ac:dyDescent="0.25">
      <c r="A5279" s="15" t="str">
        <f>IF(C5279="","",COUNTA($C$3:C5279))</f>
        <v/>
      </c>
      <c r="B5279" s="15" t="str">
        <f t="shared" si="399"/>
        <v/>
      </c>
      <c r="M5279" s="9"/>
      <c r="N5279" s="9"/>
      <c r="P5279" s="14"/>
      <c r="Q5279" s="85"/>
      <c r="R5279" s="89"/>
      <c r="U5279" s="11" t="str">
        <f t="shared" si="397"/>
        <v/>
      </c>
      <c r="V5279" s="12" t="str">
        <f t="shared" si="398"/>
        <v/>
      </c>
      <c r="Z5279" s="15"/>
    </row>
    <row r="5280" spans="1:26" x14ac:dyDescent="0.25">
      <c r="A5280" s="15" t="str">
        <f>IF(C5280="","",COUNTA($C$3:C5280))</f>
        <v/>
      </c>
      <c r="B5280" s="15" t="str">
        <f t="shared" si="399"/>
        <v/>
      </c>
      <c r="M5280" s="9"/>
      <c r="N5280" s="9"/>
      <c r="P5280" s="14"/>
      <c r="Q5280" s="85"/>
      <c r="R5280" s="89"/>
      <c r="U5280" s="11" t="str">
        <f t="shared" si="397"/>
        <v/>
      </c>
      <c r="V5280" s="12" t="str">
        <f t="shared" si="398"/>
        <v/>
      </c>
      <c r="Z5280" s="15"/>
    </row>
    <row r="5281" spans="1:26" x14ac:dyDescent="0.25">
      <c r="A5281" s="15" t="str">
        <f>IF(C5281="","",COUNTA($C$3:C5281))</f>
        <v/>
      </c>
      <c r="B5281" s="15" t="str">
        <f t="shared" si="399"/>
        <v/>
      </c>
      <c r="M5281" s="9"/>
      <c r="N5281" s="9"/>
      <c r="P5281" s="14"/>
      <c r="Q5281" s="85"/>
      <c r="R5281" s="89"/>
      <c r="U5281" s="11" t="str">
        <f t="shared" si="397"/>
        <v/>
      </c>
      <c r="V5281" s="12" t="str">
        <f t="shared" si="398"/>
        <v/>
      </c>
      <c r="Z5281" s="15"/>
    </row>
    <row r="5282" spans="1:26" x14ac:dyDescent="0.25">
      <c r="A5282" s="15" t="str">
        <f>IF(C5282="","",COUNTA($C$3:C5282))</f>
        <v/>
      </c>
      <c r="B5282" s="15" t="str">
        <f t="shared" si="399"/>
        <v/>
      </c>
      <c r="M5282" s="9"/>
      <c r="N5282" s="9"/>
      <c r="P5282" s="14"/>
      <c r="Q5282" s="85"/>
      <c r="R5282" s="89"/>
      <c r="U5282" s="11" t="str">
        <f t="shared" si="397"/>
        <v/>
      </c>
      <c r="V5282" s="12" t="str">
        <f t="shared" si="398"/>
        <v/>
      </c>
      <c r="Z5282" s="15"/>
    </row>
    <row r="5283" spans="1:26" x14ac:dyDescent="0.25">
      <c r="A5283" s="15" t="str">
        <f>IF(C5283="","",COUNTA($C$3:C5283))</f>
        <v/>
      </c>
      <c r="B5283" s="15" t="str">
        <f t="shared" si="399"/>
        <v/>
      </c>
      <c r="M5283" s="9"/>
      <c r="N5283" s="9"/>
      <c r="P5283" s="14"/>
      <c r="Q5283" s="85"/>
      <c r="R5283" s="89"/>
      <c r="U5283" s="11" t="str">
        <f t="shared" si="397"/>
        <v/>
      </c>
      <c r="V5283" s="12" t="str">
        <f t="shared" si="398"/>
        <v/>
      </c>
      <c r="Z5283" s="15"/>
    </row>
    <row r="5284" spans="1:26" x14ac:dyDescent="0.25">
      <c r="A5284" s="15" t="str">
        <f>IF(C5284="","",COUNTA($C$3:C5284))</f>
        <v/>
      </c>
      <c r="B5284" s="15" t="str">
        <f t="shared" si="399"/>
        <v/>
      </c>
      <c r="M5284" s="9"/>
      <c r="N5284" s="9"/>
      <c r="P5284" s="14"/>
      <c r="Q5284" s="85"/>
      <c r="R5284" s="89"/>
      <c r="U5284" s="11" t="str">
        <f t="shared" si="397"/>
        <v/>
      </c>
      <c r="V5284" s="12" t="str">
        <f t="shared" si="398"/>
        <v/>
      </c>
      <c r="Z5284" s="15"/>
    </row>
    <row r="5285" spans="1:26" x14ac:dyDescent="0.25">
      <c r="A5285" s="15" t="str">
        <f>IF(C5285="","",COUNTA($C$3:C5285))</f>
        <v/>
      </c>
      <c r="B5285" s="15" t="str">
        <f t="shared" si="399"/>
        <v/>
      </c>
      <c r="M5285" s="9"/>
      <c r="N5285" s="9"/>
      <c r="P5285" s="14"/>
      <c r="Q5285" s="85"/>
      <c r="R5285" s="89"/>
      <c r="U5285" s="11" t="str">
        <f t="shared" si="397"/>
        <v/>
      </c>
      <c r="V5285" s="12" t="str">
        <f t="shared" si="398"/>
        <v/>
      </c>
      <c r="Z5285" s="15"/>
    </row>
    <row r="5286" spans="1:26" x14ac:dyDescent="0.25">
      <c r="A5286" s="15" t="str">
        <f>IF(C5286="","",COUNTA($C$3:C5286))</f>
        <v/>
      </c>
      <c r="B5286" s="15" t="str">
        <f t="shared" si="399"/>
        <v/>
      </c>
      <c r="M5286" s="9"/>
      <c r="N5286" s="9"/>
      <c r="P5286" s="14"/>
      <c r="Q5286" s="85"/>
      <c r="R5286" s="89"/>
      <c r="U5286" s="11" t="str">
        <f t="shared" si="397"/>
        <v/>
      </c>
      <c r="V5286" s="12" t="str">
        <f t="shared" si="398"/>
        <v/>
      </c>
      <c r="Z5286" s="15"/>
    </row>
    <row r="5287" spans="1:26" x14ac:dyDescent="0.25">
      <c r="A5287" s="15" t="str">
        <f>IF(C5287="","",COUNTA($C$3:C5287))</f>
        <v/>
      </c>
      <c r="B5287" s="15" t="str">
        <f t="shared" si="399"/>
        <v/>
      </c>
      <c r="M5287" s="9"/>
      <c r="N5287" s="9"/>
      <c r="P5287" s="14"/>
      <c r="Q5287" s="85"/>
      <c r="R5287" s="89"/>
      <c r="U5287" s="11" t="str">
        <f t="shared" si="397"/>
        <v/>
      </c>
      <c r="V5287" s="12" t="str">
        <f t="shared" si="398"/>
        <v/>
      </c>
      <c r="Z5287" s="15"/>
    </row>
    <row r="5288" spans="1:26" x14ac:dyDescent="0.25">
      <c r="A5288" s="15" t="str">
        <f>IF(C5288="","",COUNTA($C$3:C5288))</f>
        <v/>
      </c>
      <c r="B5288" s="15" t="str">
        <f t="shared" si="399"/>
        <v/>
      </c>
      <c r="M5288" s="9"/>
      <c r="N5288" s="9"/>
      <c r="P5288" s="14"/>
      <c r="Q5288" s="85"/>
      <c r="R5288" s="89"/>
      <c r="U5288" s="11" t="str">
        <f t="shared" si="397"/>
        <v/>
      </c>
      <c r="V5288" s="12" t="str">
        <f t="shared" si="398"/>
        <v/>
      </c>
      <c r="Z5288" s="15"/>
    </row>
    <row r="5289" spans="1:26" x14ac:dyDescent="0.25">
      <c r="A5289" s="15" t="str">
        <f>IF(C5289="","",COUNTA($C$3:C5289))</f>
        <v/>
      </c>
      <c r="B5289" s="15" t="str">
        <f t="shared" si="399"/>
        <v/>
      </c>
      <c r="M5289" s="9"/>
      <c r="N5289" s="9"/>
      <c r="P5289" s="14"/>
      <c r="Q5289" s="85"/>
      <c r="R5289" s="89"/>
      <c r="U5289" s="11" t="str">
        <f t="shared" si="397"/>
        <v/>
      </c>
      <c r="V5289" s="12" t="str">
        <f t="shared" si="398"/>
        <v/>
      </c>
      <c r="Z5289" s="15"/>
    </row>
    <row r="5290" spans="1:26" x14ac:dyDescent="0.25">
      <c r="A5290" s="15" t="str">
        <f>IF(C5290="","",COUNTA($C$3:C5290))</f>
        <v/>
      </c>
      <c r="B5290" s="15" t="str">
        <f t="shared" si="399"/>
        <v/>
      </c>
      <c r="M5290" s="9"/>
      <c r="N5290" s="9"/>
      <c r="P5290" s="14"/>
      <c r="Q5290" s="85"/>
      <c r="R5290" s="89"/>
      <c r="U5290" s="11" t="str">
        <f t="shared" si="397"/>
        <v/>
      </c>
      <c r="V5290" s="12" t="str">
        <f t="shared" si="398"/>
        <v/>
      </c>
      <c r="Z5290" s="15"/>
    </row>
    <row r="5291" spans="1:26" x14ac:dyDescent="0.25">
      <c r="A5291" s="15" t="str">
        <f>IF(C5291="","",COUNTA($C$3:C5291))</f>
        <v/>
      </c>
      <c r="B5291" s="15" t="str">
        <f t="shared" si="399"/>
        <v/>
      </c>
      <c r="M5291" s="9"/>
      <c r="N5291" s="9"/>
      <c r="P5291" s="14"/>
      <c r="Q5291" s="85"/>
      <c r="R5291" s="89"/>
      <c r="U5291" s="11" t="str">
        <f t="shared" si="397"/>
        <v/>
      </c>
      <c r="V5291" s="12" t="str">
        <f t="shared" si="398"/>
        <v/>
      </c>
      <c r="Z5291" s="15"/>
    </row>
    <row r="5292" spans="1:26" x14ac:dyDescent="0.25">
      <c r="A5292" s="15" t="str">
        <f>IF(C5292="","",COUNTA($C$3:C5292))</f>
        <v/>
      </c>
      <c r="B5292" s="15" t="str">
        <f t="shared" si="399"/>
        <v/>
      </c>
      <c r="M5292" s="9"/>
      <c r="N5292" s="9"/>
      <c r="P5292" s="14"/>
      <c r="Q5292" s="85"/>
      <c r="R5292" s="89"/>
      <c r="U5292" s="11" t="str">
        <f t="shared" si="397"/>
        <v/>
      </c>
      <c r="V5292" s="12" t="str">
        <f t="shared" si="398"/>
        <v/>
      </c>
      <c r="Z5292" s="15"/>
    </row>
    <row r="5293" spans="1:26" x14ac:dyDescent="0.25">
      <c r="A5293" s="15" t="str">
        <f>IF(C5293="","",COUNTA($C$3:C5293))</f>
        <v/>
      </c>
      <c r="B5293" s="15" t="str">
        <f t="shared" si="399"/>
        <v/>
      </c>
      <c r="M5293" s="9"/>
      <c r="N5293" s="9"/>
      <c r="P5293" s="14"/>
      <c r="Q5293" s="85"/>
      <c r="R5293" s="89"/>
      <c r="U5293" s="11" t="str">
        <f t="shared" si="397"/>
        <v/>
      </c>
      <c r="V5293" s="12" t="str">
        <f t="shared" si="398"/>
        <v/>
      </c>
      <c r="Z5293" s="15"/>
    </row>
    <row r="5294" spans="1:26" x14ac:dyDescent="0.25">
      <c r="A5294" s="15" t="str">
        <f>IF(C5294="","",COUNTA($C$3:C5294))</f>
        <v/>
      </c>
      <c r="B5294" s="15" t="str">
        <f t="shared" si="399"/>
        <v/>
      </c>
      <c r="M5294" s="9"/>
      <c r="N5294" s="9"/>
      <c r="P5294" s="14"/>
      <c r="Q5294" s="85"/>
      <c r="R5294" s="89"/>
      <c r="U5294" s="11" t="str">
        <f t="shared" si="397"/>
        <v/>
      </c>
      <c r="V5294" s="12" t="str">
        <f t="shared" si="398"/>
        <v/>
      </c>
      <c r="Z5294" s="15"/>
    </row>
    <row r="5295" spans="1:26" x14ac:dyDescent="0.25">
      <c r="A5295" s="15" t="str">
        <f>IF(C5295="","",COUNTA($C$3:C5295))</f>
        <v/>
      </c>
      <c r="B5295" s="15" t="str">
        <f t="shared" si="399"/>
        <v/>
      </c>
      <c r="M5295" s="9"/>
      <c r="N5295" s="9"/>
      <c r="P5295" s="14"/>
      <c r="Q5295" s="85"/>
      <c r="R5295" s="89"/>
      <c r="U5295" s="11" t="str">
        <f t="shared" si="397"/>
        <v/>
      </c>
      <c r="V5295" s="12" t="str">
        <f t="shared" si="398"/>
        <v/>
      </c>
      <c r="Z5295" s="15"/>
    </row>
    <row r="5296" spans="1:26" x14ac:dyDescent="0.25">
      <c r="A5296" s="15" t="str">
        <f>IF(C5296="","",COUNTA($C$3:C5296))</f>
        <v/>
      </c>
      <c r="B5296" s="15" t="str">
        <f t="shared" si="399"/>
        <v/>
      </c>
      <c r="M5296" s="9"/>
      <c r="N5296" s="9"/>
      <c r="P5296" s="14"/>
      <c r="Q5296" s="85"/>
      <c r="R5296" s="89"/>
      <c r="U5296" s="11" t="str">
        <f t="shared" si="397"/>
        <v/>
      </c>
      <c r="V5296" s="12" t="str">
        <f t="shared" si="398"/>
        <v/>
      </c>
      <c r="Z5296" s="15"/>
    </row>
    <row r="5297" spans="1:26" x14ac:dyDescent="0.25">
      <c r="A5297" s="15" t="str">
        <f>IF(C5297="","",COUNTA($C$3:C5297))</f>
        <v/>
      </c>
      <c r="B5297" s="15" t="str">
        <f t="shared" si="399"/>
        <v/>
      </c>
      <c r="M5297" s="9"/>
      <c r="N5297" s="9"/>
      <c r="P5297" s="14"/>
      <c r="Q5297" s="85"/>
      <c r="R5297" s="89"/>
      <c r="U5297" s="11" t="str">
        <f t="shared" si="397"/>
        <v/>
      </c>
      <c r="V5297" s="12" t="str">
        <f t="shared" si="398"/>
        <v/>
      </c>
      <c r="Z5297" s="15"/>
    </row>
    <row r="5298" spans="1:26" x14ac:dyDescent="0.25">
      <c r="A5298" s="15" t="str">
        <f>IF(C5298="","",COUNTA($C$3:C5298))</f>
        <v/>
      </c>
      <c r="B5298" s="15" t="str">
        <f t="shared" si="399"/>
        <v/>
      </c>
      <c r="M5298" s="9"/>
      <c r="N5298" s="9"/>
      <c r="P5298" s="14"/>
      <c r="Q5298" s="85"/>
      <c r="R5298" s="89"/>
      <c r="U5298" s="11" t="str">
        <f t="shared" si="397"/>
        <v/>
      </c>
      <c r="V5298" s="12" t="str">
        <f t="shared" si="398"/>
        <v/>
      </c>
      <c r="Z5298" s="15"/>
    </row>
    <row r="5299" spans="1:26" x14ac:dyDescent="0.25">
      <c r="A5299" s="15" t="str">
        <f>IF(C5299="","",COUNTA($C$3:C5299))</f>
        <v/>
      </c>
      <c r="B5299" s="15" t="str">
        <f t="shared" si="399"/>
        <v/>
      </c>
      <c r="M5299" s="9"/>
      <c r="N5299" s="9"/>
      <c r="P5299" s="14"/>
      <c r="Q5299" s="85"/>
      <c r="R5299" s="89"/>
      <c r="U5299" s="11" t="str">
        <f t="shared" si="397"/>
        <v/>
      </c>
      <c r="V5299" s="12" t="str">
        <f t="shared" si="398"/>
        <v/>
      </c>
      <c r="Z5299" s="15"/>
    </row>
    <row r="5300" spans="1:26" x14ac:dyDescent="0.25">
      <c r="A5300" s="15" t="str">
        <f>IF(C5300="","",COUNTA($C$3:C5300))</f>
        <v/>
      </c>
      <c r="B5300" s="15" t="str">
        <f t="shared" si="399"/>
        <v/>
      </c>
      <c r="M5300" s="9"/>
      <c r="N5300" s="9"/>
      <c r="P5300" s="14"/>
      <c r="Q5300" s="85"/>
      <c r="R5300" s="89"/>
      <c r="U5300" s="11" t="str">
        <f t="shared" si="397"/>
        <v/>
      </c>
      <c r="V5300" s="12" t="str">
        <f t="shared" si="398"/>
        <v/>
      </c>
      <c r="Z5300" s="15"/>
    </row>
    <row r="5301" spans="1:26" x14ac:dyDescent="0.25">
      <c r="A5301" s="15" t="str">
        <f>IF(C5301="","",COUNTA($C$3:C5301))</f>
        <v/>
      </c>
      <c r="B5301" s="15" t="str">
        <f t="shared" si="399"/>
        <v/>
      </c>
      <c r="M5301" s="9"/>
      <c r="N5301" s="9"/>
      <c r="P5301" s="14"/>
      <c r="Q5301" s="85"/>
      <c r="R5301" s="89"/>
      <c r="U5301" s="11" t="str">
        <f t="shared" si="397"/>
        <v/>
      </c>
      <c r="V5301" s="12" t="str">
        <f t="shared" si="398"/>
        <v/>
      </c>
      <c r="Z5301" s="15"/>
    </row>
    <row r="5302" spans="1:26" x14ac:dyDescent="0.25">
      <c r="A5302" s="15" t="str">
        <f>IF(C5302="","",COUNTA($C$3:C5302))</f>
        <v/>
      </c>
      <c r="B5302" s="15" t="str">
        <f t="shared" si="399"/>
        <v/>
      </c>
      <c r="M5302" s="9"/>
      <c r="N5302" s="9"/>
      <c r="P5302" s="14"/>
      <c r="Q5302" s="85"/>
      <c r="R5302" s="89"/>
      <c r="U5302" s="11" t="str">
        <f t="shared" si="397"/>
        <v/>
      </c>
      <c r="V5302" s="12" t="str">
        <f t="shared" si="398"/>
        <v/>
      </c>
      <c r="Z5302" s="15"/>
    </row>
    <row r="5303" spans="1:26" x14ac:dyDescent="0.25">
      <c r="A5303" s="15" t="str">
        <f>IF(C5303="","",COUNTA($C$3:C5303))</f>
        <v/>
      </c>
      <c r="B5303" s="15" t="str">
        <f t="shared" si="399"/>
        <v/>
      </c>
      <c r="M5303" s="9"/>
      <c r="N5303" s="9"/>
      <c r="P5303" s="14"/>
      <c r="Q5303" s="85"/>
      <c r="R5303" s="89"/>
      <c r="U5303" s="11" t="str">
        <f t="shared" si="397"/>
        <v/>
      </c>
      <c r="V5303" s="12" t="str">
        <f t="shared" si="398"/>
        <v/>
      </c>
      <c r="Z5303" s="15"/>
    </row>
    <row r="5304" spans="1:26" x14ac:dyDescent="0.25">
      <c r="A5304" s="15" t="str">
        <f>IF(C5304="","",COUNTA($C$3:C5304))</f>
        <v/>
      </c>
      <c r="B5304" s="15" t="str">
        <f t="shared" si="399"/>
        <v/>
      </c>
      <c r="M5304" s="9"/>
      <c r="N5304" s="9"/>
      <c r="P5304" s="14"/>
      <c r="Q5304" s="85"/>
      <c r="R5304" s="89"/>
      <c r="U5304" s="11" t="str">
        <f t="shared" si="397"/>
        <v/>
      </c>
      <c r="V5304" s="12" t="str">
        <f t="shared" si="398"/>
        <v/>
      </c>
      <c r="Z5304" s="15"/>
    </row>
    <row r="5305" spans="1:26" x14ac:dyDescent="0.25">
      <c r="A5305" s="15" t="str">
        <f>IF(C5305="","",COUNTA($C$3:C5305))</f>
        <v/>
      </c>
      <c r="B5305" s="15" t="str">
        <f t="shared" si="399"/>
        <v/>
      </c>
      <c r="M5305" s="9"/>
      <c r="N5305" s="9"/>
      <c r="P5305" s="14"/>
      <c r="Q5305" s="85"/>
      <c r="R5305" s="89"/>
      <c r="U5305" s="11" t="str">
        <f t="shared" si="397"/>
        <v/>
      </c>
      <c r="V5305" s="12" t="str">
        <f t="shared" si="398"/>
        <v/>
      </c>
      <c r="Z5305" s="15"/>
    </row>
    <row r="5306" spans="1:26" x14ac:dyDescent="0.25">
      <c r="A5306" s="15" t="str">
        <f>IF(C5306="","",COUNTA($C$3:C5306))</f>
        <v/>
      </c>
      <c r="B5306" s="15" t="str">
        <f t="shared" si="399"/>
        <v/>
      </c>
      <c r="M5306" s="9"/>
      <c r="N5306" s="9"/>
      <c r="P5306" s="14"/>
      <c r="Q5306" s="85"/>
      <c r="R5306" s="89"/>
      <c r="U5306" s="11" t="str">
        <f t="shared" si="397"/>
        <v/>
      </c>
      <c r="V5306" s="12" t="str">
        <f t="shared" si="398"/>
        <v/>
      </c>
      <c r="Z5306" s="15"/>
    </row>
    <row r="5307" spans="1:26" x14ac:dyDescent="0.25">
      <c r="A5307" s="15" t="str">
        <f>IF(C5307="","",COUNTA($C$3:C5307))</f>
        <v/>
      </c>
      <c r="B5307" s="15" t="str">
        <f t="shared" si="399"/>
        <v/>
      </c>
      <c r="M5307" s="9"/>
      <c r="N5307" s="9"/>
      <c r="P5307" s="14"/>
      <c r="Q5307" s="85"/>
      <c r="R5307" s="89"/>
      <c r="U5307" s="11" t="str">
        <f t="shared" si="397"/>
        <v/>
      </c>
      <c r="V5307" s="12" t="str">
        <f t="shared" si="398"/>
        <v/>
      </c>
      <c r="Z5307" s="15"/>
    </row>
    <row r="5308" spans="1:26" x14ac:dyDescent="0.25">
      <c r="A5308" s="15" t="str">
        <f>IF(C5308="","",COUNTA($C$3:C5308))</f>
        <v/>
      </c>
      <c r="B5308" s="15" t="str">
        <f t="shared" si="399"/>
        <v/>
      </c>
      <c r="M5308" s="9"/>
      <c r="N5308" s="9"/>
      <c r="P5308" s="14"/>
      <c r="Q5308" s="85"/>
      <c r="R5308" s="89"/>
      <c r="U5308" s="11" t="str">
        <f t="shared" si="397"/>
        <v/>
      </c>
      <c r="V5308" s="12" t="str">
        <f t="shared" si="398"/>
        <v/>
      </c>
      <c r="Z5308" s="15"/>
    </row>
    <row r="5309" spans="1:26" x14ac:dyDescent="0.25">
      <c r="A5309" s="15" t="str">
        <f>IF(C5309="","",COUNTA($C$3:C5309))</f>
        <v/>
      </c>
      <c r="B5309" s="15" t="str">
        <f t="shared" si="399"/>
        <v/>
      </c>
      <c r="M5309" s="9"/>
      <c r="N5309" s="9"/>
      <c r="P5309" s="14"/>
      <c r="Q5309" s="85"/>
      <c r="R5309" s="89"/>
      <c r="U5309" s="11" t="str">
        <f t="shared" si="397"/>
        <v/>
      </c>
      <c r="V5309" s="12" t="str">
        <f t="shared" si="398"/>
        <v/>
      </c>
      <c r="Z5309" s="15"/>
    </row>
    <row r="5310" spans="1:26" x14ac:dyDescent="0.25">
      <c r="A5310" s="15" t="str">
        <f>IF(C5310="","",COUNTA($C$3:C5310))</f>
        <v/>
      </c>
      <c r="B5310" s="15" t="str">
        <f t="shared" si="399"/>
        <v/>
      </c>
      <c r="M5310" s="9"/>
      <c r="N5310" s="9"/>
      <c r="P5310" s="14"/>
      <c r="Q5310" s="85"/>
      <c r="R5310" s="89"/>
      <c r="U5310" s="11" t="str">
        <f t="shared" si="397"/>
        <v/>
      </c>
      <c r="V5310" s="12" t="str">
        <f t="shared" si="398"/>
        <v/>
      </c>
      <c r="Z5310" s="15"/>
    </row>
    <row r="5311" spans="1:26" x14ac:dyDescent="0.25">
      <c r="A5311" s="15" t="str">
        <f>IF(C5311="","",COUNTA($C$3:C5311))</f>
        <v/>
      </c>
      <c r="B5311" s="15" t="str">
        <f t="shared" si="399"/>
        <v/>
      </c>
      <c r="M5311" s="9"/>
      <c r="N5311" s="9"/>
      <c r="P5311" s="14"/>
      <c r="Q5311" s="85"/>
      <c r="R5311" s="89"/>
      <c r="U5311" s="11" t="str">
        <f t="shared" si="397"/>
        <v/>
      </c>
      <c r="V5311" s="12" t="str">
        <f t="shared" si="398"/>
        <v/>
      </c>
      <c r="Z5311" s="15"/>
    </row>
    <row r="5312" spans="1:26" x14ac:dyDescent="0.25">
      <c r="A5312" s="15" t="str">
        <f>IF(C5312="","",COUNTA($C$3:C5312))</f>
        <v/>
      </c>
      <c r="B5312" s="15" t="str">
        <f t="shared" si="399"/>
        <v/>
      </c>
      <c r="M5312" s="9"/>
      <c r="N5312" s="9"/>
      <c r="P5312" s="14"/>
      <c r="Q5312" s="85"/>
      <c r="R5312" s="89"/>
      <c r="U5312" s="11" t="str">
        <f t="shared" si="397"/>
        <v/>
      </c>
      <c r="V5312" s="12" t="str">
        <f t="shared" si="398"/>
        <v/>
      </c>
      <c r="Z5312" s="15"/>
    </row>
    <row r="5313" spans="1:26" x14ac:dyDescent="0.25">
      <c r="A5313" s="15" t="str">
        <f>IF(C5313="","",COUNTA($C$3:C5313))</f>
        <v/>
      </c>
      <c r="B5313" s="15" t="str">
        <f t="shared" si="399"/>
        <v/>
      </c>
      <c r="M5313" s="9"/>
      <c r="N5313" s="9"/>
      <c r="P5313" s="14"/>
      <c r="Q5313" s="85"/>
      <c r="R5313" s="89"/>
      <c r="U5313" s="11" t="str">
        <f t="shared" si="397"/>
        <v/>
      </c>
      <c r="V5313" s="12" t="str">
        <f t="shared" si="398"/>
        <v/>
      </c>
      <c r="Z5313" s="15"/>
    </row>
    <row r="5314" spans="1:26" x14ac:dyDescent="0.25">
      <c r="A5314" s="15" t="str">
        <f>IF(C5314="","",COUNTA($C$3:C5314))</f>
        <v/>
      </c>
      <c r="B5314" s="15" t="str">
        <f t="shared" si="399"/>
        <v/>
      </c>
      <c r="M5314" s="9"/>
      <c r="N5314" s="9"/>
      <c r="P5314" s="14"/>
      <c r="Q5314" s="85"/>
      <c r="R5314" s="89"/>
      <c r="U5314" s="11" t="str">
        <f t="shared" ref="U5314:U5377" si="400">IF(S5314="","",(S5314-T5314))</f>
        <v/>
      </c>
      <c r="V5314" s="12" t="str">
        <f t="shared" ref="V5314:V5345" si="401">IF(U5314="","",(U5314/T5314))</f>
        <v/>
      </c>
      <c r="Z5314" s="15"/>
    </row>
    <row r="5315" spans="1:26" x14ac:dyDescent="0.25">
      <c r="A5315" s="15" t="str">
        <f>IF(C5315="","",COUNTA($C$3:C5315))</f>
        <v/>
      </c>
      <c r="B5315" s="15" t="str">
        <f t="shared" ref="B5315:B5378" si="402">IF(C5315="","",TEXT(C5315,"mmmm"))</f>
        <v/>
      </c>
      <c r="M5315" s="9"/>
      <c r="N5315" s="9"/>
      <c r="P5315" s="14"/>
      <c r="Q5315" s="85"/>
      <c r="R5315" s="89"/>
      <c r="U5315" s="11" t="str">
        <f t="shared" si="400"/>
        <v/>
      </c>
      <c r="V5315" s="12" t="str">
        <f t="shared" si="401"/>
        <v/>
      </c>
      <c r="Z5315" s="15"/>
    </row>
    <row r="5316" spans="1:26" x14ac:dyDescent="0.25">
      <c r="A5316" s="15" t="str">
        <f>IF(C5316="","",COUNTA($C$3:C5316))</f>
        <v/>
      </c>
      <c r="B5316" s="15" t="str">
        <f t="shared" si="402"/>
        <v/>
      </c>
      <c r="M5316" s="9"/>
      <c r="N5316" s="9"/>
      <c r="P5316" s="14"/>
      <c r="Q5316" s="85"/>
      <c r="R5316" s="89"/>
      <c r="U5316" s="11" t="str">
        <f t="shared" si="400"/>
        <v/>
      </c>
      <c r="V5316" s="12" t="str">
        <f t="shared" si="401"/>
        <v/>
      </c>
      <c r="Z5316" s="15"/>
    </row>
    <row r="5317" spans="1:26" x14ac:dyDescent="0.25">
      <c r="A5317" s="15" t="str">
        <f>IF(C5317="","",COUNTA($C$3:C5317))</f>
        <v/>
      </c>
      <c r="B5317" s="15" t="str">
        <f t="shared" si="402"/>
        <v/>
      </c>
      <c r="M5317" s="9"/>
      <c r="N5317" s="9"/>
      <c r="P5317" s="14"/>
      <c r="Q5317" s="85"/>
      <c r="R5317" s="89"/>
      <c r="U5317" s="11" t="str">
        <f t="shared" si="400"/>
        <v/>
      </c>
      <c r="V5317" s="12" t="str">
        <f t="shared" si="401"/>
        <v/>
      </c>
      <c r="Z5317" s="15"/>
    </row>
    <row r="5318" spans="1:26" x14ac:dyDescent="0.25">
      <c r="A5318" s="15" t="str">
        <f>IF(C5318="","",COUNTA($C$3:C5318))</f>
        <v/>
      </c>
      <c r="B5318" s="15" t="str">
        <f t="shared" si="402"/>
        <v/>
      </c>
      <c r="M5318" s="9"/>
      <c r="N5318" s="9"/>
      <c r="P5318" s="14"/>
      <c r="Q5318" s="85"/>
      <c r="R5318" s="89"/>
      <c r="U5318" s="11" t="str">
        <f t="shared" si="400"/>
        <v/>
      </c>
      <c r="V5318" s="12" t="str">
        <f t="shared" si="401"/>
        <v/>
      </c>
      <c r="Z5318" s="15"/>
    </row>
    <row r="5319" spans="1:26" x14ac:dyDescent="0.25">
      <c r="A5319" s="15" t="str">
        <f>IF(C5319="","",COUNTA($C$3:C5319))</f>
        <v/>
      </c>
      <c r="B5319" s="15" t="str">
        <f t="shared" si="402"/>
        <v/>
      </c>
      <c r="M5319" s="9"/>
      <c r="N5319" s="9"/>
      <c r="P5319" s="14"/>
      <c r="Q5319" s="85"/>
      <c r="R5319" s="89"/>
      <c r="U5319" s="11" t="str">
        <f t="shared" si="400"/>
        <v/>
      </c>
      <c r="V5319" s="12" t="str">
        <f t="shared" si="401"/>
        <v/>
      </c>
      <c r="Z5319" s="15"/>
    </row>
    <row r="5320" spans="1:26" x14ac:dyDescent="0.25">
      <c r="A5320" s="15" t="str">
        <f>IF(C5320="","",COUNTA($C$3:C5320))</f>
        <v/>
      </c>
      <c r="B5320" s="15" t="str">
        <f t="shared" si="402"/>
        <v/>
      </c>
      <c r="M5320" s="9"/>
      <c r="N5320" s="9"/>
      <c r="P5320" s="14"/>
      <c r="Q5320" s="85"/>
      <c r="R5320" s="89"/>
      <c r="U5320" s="11" t="str">
        <f t="shared" si="400"/>
        <v/>
      </c>
      <c r="V5320" s="12" t="str">
        <f t="shared" si="401"/>
        <v/>
      </c>
      <c r="Z5320" s="15"/>
    </row>
    <row r="5321" spans="1:26" x14ac:dyDescent="0.25">
      <c r="A5321" s="15" t="str">
        <f>IF(C5321="","",COUNTA($C$3:C5321))</f>
        <v/>
      </c>
      <c r="B5321" s="15" t="str">
        <f t="shared" si="402"/>
        <v/>
      </c>
      <c r="M5321" s="9"/>
      <c r="N5321" s="9"/>
      <c r="P5321" s="14"/>
      <c r="Q5321" s="85"/>
      <c r="R5321" s="89"/>
      <c r="U5321" s="11" t="str">
        <f t="shared" si="400"/>
        <v/>
      </c>
      <c r="V5321" s="12" t="str">
        <f t="shared" si="401"/>
        <v/>
      </c>
      <c r="Z5321" s="15"/>
    </row>
    <row r="5322" spans="1:26" x14ac:dyDescent="0.25">
      <c r="A5322" s="15" t="str">
        <f>IF(C5322="","",COUNTA($C$3:C5322))</f>
        <v/>
      </c>
      <c r="B5322" s="15" t="str">
        <f t="shared" si="402"/>
        <v/>
      </c>
      <c r="M5322" s="9"/>
      <c r="N5322" s="9"/>
      <c r="P5322" s="14"/>
      <c r="Q5322" s="85"/>
      <c r="R5322" s="89"/>
      <c r="U5322" s="11" t="str">
        <f t="shared" si="400"/>
        <v/>
      </c>
      <c r="V5322" s="12" t="str">
        <f t="shared" si="401"/>
        <v/>
      </c>
      <c r="Z5322" s="15"/>
    </row>
    <row r="5323" spans="1:26" x14ac:dyDescent="0.25">
      <c r="A5323" s="15" t="str">
        <f>IF(C5323="","",COUNTA($C$3:C5323))</f>
        <v/>
      </c>
      <c r="B5323" s="15" t="str">
        <f t="shared" si="402"/>
        <v/>
      </c>
      <c r="M5323" s="9"/>
      <c r="N5323" s="9"/>
      <c r="P5323" s="14"/>
      <c r="Q5323" s="85"/>
      <c r="R5323" s="89"/>
      <c r="U5323" s="11" t="str">
        <f t="shared" si="400"/>
        <v/>
      </c>
      <c r="V5323" s="12" t="str">
        <f t="shared" si="401"/>
        <v/>
      </c>
      <c r="Z5323" s="15"/>
    </row>
    <row r="5324" spans="1:26" x14ac:dyDescent="0.25">
      <c r="A5324" s="15" t="str">
        <f>IF(C5324="","",COUNTA($C$3:C5324))</f>
        <v/>
      </c>
      <c r="B5324" s="15" t="str">
        <f t="shared" si="402"/>
        <v/>
      </c>
      <c r="M5324" s="9"/>
      <c r="N5324" s="9"/>
      <c r="P5324" s="14"/>
      <c r="Q5324" s="85"/>
      <c r="R5324" s="89"/>
      <c r="U5324" s="11" t="str">
        <f t="shared" si="400"/>
        <v/>
      </c>
      <c r="V5324" s="12" t="str">
        <f t="shared" si="401"/>
        <v/>
      </c>
      <c r="Z5324" s="15"/>
    </row>
    <row r="5325" spans="1:26" x14ac:dyDescent="0.25">
      <c r="A5325" s="15" t="str">
        <f>IF(C5325="","",COUNTA($C$3:C5325))</f>
        <v/>
      </c>
      <c r="B5325" s="15" t="str">
        <f t="shared" si="402"/>
        <v/>
      </c>
      <c r="M5325" s="9"/>
      <c r="N5325" s="9"/>
      <c r="P5325" s="14"/>
      <c r="Q5325" s="85"/>
      <c r="R5325" s="89"/>
      <c r="U5325" s="11" t="str">
        <f t="shared" si="400"/>
        <v/>
      </c>
      <c r="V5325" s="12" t="str">
        <f t="shared" si="401"/>
        <v/>
      </c>
      <c r="Z5325" s="15"/>
    </row>
    <row r="5326" spans="1:26" x14ac:dyDescent="0.25">
      <c r="A5326" s="15" t="str">
        <f>IF(C5326="","",COUNTA($C$3:C5326))</f>
        <v/>
      </c>
      <c r="B5326" s="15" t="str">
        <f t="shared" si="402"/>
        <v/>
      </c>
      <c r="M5326" s="9"/>
      <c r="N5326" s="9"/>
      <c r="P5326" s="14"/>
      <c r="Q5326" s="85"/>
      <c r="R5326" s="89"/>
      <c r="U5326" s="11" t="str">
        <f t="shared" si="400"/>
        <v/>
      </c>
      <c r="V5326" s="12" t="str">
        <f t="shared" si="401"/>
        <v/>
      </c>
      <c r="Z5326" s="15"/>
    </row>
    <row r="5327" spans="1:26" x14ac:dyDescent="0.25">
      <c r="A5327" s="15" t="str">
        <f>IF(C5327="","",COUNTA($C$3:C5327))</f>
        <v/>
      </c>
      <c r="B5327" s="15" t="str">
        <f t="shared" si="402"/>
        <v/>
      </c>
      <c r="M5327" s="9"/>
      <c r="N5327" s="9"/>
      <c r="P5327" s="14"/>
      <c r="Q5327" s="85"/>
      <c r="R5327" s="89"/>
      <c r="U5327" s="11" t="str">
        <f t="shared" si="400"/>
        <v/>
      </c>
      <c r="V5327" s="12" t="str">
        <f t="shared" si="401"/>
        <v/>
      </c>
      <c r="Z5327" s="15"/>
    </row>
    <row r="5328" spans="1:26" x14ac:dyDescent="0.25">
      <c r="A5328" s="15" t="str">
        <f>IF(C5328="","",COUNTA($C$3:C5328))</f>
        <v/>
      </c>
      <c r="B5328" s="15" t="str">
        <f t="shared" si="402"/>
        <v/>
      </c>
      <c r="M5328" s="9"/>
      <c r="N5328" s="9"/>
      <c r="P5328" s="14"/>
      <c r="Q5328" s="85"/>
      <c r="R5328" s="89"/>
      <c r="U5328" s="11" t="str">
        <f t="shared" si="400"/>
        <v/>
      </c>
      <c r="V5328" s="12" t="str">
        <f t="shared" si="401"/>
        <v/>
      </c>
      <c r="Z5328" s="15"/>
    </row>
    <row r="5329" spans="1:26" x14ac:dyDescent="0.25">
      <c r="A5329" s="15" t="str">
        <f>IF(C5329="","",COUNTA($C$3:C5329))</f>
        <v/>
      </c>
      <c r="B5329" s="15" t="str">
        <f t="shared" si="402"/>
        <v/>
      </c>
      <c r="M5329" s="9"/>
      <c r="N5329" s="9"/>
      <c r="P5329" s="14"/>
      <c r="Q5329" s="85"/>
      <c r="R5329" s="89"/>
      <c r="U5329" s="11" t="str">
        <f t="shared" si="400"/>
        <v/>
      </c>
      <c r="V5329" s="12" t="str">
        <f t="shared" si="401"/>
        <v/>
      </c>
      <c r="Z5329" s="15"/>
    </row>
    <row r="5330" spans="1:26" x14ac:dyDescent="0.25">
      <c r="A5330" s="15" t="str">
        <f>IF(C5330="","",COUNTA($C$3:C5330))</f>
        <v/>
      </c>
      <c r="B5330" s="15" t="str">
        <f t="shared" si="402"/>
        <v/>
      </c>
      <c r="M5330" s="9"/>
      <c r="N5330" s="9"/>
      <c r="P5330" s="14"/>
      <c r="Q5330" s="85"/>
      <c r="R5330" s="89"/>
      <c r="U5330" s="11" t="str">
        <f t="shared" si="400"/>
        <v/>
      </c>
      <c r="V5330" s="12" t="str">
        <f t="shared" si="401"/>
        <v/>
      </c>
      <c r="Z5330" s="15"/>
    </row>
    <row r="5331" spans="1:26" x14ac:dyDescent="0.25">
      <c r="A5331" s="15" t="str">
        <f>IF(C5331="","",COUNTA($C$3:C5331))</f>
        <v/>
      </c>
      <c r="B5331" s="15" t="str">
        <f t="shared" si="402"/>
        <v/>
      </c>
      <c r="M5331" s="9"/>
      <c r="N5331" s="9"/>
      <c r="P5331" s="14"/>
      <c r="Q5331" s="85"/>
      <c r="R5331" s="89"/>
      <c r="U5331" s="11" t="str">
        <f t="shared" si="400"/>
        <v/>
      </c>
      <c r="V5331" s="12" t="str">
        <f t="shared" si="401"/>
        <v/>
      </c>
      <c r="Z5331" s="15"/>
    </row>
    <row r="5332" spans="1:26" x14ac:dyDescent="0.25">
      <c r="A5332" s="15" t="str">
        <f>IF(C5332="","",COUNTA($C$3:C5332))</f>
        <v/>
      </c>
      <c r="B5332" s="15" t="str">
        <f t="shared" si="402"/>
        <v/>
      </c>
      <c r="M5332" s="9"/>
      <c r="N5332" s="9"/>
      <c r="P5332" s="14"/>
      <c r="Q5332" s="85"/>
      <c r="R5332" s="89"/>
      <c r="U5332" s="11" t="str">
        <f t="shared" si="400"/>
        <v/>
      </c>
      <c r="V5332" s="12" t="str">
        <f t="shared" si="401"/>
        <v/>
      </c>
      <c r="Z5332" s="15"/>
    </row>
    <row r="5333" spans="1:26" x14ac:dyDescent="0.25">
      <c r="A5333" s="15" t="str">
        <f>IF(C5333="","",COUNTA($C$3:C5333))</f>
        <v/>
      </c>
      <c r="B5333" s="15" t="str">
        <f t="shared" si="402"/>
        <v/>
      </c>
      <c r="M5333" s="9"/>
      <c r="N5333" s="9"/>
      <c r="P5333" s="14"/>
      <c r="Q5333" s="85"/>
      <c r="R5333" s="89"/>
      <c r="U5333" s="11" t="str">
        <f t="shared" si="400"/>
        <v/>
      </c>
      <c r="V5333" s="12" t="str">
        <f t="shared" si="401"/>
        <v/>
      </c>
      <c r="Z5333" s="15"/>
    </row>
    <row r="5334" spans="1:26" x14ac:dyDescent="0.25">
      <c r="A5334" s="15" t="str">
        <f>IF(C5334="","",COUNTA($C$3:C5334))</f>
        <v/>
      </c>
      <c r="B5334" s="15" t="str">
        <f t="shared" si="402"/>
        <v/>
      </c>
      <c r="M5334" s="9"/>
      <c r="N5334" s="9"/>
      <c r="P5334" s="14"/>
      <c r="Q5334" s="85"/>
      <c r="R5334" s="89"/>
      <c r="U5334" s="11" t="str">
        <f t="shared" si="400"/>
        <v/>
      </c>
      <c r="V5334" s="12" t="str">
        <f t="shared" si="401"/>
        <v/>
      </c>
      <c r="Z5334" s="15"/>
    </row>
    <row r="5335" spans="1:26" x14ac:dyDescent="0.25">
      <c r="A5335" s="15" t="str">
        <f>IF(C5335="","",COUNTA($C$3:C5335))</f>
        <v/>
      </c>
      <c r="B5335" s="15" t="str">
        <f t="shared" si="402"/>
        <v/>
      </c>
      <c r="M5335" s="9"/>
      <c r="N5335" s="9"/>
      <c r="P5335" s="14"/>
      <c r="Q5335" s="85"/>
      <c r="R5335" s="89"/>
      <c r="U5335" s="11" t="str">
        <f t="shared" si="400"/>
        <v/>
      </c>
      <c r="V5335" s="12" t="str">
        <f t="shared" si="401"/>
        <v/>
      </c>
      <c r="Z5335" s="15"/>
    </row>
    <row r="5336" spans="1:26" x14ac:dyDescent="0.25">
      <c r="A5336" s="15" t="str">
        <f>IF(C5336="","",COUNTA($C$3:C5336))</f>
        <v/>
      </c>
      <c r="B5336" s="15" t="str">
        <f t="shared" si="402"/>
        <v/>
      </c>
      <c r="M5336" s="9"/>
      <c r="N5336" s="9"/>
      <c r="P5336" s="14"/>
      <c r="Q5336" s="85"/>
      <c r="R5336" s="89"/>
      <c r="U5336" s="11" t="str">
        <f t="shared" si="400"/>
        <v/>
      </c>
      <c r="V5336" s="12" t="str">
        <f t="shared" si="401"/>
        <v/>
      </c>
      <c r="Z5336" s="15"/>
    </row>
    <row r="5337" spans="1:26" x14ac:dyDescent="0.25">
      <c r="A5337" s="15" t="str">
        <f>IF(C5337="","",COUNTA($C$3:C5337))</f>
        <v/>
      </c>
      <c r="B5337" s="15" t="str">
        <f t="shared" si="402"/>
        <v/>
      </c>
      <c r="M5337" s="9"/>
      <c r="N5337" s="9"/>
      <c r="P5337" s="14"/>
      <c r="Q5337" s="85"/>
      <c r="R5337" s="89"/>
      <c r="U5337" s="11" t="str">
        <f t="shared" si="400"/>
        <v/>
      </c>
      <c r="V5337" s="12" t="str">
        <f t="shared" si="401"/>
        <v/>
      </c>
      <c r="Z5337" s="15"/>
    </row>
    <row r="5338" spans="1:26" x14ac:dyDescent="0.25">
      <c r="A5338" s="15" t="str">
        <f>IF(C5338="","",COUNTA($C$3:C5338))</f>
        <v/>
      </c>
      <c r="B5338" s="15" t="str">
        <f t="shared" si="402"/>
        <v/>
      </c>
      <c r="M5338" s="9"/>
      <c r="N5338" s="9"/>
      <c r="P5338" s="14"/>
      <c r="Q5338" s="85"/>
      <c r="R5338" s="89"/>
      <c r="U5338" s="11" t="str">
        <f t="shared" si="400"/>
        <v/>
      </c>
      <c r="V5338" s="12" t="str">
        <f t="shared" si="401"/>
        <v/>
      </c>
      <c r="Z5338" s="15"/>
    </row>
    <row r="5339" spans="1:26" x14ac:dyDescent="0.25">
      <c r="A5339" s="15" t="str">
        <f>IF(C5339="","",COUNTA($C$3:C5339))</f>
        <v/>
      </c>
      <c r="B5339" s="15" t="str">
        <f t="shared" si="402"/>
        <v/>
      </c>
      <c r="M5339" s="9"/>
      <c r="N5339" s="9"/>
      <c r="P5339" s="14"/>
      <c r="Q5339" s="85"/>
      <c r="R5339" s="89"/>
      <c r="U5339" s="11" t="str">
        <f t="shared" si="400"/>
        <v/>
      </c>
      <c r="V5339" s="12" t="str">
        <f t="shared" si="401"/>
        <v/>
      </c>
      <c r="Z5339" s="15"/>
    </row>
    <row r="5340" spans="1:26" x14ac:dyDescent="0.25">
      <c r="A5340" s="15" t="str">
        <f>IF(C5340="","",COUNTA($C$3:C5340))</f>
        <v/>
      </c>
      <c r="B5340" s="15" t="str">
        <f t="shared" si="402"/>
        <v/>
      </c>
      <c r="M5340" s="9"/>
      <c r="N5340" s="9"/>
      <c r="P5340" s="14"/>
      <c r="Q5340" s="85"/>
      <c r="R5340" s="89"/>
      <c r="U5340" s="11" t="str">
        <f t="shared" si="400"/>
        <v/>
      </c>
      <c r="V5340" s="12" t="str">
        <f t="shared" si="401"/>
        <v/>
      </c>
      <c r="Z5340" s="15"/>
    </row>
    <row r="5341" spans="1:26" x14ac:dyDescent="0.25">
      <c r="A5341" s="15" t="str">
        <f>IF(C5341="","",COUNTA($C$3:C5341))</f>
        <v/>
      </c>
      <c r="B5341" s="15" t="str">
        <f t="shared" si="402"/>
        <v/>
      </c>
      <c r="M5341" s="9"/>
      <c r="N5341" s="9"/>
      <c r="P5341" s="14"/>
      <c r="Q5341" s="85"/>
      <c r="R5341" s="89"/>
      <c r="U5341" s="11" t="str">
        <f t="shared" si="400"/>
        <v/>
      </c>
      <c r="V5341" s="12" t="str">
        <f t="shared" si="401"/>
        <v/>
      </c>
      <c r="Z5341" s="15"/>
    </row>
    <row r="5342" spans="1:26" x14ac:dyDescent="0.25">
      <c r="A5342" s="15" t="str">
        <f>IF(C5342="","",COUNTA($C$3:C5342))</f>
        <v/>
      </c>
      <c r="B5342" s="15" t="str">
        <f t="shared" si="402"/>
        <v/>
      </c>
      <c r="M5342" s="9"/>
      <c r="N5342" s="9"/>
      <c r="P5342" s="14"/>
      <c r="Q5342" s="85"/>
      <c r="R5342" s="89"/>
      <c r="U5342" s="11" t="str">
        <f t="shared" si="400"/>
        <v/>
      </c>
      <c r="V5342" s="12" t="str">
        <f t="shared" si="401"/>
        <v/>
      </c>
      <c r="Z5342" s="15"/>
    </row>
    <row r="5343" spans="1:26" x14ac:dyDescent="0.25">
      <c r="A5343" s="15" t="str">
        <f>IF(C5343="","",COUNTA($C$3:C5343))</f>
        <v/>
      </c>
      <c r="B5343" s="15" t="str">
        <f t="shared" si="402"/>
        <v/>
      </c>
      <c r="M5343" s="9"/>
      <c r="N5343" s="9"/>
      <c r="P5343" s="14"/>
      <c r="Q5343" s="85"/>
      <c r="R5343" s="89"/>
      <c r="U5343" s="11" t="str">
        <f t="shared" si="400"/>
        <v/>
      </c>
      <c r="V5343" s="12" t="str">
        <f t="shared" si="401"/>
        <v/>
      </c>
      <c r="Z5343" s="15"/>
    </row>
    <row r="5344" spans="1:26" x14ac:dyDescent="0.25">
      <c r="A5344" s="15" t="str">
        <f>IF(C5344="","",COUNTA($C$3:C5344))</f>
        <v/>
      </c>
      <c r="B5344" s="15" t="str">
        <f t="shared" si="402"/>
        <v/>
      </c>
      <c r="M5344" s="9"/>
      <c r="N5344" s="9"/>
      <c r="P5344" s="14"/>
      <c r="Q5344" s="85"/>
      <c r="R5344" s="89"/>
      <c r="U5344" s="11" t="str">
        <f t="shared" si="400"/>
        <v/>
      </c>
      <c r="V5344" s="12" t="str">
        <f t="shared" si="401"/>
        <v/>
      </c>
      <c r="Z5344" s="15"/>
    </row>
    <row r="5345" spans="1:26" x14ac:dyDescent="0.25">
      <c r="A5345" s="15" t="str">
        <f>IF(C5345="","",COUNTA($C$3:C5345))</f>
        <v/>
      </c>
      <c r="B5345" s="15" t="str">
        <f t="shared" si="402"/>
        <v/>
      </c>
      <c r="M5345" s="9"/>
      <c r="N5345" s="9"/>
      <c r="P5345" s="14"/>
      <c r="Q5345" s="85"/>
      <c r="R5345" s="89"/>
      <c r="U5345" s="11" t="str">
        <f t="shared" si="400"/>
        <v/>
      </c>
      <c r="V5345" s="12" t="str">
        <f t="shared" si="401"/>
        <v/>
      </c>
      <c r="Z5345" s="15"/>
    </row>
    <row r="5346" spans="1:26" x14ac:dyDescent="0.25">
      <c r="A5346" s="15" t="str">
        <f>IF(C5346="","",COUNTA($C$3:C5346))</f>
        <v/>
      </c>
      <c r="B5346" s="15" t="str">
        <f t="shared" si="402"/>
        <v/>
      </c>
      <c r="M5346" s="9"/>
      <c r="N5346" s="9"/>
      <c r="P5346" s="14"/>
      <c r="Q5346" s="85"/>
      <c r="R5346" s="89"/>
      <c r="U5346" s="11" t="str">
        <f t="shared" si="400"/>
        <v/>
      </c>
      <c r="V5346" s="37"/>
      <c r="Z5346" s="15"/>
    </row>
    <row r="5347" spans="1:26" x14ac:dyDescent="0.25">
      <c r="A5347" s="15" t="str">
        <f>IF(C5347="","",COUNTA($C$3:C5347))</f>
        <v/>
      </c>
      <c r="B5347" s="15" t="str">
        <f t="shared" si="402"/>
        <v/>
      </c>
      <c r="M5347" s="9"/>
      <c r="N5347" s="9"/>
      <c r="P5347" s="14"/>
      <c r="Q5347" s="85"/>
      <c r="R5347" s="89"/>
      <c r="U5347" s="11" t="str">
        <f t="shared" si="400"/>
        <v/>
      </c>
      <c r="V5347" s="37"/>
      <c r="Z5347" s="15"/>
    </row>
    <row r="5348" spans="1:26" x14ac:dyDescent="0.25">
      <c r="A5348" s="15" t="str">
        <f>IF(C5348="","",COUNTA($C$3:C5348))</f>
        <v/>
      </c>
      <c r="B5348" s="15" t="str">
        <f t="shared" si="402"/>
        <v/>
      </c>
      <c r="M5348" s="9"/>
      <c r="N5348" s="9"/>
      <c r="P5348" s="14"/>
      <c r="Q5348" s="85"/>
      <c r="R5348" s="89"/>
      <c r="U5348" s="11" t="str">
        <f t="shared" si="400"/>
        <v/>
      </c>
      <c r="V5348" s="37"/>
      <c r="Z5348" s="15"/>
    </row>
    <row r="5349" spans="1:26" x14ac:dyDescent="0.25">
      <c r="A5349" s="15" t="str">
        <f>IF(C5349="","",COUNTA($C$3:C5349))</f>
        <v/>
      </c>
      <c r="B5349" s="15" t="str">
        <f t="shared" si="402"/>
        <v/>
      </c>
      <c r="M5349" s="9"/>
      <c r="N5349" s="9"/>
      <c r="P5349" s="14"/>
      <c r="Q5349" s="85"/>
      <c r="R5349" s="89"/>
      <c r="U5349" s="11" t="str">
        <f t="shared" si="400"/>
        <v/>
      </c>
      <c r="V5349" s="37"/>
      <c r="Z5349" s="15"/>
    </row>
    <row r="5350" spans="1:26" x14ac:dyDescent="0.25">
      <c r="A5350" s="15" t="str">
        <f>IF(C5350="","",COUNTA($C$3:C5350))</f>
        <v/>
      </c>
      <c r="B5350" s="15" t="str">
        <f t="shared" si="402"/>
        <v/>
      </c>
      <c r="M5350" s="9"/>
      <c r="N5350" s="9"/>
      <c r="P5350" s="14"/>
      <c r="Q5350" s="85"/>
      <c r="R5350" s="89"/>
      <c r="U5350" s="11" t="str">
        <f t="shared" si="400"/>
        <v/>
      </c>
      <c r="V5350" s="37"/>
      <c r="Z5350" s="15"/>
    </row>
    <row r="5351" spans="1:26" x14ac:dyDescent="0.25">
      <c r="A5351" s="15" t="str">
        <f>IF(C5351="","",COUNTA($C$3:C5351))</f>
        <v/>
      </c>
      <c r="B5351" s="15" t="str">
        <f t="shared" si="402"/>
        <v/>
      </c>
      <c r="M5351" s="9"/>
      <c r="N5351" s="9"/>
      <c r="P5351" s="14"/>
      <c r="Q5351" s="85"/>
      <c r="R5351" s="89"/>
      <c r="U5351" s="11" t="str">
        <f t="shared" si="400"/>
        <v/>
      </c>
      <c r="V5351" s="37"/>
      <c r="Z5351" s="15"/>
    </row>
    <row r="5352" spans="1:26" x14ac:dyDescent="0.25">
      <c r="A5352" s="15" t="str">
        <f>IF(C5352="","",COUNTA($C$3:C5352))</f>
        <v/>
      </c>
      <c r="B5352" s="15" t="str">
        <f t="shared" si="402"/>
        <v/>
      </c>
      <c r="M5352" s="9"/>
      <c r="N5352" s="9"/>
      <c r="P5352" s="14"/>
      <c r="Q5352" s="85"/>
      <c r="R5352" s="89"/>
      <c r="U5352" s="11" t="str">
        <f t="shared" si="400"/>
        <v/>
      </c>
      <c r="V5352" s="37"/>
      <c r="Z5352" s="15"/>
    </row>
    <row r="5353" spans="1:26" x14ac:dyDescent="0.25">
      <c r="A5353" s="15" t="str">
        <f>IF(C5353="","",COUNTA($C$3:C5353))</f>
        <v/>
      </c>
      <c r="B5353" s="15" t="str">
        <f t="shared" si="402"/>
        <v/>
      </c>
      <c r="M5353" s="9"/>
      <c r="N5353" s="9"/>
      <c r="P5353" s="14"/>
      <c r="Q5353" s="85"/>
      <c r="R5353" s="89"/>
      <c r="U5353" s="11" t="str">
        <f t="shared" si="400"/>
        <v/>
      </c>
      <c r="V5353" s="37"/>
      <c r="Z5353" s="15"/>
    </row>
    <row r="5354" spans="1:26" x14ac:dyDescent="0.25">
      <c r="A5354" s="15" t="str">
        <f>IF(C5354="","",COUNTA($C$3:C5354))</f>
        <v/>
      </c>
      <c r="B5354" s="15" t="str">
        <f t="shared" si="402"/>
        <v/>
      </c>
      <c r="M5354" s="9"/>
      <c r="N5354" s="9"/>
      <c r="P5354" s="14"/>
      <c r="Q5354" s="85"/>
      <c r="R5354" s="89"/>
      <c r="U5354" s="11" t="str">
        <f t="shared" si="400"/>
        <v/>
      </c>
      <c r="V5354" s="37"/>
      <c r="Z5354" s="15"/>
    </row>
    <row r="5355" spans="1:26" x14ac:dyDescent="0.25">
      <c r="A5355" s="15" t="str">
        <f>IF(C5355="","",COUNTA($C$3:C5355))</f>
        <v/>
      </c>
      <c r="B5355" s="15" t="str">
        <f t="shared" si="402"/>
        <v/>
      </c>
      <c r="M5355" s="9"/>
      <c r="N5355" s="9"/>
      <c r="P5355" s="14"/>
      <c r="Q5355" s="85"/>
      <c r="R5355" s="89"/>
      <c r="U5355" s="11" t="str">
        <f t="shared" si="400"/>
        <v/>
      </c>
      <c r="V5355" s="37"/>
      <c r="Z5355" s="15"/>
    </row>
    <row r="5356" spans="1:26" x14ac:dyDescent="0.25">
      <c r="A5356" s="15" t="str">
        <f>IF(C5356="","",COUNTA($C$3:C5356))</f>
        <v/>
      </c>
      <c r="B5356" s="15" t="str">
        <f t="shared" si="402"/>
        <v/>
      </c>
      <c r="M5356" s="9"/>
      <c r="N5356" s="9"/>
      <c r="P5356" s="14"/>
      <c r="Q5356" s="85"/>
      <c r="R5356" s="89"/>
      <c r="U5356" s="11" t="str">
        <f t="shared" si="400"/>
        <v/>
      </c>
      <c r="V5356" s="37"/>
      <c r="Z5356" s="15"/>
    </row>
    <row r="5357" spans="1:26" x14ac:dyDescent="0.25">
      <c r="A5357" s="15" t="str">
        <f>IF(C5357="","",COUNTA($C$3:C5357))</f>
        <v/>
      </c>
      <c r="B5357" s="15" t="str">
        <f t="shared" si="402"/>
        <v/>
      </c>
      <c r="M5357" s="9"/>
      <c r="N5357" s="9"/>
      <c r="P5357" s="14"/>
      <c r="Q5357" s="85"/>
      <c r="R5357" s="89"/>
      <c r="U5357" s="11" t="str">
        <f t="shared" si="400"/>
        <v/>
      </c>
      <c r="V5357" s="37"/>
      <c r="Z5357" s="15"/>
    </row>
    <row r="5358" spans="1:26" x14ac:dyDescent="0.25">
      <c r="A5358" s="15" t="str">
        <f>IF(C5358="","",COUNTA($C$3:C5358))</f>
        <v/>
      </c>
      <c r="B5358" s="15" t="str">
        <f t="shared" si="402"/>
        <v/>
      </c>
      <c r="M5358" s="9"/>
      <c r="N5358" s="9"/>
      <c r="P5358" s="14"/>
      <c r="Q5358" s="85"/>
      <c r="R5358" s="89"/>
      <c r="U5358" s="11" t="str">
        <f t="shared" si="400"/>
        <v/>
      </c>
      <c r="V5358" s="37"/>
      <c r="Z5358" s="15"/>
    </row>
    <row r="5359" spans="1:26" x14ac:dyDescent="0.25">
      <c r="A5359" s="15" t="str">
        <f>IF(C5359="","",COUNTA($C$3:C5359))</f>
        <v/>
      </c>
      <c r="B5359" s="15" t="str">
        <f t="shared" si="402"/>
        <v/>
      </c>
      <c r="M5359" s="9"/>
      <c r="N5359" s="9"/>
      <c r="P5359" s="14"/>
      <c r="Q5359" s="85"/>
      <c r="R5359" s="89"/>
      <c r="U5359" s="11" t="str">
        <f t="shared" si="400"/>
        <v/>
      </c>
      <c r="V5359" s="37"/>
      <c r="Z5359" s="15"/>
    </row>
    <row r="5360" spans="1:26" x14ac:dyDescent="0.25">
      <c r="A5360" s="15" t="str">
        <f>IF(C5360="","",COUNTA($C$3:C5360))</f>
        <v/>
      </c>
      <c r="B5360" s="15" t="str">
        <f t="shared" si="402"/>
        <v/>
      </c>
      <c r="M5360" s="9"/>
      <c r="N5360" s="9"/>
      <c r="P5360" s="14"/>
      <c r="Q5360" s="85"/>
      <c r="R5360" s="89"/>
      <c r="U5360" s="11" t="str">
        <f t="shared" si="400"/>
        <v/>
      </c>
      <c r="V5360" s="37"/>
      <c r="Z5360" s="15"/>
    </row>
    <row r="5361" spans="1:26" x14ac:dyDescent="0.25">
      <c r="A5361" s="15" t="str">
        <f>IF(C5361="","",COUNTA($C$3:C5361))</f>
        <v/>
      </c>
      <c r="B5361" s="15" t="str">
        <f t="shared" si="402"/>
        <v/>
      </c>
      <c r="M5361" s="9"/>
      <c r="N5361" s="9"/>
      <c r="P5361" s="14"/>
      <c r="Q5361" s="85"/>
      <c r="R5361" s="89"/>
      <c r="U5361" s="11" t="str">
        <f t="shared" si="400"/>
        <v/>
      </c>
      <c r="V5361" s="37"/>
      <c r="Z5361" s="15"/>
    </row>
    <row r="5362" spans="1:26" x14ac:dyDescent="0.25">
      <c r="A5362" s="15" t="str">
        <f>IF(C5362="","",COUNTA($C$3:C5362))</f>
        <v/>
      </c>
      <c r="B5362" s="15" t="str">
        <f t="shared" si="402"/>
        <v/>
      </c>
      <c r="M5362" s="9"/>
      <c r="N5362" s="9"/>
      <c r="P5362" s="14"/>
      <c r="Q5362" s="85"/>
      <c r="R5362" s="89"/>
      <c r="U5362" s="11" t="str">
        <f t="shared" si="400"/>
        <v/>
      </c>
      <c r="V5362" s="37"/>
      <c r="Z5362" s="15"/>
    </row>
    <row r="5363" spans="1:26" x14ac:dyDescent="0.25">
      <c r="A5363" s="15" t="str">
        <f>IF(C5363="","",COUNTA($C$3:C5363))</f>
        <v/>
      </c>
      <c r="B5363" s="15" t="str">
        <f t="shared" si="402"/>
        <v/>
      </c>
      <c r="M5363" s="9"/>
      <c r="N5363" s="9"/>
      <c r="P5363" s="14"/>
      <c r="Q5363" s="85"/>
      <c r="R5363" s="89"/>
      <c r="U5363" s="11" t="str">
        <f t="shared" si="400"/>
        <v/>
      </c>
      <c r="V5363" s="37"/>
      <c r="Z5363" s="15"/>
    </row>
    <row r="5364" spans="1:26" x14ac:dyDescent="0.25">
      <c r="A5364" s="15" t="str">
        <f>IF(C5364="","",COUNTA($C$3:C5364))</f>
        <v/>
      </c>
      <c r="B5364" s="15" t="str">
        <f t="shared" si="402"/>
        <v/>
      </c>
      <c r="M5364" s="9"/>
      <c r="N5364" s="9"/>
      <c r="P5364" s="14"/>
      <c r="Q5364" s="85"/>
      <c r="R5364" s="89"/>
      <c r="U5364" s="11" t="str">
        <f t="shared" si="400"/>
        <v/>
      </c>
      <c r="V5364" s="37"/>
      <c r="Z5364" s="15"/>
    </row>
    <row r="5365" spans="1:26" x14ac:dyDescent="0.25">
      <c r="A5365" s="15" t="str">
        <f>IF(C5365="","",COUNTA($C$3:C5365))</f>
        <v/>
      </c>
      <c r="B5365" s="15" t="str">
        <f t="shared" si="402"/>
        <v/>
      </c>
      <c r="M5365" s="9"/>
      <c r="N5365" s="9"/>
      <c r="P5365" s="14"/>
      <c r="Q5365" s="85"/>
      <c r="R5365" s="89"/>
      <c r="U5365" s="11" t="str">
        <f t="shared" si="400"/>
        <v/>
      </c>
      <c r="V5365" s="37"/>
      <c r="Z5365" s="15"/>
    </row>
    <row r="5366" spans="1:26" x14ac:dyDescent="0.25">
      <c r="A5366" s="15" t="str">
        <f>IF(C5366="","",COUNTA($C$3:C5366))</f>
        <v/>
      </c>
      <c r="B5366" s="15" t="str">
        <f t="shared" si="402"/>
        <v/>
      </c>
      <c r="M5366" s="9"/>
      <c r="N5366" s="9"/>
      <c r="P5366" s="14"/>
      <c r="Q5366" s="85"/>
      <c r="R5366" s="89"/>
      <c r="U5366" s="11" t="str">
        <f t="shared" si="400"/>
        <v/>
      </c>
      <c r="V5366" s="37"/>
      <c r="Z5366" s="15"/>
    </row>
    <row r="5367" spans="1:26" x14ac:dyDescent="0.25">
      <c r="A5367" s="15" t="str">
        <f>IF(C5367="","",COUNTA($C$3:C5367))</f>
        <v/>
      </c>
      <c r="B5367" s="15" t="str">
        <f t="shared" si="402"/>
        <v/>
      </c>
      <c r="M5367" s="9"/>
      <c r="N5367" s="9"/>
      <c r="P5367" s="14"/>
      <c r="Q5367" s="85"/>
      <c r="R5367" s="89"/>
      <c r="U5367" s="11" t="str">
        <f t="shared" si="400"/>
        <v/>
      </c>
      <c r="V5367" s="37"/>
      <c r="Z5367" s="15"/>
    </row>
    <row r="5368" spans="1:26" x14ac:dyDescent="0.25">
      <c r="A5368" s="15" t="str">
        <f>IF(C5368="","",COUNTA($C$3:C5368))</f>
        <v/>
      </c>
      <c r="B5368" s="15" t="str">
        <f t="shared" si="402"/>
        <v/>
      </c>
      <c r="M5368" s="9"/>
      <c r="N5368" s="9"/>
      <c r="P5368" s="14"/>
      <c r="Q5368" s="85"/>
      <c r="R5368" s="89"/>
      <c r="U5368" s="11" t="str">
        <f t="shared" si="400"/>
        <v/>
      </c>
      <c r="V5368" s="37"/>
      <c r="Z5368" s="15"/>
    </row>
    <row r="5369" spans="1:26" x14ac:dyDescent="0.25">
      <c r="A5369" s="15" t="str">
        <f>IF(C5369="","",COUNTA($C$3:C5369))</f>
        <v/>
      </c>
      <c r="B5369" s="15" t="str">
        <f t="shared" si="402"/>
        <v/>
      </c>
      <c r="M5369" s="9"/>
      <c r="N5369" s="9"/>
      <c r="P5369" s="14"/>
      <c r="Q5369" s="85"/>
      <c r="R5369" s="89"/>
      <c r="U5369" s="11" t="str">
        <f t="shared" si="400"/>
        <v/>
      </c>
      <c r="V5369" s="37"/>
      <c r="Z5369" s="15"/>
    </row>
    <row r="5370" spans="1:26" x14ac:dyDescent="0.25">
      <c r="A5370" s="15" t="str">
        <f>IF(C5370="","",COUNTA($C$3:C5370))</f>
        <v/>
      </c>
      <c r="B5370" s="15" t="str">
        <f t="shared" si="402"/>
        <v/>
      </c>
      <c r="M5370" s="9"/>
      <c r="N5370" s="9"/>
      <c r="P5370" s="14"/>
      <c r="Q5370" s="85"/>
      <c r="R5370" s="89"/>
      <c r="U5370" s="11" t="str">
        <f t="shared" si="400"/>
        <v/>
      </c>
      <c r="V5370" s="37"/>
      <c r="Z5370" s="15"/>
    </row>
    <row r="5371" spans="1:26" x14ac:dyDescent="0.25">
      <c r="A5371" s="15" t="str">
        <f>IF(C5371="","",COUNTA($C$3:C5371))</f>
        <v/>
      </c>
      <c r="B5371" s="15" t="str">
        <f t="shared" si="402"/>
        <v/>
      </c>
      <c r="M5371" s="9"/>
      <c r="N5371" s="9"/>
      <c r="P5371" s="14"/>
      <c r="Q5371" s="85"/>
      <c r="R5371" s="89"/>
      <c r="U5371" s="11" t="str">
        <f t="shared" si="400"/>
        <v/>
      </c>
      <c r="V5371" s="37"/>
      <c r="Z5371" s="15"/>
    </row>
    <row r="5372" spans="1:26" x14ac:dyDescent="0.25">
      <c r="A5372" s="15" t="str">
        <f>IF(C5372="","",COUNTA($C$3:C5372))</f>
        <v/>
      </c>
      <c r="B5372" s="15" t="str">
        <f t="shared" si="402"/>
        <v/>
      </c>
      <c r="M5372" s="9"/>
      <c r="N5372" s="9"/>
      <c r="P5372" s="14"/>
      <c r="Q5372" s="85"/>
      <c r="R5372" s="89"/>
      <c r="U5372" s="11" t="str">
        <f t="shared" si="400"/>
        <v/>
      </c>
      <c r="V5372" s="37"/>
      <c r="Z5372" s="15"/>
    </row>
    <row r="5373" spans="1:26" x14ac:dyDescent="0.25">
      <c r="A5373" s="15" t="str">
        <f>IF(C5373="","",COUNTA($C$3:C5373))</f>
        <v/>
      </c>
      <c r="B5373" s="15" t="str">
        <f t="shared" si="402"/>
        <v/>
      </c>
      <c r="M5373" s="9"/>
      <c r="N5373" s="9"/>
      <c r="P5373" s="14"/>
      <c r="Q5373" s="85"/>
      <c r="R5373" s="89"/>
      <c r="U5373" s="11" t="str">
        <f t="shared" si="400"/>
        <v/>
      </c>
      <c r="V5373" s="37"/>
      <c r="Z5373" s="15"/>
    </row>
    <row r="5374" spans="1:26" x14ac:dyDescent="0.25">
      <c r="A5374" s="15" t="str">
        <f>IF(C5374="","",COUNTA($C$3:C5374))</f>
        <v/>
      </c>
      <c r="B5374" s="15" t="str">
        <f t="shared" si="402"/>
        <v/>
      </c>
      <c r="M5374" s="9"/>
      <c r="N5374" s="9"/>
      <c r="P5374" s="14"/>
      <c r="Q5374" s="85"/>
      <c r="R5374" s="89"/>
      <c r="U5374" s="11" t="str">
        <f t="shared" si="400"/>
        <v/>
      </c>
      <c r="V5374" s="37"/>
      <c r="Z5374" s="15"/>
    </row>
    <row r="5375" spans="1:26" x14ac:dyDescent="0.25">
      <c r="A5375" s="15" t="str">
        <f>IF(C5375="","",COUNTA($C$3:C5375))</f>
        <v/>
      </c>
      <c r="B5375" s="15" t="str">
        <f t="shared" si="402"/>
        <v/>
      </c>
      <c r="M5375" s="9"/>
      <c r="N5375" s="9"/>
      <c r="P5375" s="14"/>
      <c r="Q5375" s="85"/>
      <c r="R5375" s="89"/>
      <c r="U5375" s="11" t="str">
        <f t="shared" si="400"/>
        <v/>
      </c>
      <c r="V5375" s="37"/>
      <c r="Z5375" s="15"/>
    </row>
    <row r="5376" spans="1:26" x14ac:dyDescent="0.25">
      <c r="A5376" s="15" t="str">
        <f>IF(C5376="","",COUNTA($C$3:C5376))</f>
        <v/>
      </c>
      <c r="B5376" s="15" t="str">
        <f t="shared" si="402"/>
        <v/>
      </c>
      <c r="M5376" s="9"/>
      <c r="N5376" s="9"/>
      <c r="P5376" s="14"/>
      <c r="Q5376" s="85"/>
      <c r="R5376" s="89"/>
      <c r="U5376" s="11" t="str">
        <f t="shared" si="400"/>
        <v/>
      </c>
      <c r="V5376" s="37"/>
      <c r="Z5376" s="15"/>
    </row>
    <row r="5377" spans="1:26" x14ac:dyDescent="0.25">
      <c r="A5377" s="15" t="str">
        <f>IF(C5377="","",COUNTA($C$3:C5377))</f>
        <v/>
      </c>
      <c r="B5377" s="15" t="str">
        <f t="shared" si="402"/>
        <v/>
      </c>
      <c r="M5377" s="9"/>
      <c r="N5377" s="9"/>
      <c r="P5377" s="14"/>
      <c r="Q5377" s="85"/>
      <c r="R5377" s="89"/>
      <c r="U5377" s="11" t="str">
        <f t="shared" si="400"/>
        <v/>
      </c>
      <c r="V5377" s="37"/>
      <c r="Z5377" s="15"/>
    </row>
    <row r="5378" spans="1:26" x14ac:dyDescent="0.25">
      <c r="A5378" s="15" t="str">
        <f>IF(C5378="","",COUNTA($C$3:C5378))</f>
        <v/>
      </c>
      <c r="B5378" s="15" t="str">
        <f t="shared" si="402"/>
        <v/>
      </c>
      <c r="M5378" s="9"/>
      <c r="N5378" s="9"/>
      <c r="P5378" s="14"/>
      <c r="Q5378" s="85"/>
      <c r="R5378" s="89"/>
      <c r="U5378" s="11" t="str">
        <f t="shared" ref="U5378:U5441" si="403">IF(S5378="","",(S5378-T5378))</f>
        <v/>
      </c>
      <c r="V5378" s="37"/>
      <c r="Z5378" s="15"/>
    </row>
    <row r="5379" spans="1:26" x14ac:dyDescent="0.25">
      <c r="A5379" s="15" t="str">
        <f>IF(C5379="","",COUNTA($C$3:C5379))</f>
        <v/>
      </c>
      <c r="B5379" s="15" t="str">
        <f t="shared" ref="B5379:B5442" si="404">IF(C5379="","",TEXT(C5379,"mmmm"))</f>
        <v/>
      </c>
      <c r="M5379" s="9"/>
      <c r="N5379" s="9"/>
      <c r="P5379" s="14"/>
      <c r="Q5379" s="85"/>
      <c r="R5379" s="89"/>
      <c r="U5379" s="11" t="str">
        <f t="shared" si="403"/>
        <v/>
      </c>
      <c r="V5379" s="37"/>
      <c r="Z5379" s="15"/>
    </row>
    <row r="5380" spans="1:26" x14ac:dyDescent="0.25">
      <c r="A5380" s="15" t="str">
        <f>IF(C5380="","",COUNTA($C$3:C5380))</f>
        <v/>
      </c>
      <c r="B5380" s="15" t="str">
        <f t="shared" si="404"/>
        <v/>
      </c>
      <c r="M5380" s="9"/>
      <c r="N5380" s="9"/>
      <c r="P5380" s="14"/>
      <c r="Q5380" s="85"/>
      <c r="R5380" s="89"/>
      <c r="U5380" s="11" t="str">
        <f t="shared" si="403"/>
        <v/>
      </c>
      <c r="V5380" s="37"/>
      <c r="Z5380" s="15"/>
    </row>
    <row r="5381" spans="1:26" x14ac:dyDescent="0.25">
      <c r="A5381" s="15" t="str">
        <f>IF(C5381="","",COUNTA($C$3:C5381))</f>
        <v/>
      </c>
      <c r="B5381" s="15" t="str">
        <f t="shared" si="404"/>
        <v/>
      </c>
      <c r="M5381" s="9"/>
      <c r="N5381" s="9"/>
      <c r="P5381" s="14"/>
      <c r="Q5381" s="85"/>
      <c r="R5381" s="89"/>
      <c r="U5381" s="11" t="str">
        <f t="shared" si="403"/>
        <v/>
      </c>
      <c r="V5381" s="37"/>
      <c r="Z5381" s="15"/>
    </row>
    <row r="5382" spans="1:26" x14ac:dyDescent="0.25">
      <c r="A5382" s="15" t="str">
        <f>IF(C5382="","",COUNTA($C$3:C5382))</f>
        <v/>
      </c>
      <c r="B5382" s="15" t="str">
        <f t="shared" si="404"/>
        <v/>
      </c>
      <c r="M5382" s="9"/>
      <c r="N5382" s="9"/>
      <c r="P5382" s="14"/>
      <c r="Q5382" s="85"/>
      <c r="R5382" s="89"/>
      <c r="U5382" s="11" t="str">
        <f t="shared" si="403"/>
        <v/>
      </c>
      <c r="V5382" s="37"/>
      <c r="Z5382" s="15"/>
    </row>
    <row r="5383" spans="1:26" x14ac:dyDescent="0.25">
      <c r="A5383" s="15" t="str">
        <f>IF(C5383="","",COUNTA($C$3:C5383))</f>
        <v/>
      </c>
      <c r="B5383" s="15" t="str">
        <f t="shared" si="404"/>
        <v/>
      </c>
      <c r="M5383" s="9"/>
      <c r="N5383" s="9"/>
      <c r="P5383" s="14"/>
      <c r="Q5383" s="85"/>
      <c r="R5383" s="89"/>
      <c r="U5383" s="11" t="str">
        <f t="shared" si="403"/>
        <v/>
      </c>
      <c r="V5383" s="37"/>
      <c r="Z5383" s="15"/>
    </row>
    <row r="5384" spans="1:26" x14ac:dyDescent="0.25">
      <c r="A5384" s="15" t="str">
        <f>IF(C5384="","",COUNTA($C$3:C5384))</f>
        <v/>
      </c>
      <c r="B5384" s="15" t="str">
        <f t="shared" si="404"/>
        <v/>
      </c>
      <c r="M5384" s="9"/>
      <c r="N5384" s="9"/>
      <c r="P5384" s="14"/>
      <c r="Q5384" s="85"/>
      <c r="R5384" s="89"/>
      <c r="U5384" s="11" t="str">
        <f t="shared" si="403"/>
        <v/>
      </c>
      <c r="V5384" s="37"/>
      <c r="Z5384" s="15"/>
    </row>
    <row r="5385" spans="1:26" x14ac:dyDescent="0.25">
      <c r="A5385" s="15" t="str">
        <f>IF(C5385="","",COUNTA($C$3:C5385))</f>
        <v/>
      </c>
      <c r="B5385" s="15" t="str">
        <f t="shared" si="404"/>
        <v/>
      </c>
      <c r="M5385" s="9"/>
      <c r="N5385" s="9"/>
      <c r="P5385" s="14"/>
      <c r="Q5385" s="85"/>
      <c r="R5385" s="89"/>
      <c r="U5385" s="11" t="str">
        <f t="shared" si="403"/>
        <v/>
      </c>
      <c r="V5385" s="37"/>
      <c r="Z5385" s="15"/>
    </row>
    <row r="5386" spans="1:26" x14ac:dyDescent="0.25">
      <c r="A5386" s="15" t="str">
        <f>IF(C5386="","",COUNTA($C$3:C5386))</f>
        <v/>
      </c>
      <c r="B5386" s="15" t="str">
        <f t="shared" si="404"/>
        <v/>
      </c>
      <c r="M5386" s="9"/>
      <c r="N5386" s="9"/>
      <c r="P5386" s="14"/>
      <c r="Q5386" s="85"/>
      <c r="R5386" s="89"/>
      <c r="U5386" s="11" t="str">
        <f t="shared" si="403"/>
        <v/>
      </c>
      <c r="V5386" s="37"/>
      <c r="Z5386" s="15"/>
    </row>
    <row r="5387" spans="1:26" x14ac:dyDescent="0.25">
      <c r="A5387" s="15" t="str">
        <f>IF(C5387="","",COUNTA($C$3:C5387))</f>
        <v/>
      </c>
      <c r="B5387" s="15" t="str">
        <f t="shared" si="404"/>
        <v/>
      </c>
      <c r="M5387" s="9"/>
      <c r="N5387" s="9"/>
      <c r="P5387" s="14"/>
      <c r="Q5387" s="85"/>
      <c r="R5387" s="89"/>
      <c r="U5387" s="11" t="str">
        <f t="shared" si="403"/>
        <v/>
      </c>
      <c r="V5387" s="37"/>
      <c r="Z5387" s="15"/>
    </row>
    <row r="5388" spans="1:26" x14ac:dyDescent="0.25">
      <c r="A5388" s="15" t="str">
        <f>IF(C5388="","",COUNTA($C$3:C5388))</f>
        <v/>
      </c>
      <c r="B5388" s="15" t="str">
        <f t="shared" si="404"/>
        <v/>
      </c>
      <c r="M5388" s="9"/>
      <c r="N5388" s="9"/>
      <c r="P5388" s="14"/>
      <c r="Q5388" s="85"/>
      <c r="R5388" s="89"/>
      <c r="U5388" s="11" t="str">
        <f t="shared" si="403"/>
        <v/>
      </c>
      <c r="V5388" s="37"/>
      <c r="Z5388" s="15"/>
    </row>
    <row r="5389" spans="1:26" x14ac:dyDescent="0.25">
      <c r="A5389" s="15" t="str">
        <f>IF(C5389="","",COUNTA($C$3:C5389))</f>
        <v/>
      </c>
      <c r="B5389" s="15" t="str">
        <f t="shared" si="404"/>
        <v/>
      </c>
      <c r="M5389" s="9"/>
      <c r="N5389" s="9"/>
      <c r="P5389" s="14"/>
      <c r="Q5389" s="85"/>
      <c r="R5389" s="89"/>
      <c r="U5389" s="11" t="str">
        <f t="shared" si="403"/>
        <v/>
      </c>
      <c r="V5389" s="37"/>
      <c r="Z5389" s="15"/>
    </row>
    <row r="5390" spans="1:26" x14ac:dyDescent="0.25">
      <c r="A5390" s="15" t="str">
        <f>IF(C5390="","",COUNTA($C$3:C5390))</f>
        <v/>
      </c>
      <c r="B5390" s="15" t="str">
        <f t="shared" si="404"/>
        <v/>
      </c>
      <c r="M5390" s="9"/>
      <c r="N5390" s="9"/>
      <c r="P5390" s="14"/>
      <c r="Q5390" s="85"/>
      <c r="R5390" s="89"/>
      <c r="U5390" s="11" t="str">
        <f t="shared" si="403"/>
        <v/>
      </c>
      <c r="V5390" s="37"/>
      <c r="Z5390" s="15"/>
    </row>
    <row r="5391" spans="1:26" x14ac:dyDescent="0.25">
      <c r="A5391" s="15" t="str">
        <f>IF(C5391="","",COUNTA($C$3:C5391))</f>
        <v/>
      </c>
      <c r="B5391" s="15" t="str">
        <f t="shared" si="404"/>
        <v/>
      </c>
      <c r="M5391" s="9"/>
      <c r="N5391" s="9"/>
      <c r="P5391" s="14"/>
      <c r="Q5391" s="85"/>
      <c r="R5391" s="89"/>
      <c r="U5391" s="11" t="str">
        <f t="shared" si="403"/>
        <v/>
      </c>
      <c r="V5391" s="37"/>
      <c r="Z5391" s="15"/>
    </row>
    <row r="5392" spans="1:26" x14ac:dyDescent="0.25">
      <c r="A5392" s="15" t="str">
        <f>IF(C5392="","",COUNTA($C$3:C5392))</f>
        <v/>
      </c>
      <c r="B5392" s="15" t="str">
        <f t="shared" si="404"/>
        <v/>
      </c>
      <c r="M5392" s="9"/>
      <c r="N5392" s="9"/>
      <c r="P5392" s="14"/>
      <c r="Q5392" s="85"/>
      <c r="R5392" s="89"/>
      <c r="U5392" s="11" t="str">
        <f t="shared" si="403"/>
        <v/>
      </c>
      <c r="V5392" s="37"/>
      <c r="Z5392" s="15"/>
    </row>
    <row r="5393" spans="1:26" x14ac:dyDescent="0.25">
      <c r="A5393" s="15" t="str">
        <f>IF(C5393="","",COUNTA($C$3:C5393))</f>
        <v/>
      </c>
      <c r="B5393" s="15" t="str">
        <f t="shared" si="404"/>
        <v/>
      </c>
      <c r="M5393" s="9"/>
      <c r="N5393" s="9"/>
      <c r="P5393" s="14"/>
      <c r="Q5393" s="85"/>
      <c r="R5393" s="89"/>
      <c r="U5393" s="11" t="str">
        <f t="shared" si="403"/>
        <v/>
      </c>
      <c r="V5393" s="37"/>
      <c r="Z5393" s="15"/>
    </row>
    <row r="5394" spans="1:26" x14ac:dyDescent="0.25">
      <c r="A5394" s="15" t="str">
        <f>IF(C5394="","",COUNTA($C$3:C5394))</f>
        <v/>
      </c>
      <c r="B5394" s="15" t="str">
        <f t="shared" si="404"/>
        <v/>
      </c>
      <c r="M5394" s="9"/>
      <c r="N5394" s="9"/>
      <c r="P5394" s="14"/>
      <c r="Q5394" s="85"/>
      <c r="R5394" s="89"/>
      <c r="U5394" s="11" t="str">
        <f t="shared" si="403"/>
        <v/>
      </c>
      <c r="V5394" s="37"/>
      <c r="Z5394" s="15"/>
    </row>
    <row r="5395" spans="1:26" x14ac:dyDescent="0.25">
      <c r="A5395" s="15" t="str">
        <f>IF(C5395="","",COUNTA($C$3:C5395))</f>
        <v/>
      </c>
      <c r="B5395" s="15" t="str">
        <f t="shared" si="404"/>
        <v/>
      </c>
      <c r="M5395" s="9"/>
      <c r="N5395" s="9"/>
      <c r="P5395" s="14"/>
      <c r="Q5395" s="85"/>
      <c r="R5395" s="89"/>
      <c r="U5395" s="11" t="str">
        <f t="shared" si="403"/>
        <v/>
      </c>
      <c r="V5395" s="37"/>
      <c r="Z5395" s="15"/>
    </row>
    <row r="5396" spans="1:26" x14ac:dyDescent="0.25">
      <c r="A5396" s="15" t="str">
        <f>IF(C5396="","",COUNTA($C$3:C5396))</f>
        <v/>
      </c>
      <c r="B5396" s="15" t="str">
        <f t="shared" si="404"/>
        <v/>
      </c>
      <c r="M5396" s="9"/>
      <c r="N5396" s="9"/>
      <c r="P5396" s="14"/>
      <c r="Q5396" s="85"/>
      <c r="R5396" s="89"/>
      <c r="U5396" s="11" t="str">
        <f t="shared" si="403"/>
        <v/>
      </c>
      <c r="V5396" s="37"/>
      <c r="Z5396" s="15"/>
    </row>
    <row r="5397" spans="1:26" x14ac:dyDescent="0.25">
      <c r="A5397" s="15" t="str">
        <f>IF(C5397="","",COUNTA($C$3:C5397))</f>
        <v/>
      </c>
      <c r="B5397" s="15" t="str">
        <f t="shared" si="404"/>
        <v/>
      </c>
      <c r="M5397" s="9"/>
      <c r="N5397" s="9"/>
      <c r="P5397" s="14"/>
      <c r="Q5397" s="85"/>
      <c r="R5397" s="89"/>
      <c r="U5397" s="11" t="str">
        <f t="shared" si="403"/>
        <v/>
      </c>
      <c r="V5397" s="37"/>
      <c r="Z5397" s="15"/>
    </row>
    <row r="5398" spans="1:26" x14ac:dyDescent="0.25">
      <c r="A5398" s="15" t="str">
        <f>IF(C5398="","",COUNTA($C$3:C5398))</f>
        <v/>
      </c>
      <c r="B5398" s="15" t="str">
        <f t="shared" si="404"/>
        <v/>
      </c>
      <c r="M5398" s="9"/>
      <c r="N5398" s="9"/>
      <c r="P5398" s="14"/>
      <c r="Q5398" s="85"/>
      <c r="R5398" s="89"/>
      <c r="U5398" s="11" t="str">
        <f t="shared" si="403"/>
        <v/>
      </c>
      <c r="V5398" s="37"/>
      <c r="Z5398" s="15"/>
    </row>
    <row r="5399" spans="1:26" x14ac:dyDescent="0.25">
      <c r="A5399" s="15" t="str">
        <f>IF(C5399="","",COUNTA($C$3:C5399))</f>
        <v/>
      </c>
      <c r="B5399" s="15" t="str">
        <f t="shared" si="404"/>
        <v/>
      </c>
      <c r="M5399" s="9"/>
      <c r="N5399" s="9"/>
      <c r="P5399" s="14"/>
      <c r="Q5399" s="85"/>
      <c r="R5399" s="89"/>
      <c r="U5399" s="11" t="str">
        <f t="shared" si="403"/>
        <v/>
      </c>
      <c r="V5399" s="37"/>
      <c r="Z5399" s="15"/>
    </row>
    <row r="5400" spans="1:26" x14ac:dyDescent="0.25">
      <c r="A5400" s="15" t="str">
        <f>IF(C5400="","",COUNTA($C$3:C5400))</f>
        <v/>
      </c>
      <c r="B5400" s="15" t="str">
        <f t="shared" si="404"/>
        <v/>
      </c>
      <c r="M5400" s="9"/>
      <c r="N5400" s="9"/>
      <c r="P5400" s="14"/>
      <c r="Q5400" s="85"/>
      <c r="R5400" s="89"/>
      <c r="U5400" s="11" t="str">
        <f t="shared" si="403"/>
        <v/>
      </c>
      <c r="V5400" s="37"/>
      <c r="Z5400" s="15"/>
    </row>
    <row r="5401" spans="1:26" x14ac:dyDescent="0.25">
      <c r="A5401" s="15" t="str">
        <f>IF(C5401="","",COUNTA($C$3:C5401))</f>
        <v/>
      </c>
      <c r="B5401" s="15" t="str">
        <f t="shared" si="404"/>
        <v/>
      </c>
      <c r="M5401" s="9"/>
      <c r="N5401" s="9"/>
      <c r="P5401" s="14"/>
      <c r="Q5401" s="85"/>
      <c r="R5401" s="89"/>
      <c r="U5401" s="11" t="str">
        <f t="shared" si="403"/>
        <v/>
      </c>
      <c r="V5401" s="37"/>
      <c r="Z5401" s="15"/>
    </row>
    <row r="5402" spans="1:26" x14ac:dyDescent="0.25">
      <c r="A5402" s="15" t="str">
        <f>IF(C5402="","",COUNTA($C$3:C5402))</f>
        <v/>
      </c>
      <c r="B5402" s="15" t="str">
        <f t="shared" si="404"/>
        <v/>
      </c>
      <c r="M5402" s="9"/>
      <c r="N5402" s="9"/>
      <c r="P5402" s="14"/>
      <c r="Q5402" s="85"/>
      <c r="R5402" s="89"/>
      <c r="U5402" s="11" t="str">
        <f t="shared" si="403"/>
        <v/>
      </c>
      <c r="V5402" s="37"/>
      <c r="Z5402" s="15"/>
    </row>
    <row r="5403" spans="1:26" x14ac:dyDescent="0.25">
      <c r="A5403" s="15" t="str">
        <f>IF(C5403="","",COUNTA($C$3:C5403))</f>
        <v/>
      </c>
      <c r="B5403" s="15" t="str">
        <f t="shared" si="404"/>
        <v/>
      </c>
      <c r="M5403" s="9"/>
      <c r="N5403" s="9"/>
      <c r="P5403" s="14"/>
      <c r="Q5403" s="85"/>
      <c r="R5403" s="89"/>
      <c r="U5403" s="11" t="str">
        <f t="shared" si="403"/>
        <v/>
      </c>
      <c r="V5403" s="37"/>
      <c r="Z5403" s="15"/>
    </row>
    <row r="5404" spans="1:26" x14ac:dyDescent="0.25">
      <c r="A5404" s="15" t="str">
        <f>IF(C5404="","",COUNTA($C$3:C5404))</f>
        <v/>
      </c>
      <c r="B5404" s="15" t="str">
        <f t="shared" si="404"/>
        <v/>
      </c>
      <c r="M5404" s="9"/>
      <c r="N5404" s="9"/>
      <c r="P5404" s="14"/>
      <c r="Q5404" s="85"/>
      <c r="R5404" s="89"/>
      <c r="U5404" s="11" t="str">
        <f t="shared" si="403"/>
        <v/>
      </c>
      <c r="V5404" s="37"/>
      <c r="Z5404" s="15"/>
    </row>
    <row r="5405" spans="1:26" x14ac:dyDescent="0.25">
      <c r="A5405" s="15" t="str">
        <f>IF(C5405="","",COUNTA($C$3:C5405))</f>
        <v/>
      </c>
      <c r="B5405" s="15" t="str">
        <f t="shared" si="404"/>
        <v/>
      </c>
      <c r="M5405" s="9"/>
      <c r="N5405" s="9"/>
      <c r="P5405" s="14"/>
      <c r="Q5405" s="85"/>
      <c r="R5405" s="89"/>
      <c r="U5405" s="11" t="str">
        <f t="shared" si="403"/>
        <v/>
      </c>
      <c r="V5405" s="37"/>
      <c r="Z5405" s="15"/>
    </row>
    <row r="5406" spans="1:26" x14ac:dyDescent="0.25">
      <c r="A5406" s="15" t="str">
        <f>IF(C5406="","",COUNTA($C$3:C5406))</f>
        <v/>
      </c>
      <c r="B5406" s="15" t="str">
        <f t="shared" si="404"/>
        <v/>
      </c>
      <c r="M5406" s="9"/>
      <c r="N5406" s="9"/>
      <c r="P5406" s="14"/>
      <c r="Q5406" s="85"/>
      <c r="R5406" s="89"/>
      <c r="U5406" s="11" t="str">
        <f t="shared" si="403"/>
        <v/>
      </c>
      <c r="V5406" s="37"/>
      <c r="Z5406" s="15"/>
    </row>
    <row r="5407" spans="1:26" x14ac:dyDescent="0.25">
      <c r="A5407" s="15" t="str">
        <f>IF(C5407="","",COUNTA($C$3:C5407))</f>
        <v/>
      </c>
      <c r="B5407" s="15" t="str">
        <f t="shared" si="404"/>
        <v/>
      </c>
      <c r="M5407" s="9"/>
      <c r="N5407" s="9"/>
      <c r="P5407" s="14"/>
      <c r="Q5407" s="85"/>
      <c r="R5407" s="89"/>
      <c r="U5407" s="11" t="str">
        <f t="shared" si="403"/>
        <v/>
      </c>
      <c r="V5407" s="37"/>
      <c r="Z5407" s="15"/>
    </row>
    <row r="5408" spans="1:26" x14ac:dyDescent="0.25">
      <c r="A5408" s="15" t="str">
        <f>IF(C5408="","",COUNTA($C$3:C5408))</f>
        <v/>
      </c>
      <c r="B5408" s="15" t="str">
        <f t="shared" si="404"/>
        <v/>
      </c>
      <c r="M5408" s="9"/>
      <c r="N5408" s="9"/>
      <c r="P5408" s="14"/>
      <c r="Q5408" s="85"/>
      <c r="R5408" s="89"/>
      <c r="U5408" s="11" t="str">
        <f t="shared" si="403"/>
        <v/>
      </c>
      <c r="V5408" s="37"/>
      <c r="Z5408" s="15"/>
    </row>
    <row r="5409" spans="1:26" x14ac:dyDescent="0.25">
      <c r="A5409" s="15" t="str">
        <f>IF(C5409="","",COUNTA($C$3:C5409))</f>
        <v/>
      </c>
      <c r="B5409" s="15" t="str">
        <f t="shared" si="404"/>
        <v/>
      </c>
      <c r="M5409" s="9"/>
      <c r="N5409" s="9"/>
      <c r="P5409" s="14"/>
      <c r="Q5409" s="85"/>
      <c r="R5409" s="89"/>
      <c r="U5409" s="11" t="str">
        <f t="shared" si="403"/>
        <v/>
      </c>
      <c r="V5409" s="37"/>
      <c r="Z5409" s="15"/>
    </row>
    <row r="5410" spans="1:26" x14ac:dyDescent="0.25">
      <c r="A5410" s="15" t="str">
        <f>IF(C5410="","",COUNTA($C$3:C5410))</f>
        <v/>
      </c>
      <c r="B5410" s="15" t="str">
        <f t="shared" si="404"/>
        <v/>
      </c>
      <c r="M5410" s="9"/>
      <c r="N5410" s="9"/>
      <c r="P5410" s="14"/>
      <c r="Q5410" s="85"/>
      <c r="R5410" s="89"/>
      <c r="U5410" s="11" t="str">
        <f t="shared" si="403"/>
        <v/>
      </c>
      <c r="V5410" s="37"/>
      <c r="Z5410" s="15"/>
    </row>
    <row r="5411" spans="1:26" x14ac:dyDescent="0.25">
      <c r="A5411" s="15" t="str">
        <f>IF(C5411="","",COUNTA($C$3:C5411))</f>
        <v/>
      </c>
      <c r="B5411" s="15" t="str">
        <f t="shared" si="404"/>
        <v/>
      </c>
      <c r="M5411" s="9"/>
      <c r="N5411" s="9"/>
      <c r="P5411" s="14"/>
      <c r="Q5411" s="85"/>
      <c r="R5411" s="89"/>
      <c r="U5411" s="11" t="str">
        <f t="shared" si="403"/>
        <v/>
      </c>
      <c r="V5411" s="37"/>
      <c r="Z5411" s="15"/>
    </row>
    <row r="5412" spans="1:26" x14ac:dyDescent="0.25">
      <c r="A5412" s="15" t="str">
        <f>IF(C5412="","",COUNTA($C$3:C5412))</f>
        <v/>
      </c>
      <c r="B5412" s="15" t="str">
        <f t="shared" si="404"/>
        <v/>
      </c>
      <c r="M5412" s="9"/>
      <c r="N5412" s="9"/>
      <c r="P5412" s="14"/>
      <c r="Q5412" s="85"/>
      <c r="R5412" s="89"/>
      <c r="U5412" s="11" t="str">
        <f t="shared" si="403"/>
        <v/>
      </c>
      <c r="V5412" s="37"/>
      <c r="Z5412" s="15"/>
    </row>
    <row r="5413" spans="1:26" x14ac:dyDescent="0.25">
      <c r="A5413" s="15" t="str">
        <f>IF(C5413="","",COUNTA($C$3:C5413))</f>
        <v/>
      </c>
      <c r="B5413" s="15" t="str">
        <f t="shared" si="404"/>
        <v/>
      </c>
      <c r="M5413" s="9"/>
      <c r="N5413" s="9"/>
      <c r="P5413" s="14"/>
      <c r="Q5413" s="85"/>
      <c r="R5413" s="89"/>
      <c r="U5413" s="11" t="str">
        <f t="shared" si="403"/>
        <v/>
      </c>
      <c r="V5413" s="37"/>
      <c r="Z5413" s="15"/>
    </row>
    <row r="5414" spans="1:26" x14ac:dyDescent="0.25">
      <c r="A5414" s="15" t="str">
        <f>IF(C5414="","",COUNTA($C$3:C5414))</f>
        <v/>
      </c>
      <c r="B5414" s="15" t="str">
        <f t="shared" si="404"/>
        <v/>
      </c>
      <c r="M5414" s="9"/>
      <c r="N5414" s="9"/>
      <c r="P5414" s="14"/>
      <c r="Q5414" s="85"/>
      <c r="R5414" s="89"/>
      <c r="U5414" s="11" t="str">
        <f t="shared" si="403"/>
        <v/>
      </c>
      <c r="V5414" s="37"/>
      <c r="Z5414" s="15"/>
    </row>
    <row r="5415" spans="1:26" x14ac:dyDescent="0.25">
      <c r="A5415" s="15" t="str">
        <f>IF(C5415="","",COUNTA($C$3:C5415))</f>
        <v/>
      </c>
      <c r="B5415" s="15" t="str">
        <f t="shared" si="404"/>
        <v/>
      </c>
      <c r="M5415" s="9"/>
      <c r="N5415" s="9"/>
      <c r="P5415" s="14"/>
      <c r="Q5415" s="85"/>
      <c r="R5415" s="89"/>
      <c r="U5415" s="11" t="str">
        <f t="shared" si="403"/>
        <v/>
      </c>
      <c r="V5415" s="37"/>
      <c r="Z5415" s="15"/>
    </row>
    <row r="5416" spans="1:26" x14ac:dyDescent="0.25">
      <c r="A5416" s="15" t="str">
        <f>IF(C5416="","",COUNTA($C$3:C5416))</f>
        <v/>
      </c>
      <c r="B5416" s="15" t="str">
        <f t="shared" si="404"/>
        <v/>
      </c>
      <c r="M5416" s="9"/>
      <c r="N5416" s="9"/>
      <c r="P5416" s="14"/>
      <c r="Q5416" s="85"/>
      <c r="R5416" s="89"/>
      <c r="U5416" s="11" t="str">
        <f t="shared" si="403"/>
        <v/>
      </c>
      <c r="V5416" s="37"/>
      <c r="Z5416" s="15"/>
    </row>
    <row r="5417" spans="1:26" x14ac:dyDescent="0.25">
      <c r="A5417" s="15" t="str">
        <f>IF(C5417="","",COUNTA($C$3:C5417))</f>
        <v/>
      </c>
      <c r="B5417" s="15" t="str">
        <f t="shared" si="404"/>
        <v/>
      </c>
      <c r="M5417" s="9"/>
      <c r="N5417" s="9"/>
      <c r="P5417" s="14"/>
      <c r="Q5417" s="85"/>
      <c r="R5417" s="89"/>
      <c r="U5417" s="11" t="str">
        <f t="shared" si="403"/>
        <v/>
      </c>
      <c r="V5417" s="37"/>
      <c r="Z5417" s="15"/>
    </row>
    <row r="5418" spans="1:26" x14ac:dyDescent="0.25">
      <c r="A5418" s="15" t="str">
        <f>IF(C5418="","",COUNTA($C$3:C5418))</f>
        <v/>
      </c>
      <c r="B5418" s="15" t="str">
        <f t="shared" si="404"/>
        <v/>
      </c>
      <c r="M5418" s="9"/>
      <c r="N5418" s="9"/>
      <c r="P5418" s="14"/>
      <c r="Q5418" s="85"/>
      <c r="R5418" s="89"/>
      <c r="U5418" s="11" t="str">
        <f t="shared" si="403"/>
        <v/>
      </c>
      <c r="V5418" s="37"/>
      <c r="Z5418" s="15"/>
    </row>
    <row r="5419" spans="1:26" x14ac:dyDescent="0.25">
      <c r="A5419" s="15" t="str">
        <f>IF(C5419="","",COUNTA($C$3:C5419))</f>
        <v/>
      </c>
      <c r="B5419" s="15" t="str">
        <f t="shared" si="404"/>
        <v/>
      </c>
      <c r="M5419" s="9"/>
      <c r="N5419" s="9"/>
      <c r="P5419" s="14"/>
      <c r="Q5419" s="85"/>
      <c r="R5419" s="89"/>
      <c r="U5419" s="11" t="str">
        <f t="shared" si="403"/>
        <v/>
      </c>
      <c r="V5419" s="37"/>
      <c r="Z5419" s="15"/>
    </row>
    <row r="5420" spans="1:26" x14ac:dyDescent="0.25">
      <c r="A5420" s="15" t="str">
        <f>IF(C5420="","",COUNTA($C$3:C5420))</f>
        <v/>
      </c>
      <c r="B5420" s="15" t="str">
        <f t="shared" si="404"/>
        <v/>
      </c>
      <c r="M5420" s="9"/>
      <c r="N5420" s="9"/>
      <c r="P5420" s="14"/>
      <c r="Q5420" s="85"/>
      <c r="R5420" s="89"/>
      <c r="U5420" s="11" t="str">
        <f t="shared" si="403"/>
        <v/>
      </c>
      <c r="V5420" s="37"/>
      <c r="Z5420" s="15"/>
    </row>
    <row r="5421" spans="1:26" x14ac:dyDescent="0.25">
      <c r="A5421" s="15" t="str">
        <f>IF(C5421="","",COUNTA($C$3:C5421))</f>
        <v/>
      </c>
      <c r="B5421" s="15" t="str">
        <f t="shared" si="404"/>
        <v/>
      </c>
      <c r="M5421" s="9"/>
      <c r="N5421" s="9"/>
      <c r="P5421" s="14"/>
      <c r="Q5421" s="85"/>
      <c r="R5421" s="89"/>
      <c r="U5421" s="11" t="str">
        <f t="shared" si="403"/>
        <v/>
      </c>
      <c r="V5421" s="37"/>
      <c r="Z5421" s="15"/>
    </row>
    <row r="5422" spans="1:26" x14ac:dyDescent="0.25">
      <c r="A5422" s="15" t="str">
        <f>IF(C5422="","",COUNTA($C$3:C5422))</f>
        <v/>
      </c>
      <c r="B5422" s="15" t="str">
        <f t="shared" si="404"/>
        <v/>
      </c>
      <c r="M5422" s="9"/>
      <c r="N5422" s="9"/>
      <c r="P5422" s="14"/>
      <c r="Q5422" s="85"/>
      <c r="R5422" s="89"/>
      <c r="U5422" s="11" t="str">
        <f t="shared" si="403"/>
        <v/>
      </c>
      <c r="V5422" s="37"/>
      <c r="Z5422" s="15"/>
    </row>
    <row r="5423" spans="1:26" x14ac:dyDescent="0.25">
      <c r="A5423" s="15" t="str">
        <f>IF(C5423="","",COUNTA($C$3:C5423))</f>
        <v/>
      </c>
      <c r="B5423" s="15" t="str">
        <f t="shared" si="404"/>
        <v/>
      </c>
      <c r="M5423" s="9"/>
      <c r="N5423" s="9"/>
      <c r="P5423" s="14"/>
      <c r="Q5423" s="85"/>
      <c r="R5423" s="89"/>
      <c r="U5423" s="11" t="str">
        <f t="shared" si="403"/>
        <v/>
      </c>
      <c r="V5423" s="37"/>
      <c r="Z5423" s="15"/>
    </row>
    <row r="5424" spans="1:26" x14ac:dyDescent="0.25">
      <c r="A5424" s="15" t="str">
        <f>IF(C5424="","",COUNTA($C$3:C5424))</f>
        <v/>
      </c>
      <c r="B5424" s="15" t="str">
        <f t="shared" si="404"/>
        <v/>
      </c>
      <c r="M5424" s="9"/>
      <c r="N5424" s="9"/>
      <c r="P5424" s="14"/>
      <c r="Q5424" s="85"/>
      <c r="R5424" s="89"/>
      <c r="U5424" s="11" t="str">
        <f t="shared" si="403"/>
        <v/>
      </c>
      <c r="V5424" s="37"/>
      <c r="Z5424" s="15"/>
    </row>
    <row r="5425" spans="1:26" x14ac:dyDescent="0.25">
      <c r="A5425" s="15" t="str">
        <f>IF(C5425="","",COUNTA($C$3:C5425))</f>
        <v/>
      </c>
      <c r="B5425" s="15" t="str">
        <f t="shared" si="404"/>
        <v/>
      </c>
      <c r="M5425" s="9"/>
      <c r="N5425" s="9"/>
      <c r="P5425" s="14"/>
      <c r="Q5425" s="85"/>
      <c r="R5425" s="89"/>
      <c r="U5425" s="11" t="str">
        <f t="shared" si="403"/>
        <v/>
      </c>
      <c r="V5425" s="37"/>
      <c r="Z5425" s="15"/>
    </row>
    <row r="5426" spans="1:26" x14ac:dyDescent="0.25">
      <c r="A5426" s="15" t="str">
        <f>IF(C5426="","",COUNTA($C$3:C5426))</f>
        <v/>
      </c>
      <c r="B5426" s="15" t="str">
        <f t="shared" si="404"/>
        <v/>
      </c>
      <c r="M5426" s="9"/>
      <c r="N5426" s="9"/>
      <c r="P5426" s="14"/>
      <c r="Q5426" s="85"/>
      <c r="R5426" s="89"/>
      <c r="U5426" s="11" t="str">
        <f t="shared" si="403"/>
        <v/>
      </c>
      <c r="V5426" s="37"/>
      <c r="Z5426" s="15"/>
    </row>
    <row r="5427" spans="1:26" x14ac:dyDescent="0.25">
      <c r="A5427" s="15" t="str">
        <f>IF(C5427="","",COUNTA($C$3:C5427))</f>
        <v/>
      </c>
      <c r="B5427" s="15" t="str">
        <f t="shared" si="404"/>
        <v/>
      </c>
      <c r="M5427" s="9"/>
      <c r="N5427" s="9"/>
      <c r="P5427" s="14"/>
      <c r="Q5427" s="85"/>
      <c r="R5427" s="89"/>
      <c r="U5427" s="11" t="str">
        <f t="shared" si="403"/>
        <v/>
      </c>
      <c r="V5427" s="37"/>
      <c r="Z5427" s="15"/>
    </row>
    <row r="5428" spans="1:26" x14ac:dyDescent="0.25">
      <c r="A5428" s="15" t="str">
        <f>IF(C5428="","",COUNTA($C$3:C5428))</f>
        <v/>
      </c>
      <c r="B5428" s="15" t="str">
        <f t="shared" si="404"/>
        <v/>
      </c>
      <c r="M5428" s="9"/>
      <c r="N5428" s="9"/>
      <c r="P5428" s="14"/>
      <c r="Q5428" s="85"/>
      <c r="R5428" s="89"/>
      <c r="U5428" s="11" t="str">
        <f t="shared" si="403"/>
        <v/>
      </c>
      <c r="V5428" s="37"/>
      <c r="Z5428" s="15"/>
    </row>
    <row r="5429" spans="1:26" x14ac:dyDescent="0.25">
      <c r="A5429" s="15" t="str">
        <f>IF(C5429="","",COUNTA($C$3:C5429))</f>
        <v/>
      </c>
      <c r="B5429" s="15" t="str">
        <f t="shared" si="404"/>
        <v/>
      </c>
      <c r="M5429" s="9"/>
      <c r="N5429" s="9"/>
      <c r="P5429" s="14"/>
      <c r="Q5429" s="85"/>
      <c r="R5429" s="89"/>
      <c r="U5429" s="11" t="str">
        <f t="shared" si="403"/>
        <v/>
      </c>
      <c r="V5429" s="37"/>
      <c r="Z5429" s="15"/>
    </row>
    <row r="5430" spans="1:26" x14ac:dyDescent="0.25">
      <c r="A5430" s="15" t="str">
        <f>IF(C5430="","",COUNTA($C$3:C5430))</f>
        <v/>
      </c>
      <c r="B5430" s="15" t="str">
        <f t="shared" si="404"/>
        <v/>
      </c>
      <c r="M5430" s="9"/>
      <c r="N5430" s="9"/>
      <c r="P5430" s="14"/>
      <c r="Q5430" s="85"/>
      <c r="R5430" s="89"/>
      <c r="U5430" s="11" t="str">
        <f t="shared" si="403"/>
        <v/>
      </c>
      <c r="V5430" s="37"/>
      <c r="Z5430" s="15"/>
    </row>
    <row r="5431" spans="1:26" x14ac:dyDescent="0.25">
      <c r="A5431" s="15" t="str">
        <f>IF(C5431="","",COUNTA($C$3:C5431))</f>
        <v/>
      </c>
      <c r="B5431" s="15" t="str">
        <f t="shared" si="404"/>
        <v/>
      </c>
      <c r="M5431" s="9"/>
      <c r="N5431" s="9"/>
      <c r="P5431" s="14"/>
      <c r="Q5431" s="85"/>
      <c r="R5431" s="89"/>
      <c r="U5431" s="11" t="str">
        <f t="shared" si="403"/>
        <v/>
      </c>
      <c r="V5431" s="37"/>
      <c r="Z5431" s="15"/>
    </row>
    <row r="5432" spans="1:26" x14ac:dyDescent="0.25">
      <c r="A5432" s="15" t="str">
        <f>IF(C5432="","",COUNTA($C$3:C5432))</f>
        <v/>
      </c>
      <c r="B5432" s="15" t="str">
        <f t="shared" si="404"/>
        <v/>
      </c>
      <c r="M5432" s="9"/>
      <c r="N5432" s="9"/>
      <c r="P5432" s="14"/>
      <c r="Q5432" s="85"/>
      <c r="R5432" s="89"/>
      <c r="U5432" s="11" t="str">
        <f t="shared" si="403"/>
        <v/>
      </c>
      <c r="V5432" s="37"/>
      <c r="Z5432" s="15"/>
    </row>
    <row r="5433" spans="1:26" x14ac:dyDescent="0.25">
      <c r="A5433" s="15" t="str">
        <f>IF(C5433="","",COUNTA($C$3:C5433))</f>
        <v/>
      </c>
      <c r="B5433" s="15" t="str">
        <f t="shared" si="404"/>
        <v/>
      </c>
      <c r="M5433" s="9"/>
      <c r="N5433" s="9"/>
      <c r="P5433" s="14"/>
      <c r="Q5433" s="85"/>
      <c r="R5433" s="89"/>
      <c r="U5433" s="11" t="str">
        <f t="shared" si="403"/>
        <v/>
      </c>
      <c r="V5433" s="37"/>
      <c r="Z5433" s="15"/>
    </row>
    <row r="5434" spans="1:26" x14ac:dyDescent="0.25">
      <c r="A5434" s="15" t="str">
        <f>IF(C5434="","",COUNTA($C$3:C5434))</f>
        <v/>
      </c>
      <c r="B5434" s="15" t="str">
        <f t="shared" si="404"/>
        <v/>
      </c>
      <c r="M5434" s="9"/>
      <c r="N5434" s="9"/>
      <c r="P5434" s="14"/>
      <c r="Q5434" s="85"/>
      <c r="R5434" s="89"/>
      <c r="U5434" s="11" t="str">
        <f t="shared" si="403"/>
        <v/>
      </c>
      <c r="V5434" s="37"/>
      <c r="Z5434" s="15"/>
    </row>
    <row r="5435" spans="1:26" x14ac:dyDescent="0.25">
      <c r="A5435" s="15" t="str">
        <f>IF(C5435="","",COUNTA($C$3:C5435))</f>
        <v/>
      </c>
      <c r="B5435" s="15" t="str">
        <f t="shared" si="404"/>
        <v/>
      </c>
      <c r="M5435" s="9"/>
      <c r="N5435" s="9"/>
      <c r="P5435" s="14"/>
      <c r="Q5435" s="85"/>
      <c r="R5435" s="89"/>
      <c r="U5435" s="11" t="str">
        <f t="shared" si="403"/>
        <v/>
      </c>
      <c r="V5435" s="37"/>
      <c r="Z5435" s="15"/>
    </row>
    <row r="5436" spans="1:26" x14ac:dyDescent="0.25">
      <c r="A5436" s="15" t="str">
        <f>IF(C5436="","",COUNTA($C$3:C5436))</f>
        <v/>
      </c>
      <c r="B5436" s="15" t="str">
        <f t="shared" si="404"/>
        <v/>
      </c>
      <c r="M5436" s="9"/>
      <c r="N5436" s="9"/>
      <c r="P5436" s="14"/>
      <c r="Q5436" s="85"/>
      <c r="R5436" s="89"/>
      <c r="U5436" s="11" t="str">
        <f t="shared" si="403"/>
        <v/>
      </c>
      <c r="V5436" s="37"/>
      <c r="Z5436" s="15"/>
    </row>
    <row r="5437" spans="1:26" x14ac:dyDescent="0.25">
      <c r="A5437" s="15" t="str">
        <f>IF(C5437="","",COUNTA($C$3:C5437))</f>
        <v/>
      </c>
      <c r="B5437" s="15" t="str">
        <f t="shared" si="404"/>
        <v/>
      </c>
      <c r="M5437" s="9"/>
      <c r="N5437" s="9"/>
      <c r="P5437" s="14"/>
      <c r="Q5437" s="85"/>
      <c r="R5437" s="89"/>
      <c r="U5437" s="11" t="str">
        <f t="shared" si="403"/>
        <v/>
      </c>
      <c r="V5437" s="37"/>
      <c r="Z5437" s="15"/>
    </row>
    <row r="5438" spans="1:26" x14ac:dyDescent="0.25">
      <c r="A5438" s="15" t="str">
        <f>IF(C5438="","",COUNTA($C$3:C5438))</f>
        <v/>
      </c>
      <c r="B5438" s="15" t="str">
        <f t="shared" si="404"/>
        <v/>
      </c>
      <c r="M5438" s="9"/>
      <c r="N5438" s="9"/>
      <c r="P5438" s="14"/>
      <c r="Q5438" s="85"/>
      <c r="R5438" s="89"/>
      <c r="U5438" s="11" t="str">
        <f t="shared" si="403"/>
        <v/>
      </c>
      <c r="V5438" s="37"/>
      <c r="Z5438" s="15"/>
    </row>
    <row r="5439" spans="1:26" x14ac:dyDescent="0.25">
      <c r="A5439" s="15" t="str">
        <f>IF(C5439="","",COUNTA($C$3:C5439))</f>
        <v/>
      </c>
      <c r="B5439" s="15" t="str">
        <f t="shared" si="404"/>
        <v/>
      </c>
      <c r="M5439" s="9"/>
      <c r="N5439" s="9"/>
      <c r="P5439" s="14"/>
      <c r="Q5439" s="85"/>
      <c r="R5439" s="89"/>
      <c r="U5439" s="11" t="str">
        <f t="shared" si="403"/>
        <v/>
      </c>
      <c r="V5439" s="37"/>
      <c r="Z5439" s="15"/>
    </row>
    <row r="5440" spans="1:26" x14ac:dyDescent="0.25">
      <c r="A5440" s="15" t="str">
        <f>IF(C5440="","",COUNTA($C$3:C5440))</f>
        <v/>
      </c>
      <c r="B5440" s="15" t="str">
        <f t="shared" si="404"/>
        <v/>
      </c>
      <c r="M5440" s="9"/>
      <c r="N5440" s="9"/>
      <c r="P5440" s="14"/>
      <c r="Q5440" s="85"/>
      <c r="R5440" s="89"/>
      <c r="U5440" s="11" t="str">
        <f t="shared" si="403"/>
        <v/>
      </c>
      <c r="V5440" s="37"/>
      <c r="Z5440" s="15"/>
    </row>
    <row r="5441" spans="1:26" x14ac:dyDescent="0.25">
      <c r="A5441" s="15" t="str">
        <f>IF(C5441="","",COUNTA($C$3:C5441))</f>
        <v/>
      </c>
      <c r="B5441" s="15" t="str">
        <f t="shared" si="404"/>
        <v/>
      </c>
      <c r="M5441" s="9"/>
      <c r="N5441" s="9"/>
      <c r="P5441" s="14"/>
      <c r="Q5441" s="85"/>
      <c r="R5441" s="89"/>
      <c r="U5441" s="11" t="str">
        <f t="shared" si="403"/>
        <v/>
      </c>
      <c r="V5441" s="37"/>
      <c r="Z5441" s="15"/>
    </row>
    <row r="5442" spans="1:26" x14ac:dyDescent="0.25">
      <c r="A5442" s="15" t="str">
        <f>IF(C5442="","",COUNTA($C$3:C5442))</f>
        <v/>
      </c>
      <c r="B5442" s="15" t="str">
        <f t="shared" si="404"/>
        <v/>
      </c>
      <c r="M5442" s="9"/>
      <c r="N5442" s="9"/>
      <c r="P5442" s="14"/>
      <c r="Q5442" s="85"/>
      <c r="R5442" s="89"/>
      <c r="U5442" s="11" t="str">
        <f t="shared" ref="U5442:U5505" si="405">IF(S5442="","",(S5442-T5442))</f>
        <v/>
      </c>
      <c r="V5442" s="37"/>
      <c r="Z5442" s="15"/>
    </row>
    <row r="5443" spans="1:26" x14ac:dyDescent="0.25">
      <c r="A5443" s="15" t="str">
        <f>IF(C5443="","",COUNTA($C$3:C5443))</f>
        <v/>
      </c>
      <c r="B5443" s="15" t="str">
        <f t="shared" ref="B5443:B5506" si="406">IF(C5443="","",TEXT(C5443,"mmmm"))</f>
        <v/>
      </c>
      <c r="M5443" s="9"/>
      <c r="N5443" s="9"/>
      <c r="P5443" s="14"/>
      <c r="Q5443" s="85"/>
      <c r="R5443" s="89"/>
      <c r="U5443" s="11" t="str">
        <f t="shared" si="405"/>
        <v/>
      </c>
      <c r="V5443" s="37"/>
      <c r="Z5443" s="15"/>
    </row>
    <row r="5444" spans="1:26" x14ac:dyDescent="0.25">
      <c r="A5444" s="15" t="str">
        <f>IF(C5444="","",COUNTA($C$3:C5444))</f>
        <v/>
      </c>
      <c r="B5444" s="15" t="str">
        <f t="shared" si="406"/>
        <v/>
      </c>
      <c r="M5444" s="9"/>
      <c r="N5444" s="9"/>
      <c r="P5444" s="14"/>
      <c r="Q5444" s="85"/>
      <c r="R5444" s="89"/>
      <c r="U5444" s="11" t="str">
        <f t="shared" si="405"/>
        <v/>
      </c>
      <c r="V5444" s="37"/>
      <c r="Z5444" s="15"/>
    </row>
    <row r="5445" spans="1:26" x14ac:dyDescent="0.25">
      <c r="A5445" s="15" t="str">
        <f>IF(C5445="","",COUNTA($C$3:C5445))</f>
        <v/>
      </c>
      <c r="B5445" s="15" t="str">
        <f t="shared" si="406"/>
        <v/>
      </c>
      <c r="M5445" s="9"/>
      <c r="N5445" s="9"/>
      <c r="P5445" s="14"/>
      <c r="Q5445" s="85"/>
      <c r="R5445" s="89"/>
      <c r="U5445" s="11" t="str">
        <f t="shared" si="405"/>
        <v/>
      </c>
      <c r="V5445" s="37"/>
      <c r="Z5445" s="15"/>
    </row>
    <row r="5446" spans="1:26" x14ac:dyDescent="0.25">
      <c r="A5446" s="15" t="str">
        <f>IF(C5446="","",COUNTA($C$3:C5446))</f>
        <v/>
      </c>
      <c r="B5446" s="15" t="str">
        <f t="shared" si="406"/>
        <v/>
      </c>
      <c r="M5446" s="9"/>
      <c r="N5446" s="9"/>
      <c r="P5446" s="14"/>
      <c r="Q5446" s="85"/>
      <c r="R5446" s="89"/>
      <c r="U5446" s="11" t="str">
        <f t="shared" si="405"/>
        <v/>
      </c>
      <c r="V5446" s="37"/>
      <c r="Z5446" s="15"/>
    </row>
    <row r="5447" spans="1:26" x14ac:dyDescent="0.25">
      <c r="A5447" s="15" t="str">
        <f>IF(C5447="","",COUNTA($C$3:C5447))</f>
        <v/>
      </c>
      <c r="B5447" s="15" t="str">
        <f t="shared" si="406"/>
        <v/>
      </c>
      <c r="M5447" s="9"/>
      <c r="N5447" s="9"/>
      <c r="P5447" s="14"/>
      <c r="Q5447" s="85"/>
      <c r="R5447" s="89"/>
      <c r="U5447" s="11" t="str">
        <f t="shared" si="405"/>
        <v/>
      </c>
      <c r="V5447" s="37"/>
      <c r="Z5447" s="15"/>
    </row>
    <row r="5448" spans="1:26" x14ac:dyDescent="0.25">
      <c r="A5448" s="15" t="str">
        <f>IF(C5448="","",COUNTA($C$3:C5448))</f>
        <v/>
      </c>
      <c r="B5448" s="15" t="str">
        <f t="shared" si="406"/>
        <v/>
      </c>
      <c r="M5448" s="9"/>
      <c r="N5448" s="9"/>
      <c r="P5448" s="14"/>
      <c r="Q5448" s="85"/>
      <c r="R5448" s="89"/>
      <c r="U5448" s="11" t="str">
        <f t="shared" si="405"/>
        <v/>
      </c>
      <c r="V5448" s="37"/>
      <c r="Z5448" s="15"/>
    </row>
    <row r="5449" spans="1:26" x14ac:dyDescent="0.25">
      <c r="A5449" s="15" t="str">
        <f>IF(C5449="","",COUNTA($C$3:C5449))</f>
        <v/>
      </c>
      <c r="B5449" s="15" t="str">
        <f t="shared" si="406"/>
        <v/>
      </c>
      <c r="M5449" s="9"/>
      <c r="N5449" s="9"/>
      <c r="P5449" s="14"/>
      <c r="Q5449" s="85"/>
      <c r="R5449" s="89"/>
      <c r="U5449" s="11" t="str">
        <f t="shared" si="405"/>
        <v/>
      </c>
      <c r="V5449" s="37"/>
      <c r="Z5449" s="15"/>
    </row>
    <row r="5450" spans="1:26" x14ac:dyDescent="0.25">
      <c r="A5450" s="15" t="str">
        <f>IF(C5450="","",COUNTA($C$3:C5450))</f>
        <v/>
      </c>
      <c r="B5450" s="15" t="str">
        <f t="shared" si="406"/>
        <v/>
      </c>
      <c r="M5450" s="9"/>
      <c r="N5450" s="9"/>
      <c r="P5450" s="14"/>
      <c r="Q5450" s="85"/>
      <c r="R5450" s="89"/>
      <c r="U5450" s="11" t="str">
        <f t="shared" si="405"/>
        <v/>
      </c>
      <c r="V5450" s="37"/>
      <c r="Z5450" s="15"/>
    </row>
    <row r="5451" spans="1:26" x14ac:dyDescent="0.25">
      <c r="A5451" s="15" t="str">
        <f>IF(C5451="","",COUNTA($C$3:C5451))</f>
        <v/>
      </c>
      <c r="B5451" s="15" t="str">
        <f t="shared" si="406"/>
        <v/>
      </c>
      <c r="M5451" s="9"/>
      <c r="N5451" s="9"/>
      <c r="P5451" s="14"/>
      <c r="Q5451" s="85"/>
      <c r="R5451" s="89"/>
      <c r="U5451" s="11" t="str">
        <f t="shared" si="405"/>
        <v/>
      </c>
      <c r="V5451" s="37"/>
      <c r="Z5451" s="15"/>
    </row>
    <row r="5452" spans="1:26" x14ac:dyDescent="0.25">
      <c r="A5452" s="15" t="str">
        <f>IF(C5452="","",COUNTA($C$3:C5452))</f>
        <v/>
      </c>
      <c r="B5452" s="15" t="str">
        <f t="shared" si="406"/>
        <v/>
      </c>
      <c r="M5452" s="9"/>
      <c r="N5452" s="9"/>
      <c r="P5452" s="14"/>
      <c r="Q5452" s="85"/>
      <c r="R5452" s="89"/>
      <c r="U5452" s="11" t="str">
        <f t="shared" si="405"/>
        <v/>
      </c>
      <c r="V5452" s="37"/>
      <c r="Z5452" s="15"/>
    </row>
    <row r="5453" spans="1:26" x14ac:dyDescent="0.25">
      <c r="A5453" s="15" t="str">
        <f>IF(C5453="","",COUNTA($C$3:C5453))</f>
        <v/>
      </c>
      <c r="B5453" s="15" t="str">
        <f t="shared" si="406"/>
        <v/>
      </c>
      <c r="M5453" s="9"/>
      <c r="N5453" s="9"/>
      <c r="P5453" s="14"/>
      <c r="Q5453" s="85"/>
      <c r="R5453" s="89"/>
      <c r="U5453" s="11" t="str">
        <f t="shared" si="405"/>
        <v/>
      </c>
      <c r="V5453" s="37"/>
      <c r="Z5453" s="15"/>
    </row>
    <row r="5454" spans="1:26" x14ac:dyDescent="0.25">
      <c r="A5454" s="15" t="str">
        <f>IF(C5454="","",COUNTA($C$3:C5454))</f>
        <v/>
      </c>
      <c r="B5454" s="15" t="str">
        <f t="shared" si="406"/>
        <v/>
      </c>
      <c r="M5454" s="9"/>
      <c r="N5454" s="9"/>
      <c r="P5454" s="14"/>
      <c r="Q5454" s="85"/>
      <c r="R5454" s="89"/>
      <c r="U5454" s="11" t="str">
        <f t="shared" si="405"/>
        <v/>
      </c>
      <c r="V5454" s="37"/>
      <c r="Z5454" s="15"/>
    </row>
    <row r="5455" spans="1:26" x14ac:dyDescent="0.25">
      <c r="A5455" s="15" t="str">
        <f>IF(C5455="","",COUNTA($C$3:C5455))</f>
        <v/>
      </c>
      <c r="B5455" s="15" t="str">
        <f t="shared" si="406"/>
        <v/>
      </c>
      <c r="M5455" s="9"/>
      <c r="N5455" s="9"/>
      <c r="P5455" s="14"/>
      <c r="Q5455" s="85"/>
      <c r="R5455" s="89"/>
      <c r="U5455" s="11" t="str">
        <f t="shared" si="405"/>
        <v/>
      </c>
      <c r="V5455" s="37"/>
      <c r="Z5455" s="15"/>
    </row>
    <row r="5456" spans="1:26" x14ac:dyDescent="0.25">
      <c r="A5456" s="15" t="str">
        <f>IF(C5456="","",COUNTA($C$3:C5456))</f>
        <v/>
      </c>
      <c r="B5456" s="15" t="str">
        <f t="shared" si="406"/>
        <v/>
      </c>
      <c r="M5456" s="9"/>
      <c r="N5456" s="9"/>
      <c r="P5456" s="14"/>
      <c r="Q5456" s="85"/>
      <c r="R5456" s="89"/>
      <c r="U5456" s="11" t="str">
        <f t="shared" si="405"/>
        <v/>
      </c>
      <c r="V5456" s="37"/>
      <c r="Z5456" s="15"/>
    </row>
    <row r="5457" spans="1:26" x14ac:dyDescent="0.25">
      <c r="A5457" s="15" t="str">
        <f>IF(C5457="","",COUNTA($C$3:C5457))</f>
        <v/>
      </c>
      <c r="B5457" s="15" t="str">
        <f t="shared" si="406"/>
        <v/>
      </c>
      <c r="M5457" s="9"/>
      <c r="N5457" s="9"/>
      <c r="P5457" s="14"/>
      <c r="Q5457" s="85"/>
      <c r="R5457" s="89"/>
      <c r="U5457" s="11" t="str">
        <f t="shared" si="405"/>
        <v/>
      </c>
      <c r="V5457" s="37"/>
      <c r="Z5457" s="15"/>
    </row>
    <row r="5458" spans="1:26" x14ac:dyDescent="0.25">
      <c r="A5458" s="15" t="str">
        <f>IF(C5458="","",COUNTA($C$3:C5458))</f>
        <v/>
      </c>
      <c r="B5458" s="15" t="str">
        <f t="shared" si="406"/>
        <v/>
      </c>
      <c r="M5458" s="9"/>
      <c r="N5458" s="9"/>
      <c r="P5458" s="14"/>
      <c r="Q5458" s="85"/>
      <c r="R5458" s="89"/>
      <c r="U5458" s="11" t="str">
        <f t="shared" si="405"/>
        <v/>
      </c>
      <c r="V5458" s="37"/>
      <c r="Z5458" s="15"/>
    </row>
    <row r="5459" spans="1:26" x14ac:dyDescent="0.25">
      <c r="A5459" s="15" t="str">
        <f>IF(C5459="","",COUNTA($C$3:C5459))</f>
        <v/>
      </c>
      <c r="B5459" s="15" t="str">
        <f t="shared" si="406"/>
        <v/>
      </c>
      <c r="M5459" s="9"/>
      <c r="N5459" s="9"/>
      <c r="P5459" s="14"/>
      <c r="Q5459" s="85"/>
      <c r="R5459" s="89"/>
      <c r="U5459" s="11" t="str">
        <f t="shared" si="405"/>
        <v/>
      </c>
      <c r="V5459" s="37"/>
      <c r="Z5459" s="15"/>
    </row>
    <row r="5460" spans="1:26" x14ac:dyDescent="0.25">
      <c r="A5460" s="15" t="str">
        <f>IF(C5460="","",COUNTA($C$3:C5460))</f>
        <v/>
      </c>
      <c r="B5460" s="15" t="str">
        <f t="shared" si="406"/>
        <v/>
      </c>
      <c r="M5460" s="9"/>
      <c r="N5460" s="9"/>
      <c r="P5460" s="14"/>
      <c r="Q5460" s="85"/>
      <c r="R5460" s="89"/>
      <c r="U5460" s="11" t="str">
        <f t="shared" si="405"/>
        <v/>
      </c>
      <c r="V5460" s="37"/>
      <c r="Z5460" s="15"/>
    </row>
    <row r="5461" spans="1:26" x14ac:dyDescent="0.25">
      <c r="A5461" s="15" t="str">
        <f>IF(C5461="","",COUNTA($C$3:C5461))</f>
        <v/>
      </c>
      <c r="B5461" s="15" t="str">
        <f t="shared" si="406"/>
        <v/>
      </c>
      <c r="M5461" s="9"/>
      <c r="N5461" s="9"/>
      <c r="P5461" s="14"/>
      <c r="Q5461" s="85"/>
      <c r="R5461" s="89"/>
      <c r="U5461" s="11" t="str">
        <f t="shared" si="405"/>
        <v/>
      </c>
      <c r="V5461" s="37"/>
      <c r="Z5461" s="15"/>
    </row>
    <row r="5462" spans="1:26" x14ac:dyDescent="0.25">
      <c r="A5462" s="15" t="str">
        <f>IF(C5462="","",COUNTA($C$3:C5462))</f>
        <v/>
      </c>
      <c r="B5462" s="15" t="str">
        <f t="shared" si="406"/>
        <v/>
      </c>
      <c r="M5462" s="9"/>
      <c r="N5462" s="9"/>
      <c r="P5462" s="14"/>
      <c r="Q5462" s="85"/>
      <c r="R5462" s="89"/>
      <c r="U5462" s="11" t="str">
        <f t="shared" si="405"/>
        <v/>
      </c>
      <c r="V5462" s="37"/>
      <c r="Z5462" s="15"/>
    </row>
    <row r="5463" spans="1:26" x14ac:dyDescent="0.25">
      <c r="A5463" s="15" t="str">
        <f>IF(C5463="","",COUNTA($C$3:C5463))</f>
        <v/>
      </c>
      <c r="B5463" s="15" t="str">
        <f t="shared" si="406"/>
        <v/>
      </c>
      <c r="M5463" s="9"/>
      <c r="N5463" s="9"/>
      <c r="P5463" s="14"/>
      <c r="Q5463" s="85"/>
      <c r="R5463" s="89"/>
      <c r="U5463" s="11" t="str">
        <f t="shared" si="405"/>
        <v/>
      </c>
      <c r="V5463" s="37"/>
      <c r="Z5463" s="15"/>
    </row>
    <row r="5464" spans="1:26" x14ac:dyDescent="0.25">
      <c r="A5464" s="15" t="str">
        <f>IF(C5464="","",COUNTA($C$3:C5464))</f>
        <v/>
      </c>
      <c r="B5464" s="15" t="str">
        <f t="shared" si="406"/>
        <v/>
      </c>
      <c r="M5464" s="9"/>
      <c r="N5464" s="9"/>
      <c r="P5464" s="14"/>
      <c r="Q5464" s="85"/>
      <c r="R5464" s="89"/>
      <c r="U5464" s="11" t="str">
        <f t="shared" si="405"/>
        <v/>
      </c>
      <c r="V5464" s="37"/>
      <c r="Z5464" s="15"/>
    </row>
    <row r="5465" spans="1:26" x14ac:dyDescent="0.25">
      <c r="A5465" s="15" t="str">
        <f>IF(C5465="","",COUNTA($C$3:C5465))</f>
        <v/>
      </c>
      <c r="B5465" s="15" t="str">
        <f t="shared" si="406"/>
        <v/>
      </c>
      <c r="M5465" s="9"/>
      <c r="N5465" s="9"/>
      <c r="P5465" s="14"/>
      <c r="Q5465" s="85"/>
      <c r="R5465" s="89"/>
      <c r="U5465" s="11" t="str">
        <f t="shared" si="405"/>
        <v/>
      </c>
      <c r="V5465" s="37"/>
      <c r="Z5465" s="15"/>
    </row>
    <row r="5466" spans="1:26" x14ac:dyDescent="0.25">
      <c r="A5466" s="15" t="str">
        <f>IF(C5466="","",COUNTA($C$3:C5466))</f>
        <v/>
      </c>
      <c r="B5466" s="15" t="str">
        <f t="shared" si="406"/>
        <v/>
      </c>
      <c r="M5466" s="9"/>
      <c r="N5466" s="9"/>
      <c r="P5466" s="14"/>
      <c r="Q5466" s="85"/>
      <c r="R5466" s="89"/>
      <c r="U5466" s="11" t="str">
        <f t="shared" si="405"/>
        <v/>
      </c>
      <c r="V5466" s="37"/>
      <c r="Z5466" s="15"/>
    </row>
    <row r="5467" spans="1:26" x14ac:dyDescent="0.25">
      <c r="A5467" s="15" t="str">
        <f>IF(C5467="","",COUNTA($C$3:C5467))</f>
        <v/>
      </c>
      <c r="B5467" s="15" t="str">
        <f t="shared" si="406"/>
        <v/>
      </c>
      <c r="M5467" s="9"/>
      <c r="N5467" s="9"/>
      <c r="P5467" s="14"/>
      <c r="Q5467" s="85"/>
      <c r="R5467" s="89"/>
      <c r="U5467" s="11" t="str">
        <f t="shared" si="405"/>
        <v/>
      </c>
      <c r="V5467" s="37"/>
      <c r="Z5467" s="15"/>
    </row>
    <row r="5468" spans="1:26" x14ac:dyDescent="0.25">
      <c r="A5468" s="15" t="str">
        <f>IF(C5468="","",COUNTA($C$3:C5468))</f>
        <v/>
      </c>
      <c r="B5468" s="15" t="str">
        <f t="shared" si="406"/>
        <v/>
      </c>
      <c r="M5468" s="9"/>
      <c r="N5468" s="9"/>
      <c r="P5468" s="14"/>
      <c r="Q5468" s="85"/>
      <c r="R5468" s="89"/>
      <c r="U5468" s="11" t="str">
        <f t="shared" si="405"/>
        <v/>
      </c>
      <c r="V5468" s="37"/>
      <c r="Z5468" s="15"/>
    </row>
    <row r="5469" spans="1:26" x14ac:dyDescent="0.25">
      <c r="A5469" s="15" t="str">
        <f>IF(C5469="","",COUNTA($C$3:C5469))</f>
        <v/>
      </c>
      <c r="B5469" s="15" t="str">
        <f t="shared" si="406"/>
        <v/>
      </c>
      <c r="M5469" s="9"/>
      <c r="N5469" s="9"/>
      <c r="P5469" s="14"/>
      <c r="Q5469" s="85"/>
      <c r="R5469" s="89"/>
      <c r="U5469" s="11" t="str">
        <f t="shared" si="405"/>
        <v/>
      </c>
      <c r="V5469" s="37"/>
      <c r="Z5469" s="15"/>
    </row>
    <row r="5470" spans="1:26" x14ac:dyDescent="0.25">
      <c r="A5470" s="15" t="str">
        <f>IF(C5470="","",COUNTA($C$3:C5470))</f>
        <v/>
      </c>
      <c r="B5470" s="15" t="str">
        <f t="shared" si="406"/>
        <v/>
      </c>
      <c r="M5470" s="9"/>
      <c r="N5470" s="9"/>
      <c r="P5470" s="14"/>
      <c r="Q5470" s="85"/>
      <c r="R5470" s="89"/>
      <c r="U5470" s="11" t="str">
        <f t="shared" si="405"/>
        <v/>
      </c>
      <c r="V5470" s="37"/>
      <c r="Z5470" s="15"/>
    </row>
    <row r="5471" spans="1:26" x14ac:dyDescent="0.25">
      <c r="A5471" s="15" t="str">
        <f>IF(C5471="","",COUNTA($C$3:C5471))</f>
        <v/>
      </c>
      <c r="B5471" s="15" t="str">
        <f t="shared" si="406"/>
        <v/>
      </c>
      <c r="M5471" s="9"/>
      <c r="N5471" s="9"/>
      <c r="P5471" s="14"/>
      <c r="Q5471" s="85"/>
      <c r="R5471" s="89"/>
      <c r="U5471" s="11" t="str">
        <f t="shared" si="405"/>
        <v/>
      </c>
      <c r="V5471" s="37"/>
      <c r="Z5471" s="15"/>
    </row>
    <row r="5472" spans="1:26" x14ac:dyDescent="0.25">
      <c r="A5472" s="15" t="str">
        <f>IF(C5472="","",COUNTA($C$3:C5472))</f>
        <v/>
      </c>
      <c r="B5472" s="15" t="str">
        <f t="shared" si="406"/>
        <v/>
      </c>
      <c r="M5472" s="9"/>
      <c r="N5472" s="9"/>
      <c r="P5472" s="14"/>
      <c r="Q5472" s="85"/>
      <c r="R5472" s="89"/>
      <c r="U5472" s="11" t="str">
        <f t="shared" si="405"/>
        <v/>
      </c>
      <c r="V5472" s="37"/>
      <c r="Z5472" s="15"/>
    </row>
    <row r="5473" spans="1:26" x14ac:dyDescent="0.25">
      <c r="A5473" s="15" t="str">
        <f>IF(C5473="","",COUNTA($C$3:C5473))</f>
        <v/>
      </c>
      <c r="B5473" s="15" t="str">
        <f t="shared" si="406"/>
        <v/>
      </c>
      <c r="M5473" s="9"/>
      <c r="N5473" s="9"/>
      <c r="P5473" s="14"/>
      <c r="Q5473" s="85"/>
      <c r="R5473" s="89"/>
      <c r="U5473" s="11" t="str">
        <f t="shared" si="405"/>
        <v/>
      </c>
      <c r="V5473" s="37"/>
      <c r="Z5473" s="15"/>
    </row>
    <row r="5474" spans="1:26" x14ac:dyDescent="0.25">
      <c r="A5474" s="15" t="str">
        <f>IF(C5474="","",COUNTA($C$3:C5474))</f>
        <v/>
      </c>
      <c r="B5474" s="15" t="str">
        <f t="shared" si="406"/>
        <v/>
      </c>
      <c r="M5474" s="9"/>
      <c r="N5474" s="9"/>
      <c r="P5474" s="14"/>
      <c r="Q5474" s="85"/>
      <c r="R5474" s="89"/>
      <c r="U5474" s="11" t="str">
        <f t="shared" si="405"/>
        <v/>
      </c>
      <c r="V5474" s="37"/>
      <c r="Z5474" s="15"/>
    </row>
    <row r="5475" spans="1:26" x14ac:dyDescent="0.25">
      <c r="A5475" s="15" t="str">
        <f>IF(C5475="","",COUNTA($C$3:C5475))</f>
        <v/>
      </c>
      <c r="B5475" s="15" t="str">
        <f t="shared" si="406"/>
        <v/>
      </c>
      <c r="M5475" s="9"/>
      <c r="N5475" s="9"/>
      <c r="P5475" s="14"/>
      <c r="Q5475" s="85"/>
      <c r="R5475" s="89"/>
      <c r="U5475" s="11" t="str">
        <f t="shared" si="405"/>
        <v/>
      </c>
      <c r="V5475" s="37"/>
      <c r="Z5475" s="15"/>
    </row>
    <row r="5476" spans="1:26" x14ac:dyDescent="0.25">
      <c r="A5476" s="15" t="str">
        <f>IF(C5476="","",COUNTA($C$3:C5476))</f>
        <v/>
      </c>
      <c r="B5476" s="15" t="str">
        <f t="shared" si="406"/>
        <v/>
      </c>
      <c r="M5476" s="9"/>
      <c r="N5476" s="9"/>
      <c r="P5476" s="14"/>
      <c r="Q5476" s="85"/>
      <c r="R5476" s="89"/>
      <c r="U5476" s="11" t="str">
        <f t="shared" si="405"/>
        <v/>
      </c>
      <c r="V5476" s="37"/>
      <c r="Z5476" s="15"/>
    </row>
    <row r="5477" spans="1:26" x14ac:dyDescent="0.25">
      <c r="A5477" s="15" t="str">
        <f>IF(C5477="","",COUNTA($C$3:C5477))</f>
        <v/>
      </c>
      <c r="B5477" s="15" t="str">
        <f t="shared" si="406"/>
        <v/>
      </c>
      <c r="M5477" s="9"/>
      <c r="N5477" s="9"/>
      <c r="P5477" s="14"/>
      <c r="Q5477" s="85"/>
      <c r="R5477" s="89"/>
      <c r="U5477" s="11" t="str">
        <f t="shared" si="405"/>
        <v/>
      </c>
      <c r="V5477" s="37"/>
      <c r="Z5477" s="15"/>
    </row>
    <row r="5478" spans="1:26" x14ac:dyDescent="0.25">
      <c r="A5478" s="15" t="str">
        <f>IF(C5478="","",COUNTA($C$3:C5478))</f>
        <v/>
      </c>
      <c r="B5478" s="15" t="str">
        <f t="shared" si="406"/>
        <v/>
      </c>
      <c r="M5478" s="9"/>
      <c r="N5478" s="9"/>
      <c r="P5478" s="14"/>
      <c r="Q5478" s="85"/>
      <c r="R5478" s="89"/>
      <c r="U5478" s="11" t="str">
        <f t="shared" si="405"/>
        <v/>
      </c>
      <c r="V5478" s="37"/>
      <c r="Z5478" s="15"/>
    </row>
    <row r="5479" spans="1:26" x14ac:dyDescent="0.25">
      <c r="A5479" s="15" t="str">
        <f>IF(C5479="","",COUNTA($C$3:C5479))</f>
        <v/>
      </c>
      <c r="B5479" s="15" t="str">
        <f t="shared" si="406"/>
        <v/>
      </c>
      <c r="M5479" s="9"/>
      <c r="N5479" s="9"/>
      <c r="P5479" s="14"/>
      <c r="Q5479" s="85"/>
      <c r="R5479" s="89"/>
      <c r="U5479" s="11" t="str">
        <f t="shared" si="405"/>
        <v/>
      </c>
      <c r="V5479" s="37"/>
      <c r="Z5479" s="15"/>
    </row>
    <row r="5480" spans="1:26" x14ac:dyDescent="0.25">
      <c r="A5480" s="15" t="str">
        <f>IF(C5480="","",COUNTA($C$3:C5480))</f>
        <v/>
      </c>
      <c r="B5480" s="15" t="str">
        <f t="shared" si="406"/>
        <v/>
      </c>
      <c r="M5480" s="9"/>
      <c r="N5480" s="9"/>
      <c r="P5480" s="14"/>
      <c r="Q5480" s="85"/>
      <c r="R5480" s="89"/>
      <c r="U5480" s="11" t="str">
        <f t="shared" si="405"/>
        <v/>
      </c>
      <c r="V5480" s="37"/>
      <c r="Z5480" s="15"/>
    </row>
    <row r="5481" spans="1:26" x14ac:dyDescent="0.25">
      <c r="A5481" s="15" t="str">
        <f>IF(C5481="","",COUNTA($C$3:C5481))</f>
        <v/>
      </c>
      <c r="B5481" s="15" t="str">
        <f t="shared" si="406"/>
        <v/>
      </c>
      <c r="M5481" s="9"/>
      <c r="N5481" s="9"/>
      <c r="P5481" s="14"/>
      <c r="Q5481" s="85"/>
      <c r="R5481" s="89"/>
      <c r="U5481" s="11" t="str">
        <f t="shared" si="405"/>
        <v/>
      </c>
      <c r="V5481" s="37"/>
      <c r="Z5481" s="15"/>
    </row>
    <row r="5482" spans="1:26" x14ac:dyDescent="0.25">
      <c r="A5482" s="15" t="str">
        <f>IF(C5482="","",COUNTA($C$3:C5482))</f>
        <v/>
      </c>
      <c r="B5482" s="15" t="str">
        <f t="shared" si="406"/>
        <v/>
      </c>
      <c r="M5482" s="9"/>
      <c r="N5482" s="9"/>
      <c r="P5482" s="14"/>
      <c r="Q5482" s="85"/>
      <c r="R5482" s="89"/>
      <c r="U5482" s="11" t="str">
        <f t="shared" si="405"/>
        <v/>
      </c>
      <c r="V5482" s="37"/>
      <c r="Z5482" s="15"/>
    </row>
    <row r="5483" spans="1:26" x14ac:dyDescent="0.25">
      <c r="A5483" s="15" t="str">
        <f>IF(C5483="","",COUNTA($C$3:C5483))</f>
        <v/>
      </c>
      <c r="B5483" s="15" t="str">
        <f t="shared" si="406"/>
        <v/>
      </c>
      <c r="M5483" s="9"/>
      <c r="N5483" s="9"/>
      <c r="P5483" s="14"/>
      <c r="Q5483" s="85"/>
      <c r="R5483" s="89"/>
      <c r="U5483" s="11" t="str">
        <f t="shared" si="405"/>
        <v/>
      </c>
      <c r="V5483" s="37"/>
      <c r="Z5483" s="15"/>
    </row>
    <row r="5484" spans="1:26" x14ac:dyDescent="0.25">
      <c r="A5484" s="15" t="str">
        <f>IF(C5484="","",COUNTA($C$3:C5484))</f>
        <v/>
      </c>
      <c r="B5484" s="15" t="str">
        <f t="shared" si="406"/>
        <v/>
      </c>
      <c r="M5484" s="9"/>
      <c r="N5484" s="9"/>
      <c r="P5484" s="14"/>
      <c r="Q5484" s="85"/>
      <c r="R5484" s="89"/>
      <c r="U5484" s="11" t="str">
        <f t="shared" si="405"/>
        <v/>
      </c>
      <c r="V5484" s="37"/>
      <c r="Z5484" s="15"/>
    </row>
    <row r="5485" spans="1:26" x14ac:dyDescent="0.25">
      <c r="A5485" s="15" t="str">
        <f>IF(C5485="","",COUNTA($C$3:C5485))</f>
        <v/>
      </c>
      <c r="B5485" s="15" t="str">
        <f t="shared" si="406"/>
        <v/>
      </c>
      <c r="M5485" s="9"/>
      <c r="N5485" s="9"/>
      <c r="P5485" s="14"/>
      <c r="Q5485" s="85"/>
      <c r="R5485" s="89"/>
      <c r="U5485" s="11" t="str">
        <f t="shared" si="405"/>
        <v/>
      </c>
      <c r="V5485" s="37"/>
      <c r="Z5485" s="15"/>
    </row>
    <row r="5486" spans="1:26" x14ac:dyDescent="0.25">
      <c r="A5486" s="15" t="str">
        <f>IF(C5486="","",COUNTA($C$3:C5486))</f>
        <v/>
      </c>
      <c r="B5486" s="15" t="str">
        <f t="shared" si="406"/>
        <v/>
      </c>
      <c r="M5486" s="9"/>
      <c r="N5486" s="9"/>
      <c r="P5486" s="14"/>
      <c r="Q5486" s="85"/>
      <c r="R5486" s="89"/>
      <c r="U5486" s="11" t="str">
        <f t="shared" si="405"/>
        <v/>
      </c>
      <c r="V5486" s="37"/>
      <c r="Z5486" s="15"/>
    </row>
    <row r="5487" spans="1:26" x14ac:dyDescent="0.25">
      <c r="A5487" s="15" t="str">
        <f>IF(C5487="","",COUNTA($C$3:C5487))</f>
        <v/>
      </c>
      <c r="B5487" s="15" t="str">
        <f t="shared" si="406"/>
        <v/>
      </c>
      <c r="M5487" s="9"/>
      <c r="N5487" s="9"/>
      <c r="P5487" s="14"/>
      <c r="Q5487" s="85"/>
      <c r="R5487" s="89"/>
      <c r="U5487" s="11" t="str">
        <f t="shared" si="405"/>
        <v/>
      </c>
      <c r="V5487" s="37"/>
      <c r="Z5487" s="15"/>
    </row>
    <row r="5488" spans="1:26" x14ac:dyDescent="0.25">
      <c r="A5488" s="15" t="str">
        <f>IF(C5488="","",COUNTA($C$3:C5488))</f>
        <v/>
      </c>
      <c r="B5488" s="15" t="str">
        <f t="shared" si="406"/>
        <v/>
      </c>
      <c r="M5488" s="9"/>
      <c r="N5488" s="9"/>
      <c r="P5488" s="14"/>
      <c r="Q5488" s="85"/>
      <c r="R5488" s="89"/>
      <c r="U5488" s="11" t="str">
        <f t="shared" si="405"/>
        <v/>
      </c>
      <c r="V5488" s="37"/>
      <c r="Z5488" s="15"/>
    </row>
    <row r="5489" spans="1:26" x14ac:dyDescent="0.25">
      <c r="A5489" s="15" t="str">
        <f>IF(C5489="","",COUNTA($C$3:C5489))</f>
        <v/>
      </c>
      <c r="B5489" s="15" t="str">
        <f t="shared" si="406"/>
        <v/>
      </c>
      <c r="M5489" s="9"/>
      <c r="N5489" s="9"/>
      <c r="P5489" s="14"/>
      <c r="Q5489" s="85"/>
      <c r="R5489" s="89"/>
      <c r="U5489" s="11" t="str">
        <f t="shared" si="405"/>
        <v/>
      </c>
      <c r="V5489" s="37"/>
      <c r="Z5489" s="15"/>
    </row>
    <row r="5490" spans="1:26" x14ac:dyDescent="0.25">
      <c r="A5490" s="15" t="str">
        <f>IF(C5490="","",COUNTA($C$3:C5490))</f>
        <v/>
      </c>
      <c r="B5490" s="15" t="str">
        <f t="shared" si="406"/>
        <v/>
      </c>
      <c r="M5490" s="9"/>
      <c r="N5490" s="9"/>
      <c r="P5490" s="14"/>
      <c r="Q5490" s="85"/>
      <c r="R5490" s="89"/>
      <c r="U5490" s="11" t="str">
        <f t="shared" si="405"/>
        <v/>
      </c>
      <c r="V5490" s="37"/>
      <c r="Z5490" s="15"/>
    </row>
    <row r="5491" spans="1:26" x14ac:dyDescent="0.25">
      <c r="A5491" s="15" t="str">
        <f>IF(C5491="","",COUNTA($C$3:C5491))</f>
        <v/>
      </c>
      <c r="B5491" s="15" t="str">
        <f t="shared" si="406"/>
        <v/>
      </c>
      <c r="M5491" s="9"/>
      <c r="N5491" s="9"/>
      <c r="P5491" s="14"/>
      <c r="Q5491" s="85"/>
      <c r="R5491" s="89"/>
      <c r="U5491" s="11" t="str">
        <f t="shared" si="405"/>
        <v/>
      </c>
      <c r="V5491" s="37"/>
      <c r="Z5491" s="15"/>
    </row>
    <row r="5492" spans="1:26" x14ac:dyDescent="0.25">
      <c r="A5492" s="15" t="str">
        <f>IF(C5492="","",COUNTA($C$3:C5492))</f>
        <v/>
      </c>
      <c r="B5492" s="15" t="str">
        <f t="shared" si="406"/>
        <v/>
      </c>
      <c r="M5492" s="9"/>
      <c r="N5492" s="9"/>
      <c r="P5492" s="14"/>
      <c r="Q5492" s="85"/>
      <c r="R5492" s="89"/>
      <c r="U5492" s="11" t="str">
        <f t="shared" si="405"/>
        <v/>
      </c>
      <c r="V5492" s="37"/>
      <c r="Z5492" s="15"/>
    </row>
    <row r="5493" spans="1:26" x14ac:dyDescent="0.25">
      <c r="A5493" s="15" t="str">
        <f>IF(C5493="","",COUNTA($C$3:C5493))</f>
        <v/>
      </c>
      <c r="B5493" s="15" t="str">
        <f t="shared" si="406"/>
        <v/>
      </c>
      <c r="M5493" s="9"/>
      <c r="N5493" s="9"/>
      <c r="P5493" s="14"/>
      <c r="Q5493" s="85"/>
      <c r="R5493" s="89"/>
      <c r="U5493" s="11" t="str">
        <f t="shared" si="405"/>
        <v/>
      </c>
      <c r="V5493" s="37"/>
      <c r="Z5493" s="15"/>
    </row>
    <row r="5494" spans="1:26" x14ac:dyDescent="0.25">
      <c r="A5494" s="15" t="str">
        <f>IF(C5494="","",COUNTA($C$3:C5494))</f>
        <v/>
      </c>
      <c r="B5494" s="15" t="str">
        <f t="shared" si="406"/>
        <v/>
      </c>
      <c r="M5494" s="9"/>
      <c r="N5494" s="9"/>
      <c r="P5494" s="14"/>
      <c r="Q5494" s="85"/>
      <c r="R5494" s="89"/>
      <c r="U5494" s="11" t="str">
        <f t="shared" si="405"/>
        <v/>
      </c>
      <c r="V5494" s="37"/>
      <c r="Z5494" s="15"/>
    </row>
    <row r="5495" spans="1:26" x14ac:dyDescent="0.25">
      <c r="A5495" s="15" t="str">
        <f>IF(C5495="","",COUNTA($C$3:C5495))</f>
        <v/>
      </c>
      <c r="B5495" s="15" t="str">
        <f t="shared" si="406"/>
        <v/>
      </c>
      <c r="M5495" s="9"/>
      <c r="N5495" s="9"/>
      <c r="P5495" s="14"/>
      <c r="Q5495" s="85"/>
      <c r="R5495" s="89"/>
      <c r="U5495" s="11" t="str">
        <f t="shared" si="405"/>
        <v/>
      </c>
      <c r="V5495" s="37"/>
      <c r="Z5495" s="15"/>
    </row>
    <row r="5496" spans="1:26" x14ac:dyDescent="0.25">
      <c r="A5496" s="15" t="str">
        <f>IF(C5496="","",COUNTA($C$3:C5496))</f>
        <v/>
      </c>
      <c r="B5496" s="15" t="str">
        <f t="shared" si="406"/>
        <v/>
      </c>
      <c r="M5496" s="9"/>
      <c r="N5496" s="9"/>
      <c r="P5496" s="14"/>
      <c r="Q5496" s="85"/>
      <c r="R5496" s="89"/>
      <c r="U5496" s="11" t="str">
        <f t="shared" si="405"/>
        <v/>
      </c>
      <c r="V5496" s="37"/>
      <c r="Z5496" s="15"/>
    </row>
    <row r="5497" spans="1:26" x14ac:dyDescent="0.25">
      <c r="A5497" s="15" t="str">
        <f>IF(C5497="","",COUNTA($C$3:C5497))</f>
        <v/>
      </c>
      <c r="B5497" s="15" t="str">
        <f t="shared" si="406"/>
        <v/>
      </c>
      <c r="M5497" s="9"/>
      <c r="N5497" s="9"/>
      <c r="P5497" s="14"/>
      <c r="Q5497" s="85"/>
      <c r="R5497" s="89"/>
      <c r="U5497" s="11" t="str">
        <f t="shared" si="405"/>
        <v/>
      </c>
      <c r="V5497" s="37"/>
      <c r="Z5497" s="15"/>
    </row>
    <row r="5498" spans="1:26" x14ac:dyDescent="0.25">
      <c r="A5498" s="15" t="str">
        <f>IF(C5498="","",COUNTA($C$3:C5498))</f>
        <v/>
      </c>
      <c r="B5498" s="15" t="str">
        <f t="shared" si="406"/>
        <v/>
      </c>
      <c r="M5498" s="9"/>
      <c r="N5498" s="9"/>
      <c r="P5498" s="14"/>
      <c r="Q5498" s="85"/>
      <c r="R5498" s="89"/>
      <c r="U5498" s="11" t="str">
        <f t="shared" si="405"/>
        <v/>
      </c>
      <c r="V5498" s="37"/>
      <c r="Z5498" s="15"/>
    </row>
    <row r="5499" spans="1:26" x14ac:dyDescent="0.25">
      <c r="A5499" s="15" t="str">
        <f>IF(C5499="","",COUNTA($C$3:C5499))</f>
        <v/>
      </c>
      <c r="B5499" s="15" t="str">
        <f t="shared" si="406"/>
        <v/>
      </c>
      <c r="M5499" s="9"/>
      <c r="N5499" s="9"/>
      <c r="P5499" s="14"/>
      <c r="Q5499" s="85"/>
      <c r="R5499" s="89"/>
      <c r="U5499" s="11" t="str">
        <f t="shared" si="405"/>
        <v/>
      </c>
      <c r="V5499" s="37"/>
      <c r="Z5499" s="15"/>
    </row>
    <row r="5500" spans="1:26" x14ac:dyDescent="0.25">
      <c r="A5500" s="15" t="str">
        <f>IF(C5500="","",COUNTA($C$3:C5500))</f>
        <v/>
      </c>
      <c r="B5500" s="15" t="str">
        <f t="shared" si="406"/>
        <v/>
      </c>
      <c r="M5500" s="9"/>
      <c r="N5500" s="9"/>
      <c r="P5500" s="14"/>
      <c r="Q5500" s="85"/>
      <c r="R5500" s="89"/>
      <c r="U5500" s="11" t="str">
        <f t="shared" si="405"/>
        <v/>
      </c>
      <c r="V5500" s="37"/>
      <c r="Z5500" s="15"/>
    </row>
    <row r="5501" spans="1:26" x14ac:dyDescent="0.25">
      <c r="A5501" s="15" t="str">
        <f>IF(C5501="","",COUNTA($C$3:C5501))</f>
        <v/>
      </c>
      <c r="B5501" s="15" t="str">
        <f t="shared" si="406"/>
        <v/>
      </c>
      <c r="M5501" s="9"/>
      <c r="N5501" s="9"/>
      <c r="P5501" s="14"/>
      <c r="Q5501" s="85"/>
      <c r="R5501" s="89"/>
      <c r="U5501" s="11" t="str">
        <f t="shared" si="405"/>
        <v/>
      </c>
      <c r="V5501" s="37"/>
      <c r="Z5501" s="15"/>
    </row>
    <row r="5502" spans="1:26" x14ac:dyDescent="0.25">
      <c r="A5502" s="15" t="str">
        <f>IF(C5502="","",COUNTA($C$3:C5502))</f>
        <v/>
      </c>
      <c r="B5502" s="15" t="str">
        <f t="shared" si="406"/>
        <v/>
      </c>
      <c r="M5502" s="9"/>
      <c r="N5502" s="9"/>
      <c r="P5502" s="14"/>
      <c r="Q5502" s="85"/>
      <c r="R5502" s="89"/>
      <c r="U5502" s="11" t="str">
        <f t="shared" si="405"/>
        <v/>
      </c>
      <c r="V5502" s="37"/>
      <c r="Z5502" s="15"/>
    </row>
    <row r="5503" spans="1:26" x14ac:dyDescent="0.25">
      <c r="A5503" s="15" t="str">
        <f>IF(C5503="","",COUNTA($C$3:C5503))</f>
        <v/>
      </c>
      <c r="B5503" s="15" t="str">
        <f t="shared" si="406"/>
        <v/>
      </c>
      <c r="M5503" s="9"/>
      <c r="N5503" s="9"/>
      <c r="P5503" s="14"/>
      <c r="Q5503" s="85"/>
      <c r="R5503" s="89"/>
      <c r="U5503" s="11" t="str">
        <f t="shared" si="405"/>
        <v/>
      </c>
      <c r="V5503" s="37"/>
      <c r="Z5503" s="15"/>
    </row>
    <row r="5504" spans="1:26" x14ac:dyDescent="0.25">
      <c r="A5504" s="15" t="str">
        <f>IF(C5504="","",COUNTA($C$3:C5504))</f>
        <v/>
      </c>
      <c r="B5504" s="15" t="str">
        <f t="shared" si="406"/>
        <v/>
      </c>
      <c r="M5504" s="9"/>
      <c r="N5504" s="9"/>
      <c r="P5504" s="14"/>
      <c r="Q5504" s="85"/>
      <c r="R5504" s="89"/>
      <c r="U5504" s="11" t="str">
        <f t="shared" si="405"/>
        <v/>
      </c>
      <c r="V5504" s="37"/>
      <c r="Z5504" s="15"/>
    </row>
    <row r="5505" spans="1:26" x14ac:dyDescent="0.25">
      <c r="A5505" s="15" t="str">
        <f>IF(C5505="","",COUNTA($C$3:C5505))</f>
        <v/>
      </c>
      <c r="B5505" s="15" t="str">
        <f t="shared" si="406"/>
        <v/>
      </c>
      <c r="M5505" s="9"/>
      <c r="N5505" s="9"/>
      <c r="P5505" s="14"/>
      <c r="Q5505" s="85"/>
      <c r="R5505" s="89"/>
      <c r="U5505" s="11" t="str">
        <f t="shared" si="405"/>
        <v/>
      </c>
      <c r="V5505" s="37"/>
      <c r="Z5505" s="15"/>
    </row>
    <row r="5506" spans="1:26" x14ac:dyDescent="0.25">
      <c r="A5506" s="15" t="str">
        <f>IF(C5506="","",COUNTA($C$3:C5506))</f>
        <v/>
      </c>
      <c r="B5506" s="15" t="str">
        <f t="shared" si="406"/>
        <v/>
      </c>
      <c r="M5506" s="9"/>
      <c r="N5506" s="9"/>
      <c r="P5506" s="14"/>
      <c r="Q5506" s="85"/>
      <c r="R5506" s="89"/>
      <c r="U5506" s="11" t="str">
        <f t="shared" ref="U5506:U5569" si="407">IF(S5506="","",(S5506-T5506))</f>
        <v/>
      </c>
      <c r="V5506" s="37"/>
      <c r="Z5506" s="15"/>
    </row>
    <row r="5507" spans="1:26" x14ac:dyDescent="0.25">
      <c r="A5507" s="15" t="str">
        <f>IF(C5507="","",COUNTA($C$3:C5507))</f>
        <v/>
      </c>
      <c r="B5507" s="15" t="str">
        <f t="shared" ref="B5507:B5570" si="408">IF(C5507="","",TEXT(C5507,"mmmm"))</f>
        <v/>
      </c>
      <c r="M5507" s="9"/>
      <c r="N5507" s="9"/>
      <c r="P5507" s="14"/>
      <c r="Q5507" s="85"/>
      <c r="R5507" s="89"/>
      <c r="U5507" s="11" t="str">
        <f t="shared" si="407"/>
        <v/>
      </c>
      <c r="V5507" s="37"/>
      <c r="Z5507" s="15"/>
    </row>
    <row r="5508" spans="1:26" x14ac:dyDescent="0.25">
      <c r="A5508" s="15" t="str">
        <f>IF(C5508="","",COUNTA($C$3:C5508))</f>
        <v/>
      </c>
      <c r="B5508" s="15" t="str">
        <f t="shared" si="408"/>
        <v/>
      </c>
      <c r="M5508" s="9"/>
      <c r="N5508" s="9"/>
      <c r="P5508" s="14"/>
      <c r="Q5508" s="85"/>
      <c r="R5508" s="89"/>
      <c r="U5508" s="11" t="str">
        <f t="shared" si="407"/>
        <v/>
      </c>
      <c r="V5508" s="37"/>
      <c r="Z5508" s="15"/>
    </row>
    <row r="5509" spans="1:26" x14ac:dyDescent="0.25">
      <c r="A5509" s="15" t="str">
        <f>IF(C5509="","",COUNTA($C$3:C5509))</f>
        <v/>
      </c>
      <c r="B5509" s="15" t="str">
        <f t="shared" si="408"/>
        <v/>
      </c>
      <c r="M5509" s="9"/>
      <c r="N5509" s="9"/>
      <c r="P5509" s="14"/>
      <c r="Q5509" s="85"/>
      <c r="R5509" s="89"/>
      <c r="U5509" s="11" t="str">
        <f t="shared" si="407"/>
        <v/>
      </c>
      <c r="V5509" s="37"/>
      <c r="Z5509" s="15"/>
    </row>
    <row r="5510" spans="1:26" x14ac:dyDescent="0.25">
      <c r="A5510" s="15" t="str">
        <f>IF(C5510="","",COUNTA($C$3:C5510))</f>
        <v/>
      </c>
      <c r="B5510" s="15" t="str">
        <f t="shared" si="408"/>
        <v/>
      </c>
      <c r="M5510" s="9"/>
      <c r="N5510" s="9"/>
      <c r="P5510" s="14"/>
      <c r="Q5510" s="85"/>
      <c r="R5510" s="89"/>
      <c r="U5510" s="11" t="str">
        <f t="shared" si="407"/>
        <v/>
      </c>
      <c r="V5510" s="37"/>
      <c r="Z5510" s="15"/>
    </row>
    <row r="5511" spans="1:26" x14ac:dyDescent="0.25">
      <c r="A5511" s="15" t="str">
        <f>IF(C5511="","",COUNTA($C$3:C5511))</f>
        <v/>
      </c>
      <c r="B5511" s="15" t="str">
        <f t="shared" si="408"/>
        <v/>
      </c>
      <c r="M5511" s="9"/>
      <c r="N5511" s="9"/>
      <c r="P5511" s="14"/>
      <c r="Q5511" s="85"/>
      <c r="R5511" s="89"/>
      <c r="U5511" s="11" t="str">
        <f t="shared" si="407"/>
        <v/>
      </c>
      <c r="V5511" s="37"/>
      <c r="Z5511" s="15"/>
    </row>
    <row r="5512" spans="1:26" x14ac:dyDescent="0.25">
      <c r="A5512" s="15" t="str">
        <f>IF(C5512="","",COUNTA($C$3:C5512))</f>
        <v/>
      </c>
      <c r="B5512" s="15" t="str">
        <f t="shared" si="408"/>
        <v/>
      </c>
      <c r="M5512" s="9"/>
      <c r="N5512" s="9"/>
      <c r="P5512" s="14"/>
      <c r="Q5512" s="85"/>
      <c r="R5512" s="89"/>
      <c r="U5512" s="11" t="str">
        <f t="shared" si="407"/>
        <v/>
      </c>
      <c r="V5512" s="37"/>
      <c r="Z5512" s="15"/>
    </row>
    <row r="5513" spans="1:26" x14ac:dyDescent="0.25">
      <c r="A5513" s="15" t="str">
        <f>IF(C5513="","",COUNTA($C$3:C5513))</f>
        <v/>
      </c>
      <c r="B5513" s="15" t="str">
        <f t="shared" si="408"/>
        <v/>
      </c>
      <c r="M5513" s="9"/>
      <c r="N5513" s="9"/>
      <c r="P5513" s="14"/>
      <c r="Q5513" s="85"/>
      <c r="R5513" s="89"/>
      <c r="U5513" s="11" t="str">
        <f t="shared" si="407"/>
        <v/>
      </c>
      <c r="V5513" s="37"/>
      <c r="Z5513" s="15"/>
    </row>
    <row r="5514" spans="1:26" x14ac:dyDescent="0.25">
      <c r="A5514" s="15" t="str">
        <f>IF(C5514="","",COUNTA($C$3:C5514))</f>
        <v/>
      </c>
      <c r="B5514" s="15" t="str">
        <f t="shared" si="408"/>
        <v/>
      </c>
      <c r="M5514" s="9"/>
      <c r="N5514" s="9"/>
      <c r="P5514" s="14"/>
      <c r="Q5514" s="85"/>
      <c r="R5514" s="89"/>
      <c r="U5514" s="11" t="str">
        <f t="shared" si="407"/>
        <v/>
      </c>
      <c r="V5514" s="37"/>
      <c r="Z5514" s="15"/>
    </row>
    <row r="5515" spans="1:26" x14ac:dyDescent="0.25">
      <c r="A5515" s="15" t="str">
        <f>IF(C5515="","",COUNTA($C$3:C5515))</f>
        <v/>
      </c>
      <c r="B5515" s="15" t="str">
        <f t="shared" si="408"/>
        <v/>
      </c>
      <c r="M5515" s="9"/>
      <c r="N5515" s="9"/>
      <c r="P5515" s="14"/>
      <c r="Q5515" s="85"/>
      <c r="R5515" s="89"/>
      <c r="U5515" s="11" t="str">
        <f t="shared" si="407"/>
        <v/>
      </c>
      <c r="V5515" s="37"/>
      <c r="Z5515" s="15"/>
    </row>
    <row r="5516" spans="1:26" x14ac:dyDescent="0.25">
      <c r="A5516" s="15" t="str">
        <f>IF(C5516="","",COUNTA($C$3:C5516))</f>
        <v/>
      </c>
      <c r="B5516" s="15" t="str">
        <f t="shared" si="408"/>
        <v/>
      </c>
      <c r="M5516" s="9"/>
      <c r="N5516" s="9"/>
      <c r="P5516" s="14"/>
      <c r="Q5516" s="85"/>
      <c r="R5516" s="89"/>
      <c r="U5516" s="11" t="str">
        <f t="shared" si="407"/>
        <v/>
      </c>
      <c r="V5516" s="37"/>
      <c r="Z5516" s="15"/>
    </row>
    <row r="5517" spans="1:26" x14ac:dyDescent="0.25">
      <c r="A5517" s="15" t="str">
        <f>IF(C5517="","",COUNTA($C$3:C5517))</f>
        <v/>
      </c>
      <c r="B5517" s="15" t="str">
        <f t="shared" si="408"/>
        <v/>
      </c>
      <c r="M5517" s="9"/>
      <c r="N5517" s="9"/>
      <c r="P5517" s="14"/>
      <c r="Q5517" s="85"/>
      <c r="R5517" s="89"/>
      <c r="U5517" s="11" t="str">
        <f t="shared" si="407"/>
        <v/>
      </c>
      <c r="V5517" s="37"/>
      <c r="Z5517" s="15"/>
    </row>
    <row r="5518" spans="1:26" x14ac:dyDescent="0.25">
      <c r="A5518" s="15" t="str">
        <f>IF(C5518="","",COUNTA($C$3:C5518))</f>
        <v/>
      </c>
      <c r="B5518" s="15" t="str">
        <f t="shared" si="408"/>
        <v/>
      </c>
      <c r="M5518" s="9"/>
      <c r="N5518" s="9"/>
      <c r="P5518" s="14"/>
      <c r="Q5518" s="85"/>
      <c r="R5518" s="89"/>
      <c r="U5518" s="11" t="str">
        <f t="shared" si="407"/>
        <v/>
      </c>
      <c r="V5518" s="37"/>
      <c r="Z5518" s="15"/>
    </row>
    <row r="5519" spans="1:26" x14ac:dyDescent="0.25">
      <c r="A5519" s="15" t="str">
        <f>IF(C5519="","",COUNTA($C$3:C5519))</f>
        <v/>
      </c>
      <c r="B5519" s="15" t="str">
        <f t="shared" si="408"/>
        <v/>
      </c>
      <c r="M5519" s="9"/>
      <c r="N5519" s="9"/>
      <c r="P5519" s="14"/>
      <c r="Q5519" s="85"/>
      <c r="R5519" s="89"/>
      <c r="U5519" s="11" t="str">
        <f t="shared" si="407"/>
        <v/>
      </c>
      <c r="V5519" s="37"/>
      <c r="Z5519" s="15"/>
    </row>
    <row r="5520" spans="1:26" x14ac:dyDescent="0.25">
      <c r="A5520" s="15" t="str">
        <f>IF(C5520="","",COUNTA($C$3:C5520))</f>
        <v/>
      </c>
      <c r="B5520" s="15" t="str">
        <f t="shared" si="408"/>
        <v/>
      </c>
      <c r="M5520" s="9"/>
      <c r="N5520" s="9"/>
      <c r="P5520" s="14"/>
      <c r="Q5520" s="85"/>
      <c r="R5520" s="89"/>
      <c r="U5520" s="11" t="str">
        <f t="shared" si="407"/>
        <v/>
      </c>
      <c r="V5520" s="37"/>
      <c r="Z5520" s="15"/>
    </row>
    <row r="5521" spans="1:26" x14ac:dyDescent="0.25">
      <c r="A5521" s="15" t="str">
        <f>IF(C5521="","",COUNTA($C$3:C5521))</f>
        <v/>
      </c>
      <c r="B5521" s="15" t="str">
        <f t="shared" si="408"/>
        <v/>
      </c>
      <c r="M5521" s="9"/>
      <c r="N5521" s="9"/>
      <c r="P5521" s="14"/>
      <c r="Q5521" s="85"/>
      <c r="R5521" s="89"/>
      <c r="U5521" s="11" t="str">
        <f t="shared" si="407"/>
        <v/>
      </c>
      <c r="V5521" s="37"/>
      <c r="Z5521" s="15"/>
    </row>
    <row r="5522" spans="1:26" x14ac:dyDescent="0.25">
      <c r="A5522" s="15" t="str">
        <f>IF(C5522="","",COUNTA($C$3:C5522))</f>
        <v/>
      </c>
      <c r="B5522" s="15" t="str">
        <f t="shared" si="408"/>
        <v/>
      </c>
      <c r="M5522" s="9"/>
      <c r="N5522" s="9"/>
      <c r="P5522" s="14"/>
      <c r="Q5522" s="85"/>
      <c r="R5522" s="89"/>
      <c r="U5522" s="11" t="str">
        <f t="shared" si="407"/>
        <v/>
      </c>
      <c r="V5522" s="37"/>
      <c r="Z5522" s="15"/>
    </row>
    <row r="5523" spans="1:26" x14ac:dyDescent="0.25">
      <c r="A5523" s="15" t="str">
        <f>IF(C5523="","",COUNTA($C$3:C5523))</f>
        <v/>
      </c>
      <c r="B5523" s="15" t="str">
        <f t="shared" si="408"/>
        <v/>
      </c>
      <c r="M5523" s="9"/>
      <c r="N5523" s="9"/>
      <c r="P5523" s="14"/>
      <c r="Q5523" s="85"/>
      <c r="R5523" s="89"/>
      <c r="U5523" s="11" t="str">
        <f t="shared" si="407"/>
        <v/>
      </c>
      <c r="V5523" s="37"/>
      <c r="Z5523" s="15"/>
    </row>
    <row r="5524" spans="1:26" x14ac:dyDescent="0.25">
      <c r="A5524" s="15" t="str">
        <f>IF(C5524="","",COUNTA($C$3:C5524))</f>
        <v/>
      </c>
      <c r="B5524" s="15" t="str">
        <f t="shared" si="408"/>
        <v/>
      </c>
      <c r="M5524" s="9"/>
      <c r="N5524" s="9"/>
      <c r="P5524" s="14"/>
      <c r="Q5524" s="85"/>
      <c r="R5524" s="89"/>
      <c r="U5524" s="11" t="str">
        <f t="shared" si="407"/>
        <v/>
      </c>
      <c r="V5524" s="37"/>
      <c r="Z5524" s="15"/>
    </row>
    <row r="5525" spans="1:26" x14ac:dyDescent="0.25">
      <c r="A5525" s="15" t="str">
        <f>IF(C5525="","",COUNTA($C$3:C5525))</f>
        <v/>
      </c>
      <c r="B5525" s="15" t="str">
        <f t="shared" si="408"/>
        <v/>
      </c>
      <c r="M5525" s="9"/>
      <c r="N5525" s="9"/>
      <c r="P5525" s="14"/>
      <c r="Q5525" s="85"/>
      <c r="R5525" s="89"/>
      <c r="U5525" s="11" t="str">
        <f t="shared" si="407"/>
        <v/>
      </c>
      <c r="V5525" s="37"/>
      <c r="Z5525" s="15"/>
    </row>
    <row r="5526" spans="1:26" x14ac:dyDescent="0.25">
      <c r="A5526" s="15" t="str">
        <f>IF(C5526="","",COUNTA($C$3:C5526))</f>
        <v/>
      </c>
      <c r="B5526" s="15" t="str">
        <f t="shared" si="408"/>
        <v/>
      </c>
      <c r="M5526" s="9"/>
      <c r="N5526" s="9"/>
      <c r="P5526" s="14"/>
      <c r="Q5526" s="85"/>
      <c r="R5526" s="89"/>
      <c r="U5526" s="11" t="str">
        <f t="shared" si="407"/>
        <v/>
      </c>
      <c r="V5526" s="37"/>
      <c r="Z5526" s="15"/>
    </row>
    <row r="5527" spans="1:26" x14ac:dyDescent="0.25">
      <c r="A5527" s="15" t="str">
        <f>IF(C5527="","",COUNTA($C$3:C5527))</f>
        <v/>
      </c>
      <c r="B5527" s="15" t="str">
        <f t="shared" si="408"/>
        <v/>
      </c>
      <c r="M5527" s="9"/>
      <c r="N5527" s="9"/>
      <c r="P5527" s="14"/>
      <c r="Q5527" s="85"/>
      <c r="R5527" s="89"/>
      <c r="U5527" s="11" t="str">
        <f t="shared" si="407"/>
        <v/>
      </c>
      <c r="V5527" s="37"/>
      <c r="Z5527" s="15"/>
    </row>
    <row r="5528" spans="1:26" x14ac:dyDescent="0.25">
      <c r="A5528" s="15" t="str">
        <f>IF(C5528="","",COUNTA($C$3:C5528))</f>
        <v/>
      </c>
      <c r="B5528" s="15" t="str">
        <f t="shared" si="408"/>
        <v/>
      </c>
      <c r="M5528" s="9"/>
      <c r="N5528" s="9"/>
      <c r="P5528" s="14"/>
      <c r="Q5528" s="85"/>
      <c r="R5528" s="89"/>
      <c r="U5528" s="11" t="str">
        <f t="shared" si="407"/>
        <v/>
      </c>
      <c r="V5528" s="37"/>
      <c r="Z5528" s="15"/>
    </row>
    <row r="5529" spans="1:26" x14ac:dyDescent="0.25">
      <c r="A5529" s="15" t="str">
        <f>IF(C5529="","",COUNTA($C$3:C5529))</f>
        <v/>
      </c>
      <c r="B5529" s="15" t="str">
        <f t="shared" si="408"/>
        <v/>
      </c>
      <c r="M5529" s="9"/>
      <c r="N5529" s="9"/>
      <c r="P5529" s="14"/>
      <c r="Q5529" s="85"/>
      <c r="R5529" s="89"/>
      <c r="U5529" s="11" t="str">
        <f t="shared" si="407"/>
        <v/>
      </c>
      <c r="V5529" s="37"/>
      <c r="Z5529" s="15"/>
    </row>
    <row r="5530" spans="1:26" x14ac:dyDescent="0.25">
      <c r="A5530" s="15" t="str">
        <f>IF(C5530="","",COUNTA($C$3:C5530))</f>
        <v/>
      </c>
      <c r="B5530" s="15" t="str">
        <f t="shared" si="408"/>
        <v/>
      </c>
      <c r="M5530" s="9"/>
      <c r="N5530" s="9"/>
      <c r="P5530" s="14"/>
      <c r="Q5530" s="85"/>
      <c r="R5530" s="89"/>
      <c r="U5530" s="11" t="str">
        <f t="shared" si="407"/>
        <v/>
      </c>
      <c r="V5530" s="37"/>
      <c r="Z5530" s="15"/>
    </row>
    <row r="5531" spans="1:26" x14ac:dyDescent="0.25">
      <c r="A5531" s="15" t="str">
        <f>IF(C5531="","",COUNTA($C$3:C5531))</f>
        <v/>
      </c>
      <c r="B5531" s="15" t="str">
        <f t="shared" si="408"/>
        <v/>
      </c>
      <c r="M5531" s="9"/>
      <c r="N5531" s="9"/>
      <c r="P5531" s="14"/>
      <c r="Q5531" s="85"/>
      <c r="R5531" s="89"/>
      <c r="U5531" s="11" t="str">
        <f t="shared" si="407"/>
        <v/>
      </c>
      <c r="V5531" s="37"/>
      <c r="Z5531" s="15"/>
    </row>
    <row r="5532" spans="1:26" x14ac:dyDescent="0.25">
      <c r="A5532" s="15" t="str">
        <f>IF(C5532="","",COUNTA($C$3:C5532))</f>
        <v/>
      </c>
      <c r="B5532" s="15" t="str">
        <f t="shared" si="408"/>
        <v/>
      </c>
      <c r="M5532" s="9"/>
      <c r="N5532" s="9"/>
      <c r="P5532" s="14"/>
      <c r="Q5532" s="85"/>
      <c r="R5532" s="89"/>
      <c r="U5532" s="11" t="str">
        <f t="shared" si="407"/>
        <v/>
      </c>
      <c r="V5532" s="37"/>
      <c r="Z5532" s="15"/>
    </row>
    <row r="5533" spans="1:26" x14ac:dyDescent="0.25">
      <c r="A5533" s="15" t="str">
        <f>IF(C5533="","",COUNTA($C$3:C5533))</f>
        <v/>
      </c>
      <c r="B5533" s="15" t="str">
        <f t="shared" si="408"/>
        <v/>
      </c>
      <c r="M5533" s="9"/>
      <c r="N5533" s="9"/>
      <c r="P5533" s="14"/>
      <c r="Q5533" s="85"/>
      <c r="R5533" s="89"/>
      <c r="U5533" s="11" t="str">
        <f t="shared" si="407"/>
        <v/>
      </c>
      <c r="V5533" s="37"/>
      <c r="Z5533" s="15"/>
    </row>
    <row r="5534" spans="1:26" x14ac:dyDescent="0.25">
      <c r="A5534" s="15" t="str">
        <f>IF(C5534="","",COUNTA($C$3:C5534))</f>
        <v/>
      </c>
      <c r="B5534" s="15" t="str">
        <f t="shared" si="408"/>
        <v/>
      </c>
      <c r="M5534" s="9"/>
      <c r="N5534" s="9"/>
      <c r="P5534" s="14"/>
      <c r="Q5534" s="85"/>
      <c r="R5534" s="89"/>
      <c r="U5534" s="11" t="str">
        <f t="shared" si="407"/>
        <v/>
      </c>
      <c r="V5534" s="37"/>
      <c r="Z5534" s="15"/>
    </row>
    <row r="5535" spans="1:26" x14ac:dyDescent="0.25">
      <c r="A5535" s="15" t="str">
        <f>IF(C5535="","",COUNTA($C$3:C5535))</f>
        <v/>
      </c>
      <c r="B5535" s="15" t="str">
        <f t="shared" si="408"/>
        <v/>
      </c>
      <c r="M5535" s="9"/>
      <c r="N5535" s="9"/>
      <c r="P5535" s="14"/>
      <c r="Q5535" s="85"/>
      <c r="R5535" s="89"/>
      <c r="U5535" s="11" t="str">
        <f t="shared" si="407"/>
        <v/>
      </c>
      <c r="V5535" s="37"/>
      <c r="Z5535" s="15"/>
    </row>
    <row r="5536" spans="1:26" x14ac:dyDescent="0.25">
      <c r="A5536" s="15" t="str">
        <f>IF(C5536="","",COUNTA($C$3:C5536))</f>
        <v/>
      </c>
      <c r="B5536" s="15" t="str">
        <f t="shared" si="408"/>
        <v/>
      </c>
      <c r="M5536" s="9"/>
      <c r="N5536" s="9"/>
      <c r="P5536" s="14"/>
      <c r="Q5536" s="85"/>
      <c r="R5536" s="89"/>
      <c r="U5536" s="11" t="str">
        <f t="shared" si="407"/>
        <v/>
      </c>
      <c r="V5536" s="37"/>
      <c r="Z5536" s="15"/>
    </row>
    <row r="5537" spans="1:26" x14ac:dyDescent="0.25">
      <c r="A5537" s="15" t="str">
        <f>IF(C5537="","",COUNTA($C$3:C5537))</f>
        <v/>
      </c>
      <c r="B5537" s="15" t="str">
        <f t="shared" si="408"/>
        <v/>
      </c>
      <c r="M5537" s="9"/>
      <c r="N5537" s="9"/>
      <c r="P5537" s="14"/>
      <c r="Q5537" s="85"/>
      <c r="R5537" s="89"/>
      <c r="U5537" s="11" t="str">
        <f t="shared" si="407"/>
        <v/>
      </c>
      <c r="V5537" s="37"/>
      <c r="Z5537" s="15"/>
    </row>
    <row r="5538" spans="1:26" x14ac:dyDescent="0.25">
      <c r="A5538" s="15" t="str">
        <f>IF(C5538="","",COUNTA($C$3:C5538))</f>
        <v/>
      </c>
      <c r="B5538" s="15" t="str">
        <f t="shared" si="408"/>
        <v/>
      </c>
      <c r="M5538" s="9"/>
      <c r="N5538" s="9"/>
      <c r="P5538" s="14"/>
      <c r="Q5538" s="85"/>
      <c r="R5538" s="89"/>
      <c r="U5538" s="11" t="str">
        <f t="shared" si="407"/>
        <v/>
      </c>
      <c r="V5538" s="37"/>
      <c r="Z5538" s="15"/>
    </row>
    <row r="5539" spans="1:26" x14ac:dyDescent="0.25">
      <c r="A5539" s="15" t="str">
        <f>IF(C5539="","",COUNTA($C$3:C5539))</f>
        <v/>
      </c>
      <c r="B5539" s="15" t="str">
        <f t="shared" si="408"/>
        <v/>
      </c>
      <c r="M5539" s="9"/>
      <c r="N5539" s="9"/>
      <c r="P5539" s="14"/>
      <c r="Q5539" s="85"/>
      <c r="R5539" s="89"/>
      <c r="U5539" s="11" t="str">
        <f t="shared" si="407"/>
        <v/>
      </c>
      <c r="V5539" s="37"/>
      <c r="Z5539" s="15"/>
    </row>
    <row r="5540" spans="1:26" x14ac:dyDescent="0.25">
      <c r="A5540" s="15" t="str">
        <f>IF(C5540="","",COUNTA($C$3:C5540))</f>
        <v/>
      </c>
      <c r="B5540" s="15" t="str">
        <f t="shared" si="408"/>
        <v/>
      </c>
      <c r="M5540" s="9"/>
      <c r="N5540" s="9"/>
      <c r="P5540" s="14"/>
      <c r="Q5540" s="85"/>
      <c r="R5540" s="89"/>
      <c r="U5540" s="11" t="str">
        <f t="shared" si="407"/>
        <v/>
      </c>
      <c r="V5540" s="37"/>
      <c r="Z5540" s="15"/>
    </row>
    <row r="5541" spans="1:26" x14ac:dyDescent="0.25">
      <c r="A5541" s="15" t="str">
        <f>IF(C5541="","",COUNTA($C$3:C5541))</f>
        <v/>
      </c>
      <c r="B5541" s="15" t="str">
        <f t="shared" si="408"/>
        <v/>
      </c>
      <c r="M5541" s="9"/>
      <c r="N5541" s="9"/>
      <c r="P5541" s="14"/>
      <c r="Q5541" s="85"/>
      <c r="R5541" s="89"/>
      <c r="U5541" s="11" t="str">
        <f t="shared" si="407"/>
        <v/>
      </c>
      <c r="V5541" s="37"/>
      <c r="Z5541" s="15"/>
    </row>
    <row r="5542" spans="1:26" x14ac:dyDescent="0.25">
      <c r="A5542" s="15" t="str">
        <f>IF(C5542="","",COUNTA($C$3:C5542))</f>
        <v/>
      </c>
      <c r="B5542" s="15" t="str">
        <f t="shared" si="408"/>
        <v/>
      </c>
      <c r="M5542" s="9"/>
      <c r="N5542" s="9"/>
      <c r="P5542" s="14"/>
      <c r="Q5542" s="85"/>
      <c r="R5542" s="89"/>
      <c r="U5542" s="11" t="str">
        <f t="shared" si="407"/>
        <v/>
      </c>
      <c r="V5542" s="37"/>
      <c r="Z5542" s="15"/>
    </row>
    <row r="5543" spans="1:26" x14ac:dyDescent="0.25">
      <c r="A5543" s="15" t="str">
        <f>IF(C5543="","",COUNTA($C$3:C5543))</f>
        <v/>
      </c>
      <c r="B5543" s="15" t="str">
        <f t="shared" si="408"/>
        <v/>
      </c>
      <c r="M5543" s="9"/>
      <c r="N5543" s="9"/>
      <c r="P5543" s="14"/>
      <c r="Q5543" s="85"/>
      <c r="R5543" s="89"/>
      <c r="U5543" s="11" t="str">
        <f t="shared" si="407"/>
        <v/>
      </c>
      <c r="V5543" s="37"/>
      <c r="Z5543" s="15"/>
    </row>
    <row r="5544" spans="1:26" x14ac:dyDescent="0.25">
      <c r="A5544" s="15" t="str">
        <f>IF(C5544="","",COUNTA($C$3:C5544))</f>
        <v/>
      </c>
      <c r="B5544" s="15" t="str">
        <f t="shared" si="408"/>
        <v/>
      </c>
      <c r="M5544" s="9"/>
      <c r="N5544" s="9"/>
      <c r="P5544" s="14"/>
      <c r="Q5544" s="85"/>
      <c r="R5544" s="89"/>
      <c r="U5544" s="11" t="str">
        <f t="shared" si="407"/>
        <v/>
      </c>
      <c r="V5544" s="37"/>
      <c r="Z5544" s="15"/>
    </row>
    <row r="5545" spans="1:26" x14ac:dyDescent="0.25">
      <c r="A5545" s="15" t="str">
        <f>IF(C5545="","",COUNTA($C$3:C5545))</f>
        <v/>
      </c>
      <c r="B5545" s="15" t="str">
        <f t="shared" si="408"/>
        <v/>
      </c>
      <c r="M5545" s="9"/>
      <c r="N5545" s="9"/>
      <c r="P5545" s="14"/>
      <c r="Q5545" s="85"/>
      <c r="R5545" s="89"/>
      <c r="U5545" s="11" t="str">
        <f t="shared" si="407"/>
        <v/>
      </c>
      <c r="V5545" s="37"/>
      <c r="Z5545" s="15"/>
    </row>
    <row r="5546" spans="1:26" x14ac:dyDescent="0.25">
      <c r="A5546" s="15" t="str">
        <f>IF(C5546="","",COUNTA($C$3:C5546))</f>
        <v/>
      </c>
      <c r="B5546" s="15" t="str">
        <f t="shared" si="408"/>
        <v/>
      </c>
      <c r="M5546" s="9"/>
      <c r="N5546" s="9"/>
      <c r="P5546" s="14"/>
      <c r="Q5546" s="85"/>
      <c r="R5546" s="89"/>
      <c r="U5546" s="11" t="str">
        <f t="shared" si="407"/>
        <v/>
      </c>
      <c r="V5546" s="37"/>
      <c r="Z5546" s="15"/>
    </row>
    <row r="5547" spans="1:26" x14ac:dyDescent="0.25">
      <c r="A5547" s="15" t="str">
        <f>IF(C5547="","",COUNTA($C$3:C5547))</f>
        <v/>
      </c>
      <c r="B5547" s="15" t="str">
        <f t="shared" si="408"/>
        <v/>
      </c>
      <c r="M5547" s="9"/>
      <c r="N5547" s="9"/>
      <c r="P5547" s="14"/>
      <c r="Q5547" s="85"/>
      <c r="R5547" s="89"/>
      <c r="U5547" s="11" t="str">
        <f t="shared" si="407"/>
        <v/>
      </c>
      <c r="V5547" s="37"/>
      <c r="Z5547" s="15"/>
    </row>
    <row r="5548" spans="1:26" x14ac:dyDescent="0.25">
      <c r="A5548" s="15" t="str">
        <f>IF(C5548="","",COUNTA($C$3:C5548))</f>
        <v/>
      </c>
      <c r="B5548" s="15" t="str">
        <f t="shared" si="408"/>
        <v/>
      </c>
      <c r="M5548" s="9"/>
      <c r="N5548" s="9"/>
      <c r="P5548" s="14"/>
      <c r="Q5548" s="85"/>
      <c r="R5548" s="89"/>
      <c r="U5548" s="11" t="str">
        <f t="shared" si="407"/>
        <v/>
      </c>
      <c r="V5548" s="37"/>
      <c r="Z5548" s="15"/>
    </row>
    <row r="5549" spans="1:26" x14ac:dyDescent="0.25">
      <c r="A5549" s="15" t="str">
        <f>IF(C5549="","",COUNTA($C$3:C5549))</f>
        <v/>
      </c>
      <c r="B5549" s="15" t="str">
        <f t="shared" si="408"/>
        <v/>
      </c>
      <c r="M5549" s="9"/>
      <c r="N5549" s="9"/>
      <c r="P5549" s="14"/>
      <c r="Q5549" s="85"/>
      <c r="R5549" s="89"/>
      <c r="U5549" s="11" t="str">
        <f t="shared" si="407"/>
        <v/>
      </c>
      <c r="V5549" s="37"/>
      <c r="Z5549" s="15"/>
    </row>
    <row r="5550" spans="1:26" x14ac:dyDescent="0.25">
      <c r="A5550" s="15" t="str">
        <f>IF(C5550="","",COUNTA($C$3:C5550))</f>
        <v/>
      </c>
      <c r="B5550" s="15" t="str">
        <f t="shared" si="408"/>
        <v/>
      </c>
      <c r="M5550" s="9"/>
      <c r="N5550" s="9"/>
      <c r="P5550" s="14"/>
      <c r="Q5550" s="85"/>
      <c r="R5550" s="89"/>
      <c r="U5550" s="11" t="str">
        <f t="shared" si="407"/>
        <v/>
      </c>
      <c r="V5550" s="37"/>
      <c r="Z5550" s="15"/>
    </row>
    <row r="5551" spans="1:26" x14ac:dyDescent="0.25">
      <c r="A5551" s="15" t="str">
        <f>IF(C5551="","",COUNTA($C$3:C5551))</f>
        <v/>
      </c>
      <c r="B5551" s="15" t="str">
        <f t="shared" si="408"/>
        <v/>
      </c>
      <c r="M5551" s="9"/>
      <c r="N5551" s="9"/>
      <c r="P5551" s="14"/>
      <c r="Q5551" s="85"/>
      <c r="R5551" s="89"/>
      <c r="U5551" s="11" t="str">
        <f t="shared" si="407"/>
        <v/>
      </c>
      <c r="V5551" s="37"/>
      <c r="Z5551" s="15"/>
    </row>
    <row r="5552" spans="1:26" x14ac:dyDescent="0.25">
      <c r="A5552" s="15" t="str">
        <f>IF(C5552="","",COUNTA($C$3:C5552))</f>
        <v/>
      </c>
      <c r="B5552" s="15" t="str">
        <f t="shared" si="408"/>
        <v/>
      </c>
      <c r="M5552" s="9"/>
      <c r="N5552" s="9"/>
      <c r="P5552" s="14"/>
      <c r="Q5552" s="85"/>
      <c r="R5552" s="89"/>
      <c r="U5552" s="11" t="str">
        <f t="shared" si="407"/>
        <v/>
      </c>
      <c r="V5552" s="37"/>
      <c r="Z5552" s="15"/>
    </row>
    <row r="5553" spans="1:26" x14ac:dyDescent="0.25">
      <c r="A5553" s="15" t="str">
        <f>IF(C5553="","",COUNTA($C$3:C5553))</f>
        <v/>
      </c>
      <c r="B5553" s="15" t="str">
        <f t="shared" si="408"/>
        <v/>
      </c>
      <c r="M5553" s="9"/>
      <c r="N5553" s="9"/>
      <c r="P5553" s="14"/>
      <c r="Q5553" s="85"/>
      <c r="R5553" s="89"/>
      <c r="U5553" s="11" t="str">
        <f t="shared" si="407"/>
        <v/>
      </c>
      <c r="V5553" s="37"/>
      <c r="Z5553" s="15"/>
    </row>
    <row r="5554" spans="1:26" x14ac:dyDescent="0.25">
      <c r="A5554" s="15" t="str">
        <f>IF(C5554="","",COUNTA($C$3:C5554))</f>
        <v/>
      </c>
      <c r="B5554" s="15" t="str">
        <f t="shared" si="408"/>
        <v/>
      </c>
      <c r="M5554" s="9"/>
      <c r="N5554" s="9"/>
      <c r="P5554" s="14"/>
      <c r="Q5554" s="85"/>
      <c r="R5554" s="89"/>
      <c r="U5554" s="11" t="str">
        <f t="shared" si="407"/>
        <v/>
      </c>
      <c r="V5554" s="37"/>
      <c r="Z5554" s="15"/>
    </row>
    <row r="5555" spans="1:26" x14ac:dyDescent="0.25">
      <c r="A5555" s="15" t="str">
        <f>IF(C5555="","",COUNTA($C$3:C5555))</f>
        <v/>
      </c>
      <c r="B5555" s="15" t="str">
        <f t="shared" si="408"/>
        <v/>
      </c>
      <c r="M5555" s="9"/>
      <c r="N5555" s="9"/>
      <c r="P5555" s="14"/>
      <c r="Q5555" s="85"/>
      <c r="R5555" s="89"/>
      <c r="U5555" s="11" t="str">
        <f t="shared" si="407"/>
        <v/>
      </c>
      <c r="V5555" s="37"/>
      <c r="Z5555" s="15"/>
    </row>
    <row r="5556" spans="1:26" x14ac:dyDescent="0.25">
      <c r="A5556" s="15" t="str">
        <f>IF(C5556="","",COUNTA($C$3:C5556))</f>
        <v/>
      </c>
      <c r="B5556" s="15" t="str">
        <f t="shared" si="408"/>
        <v/>
      </c>
      <c r="M5556" s="9"/>
      <c r="N5556" s="9"/>
      <c r="P5556" s="14"/>
      <c r="Q5556" s="85"/>
      <c r="R5556" s="89"/>
      <c r="U5556" s="11" t="str">
        <f t="shared" si="407"/>
        <v/>
      </c>
      <c r="V5556" s="37"/>
      <c r="Z5556" s="15"/>
    </row>
    <row r="5557" spans="1:26" x14ac:dyDescent="0.25">
      <c r="A5557" s="15" t="str">
        <f>IF(C5557="","",COUNTA($C$3:C5557))</f>
        <v/>
      </c>
      <c r="B5557" s="15" t="str">
        <f t="shared" si="408"/>
        <v/>
      </c>
      <c r="M5557" s="9"/>
      <c r="N5557" s="9"/>
      <c r="P5557" s="14"/>
      <c r="Q5557" s="85"/>
      <c r="R5557" s="89"/>
      <c r="U5557" s="11" t="str">
        <f t="shared" si="407"/>
        <v/>
      </c>
      <c r="V5557" s="37"/>
      <c r="Z5557" s="15"/>
    </row>
    <row r="5558" spans="1:26" x14ac:dyDescent="0.25">
      <c r="A5558" s="15" t="str">
        <f>IF(C5558="","",COUNTA($C$3:C5558))</f>
        <v/>
      </c>
      <c r="B5558" s="15" t="str">
        <f t="shared" si="408"/>
        <v/>
      </c>
      <c r="M5558" s="9"/>
      <c r="N5558" s="9"/>
      <c r="P5558" s="14"/>
      <c r="Q5558" s="85"/>
      <c r="R5558" s="89"/>
      <c r="U5558" s="11" t="str">
        <f t="shared" si="407"/>
        <v/>
      </c>
      <c r="V5558" s="37"/>
      <c r="Z5558" s="15"/>
    </row>
    <row r="5559" spans="1:26" x14ac:dyDescent="0.25">
      <c r="A5559" s="15" t="str">
        <f>IF(C5559="","",COUNTA($C$3:C5559))</f>
        <v/>
      </c>
      <c r="B5559" s="15" t="str">
        <f t="shared" si="408"/>
        <v/>
      </c>
      <c r="M5559" s="9"/>
      <c r="N5559" s="9"/>
      <c r="P5559" s="14"/>
      <c r="Q5559" s="85"/>
      <c r="R5559" s="89"/>
      <c r="U5559" s="11" t="str">
        <f t="shared" si="407"/>
        <v/>
      </c>
      <c r="V5559" s="37"/>
      <c r="Z5559" s="15"/>
    </row>
    <row r="5560" spans="1:26" x14ac:dyDescent="0.25">
      <c r="A5560" s="15" t="str">
        <f>IF(C5560="","",COUNTA($C$3:C5560))</f>
        <v/>
      </c>
      <c r="B5560" s="15" t="str">
        <f t="shared" si="408"/>
        <v/>
      </c>
      <c r="M5560" s="9"/>
      <c r="N5560" s="9"/>
      <c r="P5560" s="14"/>
      <c r="Q5560" s="85"/>
      <c r="R5560" s="89"/>
      <c r="U5560" s="11" t="str">
        <f t="shared" si="407"/>
        <v/>
      </c>
      <c r="V5560" s="37"/>
      <c r="Z5560" s="15"/>
    </row>
    <row r="5561" spans="1:26" x14ac:dyDescent="0.25">
      <c r="A5561" s="15" t="str">
        <f>IF(C5561="","",COUNTA($C$3:C5561))</f>
        <v/>
      </c>
      <c r="B5561" s="15" t="str">
        <f t="shared" si="408"/>
        <v/>
      </c>
      <c r="M5561" s="9"/>
      <c r="N5561" s="9"/>
      <c r="P5561" s="14"/>
      <c r="Q5561" s="85"/>
      <c r="R5561" s="89"/>
      <c r="U5561" s="11" t="str">
        <f t="shared" si="407"/>
        <v/>
      </c>
      <c r="V5561" s="37"/>
      <c r="Z5561" s="15"/>
    </row>
    <row r="5562" spans="1:26" x14ac:dyDescent="0.25">
      <c r="A5562" s="15" t="str">
        <f>IF(C5562="","",COUNTA($C$3:C5562))</f>
        <v/>
      </c>
      <c r="B5562" s="15" t="str">
        <f t="shared" si="408"/>
        <v/>
      </c>
      <c r="M5562" s="9"/>
      <c r="N5562" s="9"/>
      <c r="P5562" s="14"/>
      <c r="Q5562" s="85"/>
      <c r="R5562" s="89"/>
      <c r="U5562" s="11" t="str">
        <f t="shared" si="407"/>
        <v/>
      </c>
      <c r="V5562" s="37"/>
      <c r="Z5562" s="15"/>
    </row>
    <row r="5563" spans="1:26" x14ac:dyDescent="0.25">
      <c r="A5563" s="15" t="str">
        <f>IF(C5563="","",COUNTA($C$3:C5563))</f>
        <v/>
      </c>
      <c r="B5563" s="15" t="str">
        <f t="shared" si="408"/>
        <v/>
      </c>
      <c r="M5563" s="9"/>
      <c r="N5563" s="9"/>
      <c r="P5563" s="14"/>
      <c r="Q5563" s="85"/>
      <c r="R5563" s="89"/>
      <c r="U5563" s="11" t="str">
        <f t="shared" si="407"/>
        <v/>
      </c>
      <c r="V5563" s="37"/>
      <c r="Z5563" s="15"/>
    </row>
    <row r="5564" spans="1:26" x14ac:dyDescent="0.25">
      <c r="A5564" s="15" t="str">
        <f>IF(C5564="","",COUNTA($C$3:C5564))</f>
        <v/>
      </c>
      <c r="B5564" s="15" t="str">
        <f t="shared" si="408"/>
        <v/>
      </c>
      <c r="M5564" s="9"/>
      <c r="N5564" s="9"/>
      <c r="P5564" s="14"/>
      <c r="Q5564" s="85"/>
      <c r="R5564" s="89"/>
      <c r="U5564" s="11" t="str">
        <f t="shared" si="407"/>
        <v/>
      </c>
      <c r="V5564" s="37"/>
      <c r="Z5564" s="15"/>
    </row>
    <row r="5565" spans="1:26" x14ac:dyDescent="0.25">
      <c r="A5565" s="15" t="str">
        <f>IF(C5565="","",COUNTA($C$3:C5565))</f>
        <v/>
      </c>
      <c r="B5565" s="15" t="str">
        <f t="shared" si="408"/>
        <v/>
      </c>
      <c r="M5565" s="9"/>
      <c r="N5565" s="9"/>
      <c r="P5565" s="14"/>
      <c r="Q5565" s="85"/>
      <c r="R5565" s="89"/>
      <c r="U5565" s="11" t="str">
        <f t="shared" si="407"/>
        <v/>
      </c>
      <c r="V5565" s="37"/>
      <c r="Z5565" s="15"/>
    </row>
    <row r="5566" spans="1:26" x14ac:dyDescent="0.25">
      <c r="A5566" s="15" t="str">
        <f>IF(C5566="","",COUNTA($C$3:C5566))</f>
        <v/>
      </c>
      <c r="B5566" s="15" t="str">
        <f t="shared" si="408"/>
        <v/>
      </c>
      <c r="M5566" s="9"/>
      <c r="N5566" s="9"/>
      <c r="P5566" s="14"/>
      <c r="Q5566" s="85"/>
      <c r="R5566" s="89"/>
      <c r="U5566" s="11" t="str">
        <f t="shared" si="407"/>
        <v/>
      </c>
      <c r="V5566" s="37"/>
      <c r="Z5566" s="15"/>
    </row>
    <row r="5567" spans="1:26" x14ac:dyDescent="0.25">
      <c r="A5567" s="15" t="str">
        <f>IF(C5567="","",COUNTA($C$3:C5567))</f>
        <v/>
      </c>
      <c r="B5567" s="15" t="str">
        <f t="shared" si="408"/>
        <v/>
      </c>
      <c r="M5567" s="9"/>
      <c r="N5567" s="9"/>
      <c r="P5567" s="14"/>
      <c r="Q5567" s="85"/>
      <c r="R5567" s="89"/>
      <c r="U5567" s="11" t="str">
        <f t="shared" si="407"/>
        <v/>
      </c>
      <c r="V5567" s="37"/>
      <c r="Z5567" s="15"/>
    </row>
    <row r="5568" spans="1:26" x14ac:dyDescent="0.25">
      <c r="A5568" s="15" t="str">
        <f>IF(C5568="","",COUNTA($C$3:C5568))</f>
        <v/>
      </c>
      <c r="B5568" s="15" t="str">
        <f t="shared" si="408"/>
        <v/>
      </c>
      <c r="M5568" s="9"/>
      <c r="N5568" s="9"/>
      <c r="P5568" s="14"/>
      <c r="Q5568" s="85"/>
      <c r="R5568" s="89"/>
      <c r="U5568" s="11" t="str">
        <f t="shared" si="407"/>
        <v/>
      </c>
      <c r="V5568" s="37"/>
      <c r="Z5568" s="15"/>
    </row>
    <row r="5569" spans="1:26" x14ac:dyDescent="0.25">
      <c r="A5569" s="15" t="str">
        <f>IF(C5569="","",COUNTA($C$3:C5569))</f>
        <v/>
      </c>
      <c r="B5569" s="15" t="str">
        <f t="shared" si="408"/>
        <v/>
      </c>
      <c r="M5569" s="9"/>
      <c r="N5569" s="9"/>
      <c r="P5569" s="14"/>
      <c r="Q5569" s="85"/>
      <c r="R5569" s="89"/>
      <c r="U5569" s="11" t="str">
        <f t="shared" si="407"/>
        <v/>
      </c>
      <c r="V5569" s="37"/>
      <c r="Z5569" s="15"/>
    </row>
    <row r="5570" spans="1:26" x14ac:dyDescent="0.25">
      <c r="A5570" s="15" t="str">
        <f>IF(C5570="","",COUNTA($C$3:C5570))</f>
        <v/>
      </c>
      <c r="B5570" s="15" t="str">
        <f t="shared" si="408"/>
        <v/>
      </c>
      <c r="M5570" s="9"/>
      <c r="N5570" s="9"/>
      <c r="P5570" s="14"/>
      <c r="Q5570" s="85"/>
      <c r="R5570" s="89"/>
      <c r="U5570" s="11" t="str">
        <f t="shared" ref="U5570:U5633" si="409">IF(S5570="","",(S5570-T5570))</f>
        <v/>
      </c>
      <c r="V5570" s="37"/>
      <c r="Z5570" s="15"/>
    </row>
    <row r="5571" spans="1:26" x14ac:dyDescent="0.25">
      <c r="A5571" s="15" t="str">
        <f>IF(C5571="","",COUNTA($C$3:C5571))</f>
        <v/>
      </c>
      <c r="B5571" s="15" t="str">
        <f t="shared" ref="B5571:B5634" si="410">IF(C5571="","",TEXT(C5571,"mmmm"))</f>
        <v/>
      </c>
      <c r="M5571" s="9"/>
      <c r="N5571" s="9"/>
      <c r="P5571" s="14"/>
      <c r="Q5571" s="85"/>
      <c r="R5571" s="89"/>
      <c r="U5571" s="11" t="str">
        <f t="shared" si="409"/>
        <v/>
      </c>
      <c r="V5571" s="37"/>
      <c r="Z5571" s="15"/>
    </row>
    <row r="5572" spans="1:26" x14ac:dyDescent="0.25">
      <c r="A5572" s="15" t="str">
        <f>IF(C5572="","",COUNTA($C$3:C5572))</f>
        <v/>
      </c>
      <c r="B5572" s="15" t="str">
        <f t="shared" si="410"/>
        <v/>
      </c>
      <c r="M5572" s="9"/>
      <c r="N5572" s="9"/>
      <c r="P5572" s="14"/>
      <c r="Q5572" s="85"/>
      <c r="R5572" s="89"/>
      <c r="U5572" s="11" t="str">
        <f t="shared" si="409"/>
        <v/>
      </c>
      <c r="V5572" s="37"/>
      <c r="Z5572" s="15"/>
    </row>
    <row r="5573" spans="1:26" x14ac:dyDescent="0.25">
      <c r="A5573" s="15" t="str">
        <f>IF(C5573="","",COUNTA($C$3:C5573))</f>
        <v/>
      </c>
      <c r="B5573" s="15" t="str">
        <f t="shared" si="410"/>
        <v/>
      </c>
      <c r="M5573" s="9"/>
      <c r="N5573" s="9"/>
      <c r="P5573" s="14"/>
      <c r="Q5573" s="85"/>
      <c r="R5573" s="89"/>
      <c r="U5573" s="11" t="str">
        <f t="shared" si="409"/>
        <v/>
      </c>
      <c r="V5573" s="37"/>
      <c r="Z5573" s="15"/>
    </row>
    <row r="5574" spans="1:26" x14ac:dyDescent="0.25">
      <c r="A5574" s="15" t="str">
        <f>IF(C5574="","",COUNTA($C$3:C5574))</f>
        <v/>
      </c>
      <c r="B5574" s="15" t="str">
        <f t="shared" si="410"/>
        <v/>
      </c>
      <c r="M5574" s="9"/>
      <c r="N5574" s="9"/>
      <c r="P5574" s="14"/>
      <c r="Q5574" s="85"/>
      <c r="R5574" s="89"/>
      <c r="U5574" s="11" t="str">
        <f t="shared" si="409"/>
        <v/>
      </c>
      <c r="V5574" s="37"/>
      <c r="Z5574" s="15"/>
    </row>
    <row r="5575" spans="1:26" x14ac:dyDescent="0.25">
      <c r="A5575" s="15" t="str">
        <f>IF(C5575="","",COUNTA($C$3:C5575))</f>
        <v/>
      </c>
      <c r="B5575" s="15" t="str">
        <f t="shared" si="410"/>
        <v/>
      </c>
      <c r="M5575" s="9"/>
      <c r="N5575" s="9"/>
      <c r="P5575" s="14"/>
      <c r="Q5575" s="85"/>
      <c r="R5575" s="89"/>
      <c r="U5575" s="11" t="str">
        <f t="shared" si="409"/>
        <v/>
      </c>
      <c r="V5575" s="37"/>
      <c r="Z5575" s="15"/>
    </row>
    <row r="5576" spans="1:26" x14ac:dyDescent="0.25">
      <c r="A5576" s="15" t="str">
        <f>IF(C5576="","",COUNTA($C$3:C5576))</f>
        <v/>
      </c>
      <c r="B5576" s="15" t="str">
        <f t="shared" si="410"/>
        <v/>
      </c>
      <c r="M5576" s="9"/>
      <c r="N5576" s="9"/>
      <c r="P5576" s="14"/>
      <c r="Q5576" s="85"/>
      <c r="R5576" s="89"/>
      <c r="U5576" s="11" t="str">
        <f t="shared" si="409"/>
        <v/>
      </c>
      <c r="V5576" s="37"/>
      <c r="Z5576" s="15"/>
    </row>
    <row r="5577" spans="1:26" x14ac:dyDescent="0.25">
      <c r="A5577" s="15" t="str">
        <f>IF(C5577="","",COUNTA($C$3:C5577))</f>
        <v/>
      </c>
      <c r="B5577" s="15" t="str">
        <f t="shared" si="410"/>
        <v/>
      </c>
      <c r="M5577" s="9"/>
      <c r="N5577" s="9"/>
      <c r="P5577" s="14"/>
      <c r="Q5577" s="85"/>
      <c r="R5577" s="89"/>
      <c r="U5577" s="11" t="str">
        <f t="shared" si="409"/>
        <v/>
      </c>
      <c r="V5577" s="37"/>
      <c r="Z5577" s="15"/>
    </row>
    <row r="5578" spans="1:26" x14ac:dyDescent="0.25">
      <c r="A5578" s="15" t="str">
        <f>IF(C5578="","",COUNTA($C$3:C5578))</f>
        <v/>
      </c>
      <c r="B5578" s="15" t="str">
        <f t="shared" si="410"/>
        <v/>
      </c>
      <c r="M5578" s="9"/>
      <c r="N5578" s="9"/>
      <c r="P5578" s="14"/>
      <c r="Q5578" s="85"/>
      <c r="R5578" s="89"/>
      <c r="U5578" s="11" t="str">
        <f t="shared" si="409"/>
        <v/>
      </c>
      <c r="V5578" s="37"/>
      <c r="Z5578" s="15"/>
    </row>
    <row r="5579" spans="1:26" x14ac:dyDescent="0.25">
      <c r="A5579" s="15" t="str">
        <f>IF(C5579="","",COUNTA($C$3:C5579))</f>
        <v/>
      </c>
      <c r="B5579" s="15" t="str">
        <f t="shared" si="410"/>
        <v/>
      </c>
      <c r="M5579" s="9"/>
      <c r="N5579" s="9"/>
      <c r="P5579" s="14"/>
      <c r="Q5579" s="85"/>
      <c r="R5579" s="89"/>
      <c r="U5579" s="11" t="str">
        <f t="shared" si="409"/>
        <v/>
      </c>
      <c r="V5579" s="37"/>
      <c r="Z5579" s="15"/>
    </row>
    <row r="5580" spans="1:26" x14ac:dyDescent="0.25">
      <c r="A5580" s="15" t="str">
        <f>IF(C5580="","",COUNTA($C$3:C5580))</f>
        <v/>
      </c>
      <c r="B5580" s="15" t="str">
        <f t="shared" si="410"/>
        <v/>
      </c>
      <c r="M5580" s="9"/>
      <c r="N5580" s="9"/>
      <c r="P5580" s="14"/>
      <c r="Q5580" s="85"/>
      <c r="R5580" s="89"/>
      <c r="U5580" s="11" t="str">
        <f t="shared" si="409"/>
        <v/>
      </c>
      <c r="V5580" s="37"/>
      <c r="Z5580" s="15"/>
    </row>
    <row r="5581" spans="1:26" x14ac:dyDescent="0.25">
      <c r="A5581" s="15" t="str">
        <f>IF(C5581="","",COUNTA($C$3:C5581))</f>
        <v/>
      </c>
      <c r="B5581" s="15" t="str">
        <f t="shared" si="410"/>
        <v/>
      </c>
      <c r="M5581" s="9"/>
      <c r="N5581" s="9"/>
      <c r="P5581" s="14"/>
      <c r="Q5581" s="85"/>
      <c r="R5581" s="89"/>
      <c r="U5581" s="11" t="str">
        <f t="shared" si="409"/>
        <v/>
      </c>
      <c r="V5581" s="37"/>
      <c r="Z5581" s="15"/>
    </row>
    <row r="5582" spans="1:26" x14ac:dyDescent="0.25">
      <c r="A5582" s="15" t="str">
        <f>IF(C5582="","",COUNTA($C$3:C5582))</f>
        <v/>
      </c>
      <c r="B5582" s="15" t="str">
        <f t="shared" si="410"/>
        <v/>
      </c>
      <c r="M5582" s="9"/>
      <c r="N5582" s="9"/>
      <c r="P5582" s="14"/>
      <c r="Q5582" s="85"/>
      <c r="R5582" s="89"/>
      <c r="U5582" s="11" t="str">
        <f t="shared" si="409"/>
        <v/>
      </c>
      <c r="V5582" s="37"/>
      <c r="Z5582" s="15"/>
    </row>
    <row r="5583" spans="1:26" x14ac:dyDescent="0.25">
      <c r="A5583" s="15" t="str">
        <f>IF(C5583="","",COUNTA($C$3:C5583))</f>
        <v/>
      </c>
      <c r="B5583" s="15" t="str">
        <f t="shared" si="410"/>
        <v/>
      </c>
      <c r="M5583" s="9"/>
      <c r="N5583" s="9"/>
      <c r="P5583" s="14"/>
      <c r="Q5583" s="85"/>
      <c r="R5583" s="89"/>
      <c r="U5583" s="11" t="str">
        <f t="shared" si="409"/>
        <v/>
      </c>
      <c r="V5583" s="37"/>
      <c r="Z5583" s="15"/>
    </row>
    <row r="5584" spans="1:26" x14ac:dyDescent="0.25">
      <c r="A5584" s="15" t="str">
        <f>IF(C5584="","",COUNTA($C$3:C5584))</f>
        <v/>
      </c>
      <c r="B5584" s="15" t="str">
        <f t="shared" si="410"/>
        <v/>
      </c>
      <c r="M5584" s="9"/>
      <c r="N5584" s="9"/>
      <c r="P5584" s="14"/>
      <c r="Q5584" s="85"/>
      <c r="R5584" s="89"/>
      <c r="U5584" s="11" t="str">
        <f t="shared" si="409"/>
        <v/>
      </c>
      <c r="V5584" s="37"/>
      <c r="Z5584" s="15"/>
    </row>
    <row r="5585" spans="1:26" x14ac:dyDescent="0.25">
      <c r="A5585" s="15" t="str">
        <f>IF(C5585="","",COUNTA($C$3:C5585))</f>
        <v/>
      </c>
      <c r="B5585" s="15" t="str">
        <f t="shared" si="410"/>
        <v/>
      </c>
      <c r="M5585" s="9"/>
      <c r="N5585" s="9"/>
      <c r="P5585" s="14"/>
      <c r="Q5585" s="85"/>
      <c r="R5585" s="89"/>
      <c r="U5585" s="11" t="str">
        <f t="shared" si="409"/>
        <v/>
      </c>
      <c r="V5585" s="37"/>
      <c r="Z5585" s="15"/>
    </row>
    <row r="5586" spans="1:26" x14ac:dyDescent="0.25">
      <c r="A5586" s="15" t="str">
        <f>IF(C5586="","",COUNTA($C$3:C5586))</f>
        <v/>
      </c>
      <c r="B5586" s="15" t="str">
        <f t="shared" si="410"/>
        <v/>
      </c>
      <c r="M5586" s="9"/>
      <c r="N5586" s="9"/>
      <c r="P5586" s="14"/>
      <c r="Q5586" s="85"/>
      <c r="R5586" s="89"/>
      <c r="U5586" s="11" t="str">
        <f t="shared" si="409"/>
        <v/>
      </c>
      <c r="V5586" s="37"/>
      <c r="Z5586" s="15"/>
    </row>
    <row r="5587" spans="1:26" x14ac:dyDescent="0.25">
      <c r="A5587" s="15" t="str">
        <f>IF(C5587="","",COUNTA($C$3:C5587))</f>
        <v/>
      </c>
      <c r="B5587" s="15" t="str">
        <f t="shared" si="410"/>
        <v/>
      </c>
      <c r="M5587" s="9"/>
      <c r="N5587" s="9"/>
      <c r="P5587" s="14"/>
      <c r="Q5587" s="85"/>
      <c r="R5587" s="89"/>
      <c r="U5587" s="11" t="str">
        <f t="shared" si="409"/>
        <v/>
      </c>
      <c r="V5587" s="37"/>
      <c r="Z5587" s="15"/>
    </row>
    <row r="5588" spans="1:26" x14ac:dyDescent="0.25">
      <c r="A5588" s="15" t="str">
        <f>IF(C5588="","",COUNTA($C$3:C5588))</f>
        <v/>
      </c>
      <c r="B5588" s="15" t="str">
        <f t="shared" si="410"/>
        <v/>
      </c>
      <c r="M5588" s="9"/>
      <c r="N5588" s="9"/>
      <c r="P5588" s="14"/>
      <c r="Q5588" s="85"/>
      <c r="R5588" s="89"/>
      <c r="U5588" s="11" t="str">
        <f t="shared" si="409"/>
        <v/>
      </c>
      <c r="V5588" s="37"/>
      <c r="Z5588" s="15"/>
    </row>
    <row r="5589" spans="1:26" x14ac:dyDescent="0.25">
      <c r="A5589" s="15" t="str">
        <f>IF(C5589="","",COUNTA($C$3:C5589))</f>
        <v/>
      </c>
      <c r="B5589" s="15" t="str">
        <f t="shared" si="410"/>
        <v/>
      </c>
      <c r="M5589" s="9"/>
      <c r="N5589" s="9"/>
      <c r="P5589" s="14"/>
      <c r="Q5589" s="85"/>
      <c r="R5589" s="89"/>
      <c r="U5589" s="11" t="str">
        <f t="shared" si="409"/>
        <v/>
      </c>
      <c r="V5589" s="37"/>
      <c r="Z5589" s="15"/>
    </row>
    <row r="5590" spans="1:26" x14ac:dyDescent="0.25">
      <c r="A5590" s="15" t="str">
        <f>IF(C5590="","",COUNTA($C$3:C5590))</f>
        <v/>
      </c>
      <c r="B5590" s="15" t="str">
        <f t="shared" si="410"/>
        <v/>
      </c>
      <c r="M5590" s="9"/>
      <c r="N5590" s="9"/>
      <c r="P5590" s="14"/>
      <c r="Q5590" s="85"/>
      <c r="R5590" s="89"/>
      <c r="U5590" s="11" t="str">
        <f t="shared" si="409"/>
        <v/>
      </c>
      <c r="V5590" s="37"/>
      <c r="Z5590" s="15"/>
    </row>
    <row r="5591" spans="1:26" x14ac:dyDescent="0.25">
      <c r="A5591" s="15" t="str">
        <f>IF(C5591="","",COUNTA($C$3:C5591))</f>
        <v/>
      </c>
      <c r="B5591" s="15" t="str">
        <f t="shared" si="410"/>
        <v/>
      </c>
      <c r="M5591" s="9"/>
      <c r="N5591" s="9"/>
      <c r="P5591" s="14"/>
      <c r="Q5591" s="85"/>
      <c r="R5591" s="89"/>
      <c r="U5591" s="11" t="str">
        <f t="shared" si="409"/>
        <v/>
      </c>
      <c r="V5591" s="37"/>
      <c r="Z5591" s="15"/>
    </row>
    <row r="5592" spans="1:26" x14ac:dyDescent="0.25">
      <c r="A5592" s="15" t="str">
        <f>IF(C5592="","",COUNTA($C$3:C5592))</f>
        <v/>
      </c>
      <c r="B5592" s="15" t="str">
        <f t="shared" si="410"/>
        <v/>
      </c>
      <c r="M5592" s="9"/>
      <c r="N5592" s="9"/>
      <c r="P5592" s="14"/>
      <c r="Q5592" s="85"/>
      <c r="R5592" s="89"/>
      <c r="U5592" s="11" t="str">
        <f t="shared" si="409"/>
        <v/>
      </c>
      <c r="V5592" s="37"/>
      <c r="Z5592" s="15"/>
    </row>
    <row r="5593" spans="1:26" x14ac:dyDescent="0.25">
      <c r="A5593" s="15" t="str">
        <f>IF(C5593="","",COUNTA($C$3:C5593))</f>
        <v/>
      </c>
      <c r="B5593" s="15" t="str">
        <f t="shared" si="410"/>
        <v/>
      </c>
      <c r="M5593" s="9"/>
      <c r="N5593" s="9"/>
      <c r="P5593" s="14"/>
      <c r="Q5593" s="85"/>
      <c r="R5593" s="89"/>
      <c r="U5593" s="11" t="str">
        <f t="shared" si="409"/>
        <v/>
      </c>
      <c r="V5593" s="37"/>
      <c r="Z5593" s="15"/>
    </row>
    <row r="5594" spans="1:26" x14ac:dyDescent="0.25">
      <c r="A5594" s="15" t="str">
        <f>IF(C5594="","",COUNTA($C$3:C5594))</f>
        <v/>
      </c>
      <c r="B5594" s="15" t="str">
        <f t="shared" si="410"/>
        <v/>
      </c>
      <c r="M5594" s="9"/>
      <c r="N5594" s="9"/>
      <c r="P5594" s="14"/>
      <c r="Q5594" s="85"/>
      <c r="R5594" s="89"/>
      <c r="U5594" s="11" t="str">
        <f t="shared" si="409"/>
        <v/>
      </c>
      <c r="V5594" s="37"/>
      <c r="Z5594" s="15"/>
    </row>
    <row r="5595" spans="1:26" x14ac:dyDescent="0.25">
      <c r="A5595" s="15" t="str">
        <f>IF(C5595="","",COUNTA($C$3:C5595))</f>
        <v/>
      </c>
      <c r="B5595" s="15" t="str">
        <f t="shared" si="410"/>
        <v/>
      </c>
      <c r="M5595" s="9"/>
      <c r="N5595" s="9"/>
      <c r="P5595" s="14"/>
      <c r="Q5595" s="85"/>
      <c r="R5595" s="89"/>
      <c r="U5595" s="11" t="str">
        <f t="shared" si="409"/>
        <v/>
      </c>
      <c r="V5595" s="37"/>
      <c r="Z5595" s="15"/>
    </row>
    <row r="5596" spans="1:26" x14ac:dyDescent="0.25">
      <c r="A5596" s="15" t="str">
        <f>IF(C5596="","",COUNTA($C$3:C5596))</f>
        <v/>
      </c>
      <c r="B5596" s="15" t="str">
        <f t="shared" si="410"/>
        <v/>
      </c>
      <c r="M5596" s="9"/>
      <c r="N5596" s="9"/>
      <c r="P5596" s="14"/>
      <c r="Q5596" s="85"/>
      <c r="R5596" s="89"/>
      <c r="U5596" s="11" t="str">
        <f t="shared" si="409"/>
        <v/>
      </c>
      <c r="V5596" s="37"/>
      <c r="Z5596" s="15"/>
    </row>
    <row r="5597" spans="1:26" x14ac:dyDescent="0.25">
      <c r="A5597" s="15" t="str">
        <f>IF(C5597="","",COUNTA($C$3:C5597))</f>
        <v/>
      </c>
      <c r="B5597" s="15" t="str">
        <f t="shared" si="410"/>
        <v/>
      </c>
      <c r="M5597" s="9"/>
      <c r="N5597" s="9"/>
      <c r="P5597" s="14"/>
      <c r="Q5597" s="85"/>
      <c r="R5597" s="89"/>
      <c r="U5597" s="11" t="str">
        <f t="shared" si="409"/>
        <v/>
      </c>
      <c r="V5597" s="37"/>
      <c r="Z5597" s="15"/>
    </row>
    <row r="5598" spans="1:26" x14ac:dyDescent="0.25">
      <c r="A5598" s="15" t="str">
        <f>IF(C5598="","",COUNTA($C$3:C5598))</f>
        <v/>
      </c>
      <c r="B5598" s="15" t="str">
        <f t="shared" si="410"/>
        <v/>
      </c>
      <c r="M5598" s="9"/>
      <c r="N5598" s="9"/>
      <c r="P5598" s="14"/>
      <c r="Q5598" s="85"/>
      <c r="R5598" s="89"/>
      <c r="U5598" s="11" t="str">
        <f t="shared" si="409"/>
        <v/>
      </c>
      <c r="V5598" s="37"/>
      <c r="Z5598" s="15"/>
    </row>
    <row r="5599" spans="1:26" x14ac:dyDescent="0.25">
      <c r="A5599" s="15" t="str">
        <f>IF(C5599="","",COUNTA($C$3:C5599))</f>
        <v/>
      </c>
      <c r="B5599" s="15" t="str">
        <f t="shared" si="410"/>
        <v/>
      </c>
      <c r="M5599" s="9"/>
      <c r="N5599" s="9"/>
      <c r="P5599" s="14"/>
      <c r="Q5599" s="85"/>
      <c r="R5599" s="89"/>
      <c r="U5599" s="11" t="str">
        <f t="shared" si="409"/>
        <v/>
      </c>
      <c r="V5599" s="37"/>
      <c r="Z5599" s="15"/>
    </row>
    <row r="5600" spans="1:26" x14ac:dyDescent="0.25">
      <c r="A5600" s="15" t="str">
        <f>IF(C5600="","",COUNTA($C$3:C5600))</f>
        <v/>
      </c>
      <c r="B5600" s="15" t="str">
        <f t="shared" si="410"/>
        <v/>
      </c>
      <c r="M5600" s="9"/>
      <c r="N5600" s="9"/>
      <c r="P5600" s="14"/>
      <c r="Q5600" s="85"/>
      <c r="R5600" s="89"/>
      <c r="U5600" s="11" t="str">
        <f t="shared" si="409"/>
        <v/>
      </c>
      <c r="V5600" s="37"/>
      <c r="Z5600" s="15"/>
    </row>
    <row r="5601" spans="1:26" x14ac:dyDescent="0.25">
      <c r="A5601" s="15" t="str">
        <f>IF(C5601="","",COUNTA($C$3:C5601))</f>
        <v/>
      </c>
      <c r="B5601" s="15" t="str">
        <f t="shared" si="410"/>
        <v/>
      </c>
      <c r="M5601" s="9"/>
      <c r="N5601" s="9"/>
      <c r="P5601" s="14"/>
      <c r="Q5601" s="85"/>
      <c r="R5601" s="89"/>
      <c r="U5601" s="11" t="str">
        <f t="shared" si="409"/>
        <v/>
      </c>
      <c r="V5601" s="37"/>
      <c r="Z5601" s="15"/>
    </row>
    <row r="5602" spans="1:26" x14ac:dyDescent="0.25">
      <c r="A5602" s="15" t="str">
        <f>IF(C5602="","",COUNTA($C$3:C5602))</f>
        <v/>
      </c>
      <c r="B5602" s="15" t="str">
        <f t="shared" si="410"/>
        <v/>
      </c>
      <c r="M5602" s="9"/>
      <c r="N5602" s="9"/>
      <c r="P5602" s="14"/>
      <c r="Q5602" s="85"/>
      <c r="R5602" s="89"/>
      <c r="U5602" s="11" t="str">
        <f t="shared" si="409"/>
        <v/>
      </c>
      <c r="V5602" s="37"/>
      <c r="Z5602" s="15"/>
    </row>
    <row r="5603" spans="1:26" x14ac:dyDescent="0.25">
      <c r="A5603" s="15" t="str">
        <f>IF(C5603="","",COUNTA($C$3:C5603))</f>
        <v/>
      </c>
      <c r="B5603" s="15" t="str">
        <f t="shared" si="410"/>
        <v/>
      </c>
      <c r="M5603" s="9"/>
      <c r="N5603" s="9"/>
      <c r="P5603" s="14"/>
      <c r="Q5603" s="85"/>
      <c r="R5603" s="89"/>
      <c r="U5603" s="11" t="str">
        <f t="shared" si="409"/>
        <v/>
      </c>
      <c r="V5603" s="37"/>
      <c r="Z5603" s="15"/>
    </row>
    <row r="5604" spans="1:26" x14ac:dyDescent="0.25">
      <c r="A5604" s="15" t="str">
        <f>IF(C5604="","",COUNTA($C$3:C5604))</f>
        <v/>
      </c>
      <c r="B5604" s="15" t="str">
        <f t="shared" si="410"/>
        <v/>
      </c>
      <c r="M5604" s="9"/>
      <c r="N5604" s="9"/>
      <c r="P5604" s="14"/>
      <c r="Q5604" s="85"/>
      <c r="R5604" s="89"/>
      <c r="U5604" s="11" t="str">
        <f t="shared" si="409"/>
        <v/>
      </c>
      <c r="V5604" s="37"/>
      <c r="Z5604" s="15"/>
    </row>
    <row r="5605" spans="1:26" x14ac:dyDescent="0.25">
      <c r="A5605" s="15" t="str">
        <f>IF(C5605="","",COUNTA($C$3:C5605))</f>
        <v/>
      </c>
      <c r="B5605" s="15" t="str">
        <f t="shared" si="410"/>
        <v/>
      </c>
      <c r="M5605" s="9"/>
      <c r="N5605" s="9"/>
      <c r="P5605" s="14"/>
      <c r="Q5605" s="85"/>
      <c r="R5605" s="89"/>
      <c r="U5605" s="11" t="str">
        <f t="shared" si="409"/>
        <v/>
      </c>
      <c r="V5605" s="37"/>
      <c r="Z5605" s="15"/>
    </row>
    <row r="5606" spans="1:26" x14ac:dyDescent="0.25">
      <c r="A5606" s="15" t="str">
        <f>IF(C5606="","",COUNTA($C$3:C5606))</f>
        <v/>
      </c>
      <c r="B5606" s="15" t="str">
        <f t="shared" si="410"/>
        <v/>
      </c>
      <c r="M5606" s="9"/>
      <c r="N5606" s="9"/>
      <c r="P5606" s="14"/>
      <c r="Q5606" s="85"/>
      <c r="R5606" s="89"/>
      <c r="U5606" s="11" t="str">
        <f t="shared" si="409"/>
        <v/>
      </c>
      <c r="V5606" s="37"/>
      <c r="Z5606" s="15"/>
    </row>
    <row r="5607" spans="1:26" x14ac:dyDescent="0.25">
      <c r="A5607" s="15" t="str">
        <f>IF(C5607="","",COUNTA($C$3:C5607))</f>
        <v/>
      </c>
      <c r="B5607" s="15" t="str">
        <f t="shared" si="410"/>
        <v/>
      </c>
      <c r="M5607" s="9"/>
      <c r="N5607" s="9"/>
      <c r="P5607" s="14"/>
      <c r="Q5607" s="85"/>
      <c r="R5607" s="89"/>
      <c r="U5607" s="11" t="str">
        <f t="shared" si="409"/>
        <v/>
      </c>
      <c r="V5607" s="37"/>
      <c r="Z5607" s="15"/>
    </row>
    <row r="5608" spans="1:26" x14ac:dyDescent="0.25">
      <c r="A5608" s="15" t="str">
        <f>IF(C5608="","",COUNTA($C$3:C5608))</f>
        <v/>
      </c>
      <c r="B5608" s="15" t="str">
        <f t="shared" si="410"/>
        <v/>
      </c>
      <c r="M5608" s="9"/>
      <c r="N5608" s="9"/>
      <c r="P5608" s="14"/>
      <c r="Q5608" s="85"/>
      <c r="R5608" s="89"/>
      <c r="U5608" s="11" t="str">
        <f t="shared" si="409"/>
        <v/>
      </c>
      <c r="V5608" s="37"/>
      <c r="Z5608" s="15"/>
    </row>
    <row r="5609" spans="1:26" x14ac:dyDescent="0.25">
      <c r="A5609" s="15" t="str">
        <f>IF(C5609="","",COUNTA($C$3:C5609))</f>
        <v/>
      </c>
      <c r="B5609" s="15" t="str">
        <f t="shared" si="410"/>
        <v/>
      </c>
      <c r="M5609" s="9"/>
      <c r="N5609" s="9"/>
      <c r="P5609" s="14"/>
      <c r="Q5609" s="85"/>
      <c r="R5609" s="89"/>
      <c r="U5609" s="11" t="str">
        <f t="shared" si="409"/>
        <v/>
      </c>
      <c r="V5609" s="37"/>
      <c r="Z5609" s="15"/>
    </row>
    <row r="5610" spans="1:26" x14ac:dyDescent="0.25">
      <c r="A5610" s="15" t="str">
        <f>IF(C5610="","",COUNTA($C$3:C5610))</f>
        <v/>
      </c>
      <c r="B5610" s="15" t="str">
        <f t="shared" si="410"/>
        <v/>
      </c>
      <c r="M5610" s="9"/>
      <c r="N5610" s="9"/>
      <c r="P5610" s="14"/>
      <c r="Q5610" s="85"/>
      <c r="R5610" s="89"/>
      <c r="U5610" s="11" t="str">
        <f t="shared" si="409"/>
        <v/>
      </c>
      <c r="V5610" s="37"/>
      <c r="Z5610" s="15"/>
    </row>
    <row r="5611" spans="1:26" x14ac:dyDescent="0.25">
      <c r="A5611" s="15" t="str">
        <f>IF(C5611="","",COUNTA($C$3:C5611))</f>
        <v/>
      </c>
      <c r="B5611" s="15" t="str">
        <f t="shared" si="410"/>
        <v/>
      </c>
      <c r="M5611" s="9"/>
      <c r="N5611" s="9"/>
      <c r="P5611" s="14"/>
      <c r="Q5611" s="85"/>
      <c r="R5611" s="89"/>
      <c r="U5611" s="11" t="str">
        <f t="shared" si="409"/>
        <v/>
      </c>
      <c r="V5611" s="37"/>
      <c r="Z5611" s="15"/>
    </row>
    <row r="5612" spans="1:26" x14ac:dyDescent="0.25">
      <c r="A5612" s="15" t="str">
        <f>IF(C5612="","",COUNTA($C$3:C5612))</f>
        <v/>
      </c>
      <c r="B5612" s="15" t="str">
        <f t="shared" si="410"/>
        <v/>
      </c>
      <c r="M5612" s="9"/>
      <c r="N5612" s="9"/>
      <c r="P5612" s="14"/>
      <c r="Q5612" s="85"/>
      <c r="R5612" s="89"/>
      <c r="U5612" s="11" t="str">
        <f t="shared" si="409"/>
        <v/>
      </c>
      <c r="V5612" s="37"/>
      <c r="Z5612" s="15"/>
    </row>
    <row r="5613" spans="1:26" x14ac:dyDescent="0.25">
      <c r="A5613" s="15" t="str">
        <f>IF(C5613="","",COUNTA($C$3:C5613))</f>
        <v/>
      </c>
      <c r="B5613" s="15" t="str">
        <f t="shared" si="410"/>
        <v/>
      </c>
      <c r="M5613" s="9"/>
      <c r="N5613" s="9"/>
      <c r="P5613" s="14"/>
      <c r="Q5613" s="85"/>
      <c r="R5613" s="89"/>
      <c r="U5613" s="11" t="str">
        <f t="shared" si="409"/>
        <v/>
      </c>
      <c r="V5613" s="37"/>
      <c r="Z5613" s="15"/>
    </row>
    <row r="5614" spans="1:26" x14ac:dyDescent="0.25">
      <c r="A5614" s="15" t="str">
        <f>IF(C5614="","",COUNTA($C$3:C5614))</f>
        <v/>
      </c>
      <c r="B5614" s="15" t="str">
        <f t="shared" si="410"/>
        <v/>
      </c>
      <c r="M5614" s="9"/>
      <c r="N5614" s="9"/>
      <c r="P5614" s="14"/>
      <c r="Q5614" s="85"/>
      <c r="R5614" s="89"/>
      <c r="U5614" s="11" t="str">
        <f t="shared" si="409"/>
        <v/>
      </c>
      <c r="V5614" s="37"/>
      <c r="Z5614" s="15"/>
    </row>
    <row r="5615" spans="1:26" x14ac:dyDescent="0.25">
      <c r="A5615" s="15" t="str">
        <f>IF(C5615="","",COUNTA($C$3:C5615))</f>
        <v/>
      </c>
      <c r="B5615" s="15" t="str">
        <f t="shared" si="410"/>
        <v/>
      </c>
      <c r="M5615" s="9"/>
      <c r="N5615" s="9"/>
      <c r="P5615" s="14"/>
      <c r="Q5615" s="85"/>
      <c r="R5615" s="89"/>
      <c r="U5615" s="11" t="str">
        <f t="shared" si="409"/>
        <v/>
      </c>
      <c r="V5615" s="37"/>
      <c r="Z5615" s="15"/>
    </row>
    <row r="5616" spans="1:26" x14ac:dyDescent="0.25">
      <c r="A5616" s="15" t="str">
        <f>IF(C5616="","",COUNTA($C$3:C5616))</f>
        <v/>
      </c>
      <c r="B5616" s="15" t="str">
        <f t="shared" si="410"/>
        <v/>
      </c>
      <c r="M5616" s="9"/>
      <c r="N5616" s="9"/>
      <c r="P5616" s="14"/>
      <c r="Q5616" s="85"/>
      <c r="R5616" s="89"/>
      <c r="U5616" s="11" t="str">
        <f t="shared" si="409"/>
        <v/>
      </c>
      <c r="V5616" s="37"/>
      <c r="Z5616" s="15"/>
    </row>
    <row r="5617" spans="1:26" x14ac:dyDescent="0.25">
      <c r="A5617" s="15" t="str">
        <f>IF(C5617="","",COUNTA($C$3:C5617))</f>
        <v/>
      </c>
      <c r="B5617" s="15" t="str">
        <f t="shared" si="410"/>
        <v/>
      </c>
      <c r="M5617" s="9"/>
      <c r="N5617" s="9"/>
      <c r="P5617" s="14"/>
      <c r="Q5617" s="85"/>
      <c r="R5617" s="89"/>
      <c r="U5617" s="11" t="str">
        <f t="shared" si="409"/>
        <v/>
      </c>
      <c r="V5617" s="37"/>
      <c r="Z5617" s="15"/>
    </row>
    <row r="5618" spans="1:26" x14ac:dyDescent="0.25">
      <c r="A5618" s="15" t="str">
        <f>IF(C5618="","",COUNTA($C$3:C5618))</f>
        <v/>
      </c>
      <c r="B5618" s="15" t="str">
        <f t="shared" si="410"/>
        <v/>
      </c>
      <c r="M5618" s="9"/>
      <c r="N5618" s="9"/>
      <c r="P5618" s="14"/>
      <c r="Q5618" s="85"/>
      <c r="R5618" s="89"/>
      <c r="U5618" s="11" t="str">
        <f t="shared" si="409"/>
        <v/>
      </c>
      <c r="V5618" s="37"/>
      <c r="Z5618" s="15"/>
    </row>
    <row r="5619" spans="1:26" x14ac:dyDescent="0.25">
      <c r="A5619" s="15" t="str">
        <f>IF(C5619="","",COUNTA($C$3:C5619))</f>
        <v/>
      </c>
      <c r="B5619" s="15" t="str">
        <f t="shared" si="410"/>
        <v/>
      </c>
      <c r="M5619" s="9"/>
      <c r="N5619" s="9"/>
      <c r="P5619" s="14"/>
      <c r="Q5619" s="85"/>
      <c r="R5619" s="89"/>
      <c r="U5619" s="11" t="str">
        <f t="shared" si="409"/>
        <v/>
      </c>
      <c r="V5619" s="37"/>
      <c r="Z5619" s="15"/>
    </row>
    <row r="5620" spans="1:26" x14ac:dyDescent="0.25">
      <c r="A5620" s="15" t="str">
        <f>IF(C5620="","",COUNTA($C$3:C5620))</f>
        <v/>
      </c>
      <c r="B5620" s="15" t="str">
        <f t="shared" si="410"/>
        <v/>
      </c>
      <c r="M5620" s="9"/>
      <c r="N5620" s="9"/>
      <c r="P5620" s="14"/>
      <c r="Q5620" s="85"/>
      <c r="R5620" s="89"/>
      <c r="U5620" s="11" t="str">
        <f t="shared" si="409"/>
        <v/>
      </c>
      <c r="V5620" s="37"/>
      <c r="Z5620" s="15"/>
    </row>
    <row r="5621" spans="1:26" x14ac:dyDescent="0.25">
      <c r="A5621" s="15" t="str">
        <f>IF(C5621="","",COUNTA($C$3:C5621))</f>
        <v/>
      </c>
      <c r="B5621" s="15" t="str">
        <f t="shared" si="410"/>
        <v/>
      </c>
      <c r="M5621" s="9"/>
      <c r="N5621" s="9"/>
      <c r="P5621" s="14"/>
      <c r="Q5621" s="85"/>
      <c r="R5621" s="89"/>
      <c r="U5621" s="11" t="str">
        <f t="shared" si="409"/>
        <v/>
      </c>
      <c r="V5621" s="37"/>
      <c r="Z5621" s="15"/>
    </row>
    <row r="5622" spans="1:26" x14ac:dyDescent="0.25">
      <c r="A5622" s="15" t="str">
        <f>IF(C5622="","",COUNTA($C$3:C5622))</f>
        <v/>
      </c>
      <c r="B5622" s="15" t="str">
        <f t="shared" si="410"/>
        <v/>
      </c>
      <c r="M5622" s="9"/>
      <c r="N5622" s="9"/>
      <c r="P5622" s="14"/>
      <c r="Q5622" s="85"/>
      <c r="R5622" s="89"/>
      <c r="U5622" s="11" t="str">
        <f t="shared" si="409"/>
        <v/>
      </c>
      <c r="V5622" s="37"/>
      <c r="Z5622" s="15"/>
    </row>
    <row r="5623" spans="1:26" x14ac:dyDescent="0.25">
      <c r="A5623" s="15" t="str">
        <f>IF(C5623="","",COUNTA($C$3:C5623))</f>
        <v/>
      </c>
      <c r="B5623" s="15" t="str">
        <f t="shared" si="410"/>
        <v/>
      </c>
      <c r="M5623" s="9"/>
      <c r="N5623" s="9"/>
      <c r="P5623" s="14"/>
      <c r="Q5623" s="85"/>
      <c r="R5623" s="89"/>
      <c r="U5623" s="11" t="str">
        <f t="shared" si="409"/>
        <v/>
      </c>
      <c r="V5623" s="37"/>
      <c r="Z5623" s="15"/>
    </row>
    <row r="5624" spans="1:26" x14ac:dyDescent="0.25">
      <c r="A5624" s="15" t="str">
        <f>IF(C5624="","",COUNTA($C$3:C5624))</f>
        <v/>
      </c>
      <c r="B5624" s="15" t="str">
        <f t="shared" si="410"/>
        <v/>
      </c>
      <c r="M5624" s="9"/>
      <c r="N5624" s="9"/>
      <c r="P5624" s="14"/>
      <c r="Q5624" s="85"/>
      <c r="R5624" s="89"/>
      <c r="U5624" s="11" t="str">
        <f t="shared" si="409"/>
        <v/>
      </c>
      <c r="V5624" s="37"/>
      <c r="Z5624" s="15"/>
    </row>
    <row r="5625" spans="1:26" x14ac:dyDescent="0.25">
      <c r="A5625" s="15" t="str">
        <f>IF(C5625="","",COUNTA($C$3:C5625))</f>
        <v/>
      </c>
      <c r="B5625" s="15" t="str">
        <f t="shared" si="410"/>
        <v/>
      </c>
      <c r="M5625" s="9"/>
      <c r="N5625" s="9"/>
      <c r="P5625" s="14"/>
      <c r="Q5625" s="85"/>
      <c r="R5625" s="89"/>
      <c r="U5625" s="11" t="str">
        <f t="shared" si="409"/>
        <v/>
      </c>
      <c r="V5625" s="37"/>
      <c r="Z5625" s="15"/>
    </row>
    <row r="5626" spans="1:26" x14ac:dyDescent="0.25">
      <c r="A5626" s="15" t="str">
        <f>IF(C5626="","",COUNTA($C$3:C5626))</f>
        <v/>
      </c>
      <c r="B5626" s="15" t="str">
        <f t="shared" si="410"/>
        <v/>
      </c>
      <c r="M5626" s="9"/>
      <c r="N5626" s="9"/>
      <c r="P5626" s="14"/>
      <c r="Q5626" s="85"/>
      <c r="R5626" s="89"/>
      <c r="U5626" s="11" t="str">
        <f t="shared" si="409"/>
        <v/>
      </c>
      <c r="V5626" s="37"/>
      <c r="Z5626" s="15"/>
    </row>
    <row r="5627" spans="1:26" x14ac:dyDescent="0.25">
      <c r="A5627" s="15" t="str">
        <f>IF(C5627="","",COUNTA($C$3:C5627))</f>
        <v/>
      </c>
      <c r="B5627" s="15" t="str">
        <f t="shared" si="410"/>
        <v/>
      </c>
      <c r="M5627" s="9"/>
      <c r="N5627" s="9"/>
      <c r="P5627" s="14"/>
      <c r="Q5627" s="85"/>
      <c r="R5627" s="89"/>
      <c r="U5627" s="11" t="str">
        <f t="shared" si="409"/>
        <v/>
      </c>
      <c r="V5627" s="37"/>
      <c r="Z5627" s="15"/>
    </row>
    <row r="5628" spans="1:26" x14ac:dyDescent="0.25">
      <c r="A5628" s="15" t="str">
        <f>IF(C5628="","",COUNTA($C$3:C5628))</f>
        <v/>
      </c>
      <c r="B5628" s="15" t="str">
        <f t="shared" si="410"/>
        <v/>
      </c>
      <c r="M5628" s="9"/>
      <c r="N5628" s="9"/>
      <c r="P5628" s="14"/>
      <c r="Q5628" s="85"/>
      <c r="R5628" s="89"/>
      <c r="U5628" s="11" t="str">
        <f t="shared" si="409"/>
        <v/>
      </c>
      <c r="V5628" s="37"/>
      <c r="Z5628" s="15"/>
    </row>
    <row r="5629" spans="1:26" x14ac:dyDescent="0.25">
      <c r="A5629" s="15" t="str">
        <f>IF(C5629="","",COUNTA($C$3:C5629))</f>
        <v/>
      </c>
      <c r="B5629" s="15" t="str">
        <f t="shared" si="410"/>
        <v/>
      </c>
      <c r="M5629" s="9"/>
      <c r="N5629" s="9"/>
      <c r="P5629" s="14"/>
      <c r="Q5629" s="85"/>
      <c r="R5629" s="89"/>
      <c r="U5629" s="11" t="str">
        <f t="shared" si="409"/>
        <v/>
      </c>
      <c r="V5629" s="37"/>
      <c r="Z5629" s="15"/>
    </row>
    <row r="5630" spans="1:26" x14ac:dyDescent="0.25">
      <c r="A5630" s="15" t="str">
        <f>IF(C5630="","",COUNTA($C$3:C5630))</f>
        <v/>
      </c>
      <c r="B5630" s="15" t="str">
        <f t="shared" si="410"/>
        <v/>
      </c>
      <c r="M5630" s="9"/>
      <c r="N5630" s="9"/>
      <c r="P5630" s="14"/>
      <c r="Q5630" s="85"/>
      <c r="R5630" s="89"/>
      <c r="U5630" s="11" t="str">
        <f t="shared" si="409"/>
        <v/>
      </c>
      <c r="V5630" s="37"/>
      <c r="Z5630" s="15"/>
    </row>
    <row r="5631" spans="1:26" x14ac:dyDescent="0.25">
      <c r="A5631" s="15" t="str">
        <f>IF(C5631="","",COUNTA($C$3:C5631))</f>
        <v/>
      </c>
      <c r="B5631" s="15" t="str">
        <f t="shared" si="410"/>
        <v/>
      </c>
      <c r="M5631" s="9"/>
      <c r="N5631" s="9"/>
      <c r="P5631" s="14"/>
      <c r="Q5631" s="85"/>
      <c r="R5631" s="89"/>
      <c r="U5631" s="11" t="str">
        <f t="shared" si="409"/>
        <v/>
      </c>
      <c r="V5631" s="37"/>
      <c r="Z5631" s="15"/>
    </row>
    <row r="5632" spans="1:26" x14ac:dyDescent="0.25">
      <c r="A5632" s="15" t="str">
        <f>IF(C5632="","",COUNTA($C$3:C5632))</f>
        <v/>
      </c>
      <c r="B5632" s="15" t="str">
        <f t="shared" si="410"/>
        <v/>
      </c>
      <c r="M5632" s="9"/>
      <c r="N5632" s="9"/>
      <c r="P5632" s="14"/>
      <c r="Q5632" s="85"/>
      <c r="R5632" s="89"/>
      <c r="U5632" s="11" t="str">
        <f t="shared" si="409"/>
        <v/>
      </c>
      <c r="V5632" s="37"/>
      <c r="Z5632" s="15"/>
    </row>
    <row r="5633" spans="1:26" x14ac:dyDescent="0.25">
      <c r="A5633" s="15" t="str">
        <f>IF(C5633="","",COUNTA($C$3:C5633))</f>
        <v/>
      </c>
      <c r="B5633" s="15" t="str">
        <f t="shared" si="410"/>
        <v/>
      </c>
      <c r="M5633" s="9"/>
      <c r="N5633" s="9"/>
      <c r="P5633" s="14"/>
      <c r="Q5633" s="85"/>
      <c r="R5633" s="89"/>
      <c r="U5633" s="11" t="str">
        <f t="shared" si="409"/>
        <v/>
      </c>
      <c r="V5633" s="37"/>
      <c r="Z5633" s="15"/>
    </row>
    <row r="5634" spans="1:26" x14ac:dyDescent="0.25">
      <c r="A5634" s="15" t="str">
        <f>IF(C5634="","",COUNTA($C$3:C5634))</f>
        <v/>
      </c>
      <c r="B5634" s="15" t="str">
        <f t="shared" si="410"/>
        <v/>
      </c>
      <c r="M5634" s="9"/>
      <c r="N5634" s="9"/>
      <c r="P5634" s="14"/>
      <c r="Q5634" s="85"/>
      <c r="R5634" s="89"/>
      <c r="U5634" s="11" t="str">
        <f t="shared" ref="U5634:U5697" si="411">IF(S5634="","",(S5634-T5634))</f>
        <v/>
      </c>
      <c r="V5634" s="37"/>
      <c r="Z5634" s="15"/>
    </row>
    <row r="5635" spans="1:26" x14ac:dyDescent="0.25">
      <c r="A5635" s="15" t="str">
        <f>IF(C5635="","",COUNTA($C$3:C5635))</f>
        <v/>
      </c>
      <c r="B5635" s="15" t="str">
        <f t="shared" ref="B5635:B5698" si="412">IF(C5635="","",TEXT(C5635,"mmmm"))</f>
        <v/>
      </c>
      <c r="M5635" s="9"/>
      <c r="N5635" s="9"/>
      <c r="P5635" s="14"/>
      <c r="Q5635" s="85"/>
      <c r="R5635" s="89"/>
      <c r="U5635" s="11" t="str">
        <f t="shared" si="411"/>
        <v/>
      </c>
      <c r="V5635" s="37"/>
      <c r="Z5635" s="15"/>
    </row>
    <row r="5636" spans="1:26" x14ac:dyDescent="0.25">
      <c r="A5636" s="15" t="str">
        <f>IF(C5636="","",COUNTA($C$3:C5636))</f>
        <v/>
      </c>
      <c r="B5636" s="15" t="str">
        <f t="shared" si="412"/>
        <v/>
      </c>
      <c r="M5636" s="9"/>
      <c r="N5636" s="9"/>
      <c r="P5636" s="14"/>
      <c r="Q5636" s="85"/>
      <c r="R5636" s="89"/>
      <c r="U5636" s="11" t="str">
        <f t="shared" si="411"/>
        <v/>
      </c>
      <c r="V5636" s="37"/>
      <c r="Z5636" s="15"/>
    </row>
    <row r="5637" spans="1:26" x14ac:dyDescent="0.25">
      <c r="A5637" s="15" t="str">
        <f>IF(C5637="","",COUNTA($C$3:C5637))</f>
        <v/>
      </c>
      <c r="B5637" s="15" t="str">
        <f t="shared" si="412"/>
        <v/>
      </c>
      <c r="M5637" s="9"/>
      <c r="N5637" s="9"/>
      <c r="P5637" s="14"/>
      <c r="Q5637" s="85"/>
      <c r="R5637" s="89"/>
      <c r="U5637" s="11" t="str">
        <f t="shared" si="411"/>
        <v/>
      </c>
      <c r="V5637" s="37"/>
      <c r="Z5637" s="15"/>
    </row>
    <row r="5638" spans="1:26" x14ac:dyDescent="0.25">
      <c r="A5638" s="15" t="str">
        <f>IF(C5638="","",COUNTA($C$3:C5638))</f>
        <v/>
      </c>
      <c r="B5638" s="15" t="str">
        <f t="shared" si="412"/>
        <v/>
      </c>
      <c r="M5638" s="9"/>
      <c r="N5638" s="9"/>
      <c r="P5638" s="14"/>
      <c r="Q5638" s="85"/>
      <c r="R5638" s="89"/>
      <c r="U5638" s="11" t="str">
        <f t="shared" si="411"/>
        <v/>
      </c>
      <c r="V5638" s="37"/>
      <c r="Z5638" s="15"/>
    </row>
    <row r="5639" spans="1:26" x14ac:dyDescent="0.25">
      <c r="A5639" s="15" t="str">
        <f>IF(C5639="","",COUNTA($C$3:C5639))</f>
        <v/>
      </c>
      <c r="B5639" s="15" t="str">
        <f t="shared" si="412"/>
        <v/>
      </c>
      <c r="M5639" s="9"/>
      <c r="N5639" s="9"/>
      <c r="P5639" s="14"/>
      <c r="Q5639" s="85"/>
      <c r="R5639" s="89"/>
      <c r="U5639" s="11" t="str">
        <f t="shared" si="411"/>
        <v/>
      </c>
      <c r="V5639" s="37"/>
      <c r="Z5639" s="15"/>
    </row>
    <row r="5640" spans="1:26" x14ac:dyDescent="0.25">
      <c r="A5640" s="15" t="str">
        <f>IF(C5640="","",COUNTA($C$3:C5640))</f>
        <v/>
      </c>
      <c r="B5640" s="15" t="str">
        <f t="shared" si="412"/>
        <v/>
      </c>
      <c r="M5640" s="9"/>
      <c r="N5640" s="9"/>
      <c r="P5640" s="14"/>
      <c r="Q5640" s="85"/>
      <c r="R5640" s="89"/>
      <c r="U5640" s="11" t="str">
        <f t="shared" si="411"/>
        <v/>
      </c>
      <c r="V5640" s="37"/>
      <c r="Z5640" s="15"/>
    </row>
    <row r="5641" spans="1:26" x14ac:dyDescent="0.25">
      <c r="A5641" s="15" t="str">
        <f>IF(C5641="","",COUNTA($C$3:C5641))</f>
        <v/>
      </c>
      <c r="B5641" s="15" t="str">
        <f t="shared" si="412"/>
        <v/>
      </c>
      <c r="M5641" s="9"/>
      <c r="N5641" s="9"/>
      <c r="P5641" s="14"/>
      <c r="Q5641" s="85"/>
      <c r="R5641" s="89"/>
      <c r="U5641" s="11" t="str">
        <f t="shared" si="411"/>
        <v/>
      </c>
      <c r="V5641" s="37"/>
      <c r="Z5641" s="15"/>
    </row>
    <row r="5642" spans="1:26" x14ac:dyDescent="0.25">
      <c r="A5642" s="15" t="str">
        <f>IF(C5642="","",COUNTA($C$3:C5642))</f>
        <v/>
      </c>
      <c r="B5642" s="15" t="str">
        <f t="shared" si="412"/>
        <v/>
      </c>
      <c r="M5642" s="9"/>
      <c r="N5642" s="9"/>
      <c r="P5642" s="14"/>
      <c r="Q5642" s="85"/>
      <c r="R5642" s="89"/>
      <c r="U5642" s="11" t="str">
        <f t="shared" si="411"/>
        <v/>
      </c>
      <c r="V5642" s="37"/>
      <c r="Z5642" s="15"/>
    </row>
    <row r="5643" spans="1:26" x14ac:dyDescent="0.25">
      <c r="A5643" s="15" t="str">
        <f>IF(C5643="","",COUNTA($C$3:C5643))</f>
        <v/>
      </c>
      <c r="B5643" s="15" t="str">
        <f t="shared" si="412"/>
        <v/>
      </c>
      <c r="M5643" s="9"/>
      <c r="N5643" s="9"/>
      <c r="P5643" s="14"/>
      <c r="Q5643" s="85"/>
      <c r="R5643" s="89"/>
      <c r="U5643" s="11" t="str">
        <f t="shared" si="411"/>
        <v/>
      </c>
      <c r="V5643" s="37"/>
      <c r="Z5643" s="15"/>
    </row>
    <row r="5644" spans="1:26" x14ac:dyDescent="0.25">
      <c r="A5644" s="15" t="str">
        <f>IF(C5644="","",COUNTA($C$3:C5644))</f>
        <v/>
      </c>
      <c r="B5644" s="15" t="str">
        <f t="shared" si="412"/>
        <v/>
      </c>
      <c r="M5644" s="9"/>
      <c r="N5644" s="9"/>
      <c r="P5644" s="14"/>
      <c r="Q5644" s="85"/>
      <c r="R5644" s="89"/>
      <c r="U5644" s="11" t="str">
        <f t="shared" si="411"/>
        <v/>
      </c>
      <c r="V5644" s="37"/>
      <c r="Z5644" s="15"/>
    </row>
    <row r="5645" spans="1:26" x14ac:dyDescent="0.25">
      <c r="A5645" s="15" t="str">
        <f>IF(C5645="","",COUNTA($C$3:C5645))</f>
        <v/>
      </c>
      <c r="B5645" s="15" t="str">
        <f t="shared" si="412"/>
        <v/>
      </c>
      <c r="M5645" s="9"/>
      <c r="N5645" s="9"/>
      <c r="P5645" s="14"/>
      <c r="Q5645" s="85"/>
      <c r="R5645" s="89"/>
      <c r="U5645" s="11" t="str">
        <f t="shared" si="411"/>
        <v/>
      </c>
      <c r="V5645" s="37"/>
      <c r="Z5645" s="15"/>
    </row>
    <row r="5646" spans="1:26" x14ac:dyDescent="0.25">
      <c r="A5646" s="15" t="str">
        <f>IF(C5646="","",COUNTA($C$3:C5646))</f>
        <v/>
      </c>
      <c r="B5646" s="15" t="str">
        <f t="shared" si="412"/>
        <v/>
      </c>
      <c r="M5646" s="9"/>
      <c r="N5646" s="9"/>
      <c r="P5646" s="14"/>
      <c r="Q5646" s="85"/>
      <c r="R5646" s="89"/>
      <c r="U5646" s="11" t="str">
        <f t="shared" si="411"/>
        <v/>
      </c>
      <c r="V5646" s="37"/>
      <c r="Z5646" s="15"/>
    </row>
    <row r="5647" spans="1:26" x14ac:dyDescent="0.25">
      <c r="A5647" s="15" t="str">
        <f>IF(C5647="","",COUNTA($C$3:C5647))</f>
        <v/>
      </c>
      <c r="B5647" s="15" t="str">
        <f t="shared" si="412"/>
        <v/>
      </c>
      <c r="M5647" s="9"/>
      <c r="N5647" s="9"/>
      <c r="P5647" s="14"/>
      <c r="Q5647" s="85"/>
      <c r="R5647" s="89"/>
      <c r="U5647" s="11" t="str">
        <f t="shared" si="411"/>
        <v/>
      </c>
      <c r="V5647" s="37"/>
      <c r="Z5647" s="15"/>
    </row>
    <row r="5648" spans="1:26" x14ac:dyDescent="0.25">
      <c r="A5648" s="15" t="str">
        <f>IF(C5648="","",COUNTA($C$3:C5648))</f>
        <v/>
      </c>
      <c r="B5648" s="15" t="str">
        <f t="shared" si="412"/>
        <v/>
      </c>
      <c r="M5648" s="9"/>
      <c r="N5648" s="9"/>
      <c r="P5648" s="14"/>
      <c r="Q5648" s="85"/>
      <c r="R5648" s="89"/>
      <c r="U5648" s="11" t="str">
        <f t="shared" si="411"/>
        <v/>
      </c>
      <c r="V5648" s="37"/>
      <c r="Z5648" s="15"/>
    </row>
    <row r="5649" spans="1:26" x14ac:dyDescent="0.25">
      <c r="A5649" s="15" t="str">
        <f>IF(C5649="","",COUNTA($C$3:C5649))</f>
        <v/>
      </c>
      <c r="B5649" s="15" t="str">
        <f t="shared" si="412"/>
        <v/>
      </c>
      <c r="M5649" s="9"/>
      <c r="N5649" s="9"/>
      <c r="P5649" s="14"/>
      <c r="Q5649" s="85"/>
      <c r="R5649" s="89"/>
      <c r="U5649" s="11" t="str">
        <f t="shared" si="411"/>
        <v/>
      </c>
      <c r="V5649" s="37"/>
      <c r="Z5649" s="15"/>
    </row>
    <row r="5650" spans="1:26" x14ac:dyDescent="0.25">
      <c r="A5650" s="15" t="str">
        <f>IF(C5650="","",COUNTA($C$3:C5650))</f>
        <v/>
      </c>
      <c r="B5650" s="15" t="str">
        <f t="shared" si="412"/>
        <v/>
      </c>
      <c r="M5650" s="9"/>
      <c r="N5650" s="9"/>
      <c r="P5650" s="14"/>
      <c r="Q5650" s="85"/>
      <c r="R5650" s="89"/>
      <c r="U5650" s="11" t="str">
        <f t="shared" si="411"/>
        <v/>
      </c>
      <c r="V5650" s="37"/>
      <c r="Z5650" s="15"/>
    </row>
    <row r="5651" spans="1:26" x14ac:dyDescent="0.25">
      <c r="A5651" s="15" t="str">
        <f>IF(C5651="","",COUNTA($C$3:C5651))</f>
        <v/>
      </c>
      <c r="B5651" s="15" t="str">
        <f t="shared" si="412"/>
        <v/>
      </c>
      <c r="M5651" s="9"/>
      <c r="N5651" s="9"/>
      <c r="P5651" s="14"/>
      <c r="Q5651" s="85"/>
      <c r="R5651" s="89"/>
      <c r="U5651" s="11" t="str">
        <f t="shared" si="411"/>
        <v/>
      </c>
      <c r="V5651" s="37"/>
      <c r="Z5651" s="15"/>
    </row>
    <row r="5652" spans="1:26" x14ac:dyDescent="0.25">
      <c r="A5652" s="15" t="str">
        <f>IF(C5652="","",COUNTA($C$3:C5652))</f>
        <v/>
      </c>
      <c r="B5652" s="15" t="str">
        <f t="shared" si="412"/>
        <v/>
      </c>
      <c r="M5652" s="9"/>
      <c r="N5652" s="9"/>
      <c r="P5652" s="14"/>
      <c r="Q5652" s="85"/>
      <c r="R5652" s="89"/>
      <c r="U5652" s="11" t="str">
        <f t="shared" si="411"/>
        <v/>
      </c>
      <c r="V5652" s="37"/>
      <c r="Z5652" s="15"/>
    </row>
    <row r="5653" spans="1:26" x14ac:dyDescent="0.25">
      <c r="A5653" s="15" t="str">
        <f>IF(C5653="","",COUNTA($C$3:C5653))</f>
        <v/>
      </c>
      <c r="B5653" s="15" t="str">
        <f t="shared" si="412"/>
        <v/>
      </c>
      <c r="M5653" s="9"/>
      <c r="N5653" s="9"/>
      <c r="P5653" s="14"/>
      <c r="Q5653" s="85"/>
      <c r="R5653" s="89"/>
      <c r="U5653" s="11" t="str">
        <f t="shared" si="411"/>
        <v/>
      </c>
      <c r="V5653" s="37"/>
      <c r="Z5653" s="15"/>
    </row>
    <row r="5654" spans="1:26" x14ac:dyDescent="0.25">
      <c r="A5654" s="15" t="str">
        <f>IF(C5654="","",COUNTA($C$3:C5654))</f>
        <v/>
      </c>
      <c r="B5654" s="15" t="str">
        <f t="shared" si="412"/>
        <v/>
      </c>
      <c r="M5654" s="9"/>
      <c r="N5654" s="9"/>
      <c r="P5654" s="14"/>
      <c r="Q5654" s="85"/>
      <c r="R5654" s="89"/>
      <c r="U5654" s="11" t="str">
        <f t="shared" si="411"/>
        <v/>
      </c>
      <c r="V5654" s="37"/>
      <c r="Z5654" s="15"/>
    </row>
    <row r="5655" spans="1:26" x14ac:dyDescent="0.25">
      <c r="A5655" s="15" t="str">
        <f>IF(C5655="","",COUNTA($C$3:C5655))</f>
        <v/>
      </c>
      <c r="B5655" s="15" t="str">
        <f t="shared" si="412"/>
        <v/>
      </c>
      <c r="M5655" s="9"/>
      <c r="N5655" s="9"/>
      <c r="P5655" s="14"/>
      <c r="Q5655" s="85"/>
      <c r="R5655" s="89"/>
      <c r="U5655" s="11" t="str">
        <f t="shared" si="411"/>
        <v/>
      </c>
      <c r="V5655" s="37"/>
      <c r="Z5655" s="15"/>
    </row>
    <row r="5656" spans="1:26" x14ac:dyDescent="0.25">
      <c r="A5656" s="15" t="str">
        <f>IF(C5656="","",COUNTA($C$3:C5656))</f>
        <v/>
      </c>
      <c r="B5656" s="15" t="str">
        <f t="shared" si="412"/>
        <v/>
      </c>
      <c r="M5656" s="9"/>
      <c r="N5656" s="9"/>
      <c r="P5656" s="14"/>
      <c r="Q5656" s="85"/>
      <c r="R5656" s="89"/>
      <c r="U5656" s="11" t="str">
        <f t="shared" si="411"/>
        <v/>
      </c>
      <c r="V5656" s="37"/>
      <c r="Z5656" s="15"/>
    </row>
    <row r="5657" spans="1:26" x14ac:dyDescent="0.25">
      <c r="A5657" s="15" t="str">
        <f>IF(C5657="","",COUNTA($C$3:C5657))</f>
        <v/>
      </c>
      <c r="B5657" s="15" t="str">
        <f t="shared" si="412"/>
        <v/>
      </c>
      <c r="M5657" s="9"/>
      <c r="N5657" s="9"/>
      <c r="P5657" s="14"/>
      <c r="Q5657" s="85"/>
      <c r="R5657" s="89"/>
      <c r="U5657" s="11" t="str">
        <f t="shared" si="411"/>
        <v/>
      </c>
      <c r="V5657" s="37"/>
      <c r="Z5657" s="15"/>
    </row>
    <row r="5658" spans="1:26" x14ac:dyDescent="0.25">
      <c r="A5658" s="15" t="str">
        <f>IF(C5658="","",COUNTA($C$3:C5658))</f>
        <v/>
      </c>
      <c r="B5658" s="15" t="str">
        <f t="shared" si="412"/>
        <v/>
      </c>
      <c r="M5658" s="9"/>
      <c r="N5658" s="9"/>
      <c r="P5658" s="14"/>
      <c r="Q5658" s="85"/>
      <c r="R5658" s="89"/>
      <c r="U5658" s="11" t="str">
        <f t="shared" si="411"/>
        <v/>
      </c>
      <c r="V5658" s="37"/>
      <c r="Z5658" s="15"/>
    </row>
    <row r="5659" spans="1:26" x14ac:dyDescent="0.25">
      <c r="A5659" s="15" t="str">
        <f>IF(C5659="","",COUNTA($C$3:C5659))</f>
        <v/>
      </c>
      <c r="B5659" s="15" t="str">
        <f t="shared" si="412"/>
        <v/>
      </c>
      <c r="M5659" s="9"/>
      <c r="N5659" s="9"/>
      <c r="P5659" s="14"/>
      <c r="Q5659" s="85"/>
      <c r="R5659" s="89"/>
      <c r="U5659" s="11" t="str">
        <f t="shared" si="411"/>
        <v/>
      </c>
      <c r="V5659" s="37"/>
      <c r="Z5659" s="15"/>
    </row>
    <row r="5660" spans="1:26" x14ac:dyDescent="0.25">
      <c r="A5660" s="15" t="str">
        <f>IF(C5660="","",COUNTA($C$3:C5660))</f>
        <v/>
      </c>
      <c r="B5660" s="15" t="str">
        <f t="shared" si="412"/>
        <v/>
      </c>
      <c r="M5660" s="9"/>
      <c r="N5660" s="9"/>
      <c r="P5660" s="14"/>
      <c r="Q5660" s="85"/>
      <c r="R5660" s="89"/>
      <c r="U5660" s="11" t="str">
        <f t="shared" si="411"/>
        <v/>
      </c>
      <c r="V5660" s="37"/>
      <c r="Z5660" s="15"/>
    </row>
    <row r="5661" spans="1:26" x14ac:dyDescent="0.25">
      <c r="A5661" s="15" t="str">
        <f>IF(C5661="","",COUNTA($C$3:C5661))</f>
        <v/>
      </c>
      <c r="B5661" s="15" t="str">
        <f t="shared" si="412"/>
        <v/>
      </c>
      <c r="M5661" s="9"/>
      <c r="N5661" s="9"/>
      <c r="P5661" s="14"/>
      <c r="Q5661" s="85"/>
      <c r="R5661" s="89"/>
      <c r="U5661" s="11" t="str">
        <f t="shared" si="411"/>
        <v/>
      </c>
      <c r="V5661" s="37"/>
      <c r="Z5661" s="15"/>
    </row>
    <row r="5662" spans="1:26" x14ac:dyDescent="0.25">
      <c r="A5662" s="15" t="str">
        <f>IF(C5662="","",COUNTA($C$3:C5662))</f>
        <v/>
      </c>
      <c r="B5662" s="15" t="str">
        <f t="shared" si="412"/>
        <v/>
      </c>
      <c r="M5662" s="9"/>
      <c r="N5662" s="9"/>
      <c r="P5662" s="14"/>
      <c r="Q5662" s="85"/>
      <c r="R5662" s="89"/>
      <c r="U5662" s="11" t="str">
        <f t="shared" si="411"/>
        <v/>
      </c>
      <c r="V5662" s="37"/>
      <c r="Z5662" s="15"/>
    </row>
    <row r="5663" spans="1:26" x14ac:dyDescent="0.25">
      <c r="A5663" s="15" t="str">
        <f>IF(C5663="","",COUNTA($C$3:C5663))</f>
        <v/>
      </c>
      <c r="B5663" s="15" t="str">
        <f t="shared" si="412"/>
        <v/>
      </c>
      <c r="M5663" s="9"/>
      <c r="N5663" s="9"/>
      <c r="P5663" s="14"/>
      <c r="Q5663" s="85"/>
      <c r="R5663" s="89"/>
      <c r="U5663" s="11" t="str">
        <f t="shared" si="411"/>
        <v/>
      </c>
      <c r="V5663" s="37"/>
      <c r="Z5663" s="15"/>
    </row>
    <row r="5664" spans="1:26" x14ac:dyDescent="0.25">
      <c r="A5664" s="15" t="str">
        <f>IF(C5664="","",COUNTA($C$3:C5664))</f>
        <v/>
      </c>
      <c r="B5664" s="15" t="str">
        <f t="shared" si="412"/>
        <v/>
      </c>
      <c r="M5664" s="9"/>
      <c r="N5664" s="9"/>
      <c r="P5664" s="14"/>
      <c r="Q5664" s="85"/>
      <c r="R5664" s="89"/>
      <c r="U5664" s="11" t="str">
        <f t="shared" si="411"/>
        <v/>
      </c>
      <c r="V5664" s="37"/>
      <c r="Z5664" s="15"/>
    </row>
    <row r="5665" spans="1:26" x14ac:dyDescent="0.25">
      <c r="A5665" s="15" t="str">
        <f>IF(C5665="","",COUNTA($C$3:C5665))</f>
        <v/>
      </c>
      <c r="B5665" s="15" t="str">
        <f t="shared" si="412"/>
        <v/>
      </c>
      <c r="M5665" s="9"/>
      <c r="N5665" s="9"/>
      <c r="P5665" s="14"/>
      <c r="Q5665" s="85"/>
      <c r="R5665" s="89"/>
      <c r="U5665" s="11" t="str">
        <f t="shared" si="411"/>
        <v/>
      </c>
      <c r="V5665" s="37"/>
      <c r="Z5665" s="15"/>
    </row>
    <row r="5666" spans="1:26" x14ac:dyDescent="0.25">
      <c r="A5666" s="15" t="str">
        <f>IF(C5666="","",COUNTA($C$3:C5666))</f>
        <v/>
      </c>
      <c r="B5666" s="15" t="str">
        <f t="shared" si="412"/>
        <v/>
      </c>
      <c r="M5666" s="9"/>
      <c r="N5666" s="9"/>
      <c r="P5666" s="14"/>
      <c r="Q5666" s="85"/>
      <c r="R5666" s="89"/>
      <c r="U5666" s="11" t="str">
        <f t="shared" si="411"/>
        <v/>
      </c>
      <c r="V5666" s="37"/>
      <c r="Z5666" s="15"/>
    </row>
    <row r="5667" spans="1:26" x14ac:dyDescent="0.25">
      <c r="A5667" s="15" t="str">
        <f>IF(C5667="","",COUNTA($C$3:C5667))</f>
        <v/>
      </c>
      <c r="B5667" s="15" t="str">
        <f t="shared" si="412"/>
        <v/>
      </c>
      <c r="M5667" s="9"/>
      <c r="N5667" s="9"/>
      <c r="P5667" s="14"/>
      <c r="Q5667" s="85"/>
      <c r="R5667" s="89"/>
      <c r="U5667" s="11" t="str">
        <f t="shared" si="411"/>
        <v/>
      </c>
      <c r="V5667" s="37"/>
      <c r="Z5667" s="15"/>
    </row>
    <row r="5668" spans="1:26" x14ac:dyDescent="0.25">
      <c r="A5668" s="15" t="str">
        <f>IF(C5668="","",COUNTA($C$3:C5668))</f>
        <v/>
      </c>
      <c r="B5668" s="15" t="str">
        <f t="shared" si="412"/>
        <v/>
      </c>
      <c r="M5668" s="9"/>
      <c r="N5668" s="9"/>
      <c r="P5668" s="14"/>
      <c r="Q5668" s="85"/>
      <c r="R5668" s="89"/>
      <c r="U5668" s="11" t="str">
        <f t="shared" si="411"/>
        <v/>
      </c>
      <c r="V5668" s="37"/>
      <c r="Z5668" s="15"/>
    </row>
    <row r="5669" spans="1:26" x14ac:dyDescent="0.25">
      <c r="A5669" s="15" t="str">
        <f>IF(C5669="","",COUNTA($C$3:C5669))</f>
        <v/>
      </c>
      <c r="B5669" s="15" t="str">
        <f t="shared" si="412"/>
        <v/>
      </c>
      <c r="M5669" s="9"/>
      <c r="N5669" s="9"/>
      <c r="P5669" s="14"/>
      <c r="Q5669" s="85"/>
      <c r="R5669" s="89"/>
      <c r="U5669" s="11" t="str">
        <f t="shared" si="411"/>
        <v/>
      </c>
      <c r="V5669" s="37"/>
      <c r="Z5669" s="15"/>
    </row>
    <row r="5670" spans="1:26" x14ac:dyDescent="0.25">
      <c r="A5670" s="15" t="str">
        <f>IF(C5670="","",COUNTA($C$3:C5670))</f>
        <v/>
      </c>
      <c r="B5670" s="15" t="str">
        <f t="shared" si="412"/>
        <v/>
      </c>
      <c r="M5670" s="9"/>
      <c r="N5670" s="9"/>
      <c r="P5670" s="14"/>
      <c r="Q5670" s="85"/>
      <c r="R5670" s="89"/>
      <c r="U5670" s="11" t="str">
        <f t="shared" si="411"/>
        <v/>
      </c>
      <c r="V5670" s="37"/>
      <c r="Z5670" s="15"/>
    </row>
    <row r="5671" spans="1:26" x14ac:dyDescent="0.25">
      <c r="A5671" s="15" t="str">
        <f>IF(C5671="","",COUNTA($C$3:C5671))</f>
        <v/>
      </c>
      <c r="B5671" s="15" t="str">
        <f t="shared" si="412"/>
        <v/>
      </c>
      <c r="M5671" s="9"/>
      <c r="N5671" s="9"/>
      <c r="P5671" s="14"/>
      <c r="Q5671" s="85"/>
      <c r="R5671" s="89"/>
      <c r="U5671" s="11" t="str">
        <f t="shared" si="411"/>
        <v/>
      </c>
      <c r="V5671" s="37"/>
      <c r="Z5671" s="15"/>
    </row>
    <row r="5672" spans="1:26" x14ac:dyDescent="0.25">
      <c r="A5672" s="15" t="str">
        <f>IF(C5672="","",COUNTA($C$3:C5672))</f>
        <v/>
      </c>
      <c r="B5672" s="15" t="str">
        <f t="shared" si="412"/>
        <v/>
      </c>
      <c r="M5672" s="9"/>
      <c r="N5672" s="9"/>
      <c r="P5672" s="14"/>
      <c r="Q5672" s="85"/>
      <c r="R5672" s="89"/>
      <c r="U5672" s="11" t="str">
        <f t="shared" si="411"/>
        <v/>
      </c>
      <c r="V5672" s="37"/>
      <c r="Z5672" s="15"/>
    </row>
    <row r="5673" spans="1:26" x14ac:dyDescent="0.25">
      <c r="A5673" s="15" t="str">
        <f>IF(C5673="","",COUNTA($C$3:C5673))</f>
        <v/>
      </c>
      <c r="B5673" s="15" t="str">
        <f t="shared" si="412"/>
        <v/>
      </c>
      <c r="M5673" s="9"/>
      <c r="N5673" s="9"/>
      <c r="P5673" s="14"/>
      <c r="Q5673" s="85"/>
      <c r="R5673" s="89"/>
      <c r="U5673" s="11" t="str">
        <f t="shared" si="411"/>
        <v/>
      </c>
      <c r="V5673" s="37"/>
      <c r="Z5673" s="15"/>
    </row>
    <row r="5674" spans="1:26" x14ac:dyDescent="0.25">
      <c r="A5674" s="15" t="str">
        <f>IF(C5674="","",COUNTA($C$3:C5674))</f>
        <v/>
      </c>
      <c r="B5674" s="15" t="str">
        <f t="shared" si="412"/>
        <v/>
      </c>
      <c r="M5674" s="9"/>
      <c r="N5674" s="9"/>
      <c r="P5674" s="14"/>
      <c r="Q5674" s="85"/>
      <c r="R5674" s="89"/>
      <c r="U5674" s="11" t="str">
        <f t="shared" si="411"/>
        <v/>
      </c>
      <c r="V5674" s="37"/>
      <c r="Z5674" s="15"/>
    </row>
    <row r="5675" spans="1:26" x14ac:dyDescent="0.25">
      <c r="A5675" s="15" t="str">
        <f>IF(C5675="","",COUNTA($C$3:C5675))</f>
        <v/>
      </c>
      <c r="B5675" s="15" t="str">
        <f t="shared" si="412"/>
        <v/>
      </c>
      <c r="M5675" s="9"/>
      <c r="N5675" s="9"/>
      <c r="P5675" s="14"/>
      <c r="Q5675" s="85"/>
      <c r="R5675" s="89"/>
      <c r="U5675" s="11" t="str">
        <f t="shared" si="411"/>
        <v/>
      </c>
      <c r="V5675" s="37"/>
      <c r="Z5675" s="15"/>
    </row>
    <row r="5676" spans="1:26" x14ac:dyDescent="0.25">
      <c r="A5676" s="15" t="str">
        <f>IF(C5676="","",COUNTA($C$3:C5676))</f>
        <v/>
      </c>
      <c r="B5676" s="15" t="str">
        <f t="shared" si="412"/>
        <v/>
      </c>
      <c r="M5676" s="9"/>
      <c r="N5676" s="9"/>
      <c r="P5676" s="14"/>
      <c r="Q5676" s="85"/>
      <c r="R5676" s="89"/>
      <c r="U5676" s="11" t="str">
        <f t="shared" si="411"/>
        <v/>
      </c>
      <c r="V5676" s="37"/>
      <c r="Z5676" s="15"/>
    </row>
    <row r="5677" spans="1:26" x14ac:dyDescent="0.25">
      <c r="A5677" s="15" t="str">
        <f>IF(C5677="","",COUNTA($C$3:C5677))</f>
        <v/>
      </c>
      <c r="B5677" s="15" t="str">
        <f t="shared" si="412"/>
        <v/>
      </c>
      <c r="M5677" s="9"/>
      <c r="N5677" s="9"/>
      <c r="P5677" s="14"/>
      <c r="Q5677" s="85"/>
      <c r="R5677" s="89"/>
      <c r="U5677" s="11" t="str">
        <f t="shared" si="411"/>
        <v/>
      </c>
      <c r="V5677" s="37"/>
      <c r="Z5677" s="15"/>
    </row>
    <row r="5678" spans="1:26" x14ac:dyDescent="0.25">
      <c r="A5678" s="15" t="str">
        <f>IF(C5678="","",COUNTA($C$3:C5678))</f>
        <v/>
      </c>
      <c r="B5678" s="15" t="str">
        <f t="shared" si="412"/>
        <v/>
      </c>
      <c r="M5678" s="9"/>
      <c r="N5678" s="9"/>
      <c r="P5678" s="14"/>
      <c r="Q5678" s="85"/>
      <c r="R5678" s="89"/>
      <c r="U5678" s="11" t="str">
        <f t="shared" si="411"/>
        <v/>
      </c>
      <c r="V5678" s="37"/>
      <c r="Z5678" s="15"/>
    </row>
    <row r="5679" spans="1:26" x14ac:dyDescent="0.25">
      <c r="A5679" s="15" t="str">
        <f>IF(C5679="","",COUNTA($C$3:C5679))</f>
        <v/>
      </c>
      <c r="B5679" s="15" t="str">
        <f t="shared" si="412"/>
        <v/>
      </c>
      <c r="M5679" s="9"/>
      <c r="N5679" s="9"/>
      <c r="P5679" s="14"/>
      <c r="Q5679" s="85"/>
      <c r="R5679" s="89"/>
      <c r="U5679" s="11" t="str">
        <f t="shared" si="411"/>
        <v/>
      </c>
      <c r="V5679" s="37"/>
      <c r="Z5679" s="15"/>
    </row>
    <row r="5680" spans="1:26" x14ac:dyDescent="0.25">
      <c r="A5680" s="15" t="str">
        <f>IF(C5680="","",COUNTA($C$3:C5680))</f>
        <v/>
      </c>
      <c r="B5680" s="15" t="str">
        <f t="shared" si="412"/>
        <v/>
      </c>
      <c r="M5680" s="9"/>
      <c r="N5680" s="9"/>
      <c r="P5680" s="14"/>
      <c r="Q5680" s="85"/>
      <c r="R5680" s="89"/>
      <c r="U5680" s="11" t="str">
        <f t="shared" si="411"/>
        <v/>
      </c>
      <c r="V5680" s="37"/>
      <c r="Z5680" s="15"/>
    </row>
    <row r="5681" spans="1:26" x14ac:dyDescent="0.25">
      <c r="A5681" s="15" t="str">
        <f>IF(C5681="","",COUNTA($C$3:C5681))</f>
        <v/>
      </c>
      <c r="B5681" s="15" t="str">
        <f t="shared" si="412"/>
        <v/>
      </c>
      <c r="M5681" s="9"/>
      <c r="N5681" s="9"/>
      <c r="P5681" s="14"/>
      <c r="Q5681" s="85"/>
      <c r="R5681" s="89"/>
      <c r="U5681" s="11" t="str">
        <f t="shared" si="411"/>
        <v/>
      </c>
      <c r="V5681" s="37"/>
      <c r="Z5681" s="15"/>
    </row>
    <row r="5682" spans="1:26" x14ac:dyDescent="0.25">
      <c r="A5682" s="15" t="str">
        <f>IF(C5682="","",COUNTA($C$3:C5682))</f>
        <v/>
      </c>
      <c r="B5682" s="15" t="str">
        <f t="shared" si="412"/>
        <v/>
      </c>
      <c r="M5682" s="9"/>
      <c r="N5682" s="9"/>
      <c r="P5682" s="14"/>
      <c r="Q5682" s="85"/>
      <c r="R5682" s="89"/>
      <c r="U5682" s="11" t="str">
        <f t="shared" si="411"/>
        <v/>
      </c>
      <c r="V5682" s="37"/>
      <c r="Z5682" s="15"/>
    </row>
    <row r="5683" spans="1:26" x14ac:dyDescent="0.25">
      <c r="A5683" s="15" t="str">
        <f>IF(C5683="","",COUNTA($C$3:C5683))</f>
        <v/>
      </c>
      <c r="B5683" s="15" t="str">
        <f t="shared" si="412"/>
        <v/>
      </c>
      <c r="M5683" s="9"/>
      <c r="N5683" s="9"/>
      <c r="P5683" s="14"/>
      <c r="Q5683" s="85"/>
      <c r="R5683" s="89"/>
      <c r="U5683" s="11" t="str">
        <f t="shared" si="411"/>
        <v/>
      </c>
      <c r="V5683" s="37"/>
      <c r="Z5683" s="15"/>
    </row>
    <row r="5684" spans="1:26" x14ac:dyDescent="0.25">
      <c r="A5684" s="15" t="str">
        <f>IF(C5684="","",COUNTA($C$3:C5684))</f>
        <v/>
      </c>
      <c r="B5684" s="15" t="str">
        <f t="shared" si="412"/>
        <v/>
      </c>
      <c r="M5684" s="9"/>
      <c r="N5684" s="9"/>
      <c r="P5684" s="14"/>
      <c r="Q5684" s="85"/>
      <c r="R5684" s="89"/>
      <c r="U5684" s="11" t="str">
        <f t="shared" si="411"/>
        <v/>
      </c>
      <c r="V5684" s="37"/>
      <c r="Z5684" s="15"/>
    </row>
    <row r="5685" spans="1:26" x14ac:dyDescent="0.25">
      <c r="A5685" s="15" t="str">
        <f>IF(C5685="","",COUNTA($C$3:C5685))</f>
        <v/>
      </c>
      <c r="B5685" s="15" t="str">
        <f t="shared" si="412"/>
        <v/>
      </c>
      <c r="M5685" s="9"/>
      <c r="N5685" s="9"/>
      <c r="P5685" s="14"/>
      <c r="Q5685" s="85"/>
      <c r="R5685" s="89"/>
      <c r="U5685" s="11" t="str">
        <f t="shared" si="411"/>
        <v/>
      </c>
      <c r="V5685" s="37"/>
      <c r="Z5685" s="15"/>
    </row>
    <row r="5686" spans="1:26" x14ac:dyDescent="0.25">
      <c r="A5686" s="15" t="str">
        <f>IF(C5686="","",COUNTA($C$3:C5686))</f>
        <v/>
      </c>
      <c r="B5686" s="15" t="str">
        <f t="shared" si="412"/>
        <v/>
      </c>
      <c r="M5686" s="9"/>
      <c r="N5686" s="9"/>
      <c r="P5686" s="14"/>
      <c r="Q5686" s="85"/>
      <c r="R5686" s="89"/>
      <c r="U5686" s="11" t="str">
        <f t="shared" si="411"/>
        <v/>
      </c>
      <c r="V5686" s="37"/>
      <c r="Z5686" s="15"/>
    </row>
    <row r="5687" spans="1:26" x14ac:dyDescent="0.25">
      <c r="A5687" s="15" t="str">
        <f>IF(C5687="","",COUNTA($C$3:C5687))</f>
        <v/>
      </c>
      <c r="B5687" s="15" t="str">
        <f t="shared" si="412"/>
        <v/>
      </c>
      <c r="M5687" s="9"/>
      <c r="N5687" s="9"/>
      <c r="P5687" s="14"/>
      <c r="Q5687" s="85"/>
      <c r="R5687" s="89"/>
      <c r="U5687" s="11" t="str">
        <f t="shared" si="411"/>
        <v/>
      </c>
      <c r="V5687" s="37"/>
      <c r="Z5687" s="15"/>
    </row>
    <row r="5688" spans="1:26" x14ac:dyDescent="0.25">
      <c r="A5688" s="15" t="str">
        <f>IF(C5688="","",COUNTA($C$3:C5688))</f>
        <v/>
      </c>
      <c r="B5688" s="15" t="str">
        <f t="shared" si="412"/>
        <v/>
      </c>
      <c r="M5688" s="9"/>
      <c r="N5688" s="9"/>
      <c r="P5688" s="14"/>
      <c r="Q5688" s="85"/>
      <c r="R5688" s="89"/>
      <c r="U5688" s="11" t="str">
        <f t="shared" si="411"/>
        <v/>
      </c>
      <c r="V5688" s="37"/>
      <c r="Z5688" s="15"/>
    </row>
    <row r="5689" spans="1:26" x14ac:dyDescent="0.25">
      <c r="A5689" s="15" t="str">
        <f>IF(C5689="","",COUNTA($C$3:C5689))</f>
        <v/>
      </c>
      <c r="B5689" s="15" t="str">
        <f t="shared" si="412"/>
        <v/>
      </c>
      <c r="M5689" s="9"/>
      <c r="N5689" s="9"/>
      <c r="P5689" s="14"/>
      <c r="Q5689" s="85"/>
      <c r="R5689" s="89"/>
      <c r="U5689" s="11" t="str">
        <f t="shared" si="411"/>
        <v/>
      </c>
      <c r="V5689" s="37"/>
      <c r="Z5689" s="15"/>
    </row>
    <row r="5690" spans="1:26" x14ac:dyDescent="0.25">
      <c r="A5690" s="15" t="str">
        <f>IF(C5690="","",COUNTA($C$3:C5690))</f>
        <v/>
      </c>
      <c r="B5690" s="15" t="str">
        <f t="shared" si="412"/>
        <v/>
      </c>
      <c r="M5690" s="9"/>
      <c r="N5690" s="9"/>
      <c r="P5690" s="14"/>
      <c r="Q5690" s="85"/>
      <c r="R5690" s="89"/>
      <c r="U5690" s="11" t="str">
        <f t="shared" si="411"/>
        <v/>
      </c>
      <c r="V5690" s="37"/>
      <c r="Z5690" s="15"/>
    </row>
    <row r="5691" spans="1:26" x14ac:dyDescent="0.25">
      <c r="A5691" s="15" t="str">
        <f>IF(C5691="","",COUNTA($C$3:C5691))</f>
        <v/>
      </c>
      <c r="B5691" s="15" t="str">
        <f t="shared" si="412"/>
        <v/>
      </c>
      <c r="M5691" s="9"/>
      <c r="N5691" s="9"/>
      <c r="P5691" s="14"/>
      <c r="Q5691" s="85"/>
      <c r="R5691" s="89"/>
      <c r="U5691" s="11" t="str">
        <f t="shared" si="411"/>
        <v/>
      </c>
      <c r="V5691" s="37"/>
      <c r="Z5691" s="15"/>
    </row>
    <row r="5692" spans="1:26" x14ac:dyDescent="0.25">
      <c r="A5692" s="15" t="str">
        <f>IF(C5692="","",COUNTA($C$3:C5692))</f>
        <v/>
      </c>
      <c r="B5692" s="15" t="str">
        <f t="shared" si="412"/>
        <v/>
      </c>
      <c r="M5692" s="9"/>
      <c r="N5692" s="9"/>
      <c r="P5692" s="14"/>
      <c r="Q5692" s="85"/>
      <c r="R5692" s="89"/>
      <c r="U5692" s="11" t="str">
        <f t="shared" si="411"/>
        <v/>
      </c>
      <c r="V5692" s="37"/>
      <c r="Z5692" s="15"/>
    </row>
    <row r="5693" spans="1:26" x14ac:dyDescent="0.25">
      <c r="A5693" s="15" t="str">
        <f>IF(C5693="","",COUNTA($C$3:C5693))</f>
        <v/>
      </c>
      <c r="B5693" s="15" t="str">
        <f t="shared" si="412"/>
        <v/>
      </c>
      <c r="M5693" s="9"/>
      <c r="N5693" s="9"/>
      <c r="P5693" s="14"/>
      <c r="Q5693" s="85"/>
      <c r="R5693" s="89"/>
      <c r="U5693" s="11" t="str">
        <f t="shared" si="411"/>
        <v/>
      </c>
      <c r="V5693" s="37"/>
      <c r="Z5693" s="15"/>
    </row>
    <row r="5694" spans="1:26" x14ac:dyDescent="0.25">
      <c r="A5694" s="15" t="str">
        <f>IF(C5694="","",COUNTA($C$3:C5694))</f>
        <v/>
      </c>
      <c r="B5694" s="15" t="str">
        <f t="shared" si="412"/>
        <v/>
      </c>
      <c r="M5694" s="9"/>
      <c r="N5694" s="9"/>
      <c r="P5694" s="14"/>
      <c r="Q5694" s="85"/>
      <c r="R5694" s="89"/>
      <c r="U5694" s="11" t="str">
        <f t="shared" si="411"/>
        <v/>
      </c>
      <c r="V5694" s="37"/>
      <c r="Z5694" s="15"/>
    </row>
    <row r="5695" spans="1:26" x14ac:dyDescent="0.25">
      <c r="A5695" s="15" t="str">
        <f>IF(C5695="","",COUNTA($C$3:C5695))</f>
        <v/>
      </c>
      <c r="B5695" s="15" t="str">
        <f t="shared" si="412"/>
        <v/>
      </c>
      <c r="M5695" s="9"/>
      <c r="N5695" s="9"/>
      <c r="P5695" s="14"/>
      <c r="Q5695" s="85"/>
      <c r="R5695" s="89"/>
      <c r="U5695" s="11" t="str">
        <f t="shared" si="411"/>
        <v/>
      </c>
      <c r="V5695" s="37"/>
      <c r="Z5695" s="15"/>
    </row>
    <row r="5696" spans="1:26" x14ac:dyDescent="0.25">
      <c r="A5696" s="15" t="str">
        <f>IF(C5696="","",COUNTA($C$3:C5696))</f>
        <v/>
      </c>
      <c r="B5696" s="15" t="str">
        <f t="shared" si="412"/>
        <v/>
      </c>
      <c r="M5696" s="9"/>
      <c r="N5696" s="9"/>
      <c r="P5696" s="14"/>
      <c r="Q5696" s="85"/>
      <c r="R5696" s="89"/>
      <c r="U5696" s="11" t="str">
        <f t="shared" si="411"/>
        <v/>
      </c>
      <c r="V5696" s="37"/>
      <c r="Z5696" s="15"/>
    </row>
    <row r="5697" spans="1:26" x14ac:dyDescent="0.25">
      <c r="A5697" s="15" t="str">
        <f>IF(C5697="","",COUNTA($C$3:C5697))</f>
        <v/>
      </c>
      <c r="B5697" s="15" t="str">
        <f t="shared" si="412"/>
        <v/>
      </c>
      <c r="M5697" s="9"/>
      <c r="N5697" s="9"/>
      <c r="P5697" s="14"/>
      <c r="Q5697" s="85"/>
      <c r="R5697" s="89"/>
      <c r="U5697" s="11" t="str">
        <f t="shared" si="411"/>
        <v/>
      </c>
      <c r="V5697" s="37"/>
      <c r="Z5697" s="15"/>
    </row>
    <row r="5698" spans="1:26" x14ac:dyDescent="0.25">
      <c r="A5698" s="15" t="str">
        <f>IF(C5698="","",COUNTA($C$3:C5698))</f>
        <v/>
      </c>
      <c r="B5698" s="15" t="str">
        <f t="shared" si="412"/>
        <v/>
      </c>
      <c r="M5698" s="9"/>
      <c r="N5698" s="9"/>
      <c r="P5698" s="14"/>
      <c r="Q5698" s="85"/>
      <c r="R5698" s="89"/>
      <c r="U5698" s="11" t="str">
        <f t="shared" ref="U5698:U5761" si="413">IF(S5698="","",(S5698-T5698))</f>
        <v/>
      </c>
      <c r="V5698" s="37"/>
      <c r="Z5698" s="15"/>
    </row>
    <row r="5699" spans="1:26" x14ac:dyDescent="0.25">
      <c r="A5699" s="15" t="str">
        <f>IF(C5699="","",COUNTA($C$3:C5699))</f>
        <v/>
      </c>
      <c r="B5699" s="15" t="str">
        <f t="shared" ref="B5699:B5762" si="414">IF(C5699="","",TEXT(C5699,"mmmm"))</f>
        <v/>
      </c>
      <c r="M5699" s="9"/>
      <c r="N5699" s="9"/>
      <c r="P5699" s="14"/>
      <c r="Q5699" s="85"/>
      <c r="R5699" s="89"/>
      <c r="U5699" s="11" t="str">
        <f t="shared" si="413"/>
        <v/>
      </c>
      <c r="V5699" s="37"/>
      <c r="Z5699" s="15"/>
    </row>
    <row r="5700" spans="1:26" x14ac:dyDescent="0.25">
      <c r="A5700" s="15" t="str">
        <f>IF(C5700="","",COUNTA($C$3:C5700))</f>
        <v/>
      </c>
      <c r="B5700" s="15" t="str">
        <f t="shared" si="414"/>
        <v/>
      </c>
      <c r="M5700" s="9"/>
      <c r="N5700" s="9"/>
      <c r="P5700" s="14"/>
      <c r="Q5700" s="85"/>
      <c r="R5700" s="89"/>
      <c r="U5700" s="11" t="str">
        <f t="shared" si="413"/>
        <v/>
      </c>
      <c r="V5700" s="37"/>
      <c r="Z5700" s="15"/>
    </row>
    <row r="5701" spans="1:26" x14ac:dyDescent="0.25">
      <c r="A5701" s="15" t="str">
        <f>IF(C5701="","",COUNTA($C$3:C5701))</f>
        <v/>
      </c>
      <c r="B5701" s="15" t="str">
        <f t="shared" si="414"/>
        <v/>
      </c>
      <c r="M5701" s="9"/>
      <c r="N5701" s="9"/>
      <c r="P5701" s="14"/>
      <c r="Q5701" s="85"/>
      <c r="R5701" s="89"/>
      <c r="U5701" s="11" t="str">
        <f t="shared" si="413"/>
        <v/>
      </c>
      <c r="V5701" s="37"/>
      <c r="Z5701" s="15"/>
    </row>
    <row r="5702" spans="1:26" x14ac:dyDescent="0.25">
      <c r="A5702" s="15" t="str">
        <f>IF(C5702="","",COUNTA($C$3:C5702))</f>
        <v/>
      </c>
      <c r="B5702" s="15" t="str">
        <f t="shared" si="414"/>
        <v/>
      </c>
      <c r="M5702" s="9"/>
      <c r="N5702" s="9"/>
      <c r="P5702" s="14"/>
      <c r="Q5702" s="85"/>
      <c r="R5702" s="89"/>
      <c r="U5702" s="11" t="str">
        <f t="shared" si="413"/>
        <v/>
      </c>
      <c r="V5702" s="37"/>
      <c r="Z5702" s="15"/>
    </row>
    <row r="5703" spans="1:26" x14ac:dyDescent="0.25">
      <c r="A5703" s="15" t="str">
        <f>IF(C5703="","",COUNTA($C$3:C5703))</f>
        <v/>
      </c>
      <c r="B5703" s="15" t="str">
        <f t="shared" si="414"/>
        <v/>
      </c>
      <c r="M5703" s="9"/>
      <c r="N5703" s="9"/>
      <c r="P5703" s="14"/>
      <c r="Q5703" s="85"/>
      <c r="R5703" s="89"/>
      <c r="U5703" s="11" t="str">
        <f t="shared" si="413"/>
        <v/>
      </c>
      <c r="V5703" s="37"/>
      <c r="Z5703" s="15"/>
    </row>
    <row r="5704" spans="1:26" x14ac:dyDescent="0.25">
      <c r="A5704" s="15" t="str">
        <f>IF(C5704="","",COUNTA($C$3:C5704))</f>
        <v/>
      </c>
      <c r="B5704" s="15" t="str">
        <f t="shared" si="414"/>
        <v/>
      </c>
      <c r="M5704" s="9"/>
      <c r="N5704" s="9"/>
      <c r="P5704" s="14"/>
      <c r="Q5704" s="85"/>
      <c r="R5704" s="89"/>
      <c r="U5704" s="11" t="str">
        <f t="shared" si="413"/>
        <v/>
      </c>
      <c r="V5704" s="37"/>
      <c r="Z5704" s="15"/>
    </row>
    <row r="5705" spans="1:26" x14ac:dyDescent="0.25">
      <c r="A5705" s="15" t="str">
        <f>IF(C5705="","",COUNTA($C$3:C5705))</f>
        <v/>
      </c>
      <c r="B5705" s="15" t="str">
        <f t="shared" si="414"/>
        <v/>
      </c>
      <c r="M5705" s="9"/>
      <c r="N5705" s="9"/>
      <c r="P5705" s="14"/>
      <c r="Q5705" s="85"/>
      <c r="R5705" s="89"/>
      <c r="U5705" s="11" t="str">
        <f t="shared" si="413"/>
        <v/>
      </c>
      <c r="V5705" s="37"/>
      <c r="Z5705" s="15"/>
    </row>
    <row r="5706" spans="1:26" x14ac:dyDescent="0.25">
      <c r="A5706" s="15" t="str">
        <f>IF(C5706="","",COUNTA($C$3:C5706))</f>
        <v/>
      </c>
      <c r="B5706" s="15" t="str">
        <f t="shared" si="414"/>
        <v/>
      </c>
      <c r="M5706" s="9"/>
      <c r="N5706" s="9"/>
      <c r="P5706" s="14"/>
      <c r="Q5706" s="85"/>
      <c r="R5706" s="89"/>
      <c r="U5706" s="11" t="str">
        <f t="shared" si="413"/>
        <v/>
      </c>
      <c r="V5706" s="37"/>
      <c r="Z5706" s="15"/>
    </row>
    <row r="5707" spans="1:26" x14ac:dyDescent="0.25">
      <c r="A5707" s="15" t="str">
        <f>IF(C5707="","",COUNTA($C$3:C5707))</f>
        <v/>
      </c>
      <c r="B5707" s="15" t="str">
        <f t="shared" si="414"/>
        <v/>
      </c>
      <c r="M5707" s="9"/>
      <c r="N5707" s="9"/>
      <c r="P5707" s="14"/>
      <c r="Q5707" s="85"/>
      <c r="R5707" s="89"/>
      <c r="U5707" s="11" t="str">
        <f t="shared" si="413"/>
        <v/>
      </c>
      <c r="V5707" s="37"/>
      <c r="Z5707" s="15"/>
    </row>
    <row r="5708" spans="1:26" x14ac:dyDescent="0.25">
      <c r="A5708" s="15" t="str">
        <f>IF(C5708="","",COUNTA($C$3:C5708))</f>
        <v/>
      </c>
      <c r="B5708" s="15" t="str">
        <f t="shared" si="414"/>
        <v/>
      </c>
      <c r="M5708" s="9"/>
      <c r="N5708" s="9"/>
      <c r="P5708" s="14"/>
      <c r="Q5708" s="85"/>
      <c r="R5708" s="89"/>
      <c r="U5708" s="11" t="str">
        <f t="shared" si="413"/>
        <v/>
      </c>
      <c r="V5708" s="37"/>
      <c r="Z5708" s="15"/>
    </row>
    <row r="5709" spans="1:26" x14ac:dyDescent="0.25">
      <c r="A5709" s="15" t="str">
        <f>IF(C5709="","",COUNTA($C$3:C5709))</f>
        <v/>
      </c>
      <c r="B5709" s="15" t="str">
        <f t="shared" si="414"/>
        <v/>
      </c>
      <c r="M5709" s="9"/>
      <c r="N5709" s="9"/>
      <c r="P5709" s="14"/>
      <c r="Q5709" s="85"/>
      <c r="R5709" s="89"/>
      <c r="U5709" s="11" t="str">
        <f t="shared" si="413"/>
        <v/>
      </c>
      <c r="V5709" s="37"/>
      <c r="Z5709" s="15"/>
    </row>
    <row r="5710" spans="1:26" x14ac:dyDescent="0.25">
      <c r="A5710" s="15" t="str">
        <f>IF(C5710="","",COUNTA($C$3:C5710))</f>
        <v/>
      </c>
      <c r="B5710" s="15" t="str">
        <f t="shared" si="414"/>
        <v/>
      </c>
      <c r="M5710" s="9"/>
      <c r="N5710" s="9"/>
      <c r="P5710" s="14"/>
      <c r="Q5710" s="85"/>
      <c r="R5710" s="89"/>
      <c r="U5710" s="11" t="str">
        <f t="shared" si="413"/>
        <v/>
      </c>
      <c r="V5710" s="37"/>
      <c r="Z5710" s="15"/>
    </row>
    <row r="5711" spans="1:26" x14ac:dyDescent="0.25">
      <c r="A5711" s="15" t="str">
        <f>IF(C5711="","",COUNTA($C$3:C5711))</f>
        <v/>
      </c>
      <c r="B5711" s="15" t="str">
        <f t="shared" si="414"/>
        <v/>
      </c>
      <c r="M5711" s="9"/>
      <c r="N5711" s="9"/>
      <c r="P5711" s="14"/>
      <c r="Q5711" s="85"/>
      <c r="R5711" s="89"/>
      <c r="U5711" s="11" t="str">
        <f t="shared" si="413"/>
        <v/>
      </c>
      <c r="V5711" s="37"/>
      <c r="Z5711" s="15"/>
    </row>
    <row r="5712" spans="1:26" x14ac:dyDescent="0.25">
      <c r="A5712" s="15" t="str">
        <f>IF(C5712="","",COUNTA($C$3:C5712))</f>
        <v/>
      </c>
      <c r="B5712" s="15" t="str">
        <f t="shared" si="414"/>
        <v/>
      </c>
      <c r="M5712" s="9"/>
      <c r="N5712" s="9"/>
      <c r="P5712" s="14"/>
      <c r="Q5712" s="85"/>
      <c r="R5712" s="89"/>
      <c r="U5712" s="11" t="str">
        <f t="shared" si="413"/>
        <v/>
      </c>
      <c r="V5712" s="37"/>
      <c r="Z5712" s="15"/>
    </row>
    <row r="5713" spans="1:26" x14ac:dyDescent="0.25">
      <c r="A5713" s="15" t="str">
        <f>IF(C5713="","",COUNTA($C$3:C5713))</f>
        <v/>
      </c>
      <c r="B5713" s="15" t="str">
        <f t="shared" si="414"/>
        <v/>
      </c>
      <c r="M5713" s="9"/>
      <c r="N5713" s="9"/>
      <c r="P5713" s="14"/>
      <c r="Q5713" s="85"/>
      <c r="R5713" s="89"/>
      <c r="U5713" s="11" t="str">
        <f t="shared" si="413"/>
        <v/>
      </c>
      <c r="V5713" s="37"/>
      <c r="Z5713" s="15"/>
    </row>
    <row r="5714" spans="1:26" x14ac:dyDescent="0.25">
      <c r="A5714" s="15" t="str">
        <f>IF(C5714="","",COUNTA($C$3:C5714))</f>
        <v/>
      </c>
      <c r="B5714" s="15" t="str">
        <f t="shared" si="414"/>
        <v/>
      </c>
      <c r="M5714" s="9"/>
      <c r="N5714" s="9"/>
      <c r="P5714" s="14"/>
      <c r="Q5714" s="85"/>
      <c r="R5714" s="89"/>
      <c r="U5714" s="11" t="str">
        <f t="shared" si="413"/>
        <v/>
      </c>
      <c r="V5714" s="37"/>
      <c r="Z5714" s="15"/>
    </row>
    <row r="5715" spans="1:26" x14ac:dyDescent="0.25">
      <c r="A5715" s="15" t="str">
        <f>IF(C5715="","",COUNTA($C$3:C5715))</f>
        <v/>
      </c>
      <c r="B5715" s="15" t="str">
        <f t="shared" si="414"/>
        <v/>
      </c>
      <c r="M5715" s="9"/>
      <c r="N5715" s="9"/>
      <c r="P5715" s="14"/>
      <c r="Q5715" s="85"/>
      <c r="R5715" s="89"/>
      <c r="U5715" s="11" t="str">
        <f t="shared" si="413"/>
        <v/>
      </c>
      <c r="V5715" s="37"/>
      <c r="Z5715" s="15"/>
    </row>
    <row r="5716" spans="1:26" x14ac:dyDescent="0.25">
      <c r="A5716" s="15" t="str">
        <f>IF(C5716="","",COUNTA($C$3:C5716))</f>
        <v/>
      </c>
      <c r="B5716" s="15" t="str">
        <f t="shared" si="414"/>
        <v/>
      </c>
      <c r="M5716" s="9"/>
      <c r="N5716" s="9"/>
      <c r="P5716" s="14"/>
      <c r="Q5716" s="85"/>
      <c r="R5716" s="89"/>
      <c r="U5716" s="11" t="str">
        <f t="shared" si="413"/>
        <v/>
      </c>
      <c r="V5716" s="37"/>
      <c r="Z5716" s="15"/>
    </row>
    <row r="5717" spans="1:26" x14ac:dyDescent="0.25">
      <c r="A5717" s="15" t="str">
        <f>IF(C5717="","",COUNTA($C$3:C5717))</f>
        <v/>
      </c>
      <c r="B5717" s="15" t="str">
        <f t="shared" si="414"/>
        <v/>
      </c>
      <c r="M5717" s="9"/>
      <c r="N5717" s="9"/>
      <c r="P5717" s="14"/>
      <c r="Q5717" s="85"/>
      <c r="R5717" s="89"/>
      <c r="U5717" s="11" t="str">
        <f t="shared" si="413"/>
        <v/>
      </c>
      <c r="V5717" s="37"/>
      <c r="Z5717" s="15"/>
    </row>
    <row r="5718" spans="1:26" x14ac:dyDescent="0.25">
      <c r="A5718" s="15" t="str">
        <f>IF(C5718="","",COUNTA($C$3:C5718))</f>
        <v/>
      </c>
      <c r="B5718" s="15" t="str">
        <f t="shared" si="414"/>
        <v/>
      </c>
      <c r="M5718" s="9"/>
      <c r="N5718" s="9"/>
      <c r="P5718" s="14"/>
      <c r="Q5718" s="85"/>
      <c r="R5718" s="89"/>
      <c r="U5718" s="11" t="str">
        <f t="shared" si="413"/>
        <v/>
      </c>
      <c r="V5718" s="37"/>
      <c r="Z5718" s="15"/>
    </row>
    <row r="5719" spans="1:26" x14ac:dyDescent="0.25">
      <c r="A5719" s="15" t="str">
        <f>IF(C5719="","",COUNTA($C$3:C5719))</f>
        <v/>
      </c>
      <c r="B5719" s="15" t="str">
        <f t="shared" si="414"/>
        <v/>
      </c>
      <c r="M5719" s="9"/>
      <c r="N5719" s="9"/>
      <c r="P5719" s="14"/>
      <c r="Q5719" s="85"/>
      <c r="R5719" s="89"/>
      <c r="U5719" s="11" t="str">
        <f t="shared" si="413"/>
        <v/>
      </c>
      <c r="V5719" s="37"/>
      <c r="Z5719" s="15"/>
    </row>
    <row r="5720" spans="1:26" x14ac:dyDescent="0.25">
      <c r="A5720" s="15" t="str">
        <f>IF(C5720="","",COUNTA($C$3:C5720))</f>
        <v/>
      </c>
      <c r="B5720" s="15" t="str">
        <f t="shared" si="414"/>
        <v/>
      </c>
      <c r="M5720" s="9"/>
      <c r="N5720" s="9"/>
      <c r="P5720" s="14"/>
      <c r="Q5720" s="85"/>
      <c r="R5720" s="89"/>
      <c r="U5720" s="11" t="str">
        <f t="shared" si="413"/>
        <v/>
      </c>
      <c r="V5720" s="37"/>
      <c r="Z5720" s="15"/>
    </row>
    <row r="5721" spans="1:26" x14ac:dyDescent="0.25">
      <c r="A5721" s="15" t="str">
        <f>IF(C5721="","",COUNTA($C$3:C5721))</f>
        <v/>
      </c>
      <c r="B5721" s="15" t="str">
        <f t="shared" si="414"/>
        <v/>
      </c>
      <c r="M5721" s="9"/>
      <c r="N5721" s="9"/>
      <c r="P5721" s="14"/>
      <c r="Q5721" s="85"/>
      <c r="R5721" s="89"/>
      <c r="U5721" s="11" t="str">
        <f t="shared" si="413"/>
        <v/>
      </c>
      <c r="V5721" s="37"/>
      <c r="Z5721" s="15"/>
    </row>
    <row r="5722" spans="1:26" x14ac:dyDescent="0.25">
      <c r="A5722" s="15" t="str">
        <f>IF(C5722="","",COUNTA($C$3:C5722))</f>
        <v/>
      </c>
      <c r="B5722" s="15" t="str">
        <f t="shared" si="414"/>
        <v/>
      </c>
      <c r="M5722" s="9"/>
      <c r="N5722" s="9"/>
      <c r="P5722" s="14"/>
      <c r="Q5722" s="85"/>
      <c r="R5722" s="89"/>
      <c r="U5722" s="11" t="str">
        <f t="shared" si="413"/>
        <v/>
      </c>
      <c r="V5722" s="37"/>
      <c r="Z5722" s="15"/>
    </row>
    <row r="5723" spans="1:26" x14ac:dyDescent="0.25">
      <c r="A5723" s="15" t="str">
        <f>IF(C5723="","",COUNTA($C$3:C5723))</f>
        <v/>
      </c>
      <c r="B5723" s="15" t="str">
        <f t="shared" si="414"/>
        <v/>
      </c>
      <c r="M5723" s="9"/>
      <c r="N5723" s="9"/>
      <c r="P5723" s="14"/>
      <c r="Q5723" s="85"/>
      <c r="R5723" s="89"/>
      <c r="U5723" s="11" t="str">
        <f t="shared" si="413"/>
        <v/>
      </c>
      <c r="V5723" s="37"/>
      <c r="Z5723" s="15"/>
    </row>
    <row r="5724" spans="1:26" x14ac:dyDescent="0.25">
      <c r="A5724" s="15" t="str">
        <f>IF(C5724="","",COUNTA($C$3:C5724))</f>
        <v/>
      </c>
      <c r="B5724" s="15" t="str">
        <f t="shared" si="414"/>
        <v/>
      </c>
      <c r="M5724" s="9"/>
      <c r="N5724" s="9"/>
      <c r="P5724" s="14"/>
      <c r="Q5724" s="85"/>
      <c r="R5724" s="89"/>
      <c r="U5724" s="11" t="str">
        <f t="shared" si="413"/>
        <v/>
      </c>
      <c r="V5724" s="37"/>
      <c r="Z5724" s="15"/>
    </row>
    <row r="5725" spans="1:26" x14ac:dyDescent="0.25">
      <c r="A5725" s="15" t="str">
        <f>IF(C5725="","",COUNTA($C$3:C5725))</f>
        <v/>
      </c>
      <c r="B5725" s="15" t="str">
        <f t="shared" si="414"/>
        <v/>
      </c>
      <c r="M5725" s="9"/>
      <c r="N5725" s="9"/>
      <c r="P5725" s="14"/>
      <c r="Q5725" s="85"/>
      <c r="R5725" s="89"/>
      <c r="U5725" s="11" t="str">
        <f t="shared" si="413"/>
        <v/>
      </c>
      <c r="V5725" s="37"/>
      <c r="Z5725" s="15"/>
    </row>
    <row r="5726" spans="1:26" x14ac:dyDescent="0.25">
      <c r="A5726" s="15" t="str">
        <f>IF(C5726="","",COUNTA($C$3:C5726))</f>
        <v/>
      </c>
      <c r="B5726" s="15" t="str">
        <f t="shared" si="414"/>
        <v/>
      </c>
      <c r="M5726" s="9"/>
      <c r="N5726" s="9"/>
      <c r="P5726" s="14"/>
      <c r="Q5726" s="85"/>
      <c r="R5726" s="89"/>
      <c r="U5726" s="11" t="str">
        <f t="shared" si="413"/>
        <v/>
      </c>
      <c r="V5726" s="37"/>
      <c r="Z5726" s="15"/>
    </row>
    <row r="5727" spans="1:26" x14ac:dyDescent="0.25">
      <c r="A5727" s="15" t="str">
        <f>IF(C5727="","",COUNTA($C$3:C5727))</f>
        <v/>
      </c>
      <c r="B5727" s="15" t="str">
        <f t="shared" si="414"/>
        <v/>
      </c>
      <c r="M5727" s="9"/>
      <c r="N5727" s="9"/>
      <c r="P5727" s="14"/>
      <c r="Q5727" s="85"/>
      <c r="R5727" s="89"/>
      <c r="U5727" s="11" t="str">
        <f t="shared" si="413"/>
        <v/>
      </c>
      <c r="V5727" s="37"/>
      <c r="Z5727" s="15"/>
    </row>
    <row r="5728" spans="1:26" x14ac:dyDescent="0.25">
      <c r="A5728" s="15" t="str">
        <f>IF(C5728="","",COUNTA($C$3:C5728))</f>
        <v/>
      </c>
      <c r="B5728" s="15" t="str">
        <f t="shared" si="414"/>
        <v/>
      </c>
      <c r="M5728" s="9"/>
      <c r="N5728" s="9"/>
      <c r="P5728" s="14"/>
      <c r="Q5728" s="85"/>
      <c r="R5728" s="89"/>
      <c r="U5728" s="11" t="str">
        <f t="shared" si="413"/>
        <v/>
      </c>
      <c r="V5728" s="37"/>
      <c r="Z5728" s="15"/>
    </row>
    <row r="5729" spans="1:26" x14ac:dyDescent="0.25">
      <c r="A5729" s="15" t="str">
        <f>IF(C5729="","",COUNTA($C$3:C5729))</f>
        <v/>
      </c>
      <c r="B5729" s="15" t="str">
        <f t="shared" si="414"/>
        <v/>
      </c>
      <c r="M5729" s="9"/>
      <c r="N5729" s="9"/>
      <c r="P5729" s="14"/>
      <c r="Q5729" s="85"/>
      <c r="R5729" s="89"/>
      <c r="U5729" s="11" t="str">
        <f t="shared" si="413"/>
        <v/>
      </c>
      <c r="V5729" s="37"/>
      <c r="Z5729" s="15"/>
    </row>
    <row r="5730" spans="1:26" x14ac:dyDescent="0.25">
      <c r="A5730" s="15" t="str">
        <f>IF(C5730="","",COUNTA($C$3:C5730))</f>
        <v/>
      </c>
      <c r="B5730" s="15" t="str">
        <f t="shared" si="414"/>
        <v/>
      </c>
      <c r="M5730" s="9"/>
      <c r="N5730" s="9"/>
      <c r="P5730" s="14"/>
      <c r="Q5730" s="85"/>
      <c r="R5730" s="89"/>
      <c r="U5730" s="11" t="str">
        <f t="shared" si="413"/>
        <v/>
      </c>
      <c r="V5730" s="37"/>
      <c r="Z5730" s="15"/>
    </row>
    <row r="5731" spans="1:26" x14ac:dyDescent="0.25">
      <c r="A5731" s="15" t="str">
        <f>IF(C5731="","",COUNTA($C$3:C5731))</f>
        <v/>
      </c>
      <c r="B5731" s="15" t="str">
        <f t="shared" si="414"/>
        <v/>
      </c>
      <c r="M5731" s="9"/>
      <c r="N5731" s="9"/>
      <c r="P5731" s="14"/>
      <c r="Q5731" s="85"/>
      <c r="R5731" s="89"/>
      <c r="U5731" s="11" t="str">
        <f t="shared" si="413"/>
        <v/>
      </c>
      <c r="V5731" s="37"/>
      <c r="Z5731" s="15"/>
    </row>
    <row r="5732" spans="1:26" x14ac:dyDescent="0.25">
      <c r="A5732" s="15" t="str">
        <f>IF(C5732="","",COUNTA($C$3:C5732))</f>
        <v/>
      </c>
      <c r="B5732" s="15" t="str">
        <f t="shared" si="414"/>
        <v/>
      </c>
      <c r="M5732" s="9"/>
      <c r="N5732" s="9"/>
      <c r="P5732" s="14"/>
      <c r="Q5732" s="85"/>
      <c r="R5732" s="89"/>
      <c r="U5732" s="11" t="str">
        <f t="shared" si="413"/>
        <v/>
      </c>
      <c r="V5732" s="37"/>
      <c r="Z5732" s="15"/>
    </row>
    <row r="5733" spans="1:26" x14ac:dyDescent="0.25">
      <c r="A5733" s="15" t="str">
        <f>IF(C5733="","",COUNTA($C$3:C5733))</f>
        <v/>
      </c>
      <c r="B5733" s="15" t="str">
        <f t="shared" si="414"/>
        <v/>
      </c>
      <c r="M5733" s="9"/>
      <c r="N5733" s="9"/>
      <c r="P5733" s="14"/>
      <c r="Q5733" s="85"/>
      <c r="R5733" s="89"/>
      <c r="U5733" s="11" t="str">
        <f t="shared" si="413"/>
        <v/>
      </c>
      <c r="V5733" s="37"/>
      <c r="Z5733" s="15"/>
    </row>
    <row r="5734" spans="1:26" x14ac:dyDescent="0.25">
      <c r="A5734" s="15" t="str">
        <f>IF(C5734="","",COUNTA($C$3:C5734))</f>
        <v/>
      </c>
      <c r="B5734" s="15" t="str">
        <f t="shared" si="414"/>
        <v/>
      </c>
      <c r="M5734" s="9"/>
      <c r="N5734" s="9"/>
      <c r="P5734" s="14"/>
      <c r="Q5734" s="85"/>
      <c r="R5734" s="89"/>
      <c r="U5734" s="11" t="str">
        <f t="shared" si="413"/>
        <v/>
      </c>
      <c r="V5734" s="37"/>
      <c r="Z5734" s="15"/>
    </row>
    <row r="5735" spans="1:26" x14ac:dyDescent="0.25">
      <c r="A5735" s="15" t="str">
        <f>IF(C5735="","",COUNTA($C$3:C5735))</f>
        <v/>
      </c>
      <c r="B5735" s="15" t="str">
        <f t="shared" si="414"/>
        <v/>
      </c>
      <c r="M5735" s="9"/>
      <c r="N5735" s="9"/>
      <c r="P5735" s="14"/>
      <c r="Q5735" s="85"/>
      <c r="R5735" s="89"/>
      <c r="U5735" s="11" t="str">
        <f t="shared" si="413"/>
        <v/>
      </c>
      <c r="V5735" s="37"/>
      <c r="Z5735" s="15"/>
    </row>
    <row r="5736" spans="1:26" x14ac:dyDescent="0.25">
      <c r="A5736" s="15" t="str">
        <f>IF(C5736="","",COUNTA($C$3:C5736))</f>
        <v/>
      </c>
      <c r="B5736" s="15" t="str">
        <f t="shared" si="414"/>
        <v/>
      </c>
      <c r="M5736" s="9"/>
      <c r="N5736" s="9"/>
      <c r="P5736" s="14"/>
      <c r="Q5736" s="85"/>
      <c r="R5736" s="89"/>
      <c r="U5736" s="11" t="str">
        <f t="shared" si="413"/>
        <v/>
      </c>
      <c r="V5736" s="37"/>
      <c r="Z5736" s="15"/>
    </row>
    <row r="5737" spans="1:26" x14ac:dyDescent="0.25">
      <c r="A5737" s="15" t="str">
        <f>IF(C5737="","",COUNTA($C$3:C5737))</f>
        <v/>
      </c>
      <c r="B5737" s="15" t="str">
        <f t="shared" si="414"/>
        <v/>
      </c>
      <c r="M5737" s="9"/>
      <c r="N5737" s="9"/>
      <c r="P5737" s="14"/>
      <c r="Q5737" s="85"/>
      <c r="R5737" s="89"/>
      <c r="U5737" s="11" t="str">
        <f t="shared" si="413"/>
        <v/>
      </c>
      <c r="V5737" s="37"/>
      <c r="Z5737" s="15"/>
    </row>
    <row r="5738" spans="1:26" x14ac:dyDescent="0.25">
      <c r="A5738" s="15" t="str">
        <f>IF(C5738="","",COUNTA($C$3:C5738))</f>
        <v/>
      </c>
      <c r="B5738" s="15" t="str">
        <f t="shared" si="414"/>
        <v/>
      </c>
      <c r="M5738" s="9"/>
      <c r="N5738" s="9"/>
      <c r="P5738" s="14"/>
      <c r="Q5738" s="85"/>
      <c r="R5738" s="89"/>
      <c r="U5738" s="11" t="str">
        <f t="shared" si="413"/>
        <v/>
      </c>
      <c r="V5738" s="37"/>
      <c r="Z5738" s="15"/>
    </row>
    <row r="5739" spans="1:26" x14ac:dyDescent="0.25">
      <c r="A5739" s="15" t="str">
        <f>IF(C5739="","",COUNTA($C$3:C5739))</f>
        <v/>
      </c>
      <c r="B5739" s="15" t="str">
        <f t="shared" si="414"/>
        <v/>
      </c>
      <c r="M5739" s="9"/>
      <c r="N5739" s="9"/>
      <c r="P5739" s="14"/>
      <c r="Q5739" s="85"/>
      <c r="R5739" s="89"/>
      <c r="U5739" s="11" t="str">
        <f t="shared" si="413"/>
        <v/>
      </c>
      <c r="V5739" s="37"/>
      <c r="Z5739" s="15"/>
    </row>
    <row r="5740" spans="1:26" x14ac:dyDescent="0.25">
      <c r="A5740" s="15" t="str">
        <f>IF(C5740="","",COUNTA($C$3:C5740))</f>
        <v/>
      </c>
      <c r="B5740" s="15" t="str">
        <f t="shared" si="414"/>
        <v/>
      </c>
      <c r="M5740" s="9"/>
      <c r="N5740" s="9"/>
      <c r="P5740" s="14"/>
      <c r="Q5740" s="85"/>
      <c r="R5740" s="89"/>
      <c r="U5740" s="11" t="str">
        <f t="shared" si="413"/>
        <v/>
      </c>
      <c r="V5740" s="37"/>
      <c r="Z5740" s="15"/>
    </row>
    <row r="5741" spans="1:26" x14ac:dyDescent="0.25">
      <c r="A5741" s="15" t="str">
        <f>IF(C5741="","",COUNTA($C$3:C5741))</f>
        <v/>
      </c>
      <c r="B5741" s="15" t="str">
        <f t="shared" si="414"/>
        <v/>
      </c>
      <c r="M5741" s="9"/>
      <c r="N5741" s="9"/>
      <c r="P5741" s="14"/>
      <c r="Q5741" s="85"/>
      <c r="R5741" s="89"/>
      <c r="U5741" s="11" t="str">
        <f t="shared" si="413"/>
        <v/>
      </c>
      <c r="V5741" s="37"/>
      <c r="Z5741" s="15"/>
    </row>
    <row r="5742" spans="1:26" x14ac:dyDescent="0.25">
      <c r="A5742" s="15" t="str">
        <f>IF(C5742="","",COUNTA($C$3:C5742))</f>
        <v/>
      </c>
      <c r="B5742" s="15" t="str">
        <f t="shared" si="414"/>
        <v/>
      </c>
      <c r="M5742" s="9"/>
      <c r="N5742" s="9"/>
      <c r="P5742" s="14"/>
      <c r="Q5742" s="85"/>
      <c r="R5742" s="89"/>
      <c r="U5742" s="11" t="str">
        <f t="shared" si="413"/>
        <v/>
      </c>
      <c r="V5742" s="37"/>
      <c r="Z5742" s="15"/>
    </row>
    <row r="5743" spans="1:26" x14ac:dyDescent="0.25">
      <c r="A5743" s="15" t="str">
        <f>IF(C5743="","",COUNTA($C$3:C5743))</f>
        <v/>
      </c>
      <c r="B5743" s="15" t="str">
        <f t="shared" si="414"/>
        <v/>
      </c>
      <c r="M5743" s="9"/>
      <c r="N5743" s="9"/>
      <c r="P5743" s="14"/>
      <c r="Q5743" s="85"/>
      <c r="R5743" s="89"/>
      <c r="U5743" s="11" t="str">
        <f t="shared" si="413"/>
        <v/>
      </c>
      <c r="V5743" s="37"/>
      <c r="Z5743" s="15"/>
    </row>
    <row r="5744" spans="1:26" x14ac:dyDescent="0.25">
      <c r="A5744" s="15" t="str">
        <f>IF(C5744="","",COUNTA($C$3:C5744))</f>
        <v/>
      </c>
      <c r="B5744" s="15" t="str">
        <f t="shared" si="414"/>
        <v/>
      </c>
      <c r="M5744" s="9"/>
      <c r="N5744" s="9"/>
      <c r="P5744" s="14"/>
      <c r="Q5744" s="85"/>
      <c r="R5744" s="89"/>
      <c r="U5744" s="11" t="str">
        <f t="shared" si="413"/>
        <v/>
      </c>
      <c r="V5744" s="37"/>
      <c r="Z5744" s="15"/>
    </row>
    <row r="5745" spans="1:26" x14ac:dyDescent="0.25">
      <c r="A5745" s="15" t="str">
        <f>IF(C5745="","",COUNTA($C$3:C5745))</f>
        <v/>
      </c>
      <c r="B5745" s="15" t="str">
        <f t="shared" si="414"/>
        <v/>
      </c>
      <c r="M5745" s="9"/>
      <c r="N5745" s="9"/>
      <c r="P5745" s="14"/>
      <c r="Q5745" s="85"/>
      <c r="R5745" s="89"/>
      <c r="U5745" s="11" t="str">
        <f t="shared" si="413"/>
        <v/>
      </c>
      <c r="V5745" s="37"/>
      <c r="Z5745" s="15"/>
    </row>
    <row r="5746" spans="1:26" x14ac:dyDescent="0.25">
      <c r="A5746" s="15" t="str">
        <f>IF(C5746="","",COUNTA($C$3:C5746))</f>
        <v/>
      </c>
      <c r="B5746" s="15" t="str">
        <f t="shared" si="414"/>
        <v/>
      </c>
      <c r="M5746" s="9"/>
      <c r="N5746" s="9"/>
      <c r="P5746" s="14"/>
      <c r="Q5746" s="85"/>
      <c r="R5746" s="89"/>
      <c r="U5746" s="11" t="str">
        <f t="shared" si="413"/>
        <v/>
      </c>
      <c r="V5746" s="37"/>
      <c r="Z5746" s="15"/>
    </row>
    <row r="5747" spans="1:26" x14ac:dyDescent="0.25">
      <c r="A5747" s="15" t="str">
        <f>IF(C5747="","",COUNTA($C$3:C5747))</f>
        <v/>
      </c>
      <c r="B5747" s="15" t="str">
        <f t="shared" si="414"/>
        <v/>
      </c>
      <c r="M5747" s="9"/>
      <c r="N5747" s="9"/>
      <c r="P5747" s="14"/>
      <c r="Q5747" s="85"/>
      <c r="R5747" s="89"/>
      <c r="U5747" s="11" t="str">
        <f t="shared" si="413"/>
        <v/>
      </c>
      <c r="V5747" s="37"/>
      <c r="Z5747" s="15"/>
    </row>
    <row r="5748" spans="1:26" x14ac:dyDescent="0.25">
      <c r="A5748" s="15" t="str">
        <f>IF(C5748="","",COUNTA($C$3:C5748))</f>
        <v/>
      </c>
      <c r="B5748" s="15" t="str">
        <f t="shared" si="414"/>
        <v/>
      </c>
      <c r="M5748" s="9"/>
      <c r="N5748" s="9"/>
      <c r="P5748" s="14"/>
      <c r="Q5748" s="85"/>
      <c r="R5748" s="89"/>
      <c r="U5748" s="11" t="str">
        <f t="shared" si="413"/>
        <v/>
      </c>
      <c r="V5748" s="37"/>
      <c r="Z5748" s="15"/>
    </row>
    <row r="5749" spans="1:26" x14ac:dyDescent="0.25">
      <c r="A5749" s="15" t="str">
        <f>IF(C5749="","",COUNTA($C$3:C5749))</f>
        <v/>
      </c>
      <c r="B5749" s="15" t="str">
        <f t="shared" si="414"/>
        <v/>
      </c>
      <c r="M5749" s="9"/>
      <c r="N5749" s="9"/>
      <c r="P5749" s="14"/>
      <c r="Q5749" s="85"/>
      <c r="R5749" s="89"/>
      <c r="U5749" s="11" t="str">
        <f t="shared" si="413"/>
        <v/>
      </c>
      <c r="V5749" s="37"/>
      <c r="Z5749" s="15"/>
    </row>
    <row r="5750" spans="1:26" x14ac:dyDescent="0.25">
      <c r="A5750" s="15" t="str">
        <f>IF(C5750="","",COUNTA($C$3:C5750))</f>
        <v/>
      </c>
      <c r="B5750" s="15" t="str">
        <f t="shared" si="414"/>
        <v/>
      </c>
      <c r="M5750" s="9"/>
      <c r="N5750" s="9"/>
      <c r="P5750" s="14"/>
      <c r="Q5750" s="85"/>
      <c r="R5750" s="89"/>
      <c r="U5750" s="11" t="str">
        <f t="shared" si="413"/>
        <v/>
      </c>
      <c r="V5750" s="37"/>
      <c r="Z5750" s="15"/>
    </row>
    <row r="5751" spans="1:26" x14ac:dyDescent="0.25">
      <c r="A5751" s="15" t="str">
        <f>IF(C5751="","",COUNTA($C$3:C5751))</f>
        <v/>
      </c>
      <c r="B5751" s="15" t="str">
        <f t="shared" si="414"/>
        <v/>
      </c>
      <c r="M5751" s="9"/>
      <c r="N5751" s="9"/>
      <c r="P5751" s="14"/>
      <c r="Q5751" s="85"/>
      <c r="R5751" s="89"/>
      <c r="U5751" s="11" t="str">
        <f t="shared" si="413"/>
        <v/>
      </c>
      <c r="V5751" s="37"/>
      <c r="Z5751" s="15"/>
    </row>
    <row r="5752" spans="1:26" x14ac:dyDescent="0.25">
      <c r="A5752" s="15" t="str">
        <f>IF(C5752="","",COUNTA($C$3:C5752))</f>
        <v/>
      </c>
      <c r="B5752" s="15" t="str">
        <f t="shared" si="414"/>
        <v/>
      </c>
      <c r="M5752" s="9"/>
      <c r="N5752" s="9"/>
      <c r="P5752" s="14"/>
      <c r="Q5752" s="85"/>
      <c r="R5752" s="89"/>
      <c r="U5752" s="11" t="str">
        <f t="shared" si="413"/>
        <v/>
      </c>
      <c r="V5752" s="37"/>
      <c r="Z5752" s="15"/>
    </row>
    <row r="5753" spans="1:26" x14ac:dyDescent="0.25">
      <c r="A5753" s="15" t="str">
        <f>IF(C5753="","",COUNTA($C$3:C5753))</f>
        <v/>
      </c>
      <c r="B5753" s="15" t="str">
        <f t="shared" si="414"/>
        <v/>
      </c>
      <c r="M5753" s="9"/>
      <c r="N5753" s="9"/>
      <c r="P5753" s="14"/>
      <c r="Q5753" s="85"/>
      <c r="R5753" s="89"/>
      <c r="U5753" s="11" t="str">
        <f t="shared" si="413"/>
        <v/>
      </c>
      <c r="V5753" s="37"/>
      <c r="Z5753" s="15"/>
    </row>
    <row r="5754" spans="1:26" x14ac:dyDescent="0.25">
      <c r="A5754" s="15" t="str">
        <f>IF(C5754="","",COUNTA($C$3:C5754))</f>
        <v/>
      </c>
      <c r="B5754" s="15" t="str">
        <f t="shared" si="414"/>
        <v/>
      </c>
      <c r="M5754" s="9"/>
      <c r="N5754" s="9"/>
      <c r="P5754" s="14"/>
      <c r="Q5754" s="85"/>
      <c r="R5754" s="89"/>
      <c r="U5754" s="11" t="str">
        <f t="shared" si="413"/>
        <v/>
      </c>
      <c r="V5754" s="37"/>
      <c r="Z5754" s="15"/>
    </row>
    <row r="5755" spans="1:26" x14ac:dyDescent="0.25">
      <c r="A5755" s="15" t="str">
        <f>IF(C5755="","",COUNTA($C$3:C5755))</f>
        <v/>
      </c>
      <c r="B5755" s="15" t="str">
        <f t="shared" si="414"/>
        <v/>
      </c>
      <c r="M5755" s="9"/>
      <c r="N5755" s="9"/>
      <c r="P5755" s="14"/>
      <c r="Q5755" s="85"/>
      <c r="R5755" s="89"/>
      <c r="U5755" s="11" t="str">
        <f t="shared" si="413"/>
        <v/>
      </c>
      <c r="V5755" s="37"/>
      <c r="Z5755" s="15"/>
    </row>
    <row r="5756" spans="1:26" x14ac:dyDescent="0.25">
      <c r="A5756" s="15" t="str">
        <f>IF(C5756="","",COUNTA($C$3:C5756))</f>
        <v/>
      </c>
      <c r="B5756" s="15" t="str">
        <f t="shared" si="414"/>
        <v/>
      </c>
      <c r="M5756" s="9"/>
      <c r="N5756" s="9"/>
      <c r="P5756" s="14"/>
      <c r="Q5756" s="85"/>
      <c r="R5756" s="89"/>
      <c r="U5756" s="11" t="str">
        <f t="shared" si="413"/>
        <v/>
      </c>
      <c r="V5756" s="37"/>
      <c r="Z5756" s="15"/>
    </row>
    <row r="5757" spans="1:26" x14ac:dyDescent="0.25">
      <c r="A5757" s="15" t="str">
        <f>IF(C5757="","",COUNTA($C$3:C5757))</f>
        <v/>
      </c>
      <c r="B5757" s="15" t="str">
        <f t="shared" si="414"/>
        <v/>
      </c>
      <c r="M5757" s="9"/>
      <c r="N5757" s="9"/>
      <c r="P5757" s="14"/>
      <c r="Q5757" s="85"/>
      <c r="R5757" s="89"/>
      <c r="U5757" s="11" t="str">
        <f t="shared" si="413"/>
        <v/>
      </c>
      <c r="V5757" s="37"/>
      <c r="Z5757" s="15"/>
    </row>
    <row r="5758" spans="1:26" x14ac:dyDescent="0.25">
      <c r="A5758" s="15" t="str">
        <f>IF(C5758="","",COUNTA($C$3:C5758))</f>
        <v/>
      </c>
      <c r="B5758" s="15" t="str">
        <f t="shared" si="414"/>
        <v/>
      </c>
      <c r="M5758" s="9"/>
      <c r="N5758" s="9"/>
      <c r="P5758" s="14"/>
      <c r="Q5758" s="85"/>
      <c r="R5758" s="89"/>
      <c r="U5758" s="11" t="str">
        <f t="shared" si="413"/>
        <v/>
      </c>
      <c r="V5758" s="37"/>
      <c r="Z5758" s="15"/>
    </row>
    <row r="5759" spans="1:26" x14ac:dyDescent="0.25">
      <c r="A5759" s="15" t="str">
        <f>IF(C5759="","",COUNTA($C$3:C5759))</f>
        <v/>
      </c>
      <c r="B5759" s="15" t="str">
        <f t="shared" si="414"/>
        <v/>
      </c>
      <c r="M5759" s="9"/>
      <c r="N5759" s="9"/>
      <c r="P5759" s="14"/>
      <c r="Q5759" s="85"/>
      <c r="R5759" s="89"/>
      <c r="U5759" s="11" t="str">
        <f t="shared" si="413"/>
        <v/>
      </c>
      <c r="V5759" s="37"/>
      <c r="Z5759" s="15"/>
    </row>
    <row r="5760" spans="1:26" x14ac:dyDescent="0.25">
      <c r="A5760" s="15" t="str">
        <f>IF(C5760="","",COUNTA($C$3:C5760))</f>
        <v/>
      </c>
      <c r="B5760" s="15" t="str">
        <f t="shared" si="414"/>
        <v/>
      </c>
      <c r="M5760" s="9"/>
      <c r="N5760" s="9"/>
      <c r="P5760" s="14"/>
      <c r="Q5760" s="85"/>
      <c r="R5760" s="89"/>
      <c r="U5760" s="11" t="str">
        <f t="shared" si="413"/>
        <v/>
      </c>
      <c r="V5760" s="37"/>
      <c r="Z5760" s="15"/>
    </row>
    <row r="5761" spans="1:26" x14ac:dyDescent="0.25">
      <c r="A5761" s="15" t="str">
        <f>IF(C5761="","",COUNTA($C$3:C5761))</f>
        <v/>
      </c>
      <c r="B5761" s="15" t="str">
        <f t="shared" si="414"/>
        <v/>
      </c>
      <c r="M5761" s="9"/>
      <c r="N5761" s="9"/>
      <c r="P5761" s="14"/>
      <c r="Q5761" s="85"/>
      <c r="R5761" s="89"/>
      <c r="U5761" s="11" t="str">
        <f t="shared" si="413"/>
        <v/>
      </c>
      <c r="V5761" s="37"/>
      <c r="Z5761" s="15"/>
    </row>
    <row r="5762" spans="1:26" x14ac:dyDescent="0.25">
      <c r="A5762" s="15" t="str">
        <f>IF(C5762="","",COUNTA($C$3:C5762))</f>
        <v/>
      </c>
      <c r="B5762" s="15" t="str">
        <f t="shared" si="414"/>
        <v/>
      </c>
      <c r="M5762" s="9"/>
      <c r="N5762" s="9"/>
      <c r="P5762" s="14"/>
      <c r="Q5762" s="85"/>
      <c r="R5762" s="89"/>
      <c r="U5762" s="11" t="str">
        <f t="shared" ref="U5762:U5825" si="415">IF(S5762="","",(S5762-T5762))</f>
        <v/>
      </c>
      <c r="V5762" s="37"/>
      <c r="Z5762" s="15"/>
    </row>
    <row r="5763" spans="1:26" x14ac:dyDescent="0.25">
      <c r="A5763" s="15" t="str">
        <f>IF(C5763="","",COUNTA($C$3:C5763))</f>
        <v/>
      </c>
      <c r="B5763" s="15" t="str">
        <f t="shared" ref="B5763:B5826" si="416">IF(C5763="","",TEXT(C5763,"mmmm"))</f>
        <v/>
      </c>
      <c r="M5763" s="9"/>
      <c r="N5763" s="9"/>
      <c r="P5763" s="14"/>
      <c r="Q5763" s="85"/>
      <c r="R5763" s="89"/>
      <c r="U5763" s="11" t="str">
        <f t="shared" si="415"/>
        <v/>
      </c>
      <c r="V5763" s="37"/>
      <c r="Z5763" s="15"/>
    </row>
    <row r="5764" spans="1:26" x14ac:dyDescent="0.25">
      <c r="A5764" s="15" t="str">
        <f>IF(C5764="","",COUNTA($C$3:C5764))</f>
        <v/>
      </c>
      <c r="B5764" s="15" t="str">
        <f t="shared" si="416"/>
        <v/>
      </c>
      <c r="M5764" s="9"/>
      <c r="N5764" s="9"/>
      <c r="P5764" s="14"/>
      <c r="Q5764" s="85"/>
      <c r="R5764" s="89"/>
      <c r="U5764" s="11" t="str">
        <f t="shared" si="415"/>
        <v/>
      </c>
      <c r="V5764" s="37"/>
      <c r="Z5764" s="15"/>
    </row>
    <row r="5765" spans="1:26" x14ac:dyDescent="0.25">
      <c r="A5765" s="15" t="str">
        <f>IF(C5765="","",COUNTA($C$3:C5765))</f>
        <v/>
      </c>
      <c r="B5765" s="15" t="str">
        <f t="shared" si="416"/>
        <v/>
      </c>
      <c r="M5765" s="9"/>
      <c r="N5765" s="9"/>
      <c r="P5765" s="14"/>
      <c r="Q5765" s="85"/>
      <c r="R5765" s="89"/>
      <c r="U5765" s="11" t="str">
        <f t="shared" si="415"/>
        <v/>
      </c>
      <c r="V5765" s="37"/>
      <c r="Z5765" s="15"/>
    </row>
    <row r="5766" spans="1:26" x14ac:dyDescent="0.25">
      <c r="A5766" s="15" t="str">
        <f>IF(C5766="","",COUNTA($C$3:C5766))</f>
        <v/>
      </c>
      <c r="B5766" s="15" t="str">
        <f t="shared" si="416"/>
        <v/>
      </c>
      <c r="M5766" s="9"/>
      <c r="N5766" s="9"/>
      <c r="P5766" s="14"/>
      <c r="Q5766" s="85"/>
      <c r="R5766" s="89"/>
      <c r="U5766" s="11" t="str">
        <f t="shared" si="415"/>
        <v/>
      </c>
      <c r="V5766" s="37"/>
      <c r="Z5766" s="15"/>
    </row>
    <row r="5767" spans="1:26" x14ac:dyDescent="0.25">
      <c r="A5767" s="15" t="str">
        <f>IF(C5767="","",COUNTA($C$3:C5767))</f>
        <v/>
      </c>
      <c r="B5767" s="15" t="str">
        <f t="shared" si="416"/>
        <v/>
      </c>
      <c r="M5767" s="9"/>
      <c r="N5767" s="9"/>
      <c r="P5767" s="14"/>
      <c r="Q5767" s="85"/>
      <c r="R5767" s="89"/>
      <c r="U5767" s="11" t="str">
        <f t="shared" si="415"/>
        <v/>
      </c>
      <c r="V5767" s="37"/>
      <c r="Z5767" s="15"/>
    </row>
    <row r="5768" spans="1:26" x14ac:dyDescent="0.25">
      <c r="A5768" s="15" t="str">
        <f>IF(C5768="","",COUNTA($C$3:C5768))</f>
        <v/>
      </c>
      <c r="B5768" s="15" t="str">
        <f t="shared" si="416"/>
        <v/>
      </c>
      <c r="M5768" s="9"/>
      <c r="N5768" s="9"/>
      <c r="P5768" s="14"/>
      <c r="Q5768" s="85"/>
      <c r="R5768" s="89"/>
      <c r="U5768" s="11" t="str">
        <f t="shared" si="415"/>
        <v/>
      </c>
      <c r="V5768" s="37"/>
      <c r="Z5768" s="15"/>
    </row>
    <row r="5769" spans="1:26" x14ac:dyDescent="0.25">
      <c r="A5769" s="15" t="str">
        <f>IF(C5769="","",COUNTA($C$3:C5769))</f>
        <v/>
      </c>
      <c r="B5769" s="15" t="str">
        <f t="shared" si="416"/>
        <v/>
      </c>
      <c r="M5769" s="9"/>
      <c r="N5769" s="9"/>
      <c r="P5769" s="14"/>
      <c r="Q5769" s="85"/>
      <c r="R5769" s="89"/>
      <c r="U5769" s="11" t="str">
        <f t="shared" si="415"/>
        <v/>
      </c>
      <c r="V5769" s="37"/>
      <c r="Z5769" s="15"/>
    </row>
    <row r="5770" spans="1:26" x14ac:dyDescent="0.25">
      <c r="A5770" s="15" t="str">
        <f>IF(C5770="","",COUNTA($C$3:C5770))</f>
        <v/>
      </c>
      <c r="B5770" s="15" t="str">
        <f t="shared" si="416"/>
        <v/>
      </c>
      <c r="M5770" s="9"/>
      <c r="N5770" s="9"/>
      <c r="P5770" s="14"/>
      <c r="Q5770" s="85"/>
      <c r="R5770" s="89"/>
      <c r="U5770" s="11" t="str">
        <f t="shared" si="415"/>
        <v/>
      </c>
      <c r="V5770" s="37"/>
      <c r="Z5770" s="15"/>
    </row>
    <row r="5771" spans="1:26" x14ac:dyDescent="0.25">
      <c r="A5771" s="15" t="str">
        <f>IF(C5771="","",COUNTA($C$3:C5771))</f>
        <v/>
      </c>
      <c r="B5771" s="15" t="str">
        <f t="shared" si="416"/>
        <v/>
      </c>
      <c r="M5771" s="9"/>
      <c r="N5771" s="9"/>
      <c r="P5771" s="14"/>
      <c r="Q5771" s="85"/>
      <c r="R5771" s="89"/>
      <c r="U5771" s="11" t="str">
        <f t="shared" si="415"/>
        <v/>
      </c>
      <c r="V5771" s="37"/>
      <c r="Z5771" s="15"/>
    </row>
    <row r="5772" spans="1:26" x14ac:dyDescent="0.25">
      <c r="A5772" s="15" t="str">
        <f>IF(C5772="","",COUNTA($C$3:C5772))</f>
        <v/>
      </c>
      <c r="B5772" s="15" t="str">
        <f t="shared" si="416"/>
        <v/>
      </c>
      <c r="M5772" s="9"/>
      <c r="N5772" s="9"/>
      <c r="P5772" s="14"/>
      <c r="Q5772" s="85"/>
      <c r="R5772" s="89"/>
      <c r="U5772" s="11" t="str">
        <f t="shared" si="415"/>
        <v/>
      </c>
      <c r="V5772" s="37"/>
      <c r="Z5772" s="15"/>
    </row>
    <row r="5773" spans="1:26" x14ac:dyDescent="0.25">
      <c r="A5773" s="15" t="str">
        <f>IF(C5773="","",COUNTA($C$3:C5773))</f>
        <v/>
      </c>
      <c r="B5773" s="15" t="str">
        <f t="shared" si="416"/>
        <v/>
      </c>
      <c r="M5773" s="9"/>
      <c r="N5773" s="9"/>
      <c r="P5773" s="14"/>
      <c r="Q5773" s="85"/>
      <c r="R5773" s="89"/>
      <c r="U5773" s="11" t="str">
        <f t="shared" si="415"/>
        <v/>
      </c>
      <c r="V5773" s="37"/>
      <c r="Z5773" s="15"/>
    </row>
    <row r="5774" spans="1:26" x14ac:dyDescent="0.25">
      <c r="A5774" s="15" t="str">
        <f>IF(C5774="","",COUNTA($C$3:C5774))</f>
        <v/>
      </c>
      <c r="B5774" s="15" t="str">
        <f t="shared" si="416"/>
        <v/>
      </c>
      <c r="M5774" s="9"/>
      <c r="N5774" s="9"/>
      <c r="P5774" s="14"/>
      <c r="Q5774" s="85"/>
      <c r="R5774" s="89"/>
      <c r="U5774" s="11" t="str">
        <f t="shared" si="415"/>
        <v/>
      </c>
      <c r="V5774" s="37"/>
      <c r="Z5774" s="15"/>
    </row>
    <row r="5775" spans="1:26" x14ac:dyDescent="0.25">
      <c r="A5775" s="15" t="str">
        <f>IF(C5775="","",COUNTA($C$3:C5775))</f>
        <v/>
      </c>
      <c r="B5775" s="15" t="str">
        <f t="shared" si="416"/>
        <v/>
      </c>
      <c r="M5775" s="9"/>
      <c r="N5775" s="9"/>
      <c r="P5775" s="14"/>
      <c r="Q5775" s="85"/>
      <c r="R5775" s="89"/>
      <c r="U5775" s="11" t="str">
        <f t="shared" si="415"/>
        <v/>
      </c>
      <c r="V5775" s="37"/>
      <c r="Z5775" s="15"/>
    </row>
    <row r="5776" spans="1:26" x14ac:dyDescent="0.25">
      <c r="A5776" s="15" t="str">
        <f>IF(C5776="","",COUNTA($C$3:C5776))</f>
        <v/>
      </c>
      <c r="B5776" s="15" t="str">
        <f t="shared" si="416"/>
        <v/>
      </c>
      <c r="M5776" s="9"/>
      <c r="N5776" s="9"/>
      <c r="P5776" s="14"/>
      <c r="Q5776" s="85"/>
      <c r="R5776" s="89"/>
      <c r="U5776" s="11" t="str">
        <f t="shared" si="415"/>
        <v/>
      </c>
      <c r="V5776" s="37"/>
      <c r="Z5776" s="15"/>
    </row>
    <row r="5777" spans="1:26" x14ac:dyDescent="0.25">
      <c r="A5777" s="15" t="str">
        <f>IF(C5777="","",COUNTA($C$3:C5777))</f>
        <v/>
      </c>
      <c r="B5777" s="15" t="str">
        <f t="shared" si="416"/>
        <v/>
      </c>
      <c r="M5777" s="9"/>
      <c r="N5777" s="9"/>
      <c r="P5777" s="14"/>
      <c r="Q5777" s="85"/>
      <c r="R5777" s="89"/>
      <c r="U5777" s="11" t="str">
        <f t="shared" si="415"/>
        <v/>
      </c>
      <c r="V5777" s="37"/>
      <c r="Z5777" s="15"/>
    </row>
    <row r="5778" spans="1:26" x14ac:dyDescent="0.25">
      <c r="A5778" s="15" t="str">
        <f>IF(C5778="","",COUNTA($C$3:C5778))</f>
        <v/>
      </c>
      <c r="B5778" s="15" t="str">
        <f t="shared" si="416"/>
        <v/>
      </c>
      <c r="M5778" s="9"/>
      <c r="N5778" s="9"/>
      <c r="P5778" s="14"/>
      <c r="Q5778" s="85"/>
      <c r="R5778" s="89"/>
      <c r="U5778" s="11" t="str">
        <f t="shared" si="415"/>
        <v/>
      </c>
      <c r="V5778" s="37"/>
      <c r="Z5778" s="15"/>
    </row>
    <row r="5779" spans="1:26" x14ac:dyDescent="0.25">
      <c r="A5779" s="15" t="str">
        <f>IF(C5779="","",COUNTA($C$3:C5779))</f>
        <v/>
      </c>
      <c r="B5779" s="15" t="str">
        <f t="shared" si="416"/>
        <v/>
      </c>
      <c r="M5779" s="9"/>
      <c r="N5779" s="9"/>
      <c r="P5779" s="14"/>
      <c r="Q5779" s="85"/>
      <c r="R5779" s="89"/>
      <c r="U5779" s="11" t="str">
        <f t="shared" si="415"/>
        <v/>
      </c>
      <c r="V5779" s="37"/>
      <c r="Z5779" s="15"/>
    </row>
    <row r="5780" spans="1:26" x14ac:dyDescent="0.25">
      <c r="A5780" s="15" t="str">
        <f>IF(C5780="","",COUNTA($C$3:C5780))</f>
        <v/>
      </c>
      <c r="B5780" s="15" t="str">
        <f t="shared" si="416"/>
        <v/>
      </c>
      <c r="M5780" s="9"/>
      <c r="N5780" s="9"/>
      <c r="P5780" s="14"/>
      <c r="Q5780" s="85"/>
      <c r="R5780" s="89"/>
      <c r="U5780" s="11" t="str">
        <f t="shared" si="415"/>
        <v/>
      </c>
      <c r="V5780" s="37"/>
      <c r="Z5780" s="15"/>
    </row>
    <row r="5781" spans="1:26" x14ac:dyDescent="0.25">
      <c r="A5781" s="15" t="str">
        <f>IF(C5781="","",COUNTA($C$3:C5781))</f>
        <v/>
      </c>
      <c r="B5781" s="15" t="str">
        <f t="shared" si="416"/>
        <v/>
      </c>
      <c r="M5781" s="9"/>
      <c r="N5781" s="9"/>
      <c r="P5781" s="14"/>
      <c r="Q5781" s="85"/>
      <c r="R5781" s="89"/>
      <c r="U5781" s="11" t="str">
        <f t="shared" si="415"/>
        <v/>
      </c>
      <c r="V5781" s="37"/>
      <c r="Z5781" s="15"/>
    </row>
    <row r="5782" spans="1:26" x14ac:dyDescent="0.25">
      <c r="A5782" s="15" t="str">
        <f>IF(C5782="","",COUNTA($C$3:C5782))</f>
        <v/>
      </c>
      <c r="B5782" s="15" t="str">
        <f t="shared" si="416"/>
        <v/>
      </c>
      <c r="M5782" s="9"/>
      <c r="N5782" s="9"/>
      <c r="P5782" s="14"/>
      <c r="Q5782" s="85"/>
      <c r="R5782" s="89"/>
      <c r="U5782" s="11" t="str">
        <f t="shared" si="415"/>
        <v/>
      </c>
      <c r="V5782" s="37"/>
      <c r="Z5782" s="15"/>
    </row>
    <row r="5783" spans="1:26" x14ac:dyDescent="0.25">
      <c r="A5783" s="15" t="str">
        <f>IF(C5783="","",COUNTA($C$3:C5783))</f>
        <v/>
      </c>
      <c r="B5783" s="15" t="str">
        <f t="shared" si="416"/>
        <v/>
      </c>
      <c r="M5783" s="9"/>
      <c r="N5783" s="9"/>
      <c r="P5783" s="14"/>
      <c r="Q5783" s="85"/>
      <c r="R5783" s="89"/>
      <c r="U5783" s="11" t="str">
        <f t="shared" si="415"/>
        <v/>
      </c>
      <c r="V5783" s="37"/>
      <c r="Z5783" s="15"/>
    </row>
    <row r="5784" spans="1:26" x14ac:dyDescent="0.25">
      <c r="A5784" s="15" t="str">
        <f>IF(C5784="","",COUNTA($C$3:C5784))</f>
        <v/>
      </c>
      <c r="B5784" s="15" t="str">
        <f t="shared" si="416"/>
        <v/>
      </c>
      <c r="M5784" s="9"/>
      <c r="N5784" s="9"/>
      <c r="P5784" s="14"/>
      <c r="Q5784" s="85"/>
      <c r="R5784" s="89"/>
      <c r="U5784" s="11" t="str">
        <f t="shared" si="415"/>
        <v/>
      </c>
      <c r="V5784" s="37"/>
      <c r="Z5784" s="15"/>
    </row>
    <row r="5785" spans="1:26" x14ac:dyDescent="0.25">
      <c r="A5785" s="15" t="str">
        <f>IF(C5785="","",COUNTA($C$3:C5785))</f>
        <v/>
      </c>
      <c r="B5785" s="15" t="str">
        <f t="shared" si="416"/>
        <v/>
      </c>
      <c r="M5785" s="9"/>
      <c r="N5785" s="9"/>
      <c r="P5785" s="14"/>
      <c r="Q5785" s="85"/>
      <c r="R5785" s="89"/>
      <c r="U5785" s="11" t="str">
        <f t="shared" si="415"/>
        <v/>
      </c>
      <c r="V5785" s="37"/>
      <c r="Z5785" s="15"/>
    </row>
    <row r="5786" spans="1:26" x14ac:dyDescent="0.25">
      <c r="A5786" s="15" t="str">
        <f>IF(C5786="","",COUNTA($C$3:C5786))</f>
        <v/>
      </c>
      <c r="B5786" s="15" t="str">
        <f t="shared" si="416"/>
        <v/>
      </c>
      <c r="M5786" s="9"/>
      <c r="N5786" s="9"/>
      <c r="P5786" s="14"/>
      <c r="Q5786" s="85"/>
      <c r="R5786" s="89"/>
      <c r="U5786" s="11" t="str">
        <f t="shared" si="415"/>
        <v/>
      </c>
      <c r="V5786" s="37"/>
      <c r="Z5786" s="15"/>
    </row>
    <row r="5787" spans="1:26" x14ac:dyDescent="0.25">
      <c r="A5787" s="15" t="str">
        <f>IF(C5787="","",COUNTA($C$3:C5787))</f>
        <v/>
      </c>
      <c r="B5787" s="15" t="str">
        <f t="shared" si="416"/>
        <v/>
      </c>
      <c r="M5787" s="9"/>
      <c r="N5787" s="9"/>
      <c r="P5787" s="14"/>
      <c r="Q5787" s="85"/>
      <c r="R5787" s="89"/>
      <c r="U5787" s="11" t="str">
        <f t="shared" si="415"/>
        <v/>
      </c>
      <c r="V5787" s="37"/>
      <c r="Z5787" s="15"/>
    </row>
    <row r="5788" spans="1:26" x14ac:dyDescent="0.25">
      <c r="A5788" s="15" t="str">
        <f>IF(C5788="","",COUNTA($C$3:C5788))</f>
        <v/>
      </c>
      <c r="B5788" s="15" t="str">
        <f t="shared" si="416"/>
        <v/>
      </c>
      <c r="M5788" s="9"/>
      <c r="N5788" s="9"/>
      <c r="P5788" s="14"/>
      <c r="Q5788" s="85"/>
      <c r="R5788" s="89"/>
      <c r="U5788" s="11" t="str">
        <f t="shared" si="415"/>
        <v/>
      </c>
      <c r="V5788" s="37"/>
      <c r="Z5788" s="15"/>
    </row>
    <row r="5789" spans="1:26" x14ac:dyDescent="0.25">
      <c r="A5789" s="15" t="str">
        <f>IF(C5789="","",COUNTA($C$3:C5789))</f>
        <v/>
      </c>
      <c r="B5789" s="15" t="str">
        <f t="shared" si="416"/>
        <v/>
      </c>
      <c r="M5789" s="9"/>
      <c r="N5789" s="9"/>
      <c r="P5789" s="14"/>
      <c r="Q5789" s="85"/>
      <c r="R5789" s="89"/>
      <c r="U5789" s="11" t="str">
        <f t="shared" si="415"/>
        <v/>
      </c>
      <c r="V5789" s="37"/>
      <c r="Z5789" s="15"/>
    </row>
    <row r="5790" spans="1:26" x14ac:dyDescent="0.25">
      <c r="A5790" s="15" t="str">
        <f>IF(C5790="","",COUNTA($C$3:C5790))</f>
        <v/>
      </c>
      <c r="B5790" s="15" t="str">
        <f t="shared" si="416"/>
        <v/>
      </c>
      <c r="M5790" s="9"/>
      <c r="N5790" s="9"/>
      <c r="P5790" s="14"/>
      <c r="Q5790" s="85"/>
      <c r="R5790" s="89"/>
      <c r="U5790" s="11" t="str">
        <f t="shared" si="415"/>
        <v/>
      </c>
      <c r="V5790" s="37"/>
      <c r="Z5790" s="15"/>
    </row>
    <row r="5791" spans="1:26" x14ac:dyDescent="0.25">
      <c r="A5791" s="15" t="str">
        <f>IF(C5791="","",COUNTA($C$3:C5791))</f>
        <v/>
      </c>
      <c r="B5791" s="15" t="str">
        <f t="shared" si="416"/>
        <v/>
      </c>
      <c r="M5791" s="9"/>
      <c r="N5791" s="9"/>
      <c r="P5791" s="14"/>
      <c r="Q5791" s="85"/>
      <c r="R5791" s="89"/>
      <c r="U5791" s="11" t="str">
        <f t="shared" si="415"/>
        <v/>
      </c>
      <c r="V5791" s="37"/>
      <c r="Z5791" s="15"/>
    </row>
    <row r="5792" spans="1:26" x14ac:dyDescent="0.25">
      <c r="A5792" s="15" t="str">
        <f>IF(C5792="","",COUNTA($C$3:C5792))</f>
        <v/>
      </c>
      <c r="B5792" s="15" t="str">
        <f t="shared" si="416"/>
        <v/>
      </c>
      <c r="M5792" s="9"/>
      <c r="N5792" s="9"/>
      <c r="P5792" s="14"/>
      <c r="Q5792" s="85"/>
      <c r="R5792" s="89"/>
      <c r="U5792" s="11" t="str">
        <f t="shared" si="415"/>
        <v/>
      </c>
      <c r="V5792" s="37"/>
      <c r="Z5792" s="15"/>
    </row>
    <row r="5793" spans="1:26" x14ac:dyDescent="0.25">
      <c r="A5793" s="15" t="str">
        <f>IF(C5793="","",COUNTA($C$3:C5793))</f>
        <v/>
      </c>
      <c r="B5793" s="15" t="str">
        <f t="shared" si="416"/>
        <v/>
      </c>
      <c r="M5793" s="9"/>
      <c r="N5793" s="9"/>
      <c r="P5793" s="14"/>
      <c r="Q5793" s="85"/>
      <c r="R5793" s="89"/>
      <c r="U5793" s="11" t="str">
        <f t="shared" si="415"/>
        <v/>
      </c>
      <c r="V5793" s="37"/>
      <c r="Z5793" s="15"/>
    </row>
    <row r="5794" spans="1:26" x14ac:dyDescent="0.25">
      <c r="A5794" s="15" t="str">
        <f>IF(C5794="","",COUNTA($C$3:C5794))</f>
        <v/>
      </c>
      <c r="B5794" s="15" t="str">
        <f t="shared" si="416"/>
        <v/>
      </c>
      <c r="M5794" s="9"/>
      <c r="N5794" s="9"/>
      <c r="P5794" s="14"/>
      <c r="Q5794" s="85"/>
      <c r="R5794" s="89"/>
      <c r="U5794" s="11" t="str">
        <f t="shared" si="415"/>
        <v/>
      </c>
      <c r="V5794" s="37"/>
      <c r="Z5794" s="15"/>
    </row>
    <row r="5795" spans="1:26" x14ac:dyDescent="0.25">
      <c r="A5795" s="15" t="str">
        <f>IF(C5795="","",COUNTA($C$3:C5795))</f>
        <v/>
      </c>
      <c r="B5795" s="15" t="str">
        <f t="shared" si="416"/>
        <v/>
      </c>
      <c r="M5795" s="9"/>
      <c r="N5795" s="9"/>
      <c r="P5795" s="14"/>
      <c r="Q5795" s="85"/>
      <c r="R5795" s="89"/>
      <c r="U5795" s="11" t="str">
        <f t="shared" si="415"/>
        <v/>
      </c>
      <c r="V5795" s="37"/>
      <c r="Z5795" s="15"/>
    </row>
    <row r="5796" spans="1:26" x14ac:dyDescent="0.25">
      <c r="A5796" s="15" t="str">
        <f>IF(C5796="","",COUNTA($C$3:C5796))</f>
        <v/>
      </c>
      <c r="B5796" s="15" t="str">
        <f t="shared" si="416"/>
        <v/>
      </c>
      <c r="M5796" s="9"/>
      <c r="N5796" s="9"/>
      <c r="P5796" s="14"/>
      <c r="Q5796" s="85"/>
      <c r="R5796" s="89"/>
      <c r="U5796" s="11" t="str">
        <f t="shared" si="415"/>
        <v/>
      </c>
      <c r="V5796" s="37"/>
      <c r="Z5796" s="15"/>
    </row>
    <row r="5797" spans="1:26" x14ac:dyDescent="0.25">
      <c r="A5797" s="15" t="str">
        <f>IF(C5797="","",COUNTA($C$3:C5797))</f>
        <v/>
      </c>
      <c r="B5797" s="15" t="str">
        <f t="shared" si="416"/>
        <v/>
      </c>
      <c r="M5797" s="9"/>
      <c r="N5797" s="9"/>
      <c r="P5797" s="14"/>
      <c r="Q5797" s="85"/>
      <c r="R5797" s="89"/>
      <c r="U5797" s="11" t="str">
        <f t="shared" si="415"/>
        <v/>
      </c>
      <c r="V5797" s="37"/>
      <c r="Z5797" s="15"/>
    </row>
    <row r="5798" spans="1:26" x14ac:dyDescent="0.25">
      <c r="A5798" s="15" t="str">
        <f>IF(C5798="","",COUNTA($C$3:C5798))</f>
        <v/>
      </c>
      <c r="B5798" s="15" t="str">
        <f t="shared" si="416"/>
        <v/>
      </c>
      <c r="M5798" s="9"/>
      <c r="N5798" s="9"/>
      <c r="P5798" s="14"/>
      <c r="Q5798" s="85"/>
      <c r="R5798" s="89"/>
      <c r="U5798" s="11" t="str">
        <f t="shared" si="415"/>
        <v/>
      </c>
      <c r="V5798" s="37"/>
      <c r="Z5798" s="15"/>
    </row>
    <row r="5799" spans="1:26" x14ac:dyDescent="0.25">
      <c r="A5799" s="15" t="str">
        <f>IF(C5799="","",COUNTA($C$3:C5799))</f>
        <v/>
      </c>
      <c r="B5799" s="15" t="str">
        <f t="shared" si="416"/>
        <v/>
      </c>
      <c r="M5799" s="9"/>
      <c r="N5799" s="9"/>
      <c r="P5799" s="14"/>
      <c r="Q5799" s="85"/>
      <c r="R5799" s="89"/>
      <c r="U5799" s="11" t="str">
        <f t="shared" si="415"/>
        <v/>
      </c>
      <c r="V5799" s="37"/>
      <c r="Z5799" s="15"/>
    </row>
    <row r="5800" spans="1:26" x14ac:dyDescent="0.25">
      <c r="A5800" s="15" t="str">
        <f>IF(C5800="","",COUNTA($C$3:C5800))</f>
        <v/>
      </c>
      <c r="B5800" s="15" t="str">
        <f t="shared" si="416"/>
        <v/>
      </c>
      <c r="M5800" s="9"/>
      <c r="N5800" s="9"/>
      <c r="P5800" s="14"/>
      <c r="Q5800" s="85"/>
      <c r="R5800" s="89"/>
      <c r="U5800" s="11" t="str">
        <f t="shared" si="415"/>
        <v/>
      </c>
      <c r="V5800" s="37"/>
      <c r="Z5800" s="15"/>
    </row>
    <row r="5801" spans="1:26" x14ac:dyDescent="0.25">
      <c r="A5801" s="15" t="str">
        <f>IF(C5801="","",COUNTA($C$3:C5801))</f>
        <v/>
      </c>
      <c r="B5801" s="15" t="str">
        <f t="shared" si="416"/>
        <v/>
      </c>
      <c r="M5801" s="9"/>
      <c r="N5801" s="9"/>
      <c r="P5801" s="14"/>
      <c r="Q5801" s="85"/>
      <c r="R5801" s="89"/>
      <c r="U5801" s="11" t="str">
        <f t="shared" si="415"/>
        <v/>
      </c>
      <c r="V5801" s="37"/>
      <c r="Z5801" s="15"/>
    </row>
    <row r="5802" spans="1:26" x14ac:dyDescent="0.25">
      <c r="A5802" s="15" t="str">
        <f>IF(C5802="","",COUNTA($C$3:C5802))</f>
        <v/>
      </c>
      <c r="B5802" s="15" t="str">
        <f t="shared" si="416"/>
        <v/>
      </c>
      <c r="M5802" s="9"/>
      <c r="N5802" s="9"/>
      <c r="P5802" s="14"/>
      <c r="Q5802" s="85"/>
      <c r="R5802" s="89"/>
      <c r="U5802" s="11" t="str">
        <f t="shared" si="415"/>
        <v/>
      </c>
      <c r="V5802" s="37"/>
      <c r="Z5802" s="15"/>
    </row>
    <row r="5803" spans="1:26" x14ac:dyDescent="0.25">
      <c r="A5803" s="15" t="str">
        <f>IF(C5803="","",COUNTA($C$3:C5803))</f>
        <v/>
      </c>
      <c r="B5803" s="15" t="str">
        <f t="shared" si="416"/>
        <v/>
      </c>
      <c r="M5803" s="9"/>
      <c r="N5803" s="9"/>
      <c r="P5803" s="14"/>
      <c r="Q5803" s="85"/>
      <c r="R5803" s="89"/>
      <c r="U5803" s="11" t="str">
        <f t="shared" si="415"/>
        <v/>
      </c>
      <c r="V5803" s="37"/>
      <c r="Z5803" s="15"/>
    </row>
    <row r="5804" spans="1:26" x14ac:dyDescent="0.25">
      <c r="A5804" s="15" t="str">
        <f>IF(C5804="","",COUNTA($C$3:C5804))</f>
        <v/>
      </c>
      <c r="B5804" s="15" t="str">
        <f t="shared" si="416"/>
        <v/>
      </c>
      <c r="M5804" s="9"/>
      <c r="N5804" s="9"/>
      <c r="P5804" s="14"/>
      <c r="Q5804" s="85"/>
      <c r="R5804" s="89"/>
      <c r="U5804" s="11" t="str">
        <f t="shared" si="415"/>
        <v/>
      </c>
      <c r="V5804" s="37"/>
      <c r="Z5804" s="15"/>
    </row>
    <row r="5805" spans="1:26" x14ac:dyDescent="0.25">
      <c r="A5805" s="15" t="str">
        <f>IF(C5805="","",COUNTA($C$3:C5805))</f>
        <v/>
      </c>
      <c r="B5805" s="15" t="str">
        <f t="shared" si="416"/>
        <v/>
      </c>
      <c r="M5805" s="9"/>
      <c r="N5805" s="9"/>
      <c r="P5805" s="14"/>
      <c r="Q5805" s="85"/>
      <c r="R5805" s="89"/>
      <c r="U5805" s="11" t="str">
        <f t="shared" si="415"/>
        <v/>
      </c>
      <c r="V5805" s="37"/>
      <c r="Z5805" s="15"/>
    </row>
    <row r="5806" spans="1:26" x14ac:dyDescent="0.25">
      <c r="A5806" s="15" t="str">
        <f>IF(C5806="","",COUNTA($C$3:C5806))</f>
        <v/>
      </c>
      <c r="B5806" s="15" t="str">
        <f t="shared" si="416"/>
        <v/>
      </c>
      <c r="M5806" s="9"/>
      <c r="N5806" s="9"/>
      <c r="P5806" s="14"/>
      <c r="Q5806" s="85"/>
      <c r="R5806" s="89"/>
      <c r="U5806" s="11" t="str">
        <f t="shared" si="415"/>
        <v/>
      </c>
      <c r="V5806" s="37"/>
      <c r="Z5806" s="15"/>
    </row>
    <row r="5807" spans="1:26" x14ac:dyDescent="0.25">
      <c r="A5807" s="15" t="str">
        <f>IF(C5807="","",COUNTA($C$3:C5807))</f>
        <v/>
      </c>
      <c r="B5807" s="15" t="str">
        <f t="shared" si="416"/>
        <v/>
      </c>
      <c r="M5807" s="9"/>
      <c r="N5807" s="9"/>
      <c r="P5807" s="14"/>
      <c r="Q5807" s="85"/>
      <c r="R5807" s="89"/>
      <c r="U5807" s="11" t="str">
        <f t="shared" si="415"/>
        <v/>
      </c>
      <c r="V5807" s="37"/>
      <c r="Z5807" s="15"/>
    </row>
    <row r="5808" spans="1:26" x14ac:dyDescent="0.25">
      <c r="A5808" s="15" t="str">
        <f>IF(C5808="","",COUNTA($C$3:C5808))</f>
        <v/>
      </c>
      <c r="B5808" s="15" t="str">
        <f t="shared" si="416"/>
        <v/>
      </c>
      <c r="M5808" s="9"/>
      <c r="N5808" s="9"/>
      <c r="P5808" s="14"/>
      <c r="Q5808" s="85"/>
      <c r="R5808" s="89"/>
      <c r="U5808" s="11" t="str">
        <f t="shared" si="415"/>
        <v/>
      </c>
      <c r="V5808" s="37"/>
      <c r="Z5808" s="15"/>
    </row>
    <row r="5809" spans="1:26" x14ac:dyDescent="0.25">
      <c r="A5809" s="15" t="str">
        <f>IF(C5809="","",COUNTA($C$3:C5809))</f>
        <v/>
      </c>
      <c r="B5809" s="15" t="str">
        <f t="shared" si="416"/>
        <v/>
      </c>
      <c r="M5809" s="9"/>
      <c r="N5809" s="9"/>
      <c r="P5809" s="14"/>
      <c r="Q5809" s="85"/>
      <c r="R5809" s="89"/>
      <c r="U5809" s="11" t="str">
        <f t="shared" si="415"/>
        <v/>
      </c>
      <c r="V5809" s="37"/>
      <c r="Z5809" s="15"/>
    </row>
    <row r="5810" spans="1:26" x14ac:dyDescent="0.25">
      <c r="A5810" s="15" t="str">
        <f>IF(C5810="","",COUNTA($C$3:C5810))</f>
        <v/>
      </c>
      <c r="B5810" s="15" t="str">
        <f t="shared" si="416"/>
        <v/>
      </c>
      <c r="M5810" s="9"/>
      <c r="N5810" s="9"/>
      <c r="P5810" s="14"/>
      <c r="Q5810" s="85"/>
      <c r="R5810" s="89"/>
      <c r="U5810" s="11" t="str">
        <f t="shared" si="415"/>
        <v/>
      </c>
      <c r="V5810" s="37"/>
      <c r="Z5810" s="15"/>
    </row>
    <row r="5811" spans="1:26" x14ac:dyDescent="0.25">
      <c r="A5811" s="15" t="str">
        <f>IF(C5811="","",COUNTA($C$3:C5811))</f>
        <v/>
      </c>
      <c r="B5811" s="15" t="str">
        <f t="shared" si="416"/>
        <v/>
      </c>
      <c r="M5811" s="9"/>
      <c r="N5811" s="9"/>
      <c r="P5811" s="14"/>
      <c r="Q5811" s="85"/>
      <c r="R5811" s="89"/>
      <c r="U5811" s="11" t="str">
        <f t="shared" si="415"/>
        <v/>
      </c>
      <c r="V5811" s="37"/>
      <c r="Z5811" s="15"/>
    </row>
    <row r="5812" spans="1:26" x14ac:dyDescent="0.25">
      <c r="A5812" s="15" t="str">
        <f>IF(C5812="","",COUNTA($C$3:C5812))</f>
        <v/>
      </c>
      <c r="B5812" s="15" t="str">
        <f t="shared" si="416"/>
        <v/>
      </c>
      <c r="M5812" s="9"/>
      <c r="N5812" s="9"/>
      <c r="P5812" s="14"/>
      <c r="Q5812" s="85"/>
      <c r="R5812" s="89"/>
      <c r="U5812" s="11" t="str">
        <f t="shared" si="415"/>
        <v/>
      </c>
      <c r="V5812" s="37"/>
      <c r="Z5812" s="15"/>
    </row>
    <row r="5813" spans="1:26" x14ac:dyDescent="0.25">
      <c r="A5813" s="15" t="str">
        <f>IF(C5813="","",COUNTA($C$3:C5813))</f>
        <v/>
      </c>
      <c r="B5813" s="15" t="str">
        <f t="shared" si="416"/>
        <v/>
      </c>
      <c r="M5813" s="9"/>
      <c r="N5813" s="9"/>
      <c r="P5813" s="14"/>
      <c r="Q5813" s="85"/>
      <c r="R5813" s="89"/>
      <c r="U5813" s="11" t="str">
        <f t="shared" si="415"/>
        <v/>
      </c>
      <c r="V5813" s="37"/>
      <c r="Z5813" s="15"/>
    </row>
    <row r="5814" spans="1:26" x14ac:dyDescent="0.25">
      <c r="A5814" s="15" t="str">
        <f>IF(C5814="","",COUNTA($C$3:C5814))</f>
        <v/>
      </c>
      <c r="B5814" s="15" t="str">
        <f t="shared" si="416"/>
        <v/>
      </c>
      <c r="M5814" s="9"/>
      <c r="N5814" s="9"/>
      <c r="P5814" s="14"/>
      <c r="Q5814" s="85"/>
      <c r="R5814" s="89"/>
      <c r="U5814" s="11" t="str">
        <f t="shared" si="415"/>
        <v/>
      </c>
      <c r="V5814" s="37"/>
      <c r="Z5814" s="15"/>
    </row>
    <row r="5815" spans="1:26" x14ac:dyDescent="0.25">
      <c r="A5815" s="15" t="str">
        <f>IF(C5815="","",COUNTA($C$3:C5815))</f>
        <v/>
      </c>
      <c r="B5815" s="15" t="str">
        <f t="shared" si="416"/>
        <v/>
      </c>
      <c r="M5815" s="9"/>
      <c r="N5815" s="9"/>
      <c r="P5815" s="14"/>
      <c r="Q5815" s="85"/>
      <c r="R5815" s="89"/>
      <c r="U5815" s="11" t="str">
        <f t="shared" si="415"/>
        <v/>
      </c>
      <c r="V5815" s="37"/>
      <c r="Z5815" s="15"/>
    </row>
    <row r="5816" spans="1:26" x14ac:dyDescent="0.25">
      <c r="A5816" s="15" t="str">
        <f>IF(C5816="","",COUNTA($C$3:C5816))</f>
        <v/>
      </c>
      <c r="B5816" s="15" t="str">
        <f t="shared" si="416"/>
        <v/>
      </c>
      <c r="M5816" s="9"/>
      <c r="N5816" s="9"/>
      <c r="P5816" s="14"/>
      <c r="Q5816" s="85"/>
      <c r="R5816" s="89"/>
      <c r="U5816" s="11" t="str">
        <f t="shared" si="415"/>
        <v/>
      </c>
      <c r="V5816" s="37"/>
      <c r="Z5816" s="15"/>
    </row>
    <row r="5817" spans="1:26" x14ac:dyDescent="0.25">
      <c r="A5817" s="15" t="str">
        <f>IF(C5817="","",COUNTA($C$3:C5817))</f>
        <v/>
      </c>
      <c r="B5817" s="15" t="str">
        <f t="shared" si="416"/>
        <v/>
      </c>
      <c r="M5817" s="9"/>
      <c r="N5817" s="9"/>
      <c r="P5817" s="14"/>
      <c r="Q5817" s="85"/>
      <c r="R5817" s="89"/>
      <c r="U5817" s="11" t="str">
        <f t="shared" si="415"/>
        <v/>
      </c>
      <c r="V5817" s="37"/>
      <c r="Z5817" s="15"/>
    </row>
    <row r="5818" spans="1:26" x14ac:dyDescent="0.25">
      <c r="A5818" s="15" t="str">
        <f>IF(C5818="","",COUNTA($C$3:C5818))</f>
        <v/>
      </c>
      <c r="B5818" s="15" t="str">
        <f t="shared" si="416"/>
        <v/>
      </c>
      <c r="M5818" s="9"/>
      <c r="N5818" s="9"/>
      <c r="P5818" s="14"/>
      <c r="Q5818" s="85"/>
      <c r="R5818" s="89"/>
      <c r="U5818" s="11" t="str">
        <f t="shared" si="415"/>
        <v/>
      </c>
      <c r="V5818" s="37"/>
      <c r="Z5818" s="15"/>
    </row>
    <row r="5819" spans="1:26" x14ac:dyDescent="0.25">
      <c r="A5819" s="15" t="str">
        <f>IF(C5819="","",COUNTA($C$3:C5819))</f>
        <v/>
      </c>
      <c r="B5819" s="15" t="str">
        <f t="shared" si="416"/>
        <v/>
      </c>
      <c r="M5819" s="9"/>
      <c r="N5819" s="9"/>
      <c r="P5819" s="14"/>
      <c r="Q5819" s="85"/>
      <c r="R5819" s="89"/>
      <c r="U5819" s="11" t="str">
        <f t="shared" si="415"/>
        <v/>
      </c>
      <c r="V5819" s="37"/>
      <c r="Z5819" s="15"/>
    </row>
    <row r="5820" spans="1:26" x14ac:dyDescent="0.25">
      <c r="A5820" s="15" t="str">
        <f>IF(C5820="","",COUNTA($C$3:C5820))</f>
        <v/>
      </c>
      <c r="B5820" s="15" t="str">
        <f t="shared" si="416"/>
        <v/>
      </c>
      <c r="M5820" s="9"/>
      <c r="N5820" s="9"/>
      <c r="P5820" s="14"/>
      <c r="Q5820" s="85"/>
      <c r="R5820" s="89"/>
      <c r="U5820" s="11" t="str">
        <f t="shared" si="415"/>
        <v/>
      </c>
      <c r="V5820" s="37"/>
      <c r="Z5820" s="15"/>
    </row>
    <row r="5821" spans="1:26" x14ac:dyDescent="0.25">
      <c r="A5821" s="15" t="str">
        <f>IF(C5821="","",COUNTA($C$3:C5821))</f>
        <v/>
      </c>
      <c r="B5821" s="15" t="str">
        <f t="shared" si="416"/>
        <v/>
      </c>
      <c r="M5821" s="9"/>
      <c r="N5821" s="9"/>
      <c r="P5821" s="14"/>
      <c r="Q5821" s="85"/>
      <c r="R5821" s="89"/>
      <c r="U5821" s="11" t="str">
        <f t="shared" si="415"/>
        <v/>
      </c>
      <c r="V5821" s="37"/>
      <c r="Z5821" s="15"/>
    </row>
    <row r="5822" spans="1:26" x14ac:dyDescent="0.25">
      <c r="A5822" s="15" t="str">
        <f>IF(C5822="","",COUNTA($C$3:C5822))</f>
        <v/>
      </c>
      <c r="B5822" s="15" t="str">
        <f t="shared" si="416"/>
        <v/>
      </c>
      <c r="M5822" s="9"/>
      <c r="N5822" s="9"/>
      <c r="P5822" s="14"/>
      <c r="Q5822" s="85"/>
      <c r="R5822" s="89"/>
      <c r="U5822" s="11" t="str">
        <f t="shared" si="415"/>
        <v/>
      </c>
      <c r="V5822" s="37"/>
      <c r="Z5822" s="15"/>
    </row>
    <row r="5823" spans="1:26" x14ac:dyDescent="0.25">
      <c r="A5823" s="15" t="str">
        <f>IF(C5823="","",COUNTA($C$3:C5823))</f>
        <v/>
      </c>
      <c r="B5823" s="15" t="str">
        <f t="shared" si="416"/>
        <v/>
      </c>
      <c r="M5823" s="9"/>
      <c r="N5823" s="9"/>
      <c r="P5823" s="14"/>
      <c r="Q5823" s="85"/>
      <c r="R5823" s="89"/>
      <c r="U5823" s="11" t="str">
        <f t="shared" si="415"/>
        <v/>
      </c>
      <c r="V5823" s="37"/>
      <c r="Z5823" s="15"/>
    </row>
    <row r="5824" spans="1:26" x14ac:dyDescent="0.25">
      <c r="A5824" s="15" t="str">
        <f>IF(C5824="","",COUNTA($C$3:C5824))</f>
        <v/>
      </c>
      <c r="B5824" s="15" t="str">
        <f t="shared" si="416"/>
        <v/>
      </c>
      <c r="M5824" s="9"/>
      <c r="N5824" s="9"/>
      <c r="P5824" s="14"/>
      <c r="Q5824" s="85"/>
      <c r="R5824" s="89"/>
      <c r="U5824" s="11" t="str">
        <f t="shared" si="415"/>
        <v/>
      </c>
      <c r="V5824" s="37"/>
      <c r="Z5824" s="15"/>
    </row>
    <row r="5825" spans="1:26" x14ac:dyDescent="0.25">
      <c r="A5825" s="15" t="str">
        <f>IF(C5825="","",COUNTA($C$3:C5825))</f>
        <v/>
      </c>
      <c r="B5825" s="15" t="str">
        <f t="shared" si="416"/>
        <v/>
      </c>
      <c r="M5825" s="9"/>
      <c r="N5825" s="9"/>
      <c r="P5825" s="14"/>
      <c r="Q5825" s="85"/>
      <c r="R5825" s="89"/>
      <c r="U5825" s="11" t="str">
        <f t="shared" si="415"/>
        <v/>
      </c>
      <c r="V5825" s="37"/>
      <c r="Z5825" s="15"/>
    </row>
    <row r="5826" spans="1:26" x14ac:dyDescent="0.25">
      <c r="A5826" s="15" t="str">
        <f>IF(C5826="","",COUNTA($C$3:C5826))</f>
        <v/>
      </c>
      <c r="B5826" s="15" t="str">
        <f t="shared" si="416"/>
        <v/>
      </c>
      <c r="M5826" s="9"/>
      <c r="N5826" s="9"/>
      <c r="P5826" s="14"/>
      <c r="Q5826" s="85"/>
      <c r="R5826" s="89"/>
      <c r="U5826" s="11" t="str">
        <f t="shared" ref="U5826:U5889" si="417">IF(S5826="","",(S5826-T5826))</f>
        <v/>
      </c>
      <c r="V5826" s="37"/>
      <c r="Z5826" s="15"/>
    </row>
    <row r="5827" spans="1:26" x14ac:dyDescent="0.25">
      <c r="A5827" s="15" t="str">
        <f>IF(C5827="","",COUNTA($C$3:C5827))</f>
        <v/>
      </c>
      <c r="B5827" s="15" t="str">
        <f t="shared" ref="B5827:B5890" si="418">IF(C5827="","",TEXT(C5827,"mmmm"))</f>
        <v/>
      </c>
      <c r="M5827" s="9"/>
      <c r="N5827" s="9"/>
      <c r="P5827" s="14"/>
      <c r="Q5827" s="85"/>
      <c r="R5827" s="89"/>
      <c r="U5827" s="11" t="str">
        <f t="shared" si="417"/>
        <v/>
      </c>
      <c r="V5827" s="37"/>
      <c r="Z5827" s="15"/>
    </row>
    <row r="5828" spans="1:26" x14ac:dyDescent="0.25">
      <c r="A5828" s="15" t="str">
        <f>IF(C5828="","",COUNTA($C$3:C5828))</f>
        <v/>
      </c>
      <c r="B5828" s="15" t="str">
        <f t="shared" si="418"/>
        <v/>
      </c>
      <c r="M5828" s="9"/>
      <c r="N5828" s="9"/>
      <c r="P5828" s="14"/>
      <c r="Q5828" s="85"/>
      <c r="R5828" s="89"/>
      <c r="U5828" s="11" t="str">
        <f t="shared" si="417"/>
        <v/>
      </c>
      <c r="V5828" s="37"/>
      <c r="Z5828" s="15"/>
    </row>
    <row r="5829" spans="1:26" x14ac:dyDescent="0.25">
      <c r="A5829" s="15" t="str">
        <f>IF(C5829="","",COUNTA($C$3:C5829))</f>
        <v/>
      </c>
      <c r="B5829" s="15" t="str">
        <f t="shared" si="418"/>
        <v/>
      </c>
      <c r="M5829" s="9"/>
      <c r="N5829" s="9"/>
      <c r="P5829" s="14"/>
      <c r="Q5829" s="85"/>
      <c r="R5829" s="89"/>
      <c r="U5829" s="11" t="str">
        <f t="shared" si="417"/>
        <v/>
      </c>
      <c r="V5829" s="37"/>
      <c r="Z5829" s="15"/>
    </row>
    <row r="5830" spans="1:26" x14ac:dyDescent="0.25">
      <c r="A5830" s="15" t="str">
        <f>IF(C5830="","",COUNTA($C$3:C5830))</f>
        <v/>
      </c>
      <c r="B5830" s="15" t="str">
        <f t="shared" si="418"/>
        <v/>
      </c>
      <c r="M5830" s="9"/>
      <c r="N5830" s="9"/>
      <c r="P5830" s="14"/>
      <c r="Q5830" s="85"/>
      <c r="R5830" s="89"/>
      <c r="U5830" s="11" t="str">
        <f t="shared" si="417"/>
        <v/>
      </c>
      <c r="V5830" s="37"/>
      <c r="Z5830" s="15"/>
    </row>
    <row r="5831" spans="1:26" x14ac:dyDescent="0.25">
      <c r="A5831" s="15" t="str">
        <f>IF(C5831="","",COUNTA($C$3:C5831))</f>
        <v/>
      </c>
      <c r="B5831" s="15" t="str">
        <f t="shared" si="418"/>
        <v/>
      </c>
      <c r="M5831" s="9"/>
      <c r="N5831" s="9"/>
      <c r="P5831" s="14"/>
      <c r="Q5831" s="85"/>
      <c r="R5831" s="89"/>
      <c r="U5831" s="11" t="str">
        <f t="shared" si="417"/>
        <v/>
      </c>
      <c r="V5831" s="37"/>
      <c r="Z5831" s="15"/>
    </row>
    <row r="5832" spans="1:26" x14ac:dyDescent="0.25">
      <c r="A5832" s="15" t="str">
        <f>IF(C5832="","",COUNTA($C$3:C5832))</f>
        <v/>
      </c>
      <c r="B5832" s="15" t="str">
        <f t="shared" si="418"/>
        <v/>
      </c>
      <c r="M5832" s="9"/>
      <c r="N5832" s="9"/>
      <c r="P5832" s="14"/>
      <c r="Q5832" s="85"/>
      <c r="R5832" s="89"/>
      <c r="U5832" s="11" t="str">
        <f t="shared" si="417"/>
        <v/>
      </c>
      <c r="V5832" s="37"/>
      <c r="Z5832" s="15"/>
    </row>
    <row r="5833" spans="1:26" x14ac:dyDescent="0.25">
      <c r="A5833" s="15" t="str">
        <f>IF(C5833="","",COUNTA($C$3:C5833))</f>
        <v/>
      </c>
      <c r="B5833" s="15" t="str">
        <f t="shared" si="418"/>
        <v/>
      </c>
      <c r="M5833" s="9"/>
      <c r="N5833" s="9"/>
      <c r="P5833" s="14"/>
      <c r="Q5833" s="85"/>
      <c r="R5833" s="89"/>
      <c r="U5833" s="11" t="str">
        <f t="shared" si="417"/>
        <v/>
      </c>
      <c r="V5833" s="37"/>
      <c r="Z5833" s="15"/>
    </row>
    <row r="5834" spans="1:26" x14ac:dyDescent="0.25">
      <c r="A5834" s="15" t="str">
        <f>IF(C5834="","",COUNTA($C$3:C5834))</f>
        <v/>
      </c>
      <c r="B5834" s="15" t="str">
        <f t="shared" si="418"/>
        <v/>
      </c>
      <c r="M5834" s="9"/>
      <c r="N5834" s="9"/>
      <c r="P5834" s="14"/>
      <c r="Q5834" s="85"/>
      <c r="R5834" s="89"/>
      <c r="U5834" s="11" t="str">
        <f t="shared" si="417"/>
        <v/>
      </c>
      <c r="V5834" s="37"/>
      <c r="Z5834" s="15"/>
    </row>
    <row r="5835" spans="1:26" x14ac:dyDescent="0.25">
      <c r="A5835" s="15" t="str">
        <f>IF(C5835="","",COUNTA($C$3:C5835))</f>
        <v/>
      </c>
      <c r="B5835" s="15" t="str">
        <f t="shared" si="418"/>
        <v/>
      </c>
      <c r="M5835" s="9"/>
      <c r="N5835" s="9"/>
      <c r="P5835" s="14"/>
      <c r="Q5835" s="85"/>
      <c r="R5835" s="89"/>
      <c r="U5835" s="11" t="str">
        <f t="shared" si="417"/>
        <v/>
      </c>
      <c r="V5835" s="37"/>
      <c r="Z5835" s="15"/>
    </row>
    <row r="5836" spans="1:26" x14ac:dyDescent="0.25">
      <c r="A5836" s="15" t="str">
        <f>IF(C5836="","",COUNTA($C$3:C5836))</f>
        <v/>
      </c>
      <c r="B5836" s="15" t="str">
        <f t="shared" si="418"/>
        <v/>
      </c>
      <c r="M5836" s="9"/>
      <c r="N5836" s="9"/>
      <c r="P5836" s="14"/>
      <c r="Q5836" s="85"/>
      <c r="R5836" s="89"/>
      <c r="U5836" s="11" t="str">
        <f t="shared" si="417"/>
        <v/>
      </c>
      <c r="V5836" s="37"/>
      <c r="Z5836" s="15"/>
    </row>
    <row r="5837" spans="1:26" x14ac:dyDescent="0.25">
      <c r="A5837" s="15" t="str">
        <f>IF(C5837="","",COUNTA($C$3:C5837))</f>
        <v/>
      </c>
      <c r="B5837" s="15" t="str">
        <f t="shared" si="418"/>
        <v/>
      </c>
      <c r="M5837" s="9"/>
      <c r="N5837" s="9"/>
      <c r="P5837" s="14"/>
      <c r="Q5837" s="85"/>
      <c r="R5837" s="89"/>
      <c r="U5837" s="11" t="str">
        <f t="shared" si="417"/>
        <v/>
      </c>
      <c r="V5837" s="37"/>
      <c r="Z5837" s="15"/>
    </row>
    <row r="5838" spans="1:26" x14ac:dyDescent="0.25">
      <c r="A5838" s="15" t="str">
        <f>IF(C5838="","",COUNTA($C$3:C5838))</f>
        <v/>
      </c>
      <c r="B5838" s="15" t="str">
        <f t="shared" si="418"/>
        <v/>
      </c>
      <c r="M5838" s="9"/>
      <c r="N5838" s="9"/>
      <c r="P5838" s="14"/>
      <c r="Q5838" s="85"/>
      <c r="R5838" s="89"/>
      <c r="U5838" s="11" t="str">
        <f t="shared" si="417"/>
        <v/>
      </c>
      <c r="V5838" s="37"/>
      <c r="Z5838" s="15"/>
    </row>
    <row r="5839" spans="1:26" x14ac:dyDescent="0.25">
      <c r="A5839" s="15" t="str">
        <f>IF(C5839="","",COUNTA($C$3:C5839))</f>
        <v/>
      </c>
      <c r="B5839" s="15" t="str">
        <f t="shared" si="418"/>
        <v/>
      </c>
      <c r="M5839" s="9"/>
      <c r="N5839" s="9"/>
      <c r="P5839" s="14"/>
      <c r="Q5839" s="85"/>
      <c r="R5839" s="89"/>
      <c r="U5839" s="11" t="str">
        <f t="shared" si="417"/>
        <v/>
      </c>
      <c r="V5839" s="37"/>
      <c r="Z5839" s="15"/>
    </row>
    <row r="5840" spans="1:26" x14ac:dyDescent="0.25">
      <c r="A5840" s="15" t="str">
        <f>IF(C5840="","",COUNTA($C$3:C5840))</f>
        <v/>
      </c>
      <c r="B5840" s="15" t="str">
        <f t="shared" si="418"/>
        <v/>
      </c>
      <c r="M5840" s="9"/>
      <c r="N5840" s="9"/>
      <c r="P5840" s="14"/>
      <c r="Q5840" s="85"/>
      <c r="R5840" s="89"/>
      <c r="U5840" s="11" t="str">
        <f t="shared" si="417"/>
        <v/>
      </c>
      <c r="V5840" s="37"/>
      <c r="Z5840" s="15"/>
    </row>
    <row r="5841" spans="1:26" x14ac:dyDescent="0.25">
      <c r="A5841" s="15" t="str">
        <f>IF(C5841="","",COUNTA($C$3:C5841))</f>
        <v/>
      </c>
      <c r="B5841" s="15" t="str">
        <f t="shared" si="418"/>
        <v/>
      </c>
      <c r="M5841" s="9"/>
      <c r="N5841" s="9"/>
      <c r="P5841" s="14"/>
      <c r="Q5841" s="85"/>
      <c r="R5841" s="89"/>
      <c r="U5841" s="11" t="str">
        <f t="shared" si="417"/>
        <v/>
      </c>
      <c r="V5841" s="37"/>
      <c r="Z5841" s="15"/>
    </row>
    <row r="5842" spans="1:26" x14ac:dyDescent="0.25">
      <c r="A5842" s="15" t="str">
        <f>IF(C5842="","",COUNTA($C$3:C5842))</f>
        <v/>
      </c>
      <c r="B5842" s="15" t="str">
        <f t="shared" si="418"/>
        <v/>
      </c>
      <c r="M5842" s="9"/>
      <c r="N5842" s="9"/>
      <c r="P5842" s="14"/>
      <c r="Q5842" s="85"/>
      <c r="R5842" s="89"/>
      <c r="U5842" s="11" t="str">
        <f t="shared" si="417"/>
        <v/>
      </c>
      <c r="V5842" s="37"/>
      <c r="Z5842" s="15"/>
    </row>
    <row r="5843" spans="1:26" x14ac:dyDescent="0.25">
      <c r="A5843" s="15" t="str">
        <f>IF(C5843="","",COUNTA($C$3:C5843))</f>
        <v/>
      </c>
      <c r="B5843" s="15" t="str">
        <f t="shared" si="418"/>
        <v/>
      </c>
      <c r="M5843" s="9"/>
      <c r="N5843" s="9"/>
      <c r="P5843" s="14"/>
      <c r="Q5843" s="85"/>
      <c r="R5843" s="89"/>
      <c r="U5843" s="11" t="str">
        <f t="shared" si="417"/>
        <v/>
      </c>
      <c r="V5843" s="37"/>
      <c r="Z5843" s="15"/>
    </row>
    <row r="5844" spans="1:26" x14ac:dyDescent="0.25">
      <c r="A5844" s="15" t="str">
        <f>IF(C5844="","",COUNTA($C$3:C5844))</f>
        <v/>
      </c>
      <c r="B5844" s="15" t="str">
        <f t="shared" si="418"/>
        <v/>
      </c>
      <c r="M5844" s="9"/>
      <c r="N5844" s="9"/>
      <c r="P5844" s="14"/>
      <c r="Q5844" s="85"/>
      <c r="R5844" s="89"/>
      <c r="U5844" s="11" t="str">
        <f t="shared" si="417"/>
        <v/>
      </c>
      <c r="V5844" s="37"/>
      <c r="Z5844" s="15"/>
    </row>
    <row r="5845" spans="1:26" x14ac:dyDescent="0.25">
      <c r="A5845" s="15" t="str">
        <f>IF(C5845="","",COUNTA($C$3:C5845))</f>
        <v/>
      </c>
      <c r="B5845" s="15" t="str">
        <f t="shared" si="418"/>
        <v/>
      </c>
      <c r="M5845" s="9"/>
      <c r="N5845" s="9"/>
      <c r="P5845" s="14"/>
      <c r="Q5845" s="85"/>
      <c r="R5845" s="89"/>
      <c r="U5845" s="11" t="str">
        <f t="shared" si="417"/>
        <v/>
      </c>
      <c r="V5845" s="37"/>
      <c r="Z5845" s="15"/>
    </row>
    <row r="5846" spans="1:26" x14ac:dyDescent="0.25">
      <c r="A5846" s="15" t="str">
        <f>IF(C5846="","",COUNTA($C$3:C5846))</f>
        <v/>
      </c>
      <c r="B5846" s="15" t="str">
        <f t="shared" si="418"/>
        <v/>
      </c>
      <c r="M5846" s="9"/>
      <c r="N5846" s="9"/>
      <c r="P5846" s="14"/>
      <c r="Q5846" s="85"/>
      <c r="R5846" s="89"/>
      <c r="U5846" s="11" t="str">
        <f t="shared" si="417"/>
        <v/>
      </c>
      <c r="V5846" s="37"/>
      <c r="Z5846" s="15"/>
    </row>
    <row r="5847" spans="1:26" x14ac:dyDescent="0.25">
      <c r="A5847" s="15" t="str">
        <f>IF(C5847="","",COUNTA($C$3:C5847))</f>
        <v/>
      </c>
      <c r="B5847" s="15" t="str">
        <f t="shared" si="418"/>
        <v/>
      </c>
      <c r="M5847" s="9"/>
      <c r="N5847" s="9"/>
      <c r="P5847" s="14"/>
      <c r="Q5847" s="85"/>
      <c r="R5847" s="89"/>
      <c r="U5847" s="11" t="str">
        <f t="shared" si="417"/>
        <v/>
      </c>
      <c r="V5847" s="37"/>
      <c r="Z5847" s="15"/>
    </row>
    <row r="5848" spans="1:26" x14ac:dyDescent="0.25">
      <c r="A5848" s="15" t="str">
        <f>IF(C5848="","",COUNTA($C$3:C5848))</f>
        <v/>
      </c>
      <c r="B5848" s="15" t="str">
        <f t="shared" si="418"/>
        <v/>
      </c>
      <c r="M5848" s="9"/>
      <c r="N5848" s="9"/>
      <c r="P5848" s="14"/>
      <c r="Q5848" s="85"/>
      <c r="R5848" s="89"/>
      <c r="U5848" s="11" t="str">
        <f t="shared" si="417"/>
        <v/>
      </c>
      <c r="V5848" s="37"/>
      <c r="Z5848" s="15"/>
    </row>
    <row r="5849" spans="1:26" x14ac:dyDescent="0.25">
      <c r="A5849" s="15" t="str">
        <f>IF(C5849="","",COUNTA($C$3:C5849))</f>
        <v/>
      </c>
      <c r="B5849" s="15" t="str">
        <f t="shared" si="418"/>
        <v/>
      </c>
      <c r="M5849" s="9"/>
      <c r="N5849" s="9"/>
      <c r="P5849" s="14"/>
      <c r="Q5849" s="85"/>
      <c r="R5849" s="89"/>
      <c r="U5849" s="11" t="str">
        <f t="shared" si="417"/>
        <v/>
      </c>
      <c r="V5849" s="37"/>
      <c r="Z5849" s="15"/>
    </row>
    <row r="5850" spans="1:26" x14ac:dyDescent="0.25">
      <c r="A5850" s="15" t="str">
        <f>IF(C5850="","",COUNTA($C$3:C5850))</f>
        <v/>
      </c>
      <c r="B5850" s="15" t="str">
        <f t="shared" si="418"/>
        <v/>
      </c>
      <c r="M5850" s="9"/>
      <c r="N5850" s="9"/>
      <c r="P5850" s="14"/>
      <c r="Q5850" s="85"/>
      <c r="R5850" s="89"/>
      <c r="U5850" s="11" t="str">
        <f t="shared" si="417"/>
        <v/>
      </c>
      <c r="V5850" s="37"/>
      <c r="Z5850" s="15"/>
    </row>
    <row r="5851" spans="1:26" x14ac:dyDescent="0.25">
      <c r="A5851" s="15" t="str">
        <f>IF(C5851="","",COUNTA($C$3:C5851))</f>
        <v/>
      </c>
      <c r="B5851" s="15" t="str">
        <f t="shared" si="418"/>
        <v/>
      </c>
      <c r="M5851" s="9"/>
      <c r="N5851" s="9"/>
      <c r="P5851" s="14"/>
      <c r="Q5851" s="85"/>
      <c r="R5851" s="89"/>
      <c r="U5851" s="11" t="str">
        <f t="shared" si="417"/>
        <v/>
      </c>
      <c r="V5851" s="37"/>
      <c r="Z5851" s="15"/>
    </row>
    <row r="5852" spans="1:26" x14ac:dyDescent="0.25">
      <c r="A5852" s="15" t="str">
        <f>IF(C5852="","",COUNTA($C$3:C5852))</f>
        <v/>
      </c>
      <c r="B5852" s="15" t="str">
        <f t="shared" si="418"/>
        <v/>
      </c>
      <c r="M5852" s="9"/>
      <c r="N5852" s="9"/>
      <c r="P5852" s="14"/>
      <c r="Q5852" s="85"/>
      <c r="R5852" s="89"/>
      <c r="U5852" s="11" t="str">
        <f t="shared" si="417"/>
        <v/>
      </c>
      <c r="V5852" s="37"/>
      <c r="Z5852" s="15"/>
    </row>
    <row r="5853" spans="1:26" x14ac:dyDescent="0.25">
      <c r="A5853" s="15" t="str">
        <f>IF(C5853="","",COUNTA($C$3:C5853))</f>
        <v/>
      </c>
      <c r="B5853" s="15" t="str">
        <f t="shared" si="418"/>
        <v/>
      </c>
      <c r="M5853" s="9"/>
      <c r="N5853" s="9"/>
      <c r="P5853" s="14"/>
      <c r="Q5853" s="85"/>
      <c r="R5853" s="89"/>
      <c r="U5853" s="11" t="str">
        <f t="shared" si="417"/>
        <v/>
      </c>
      <c r="V5853" s="37"/>
      <c r="Z5853" s="15"/>
    </row>
    <row r="5854" spans="1:26" x14ac:dyDescent="0.25">
      <c r="A5854" s="15" t="str">
        <f>IF(C5854="","",COUNTA($C$3:C5854))</f>
        <v/>
      </c>
      <c r="B5854" s="15" t="str">
        <f t="shared" si="418"/>
        <v/>
      </c>
      <c r="M5854" s="9"/>
      <c r="N5854" s="9"/>
      <c r="P5854" s="14"/>
      <c r="Q5854" s="85"/>
      <c r="R5854" s="89"/>
      <c r="U5854" s="11" t="str">
        <f t="shared" si="417"/>
        <v/>
      </c>
      <c r="V5854" s="37"/>
      <c r="Z5854" s="15"/>
    </row>
    <row r="5855" spans="1:26" x14ac:dyDescent="0.25">
      <c r="A5855" s="15" t="str">
        <f>IF(C5855="","",COUNTA($C$3:C5855))</f>
        <v/>
      </c>
      <c r="B5855" s="15" t="str">
        <f t="shared" si="418"/>
        <v/>
      </c>
      <c r="M5855" s="9"/>
      <c r="N5855" s="9"/>
      <c r="P5855" s="14"/>
      <c r="Q5855" s="85"/>
      <c r="R5855" s="89"/>
      <c r="U5855" s="11" t="str">
        <f t="shared" si="417"/>
        <v/>
      </c>
      <c r="V5855" s="37"/>
      <c r="Z5855" s="15"/>
    </row>
    <row r="5856" spans="1:26" x14ac:dyDescent="0.25">
      <c r="A5856" s="15" t="str">
        <f>IF(C5856="","",COUNTA($C$3:C5856))</f>
        <v/>
      </c>
      <c r="B5856" s="15" t="str">
        <f t="shared" si="418"/>
        <v/>
      </c>
      <c r="M5856" s="9"/>
      <c r="N5856" s="9"/>
      <c r="P5856" s="14"/>
      <c r="Q5856" s="85"/>
      <c r="R5856" s="89"/>
      <c r="U5856" s="11" t="str">
        <f t="shared" si="417"/>
        <v/>
      </c>
      <c r="V5856" s="37"/>
      <c r="Z5856" s="15"/>
    </row>
    <row r="5857" spans="1:26" x14ac:dyDescent="0.25">
      <c r="A5857" s="15" t="str">
        <f>IF(C5857="","",COUNTA($C$3:C5857))</f>
        <v/>
      </c>
      <c r="B5857" s="15" t="str">
        <f t="shared" si="418"/>
        <v/>
      </c>
      <c r="M5857" s="9"/>
      <c r="N5857" s="9"/>
      <c r="P5857" s="14"/>
      <c r="Q5857" s="85"/>
      <c r="R5857" s="89"/>
      <c r="U5857" s="11" t="str">
        <f t="shared" si="417"/>
        <v/>
      </c>
      <c r="V5857" s="37"/>
      <c r="Z5857" s="15"/>
    </row>
    <row r="5858" spans="1:26" x14ac:dyDescent="0.25">
      <c r="A5858" s="15" t="str">
        <f>IF(C5858="","",COUNTA($C$3:C5858))</f>
        <v/>
      </c>
      <c r="B5858" s="15" t="str">
        <f t="shared" si="418"/>
        <v/>
      </c>
      <c r="M5858" s="9"/>
      <c r="N5858" s="9"/>
      <c r="P5858" s="14"/>
      <c r="Q5858" s="85"/>
      <c r="R5858" s="89"/>
      <c r="U5858" s="11" t="str">
        <f t="shared" si="417"/>
        <v/>
      </c>
      <c r="V5858" s="37"/>
      <c r="Z5858" s="15"/>
    </row>
    <row r="5859" spans="1:26" x14ac:dyDescent="0.25">
      <c r="A5859" s="15" t="str">
        <f>IF(C5859="","",COUNTA($C$3:C5859))</f>
        <v/>
      </c>
      <c r="B5859" s="15" t="str">
        <f t="shared" si="418"/>
        <v/>
      </c>
      <c r="M5859" s="9"/>
      <c r="N5859" s="9"/>
      <c r="P5859" s="14"/>
      <c r="Q5859" s="85"/>
      <c r="R5859" s="89"/>
      <c r="U5859" s="11" t="str">
        <f t="shared" si="417"/>
        <v/>
      </c>
      <c r="V5859" s="37"/>
      <c r="Z5859" s="15"/>
    </row>
    <row r="5860" spans="1:26" x14ac:dyDescent="0.25">
      <c r="A5860" s="15" t="str">
        <f>IF(C5860="","",COUNTA($C$3:C5860))</f>
        <v/>
      </c>
      <c r="B5860" s="15" t="str">
        <f t="shared" si="418"/>
        <v/>
      </c>
      <c r="M5860" s="9"/>
      <c r="N5860" s="9"/>
      <c r="P5860" s="14"/>
      <c r="Q5860" s="85"/>
      <c r="R5860" s="89"/>
      <c r="U5860" s="11" t="str">
        <f t="shared" si="417"/>
        <v/>
      </c>
      <c r="V5860" s="37"/>
      <c r="Z5860" s="15"/>
    </row>
    <row r="5861" spans="1:26" x14ac:dyDescent="0.25">
      <c r="A5861" s="15" t="str">
        <f>IF(C5861="","",COUNTA($C$3:C5861))</f>
        <v/>
      </c>
      <c r="B5861" s="15" t="str">
        <f t="shared" si="418"/>
        <v/>
      </c>
      <c r="M5861" s="9"/>
      <c r="N5861" s="9"/>
      <c r="P5861" s="14"/>
      <c r="Q5861" s="85"/>
      <c r="R5861" s="89"/>
      <c r="U5861" s="11" t="str">
        <f t="shared" si="417"/>
        <v/>
      </c>
      <c r="V5861" s="37"/>
      <c r="Z5861" s="15"/>
    </row>
    <row r="5862" spans="1:26" x14ac:dyDescent="0.25">
      <c r="A5862" s="15" t="str">
        <f>IF(C5862="","",COUNTA($C$3:C5862))</f>
        <v/>
      </c>
      <c r="B5862" s="15" t="str">
        <f t="shared" si="418"/>
        <v/>
      </c>
      <c r="M5862" s="9"/>
      <c r="N5862" s="9"/>
      <c r="P5862" s="14"/>
      <c r="Q5862" s="85"/>
      <c r="R5862" s="89"/>
      <c r="U5862" s="11" t="str">
        <f t="shared" si="417"/>
        <v/>
      </c>
      <c r="V5862" s="37"/>
      <c r="Z5862" s="15"/>
    </row>
    <row r="5863" spans="1:26" x14ac:dyDescent="0.25">
      <c r="A5863" s="15" t="str">
        <f>IF(C5863="","",COUNTA($C$3:C5863))</f>
        <v/>
      </c>
      <c r="B5863" s="15" t="str">
        <f t="shared" si="418"/>
        <v/>
      </c>
      <c r="M5863" s="9"/>
      <c r="N5863" s="9"/>
      <c r="P5863" s="14"/>
      <c r="Q5863" s="85"/>
      <c r="R5863" s="89"/>
      <c r="U5863" s="11" t="str">
        <f t="shared" si="417"/>
        <v/>
      </c>
      <c r="V5863" s="37"/>
      <c r="Z5863" s="15"/>
    </row>
    <row r="5864" spans="1:26" x14ac:dyDescent="0.25">
      <c r="A5864" s="15" t="str">
        <f>IF(C5864="","",COUNTA($C$3:C5864))</f>
        <v/>
      </c>
      <c r="B5864" s="15" t="str">
        <f t="shared" si="418"/>
        <v/>
      </c>
      <c r="M5864" s="9"/>
      <c r="N5864" s="9"/>
      <c r="P5864" s="14"/>
      <c r="Q5864" s="85"/>
      <c r="R5864" s="89"/>
      <c r="U5864" s="11" t="str">
        <f t="shared" si="417"/>
        <v/>
      </c>
      <c r="V5864" s="37"/>
      <c r="Z5864" s="15"/>
    </row>
    <row r="5865" spans="1:26" x14ac:dyDescent="0.25">
      <c r="A5865" s="15" t="str">
        <f>IF(C5865="","",COUNTA($C$3:C5865))</f>
        <v/>
      </c>
      <c r="B5865" s="15" t="str">
        <f t="shared" si="418"/>
        <v/>
      </c>
      <c r="M5865" s="9"/>
      <c r="N5865" s="9"/>
      <c r="P5865" s="14"/>
      <c r="Q5865" s="85"/>
      <c r="R5865" s="89"/>
      <c r="U5865" s="11" t="str">
        <f t="shared" si="417"/>
        <v/>
      </c>
      <c r="V5865" s="37"/>
      <c r="Z5865" s="15"/>
    </row>
    <row r="5866" spans="1:26" x14ac:dyDescent="0.25">
      <c r="A5866" s="15" t="str">
        <f>IF(C5866="","",COUNTA($C$3:C5866))</f>
        <v/>
      </c>
      <c r="B5866" s="15" t="str">
        <f t="shared" si="418"/>
        <v/>
      </c>
      <c r="M5866" s="9"/>
      <c r="N5866" s="9"/>
      <c r="P5866" s="14"/>
      <c r="Q5866" s="85"/>
      <c r="R5866" s="89"/>
      <c r="U5866" s="11" t="str">
        <f t="shared" si="417"/>
        <v/>
      </c>
      <c r="V5866" s="37"/>
      <c r="Z5866" s="15"/>
    </row>
    <row r="5867" spans="1:26" x14ac:dyDescent="0.25">
      <c r="A5867" s="15" t="str">
        <f>IF(C5867="","",COUNTA($C$3:C5867))</f>
        <v/>
      </c>
      <c r="B5867" s="15" t="str">
        <f t="shared" si="418"/>
        <v/>
      </c>
      <c r="M5867" s="9"/>
      <c r="N5867" s="9"/>
      <c r="P5867" s="14"/>
      <c r="Q5867" s="85"/>
      <c r="R5867" s="89"/>
      <c r="U5867" s="11" t="str">
        <f t="shared" si="417"/>
        <v/>
      </c>
      <c r="V5867" s="37"/>
      <c r="Z5867" s="15"/>
    </row>
    <row r="5868" spans="1:26" x14ac:dyDescent="0.25">
      <c r="A5868" s="15" t="str">
        <f>IF(C5868="","",COUNTA($C$3:C5868))</f>
        <v/>
      </c>
      <c r="B5868" s="15" t="str">
        <f t="shared" si="418"/>
        <v/>
      </c>
      <c r="M5868" s="9"/>
      <c r="N5868" s="9"/>
      <c r="P5868" s="14"/>
      <c r="Q5868" s="85"/>
      <c r="R5868" s="89"/>
      <c r="U5868" s="11" t="str">
        <f t="shared" si="417"/>
        <v/>
      </c>
      <c r="V5868" s="37"/>
      <c r="Z5868" s="15"/>
    </row>
    <row r="5869" spans="1:26" x14ac:dyDescent="0.25">
      <c r="A5869" s="15" t="str">
        <f>IF(C5869="","",COUNTA($C$3:C5869))</f>
        <v/>
      </c>
      <c r="B5869" s="15" t="str">
        <f t="shared" si="418"/>
        <v/>
      </c>
      <c r="M5869" s="9"/>
      <c r="N5869" s="9"/>
      <c r="P5869" s="14"/>
      <c r="Q5869" s="85"/>
      <c r="R5869" s="89"/>
      <c r="U5869" s="11" t="str">
        <f t="shared" si="417"/>
        <v/>
      </c>
      <c r="V5869" s="37"/>
      <c r="Z5869" s="15"/>
    </row>
    <row r="5870" spans="1:26" x14ac:dyDescent="0.25">
      <c r="A5870" s="15" t="str">
        <f>IF(C5870="","",COUNTA($C$3:C5870))</f>
        <v/>
      </c>
      <c r="B5870" s="15" t="str">
        <f t="shared" si="418"/>
        <v/>
      </c>
      <c r="M5870" s="9"/>
      <c r="N5870" s="9"/>
      <c r="P5870" s="14"/>
      <c r="Q5870" s="85"/>
      <c r="R5870" s="89"/>
      <c r="U5870" s="11" t="str">
        <f t="shared" si="417"/>
        <v/>
      </c>
      <c r="V5870" s="37"/>
      <c r="Z5870" s="15"/>
    </row>
    <row r="5871" spans="1:26" x14ac:dyDescent="0.25">
      <c r="A5871" s="15" t="str">
        <f>IF(C5871="","",COUNTA($C$3:C5871))</f>
        <v/>
      </c>
      <c r="B5871" s="15" t="str">
        <f t="shared" si="418"/>
        <v/>
      </c>
      <c r="M5871" s="9"/>
      <c r="N5871" s="9"/>
      <c r="P5871" s="14"/>
      <c r="Q5871" s="85"/>
      <c r="R5871" s="89"/>
      <c r="U5871" s="11" t="str">
        <f t="shared" si="417"/>
        <v/>
      </c>
      <c r="V5871" s="37"/>
      <c r="Z5871" s="15"/>
    </row>
    <row r="5872" spans="1:26" x14ac:dyDescent="0.25">
      <c r="A5872" s="15" t="str">
        <f>IF(C5872="","",COUNTA($C$3:C5872))</f>
        <v/>
      </c>
      <c r="B5872" s="15" t="str">
        <f t="shared" si="418"/>
        <v/>
      </c>
      <c r="M5872" s="9"/>
      <c r="N5872" s="9"/>
      <c r="P5872" s="14"/>
      <c r="Q5872" s="85"/>
      <c r="R5872" s="89"/>
      <c r="U5872" s="11" t="str">
        <f t="shared" si="417"/>
        <v/>
      </c>
      <c r="V5872" s="37"/>
      <c r="Z5872" s="15"/>
    </row>
    <row r="5873" spans="1:26" x14ac:dyDescent="0.25">
      <c r="A5873" s="15" t="str">
        <f>IF(C5873="","",COUNTA($C$3:C5873))</f>
        <v/>
      </c>
      <c r="B5873" s="15" t="str">
        <f t="shared" si="418"/>
        <v/>
      </c>
      <c r="M5873" s="9"/>
      <c r="N5873" s="9"/>
      <c r="P5873" s="14"/>
      <c r="Q5873" s="85"/>
      <c r="R5873" s="89"/>
      <c r="U5873" s="11" t="str">
        <f t="shared" si="417"/>
        <v/>
      </c>
      <c r="V5873" s="37"/>
      <c r="Z5873" s="15"/>
    </row>
    <row r="5874" spans="1:26" x14ac:dyDescent="0.25">
      <c r="A5874" s="15" t="str">
        <f>IF(C5874="","",COUNTA($C$3:C5874))</f>
        <v/>
      </c>
      <c r="B5874" s="15" t="str">
        <f t="shared" si="418"/>
        <v/>
      </c>
      <c r="M5874" s="9"/>
      <c r="N5874" s="9"/>
      <c r="P5874" s="14"/>
      <c r="Q5874" s="85"/>
      <c r="R5874" s="89"/>
      <c r="U5874" s="11" t="str">
        <f t="shared" si="417"/>
        <v/>
      </c>
      <c r="V5874" s="37"/>
      <c r="Z5874" s="15"/>
    </row>
    <row r="5875" spans="1:26" x14ac:dyDescent="0.25">
      <c r="A5875" s="15" t="str">
        <f>IF(C5875="","",COUNTA($C$3:C5875))</f>
        <v/>
      </c>
      <c r="B5875" s="15" t="str">
        <f t="shared" si="418"/>
        <v/>
      </c>
      <c r="M5875" s="9"/>
      <c r="N5875" s="9"/>
      <c r="P5875" s="14"/>
      <c r="Q5875" s="85"/>
      <c r="R5875" s="89"/>
      <c r="U5875" s="11" t="str">
        <f t="shared" si="417"/>
        <v/>
      </c>
      <c r="V5875" s="37"/>
      <c r="Z5875" s="15"/>
    </row>
    <row r="5876" spans="1:26" x14ac:dyDescent="0.25">
      <c r="A5876" s="15" t="str">
        <f>IF(C5876="","",COUNTA($C$3:C5876))</f>
        <v/>
      </c>
      <c r="B5876" s="15" t="str">
        <f t="shared" si="418"/>
        <v/>
      </c>
      <c r="M5876" s="9"/>
      <c r="N5876" s="9"/>
      <c r="P5876" s="14"/>
      <c r="Q5876" s="85"/>
      <c r="R5876" s="89"/>
      <c r="U5876" s="11" t="str">
        <f t="shared" si="417"/>
        <v/>
      </c>
      <c r="V5876" s="37"/>
      <c r="Z5876" s="15"/>
    </row>
    <row r="5877" spans="1:26" x14ac:dyDescent="0.25">
      <c r="A5877" s="15" t="str">
        <f>IF(C5877="","",COUNTA($C$3:C5877))</f>
        <v/>
      </c>
      <c r="B5877" s="15" t="str">
        <f t="shared" si="418"/>
        <v/>
      </c>
      <c r="M5877" s="9"/>
      <c r="N5877" s="9"/>
      <c r="P5877" s="14"/>
      <c r="Q5877" s="85"/>
      <c r="R5877" s="89"/>
      <c r="U5877" s="11" t="str">
        <f t="shared" si="417"/>
        <v/>
      </c>
      <c r="V5877" s="37"/>
      <c r="Z5877" s="15"/>
    </row>
    <row r="5878" spans="1:26" x14ac:dyDescent="0.25">
      <c r="A5878" s="15" t="str">
        <f>IF(C5878="","",COUNTA($C$3:C5878))</f>
        <v/>
      </c>
      <c r="B5878" s="15" t="str">
        <f t="shared" si="418"/>
        <v/>
      </c>
      <c r="M5878" s="9"/>
      <c r="N5878" s="9"/>
      <c r="P5878" s="14"/>
      <c r="Q5878" s="85"/>
      <c r="R5878" s="89"/>
      <c r="U5878" s="11" t="str">
        <f t="shared" si="417"/>
        <v/>
      </c>
      <c r="V5878" s="37"/>
      <c r="Z5878" s="15"/>
    </row>
    <row r="5879" spans="1:26" x14ac:dyDescent="0.25">
      <c r="A5879" s="15" t="str">
        <f>IF(C5879="","",COUNTA($C$3:C5879))</f>
        <v/>
      </c>
      <c r="B5879" s="15" t="str">
        <f t="shared" si="418"/>
        <v/>
      </c>
      <c r="M5879" s="9"/>
      <c r="N5879" s="9"/>
      <c r="P5879" s="14"/>
      <c r="Q5879" s="85"/>
      <c r="R5879" s="89"/>
      <c r="U5879" s="11" t="str">
        <f t="shared" si="417"/>
        <v/>
      </c>
      <c r="V5879" s="37"/>
      <c r="Z5879" s="15"/>
    </row>
    <row r="5880" spans="1:26" x14ac:dyDescent="0.25">
      <c r="A5880" s="15" t="str">
        <f>IF(C5880="","",COUNTA($C$3:C5880))</f>
        <v/>
      </c>
      <c r="B5880" s="15" t="str">
        <f t="shared" si="418"/>
        <v/>
      </c>
      <c r="M5880" s="9"/>
      <c r="N5880" s="9"/>
      <c r="P5880" s="14"/>
      <c r="Q5880" s="85"/>
      <c r="R5880" s="89"/>
      <c r="U5880" s="11" t="str">
        <f t="shared" si="417"/>
        <v/>
      </c>
      <c r="V5880" s="37"/>
      <c r="Z5880" s="15"/>
    </row>
    <row r="5881" spans="1:26" x14ac:dyDescent="0.25">
      <c r="A5881" s="15" t="str">
        <f>IF(C5881="","",COUNTA($C$3:C5881))</f>
        <v/>
      </c>
      <c r="B5881" s="15" t="str">
        <f t="shared" si="418"/>
        <v/>
      </c>
      <c r="M5881" s="9"/>
      <c r="N5881" s="9"/>
      <c r="P5881" s="14"/>
      <c r="Q5881" s="85"/>
      <c r="R5881" s="89"/>
      <c r="U5881" s="11" t="str">
        <f t="shared" si="417"/>
        <v/>
      </c>
      <c r="V5881" s="37"/>
      <c r="Z5881" s="15"/>
    </row>
    <row r="5882" spans="1:26" x14ac:dyDescent="0.25">
      <c r="A5882" s="15" t="str">
        <f>IF(C5882="","",COUNTA($C$3:C5882))</f>
        <v/>
      </c>
      <c r="B5882" s="15" t="str">
        <f t="shared" si="418"/>
        <v/>
      </c>
      <c r="M5882" s="9"/>
      <c r="N5882" s="9"/>
      <c r="P5882" s="14"/>
      <c r="Q5882" s="85"/>
      <c r="R5882" s="89"/>
      <c r="U5882" s="11" t="str">
        <f t="shared" si="417"/>
        <v/>
      </c>
      <c r="V5882" s="37"/>
      <c r="Z5882" s="15"/>
    </row>
    <row r="5883" spans="1:26" x14ac:dyDescent="0.25">
      <c r="A5883" s="15" t="str">
        <f>IF(C5883="","",COUNTA($C$3:C5883))</f>
        <v/>
      </c>
      <c r="B5883" s="15" t="str">
        <f t="shared" si="418"/>
        <v/>
      </c>
      <c r="M5883" s="9"/>
      <c r="N5883" s="9"/>
      <c r="P5883" s="14"/>
      <c r="Q5883" s="85"/>
      <c r="R5883" s="89"/>
      <c r="U5883" s="11" t="str">
        <f t="shared" si="417"/>
        <v/>
      </c>
      <c r="V5883" s="37"/>
      <c r="Z5883" s="15"/>
    </row>
    <row r="5884" spans="1:26" x14ac:dyDescent="0.25">
      <c r="A5884" s="15" t="str">
        <f>IF(C5884="","",COUNTA($C$3:C5884))</f>
        <v/>
      </c>
      <c r="B5884" s="15" t="str">
        <f t="shared" si="418"/>
        <v/>
      </c>
      <c r="M5884" s="9"/>
      <c r="N5884" s="9"/>
      <c r="P5884" s="14"/>
      <c r="Q5884" s="85"/>
      <c r="R5884" s="89"/>
      <c r="U5884" s="11" t="str">
        <f t="shared" si="417"/>
        <v/>
      </c>
      <c r="V5884" s="37"/>
      <c r="Z5884" s="15"/>
    </row>
    <row r="5885" spans="1:26" x14ac:dyDescent="0.25">
      <c r="A5885" s="15" t="str">
        <f>IF(C5885="","",COUNTA($C$3:C5885))</f>
        <v/>
      </c>
      <c r="B5885" s="15" t="str">
        <f t="shared" si="418"/>
        <v/>
      </c>
      <c r="M5885" s="9"/>
      <c r="N5885" s="9"/>
      <c r="P5885" s="14"/>
      <c r="Q5885" s="85"/>
      <c r="R5885" s="89"/>
      <c r="U5885" s="11" t="str">
        <f t="shared" si="417"/>
        <v/>
      </c>
      <c r="V5885" s="37"/>
      <c r="Z5885" s="15"/>
    </row>
    <row r="5886" spans="1:26" x14ac:dyDescent="0.25">
      <c r="A5886" s="15" t="str">
        <f>IF(C5886="","",COUNTA($C$3:C5886))</f>
        <v/>
      </c>
      <c r="B5886" s="15" t="str">
        <f t="shared" si="418"/>
        <v/>
      </c>
      <c r="M5886" s="9"/>
      <c r="N5886" s="9"/>
      <c r="P5886" s="14"/>
      <c r="Q5886" s="85"/>
      <c r="R5886" s="89"/>
      <c r="U5886" s="11" t="str">
        <f t="shared" si="417"/>
        <v/>
      </c>
      <c r="V5886" s="37"/>
      <c r="Z5886" s="15"/>
    </row>
    <row r="5887" spans="1:26" x14ac:dyDescent="0.25">
      <c r="A5887" s="15" t="str">
        <f>IF(C5887="","",COUNTA($C$3:C5887))</f>
        <v/>
      </c>
      <c r="B5887" s="15" t="str">
        <f t="shared" si="418"/>
        <v/>
      </c>
      <c r="M5887" s="9"/>
      <c r="N5887" s="9"/>
      <c r="P5887" s="14"/>
      <c r="Q5887" s="85"/>
      <c r="R5887" s="89"/>
      <c r="U5887" s="11" t="str">
        <f t="shared" si="417"/>
        <v/>
      </c>
      <c r="V5887" s="37"/>
      <c r="Z5887" s="15"/>
    </row>
    <row r="5888" spans="1:26" x14ac:dyDescent="0.25">
      <c r="A5888" s="15" t="str">
        <f>IF(C5888="","",COUNTA($C$3:C5888))</f>
        <v/>
      </c>
      <c r="B5888" s="15" t="str">
        <f t="shared" si="418"/>
        <v/>
      </c>
      <c r="M5888" s="9"/>
      <c r="N5888" s="9"/>
      <c r="P5888" s="14"/>
      <c r="Q5888" s="85"/>
      <c r="R5888" s="89"/>
      <c r="U5888" s="11" t="str">
        <f t="shared" si="417"/>
        <v/>
      </c>
      <c r="V5888" s="37"/>
      <c r="Z5888" s="15"/>
    </row>
    <row r="5889" spans="1:26" x14ac:dyDescent="0.25">
      <c r="A5889" s="15" t="str">
        <f>IF(C5889="","",COUNTA($C$3:C5889))</f>
        <v/>
      </c>
      <c r="B5889" s="15" t="str">
        <f t="shared" si="418"/>
        <v/>
      </c>
      <c r="M5889" s="9"/>
      <c r="N5889" s="9"/>
      <c r="P5889" s="14"/>
      <c r="Q5889" s="85"/>
      <c r="R5889" s="89"/>
      <c r="U5889" s="11" t="str">
        <f t="shared" si="417"/>
        <v/>
      </c>
      <c r="V5889" s="37"/>
      <c r="Z5889" s="15"/>
    </row>
    <row r="5890" spans="1:26" x14ac:dyDescent="0.25">
      <c r="A5890" s="15" t="str">
        <f>IF(C5890="","",COUNTA($C$3:C5890))</f>
        <v/>
      </c>
      <c r="B5890" s="15" t="str">
        <f t="shared" si="418"/>
        <v/>
      </c>
      <c r="M5890" s="9"/>
      <c r="N5890" s="9"/>
      <c r="P5890" s="14"/>
      <c r="Q5890" s="85"/>
      <c r="R5890" s="89"/>
      <c r="U5890" s="11" t="str">
        <f t="shared" ref="U5890:U5953" si="419">IF(S5890="","",(S5890-T5890))</f>
        <v/>
      </c>
      <c r="V5890" s="37"/>
      <c r="Z5890" s="15"/>
    </row>
    <row r="5891" spans="1:26" x14ac:dyDescent="0.25">
      <c r="A5891" s="15" t="str">
        <f>IF(C5891="","",COUNTA($C$3:C5891))</f>
        <v/>
      </c>
      <c r="B5891" s="15" t="str">
        <f t="shared" ref="B5891:B5954" si="420">IF(C5891="","",TEXT(C5891,"mmmm"))</f>
        <v/>
      </c>
      <c r="M5891" s="9"/>
      <c r="N5891" s="9"/>
      <c r="P5891" s="14"/>
      <c r="Q5891" s="85"/>
      <c r="R5891" s="89"/>
      <c r="U5891" s="11" t="str">
        <f t="shared" si="419"/>
        <v/>
      </c>
      <c r="V5891" s="37"/>
      <c r="Z5891" s="15"/>
    </row>
    <row r="5892" spans="1:26" x14ac:dyDescent="0.25">
      <c r="A5892" s="15" t="str">
        <f>IF(C5892="","",COUNTA($C$3:C5892))</f>
        <v/>
      </c>
      <c r="B5892" s="15" t="str">
        <f t="shared" si="420"/>
        <v/>
      </c>
      <c r="M5892" s="9"/>
      <c r="N5892" s="9"/>
      <c r="P5892" s="14"/>
      <c r="Q5892" s="85"/>
      <c r="R5892" s="89"/>
      <c r="U5892" s="11" t="str">
        <f t="shared" si="419"/>
        <v/>
      </c>
      <c r="V5892" s="37"/>
      <c r="Z5892" s="15"/>
    </row>
    <row r="5893" spans="1:26" x14ac:dyDescent="0.25">
      <c r="A5893" s="15" t="str">
        <f>IF(C5893="","",COUNTA($C$3:C5893))</f>
        <v/>
      </c>
      <c r="B5893" s="15" t="str">
        <f t="shared" si="420"/>
        <v/>
      </c>
      <c r="M5893" s="9"/>
      <c r="N5893" s="9"/>
      <c r="P5893" s="14"/>
      <c r="Q5893" s="85"/>
      <c r="R5893" s="89"/>
      <c r="U5893" s="11" t="str">
        <f t="shared" si="419"/>
        <v/>
      </c>
      <c r="V5893" s="37"/>
      <c r="Z5893" s="15"/>
    </row>
    <row r="5894" spans="1:26" x14ac:dyDescent="0.25">
      <c r="A5894" s="15" t="str">
        <f>IF(C5894="","",COUNTA($C$3:C5894))</f>
        <v/>
      </c>
      <c r="B5894" s="15" t="str">
        <f t="shared" si="420"/>
        <v/>
      </c>
      <c r="M5894" s="9"/>
      <c r="N5894" s="9"/>
      <c r="P5894" s="14"/>
      <c r="Q5894" s="85"/>
      <c r="R5894" s="89"/>
      <c r="U5894" s="11" t="str">
        <f t="shared" si="419"/>
        <v/>
      </c>
      <c r="V5894" s="37"/>
      <c r="Z5894" s="15"/>
    </row>
    <row r="5895" spans="1:26" x14ac:dyDescent="0.25">
      <c r="A5895" s="15" t="str">
        <f>IF(C5895="","",COUNTA($C$3:C5895))</f>
        <v/>
      </c>
      <c r="B5895" s="15" t="str">
        <f t="shared" si="420"/>
        <v/>
      </c>
      <c r="M5895" s="9"/>
      <c r="N5895" s="9"/>
      <c r="P5895" s="14"/>
      <c r="Q5895" s="85"/>
      <c r="R5895" s="89"/>
      <c r="U5895" s="11" t="str">
        <f t="shared" si="419"/>
        <v/>
      </c>
      <c r="V5895" s="37"/>
      <c r="Z5895" s="15"/>
    </row>
    <row r="5896" spans="1:26" x14ac:dyDescent="0.25">
      <c r="A5896" s="15" t="str">
        <f>IF(C5896="","",COUNTA($C$3:C5896))</f>
        <v/>
      </c>
      <c r="B5896" s="15" t="str">
        <f t="shared" si="420"/>
        <v/>
      </c>
      <c r="M5896" s="9"/>
      <c r="N5896" s="9"/>
      <c r="P5896" s="14"/>
      <c r="Q5896" s="85"/>
      <c r="R5896" s="89"/>
      <c r="U5896" s="11" t="str">
        <f t="shared" si="419"/>
        <v/>
      </c>
      <c r="V5896" s="37"/>
      <c r="Z5896" s="15"/>
    </row>
    <row r="5897" spans="1:26" x14ac:dyDescent="0.25">
      <c r="A5897" s="15" t="str">
        <f>IF(C5897="","",COUNTA($C$3:C5897))</f>
        <v/>
      </c>
      <c r="B5897" s="15" t="str">
        <f t="shared" si="420"/>
        <v/>
      </c>
      <c r="M5897" s="9"/>
      <c r="N5897" s="9"/>
      <c r="P5897" s="14"/>
      <c r="Q5897" s="85"/>
      <c r="R5897" s="89"/>
      <c r="U5897" s="11" t="str">
        <f t="shared" si="419"/>
        <v/>
      </c>
      <c r="V5897" s="37"/>
      <c r="Z5897" s="15"/>
    </row>
    <row r="5898" spans="1:26" x14ac:dyDescent="0.25">
      <c r="A5898" s="15" t="str">
        <f>IF(C5898="","",COUNTA($C$3:C5898))</f>
        <v/>
      </c>
      <c r="B5898" s="15" t="str">
        <f t="shared" si="420"/>
        <v/>
      </c>
      <c r="M5898" s="9"/>
      <c r="N5898" s="9"/>
      <c r="P5898" s="14"/>
      <c r="Q5898" s="85"/>
      <c r="R5898" s="89"/>
      <c r="U5898" s="11" t="str">
        <f t="shared" si="419"/>
        <v/>
      </c>
      <c r="V5898" s="37"/>
      <c r="Z5898" s="15"/>
    </row>
    <row r="5899" spans="1:26" x14ac:dyDescent="0.25">
      <c r="A5899" s="15" t="str">
        <f>IF(C5899="","",COUNTA($C$3:C5899))</f>
        <v/>
      </c>
      <c r="B5899" s="15" t="str">
        <f t="shared" si="420"/>
        <v/>
      </c>
      <c r="M5899" s="9"/>
      <c r="N5899" s="9"/>
      <c r="P5899" s="14"/>
      <c r="Q5899" s="85"/>
      <c r="R5899" s="89"/>
      <c r="U5899" s="11" t="str">
        <f t="shared" si="419"/>
        <v/>
      </c>
      <c r="V5899" s="37"/>
      <c r="Z5899" s="15"/>
    </row>
    <row r="5900" spans="1:26" x14ac:dyDescent="0.25">
      <c r="A5900" s="15" t="str">
        <f>IF(C5900="","",COUNTA($C$3:C5900))</f>
        <v/>
      </c>
      <c r="B5900" s="15" t="str">
        <f t="shared" si="420"/>
        <v/>
      </c>
      <c r="M5900" s="9"/>
      <c r="N5900" s="9"/>
      <c r="P5900" s="14"/>
      <c r="Q5900" s="85"/>
      <c r="R5900" s="89"/>
      <c r="U5900" s="11" t="str">
        <f t="shared" si="419"/>
        <v/>
      </c>
      <c r="V5900" s="37"/>
      <c r="Z5900" s="15"/>
    </row>
    <row r="5901" spans="1:26" x14ac:dyDescent="0.25">
      <c r="A5901" s="15" t="str">
        <f>IF(C5901="","",COUNTA($C$3:C5901))</f>
        <v/>
      </c>
      <c r="B5901" s="15" t="str">
        <f t="shared" si="420"/>
        <v/>
      </c>
      <c r="M5901" s="9"/>
      <c r="N5901" s="9"/>
      <c r="P5901" s="14"/>
      <c r="Q5901" s="85"/>
      <c r="R5901" s="89"/>
      <c r="U5901" s="11" t="str">
        <f t="shared" si="419"/>
        <v/>
      </c>
      <c r="V5901" s="37"/>
      <c r="Z5901" s="15"/>
    </row>
    <row r="5902" spans="1:26" x14ac:dyDescent="0.25">
      <c r="A5902" s="15" t="str">
        <f>IF(C5902="","",COUNTA($C$3:C5902))</f>
        <v/>
      </c>
      <c r="B5902" s="15" t="str">
        <f t="shared" si="420"/>
        <v/>
      </c>
      <c r="M5902" s="9"/>
      <c r="N5902" s="9"/>
      <c r="P5902" s="14"/>
      <c r="Q5902" s="85"/>
      <c r="R5902" s="89"/>
      <c r="U5902" s="11" t="str">
        <f t="shared" si="419"/>
        <v/>
      </c>
      <c r="V5902" s="37"/>
      <c r="Z5902" s="15"/>
    </row>
    <row r="5903" spans="1:26" x14ac:dyDescent="0.25">
      <c r="A5903" s="15" t="str">
        <f>IF(C5903="","",COUNTA($C$3:C5903))</f>
        <v/>
      </c>
      <c r="B5903" s="15" t="str">
        <f t="shared" si="420"/>
        <v/>
      </c>
      <c r="M5903" s="9"/>
      <c r="N5903" s="9"/>
      <c r="P5903" s="14"/>
      <c r="Q5903" s="85"/>
      <c r="R5903" s="89"/>
      <c r="U5903" s="11" t="str">
        <f t="shared" si="419"/>
        <v/>
      </c>
      <c r="V5903" s="37"/>
      <c r="Z5903" s="15"/>
    </row>
    <row r="5904" spans="1:26" x14ac:dyDescent="0.25">
      <c r="A5904" s="15" t="str">
        <f>IF(C5904="","",COUNTA($C$3:C5904))</f>
        <v/>
      </c>
      <c r="B5904" s="15" t="str">
        <f t="shared" si="420"/>
        <v/>
      </c>
      <c r="M5904" s="9"/>
      <c r="N5904" s="9"/>
      <c r="P5904" s="14"/>
      <c r="Q5904" s="85"/>
      <c r="R5904" s="89"/>
      <c r="U5904" s="11" t="str">
        <f t="shared" si="419"/>
        <v/>
      </c>
      <c r="V5904" s="37"/>
      <c r="Z5904" s="15"/>
    </row>
    <row r="5905" spans="1:26" x14ac:dyDescent="0.25">
      <c r="A5905" s="15" t="str">
        <f>IF(C5905="","",COUNTA($C$3:C5905))</f>
        <v/>
      </c>
      <c r="B5905" s="15" t="str">
        <f t="shared" si="420"/>
        <v/>
      </c>
      <c r="M5905" s="9"/>
      <c r="N5905" s="9"/>
      <c r="P5905" s="14"/>
      <c r="Q5905" s="85"/>
      <c r="R5905" s="89"/>
      <c r="U5905" s="11" t="str">
        <f t="shared" si="419"/>
        <v/>
      </c>
      <c r="V5905" s="37"/>
      <c r="Z5905" s="15"/>
    </row>
    <row r="5906" spans="1:26" x14ac:dyDescent="0.25">
      <c r="A5906" s="15" t="str">
        <f>IF(C5906="","",COUNTA($C$3:C5906))</f>
        <v/>
      </c>
      <c r="B5906" s="15" t="str">
        <f t="shared" si="420"/>
        <v/>
      </c>
      <c r="M5906" s="9"/>
      <c r="N5906" s="9"/>
      <c r="P5906" s="14"/>
      <c r="Q5906" s="85"/>
      <c r="R5906" s="89"/>
      <c r="U5906" s="11" t="str">
        <f t="shared" si="419"/>
        <v/>
      </c>
      <c r="V5906" s="37"/>
      <c r="Z5906" s="15"/>
    </row>
    <row r="5907" spans="1:26" x14ac:dyDescent="0.25">
      <c r="A5907" s="15" t="str">
        <f>IF(C5907="","",COUNTA($C$3:C5907))</f>
        <v/>
      </c>
      <c r="B5907" s="15" t="str">
        <f t="shared" si="420"/>
        <v/>
      </c>
      <c r="M5907" s="9"/>
      <c r="N5907" s="9"/>
      <c r="P5907" s="14"/>
      <c r="Q5907" s="85"/>
      <c r="R5907" s="89"/>
      <c r="U5907" s="11" t="str">
        <f t="shared" si="419"/>
        <v/>
      </c>
      <c r="V5907" s="37"/>
      <c r="Z5907" s="15"/>
    </row>
    <row r="5908" spans="1:26" x14ac:dyDescent="0.25">
      <c r="A5908" s="15" t="str">
        <f>IF(C5908="","",COUNTA($C$3:C5908))</f>
        <v/>
      </c>
      <c r="B5908" s="15" t="str">
        <f t="shared" si="420"/>
        <v/>
      </c>
      <c r="M5908" s="9"/>
      <c r="N5908" s="9"/>
      <c r="P5908" s="14"/>
      <c r="Q5908" s="85"/>
      <c r="R5908" s="89"/>
      <c r="U5908" s="11" t="str">
        <f t="shared" si="419"/>
        <v/>
      </c>
      <c r="V5908" s="37"/>
      <c r="Z5908" s="15"/>
    </row>
    <row r="5909" spans="1:26" x14ac:dyDescent="0.25">
      <c r="A5909" s="15" t="str">
        <f>IF(C5909="","",COUNTA($C$3:C5909))</f>
        <v/>
      </c>
      <c r="B5909" s="15" t="str">
        <f t="shared" si="420"/>
        <v/>
      </c>
      <c r="M5909" s="9"/>
      <c r="N5909" s="9"/>
      <c r="P5909" s="14"/>
      <c r="Q5909" s="85"/>
      <c r="R5909" s="89"/>
      <c r="U5909" s="11" t="str">
        <f t="shared" si="419"/>
        <v/>
      </c>
      <c r="V5909" s="37"/>
      <c r="Z5909" s="15"/>
    </row>
    <row r="5910" spans="1:26" x14ac:dyDescent="0.25">
      <c r="A5910" s="15" t="str">
        <f>IF(C5910="","",COUNTA($C$3:C5910))</f>
        <v/>
      </c>
      <c r="B5910" s="15" t="str">
        <f t="shared" si="420"/>
        <v/>
      </c>
      <c r="M5910" s="9"/>
      <c r="N5910" s="9"/>
      <c r="P5910" s="14"/>
      <c r="Q5910" s="85"/>
      <c r="R5910" s="89"/>
      <c r="U5910" s="11" t="str">
        <f t="shared" si="419"/>
        <v/>
      </c>
      <c r="V5910" s="37"/>
      <c r="Z5910" s="15"/>
    </row>
    <row r="5911" spans="1:26" x14ac:dyDescent="0.25">
      <c r="A5911" s="15" t="str">
        <f>IF(C5911="","",COUNTA($C$3:C5911))</f>
        <v/>
      </c>
      <c r="B5911" s="15" t="str">
        <f t="shared" si="420"/>
        <v/>
      </c>
      <c r="M5911" s="9"/>
      <c r="N5911" s="9"/>
      <c r="P5911" s="14"/>
      <c r="Q5911" s="85"/>
      <c r="R5911" s="89"/>
      <c r="U5911" s="11" t="str">
        <f t="shared" si="419"/>
        <v/>
      </c>
      <c r="V5911" s="37"/>
      <c r="Z5911" s="15"/>
    </row>
    <row r="5912" spans="1:26" x14ac:dyDescent="0.25">
      <c r="A5912" s="15" t="str">
        <f>IF(C5912="","",COUNTA($C$3:C5912))</f>
        <v/>
      </c>
      <c r="B5912" s="15" t="str">
        <f t="shared" si="420"/>
        <v/>
      </c>
      <c r="M5912" s="9"/>
      <c r="N5912" s="9"/>
      <c r="P5912" s="14"/>
      <c r="Q5912" s="85"/>
      <c r="R5912" s="89"/>
      <c r="U5912" s="11" t="str">
        <f t="shared" si="419"/>
        <v/>
      </c>
      <c r="V5912" s="37"/>
      <c r="Z5912" s="15"/>
    </row>
    <row r="5913" spans="1:26" x14ac:dyDescent="0.25">
      <c r="A5913" s="15" t="str">
        <f>IF(C5913="","",COUNTA($C$3:C5913))</f>
        <v/>
      </c>
      <c r="B5913" s="15" t="str">
        <f t="shared" si="420"/>
        <v/>
      </c>
      <c r="M5913" s="9"/>
      <c r="N5913" s="9"/>
      <c r="P5913" s="14"/>
      <c r="Q5913" s="85"/>
      <c r="R5913" s="89"/>
      <c r="U5913" s="11" t="str">
        <f t="shared" si="419"/>
        <v/>
      </c>
      <c r="V5913" s="37"/>
      <c r="Z5913" s="15"/>
    </row>
    <row r="5914" spans="1:26" x14ac:dyDescent="0.25">
      <c r="A5914" s="15" t="str">
        <f>IF(C5914="","",COUNTA($C$3:C5914))</f>
        <v/>
      </c>
      <c r="B5914" s="15" t="str">
        <f t="shared" si="420"/>
        <v/>
      </c>
      <c r="M5914" s="9"/>
      <c r="N5914" s="9"/>
      <c r="P5914" s="14"/>
      <c r="Q5914" s="85"/>
      <c r="R5914" s="89"/>
      <c r="U5914" s="11" t="str">
        <f t="shared" si="419"/>
        <v/>
      </c>
      <c r="V5914" s="37"/>
      <c r="Z5914" s="15"/>
    </row>
    <row r="5915" spans="1:26" x14ac:dyDescent="0.25">
      <c r="A5915" s="15" t="str">
        <f>IF(C5915="","",COUNTA($C$3:C5915))</f>
        <v/>
      </c>
      <c r="B5915" s="15" t="str">
        <f t="shared" si="420"/>
        <v/>
      </c>
      <c r="M5915" s="9"/>
      <c r="N5915" s="9"/>
      <c r="P5915" s="14"/>
      <c r="Q5915" s="85"/>
      <c r="R5915" s="89"/>
      <c r="U5915" s="11" t="str">
        <f t="shared" si="419"/>
        <v/>
      </c>
      <c r="V5915" s="37"/>
      <c r="Z5915" s="15"/>
    </row>
    <row r="5916" spans="1:26" x14ac:dyDescent="0.25">
      <c r="A5916" s="15" t="str">
        <f>IF(C5916="","",COUNTA($C$3:C5916))</f>
        <v/>
      </c>
      <c r="B5916" s="15" t="str">
        <f t="shared" si="420"/>
        <v/>
      </c>
      <c r="M5916" s="9"/>
      <c r="N5916" s="9"/>
      <c r="P5916" s="14"/>
      <c r="Q5916" s="85"/>
      <c r="R5916" s="89"/>
      <c r="U5916" s="11" t="str">
        <f t="shared" si="419"/>
        <v/>
      </c>
      <c r="V5916" s="37"/>
      <c r="Z5916" s="15"/>
    </row>
    <row r="5917" spans="1:26" x14ac:dyDescent="0.25">
      <c r="A5917" s="15" t="str">
        <f>IF(C5917="","",COUNTA($C$3:C5917))</f>
        <v/>
      </c>
      <c r="B5917" s="15" t="str">
        <f t="shared" si="420"/>
        <v/>
      </c>
      <c r="M5917" s="9"/>
      <c r="N5917" s="9"/>
      <c r="P5917" s="14"/>
      <c r="Q5917" s="85"/>
      <c r="R5917" s="89"/>
      <c r="U5917" s="11" t="str">
        <f t="shared" si="419"/>
        <v/>
      </c>
      <c r="V5917" s="37"/>
      <c r="Z5917" s="15"/>
    </row>
    <row r="5918" spans="1:26" x14ac:dyDescent="0.25">
      <c r="A5918" s="15" t="str">
        <f>IF(C5918="","",COUNTA($C$3:C5918))</f>
        <v/>
      </c>
      <c r="B5918" s="15" t="str">
        <f t="shared" si="420"/>
        <v/>
      </c>
      <c r="M5918" s="9"/>
      <c r="N5918" s="9"/>
      <c r="P5918" s="14"/>
      <c r="Q5918" s="85"/>
      <c r="R5918" s="89"/>
      <c r="U5918" s="11" t="str">
        <f t="shared" si="419"/>
        <v/>
      </c>
      <c r="V5918" s="37"/>
      <c r="Z5918" s="15"/>
    </row>
    <row r="5919" spans="1:26" x14ac:dyDescent="0.25">
      <c r="A5919" s="15" t="str">
        <f>IF(C5919="","",COUNTA($C$3:C5919))</f>
        <v/>
      </c>
      <c r="B5919" s="15" t="str">
        <f t="shared" si="420"/>
        <v/>
      </c>
      <c r="M5919" s="9"/>
      <c r="N5919" s="9"/>
      <c r="P5919" s="14"/>
      <c r="Q5919" s="85"/>
      <c r="R5919" s="89"/>
      <c r="U5919" s="11" t="str">
        <f t="shared" si="419"/>
        <v/>
      </c>
      <c r="V5919" s="37"/>
      <c r="Z5919" s="15"/>
    </row>
    <row r="5920" spans="1:26" x14ac:dyDescent="0.25">
      <c r="A5920" s="15" t="str">
        <f>IF(C5920="","",COUNTA($C$3:C5920))</f>
        <v/>
      </c>
      <c r="B5920" s="15" t="str">
        <f t="shared" si="420"/>
        <v/>
      </c>
      <c r="M5920" s="9"/>
      <c r="N5920" s="9"/>
      <c r="P5920" s="14"/>
      <c r="Q5920" s="85"/>
      <c r="R5920" s="89"/>
      <c r="U5920" s="11" t="str">
        <f t="shared" si="419"/>
        <v/>
      </c>
      <c r="V5920" s="37"/>
      <c r="Z5920" s="15"/>
    </row>
    <row r="5921" spans="1:26" x14ac:dyDescent="0.25">
      <c r="A5921" s="15" t="str">
        <f>IF(C5921="","",COUNTA($C$3:C5921))</f>
        <v/>
      </c>
      <c r="B5921" s="15" t="str">
        <f t="shared" si="420"/>
        <v/>
      </c>
      <c r="M5921" s="9"/>
      <c r="N5921" s="9"/>
      <c r="P5921" s="14"/>
      <c r="Q5921" s="85"/>
      <c r="R5921" s="89"/>
      <c r="U5921" s="11" t="str">
        <f t="shared" si="419"/>
        <v/>
      </c>
      <c r="V5921" s="37"/>
      <c r="Z5921" s="15"/>
    </row>
    <row r="5922" spans="1:26" x14ac:dyDescent="0.25">
      <c r="A5922" s="15" t="str">
        <f>IF(C5922="","",COUNTA($C$3:C5922))</f>
        <v/>
      </c>
      <c r="B5922" s="15" t="str">
        <f t="shared" si="420"/>
        <v/>
      </c>
      <c r="M5922" s="9"/>
      <c r="N5922" s="9"/>
      <c r="P5922" s="14"/>
      <c r="Q5922" s="85"/>
      <c r="R5922" s="89"/>
      <c r="U5922" s="11" t="str">
        <f t="shared" si="419"/>
        <v/>
      </c>
      <c r="V5922" s="37"/>
      <c r="Z5922" s="15"/>
    </row>
    <row r="5923" spans="1:26" x14ac:dyDescent="0.25">
      <c r="A5923" s="15" t="str">
        <f>IF(C5923="","",COUNTA($C$3:C5923))</f>
        <v/>
      </c>
      <c r="B5923" s="15" t="str">
        <f t="shared" si="420"/>
        <v/>
      </c>
      <c r="M5923" s="9"/>
      <c r="N5923" s="9"/>
      <c r="P5923" s="14"/>
      <c r="Q5923" s="85"/>
      <c r="R5923" s="89"/>
      <c r="U5923" s="11" t="str">
        <f t="shared" si="419"/>
        <v/>
      </c>
      <c r="V5923" s="37"/>
      <c r="Z5923" s="15"/>
    </row>
    <row r="5924" spans="1:26" x14ac:dyDescent="0.25">
      <c r="A5924" s="15" t="str">
        <f>IF(C5924="","",COUNTA($C$3:C5924))</f>
        <v/>
      </c>
      <c r="B5924" s="15" t="str">
        <f t="shared" si="420"/>
        <v/>
      </c>
      <c r="M5924" s="9"/>
      <c r="N5924" s="9"/>
      <c r="P5924" s="14"/>
      <c r="Q5924" s="85"/>
      <c r="R5924" s="89"/>
      <c r="U5924" s="11" t="str">
        <f t="shared" si="419"/>
        <v/>
      </c>
      <c r="V5924" s="37"/>
      <c r="Z5924" s="15"/>
    </row>
    <row r="5925" spans="1:26" x14ac:dyDescent="0.25">
      <c r="A5925" s="15" t="str">
        <f>IF(C5925="","",COUNTA($C$3:C5925))</f>
        <v/>
      </c>
      <c r="B5925" s="15" t="str">
        <f t="shared" si="420"/>
        <v/>
      </c>
      <c r="M5925" s="9"/>
      <c r="N5925" s="9"/>
      <c r="P5925" s="14"/>
      <c r="Q5925" s="85"/>
      <c r="R5925" s="89"/>
      <c r="U5925" s="11" t="str">
        <f t="shared" si="419"/>
        <v/>
      </c>
      <c r="V5925" s="37"/>
      <c r="Z5925" s="15"/>
    </row>
    <row r="5926" spans="1:26" x14ac:dyDescent="0.25">
      <c r="A5926" s="15" t="str">
        <f>IF(C5926="","",COUNTA($C$3:C5926))</f>
        <v/>
      </c>
      <c r="B5926" s="15" t="str">
        <f t="shared" si="420"/>
        <v/>
      </c>
      <c r="M5926" s="9"/>
      <c r="N5926" s="9"/>
      <c r="P5926" s="14"/>
      <c r="Q5926" s="85"/>
      <c r="R5926" s="89"/>
      <c r="U5926" s="11" t="str">
        <f t="shared" si="419"/>
        <v/>
      </c>
      <c r="V5926" s="37"/>
      <c r="Z5926" s="15"/>
    </row>
    <row r="5927" spans="1:26" x14ac:dyDescent="0.25">
      <c r="A5927" s="15" t="str">
        <f>IF(C5927="","",COUNTA($C$3:C5927))</f>
        <v/>
      </c>
      <c r="B5927" s="15" t="str">
        <f t="shared" si="420"/>
        <v/>
      </c>
      <c r="M5927" s="9"/>
      <c r="N5927" s="9"/>
      <c r="P5927" s="14"/>
      <c r="Q5927" s="85"/>
      <c r="R5927" s="89"/>
      <c r="U5927" s="11" t="str">
        <f t="shared" si="419"/>
        <v/>
      </c>
      <c r="V5927" s="37"/>
      <c r="Z5927" s="15"/>
    </row>
    <row r="5928" spans="1:26" x14ac:dyDescent="0.25">
      <c r="A5928" s="15" t="str">
        <f>IF(C5928="","",COUNTA($C$3:C5928))</f>
        <v/>
      </c>
      <c r="B5928" s="15" t="str">
        <f t="shared" si="420"/>
        <v/>
      </c>
      <c r="M5928" s="9"/>
      <c r="N5928" s="9"/>
      <c r="P5928" s="14"/>
      <c r="Q5928" s="85"/>
      <c r="R5928" s="89"/>
      <c r="U5928" s="11" t="str">
        <f t="shared" si="419"/>
        <v/>
      </c>
      <c r="V5928" s="37"/>
      <c r="Z5928" s="15"/>
    </row>
    <row r="5929" spans="1:26" x14ac:dyDescent="0.25">
      <c r="A5929" s="15" t="str">
        <f>IF(C5929="","",COUNTA($C$3:C5929))</f>
        <v/>
      </c>
      <c r="B5929" s="15" t="str">
        <f t="shared" si="420"/>
        <v/>
      </c>
      <c r="M5929" s="9"/>
      <c r="N5929" s="9"/>
      <c r="P5929" s="14"/>
      <c r="Q5929" s="85"/>
      <c r="R5929" s="89"/>
      <c r="U5929" s="11" t="str">
        <f t="shared" si="419"/>
        <v/>
      </c>
      <c r="V5929" s="37"/>
      <c r="Z5929" s="15"/>
    </row>
    <row r="5930" spans="1:26" x14ac:dyDescent="0.25">
      <c r="A5930" s="15" t="str">
        <f>IF(C5930="","",COUNTA($C$3:C5930))</f>
        <v/>
      </c>
      <c r="B5930" s="15" t="str">
        <f t="shared" si="420"/>
        <v/>
      </c>
      <c r="M5930" s="9"/>
      <c r="N5930" s="9"/>
      <c r="P5930" s="14"/>
      <c r="Q5930" s="85"/>
      <c r="R5930" s="89"/>
      <c r="U5930" s="11" t="str">
        <f t="shared" si="419"/>
        <v/>
      </c>
      <c r="V5930" s="37"/>
      <c r="Z5930" s="15"/>
    </row>
    <row r="5931" spans="1:26" x14ac:dyDescent="0.25">
      <c r="A5931" s="15" t="str">
        <f>IF(C5931="","",COUNTA($C$3:C5931))</f>
        <v/>
      </c>
      <c r="B5931" s="15" t="str">
        <f t="shared" si="420"/>
        <v/>
      </c>
      <c r="M5931" s="9"/>
      <c r="N5931" s="9"/>
      <c r="P5931" s="14"/>
      <c r="Q5931" s="85"/>
      <c r="R5931" s="89"/>
      <c r="U5931" s="11" t="str">
        <f t="shared" si="419"/>
        <v/>
      </c>
      <c r="V5931" s="37"/>
      <c r="Z5931" s="15"/>
    </row>
    <row r="5932" spans="1:26" x14ac:dyDescent="0.25">
      <c r="A5932" s="15" t="str">
        <f>IF(C5932="","",COUNTA($C$3:C5932))</f>
        <v/>
      </c>
      <c r="B5932" s="15" t="str">
        <f t="shared" si="420"/>
        <v/>
      </c>
      <c r="M5932" s="9"/>
      <c r="N5932" s="9"/>
      <c r="P5932" s="14"/>
      <c r="Q5932" s="85"/>
      <c r="R5932" s="89"/>
      <c r="U5932" s="11" t="str">
        <f t="shared" si="419"/>
        <v/>
      </c>
      <c r="V5932" s="37"/>
      <c r="Z5932" s="15"/>
    </row>
    <row r="5933" spans="1:26" x14ac:dyDescent="0.25">
      <c r="A5933" s="15" t="str">
        <f>IF(C5933="","",COUNTA($C$3:C5933))</f>
        <v/>
      </c>
      <c r="B5933" s="15" t="str">
        <f t="shared" si="420"/>
        <v/>
      </c>
      <c r="M5933" s="9"/>
      <c r="N5933" s="9"/>
      <c r="P5933" s="14"/>
      <c r="Q5933" s="85"/>
      <c r="R5933" s="89"/>
      <c r="U5933" s="11" t="str">
        <f t="shared" si="419"/>
        <v/>
      </c>
      <c r="V5933" s="37"/>
      <c r="Z5933" s="15"/>
    </row>
    <row r="5934" spans="1:26" x14ac:dyDescent="0.25">
      <c r="A5934" s="15" t="str">
        <f>IF(C5934="","",COUNTA($C$3:C5934))</f>
        <v/>
      </c>
      <c r="B5934" s="15" t="str">
        <f t="shared" si="420"/>
        <v/>
      </c>
      <c r="M5934" s="9"/>
      <c r="N5934" s="9"/>
      <c r="P5934" s="14"/>
      <c r="Q5934" s="85"/>
      <c r="R5934" s="89"/>
      <c r="U5934" s="11" t="str">
        <f t="shared" si="419"/>
        <v/>
      </c>
      <c r="V5934" s="37"/>
      <c r="Z5934" s="15"/>
    </row>
    <row r="5935" spans="1:26" x14ac:dyDescent="0.25">
      <c r="A5935" s="15" t="str">
        <f>IF(C5935="","",COUNTA($C$3:C5935))</f>
        <v/>
      </c>
      <c r="B5935" s="15" t="str">
        <f t="shared" si="420"/>
        <v/>
      </c>
      <c r="M5935" s="9"/>
      <c r="N5935" s="9"/>
      <c r="P5935" s="14"/>
      <c r="Q5935" s="85"/>
      <c r="R5935" s="89"/>
      <c r="U5935" s="11" t="str">
        <f t="shared" si="419"/>
        <v/>
      </c>
      <c r="V5935" s="37"/>
      <c r="Z5935" s="15"/>
    </row>
    <row r="5936" spans="1:26" x14ac:dyDescent="0.25">
      <c r="A5936" s="15" t="str">
        <f>IF(C5936="","",COUNTA($C$3:C5936))</f>
        <v/>
      </c>
      <c r="B5936" s="15" t="str">
        <f t="shared" si="420"/>
        <v/>
      </c>
      <c r="M5936" s="9"/>
      <c r="N5936" s="9"/>
      <c r="P5936" s="14"/>
      <c r="Q5936" s="85"/>
      <c r="R5936" s="89"/>
      <c r="U5936" s="11" t="str">
        <f t="shared" si="419"/>
        <v/>
      </c>
      <c r="V5936" s="37"/>
      <c r="Z5936" s="15"/>
    </row>
    <row r="5937" spans="1:26" x14ac:dyDescent="0.25">
      <c r="A5937" s="15" t="str">
        <f>IF(C5937="","",COUNTA($C$3:C5937))</f>
        <v/>
      </c>
      <c r="B5937" s="15" t="str">
        <f t="shared" si="420"/>
        <v/>
      </c>
      <c r="M5937" s="9"/>
      <c r="N5937" s="9"/>
      <c r="P5937" s="14"/>
      <c r="Q5937" s="85"/>
      <c r="R5937" s="89"/>
      <c r="U5937" s="11" t="str">
        <f t="shared" si="419"/>
        <v/>
      </c>
      <c r="V5937" s="37"/>
      <c r="Z5937" s="15"/>
    </row>
    <row r="5938" spans="1:26" x14ac:dyDescent="0.25">
      <c r="A5938" s="15" t="str">
        <f>IF(C5938="","",COUNTA($C$3:C5938))</f>
        <v/>
      </c>
      <c r="B5938" s="15" t="str">
        <f t="shared" si="420"/>
        <v/>
      </c>
      <c r="M5938" s="9"/>
      <c r="N5938" s="9"/>
      <c r="P5938" s="14"/>
      <c r="Q5938" s="85"/>
      <c r="R5938" s="89"/>
      <c r="U5938" s="11" t="str">
        <f t="shared" si="419"/>
        <v/>
      </c>
      <c r="V5938" s="37"/>
      <c r="Z5938" s="15"/>
    </row>
    <row r="5939" spans="1:26" x14ac:dyDescent="0.25">
      <c r="A5939" s="15" t="str">
        <f>IF(C5939="","",COUNTA($C$3:C5939))</f>
        <v/>
      </c>
      <c r="B5939" s="15" t="str">
        <f t="shared" si="420"/>
        <v/>
      </c>
      <c r="M5939" s="9"/>
      <c r="N5939" s="9"/>
      <c r="P5939" s="14"/>
      <c r="Q5939" s="85"/>
      <c r="R5939" s="89"/>
      <c r="U5939" s="11" t="str">
        <f t="shared" si="419"/>
        <v/>
      </c>
      <c r="V5939" s="37"/>
      <c r="Z5939" s="15"/>
    </row>
    <row r="5940" spans="1:26" x14ac:dyDescent="0.25">
      <c r="A5940" s="15" t="str">
        <f>IF(C5940="","",COUNTA($C$3:C5940))</f>
        <v/>
      </c>
      <c r="B5940" s="15" t="str">
        <f t="shared" si="420"/>
        <v/>
      </c>
      <c r="M5940" s="9"/>
      <c r="N5940" s="9"/>
      <c r="P5940" s="14"/>
      <c r="Q5940" s="85"/>
      <c r="R5940" s="89"/>
      <c r="U5940" s="11" t="str">
        <f t="shared" si="419"/>
        <v/>
      </c>
      <c r="V5940" s="37"/>
      <c r="Z5940" s="15"/>
    </row>
    <row r="5941" spans="1:26" x14ac:dyDescent="0.25">
      <c r="A5941" s="15" t="str">
        <f>IF(C5941="","",COUNTA($C$3:C5941))</f>
        <v/>
      </c>
      <c r="B5941" s="15" t="str">
        <f t="shared" si="420"/>
        <v/>
      </c>
      <c r="M5941" s="9"/>
      <c r="N5941" s="9"/>
      <c r="P5941" s="14"/>
      <c r="Q5941" s="85"/>
      <c r="R5941" s="89"/>
      <c r="U5941" s="11" t="str">
        <f t="shared" si="419"/>
        <v/>
      </c>
      <c r="V5941" s="37"/>
      <c r="Z5941" s="15"/>
    </row>
    <row r="5942" spans="1:26" x14ac:dyDescent="0.25">
      <c r="A5942" s="15" t="str">
        <f>IF(C5942="","",COUNTA($C$3:C5942))</f>
        <v/>
      </c>
      <c r="B5942" s="15" t="str">
        <f t="shared" si="420"/>
        <v/>
      </c>
      <c r="M5942" s="9"/>
      <c r="N5942" s="9"/>
      <c r="P5942" s="14"/>
      <c r="Q5942" s="85"/>
      <c r="R5942" s="89"/>
      <c r="U5942" s="11" t="str">
        <f t="shared" si="419"/>
        <v/>
      </c>
      <c r="V5942" s="37"/>
      <c r="Z5942" s="15"/>
    </row>
    <row r="5943" spans="1:26" x14ac:dyDescent="0.25">
      <c r="A5943" s="15" t="str">
        <f>IF(C5943="","",COUNTA($C$3:C5943))</f>
        <v/>
      </c>
      <c r="B5943" s="15" t="str">
        <f t="shared" si="420"/>
        <v/>
      </c>
      <c r="M5943" s="9"/>
      <c r="N5943" s="9"/>
      <c r="P5943" s="14"/>
      <c r="Q5943" s="85"/>
      <c r="R5943" s="89"/>
      <c r="U5943" s="11" t="str">
        <f t="shared" si="419"/>
        <v/>
      </c>
      <c r="V5943" s="37"/>
      <c r="Z5943" s="15"/>
    </row>
    <row r="5944" spans="1:26" x14ac:dyDescent="0.25">
      <c r="A5944" s="15" t="str">
        <f>IF(C5944="","",COUNTA($C$3:C5944))</f>
        <v/>
      </c>
      <c r="B5944" s="15" t="str">
        <f t="shared" si="420"/>
        <v/>
      </c>
      <c r="M5944" s="9"/>
      <c r="N5944" s="9"/>
      <c r="P5944" s="14"/>
      <c r="Q5944" s="85"/>
      <c r="R5944" s="89"/>
      <c r="U5944" s="11" t="str">
        <f t="shared" si="419"/>
        <v/>
      </c>
      <c r="V5944" s="37"/>
      <c r="Z5944" s="15"/>
    </row>
    <row r="5945" spans="1:26" x14ac:dyDescent="0.25">
      <c r="A5945" s="15" t="str">
        <f>IF(C5945="","",COUNTA($C$3:C5945))</f>
        <v/>
      </c>
      <c r="B5945" s="15" t="str">
        <f t="shared" si="420"/>
        <v/>
      </c>
      <c r="M5945" s="9"/>
      <c r="N5945" s="9"/>
      <c r="P5945" s="14"/>
      <c r="Q5945" s="85"/>
      <c r="R5945" s="89"/>
      <c r="U5945" s="11" t="str">
        <f t="shared" si="419"/>
        <v/>
      </c>
      <c r="V5945" s="37"/>
      <c r="Z5945" s="15"/>
    </row>
    <row r="5946" spans="1:26" x14ac:dyDescent="0.25">
      <c r="A5946" s="15" t="str">
        <f>IF(C5946="","",COUNTA($C$3:C5946))</f>
        <v/>
      </c>
      <c r="B5946" s="15" t="str">
        <f t="shared" si="420"/>
        <v/>
      </c>
      <c r="M5946" s="9"/>
      <c r="N5946" s="9"/>
      <c r="P5946" s="14"/>
      <c r="Q5946" s="85"/>
      <c r="R5946" s="89"/>
      <c r="U5946" s="11" t="str">
        <f t="shared" si="419"/>
        <v/>
      </c>
      <c r="V5946" s="37"/>
      <c r="Z5946" s="15"/>
    </row>
    <row r="5947" spans="1:26" x14ac:dyDescent="0.25">
      <c r="A5947" s="15" t="str">
        <f>IF(C5947="","",COUNTA($C$3:C5947))</f>
        <v/>
      </c>
      <c r="B5947" s="15" t="str">
        <f t="shared" si="420"/>
        <v/>
      </c>
      <c r="M5947" s="9"/>
      <c r="N5947" s="9"/>
      <c r="P5947" s="14"/>
      <c r="Q5947" s="85"/>
      <c r="R5947" s="89"/>
      <c r="U5947" s="11" t="str">
        <f t="shared" si="419"/>
        <v/>
      </c>
      <c r="V5947" s="37"/>
      <c r="Z5947" s="15"/>
    </row>
    <row r="5948" spans="1:26" x14ac:dyDescent="0.25">
      <c r="A5948" s="15" t="str">
        <f>IF(C5948="","",COUNTA($C$3:C5948))</f>
        <v/>
      </c>
      <c r="B5948" s="15" t="str">
        <f t="shared" si="420"/>
        <v/>
      </c>
      <c r="M5948" s="9"/>
      <c r="N5948" s="9"/>
      <c r="P5948" s="14"/>
      <c r="Q5948" s="85"/>
      <c r="R5948" s="89"/>
      <c r="U5948" s="11" t="str">
        <f t="shared" si="419"/>
        <v/>
      </c>
      <c r="V5948" s="37"/>
      <c r="Z5948" s="15"/>
    </row>
    <row r="5949" spans="1:26" x14ac:dyDescent="0.25">
      <c r="A5949" s="15" t="str">
        <f>IF(C5949="","",COUNTA($C$3:C5949))</f>
        <v/>
      </c>
      <c r="B5949" s="15" t="str">
        <f t="shared" si="420"/>
        <v/>
      </c>
      <c r="M5949" s="9"/>
      <c r="N5949" s="9"/>
      <c r="P5949" s="14"/>
      <c r="Q5949" s="85"/>
      <c r="R5949" s="89"/>
      <c r="U5949" s="11" t="str">
        <f t="shared" si="419"/>
        <v/>
      </c>
      <c r="V5949" s="37"/>
      <c r="Z5949" s="15"/>
    </row>
    <row r="5950" spans="1:26" x14ac:dyDescent="0.25">
      <c r="A5950" s="15" t="str">
        <f>IF(C5950="","",COUNTA($C$3:C5950))</f>
        <v/>
      </c>
      <c r="B5950" s="15" t="str">
        <f t="shared" si="420"/>
        <v/>
      </c>
      <c r="M5950" s="9"/>
      <c r="N5950" s="9"/>
      <c r="P5950" s="14"/>
      <c r="Q5950" s="85"/>
      <c r="R5950" s="89"/>
      <c r="U5950" s="11" t="str">
        <f t="shared" si="419"/>
        <v/>
      </c>
      <c r="V5950" s="37"/>
      <c r="Z5950" s="15"/>
    </row>
    <row r="5951" spans="1:26" x14ac:dyDescent="0.25">
      <c r="A5951" s="15" t="str">
        <f>IF(C5951="","",COUNTA($C$3:C5951))</f>
        <v/>
      </c>
      <c r="B5951" s="15" t="str">
        <f t="shared" si="420"/>
        <v/>
      </c>
      <c r="M5951" s="9"/>
      <c r="N5951" s="9"/>
      <c r="P5951" s="14"/>
      <c r="Q5951" s="85"/>
      <c r="R5951" s="89"/>
      <c r="U5951" s="11" t="str">
        <f t="shared" si="419"/>
        <v/>
      </c>
      <c r="V5951" s="37"/>
      <c r="Z5951" s="15"/>
    </row>
    <row r="5952" spans="1:26" x14ac:dyDescent="0.25">
      <c r="A5952" s="15" t="str">
        <f>IF(C5952="","",COUNTA($C$3:C5952))</f>
        <v/>
      </c>
      <c r="B5952" s="15" t="str">
        <f t="shared" si="420"/>
        <v/>
      </c>
      <c r="M5952" s="9"/>
      <c r="N5952" s="9"/>
      <c r="P5952" s="14"/>
      <c r="Q5952" s="85"/>
      <c r="R5952" s="89"/>
      <c r="U5952" s="11" t="str">
        <f t="shared" si="419"/>
        <v/>
      </c>
      <c r="V5952" s="37"/>
      <c r="Z5952" s="15"/>
    </row>
    <row r="5953" spans="1:26" x14ac:dyDescent="0.25">
      <c r="A5953" s="15" t="str">
        <f>IF(C5953="","",COUNTA($C$3:C5953))</f>
        <v/>
      </c>
      <c r="B5953" s="15" t="str">
        <f t="shared" si="420"/>
        <v/>
      </c>
      <c r="M5953" s="9"/>
      <c r="N5953" s="9"/>
      <c r="P5953" s="14"/>
      <c r="Q5953" s="85"/>
      <c r="R5953" s="89"/>
      <c r="U5953" s="11" t="str">
        <f t="shared" si="419"/>
        <v/>
      </c>
      <c r="V5953" s="37"/>
      <c r="Z5953" s="15"/>
    </row>
    <row r="5954" spans="1:26" x14ac:dyDescent="0.25">
      <c r="A5954" s="15" t="str">
        <f>IF(C5954="","",COUNTA($C$3:C5954))</f>
        <v/>
      </c>
      <c r="B5954" s="15" t="str">
        <f t="shared" si="420"/>
        <v/>
      </c>
      <c r="M5954" s="9"/>
      <c r="N5954" s="9"/>
      <c r="P5954" s="14"/>
      <c r="Q5954" s="85"/>
      <c r="R5954" s="89"/>
      <c r="U5954" s="11" t="str">
        <f t="shared" ref="U5954:U6017" si="421">IF(S5954="","",(S5954-T5954))</f>
        <v/>
      </c>
      <c r="V5954" s="37"/>
      <c r="Z5954" s="15"/>
    </row>
    <row r="5955" spans="1:26" x14ac:dyDescent="0.25">
      <c r="A5955" s="15" t="str">
        <f>IF(C5955="","",COUNTA($C$3:C5955))</f>
        <v/>
      </c>
      <c r="B5955" s="15" t="str">
        <f t="shared" ref="B5955:B6018" si="422">IF(C5955="","",TEXT(C5955,"mmmm"))</f>
        <v/>
      </c>
      <c r="M5955" s="9"/>
      <c r="N5955" s="9"/>
      <c r="P5955" s="14"/>
      <c r="Q5955" s="85"/>
      <c r="R5955" s="89"/>
      <c r="U5955" s="11" t="str">
        <f t="shared" si="421"/>
        <v/>
      </c>
      <c r="V5955" s="37"/>
      <c r="Z5955" s="15"/>
    </row>
    <row r="5956" spans="1:26" x14ac:dyDescent="0.25">
      <c r="A5956" s="15" t="str">
        <f>IF(C5956="","",COUNTA($C$3:C5956))</f>
        <v/>
      </c>
      <c r="B5956" s="15" t="str">
        <f t="shared" si="422"/>
        <v/>
      </c>
      <c r="M5956" s="9"/>
      <c r="N5956" s="9"/>
      <c r="P5956" s="14"/>
      <c r="Q5956" s="85"/>
      <c r="R5956" s="89"/>
      <c r="U5956" s="11" t="str">
        <f t="shared" si="421"/>
        <v/>
      </c>
      <c r="V5956" s="37"/>
      <c r="Z5956" s="15"/>
    </row>
    <row r="5957" spans="1:26" x14ac:dyDescent="0.25">
      <c r="A5957" s="15" t="str">
        <f>IF(C5957="","",COUNTA($C$3:C5957))</f>
        <v/>
      </c>
      <c r="B5957" s="15" t="str">
        <f t="shared" si="422"/>
        <v/>
      </c>
      <c r="M5957" s="9"/>
      <c r="N5957" s="9"/>
      <c r="P5957" s="14"/>
      <c r="Q5957" s="85"/>
      <c r="R5957" s="89"/>
      <c r="U5957" s="11" t="str">
        <f t="shared" si="421"/>
        <v/>
      </c>
      <c r="V5957" s="37"/>
      <c r="Z5957" s="15"/>
    </row>
    <row r="5958" spans="1:26" x14ac:dyDescent="0.25">
      <c r="A5958" s="15" t="str">
        <f>IF(C5958="","",COUNTA($C$3:C5958))</f>
        <v/>
      </c>
      <c r="B5958" s="15" t="str">
        <f t="shared" si="422"/>
        <v/>
      </c>
      <c r="M5958" s="9"/>
      <c r="N5958" s="9"/>
      <c r="P5958" s="14"/>
      <c r="Q5958" s="85"/>
      <c r="R5958" s="89"/>
      <c r="U5958" s="11" t="str">
        <f t="shared" si="421"/>
        <v/>
      </c>
      <c r="V5958" s="37"/>
      <c r="Z5958" s="15"/>
    </row>
    <row r="5959" spans="1:26" x14ac:dyDescent="0.25">
      <c r="A5959" s="15" t="str">
        <f>IF(C5959="","",COUNTA($C$3:C5959))</f>
        <v/>
      </c>
      <c r="B5959" s="15" t="str">
        <f t="shared" si="422"/>
        <v/>
      </c>
      <c r="M5959" s="9"/>
      <c r="N5959" s="9"/>
      <c r="P5959" s="14"/>
      <c r="Q5959" s="85"/>
      <c r="R5959" s="89"/>
      <c r="U5959" s="11" t="str">
        <f t="shared" si="421"/>
        <v/>
      </c>
      <c r="V5959" s="37"/>
      <c r="Z5959" s="15"/>
    </row>
    <row r="5960" spans="1:26" x14ac:dyDescent="0.25">
      <c r="A5960" s="15" t="str">
        <f>IF(C5960="","",COUNTA($C$3:C5960))</f>
        <v/>
      </c>
      <c r="B5960" s="15" t="str">
        <f t="shared" si="422"/>
        <v/>
      </c>
      <c r="M5960" s="9"/>
      <c r="N5960" s="9"/>
      <c r="P5960" s="14"/>
      <c r="Q5960" s="85"/>
      <c r="R5960" s="89"/>
      <c r="U5960" s="11" t="str">
        <f t="shared" si="421"/>
        <v/>
      </c>
      <c r="V5960" s="37"/>
      <c r="Z5960" s="15"/>
    </row>
    <row r="5961" spans="1:26" x14ac:dyDescent="0.25">
      <c r="A5961" s="15" t="str">
        <f>IF(C5961="","",COUNTA($C$3:C5961))</f>
        <v/>
      </c>
      <c r="B5961" s="15" t="str">
        <f t="shared" si="422"/>
        <v/>
      </c>
      <c r="M5961" s="9"/>
      <c r="N5961" s="9"/>
      <c r="P5961" s="14"/>
      <c r="Q5961" s="85"/>
      <c r="R5961" s="89"/>
      <c r="U5961" s="11" t="str">
        <f t="shared" si="421"/>
        <v/>
      </c>
      <c r="V5961" s="37"/>
      <c r="Z5961" s="15"/>
    </row>
    <row r="5962" spans="1:26" x14ac:dyDescent="0.25">
      <c r="A5962" s="15" t="str">
        <f>IF(C5962="","",COUNTA($C$3:C5962))</f>
        <v/>
      </c>
      <c r="B5962" s="15" t="str">
        <f t="shared" si="422"/>
        <v/>
      </c>
      <c r="M5962" s="9"/>
      <c r="N5962" s="9"/>
      <c r="P5962" s="14"/>
      <c r="Q5962" s="85"/>
      <c r="R5962" s="89"/>
      <c r="U5962" s="11" t="str">
        <f t="shared" si="421"/>
        <v/>
      </c>
      <c r="V5962" s="37"/>
      <c r="Z5962" s="15"/>
    </row>
    <row r="5963" spans="1:26" x14ac:dyDescent="0.25">
      <c r="A5963" s="15" t="str">
        <f>IF(C5963="","",COUNTA($C$3:C5963))</f>
        <v/>
      </c>
      <c r="B5963" s="15" t="str">
        <f t="shared" si="422"/>
        <v/>
      </c>
      <c r="M5963" s="9"/>
      <c r="N5963" s="9"/>
      <c r="P5963" s="14"/>
      <c r="Q5963" s="85"/>
      <c r="R5963" s="89"/>
      <c r="U5963" s="11" t="str">
        <f t="shared" si="421"/>
        <v/>
      </c>
      <c r="V5963" s="37"/>
      <c r="Z5963" s="15"/>
    </row>
    <row r="5964" spans="1:26" x14ac:dyDescent="0.25">
      <c r="A5964" s="15" t="str">
        <f>IF(C5964="","",COUNTA($C$3:C5964))</f>
        <v/>
      </c>
      <c r="B5964" s="15" t="str">
        <f t="shared" si="422"/>
        <v/>
      </c>
      <c r="M5964" s="9"/>
      <c r="N5964" s="9"/>
      <c r="P5964" s="14"/>
      <c r="Q5964" s="85"/>
      <c r="R5964" s="89"/>
      <c r="U5964" s="11" t="str">
        <f t="shared" si="421"/>
        <v/>
      </c>
      <c r="V5964" s="37"/>
      <c r="Z5964" s="15"/>
    </row>
    <row r="5965" spans="1:26" x14ac:dyDescent="0.25">
      <c r="A5965" s="15" t="str">
        <f>IF(C5965="","",COUNTA($C$3:C5965))</f>
        <v/>
      </c>
      <c r="B5965" s="15" t="str">
        <f t="shared" si="422"/>
        <v/>
      </c>
      <c r="M5965" s="9"/>
      <c r="N5965" s="9"/>
      <c r="P5965" s="14"/>
      <c r="Q5965" s="85"/>
      <c r="R5965" s="89"/>
      <c r="U5965" s="11" t="str">
        <f t="shared" si="421"/>
        <v/>
      </c>
      <c r="V5965" s="37"/>
      <c r="Z5965" s="15"/>
    </row>
    <row r="5966" spans="1:26" x14ac:dyDescent="0.25">
      <c r="A5966" s="15" t="str">
        <f>IF(C5966="","",COUNTA($C$3:C5966))</f>
        <v/>
      </c>
      <c r="B5966" s="15" t="str">
        <f t="shared" si="422"/>
        <v/>
      </c>
      <c r="M5966" s="9"/>
      <c r="N5966" s="9"/>
      <c r="P5966" s="14"/>
      <c r="Q5966" s="85"/>
      <c r="R5966" s="89"/>
      <c r="U5966" s="11" t="str">
        <f t="shared" si="421"/>
        <v/>
      </c>
      <c r="V5966" s="37"/>
      <c r="Z5966" s="15"/>
    </row>
    <row r="5967" spans="1:26" x14ac:dyDescent="0.25">
      <c r="A5967" s="15" t="str">
        <f>IF(C5967="","",COUNTA($C$3:C5967))</f>
        <v/>
      </c>
      <c r="B5967" s="15" t="str">
        <f t="shared" si="422"/>
        <v/>
      </c>
      <c r="M5967" s="9"/>
      <c r="N5967" s="9"/>
      <c r="P5967" s="14"/>
      <c r="Q5967" s="85"/>
      <c r="R5967" s="89"/>
      <c r="U5967" s="11" t="str">
        <f t="shared" si="421"/>
        <v/>
      </c>
      <c r="V5967" s="37"/>
      <c r="Z5967" s="15"/>
    </row>
    <row r="5968" spans="1:26" x14ac:dyDescent="0.25">
      <c r="A5968" s="15" t="str">
        <f>IF(C5968="","",COUNTA($C$3:C5968))</f>
        <v/>
      </c>
      <c r="B5968" s="15" t="str">
        <f t="shared" si="422"/>
        <v/>
      </c>
      <c r="M5968" s="9"/>
      <c r="N5968" s="9"/>
      <c r="P5968" s="14"/>
      <c r="Q5968" s="85"/>
      <c r="R5968" s="89"/>
      <c r="U5968" s="11" t="str">
        <f t="shared" si="421"/>
        <v/>
      </c>
      <c r="V5968" s="37"/>
      <c r="Z5968" s="15"/>
    </row>
    <row r="5969" spans="1:26" x14ac:dyDescent="0.25">
      <c r="A5969" s="15" t="str">
        <f>IF(C5969="","",COUNTA($C$3:C5969))</f>
        <v/>
      </c>
      <c r="B5969" s="15" t="str">
        <f t="shared" si="422"/>
        <v/>
      </c>
      <c r="M5969" s="9"/>
      <c r="N5969" s="9"/>
      <c r="P5969" s="14"/>
      <c r="Q5969" s="85"/>
      <c r="R5969" s="89"/>
      <c r="U5969" s="11" t="str">
        <f t="shared" si="421"/>
        <v/>
      </c>
      <c r="V5969" s="37"/>
      <c r="Z5969" s="15"/>
    </row>
    <row r="5970" spans="1:26" x14ac:dyDescent="0.25">
      <c r="A5970" s="15" t="str">
        <f>IF(C5970="","",COUNTA($C$3:C5970))</f>
        <v/>
      </c>
      <c r="B5970" s="15" t="str">
        <f t="shared" si="422"/>
        <v/>
      </c>
      <c r="M5970" s="9"/>
      <c r="N5970" s="9"/>
      <c r="P5970" s="14"/>
      <c r="Q5970" s="85"/>
      <c r="R5970" s="89"/>
      <c r="U5970" s="11" t="str">
        <f t="shared" si="421"/>
        <v/>
      </c>
      <c r="V5970" s="37"/>
      <c r="Z5970" s="15"/>
    </row>
    <row r="5971" spans="1:26" x14ac:dyDescent="0.25">
      <c r="A5971" s="15" t="str">
        <f>IF(C5971="","",COUNTA($C$3:C5971))</f>
        <v/>
      </c>
      <c r="B5971" s="15" t="str">
        <f t="shared" si="422"/>
        <v/>
      </c>
      <c r="M5971" s="9"/>
      <c r="N5971" s="9"/>
      <c r="P5971" s="14"/>
      <c r="Q5971" s="85"/>
      <c r="R5971" s="89"/>
      <c r="U5971" s="11" t="str">
        <f t="shared" si="421"/>
        <v/>
      </c>
      <c r="V5971" s="37"/>
      <c r="Z5971" s="15"/>
    </row>
    <row r="5972" spans="1:26" x14ac:dyDescent="0.25">
      <c r="A5972" s="15" t="str">
        <f>IF(C5972="","",COUNTA($C$3:C5972))</f>
        <v/>
      </c>
      <c r="B5972" s="15" t="str">
        <f t="shared" si="422"/>
        <v/>
      </c>
      <c r="M5972" s="9"/>
      <c r="N5972" s="9"/>
      <c r="P5972" s="14"/>
      <c r="Q5972" s="85"/>
      <c r="R5972" s="89"/>
      <c r="U5972" s="11" t="str">
        <f t="shared" si="421"/>
        <v/>
      </c>
      <c r="V5972" s="37"/>
      <c r="Z5972" s="15"/>
    </row>
    <row r="5973" spans="1:26" x14ac:dyDescent="0.25">
      <c r="A5973" s="15" t="str">
        <f>IF(C5973="","",COUNTA($C$3:C5973))</f>
        <v/>
      </c>
      <c r="B5973" s="15" t="str">
        <f t="shared" si="422"/>
        <v/>
      </c>
      <c r="M5973" s="9"/>
      <c r="N5973" s="9"/>
      <c r="P5973" s="14"/>
      <c r="Q5973" s="85"/>
      <c r="R5973" s="89"/>
      <c r="U5973" s="11" t="str">
        <f t="shared" si="421"/>
        <v/>
      </c>
      <c r="V5973" s="37"/>
      <c r="Z5973" s="15"/>
    </row>
    <row r="5974" spans="1:26" x14ac:dyDescent="0.25">
      <c r="A5974" s="15" t="str">
        <f>IF(C5974="","",COUNTA($C$3:C5974))</f>
        <v/>
      </c>
      <c r="B5974" s="15" t="str">
        <f t="shared" si="422"/>
        <v/>
      </c>
      <c r="M5974" s="9"/>
      <c r="N5974" s="9"/>
      <c r="P5974" s="14"/>
      <c r="Q5974" s="85"/>
      <c r="R5974" s="89"/>
      <c r="U5974" s="11" t="str">
        <f t="shared" si="421"/>
        <v/>
      </c>
      <c r="V5974" s="37"/>
      <c r="Z5974" s="15"/>
    </row>
    <row r="5975" spans="1:26" x14ac:dyDescent="0.25">
      <c r="A5975" s="15" t="str">
        <f>IF(C5975="","",COUNTA($C$3:C5975))</f>
        <v/>
      </c>
      <c r="B5975" s="15" t="str">
        <f t="shared" si="422"/>
        <v/>
      </c>
      <c r="M5975" s="9"/>
      <c r="N5975" s="9"/>
      <c r="P5975" s="14"/>
      <c r="Q5975" s="85"/>
      <c r="R5975" s="89"/>
      <c r="U5975" s="11" t="str">
        <f t="shared" si="421"/>
        <v/>
      </c>
      <c r="V5975" s="37"/>
      <c r="Z5975" s="15"/>
    </row>
    <row r="5976" spans="1:26" x14ac:dyDescent="0.25">
      <c r="A5976" s="15" t="str">
        <f>IF(C5976="","",COUNTA($C$3:C5976))</f>
        <v/>
      </c>
      <c r="B5976" s="15" t="str">
        <f t="shared" si="422"/>
        <v/>
      </c>
      <c r="M5976" s="9"/>
      <c r="N5976" s="9"/>
      <c r="P5976" s="14"/>
      <c r="Q5976" s="85"/>
      <c r="R5976" s="89"/>
      <c r="U5976" s="11" t="str">
        <f t="shared" si="421"/>
        <v/>
      </c>
      <c r="V5976" s="37"/>
      <c r="Z5976" s="15"/>
    </row>
    <row r="5977" spans="1:26" x14ac:dyDescent="0.25">
      <c r="A5977" s="15" t="str">
        <f>IF(C5977="","",COUNTA($C$3:C5977))</f>
        <v/>
      </c>
      <c r="B5977" s="15" t="str">
        <f t="shared" si="422"/>
        <v/>
      </c>
      <c r="M5977" s="9"/>
      <c r="N5977" s="9"/>
      <c r="P5977" s="14"/>
      <c r="Q5977" s="85"/>
      <c r="R5977" s="89"/>
      <c r="U5977" s="11" t="str">
        <f t="shared" si="421"/>
        <v/>
      </c>
      <c r="V5977" s="37"/>
      <c r="Z5977" s="15"/>
    </row>
    <row r="5978" spans="1:26" x14ac:dyDescent="0.25">
      <c r="A5978" s="15" t="str">
        <f>IF(C5978="","",COUNTA($C$3:C5978))</f>
        <v/>
      </c>
      <c r="B5978" s="15" t="str">
        <f t="shared" si="422"/>
        <v/>
      </c>
      <c r="M5978" s="9"/>
      <c r="N5978" s="9"/>
      <c r="P5978" s="14"/>
      <c r="Q5978" s="85"/>
      <c r="R5978" s="89"/>
      <c r="U5978" s="11" t="str">
        <f t="shared" si="421"/>
        <v/>
      </c>
      <c r="V5978" s="37"/>
      <c r="Z5978" s="15"/>
    </row>
    <row r="5979" spans="1:26" x14ac:dyDescent="0.25">
      <c r="A5979" s="15" t="str">
        <f>IF(C5979="","",COUNTA($C$3:C5979))</f>
        <v/>
      </c>
      <c r="B5979" s="15" t="str">
        <f t="shared" si="422"/>
        <v/>
      </c>
      <c r="M5979" s="9"/>
      <c r="N5979" s="9"/>
      <c r="P5979" s="14"/>
      <c r="Q5979" s="85"/>
      <c r="R5979" s="89"/>
      <c r="U5979" s="11" t="str">
        <f t="shared" si="421"/>
        <v/>
      </c>
      <c r="V5979" s="37"/>
      <c r="Z5979" s="15"/>
    </row>
    <row r="5980" spans="1:26" x14ac:dyDescent="0.25">
      <c r="A5980" s="15" t="str">
        <f>IF(C5980="","",COUNTA($C$3:C5980))</f>
        <v/>
      </c>
      <c r="B5980" s="15" t="str">
        <f t="shared" si="422"/>
        <v/>
      </c>
      <c r="M5980" s="9"/>
      <c r="N5980" s="9"/>
      <c r="P5980" s="14"/>
      <c r="Q5980" s="85"/>
      <c r="R5980" s="89"/>
      <c r="U5980" s="11" t="str">
        <f t="shared" si="421"/>
        <v/>
      </c>
      <c r="V5980" s="37"/>
      <c r="Z5980" s="15"/>
    </row>
    <row r="5981" spans="1:26" x14ac:dyDescent="0.25">
      <c r="A5981" s="15" t="str">
        <f>IF(C5981="","",COUNTA($C$3:C5981))</f>
        <v/>
      </c>
      <c r="B5981" s="15" t="str">
        <f t="shared" si="422"/>
        <v/>
      </c>
      <c r="M5981" s="9"/>
      <c r="N5981" s="9"/>
      <c r="P5981" s="14"/>
      <c r="Q5981" s="85"/>
      <c r="R5981" s="89"/>
      <c r="U5981" s="11" t="str">
        <f t="shared" si="421"/>
        <v/>
      </c>
      <c r="V5981" s="37"/>
      <c r="Z5981" s="15"/>
    </row>
    <row r="5982" spans="1:26" x14ac:dyDescent="0.25">
      <c r="A5982" s="15" t="str">
        <f>IF(C5982="","",COUNTA($C$3:C5982))</f>
        <v/>
      </c>
      <c r="B5982" s="15" t="str">
        <f t="shared" si="422"/>
        <v/>
      </c>
      <c r="M5982" s="9"/>
      <c r="N5982" s="9"/>
      <c r="P5982" s="14"/>
      <c r="Q5982" s="85"/>
      <c r="R5982" s="89"/>
      <c r="U5982" s="11" t="str">
        <f t="shared" si="421"/>
        <v/>
      </c>
      <c r="V5982" s="37"/>
      <c r="Z5982" s="15"/>
    </row>
    <row r="5983" spans="1:26" x14ac:dyDescent="0.25">
      <c r="A5983" s="15" t="str">
        <f>IF(C5983="","",COUNTA($C$3:C5983))</f>
        <v/>
      </c>
      <c r="B5983" s="15" t="str">
        <f t="shared" si="422"/>
        <v/>
      </c>
      <c r="M5983" s="9"/>
      <c r="N5983" s="9"/>
      <c r="P5983" s="14"/>
      <c r="Q5983" s="85"/>
      <c r="R5983" s="89"/>
      <c r="U5983" s="11" t="str">
        <f t="shared" si="421"/>
        <v/>
      </c>
      <c r="V5983" s="37"/>
      <c r="Z5983" s="15"/>
    </row>
    <row r="5984" spans="1:26" x14ac:dyDescent="0.25">
      <c r="A5984" s="15" t="str">
        <f>IF(C5984="","",COUNTA($C$3:C5984))</f>
        <v/>
      </c>
      <c r="B5984" s="15" t="str">
        <f t="shared" si="422"/>
        <v/>
      </c>
      <c r="M5984" s="9"/>
      <c r="N5984" s="9"/>
      <c r="P5984" s="14"/>
      <c r="Q5984" s="85"/>
      <c r="R5984" s="89"/>
      <c r="U5984" s="11" t="str">
        <f t="shared" si="421"/>
        <v/>
      </c>
      <c r="V5984" s="37"/>
      <c r="Z5984" s="15"/>
    </row>
    <row r="5985" spans="1:26" x14ac:dyDescent="0.25">
      <c r="A5985" s="15" t="str">
        <f>IF(C5985="","",COUNTA($C$3:C5985))</f>
        <v/>
      </c>
      <c r="B5985" s="15" t="str">
        <f t="shared" si="422"/>
        <v/>
      </c>
      <c r="M5985" s="9"/>
      <c r="N5985" s="9"/>
      <c r="P5985" s="14"/>
      <c r="Q5985" s="85"/>
      <c r="R5985" s="89"/>
      <c r="U5985" s="11" t="str">
        <f t="shared" si="421"/>
        <v/>
      </c>
      <c r="V5985" s="37"/>
      <c r="Z5985" s="15"/>
    </row>
    <row r="5986" spans="1:26" x14ac:dyDescent="0.25">
      <c r="A5986" s="15" t="str">
        <f>IF(C5986="","",COUNTA($C$3:C5986))</f>
        <v/>
      </c>
      <c r="B5986" s="15" t="str">
        <f t="shared" si="422"/>
        <v/>
      </c>
      <c r="M5986" s="9"/>
      <c r="N5986" s="9"/>
      <c r="P5986" s="14"/>
      <c r="Q5986" s="85"/>
      <c r="R5986" s="89"/>
      <c r="U5986" s="11" t="str">
        <f t="shared" si="421"/>
        <v/>
      </c>
      <c r="V5986" s="37"/>
      <c r="Z5986" s="15"/>
    </row>
    <row r="5987" spans="1:26" x14ac:dyDescent="0.25">
      <c r="A5987" s="15" t="str">
        <f>IF(C5987="","",COUNTA($C$3:C5987))</f>
        <v/>
      </c>
      <c r="B5987" s="15" t="str">
        <f t="shared" si="422"/>
        <v/>
      </c>
      <c r="M5987" s="9"/>
      <c r="N5987" s="9"/>
      <c r="P5987" s="14"/>
      <c r="Q5987" s="85"/>
      <c r="R5987" s="89"/>
      <c r="U5987" s="11" t="str">
        <f t="shared" si="421"/>
        <v/>
      </c>
      <c r="V5987" s="37"/>
      <c r="Z5987" s="15"/>
    </row>
    <row r="5988" spans="1:26" x14ac:dyDescent="0.25">
      <c r="A5988" s="15" t="str">
        <f>IF(C5988="","",COUNTA($C$3:C5988))</f>
        <v/>
      </c>
      <c r="B5988" s="15" t="str">
        <f t="shared" si="422"/>
        <v/>
      </c>
      <c r="M5988" s="9"/>
      <c r="N5988" s="9"/>
      <c r="P5988" s="14"/>
      <c r="Q5988" s="85"/>
      <c r="R5988" s="89"/>
      <c r="U5988" s="11" t="str">
        <f t="shared" si="421"/>
        <v/>
      </c>
      <c r="V5988" s="37"/>
      <c r="Z5988" s="15"/>
    </row>
    <row r="5989" spans="1:26" x14ac:dyDescent="0.25">
      <c r="A5989" s="15" t="str">
        <f>IF(C5989="","",COUNTA($C$3:C5989))</f>
        <v/>
      </c>
      <c r="B5989" s="15" t="str">
        <f t="shared" si="422"/>
        <v/>
      </c>
      <c r="M5989" s="9"/>
      <c r="N5989" s="9"/>
      <c r="P5989" s="14"/>
      <c r="Q5989" s="85"/>
      <c r="R5989" s="89"/>
      <c r="U5989" s="11" t="str">
        <f t="shared" si="421"/>
        <v/>
      </c>
      <c r="V5989" s="37"/>
      <c r="Z5989" s="15"/>
    </row>
    <row r="5990" spans="1:26" x14ac:dyDescent="0.25">
      <c r="A5990" s="15" t="str">
        <f>IF(C5990="","",COUNTA($C$3:C5990))</f>
        <v/>
      </c>
      <c r="B5990" s="15" t="str">
        <f t="shared" si="422"/>
        <v/>
      </c>
      <c r="M5990" s="9"/>
      <c r="N5990" s="9"/>
      <c r="P5990" s="14"/>
      <c r="Q5990" s="85"/>
      <c r="R5990" s="89"/>
      <c r="U5990" s="11" t="str">
        <f t="shared" si="421"/>
        <v/>
      </c>
      <c r="V5990" s="37"/>
      <c r="Z5990" s="15"/>
    </row>
    <row r="5991" spans="1:26" x14ac:dyDescent="0.25">
      <c r="A5991" s="15" t="str">
        <f>IF(C5991="","",COUNTA($C$3:C5991))</f>
        <v/>
      </c>
      <c r="B5991" s="15" t="str">
        <f t="shared" si="422"/>
        <v/>
      </c>
      <c r="M5991" s="9"/>
      <c r="N5991" s="9"/>
      <c r="P5991" s="14"/>
      <c r="Q5991" s="85"/>
      <c r="R5991" s="89"/>
      <c r="U5991" s="11" t="str">
        <f t="shared" si="421"/>
        <v/>
      </c>
      <c r="V5991" s="37"/>
      <c r="Z5991" s="15"/>
    </row>
    <row r="5992" spans="1:26" x14ac:dyDescent="0.25">
      <c r="A5992" s="15" t="str">
        <f>IF(C5992="","",COUNTA($C$3:C5992))</f>
        <v/>
      </c>
      <c r="B5992" s="15" t="str">
        <f t="shared" si="422"/>
        <v/>
      </c>
      <c r="M5992" s="9"/>
      <c r="N5992" s="9"/>
      <c r="P5992" s="14"/>
      <c r="Q5992" s="85"/>
      <c r="R5992" s="89"/>
      <c r="U5992" s="11" t="str">
        <f t="shared" si="421"/>
        <v/>
      </c>
      <c r="V5992" s="37"/>
      <c r="Z5992" s="15"/>
    </row>
    <row r="5993" spans="1:26" x14ac:dyDescent="0.25">
      <c r="A5993" s="15" t="str">
        <f>IF(C5993="","",COUNTA($C$3:C5993))</f>
        <v/>
      </c>
      <c r="B5993" s="15" t="str">
        <f t="shared" si="422"/>
        <v/>
      </c>
      <c r="M5993" s="9"/>
      <c r="N5993" s="9"/>
      <c r="P5993" s="14"/>
      <c r="Q5993" s="85"/>
      <c r="R5993" s="89"/>
      <c r="U5993" s="11" t="str">
        <f t="shared" si="421"/>
        <v/>
      </c>
      <c r="V5993" s="37"/>
      <c r="Z5993" s="15"/>
    </row>
    <row r="5994" spans="1:26" x14ac:dyDescent="0.25">
      <c r="A5994" s="15" t="str">
        <f>IF(C5994="","",COUNTA($C$3:C5994))</f>
        <v/>
      </c>
      <c r="B5994" s="15" t="str">
        <f t="shared" si="422"/>
        <v/>
      </c>
      <c r="M5994" s="9"/>
      <c r="N5994" s="9"/>
      <c r="P5994" s="14"/>
      <c r="Q5994" s="85"/>
      <c r="R5994" s="89"/>
      <c r="U5994" s="11" t="str">
        <f t="shared" si="421"/>
        <v/>
      </c>
      <c r="V5994" s="37"/>
      <c r="Z5994" s="15"/>
    </row>
    <row r="5995" spans="1:26" x14ac:dyDescent="0.25">
      <c r="A5995" s="15" t="str">
        <f>IF(C5995="","",COUNTA($C$3:C5995))</f>
        <v/>
      </c>
      <c r="B5995" s="15" t="str">
        <f t="shared" si="422"/>
        <v/>
      </c>
      <c r="M5995" s="9"/>
      <c r="N5995" s="9"/>
      <c r="P5995" s="14"/>
      <c r="Q5995" s="85"/>
      <c r="R5995" s="89"/>
      <c r="U5995" s="11" t="str">
        <f t="shared" si="421"/>
        <v/>
      </c>
      <c r="V5995" s="37"/>
      <c r="Z5995" s="15"/>
    </row>
    <row r="5996" spans="1:26" x14ac:dyDescent="0.25">
      <c r="A5996" s="15" t="str">
        <f>IF(C5996="","",COUNTA($C$3:C5996))</f>
        <v/>
      </c>
      <c r="B5996" s="15" t="str">
        <f t="shared" si="422"/>
        <v/>
      </c>
      <c r="M5996" s="9"/>
      <c r="N5996" s="9"/>
      <c r="P5996" s="14"/>
      <c r="Q5996" s="85"/>
      <c r="R5996" s="89"/>
      <c r="U5996" s="11" t="str">
        <f t="shared" si="421"/>
        <v/>
      </c>
      <c r="V5996" s="37"/>
      <c r="Z5996" s="15"/>
    </row>
    <row r="5997" spans="1:26" x14ac:dyDescent="0.25">
      <c r="A5997" s="15" t="str">
        <f>IF(C5997="","",COUNTA($C$3:C5997))</f>
        <v/>
      </c>
      <c r="B5997" s="15" t="str">
        <f t="shared" si="422"/>
        <v/>
      </c>
      <c r="M5997" s="9"/>
      <c r="N5997" s="9"/>
      <c r="P5997" s="14"/>
      <c r="Q5997" s="85"/>
      <c r="R5997" s="89"/>
      <c r="U5997" s="11" t="str">
        <f t="shared" si="421"/>
        <v/>
      </c>
      <c r="V5997" s="37"/>
      <c r="Z5997" s="15"/>
    </row>
    <row r="5998" spans="1:26" x14ac:dyDescent="0.25">
      <c r="A5998" s="15" t="str">
        <f>IF(C5998="","",COUNTA($C$3:C5998))</f>
        <v/>
      </c>
      <c r="B5998" s="15" t="str">
        <f t="shared" si="422"/>
        <v/>
      </c>
      <c r="M5998" s="9"/>
      <c r="N5998" s="9"/>
      <c r="P5998" s="14"/>
      <c r="Q5998" s="85"/>
      <c r="R5998" s="89"/>
      <c r="U5998" s="11" t="str">
        <f t="shared" si="421"/>
        <v/>
      </c>
      <c r="V5998" s="37"/>
      <c r="Z5998" s="15"/>
    </row>
    <row r="5999" spans="1:26" x14ac:dyDescent="0.25">
      <c r="A5999" s="15" t="str">
        <f>IF(C5999="","",COUNTA($C$3:C5999))</f>
        <v/>
      </c>
      <c r="B5999" s="15" t="str">
        <f t="shared" si="422"/>
        <v/>
      </c>
      <c r="M5999" s="9"/>
      <c r="N5999" s="9"/>
      <c r="P5999" s="14"/>
      <c r="Q5999" s="85"/>
      <c r="R5999" s="89"/>
      <c r="U5999" s="11" t="str">
        <f t="shared" si="421"/>
        <v/>
      </c>
      <c r="V5999" s="37"/>
      <c r="Z5999" s="15"/>
    </row>
    <row r="6000" spans="1:26" x14ac:dyDescent="0.25">
      <c r="A6000" s="15" t="str">
        <f>IF(C6000="","",COUNTA($C$3:C6000))</f>
        <v/>
      </c>
      <c r="B6000" s="15" t="str">
        <f t="shared" si="422"/>
        <v/>
      </c>
      <c r="M6000" s="9"/>
      <c r="N6000" s="9"/>
      <c r="P6000" s="14"/>
      <c r="Q6000" s="85"/>
      <c r="R6000" s="89"/>
      <c r="U6000" s="11" t="str">
        <f t="shared" si="421"/>
        <v/>
      </c>
      <c r="V6000" s="37"/>
      <c r="Z6000" s="15"/>
    </row>
    <row r="6001" spans="1:26" x14ac:dyDescent="0.25">
      <c r="A6001" s="15" t="str">
        <f>IF(C6001="","",COUNTA($C$3:C6001))</f>
        <v/>
      </c>
      <c r="B6001" s="15" t="str">
        <f t="shared" si="422"/>
        <v/>
      </c>
      <c r="M6001" s="9"/>
      <c r="N6001" s="9"/>
      <c r="P6001" s="14"/>
      <c r="Q6001" s="85"/>
      <c r="R6001" s="89"/>
      <c r="U6001" s="11" t="str">
        <f t="shared" si="421"/>
        <v/>
      </c>
      <c r="V6001" s="37"/>
      <c r="Z6001" s="15"/>
    </row>
    <row r="6002" spans="1:26" x14ac:dyDescent="0.25">
      <c r="A6002" s="15" t="str">
        <f>IF(C6002="","",COUNTA($C$3:C6002))</f>
        <v/>
      </c>
      <c r="B6002" s="15" t="str">
        <f t="shared" si="422"/>
        <v/>
      </c>
      <c r="M6002" s="9"/>
      <c r="N6002" s="9"/>
      <c r="P6002" s="14"/>
      <c r="Q6002" s="85"/>
      <c r="R6002" s="89"/>
      <c r="U6002" s="11" t="str">
        <f t="shared" si="421"/>
        <v/>
      </c>
      <c r="V6002" s="37"/>
      <c r="Z6002" s="15"/>
    </row>
    <row r="6003" spans="1:26" x14ac:dyDescent="0.25">
      <c r="A6003" s="15" t="str">
        <f>IF(C6003="","",COUNTA($C$3:C6003))</f>
        <v/>
      </c>
      <c r="B6003" s="15" t="str">
        <f t="shared" si="422"/>
        <v/>
      </c>
      <c r="M6003" s="9"/>
      <c r="N6003" s="9"/>
      <c r="P6003" s="14"/>
      <c r="Q6003" s="85"/>
      <c r="R6003" s="89"/>
      <c r="U6003" s="11" t="str">
        <f t="shared" si="421"/>
        <v/>
      </c>
      <c r="V6003" s="37"/>
      <c r="Z6003" s="15"/>
    </row>
    <row r="6004" spans="1:26" x14ac:dyDescent="0.25">
      <c r="A6004" s="15" t="str">
        <f>IF(C6004="","",COUNTA($C$3:C6004))</f>
        <v/>
      </c>
      <c r="B6004" s="15" t="str">
        <f t="shared" si="422"/>
        <v/>
      </c>
      <c r="M6004" s="9"/>
      <c r="N6004" s="9"/>
      <c r="P6004" s="14"/>
      <c r="Q6004" s="85"/>
      <c r="R6004" s="89"/>
      <c r="U6004" s="11" t="str">
        <f t="shared" si="421"/>
        <v/>
      </c>
      <c r="V6004" s="37"/>
      <c r="Z6004" s="15"/>
    </row>
    <row r="6005" spans="1:26" x14ac:dyDescent="0.25">
      <c r="A6005" s="15" t="str">
        <f>IF(C6005="","",COUNTA($C$3:C6005))</f>
        <v/>
      </c>
      <c r="B6005" s="15" t="str">
        <f t="shared" si="422"/>
        <v/>
      </c>
      <c r="M6005" s="9"/>
      <c r="N6005" s="9"/>
      <c r="P6005" s="14"/>
      <c r="Q6005" s="85"/>
      <c r="R6005" s="89"/>
      <c r="U6005" s="11" t="str">
        <f t="shared" si="421"/>
        <v/>
      </c>
      <c r="V6005" s="37"/>
      <c r="Z6005" s="15"/>
    </row>
    <row r="6006" spans="1:26" x14ac:dyDescent="0.25">
      <c r="A6006" s="15" t="str">
        <f>IF(C6006="","",COUNTA($C$3:C6006))</f>
        <v/>
      </c>
      <c r="B6006" s="15" t="str">
        <f t="shared" si="422"/>
        <v/>
      </c>
      <c r="M6006" s="9"/>
      <c r="N6006" s="9"/>
      <c r="P6006" s="14"/>
      <c r="Q6006" s="85"/>
      <c r="R6006" s="89"/>
      <c r="U6006" s="11" t="str">
        <f t="shared" si="421"/>
        <v/>
      </c>
      <c r="V6006" s="37"/>
      <c r="Z6006" s="15"/>
    </row>
    <row r="6007" spans="1:26" x14ac:dyDescent="0.25">
      <c r="A6007" s="15" t="str">
        <f>IF(C6007="","",COUNTA($C$3:C6007))</f>
        <v/>
      </c>
      <c r="B6007" s="15" t="str">
        <f t="shared" si="422"/>
        <v/>
      </c>
      <c r="M6007" s="9"/>
      <c r="N6007" s="9"/>
      <c r="P6007" s="14"/>
      <c r="Q6007" s="85"/>
      <c r="R6007" s="89"/>
      <c r="U6007" s="11" t="str">
        <f t="shared" si="421"/>
        <v/>
      </c>
      <c r="V6007" s="37"/>
      <c r="Z6007" s="15"/>
    </row>
    <row r="6008" spans="1:26" x14ac:dyDescent="0.25">
      <c r="A6008" s="15" t="str">
        <f>IF(C6008="","",COUNTA($C$3:C6008))</f>
        <v/>
      </c>
      <c r="B6008" s="15" t="str">
        <f t="shared" si="422"/>
        <v/>
      </c>
      <c r="M6008" s="9"/>
      <c r="N6008" s="9"/>
      <c r="P6008" s="14"/>
      <c r="Q6008" s="85"/>
      <c r="R6008" s="89"/>
      <c r="U6008" s="11" t="str">
        <f t="shared" si="421"/>
        <v/>
      </c>
      <c r="V6008" s="37"/>
      <c r="Z6008" s="15"/>
    </row>
    <row r="6009" spans="1:26" x14ac:dyDescent="0.25">
      <c r="A6009" s="15" t="str">
        <f>IF(C6009="","",COUNTA($C$3:C6009))</f>
        <v/>
      </c>
      <c r="B6009" s="15" t="str">
        <f t="shared" si="422"/>
        <v/>
      </c>
      <c r="M6009" s="9"/>
      <c r="N6009" s="9"/>
      <c r="P6009" s="14"/>
      <c r="Q6009" s="85"/>
      <c r="R6009" s="89"/>
      <c r="U6009" s="11" t="str">
        <f t="shared" si="421"/>
        <v/>
      </c>
      <c r="V6009" s="37"/>
      <c r="Z6009" s="15"/>
    </row>
    <row r="6010" spans="1:26" x14ac:dyDescent="0.25">
      <c r="A6010" s="15" t="str">
        <f>IF(C6010="","",COUNTA($C$3:C6010))</f>
        <v/>
      </c>
      <c r="B6010" s="15" t="str">
        <f t="shared" si="422"/>
        <v/>
      </c>
      <c r="M6010" s="9"/>
      <c r="N6010" s="9"/>
      <c r="P6010" s="14"/>
      <c r="Q6010" s="85"/>
      <c r="R6010" s="89"/>
      <c r="U6010" s="11" t="str">
        <f t="shared" si="421"/>
        <v/>
      </c>
      <c r="V6010" s="37"/>
      <c r="Z6010" s="15"/>
    </row>
    <row r="6011" spans="1:26" x14ac:dyDescent="0.25">
      <c r="A6011" s="15" t="str">
        <f>IF(C6011="","",COUNTA($C$3:C6011))</f>
        <v/>
      </c>
      <c r="B6011" s="15" t="str">
        <f t="shared" si="422"/>
        <v/>
      </c>
      <c r="M6011" s="9"/>
      <c r="N6011" s="9"/>
      <c r="P6011" s="14"/>
      <c r="Q6011" s="85"/>
      <c r="R6011" s="89"/>
      <c r="U6011" s="11" t="str">
        <f t="shared" si="421"/>
        <v/>
      </c>
      <c r="V6011" s="37"/>
      <c r="Z6011" s="15"/>
    </row>
    <row r="6012" spans="1:26" x14ac:dyDescent="0.25">
      <c r="A6012" s="15" t="str">
        <f>IF(C6012="","",COUNTA($C$3:C6012))</f>
        <v/>
      </c>
      <c r="B6012" s="15" t="str">
        <f t="shared" si="422"/>
        <v/>
      </c>
      <c r="M6012" s="9"/>
      <c r="N6012" s="9"/>
      <c r="P6012" s="14"/>
      <c r="Q6012" s="85"/>
      <c r="R6012" s="89"/>
      <c r="U6012" s="11" t="str">
        <f t="shared" si="421"/>
        <v/>
      </c>
      <c r="V6012" s="37"/>
      <c r="Z6012" s="15"/>
    </row>
    <row r="6013" spans="1:26" x14ac:dyDescent="0.25">
      <c r="A6013" s="15" t="str">
        <f>IF(C6013="","",COUNTA($C$3:C6013))</f>
        <v/>
      </c>
      <c r="B6013" s="15" t="str">
        <f t="shared" si="422"/>
        <v/>
      </c>
      <c r="M6013" s="9"/>
      <c r="N6013" s="9"/>
      <c r="P6013" s="14"/>
      <c r="Q6013" s="85"/>
      <c r="R6013" s="89"/>
      <c r="U6013" s="11" t="str">
        <f t="shared" si="421"/>
        <v/>
      </c>
      <c r="V6013" s="37"/>
      <c r="Z6013" s="15"/>
    </row>
    <row r="6014" spans="1:26" x14ac:dyDescent="0.25">
      <c r="A6014" s="15" t="str">
        <f>IF(C6014="","",COUNTA($C$3:C6014))</f>
        <v/>
      </c>
      <c r="B6014" s="15" t="str">
        <f t="shared" si="422"/>
        <v/>
      </c>
      <c r="M6014" s="9"/>
      <c r="N6014" s="9"/>
      <c r="P6014" s="14"/>
      <c r="Q6014" s="85"/>
      <c r="R6014" s="89"/>
      <c r="U6014" s="11" t="str">
        <f t="shared" si="421"/>
        <v/>
      </c>
      <c r="V6014" s="37"/>
      <c r="Z6014" s="15"/>
    </row>
    <row r="6015" spans="1:26" x14ac:dyDescent="0.25">
      <c r="A6015" s="15" t="str">
        <f>IF(C6015="","",COUNTA($C$3:C6015))</f>
        <v/>
      </c>
      <c r="B6015" s="15" t="str">
        <f t="shared" si="422"/>
        <v/>
      </c>
      <c r="M6015" s="9"/>
      <c r="N6015" s="9"/>
      <c r="P6015" s="14"/>
      <c r="Q6015" s="85"/>
      <c r="R6015" s="89"/>
      <c r="U6015" s="11" t="str">
        <f t="shared" si="421"/>
        <v/>
      </c>
      <c r="V6015" s="37"/>
      <c r="Z6015" s="15"/>
    </row>
    <row r="6016" spans="1:26" x14ac:dyDescent="0.25">
      <c r="A6016" s="15" t="str">
        <f>IF(C6016="","",COUNTA($C$3:C6016))</f>
        <v/>
      </c>
      <c r="B6016" s="15" t="str">
        <f t="shared" si="422"/>
        <v/>
      </c>
      <c r="M6016" s="9"/>
      <c r="N6016" s="9"/>
      <c r="P6016" s="14"/>
      <c r="Q6016" s="85"/>
      <c r="R6016" s="89"/>
      <c r="U6016" s="11" t="str">
        <f t="shared" si="421"/>
        <v/>
      </c>
      <c r="V6016" s="37"/>
      <c r="Z6016" s="15"/>
    </row>
    <row r="6017" spans="1:26" x14ac:dyDescent="0.25">
      <c r="A6017" s="15" t="str">
        <f>IF(C6017="","",COUNTA($C$3:C6017))</f>
        <v/>
      </c>
      <c r="B6017" s="15" t="str">
        <f t="shared" si="422"/>
        <v/>
      </c>
      <c r="M6017" s="9"/>
      <c r="N6017" s="9"/>
      <c r="P6017" s="14"/>
      <c r="Q6017" s="85"/>
      <c r="R6017" s="89"/>
      <c r="U6017" s="11" t="str">
        <f t="shared" si="421"/>
        <v/>
      </c>
      <c r="V6017" s="37"/>
      <c r="Z6017" s="15"/>
    </row>
    <row r="6018" spans="1:26" x14ac:dyDescent="0.25">
      <c r="A6018" s="15" t="str">
        <f>IF(C6018="","",COUNTA($C$3:C6018))</f>
        <v/>
      </c>
      <c r="B6018" s="15" t="str">
        <f t="shared" si="422"/>
        <v/>
      </c>
      <c r="M6018" s="9"/>
      <c r="N6018" s="9"/>
      <c r="P6018" s="14"/>
      <c r="Q6018" s="85"/>
      <c r="R6018" s="89"/>
      <c r="U6018" s="11" t="str">
        <f t="shared" ref="U6018:U6081" si="423">IF(S6018="","",(S6018-T6018))</f>
        <v/>
      </c>
      <c r="V6018" s="37"/>
      <c r="Z6018" s="15"/>
    </row>
    <row r="6019" spans="1:26" x14ac:dyDescent="0.25">
      <c r="A6019" s="15" t="str">
        <f>IF(C6019="","",COUNTA($C$3:C6019))</f>
        <v/>
      </c>
      <c r="B6019" s="15" t="str">
        <f t="shared" ref="B6019:B6082" si="424">IF(C6019="","",TEXT(C6019,"mmmm"))</f>
        <v/>
      </c>
      <c r="M6019" s="9"/>
      <c r="N6019" s="9"/>
      <c r="P6019" s="14"/>
      <c r="Q6019" s="85"/>
      <c r="R6019" s="89"/>
      <c r="U6019" s="11" t="str">
        <f t="shared" si="423"/>
        <v/>
      </c>
      <c r="V6019" s="37"/>
      <c r="Z6019" s="15"/>
    </row>
    <row r="6020" spans="1:26" x14ac:dyDescent="0.25">
      <c r="A6020" s="15" t="str">
        <f>IF(C6020="","",COUNTA($C$3:C6020))</f>
        <v/>
      </c>
      <c r="B6020" s="15" t="str">
        <f t="shared" si="424"/>
        <v/>
      </c>
      <c r="M6020" s="9"/>
      <c r="N6020" s="9"/>
      <c r="P6020" s="14"/>
      <c r="Q6020" s="85"/>
      <c r="R6020" s="89"/>
      <c r="U6020" s="11" t="str">
        <f t="shared" si="423"/>
        <v/>
      </c>
      <c r="V6020" s="37"/>
      <c r="Z6020" s="15"/>
    </row>
    <row r="6021" spans="1:26" x14ac:dyDescent="0.25">
      <c r="A6021" s="15" t="str">
        <f>IF(C6021="","",COUNTA($C$3:C6021))</f>
        <v/>
      </c>
      <c r="B6021" s="15" t="str">
        <f t="shared" si="424"/>
        <v/>
      </c>
      <c r="M6021" s="9"/>
      <c r="N6021" s="9"/>
      <c r="P6021" s="14"/>
      <c r="Q6021" s="85"/>
      <c r="R6021" s="89"/>
      <c r="U6021" s="11" t="str">
        <f t="shared" si="423"/>
        <v/>
      </c>
      <c r="V6021" s="37"/>
      <c r="Z6021" s="15"/>
    </row>
    <row r="6022" spans="1:26" x14ac:dyDescent="0.25">
      <c r="A6022" s="15" t="str">
        <f>IF(C6022="","",COUNTA($C$3:C6022))</f>
        <v/>
      </c>
      <c r="B6022" s="15" t="str">
        <f t="shared" si="424"/>
        <v/>
      </c>
      <c r="M6022" s="9"/>
      <c r="N6022" s="9"/>
      <c r="P6022" s="14"/>
      <c r="Q6022" s="85"/>
      <c r="R6022" s="89"/>
      <c r="U6022" s="11" t="str">
        <f t="shared" si="423"/>
        <v/>
      </c>
      <c r="V6022" s="37"/>
      <c r="Z6022" s="15"/>
    </row>
    <row r="6023" spans="1:26" x14ac:dyDescent="0.25">
      <c r="A6023" s="15" t="str">
        <f>IF(C6023="","",COUNTA($C$3:C6023))</f>
        <v/>
      </c>
      <c r="B6023" s="15" t="str">
        <f t="shared" si="424"/>
        <v/>
      </c>
      <c r="M6023" s="9"/>
      <c r="N6023" s="9"/>
      <c r="P6023" s="14"/>
      <c r="Q6023" s="85"/>
      <c r="R6023" s="89"/>
      <c r="U6023" s="11" t="str">
        <f t="shared" si="423"/>
        <v/>
      </c>
      <c r="V6023" s="37"/>
      <c r="Z6023" s="15"/>
    </row>
    <row r="6024" spans="1:26" x14ac:dyDescent="0.25">
      <c r="A6024" s="15" t="str">
        <f>IF(C6024="","",COUNTA($C$3:C6024))</f>
        <v/>
      </c>
      <c r="B6024" s="15" t="str">
        <f t="shared" si="424"/>
        <v/>
      </c>
      <c r="M6024" s="9"/>
      <c r="N6024" s="9"/>
      <c r="P6024" s="14"/>
      <c r="Q6024" s="85"/>
      <c r="R6024" s="89"/>
      <c r="U6024" s="11" t="str">
        <f t="shared" si="423"/>
        <v/>
      </c>
      <c r="V6024" s="37"/>
      <c r="Z6024" s="15"/>
    </row>
    <row r="6025" spans="1:26" x14ac:dyDescent="0.25">
      <c r="A6025" s="15" t="str">
        <f>IF(C6025="","",COUNTA($C$3:C6025))</f>
        <v/>
      </c>
      <c r="B6025" s="15" t="str">
        <f t="shared" si="424"/>
        <v/>
      </c>
      <c r="M6025" s="9"/>
      <c r="N6025" s="9"/>
      <c r="P6025" s="14"/>
      <c r="Q6025" s="85"/>
      <c r="R6025" s="89"/>
      <c r="U6025" s="11" t="str">
        <f t="shared" si="423"/>
        <v/>
      </c>
      <c r="V6025" s="37"/>
      <c r="Z6025" s="15"/>
    </row>
    <row r="6026" spans="1:26" x14ac:dyDescent="0.25">
      <c r="A6026" s="15" t="str">
        <f>IF(C6026="","",COUNTA($C$3:C6026))</f>
        <v/>
      </c>
      <c r="B6026" s="15" t="str">
        <f t="shared" si="424"/>
        <v/>
      </c>
      <c r="M6026" s="9"/>
      <c r="N6026" s="9"/>
      <c r="P6026" s="14"/>
      <c r="Q6026" s="85"/>
      <c r="R6026" s="89"/>
      <c r="U6026" s="11" t="str">
        <f t="shared" si="423"/>
        <v/>
      </c>
      <c r="V6026" s="37"/>
      <c r="Z6026" s="15"/>
    </row>
    <row r="6027" spans="1:26" x14ac:dyDescent="0.25">
      <c r="A6027" s="15" t="str">
        <f>IF(C6027="","",COUNTA($C$3:C6027))</f>
        <v/>
      </c>
      <c r="B6027" s="15" t="str">
        <f t="shared" si="424"/>
        <v/>
      </c>
      <c r="M6027" s="9"/>
      <c r="N6027" s="9"/>
      <c r="P6027" s="14"/>
      <c r="Q6027" s="85"/>
      <c r="R6027" s="89"/>
      <c r="U6027" s="11" t="str">
        <f t="shared" si="423"/>
        <v/>
      </c>
      <c r="V6027" s="37"/>
      <c r="Z6027" s="15"/>
    </row>
    <row r="6028" spans="1:26" x14ac:dyDescent="0.25">
      <c r="A6028" s="15" t="str">
        <f>IF(C6028="","",COUNTA($C$3:C6028))</f>
        <v/>
      </c>
      <c r="B6028" s="15" t="str">
        <f t="shared" si="424"/>
        <v/>
      </c>
      <c r="M6028" s="9"/>
      <c r="N6028" s="9"/>
      <c r="P6028" s="14"/>
      <c r="Q6028" s="85"/>
      <c r="R6028" s="89"/>
      <c r="U6028" s="11" t="str">
        <f t="shared" si="423"/>
        <v/>
      </c>
      <c r="V6028" s="37"/>
      <c r="Z6028" s="15"/>
    </row>
    <row r="6029" spans="1:26" x14ac:dyDescent="0.25">
      <c r="A6029" s="15" t="str">
        <f>IF(C6029="","",COUNTA($C$3:C6029))</f>
        <v/>
      </c>
      <c r="B6029" s="15" t="str">
        <f t="shared" si="424"/>
        <v/>
      </c>
      <c r="M6029" s="9"/>
      <c r="N6029" s="9"/>
      <c r="P6029" s="14"/>
      <c r="Q6029" s="85"/>
      <c r="R6029" s="89"/>
      <c r="U6029" s="11" t="str">
        <f t="shared" si="423"/>
        <v/>
      </c>
      <c r="V6029" s="37"/>
      <c r="Z6029" s="15"/>
    </row>
    <row r="6030" spans="1:26" x14ac:dyDescent="0.25">
      <c r="A6030" s="15" t="str">
        <f>IF(C6030="","",COUNTA($C$3:C6030))</f>
        <v/>
      </c>
      <c r="B6030" s="15" t="str">
        <f t="shared" si="424"/>
        <v/>
      </c>
      <c r="M6030" s="9"/>
      <c r="N6030" s="9"/>
      <c r="P6030" s="14"/>
      <c r="Q6030" s="85"/>
      <c r="R6030" s="89"/>
      <c r="U6030" s="11" t="str">
        <f t="shared" si="423"/>
        <v/>
      </c>
      <c r="V6030" s="37"/>
      <c r="Z6030" s="15"/>
    </row>
    <row r="6031" spans="1:26" x14ac:dyDescent="0.25">
      <c r="A6031" s="15" t="str">
        <f>IF(C6031="","",COUNTA($C$3:C6031))</f>
        <v/>
      </c>
      <c r="B6031" s="15" t="str">
        <f t="shared" si="424"/>
        <v/>
      </c>
      <c r="M6031" s="9"/>
      <c r="N6031" s="9"/>
      <c r="P6031" s="14"/>
      <c r="Q6031" s="85"/>
      <c r="R6031" s="89"/>
      <c r="U6031" s="11" t="str">
        <f t="shared" si="423"/>
        <v/>
      </c>
      <c r="V6031" s="37"/>
      <c r="Z6031" s="15"/>
    </row>
    <row r="6032" spans="1:26" x14ac:dyDescent="0.25">
      <c r="A6032" s="15" t="str">
        <f>IF(C6032="","",COUNTA($C$3:C6032))</f>
        <v/>
      </c>
      <c r="B6032" s="15" t="str">
        <f t="shared" si="424"/>
        <v/>
      </c>
      <c r="M6032" s="9"/>
      <c r="N6032" s="9"/>
      <c r="P6032" s="14"/>
      <c r="Q6032" s="85"/>
      <c r="R6032" s="89"/>
      <c r="U6032" s="11" t="str">
        <f t="shared" si="423"/>
        <v/>
      </c>
      <c r="V6032" s="37"/>
      <c r="Z6032" s="15"/>
    </row>
    <row r="6033" spans="1:26" x14ac:dyDescent="0.25">
      <c r="A6033" s="15" t="str">
        <f>IF(C6033="","",COUNTA($C$3:C6033))</f>
        <v/>
      </c>
      <c r="B6033" s="15" t="str">
        <f t="shared" si="424"/>
        <v/>
      </c>
      <c r="M6033" s="9"/>
      <c r="N6033" s="9"/>
      <c r="P6033" s="14"/>
      <c r="Q6033" s="85"/>
      <c r="R6033" s="89"/>
      <c r="U6033" s="11" t="str">
        <f t="shared" si="423"/>
        <v/>
      </c>
      <c r="V6033" s="37"/>
      <c r="Z6033" s="15"/>
    </row>
    <row r="6034" spans="1:26" x14ac:dyDescent="0.25">
      <c r="A6034" s="15" t="str">
        <f>IF(C6034="","",COUNTA($C$3:C6034))</f>
        <v/>
      </c>
      <c r="B6034" s="15" t="str">
        <f t="shared" si="424"/>
        <v/>
      </c>
      <c r="M6034" s="9"/>
      <c r="N6034" s="9"/>
      <c r="P6034" s="14"/>
      <c r="Q6034" s="85"/>
      <c r="R6034" s="89"/>
      <c r="U6034" s="11" t="str">
        <f t="shared" si="423"/>
        <v/>
      </c>
      <c r="V6034" s="37"/>
      <c r="Z6034" s="15"/>
    </row>
    <row r="6035" spans="1:26" x14ac:dyDescent="0.25">
      <c r="A6035" s="15" t="str">
        <f>IF(C6035="","",COUNTA($C$3:C6035))</f>
        <v/>
      </c>
      <c r="B6035" s="15" t="str">
        <f t="shared" si="424"/>
        <v/>
      </c>
      <c r="M6035" s="9"/>
      <c r="N6035" s="9"/>
      <c r="P6035" s="14"/>
      <c r="Q6035" s="85"/>
      <c r="R6035" s="89"/>
      <c r="U6035" s="11" t="str">
        <f t="shared" si="423"/>
        <v/>
      </c>
      <c r="V6035" s="37"/>
      <c r="Z6035" s="15"/>
    </row>
    <row r="6036" spans="1:26" x14ac:dyDescent="0.25">
      <c r="A6036" s="15" t="str">
        <f>IF(C6036="","",COUNTA($C$3:C6036))</f>
        <v/>
      </c>
      <c r="B6036" s="15" t="str">
        <f t="shared" si="424"/>
        <v/>
      </c>
      <c r="M6036" s="9"/>
      <c r="N6036" s="9"/>
      <c r="P6036" s="14"/>
      <c r="Q6036" s="85"/>
      <c r="R6036" s="89"/>
      <c r="U6036" s="11" t="str">
        <f t="shared" si="423"/>
        <v/>
      </c>
      <c r="V6036" s="37"/>
      <c r="Z6036" s="15"/>
    </row>
    <row r="6037" spans="1:26" x14ac:dyDescent="0.25">
      <c r="A6037" s="15" t="str">
        <f>IF(C6037="","",COUNTA($C$3:C6037))</f>
        <v/>
      </c>
      <c r="B6037" s="15" t="str">
        <f t="shared" si="424"/>
        <v/>
      </c>
      <c r="M6037" s="9"/>
      <c r="N6037" s="9"/>
      <c r="P6037" s="14"/>
      <c r="Q6037" s="85"/>
      <c r="R6037" s="89"/>
      <c r="U6037" s="11" t="str">
        <f t="shared" si="423"/>
        <v/>
      </c>
      <c r="V6037" s="37"/>
      <c r="Z6037" s="15"/>
    </row>
    <row r="6038" spans="1:26" x14ac:dyDescent="0.25">
      <c r="A6038" s="15" t="str">
        <f>IF(C6038="","",COUNTA($C$3:C6038))</f>
        <v/>
      </c>
      <c r="B6038" s="15" t="str">
        <f t="shared" si="424"/>
        <v/>
      </c>
      <c r="M6038" s="9"/>
      <c r="N6038" s="9"/>
      <c r="P6038" s="14"/>
      <c r="Q6038" s="85"/>
      <c r="R6038" s="89"/>
      <c r="U6038" s="11" t="str">
        <f t="shared" si="423"/>
        <v/>
      </c>
      <c r="V6038" s="37"/>
      <c r="Z6038" s="15"/>
    </row>
    <row r="6039" spans="1:26" x14ac:dyDescent="0.25">
      <c r="A6039" s="15" t="str">
        <f>IF(C6039="","",COUNTA($C$3:C6039))</f>
        <v/>
      </c>
      <c r="B6039" s="15" t="str">
        <f t="shared" si="424"/>
        <v/>
      </c>
      <c r="M6039" s="9"/>
      <c r="N6039" s="9"/>
      <c r="P6039" s="14"/>
      <c r="Q6039" s="85"/>
      <c r="R6039" s="89"/>
      <c r="U6039" s="11" t="str">
        <f t="shared" si="423"/>
        <v/>
      </c>
      <c r="V6039" s="37"/>
      <c r="Z6039" s="15"/>
    </row>
    <row r="6040" spans="1:26" x14ac:dyDescent="0.25">
      <c r="A6040" s="15" t="str">
        <f>IF(C6040="","",COUNTA($C$3:C6040))</f>
        <v/>
      </c>
      <c r="B6040" s="15" t="str">
        <f t="shared" si="424"/>
        <v/>
      </c>
      <c r="M6040" s="9"/>
      <c r="N6040" s="9"/>
      <c r="P6040" s="14"/>
      <c r="Q6040" s="85"/>
      <c r="R6040" s="89"/>
      <c r="U6040" s="11" t="str">
        <f t="shared" si="423"/>
        <v/>
      </c>
      <c r="V6040" s="37"/>
      <c r="Z6040" s="15"/>
    </row>
    <row r="6041" spans="1:26" x14ac:dyDescent="0.25">
      <c r="A6041" s="15" t="str">
        <f>IF(C6041="","",COUNTA($C$3:C6041))</f>
        <v/>
      </c>
      <c r="B6041" s="15" t="str">
        <f t="shared" si="424"/>
        <v/>
      </c>
      <c r="M6041" s="9"/>
      <c r="N6041" s="9"/>
      <c r="P6041" s="14"/>
      <c r="Q6041" s="85"/>
      <c r="R6041" s="89"/>
      <c r="U6041" s="11" t="str">
        <f t="shared" si="423"/>
        <v/>
      </c>
      <c r="V6041" s="37"/>
      <c r="Z6041" s="15"/>
    </row>
    <row r="6042" spans="1:26" x14ac:dyDescent="0.25">
      <c r="A6042" s="15" t="str">
        <f>IF(C6042="","",COUNTA($C$3:C6042))</f>
        <v/>
      </c>
      <c r="B6042" s="15" t="str">
        <f t="shared" si="424"/>
        <v/>
      </c>
      <c r="M6042" s="9"/>
      <c r="N6042" s="9"/>
      <c r="P6042" s="14"/>
      <c r="Q6042" s="85"/>
      <c r="R6042" s="89"/>
      <c r="U6042" s="11" t="str">
        <f t="shared" si="423"/>
        <v/>
      </c>
      <c r="V6042" s="37"/>
      <c r="Z6042" s="15"/>
    </row>
    <row r="6043" spans="1:26" x14ac:dyDescent="0.25">
      <c r="A6043" s="15" t="str">
        <f>IF(C6043="","",COUNTA($C$3:C6043))</f>
        <v/>
      </c>
      <c r="B6043" s="15" t="str">
        <f t="shared" si="424"/>
        <v/>
      </c>
      <c r="M6043" s="9"/>
      <c r="N6043" s="9"/>
      <c r="P6043" s="14"/>
      <c r="Q6043" s="85"/>
      <c r="R6043" s="89"/>
      <c r="U6043" s="11" t="str">
        <f t="shared" si="423"/>
        <v/>
      </c>
      <c r="V6043" s="37"/>
      <c r="Z6043" s="15"/>
    </row>
    <row r="6044" spans="1:26" x14ac:dyDescent="0.25">
      <c r="A6044" s="15" t="str">
        <f>IF(C6044="","",COUNTA($C$3:C6044))</f>
        <v/>
      </c>
      <c r="B6044" s="15" t="str">
        <f t="shared" si="424"/>
        <v/>
      </c>
      <c r="M6044" s="9"/>
      <c r="N6044" s="9"/>
      <c r="P6044" s="14"/>
      <c r="Q6044" s="85"/>
      <c r="R6044" s="89"/>
      <c r="U6044" s="11" t="str">
        <f t="shared" si="423"/>
        <v/>
      </c>
      <c r="V6044" s="37"/>
      <c r="Z6044" s="15"/>
    </row>
    <row r="6045" spans="1:26" x14ac:dyDescent="0.25">
      <c r="A6045" s="15" t="str">
        <f>IF(C6045="","",COUNTA($C$3:C6045))</f>
        <v/>
      </c>
      <c r="B6045" s="15" t="str">
        <f t="shared" si="424"/>
        <v/>
      </c>
      <c r="M6045" s="9"/>
      <c r="N6045" s="9"/>
      <c r="P6045" s="14"/>
      <c r="Q6045" s="85"/>
      <c r="R6045" s="89"/>
      <c r="U6045" s="11" t="str">
        <f t="shared" si="423"/>
        <v/>
      </c>
      <c r="V6045" s="37"/>
      <c r="Z6045" s="15"/>
    </row>
    <row r="6046" spans="1:26" x14ac:dyDescent="0.25">
      <c r="A6046" s="15" t="str">
        <f>IF(C6046="","",COUNTA($C$3:C6046))</f>
        <v/>
      </c>
      <c r="B6046" s="15" t="str">
        <f t="shared" si="424"/>
        <v/>
      </c>
      <c r="M6046" s="9"/>
      <c r="N6046" s="9"/>
      <c r="P6046" s="14"/>
      <c r="Q6046" s="85"/>
      <c r="R6046" s="89"/>
      <c r="U6046" s="11" t="str">
        <f t="shared" si="423"/>
        <v/>
      </c>
      <c r="V6046" s="37"/>
      <c r="Z6046" s="15"/>
    </row>
    <row r="6047" spans="1:26" x14ac:dyDescent="0.25">
      <c r="A6047" s="15" t="str">
        <f>IF(C6047="","",COUNTA($C$3:C6047))</f>
        <v/>
      </c>
      <c r="B6047" s="15" t="str">
        <f t="shared" si="424"/>
        <v/>
      </c>
      <c r="M6047" s="9"/>
      <c r="N6047" s="9"/>
      <c r="P6047" s="14"/>
      <c r="Q6047" s="85"/>
      <c r="R6047" s="89"/>
      <c r="U6047" s="11" t="str">
        <f t="shared" si="423"/>
        <v/>
      </c>
      <c r="V6047" s="37"/>
      <c r="Z6047" s="15"/>
    </row>
    <row r="6048" spans="1:26" x14ac:dyDescent="0.25">
      <c r="A6048" s="15" t="str">
        <f>IF(C6048="","",COUNTA($C$3:C6048))</f>
        <v/>
      </c>
      <c r="B6048" s="15" t="str">
        <f t="shared" si="424"/>
        <v/>
      </c>
      <c r="M6048" s="9"/>
      <c r="N6048" s="9"/>
      <c r="P6048" s="14"/>
      <c r="Q6048" s="85"/>
      <c r="R6048" s="89"/>
      <c r="U6048" s="11" t="str">
        <f t="shared" si="423"/>
        <v/>
      </c>
      <c r="V6048" s="37"/>
      <c r="Z6048" s="15"/>
    </row>
    <row r="6049" spans="1:26" x14ac:dyDescent="0.25">
      <c r="A6049" s="15" t="str">
        <f>IF(C6049="","",COUNTA($C$3:C6049))</f>
        <v/>
      </c>
      <c r="B6049" s="15" t="str">
        <f t="shared" si="424"/>
        <v/>
      </c>
      <c r="M6049" s="9"/>
      <c r="N6049" s="9"/>
      <c r="P6049" s="14"/>
      <c r="Q6049" s="85"/>
      <c r="R6049" s="89"/>
      <c r="U6049" s="11" t="str">
        <f t="shared" si="423"/>
        <v/>
      </c>
      <c r="V6049" s="37"/>
      <c r="Z6049" s="15"/>
    </row>
    <row r="6050" spans="1:26" x14ac:dyDescent="0.25">
      <c r="A6050" s="15" t="str">
        <f>IF(C6050="","",COUNTA($C$3:C6050))</f>
        <v/>
      </c>
      <c r="B6050" s="15" t="str">
        <f t="shared" si="424"/>
        <v/>
      </c>
      <c r="M6050" s="9"/>
      <c r="N6050" s="9"/>
      <c r="P6050" s="14"/>
      <c r="Q6050" s="85"/>
      <c r="R6050" s="89"/>
      <c r="U6050" s="11" t="str">
        <f t="shared" si="423"/>
        <v/>
      </c>
      <c r="V6050" s="37"/>
      <c r="Z6050" s="15"/>
    </row>
    <row r="6051" spans="1:26" x14ac:dyDescent="0.25">
      <c r="A6051" s="15" t="str">
        <f>IF(C6051="","",COUNTA($C$3:C6051))</f>
        <v/>
      </c>
      <c r="B6051" s="15" t="str">
        <f t="shared" si="424"/>
        <v/>
      </c>
      <c r="M6051" s="9"/>
      <c r="N6051" s="9"/>
      <c r="P6051" s="14"/>
      <c r="Q6051" s="85"/>
      <c r="R6051" s="89"/>
      <c r="U6051" s="11" t="str">
        <f t="shared" si="423"/>
        <v/>
      </c>
      <c r="V6051" s="37"/>
      <c r="Z6051" s="15"/>
    </row>
    <row r="6052" spans="1:26" x14ac:dyDescent="0.25">
      <c r="A6052" s="15" t="str">
        <f>IF(C6052="","",COUNTA($C$3:C6052))</f>
        <v/>
      </c>
      <c r="B6052" s="15" t="str">
        <f t="shared" si="424"/>
        <v/>
      </c>
      <c r="M6052" s="9"/>
      <c r="N6052" s="9"/>
      <c r="P6052" s="14"/>
      <c r="Q6052" s="85"/>
      <c r="R6052" s="89"/>
      <c r="U6052" s="11" t="str">
        <f t="shared" si="423"/>
        <v/>
      </c>
      <c r="V6052" s="37"/>
      <c r="Z6052" s="15"/>
    </row>
    <row r="6053" spans="1:26" x14ac:dyDescent="0.25">
      <c r="A6053" s="15" t="str">
        <f>IF(C6053="","",COUNTA($C$3:C6053))</f>
        <v/>
      </c>
      <c r="B6053" s="15" t="str">
        <f t="shared" si="424"/>
        <v/>
      </c>
      <c r="M6053" s="9"/>
      <c r="N6053" s="9"/>
      <c r="P6053" s="14"/>
      <c r="Q6053" s="85"/>
      <c r="R6053" s="89"/>
      <c r="U6053" s="11" t="str">
        <f t="shared" si="423"/>
        <v/>
      </c>
      <c r="V6053" s="37"/>
      <c r="Z6053" s="15"/>
    </row>
    <row r="6054" spans="1:26" x14ac:dyDescent="0.25">
      <c r="A6054" s="15" t="str">
        <f>IF(C6054="","",COUNTA($C$3:C6054))</f>
        <v/>
      </c>
      <c r="B6054" s="15" t="str">
        <f t="shared" si="424"/>
        <v/>
      </c>
      <c r="M6054" s="9"/>
      <c r="N6054" s="9"/>
      <c r="P6054" s="14"/>
      <c r="Q6054" s="85"/>
      <c r="R6054" s="89"/>
      <c r="U6054" s="11" t="str">
        <f t="shared" si="423"/>
        <v/>
      </c>
      <c r="V6054" s="37"/>
      <c r="Z6054" s="15"/>
    </row>
    <row r="6055" spans="1:26" x14ac:dyDescent="0.25">
      <c r="A6055" s="15" t="str">
        <f>IF(C6055="","",COUNTA($C$3:C6055))</f>
        <v/>
      </c>
      <c r="B6055" s="15" t="str">
        <f t="shared" si="424"/>
        <v/>
      </c>
      <c r="M6055" s="9"/>
      <c r="N6055" s="9"/>
      <c r="P6055" s="14"/>
      <c r="Q6055" s="85"/>
      <c r="R6055" s="89"/>
      <c r="U6055" s="11" t="str">
        <f t="shared" si="423"/>
        <v/>
      </c>
      <c r="V6055" s="37"/>
      <c r="Z6055" s="15"/>
    </row>
    <row r="6056" spans="1:26" x14ac:dyDescent="0.25">
      <c r="A6056" s="15" t="str">
        <f>IF(C6056="","",COUNTA($C$3:C6056))</f>
        <v/>
      </c>
      <c r="B6056" s="15" t="str">
        <f t="shared" si="424"/>
        <v/>
      </c>
      <c r="M6056" s="9"/>
      <c r="N6056" s="9"/>
      <c r="P6056" s="14"/>
      <c r="Q6056" s="85"/>
      <c r="R6056" s="89"/>
      <c r="U6056" s="11" t="str">
        <f t="shared" si="423"/>
        <v/>
      </c>
      <c r="V6056" s="37"/>
      <c r="Z6056" s="15"/>
    </row>
    <row r="6057" spans="1:26" x14ac:dyDescent="0.25">
      <c r="A6057" s="15" t="str">
        <f>IF(C6057="","",COUNTA($C$3:C6057))</f>
        <v/>
      </c>
      <c r="B6057" s="15" t="str">
        <f t="shared" si="424"/>
        <v/>
      </c>
      <c r="M6057" s="9"/>
      <c r="N6057" s="9"/>
      <c r="P6057" s="14"/>
      <c r="Q6057" s="85"/>
      <c r="R6057" s="89"/>
      <c r="U6057" s="11" t="str">
        <f t="shared" si="423"/>
        <v/>
      </c>
      <c r="V6057" s="37"/>
      <c r="Z6057" s="15"/>
    </row>
    <row r="6058" spans="1:26" x14ac:dyDescent="0.25">
      <c r="A6058" s="15" t="str">
        <f>IF(C6058="","",COUNTA($C$3:C6058))</f>
        <v/>
      </c>
      <c r="B6058" s="15" t="str">
        <f t="shared" si="424"/>
        <v/>
      </c>
      <c r="M6058" s="9"/>
      <c r="N6058" s="9"/>
      <c r="P6058" s="14"/>
      <c r="Q6058" s="85"/>
      <c r="R6058" s="89"/>
      <c r="U6058" s="11" t="str">
        <f t="shared" si="423"/>
        <v/>
      </c>
      <c r="V6058" s="37"/>
      <c r="Z6058" s="15"/>
    </row>
    <row r="6059" spans="1:26" x14ac:dyDescent="0.25">
      <c r="A6059" s="15" t="str">
        <f>IF(C6059="","",COUNTA($C$3:C6059))</f>
        <v/>
      </c>
      <c r="B6059" s="15" t="str">
        <f t="shared" si="424"/>
        <v/>
      </c>
      <c r="M6059" s="9"/>
      <c r="N6059" s="9"/>
      <c r="P6059" s="14"/>
      <c r="Q6059" s="85"/>
      <c r="R6059" s="89"/>
      <c r="U6059" s="11" t="str">
        <f t="shared" si="423"/>
        <v/>
      </c>
      <c r="V6059" s="37"/>
      <c r="Z6059" s="15"/>
    </row>
    <row r="6060" spans="1:26" x14ac:dyDescent="0.25">
      <c r="A6060" s="15" t="str">
        <f>IF(C6060="","",COUNTA($C$3:C6060))</f>
        <v/>
      </c>
      <c r="B6060" s="15" t="str">
        <f t="shared" si="424"/>
        <v/>
      </c>
      <c r="M6060" s="9"/>
      <c r="N6060" s="9"/>
      <c r="P6060" s="14"/>
      <c r="Q6060" s="85"/>
      <c r="R6060" s="89"/>
      <c r="U6060" s="11" t="str">
        <f t="shared" si="423"/>
        <v/>
      </c>
      <c r="V6060" s="37"/>
      <c r="Z6060" s="15"/>
    </row>
    <row r="6061" spans="1:26" x14ac:dyDescent="0.25">
      <c r="A6061" s="15" t="str">
        <f>IF(C6061="","",COUNTA($C$3:C6061))</f>
        <v/>
      </c>
      <c r="B6061" s="15" t="str">
        <f t="shared" si="424"/>
        <v/>
      </c>
      <c r="M6061" s="9"/>
      <c r="N6061" s="9"/>
      <c r="P6061" s="14"/>
      <c r="Q6061" s="85"/>
      <c r="R6061" s="89"/>
      <c r="U6061" s="11" t="str">
        <f t="shared" si="423"/>
        <v/>
      </c>
      <c r="V6061" s="37"/>
      <c r="Z6061" s="15"/>
    </row>
    <row r="6062" spans="1:26" x14ac:dyDescent="0.25">
      <c r="A6062" s="15" t="str">
        <f>IF(C6062="","",COUNTA($C$3:C6062))</f>
        <v/>
      </c>
      <c r="B6062" s="15" t="str">
        <f t="shared" si="424"/>
        <v/>
      </c>
      <c r="M6062" s="9"/>
      <c r="N6062" s="9"/>
      <c r="P6062" s="14"/>
      <c r="Q6062" s="85"/>
      <c r="R6062" s="89"/>
      <c r="U6062" s="11" t="str">
        <f t="shared" si="423"/>
        <v/>
      </c>
      <c r="V6062" s="37"/>
      <c r="Z6062" s="15"/>
    </row>
    <row r="6063" spans="1:26" x14ac:dyDescent="0.25">
      <c r="A6063" s="15" t="str">
        <f>IF(C6063="","",COUNTA($C$3:C6063))</f>
        <v/>
      </c>
      <c r="B6063" s="15" t="str">
        <f t="shared" si="424"/>
        <v/>
      </c>
      <c r="M6063" s="9"/>
      <c r="N6063" s="9"/>
      <c r="P6063" s="14"/>
      <c r="Q6063" s="85"/>
      <c r="R6063" s="89"/>
      <c r="U6063" s="11" t="str">
        <f t="shared" si="423"/>
        <v/>
      </c>
      <c r="V6063" s="37"/>
      <c r="Z6063" s="15"/>
    </row>
    <row r="6064" spans="1:26" x14ac:dyDescent="0.25">
      <c r="A6064" s="15" t="str">
        <f>IF(C6064="","",COUNTA($C$3:C6064))</f>
        <v/>
      </c>
      <c r="B6064" s="15" t="str">
        <f t="shared" si="424"/>
        <v/>
      </c>
      <c r="M6064" s="9"/>
      <c r="N6064" s="9"/>
      <c r="P6064" s="14"/>
      <c r="Q6064" s="85"/>
      <c r="R6064" s="89"/>
      <c r="U6064" s="11" t="str">
        <f t="shared" si="423"/>
        <v/>
      </c>
      <c r="V6064" s="37"/>
      <c r="Z6064" s="15"/>
    </row>
    <row r="6065" spans="1:26" x14ac:dyDescent="0.25">
      <c r="A6065" s="15" t="str">
        <f>IF(C6065="","",COUNTA($C$3:C6065))</f>
        <v/>
      </c>
      <c r="B6065" s="15" t="str">
        <f t="shared" si="424"/>
        <v/>
      </c>
      <c r="M6065" s="9"/>
      <c r="N6065" s="9"/>
      <c r="P6065" s="14"/>
      <c r="Q6065" s="85"/>
      <c r="R6065" s="89"/>
      <c r="U6065" s="11" t="str">
        <f t="shared" si="423"/>
        <v/>
      </c>
      <c r="V6065" s="37"/>
      <c r="Z6065" s="15"/>
    </row>
    <row r="6066" spans="1:26" x14ac:dyDescent="0.25">
      <c r="A6066" s="15" t="str">
        <f>IF(C6066="","",COUNTA($C$3:C6066))</f>
        <v/>
      </c>
      <c r="B6066" s="15" t="str">
        <f t="shared" si="424"/>
        <v/>
      </c>
      <c r="M6066" s="9"/>
      <c r="N6066" s="9"/>
      <c r="P6066" s="14"/>
      <c r="Q6066" s="85"/>
      <c r="R6066" s="89"/>
      <c r="U6066" s="11" t="str">
        <f t="shared" si="423"/>
        <v/>
      </c>
      <c r="V6066" s="37"/>
      <c r="Z6066" s="15"/>
    </row>
    <row r="6067" spans="1:26" x14ac:dyDescent="0.25">
      <c r="A6067" s="15" t="str">
        <f>IF(C6067="","",COUNTA($C$3:C6067))</f>
        <v/>
      </c>
      <c r="B6067" s="15" t="str">
        <f t="shared" si="424"/>
        <v/>
      </c>
      <c r="M6067" s="9"/>
      <c r="N6067" s="9"/>
      <c r="P6067" s="14"/>
      <c r="Q6067" s="85"/>
      <c r="R6067" s="89"/>
      <c r="U6067" s="11" t="str">
        <f t="shared" si="423"/>
        <v/>
      </c>
      <c r="V6067" s="37"/>
      <c r="Z6067" s="15"/>
    </row>
    <row r="6068" spans="1:26" x14ac:dyDescent="0.25">
      <c r="A6068" s="15" t="str">
        <f>IF(C6068="","",COUNTA($C$3:C6068))</f>
        <v/>
      </c>
      <c r="B6068" s="15" t="str">
        <f t="shared" si="424"/>
        <v/>
      </c>
      <c r="M6068" s="9"/>
      <c r="N6068" s="9"/>
      <c r="P6068" s="14"/>
      <c r="Q6068" s="85"/>
      <c r="R6068" s="89"/>
      <c r="U6068" s="11" t="str">
        <f t="shared" si="423"/>
        <v/>
      </c>
      <c r="V6068" s="37"/>
      <c r="Z6068" s="15"/>
    </row>
    <row r="6069" spans="1:26" x14ac:dyDescent="0.25">
      <c r="A6069" s="15" t="str">
        <f>IF(C6069="","",COUNTA($C$3:C6069))</f>
        <v/>
      </c>
      <c r="B6069" s="15" t="str">
        <f t="shared" si="424"/>
        <v/>
      </c>
      <c r="M6069" s="9"/>
      <c r="N6069" s="9"/>
      <c r="P6069" s="14"/>
      <c r="Q6069" s="85"/>
      <c r="R6069" s="89"/>
      <c r="U6069" s="11" t="str">
        <f t="shared" si="423"/>
        <v/>
      </c>
      <c r="V6069" s="37"/>
      <c r="Z6069" s="15"/>
    </row>
    <row r="6070" spans="1:26" x14ac:dyDescent="0.25">
      <c r="A6070" s="15" t="str">
        <f>IF(C6070="","",COUNTA($C$3:C6070))</f>
        <v/>
      </c>
      <c r="B6070" s="15" t="str">
        <f t="shared" si="424"/>
        <v/>
      </c>
      <c r="M6070" s="9"/>
      <c r="N6070" s="9"/>
      <c r="P6070" s="14"/>
      <c r="Q6070" s="85"/>
      <c r="R6070" s="89"/>
      <c r="U6070" s="11" t="str">
        <f t="shared" si="423"/>
        <v/>
      </c>
      <c r="V6070" s="37"/>
      <c r="Z6070" s="15"/>
    </row>
    <row r="6071" spans="1:26" x14ac:dyDescent="0.25">
      <c r="A6071" s="15" t="str">
        <f>IF(C6071="","",COUNTA($C$3:C6071))</f>
        <v/>
      </c>
      <c r="B6071" s="15" t="str">
        <f t="shared" si="424"/>
        <v/>
      </c>
      <c r="M6071" s="9"/>
      <c r="N6071" s="9"/>
      <c r="P6071" s="14"/>
      <c r="Q6071" s="85"/>
      <c r="R6071" s="89"/>
      <c r="U6071" s="11" t="str">
        <f t="shared" si="423"/>
        <v/>
      </c>
      <c r="V6071" s="37"/>
      <c r="Z6071" s="15"/>
    </row>
    <row r="6072" spans="1:26" x14ac:dyDescent="0.25">
      <c r="A6072" s="15" t="str">
        <f>IF(C6072="","",COUNTA($C$3:C6072))</f>
        <v/>
      </c>
      <c r="B6072" s="15" t="str">
        <f t="shared" si="424"/>
        <v/>
      </c>
      <c r="M6072" s="9"/>
      <c r="N6072" s="9"/>
      <c r="P6072" s="14"/>
      <c r="Q6072" s="85"/>
      <c r="R6072" s="89"/>
      <c r="U6072" s="11" t="str">
        <f t="shared" si="423"/>
        <v/>
      </c>
      <c r="V6072" s="37"/>
      <c r="Z6072" s="15"/>
    </row>
    <row r="6073" spans="1:26" x14ac:dyDescent="0.25">
      <c r="A6073" s="15" t="str">
        <f>IF(C6073="","",COUNTA($C$3:C6073))</f>
        <v/>
      </c>
      <c r="B6073" s="15" t="str">
        <f t="shared" si="424"/>
        <v/>
      </c>
      <c r="M6073" s="9"/>
      <c r="N6073" s="9"/>
      <c r="P6073" s="14"/>
      <c r="Q6073" s="85"/>
      <c r="R6073" s="89"/>
      <c r="U6073" s="11" t="str">
        <f t="shared" si="423"/>
        <v/>
      </c>
      <c r="V6073" s="37"/>
      <c r="Z6073" s="15"/>
    </row>
    <row r="6074" spans="1:26" x14ac:dyDescent="0.25">
      <c r="A6074" s="15" t="str">
        <f>IF(C6074="","",COUNTA($C$3:C6074))</f>
        <v/>
      </c>
      <c r="B6074" s="15" t="str">
        <f t="shared" si="424"/>
        <v/>
      </c>
      <c r="M6074" s="9"/>
      <c r="N6074" s="9"/>
      <c r="P6074" s="14"/>
      <c r="Q6074" s="85"/>
      <c r="R6074" s="89"/>
      <c r="U6074" s="11" t="str">
        <f t="shared" si="423"/>
        <v/>
      </c>
      <c r="V6074" s="37"/>
      <c r="Z6074" s="15"/>
    </row>
    <row r="6075" spans="1:26" x14ac:dyDescent="0.25">
      <c r="A6075" s="15" t="str">
        <f>IF(C6075="","",COUNTA($C$3:C6075))</f>
        <v/>
      </c>
      <c r="B6075" s="15" t="str">
        <f t="shared" si="424"/>
        <v/>
      </c>
      <c r="M6075" s="9"/>
      <c r="N6075" s="9"/>
      <c r="P6075" s="14"/>
      <c r="Q6075" s="85"/>
      <c r="R6075" s="89"/>
      <c r="U6075" s="11" t="str">
        <f t="shared" si="423"/>
        <v/>
      </c>
      <c r="V6075" s="37"/>
      <c r="Z6075" s="15"/>
    </row>
    <row r="6076" spans="1:26" x14ac:dyDescent="0.25">
      <c r="A6076" s="15" t="str">
        <f>IF(C6076="","",COUNTA($C$3:C6076))</f>
        <v/>
      </c>
      <c r="B6076" s="15" t="str">
        <f t="shared" si="424"/>
        <v/>
      </c>
      <c r="M6076" s="9"/>
      <c r="N6076" s="9"/>
      <c r="P6076" s="14"/>
      <c r="Q6076" s="85"/>
      <c r="R6076" s="89"/>
      <c r="U6076" s="11" t="str">
        <f t="shared" si="423"/>
        <v/>
      </c>
      <c r="V6076" s="37"/>
      <c r="Z6076" s="15"/>
    </row>
    <row r="6077" spans="1:26" x14ac:dyDescent="0.25">
      <c r="A6077" s="15" t="str">
        <f>IF(C6077="","",COUNTA($C$3:C6077))</f>
        <v/>
      </c>
      <c r="B6077" s="15" t="str">
        <f t="shared" si="424"/>
        <v/>
      </c>
      <c r="M6077" s="9"/>
      <c r="N6077" s="9"/>
      <c r="P6077" s="14"/>
      <c r="Q6077" s="85"/>
      <c r="R6077" s="89"/>
      <c r="U6077" s="11" t="str">
        <f t="shared" si="423"/>
        <v/>
      </c>
      <c r="V6077" s="37"/>
      <c r="Z6077" s="15"/>
    </row>
    <row r="6078" spans="1:26" x14ac:dyDescent="0.25">
      <c r="A6078" s="15" t="str">
        <f>IF(C6078="","",COUNTA($C$3:C6078))</f>
        <v/>
      </c>
      <c r="B6078" s="15" t="str">
        <f t="shared" si="424"/>
        <v/>
      </c>
      <c r="M6078" s="9"/>
      <c r="N6078" s="9"/>
      <c r="P6078" s="14"/>
      <c r="Q6078" s="85"/>
      <c r="R6078" s="89"/>
      <c r="U6078" s="11" t="str">
        <f t="shared" si="423"/>
        <v/>
      </c>
      <c r="V6078" s="37"/>
      <c r="Z6078" s="15"/>
    </row>
    <row r="6079" spans="1:26" x14ac:dyDescent="0.25">
      <c r="A6079" s="15" t="str">
        <f>IF(C6079="","",COUNTA($C$3:C6079))</f>
        <v/>
      </c>
      <c r="B6079" s="15" t="str">
        <f t="shared" si="424"/>
        <v/>
      </c>
      <c r="M6079" s="9"/>
      <c r="N6079" s="9"/>
      <c r="P6079" s="14"/>
      <c r="Q6079" s="85"/>
      <c r="R6079" s="89"/>
      <c r="U6079" s="11" t="str">
        <f t="shared" si="423"/>
        <v/>
      </c>
      <c r="V6079" s="37"/>
      <c r="Z6079" s="15"/>
    </row>
    <row r="6080" spans="1:26" x14ac:dyDescent="0.25">
      <c r="A6080" s="15" t="str">
        <f>IF(C6080="","",COUNTA($C$3:C6080))</f>
        <v/>
      </c>
      <c r="B6080" s="15" t="str">
        <f t="shared" si="424"/>
        <v/>
      </c>
      <c r="M6080" s="9"/>
      <c r="N6080" s="9"/>
      <c r="P6080" s="14"/>
      <c r="Q6080" s="85"/>
      <c r="R6080" s="89"/>
      <c r="U6080" s="11" t="str">
        <f t="shared" si="423"/>
        <v/>
      </c>
      <c r="V6080" s="37"/>
      <c r="Z6080" s="15"/>
    </row>
    <row r="6081" spans="1:26" x14ac:dyDescent="0.25">
      <c r="A6081" s="15" t="str">
        <f>IF(C6081="","",COUNTA($C$3:C6081))</f>
        <v/>
      </c>
      <c r="B6081" s="15" t="str">
        <f t="shared" si="424"/>
        <v/>
      </c>
      <c r="M6081" s="9"/>
      <c r="N6081" s="9"/>
      <c r="P6081" s="14"/>
      <c r="Q6081" s="85"/>
      <c r="R6081" s="89"/>
      <c r="U6081" s="11" t="str">
        <f t="shared" si="423"/>
        <v/>
      </c>
      <c r="V6081" s="37"/>
      <c r="Z6081" s="15"/>
    </row>
    <row r="6082" spans="1:26" x14ac:dyDescent="0.25">
      <c r="A6082" s="15" t="str">
        <f>IF(C6082="","",COUNTA($C$3:C6082))</f>
        <v/>
      </c>
      <c r="B6082" s="15" t="str">
        <f t="shared" si="424"/>
        <v/>
      </c>
      <c r="M6082" s="9"/>
      <c r="N6082" s="9"/>
      <c r="P6082" s="14"/>
      <c r="Q6082" s="85"/>
      <c r="R6082" s="89"/>
      <c r="U6082" s="11" t="str">
        <f t="shared" ref="U6082:U6145" si="425">IF(S6082="","",(S6082-T6082))</f>
        <v/>
      </c>
      <c r="V6082" s="37"/>
      <c r="Z6082" s="15"/>
    </row>
    <row r="6083" spans="1:26" x14ac:dyDescent="0.25">
      <c r="A6083" s="15" t="str">
        <f>IF(C6083="","",COUNTA($C$3:C6083))</f>
        <v/>
      </c>
      <c r="B6083" s="15" t="str">
        <f t="shared" ref="B6083:B6146" si="426">IF(C6083="","",TEXT(C6083,"mmmm"))</f>
        <v/>
      </c>
      <c r="M6083" s="9"/>
      <c r="N6083" s="9"/>
      <c r="P6083" s="14"/>
      <c r="Q6083" s="85"/>
      <c r="R6083" s="89"/>
      <c r="U6083" s="11" t="str">
        <f t="shared" si="425"/>
        <v/>
      </c>
      <c r="V6083" s="37"/>
      <c r="Z6083" s="15"/>
    </row>
    <row r="6084" spans="1:26" x14ac:dyDescent="0.25">
      <c r="A6084" s="15" t="str">
        <f>IF(C6084="","",COUNTA($C$3:C6084))</f>
        <v/>
      </c>
      <c r="B6084" s="15" t="str">
        <f t="shared" si="426"/>
        <v/>
      </c>
      <c r="M6084" s="9"/>
      <c r="N6084" s="9"/>
      <c r="P6084" s="14"/>
      <c r="Q6084" s="85"/>
      <c r="R6084" s="89"/>
      <c r="U6084" s="11" t="str">
        <f t="shared" si="425"/>
        <v/>
      </c>
      <c r="V6084" s="37"/>
      <c r="Z6084" s="15"/>
    </row>
    <row r="6085" spans="1:26" x14ac:dyDescent="0.25">
      <c r="A6085" s="15" t="str">
        <f>IF(C6085="","",COUNTA($C$3:C6085))</f>
        <v/>
      </c>
      <c r="B6085" s="15" t="str">
        <f t="shared" si="426"/>
        <v/>
      </c>
      <c r="M6085" s="9"/>
      <c r="N6085" s="9"/>
      <c r="P6085" s="14"/>
      <c r="Q6085" s="85"/>
      <c r="R6085" s="89"/>
      <c r="U6085" s="11" t="str">
        <f t="shared" si="425"/>
        <v/>
      </c>
      <c r="V6085" s="37"/>
      <c r="Z6085" s="15"/>
    </row>
    <row r="6086" spans="1:26" x14ac:dyDescent="0.25">
      <c r="A6086" s="15" t="str">
        <f>IF(C6086="","",COUNTA($C$3:C6086))</f>
        <v/>
      </c>
      <c r="B6086" s="15" t="str">
        <f t="shared" si="426"/>
        <v/>
      </c>
      <c r="M6086" s="9"/>
      <c r="N6086" s="9"/>
      <c r="P6086" s="14"/>
      <c r="Q6086" s="85"/>
      <c r="R6086" s="89"/>
      <c r="U6086" s="11" t="str">
        <f t="shared" si="425"/>
        <v/>
      </c>
      <c r="V6086" s="37"/>
      <c r="Z6086" s="15"/>
    </row>
    <row r="6087" spans="1:26" x14ac:dyDescent="0.25">
      <c r="A6087" s="15" t="str">
        <f>IF(C6087="","",COUNTA($C$3:C6087))</f>
        <v/>
      </c>
      <c r="B6087" s="15" t="str">
        <f t="shared" si="426"/>
        <v/>
      </c>
      <c r="M6087" s="9"/>
      <c r="N6087" s="9"/>
      <c r="P6087" s="14"/>
      <c r="Q6087" s="85"/>
      <c r="R6087" s="89"/>
      <c r="U6087" s="11" t="str">
        <f t="shared" si="425"/>
        <v/>
      </c>
      <c r="V6087" s="37"/>
      <c r="Z6087" s="15"/>
    </row>
    <row r="6088" spans="1:26" x14ac:dyDescent="0.25">
      <c r="A6088" s="15" t="str">
        <f>IF(C6088="","",COUNTA($C$3:C6088))</f>
        <v/>
      </c>
      <c r="B6088" s="15" t="str">
        <f t="shared" si="426"/>
        <v/>
      </c>
      <c r="M6088" s="9"/>
      <c r="N6088" s="9"/>
      <c r="P6088" s="14"/>
      <c r="Q6088" s="85"/>
      <c r="R6088" s="89"/>
      <c r="U6088" s="11" t="str">
        <f t="shared" si="425"/>
        <v/>
      </c>
      <c r="V6088" s="37"/>
      <c r="Z6088" s="15"/>
    </row>
    <row r="6089" spans="1:26" x14ac:dyDescent="0.25">
      <c r="A6089" s="15" t="str">
        <f>IF(C6089="","",COUNTA($C$3:C6089))</f>
        <v/>
      </c>
      <c r="B6089" s="15" t="str">
        <f t="shared" si="426"/>
        <v/>
      </c>
      <c r="M6089" s="9"/>
      <c r="N6089" s="9"/>
      <c r="P6089" s="14"/>
      <c r="Q6089" s="85"/>
      <c r="R6089" s="89"/>
      <c r="U6089" s="11" t="str">
        <f t="shared" si="425"/>
        <v/>
      </c>
      <c r="V6089" s="37"/>
      <c r="Z6089" s="15"/>
    </row>
    <row r="6090" spans="1:26" x14ac:dyDescent="0.25">
      <c r="A6090" s="15" t="str">
        <f>IF(C6090="","",COUNTA($C$3:C6090))</f>
        <v/>
      </c>
      <c r="B6090" s="15" t="str">
        <f t="shared" si="426"/>
        <v/>
      </c>
      <c r="M6090" s="9"/>
      <c r="N6090" s="9"/>
      <c r="P6090" s="14"/>
      <c r="Q6090" s="85"/>
      <c r="R6090" s="89"/>
      <c r="U6090" s="11" t="str">
        <f t="shared" si="425"/>
        <v/>
      </c>
      <c r="V6090" s="37"/>
      <c r="Z6090" s="15"/>
    </row>
    <row r="6091" spans="1:26" x14ac:dyDescent="0.25">
      <c r="A6091" s="15" t="str">
        <f>IF(C6091="","",COUNTA($C$3:C6091))</f>
        <v/>
      </c>
      <c r="B6091" s="15" t="str">
        <f t="shared" si="426"/>
        <v/>
      </c>
      <c r="M6091" s="9"/>
      <c r="N6091" s="9"/>
      <c r="P6091" s="14"/>
      <c r="Q6091" s="85"/>
      <c r="R6091" s="89"/>
      <c r="U6091" s="11" t="str">
        <f t="shared" si="425"/>
        <v/>
      </c>
      <c r="V6091" s="37"/>
      <c r="Z6091" s="15"/>
    </row>
    <row r="6092" spans="1:26" x14ac:dyDescent="0.25">
      <c r="A6092" s="15" t="str">
        <f>IF(C6092="","",COUNTA($C$3:C6092))</f>
        <v/>
      </c>
      <c r="B6092" s="15" t="str">
        <f t="shared" si="426"/>
        <v/>
      </c>
      <c r="M6092" s="9"/>
      <c r="N6092" s="9"/>
      <c r="P6092" s="14"/>
      <c r="Q6092" s="85"/>
      <c r="R6092" s="89"/>
      <c r="U6092" s="11" t="str">
        <f t="shared" si="425"/>
        <v/>
      </c>
      <c r="V6092" s="37"/>
      <c r="Z6092" s="15"/>
    </row>
    <row r="6093" spans="1:26" x14ac:dyDescent="0.25">
      <c r="A6093" s="15" t="str">
        <f>IF(C6093="","",COUNTA($C$3:C6093))</f>
        <v/>
      </c>
      <c r="B6093" s="15" t="str">
        <f t="shared" si="426"/>
        <v/>
      </c>
      <c r="M6093" s="9"/>
      <c r="N6093" s="9"/>
      <c r="P6093" s="14"/>
      <c r="Q6093" s="85"/>
      <c r="R6093" s="89"/>
      <c r="U6093" s="11" t="str">
        <f t="shared" si="425"/>
        <v/>
      </c>
      <c r="V6093" s="37"/>
      <c r="Z6093" s="15"/>
    </row>
    <row r="6094" spans="1:26" x14ac:dyDescent="0.25">
      <c r="A6094" s="15" t="str">
        <f>IF(C6094="","",COUNTA($C$3:C6094))</f>
        <v/>
      </c>
      <c r="B6094" s="15" t="str">
        <f t="shared" si="426"/>
        <v/>
      </c>
      <c r="M6094" s="9"/>
      <c r="N6094" s="9"/>
      <c r="P6094" s="14"/>
      <c r="Q6094" s="85"/>
      <c r="R6094" s="89"/>
      <c r="U6094" s="11" t="str">
        <f t="shared" si="425"/>
        <v/>
      </c>
      <c r="V6094" s="37"/>
      <c r="Z6094" s="15"/>
    </row>
    <row r="6095" spans="1:26" x14ac:dyDescent="0.25">
      <c r="A6095" s="15" t="str">
        <f>IF(C6095="","",COUNTA($C$3:C6095))</f>
        <v/>
      </c>
      <c r="B6095" s="15" t="str">
        <f t="shared" si="426"/>
        <v/>
      </c>
      <c r="M6095" s="9"/>
      <c r="N6095" s="9"/>
      <c r="P6095" s="14"/>
      <c r="Q6095" s="85"/>
      <c r="R6095" s="89"/>
      <c r="U6095" s="11" t="str">
        <f t="shared" si="425"/>
        <v/>
      </c>
      <c r="V6095" s="37"/>
      <c r="Z6095" s="15"/>
    </row>
    <row r="6096" spans="1:26" x14ac:dyDescent="0.25">
      <c r="A6096" s="15" t="str">
        <f>IF(C6096="","",COUNTA($C$3:C6096))</f>
        <v/>
      </c>
      <c r="B6096" s="15" t="str">
        <f t="shared" si="426"/>
        <v/>
      </c>
      <c r="M6096" s="9"/>
      <c r="N6096" s="9"/>
      <c r="P6096" s="14"/>
      <c r="Q6096" s="85"/>
      <c r="R6096" s="89"/>
      <c r="U6096" s="11" t="str">
        <f t="shared" si="425"/>
        <v/>
      </c>
      <c r="V6096" s="37"/>
      <c r="Z6096" s="15"/>
    </row>
    <row r="6097" spans="1:26" x14ac:dyDescent="0.25">
      <c r="A6097" s="15" t="str">
        <f>IF(C6097="","",COUNTA($C$3:C6097))</f>
        <v/>
      </c>
      <c r="B6097" s="15" t="str">
        <f t="shared" si="426"/>
        <v/>
      </c>
      <c r="M6097" s="9"/>
      <c r="N6097" s="9"/>
      <c r="P6097" s="14"/>
      <c r="Q6097" s="85"/>
      <c r="R6097" s="89"/>
      <c r="U6097" s="11" t="str">
        <f t="shared" si="425"/>
        <v/>
      </c>
      <c r="V6097" s="37"/>
      <c r="Z6097" s="15"/>
    </row>
    <row r="6098" spans="1:26" x14ac:dyDescent="0.25">
      <c r="A6098" s="15" t="str">
        <f>IF(C6098="","",COUNTA($C$3:C6098))</f>
        <v/>
      </c>
      <c r="B6098" s="15" t="str">
        <f t="shared" si="426"/>
        <v/>
      </c>
      <c r="M6098" s="9"/>
      <c r="N6098" s="9"/>
      <c r="P6098" s="14"/>
      <c r="Q6098" s="85"/>
      <c r="R6098" s="89"/>
      <c r="U6098" s="11" t="str">
        <f t="shared" si="425"/>
        <v/>
      </c>
      <c r="V6098" s="37"/>
      <c r="Z6098" s="15"/>
    </row>
    <row r="6099" spans="1:26" x14ac:dyDescent="0.25">
      <c r="A6099" s="15" t="str">
        <f>IF(C6099="","",COUNTA($C$3:C6099))</f>
        <v/>
      </c>
      <c r="B6099" s="15" t="str">
        <f t="shared" si="426"/>
        <v/>
      </c>
      <c r="M6099" s="9"/>
      <c r="N6099" s="9"/>
      <c r="P6099" s="14"/>
      <c r="Q6099" s="85"/>
      <c r="R6099" s="89"/>
      <c r="U6099" s="11" t="str">
        <f t="shared" si="425"/>
        <v/>
      </c>
      <c r="V6099" s="37"/>
      <c r="Z6099" s="15"/>
    </row>
    <row r="6100" spans="1:26" x14ac:dyDescent="0.25">
      <c r="A6100" s="15" t="str">
        <f>IF(C6100="","",COUNTA($C$3:C6100))</f>
        <v/>
      </c>
      <c r="B6100" s="15" t="str">
        <f t="shared" si="426"/>
        <v/>
      </c>
      <c r="M6100" s="9"/>
      <c r="N6100" s="9"/>
      <c r="P6100" s="14"/>
      <c r="Q6100" s="85"/>
      <c r="R6100" s="89"/>
      <c r="U6100" s="11" t="str">
        <f t="shared" si="425"/>
        <v/>
      </c>
      <c r="V6100" s="37"/>
      <c r="Z6100" s="15"/>
    </row>
    <row r="6101" spans="1:26" x14ac:dyDescent="0.25">
      <c r="A6101" s="15" t="str">
        <f>IF(C6101="","",COUNTA($C$3:C6101))</f>
        <v/>
      </c>
      <c r="B6101" s="15" t="str">
        <f t="shared" si="426"/>
        <v/>
      </c>
      <c r="M6101" s="9"/>
      <c r="N6101" s="9"/>
      <c r="P6101" s="14"/>
      <c r="Q6101" s="85"/>
      <c r="R6101" s="89"/>
      <c r="U6101" s="11" t="str">
        <f t="shared" si="425"/>
        <v/>
      </c>
      <c r="V6101" s="37"/>
      <c r="Z6101" s="15"/>
    </row>
    <row r="6102" spans="1:26" x14ac:dyDescent="0.25">
      <c r="A6102" s="15" t="str">
        <f>IF(C6102="","",COUNTA($C$3:C6102))</f>
        <v/>
      </c>
      <c r="B6102" s="15" t="str">
        <f t="shared" si="426"/>
        <v/>
      </c>
      <c r="M6102" s="9"/>
      <c r="N6102" s="9"/>
      <c r="P6102" s="14"/>
      <c r="Q6102" s="85"/>
      <c r="R6102" s="89"/>
      <c r="U6102" s="11" t="str">
        <f t="shared" si="425"/>
        <v/>
      </c>
      <c r="V6102" s="37"/>
      <c r="Z6102" s="15"/>
    </row>
    <row r="6103" spans="1:26" x14ac:dyDescent="0.25">
      <c r="A6103" s="15" t="str">
        <f>IF(C6103="","",COUNTA($C$3:C6103))</f>
        <v/>
      </c>
      <c r="B6103" s="15" t="str">
        <f t="shared" si="426"/>
        <v/>
      </c>
      <c r="M6103" s="9"/>
      <c r="N6103" s="9"/>
      <c r="P6103" s="14"/>
      <c r="Q6103" s="85"/>
      <c r="R6103" s="89"/>
      <c r="U6103" s="11" t="str">
        <f t="shared" si="425"/>
        <v/>
      </c>
      <c r="V6103" s="37"/>
      <c r="Z6103" s="15"/>
    </row>
    <row r="6104" spans="1:26" x14ac:dyDescent="0.25">
      <c r="A6104" s="15" t="str">
        <f>IF(C6104="","",COUNTA($C$3:C6104))</f>
        <v/>
      </c>
      <c r="B6104" s="15" t="str">
        <f t="shared" si="426"/>
        <v/>
      </c>
      <c r="M6104" s="9"/>
      <c r="N6104" s="9"/>
      <c r="P6104" s="14"/>
      <c r="Q6104" s="85"/>
      <c r="R6104" s="89"/>
      <c r="U6104" s="11" t="str">
        <f t="shared" si="425"/>
        <v/>
      </c>
      <c r="V6104" s="37"/>
      <c r="Z6104" s="15"/>
    </row>
    <row r="6105" spans="1:26" x14ac:dyDescent="0.25">
      <c r="A6105" s="15" t="str">
        <f>IF(C6105="","",COUNTA($C$3:C6105))</f>
        <v/>
      </c>
      <c r="B6105" s="15" t="str">
        <f t="shared" si="426"/>
        <v/>
      </c>
      <c r="M6105" s="9"/>
      <c r="N6105" s="9"/>
      <c r="P6105" s="14"/>
      <c r="Q6105" s="85"/>
      <c r="R6105" s="89"/>
      <c r="U6105" s="11" t="str">
        <f t="shared" si="425"/>
        <v/>
      </c>
      <c r="V6105" s="37"/>
      <c r="Z6105" s="15"/>
    </row>
    <row r="6106" spans="1:26" x14ac:dyDescent="0.25">
      <c r="A6106" s="15" t="str">
        <f>IF(C6106="","",COUNTA($C$3:C6106))</f>
        <v/>
      </c>
      <c r="B6106" s="15" t="str">
        <f t="shared" si="426"/>
        <v/>
      </c>
      <c r="M6106" s="9"/>
      <c r="N6106" s="9"/>
      <c r="P6106" s="14"/>
      <c r="Q6106" s="85"/>
      <c r="R6106" s="89"/>
      <c r="U6106" s="11" t="str">
        <f t="shared" si="425"/>
        <v/>
      </c>
      <c r="V6106" s="37"/>
      <c r="Z6106" s="15"/>
    </row>
    <row r="6107" spans="1:26" x14ac:dyDescent="0.25">
      <c r="A6107" s="15" t="str">
        <f>IF(C6107="","",COUNTA($C$3:C6107))</f>
        <v/>
      </c>
      <c r="B6107" s="15" t="str">
        <f t="shared" si="426"/>
        <v/>
      </c>
      <c r="M6107" s="9"/>
      <c r="N6107" s="9"/>
      <c r="P6107" s="14"/>
      <c r="Q6107" s="85"/>
      <c r="R6107" s="89"/>
      <c r="U6107" s="11" t="str">
        <f t="shared" si="425"/>
        <v/>
      </c>
      <c r="V6107" s="37"/>
      <c r="Z6107" s="15"/>
    </row>
    <row r="6108" spans="1:26" x14ac:dyDescent="0.25">
      <c r="A6108" s="15" t="str">
        <f>IF(C6108="","",COUNTA($C$3:C6108))</f>
        <v/>
      </c>
      <c r="B6108" s="15" t="str">
        <f t="shared" si="426"/>
        <v/>
      </c>
      <c r="M6108" s="9"/>
      <c r="N6108" s="9"/>
      <c r="P6108" s="14"/>
      <c r="Q6108" s="85"/>
      <c r="R6108" s="89"/>
      <c r="U6108" s="11" t="str">
        <f t="shared" si="425"/>
        <v/>
      </c>
      <c r="V6108" s="37"/>
      <c r="Z6108" s="15"/>
    </row>
    <row r="6109" spans="1:26" x14ac:dyDescent="0.25">
      <c r="A6109" s="15" t="str">
        <f>IF(C6109="","",COUNTA($C$3:C6109))</f>
        <v/>
      </c>
      <c r="B6109" s="15" t="str">
        <f t="shared" si="426"/>
        <v/>
      </c>
      <c r="M6109" s="9"/>
      <c r="N6109" s="9"/>
      <c r="P6109" s="14"/>
      <c r="Q6109" s="85"/>
      <c r="R6109" s="89"/>
      <c r="U6109" s="11" t="str">
        <f t="shared" si="425"/>
        <v/>
      </c>
      <c r="V6109" s="37"/>
      <c r="Z6109" s="15"/>
    </row>
    <row r="6110" spans="1:26" x14ac:dyDescent="0.25">
      <c r="A6110" s="15" t="str">
        <f>IF(C6110="","",COUNTA($C$3:C6110))</f>
        <v/>
      </c>
      <c r="B6110" s="15" t="str">
        <f t="shared" si="426"/>
        <v/>
      </c>
      <c r="M6110" s="9"/>
      <c r="N6110" s="9"/>
      <c r="P6110" s="14"/>
      <c r="Q6110" s="85"/>
      <c r="R6110" s="89"/>
      <c r="U6110" s="11" t="str">
        <f t="shared" si="425"/>
        <v/>
      </c>
      <c r="V6110" s="37"/>
      <c r="Z6110" s="15"/>
    </row>
    <row r="6111" spans="1:26" x14ac:dyDescent="0.25">
      <c r="A6111" s="15" t="str">
        <f>IF(C6111="","",COUNTA($C$3:C6111))</f>
        <v/>
      </c>
      <c r="B6111" s="15" t="str">
        <f t="shared" si="426"/>
        <v/>
      </c>
      <c r="M6111" s="9"/>
      <c r="N6111" s="9"/>
      <c r="P6111" s="14"/>
      <c r="Q6111" s="85"/>
      <c r="R6111" s="89"/>
      <c r="U6111" s="11" t="str">
        <f t="shared" si="425"/>
        <v/>
      </c>
      <c r="V6111" s="37"/>
      <c r="Z6111" s="15"/>
    </row>
    <row r="6112" spans="1:26" x14ac:dyDescent="0.25">
      <c r="A6112" s="15" t="str">
        <f>IF(C6112="","",COUNTA($C$3:C6112))</f>
        <v/>
      </c>
      <c r="B6112" s="15" t="str">
        <f t="shared" si="426"/>
        <v/>
      </c>
      <c r="M6112" s="9"/>
      <c r="N6112" s="9"/>
      <c r="P6112" s="14"/>
      <c r="Q6112" s="85"/>
      <c r="R6112" s="89"/>
      <c r="U6112" s="11" t="str">
        <f t="shared" si="425"/>
        <v/>
      </c>
      <c r="V6112" s="37"/>
      <c r="Z6112" s="15"/>
    </row>
    <row r="6113" spans="1:26" x14ac:dyDescent="0.25">
      <c r="A6113" s="15" t="str">
        <f>IF(C6113="","",COUNTA($C$3:C6113))</f>
        <v/>
      </c>
      <c r="B6113" s="15" t="str">
        <f t="shared" si="426"/>
        <v/>
      </c>
      <c r="M6113" s="9"/>
      <c r="N6113" s="9"/>
      <c r="P6113" s="14"/>
      <c r="Q6113" s="85"/>
      <c r="R6113" s="89"/>
      <c r="U6113" s="11" t="str">
        <f t="shared" si="425"/>
        <v/>
      </c>
      <c r="V6113" s="37"/>
      <c r="Z6113" s="15"/>
    </row>
    <row r="6114" spans="1:26" x14ac:dyDescent="0.25">
      <c r="A6114" s="15" t="str">
        <f>IF(C6114="","",COUNTA($C$3:C6114))</f>
        <v/>
      </c>
      <c r="B6114" s="15" t="str">
        <f t="shared" si="426"/>
        <v/>
      </c>
      <c r="M6114" s="9"/>
      <c r="N6114" s="9"/>
      <c r="P6114" s="14"/>
      <c r="Q6114" s="85"/>
      <c r="R6114" s="89"/>
      <c r="U6114" s="11" t="str">
        <f t="shared" si="425"/>
        <v/>
      </c>
      <c r="V6114" s="37"/>
      <c r="Z6114" s="15"/>
    </row>
    <row r="6115" spans="1:26" x14ac:dyDescent="0.25">
      <c r="A6115" s="15" t="str">
        <f>IF(C6115="","",COUNTA($C$3:C6115))</f>
        <v/>
      </c>
      <c r="B6115" s="15" t="str">
        <f t="shared" si="426"/>
        <v/>
      </c>
      <c r="M6115" s="9"/>
      <c r="N6115" s="9"/>
      <c r="P6115" s="14"/>
      <c r="Q6115" s="85"/>
      <c r="R6115" s="89"/>
      <c r="U6115" s="11" t="str">
        <f t="shared" si="425"/>
        <v/>
      </c>
      <c r="V6115" s="37"/>
      <c r="Z6115" s="15"/>
    </row>
    <row r="6116" spans="1:26" x14ac:dyDescent="0.25">
      <c r="A6116" s="15" t="str">
        <f>IF(C6116="","",COUNTA($C$3:C6116))</f>
        <v/>
      </c>
      <c r="B6116" s="15" t="str">
        <f t="shared" si="426"/>
        <v/>
      </c>
      <c r="M6116" s="9"/>
      <c r="N6116" s="9"/>
      <c r="P6116" s="14"/>
      <c r="Q6116" s="85"/>
      <c r="R6116" s="89"/>
      <c r="U6116" s="11" t="str">
        <f t="shared" si="425"/>
        <v/>
      </c>
      <c r="V6116" s="37"/>
      <c r="Z6116" s="15"/>
    </row>
    <row r="6117" spans="1:26" x14ac:dyDescent="0.25">
      <c r="A6117" s="15" t="str">
        <f>IF(C6117="","",COUNTA($C$3:C6117))</f>
        <v/>
      </c>
      <c r="B6117" s="15" t="str">
        <f t="shared" si="426"/>
        <v/>
      </c>
      <c r="M6117" s="9"/>
      <c r="N6117" s="9"/>
      <c r="P6117" s="14"/>
      <c r="Q6117" s="85"/>
      <c r="R6117" s="89"/>
      <c r="U6117" s="11" t="str">
        <f t="shared" si="425"/>
        <v/>
      </c>
      <c r="V6117" s="37"/>
      <c r="Z6117" s="15"/>
    </row>
    <row r="6118" spans="1:26" x14ac:dyDescent="0.25">
      <c r="A6118" s="15" t="str">
        <f>IF(C6118="","",COUNTA($C$3:C6118))</f>
        <v/>
      </c>
      <c r="B6118" s="15" t="str">
        <f t="shared" si="426"/>
        <v/>
      </c>
      <c r="M6118" s="9"/>
      <c r="N6118" s="9"/>
      <c r="P6118" s="14"/>
      <c r="Q6118" s="85"/>
      <c r="R6118" s="89"/>
      <c r="U6118" s="11" t="str">
        <f t="shared" si="425"/>
        <v/>
      </c>
      <c r="V6118" s="37"/>
      <c r="Z6118" s="15"/>
    </row>
    <row r="6119" spans="1:26" x14ac:dyDescent="0.25">
      <c r="A6119" s="15" t="str">
        <f>IF(C6119="","",COUNTA($C$3:C6119))</f>
        <v/>
      </c>
      <c r="B6119" s="15" t="str">
        <f t="shared" si="426"/>
        <v/>
      </c>
      <c r="M6119" s="9"/>
      <c r="N6119" s="9"/>
      <c r="P6119" s="14"/>
      <c r="Q6119" s="85"/>
      <c r="R6119" s="89"/>
      <c r="U6119" s="11" t="str">
        <f t="shared" si="425"/>
        <v/>
      </c>
      <c r="V6119" s="37"/>
      <c r="Z6119" s="15"/>
    </row>
    <row r="6120" spans="1:26" x14ac:dyDescent="0.25">
      <c r="A6120" s="15" t="str">
        <f>IF(C6120="","",COUNTA($C$3:C6120))</f>
        <v/>
      </c>
      <c r="B6120" s="15" t="str">
        <f t="shared" si="426"/>
        <v/>
      </c>
      <c r="M6120" s="9"/>
      <c r="N6120" s="9"/>
      <c r="P6120" s="14"/>
      <c r="Q6120" s="85"/>
      <c r="R6120" s="89"/>
      <c r="U6120" s="11" t="str">
        <f t="shared" si="425"/>
        <v/>
      </c>
      <c r="V6120" s="37"/>
      <c r="Z6120" s="15"/>
    </row>
    <row r="6121" spans="1:26" x14ac:dyDescent="0.25">
      <c r="A6121" s="15" t="str">
        <f>IF(C6121="","",COUNTA($C$3:C6121))</f>
        <v/>
      </c>
      <c r="B6121" s="15" t="str">
        <f t="shared" si="426"/>
        <v/>
      </c>
      <c r="M6121" s="9"/>
      <c r="N6121" s="9"/>
      <c r="P6121" s="14"/>
      <c r="Q6121" s="85"/>
      <c r="R6121" s="89"/>
      <c r="U6121" s="11" t="str">
        <f t="shared" si="425"/>
        <v/>
      </c>
      <c r="V6121" s="37"/>
      <c r="Z6121" s="15"/>
    </row>
    <row r="6122" spans="1:26" x14ac:dyDescent="0.25">
      <c r="A6122" s="15" t="str">
        <f>IF(C6122="","",COUNTA($C$3:C6122))</f>
        <v/>
      </c>
      <c r="B6122" s="15" t="str">
        <f t="shared" si="426"/>
        <v/>
      </c>
      <c r="M6122" s="9"/>
      <c r="N6122" s="9"/>
      <c r="P6122" s="14"/>
      <c r="Q6122" s="85"/>
      <c r="R6122" s="89"/>
      <c r="U6122" s="11" t="str">
        <f t="shared" si="425"/>
        <v/>
      </c>
      <c r="V6122" s="37"/>
      <c r="Z6122" s="15"/>
    </row>
    <row r="6123" spans="1:26" x14ac:dyDescent="0.25">
      <c r="A6123" s="15" t="str">
        <f>IF(C6123="","",COUNTA($C$3:C6123))</f>
        <v/>
      </c>
      <c r="B6123" s="15" t="str">
        <f t="shared" si="426"/>
        <v/>
      </c>
      <c r="M6123" s="9"/>
      <c r="N6123" s="9"/>
      <c r="P6123" s="14"/>
      <c r="Q6123" s="85"/>
      <c r="R6123" s="89"/>
      <c r="U6123" s="11" t="str">
        <f t="shared" si="425"/>
        <v/>
      </c>
      <c r="V6123" s="37"/>
      <c r="Z6123" s="15"/>
    </row>
    <row r="6124" spans="1:26" x14ac:dyDescent="0.25">
      <c r="A6124" s="15" t="str">
        <f>IF(C6124="","",COUNTA($C$3:C6124))</f>
        <v/>
      </c>
      <c r="B6124" s="15" t="str">
        <f t="shared" si="426"/>
        <v/>
      </c>
      <c r="M6124" s="9"/>
      <c r="N6124" s="9"/>
      <c r="P6124" s="14"/>
      <c r="Q6124" s="85"/>
      <c r="R6124" s="89"/>
      <c r="U6124" s="11" t="str">
        <f t="shared" si="425"/>
        <v/>
      </c>
      <c r="V6124" s="37"/>
      <c r="Z6124" s="15"/>
    </row>
    <row r="6125" spans="1:26" x14ac:dyDescent="0.25">
      <c r="A6125" s="15" t="str">
        <f>IF(C6125="","",COUNTA($C$3:C6125))</f>
        <v/>
      </c>
      <c r="B6125" s="15" t="str">
        <f t="shared" si="426"/>
        <v/>
      </c>
      <c r="M6125" s="9"/>
      <c r="N6125" s="9"/>
      <c r="P6125" s="14"/>
      <c r="Q6125" s="85"/>
      <c r="R6125" s="89"/>
      <c r="U6125" s="11" t="str">
        <f t="shared" si="425"/>
        <v/>
      </c>
      <c r="V6125" s="37"/>
      <c r="Z6125" s="15"/>
    </row>
    <row r="6126" spans="1:26" x14ac:dyDescent="0.25">
      <c r="A6126" s="15" t="str">
        <f>IF(C6126="","",COUNTA($C$3:C6126))</f>
        <v/>
      </c>
      <c r="B6126" s="15" t="str">
        <f t="shared" si="426"/>
        <v/>
      </c>
      <c r="M6126" s="9"/>
      <c r="N6126" s="9"/>
      <c r="P6126" s="14"/>
      <c r="Q6126" s="85"/>
      <c r="R6126" s="89"/>
      <c r="U6126" s="11" t="str">
        <f t="shared" si="425"/>
        <v/>
      </c>
      <c r="V6126" s="37"/>
      <c r="Z6126" s="15"/>
    </row>
    <row r="6127" spans="1:26" x14ac:dyDescent="0.25">
      <c r="A6127" s="15" t="str">
        <f>IF(C6127="","",COUNTA($C$3:C6127))</f>
        <v/>
      </c>
      <c r="B6127" s="15" t="str">
        <f t="shared" si="426"/>
        <v/>
      </c>
      <c r="M6127" s="9"/>
      <c r="N6127" s="9"/>
      <c r="P6127" s="14"/>
      <c r="Q6127" s="85"/>
      <c r="R6127" s="89"/>
      <c r="U6127" s="11" t="str">
        <f t="shared" si="425"/>
        <v/>
      </c>
      <c r="V6127" s="37"/>
      <c r="Z6127" s="15"/>
    </row>
    <row r="6128" spans="1:26" x14ac:dyDescent="0.25">
      <c r="A6128" s="15" t="str">
        <f>IF(C6128="","",COUNTA($C$3:C6128))</f>
        <v/>
      </c>
      <c r="B6128" s="15" t="str">
        <f t="shared" si="426"/>
        <v/>
      </c>
      <c r="M6128" s="9"/>
      <c r="N6128" s="9"/>
      <c r="P6128" s="14"/>
      <c r="Q6128" s="85"/>
      <c r="R6128" s="89"/>
      <c r="U6128" s="11" t="str">
        <f t="shared" si="425"/>
        <v/>
      </c>
      <c r="V6128" s="37"/>
      <c r="Z6128" s="15"/>
    </row>
    <row r="6129" spans="1:26" x14ac:dyDescent="0.25">
      <c r="A6129" s="15" t="str">
        <f>IF(C6129="","",COUNTA($C$3:C6129))</f>
        <v/>
      </c>
      <c r="B6129" s="15" t="str">
        <f t="shared" si="426"/>
        <v/>
      </c>
      <c r="M6129" s="9"/>
      <c r="N6129" s="9"/>
      <c r="P6129" s="14"/>
      <c r="Q6129" s="85"/>
      <c r="R6129" s="89"/>
      <c r="U6129" s="11" t="str">
        <f t="shared" si="425"/>
        <v/>
      </c>
      <c r="V6129" s="37"/>
      <c r="Z6129" s="15"/>
    </row>
    <row r="6130" spans="1:26" x14ac:dyDescent="0.25">
      <c r="A6130" s="15" t="str">
        <f>IF(C6130="","",COUNTA($C$3:C6130))</f>
        <v/>
      </c>
      <c r="B6130" s="15" t="str">
        <f t="shared" si="426"/>
        <v/>
      </c>
      <c r="M6130" s="9"/>
      <c r="N6130" s="9"/>
      <c r="P6130" s="14"/>
      <c r="Q6130" s="85"/>
      <c r="R6130" s="89"/>
      <c r="U6130" s="11" t="str">
        <f t="shared" si="425"/>
        <v/>
      </c>
      <c r="V6130" s="37"/>
      <c r="Z6130" s="15"/>
    </row>
    <row r="6131" spans="1:26" x14ac:dyDescent="0.25">
      <c r="A6131" s="15" t="str">
        <f>IF(C6131="","",COUNTA($C$3:C6131))</f>
        <v/>
      </c>
      <c r="B6131" s="15" t="str">
        <f t="shared" si="426"/>
        <v/>
      </c>
      <c r="M6131" s="9"/>
      <c r="N6131" s="9"/>
      <c r="P6131" s="14"/>
      <c r="Q6131" s="85"/>
      <c r="R6131" s="89"/>
      <c r="U6131" s="11" t="str">
        <f t="shared" si="425"/>
        <v/>
      </c>
      <c r="V6131" s="37"/>
      <c r="Z6131" s="15"/>
    </row>
    <row r="6132" spans="1:26" x14ac:dyDescent="0.25">
      <c r="A6132" s="15" t="str">
        <f>IF(C6132="","",COUNTA($C$3:C6132))</f>
        <v/>
      </c>
      <c r="B6132" s="15" t="str">
        <f t="shared" si="426"/>
        <v/>
      </c>
      <c r="M6132" s="9"/>
      <c r="N6132" s="9"/>
      <c r="P6132" s="14"/>
      <c r="Q6132" s="85"/>
      <c r="R6132" s="89"/>
      <c r="U6132" s="11" t="str">
        <f t="shared" si="425"/>
        <v/>
      </c>
      <c r="V6132" s="37"/>
      <c r="Z6132" s="15"/>
    </row>
    <row r="6133" spans="1:26" x14ac:dyDescent="0.25">
      <c r="A6133" s="15" t="str">
        <f>IF(C6133="","",COUNTA($C$3:C6133))</f>
        <v/>
      </c>
      <c r="B6133" s="15" t="str">
        <f t="shared" si="426"/>
        <v/>
      </c>
      <c r="M6133" s="9"/>
      <c r="N6133" s="9"/>
      <c r="P6133" s="14"/>
      <c r="Q6133" s="85"/>
      <c r="R6133" s="89"/>
      <c r="U6133" s="11" t="str">
        <f t="shared" si="425"/>
        <v/>
      </c>
      <c r="V6133" s="37"/>
      <c r="Z6133" s="15"/>
    </row>
    <row r="6134" spans="1:26" x14ac:dyDescent="0.25">
      <c r="A6134" s="15" t="str">
        <f>IF(C6134="","",COUNTA($C$3:C6134))</f>
        <v/>
      </c>
      <c r="B6134" s="15" t="str">
        <f t="shared" si="426"/>
        <v/>
      </c>
      <c r="M6134" s="9"/>
      <c r="N6134" s="9"/>
      <c r="P6134" s="14"/>
      <c r="Q6134" s="85"/>
      <c r="R6134" s="89"/>
      <c r="U6134" s="11" t="str">
        <f t="shared" si="425"/>
        <v/>
      </c>
      <c r="V6134" s="37"/>
      <c r="Z6134" s="15"/>
    </row>
    <row r="6135" spans="1:26" x14ac:dyDescent="0.25">
      <c r="A6135" s="15" t="str">
        <f>IF(C6135="","",COUNTA($C$3:C6135))</f>
        <v/>
      </c>
      <c r="B6135" s="15" t="str">
        <f t="shared" si="426"/>
        <v/>
      </c>
      <c r="M6135" s="9"/>
      <c r="N6135" s="9"/>
      <c r="P6135" s="14"/>
      <c r="Q6135" s="85"/>
      <c r="R6135" s="89"/>
      <c r="U6135" s="11" t="str">
        <f t="shared" si="425"/>
        <v/>
      </c>
      <c r="V6135" s="37"/>
      <c r="Z6135" s="15"/>
    </row>
    <row r="6136" spans="1:26" x14ac:dyDescent="0.25">
      <c r="A6136" s="15" t="str">
        <f>IF(C6136="","",COUNTA($C$3:C6136))</f>
        <v/>
      </c>
      <c r="B6136" s="15" t="str">
        <f t="shared" si="426"/>
        <v/>
      </c>
      <c r="M6136" s="9"/>
      <c r="N6136" s="9"/>
      <c r="P6136" s="14"/>
      <c r="Q6136" s="85"/>
      <c r="R6136" s="89"/>
      <c r="U6136" s="11" t="str">
        <f t="shared" si="425"/>
        <v/>
      </c>
      <c r="V6136" s="37"/>
      <c r="Z6136" s="15"/>
    </row>
    <row r="6137" spans="1:26" x14ac:dyDescent="0.25">
      <c r="A6137" s="15" t="str">
        <f>IF(C6137="","",COUNTA($C$3:C6137))</f>
        <v/>
      </c>
      <c r="B6137" s="15" t="str">
        <f t="shared" si="426"/>
        <v/>
      </c>
      <c r="M6137" s="9"/>
      <c r="N6137" s="9"/>
      <c r="P6137" s="14"/>
      <c r="Q6137" s="85"/>
      <c r="R6137" s="89"/>
      <c r="U6137" s="11" t="str">
        <f t="shared" si="425"/>
        <v/>
      </c>
      <c r="V6137" s="37"/>
      <c r="Z6137" s="15"/>
    </row>
    <row r="6138" spans="1:26" x14ac:dyDescent="0.25">
      <c r="A6138" s="15" t="str">
        <f>IF(C6138="","",COUNTA($C$3:C6138))</f>
        <v/>
      </c>
      <c r="B6138" s="15" t="str">
        <f t="shared" si="426"/>
        <v/>
      </c>
      <c r="M6138" s="9"/>
      <c r="N6138" s="9"/>
      <c r="P6138" s="14"/>
      <c r="Q6138" s="85"/>
      <c r="R6138" s="89"/>
      <c r="U6138" s="11" t="str">
        <f t="shared" si="425"/>
        <v/>
      </c>
      <c r="V6138" s="37"/>
      <c r="Z6138" s="15"/>
    </row>
    <row r="6139" spans="1:26" x14ac:dyDescent="0.25">
      <c r="A6139" s="15" t="str">
        <f>IF(C6139="","",COUNTA($C$3:C6139))</f>
        <v/>
      </c>
      <c r="B6139" s="15" t="str">
        <f t="shared" si="426"/>
        <v/>
      </c>
      <c r="M6139" s="9"/>
      <c r="N6139" s="9"/>
      <c r="P6139" s="14"/>
      <c r="Q6139" s="85"/>
      <c r="R6139" s="89"/>
      <c r="U6139" s="11" t="str">
        <f t="shared" si="425"/>
        <v/>
      </c>
      <c r="V6139" s="37"/>
      <c r="Z6139" s="15"/>
    </row>
    <row r="6140" spans="1:26" x14ac:dyDescent="0.25">
      <c r="A6140" s="15" t="str">
        <f>IF(C6140="","",COUNTA($C$3:C6140))</f>
        <v/>
      </c>
      <c r="B6140" s="15" t="str">
        <f t="shared" si="426"/>
        <v/>
      </c>
      <c r="M6140" s="9"/>
      <c r="N6140" s="9"/>
      <c r="P6140" s="14"/>
      <c r="Q6140" s="85"/>
      <c r="R6140" s="89"/>
      <c r="U6140" s="11" t="str">
        <f t="shared" si="425"/>
        <v/>
      </c>
      <c r="V6140" s="37"/>
      <c r="Z6140" s="15"/>
    </row>
    <row r="6141" spans="1:26" x14ac:dyDescent="0.25">
      <c r="A6141" s="15" t="str">
        <f>IF(C6141="","",COUNTA($C$3:C6141))</f>
        <v/>
      </c>
      <c r="B6141" s="15" t="str">
        <f t="shared" si="426"/>
        <v/>
      </c>
      <c r="M6141" s="9"/>
      <c r="N6141" s="9"/>
      <c r="P6141" s="14"/>
      <c r="Q6141" s="85"/>
      <c r="R6141" s="89"/>
      <c r="U6141" s="11" t="str">
        <f t="shared" si="425"/>
        <v/>
      </c>
      <c r="V6141" s="37"/>
      <c r="Z6141" s="15"/>
    </row>
    <row r="6142" spans="1:26" x14ac:dyDescent="0.25">
      <c r="A6142" s="15" t="str">
        <f>IF(C6142="","",COUNTA($C$3:C6142))</f>
        <v/>
      </c>
      <c r="B6142" s="15" t="str">
        <f t="shared" si="426"/>
        <v/>
      </c>
      <c r="M6142" s="9"/>
      <c r="N6142" s="9"/>
      <c r="P6142" s="14"/>
      <c r="Q6142" s="85"/>
      <c r="R6142" s="89"/>
      <c r="U6142" s="11" t="str">
        <f t="shared" si="425"/>
        <v/>
      </c>
      <c r="V6142" s="37"/>
      <c r="Z6142" s="15"/>
    </row>
    <row r="6143" spans="1:26" x14ac:dyDescent="0.25">
      <c r="A6143" s="15" t="str">
        <f>IF(C6143="","",COUNTA($C$3:C6143))</f>
        <v/>
      </c>
      <c r="B6143" s="15" t="str">
        <f t="shared" si="426"/>
        <v/>
      </c>
      <c r="M6143" s="9"/>
      <c r="N6143" s="9"/>
      <c r="P6143" s="14"/>
      <c r="Q6143" s="85"/>
      <c r="R6143" s="89"/>
      <c r="U6143" s="11" t="str">
        <f t="shared" si="425"/>
        <v/>
      </c>
      <c r="V6143" s="37"/>
      <c r="Z6143" s="15"/>
    </row>
    <row r="6144" spans="1:26" x14ac:dyDescent="0.25">
      <c r="A6144" s="15" t="str">
        <f>IF(C6144="","",COUNTA($C$3:C6144))</f>
        <v/>
      </c>
      <c r="B6144" s="15" t="str">
        <f t="shared" si="426"/>
        <v/>
      </c>
      <c r="M6144" s="9"/>
      <c r="N6144" s="9"/>
      <c r="P6144" s="14"/>
      <c r="Q6144" s="85"/>
      <c r="R6144" s="89"/>
      <c r="U6144" s="11" t="str">
        <f t="shared" si="425"/>
        <v/>
      </c>
      <c r="V6144" s="37"/>
      <c r="Z6144" s="15"/>
    </row>
    <row r="6145" spans="1:26" x14ac:dyDescent="0.25">
      <c r="A6145" s="15" t="str">
        <f>IF(C6145="","",COUNTA($C$3:C6145))</f>
        <v/>
      </c>
      <c r="B6145" s="15" t="str">
        <f t="shared" si="426"/>
        <v/>
      </c>
      <c r="M6145" s="9"/>
      <c r="N6145" s="9"/>
      <c r="P6145" s="14"/>
      <c r="Q6145" s="85"/>
      <c r="R6145" s="89"/>
      <c r="U6145" s="11" t="str">
        <f t="shared" si="425"/>
        <v/>
      </c>
      <c r="V6145" s="37"/>
      <c r="Z6145" s="15"/>
    </row>
    <row r="6146" spans="1:26" x14ac:dyDescent="0.25">
      <c r="A6146" s="15" t="str">
        <f>IF(C6146="","",COUNTA($C$3:C6146))</f>
        <v/>
      </c>
      <c r="B6146" s="15" t="str">
        <f t="shared" si="426"/>
        <v/>
      </c>
      <c r="M6146" s="9"/>
      <c r="N6146" s="9"/>
      <c r="P6146" s="14"/>
      <c r="Q6146" s="85"/>
      <c r="R6146" s="89"/>
      <c r="U6146" s="11" t="str">
        <f t="shared" ref="U6146:U6209" si="427">IF(S6146="","",(S6146-T6146))</f>
        <v/>
      </c>
      <c r="V6146" s="37"/>
      <c r="Z6146" s="15"/>
    </row>
    <row r="6147" spans="1:26" x14ac:dyDescent="0.25">
      <c r="A6147" s="15" t="str">
        <f>IF(C6147="","",COUNTA($C$3:C6147))</f>
        <v/>
      </c>
      <c r="B6147" s="15" t="str">
        <f t="shared" ref="B6147:B6210" si="428">IF(C6147="","",TEXT(C6147,"mmmm"))</f>
        <v/>
      </c>
      <c r="M6147" s="9"/>
      <c r="N6147" s="9"/>
      <c r="P6147" s="14"/>
      <c r="Q6147" s="85"/>
      <c r="R6147" s="89"/>
      <c r="U6147" s="11" t="str">
        <f t="shared" si="427"/>
        <v/>
      </c>
      <c r="V6147" s="37"/>
      <c r="Z6147" s="15"/>
    </row>
    <row r="6148" spans="1:26" x14ac:dyDescent="0.25">
      <c r="A6148" s="15" t="str">
        <f>IF(C6148="","",COUNTA($C$3:C6148))</f>
        <v/>
      </c>
      <c r="B6148" s="15" t="str">
        <f t="shared" si="428"/>
        <v/>
      </c>
      <c r="M6148" s="9"/>
      <c r="N6148" s="9"/>
      <c r="P6148" s="14"/>
      <c r="Q6148" s="85"/>
      <c r="R6148" s="89"/>
      <c r="U6148" s="11" t="str">
        <f t="shared" si="427"/>
        <v/>
      </c>
      <c r="V6148" s="37"/>
      <c r="Z6148" s="15"/>
    </row>
    <row r="6149" spans="1:26" x14ac:dyDescent="0.25">
      <c r="A6149" s="15" t="str">
        <f>IF(C6149="","",COUNTA($C$3:C6149))</f>
        <v/>
      </c>
      <c r="B6149" s="15" t="str">
        <f t="shared" si="428"/>
        <v/>
      </c>
      <c r="M6149" s="9"/>
      <c r="N6149" s="9"/>
      <c r="P6149" s="14"/>
      <c r="Q6149" s="85"/>
      <c r="R6149" s="89"/>
      <c r="U6149" s="11" t="str">
        <f t="shared" si="427"/>
        <v/>
      </c>
      <c r="V6149" s="37"/>
      <c r="Z6149" s="15"/>
    </row>
    <row r="6150" spans="1:26" x14ac:dyDescent="0.25">
      <c r="A6150" s="15" t="str">
        <f>IF(C6150="","",COUNTA($C$3:C6150))</f>
        <v/>
      </c>
      <c r="B6150" s="15" t="str">
        <f t="shared" si="428"/>
        <v/>
      </c>
      <c r="M6150" s="9"/>
      <c r="N6150" s="9"/>
      <c r="P6150" s="14"/>
      <c r="Q6150" s="85"/>
      <c r="R6150" s="89"/>
      <c r="U6150" s="11" t="str">
        <f t="shared" si="427"/>
        <v/>
      </c>
      <c r="V6150" s="37"/>
      <c r="Z6150" s="15"/>
    </row>
    <row r="6151" spans="1:26" x14ac:dyDescent="0.25">
      <c r="A6151" s="15" t="str">
        <f>IF(C6151="","",COUNTA($C$3:C6151))</f>
        <v/>
      </c>
      <c r="B6151" s="15" t="str">
        <f t="shared" si="428"/>
        <v/>
      </c>
      <c r="M6151" s="9"/>
      <c r="N6151" s="9"/>
      <c r="P6151" s="14"/>
      <c r="Q6151" s="85"/>
      <c r="R6151" s="89"/>
      <c r="U6151" s="11" t="str">
        <f t="shared" si="427"/>
        <v/>
      </c>
      <c r="V6151" s="37"/>
      <c r="Z6151" s="15"/>
    </row>
    <row r="6152" spans="1:26" x14ac:dyDescent="0.25">
      <c r="A6152" s="15" t="str">
        <f>IF(C6152="","",COUNTA($C$3:C6152))</f>
        <v/>
      </c>
      <c r="B6152" s="15" t="str">
        <f t="shared" si="428"/>
        <v/>
      </c>
      <c r="M6152" s="9"/>
      <c r="N6152" s="9"/>
      <c r="P6152" s="14"/>
      <c r="Q6152" s="85"/>
      <c r="R6152" s="89"/>
      <c r="U6152" s="11" t="str">
        <f t="shared" si="427"/>
        <v/>
      </c>
      <c r="V6152" s="37"/>
      <c r="Z6152" s="15"/>
    </row>
    <row r="6153" spans="1:26" x14ac:dyDescent="0.25">
      <c r="A6153" s="15" t="str">
        <f>IF(C6153="","",COUNTA($C$3:C6153))</f>
        <v/>
      </c>
      <c r="B6153" s="15" t="str">
        <f t="shared" si="428"/>
        <v/>
      </c>
      <c r="M6153" s="9"/>
      <c r="N6153" s="9"/>
      <c r="P6153" s="14"/>
      <c r="Q6153" s="85"/>
      <c r="R6153" s="89"/>
      <c r="U6153" s="11" t="str">
        <f t="shared" si="427"/>
        <v/>
      </c>
      <c r="V6153" s="37"/>
      <c r="Z6153" s="15"/>
    </row>
    <row r="6154" spans="1:26" x14ac:dyDescent="0.25">
      <c r="A6154" s="15" t="str">
        <f>IF(C6154="","",COUNTA($C$3:C6154))</f>
        <v/>
      </c>
      <c r="B6154" s="15" t="str">
        <f t="shared" si="428"/>
        <v/>
      </c>
      <c r="M6154" s="9"/>
      <c r="N6154" s="9"/>
      <c r="P6154" s="14"/>
      <c r="Q6154" s="85"/>
      <c r="R6154" s="89"/>
      <c r="U6154" s="11" t="str">
        <f t="shared" si="427"/>
        <v/>
      </c>
      <c r="V6154" s="37"/>
      <c r="Z6154" s="15"/>
    </row>
    <row r="6155" spans="1:26" x14ac:dyDescent="0.25">
      <c r="A6155" s="15" t="str">
        <f>IF(C6155="","",COUNTA($C$3:C6155))</f>
        <v/>
      </c>
      <c r="B6155" s="15" t="str">
        <f t="shared" si="428"/>
        <v/>
      </c>
      <c r="M6155" s="9"/>
      <c r="N6155" s="9"/>
      <c r="P6155" s="14"/>
      <c r="Q6155" s="85"/>
      <c r="R6155" s="89"/>
      <c r="U6155" s="11" t="str">
        <f t="shared" si="427"/>
        <v/>
      </c>
      <c r="V6155" s="37"/>
      <c r="Z6155" s="15"/>
    </row>
    <row r="6156" spans="1:26" x14ac:dyDescent="0.25">
      <c r="A6156" s="15" t="str">
        <f>IF(C6156="","",COUNTA($C$3:C6156))</f>
        <v/>
      </c>
      <c r="B6156" s="15" t="str">
        <f t="shared" si="428"/>
        <v/>
      </c>
      <c r="M6156" s="9"/>
      <c r="N6156" s="9"/>
      <c r="P6156" s="14"/>
      <c r="Q6156" s="85"/>
      <c r="R6156" s="89"/>
      <c r="U6156" s="11" t="str">
        <f t="shared" si="427"/>
        <v/>
      </c>
      <c r="V6156" s="37"/>
      <c r="Z6156" s="15"/>
    </row>
    <row r="6157" spans="1:26" x14ac:dyDescent="0.25">
      <c r="A6157" s="15" t="str">
        <f>IF(C6157="","",COUNTA($C$3:C6157))</f>
        <v/>
      </c>
      <c r="B6157" s="15" t="str">
        <f t="shared" si="428"/>
        <v/>
      </c>
      <c r="M6157" s="9"/>
      <c r="N6157" s="9"/>
      <c r="P6157" s="14"/>
      <c r="Q6157" s="85"/>
      <c r="R6157" s="89"/>
      <c r="U6157" s="11" t="str">
        <f t="shared" si="427"/>
        <v/>
      </c>
      <c r="V6157" s="37"/>
      <c r="Z6157" s="15"/>
    </row>
    <row r="6158" spans="1:26" x14ac:dyDescent="0.25">
      <c r="A6158" s="15" t="str">
        <f>IF(C6158="","",COUNTA($C$3:C6158))</f>
        <v/>
      </c>
      <c r="B6158" s="15" t="str">
        <f t="shared" si="428"/>
        <v/>
      </c>
      <c r="M6158" s="9"/>
      <c r="N6158" s="9"/>
      <c r="P6158" s="14"/>
      <c r="Q6158" s="85"/>
      <c r="R6158" s="89"/>
      <c r="U6158" s="11" t="str">
        <f t="shared" si="427"/>
        <v/>
      </c>
      <c r="V6158" s="37"/>
      <c r="Z6158" s="15"/>
    </row>
    <row r="6159" spans="1:26" x14ac:dyDescent="0.25">
      <c r="A6159" s="15" t="str">
        <f>IF(C6159="","",COUNTA($C$3:C6159))</f>
        <v/>
      </c>
      <c r="B6159" s="15" t="str">
        <f t="shared" si="428"/>
        <v/>
      </c>
      <c r="M6159" s="9"/>
      <c r="N6159" s="9"/>
      <c r="P6159" s="14"/>
      <c r="Q6159" s="85"/>
      <c r="R6159" s="89"/>
      <c r="U6159" s="11" t="str">
        <f t="shared" si="427"/>
        <v/>
      </c>
      <c r="V6159" s="37"/>
      <c r="Z6159" s="15"/>
    </row>
    <row r="6160" spans="1:26" x14ac:dyDescent="0.25">
      <c r="A6160" s="15" t="str">
        <f>IF(C6160="","",COUNTA($C$3:C6160))</f>
        <v/>
      </c>
      <c r="B6160" s="15" t="str">
        <f t="shared" si="428"/>
        <v/>
      </c>
      <c r="M6160" s="9"/>
      <c r="N6160" s="9"/>
      <c r="P6160" s="14"/>
      <c r="Q6160" s="85"/>
      <c r="R6160" s="89"/>
      <c r="U6160" s="11" t="str">
        <f t="shared" si="427"/>
        <v/>
      </c>
      <c r="V6160" s="37"/>
      <c r="Z6160" s="15"/>
    </row>
    <row r="6161" spans="1:26" x14ac:dyDescent="0.25">
      <c r="A6161" s="15" t="str">
        <f>IF(C6161="","",COUNTA($C$3:C6161))</f>
        <v/>
      </c>
      <c r="B6161" s="15" t="str">
        <f t="shared" si="428"/>
        <v/>
      </c>
      <c r="M6161" s="9"/>
      <c r="N6161" s="9"/>
      <c r="P6161" s="14"/>
      <c r="Q6161" s="85"/>
      <c r="R6161" s="89"/>
      <c r="U6161" s="11" t="str">
        <f t="shared" si="427"/>
        <v/>
      </c>
      <c r="V6161" s="37"/>
      <c r="Z6161" s="15"/>
    </row>
    <row r="6162" spans="1:26" x14ac:dyDescent="0.25">
      <c r="A6162" s="15" t="str">
        <f>IF(C6162="","",COUNTA($C$3:C6162))</f>
        <v/>
      </c>
      <c r="B6162" s="15" t="str">
        <f t="shared" si="428"/>
        <v/>
      </c>
      <c r="M6162" s="9"/>
      <c r="N6162" s="9"/>
      <c r="P6162" s="14"/>
      <c r="Q6162" s="85"/>
      <c r="R6162" s="89"/>
      <c r="U6162" s="11" t="str">
        <f t="shared" si="427"/>
        <v/>
      </c>
      <c r="V6162" s="37"/>
      <c r="Z6162" s="15"/>
    </row>
    <row r="6163" spans="1:26" x14ac:dyDescent="0.25">
      <c r="A6163" s="15" t="str">
        <f>IF(C6163="","",COUNTA($C$3:C6163))</f>
        <v/>
      </c>
      <c r="B6163" s="15" t="str">
        <f t="shared" si="428"/>
        <v/>
      </c>
      <c r="M6163" s="9"/>
      <c r="N6163" s="9"/>
      <c r="P6163" s="14"/>
      <c r="Q6163" s="85"/>
      <c r="R6163" s="89"/>
      <c r="U6163" s="11" t="str">
        <f t="shared" si="427"/>
        <v/>
      </c>
      <c r="V6163" s="37"/>
      <c r="Z6163" s="15"/>
    </row>
    <row r="6164" spans="1:26" x14ac:dyDescent="0.25">
      <c r="A6164" s="15" t="str">
        <f>IF(C6164="","",COUNTA($C$3:C6164))</f>
        <v/>
      </c>
      <c r="B6164" s="15" t="str">
        <f t="shared" si="428"/>
        <v/>
      </c>
      <c r="M6164" s="9"/>
      <c r="N6164" s="9"/>
      <c r="P6164" s="14"/>
      <c r="Q6164" s="85"/>
      <c r="R6164" s="89"/>
      <c r="U6164" s="11" t="str">
        <f t="shared" si="427"/>
        <v/>
      </c>
      <c r="V6164" s="37"/>
      <c r="Z6164" s="15"/>
    </row>
    <row r="6165" spans="1:26" x14ac:dyDescent="0.25">
      <c r="A6165" s="15" t="str">
        <f>IF(C6165="","",COUNTA($C$3:C6165))</f>
        <v/>
      </c>
      <c r="B6165" s="15" t="str">
        <f t="shared" si="428"/>
        <v/>
      </c>
      <c r="M6165" s="9"/>
      <c r="N6165" s="9"/>
      <c r="P6165" s="14"/>
      <c r="Q6165" s="85"/>
      <c r="R6165" s="89"/>
      <c r="U6165" s="11" t="str">
        <f t="shared" si="427"/>
        <v/>
      </c>
      <c r="V6165" s="37"/>
      <c r="Z6165" s="15"/>
    </row>
    <row r="6166" spans="1:26" x14ac:dyDescent="0.25">
      <c r="A6166" s="15" t="str">
        <f>IF(C6166="","",COUNTA($C$3:C6166))</f>
        <v/>
      </c>
      <c r="B6166" s="15" t="str">
        <f t="shared" si="428"/>
        <v/>
      </c>
      <c r="M6166" s="9"/>
      <c r="N6166" s="9"/>
      <c r="P6166" s="14"/>
      <c r="Q6166" s="85"/>
      <c r="R6166" s="89"/>
      <c r="U6166" s="11" t="str">
        <f t="shared" si="427"/>
        <v/>
      </c>
      <c r="V6166" s="37"/>
      <c r="Z6166" s="15"/>
    </row>
    <row r="6167" spans="1:26" x14ac:dyDescent="0.25">
      <c r="A6167" s="15" t="str">
        <f>IF(C6167="","",COUNTA($C$3:C6167))</f>
        <v/>
      </c>
      <c r="B6167" s="15" t="str">
        <f t="shared" si="428"/>
        <v/>
      </c>
      <c r="M6167" s="9"/>
      <c r="N6167" s="9"/>
      <c r="P6167" s="14"/>
      <c r="Q6167" s="85"/>
      <c r="R6167" s="89"/>
      <c r="U6167" s="11" t="str">
        <f t="shared" si="427"/>
        <v/>
      </c>
      <c r="V6167" s="37"/>
      <c r="Z6167" s="15"/>
    </row>
    <row r="6168" spans="1:26" x14ac:dyDescent="0.25">
      <c r="A6168" s="15" t="str">
        <f>IF(C6168="","",COUNTA($C$3:C6168))</f>
        <v/>
      </c>
      <c r="B6168" s="15" t="str">
        <f t="shared" si="428"/>
        <v/>
      </c>
      <c r="M6168" s="9"/>
      <c r="N6168" s="9"/>
      <c r="P6168" s="14"/>
      <c r="Q6168" s="85"/>
      <c r="R6168" s="89"/>
      <c r="U6168" s="11" t="str">
        <f t="shared" si="427"/>
        <v/>
      </c>
      <c r="V6168" s="37"/>
      <c r="Z6168" s="15"/>
    </row>
    <row r="6169" spans="1:26" x14ac:dyDescent="0.25">
      <c r="A6169" s="15" t="str">
        <f>IF(C6169="","",COUNTA($C$3:C6169))</f>
        <v/>
      </c>
      <c r="B6169" s="15" t="str">
        <f t="shared" si="428"/>
        <v/>
      </c>
      <c r="M6169" s="9"/>
      <c r="N6169" s="9"/>
      <c r="P6169" s="14"/>
      <c r="Q6169" s="85"/>
      <c r="R6169" s="89"/>
      <c r="U6169" s="11" t="str">
        <f t="shared" si="427"/>
        <v/>
      </c>
      <c r="V6169" s="37"/>
      <c r="Z6169" s="15"/>
    </row>
    <row r="6170" spans="1:26" x14ac:dyDescent="0.25">
      <c r="A6170" s="15" t="str">
        <f>IF(C6170="","",COUNTA($C$3:C6170))</f>
        <v/>
      </c>
      <c r="B6170" s="15" t="str">
        <f t="shared" si="428"/>
        <v/>
      </c>
      <c r="M6170" s="9"/>
      <c r="N6170" s="9"/>
      <c r="P6170" s="14"/>
      <c r="Q6170" s="85"/>
      <c r="R6170" s="89"/>
      <c r="U6170" s="11" t="str">
        <f t="shared" si="427"/>
        <v/>
      </c>
      <c r="V6170" s="37"/>
      <c r="Z6170" s="15"/>
    </row>
    <row r="6171" spans="1:26" x14ac:dyDescent="0.25">
      <c r="A6171" s="15" t="str">
        <f>IF(C6171="","",COUNTA($C$3:C6171))</f>
        <v/>
      </c>
      <c r="B6171" s="15" t="str">
        <f t="shared" si="428"/>
        <v/>
      </c>
      <c r="M6171" s="9"/>
      <c r="N6171" s="9"/>
      <c r="P6171" s="14"/>
      <c r="Q6171" s="85"/>
      <c r="R6171" s="89"/>
      <c r="U6171" s="11" t="str">
        <f t="shared" si="427"/>
        <v/>
      </c>
      <c r="V6171" s="37"/>
      <c r="Z6171" s="15"/>
    </row>
    <row r="6172" spans="1:26" x14ac:dyDescent="0.25">
      <c r="A6172" s="15" t="str">
        <f>IF(C6172="","",COUNTA($C$3:C6172))</f>
        <v/>
      </c>
      <c r="B6172" s="15" t="str">
        <f t="shared" si="428"/>
        <v/>
      </c>
      <c r="M6172" s="9"/>
      <c r="N6172" s="9"/>
      <c r="P6172" s="14"/>
      <c r="Q6172" s="85"/>
      <c r="R6172" s="89"/>
      <c r="U6172" s="11" t="str">
        <f t="shared" si="427"/>
        <v/>
      </c>
      <c r="V6172" s="37"/>
      <c r="Z6172" s="15"/>
    </row>
    <row r="6173" spans="1:26" x14ac:dyDescent="0.25">
      <c r="A6173" s="15" t="str">
        <f>IF(C6173="","",COUNTA($C$3:C6173))</f>
        <v/>
      </c>
      <c r="B6173" s="15" t="str">
        <f t="shared" si="428"/>
        <v/>
      </c>
      <c r="M6173" s="9"/>
      <c r="N6173" s="9"/>
      <c r="P6173" s="14"/>
      <c r="Q6173" s="85"/>
      <c r="R6173" s="89"/>
      <c r="U6173" s="11" t="str">
        <f t="shared" si="427"/>
        <v/>
      </c>
      <c r="V6173" s="37"/>
      <c r="Z6173" s="15"/>
    </row>
    <row r="6174" spans="1:26" x14ac:dyDescent="0.25">
      <c r="A6174" s="15" t="str">
        <f>IF(C6174="","",COUNTA($C$3:C6174))</f>
        <v/>
      </c>
      <c r="B6174" s="15" t="str">
        <f t="shared" si="428"/>
        <v/>
      </c>
      <c r="M6174" s="9"/>
      <c r="N6174" s="9"/>
      <c r="P6174" s="14"/>
      <c r="Q6174" s="85"/>
      <c r="R6174" s="89"/>
      <c r="U6174" s="11" t="str">
        <f t="shared" si="427"/>
        <v/>
      </c>
      <c r="V6174" s="37"/>
      <c r="Z6174" s="15"/>
    </row>
    <row r="6175" spans="1:26" x14ac:dyDescent="0.25">
      <c r="A6175" s="15" t="str">
        <f>IF(C6175="","",COUNTA($C$3:C6175))</f>
        <v/>
      </c>
      <c r="B6175" s="15" t="str">
        <f t="shared" si="428"/>
        <v/>
      </c>
      <c r="M6175" s="9"/>
      <c r="N6175" s="9"/>
      <c r="P6175" s="14"/>
      <c r="Q6175" s="85"/>
      <c r="R6175" s="89"/>
      <c r="U6175" s="11" t="str">
        <f t="shared" si="427"/>
        <v/>
      </c>
      <c r="V6175" s="37"/>
      <c r="Z6175" s="15"/>
    </row>
    <row r="6176" spans="1:26" x14ac:dyDescent="0.25">
      <c r="A6176" s="15" t="str">
        <f>IF(C6176="","",COUNTA($C$3:C6176))</f>
        <v/>
      </c>
      <c r="B6176" s="15" t="str">
        <f t="shared" si="428"/>
        <v/>
      </c>
      <c r="M6176" s="9"/>
      <c r="N6176" s="9"/>
      <c r="P6176" s="14"/>
      <c r="Q6176" s="85"/>
      <c r="R6176" s="89"/>
      <c r="U6176" s="11" t="str">
        <f t="shared" si="427"/>
        <v/>
      </c>
      <c r="V6176" s="37"/>
      <c r="Z6176" s="15"/>
    </row>
    <row r="6177" spans="1:26" x14ac:dyDescent="0.25">
      <c r="A6177" s="15" t="str">
        <f>IF(C6177="","",COUNTA($C$3:C6177))</f>
        <v/>
      </c>
      <c r="B6177" s="15" t="str">
        <f t="shared" si="428"/>
        <v/>
      </c>
      <c r="M6177" s="9"/>
      <c r="N6177" s="9"/>
      <c r="P6177" s="14"/>
      <c r="Q6177" s="85"/>
      <c r="R6177" s="89"/>
      <c r="U6177" s="11" t="str">
        <f t="shared" si="427"/>
        <v/>
      </c>
      <c r="V6177" s="37"/>
      <c r="Z6177" s="15"/>
    </row>
    <row r="6178" spans="1:26" x14ac:dyDescent="0.25">
      <c r="A6178" s="15" t="str">
        <f>IF(C6178="","",COUNTA($C$3:C6178))</f>
        <v/>
      </c>
      <c r="B6178" s="15" t="str">
        <f t="shared" si="428"/>
        <v/>
      </c>
      <c r="M6178" s="9"/>
      <c r="N6178" s="9"/>
      <c r="P6178" s="14"/>
      <c r="Q6178" s="85"/>
      <c r="R6178" s="89"/>
      <c r="U6178" s="11" t="str">
        <f t="shared" si="427"/>
        <v/>
      </c>
      <c r="V6178" s="37"/>
      <c r="Z6178" s="15"/>
    </row>
    <row r="6179" spans="1:26" x14ac:dyDescent="0.25">
      <c r="A6179" s="15" t="str">
        <f>IF(C6179="","",COUNTA($C$3:C6179))</f>
        <v/>
      </c>
      <c r="B6179" s="15" t="str">
        <f t="shared" si="428"/>
        <v/>
      </c>
      <c r="M6179" s="9"/>
      <c r="N6179" s="9"/>
      <c r="P6179" s="14"/>
      <c r="Q6179" s="85"/>
      <c r="R6179" s="89"/>
      <c r="U6179" s="11" t="str">
        <f t="shared" si="427"/>
        <v/>
      </c>
      <c r="V6179" s="37"/>
      <c r="Z6179" s="15"/>
    </row>
    <row r="6180" spans="1:26" x14ac:dyDescent="0.25">
      <c r="A6180" s="15" t="str">
        <f>IF(C6180="","",COUNTA($C$3:C6180))</f>
        <v/>
      </c>
      <c r="B6180" s="15" t="str">
        <f t="shared" si="428"/>
        <v/>
      </c>
      <c r="M6180" s="9"/>
      <c r="N6180" s="9"/>
      <c r="P6180" s="14"/>
      <c r="Q6180" s="85"/>
      <c r="R6180" s="89"/>
      <c r="U6180" s="11" t="str">
        <f t="shared" si="427"/>
        <v/>
      </c>
      <c r="V6180" s="37"/>
      <c r="Z6180" s="15"/>
    </row>
    <row r="6181" spans="1:26" x14ac:dyDescent="0.25">
      <c r="A6181" s="15" t="str">
        <f>IF(C6181="","",COUNTA($C$3:C6181))</f>
        <v/>
      </c>
      <c r="B6181" s="15" t="str">
        <f t="shared" si="428"/>
        <v/>
      </c>
      <c r="M6181" s="9"/>
      <c r="N6181" s="9"/>
      <c r="P6181" s="14"/>
      <c r="Q6181" s="85"/>
      <c r="R6181" s="89"/>
      <c r="U6181" s="11" t="str">
        <f t="shared" si="427"/>
        <v/>
      </c>
      <c r="V6181" s="37"/>
      <c r="Z6181" s="15"/>
    </row>
    <row r="6182" spans="1:26" x14ac:dyDescent="0.25">
      <c r="A6182" s="15" t="str">
        <f>IF(C6182="","",COUNTA($C$3:C6182))</f>
        <v/>
      </c>
      <c r="B6182" s="15" t="str">
        <f t="shared" si="428"/>
        <v/>
      </c>
      <c r="M6182" s="9"/>
      <c r="N6182" s="9"/>
      <c r="P6182" s="14"/>
      <c r="Q6182" s="85"/>
      <c r="R6182" s="89"/>
      <c r="U6182" s="11" t="str">
        <f t="shared" si="427"/>
        <v/>
      </c>
      <c r="V6182" s="37"/>
      <c r="Z6182" s="15"/>
    </row>
    <row r="6183" spans="1:26" x14ac:dyDescent="0.25">
      <c r="A6183" s="15" t="str">
        <f>IF(C6183="","",COUNTA($C$3:C6183))</f>
        <v/>
      </c>
      <c r="B6183" s="15" t="str">
        <f t="shared" si="428"/>
        <v/>
      </c>
      <c r="M6183" s="9"/>
      <c r="N6183" s="9"/>
      <c r="P6183" s="14"/>
      <c r="Q6183" s="85"/>
      <c r="R6183" s="89"/>
      <c r="U6183" s="11" t="str">
        <f t="shared" si="427"/>
        <v/>
      </c>
      <c r="V6183" s="37"/>
      <c r="Z6183" s="15"/>
    </row>
    <row r="6184" spans="1:26" x14ac:dyDescent="0.25">
      <c r="A6184" s="15" t="str">
        <f>IF(C6184="","",COUNTA($C$3:C6184))</f>
        <v/>
      </c>
      <c r="B6184" s="15" t="str">
        <f t="shared" si="428"/>
        <v/>
      </c>
      <c r="M6184" s="9"/>
      <c r="N6184" s="9"/>
      <c r="P6184" s="14"/>
      <c r="Q6184" s="85"/>
      <c r="R6184" s="89"/>
      <c r="U6184" s="11" t="str">
        <f t="shared" si="427"/>
        <v/>
      </c>
      <c r="V6184" s="37"/>
      <c r="Z6184" s="15"/>
    </row>
    <row r="6185" spans="1:26" x14ac:dyDescent="0.25">
      <c r="A6185" s="15" t="str">
        <f>IF(C6185="","",COUNTA($C$3:C6185))</f>
        <v/>
      </c>
      <c r="B6185" s="15" t="str">
        <f t="shared" si="428"/>
        <v/>
      </c>
      <c r="M6185" s="9"/>
      <c r="N6185" s="9"/>
      <c r="P6185" s="14"/>
      <c r="Q6185" s="85"/>
      <c r="R6185" s="89"/>
      <c r="U6185" s="11" t="str">
        <f t="shared" si="427"/>
        <v/>
      </c>
      <c r="V6185" s="37"/>
      <c r="Z6185" s="15"/>
    </row>
    <row r="6186" spans="1:26" x14ac:dyDescent="0.25">
      <c r="A6186" s="15" t="str">
        <f>IF(C6186="","",COUNTA($C$3:C6186))</f>
        <v/>
      </c>
      <c r="B6186" s="15" t="str">
        <f t="shared" si="428"/>
        <v/>
      </c>
      <c r="M6186" s="9"/>
      <c r="N6186" s="9"/>
      <c r="P6186" s="14"/>
      <c r="Q6186" s="85"/>
      <c r="R6186" s="89"/>
      <c r="U6186" s="11" t="str">
        <f t="shared" si="427"/>
        <v/>
      </c>
      <c r="V6186" s="37"/>
      <c r="Z6186" s="15"/>
    </row>
    <row r="6187" spans="1:26" x14ac:dyDescent="0.25">
      <c r="A6187" s="15" t="str">
        <f>IF(C6187="","",COUNTA($C$3:C6187))</f>
        <v/>
      </c>
      <c r="B6187" s="15" t="str">
        <f t="shared" si="428"/>
        <v/>
      </c>
      <c r="M6187" s="9"/>
      <c r="N6187" s="9"/>
      <c r="P6187" s="14"/>
      <c r="Q6187" s="85"/>
      <c r="R6187" s="89"/>
      <c r="U6187" s="11" t="str">
        <f t="shared" si="427"/>
        <v/>
      </c>
      <c r="V6187" s="37"/>
      <c r="Z6187" s="15"/>
    </row>
    <row r="6188" spans="1:26" x14ac:dyDescent="0.25">
      <c r="A6188" s="15" t="str">
        <f>IF(C6188="","",COUNTA($C$3:C6188))</f>
        <v/>
      </c>
      <c r="B6188" s="15" t="str">
        <f t="shared" si="428"/>
        <v/>
      </c>
      <c r="M6188" s="9"/>
      <c r="N6188" s="9"/>
      <c r="P6188" s="14"/>
      <c r="Q6188" s="85"/>
      <c r="R6188" s="89"/>
      <c r="U6188" s="11" t="str">
        <f t="shared" si="427"/>
        <v/>
      </c>
      <c r="V6188" s="37"/>
      <c r="Z6188" s="15"/>
    </row>
    <row r="6189" spans="1:26" x14ac:dyDescent="0.25">
      <c r="A6189" s="15" t="str">
        <f>IF(C6189="","",COUNTA($C$3:C6189))</f>
        <v/>
      </c>
      <c r="B6189" s="15" t="str">
        <f t="shared" si="428"/>
        <v/>
      </c>
      <c r="M6189" s="9"/>
      <c r="N6189" s="9"/>
      <c r="P6189" s="14"/>
      <c r="Q6189" s="85"/>
      <c r="R6189" s="89"/>
      <c r="U6189" s="11" t="str">
        <f t="shared" si="427"/>
        <v/>
      </c>
      <c r="V6189" s="37"/>
      <c r="Z6189" s="15"/>
    </row>
    <row r="6190" spans="1:26" x14ac:dyDescent="0.25">
      <c r="A6190" s="15" t="str">
        <f>IF(C6190="","",COUNTA($C$3:C6190))</f>
        <v/>
      </c>
      <c r="B6190" s="15" t="str">
        <f t="shared" si="428"/>
        <v/>
      </c>
      <c r="M6190" s="9"/>
      <c r="N6190" s="9"/>
      <c r="P6190" s="14"/>
      <c r="Q6190" s="85"/>
      <c r="R6190" s="89"/>
      <c r="U6190" s="11" t="str">
        <f t="shared" si="427"/>
        <v/>
      </c>
      <c r="V6190" s="37"/>
      <c r="Z6190" s="15"/>
    </row>
    <row r="6191" spans="1:26" x14ac:dyDescent="0.25">
      <c r="A6191" s="15" t="str">
        <f>IF(C6191="","",COUNTA($C$3:C6191))</f>
        <v/>
      </c>
      <c r="B6191" s="15" t="str">
        <f t="shared" si="428"/>
        <v/>
      </c>
      <c r="M6191" s="9"/>
      <c r="N6191" s="9"/>
      <c r="P6191" s="14"/>
      <c r="Q6191" s="85"/>
      <c r="R6191" s="89"/>
      <c r="U6191" s="11" t="str">
        <f t="shared" si="427"/>
        <v/>
      </c>
      <c r="V6191" s="37"/>
      <c r="Z6191" s="15"/>
    </row>
    <row r="6192" spans="1:26" x14ac:dyDescent="0.25">
      <c r="A6192" s="15" t="str">
        <f>IF(C6192="","",COUNTA($C$3:C6192))</f>
        <v/>
      </c>
      <c r="B6192" s="15" t="str">
        <f t="shared" si="428"/>
        <v/>
      </c>
      <c r="M6192" s="9"/>
      <c r="N6192" s="9"/>
      <c r="P6192" s="14"/>
      <c r="Q6192" s="85"/>
      <c r="R6192" s="89"/>
      <c r="U6192" s="11" t="str">
        <f t="shared" si="427"/>
        <v/>
      </c>
      <c r="V6192" s="37"/>
      <c r="Z6192" s="15"/>
    </row>
    <row r="6193" spans="1:26" x14ac:dyDescent="0.25">
      <c r="A6193" s="15" t="str">
        <f>IF(C6193="","",COUNTA($C$3:C6193))</f>
        <v/>
      </c>
      <c r="B6193" s="15" t="str">
        <f t="shared" si="428"/>
        <v/>
      </c>
      <c r="M6193" s="9"/>
      <c r="N6193" s="9"/>
      <c r="P6193" s="14"/>
      <c r="Q6193" s="85"/>
      <c r="R6193" s="89"/>
      <c r="U6193" s="11" t="str">
        <f t="shared" si="427"/>
        <v/>
      </c>
      <c r="V6193" s="37"/>
      <c r="Z6193" s="15"/>
    </row>
    <row r="6194" spans="1:26" x14ac:dyDescent="0.25">
      <c r="A6194" s="15" t="str">
        <f>IF(C6194="","",COUNTA($C$3:C6194))</f>
        <v/>
      </c>
      <c r="B6194" s="15" t="str">
        <f t="shared" si="428"/>
        <v/>
      </c>
      <c r="M6194" s="9"/>
      <c r="N6194" s="9"/>
      <c r="P6194" s="14"/>
      <c r="Q6194" s="85"/>
      <c r="R6194" s="89"/>
      <c r="U6194" s="11" t="str">
        <f t="shared" si="427"/>
        <v/>
      </c>
      <c r="V6194" s="37"/>
      <c r="Z6194" s="15"/>
    </row>
    <row r="6195" spans="1:26" x14ac:dyDescent="0.25">
      <c r="A6195" s="15" t="str">
        <f>IF(C6195="","",COUNTA($C$3:C6195))</f>
        <v/>
      </c>
      <c r="B6195" s="15" t="str">
        <f t="shared" si="428"/>
        <v/>
      </c>
      <c r="M6195" s="9"/>
      <c r="N6195" s="9"/>
      <c r="P6195" s="14"/>
      <c r="Q6195" s="85"/>
      <c r="R6195" s="89"/>
      <c r="U6195" s="11" t="str">
        <f t="shared" si="427"/>
        <v/>
      </c>
      <c r="V6195" s="37"/>
      <c r="Z6195" s="15"/>
    </row>
    <row r="6196" spans="1:26" x14ac:dyDescent="0.25">
      <c r="A6196" s="15" t="str">
        <f>IF(C6196="","",COUNTA($C$3:C6196))</f>
        <v/>
      </c>
      <c r="B6196" s="15" t="str">
        <f t="shared" si="428"/>
        <v/>
      </c>
      <c r="M6196" s="9"/>
      <c r="N6196" s="9"/>
      <c r="P6196" s="14"/>
      <c r="Q6196" s="85"/>
      <c r="R6196" s="89"/>
      <c r="U6196" s="11" t="str">
        <f t="shared" si="427"/>
        <v/>
      </c>
      <c r="V6196" s="37"/>
      <c r="Z6196" s="15"/>
    </row>
    <row r="6197" spans="1:26" x14ac:dyDescent="0.25">
      <c r="A6197" s="15" t="str">
        <f>IF(C6197="","",COUNTA($C$3:C6197))</f>
        <v/>
      </c>
      <c r="B6197" s="15" t="str">
        <f t="shared" si="428"/>
        <v/>
      </c>
      <c r="M6197" s="9"/>
      <c r="N6197" s="9"/>
      <c r="P6197" s="14"/>
      <c r="Q6197" s="85"/>
      <c r="R6197" s="89"/>
      <c r="U6197" s="11" t="str">
        <f t="shared" si="427"/>
        <v/>
      </c>
      <c r="V6197" s="37"/>
      <c r="Z6197" s="15"/>
    </row>
    <row r="6198" spans="1:26" x14ac:dyDescent="0.25">
      <c r="A6198" s="15" t="str">
        <f>IF(C6198="","",COUNTA($C$3:C6198))</f>
        <v/>
      </c>
      <c r="B6198" s="15" t="str">
        <f t="shared" si="428"/>
        <v/>
      </c>
      <c r="M6198" s="9"/>
      <c r="N6198" s="9"/>
      <c r="P6198" s="14"/>
      <c r="Q6198" s="85"/>
      <c r="R6198" s="89"/>
      <c r="U6198" s="11" t="str">
        <f t="shared" si="427"/>
        <v/>
      </c>
      <c r="V6198" s="37"/>
      <c r="Z6198" s="15"/>
    </row>
    <row r="6199" spans="1:26" x14ac:dyDescent="0.25">
      <c r="A6199" s="15" t="str">
        <f>IF(C6199="","",COUNTA($C$3:C6199))</f>
        <v/>
      </c>
      <c r="B6199" s="15" t="str">
        <f t="shared" si="428"/>
        <v/>
      </c>
      <c r="M6199" s="9"/>
      <c r="N6199" s="9"/>
      <c r="P6199" s="14"/>
      <c r="Q6199" s="85"/>
      <c r="R6199" s="89"/>
      <c r="U6199" s="11" t="str">
        <f t="shared" si="427"/>
        <v/>
      </c>
      <c r="V6199" s="37"/>
      <c r="Z6199" s="15"/>
    </row>
    <row r="6200" spans="1:26" x14ac:dyDescent="0.25">
      <c r="A6200" s="15" t="str">
        <f>IF(C6200="","",COUNTA($C$3:C6200))</f>
        <v/>
      </c>
      <c r="B6200" s="15" t="str">
        <f t="shared" si="428"/>
        <v/>
      </c>
      <c r="M6200" s="9"/>
      <c r="N6200" s="9"/>
      <c r="P6200" s="14"/>
      <c r="Q6200" s="85"/>
      <c r="R6200" s="89"/>
      <c r="U6200" s="11" t="str">
        <f t="shared" si="427"/>
        <v/>
      </c>
      <c r="V6200" s="37"/>
      <c r="Z6200" s="15"/>
    </row>
    <row r="6201" spans="1:26" x14ac:dyDescent="0.25">
      <c r="A6201" s="15" t="str">
        <f>IF(C6201="","",COUNTA($C$3:C6201))</f>
        <v/>
      </c>
      <c r="B6201" s="15" t="str">
        <f t="shared" si="428"/>
        <v/>
      </c>
      <c r="M6201" s="9"/>
      <c r="N6201" s="9"/>
      <c r="P6201" s="14"/>
      <c r="Q6201" s="85"/>
      <c r="R6201" s="89"/>
      <c r="U6201" s="11" t="str">
        <f t="shared" si="427"/>
        <v/>
      </c>
      <c r="V6201" s="37"/>
      <c r="Z6201" s="15"/>
    </row>
    <row r="6202" spans="1:26" x14ac:dyDescent="0.25">
      <c r="A6202" s="15" t="str">
        <f>IF(C6202="","",COUNTA($C$3:C6202))</f>
        <v/>
      </c>
      <c r="B6202" s="15" t="str">
        <f t="shared" si="428"/>
        <v/>
      </c>
      <c r="M6202" s="9"/>
      <c r="N6202" s="9"/>
      <c r="P6202" s="14"/>
      <c r="Q6202" s="85"/>
      <c r="R6202" s="89"/>
      <c r="U6202" s="11" t="str">
        <f t="shared" si="427"/>
        <v/>
      </c>
      <c r="V6202" s="37"/>
      <c r="Z6202" s="15"/>
    </row>
    <row r="6203" spans="1:26" x14ac:dyDescent="0.25">
      <c r="A6203" s="15" t="str">
        <f>IF(C6203="","",COUNTA($C$3:C6203))</f>
        <v/>
      </c>
      <c r="B6203" s="15" t="str">
        <f t="shared" si="428"/>
        <v/>
      </c>
      <c r="M6203" s="9"/>
      <c r="N6203" s="9"/>
      <c r="P6203" s="14"/>
      <c r="Q6203" s="85"/>
      <c r="R6203" s="89"/>
      <c r="U6203" s="11" t="str">
        <f t="shared" si="427"/>
        <v/>
      </c>
      <c r="V6203" s="37"/>
      <c r="Z6203" s="15"/>
    </row>
    <row r="6204" spans="1:26" x14ac:dyDescent="0.25">
      <c r="A6204" s="15" t="str">
        <f>IF(C6204="","",COUNTA($C$3:C6204))</f>
        <v/>
      </c>
      <c r="B6204" s="15" t="str">
        <f t="shared" si="428"/>
        <v/>
      </c>
      <c r="M6204" s="9"/>
      <c r="N6204" s="9"/>
      <c r="P6204" s="14"/>
      <c r="Q6204" s="85"/>
      <c r="R6204" s="89"/>
      <c r="U6204" s="11" t="str">
        <f t="shared" si="427"/>
        <v/>
      </c>
      <c r="V6204" s="37"/>
      <c r="Z6204" s="15"/>
    </row>
    <row r="6205" spans="1:26" x14ac:dyDescent="0.25">
      <c r="A6205" s="15" t="str">
        <f>IF(C6205="","",COUNTA($C$3:C6205))</f>
        <v/>
      </c>
      <c r="B6205" s="15" t="str">
        <f t="shared" si="428"/>
        <v/>
      </c>
      <c r="M6205" s="9"/>
      <c r="N6205" s="9"/>
      <c r="P6205" s="14"/>
      <c r="Q6205" s="85"/>
      <c r="R6205" s="89"/>
      <c r="U6205" s="11" t="str">
        <f t="shared" si="427"/>
        <v/>
      </c>
      <c r="V6205" s="37"/>
      <c r="Z6205" s="15"/>
    </row>
    <row r="6206" spans="1:26" x14ac:dyDescent="0.25">
      <c r="A6206" s="15" t="str">
        <f>IF(C6206="","",COUNTA($C$3:C6206))</f>
        <v/>
      </c>
      <c r="B6206" s="15" t="str">
        <f t="shared" si="428"/>
        <v/>
      </c>
      <c r="M6206" s="9"/>
      <c r="N6206" s="9"/>
      <c r="P6206" s="14"/>
      <c r="Q6206" s="85"/>
      <c r="R6206" s="89"/>
      <c r="U6206" s="11" t="str">
        <f t="shared" si="427"/>
        <v/>
      </c>
      <c r="V6206" s="37"/>
      <c r="Z6206" s="15"/>
    </row>
    <row r="6207" spans="1:26" x14ac:dyDescent="0.25">
      <c r="A6207" s="15" t="str">
        <f>IF(C6207="","",COUNTA($C$3:C6207))</f>
        <v/>
      </c>
      <c r="B6207" s="15" t="str">
        <f t="shared" si="428"/>
        <v/>
      </c>
      <c r="M6207" s="9"/>
      <c r="N6207" s="9"/>
      <c r="P6207" s="14"/>
      <c r="Q6207" s="85"/>
      <c r="R6207" s="89"/>
      <c r="U6207" s="11" t="str">
        <f t="shared" si="427"/>
        <v/>
      </c>
      <c r="V6207" s="37"/>
      <c r="Z6207" s="15"/>
    </row>
    <row r="6208" spans="1:26" x14ac:dyDescent="0.25">
      <c r="A6208" s="15" t="str">
        <f>IF(C6208="","",COUNTA($C$3:C6208))</f>
        <v/>
      </c>
      <c r="B6208" s="15" t="str">
        <f t="shared" si="428"/>
        <v/>
      </c>
      <c r="M6208" s="9"/>
      <c r="N6208" s="9"/>
      <c r="P6208" s="14"/>
      <c r="Q6208" s="85"/>
      <c r="R6208" s="89"/>
      <c r="U6208" s="11" t="str">
        <f t="shared" si="427"/>
        <v/>
      </c>
      <c r="V6208" s="37"/>
      <c r="Z6208" s="15"/>
    </row>
    <row r="6209" spans="1:26" x14ac:dyDescent="0.25">
      <c r="A6209" s="15" t="str">
        <f>IF(C6209="","",COUNTA($C$3:C6209))</f>
        <v/>
      </c>
      <c r="B6209" s="15" t="str">
        <f t="shared" si="428"/>
        <v/>
      </c>
      <c r="M6209" s="9"/>
      <c r="N6209" s="9"/>
      <c r="P6209" s="14"/>
      <c r="Q6209" s="85"/>
      <c r="R6209" s="89"/>
      <c r="U6209" s="11" t="str">
        <f t="shared" si="427"/>
        <v/>
      </c>
      <c r="V6209" s="37"/>
      <c r="Z6209" s="15"/>
    </row>
    <row r="6210" spans="1:26" x14ac:dyDescent="0.25">
      <c r="A6210" s="15" t="str">
        <f>IF(C6210="","",COUNTA($C$3:C6210))</f>
        <v/>
      </c>
      <c r="B6210" s="15" t="str">
        <f t="shared" si="428"/>
        <v/>
      </c>
      <c r="M6210" s="9"/>
      <c r="N6210" s="9"/>
      <c r="P6210" s="14"/>
      <c r="Q6210" s="85"/>
      <c r="R6210" s="89"/>
      <c r="U6210" s="11" t="str">
        <f t="shared" ref="U6210:U6273" si="429">IF(S6210="","",(S6210-T6210))</f>
        <v/>
      </c>
      <c r="V6210" s="37"/>
      <c r="Z6210" s="15"/>
    </row>
    <row r="6211" spans="1:26" x14ac:dyDescent="0.25">
      <c r="A6211" s="15" t="str">
        <f>IF(C6211="","",COUNTA($C$3:C6211))</f>
        <v/>
      </c>
      <c r="B6211" s="15" t="str">
        <f t="shared" ref="B6211:B6274" si="430">IF(C6211="","",TEXT(C6211,"mmmm"))</f>
        <v/>
      </c>
      <c r="M6211" s="9"/>
      <c r="N6211" s="9"/>
      <c r="P6211" s="14"/>
      <c r="Q6211" s="85"/>
      <c r="R6211" s="89"/>
      <c r="U6211" s="11" t="str">
        <f t="shared" si="429"/>
        <v/>
      </c>
      <c r="V6211" s="37"/>
      <c r="Z6211" s="15"/>
    </row>
    <row r="6212" spans="1:26" x14ac:dyDescent="0.25">
      <c r="A6212" s="15" t="str">
        <f>IF(C6212="","",COUNTA($C$3:C6212))</f>
        <v/>
      </c>
      <c r="B6212" s="15" t="str">
        <f t="shared" si="430"/>
        <v/>
      </c>
      <c r="M6212" s="9"/>
      <c r="N6212" s="9"/>
      <c r="P6212" s="14"/>
      <c r="Q6212" s="85"/>
      <c r="R6212" s="89"/>
      <c r="U6212" s="11" t="str">
        <f t="shared" si="429"/>
        <v/>
      </c>
      <c r="V6212" s="37"/>
      <c r="Z6212" s="15"/>
    </row>
    <row r="6213" spans="1:26" x14ac:dyDescent="0.25">
      <c r="A6213" s="15" t="str">
        <f>IF(C6213="","",COUNTA($C$3:C6213))</f>
        <v/>
      </c>
      <c r="B6213" s="15" t="str">
        <f t="shared" si="430"/>
        <v/>
      </c>
      <c r="M6213" s="9"/>
      <c r="N6213" s="9"/>
      <c r="P6213" s="14"/>
      <c r="Q6213" s="85"/>
      <c r="R6213" s="89"/>
      <c r="U6213" s="11" t="str">
        <f t="shared" si="429"/>
        <v/>
      </c>
      <c r="V6213" s="37"/>
      <c r="Z6213" s="15"/>
    </row>
    <row r="6214" spans="1:26" x14ac:dyDescent="0.25">
      <c r="A6214" s="15" t="str">
        <f>IF(C6214="","",COUNTA($C$3:C6214))</f>
        <v/>
      </c>
      <c r="B6214" s="15" t="str">
        <f t="shared" si="430"/>
        <v/>
      </c>
      <c r="M6214" s="9"/>
      <c r="N6214" s="9"/>
      <c r="P6214" s="14"/>
      <c r="Q6214" s="85"/>
      <c r="R6214" s="89"/>
      <c r="U6214" s="11" t="str">
        <f t="shared" si="429"/>
        <v/>
      </c>
      <c r="V6214" s="37"/>
      <c r="Z6214" s="15"/>
    </row>
    <row r="6215" spans="1:26" x14ac:dyDescent="0.25">
      <c r="A6215" s="15" t="str">
        <f>IF(C6215="","",COUNTA($C$3:C6215))</f>
        <v/>
      </c>
      <c r="B6215" s="15" t="str">
        <f t="shared" si="430"/>
        <v/>
      </c>
      <c r="M6215" s="9"/>
      <c r="N6215" s="9"/>
      <c r="P6215" s="14"/>
      <c r="Q6215" s="85"/>
      <c r="R6215" s="89"/>
      <c r="U6215" s="11" t="str">
        <f t="shared" si="429"/>
        <v/>
      </c>
      <c r="V6215" s="37"/>
      <c r="Z6215" s="15"/>
    </row>
    <row r="6216" spans="1:26" x14ac:dyDescent="0.25">
      <c r="A6216" s="15" t="str">
        <f>IF(C6216="","",COUNTA($C$3:C6216))</f>
        <v/>
      </c>
      <c r="B6216" s="15" t="str">
        <f t="shared" si="430"/>
        <v/>
      </c>
      <c r="M6216" s="9"/>
      <c r="N6216" s="9"/>
      <c r="P6216" s="14"/>
      <c r="Q6216" s="85"/>
      <c r="R6216" s="89"/>
      <c r="U6216" s="11" t="str">
        <f t="shared" si="429"/>
        <v/>
      </c>
      <c r="V6216" s="37"/>
      <c r="Z6216" s="15"/>
    </row>
    <row r="6217" spans="1:26" x14ac:dyDescent="0.25">
      <c r="A6217" s="15" t="str">
        <f>IF(C6217="","",COUNTA($C$3:C6217))</f>
        <v/>
      </c>
      <c r="B6217" s="15" t="str">
        <f t="shared" si="430"/>
        <v/>
      </c>
      <c r="M6217" s="9"/>
      <c r="N6217" s="9"/>
      <c r="P6217" s="14"/>
      <c r="Q6217" s="85"/>
      <c r="R6217" s="89"/>
      <c r="U6217" s="11" t="str">
        <f t="shared" si="429"/>
        <v/>
      </c>
      <c r="V6217" s="37"/>
      <c r="Z6217" s="15"/>
    </row>
    <row r="6218" spans="1:26" x14ac:dyDescent="0.25">
      <c r="A6218" s="15" t="str">
        <f>IF(C6218="","",COUNTA($C$3:C6218))</f>
        <v/>
      </c>
      <c r="B6218" s="15" t="str">
        <f t="shared" si="430"/>
        <v/>
      </c>
      <c r="M6218" s="9"/>
      <c r="N6218" s="9"/>
      <c r="P6218" s="14"/>
      <c r="Q6218" s="85"/>
      <c r="R6218" s="89"/>
      <c r="U6218" s="11" t="str">
        <f t="shared" si="429"/>
        <v/>
      </c>
      <c r="V6218" s="37"/>
      <c r="Z6218" s="15"/>
    </row>
    <row r="6219" spans="1:26" x14ac:dyDescent="0.25">
      <c r="A6219" s="15" t="str">
        <f>IF(C6219="","",COUNTA($C$3:C6219))</f>
        <v/>
      </c>
      <c r="B6219" s="15" t="str">
        <f t="shared" si="430"/>
        <v/>
      </c>
      <c r="M6219" s="9"/>
      <c r="N6219" s="9"/>
      <c r="P6219" s="14"/>
      <c r="Q6219" s="85"/>
      <c r="R6219" s="89"/>
      <c r="U6219" s="11" t="str">
        <f t="shared" si="429"/>
        <v/>
      </c>
      <c r="V6219" s="37"/>
      <c r="Z6219" s="15"/>
    </row>
    <row r="6220" spans="1:26" x14ac:dyDescent="0.25">
      <c r="A6220" s="15" t="str">
        <f>IF(C6220="","",COUNTA($C$3:C6220))</f>
        <v/>
      </c>
      <c r="B6220" s="15" t="str">
        <f t="shared" si="430"/>
        <v/>
      </c>
      <c r="M6220" s="9"/>
      <c r="N6220" s="9"/>
      <c r="P6220" s="14"/>
      <c r="Q6220" s="85"/>
      <c r="R6220" s="89"/>
      <c r="U6220" s="11" t="str">
        <f t="shared" si="429"/>
        <v/>
      </c>
      <c r="V6220" s="37"/>
      <c r="Z6220" s="15"/>
    </row>
    <row r="6221" spans="1:26" x14ac:dyDescent="0.25">
      <c r="A6221" s="15" t="str">
        <f>IF(C6221="","",COUNTA($C$3:C6221))</f>
        <v/>
      </c>
      <c r="B6221" s="15" t="str">
        <f t="shared" si="430"/>
        <v/>
      </c>
      <c r="M6221" s="9"/>
      <c r="N6221" s="9"/>
      <c r="P6221" s="14"/>
      <c r="Q6221" s="85"/>
      <c r="R6221" s="89"/>
      <c r="U6221" s="11" t="str">
        <f t="shared" si="429"/>
        <v/>
      </c>
      <c r="V6221" s="37"/>
      <c r="Z6221" s="15"/>
    </row>
    <row r="6222" spans="1:26" x14ac:dyDescent="0.25">
      <c r="A6222" s="15" t="str">
        <f>IF(C6222="","",COUNTA($C$3:C6222))</f>
        <v/>
      </c>
      <c r="B6222" s="15" t="str">
        <f t="shared" si="430"/>
        <v/>
      </c>
      <c r="M6222" s="9"/>
      <c r="N6222" s="9"/>
      <c r="P6222" s="14"/>
      <c r="Q6222" s="85"/>
      <c r="R6222" s="89"/>
      <c r="U6222" s="11" t="str">
        <f t="shared" si="429"/>
        <v/>
      </c>
      <c r="V6222" s="37"/>
      <c r="Z6222" s="15"/>
    </row>
    <row r="6223" spans="1:26" x14ac:dyDescent="0.25">
      <c r="A6223" s="15" t="str">
        <f>IF(C6223="","",COUNTA($C$3:C6223))</f>
        <v/>
      </c>
      <c r="B6223" s="15" t="str">
        <f t="shared" si="430"/>
        <v/>
      </c>
      <c r="M6223" s="9"/>
      <c r="N6223" s="9"/>
      <c r="P6223" s="14"/>
      <c r="Q6223" s="85"/>
      <c r="R6223" s="89"/>
      <c r="U6223" s="11" t="str">
        <f t="shared" si="429"/>
        <v/>
      </c>
      <c r="V6223" s="37"/>
      <c r="Z6223" s="15"/>
    </row>
    <row r="6224" spans="1:26" x14ac:dyDescent="0.25">
      <c r="A6224" s="15" t="str">
        <f>IF(C6224="","",COUNTA($C$3:C6224))</f>
        <v/>
      </c>
      <c r="B6224" s="15" t="str">
        <f t="shared" si="430"/>
        <v/>
      </c>
      <c r="M6224" s="9"/>
      <c r="N6224" s="9"/>
      <c r="P6224" s="14"/>
      <c r="Q6224" s="85"/>
      <c r="R6224" s="89"/>
      <c r="U6224" s="11" t="str">
        <f t="shared" si="429"/>
        <v/>
      </c>
      <c r="V6224" s="37"/>
      <c r="Z6224" s="15"/>
    </row>
    <row r="6225" spans="1:26" x14ac:dyDescent="0.25">
      <c r="A6225" s="15" t="str">
        <f>IF(C6225="","",COUNTA($C$3:C6225))</f>
        <v/>
      </c>
      <c r="B6225" s="15" t="str">
        <f t="shared" si="430"/>
        <v/>
      </c>
      <c r="M6225" s="9"/>
      <c r="N6225" s="9"/>
      <c r="P6225" s="14"/>
      <c r="Q6225" s="85"/>
      <c r="R6225" s="89"/>
      <c r="U6225" s="11" t="str">
        <f t="shared" si="429"/>
        <v/>
      </c>
      <c r="V6225" s="37"/>
      <c r="Z6225" s="15"/>
    </row>
    <row r="6226" spans="1:26" x14ac:dyDescent="0.25">
      <c r="A6226" s="15" t="str">
        <f>IF(C6226="","",COUNTA($C$3:C6226))</f>
        <v/>
      </c>
      <c r="B6226" s="15" t="str">
        <f t="shared" si="430"/>
        <v/>
      </c>
      <c r="M6226" s="9"/>
      <c r="N6226" s="9"/>
      <c r="P6226" s="14"/>
      <c r="Q6226" s="85"/>
      <c r="R6226" s="89"/>
      <c r="U6226" s="11" t="str">
        <f t="shared" si="429"/>
        <v/>
      </c>
      <c r="V6226" s="37"/>
      <c r="Z6226" s="15"/>
    </row>
    <row r="6227" spans="1:26" x14ac:dyDescent="0.25">
      <c r="A6227" s="15" t="str">
        <f>IF(C6227="","",COUNTA($C$3:C6227))</f>
        <v/>
      </c>
      <c r="B6227" s="15" t="str">
        <f t="shared" si="430"/>
        <v/>
      </c>
      <c r="M6227" s="9"/>
      <c r="N6227" s="9"/>
      <c r="P6227" s="14"/>
      <c r="Q6227" s="85"/>
      <c r="R6227" s="89"/>
      <c r="U6227" s="11" t="str">
        <f t="shared" si="429"/>
        <v/>
      </c>
      <c r="V6227" s="37"/>
      <c r="Z6227" s="15"/>
    </row>
    <row r="6228" spans="1:26" x14ac:dyDescent="0.25">
      <c r="A6228" s="15" t="str">
        <f>IF(C6228="","",COUNTA($C$3:C6228))</f>
        <v/>
      </c>
      <c r="B6228" s="15" t="str">
        <f t="shared" si="430"/>
        <v/>
      </c>
      <c r="M6228" s="9"/>
      <c r="N6228" s="9"/>
      <c r="P6228" s="14"/>
      <c r="Q6228" s="85"/>
      <c r="R6228" s="89"/>
      <c r="U6228" s="11" t="str">
        <f t="shared" si="429"/>
        <v/>
      </c>
      <c r="V6228" s="37"/>
      <c r="Z6228" s="15"/>
    </row>
    <row r="6229" spans="1:26" x14ac:dyDescent="0.25">
      <c r="A6229" s="15" t="str">
        <f>IF(C6229="","",COUNTA($C$3:C6229))</f>
        <v/>
      </c>
      <c r="B6229" s="15" t="str">
        <f t="shared" si="430"/>
        <v/>
      </c>
      <c r="M6229" s="9"/>
      <c r="N6229" s="9"/>
      <c r="P6229" s="14"/>
      <c r="Q6229" s="85"/>
      <c r="R6229" s="89"/>
      <c r="U6229" s="11" t="str">
        <f t="shared" si="429"/>
        <v/>
      </c>
      <c r="V6229" s="37"/>
      <c r="Z6229" s="15"/>
    </row>
    <row r="6230" spans="1:26" x14ac:dyDescent="0.25">
      <c r="A6230" s="15" t="str">
        <f>IF(C6230="","",COUNTA($C$3:C6230))</f>
        <v/>
      </c>
      <c r="B6230" s="15" t="str">
        <f t="shared" si="430"/>
        <v/>
      </c>
      <c r="M6230" s="9"/>
      <c r="N6230" s="9"/>
      <c r="P6230" s="14"/>
      <c r="Q6230" s="85"/>
      <c r="R6230" s="89"/>
      <c r="U6230" s="11" t="str">
        <f t="shared" si="429"/>
        <v/>
      </c>
      <c r="V6230" s="37"/>
      <c r="Z6230" s="15"/>
    </row>
    <row r="6231" spans="1:26" x14ac:dyDescent="0.25">
      <c r="A6231" s="15" t="str">
        <f>IF(C6231="","",COUNTA($C$3:C6231))</f>
        <v/>
      </c>
      <c r="B6231" s="15" t="str">
        <f t="shared" si="430"/>
        <v/>
      </c>
      <c r="M6231" s="9"/>
      <c r="N6231" s="9"/>
      <c r="P6231" s="14"/>
      <c r="Q6231" s="85"/>
      <c r="R6231" s="89"/>
      <c r="U6231" s="11" t="str">
        <f t="shared" si="429"/>
        <v/>
      </c>
      <c r="V6231" s="37"/>
      <c r="Z6231" s="15"/>
    </row>
    <row r="6232" spans="1:26" x14ac:dyDescent="0.25">
      <c r="A6232" s="15" t="str">
        <f>IF(C6232="","",COUNTA($C$3:C6232))</f>
        <v/>
      </c>
      <c r="B6232" s="15" t="str">
        <f t="shared" si="430"/>
        <v/>
      </c>
      <c r="M6232" s="9"/>
      <c r="N6232" s="9"/>
      <c r="P6232" s="14"/>
      <c r="Q6232" s="85"/>
      <c r="R6232" s="89"/>
      <c r="U6232" s="11" t="str">
        <f t="shared" si="429"/>
        <v/>
      </c>
      <c r="V6232" s="37"/>
      <c r="Z6232" s="15"/>
    </row>
    <row r="6233" spans="1:26" x14ac:dyDescent="0.25">
      <c r="A6233" s="15" t="str">
        <f>IF(C6233="","",COUNTA($C$3:C6233))</f>
        <v/>
      </c>
      <c r="B6233" s="15" t="str">
        <f t="shared" si="430"/>
        <v/>
      </c>
      <c r="M6233" s="9"/>
      <c r="N6233" s="9"/>
      <c r="P6233" s="14"/>
      <c r="Q6233" s="85"/>
      <c r="R6233" s="89"/>
      <c r="U6233" s="11" t="str">
        <f t="shared" si="429"/>
        <v/>
      </c>
      <c r="V6233" s="37"/>
      <c r="Z6233" s="15"/>
    </row>
    <row r="6234" spans="1:26" x14ac:dyDescent="0.25">
      <c r="A6234" s="15" t="str">
        <f>IF(C6234="","",COUNTA($C$3:C6234))</f>
        <v/>
      </c>
      <c r="B6234" s="15" t="str">
        <f t="shared" si="430"/>
        <v/>
      </c>
      <c r="M6234" s="9"/>
      <c r="N6234" s="9"/>
      <c r="P6234" s="14"/>
      <c r="Q6234" s="85"/>
      <c r="R6234" s="89"/>
      <c r="U6234" s="11" t="str">
        <f t="shared" si="429"/>
        <v/>
      </c>
      <c r="V6234" s="37"/>
      <c r="Z6234" s="15"/>
    </row>
    <row r="6235" spans="1:26" x14ac:dyDescent="0.25">
      <c r="A6235" s="15" t="str">
        <f>IF(C6235="","",COUNTA($C$3:C6235))</f>
        <v/>
      </c>
      <c r="B6235" s="15" t="str">
        <f t="shared" si="430"/>
        <v/>
      </c>
      <c r="M6235" s="9"/>
      <c r="N6235" s="9"/>
      <c r="P6235" s="14"/>
      <c r="Q6235" s="85"/>
      <c r="R6235" s="89"/>
      <c r="U6235" s="11" t="str">
        <f t="shared" si="429"/>
        <v/>
      </c>
      <c r="V6235" s="37"/>
      <c r="Z6235" s="15"/>
    </row>
    <row r="6236" spans="1:26" x14ac:dyDescent="0.25">
      <c r="A6236" s="15" t="str">
        <f>IF(C6236="","",COUNTA($C$3:C6236))</f>
        <v/>
      </c>
      <c r="B6236" s="15" t="str">
        <f t="shared" si="430"/>
        <v/>
      </c>
      <c r="M6236" s="9"/>
      <c r="N6236" s="9"/>
      <c r="P6236" s="14"/>
      <c r="Q6236" s="85"/>
      <c r="R6236" s="89"/>
      <c r="U6236" s="11" t="str">
        <f t="shared" si="429"/>
        <v/>
      </c>
      <c r="V6236" s="37"/>
      <c r="Z6236" s="15"/>
    </row>
    <row r="6237" spans="1:26" x14ac:dyDescent="0.25">
      <c r="A6237" s="15" t="str">
        <f>IF(C6237="","",COUNTA($C$3:C6237))</f>
        <v/>
      </c>
      <c r="B6237" s="15" t="str">
        <f t="shared" si="430"/>
        <v/>
      </c>
      <c r="M6237" s="9"/>
      <c r="N6237" s="9"/>
      <c r="P6237" s="14"/>
      <c r="Q6237" s="85"/>
      <c r="R6237" s="89"/>
      <c r="U6237" s="11" t="str">
        <f t="shared" si="429"/>
        <v/>
      </c>
      <c r="V6237" s="37"/>
      <c r="Z6237" s="15"/>
    </row>
    <row r="6238" spans="1:26" x14ac:dyDescent="0.25">
      <c r="A6238" s="15" t="str">
        <f>IF(C6238="","",COUNTA($C$3:C6238))</f>
        <v/>
      </c>
      <c r="B6238" s="15" t="str">
        <f t="shared" si="430"/>
        <v/>
      </c>
      <c r="M6238" s="9"/>
      <c r="N6238" s="9"/>
      <c r="P6238" s="14"/>
      <c r="Q6238" s="85"/>
      <c r="R6238" s="89"/>
      <c r="U6238" s="11" t="str">
        <f t="shared" si="429"/>
        <v/>
      </c>
      <c r="V6238" s="37"/>
      <c r="Z6238" s="15"/>
    </row>
    <row r="6239" spans="1:26" x14ac:dyDescent="0.25">
      <c r="A6239" s="15" t="str">
        <f>IF(C6239="","",COUNTA($C$3:C6239))</f>
        <v/>
      </c>
      <c r="B6239" s="15" t="str">
        <f t="shared" si="430"/>
        <v/>
      </c>
      <c r="M6239" s="9"/>
      <c r="N6239" s="9"/>
      <c r="P6239" s="14"/>
      <c r="Q6239" s="85"/>
      <c r="R6239" s="89"/>
      <c r="U6239" s="11" t="str">
        <f t="shared" si="429"/>
        <v/>
      </c>
      <c r="V6239" s="37"/>
      <c r="Z6239" s="15"/>
    </row>
    <row r="6240" spans="1:26" x14ac:dyDescent="0.25">
      <c r="A6240" s="15" t="str">
        <f>IF(C6240="","",COUNTA($C$3:C6240))</f>
        <v/>
      </c>
      <c r="B6240" s="15" t="str">
        <f t="shared" si="430"/>
        <v/>
      </c>
      <c r="M6240" s="9"/>
      <c r="N6240" s="9"/>
      <c r="P6240" s="14"/>
      <c r="Q6240" s="85"/>
      <c r="R6240" s="89"/>
      <c r="U6240" s="11" t="str">
        <f t="shared" si="429"/>
        <v/>
      </c>
      <c r="V6240" s="37"/>
      <c r="Z6240" s="15"/>
    </row>
    <row r="6241" spans="1:26" x14ac:dyDescent="0.25">
      <c r="A6241" s="15" t="str">
        <f>IF(C6241="","",COUNTA($C$3:C6241))</f>
        <v/>
      </c>
      <c r="B6241" s="15" t="str">
        <f t="shared" si="430"/>
        <v/>
      </c>
      <c r="M6241" s="9"/>
      <c r="N6241" s="9"/>
      <c r="P6241" s="14"/>
      <c r="Q6241" s="85"/>
      <c r="R6241" s="89"/>
      <c r="U6241" s="11" t="str">
        <f t="shared" si="429"/>
        <v/>
      </c>
      <c r="V6241" s="37"/>
      <c r="Z6241" s="15"/>
    </row>
    <row r="6242" spans="1:26" x14ac:dyDescent="0.25">
      <c r="A6242" s="15" t="str">
        <f>IF(C6242="","",COUNTA($C$3:C6242))</f>
        <v/>
      </c>
      <c r="B6242" s="15" t="str">
        <f t="shared" si="430"/>
        <v/>
      </c>
      <c r="M6242" s="9"/>
      <c r="N6242" s="9"/>
      <c r="P6242" s="14"/>
      <c r="Q6242" s="85"/>
      <c r="R6242" s="89"/>
      <c r="U6242" s="11" t="str">
        <f t="shared" si="429"/>
        <v/>
      </c>
      <c r="V6242" s="37"/>
      <c r="Z6242" s="15"/>
    </row>
    <row r="6243" spans="1:26" x14ac:dyDescent="0.25">
      <c r="A6243" s="15" t="str">
        <f>IF(C6243="","",COUNTA($C$3:C6243))</f>
        <v/>
      </c>
      <c r="B6243" s="15" t="str">
        <f t="shared" si="430"/>
        <v/>
      </c>
      <c r="M6243" s="9"/>
      <c r="N6243" s="9"/>
      <c r="P6243" s="14"/>
      <c r="Q6243" s="85"/>
      <c r="R6243" s="89"/>
      <c r="U6243" s="11" t="str">
        <f t="shared" si="429"/>
        <v/>
      </c>
      <c r="V6243" s="37"/>
      <c r="Z6243" s="15"/>
    </row>
    <row r="6244" spans="1:26" x14ac:dyDescent="0.25">
      <c r="A6244" s="15" t="str">
        <f>IF(C6244="","",COUNTA($C$3:C6244))</f>
        <v/>
      </c>
      <c r="B6244" s="15" t="str">
        <f t="shared" si="430"/>
        <v/>
      </c>
      <c r="M6244" s="9"/>
      <c r="N6244" s="9"/>
      <c r="P6244" s="14"/>
      <c r="Q6244" s="85"/>
      <c r="R6244" s="89"/>
      <c r="U6244" s="11" t="str">
        <f t="shared" si="429"/>
        <v/>
      </c>
      <c r="V6244" s="37"/>
      <c r="Z6244" s="15"/>
    </row>
    <row r="6245" spans="1:26" x14ac:dyDescent="0.25">
      <c r="A6245" s="15" t="str">
        <f>IF(C6245="","",COUNTA($C$3:C6245))</f>
        <v/>
      </c>
      <c r="B6245" s="15" t="str">
        <f t="shared" si="430"/>
        <v/>
      </c>
      <c r="M6245" s="9"/>
      <c r="N6245" s="9"/>
      <c r="P6245" s="14"/>
      <c r="Q6245" s="85"/>
      <c r="R6245" s="89"/>
      <c r="U6245" s="11" t="str">
        <f t="shared" si="429"/>
        <v/>
      </c>
      <c r="V6245" s="37"/>
      <c r="Z6245" s="15"/>
    </row>
    <row r="6246" spans="1:26" x14ac:dyDescent="0.25">
      <c r="A6246" s="15" t="str">
        <f>IF(C6246="","",COUNTA($C$3:C6246))</f>
        <v/>
      </c>
      <c r="B6246" s="15" t="str">
        <f t="shared" si="430"/>
        <v/>
      </c>
      <c r="M6246" s="9"/>
      <c r="N6246" s="9"/>
      <c r="P6246" s="14"/>
      <c r="Q6246" s="85"/>
      <c r="R6246" s="89"/>
      <c r="U6246" s="11" t="str">
        <f t="shared" si="429"/>
        <v/>
      </c>
      <c r="V6246" s="37"/>
      <c r="Z6246" s="15"/>
    </row>
    <row r="6247" spans="1:26" x14ac:dyDescent="0.25">
      <c r="A6247" s="15" t="str">
        <f>IF(C6247="","",COUNTA($C$3:C6247))</f>
        <v/>
      </c>
      <c r="B6247" s="15" t="str">
        <f t="shared" si="430"/>
        <v/>
      </c>
      <c r="M6247" s="9"/>
      <c r="N6247" s="9"/>
      <c r="P6247" s="14"/>
      <c r="Q6247" s="85"/>
      <c r="R6247" s="89"/>
      <c r="U6247" s="11" t="str">
        <f t="shared" si="429"/>
        <v/>
      </c>
      <c r="V6247" s="37"/>
      <c r="Z6247" s="15"/>
    </row>
    <row r="6248" spans="1:26" x14ac:dyDescent="0.25">
      <c r="A6248" s="15" t="str">
        <f>IF(C6248="","",COUNTA($C$3:C6248))</f>
        <v/>
      </c>
      <c r="B6248" s="15" t="str">
        <f t="shared" si="430"/>
        <v/>
      </c>
      <c r="M6248" s="9"/>
      <c r="N6248" s="9"/>
      <c r="P6248" s="14"/>
      <c r="Q6248" s="85"/>
      <c r="R6248" s="89"/>
      <c r="U6248" s="11" t="str">
        <f t="shared" si="429"/>
        <v/>
      </c>
      <c r="V6248" s="37"/>
      <c r="Z6248" s="15"/>
    </row>
    <row r="6249" spans="1:26" x14ac:dyDescent="0.25">
      <c r="A6249" s="15" t="str">
        <f>IF(C6249="","",COUNTA($C$3:C6249))</f>
        <v/>
      </c>
      <c r="B6249" s="15" t="str">
        <f t="shared" si="430"/>
        <v/>
      </c>
      <c r="M6249" s="9"/>
      <c r="N6249" s="9"/>
      <c r="P6249" s="14"/>
      <c r="Q6249" s="85"/>
      <c r="R6249" s="89"/>
      <c r="U6249" s="11" t="str">
        <f t="shared" si="429"/>
        <v/>
      </c>
      <c r="V6249" s="37"/>
      <c r="Z6249" s="15"/>
    </row>
    <row r="6250" spans="1:26" x14ac:dyDescent="0.25">
      <c r="A6250" s="15" t="str">
        <f>IF(C6250="","",COUNTA($C$3:C6250))</f>
        <v/>
      </c>
      <c r="B6250" s="15" t="str">
        <f t="shared" si="430"/>
        <v/>
      </c>
      <c r="M6250" s="9"/>
      <c r="N6250" s="9"/>
      <c r="P6250" s="14"/>
      <c r="Q6250" s="85"/>
      <c r="R6250" s="89"/>
      <c r="U6250" s="11" t="str">
        <f t="shared" si="429"/>
        <v/>
      </c>
      <c r="V6250" s="37"/>
      <c r="Z6250" s="15"/>
    </row>
    <row r="6251" spans="1:26" x14ac:dyDescent="0.25">
      <c r="A6251" s="15" t="str">
        <f>IF(C6251="","",COUNTA($C$3:C6251))</f>
        <v/>
      </c>
      <c r="B6251" s="15" t="str">
        <f t="shared" si="430"/>
        <v/>
      </c>
      <c r="M6251" s="9"/>
      <c r="N6251" s="9"/>
      <c r="P6251" s="14"/>
      <c r="Q6251" s="85"/>
      <c r="R6251" s="89"/>
      <c r="U6251" s="11" t="str">
        <f t="shared" si="429"/>
        <v/>
      </c>
      <c r="V6251" s="37"/>
      <c r="Z6251" s="15"/>
    </row>
    <row r="6252" spans="1:26" x14ac:dyDescent="0.25">
      <c r="A6252" s="15" t="str">
        <f>IF(C6252="","",COUNTA($C$3:C6252))</f>
        <v/>
      </c>
      <c r="B6252" s="15" t="str">
        <f t="shared" si="430"/>
        <v/>
      </c>
      <c r="M6252" s="9"/>
      <c r="N6252" s="9"/>
      <c r="P6252" s="14"/>
      <c r="Q6252" s="85"/>
      <c r="R6252" s="89"/>
      <c r="U6252" s="11" t="str">
        <f t="shared" si="429"/>
        <v/>
      </c>
      <c r="V6252" s="37"/>
      <c r="Z6252" s="15"/>
    </row>
    <row r="6253" spans="1:26" x14ac:dyDescent="0.25">
      <c r="A6253" s="15" t="str">
        <f>IF(C6253="","",COUNTA($C$3:C6253))</f>
        <v/>
      </c>
      <c r="B6253" s="15" t="str">
        <f t="shared" si="430"/>
        <v/>
      </c>
      <c r="M6253" s="9"/>
      <c r="N6253" s="9"/>
      <c r="P6253" s="14"/>
      <c r="Q6253" s="85"/>
      <c r="R6253" s="89"/>
      <c r="U6253" s="11" t="str">
        <f t="shared" si="429"/>
        <v/>
      </c>
      <c r="V6253" s="37"/>
      <c r="Z6253" s="15"/>
    </row>
    <row r="6254" spans="1:26" x14ac:dyDescent="0.25">
      <c r="A6254" s="15" t="str">
        <f>IF(C6254="","",COUNTA($C$3:C6254))</f>
        <v/>
      </c>
      <c r="B6254" s="15" t="str">
        <f t="shared" si="430"/>
        <v/>
      </c>
      <c r="M6254" s="9"/>
      <c r="N6254" s="9"/>
      <c r="P6254" s="14"/>
      <c r="Q6254" s="85"/>
      <c r="R6254" s="89"/>
      <c r="U6254" s="11" t="str">
        <f t="shared" si="429"/>
        <v/>
      </c>
      <c r="V6254" s="37"/>
      <c r="Z6254" s="15"/>
    </row>
    <row r="6255" spans="1:26" x14ac:dyDescent="0.25">
      <c r="A6255" s="15" t="str">
        <f>IF(C6255="","",COUNTA($C$3:C6255))</f>
        <v/>
      </c>
      <c r="B6255" s="15" t="str">
        <f t="shared" si="430"/>
        <v/>
      </c>
      <c r="M6255" s="9"/>
      <c r="N6255" s="9"/>
      <c r="P6255" s="14"/>
      <c r="Q6255" s="85"/>
      <c r="R6255" s="89"/>
      <c r="U6255" s="11" t="str">
        <f t="shared" si="429"/>
        <v/>
      </c>
      <c r="V6255" s="37"/>
      <c r="Z6255" s="15"/>
    </row>
    <row r="6256" spans="1:26" x14ac:dyDescent="0.25">
      <c r="A6256" s="15" t="str">
        <f>IF(C6256="","",COUNTA($C$3:C6256))</f>
        <v/>
      </c>
      <c r="B6256" s="15" t="str">
        <f t="shared" si="430"/>
        <v/>
      </c>
      <c r="M6256" s="9"/>
      <c r="N6256" s="9"/>
      <c r="P6256" s="14"/>
      <c r="Q6256" s="85"/>
      <c r="R6256" s="89"/>
      <c r="U6256" s="11" t="str">
        <f t="shared" si="429"/>
        <v/>
      </c>
      <c r="V6256" s="37"/>
      <c r="Z6256" s="15"/>
    </row>
    <row r="6257" spans="1:26" x14ac:dyDescent="0.25">
      <c r="A6257" s="15" t="str">
        <f>IF(C6257="","",COUNTA($C$3:C6257))</f>
        <v/>
      </c>
      <c r="B6257" s="15" t="str">
        <f t="shared" si="430"/>
        <v/>
      </c>
      <c r="M6257" s="9"/>
      <c r="N6257" s="9"/>
      <c r="P6257" s="14"/>
      <c r="Q6257" s="85"/>
      <c r="R6257" s="89"/>
      <c r="U6257" s="11" t="str">
        <f t="shared" si="429"/>
        <v/>
      </c>
      <c r="V6257" s="37"/>
      <c r="Z6257" s="15"/>
    </row>
    <row r="6258" spans="1:26" x14ac:dyDescent="0.25">
      <c r="A6258" s="15" t="str">
        <f>IF(C6258="","",COUNTA($C$3:C6258))</f>
        <v/>
      </c>
      <c r="B6258" s="15" t="str">
        <f t="shared" si="430"/>
        <v/>
      </c>
      <c r="M6258" s="9"/>
      <c r="N6258" s="9"/>
      <c r="P6258" s="14"/>
      <c r="Q6258" s="85"/>
      <c r="R6258" s="89"/>
      <c r="U6258" s="11" t="str">
        <f t="shared" si="429"/>
        <v/>
      </c>
      <c r="V6258" s="37"/>
      <c r="Z6258" s="15"/>
    </row>
    <row r="6259" spans="1:26" x14ac:dyDescent="0.25">
      <c r="A6259" s="15" t="str">
        <f>IF(C6259="","",COUNTA($C$3:C6259))</f>
        <v/>
      </c>
      <c r="B6259" s="15" t="str">
        <f t="shared" si="430"/>
        <v/>
      </c>
      <c r="M6259" s="9"/>
      <c r="N6259" s="9"/>
      <c r="P6259" s="14"/>
      <c r="Q6259" s="85"/>
      <c r="R6259" s="89"/>
      <c r="U6259" s="11" t="str">
        <f t="shared" si="429"/>
        <v/>
      </c>
      <c r="V6259" s="37"/>
      <c r="Z6259" s="15"/>
    </row>
    <row r="6260" spans="1:26" x14ac:dyDescent="0.25">
      <c r="A6260" s="15" t="str">
        <f>IF(C6260="","",COUNTA($C$3:C6260))</f>
        <v/>
      </c>
      <c r="B6260" s="15" t="str">
        <f t="shared" si="430"/>
        <v/>
      </c>
      <c r="M6260" s="9"/>
      <c r="N6260" s="9"/>
      <c r="P6260" s="14"/>
      <c r="Q6260" s="85"/>
      <c r="R6260" s="89"/>
      <c r="U6260" s="11" t="str">
        <f t="shared" si="429"/>
        <v/>
      </c>
      <c r="V6260" s="37"/>
      <c r="Z6260" s="15"/>
    </row>
    <row r="6261" spans="1:26" x14ac:dyDescent="0.25">
      <c r="A6261" s="15" t="str">
        <f>IF(C6261="","",COUNTA($C$3:C6261))</f>
        <v/>
      </c>
      <c r="B6261" s="15" t="str">
        <f t="shared" si="430"/>
        <v/>
      </c>
      <c r="M6261" s="9"/>
      <c r="N6261" s="9"/>
      <c r="P6261" s="14"/>
      <c r="Q6261" s="85"/>
      <c r="R6261" s="89"/>
      <c r="U6261" s="11" t="str">
        <f t="shared" si="429"/>
        <v/>
      </c>
      <c r="V6261" s="37"/>
      <c r="Z6261" s="15"/>
    </row>
    <row r="6262" spans="1:26" x14ac:dyDescent="0.25">
      <c r="A6262" s="15" t="str">
        <f>IF(C6262="","",COUNTA($C$3:C6262))</f>
        <v/>
      </c>
      <c r="B6262" s="15" t="str">
        <f t="shared" si="430"/>
        <v/>
      </c>
      <c r="M6262" s="9"/>
      <c r="N6262" s="9"/>
      <c r="P6262" s="14"/>
      <c r="Q6262" s="85"/>
      <c r="R6262" s="89"/>
      <c r="U6262" s="11" t="str">
        <f t="shared" si="429"/>
        <v/>
      </c>
      <c r="V6262" s="37"/>
      <c r="Z6262" s="15"/>
    </row>
    <row r="6263" spans="1:26" x14ac:dyDescent="0.25">
      <c r="A6263" s="15" t="str">
        <f>IF(C6263="","",COUNTA($C$3:C6263))</f>
        <v/>
      </c>
      <c r="B6263" s="15" t="str">
        <f t="shared" si="430"/>
        <v/>
      </c>
      <c r="M6263" s="9"/>
      <c r="N6263" s="9"/>
      <c r="P6263" s="14"/>
      <c r="Q6263" s="85"/>
      <c r="R6263" s="89"/>
      <c r="U6263" s="11" t="str">
        <f t="shared" si="429"/>
        <v/>
      </c>
      <c r="V6263" s="37"/>
      <c r="Z6263" s="15"/>
    </row>
    <row r="6264" spans="1:26" x14ac:dyDescent="0.25">
      <c r="A6264" s="15" t="str">
        <f>IF(C6264="","",COUNTA($C$3:C6264))</f>
        <v/>
      </c>
      <c r="B6264" s="15" t="str">
        <f t="shared" si="430"/>
        <v/>
      </c>
      <c r="M6264" s="9"/>
      <c r="N6264" s="9"/>
      <c r="P6264" s="14"/>
      <c r="Q6264" s="85"/>
      <c r="R6264" s="89"/>
      <c r="U6264" s="11" t="str">
        <f t="shared" si="429"/>
        <v/>
      </c>
      <c r="V6264" s="37"/>
      <c r="Z6264" s="15"/>
    </row>
    <row r="6265" spans="1:26" x14ac:dyDescent="0.25">
      <c r="A6265" s="15" t="str">
        <f>IF(C6265="","",COUNTA($C$3:C6265))</f>
        <v/>
      </c>
      <c r="B6265" s="15" t="str">
        <f t="shared" si="430"/>
        <v/>
      </c>
      <c r="M6265" s="9"/>
      <c r="N6265" s="9"/>
      <c r="P6265" s="14"/>
      <c r="Q6265" s="85"/>
      <c r="R6265" s="89"/>
      <c r="U6265" s="11" t="str">
        <f t="shared" si="429"/>
        <v/>
      </c>
      <c r="V6265" s="37"/>
      <c r="Z6265" s="15"/>
    </row>
    <row r="6266" spans="1:26" x14ac:dyDescent="0.25">
      <c r="A6266" s="15" t="str">
        <f>IF(C6266="","",COUNTA($C$3:C6266))</f>
        <v/>
      </c>
      <c r="B6266" s="15" t="str">
        <f t="shared" si="430"/>
        <v/>
      </c>
      <c r="M6266" s="9"/>
      <c r="N6266" s="9"/>
      <c r="P6266" s="14"/>
      <c r="Q6266" s="85"/>
      <c r="R6266" s="89"/>
      <c r="U6266" s="11" t="str">
        <f t="shared" si="429"/>
        <v/>
      </c>
      <c r="V6266" s="37"/>
      <c r="Z6266" s="15"/>
    </row>
    <row r="6267" spans="1:26" x14ac:dyDescent="0.25">
      <c r="A6267" s="15" t="str">
        <f>IF(C6267="","",COUNTA($C$3:C6267))</f>
        <v/>
      </c>
      <c r="B6267" s="15" t="str">
        <f t="shared" si="430"/>
        <v/>
      </c>
      <c r="M6267" s="9"/>
      <c r="N6267" s="9"/>
      <c r="P6267" s="14"/>
      <c r="Q6267" s="85"/>
      <c r="R6267" s="89"/>
      <c r="U6267" s="11" t="str">
        <f t="shared" si="429"/>
        <v/>
      </c>
      <c r="V6267" s="37"/>
      <c r="Z6267" s="15"/>
    </row>
    <row r="6268" spans="1:26" x14ac:dyDescent="0.25">
      <c r="A6268" s="15" t="str">
        <f>IF(C6268="","",COUNTA($C$3:C6268))</f>
        <v/>
      </c>
      <c r="B6268" s="15" t="str">
        <f t="shared" si="430"/>
        <v/>
      </c>
      <c r="M6268" s="9"/>
      <c r="N6268" s="9"/>
      <c r="P6268" s="14"/>
      <c r="Q6268" s="85"/>
      <c r="R6268" s="89"/>
      <c r="U6268" s="11" t="str">
        <f t="shared" si="429"/>
        <v/>
      </c>
      <c r="V6268" s="37"/>
      <c r="Z6268" s="15"/>
    </row>
    <row r="6269" spans="1:26" x14ac:dyDescent="0.25">
      <c r="A6269" s="15" t="str">
        <f>IF(C6269="","",COUNTA($C$3:C6269))</f>
        <v/>
      </c>
      <c r="B6269" s="15" t="str">
        <f t="shared" si="430"/>
        <v/>
      </c>
      <c r="M6269" s="9"/>
      <c r="N6269" s="9"/>
      <c r="P6269" s="14"/>
      <c r="Q6269" s="85"/>
      <c r="R6269" s="89"/>
      <c r="U6269" s="11" t="str">
        <f t="shared" si="429"/>
        <v/>
      </c>
      <c r="V6269" s="37"/>
      <c r="Z6269" s="15"/>
    </row>
    <row r="6270" spans="1:26" x14ac:dyDescent="0.25">
      <c r="A6270" s="15" t="str">
        <f>IF(C6270="","",COUNTA($C$3:C6270))</f>
        <v/>
      </c>
      <c r="B6270" s="15" t="str">
        <f t="shared" si="430"/>
        <v/>
      </c>
      <c r="M6270" s="9"/>
      <c r="N6270" s="9"/>
      <c r="P6270" s="14"/>
      <c r="Q6270" s="85"/>
      <c r="R6270" s="89"/>
      <c r="U6270" s="11" t="str">
        <f t="shared" si="429"/>
        <v/>
      </c>
      <c r="V6270" s="37"/>
      <c r="Z6270" s="15"/>
    </row>
    <row r="6271" spans="1:26" x14ac:dyDescent="0.25">
      <c r="A6271" s="15" t="str">
        <f>IF(C6271="","",COUNTA($C$3:C6271))</f>
        <v/>
      </c>
      <c r="B6271" s="15" t="str">
        <f t="shared" si="430"/>
        <v/>
      </c>
      <c r="M6271" s="9"/>
      <c r="N6271" s="9"/>
      <c r="P6271" s="14"/>
      <c r="Q6271" s="85"/>
      <c r="R6271" s="89"/>
      <c r="U6271" s="11" t="str">
        <f t="shared" si="429"/>
        <v/>
      </c>
      <c r="V6271" s="37"/>
      <c r="Z6271" s="15"/>
    </row>
    <row r="6272" spans="1:26" x14ac:dyDescent="0.25">
      <c r="A6272" s="15" t="str">
        <f>IF(C6272="","",COUNTA($C$3:C6272))</f>
        <v/>
      </c>
      <c r="B6272" s="15" t="str">
        <f t="shared" si="430"/>
        <v/>
      </c>
      <c r="M6272" s="9"/>
      <c r="N6272" s="9"/>
      <c r="P6272" s="14"/>
      <c r="Q6272" s="85"/>
      <c r="R6272" s="89"/>
      <c r="U6272" s="11" t="str">
        <f t="shared" si="429"/>
        <v/>
      </c>
      <c r="V6272" s="37"/>
      <c r="Z6272" s="15"/>
    </row>
    <row r="6273" spans="1:26" x14ac:dyDescent="0.25">
      <c r="A6273" s="15" t="str">
        <f>IF(C6273="","",COUNTA($C$3:C6273))</f>
        <v/>
      </c>
      <c r="B6273" s="15" t="str">
        <f t="shared" si="430"/>
        <v/>
      </c>
      <c r="M6273" s="9"/>
      <c r="N6273" s="9"/>
      <c r="P6273" s="14"/>
      <c r="Q6273" s="85"/>
      <c r="R6273" s="89"/>
      <c r="U6273" s="11" t="str">
        <f t="shared" si="429"/>
        <v/>
      </c>
      <c r="V6273" s="37"/>
      <c r="Z6273" s="15"/>
    </row>
    <row r="6274" spans="1:26" x14ac:dyDescent="0.25">
      <c r="A6274" s="15" t="str">
        <f>IF(C6274="","",COUNTA($C$3:C6274))</f>
        <v/>
      </c>
      <c r="B6274" s="15" t="str">
        <f t="shared" si="430"/>
        <v/>
      </c>
      <c r="M6274" s="9"/>
      <c r="N6274" s="9"/>
      <c r="P6274" s="14"/>
      <c r="Q6274" s="85"/>
      <c r="R6274" s="89"/>
      <c r="U6274" s="11" t="str">
        <f t="shared" ref="U6274:U6337" si="431">IF(S6274="","",(S6274-T6274))</f>
        <v/>
      </c>
      <c r="V6274" s="37"/>
      <c r="Z6274" s="15"/>
    </row>
    <row r="6275" spans="1:26" x14ac:dyDescent="0.25">
      <c r="A6275" s="15" t="str">
        <f>IF(C6275="","",COUNTA($C$3:C6275))</f>
        <v/>
      </c>
      <c r="B6275" s="15" t="str">
        <f t="shared" ref="B6275:B6338" si="432">IF(C6275="","",TEXT(C6275,"mmmm"))</f>
        <v/>
      </c>
      <c r="M6275" s="9"/>
      <c r="N6275" s="9"/>
      <c r="P6275" s="14"/>
      <c r="Q6275" s="85"/>
      <c r="R6275" s="89"/>
      <c r="U6275" s="11" t="str">
        <f t="shared" si="431"/>
        <v/>
      </c>
      <c r="V6275" s="37"/>
      <c r="Z6275" s="15"/>
    </row>
    <row r="6276" spans="1:26" x14ac:dyDescent="0.25">
      <c r="A6276" s="15" t="str">
        <f>IF(C6276="","",COUNTA($C$3:C6276))</f>
        <v/>
      </c>
      <c r="B6276" s="15" t="str">
        <f t="shared" si="432"/>
        <v/>
      </c>
      <c r="M6276" s="9"/>
      <c r="N6276" s="9"/>
      <c r="P6276" s="14"/>
      <c r="Q6276" s="85"/>
      <c r="R6276" s="89"/>
      <c r="U6276" s="11" t="str">
        <f t="shared" si="431"/>
        <v/>
      </c>
      <c r="V6276" s="37"/>
      <c r="Z6276" s="15"/>
    </row>
    <row r="6277" spans="1:26" x14ac:dyDescent="0.25">
      <c r="A6277" s="15" t="str">
        <f>IF(C6277="","",COUNTA($C$3:C6277))</f>
        <v/>
      </c>
      <c r="B6277" s="15" t="str">
        <f t="shared" si="432"/>
        <v/>
      </c>
      <c r="M6277" s="9"/>
      <c r="N6277" s="9"/>
      <c r="P6277" s="14"/>
      <c r="Q6277" s="85"/>
      <c r="R6277" s="89"/>
      <c r="U6277" s="11" t="str">
        <f t="shared" si="431"/>
        <v/>
      </c>
      <c r="V6277" s="37"/>
      <c r="Z6277" s="15"/>
    </row>
    <row r="6278" spans="1:26" x14ac:dyDescent="0.25">
      <c r="A6278" s="15" t="str">
        <f>IF(C6278="","",COUNTA($C$3:C6278))</f>
        <v/>
      </c>
      <c r="B6278" s="15" t="str">
        <f t="shared" si="432"/>
        <v/>
      </c>
      <c r="M6278" s="9"/>
      <c r="N6278" s="9"/>
      <c r="P6278" s="14"/>
      <c r="Q6278" s="85"/>
      <c r="R6278" s="89"/>
      <c r="U6278" s="11" t="str">
        <f t="shared" si="431"/>
        <v/>
      </c>
      <c r="V6278" s="37"/>
      <c r="Z6278" s="15"/>
    </row>
    <row r="6279" spans="1:26" x14ac:dyDescent="0.25">
      <c r="A6279" s="15" t="str">
        <f>IF(C6279="","",COUNTA($C$3:C6279))</f>
        <v/>
      </c>
      <c r="B6279" s="15" t="str">
        <f t="shared" si="432"/>
        <v/>
      </c>
      <c r="M6279" s="9"/>
      <c r="N6279" s="9"/>
      <c r="P6279" s="14"/>
      <c r="Q6279" s="85"/>
      <c r="R6279" s="89"/>
      <c r="U6279" s="11" t="str">
        <f t="shared" si="431"/>
        <v/>
      </c>
      <c r="V6279" s="37"/>
      <c r="Z6279" s="15"/>
    </row>
    <row r="6280" spans="1:26" x14ac:dyDescent="0.25">
      <c r="A6280" s="15" t="str">
        <f>IF(C6280="","",COUNTA($C$3:C6280))</f>
        <v/>
      </c>
      <c r="B6280" s="15" t="str">
        <f t="shared" si="432"/>
        <v/>
      </c>
      <c r="M6280" s="9"/>
      <c r="N6280" s="9"/>
      <c r="P6280" s="14"/>
      <c r="Q6280" s="85"/>
      <c r="R6280" s="89"/>
      <c r="U6280" s="11" t="str">
        <f t="shared" si="431"/>
        <v/>
      </c>
      <c r="V6280" s="37"/>
      <c r="Z6280" s="15"/>
    </row>
    <row r="6281" spans="1:26" x14ac:dyDescent="0.25">
      <c r="A6281" s="15" t="str">
        <f>IF(C6281="","",COUNTA($C$3:C6281))</f>
        <v/>
      </c>
      <c r="B6281" s="15" t="str">
        <f t="shared" si="432"/>
        <v/>
      </c>
      <c r="M6281" s="9"/>
      <c r="N6281" s="9"/>
      <c r="P6281" s="14"/>
      <c r="Q6281" s="85"/>
      <c r="R6281" s="89"/>
      <c r="U6281" s="11" t="str">
        <f t="shared" si="431"/>
        <v/>
      </c>
      <c r="V6281" s="37"/>
      <c r="Z6281" s="15"/>
    </row>
    <row r="6282" spans="1:26" x14ac:dyDescent="0.25">
      <c r="A6282" s="15" t="str">
        <f>IF(C6282="","",COUNTA($C$3:C6282))</f>
        <v/>
      </c>
      <c r="B6282" s="15" t="str">
        <f t="shared" si="432"/>
        <v/>
      </c>
      <c r="M6282" s="9"/>
      <c r="N6282" s="9"/>
      <c r="P6282" s="14"/>
      <c r="Q6282" s="85"/>
      <c r="R6282" s="89"/>
      <c r="U6282" s="11" t="str">
        <f t="shared" si="431"/>
        <v/>
      </c>
      <c r="V6282" s="37"/>
      <c r="Z6282" s="15"/>
    </row>
    <row r="6283" spans="1:26" x14ac:dyDescent="0.25">
      <c r="A6283" s="15" t="str">
        <f>IF(C6283="","",COUNTA($C$3:C6283))</f>
        <v/>
      </c>
      <c r="B6283" s="15" t="str">
        <f t="shared" si="432"/>
        <v/>
      </c>
      <c r="M6283" s="9"/>
      <c r="N6283" s="9"/>
      <c r="P6283" s="14"/>
      <c r="Q6283" s="85"/>
      <c r="R6283" s="89"/>
      <c r="U6283" s="11" t="str">
        <f t="shared" si="431"/>
        <v/>
      </c>
      <c r="V6283" s="37"/>
      <c r="Z6283" s="15"/>
    </row>
    <row r="6284" spans="1:26" x14ac:dyDescent="0.25">
      <c r="A6284" s="15" t="str">
        <f>IF(C6284="","",COUNTA($C$3:C6284))</f>
        <v/>
      </c>
      <c r="B6284" s="15" t="str">
        <f t="shared" si="432"/>
        <v/>
      </c>
      <c r="M6284" s="9"/>
      <c r="N6284" s="9"/>
      <c r="P6284" s="14"/>
      <c r="Q6284" s="85"/>
      <c r="R6284" s="89"/>
      <c r="U6284" s="11" t="str">
        <f t="shared" si="431"/>
        <v/>
      </c>
      <c r="V6284" s="37"/>
      <c r="Z6284" s="15"/>
    </row>
    <row r="6285" spans="1:26" x14ac:dyDescent="0.25">
      <c r="A6285" s="15" t="str">
        <f>IF(C6285="","",COUNTA($C$3:C6285))</f>
        <v/>
      </c>
      <c r="B6285" s="15" t="str">
        <f t="shared" si="432"/>
        <v/>
      </c>
      <c r="M6285" s="9"/>
      <c r="N6285" s="9"/>
      <c r="P6285" s="14"/>
      <c r="Q6285" s="85"/>
      <c r="R6285" s="89"/>
      <c r="U6285" s="11" t="str">
        <f t="shared" si="431"/>
        <v/>
      </c>
      <c r="V6285" s="37"/>
      <c r="Z6285" s="15"/>
    </row>
    <row r="6286" spans="1:26" x14ac:dyDescent="0.25">
      <c r="A6286" s="15" t="str">
        <f>IF(C6286="","",COUNTA($C$3:C6286))</f>
        <v/>
      </c>
      <c r="B6286" s="15" t="str">
        <f t="shared" si="432"/>
        <v/>
      </c>
      <c r="M6286" s="9"/>
      <c r="N6286" s="9"/>
      <c r="P6286" s="14"/>
      <c r="Q6286" s="85"/>
      <c r="R6286" s="89"/>
      <c r="U6286" s="11" t="str">
        <f t="shared" si="431"/>
        <v/>
      </c>
      <c r="V6286" s="37"/>
      <c r="Z6286" s="15"/>
    </row>
    <row r="6287" spans="1:26" x14ac:dyDescent="0.25">
      <c r="A6287" s="15" t="str">
        <f>IF(C6287="","",COUNTA($C$3:C6287))</f>
        <v/>
      </c>
      <c r="B6287" s="15" t="str">
        <f t="shared" si="432"/>
        <v/>
      </c>
      <c r="M6287" s="9"/>
      <c r="N6287" s="9"/>
      <c r="P6287" s="14"/>
      <c r="Q6287" s="85"/>
      <c r="R6287" s="89"/>
      <c r="U6287" s="11" t="str">
        <f t="shared" si="431"/>
        <v/>
      </c>
      <c r="V6287" s="37"/>
      <c r="Z6287" s="15"/>
    </row>
    <row r="6288" spans="1:26" x14ac:dyDescent="0.25">
      <c r="A6288" s="15" t="str">
        <f>IF(C6288="","",COUNTA($C$3:C6288))</f>
        <v/>
      </c>
      <c r="B6288" s="15" t="str">
        <f t="shared" si="432"/>
        <v/>
      </c>
      <c r="M6288" s="9"/>
      <c r="N6288" s="9"/>
      <c r="P6288" s="14"/>
      <c r="Q6288" s="85"/>
      <c r="R6288" s="89"/>
      <c r="U6288" s="11" t="str">
        <f t="shared" si="431"/>
        <v/>
      </c>
      <c r="V6288" s="37"/>
      <c r="Z6288" s="15"/>
    </row>
    <row r="6289" spans="1:26" x14ac:dyDescent="0.25">
      <c r="A6289" s="15" t="str">
        <f>IF(C6289="","",COUNTA($C$3:C6289))</f>
        <v/>
      </c>
      <c r="B6289" s="15" t="str">
        <f t="shared" si="432"/>
        <v/>
      </c>
      <c r="M6289" s="9"/>
      <c r="N6289" s="9"/>
      <c r="P6289" s="14"/>
      <c r="Q6289" s="85"/>
      <c r="R6289" s="89"/>
      <c r="U6289" s="11" t="str">
        <f t="shared" si="431"/>
        <v/>
      </c>
      <c r="V6289" s="37"/>
      <c r="Z6289" s="15"/>
    </row>
    <row r="6290" spans="1:26" x14ac:dyDescent="0.25">
      <c r="A6290" s="15" t="str">
        <f>IF(C6290="","",COUNTA($C$3:C6290))</f>
        <v/>
      </c>
      <c r="B6290" s="15" t="str">
        <f t="shared" si="432"/>
        <v/>
      </c>
      <c r="M6290" s="9"/>
      <c r="N6290" s="9"/>
      <c r="P6290" s="14"/>
      <c r="Q6290" s="85"/>
      <c r="R6290" s="89"/>
      <c r="U6290" s="11" t="str">
        <f t="shared" si="431"/>
        <v/>
      </c>
      <c r="V6290" s="37"/>
      <c r="Z6290" s="15"/>
    </row>
    <row r="6291" spans="1:26" x14ac:dyDescent="0.25">
      <c r="A6291" s="15" t="str">
        <f>IF(C6291="","",COUNTA($C$3:C6291))</f>
        <v/>
      </c>
      <c r="B6291" s="15" t="str">
        <f t="shared" si="432"/>
        <v/>
      </c>
      <c r="M6291" s="9"/>
      <c r="N6291" s="9"/>
      <c r="P6291" s="14"/>
      <c r="Q6291" s="85"/>
      <c r="R6291" s="89"/>
      <c r="U6291" s="11" t="str">
        <f t="shared" si="431"/>
        <v/>
      </c>
      <c r="V6291" s="37"/>
      <c r="Z6291" s="15"/>
    </row>
    <row r="6292" spans="1:26" x14ac:dyDescent="0.25">
      <c r="A6292" s="15" t="str">
        <f>IF(C6292="","",COUNTA($C$3:C6292))</f>
        <v/>
      </c>
      <c r="B6292" s="15" t="str">
        <f t="shared" si="432"/>
        <v/>
      </c>
      <c r="M6292" s="9"/>
      <c r="N6292" s="9"/>
      <c r="P6292" s="14"/>
      <c r="Q6292" s="85"/>
      <c r="R6292" s="89"/>
      <c r="U6292" s="11" t="str">
        <f t="shared" si="431"/>
        <v/>
      </c>
      <c r="V6292" s="37"/>
      <c r="Z6292" s="15"/>
    </row>
    <row r="6293" spans="1:26" x14ac:dyDescent="0.25">
      <c r="A6293" s="15" t="str">
        <f>IF(C6293="","",COUNTA($C$3:C6293))</f>
        <v/>
      </c>
      <c r="B6293" s="15" t="str">
        <f t="shared" si="432"/>
        <v/>
      </c>
      <c r="M6293" s="9"/>
      <c r="N6293" s="9"/>
      <c r="P6293" s="14"/>
      <c r="Q6293" s="85"/>
      <c r="R6293" s="89"/>
      <c r="U6293" s="11" t="str">
        <f t="shared" si="431"/>
        <v/>
      </c>
      <c r="V6293" s="37"/>
      <c r="Z6293" s="15"/>
    </row>
    <row r="6294" spans="1:26" x14ac:dyDescent="0.25">
      <c r="A6294" s="15" t="str">
        <f>IF(C6294="","",COUNTA($C$3:C6294))</f>
        <v/>
      </c>
      <c r="B6294" s="15" t="str">
        <f t="shared" si="432"/>
        <v/>
      </c>
      <c r="M6294" s="9"/>
      <c r="N6294" s="9"/>
      <c r="P6294" s="14"/>
      <c r="Q6294" s="85"/>
      <c r="R6294" s="89"/>
      <c r="U6294" s="11" t="str">
        <f t="shared" si="431"/>
        <v/>
      </c>
      <c r="V6294" s="37"/>
      <c r="Z6294" s="15"/>
    </row>
    <row r="6295" spans="1:26" x14ac:dyDescent="0.25">
      <c r="A6295" s="15" t="str">
        <f>IF(C6295="","",COUNTA($C$3:C6295))</f>
        <v/>
      </c>
      <c r="B6295" s="15" t="str">
        <f t="shared" si="432"/>
        <v/>
      </c>
      <c r="M6295" s="9"/>
      <c r="N6295" s="9"/>
      <c r="P6295" s="14"/>
      <c r="Q6295" s="85"/>
      <c r="R6295" s="89"/>
      <c r="U6295" s="11" t="str">
        <f t="shared" si="431"/>
        <v/>
      </c>
      <c r="V6295" s="37"/>
      <c r="Z6295" s="15"/>
    </row>
    <row r="6296" spans="1:26" x14ac:dyDescent="0.25">
      <c r="A6296" s="15" t="str">
        <f>IF(C6296="","",COUNTA($C$3:C6296))</f>
        <v/>
      </c>
      <c r="B6296" s="15" t="str">
        <f t="shared" si="432"/>
        <v/>
      </c>
      <c r="M6296" s="9"/>
      <c r="N6296" s="9"/>
      <c r="P6296" s="14"/>
      <c r="Q6296" s="85"/>
      <c r="R6296" s="89"/>
      <c r="U6296" s="11" t="str">
        <f t="shared" si="431"/>
        <v/>
      </c>
      <c r="V6296" s="37"/>
      <c r="Z6296" s="15"/>
    </row>
    <row r="6297" spans="1:26" x14ac:dyDescent="0.25">
      <c r="A6297" s="15" t="str">
        <f>IF(C6297="","",COUNTA($C$3:C6297))</f>
        <v/>
      </c>
      <c r="B6297" s="15" t="str">
        <f t="shared" si="432"/>
        <v/>
      </c>
      <c r="M6297" s="9"/>
      <c r="N6297" s="9"/>
      <c r="P6297" s="14"/>
      <c r="Q6297" s="85"/>
      <c r="R6297" s="89"/>
      <c r="U6297" s="11" t="str">
        <f t="shared" si="431"/>
        <v/>
      </c>
      <c r="V6297" s="37"/>
      <c r="Z6297" s="15"/>
    </row>
    <row r="6298" spans="1:26" x14ac:dyDescent="0.25">
      <c r="A6298" s="15" t="str">
        <f>IF(C6298="","",COUNTA($C$3:C6298))</f>
        <v/>
      </c>
      <c r="B6298" s="15" t="str">
        <f t="shared" si="432"/>
        <v/>
      </c>
      <c r="M6298" s="9"/>
      <c r="N6298" s="9"/>
      <c r="P6298" s="14"/>
      <c r="Q6298" s="85"/>
      <c r="R6298" s="89"/>
      <c r="U6298" s="11" t="str">
        <f t="shared" si="431"/>
        <v/>
      </c>
      <c r="V6298" s="37"/>
      <c r="Z6298" s="15"/>
    </row>
    <row r="6299" spans="1:26" x14ac:dyDescent="0.25">
      <c r="A6299" s="15" t="str">
        <f>IF(C6299="","",COUNTA($C$3:C6299))</f>
        <v/>
      </c>
      <c r="B6299" s="15" t="str">
        <f t="shared" si="432"/>
        <v/>
      </c>
      <c r="M6299" s="9"/>
      <c r="N6299" s="9"/>
      <c r="P6299" s="14"/>
      <c r="Q6299" s="85"/>
      <c r="R6299" s="89"/>
      <c r="U6299" s="11" t="str">
        <f t="shared" si="431"/>
        <v/>
      </c>
      <c r="V6299" s="37"/>
      <c r="Z6299" s="15"/>
    </row>
    <row r="6300" spans="1:26" x14ac:dyDescent="0.25">
      <c r="A6300" s="15" t="str">
        <f>IF(C6300="","",COUNTA($C$3:C6300))</f>
        <v/>
      </c>
      <c r="B6300" s="15" t="str">
        <f t="shared" si="432"/>
        <v/>
      </c>
      <c r="M6300" s="9"/>
      <c r="N6300" s="9"/>
      <c r="P6300" s="14"/>
      <c r="Q6300" s="85"/>
      <c r="R6300" s="89"/>
      <c r="U6300" s="11" t="str">
        <f t="shared" si="431"/>
        <v/>
      </c>
      <c r="V6300" s="37"/>
      <c r="Z6300" s="15"/>
    </row>
    <row r="6301" spans="1:26" x14ac:dyDescent="0.25">
      <c r="A6301" s="15" t="str">
        <f>IF(C6301="","",COUNTA($C$3:C6301))</f>
        <v/>
      </c>
      <c r="B6301" s="15" t="str">
        <f t="shared" si="432"/>
        <v/>
      </c>
      <c r="M6301" s="9"/>
      <c r="N6301" s="9"/>
      <c r="P6301" s="14"/>
      <c r="Q6301" s="85"/>
      <c r="R6301" s="89"/>
      <c r="U6301" s="11" t="str">
        <f t="shared" si="431"/>
        <v/>
      </c>
      <c r="V6301" s="37"/>
      <c r="Z6301" s="15"/>
    </row>
    <row r="6302" spans="1:26" x14ac:dyDescent="0.25">
      <c r="A6302" s="15" t="str">
        <f>IF(C6302="","",COUNTA($C$3:C6302))</f>
        <v/>
      </c>
      <c r="B6302" s="15" t="str">
        <f t="shared" si="432"/>
        <v/>
      </c>
      <c r="M6302" s="9"/>
      <c r="N6302" s="9"/>
      <c r="P6302" s="14"/>
      <c r="Q6302" s="85"/>
      <c r="R6302" s="89"/>
      <c r="U6302" s="11" t="str">
        <f t="shared" si="431"/>
        <v/>
      </c>
      <c r="V6302" s="37"/>
      <c r="Z6302" s="15"/>
    </row>
    <row r="6303" spans="1:26" x14ac:dyDescent="0.25">
      <c r="A6303" s="15" t="str">
        <f>IF(C6303="","",COUNTA($C$3:C6303))</f>
        <v/>
      </c>
      <c r="B6303" s="15" t="str">
        <f t="shared" si="432"/>
        <v/>
      </c>
      <c r="M6303" s="9"/>
      <c r="N6303" s="9"/>
      <c r="P6303" s="14"/>
      <c r="Q6303" s="85"/>
      <c r="R6303" s="89"/>
      <c r="U6303" s="11" t="str">
        <f t="shared" si="431"/>
        <v/>
      </c>
      <c r="V6303" s="37"/>
      <c r="Z6303" s="15"/>
    </row>
    <row r="6304" spans="1:26" x14ac:dyDescent="0.25">
      <c r="A6304" s="15" t="str">
        <f>IF(C6304="","",COUNTA($C$3:C6304))</f>
        <v/>
      </c>
      <c r="B6304" s="15" t="str">
        <f t="shared" si="432"/>
        <v/>
      </c>
      <c r="M6304" s="9"/>
      <c r="N6304" s="9"/>
      <c r="P6304" s="14"/>
      <c r="Q6304" s="85"/>
      <c r="R6304" s="89"/>
      <c r="U6304" s="11" t="str">
        <f t="shared" si="431"/>
        <v/>
      </c>
      <c r="V6304" s="37"/>
      <c r="Z6304" s="15"/>
    </row>
    <row r="6305" spans="1:26" x14ac:dyDescent="0.25">
      <c r="A6305" s="15" t="str">
        <f>IF(C6305="","",COUNTA($C$3:C6305))</f>
        <v/>
      </c>
      <c r="B6305" s="15" t="str">
        <f t="shared" si="432"/>
        <v/>
      </c>
      <c r="M6305" s="9"/>
      <c r="N6305" s="9"/>
      <c r="P6305" s="14"/>
      <c r="Q6305" s="85"/>
      <c r="R6305" s="89"/>
      <c r="U6305" s="11" t="str">
        <f t="shared" si="431"/>
        <v/>
      </c>
      <c r="V6305" s="37"/>
      <c r="Z6305" s="15"/>
    </row>
    <row r="6306" spans="1:26" x14ac:dyDescent="0.25">
      <c r="A6306" s="15" t="str">
        <f>IF(C6306="","",COUNTA($C$3:C6306))</f>
        <v/>
      </c>
      <c r="B6306" s="15" t="str">
        <f t="shared" si="432"/>
        <v/>
      </c>
      <c r="M6306" s="9"/>
      <c r="N6306" s="9"/>
      <c r="P6306" s="14"/>
      <c r="Q6306" s="85"/>
      <c r="R6306" s="89"/>
      <c r="U6306" s="11" t="str">
        <f t="shared" si="431"/>
        <v/>
      </c>
      <c r="V6306" s="37"/>
      <c r="Z6306" s="15"/>
    </row>
    <row r="6307" spans="1:26" x14ac:dyDescent="0.25">
      <c r="A6307" s="15" t="str">
        <f>IF(C6307="","",COUNTA($C$3:C6307))</f>
        <v/>
      </c>
      <c r="B6307" s="15" t="str">
        <f t="shared" si="432"/>
        <v/>
      </c>
      <c r="M6307" s="9"/>
      <c r="N6307" s="9"/>
      <c r="P6307" s="14"/>
      <c r="Q6307" s="85"/>
      <c r="R6307" s="89"/>
      <c r="U6307" s="11" t="str">
        <f t="shared" si="431"/>
        <v/>
      </c>
      <c r="V6307" s="37"/>
      <c r="Z6307" s="15"/>
    </row>
    <row r="6308" spans="1:26" x14ac:dyDescent="0.25">
      <c r="A6308" s="15" t="str">
        <f>IF(C6308="","",COUNTA($C$3:C6308))</f>
        <v/>
      </c>
      <c r="B6308" s="15" t="str">
        <f t="shared" si="432"/>
        <v/>
      </c>
      <c r="M6308" s="9"/>
      <c r="N6308" s="9"/>
      <c r="P6308" s="14"/>
      <c r="Q6308" s="85"/>
      <c r="R6308" s="89"/>
      <c r="U6308" s="11" t="str">
        <f t="shared" si="431"/>
        <v/>
      </c>
      <c r="V6308" s="37"/>
      <c r="Z6308" s="15"/>
    </row>
    <row r="6309" spans="1:26" x14ac:dyDescent="0.25">
      <c r="A6309" s="15" t="str">
        <f>IF(C6309="","",COUNTA($C$3:C6309))</f>
        <v/>
      </c>
      <c r="B6309" s="15" t="str">
        <f t="shared" si="432"/>
        <v/>
      </c>
      <c r="M6309" s="9"/>
      <c r="N6309" s="9"/>
      <c r="P6309" s="14"/>
      <c r="Q6309" s="85"/>
      <c r="R6309" s="89"/>
      <c r="U6309" s="11" t="str">
        <f t="shared" si="431"/>
        <v/>
      </c>
      <c r="V6309" s="37"/>
      <c r="Z6309" s="15"/>
    </row>
    <row r="6310" spans="1:26" x14ac:dyDescent="0.25">
      <c r="A6310" s="15" t="str">
        <f>IF(C6310="","",COUNTA($C$3:C6310))</f>
        <v/>
      </c>
      <c r="B6310" s="15" t="str">
        <f t="shared" si="432"/>
        <v/>
      </c>
      <c r="M6310" s="9"/>
      <c r="N6310" s="9"/>
      <c r="P6310" s="14"/>
      <c r="Q6310" s="85"/>
      <c r="R6310" s="89"/>
      <c r="U6310" s="11" t="str">
        <f t="shared" si="431"/>
        <v/>
      </c>
      <c r="V6310" s="37"/>
      <c r="Z6310" s="15"/>
    </row>
    <row r="6311" spans="1:26" x14ac:dyDescent="0.25">
      <c r="A6311" s="15" t="str">
        <f>IF(C6311="","",COUNTA($C$3:C6311))</f>
        <v/>
      </c>
      <c r="B6311" s="15" t="str">
        <f t="shared" si="432"/>
        <v/>
      </c>
      <c r="M6311" s="9"/>
      <c r="N6311" s="9"/>
      <c r="P6311" s="14"/>
      <c r="Q6311" s="85"/>
      <c r="R6311" s="89"/>
      <c r="U6311" s="11" t="str">
        <f t="shared" si="431"/>
        <v/>
      </c>
      <c r="V6311" s="37"/>
      <c r="Z6311" s="15"/>
    </row>
    <row r="6312" spans="1:26" x14ac:dyDescent="0.25">
      <c r="A6312" s="15" t="str">
        <f>IF(C6312="","",COUNTA($C$3:C6312))</f>
        <v/>
      </c>
      <c r="B6312" s="15" t="str">
        <f t="shared" si="432"/>
        <v/>
      </c>
      <c r="M6312" s="9"/>
      <c r="N6312" s="9"/>
      <c r="P6312" s="14"/>
      <c r="Q6312" s="85"/>
      <c r="R6312" s="89"/>
      <c r="U6312" s="11" t="str">
        <f t="shared" si="431"/>
        <v/>
      </c>
      <c r="V6312" s="37"/>
      <c r="Z6312" s="15"/>
    </row>
    <row r="6313" spans="1:26" x14ac:dyDescent="0.25">
      <c r="A6313" s="15" t="str">
        <f>IF(C6313="","",COUNTA($C$3:C6313))</f>
        <v/>
      </c>
      <c r="B6313" s="15" t="str">
        <f t="shared" si="432"/>
        <v/>
      </c>
      <c r="M6313" s="9"/>
      <c r="N6313" s="9"/>
      <c r="P6313" s="14"/>
      <c r="Q6313" s="85"/>
      <c r="R6313" s="89"/>
      <c r="U6313" s="11" t="str">
        <f t="shared" si="431"/>
        <v/>
      </c>
      <c r="V6313" s="37"/>
      <c r="Z6313" s="15"/>
    </row>
    <row r="6314" spans="1:26" x14ac:dyDescent="0.25">
      <c r="A6314" s="15" t="str">
        <f>IF(C6314="","",COUNTA($C$3:C6314))</f>
        <v/>
      </c>
      <c r="B6314" s="15" t="str">
        <f t="shared" si="432"/>
        <v/>
      </c>
      <c r="M6314" s="9"/>
      <c r="N6314" s="9"/>
      <c r="P6314" s="14"/>
      <c r="Q6314" s="85"/>
      <c r="R6314" s="89"/>
      <c r="U6314" s="11" t="str">
        <f t="shared" si="431"/>
        <v/>
      </c>
      <c r="V6314" s="37"/>
      <c r="Z6314" s="15"/>
    </row>
    <row r="6315" spans="1:26" x14ac:dyDescent="0.25">
      <c r="A6315" s="15" t="str">
        <f>IF(C6315="","",COUNTA($C$3:C6315))</f>
        <v/>
      </c>
      <c r="B6315" s="15" t="str">
        <f t="shared" si="432"/>
        <v/>
      </c>
      <c r="M6315" s="9"/>
      <c r="N6315" s="9"/>
      <c r="P6315" s="14"/>
      <c r="Q6315" s="85"/>
      <c r="R6315" s="89"/>
      <c r="U6315" s="11" t="str">
        <f t="shared" si="431"/>
        <v/>
      </c>
      <c r="V6315" s="37"/>
      <c r="Z6315" s="15"/>
    </row>
    <row r="6316" spans="1:26" x14ac:dyDescent="0.25">
      <c r="A6316" s="15" t="str">
        <f>IF(C6316="","",COUNTA($C$3:C6316))</f>
        <v/>
      </c>
      <c r="B6316" s="15" t="str">
        <f t="shared" si="432"/>
        <v/>
      </c>
      <c r="M6316" s="9"/>
      <c r="N6316" s="9"/>
      <c r="P6316" s="14"/>
      <c r="Q6316" s="85"/>
      <c r="R6316" s="89"/>
      <c r="U6316" s="11" t="str">
        <f t="shared" si="431"/>
        <v/>
      </c>
      <c r="V6316" s="37"/>
      <c r="Z6316" s="15"/>
    </row>
    <row r="6317" spans="1:26" x14ac:dyDescent="0.25">
      <c r="A6317" s="15" t="str">
        <f>IF(C6317="","",COUNTA($C$3:C6317))</f>
        <v/>
      </c>
      <c r="B6317" s="15" t="str">
        <f t="shared" si="432"/>
        <v/>
      </c>
      <c r="M6317" s="9"/>
      <c r="N6317" s="9"/>
      <c r="P6317" s="14"/>
      <c r="Q6317" s="85"/>
      <c r="R6317" s="89"/>
      <c r="U6317" s="11" t="str">
        <f t="shared" si="431"/>
        <v/>
      </c>
      <c r="V6317" s="37"/>
      <c r="Z6317" s="15"/>
    </row>
    <row r="6318" spans="1:26" x14ac:dyDescent="0.25">
      <c r="A6318" s="15" t="str">
        <f>IF(C6318="","",COUNTA($C$3:C6318))</f>
        <v/>
      </c>
      <c r="B6318" s="15" t="str">
        <f t="shared" si="432"/>
        <v/>
      </c>
      <c r="M6318" s="9"/>
      <c r="N6318" s="9"/>
      <c r="P6318" s="14"/>
      <c r="Q6318" s="85"/>
      <c r="R6318" s="89"/>
      <c r="U6318" s="11" t="str">
        <f t="shared" si="431"/>
        <v/>
      </c>
      <c r="V6318" s="37"/>
      <c r="Z6318" s="15"/>
    </row>
    <row r="6319" spans="1:26" x14ac:dyDescent="0.25">
      <c r="A6319" s="15" t="str">
        <f>IF(C6319="","",COUNTA($C$3:C6319))</f>
        <v/>
      </c>
      <c r="B6319" s="15" t="str">
        <f t="shared" si="432"/>
        <v/>
      </c>
      <c r="M6319" s="9"/>
      <c r="N6319" s="9"/>
      <c r="P6319" s="14"/>
      <c r="Q6319" s="85"/>
      <c r="R6319" s="89"/>
      <c r="U6319" s="11" t="str">
        <f t="shared" si="431"/>
        <v/>
      </c>
      <c r="V6319" s="37"/>
      <c r="Z6319" s="15"/>
    </row>
    <row r="6320" spans="1:26" x14ac:dyDescent="0.25">
      <c r="A6320" s="15" t="str">
        <f>IF(C6320="","",COUNTA($C$3:C6320))</f>
        <v/>
      </c>
      <c r="B6320" s="15" t="str">
        <f t="shared" si="432"/>
        <v/>
      </c>
      <c r="M6320" s="9"/>
      <c r="N6320" s="9"/>
      <c r="P6320" s="14"/>
      <c r="Q6320" s="85"/>
      <c r="R6320" s="89"/>
      <c r="U6320" s="11" t="str">
        <f t="shared" si="431"/>
        <v/>
      </c>
      <c r="V6320" s="37"/>
      <c r="Z6320" s="15"/>
    </row>
    <row r="6321" spans="1:26" x14ac:dyDescent="0.25">
      <c r="A6321" s="15" t="str">
        <f>IF(C6321="","",COUNTA($C$3:C6321))</f>
        <v/>
      </c>
      <c r="B6321" s="15" t="str">
        <f t="shared" si="432"/>
        <v/>
      </c>
      <c r="M6321" s="9"/>
      <c r="N6321" s="9"/>
      <c r="P6321" s="14"/>
      <c r="Q6321" s="85"/>
      <c r="R6321" s="89"/>
      <c r="U6321" s="11" t="str">
        <f t="shared" si="431"/>
        <v/>
      </c>
      <c r="V6321" s="37"/>
      <c r="Z6321" s="15"/>
    </row>
    <row r="6322" spans="1:26" x14ac:dyDescent="0.25">
      <c r="A6322" s="15" t="str">
        <f>IF(C6322="","",COUNTA($C$3:C6322))</f>
        <v/>
      </c>
      <c r="B6322" s="15" t="str">
        <f t="shared" si="432"/>
        <v/>
      </c>
      <c r="M6322" s="9"/>
      <c r="N6322" s="9"/>
      <c r="P6322" s="14"/>
      <c r="Q6322" s="85"/>
      <c r="R6322" s="89"/>
      <c r="U6322" s="11" t="str">
        <f t="shared" si="431"/>
        <v/>
      </c>
      <c r="V6322" s="37"/>
      <c r="Z6322" s="15"/>
    </row>
    <row r="6323" spans="1:26" x14ac:dyDescent="0.25">
      <c r="A6323" s="15" t="str">
        <f>IF(C6323="","",COUNTA($C$3:C6323))</f>
        <v/>
      </c>
      <c r="B6323" s="15" t="str">
        <f t="shared" si="432"/>
        <v/>
      </c>
      <c r="M6323" s="9"/>
      <c r="N6323" s="9"/>
      <c r="P6323" s="14"/>
      <c r="Q6323" s="85"/>
      <c r="R6323" s="89"/>
      <c r="U6323" s="11" t="str">
        <f t="shared" si="431"/>
        <v/>
      </c>
      <c r="V6323" s="37"/>
      <c r="Z6323" s="15"/>
    </row>
    <row r="6324" spans="1:26" x14ac:dyDescent="0.25">
      <c r="A6324" s="15" t="str">
        <f>IF(C6324="","",COUNTA($C$3:C6324))</f>
        <v/>
      </c>
      <c r="B6324" s="15" t="str">
        <f t="shared" si="432"/>
        <v/>
      </c>
      <c r="M6324" s="9"/>
      <c r="N6324" s="9"/>
      <c r="P6324" s="14"/>
      <c r="Q6324" s="85"/>
      <c r="R6324" s="89"/>
      <c r="U6324" s="11" t="str">
        <f t="shared" si="431"/>
        <v/>
      </c>
      <c r="V6324" s="37"/>
      <c r="Z6324" s="15"/>
    </row>
    <row r="6325" spans="1:26" x14ac:dyDescent="0.25">
      <c r="A6325" s="15" t="str">
        <f>IF(C6325="","",COUNTA($C$3:C6325))</f>
        <v/>
      </c>
      <c r="B6325" s="15" t="str">
        <f t="shared" si="432"/>
        <v/>
      </c>
      <c r="M6325" s="9"/>
      <c r="N6325" s="9"/>
      <c r="P6325" s="14"/>
      <c r="Q6325" s="85"/>
      <c r="R6325" s="89"/>
      <c r="U6325" s="11" t="str">
        <f t="shared" si="431"/>
        <v/>
      </c>
      <c r="V6325" s="37"/>
      <c r="Z6325" s="15"/>
    </row>
    <row r="6326" spans="1:26" x14ac:dyDescent="0.25">
      <c r="A6326" s="15" t="str">
        <f>IF(C6326="","",COUNTA($C$3:C6326))</f>
        <v/>
      </c>
      <c r="B6326" s="15" t="str">
        <f t="shared" si="432"/>
        <v/>
      </c>
      <c r="M6326" s="9"/>
      <c r="N6326" s="9"/>
      <c r="P6326" s="14"/>
      <c r="Q6326" s="85"/>
      <c r="R6326" s="89"/>
      <c r="U6326" s="11" t="str">
        <f t="shared" si="431"/>
        <v/>
      </c>
      <c r="V6326" s="37"/>
      <c r="Z6326" s="15"/>
    </row>
    <row r="6327" spans="1:26" x14ac:dyDescent="0.25">
      <c r="A6327" s="15" t="str">
        <f>IF(C6327="","",COUNTA($C$3:C6327))</f>
        <v/>
      </c>
      <c r="B6327" s="15" t="str">
        <f t="shared" si="432"/>
        <v/>
      </c>
      <c r="M6327" s="9"/>
      <c r="N6327" s="9"/>
      <c r="P6327" s="14"/>
      <c r="Q6327" s="85"/>
      <c r="R6327" s="89"/>
      <c r="U6327" s="11" t="str">
        <f t="shared" si="431"/>
        <v/>
      </c>
      <c r="V6327" s="37"/>
      <c r="Z6327" s="15"/>
    </row>
    <row r="6328" spans="1:26" x14ac:dyDescent="0.25">
      <c r="A6328" s="15" t="str">
        <f>IF(C6328="","",COUNTA($C$3:C6328))</f>
        <v/>
      </c>
      <c r="B6328" s="15" t="str">
        <f t="shared" si="432"/>
        <v/>
      </c>
      <c r="M6328" s="9"/>
      <c r="N6328" s="9"/>
      <c r="P6328" s="14"/>
      <c r="Q6328" s="85"/>
      <c r="R6328" s="89"/>
      <c r="U6328" s="11" t="str">
        <f t="shared" si="431"/>
        <v/>
      </c>
      <c r="V6328" s="37"/>
      <c r="Z6328" s="15"/>
    </row>
    <row r="6329" spans="1:26" x14ac:dyDescent="0.25">
      <c r="A6329" s="15" t="str">
        <f>IF(C6329="","",COUNTA($C$3:C6329))</f>
        <v/>
      </c>
      <c r="B6329" s="15" t="str">
        <f t="shared" si="432"/>
        <v/>
      </c>
      <c r="M6329" s="9"/>
      <c r="N6329" s="9"/>
      <c r="P6329" s="14"/>
      <c r="Q6329" s="85"/>
      <c r="R6329" s="89"/>
      <c r="U6329" s="11" t="str">
        <f t="shared" si="431"/>
        <v/>
      </c>
      <c r="V6329" s="37"/>
      <c r="Z6329" s="15"/>
    </row>
    <row r="6330" spans="1:26" x14ac:dyDescent="0.25">
      <c r="A6330" s="15" t="str">
        <f>IF(C6330="","",COUNTA($C$3:C6330))</f>
        <v/>
      </c>
      <c r="B6330" s="15" t="str">
        <f t="shared" si="432"/>
        <v/>
      </c>
      <c r="M6330" s="9"/>
      <c r="N6330" s="9"/>
      <c r="P6330" s="14"/>
      <c r="Q6330" s="85"/>
      <c r="R6330" s="89"/>
      <c r="U6330" s="11" t="str">
        <f t="shared" si="431"/>
        <v/>
      </c>
      <c r="V6330" s="37"/>
      <c r="Z6330" s="15"/>
    </row>
    <row r="6331" spans="1:26" x14ac:dyDescent="0.25">
      <c r="A6331" s="15" t="str">
        <f>IF(C6331="","",COUNTA($C$3:C6331))</f>
        <v/>
      </c>
      <c r="B6331" s="15" t="str">
        <f t="shared" si="432"/>
        <v/>
      </c>
      <c r="M6331" s="9"/>
      <c r="N6331" s="9"/>
      <c r="P6331" s="14"/>
      <c r="Q6331" s="85"/>
      <c r="R6331" s="89"/>
      <c r="U6331" s="11" t="str">
        <f t="shared" si="431"/>
        <v/>
      </c>
      <c r="V6331" s="37"/>
      <c r="Z6331" s="15"/>
    </row>
    <row r="6332" spans="1:26" x14ac:dyDescent="0.25">
      <c r="A6332" s="15" t="str">
        <f>IF(C6332="","",COUNTA($C$3:C6332))</f>
        <v/>
      </c>
      <c r="B6332" s="15" t="str">
        <f t="shared" si="432"/>
        <v/>
      </c>
      <c r="M6332" s="9"/>
      <c r="N6332" s="9"/>
      <c r="P6332" s="14"/>
      <c r="Q6332" s="85"/>
      <c r="R6332" s="89"/>
      <c r="U6332" s="11" t="str">
        <f t="shared" si="431"/>
        <v/>
      </c>
      <c r="V6332" s="37"/>
      <c r="Z6332" s="15"/>
    </row>
    <row r="6333" spans="1:26" x14ac:dyDescent="0.25">
      <c r="A6333" s="15" t="str">
        <f>IF(C6333="","",COUNTA($C$3:C6333))</f>
        <v/>
      </c>
      <c r="B6333" s="15" t="str">
        <f t="shared" si="432"/>
        <v/>
      </c>
      <c r="M6333" s="9"/>
      <c r="N6333" s="9"/>
      <c r="P6333" s="14"/>
      <c r="Q6333" s="85"/>
      <c r="R6333" s="89"/>
      <c r="U6333" s="11" t="str">
        <f t="shared" si="431"/>
        <v/>
      </c>
      <c r="V6333" s="37"/>
      <c r="Z6333" s="15"/>
    </row>
    <row r="6334" spans="1:26" x14ac:dyDescent="0.25">
      <c r="A6334" s="15" t="str">
        <f>IF(C6334="","",COUNTA($C$3:C6334))</f>
        <v/>
      </c>
      <c r="B6334" s="15" t="str">
        <f t="shared" si="432"/>
        <v/>
      </c>
      <c r="M6334" s="9"/>
      <c r="N6334" s="9"/>
      <c r="P6334" s="14"/>
      <c r="Q6334" s="85"/>
      <c r="R6334" s="89"/>
      <c r="U6334" s="11" t="str">
        <f t="shared" si="431"/>
        <v/>
      </c>
      <c r="V6334" s="37"/>
      <c r="Z6334" s="15"/>
    </row>
    <row r="6335" spans="1:26" x14ac:dyDescent="0.25">
      <c r="A6335" s="15" t="str">
        <f>IF(C6335="","",COUNTA($C$3:C6335))</f>
        <v/>
      </c>
      <c r="B6335" s="15" t="str">
        <f t="shared" si="432"/>
        <v/>
      </c>
      <c r="M6335" s="9"/>
      <c r="N6335" s="9"/>
      <c r="P6335" s="14"/>
      <c r="Q6335" s="85"/>
      <c r="R6335" s="89"/>
      <c r="U6335" s="11" t="str">
        <f t="shared" si="431"/>
        <v/>
      </c>
      <c r="V6335" s="37"/>
      <c r="Z6335" s="15"/>
    </row>
    <row r="6336" spans="1:26" x14ac:dyDescent="0.25">
      <c r="A6336" s="15" t="str">
        <f>IF(C6336="","",COUNTA($C$3:C6336))</f>
        <v/>
      </c>
      <c r="B6336" s="15" t="str">
        <f t="shared" si="432"/>
        <v/>
      </c>
      <c r="M6336" s="9"/>
      <c r="N6336" s="9"/>
      <c r="P6336" s="14"/>
      <c r="Q6336" s="85"/>
      <c r="R6336" s="89"/>
      <c r="U6336" s="11" t="str">
        <f t="shared" si="431"/>
        <v/>
      </c>
      <c r="V6336" s="37"/>
      <c r="Z6336" s="15"/>
    </row>
    <row r="6337" spans="1:26" x14ac:dyDescent="0.25">
      <c r="A6337" s="15" t="str">
        <f>IF(C6337="","",COUNTA($C$3:C6337))</f>
        <v/>
      </c>
      <c r="B6337" s="15" t="str">
        <f t="shared" si="432"/>
        <v/>
      </c>
      <c r="M6337" s="9"/>
      <c r="N6337" s="9"/>
      <c r="P6337" s="14"/>
      <c r="Q6337" s="85"/>
      <c r="R6337" s="89"/>
      <c r="U6337" s="11" t="str">
        <f t="shared" si="431"/>
        <v/>
      </c>
      <c r="V6337" s="37"/>
      <c r="Z6337" s="15"/>
    </row>
    <row r="6338" spans="1:26" x14ac:dyDescent="0.25">
      <c r="A6338" s="15" t="str">
        <f>IF(C6338="","",COUNTA($C$3:C6338))</f>
        <v/>
      </c>
      <c r="B6338" s="15" t="str">
        <f t="shared" si="432"/>
        <v/>
      </c>
      <c r="M6338" s="9"/>
      <c r="N6338" s="9"/>
      <c r="P6338" s="14"/>
      <c r="Q6338" s="85"/>
      <c r="R6338" s="89"/>
      <c r="U6338" s="11" t="str">
        <f t="shared" ref="U6338:U6401" si="433">IF(S6338="","",(S6338-T6338))</f>
        <v/>
      </c>
      <c r="V6338" s="37"/>
      <c r="Z6338" s="15"/>
    </row>
    <row r="6339" spans="1:26" x14ac:dyDescent="0.25">
      <c r="A6339" s="15" t="str">
        <f>IF(C6339="","",COUNTA($C$3:C6339))</f>
        <v/>
      </c>
      <c r="B6339" s="15" t="str">
        <f t="shared" ref="B6339:B6402" si="434">IF(C6339="","",TEXT(C6339,"mmmm"))</f>
        <v/>
      </c>
      <c r="M6339" s="9"/>
      <c r="N6339" s="9"/>
      <c r="P6339" s="14"/>
      <c r="Q6339" s="85"/>
      <c r="R6339" s="89"/>
      <c r="U6339" s="11" t="str">
        <f t="shared" si="433"/>
        <v/>
      </c>
      <c r="V6339" s="37"/>
      <c r="Z6339" s="15"/>
    </row>
    <row r="6340" spans="1:26" x14ac:dyDescent="0.25">
      <c r="A6340" s="15" t="str">
        <f>IF(C6340="","",COUNTA($C$3:C6340))</f>
        <v/>
      </c>
      <c r="B6340" s="15" t="str">
        <f t="shared" si="434"/>
        <v/>
      </c>
      <c r="M6340" s="9"/>
      <c r="N6340" s="9"/>
      <c r="P6340" s="14"/>
      <c r="Q6340" s="85"/>
      <c r="R6340" s="89"/>
      <c r="U6340" s="11" t="str">
        <f t="shared" si="433"/>
        <v/>
      </c>
      <c r="V6340" s="37"/>
      <c r="Z6340" s="15"/>
    </row>
    <row r="6341" spans="1:26" x14ac:dyDescent="0.25">
      <c r="A6341" s="15" t="str">
        <f>IF(C6341="","",COUNTA($C$3:C6341))</f>
        <v/>
      </c>
      <c r="B6341" s="15" t="str">
        <f t="shared" si="434"/>
        <v/>
      </c>
      <c r="M6341" s="9"/>
      <c r="N6341" s="9"/>
      <c r="P6341" s="14"/>
      <c r="Q6341" s="85"/>
      <c r="R6341" s="89"/>
      <c r="U6341" s="11" t="str">
        <f t="shared" si="433"/>
        <v/>
      </c>
      <c r="V6341" s="37"/>
      <c r="Z6341" s="15"/>
    </row>
    <row r="6342" spans="1:26" x14ac:dyDescent="0.25">
      <c r="A6342" s="15" t="str">
        <f>IF(C6342="","",COUNTA($C$3:C6342))</f>
        <v/>
      </c>
      <c r="B6342" s="15" t="str">
        <f t="shared" si="434"/>
        <v/>
      </c>
      <c r="M6342" s="9"/>
      <c r="N6342" s="9"/>
      <c r="P6342" s="14"/>
      <c r="Q6342" s="85"/>
      <c r="R6342" s="89"/>
      <c r="U6342" s="11" t="str">
        <f t="shared" si="433"/>
        <v/>
      </c>
      <c r="V6342" s="37"/>
      <c r="Z6342" s="15"/>
    </row>
    <row r="6343" spans="1:26" x14ac:dyDescent="0.25">
      <c r="A6343" s="15" t="str">
        <f>IF(C6343="","",COUNTA($C$3:C6343))</f>
        <v/>
      </c>
      <c r="B6343" s="15" t="str">
        <f t="shared" si="434"/>
        <v/>
      </c>
      <c r="M6343" s="9"/>
      <c r="N6343" s="9"/>
      <c r="P6343" s="14"/>
      <c r="Q6343" s="85"/>
      <c r="R6343" s="89"/>
      <c r="U6343" s="11" t="str">
        <f t="shared" si="433"/>
        <v/>
      </c>
      <c r="V6343" s="37"/>
      <c r="Z6343" s="15"/>
    </row>
    <row r="6344" spans="1:26" x14ac:dyDescent="0.25">
      <c r="A6344" s="15" t="str">
        <f>IF(C6344="","",COUNTA($C$3:C6344))</f>
        <v/>
      </c>
      <c r="B6344" s="15" t="str">
        <f t="shared" si="434"/>
        <v/>
      </c>
      <c r="M6344" s="9"/>
      <c r="N6344" s="9"/>
      <c r="P6344" s="14"/>
      <c r="Q6344" s="85"/>
      <c r="R6344" s="89"/>
      <c r="U6344" s="11" t="str">
        <f t="shared" si="433"/>
        <v/>
      </c>
      <c r="V6344" s="37"/>
      <c r="Z6344" s="15"/>
    </row>
    <row r="6345" spans="1:26" x14ac:dyDescent="0.25">
      <c r="A6345" s="15" t="str">
        <f>IF(C6345="","",COUNTA($C$3:C6345))</f>
        <v/>
      </c>
      <c r="B6345" s="15" t="str">
        <f t="shared" si="434"/>
        <v/>
      </c>
      <c r="M6345" s="9"/>
      <c r="N6345" s="9"/>
      <c r="P6345" s="14"/>
      <c r="Q6345" s="85"/>
      <c r="R6345" s="89"/>
      <c r="U6345" s="11" t="str">
        <f t="shared" si="433"/>
        <v/>
      </c>
      <c r="V6345" s="37"/>
      <c r="Z6345" s="15"/>
    </row>
    <row r="6346" spans="1:26" x14ac:dyDescent="0.25">
      <c r="A6346" s="15" t="str">
        <f>IF(C6346="","",COUNTA($C$3:C6346))</f>
        <v/>
      </c>
      <c r="B6346" s="15" t="str">
        <f t="shared" si="434"/>
        <v/>
      </c>
      <c r="M6346" s="9"/>
      <c r="N6346" s="9"/>
      <c r="P6346" s="14"/>
      <c r="Q6346" s="85"/>
      <c r="R6346" s="89"/>
      <c r="U6346" s="11" t="str">
        <f t="shared" si="433"/>
        <v/>
      </c>
      <c r="V6346" s="37"/>
      <c r="Z6346" s="15"/>
    </row>
    <row r="6347" spans="1:26" x14ac:dyDescent="0.25">
      <c r="A6347" s="15" t="str">
        <f>IF(C6347="","",COUNTA($C$3:C6347))</f>
        <v/>
      </c>
      <c r="B6347" s="15" t="str">
        <f t="shared" si="434"/>
        <v/>
      </c>
      <c r="M6347" s="9"/>
      <c r="N6347" s="9"/>
      <c r="P6347" s="14"/>
      <c r="Q6347" s="85"/>
      <c r="R6347" s="89"/>
      <c r="U6347" s="11" t="str">
        <f t="shared" si="433"/>
        <v/>
      </c>
      <c r="V6347" s="37"/>
      <c r="Z6347" s="15"/>
    </row>
    <row r="6348" spans="1:26" x14ac:dyDescent="0.25">
      <c r="A6348" s="15" t="str">
        <f>IF(C6348="","",COUNTA($C$3:C6348))</f>
        <v/>
      </c>
      <c r="B6348" s="15" t="str">
        <f t="shared" si="434"/>
        <v/>
      </c>
      <c r="M6348" s="9"/>
      <c r="N6348" s="9"/>
      <c r="P6348" s="14"/>
      <c r="Q6348" s="85"/>
      <c r="R6348" s="89"/>
      <c r="U6348" s="11" t="str">
        <f t="shared" si="433"/>
        <v/>
      </c>
      <c r="V6348" s="37"/>
      <c r="Z6348" s="15"/>
    </row>
    <row r="6349" spans="1:26" x14ac:dyDescent="0.25">
      <c r="A6349" s="15" t="str">
        <f>IF(C6349="","",COUNTA($C$3:C6349))</f>
        <v/>
      </c>
      <c r="B6349" s="15" t="str">
        <f t="shared" si="434"/>
        <v/>
      </c>
      <c r="M6349" s="9"/>
      <c r="N6349" s="9"/>
      <c r="P6349" s="14"/>
      <c r="Q6349" s="85"/>
      <c r="R6349" s="89"/>
      <c r="U6349" s="11" t="str">
        <f t="shared" si="433"/>
        <v/>
      </c>
      <c r="V6349" s="37"/>
      <c r="Z6349" s="15"/>
    </row>
    <row r="6350" spans="1:26" x14ac:dyDescent="0.25">
      <c r="A6350" s="15" t="str">
        <f>IF(C6350="","",COUNTA($C$3:C6350))</f>
        <v/>
      </c>
      <c r="B6350" s="15" t="str">
        <f t="shared" si="434"/>
        <v/>
      </c>
      <c r="M6350" s="9"/>
      <c r="N6350" s="9"/>
      <c r="P6350" s="14"/>
      <c r="Q6350" s="85"/>
      <c r="R6350" s="89"/>
      <c r="U6350" s="11" t="str">
        <f t="shared" si="433"/>
        <v/>
      </c>
      <c r="V6350" s="37"/>
      <c r="Z6350" s="15"/>
    </row>
    <row r="6351" spans="1:26" x14ac:dyDescent="0.25">
      <c r="A6351" s="15" t="str">
        <f>IF(C6351="","",COUNTA($C$3:C6351))</f>
        <v/>
      </c>
      <c r="B6351" s="15" t="str">
        <f t="shared" si="434"/>
        <v/>
      </c>
      <c r="M6351" s="9"/>
      <c r="N6351" s="9"/>
      <c r="P6351" s="14"/>
      <c r="Q6351" s="85"/>
      <c r="R6351" s="89"/>
      <c r="U6351" s="11" t="str">
        <f t="shared" si="433"/>
        <v/>
      </c>
      <c r="V6351" s="37"/>
      <c r="Z6351" s="15"/>
    </row>
    <row r="6352" spans="1:26" x14ac:dyDescent="0.25">
      <c r="A6352" s="15" t="str">
        <f>IF(C6352="","",COUNTA($C$3:C6352))</f>
        <v/>
      </c>
      <c r="B6352" s="15" t="str">
        <f t="shared" si="434"/>
        <v/>
      </c>
      <c r="M6352" s="9"/>
      <c r="N6352" s="9"/>
      <c r="P6352" s="14"/>
      <c r="Q6352" s="85"/>
      <c r="R6352" s="89"/>
      <c r="U6352" s="11" t="str">
        <f t="shared" si="433"/>
        <v/>
      </c>
      <c r="V6352" s="37"/>
      <c r="Z6352" s="15"/>
    </row>
    <row r="6353" spans="1:26" x14ac:dyDescent="0.25">
      <c r="A6353" s="15" t="str">
        <f>IF(C6353="","",COUNTA($C$3:C6353))</f>
        <v/>
      </c>
      <c r="B6353" s="15" t="str">
        <f t="shared" si="434"/>
        <v/>
      </c>
      <c r="M6353" s="9"/>
      <c r="N6353" s="9"/>
      <c r="P6353" s="14"/>
      <c r="Q6353" s="85"/>
      <c r="R6353" s="89"/>
      <c r="U6353" s="11" t="str">
        <f t="shared" si="433"/>
        <v/>
      </c>
      <c r="V6353" s="37"/>
      <c r="Z6353" s="15"/>
    </row>
    <row r="6354" spans="1:26" x14ac:dyDescent="0.25">
      <c r="A6354" s="15" t="str">
        <f>IF(C6354="","",COUNTA($C$3:C6354))</f>
        <v/>
      </c>
      <c r="B6354" s="15" t="str">
        <f t="shared" si="434"/>
        <v/>
      </c>
      <c r="M6354" s="9"/>
      <c r="N6354" s="9"/>
      <c r="P6354" s="14"/>
      <c r="Q6354" s="85"/>
      <c r="R6354" s="89"/>
      <c r="U6354" s="11" t="str">
        <f t="shared" si="433"/>
        <v/>
      </c>
      <c r="V6354" s="37"/>
      <c r="Z6354" s="15"/>
    </row>
    <row r="6355" spans="1:26" x14ac:dyDescent="0.25">
      <c r="A6355" s="15" t="str">
        <f>IF(C6355="","",COUNTA($C$3:C6355))</f>
        <v/>
      </c>
      <c r="B6355" s="15" t="str">
        <f t="shared" si="434"/>
        <v/>
      </c>
      <c r="M6355" s="9"/>
      <c r="N6355" s="9"/>
      <c r="P6355" s="14"/>
      <c r="Q6355" s="85"/>
      <c r="R6355" s="89"/>
      <c r="U6355" s="11" t="str">
        <f t="shared" si="433"/>
        <v/>
      </c>
      <c r="V6355" s="37"/>
      <c r="Z6355" s="15"/>
    </row>
    <row r="6356" spans="1:26" x14ac:dyDescent="0.25">
      <c r="A6356" s="15" t="str">
        <f>IF(C6356="","",COUNTA($C$3:C6356))</f>
        <v/>
      </c>
      <c r="B6356" s="15" t="str">
        <f t="shared" si="434"/>
        <v/>
      </c>
      <c r="M6356" s="9"/>
      <c r="N6356" s="9"/>
      <c r="P6356" s="14"/>
      <c r="Q6356" s="85"/>
      <c r="R6356" s="89"/>
      <c r="U6356" s="11" t="str">
        <f t="shared" si="433"/>
        <v/>
      </c>
      <c r="V6356" s="37"/>
      <c r="Z6356" s="15"/>
    </row>
    <row r="6357" spans="1:26" x14ac:dyDescent="0.25">
      <c r="A6357" s="15" t="str">
        <f>IF(C6357="","",COUNTA($C$3:C6357))</f>
        <v/>
      </c>
      <c r="B6357" s="15" t="str">
        <f t="shared" si="434"/>
        <v/>
      </c>
      <c r="M6357" s="9"/>
      <c r="N6357" s="9"/>
      <c r="P6357" s="14"/>
      <c r="Q6357" s="85"/>
      <c r="R6357" s="89"/>
      <c r="U6357" s="11" t="str">
        <f t="shared" si="433"/>
        <v/>
      </c>
      <c r="V6357" s="37"/>
      <c r="Z6357" s="15"/>
    </row>
    <row r="6358" spans="1:26" x14ac:dyDescent="0.25">
      <c r="A6358" s="15" t="str">
        <f>IF(C6358="","",COUNTA($C$3:C6358))</f>
        <v/>
      </c>
      <c r="B6358" s="15" t="str">
        <f t="shared" si="434"/>
        <v/>
      </c>
      <c r="M6358" s="9"/>
      <c r="N6358" s="9"/>
      <c r="P6358" s="14"/>
      <c r="Q6358" s="85"/>
      <c r="R6358" s="89"/>
      <c r="U6358" s="11" t="str">
        <f t="shared" si="433"/>
        <v/>
      </c>
      <c r="V6358" s="37"/>
      <c r="Z6358" s="15"/>
    </row>
    <row r="6359" spans="1:26" x14ac:dyDescent="0.25">
      <c r="A6359" s="15" t="str">
        <f>IF(C6359="","",COUNTA($C$3:C6359))</f>
        <v/>
      </c>
      <c r="B6359" s="15" t="str">
        <f t="shared" si="434"/>
        <v/>
      </c>
      <c r="M6359" s="9"/>
      <c r="N6359" s="9"/>
      <c r="P6359" s="14"/>
      <c r="Q6359" s="85"/>
      <c r="R6359" s="89"/>
      <c r="U6359" s="11" t="str">
        <f t="shared" si="433"/>
        <v/>
      </c>
      <c r="V6359" s="37"/>
      <c r="Z6359" s="15"/>
    </row>
    <row r="6360" spans="1:26" x14ac:dyDescent="0.25">
      <c r="A6360" s="15" t="str">
        <f>IF(C6360="","",COUNTA($C$3:C6360))</f>
        <v/>
      </c>
      <c r="B6360" s="15" t="str">
        <f t="shared" si="434"/>
        <v/>
      </c>
      <c r="M6360" s="9"/>
      <c r="N6360" s="9"/>
      <c r="P6360" s="14"/>
      <c r="Q6360" s="85"/>
      <c r="R6360" s="89"/>
      <c r="U6360" s="11" t="str">
        <f t="shared" si="433"/>
        <v/>
      </c>
      <c r="V6360" s="37"/>
      <c r="Z6360" s="15"/>
    </row>
    <row r="6361" spans="1:26" x14ac:dyDescent="0.25">
      <c r="A6361" s="15" t="str">
        <f>IF(C6361="","",COUNTA($C$3:C6361))</f>
        <v/>
      </c>
      <c r="B6361" s="15" t="str">
        <f t="shared" si="434"/>
        <v/>
      </c>
      <c r="M6361" s="9"/>
      <c r="N6361" s="9"/>
      <c r="P6361" s="14"/>
      <c r="Q6361" s="85"/>
      <c r="R6361" s="89"/>
      <c r="U6361" s="11" t="str">
        <f t="shared" si="433"/>
        <v/>
      </c>
      <c r="V6361" s="37"/>
      <c r="Z6361" s="15"/>
    </row>
    <row r="6362" spans="1:26" x14ac:dyDescent="0.25">
      <c r="A6362" s="15" t="str">
        <f>IF(C6362="","",COUNTA($C$3:C6362))</f>
        <v/>
      </c>
      <c r="B6362" s="15" t="str">
        <f t="shared" si="434"/>
        <v/>
      </c>
      <c r="M6362" s="9"/>
      <c r="N6362" s="9"/>
      <c r="P6362" s="14"/>
      <c r="Q6362" s="85"/>
      <c r="R6362" s="89"/>
      <c r="U6362" s="11" t="str">
        <f t="shared" si="433"/>
        <v/>
      </c>
      <c r="V6362" s="37"/>
      <c r="Z6362" s="15"/>
    </row>
    <row r="6363" spans="1:26" x14ac:dyDescent="0.25">
      <c r="A6363" s="15" t="str">
        <f>IF(C6363="","",COUNTA($C$3:C6363))</f>
        <v/>
      </c>
      <c r="B6363" s="15" t="str">
        <f t="shared" si="434"/>
        <v/>
      </c>
      <c r="M6363" s="9"/>
      <c r="N6363" s="9"/>
      <c r="P6363" s="14"/>
      <c r="Q6363" s="85"/>
      <c r="R6363" s="89"/>
      <c r="U6363" s="11" t="str">
        <f t="shared" si="433"/>
        <v/>
      </c>
      <c r="V6363" s="37"/>
      <c r="Z6363" s="15"/>
    </row>
    <row r="6364" spans="1:26" x14ac:dyDescent="0.25">
      <c r="A6364" s="15" t="str">
        <f>IF(C6364="","",COUNTA($C$3:C6364))</f>
        <v/>
      </c>
      <c r="B6364" s="15" t="str">
        <f t="shared" si="434"/>
        <v/>
      </c>
      <c r="M6364" s="9"/>
      <c r="N6364" s="9"/>
      <c r="P6364" s="14"/>
      <c r="Q6364" s="85"/>
      <c r="R6364" s="89"/>
      <c r="U6364" s="11" t="str">
        <f t="shared" si="433"/>
        <v/>
      </c>
      <c r="V6364" s="37"/>
      <c r="Z6364" s="15"/>
    </row>
    <row r="6365" spans="1:26" x14ac:dyDescent="0.25">
      <c r="A6365" s="15" t="str">
        <f>IF(C6365="","",COUNTA($C$3:C6365))</f>
        <v/>
      </c>
      <c r="B6365" s="15" t="str">
        <f t="shared" si="434"/>
        <v/>
      </c>
      <c r="M6365" s="9"/>
      <c r="N6365" s="9"/>
      <c r="P6365" s="14"/>
      <c r="Q6365" s="85"/>
      <c r="R6365" s="89"/>
      <c r="U6365" s="11" t="str">
        <f t="shared" si="433"/>
        <v/>
      </c>
      <c r="V6365" s="37"/>
      <c r="Z6365" s="15"/>
    </row>
    <row r="6366" spans="1:26" x14ac:dyDescent="0.25">
      <c r="A6366" s="15" t="str">
        <f>IF(C6366="","",COUNTA($C$3:C6366))</f>
        <v/>
      </c>
      <c r="B6366" s="15" t="str">
        <f t="shared" si="434"/>
        <v/>
      </c>
      <c r="M6366" s="9"/>
      <c r="N6366" s="9"/>
      <c r="P6366" s="14"/>
      <c r="Q6366" s="85"/>
      <c r="R6366" s="89"/>
      <c r="U6366" s="11" t="str">
        <f t="shared" si="433"/>
        <v/>
      </c>
      <c r="V6366" s="37"/>
      <c r="Z6366" s="15"/>
    </row>
    <row r="6367" spans="1:26" x14ac:dyDescent="0.25">
      <c r="A6367" s="15" t="str">
        <f>IF(C6367="","",COUNTA($C$3:C6367))</f>
        <v/>
      </c>
      <c r="B6367" s="15" t="str">
        <f t="shared" si="434"/>
        <v/>
      </c>
      <c r="M6367" s="9"/>
      <c r="N6367" s="9"/>
      <c r="P6367" s="14"/>
      <c r="Q6367" s="85"/>
      <c r="R6367" s="89"/>
      <c r="U6367" s="11" t="str">
        <f t="shared" si="433"/>
        <v/>
      </c>
      <c r="V6367" s="37"/>
      <c r="Z6367" s="15"/>
    </row>
    <row r="6368" spans="1:26" x14ac:dyDescent="0.25">
      <c r="A6368" s="15" t="str">
        <f>IF(C6368="","",COUNTA($C$3:C6368))</f>
        <v/>
      </c>
      <c r="B6368" s="15" t="str">
        <f t="shared" si="434"/>
        <v/>
      </c>
      <c r="M6368" s="9"/>
      <c r="N6368" s="9"/>
      <c r="P6368" s="14"/>
      <c r="Q6368" s="85"/>
      <c r="R6368" s="89"/>
      <c r="U6368" s="11" t="str">
        <f t="shared" si="433"/>
        <v/>
      </c>
      <c r="V6368" s="37"/>
      <c r="Z6368" s="15"/>
    </row>
    <row r="6369" spans="1:26" x14ac:dyDescent="0.25">
      <c r="A6369" s="15" t="str">
        <f>IF(C6369="","",COUNTA($C$3:C6369))</f>
        <v/>
      </c>
      <c r="B6369" s="15" t="str">
        <f t="shared" si="434"/>
        <v/>
      </c>
      <c r="M6369" s="9"/>
      <c r="N6369" s="9"/>
      <c r="P6369" s="14"/>
      <c r="Q6369" s="85"/>
      <c r="R6369" s="89"/>
      <c r="U6369" s="11" t="str">
        <f t="shared" si="433"/>
        <v/>
      </c>
      <c r="V6369" s="37"/>
      <c r="Z6369" s="15"/>
    </row>
    <row r="6370" spans="1:26" x14ac:dyDescent="0.25">
      <c r="A6370" s="15" t="str">
        <f>IF(C6370="","",COUNTA($C$3:C6370))</f>
        <v/>
      </c>
      <c r="B6370" s="15" t="str">
        <f t="shared" si="434"/>
        <v/>
      </c>
      <c r="M6370" s="9"/>
      <c r="N6370" s="9"/>
      <c r="P6370" s="14"/>
      <c r="Q6370" s="85"/>
      <c r="R6370" s="89"/>
      <c r="U6370" s="11" t="str">
        <f t="shared" si="433"/>
        <v/>
      </c>
      <c r="V6370" s="37"/>
      <c r="Z6370" s="15"/>
    </row>
    <row r="6371" spans="1:26" x14ac:dyDescent="0.25">
      <c r="A6371" s="15" t="str">
        <f>IF(C6371="","",COUNTA($C$3:C6371))</f>
        <v/>
      </c>
      <c r="B6371" s="15" t="str">
        <f t="shared" si="434"/>
        <v/>
      </c>
      <c r="M6371" s="9"/>
      <c r="N6371" s="9"/>
      <c r="P6371" s="14"/>
      <c r="Q6371" s="85"/>
      <c r="R6371" s="89"/>
      <c r="U6371" s="11" t="str">
        <f t="shared" si="433"/>
        <v/>
      </c>
      <c r="V6371" s="37"/>
      <c r="Z6371" s="15"/>
    </row>
    <row r="6372" spans="1:26" x14ac:dyDescent="0.25">
      <c r="A6372" s="15" t="str">
        <f>IF(C6372="","",COUNTA($C$3:C6372))</f>
        <v/>
      </c>
      <c r="B6372" s="15" t="str">
        <f t="shared" si="434"/>
        <v/>
      </c>
      <c r="M6372" s="9"/>
      <c r="N6372" s="9"/>
      <c r="P6372" s="14"/>
      <c r="Q6372" s="85"/>
      <c r="R6372" s="89"/>
      <c r="U6372" s="11" t="str">
        <f t="shared" si="433"/>
        <v/>
      </c>
      <c r="V6372" s="37"/>
      <c r="Z6372" s="15"/>
    </row>
    <row r="6373" spans="1:26" x14ac:dyDescent="0.25">
      <c r="A6373" s="15" t="str">
        <f>IF(C6373="","",COUNTA($C$3:C6373))</f>
        <v/>
      </c>
      <c r="B6373" s="15" t="str">
        <f t="shared" si="434"/>
        <v/>
      </c>
      <c r="M6373" s="9"/>
      <c r="N6373" s="9"/>
      <c r="P6373" s="14"/>
      <c r="Q6373" s="85"/>
      <c r="R6373" s="89"/>
      <c r="U6373" s="11" t="str">
        <f t="shared" si="433"/>
        <v/>
      </c>
      <c r="V6373" s="37"/>
      <c r="Z6373" s="15"/>
    </row>
    <row r="6374" spans="1:26" x14ac:dyDescent="0.25">
      <c r="A6374" s="15" t="str">
        <f>IF(C6374="","",COUNTA($C$3:C6374))</f>
        <v/>
      </c>
      <c r="B6374" s="15" t="str">
        <f t="shared" si="434"/>
        <v/>
      </c>
      <c r="M6374" s="9"/>
      <c r="N6374" s="9"/>
      <c r="P6374" s="14"/>
      <c r="Q6374" s="85"/>
      <c r="R6374" s="89"/>
      <c r="U6374" s="11" t="str">
        <f t="shared" si="433"/>
        <v/>
      </c>
      <c r="V6374" s="37"/>
      <c r="Z6374" s="15"/>
    </row>
    <row r="6375" spans="1:26" x14ac:dyDescent="0.25">
      <c r="A6375" s="15" t="str">
        <f>IF(C6375="","",COUNTA($C$3:C6375))</f>
        <v/>
      </c>
      <c r="B6375" s="15" t="str">
        <f t="shared" si="434"/>
        <v/>
      </c>
      <c r="M6375" s="9"/>
      <c r="N6375" s="9"/>
      <c r="P6375" s="14"/>
      <c r="Q6375" s="85"/>
      <c r="R6375" s="89"/>
      <c r="U6375" s="11" t="str">
        <f t="shared" si="433"/>
        <v/>
      </c>
      <c r="V6375" s="37"/>
      <c r="Z6375" s="15"/>
    </row>
    <row r="6376" spans="1:26" x14ac:dyDescent="0.25">
      <c r="A6376" s="15" t="str">
        <f>IF(C6376="","",COUNTA($C$3:C6376))</f>
        <v/>
      </c>
      <c r="B6376" s="15" t="str">
        <f t="shared" si="434"/>
        <v/>
      </c>
      <c r="M6376" s="9"/>
      <c r="N6376" s="9"/>
      <c r="P6376" s="14"/>
      <c r="Q6376" s="85"/>
      <c r="R6376" s="89"/>
      <c r="U6376" s="11" t="str">
        <f t="shared" si="433"/>
        <v/>
      </c>
      <c r="V6376" s="37"/>
      <c r="Z6376" s="15"/>
    </row>
    <row r="6377" spans="1:26" x14ac:dyDescent="0.25">
      <c r="A6377" s="15" t="str">
        <f>IF(C6377="","",COUNTA($C$3:C6377))</f>
        <v/>
      </c>
      <c r="B6377" s="15" t="str">
        <f t="shared" si="434"/>
        <v/>
      </c>
      <c r="M6377" s="9"/>
      <c r="N6377" s="9"/>
      <c r="P6377" s="14"/>
      <c r="Q6377" s="85"/>
      <c r="R6377" s="89"/>
      <c r="U6377" s="11" t="str">
        <f t="shared" si="433"/>
        <v/>
      </c>
      <c r="V6377" s="37"/>
      <c r="Z6377" s="15"/>
    </row>
    <row r="6378" spans="1:26" x14ac:dyDescent="0.25">
      <c r="A6378" s="15" t="str">
        <f>IF(C6378="","",COUNTA($C$3:C6378))</f>
        <v/>
      </c>
      <c r="B6378" s="15" t="str">
        <f t="shared" si="434"/>
        <v/>
      </c>
      <c r="M6378" s="9"/>
      <c r="N6378" s="9"/>
      <c r="P6378" s="14"/>
      <c r="Q6378" s="85"/>
      <c r="R6378" s="89"/>
      <c r="U6378" s="11" t="str">
        <f t="shared" si="433"/>
        <v/>
      </c>
      <c r="V6378" s="37"/>
      <c r="Z6378" s="15"/>
    </row>
    <row r="6379" spans="1:26" x14ac:dyDescent="0.25">
      <c r="A6379" s="15" t="str">
        <f>IF(C6379="","",COUNTA($C$3:C6379))</f>
        <v/>
      </c>
      <c r="B6379" s="15" t="str">
        <f t="shared" si="434"/>
        <v/>
      </c>
      <c r="M6379" s="9"/>
      <c r="N6379" s="9"/>
      <c r="P6379" s="14"/>
      <c r="Q6379" s="85"/>
      <c r="R6379" s="89"/>
      <c r="U6379" s="11" t="str">
        <f t="shared" si="433"/>
        <v/>
      </c>
      <c r="V6379" s="37"/>
      <c r="Z6379" s="15"/>
    </row>
    <row r="6380" spans="1:26" x14ac:dyDescent="0.25">
      <c r="A6380" s="15" t="str">
        <f>IF(C6380="","",COUNTA($C$3:C6380))</f>
        <v/>
      </c>
      <c r="B6380" s="15" t="str">
        <f t="shared" si="434"/>
        <v/>
      </c>
      <c r="M6380" s="9"/>
      <c r="N6380" s="9"/>
      <c r="P6380" s="14"/>
      <c r="Q6380" s="85"/>
      <c r="R6380" s="89"/>
      <c r="U6380" s="11" t="str">
        <f t="shared" si="433"/>
        <v/>
      </c>
      <c r="V6380" s="37"/>
      <c r="Z6380" s="15"/>
    </row>
    <row r="6381" spans="1:26" x14ac:dyDescent="0.25">
      <c r="A6381" s="15" t="str">
        <f>IF(C6381="","",COUNTA($C$3:C6381))</f>
        <v/>
      </c>
      <c r="B6381" s="15" t="str">
        <f t="shared" si="434"/>
        <v/>
      </c>
      <c r="M6381" s="9"/>
      <c r="N6381" s="9"/>
      <c r="P6381" s="14"/>
      <c r="Q6381" s="85"/>
      <c r="R6381" s="89"/>
      <c r="U6381" s="11" t="str">
        <f t="shared" si="433"/>
        <v/>
      </c>
      <c r="V6381" s="37"/>
      <c r="Z6381" s="15"/>
    </row>
    <row r="6382" spans="1:26" x14ac:dyDescent="0.25">
      <c r="A6382" s="15" t="str">
        <f>IF(C6382="","",COUNTA($C$3:C6382))</f>
        <v/>
      </c>
      <c r="B6382" s="15" t="str">
        <f t="shared" si="434"/>
        <v/>
      </c>
      <c r="M6382" s="9"/>
      <c r="N6382" s="9"/>
      <c r="P6382" s="14"/>
      <c r="Q6382" s="85"/>
      <c r="R6382" s="89"/>
      <c r="U6382" s="11" t="str">
        <f t="shared" si="433"/>
        <v/>
      </c>
      <c r="V6382" s="37"/>
      <c r="Z6382" s="15"/>
    </row>
    <row r="6383" spans="1:26" x14ac:dyDescent="0.25">
      <c r="A6383" s="15" t="str">
        <f>IF(C6383="","",COUNTA($C$3:C6383))</f>
        <v/>
      </c>
      <c r="B6383" s="15" t="str">
        <f t="shared" si="434"/>
        <v/>
      </c>
      <c r="M6383" s="9"/>
      <c r="N6383" s="9"/>
      <c r="P6383" s="14"/>
      <c r="Q6383" s="85"/>
      <c r="R6383" s="89"/>
      <c r="U6383" s="11" t="str">
        <f t="shared" si="433"/>
        <v/>
      </c>
      <c r="V6383" s="37"/>
      <c r="Z6383" s="15"/>
    </row>
    <row r="6384" spans="1:26" x14ac:dyDescent="0.25">
      <c r="A6384" s="15" t="str">
        <f>IF(C6384="","",COUNTA($C$3:C6384))</f>
        <v/>
      </c>
      <c r="B6384" s="15" t="str">
        <f t="shared" si="434"/>
        <v/>
      </c>
      <c r="M6384" s="9"/>
      <c r="N6384" s="9"/>
      <c r="P6384" s="14"/>
      <c r="Q6384" s="85"/>
      <c r="R6384" s="89"/>
      <c r="U6384" s="11" t="str">
        <f t="shared" si="433"/>
        <v/>
      </c>
      <c r="V6384" s="37"/>
      <c r="Z6384" s="15"/>
    </row>
    <row r="6385" spans="1:26" x14ac:dyDescent="0.25">
      <c r="A6385" s="15" t="str">
        <f>IF(C6385="","",COUNTA($C$3:C6385))</f>
        <v/>
      </c>
      <c r="B6385" s="15" t="str">
        <f t="shared" si="434"/>
        <v/>
      </c>
      <c r="M6385" s="9"/>
      <c r="N6385" s="9"/>
      <c r="P6385" s="14"/>
      <c r="Q6385" s="85"/>
      <c r="R6385" s="89"/>
      <c r="U6385" s="11" t="str">
        <f t="shared" si="433"/>
        <v/>
      </c>
      <c r="V6385" s="37"/>
      <c r="Z6385" s="15"/>
    </row>
    <row r="6386" spans="1:26" x14ac:dyDescent="0.25">
      <c r="A6386" s="15" t="str">
        <f>IF(C6386="","",COUNTA($C$3:C6386))</f>
        <v/>
      </c>
      <c r="B6386" s="15" t="str">
        <f t="shared" si="434"/>
        <v/>
      </c>
      <c r="M6386" s="9"/>
      <c r="N6386" s="9"/>
      <c r="P6386" s="14"/>
      <c r="Q6386" s="85"/>
      <c r="R6386" s="89"/>
      <c r="U6386" s="11" t="str">
        <f t="shared" si="433"/>
        <v/>
      </c>
      <c r="V6386" s="37"/>
      <c r="Z6386" s="15"/>
    </row>
    <row r="6387" spans="1:26" x14ac:dyDescent="0.25">
      <c r="A6387" s="15" t="str">
        <f>IF(C6387="","",COUNTA($C$3:C6387))</f>
        <v/>
      </c>
      <c r="B6387" s="15" t="str">
        <f t="shared" si="434"/>
        <v/>
      </c>
      <c r="M6387" s="9"/>
      <c r="N6387" s="9"/>
      <c r="P6387" s="14"/>
      <c r="Q6387" s="85"/>
      <c r="R6387" s="89"/>
      <c r="U6387" s="11" t="str">
        <f t="shared" si="433"/>
        <v/>
      </c>
      <c r="V6387" s="37"/>
      <c r="Z6387" s="15"/>
    </row>
    <row r="6388" spans="1:26" x14ac:dyDescent="0.25">
      <c r="A6388" s="15" t="str">
        <f>IF(C6388="","",COUNTA($C$3:C6388))</f>
        <v/>
      </c>
      <c r="B6388" s="15" t="str">
        <f t="shared" si="434"/>
        <v/>
      </c>
      <c r="M6388" s="9"/>
      <c r="N6388" s="9"/>
      <c r="P6388" s="14"/>
      <c r="Q6388" s="85"/>
      <c r="R6388" s="89"/>
      <c r="U6388" s="11" t="str">
        <f t="shared" si="433"/>
        <v/>
      </c>
      <c r="V6388" s="37"/>
      <c r="Z6388" s="15"/>
    </row>
    <row r="6389" spans="1:26" x14ac:dyDescent="0.25">
      <c r="A6389" s="15" t="str">
        <f>IF(C6389="","",COUNTA($C$3:C6389))</f>
        <v/>
      </c>
      <c r="B6389" s="15" t="str">
        <f t="shared" si="434"/>
        <v/>
      </c>
      <c r="M6389" s="9"/>
      <c r="N6389" s="9"/>
      <c r="P6389" s="14"/>
      <c r="Q6389" s="85"/>
      <c r="R6389" s="89"/>
      <c r="U6389" s="11" t="str">
        <f t="shared" si="433"/>
        <v/>
      </c>
      <c r="V6389" s="37"/>
      <c r="Z6389" s="15"/>
    </row>
    <row r="6390" spans="1:26" x14ac:dyDescent="0.25">
      <c r="A6390" s="15" t="str">
        <f>IF(C6390="","",COUNTA($C$3:C6390))</f>
        <v/>
      </c>
      <c r="B6390" s="15" t="str">
        <f t="shared" si="434"/>
        <v/>
      </c>
      <c r="M6390" s="9"/>
      <c r="N6390" s="9"/>
      <c r="P6390" s="14"/>
      <c r="Q6390" s="85"/>
      <c r="R6390" s="89"/>
      <c r="U6390" s="11" t="str">
        <f t="shared" si="433"/>
        <v/>
      </c>
      <c r="V6390" s="37"/>
      <c r="Z6390" s="15"/>
    </row>
    <row r="6391" spans="1:26" x14ac:dyDescent="0.25">
      <c r="A6391" s="15" t="str">
        <f>IF(C6391="","",COUNTA($C$3:C6391))</f>
        <v/>
      </c>
      <c r="B6391" s="15" t="str">
        <f t="shared" si="434"/>
        <v/>
      </c>
      <c r="M6391" s="9"/>
      <c r="N6391" s="9"/>
      <c r="P6391" s="14"/>
      <c r="Q6391" s="85"/>
      <c r="R6391" s="89"/>
      <c r="U6391" s="11" t="str">
        <f t="shared" si="433"/>
        <v/>
      </c>
      <c r="V6391" s="37"/>
      <c r="Z6391" s="15"/>
    </row>
    <row r="6392" spans="1:26" x14ac:dyDescent="0.25">
      <c r="A6392" s="15" t="str">
        <f>IF(C6392="","",COUNTA($C$3:C6392))</f>
        <v/>
      </c>
      <c r="B6392" s="15" t="str">
        <f t="shared" si="434"/>
        <v/>
      </c>
      <c r="M6392" s="9"/>
      <c r="N6392" s="9"/>
      <c r="P6392" s="14"/>
      <c r="Q6392" s="85"/>
      <c r="R6392" s="89"/>
      <c r="U6392" s="11" t="str">
        <f t="shared" si="433"/>
        <v/>
      </c>
      <c r="V6392" s="37"/>
      <c r="Z6392" s="15"/>
    </row>
    <row r="6393" spans="1:26" x14ac:dyDescent="0.25">
      <c r="A6393" s="15" t="str">
        <f>IF(C6393="","",COUNTA($C$3:C6393))</f>
        <v/>
      </c>
      <c r="B6393" s="15" t="str">
        <f t="shared" si="434"/>
        <v/>
      </c>
      <c r="M6393" s="9"/>
      <c r="N6393" s="9"/>
      <c r="P6393" s="14"/>
      <c r="Q6393" s="85"/>
      <c r="R6393" s="89"/>
      <c r="U6393" s="11" t="str">
        <f t="shared" si="433"/>
        <v/>
      </c>
      <c r="V6393" s="37"/>
      <c r="Z6393" s="15"/>
    </row>
    <row r="6394" spans="1:26" x14ac:dyDescent="0.25">
      <c r="A6394" s="15" t="str">
        <f>IF(C6394="","",COUNTA($C$3:C6394))</f>
        <v/>
      </c>
      <c r="B6394" s="15" t="str">
        <f t="shared" si="434"/>
        <v/>
      </c>
      <c r="M6394" s="9"/>
      <c r="N6394" s="9"/>
      <c r="P6394" s="14"/>
      <c r="Q6394" s="85"/>
      <c r="R6394" s="89"/>
      <c r="U6394" s="11" t="str">
        <f t="shared" si="433"/>
        <v/>
      </c>
      <c r="V6394" s="37"/>
      <c r="Z6394" s="15"/>
    </row>
    <row r="6395" spans="1:26" x14ac:dyDescent="0.25">
      <c r="A6395" s="15" t="str">
        <f>IF(C6395="","",COUNTA($C$3:C6395))</f>
        <v/>
      </c>
      <c r="B6395" s="15" t="str">
        <f t="shared" si="434"/>
        <v/>
      </c>
      <c r="M6395" s="9"/>
      <c r="N6395" s="9"/>
      <c r="P6395" s="14"/>
      <c r="Q6395" s="85"/>
      <c r="R6395" s="89"/>
      <c r="U6395" s="11" t="str">
        <f t="shared" si="433"/>
        <v/>
      </c>
      <c r="V6395" s="37"/>
      <c r="Z6395" s="15"/>
    </row>
    <row r="6396" spans="1:26" x14ac:dyDescent="0.25">
      <c r="A6396" s="15" t="str">
        <f>IF(C6396="","",COUNTA($C$3:C6396))</f>
        <v/>
      </c>
      <c r="B6396" s="15" t="str">
        <f t="shared" si="434"/>
        <v/>
      </c>
      <c r="M6396" s="9"/>
      <c r="N6396" s="9"/>
      <c r="P6396" s="14"/>
      <c r="Q6396" s="85"/>
      <c r="R6396" s="89"/>
      <c r="U6396" s="11" t="str">
        <f t="shared" si="433"/>
        <v/>
      </c>
      <c r="V6396" s="37"/>
      <c r="Z6396" s="15"/>
    </row>
    <row r="6397" spans="1:26" x14ac:dyDescent="0.25">
      <c r="A6397" s="15" t="str">
        <f>IF(C6397="","",COUNTA($C$3:C6397))</f>
        <v/>
      </c>
      <c r="B6397" s="15" t="str">
        <f t="shared" si="434"/>
        <v/>
      </c>
      <c r="M6397" s="9"/>
      <c r="N6397" s="9"/>
      <c r="P6397" s="14"/>
      <c r="Q6397" s="85"/>
      <c r="R6397" s="89"/>
      <c r="U6397" s="11" t="str">
        <f t="shared" si="433"/>
        <v/>
      </c>
      <c r="V6397" s="37"/>
      <c r="Z6397" s="15"/>
    </row>
    <row r="6398" spans="1:26" x14ac:dyDescent="0.25">
      <c r="A6398" s="15" t="str">
        <f>IF(C6398="","",COUNTA($C$3:C6398))</f>
        <v/>
      </c>
      <c r="B6398" s="15" t="str">
        <f t="shared" si="434"/>
        <v/>
      </c>
      <c r="M6398" s="9"/>
      <c r="N6398" s="9"/>
      <c r="P6398" s="14"/>
      <c r="Q6398" s="85"/>
      <c r="R6398" s="89"/>
      <c r="U6398" s="11" t="str">
        <f t="shared" si="433"/>
        <v/>
      </c>
      <c r="V6398" s="37"/>
      <c r="Z6398" s="15"/>
    </row>
    <row r="6399" spans="1:26" x14ac:dyDescent="0.25">
      <c r="A6399" s="15" t="str">
        <f>IF(C6399="","",COUNTA($C$3:C6399))</f>
        <v/>
      </c>
      <c r="B6399" s="15" t="str">
        <f t="shared" si="434"/>
        <v/>
      </c>
      <c r="M6399" s="9"/>
      <c r="N6399" s="9"/>
      <c r="P6399" s="14"/>
      <c r="Q6399" s="85"/>
      <c r="R6399" s="89"/>
      <c r="U6399" s="11" t="str">
        <f t="shared" si="433"/>
        <v/>
      </c>
      <c r="V6399" s="37"/>
      <c r="Z6399" s="15"/>
    </row>
    <row r="6400" spans="1:26" x14ac:dyDescent="0.25">
      <c r="A6400" s="15" t="str">
        <f>IF(C6400="","",COUNTA($C$3:C6400))</f>
        <v/>
      </c>
      <c r="B6400" s="15" t="str">
        <f t="shared" si="434"/>
        <v/>
      </c>
      <c r="M6400" s="9"/>
      <c r="N6400" s="9"/>
      <c r="P6400" s="14"/>
      <c r="Q6400" s="85"/>
      <c r="R6400" s="89"/>
      <c r="U6400" s="11" t="str">
        <f t="shared" si="433"/>
        <v/>
      </c>
      <c r="V6400" s="37"/>
      <c r="Z6400" s="15"/>
    </row>
    <row r="6401" spans="1:26" x14ac:dyDescent="0.25">
      <c r="A6401" s="15" t="str">
        <f>IF(C6401="","",COUNTA($C$3:C6401))</f>
        <v/>
      </c>
      <c r="B6401" s="15" t="str">
        <f t="shared" si="434"/>
        <v/>
      </c>
      <c r="M6401" s="9"/>
      <c r="N6401" s="9"/>
      <c r="P6401" s="14"/>
      <c r="Q6401" s="85"/>
      <c r="R6401" s="89"/>
      <c r="U6401" s="11" t="str">
        <f t="shared" si="433"/>
        <v/>
      </c>
      <c r="V6401" s="37"/>
      <c r="Z6401" s="15"/>
    </row>
    <row r="6402" spans="1:26" x14ac:dyDescent="0.25">
      <c r="A6402" s="15" t="str">
        <f>IF(C6402="","",COUNTA($C$3:C6402))</f>
        <v/>
      </c>
      <c r="B6402" s="15" t="str">
        <f t="shared" si="434"/>
        <v/>
      </c>
      <c r="M6402" s="9"/>
      <c r="N6402" s="9"/>
      <c r="P6402" s="14"/>
      <c r="Q6402" s="85"/>
      <c r="R6402" s="89"/>
      <c r="U6402" s="11" t="str">
        <f t="shared" ref="U6402:U6465" si="435">IF(S6402="","",(S6402-T6402))</f>
        <v/>
      </c>
      <c r="V6402" s="37"/>
      <c r="Z6402" s="15"/>
    </row>
    <row r="6403" spans="1:26" x14ac:dyDescent="0.25">
      <c r="A6403" s="15" t="str">
        <f>IF(C6403="","",COUNTA($C$3:C6403))</f>
        <v/>
      </c>
      <c r="B6403" s="15" t="str">
        <f t="shared" ref="B6403:B6466" si="436">IF(C6403="","",TEXT(C6403,"mmmm"))</f>
        <v/>
      </c>
      <c r="M6403" s="9"/>
      <c r="N6403" s="9"/>
      <c r="P6403" s="14"/>
      <c r="Q6403" s="85"/>
      <c r="R6403" s="89"/>
      <c r="U6403" s="11" t="str">
        <f t="shared" si="435"/>
        <v/>
      </c>
      <c r="V6403" s="37"/>
      <c r="Z6403" s="15"/>
    </row>
    <row r="6404" spans="1:26" x14ac:dyDescent="0.25">
      <c r="A6404" s="15" t="str">
        <f>IF(C6404="","",COUNTA($C$3:C6404))</f>
        <v/>
      </c>
      <c r="B6404" s="15" t="str">
        <f t="shared" si="436"/>
        <v/>
      </c>
      <c r="M6404" s="9"/>
      <c r="N6404" s="9"/>
      <c r="P6404" s="14"/>
      <c r="Q6404" s="85"/>
      <c r="R6404" s="89"/>
      <c r="U6404" s="11" t="str">
        <f t="shared" si="435"/>
        <v/>
      </c>
      <c r="V6404" s="37"/>
      <c r="Z6404" s="15"/>
    </row>
    <row r="6405" spans="1:26" x14ac:dyDescent="0.25">
      <c r="A6405" s="15" t="str">
        <f>IF(C6405="","",COUNTA($C$3:C6405))</f>
        <v/>
      </c>
      <c r="B6405" s="15" t="str">
        <f t="shared" si="436"/>
        <v/>
      </c>
      <c r="M6405" s="9"/>
      <c r="N6405" s="9"/>
      <c r="P6405" s="14"/>
      <c r="Q6405" s="85"/>
      <c r="R6405" s="89"/>
      <c r="U6405" s="11" t="str">
        <f t="shared" si="435"/>
        <v/>
      </c>
      <c r="V6405" s="37"/>
      <c r="Z6405" s="15"/>
    </row>
    <row r="6406" spans="1:26" x14ac:dyDescent="0.25">
      <c r="A6406" s="15" t="str">
        <f>IF(C6406="","",COUNTA($C$3:C6406))</f>
        <v/>
      </c>
      <c r="B6406" s="15" t="str">
        <f t="shared" si="436"/>
        <v/>
      </c>
      <c r="M6406" s="9"/>
      <c r="N6406" s="9"/>
      <c r="P6406" s="14"/>
      <c r="Q6406" s="85"/>
      <c r="R6406" s="89"/>
      <c r="U6406" s="11" t="str">
        <f t="shared" si="435"/>
        <v/>
      </c>
      <c r="V6406" s="37"/>
      <c r="Z6406" s="15"/>
    </row>
    <row r="6407" spans="1:26" x14ac:dyDescent="0.25">
      <c r="A6407" s="15" t="str">
        <f>IF(C6407="","",COUNTA($C$3:C6407))</f>
        <v/>
      </c>
      <c r="B6407" s="15" t="str">
        <f t="shared" si="436"/>
        <v/>
      </c>
      <c r="M6407" s="9"/>
      <c r="N6407" s="9"/>
      <c r="P6407" s="14"/>
      <c r="Q6407" s="85"/>
      <c r="R6407" s="89"/>
      <c r="U6407" s="11" t="str">
        <f t="shared" si="435"/>
        <v/>
      </c>
      <c r="V6407" s="37"/>
      <c r="Z6407" s="15"/>
    </row>
    <row r="6408" spans="1:26" x14ac:dyDescent="0.25">
      <c r="A6408" s="15" t="str">
        <f>IF(C6408="","",COUNTA($C$3:C6408))</f>
        <v/>
      </c>
      <c r="B6408" s="15" t="str">
        <f t="shared" si="436"/>
        <v/>
      </c>
      <c r="M6408" s="9"/>
      <c r="N6408" s="9"/>
      <c r="P6408" s="14"/>
      <c r="Q6408" s="85"/>
      <c r="R6408" s="89"/>
      <c r="U6408" s="11" t="str">
        <f t="shared" si="435"/>
        <v/>
      </c>
      <c r="V6408" s="37"/>
      <c r="Z6408" s="15"/>
    </row>
    <row r="6409" spans="1:26" x14ac:dyDescent="0.25">
      <c r="A6409" s="15" t="str">
        <f>IF(C6409="","",COUNTA($C$3:C6409))</f>
        <v/>
      </c>
      <c r="B6409" s="15" t="str">
        <f t="shared" si="436"/>
        <v/>
      </c>
      <c r="M6409" s="9"/>
      <c r="N6409" s="9"/>
      <c r="P6409" s="14"/>
      <c r="Q6409" s="85"/>
      <c r="R6409" s="89"/>
      <c r="U6409" s="11" t="str">
        <f t="shared" si="435"/>
        <v/>
      </c>
      <c r="V6409" s="37"/>
      <c r="Z6409" s="15"/>
    </row>
    <row r="6410" spans="1:26" x14ac:dyDescent="0.25">
      <c r="A6410" s="15" t="str">
        <f>IF(C6410="","",COUNTA($C$3:C6410))</f>
        <v/>
      </c>
      <c r="B6410" s="15" t="str">
        <f t="shared" si="436"/>
        <v/>
      </c>
      <c r="M6410" s="9"/>
      <c r="N6410" s="9"/>
      <c r="P6410" s="14"/>
      <c r="Q6410" s="85"/>
      <c r="R6410" s="89"/>
      <c r="U6410" s="11" t="str">
        <f t="shared" si="435"/>
        <v/>
      </c>
      <c r="V6410" s="37"/>
      <c r="Z6410" s="15"/>
    </row>
    <row r="6411" spans="1:26" x14ac:dyDescent="0.25">
      <c r="A6411" s="15" t="str">
        <f>IF(C6411="","",COUNTA($C$3:C6411))</f>
        <v/>
      </c>
      <c r="B6411" s="15" t="str">
        <f t="shared" si="436"/>
        <v/>
      </c>
      <c r="M6411" s="9"/>
      <c r="N6411" s="9"/>
      <c r="P6411" s="14"/>
      <c r="Q6411" s="85"/>
      <c r="R6411" s="89"/>
      <c r="U6411" s="11" t="str">
        <f t="shared" si="435"/>
        <v/>
      </c>
      <c r="V6411" s="37"/>
      <c r="Z6411" s="15"/>
    </row>
    <row r="6412" spans="1:26" x14ac:dyDescent="0.25">
      <c r="A6412" s="15" t="str">
        <f>IF(C6412="","",COUNTA($C$3:C6412))</f>
        <v/>
      </c>
      <c r="B6412" s="15" t="str">
        <f t="shared" si="436"/>
        <v/>
      </c>
      <c r="M6412" s="9"/>
      <c r="N6412" s="9"/>
      <c r="P6412" s="14"/>
      <c r="Q6412" s="85"/>
      <c r="R6412" s="89"/>
      <c r="U6412" s="11" t="str">
        <f t="shared" si="435"/>
        <v/>
      </c>
      <c r="V6412" s="37"/>
      <c r="Z6412" s="15"/>
    </row>
    <row r="6413" spans="1:26" x14ac:dyDescent="0.25">
      <c r="A6413" s="15" t="str">
        <f>IF(C6413="","",COUNTA($C$3:C6413))</f>
        <v/>
      </c>
      <c r="B6413" s="15" t="str">
        <f t="shared" si="436"/>
        <v/>
      </c>
      <c r="M6413" s="9"/>
      <c r="N6413" s="9"/>
      <c r="P6413" s="14"/>
      <c r="Q6413" s="85"/>
      <c r="R6413" s="89"/>
      <c r="U6413" s="11" t="str">
        <f t="shared" si="435"/>
        <v/>
      </c>
      <c r="V6413" s="37"/>
      <c r="Z6413" s="15"/>
    </row>
    <row r="6414" spans="1:26" x14ac:dyDescent="0.25">
      <c r="A6414" s="15" t="str">
        <f>IF(C6414="","",COUNTA($C$3:C6414))</f>
        <v/>
      </c>
      <c r="B6414" s="15" t="str">
        <f t="shared" si="436"/>
        <v/>
      </c>
      <c r="M6414" s="9"/>
      <c r="N6414" s="9"/>
      <c r="P6414" s="14"/>
      <c r="Q6414" s="85"/>
      <c r="R6414" s="89"/>
      <c r="U6414" s="11" t="str">
        <f t="shared" si="435"/>
        <v/>
      </c>
      <c r="V6414" s="37"/>
      <c r="Z6414" s="15"/>
    </row>
    <row r="6415" spans="1:26" x14ac:dyDescent="0.25">
      <c r="A6415" s="15" t="str">
        <f>IF(C6415="","",COUNTA($C$3:C6415))</f>
        <v/>
      </c>
      <c r="B6415" s="15" t="str">
        <f t="shared" si="436"/>
        <v/>
      </c>
      <c r="M6415" s="9"/>
      <c r="N6415" s="9"/>
      <c r="P6415" s="14"/>
      <c r="Q6415" s="85"/>
      <c r="R6415" s="89"/>
      <c r="U6415" s="11" t="str">
        <f t="shared" si="435"/>
        <v/>
      </c>
      <c r="V6415" s="37"/>
      <c r="Z6415" s="15"/>
    </row>
    <row r="6416" spans="1:26" x14ac:dyDescent="0.25">
      <c r="A6416" s="15" t="str">
        <f>IF(C6416="","",COUNTA($C$3:C6416))</f>
        <v/>
      </c>
      <c r="B6416" s="15" t="str">
        <f t="shared" si="436"/>
        <v/>
      </c>
      <c r="M6416" s="9"/>
      <c r="N6416" s="9"/>
      <c r="P6416" s="14"/>
      <c r="Q6416" s="85"/>
      <c r="R6416" s="89"/>
      <c r="U6416" s="11" t="str">
        <f t="shared" si="435"/>
        <v/>
      </c>
      <c r="V6416" s="37"/>
      <c r="Z6416" s="15"/>
    </row>
    <row r="6417" spans="1:26" x14ac:dyDescent="0.25">
      <c r="A6417" s="15" t="str">
        <f>IF(C6417="","",COUNTA($C$3:C6417))</f>
        <v/>
      </c>
      <c r="B6417" s="15" t="str">
        <f t="shared" si="436"/>
        <v/>
      </c>
      <c r="M6417" s="9"/>
      <c r="N6417" s="9"/>
      <c r="P6417" s="14"/>
      <c r="Q6417" s="85"/>
      <c r="R6417" s="89"/>
      <c r="U6417" s="11" t="str">
        <f t="shared" si="435"/>
        <v/>
      </c>
      <c r="V6417" s="37"/>
      <c r="Z6417" s="15"/>
    </row>
    <row r="6418" spans="1:26" x14ac:dyDescent="0.25">
      <c r="A6418" s="15" t="str">
        <f>IF(C6418="","",COUNTA($C$3:C6418))</f>
        <v/>
      </c>
      <c r="B6418" s="15" t="str">
        <f t="shared" si="436"/>
        <v/>
      </c>
      <c r="M6418" s="9"/>
      <c r="N6418" s="9"/>
      <c r="P6418" s="14"/>
      <c r="Q6418" s="85"/>
      <c r="R6418" s="89"/>
      <c r="U6418" s="11" t="str">
        <f t="shared" si="435"/>
        <v/>
      </c>
      <c r="V6418" s="37"/>
      <c r="Z6418" s="15"/>
    </row>
    <row r="6419" spans="1:26" x14ac:dyDescent="0.25">
      <c r="A6419" s="15" t="str">
        <f>IF(C6419="","",COUNTA($C$3:C6419))</f>
        <v/>
      </c>
      <c r="B6419" s="15" t="str">
        <f t="shared" si="436"/>
        <v/>
      </c>
      <c r="M6419" s="9"/>
      <c r="N6419" s="9"/>
      <c r="P6419" s="14"/>
      <c r="Q6419" s="85"/>
      <c r="R6419" s="89"/>
      <c r="U6419" s="11" t="str">
        <f t="shared" si="435"/>
        <v/>
      </c>
      <c r="V6419" s="37"/>
      <c r="Z6419" s="15"/>
    </row>
    <row r="6420" spans="1:26" x14ac:dyDescent="0.25">
      <c r="A6420" s="15" t="str">
        <f>IF(C6420="","",COUNTA($C$3:C6420))</f>
        <v/>
      </c>
      <c r="B6420" s="15" t="str">
        <f t="shared" si="436"/>
        <v/>
      </c>
      <c r="M6420" s="9"/>
      <c r="N6420" s="9"/>
      <c r="P6420" s="14"/>
      <c r="Q6420" s="85"/>
      <c r="R6420" s="89"/>
      <c r="U6420" s="11" t="str">
        <f t="shared" si="435"/>
        <v/>
      </c>
      <c r="V6420" s="37"/>
      <c r="Z6420" s="15"/>
    </row>
    <row r="6421" spans="1:26" x14ac:dyDescent="0.25">
      <c r="A6421" s="15" t="str">
        <f>IF(C6421="","",COUNTA($C$3:C6421))</f>
        <v/>
      </c>
      <c r="B6421" s="15" t="str">
        <f t="shared" si="436"/>
        <v/>
      </c>
      <c r="M6421" s="9"/>
      <c r="N6421" s="9"/>
      <c r="P6421" s="14"/>
      <c r="Q6421" s="85"/>
      <c r="R6421" s="89"/>
      <c r="U6421" s="11" t="str">
        <f t="shared" si="435"/>
        <v/>
      </c>
      <c r="V6421" s="37"/>
      <c r="Z6421" s="15"/>
    </row>
    <row r="6422" spans="1:26" x14ac:dyDescent="0.25">
      <c r="A6422" s="15" t="str">
        <f>IF(C6422="","",COUNTA($C$3:C6422))</f>
        <v/>
      </c>
      <c r="B6422" s="15" t="str">
        <f t="shared" si="436"/>
        <v/>
      </c>
      <c r="M6422" s="9"/>
      <c r="N6422" s="9"/>
      <c r="P6422" s="14"/>
      <c r="Q6422" s="85"/>
      <c r="R6422" s="89"/>
      <c r="U6422" s="11" t="str">
        <f t="shared" si="435"/>
        <v/>
      </c>
      <c r="V6422" s="37"/>
      <c r="Z6422" s="15"/>
    </row>
    <row r="6423" spans="1:26" x14ac:dyDescent="0.25">
      <c r="A6423" s="15" t="str">
        <f>IF(C6423="","",COUNTA($C$3:C6423))</f>
        <v/>
      </c>
      <c r="B6423" s="15" t="str">
        <f t="shared" si="436"/>
        <v/>
      </c>
      <c r="M6423" s="9"/>
      <c r="N6423" s="9"/>
      <c r="P6423" s="14"/>
      <c r="Q6423" s="85"/>
      <c r="R6423" s="89"/>
      <c r="U6423" s="11" t="str">
        <f t="shared" si="435"/>
        <v/>
      </c>
      <c r="V6423" s="37"/>
      <c r="Z6423" s="15"/>
    </row>
    <row r="6424" spans="1:26" x14ac:dyDescent="0.25">
      <c r="A6424" s="15" t="str">
        <f>IF(C6424="","",COUNTA($C$3:C6424))</f>
        <v/>
      </c>
      <c r="B6424" s="15" t="str">
        <f t="shared" si="436"/>
        <v/>
      </c>
      <c r="M6424" s="9"/>
      <c r="N6424" s="9"/>
      <c r="P6424" s="14"/>
      <c r="Q6424" s="85"/>
      <c r="R6424" s="89"/>
      <c r="U6424" s="11" t="str">
        <f t="shared" si="435"/>
        <v/>
      </c>
      <c r="V6424" s="37"/>
      <c r="Z6424" s="15"/>
    </row>
    <row r="6425" spans="1:26" x14ac:dyDescent="0.25">
      <c r="A6425" s="15" t="str">
        <f>IF(C6425="","",COUNTA($C$3:C6425))</f>
        <v/>
      </c>
      <c r="B6425" s="15" t="str">
        <f t="shared" si="436"/>
        <v/>
      </c>
      <c r="M6425" s="9"/>
      <c r="N6425" s="9"/>
      <c r="P6425" s="14"/>
      <c r="Q6425" s="85"/>
      <c r="R6425" s="89"/>
      <c r="U6425" s="11" t="str">
        <f t="shared" si="435"/>
        <v/>
      </c>
      <c r="V6425" s="37"/>
      <c r="Z6425" s="15"/>
    </row>
    <row r="6426" spans="1:26" x14ac:dyDescent="0.25">
      <c r="A6426" s="15" t="str">
        <f>IF(C6426="","",COUNTA($C$3:C6426))</f>
        <v/>
      </c>
      <c r="B6426" s="15" t="str">
        <f t="shared" si="436"/>
        <v/>
      </c>
      <c r="M6426" s="9"/>
      <c r="N6426" s="9"/>
      <c r="P6426" s="14"/>
      <c r="Q6426" s="85"/>
      <c r="R6426" s="89"/>
      <c r="U6426" s="11" t="str">
        <f t="shared" si="435"/>
        <v/>
      </c>
      <c r="V6426" s="37"/>
      <c r="Z6426" s="15"/>
    </row>
    <row r="6427" spans="1:26" x14ac:dyDescent="0.25">
      <c r="A6427" s="15" t="str">
        <f>IF(C6427="","",COUNTA($C$3:C6427))</f>
        <v/>
      </c>
      <c r="B6427" s="15" t="str">
        <f t="shared" si="436"/>
        <v/>
      </c>
      <c r="M6427" s="9"/>
      <c r="N6427" s="9"/>
      <c r="P6427" s="14"/>
      <c r="Q6427" s="85"/>
      <c r="R6427" s="89"/>
      <c r="U6427" s="11" t="str">
        <f t="shared" si="435"/>
        <v/>
      </c>
      <c r="V6427" s="37"/>
      <c r="Z6427" s="15"/>
    </row>
    <row r="6428" spans="1:26" x14ac:dyDescent="0.25">
      <c r="A6428" s="15" t="str">
        <f>IF(C6428="","",COUNTA($C$3:C6428))</f>
        <v/>
      </c>
      <c r="B6428" s="15" t="str">
        <f t="shared" si="436"/>
        <v/>
      </c>
      <c r="M6428" s="9"/>
      <c r="N6428" s="9"/>
      <c r="P6428" s="14"/>
      <c r="Q6428" s="85"/>
      <c r="R6428" s="89"/>
      <c r="U6428" s="11" t="str">
        <f t="shared" si="435"/>
        <v/>
      </c>
      <c r="V6428" s="37"/>
      <c r="Z6428" s="15"/>
    </row>
    <row r="6429" spans="1:26" x14ac:dyDescent="0.25">
      <c r="A6429" s="15" t="str">
        <f>IF(C6429="","",COUNTA($C$3:C6429))</f>
        <v/>
      </c>
      <c r="B6429" s="15" t="str">
        <f t="shared" si="436"/>
        <v/>
      </c>
      <c r="M6429" s="9"/>
      <c r="N6429" s="9"/>
      <c r="P6429" s="14"/>
      <c r="Q6429" s="85"/>
      <c r="R6429" s="89"/>
      <c r="U6429" s="11" t="str">
        <f t="shared" si="435"/>
        <v/>
      </c>
      <c r="V6429" s="37"/>
      <c r="Z6429" s="15"/>
    </row>
    <row r="6430" spans="1:26" x14ac:dyDescent="0.25">
      <c r="A6430" s="15" t="str">
        <f>IF(C6430="","",COUNTA($C$3:C6430))</f>
        <v/>
      </c>
      <c r="B6430" s="15" t="str">
        <f t="shared" si="436"/>
        <v/>
      </c>
      <c r="M6430" s="9"/>
      <c r="N6430" s="9"/>
      <c r="P6430" s="14"/>
      <c r="Q6430" s="85"/>
      <c r="R6430" s="89"/>
      <c r="U6430" s="11" t="str">
        <f t="shared" si="435"/>
        <v/>
      </c>
      <c r="V6430" s="37"/>
      <c r="Z6430" s="15"/>
    </row>
    <row r="6431" spans="1:26" x14ac:dyDescent="0.25">
      <c r="A6431" s="15" t="str">
        <f>IF(C6431="","",COUNTA($C$3:C6431))</f>
        <v/>
      </c>
      <c r="B6431" s="15" t="str">
        <f t="shared" si="436"/>
        <v/>
      </c>
      <c r="M6431" s="9"/>
      <c r="N6431" s="9"/>
      <c r="P6431" s="14"/>
      <c r="Q6431" s="85"/>
      <c r="R6431" s="89"/>
      <c r="U6431" s="11" t="str">
        <f t="shared" si="435"/>
        <v/>
      </c>
      <c r="V6431" s="37"/>
      <c r="Z6431" s="15"/>
    </row>
    <row r="6432" spans="1:26" x14ac:dyDescent="0.25">
      <c r="A6432" s="15" t="str">
        <f>IF(C6432="","",COUNTA($C$3:C6432))</f>
        <v/>
      </c>
      <c r="B6432" s="15" t="str">
        <f t="shared" si="436"/>
        <v/>
      </c>
      <c r="M6432" s="9"/>
      <c r="N6432" s="9"/>
      <c r="P6432" s="14"/>
      <c r="Q6432" s="85"/>
      <c r="R6432" s="89"/>
      <c r="U6432" s="11" t="str">
        <f t="shared" si="435"/>
        <v/>
      </c>
      <c r="V6432" s="37"/>
      <c r="Z6432" s="15"/>
    </row>
    <row r="6433" spans="1:26" x14ac:dyDescent="0.25">
      <c r="A6433" s="15" t="str">
        <f>IF(C6433="","",COUNTA($C$3:C6433))</f>
        <v/>
      </c>
      <c r="B6433" s="15" t="str">
        <f t="shared" si="436"/>
        <v/>
      </c>
      <c r="M6433" s="9"/>
      <c r="N6433" s="9"/>
      <c r="P6433" s="14"/>
      <c r="Q6433" s="85"/>
      <c r="R6433" s="89"/>
      <c r="U6433" s="11" t="str">
        <f t="shared" si="435"/>
        <v/>
      </c>
      <c r="V6433" s="37"/>
      <c r="Z6433" s="15"/>
    </row>
    <row r="6434" spans="1:26" x14ac:dyDescent="0.25">
      <c r="A6434" s="15" t="str">
        <f>IF(C6434="","",COUNTA($C$3:C6434))</f>
        <v/>
      </c>
      <c r="B6434" s="15" t="str">
        <f t="shared" si="436"/>
        <v/>
      </c>
      <c r="M6434" s="9"/>
      <c r="N6434" s="9"/>
      <c r="P6434" s="14"/>
      <c r="Q6434" s="85"/>
      <c r="R6434" s="89"/>
      <c r="U6434" s="11" t="str">
        <f t="shared" si="435"/>
        <v/>
      </c>
      <c r="V6434" s="37"/>
      <c r="Z6434" s="15"/>
    </row>
    <row r="6435" spans="1:26" x14ac:dyDescent="0.25">
      <c r="A6435" s="15" t="str">
        <f>IF(C6435="","",COUNTA($C$3:C6435))</f>
        <v/>
      </c>
      <c r="B6435" s="15" t="str">
        <f t="shared" si="436"/>
        <v/>
      </c>
      <c r="M6435" s="9"/>
      <c r="N6435" s="9"/>
      <c r="P6435" s="14"/>
      <c r="Q6435" s="85"/>
      <c r="R6435" s="89"/>
      <c r="U6435" s="11" t="str">
        <f t="shared" si="435"/>
        <v/>
      </c>
      <c r="V6435" s="37"/>
      <c r="Z6435" s="15"/>
    </row>
    <row r="6436" spans="1:26" x14ac:dyDescent="0.25">
      <c r="A6436" s="15" t="str">
        <f>IF(C6436="","",COUNTA($C$3:C6436))</f>
        <v/>
      </c>
      <c r="B6436" s="15" t="str">
        <f t="shared" si="436"/>
        <v/>
      </c>
      <c r="M6436" s="9"/>
      <c r="N6436" s="9"/>
      <c r="P6436" s="14"/>
      <c r="Q6436" s="85"/>
      <c r="R6436" s="89"/>
      <c r="U6436" s="11" t="str">
        <f t="shared" si="435"/>
        <v/>
      </c>
      <c r="V6436" s="37"/>
      <c r="Z6436" s="15"/>
    </row>
    <row r="6437" spans="1:26" x14ac:dyDescent="0.25">
      <c r="A6437" s="15" t="str">
        <f>IF(C6437="","",COUNTA($C$3:C6437))</f>
        <v/>
      </c>
      <c r="B6437" s="15" t="str">
        <f t="shared" si="436"/>
        <v/>
      </c>
      <c r="M6437" s="9"/>
      <c r="N6437" s="9"/>
      <c r="P6437" s="14"/>
      <c r="Q6437" s="85"/>
      <c r="R6437" s="89"/>
      <c r="U6437" s="11" t="str">
        <f t="shared" si="435"/>
        <v/>
      </c>
      <c r="V6437" s="37"/>
      <c r="Z6437" s="15"/>
    </row>
    <row r="6438" spans="1:26" x14ac:dyDescent="0.25">
      <c r="A6438" s="15" t="str">
        <f>IF(C6438="","",COUNTA($C$3:C6438))</f>
        <v/>
      </c>
      <c r="B6438" s="15" t="str">
        <f t="shared" si="436"/>
        <v/>
      </c>
      <c r="M6438" s="9"/>
      <c r="N6438" s="9"/>
      <c r="P6438" s="14"/>
      <c r="Q6438" s="85"/>
      <c r="R6438" s="89"/>
      <c r="U6438" s="11" t="str">
        <f t="shared" si="435"/>
        <v/>
      </c>
      <c r="V6438" s="37"/>
      <c r="Z6438" s="15"/>
    </row>
    <row r="6439" spans="1:26" x14ac:dyDescent="0.25">
      <c r="A6439" s="15" t="str">
        <f>IF(C6439="","",COUNTA($C$3:C6439))</f>
        <v/>
      </c>
      <c r="B6439" s="15" t="str">
        <f t="shared" si="436"/>
        <v/>
      </c>
      <c r="M6439" s="9"/>
      <c r="N6439" s="9"/>
      <c r="P6439" s="14"/>
      <c r="Q6439" s="85"/>
      <c r="R6439" s="89"/>
      <c r="U6439" s="11" t="str">
        <f t="shared" si="435"/>
        <v/>
      </c>
      <c r="V6439" s="37"/>
      <c r="Z6439" s="15"/>
    </row>
    <row r="6440" spans="1:26" x14ac:dyDescent="0.25">
      <c r="A6440" s="15" t="str">
        <f>IF(C6440="","",COUNTA($C$3:C6440))</f>
        <v/>
      </c>
      <c r="B6440" s="15" t="str">
        <f t="shared" si="436"/>
        <v/>
      </c>
      <c r="M6440" s="9"/>
      <c r="N6440" s="9"/>
      <c r="P6440" s="14"/>
      <c r="Q6440" s="85"/>
      <c r="R6440" s="89"/>
      <c r="U6440" s="11" t="str">
        <f t="shared" si="435"/>
        <v/>
      </c>
      <c r="V6440" s="37"/>
      <c r="Z6440" s="15"/>
    </row>
    <row r="6441" spans="1:26" x14ac:dyDescent="0.25">
      <c r="A6441" s="15" t="str">
        <f>IF(C6441="","",COUNTA($C$3:C6441))</f>
        <v/>
      </c>
      <c r="B6441" s="15" t="str">
        <f t="shared" si="436"/>
        <v/>
      </c>
      <c r="M6441" s="9"/>
      <c r="N6441" s="9"/>
      <c r="P6441" s="14"/>
      <c r="Q6441" s="85"/>
      <c r="R6441" s="89"/>
      <c r="U6441" s="11" t="str">
        <f t="shared" si="435"/>
        <v/>
      </c>
      <c r="V6441" s="37"/>
      <c r="Z6441" s="15"/>
    </row>
    <row r="6442" spans="1:26" x14ac:dyDescent="0.25">
      <c r="A6442" s="15" t="str">
        <f>IF(C6442="","",COUNTA($C$3:C6442))</f>
        <v/>
      </c>
      <c r="B6442" s="15" t="str">
        <f t="shared" si="436"/>
        <v/>
      </c>
      <c r="M6442" s="9"/>
      <c r="N6442" s="9"/>
      <c r="P6442" s="14"/>
      <c r="Q6442" s="85"/>
      <c r="R6442" s="89"/>
      <c r="U6442" s="11" t="str">
        <f t="shared" si="435"/>
        <v/>
      </c>
      <c r="V6442" s="37"/>
      <c r="Z6442" s="15"/>
    </row>
    <row r="6443" spans="1:26" x14ac:dyDescent="0.25">
      <c r="A6443" s="15" t="str">
        <f>IF(C6443="","",COUNTA($C$3:C6443))</f>
        <v/>
      </c>
      <c r="B6443" s="15" t="str">
        <f t="shared" si="436"/>
        <v/>
      </c>
      <c r="M6443" s="9"/>
      <c r="N6443" s="9"/>
      <c r="P6443" s="14"/>
      <c r="Q6443" s="85"/>
      <c r="R6443" s="89"/>
      <c r="U6443" s="11" t="str">
        <f t="shared" si="435"/>
        <v/>
      </c>
      <c r="V6443" s="37"/>
      <c r="Z6443" s="15"/>
    </row>
    <row r="6444" spans="1:26" x14ac:dyDescent="0.25">
      <c r="A6444" s="15" t="str">
        <f>IF(C6444="","",COUNTA($C$3:C6444))</f>
        <v/>
      </c>
      <c r="B6444" s="15" t="str">
        <f t="shared" si="436"/>
        <v/>
      </c>
      <c r="M6444" s="9"/>
      <c r="N6444" s="9"/>
      <c r="P6444" s="14"/>
      <c r="Q6444" s="85"/>
      <c r="R6444" s="89"/>
      <c r="U6444" s="11" t="str">
        <f t="shared" si="435"/>
        <v/>
      </c>
      <c r="V6444" s="37"/>
      <c r="Z6444" s="15"/>
    </row>
    <row r="6445" spans="1:26" x14ac:dyDescent="0.25">
      <c r="A6445" s="15" t="str">
        <f>IF(C6445="","",COUNTA($C$3:C6445))</f>
        <v/>
      </c>
      <c r="B6445" s="15" t="str">
        <f t="shared" si="436"/>
        <v/>
      </c>
      <c r="M6445" s="9"/>
      <c r="N6445" s="9"/>
      <c r="P6445" s="14"/>
      <c r="Q6445" s="85"/>
      <c r="R6445" s="89"/>
      <c r="U6445" s="11" t="str">
        <f t="shared" si="435"/>
        <v/>
      </c>
      <c r="V6445" s="37"/>
      <c r="Z6445" s="15"/>
    </row>
    <row r="6446" spans="1:26" x14ac:dyDescent="0.25">
      <c r="A6446" s="15" t="str">
        <f>IF(C6446="","",COUNTA($C$3:C6446))</f>
        <v/>
      </c>
      <c r="B6446" s="15" t="str">
        <f t="shared" si="436"/>
        <v/>
      </c>
      <c r="M6446" s="9"/>
      <c r="N6446" s="9"/>
      <c r="P6446" s="14"/>
      <c r="Q6446" s="85"/>
      <c r="R6446" s="89"/>
      <c r="U6446" s="11" t="str">
        <f t="shared" si="435"/>
        <v/>
      </c>
      <c r="V6446" s="37"/>
      <c r="Z6446" s="15"/>
    </row>
    <row r="6447" spans="1:26" x14ac:dyDescent="0.25">
      <c r="A6447" s="15" t="str">
        <f>IF(C6447="","",COUNTA($C$3:C6447))</f>
        <v/>
      </c>
      <c r="B6447" s="15" t="str">
        <f t="shared" si="436"/>
        <v/>
      </c>
      <c r="M6447" s="9"/>
      <c r="N6447" s="9"/>
      <c r="P6447" s="14"/>
      <c r="Q6447" s="85"/>
      <c r="R6447" s="89"/>
      <c r="U6447" s="11" t="str">
        <f t="shared" si="435"/>
        <v/>
      </c>
      <c r="V6447" s="37"/>
      <c r="Z6447" s="15"/>
    </row>
    <row r="6448" spans="1:26" x14ac:dyDescent="0.25">
      <c r="A6448" s="15" t="str">
        <f>IF(C6448="","",COUNTA($C$3:C6448))</f>
        <v/>
      </c>
      <c r="B6448" s="15" t="str">
        <f t="shared" si="436"/>
        <v/>
      </c>
      <c r="M6448" s="9"/>
      <c r="N6448" s="9"/>
      <c r="P6448" s="14"/>
      <c r="Q6448" s="85"/>
      <c r="R6448" s="89"/>
      <c r="U6448" s="11" t="str">
        <f t="shared" si="435"/>
        <v/>
      </c>
      <c r="V6448" s="37"/>
      <c r="Z6448" s="15"/>
    </row>
    <row r="6449" spans="1:26" x14ac:dyDescent="0.25">
      <c r="A6449" s="15" t="str">
        <f>IF(C6449="","",COUNTA($C$3:C6449))</f>
        <v/>
      </c>
      <c r="B6449" s="15" t="str">
        <f t="shared" si="436"/>
        <v/>
      </c>
      <c r="M6449" s="9"/>
      <c r="N6449" s="9"/>
      <c r="P6449" s="14"/>
      <c r="Q6449" s="85"/>
      <c r="R6449" s="89"/>
      <c r="U6449" s="11" t="str">
        <f t="shared" si="435"/>
        <v/>
      </c>
      <c r="V6449" s="37"/>
      <c r="Z6449" s="15"/>
    </row>
    <row r="6450" spans="1:26" x14ac:dyDescent="0.25">
      <c r="A6450" s="15" t="str">
        <f>IF(C6450="","",COUNTA($C$3:C6450))</f>
        <v/>
      </c>
      <c r="B6450" s="15" t="str">
        <f t="shared" si="436"/>
        <v/>
      </c>
      <c r="M6450" s="9"/>
      <c r="N6450" s="9"/>
      <c r="P6450" s="14"/>
      <c r="Q6450" s="85"/>
      <c r="R6450" s="89"/>
      <c r="U6450" s="11" t="str">
        <f t="shared" si="435"/>
        <v/>
      </c>
      <c r="V6450" s="37"/>
      <c r="Z6450" s="15"/>
    </row>
    <row r="6451" spans="1:26" x14ac:dyDescent="0.25">
      <c r="A6451" s="15" t="str">
        <f>IF(C6451="","",COUNTA($C$3:C6451))</f>
        <v/>
      </c>
      <c r="B6451" s="15" t="str">
        <f t="shared" si="436"/>
        <v/>
      </c>
      <c r="M6451" s="9"/>
      <c r="N6451" s="9"/>
      <c r="P6451" s="14"/>
      <c r="Q6451" s="85"/>
      <c r="R6451" s="89"/>
      <c r="U6451" s="11" t="str">
        <f t="shared" si="435"/>
        <v/>
      </c>
      <c r="V6451" s="37"/>
      <c r="Z6451" s="15"/>
    </row>
    <row r="6452" spans="1:26" x14ac:dyDescent="0.25">
      <c r="A6452" s="15" t="str">
        <f>IF(C6452="","",COUNTA($C$3:C6452))</f>
        <v/>
      </c>
      <c r="B6452" s="15" t="str">
        <f t="shared" si="436"/>
        <v/>
      </c>
      <c r="M6452" s="9"/>
      <c r="N6452" s="9"/>
      <c r="P6452" s="14"/>
      <c r="Q6452" s="85"/>
      <c r="R6452" s="89"/>
      <c r="U6452" s="11" t="str">
        <f t="shared" si="435"/>
        <v/>
      </c>
      <c r="V6452" s="37"/>
      <c r="Z6452" s="15"/>
    </row>
    <row r="6453" spans="1:26" x14ac:dyDescent="0.25">
      <c r="A6453" s="15" t="str">
        <f>IF(C6453="","",COUNTA($C$3:C6453))</f>
        <v/>
      </c>
      <c r="B6453" s="15" t="str">
        <f t="shared" si="436"/>
        <v/>
      </c>
      <c r="M6453" s="9"/>
      <c r="N6453" s="9"/>
      <c r="P6453" s="14"/>
      <c r="Q6453" s="85"/>
      <c r="R6453" s="89"/>
      <c r="U6453" s="11" t="str">
        <f t="shared" si="435"/>
        <v/>
      </c>
      <c r="V6453" s="37"/>
      <c r="Z6453" s="15"/>
    </row>
    <row r="6454" spans="1:26" x14ac:dyDescent="0.25">
      <c r="A6454" s="15" t="str">
        <f>IF(C6454="","",COUNTA($C$3:C6454))</f>
        <v/>
      </c>
      <c r="B6454" s="15" t="str">
        <f t="shared" si="436"/>
        <v/>
      </c>
      <c r="M6454" s="9"/>
      <c r="N6454" s="9"/>
      <c r="P6454" s="14"/>
      <c r="Q6454" s="85"/>
      <c r="R6454" s="89"/>
      <c r="U6454" s="11" t="str">
        <f t="shared" si="435"/>
        <v/>
      </c>
      <c r="V6454" s="37"/>
      <c r="Z6454" s="15"/>
    </row>
    <row r="6455" spans="1:26" x14ac:dyDescent="0.25">
      <c r="A6455" s="15" t="str">
        <f>IF(C6455="","",COUNTA($C$3:C6455))</f>
        <v/>
      </c>
      <c r="B6455" s="15" t="str">
        <f t="shared" si="436"/>
        <v/>
      </c>
      <c r="M6455" s="9"/>
      <c r="N6455" s="9"/>
      <c r="P6455" s="14"/>
      <c r="Q6455" s="85"/>
      <c r="R6455" s="89"/>
      <c r="U6455" s="11" t="str">
        <f t="shared" si="435"/>
        <v/>
      </c>
      <c r="V6455" s="37"/>
      <c r="Z6455" s="15"/>
    </row>
    <row r="6456" spans="1:26" x14ac:dyDescent="0.25">
      <c r="A6456" s="15" t="str">
        <f>IF(C6456="","",COUNTA($C$3:C6456))</f>
        <v/>
      </c>
      <c r="B6456" s="15" t="str">
        <f t="shared" si="436"/>
        <v/>
      </c>
      <c r="M6456" s="9"/>
      <c r="N6456" s="9"/>
      <c r="P6456" s="14"/>
      <c r="Q6456" s="85"/>
      <c r="R6456" s="89"/>
      <c r="U6456" s="11" t="str">
        <f t="shared" si="435"/>
        <v/>
      </c>
      <c r="V6456" s="37"/>
      <c r="Z6456" s="15"/>
    </row>
    <row r="6457" spans="1:26" x14ac:dyDescent="0.25">
      <c r="A6457" s="15" t="str">
        <f>IF(C6457="","",COUNTA($C$3:C6457))</f>
        <v/>
      </c>
      <c r="B6457" s="15" t="str">
        <f t="shared" si="436"/>
        <v/>
      </c>
      <c r="M6457" s="9"/>
      <c r="N6457" s="9"/>
      <c r="P6457" s="14"/>
      <c r="Q6457" s="85"/>
      <c r="R6457" s="89"/>
      <c r="U6457" s="11" t="str">
        <f t="shared" si="435"/>
        <v/>
      </c>
      <c r="V6457" s="37"/>
      <c r="Z6457" s="15"/>
    </row>
    <row r="6458" spans="1:26" x14ac:dyDescent="0.25">
      <c r="A6458" s="15" t="str">
        <f>IF(C6458="","",COUNTA($C$3:C6458))</f>
        <v/>
      </c>
      <c r="B6458" s="15" t="str">
        <f t="shared" si="436"/>
        <v/>
      </c>
      <c r="M6458" s="9"/>
      <c r="N6458" s="9"/>
      <c r="P6458" s="14"/>
      <c r="Q6458" s="85"/>
      <c r="R6458" s="89"/>
      <c r="U6458" s="11" t="str">
        <f t="shared" si="435"/>
        <v/>
      </c>
      <c r="V6458" s="37"/>
      <c r="Z6458" s="15"/>
    </row>
    <row r="6459" spans="1:26" x14ac:dyDescent="0.25">
      <c r="A6459" s="15" t="str">
        <f>IF(C6459="","",COUNTA($C$3:C6459))</f>
        <v/>
      </c>
      <c r="B6459" s="15" t="str">
        <f t="shared" si="436"/>
        <v/>
      </c>
      <c r="M6459" s="9"/>
      <c r="N6459" s="9"/>
      <c r="P6459" s="14"/>
      <c r="Q6459" s="85"/>
      <c r="R6459" s="89"/>
      <c r="U6459" s="11" t="str">
        <f t="shared" si="435"/>
        <v/>
      </c>
      <c r="V6459" s="37"/>
      <c r="Z6459" s="15"/>
    </row>
    <row r="6460" spans="1:26" x14ac:dyDescent="0.25">
      <c r="A6460" s="15" t="str">
        <f>IF(C6460="","",COUNTA($C$3:C6460))</f>
        <v/>
      </c>
      <c r="B6460" s="15" t="str">
        <f t="shared" si="436"/>
        <v/>
      </c>
      <c r="M6460" s="9"/>
      <c r="N6460" s="9"/>
      <c r="P6460" s="14"/>
      <c r="Q6460" s="85"/>
      <c r="R6460" s="89"/>
      <c r="U6460" s="11" t="str">
        <f t="shared" si="435"/>
        <v/>
      </c>
      <c r="V6460" s="37"/>
      <c r="Z6460" s="15"/>
    </row>
    <row r="6461" spans="1:26" x14ac:dyDescent="0.25">
      <c r="A6461" s="15" t="str">
        <f>IF(C6461="","",COUNTA($C$3:C6461))</f>
        <v/>
      </c>
      <c r="B6461" s="15" t="str">
        <f t="shared" si="436"/>
        <v/>
      </c>
      <c r="M6461" s="9"/>
      <c r="N6461" s="9"/>
      <c r="P6461" s="14"/>
      <c r="Q6461" s="85"/>
      <c r="R6461" s="89"/>
      <c r="U6461" s="11" t="str">
        <f t="shared" si="435"/>
        <v/>
      </c>
      <c r="V6461" s="37"/>
      <c r="Z6461" s="15"/>
    </row>
    <row r="6462" spans="1:26" x14ac:dyDescent="0.25">
      <c r="A6462" s="15" t="str">
        <f>IF(C6462="","",COUNTA($C$3:C6462))</f>
        <v/>
      </c>
      <c r="B6462" s="15" t="str">
        <f t="shared" si="436"/>
        <v/>
      </c>
      <c r="M6462" s="9"/>
      <c r="N6462" s="9"/>
      <c r="P6462" s="14"/>
      <c r="Q6462" s="85"/>
      <c r="R6462" s="89"/>
      <c r="U6462" s="11" t="str">
        <f t="shared" si="435"/>
        <v/>
      </c>
      <c r="V6462" s="37"/>
      <c r="Z6462" s="15"/>
    </row>
    <row r="6463" spans="1:26" x14ac:dyDescent="0.25">
      <c r="A6463" s="15" t="str">
        <f>IF(C6463="","",COUNTA($C$3:C6463))</f>
        <v/>
      </c>
      <c r="B6463" s="15" t="str">
        <f t="shared" si="436"/>
        <v/>
      </c>
      <c r="M6463" s="9"/>
      <c r="N6463" s="9"/>
      <c r="P6463" s="14"/>
      <c r="Q6463" s="85"/>
      <c r="R6463" s="89"/>
      <c r="U6463" s="11" t="str">
        <f t="shared" si="435"/>
        <v/>
      </c>
      <c r="V6463" s="37"/>
      <c r="Z6463" s="15"/>
    </row>
    <row r="6464" spans="1:26" x14ac:dyDescent="0.25">
      <c r="A6464" s="15" t="str">
        <f>IF(C6464="","",COUNTA($C$3:C6464))</f>
        <v/>
      </c>
      <c r="B6464" s="15" t="str">
        <f t="shared" si="436"/>
        <v/>
      </c>
      <c r="M6464" s="9"/>
      <c r="N6464" s="9"/>
      <c r="P6464" s="14"/>
      <c r="Q6464" s="85"/>
      <c r="R6464" s="89"/>
      <c r="U6464" s="11" t="str">
        <f t="shared" si="435"/>
        <v/>
      </c>
      <c r="V6464" s="37"/>
      <c r="Z6464" s="15"/>
    </row>
    <row r="6465" spans="1:26" x14ac:dyDescent="0.25">
      <c r="A6465" s="15" t="str">
        <f>IF(C6465="","",COUNTA($C$3:C6465))</f>
        <v/>
      </c>
      <c r="B6465" s="15" t="str">
        <f t="shared" si="436"/>
        <v/>
      </c>
      <c r="M6465" s="9"/>
      <c r="N6465" s="9"/>
      <c r="P6465" s="14"/>
      <c r="Q6465" s="85"/>
      <c r="R6465" s="89"/>
      <c r="U6465" s="11" t="str">
        <f t="shared" si="435"/>
        <v/>
      </c>
      <c r="V6465" s="37"/>
      <c r="Z6465" s="15"/>
    </row>
    <row r="6466" spans="1:26" x14ac:dyDescent="0.25">
      <c r="A6466" s="15" t="str">
        <f>IF(C6466="","",COUNTA($C$3:C6466))</f>
        <v/>
      </c>
      <c r="B6466" s="15" t="str">
        <f t="shared" si="436"/>
        <v/>
      </c>
      <c r="M6466" s="9"/>
      <c r="N6466" s="9"/>
      <c r="P6466" s="14"/>
      <c r="Q6466" s="85"/>
      <c r="R6466" s="89"/>
      <c r="U6466" s="11" t="str">
        <f t="shared" ref="U6466:U6529" si="437">IF(S6466="","",(S6466-T6466))</f>
        <v/>
      </c>
      <c r="V6466" s="37"/>
      <c r="Z6466" s="15"/>
    </row>
    <row r="6467" spans="1:26" x14ac:dyDescent="0.25">
      <c r="A6467" s="15" t="str">
        <f>IF(C6467="","",COUNTA($C$3:C6467))</f>
        <v/>
      </c>
      <c r="B6467" s="15" t="str">
        <f t="shared" ref="B6467:B6530" si="438">IF(C6467="","",TEXT(C6467,"mmmm"))</f>
        <v/>
      </c>
      <c r="M6467" s="9"/>
      <c r="N6467" s="9"/>
      <c r="P6467" s="14"/>
      <c r="Q6467" s="85"/>
      <c r="R6467" s="89"/>
      <c r="U6467" s="11" t="str">
        <f t="shared" si="437"/>
        <v/>
      </c>
      <c r="V6467" s="37"/>
      <c r="Z6467" s="15"/>
    </row>
    <row r="6468" spans="1:26" x14ac:dyDescent="0.25">
      <c r="A6468" s="15" t="str">
        <f>IF(C6468="","",COUNTA($C$3:C6468))</f>
        <v/>
      </c>
      <c r="B6468" s="15" t="str">
        <f t="shared" si="438"/>
        <v/>
      </c>
      <c r="M6468" s="9"/>
      <c r="N6468" s="9"/>
      <c r="P6468" s="14"/>
      <c r="Q6468" s="85"/>
      <c r="R6468" s="89"/>
      <c r="U6468" s="11" t="str">
        <f t="shared" si="437"/>
        <v/>
      </c>
      <c r="V6468" s="37"/>
      <c r="Z6468" s="15"/>
    </row>
    <row r="6469" spans="1:26" x14ac:dyDescent="0.25">
      <c r="A6469" s="15" t="str">
        <f>IF(C6469="","",COUNTA($C$3:C6469))</f>
        <v/>
      </c>
      <c r="B6469" s="15" t="str">
        <f t="shared" si="438"/>
        <v/>
      </c>
      <c r="M6469" s="9"/>
      <c r="N6469" s="9"/>
      <c r="P6469" s="14"/>
      <c r="Q6469" s="85"/>
      <c r="R6469" s="89"/>
      <c r="U6469" s="11" t="str">
        <f t="shared" si="437"/>
        <v/>
      </c>
      <c r="V6469" s="37"/>
      <c r="Z6469" s="15"/>
    </row>
    <row r="6470" spans="1:26" x14ac:dyDescent="0.25">
      <c r="A6470" s="15" t="str">
        <f>IF(C6470="","",COUNTA($C$3:C6470))</f>
        <v/>
      </c>
      <c r="B6470" s="15" t="str">
        <f t="shared" si="438"/>
        <v/>
      </c>
      <c r="M6470" s="9"/>
      <c r="N6470" s="9"/>
      <c r="P6470" s="14"/>
      <c r="Q6470" s="85"/>
      <c r="R6470" s="89"/>
      <c r="U6470" s="11" t="str">
        <f t="shared" si="437"/>
        <v/>
      </c>
      <c r="V6470" s="37"/>
      <c r="Z6470" s="15"/>
    </row>
    <row r="6471" spans="1:26" x14ac:dyDescent="0.25">
      <c r="A6471" s="15" t="str">
        <f>IF(C6471="","",COUNTA($C$3:C6471))</f>
        <v/>
      </c>
      <c r="B6471" s="15" t="str">
        <f t="shared" si="438"/>
        <v/>
      </c>
      <c r="M6471" s="9"/>
      <c r="N6471" s="9"/>
      <c r="P6471" s="14"/>
      <c r="Q6471" s="85"/>
      <c r="R6471" s="89"/>
      <c r="U6471" s="11" t="str">
        <f t="shared" si="437"/>
        <v/>
      </c>
      <c r="V6471" s="37"/>
      <c r="Z6471" s="15"/>
    </row>
    <row r="6472" spans="1:26" x14ac:dyDescent="0.25">
      <c r="A6472" s="15" t="str">
        <f>IF(C6472="","",COUNTA($C$3:C6472))</f>
        <v/>
      </c>
      <c r="B6472" s="15" t="str">
        <f t="shared" si="438"/>
        <v/>
      </c>
      <c r="M6472" s="9"/>
      <c r="N6472" s="9"/>
      <c r="P6472" s="14"/>
      <c r="Q6472" s="85"/>
      <c r="R6472" s="89"/>
      <c r="U6472" s="11" t="str">
        <f t="shared" si="437"/>
        <v/>
      </c>
      <c r="V6472" s="37"/>
      <c r="Z6472" s="15"/>
    </row>
    <row r="6473" spans="1:26" x14ac:dyDescent="0.25">
      <c r="A6473" s="15" t="str">
        <f>IF(C6473="","",COUNTA($C$3:C6473))</f>
        <v/>
      </c>
      <c r="B6473" s="15" t="str">
        <f t="shared" si="438"/>
        <v/>
      </c>
      <c r="M6473" s="9"/>
      <c r="N6473" s="9"/>
      <c r="P6473" s="14"/>
      <c r="Q6473" s="85"/>
      <c r="R6473" s="89"/>
      <c r="U6473" s="11" t="str">
        <f t="shared" si="437"/>
        <v/>
      </c>
      <c r="V6473" s="37"/>
      <c r="Z6473" s="15"/>
    </row>
    <row r="6474" spans="1:26" x14ac:dyDescent="0.25">
      <c r="A6474" s="15" t="str">
        <f>IF(C6474="","",COUNTA($C$3:C6474))</f>
        <v/>
      </c>
      <c r="B6474" s="15" t="str">
        <f t="shared" si="438"/>
        <v/>
      </c>
      <c r="M6474" s="9"/>
      <c r="N6474" s="9"/>
      <c r="P6474" s="14"/>
      <c r="Q6474" s="85"/>
      <c r="R6474" s="89"/>
      <c r="U6474" s="11" t="str">
        <f t="shared" si="437"/>
        <v/>
      </c>
      <c r="V6474" s="37"/>
      <c r="Z6474" s="15"/>
    </row>
    <row r="6475" spans="1:26" x14ac:dyDescent="0.25">
      <c r="A6475" s="15" t="str">
        <f>IF(C6475="","",COUNTA($C$3:C6475))</f>
        <v/>
      </c>
      <c r="B6475" s="15" t="str">
        <f t="shared" si="438"/>
        <v/>
      </c>
      <c r="M6475" s="9"/>
      <c r="N6475" s="9"/>
      <c r="P6475" s="14"/>
      <c r="Q6475" s="85"/>
      <c r="R6475" s="89"/>
      <c r="U6475" s="11" t="str">
        <f t="shared" si="437"/>
        <v/>
      </c>
      <c r="V6475" s="37"/>
      <c r="Z6475" s="15"/>
    </row>
    <row r="6476" spans="1:26" x14ac:dyDescent="0.25">
      <c r="A6476" s="15" t="str">
        <f>IF(C6476="","",COUNTA($C$3:C6476))</f>
        <v/>
      </c>
      <c r="B6476" s="15" t="str">
        <f t="shared" si="438"/>
        <v/>
      </c>
      <c r="M6476" s="9"/>
      <c r="N6476" s="9"/>
      <c r="P6476" s="14"/>
      <c r="Q6476" s="85"/>
      <c r="R6476" s="89"/>
      <c r="U6476" s="11" t="str">
        <f t="shared" si="437"/>
        <v/>
      </c>
      <c r="V6476" s="37"/>
      <c r="Z6476" s="15"/>
    </row>
    <row r="6477" spans="1:26" x14ac:dyDescent="0.25">
      <c r="A6477" s="15" t="str">
        <f>IF(C6477="","",COUNTA($C$3:C6477))</f>
        <v/>
      </c>
      <c r="B6477" s="15" t="str">
        <f t="shared" si="438"/>
        <v/>
      </c>
      <c r="M6477" s="9"/>
      <c r="N6477" s="9"/>
      <c r="P6477" s="14"/>
      <c r="Q6477" s="85"/>
      <c r="R6477" s="89"/>
      <c r="U6477" s="11" t="str">
        <f t="shared" si="437"/>
        <v/>
      </c>
      <c r="V6477" s="37"/>
      <c r="Z6477" s="15"/>
    </row>
    <row r="6478" spans="1:26" x14ac:dyDescent="0.25">
      <c r="A6478" s="15" t="str">
        <f>IF(C6478="","",COUNTA($C$3:C6478))</f>
        <v/>
      </c>
      <c r="B6478" s="15" t="str">
        <f t="shared" si="438"/>
        <v/>
      </c>
      <c r="M6478" s="9"/>
      <c r="N6478" s="9"/>
      <c r="P6478" s="14"/>
      <c r="Q6478" s="85"/>
      <c r="R6478" s="89"/>
      <c r="U6478" s="11" t="str">
        <f t="shared" si="437"/>
        <v/>
      </c>
      <c r="V6478" s="37"/>
      <c r="Z6478" s="15"/>
    </row>
    <row r="6479" spans="1:26" x14ac:dyDescent="0.25">
      <c r="A6479" s="15" t="str">
        <f>IF(C6479="","",COUNTA($C$3:C6479))</f>
        <v/>
      </c>
      <c r="B6479" s="15" t="str">
        <f t="shared" si="438"/>
        <v/>
      </c>
      <c r="M6479" s="9"/>
      <c r="N6479" s="9"/>
      <c r="P6479" s="14"/>
      <c r="Q6479" s="85"/>
      <c r="R6479" s="89"/>
      <c r="U6479" s="11" t="str">
        <f t="shared" si="437"/>
        <v/>
      </c>
      <c r="V6479" s="37"/>
      <c r="Z6479" s="15"/>
    </row>
    <row r="6480" spans="1:26" x14ac:dyDescent="0.25">
      <c r="A6480" s="15" t="str">
        <f>IF(C6480="","",COUNTA($C$3:C6480))</f>
        <v/>
      </c>
      <c r="B6480" s="15" t="str">
        <f t="shared" si="438"/>
        <v/>
      </c>
      <c r="M6480" s="9"/>
      <c r="N6480" s="9"/>
      <c r="P6480" s="14"/>
      <c r="Q6480" s="85"/>
      <c r="R6480" s="89"/>
      <c r="U6480" s="11" t="str">
        <f t="shared" si="437"/>
        <v/>
      </c>
      <c r="V6480" s="37"/>
      <c r="Z6480" s="15"/>
    </row>
    <row r="6481" spans="1:26" x14ac:dyDescent="0.25">
      <c r="A6481" s="15" t="str">
        <f>IF(C6481="","",COUNTA($C$3:C6481))</f>
        <v/>
      </c>
      <c r="B6481" s="15" t="str">
        <f t="shared" si="438"/>
        <v/>
      </c>
      <c r="M6481" s="9"/>
      <c r="N6481" s="9"/>
      <c r="P6481" s="14"/>
      <c r="Q6481" s="85"/>
      <c r="R6481" s="89"/>
      <c r="U6481" s="11" t="str">
        <f t="shared" si="437"/>
        <v/>
      </c>
      <c r="V6481" s="37"/>
      <c r="Z6481" s="15"/>
    </row>
    <row r="6482" spans="1:26" x14ac:dyDescent="0.25">
      <c r="A6482" s="15" t="str">
        <f>IF(C6482="","",COUNTA($C$3:C6482))</f>
        <v/>
      </c>
      <c r="B6482" s="15" t="str">
        <f t="shared" si="438"/>
        <v/>
      </c>
      <c r="M6482" s="9"/>
      <c r="N6482" s="9"/>
      <c r="P6482" s="14"/>
      <c r="Q6482" s="85"/>
      <c r="R6482" s="89"/>
      <c r="U6482" s="11" t="str">
        <f t="shared" si="437"/>
        <v/>
      </c>
      <c r="V6482" s="37"/>
      <c r="Z6482" s="15"/>
    </row>
    <row r="6483" spans="1:26" x14ac:dyDescent="0.25">
      <c r="A6483" s="15" t="str">
        <f>IF(C6483="","",COUNTA($C$3:C6483))</f>
        <v/>
      </c>
      <c r="B6483" s="15" t="str">
        <f t="shared" si="438"/>
        <v/>
      </c>
      <c r="M6483" s="9"/>
      <c r="N6483" s="9"/>
      <c r="P6483" s="14"/>
      <c r="Q6483" s="85"/>
      <c r="R6483" s="89"/>
      <c r="U6483" s="11" t="str">
        <f t="shared" si="437"/>
        <v/>
      </c>
      <c r="V6483" s="37"/>
      <c r="Z6483" s="15"/>
    </row>
    <row r="6484" spans="1:26" x14ac:dyDescent="0.25">
      <c r="A6484" s="15" t="str">
        <f>IF(C6484="","",COUNTA($C$3:C6484))</f>
        <v/>
      </c>
      <c r="B6484" s="15" t="str">
        <f t="shared" si="438"/>
        <v/>
      </c>
      <c r="M6484" s="9"/>
      <c r="N6484" s="9"/>
      <c r="P6484" s="14"/>
      <c r="Q6484" s="85"/>
      <c r="R6484" s="89"/>
      <c r="U6484" s="11" t="str">
        <f t="shared" si="437"/>
        <v/>
      </c>
      <c r="V6484" s="37"/>
      <c r="Z6484" s="15"/>
    </row>
    <row r="6485" spans="1:26" x14ac:dyDescent="0.25">
      <c r="A6485" s="15" t="str">
        <f>IF(C6485="","",COUNTA($C$3:C6485))</f>
        <v/>
      </c>
      <c r="B6485" s="15" t="str">
        <f t="shared" si="438"/>
        <v/>
      </c>
      <c r="M6485" s="9"/>
      <c r="N6485" s="9"/>
      <c r="P6485" s="14"/>
      <c r="Q6485" s="85"/>
      <c r="R6485" s="89"/>
      <c r="U6485" s="11" t="str">
        <f t="shared" si="437"/>
        <v/>
      </c>
      <c r="V6485" s="37"/>
      <c r="Z6485" s="15"/>
    </row>
    <row r="6486" spans="1:26" x14ac:dyDescent="0.25">
      <c r="A6486" s="15" t="str">
        <f>IF(C6486="","",COUNTA($C$3:C6486))</f>
        <v/>
      </c>
      <c r="B6486" s="15" t="str">
        <f t="shared" si="438"/>
        <v/>
      </c>
      <c r="M6486" s="9"/>
      <c r="N6486" s="9"/>
      <c r="P6486" s="14"/>
      <c r="Q6486" s="85"/>
      <c r="R6486" s="89"/>
      <c r="U6486" s="11" t="str">
        <f t="shared" si="437"/>
        <v/>
      </c>
      <c r="V6486" s="37"/>
      <c r="Z6486" s="15"/>
    </row>
    <row r="6487" spans="1:26" x14ac:dyDescent="0.25">
      <c r="A6487" s="15" t="str">
        <f>IF(C6487="","",COUNTA($C$3:C6487))</f>
        <v/>
      </c>
      <c r="B6487" s="15" t="str">
        <f t="shared" si="438"/>
        <v/>
      </c>
      <c r="M6487" s="9"/>
      <c r="N6487" s="9"/>
      <c r="P6487" s="14"/>
      <c r="Q6487" s="85"/>
      <c r="R6487" s="89"/>
      <c r="U6487" s="11" t="str">
        <f t="shared" si="437"/>
        <v/>
      </c>
      <c r="V6487" s="37"/>
      <c r="Z6487" s="15"/>
    </row>
    <row r="6488" spans="1:26" x14ac:dyDescent="0.25">
      <c r="A6488" s="15" t="str">
        <f>IF(C6488="","",COUNTA($C$3:C6488))</f>
        <v/>
      </c>
      <c r="B6488" s="15" t="str">
        <f t="shared" si="438"/>
        <v/>
      </c>
      <c r="M6488" s="9"/>
      <c r="N6488" s="9"/>
      <c r="P6488" s="14"/>
      <c r="Q6488" s="85"/>
      <c r="R6488" s="89"/>
      <c r="U6488" s="11" t="str">
        <f t="shared" si="437"/>
        <v/>
      </c>
      <c r="V6488" s="37"/>
      <c r="Z6488" s="15"/>
    </row>
    <row r="6489" spans="1:26" x14ac:dyDescent="0.25">
      <c r="A6489" s="15" t="str">
        <f>IF(C6489="","",COUNTA($C$3:C6489))</f>
        <v/>
      </c>
      <c r="B6489" s="15" t="str">
        <f t="shared" si="438"/>
        <v/>
      </c>
      <c r="M6489" s="9"/>
      <c r="N6489" s="9"/>
      <c r="P6489" s="14"/>
      <c r="Q6489" s="85"/>
      <c r="R6489" s="89"/>
      <c r="U6489" s="11" t="str">
        <f t="shared" si="437"/>
        <v/>
      </c>
      <c r="V6489" s="37"/>
      <c r="Z6489" s="15"/>
    </row>
    <row r="6490" spans="1:26" x14ac:dyDescent="0.25">
      <c r="A6490" s="15" t="str">
        <f>IF(C6490="","",COUNTA($C$3:C6490))</f>
        <v/>
      </c>
      <c r="B6490" s="15" t="str">
        <f t="shared" si="438"/>
        <v/>
      </c>
      <c r="M6490" s="9"/>
      <c r="N6490" s="9"/>
      <c r="P6490" s="14"/>
      <c r="Q6490" s="85"/>
      <c r="R6490" s="89"/>
      <c r="U6490" s="11" t="str">
        <f t="shared" si="437"/>
        <v/>
      </c>
      <c r="V6490" s="37"/>
      <c r="Z6490" s="15"/>
    </row>
    <row r="6491" spans="1:26" x14ac:dyDescent="0.25">
      <c r="A6491" s="15" t="str">
        <f>IF(C6491="","",COUNTA($C$3:C6491))</f>
        <v/>
      </c>
      <c r="B6491" s="15" t="str">
        <f t="shared" si="438"/>
        <v/>
      </c>
      <c r="M6491" s="9"/>
      <c r="N6491" s="9"/>
      <c r="P6491" s="14"/>
      <c r="Q6491" s="85"/>
      <c r="R6491" s="89"/>
      <c r="U6491" s="11" t="str">
        <f t="shared" si="437"/>
        <v/>
      </c>
      <c r="V6491" s="37"/>
      <c r="Z6491" s="15"/>
    </row>
    <row r="6492" spans="1:26" x14ac:dyDescent="0.25">
      <c r="A6492" s="15" t="str">
        <f>IF(C6492="","",COUNTA($C$3:C6492))</f>
        <v/>
      </c>
      <c r="B6492" s="15" t="str">
        <f t="shared" si="438"/>
        <v/>
      </c>
      <c r="M6492" s="9"/>
      <c r="N6492" s="9"/>
      <c r="P6492" s="14"/>
      <c r="Q6492" s="85"/>
      <c r="R6492" s="89"/>
      <c r="U6492" s="11" t="str">
        <f t="shared" si="437"/>
        <v/>
      </c>
      <c r="V6492" s="37"/>
      <c r="Z6492" s="15"/>
    </row>
    <row r="6493" spans="1:26" x14ac:dyDescent="0.25">
      <c r="A6493" s="15" t="str">
        <f>IF(C6493="","",COUNTA($C$3:C6493))</f>
        <v/>
      </c>
      <c r="B6493" s="15" t="str">
        <f t="shared" si="438"/>
        <v/>
      </c>
      <c r="M6493" s="9"/>
      <c r="N6493" s="9"/>
      <c r="P6493" s="14"/>
      <c r="Q6493" s="85"/>
      <c r="R6493" s="89"/>
      <c r="U6493" s="11" t="str">
        <f t="shared" si="437"/>
        <v/>
      </c>
      <c r="V6493" s="37"/>
      <c r="Z6493" s="15"/>
    </row>
    <row r="6494" spans="1:26" x14ac:dyDescent="0.25">
      <c r="A6494" s="15" t="str">
        <f>IF(C6494="","",COUNTA($C$3:C6494))</f>
        <v/>
      </c>
      <c r="B6494" s="15" t="str">
        <f t="shared" si="438"/>
        <v/>
      </c>
      <c r="M6494" s="9"/>
      <c r="N6494" s="9"/>
      <c r="P6494" s="14"/>
      <c r="Q6494" s="85"/>
      <c r="R6494" s="89"/>
      <c r="U6494" s="11" t="str">
        <f t="shared" si="437"/>
        <v/>
      </c>
      <c r="V6494" s="37"/>
      <c r="Z6494" s="15"/>
    </row>
    <row r="6495" spans="1:26" x14ac:dyDescent="0.25">
      <c r="A6495" s="15" t="str">
        <f>IF(C6495="","",COUNTA($C$3:C6495))</f>
        <v/>
      </c>
      <c r="B6495" s="15" t="str">
        <f t="shared" si="438"/>
        <v/>
      </c>
      <c r="M6495" s="9"/>
      <c r="N6495" s="9"/>
      <c r="P6495" s="14"/>
      <c r="Q6495" s="85"/>
      <c r="R6495" s="89"/>
      <c r="U6495" s="11" t="str">
        <f t="shared" si="437"/>
        <v/>
      </c>
      <c r="V6495" s="37"/>
      <c r="Z6495" s="15"/>
    </row>
    <row r="6496" spans="1:26" x14ac:dyDescent="0.25">
      <c r="A6496" s="15" t="str">
        <f>IF(C6496="","",COUNTA($C$3:C6496))</f>
        <v/>
      </c>
      <c r="B6496" s="15" t="str">
        <f t="shared" si="438"/>
        <v/>
      </c>
      <c r="M6496" s="9"/>
      <c r="N6496" s="9"/>
      <c r="P6496" s="14"/>
      <c r="Q6496" s="85"/>
      <c r="R6496" s="89"/>
      <c r="U6496" s="11" t="str">
        <f t="shared" si="437"/>
        <v/>
      </c>
      <c r="V6496" s="37"/>
      <c r="Z6496" s="15"/>
    </row>
    <row r="6497" spans="1:26" x14ac:dyDescent="0.25">
      <c r="A6497" s="15" t="str">
        <f>IF(C6497="","",COUNTA($C$3:C6497))</f>
        <v/>
      </c>
      <c r="B6497" s="15" t="str">
        <f t="shared" si="438"/>
        <v/>
      </c>
      <c r="M6497" s="9"/>
      <c r="N6497" s="9"/>
      <c r="P6497" s="14"/>
      <c r="Q6497" s="85"/>
      <c r="R6497" s="89"/>
      <c r="U6497" s="11" t="str">
        <f t="shared" si="437"/>
        <v/>
      </c>
      <c r="V6497" s="37"/>
      <c r="Z6497" s="15"/>
    </row>
    <row r="6498" spans="1:26" x14ac:dyDescent="0.25">
      <c r="A6498" s="15" t="str">
        <f>IF(C6498="","",COUNTA($C$3:C6498))</f>
        <v/>
      </c>
      <c r="B6498" s="15" t="str">
        <f t="shared" si="438"/>
        <v/>
      </c>
      <c r="M6498" s="9"/>
      <c r="N6498" s="9"/>
      <c r="P6498" s="14"/>
      <c r="Q6498" s="85"/>
      <c r="R6498" s="89"/>
      <c r="U6498" s="11" t="str">
        <f t="shared" si="437"/>
        <v/>
      </c>
      <c r="V6498" s="37"/>
      <c r="Z6498" s="15"/>
    </row>
    <row r="6499" spans="1:26" x14ac:dyDescent="0.25">
      <c r="A6499" s="15" t="str">
        <f>IF(C6499="","",COUNTA($C$3:C6499))</f>
        <v/>
      </c>
      <c r="B6499" s="15" t="str">
        <f t="shared" si="438"/>
        <v/>
      </c>
      <c r="M6499" s="9"/>
      <c r="N6499" s="9"/>
      <c r="P6499" s="14"/>
      <c r="Q6499" s="85"/>
      <c r="R6499" s="89"/>
      <c r="U6499" s="11" t="str">
        <f t="shared" si="437"/>
        <v/>
      </c>
      <c r="V6499" s="37"/>
      <c r="Z6499" s="15"/>
    </row>
    <row r="6500" spans="1:26" x14ac:dyDescent="0.25">
      <c r="A6500" s="15" t="str">
        <f>IF(C6500="","",COUNTA($C$3:C6500))</f>
        <v/>
      </c>
      <c r="B6500" s="15" t="str">
        <f t="shared" si="438"/>
        <v/>
      </c>
      <c r="M6500" s="9"/>
      <c r="N6500" s="9"/>
      <c r="P6500" s="14"/>
      <c r="Q6500" s="85"/>
      <c r="R6500" s="89"/>
      <c r="U6500" s="11" t="str">
        <f t="shared" si="437"/>
        <v/>
      </c>
      <c r="V6500" s="37"/>
      <c r="Z6500" s="15"/>
    </row>
    <row r="6501" spans="1:26" x14ac:dyDescent="0.25">
      <c r="A6501" s="15" t="str">
        <f>IF(C6501="","",COUNTA($C$3:C6501))</f>
        <v/>
      </c>
      <c r="B6501" s="15" t="str">
        <f t="shared" si="438"/>
        <v/>
      </c>
      <c r="M6501" s="9"/>
      <c r="N6501" s="9"/>
      <c r="P6501" s="14"/>
      <c r="Q6501" s="85"/>
      <c r="R6501" s="89"/>
      <c r="U6501" s="11" t="str">
        <f t="shared" si="437"/>
        <v/>
      </c>
      <c r="V6501" s="37"/>
      <c r="Z6501" s="15"/>
    </row>
    <row r="6502" spans="1:26" x14ac:dyDescent="0.25">
      <c r="A6502" s="15" t="str">
        <f>IF(C6502="","",COUNTA($C$3:C6502))</f>
        <v/>
      </c>
      <c r="B6502" s="15" t="str">
        <f t="shared" si="438"/>
        <v/>
      </c>
      <c r="M6502" s="9"/>
      <c r="N6502" s="9"/>
      <c r="P6502" s="14"/>
      <c r="Q6502" s="85"/>
      <c r="R6502" s="89"/>
      <c r="U6502" s="11" t="str">
        <f t="shared" si="437"/>
        <v/>
      </c>
      <c r="V6502" s="37"/>
      <c r="Z6502" s="15"/>
    </row>
    <row r="6503" spans="1:26" x14ac:dyDescent="0.25">
      <c r="A6503" s="15" t="str">
        <f>IF(C6503="","",COUNTA($C$3:C6503))</f>
        <v/>
      </c>
      <c r="B6503" s="15" t="str">
        <f t="shared" si="438"/>
        <v/>
      </c>
      <c r="M6503" s="9"/>
      <c r="N6503" s="9"/>
      <c r="P6503" s="14"/>
      <c r="Q6503" s="85"/>
      <c r="R6503" s="89"/>
      <c r="U6503" s="11" t="str">
        <f t="shared" si="437"/>
        <v/>
      </c>
      <c r="V6503" s="37"/>
      <c r="Z6503" s="15"/>
    </row>
    <row r="6504" spans="1:26" x14ac:dyDescent="0.25">
      <c r="A6504" s="15" t="str">
        <f>IF(C6504="","",COUNTA($C$3:C6504))</f>
        <v/>
      </c>
      <c r="B6504" s="15" t="str">
        <f t="shared" si="438"/>
        <v/>
      </c>
      <c r="M6504" s="9"/>
      <c r="N6504" s="9"/>
      <c r="P6504" s="14"/>
      <c r="Q6504" s="85"/>
      <c r="R6504" s="89"/>
      <c r="U6504" s="11" t="str">
        <f t="shared" si="437"/>
        <v/>
      </c>
      <c r="V6504" s="37"/>
      <c r="Z6504" s="15"/>
    </row>
    <row r="6505" spans="1:26" x14ac:dyDescent="0.25">
      <c r="A6505" s="15" t="str">
        <f>IF(C6505="","",COUNTA($C$3:C6505))</f>
        <v/>
      </c>
      <c r="B6505" s="15" t="str">
        <f t="shared" si="438"/>
        <v/>
      </c>
      <c r="M6505" s="9"/>
      <c r="N6505" s="9"/>
      <c r="P6505" s="14"/>
      <c r="Q6505" s="85"/>
      <c r="R6505" s="89"/>
      <c r="U6505" s="11" t="str">
        <f t="shared" si="437"/>
        <v/>
      </c>
      <c r="V6505" s="37"/>
      <c r="Z6505" s="15"/>
    </row>
    <row r="6506" spans="1:26" x14ac:dyDescent="0.25">
      <c r="A6506" s="15" t="str">
        <f>IF(C6506="","",COUNTA($C$3:C6506))</f>
        <v/>
      </c>
      <c r="B6506" s="15" t="str">
        <f t="shared" si="438"/>
        <v/>
      </c>
      <c r="M6506" s="9"/>
      <c r="N6506" s="9"/>
      <c r="P6506" s="14"/>
      <c r="Q6506" s="85"/>
      <c r="R6506" s="89"/>
      <c r="U6506" s="11" t="str">
        <f t="shared" si="437"/>
        <v/>
      </c>
      <c r="V6506" s="37"/>
      <c r="Z6506" s="15"/>
    </row>
    <row r="6507" spans="1:26" x14ac:dyDescent="0.25">
      <c r="A6507" s="15" t="str">
        <f>IF(C6507="","",COUNTA($C$3:C6507))</f>
        <v/>
      </c>
      <c r="B6507" s="15" t="str">
        <f t="shared" si="438"/>
        <v/>
      </c>
      <c r="M6507" s="9"/>
      <c r="N6507" s="9"/>
      <c r="P6507" s="14"/>
      <c r="Q6507" s="85"/>
      <c r="R6507" s="89"/>
      <c r="U6507" s="11" t="str">
        <f t="shared" si="437"/>
        <v/>
      </c>
      <c r="V6507" s="37"/>
      <c r="Z6507" s="15"/>
    </row>
    <row r="6508" spans="1:26" x14ac:dyDescent="0.25">
      <c r="A6508" s="15" t="str">
        <f>IF(C6508="","",COUNTA($C$3:C6508))</f>
        <v/>
      </c>
      <c r="B6508" s="15" t="str">
        <f t="shared" si="438"/>
        <v/>
      </c>
      <c r="M6508" s="9"/>
      <c r="N6508" s="9"/>
      <c r="P6508" s="14"/>
      <c r="Q6508" s="85"/>
      <c r="R6508" s="89"/>
      <c r="U6508" s="11" t="str">
        <f t="shared" si="437"/>
        <v/>
      </c>
      <c r="V6508" s="37"/>
      <c r="Z6508" s="15"/>
    </row>
    <row r="6509" spans="1:26" x14ac:dyDescent="0.25">
      <c r="A6509" s="15" t="str">
        <f>IF(C6509="","",COUNTA($C$3:C6509))</f>
        <v/>
      </c>
      <c r="B6509" s="15" t="str">
        <f t="shared" si="438"/>
        <v/>
      </c>
      <c r="M6509" s="9"/>
      <c r="N6509" s="9"/>
      <c r="P6509" s="14"/>
      <c r="Q6509" s="85"/>
      <c r="R6509" s="89"/>
      <c r="U6509" s="11" t="str">
        <f t="shared" si="437"/>
        <v/>
      </c>
      <c r="V6509" s="37"/>
      <c r="Z6509" s="15"/>
    </row>
    <row r="6510" spans="1:26" x14ac:dyDescent="0.25">
      <c r="A6510" s="15" t="str">
        <f>IF(C6510="","",COUNTA($C$3:C6510))</f>
        <v/>
      </c>
      <c r="B6510" s="15" t="str">
        <f t="shared" si="438"/>
        <v/>
      </c>
      <c r="M6510" s="9"/>
      <c r="N6510" s="9"/>
      <c r="P6510" s="14"/>
      <c r="Q6510" s="85"/>
      <c r="R6510" s="89"/>
      <c r="U6510" s="11" t="str">
        <f t="shared" si="437"/>
        <v/>
      </c>
      <c r="V6510" s="37"/>
      <c r="Z6510" s="15"/>
    </row>
    <row r="6511" spans="1:26" x14ac:dyDescent="0.25">
      <c r="A6511" s="15" t="str">
        <f>IF(C6511="","",COUNTA($C$3:C6511))</f>
        <v/>
      </c>
      <c r="B6511" s="15" t="str">
        <f t="shared" si="438"/>
        <v/>
      </c>
      <c r="M6511" s="9"/>
      <c r="N6511" s="9"/>
      <c r="P6511" s="14"/>
      <c r="Q6511" s="85"/>
      <c r="R6511" s="89"/>
      <c r="U6511" s="11" t="str">
        <f t="shared" si="437"/>
        <v/>
      </c>
      <c r="V6511" s="37"/>
      <c r="Z6511" s="15"/>
    </row>
    <row r="6512" spans="1:26" x14ac:dyDescent="0.25">
      <c r="A6512" s="15" t="str">
        <f>IF(C6512="","",COUNTA($C$3:C6512))</f>
        <v/>
      </c>
      <c r="B6512" s="15" t="str">
        <f t="shared" si="438"/>
        <v/>
      </c>
      <c r="M6512" s="9"/>
      <c r="N6512" s="9"/>
      <c r="P6512" s="14"/>
      <c r="Q6512" s="85"/>
      <c r="R6512" s="89"/>
      <c r="U6512" s="11" t="str">
        <f t="shared" si="437"/>
        <v/>
      </c>
      <c r="V6512" s="37"/>
      <c r="Z6512" s="15"/>
    </row>
    <row r="6513" spans="1:26" x14ac:dyDescent="0.25">
      <c r="A6513" s="15" t="str">
        <f>IF(C6513="","",COUNTA($C$3:C6513))</f>
        <v/>
      </c>
      <c r="B6513" s="15" t="str">
        <f t="shared" si="438"/>
        <v/>
      </c>
      <c r="M6513" s="9"/>
      <c r="N6513" s="9"/>
      <c r="P6513" s="14"/>
      <c r="Q6513" s="85"/>
      <c r="R6513" s="89"/>
      <c r="U6513" s="11" t="str">
        <f t="shared" si="437"/>
        <v/>
      </c>
      <c r="V6513" s="37"/>
      <c r="Z6513" s="15"/>
    </row>
    <row r="6514" spans="1:26" x14ac:dyDescent="0.25">
      <c r="A6514" s="15" t="str">
        <f>IF(C6514="","",COUNTA($C$3:C6514))</f>
        <v/>
      </c>
      <c r="B6514" s="15" t="str">
        <f t="shared" si="438"/>
        <v/>
      </c>
      <c r="M6514" s="9"/>
      <c r="N6514" s="9"/>
      <c r="P6514" s="14"/>
      <c r="Q6514" s="85"/>
      <c r="R6514" s="89"/>
      <c r="U6514" s="11" t="str">
        <f t="shared" si="437"/>
        <v/>
      </c>
      <c r="V6514" s="37"/>
      <c r="Z6514" s="15"/>
    </row>
    <row r="6515" spans="1:26" x14ac:dyDescent="0.25">
      <c r="A6515" s="15" t="str">
        <f>IF(C6515="","",COUNTA($C$3:C6515))</f>
        <v/>
      </c>
      <c r="B6515" s="15" t="str">
        <f t="shared" si="438"/>
        <v/>
      </c>
      <c r="M6515" s="9"/>
      <c r="N6515" s="9"/>
      <c r="P6515" s="14"/>
      <c r="Q6515" s="85"/>
      <c r="R6515" s="89"/>
      <c r="U6515" s="11" t="str">
        <f t="shared" si="437"/>
        <v/>
      </c>
      <c r="V6515" s="37"/>
      <c r="Z6515" s="15"/>
    </row>
    <row r="6516" spans="1:26" x14ac:dyDescent="0.25">
      <c r="A6516" s="15" t="str">
        <f>IF(C6516="","",COUNTA($C$3:C6516))</f>
        <v/>
      </c>
      <c r="B6516" s="15" t="str">
        <f t="shared" si="438"/>
        <v/>
      </c>
      <c r="M6516" s="9"/>
      <c r="N6516" s="9"/>
      <c r="P6516" s="14"/>
      <c r="Q6516" s="85"/>
      <c r="R6516" s="89"/>
      <c r="U6516" s="11" t="str">
        <f t="shared" si="437"/>
        <v/>
      </c>
      <c r="V6516" s="37"/>
      <c r="Z6516" s="15"/>
    </row>
    <row r="6517" spans="1:26" x14ac:dyDescent="0.25">
      <c r="A6517" s="15" t="str">
        <f>IF(C6517="","",COUNTA($C$3:C6517))</f>
        <v/>
      </c>
      <c r="B6517" s="15" t="str">
        <f t="shared" si="438"/>
        <v/>
      </c>
      <c r="M6517" s="9"/>
      <c r="N6517" s="9"/>
      <c r="P6517" s="14"/>
      <c r="Q6517" s="85"/>
      <c r="R6517" s="89"/>
      <c r="U6517" s="11" t="str">
        <f t="shared" si="437"/>
        <v/>
      </c>
      <c r="V6517" s="37"/>
      <c r="Z6517" s="15"/>
    </row>
    <row r="6518" spans="1:26" x14ac:dyDescent="0.25">
      <c r="A6518" s="15" t="str">
        <f>IF(C6518="","",COUNTA($C$3:C6518))</f>
        <v/>
      </c>
      <c r="B6518" s="15" t="str">
        <f t="shared" si="438"/>
        <v/>
      </c>
      <c r="M6518" s="9"/>
      <c r="N6518" s="9"/>
      <c r="P6518" s="14"/>
      <c r="Q6518" s="85"/>
      <c r="R6518" s="89"/>
      <c r="U6518" s="11" t="str">
        <f t="shared" si="437"/>
        <v/>
      </c>
      <c r="V6518" s="37"/>
      <c r="Z6518" s="15"/>
    </row>
    <row r="6519" spans="1:26" x14ac:dyDescent="0.25">
      <c r="A6519" s="15" t="str">
        <f>IF(C6519="","",COUNTA($C$3:C6519))</f>
        <v/>
      </c>
      <c r="B6519" s="15" t="str">
        <f t="shared" si="438"/>
        <v/>
      </c>
      <c r="M6519" s="9"/>
      <c r="N6519" s="9"/>
      <c r="P6519" s="14"/>
      <c r="Q6519" s="85"/>
      <c r="R6519" s="89"/>
      <c r="U6519" s="11" t="str">
        <f t="shared" si="437"/>
        <v/>
      </c>
      <c r="V6519" s="37"/>
      <c r="Z6519" s="15"/>
    </row>
    <row r="6520" spans="1:26" x14ac:dyDescent="0.25">
      <c r="A6520" s="15" t="str">
        <f>IF(C6520="","",COUNTA($C$3:C6520))</f>
        <v/>
      </c>
      <c r="B6520" s="15" t="str">
        <f t="shared" si="438"/>
        <v/>
      </c>
      <c r="M6520" s="9"/>
      <c r="N6520" s="9"/>
      <c r="P6520" s="14"/>
      <c r="Q6520" s="85"/>
      <c r="R6520" s="89"/>
      <c r="U6520" s="11" t="str">
        <f t="shared" si="437"/>
        <v/>
      </c>
      <c r="V6520" s="37"/>
      <c r="Z6520" s="15"/>
    </row>
    <row r="6521" spans="1:26" x14ac:dyDescent="0.25">
      <c r="A6521" s="15" t="str">
        <f>IF(C6521="","",COUNTA($C$3:C6521))</f>
        <v/>
      </c>
      <c r="B6521" s="15" t="str">
        <f t="shared" si="438"/>
        <v/>
      </c>
      <c r="M6521" s="9"/>
      <c r="N6521" s="9"/>
      <c r="P6521" s="14"/>
      <c r="Q6521" s="85"/>
      <c r="R6521" s="89"/>
      <c r="U6521" s="11" t="str">
        <f t="shared" si="437"/>
        <v/>
      </c>
      <c r="V6521" s="37"/>
      <c r="Z6521" s="15"/>
    </row>
    <row r="6522" spans="1:26" x14ac:dyDescent="0.25">
      <c r="A6522" s="15" t="str">
        <f>IF(C6522="","",COUNTA($C$3:C6522))</f>
        <v/>
      </c>
      <c r="B6522" s="15" t="str">
        <f t="shared" si="438"/>
        <v/>
      </c>
      <c r="M6522" s="9"/>
      <c r="N6522" s="9"/>
      <c r="P6522" s="14"/>
      <c r="Q6522" s="85"/>
      <c r="R6522" s="89"/>
      <c r="U6522" s="11" t="str">
        <f t="shared" si="437"/>
        <v/>
      </c>
      <c r="V6522" s="37"/>
      <c r="Z6522" s="15"/>
    </row>
    <row r="6523" spans="1:26" x14ac:dyDescent="0.25">
      <c r="A6523" s="15" t="str">
        <f>IF(C6523="","",COUNTA($C$3:C6523))</f>
        <v/>
      </c>
      <c r="B6523" s="15" t="str">
        <f t="shared" si="438"/>
        <v/>
      </c>
      <c r="M6523" s="9"/>
      <c r="N6523" s="9"/>
      <c r="P6523" s="14"/>
      <c r="Q6523" s="85"/>
      <c r="R6523" s="89"/>
      <c r="U6523" s="11" t="str">
        <f t="shared" si="437"/>
        <v/>
      </c>
      <c r="V6523" s="37"/>
      <c r="Z6523" s="15"/>
    </row>
    <row r="6524" spans="1:26" x14ac:dyDescent="0.25">
      <c r="A6524" s="15" t="str">
        <f>IF(C6524="","",COUNTA($C$3:C6524))</f>
        <v/>
      </c>
      <c r="B6524" s="15" t="str">
        <f t="shared" si="438"/>
        <v/>
      </c>
      <c r="M6524" s="9"/>
      <c r="N6524" s="9"/>
      <c r="P6524" s="14"/>
      <c r="Q6524" s="85"/>
      <c r="R6524" s="89"/>
      <c r="U6524" s="11" t="str">
        <f t="shared" si="437"/>
        <v/>
      </c>
      <c r="V6524" s="37"/>
      <c r="Z6524" s="15"/>
    </row>
    <row r="6525" spans="1:26" x14ac:dyDescent="0.25">
      <c r="A6525" s="15" t="str">
        <f>IF(C6525="","",COUNTA($C$3:C6525))</f>
        <v/>
      </c>
      <c r="B6525" s="15" t="str">
        <f t="shared" si="438"/>
        <v/>
      </c>
      <c r="M6525" s="9"/>
      <c r="N6525" s="9"/>
      <c r="P6525" s="14"/>
      <c r="Q6525" s="85"/>
      <c r="R6525" s="89"/>
      <c r="U6525" s="11" t="str">
        <f t="shared" si="437"/>
        <v/>
      </c>
      <c r="V6525" s="37"/>
      <c r="Z6525" s="15"/>
    </row>
    <row r="6526" spans="1:26" x14ac:dyDescent="0.25">
      <c r="A6526" s="15" t="str">
        <f>IF(C6526="","",COUNTA($C$3:C6526))</f>
        <v/>
      </c>
      <c r="B6526" s="15" t="str">
        <f t="shared" si="438"/>
        <v/>
      </c>
      <c r="M6526" s="9"/>
      <c r="N6526" s="9"/>
      <c r="P6526" s="14"/>
      <c r="Q6526" s="85"/>
      <c r="R6526" s="89"/>
      <c r="U6526" s="11" t="str">
        <f t="shared" si="437"/>
        <v/>
      </c>
      <c r="V6526" s="37"/>
      <c r="Z6526" s="15"/>
    </row>
    <row r="6527" spans="1:26" x14ac:dyDescent="0.25">
      <c r="A6527" s="15" t="str">
        <f>IF(C6527="","",COUNTA($C$3:C6527))</f>
        <v/>
      </c>
      <c r="B6527" s="15" t="str">
        <f t="shared" si="438"/>
        <v/>
      </c>
      <c r="M6527" s="9"/>
      <c r="N6527" s="9"/>
      <c r="P6527" s="14"/>
      <c r="Q6527" s="85"/>
      <c r="R6527" s="89"/>
      <c r="U6527" s="11" t="str">
        <f t="shared" si="437"/>
        <v/>
      </c>
      <c r="V6527" s="37"/>
      <c r="Z6527" s="15"/>
    </row>
    <row r="6528" spans="1:26" x14ac:dyDescent="0.25">
      <c r="A6528" s="15" t="str">
        <f>IF(C6528="","",COUNTA($C$3:C6528))</f>
        <v/>
      </c>
      <c r="B6528" s="15" t="str">
        <f t="shared" si="438"/>
        <v/>
      </c>
      <c r="M6528" s="9"/>
      <c r="N6528" s="9"/>
      <c r="P6528" s="14"/>
      <c r="Q6528" s="85"/>
      <c r="R6528" s="89"/>
      <c r="U6528" s="11" t="str">
        <f t="shared" si="437"/>
        <v/>
      </c>
      <c r="V6528" s="37"/>
      <c r="Z6528" s="15"/>
    </row>
    <row r="6529" spans="1:26" x14ac:dyDescent="0.25">
      <c r="A6529" s="15" t="str">
        <f>IF(C6529="","",COUNTA($C$3:C6529))</f>
        <v/>
      </c>
      <c r="B6529" s="15" t="str">
        <f t="shared" si="438"/>
        <v/>
      </c>
      <c r="M6529" s="9"/>
      <c r="N6529" s="9"/>
      <c r="P6529" s="14"/>
      <c r="Q6529" s="85"/>
      <c r="R6529" s="89"/>
      <c r="U6529" s="11" t="str">
        <f t="shared" si="437"/>
        <v/>
      </c>
      <c r="V6529" s="37"/>
      <c r="Z6529" s="15"/>
    </row>
    <row r="6530" spans="1:26" x14ac:dyDescent="0.25">
      <c r="A6530" s="15" t="str">
        <f>IF(C6530="","",COUNTA($C$3:C6530))</f>
        <v/>
      </c>
      <c r="B6530" s="15" t="str">
        <f t="shared" si="438"/>
        <v/>
      </c>
      <c r="M6530" s="9"/>
      <c r="N6530" s="9"/>
      <c r="P6530" s="14"/>
      <c r="Q6530" s="85"/>
      <c r="R6530" s="89"/>
      <c r="U6530" s="11" t="str">
        <f t="shared" ref="U6530:U6552" si="439">IF(S6530="","",(S6530-T6530))</f>
        <v/>
      </c>
      <c r="V6530" s="37"/>
      <c r="Z6530" s="15"/>
    </row>
    <row r="6531" spans="1:26" x14ac:dyDescent="0.25">
      <c r="A6531" s="15" t="str">
        <f>IF(C6531="","",COUNTA($C$3:C6531))</f>
        <v/>
      </c>
      <c r="B6531" s="15" t="str">
        <f t="shared" ref="B6531:B6552" si="440">IF(C6531="","",TEXT(C6531,"mmmm"))</f>
        <v/>
      </c>
      <c r="M6531" s="9"/>
      <c r="N6531" s="9"/>
      <c r="P6531" s="14"/>
      <c r="Q6531" s="85"/>
      <c r="R6531" s="89"/>
      <c r="U6531" s="11" t="str">
        <f t="shared" si="439"/>
        <v/>
      </c>
      <c r="V6531" s="37"/>
      <c r="Z6531" s="15"/>
    </row>
    <row r="6532" spans="1:26" x14ac:dyDescent="0.25">
      <c r="A6532" s="15" t="str">
        <f>IF(C6532="","",COUNTA($C$3:C6532))</f>
        <v/>
      </c>
      <c r="B6532" s="15" t="str">
        <f t="shared" si="440"/>
        <v/>
      </c>
      <c r="M6532" s="9"/>
      <c r="N6532" s="9"/>
      <c r="P6532" s="14"/>
      <c r="Q6532" s="85"/>
      <c r="R6532" s="89"/>
      <c r="U6532" s="11" t="str">
        <f t="shared" si="439"/>
        <v/>
      </c>
      <c r="V6532" s="37"/>
      <c r="Z6532" s="15"/>
    </row>
    <row r="6533" spans="1:26" x14ac:dyDescent="0.25">
      <c r="A6533" s="15" t="str">
        <f>IF(C6533="","",COUNTA($C$3:C6533))</f>
        <v/>
      </c>
      <c r="B6533" s="15" t="str">
        <f t="shared" si="440"/>
        <v/>
      </c>
      <c r="M6533" s="9"/>
      <c r="N6533" s="9"/>
      <c r="P6533" s="14"/>
      <c r="Q6533" s="85"/>
      <c r="R6533" s="89"/>
      <c r="U6533" s="11" t="str">
        <f t="shared" si="439"/>
        <v/>
      </c>
      <c r="V6533" s="37"/>
      <c r="Z6533" s="15"/>
    </row>
    <row r="6534" spans="1:26" x14ac:dyDescent="0.25">
      <c r="A6534" s="15" t="str">
        <f>IF(C6534="","",COUNTA($C$3:C6534))</f>
        <v/>
      </c>
      <c r="B6534" s="15" t="str">
        <f t="shared" si="440"/>
        <v/>
      </c>
      <c r="M6534" s="9"/>
      <c r="N6534" s="9"/>
      <c r="P6534" s="14"/>
      <c r="Q6534" s="85"/>
      <c r="R6534" s="89"/>
      <c r="U6534" s="11" t="str">
        <f t="shared" si="439"/>
        <v/>
      </c>
      <c r="V6534" s="37"/>
      <c r="Z6534" s="15"/>
    </row>
    <row r="6535" spans="1:26" x14ac:dyDescent="0.25">
      <c r="A6535" s="15" t="str">
        <f>IF(C6535="","",COUNTA($C$3:C6535))</f>
        <v/>
      </c>
      <c r="B6535" s="15" t="str">
        <f t="shared" si="440"/>
        <v/>
      </c>
      <c r="M6535" s="9"/>
      <c r="N6535" s="9"/>
      <c r="P6535" s="14"/>
      <c r="Q6535" s="85"/>
      <c r="R6535" s="89"/>
      <c r="U6535" s="11" t="str">
        <f t="shared" si="439"/>
        <v/>
      </c>
      <c r="V6535" s="37"/>
      <c r="Z6535" s="15"/>
    </row>
    <row r="6536" spans="1:26" x14ac:dyDescent="0.25">
      <c r="A6536" s="15" t="str">
        <f>IF(C6536="","",COUNTA($C$3:C6536))</f>
        <v/>
      </c>
      <c r="B6536" s="15" t="str">
        <f t="shared" si="440"/>
        <v/>
      </c>
      <c r="M6536" s="9"/>
      <c r="N6536" s="9"/>
      <c r="P6536" s="14"/>
      <c r="Q6536" s="85"/>
      <c r="R6536" s="89"/>
      <c r="U6536" s="11" t="str">
        <f t="shared" si="439"/>
        <v/>
      </c>
      <c r="V6536" s="37"/>
      <c r="Z6536" s="15"/>
    </row>
    <row r="6537" spans="1:26" x14ac:dyDescent="0.25">
      <c r="A6537" s="15" t="str">
        <f>IF(C6537="","",COUNTA($C$3:C6537))</f>
        <v/>
      </c>
      <c r="B6537" s="15" t="str">
        <f t="shared" si="440"/>
        <v/>
      </c>
      <c r="M6537" s="9"/>
      <c r="N6537" s="9"/>
      <c r="P6537" s="14"/>
      <c r="Q6537" s="85"/>
      <c r="R6537" s="89"/>
      <c r="U6537" s="11" t="str">
        <f t="shared" si="439"/>
        <v/>
      </c>
      <c r="V6537" s="37"/>
      <c r="Z6537" s="15"/>
    </row>
    <row r="6538" spans="1:26" x14ac:dyDescent="0.25">
      <c r="A6538" s="15" t="str">
        <f>IF(C6538="","",COUNTA($C$3:C6538))</f>
        <v/>
      </c>
      <c r="B6538" s="15" t="str">
        <f t="shared" si="440"/>
        <v/>
      </c>
      <c r="M6538" s="9"/>
      <c r="N6538" s="9"/>
      <c r="P6538" s="14"/>
      <c r="Q6538" s="85"/>
      <c r="R6538" s="89"/>
      <c r="U6538" s="11" t="str">
        <f t="shared" si="439"/>
        <v/>
      </c>
      <c r="V6538" s="37"/>
      <c r="Z6538" s="15"/>
    </row>
    <row r="6539" spans="1:26" x14ac:dyDescent="0.25">
      <c r="A6539" s="15" t="str">
        <f>IF(C6539="","",COUNTA($C$3:C6539))</f>
        <v/>
      </c>
      <c r="B6539" s="15" t="str">
        <f t="shared" si="440"/>
        <v/>
      </c>
      <c r="M6539" s="9"/>
      <c r="N6539" s="9"/>
      <c r="P6539" s="14"/>
      <c r="Q6539" s="85"/>
      <c r="R6539" s="89"/>
      <c r="U6539" s="11" t="str">
        <f t="shared" si="439"/>
        <v/>
      </c>
      <c r="V6539" s="37"/>
      <c r="Z6539" s="15"/>
    </row>
    <row r="6540" spans="1:26" x14ac:dyDescent="0.25">
      <c r="A6540" s="15" t="str">
        <f>IF(C6540="","",COUNTA($C$3:C6540))</f>
        <v/>
      </c>
      <c r="B6540" s="15" t="str">
        <f t="shared" si="440"/>
        <v/>
      </c>
      <c r="M6540" s="9"/>
      <c r="N6540" s="9"/>
      <c r="P6540" s="14"/>
      <c r="Q6540" s="85"/>
      <c r="R6540" s="89"/>
      <c r="U6540" s="11" t="str">
        <f t="shared" si="439"/>
        <v/>
      </c>
      <c r="V6540" s="37"/>
      <c r="Z6540" s="15"/>
    </row>
    <row r="6541" spans="1:26" x14ac:dyDescent="0.25">
      <c r="A6541" s="15" t="str">
        <f>IF(C6541="","",COUNTA($C$3:C6541))</f>
        <v/>
      </c>
      <c r="B6541" s="15" t="str">
        <f t="shared" si="440"/>
        <v/>
      </c>
      <c r="M6541" s="9"/>
      <c r="N6541" s="9"/>
      <c r="P6541" s="14"/>
      <c r="Q6541" s="85"/>
      <c r="R6541" s="89"/>
      <c r="U6541" s="11" t="str">
        <f t="shared" si="439"/>
        <v/>
      </c>
      <c r="V6541" s="37"/>
      <c r="Z6541" s="15"/>
    </row>
    <row r="6542" spans="1:26" x14ac:dyDescent="0.25">
      <c r="A6542" s="15" t="str">
        <f>IF(C6542="","",COUNTA($C$3:C6542))</f>
        <v/>
      </c>
      <c r="B6542" s="15" t="str">
        <f t="shared" si="440"/>
        <v/>
      </c>
      <c r="M6542" s="9"/>
      <c r="N6542" s="9"/>
      <c r="P6542" s="14"/>
      <c r="Q6542" s="85"/>
      <c r="R6542" s="89"/>
      <c r="U6542" s="11" t="str">
        <f t="shared" si="439"/>
        <v/>
      </c>
      <c r="V6542" s="37"/>
      <c r="Z6542" s="15"/>
    </row>
    <row r="6543" spans="1:26" x14ac:dyDescent="0.25">
      <c r="A6543" s="15" t="str">
        <f>IF(C6543="","",COUNTA($C$3:C6543))</f>
        <v/>
      </c>
      <c r="B6543" s="15" t="str">
        <f t="shared" si="440"/>
        <v/>
      </c>
      <c r="M6543" s="9"/>
      <c r="N6543" s="9"/>
      <c r="P6543" s="14"/>
      <c r="Q6543" s="85"/>
      <c r="R6543" s="89"/>
      <c r="U6543" s="11" t="str">
        <f t="shared" si="439"/>
        <v/>
      </c>
      <c r="V6543" s="37"/>
      <c r="Z6543" s="15"/>
    </row>
    <row r="6544" spans="1:26" x14ac:dyDescent="0.25">
      <c r="A6544" s="15" t="str">
        <f>IF(C6544="","",COUNTA($C$3:C6544))</f>
        <v/>
      </c>
      <c r="B6544" s="15" t="str">
        <f t="shared" si="440"/>
        <v/>
      </c>
      <c r="M6544" s="9"/>
      <c r="N6544" s="9"/>
      <c r="P6544" s="14"/>
      <c r="Q6544" s="85"/>
      <c r="R6544" s="89"/>
      <c r="U6544" s="11" t="str">
        <f t="shared" si="439"/>
        <v/>
      </c>
      <c r="V6544" s="37"/>
      <c r="Z6544" s="15"/>
    </row>
    <row r="6545" spans="1:26" x14ac:dyDescent="0.25">
      <c r="A6545" s="15" t="str">
        <f>IF(C6545="","",COUNTA($C$3:C6545))</f>
        <v/>
      </c>
      <c r="B6545" s="15" t="str">
        <f t="shared" si="440"/>
        <v/>
      </c>
      <c r="M6545" s="9"/>
      <c r="N6545" s="9"/>
      <c r="P6545" s="14"/>
      <c r="Q6545" s="85"/>
      <c r="R6545" s="89"/>
      <c r="U6545" s="11" t="str">
        <f t="shared" si="439"/>
        <v/>
      </c>
      <c r="V6545" s="37"/>
      <c r="Z6545" s="15"/>
    </row>
    <row r="6546" spans="1:26" x14ac:dyDescent="0.25">
      <c r="A6546" s="15" t="str">
        <f>IF(C6546="","",COUNTA($C$3:C6546))</f>
        <v/>
      </c>
      <c r="B6546" s="15" t="str">
        <f t="shared" si="440"/>
        <v/>
      </c>
      <c r="M6546" s="9"/>
      <c r="N6546" s="9"/>
      <c r="P6546" s="14"/>
      <c r="Q6546" s="85"/>
      <c r="R6546" s="89"/>
      <c r="U6546" s="11" t="str">
        <f t="shared" si="439"/>
        <v/>
      </c>
      <c r="V6546" s="37"/>
      <c r="Z6546" s="15"/>
    </row>
    <row r="6547" spans="1:26" x14ac:dyDescent="0.25">
      <c r="A6547" s="15" t="str">
        <f>IF(C6547="","",COUNTA($C$3:C6547))</f>
        <v/>
      </c>
      <c r="B6547" s="15" t="str">
        <f t="shared" si="440"/>
        <v/>
      </c>
      <c r="M6547" s="9"/>
      <c r="N6547" s="9"/>
      <c r="P6547" s="14"/>
      <c r="Q6547" s="85"/>
      <c r="R6547" s="89"/>
      <c r="U6547" s="11" t="str">
        <f t="shared" si="439"/>
        <v/>
      </c>
      <c r="V6547" s="37"/>
      <c r="Z6547" s="15"/>
    </row>
    <row r="6548" spans="1:26" x14ac:dyDescent="0.25">
      <c r="A6548" s="15" t="str">
        <f>IF(C6548="","",COUNTA($C$3:C6548))</f>
        <v/>
      </c>
      <c r="B6548" s="15" t="str">
        <f t="shared" si="440"/>
        <v/>
      </c>
      <c r="M6548" s="9"/>
      <c r="N6548" s="9"/>
      <c r="P6548" s="14"/>
      <c r="Q6548" s="85"/>
      <c r="R6548" s="89"/>
      <c r="U6548" s="11" t="str">
        <f t="shared" si="439"/>
        <v/>
      </c>
      <c r="V6548" s="37"/>
      <c r="Z6548" s="15"/>
    </row>
    <row r="6549" spans="1:26" x14ac:dyDescent="0.25">
      <c r="A6549" s="15" t="str">
        <f>IF(C6549="","",COUNTA($C$3:C6549))</f>
        <v/>
      </c>
      <c r="B6549" s="15" t="str">
        <f t="shared" si="440"/>
        <v/>
      </c>
      <c r="M6549" s="9"/>
      <c r="N6549" s="9"/>
      <c r="P6549" s="14"/>
      <c r="Q6549" s="85"/>
      <c r="R6549" s="89"/>
      <c r="U6549" s="11" t="str">
        <f t="shared" si="439"/>
        <v/>
      </c>
      <c r="V6549" s="37"/>
      <c r="Z6549" s="15"/>
    </row>
    <row r="6550" spans="1:26" x14ac:dyDescent="0.25">
      <c r="A6550" s="15" t="str">
        <f>IF(C6550="","",COUNTA($C$3:C6550))</f>
        <v/>
      </c>
      <c r="B6550" s="15" t="str">
        <f t="shared" si="440"/>
        <v/>
      </c>
      <c r="M6550" s="9"/>
      <c r="N6550" s="9"/>
      <c r="P6550" s="14"/>
      <c r="Q6550" s="85"/>
      <c r="R6550" s="89"/>
      <c r="U6550" s="11" t="str">
        <f t="shared" si="439"/>
        <v/>
      </c>
      <c r="V6550" s="37"/>
      <c r="Z6550" s="15"/>
    </row>
    <row r="6551" spans="1:26" x14ac:dyDescent="0.25">
      <c r="A6551" s="15" t="str">
        <f>IF(C6551="","",COUNTA($C$3:C6551))</f>
        <v/>
      </c>
      <c r="B6551" s="15" t="str">
        <f t="shared" si="440"/>
        <v/>
      </c>
      <c r="M6551" s="9"/>
      <c r="N6551" s="9"/>
      <c r="P6551" s="14"/>
      <c r="Q6551" s="85"/>
      <c r="R6551" s="89"/>
      <c r="U6551" s="11" t="str">
        <f t="shared" si="439"/>
        <v/>
      </c>
      <c r="V6551" s="37"/>
      <c r="Z6551" s="15"/>
    </row>
    <row r="6552" spans="1:26" x14ac:dyDescent="0.25">
      <c r="A6552" s="15" t="str">
        <f>IF(C6552="","",COUNTA($C$3:C6552))</f>
        <v/>
      </c>
      <c r="B6552" s="15" t="str">
        <f t="shared" si="440"/>
        <v/>
      </c>
      <c r="M6552" s="9"/>
      <c r="N6552" s="9"/>
      <c r="P6552" s="14"/>
      <c r="Q6552" s="85"/>
      <c r="R6552" s="89"/>
      <c r="U6552" s="38" t="str">
        <f t="shared" si="439"/>
        <v/>
      </c>
      <c r="V6552" s="39"/>
      <c r="Z6552" s="15"/>
    </row>
    <row r="6553" spans="1:26" x14ac:dyDescent="0.25">
      <c r="C6553" s="32"/>
      <c r="D6553" s="17"/>
      <c r="E6553" s="32"/>
      <c r="I6553" s="17"/>
      <c r="J6553" s="18"/>
      <c r="K6553" s="18"/>
      <c r="L6553" s="19"/>
      <c r="M6553" s="20"/>
      <c r="N6553" s="20"/>
      <c r="O6553" s="19"/>
      <c r="P6553" s="44"/>
      <c r="Q6553" s="83"/>
      <c r="R6553" s="88"/>
      <c r="S6553" s="19"/>
      <c r="T6553" s="19"/>
      <c r="U6553" s="21"/>
      <c r="V6553" s="22"/>
      <c r="W6553" s="23"/>
      <c r="X6553" s="19"/>
      <c r="Y6553" s="15"/>
      <c r="Z6553" s="15"/>
    </row>
    <row r="6554" spans="1:26" x14ac:dyDescent="0.25">
      <c r="C6554" s="32"/>
      <c r="D6554" s="17"/>
      <c r="E6554" s="32"/>
      <c r="F6554" s="17"/>
      <c r="G6554" s="18"/>
      <c r="H6554" s="18"/>
      <c r="I6554" s="17"/>
      <c r="J6554" s="18"/>
      <c r="K6554" s="18"/>
      <c r="L6554" s="19"/>
      <c r="M6554" s="20"/>
      <c r="N6554" s="20"/>
      <c r="O6554" s="19"/>
      <c r="P6554" s="44"/>
      <c r="Q6554" s="83"/>
      <c r="R6554" s="88"/>
      <c r="S6554" s="19"/>
      <c r="T6554" s="19"/>
      <c r="U6554" s="21"/>
      <c r="V6554" s="22"/>
      <c r="W6554" s="23"/>
      <c r="X6554" s="19"/>
      <c r="Y6554" s="15"/>
      <c r="Z6554" s="15"/>
    </row>
    <row r="6555" spans="1:26" x14ac:dyDescent="0.25">
      <c r="C6555" s="32"/>
      <c r="D6555" s="17"/>
      <c r="E6555" s="32"/>
      <c r="F6555" s="17"/>
      <c r="G6555" s="18"/>
      <c r="H6555" s="18"/>
      <c r="I6555" s="17"/>
      <c r="J6555" s="18"/>
      <c r="K6555" s="18"/>
      <c r="L6555" s="19"/>
      <c r="M6555" s="20"/>
      <c r="N6555" s="20"/>
      <c r="O6555" s="19"/>
      <c r="P6555" s="44"/>
      <c r="Q6555" s="83"/>
      <c r="R6555" s="88"/>
      <c r="S6555" s="19"/>
      <c r="T6555" s="19"/>
      <c r="U6555" s="21"/>
      <c r="V6555" s="22"/>
      <c r="W6555" s="23"/>
      <c r="X6555" s="19"/>
      <c r="Y6555" s="15"/>
      <c r="Z6555" s="15"/>
    </row>
    <row r="6556" spans="1:26" x14ac:dyDescent="0.25">
      <c r="C6556" s="32"/>
      <c r="D6556" s="17"/>
      <c r="E6556" s="32"/>
      <c r="F6556" s="17"/>
      <c r="G6556" s="18"/>
      <c r="H6556" s="18"/>
      <c r="I6556" s="17"/>
      <c r="J6556" s="18"/>
      <c r="K6556" s="18"/>
      <c r="L6556" s="19"/>
      <c r="M6556" s="20"/>
      <c r="N6556" s="20"/>
      <c r="O6556" s="19"/>
      <c r="P6556" s="44"/>
      <c r="Q6556" s="83"/>
      <c r="R6556" s="88"/>
      <c r="S6556" s="19"/>
      <c r="T6556" s="19"/>
      <c r="U6556" s="21"/>
      <c r="V6556" s="22"/>
      <c r="W6556" s="23"/>
      <c r="X6556" s="19"/>
      <c r="Y6556" s="15"/>
      <c r="Z6556" s="15"/>
    </row>
    <row r="6557" spans="1:26" x14ac:dyDescent="0.25">
      <c r="C6557" s="32"/>
      <c r="D6557" s="17"/>
      <c r="E6557" s="32"/>
      <c r="F6557" s="17"/>
      <c r="G6557" s="18"/>
      <c r="H6557" s="18"/>
      <c r="I6557" s="17"/>
      <c r="J6557" s="18"/>
      <c r="K6557" s="18"/>
      <c r="L6557" s="19"/>
      <c r="M6557" s="20"/>
      <c r="N6557" s="20"/>
      <c r="O6557" s="19"/>
      <c r="P6557" s="44"/>
      <c r="Q6557" s="83"/>
      <c r="R6557" s="88"/>
      <c r="S6557" s="19"/>
      <c r="T6557" s="19"/>
      <c r="U6557" s="21"/>
      <c r="V6557" s="22"/>
      <c r="W6557" s="23"/>
      <c r="X6557" s="19"/>
      <c r="Y6557" s="15"/>
      <c r="Z6557" s="15"/>
    </row>
    <row r="6558" spans="1:26" x14ac:dyDescent="0.25">
      <c r="C6558" s="32"/>
      <c r="D6558" s="17"/>
      <c r="E6558" s="32"/>
      <c r="F6558" s="17"/>
      <c r="G6558" s="18"/>
      <c r="H6558" s="18"/>
      <c r="I6558" s="17"/>
      <c r="J6558" s="18"/>
      <c r="K6558" s="18"/>
      <c r="L6558" s="19"/>
      <c r="M6558" s="20"/>
      <c r="N6558" s="20"/>
      <c r="O6558" s="19"/>
      <c r="P6558" s="44"/>
      <c r="Q6558" s="83"/>
      <c r="R6558" s="88"/>
      <c r="S6558" s="19"/>
      <c r="T6558" s="19"/>
      <c r="U6558" s="21"/>
      <c r="V6558" s="22"/>
      <c r="W6558" s="23"/>
      <c r="X6558" s="19"/>
      <c r="Y6558" s="15"/>
      <c r="Z6558" s="15"/>
    </row>
    <row r="6559" spans="1:26" x14ac:dyDescent="0.25">
      <c r="C6559" s="32"/>
      <c r="D6559" s="17"/>
      <c r="E6559" s="32"/>
      <c r="F6559" s="17"/>
      <c r="G6559" s="18"/>
      <c r="H6559" s="18"/>
      <c r="I6559" s="17"/>
      <c r="J6559" s="18"/>
      <c r="K6559" s="18"/>
      <c r="L6559" s="19"/>
      <c r="M6559" s="20"/>
      <c r="N6559" s="20"/>
      <c r="O6559" s="19"/>
      <c r="P6559" s="44"/>
      <c r="Q6559" s="83"/>
      <c r="R6559" s="88"/>
      <c r="S6559" s="19"/>
      <c r="T6559" s="19"/>
      <c r="U6559" s="21"/>
      <c r="V6559" s="22"/>
      <c r="W6559" s="23"/>
      <c r="X6559" s="19"/>
      <c r="Y6559" s="15"/>
      <c r="Z6559" s="15"/>
    </row>
    <row r="6560" spans="1:26" x14ac:dyDescent="0.25">
      <c r="C6560" s="32"/>
      <c r="D6560" s="17"/>
      <c r="E6560" s="32"/>
      <c r="F6560" s="17"/>
      <c r="G6560" s="18"/>
      <c r="H6560" s="18"/>
      <c r="I6560" s="17"/>
      <c r="J6560" s="18"/>
      <c r="K6560" s="18"/>
      <c r="L6560" s="19"/>
      <c r="M6560" s="20"/>
      <c r="N6560" s="20"/>
      <c r="O6560" s="19"/>
      <c r="P6560" s="44"/>
      <c r="Q6560" s="83"/>
      <c r="R6560" s="88"/>
      <c r="S6560" s="19"/>
      <c r="T6560" s="19"/>
      <c r="U6560" s="21"/>
      <c r="V6560" s="22"/>
      <c r="W6560" s="23"/>
      <c r="X6560" s="19"/>
      <c r="Y6560" s="15"/>
      <c r="Z6560" s="15"/>
    </row>
    <row r="6561" spans="3:26" x14ac:dyDescent="0.25">
      <c r="C6561" s="32"/>
      <c r="D6561" s="17"/>
      <c r="E6561" s="32"/>
      <c r="F6561" s="17"/>
      <c r="G6561" s="18"/>
      <c r="H6561" s="18"/>
      <c r="I6561" s="17"/>
      <c r="J6561" s="18"/>
      <c r="K6561" s="18"/>
      <c r="L6561" s="19"/>
      <c r="M6561" s="20"/>
      <c r="N6561" s="20"/>
      <c r="O6561" s="19"/>
      <c r="P6561" s="44"/>
      <c r="Q6561" s="83"/>
      <c r="R6561" s="88"/>
      <c r="S6561" s="19"/>
      <c r="T6561" s="19"/>
      <c r="U6561" s="21"/>
      <c r="V6561" s="22"/>
      <c r="W6561" s="23"/>
      <c r="X6561" s="19"/>
      <c r="Y6561" s="15"/>
      <c r="Z6561" s="15"/>
    </row>
    <row r="6562" spans="3:26" x14ac:dyDescent="0.25">
      <c r="C6562" s="32"/>
      <c r="D6562" s="17"/>
      <c r="E6562" s="32"/>
      <c r="F6562" s="17"/>
      <c r="G6562" s="18"/>
      <c r="H6562" s="18"/>
      <c r="I6562" s="17"/>
      <c r="J6562" s="18"/>
      <c r="K6562" s="18"/>
      <c r="L6562" s="19"/>
      <c r="M6562" s="20"/>
      <c r="N6562" s="20"/>
      <c r="O6562" s="19"/>
      <c r="P6562" s="44"/>
      <c r="Q6562" s="83"/>
      <c r="R6562" s="88"/>
      <c r="S6562" s="19"/>
      <c r="T6562" s="19"/>
      <c r="U6562" s="21"/>
      <c r="V6562" s="22"/>
      <c r="W6562" s="23"/>
      <c r="X6562" s="19"/>
      <c r="Y6562" s="15"/>
      <c r="Z6562" s="15"/>
    </row>
    <row r="6563" spans="3:26" x14ac:dyDescent="0.25">
      <c r="C6563" s="32"/>
      <c r="D6563" s="17"/>
      <c r="E6563" s="32"/>
      <c r="F6563" s="17"/>
      <c r="G6563" s="18"/>
      <c r="H6563" s="18"/>
      <c r="I6563" s="17"/>
      <c r="J6563" s="18"/>
      <c r="K6563" s="18"/>
      <c r="L6563" s="19"/>
      <c r="M6563" s="20"/>
      <c r="N6563" s="20"/>
      <c r="O6563" s="19"/>
      <c r="P6563" s="44"/>
      <c r="Q6563" s="83"/>
      <c r="R6563" s="88"/>
      <c r="S6563" s="19"/>
      <c r="T6563" s="19"/>
      <c r="U6563" s="21"/>
      <c r="V6563" s="22"/>
      <c r="W6563" s="23"/>
      <c r="X6563" s="19"/>
      <c r="Y6563" s="15"/>
      <c r="Z6563" s="15"/>
    </row>
    <row r="6564" spans="3:26" x14ac:dyDescent="0.25">
      <c r="C6564" s="32"/>
      <c r="D6564" s="17"/>
      <c r="E6564" s="32"/>
      <c r="F6564" s="17"/>
      <c r="G6564" s="18"/>
      <c r="H6564" s="18"/>
      <c r="I6564" s="17"/>
      <c r="J6564" s="18"/>
      <c r="K6564" s="18"/>
      <c r="L6564" s="19"/>
      <c r="M6564" s="20"/>
      <c r="N6564" s="20"/>
      <c r="O6564" s="19"/>
      <c r="P6564" s="44"/>
      <c r="Q6564" s="83"/>
      <c r="R6564" s="88"/>
      <c r="S6564" s="19"/>
      <c r="T6564" s="19"/>
      <c r="U6564" s="21"/>
      <c r="V6564" s="22"/>
      <c r="W6564" s="23"/>
      <c r="X6564" s="19"/>
      <c r="Y6564" s="15"/>
      <c r="Z6564" s="15"/>
    </row>
    <row r="6565" spans="3:26" x14ac:dyDescent="0.25">
      <c r="C6565" s="32"/>
      <c r="D6565" s="17"/>
      <c r="E6565" s="32"/>
      <c r="F6565" s="17"/>
      <c r="G6565" s="18"/>
      <c r="H6565" s="18"/>
      <c r="I6565" s="17"/>
      <c r="J6565" s="18"/>
      <c r="K6565" s="18"/>
      <c r="L6565" s="19"/>
      <c r="M6565" s="20"/>
      <c r="N6565" s="20"/>
      <c r="O6565" s="19"/>
      <c r="P6565" s="44"/>
      <c r="Q6565" s="83"/>
      <c r="R6565" s="88"/>
      <c r="S6565" s="19"/>
      <c r="T6565" s="19"/>
      <c r="U6565" s="21"/>
      <c r="V6565" s="22"/>
      <c r="W6565" s="23"/>
      <c r="X6565" s="19"/>
      <c r="Y6565" s="15"/>
      <c r="Z6565" s="15"/>
    </row>
    <row r="6566" spans="3:26" x14ac:dyDescent="0.25">
      <c r="C6566" s="32"/>
      <c r="D6566" s="17"/>
      <c r="E6566" s="32"/>
      <c r="F6566" s="17"/>
      <c r="G6566" s="18"/>
      <c r="H6566" s="18"/>
      <c r="I6566" s="17"/>
      <c r="J6566" s="18"/>
      <c r="K6566" s="18"/>
      <c r="L6566" s="19"/>
      <c r="M6566" s="20"/>
      <c r="N6566" s="20"/>
      <c r="O6566" s="19"/>
      <c r="P6566" s="44"/>
      <c r="Q6566" s="83"/>
      <c r="R6566" s="88"/>
      <c r="S6566" s="19"/>
      <c r="T6566" s="19"/>
      <c r="U6566" s="21"/>
      <c r="V6566" s="22"/>
      <c r="W6566" s="23"/>
      <c r="X6566" s="19"/>
      <c r="Y6566" s="15"/>
      <c r="Z6566" s="15"/>
    </row>
    <row r="6567" spans="3:26" x14ac:dyDescent="0.25">
      <c r="C6567" s="32"/>
      <c r="D6567" s="17"/>
      <c r="E6567" s="32"/>
      <c r="F6567" s="17"/>
      <c r="G6567" s="18"/>
      <c r="H6567" s="18"/>
      <c r="I6567" s="17"/>
      <c r="J6567" s="18"/>
      <c r="K6567" s="18"/>
      <c r="L6567" s="19"/>
      <c r="M6567" s="20"/>
      <c r="N6567" s="20"/>
      <c r="O6567" s="19"/>
      <c r="P6567" s="44"/>
      <c r="Q6567" s="83"/>
      <c r="R6567" s="88"/>
      <c r="S6567" s="19"/>
      <c r="T6567" s="19"/>
      <c r="U6567" s="21"/>
      <c r="V6567" s="22"/>
      <c r="W6567" s="23"/>
      <c r="X6567" s="19"/>
      <c r="Y6567" s="15"/>
      <c r="Z6567" s="15"/>
    </row>
    <row r="6568" spans="3:26" x14ac:dyDescent="0.25">
      <c r="C6568" s="32"/>
      <c r="D6568" s="17"/>
      <c r="E6568" s="32"/>
      <c r="F6568" s="17"/>
      <c r="G6568" s="18"/>
      <c r="H6568" s="18"/>
      <c r="I6568" s="17"/>
      <c r="J6568" s="18"/>
      <c r="K6568" s="18"/>
      <c r="L6568" s="19"/>
      <c r="M6568" s="20"/>
      <c r="N6568" s="20"/>
      <c r="O6568" s="19"/>
      <c r="P6568" s="44"/>
      <c r="Q6568" s="83"/>
      <c r="R6568" s="88"/>
      <c r="S6568" s="19"/>
      <c r="T6568" s="19"/>
      <c r="U6568" s="21"/>
      <c r="V6568" s="22"/>
      <c r="W6568" s="23"/>
      <c r="X6568" s="19"/>
      <c r="Y6568" s="15"/>
      <c r="Z6568" s="15"/>
    </row>
    <row r="6569" spans="3:26" x14ac:dyDescent="0.25">
      <c r="C6569" s="32"/>
      <c r="D6569" s="17"/>
      <c r="E6569" s="32"/>
      <c r="F6569" s="17"/>
      <c r="G6569" s="18"/>
      <c r="H6569" s="18"/>
      <c r="I6569" s="17"/>
      <c r="J6569" s="18"/>
      <c r="K6569" s="18"/>
      <c r="L6569" s="19"/>
      <c r="M6569" s="20"/>
      <c r="N6569" s="20"/>
      <c r="O6569" s="19"/>
      <c r="P6569" s="44"/>
      <c r="Q6569" s="83"/>
      <c r="R6569" s="88"/>
      <c r="S6569" s="19"/>
      <c r="T6569" s="19"/>
      <c r="U6569" s="21"/>
      <c r="V6569" s="22"/>
      <c r="W6569" s="23"/>
      <c r="X6569" s="19"/>
      <c r="Y6569" s="15"/>
      <c r="Z6569" s="15"/>
    </row>
    <row r="6570" spans="3:26" x14ac:dyDescent="0.25">
      <c r="C6570" s="32"/>
      <c r="D6570" s="17"/>
      <c r="E6570" s="32"/>
      <c r="F6570" s="17"/>
      <c r="G6570" s="18"/>
      <c r="H6570" s="18"/>
      <c r="I6570" s="17"/>
      <c r="J6570" s="18"/>
      <c r="K6570" s="18"/>
      <c r="L6570" s="19"/>
      <c r="M6570" s="20"/>
      <c r="N6570" s="20"/>
      <c r="O6570" s="19"/>
      <c r="P6570" s="44"/>
      <c r="Q6570" s="83"/>
      <c r="R6570" s="88"/>
      <c r="S6570" s="19"/>
      <c r="T6570" s="19"/>
      <c r="U6570" s="21"/>
      <c r="V6570" s="22"/>
      <c r="W6570" s="23"/>
      <c r="X6570" s="19"/>
      <c r="Y6570" s="15"/>
      <c r="Z6570" s="15"/>
    </row>
    <row r="6571" spans="3:26" x14ac:dyDescent="0.25">
      <c r="C6571" s="32"/>
      <c r="D6571" s="17"/>
      <c r="E6571" s="32"/>
      <c r="F6571" s="17"/>
      <c r="G6571" s="18"/>
      <c r="H6571" s="18"/>
      <c r="I6571" s="17"/>
      <c r="J6571" s="18"/>
      <c r="K6571" s="18"/>
      <c r="L6571" s="19"/>
      <c r="M6571" s="20"/>
      <c r="N6571" s="20"/>
      <c r="O6571" s="19"/>
      <c r="P6571" s="44"/>
      <c r="Q6571" s="83"/>
      <c r="R6571" s="88"/>
      <c r="S6571" s="19"/>
      <c r="T6571" s="19"/>
      <c r="U6571" s="21"/>
      <c r="V6571" s="22"/>
      <c r="W6571" s="23"/>
      <c r="X6571" s="19"/>
      <c r="Y6571" s="15"/>
      <c r="Z6571" s="15"/>
    </row>
    <row r="6572" spans="3:26" x14ac:dyDescent="0.25">
      <c r="C6572" s="32"/>
      <c r="D6572" s="17"/>
      <c r="E6572" s="32"/>
      <c r="F6572" s="17"/>
      <c r="G6572" s="18"/>
      <c r="H6572" s="18"/>
      <c r="I6572" s="17"/>
      <c r="J6572" s="18"/>
      <c r="K6572" s="18"/>
      <c r="L6572" s="19"/>
      <c r="M6572" s="20"/>
      <c r="N6572" s="20"/>
      <c r="O6572" s="19"/>
      <c r="P6572" s="44"/>
      <c r="Q6572" s="83"/>
      <c r="R6572" s="88"/>
      <c r="S6572" s="19"/>
      <c r="T6572" s="19"/>
      <c r="U6572" s="21"/>
      <c r="V6572" s="22"/>
      <c r="W6572" s="23"/>
      <c r="X6572" s="19"/>
      <c r="Y6572" s="15"/>
      <c r="Z6572" s="15"/>
    </row>
    <row r="6573" spans="3:26" x14ac:dyDescent="0.25">
      <c r="C6573" s="32"/>
      <c r="D6573" s="17"/>
      <c r="E6573" s="32"/>
      <c r="F6573" s="17"/>
      <c r="G6573" s="18"/>
      <c r="H6573" s="18"/>
      <c r="I6573" s="17"/>
      <c r="J6573" s="18"/>
      <c r="K6573" s="18"/>
      <c r="L6573" s="19"/>
      <c r="M6573" s="20"/>
      <c r="N6573" s="20"/>
      <c r="O6573" s="19"/>
      <c r="P6573" s="44"/>
      <c r="Q6573" s="83"/>
      <c r="R6573" s="88"/>
      <c r="S6573" s="19"/>
      <c r="T6573" s="19"/>
      <c r="U6573" s="21"/>
      <c r="V6573" s="22"/>
      <c r="W6573" s="23"/>
      <c r="X6573" s="19"/>
      <c r="Y6573" s="15"/>
      <c r="Z6573" s="15"/>
    </row>
    <row r="6574" spans="3:26" x14ac:dyDescent="0.25">
      <c r="C6574" s="32"/>
      <c r="D6574" s="17"/>
      <c r="E6574" s="32"/>
      <c r="F6574" s="17"/>
      <c r="G6574" s="18"/>
      <c r="H6574" s="18"/>
      <c r="I6574" s="17"/>
      <c r="J6574" s="18"/>
      <c r="K6574" s="18"/>
      <c r="L6574" s="19"/>
      <c r="M6574" s="20"/>
      <c r="N6574" s="20"/>
      <c r="O6574" s="19"/>
      <c r="P6574" s="44"/>
      <c r="Q6574" s="83"/>
      <c r="R6574" s="88"/>
      <c r="S6574" s="19"/>
      <c r="T6574" s="19"/>
      <c r="U6574" s="21"/>
      <c r="V6574" s="22"/>
      <c r="W6574" s="23"/>
      <c r="X6574" s="19"/>
      <c r="Y6574" s="15"/>
      <c r="Z6574" s="15"/>
    </row>
    <row r="6575" spans="3:26" x14ac:dyDescent="0.25">
      <c r="C6575" s="32"/>
      <c r="D6575" s="17"/>
      <c r="E6575" s="32"/>
      <c r="F6575" s="17"/>
      <c r="G6575" s="18"/>
      <c r="H6575" s="18"/>
      <c r="I6575" s="17"/>
      <c r="J6575" s="18"/>
      <c r="K6575" s="18"/>
      <c r="L6575" s="19"/>
      <c r="M6575" s="20"/>
      <c r="N6575" s="20"/>
      <c r="O6575" s="19"/>
      <c r="P6575" s="44"/>
      <c r="Q6575" s="83"/>
      <c r="R6575" s="88"/>
      <c r="S6575" s="19"/>
      <c r="T6575" s="19"/>
      <c r="U6575" s="21"/>
      <c r="V6575" s="22"/>
      <c r="W6575" s="23"/>
      <c r="X6575" s="19"/>
      <c r="Y6575" s="15"/>
      <c r="Z6575" s="15"/>
    </row>
    <row r="6576" spans="3:26" x14ac:dyDescent="0.25">
      <c r="C6576" s="32"/>
      <c r="D6576" s="17"/>
      <c r="E6576" s="32"/>
      <c r="F6576" s="17"/>
      <c r="G6576" s="18"/>
      <c r="H6576" s="18"/>
      <c r="I6576" s="17"/>
      <c r="J6576" s="18"/>
      <c r="K6576" s="18"/>
      <c r="L6576" s="19"/>
      <c r="M6576" s="20"/>
      <c r="N6576" s="20"/>
      <c r="O6576" s="19"/>
      <c r="P6576" s="44"/>
      <c r="Q6576" s="83"/>
      <c r="R6576" s="88"/>
      <c r="S6576" s="19"/>
      <c r="T6576" s="19"/>
      <c r="U6576" s="21"/>
      <c r="V6576" s="22"/>
      <c r="W6576" s="23"/>
      <c r="X6576" s="19"/>
      <c r="Y6576" s="15"/>
      <c r="Z6576" s="15"/>
    </row>
    <row r="6577" spans="3:26" x14ac:dyDescent="0.25">
      <c r="C6577" s="32"/>
      <c r="D6577" s="17"/>
      <c r="E6577" s="32"/>
      <c r="F6577" s="17"/>
      <c r="G6577" s="18"/>
      <c r="H6577" s="18"/>
      <c r="I6577" s="17"/>
      <c r="J6577" s="18"/>
      <c r="K6577" s="18"/>
      <c r="L6577" s="19"/>
      <c r="M6577" s="20"/>
      <c r="N6577" s="20"/>
      <c r="O6577" s="19"/>
      <c r="P6577" s="44"/>
      <c r="Q6577" s="83"/>
      <c r="R6577" s="88"/>
      <c r="S6577" s="19"/>
      <c r="T6577" s="19"/>
      <c r="U6577" s="21"/>
      <c r="V6577" s="22"/>
      <c r="W6577" s="23"/>
      <c r="X6577" s="19"/>
      <c r="Y6577" s="15"/>
      <c r="Z6577" s="15"/>
    </row>
    <row r="6578" spans="3:26" x14ac:dyDescent="0.25">
      <c r="C6578" s="32"/>
      <c r="D6578" s="17"/>
      <c r="E6578" s="32"/>
      <c r="F6578" s="17"/>
      <c r="G6578" s="18"/>
      <c r="H6578" s="18"/>
      <c r="I6578" s="17"/>
      <c r="J6578" s="18"/>
      <c r="K6578" s="18"/>
      <c r="L6578" s="19"/>
      <c r="M6578" s="20"/>
      <c r="N6578" s="20"/>
      <c r="O6578" s="19"/>
      <c r="P6578" s="44"/>
      <c r="Q6578" s="83"/>
      <c r="R6578" s="88"/>
      <c r="S6578" s="19"/>
      <c r="T6578" s="19"/>
      <c r="U6578" s="21"/>
      <c r="V6578" s="22"/>
      <c r="W6578" s="23"/>
      <c r="X6578" s="19"/>
      <c r="Y6578" s="15"/>
      <c r="Z6578" s="15"/>
    </row>
    <row r="6579" spans="3:26" x14ac:dyDescent="0.25">
      <c r="C6579" s="32"/>
      <c r="D6579" s="17"/>
      <c r="E6579" s="32"/>
      <c r="F6579" s="17"/>
      <c r="G6579" s="18"/>
      <c r="H6579" s="18"/>
      <c r="I6579" s="17"/>
      <c r="J6579" s="18"/>
      <c r="K6579" s="18"/>
      <c r="L6579" s="19"/>
      <c r="M6579" s="20"/>
      <c r="N6579" s="20"/>
      <c r="O6579" s="19"/>
      <c r="P6579" s="44"/>
      <c r="Q6579" s="83"/>
      <c r="R6579" s="88"/>
      <c r="S6579" s="19"/>
      <c r="T6579" s="19"/>
      <c r="U6579" s="21"/>
      <c r="V6579" s="22"/>
      <c r="W6579" s="23"/>
      <c r="X6579" s="19"/>
      <c r="Y6579" s="15"/>
      <c r="Z6579" s="15"/>
    </row>
    <row r="6580" spans="3:26" x14ac:dyDescent="0.25">
      <c r="C6580" s="32"/>
      <c r="D6580" s="17"/>
      <c r="E6580" s="32"/>
      <c r="F6580" s="17"/>
      <c r="G6580" s="18"/>
      <c r="H6580" s="18"/>
      <c r="I6580" s="17"/>
      <c r="J6580" s="18"/>
      <c r="K6580" s="18"/>
      <c r="L6580" s="19"/>
      <c r="M6580" s="20"/>
      <c r="N6580" s="20"/>
      <c r="O6580" s="19"/>
      <c r="P6580" s="44"/>
      <c r="Q6580" s="83"/>
      <c r="R6580" s="88"/>
      <c r="S6580" s="19"/>
      <c r="T6580" s="19"/>
      <c r="U6580" s="21"/>
      <c r="V6580" s="22"/>
      <c r="W6580" s="23"/>
      <c r="X6580" s="19"/>
      <c r="Y6580" s="15"/>
      <c r="Z6580" s="15"/>
    </row>
    <row r="6581" spans="3:26" x14ac:dyDescent="0.25">
      <c r="C6581" s="32"/>
      <c r="D6581" s="17"/>
      <c r="E6581" s="32"/>
      <c r="F6581" s="17"/>
      <c r="G6581" s="18"/>
      <c r="H6581" s="18"/>
      <c r="I6581" s="17"/>
      <c r="J6581" s="18"/>
      <c r="K6581" s="18"/>
      <c r="L6581" s="19"/>
      <c r="M6581" s="20"/>
      <c r="N6581" s="20"/>
      <c r="O6581" s="19"/>
      <c r="P6581" s="44"/>
      <c r="Q6581" s="83"/>
      <c r="R6581" s="88"/>
      <c r="S6581" s="19"/>
      <c r="T6581" s="19"/>
      <c r="U6581" s="21"/>
      <c r="V6581" s="22"/>
      <c r="W6581" s="23"/>
      <c r="X6581" s="19"/>
      <c r="Y6581" s="15"/>
      <c r="Z6581" s="15"/>
    </row>
    <row r="6582" spans="3:26" x14ac:dyDescent="0.25">
      <c r="C6582" s="32"/>
      <c r="D6582" s="17"/>
      <c r="E6582" s="32"/>
      <c r="F6582" s="17"/>
      <c r="G6582" s="18"/>
      <c r="H6582" s="18"/>
      <c r="I6582" s="17"/>
      <c r="J6582" s="18"/>
      <c r="K6582" s="18"/>
      <c r="L6582" s="19"/>
      <c r="M6582" s="20"/>
      <c r="N6582" s="20"/>
      <c r="O6582" s="19"/>
      <c r="P6582" s="44"/>
      <c r="Q6582" s="83"/>
      <c r="R6582" s="88"/>
      <c r="S6582" s="19"/>
      <c r="T6582" s="19"/>
      <c r="U6582" s="21"/>
      <c r="V6582" s="22"/>
      <c r="W6582" s="23"/>
      <c r="X6582" s="19"/>
      <c r="Y6582" s="15"/>
      <c r="Z6582" s="15"/>
    </row>
    <row r="6583" spans="3:26" x14ac:dyDescent="0.25">
      <c r="C6583" s="32"/>
      <c r="D6583" s="17"/>
      <c r="E6583" s="32"/>
      <c r="F6583" s="17"/>
      <c r="G6583" s="18"/>
      <c r="H6583" s="18"/>
      <c r="I6583" s="17"/>
      <c r="J6583" s="18"/>
      <c r="K6583" s="18"/>
      <c r="L6583" s="19"/>
      <c r="M6583" s="20"/>
      <c r="N6583" s="20"/>
      <c r="O6583" s="19"/>
      <c r="P6583" s="44"/>
      <c r="Q6583" s="83"/>
      <c r="R6583" s="88"/>
      <c r="S6583" s="19"/>
      <c r="T6583" s="19"/>
      <c r="U6583" s="21"/>
      <c r="V6583" s="22"/>
      <c r="W6583" s="23"/>
      <c r="X6583" s="19"/>
      <c r="Y6583" s="15"/>
      <c r="Z6583" s="15"/>
    </row>
    <row r="6584" spans="3:26" x14ac:dyDescent="0.25">
      <c r="C6584" s="32"/>
      <c r="D6584" s="17"/>
      <c r="E6584" s="32"/>
      <c r="F6584" s="17"/>
      <c r="G6584" s="18"/>
      <c r="H6584" s="18"/>
      <c r="I6584" s="17"/>
      <c r="J6584" s="18"/>
      <c r="K6584" s="18"/>
      <c r="L6584" s="19"/>
      <c r="M6584" s="20"/>
      <c r="N6584" s="20"/>
      <c r="O6584" s="19"/>
      <c r="P6584" s="44"/>
      <c r="Q6584" s="83"/>
      <c r="R6584" s="88"/>
      <c r="S6584" s="19"/>
      <c r="T6584" s="19"/>
      <c r="U6584" s="21"/>
      <c r="V6584" s="22"/>
      <c r="W6584" s="23"/>
      <c r="X6584" s="19"/>
      <c r="Y6584" s="15"/>
      <c r="Z6584" s="15"/>
    </row>
    <row r="6585" spans="3:26" x14ac:dyDescent="0.25">
      <c r="C6585" s="32"/>
      <c r="D6585" s="17"/>
      <c r="E6585" s="32"/>
      <c r="F6585" s="17"/>
      <c r="G6585" s="18"/>
      <c r="H6585" s="18"/>
      <c r="I6585" s="17"/>
      <c r="J6585" s="18"/>
      <c r="K6585" s="18"/>
      <c r="L6585" s="19"/>
      <c r="M6585" s="20"/>
      <c r="N6585" s="20"/>
      <c r="O6585" s="19"/>
      <c r="P6585" s="44"/>
      <c r="Q6585" s="83"/>
      <c r="R6585" s="88"/>
      <c r="S6585" s="19"/>
      <c r="T6585" s="19"/>
      <c r="U6585" s="21"/>
      <c r="V6585" s="22"/>
      <c r="W6585" s="23"/>
      <c r="X6585" s="19"/>
      <c r="Y6585" s="15"/>
      <c r="Z6585" s="15"/>
    </row>
    <row r="6586" spans="3:26" x14ac:dyDescent="0.25">
      <c r="C6586" s="32"/>
      <c r="D6586" s="17"/>
      <c r="E6586" s="32"/>
      <c r="F6586" s="17"/>
      <c r="G6586" s="18"/>
      <c r="H6586" s="18"/>
      <c r="I6586" s="17"/>
      <c r="J6586" s="18"/>
      <c r="K6586" s="18"/>
      <c r="L6586" s="19"/>
      <c r="M6586" s="20"/>
      <c r="N6586" s="20"/>
      <c r="O6586" s="19"/>
      <c r="P6586" s="44"/>
      <c r="Q6586" s="83"/>
      <c r="R6586" s="88"/>
      <c r="S6586" s="19"/>
      <c r="T6586" s="19"/>
      <c r="U6586" s="21"/>
      <c r="V6586" s="22"/>
      <c r="W6586" s="23"/>
      <c r="X6586" s="19"/>
      <c r="Y6586" s="15"/>
      <c r="Z6586" s="15"/>
    </row>
    <row r="6587" spans="3:26" x14ac:dyDescent="0.25">
      <c r="C6587" s="32"/>
      <c r="D6587" s="17"/>
      <c r="E6587" s="32"/>
      <c r="F6587" s="17"/>
      <c r="G6587" s="18"/>
      <c r="H6587" s="18"/>
      <c r="I6587" s="17"/>
      <c r="J6587" s="18"/>
      <c r="K6587" s="18"/>
      <c r="L6587" s="19"/>
      <c r="M6587" s="20"/>
      <c r="N6587" s="20"/>
      <c r="O6587" s="19"/>
      <c r="P6587" s="44"/>
      <c r="Q6587" s="83"/>
      <c r="R6587" s="88"/>
      <c r="S6587" s="19"/>
      <c r="T6587" s="19"/>
      <c r="U6587" s="21"/>
      <c r="V6587" s="22"/>
      <c r="W6587" s="23"/>
      <c r="X6587" s="19"/>
      <c r="Y6587" s="15"/>
      <c r="Z6587" s="15"/>
    </row>
    <row r="6588" spans="3:26" x14ac:dyDescent="0.25">
      <c r="C6588" s="32"/>
      <c r="D6588" s="17"/>
      <c r="E6588" s="32"/>
      <c r="F6588" s="17"/>
      <c r="G6588" s="18"/>
      <c r="H6588" s="18"/>
      <c r="I6588" s="17"/>
      <c r="J6588" s="18"/>
      <c r="K6588" s="18"/>
      <c r="L6588" s="19"/>
      <c r="M6588" s="20"/>
      <c r="N6588" s="20"/>
      <c r="O6588" s="19"/>
      <c r="P6588" s="44"/>
      <c r="Q6588" s="83"/>
      <c r="R6588" s="88"/>
      <c r="S6588" s="19"/>
      <c r="T6588" s="19"/>
      <c r="U6588" s="21"/>
      <c r="V6588" s="22"/>
      <c r="W6588" s="23"/>
      <c r="X6588" s="19"/>
      <c r="Y6588" s="15"/>
      <c r="Z6588" s="15"/>
    </row>
    <row r="6589" spans="3:26" x14ac:dyDescent="0.25">
      <c r="C6589" s="32"/>
      <c r="D6589" s="17"/>
      <c r="E6589" s="32"/>
      <c r="F6589" s="17"/>
      <c r="G6589" s="18"/>
      <c r="H6589" s="18"/>
      <c r="I6589" s="17"/>
      <c r="J6589" s="18"/>
      <c r="K6589" s="18"/>
      <c r="L6589" s="19"/>
      <c r="M6589" s="20"/>
      <c r="N6589" s="20"/>
      <c r="O6589" s="19"/>
      <c r="P6589" s="44"/>
      <c r="Q6589" s="83"/>
      <c r="R6589" s="88"/>
      <c r="S6589" s="19"/>
      <c r="T6589" s="19"/>
      <c r="U6589" s="21"/>
      <c r="V6589" s="22"/>
      <c r="W6589" s="23"/>
      <c r="X6589" s="19"/>
      <c r="Y6589" s="15"/>
      <c r="Z6589" s="15"/>
    </row>
    <row r="6590" spans="3:26" x14ac:dyDescent="0.25">
      <c r="C6590" s="32"/>
      <c r="D6590" s="17"/>
      <c r="E6590" s="32"/>
      <c r="F6590" s="17"/>
      <c r="G6590" s="18"/>
      <c r="H6590" s="18"/>
      <c r="I6590" s="17"/>
      <c r="J6590" s="18"/>
      <c r="K6590" s="18"/>
      <c r="L6590" s="19"/>
      <c r="M6590" s="20"/>
      <c r="N6590" s="20"/>
      <c r="O6590" s="19"/>
      <c r="P6590" s="44"/>
      <c r="Q6590" s="83"/>
      <c r="R6590" s="88"/>
      <c r="S6590" s="19"/>
      <c r="T6590" s="19"/>
      <c r="U6590" s="21"/>
      <c r="V6590" s="22"/>
      <c r="W6590" s="23"/>
      <c r="X6590" s="19"/>
      <c r="Y6590" s="15"/>
      <c r="Z6590" s="15"/>
    </row>
    <row r="6591" spans="3:26" x14ac:dyDescent="0.25">
      <c r="C6591" s="32"/>
      <c r="D6591" s="17"/>
      <c r="E6591" s="32"/>
      <c r="F6591" s="17"/>
      <c r="G6591" s="18"/>
      <c r="H6591" s="18"/>
      <c r="I6591" s="17"/>
      <c r="J6591" s="18"/>
      <c r="K6591" s="18"/>
      <c r="L6591" s="19"/>
      <c r="M6591" s="20"/>
      <c r="N6591" s="20"/>
      <c r="O6591" s="19"/>
      <c r="P6591" s="44"/>
      <c r="Q6591" s="83"/>
      <c r="R6591" s="88"/>
      <c r="S6591" s="19"/>
      <c r="T6591" s="19"/>
      <c r="U6591" s="21"/>
      <c r="V6591" s="22"/>
      <c r="W6591" s="23"/>
      <c r="X6591" s="19"/>
      <c r="Y6591" s="15"/>
      <c r="Z6591" s="15"/>
    </row>
    <row r="6592" spans="3:26" x14ac:dyDescent="0.25">
      <c r="C6592" s="32"/>
      <c r="D6592" s="17"/>
      <c r="E6592" s="32"/>
      <c r="F6592" s="17"/>
      <c r="G6592" s="18"/>
      <c r="H6592" s="18"/>
      <c r="I6592" s="17"/>
      <c r="J6592" s="18"/>
      <c r="K6592" s="18"/>
      <c r="L6592" s="19"/>
      <c r="M6592" s="20"/>
      <c r="N6592" s="20"/>
      <c r="O6592" s="19"/>
      <c r="P6592" s="44"/>
      <c r="Q6592" s="83"/>
      <c r="R6592" s="88"/>
      <c r="S6592" s="19"/>
      <c r="T6592" s="19"/>
      <c r="U6592" s="21"/>
      <c r="V6592" s="22"/>
      <c r="W6592" s="23"/>
      <c r="X6592" s="19"/>
      <c r="Y6592" s="15"/>
      <c r="Z6592" s="15"/>
    </row>
    <row r="6593" spans="3:26" x14ac:dyDescent="0.25">
      <c r="C6593" s="32"/>
      <c r="D6593" s="17"/>
      <c r="E6593" s="32"/>
      <c r="F6593" s="17"/>
      <c r="G6593" s="18"/>
      <c r="H6593" s="18"/>
      <c r="I6593" s="17"/>
      <c r="J6593" s="18"/>
      <c r="K6593" s="18"/>
      <c r="L6593" s="19"/>
      <c r="M6593" s="20"/>
      <c r="N6593" s="20"/>
      <c r="O6593" s="19"/>
      <c r="P6593" s="44"/>
      <c r="Q6593" s="83"/>
      <c r="R6593" s="88"/>
      <c r="S6593" s="19"/>
      <c r="T6593" s="19"/>
      <c r="U6593" s="21"/>
      <c r="V6593" s="22"/>
      <c r="W6593" s="23"/>
      <c r="X6593" s="19"/>
      <c r="Y6593" s="15"/>
      <c r="Z6593" s="15"/>
    </row>
    <row r="6594" spans="3:26" x14ac:dyDescent="0.25">
      <c r="C6594" s="32"/>
      <c r="D6594" s="17"/>
      <c r="E6594" s="32"/>
      <c r="F6594" s="17"/>
      <c r="G6594" s="18"/>
      <c r="H6594" s="18"/>
      <c r="I6594" s="17"/>
      <c r="J6594" s="18"/>
      <c r="K6594" s="18"/>
      <c r="L6594" s="19"/>
      <c r="M6594" s="20"/>
      <c r="N6594" s="20"/>
      <c r="O6594" s="19"/>
      <c r="P6594" s="44"/>
      <c r="Q6594" s="83"/>
      <c r="R6594" s="88"/>
      <c r="S6594" s="19"/>
      <c r="T6594" s="19"/>
      <c r="U6594" s="21"/>
      <c r="V6594" s="22"/>
      <c r="W6594" s="23"/>
      <c r="X6594" s="19"/>
      <c r="Y6594" s="15"/>
      <c r="Z6594" s="15"/>
    </row>
    <row r="6595" spans="3:26" x14ac:dyDescent="0.25">
      <c r="C6595" s="32"/>
      <c r="D6595" s="17"/>
      <c r="E6595" s="32"/>
      <c r="F6595" s="17"/>
      <c r="G6595" s="18"/>
      <c r="H6595" s="18"/>
      <c r="I6595" s="17"/>
      <c r="J6595" s="18"/>
      <c r="K6595" s="18"/>
      <c r="L6595" s="19"/>
      <c r="M6595" s="20"/>
      <c r="N6595" s="20"/>
      <c r="O6595" s="19"/>
      <c r="P6595" s="44"/>
      <c r="Q6595" s="83"/>
      <c r="R6595" s="88"/>
      <c r="S6595" s="19"/>
      <c r="T6595" s="19"/>
      <c r="U6595" s="21"/>
      <c r="V6595" s="22"/>
      <c r="W6595" s="23"/>
      <c r="X6595" s="19"/>
      <c r="Y6595" s="15"/>
      <c r="Z6595" s="15"/>
    </row>
    <row r="6596" spans="3:26" x14ac:dyDescent="0.25">
      <c r="C6596" s="32"/>
      <c r="D6596" s="17"/>
      <c r="E6596" s="32"/>
      <c r="F6596" s="17"/>
      <c r="G6596" s="18"/>
      <c r="H6596" s="18"/>
      <c r="I6596" s="17"/>
      <c r="J6596" s="18"/>
      <c r="K6596" s="18"/>
      <c r="L6596" s="19"/>
      <c r="M6596" s="20"/>
      <c r="N6596" s="20"/>
      <c r="O6596" s="19"/>
      <c r="P6596" s="44"/>
      <c r="Q6596" s="83"/>
      <c r="R6596" s="88"/>
      <c r="S6596" s="19"/>
      <c r="T6596" s="19"/>
      <c r="U6596" s="21"/>
      <c r="V6596" s="22"/>
      <c r="W6596" s="23"/>
      <c r="X6596" s="19"/>
      <c r="Y6596" s="15"/>
      <c r="Z6596" s="15"/>
    </row>
    <row r="6597" spans="3:26" x14ac:dyDescent="0.25">
      <c r="C6597" s="32"/>
      <c r="D6597" s="17"/>
      <c r="E6597" s="32"/>
      <c r="F6597" s="17"/>
      <c r="G6597" s="18"/>
      <c r="H6597" s="18"/>
      <c r="I6597" s="17"/>
      <c r="J6597" s="18"/>
      <c r="K6597" s="18"/>
      <c r="L6597" s="19"/>
      <c r="M6597" s="20"/>
      <c r="N6597" s="20"/>
      <c r="O6597" s="19"/>
      <c r="P6597" s="44"/>
      <c r="Q6597" s="83"/>
      <c r="R6597" s="88"/>
      <c r="S6597" s="19"/>
      <c r="T6597" s="19"/>
      <c r="U6597" s="21"/>
      <c r="V6597" s="22"/>
      <c r="W6597" s="23"/>
      <c r="X6597" s="19"/>
      <c r="Y6597" s="15"/>
      <c r="Z6597" s="15"/>
    </row>
    <row r="6598" spans="3:26" x14ac:dyDescent="0.25">
      <c r="C6598" s="32"/>
      <c r="D6598" s="17"/>
      <c r="E6598" s="32"/>
      <c r="F6598" s="17"/>
      <c r="G6598" s="18"/>
      <c r="H6598" s="18"/>
      <c r="I6598" s="17"/>
      <c r="J6598" s="18"/>
      <c r="K6598" s="18"/>
      <c r="L6598" s="19"/>
      <c r="M6598" s="20"/>
      <c r="N6598" s="20"/>
      <c r="O6598" s="19"/>
      <c r="P6598" s="44"/>
      <c r="Q6598" s="83"/>
      <c r="R6598" s="88"/>
      <c r="S6598" s="19"/>
      <c r="T6598" s="19"/>
      <c r="U6598" s="21"/>
      <c r="V6598" s="22"/>
      <c r="W6598" s="23"/>
      <c r="X6598" s="19"/>
      <c r="Y6598" s="15"/>
      <c r="Z6598" s="15"/>
    </row>
    <row r="6599" spans="3:26" x14ac:dyDescent="0.25">
      <c r="C6599" s="32"/>
      <c r="D6599" s="17"/>
      <c r="E6599" s="32"/>
      <c r="F6599" s="17"/>
      <c r="G6599" s="18"/>
      <c r="H6599" s="18"/>
      <c r="I6599" s="17"/>
      <c r="J6599" s="18"/>
      <c r="K6599" s="18"/>
      <c r="L6599" s="19"/>
      <c r="M6599" s="20"/>
      <c r="N6599" s="20"/>
      <c r="O6599" s="19"/>
      <c r="P6599" s="44"/>
      <c r="Q6599" s="83"/>
      <c r="R6599" s="88"/>
      <c r="S6599" s="19"/>
      <c r="T6599" s="19"/>
      <c r="U6599" s="21"/>
      <c r="V6599" s="22"/>
      <c r="W6599" s="23"/>
      <c r="X6599" s="19"/>
      <c r="Y6599" s="15"/>
      <c r="Z6599" s="15"/>
    </row>
    <row r="6600" spans="3:26" x14ac:dyDescent="0.25">
      <c r="C6600" s="32"/>
      <c r="D6600" s="17"/>
      <c r="E6600" s="32"/>
      <c r="F6600" s="17"/>
      <c r="G6600" s="18"/>
      <c r="H6600" s="18"/>
      <c r="I6600" s="17"/>
      <c r="J6600" s="18"/>
      <c r="K6600" s="18"/>
      <c r="L6600" s="19"/>
      <c r="M6600" s="20"/>
      <c r="N6600" s="20"/>
      <c r="O6600" s="19"/>
      <c r="P6600" s="44"/>
      <c r="Q6600" s="83"/>
      <c r="R6600" s="88"/>
      <c r="S6600" s="19"/>
      <c r="T6600" s="19"/>
      <c r="U6600" s="21"/>
      <c r="V6600" s="22"/>
      <c r="W6600" s="23"/>
      <c r="X6600" s="19"/>
      <c r="Y6600" s="15"/>
      <c r="Z6600" s="15"/>
    </row>
    <row r="6601" spans="3:26" x14ac:dyDescent="0.25">
      <c r="C6601" s="32"/>
      <c r="D6601" s="17"/>
      <c r="E6601" s="32"/>
      <c r="F6601" s="17"/>
      <c r="G6601" s="18"/>
      <c r="H6601" s="18"/>
      <c r="I6601" s="17"/>
      <c r="J6601" s="18"/>
      <c r="K6601" s="18"/>
      <c r="L6601" s="19"/>
      <c r="M6601" s="20"/>
      <c r="N6601" s="20"/>
      <c r="O6601" s="19"/>
      <c r="P6601" s="44"/>
      <c r="Q6601" s="83"/>
      <c r="R6601" s="88"/>
      <c r="S6601" s="19"/>
      <c r="T6601" s="19"/>
      <c r="U6601" s="21"/>
      <c r="V6601" s="22"/>
      <c r="W6601" s="23"/>
      <c r="X6601" s="19"/>
      <c r="Y6601" s="15"/>
      <c r="Z6601" s="15"/>
    </row>
    <row r="6602" spans="3:26" x14ac:dyDescent="0.25">
      <c r="C6602" s="32"/>
      <c r="D6602" s="17"/>
      <c r="E6602" s="32"/>
      <c r="F6602" s="17"/>
      <c r="G6602" s="18"/>
      <c r="H6602" s="18"/>
      <c r="I6602" s="17"/>
      <c r="J6602" s="18"/>
      <c r="K6602" s="18"/>
      <c r="L6602" s="19"/>
      <c r="M6602" s="20"/>
      <c r="N6602" s="20"/>
      <c r="O6602" s="19"/>
      <c r="P6602" s="44"/>
      <c r="Q6602" s="83"/>
      <c r="R6602" s="88"/>
      <c r="S6602" s="19"/>
      <c r="T6602" s="19"/>
      <c r="U6602" s="21"/>
      <c r="V6602" s="22"/>
      <c r="W6602" s="23"/>
      <c r="X6602" s="19"/>
      <c r="Y6602" s="15"/>
      <c r="Z6602" s="15"/>
    </row>
    <row r="6603" spans="3:26" x14ac:dyDescent="0.25">
      <c r="C6603" s="32"/>
      <c r="D6603" s="17"/>
      <c r="E6603" s="32"/>
      <c r="F6603" s="17"/>
      <c r="G6603" s="18"/>
      <c r="H6603" s="18"/>
      <c r="I6603" s="17"/>
      <c r="J6603" s="18"/>
      <c r="K6603" s="18"/>
      <c r="L6603" s="19"/>
      <c r="M6603" s="20"/>
      <c r="N6603" s="20"/>
      <c r="O6603" s="19"/>
      <c r="P6603" s="44"/>
      <c r="Q6603" s="83"/>
      <c r="R6603" s="88"/>
      <c r="S6603" s="19"/>
      <c r="T6603" s="19"/>
      <c r="U6603" s="21"/>
      <c r="V6603" s="22"/>
      <c r="W6603" s="23"/>
      <c r="X6603" s="19"/>
      <c r="Y6603" s="15"/>
      <c r="Z6603" s="15"/>
    </row>
    <row r="6604" spans="3:26" x14ac:dyDescent="0.25">
      <c r="C6604" s="32"/>
      <c r="D6604" s="17"/>
      <c r="E6604" s="32"/>
      <c r="F6604" s="17"/>
      <c r="G6604" s="18"/>
      <c r="H6604" s="18"/>
      <c r="I6604" s="17"/>
      <c r="J6604" s="18"/>
      <c r="K6604" s="18"/>
      <c r="L6604" s="19"/>
      <c r="M6604" s="20"/>
      <c r="N6604" s="20"/>
      <c r="O6604" s="19"/>
      <c r="P6604" s="44"/>
      <c r="Q6604" s="83"/>
      <c r="R6604" s="88"/>
      <c r="S6604" s="19"/>
      <c r="T6604" s="19"/>
      <c r="U6604" s="21"/>
      <c r="V6604" s="22"/>
      <c r="W6604" s="23"/>
      <c r="X6604" s="19"/>
      <c r="Y6604" s="15"/>
      <c r="Z6604" s="15"/>
    </row>
    <row r="6605" spans="3:26" x14ac:dyDescent="0.25">
      <c r="C6605" s="32"/>
      <c r="D6605" s="17"/>
      <c r="E6605" s="32"/>
      <c r="F6605" s="17"/>
      <c r="G6605" s="18"/>
      <c r="H6605" s="18"/>
      <c r="I6605" s="17"/>
      <c r="J6605" s="18"/>
      <c r="K6605" s="18"/>
      <c r="L6605" s="19"/>
      <c r="M6605" s="20"/>
      <c r="N6605" s="20"/>
      <c r="O6605" s="19"/>
      <c r="P6605" s="44"/>
      <c r="Q6605" s="83"/>
      <c r="R6605" s="88"/>
      <c r="S6605" s="19"/>
      <c r="T6605" s="19"/>
      <c r="U6605" s="21"/>
      <c r="V6605" s="22"/>
      <c r="W6605" s="23"/>
      <c r="X6605" s="19"/>
      <c r="Y6605" s="15"/>
      <c r="Z6605" s="15"/>
    </row>
    <row r="6606" spans="3:26" x14ac:dyDescent="0.25">
      <c r="C6606" s="32"/>
      <c r="D6606" s="17"/>
      <c r="E6606" s="32"/>
      <c r="F6606" s="17"/>
      <c r="G6606" s="18"/>
      <c r="H6606" s="18"/>
      <c r="I6606" s="17"/>
      <c r="J6606" s="18"/>
      <c r="K6606" s="18"/>
      <c r="L6606" s="19"/>
      <c r="M6606" s="20"/>
      <c r="N6606" s="20"/>
      <c r="O6606" s="19"/>
      <c r="P6606" s="44"/>
      <c r="Q6606" s="83"/>
      <c r="R6606" s="88"/>
      <c r="S6606" s="19"/>
      <c r="T6606" s="19"/>
      <c r="U6606" s="21"/>
      <c r="V6606" s="22"/>
      <c r="W6606" s="23"/>
      <c r="X6606" s="19"/>
      <c r="Y6606" s="15"/>
      <c r="Z6606" s="15"/>
    </row>
    <row r="6607" spans="3:26" x14ac:dyDescent="0.25">
      <c r="C6607" s="32"/>
      <c r="D6607" s="17"/>
      <c r="E6607" s="32"/>
      <c r="F6607" s="17"/>
      <c r="G6607" s="18"/>
      <c r="H6607" s="18"/>
      <c r="I6607" s="17"/>
      <c r="J6607" s="18"/>
      <c r="K6607" s="18"/>
      <c r="L6607" s="19"/>
      <c r="M6607" s="20"/>
      <c r="N6607" s="20"/>
      <c r="O6607" s="19"/>
      <c r="P6607" s="44"/>
      <c r="Q6607" s="83"/>
      <c r="R6607" s="88"/>
      <c r="S6607" s="19"/>
      <c r="T6607" s="19"/>
      <c r="U6607" s="21"/>
      <c r="V6607" s="22"/>
      <c r="W6607" s="23"/>
      <c r="X6607" s="19"/>
      <c r="Y6607" s="15"/>
      <c r="Z6607" s="15"/>
    </row>
    <row r="6608" spans="3:26" x14ac:dyDescent="0.25">
      <c r="C6608" s="32"/>
      <c r="D6608" s="17"/>
      <c r="E6608" s="32"/>
      <c r="F6608" s="17"/>
      <c r="G6608" s="18"/>
      <c r="H6608" s="18"/>
      <c r="I6608" s="17"/>
      <c r="J6608" s="18"/>
      <c r="K6608" s="18"/>
      <c r="L6608" s="19"/>
      <c r="M6608" s="20"/>
      <c r="N6608" s="20"/>
      <c r="O6608" s="19"/>
      <c r="P6608" s="44"/>
      <c r="Q6608" s="83"/>
      <c r="R6608" s="88"/>
      <c r="S6608" s="19"/>
      <c r="T6608" s="19"/>
      <c r="U6608" s="21"/>
      <c r="V6608" s="22"/>
      <c r="W6608" s="23"/>
      <c r="X6608" s="19"/>
      <c r="Y6608" s="15"/>
      <c r="Z6608" s="15"/>
    </row>
    <row r="6609" spans="3:26" x14ac:dyDescent="0.25">
      <c r="C6609" s="32"/>
      <c r="D6609" s="17"/>
      <c r="E6609" s="32"/>
      <c r="F6609" s="17"/>
      <c r="G6609" s="18"/>
      <c r="H6609" s="18"/>
      <c r="I6609" s="17"/>
      <c r="J6609" s="18"/>
      <c r="K6609" s="18"/>
      <c r="L6609" s="19"/>
      <c r="M6609" s="20"/>
      <c r="N6609" s="20"/>
      <c r="O6609" s="19"/>
      <c r="P6609" s="44"/>
      <c r="Q6609" s="83"/>
      <c r="R6609" s="88"/>
      <c r="S6609" s="19"/>
      <c r="T6609" s="19"/>
      <c r="U6609" s="21"/>
      <c r="V6609" s="22"/>
      <c r="W6609" s="23"/>
      <c r="X6609" s="19"/>
      <c r="Y6609" s="15"/>
      <c r="Z6609" s="15"/>
    </row>
    <row r="6610" spans="3:26" x14ac:dyDescent="0.25">
      <c r="C6610" s="32"/>
      <c r="D6610" s="17"/>
      <c r="E6610" s="32"/>
      <c r="F6610" s="17"/>
      <c r="G6610" s="18"/>
      <c r="H6610" s="18"/>
      <c r="I6610" s="17"/>
      <c r="J6610" s="18"/>
      <c r="K6610" s="18"/>
      <c r="L6610" s="19"/>
      <c r="M6610" s="20"/>
      <c r="N6610" s="20"/>
      <c r="O6610" s="19"/>
      <c r="P6610" s="44"/>
      <c r="Q6610" s="83"/>
      <c r="R6610" s="88"/>
      <c r="S6610" s="19"/>
      <c r="T6610" s="19"/>
      <c r="U6610" s="21"/>
      <c r="V6610" s="22"/>
      <c r="W6610" s="23"/>
      <c r="X6610" s="19"/>
      <c r="Y6610" s="15"/>
      <c r="Z6610" s="15"/>
    </row>
    <row r="6611" spans="3:26" x14ac:dyDescent="0.25">
      <c r="C6611" s="32"/>
      <c r="D6611" s="17"/>
      <c r="E6611" s="32"/>
      <c r="F6611" s="17"/>
      <c r="G6611" s="18"/>
      <c r="H6611" s="18"/>
      <c r="I6611" s="17"/>
      <c r="J6611" s="18"/>
      <c r="K6611" s="18"/>
      <c r="L6611" s="19"/>
      <c r="M6611" s="20"/>
      <c r="N6611" s="20"/>
      <c r="O6611" s="19"/>
      <c r="P6611" s="44"/>
      <c r="Q6611" s="83"/>
      <c r="R6611" s="88"/>
      <c r="S6611" s="19"/>
      <c r="T6611" s="19"/>
      <c r="U6611" s="21"/>
      <c r="V6611" s="22"/>
      <c r="W6611" s="23"/>
      <c r="X6611" s="19"/>
      <c r="Y6611" s="15"/>
      <c r="Z6611" s="15"/>
    </row>
    <row r="6612" spans="3:26" x14ac:dyDescent="0.25">
      <c r="C6612" s="32"/>
      <c r="D6612" s="17"/>
      <c r="E6612" s="32"/>
      <c r="F6612" s="17"/>
      <c r="G6612" s="18"/>
      <c r="H6612" s="18"/>
      <c r="I6612" s="17"/>
      <c r="J6612" s="18"/>
      <c r="K6612" s="18"/>
      <c r="L6612" s="19"/>
      <c r="M6612" s="20"/>
      <c r="N6612" s="20"/>
      <c r="O6612" s="19"/>
      <c r="P6612" s="44"/>
      <c r="Q6612" s="83"/>
      <c r="R6612" s="88"/>
      <c r="S6612" s="19"/>
      <c r="T6612" s="19"/>
      <c r="U6612" s="21"/>
      <c r="V6612" s="22"/>
      <c r="W6612" s="23"/>
      <c r="X6612" s="19"/>
      <c r="Y6612" s="15"/>
      <c r="Z6612" s="15"/>
    </row>
    <row r="6613" spans="3:26" x14ac:dyDescent="0.25">
      <c r="C6613" s="32"/>
      <c r="D6613" s="17"/>
      <c r="E6613" s="32"/>
      <c r="F6613" s="17"/>
      <c r="G6613" s="18"/>
      <c r="H6613" s="18"/>
      <c r="I6613" s="17"/>
      <c r="J6613" s="18"/>
      <c r="K6613" s="18"/>
      <c r="L6613" s="19"/>
      <c r="M6613" s="20"/>
      <c r="N6613" s="20"/>
      <c r="O6613" s="19"/>
      <c r="P6613" s="44"/>
      <c r="Q6613" s="83"/>
      <c r="R6613" s="88"/>
      <c r="S6613" s="19"/>
      <c r="T6613" s="19"/>
      <c r="U6613" s="21"/>
      <c r="V6613" s="22"/>
      <c r="W6613" s="23"/>
      <c r="X6613" s="19"/>
      <c r="Y6613" s="15"/>
      <c r="Z6613" s="15"/>
    </row>
    <row r="6614" spans="3:26" x14ac:dyDescent="0.25">
      <c r="C6614" s="32"/>
      <c r="D6614" s="17"/>
      <c r="E6614" s="32"/>
      <c r="F6614" s="17"/>
      <c r="G6614" s="18"/>
      <c r="H6614" s="18"/>
      <c r="I6614" s="17"/>
      <c r="J6614" s="18"/>
      <c r="K6614" s="18"/>
      <c r="L6614" s="19"/>
      <c r="M6614" s="20"/>
      <c r="N6614" s="20"/>
      <c r="O6614" s="19"/>
      <c r="P6614" s="44"/>
      <c r="Q6614" s="83"/>
      <c r="R6614" s="88"/>
      <c r="S6614" s="19"/>
      <c r="T6614" s="19"/>
      <c r="U6614" s="21"/>
      <c r="V6614" s="22"/>
      <c r="W6614" s="23"/>
      <c r="X6614" s="19"/>
      <c r="Y6614" s="15"/>
      <c r="Z6614" s="15"/>
    </row>
    <row r="6615" spans="3:26" x14ac:dyDescent="0.25">
      <c r="C6615" s="32"/>
      <c r="D6615" s="17"/>
      <c r="E6615" s="32"/>
      <c r="F6615" s="17"/>
      <c r="G6615" s="18"/>
      <c r="H6615" s="18"/>
      <c r="I6615" s="17"/>
      <c r="J6615" s="18"/>
      <c r="K6615" s="18"/>
      <c r="L6615" s="19"/>
      <c r="M6615" s="20"/>
      <c r="N6615" s="20"/>
      <c r="O6615" s="19"/>
      <c r="P6615" s="44"/>
      <c r="Q6615" s="83"/>
      <c r="R6615" s="88"/>
      <c r="S6615" s="19"/>
      <c r="T6615" s="19"/>
      <c r="U6615" s="21"/>
      <c r="V6615" s="22"/>
      <c r="W6615" s="23"/>
      <c r="X6615" s="19"/>
      <c r="Y6615" s="15"/>
      <c r="Z6615" s="15"/>
    </row>
    <row r="6616" spans="3:26" x14ac:dyDescent="0.25">
      <c r="C6616" s="32"/>
      <c r="D6616" s="17"/>
      <c r="E6616" s="32"/>
      <c r="F6616" s="17"/>
      <c r="G6616" s="18"/>
      <c r="H6616" s="18"/>
      <c r="I6616" s="17"/>
      <c r="J6616" s="18"/>
      <c r="K6616" s="18"/>
      <c r="L6616" s="19"/>
      <c r="M6616" s="20"/>
      <c r="N6616" s="20"/>
      <c r="O6616" s="19"/>
      <c r="P6616" s="44"/>
      <c r="Q6616" s="83"/>
      <c r="R6616" s="88"/>
      <c r="S6616" s="19"/>
      <c r="T6616" s="19"/>
      <c r="U6616" s="21"/>
      <c r="V6616" s="22"/>
      <c r="W6616" s="23"/>
      <c r="X6616" s="19"/>
      <c r="Y6616" s="15"/>
      <c r="Z6616" s="15"/>
    </row>
    <row r="6617" spans="3:26" x14ac:dyDescent="0.25">
      <c r="C6617" s="32"/>
      <c r="D6617" s="17"/>
      <c r="E6617" s="32"/>
      <c r="F6617" s="17"/>
      <c r="G6617" s="18"/>
      <c r="H6617" s="18"/>
      <c r="I6617" s="17"/>
      <c r="J6617" s="18"/>
      <c r="K6617" s="18"/>
      <c r="L6617" s="19"/>
      <c r="M6617" s="20"/>
      <c r="N6617" s="20"/>
      <c r="O6617" s="19"/>
      <c r="P6617" s="44"/>
      <c r="Q6617" s="83"/>
      <c r="R6617" s="88"/>
      <c r="S6617" s="19"/>
      <c r="T6617" s="19"/>
      <c r="U6617" s="21"/>
      <c r="V6617" s="22"/>
      <c r="W6617" s="23"/>
      <c r="X6617" s="19"/>
      <c r="Y6617" s="15"/>
      <c r="Z6617" s="15"/>
    </row>
    <row r="6618" spans="3:26" x14ac:dyDescent="0.25">
      <c r="C6618" s="32"/>
      <c r="D6618" s="17"/>
      <c r="E6618" s="32"/>
      <c r="F6618" s="17"/>
      <c r="G6618" s="18"/>
      <c r="H6618" s="18"/>
      <c r="I6618" s="17"/>
      <c r="J6618" s="18"/>
      <c r="K6618" s="18"/>
      <c r="L6618" s="19"/>
      <c r="M6618" s="20"/>
      <c r="N6618" s="20"/>
      <c r="O6618" s="19"/>
      <c r="P6618" s="44"/>
      <c r="Q6618" s="83"/>
      <c r="R6618" s="88"/>
      <c r="S6618" s="19"/>
      <c r="T6618" s="19"/>
      <c r="U6618" s="21"/>
      <c r="V6618" s="22"/>
      <c r="W6618" s="23"/>
      <c r="X6618" s="19"/>
      <c r="Y6618" s="15"/>
      <c r="Z6618" s="15"/>
    </row>
    <row r="6619" spans="3:26" x14ac:dyDescent="0.25">
      <c r="C6619" s="32"/>
      <c r="D6619" s="17"/>
      <c r="E6619" s="32"/>
      <c r="F6619" s="17"/>
      <c r="G6619" s="18"/>
      <c r="H6619" s="18"/>
      <c r="I6619" s="17"/>
      <c r="J6619" s="18"/>
      <c r="K6619" s="18"/>
      <c r="L6619" s="19"/>
      <c r="M6619" s="20"/>
      <c r="N6619" s="20"/>
      <c r="O6619" s="19"/>
      <c r="P6619" s="44"/>
      <c r="Q6619" s="83"/>
      <c r="R6619" s="88"/>
      <c r="S6619" s="19"/>
      <c r="T6619" s="19"/>
      <c r="U6619" s="21"/>
      <c r="V6619" s="22"/>
      <c r="W6619" s="23"/>
      <c r="X6619" s="19"/>
      <c r="Y6619" s="15"/>
      <c r="Z6619" s="15"/>
    </row>
    <row r="6620" spans="3:26" x14ac:dyDescent="0.25">
      <c r="C6620" s="32"/>
      <c r="D6620" s="17"/>
      <c r="E6620" s="32"/>
      <c r="F6620" s="17"/>
      <c r="G6620" s="18"/>
      <c r="H6620" s="18"/>
      <c r="I6620" s="17"/>
      <c r="J6620" s="18"/>
      <c r="K6620" s="18"/>
      <c r="L6620" s="19"/>
      <c r="M6620" s="20"/>
      <c r="N6620" s="20"/>
      <c r="O6620" s="19"/>
      <c r="P6620" s="44"/>
      <c r="Q6620" s="83"/>
      <c r="R6620" s="88"/>
      <c r="S6620" s="19"/>
      <c r="T6620" s="19"/>
      <c r="U6620" s="21"/>
      <c r="V6620" s="22"/>
      <c r="W6620" s="23"/>
      <c r="X6620" s="19"/>
      <c r="Y6620" s="15"/>
      <c r="Z6620" s="15"/>
    </row>
    <row r="6621" spans="3:26" x14ac:dyDescent="0.25">
      <c r="C6621" s="32"/>
      <c r="D6621" s="17"/>
      <c r="E6621" s="32"/>
      <c r="F6621" s="17"/>
      <c r="G6621" s="18"/>
      <c r="H6621" s="18"/>
      <c r="I6621" s="17"/>
      <c r="J6621" s="18"/>
      <c r="K6621" s="18"/>
      <c r="L6621" s="19"/>
      <c r="M6621" s="20"/>
      <c r="N6621" s="20"/>
      <c r="O6621" s="19"/>
      <c r="P6621" s="44"/>
      <c r="Q6621" s="83"/>
      <c r="R6621" s="88"/>
      <c r="S6621" s="19"/>
      <c r="T6621" s="19"/>
      <c r="U6621" s="21"/>
      <c r="V6621" s="22"/>
      <c r="W6621" s="23"/>
      <c r="X6621" s="19"/>
      <c r="Y6621" s="15"/>
      <c r="Z6621" s="15"/>
    </row>
    <row r="6622" spans="3:26" x14ac:dyDescent="0.25">
      <c r="C6622" s="32"/>
      <c r="D6622" s="17"/>
      <c r="E6622" s="32"/>
      <c r="F6622" s="17"/>
      <c r="G6622" s="18"/>
      <c r="H6622" s="18"/>
      <c r="I6622" s="17"/>
      <c r="J6622" s="18"/>
      <c r="K6622" s="18"/>
      <c r="L6622" s="19"/>
      <c r="M6622" s="20"/>
      <c r="N6622" s="20"/>
      <c r="O6622" s="19"/>
      <c r="P6622" s="44"/>
      <c r="Q6622" s="83"/>
      <c r="R6622" s="88"/>
      <c r="S6622" s="19"/>
      <c r="T6622" s="19"/>
      <c r="U6622" s="21"/>
      <c r="V6622" s="22"/>
      <c r="W6622" s="23"/>
      <c r="X6622" s="19"/>
      <c r="Y6622" s="15"/>
      <c r="Z6622" s="15"/>
    </row>
    <row r="6623" spans="3:26" x14ac:dyDescent="0.25">
      <c r="M6623" s="9"/>
      <c r="N6623" s="9"/>
      <c r="P6623" s="14"/>
      <c r="Q6623" s="85"/>
      <c r="R6623" s="89"/>
    </row>
    <row r="6624" spans="3:26" x14ac:dyDescent="0.25">
      <c r="M6624" s="9"/>
      <c r="N6624" s="9"/>
      <c r="P6624" s="14"/>
      <c r="Q6624" s="85"/>
      <c r="R6624" s="89"/>
    </row>
    <row r="6625" spans="13:18" x14ac:dyDescent="0.25">
      <c r="M6625" s="9"/>
      <c r="N6625" s="9"/>
      <c r="P6625" s="14"/>
      <c r="Q6625" s="85"/>
      <c r="R6625" s="89"/>
    </row>
    <row r="6626" spans="13:18" x14ac:dyDescent="0.25">
      <c r="M6626" s="9"/>
      <c r="N6626" s="9"/>
      <c r="P6626" s="14"/>
      <c r="Q6626" s="85"/>
      <c r="R6626" s="89"/>
    </row>
    <row r="6627" spans="13:18" x14ac:dyDescent="0.25">
      <c r="M6627" s="9"/>
      <c r="N6627" s="9"/>
      <c r="P6627" s="14"/>
      <c r="Q6627" s="85"/>
      <c r="R6627" s="89"/>
    </row>
    <row r="6628" spans="13:18" x14ac:dyDescent="0.25">
      <c r="M6628" s="9"/>
      <c r="N6628" s="9"/>
      <c r="P6628" s="14"/>
      <c r="Q6628" s="85"/>
      <c r="R6628" s="89"/>
    </row>
    <row r="6629" spans="13:18" x14ac:dyDescent="0.25">
      <c r="M6629" s="9"/>
      <c r="N6629" s="9"/>
      <c r="P6629" s="14"/>
      <c r="Q6629" s="85"/>
      <c r="R6629" s="89"/>
    </row>
    <row r="6630" spans="13:18" x14ac:dyDescent="0.25">
      <c r="M6630" s="9"/>
      <c r="N6630" s="9"/>
      <c r="P6630" s="14"/>
      <c r="Q6630" s="85"/>
      <c r="R6630" s="89"/>
    </row>
    <row r="6631" spans="13:18" x14ac:dyDescent="0.25">
      <c r="M6631" s="9"/>
      <c r="N6631" s="9"/>
      <c r="P6631" s="14"/>
      <c r="Q6631" s="85"/>
      <c r="R6631" s="89"/>
    </row>
    <row r="6632" spans="13:18" x14ac:dyDescent="0.25">
      <c r="M6632" s="9"/>
      <c r="N6632" s="9"/>
      <c r="P6632" s="14"/>
      <c r="Q6632" s="85"/>
      <c r="R6632" s="89"/>
    </row>
    <row r="6633" spans="13:18" x14ac:dyDescent="0.25">
      <c r="M6633" s="9"/>
      <c r="N6633" s="9"/>
      <c r="P6633" s="14"/>
      <c r="Q6633" s="85"/>
      <c r="R6633" s="89"/>
    </row>
    <row r="6634" spans="13:18" x14ac:dyDescent="0.25">
      <c r="M6634" s="9"/>
      <c r="N6634" s="9"/>
      <c r="P6634" s="14"/>
      <c r="Q6634" s="85"/>
      <c r="R6634" s="89"/>
    </row>
    <row r="6635" spans="13:18" x14ac:dyDescent="0.25">
      <c r="M6635" s="9"/>
      <c r="N6635" s="9"/>
      <c r="P6635" s="14"/>
      <c r="Q6635" s="85"/>
      <c r="R6635" s="89"/>
    </row>
    <row r="6636" spans="13:18" x14ac:dyDescent="0.25">
      <c r="M6636" s="9"/>
      <c r="N6636" s="9"/>
      <c r="P6636" s="14"/>
      <c r="Q6636" s="85"/>
      <c r="R6636" s="89"/>
    </row>
    <row r="6637" spans="13:18" x14ac:dyDescent="0.25">
      <c r="M6637" s="9"/>
      <c r="N6637" s="9"/>
      <c r="P6637" s="14"/>
      <c r="Q6637" s="85"/>
      <c r="R6637" s="89"/>
    </row>
    <row r="6638" spans="13:18" x14ac:dyDescent="0.25">
      <c r="M6638" s="9"/>
      <c r="N6638" s="9"/>
      <c r="P6638" s="14"/>
      <c r="Q6638" s="85"/>
      <c r="R6638" s="89"/>
    </row>
    <row r="6639" spans="13:18" x14ac:dyDescent="0.25">
      <c r="M6639" s="9"/>
      <c r="N6639" s="9"/>
      <c r="P6639" s="14"/>
      <c r="Q6639" s="85"/>
      <c r="R6639" s="89"/>
    </row>
    <row r="6640" spans="13:18" x14ac:dyDescent="0.25">
      <c r="M6640" s="9"/>
      <c r="N6640" s="9"/>
      <c r="P6640" s="14"/>
      <c r="Q6640" s="85"/>
      <c r="R6640" s="89"/>
    </row>
    <row r="6641" spans="13:18" x14ac:dyDescent="0.25">
      <c r="M6641" s="9"/>
      <c r="N6641" s="9"/>
      <c r="P6641" s="14"/>
      <c r="Q6641" s="85"/>
      <c r="R6641" s="89"/>
    </row>
    <row r="6642" spans="13:18" x14ac:dyDescent="0.25">
      <c r="M6642" s="9"/>
      <c r="N6642" s="9"/>
      <c r="P6642" s="14"/>
      <c r="Q6642" s="85"/>
      <c r="R6642" s="89"/>
    </row>
    <row r="6643" spans="13:18" x14ac:dyDescent="0.25">
      <c r="M6643" s="9"/>
      <c r="N6643" s="9"/>
      <c r="P6643" s="14"/>
      <c r="Q6643" s="85"/>
      <c r="R6643" s="89"/>
    </row>
    <row r="6644" spans="13:18" x14ac:dyDescent="0.25">
      <c r="M6644" s="9"/>
      <c r="N6644" s="9"/>
      <c r="P6644" s="14"/>
      <c r="Q6644" s="85"/>
      <c r="R6644" s="89"/>
    </row>
    <row r="6645" spans="13:18" x14ac:dyDescent="0.25">
      <c r="M6645" s="9"/>
      <c r="N6645" s="9"/>
      <c r="P6645" s="14"/>
      <c r="Q6645" s="85"/>
      <c r="R6645" s="89"/>
    </row>
    <row r="6646" spans="13:18" x14ac:dyDescent="0.25">
      <c r="M6646" s="9"/>
      <c r="N6646" s="9"/>
      <c r="P6646" s="14"/>
      <c r="Q6646" s="85"/>
      <c r="R6646" s="89"/>
    </row>
    <row r="6647" spans="13:18" x14ac:dyDescent="0.25">
      <c r="M6647" s="9"/>
      <c r="N6647" s="9"/>
      <c r="P6647" s="14"/>
      <c r="Q6647" s="85"/>
      <c r="R6647" s="89"/>
    </row>
    <row r="6648" spans="13:18" x14ac:dyDescent="0.25">
      <c r="M6648" s="9"/>
      <c r="N6648" s="9"/>
      <c r="P6648" s="14"/>
      <c r="Q6648" s="85"/>
      <c r="R6648" s="89"/>
    </row>
    <row r="6649" spans="13:18" x14ac:dyDescent="0.25">
      <c r="M6649" s="9"/>
      <c r="N6649" s="9"/>
      <c r="P6649" s="14"/>
      <c r="Q6649" s="85"/>
      <c r="R6649" s="89"/>
    </row>
    <row r="6650" spans="13:18" x14ac:dyDescent="0.25">
      <c r="M6650" s="9"/>
      <c r="N6650" s="9"/>
      <c r="P6650" s="14"/>
      <c r="Q6650" s="85"/>
      <c r="R6650" s="89"/>
    </row>
    <row r="6651" spans="13:18" x14ac:dyDescent="0.25">
      <c r="M6651" s="9"/>
      <c r="N6651" s="9"/>
      <c r="P6651" s="14"/>
      <c r="Q6651" s="85"/>
      <c r="R6651" s="89"/>
    </row>
    <row r="6652" spans="13:18" x14ac:dyDescent="0.25">
      <c r="M6652" s="9"/>
      <c r="N6652" s="9"/>
      <c r="P6652" s="14"/>
      <c r="Q6652" s="85"/>
      <c r="R6652" s="89"/>
    </row>
    <row r="6653" spans="13:18" x14ac:dyDescent="0.25">
      <c r="M6653" s="9"/>
      <c r="N6653" s="9"/>
      <c r="P6653" s="14"/>
      <c r="Q6653" s="85"/>
      <c r="R6653" s="89"/>
    </row>
    <row r="6654" spans="13:18" x14ac:dyDescent="0.25">
      <c r="M6654" s="9"/>
      <c r="N6654" s="9"/>
      <c r="P6654" s="14"/>
      <c r="Q6654" s="85"/>
      <c r="R6654" s="89"/>
    </row>
    <row r="6655" spans="13:18" x14ac:dyDescent="0.25">
      <c r="M6655" s="9"/>
      <c r="N6655" s="9"/>
      <c r="P6655" s="14"/>
      <c r="Q6655" s="85"/>
      <c r="R6655" s="89"/>
    </row>
    <row r="6656" spans="13:18" x14ac:dyDescent="0.25">
      <c r="M6656" s="9"/>
      <c r="N6656" s="9"/>
      <c r="P6656" s="14"/>
      <c r="Q6656" s="85"/>
      <c r="R6656" s="89"/>
    </row>
    <row r="6657" spans="13:18" x14ac:dyDescent="0.25">
      <c r="M6657" s="9"/>
      <c r="N6657" s="9"/>
      <c r="P6657" s="14"/>
      <c r="Q6657" s="85"/>
      <c r="R6657" s="89"/>
    </row>
    <row r="6658" spans="13:18" x14ac:dyDescent="0.25">
      <c r="M6658" s="9"/>
      <c r="N6658" s="9"/>
      <c r="P6658" s="14"/>
      <c r="Q6658" s="85"/>
      <c r="R6658" s="89"/>
    </row>
    <row r="6659" spans="13:18" x14ac:dyDescent="0.25">
      <c r="M6659" s="9"/>
      <c r="N6659" s="9"/>
      <c r="P6659" s="14"/>
      <c r="Q6659" s="85"/>
      <c r="R6659" s="89"/>
    </row>
    <row r="6660" spans="13:18" x14ac:dyDescent="0.25">
      <c r="M6660" s="9"/>
      <c r="N6660" s="9"/>
      <c r="P6660" s="14"/>
      <c r="Q6660" s="85"/>
      <c r="R6660" s="89"/>
    </row>
    <row r="6661" spans="13:18" x14ac:dyDescent="0.25">
      <c r="M6661" s="9"/>
      <c r="N6661" s="9"/>
      <c r="P6661" s="14"/>
      <c r="Q6661" s="85"/>
      <c r="R6661" s="89"/>
    </row>
    <row r="6662" spans="13:18" x14ac:dyDescent="0.25">
      <c r="M6662" s="9"/>
      <c r="N6662" s="9"/>
      <c r="P6662" s="14"/>
      <c r="Q6662" s="85"/>
      <c r="R6662" s="89"/>
    </row>
    <row r="6663" spans="13:18" x14ac:dyDescent="0.25">
      <c r="M6663" s="9"/>
      <c r="N6663" s="9"/>
      <c r="P6663" s="14"/>
      <c r="Q6663" s="85"/>
      <c r="R6663" s="89"/>
    </row>
    <row r="6664" spans="13:18" x14ac:dyDescent="0.25">
      <c r="M6664" s="9"/>
      <c r="N6664" s="9"/>
      <c r="P6664" s="14"/>
      <c r="Q6664" s="85"/>
      <c r="R6664" s="89"/>
    </row>
    <row r="6665" spans="13:18" x14ac:dyDescent="0.25">
      <c r="M6665" s="9"/>
      <c r="N6665" s="9"/>
      <c r="P6665" s="14"/>
      <c r="Q6665" s="85"/>
      <c r="R6665" s="89"/>
    </row>
    <row r="6666" spans="13:18" x14ac:dyDescent="0.25">
      <c r="M6666" s="9"/>
      <c r="N6666" s="9"/>
      <c r="P6666" s="14"/>
      <c r="Q6666" s="85"/>
      <c r="R6666" s="89"/>
    </row>
    <row r="6667" spans="13:18" x14ac:dyDescent="0.25">
      <c r="M6667" s="9"/>
      <c r="N6667" s="9"/>
      <c r="P6667" s="14"/>
      <c r="Q6667" s="85"/>
      <c r="R6667" s="89"/>
    </row>
    <row r="6668" spans="13:18" x14ac:dyDescent="0.25">
      <c r="M6668" s="9"/>
      <c r="N6668" s="9"/>
      <c r="P6668" s="14"/>
      <c r="Q6668" s="85"/>
      <c r="R6668" s="89"/>
    </row>
    <row r="6669" spans="13:18" x14ac:dyDescent="0.25">
      <c r="M6669" s="9"/>
      <c r="N6669" s="9"/>
      <c r="P6669" s="14"/>
      <c r="Q6669" s="85"/>
      <c r="R6669" s="89"/>
    </row>
    <row r="6670" spans="13:18" x14ac:dyDescent="0.25">
      <c r="M6670" s="9"/>
      <c r="N6670" s="9"/>
      <c r="P6670" s="14"/>
      <c r="Q6670" s="85"/>
      <c r="R6670" s="89"/>
    </row>
    <row r="6671" spans="13:18" x14ac:dyDescent="0.25">
      <c r="M6671" s="9"/>
      <c r="N6671" s="9"/>
      <c r="P6671" s="14"/>
      <c r="Q6671" s="85"/>
      <c r="R6671" s="89"/>
    </row>
    <row r="6672" spans="13:18" x14ac:dyDescent="0.25">
      <c r="M6672" s="9"/>
      <c r="N6672" s="9"/>
      <c r="P6672" s="14"/>
      <c r="Q6672" s="85"/>
      <c r="R6672" s="89"/>
    </row>
    <row r="6673" spans="13:18" x14ac:dyDescent="0.25">
      <c r="M6673" s="9"/>
      <c r="N6673" s="9"/>
      <c r="P6673" s="14"/>
      <c r="Q6673" s="85"/>
      <c r="R6673" s="89"/>
    </row>
    <row r="6674" spans="13:18" x14ac:dyDescent="0.25">
      <c r="M6674" s="9"/>
      <c r="N6674" s="9"/>
      <c r="P6674" s="14"/>
      <c r="Q6674" s="85"/>
      <c r="R6674" s="89"/>
    </row>
    <row r="6675" spans="13:18" x14ac:dyDescent="0.25">
      <c r="M6675" s="9"/>
      <c r="N6675" s="9"/>
      <c r="P6675" s="14"/>
      <c r="Q6675" s="85"/>
      <c r="R6675" s="89"/>
    </row>
    <row r="6676" spans="13:18" x14ac:dyDescent="0.25">
      <c r="M6676" s="9"/>
      <c r="N6676" s="9"/>
      <c r="P6676" s="14"/>
      <c r="Q6676" s="85"/>
      <c r="R6676" s="89"/>
    </row>
    <row r="6677" spans="13:18" x14ac:dyDescent="0.25">
      <c r="M6677" s="9"/>
      <c r="N6677" s="9"/>
      <c r="P6677" s="14"/>
      <c r="Q6677" s="85"/>
      <c r="R6677" s="89"/>
    </row>
    <row r="6678" spans="13:18" x14ac:dyDescent="0.25">
      <c r="M6678" s="9"/>
      <c r="N6678" s="9"/>
      <c r="P6678" s="14"/>
      <c r="Q6678" s="85"/>
      <c r="R6678" s="89"/>
    </row>
    <row r="6679" spans="13:18" x14ac:dyDescent="0.25">
      <c r="M6679" s="9"/>
      <c r="N6679" s="9"/>
      <c r="P6679" s="14"/>
      <c r="Q6679" s="85"/>
      <c r="R6679" s="89"/>
    </row>
    <row r="6680" spans="13:18" x14ac:dyDescent="0.25">
      <c r="M6680" s="9"/>
      <c r="N6680" s="9"/>
      <c r="P6680" s="14"/>
      <c r="Q6680" s="85"/>
      <c r="R6680" s="89"/>
    </row>
    <row r="6681" spans="13:18" x14ac:dyDescent="0.25">
      <c r="M6681" s="9"/>
      <c r="N6681" s="9"/>
      <c r="P6681" s="14"/>
      <c r="Q6681" s="85"/>
      <c r="R6681" s="89"/>
    </row>
    <row r="6682" spans="13:18" x14ac:dyDescent="0.25">
      <c r="M6682" s="9"/>
      <c r="N6682" s="9"/>
      <c r="P6682" s="14"/>
      <c r="Q6682" s="85"/>
      <c r="R6682" s="89"/>
    </row>
    <row r="6683" spans="13:18" x14ac:dyDescent="0.25">
      <c r="M6683" s="9"/>
      <c r="N6683" s="9"/>
      <c r="P6683" s="14"/>
      <c r="Q6683" s="85"/>
      <c r="R6683" s="89"/>
    </row>
    <row r="6684" spans="13:18" x14ac:dyDescent="0.25">
      <c r="M6684" s="9"/>
      <c r="N6684" s="9"/>
      <c r="P6684" s="14"/>
      <c r="Q6684" s="85"/>
      <c r="R6684" s="89"/>
    </row>
    <row r="6685" spans="13:18" x14ac:dyDescent="0.25">
      <c r="M6685" s="9"/>
      <c r="N6685" s="9"/>
      <c r="P6685" s="14"/>
      <c r="Q6685" s="85"/>
      <c r="R6685" s="89"/>
    </row>
    <row r="6686" spans="13:18" x14ac:dyDescent="0.25">
      <c r="M6686" s="9"/>
      <c r="N6686" s="9"/>
      <c r="P6686" s="14"/>
      <c r="Q6686" s="85"/>
      <c r="R6686" s="89"/>
    </row>
    <row r="6687" spans="13:18" x14ac:dyDescent="0.25">
      <c r="M6687" s="9"/>
      <c r="N6687" s="9"/>
      <c r="P6687" s="14"/>
      <c r="Q6687" s="85"/>
      <c r="R6687" s="89"/>
    </row>
    <row r="6688" spans="13:18" x14ac:dyDescent="0.25">
      <c r="M6688" s="9"/>
      <c r="N6688" s="9"/>
      <c r="P6688" s="14"/>
      <c r="Q6688" s="85"/>
      <c r="R6688" s="89"/>
    </row>
    <row r="6689" spans="13:18" x14ac:dyDescent="0.25">
      <c r="M6689" s="9"/>
      <c r="N6689" s="9"/>
      <c r="P6689" s="14"/>
      <c r="Q6689" s="85"/>
      <c r="R6689" s="89"/>
    </row>
    <row r="6690" spans="13:18" x14ac:dyDescent="0.25">
      <c r="M6690" s="9"/>
      <c r="N6690" s="9"/>
      <c r="P6690" s="14"/>
      <c r="Q6690" s="85"/>
      <c r="R6690" s="89"/>
    </row>
    <row r="6691" spans="13:18" x14ac:dyDescent="0.25">
      <c r="M6691" s="9"/>
      <c r="N6691" s="9"/>
      <c r="P6691" s="14"/>
      <c r="Q6691" s="85"/>
      <c r="R6691" s="89"/>
    </row>
    <row r="6692" spans="13:18" x14ac:dyDescent="0.25">
      <c r="M6692" s="9"/>
      <c r="N6692" s="9"/>
      <c r="P6692" s="14"/>
      <c r="Q6692" s="85"/>
      <c r="R6692" s="89"/>
    </row>
    <row r="6693" spans="13:18" x14ac:dyDescent="0.25">
      <c r="M6693" s="9"/>
      <c r="N6693" s="9"/>
      <c r="P6693" s="14"/>
      <c r="Q6693" s="85"/>
      <c r="R6693" s="89"/>
    </row>
    <row r="6694" spans="13:18" x14ac:dyDescent="0.25">
      <c r="M6694" s="9"/>
      <c r="N6694" s="9"/>
      <c r="P6694" s="14"/>
      <c r="Q6694" s="85"/>
      <c r="R6694" s="89"/>
    </row>
    <row r="6695" spans="13:18" x14ac:dyDescent="0.25">
      <c r="M6695" s="9"/>
      <c r="N6695" s="9"/>
      <c r="P6695" s="14"/>
      <c r="Q6695" s="85"/>
      <c r="R6695" s="89"/>
    </row>
    <row r="6696" spans="13:18" x14ac:dyDescent="0.25">
      <c r="M6696" s="9"/>
      <c r="N6696" s="9"/>
      <c r="P6696" s="14"/>
      <c r="Q6696" s="85"/>
      <c r="R6696" s="89"/>
    </row>
    <row r="6697" spans="13:18" x14ac:dyDescent="0.25">
      <c r="M6697" s="9"/>
      <c r="N6697" s="9"/>
      <c r="P6697" s="14"/>
      <c r="Q6697" s="85"/>
      <c r="R6697" s="89"/>
    </row>
    <row r="6698" spans="13:18" x14ac:dyDescent="0.25">
      <c r="M6698" s="9"/>
      <c r="N6698" s="9"/>
      <c r="P6698" s="14"/>
      <c r="Q6698" s="85"/>
      <c r="R6698" s="89"/>
    </row>
    <row r="6699" spans="13:18" x14ac:dyDescent="0.25">
      <c r="M6699" s="9"/>
      <c r="N6699" s="9"/>
      <c r="P6699" s="14"/>
      <c r="Q6699" s="85"/>
      <c r="R6699" s="89"/>
    </row>
    <row r="6700" spans="13:18" x14ac:dyDescent="0.25">
      <c r="M6700" s="9"/>
      <c r="N6700" s="9"/>
      <c r="P6700" s="14"/>
      <c r="Q6700" s="85"/>
      <c r="R6700" s="89"/>
    </row>
    <row r="6701" spans="13:18" x14ac:dyDescent="0.25">
      <c r="M6701" s="9"/>
      <c r="N6701" s="9"/>
      <c r="P6701" s="14"/>
      <c r="Q6701" s="85"/>
      <c r="R6701" s="89"/>
    </row>
    <row r="6702" spans="13:18" x14ac:dyDescent="0.25">
      <c r="M6702" s="9"/>
      <c r="N6702" s="9"/>
      <c r="P6702" s="14"/>
      <c r="Q6702" s="85"/>
      <c r="R6702" s="89"/>
    </row>
    <row r="6703" spans="13:18" x14ac:dyDescent="0.25">
      <c r="M6703" s="9"/>
      <c r="N6703" s="9"/>
      <c r="P6703" s="14"/>
      <c r="Q6703" s="85"/>
      <c r="R6703" s="89"/>
    </row>
    <row r="6704" spans="13:18" x14ac:dyDescent="0.25">
      <c r="M6704" s="9"/>
      <c r="N6704" s="9"/>
      <c r="P6704" s="14"/>
      <c r="Q6704" s="85"/>
      <c r="R6704" s="89"/>
    </row>
    <row r="6705" spans="13:18" x14ac:dyDescent="0.25">
      <c r="M6705" s="9"/>
      <c r="N6705" s="9"/>
      <c r="P6705" s="14"/>
      <c r="Q6705" s="85"/>
      <c r="R6705" s="89"/>
    </row>
    <row r="6706" spans="13:18" x14ac:dyDescent="0.25">
      <c r="M6706" s="9"/>
      <c r="N6706" s="9"/>
      <c r="P6706" s="14"/>
      <c r="Q6706" s="85"/>
      <c r="R6706" s="89"/>
    </row>
    <row r="6707" spans="13:18" x14ac:dyDescent="0.25">
      <c r="M6707" s="9"/>
      <c r="N6707" s="9"/>
      <c r="P6707" s="14"/>
      <c r="Q6707" s="85"/>
      <c r="R6707" s="89"/>
    </row>
    <row r="6708" spans="13:18" x14ac:dyDescent="0.25">
      <c r="M6708" s="9"/>
      <c r="N6708" s="9"/>
      <c r="P6708" s="14"/>
      <c r="Q6708" s="85"/>
      <c r="R6708" s="89"/>
    </row>
    <row r="6709" spans="13:18" x14ac:dyDescent="0.25">
      <c r="M6709" s="9"/>
      <c r="N6709" s="9"/>
      <c r="P6709" s="14"/>
      <c r="Q6709" s="85"/>
      <c r="R6709" s="89"/>
    </row>
    <row r="6710" spans="13:18" x14ac:dyDescent="0.25">
      <c r="M6710" s="9"/>
      <c r="N6710" s="9"/>
      <c r="P6710" s="14"/>
      <c r="Q6710" s="85"/>
      <c r="R6710" s="89"/>
    </row>
    <row r="6711" spans="13:18" x14ac:dyDescent="0.25">
      <c r="M6711" s="9"/>
      <c r="N6711" s="9"/>
      <c r="P6711" s="14"/>
      <c r="Q6711" s="85"/>
      <c r="R6711" s="89"/>
    </row>
    <row r="6712" spans="13:18" x14ac:dyDescent="0.25">
      <c r="M6712" s="9"/>
      <c r="N6712" s="9"/>
      <c r="P6712" s="14"/>
      <c r="Q6712" s="85"/>
      <c r="R6712" s="89"/>
    </row>
    <row r="6713" spans="13:18" x14ac:dyDescent="0.25">
      <c r="M6713" s="9"/>
      <c r="N6713" s="9"/>
      <c r="P6713" s="14"/>
      <c r="Q6713" s="85"/>
      <c r="R6713" s="89"/>
    </row>
    <row r="6714" spans="13:18" x14ac:dyDescent="0.25">
      <c r="M6714" s="9"/>
      <c r="N6714" s="9"/>
      <c r="P6714" s="14"/>
      <c r="Q6714" s="85"/>
      <c r="R6714" s="89"/>
    </row>
    <row r="6715" spans="13:18" x14ac:dyDescent="0.25">
      <c r="M6715" s="9"/>
      <c r="N6715" s="9"/>
      <c r="P6715" s="14"/>
      <c r="Q6715" s="85"/>
      <c r="R6715" s="89"/>
    </row>
    <row r="6716" spans="13:18" x14ac:dyDescent="0.25">
      <c r="M6716" s="9"/>
      <c r="N6716" s="9"/>
      <c r="P6716" s="14"/>
      <c r="Q6716" s="85"/>
      <c r="R6716" s="89"/>
    </row>
    <row r="6717" spans="13:18" x14ac:dyDescent="0.25">
      <c r="M6717" s="9"/>
      <c r="N6717" s="9"/>
      <c r="P6717" s="14"/>
      <c r="Q6717" s="85"/>
      <c r="R6717" s="89"/>
    </row>
    <row r="6718" spans="13:18" x14ac:dyDescent="0.25">
      <c r="M6718" s="9"/>
      <c r="N6718" s="9"/>
      <c r="P6718" s="14"/>
      <c r="Q6718" s="85"/>
      <c r="R6718" s="89"/>
    </row>
    <row r="6719" spans="13:18" x14ac:dyDescent="0.25">
      <c r="M6719" s="9"/>
      <c r="N6719" s="9"/>
      <c r="P6719" s="14"/>
      <c r="Q6719" s="85"/>
      <c r="R6719" s="89"/>
    </row>
    <row r="6720" spans="13:18" x14ac:dyDescent="0.25">
      <c r="M6720" s="9"/>
      <c r="N6720" s="9"/>
      <c r="P6720" s="14"/>
      <c r="Q6720" s="85"/>
      <c r="R6720" s="89"/>
    </row>
    <row r="6721" spans="13:18" x14ac:dyDescent="0.25">
      <c r="M6721" s="9"/>
      <c r="N6721" s="9"/>
      <c r="P6721" s="14"/>
      <c r="Q6721" s="85"/>
      <c r="R6721" s="89"/>
    </row>
    <row r="6722" spans="13:18" x14ac:dyDescent="0.25">
      <c r="M6722" s="9"/>
      <c r="N6722" s="9"/>
      <c r="P6722" s="14"/>
      <c r="Q6722" s="85"/>
      <c r="R6722" s="89"/>
    </row>
    <row r="6723" spans="13:18" x14ac:dyDescent="0.25">
      <c r="M6723" s="9"/>
      <c r="N6723" s="9"/>
      <c r="P6723" s="14"/>
      <c r="Q6723" s="85"/>
      <c r="R6723" s="89"/>
    </row>
    <row r="6724" spans="13:18" x14ac:dyDescent="0.25">
      <c r="M6724" s="9"/>
      <c r="N6724" s="9"/>
      <c r="P6724" s="14"/>
      <c r="Q6724" s="85"/>
      <c r="R6724" s="89"/>
    </row>
    <row r="6725" spans="13:18" x14ac:dyDescent="0.25">
      <c r="M6725" s="9"/>
      <c r="N6725" s="9"/>
      <c r="P6725" s="14"/>
      <c r="Q6725" s="85"/>
      <c r="R6725" s="89"/>
    </row>
    <row r="6726" spans="13:18" x14ac:dyDescent="0.25">
      <c r="M6726" s="9"/>
      <c r="N6726" s="9"/>
      <c r="P6726" s="14"/>
      <c r="Q6726" s="85"/>
      <c r="R6726" s="89"/>
    </row>
    <row r="6727" spans="13:18" x14ac:dyDescent="0.25">
      <c r="M6727" s="9"/>
      <c r="N6727" s="9"/>
      <c r="P6727" s="14"/>
      <c r="Q6727" s="85"/>
      <c r="R6727" s="89"/>
    </row>
    <row r="6728" spans="13:18" x14ac:dyDescent="0.25">
      <c r="M6728" s="9"/>
      <c r="N6728" s="9"/>
      <c r="P6728" s="14"/>
      <c r="Q6728" s="85"/>
      <c r="R6728" s="89"/>
    </row>
    <row r="6729" spans="13:18" x14ac:dyDescent="0.25">
      <c r="M6729" s="9"/>
      <c r="N6729" s="9"/>
      <c r="P6729" s="14"/>
      <c r="Q6729" s="85"/>
      <c r="R6729" s="89"/>
    </row>
    <row r="6730" spans="13:18" x14ac:dyDescent="0.25">
      <c r="M6730" s="9"/>
      <c r="N6730" s="9"/>
      <c r="P6730" s="14"/>
      <c r="Q6730" s="85"/>
      <c r="R6730" s="89"/>
    </row>
    <row r="6731" spans="13:18" x14ac:dyDescent="0.25">
      <c r="M6731" s="9"/>
      <c r="N6731" s="9"/>
      <c r="P6731" s="14"/>
      <c r="Q6731" s="85"/>
      <c r="R6731" s="89"/>
    </row>
    <row r="6732" spans="13:18" x14ac:dyDescent="0.25">
      <c r="M6732" s="9"/>
      <c r="N6732" s="9"/>
      <c r="P6732" s="14"/>
      <c r="Q6732" s="85"/>
      <c r="R6732" s="89"/>
    </row>
    <row r="6733" spans="13:18" x14ac:dyDescent="0.25">
      <c r="M6733" s="9"/>
      <c r="N6733" s="9"/>
      <c r="P6733" s="14"/>
      <c r="Q6733" s="85"/>
      <c r="R6733" s="89"/>
    </row>
    <row r="6734" spans="13:18" x14ac:dyDescent="0.25">
      <c r="M6734" s="9"/>
      <c r="N6734" s="9"/>
      <c r="P6734" s="14"/>
      <c r="Q6734" s="85"/>
      <c r="R6734" s="89"/>
    </row>
    <row r="6735" spans="13:18" x14ac:dyDescent="0.25">
      <c r="M6735" s="9"/>
      <c r="N6735" s="9"/>
      <c r="P6735" s="14"/>
      <c r="Q6735" s="85"/>
      <c r="R6735" s="89"/>
    </row>
    <row r="6736" spans="13:18" x14ac:dyDescent="0.25">
      <c r="M6736" s="9"/>
      <c r="N6736" s="9"/>
      <c r="P6736" s="14"/>
      <c r="Q6736" s="85"/>
      <c r="R6736" s="89"/>
    </row>
    <row r="6737" spans="13:18" x14ac:dyDescent="0.25">
      <c r="M6737" s="9"/>
      <c r="N6737" s="9"/>
      <c r="P6737" s="14"/>
      <c r="Q6737" s="85"/>
      <c r="R6737" s="89"/>
    </row>
    <row r="6738" spans="13:18" x14ac:dyDescent="0.25">
      <c r="M6738" s="9"/>
      <c r="N6738" s="9"/>
      <c r="P6738" s="14"/>
      <c r="Q6738" s="85"/>
      <c r="R6738" s="89"/>
    </row>
    <row r="6739" spans="13:18" x14ac:dyDescent="0.25">
      <c r="M6739" s="9"/>
      <c r="N6739" s="9"/>
      <c r="P6739" s="14"/>
      <c r="Q6739" s="85"/>
      <c r="R6739" s="89"/>
    </row>
    <row r="6740" spans="13:18" x14ac:dyDescent="0.25">
      <c r="M6740" s="9"/>
      <c r="N6740" s="9"/>
      <c r="P6740" s="14"/>
      <c r="Q6740" s="85"/>
      <c r="R6740" s="89"/>
    </row>
    <row r="6741" spans="13:18" x14ac:dyDescent="0.25">
      <c r="M6741" s="9"/>
      <c r="N6741" s="9"/>
      <c r="P6741" s="14"/>
      <c r="Q6741" s="85"/>
      <c r="R6741" s="89"/>
    </row>
    <row r="6742" spans="13:18" x14ac:dyDescent="0.25">
      <c r="M6742" s="9"/>
      <c r="N6742" s="9"/>
      <c r="P6742" s="14"/>
      <c r="Q6742" s="85"/>
      <c r="R6742" s="89"/>
    </row>
    <row r="6743" spans="13:18" x14ac:dyDescent="0.25">
      <c r="M6743" s="9"/>
      <c r="N6743" s="9"/>
      <c r="P6743" s="14"/>
      <c r="Q6743" s="85"/>
      <c r="R6743" s="89"/>
    </row>
    <row r="6744" spans="13:18" x14ac:dyDescent="0.25">
      <c r="M6744" s="9"/>
      <c r="N6744" s="9"/>
      <c r="P6744" s="14"/>
      <c r="Q6744" s="85"/>
      <c r="R6744" s="89"/>
    </row>
    <row r="6745" spans="13:18" x14ac:dyDescent="0.25">
      <c r="M6745" s="9"/>
      <c r="N6745" s="9"/>
      <c r="P6745" s="14"/>
      <c r="Q6745" s="85"/>
      <c r="R6745" s="89"/>
    </row>
    <row r="6746" spans="13:18" x14ac:dyDescent="0.25">
      <c r="M6746" s="9"/>
      <c r="N6746" s="9"/>
      <c r="P6746" s="14"/>
      <c r="Q6746" s="85"/>
      <c r="R6746" s="89"/>
    </row>
    <row r="6747" spans="13:18" x14ac:dyDescent="0.25">
      <c r="M6747" s="9"/>
      <c r="N6747" s="9"/>
      <c r="P6747" s="14"/>
      <c r="Q6747" s="85"/>
      <c r="R6747" s="89"/>
    </row>
    <row r="6748" spans="13:18" x14ac:dyDescent="0.25">
      <c r="M6748" s="9"/>
      <c r="N6748" s="9"/>
      <c r="P6748" s="14"/>
      <c r="Q6748" s="85"/>
      <c r="R6748" s="89"/>
    </row>
    <row r="6749" spans="13:18" x14ac:dyDescent="0.25">
      <c r="M6749" s="9"/>
      <c r="N6749" s="9"/>
      <c r="P6749" s="14"/>
      <c r="Q6749" s="85"/>
      <c r="R6749" s="89"/>
    </row>
    <row r="6750" spans="13:18" x14ac:dyDescent="0.25">
      <c r="M6750" s="9"/>
      <c r="N6750" s="9"/>
      <c r="P6750" s="14"/>
      <c r="Q6750" s="85"/>
      <c r="R6750" s="89"/>
    </row>
    <row r="6751" spans="13:18" x14ac:dyDescent="0.25">
      <c r="M6751" s="9"/>
      <c r="N6751" s="9"/>
      <c r="P6751" s="14"/>
      <c r="Q6751" s="85"/>
      <c r="R6751" s="89"/>
    </row>
    <row r="6752" spans="13:18" x14ac:dyDescent="0.25">
      <c r="M6752" s="9"/>
      <c r="N6752" s="9"/>
      <c r="P6752" s="14"/>
      <c r="Q6752" s="85"/>
      <c r="R6752" s="89"/>
    </row>
    <row r="6753" spans="13:18" x14ac:dyDescent="0.25">
      <c r="M6753" s="9"/>
      <c r="N6753" s="9"/>
      <c r="P6753" s="14"/>
      <c r="Q6753" s="85"/>
      <c r="R6753" s="89"/>
    </row>
    <row r="6754" spans="13:18" x14ac:dyDescent="0.25">
      <c r="M6754" s="9"/>
      <c r="N6754" s="9"/>
      <c r="P6754" s="14"/>
      <c r="Q6754" s="85"/>
      <c r="R6754" s="89"/>
    </row>
    <row r="6755" spans="13:18" x14ac:dyDescent="0.25">
      <c r="M6755" s="9"/>
      <c r="N6755" s="9"/>
      <c r="P6755" s="14"/>
      <c r="Q6755" s="85"/>
      <c r="R6755" s="89"/>
    </row>
    <row r="6756" spans="13:18" x14ac:dyDescent="0.25">
      <c r="M6756" s="9"/>
      <c r="N6756" s="9"/>
      <c r="P6756" s="14"/>
      <c r="Q6756" s="85"/>
      <c r="R6756" s="89"/>
    </row>
    <row r="6757" spans="13:18" x14ac:dyDescent="0.25">
      <c r="M6757" s="9"/>
      <c r="N6757" s="9"/>
      <c r="P6757" s="14"/>
      <c r="Q6757" s="85"/>
      <c r="R6757" s="89"/>
    </row>
    <row r="6758" spans="13:18" x14ac:dyDescent="0.25">
      <c r="M6758" s="9"/>
      <c r="N6758" s="9"/>
      <c r="P6758" s="14"/>
      <c r="Q6758" s="85"/>
      <c r="R6758" s="89"/>
    </row>
    <row r="6759" spans="13:18" x14ac:dyDescent="0.25">
      <c r="M6759" s="9"/>
      <c r="N6759" s="9"/>
      <c r="P6759" s="14"/>
      <c r="Q6759" s="85"/>
      <c r="R6759" s="89"/>
    </row>
    <row r="6760" spans="13:18" x14ac:dyDescent="0.25">
      <c r="M6760" s="9"/>
      <c r="N6760" s="9"/>
      <c r="P6760" s="14"/>
      <c r="Q6760" s="85"/>
      <c r="R6760" s="89"/>
    </row>
    <row r="6761" spans="13:18" x14ac:dyDescent="0.25">
      <c r="M6761" s="9"/>
      <c r="N6761" s="9"/>
      <c r="P6761" s="14"/>
      <c r="Q6761" s="85"/>
      <c r="R6761" s="89"/>
    </row>
    <row r="6762" spans="13:18" x14ac:dyDescent="0.25">
      <c r="M6762" s="9"/>
      <c r="N6762" s="9"/>
      <c r="P6762" s="14"/>
      <c r="Q6762" s="85"/>
      <c r="R6762" s="89"/>
    </row>
    <row r="6763" spans="13:18" x14ac:dyDescent="0.25">
      <c r="M6763" s="9"/>
      <c r="N6763" s="9"/>
      <c r="P6763" s="14"/>
      <c r="Q6763" s="85"/>
      <c r="R6763" s="89"/>
    </row>
    <row r="6764" spans="13:18" x14ac:dyDescent="0.25">
      <c r="M6764" s="9"/>
      <c r="N6764" s="9"/>
      <c r="P6764" s="14"/>
      <c r="Q6764" s="85"/>
      <c r="R6764" s="89"/>
    </row>
    <row r="6765" spans="13:18" x14ac:dyDescent="0.25">
      <c r="M6765" s="9"/>
      <c r="N6765" s="9"/>
      <c r="P6765" s="14"/>
      <c r="Q6765" s="85"/>
      <c r="R6765" s="89"/>
    </row>
    <row r="6766" spans="13:18" x14ac:dyDescent="0.25">
      <c r="M6766" s="9"/>
      <c r="N6766" s="9"/>
      <c r="P6766" s="14"/>
      <c r="Q6766" s="85"/>
      <c r="R6766" s="89"/>
    </row>
    <row r="6767" spans="13:18" x14ac:dyDescent="0.25">
      <c r="M6767" s="9"/>
      <c r="N6767" s="9"/>
      <c r="P6767" s="14"/>
      <c r="Q6767" s="85"/>
      <c r="R6767" s="89"/>
    </row>
    <row r="6768" spans="13:18" x14ac:dyDescent="0.25">
      <c r="M6768" s="9"/>
      <c r="N6768" s="9"/>
      <c r="P6768" s="14"/>
      <c r="Q6768" s="85"/>
      <c r="R6768" s="89"/>
    </row>
    <row r="6769" spans="13:18" x14ac:dyDescent="0.25">
      <c r="M6769" s="9"/>
      <c r="N6769" s="9"/>
      <c r="P6769" s="14"/>
      <c r="Q6769" s="85"/>
      <c r="R6769" s="89"/>
    </row>
    <row r="6770" spans="13:18" x14ac:dyDescent="0.25">
      <c r="M6770" s="9"/>
      <c r="N6770" s="9"/>
      <c r="P6770" s="14"/>
      <c r="Q6770" s="85"/>
      <c r="R6770" s="89"/>
    </row>
    <row r="6771" spans="13:18" x14ac:dyDescent="0.25">
      <c r="M6771" s="9"/>
      <c r="N6771" s="9"/>
      <c r="P6771" s="14"/>
      <c r="Q6771" s="85"/>
      <c r="R6771" s="89"/>
    </row>
    <row r="6772" spans="13:18" x14ac:dyDescent="0.25">
      <c r="M6772" s="9"/>
      <c r="N6772" s="9"/>
      <c r="P6772" s="14"/>
      <c r="Q6772" s="85"/>
      <c r="R6772" s="89"/>
    </row>
    <row r="6773" spans="13:18" x14ac:dyDescent="0.25">
      <c r="M6773" s="9"/>
      <c r="N6773" s="9"/>
      <c r="P6773" s="14"/>
      <c r="Q6773" s="85"/>
      <c r="R6773" s="89"/>
    </row>
    <row r="6774" spans="13:18" x14ac:dyDescent="0.25">
      <c r="M6774" s="9"/>
      <c r="N6774" s="9"/>
      <c r="P6774" s="14"/>
      <c r="Q6774" s="85"/>
      <c r="R6774" s="89"/>
    </row>
    <row r="6775" spans="13:18" x14ac:dyDescent="0.25">
      <c r="M6775" s="9"/>
      <c r="N6775" s="9"/>
      <c r="P6775" s="14"/>
      <c r="Q6775" s="85"/>
      <c r="R6775" s="89"/>
    </row>
    <row r="6776" spans="13:18" x14ac:dyDescent="0.25">
      <c r="M6776" s="9"/>
      <c r="N6776" s="9"/>
      <c r="P6776" s="14"/>
      <c r="Q6776" s="85"/>
      <c r="R6776" s="89"/>
    </row>
    <row r="6777" spans="13:18" x14ac:dyDescent="0.25">
      <c r="M6777" s="9"/>
      <c r="N6777" s="9"/>
      <c r="P6777" s="14"/>
      <c r="Q6777" s="85"/>
      <c r="R6777" s="89"/>
    </row>
    <row r="6778" spans="13:18" x14ac:dyDescent="0.25">
      <c r="M6778" s="9"/>
      <c r="N6778" s="9"/>
      <c r="P6778" s="14"/>
      <c r="Q6778" s="85"/>
      <c r="R6778" s="89"/>
    </row>
    <row r="6779" spans="13:18" x14ac:dyDescent="0.25">
      <c r="M6779" s="9"/>
      <c r="N6779" s="9"/>
      <c r="P6779" s="14"/>
      <c r="Q6779" s="85"/>
      <c r="R6779" s="89"/>
    </row>
    <row r="6780" spans="13:18" x14ac:dyDescent="0.25">
      <c r="M6780" s="9"/>
      <c r="N6780" s="9"/>
      <c r="P6780" s="14"/>
      <c r="Q6780" s="85"/>
      <c r="R6780" s="89"/>
    </row>
    <row r="6781" spans="13:18" x14ac:dyDescent="0.25">
      <c r="M6781" s="9"/>
      <c r="N6781" s="9"/>
      <c r="P6781" s="14"/>
      <c r="Q6781" s="85"/>
      <c r="R6781" s="89"/>
    </row>
    <row r="6782" spans="13:18" x14ac:dyDescent="0.25">
      <c r="M6782" s="9"/>
      <c r="N6782" s="9"/>
      <c r="P6782" s="14"/>
      <c r="Q6782" s="85"/>
      <c r="R6782" s="89"/>
    </row>
    <row r="6783" spans="13:18" x14ac:dyDescent="0.25">
      <c r="M6783" s="9"/>
      <c r="N6783" s="9"/>
      <c r="P6783" s="14"/>
      <c r="Q6783" s="85"/>
      <c r="R6783" s="89"/>
    </row>
    <row r="6784" spans="13:18" x14ac:dyDescent="0.25">
      <c r="M6784" s="9"/>
      <c r="N6784" s="9"/>
      <c r="P6784" s="14"/>
      <c r="Q6784" s="85"/>
      <c r="R6784" s="89"/>
    </row>
    <row r="6785" spans="13:18" x14ac:dyDescent="0.25">
      <c r="M6785" s="9"/>
      <c r="N6785" s="9"/>
      <c r="P6785" s="14"/>
      <c r="Q6785" s="85"/>
      <c r="R6785" s="89"/>
    </row>
    <row r="6786" spans="13:18" x14ac:dyDescent="0.25">
      <c r="M6786" s="9"/>
      <c r="N6786" s="9"/>
      <c r="P6786" s="14"/>
      <c r="Q6786" s="85"/>
      <c r="R6786" s="89"/>
    </row>
    <row r="6787" spans="13:18" x14ac:dyDescent="0.25">
      <c r="M6787" s="9"/>
      <c r="N6787" s="9"/>
      <c r="P6787" s="14"/>
      <c r="Q6787" s="85"/>
      <c r="R6787" s="89"/>
    </row>
    <row r="6788" spans="13:18" x14ac:dyDescent="0.25">
      <c r="M6788" s="9"/>
      <c r="N6788" s="9"/>
      <c r="P6788" s="14"/>
      <c r="Q6788" s="85"/>
      <c r="R6788" s="89"/>
    </row>
    <row r="6789" spans="13:18" x14ac:dyDescent="0.25">
      <c r="M6789" s="9"/>
      <c r="N6789" s="9"/>
      <c r="P6789" s="14"/>
      <c r="Q6789" s="85"/>
      <c r="R6789" s="89"/>
    </row>
    <row r="6790" spans="13:18" x14ac:dyDescent="0.25">
      <c r="M6790" s="9"/>
      <c r="N6790" s="9"/>
      <c r="P6790" s="14"/>
      <c r="Q6790" s="85"/>
      <c r="R6790" s="89"/>
    </row>
    <row r="6791" spans="13:18" x14ac:dyDescent="0.25">
      <c r="M6791" s="9"/>
      <c r="N6791" s="9"/>
      <c r="P6791" s="14"/>
      <c r="Q6791" s="85"/>
      <c r="R6791" s="89"/>
    </row>
    <row r="6792" spans="13:18" x14ac:dyDescent="0.25">
      <c r="M6792" s="9"/>
      <c r="N6792" s="9"/>
      <c r="P6792" s="14"/>
      <c r="Q6792" s="85"/>
      <c r="R6792" s="89"/>
    </row>
    <row r="6793" spans="13:18" x14ac:dyDescent="0.25">
      <c r="M6793" s="9"/>
      <c r="N6793" s="9"/>
      <c r="P6793" s="14"/>
      <c r="Q6793" s="85"/>
      <c r="R6793" s="89"/>
    </row>
    <row r="6794" spans="13:18" x14ac:dyDescent="0.25">
      <c r="M6794" s="9"/>
      <c r="N6794" s="9"/>
      <c r="P6794" s="14"/>
      <c r="Q6794" s="85"/>
      <c r="R6794" s="89"/>
    </row>
    <row r="6795" spans="13:18" x14ac:dyDescent="0.25">
      <c r="M6795" s="9"/>
      <c r="N6795" s="9"/>
      <c r="P6795" s="14"/>
      <c r="Q6795" s="85"/>
      <c r="R6795" s="89"/>
    </row>
    <row r="6796" spans="13:18" x14ac:dyDescent="0.25">
      <c r="M6796" s="9"/>
      <c r="N6796" s="9"/>
      <c r="P6796" s="14"/>
      <c r="Q6796" s="85"/>
      <c r="R6796" s="89"/>
    </row>
    <row r="6797" spans="13:18" x14ac:dyDescent="0.25">
      <c r="M6797" s="9"/>
      <c r="N6797" s="9"/>
      <c r="P6797" s="14"/>
      <c r="Q6797" s="85"/>
      <c r="R6797" s="89"/>
    </row>
    <row r="6798" spans="13:18" x14ac:dyDescent="0.25">
      <c r="M6798" s="9"/>
      <c r="N6798" s="9"/>
      <c r="P6798" s="14"/>
      <c r="Q6798" s="85"/>
      <c r="R6798" s="89"/>
    </row>
    <row r="6799" spans="13:18" x14ac:dyDescent="0.25">
      <c r="M6799" s="9"/>
      <c r="N6799" s="9"/>
      <c r="P6799" s="14"/>
      <c r="Q6799" s="85"/>
      <c r="R6799" s="89"/>
    </row>
    <row r="6800" spans="13:18" x14ac:dyDescent="0.25">
      <c r="M6800" s="9"/>
      <c r="N6800" s="9"/>
      <c r="P6800" s="14"/>
      <c r="Q6800" s="85"/>
      <c r="R6800" s="89"/>
    </row>
    <row r="6801" spans="13:18" x14ac:dyDescent="0.25">
      <c r="M6801" s="9"/>
      <c r="N6801" s="9"/>
      <c r="P6801" s="14"/>
      <c r="Q6801" s="85"/>
      <c r="R6801" s="89"/>
    </row>
    <row r="6802" spans="13:18" x14ac:dyDescent="0.25">
      <c r="M6802" s="9"/>
      <c r="N6802" s="9"/>
      <c r="P6802" s="14"/>
      <c r="Q6802" s="85"/>
      <c r="R6802" s="89"/>
    </row>
    <row r="6803" spans="13:18" x14ac:dyDescent="0.25">
      <c r="M6803" s="9"/>
      <c r="N6803" s="9"/>
      <c r="P6803" s="14"/>
      <c r="Q6803" s="85"/>
      <c r="R6803" s="89"/>
    </row>
    <row r="6804" spans="13:18" x14ac:dyDescent="0.25">
      <c r="M6804" s="9"/>
      <c r="N6804" s="9"/>
      <c r="P6804" s="14"/>
      <c r="Q6804" s="85"/>
      <c r="R6804" s="89"/>
    </row>
    <row r="6805" spans="13:18" x14ac:dyDescent="0.25">
      <c r="M6805" s="9"/>
      <c r="N6805" s="9"/>
      <c r="P6805" s="14"/>
      <c r="Q6805" s="85"/>
      <c r="R6805" s="89"/>
    </row>
    <row r="6806" spans="13:18" x14ac:dyDescent="0.25">
      <c r="M6806" s="9"/>
      <c r="N6806" s="9"/>
      <c r="P6806" s="14"/>
      <c r="Q6806" s="85"/>
      <c r="R6806" s="89"/>
    </row>
    <row r="6807" spans="13:18" x14ac:dyDescent="0.25">
      <c r="M6807" s="9"/>
      <c r="N6807" s="9"/>
      <c r="P6807" s="14"/>
      <c r="Q6807" s="85"/>
      <c r="R6807" s="89"/>
    </row>
    <row r="6808" spans="13:18" x14ac:dyDescent="0.25">
      <c r="M6808" s="9"/>
      <c r="N6808" s="9"/>
      <c r="P6808" s="14"/>
      <c r="Q6808" s="85"/>
      <c r="R6808" s="89"/>
    </row>
    <row r="6809" spans="13:18" x14ac:dyDescent="0.25">
      <c r="M6809" s="9"/>
      <c r="N6809" s="9"/>
      <c r="P6809" s="14"/>
      <c r="Q6809" s="85"/>
      <c r="R6809" s="89"/>
    </row>
    <row r="6810" spans="13:18" x14ac:dyDescent="0.25">
      <c r="M6810" s="9"/>
      <c r="N6810" s="9"/>
      <c r="P6810" s="14"/>
      <c r="Q6810" s="85"/>
      <c r="R6810" s="89"/>
    </row>
    <row r="6811" spans="13:18" x14ac:dyDescent="0.25">
      <c r="M6811" s="9"/>
      <c r="N6811" s="9"/>
      <c r="P6811" s="14"/>
      <c r="Q6811" s="85"/>
      <c r="R6811" s="89"/>
    </row>
    <row r="6812" spans="13:18" x14ac:dyDescent="0.25">
      <c r="M6812" s="9"/>
      <c r="N6812" s="9"/>
      <c r="P6812" s="14"/>
      <c r="Q6812" s="85"/>
      <c r="R6812" s="89"/>
    </row>
    <row r="6813" spans="13:18" x14ac:dyDescent="0.25">
      <c r="M6813" s="9"/>
      <c r="N6813" s="9"/>
      <c r="P6813" s="14"/>
      <c r="Q6813" s="85"/>
      <c r="R6813" s="89"/>
    </row>
    <row r="6814" spans="13:18" x14ac:dyDescent="0.25">
      <c r="M6814" s="9"/>
      <c r="N6814" s="9"/>
      <c r="P6814" s="14"/>
      <c r="Q6814" s="85"/>
      <c r="R6814" s="89"/>
    </row>
    <row r="6815" spans="13:18" x14ac:dyDescent="0.25">
      <c r="M6815" s="9"/>
      <c r="N6815" s="9"/>
      <c r="P6815" s="14"/>
      <c r="Q6815" s="85"/>
      <c r="R6815" s="89"/>
    </row>
    <row r="6816" spans="13:18" x14ac:dyDescent="0.25">
      <c r="M6816" s="9"/>
      <c r="N6816" s="9"/>
      <c r="P6816" s="14"/>
      <c r="Q6816" s="85"/>
      <c r="R6816" s="89"/>
    </row>
    <row r="6817" spans="13:18" x14ac:dyDescent="0.25">
      <c r="M6817" s="9"/>
      <c r="N6817" s="9"/>
      <c r="P6817" s="14"/>
      <c r="Q6817" s="85"/>
      <c r="R6817" s="89"/>
    </row>
    <row r="6818" spans="13:18" x14ac:dyDescent="0.25">
      <c r="M6818" s="9"/>
      <c r="N6818" s="9"/>
      <c r="P6818" s="14"/>
      <c r="Q6818" s="85"/>
      <c r="R6818" s="89"/>
    </row>
    <row r="6819" spans="13:18" x14ac:dyDescent="0.25">
      <c r="M6819" s="9"/>
      <c r="N6819" s="9"/>
      <c r="P6819" s="14"/>
      <c r="Q6819" s="85"/>
      <c r="R6819" s="89"/>
    </row>
    <row r="6820" spans="13:18" x14ac:dyDescent="0.25">
      <c r="M6820" s="9"/>
      <c r="N6820" s="9"/>
      <c r="P6820" s="14"/>
      <c r="Q6820" s="85"/>
      <c r="R6820" s="89"/>
    </row>
    <row r="6821" spans="13:18" x14ac:dyDescent="0.25">
      <c r="M6821" s="9"/>
      <c r="N6821" s="9"/>
      <c r="P6821" s="14"/>
      <c r="Q6821" s="85"/>
      <c r="R6821" s="89"/>
    </row>
    <row r="6822" spans="13:18" x14ac:dyDescent="0.25">
      <c r="M6822" s="9"/>
      <c r="N6822" s="9"/>
      <c r="P6822" s="14"/>
      <c r="Q6822" s="85"/>
      <c r="R6822" s="89"/>
    </row>
    <row r="6823" spans="13:18" x14ac:dyDescent="0.25">
      <c r="M6823" s="9"/>
      <c r="N6823" s="9"/>
      <c r="P6823" s="14"/>
      <c r="Q6823" s="85"/>
      <c r="R6823" s="89"/>
    </row>
    <row r="6824" spans="13:18" x14ac:dyDescent="0.25">
      <c r="M6824" s="9"/>
      <c r="N6824" s="9"/>
      <c r="P6824" s="14"/>
      <c r="Q6824" s="85"/>
      <c r="R6824" s="89"/>
    </row>
    <row r="6825" spans="13:18" x14ac:dyDescent="0.25">
      <c r="M6825" s="9"/>
      <c r="N6825" s="9"/>
      <c r="P6825" s="14"/>
      <c r="Q6825" s="85"/>
      <c r="R6825" s="89"/>
    </row>
    <row r="6826" spans="13:18" x14ac:dyDescent="0.25">
      <c r="M6826" s="9"/>
      <c r="N6826" s="9"/>
      <c r="P6826" s="14"/>
      <c r="Q6826" s="85"/>
      <c r="R6826" s="89"/>
    </row>
    <row r="6827" spans="13:18" x14ac:dyDescent="0.25">
      <c r="M6827" s="9"/>
      <c r="N6827" s="9"/>
      <c r="P6827" s="14"/>
      <c r="Q6827" s="85"/>
      <c r="R6827" s="89"/>
    </row>
    <row r="6828" spans="13:18" x14ac:dyDescent="0.25">
      <c r="M6828" s="9"/>
      <c r="N6828" s="9"/>
      <c r="P6828" s="14"/>
      <c r="Q6828" s="85"/>
      <c r="R6828" s="89"/>
    </row>
    <row r="6829" spans="13:18" x14ac:dyDescent="0.25">
      <c r="M6829" s="9"/>
      <c r="N6829" s="9"/>
      <c r="P6829" s="14"/>
      <c r="Q6829" s="85"/>
      <c r="R6829" s="89"/>
    </row>
    <row r="6830" spans="13:18" x14ac:dyDescent="0.25">
      <c r="M6830" s="9"/>
      <c r="N6830" s="9"/>
      <c r="P6830" s="14"/>
      <c r="Q6830" s="85"/>
      <c r="R6830" s="89"/>
    </row>
    <row r="6831" spans="13:18" x14ac:dyDescent="0.25">
      <c r="M6831" s="9"/>
      <c r="N6831" s="9"/>
      <c r="P6831" s="14"/>
      <c r="Q6831" s="85"/>
      <c r="R6831" s="89"/>
    </row>
    <row r="6832" spans="13:18" x14ac:dyDescent="0.25">
      <c r="M6832" s="9"/>
      <c r="N6832" s="9"/>
      <c r="P6832" s="14"/>
      <c r="Q6832" s="85"/>
      <c r="R6832" s="89"/>
    </row>
    <row r="6833" spans="13:18" x14ac:dyDescent="0.25">
      <c r="M6833" s="9"/>
      <c r="N6833" s="9"/>
      <c r="P6833" s="14"/>
      <c r="Q6833" s="85"/>
      <c r="R6833" s="89"/>
    </row>
    <row r="6834" spans="13:18" x14ac:dyDescent="0.25">
      <c r="M6834" s="9"/>
      <c r="N6834" s="9"/>
      <c r="P6834" s="14"/>
      <c r="Q6834" s="85"/>
      <c r="R6834" s="89"/>
    </row>
    <row r="6835" spans="13:18" x14ac:dyDescent="0.25">
      <c r="M6835" s="9"/>
      <c r="N6835" s="9"/>
      <c r="P6835" s="14"/>
      <c r="Q6835" s="85"/>
      <c r="R6835" s="89"/>
    </row>
    <row r="6836" spans="13:18" x14ac:dyDescent="0.25">
      <c r="M6836" s="9"/>
      <c r="N6836" s="9"/>
      <c r="P6836" s="14"/>
      <c r="Q6836" s="85"/>
      <c r="R6836" s="89"/>
    </row>
    <row r="6837" spans="13:18" x14ac:dyDescent="0.25">
      <c r="M6837" s="9"/>
      <c r="N6837" s="9"/>
      <c r="P6837" s="14"/>
      <c r="Q6837" s="85"/>
      <c r="R6837" s="89"/>
    </row>
    <row r="6838" spans="13:18" x14ac:dyDescent="0.25">
      <c r="M6838" s="9"/>
      <c r="N6838" s="9"/>
      <c r="P6838" s="14"/>
      <c r="Q6838" s="85"/>
      <c r="R6838" s="89"/>
    </row>
    <row r="6839" spans="13:18" x14ac:dyDescent="0.25">
      <c r="M6839" s="9"/>
      <c r="N6839" s="9"/>
      <c r="P6839" s="14"/>
      <c r="Q6839" s="85"/>
      <c r="R6839" s="89"/>
    </row>
    <row r="6840" spans="13:18" x14ac:dyDescent="0.25">
      <c r="M6840" s="9"/>
      <c r="N6840" s="9"/>
      <c r="P6840" s="14"/>
      <c r="Q6840" s="85"/>
      <c r="R6840" s="89"/>
    </row>
    <row r="6841" spans="13:18" x14ac:dyDescent="0.25">
      <c r="M6841" s="9"/>
      <c r="N6841" s="9"/>
      <c r="P6841" s="14"/>
      <c r="Q6841" s="85"/>
      <c r="R6841" s="89"/>
    </row>
    <row r="6842" spans="13:18" x14ac:dyDescent="0.25">
      <c r="M6842" s="9"/>
      <c r="N6842" s="9"/>
      <c r="P6842" s="14"/>
      <c r="Q6842" s="85"/>
      <c r="R6842" s="89"/>
    </row>
    <row r="6843" spans="13:18" x14ac:dyDescent="0.25">
      <c r="M6843" s="9"/>
      <c r="N6843" s="9"/>
      <c r="P6843" s="14"/>
      <c r="Q6843" s="85"/>
      <c r="R6843" s="89"/>
    </row>
    <row r="6844" spans="13:18" x14ac:dyDescent="0.25">
      <c r="M6844" s="9"/>
      <c r="N6844" s="9"/>
      <c r="P6844" s="14"/>
      <c r="Q6844" s="85"/>
      <c r="R6844" s="89"/>
    </row>
    <row r="6845" spans="13:18" x14ac:dyDescent="0.25">
      <c r="M6845" s="9"/>
      <c r="N6845" s="9"/>
      <c r="P6845" s="14"/>
      <c r="Q6845" s="85"/>
      <c r="R6845" s="89"/>
    </row>
    <row r="6846" spans="13:18" x14ac:dyDescent="0.25">
      <c r="M6846" s="9"/>
      <c r="N6846" s="9"/>
      <c r="P6846" s="14"/>
      <c r="Q6846" s="85"/>
      <c r="R6846" s="89"/>
    </row>
    <row r="6847" spans="13:18" x14ac:dyDescent="0.25">
      <c r="M6847" s="9"/>
      <c r="N6847" s="9"/>
      <c r="P6847" s="14"/>
      <c r="Q6847" s="85"/>
      <c r="R6847" s="89"/>
    </row>
    <row r="6848" spans="13:18" x14ac:dyDescent="0.25">
      <c r="M6848" s="9"/>
      <c r="N6848" s="9"/>
      <c r="P6848" s="14"/>
      <c r="Q6848" s="85"/>
      <c r="R6848" s="89"/>
    </row>
    <row r="6849" spans="13:18" x14ac:dyDescent="0.25">
      <c r="M6849" s="9"/>
      <c r="N6849" s="9"/>
      <c r="P6849" s="14"/>
      <c r="Q6849" s="85"/>
      <c r="R6849" s="89"/>
    </row>
    <row r="6850" spans="13:18" x14ac:dyDescent="0.25">
      <c r="M6850" s="9"/>
      <c r="N6850" s="9"/>
      <c r="P6850" s="14"/>
      <c r="Q6850" s="85"/>
      <c r="R6850" s="89"/>
    </row>
    <row r="6851" spans="13:18" x14ac:dyDescent="0.25">
      <c r="M6851" s="9"/>
      <c r="N6851" s="9"/>
      <c r="P6851" s="14"/>
      <c r="Q6851" s="85"/>
      <c r="R6851" s="89"/>
    </row>
    <row r="6852" spans="13:18" x14ac:dyDescent="0.25">
      <c r="M6852" s="9"/>
      <c r="N6852" s="9"/>
      <c r="P6852" s="14"/>
      <c r="Q6852" s="85"/>
      <c r="R6852" s="89"/>
    </row>
    <row r="6853" spans="13:18" x14ac:dyDescent="0.25">
      <c r="M6853" s="9"/>
      <c r="N6853" s="9"/>
      <c r="P6853" s="14"/>
      <c r="Q6853" s="85"/>
      <c r="R6853" s="89"/>
    </row>
    <row r="6854" spans="13:18" x14ac:dyDescent="0.25">
      <c r="M6854" s="9"/>
      <c r="N6854" s="9"/>
      <c r="P6854" s="14"/>
      <c r="Q6854" s="85"/>
      <c r="R6854" s="89"/>
    </row>
    <row r="6855" spans="13:18" x14ac:dyDescent="0.25">
      <c r="M6855" s="9"/>
      <c r="N6855" s="9"/>
      <c r="P6855" s="14"/>
      <c r="Q6855" s="85"/>
      <c r="R6855" s="89"/>
    </row>
    <row r="6856" spans="13:18" x14ac:dyDescent="0.25">
      <c r="M6856" s="9"/>
      <c r="N6856" s="9"/>
      <c r="P6856" s="14"/>
      <c r="Q6856" s="85"/>
      <c r="R6856" s="89"/>
    </row>
    <row r="6857" spans="13:18" x14ac:dyDescent="0.25">
      <c r="M6857" s="9"/>
      <c r="N6857" s="9"/>
      <c r="P6857" s="14"/>
      <c r="Q6857" s="85"/>
      <c r="R6857" s="89"/>
    </row>
    <row r="6858" spans="13:18" x14ac:dyDescent="0.25">
      <c r="M6858" s="9"/>
      <c r="N6858" s="9"/>
      <c r="P6858" s="14"/>
      <c r="Q6858" s="85"/>
      <c r="R6858" s="89"/>
    </row>
    <row r="6859" spans="13:18" x14ac:dyDescent="0.25">
      <c r="M6859" s="9"/>
      <c r="N6859" s="9"/>
      <c r="P6859" s="14"/>
      <c r="Q6859" s="85"/>
      <c r="R6859" s="89"/>
    </row>
    <row r="6860" spans="13:18" x14ac:dyDescent="0.25">
      <c r="M6860" s="9"/>
      <c r="N6860" s="9"/>
      <c r="P6860" s="14"/>
      <c r="Q6860" s="85"/>
      <c r="R6860" s="89"/>
    </row>
    <row r="6861" spans="13:18" x14ac:dyDescent="0.25">
      <c r="M6861" s="9"/>
      <c r="N6861" s="9"/>
      <c r="P6861" s="14"/>
      <c r="Q6861" s="85"/>
      <c r="R6861" s="89"/>
    </row>
    <row r="6862" spans="13:18" x14ac:dyDescent="0.25">
      <c r="M6862" s="9"/>
      <c r="N6862" s="9"/>
      <c r="P6862" s="14"/>
      <c r="Q6862" s="85"/>
      <c r="R6862" s="89"/>
    </row>
    <row r="6863" spans="13:18" x14ac:dyDescent="0.25">
      <c r="M6863" s="9"/>
      <c r="N6863" s="9"/>
      <c r="P6863" s="14"/>
      <c r="Q6863" s="85"/>
      <c r="R6863" s="89"/>
    </row>
    <row r="6864" spans="13:18" x14ac:dyDescent="0.25">
      <c r="M6864" s="9"/>
      <c r="N6864" s="9"/>
      <c r="P6864" s="14"/>
      <c r="Q6864" s="85"/>
      <c r="R6864" s="89"/>
    </row>
    <row r="6865" spans="13:18" x14ac:dyDescent="0.25">
      <c r="M6865" s="9"/>
      <c r="N6865" s="9"/>
      <c r="P6865" s="14"/>
      <c r="Q6865" s="85"/>
      <c r="R6865" s="89"/>
    </row>
    <row r="6866" spans="13:18" x14ac:dyDescent="0.25">
      <c r="M6866" s="9"/>
      <c r="N6866" s="9"/>
      <c r="P6866" s="14"/>
      <c r="Q6866" s="85"/>
      <c r="R6866" s="89"/>
    </row>
    <row r="6867" spans="13:18" x14ac:dyDescent="0.25">
      <c r="M6867" s="9"/>
      <c r="N6867" s="9"/>
      <c r="P6867" s="14"/>
      <c r="Q6867" s="85"/>
      <c r="R6867" s="89"/>
    </row>
    <row r="6868" spans="13:18" x14ac:dyDescent="0.25">
      <c r="M6868" s="9"/>
      <c r="N6868" s="9"/>
      <c r="P6868" s="14"/>
      <c r="Q6868" s="85"/>
      <c r="R6868" s="89"/>
    </row>
    <row r="6869" spans="13:18" x14ac:dyDescent="0.25">
      <c r="M6869" s="9"/>
      <c r="N6869" s="9"/>
      <c r="P6869" s="14"/>
      <c r="Q6869" s="85"/>
      <c r="R6869" s="89"/>
    </row>
    <row r="6870" spans="13:18" x14ac:dyDescent="0.25">
      <c r="M6870" s="9"/>
      <c r="N6870" s="9"/>
      <c r="P6870" s="14"/>
      <c r="Q6870" s="85"/>
      <c r="R6870" s="89"/>
    </row>
    <row r="6871" spans="13:18" x14ac:dyDescent="0.25">
      <c r="M6871" s="9"/>
      <c r="N6871" s="9"/>
      <c r="P6871" s="14"/>
      <c r="Q6871" s="85"/>
      <c r="R6871" s="89"/>
    </row>
    <row r="6872" spans="13:18" x14ac:dyDescent="0.25">
      <c r="M6872" s="9"/>
      <c r="N6872" s="9"/>
      <c r="P6872" s="14"/>
      <c r="Q6872" s="85"/>
      <c r="R6872" s="89"/>
    </row>
    <row r="6873" spans="13:18" x14ac:dyDescent="0.25">
      <c r="M6873" s="9"/>
      <c r="N6873" s="9"/>
      <c r="P6873" s="14"/>
      <c r="Q6873" s="85"/>
      <c r="R6873" s="89"/>
    </row>
    <row r="6874" spans="13:18" x14ac:dyDescent="0.25">
      <c r="M6874" s="9"/>
      <c r="N6874" s="9"/>
      <c r="P6874" s="14"/>
      <c r="Q6874" s="85"/>
      <c r="R6874" s="89"/>
    </row>
    <row r="6875" spans="13:18" x14ac:dyDescent="0.25">
      <c r="M6875" s="9"/>
      <c r="N6875" s="9"/>
      <c r="P6875" s="14"/>
      <c r="Q6875" s="85"/>
      <c r="R6875" s="89"/>
    </row>
    <row r="6876" spans="13:18" x14ac:dyDescent="0.25">
      <c r="M6876" s="9"/>
      <c r="N6876" s="9"/>
      <c r="P6876" s="14"/>
      <c r="Q6876" s="85"/>
      <c r="R6876" s="89"/>
    </row>
    <row r="6877" spans="13:18" x14ac:dyDescent="0.25">
      <c r="M6877" s="9"/>
      <c r="N6877" s="9"/>
      <c r="P6877" s="14"/>
      <c r="Q6877" s="85"/>
      <c r="R6877" s="89"/>
    </row>
    <row r="6878" spans="13:18" x14ac:dyDescent="0.25">
      <c r="M6878" s="9"/>
      <c r="N6878" s="9"/>
      <c r="P6878" s="14"/>
      <c r="Q6878" s="85"/>
      <c r="R6878" s="89"/>
    </row>
    <row r="6879" spans="13:18" x14ac:dyDescent="0.25">
      <c r="M6879" s="9"/>
      <c r="N6879" s="9"/>
      <c r="P6879" s="14"/>
      <c r="Q6879" s="85"/>
      <c r="R6879" s="89"/>
    </row>
    <row r="6880" spans="13:18" x14ac:dyDescent="0.25">
      <c r="M6880" s="9"/>
      <c r="N6880" s="9"/>
      <c r="P6880" s="14"/>
      <c r="Q6880" s="85"/>
      <c r="R6880" s="89"/>
    </row>
    <row r="6881" spans="13:18" x14ac:dyDescent="0.25">
      <c r="M6881" s="9"/>
      <c r="N6881" s="9"/>
      <c r="P6881" s="14"/>
      <c r="Q6881" s="85"/>
      <c r="R6881" s="89"/>
    </row>
    <row r="6882" spans="13:18" x14ac:dyDescent="0.25">
      <c r="M6882" s="9"/>
      <c r="N6882" s="9"/>
      <c r="P6882" s="14"/>
      <c r="Q6882" s="85"/>
      <c r="R6882" s="89"/>
    </row>
    <row r="6883" spans="13:18" x14ac:dyDescent="0.25">
      <c r="M6883" s="9"/>
      <c r="N6883" s="9"/>
      <c r="P6883" s="14"/>
      <c r="Q6883" s="85"/>
      <c r="R6883" s="89"/>
    </row>
    <row r="6884" spans="13:18" x14ac:dyDescent="0.25">
      <c r="M6884" s="9"/>
      <c r="N6884" s="9"/>
      <c r="P6884" s="14"/>
      <c r="Q6884" s="85"/>
      <c r="R6884" s="89"/>
    </row>
    <row r="6885" spans="13:18" x14ac:dyDescent="0.25">
      <c r="M6885" s="9"/>
      <c r="N6885" s="9"/>
      <c r="P6885" s="14"/>
      <c r="Q6885" s="85"/>
      <c r="R6885" s="89"/>
    </row>
    <row r="6886" spans="13:18" x14ac:dyDescent="0.25">
      <c r="M6886" s="9"/>
      <c r="N6886" s="9"/>
      <c r="P6886" s="14"/>
      <c r="Q6886" s="85"/>
      <c r="R6886" s="89"/>
    </row>
    <row r="6887" spans="13:18" x14ac:dyDescent="0.25">
      <c r="M6887" s="9"/>
      <c r="N6887" s="9"/>
      <c r="P6887" s="14"/>
      <c r="Q6887" s="85"/>
      <c r="R6887" s="89"/>
    </row>
    <row r="6888" spans="13:18" x14ac:dyDescent="0.25">
      <c r="M6888" s="9"/>
      <c r="N6888" s="9"/>
      <c r="P6888" s="14"/>
      <c r="Q6888" s="85"/>
      <c r="R6888" s="89"/>
    </row>
    <row r="6889" spans="13:18" x14ac:dyDescent="0.25">
      <c r="M6889" s="9"/>
      <c r="N6889" s="9"/>
      <c r="P6889" s="14"/>
      <c r="Q6889" s="85"/>
      <c r="R6889" s="89"/>
    </row>
    <row r="6890" spans="13:18" x14ac:dyDescent="0.25">
      <c r="M6890" s="9"/>
      <c r="N6890" s="9"/>
      <c r="P6890" s="14"/>
      <c r="Q6890" s="85"/>
      <c r="R6890" s="89"/>
    </row>
    <row r="6891" spans="13:18" x14ac:dyDescent="0.25">
      <c r="M6891" s="9"/>
      <c r="N6891" s="9"/>
      <c r="P6891" s="14"/>
      <c r="Q6891" s="85"/>
      <c r="R6891" s="89"/>
    </row>
    <row r="6892" spans="13:18" x14ac:dyDescent="0.25">
      <c r="M6892" s="9"/>
      <c r="N6892" s="9"/>
      <c r="P6892" s="14"/>
      <c r="Q6892" s="85"/>
      <c r="R6892" s="89"/>
    </row>
    <row r="6893" spans="13:18" x14ac:dyDescent="0.25">
      <c r="M6893" s="9"/>
      <c r="N6893" s="9"/>
      <c r="P6893" s="14"/>
      <c r="Q6893" s="85"/>
      <c r="R6893" s="89"/>
    </row>
    <row r="6894" spans="13:18" x14ac:dyDescent="0.25">
      <c r="M6894" s="9"/>
      <c r="N6894" s="9"/>
      <c r="P6894" s="14"/>
      <c r="Q6894" s="85"/>
      <c r="R6894" s="89"/>
    </row>
    <row r="6895" spans="13:18" x14ac:dyDescent="0.25">
      <c r="M6895" s="9"/>
      <c r="N6895" s="9"/>
      <c r="P6895" s="14"/>
      <c r="Q6895" s="85"/>
      <c r="R6895" s="89"/>
    </row>
    <row r="6896" spans="13:18" x14ac:dyDescent="0.25">
      <c r="M6896" s="9"/>
      <c r="N6896" s="9"/>
      <c r="P6896" s="14"/>
      <c r="Q6896" s="85"/>
      <c r="R6896" s="89"/>
    </row>
    <row r="6897" spans="13:18" x14ac:dyDescent="0.25">
      <c r="M6897" s="9"/>
      <c r="N6897" s="9"/>
      <c r="P6897" s="14"/>
      <c r="Q6897" s="85"/>
      <c r="R6897" s="89"/>
    </row>
    <row r="6898" spans="13:18" x14ac:dyDescent="0.25">
      <c r="M6898" s="9"/>
      <c r="N6898" s="9"/>
      <c r="P6898" s="14"/>
      <c r="Q6898" s="85"/>
      <c r="R6898" s="89"/>
    </row>
    <row r="6899" spans="13:18" x14ac:dyDescent="0.25">
      <c r="M6899" s="9"/>
      <c r="N6899" s="9"/>
      <c r="P6899" s="14"/>
      <c r="Q6899" s="85"/>
      <c r="R6899" s="89"/>
    </row>
    <row r="6900" spans="13:18" x14ac:dyDescent="0.25">
      <c r="M6900" s="9"/>
      <c r="N6900" s="9"/>
      <c r="P6900" s="14"/>
      <c r="Q6900" s="85"/>
      <c r="R6900" s="89"/>
    </row>
    <row r="6901" spans="13:18" x14ac:dyDescent="0.25">
      <c r="M6901" s="9"/>
      <c r="N6901" s="9"/>
      <c r="P6901" s="14"/>
      <c r="Q6901" s="85"/>
      <c r="R6901" s="89"/>
    </row>
    <row r="6902" spans="13:18" x14ac:dyDescent="0.25">
      <c r="M6902" s="9"/>
      <c r="N6902" s="9"/>
      <c r="P6902" s="14"/>
      <c r="Q6902" s="85"/>
      <c r="R6902" s="89"/>
    </row>
    <row r="6903" spans="13:18" x14ac:dyDescent="0.25">
      <c r="M6903" s="9"/>
      <c r="N6903" s="9"/>
      <c r="P6903" s="14"/>
      <c r="Q6903" s="85"/>
      <c r="R6903" s="89"/>
    </row>
    <row r="6904" spans="13:18" x14ac:dyDescent="0.25">
      <c r="M6904" s="9"/>
      <c r="N6904" s="9"/>
      <c r="P6904" s="14"/>
      <c r="Q6904" s="85"/>
      <c r="R6904" s="89"/>
    </row>
    <row r="6905" spans="13:18" x14ac:dyDescent="0.25">
      <c r="M6905" s="9"/>
      <c r="N6905" s="9"/>
      <c r="P6905" s="14"/>
      <c r="Q6905" s="85"/>
      <c r="R6905" s="89"/>
    </row>
    <row r="6906" spans="13:18" x14ac:dyDescent="0.25">
      <c r="M6906" s="9"/>
      <c r="N6906" s="9"/>
      <c r="P6906" s="14"/>
      <c r="Q6906" s="85"/>
      <c r="R6906" s="89"/>
    </row>
    <row r="6907" spans="13:18" x14ac:dyDescent="0.25">
      <c r="M6907" s="9"/>
      <c r="N6907" s="9"/>
      <c r="P6907" s="14"/>
      <c r="Q6907" s="85"/>
      <c r="R6907" s="89"/>
    </row>
    <row r="6908" spans="13:18" x14ac:dyDescent="0.25">
      <c r="M6908" s="9"/>
      <c r="N6908" s="9"/>
      <c r="P6908" s="14"/>
      <c r="Q6908" s="85"/>
      <c r="R6908" s="89"/>
    </row>
    <row r="6909" spans="13:18" x14ac:dyDescent="0.25">
      <c r="M6909" s="9"/>
      <c r="N6909" s="9"/>
      <c r="P6909" s="14"/>
      <c r="Q6909" s="85"/>
      <c r="R6909" s="89"/>
    </row>
    <row r="6910" spans="13:18" x14ac:dyDescent="0.25">
      <c r="M6910" s="9"/>
      <c r="N6910" s="9"/>
      <c r="P6910" s="14"/>
      <c r="Q6910" s="85"/>
      <c r="R6910" s="89"/>
    </row>
    <row r="6911" spans="13:18" x14ac:dyDescent="0.25">
      <c r="M6911" s="9"/>
      <c r="N6911" s="9"/>
      <c r="P6911" s="14"/>
      <c r="Q6911" s="85"/>
      <c r="R6911" s="89"/>
    </row>
    <row r="6912" spans="13:18" x14ac:dyDescent="0.25">
      <c r="M6912" s="9"/>
      <c r="N6912" s="9"/>
      <c r="P6912" s="14"/>
      <c r="Q6912" s="85"/>
      <c r="R6912" s="89"/>
    </row>
    <row r="6913" spans="13:18" x14ac:dyDescent="0.25">
      <c r="M6913" s="9"/>
      <c r="N6913" s="9"/>
      <c r="P6913" s="14"/>
      <c r="Q6913" s="85"/>
      <c r="R6913" s="89"/>
    </row>
    <row r="6914" spans="13:18" x14ac:dyDescent="0.25">
      <c r="M6914" s="9"/>
      <c r="N6914" s="9"/>
      <c r="P6914" s="14"/>
      <c r="Q6914" s="85"/>
      <c r="R6914" s="89"/>
    </row>
    <row r="6915" spans="13:18" x14ac:dyDescent="0.25">
      <c r="M6915" s="9"/>
      <c r="N6915" s="9"/>
      <c r="P6915" s="14"/>
      <c r="Q6915" s="85"/>
      <c r="R6915" s="89"/>
    </row>
    <row r="6916" spans="13:18" x14ac:dyDescent="0.25">
      <c r="M6916" s="9"/>
      <c r="N6916" s="9"/>
      <c r="P6916" s="14"/>
      <c r="Q6916" s="85"/>
      <c r="R6916" s="89"/>
    </row>
    <row r="6917" spans="13:18" x14ac:dyDescent="0.25">
      <c r="M6917" s="9"/>
      <c r="N6917" s="9"/>
      <c r="P6917" s="14"/>
      <c r="Q6917" s="85"/>
      <c r="R6917" s="89"/>
    </row>
    <row r="6918" spans="13:18" x14ac:dyDescent="0.25">
      <c r="M6918" s="9"/>
      <c r="N6918" s="9"/>
      <c r="P6918" s="14"/>
      <c r="Q6918" s="85"/>
      <c r="R6918" s="89"/>
    </row>
    <row r="6919" spans="13:18" x14ac:dyDescent="0.25">
      <c r="M6919" s="9"/>
      <c r="N6919" s="9"/>
      <c r="P6919" s="14"/>
      <c r="Q6919" s="85"/>
      <c r="R6919" s="89"/>
    </row>
    <row r="6920" spans="13:18" x14ac:dyDescent="0.25">
      <c r="M6920" s="9"/>
      <c r="N6920" s="9"/>
      <c r="P6920" s="14"/>
      <c r="Q6920" s="85"/>
      <c r="R6920" s="89"/>
    </row>
    <row r="6921" spans="13:18" x14ac:dyDescent="0.25">
      <c r="M6921" s="9"/>
      <c r="N6921" s="9"/>
      <c r="P6921" s="14"/>
      <c r="Q6921" s="85"/>
      <c r="R6921" s="89"/>
    </row>
    <row r="6922" spans="13:18" x14ac:dyDescent="0.25">
      <c r="M6922" s="9"/>
      <c r="N6922" s="9"/>
      <c r="P6922" s="14"/>
      <c r="Q6922" s="85"/>
      <c r="R6922" s="89"/>
    </row>
    <row r="6923" spans="13:18" x14ac:dyDescent="0.25">
      <c r="M6923" s="9"/>
      <c r="N6923" s="9"/>
      <c r="P6923" s="14"/>
      <c r="Q6923" s="85"/>
      <c r="R6923" s="89"/>
    </row>
    <row r="6924" spans="13:18" x14ac:dyDescent="0.25">
      <c r="M6924" s="9"/>
      <c r="N6924" s="9"/>
      <c r="P6924" s="14"/>
      <c r="Q6924" s="85"/>
      <c r="R6924" s="89"/>
    </row>
    <row r="6925" spans="13:18" x14ac:dyDescent="0.25">
      <c r="M6925" s="9"/>
      <c r="N6925" s="9"/>
      <c r="P6925" s="14"/>
      <c r="Q6925" s="85"/>
      <c r="R6925" s="89"/>
    </row>
    <row r="6926" spans="13:18" x14ac:dyDescent="0.25">
      <c r="M6926" s="9"/>
      <c r="N6926" s="9"/>
      <c r="P6926" s="14"/>
      <c r="Q6926" s="85"/>
      <c r="R6926" s="89"/>
    </row>
    <row r="6927" spans="13:18" x14ac:dyDescent="0.25">
      <c r="M6927" s="9"/>
      <c r="N6927" s="9"/>
      <c r="P6927" s="14"/>
      <c r="Q6927" s="85"/>
      <c r="R6927" s="89"/>
    </row>
    <row r="6928" spans="13:18" x14ac:dyDescent="0.25">
      <c r="M6928" s="9"/>
      <c r="N6928" s="9"/>
      <c r="P6928" s="14"/>
      <c r="Q6928" s="85"/>
      <c r="R6928" s="89"/>
    </row>
    <row r="6929" spans="13:18" x14ac:dyDescent="0.25">
      <c r="M6929" s="9"/>
      <c r="N6929" s="9"/>
      <c r="P6929" s="14"/>
      <c r="Q6929" s="85"/>
      <c r="R6929" s="89"/>
    </row>
    <row r="6930" spans="13:18" x14ac:dyDescent="0.25">
      <c r="M6930" s="9"/>
      <c r="N6930" s="9"/>
      <c r="P6930" s="14"/>
      <c r="Q6930" s="85"/>
      <c r="R6930" s="89"/>
    </row>
    <row r="6931" spans="13:18" x14ac:dyDescent="0.25">
      <c r="M6931" s="9"/>
      <c r="N6931" s="9"/>
      <c r="P6931" s="14"/>
      <c r="Q6931" s="85"/>
      <c r="R6931" s="89"/>
    </row>
    <row r="6932" spans="13:18" x14ac:dyDescent="0.25">
      <c r="M6932" s="9"/>
      <c r="N6932" s="9"/>
      <c r="P6932" s="14"/>
      <c r="Q6932" s="85"/>
      <c r="R6932" s="89"/>
    </row>
    <row r="6933" spans="13:18" x14ac:dyDescent="0.25">
      <c r="M6933" s="9"/>
      <c r="N6933" s="9"/>
      <c r="P6933" s="14"/>
      <c r="Q6933" s="85"/>
      <c r="R6933" s="89"/>
    </row>
    <row r="6934" spans="13:18" x14ac:dyDescent="0.25">
      <c r="M6934" s="9"/>
      <c r="N6934" s="9"/>
      <c r="P6934" s="14"/>
      <c r="Q6934" s="85"/>
      <c r="R6934" s="89"/>
    </row>
    <row r="6935" spans="13:18" x14ac:dyDescent="0.25">
      <c r="M6935" s="9"/>
      <c r="N6935" s="9"/>
      <c r="P6935" s="14"/>
      <c r="Q6935" s="85"/>
      <c r="R6935" s="89"/>
    </row>
    <row r="6936" spans="13:18" x14ac:dyDescent="0.25">
      <c r="M6936" s="9"/>
      <c r="N6936" s="9"/>
      <c r="P6936" s="14"/>
      <c r="Q6936" s="85"/>
      <c r="R6936" s="89"/>
    </row>
    <row r="6937" spans="13:18" x14ac:dyDescent="0.25">
      <c r="M6937" s="9"/>
      <c r="N6937" s="9"/>
      <c r="P6937" s="14"/>
      <c r="Q6937" s="85"/>
      <c r="R6937" s="89"/>
    </row>
    <row r="6938" spans="13:18" x14ac:dyDescent="0.25">
      <c r="M6938" s="9"/>
      <c r="N6938" s="9"/>
      <c r="P6938" s="14"/>
      <c r="Q6938" s="85"/>
      <c r="R6938" s="89"/>
    </row>
    <row r="6939" spans="13:18" x14ac:dyDescent="0.25">
      <c r="M6939" s="9"/>
      <c r="N6939" s="9"/>
      <c r="P6939" s="14"/>
      <c r="Q6939" s="85"/>
      <c r="R6939" s="89"/>
    </row>
    <row r="6940" spans="13:18" x14ac:dyDescent="0.25">
      <c r="M6940" s="9"/>
      <c r="N6940" s="9"/>
      <c r="P6940" s="14"/>
      <c r="Q6940" s="85"/>
      <c r="R6940" s="89"/>
    </row>
    <row r="6941" spans="13:18" x14ac:dyDescent="0.25">
      <c r="M6941" s="9"/>
      <c r="N6941" s="9"/>
      <c r="P6941" s="14"/>
      <c r="Q6941" s="85"/>
      <c r="R6941" s="89"/>
    </row>
    <row r="6942" spans="13:18" x14ac:dyDescent="0.25">
      <c r="M6942" s="9"/>
      <c r="N6942" s="9"/>
      <c r="P6942" s="14"/>
      <c r="Q6942" s="85"/>
      <c r="R6942" s="89"/>
    </row>
    <row r="6943" spans="13:18" x14ac:dyDescent="0.25">
      <c r="M6943" s="9"/>
      <c r="N6943" s="9"/>
      <c r="P6943" s="14"/>
      <c r="Q6943" s="85"/>
      <c r="R6943" s="89"/>
    </row>
    <row r="6944" spans="13:18" x14ac:dyDescent="0.25">
      <c r="M6944" s="9"/>
      <c r="N6944" s="9"/>
      <c r="P6944" s="14"/>
      <c r="Q6944" s="85"/>
      <c r="R6944" s="89"/>
    </row>
    <row r="6945" spans="13:18" x14ac:dyDescent="0.25">
      <c r="M6945" s="9"/>
      <c r="N6945" s="9"/>
      <c r="P6945" s="14"/>
      <c r="Q6945" s="85"/>
      <c r="R6945" s="89"/>
    </row>
    <row r="6946" spans="13:18" x14ac:dyDescent="0.25">
      <c r="M6946" s="9"/>
      <c r="N6946" s="9"/>
      <c r="P6946" s="14"/>
      <c r="Q6946" s="85"/>
      <c r="R6946" s="89"/>
    </row>
    <row r="6947" spans="13:18" x14ac:dyDescent="0.25">
      <c r="M6947" s="9"/>
      <c r="N6947" s="9"/>
      <c r="P6947" s="14"/>
      <c r="Q6947" s="85"/>
      <c r="R6947" s="89"/>
    </row>
    <row r="6948" spans="13:18" x14ac:dyDescent="0.25">
      <c r="M6948" s="9"/>
      <c r="N6948" s="9"/>
      <c r="P6948" s="14"/>
      <c r="Q6948" s="85"/>
      <c r="R6948" s="89"/>
    </row>
    <row r="6949" spans="13:18" x14ac:dyDescent="0.25">
      <c r="M6949" s="9"/>
      <c r="N6949" s="9"/>
      <c r="P6949" s="14"/>
      <c r="Q6949" s="85"/>
      <c r="R6949" s="89"/>
    </row>
    <row r="6950" spans="13:18" x14ac:dyDescent="0.25">
      <c r="M6950" s="9"/>
      <c r="N6950" s="9"/>
      <c r="P6950" s="14"/>
      <c r="Q6950" s="85"/>
      <c r="R6950" s="89"/>
    </row>
    <row r="6951" spans="13:18" x14ac:dyDescent="0.25">
      <c r="M6951" s="9"/>
      <c r="N6951" s="9"/>
      <c r="P6951" s="14"/>
      <c r="Q6951" s="85"/>
      <c r="R6951" s="89"/>
    </row>
    <row r="6952" spans="13:18" x14ac:dyDescent="0.25">
      <c r="M6952" s="9"/>
      <c r="N6952" s="9"/>
      <c r="P6952" s="14"/>
      <c r="Q6952" s="85"/>
      <c r="R6952" s="89"/>
    </row>
    <row r="6953" spans="13:18" x14ac:dyDescent="0.25">
      <c r="M6953" s="9"/>
      <c r="N6953" s="9"/>
      <c r="P6953" s="14"/>
      <c r="Q6953" s="85"/>
      <c r="R6953" s="89"/>
    </row>
    <row r="6954" spans="13:18" x14ac:dyDescent="0.25">
      <c r="M6954" s="9"/>
      <c r="N6954" s="9"/>
      <c r="P6954" s="14"/>
      <c r="Q6954" s="85"/>
      <c r="R6954" s="89"/>
    </row>
    <row r="6955" spans="13:18" x14ac:dyDescent="0.25">
      <c r="M6955" s="9"/>
      <c r="N6955" s="9"/>
      <c r="P6955" s="14"/>
      <c r="Q6955" s="85"/>
      <c r="R6955" s="89"/>
    </row>
    <row r="6956" spans="13:18" x14ac:dyDescent="0.25">
      <c r="M6956" s="9"/>
      <c r="N6956" s="9"/>
      <c r="P6956" s="14"/>
      <c r="Q6956" s="85"/>
      <c r="R6956" s="89"/>
    </row>
    <row r="6957" spans="13:18" x14ac:dyDescent="0.25">
      <c r="M6957" s="9"/>
      <c r="N6957" s="9"/>
      <c r="P6957" s="14"/>
      <c r="Q6957" s="85"/>
      <c r="R6957" s="89"/>
    </row>
    <row r="6958" spans="13:18" x14ac:dyDescent="0.25">
      <c r="M6958" s="9"/>
      <c r="N6958" s="9"/>
      <c r="P6958" s="14"/>
      <c r="Q6958" s="85"/>
      <c r="R6958" s="89"/>
    </row>
    <row r="6959" spans="13:18" x14ac:dyDescent="0.25">
      <c r="M6959" s="9"/>
      <c r="N6959" s="9"/>
      <c r="P6959" s="14"/>
      <c r="Q6959" s="85"/>
      <c r="R6959" s="89"/>
    </row>
    <row r="6960" spans="13:18" x14ac:dyDescent="0.25">
      <c r="M6960" s="9"/>
      <c r="N6960" s="9"/>
      <c r="P6960" s="14"/>
      <c r="Q6960" s="85"/>
      <c r="R6960" s="89"/>
    </row>
    <row r="6961" spans="13:18" x14ac:dyDescent="0.25">
      <c r="M6961" s="9"/>
      <c r="N6961" s="9"/>
      <c r="P6961" s="14"/>
      <c r="Q6961" s="85"/>
      <c r="R6961" s="89"/>
    </row>
    <row r="6962" spans="13:18" x14ac:dyDescent="0.25">
      <c r="M6962" s="9"/>
      <c r="N6962" s="9"/>
      <c r="P6962" s="14"/>
      <c r="Q6962" s="85"/>
      <c r="R6962" s="89"/>
    </row>
    <row r="6963" spans="13:18" x14ac:dyDescent="0.25">
      <c r="M6963" s="9"/>
      <c r="N6963" s="9"/>
      <c r="P6963" s="14"/>
      <c r="Q6963" s="85"/>
      <c r="R6963" s="89"/>
    </row>
    <row r="6964" spans="13:18" x14ac:dyDescent="0.25">
      <c r="M6964" s="9"/>
      <c r="N6964" s="9"/>
      <c r="P6964" s="14"/>
      <c r="Q6964" s="85"/>
      <c r="R6964" s="89"/>
    </row>
    <row r="6965" spans="13:18" x14ac:dyDescent="0.25">
      <c r="M6965" s="9"/>
      <c r="N6965" s="9"/>
      <c r="P6965" s="14"/>
      <c r="Q6965" s="85"/>
      <c r="R6965" s="89"/>
    </row>
    <row r="6966" spans="13:18" x14ac:dyDescent="0.25">
      <c r="M6966" s="9"/>
      <c r="N6966" s="9"/>
      <c r="P6966" s="14"/>
      <c r="Q6966" s="85"/>
      <c r="R6966" s="89"/>
    </row>
    <row r="6967" spans="13:18" x14ac:dyDescent="0.25">
      <c r="M6967" s="9"/>
      <c r="N6967" s="9"/>
      <c r="P6967" s="14"/>
      <c r="Q6967" s="85"/>
      <c r="R6967" s="89"/>
    </row>
    <row r="6968" spans="13:18" x14ac:dyDescent="0.25">
      <c r="M6968" s="9"/>
      <c r="N6968" s="9"/>
      <c r="P6968" s="14"/>
      <c r="Q6968" s="85"/>
      <c r="R6968" s="89"/>
    </row>
    <row r="6969" spans="13:18" x14ac:dyDescent="0.25">
      <c r="M6969" s="9"/>
      <c r="N6969" s="9"/>
      <c r="P6969" s="14"/>
      <c r="Q6969" s="85"/>
      <c r="R6969" s="89"/>
    </row>
    <row r="6970" spans="13:18" x14ac:dyDescent="0.25">
      <c r="M6970" s="9"/>
      <c r="N6970" s="9"/>
      <c r="P6970" s="14"/>
      <c r="Q6970" s="85"/>
      <c r="R6970" s="89"/>
    </row>
    <row r="6971" spans="13:18" x14ac:dyDescent="0.25">
      <c r="M6971" s="9"/>
      <c r="N6971" s="9"/>
      <c r="P6971" s="14"/>
      <c r="Q6971" s="85"/>
      <c r="R6971" s="89"/>
    </row>
    <row r="6972" spans="13:18" x14ac:dyDescent="0.25">
      <c r="M6972" s="9"/>
      <c r="N6972" s="9"/>
      <c r="P6972" s="14"/>
      <c r="Q6972" s="85"/>
      <c r="R6972" s="89"/>
    </row>
    <row r="6973" spans="13:18" x14ac:dyDescent="0.25">
      <c r="M6973" s="9"/>
      <c r="N6973" s="9"/>
      <c r="P6973" s="14"/>
      <c r="Q6973" s="85"/>
      <c r="R6973" s="89"/>
    </row>
    <row r="6974" spans="13:18" x14ac:dyDescent="0.25">
      <c r="M6974" s="9"/>
      <c r="N6974" s="9"/>
      <c r="P6974" s="14"/>
      <c r="Q6974" s="85"/>
      <c r="R6974" s="89"/>
    </row>
    <row r="6975" spans="13:18" x14ac:dyDescent="0.25">
      <c r="M6975" s="9"/>
      <c r="N6975" s="9"/>
      <c r="P6975" s="14"/>
      <c r="Q6975" s="85"/>
      <c r="R6975" s="89"/>
    </row>
    <row r="6976" spans="13:18" x14ac:dyDescent="0.25">
      <c r="M6976" s="9"/>
      <c r="N6976" s="9"/>
      <c r="P6976" s="14"/>
      <c r="Q6976" s="85"/>
      <c r="R6976" s="89"/>
    </row>
    <row r="6977" spans="13:18" x14ac:dyDescent="0.25">
      <c r="M6977" s="9"/>
      <c r="N6977" s="9"/>
      <c r="P6977" s="14"/>
      <c r="Q6977" s="85"/>
      <c r="R6977" s="89"/>
    </row>
    <row r="6978" spans="13:18" x14ac:dyDescent="0.25">
      <c r="M6978" s="9"/>
      <c r="N6978" s="9"/>
      <c r="P6978" s="14"/>
      <c r="Q6978" s="85"/>
      <c r="R6978" s="89"/>
    </row>
    <row r="6979" spans="13:18" x14ac:dyDescent="0.25">
      <c r="M6979" s="9"/>
      <c r="N6979" s="9"/>
      <c r="P6979" s="14"/>
      <c r="Q6979" s="85"/>
      <c r="R6979" s="89"/>
    </row>
    <row r="6980" spans="13:18" x14ac:dyDescent="0.25">
      <c r="M6980" s="9"/>
      <c r="N6980" s="9"/>
      <c r="P6980" s="14"/>
      <c r="Q6980" s="85"/>
      <c r="R6980" s="89"/>
    </row>
    <row r="6981" spans="13:18" x14ac:dyDescent="0.25">
      <c r="M6981" s="9"/>
      <c r="N6981" s="9"/>
      <c r="P6981" s="14"/>
      <c r="Q6981" s="85"/>
      <c r="R6981" s="89"/>
    </row>
    <row r="6982" spans="13:18" x14ac:dyDescent="0.25">
      <c r="M6982" s="9"/>
      <c r="N6982" s="9"/>
      <c r="P6982" s="14"/>
      <c r="Q6982" s="85"/>
      <c r="R6982" s="89"/>
    </row>
    <row r="6983" spans="13:18" x14ac:dyDescent="0.25">
      <c r="M6983" s="9"/>
      <c r="N6983" s="9"/>
      <c r="P6983" s="14"/>
      <c r="Q6983" s="85"/>
      <c r="R6983" s="89"/>
    </row>
    <row r="6984" spans="13:18" x14ac:dyDescent="0.25">
      <c r="M6984" s="9"/>
      <c r="N6984" s="9"/>
      <c r="P6984" s="14"/>
      <c r="Q6984" s="85"/>
      <c r="R6984" s="89"/>
    </row>
    <row r="6985" spans="13:18" x14ac:dyDescent="0.25">
      <c r="M6985" s="9"/>
      <c r="N6985" s="9"/>
      <c r="P6985" s="14"/>
      <c r="Q6985" s="85"/>
      <c r="R6985" s="89"/>
    </row>
    <row r="6986" spans="13:18" x14ac:dyDescent="0.25">
      <c r="M6986" s="9"/>
      <c r="N6986" s="9"/>
      <c r="P6986" s="14"/>
      <c r="Q6986" s="85"/>
      <c r="R6986" s="89"/>
    </row>
    <row r="6987" spans="13:18" x14ac:dyDescent="0.25">
      <c r="M6987" s="9"/>
      <c r="N6987" s="9"/>
      <c r="P6987" s="14"/>
      <c r="Q6987" s="85"/>
      <c r="R6987" s="89"/>
    </row>
    <row r="6988" spans="13:18" x14ac:dyDescent="0.25">
      <c r="M6988" s="9"/>
      <c r="N6988" s="9"/>
      <c r="P6988" s="14"/>
      <c r="Q6988" s="85"/>
      <c r="R6988" s="89"/>
    </row>
    <row r="6989" spans="13:18" x14ac:dyDescent="0.25">
      <c r="M6989" s="9"/>
      <c r="N6989" s="9"/>
      <c r="P6989" s="14"/>
      <c r="Q6989" s="85"/>
      <c r="R6989" s="89"/>
    </row>
    <row r="6990" spans="13:18" x14ac:dyDescent="0.25">
      <c r="M6990" s="9"/>
      <c r="N6990" s="9"/>
      <c r="P6990" s="14"/>
      <c r="Q6990" s="85"/>
      <c r="R6990" s="89"/>
    </row>
    <row r="6991" spans="13:18" x14ac:dyDescent="0.25">
      <c r="M6991" s="9"/>
      <c r="N6991" s="9"/>
      <c r="P6991" s="14"/>
      <c r="Q6991" s="85"/>
      <c r="R6991" s="89"/>
    </row>
    <row r="6992" spans="13:18" x14ac:dyDescent="0.25">
      <c r="M6992" s="9"/>
      <c r="N6992" s="9"/>
      <c r="P6992" s="14"/>
      <c r="Q6992" s="85"/>
      <c r="R6992" s="89"/>
    </row>
    <row r="6993" spans="13:18" x14ac:dyDescent="0.25">
      <c r="M6993" s="9"/>
      <c r="N6993" s="9"/>
      <c r="P6993" s="14"/>
      <c r="Q6993" s="85"/>
      <c r="R6993" s="89"/>
    </row>
    <row r="6994" spans="13:18" x14ac:dyDescent="0.25">
      <c r="M6994" s="9"/>
      <c r="N6994" s="9"/>
      <c r="P6994" s="14"/>
      <c r="Q6994" s="85"/>
      <c r="R6994" s="89"/>
    </row>
    <row r="6995" spans="13:18" x14ac:dyDescent="0.25">
      <c r="M6995" s="9"/>
      <c r="N6995" s="9"/>
      <c r="P6995" s="14"/>
      <c r="Q6995" s="85"/>
      <c r="R6995" s="89"/>
    </row>
    <row r="6996" spans="13:18" x14ac:dyDescent="0.25">
      <c r="M6996" s="9"/>
      <c r="N6996" s="9"/>
      <c r="P6996" s="14"/>
      <c r="Q6996" s="85"/>
      <c r="R6996" s="89"/>
    </row>
    <row r="6997" spans="13:18" x14ac:dyDescent="0.25">
      <c r="M6997" s="9"/>
      <c r="N6997" s="9"/>
      <c r="P6997" s="14"/>
      <c r="Q6997" s="85"/>
      <c r="R6997" s="89"/>
    </row>
    <row r="6998" spans="13:18" x14ac:dyDescent="0.25">
      <c r="M6998" s="9"/>
      <c r="N6998" s="9"/>
      <c r="P6998" s="14"/>
      <c r="Q6998" s="85"/>
      <c r="R6998" s="89"/>
    </row>
    <row r="6999" spans="13:18" x14ac:dyDescent="0.25">
      <c r="M6999" s="9"/>
      <c r="N6999" s="9"/>
      <c r="P6999" s="14"/>
      <c r="Q6999" s="85"/>
      <c r="R6999" s="89"/>
    </row>
    <row r="7000" spans="13:18" x14ac:dyDescent="0.25">
      <c r="M7000" s="9"/>
      <c r="N7000" s="9"/>
      <c r="P7000" s="14"/>
      <c r="Q7000" s="85"/>
      <c r="R7000" s="89"/>
    </row>
    <row r="7001" spans="13:18" x14ac:dyDescent="0.25">
      <c r="M7001" s="9"/>
      <c r="N7001" s="9"/>
      <c r="P7001" s="14"/>
      <c r="Q7001" s="85"/>
      <c r="R7001" s="89"/>
    </row>
    <row r="7002" spans="13:18" x14ac:dyDescent="0.25">
      <c r="M7002" s="9"/>
      <c r="N7002" s="9"/>
      <c r="P7002" s="14"/>
      <c r="Q7002" s="85"/>
      <c r="R7002" s="89"/>
    </row>
    <row r="7003" spans="13:18" x14ac:dyDescent="0.25">
      <c r="M7003" s="9"/>
      <c r="N7003" s="9"/>
      <c r="P7003" s="14"/>
      <c r="Q7003" s="85"/>
      <c r="R7003" s="89"/>
    </row>
    <row r="7004" spans="13:18" x14ac:dyDescent="0.25">
      <c r="M7004" s="9"/>
      <c r="N7004" s="9"/>
      <c r="P7004" s="14"/>
      <c r="Q7004" s="85"/>
      <c r="R7004" s="89"/>
    </row>
    <row r="7005" spans="13:18" x14ac:dyDescent="0.25">
      <c r="M7005" s="9"/>
      <c r="N7005" s="9"/>
      <c r="P7005" s="14"/>
      <c r="Q7005" s="85"/>
      <c r="R7005" s="89"/>
    </row>
    <row r="7006" spans="13:18" x14ac:dyDescent="0.25">
      <c r="M7006" s="9"/>
      <c r="N7006" s="9"/>
      <c r="P7006" s="14"/>
      <c r="Q7006" s="85"/>
      <c r="R7006" s="89"/>
    </row>
    <row r="7007" spans="13:18" x14ac:dyDescent="0.25">
      <c r="M7007" s="9"/>
      <c r="N7007" s="9"/>
      <c r="P7007" s="14"/>
      <c r="Q7007" s="85"/>
      <c r="R7007" s="89"/>
    </row>
    <row r="7008" spans="13:18" x14ac:dyDescent="0.25">
      <c r="M7008" s="9"/>
      <c r="N7008" s="9"/>
      <c r="P7008" s="14"/>
      <c r="Q7008" s="85"/>
      <c r="R7008" s="89"/>
    </row>
    <row r="7009" spans="13:18" x14ac:dyDescent="0.25">
      <c r="M7009" s="9"/>
      <c r="N7009" s="9"/>
      <c r="P7009" s="14"/>
      <c r="Q7009" s="85"/>
      <c r="R7009" s="89"/>
    </row>
    <row r="7010" spans="13:18" x14ac:dyDescent="0.25">
      <c r="M7010" s="9"/>
      <c r="N7010" s="9"/>
      <c r="P7010" s="14"/>
      <c r="Q7010" s="85"/>
      <c r="R7010" s="89"/>
    </row>
    <row r="7011" spans="13:18" x14ac:dyDescent="0.25">
      <c r="M7011" s="9"/>
      <c r="N7011" s="9"/>
      <c r="P7011" s="14"/>
      <c r="Q7011" s="85"/>
      <c r="R7011" s="89"/>
    </row>
    <row r="7012" spans="13:18" x14ac:dyDescent="0.25">
      <c r="M7012" s="9"/>
      <c r="N7012" s="9"/>
      <c r="P7012" s="14"/>
      <c r="Q7012" s="85"/>
      <c r="R7012" s="89"/>
    </row>
    <row r="7013" spans="13:18" x14ac:dyDescent="0.25">
      <c r="M7013" s="9"/>
      <c r="N7013" s="9"/>
      <c r="P7013" s="14"/>
      <c r="Q7013" s="85"/>
      <c r="R7013" s="89"/>
    </row>
    <row r="7014" spans="13:18" x14ac:dyDescent="0.25">
      <c r="M7014" s="9"/>
      <c r="N7014" s="9"/>
      <c r="P7014" s="14"/>
      <c r="Q7014" s="85"/>
      <c r="R7014" s="89"/>
    </row>
    <row r="7015" spans="13:18" x14ac:dyDescent="0.25">
      <c r="M7015" s="9"/>
      <c r="N7015" s="9"/>
      <c r="P7015" s="14"/>
      <c r="Q7015" s="85"/>
      <c r="R7015" s="89"/>
    </row>
    <row r="7016" spans="13:18" x14ac:dyDescent="0.25">
      <c r="M7016" s="9"/>
      <c r="N7016" s="9"/>
      <c r="P7016" s="14"/>
      <c r="Q7016" s="85"/>
      <c r="R7016" s="89"/>
    </row>
    <row r="7017" spans="13:18" x14ac:dyDescent="0.25">
      <c r="M7017" s="9"/>
      <c r="N7017" s="9"/>
      <c r="P7017" s="14"/>
      <c r="Q7017" s="85"/>
      <c r="R7017" s="89"/>
    </row>
    <row r="7018" spans="13:18" x14ac:dyDescent="0.25">
      <c r="M7018" s="9"/>
      <c r="N7018" s="9"/>
      <c r="P7018" s="14"/>
      <c r="Q7018" s="85"/>
      <c r="R7018" s="89"/>
    </row>
    <row r="7019" spans="13:18" x14ac:dyDescent="0.25">
      <c r="M7019" s="9"/>
      <c r="N7019" s="9"/>
      <c r="P7019" s="14"/>
      <c r="Q7019" s="85"/>
      <c r="R7019" s="89"/>
    </row>
    <row r="7020" spans="13:18" x14ac:dyDescent="0.25">
      <c r="M7020" s="9"/>
      <c r="N7020" s="9"/>
      <c r="P7020" s="14"/>
      <c r="Q7020" s="85"/>
      <c r="R7020" s="89"/>
    </row>
    <row r="7021" spans="13:18" x14ac:dyDescent="0.25">
      <c r="M7021" s="9"/>
      <c r="N7021" s="9"/>
      <c r="P7021" s="14"/>
      <c r="Q7021" s="85"/>
      <c r="R7021" s="89"/>
    </row>
    <row r="7022" spans="13:18" x14ac:dyDescent="0.25">
      <c r="M7022" s="9"/>
      <c r="N7022" s="9"/>
      <c r="P7022" s="14"/>
      <c r="Q7022" s="85"/>
      <c r="R7022" s="89"/>
    </row>
    <row r="7023" spans="13:18" x14ac:dyDescent="0.25">
      <c r="M7023" s="9"/>
      <c r="N7023" s="9"/>
      <c r="P7023" s="14"/>
      <c r="Q7023" s="85"/>
      <c r="R7023" s="89"/>
    </row>
    <row r="7024" spans="13:18" x14ac:dyDescent="0.25">
      <c r="M7024" s="9"/>
      <c r="N7024" s="9"/>
      <c r="P7024" s="14"/>
      <c r="Q7024" s="85"/>
      <c r="R7024" s="89"/>
    </row>
    <row r="7025" spans="13:18" x14ac:dyDescent="0.25">
      <c r="M7025" s="9"/>
      <c r="N7025" s="9"/>
      <c r="P7025" s="14"/>
      <c r="Q7025" s="85"/>
      <c r="R7025" s="89"/>
    </row>
    <row r="7026" spans="13:18" x14ac:dyDescent="0.25">
      <c r="M7026" s="9"/>
      <c r="N7026" s="9"/>
      <c r="P7026" s="14"/>
      <c r="Q7026" s="85"/>
      <c r="R7026" s="89"/>
    </row>
    <row r="7027" spans="13:18" x14ac:dyDescent="0.25">
      <c r="M7027" s="9"/>
      <c r="N7027" s="9"/>
      <c r="P7027" s="14"/>
      <c r="Q7027" s="85"/>
      <c r="R7027" s="89"/>
    </row>
    <row r="7028" spans="13:18" x14ac:dyDescent="0.25">
      <c r="M7028" s="9"/>
      <c r="N7028" s="9"/>
      <c r="P7028" s="14"/>
      <c r="Q7028" s="85"/>
      <c r="R7028" s="89"/>
    </row>
    <row r="7029" spans="13:18" x14ac:dyDescent="0.25">
      <c r="M7029" s="9"/>
      <c r="N7029" s="9"/>
      <c r="P7029" s="14"/>
      <c r="Q7029" s="85"/>
      <c r="R7029" s="89"/>
    </row>
    <row r="7030" spans="13:18" x14ac:dyDescent="0.25">
      <c r="M7030" s="9"/>
      <c r="N7030" s="9"/>
      <c r="P7030" s="14"/>
      <c r="Q7030" s="85"/>
      <c r="R7030" s="89"/>
    </row>
    <row r="7031" spans="13:18" x14ac:dyDescent="0.25">
      <c r="M7031" s="9"/>
      <c r="N7031" s="9"/>
      <c r="P7031" s="14"/>
      <c r="Q7031" s="85"/>
      <c r="R7031" s="89"/>
    </row>
    <row r="7032" spans="13:18" x14ac:dyDescent="0.25">
      <c r="M7032" s="9"/>
      <c r="N7032" s="9"/>
      <c r="P7032" s="14"/>
      <c r="Q7032" s="85"/>
      <c r="R7032" s="89"/>
    </row>
    <row r="7033" spans="13:18" x14ac:dyDescent="0.25">
      <c r="M7033" s="9"/>
      <c r="N7033" s="9"/>
      <c r="P7033" s="14"/>
      <c r="Q7033" s="85"/>
      <c r="R7033" s="89"/>
    </row>
    <row r="7034" spans="13:18" x14ac:dyDescent="0.25">
      <c r="M7034" s="9"/>
      <c r="N7034" s="9"/>
      <c r="P7034" s="14"/>
      <c r="Q7034" s="85"/>
      <c r="R7034" s="89"/>
    </row>
    <row r="7035" spans="13:18" x14ac:dyDescent="0.25">
      <c r="M7035" s="9"/>
      <c r="N7035" s="9"/>
      <c r="P7035" s="14"/>
      <c r="Q7035" s="85"/>
      <c r="R7035" s="89"/>
    </row>
    <row r="7036" spans="13:18" x14ac:dyDescent="0.25">
      <c r="M7036" s="9"/>
      <c r="N7036" s="9"/>
      <c r="P7036" s="14"/>
      <c r="Q7036" s="85"/>
      <c r="R7036" s="89"/>
    </row>
    <row r="7037" spans="13:18" x14ac:dyDescent="0.25">
      <c r="M7037" s="9"/>
      <c r="N7037" s="9"/>
      <c r="P7037" s="14"/>
      <c r="Q7037" s="85"/>
      <c r="R7037" s="89"/>
    </row>
    <row r="7038" spans="13:18" x14ac:dyDescent="0.25">
      <c r="M7038" s="9"/>
      <c r="N7038" s="9"/>
      <c r="P7038" s="14"/>
      <c r="Q7038" s="85"/>
      <c r="R7038" s="89"/>
    </row>
    <row r="7039" spans="13:18" x14ac:dyDescent="0.25">
      <c r="M7039" s="9"/>
      <c r="N7039" s="9"/>
      <c r="P7039" s="14"/>
      <c r="Q7039" s="85"/>
      <c r="R7039" s="89"/>
    </row>
    <row r="7040" spans="13:18" x14ac:dyDescent="0.25">
      <c r="M7040" s="9"/>
      <c r="N7040" s="9"/>
      <c r="P7040" s="14"/>
      <c r="Q7040" s="85"/>
      <c r="R7040" s="89"/>
    </row>
    <row r="7041" spans="13:18" x14ac:dyDescent="0.25">
      <c r="M7041" s="9"/>
      <c r="N7041" s="9"/>
      <c r="P7041" s="14"/>
      <c r="Q7041" s="85"/>
      <c r="R7041" s="89"/>
    </row>
    <row r="7042" spans="13:18" x14ac:dyDescent="0.25">
      <c r="M7042" s="9"/>
      <c r="N7042" s="9"/>
      <c r="P7042" s="14"/>
      <c r="Q7042" s="85"/>
      <c r="R7042" s="89"/>
    </row>
    <row r="7043" spans="13:18" x14ac:dyDescent="0.25">
      <c r="M7043" s="9"/>
      <c r="N7043" s="9"/>
      <c r="P7043" s="14"/>
      <c r="Q7043" s="85"/>
      <c r="R7043" s="89"/>
    </row>
    <row r="7044" spans="13:18" x14ac:dyDescent="0.25">
      <c r="M7044" s="9"/>
      <c r="N7044" s="9"/>
      <c r="P7044" s="14"/>
      <c r="Q7044" s="85"/>
      <c r="R7044" s="89"/>
    </row>
    <row r="7045" spans="13:18" x14ac:dyDescent="0.25">
      <c r="M7045" s="9"/>
      <c r="N7045" s="9"/>
      <c r="P7045" s="14"/>
      <c r="Q7045" s="85"/>
      <c r="R7045" s="89"/>
    </row>
    <row r="7046" spans="13:18" x14ac:dyDescent="0.25">
      <c r="M7046" s="9"/>
      <c r="N7046" s="9"/>
      <c r="P7046" s="14"/>
      <c r="Q7046" s="85"/>
      <c r="R7046" s="89"/>
    </row>
    <row r="7047" spans="13:18" x14ac:dyDescent="0.25">
      <c r="M7047" s="9"/>
      <c r="N7047" s="9"/>
      <c r="P7047" s="14"/>
      <c r="Q7047" s="85"/>
      <c r="R7047" s="89"/>
    </row>
    <row r="7048" spans="13:18" x14ac:dyDescent="0.25">
      <c r="M7048" s="9"/>
      <c r="N7048" s="9"/>
      <c r="P7048" s="14"/>
      <c r="Q7048" s="85"/>
      <c r="R7048" s="89"/>
    </row>
    <row r="7049" spans="13:18" x14ac:dyDescent="0.25">
      <c r="M7049" s="9"/>
      <c r="N7049" s="9"/>
      <c r="P7049" s="14"/>
      <c r="Q7049" s="85"/>
      <c r="R7049" s="89"/>
    </row>
    <row r="7050" spans="13:18" x14ac:dyDescent="0.25">
      <c r="M7050" s="9"/>
      <c r="N7050" s="9"/>
      <c r="P7050" s="14"/>
      <c r="Q7050" s="85"/>
      <c r="R7050" s="89"/>
    </row>
    <row r="7051" spans="13:18" x14ac:dyDescent="0.25">
      <c r="M7051" s="9"/>
      <c r="N7051" s="9"/>
      <c r="P7051" s="14"/>
      <c r="Q7051" s="85"/>
      <c r="R7051" s="89"/>
    </row>
    <row r="7052" spans="13:18" x14ac:dyDescent="0.25">
      <c r="M7052" s="9"/>
      <c r="N7052" s="9"/>
      <c r="P7052" s="14"/>
      <c r="Q7052" s="85"/>
      <c r="R7052" s="89"/>
    </row>
    <row r="7053" spans="13:18" x14ac:dyDescent="0.25">
      <c r="M7053" s="9"/>
      <c r="N7053" s="9"/>
      <c r="P7053" s="14"/>
      <c r="Q7053" s="85"/>
      <c r="R7053" s="89"/>
    </row>
    <row r="7054" spans="13:18" x14ac:dyDescent="0.25">
      <c r="M7054" s="9"/>
      <c r="N7054" s="9"/>
      <c r="P7054" s="14"/>
      <c r="Q7054" s="85"/>
      <c r="R7054" s="89"/>
    </row>
    <row r="7055" spans="13:18" x14ac:dyDescent="0.25">
      <c r="M7055" s="9"/>
      <c r="N7055" s="9"/>
      <c r="P7055" s="14"/>
      <c r="Q7055" s="85"/>
      <c r="R7055" s="89"/>
    </row>
    <row r="7056" spans="13:18" x14ac:dyDescent="0.25">
      <c r="M7056" s="9"/>
      <c r="N7056" s="9"/>
      <c r="P7056" s="14"/>
      <c r="Q7056" s="85"/>
      <c r="R7056" s="89"/>
    </row>
    <row r="7057" spans="13:18" x14ac:dyDescent="0.25">
      <c r="M7057" s="9"/>
      <c r="N7057" s="9"/>
      <c r="P7057" s="14"/>
      <c r="Q7057" s="85"/>
      <c r="R7057" s="89"/>
    </row>
    <row r="7058" spans="13:18" x14ac:dyDescent="0.25">
      <c r="M7058" s="9"/>
      <c r="N7058" s="9"/>
      <c r="P7058" s="14"/>
      <c r="Q7058" s="85"/>
      <c r="R7058" s="89"/>
    </row>
    <row r="7059" spans="13:18" x14ac:dyDescent="0.25">
      <c r="M7059" s="9"/>
      <c r="N7059" s="9"/>
      <c r="P7059" s="14"/>
      <c r="Q7059" s="85"/>
      <c r="R7059" s="89"/>
    </row>
    <row r="7060" spans="13:18" x14ac:dyDescent="0.25">
      <c r="M7060" s="9"/>
      <c r="N7060" s="9"/>
      <c r="P7060" s="14"/>
      <c r="Q7060" s="85"/>
      <c r="R7060" s="89"/>
    </row>
    <row r="7061" spans="13:18" x14ac:dyDescent="0.25">
      <c r="M7061" s="9"/>
      <c r="N7061" s="9"/>
      <c r="P7061" s="14"/>
      <c r="Q7061" s="85"/>
      <c r="R7061" s="89"/>
    </row>
    <row r="7062" spans="13:18" x14ac:dyDescent="0.25">
      <c r="M7062" s="9"/>
      <c r="N7062" s="9"/>
      <c r="P7062" s="14"/>
      <c r="Q7062" s="85"/>
      <c r="R7062" s="89"/>
    </row>
    <row r="7063" spans="13:18" x14ac:dyDescent="0.25">
      <c r="M7063" s="9"/>
      <c r="N7063" s="9"/>
      <c r="P7063" s="14"/>
      <c r="Q7063" s="85"/>
      <c r="R7063" s="89"/>
    </row>
    <row r="7064" spans="13:18" x14ac:dyDescent="0.25">
      <c r="M7064" s="9"/>
      <c r="N7064" s="9"/>
      <c r="P7064" s="14"/>
      <c r="Q7064" s="85"/>
      <c r="R7064" s="89"/>
    </row>
    <row r="7065" spans="13:18" x14ac:dyDescent="0.25">
      <c r="M7065" s="9"/>
      <c r="N7065" s="9"/>
      <c r="P7065" s="14"/>
      <c r="Q7065" s="85"/>
      <c r="R7065" s="89"/>
    </row>
    <row r="7066" spans="13:18" x14ac:dyDescent="0.25">
      <c r="M7066" s="9"/>
      <c r="N7066" s="9"/>
      <c r="P7066" s="14"/>
      <c r="Q7066" s="85"/>
      <c r="R7066" s="89"/>
    </row>
    <row r="7067" spans="13:18" x14ac:dyDescent="0.25">
      <c r="M7067" s="9"/>
      <c r="N7067" s="9"/>
      <c r="P7067" s="14"/>
      <c r="Q7067" s="85"/>
      <c r="R7067" s="89"/>
    </row>
    <row r="7068" spans="13:18" x14ac:dyDescent="0.25">
      <c r="M7068" s="9"/>
      <c r="N7068" s="9"/>
      <c r="P7068" s="14"/>
      <c r="Q7068" s="85"/>
      <c r="R7068" s="89"/>
    </row>
    <row r="7069" spans="13:18" x14ac:dyDescent="0.25">
      <c r="M7069" s="9"/>
      <c r="N7069" s="9"/>
      <c r="P7069" s="14"/>
      <c r="Q7069" s="85"/>
      <c r="R7069" s="89"/>
    </row>
    <row r="7070" spans="13:18" x14ac:dyDescent="0.25">
      <c r="M7070" s="9"/>
      <c r="N7070" s="9"/>
      <c r="P7070" s="14"/>
      <c r="Q7070" s="85"/>
      <c r="R7070" s="89"/>
    </row>
    <row r="7071" spans="13:18" x14ac:dyDescent="0.25">
      <c r="M7071" s="9"/>
      <c r="N7071" s="9"/>
      <c r="P7071" s="14"/>
      <c r="Q7071" s="85"/>
      <c r="R7071" s="89"/>
    </row>
    <row r="7072" spans="13:18" x14ac:dyDescent="0.25">
      <c r="M7072" s="9"/>
      <c r="N7072" s="9"/>
      <c r="P7072" s="14"/>
      <c r="Q7072" s="85"/>
      <c r="R7072" s="89"/>
    </row>
    <row r="7073" spans="13:18" x14ac:dyDescent="0.25">
      <c r="M7073" s="9"/>
      <c r="N7073" s="9"/>
      <c r="P7073" s="14"/>
      <c r="Q7073" s="85"/>
      <c r="R7073" s="89"/>
    </row>
    <row r="7074" spans="13:18" x14ac:dyDescent="0.25">
      <c r="M7074" s="9"/>
      <c r="N7074" s="9"/>
      <c r="P7074" s="14"/>
      <c r="Q7074" s="85"/>
      <c r="R7074" s="89"/>
    </row>
    <row r="7075" spans="13:18" x14ac:dyDescent="0.25">
      <c r="M7075" s="9"/>
      <c r="N7075" s="9"/>
      <c r="P7075" s="14"/>
      <c r="Q7075" s="85"/>
      <c r="R7075" s="89"/>
    </row>
    <row r="7076" spans="13:18" x14ac:dyDescent="0.25">
      <c r="M7076" s="9"/>
      <c r="N7076" s="9"/>
      <c r="P7076" s="14"/>
      <c r="Q7076" s="85"/>
      <c r="R7076" s="89"/>
    </row>
    <row r="7077" spans="13:18" x14ac:dyDescent="0.25">
      <c r="M7077" s="9"/>
      <c r="N7077" s="9"/>
      <c r="P7077" s="14"/>
      <c r="Q7077" s="85"/>
      <c r="R7077" s="89"/>
    </row>
    <row r="7078" spans="13:18" x14ac:dyDescent="0.25">
      <c r="M7078" s="9"/>
      <c r="N7078" s="9"/>
      <c r="P7078" s="14"/>
      <c r="Q7078" s="85"/>
      <c r="R7078" s="89"/>
    </row>
    <row r="7079" spans="13:18" x14ac:dyDescent="0.25">
      <c r="M7079" s="9"/>
      <c r="N7079" s="9"/>
      <c r="P7079" s="14"/>
      <c r="Q7079" s="85"/>
      <c r="R7079" s="89"/>
    </row>
    <row r="7080" spans="13:18" x14ac:dyDescent="0.25">
      <c r="M7080" s="9"/>
      <c r="N7080" s="9"/>
      <c r="P7080" s="14"/>
      <c r="Q7080" s="85"/>
      <c r="R7080" s="89"/>
    </row>
    <row r="7081" spans="13:18" x14ac:dyDescent="0.25">
      <c r="M7081" s="9"/>
      <c r="N7081" s="9"/>
      <c r="P7081" s="14"/>
      <c r="Q7081" s="85"/>
      <c r="R7081" s="89"/>
    </row>
    <row r="7082" spans="13:18" x14ac:dyDescent="0.25">
      <c r="M7082" s="9"/>
      <c r="N7082" s="9"/>
      <c r="P7082" s="14"/>
      <c r="Q7082" s="85"/>
      <c r="R7082" s="89"/>
    </row>
    <row r="7083" spans="13:18" x14ac:dyDescent="0.25">
      <c r="M7083" s="9"/>
      <c r="N7083" s="9"/>
      <c r="P7083" s="14"/>
      <c r="Q7083" s="85"/>
      <c r="R7083" s="89"/>
    </row>
    <row r="7084" spans="13:18" x14ac:dyDescent="0.25">
      <c r="M7084" s="9"/>
      <c r="N7084" s="9"/>
      <c r="P7084" s="14"/>
      <c r="Q7084" s="85"/>
      <c r="R7084" s="89"/>
    </row>
    <row r="7085" spans="13:18" x14ac:dyDescent="0.25">
      <c r="M7085" s="9"/>
      <c r="N7085" s="9"/>
      <c r="P7085" s="14"/>
      <c r="Q7085" s="85"/>
      <c r="R7085" s="89"/>
    </row>
    <row r="7086" spans="13:18" x14ac:dyDescent="0.25">
      <c r="M7086" s="9"/>
      <c r="N7086" s="9"/>
      <c r="P7086" s="14"/>
      <c r="Q7086" s="85"/>
      <c r="R7086" s="89"/>
    </row>
    <row r="7087" spans="13:18" x14ac:dyDescent="0.25">
      <c r="M7087" s="9"/>
      <c r="N7087" s="9"/>
      <c r="P7087" s="14"/>
      <c r="Q7087" s="85"/>
      <c r="R7087" s="89"/>
    </row>
    <row r="7088" spans="13:18" x14ac:dyDescent="0.25">
      <c r="M7088" s="9"/>
      <c r="N7088" s="9"/>
      <c r="P7088" s="14"/>
      <c r="Q7088" s="85"/>
      <c r="R7088" s="89"/>
    </row>
    <row r="7089" spans="13:18" x14ac:dyDescent="0.25">
      <c r="M7089" s="9"/>
      <c r="N7089" s="9"/>
      <c r="P7089" s="14"/>
      <c r="Q7089" s="85"/>
      <c r="R7089" s="89"/>
    </row>
    <row r="7090" spans="13:18" x14ac:dyDescent="0.25">
      <c r="M7090" s="9"/>
      <c r="N7090" s="9"/>
      <c r="P7090" s="14"/>
      <c r="Q7090" s="85"/>
      <c r="R7090" s="89"/>
    </row>
    <row r="7091" spans="13:18" x14ac:dyDescent="0.25">
      <c r="M7091" s="9"/>
      <c r="N7091" s="9"/>
      <c r="P7091" s="14"/>
      <c r="Q7091" s="85"/>
      <c r="R7091" s="89"/>
    </row>
    <row r="7092" spans="13:18" x14ac:dyDescent="0.25">
      <c r="M7092" s="9"/>
      <c r="N7092" s="9"/>
      <c r="P7092" s="14"/>
      <c r="Q7092" s="85"/>
      <c r="R7092" s="89"/>
    </row>
    <row r="7093" spans="13:18" x14ac:dyDescent="0.25">
      <c r="M7093" s="9"/>
      <c r="N7093" s="9"/>
      <c r="P7093" s="14"/>
      <c r="Q7093" s="85"/>
      <c r="R7093" s="89"/>
    </row>
    <row r="7094" spans="13:18" x14ac:dyDescent="0.25">
      <c r="M7094" s="9"/>
      <c r="N7094" s="9"/>
      <c r="P7094" s="14"/>
      <c r="Q7094" s="85"/>
      <c r="R7094" s="89"/>
    </row>
    <row r="7095" spans="13:18" x14ac:dyDescent="0.25">
      <c r="M7095" s="9"/>
      <c r="N7095" s="9"/>
      <c r="P7095" s="14"/>
      <c r="Q7095" s="85"/>
      <c r="R7095" s="89"/>
    </row>
    <row r="7096" spans="13:18" x14ac:dyDescent="0.25">
      <c r="M7096" s="9"/>
      <c r="N7096" s="9"/>
      <c r="P7096" s="14"/>
      <c r="Q7096" s="85"/>
      <c r="R7096" s="89"/>
    </row>
    <row r="7097" spans="13:18" x14ac:dyDescent="0.25">
      <c r="M7097" s="9"/>
      <c r="N7097" s="9"/>
      <c r="P7097" s="14"/>
      <c r="Q7097" s="85"/>
      <c r="R7097" s="89"/>
    </row>
    <row r="7098" spans="13:18" x14ac:dyDescent="0.25">
      <c r="M7098" s="9"/>
      <c r="N7098" s="9"/>
      <c r="P7098" s="14"/>
      <c r="Q7098" s="85"/>
      <c r="R7098" s="89"/>
    </row>
    <row r="7099" spans="13:18" x14ac:dyDescent="0.25">
      <c r="M7099" s="9"/>
      <c r="N7099" s="9"/>
      <c r="P7099" s="14"/>
      <c r="Q7099" s="85"/>
      <c r="R7099" s="89"/>
    </row>
    <row r="7100" spans="13:18" x14ac:dyDescent="0.25">
      <c r="M7100" s="9"/>
      <c r="N7100" s="9"/>
      <c r="P7100" s="14"/>
      <c r="Q7100" s="85"/>
      <c r="R7100" s="89"/>
    </row>
    <row r="7101" spans="13:18" x14ac:dyDescent="0.25">
      <c r="M7101" s="9"/>
      <c r="N7101" s="9"/>
      <c r="P7101" s="14"/>
      <c r="Q7101" s="85"/>
      <c r="R7101" s="89"/>
    </row>
    <row r="7102" spans="13:18" x14ac:dyDescent="0.25">
      <c r="M7102" s="9"/>
      <c r="N7102" s="9"/>
      <c r="P7102" s="14"/>
      <c r="Q7102" s="85"/>
      <c r="R7102" s="89"/>
    </row>
    <row r="7103" spans="13:18" x14ac:dyDescent="0.25">
      <c r="M7103" s="9"/>
      <c r="N7103" s="9"/>
      <c r="P7103" s="14"/>
      <c r="Q7103" s="85"/>
      <c r="R7103" s="89"/>
    </row>
    <row r="7104" spans="13:18" x14ac:dyDescent="0.25">
      <c r="M7104" s="9"/>
      <c r="N7104" s="9"/>
      <c r="P7104" s="14"/>
      <c r="Q7104" s="85"/>
      <c r="R7104" s="89"/>
    </row>
    <row r="7105" spans="13:18" x14ac:dyDescent="0.25">
      <c r="M7105" s="9"/>
      <c r="N7105" s="9"/>
      <c r="P7105" s="14"/>
      <c r="Q7105" s="85"/>
      <c r="R7105" s="89"/>
    </row>
    <row r="7106" spans="13:18" x14ac:dyDescent="0.25">
      <c r="M7106" s="9"/>
      <c r="N7106" s="9"/>
      <c r="P7106" s="14"/>
      <c r="Q7106" s="85"/>
      <c r="R7106" s="89"/>
    </row>
    <row r="7107" spans="13:18" x14ac:dyDescent="0.25">
      <c r="M7107" s="9"/>
      <c r="N7107" s="9"/>
      <c r="P7107" s="14"/>
      <c r="Q7107" s="85"/>
      <c r="R7107" s="89"/>
    </row>
    <row r="7108" spans="13:18" x14ac:dyDescent="0.25">
      <c r="M7108" s="9"/>
      <c r="N7108" s="9"/>
      <c r="P7108" s="14"/>
      <c r="Q7108" s="85"/>
      <c r="R7108" s="89"/>
    </row>
    <row r="7109" spans="13:18" x14ac:dyDescent="0.25">
      <c r="M7109" s="9"/>
      <c r="N7109" s="9"/>
      <c r="P7109" s="14"/>
      <c r="Q7109" s="85"/>
      <c r="R7109" s="89"/>
    </row>
    <row r="7110" spans="13:18" x14ac:dyDescent="0.25">
      <c r="M7110" s="9"/>
      <c r="N7110" s="9"/>
      <c r="P7110" s="14"/>
      <c r="Q7110" s="85"/>
      <c r="R7110" s="89"/>
    </row>
    <row r="7111" spans="13:18" x14ac:dyDescent="0.25">
      <c r="M7111" s="9"/>
      <c r="N7111" s="9"/>
      <c r="P7111" s="14"/>
      <c r="Q7111" s="85"/>
      <c r="R7111" s="89"/>
    </row>
    <row r="7112" spans="13:18" x14ac:dyDescent="0.25">
      <c r="M7112" s="9"/>
      <c r="N7112" s="9"/>
      <c r="P7112" s="14"/>
      <c r="Q7112" s="85"/>
      <c r="R7112" s="89"/>
    </row>
    <row r="7113" spans="13:18" x14ac:dyDescent="0.25">
      <c r="M7113" s="9"/>
      <c r="N7113" s="9"/>
      <c r="P7113" s="14"/>
      <c r="Q7113" s="85"/>
      <c r="R7113" s="89"/>
    </row>
    <row r="7114" spans="13:18" x14ac:dyDescent="0.25">
      <c r="M7114" s="9"/>
      <c r="N7114" s="9"/>
      <c r="P7114" s="14"/>
      <c r="Q7114" s="85"/>
      <c r="R7114" s="89"/>
    </row>
    <row r="7115" spans="13:18" x14ac:dyDescent="0.25">
      <c r="M7115" s="9"/>
      <c r="N7115" s="9"/>
      <c r="P7115" s="14"/>
      <c r="Q7115" s="85"/>
      <c r="R7115" s="89"/>
    </row>
    <row r="7116" spans="13:18" x14ac:dyDescent="0.25">
      <c r="M7116" s="9"/>
      <c r="N7116" s="9"/>
      <c r="P7116" s="14"/>
      <c r="Q7116" s="85"/>
      <c r="R7116" s="89"/>
    </row>
    <row r="7117" spans="13:18" x14ac:dyDescent="0.25">
      <c r="M7117" s="9"/>
      <c r="N7117" s="9"/>
      <c r="P7117" s="14"/>
      <c r="Q7117" s="85"/>
      <c r="R7117" s="89"/>
    </row>
    <row r="7118" spans="13:18" x14ac:dyDescent="0.25">
      <c r="M7118" s="9"/>
      <c r="N7118" s="9"/>
      <c r="P7118" s="14"/>
      <c r="Q7118" s="85"/>
      <c r="R7118" s="89"/>
    </row>
    <row r="7119" spans="13:18" x14ac:dyDescent="0.25">
      <c r="M7119" s="9"/>
      <c r="N7119" s="9"/>
      <c r="P7119" s="14"/>
      <c r="Q7119" s="85"/>
      <c r="R7119" s="89"/>
    </row>
    <row r="7120" spans="13:18" x14ac:dyDescent="0.25">
      <c r="M7120" s="9"/>
      <c r="N7120" s="9"/>
      <c r="P7120" s="14"/>
      <c r="Q7120" s="85"/>
      <c r="R7120" s="89"/>
    </row>
    <row r="7121" spans="13:18" x14ac:dyDescent="0.25">
      <c r="M7121" s="9"/>
      <c r="N7121" s="9"/>
      <c r="P7121" s="14"/>
      <c r="Q7121" s="85"/>
      <c r="R7121" s="89"/>
    </row>
    <row r="7122" spans="13:18" x14ac:dyDescent="0.25">
      <c r="M7122" s="9"/>
      <c r="N7122" s="9"/>
      <c r="P7122" s="14"/>
      <c r="Q7122" s="85"/>
      <c r="R7122" s="89"/>
    </row>
    <row r="7123" spans="13:18" x14ac:dyDescent="0.25">
      <c r="M7123" s="9"/>
      <c r="N7123" s="9"/>
      <c r="P7123" s="14"/>
      <c r="Q7123" s="85"/>
      <c r="R7123" s="89"/>
    </row>
    <row r="7124" spans="13:18" x14ac:dyDescent="0.25">
      <c r="M7124" s="9"/>
      <c r="N7124" s="9"/>
      <c r="P7124" s="14"/>
      <c r="Q7124" s="85"/>
      <c r="R7124" s="89"/>
    </row>
    <row r="7125" spans="13:18" x14ac:dyDescent="0.25">
      <c r="M7125" s="9"/>
      <c r="N7125" s="9"/>
      <c r="P7125" s="14"/>
      <c r="Q7125" s="85"/>
      <c r="R7125" s="89"/>
    </row>
    <row r="7126" spans="13:18" x14ac:dyDescent="0.25">
      <c r="M7126" s="9"/>
      <c r="N7126" s="9"/>
      <c r="P7126" s="14"/>
      <c r="Q7126" s="85"/>
      <c r="R7126" s="89"/>
    </row>
    <row r="7127" spans="13:18" x14ac:dyDescent="0.25">
      <c r="M7127" s="9"/>
      <c r="N7127" s="9"/>
      <c r="P7127" s="14"/>
      <c r="Q7127" s="85"/>
      <c r="R7127" s="89"/>
    </row>
    <row r="7128" spans="13:18" x14ac:dyDescent="0.25">
      <c r="M7128" s="9"/>
      <c r="N7128" s="9"/>
      <c r="P7128" s="14"/>
      <c r="Q7128" s="85"/>
      <c r="R7128" s="89"/>
    </row>
    <row r="7129" spans="13:18" x14ac:dyDescent="0.25">
      <c r="M7129" s="9"/>
      <c r="N7129" s="9"/>
      <c r="P7129" s="14"/>
      <c r="Q7129" s="85"/>
      <c r="R7129" s="89"/>
    </row>
    <row r="7130" spans="13:18" x14ac:dyDescent="0.25">
      <c r="M7130" s="9"/>
      <c r="N7130" s="9"/>
      <c r="P7130" s="14"/>
      <c r="Q7130" s="85"/>
      <c r="R7130" s="89"/>
    </row>
    <row r="7131" spans="13:18" x14ac:dyDescent="0.25">
      <c r="M7131" s="9"/>
      <c r="N7131" s="9"/>
      <c r="P7131" s="14"/>
      <c r="Q7131" s="85"/>
      <c r="R7131" s="89"/>
    </row>
    <row r="7132" spans="13:18" x14ac:dyDescent="0.25">
      <c r="M7132" s="9"/>
      <c r="N7132" s="9"/>
      <c r="P7132" s="14"/>
      <c r="Q7132" s="85"/>
      <c r="R7132" s="89"/>
    </row>
    <row r="7133" spans="13:18" x14ac:dyDescent="0.25">
      <c r="M7133" s="9"/>
      <c r="N7133" s="9"/>
      <c r="P7133" s="14"/>
      <c r="Q7133" s="85"/>
      <c r="R7133" s="89"/>
    </row>
    <row r="7134" spans="13:18" x14ac:dyDescent="0.25">
      <c r="M7134" s="9"/>
      <c r="N7134" s="9"/>
      <c r="P7134" s="14"/>
      <c r="Q7134" s="85"/>
      <c r="R7134" s="89"/>
    </row>
    <row r="7135" spans="13:18" x14ac:dyDescent="0.25">
      <c r="M7135" s="9"/>
      <c r="N7135" s="9"/>
      <c r="P7135" s="14"/>
      <c r="Q7135" s="85"/>
      <c r="R7135" s="89"/>
    </row>
    <row r="7136" spans="13:18" x14ac:dyDescent="0.25">
      <c r="M7136" s="9"/>
      <c r="N7136" s="9"/>
      <c r="P7136" s="14"/>
      <c r="Q7136" s="85"/>
      <c r="R7136" s="89"/>
    </row>
    <row r="7137" spans="13:18" x14ac:dyDescent="0.25">
      <c r="M7137" s="9"/>
      <c r="N7137" s="9"/>
      <c r="P7137" s="14"/>
      <c r="Q7137" s="85"/>
      <c r="R7137" s="89"/>
    </row>
    <row r="7138" spans="13:18" x14ac:dyDescent="0.25">
      <c r="M7138" s="9"/>
      <c r="N7138" s="9"/>
      <c r="P7138" s="14"/>
      <c r="Q7138" s="85"/>
      <c r="R7138" s="89"/>
    </row>
    <row r="7139" spans="13:18" x14ac:dyDescent="0.25">
      <c r="M7139" s="9"/>
      <c r="N7139" s="9"/>
      <c r="P7139" s="14"/>
      <c r="Q7139" s="85"/>
      <c r="R7139" s="89"/>
    </row>
    <row r="7140" spans="13:18" x14ac:dyDescent="0.25">
      <c r="M7140" s="9"/>
      <c r="N7140" s="9"/>
      <c r="P7140" s="14"/>
      <c r="Q7140" s="85"/>
      <c r="R7140" s="89"/>
    </row>
    <row r="7141" spans="13:18" x14ac:dyDescent="0.25">
      <c r="M7141" s="9"/>
      <c r="N7141" s="9"/>
      <c r="P7141" s="14"/>
      <c r="Q7141" s="85"/>
      <c r="R7141" s="89"/>
    </row>
    <row r="7142" spans="13:18" x14ac:dyDescent="0.25">
      <c r="M7142" s="9"/>
      <c r="N7142" s="9"/>
      <c r="P7142" s="14"/>
      <c r="Q7142" s="85"/>
      <c r="R7142" s="89"/>
    </row>
    <row r="7143" spans="13:18" x14ac:dyDescent="0.25">
      <c r="M7143" s="9"/>
      <c r="N7143" s="9"/>
      <c r="P7143" s="14"/>
      <c r="Q7143" s="85"/>
      <c r="R7143" s="89"/>
    </row>
    <row r="7144" spans="13:18" x14ac:dyDescent="0.25">
      <c r="M7144" s="9"/>
      <c r="N7144" s="9"/>
      <c r="P7144" s="14"/>
      <c r="Q7144" s="85"/>
      <c r="R7144" s="89"/>
    </row>
    <row r="7145" spans="13:18" x14ac:dyDescent="0.25">
      <c r="M7145" s="9"/>
      <c r="N7145" s="9"/>
      <c r="P7145" s="14"/>
      <c r="Q7145" s="85"/>
      <c r="R7145" s="89"/>
    </row>
    <row r="7146" spans="13:18" x14ac:dyDescent="0.25">
      <c r="M7146" s="9"/>
      <c r="N7146" s="9"/>
      <c r="P7146" s="14"/>
      <c r="Q7146" s="85"/>
      <c r="R7146" s="89"/>
    </row>
    <row r="7147" spans="13:18" x14ac:dyDescent="0.25">
      <c r="M7147" s="9"/>
      <c r="N7147" s="9"/>
      <c r="P7147" s="14"/>
      <c r="Q7147" s="85"/>
      <c r="R7147" s="89"/>
    </row>
    <row r="7148" spans="13:18" x14ac:dyDescent="0.25">
      <c r="M7148" s="9"/>
      <c r="N7148" s="9"/>
      <c r="P7148" s="14"/>
      <c r="Q7148" s="85"/>
      <c r="R7148" s="89"/>
    </row>
    <row r="7149" spans="13:18" x14ac:dyDescent="0.25">
      <c r="M7149" s="9"/>
      <c r="N7149" s="9"/>
      <c r="P7149" s="14"/>
      <c r="Q7149" s="85"/>
      <c r="R7149" s="89"/>
    </row>
    <row r="7150" spans="13:18" x14ac:dyDescent="0.25">
      <c r="M7150" s="9"/>
      <c r="N7150" s="9"/>
      <c r="P7150" s="14"/>
      <c r="Q7150" s="85"/>
      <c r="R7150" s="89"/>
    </row>
    <row r="7151" spans="13:18" x14ac:dyDescent="0.25">
      <c r="M7151" s="9"/>
      <c r="N7151" s="9"/>
      <c r="P7151" s="14"/>
      <c r="Q7151" s="85"/>
      <c r="R7151" s="89"/>
    </row>
    <row r="7152" spans="13:18" x14ac:dyDescent="0.25">
      <c r="M7152" s="9"/>
      <c r="N7152" s="9"/>
      <c r="P7152" s="14"/>
      <c r="Q7152" s="85"/>
      <c r="R7152" s="89"/>
    </row>
    <row r="7153" spans="13:18" x14ac:dyDescent="0.25">
      <c r="M7153" s="9"/>
      <c r="N7153" s="9"/>
      <c r="P7153" s="14"/>
      <c r="Q7153" s="85"/>
      <c r="R7153" s="89"/>
    </row>
    <row r="7154" spans="13:18" x14ac:dyDescent="0.25">
      <c r="M7154" s="9"/>
      <c r="N7154" s="9"/>
      <c r="P7154" s="14"/>
      <c r="Q7154" s="85"/>
      <c r="R7154" s="89"/>
    </row>
    <row r="7155" spans="13:18" x14ac:dyDescent="0.25">
      <c r="M7155" s="9"/>
      <c r="N7155" s="9"/>
      <c r="P7155" s="14"/>
      <c r="Q7155" s="85"/>
      <c r="R7155" s="89"/>
    </row>
    <row r="7156" spans="13:18" x14ac:dyDescent="0.25">
      <c r="M7156" s="9"/>
      <c r="N7156" s="9"/>
      <c r="P7156" s="14"/>
      <c r="Q7156" s="85"/>
      <c r="R7156" s="89"/>
    </row>
    <row r="7157" spans="13:18" x14ac:dyDescent="0.25">
      <c r="M7157" s="9"/>
      <c r="N7157" s="9"/>
      <c r="P7157" s="14"/>
      <c r="Q7157" s="85"/>
      <c r="R7157" s="89"/>
    </row>
    <row r="7158" spans="13:18" x14ac:dyDescent="0.25">
      <c r="M7158" s="9"/>
      <c r="N7158" s="9"/>
      <c r="P7158" s="14"/>
      <c r="Q7158" s="85"/>
      <c r="R7158" s="89"/>
    </row>
    <row r="7159" spans="13:18" x14ac:dyDescent="0.25">
      <c r="M7159" s="9"/>
      <c r="N7159" s="9"/>
      <c r="P7159" s="14"/>
      <c r="Q7159" s="85"/>
      <c r="R7159" s="89"/>
    </row>
    <row r="7160" spans="13:18" x14ac:dyDescent="0.25">
      <c r="M7160" s="9"/>
      <c r="N7160" s="9"/>
      <c r="P7160" s="14"/>
      <c r="Q7160" s="85"/>
      <c r="R7160" s="89"/>
    </row>
    <row r="7161" spans="13:18" x14ac:dyDescent="0.25">
      <c r="M7161" s="9"/>
      <c r="N7161" s="9"/>
      <c r="P7161" s="14"/>
      <c r="Q7161" s="85"/>
      <c r="R7161" s="89"/>
    </row>
    <row r="7162" spans="13:18" x14ac:dyDescent="0.25">
      <c r="M7162" s="9"/>
      <c r="N7162" s="9"/>
      <c r="P7162" s="14"/>
      <c r="Q7162" s="85"/>
      <c r="R7162" s="89"/>
    </row>
    <row r="7163" spans="13:18" x14ac:dyDescent="0.25">
      <c r="M7163" s="9"/>
      <c r="N7163" s="9"/>
      <c r="P7163" s="14"/>
      <c r="Q7163" s="85"/>
      <c r="R7163" s="89"/>
    </row>
    <row r="7164" spans="13:18" x14ac:dyDescent="0.25">
      <c r="M7164" s="9"/>
      <c r="N7164" s="9"/>
      <c r="P7164" s="14"/>
      <c r="Q7164" s="85"/>
      <c r="R7164" s="89"/>
    </row>
    <row r="7165" spans="13:18" x14ac:dyDescent="0.25">
      <c r="M7165" s="9"/>
      <c r="N7165" s="9"/>
      <c r="P7165" s="14"/>
      <c r="Q7165" s="85"/>
      <c r="R7165" s="89"/>
    </row>
    <row r="7166" spans="13:18" x14ac:dyDescent="0.25">
      <c r="M7166" s="9"/>
      <c r="N7166" s="9"/>
      <c r="P7166" s="14"/>
      <c r="Q7166" s="85"/>
      <c r="R7166" s="89"/>
    </row>
    <row r="7167" spans="13:18" x14ac:dyDescent="0.25">
      <c r="M7167" s="9"/>
      <c r="N7167" s="9"/>
      <c r="P7167" s="14"/>
      <c r="Q7167" s="85"/>
      <c r="R7167" s="89"/>
    </row>
    <row r="7168" spans="13:18" x14ac:dyDescent="0.25">
      <c r="M7168" s="9"/>
      <c r="N7168" s="9"/>
      <c r="P7168" s="14"/>
      <c r="Q7168" s="85"/>
      <c r="R7168" s="89"/>
    </row>
    <row r="7169" spans="13:18" x14ac:dyDescent="0.25">
      <c r="M7169" s="9"/>
      <c r="N7169" s="9"/>
      <c r="P7169" s="14"/>
      <c r="Q7169" s="85"/>
      <c r="R7169" s="89"/>
    </row>
    <row r="7170" spans="13:18" x14ac:dyDescent="0.25">
      <c r="M7170" s="9"/>
      <c r="N7170" s="9"/>
      <c r="P7170" s="14"/>
      <c r="Q7170" s="85"/>
      <c r="R7170" s="89"/>
    </row>
    <row r="7171" spans="13:18" x14ac:dyDescent="0.25">
      <c r="M7171" s="9"/>
      <c r="N7171" s="9"/>
      <c r="P7171" s="14"/>
      <c r="Q7171" s="85"/>
      <c r="R7171" s="89"/>
    </row>
    <row r="7172" spans="13:18" x14ac:dyDescent="0.25">
      <c r="M7172" s="9"/>
      <c r="N7172" s="9"/>
      <c r="P7172" s="14"/>
      <c r="Q7172" s="85"/>
      <c r="R7172" s="89"/>
    </row>
    <row r="7173" spans="13:18" x14ac:dyDescent="0.25">
      <c r="M7173" s="9"/>
      <c r="N7173" s="9"/>
      <c r="P7173" s="14"/>
      <c r="Q7173" s="85"/>
      <c r="R7173" s="89"/>
    </row>
    <row r="7174" spans="13:18" x14ac:dyDescent="0.25">
      <c r="M7174" s="9"/>
      <c r="N7174" s="9"/>
      <c r="P7174" s="14"/>
      <c r="Q7174" s="85"/>
      <c r="R7174" s="89"/>
    </row>
    <row r="7175" spans="13:18" x14ac:dyDescent="0.25">
      <c r="M7175" s="9"/>
      <c r="N7175" s="9"/>
      <c r="P7175" s="14"/>
      <c r="Q7175" s="85"/>
      <c r="R7175" s="89"/>
    </row>
    <row r="7176" spans="13:18" x14ac:dyDescent="0.25">
      <c r="M7176" s="9"/>
      <c r="N7176" s="9"/>
      <c r="P7176" s="14"/>
      <c r="Q7176" s="85"/>
      <c r="R7176" s="89"/>
    </row>
    <row r="7177" spans="13:18" x14ac:dyDescent="0.25">
      <c r="M7177" s="9"/>
      <c r="N7177" s="9"/>
      <c r="P7177" s="14"/>
      <c r="Q7177" s="85"/>
      <c r="R7177" s="89"/>
    </row>
    <row r="7178" spans="13:18" x14ac:dyDescent="0.25">
      <c r="M7178" s="9"/>
      <c r="N7178" s="9"/>
      <c r="P7178" s="14"/>
      <c r="Q7178" s="85"/>
      <c r="R7178" s="89"/>
    </row>
    <row r="7179" spans="13:18" x14ac:dyDescent="0.25">
      <c r="M7179" s="9"/>
      <c r="N7179" s="9"/>
      <c r="P7179" s="14"/>
      <c r="Q7179" s="85"/>
      <c r="R7179" s="89"/>
    </row>
    <row r="7180" spans="13:18" x14ac:dyDescent="0.25">
      <c r="M7180" s="9"/>
      <c r="N7180" s="9"/>
      <c r="P7180" s="14"/>
      <c r="Q7180" s="85"/>
      <c r="R7180" s="89"/>
    </row>
    <row r="7181" spans="13:18" x14ac:dyDescent="0.25">
      <c r="M7181" s="9"/>
      <c r="N7181" s="9"/>
      <c r="P7181" s="14"/>
      <c r="Q7181" s="85"/>
      <c r="R7181" s="89"/>
    </row>
    <row r="7182" spans="13:18" x14ac:dyDescent="0.25">
      <c r="M7182" s="9"/>
      <c r="N7182" s="9"/>
      <c r="P7182" s="14"/>
      <c r="Q7182" s="85"/>
      <c r="R7182" s="89"/>
    </row>
    <row r="7183" spans="13:18" x14ac:dyDescent="0.25">
      <c r="M7183" s="9"/>
      <c r="N7183" s="9"/>
      <c r="P7183" s="14"/>
      <c r="Q7183" s="85"/>
      <c r="R7183" s="89"/>
    </row>
    <row r="7184" spans="13:18" x14ac:dyDescent="0.25">
      <c r="M7184" s="9"/>
      <c r="N7184" s="9"/>
      <c r="P7184" s="14"/>
      <c r="Q7184" s="85"/>
      <c r="R7184" s="89"/>
    </row>
    <row r="7185" spans="13:18" x14ac:dyDescent="0.25">
      <c r="M7185" s="9"/>
      <c r="N7185" s="9"/>
      <c r="P7185" s="14"/>
      <c r="Q7185" s="85"/>
      <c r="R7185" s="89"/>
    </row>
    <row r="7186" spans="13:18" x14ac:dyDescent="0.25">
      <c r="M7186" s="9"/>
      <c r="N7186" s="9"/>
      <c r="P7186" s="14"/>
      <c r="Q7186" s="85"/>
      <c r="R7186" s="89"/>
    </row>
    <row r="7187" spans="13:18" x14ac:dyDescent="0.25">
      <c r="M7187" s="9"/>
      <c r="N7187" s="9"/>
      <c r="P7187" s="14"/>
      <c r="Q7187" s="85"/>
      <c r="R7187" s="89"/>
    </row>
    <row r="7188" spans="13:18" x14ac:dyDescent="0.25">
      <c r="M7188" s="9"/>
      <c r="N7188" s="9"/>
      <c r="P7188" s="14"/>
      <c r="Q7188" s="85"/>
      <c r="R7188" s="89"/>
    </row>
    <row r="7189" spans="13:18" x14ac:dyDescent="0.25">
      <c r="M7189" s="9"/>
      <c r="N7189" s="9"/>
      <c r="P7189" s="14"/>
      <c r="Q7189" s="85"/>
      <c r="R7189" s="89"/>
    </row>
    <row r="7190" spans="13:18" x14ac:dyDescent="0.25">
      <c r="M7190" s="9"/>
      <c r="N7190" s="9"/>
      <c r="P7190" s="14"/>
      <c r="Q7190" s="85"/>
      <c r="R7190" s="89"/>
    </row>
    <row r="7191" spans="13:18" x14ac:dyDescent="0.25">
      <c r="M7191" s="9"/>
      <c r="N7191" s="9"/>
      <c r="P7191" s="14"/>
      <c r="Q7191" s="85"/>
      <c r="R7191" s="89"/>
    </row>
    <row r="7192" spans="13:18" x14ac:dyDescent="0.25">
      <c r="M7192" s="9"/>
      <c r="N7192" s="9"/>
      <c r="P7192" s="14"/>
      <c r="Q7192" s="85"/>
      <c r="R7192" s="89"/>
    </row>
    <row r="7193" spans="13:18" x14ac:dyDescent="0.25">
      <c r="M7193" s="9"/>
      <c r="N7193" s="9"/>
      <c r="P7193" s="14"/>
      <c r="Q7193" s="85"/>
      <c r="R7193" s="89"/>
    </row>
    <row r="7194" spans="13:18" x14ac:dyDescent="0.25">
      <c r="M7194" s="9"/>
      <c r="N7194" s="9"/>
      <c r="P7194" s="14"/>
      <c r="Q7194" s="85"/>
      <c r="R7194" s="89"/>
    </row>
    <row r="7195" spans="13:18" x14ac:dyDescent="0.25">
      <c r="M7195" s="9"/>
      <c r="N7195" s="9"/>
      <c r="P7195" s="14"/>
      <c r="Q7195" s="85"/>
      <c r="R7195" s="89"/>
    </row>
    <row r="7196" spans="13:18" x14ac:dyDescent="0.25">
      <c r="M7196" s="9"/>
      <c r="N7196" s="9"/>
      <c r="P7196" s="14"/>
      <c r="Q7196" s="85"/>
      <c r="R7196" s="89"/>
    </row>
    <row r="7197" spans="13:18" x14ac:dyDescent="0.25">
      <c r="M7197" s="9"/>
      <c r="N7197" s="9"/>
      <c r="P7197" s="14"/>
      <c r="Q7197" s="85"/>
      <c r="R7197" s="89"/>
    </row>
    <row r="7198" spans="13:18" x14ac:dyDescent="0.25">
      <c r="M7198" s="9"/>
      <c r="N7198" s="9"/>
      <c r="P7198" s="14"/>
      <c r="Q7198" s="85"/>
      <c r="R7198" s="89"/>
    </row>
    <row r="7199" spans="13:18" x14ac:dyDescent="0.25">
      <c r="M7199" s="9"/>
      <c r="N7199" s="9"/>
      <c r="P7199" s="14"/>
      <c r="Q7199" s="85"/>
      <c r="R7199" s="89"/>
    </row>
    <row r="7200" spans="13:18" x14ac:dyDescent="0.25">
      <c r="M7200" s="9"/>
      <c r="N7200" s="9"/>
      <c r="P7200" s="14"/>
      <c r="Q7200" s="85"/>
      <c r="R7200" s="89"/>
    </row>
    <row r="7201" spans="13:18" x14ac:dyDescent="0.25">
      <c r="M7201" s="9"/>
      <c r="N7201" s="9"/>
      <c r="P7201" s="14"/>
      <c r="Q7201" s="85"/>
      <c r="R7201" s="89"/>
    </row>
    <row r="7202" spans="13:18" x14ac:dyDescent="0.25">
      <c r="M7202" s="9"/>
      <c r="N7202" s="9"/>
      <c r="P7202" s="14"/>
      <c r="Q7202" s="85"/>
      <c r="R7202" s="89"/>
    </row>
    <row r="7203" spans="13:18" x14ac:dyDescent="0.25">
      <c r="M7203" s="9"/>
      <c r="N7203" s="9"/>
      <c r="P7203" s="14"/>
      <c r="Q7203" s="85"/>
      <c r="R7203" s="89"/>
    </row>
    <row r="7204" spans="13:18" x14ac:dyDescent="0.25">
      <c r="M7204" s="9"/>
      <c r="N7204" s="9"/>
      <c r="P7204" s="14"/>
      <c r="Q7204" s="85"/>
      <c r="R7204" s="89"/>
    </row>
    <row r="7205" spans="13:18" x14ac:dyDescent="0.25">
      <c r="M7205" s="9"/>
      <c r="N7205" s="9"/>
      <c r="P7205" s="14"/>
      <c r="Q7205" s="85"/>
      <c r="R7205" s="89"/>
    </row>
    <row r="7206" spans="13:18" x14ac:dyDescent="0.25">
      <c r="M7206" s="9"/>
      <c r="N7206" s="9"/>
      <c r="P7206" s="14"/>
      <c r="Q7206" s="85"/>
      <c r="R7206" s="89"/>
    </row>
    <row r="7207" spans="13:18" x14ac:dyDescent="0.25">
      <c r="M7207" s="9"/>
      <c r="N7207" s="9"/>
      <c r="P7207" s="14"/>
      <c r="Q7207" s="85"/>
      <c r="R7207" s="89"/>
    </row>
    <row r="7208" spans="13:18" x14ac:dyDescent="0.25">
      <c r="M7208" s="9"/>
      <c r="N7208" s="9"/>
      <c r="P7208" s="14"/>
      <c r="Q7208" s="85"/>
      <c r="R7208" s="89"/>
    </row>
    <row r="7209" spans="13:18" x14ac:dyDescent="0.25">
      <c r="M7209" s="9"/>
      <c r="N7209" s="9"/>
      <c r="P7209" s="14"/>
      <c r="Q7209" s="85"/>
      <c r="R7209" s="89"/>
    </row>
    <row r="7210" spans="13:18" x14ac:dyDescent="0.25">
      <c r="M7210" s="9"/>
      <c r="N7210" s="9"/>
      <c r="P7210" s="14"/>
      <c r="Q7210" s="85"/>
      <c r="R7210" s="89"/>
    </row>
    <row r="7211" spans="13:18" x14ac:dyDescent="0.25">
      <c r="M7211" s="9"/>
      <c r="N7211" s="9"/>
      <c r="P7211" s="14"/>
      <c r="Q7211" s="85"/>
      <c r="R7211" s="89"/>
    </row>
    <row r="7212" spans="13:18" x14ac:dyDescent="0.25">
      <c r="M7212" s="9"/>
      <c r="N7212" s="9"/>
      <c r="P7212" s="14"/>
      <c r="Q7212" s="85"/>
      <c r="R7212" s="89"/>
    </row>
    <row r="7213" spans="13:18" x14ac:dyDescent="0.25">
      <c r="M7213" s="9"/>
      <c r="N7213" s="9"/>
      <c r="P7213" s="14"/>
      <c r="Q7213" s="85"/>
      <c r="R7213" s="89"/>
    </row>
    <row r="7214" spans="13:18" x14ac:dyDescent="0.25">
      <c r="M7214" s="9"/>
      <c r="N7214" s="9"/>
      <c r="P7214" s="14"/>
      <c r="Q7214" s="85"/>
      <c r="R7214" s="89"/>
    </row>
    <row r="7215" spans="13:18" x14ac:dyDescent="0.25">
      <c r="M7215" s="9"/>
      <c r="N7215" s="9"/>
      <c r="P7215" s="14"/>
      <c r="Q7215" s="85"/>
      <c r="R7215" s="89"/>
    </row>
    <row r="7216" spans="13:18" x14ac:dyDescent="0.25">
      <c r="M7216" s="9"/>
      <c r="N7216" s="9"/>
      <c r="P7216" s="14"/>
      <c r="Q7216" s="85"/>
      <c r="R7216" s="89"/>
    </row>
    <row r="7217" spans="13:18" x14ac:dyDescent="0.25">
      <c r="M7217" s="9"/>
      <c r="N7217" s="9"/>
      <c r="P7217" s="14"/>
      <c r="Q7217" s="85"/>
      <c r="R7217" s="89"/>
    </row>
    <row r="7218" spans="13:18" x14ac:dyDescent="0.25">
      <c r="M7218" s="9"/>
      <c r="N7218" s="9"/>
      <c r="P7218" s="14"/>
      <c r="Q7218" s="85"/>
      <c r="R7218" s="89"/>
    </row>
    <row r="7219" spans="13:18" x14ac:dyDescent="0.25">
      <c r="M7219" s="9"/>
      <c r="N7219" s="9"/>
      <c r="P7219" s="14"/>
      <c r="Q7219" s="85"/>
      <c r="R7219" s="89"/>
    </row>
    <row r="7220" spans="13:18" x14ac:dyDescent="0.25">
      <c r="M7220" s="9"/>
      <c r="N7220" s="9"/>
      <c r="P7220" s="14"/>
      <c r="Q7220" s="85"/>
      <c r="R7220" s="89"/>
    </row>
    <row r="7221" spans="13:18" x14ac:dyDescent="0.25">
      <c r="M7221" s="9"/>
      <c r="N7221" s="9"/>
      <c r="P7221" s="14"/>
      <c r="Q7221" s="85"/>
      <c r="R7221" s="89"/>
    </row>
    <row r="7222" spans="13:18" x14ac:dyDescent="0.25">
      <c r="M7222" s="9"/>
      <c r="N7222" s="9"/>
      <c r="P7222" s="14"/>
      <c r="Q7222" s="85"/>
      <c r="R7222" s="89"/>
    </row>
    <row r="7223" spans="13:18" x14ac:dyDescent="0.25">
      <c r="M7223" s="9"/>
      <c r="N7223" s="9"/>
      <c r="P7223" s="14"/>
      <c r="Q7223" s="85"/>
      <c r="R7223" s="89"/>
    </row>
    <row r="7224" spans="13:18" x14ac:dyDescent="0.25">
      <c r="M7224" s="9"/>
      <c r="N7224" s="9"/>
      <c r="P7224" s="14"/>
      <c r="Q7224" s="85"/>
      <c r="R7224" s="89"/>
    </row>
    <row r="7225" spans="13:18" x14ac:dyDescent="0.25">
      <c r="M7225" s="9"/>
      <c r="N7225" s="9"/>
      <c r="P7225" s="14"/>
      <c r="Q7225" s="85"/>
      <c r="R7225" s="89"/>
    </row>
    <row r="7226" spans="13:18" x14ac:dyDescent="0.25">
      <c r="M7226" s="9"/>
      <c r="N7226" s="9"/>
      <c r="P7226" s="14"/>
      <c r="Q7226" s="85"/>
      <c r="R7226" s="89"/>
    </row>
    <row r="7227" spans="13:18" x14ac:dyDescent="0.25">
      <c r="M7227" s="9"/>
      <c r="N7227" s="9"/>
      <c r="P7227" s="14"/>
      <c r="Q7227" s="85"/>
      <c r="R7227" s="89"/>
    </row>
    <row r="7228" spans="13:18" x14ac:dyDescent="0.25">
      <c r="M7228" s="9"/>
      <c r="N7228" s="9"/>
      <c r="P7228" s="14"/>
      <c r="Q7228" s="85"/>
      <c r="R7228" s="89"/>
    </row>
    <row r="7229" spans="13:18" x14ac:dyDescent="0.25">
      <c r="M7229" s="9"/>
      <c r="N7229" s="9"/>
      <c r="P7229" s="14"/>
      <c r="Q7229" s="85"/>
      <c r="R7229" s="89"/>
    </row>
    <row r="7230" spans="13:18" x14ac:dyDescent="0.25">
      <c r="M7230" s="9"/>
      <c r="N7230" s="9"/>
      <c r="P7230" s="14"/>
      <c r="Q7230" s="85"/>
      <c r="R7230" s="89"/>
    </row>
    <row r="7231" spans="13:18" x14ac:dyDescent="0.25">
      <c r="M7231" s="9"/>
      <c r="N7231" s="9"/>
      <c r="P7231" s="14"/>
      <c r="Q7231" s="85"/>
      <c r="R7231" s="89"/>
    </row>
    <row r="7232" spans="13:18" x14ac:dyDescent="0.25">
      <c r="M7232" s="9"/>
      <c r="N7232" s="9"/>
      <c r="P7232" s="14"/>
      <c r="Q7232" s="85"/>
      <c r="R7232" s="89"/>
    </row>
    <row r="7233" spans="13:18" x14ac:dyDescent="0.25">
      <c r="M7233" s="9"/>
      <c r="N7233" s="9"/>
      <c r="P7233" s="14"/>
      <c r="Q7233" s="85"/>
      <c r="R7233" s="89"/>
    </row>
    <row r="7234" spans="13:18" x14ac:dyDescent="0.25">
      <c r="M7234" s="9"/>
      <c r="N7234" s="9"/>
      <c r="P7234" s="14"/>
      <c r="Q7234" s="85"/>
      <c r="R7234" s="89"/>
    </row>
    <row r="7235" spans="13:18" x14ac:dyDescent="0.25">
      <c r="M7235" s="9"/>
      <c r="N7235" s="9"/>
      <c r="P7235" s="14"/>
      <c r="Q7235" s="85"/>
      <c r="R7235" s="89"/>
    </row>
    <row r="7236" spans="13:18" x14ac:dyDescent="0.25">
      <c r="M7236" s="9"/>
      <c r="N7236" s="9"/>
      <c r="P7236" s="14"/>
      <c r="Q7236" s="85"/>
      <c r="R7236" s="89"/>
    </row>
    <row r="7237" spans="13:18" x14ac:dyDescent="0.25">
      <c r="M7237" s="9"/>
      <c r="N7237" s="9"/>
      <c r="P7237" s="14"/>
      <c r="Q7237" s="85"/>
      <c r="R7237" s="89"/>
    </row>
    <row r="7238" spans="13:18" x14ac:dyDescent="0.25">
      <c r="M7238" s="9"/>
      <c r="N7238" s="9"/>
      <c r="P7238" s="14"/>
      <c r="Q7238" s="85"/>
      <c r="R7238" s="89"/>
    </row>
    <row r="7239" spans="13:18" x14ac:dyDescent="0.25">
      <c r="M7239" s="9"/>
      <c r="N7239" s="9"/>
      <c r="P7239" s="14"/>
      <c r="Q7239" s="85"/>
      <c r="R7239" s="89"/>
    </row>
    <row r="7240" spans="13:18" x14ac:dyDescent="0.25">
      <c r="M7240" s="9"/>
      <c r="N7240" s="9"/>
      <c r="P7240" s="14"/>
      <c r="Q7240" s="85"/>
      <c r="R7240" s="89"/>
    </row>
    <row r="7241" spans="13:18" x14ac:dyDescent="0.25">
      <c r="M7241" s="9"/>
      <c r="N7241" s="9"/>
      <c r="P7241" s="14"/>
      <c r="Q7241" s="85"/>
      <c r="R7241" s="89"/>
    </row>
    <row r="7242" spans="13:18" x14ac:dyDescent="0.25">
      <c r="M7242" s="9"/>
      <c r="N7242" s="9"/>
      <c r="P7242" s="14"/>
      <c r="Q7242" s="85"/>
      <c r="R7242" s="89"/>
    </row>
    <row r="7243" spans="13:18" x14ac:dyDescent="0.25">
      <c r="M7243" s="9"/>
      <c r="N7243" s="9"/>
      <c r="P7243" s="14"/>
      <c r="Q7243" s="85"/>
      <c r="R7243" s="89"/>
    </row>
    <row r="7244" spans="13:18" x14ac:dyDescent="0.25">
      <c r="M7244" s="9"/>
      <c r="N7244" s="9"/>
      <c r="P7244" s="14"/>
      <c r="Q7244" s="85"/>
      <c r="R7244" s="89"/>
    </row>
    <row r="7245" spans="13:18" x14ac:dyDescent="0.25">
      <c r="M7245" s="9"/>
      <c r="N7245" s="9"/>
      <c r="P7245" s="14"/>
      <c r="Q7245" s="85"/>
      <c r="R7245" s="89"/>
    </row>
    <row r="7246" spans="13:18" x14ac:dyDescent="0.25">
      <c r="M7246" s="9"/>
      <c r="N7246" s="9"/>
      <c r="P7246" s="14"/>
      <c r="Q7246" s="85"/>
      <c r="R7246" s="89"/>
    </row>
    <row r="7247" spans="13:18" x14ac:dyDescent="0.25">
      <c r="M7247" s="9"/>
      <c r="N7247" s="9"/>
      <c r="P7247" s="14"/>
      <c r="Q7247" s="85"/>
      <c r="R7247" s="89"/>
    </row>
    <row r="7248" spans="13:18" x14ac:dyDescent="0.25">
      <c r="M7248" s="9"/>
      <c r="N7248" s="9"/>
      <c r="P7248" s="14"/>
      <c r="Q7248" s="85"/>
      <c r="R7248" s="89"/>
    </row>
    <row r="7249" spans="13:18" x14ac:dyDescent="0.25">
      <c r="M7249" s="9"/>
      <c r="N7249" s="9"/>
      <c r="P7249" s="14"/>
      <c r="Q7249" s="85"/>
      <c r="R7249" s="89"/>
    </row>
    <row r="7250" spans="13:18" x14ac:dyDescent="0.25">
      <c r="M7250" s="9"/>
      <c r="N7250" s="9"/>
      <c r="P7250" s="14"/>
      <c r="Q7250" s="85"/>
      <c r="R7250" s="89"/>
    </row>
    <row r="7251" spans="13:18" x14ac:dyDescent="0.25">
      <c r="M7251" s="9"/>
      <c r="N7251" s="9"/>
      <c r="P7251" s="14"/>
      <c r="Q7251" s="85"/>
      <c r="R7251" s="89"/>
    </row>
    <row r="7252" spans="13:18" x14ac:dyDescent="0.25">
      <c r="M7252" s="9"/>
      <c r="N7252" s="9"/>
      <c r="P7252" s="14"/>
      <c r="Q7252" s="85"/>
      <c r="R7252" s="89"/>
    </row>
    <row r="7253" spans="13:18" x14ac:dyDescent="0.25">
      <c r="M7253" s="9"/>
      <c r="N7253" s="9"/>
      <c r="P7253" s="14"/>
      <c r="Q7253" s="85"/>
      <c r="R7253" s="89"/>
    </row>
    <row r="7254" spans="13:18" x14ac:dyDescent="0.25">
      <c r="M7254" s="9"/>
      <c r="N7254" s="9"/>
      <c r="P7254" s="14"/>
      <c r="Q7254" s="85"/>
      <c r="R7254" s="89"/>
    </row>
    <row r="7255" spans="13:18" x14ac:dyDescent="0.25">
      <c r="M7255" s="9"/>
      <c r="N7255" s="9"/>
      <c r="P7255" s="14"/>
      <c r="Q7255" s="85"/>
      <c r="R7255" s="89"/>
    </row>
    <row r="7256" spans="13:18" x14ac:dyDescent="0.25">
      <c r="M7256" s="9"/>
      <c r="N7256" s="9"/>
      <c r="P7256" s="14"/>
      <c r="Q7256" s="85"/>
      <c r="R7256" s="89"/>
    </row>
    <row r="7257" spans="13:18" x14ac:dyDescent="0.25">
      <c r="M7257" s="9"/>
      <c r="N7257" s="9"/>
      <c r="P7257" s="14"/>
      <c r="Q7257" s="85"/>
      <c r="R7257" s="89"/>
    </row>
    <row r="7258" spans="13:18" x14ac:dyDescent="0.25">
      <c r="M7258" s="9"/>
      <c r="N7258" s="9"/>
      <c r="P7258" s="14"/>
      <c r="Q7258" s="85"/>
      <c r="R7258" s="89"/>
    </row>
    <row r="7259" spans="13:18" x14ac:dyDescent="0.25">
      <c r="M7259" s="9"/>
      <c r="N7259" s="9"/>
      <c r="P7259" s="14"/>
      <c r="Q7259" s="85"/>
      <c r="R7259" s="89"/>
    </row>
    <row r="7260" spans="13:18" x14ac:dyDescent="0.25">
      <c r="M7260" s="9"/>
      <c r="N7260" s="9"/>
      <c r="P7260" s="14"/>
      <c r="Q7260" s="85"/>
      <c r="R7260" s="89"/>
    </row>
    <row r="7261" spans="13:18" x14ac:dyDescent="0.25">
      <c r="M7261" s="9"/>
      <c r="N7261" s="9"/>
      <c r="P7261" s="14"/>
      <c r="Q7261" s="85"/>
      <c r="R7261" s="89"/>
    </row>
    <row r="7262" spans="13:18" x14ac:dyDescent="0.25">
      <c r="M7262" s="9"/>
      <c r="N7262" s="9"/>
      <c r="P7262" s="14"/>
      <c r="Q7262" s="85"/>
      <c r="R7262" s="89"/>
    </row>
    <row r="7263" spans="13:18" x14ac:dyDescent="0.25">
      <c r="M7263" s="9"/>
      <c r="N7263" s="9"/>
      <c r="P7263" s="14"/>
      <c r="Q7263" s="85"/>
      <c r="R7263" s="89"/>
    </row>
    <row r="7264" spans="13:18" x14ac:dyDescent="0.25">
      <c r="M7264" s="9"/>
      <c r="N7264" s="9"/>
      <c r="P7264" s="14"/>
      <c r="Q7264" s="85"/>
      <c r="R7264" s="89"/>
    </row>
    <row r="7265" spans="13:18" x14ac:dyDescent="0.25">
      <c r="M7265" s="9"/>
      <c r="N7265" s="9"/>
      <c r="P7265" s="14"/>
      <c r="Q7265" s="85"/>
      <c r="R7265" s="89"/>
    </row>
    <row r="7266" spans="13:18" x14ac:dyDescent="0.25">
      <c r="M7266" s="9"/>
      <c r="N7266" s="9"/>
      <c r="P7266" s="14"/>
      <c r="Q7266" s="85"/>
      <c r="R7266" s="89"/>
    </row>
    <row r="7267" spans="13:18" x14ac:dyDescent="0.25">
      <c r="M7267" s="9"/>
      <c r="N7267" s="9"/>
      <c r="P7267" s="14"/>
      <c r="Q7267" s="85"/>
      <c r="R7267" s="89"/>
    </row>
    <row r="7268" spans="13:18" x14ac:dyDescent="0.25">
      <c r="M7268" s="9"/>
      <c r="N7268" s="9"/>
      <c r="P7268" s="14"/>
      <c r="Q7268" s="85"/>
      <c r="R7268" s="89"/>
    </row>
    <row r="7269" spans="13:18" x14ac:dyDescent="0.25">
      <c r="M7269" s="9"/>
      <c r="N7269" s="9"/>
      <c r="P7269" s="14"/>
      <c r="Q7269" s="85"/>
      <c r="R7269" s="89"/>
    </row>
    <row r="7270" spans="13:18" x14ac:dyDescent="0.25">
      <c r="M7270" s="9"/>
      <c r="N7270" s="9"/>
      <c r="P7270" s="14"/>
      <c r="Q7270" s="85"/>
      <c r="R7270" s="89"/>
    </row>
    <row r="7271" spans="13:18" x14ac:dyDescent="0.25">
      <c r="M7271" s="9"/>
      <c r="N7271" s="9"/>
      <c r="P7271" s="14"/>
      <c r="Q7271" s="85"/>
      <c r="R7271" s="89"/>
    </row>
    <row r="7272" spans="13:18" x14ac:dyDescent="0.25">
      <c r="M7272" s="9"/>
      <c r="N7272" s="9"/>
      <c r="P7272" s="14"/>
      <c r="Q7272" s="85"/>
      <c r="R7272" s="89"/>
    </row>
    <row r="7273" spans="13:18" x14ac:dyDescent="0.25">
      <c r="M7273" s="9"/>
      <c r="N7273" s="9"/>
      <c r="P7273" s="14"/>
      <c r="Q7273" s="85"/>
      <c r="R7273" s="89"/>
    </row>
    <row r="7274" spans="13:18" x14ac:dyDescent="0.25">
      <c r="M7274" s="9"/>
      <c r="N7274" s="9"/>
      <c r="P7274" s="14"/>
      <c r="Q7274" s="85"/>
      <c r="R7274" s="89"/>
    </row>
    <row r="7275" spans="13:18" x14ac:dyDescent="0.25">
      <c r="M7275" s="9"/>
      <c r="N7275" s="9"/>
      <c r="P7275" s="14"/>
      <c r="Q7275" s="85"/>
      <c r="R7275" s="89"/>
    </row>
    <row r="7276" spans="13:18" x14ac:dyDescent="0.25">
      <c r="M7276" s="9"/>
      <c r="N7276" s="9"/>
      <c r="P7276" s="14"/>
      <c r="Q7276" s="85"/>
      <c r="R7276" s="89"/>
    </row>
    <row r="7277" spans="13:18" x14ac:dyDescent="0.25">
      <c r="M7277" s="9"/>
      <c r="N7277" s="9"/>
      <c r="P7277" s="14"/>
      <c r="Q7277" s="85"/>
      <c r="R7277" s="89"/>
    </row>
    <row r="7278" spans="13:18" x14ac:dyDescent="0.25">
      <c r="M7278" s="9"/>
      <c r="N7278" s="9"/>
      <c r="P7278" s="14"/>
      <c r="Q7278" s="85"/>
      <c r="R7278" s="89"/>
    </row>
    <row r="7279" spans="13:18" x14ac:dyDescent="0.25">
      <c r="M7279" s="9"/>
      <c r="N7279" s="9"/>
      <c r="P7279" s="14"/>
      <c r="Q7279" s="85"/>
      <c r="R7279" s="89"/>
    </row>
    <row r="7280" spans="13:18" x14ac:dyDescent="0.25">
      <c r="M7280" s="9"/>
      <c r="N7280" s="9"/>
      <c r="P7280" s="14"/>
      <c r="Q7280" s="85"/>
      <c r="R7280" s="89"/>
    </row>
    <row r="7281" spans="13:18" x14ac:dyDescent="0.25">
      <c r="M7281" s="9"/>
      <c r="N7281" s="9"/>
      <c r="P7281" s="14"/>
      <c r="Q7281" s="85"/>
      <c r="R7281" s="89"/>
    </row>
    <row r="7282" spans="13:18" x14ac:dyDescent="0.25">
      <c r="M7282" s="9"/>
      <c r="N7282" s="9"/>
      <c r="P7282" s="14"/>
      <c r="Q7282" s="85"/>
      <c r="R7282" s="89"/>
    </row>
    <row r="7283" spans="13:18" x14ac:dyDescent="0.25">
      <c r="M7283" s="9"/>
      <c r="N7283" s="9"/>
      <c r="P7283" s="14"/>
      <c r="Q7283" s="85"/>
      <c r="R7283" s="89"/>
    </row>
    <row r="7284" spans="13:18" x14ac:dyDescent="0.25">
      <c r="M7284" s="9"/>
      <c r="N7284" s="9"/>
      <c r="P7284" s="14"/>
      <c r="Q7284" s="85"/>
      <c r="R7284" s="89"/>
    </row>
    <row r="7285" spans="13:18" x14ac:dyDescent="0.25">
      <c r="M7285" s="9"/>
      <c r="N7285" s="9"/>
      <c r="P7285" s="14"/>
      <c r="Q7285" s="85"/>
      <c r="R7285" s="89"/>
    </row>
    <row r="7286" spans="13:18" x14ac:dyDescent="0.25">
      <c r="M7286" s="9"/>
      <c r="N7286" s="9"/>
      <c r="P7286" s="14"/>
      <c r="Q7286" s="85"/>
      <c r="R7286" s="89"/>
    </row>
    <row r="7287" spans="13:18" x14ac:dyDescent="0.25">
      <c r="M7287" s="9"/>
      <c r="N7287" s="9"/>
      <c r="P7287" s="14"/>
      <c r="Q7287" s="85"/>
      <c r="R7287" s="89"/>
    </row>
    <row r="7288" spans="13:18" x14ac:dyDescent="0.25">
      <c r="M7288" s="9"/>
      <c r="N7288" s="9"/>
      <c r="P7288" s="14"/>
      <c r="Q7288" s="85"/>
      <c r="R7288" s="89"/>
    </row>
    <row r="7289" spans="13:18" x14ac:dyDescent="0.25">
      <c r="M7289" s="9"/>
      <c r="N7289" s="9"/>
      <c r="P7289" s="14"/>
      <c r="Q7289" s="85"/>
      <c r="R7289" s="89"/>
    </row>
    <row r="7290" spans="13:18" x14ac:dyDescent="0.25">
      <c r="M7290" s="9"/>
      <c r="N7290" s="9"/>
      <c r="P7290" s="14"/>
      <c r="Q7290" s="85"/>
      <c r="R7290" s="89"/>
    </row>
    <row r="7291" spans="13:18" x14ac:dyDescent="0.25">
      <c r="M7291" s="9"/>
      <c r="N7291" s="9"/>
      <c r="P7291" s="14"/>
      <c r="Q7291" s="85"/>
      <c r="R7291" s="89"/>
    </row>
    <row r="7292" spans="13:18" x14ac:dyDescent="0.25">
      <c r="M7292" s="9"/>
      <c r="N7292" s="9"/>
      <c r="P7292" s="14"/>
      <c r="Q7292" s="85"/>
      <c r="R7292" s="89"/>
    </row>
    <row r="7293" spans="13:18" x14ac:dyDescent="0.25">
      <c r="M7293" s="9"/>
      <c r="N7293" s="9"/>
      <c r="P7293" s="14"/>
      <c r="Q7293" s="85"/>
      <c r="R7293" s="89"/>
    </row>
    <row r="7294" spans="13:18" x14ac:dyDescent="0.25">
      <c r="M7294" s="9"/>
      <c r="N7294" s="9"/>
      <c r="P7294" s="14"/>
      <c r="Q7294" s="85"/>
      <c r="R7294" s="89"/>
    </row>
    <row r="7295" spans="13:18" x14ac:dyDescent="0.25">
      <c r="M7295" s="9"/>
      <c r="N7295" s="9"/>
      <c r="P7295" s="14"/>
      <c r="Q7295" s="85"/>
      <c r="R7295" s="89"/>
    </row>
    <row r="7296" spans="13:18" x14ac:dyDescent="0.25">
      <c r="M7296" s="9"/>
      <c r="N7296" s="9"/>
      <c r="P7296" s="14"/>
      <c r="Q7296" s="85"/>
      <c r="R7296" s="89"/>
    </row>
    <row r="7297" spans="13:18" x14ac:dyDescent="0.25">
      <c r="M7297" s="9"/>
      <c r="N7297" s="9"/>
      <c r="P7297" s="14"/>
      <c r="Q7297" s="85"/>
      <c r="R7297" s="89"/>
    </row>
    <row r="7298" spans="13:18" x14ac:dyDescent="0.25">
      <c r="M7298" s="9"/>
      <c r="N7298" s="9"/>
      <c r="P7298" s="14"/>
      <c r="Q7298" s="85"/>
      <c r="R7298" s="89"/>
    </row>
    <row r="7299" spans="13:18" x14ac:dyDescent="0.25">
      <c r="M7299" s="9"/>
      <c r="N7299" s="9"/>
      <c r="P7299" s="14"/>
      <c r="Q7299" s="85"/>
      <c r="R7299" s="89"/>
    </row>
    <row r="7300" spans="13:18" x14ac:dyDescent="0.25">
      <c r="M7300" s="9"/>
      <c r="N7300" s="9"/>
      <c r="P7300" s="14"/>
      <c r="Q7300" s="85"/>
      <c r="R7300" s="89"/>
    </row>
    <row r="7301" spans="13:18" x14ac:dyDescent="0.25">
      <c r="M7301" s="9"/>
      <c r="N7301" s="9"/>
      <c r="P7301" s="14"/>
      <c r="Q7301" s="85"/>
      <c r="R7301" s="89"/>
    </row>
    <row r="7302" spans="13:18" x14ac:dyDescent="0.25">
      <c r="M7302" s="9"/>
      <c r="N7302" s="9"/>
      <c r="P7302" s="14"/>
      <c r="Q7302" s="85"/>
      <c r="R7302" s="89"/>
    </row>
    <row r="7303" spans="13:18" x14ac:dyDescent="0.25">
      <c r="M7303" s="9"/>
      <c r="N7303" s="9"/>
      <c r="P7303" s="14"/>
      <c r="Q7303" s="85"/>
      <c r="R7303" s="89"/>
    </row>
    <row r="7304" spans="13:18" x14ac:dyDescent="0.25">
      <c r="M7304" s="9"/>
      <c r="N7304" s="9"/>
      <c r="P7304" s="14"/>
      <c r="Q7304" s="85"/>
      <c r="R7304" s="89"/>
    </row>
    <row r="7305" spans="13:18" x14ac:dyDescent="0.25">
      <c r="M7305" s="9"/>
      <c r="N7305" s="9"/>
      <c r="P7305" s="14"/>
      <c r="Q7305" s="85"/>
      <c r="R7305" s="89"/>
    </row>
    <row r="7306" spans="13:18" x14ac:dyDescent="0.25">
      <c r="M7306" s="9"/>
      <c r="N7306" s="9"/>
      <c r="P7306" s="14"/>
      <c r="Q7306" s="85"/>
      <c r="R7306" s="89"/>
    </row>
    <row r="7307" spans="13:18" x14ac:dyDescent="0.25">
      <c r="M7307" s="9"/>
      <c r="N7307" s="9"/>
      <c r="P7307" s="14"/>
      <c r="Q7307" s="85"/>
      <c r="R7307" s="89"/>
    </row>
    <row r="7308" spans="13:18" x14ac:dyDescent="0.25">
      <c r="M7308" s="9"/>
      <c r="N7308" s="9"/>
      <c r="P7308" s="14"/>
      <c r="Q7308" s="85"/>
      <c r="R7308" s="89"/>
    </row>
    <row r="7309" spans="13:18" x14ac:dyDescent="0.25">
      <c r="M7309" s="9"/>
      <c r="N7309" s="9"/>
      <c r="P7309" s="14"/>
      <c r="Q7309" s="85"/>
      <c r="R7309" s="89"/>
    </row>
    <row r="7310" spans="13:18" x14ac:dyDescent="0.25">
      <c r="M7310" s="9"/>
      <c r="N7310" s="9"/>
      <c r="P7310" s="14"/>
      <c r="Q7310" s="85"/>
      <c r="R7310" s="89"/>
    </row>
    <row r="7311" spans="13:18" x14ac:dyDescent="0.25">
      <c r="M7311" s="9"/>
      <c r="N7311" s="9"/>
      <c r="P7311" s="14"/>
      <c r="Q7311" s="85"/>
      <c r="R7311" s="89"/>
    </row>
    <row r="7312" spans="13:18" x14ac:dyDescent="0.25">
      <c r="M7312" s="9"/>
      <c r="N7312" s="9"/>
      <c r="P7312" s="14"/>
      <c r="Q7312" s="85"/>
      <c r="R7312" s="89"/>
    </row>
    <row r="7313" spans="13:18" x14ac:dyDescent="0.25">
      <c r="M7313" s="9"/>
      <c r="N7313" s="9"/>
      <c r="P7313" s="14"/>
      <c r="Q7313" s="85"/>
      <c r="R7313" s="89"/>
    </row>
    <row r="7314" spans="13:18" x14ac:dyDescent="0.25">
      <c r="M7314" s="9"/>
      <c r="N7314" s="9"/>
      <c r="P7314" s="14"/>
      <c r="Q7314" s="85"/>
      <c r="R7314" s="89"/>
    </row>
    <row r="7315" spans="13:18" x14ac:dyDescent="0.25">
      <c r="M7315" s="9"/>
      <c r="N7315" s="9"/>
      <c r="P7315" s="14"/>
      <c r="Q7315" s="85"/>
      <c r="R7315" s="89"/>
    </row>
    <row r="7316" spans="13:18" x14ac:dyDescent="0.25">
      <c r="M7316" s="9"/>
      <c r="N7316" s="9"/>
      <c r="P7316" s="14"/>
      <c r="Q7316" s="85"/>
      <c r="R7316" s="89"/>
    </row>
    <row r="7317" spans="13:18" x14ac:dyDescent="0.25">
      <c r="M7317" s="9"/>
      <c r="N7317" s="9"/>
      <c r="P7317" s="14"/>
      <c r="Q7317" s="85"/>
      <c r="R7317" s="89"/>
    </row>
    <row r="7318" spans="13:18" x14ac:dyDescent="0.25">
      <c r="M7318" s="9"/>
      <c r="N7318" s="9"/>
      <c r="P7318" s="14"/>
      <c r="Q7318" s="85"/>
      <c r="R7318" s="89"/>
    </row>
    <row r="7319" spans="13:18" x14ac:dyDescent="0.25">
      <c r="M7319" s="9"/>
      <c r="N7319" s="9"/>
      <c r="P7319" s="14"/>
      <c r="Q7319" s="85"/>
      <c r="R7319" s="89"/>
    </row>
    <row r="7320" spans="13:18" x14ac:dyDescent="0.25">
      <c r="M7320" s="9"/>
      <c r="N7320" s="9"/>
      <c r="P7320" s="14"/>
      <c r="Q7320" s="85"/>
      <c r="R7320" s="89"/>
    </row>
    <row r="7321" spans="13:18" x14ac:dyDescent="0.25">
      <c r="M7321" s="9"/>
      <c r="N7321" s="9"/>
      <c r="P7321" s="14"/>
      <c r="Q7321" s="85"/>
      <c r="R7321" s="89"/>
    </row>
    <row r="7322" spans="13:18" x14ac:dyDescent="0.25">
      <c r="M7322" s="9"/>
      <c r="N7322" s="9"/>
      <c r="P7322" s="14"/>
      <c r="Q7322" s="85"/>
      <c r="R7322" s="89"/>
    </row>
    <row r="7323" spans="13:18" x14ac:dyDescent="0.25">
      <c r="M7323" s="9"/>
      <c r="N7323" s="9"/>
      <c r="P7323" s="14"/>
      <c r="Q7323" s="85"/>
      <c r="R7323" s="89"/>
    </row>
    <row r="7324" spans="13:18" x14ac:dyDescent="0.25">
      <c r="M7324" s="9"/>
      <c r="N7324" s="9"/>
      <c r="P7324" s="14"/>
      <c r="Q7324" s="85"/>
      <c r="R7324" s="89"/>
    </row>
    <row r="7325" spans="13:18" x14ac:dyDescent="0.25">
      <c r="M7325" s="9"/>
      <c r="N7325" s="9"/>
      <c r="P7325" s="14"/>
      <c r="Q7325" s="85"/>
      <c r="R7325" s="89"/>
    </row>
    <row r="7326" spans="13:18" x14ac:dyDescent="0.25">
      <c r="M7326" s="9"/>
      <c r="N7326" s="9"/>
      <c r="P7326" s="14"/>
      <c r="Q7326" s="85"/>
      <c r="R7326" s="89"/>
    </row>
    <row r="7327" spans="13:18" x14ac:dyDescent="0.25">
      <c r="M7327" s="9"/>
      <c r="N7327" s="9"/>
      <c r="P7327" s="14"/>
      <c r="Q7327" s="85"/>
      <c r="R7327" s="89"/>
    </row>
    <row r="7328" spans="13:18" x14ac:dyDescent="0.25">
      <c r="M7328" s="9"/>
      <c r="N7328" s="9"/>
      <c r="P7328" s="14"/>
      <c r="Q7328" s="85"/>
      <c r="R7328" s="89"/>
    </row>
    <row r="7329" spans="13:18" x14ac:dyDescent="0.25">
      <c r="M7329" s="9"/>
      <c r="N7329" s="9"/>
      <c r="P7329" s="14"/>
      <c r="Q7329" s="85"/>
      <c r="R7329" s="89"/>
    </row>
    <row r="7330" spans="13:18" x14ac:dyDescent="0.25">
      <c r="M7330" s="9"/>
      <c r="N7330" s="9"/>
      <c r="P7330" s="14"/>
      <c r="Q7330" s="85"/>
      <c r="R7330" s="89"/>
    </row>
    <row r="7331" spans="13:18" x14ac:dyDescent="0.25">
      <c r="M7331" s="9"/>
      <c r="N7331" s="9"/>
      <c r="P7331" s="14"/>
      <c r="Q7331" s="85"/>
      <c r="R7331" s="89"/>
    </row>
    <row r="7332" spans="13:18" x14ac:dyDescent="0.25">
      <c r="M7332" s="9"/>
      <c r="N7332" s="9"/>
      <c r="P7332" s="14"/>
      <c r="Q7332" s="85"/>
      <c r="R7332" s="89"/>
    </row>
    <row r="7333" spans="13:18" x14ac:dyDescent="0.25">
      <c r="M7333" s="9"/>
      <c r="N7333" s="9"/>
      <c r="P7333" s="14"/>
      <c r="Q7333" s="85"/>
      <c r="R7333" s="89"/>
    </row>
    <row r="7334" spans="13:18" x14ac:dyDescent="0.25">
      <c r="M7334" s="9"/>
      <c r="N7334" s="9"/>
      <c r="P7334" s="14"/>
      <c r="Q7334" s="85"/>
      <c r="R7334" s="89"/>
    </row>
    <row r="7335" spans="13:18" x14ac:dyDescent="0.25">
      <c r="M7335" s="9"/>
      <c r="N7335" s="9"/>
      <c r="P7335" s="14"/>
      <c r="Q7335" s="85"/>
      <c r="R7335" s="89"/>
    </row>
    <row r="7336" spans="13:18" x14ac:dyDescent="0.25">
      <c r="M7336" s="9"/>
      <c r="N7336" s="9"/>
      <c r="P7336" s="14"/>
      <c r="Q7336" s="85"/>
      <c r="R7336" s="89"/>
    </row>
    <row r="7337" spans="13:18" x14ac:dyDescent="0.25">
      <c r="M7337" s="9"/>
      <c r="N7337" s="9"/>
      <c r="P7337" s="14"/>
      <c r="Q7337" s="85"/>
      <c r="R7337" s="89"/>
    </row>
    <row r="7338" spans="13:18" x14ac:dyDescent="0.25">
      <c r="M7338" s="9"/>
      <c r="N7338" s="9"/>
      <c r="P7338" s="14"/>
      <c r="Q7338" s="85"/>
      <c r="R7338" s="89"/>
    </row>
    <row r="7339" spans="13:18" x14ac:dyDescent="0.25">
      <c r="M7339" s="9"/>
      <c r="N7339" s="9"/>
      <c r="P7339" s="14"/>
      <c r="Q7339" s="85"/>
      <c r="R7339" s="89"/>
    </row>
    <row r="7340" spans="13:18" x14ac:dyDescent="0.25">
      <c r="M7340" s="9"/>
      <c r="N7340" s="9"/>
      <c r="P7340" s="14"/>
      <c r="Q7340" s="85"/>
      <c r="R7340" s="89"/>
    </row>
    <row r="7341" spans="13:18" x14ac:dyDescent="0.25">
      <c r="M7341" s="9"/>
      <c r="N7341" s="9"/>
      <c r="P7341" s="14"/>
      <c r="Q7341" s="85"/>
      <c r="R7341" s="89"/>
    </row>
    <row r="7342" spans="13:18" x14ac:dyDescent="0.25">
      <c r="M7342" s="9"/>
      <c r="N7342" s="9"/>
      <c r="P7342" s="14"/>
      <c r="Q7342" s="85"/>
      <c r="R7342" s="89"/>
    </row>
    <row r="7343" spans="13:18" x14ac:dyDescent="0.25">
      <c r="M7343" s="9"/>
      <c r="N7343" s="9"/>
      <c r="P7343" s="14"/>
      <c r="Q7343" s="85"/>
      <c r="R7343" s="89"/>
    </row>
    <row r="7344" spans="13:18" x14ac:dyDescent="0.25">
      <c r="M7344" s="9"/>
      <c r="N7344" s="9"/>
      <c r="P7344" s="14"/>
      <c r="Q7344" s="85"/>
      <c r="R7344" s="89"/>
    </row>
    <row r="7345" spans="13:18" x14ac:dyDescent="0.25">
      <c r="M7345" s="9"/>
      <c r="N7345" s="9"/>
      <c r="P7345" s="14"/>
      <c r="Q7345" s="85"/>
      <c r="R7345" s="89"/>
    </row>
    <row r="7346" spans="13:18" x14ac:dyDescent="0.25">
      <c r="M7346" s="9"/>
      <c r="N7346" s="9"/>
      <c r="P7346" s="14"/>
      <c r="Q7346" s="85"/>
      <c r="R7346" s="89"/>
    </row>
    <row r="7347" spans="13:18" x14ac:dyDescent="0.25">
      <c r="M7347" s="9"/>
      <c r="N7347" s="9"/>
      <c r="P7347" s="14"/>
      <c r="Q7347" s="85"/>
      <c r="R7347" s="89"/>
    </row>
    <row r="7348" spans="13:18" x14ac:dyDescent="0.25">
      <c r="M7348" s="9"/>
      <c r="N7348" s="9"/>
      <c r="P7348" s="14"/>
      <c r="Q7348" s="85"/>
      <c r="R7348" s="89"/>
    </row>
    <row r="7349" spans="13:18" x14ac:dyDescent="0.25">
      <c r="M7349" s="9"/>
      <c r="N7349" s="9"/>
      <c r="P7349" s="14"/>
      <c r="Q7349" s="85"/>
      <c r="R7349" s="89"/>
    </row>
    <row r="7350" spans="13:18" x14ac:dyDescent="0.25">
      <c r="M7350" s="9"/>
      <c r="N7350" s="9"/>
      <c r="P7350" s="14"/>
      <c r="Q7350" s="85"/>
      <c r="R7350" s="89"/>
    </row>
    <row r="7351" spans="13:18" x14ac:dyDescent="0.25">
      <c r="M7351" s="9"/>
      <c r="N7351" s="9"/>
      <c r="P7351" s="14"/>
      <c r="Q7351" s="85"/>
      <c r="R7351" s="89"/>
    </row>
    <row r="7352" spans="13:18" x14ac:dyDescent="0.25">
      <c r="M7352" s="9"/>
      <c r="N7352" s="9"/>
      <c r="P7352" s="14"/>
      <c r="Q7352" s="85"/>
      <c r="R7352" s="89"/>
    </row>
    <row r="7353" spans="13:18" x14ac:dyDescent="0.25">
      <c r="M7353" s="9"/>
      <c r="N7353" s="9"/>
      <c r="P7353" s="14"/>
      <c r="Q7353" s="85"/>
      <c r="R7353" s="89"/>
    </row>
    <row r="7354" spans="13:18" x14ac:dyDescent="0.25">
      <c r="M7354" s="9"/>
      <c r="N7354" s="9"/>
      <c r="P7354" s="14"/>
      <c r="Q7354" s="85"/>
      <c r="R7354" s="89"/>
    </row>
    <row r="7355" spans="13:18" x14ac:dyDescent="0.25">
      <c r="M7355" s="9"/>
      <c r="N7355" s="9"/>
      <c r="P7355" s="14"/>
      <c r="Q7355" s="85"/>
      <c r="R7355" s="89"/>
    </row>
    <row r="7356" spans="13:18" x14ac:dyDescent="0.25">
      <c r="M7356" s="9"/>
      <c r="N7356" s="9"/>
      <c r="P7356" s="14"/>
      <c r="Q7356" s="85"/>
      <c r="R7356" s="89"/>
    </row>
    <row r="7357" spans="13:18" x14ac:dyDescent="0.25">
      <c r="M7357" s="9"/>
      <c r="N7357" s="9"/>
      <c r="P7357" s="14"/>
      <c r="Q7357" s="85"/>
      <c r="R7357" s="89"/>
    </row>
    <row r="7358" spans="13:18" x14ac:dyDescent="0.25">
      <c r="M7358" s="9"/>
      <c r="N7358" s="9"/>
      <c r="P7358" s="14"/>
      <c r="Q7358" s="85"/>
      <c r="R7358" s="89"/>
    </row>
    <row r="7359" spans="13:18" x14ac:dyDescent="0.25">
      <c r="M7359" s="9"/>
      <c r="N7359" s="9"/>
      <c r="P7359" s="14"/>
      <c r="Q7359" s="85"/>
      <c r="R7359" s="89"/>
    </row>
    <row r="7360" spans="13:18" x14ac:dyDescent="0.25">
      <c r="M7360" s="9"/>
      <c r="N7360" s="9"/>
      <c r="P7360" s="14"/>
      <c r="Q7360" s="85"/>
      <c r="R7360" s="89"/>
    </row>
    <row r="7361" spans="13:18" x14ac:dyDescent="0.25">
      <c r="M7361" s="9"/>
      <c r="N7361" s="9"/>
      <c r="P7361" s="14"/>
      <c r="Q7361" s="85"/>
      <c r="R7361" s="89"/>
    </row>
    <row r="7362" spans="13:18" x14ac:dyDescent="0.25">
      <c r="M7362" s="9"/>
      <c r="N7362" s="9"/>
      <c r="P7362" s="14"/>
      <c r="Q7362" s="85"/>
      <c r="R7362" s="89"/>
    </row>
    <row r="7363" spans="13:18" x14ac:dyDescent="0.25">
      <c r="M7363" s="9"/>
      <c r="N7363" s="9"/>
      <c r="P7363" s="14"/>
      <c r="Q7363" s="85"/>
      <c r="R7363" s="89"/>
    </row>
    <row r="7364" spans="13:18" x14ac:dyDescent="0.25">
      <c r="M7364" s="9"/>
      <c r="N7364" s="9"/>
      <c r="P7364" s="14"/>
      <c r="Q7364" s="85"/>
      <c r="R7364" s="89"/>
    </row>
    <row r="7365" spans="13:18" x14ac:dyDescent="0.25">
      <c r="M7365" s="9"/>
      <c r="N7365" s="9"/>
      <c r="P7365" s="14"/>
      <c r="Q7365" s="85"/>
      <c r="R7365" s="89"/>
    </row>
    <row r="7366" spans="13:18" x14ac:dyDescent="0.25">
      <c r="M7366" s="9"/>
      <c r="N7366" s="9"/>
      <c r="P7366" s="14"/>
      <c r="Q7366" s="85"/>
      <c r="R7366" s="89"/>
    </row>
    <row r="7367" spans="13:18" x14ac:dyDescent="0.25">
      <c r="M7367" s="9"/>
      <c r="N7367" s="9"/>
      <c r="P7367" s="14"/>
      <c r="Q7367" s="85"/>
      <c r="R7367" s="89"/>
    </row>
    <row r="7368" spans="13:18" x14ac:dyDescent="0.25">
      <c r="M7368" s="9"/>
      <c r="N7368" s="9"/>
      <c r="P7368" s="14"/>
      <c r="Q7368" s="85"/>
      <c r="R7368" s="89"/>
    </row>
    <row r="7369" spans="13:18" x14ac:dyDescent="0.25">
      <c r="M7369" s="9"/>
      <c r="N7369" s="9"/>
      <c r="P7369" s="14"/>
      <c r="Q7369" s="85"/>
      <c r="R7369" s="89"/>
    </row>
    <row r="7370" spans="13:18" x14ac:dyDescent="0.25">
      <c r="M7370" s="9"/>
      <c r="N7370" s="9"/>
      <c r="P7370" s="14"/>
      <c r="Q7370" s="85"/>
      <c r="R7370" s="89"/>
    </row>
    <row r="7371" spans="13:18" x14ac:dyDescent="0.25">
      <c r="M7371" s="9"/>
      <c r="N7371" s="9"/>
      <c r="P7371" s="14"/>
      <c r="Q7371" s="85"/>
      <c r="R7371" s="89"/>
    </row>
    <row r="7372" spans="13:18" x14ac:dyDescent="0.25">
      <c r="M7372" s="9"/>
      <c r="N7372" s="9"/>
      <c r="P7372" s="14"/>
      <c r="Q7372" s="85"/>
      <c r="R7372" s="89"/>
    </row>
    <row r="7373" spans="13:18" x14ac:dyDescent="0.25">
      <c r="M7373" s="9"/>
      <c r="N7373" s="9"/>
      <c r="P7373" s="14"/>
      <c r="Q7373" s="85"/>
      <c r="R7373" s="89"/>
    </row>
    <row r="7374" spans="13:18" x14ac:dyDescent="0.25">
      <c r="M7374" s="9"/>
      <c r="N7374" s="9"/>
      <c r="P7374" s="14"/>
      <c r="Q7374" s="85"/>
      <c r="R7374" s="89"/>
    </row>
    <row r="7375" spans="13:18" x14ac:dyDescent="0.25">
      <c r="M7375" s="9"/>
      <c r="N7375" s="9"/>
      <c r="P7375" s="14"/>
      <c r="Q7375" s="85"/>
      <c r="R7375" s="89"/>
    </row>
    <row r="7376" spans="13:18" x14ac:dyDescent="0.25">
      <c r="M7376" s="9"/>
      <c r="N7376" s="9"/>
      <c r="P7376" s="14"/>
      <c r="Q7376" s="85"/>
      <c r="R7376" s="89"/>
    </row>
    <row r="7377" spans="13:18" x14ac:dyDescent="0.25">
      <c r="M7377" s="9"/>
      <c r="N7377" s="9"/>
      <c r="P7377" s="14"/>
      <c r="Q7377" s="85"/>
      <c r="R7377" s="89"/>
    </row>
    <row r="7378" spans="13:18" x14ac:dyDescent="0.25">
      <c r="M7378" s="9"/>
      <c r="N7378" s="9"/>
      <c r="P7378" s="14"/>
      <c r="Q7378" s="85"/>
      <c r="R7378" s="89"/>
    </row>
    <row r="7379" spans="13:18" x14ac:dyDescent="0.25">
      <c r="M7379" s="9"/>
      <c r="N7379" s="9"/>
      <c r="P7379" s="14"/>
      <c r="Q7379" s="85"/>
      <c r="R7379" s="89"/>
    </row>
    <row r="7380" spans="13:18" x14ac:dyDescent="0.25">
      <c r="M7380" s="9"/>
      <c r="N7380" s="9"/>
      <c r="P7380" s="14"/>
      <c r="Q7380" s="85"/>
      <c r="R7380" s="89"/>
    </row>
    <row r="7381" spans="13:18" x14ac:dyDescent="0.25">
      <c r="M7381" s="9"/>
      <c r="N7381" s="9"/>
      <c r="P7381" s="14"/>
      <c r="Q7381" s="85"/>
      <c r="R7381" s="89"/>
    </row>
    <row r="7382" spans="13:18" x14ac:dyDescent="0.25">
      <c r="M7382" s="9"/>
      <c r="N7382" s="9"/>
      <c r="P7382" s="14"/>
      <c r="Q7382" s="85"/>
      <c r="R7382" s="89"/>
    </row>
    <row r="7383" spans="13:18" x14ac:dyDescent="0.25">
      <c r="M7383" s="9"/>
      <c r="N7383" s="9"/>
      <c r="P7383" s="14"/>
      <c r="Q7383" s="85"/>
      <c r="R7383" s="89"/>
    </row>
    <row r="7384" spans="13:18" x14ac:dyDescent="0.25">
      <c r="M7384" s="9"/>
      <c r="N7384" s="9"/>
      <c r="P7384" s="14"/>
      <c r="Q7384" s="85"/>
      <c r="R7384" s="89"/>
    </row>
    <row r="7385" spans="13:18" x14ac:dyDescent="0.25">
      <c r="M7385" s="9"/>
      <c r="N7385" s="9"/>
      <c r="P7385" s="14"/>
      <c r="Q7385" s="85"/>
      <c r="R7385" s="89"/>
    </row>
    <row r="7386" spans="13:18" x14ac:dyDescent="0.25">
      <c r="M7386" s="9"/>
      <c r="N7386" s="9"/>
      <c r="P7386" s="14"/>
      <c r="Q7386" s="85"/>
      <c r="R7386" s="89"/>
    </row>
    <row r="7387" spans="13:18" x14ac:dyDescent="0.25">
      <c r="M7387" s="9"/>
      <c r="N7387" s="9"/>
      <c r="P7387" s="14"/>
      <c r="Q7387" s="85"/>
      <c r="R7387" s="89"/>
    </row>
    <row r="7388" spans="13:18" x14ac:dyDescent="0.25">
      <c r="M7388" s="9"/>
      <c r="N7388" s="9"/>
      <c r="P7388" s="14"/>
      <c r="Q7388" s="85"/>
      <c r="R7388" s="89"/>
    </row>
    <row r="7389" spans="13:18" x14ac:dyDescent="0.25">
      <c r="M7389" s="9"/>
      <c r="N7389" s="9"/>
      <c r="P7389" s="14"/>
      <c r="Q7389" s="85"/>
      <c r="R7389" s="89"/>
    </row>
    <row r="7390" spans="13:18" x14ac:dyDescent="0.25">
      <c r="M7390" s="9"/>
      <c r="N7390" s="9"/>
      <c r="P7390" s="14"/>
      <c r="Q7390" s="85"/>
      <c r="R7390" s="89"/>
    </row>
    <row r="7391" spans="13:18" x14ac:dyDescent="0.25">
      <c r="M7391" s="9"/>
      <c r="N7391" s="9"/>
      <c r="P7391" s="14"/>
      <c r="Q7391" s="85"/>
      <c r="R7391" s="89"/>
    </row>
    <row r="7392" spans="13:18" x14ac:dyDescent="0.25">
      <c r="M7392" s="9"/>
      <c r="N7392" s="9"/>
      <c r="P7392" s="14"/>
      <c r="Q7392" s="85"/>
      <c r="R7392" s="89"/>
    </row>
    <row r="7393" spans="13:18" x14ac:dyDescent="0.25">
      <c r="M7393" s="9"/>
      <c r="N7393" s="9"/>
      <c r="P7393" s="14"/>
      <c r="Q7393" s="85"/>
      <c r="R7393" s="89"/>
    </row>
    <row r="7394" spans="13:18" x14ac:dyDescent="0.25">
      <c r="M7394" s="9"/>
      <c r="N7394" s="9"/>
      <c r="P7394" s="14"/>
      <c r="Q7394" s="85"/>
      <c r="R7394" s="89"/>
    </row>
    <row r="7395" spans="13:18" x14ac:dyDescent="0.25">
      <c r="M7395" s="9"/>
      <c r="N7395" s="9"/>
      <c r="P7395" s="14"/>
      <c r="Q7395" s="85"/>
      <c r="R7395" s="89"/>
    </row>
    <row r="7396" spans="13:18" x14ac:dyDescent="0.25">
      <c r="M7396" s="9"/>
      <c r="N7396" s="9"/>
      <c r="P7396" s="14"/>
      <c r="Q7396" s="85"/>
      <c r="R7396" s="89"/>
    </row>
    <row r="7397" spans="13:18" x14ac:dyDescent="0.25">
      <c r="M7397" s="9"/>
      <c r="N7397" s="9"/>
      <c r="P7397" s="14"/>
      <c r="Q7397" s="85"/>
      <c r="R7397" s="89"/>
    </row>
    <row r="7398" spans="13:18" x14ac:dyDescent="0.25">
      <c r="M7398" s="9"/>
      <c r="N7398" s="9"/>
      <c r="P7398" s="14"/>
      <c r="Q7398" s="85"/>
      <c r="R7398" s="89"/>
    </row>
    <row r="7399" spans="13:18" x14ac:dyDescent="0.25">
      <c r="M7399" s="9"/>
      <c r="N7399" s="9"/>
      <c r="P7399" s="14"/>
      <c r="Q7399" s="85"/>
      <c r="R7399" s="89"/>
    </row>
    <row r="7400" spans="13:18" x14ac:dyDescent="0.25">
      <c r="M7400" s="9"/>
      <c r="N7400" s="9"/>
      <c r="P7400" s="14"/>
      <c r="Q7400" s="85"/>
      <c r="R7400" s="89"/>
    </row>
    <row r="7401" spans="13:18" x14ac:dyDescent="0.25">
      <c r="M7401" s="9"/>
      <c r="N7401" s="9"/>
      <c r="P7401" s="14"/>
      <c r="Q7401" s="85"/>
      <c r="R7401" s="89"/>
    </row>
    <row r="7402" spans="13:18" x14ac:dyDescent="0.25">
      <c r="M7402" s="9"/>
      <c r="N7402" s="9"/>
      <c r="P7402" s="14"/>
      <c r="Q7402" s="85"/>
      <c r="R7402" s="89"/>
    </row>
    <row r="7403" spans="13:18" x14ac:dyDescent="0.25">
      <c r="M7403" s="9"/>
      <c r="N7403" s="9"/>
      <c r="P7403" s="14"/>
      <c r="Q7403" s="85"/>
      <c r="R7403" s="89"/>
    </row>
    <row r="7404" spans="13:18" x14ac:dyDescent="0.25">
      <c r="M7404" s="9"/>
      <c r="N7404" s="9"/>
      <c r="P7404" s="14"/>
      <c r="Q7404" s="85"/>
      <c r="R7404" s="89"/>
    </row>
    <row r="7405" spans="13:18" x14ac:dyDescent="0.25">
      <c r="M7405" s="9"/>
      <c r="N7405" s="9"/>
      <c r="P7405" s="14"/>
      <c r="Q7405" s="85"/>
      <c r="R7405" s="89"/>
    </row>
    <row r="7406" spans="13:18" x14ac:dyDescent="0.25">
      <c r="M7406" s="9"/>
      <c r="N7406" s="9"/>
      <c r="P7406" s="14"/>
      <c r="Q7406" s="85"/>
      <c r="R7406" s="89"/>
    </row>
    <row r="7407" spans="13:18" x14ac:dyDescent="0.25">
      <c r="M7407" s="9"/>
      <c r="N7407" s="9"/>
      <c r="P7407" s="14"/>
      <c r="Q7407" s="85"/>
      <c r="R7407" s="89"/>
    </row>
    <row r="7408" spans="13:18" x14ac:dyDescent="0.25">
      <c r="M7408" s="9"/>
      <c r="N7408" s="9"/>
      <c r="P7408" s="14"/>
      <c r="Q7408" s="85"/>
      <c r="R7408" s="89"/>
    </row>
    <row r="7409" spans="13:18" x14ac:dyDescent="0.25">
      <c r="M7409" s="9"/>
      <c r="N7409" s="9"/>
      <c r="P7409" s="14"/>
      <c r="Q7409" s="85"/>
      <c r="R7409" s="89"/>
    </row>
    <row r="7410" spans="13:18" x14ac:dyDescent="0.25">
      <c r="M7410" s="9"/>
      <c r="N7410" s="9"/>
      <c r="P7410" s="14"/>
      <c r="Q7410" s="85"/>
      <c r="R7410" s="89"/>
    </row>
    <row r="7411" spans="13:18" x14ac:dyDescent="0.25">
      <c r="M7411" s="9"/>
      <c r="N7411" s="9"/>
      <c r="P7411" s="14"/>
      <c r="Q7411" s="85"/>
      <c r="R7411" s="89"/>
    </row>
    <row r="7412" spans="13:18" x14ac:dyDescent="0.25">
      <c r="M7412" s="9"/>
      <c r="N7412" s="9"/>
      <c r="P7412" s="14"/>
      <c r="Q7412" s="85"/>
      <c r="R7412" s="89"/>
    </row>
    <row r="7413" spans="13:18" x14ac:dyDescent="0.25">
      <c r="M7413" s="9"/>
      <c r="N7413" s="9"/>
      <c r="P7413" s="14"/>
      <c r="Q7413" s="85"/>
      <c r="R7413" s="89"/>
    </row>
    <row r="7414" spans="13:18" x14ac:dyDescent="0.25">
      <c r="M7414" s="9"/>
      <c r="N7414" s="9"/>
      <c r="P7414" s="14"/>
      <c r="Q7414" s="85"/>
      <c r="R7414" s="89"/>
    </row>
    <row r="7415" spans="13:18" x14ac:dyDescent="0.25">
      <c r="M7415" s="9"/>
      <c r="N7415" s="9"/>
      <c r="P7415" s="14"/>
      <c r="Q7415" s="85"/>
      <c r="R7415" s="89"/>
    </row>
    <row r="7416" spans="13:18" x14ac:dyDescent="0.25">
      <c r="M7416" s="9"/>
      <c r="N7416" s="9"/>
      <c r="P7416" s="14"/>
      <c r="Q7416" s="85"/>
      <c r="R7416" s="89"/>
    </row>
    <row r="7417" spans="13:18" x14ac:dyDescent="0.25">
      <c r="M7417" s="9"/>
      <c r="N7417" s="9"/>
      <c r="P7417" s="14"/>
      <c r="Q7417" s="85"/>
      <c r="R7417" s="89"/>
    </row>
    <row r="7418" spans="13:18" x14ac:dyDescent="0.25">
      <c r="M7418" s="9"/>
      <c r="N7418" s="9"/>
      <c r="P7418" s="14"/>
      <c r="Q7418" s="85"/>
      <c r="R7418" s="89"/>
    </row>
    <row r="7419" spans="13:18" x14ac:dyDescent="0.25">
      <c r="M7419" s="9"/>
      <c r="N7419" s="9"/>
      <c r="P7419" s="14"/>
      <c r="Q7419" s="85"/>
      <c r="R7419" s="89"/>
    </row>
    <row r="7420" spans="13:18" x14ac:dyDescent="0.25">
      <c r="M7420" s="9"/>
      <c r="N7420" s="9"/>
      <c r="P7420" s="14"/>
      <c r="Q7420" s="85"/>
      <c r="R7420" s="89"/>
    </row>
    <row r="7421" spans="13:18" x14ac:dyDescent="0.25">
      <c r="M7421" s="9"/>
      <c r="N7421" s="9"/>
      <c r="P7421" s="14"/>
      <c r="Q7421" s="85"/>
      <c r="R7421" s="89"/>
    </row>
    <row r="7422" spans="13:18" x14ac:dyDescent="0.25">
      <c r="M7422" s="9"/>
      <c r="N7422" s="9"/>
      <c r="P7422" s="14"/>
      <c r="Q7422" s="85"/>
      <c r="R7422" s="89"/>
    </row>
    <row r="7423" spans="13:18" x14ac:dyDescent="0.25">
      <c r="M7423" s="9"/>
      <c r="N7423" s="9"/>
      <c r="P7423" s="14"/>
      <c r="Q7423" s="85"/>
      <c r="R7423" s="89"/>
    </row>
    <row r="7424" spans="13:18" x14ac:dyDescent="0.25">
      <c r="M7424" s="9"/>
      <c r="N7424" s="9"/>
      <c r="P7424" s="14"/>
      <c r="Q7424" s="85"/>
      <c r="R7424" s="89"/>
    </row>
    <row r="7425" spans="13:18" x14ac:dyDescent="0.25">
      <c r="M7425" s="9"/>
      <c r="N7425" s="9"/>
      <c r="P7425" s="14"/>
      <c r="Q7425" s="85"/>
      <c r="R7425" s="89"/>
    </row>
    <row r="7426" spans="13:18" x14ac:dyDescent="0.25">
      <c r="M7426" s="9"/>
      <c r="N7426" s="9"/>
      <c r="P7426" s="14"/>
      <c r="Q7426" s="85"/>
      <c r="R7426" s="89"/>
    </row>
    <row r="7427" spans="13:18" x14ac:dyDescent="0.25">
      <c r="M7427" s="9"/>
      <c r="N7427" s="9"/>
      <c r="P7427" s="14"/>
      <c r="Q7427" s="85"/>
      <c r="R7427" s="89"/>
    </row>
    <row r="7428" spans="13:18" x14ac:dyDescent="0.25">
      <c r="M7428" s="9"/>
      <c r="N7428" s="9"/>
      <c r="P7428" s="14"/>
      <c r="Q7428" s="85"/>
      <c r="R7428" s="89"/>
    </row>
    <row r="7429" spans="13:18" x14ac:dyDescent="0.25">
      <c r="M7429" s="9"/>
      <c r="N7429" s="9"/>
      <c r="P7429" s="14"/>
      <c r="Q7429" s="85"/>
      <c r="R7429" s="89"/>
    </row>
    <row r="7430" spans="13:18" x14ac:dyDescent="0.25">
      <c r="M7430" s="9"/>
      <c r="N7430" s="9"/>
      <c r="P7430" s="14"/>
      <c r="Q7430" s="85"/>
      <c r="R7430" s="89"/>
    </row>
    <row r="7431" spans="13:18" x14ac:dyDescent="0.25">
      <c r="M7431" s="9"/>
      <c r="N7431" s="9"/>
      <c r="P7431" s="14"/>
      <c r="Q7431" s="85"/>
      <c r="R7431" s="89"/>
    </row>
    <row r="7432" spans="13:18" x14ac:dyDescent="0.25">
      <c r="M7432" s="9"/>
      <c r="N7432" s="9"/>
      <c r="P7432" s="14"/>
      <c r="Q7432" s="85"/>
      <c r="R7432" s="89"/>
    </row>
    <row r="7433" spans="13:18" x14ac:dyDescent="0.25">
      <c r="M7433" s="9"/>
      <c r="N7433" s="9"/>
      <c r="P7433" s="14"/>
      <c r="Q7433" s="85"/>
      <c r="R7433" s="89"/>
    </row>
    <row r="7434" spans="13:18" x14ac:dyDescent="0.25">
      <c r="M7434" s="9"/>
      <c r="N7434" s="9"/>
      <c r="P7434" s="14"/>
      <c r="Q7434" s="85"/>
      <c r="R7434" s="89"/>
    </row>
    <row r="7435" spans="13:18" x14ac:dyDescent="0.25">
      <c r="M7435" s="9"/>
      <c r="N7435" s="9"/>
      <c r="P7435" s="14"/>
      <c r="Q7435" s="85"/>
      <c r="R7435" s="89"/>
    </row>
    <row r="7436" spans="13:18" x14ac:dyDescent="0.25">
      <c r="M7436" s="9"/>
      <c r="N7436" s="9"/>
      <c r="P7436" s="14"/>
      <c r="Q7436" s="85"/>
      <c r="R7436" s="89"/>
    </row>
    <row r="7437" spans="13:18" x14ac:dyDescent="0.25">
      <c r="M7437" s="9"/>
      <c r="N7437" s="9"/>
      <c r="P7437" s="14"/>
      <c r="Q7437" s="85"/>
      <c r="R7437" s="89"/>
    </row>
    <row r="7438" spans="13:18" x14ac:dyDescent="0.25">
      <c r="M7438" s="9"/>
      <c r="N7438" s="9"/>
      <c r="P7438" s="14"/>
      <c r="Q7438" s="85"/>
      <c r="R7438" s="89"/>
    </row>
    <row r="7439" spans="13:18" x14ac:dyDescent="0.25">
      <c r="M7439" s="9"/>
      <c r="N7439" s="9"/>
      <c r="P7439" s="14"/>
      <c r="Q7439" s="85"/>
      <c r="R7439" s="89"/>
    </row>
    <row r="7440" spans="13:18" x14ac:dyDescent="0.25">
      <c r="M7440" s="9"/>
      <c r="N7440" s="9"/>
      <c r="P7440" s="14"/>
      <c r="Q7440" s="85"/>
      <c r="R7440" s="89"/>
    </row>
    <row r="7441" spans="13:18" x14ac:dyDescent="0.25">
      <c r="M7441" s="9"/>
      <c r="N7441" s="9"/>
      <c r="P7441" s="14"/>
      <c r="Q7441" s="85"/>
      <c r="R7441" s="89"/>
    </row>
    <row r="7442" spans="13:18" x14ac:dyDescent="0.25">
      <c r="M7442" s="9"/>
      <c r="N7442" s="9"/>
      <c r="P7442" s="14"/>
      <c r="Q7442" s="85"/>
      <c r="R7442" s="89"/>
    </row>
    <row r="7443" spans="13:18" x14ac:dyDescent="0.25">
      <c r="M7443" s="9"/>
      <c r="N7443" s="9"/>
      <c r="P7443" s="14"/>
      <c r="Q7443" s="85"/>
      <c r="R7443" s="89"/>
    </row>
    <row r="7444" spans="13:18" x14ac:dyDescent="0.25">
      <c r="M7444" s="9"/>
      <c r="N7444" s="9"/>
      <c r="P7444" s="14"/>
      <c r="Q7444" s="85"/>
      <c r="R7444" s="89"/>
    </row>
    <row r="7445" spans="13:18" x14ac:dyDescent="0.25">
      <c r="M7445" s="9"/>
      <c r="N7445" s="9"/>
      <c r="P7445" s="14"/>
      <c r="Q7445" s="85"/>
      <c r="R7445" s="89"/>
    </row>
    <row r="7446" spans="13:18" x14ac:dyDescent="0.25">
      <c r="M7446" s="9"/>
      <c r="N7446" s="9"/>
      <c r="P7446" s="14"/>
      <c r="Q7446" s="85"/>
      <c r="R7446" s="89"/>
    </row>
    <row r="7447" spans="13:18" x14ac:dyDescent="0.25">
      <c r="M7447" s="9"/>
      <c r="N7447" s="9"/>
      <c r="P7447" s="14"/>
      <c r="Q7447" s="85"/>
      <c r="R7447" s="89"/>
    </row>
    <row r="7448" spans="13:18" x14ac:dyDescent="0.25">
      <c r="M7448" s="9"/>
      <c r="N7448" s="9"/>
      <c r="P7448" s="14"/>
      <c r="Q7448" s="85"/>
      <c r="R7448" s="89"/>
    </row>
    <row r="7449" spans="13:18" x14ac:dyDescent="0.25">
      <c r="M7449" s="9"/>
      <c r="N7449" s="9"/>
      <c r="P7449" s="14"/>
      <c r="Q7449" s="85"/>
      <c r="R7449" s="89"/>
    </row>
    <row r="7450" spans="13:18" x14ac:dyDescent="0.25">
      <c r="M7450" s="9"/>
      <c r="N7450" s="9"/>
      <c r="P7450" s="14"/>
      <c r="Q7450" s="85"/>
      <c r="R7450" s="89"/>
    </row>
    <row r="7451" spans="13:18" x14ac:dyDescent="0.25">
      <c r="M7451" s="9"/>
      <c r="N7451" s="9"/>
      <c r="P7451" s="14"/>
      <c r="Q7451" s="85"/>
      <c r="R7451" s="89"/>
    </row>
    <row r="7452" spans="13:18" x14ac:dyDescent="0.25">
      <c r="M7452" s="9"/>
      <c r="N7452" s="9"/>
      <c r="P7452" s="14"/>
      <c r="Q7452" s="85"/>
      <c r="R7452" s="89"/>
    </row>
    <row r="7453" spans="13:18" x14ac:dyDescent="0.25">
      <c r="M7453" s="9"/>
      <c r="N7453" s="9"/>
      <c r="P7453" s="14"/>
      <c r="Q7453" s="85"/>
      <c r="R7453" s="89"/>
    </row>
    <row r="7454" spans="13:18" x14ac:dyDescent="0.25">
      <c r="M7454" s="9"/>
      <c r="N7454" s="9"/>
      <c r="P7454" s="14"/>
      <c r="Q7454" s="85"/>
      <c r="R7454" s="89"/>
    </row>
    <row r="7455" spans="13:18" x14ac:dyDescent="0.25">
      <c r="M7455" s="9"/>
      <c r="N7455" s="9"/>
      <c r="P7455" s="14"/>
      <c r="Q7455" s="85"/>
      <c r="R7455" s="89"/>
    </row>
    <row r="7456" spans="13:18" x14ac:dyDescent="0.25">
      <c r="M7456" s="9"/>
      <c r="N7456" s="9"/>
      <c r="P7456" s="14"/>
      <c r="Q7456" s="85"/>
      <c r="R7456" s="89"/>
    </row>
    <row r="7457" spans="13:18" x14ac:dyDescent="0.25">
      <c r="M7457" s="9"/>
      <c r="N7457" s="9"/>
      <c r="P7457" s="14"/>
      <c r="Q7457" s="85"/>
      <c r="R7457" s="89"/>
    </row>
    <row r="7458" spans="13:18" x14ac:dyDescent="0.25">
      <c r="M7458" s="9"/>
      <c r="N7458" s="9"/>
      <c r="P7458" s="14"/>
      <c r="Q7458" s="85"/>
      <c r="R7458" s="89"/>
    </row>
    <row r="7459" spans="13:18" x14ac:dyDescent="0.25">
      <c r="M7459" s="9"/>
      <c r="N7459" s="9"/>
      <c r="P7459" s="14"/>
      <c r="Q7459" s="85"/>
      <c r="R7459" s="89"/>
    </row>
    <row r="7460" spans="13:18" x14ac:dyDescent="0.25">
      <c r="M7460" s="9"/>
      <c r="N7460" s="9"/>
      <c r="P7460" s="14"/>
      <c r="Q7460" s="85"/>
      <c r="R7460" s="89"/>
    </row>
    <row r="7461" spans="13:18" x14ac:dyDescent="0.25">
      <c r="M7461" s="9"/>
      <c r="N7461" s="9"/>
      <c r="P7461" s="14"/>
      <c r="Q7461" s="85"/>
      <c r="R7461" s="89"/>
    </row>
    <row r="7462" spans="13:18" x14ac:dyDescent="0.25">
      <c r="M7462" s="9"/>
      <c r="N7462" s="9"/>
      <c r="P7462" s="14"/>
      <c r="Q7462" s="85"/>
      <c r="R7462" s="89"/>
    </row>
    <row r="7463" spans="13:18" x14ac:dyDescent="0.25">
      <c r="M7463" s="9"/>
      <c r="N7463" s="9"/>
      <c r="P7463" s="14"/>
      <c r="Q7463" s="85"/>
      <c r="R7463" s="89"/>
    </row>
    <row r="7464" spans="13:18" x14ac:dyDescent="0.25">
      <c r="M7464" s="9"/>
      <c r="N7464" s="9"/>
      <c r="P7464" s="14"/>
      <c r="Q7464" s="85"/>
      <c r="R7464" s="89"/>
    </row>
    <row r="7465" spans="13:18" x14ac:dyDescent="0.25">
      <c r="M7465" s="9"/>
      <c r="N7465" s="9"/>
      <c r="P7465" s="14"/>
      <c r="Q7465" s="85"/>
      <c r="R7465" s="89"/>
    </row>
    <row r="7466" spans="13:18" x14ac:dyDescent="0.25">
      <c r="M7466" s="9"/>
      <c r="N7466" s="9"/>
      <c r="P7466" s="14"/>
      <c r="Q7466" s="85"/>
      <c r="R7466" s="89"/>
    </row>
    <row r="7467" spans="13:18" x14ac:dyDescent="0.25">
      <c r="M7467" s="9"/>
      <c r="N7467" s="9"/>
      <c r="P7467" s="14"/>
      <c r="Q7467" s="85"/>
      <c r="R7467" s="89"/>
    </row>
    <row r="7468" spans="13:18" x14ac:dyDescent="0.25">
      <c r="M7468" s="9"/>
      <c r="N7468" s="9"/>
      <c r="P7468" s="14"/>
      <c r="Q7468" s="85"/>
      <c r="R7468" s="89"/>
    </row>
    <row r="7469" spans="13:18" x14ac:dyDescent="0.25">
      <c r="M7469" s="9"/>
      <c r="N7469" s="9"/>
      <c r="P7469" s="14"/>
      <c r="Q7469" s="85"/>
      <c r="R7469" s="89"/>
    </row>
    <row r="7470" spans="13:18" x14ac:dyDescent="0.25">
      <c r="M7470" s="9"/>
      <c r="N7470" s="9"/>
      <c r="P7470" s="14"/>
      <c r="Q7470" s="85"/>
      <c r="R7470" s="89"/>
    </row>
    <row r="7471" spans="13:18" x14ac:dyDescent="0.25">
      <c r="M7471" s="9"/>
      <c r="N7471" s="9"/>
      <c r="P7471" s="14"/>
      <c r="Q7471" s="85"/>
      <c r="R7471" s="89"/>
    </row>
    <row r="7472" spans="13:18" x14ac:dyDescent="0.25">
      <c r="M7472" s="9"/>
      <c r="N7472" s="9"/>
      <c r="P7472" s="14"/>
      <c r="Q7472" s="85"/>
      <c r="R7472" s="89"/>
    </row>
    <row r="7473" spans="13:18" x14ac:dyDescent="0.25">
      <c r="M7473" s="9"/>
      <c r="N7473" s="9"/>
      <c r="P7473" s="14"/>
      <c r="Q7473" s="85"/>
      <c r="R7473" s="89"/>
    </row>
    <row r="7474" spans="13:18" x14ac:dyDescent="0.25">
      <c r="M7474" s="9"/>
      <c r="N7474" s="9"/>
      <c r="P7474" s="14"/>
      <c r="Q7474" s="85"/>
      <c r="R7474" s="89"/>
    </row>
    <row r="7475" spans="13:18" x14ac:dyDescent="0.25">
      <c r="M7475" s="9"/>
      <c r="N7475" s="9"/>
      <c r="P7475" s="14"/>
      <c r="Q7475" s="85"/>
      <c r="R7475" s="89"/>
    </row>
    <row r="7476" spans="13:18" x14ac:dyDescent="0.25">
      <c r="M7476" s="9"/>
      <c r="N7476" s="9"/>
      <c r="P7476" s="14"/>
      <c r="Q7476" s="85"/>
      <c r="R7476" s="89"/>
    </row>
    <row r="7477" spans="13:18" x14ac:dyDescent="0.25">
      <c r="M7477" s="9"/>
      <c r="N7477" s="9"/>
      <c r="P7477" s="14"/>
      <c r="Q7477" s="85"/>
      <c r="R7477" s="89"/>
    </row>
    <row r="7478" spans="13:18" x14ac:dyDescent="0.25">
      <c r="M7478" s="9"/>
      <c r="N7478" s="9"/>
      <c r="P7478" s="14"/>
      <c r="Q7478" s="85"/>
      <c r="R7478" s="89"/>
    </row>
    <row r="7479" spans="13:18" x14ac:dyDescent="0.25">
      <c r="M7479" s="9"/>
      <c r="N7479" s="9"/>
      <c r="P7479" s="14"/>
      <c r="Q7479" s="85"/>
      <c r="R7479" s="89"/>
    </row>
    <row r="7480" spans="13:18" x14ac:dyDescent="0.25">
      <c r="M7480" s="9"/>
      <c r="N7480" s="9"/>
      <c r="P7480" s="14"/>
      <c r="Q7480" s="85"/>
      <c r="R7480" s="89"/>
    </row>
    <row r="7481" spans="13:18" x14ac:dyDescent="0.25">
      <c r="M7481" s="9"/>
      <c r="N7481" s="9"/>
      <c r="P7481" s="14"/>
      <c r="Q7481" s="85"/>
      <c r="R7481" s="89"/>
    </row>
    <row r="7482" spans="13:18" x14ac:dyDescent="0.25">
      <c r="M7482" s="9"/>
      <c r="N7482" s="9"/>
      <c r="P7482" s="14"/>
      <c r="Q7482" s="85"/>
      <c r="R7482" s="89"/>
    </row>
    <row r="7483" spans="13:18" x14ac:dyDescent="0.25">
      <c r="M7483" s="9"/>
      <c r="N7483" s="9"/>
      <c r="P7483" s="14"/>
      <c r="Q7483" s="85"/>
      <c r="R7483" s="89"/>
    </row>
    <row r="7484" spans="13:18" x14ac:dyDescent="0.25">
      <c r="M7484" s="9"/>
      <c r="N7484" s="9"/>
      <c r="P7484" s="14"/>
      <c r="Q7484" s="85"/>
      <c r="R7484" s="89"/>
    </row>
    <row r="7485" spans="13:18" x14ac:dyDescent="0.25">
      <c r="M7485" s="9"/>
      <c r="N7485" s="9"/>
      <c r="P7485" s="14"/>
      <c r="Q7485" s="85"/>
      <c r="R7485" s="89"/>
    </row>
    <row r="7486" spans="13:18" x14ac:dyDescent="0.25">
      <c r="M7486" s="9"/>
      <c r="N7486" s="9"/>
      <c r="P7486" s="14"/>
      <c r="Q7486" s="85"/>
      <c r="R7486" s="89"/>
    </row>
    <row r="7487" spans="13:18" x14ac:dyDescent="0.25">
      <c r="M7487" s="9"/>
      <c r="N7487" s="9"/>
      <c r="P7487" s="14"/>
      <c r="Q7487" s="85"/>
      <c r="R7487" s="89"/>
    </row>
    <row r="7488" spans="13:18" x14ac:dyDescent="0.25">
      <c r="M7488" s="9"/>
      <c r="N7488" s="9"/>
      <c r="P7488" s="14"/>
      <c r="Q7488" s="85"/>
      <c r="R7488" s="89"/>
    </row>
    <row r="7489" spans="13:18" x14ac:dyDescent="0.25">
      <c r="M7489" s="9"/>
      <c r="N7489" s="9"/>
      <c r="P7489" s="14"/>
      <c r="Q7489" s="85"/>
      <c r="R7489" s="89"/>
    </row>
    <row r="7490" spans="13:18" x14ac:dyDescent="0.25">
      <c r="M7490" s="9"/>
      <c r="N7490" s="9"/>
      <c r="P7490" s="14"/>
      <c r="Q7490" s="85"/>
      <c r="R7490" s="89"/>
    </row>
    <row r="7491" spans="13:18" x14ac:dyDescent="0.25">
      <c r="M7491" s="9"/>
      <c r="N7491" s="9"/>
      <c r="P7491" s="14"/>
      <c r="Q7491" s="85"/>
      <c r="R7491" s="89"/>
    </row>
    <row r="7492" spans="13:18" x14ac:dyDescent="0.25">
      <c r="M7492" s="9"/>
      <c r="N7492" s="9"/>
      <c r="P7492" s="14"/>
      <c r="Q7492" s="85"/>
      <c r="R7492" s="89"/>
    </row>
    <row r="7493" spans="13:18" x14ac:dyDescent="0.25">
      <c r="M7493" s="9"/>
      <c r="N7493" s="9"/>
      <c r="P7493" s="14"/>
      <c r="Q7493" s="85"/>
      <c r="R7493" s="89"/>
    </row>
    <row r="7494" spans="13:18" x14ac:dyDescent="0.25">
      <c r="M7494" s="9"/>
      <c r="N7494" s="9"/>
      <c r="P7494" s="14"/>
      <c r="Q7494" s="85"/>
      <c r="R7494" s="89"/>
    </row>
    <row r="7495" spans="13:18" x14ac:dyDescent="0.25">
      <c r="M7495" s="9"/>
      <c r="N7495" s="9"/>
      <c r="P7495" s="14"/>
      <c r="Q7495" s="85"/>
      <c r="R7495" s="89"/>
    </row>
    <row r="7496" spans="13:18" x14ac:dyDescent="0.25">
      <c r="M7496" s="9"/>
      <c r="N7496" s="9"/>
      <c r="P7496" s="14"/>
      <c r="Q7496" s="85"/>
      <c r="R7496" s="89"/>
    </row>
    <row r="7497" spans="13:18" x14ac:dyDescent="0.25">
      <c r="M7497" s="9"/>
      <c r="N7497" s="9"/>
      <c r="P7497" s="14"/>
      <c r="Q7497" s="85"/>
      <c r="R7497" s="89"/>
    </row>
    <row r="7498" spans="13:18" x14ac:dyDescent="0.25">
      <c r="M7498" s="9"/>
      <c r="N7498" s="9"/>
      <c r="P7498" s="14"/>
      <c r="Q7498" s="85"/>
      <c r="R7498" s="89"/>
    </row>
    <row r="7499" spans="13:18" x14ac:dyDescent="0.25">
      <c r="M7499" s="9"/>
      <c r="N7499" s="9"/>
      <c r="P7499" s="14"/>
      <c r="Q7499" s="85"/>
      <c r="R7499" s="89"/>
    </row>
    <row r="7500" spans="13:18" x14ac:dyDescent="0.25">
      <c r="M7500" s="9"/>
      <c r="N7500" s="9"/>
      <c r="P7500" s="14"/>
      <c r="Q7500" s="85"/>
      <c r="R7500" s="89"/>
    </row>
    <row r="7501" spans="13:18" x14ac:dyDescent="0.25">
      <c r="M7501" s="9"/>
      <c r="N7501" s="9"/>
      <c r="P7501" s="14"/>
      <c r="Q7501" s="85"/>
      <c r="R7501" s="89"/>
    </row>
    <row r="7502" spans="13:18" x14ac:dyDescent="0.25">
      <c r="M7502" s="9"/>
      <c r="N7502" s="9"/>
      <c r="P7502" s="14"/>
      <c r="Q7502" s="85"/>
      <c r="R7502" s="89"/>
    </row>
    <row r="7503" spans="13:18" x14ac:dyDescent="0.25">
      <c r="M7503" s="9"/>
      <c r="N7503" s="9"/>
      <c r="P7503" s="14"/>
      <c r="Q7503" s="85"/>
      <c r="R7503" s="89"/>
    </row>
    <row r="7504" spans="13:18" x14ac:dyDescent="0.25">
      <c r="M7504" s="9"/>
      <c r="N7504" s="9"/>
      <c r="P7504" s="14"/>
      <c r="Q7504" s="85"/>
      <c r="R7504" s="89"/>
    </row>
    <row r="7505" spans="13:18" x14ac:dyDescent="0.25">
      <c r="M7505" s="9"/>
      <c r="N7505" s="9"/>
      <c r="P7505" s="14"/>
      <c r="Q7505" s="85"/>
      <c r="R7505" s="89"/>
    </row>
    <row r="7506" spans="13:18" x14ac:dyDescent="0.25">
      <c r="M7506" s="9"/>
      <c r="N7506" s="9"/>
      <c r="P7506" s="14"/>
      <c r="Q7506" s="85"/>
      <c r="R7506" s="89"/>
    </row>
    <row r="7507" spans="13:18" x14ac:dyDescent="0.25">
      <c r="M7507" s="9"/>
      <c r="N7507" s="9"/>
      <c r="P7507" s="14"/>
      <c r="Q7507" s="85"/>
      <c r="R7507" s="89"/>
    </row>
    <row r="7508" spans="13:18" x14ac:dyDescent="0.25">
      <c r="M7508" s="9"/>
      <c r="N7508" s="9"/>
      <c r="P7508" s="14"/>
      <c r="Q7508" s="85"/>
      <c r="R7508" s="89"/>
    </row>
    <row r="7509" spans="13:18" x14ac:dyDescent="0.25">
      <c r="M7509" s="9"/>
      <c r="N7509" s="9"/>
      <c r="P7509" s="14"/>
      <c r="Q7509" s="85"/>
      <c r="R7509" s="89"/>
    </row>
    <row r="7510" spans="13:18" x14ac:dyDescent="0.25">
      <c r="M7510" s="9"/>
      <c r="N7510" s="9"/>
      <c r="P7510" s="14"/>
      <c r="Q7510" s="85"/>
      <c r="R7510" s="89"/>
    </row>
    <row r="7511" spans="13:18" x14ac:dyDescent="0.25">
      <c r="M7511" s="9"/>
      <c r="N7511" s="9"/>
      <c r="P7511" s="14"/>
      <c r="Q7511" s="85"/>
      <c r="R7511" s="89"/>
    </row>
    <row r="7512" spans="13:18" x14ac:dyDescent="0.25">
      <c r="M7512" s="9"/>
      <c r="N7512" s="9"/>
      <c r="P7512" s="14"/>
      <c r="Q7512" s="85"/>
      <c r="R7512" s="89"/>
    </row>
    <row r="7513" spans="13:18" x14ac:dyDescent="0.25">
      <c r="M7513" s="9"/>
      <c r="N7513" s="9"/>
      <c r="P7513" s="14"/>
      <c r="Q7513" s="85"/>
      <c r="R7513" s="89"/>
    </row>
    <row r="7514" spans="13:18" x14ac:dyDescent="0.25">
      <c r="M7514" s="9"/>
      <c r="N7514" s="9"/>
      <c r="P7514" s="14"/>
      <c r="Q7514" s="85"/>
      <c r="R7514" s="89"/>
    </row>
    <row r="7515" spans="13:18" x14ac:dyDescent="0.25">
      <c r="M7515" s="9"/>
      <c r="N7515" s="9"/>
      <c r="P7515" s="14"/>
      <c r="Q7515" s="85"/>
      <c r="R7515" s="89"/>
    </row>
    <row r="7516" spans="13:18" x14ac:dyDescent="0.25">
      <c r="M7516" s="9"/>
      <c r="N7516" s="9"/>
      <c r="P7516" s="14"/>
      <c r="Q7516" s="85"/>
      <c r="R7516" s="89"/>
    </row>
    <row r="7517" spans="13:18" x14ac:dyDescent="0.25">
      <c r="M7517" s="9"/>
      <c r="N7517" s="9"/>
      <c r="P7517" s="14"/>
      <c r="Q7517" s="85"/>
      <c r="R7517" s="89"/>
    </row>
    <row r="7518" spans="13:18" x14ac:dyDescent="0.25">
      <c r="M7518" s="9"/>
      <c r="N7518" s="9"/>
      <c r="P7518" s="14"/>
      <c r="Q7518" s="85"/>
      <c r="R7518" s="89"/>
    </row>
    <row r="7519" spans="13:18" x14ac:dyDescent="0.25">
      <c r="M7519" s="9"/>
      <c r="N7519" s="9"/>
      <c r="P7519" s="14"/>
      <c r="Q7519" s="85"/>
      <c r="R7519" s="89"/>
    </row>
    <row r="7520" spans="13:18" x14ac:dyDescent="0.25">
      <c r="M7520" s="9"/>
      <c r="N7520" s="9"/>
      <c r="P7520" s="14"/>
      <c r="Q7520" s="85"/>
      <c r="R7520" s="89"/>
    </row>
    <row r="7521" spans="13:18" x14ac:dyDescent="0.25">
      <c r="M7521" s="9"/>
      <c r="N7521" s="9"/>
      <c r="P7521" s="14"/>
      <c r="Q7521" s="85"/>
      <c r="R7521" s="89"/>
    </row>
    <row r="7522" spans="13:18" x14ac:dyDescent="0.25">
      <c r="M7522" s="9"/>
      <c r="N7522" s="9"/>
      <c r="P7522" s="14"/>
      <c r="Q7522" s="85"/>
      <c r="R7522" s="89"/>
    </row>
    <row r="7523" spans="13:18" x14ac:dyDescent="0.25">
      <c r="M7523" s="9"/>
      <c r="N7523" s="9"/>
      <c r="P7523" s="14"/>
      <c r="Q7523" s="85"/>
      <c r="R7523" s="89"/>
    </row>
    <row r="7524" spans="13:18" x14ac:dyDescent="0.25">
      <c r="M7524" s="9"/>
      <c r="N7524" s="9"/>
      <c r="P7524" s="14"/>
      <c r="Q7524" s="85"/>
      <c r="R7524" s="89"/>
    </row>
    <row r="7525" spans="13:18" x14ac:dyDescent="0.25">
      <c r="M7525" s="9"/>
      <c r="N7525" s="9"/>
      <c r="P7525" s="14"/>
      <c r="Q7525" s="85"/>
      <c r="R7525" s="89"/>
    </row>
    <row r="7526" spans="13:18" x14ac:dyDescent="0.25">
      <c r="M7526" s="9"/>
      <c r="N7526" s="9"/>
      <c r="P7526" s="14"/>
      <c r="Q7526" s="85"/>
      <c r="R7526" s="89"/>
    </row>
    <row r="7527" spans="13:18" x14ac:dyDescent="0.25">
      <c r="M7527" s="9"/>
      <c r="N7527" s="9"/>
      <c r="P7527" s="14"/>
      <c r="Q7527" s="85"/>
      <c r="R7527" s="89"/>
    </row>
    <row r="7528" spans="13:18" x14ac:dyDescent="0.25">
      <c r="M7528" s="9"/>
      <c r="N7528" s="9"/>
      <c r="P7528" s="14"/>
      <c r="Q7528" s="85"/>
      <c r="R7528" s="89"/>
    </row>
    <row r="7529" spans="13:18" x14ac:dyDescent="0.25">
      <c r="M7529" s="9"/>
      <c r="N7529" s="9"/>
      <c r="P7529" s="14"/>
      <c r="Q7529" s="85"/>
      <c r="R7529" s="89"/>
    </row>
    <row r="7530" spans="13:18" x14ac:dyDescent="0.25">
      <c r="M7530" s="9"/>
      <c r="N7530" s="9"/>
      <c r="P7530" s="14"/>
      <c r="Q7530" s="85"/>
      <c r="R7530" s="89"/>
    </row>
    <row r="7531" spans="13:18" x14ac:dyDescent="0.25">
      <c r="M7531" s="9"/>
      <c r="N7531" s="9"/>
      <c r="P7531" s="14"/>
      <c r="Q7531" s="85"/>
      <c r="R7531" s="89"/>
    </row>
    <row r="7532" spans="13:18" x14ac:dyDescent="0.25">
      <c r="M7532" s="9"/>
      <c r="N7532" s="9"/>
      <c r="P7532" s="14"/>
      <c r="Q7532" s="85"/>
      <c r="R7532" s="89"/>
    </row>
    <row r="7533" spans="13:18" x14ac:dyDescent="0.25">
      <c r="M7533" s="9"/>
      <c r="N7533" s="9"/>
      <c r="P7533" s="14"/>
      <c r="Q7533" s="85"/>
      <c r="R7533" s="89"/>
    </row>
    <row r="7534" spans="13:18" x14ac:dyDescent="0.25">
      <c r="M7534" s="9"/>
      <c r="N7534" s="9"/>
      <c r="P7534" s="14"/>
      <c r="Q7534" s="85"/>
      <c r="R7534" s="89"/>
    </row>
    <row r="7535" spans="13:18" x14ac:dyDescent="0.25">
      <c r="M7535" s="9"/>
      <c r="N7535" s="9"/>
      <c r="P7535" s="14"/>
      <c r="Q7535" s="85"/>
      <c r="R7535" s="89"/>
    </row>
    <row r="7536" spans="13:18" x14ac:dyDescent="0.25">
      <c r="M7536" s="9"/>
      <c r="N7536" s="9"/>
      <c r="P7536" s="14"/>
      <c r="Q7536" s="85"/>
      <c r="R7536" s="89"/>
    </row>
    <row r="7537" spans="13:18" x14ac:dyDescent="0.25">
      <c r="M7537" s="9"/>
      <c r="N7537" s="9"/>
      <c r="P7537" s="14"/>
      <c r="Q7537" s="85"/>
      <c r="R7537" s="89"/>
    </row>
    <row r="7538" spans="13:18" x14ac:dyDescent="0.25">
      <c r="M7538" s="9"/>
      <c r="N7538" s="9"/>
      <c r="P7538" s="14"/>
      <c r="Q7538" s="85"/>
      <c r="R7538" s="89"/>
    </row>
    <row r="7539" spans="13:18" x14ac:dyDescent="0.25">
      <c r="M7539" s="9"/>
      <c r="N7539" s="9"/>
      <c r="P7539" s="14"/>
      <c r="Q7539" s="85"/>
      <c r="R7539" s="89"/>
    </row>
    <row r="7540" spans="13:18" x14ac:dyDescent="0.25">
      <c r="M7540" s="9"/>
      <c r="N7540" s="9"/>
      <c r="P7540" s="14"/>
      <c r="Q7540" s="85"/>
      <c r="R7540" s="89"/>
    </row>
    <row r="7541" spans="13:18" x14ac:dyDescent="0.25">
      <c r="M7541" s="9"/>
      <c r="N7541" s="9"/>
      <c r="P7541" s="14"/>
      <c r="Q7541" s="85"/>
      <c r="R7541" s="89"/>
    </row>
    <row r="7542" spans="13:18" x14ac:dyDescent="0.25">
      <c r="M7542" s="9"/>
      <c r="N7542" s="9"/>
      <c r="P7542" s="14"/>
      <c r="Q7542" s="85"/>
      <c r="R7542" s="89"/>
    </row>
    <row r="7543" spans="13:18" x14ac:dyDescent="0.25">
      <c r="M7543" s="9"/>
      <c r="N7543" s="9"/>
      <c r="P7543" s="14"/>
      <c r="Q7543" s="85"/>
      <c r="R7543" s="89"/>
    </row>
    <row r="7544" spans="13:18" x14ac:dyDescent="0.25">
      <c r="M7544" s="9"/>
      <c r="N7544" s="9"/>
      <c r="P7544" s="14"/>
      <c r="Q7544" s="85"/>
      <c r="R7544" s="89"/>
    </row>
    <row r="7545" spans="13:18" x14ac:dyDescent="0.25">
      <c r="M7545" s="9"/>
      <c r="N7545" s="9"/>
      <c r="P7545" s="14"/>
      <c r="Q7545" s="85"/>
      <c r="R7545" s="89"/>
    </row>
    <row r="7546" spans="13:18" x14ac:dyDescent="0.25">
      <c r="M7546" s="9"/>
      <c r="N7546" s="9"/>
      <c r="P7546" s="14"/>
      <c r="Q7546" s="85"/>
      <c r="R7546" s="89"/>
    </row>
    <row r="7547" spans="13:18" x14ac:dyDescent="0.25">
      <c r="M7547" s="9"/>
      <c r="N7547" s="9"/>
      <c r="P7547" s="14"/>
      <c r="Q7547" s="85"/>
      <c r="R7547" s="89"/>
    </row>
    <row r="7548" spans="13:18" x14ac:dyDescent="0.25">
      <c r="M7548" s="9"/>
      <c r="N7548" s="9"/>
      <c r="P7548" s="14"/>
      <c r="Q7548" s="85"/>
      <c r="R7548" s="89"/>
    </row>
    <row r="7549" spans="13:18" x14ac:dyDescent="0.25">
      <c r="M7549" s="9"/>
      <c r="N7549" s="9"/>
      <c r="P7549" s="14"/>
      <c r="Q7549" s="85"/>
      <c r="R7549" s="89"/>
    </row>
    <row r="7550" spans="13:18" x14ac:dyDescent="0.25">
      <c r="M7550" s="9"/>
      <c r="N7550" s="9"/>
      <c r="P7550" s="14"/>
      <c r="Q7550" s="85"/>
      <c r="R7550" s="89"/>
    </row>
    <row r="7551" spans="13:18" x14ac:dyDescent="0.25">
      <c r="M7551" s="9"/>
      <c r="N7551" s="9"/>
      <c r="P7551" s="14"/>
      <c r="Q7551" s="85"/>
      <c r="R7551" s="89"/>
    </row>
    <row r="7552" spans="13:18" x14ac:dyDescent="0.25">
      <c r="M7552" s="9"/>
      <c r="N7552" s="9"/>
      <c r="P7552" s="14"/>
      <c r="Q7552" s="85"/>
      <c r="R7552" s="89"/>
    </row>
    <row r="7553" spans="13:18" x14ac:dyDescent="0.25">
      <c r="M7553" s="9"/>
      <c r="N7553" s="9"/>
      <c r="P7553" s="14"/>
      <c r="Q7553" s="85"/>
      <c r="R7553" s="89"/>
    </row>
    <row r="7554" spans="13:18" x14ac:dyDescent="0.25">
      <c r="M7554" s="9"/>
      <c r="N7554" s="9"/>
      <c r="P7554" s="14"/>
      <c r="Q7554" s="85"/>
      <c r="R7554" s="89"/>
    </row>
    <row r="7555" spans="13:18" x14ac:dyDescent="0.25">
      <c r="M7555" s="9"/>
      <c r="N7555" s="9"/>
      <c r="P7555" s="14"/>
      <c r="Q7555" s="85"/>
      <c r="R7555" s="89"/>
    </row>
    <row r="7556" spans="13:18" x14ac:dyDescent="0.25">
      <c r="M7556" s="9"/>
      <c r="N7556" s="9"/>
      <c r="P7556" s="14"/>
      <c r="Q7556" s="85"/>
      <c r="R7556" s="89"/>
    </row>
    <row r="7557" spans="13:18" x14ac:dyDescent="0.25">
      <c r="M7557" s="9"/>
      <c r="N7557" s="9"/>
      <c r="P7557" s="14"/>
      <c r="Q7557" s="85"/>
      <c r="R7557" s="89"/>
    </row>
    <row r="7558" spans="13:18" x14ac:dyDescent="0.25">
      <c r="M7558" s="9"/>
      <c r="N7558" s="9"/>
      <c r="P7558" s="14"/>
      <c r="Q7558" s="85"/>
      <c r="R7558" s="89"/>
    </row>
    <row r="7559" spans="13:18" x14ac:dyDescent="0.25">
      <c r="M7559" s="9"/>
      <c r="N7559" s="9"/>
      <c r="P7559" s="14"/>
      <c r="Q7559" s="85"/>
      <c r="R7559" s="89"/>
    </row>
    <row r="7560" spans="13:18" x14ac:dyDescent="0.25">
      <c r="M7560" s="9"/>
      <c r="N7560" s="9"/>
      <c r="P7560" s="14"/>
      <c r="Q7560" s="85"/>
      <c r="R7560" s="89"/>
    </row>
    <row r="7561" spans="13:18" x14ac:dyDescent="0.25">
      <c r="M7561" s="9"/>
      <c r="N7561" s="9"/>
      <c r="P7561" s="14"/>
      <c r="Q7561" s="85"/>
      <c r="R7561" s="89"/>
    </row>
    <row r="7562" spans="13:18" x14ac:dyDescent="0.25">
      <c r="M7562" s="9"/>
      <c r="N7562" s="9"/>
      <c r="P7562" s="14"/>
      <c r="Q7562" s="85"/>
      <c r="R7562" s="89"/>
    </row>
    <row r="7563" spans="13:18" x14ac:dyDescent="0.25">
      <c r="M7563" s="9"/>
      <c r="N7563" s="9"/>
      <c r="P7563" s="14"/>
      <c r="Q7563" s="85"/>
      <c r="R7563" s="89"/>
    </row>
    <row r="7564" spans="13:18" x14ac:dyDescent="0.25">
      <c r="M7564" s="9"/>
      <c r="N7564" s="9"/>
      <c r="P7564" s="14"/>
      <c r="Q7564" s="85"/>
      <c r="R7564" s="89"/>
    </row>
    <row r="7565" spans="13:18" x14ac:dyDescent="0.25">
      <c r="M7565" s="9"/>
      <c r="N7565" s="9"/>
      <c r="P7565" s="14"/>
      <c r="Q7565" s="85"/>
      <c r="R7565" s="89"/>
    </row>
    <row r="7566" spans="13:18" x14ac:dyDescent="0.25">
      <c r="M7566" s="9"/>
      <c r="N7566" s="9"/>
      <c r="P7566" s="14"/>
      <c r="Q7566" s="85"/>
      <c r="R7566" s="89"/>
    </row>
    <row r="7567" spans="13:18" x14ac:dyDescent="0.25">
      <c r="M7567" s="9"/>
      <c r="N7567" s="9"/>
      <c r="P7567" s="14"/>
      <c r="Q7567" s="85"/>
      <c r="R7567" s="89"/>
    </row>
    <row r="7568" spans="13:18" x14ac:dyDescent="0.25">
      <c r="M7568" s="9"/>
      <c r="N7568" s="9"/>
      <c r="P7568" s="14"/>
      <c r="Q7568" s="85"/>
      <c r="R7568" s="89"/>
    </row>
    <row r="7569" spans="13:18" x14ac:dyDescent="0.25">
      <c r="M7569" s="9"/>
      <c r="N7569" s="9"/>
      <c r="P7569" s="14"/>
      <c r="Q7569" s="85"/>
      <c r="R7569" s="89"/>
    </row>
    <row r="7570" spans="13:18" x14ac:dyDescent="0.25">
      <c r="M7570" s="9"/>
      <c r="N7570" s="9"/>
      <c r="P7570" s="14"/>
      <c r="Q7570" s="85"/>
      <c r="R7570" s="89"/>
    </row>
    <row r="7571" spans="13:18" x14ac:dyDescent="0.25">
      <c r="M7571" s="9"/>
      <c r="N7571" s="9"/>
      <c r="P7571" s="14"/>
      <c r="Q7571" s="85"/>
      <c r="R7571" s="89"/>
    </row>
    <row r="7572" spans="13:18" x14ac:dyDescent="0.25">
      <c r="M7572" s="9"/>
      <c r="N7572" s="9"/>
      <c r="P7572" s="14"/>
      <c r="Q7572" s="85"/>
      <c r="R7572" s="89"/>
    </row>
    <row r="7573" spans="13:18" x14ac:dyDescent="0.25">
      <c r="M7573" s="9"/>
      <c r="N7573" s="9"/>
      <c r="P7573" s="14"/>
      <c r="Q7573" s="85"/>
      <c r="R7573" s="89"/>
    </row>
    <row r="7574" spans="13:18" x14ac:dyDescent="0.25">
      <c r="M7574" s="9"/>
      <c r="N7574" s="9"/>
      <c r="P7574" s="14"/>
      <c r="Q7574" s="85"/>
      <c r="R7574" s="89"/>
    </row>
    <row r="7575" spans="13:18" x14ac:dyDescent="0.25">
      <c r="M7575" s="9"/>
      <c r="N7575" s="9"/>
      <c r="P7575" s="14"/>
      <c r="Q7575" s="85"/>
      <c r="R7575" s="89"/>
    </row>
    <row r="7576" spans="13:18" x14ac:dyDescent="0.25">
      <c r="M7576" s="9"/>
      <c r="N7576" s="9"/>
      <c r="P7576" s="14"/>
      <c r="Q7576" s="85"/>
      <c r="R7576" s="89"/>
    </row>
    <row r="7577" spans="13:18" x14ac:dyDescent="0.25">
      <c r="M7577" s="9"/>
      <c r="N7577" s="9"/>
      <c r="P7577" s="14"/>
      <c r="Q7577" s="85"/>
      <c r="R7577" s="89"/>
    </row>
    <row r="7578" spans="13:18" x14ac:dyDescent="0.25">
      <c r="M7578" s="9"/>
      <c r="N7578" s="9"/>
      <c r="P7578" s="14"/>
      <c r="Q7578" s="85"/>
      <c r="R7578" s="89"/>
    </row>
    <row r="7579" spans="13:18" x14ac:dyDescent="0.25">
      <c r="M7579" s="9"/>
      <c r="N7579" s="9"/>
      <c r="P7579" s="14"/>
      <c r="Q7579" s="85"/>
      <c r="R7579" s="89"/>
    </row>
    <row r="7580" spans="13:18" x14ac:dyDescent="0.25">
      <c r="M7580" s="9"/>
      <c r="N7580" s="9"/>
      <c r="P7580" s="14"/>
      <c r="Q7580" s="85"/>
      <c r="R7580" s="89"/>
    </row>
    <row r="7581" spans="13:18" x14ac:dyDescent="0.25">
      <c r="M7581" s="9"/>
      <c r="N7581" s="9"/>
      <c r="P7581" s="14"/>
      <c r="Q7581" s="85"/>
      <c r="R7581" s="89"/>
    </row>
    <row r="7582" spans="13:18" x14ac:dyDescent="0.25">
      <c r="M7582" s="9"/>
      <c r="N7582" s="9"/>
      <c r="P7582" s="14"/>
      <c r="Q7582" s="85"/>
      <c r="R7582" s="89"/>
    </row>
    <row r="7583" spans="13:18" x14ac:dyDescent="0.25">
      <c r="M7583" s="9"/>
      <c r="N7583" s="9"/>
      <c r="P7583" s="14"/>
      <c r="Q7583" s="85"/>
      <c r="R7583" s="89"/>
    </row>
    <row r="7584" spans="13:18" x14ac:dyDescent="0.25">
      <c r="M7584" s="9"/>
      <c r="N7584" s="9"/>
      <c r="P7584" s="14"/>
      <c r="Q7584" s="85"/>
      <c r="R7584" s="89"/>
    </row>
    <row r="7585" spans="13:18" x14ac:dyDescent="0.25">
      <c r="M7585" s="9"/>
      <c r="N7585" s="9"/>
      <c r="P7585" s="14"/>
      <c r="Q7585" s="85"/>
      <c r="R7585" s="89"/>
    </row>
    <row r="7586" spans="13:18" x14ac:dyDescent="0.25">
      <c r="M7586" s="9"/>
      <c r="N7586" s="9"/>
      <c r="P7586" s="14"/>
      <c r="Q7586" s="85"/>
      <c r="R7586" s="89"/>
    </row>
    <row r="7587" spans="13:18" x14ac:dyDescent="0.25">
      <c r="M7587" s="9"/>
      <c r="N7587" s="9"/>
      <c r="P7587" s="14"/>
      <c r="Q7587" s="85"/>
      <c r="R7587" s="89"/>
    </row>
    <row r="7588" spans="13:18" x14ac:dyDescent="0.25">
      <c r="M7588" s="9"/>
      <c r="N7588" s="9"/>
      <c r="P7588" s="14"/>
      <c r="Q7588" s="85"/>
      <c r="R7588" s="89"/>
    </row>
    <row r="7589" spans="13:18" x14ac:dyDescent="0.25">
      <c r="M7589" s="9"/>
      <c r="N7589" s="9"/>
      <c r="P7589" s="14"/>
      <c r="Q7589" s="85"/>
      <c r="R7589" s="89"/>
    </row>
    <row r="7590" spans="13:18" x14ac:dyDescent="0.25">
      <c r="M7590" s="9"/>
      <c r="N7590" s="9"/>
      <c r="P7590" s="14"/>
      <c r="Q7590" s="85"/>
      <c r="R7590" s="89"/>
    </row>
    <row r="7591" spans="13:18" x14ac:dyDescent="0.25">
      <c r="M7591" s="9"/>
      <c r="N7591" s="9"/>
      <c r="P7591" s="14"/>
      <c r="Q7591" s="85"/>
      <c r="R7591" s="89"/>
    </row>
    <row r="7592" spans="13:18" x14ac:dyDescent="0.25">
      <c r="M7592" s="9"/>
      <c r="N7592" s="9"/>
      <c r="P7592" s="14"/>
      <c r="Q7592" s="85"/>
      <c r="R7592" s="89"/>
    </row>
    <row r="7593" spans="13:18" x14ac:dyDescent="0.25">
      <c r="M7593" s="9"/>
      <c r="N7593" s="9"/>
      <c r="P7593" s="14"/>
      <c r="Q7593" s="85"/>
      <c r="R7593" s="89"/>
    </row>
    <row r="7594" spans="13:18" x14ac:dyDescent="0.25">
      <c r="M7594" s="9"/>
      <c r="N7594" s="9"/>
      <c r="P7594" s="14"/>
      <c r="Q7594" s="85"/>
      <c r="R7594" s="89"/>
    </row>
    <row r="7595" spans="13:18" x14ac:dyDescent="0.25">
      <c r="M7595" s="9"/>
      <c r="N7595" s="9"/>
      <c r="P7595" s="14"/>
      <c r="Q7595" s="85"/>
      <c r="R7595" s="89"/>
    </row>
    <row r="7596" spans="13:18" x14ac:dyDescent="0.25">
      <c r="M7596" s="9"/>
      <c r="N7596" s="9"/>
      <c r="P7596" s="14"/>
      <c r="Q7596" s="85"/>
      <c r="R7596" s="89"/>
    </row>
    <row r="7597" spans="13:18" x14ac:dyDescent="0.25">
      <c r="M7597" s="9"/>
      <c r="N7597" s="9"/>
      <c r="P7597" s="14"/>
      <c r="Q7597" s="85"/>
      <c r="R7597" s="89"/>
    </row>
    <row r="7598" spans="13:18" x14ac:dyDescent="0.25">
      <c r="M7598" s="9"/>
      <c r="N7598" s="9"/>
      <c r="P7598" s="14"/>
      <c r="Q7598" s="85"/>
      <c r="R7598" s="89"/>
    </row>
    <row r="7599" spans="13:18" x14ac:dyDescent="0.25">
      <c r="M7599" s="9"/>
      <c r="N7599" s="9"/>
      <c r="P7599" s="14"/>
      <c r="Q7599" s="85"/>
      <c r="R7599" s="89"/>
    </row>
    <row r="7600" spans="13:18" x14ac:dyDescent="0.25">
      <c r="M7600" s="9"/>
      <c r="N7600" s="9"/>
      <c r="P7600" s="14"/>
      <c r="Q7600" s="85"/>
      <c r="R7600" s="89"/>
    </row>
    <row r="7601" spans="13:18" x14ac:dyDescent="0.25">
      <c r="M7601" s="9"/>
      <c r="N7601" s="9"/>
      <c r="P7601" s="14"/>
      <c r="Q7601" s="85"/>
      <c r="R7601" s="89"/>
    </row>
    <row r="7602" spans="13:18" x14ac:dyDescent="0.25">
      <c r="M7602" s="9"/>
      <c r="N7602" s="9"/>
      <c r="P7602" s="14"/>
      <c r="Q7602" s="85"/>
      <c r="R7602" s="89"/>
    </row>
    <row r="7603" spans="13:18" x14ac:dyDescent="0.25">
      <c r="M7603" s="9"/>
      <c r="N7603" s="9"/>
      <c r="P7603" s="14"/>
      <c r="Q7603" s="85"/>
      <c r="R7603" s="89"/>
    </row>
    <row r="7604" spans="13:18" x14ac:dyDescent="0.25">
      <c r="M7604" s="9"/>
      <c r="N7604" s="9"/>
      <c r="P7604" s="14"/>
      <c r="Q7604" s="85"/>
      <c r="R7604" s="89"/>
    </row>
    <row r="7605" spans="13:18" x14ac:dyDescent="0.25">
      <c r="M7605" s="9"/>
      <c r="N7605" s="9"/>
      <c r="P7605" s="14"/>
      <c r="Q7605" s="85"/>
      <c r="R7605" s="89"/>
    </row>
    <row r="7606" spans="13:18" x14ac:dyDescent="0.25">
      <c r="M7606" s="9"/>
      <c r="N7606" s="9"/>
      <c r="P7606" s="14"/>
      <c r="Q7606" s="85"/>
      <c r="R7606" s="89"/>
    </row>
    <row r="7607" spans="13:18" x14ac:dyDescent="0.25">
      <c r="M7607" s="9"/>
      <c r="N7607" s="9"/>
      <c r="P7607" s="14"/>
      <c r="Q7607" s="85"/>
      <c r="R7607" s="89"/>
    </row>
    <row r="7608" spans="13:18" x14ac:dyDescent="0.25">
      <c r="M7608" s="9"/>
      <c r="N7608" s="9"/>
      <c r="P7608" s="14"/>
      <c r="Q7608" s="85"/>
      <c r="R7608" s="89"/>
    </row>
    <row r="7609" spans="13:18" x14ac:dyDescent="0.25">
      <c r="M7609" s="9"/>
      <c r="N7609" s="9"/>
      <c r="P7609" s="14"/>
      <c r="Q7609" s="85"/>
      <c r="R7609" s="89"/>
    </row>
    <row r="7610" spans="13:18" x14ac:dyDescent="0.25">
      <c r="M7610" s="9"/>
      <c r="N7610" s="9"/>
      <c r="P7610" s="14"/>
      <c r="Q7610" s="85"/>
      <c r="R7610" s="89"/>
    </row>
    <row r="7611" spans="13:18" x14ac:dyDescent="0.25">
      <c r="M7611" s="9"/>
      <c r="N7611" s="9"/>
      <c r="P7611" s="14"/>
      <c r="Q7611" s="85"/>
      <c r="R7611" s="89"/>
    </row>
    <row r="7612" spans="13:18" x14ac:dyDescent="0.25">
      <c r="M7612" s="9"/>
      <c r="N7612" s="9"/>
      <c r="P7612" s="14"/>
      <c r="Q7612" s="85"/>
      <c r="R7612" s="89"/>
    </row>
    <row r="7613" spans="13:18" x14ac:dyDescent="0.25">
      <c r="M7613" s="9"/>
      <c r="N7613" s="9"/>
      <c r="P7613" s="14"/>
      <c r="Q7613" s="85"/>
      <c r="R7613" s="89"/>
    </row>
    <row r="7614" spans="13:18" x14ac:dyDescent="0.25">
      <c r="M7614" s="9"/>
      <c r="N7614" s="9"/>
      <c r="P7614" s="14"/>
      <c r="Q7614" s="85"/>
      <c r="R7614" s="89"/>
    </row>
    <row r="7615" spans="13:18" x14ac:dyDescent="0.25">
      <c r="M7615" s="9"/>
      <c r="N7615" s="9"/>
      <c r="P7615" s="14"/>
      <c r="Q7615" s="85"/>
      <c r="R7615" s="89"/>
    </row>
    <row r="7616" spans="13:18" x14ac:dyDescent="0.25">
      <c r="M7616" s="9"/>
      <c r="N7616" s="9"/>
      <c r="P7616" s="14"/>
      <c r="Q7616" s="85"/>
      <c r="R7616" s="89"/>
    </row>
    <row r="7617" spans="13:18" x14ac:dyDescent="0.25">
      <c r="M7617" s="9"/>
      <c r="N7617" s="9"/>
      <c r="P7617" s="14"/>
      <c r="Q7617" s="85"/>
      <c r="R7617" s="89"/>
    </row>
    <row r="7618" spans="13:18" x14ac:dyDescent="0.25">
      <c r="M7618" s="9"/>
      <c r="N7618" s="9"/>
      <c r="P7618" s="14"/>
      <c r="Q7618" s="85"/>
      <c r="R7618" s="89"/>
    </row>
    <row r="7619" spans="13:18" x14ac:dyDescent="0.25">
      <c r="M7619" s="9"/>
      <c r="N7619" s="9"/>
      <c r="P7619" s="14"/>
      <c r="Q7619" s="85"/>
      <c r="R7619" s="89"/>
    </row>
    <row r="7620" spans="13:18" x14ac:dyDescent="0.25">
      <c r="M7620" s="9"/>
      <c r="N7620" s="9"/>
      <c r="P7620" s="14"/>
      <c r="Q7620" s="85"/>
      <c r="R7620" s="89"/>
    </row>
    <row r="7621" spans="13:18" x14ac:dyDescent="0.25">
      <c r="M7621" s="9"/>
      <c r="N7621" s="9"/>
      <c r="P7621" s="14"/>
      <c r="Q7621" s="85"/>
      <c r="R7621" s="89"/>
    </row>
    <row r="7622" spans="13:18" x14ac:dyDescent="0.25">
      <c r="M7622" s="9"/>
      <c r="N7622" s="9"/>
      <c r="P7622" s="14"/>
      <c r="Q7622" s="85"/>
      <c r="R7622" s="89"/>
    </row>
    <row r="7623" spans="13:18" x14ac:dyDescent="0.25">
      <c r="M7623" s="9"/>
      <c r="N7623" s="9"/>
      <c r="P7623" s="14"/>
      <c r="Q7623" s="85"/>
      <c r="R7623" s="89"/>
    </row>
    <row r="7624" spans="13:18" x14ac:dyDescent="0.25">
      <c r="M7624" s="9"/>
      <c r="N7624" s="9"/>
      <c r="P7624" s="14"/>
      <c r="Q7624" s="85"/>
      <c r="R7624" s="89"/>
    </row>
    <row r="7625" spans="13:18" x14ac:dyDescent="0.25">
      <c r="M7625" s="9"/>
      <c r="N7625" s="9"/>
      <c r="P7625" s="14"/>
      <c r="Q7625" s="85"/>
      <c r="R7625" s="89"/>
    </row>
    <row r="7626" spans="13:18" x14ac:dyDescent="0.25">
      <c r="M7626" s="9"/>
      <c r="N7626" s="9"/>
      <c r="P7626" s="14"/>
      <c r="Q7626" s="85"/>
      <c r="R7626" s="89"/>
    </row>
    <row r="7627" spans="13:18" x14ac:dyDescent="0.25">
      <c r="M7627" s="9"/>
      <c r="N7627" s="9"/>
      <c r="P7627" s="14"/>
      <c r="Q7627" s="85"/>
      <c r="R7627" s="89"/>
    </row>
    <row r="7628" spans="13:18" x14ac:dyDescent="0.25">
      <c r="M7628" s="9"/>
      <c r="N7628" s="9"/>
      <c r="P7628" s="14"/>
      <c r="Q7628" s="85"/>
      <c r="R7628" s="89"/>
    </row>
    <row r="7629" spans="13:18" x14ac:dyDescent="0.25">
      <c r="M7629" s="9"/>
      <c r="N7629" s="9"/>
      <c r="P7629" s="14"/>
      <c r="Q7629" s="85"/>
      <c r="R7629" s="89"/>
    </row>
    <row r="7630" spans="13:18" x14ac:dyDescent="0.25">
      <c r="M7630" s="9"/>
      <c r="N7630" s="9"/>
      <c r="P7630" s="14"/>
      <c r="Q7630" s="85"/>
      <c r="R7630" s="89"/>
    </row>
    <row r="7631" spans="13:18" x14ac:dyDescent="0.25">
      <c r="M7631" s="9"/>
      <c r="N7631" s="9"/>
      <c r="P7631" s="14"/>
      <c r="Q7631" s="85"/>
      <c r="R7631" s="89"/>
    </row>
    <row r="7632" spans="13:18" x14ac:dyDescent="0.25">
      <c r="M7632" s="9"/>
      <c r="N7632" s="9"/>
      <c r="P7632" s="14"/>
      <c r="Q7632" s="85"/>
      <c r="R7632" s="89"/>
    </row>
    <row r="7633" spans="13:18" x14ac:dyDescent="0.25">
      <c r="M7633" s="9"/>
      <c r="N7633" s="9"/>
      <c r="P7633" s="14"/>
      <c r="Q7633" s="85"/>
      <c r="R7633" s="89"/>
    </row>
    <row r="7634" spans="13:18" x14ac:dyDescent="0.25">
      <c r="M7634" s="9"/>
      <c r="N7634" s="9"/>
      <c r="P7634" s="14"/>
      <c r="Q7634" s="85"/>
      <c r="R7634" s="89"/>
    </row>
    <row r="7635" spans="13:18" x14ac:dyDescent="0.25">
      <c r="M7635" s="9"/>
      <c r="N7635" s="9"/>
      <c r="P7635" s="14"/>
      <c r="Q7635" s="85"/>
      <c r="R7635" s="89"/>
    </row>
    <row r="7636" spans="13:18" x14ac:dyDescent="0.25">
      <c r="M7636" s="9"/>
      <c r="N7636" s="9"/>
      <c r="P7636" s="14"/>
      <c r="Q7636" s="85"/>
      <c r="R7636" s="89"/>
    </row>
    <row r="7637" spans="13:18" x14ac:dyDescent="0.25">
      <c r="M7637" s="9"/>
      <c r="N7637" s="9"/>
      <c r="P7637" s="14"/>
      <c r="Q7637" s="85"/>
      <c r="R7637" s="89"/>
    </row>
    <row r="7638" spans="13:18" x14ac:dyDescent="0.25">
      <c r="M7638" s="9"/>
      <c r="N7638" s="9"/>
      <c r="P7638" s="14"/>
      <c r="Q7638" s="85"/>
      <c r="R7638" s="89"/>
    </row>
    <row r="7639" spans="13:18" x14ac:dyDescent="0.25">
      <c r="M7639" s="9"/>
      <c r="N7639" s="9"/>
      <c r="P7639" s="14"/>
      <c r="Q7639" s="85"/>
      <c r="R7639" s="89"/>
    </row>
    <row r="7640" spans="13:18" x14ac:dyDescent="0.25">
      <c r="M7640" s="9"/>
      <c r="N7640" s="9"/>
      <c r="P7640" s="14"/>
      <c r="Q7640" s="85"/>
      <c r="R7640" s="89"/>
    </row>
    <row r="7641" spans="13:18" x14ac:dyDescent="0.25">
      <c r="M7641" s="9"/>
      <c r="N7641" s="9"/>
      <c r="P7641" s="14"/>
      <c r="Q7641" s="85"/>
      <c r="R7641" s="89"/>
    </row>
    <row r="7642" spans="13:18" x14ac:dyDescent="0.25">
      <c r="M7642" s="9"/>
      <c r="N7642" s="9"/>
      <c r="P7642" s="14"/>
      <c r="Q7642" s="85"/>
      <c r="R7642" s="89"/>
    </row>
    <row r="7643" spans="13:18" x14ac:dyDescent="0.25">
      <c r="M7643" s="9"/>
      <c r="N7643" s="9"/>
      <c r="P7643" s="14"/>
      <c r="Q7643" s="85"/>
      <c r="R7643" s="89"/>
    </row>
    <row r="7644" spans="13:18" x14ac:dyDescent="0.25">
      <c r="M7644" s="9"/>
      <c r="N7644" s="9"/>
      <c r="P7644" s="14"/>
      <c r="Q7644" s="85"/>
      <c r="R7644" s="89"/>
    </row>
    <row r="7645" spans="13:18" x14ac:dyDescent="0.25">
      <c r="M7645" s="9"/>
      <c r="N7645" s="9"/>
      <c r="P7645" s="14"/>
      <c r="Q7645" s="85"/>
      <c r="R7645" s="89"/>
    </row>
    <row r="7646" spans="13:18" x14ac:dyDescent="0.25">
      <c r="M7646" s="9"/>
      <c r="N7646" s="9"/>
      <c r="P7646" s="14"/>
      <c r="Q7646" s="85"/>
      <c r="R7646" s="89"/>
    </row>
    <row r="7647" spans="13:18" x14ac:dyDescent="0.25">
      <c r="M7647" s="9"/>
      <c r="N7647" s="9"/>
      <c r="P7647" s="14"/>
      <c r="Q7647" s="85"/>
      <c r="R7647" s="89"/>
    </row>
    <row r="7648" spans="13:18" x14ac:dyDescent="0.25">
      <c r="M7648" s="9"/>
      <c r="N7648" s="9"/>
      <c r="P7648" s="14"/>
      <c r="Q7648" s="85"/>
      <c r="R7648" s="89"/>
    </row>
    <row r="7649" spans="13:18" x14ac:dyDescent="0.25">
      <c r="M7649" s="9"/>
      <c r="N7649" s="9"/>
      <c r="P7649" s="14"/>
      <c r="Q7649" s="85"/>
      <c r="R7649" s="89"/>
    </row>
    <row r="7650" spans="13:18" x14ac:dyDescent="0.25">
      <c r="M7650" s="9"/>
      <c r="N7650" s="9"/>
      <c r="P7650" s="14"/>
      <c r="Q7650" s="85"/>
      <c r="R7650" s="89"/>
    </row>
    <row r="7651" spans="13:18" x14ac:dyDescent="0.25">
      <c r="M7651" s="9"/>
      <c r="N7651" s="9"/>
      <c r="P7651" s="14"/>
      <c r="Q7651" s="85"/>
      <c r="R7651" s="89"/>
    </row>
    <row r="7652" spans="13:18" x14ac:dyDescent="0.25">
      <c r="M7652" s="9"/>
      <c r="N7652" s="9"/>
      <c r="P7652" s="14"/>
      <c r="Q7652" s="85"/>
      <c r="R7652" s="89"/>
    </row>
    <row r="7653" spans="13:18" x14ac:dyDescent="0.25">
      <c r="M7653" s="9"/>
      <c r="N7653" s="9"/>
      <c r="P7653" s="14"/>
      <c r="Q7653" s="85"/>
      <c r="R7653" s="89"/>
    </row>
    <row r="7654" spans="13:18" x14ac:dyDescent="0.25">
      <c r="M7654" s="9"/>
      <c r="N7654" s="9"/>
      <c r="P7654" s="14"/>
      <c r="Q7654" s="85"/>
      <c r="R7654" s="89"/>
    </row>
    <row r="7655" spans="13:18" x14ac:dyDescent="0.25">
      <c r="M7655" s="9"/>
      <c r="N7655" s="9"/>
      <c r="P7655" s="14"/>
      <c r="Q7655" s="85"/>
      <c r="R7655" s="89"/>
    </row>
    <row r="7656" spans="13:18" x14ac:dyDescent="0.25">
      <c r="M7656" s="9"/>
      <c r="N7656" s="9"/>
      <c r="P7656" s="14"/>
      <c r="Q7656" s="85"/>
      <c r="R7656" s="89"/>
    </row>
    <row r="7657" spans="13:18" x14ac:dyDescent="0.25">
      <c r="M7657" s="9"/>
      <c r="N7657" s="9"/>
      <c r="P7657" s="14"/>
      <c r="Q7657" s="85"/>
      <c r="R7657" s="89"/>
    </row>
    <row r="7658" spans="13:18" x14ac:dyDescent="0.25">
      <c r="M7658" s="9"/>
      <c r="N7658" s="9"/>
      <c r="P7658" s="14"/>
      <c r="Q7658" s="85"/>
      <c r="R7658" s="89"/>
    </row>
    <row r="7659" spans="13:18" x14ac:dyDescent="0.25">
      <c r="M7659" s="9"/>
      <c r="N7659" s="9"/>
      <c r="P7659" s="14"/>
      <c r="Q7659" s="85"/>
      <c r="R7659" s="89"/>
    </row>
    <row r="7660" spans="13:18" x14ac:dyDescent="0.25">
      <c r="M7660" s="9"/>
      <c r="N7660" s="9"/>
      <c r="P7660" s="14"/>
      <c r="Q7660" s="85"/>
      <c r="R7660" s="89"/>
    </row>
    <row r="7661" spans="13:18" x14ac:dyDescent="0.25">
      <c r="M7661" s="9"/>
      <c r="N7661" s="9"/>
      <c r="P7661" s="14"/>
      <c r="Q7661" s="85"/>
      <c r="R7661" s="89"/>
    </row>
    <row r="7662" spans="13:18" x14ac:dyDescent="0.25">
      <c r="M7662" s="9"/>
      <c r="N7662" s="9"/>
      <c r="P7662" s="14"/>
      <c r="Q7662" s="85"/>
      <c r="R7662" s="89"/>
    </row>
    <row r="7663" spans="13:18" x14ac:dyDescent="0.25">
      <c r="M7663" s="9"/>
      <c r="N7663" s="9"/>
      <c r="P7663" s="14"/>
      <c r="Q7663" s="85"/>
      <c r="R7663" s="89"/>
    </row>
    <row r="7664" spans="13:18" x14ac:dyDescent="0.25">
      <c r="M7664" s="9"/>
      <c r="N7664" s="9"/>
      <c r="P7664" s="14"/>
      <c r="Q7664" s="85"/>
      <c r="R7664" s="89"/>
    </row>
    <row r="7665" spans="13:18" x14ac:dyDescent="0.25">
      <c r="M7665" s="9"/>
      <c r="N7665" s="9"/>
      <c r="P7665" s="14"/>
      <c r="Q7665" s="85"/>
      <c r="R7665" s="89"/>
    </row>
    <row r="7666" spans="13:18" x14ac:dyDescent="0.25">
      <c r="M7666" s="9"/>
      <c r="N7666" s="9"/>
      <c r="P7666" s="14"/>
      <c r="Q7666" s="85"/>
      <c r="R7666" s="89"/>
    </row>
    <row r="7667" spans="13:18" x14ac:dyDescent="0.25">
      <c r="M7667" s="9"/>
      <c r="N7667" s="9"/>
      <c r="P7667" s="14"/>
      <c r="Q7667" s="85"/>
      <c r="R7667" s="89"/>
    </row>
    <row r="7668" spans="13:18" x14ac:dyDescent="0.25">
      <c r="M7668" s="9"/>
      <c r="N7668" s="9"/>
      <c r="P7668" s="14"/>
      <c r="Q7668" s="85"/>
      <c r="R7668" s="89"/>
    </row>
    <row r="7669" spans="13:18" x14ac:dyDescent="0.25">
      <c r="M7669" s="9"/>
      <c r="N7669" s="9"/>
      <c r="P7669" s="14"/>
      <c r="Q7669" s="85"/>
      <c r="R7669" s="89"/>
    </row>
    <row r="7670" spans="13:18" x14ac:dyDescent="0.25">
      <c r="M7670" s="9"/>
      <c r="N7670" s="9"/>
      <c r="P7670" s="14"/>
      <c r="Q7670" s="85"/>
      <c r="R7670" s="89"/>
    </row>
    <row r="7671" spans="13:18" x14ac:dyDescent="0.25">
      <c r="M7671" s="9"/>
      <c r="N7671" s="9"/>
      <c r="P7671" s="14"/>
      <c r="Q7671" s="85"/>
      <c r="R7671" s="89"/>
    </row>
    <row r="7672" spans="13:18" x14ac:dyDescent="0.25">
      <c r="M7672" s="9"/>
      <c r="N7672" s="9"/>
      <c r="P7672" s="14"/>
      <c r="Q7672" s="85"/>
      <c r="R7672" s="89"/>
    </row>
    <row r="7673" spans="13:18" x14ac:dyDescent="0.25">
      <c r="M7673" s="9"/>
      <c r="N7673" s="9"/>
      <c r="P7673" s="14"/>
      <c r="Q7673" s="85"/>
      <c r="R7673" s="89"/>
    </row>
    <row r="7674" spans="13:18" x14ac:dyDescent="0.25">
      <c r="M7674" s="9"/>
      <c r="N7674" s="9"/>
      <c r="P7674" s="14"/>
      <c r="Q7674" s="85"/>
      <c r="R7674" s="89"/>
    </row>
    <row r="7675" spans="13:18" x14ac:dyDescent="0.25">
      <c r="M7675" s="9"/>
      <c r="N7675" s="9"/>
      <c r="P7675" s="14"/>
      <c r="Q7675" s="85"/>
      <c r="R7675" s="89"/>
    </row>
    <row r="7676" spans="13:18" x14ac:dyDescent="0.25">
      <c r="M7676" s="9"/>
      <c r="N7676" s="9"/>
      <c r="P7676" s="14"/>
      <c r="Q7676" s="85"/>
      <c r="R7676" s="89"/>
    </row>
    <row r="7677" spans="13:18" x14ac:dyDescent="0.25">
      <c r="M7677" s="9"/>
      <c r="N7677" s="9"/>
      <c r="P7677" s="14"/>
      <c r="Q7677" s="85"/>
      <c r="R7677" s="89"/>
    </row>
    <row r="7678" spans="13:18" x14ac:dyDescent="0.25">
      <c r="M7678" s="9"/>
      <c r="N7678" s="9"/>
      <c r="P7678" s="14"/>
      <c r="Q7678" s="85"/>
      <c r="R7678" s="89"/>
    </row>
    <row r="7679" spans="13:18" x14ac:dyDescent="0.25">
      <c r="M7679" s="9"/>
      <c r="N7679" s="9"/>
      <c r="P7679" s="14"/>
      <c r="Q7679" s="85"/>
      <c r="R7679" s="89"/>
    </row>
    <row r="7680" spans="13:18" x14ac:dyDescent="0.25">
      <c r="M7680" s="9"/>
      <c r="N7680" s="9"/>
      <c r="P7680" s="14"/>
      <c r="Q7680" s="85"/>
      <c r="R7680" s="89"/>
    </row>
    <row r="7681" spans="13:18" x14ac:dyDescent="0.25">
      <c r="M7681" s="9"/>
      <c r="N7681" s="9"/>
      <c r="P7681" s="14"/>
      <c r="Q7681" s="85"/>
      <c r="R7681" s="89"/>
    </row>
    <row r="7682" spans="13:18" x14ac:dyDescent="0.25">
      <c r="M7682" s="9"/>
      <c r="N7682" s="9"/>
      <c r="P7682" s="14"/>
      <c r="Q7682" s="85"/>
      <c r="R7682" s="89"/>
    </row>
    <row r="7683" spans="13:18" x14ac:dyDescent="0.25">
      <c r="M7683" s="9"/>
      <c r="N7683" s="9"/>
      <c r="P7683" s="14"/>
      <c r="Q7683" s="85"/>
      <c r="R7683" s="89"/>
    </row>
    <row r="7684" spans="13:18" x14ac:dyDescent="0.25">
      <c r="M7684" s="9"/>
      <c r="N7684" s="9"/>
      <c r="P7684" s="14"/>
      <c r="Q7684" s="85"/>
      <c r="R7684" s="89"/>
    </row>
    <row r="7685" spans="13:18" x14ac:dyDescent="0.25">
      <c r="M7685" s="9"/>
      <c r="N7685" s="9"/>
      <c r="P7685" s="14"/>
      <c r="Q7685" s="85"/>
      <c r="R7685" s="89"/>
    </row>
    <row r="7686" spans="13:18" x14ac:dyDescent="0.25">
      <c r="M7686" s="9"/>
      <c r="N7686" s="9"/>
      <c r="P7686" s="14"/>
      <c r="Q7686" s="85"/>
      <c r="R7686" s="89"/>
    </row>
    <row r="7687" spans="13:18" x14ac:dyDescent="0.25">
      <c r="M7687" s="9"/>
      <c r="N7687" s="9"/>
      <c r="P7687" s="14"/>
      <c r="Q7687" s="85"/>
      <c r="R7687" s="89"/>
    </row>
    <row r="7688" spans="13:18" x14ac:dyDescent="0.25">
      <c r="M7688" s="9"/>
      <c r="N7688" s="9"/>
      <c r="P7688" s="14"/>
      <c r="Q7688" s="85"/>
      <c r="R7688" s="89"/>
    </row>
    <row r="7689" spans="13:18" x14ac:dyDescent="0.25">
      <c r="M7689" s="9"/>
      <c r="N7689" s="9"/>
      <c r="P7689" s="14"/>
      <c r="Q7689" s="85"/>
      <c r="R7689" s="89"/>
    </row>
    <row r="7690" spans="13:18" x14ac:dyDescent="0.25">
      <c r="M7690" s="9"/>
      <c r="N7690" s="9"/>
      <c r="P7690" s="14"/>
      <c r="Q7690" s="85"/>
      <c r="R7690" s="89"/>
    </row>
    <row r="7691" spans="13:18" x14ac:dyDescent="0.25">
      <c r="M7691" s="9"/>
      <c r="N7691" s="9"/>
      <c r="P7691" s="14"/>
      <c r="Q7691" s="85"/>
      <c r="R7691" s="89"/>
    </row>
    <row r="7692" spans="13:18" x14ac:dyDescent="0.25">
      <c r="M7692" s="9"/>
      <c r="N7692" s="9"/>
      <c r="P7692" s="14"/>
      <c r="Q7692" s="85"/>
      <c r="R7692" s="89"/>
    </row>
    <row r="7693" spans="13:18" x14ac:dyDescent="0.25">
      <c r="M7693" s="9"/>
      <c r="N7693" s="9"/>
      <c r="P7693" s="14"/>
      <c r="Q7693" s="85"/>
      <c r="R7693" s="89"/>
    </row>
    <row r="7694" spans="13:18" x14ac:dyDescent="0.25">
      <c r="M7694" s="9"/>
      <c r="N7694" s="9"/>
      <c r="P7694" s="14"/>
      <c r="Q7694" s="85"/>
      <c r="R7694" s="89"/>
    </row>
    <row r="7695" spans="13:18" x14ac:dyDescent="0.25">
      <c r="M7695" s="9"/>
      <c r="N7695" s="9"/>
      <c r="P7695" s="14"/>
      <c r="Q7695" s="85"/>
      <c r="R7695" s="89"/>
    </row>
    <row r="7696" spans="13:18" x14ac:dyDescent="0.25">
      <c r="M7696" s="9"/>
      <c r="N7696" s="9"/>
      <c r="P7696" s="14"/>
      <c r="Q7696" s="85"/>
      <c r="R7696" s="89"/>
    </row>
    <row r="7697" spans="13:18" x14ac:dyDescent="0.25">
      <c r="M7697" s="9"/>
      <c r="N7697" s="9"/>
      <c r="P7697" s="14"/>
      <c r="Q7697" s="85"/>
      <c r="R7697" s="89"/>
    </row>
    <row r="7698" spans="13:18" x14ac:dyDescent="0.25">
      <c r="M7698" s="9"/>
      <c r="N7698" s="9"/>
      <c r="P7698" s="14"/>
      <c r="Q7698" s="85"/>
      <c r="R7698" s="89"/>
    </row>
    <row r="7699" spans="13:18" x14ac:dyDescent="0.25">
      <c r="M7699" s="9"/>
      <c r="N7699" s="9"/>
      <c r="P7699" s="14"/>
      <c r="Q7699" s="85"/>
      <c r="R7699" s="89"/>
    </row>
    <row r="7700" spans="13:18" x14ac:dyDescent="0.25">
      <c r="M7700" s="9"/>
      <c r="N7700" s="9"/>
      <c r="P7700" s="14"/>
      <c r="Q7700" s="85"/>
      <c r="R7700" s="89"/>
    </row>
    <row r="7701" spans="13:18" x14ac:dyDescent="0.25">
      <c r="M7701" s="9"/>
      <c r="N7701" s="9"/>
      <c r="P7701" s="14"/>
      <c r="Q7701" s="85"/>
      <c r="R7701" s="89"/>
    </row>
    <row r="7702" spans="13:18" x14ac:dyDescent="0.25">
      <c r="M7702" s="9"/>
      <c r="N7702" s="9"/>
      <c r="P7702" s="14"/>
      <c r="Q7702" s="85"/>
      <c r="R7702" s="89"/>
    </row>
    <row r="7703" spans="13:18" x14ac:dyDescent="0.25">
      <c r="M7703" s="9"/>
      <c r="N7703" s="9"/>
      <c r="P7703" s="14"/>
      <c r="Q7703" s="85"/>
      <c r="R7703" s="89"/>
    </row>
    <row r="7704" spans="13:18" x14ac:dyDescent="0.25">
      <c r="M7704" s="9"/>
      <c r="N7704" s="9"/>
      <c r="P7704" s="14"/>
      <c r="Q7704" s="85"/>
      <c r="R7704" s="89"/>
    </row>
    <row r="7705" spans="13:18" x14ac:dyDescent="0.25">
      <c r="M7705" s="9"/>
      <c r="N7705" s="9"/>
      <c r="P7705" s="14"/>
      <c r="Q7705" s="85"/>
      <c r="R7705" s="89"/>
    </row>
    <row r="7706" spans="13:18" x14ac:dyDescent="0.25">
      <c r="M7706" s="9"/>
      <c r="N7706" s="9"/>
      <c r="P7706" s="14"/>
      <c r="Q7706" s="85"/>
      <c r="R7706" s="89"/>
    </row>
    <row r="7707" spans="13:18" x14ac:dyDescent="0.25">
      <c r="M7707" s="9"/>
      <c r="N7707" s="9"/>
      <c r="P7707" s="14"/>
      <c r="Q7707" s="85"/>
      <c r="R7707" s="89"/>
    </row>
    <row r="7708" spans="13:18" x14ac:dyDescent="0.25">
      <c r="M7708" s="9"/>
      <c r="N7708" s="9"/>
      <c r="P7708" s="14"/>
      <c r="Q7708" s="85"/>
      <c r="R7708" s="89"/>
    </row>
    <row r="7709" spans="13:18" x14ac:dyDescent="0.25">
      <c r="M7709" s="9"/>
      <c r="N7709" s="9"/>
      <c r="P7709" s="14"/>
      <c r="Q7709" s="85"/>
      <c r="R7709" s="89"/>
    </row>
    <row r="7710" spans="13:18" x14ac:dyDescent="0.25">
      <c r="M7710" s="9"/>
      <c r="N7710" s="9"/>
      <c r="P7710" s="14"/>
      <c r="Q7710" s="85"/>
      <c r="R7710" s="89"/>
    </row>
    <row r="7711" spans="13:18" x14ac:dyDescent="0.25">
      <c r="M7711" s="9"/>
      <c r="N7711" s="9"/>
      <c r="P7711" s="14"/>
      <c r="Q7711" s="85"/>
      <c r="R7711" s="89"/>
    </row>
    <row r="7712" spans="13:18" x14ac:dyDescent="0.25">
      <c r="M7712" s="9"/>
      <c r="N7712" s="9"/>
      <c r="P7712" s="14"/>
      <c r="Q7712" s="85"/>
      <c r="R7712" s="89"/>
    </row>
    <row r="7713" spans="13:18" x14ac:dyDescent="0.25">
      <c r="M7713" s="9"/>
      <c r="N7713" s="9"/>
      <c r="P7713" s="14"/>
      <c r="Q7713" s="85"/>
      <c r="R7713" s="89"/>
    </row>
    <row r="7714" spans="13:18" x14ac:dyDescent="0.25">
      <c r="M7714" s="9"/>
      <c r="N7714" s="9"/>
      <c r="P7714" s="14"/>
      <c r="Q7714" s="85"/>
      <c r="R7714" s="89"/>
    </row>
    <row r="7715" spans="13:18" x14ac:dyDescent="0.25">
      <c r="M7715" s="9"/>
      <c r="N7715" s="9"/>
      <c r="P7715" s="14"/>
      <c r="Q7715" s="85"/>
      <c r="R7715" s="89"/>
    </row>
    <row r="7716" spans="13:18" x14ac:dyDescent="0.25">
      <c r="M7716" s="9"/>
      <c r="N7716" s="9"/>
      <c r="P7716" s="14"/>
      <c r="Q7716" s="85"/>
      <c r="R7716" s="89"/>
    </row>
    <row r="7717" spans="13:18" x14ac:dyDescent="0.25">
      <c r="M7717" s="9"/>
      <c r="N7717" s="9"/>
      <c r="P7717" s="14"/>
      <c r="Q7717" s="85"/>
      <c r="R7717" s="89"/>
    </row>
    <row r="7718" spans="13:18" x14ac:dyDescent="0.25">
      <c r="M7718" s="9"/>
      <c r="N7718" s="9"/>
      <c r="P7718" s="14"/>
      <c r="Q7718" s="85"/>
      <c r="R7718" s="89"/>
    </row>
    <row r="7719" spans="13:18" x14ac:dyDescent="0.25">
      <c r="M7719" s="9"/>
      <c r="N7719" s="9"/>
      <c r="P7719" s="14"/>
      <c r="Q7719" s="85"/>
      <c r="R7719" s="89"/>
    </row>
    <row r="7720" spans="13:18" x14ac:dyDescent="0.25">
      <c r="M7720" s="9"/>
      <c r="N7720" s="9"/>
      <c r="P7720" s="14"/>
      <c r="Q7720" s="85"/>
      <c r="R7720" s="89"/>
    </row>
    <row r="7721" spans="13:18" x14ac:dyDescent="0.25">
      <c r="M7721" s="9"/>
      <c r="N7721" s="9"/>
      <c r="P7721" s="14"/>
      <c r="Q7721" s="85"/>
      <c r="R7721" s="89"/>
    </row>
    <row r="7722" spans="13:18" x14ac:dyDescent="0.25">
      <c r="M7722" s="9"/>
      <c r="N7722" s="9"/>
      <c r="P7722" s="14"/>
      <c r="Q7722" s="85"/>
      <c r="R7722" s="89"/>
    </row>
    <row r="7723" spans="13:18" x14ac:dyDescent="0.25">
      <c r="M7723" s="9"/>
      <c r="N7723" s="9"/>
      <c r="P7723" s="14"/>
      <c r="Q7723" s="85"/>
      <c r="R7723" s="89"/>
    </row>
    <row r="7724" spans="13:18" x14ac:dyDescent="0.25">
      <c r="M7724" s="9"/>
      <c r="N7724" s="9"/>
      <c r="P7724" s="14"/>
      <c r="Q7724" s="85"/>
      <c r="R7724" s="89"/>
    </row>
    <row r="7725" spans="13:18" x14ac:dyDescent="0.25">
      <c r="M7725" s="9"/>
      <c r="N7725" s="9"/>
      <c r="P7725" s="14"/>
      <c r="Q7725" s="85"/>
      <c r="R7725" s="89"/>
    </row>
    <row r="7726" spans="13:18" x14ac:dyDescent="0.25">
      <c r="M7726" s="9"/>
      <c r="N7726" s="9"/>
      <c r="P7726" s="14"/>
      <c r="Q7726" s="85"/>
      <c r="R7726" s="89"/>
    </row>
    <row r="7727" spans="13:18" x14ac:dyDescent="0.25">
      <c r="M7727" s="9"/>
      <c r="N7727" s="9"/>
      <c r="P7727" s="14"/>
      <c r="Q7727" s="85"/>
      <c r="R7727" s="89"/>
    </row>
    <row r="7728" spans="13:18" x14ac:dyDescent="0.25">
      <c r="M7728" s="9"/>
      <c r="N7728" s="9"/>
      <c r="P7728" s="14"/>
      <c r="Q7728" s="85"/>
      <c r="R7728" s="89"/>
    </row>
    <row r="7729" spans="13:18" x14ac:dyDescent="0.25">
      <c r="M7729" s="9"/>
      <c r="N7729" s="9"/>
      <c r="P7729" s="14"/>
      <c r="Q7729" s="85"/>
      <c r="R7729" s="89"/>
    </row>
    <row r="7730" spans="13:18" x14ac:dyDescent="0.25">
      <c r="M7730" s="9"/>
      <c r="N7730" s="9"/>
      <c r="P7730" s="14"/>
      <c r="Q7730" s="85"/>
      <c r="R7730" s="89"/>
    </row>
    <row r="7731" spans="13:18" x14ac:dyDescent="0.25">
      <c r="M7731" s="9"/>
      <c r="N7731" s="9"/>
      <c r="P7731" s="14"/>
      <c r="Q7731" s="85"/>
      <c r="R7731" s="89"/>
    </row>
    <row r="7732" spans="13:18" x14ac:dyDescent="0.25">
      <c r="M7732" s="9"/>
      <c r="N7732" s="9"/>
      <c r="P7732" s="14"/>
      <c r="Q7732" s="85"/>
      <c r="R7732" s="89"/>
    </row>
    <row r="7733" spans="13:18" x14ac:dyDescent="0.25">
      <c r="M7733" s="9"/>
      <c r="N7733" s="9"/>
      <c r="P7733" s="14"/>
      <c r="Q7733" s="85"/>
      <c r="R7733" s="89"/>
    </row>
    <row r="7734" spans="13:18" x14ac:dyDescent="0.25">
      <c r="M7734" s="9"/>
      <c r="N7734" s="9"/>
      <c r="P7734" s="14"/>
      <c r="Q7734" s="85"/>
      <c r="R7734" s="89"/>
    </row>
    <row r="7735" spans="13:18" x14ac:dyDescent="0.25">
      <c r="M7735" s="9"/>
      <c r="N7735" s="9"/>
      <c r="P7735" s="14"/>
      <c r="Q7735" s="85"/>
      <c r="R7735" s="89"/>
    </row>
    <row r="7736" spans="13:18" x14ac:dyDescent="0.25">
      <c r="M7736" s="9"/>
      <c r="N7736" s="9"/>
      <c r="P7736" s="14"/>
      <c r="Q7736" s="85"/>
      <c r="R7736" s="89"/>
    </row>
    <row r="7737" spans="13:18" x14ac:dyDescent="0.25">
      <c r="M7737" s="9"/>
      <c r="N7737" s="9"/>
      <c r="P7737" s="14"/>
      <c r="Q7737" s="85"/>
      <c r="R7737" s="89"/>
    </row>
    <row r="7738" spans="13:18" x14ac:dyDescent="0.25">
      <c r="M7738" s="9"/>
      <c r="N7738" s="9"/>
      <c r="P7738" s="14"/>
      <c r="Q7738" s="85"/>
      <c r="R7738" s="89"/>
    </row>
    <row r="7739" spans="13:18" x14ac:dyDescent="0.25">
      <c r="M7739" s="9"/>
      <c r="N7739" s="9"/>
      <c r="P7739" s="14"/>
      <c r="Q7739" s="85"/>
      <c r="R7739" s="89"/>
    </row>
    <row r="7740" spans="13:18" x14ac:dyDescent="0.25">
      <c r="M7740" s="9"/>
      <c r="N7740" s="9"/>
      <c r="P7740" s="14"/>
      <c r="Q7740" s="85"/>
      <c r="R7740" s="89"/>
    </row>
    <row r="7741" spans="13:18" x14ac:dyDescent="0.25">
      <c r="M7741" s="9"/>
      <c r="N7741" s="9"/>
      <c r="P7741" s="14"/>
      <c r="Q7741" s="85"/>
      <c r="R7741" s="89"/>
    </row>
    <row r="7742" spans="13:18" x14ac:dyDescent="0.25">
      <c r="M7742" s="9"/>
      <c r="N7742" s="9"/>
      <c r="P7742" s="14"/>
      <c r="Q7742" s="85"/>
      <c r="R7742" s="89"/>
    </row>
    <row r="7743" spans="13:18" x14ac:dyDescent="0.25">
      <c r="M7743" s="9"/>
      <c r="N7743" s="9"/>
      <c r="P7743" s="14"/>
      <c r="Q7743" s="85"/>
      <c r="R7743" s="89"/>
    </row>
    <row r="7744" spans="13:18" x14ac:dyDescent="0.25">
      <c r="M7744" s="9"/>
      <c r="N7744" s="9"/>
      <c r="P7744" s="14"/>
      <c r="Q7744" s="85"/>
      <c r="R7744" s="89"/>
    </row>
    <row r="7745" spans="13:18" x14ac:dyDescent="0.25">
      <c r="M7745" s="9"/>
      <c r="N7745" s="9"/>
      <c r="P7745" s="14"/>
      <c r="Q7745" s="85"/>
      <c r="R7745" s="89"/>
    </row>
    <row r="7746" spans="13:18" x14ac:dyDescent="0.25">
      <c r="M7746" s="9"/>
      <c r="N7746" s="9"/>
      <c r="P7746" s="14"/>
      <c r="Q7746" s="85"/>
      <c r="R7746" s="89"/>
    </row>
    <row r="7747" spans="13:18" x14ac:dyDescent="0.25">
      <c r="M7747" s="9"/>
      <c r="N7747" s="9"/>
      <c r="P7747" s="14"/>
      <c r="Q7747" s="85"/>
      <c r="R7747" s="89"/>
    </row>
    <row r="7748" spans="13:18" x14ac:dyDescent="0.25">
      <c r="M7748" s="9"/>
      <c r="N7748" s="9"/>
      <c r="P7748" s="14"/>
      <c r="Q7748" s="85"/>
      <c r="R7748" s="89"/>
    </row>
    <row r="7749" spans="13:18" x14ac:dyDescent="0.25">
      <c r="M7749" s="9"/>
      <c r="N7749" s="9"/>
      <c r="P7749" s="14"/>
      <c r="Q7749" s="85"/>
      <c r="R7749" s="89"/>
    </row>
    <row r="7750" spans="13:18" x14ac:dyDescent="0.25">
      <c r="M7750" s="9"/>
      <c r="N7750" s="9"/>
      <c r="P7750" s="14"/>
      <c r="Q7750" s="85"/>
      <c r="R7750" s="89"/>
    </row>
    <row r="7751" spans="13:18" x14ac:dyDescent="0.25">
      <c r="M7751" s="9"/>
      <c r="N7751" s="9"/>
      <c r="P7751" s="14"/>
      <c r="Q7751" s="85"/>
      <c r="R7751" s="89"/>
    </row>
    <row r="7752" spans="13:18" x14ac:dyDescent="0.25">
      <c r="M7752" s="9"/>
      <c r="N7752" s="9"/>
      <c r="P7752" s="14"/>
      <c r="Q7752" s="85"/>
      <c r="R7752" s="89"/>
    </row>
    <row r="7753" spans="13:18" x14ac:dyDescent="0.25">
      <c r="M7753" s="9"/>
      <c r="N7753" s="9"/>
      <c r="P7753" s="14"/>
      <c r="Q7753" s="85"/>
      <c r="R7753" s="89"/>
    </row>
    <row r="7754" spans="13:18" x14ac:dyDescent="0.25">
      <c r="M7754" s="9"/>
      <c r="N7754" s="9"/>
      <c r="P7754" s="14"/>
      <c r="Q7754" s="85"/>
      <c r="R7754" s="89"/>
    </row>
    <row r="7755" spans="13:18" x14ac:dyDescent="0.25">
      <c r="M7755" s="9"/>
      <c r="N7755" s="9"/>
      <c r="P7755" s="14"/>
      <c r="Q7755" s="85"/>
      <c r="R7755" s="89"/>
    </row>
    <row r="7756" spans="13:18" x14ac:dyDescent="0.25">
      <c r="M7756" s="9"/>
      <c r="N7756" s="9"/>
      <c r="P7756" s="14"/>
      <c r="Q7756" s="85"/>
      <c r="R7756" s="89"/>
    </row>
    <row r="7757" spans="13:18" x14ac:dyDescent="0.25">
      <c r="M7757" s="9"/>
      <c r="N7757" s="9"/>
      <c r="P7757" s="14"/>
      <c r="Q7757" s="85"/>
      <c r="R7757" s="89"/>
    </row>
    <row r="7758" spans="13:18" x14ac:dyDescent="0.25">
      <c r="M7758" s="9"/>
      <c r="N7758" s="9"/>
      <c r="P7758" s="14"/>
      <c r="Q7758" s="85"/>
      <c r="R7758" s="89"/>
    </row>
    <row r="7759" spans="13:18" x14ac:dyDescent="0.25">
      <c r="M7759" s="9"/>
      <c r="N7759" s="9"/>
      <c r="P7759" s="14"/>
      <c r="Q7759" s="85"/>
      <c r="R7759" s="89"/>
    </row>
    <row r="7760" spans="13:18" x14ac:dyDescent="0.25">
      <c r="M7760" s="9"/>
      <c r="N7760" s="9"/>
      <c r="P7760" s="14"/>
      <c r="Q7760" s="85"/>
      <c r="R7760" s="89"/>
    </row>
    <row r="7761" spans="13:18" x14ac:dyDescent="0.25">
      <c r="M7761" s="9"/>
      <c r="N7761" s="9"/>
      <c r="P7761" s="14"/>
      <c r="Q7761" s="85"/>
      <c r="R7761" s="89"/>
    </row>
    <row r="7762" spans="13:18" x14ac:dyDescent="0.25">
      <c r="M7762" s="9"/>
      <c r="N7762" s="9"/>
      <c r="P7762" s="14"/>
      <c r="Q7762" s="85"/>
      <c r="R7762" s="89"/>
    </row>
    <row r="7763" spans="13:18" x14ac:dyDescent="0.25">
      <c r="M7763" s="9"/>
      <c r="N7763" s="9"/>
      <c r="P7763" s="14"/>
      <c r="Q7763" s="85"/>
      <c r="R7763" s="89"/>
    </row>
    <row r="7764" spans="13:18" x14ac:dyDescent="0.25">
      <c r="M7764" s="9"/>
      <c r="N7764" s="9"/>
      <c r="P7764" s="14"/>
      <c r="Q7764" s="85"/>
      <c r="R7764" s="89"/>
    </row>
    <row r="7765" spans="13:18" x14ac:dyDescent="0.25">
      <c r="M7765" s="9"/>
      <c r="N7765" s="9"/>
      <c r="P7765" s="14"/>
      <c r="Q7765" s="85"/>
      <c r="R7765" s="89"/>
    </row>
    <row r="7766" spans="13:18" x14ac:dyDescent="0.25">
      <c r="M7766" s="9"/>
      <c r="N7766" s="9"/>
      <c r="P7766" s="14"/>
      <c r="Q7766" s="85"/>
      <c r="R7766" s="89"/>
    </row>
    <row r="7767" spans="13:18" x14ac:dyDescent="0.25">
      <c r="M7767" s="9"/>
      <c r="N7767" s="9"/>
      <c r="P7767" s="14"/>
      <c r="Q7767" s="85"/>
      <c r="R7767" s="89"/>
    </row>
    <row r="7768" spans="13:18" x14ac:dyDescent="0.25">
      <c r="M7768" s="9"/>
      <c r="N7768" s="9"/>
      <c r="P7768" s="14"/>
      <c r="Q7768" s="85"/>
      <c r="R7768" s="89"/>
    </row>
    <row r="7769" spans="13:18" x14ac:dyDescent="0.25">
      <c r="M7769" s="9"/>
      <c r="N7769" s="9"/>
      <c r="P7769" s="14"/>
      <c r="Q7769" s="85"/>
      <c r="R7769" s="89"/>
    </row>
    <row r="7770" spans="13:18" x14ac:dyDescent="0.25">
      <c r="M7770" s="9"/>
      <c r="N7770" s="9"/>
      <c r="P7770" s="14"/>
      <c r="Q7770" s="85"/>
      <c r="R7770" s="89"/>
    </row>
    <row r="7771" spans="13:18" x14ac:dyDescent="0.25">
      <c r="M7771" s="9"/>
      <c r="N7771" s="9"/>
      <c r="P7771" s="14"/>
      <c r="Q7771" s="85"/>
      <c r="R7771" s="89"/>
    </row>
    <row r="7772" spans="13:18" x14ac:dyDescent="0.25">
      <c r="M7772" s="9"/>
      <c r="N7772" s="9"/>
      <c r="P7772" s="14"/>
      <c r="Q7772" s="85"/>
      <c r="R7772" s="89"/>
    </row>
    <row r="7773" spans="13:18" x14ac:dyDescent="0.25">
      <c r="M7773" s="9"/>
      <c r="N7773" s="9"/>
      <c r="P7773" s="14"/>
      <c r="Q7773" s="85"/>
      <c r="R7773" s="89"/>
    </row>
    <row r="7774" spans="13:18" x14ac:dyDescent="0.25">
      <c r="M7774" s="9"/>
      <c r="N7774" s="9"/>
      <c r="P7774" s="14"/>
      <c r="Q7774" s="85"/>
      <c r="R7774" s="89"/>
    </row>
    <row r="7775" spans="13:18" x14ac:dyDescent="0.25">
      <c r="M7775" s="9"/>
      <c r="N7775" s="9"/>
      <c r="P7775" s="14"/>
      <c r="Q7775" s="85"/>
      <c r="R7775" s="89"/>
    </row>
    <row r="7776" spans="13:18" x14ac:dyDescent="0.25">
      <c r="M7776" s="9"/>
      <c r="N7776" s="9"/>
      <c r="P7776" s="14"/>
      <c r="Q7776" s="85"/>
      <c r="R7776" s="89"/>
    </row>
    <row r="7777" spans="13:18" x14ac:dyDescent="0.25">
      <c r="M7777" s="9"/>
      <c r="N7777" s="9"/>
      <c r="P7777" s="14"/>
      <c r="Q7777" s="85"/>
      <c r="R7777" s="89"/>
    </row>
    <row r="7778" spans="13:18" x14ac:dyDescent="0.25">
      <c r="M7778" s="9"/>
      <c r="N7778" s="9"/>
      <c r="P7778" s="14"/>
      <c r="Q7778" s="85"/>
      <c r="R7778" s="89"/>
    </row>
    <row r="7779" spans="13:18" x14ac:dyDescent="0.25">
      <c r="M7779" s="9"/>
      <c r="N7779" s="9"/>
      <c r="P7779" s="14"/>
      <c r="Q7779" s="85"/>
      <c r="R7779" s="89"/>
    </row>
    <row r="7780" spans="13:18" x14ac:dyDescent="0.25">
      <c r="M7780" s="9"/>
      <c r="N7780" s="9"/>
      <c r="P7780" s="14"/>
      <c r="Q7780" s="85"/>
      <c r="R7780" s="89"/>
    </row>
    <row r="7781" spans="13:18" x14ac:dyDescent="0.25">
      <c r="M7781" s="9"/>
      <c r="N7781" s="9"/>
      <c r="P7781" s="14"/>
      <c r="Q7781" s="85"/>
      <c r="R7781" s="89"/>
    </row>
    <row r="7782" spans="13:18" x14ac:dyDescent="0.25">
      <c r="M7782" s="9"/>
      <c r="N7782" s="9"/>
      <c r="P7782" s="14"/>
      <c r="Q7782" s="85"/>
      <c r="R7782" s="89"/>
    </row>
    <row r="7783" spans="13:18" x14ac:dyDescent="0.25">
      <c r="M7783" s="9"/>
      <c r="N7783" s="9"/>
      <c r="P7783" s="14"/>
      <c r="Q7783" s="85"/>
      <c r="R7783" s="89"/>
    </row>
    <row r="7784" spans="13:18" x14ac:dyDescent="0.25">
      <c r="M7784" s="9"/>
      <c r="N7784" s="9"/>
      <c r="P7784" s="14"/>
      <c r="Q7784" s="85"/>
      <c r="R7784" s="89"/>
    </row>
    <row r="7785" spans="13:18" x14ac:dyDescent="0.25">
      <c r="M7785" s="9"/>
      <c r="N7785" s="9"/>
      <c r="P7785" s="14"/>
      <c r="Q7785" s="85"/>
      <c r="R7785" s="89"/>
    </row>
    <row r="7786" spans="13:18" x14ac:dyDescent="0.25">
      <c r="M7786" s="9"/>
      <c r="N7786" s="9"/>
      <c r="P7786" s="14"/>
      <c r="Q7786" s="85"/>
      <c r="R7786" s="89"/>
    </row>
    <row r="7787" spans="13:18" x14ac:dyDescent="0.25">
      <c r="M7787" s="9"/>
      <c r="N7787" s="9"/>
      <c r="P7787" s="14"/>
      <c r="Q7787" s="85"/>
      <c r="R7787" s="89"/>
    </row>
    <row r="7788" spans="13:18" x14ac:dyDescent="0.25">
      <c r="M7788" s="9"/>
      <c r="N7788" s="9"/>
      <c r="P7788" s="14"/>
      <c r="Q7788" s="85"/>
      <c r="R7788" s="89"/>
    </row>
    <row r="7789" spans="13:18" x14ac:dyDescent="0.25">
      <c r="M7789" s="9"/>
      <c r="N7789" s="9"/>
      <c r="P7789" s="14"/>
      <c r="Q7789" s="85"/>
      <c r="R7789" s="89"/>
    </row>
    <row r="7790" spans="13:18" x14ac:dyDescent="0.25">
      <c r="M7790" s="9"/>
      <c r="N7790" s="9"/>
      <c r="P7790" s="14"/>
      <c r="Q7790" s="85"/>
      <c r="R7790" s="89"/>
    </row>
    <row r="7791" spans="13:18" x14ac:dyDescent="0.25">
      <c r="M7791" s="9"/>
      <c r="N7791" s="9"/>
      <c r="P7791" s="14"/>
      <c r="Q7791" s="85"/>
      <c r="R7791" s="89"/>
    </row>
    <row r="7792" spans="13:18" x14ac:dyDescent="0.25">
      <c r="M7792" s="9"/>
      <c r="N7792" s="9"/>
      <c r="P7792" s="14"/>
      <c r="Q7792" s="85"/>
      <c r="R7792" s="89"/>
    </row>
    <row r="7793" spans="13:18" x14ac:dyDescent="0.25">
      <c r="M7793" s="9"/>
      <c r="N7793" s="9"/>
      <c r="P7793" s="14"/>
      <c r="Q7793" s="85"/>
      <c r="R7793" s="89"/>
    </row>
    <row r="7794" spans="13:18" x14ac:dyDescent="0.25">
      <c r="M7794" s="9"/>
      <c r="N7794" s="9"/>
      <c r="P7794" s="14"/>
      <c r="Q7794" s="85"/>
      <c r="R7794" s="89"/>
    </row>
    <row r="7795" spans="13:18" x14ac:dyDescent="0.25">
      <c r="M7795" s="9"/>
      <c r="N7795" s="9"/>
      <c r="P7795" s="14"/>
      <c r="Q7795" s="85"/>
      <c r="R7795" s="89"/>
    </row>
    <row r="7796" spans="13:18" x14ac:dyDescent="0.25">
      <c r="M7796" s="9"/>
      <c r="N7796" s="9"/>
      <c r="P7796" s="14"/>
      <c r="Q7796" s="85"/>
      <c r="R7796" s="89"/>
    </row>
    <row r="7797" spans="13:18" x14ac:dyDescent="0.25">
      <c r="M7797" s="9"/>
      <c r="N7797" s="9"/>
      <c r="P7797" s="14"/>
      <c r="Q7797" s="85"/>
      <c r="R7797" s="89"/>
    </row>
    <row r="7798" spans="13:18" x14ac:dyDescent="0.25">
      <c r="M7798" s="9"/>
      <c r="N7798" s="9"/>
      <c r="P7798" s="14"/>
      <c r="Q7798" s="85"/>
      <c r="R7798" s="89"/>
    </row>
    <row r="7799" spans="13:18" x14ac:dyDescent="0.25">
      <c r="M7799" s="9"/>
      <c r="N7799" s="9"/>
      <c r="P7799" s="14"/>
      <c r="Q7799" s="85"/>
      <c r="R7799" s="89"/>
    </row>
    <row r="7800" spans="13:18" x14ac:dyDescent="0.25">
      <c r="M7800" s="9"/>
      <c r="N7800" s="9"/>
      <c r="P7800" s="14"/>
      <c r="Q7800" s="85"/>
      <c r="R7800" s="89"/>
    </row>
    <row r="7801" spans="13:18" x14ac:dyDescent="0.25">
      <c r="M7801" s="9"/>
      <c r="N7801" s="9"/>
      <c r="P7801" s="14"/>
      <c r="Q7801" s="85"/>
      <c r="R7801" s="89"/>
    </row>
    <row r="7802" spans="13:18" x14ac:dyDescent="0.25">
      <c r="M7802" s="9"/>
      <c r="N7802" s="9"/>
      <c r="P7802" s="14"/>
      <c r="Q7802" s="85"/>
      <c r="R7802" s="89"/>
    </row>
    <row r="7803" spans="13:18" x14ac:dyDescent="0.25">
      <c r="M7803" s="9"/>
      <c r="N7803" s="9"/>
      <c r="P7803" s="14"/>
      <c r="Q7803" s="85"/>
      <c r="R7803" s="89"/>
    </row>
    <row r="7804" spans="13:18" x14ac:dyDescent="0.25">
      <c r="M7804" s="9"/>
      <c r="N7804" s="9"/>
      <c r="P7804" s="14"/>
      <c r="Q7804" s="85"/>
      <c r="R7804" s="89"/>
    </row>
    <row r="7805" spans="13:18" x14ac:dyDescent="0.25">
      <c r="M7805" s="9"/>
      <c r="N7805" s="9"/>
      <c r="P7805" s="14"/>
      <c r="Q7805" s="85"/>
      <c r="R7805" s="89"/>
    </row>
    <row r="7806" spans="13:18" x14ac:dyDescent="0.25">
      <c r="M7806" s="9"/>
      <c r="N7806" s="9"/>
      <c r="P7806" s="14"/>
      <c r="Q7806" s="85"/>
      <c r="R7806" s="89"/>
    </row>
    <row r="7807" spans="13:18" x14ac:dyDescent="0.25">
      <c r="M7807" s="9"/>
      <c r="N7807" s="9"/>
      <c r="P7807" s="14"/>
      <c r="Q7807" s="85"/>
      <c r="R7807" s="89"/>
    </row>
    <row r="7808" spans="13:18" x14ac:dyDescent="0.25">
      <c r="M7808" s="9"/>
      <c r="N7808" s="9"/>
      <c r="P7808" s="14"/>
      <c r="Q7808" s="85"/>
      <c r="R7808" s="89"/>
    </row>
    <row r="7809" spans="13:18" x14ac:dyDescent="0.25">
      <c r="M7809" s="9"/>
      <c r="N7809" s="9"/>
      <c r="P7809" s="14"/>
      <c r="Q7809" s="85"/>
      <c r="R7809" s="89"/>
    </row>
    <row r="7810" spans="13:18" x14ac:dyDescent="0.25">
      <c r="M7810" s="9"/>
      <c r="N7810" s="9"/>
      <c r="P7810" s="14"/>
      <c r="Q7810" s="85"/>
      <c r="R7810" s="89"/>
    </row>
    <row r="7811" spans="13:18" x14ac:dyDescent="0.25">
      <c r="M7811" s="9"/>
      <c r="N7811" s="9"/>
      <c r="P7811" s="14"/>
      <c r="Q7811" s="85"/>
      <c r="R7811" s="89"/>
    </row>
    <row r="7812" spans="13:18" x14ac:dyDescent="0.25">
      <c r="M7812" s="9"/>
      <c r="N7812" s="9"/>
      <c r="P7812" s="14"/>
      <c r="Q7812" s="85"/>
      <c r="R7812" s="89"/>
    </row>
    <row r="7813" spans="13:18" x14ac:dyDescent="0.25">
      <c r="M7813" s="9"/>
      <c r="N7813" s="9"/>
      <c r="P7813" s="14"/>
      <c r="Q7813" s="85"/>
      <c r="R7813" s="89"/>
    </row>
    <row r="7814" spans="13:18" x14ac:dyDescent="0.25">
      <c r="M7814" s="9"/>
      <c r="N7814" s="9"/>
      <c r="P7814" s="14"/>
      <c r="Q7814" s="85"/>
      <c r="R7814" s="89"/>
    </row>
    <row r="7815" spans="13:18" x14ac:dyDescent="0.25">
      <c r="M7815" s="9"/>
      <c r="N7815" s="9"/>
      <c r="P7815" s="14"/>
      <c r="Q7815" s="85"/>
      <c r="R7815" s="89"/>
    </row>
    <row r="7816" spans="13:18" x14ac:dyDescent="0.25">
      <c r="M7816" s="9"/>
      <c r="N7816" s="9"/>
      <c r="P7816" s="14"/>
      <c r="Q7816" s="85"/>
      <c r="R7816" s="89"/>
    </row>
    <row r="7817" spans="13:18" x14ac:dyDescent="0.25">
      <c r="M7817" s="9"/>
      <c r="N7817" s="9"/>
      <c r="P7817" s="14"/>
      <c r="Q7817" s="85"/>
      <c r="R7817" s="89"/>
    </row>
    <row r="7818" spans="13:18" x14ac:dyDescent="0.25">
      <c r="M7818" s="9"/>
      <c r="N7818" s="9"/>
      <c r="P7818" s="14"/>
      <c r="Q7818" s="85"/>
      <c r="R7818" s="89"/>
    </row>
    <row r="7819" spans="13:18" x14ac:dyDescent="0.25">
      <c r="M7819" s="9"/>
      <c r="N7819" s="9"/>
      <c r="P7819" s="14"/>
      <c r="Q7819" s="85"/>
      <c r="R7819" s="89"/>
    </row>
    <row r="7820" spans="13:18" x14ac:dyDescent="0.25">
      <c r="M7820" s="9"/>
      <c r="N7820" s="9"/>
      <c r="P7820" s="14"/>
      <c r="Q7820" s="85"/>
      <c r="R7820" s="89"/>
    </row>
    <row r="7821" spans="13:18" x14ac:dyDescent="0.25">
      <c r="M7821" s="9"/>
      <c r="N7821" s="9"/>
      <c r="P7821" s="14"/>
      <c r="Q7821" s="85"/>
      <c r="R7821" s="89"/>
    </row>
    <row r="7822" spans="13:18" x14ac:dyDescent="0.25">
      <c r="M7822" s="9"/>
      <c r="N7822" s="9"/>
      <c r="P7822" s="14"/>
      <c r="Q7822" s="85"/>
      <c r="R7822" s="89"/>
    </row>
    <row r="7823" spans="13:18" x14ac:dyDescent="0.25">
      <c r="M7823" s="9"/>
      <c r="N7823" s="9"/>
      <c r="P7823" s="14"/>
      <c r="Q7823" s="85"/>
      <c r="R7823" s="89"/>
    </row>
    <row r="7824" spans="13:18" x14ac:dyDescent="0.25">
      <c r="M7824" s="9"/>
      <c r="N7824" s="9"/>
      <c r="P7824" s="14"/>
      <c r="Q7824" s="85"/>
      <c r="R7824" s="89"/>
    </row>
    <row r="7825" spans="13:18" x14ac:dyDescent="0.25">
      <c r="M7825" s="9"/>
      <c r="N7825" s="9"/>
      <c r="P7825" s="14"/>
      <c r="Q7825" s="85"/>
      <c r="R7825" s="89"/>
    </row>
    <row r="7826" spans="13:18" x14ac:dyDescent="0.25">
      <c r="M7826" s="9"/>
      <c r="N7826" s="9"/>
      <c r="P7826" s="14"/>
      <c r="Q7826" s="85"/>
      <c r="R7826" s="89"/>
    </row>
    <row r="7827" spans="13:18" x14ac:dyDescent="0.25">
      <c r="M7827" s="9"/>
      <c r="N7827" s="9"/>
      <c r="P7827" s="14"/>
      <c r="Q7827" s="85"/>
      <c r="R7827" s="89"/>
    </row>
    <row r="7828" spans="13:18" x14ac:dyDescent="0.25">
      <c r="M7828" s="9"/>
      <c r="N7828" s="9"/>
      <c r="P7828" s="14"/>
      <c r="Q7828" s="85"/>
      <c r="R7828" s="89"/>
    </row>
    <row r="7829" spans="13:18" x14ac:dyDescent="0.25">
      <c r="M7829" s="9"/>
      <c r="N7829" s="9"/>
      <c r="P7829" s="14"/>
      <c r="Q7829" s="85"/>
      <c r="R7829" s="89"/>
    </row>
    <row r="7830" spans="13:18" x14ac:dyDescent="0.25">
      <c r="M7830" s="9"/>
      <c r="N7830" s="9"/>
      <c r="P7830" s="14"/>
      <c r="Q7830" s="85"/>
      <c r="R7830" s="89"/>
    </row>
    <row r="7831" spans="13:18" x14ac:dyDescent="0.25">
      <c r="M7831" s="9"/>
      <c r="N7831" s="9"/>
      <c r="P7831" s="14"/>
      <c r="Q7831" s="85"/>
      <c r="R7831" s="89"/>
    </row>
    <row r="7832" spans="13:18" x14ac:dyDescent="0.25">
      <c r="M7832" s="9"/>
      <c r="N7832" s="9"/>
      <c r="P7832" s="14"/>
      <c r="Q7832" s="85"/>
      <c r="R7832" s="89"/>
    </row>
    <row r="7833" spans="13:18" x14ac:dyDescent="0.25">
      <c r="M7833" s="9"/>
      <c r="N7833" s="9"/>
      <c r="P7833" s="14"/>
      <c r="Q7833" s="85"/>
      <c r="R7833" s="89"/>
    </row>
    <row r="7834" spans="13:18" x14ac:dyDescent="0.25">
      <c r="M7834" s="9"/>
      <c r="N7834" s="9"/>
      <c r="P7834" s="14"/>
      <c r="Q7834" s="85"/>
      <c r="R7834" s="89"/>
    </row>
    <row r="7835" spans="13:18" x14ac:dyDescent="0.25">
      <c r="M7835" s="9"/>
      <c r="N7835" s="9"/>
      <c r="P7835" s="14"/>
      <c r="Q7835" s="85"/>
      <c r="R7835" s="89"/>
    </row>
    <row r="7836" spans="13:18" x14ac:dyDescent="0.25">
      <c r="M7836" s="9"/>
      <c r="N7836" s="9"/>
      <c r="P7836" s="14"/>
      <c r="Q7836" s="85"/>
      <c r="R7836" s="89"/>
    </row>
    <row r="7837" spans="13:18" x14ac:dyDescent="0.25">
      <c r="M7837" s="9"/>
      <c r="N7837" s="9"/>
      <c r="P7837" s="14"/>
      <c r="Q7837" s="85"/>
      <c r="R7837" s="89"/>
    </row>
    <row r="7838" spans="13:18" x14ac:dyDescent="0.25">
      <c r="M7838" s="9"/>
      <c r="N7838" s="9"/>
      <c r="P7838" s="14"/>
      <c r="Q7838" s="85"/>
      <c r="R7838" s="89"/>
    </row>
    <row r="7839" spans="13:18" x14ac:dyDescent="0.25">
      <c r="M7839" s="9"/>
      <c r="N7839" s="9"/>
      <c r="P7839" s="14"/>
      <c r="Q7839" s="85"/>
      <c r="R7839" s="89"/>
    </row>
    <row r="7840" spans="13:18" x14ac:dyDescent="0.25">
      <c r="M7840" s="9"/>
      <c r="N7840" s="9"/>
      <c r="P7840" s="14"/>
      <c r="Q7840" s="85"/>
      <c r="R7840" s="89"/>
    </row>
    <row r="7841" spans="13:18" x14ac:dyDescent="0.25">
      <c r="M7841" s="9"/>
      <c r="N7841" s="9"/>
      <c r="P7841" s="14"/>
      <c r="Q7841" s="85"/>
      <c r="R7841" s="89"/>
    </row>
    <row r="7842" spans="13:18" x14ac:dyDescent="0.25">
      <c r="M7842" s="9"/>
      <c r="N7842" s="9"/>
      <c r="P7842" s="14"/>
      <c r="Q7842" s="85"/>
      <c r="R7842" s="89"/>
    </row>
    <row r="7843" spans="13:18" x14ac:dyDescent="0.25">
      <c r="M7843" s="9"/>
      <c r="N7843" s="9"/>
      <c r="P7843" s="14"/>
      <c r="Q7843" s="85"/>
      <c r="R7843" s="89"/>
    </row>
    <row r="7844" spans="13:18" x14ac:dyDescent="0.25">
      <c r="M7844" s="9"/>
      <c r="N7844" s="9"/>
      <c r="P7844" s="14"/>
      <c r="Q7844" s="85"/>
      <c r="R7844" s="89"/>
    </row>
    <row r="7845" spans="13:18" x14ac:dyDescent="0.25">
      <c r="M7845" s="9"/>
      <c r="N7845" s="9"/>
      <c r="P7845" s="14"/>
      <c r="Q7845" s="85"/>
      <c r="R7845" s="89"/>
    </row>
    <row r="7846" spans="13:18" x14ac:dyDescent="0.25">
      <c r="M7846" s="9"/>
      <c r="N7846" s="9"/>
      <c r="P7846" s="14"/>
      <c r="Q7846" s="85"/>
      <c r="R7846" s="89"/>
    </row>
    <row r="7847" spans="13:18" x14ac:dyDescent="0.25">
      <c r="M7847" s="9"/>
      <c r="N7847" s="9"/>
      <c r="P7847" s="14"/>
      <c r="Q7847" s="85"/>
      <c r="R7847" s="89"/>
    </row>
    <row r="7848" spans="13:18" x14ac:dyDescent="0.25">
      <c r="M7848" s="9"/>
      <c r="N7848" s="9"/>
      <c r="P7848" s="14"/>
      <c r="Q7848" s="85"/>
      <c r="R7848" s="89"/>
    </row>
    <row r="7849" spans="13:18" x14ac:dyDescent="0.25">
      <c r="M7849" s="9"/>
      <c r="N7849" s="9"/>
      <c r="P7849" s="14"/>
      <c r="Q7849" s="85"/>
      <c r="R7849" s="89"/>
    </row>
    <row r="7850" spans="13:18" x14ac:dyDescent="0.25">
      <c r="M7850" s="9"/>
      <c r="N7850" s="9"/>
      <c r="P7850" s="14"/>
      <c r="Q7850" s="85"/>
      <c r="R7850" s="89"/>
    </row>
    <row r="7851" spans="13:18" x14ac:dyDescent="0.25">
      <c r="M7851" s="9"/>
      <c r="N7851" s="9"/>
      <c r="P7851" s="14"/>
      <c r="Q7851" s="85"/>
      <c r="R7851" s="89"/>
    </row>
    <row r="7852" spans="13:18" x14ac:dyDescent="0.25">
      <c r="M7852" s="9"/>
      <c r="N7852" s="9"/>
      <c r="P7852" s="14"/>
      <c r="Q7852" s="85"/>
      <c r="R7852" s="89"/>
    </row>
    <row r="7853" spans="13:18" x14ac:dyDescent="0.25">
      <c r="M7853" s="9"/>
      <c r="N7853" s="9"/>
      <c r="P7853" s="14"/>
      <c r="Q7853" s="85"/>
      <c r="R7853" s="89"/>
    </row>
    <row r="7854" spans="13:18" x14ac:dyDescent="0.25">
      <c r="M7854" s="9"/>
      <c r="N7854" s="9"/>
      <c r="P7854" s="14"/>
      <c r="Q7854" s="85"/>
      <c r="R7854" s="89"/>
    </row>
    <row r="7855" spans="13:18" x14ac:dyDescent="0.25">
      <c r="M7855" s="9"/>
      <c r="N7855" s="9"/>
      <c r="P7855" s="14"/>
      <c r="Q7855" s="85"/>
      <c r="R7855" s="89"/>
    </row>
    <row r="7856" spans="13:18" x14ac:dyDescent="0.25">
      <c r="M7856" s="9"/>
      <c r="N7856" s="9"/>
      <c r="P7856" s="14"/>
      <c r="Q7856" s="85"/>
      <c r="R7856" s="89"/>
    </row>
    <row r="7857" spans="13:18" x14ac:dyDescent="0.25">
      <c r="M7857" s="9"/>
      <c r="N7857" s="9"/>
      <c r="P7857" s="14"/>
      <c r="Q7857" s="85"/>
      <c r="R7857" s="89"/>
    </row>
    <row r="7858" spans="13:18" x14ac:dyDescent="0.25">
      <c r="M7858" s="9"/>
      <c r="N7858" s="9"/>
      <c r="P7858" s="14"/>
      <c r="Q7858" s="85"/>
      <c r="R7858" s="89"/>
    </row>
    <row r="7859" spans="13:18" x14ac:dyDescent="0.25">
      <c r="M7859" s="9"/>
      <c r="N7859" s="9"/>
      <c r="P7859" s="14"/>
      <c r="Q7859" s="85"/>
      <c r="R7859" s="89"/>
    </row>
    <row r="7860" spans="13:18" x14ac:dyDescent="0.25">
      <c r="M7860" s="9"/>
      <c r="N7860" s="9"/>
      <c r="P7860" s="14"/>
      <c r="Q7860" s="85"/>
      <c r="R7860" s="89"/>
    </row>
    <row r="7861" spans="13:18" x14ac:dyDescent="0.25">
      <c r="M7861" s="9"/>
      <c r="N7861" s="9"/>
      <c r="P7861" s="14"/>
      <c r="Q7861" s="85"/>
      <c r="R7861" s="89"/>
    </row>
    <row r="7862" spans="13:18" x14ac:dyDescent="0.25">
      <c r="M7862" s="9"/>
      <c r="N7862" s="9"/>
      <c r="P7862" s="14"/>
      <c r="Q7862" s="85"/>
      <c r="R7862" s="89"/>
    </row>
    <row r="7863" spans="13:18" x14ac:dyDescent="0.25">
      <c r="M7863" s="9"/>
      <c r="N7863" s="9"/>
      <c r="P7863" s="14"/>
      <c r="Q7863" s="85"/>
      <c r="R7863" s="89"/>
    </row>
    <row r="7864" spans="13:18" x14ac:dyDescent="0.25">
      <c r="M7864" s="9"/>
      <c r="N7864" s="9"/>
      <c r="P7864" s="14"/>
      <c r="Q7864" s="85"/>
      <c r="R7864" s="89"/>
    </row>
    <row r="7865" spans="13:18" x14ac:dyDescent="0.25">
      <c r="M7865" s="9"/>
      <c r="N7865" s="9"/>
      <c r="P7865" s="14"/>
      <c r="Q7865" s="85"/>
      <c r="R7865" s="89"/>
    </row>
    <row r="7866" spans="13:18" x14ac:dyDescent="0.25">
      <c r="M7866" s="9"/>
      <c r="N7866" s="9"/>
      <c r="P7866" s="14"/>
      <c r="Q7866" s="85"/>
      <c r="R7866" s="89"/>
    </row>
    <row r="7867" spans="13:18" x14ac:dyDescent="0.25">
      <c r="M7867" s="9"/>
      <c r="N7867" s="9"/>
      <c r="P7867" s="14"/>
      <c r="Q7867" s="85"/>
      <c r="R7867" s="89"/>
    </row>
    <row r="7868" spans="13:18" x14ac:dyDescent="0.25">
      <c r="M7868" s="9"/>
      <c r="N7868" s="9"/>
      <c r="P7868" s="14"/>
      <c r="Q7868" s="85"/>
      <c r="R7868" s="89"/>
    </row>
    <row r="7869" spans="13:18" x14ac:dyDescent="0.25">
      <c r="M7869" s="9"/>
      <c r="N7869" s="9"/>
      <c r="P7869" s="14"/>
      <c r="Q7869" s="85"/>
      <c r="R7869" s="89"/>
    </row>
    <row r="7870" spans="13:18" x14ac:dyDescent="0.25">
      <c r="M7870" s="9"/>
      <c r="N7870" s="9"/>
      <c r="P7870" s="14"/>
      <c r="Q7870" s="85"/>
      <c r="R7870" s="89"/>
    </row>
    <row r="7871" spans="13:18" x14ac:dyDescent="0.25">
      <c r="M7871" s="9"/>
      <c r="N7871" s="9"/>
      <c r="P7871" s="14"/>
      <c r="Q7871" s="85"/>
      <c r="R7871" s="89"/>
    </row>
    <row r="7872" spans="13:18" x14ac:dyDescent="0.25">
      <c r="M7872" s="9"/>
      <c r="N7872" s="9"/>
      <c r="P7872" s="14"/>
      <c r="Q7872" s="85"/>
      <c r="R7872" s="89"/>
    </row>
    <row r="7873" spans="13:18" x14ac:dyDescent="0.25">
      <c r="M7873" s="9"/>
      <c r="N7873" s="9"/>
      <c r="P7873" s="14"/>
      <c r="Q7873" s="85"/>
      <c r="R7873" s="89"/>
    </row>
    <row r="7874" spans="13:18" x14ac:dyDescent="0.25">
      <c r="M7874" s="9"/>
      <c r="N7874" s="9"/>
      <c r="P7874" s="14"/>
      <c r="Q7874" s="85"/>
      <c r="R7874" s="89"/>
    </row>
    <row r="7875" spans="13:18" x14ac:dyDescent="0.25">
      <c r="M7875" s="9"/>
      <c r="N7875" s="9"/>
      <c r="P7875" s="14"/>
      <c r="Q7875" s="85"/>
      <c r="R7875" s="89"/>
    </row>
    <row r="7876" spans="13:18" x14ac:dyDescent="0.25">
      <c r="M7876" s="9"/>
      <c r="N7876" s="9"/>
      <c r="P7876" s="14"/>
      <c r="Q7876" s="85"/>
      <c r="R7876" s="89"/>
    </row>
    <row r="7877" spans="13:18" x14ac:dyDescent="0.25">
      <c r="M7877" s="9"/>
      <c r="N7877" s="9"/>
      <c r="P7877" s="14"/>
      <c r="Q7877" s="85"/>
      <c r="R7877" s="89"/>
    </row>
    <row r="7878" spans="13:18" x14ac:dyDescent="0.25">
      <c r="M7878" s="9"/>
      <c r="N7878" s="9"/>
      <c r="P7878" s="14"/>
      <c r="Q7878" s="85"/>
      <c r="R7878" s="89"/>
    </row>
    <row r="7879" spans="13:18" x14ac:dyDescent="0.25">
      <c r="M7879" s="9"/>
      <c r="N7879" s="9"/>
      <c r="P7879" s="14"/>
      <c r="Q7879" s="85"/>
      <c r="R7879" s="89"/>
    </row>
    <row r="7880" spans="13:18" x14ac:dyDescent="0.25">
      <c r="M7880" s="9"/>
      <c r="N7880" s="9"/>
      <c r="P7880" s="14"/>
      <c r="Q7880" s="85"/>
      <c r="R7880" s="89"/>
    </row>
    <row r="7881" spans="13:18" x14ac:dyDescent="0.25">
      <c r="M7881" s="9"/>
      <c r="N7881" s="9"/>
      <c r="P7881" s="14"/>
      <c r="Q7881" s="85"/>
      <c r="R7881" s="89"/>
    </row>
    <row r="7882" spans="13:18" x14ac:dyDescent="0.25">
      <c r="M7882" s="9"/>
      <c r="N7882" s="9"/>
      <c r="P7882" s="14"/>
      <c r="Q7882" s="85"/>
      <c r="R7882" s="89"/>
    </row>
    <row r="7883" spans="13:18" x14ac:dyDescent="0.25">
      <c r="M7883" s="9"/>
      <c r="N7883" s="9"/>
      <c r="P7883" s="14"/>
      <c r="Q7883" s="85"/>
      <c r="R7883" s="89"/>
    </row>
    <row r="7884" spans="13:18" x14ac:dyDescent="0.25">
      <c r="M7884" s="9"/>
      <c r="N7884" s="9"/>
      <c r="P7884" s="14"/>
      <c r="Q7884" s="85"/>
      <c r="R7884" s="89"/>
    </row>
    <row r="7885" spans="13:18" x14ac:dyDescent="0.25">
      <c r="M7885" s="9"/>
      <c r="N7885" s="9"/>
      <c r="P7885" s="14"/>
      <c r="Q7885" s="85"/>
      <c r="R7885" s="89"/>
    </row>
    <row r="7886" spans="13:18" x14ac:dyDescent="0.25">
      <c r="M7886" s="9"/>
      <c r="N7886" s="9"/>
      <c r="P7886" s="14"/>
      <c r="Q7886" s="85"/>
      <c r="R7886" s="89"/>
    </row>
    <row r="7887" spans="13:18" x14ac:dyDescent="0.25">
      <c r="M7887" s="9"/>
      <c r="N7887" s="9"/>
      <c r="P7887" s="14"/>
      <c r="Q7887" s="85"/>
      <c r="R7887" s="89"/>
    </row>
    <row r="7888" spans="13:18" x14ac:dyDescent="0.25">
      <c r="M7888" s="9"/>
      <c r="N7888" s="9"/>
      <c r="P7888" s="14"/>
      <c r="Q7888" s="85"/>
      <c r="R7888" s="89"/>
    </row>
    <row r="7889" spans="13:18" x14ac:dyDescent="0.25">
      <c r="M7889" s="9"/>
      <c r="N7889" s="9"/>
      <c r="P7889" s="14"/>
      <c r="Q7889" s="85"/>
      <c r="R7889" s="89"/>
    </row>
    <row r="7890" spans="13:18" x14ac:dyDescent="0.25">
      <c r="M7890" s="9"/>
      <c r="N7890" s="9"/>
      <c r="P7890" s="14"/>
      <c r="Q7890" s="85"/>
      <c r="R7890" s="89"/>
    </row>
    <row r="7891" spans="13:18" x14ac:dyDescent="0.25">
      <c r="M7891" s="9"/>
      <c r="N7891" s="9"/>
      <c r="P7891" s="14"/>
      <c r="Q7891" s="85"/>
      <c r="R7891" s="89"/>
    </row>
    <row r="7892" spans="13:18" x14ac:dyDescent="0.25">
      <c r="M7892" s="9"/>
      <c r="N7892" s="9"/>
      <c r="P7892" s="14"/>
      <c r="Q7892" s="85"/>
      <c r="R7892" s="89"/>
    </row>
    <row r="7893" spans="13:18" x14ac:dyDescent="0.25">
      <c r="M7893" s="9"/>
      <c r="N7893" s="9"/>
      <c r="P7893" s="14"/>
      <c r="Q7893" s="85"/>
      <c r="R7893" s="89"/>
    </row>
    <row r="7894" spans="13:18" x14ac:dyDescent="0.25">
      <c r="M7894" s="9"/>
      <c r="N7894" s="9"/>
      <c r="P7894" s="14"/>
      <c r="Q7894" s="85"/>
      <c r="R7894" s="89"/>
    </row>
    <row r="7895" spans="13:18" x14ac:dyDescent="0.25">
      <c r="M7895" s="9"/>
      <c r="N7895" s="9"/>
      <c r="P7895" s="14"/>
      <c r="Q7895" s="85"/>
      <c r="R7895" s="89"/>
    </row>
    <row r="7896" spans="13:18" x14ac:dyDescent="0.25">
      <c r="M7896" s="9"/>
      <c r="N7896" s="9"/>
      <c r="P7896" s="14"/>
      <c r="Q7896" s="85"/>
      <c r="R7896" s="89"/>
    </row>
    <row r="7897" spans="13:18" x14ac:dyDescent="0.25">
      <c r="M7897" s="9"/>
      <c r="N7897" s="9"/>
      <c r="P7897" s="14"/>
      <c r="Q7897" s="85"/>
      <c r="R7897" s="89"/>
    </row>
    <row r="7898" spans="13:18" x14ac:dyDescent="0.25">
      <c r="M7898" s="9"/>
      <c r="N7898" s="9"/>
      <c r="P7898" s="14"/>
      <c r="Q7898" s="85"/>
      <c r="R7898" s="89"/>
    </row>
    <row r="7899" spans="13:18" x14ac:dyDescent="0.25">
      <c r="M7899" s="9"/>
      <c r="N7899" s="9"/>
      <c r="P7899" s="14"/>
      <c r="Q7899" s="85"/>
      <c r="R7899" s="89"/>
    </row>
    <row r="7900" spans="13:18" x14ac:dyDescent="0.25">
      <c r="M7900" s="9"/>
      <c r="N7900" s="9"/>
      <c r="P7900" s="14"/>
      <c r="Q7900" s="85"/>
      <c r="R7900" s="89"/>
    </row>
    <row r="7901" spans="13:18" x14ac:dyDescent="0.25">
      <c r="M7901" s="9"/>
      <c r="N7901" s="9"/>
      <c r="P7901" s="14"/>
      <c r="Q7901" s="85"/>
      <c r="R7901" s="89"/>
    </row>
    <row r="7902" spans="13:18" x14ac:dyDescent="0.25">
      <c r="M7902" s="9"/>
      <c r="N7902" s="9"/>
      <c r="P7902" s="14"/>
      <c r="Q7902" s="85"/>
      <c r="R7902" s="89"/>
    </row>
    <row r="7903" spans="13:18" x14ac:dyDescent="0.25">
      <c r="M7903" s="9"/>
      <c r="N7903" s="9"/>
      <c r="P7903" s="14"/>
      <c r="Q7903" s="85"/>
      <c r="R7903" s="89"/>
    </row>
    <row r="7904" spans="13:18" x14ac:dyDescent="0.25">
      <c r="M7904" s="9"/>
      <c r="N7904" s="9"/>
      <c r="P7904" s="14"/>
      <c r="Q7904" s="85"/>
      <c r="R7904" s="89"/>
    </row>
    <row r="7905" spans="13:18" x14ac:dyDescent="0.25">
      <c r="M7905" s="9"/>
      <c r="N7905" s="9"/>
      <c r="P7905" s="14"/>
      <c r="Q7905" s="85"/>
      <c r="R7905" s="89"/>
    </row>
    <row r="7906" spans="13:18" x14ac:dyDescent="0.25">
      <c r="M7906" s="9"/>
      <c r="N7906" s="9"/>
      <c r="P7906" s="14"/>
      <c r="Q7906" s="85"/>
      <c r="R7906" s="89"/>
    </row>
    <row r="7907" spans="13:18" x14ac:dyDescent="0.25">
      <c r="M7907" s="9"/>
      <c r="N7907" s="9"/>
      <c r="P7907" s="14"/>
      <c r="Q7907" s="85"/>
      <c r="R7907" s="89"/>
    </row>
    <row r="7908" spans="13:18" x14ac:dyDescent="0.25">
      <c r="M7908" s="9"/>
      <c r="N7908" s="9"/>
      <c r="P7908" s="14"/>
      <c r="Q7908" s="85"/>
      <c r="R7908" s="89"/>
    </row>
    <row r="7909" spans="13:18" x14ac:dyDescent="0.25">
      <c r="M7909" s="9"/>
      <c r="N7909" s="9"/>
      <c r="P7909" s="14"/>
      <c r="Q7909" s="85"/>
      <c r="R7909" s="89"/>
    </row>
    <row r="7910" spans="13:18" x14ac:dyDescent="0.25">
      <c r="M7910" s="9"/>
      <c r="N7910" s="9"/>
      <c r="P7910" s="14"/>
      <c r="Q7910" s="85"/>
      <c r="R7910" s="89"/>
    </row>
    <row r="7911" spans="13:18" x14ac:dyDescent="0.25">
      <c r="M7911" s="9"/>
      <c r="N7911" s="9"/>
      <c r="P7911" s="14"/>
      <c r="Q7911" s="85"/>
      <c r="R7911" s="89"/>
    </row>
    <row r="7912" spans="13:18" x14ac:dyDescent="0.25">
      <c r="M7912" s="9"/>
      <c r="N7912" s="9"/>
      <c r="P7912" s="14"/>
      <c r="Q7912" s="85"/>
      <c r="R7912" s="89"/>
    </row>
    <row r="7913" spans="13:18" x14ac:dyDescent="0.25">
      <c r="M7913" s="9"/>
      <c r="N7913" s="9"/>
      <c r="P7913" s="14"/>
      <c r="Q7913" s="85"/>
      <c r="R7913" s="89"/>
    </row>
    <row r="7914" spans="13:18" x14ac:dyDescent="0.25">
      <c r="M7914" s="9"/>
      <c r="N7914" s="9"/>
      <c r="P7914" s="14"/>
      <c r="Q7914" s="85"/>
      <c r="R7914" s="89"/>
    </row>
    <row r="7915" spans="13:18" x14ac:dyDescent="0.25">
      <c r="M7915" s="9"/>
      <c r="N7915" s="9"/>
      <c r="P7915" s="14"/>
      <c r="Q7915" s="85"/>
      <c r="R7915" s="89"/>
    </row>
    <row r="7916" spans="13:18" x14ac:dyDescent="0.25">
      <c r="M7916" s="9"/>
      <c r="N7916" s="9"/>
      <c r="P7916" s="14"/>
      <c r="Q7916" s="85"/>
      <c r="R7916" s="89"/>
    </row>
    <row r="7917" spans="13:18" x14ac:dyDescent="0.25">
      <c r="M7917" s="9"/>
      <c r="N7917" s="9"/>
      <c r="P7917" s="14"/>
      <c r="Q7917" s="85"/>
      <c r="R7917" s="89"/>
    </row>
    <row r="7918" spans="13:18" x14ac:dyDescent="0.25">
      <c r="M7918" s="9"/>
      <c r="N7918" s="9"/>
      <c r="P7918" s="14"/>
      <c r="Q7918" s="85"/>
      <c r="R7918" s="89"/>
    </row>
    <row r="7919" spans="13:18" x14ac:dyDescent="0.25">
      <c r="M7919" s="9"/>
      <c r="N7919" s="9"/>
      <c r="P7919" s="14"/>
      <c r="Q7919" s="85"/>
      <c r="R7919" s="89"/>
    </row>
    <row r="7920" spans="13:18" x14ac:dyDescent="0.25">
      <c r="M7920" s="9"/>
      <c r="N7920" s="9"/>
      <c r="P7920" s="14"/>
      <c r="Q7920" s="85"/>
      <c r="R7920" s="89"/>
    </row>
    <row r="7921" spans="13:18" x14ac:dyDescent="0.25">
      <c r="M7921" s="9"/>
      <c r="N7921" s="9"/>
      <c r="P7921" s="14"/>
      <c r="Q7921" s="85"/>
      <c r="R7921" s="89"/>
    </row>
    <row r="7922" spans="13:18" x14ac:dyDescent="0.25">
      <c r="M7922" s="9"/>
      <c r="N7922" s="9"/>
      <c r="P7922" s="14"/>
      <c r="Q7922" s="85"/>
      <c r="R7922" s="89"/>
    </row>
    <row r="7923" spans="13:18" x14ac:dyDescent="0.25">
      <c r="M7923" s="9"/>
      <c r="N7923" s="9"/>
      <c r="P7923" s="14"/>
      <c r="Q7923" s="85"/>
      <c r="R7923" s="89"/>
    </row>
    <row r="7924" spans="13:18" x14ac:dyDescent="0.25">
      <c r="M7924" s="9"/>
      <c r="N7924" s="9"/>
      <c r="P7924" s="14"/>
      <c r="Q7924" s="85"/>
      <c r="R7924" s="89"/>
    </row>
    <row r="7925" spans="13:18" x14ac:dyDescent="0.25">
      <c r="M7925" s="9"/>
      <c r="N7925" s="9"/>
      <c r="P7925" s="14"/>
      <c r="Q7925" s="85"/>
      <c r="R7925" s="89"/>
    </row>
    <row r="7926" spans="13:18" x14ac:dyDescent="0.25">
      <c r="M7926" s="9"/>
      <c r="N7926" s="9"/>
      <c r="P7926" s="14"/>
      <c r="Q7926" s="85"/>
      <c r="R7926" s="89"/>
    </row>
    <row r="7927" spans="13:18" x14ac:dyDescent="0.25">
      <c r="M7927" s="9"/>
      <c r="N7927" s="9"/>
      <c r="P7927" s="14"/>
      <c r="Q7927" s="85"/>
      <c r="R7927" s="89"/>
    </row>
    <row r="7928" spans="13:18" x14ac:dyDescent="0.25">
      <c r="M7928" s="9"/>
      <c r="N7928" s="9"/>
      <c r="P7928" s="14"/>
      <c r="Q7928" s="85"/>
      <c r="R7928" s="89"/>
    </row>
    <row r="7929" spans="13:18" x14ac:dyDescent="0.25">
      <c r="M7929" s="9"/>
      <c r="N7929" s="9"/>
      <c r="P7929" s="14"/>
      <c r="Q7929" s="85"/>
      <c r="R7929" s="89"/>
    </row>
    <row r="7930" spans="13:18" x14ac:dyDescent="0.25">
      <c r="M7930" s="9"/>
      <c r="N7930" s="9"/>
      <c r="P7930" s="14"/>
      <c r="Q7930" s="85"/>
      <c r="R7930" s="89"/>
    </row>
    <row r="7931" spans="13:18" x14ac:dyDescent="0.25">
      <c r="M7931" s="9"/>
      <c r="N7931" s="9"/>
      <c r="P7931" s="14"/>
      <c r="Q7931" s="85"/>
      <c r="R7931" s="89"/>
    </row>
    <row r="7932" spans="13:18" x14ac:dyDescent="0.25">
      <c r="M7932" s="9"/>
      <c r="N7932" s="9"/>
      <c r="P7932" s="14"/>
      <c r="Q7932" s="85"/>
      <c r="R7932" s="89"/>
    </row>
    <row r="7933" spans="13:18" x14ac:dyDescent="0.25">
      <c r="M7933" s="9"/>
      <c r="N7933" s="9"/>
      <c r="P7933" s="14"/>
      <c r="Q7933" s="85"/>
      <c r="R7933" s="89"/>
    </row>
    <row r="7934" spans="13:18" x14ac:dyDescent="0.25">
      <c r="M7934" s="9"/>
      <c r="N7934" s="9"/>
      <c r="P7934" s="14"/>
      <c r="Q7934" s="85"/>
      <c r="R7934" s="89"/>
    </row>
    <row r="7935" spans="13:18" x14ac:dyDescent="0.25">
      <c r="M7935" s="9"/>
      <c r="N7935" s="9"/>
      <c r="P7935" s="14"/>
      <c r="Q7935" s="85"/>
      <c r="R7935" s="89"/>
    </row>
    <row r="7936" spans="13:18" x14ac:dyDescent="0.25">
      <c r="M7936" s="9"/>
      <c r="N7936" s="9"/>
      <c r="P7936" s="14"/>
      <c r="Q7936" s="85"/>
      <c r="R7936" s="89"/>
    </row>
    <row r="7937" spans="13:18" x14ac:dyDescent="0.25">
      <c r="M7937" s="9"/>
      <c r="N7937" s="9"/>
      <c r="P7937" s="14"/>
      <c r="Q7937" s="85"/>
      <c r="R7937" s="89"/>
    </row>
    <row r="7938" spans="13:18" x14ac:dyDescent="0.25">
      <c r="M7938" s="9"/>
      <c r="N7938" s="9"/>
      <c r="P7938" s="14"/>
      <c r="Q7938" s="85"/>
      <c r="R7938" s="89"/>
    </row>
    <row r="7939" spans="13:18" x14ac:dyDescent="0.25">
      <c r="M7939" s="9"/>
      <c r="N7939" s="9"/>
      <c r="P7939" s="14"/>
      <c r="Q7939" s="85"/>
      <c r="R7939" s="89"/>
    </row>
    <row r="7940" spans="13:18" x14ac:dyDescent="0.25">
      <c r="M7940" s="9"/>
      <c r="N7940" s="9"/>
      <c r="P7940" s="14"/>
      <c r="Q7940" s="85"/>
      <c r="R7940" s="89"/>
    </row>
    <row r="7941" spans="13:18" x14ac:dyDescent="0.25">
      <c r="M7941" s="9"/>
      <c r="N7941" s="9"/>
      <c r="P7941" s="14"/>
      <c r="Q7941" s="85"/>
      <c r="R7941" s="89"/>
    </row>
    <row r="7942" spans="13:18" x14ac:dyDescent="0.25">
      <c r="M7942" s="9"/>
      <c r="N7942" s="9"/>
      <c r="P7942" s="14"/>
      <c r="Q7942" s="85"/>
      <c r="R7942" s="89"/>
    </row>
    <row r="7943" spans="13:18" x14ac:dyDescent="0.25">
      <c r="M7943" s="9"/>
      <c r="N7943" s="9"/>
      <c r="P7943" s="14"/>
      <c r="Q7943" s="85"/>
      <c r="R7943" s="89"/>
    </row>
    <row r="7944" spans="13:18" x14ac:dyDescent="0.25">
      <c r="M7944" s="9"/>
      <c r="N7944" s="9"/>
      <c r="P7944" s="14"/>
      <c r="Q7944" s="85"/>
      <c r="R7944" s="89"/>
    </row>
    <row r="7945" spans="13:18" x14ac:dyDescent="0.25">
      <c r="M7945" s="9"/>
      <c r="N7945" s="9"/>
      <c r="P7945" s="14"/>
      <c r="Q7945" s="85"/>
      <c r="R7945" s="89"/>
    </row>
    <row r="7946" spans="13:18" x14ac:dyDescent="0.25">
      <c r="M7946" s="9"/>
      <c r="N7946" s="9"/>
      <c r="P7946" s="14"/>
      <c r="Q7946" s="85"/>
      <c r="R7946" s="89"/>
    </row>
    <row r="7947" spans="13:18" x14ac:dyDescent="0.25">
      <c r="M7947" s="9"/>
      <c r="N7947" s="9"/>
      <c r="P7947" s="14"/>
      <c r="Q7947" s="85"/>
      <c r="R7947" s="89"/>
    </row>
    <row r="7948" spans="13:18" x14ac:dyDescent="0.25">
      <c r="M7948" s="9"/>
      <c r="N7948" s="9"/>
      <c r="P7948" s="14"/>
      <c r="Q7948" s="85"/>
      <c r="R7948" s="89"/>
    </row>
    <row r="7949" spans="13:18" x14ac:dyDescent="0.25">
      <c r="M7949" s="9"/>
      <c r="N7949" s="9"/>
      <c r="P7949" s="14"/>
      <c r="Q7949" s="85"/>
      <c r="R7949" s="89"/>
    </row>
    <row r="7950" spans="13:18" x14ac:dyDescent="0.25">
      <c r="M7950" s="9"/>
      <c r="N7950" s="9"/>
      <c r="P7950" s="14"/>
      <c r="Q7950" s="85"/>
      <c r="R7950" s="89"/>
    </row>
    <row r="7951" spans="13:18" x14ac:dyDescent="0.25">
      <c r="M7951" s="9"/>
      <c r="N7951" s="9"/>
      <c r="P7951" s="14"/>
      <c r="Q7951" s="85"/>
      <c r="R7951" s="89"/>
    </row>
    <row r="7952" spans="13:18" x14ac:dyDescent="0.25">
      <c r="M7952" s="9"/>
      <c r="N7952" s="9"/>
      <c r="P7952" s="14"/>
      <c r="Q7952" s="85"/>
      <c r="R7952" s="89"/>
    </row>
    <row r="7953" spans="13:18" x14ac:dyDescent="0.25">
      <c r="M7953" s="9"/>
      <c r="N7953" s="9"/>
      <c r="P7953" s="14"/>
      <c r="Q7953" s="85"/>
      <c r="R7953" s="89"/>
    </row>
    <row r="7954" spans="13:18" x14ac:dyDescent="0.25">
      <c r="M7954" s="9"/>
      <c r="N7954" s="9"/>
      <c r="P7954" s="14"/>
      <c r="Q7954" s="85"/>
      <c r="R7954" s="89"/>
    </row>
    <row r="7955" spans="13:18" x14ac:dyDescent="0.25">
      <c r="M7955" s="9"/>
      <c r="N7955" s="9"/>
      <c r="P7955" s="14"/>
      <c r="Q7955" s="85"/>
      <c r="R7955" s="89"/>
    </row>
    <row r="7956" spans="13:18" x14ac:dyDescent="0.25">
      <c r="M7956" s="9"/>
      <c r="N7956" s="9"/>
      <c r="P7956" s="14"/>
      <c r="Q7956" s="85"/>
      <c r="R7956" s="89"/>
    </row>
    <row r="7957" spans="13:18" x14ac:dyDescent="0.25">
      <c r="M7957" s="9"/>
      <c r="N7957" s="9"/>
      <c r="P7957" s="14"/>
      <c r="Q7957" s="85"/>
      <c r="R7957" s="89"/>
    </row>
    <row r="7958" spans="13:18" x14ac:dyDescent="0.25">
      <c r="M7958" s="9"/>
      <c r="N7958" s="9"/>
      <c r="P7958" s="14"/>
      <c r="Q7958" s="85"/>
      <c r="R7958" s="89"/>
    </row>
    <row r="7959" spans="13:18" x14ac:dyDescent="0.25">
      <c r="M7959" s="9"/>
      <c r="N7959" s="9"/>
      <c r="P7959" s="14"/>
      <c r="Q7959" s="85"/>
      <c r="R7959" s="89"/>
    </row>
    <row r="7960" spans="13:18" x14ac:dyDescent="0.25">
      <c r="M7960" s="9"/>
      <c r="N7960" s="9"/>
      <c r="P7960" s="14"/>
      <c r="Q7960" s="85"/>
      <c r="R7960" s="89"/>
    </row>
    <row r="7961" spans="13:18" x14ac:dyDescent="0.25">
      <c r="M7961" s="9"/>
      <c r="N7961" s="9"/>
      <c r="P7961" s="14"/>
      <c r="Q7961" s="85"/>
      <c r="R7961" s="89"/>
    </row>
    <row r="7962" spans="13:18" x14ac:dyDescent="0.25">
      <c r="M7962" s="9"/>
      <c r="N7962" s="9"/>
      <c r="P7962" s="14"/>
      <c r="Q7962" s="85"/>
      <c r="R7962" s="89"/>
    </row>
    <row r="7963" spans="13:18" x14ac:dyDescent="0.25">
      <c r="M7963" s="9"/>
      <c r="N7963" s="9"/>
      <c r="P7963" s="14"/>
      <c r="Q7963" s="85"/>
      <c r="R7963" s="89"/>
    </row>
    <row r="7964" spans="13:18" x14ac:dyDescent="0.25">
      <c r="M7964" s="9"/>
      <c r="N7964" s="9"/>
      <c r="P7964" s="14"/>
      <c r="Q7964" s="85"/>
      <c r="R7964" s="89"/>
    </row>
    <row r="7965" spans="13:18" x14ac:dyDescent="0.25">
      <c r="M7965" s="9"/>
      <c r="N7965" s="9"/>
      <c r="P7965" s="14"/>
      <c r="Q7965" s="85"/>
      <c r="R7965" s="89"/>
    </row>
    <row r="7966" spans="13:18" x14ac:dyDescent="0.25">
      <c r="M7966" s="9"/>
      <c r="N7966" s="9"/>
      <c r="P7966" s="14"/>
      <c r="Q7966" s="85"/>
      <c r="R7966" s="89"/>
    </row>
    <row r="7967" spans="13:18" x14ac:dyDescent="0.25">
      <c r="M7967" s="9"/>
      <c r="N7967" s="9"/>
      <c r="P7967" s="14"/>
      <c r="Q7967" s="85"/>
      <c r="R7967" s="89"/>
    </row>
    <row r="7968" spans="13:18" x14ac:dyDescent="0.25">
      <c r="M7968" s="9"/>
      <c r="N7968" s="9"/>
      <c r="P7968" s="14"/>
      <c r="Q7968" s="85"/>
      <c r="R7968" s="89"/>
    </row>
    <row r="7969" spans="13:18" x14ac:dyDescent="0.25">
      <c r="M7969" s="9"/>
      <c r="N7969" s="9"/>
      <c r="P7969" s="14"/>
      <c r="Q7969" s="85"/>
      <c r="R7969" s="89"/>
    </row>
    <row r="7970" spans="13:18" x14ac:dyDescent="0.25">
      <c r="M7970" s="9"/>
      <c r="N7970" s="9"/>
      <c r="P7970" s="14"/>
      <c r="Q7970" s="85"/>
      <c r="R7970" s="89"/>
    </row>
    <row r="7971" spans="13:18" x14ac:dyDescent="0.25">
      <c r="M7971" s="9"/>
      <c r="N7971" s="9"/>
      <c r="P7971" s="14"/>
      <c r="Q7971" s="85"/>
      <c r="R7971" s="89"/>
    </row>
    <row r="7972" spans="13:18" x14ac:dyDescent="0.25">
      <c r="M7972" s="9"/>
      <c r="N7972" s="9"/>
      <c r="P7972" s="14"/>
      <c r="Q7972" s="85"/>
      <c r="R7972" s="89"/>
    </row>
    <row r="7973" spans="13:18" x14ac:dyDescent="0.25">
      <c r="M7973" s="9"/>
      <c r="N7973" s="9"/>
      <c r="P7973" s="14"/>
      <c r="Q7973" s="85"/>
      <c r="R7973" s="89"/>
    </row>
    <row r="7974" spans="13:18" x14ac:dyDescent="0.25">
      <c r="M7974" s="9"/>
      <c r="N7974" s="9"/>
      <c r="P7974" s="14"/>
      <c r="Q7974" s="85"/>
      <c r="R7974" s="89"/>
    </row>
    <row r="7975" spans="13:18" x14ac:dyDescent="0.25">
      <c r="M7975" s="9"/>
      <c r="N7975" s="9"/>
      <c r="P7975" s="14"/>
      <c r="Q7975" s="85"/>
      <c r="R7975" s="89"/>
    </row>
    <row r="7976" spans="13:18" x14ac:dyDescent="0.25">
      <c r="M7976" s="9"/>
      <c r="N7976" s="9"/>
      <c r="P7976" s="14"/>
      <c r="Q7976" s="85"/>
      <c r="R7976" s="89"/>
    </row>
    <row r="7977" spans="13:18" x14ac:dyDescent="0.25">
      <c r="M7977" s="9"/>
      <c r="N7977" s="9"/>
      <c r="P7977" s="14"/>
      <c r="Q7977" s="85"/>
      <c r="R7977" s="89"/>
    </row>
    <row r="7978" spans="13:18" x14ac:dyDescent="0.25">
      <c r="M7978" s="9"/>
      <c r="N7978" s="9"/>
      <c r="P7978" s="14"/>
      <c r="Q7978" s="85"/>
      <c r="R7978" s="89"/>
    </row>
    <row r="7979" spans="13:18" x14ac:dyDescent="0.25">
      <c r="M7979" s="9"/>
      <c r="N7979" s="9"/>
      <c r="P7979" s="14"/>
      <c r="Q7979" s="85"/>
      <c r="R7979" s="89"/>
    </row>
    <row r="7980" spans="13:18" x14ac:dyDescent="0.25">
      <c r="M7980" s="9"/>
      <c r="N7980" s="9"/>
      <c r="P7980" s="14"/>
      <c r="Q7980" s="85"/>
      <c r="R7980" s="89"/>
    </row>
    <row r="7981" spans="13:18" x14ac:dyDescent="0.25">
      <c r="M7981" s="9"/>
      <c r="N7981" s="9"/>
      <c r="P7981" s="14"/>
      <c r="Q7981" s="85"/>
      <c r="R7981" s="89"/>
    </row>
    <row r="7982" spans="13:18" x14ac:dyDescent="0.25">
      <c r="M7982" s="9"/>
      <c r="N7982" s="9"/>
      <c r="P7982" s="14"/>
      <c r="Q7982" s="85"/>
      <c r="R7982" s="89"/>
    </row>
    <row r="7983" spans="13:18" x14ac:dyDescent="0.25">
      <c r="M7983" s="9"/>
      <c r="N7983" s="9"/>
      <c r="P7983" s="14"/>
      <c r="Q7983" s="85"/>
      <c r="R7983" s="89"/>
    </row>
    <row r="7984" spans="13:18" x14ac:dyDescent="0.25">
      <c r="M7984" s="9"/>
      <c r="N7984" s="9"/>
      <c r="P7984" s="14"/>
      <c r="Q7984" s="85"/>
      <c r="R7984" s="89"/>
    </row>
    <row r="7985" spans="13:18" x14ac:dyDescent="0.25">
      <c r="M7985" s="9"/>
      <c r="N7985" s="9"/>
      <c r="P7985" s="14"/>
      <c r="Q7985" s="85"/>
      <c r="R7985" s="89"/>
    </row>
    <row r="7986" spans="13:18" x14ac:dyDescent="0.25">
      <c r="M7986" s="9"/>
      <c r="N7986" s="9"/>
      <c r="P7986" s="14"/>
      <c r="Q7986" s="85"/>
      <c r="R7986" s="89"/>
    </row>
    <row r="7987" spans="13:18" x14ac:dyDescent="0.25">
      <c r="M7987" s="9"/>
      <c r="N7987" s="9"/>
      <c r="P7987" s="14"/>
      <c r="Q7987" s="85"/>
      <c r="R7987" s="89"/>
    </row>
    <row r="7988" spans="13:18" x14ac:dyDescent="0.25">
      <c r="M7988" s="9"/>
      <c r="N7988" s="9"/>
      <c r="P7988" s="14"/>
      <c r="Q7988" s="85"/>
      <c r="R7988" s="89"/>
    </row>
    <row r="7989" spans="13:18" x14ac:dyDescent="0.25">
      <c r="M7989" s="9"/>
      <c r="N7989" s="9"/>
      <c r="P7989" s="14"/>
      <c r="Q7989" s="85"/>
      <c r="R7989" s="89"/>
    </row>
    <row r="7990" spans="13:18" x14ac:dyDescent="0.25">
      <c r="M7990" s="9"/>
      <c r="N7990" s="9"/>
      <c r="P7990" s="14"/>
      <c r="Q7990" s="85"/>
      <c r="R7990" s="89"/>
    </row>
    <row r="7991" spans="13:18" x14ac:dyDescent="0.25">
      <c r="M7991" s="9"/>
      <c r="N7991" s="9"/>
      <c r="P7991" s="14"/>
      <c r="Q7991" s="85"/>
      <c r="R7991" s="89"/>
    </row>
    <row r="7992" spans="13:18" x14ac:dyDescent="0.25">
      <c r="M7992" s="9"/>
      <c r="N7992" s="9"/>
      <c r="P7992" s="14"/>
      <c r="Q7992" s="85"/>
      <c r="R7992" s="89"/>
    </row>
    <row r="7993" spans="13:18" x14ac:dyDescent="0.25">
      <c r="M7993" s="9"/>
      <c r="N7993" s="9"/>
      <c r="P7993" s="14"/>
      <c r="Q7993" s="85"/>
      <c r="R7993" s="89"/>
    </row>
    <row r="7994" spans="13:18" x14ac:dyDescent="0.25">
      <c r="M7994" s="9"/>
      <c r="N7994" s="9"/>
      <c r="P7994" s="14"/>
      <c r="Q7994" s="85"/>
      <c r="R7994" s="89"/>
    </row>
    <row r="7995" spans="13:18" x14ac:dyDescent="0.25">
      <c r="M7995" s="9"/>
      <c r="N7995" s="9"/>
      <c r="P7995" s="14"/>
      <c r="Q7995" s="85"/>
      <c r="R7995" s="89"/>
    </row>
    <row r="7996" spans="13:18" x14ac:dyDescent="0.25">
      <c r="M7996" s="9"/>
      <c r="N7996" s="9"/>
      <c r="P7996" s="14"/>
      <c r="Q7996" s="85"/>
      <c r="R7996" s="89"/>
    </row>
    <row r="7997" spans="13:18" x14ac:dyDescent="0.25">
      <c r="M7997" s="9"/>
      <c r="N7997" s="9"/>
      <c r="P7997" s="14"/>
      <c r="Q7997" s="85"/>
      <c r="R7997" s="89"/>
    </row>
    <row r="7998" spans="13:18" x14ac:dyDescent="0.25">
      <c r="M7998" s="9"/>
      <c r="N7998" s="9"/>
      <c r="P7998" s="14"/>
      <c r="Q7998" s="85"/>
      <c r="R7998" s="89"/>
    </row>
    <row r="7999" spans="13:18" x14ac:dyDescent="0.25">
      <c r="M7999" s="9"/>
      <c r="N7999" s="9"/>
      <c r="P7999" s="14"/>
      <c r="Q7999" s="85"/>
      <c r="R7999" s="89"/>
    </row>
    <row r="8000" spans="13:18" x14ac:dyDescent="0.25">
      <c r="M8000" s="9"/>
      <c r="N8000" s="9"/>
      <c r="P8000" s="14"/>
      <c r="Q8000" s="85"/>
      <c r="R8000" s="89"/>
    </row>
    <row r="8001" spans="13:18" x14ac:dyDescent="0.25">
      <c r="M8001" s="9"/>
      <c r="N8001" s="9"/>
      <c r="P8001" s="14"/>
      <c r="Q8001" s="85"/>
      <c r="R8001" s="89"/>
    </row>
    <row r="8002" spans="13:18" x14ac:dyDescent="0.25">
      <c r="M8002" s="9"/>
      <c r="N8002" s="9"/>
      <c r="P8002" s="14"/>
      <c r="Q8002" s="85"/>
      <c r="R8002" s="89"/>
    </row>
    <row r="8003" spans="13:18" x14ac:dyDescent="0.25">
      <c r="M8003" s="9"/>
      <c r="N8003" s="9"/>
      <c r="P8003" s="14"/>
      <c r="Q8003" s="85"/>
      <c r="R8003" s="89"/>
    </row>
    <row r="8004" spans="13:18" x14ac:dyDescent="0.25">
      <c r="M8004" s="9"/>
      <c r="N8004" s="9"/>
      <c r="P8004" s="14"/>
      <c r="Q8004" s="85"/>
      <c r="R8004" s="89"/>
    </row>
    <row r="8005" spans="13:18" x14ac:dyDescent="0.25">
      <c r="M8005" s="9"/>
      <c r="N8005" s="9"/>
      <c r="P8005" s="14"/>
      <c r="Q8005" s="85"/>
      <c r="R8005" s="89"/>
    </row>
    <row r="8006" spans="13:18" x14ac:dyDescent="0.25">
      <c r="M8006" s="9"/>
      <c r="N8006" s="9"/>
      <c r="P8006" s="14"/>
      <c r="Q8006" s="85"/>
      <c r="R8006" s="89"/>
    </row>
    <row r="8007" spans="13:18" x14ac:dyDescent="0.25">
      <c r="M8007" s="9"/>
      <c r="N8007" s="9"/>
      <c r="P8007" s="14"/>
      <c r="Q8007" s="85"/>
      <c r="R8007" s="89"/>
    </row>
    <row r="8008" spans="13:18" x14ac:dyDescent="0.25">
      <c r="M8008" s="9"/>
      <c r="N8008" s="9"/>
      <c r="P8008" s="14"/>
      <c r="Q8008" s="85"/>
      <c r="R8008" s="89"/>
    </row>
    <row r="8009" spans="13:18" x14ac:dyDescent="0.25">
      <c r="M8009" s="9"/>
      <c r="N8009" s="9"/>
      <c r="P8009" s="14"/>
      <c r="Q8009" s="85"/>
      <c r="R8009" s="89"/>
    </row>
    <row r="8010" spans="13:18" x14ac:dyDescent="0.25">
      <c r="M8010" s="9"/>
      <c r="N8010" s="9"/>
      <c r="P8010" s="14"/>
      <c r="Q8010" s="85"/>
      <c r="R8010" s="89"/>
    </row>
    <row r="8011" spans="13:18" x14ac:dyDescent="0.25">
      <c r="M8011" s="9"/>
      <c r="N8011" s="9"/>
      <c r="P8011" s="14"/>
      <c r="Q8011" s="85"/>
      <c r="R8011" s="89"/>
    </row>
    <row r="8012" spans="13:18" x14ac:dyDescent="0.25">
      <c r="M8012" s="9"/>
      <c r="N8012" s="9"/>
      <c r="P8012" s="14"/>
      <c r="Q8012" s="85"/>
      <c r="R8012" s="89"/>
    </row>
    <row r="8013" spans="13:18" x14ac:dyDescent="0.25">
      <c r="M8013" s="9"/>
      <c r="N8013" s="9"/>
      <c r="P8013" s="14"/>
      <c r="Q8013" s="85"/>
      <c r="R8013" s="89"/>
    </row>
    <row r="8014" spans="13:18" x14ac:dyDescent="0.25">
      <c r="M8014" s="9"/>
      <c r="N8014" s="9"/>
      <c r="P8014" s="14"/>
      <c r="Q8014" s="85"/>
      <c r="R8014" s="89"/>
    </row>
    <row r="8015" spans="13:18" x14ac:dyDescent="0.25">
      <c r="M8015" s="9"/>
      <c r="N8015" s="9"/>
      <c r="P8015" s="14"/>
      <c r="Q8015" s="85"/>
      <c r="R8015" s="89"/>
    </row>
    <row r="8016" spans="13:18" x14ac:dyDescent="0.25">
      <c r="M8016" s="9"/>
      <c r="N8016" s="9"/>
      <c r="P8016" s="14"/>
      <c r="Q8016" s="85"/>
      <c r="R8016" s="89"/>
    </row>
    <row r="8017" spans="13:18" x14ac:dyDescent="0.25">
      <c r="M8017" s="9"/>
      <c r="N8017" s="9"/>
      <c r="P8017" s="14"/>
      <c r="Q8017" s="85"/>
      <c r="R8017" s="89"/>
    </row>
    <row r="8018" spans="13:18" x14ac:dyDescent="0.25">
      <c r="M8018" s="9"/>
      <c r="N8018" s="9"/>
      <c r="P8018" s="14"/>
      <c r="Q8018" s="85"/>
      <c r="R8018" s="89"/>
    </row>
    <row r="8019" spans="13:18" x14ac:dyDescent="0.25">
      <c r="M8019" s="9"/>
      <c r="N8019" s="9"/>
      <c r="P8019" s="14"/>
      <c r="Q8019" s="85"/>
      <c r="R8019" s="89"/>
    </row>
    <row r="8020" spans="13:18" x14ac:dyDescent="0.25">
      <c r="M8020" s="9"/>
      <c r="N8020" s="9"/>
      <c r="P8020" s="14"/>
      <c r="Q8020" s="85"/>
      <c r="R8020" s="89"/>
    </row>
    <row r="8021" spans="13:18" x14ac:dyDescent="0.25">
      <c r="M8021" s="9"/>
      <c r="N8021" s="9"/>
      <c r="P8021" s="14"/>
      <c r="Q8021" s="85"/>
      <c r="R8021" s="89"/>
    </row>
    <row r="8022" spans="13:18" x14ac:dyDescent="0.25">
      <c r="M8022" s="9"/>
      <c r="N8022" s="9"/>
      <c r="P8022" s="14"/>
      <c r="Q8022" s="85"/>
      <c r="R8022" s="89"/>
    </row>
    <row r="8023" spans="13:18" x14ac:dyDescent="0.25">
      <c r="M8023" s="9"/>
      <c r="N8023" s="9"/>
      <c r="P8023" s="14"/>
      <c r="Q8023" s="85"/>
      <c r="R8023" s="89"/>
    </row>
    <row r="8024" spans="13:18" x14ac:dyDescent="0.25">
      <c r="M8024" s="9"/>
      <c r="N8024" s="9"/>
      <c r="P8024" s="14"/>
      <c r="Q8024" s="85"/>
      <c r="R8024" s="89"/>
    </row>
    <row r="8025" spans="13:18" x14ac:dyDescent="0.25">
      <c r="M8025" s="9"/>
      <c r="N8025" s="9"/>
      <c r="P8025" s="14"/>
      <c r="Q8025" s="85"/>
      <c r="R8025" s="89"/>
    </row>
    <row r="8026" spans="13:18" x14ac:dyDescent="0.25">
      <c r="M8026" s="9"/>
      <c r="N8026" s="9"/>
      <c r="P8026" s="14"/>
      <c r="Q8026" s="85"/>
      <c r="R8026" s="89"/>
    </row>
    <row r="8027" spans="13:18" x14ac:dyDescent="0.25">
      <c r="M8027" s="9"/>
      <c r="N8027" s="9"/>
      <c r="P8027" s="14"/>
      <c r="Q8027" s="85"/>
      <c r="R8027" s="89"/>
    </row>
    <row r="8028" spans="13:18" x14ac:dyDescent="0.25">
      <c r="M8028" s="9"/>
      <c r="N8028" s="9"/>
      <c r="P8028" s="14"/>
      <c r="Q8028" s="85"/>
      <c r="R8028" s="89"/>
    </row>
    <row r="8029" spans="13:18" x14ac:dyDescent="0.25">
      <c r="M8029" s="9"/>
      <c r="N8029" s="9"/>
      <c r="P8029" s="14"/>
      <c r="Q8029" s="85"/>
      <c r="R8029" s="89"/>
    </row>
    <row r="8030" spans="13:18" x14ac:dyDescent="0.25">
      <c r="M8030" s="9"/>
      <c r="N8030" s="9"/>
      <c r="P8030" s="14"/>
      <c r="Q8030" s="85"/>
      <c r="R8030" s="89"/>
    </row>
    <row r="8031" spans="13:18" x14ac:dyDescent="0.25">
      <c r="M8031" s="9"/>
      <c r="N8031" s="9"/>
      <c r="P8031" s="14"/>
      <c r="Q8031" s="85"/>
      <c r="R8031" s="89"/>
    </row>
    <row r="8032" spans="13:18" x14ac:dyDescent="0.25">
      <c r="M8032" s="9"/>
      <c r="N8032" s="9"/>
      <c r="P8032" s="14"/>
      <c r="Q8032" s="85"/>
      <c r="R8032" s="89"/>
    </row>
    <row r="8033" spans="13:18" x14ac:dyDescent="0.25">
      <c r="M8033" s="9"/>
      <c r="N8033" s="9"/>
      <c r="P8033" s="14"/>
      <c r="Q8033" s="85"/>
      <c r="R8033" s="89"/>
    </row>
    <row r="8034" spans="13:18" x14ac:dyDescent="0.25">
      <c r="M8034" s="9"/>
      <c r="N8034" s="9"/>
      <c r="P8034" s="14"/>
      <c r="Q8034" s="85"/>
      <c r="R8034" s="89"/>
    </row>
    <row r="8035" spans="13:18" x14ac:dyDescent="0.25">
      <c r="M8035" s="9"/>
      <c r="N8035" s="9"/>
      <c r="P8035" s="14"/>
      <c r="Q8035" s="85"/>
      <c r="R8035" s="89"/>
    </row>
    <row r="8036" spans="13:18" x14ac:dyDescent="0.25">
      <c r="M8036" s="9"/>
      <c r="N8036" s="9"/>
      <c r="P8036" s="14"/>
      <c r="Q8036" s="85"/>
      <c r="R8036" s="89"/>
    </row>
    <row r="8037" spans="13:18" x14ac:dyDescent="0.25">
      <c r="M8037" s="9"/>
      <c r="N8037" s="9"/>
      <c r="P8037" s="14"/>
      <c r="Q8037" s="85"/>
      <c r="R8037" s="89"/>
    </row>
    <row r="8038" spans="13:18" x14ac:dyDescent="0.25">
      <c r="M8038" s="9"/>
      <c r="N8038" s="9"/>
      <c r="P8038" s="14"/>
      <c r="Q8038" s="85"/>
      <c r="R8038" s="89"/>
    </row>
    <row r="8039" spans="13:18" x14ac:dyDescent="0.25">
      <c r="M8039" s="9"/>
      <c r="N8039" s="9"/>
      <c r="P8039" s="14"/>
      <c r="Q8039" s="85"/>
      <c r="R8039" s="89"/>
    </row>
    <row r="8040" spans="13:18" x14ac:dyDescent="0.25">
      <c r="M8040" s="9"/>
      <c r="N8040" s="9"/>
      <c r="P8040" s="14"/>
      <c r="Q8040" s="85"/>
      <c r="R8040" s="89"/>
    </row>
    <row r="8041" spans="13:18" x14ac:dyDescent="0.25">
      <c r="M8041" s="9"/>
      <c r="N8041" s="9"/>
      <c r="P8041" s="14"/>
      <c r="Q8041" s="85"/>
      <c r="R8041" s="89"/>
    </row>
    <row r="8042" spans="13:18" x14ac:dyDescent="0.25">
      <c r="M8042" s="9"/>
      <c r="N8042" s="9"/>
      <c r="P8042" s="14"/>
      <c r="Q8042" s="85"/>
      <c r="R8042" s="89"/>
    </row>
    <row r="8043" spans="13:18" x14ac:dyDescent="0.25">
      <c r="M8043" s="9"/>
      <c r="N8043" s="9"/>
      <c r="P8043" s="14"/>
      <c r="Q8043" s="85"/>
      <c r="R8043" s="89"/>
    </row>
    <row r="8044" spans="13:18" x14ac:dyDescent="0.25">
      <c r="M8044" s="9"/>
      <c r="N8044" s="9"/>
      <c r="P8044" s="14"/>
      <c r="Q8044" s="85"/>
      <c r="R8044" s="89"/>
    </row>
    <row r="8045" spans="13:18" x14ac:dyDescent="0.25">
      <c r="M8045" s="9"/>
      <c r="N8045" s="9"/>
      <c r="P8045" s="14"/>
      <c r="Q8045" s="85"/>
      <c r="R8045" s="89"/>
    </row>
    <row r="8046" spans="13:18" x14ac:dyDescent="0.25">
      <c r="M8046" s="9"/>
      <c r="N8046" s="9"/>
      <c r="P8046" s="14"/>
      <c r="Q8046" s="85"/>
      <c r="R8046" s="89"/>
    </row>
    <row r="8047" spans="13:18" x14ac:dyDescent="0.25">
      <c r="M8047" s="9"/>
      <c r="N8047" s="9"/>
      <c r="P8047" s="14"/>
      <c r="Q8047" s="85"/>
      <c r="R8047" s="89"/>
    </row>
    <row r="8048" spans="13:18" x14ac:dyDescent="0.25">
      <c r="M8048" s="9"/>
      <c r="N8048" s="9"/>
      <c r="P8048" s="14"/>
      <c r="Q8048" s="85"/>
      <c r="R8048" s="89"/>
    </row>
    <row r="8049" spans="13:18" x14ac:dyDescent="0.25">
      <c r="M8049" s="9"/>
      <c r="N8049" s="9"/>
      <c r="P8049" s="14"/>
      <c r="Q8049" s="85"/>
      <c r="R8049" s="89"/>
    </row>
    <row r="8050" spans="13:18" x14ac:dyDescent="0.25">
      <c r="M8050" s="9"/>
      <c r="N8050" s="9"/>
      <c r="P8050" s="14"/>
      <c r="Q8050" s="85"/>
      <c r="R8050" s="89"/>
    </row>
    <row r="8051" spans="13:18" x14ac:dyDescent="0.25">
      <c r="M8051" s="9"/>
      <c r="N8051" s="9"/>
      <c r="P8051" s="14"/>
      <c r="Q8051" s="85"/>
      <c r="R8051" s="89"/>
    </row>
    <row r="8052" spans="13:18" x14ac:dyDescent="0.25">
      <c r="M8052" s="9"/>
      <c r="N8052" s="9"/>
      <c r="P8052" s="14"/>
      <c r="Q8052" s="85"/>
      <c r="R8052" s="89"/>
    </row>
    <row r="8053" spans="13:18" x14ac:dyDescent="0.25">
      <c r="M8053" s="9"/>
      <c r="N8053" s="9"/>
      <c r="P8053" s="14"/>
      <c r="Q8053" s="85"/>
      <c r="R8053" s="89"/>
    </row>
    <row r="8054" spans="13:18" x14ac:dyDescent="0.25">
      <c r="M8054" s="9"/>
      <c r="N8054" s="9"/>
      <c r="P8054" s="14"/>
      <c r="Q8054" s="85"/>
      <c r="R8054" s="89"/>
    </row>
    <row r="8055" spans="13:18" x14ac:dyDescent="0.25">
      <c r="M8055" s="9"/>
      <c r="N8055" s="9"/>
      <c r="P8055" s="14"/>
      <c r="Q8055" s="85"/>
      <c r="R8055" s="89"/>
    </row>
    <row r="8056" spans="13:18" x14ac:dyDescent="0.25">
      <c r="M8056" s="9"/>
      <c r="N8056" s="9"/>
      <c r="P8056" s="14"/>
      <c r="Q8056" s="85"/>
      <c r="R8056" s="89"/>
    </row>
    <row r="8057" spans="13:18" x14ac:dyDescent="0.25">
      <c r="M8057" s="9"/>
      <c r="N8057" s="9"/>
      <c r="P8057" s="14"/>
      <c r="Q8057" s="85"/>
      <c r="R8057" s="89"/>
    </row>
    <row r="8058" spans="13:18" x14ac:dyDescent="0.25">
      <c r="M8058" s="9"/>
      <c r="N8058" s="9"/>
      <c r="P8058" s="14"/>
      <c r="Q8058" s="85"/>
      <c r="R8058" s="89"/>
    </row>
    <row r="8059" spans="13:18" x14ac:dyDescent="0.25">
      <c r="M8059" s="9"/>
      <c r="N8059" s="9"/>
      <c r="P8059" s="14"/>
      <c r="Q8059" s="85"/>
      <c r="R8059" s="89"/>
    </row>
    <row r="8060" spans="13:18" x14ac:dyDescent="0.25">
      <c r="M8060" s="9"/>
      <c r="N8060" s="9"/>
      <c r="P8060" s="14"/>
      <c r="Q8060" s="85"/>
      <c r="R8060" s="89"/>
    </row>
    <row r="8061" spans="13:18" x14ac:dyDescent="0.25">
      <c r="M8061" s="9"/>
      <c r="N8061" s="9"/>
      <c r="P8061" s="14"/>
      <c r="Q8061" s="85"/>
      <c r="R8061" s="89"/>
    </row>
    <row r="8062" spans="13:18" x14ac:dyDescent="0.25">
      <c r="M8062" s="9"/>
      <c r="N8062" s="9"/>
      <c r="P8062" s="14"/>
      <c r="Q8062" s="85"/>
      <c r="R8062" s="89"/>
    </row>
    <row r="8063" spans="13:18" x14ac:dyDescent="0.25">
      <c r="M8063" s="9"/>
      <c r="N8063" s="9"/>
      <c r="P8063" s="14"/>
      <c r="Q8063" s="85"/>
      <c r="R8063" s="89"/>
    </row>
    <row r="8064" spans="13:18" x14ac:dyDescent="0.25">
      <c r="M8064" s="9"/>
      <c r="N8064" s="9"/>
      <c r="P8064" s="14"/>
      <c r="Q8064" s="85"/>
      <c r="R8064" s="89"/>
    </row>
    <row r="8065" spans="13:18" x14ac:dyDescent="0.25">
      <c r="M8065" s="9"/>
      <c r="N8065" s="9"/>
      <c r="P8065" s="14"/>
      <c r="Q8065" s="85"/>
      <c r="R8065" s="89"/>
    </row>
    <row r="8066" spans="13:18" x14ac:dyDescent="0.25">
      <c r="M8066" s="9"/>
      <c r="N8066" s="9"/>
      <c r="P8066" s="14"/>
      <c r="Q8066" s="85"/>
      <c r="R8066" s="89"/>
    </row>
    <row r="8067" spans="13:18" x14ac:dyDescent="0.25">
      <c r="M8067" s="9"/>
      <c r="N8067" s="9"/>
      <c r="P8067" s="14"/>
      <c r="Q8067" s="85"/>
      <c r="R8067" s="89"/>
    </row>
    <row r="8068" spans="13:18" x14ac:dyDescent="0.25">
      <c r="M8068" s="9"/>
      <c r="N8068" s="9"/>
      <c r="P8068" s="14"/>
      <c r="Q8068" s="85"/>
      <c r="R8068" s="89"/>
    </row>
    <row r="8069" spans="13:18" x14ac:dyDescent="0.25">
      <c r="M8069" s="9"/>
      <c r="N8069" s="9"/>
      <c r="P8069" s="14"/>
      <c r="Q8069" s="85"/>
      <c r="R8069" s="89"/>
    </row>
    <row r="8070" spans="13:18" x14ac:dyDescent="0.25">
      <c r="M8070" s="9"/>
      <c r="N8070" s="9"/>
      <c r="P8070" s="14"/>
      <c r="Q8070" s="85"/>
      <c r="R8070" s="89"/>
    </row>
    <row r="8071" spans="13:18" x14ac:dyDescent="0.25">
      <c r="M8071" s="9"/>
      <c r="N8071" s="9"/>
      <c r="P8071" s="14"/>
      <c r="Q8071" s="85"/>
      <c r="R8071" s="89"/>
    </row>
    <row r="8072" spans="13:18" x14ac:dyDescent="0.25">
      <c r="M8072" s="9"/>
      <c r="N8072" s="9"/>
      <c r="P8072" s="14"/>
      <c r="Q8072" s="85"/>
      <c r="R8072" s="89"/>
    </row>
    <row r="8073" spans="13:18" x14ac:dyDescent="0.25">
      <c r="M8073" s="9"/>
      <c r="N8073" s="9"/>
      <c r="P8073" s="14"/>
      <c r="Q8073" s="85"/>
      <c r="R8073" s="89"/>
    </row>
    <row r="8074" spans="13:18" x14ac:dyDescent="0.25">
      <c r="M8074" s="9"/>
      <c r="N8074" s="9"/>
      <c r="P8074" s="14"/>
      <c r="Q8074" s="85"/>
      <c r="R8074" s="89"/>
    </row>
    <row r="8075" spans="13:18" x14ac:dyDescent="0.25">
      <c r="M8075" s="9"/>
      <c r="N8075" s="9"/>
      <c r="P8075" s="14"/>
      <c r="Q8075" s="85"/>
      <c r="R8075" s="89"/>
    </row>
    <row r="8076" spans="13:18" x14ac:dyDescent="0.25">
      <c r="M8076" s="9"/>
      <c r="N8076" s="9"/>
      <c r="P8076" s="14"/>
      <c r="Q8076" s="85"/>
      <c r="R8076" s="89"/>
    </row>
    <row r="8077" spans="13:18" x14ac:dyDescent="0.25">
      <c r="M8077" s="9"/>
      <c r="N8077" s="9"/>
      <c r="P8077" s="14"/>
      <c r="Q8077" s="85"/>
      <c r="R8077" s="89"/>
    </row>
    <row r="8078" spans="13:18" x14ac:dyDescent="0.25">
      <c r="M8078" s="9"/>
      <c r="N8078" s="9"/>
      <c r="P8078" s="14"/>
      <c r="Q8078" s="85"/>
      <c r="R8078" s="89"/>
    </row>
    <row r="8079" spans="13:18" x14ac:dyDescent="0.25">
      <c r="M8079" s="9"/>
      <c r="N8079" s="9"/>
      <c r="P8079" s="14"/>
      <c r="Q8079" s="85"/>
      <c r="R8079" s="89"/>
    </row>
    <row r="8080" spans="13:18" x14ac:dyDescent="0.25">
      <c r="M8080" s="9"/>
      <c r="N8080" s="9"/>
      <c r="P8080" s="14"/>
      <c r="Q8080" s="85"/>
      <c r="R8080" s="89"/>
    </row>
    <row r="8081" spans="13:18" x14ac:dyDescent="0.25">
      <c r="M8081" s="9"/>
      <c r="N8081" s="9"/>
      <c r="P8081" s="14"/>
      <c r="Q8081" s="85"/>
      <c r="R8081" s="89"/>
    </row>
    <row r="8082" spans="13:18" x14ac:dyDescent="0.25">
      <c r="M8082" s="9"/>
      <c r="N8082" s="9"/>
      <c r="P8082" s="14"/>
      <c r="Q8082" s="85"/>
      <c r="R8082" s="89"/>
    </row>
    <row r="8083" spans="13:18" x14ac:dyDescent="0.25">
      <c r="M8083" s="9"/>
      <c r="N8083" s="9"/>
      <c r="P8083" s="14"/>
      <c r="Q8083" s="85"/>
      <c r="R8083" s="89"/>
    </row>
    <row r="8084" spans="13:18" x14ac:dyDescent="0.25">
      <c r="M8084" s="9"/>
      <c r="N8084" s="9"/>
      <c r="P8084" s="14"/>
      <c r="Q8084" s="85"/>
      <c r="R8084" s="89"/>
    </row>
    <row r="8085" spans="13:18" x14ac:dyDescent="0.25">
      <c r="M8085" s="9"/>
      <c r="N8085" s="9"/>
      <c r="P8085" s="14"/>
      <c r="Q8085" s="85"/>
      <c r="R8085" s="89"/>
    </row>
    <row r="8086" spans="13:18" x14ac:dyDescent="0.25">
      <c r="M8086" s="9"/>
      <c r="N8086" s="9"/>
      <c r="P8086" s="14"/>
      <c r="Q8086" s="85"/>
      <c r="R8086" s="89"/>
    </row>
    <row r="8087" spans="13:18" x14ac:dyDescent="0.25">
      <c r="M8087" s="9"/>
      <c r="N8087" s="9"/>
      <c r="P8087" s="14"/>
      <c r="Q8087" s="85"/>
      <c r="R8087" s="89"/>
    </row>
    <row r="8088" spans="13:18" x14ac:dyDescent="0.25">
      <c r="M8088" s="9"/>
      <c r="N8088" s="9"/>
      <c r="P8088" s="14"/>
      <c r="Q8088" s="85"/>
      <c r="R8088" s="89"/>
    </row>
    <row r="8089" spans="13:18" x14ac:dyDescent="0.25">
      <c r="M8089" s="9"/>
      <c r="N8089" s="9"/>
      <c r="P8089" s="14"/>
      <c r="Q8089" s="85"/>
      <c r="R8089" s="89"/>
    </row>
    <row r="8090" spans="13:18" x14ac:dyDescent="0.25">
      <c r="M8090" s="9"/>
      <c r="N8090" s="9"/>
      <c r="P8090" s="14"/>
      <c r="Q8090" s="85"/>
      <c r="R8090" s="89"/>
    </row>
    <row r="8091" spans="13:18" x14ac:dyDescent="0.25">
      <c r="M8091" s="9"/>
      <c r="N8091" s="9"/>
      <c r="P8091" s="14"/>
      <c r="Q8091" s="85"/>
      <c r="R8091" s="89"/>
    </row>
    <row r="8092" spans="13:18" x14ac:dyDescent="0.25">
      <c r="M8092" s="9"/>
      <c r="N8092" s="9"/>
      <c r="P8092" s="14"/>
      <c r="Q8092" s="85"/>
      <c r="R8092" s="89"/>
    </row>
    <row r="8093" spans="13:18" x14ac:dyDescent="0.25">
      <c r="M8093" s="9"/>
      <c r="N8093" s="9"/>
      <c r="P8093" s="14"/>
      <c r="Q8093" s="85"/>
      <c r="R8093" s="89"/>
    </row>
    <row r="8094" spans="13:18" x14ac:dyDescent="0.25">
      <c r="M8094" s="9"/>
      <c r="N8094" s="9"/>
      <c r="P8094" s="14"/>
      <c r="Q8094" s="85"/>
      <c r="R8094" s="89"/>
    </row>
    <row r="8095" spans="13:18" x14ac:dyDescent="0.25">
      <c r="M8095" s="9"/>
      <c r="N8095" s="9"/>
      <c r="P8095" s="14"/>
      <c r="Q8095" s="85"/>
      <c r="R8095" s="89"/>
    </row>
    <row r="8096" spans="13:18" x14ac:dyDescent="0.25">
      <c r="M8096" s="9"/>
      <c r="N8096" s="9"/>
      <c r="P8096" s="14"/>
      <c r="Q8096" s="85"/>
      <c r="R8096" s="89"/>
    </row>
    <row r="8097" spans="13:18" x14ac:dyDescent="0.25">
      <c r="M8097" s="9"/>
      <c r="N8097" s="9"/>
      <c r="P8097" s="14"/>
      <c r="Q8097" s="85"/>
      <c r="R8097" s="89"/>
    </row>
    <row r="8098" spans="13:18" x14ac:dyDescent="0.25">
      <c r="M8098" s="9"/>
      <c r="N8098" s="9"/>
      <c r="P8098" s="14"/>
      <c r="Q8098" s="85"/>
      <c r="R8098" s="89"/>
    </row>
    <row r="8099" spans="13:18" x14ac:dyDescent="0.25">
      <c r="M8099" s="9"/>
      <c r="N8099" s="9"/>
      <c r="P8099" s="14"/>
      <c r="Q8099" s="85"/>
      <c r="R8099" s="89"/>
    </row>
    <row r="8100" spans="13:18" x14ac:dyDescent="0.25">
      <c r="M8100" s="9"/>
      <c r="N8100" s="9"/>
      <c r="P8100" s="14"/>
      <c r="Q8100" s="85"/>
      <c r="R8100" s="89"/>
    </row>
    <row r="8101" spans="13:18" x14ac:dyDescent="0.25">
      <c r="M8101" s="9"/>
      <c r="N8101" s="9"/>
      <c r="P8101" s="14"/>
      <c r="Q8101" s="85"/>
      <c r="R8101" s="89"/>
    </row>
    <row r="8102" spans="13:18" x14ac:dyDescent="0.25">
      <c r="M8102" s="9"/>
      <c r="N8102" s="9"/>
      <c r="P8102" s="14"/>
      <c r="Q8102" s="85"/>
      <c r="R8102" s="89"/>
    </row>
    <row r="8103" spans="13:18" x14ac:dyDescent="0.25">
      <c r="M8103" s="9"/>
      <c r="N8103" s="9"/>
      <c r="P8103" s="14"/>
      <c r="Q8103" s="85"/>
      <c r="R8103" s="89"/>
    </row>
    <row r="8104" spans="13:18" x14ac:dyDescent="0.25">
      <c r="M8104" s="9"/>
      <c r="N8104" s="9"/>
      <c r="P8104" s="14"/>
      <c r="Q8104" s="85"/>
      <c r="R8104" s="89"/>
    </row>
    <row r="8105" spans="13:18" x14ac:dyDescent="0.25">
      <c r="M8105" s="9"/>
      <c r="N8105" s="9"/>
      <c r="P8105" s="14"/>
      <c r="Q8105" s="85"/>
      <c r="R8105" s="89"/>
    </row>
    <row r="8106" spans="13:18" x14ac:dyDescent="0.25">
      <c r="M8106" s="9"/>
      <c r="N8106" s="9"/>
      <c r="P8106" s="14"/>
      <c r="Q8106" s="85"/>
      <c r="R8106" s="89"/>
    </row>
    <row r="8107" spans="13:18" x14ac:dyDescent="0.25">
      <c r="M8107" s="9"/>
      <c r="N8107" s="9"/>
      <c r="P8107" s="14"/>
      <c r="Q8107" s="85"/>
      <c r="R8107" s="89"/>
    </row>
    <row r="8108" spans="13:18" x14ac:dyDescent="0.25">
      <c r="M8108" s="9"/>
      <c r="N8108" s="9"/>
      <c r="P8108" s="14"/>
      <c r="Q8108" s="85"/>
      <c r="R8108" s="89"/>
    </row>
    <row r="8109" spans="13:18" x14ac:dyDescent="0.25">
      <c r="M8109" s="9"/>
      <c r="N8109" s="9"/>
      <c r="P8109" s="14"/>
      <c r="Q8109" s="85"/>
      <c r="R8109" s="89"/>
    </row>
    <row r="8110" spans="13:18" x14ac:dyDescent="0.25">
      <c r="M8110" s="9"/>
      <c r="N8110" s="9"/>
      <c r="P8110" s="14"/>
      <c r="Q8110" s="85"/>
      <c r="R8110" s="89"/>
    </row>
    <row r="8111" spans="13:18" x14ac:dyDescent="0.25">
      <c r="M8111" s="9"/>
      <c r="N8111" s="9"/>
      <c r="P8111" s="14"/>
      <c r="Q8111" s="85"/>
      <c r="R8111" s="89"/>
    </row>
    <row r="8112" spans="13:18" x14ac:dyDescent="0.25">
      <c r="M8112" s="9"/>
      <c r="N8112" s="9"/>
      <c r="P8112" s="14"/>
      <c r="Q8112" s="85"/>
      <c r="R8112" s="89"/>
    </row>
    <row r="8113" spans="13:18" x14ac:dyDescent="0.25">
      <c r="M8113" s="9"/>
      <c r="N8113" s="9"/>
      <c r="P8113" s="14"/>
      <c r="Q8113" s="85"/>
      <c r="R8113" s="89"/>
    </row>
    <row r="8114" spans="13:18" x14ac:dyDescent="0.25">
      <c r="M8114" s="9"/>
      <c r="N8114" s="9"/>
      <c r="P8114" s="14"/>
      <c r="Q8114" s="85"/>
      <c r="R8114" s="89"/>
    </row>
    <row r="8115" spans="13:18" x14ac:dyDescent="0.25">
      <c r="M8115" s="9"/>
      <c r="N8115" s="9"/>
      <c r="P8115" s="14"/>
      <c r="Q8115" s="85"/>
      <c r="R8115" s="89"/>
    </row>
    <row r="8116" spans="13:18" x14ac:dyDescent="0.25">
      <c r="M8116" s="9"/>
      <c r="N8116" s="9"/>
      <c r="P8116" s="14"/>
      <c r="Q8116" s="85"/>
      <c r="R8116" s="89"/>
    </row>
    <row r="8117" spans="13:18" x14ac:dyDescent="0.25">
      <c r="M8117" s="9"/>
      <c r="N8117" s="9"/>
      <c r="P8117" s="14"/>
      <c r="Q8117" s="85"/>
      <c r="R8117" s="89"/>
    </row>
    <row r="8118" spans="13:18" x14ac:dyDescent="0.25">
      <c r="M8118" s="9"/>
      <c r="N8118" s="9"/>
      <c r="P8118" s="14"/>
      <c r="Q8118" s="85"/>
      <c r="R8118" s="89"/>
    </row>
    <row r="8119" spans="13:18" x14ac:dyDescent="0.25">
      <c r="M8119" s="9"/>
      <c r="N8119" s="9"/>
      <c r="P8119" s="14"/>
      <c r="Q8119" s="85"/>
      <c r="R8119" s="89"/>
    </row>
    <row r="8120" spans="13:18" x14ac:dyDescent="0.25">
      <c r="M8120" s="9"/>
      <c r="N8120" s="9"/>
      <c r="P8120" s="14"/>
      <c r="Q8120" s="85"/>
      <c r="R8120" s="89"/>
    </row>
    <row r="8121" spans="13:18" x14ac:dyDescent="0.25">
      <c r="M8121" s="9"/>
      <c r="N8121" s="9"/>
      <c r="P8121" s="14"/>
      <c r="Q8121" s="85"/>
      <c r="R8121" s="89"/>
    </row>
    <row r="8122" spans="13:18" x14ac:dyDescent="0.25">
      <c r="M8122" s="9"/>
      <c r="N8122" s="9"/>
      <c r="P8122" s="14"/>
      <c r="Q8122" s="85"/>
      <c r="R8122" s="89"/>
    </row>
    <row r="8123" spans="13:18" x14ac:dyDescent="0.25">
      <c r="M8123" s="9"/>
      <c r="N8123" s="9"/>
      <c r="P8123" s="14"/>
      <c r="Q8123" s="85"/>
      <c r="R8123" s="89"/>
    </row>
    <row r="8124" spans="13:18" x14ac:dyDescent="0.25">
      <c r="M8124" s="9"/>
      <c r="N8124" s="9"/>
      <c r="P8124" s="14"/>
      <c r="Q8124" s="85"/>
      <c r="R8124" s="89"/>
    </row>
    <row r="8125" spans="13:18" x14ac:dyDescent="0.25">
      <c r="M8125" s="9"/>
      <c r="N8125" s="9"/>
      <c r="P8125" s="14"/>
      <c r="Q8125" s="85"/>
      <c r="R8125" s="89"/>
    </row>
    <row r="8126" spans="13:18" x14ac:dyDescent="0.25">
      <c r="M8126" s="9"/>
      <c r="N8126" s="9"/>
      <c r="P8126" s="14"/>
      <c r="Q8126" s="85"/>
      <c r="R8126" s="89"/>
    </row>
    <row r="8127" spans="13:18" x14ac:dyDescent="0.25">
      <c r="M8127" s="9"/>
      <c r="N8127" s="9"/>
      <c r="P8127" s="14"/>
      <c r="Q8127" s="85"/>
      <c r="R8127" s="89"/>
    </row>
    <row r="8128" spans="13:18" x14ac:dyDescent="0.25">
      <c r="M8128" s="9"/>
      <c r="N8128" s="9"/>
      <c r="P8128" s="14"/>
      <c r="Q8128" s="85"/>
      <c r="R8128" s="89"/>
    </row>
    <row r="8129" spans="13:18" x14ac:dyDescent="0.25">
      <c r="M8129" s="9"/>
      <c r="N8129" s="9"/>
      <c r="P8129" s="14"/>
      <c r="Q8129" s="85"/>
      <c r="R8129" s="89"/>
    </row>
    <row r="8130" spans="13:18" x14ac:dyDescent="0.25">
      <c r="M8130" s="9"/>
      <c r="N8130" s="9"/>
      <c r="P8130" s="14"/>
      <c r="Q8130" s="85"/>
      <c r="R8130" s="89"/>
    </row>
    <row r="8131" spans="13:18" x14ac:dyDescent="0.25">
      <c r="M8131" s="9"/>
      <c r="N8131" s="9"/>
      <c r="P8131" s="14"/>
      <c r="Q8131" s="85"/>
      <c r="R8131" s="89"/>
    </row>
    <row r="8132" spans="13:18" x14ac:dyDescent="0.25">
      <c r="M8132" s="9"/>
      <c r="N8132" s="9"/>
      <c r="P8132" s="14"/>
      <c r="Q8132" s="85"/>
      <c r="R8132" s="89"/>
    </row>
    <row r="8133" spans="13:18" x14ac:dyDescent="0.25">
      <c r="M8133" s="9"/>
      <c r="N8133" s="9"/>
      <c r="P8133" s="14"/>
      <c r="Q8133" s="85"/>
      <c r="R8133" s="89"/>
    </row>
    <row r="8134" spans="13:18" x14ac:dyDescent="0.25">
      <c r="M8134" s="9"/>
      <c r="N8134" s="9"/>
      <c r="P8134" s="14"/>
      <c r="Q8134" s="85"/>
      <c r="R8134" s="89"/>
    </row>
    <row r="8135" spans="13:18" x14ac:dyDescent="0.25">
      <c r="M8135" s="9"/>
      <c r="N8135" s="9"/>
      <c r="P8135" s="14"/>
      <c r="Q8135" s="85"/>
      <c r="R8135" s="89"/>
    </row>
    <row r="8136" spans="13:18" x14ac:dyDescent="0.25">
      <c r="M8136" s="9"/>
      <c r="N8136" s="9"/>
      <c r="P8136" s="14"/>
      <c r="Q8136" s="85"/>
      <c r="R8136" s="89"/>
    </row>
    <row r="8137" spans="13:18" x14ac:dyDescent="0.25">
      <c r="M8137" s="9"/>
      <c r="N8137" s="9"/>
      <c r="P8137" s="14"/>
      <c r="Q8137" s="85"/>
      <c r="R8137" s="89"/>
    </row>
    <row r="8138" spans="13:18" x14ac:dyDescent="0.25">
      <c r="M8138" s="9"/>
      <c r="N8138" s="9"/>
      <c r="P8138" s="14"/>
      <c r="Q8138" s="85"/>
      <c r="R8138" s="89"/>
    </row>
    <row r="8139" spans="13:18" x14ac:dyDescent="0.25">
      <c r="M8139" s="9"/>
      <c r="N8139" s="9"/>
      <c r="P8139" s="14"/>
      <c r="Q8139" s="85"/>
      <c r="R8139" s="89"/>
    </row>
    <row r="8140" spans="13:18" x14ac:dyDescent="0.25">
      <c r="M8140" s="9"/>
      <c r="N8140" s="9"/>
      <c r="P8140" s="14"/>
      <c r="Q8140" s="85"/>
      <c r="R8140" s="89"/>
    </row>
    <row r="8141" spans="13:18" x14ac:dyDescent="0.25">
      <c r="M8141" s="9"/>
      <c r="N8141" s="9"/>
      <c r="P8141" s="14"/>
      <c r="Q8141" s="85"/>
      <c r="R8141" s="89"/>
    </row>
    <row r="8142" spans="13:18" x14ac:dyDescent="0.25">
      <c r="M8142" s="9"/>
      <c r="N8142" s="9"/>
      <c r="P8142" s="14"/>
      <c r="Q8142" s="85"/>
      <c r="R8142" s="89"/>
    </row>
    <row r="8143" spans="13:18" x14ac:dyDescent="0.25">
      <c r="M8143" s="9"/>
      <c r="N8143" s="9"/>
      <c r="P8143" s="14"/>
      <c r="Q8143" s="85"/>
      <c r="R8143" s="89"/>
    </row>
    <row r="8144" spans="13:18" x14ac:dyDescent="0.25">
      <c r="M8144" s="9"/>
      <c r="N8144" s="9"/>
      <c r="P8144" s="14"/>
      <c r="Q8144" s="85"/>
      <c r="R8144" s="89"/>
    </row>
    <row r="8145" spans="13:18" x14ac:dyDescent="0.25">
      <c r="M8145" s="9"/>
      <c r="N8145" s="9"/>
      <c r="P8145" s="14"/>
      <c r="Q8145" s="85"/>
      <c r="R8145" s="89"/>
    </row>
    <row r="8146" spans="13:18" x14ac:dyDescent="0.25">
      <c r="M8146" s="9"/>
      <c r="N8146" s="9"/>
      <c r="P8146" s="14"/>
      <c r="Q8146" s="85"/>
      <c r="R8146" s="89"/>
    </row>
    <row r="8147" spans="13:18" x14ac:dyDescent="0.25">
      <c r="M8147" s="9"/>
      <c r="N8147" s="9"/>
      <c r="P8147" s="14"/>
      <c r="Q8147" s="85"/>
      <c r="R8147" s="89"/>
    </row>
    <row r="8148" spans="13:18" x14ac:dyDescent="0.25">
      <c r="M8148" s="9"/>
      <c r="N8148" s="9"/>
      <c r="P8148" s="14"/>
      <c r="Q8148" s="85"/>
      <c r="R8148" s="89"/>
    </row>
    <row r="8149" spans="13:18" x14ac:dyDescent="0.25">
      <c r="M8149" s="9"/>
      <c r="N8149" s="9"/>
      <c r="P8149" s="14"/>
      <c r="Q8149" s="85"/>
      <c r="R8149" s="89"/>
    </row>
    <row r="8150" spans="13:18" x14ac:dyDescent="0.25">
      <c r="M8150" s="9"/>
      <c r="N8150" s="9"/>
      <c r="P8150" s="14"/>
      <c r="Q8150" s="85"/>
      <c r="R8150" s="89"/>
    </row>
    <row r="8151" spans="13:18" x14ac:dyDescent="0.25">
      <c r="M8151" s="9"/>
      <c r="N8151" s="9"/>
      <c r="P8151" s="14"/>
      <c r="Q8151" s="85"/>
      <c r="R8151" s="89"/>
    </row>
    <row r="8152" spans="13:18" x14ac:dyDescent="0.25">
      <c r="M8152" s="9"/>
      <c r="N8152" s="9"/>
      <c r="P8152" s="14"/>
      <c r="Q8152" s="85"/>
      <c r="R8152" s="89"/>
    </row>
    <row r="8153" spans="13:18" x14ac:dyDescent="0.25">
      <c r="M8153" s="9"/>
      <c r="N8153" s="9"/>
      <c r="P8153" s="14"/>
      <c r="Q8153" s="85"/>
      <c r="R8153" s="89"/>
    </row>
    <row r="8154" spans="13:18" x14ac:dyDescent="0.25">
      <c r="M8154" s="9"/>
      <c r="N8154" s="9"/>
      <c r="P8154" s="14"/>
      <c r="Q8154" s="85"/>
      <c r="R8154" s="89"/>
    </row>
    <row r="8155" spans="13:18" x14ac:dyDescent="0.25">
      <c r="M8155" s="9"/>
      <c r="N8155" s="9"/>
      <c r="P8155" s="14"/>
      <c r="Q8155" s="85"/>
      <c r="R8155" s="89"/>
    </row>
    <row r="8156" spans="13:18" x14ac:dyDescent="0.25">
      <c r="M8156" s="9"/>
      <c r="N8156" s="9"/>
      <c r="P8156" s="14"/>
      <c r="Q8156" s="85"/>
      <c r="R8156" s="89"/>
    </row>
    <row r="8157" spans="13:18" x14ac:dyDescent="0.25">
      <c r="M8157" s="9"/>
      <c r="N8157" s="9"/>
      <c r="P8157" s="14"/>
      <c r="Q8157" s="85"/>
      <c r="R8157" s="89"/>
    </row>
    <row r="8158" spans="13:18" x14ac:dyDescent="0.25">
      <c r="M8158" s="9"/>
      <c r="N8158" s="9"/>
      <c r="P8158" s="14"/>
      <c r="Q8158" s="85"/>
      <c r="R8158" s="89"/>
    </row>
    <row r="8159" spans="13:18" x14ac:dyDescent="0.25">
      <c r="M8159" s="9"/>
      <c r="N8159" s="9"/>
      <c r="P8159" s="14"/>
      <c r="Q8159" s="85"/>
      <c r="R8159" s="89"/>
    </row>
    <row r="8160" spans="13:18" x14ac:dyDescent="0.25">
      <c r="M8160" s="9"/>
      <c r="N8160" s="9"/>
      <c r="P8160" s="14"/>
      <c r="Q8160" s="85"/>
      <c r="R8160" s="89"/>
    </row>
    <row r="8161" spans="13:18" x14ac:dyDescent="0.25">
      <c r="M8161" s="9"/>
      <c r="N8161" s="9"/>
      <c r="P8161" s="14"/>
      <c r="Q8161" s="85"/>
      <c r="R8161" s="89"/>
    </row>
    <row r="8162" spans="13:18" x14ac:dyDescent="0.25">
      <c r="M8162" s="9"/>
      <c r="N8162" s="9"/>
      <c r="P8162" s="14"/>
      <c r="Q8162" s="85"/>
      <c r="R8162" s="89"/>
    </row>
    <row r="8163" spans="13:18" x14ac:dyDescent="0.25">
      <c r="M8163" s="9"/>
      <c r="N8163" s="9"/>
      <c r="P8163" s="14"/>
      <c r="Q8163" s="85"/>
      <c r="R8163" s="89"/>
    </row>
    <row r="8164" spans="13:18" x14ac:dyDescent="0.25">
      <c r="M8164" s="9"/>
      <c r="N8164" s="9"/>
      <c r="P8164" s="14"/>
      <c r="Q8164" s="85"/>
      <c r="R8164" s="89"/>
    </row>
    <row r="8165" spans="13:18" x14ac:dyDescent="0.25">
      <c r="M8165" s="9"/>
      <c r="N8165" s="9"/>
      <c r="P8165" s="14"/>
      <c r="Q8165" s="85"/>
      <c r="R8165" s="89"/>
    </row>
    <row r="8166" spans="13:18" x14ac:dyDescent="0.25">
      <c r="M8166" s="9"/>
      <c r="N8166" s="9"/>
      <c r="P8166" s="14"/>
      <c r="Q8166" s="85"/>
      <c r="R8166" s="89"/>
    </row>
    <row r="8167" spans="13:18" x14ac:dyDescent="0.25">
      <c r="M8167" s="9"/>
      <c r="N8167" s="9"/>
      <c r="P8167" s="14"/>
      <c r="Q8167" s="85"/>
      <c r="R8167" s="89"/>
    </row>
    <row r="8168" spans="13:18" x14ac:dyDescent="0.25">
      <c r="M8168" s="9"/>
      <c r="N8168" s="9"/>
      <c r="P8168" s="14"/>
      <c r="Q8168" s="85"/>
      <c r="R8168" s="89"/>
    </row>
    <row r="8169" spans="13:18" x14ac:dyDescent="0.25">
      <c r="M8169" s="9"/>
      <c r="N8169" s="9"/>
      <c r="P8169" s="14"/>
      <c r="Q8169" s="85"/>
      <c r="R8169" s="89"/>
    </row>
    <row r="8170" spans="13:18" x14ac:dyDescent="0.25">
      <c r="M8170" s="9"/>
      <c r="N8170" s="9"/>
      <c r="P8170" s="14"/>
      <c r="Q8170" s="85"/>
      <c r="R8170" s="89"/>
    </row>
    <row r="8171" spans="13:18" x14ac:dyDescent="0.25">
      <c r="M8171" s="9"/>
      <c r="N8171" s="9"/>
      <c r="P8171" s="14"/>
      <c r="Q8171" s="85"/>
      <c r="R8171" s="89"/>
    </row>
    <row r="8172" spans="13:18" x14ac:dyDescent="0.25">
      <c r="M8172" s="9"/>
      <c r="N8172" s="9"/>
      <c r="P8172" s="14"/>
      <c r="Q8172" s="85"/>
      <c r="R8172" s="89"/>
    </row>
    <row r="8173" spans="13:18" x14ac:dyDescent="0.25">
      <c r="M8173" s="9"/>
      <c r="N8173" s="9"/>
      <c r="P8173" s="14"/>
      <c r="Q8173" s="85"/>
      <c r="R8173" s="89"/>
    </row>
    <row r="8174" spans="13:18" x14ac:dyDescent="0.25">
      <c r="M8174" s="9"/>
      <c r="N8174" s="9"/>
      <c r="P8174" s="14"/>
      <c r="Q8174" s="85"/>
      <c r="R8174" s="89"/>
    </row>
    <row r="8175" spans="13:18" x14ac:dyDescent="0.25">
      <c r="M8175" s="9"/>
      <c r="N8175" s="9"/>
      <c r="P8175" s="14"/>
      <c r="Q8175" s="85"/>
      <c r="R8175" s="89"/>
    </row>
    <row r="8176" spans="13:18" x14ac:dyDescent="0.25">
      <c r="M8176" s="9"/>
      <c r="N8176" s="9"/>
      <c r="P8176" s="14"/>
      <c r="Q8176" s="85"/>
      <c r="R8176" s="89"/>
    </row>
    <row r="8177" spans="13:18" x14ac:dyDescent="0.25">
      <c r="M8177" s="9"/>
      <c r="N8177" s="9"/>
      <c r="P8177" s="14"/>
      <c r="Q8177" s="85"/>
      <c r="R8177" s="89"/>
    </row>
    <row r="8178" spans="13:18" x14ac:dyDescent="0.25">
      <c r="M8178" s="9"/>
      <c r="N8178" s="9"/>
      <c r="P8178" s="14"/>
      <c r="Q8178" s="85"/>
      <c r="R8178" s="89"/>
    </row>
    <row r="8179" spans="13:18" x14ac:dyDescent="0.25">
      <c r="M8179" s="9"/>
      <c r="N8179" s="9"/>
      <c r="P8179" s="14"/>
      <c r="Q8179" s="85"/>
      <c r="R8179" s="89"/>
    </row>
    <row r="8180" spans="13:18" x14ac:dyDescent="0.25">
      <c r="M8180" s="9"/>
      <c r="N8180" s="9"/>
      <c r="P8180" s="14"/>
      <c r="Q8180" s="85"/>
      <c r="R8180" s="89"/>
    </row>
    <row r="8181" spans="13:18" x14ac:dyDescent="0.25">
      <c r="M8181" s="9"/>
      <c r="N8181" s="9"/>
      <c r="P8181" s="14"/>
      <c r="Q8181" s="85"/>
      <c r="R8181" s="89"/>
    </row>
    <row r="8182" spans="13:18" x14ac:dyDescent="0.25">
      <c r="M8182" s="9"/>
      <c r="N8182" s="9"/>
      <c r="P8182" s="14"/>
      <c r="Q8182" s="85"/>
      <c r="R8182" s="89"/>
    </row>
    <row r="8183" spans="13:18" x14ac:dyDescent="0.25">
      <c r="M8183" s="9"/>
      <c r="N8183" s="9"/>
      <c r="P8183" s="14"/>
      <c r="Q8183" s="85"/>
      <c r="R8183" s="89"/>
    </row>
    <row r="8184" spans="13:18" x14ac:dyDescent="0.25">
      <c r="M8184" s="9"/>
      <c r="N8184" s="9"/>
      <c r="P8184" s="14"/>
      <c r="Q8184" s="85"/>
      <c r="R8184" s="89"/>
    </row>
    <row r="8185" spans="13:18" x14ac:dyDescent="0.25">
      <c r="M8185" s="9"/>
      <c r="N8185" s="9"/>
      <c r="P8185" s="14"/>
      <c r="Q8185" s="85"/>
      <c r="R8185" s="89"/>
    </row>
    <row r="8186" spans="13:18" x14ac:dyDescent="0.25">
      <c r="M8186" s="9"/>
      <c r="N8186" s="9"/>
      <c r="P8186" s="14"/>
      <c r="Q8186" s="85"/>
      <c r="R8186" s="89"/>
    </row>
    <row r="8187" spans="13:18" x14ac:dyDescent="0.25">
      <c r="M8187" s="9"/>
      <c r="N8187" s="9"/>
      <c r="P8187" s="14"/>
      <c r="Q8187" s="85"/>
      <c r="R8187" s="89"/>
    </row>
    <row r="8188" spans="13:18" x14ac:dyDescent="0.25">
      <c r="M8188" s="9"/>
      <c r="N8188" s="9"/>
      <c r="P8188" s="14"/>
      <c r="Q8188" s="85"/>
      <c r="R8188" s="89"/>
    </row>
    <row r="8189" spans="13:18" x14ac:dyDescent="0.25">
      <c r="M8189" s="9"/>
      <c r="N8189" s="9"/>
      <c r="P8189" s="14"/>
      <c r="Q8189" s="85"/>
      <c r="R8189" s="89"/>
    </row>
    <row r="8190" spans="13:18" x14ac:dyDescent="0.25">
      <c r="M8190" s="9"/>
      <c r="N8190" s="9"/>
      <c r="P8190" s="14"/>
      <c r="Q8190" s="85"/>
      <c r="R8190" s="89"/>
    </row>
    <row r="8191" spans="13:18" x14ac:dyDescent="0.25">
      <c r="M8191" s="9"/>
      <c r="N8191" s="9"/>
      <c r="P8191" s="14"/>
      <c r="Q8191" s="85"/>
      <c r="R8191" s="89"/>
    </row>
    <row r="8192" spans="13:18" x14ac:dyDescent="0.25">
      <c r="M8192" s="9"/>
      <c r="N8192" s="9"/>
      <c r="P8192" s="14"/>
      <c r="Q8192" s="85"/>
      <c r="R8192" s="89"/>
    </row>
    <row r="8193" spans="13:18" x14ac:dyDescent="0.25">
      <c r="M8193" s="9"/>
      <c r="N8193" s="9"/>
      <c r="P8193" s="14"/>
      <c r="Q8193" s="85"/>
      <c r="R8193" s="89"/>
    </row>
    <row r="8194" spans="13:18" x14ac:dyDescent="0.25">
      <c r="M8194" s="9"/>
      <c r="N8194" s="9"/>
      <c r="P8194" s="14"/>
      <c r="Q8194" s="85"/>
      <c r="R8194" s="89"/>
    </row>
    <row r="8195" spans="13:18" x14ac:dyDescent="0.25">
      <c r="M8195" s="9"/>
      <c r="N8195" s="9"/>
      <c r="P8195" s="14"/>
      <c r="Q8195" s="85"/>
      <c r="R8195" s="89"/>
    </row>
    <row r="8196" spans="13:18" x14ac:dyDescent="0.25">
      <c r="M8196" s="9"/>
      <c r="N8196" s="9"/>
      <c r="P8196" s="14"/>
      <c r="Q8196" s="85"/>
      <c r="R8196" s="89"/>
    </row>
    <row r="8197" spans="13:18" x14ac:dyDescent="0.25">
      <c r="M8197" s="9"/>
      <c r="N8197" s="9"/>
      <c r="P8197" s="14"/>
      <c r="Q8197" s="85"/>
      <c r="R8197" s="89"/>
    </row>
    <row r="8198" spans="13:18" x14ac:dyDescent="0.25">
      <c r="M8198" s="9"/>
      <c r="N8198" s="9"/>
      <c r="P8198" s="14"/>
      <c r="Q8198" s="85"/>
      <c r="R8198" s="89"/>
    </row>
    <row r="8199" spans="13:18" x14ac:dyDescent="0.25">
      <c r="M8199" s="9"/>
      <c r="N8199" s="9"/>
      <c r="P8199" s="14"/>
      <c r="Q8199" s="85"/>
      <c r="R8199" s="89"/>
    </row>
    <row r="8200" spans="13:18" x14ac:dyDescent="0.25">
      <c r="M8200" s="9"/>
      <c r="N8200" s="9"/>
      <c r="P8200" s="14"/>
      <c r="Q8200" s="85"/>
      <c r="R8200" s="89"/>
    </row>
    <row r="8201" spans="13:18" x14ac:dyDescent="0.25">
      <c r="M8201" s="9"/>
      <c r="N8201" s="9"/>
      <c r="P8201" s="14"/>
      <c r="Q8201" s="85"/>
      <c r="R8201" s="89"/>
    </row>
    <row r="8202" spans="13:18" x14ac:dyDescent="0.25">
      <c r="M8202" s="9"/>
      <c r="N8202" s="9"/>
      <c r="P8202" s="14"/>
      <c r="Q8202" s="85"/>
      <c r="R8202" s="89"/>
    </row>
    <row r="8203" spans="13:18" x14ac:dyDescent="0.25">
      <c r="M8203" s="9"/>
      <c r="N8203" s="9"/>
      <c r="P8203" s="14"/>
      <c r="Q8203" s="85"/>
      <c r="R8203" s="89"/>
    </row>
    <row r="8204" spans="13:18" x14ac:dyDescent="0.25">
      <c r="M8204" s="9"/>
      <c r="N8204" s="9"/>
      <c r="P8204" s="14"/>
      <c r="Q8204" s="85"/>
      <c r="R8204" s="89"/>
    </row>
    <row r="8205" spans="13:18" x14ac:dyDescent="0.25">
      <c r="M8205" s="9"/>
      <c r="N8205" s="9"/>
      <c r="P8205" s="14"/>
      <c r="Q8205" s="85"/>
      <c r="R8205" s="89"/>
    </row>
    <row r="8206" spans="13:18" x14ac:dyDescent="0.25">
      <c r="M8206" s="9"/>
      <c r="N8206" s="9"/>
      <c r="P8206" s="14"/>
      <c r="Q8206" s="85"/>
      <c r="R8206" s="89"/>
    </row>
    <row r="8207" spans="13:18" x14ac:dyDescent="0.25">
      <c r="M8207" s="9"/>
      <c r="N8207" s="9"/>
      <c r="P8207" s="14"/>
      <c r="Q8207" s="85"/>
      <c r="R8207" s="89"/>
    </row>
    <row r="8208" spans="13:18" x14ac:dyDescent="0.25">
      <c r="M8208" s="9"/>
      <c r="N8208" s="9"/>
      <c r="P8208" s="14"/>
      <c r="Q8208" s="85"/>
      <c r="R8208" s="89"/>
    </row>
    <row r="8209" spans="13:18" x14ac:dyDescent="0.25">
      <c r="M8209" s="9"/>
      <c r="N8209" s="9"/>
      <c r="P8209" s="14"/>
      <c r="Q8209" s="85"/>
      <c r="R8209" s="89"/>
    </row>
    <row r="8210" spans="13:18" x14ac:dyDescent="0.25">
      <c r="M8210" s="9"/>
      <c r="N8210" s="9"/>
      <c r="P8210" s="14"/>
      <c r="Q8210" s="85"/>
      <c r="R8210" s="89"/>
    </row>
    <row r="8211" spans="13:18" x14ac:dyDescent="0.25">
      <c r="M8211" s="9"/>
      <c r="N8211" s="9"/>
      <c r="P8211" s="14"/>
      <c r="Q8211" s="85"/>
      <c r="R8211" s="89"/>
    </row>
    <row r="8212" spans="13:18" x14ac:dyDescent="0.25">
      <c r="M8212" s="9"/>
      <c r="N8212" s="9"/>
      <c r="P8212" s="14"/>
      <c r="Q8212" s="85"/>
      <c r="R8212" s="89"/>
    </row>
    <row r="8213" spans="13:18" x14ac:dyDescent="0.25">
      <c r="M8213" s="9"/>
      <c r="N8213" s="9"/>
      <c r="P8213" s="14"/>
      <c r="Q8213" s="85"/>
      <c r="R8213" s="89"/>
    </row>
    <row r="8214" spans="13:18" x14ac:dyDescent="0.25">
      <c r="M8214" s="9"/>
      <c r="N8214" s="9"/>
      <c r="P8214" s="14"/>
      <c r="Q8214" s="85"/>
      <c r="R8214" s="89"/>
    </row>
    <row r="8215" spans="13:18" x14ac:dyDescent="0.25">
      <c r="M8215" s="9"/>
      <c r="N8215" s="9"/>
      <c r="P8215" s="14"/>
      <c r="Q8215" s="85"/>
      <c r="R8215" s="89"/>
    </row>
    <row r="8216" spans="13:18" x14ac:dyDescent="0.25">
      <c r="M8216" s="9"/>
      <c r="N8216" s="9"/>
      <c r="P8216" s="14"/>
      <c r="Q8216" s="85"/>
      <c r="R8216" s="89"/>
    </row>
    <row r="8217" spans="13:18" x14ac:dyDescent="0.25">
      <c r="M8217" s="9"/>
      <c r="N8217" s="9"/>
      <c r="P8217" s="14"/>
      <c r="Q8217" s="85"/>
      <c r="R8217" s="89"/>
    </row>
    <row r="8218" spans="13:18" x14ac:dyDescent="0.25">
      <c r="M8218" s="9"/>
      <c r="N8218" s="9"/>
      <c r="P8218" s="14"/>
      <c r="Q8218" s="85"/>
      <c r="R8218" s="89"/>
    </row>
    <row r="8219" spans="13:18" x14ac:dyDescent="0.25">
      <c r="M8219" s="9"/>
      <c r="N8219" s="9"/>
      <c r="P8219" s="14"/>
      <c r="Q8219" s="85"/>
      <c r="R8219" s="89"/>
    </row>
    <row r="8220" spans="13:18" x14ac:dyDescent="0.25">
      <c r="M8220" s="9"/>
      <c r="N8220" s="9"/>
      <c r="P8220" s="14"/>
      <c r="Q8220" s="85"/>
      <c r="R8220" s="89"/>
    </row>
    <row r="8221" spans="13:18" x14ac:dyDescent="0.25">
      <c r="M8221" s="9"/>
      <c r="N8221" s="9"/>
      <c r="P8221" s="14"/>
      <c r="Q8221" s="85"/>
      <c r="R8221" s="89"/>
    </row>
    <row r="8222" spans="13:18" x14ac:dyDescent="0.25">
      <c r="M8222" s="9"/>
      <c r="N8222" s="9"/>
      <c r="P8222" s="14"/>
      <c r="Q8222" s="85"/>
      <c r="R8222" s="89"/>
    </row>
    <row r="8223" spans="13:18" x14ac:dyDescent="0.25">
      <c r="M8223" s="9"/>
      <c r="N8223" s="9"/>
      <c r="P8223" s="14"/>
      <c r="Q8223" s="85"/>
      <c r="R8223" s="89"/>
    </row>
    <row r="8224" spans="13:18" x14ac:dyDescent="0.25">
      <c r="M8224" s="9"/>
      <c r="N8224" s="9"/>
      <c r="P8224" s="14"/>
      <c r="Q8224" s="85"/>
      <c r="R8224" s="89"/>
    </row>
    <row r="8225" spans="13:18" x14ac:dyDescent="0.25">
      <c r="M8225" s="9"/>
      <c r="N8225" s="9"/>
      <c r="P8225" s="14"/>
      <c r="Q8225" s="85"/>
      <c r="R8225" s="89"/>
    </row>
    <row r="8226" spans="13:18" x14ac:dyDescent="0.25">
      <c r="M8226" s="9"/>
      <c r="N8226" s="9"/>
      <c r="P8226" s="14"/>
      <c r="Q8226" s="85"/>
      <c r="R8226" s="89"/>
    </row>
    <row r="8227" spans="13:18" x14ac:dyDescent="0.25">
      <c r="M8227" s="9"/>
      <c r="N8227" s="9"/>
      <c r="P8227" s="14"/>
      <c r="Q8227" s="85"/>
      <c r="R8227" s="89"/>
    </row>
    <row r="8228" spans="13:18" x14ac:dyDescent="0.25">
      <c r="M8228" s="9"/>
      <c r="N8228" s="9"/>
      <c r="P8228" s="14"/>
      <c r="Q8228" s="85"/>
      <c r="R8228" s="89"/>
    </row>
    <row r="8229" spans="13:18" x14ac:dyDescent="0.25">
      <c r="M8229" s="9"/>
      <c r="N8229" s="9"/>
      <c r="P8229" s="14"/>
      <c r="Q8229" s="85"/>
      <c r="R8229" s="89"/>
    </row>
    <row r="8230" spans="13:18" x14ac:dyDescent="0.25">
      <c r="M8230" s="9"/>
      <c r="N8230" s="9"/>
      <c r="P8230" s="14"/>
      <c r="Q8230" s="85"/>
      <c r="R8230" s="89"/>
    </row>
    <row r="8231" spans="13:18" x14ac:dyDescent="0.25">
      <c r="M8231" s="9"/>
      <c r="N8231" s="9"/>
      <c r="P8231" s="14"/>
      <c r="Q8231" s="85"/>
      <c r="R8231" s="89"/>
    </row>
    <row r="8232" spans="13:18" x14ac:dyDescent="0.25">
      <c r="M8232" s="9"/>
      <c r="N8232" s="9"/>
      <c r="P8232" s="14"/>
      <c r="Q8232" s="85"/>
      <c r="R8232" s="89"/>
    </row>
    <row r="8233" spans="13:18" x14ac:dyDescent="0.25">
      <c r="M8233" s="9"/>
      <c r="N8233" s="9"/>
      <c r="P8233" s="14"/>
      <c r="Q8233" s="85"/>
      <c r="R8233" s="89"/>
    </row>
    <row r="8234" spans="13:18" x14ac:dyDescent="0.25">
      <c r="M8234" s="9"/>
      <c r="N8234" s="9"/>
      <c r="P8234" s="14"/>
      <c r="Q8234" s="85"/>
      <c r="R8234" s="89"/>
    </row>
    <row r="8235" spans="13:18" x14ac:dyDescent="0.25">
      <c r="M8235" s="9"/>
      <c r="N8235" s="9"/>
      <c r="P8235" s="14"/>
      <c r="Q8235" s="85"/>
      <c r="R8235" s="89"/>
    </row>
    <row r="8236" spans="13:18" x14ac:dyDescent="0.25">
      <c r="M8236" s="9"/>
      <c r="N8236" s="9"/>
      <c r="P8236" s="14"/>
      <c r="Q8236" s="85"/>
      <c r="R8236" s="89"/>
    </row>
    <row r="8237" spans="13:18" x14ac:dyDescent="0.25">
      <c r="M8237" s="9"/>
      <c r="N8237" s="9"/>
      <c r="P8237" s="14"/>
      <c r="Q8237" s="85"/>
      <c r="R8237" s="89"/>
    </row>
    <row r="8238" spans="13:18" x14ac:dyDescent="0.25">
      <c r="M8238" s="9"/>
      <c r="N8238" s="9"/>
      <c r="P8238" s="14"/>
      <c r="Q8238" s="85"/>
      <c r="R8238" s="89"/>
    </row>
    <row r="8239" spans="13:18" x14ac:dyDescent="0.25">
      <c r="M8239" s="9"/>
      <c r="N8239" s="9"/>
      <c r="P8239" s="14"/>
      <c r="Q8239" s="85"/>
      <c r="R8239" s="89"/>
    </row>
    <row r="8240" spans="13:18" x14ac:dyDescent="0.25">
      <c r="M8240" s="9"/>
      <c r="N8240" s="9"/>
      <c r="P8240" s="14"/>
      <c r="Q8240" s="85"/>
      <c r="R8240" s="89"/>
    </row>
    <row r="8241" spans="13:18" x14ac:dyDescent="0.25">
      <c r="M8241" s="9"/>
      <c r="N8241" s="9"/>
      <c r="P8241" s="14"/>
      <c r="Q8241" s="85"/>
      <c r="R8241" s="89"/>
    </row>
    <row r="8242" spans="13:18" x14ac:dyDescent="0.25">
      <c r="M8242" s="9"/>
      <c r="N8242" s="9"/>
      <c r="P8242" s="14"/>
      <c r="Q8242" s="85"/>
      <c r="R8242" s="89"/>
    </row>
    <row r="8243" spans="13:18" x14ac:dyDescent="0.25">
      <c r="M8243" s="9"/>
      <c r="N8243" s="9"/>
      <c r="P8243" s="14"/>
      <c r="Q8243" s="85"/>
      <c r="R8243" s="89"/>
    </row>
    <row r="8244" spans="13:18" x14ac:dyDescent="0.25">
      <c r="M8244" s="9"/>
      <c r="N8244" s="9"/>
      <c r="P8244" s="14"/>
      <c r="Q8244" s="85"/>
      <c r="R8244" s="89"/>
    </row>
    <row r="8245" spans="13:18" x14ac:dyDescent="0.25">
      <c r="M8245" s="9"/>
      <c r="N8245" s="9"/>
      <c r="P8245" s="14"/>
      <c r="Q8245" s="85"/>
      <c r="R8245" s="89"/>
    </row>
    <row r="8246" spans="13:18" x14ac:dyDescent="0.25">
      <c r="M8246" s="9"/>
      <c r="N8246" s="9"/>
      <c r="P8246" s="14"/>
      <c r="Q8246" s="85"/>
      <c r="R8246" s="89"/>
    </row>
    <row r="8247" spans="13:18" x14ac:dyDescent="0.25">
      <c r="M8247" s="9"/>
      <c r="N8247" s="9"/>
      <c r="P8247" s="14"/>
      <c r="Q8247" s="85"/>
      <c r="R8247" s="89"/>
    </row>
    <row r="8248" spans="13:18" x14ac:dyDescent="0.25">
      <c r="M8248" s="9"/>
      <c r="N8248" s="9"/>
      <c r="P8248" s="14"/>
      <c r="Q8248" s="85"/>
      <c r="R8248" s="89"/>
    </row>
    <row r="8249" spans="13:18" x14ac:dyDescent="0.25">
      <c r="M8249" s="9"/>
      <c r="N8249" s="9"/>
      <c r="P8249" s="14"/>
      <c r="Q8249" s="85"/>
      <c r="R8249" s="89"/>
    </row>
    <row r="8250" spans="13:18" x14ac:dyDescent="0.25">
      <c r="M8250" s="9"/>
      <c r="N8250" s="9"/>
      <c r="P8250" s="14"/>
      <c r="Q8250" s="85"/>
      <c r="R8250" s="89"/>
    </row>
    <row r="8251" spans="13:18" x14ac:dyDescent="0.25">
      <c r="M8251" s="9"/>
      <c r="N8251" s="9"/>
      <c r="P8251" s="14"/>
      <c r="Q8251" s="85"/>
      <c r="R8251" s="89"/>
    </row>
    <row r="8252" spans="13:18" x14ac:dyDescent="0.25">
      <c r="M8252" s="9"/>
      <c r="N8252" s="9"/>
      <c r="P8252" s="14"/>
      <c r="Q8252" s="85"/>
      <c r="R8252" s="89"/>
    </row>
    <row r="8253" spans="13:18" x14ac:dyDescent="0.25">
      <c r="M8253" s="9"/>
      <c r="N8253" s="9"/>
      <c r="P8253" s="14"/>
      <c r="Q8253" s="85"/>
      <c r="R8253" s="89"/>
    </row>
    <row r="8254" spans="13:18" x14ac:dyDescent="0.25">
      <c r="M8254" s="9"/>
      <c r="N8254" s="9"/>
      <c r="P8254" s="14"/>
      <c r="Q8254" s="85"/>
      <c r="R8254" s="89"/>
    </row>
    <row r="8255" spans="13:18" x14ac:dyDescent="0.25">
      <c r="M8255" s="9"/>
      <c r="N8255" s="9"/>
      <c r="P8255" s="14"/>
      <c r="Q8255" s="85"/>
      <c r="R8255" s="89"/>
    </row>
    <row r="8256" spans="13:18" x14ac:dyDescent="0.25">
      <c r="M8256" s="9"/>
      <c r="N8256" s="9"/>
      <c r="P8256" s="14"/>
      <c r="Q8256" s="85"/>
      <c r="R8256" s="89"/>
    </row>
    <row r="8257" spans="13:18" x14ac:dyDescent="0.25">
      <c r="M8257" s="9"/>
      <c r="N8257" s="9"/>
      <c r="P8257" s="14"/>
      <c r="Q8257" s="85"/>
      <c r="R8257" s="89"/>
    </row>
    <row r="8258" spans="13:18" x14ac:dyDescent="0.25">
      <c r="M8258" s="9"/>
      <c r="N8258" s="9"/>
      <c r="P8258" s="14"/>
      <c r="Q8258" s="85"/>
      <c r="R8258" s="89"/>
    </row>
    <row r="8259" spans="13:18" x14ac:dyDescent="0.25">
      <c r="M8259" s="9"/>
      <c r="N8259" s="9"/>
      <c r="P8259" s="14"/>
      <c r="Q8259" s="85"/>
      <c r="R8259" s="89"/>
    </row>
    <row r="8260" spans="13:18" x14ac:dyDescent="0.25">
      <c r="M8260" s="9"/>
      <c r="N8260" s="9"/>
      <c r="P8260" s="14"/>
      <c r="Q8260" s="85"/>
      <c r="R8260" s="89"/>
    </row>
    <row r="8261" spans="13:18" x14ac:dyDescent="0.25">
      <c r="M8261" s="9"/>
      <c r="N8261" s="9"/>
      <c r="P8261" s="14"/>
      <c r="Q8261" s="85"/>
      <c r="R8261" s="89"/>
    </row>
    <row r="8262" spans="13:18" x14ac:dyDescent="0.25">
      <c r="M8262" s="9"/>
      <c r="N8262" s="9"/>
      <c r="P8262" s="14"/>
      <c r="Q8262" s="85"/>
      <c r="R8262" s="89"/>
    </row>
    <row r="8263" spans="13:18" x14ac:dyDescent="0.25">
      <c r="M8263" s="9"/>
      <c r="N8263" s="9"/>
      <c r="P8263" s="14"/>
      <c r="Q8263" s="85"/>
      <c r="R8263" s="89"/>
    </row>
    <row r="8264" spans="13:18" x14ac:dyDescent="0.25">
      <c r="M8264" s="9"/>
      <c r="N8264" s="9"/>
      <c r="P8264" s="14"/>
      <c r="Q8264" s="85"/>
      <c r="R8264" s="89"/>
    </row>
    <row r="8265" spans="13:18" x14ac:dyDescent="0.25">
      <c r="M8265" s="9"/>
      <c r="N8265" s="9"/>
      <c r="P8265" s="14"/>
      <c r="Q8265" s="85"/>
      <c r="R8265" s="89"/>
    </row>
    <row r="8266" spans="13:18" x14ac:dyDescent="0.25">
      <c r="M8266" s="9"/>
      <c r="N8266" s="9"/>
      <c r="P8266" s="14"/>
      <c r="Q8266" s="85"/>
      <c r="R8266" s="89"/>
    </row>
    <row r="8267" spans="13:18" x14ac:dyDescent="0.25">
      <c r="M8267" s="9"/>
      <c r="N8267" s="9"/>
      <c r="P8267" s="14"/>
      <c r="Q8267" s="85"/>
      <c r="R8267" s="89"/>
    </row>
    <row r="8268" spans="13:18" x14ac:dyDescent="0.25">
      <c r="M8268" s="9"/>
      <c r="N8268" s="9"/>
      <c r="P8268" s="14"/>
      <c r="Q8268" s="85"/>
      <c r="R8268" s="89"/>
    </row>
    <row r="8269" spans="13:18" x14ac:dyDescent="0.25">
      <c r="M8269" s="9"/>
      <c r="N8269" s="9"/>
      <c r="P8269" s="14"/>
      <c r="Q8269" s="85"/>
      <c r="R8269" s="89"/>
    </row>
    <row r="8270" spans="13:18" x14ac:dyDescent="0.25">
      <c r="M8270" s="9"/>
      <c r="N8270" s="9"/>
      <c r="P8270" s="14"/>
      <c r="Q8270" s="85"/>
      <c r="R8270" s="89"/>
    </row>
    <row r="8271" spans="13:18" x14ac:dyDescent="0.25">
      <c r="M8271" s="9"/>
      <c r="N8271" s="9"/>
      <c r="P8271" s="14"/>
      <c r="Q8271" s="85"/>
      <c r="R8271" s="89"/>
    </row>
    <row r="8272" spans="13:18" x14ac:dyDescent="0.25">
      <c r="M8272" s="9"/>
      <c r="N8272" s="9"/>
      <c r="P8272" s="14"/>
      <c r="Q8272" s="85"/>
      <c r="R8272" s="89"/>
    </row>
    <row r="8273" spans="13:18" x14ac:dyDescent="0.25">
      <c r="M8273" s="9"/>
      <c r="N8273" s="9"/>
      <c r="P8273" s="14"/>
      <c r="Q8273" s="85"/>
      <c r="R8273" s="89"/>
    </row>
    <row r="8274" spans="13:18" x14ac:dyDescent="0.25">
      <c r="M8274" s="9"/>
      <c r="N8274" s="9"/>
      <c r="P8274" s="14"/>
      <c r="Q8274" s="85"/>
      <c r="R8274" s="89"/>
    </row>
    <row r="8275" spans="13:18" x14ac:dyDescent="0.25">
      <c r="M8275" s="9"/>
      <c r="N8275" s="9"/>
      <c r="P8275" s="14"/>
      <c r="Q8275" s="85"/>
      <c r="R8275" s="89"/>
    </row>
    <row r="8276" spans="13:18" x14ac:dyDescent="0.25">
      <c r="M8276" s="9"/>
      <c r="N8276" s="9"/>
      <c r="P8276" s="14"/>
      <c r="Q8276" s="85"/>
      <c r="R8276" s="89"/>
    </row>
    <row r="8277" spans="13:18" x14ac:dyDescent="0.25">
      <c r="M8277" s="9"/>
      <c r="N8277" s="9"/>
      <c r="P8277" s="14"/>
      <c r="Q8277" s="85"/>
      <c r="R8277" s="89"/>
    </row>
    <row r="8278" spans="13:18" x14ac:dyDescent="0.25">
      <c r="M8278" s="9"/>
      <c r="N8278" s="9"/>
      <c r="P8278" s="14"/>
      <c r="Q8278" s="85"/>
      <c r="R8278" s="89"/>
    </row>
    <row r="8279" spans="13:18" x14ac:dyDescent="0.25">
      <c r="M8279" s="9"/>
      <c r="N8279" s="9"/>
      <c r="P8279" s="14"/>
      <c r="Q8279" s="85"/>
      <c r="R8279" s="89"/>
    </row>
    <row r="8280" spans="13:18" x14ac:dyDescent="0.25">
      <c r="M8280" s="9"/>
      <c r="N8280" s="9"/>
      <c r="P8280" s="14"/>
      <c r="Q8280" s="85"/>
      <c r="R8280" s="89"/>
    </row>
    <row r="8281" spans="13:18" x14ac:dyDescent="0.25">
      <c r="M8281" s="9"/>
      <c r="N8281" s="9"/>
      <c r="P8281" s="14"/>
      <c r="Q8281" s="85"/>
      <c r="R8281" s="89"/>
    </row>
    <row r="8282" spans="13:18" x14ac:dyDescent="0.25">
      <c r="M8282" s="9"/>
      <c r="N8282" s="9"/>
      <c r="P8282" s="14"/>
      <c r="Q8282" s="85"/>
      <c r="R8282" s="89"/>
    </row>
    <row r="8283" spans="13:18" x14ac:dyDescent="0.25">
      <c r="M8283" s="9"/>
      <c r="N8283" s="9"/>
      <c r="P8283" s="14"/>
      <c r="Q8283" s="85"/>
      <c r="R8283" s="89"/>
    </row>
    <row r="8284" spans="13:18" x14ac:dyDescent="0.25">
      <c r="M8284" s="9"/>
      <c r="N8284" s="9"/>
      <c r="P8284" s="14"/>
      <c r="Q8284" s="85"/>
      <c r="R8284" s="89"/>
    </row>
    <row r="8285" spans="13:18" x14ac:dyDescent="0.25">
      <c r="M8285" s="9"/>
      <c r="N8285" s="9"/>
      <c r="P8285" s="14"/>
      <c r="Q8285" s="85"/>
      <c r="R8285" s="89"/>
    </row>
    <row r="8286" spans="13:18" x14ac:dyDescent="0.25">
      <c r="M8286" s="9"/>
      <c r="N8286" s="9"/>
      <c r="P8286" s="14"/>
      <c r="Q8286" s="85"/>
      <c r="R8286" s="89"/>
    </row>
    <row r="8287" spans="13:18" x14ac:dyDescent="0.25">
      <c r="M8287" s="9"/>
      <c r="N8287" s="9"/>
      <c r="P8287" s="14"/>
      <c r="Q8287" s="85"/>
      <c r="R8287" s="89"/>
    </row>
    <row r="8288" spans="13:18" x14ac:dyDescent="0.25">
      <c r="M8288" s="9"/>
      <c r="N8288" s="9"/>
      <c r="P8288" s="14"/>
      <c r="Q8288" s="85"/>
      <c r="R8288" s="89"/>
    </row>
    <row r="8289" spans="13:18" x14ac:dyDescent="0.25">
      <c r="M8289" s="9"/>
      <c r="N8289" s="9"/>
      <c r="P8289" s="14"/>
      <c r="Q8289" s="85"/>
      <c r="R8289" s="89"/>
    </row>
    <row r="8290" spans="13:18" x14ac:dyDescent="0.25">
      <c r="M8290" s="9"/>
      <c r="N8290" s="9"/>
      <c r="P8290" s="14"/>
      <c r="Q8290" s="85"/>
      <c r="R8290" s="89"/>
    </row>
    <row r="8291" spans="13:18" x14ac:dyDescent="0.25">
      <c r="M8291" s="9"/>
      <c r="N8291" s="9"/>
      <c r="P8291" s="14"/>
      <c r="Q8291" s="85"/>
      <c r="R8291" s="89"/>
    </row>
    <row r="8292" spans="13:18" x14ac:dyDescent="0.25">
      <c r="M8292" s="9"/>
      <c r="N8292" s="9"/>
      <c r="P8292" s="14"/>
      <c r="Q8292" s="85"/>
      <c r="R8292" s="89"/>
    </row>
    <row r="8293" spans="13:18" x14ac:dyDescent="0.25">
      <c r="M8293" s="9"/>
      <c r="N8293" s="9"/>
      <c r="P8293" s="14"/>
      <c r="Q8293" s="85"/>
      <c r="R8293" s="89"/>
    </row>
    <row r="8294" spans="13:18" x14ac:dyDescent="0.25">
      <c r="M8294" s="9"/>
      <c r="N8294" s="9"/>
      <c r="P8294" s="14"/>
      <c r="Q8294" s="85"/>
      <c r="R8294" s="89"/>
    </row>
    <row r="8295" spans="13:18" x14ac:dyDescent="0.25">
      <c r="M8295" s="9"/>
      <c r="N8295" s="9"/>
      <c r="P8295" s="14"/>
      <c r="Q8295" s="85"/>
      <c r="R8295" s="89"/>
    </row>
    <row r="8296" spans="13:18" x14ac:dyDescent="0.25">
      <c r="M8296" s="9"/>
      <c r="N8296" s="9"/>
      <c r="P8296" s="14"/>
      <c r="Q8296" s="85"/>
      <c r="R8296" s="89"/>
    </row>
    <row r="8297" spans="13:18" x14ac:dyDescent="0.25">
      <c r="M8297" s="9"/>
      <c r="N8297" s="9"/>
      <c r="P8297" s="14"/>
      <c r="Q8297" s="85"/>
      <c r="R8297" s="89"/>
    </row>
    <row r="8298" spans="13:18" x14ac:dyDescent="0.25">
      <c r="M8298" s="9"/>
      <c r="N8298" s="9"/>
      <c r="P8298" s="14"/>
      <c r="Q8298" s="85"/>
      <c r="R8298" s="89"/>
    </row>
    <row r="8299" spans="13:18" x14ac:dyDescent="0.25">
      <c r="M8299" s="9"/>
      <c r="N8299" s="9"/>
      <c r="P8299" s="14"/>
      <c r="Q8299" s="85"/>
      <c r="R8299" s="89"/>
    </row>
    <row r="8300" spans="13:18" x14ac:dyDescent="0.25">
      <c r="M8300" s="9"/>
      <c r="N8300" s="9"/>
      <c r="P8300" s="14"/>
      <c r="Q8300" s="85"/>
      <c r="R8300" s="89"/>
    </row>
    <row r="8301" spans="13:18" x14ac:dyDescent="0.25">
      <c r="M8301" s="9"/>
      <c r="N8301" s="9"/>
      <c r="P8301" s="14"/>
      <c r="Q8301" s="85"/>
      <c r="R8301" s="89"/>
    </row>
    <row r="8302" spans="13:18" x14ac:dyDescent="0.25">
      <c r="M8302" s="9"/>
      <c r="N8302" s="9"/>
      <c r="P8302" s="14"/>
      <c r="Q8302" s="85"/>
      <c r="R8302" s="89"/>
    </row>
    <row r="8303" spans="13:18" x14ac:dyDescent="0.25">
      <c r="M8303" s="9"/>
      <c r="N8303" s="9"/>
      <c r="P8303" s="14"/>
      <c r="Q8303" s="85"/>
      <c r="R8303" s="89"/>
    </row>
    <row r="8304" spans="13:18" x14ac:dyDescent="0.25">
      <c r="M8304" s="9"/>
      <c r="N8304" s="9"/>
      <c r="P8304" s="14"/>
      <c r="Q8304" s="85"/>
      <c r="R8304" s="89"/>
    </row>
    <row r="8305" spans="13:18" x14ac:dyDescent="0.25">
      <c r="M8305" s="9"/>
      <c r="N8305" s="9"/>
      <c r="P8305" s="14"/>
      <c r="Q8305" s="85"/>
      <c r="R8305" s="89"/>
    </row>
    <row r="8306" spans="13:18" x14ac:dyDescent="0.25">
      <c r="M8306" s="9"/>
      <c r="N8306" s="9"/>
      <c r="P8306" s="14"/>
      <c r="Q8306" s="85"/>
      <c r="R8306" s="89"/>
    </row>
    <row r="8307" spans="13:18" x14ac:dyDescent="0.25">
      <c r="M8307" s="9"/>
      <c r="N8307" s="9"/>
      <c r="P8307" s="14"/>
      <c r="Q8307" s="85"/>
      <c r="R8307" s="89"/>
    </row>
    <row r="8308" spans="13:18" x14ac:dyDescent="0.25">
      <c r="M8308" s="9"/>
      <c r="N8308" s="9"/>
      <c r="P8308" s="14"/>
      <c r="Q8308" s="85"/>
      <c r="R8308" s="89"/>
    </row>
    <row r="8309" spans="13:18" x14ac:dyDescent="0.25">
      <c r="M8309" s="9"/>
      <c r="N8309" s="9"/>
      <c r="P8309" s="14"/>
      <c r="Q8309" s="85"/>
      <c r="R8309" s="89"/>
    </row>
    <row r="8310" spans="13:18" x14ac:dyDescent="0.25">
      <c r="M8310" s="9"/>
      <c r="N8310" s="9"/>
      <c r="P8310" s="14"/>
      <c r="Q8310" s="85"/>
      <c r="R8310" s="89"/>
    </row>
    <row r="8311" spans="13:18" x14ac:dyDescent="0.25">
      <c r="M8311" s="9"/>
      <c r="N8311" s="9"/>
      <c r="P8311" s="14"/>
      <c r="Q8311" s="85"/>
      <c r="R8311" s="89"/>
    </row>
    <row r="8312" spans="13:18" x14ac:dyDescent="0.25">
      <c r="M8312" s="9"/>
      <c r="N8312" s="9"/>
      <c r="P8312" s="14"/>
      <c r="Q8312" s="85"/>
      <c r="R8312" s="89"/>
    </row>
    <row r="8313" spans="13:18" x14ac:dyDescent="0.25">
      <c r="M8313" s="9"/>
      <c r="N8313" s="9"/>
      <c r="P8313" s="14"/>
      <c r="Q8313" s="85"/>
      <c r="R8313" s="89"/>
    </row>
    <row r="8314" spans="13:18" x14ac:dyDescent="0.25">
      <c r="M8314" s="9"/>
      <c r="N8314" s="9"/>
      <c r="P8314" s="14"/>
      <c r="Q8314" s="85"/>
      <c r="R8314" s="89"/>
    </row>
    <row r="8315" spans="13:18" x14ac:dyDescent="0.25">
      <c r="M8315" s="9"/>
      <c r="N8315" s="9"/>
      <c r="P8315" s="14"/>
      <c r="Q8315" s="85"/>
      <c r="R8315" s="89"/>
    </row>
    <row r="8316" spans="13:18" x14ac:dyDescent="0.25">
      <c r="M8316" s="9"/>
      <c r="N8316" s="9"/>
      <c r="P8316" s="14"/>
      <c r="Q8316" s="85"/>
      <c r="R8316" s="89"/>
    </row>
    <row r="8317" spans="13:18" x14ac:dyDescent="0.25">
      <c r="M8317" s="9"/>
      <c r="N8317" s="9"/>
      <c r="P8317" s="14"/>
      <c r="Q8317" s="85"/>
      <c r="R8317" s="89"/>
    </row>
    <row r="8318" spans="13:18" x14ac:dyDescent="0.25">
      <c r="M8318" s="9"/>
      <c r="N8318" s="9"/>
      <c r="P8318" s="14"/>
      <c r="Q8318" s="85"/>
      <c r="R8318" s="89"/>
    </row>
    <row r="8319" spans="13:18" x14ac:dyDescent="0.25">
      <c r="M8319" s="9"/>
      <c r="N8319" s="9"/>
      <c r="P8319" s="14"/>
      <c r="Q8319" s="85"/>
      <c r="R8319" s="89"/>
    </row>
    <row r="8320" spans="13:18" x14ac:dyDescent="0.25">
      <c r="M8320" s="9"/>
      <c r="N8320" s="9"/>
      <c r="P8320" s="14"/>
      <c r="Q8320" s="85"/>
      <c r="R8320" s="89"/>
    </row>
    <row r="8321" spans="13:18" x14ac:dyDescent="0.25">
      <c r="M8321" s="9"/>
      <c r="N8321" s="9"/>
      <c r="P8321" s="14"/>
      <c r="Q8321" s="85"/>
      <c r="R8321" s="89"/>
    </row>
    <row r="8322" spans="13:18" x14ac:dyDescent="0.25">
      <c r="M8322" s="9"/>
      <c r="N8322" s="9"/>
      <c r="P8322" s="14"/>
      <c r="Q8322" s="85"/>
      <c r="R8322" s="89"/>
    </row>
    <row r="8323" spans="13:18" x14ac:dyDescent="0.25">
      <c r="M8323" s="9"/>
      <c r="N8323" s="9"/>
      <c r="P8323" s="14"/>
      <c r="Q8323" s="85"/>
      <c r="R8323" s="89"/>
    </row>
    <row r="8324" spans="13:18" x14ac:dyDescent="0.25">
      <c r="M8324" s="9"/>
      <c r="N8324" s="9"/>
      <c r="P8324" s="14"/>
      <c r="Q8324" s="85"/>
      <c r="R8324" s="89"/>
    </row>
    <row r="8325" spans="13:18" x14ac:dyDescent="0.25">
      <c r="M8325" s="9"/>
      <c r="N8325" s="9"/>
      <c r="P8325" s="14"/>
      <c r="Q8325" s="85"/>
      <c r="R8325" s="89"/>
    </row>
    <row r="8326" spans="13:18" x14ac:dyDescent="0.25">
      <c r="M8326" s="9"/>
      <c r="N8326" s="9"/>
      <c r="P8326" s="14"/>
      <c r="Q8326" s="85"/>
      <c r="R8326" s="89"/>
    </row>
    <row r="8327" spans="13:18" x14ac:dyDescent="0.25">
      <c r="M8327" s="9"/>
      <c r="N8327" s="9"/>
      <c r="P8327" s="14"/>
      <c r="Q8327" s="85"/>
      <c r="R8327" s="89"/>
    </row>
    <row r="8328" spans="13:18" x14ac:dyDescent="0.25">
      <c r="M8328" s="9"/>
      <c r="N8328" s="9"/>
      <c r="P8328" s="14"/>
      <c r="Q8328" s="85"/>
      <c r="R8328" s="89"/>
    </row>
    <row r="8329" spans="13:18" x14ac:dyDescent="0.25">
      <c r="M8329" s="9"/>
      <c r="N8329" s="9"/>
      <c r="P8329" s="14"/>
      <c r="Q8329" s="85"/>
      <c r="R8329" s="89"/>
    </row>
    <row r="8330" spans="13:18" x14ac:dyDescent="0.25">
      <c r="M8330" s="9"/>
      <c r="N8330" s="9"/>
      <c r="P8330" s="14"/>
      <c r="Q8330" s="85"/>
      <c r="R8330" s="89"/>
    </row>
    <row r="8331" spans="13:18" x14ac:dyDescent="0.25">
      <c r="M8331" s="9"/>
      <c r="N8331" s="9"/>
      <c r="P8331" s="14"/>
      <c r="Q8331" s="85"/>
      <c r="R8331" s="89"/>
    </row>
    <row r="8332" spans="13:18" x14ac:dyDescent="0.25">
      <c r="M8332" s="9"/>
      <c r="N8332" s="9"/>
      <c r="P8332" s="14"/>
      <c r="Q8332" s="85"/>
      <c r="R8332" s="89"/>
    </row>
    <row r="8333" spans="13:18" x14ac:dyDescent="0.25">
      <c r="M8333" s="9"/>
      <c r="N8333" s="9"/>
      <c r="P8333" s="14"/>
      <c r="Q8333" s="85"/>
      <c r="R8333" s="89"/>
    </row>
    <row r="8334" spans="13:18" x14ac:dyDescent="0.25">
      <c r="M8334" s="9"/>
      <c r="N8334" s="9"/>
      <c r="P8334" s="14"/>
      <c r="Q8334" s="85"/>
      <c r="R8334" s="89"/>
    </row>
    <row r="8335" spans="13:18" x14ac:dyDescent="0.25">
      <c r="M8335" s="9"/>
      <c r="N8335" s="9"/>
      <c r="P8335" s="14"/>
      <c r="Q8335" s="85"/>
      <c r="R8335" s="89"/>
    </row>
    <row r="8336" spans="13:18" x14ac:dyDescent="0.25">
      <c r="M8336" s="9"/>
      <c r="N8336" s="9"/>
      <c r="P8336" s="14"/>
      <c r="Q8336" s="85"/>
      <c r="R8336" s="89"/>
    </row>
    <row r="8337" spans="13:18" x14ac:dyDescent="0.25">
      <c r="M8337" s="9"/>
      <c r="N8337" s="9"/>
      <c r="P8337" s="14"/>
      <c r="Q8337" s="85"/>
      <c r="R8337" s="89"/>
    </row>
    <row r="8338" spans="13:18" x14ac:dyDescent="0.25">
      <c r="M8338" s="9"/>
      <c r="N8338" s="9"/>
      <c r="P8338" s="14"/>
      <c r="Q8338" s="85"/>
      <c r="R8338" s="89"/>
    </row>
    <row r="8339" spans="13:18" x14ac:dyDescent="0.25">
      <c r="M8339" s="9"/>
      <c r="N8339" s="9"/>
      <c r="P8339" s="14"/>
      <c r="Q8339" s="85"/>
      <c r="R8339" s="89"/>
    </row>
    <row r="8340" spans="13:18" x14ac:dyDescent="0.25">
      <c r="M8340" s="9"/>
      <c r="N8340" s="9"/>
      <c r="P8340" s="14"/>
      <c r="Q8340" s="85"/>
      <c r="R8340" s="89"/>
    </row>
    <row r="8341" spans="13:18" x14ac:dyDescent="0.25">
      <c r="M8341" s="9"/>
      <c r="N8341" s="9"/>
      <c r="P8341" s="14"/>
      <c r="Q8341" s="85"/>
      <c r="R8341" s="89"/>
    </row>
    <row r="8342" spans="13:18" x14ac:dyDescent="0.25">
      <c r="M8342" s="9"/>
      <c r="N8342" s="9"/>
      <c r="P8342" s="14"/>
      <c r="Q8342" s="85"/>
      <c r="R8342" s="89"/>
    </row>
    <row r="8343" spans="13:18" x14ac:dyDescent="0.25">
      <c r="M8343" s="9"/>
      <c r="N8343" s="9"/>
      <c r="P8343" s="14"/>
      <c r="Q8343" s="85"/>
      <c r="R8343" s="89"/>
    </row>
    <row r="8344" spans="13:18" x14ac:dyDescent="0.25">
      <c r="M8344" s="9"/>
      <c r="N8344" s="9"/>
      <c r="P8344" s="14"/>
      <c r="Q8344" s="85"/>
      <c r="R8344" s="89"/>
    </row>
    <row r="8345" spans="13:18" x14ac:dyDescent="0.25">
      <c r="M8345" s="9"/>
      <c r="N8345" s="9"/>
      <c r="P8345" s="14"/>
      <c r="Q8345" s="85"/>
      <c r="R8345" s="89"/>
    </row>
    <row r="8346" spans="13:18" x14ac:dyDescent="0.25">
      <c r="M8346" s="9"/>
      <c r="N8346" s="9"/>
      <c r="P8346" s="14"/>
      <c r="Q8346" s="85"/>
      <c r="R8346" s="89"/>
    </row>
    <row r="8347" spans="13:18" x14ac:dyDescent="0.25">
      <c r="M8347" s="9"/>
      <c r="N8347" s="9"/>
      <c r="P8347" s="14"/>
      <c r="Q8347" s="85"/>
      <c r="R8347" s="89"/>
    </row>
    <row r="8348" spans="13:18" x14ac:dyDescent="0.25">
      <c r="M8348" s="9"/>
      <c r="N8348" s="9"/>
      <c r="P8348" s="14"/>
      <c r="Q8348" s="85"/>
      <c r="R8348" s="89"/>
    </row>
    <row r="8349" spans="13:18" x14ac:dyDescent="0.25">
      <c r="M8349" s="9"/>
      <c r="N8349" s="9"/>
      <c r="P8349" s="14"/>
      <c r="Q8349" s="85"/>
      <c r="R8349" s="89"/>
    </row>
    <row r="8350" spans="13:18" x14ac:dyDescent="0.25">
      <c r="M8350" s="9"/>
      <c r="N8350" s="9"/>
      <c r="P8350" s="14"/>
      <c r="Q8350" s="85"/>
      <c r="R8350" s="89"/>
    </row>
    <row r="8351" spans="13:18" x14ac:dyDescent="0.25">
      <c r="M8351" s="9"/>
      <c r="N8351" s="9"/>
      <c r="P8351" s="14"/>
      <c r="Q8351" s="85"/>
      <c r="R8351" s="89"/>
    </row>
    <row r="8352" spans="13:18" x14ac:dyDescent="0.25">
      <c r="M8352" s="9"/>
      <c r="N8352" s="9"/>
      <c r="P8352" s="14"/>
      <c r="Q8352" s="85"/>
      <c r="R8352" s="89"/>
    </row>
    <row r="8353" spans="13:18" x14ac:dyDescent="0.25">
      <c r="M8353" s="9"/>
      <c r="N8353" s="9"/>
      <c r="P8353" s="14"/>
      <c r="Q8353" s="85"/>
      <c r="R8353" s="89"/>
    </row>
    <row r="8354" spans="13:18" x14ac:dyDescent="0.25">
      <c r="M8354" s="9"/>
      <c r="N8354" s="9"/>
      <c r="P8354" s="14"/>
      <c r="Q8354" s="85"/>
      <c r="R8354" s="89"/>
    </row>
    <row r="8355" spans="13:18" x14ac:dyDescent="0.25">
      <c r="M8355" s="9"/>
      <c r="N8355" s="9"/>
      <c r="P8355" s="14"/>
      <c r="Q8355" s="85"/>
      <c r="R8355" s="89"/>
    </row>
    <row r="8356" spans="13:18" x14ac:dyDescent="0.25">
      <c r="M8356" s="9"/>
      <c r="N8356" s="9"/>
      <c r="P8356" s="14"/>
      <c r="Q8356" s="85"/>
      <c r="R8356" s="89"/>
    </row>
    <row r="8357" spans="13:18" x14ac:dyDescent="0.25">
      <c r="M8357" s="9"/>
      <c r="N8357" s="9"/>
      <c r="P8357" s="14"/>
      <c r="Q8357" s="85"/>
      <c r="R8357" s="89"/>
    </row>
    <row r="8358" spans="13:18" x14ac:dyDescent="0.25">
      <c r="M8358" s="9"/>
      <c r="N8358" s="9"/>
      <c r="P8358" s="14"/>
      <c r="Q8358" s="85"/>
      <c r="R8358" s="89"/>
    </row>
    <row r="8359" spans="13:18" x14ac:dyDescent="0.25">
      <c r="M8359" s="9"/>
      <c r="N8359" s="9"/>
      <c r="P8359" s="14"/>
      <c r="Q8359" s="85"/>
      <c r="R8359" s="89"/>
    </row>
    <row r="8360" spans="13:18" x14ac:dyDescent="0.25">
      <c r="M8360" s="9"/>
      <c r="N8360" s="9"/>
      <c r="P8360" s="14"/>
      <c r="Q8360" s="85"/>
      <c r="R8360" s="89"/>
    </row>
    <row r="8361" spans="13:18" x14ac:dyDescent="0.25">
      <c r="M8361" s="9"/>
      <c r="N8361" s="9"/>
      <c r="P8361" s="14"/>
      <c r="Q8361" s="85"/>
      <c r="R8361" s="89"/>
    </row>
    <row r="8362" spans="13:18" x14ac:dyDescent="0.25">
      <c r="M8362" s="9"/>
      <c r="N8362" s="9"/>
      <c r="P8362" s="14"/>
      <c r="Q8362" s="85"/>
      <c r="R8362" s="89"/>
    </row>
    <row r="8363" spans="13:18" x14ac:dyDescent="0.25">
      <c r="M8363" s="9"/>
      <c r="N8363" s="9"/>
      <c r="P8363" s="14"/>
      <c r="Q8363" s="85"/>
      <c r="R8363" s="89"/>
    </row>
    <row r="8364" spans="13:18" x14ac:dyDescent="0.25">
      <c r="M8364" s="9"/>
      <c r="N8364" s="9"/>
      <c r="P8364" s="14"/>
      <c r="Q8364" s="85"/>
      <c r="R8364" s="89"/>
    </row>
    <row r="8365" spans="13:18" x14ac:dyDescent="0.25">
      <c r="M8365" s="9"/>
      <c r="N8365" s="9"/>
      <c r="P8365" s="14"/>
      <c r="Q8365" s="85"/>
      <c r="R8365" s="89"/>
    </row>
    <row r="8366" spans="13:18" x14ac:dyDescent="0.25">
      <c r="M8366" s="9"/>
      <c r="N8366" s="9"/>
      <c r="P8366" s="14"/>
      <c r="Q8366" s="85"/>
      <c r="R8366" s="89"/>
    </row>
    <row r="8367" spans="13:18" x14ac:dyDescent="0.25">
      <c r="M8367" s="9"/>
      <c r="N8367" s="9"/>
      <c r="P8367" s="14"/>
      <c r="Q8367" s="85"/>
      <c r="R8367" s="89"/>
    </row>
    <row r="8368" spans="13:18" x14ac:dyDescent="0.25">
      <c r="M8368" s="9"/>
      <c r="N8368" s="9"/>
      <c r="P8368" s="14"/>
      <c r="Q8368" s="85"/>
      <c r="R8368" s="89"/>
    </row>
    <row r="8369" spans="13:18" x14ac:dyDescent="0.25">
      <c r="M8369" s="9"/>
      <c r="N8369" s="9"/>
      <c r="P8369" s="14"/>
      <c r="Q8369" s="85"/>
      <c r="R8369" s="89"/>
    </row>
    <row r="8370" spans="13:18" x14ac:dyDescent="0.25">
      <c r="M8370" s="9"/>
      <c r="N8370" s="9"/>
      <c r="P8370" s="14"/>
      <c r="Q8370" s="85"/>
      <c r="R8370" s="89"/>
    </row>
    <row r="8371" spans="13:18" x14ac:dyDescent="0.25">
      <c r="M8371" s="9"/>
      <c r="N8371" s="9"/>
      <c r="P8371" s="14"/>
      <c r="Q8371" s="85"/>
      <c r="R8371" s="89"/>
    </row>
    <row r="8372" spans="13:18" x14ac:dyDescent="0.25">
      <c r="M8372" s="9"/>
      <c r="N8372" s="9"/>
      <c r="P8372" s="14"/>
      <c r="Q8372" s="85"/>
      <c r="R8372" s="89"/>
    </row>
    <row r="8373" spans="13:18" x14ac:dyDescent="0.25">
      <c r="M8373" s="9"/>
      <c r="N8373" s="9"/>
      <c r="P8373" s="14"/>
      <c r="Q8373" s="85"/>
      <c r="R8373" s="89"/>
    </row>
    <row r="8374" spans="13:18" x14ac:dyDescent="0.25">
      <c r="M8374" s="9"/>
      <c r="N8374" s="9"/>
      <c r="P8374" s="14"/>
      <c r="Q8374" s="85"/>
      <c r="R8374" s="89"/>
    </row>
    <row r="8375" spans="13:18" x14ac:dyDescent="0.25">
      <c r="M8375" s="9"/>
      <c r="N8375" s="9"/>
      <c r="P8375" s="14"/>
      <c r="Q8375" s="85"/>
      <c r="R8375" s="89"/>
    </row>
    <row r="8376" spans="13:18" x14ac:dyDescent="0.25">
      <c r="M8376" s="9"/>
      <c r="N8376" s="9"/>
      <c r="P8376" s="14"/>
      <c r="Q8376" s="85"/>
      <c r="R8376" s="89"/>
    </row>
    <row r="8377" spans="13:18" x14ac:dyDescent="0.25">
      <c r="M8377" s="9"/>
      <c r="N8377" s="9"/>
      <c r="P8377" s="14"/>
      <c r="Q8377" s="85"/>
      <c r="R8377" s="89"/>
    </row>
    <row r="8378" spans="13:18" x14ac:dyDescent="0.25">
      <c r="M8378" s="9"/>
      <c r="N8378" s="9"/>
      <c r="P8378" s="14"/>
      <c r="Q8378" s="85"/>
      <c r="R8378" s="89"/>
    </row>
    <row r="8379" spans="13:18" x14ac:dyDescent="0.25">
      <c r="M8379" s="9"/>
      <c r="N8379" s="9"/>
      <c r="P8379" s="14"/>
      <c r="Q8379" s="85"/>
      <c r="R8379" s="89"/>
    </row>
    <row r="8380" spans="13:18" x14ac:dyDescent="0.25">
      <c r="M8380" s="9"/>
      <c r="N8380" s="9"/>
      <c r="P8380" s="14"/>
      <c r="Q8380" s="85"/>
      <c r="R8380" s="89"/>
    </row>
    <row r="8381" spans="13:18" x14ac:dyDescent="0.25">
      <c r="M8381" s="9"/>
      <c r="N8381" s="9"/>
      <c r="P8381" s="14"/>
      <c r="Q8381" s="85"/>
      <c r="R8381" s="89"/>
    </row>
    <row r="8382" spans="13:18" x14ac:dyDescent="0.25">
      <c r="M8382" s="9"/>
      <c r="N8382" s="9"/>
      <c r="P8382" s="14"/>
      <c r="Q8382" s="85"/>
      <c r="R8382" s="89"/>
    </row>
    <row r="8383" spans="13:18" x14ac:dyDescent="0.25">
      <c r="M8383" s="9"/>
      <c r="N8383" s="9"/>
      <c r="P8383" s="14"/>
      <c r="Q8383" s="85"/>
      <c r="R8383" s="89"/>
    </row>
    <row r="8384" spans="13:18" x14ac:dyDescent="0.25">
      <c r="M8384" s="9"/>
      <c r="N8384" s="9"/>
      <c r="P8384" s="14"/>
      <c r="Q8384" s="85"/>
      <c r="R8384" s="89"/>
    </row>
    <row r="8385" spans="13:18" x14ac:dyDescent="0.25">
      <c r="M8385" s="9"/>
      <c r="N8385" s="9"/>
      <c r="P8385" s="14"/>
      <c r="Q8385" s="85"/>
      <c r="R8385" s="89"/>
    </row>
    <row r="8386" spans="13:18" x14ac:dyDescent="0.25">
      <c r="M8386" s="9"/>
      <c r="N8386" s="9"/>
      <c r="P8386" s="14"/>
      <c r="Q8386" s="85"/>
      <c r="R8386" s="89"/>
    </row>
    <row r="8387" spans="13:18" x14ac:dyDescent="0.25">
      <c r="M8387" s="9"/>
      <c r="N8387" s="9"/>
      <c r="P8387" s="14"/>
      <c r="Q8387" s="85"/>
      <c r="R8387" s="89"/>
    </row>
    <row r="8388" spans="13:18" x14ac:dyDescent="0.25">
      <c r="M8388" s="9"/>
      <c r="N8388" s="9"/>
      <c r="P8388" s="14"/>
      <c r="Q8388" s="85"/>
      <c r="R8388" s="89"/>
    </row>
    <row r="8389" spans="13:18" x14ac:dyDescent="0.25">
      <c r="M8389" s="9"/>
      <c r="N8389" s="9"/>
      <c r="P8389" s="14"/>
      <c r="Q8389" s="85"/>
      <c r="R8389" s="89"/>
    </row>
    <row r="8390" spans="13:18" x14ac:dyDescent="0.25">
      <c r="M8390" s="9"/>
      <c r="N8390" s="9"/>
      <c r="P8390" s="14"/>
      <c r="Q8390" s="85"/>
      <c r="R8390" s="89"/>
    </row>
    <row r="8391" spans="13:18" x14ac:dyDescent="0.25">
      <c r="M8391" s="9"/>
      <c r="N8391" s="9"/>
      <c r="P8391" s="14"/>
      <c r="Q8391" s="85"/>
      <c r="R8391" s="89"/>
    </row>
    <row r="8392" spans="13:18" x14ac:dyDescent="0.25">
      <c r="M8392" s="9"/>
      <c r="N8392" s="9"/>
      <c r="P8392" s="14"/>
      <c r="Q8392" s="85"/>
      <c r="R8392" s="89"/>
    </row>
    <row r="8393" spans="13:18" x14ac:dyDescent="0.25">
      <c r="M8393" s="9"/>
      <c r="N8393" s="9"/>
      <c r="P8393" s="14"/>
      <c r="Q8393" s="85"/>
      <c r="R8393" s="89"/>
    </row>
    <row r="8394" spans="13:18" x14ac:dyDescent="0.25">
      <c r="M8394" s="9"/>
      <c r="N8394" s="9"/>
      <c r="P8394" s="14"/>
      <c r="Q8394" s="85"/>
      <c r="R8394" s="89"/>
    </row>
    <row r="8395" spans="13:18" x14ac:dyDescent="0.25">
      <c r="M8395" s="9"/>
      <c r="N8395" s="9"/>
      <c r="P8395" s="14"/>
      <c r="Q8395" s="85"/>
      <c r="R8395" s="89"/>
    </row>
    <row r="8396" spans="13:18" x14ac:dyDescent="0.25">
      <c r="M8396" s="9"/>
      <c r="N8396" s="9"/>
      <c r="P8396" s="14"/>
      <c r="Q8396" s="85"/>
      <c r="R8396" s="89"/>
    </row>
    <row r="8397" spans="13:18" x14ac:dyDescent="0.25">
      <c r="M8397" s="9"/>
      <c r="N8397" s="9"/>
      <c r="P8397" s="14"/>
      <c r="Q8397" s="85"/>
      <c r="R8397" s="89"/>
    </row>
    <row r="8398" spans="13:18" x14ac:dyDescent="0.25">
      <c r="M8398" s="9"/>
      <c r="N8398" s="9"/>
      <c r="P8398" s="14"/>
      <c r="Q8398" s="85"/>
      <c r="R8398" s="89"/>
    </row>
    <row r="8399" spans="13:18" x14ac:dyDescent="0.25">
      <c r="M8399" s="9"/>
      <c r="N8399" s="9"/>
      <c r="P8399" s="14"/>
      <c r="Q8399" s="85"/>
      <c r="R8399" s="89"/>
    </row>
    <row r="8400" spans="13:18" x14ac:dyDescent="0.25">
      <c r="M8400" s="9"/>
      <c r="N8400" s="9"/>
      <c r="P8400" s="14"/>
      <c r="Q8400" s="85"/>
      <c r="R8400" s="89"/>
    </row>
    <row r="8401" spans="13:18" x14ac:dyDescent="0.25">
      <c r="M8401" s="9"/>
      <c r="N8401" s="9"/>
      <c r="P8401" s="14"/>
      <c r="Q8401" s="85"/>
      <c r="R8401" s="89"/>
    </row>
    <row r="8402" spans="13:18" x14ac:dyDescent="0.25">
      <c r="M8402" s="9"/>
      <c r="N8402" s="9"/>
      <c r="P8402" s="14"/>
      <c r="Q8402" s="85"/>
      <c r="R8402" s="89"/>
    </row>
    <row r="8403" spans="13:18" x14ac:dyDescent="0.25">
      <c r="M8403" s="9"/>
      <c r="N8403" s="9"/>
      <c r="P8403" s="14"/>
      <c r="Q8403" s="85"/>
      <c r="R8403" s="89"/>
    </row>
    <row r="8404" spans="13:18" x14ac:dyDescent="0.25">
      <c r="M8404" s="9"/>
      <c r="N8404" s="9"/>
      <c r="P8404" s="14"/>
      <c r="Q8404" s="85"/>
      <c r="R8404" s="89"/>
    </row>
    <row r="8405" spans="13:18" x14ac:dyDescent="0.25">
      <c r="M8405" s="9"/>
      <c r="N8405" s="9"/>
      <c r="P8405" s="14"/>
      <c r="Q8405" s="85"/>
      <c r="R8405" s="89"/>
    </row>
    <row r="8406" spans="13:18" x14ac:dyDescent="0.25">
      <c r="M8406" s="9"/>
      <c r="N8406" s="9"/>
      <c r="P8406" s="14"/>
      <c r="Q8406" s="85"/>
      <c r="R8406" s="89"/>
    </row>
    <row r="8407" spans="13:18" x14ac:dyDescent="0.25">
      <c r="M8407" s="9"/>
      <c r="N8407" s="9"/>
      <c r="P8407" s="14"/>
      <c r="Q8407" s="85"/>
      <c r="R8407" s="89"/>
    </row>
    <row r="8408" spans="13:18" x14ac:dyDescent="0.25">
      <c r="M8408" s="9"/>
      <c r="N8408" s="9"/>
      <c r="P8408" s="14"/>
      <c r="Q8408" s="85"/>
      <c r="R8408" s="89"/>
    </row>
    <row r="8409" spans="13:18" x14ac:dyDescent="0.25">
      <c r="M8409" s="9"/>
      <c r="N8409" s="9"/>
      <c r="P8409" s="14"/>
      <c r="Q8409" s="85"/>
      <c r="R8409" s="89"/>
    </row>
    <row r="8410" spans="13:18" x14ac:dyDescent="0.25">
      <c r="M8410" s="9"/>
      <c r="N8410" s="9"/>
      <c r="P8410" s="14"/>
      <c r="Q8410" s="85"/>
      <c r="R8410" s="89"/>
    </row>
    <row r="8411" spans="13:18" x14ac:dyDescent="0.25">
      <c r="M8411" s="9"/>
      <c r="N8411" s="9"/>
      <c r="P8411" s="14"/>
      <c r="Q8411" s="85"/>
      <c r="R8411" s="89"/>
    </row>
    <row r="8412" spans="13:18" x14ac:dyDescent="0.25">
      <c r="M8412" s="9"/>
      <c r="N8412" s="9"/>
      <c r="P8412" s="14"/>
      <c r="Q8412" s="85"/>
      <c r="R8412" s="89"/>
    </row>
    <row r="8413" spans="13:18" x14ac:dyDescent="0.25">
      <c r="M8413" s="9"/>
      <c r="N8413" s="9"/>
      <c r="P8413" s="14"/>
      <c r="Q8413" s="85"/>
      <c r="R8413" s="89"/>
    </row>
    <row r="8414" spans="13:18" x14ac:dyDescent="0.25">
      <c r="M8414" s="9"/>
      <c r="N8414" s="9"/>
      <c r="P8414" s="14"/>
      <c r="Q8414" s="85"/>
      <c r="R8414" s="89"/>
    </row>
    <row r="8415" spans="13:18" x14ac:dyDescent="0.25">
      <c r="M8415" s="9"/>
      <c r="N8415" s="9"/>
      <c r="P8415" s="14"/>
      <c r="Q8415" s="85"/>
      <c r="R8415" s="89"/>
    </row>
    <row r="8416" spans="13:18" x14ac:dyDescent="0.25">
      <c r="M8416" s="9"/>
      <c r="N8416" s="9"/>
      <c r="P8416" s="14"/>
      <c r="Q8416" s="85"/>
      <c r="R8416" s="89"/>
    </row>
    <row r="8417" spans="13:18" x14ac:dyDescent="0.25">
      <c r="M8417" s="9"/>
      <c r="N8417" s="9"/>
      <c r="P8417" s="14"/>
      <c r="Q8417" s="85"/>
      <c r="R8417" s="89"/>
    </row>
    <row r="8418" spans="13:18" x14ac:dyDescent="0.25">
      <c r="M8418" s="9"/>
      <c r="N8418" s="9"/>
      <c r="P8418" s="14"/>
      <c r="Q8418" s="85"/>
      <c r="R8418" s="89"/>
    </row>
    <row r="8419" spans="13:18" x14ac:dyDescent="0.25">
      <c r="M8419" s="9"/>
      <c r="N8419" s="9"/>
      <c r="P8419" s="14"/>
      <c r="Q8419" s="85"/>
      <c r="R8419" s="89"/>
    </row>
    <row r="8420" spans="13:18" x14ac:dyDescent="0.25">
      <c r="M8420" s="9"/>
      <c r="N8420" s="9"/>
      <c r="P8420" s="14"/>
      <c r="Q8420" s="85"/>
      <c r="R8420" s="89"/>
    </row>
    <row r="8421" spans="13:18" x14ac:dyDescent="0.25">
      <c r="M8421" s="9"/>
      <c r="N8421" s="9"/>
      <c r="P8421" s="14"/>
      <c r="Q8421" s="85"/>
      <c r="R8421" s="89"/>
    </row>
    <row r="8422" spans="13:18" x14ac:dyDescent="0.25">
      <c r="M8422" s="9"/>
      <c r="N8422" s="9"/>
      <c r="P8422" s="14"/>
      <c r="Q8422" s="85"/>
      <c r="R8422" s="89"/>
    </row>
    <row r="8423" spans="13:18" x14ac:dyDescent="0.25">
      <c r="M8423" s="9"/>
      <c r="N8423" s="9"/>
      <c r="P8423" s="14"/>
      <c r="Q8423" s="85"/>
      <c r="R8423" s="89"/>
    </row>
    <row r="8424" spans="13:18" x14ac:dyDescent="0.25">
      <c r="M8424" s="9"/>
      <c r="N8424" s="9"/>
      <c r="P8424" s="14"/>
      <c r="Q8424" s="85"/>
      <c r="R8424" s="89"/>
    </row>
    <row r="8425" spans="13:18" x14ac:dyDescent="0.25">
      <c r="M8425" s="9"/>
      <c r="N8425" s="9"/>
      <c r="P8425" s="14"/>
      <c r="Q8425" s="85"/>
      <c r="R8425" s="89"/>
    </row>
    <row r="8426" spans="13:18" x14ac:dyDescent="0.25">
      <c r="M8426" s="9"/>
      <c r="N8426" s="9"/>
      <c r="P8426" s="14"/>
      <c r="Q8426" s="85"/>
      <c r="R8426" s="89"/>
    </row>
    <row r="8427" spans="13:18" x14ac:dyDescent="0.25">
      <c r="M8427" s="9"/>
      <c r="N8427" s="9"/>
      <c r="P8427" s="14"/>
      <c r="Q8427" s="85"/>
      <c r="R8427" s="89"/>
    </row>
    <row r="8428" spans="13:18" x14ac:dyDescent="0.25">
      <c r="M8428" s="9"/>
      <c r="N8428" s="9"/>
      <c r="P8428" s="14"/>
      <c r="Q8428" s="85"/>
      <c r="R8428" s="89"/>
    </row>
    <row r="8429" spans="13:18" x14ac:dyDescent="0.25">
      <c r="M8429" s="9"/>
      <c r="N8429" s="9"/>
      <c r="P8429" s="14"/>
      <c r="Q8429" s="85"/>
      <c r="R8429" s="89"/>
    </row>
    <row r="8430" spans="13:18" x14ac:dyDescent="0.25">
      <c r="M8430" s="9"/>
      <c r="N8430" s="9"/>
      <c r="P8430" s="14"/>
      <c r="Q8430" s="85"/>
      <c r="R8430" s="89"/>
    </row>
    <row r="8431" spans="13:18" x14ac:dyDescent="0.25">
      <c r="M8431" s="9"/>
      <c r="N8431" s="9"/>
      <c r="P8431" s="14"/>
      <c r="Q8431" s="85"/>
      <c r="R8431" s="89"/>
    </row>
    <row r="8432" spans="13:18" x14ac:dyDescent="0.25">
      <c r="M8432" s="9"/>
      <c r="N8432" s="9"/>
      <c r="P8432" s="14"/>
      <c r="Q8432" s="85"/>
      <c r="R8432" s="89"/>
    </row>
    <row r="8433" spans="13:18" x14ac:dyDescent="0.25">
      <c r="M8433" s="9"/>
      <c r="N8433" s="9"/>
      <c r="P8433" s="14"/>
      <c r="Q8433" s="85"/>
      <c r="R8433" s="89"/>
    </row>
    <row r="8434" spans="13:18" x14ac:dyDescent="0.25">
      <c r="M8434" s="9"/>
      <c r="N8434" s="9"/>
      <c r="P8434" s="14"/>
      <c r="Q8434" s="85"/>
      <c r="R8434" s="89"/>
    </row>
    <row r="8435" spans="13:18" x14ac:dyDescent="0.25">
      <c r="M8435" s="9"/>
      <c r="N8435" s="9"/>
      <c r="P8435" s="14"/>
      <c r="Q8435" s="85"/>
      <c r="R8435" s="89"/>
    </row>
    <row r="8436" spans="13:18" x14ac:dyDescent="0.25">
      <c r="M8436" s="9"/>
      <c r="N8436" s="9"/>
      <c r="P8436" s="14"/>
      <c r="Q8436" s="85"/>
      <c r="R8436" s="89"/>
    </row>
    <row r="8437" spans="13:18" x14ac:dyDescent="0.25">
      <c r="M8437" s="9"/>
      <c r="N8437" s="9"/>
      <c r="P8437" s="14"/>
      <c r="Q8437" s="85"/>
      <c r="R8437" s="89"/>
    </row>
    <row r="8438" spans="13:18" x14ac:dyDescent="0.25">
      <c r="M8438" s="9"/>
      <c r="N8438" s="9"/>
      <c r="P8438" s="14"/>
      <c r="Q8438" s="85"/>
      <c r="R8438" s="89"/>
    </row>
    <row r="8439" spans="13:18" x14ac:dyDescent="0.25">
      <c r="M8439" s="9"/>
      <c r="N8439" s="9"/>
      <c r="P8439" s="14"/>
      <c r="Q8439" s="85"/>
      <c r="R8439" s="89"/>
    </row>
    <row r="8440" spans="13:18" x14ac:dyDescent="0.25">
      <c r="M8440" s="9"/>
      <c r="N8440" s="9"/>
      <c r="P8440" s="14"/>
      <c r="Q8440" s="85"/>
      <c r="R8440" s="89"/>
    </row>
    <row r="8441" spans="13:18" x14ac:dyDescent="0.25">
      <c r="M8441" s="9"/>
      <c r="N8441" s="9"/>
      <c r="P8441" s="14"/>
      <c r="Q8441" s="85"/>
      <c r="R8441" s="89"/>
    </row>
    <row r="8442" spans="13:18" x14ac:dyDescent="0.25">
      <c r="M8442" s="9"/>
      <c r="N8442" s="9"/>
      <c r="P8442" s="14"/>
      <c r="Q8442" s="85"/>
      <c r="R8442" s="89"/>
    </row>
    <row r="8443" spans="13:18" x14ac:dyDescent="0.25">
      <c r="M8443" s="9"/>
      <c r="N8443" s="9"/>
      <c r="P8443" s="14"/>
      <c r="Q8443" s="85"/>
      <c r="R8443" s="89"/>
    </row>
    <row r="8444" spans="13:18" x14ac:dyDescent="0.25">
      <c r="M8444" s="9"/>
      <c r="N8444" s="9"/>
      <c r="P8444" s="14"/>
      <c r="Q8444" s="85"/>
      <c r="R8444" s="89"/>
    </row>
    <row r="8445" spans="13:18" x14ac:dyDescent="0.25">
      <c r="M8445" s="9"/>
      <c r="N8445" s="9"/>
      <c r="P8445" s="14"/>
      <c r="Q8445" s="85"/>
      <c r="R8445" s="89"/>
    </row>
    <row r="8446" spans="13:18" x14ac:dyDescent="0.25">
      <c r="M8446" s="9"/>
      <c r="N8446" s="9"/>
      <c r="P8446" s="14"/>
      <c r="Q8446" s="85"/>
      <c r="R8446" s="89"/>
    </row>
    <row r="8447" spans="13:18" x14ac:dyDescent="0.25">
      <c r="M8447" s="9"/>
      <c r="N8447" s="9"/>
      <c r="P8447" s="14"/>
      <c r="Q8447" s="85"/>
      <c r="R8447" s="89"/>
    </row>
    <row r="8448" spans="13:18" x14ac:dyDescent="0.25">
      <c r="M8448" s="9"/>
      <c r="N8448" s="9"/>
      <c r="P8448" s="14"/>
      <c r="Q8448" s="85"/>
      <c r="R8448" s="89"/>
    </row>
    <row r="8449" spans="13:18" x14ac:dyDescent="0.25">
      <c r="M8449" s="9"/>
      <c r="N8449" s="9"/>
      <c r="P8449" s="14"/>
      <c r="Q8449" s="85"/>
      <c r="R8449" s="89"/>
    </row>
    <row r="8450" spans="13:18" x14ac:dyDescent="0.25">
      <c r="M8450" s="9"/>
      <c r="N8450" s="9"/>
      <c r="P8450" s="14"/>
      <c r="Q8450" s="85"/>
      <c r="R8450" s="89"/>
    </row>
    <row r="8451" spans="13:18" x14ac:dyDescent="0.25">
      <c r="M8451" s="9"/>
      <c r="N8451" s="9"/>
      <c r="P8451" s="14"/>
      <c r="Q8451" s="85"/>
      <c r="R8451" s="89"/>
    </row>
    <row r="8452" spans="13:18" x14ac:dyDescent="0.25">
      <c r="M8452" s="9"/>
      <c r="N8452" s="9"/>
      <c r="P8452" s="14"/>
      <c r="Q8452" s="85"/>
      <c r="R8452" s="89"/>
    </row>
    <row r="8453" spans="13:18" x14ac:dyDescent="0.25">
      <c r="M8453" s="9"/>
      <c r="N8453" s="9"/>
      <c r="P8453" s="14"/>
      <c r="Q8453" s="85"/>
      <c r="R8453" s="89"/>
    </row>
    <row r="8454" spans="13:18" x14ac:dyDescent="0.25">
      <c r="M8454" s="9"/>
      <c r="N8454" s="9"/>
      <c r="P8454" s="14"/>
      <c r="Q8454" s="85"/>
      <c r="R8454" s="89"/>
    </row>
    <row r="8455" spans="13:18" x14ac:dyDescent="0.25">
      <c r="M8455" s="9"/>
      <c r="N8455" s="9"/>
      <c r="P8455" s="14"/>
      <c r="Q8455" s="85"/>
      <c r="R8455" s="89"/>
    </row>
    <row r="8456" spans="13:18" x14ac:dyDescent="0.25">
      <c r="M8456" s="9"/>
      <c r="N8456" s="9"/>
      <c r="P8456" s="14"/>
      <c r="Q8456" s="85"/>
      <c r="R8456" s="89"/>
    </row>
    <row r="8457" spans="13:18" x14ac:dyDescent="0.25">
      <c r="M8457" s="9"/>
      <c r="N8457" s="9"/>
      <c r="P8457" s="14"/>
      <c r="Q8457" s="85"/>
      <c r="R8457" s="89"/>
    </row>
    <row r="8458" spans="13:18" x14ac:dyDescent="0.25">
      <c r="M8458" s="9"/>
      <c r="N8458" s="9"/>
      <c r="P8458" s="14"/>
      <c r="Q8458" s="85"/>
      <c r="R8458" s="89"/>
    </row>
    <row r="8459" spans="13:18" x14ac:dyDescent="0.25">
      <c r="M8459" s="9"/>
      <c r="N8459" s="9"/>
      <c r="P8459" s="14"/>
      <c r="Q8459" s="85"/>
      <c r="R8459" s="89"/>
    </row>
    <row r="8460" spans="13:18" x14ac:dyDescent="0.25">
      <c r="M8460" s="9"/>
      <c r="N8460" s="9"/>
      <c r="P8460" s="14"/>
      <c r="Q8460" s="85"/>
      <c r="R8460" s="89"/>
    </row>
    <row r="8461" spans="13:18" x14ac:dyDescent="0.25">
      <c r="M8461" s="9"/>
      <c r="N8461" s="9"/>
      <c r="P8461" s="14"/>
      <c r="Q8461" s="85"/>
      <c r="R8461" s="89"/>
    </row>
    <row r="8462" spans="13:18" x14ac:dyDescent="0.25">
      <c r="M8462" s="9"/>
      <c r="N8462" s="9"/>
      <c r="P8462" s="14"/>
      <c r="Q8462" s="85"/>
      <c r="R8462" s="89"/>
    </row>
    <row r="8463" spans="13:18" x14ac:dyDescent="0.25">
      <c r="M8463" s="9"/>
      <c r="N8463" s="9"/>
      <c r="P8463" s="14"/>
      <c r="Q8463" s="85"/>
      <c r="R8463" s="89"/>
    </row>
    <row r="8464" spans="13:18" x14ac:dyDescent="0.25">
      <c r="M8464" s="9"/>
      <c r="N8464" s="9"/>
      <c r="P8464" s="14"/>
      <c r="Q8464" s="85"/>
      <c r="R8464" s="89"/>
    </row>
    <row r="8465" spans="13:18" x14ac:dyDescent="0.25">
      <c r="M8465" s="9"/>
      <c r="N8465" s="9"/>
      <c r="P8465" s="14"/>
      <c r="Q8465" s="85"/>
      <c r="R8465" s="89"/>
    </row>
    <row r="8466" spans="13:18" x14ac:dyDescent="0.25">
      <c r="M8466" s="9"/>
      <c r="N8466" s="9"/>
      <c r="P8466" s="14"/>
      <c r="Q8466" s="85"/>
      <c r="R8466" s="89"/>
    </row>
    <row r="8467" spans="13:18" x14ac:dyDescent="0.25">
      <c r="M8467" s="9"/>
      <c r="N8467" s="9"/>
      <c r="P8467" s="14"/>
      <c r="Q8467" s="85"/>
      <c r="R8467" s="89"/>
    </row>
    <row r="8468" spans="13:18" x14ac:dyDescent="0.25">
      <c r="M8468" s="9"/>
      <c r="N8468" s="9"/>
      <c r="P8468" s="14"/>
      <c r="Q8468" s="85"/>
      <c r="R8468" s="89"/>
    </row>
    <row r="8469" spans="13:18" x14ac:dyDescent="0.25">
      <c r="M8469" s="9"/>
      <c r="N8469" s="9"/>
      <c r="P8469" s="14"/>
      <c r="Q8469" s="85"/>
      <c r="R8469" s="89"/>
    </row>
    <row r="8470" spans="13:18" x14ac:dyDescent="0.25">
      <c r="M8470" s="9"/>
      <c r="N8470" s="9"/>
      <c r="P8470" s="14"/>
      <c r="Q8470" s="85"/>
      <c r="R8470" s="89"/>
    </row>
    <row r="8471" spans="13:18" x14ac:dyDescent="0.25">
      <c r="M8471" s="9"/>
      <c r="N8471" s="9"/>
      <c r="P8471" s="14"/>
      <c r="Q8471" s="85"/>
      <c r="R8471" s="89"/>
    </row>
    <row r="8472" spans="13:18" x14ac:dyDescent="0.25">
      <c r="M8472" s="9"/>
      <c r="N8472" s="9"/>
      <c r="P8472" s="14"/>
      <c r="Q8472" s="85"/>
      <c r="R8472" s="89"/>
    </row>
    <row r="8473" spans="13:18" x14ac:dyDescent="0.25">
      <c r="M8473" s="9"/>
      <c r="N8473" s="9"/>
      <c r="P8473" s="14"/>
      <c r="Q8473" s="85"/>
      <c r="R8473" s="89"/>
    </row>
    <row r="8474" spans="13:18" x14ac:dyDescent="0.25">
      <c r="M8474" s="9"/>
      <c r="N8474" s="9"/>
      <c r="P8474" s="14"/>
      <c r="Q8474" s="85"/>
      <c r="R8474" s="89"/>
    </row>
    <row r="8475" spans="13:18" x14ac:dyDescent="0.25">
      <c r="M8475" s="9"/>
      <c r="N8475" s="9"/>
      <c r="P8475" s="14"/>
      <c r="Q8475" s="85"/>
      <c r="R8475" s="89"/>
    </row>
    <row r="8476" spans="13:18" x14ac:dyDescent="0.25">
      <c r="M8476" s="9"/>
      <c r="N8476" s="9"/>
      <c r="P8476" s="14"/>
      <c r="Q8476" s="85"/>
      <c r="R8476" s="89"/>
    </row>
    <row r="8477" spans="13:18" x14ac:dyDescent="0.25">
      <c r="M8477" s="9"/>
      <c r="N8477" s="9"/>
      <c r="P8477" s="14"/>
      <c r="Q8477" s="85"/>
      <c r="R8477" s="89"/>
    </row>
    <row r="8478" spans="13:18" x14ac:dyDescent="0.25">
      <c r="M8478" s="9"/>
      <c r="N8478" s="9"/>
      <c r="P8478" s="14"/>
      <c r="Q8478" s="85"/>
      <c r="R8478" s="89"/>
    </row>
    <row r="8479" spans="13:18" x14ac:dyDescent="0.25">
      <c r="M8479" s="9"/>
      <c r="N8479" s="9"/>
      <c r="P8479" s="14"/>
      <c r="Q8479" s="85"/>
      <c r="R8479" s="89"/>
    </row>
    <row r="8480" spans="13:18" x14ac:dyDescent="0.25">
      <c r="M8480" s="9"/>
      <c r="N8480" s="9"/>
      <c r="P8480" s="14"/>
      <c r="Q8480" s="85"/>
      <c r="R8480" s="89"/>
    </row>
    <row r="8481" spans="13:18" x14ac:dyDescent="0.25">
      <c r="M8481" s="9"/>
      <c r="N8481" s="9"/>
      <c r="P8481" s="14"/>
      <c r="Q8481" s="85"/>
      <c r="R8481" s="89"/>
    </row>
    <row r="8482" spans="13:18" x14ac:dyDescent="0.25">
      <c r="M8482" s="9"/>
      <c r="N8482" s="9"/>
      <c r="P8482" s="14"/>
      <c r="Q8482" s="85"/>
      <c r="R8482" s="89"/>
    </row>
    <row r="8483" spans="13:18" x14ac:dyDescent="0.25">
      <c r="M8483" s="9"/>
      <c r="N8483" s="9"/>
      <c r="P8483" s="14"/>
      <c r="Q8483" s="85"/>
      <c r="R8483" s="89"/>
    </row>
    <row r="8484" spans="13:18" x14ac:dyDescent="0.25">
      <c r="M8484" s="9"/>
      <c r="N8484" s="9"/>
      <c r="P8484" s="14"/>
      <c r="Q8484" s="85"/>
      <c r="R8484" s="89"/>
    </row>
    <row r="8485" spans="13:18" x14ac:dyDescent="0.25">
      <c r="M8485" s="9"/>
      <c r="N8485" s="9"/>
      <c r="P8485" s="14"/>
      <c r="Q8485" s="85"/>
      <c r="R8485" s="89"/>
    </row>
    <row r="8486" spans="13:18" x14ac:dyDescent="0.25">
      <c r="M8486" s="9"/>
      <c r="N8486" s="9"/>
      <c r="P8486" s="14"/>
      <c r="Q8486" s="85"/>
      <c r="R8486" s="89"/>
    </row>
    <row r="8487" spans="13:18" x14ac:dyDescent="0.25">
      <c r="M8487" s="9"/>
      <c r="N8487" s="9"/>
      <c r="P8487" s="14"/>
      <c r="Q8487" s="85"/>
      <c r="R8487" s="89"/>
    </row>
    <row r="8488" spans="13:18" x14ac:dyDescent="0.25">
      <c r="M8488" s="9"/>
      <c r="N8488" s="9"/>
      <c r="P8488" s="14"/>
      <c r="Q8488" s="85"/>
      <c r="R8488" s="89"/>
    </row>
    <row r="8489" spans="13:18" x14ac:dyDescent="0.25">
      <c r="M8489" s="9"/>
      <c r="N8489" s="9"/>
      <c r="P8489" s="14"/>
      <c r="Q8489" s="85"/>
      <c r="R8489" s="89"/>
    </row>
    <row r="8490" spans="13:18" x14ac:dyDescent="0.25">
      <c r="M8490" s="9"/>
      <c r="N8490" s="9"/>
      <c r="P8490" s="14"/>
      <c r="Q8490" s="85"/>
      <c r="R8490" s="89"/>
    </row>
    <row r="8491" spans="13:18" x14ac:dyDescent="0.25">
      <c r="M8491" s="9"/>
      <c r="N8491" s="9"/>
      <c r="P8491" s="14"/>
      <c r="Q8491" s="85"/>
      <c r="R8491" s="89"/>
    </row>
    <row r="8492" spans="13:18" x14ac:dyDescent="0.25">
      <c r="M8492" s="9"/>
      <c r="N8492" s="9"/>
      <c r="P8492" s="14"/>
      <c r="Q8492" s="85"/>
      <c r="R8492" s="89"/>
    </row>
    <row r="8493" spans="13:18" x14ac:dyDescent="0.25">
      <c r="M8493" s="9"/>
      <c r="N8493" s="9"/>
      <c r="P8493" s="14"/>
      <c r="Q8493" s="85"/>
      <c r="R8493" s="89"/>
    </row>
    <row r="8494" spans="13:18" x14ac:dyDescent="0.25">
      <c r="M8494" s="9"/>
      <c r="N8494" s="9"/>
      <c r="P8494" s="14"/>
      <c r="Q8494" s="85"/>
      <c r="R8494" s="89"/>
    </row>
    <row r="8495" spans="13:18" x14ac:dyDescent="0.25">
      <c r="M8495" s="9"/>
      <c r="N8495" s="9"/>
      <c r="P8495" s="14"/>
      <c r="Q8495" s="85"/>
      <c r="R8495" s="89"/>
    </row>
    <row r="8496" spans="13:18" x14ac:dyDescent="0.25">
      <c r="M8496" s="9"/>
      <c r="N8496" s="9"/>
      <c r="P8496" s="14"/>
      <c r="Q8496" s="85"/>
      <c r="R8496" s="89"/>
    </row>
    <row r="8497" spans="13:18" x14ac:dyDescent="0.25">
      <c r="M8497" s="9"/>
      <c r="N8497" s="9"/>
      <c r="P8497" s="14"/>
      <c r="Q8497" s="85"/>
      <c r="R8497" s="89"/>
    </row>
    <row r="8498" spans="13:18" x14ac:dyDescent="0.25">
      <c r="M8498" s="9"/>
      <c r="N8498" s="9"/>
      <c r="P8498" s="14"/>
      <c r="Q8498" s="85"/>
      <c r="R8498" s="89"/>
    </row>
    <row r="8499" spans="13:18" x14ac:dyDescent="0.25">
      <c r="M8499" s="9"/>
      <c r="N8499" s="9"/>
      <c r="P8499" s="14"/>
      <c r="Q8499" s="85"/>
      <c r="R8499" s="89"/>
    </row>
    <row r="8500" spans="13:18" x14ac:dyDescent="0.25">
      <c r="M8500" s="9"/>
      <c r="N8500" s="9"/>
      <c r="P8500" s="14"/>
      <c r="Q8500" s="85"/>
      <c r="R8500" s="89"/>
    </row>
    <row r="8501" spans="13:18" x14ac:dyDescent="0.25">
      <c r="M8501" s="9"/>
      <c r="N8501" s="9"/>
      <c r="P8501" s="14"/>
      <c r="Q8501" s="85"/>
      <c r="R8501" s="89"/>
    </row>
    <row r="8502" spans="13:18" x14ac:dyDescent="0.25">
      <c r="M8502" s="9"/>
      <c r="N8502" s="9"/>
      <c r="P8502" s="14"/>
      <c r="Q8502" s="85"/>
      <c r="R8502" s="89"/>
    </row>
    <row r="8503" spans="13:18" x14ac:dyDescent="0.25">
      <c r="M8503" s="9"/>
      <c r="N8503" s="9"/>
      <c r="P8503" s="14"/>
      <c r="Q8503" s="85"/>
      <c r="R8503" s="89"/>
    </row>
    <row r="8504" spans="13:18" x14ac:dyDescent="0.25">
      <c r="M8504" s="9"/>
      <c r="N8504" s="9"/>
      <c r="P8504" s="14"/>
      <c r="Q8504" s="85"/>
      <c r="R8504" s="89"/>
    </row>
    <row r="8505" spans="13:18" x14ac:dyDescent="0.25">
      <c r="M8505" s="9"/>
      <c r="N8505" s="9"/>
      <c r="P8505" s="14"/>
      <c r="Q8505" s="85"/>
      <c r="R8505" s="89"/>
    </row>
    <row r="8506" spans="13:18" x14ac:dyDescent="0.25">
      <c r="M8506" s="9"/>
      <c r="N8506" s="9"/>
      <c r="P8506" s="14"/>
      <c r="Q8506" s="85"/>
      <c r="R8506" s="89"/>
    </row>
    <row r="8507" spans="13:18" x14ac:dyDescent="0.25">
      <c r="M8507" s="9"/>
      <c r="N8507" s="9"/>
      <c r="P8507" s="14"/>
      <c r="Q8507" s="85"/>
      <c r="R8507" s="89"/>
    </row>
    <row r="8508" spans="13:18" x14ac:dyDescent="0.25">
      <c r="M8508" s="9"/>
      <c r="N8508" s="9"/>
      <c r="P8508" s="14"/>
      <c r="Q8508" s="85"/>
      <c r="R8508" s="89"/>
    </row>
    <row r="8509" spans="13:18" x14ac:dyDescent="0.25">
      <c r="M8509" s="9"/>
      <c r="N8509" s="9"/>
      <c r="P8509" s="14"/>
      <c r="Q8509" s="85"/>
      <c r="R8509" s="89"/>
    </row>
    <row r="8510" spans="13:18" x14ac:dyDescent="0.25">
      <c r="M8510" s="9"/>
      <c r="N8510" s="9"/>
      <c r="P8510" s="14"/>
      <c r="Q8510" s="85"/>
      <c r="R8510" s="89"/>
    </row>
    <row r="8511" spans="13:18" x14ac:dyDescent="0.25">
      <c r="M8511" s="9"/>
      <c r="N8511" s="9"/>
      <c r="P8511" s="14"/>
      <c r="Q8511" s="85"/>
      <c r="R8511" s="89"/>
    </row>
    <row r="8512" spans="13:18" x14ac:dyDescent="0.25">
      <c r="M8512" s="9"/>
      <c r="N8512" s="9"/>
      <c r="P8512" s="14"/>
      <c r="Q8512" s="85"/>
      <c r="R8512" s="89"/>
    </row>
    <row r="8513" spans="13:18" x14ac:dyDescent="0.25">
      <c r="M8513" s="9"/>
      <c r="N8513" s="9"/>
      <c r="P8513" s="14"/>
      <c r="Q8513" s="85"/>
      <c r="R8513" s="89"/>
    </row>
    <row r="8514" spans="13:18" x14ac:dyDescent="0.25">
      <c r="M8514" s="9"/>
      <c r="N8514" s="9"/>
      <c r="P8514" s="14"/>
      <c r="Q8514" s="85"/>
      <c r="R8514" s="89"/>
    </row>
    <row r="8515" spans="13:18" x14ac:dyDescent="0.25">
      <c r="M8515" s="9"/>
      <c r="N8515" s="9"/>
      <c r="P8515" s="14"/>
      <c r="Q8515" s="85"/>
      <c r="R8515" s="89"/>
    </row>
    <row r="8516" spans="13:18" x14ac:dyDescent="0.25">
      <c r="M8516" s="9"/>
      <c r="N8516" s="9"/>
      <c r="P8516" s="14"/>
      <c r="Q8516" s="85"/>
      <c r="R8516" s="89"/>
    </row>
    <row r="8517" spans="13:18" x14ac:dyDescent="0.25">
      <c r="M8517" s="9"/>
      <c r="N8517" s="9"/>
      <c r="P8517" s="14"/>
      <c r="Q8517" s="85"/>
      <c r="R8517" s="89"/>
    </row>
    <row r="8518" spans="13:18" x14ac:dyDescent="0.25">
      <c r="M8518" s="9"/>
      <c r="N8518" s="9"/>
      <c r="P8518" s="14"/>
      <c r="Q8518" s="85"/>
      <c r="R8518" s="89"/>
    </row>
    <row r="8519" spans="13:18" x14ac:dyDescent="0.25">
      <c r="M8519" s="9"/>
      <c r="N8519" s="9"/>
      <c r="P8519" s="14"/>
      <c r="Q8519" s="85"/>
      <c r="R8519" s="89"/>
    </row>
    <row r="8520" spans="13:18" x14ac:dyDescent="0.25">
      <c r="M8520" s="9"/>
      <c r="N8520" s="9"/>
      <c r="P8520" s="14"/>
      <c r="Q8520" s="85"/>
      <c r="R8520" s="89"/>
    </row>
    <row r="8521" spans="13:18" x14ac:dyDescent="0.25">
      <c r="M8521" s="9"/>
      <c r="N8521" s="9"/>
      <c r="P8521" s="14"/>
      <c r="Q8521" s="85"/>
      <c r="R8521" s="89"/>
    </row>
    <row r="8522" spans="13:18" x14ac:dyDescent="0.25">
      <c r="M8522" s="9"/>
      <c r="N8522" s="9"/>
      <c r="P8522" s="14"/>
      <c r="Q8522" s="85"/>
      <c r="R8522" s="89"/>
    </row>
    <row r="8523" spans="13:18" x14ac:dyDescent="0.25">
      <c r="M8523" s="9"/>
      <c r="N8523" s="9"/>
      <c r="P8523" s="14"/>
      <c r="Q8523" s="85"/>
      <c r="R8523" s="89"/>
    </row>
    <row r="8524" spans="13:18" x14ac:dyDescent="0.25">
      <c r="M8524" s="9"/>
      <c r="N8524" s="9"/>
      <c r="P8524" s="14"/>
      <c r="Q8524" s="85"/>
      <c r="R8524" s="89"/>
    </row>
    <row r="8525" spans="13:18" x14ac:dyDescent="0.25">
      <c r="M8525" s="9"/>
      <c r="N8525" s="9"/>
      <c r="P8525" s="14"/>
      <c r="Q8525" s="85"/>
      <c r="R8525" s="89"/>
    </row>
    <row r="8526" spans="13:18" x14ac:dyDescent="0.25">
      <c r="M8526" s="9"/>
      <c r="N8526" s="9"/>
      <c r="P8526" s="14"/>
      <c r="Q8526" s="85"/>
      <c r="R8526" s="89"/>
    </row>
    <row r="8527" spans="13:18" x14ac:dyDescent="0.25">
      <c r="M8527" s="9"/>
      <c r="N8527" s="9"/>
      <c r="P8527" s="14"/>
      <c r="Q8527" s="85"/>
      <c r="R8527" s="89"/>
    </row>
    <row r="8528" spans="13:18" x14ac:dyDescent="0.25">
      <c r="M8528" s="9"/>
      <c r="N8528" s="9"/>
      <c r="P8528" s="14"/>
      <c r="Q8528" s="85"/>
      <c r="R8528" s="89"/>
    </row>
    <row r="8529" spans="13:18" x14ac:dyDescent="0.25">
      <c r="M8529" s="9"/>
      <c r="N8529" s="9"/>
      <c r="P8529" s="14"/>
      <c r="Q8529" s="85"/>
      <c r="R8529" s="89"/>
    </row>
    <row r="8530" spans="13:18" x14ac:dyDescent="0.25">
      <c r="M8530" s="9"/>
      <c r="N8530" s="9"/>
      <c r="P8530" s="14"/>
      <c r="Q8530" s="85"/>
      <c r="R8530" s="89"/>
    </row>
    <row r="8531" spans="13:18" x14ac:dyDescent="0.25">
      <c r="M8531" s="9"/>
      <c r="N8531" s="9"/>
      <c r="P8531" s="14"/>
      <c r="Q8531" s="85"/>
      <c r="R8531" s="89"/>
    </row>
    <row r="8532" spans="13:18" x14ac:dyDescent="0.25">
      <c r="M8532" s="9"/>
      <c r="N8532" s="9"/>
      <c r="P8532" s="14"/>
      <c r="Q8532" s="85"/>
      <c r="R8532" s="89"/>
    </row>
    <row r="8533" spans="13:18" x14ac:dyDescent="0.25">
      <c r="M8533" s="9"/>
      <c r="N8533" s="9"/>
      <c r="P8533" s="14"/>
      <c r="Q8533" s="85"/>
      <c r="R8533" s="89"/>
    </row>
    <row r="8534" spans="13:18" x14ac:dyDescent="0.25">
      <c r="M8534" s="9"/>
      <c r="N8534" s="9"/>
      <c r="P8534" s="14"/>
      <c r="Q8534" s="85"/>
      <c r="R8534" s="89"/>
    </row>
    <row r="8535" spans="13:18" x14ac:dyDescent="0.25">
      <c r="M8535" s="9"/>
      <c r="N8535" s="9"/>
      <c r="P8535" s="14"/>
      <c r="Q8535" s="85"/>
      <c r="R8535" s="89"/>
    </row>
    <row r="8536" spans="13:18" x14ac:dyDescent="0.25">
      <c r="M8536" s="9"/>
      <c r="N8536" s="9"/>
      <c r="P8536" s="14"/>
      <c r="Q8536" s="85"/>
      <c r="R8536" s="89"/>
    </row>
    <row r="8537" spans="13:18" x14ac:dyDescent="0.25">
      <c r="M8537" s="9"/>
      <c r="N8537" s="9"/>
      <c r="P8537" s="14"/>
      <c r="Q8537" s="85"/>
      <c r="R8537" s="89"/>
    </row>
    <row r="8538" spans="13:18" x14ac:dyDescent="0.25">
      <c r="M8538" s="9"/>
      <c r="N8538" s="9"/>
      <c r="P8538" s="14"/>
      <c r="Q8538" s="85"/>
      <c r="R8538" s="89"/>
    </row>
    <row r="8539" spans="13:18" x14ac:dyDescent="0.25">
      <c r="M8539" s="9"/>
      <c r="N8539" s="9"/>
      <c r="P8539" s="14"/>
      <c r="Q8539" s="85"/>
      <c r="R8539" s="89"/>
    </row>
    <row r="8540" spans="13:18" x14ac:dyDescent="0.25">
      <c r="M8540" s="9"/>
      <c r="N8540" s="9"/>
      <c r="P8540" s="14"/>
      <c r="Q8540" s="85"/>
      <c r="R8540" s="89"/>
    </row>
    <row r="8541" spans="13:18" x14ac:dyDescent="0.25">
      <c r="M8541" s="9"/>
      <c r="N8541" s="9"/>
      <c r="P8541" s="14"/>
      <c r="Q8541" s="85"/>
      <c r="R8541" s="89"/>
    </row>
    <row r="8542" spans="13:18" x14ac:dyDescent="0.25">
      <c r="M8542" s="9"/>
      <c r="N8542" s="9"/>
      <c r="P8542" s="14"/>
      <c r="Q8542" s="85"/>
      <c r="R8542" s="89"/>
    </row>
    <row r="8543" spans="13:18" x14ac:dyDescent="0.25">
      <c r="M8543" s="9"/>
      <c r="N8543" s="9"/>
      <c r="P8543" s="14"/>
      <c r="Q8543" s="85"/>
      <c r="R8543" s="89"/>
    </row>
    <row r="8544" spans="13:18" x14ac:dyDescent="0.25">
      <c r="M8544" s="9"/>
      <c r="N8544" s="9"/>
      <c r="P8544" s="14"/>
      <c r="Q8544" s="85"/>
      <c r="R8544" s="89"/>
    </row>
    <row r="8545" spans="13:18" x14ac:dyDescent="0.25">
      <c r="M8545" s="9"/>
      <c r="N8545" s="9"/>
      <c r="P8545" s="14"/>
      <c r="Q8545" s="85"/>
      <c r="R8545" s="89"/>
    </row>
    <row r="8546" spans="13:18" x14ac:dyDescent="0.25">
      <c r="M8546" s="9"/>
      <c r="N8546" s="9"/>
      <c r="P8546" s="14"/>
      <c r="Q8546" s="85"/>
      <c r="R8546" s="89"/>
    </row>
    <row r="8547" spans="13:18" x14ac:dyDescent="0.25">
      <c r="M8547" s="9"/>
      <c r="N8547" s="9"/>
      <c r="P8547" s="14"/>
      <c r="Q8547" s="85"/>
      <c r="R8547" s="89"/>
    </row>
    <row r="8548" spans="13:18" x14ac:dyDescent="0.25">
      <c r="M8548" s="9"/>
      <c r="N8548" s="9"/>
      <c r="P8548" s="14"/>
      <c r="Q8548" s="85"/>
      <c r="R8548" s="89"/>
    </row>
    <row r="8549" spans="13:18" x14ac:dyDescent="0.25">
      <c r="M8549" s="9"/>
      <c r="N8549" s="9"/>
      <c r="P8549" s="14"/>
      <c r="Q8549" s="85"/>
      <c r="R8549" s="89"/>
    </row>
    <row r="8550" spans="13:18" x14ac:dyDescent="0.25">
      <c r="M8550" s="9"/>
      <c r="N8550" s="9"/>
      <c r="P8550" s="14"/>
      <c r="Q8550" s="85"/>
      <c r="R8550" s="89"/>
    </row>
    <row r="8551" spans="13:18" x14ac:dyDescent="0.25">
      <c r="M8551" s="9"/>
      <c r="N8551" s="9"/>
      <c r="P8551" s="14"/>
      <c r="Q8551" s="85"/>
      <c r="R8551" s="89"/>
    </row>
    <row r="8552" spans="13:18" x14ac:dyDescent="0.25">
      <c r="M8552" s="9"/>
      <c r="N8552" s="9"/>
      <c r="P8552" s="14"/>
      <c r="Q8552" s="85"/>
      <c r="R8552" s="89"/>
    </row>
    <row r="8553" spans="13:18" x14ac:dyDescent="0.25">
      <c r="M8553" s="9"/>
      <c r="N8553" s="9"/>
      <c r="P8553" s="14"/>
      <c r="Q8553" s="85"/>
      <c r="R8553" s="89"/>
    </row>
    <row r="8554" spans="13:18" x14ac:dyDescent="0.25">
      <c r="M8554" s="9"/>
      <c r="N8554" s="9"/>
      <c r="P8554" s="14"/>
      <c r="Q8554" s="85"/>
      <c r="R8554" s="89"/>
    </row>
    <row r="8555" spans="13:18" x14ac:dyDescent="0.25">
      <c r="M8555" s="9"/>
      <c r="N8555" s="9"/>
      <c r="P8555" s="14"/>
      <c r="Q8555" s="85"/>
      <c r="R8555" s="89"/>
    </row>
    <row r="8556" spans="13:18" x14ac:dyDescent="0.25">
      <c r="M8556" s="9"/>
      <c r="N8556" s="9"/>
      <c r="P8556" s="14"/>
      <c r="Q8556" s="85"/>
      <c r="R8556" s="89"/>
    </row>
    <row r="8557" spans="13:18" x14ac:dyDescent="0.25">
      <c r="M8557" s="9"/>
      <c r="N8557" s="9"/>
      <c r="P8557" s="14"/>
      <c r="Q8557" s="85"/>
      <c r="R8557" s="89"/>
    </row>
    <row r="8558" spans="13:18" x14ac:dyDescent="0.25">
      <c r="M8558" s="9"/>
      <c r="N8558" s="9"/>
      <c r="P8558" s="14"/>
      <c r="Q8558" s="85"/>
      <c r="R8558" s="89"/>
    </row>
    <row r="8559" spans="13:18" x14ac:dyDescent="0.25">
      <c r="M8559" s="9"/>
      <c r="N8559" s="9"/>
      <c r="P8559" s="14"/>
      <c r="Q8559" s="85"/>
      <c r="R8559" s="89"/>
    </row>
    <row r="8560" spans="13:18" x14ac:dyDescent="0.25">
      <c r="M8560" s="9"/>
      <c r="N8560" s="9"/>
      <c r="P8560" s="14"/>
      <c r="Q8560" s="85"/>
      <c r="R8560" s="89"/>
    </row>
    <row r="8561" spans="13:18" x14ac:dyDescent="0.25">
      <c r="M8561" s="9"/>
      <c r="N8561" s="9"/>
      <c r="P8561" s="14"/>
      <c r="Q8561" s="85"/>
      <c r="R8561" s="89"/>
    </row>
    <row r="8562" spans="13:18" x14ac:dyDescent="0.25">
      <c r="M8562" s="9"/>
      <c r="N8562" s="9"/>
      <c r="P8562" s="14"/>
      <c r="Q8562" s="85"/>
      <c r="R8562" s="89"/>
    </row>
    <row r="8563" spans="13:18" x14ac:dyDescent="0.25">
      <c r="M8563" s="9"/>
      <c r="N8563" s="9"/>
      <c r="P8563" s="14"/>
      <c r="Q8563" s="85"/>
      <c r="R8563" s="89"/>
    </row>
    <row r="8564" spans="13:18" x14ac:dyDescent="0.25">
      <c r="M8564" s="9"/>
      <c r="N8564" s="9"/>
      <c r="P8564" s="14"/>
      <c r="Q8564" s="85"/>
      <c r="R8564" s="89"/>
    </row>
    <row r="8565" spans="13:18" x14ac:dyDescent="0.25">
      <c r="M8565" s="9"/>
      <c r="N8565" s="9"/>
      <c r="P8565" s="14"/>
      <c r="Q8565" s="85"/>
      <c r="R8565" s="89"/>
    </row>
    <row r="8566" spans="13:18" x14ac:dyDescent="0.25">
      <c r="M8566" s="9"/>
      <c r="N8566" s="9"/>
      <c r="P8566" s="14"/>
      <c r="Q8566" s="85"/>
      <c r="R8566" s="89"/>
    </row>
    <row r="8567" spans="13:18" x14ac:dyDescent="0.25">
      <c r="M8567" s="9"/>
      <c r="N8567" s="9"/>
      <c r="P8567" s="14"/>
      <c r="Q8567" s="85"/>
      <c r="R8567" s="89"/>
    </row>
    <row r="8568" spans="13:18" x14ac:dyDescent="0.25">
      <c r="M8568" s="9"/>
      <c r="N8568" s="9"/>
      <c r="P8568" s="14"/>
      <c r="Q8568" s="85"/>
      <c r="R8568" s="89"/>
    </row>
    <row r="8569" spans="13:18" x14ac:dyDescent="0.25">
      <c r="M8569" s="9"/>
      <c r="N8569" s="9"/>
      <c r="P8569" s="14"/>
      <c r="Q8569" s="85"/>
      <c r="R8569" s="89"/>
    </row>
    <row r="8570" spans="13:18" x14ac:dyDescent="0.25">
      <c r="M8570" s="9"/>
      <c r="N8570" s="9"/>
      <c r="P8570" s="14"/>
      <c r="Q8570" s="85"/>
      <c r="R8570" s="89"/>
    </row>
    <row r="8571" spans="13:18" x14ac:dyDescent="0.25">
      <c r="M8571" s="9"/>
      <c r="N8571" s="9"/>
      <c r="P8571" s="14"/>
      <c r="Q8571" s="85"/>
      <c r="R8571" s="89"/>
    </row>
    <row r="8572" spans="13:18" x14ac:dyDescent="0.25">
      <c r="M8572" s="9"/>
      <c r="N8572" s="9"/>
      <c r="P8572" s="14"/>
      <c r="Q8572" s="85"/>
      <c r="R8572" s="89"/>
    </row>
    <row r="8573" spans="13:18" x14ac:dyDescent="0.25">
      <c r="M8573" s="9"/>
      <c r="N8573" s="9"/>
      <c r="P8573" s="14"/>
      <c r="Q8573" s="85"/>
      <c r="R8573" s="89"/>
    </row>
    <row r="8574" spans="13:18" x14ac:dyDescent="0.25">
      <c r="M8574" s="9"/>
      <c r="N8574" s="9"/>
      <c r="P8574" s="14"/>
      <c r="Q8574" s="85"/>
      <c r="R8574" s="89"/>
    </row>
    <row r="8575" spans="13:18" x14ac:dyDescent="0.25">
      <c r="M8575" s="9"/>
      <c r="N8575" s="9"/>
      <c r="P8575" s="14"/>
      <c r="Q8575" s="85"/>
      <c r="R8575" s="89"/>
    </row>
    <row r="8576" spans="13:18" x14ac:dyDescent="0.25">
      <c r="M8576" s="9"/>
      <c r="N8576" s="9"/>
      <c r="P8576" s="14"/>
      <c r="Q8576" s="85"/>
      <c r="R8576" s="89"/>
    </row>
    <row r="8577" spans="13:18" x14ac:dyDescent="0.25">
      <c r="M8577" s="9"/>
      <c r="N8577" s="9"/>
      <c r="P8577" s="14"/>
      <c r="Q8577" s="85"/>
      <c r="R8577" s="89"/>
    </row>
    <row r="8578" spans="13:18" x14ac:dyDescent="0.25">
      <c r="M8578" s="9"/>
      <c r="N8578" s="9"/>
      <c r="P8578" s="14"/>
      <c r="Q8578" s="85"/>
      <c r="R8578" s="89"/>
    </row>
    <row r="8579" spans="13:18" x14ac:dyDescent="0.25">
      <c r="M8579" s="9"/>
      <c r="N8579" s="9"/>
      <c r="P8579" s="14"/>
      <c r="Q8579" s="85"/>
      <c r="R8579" s="89"/>
    </row>
    <row r="8580" spans="13:18" x14ac:dyDescent="0.25">
      <c r="M8580" s="9"/>
      <c r="N8580" s="9"/>
      <c r="P8580" s="14"/>
      <c r="Q8580" s="85"/>
      <c r="R8580" s="89"/>
    </row>
    <row r="8581" spans="13:18" x14ac:dyDescent="0.25">
      <c r="M8581" s="9"/>
      <c r="N8581" s="9"/>
      <c r="P8581" s="14"/>
      <c r="Q8581" s="85"/>
      <c r="R8581" s="89"/>
    </row>
    <row r="8582" spans="13:18" x14ac:dyDescent="0.25">
      <c r="M8582" s="9"/>
      <c r="N8582" s="9"/>
      <c r="P8582" s="14"/>
      <c r="Q8582" s="85"/>
      <c r="R8582" s="89"/>
    </row>
    <row r="8583" spans="13:18" x14ac:dyDescent="0.25">
      <c r="M8583" s="9"/>
      <c r="N8583" s="9"/>
      <c r="P8583" s="14"/>
      <c r="Q8583" s="85"/>
      <c r="R8583" s="89"/>
    </row>
    <row r="8584" spans="13:18" x14ac:dyDescent="0.25">
      <c r="M8584" s="9"/>
      <c r="N8584" s="9"/>
      <c r="P8584" s="14"/>
      <c r="Q8584" s="85"/>
      <c r="R8584" s="89"/>
    </row>
    <row r="8585" spans="13:18" x14ac:dyDescent="0.25">
      <c r="M8585" s="9"/>
      <c r="N8585" s="9"/>
      <c r="P8585" s="14"/>
      <c r="Q8585" s="85"/>
      <c r="R8585" s="89"/>
    </row>
    <row r="8586" spans="13:18" x14ac:dyDescent="0.25">
      <c r="M8586" s="9"/>
      <c r="N8586" s="9"/>
      <c r="P8586" s="14"/>
      <c r="Q8586" s="85"/>
      <c r="R8586" s="89"/>
    </row>
    <row r="8587" spans="13:18" x14ac:dyDescent="0.25">
      <c r="M8587" s="9"/>
      <c r="N8587" s="9"/>
      <c r="P8587" s="14"/>
      <c r="Q8587" s="85"/>
      <c r="R8587" s="89"/>
    </row>
    <row r="8588" spans="13:18" x14ac:dyDescent="0.25">
      <c r="M8588" s="9"/>
      <c r="N8588" s="9"/>
      <c r="P8588" s="14"/>
      <c r="Q8588" s="85"/>
      <c r="R8588" s="89"/>
    </row>
    <row r="8589" spans="13:18" x14ac:dyDescent="0.25">
      <c r="M8589" s="9"/>
      <c r="N8589" s="9"/>
      <c r="P8589" s="14"/>
      <c r="Q8589" s="85"/>
      <c r="R8589" s="89"/>
    </row>
    <row r="8590" spans="13:18" x14ac:dyDescent="0.25">
      <c r="M8590" s="9"/>
      <c r="N8590" s="9"/>
      <c r="P8590" s="14"/>
      <c r="Q8590" s="85"/>
      <c r="R8590" s="89"/>
    </row>
    <row r="8591" spans="13:18" x14ac:dyDescent="0.25">
      <c r="M8591" s="9"/>
      <c r="N8591" s="9"/>
      <c r="P8591" s="14"/>
      <c r="Q8591" s="85"/>
      <c r="R8591" s="89"/>
    </row>
    <row r="8592" spans="13:18" x14ac:dyDescent="0.25">
      <c r="M8592" s="9"/>
      <c r="N8592" s="9"/>
      <c r="P8592" s="14"/>
      <c r="Q8592" s="85"/>
      <c r="R8592" s="89"/>
    </row>
    <row r="8593" spans="13:18" x14ac:dyDescent="0.25">
      <c r="M8593" s="9"/>
      <c r="N8593" s="9"/>
      <c r="P8593" s="14"/>
      <c r="Q8593" s="85"/>
      <c r="R8593" s="89"/>
    </row>
    <row r="8594" spans="13:18" x14ac:dyDescent="0.25">
      <c r="M8594" s="9"/>
      <c r="N8594" s="9"/>
      <c r="P8594" s="14"/>
      <c r="Q8594" s="85"/>
      <c r="R8594" s="89"/>
    </row>
    <row r="8595" spans="13:18" x14ac:dyDescent="0.25">
      <c r="M8595" s="9"/>
      <c r="N8595" s="9"/>
      <c r="P8595" s="14"/>
      <c r="Q8595" s="85"/>
      <c r="R8595" s="89"/>
    </row>
    <row r="8596" spans="13:18" x14ac:dyDescent="0.25">
      <c r="M8596" s="9"/>
      <c r="N8596" s="9"/>
      <c r="P8596" s="14"/>
      <c r="Q8596" s="85"/>
      <c r="R8596" s="89"/>
    </row>
    <row r="8597" spans="13:18" x14ac:dyDescent="0.25">
      <c r="M8597" s="9"/>
      <c r="N8597" s="9"/>
      <c r="P8597" s="14"/>
      <c r="Q8597" s="85"/>
      <c r="R8597" s="89"/>
    </row>
    <row r="8598" spans="13:18" x14ac:dyDescent="0.25">
      <c r="M8598" s="9"/>
      <c r="N8598" s="9"/>
      <c r="P8598" s="14"/>
      <c r="Q8598" s="85"/>
      <c r="R8598" s="89"/>
    </row>
    <row r="8599" spans="13:18" x14ac:dyDescent="0.25">
      <c r="M8599" s="9"/>
      <c r="N8599" s="9"/>
      <c r="P8599" s="14"/>
      <c r="Q8599" s="85"/>
      <c r="R8599" s="89"/>
    </row>
    <row r="8600" spans="13:18" x14ac:dyDescent="0.25">
      <c r="M8600" s="9"/>
      <c r="N8600" s="9"/>
      <c r="P8600" s="14"/>
      <c r="Q8600" s="85"/>
      <c r="R8600" s="89"/>
    </row>
    <row r="8601" spans="13:18" x14ac:dyDescent="0.25">
      <c r="M8601" s="9"/>
      <c r="N8601" s="9"/>
      <c r="P8601" s="14"/>
      <c r="Q8601" s="85"/>
      <c r="R8601" s="89"/>
    </row>
    <row r="8602" spans="13:18" x14ac:dyDescent="0.25">
      <c r="M8602" s="9"/>
      <c r="N8602" s="9"/>
      <c r="P8602" s="14"/>
      <c r="Q8602" s="85"/>
      <c r="R8602" s="89"/>
    </row>
    <row r="8603" spans="13:18" x14ac:dyDescent="0.25">
      <c r="M8603" s="9"/>
      <c r="N8603" s="9"/>
      <c r="P8603" s="14"/>
      <c r="Q8603" s="85"/>
      <c r="R8603" s="89"/>
    </row>
    <row r="8604" spans="13:18" x14ac:dyDescent="0.25">
      <c r="M8604" s="9"/>
      <c r="N8604" s="9"/>
      <c r="P8604" s="14"/>
      <c r="Q8604" s="85"/>
      <c r="R8604" s="89"/>
    </row>
    <row r="8605" spans="13:18" x14ac:dyDescent="0.25">
      <c r="M8605" s="9"/>
      <c r="N8605" s="9"/>
      <c r="P8605" s="14"/>
      <c r="Q8605" s="85"/>
      <c r="R8605" s="89"/>
    </row>
    <row r="8606" spans="13:18" x14ac:dyDescent="0.25">
      <c r="M8606" s="9"/>
      <c r="N8606" s="9"/>
      <c r="P8606" s="14"/>
      <c r="Q8606" s="85"/>
      <c r="R8606" s="89"/>
    </row>
    <row r="8607" spans="13:18" x14ac:dyDescent="0.25">
      <c r="M8607" s="9"/>
      <c r="N8607" s="9"/>
      <c r="P8607" s="14"/>
      <c r="Q8607" s="85"/>
      <c r="R8607" s="89"/>
    </row>
    <row r="8608" spans="13:18" x14ac:dyDescent="0.25">
      <c r="M8608" s="9"/>
      <c r="N8608" s="9"/>
      <c r="P8608" s="14"/>
      <c r="Q8608" s="85"/>
      <c r="R8608" s="89"/>
    </row>
    <row r="8609" spans="13:18" x14ac:dyDescent="0.25">
      <c r="M8609" s="9"/>
      <c r="N8609" s="9"/>
      <c r="P8609" s="14"/>
      <c r="Q8609" s="85"/>
      <c r="R8609" s="89"/>
    </row>
    <row r="8610" spans="13:18" x14ac:dyDescent="0.25">
      <c r="M8610" s="9"/>
      <c r="N8610" s="9"/>
      <c r="P8610" s="14"/>
      <c r="Q8610" s="85"/>
      <c r="R8610" s="89"/>
    </row>
    <row r="8611" spans="13:18" x14ac:dyDescent="0.25">
      <c r="M8611" s="9"/>
      <c r="N8611" s="9"/>
      <c r="P8611" s="14"/>
      <c r="Q8611" s="85"/>
      <c r="R8611" s="89"/>
    </row>
    <row r="8612" spans="13:18" x14ac:dyDescent="0.25">
      <c r="M8612" s="9"/>
      <c r="N8612" s="9"/>
      <c r="P8612" s="14"/>
      <c r="Q8612" s="85"/>
      <c r="R8612" s="89"/>
    </row>
    <row r="8613" spans="13:18" x14ac:dyDescent="0.25">
      <c r="M8613" s="9"/>
      <c r="N8613" s="9"/>
      <c r="P8613" s="14"/>
      <c r="Q8613" s="85"/>
      <c r="R8613" s="89"/>
    </row>
    <row r="8614" spans="13:18" x14ac:dyDescent="0.25">
      <c r="M8614" s="9"/>
      <c r="N8614" s="9"/>
      <c r="P8614" s="14"/>
      <c r="Q8614" s="85"/>
      <c r="R8614" s="89"/>
    </row>
    <row r="8615" spans="13:18" x14ac:dyDescent="0.25">
      <c r="M8615" s="9"/>
      <c r="N8615" s="9"/>
      <c r="P8615" s="14"/>
      <c r="Q8615" s="85"/>
      <c r="R8615" s="89"/>
    </row>
    <row r="8616" spans="13:18" x14ac:dyDescent="0.25">
      <c r="M8616" s="9"/>
      <c r="N8616" s="9"/>
      <c r="P8616" s="14"/>
      <c r="Q8616" s="85"/>
      <c r="R8616" s="89"/>
    </row>
    <row r="8617" spans="13:18" x14ac:dyDescent="0.25">
      <c r="M8617" s="9"/>
      <c r="N8617" s="9"/>
      <c r="P8617" s="14"/>
      <c r="Q8617" s="85"/>
      <c r="R8617" s="89"/>
    </row>
    <row r="8618" spans="13:18" x14ac:dyDescent="0.25">
      <c r="M8618" s="9"/>
      <c r="N8618" s="9"/>
      <c r="P8618" s="14"/>
      <c r="Q8618" s="85"/>
      <c r="R8618" s="89"/>
    </row>
    <row r="8619" spans="13:18" x14ac:dyDescent="0.25">
      <c r="M8619" s="9"/>
      <c r="N8619" s="9"/>
      <c r="P8619" s="14"/>
      <c r="Q8619" s="85"/>
      <c r="R8619" s="89"/>
    </row>
    <row r="8620" spans="13:18" x14ac:dyDescent="0.25">
      <c r="M8620" s="9"/>
      <c r="N8620" s="9"/>
      <c r="P8620" s="14"/>
      <c r="Q8620" s="85"/>
      <c r="R8620" s="89"/>
    </row>
    <row r="8621" spans="13:18" x14ac:dyDescent="0.25">
      <c r="M8621" s="9"/>
      <c r="N8621" s="9"/>
      <c r="P8621" s="14"/>
      <c r="Q8621" s="85"/>
      <c r="R8621" s="89"/>
    </row>
    <row r="8622" spans="13:18" x14ac:dyDescent="0.25">
      <c r="M8622" s="9"/>
      <c r="N8622" s="9"/>
      <c r="P8622" s="14"/>
      <c r="Q8622" s="85"/>
      <c r="R8622" s="89"/>
    </row>
    <row r="8623" spans="13:18" x14ac:dyDescent="0.25">
      <c r="M8623" s="9"/>
      <c r="N8623" s="9"/>
      <c r="P8623" s="14"/>
      <c r="Q8623" s="85"/>
      <c r="R8623" s="89"/>
    </row>
    <row r="8624" spans="13:18" x14ac:dyDescent="0.25">
      <c r="M8624" s="9"/>
      <c r="N8624" s="9"/>
      <c r="P8624" s="14"/>
      <c r="Q8624" s="85"/>
      <c r="R8624" s="89"/>
    </row>
    <row r="8625" spans="13:18" x14ac:dyDescent="0.25">
      <c r="M8625" s="9"/>
      <c r="N8625" s="9"/>
      <c r="P8625" s="14"/>
      <c r="Q8625" s="85"/>
      <c r="R8625" s="89"/>
    </row>
    <row r="8626" spans="13:18" x14ac:dyDescent="0.25">
      <c r="M8626" s="9"/>
      <c r="N8626" s="9"/>
      <c r="P8626" s="14"/>
      <c r="Q8626" s="85"/>
      <c r="R8626" s="89"/>
    </row>
    <row r="8627" spans="13:18" x14ac:dyDescent="0.25">
      <c r="M8627" s="9"/>
      <c r="N8627" s="9"/>
      <c r="P8627" s="14"/>
      <c r="Q8627" s="85"/>
      <c r="R8627" s="89"/>
    </row>
    <row r="8628" spans="13:18" x14ac:dyDescent="0.25">
      <c r="M8628" s="9"/>
      <c r="N8628" s="9"/>
      <c r="P8628" s="14"/>
      <c r="Q8628" s="85"/>
      <c r="R8628" s="89"/>
    </row>
    <row r="8629" spans="13:18" x14ac:dyDescent="0.25">
      <c r="M8629" s="9"/>
      <c r="N8629" s="9"/>
      <c r="P8629" s="14"/>
      <c r="Q8629" s="85"/>
      <c r="R8629" s="89"/>
    </row>
    <row r="8630" spans="13:18" x14ac:dyDescent="0.25">
      <c r="M8630" s="9"/>
      <c r="N8630" s="9"/>
      <c r="P8630" s="14"/>
      <c r="Q8630" s="85"/>
      <c r="R8630" s="89"/>
    </row>
    <row r="8631" spans="13:18" x14ac:dyDescent="0.25">
      <c r="M8631" s="9"/>
      <c r="N8631" s="9"/>
      <c r="P8631" s="14"/>
      <c r="Q8631" s="85"/>
      <c r="R8631" s="89"/>
    </row>
    <row r="8632" spans="13:18" x14ac:dyDescent="0.25">
      <c r="M8632" s="9"/>
      <c r="N8632" s="9"/>
      <c r="P8632" s="14"/>
      <c r="Q8632" s="85"/>
      <c r="R8632" s="89"/>
    </row>
    <row r="8633" spans="13:18" x14ac:dyDescent="0.25">
      <c r="M8633" s="9"/>
      <c r="N8633" s="9"/>
      <c r="P8633" s="14"/>
      <c r="Q8633" s="85"/>
      <c r="R8633" s="89"/>
    </row>
    <row r="8634" spans="13:18" x14ac:dyDescent="0.25">
      <c r="M8634" s="9"/>
      <c r="N8634" s="9"/>
      <c r="P8634" s="14"/>
      <c r="Q8634" s="85"/>
      <c r="R8634" s="89"/>
    </row>
    <row r="8635" spans="13:18" x14ac:dyDescent="0.25">
      <c r="M8635" s="9"/>
      <c r="N8635" s="9"/>
      <c r="P8635" s="14"/>
      <c r="Q8635" s="85"/>
      <c r="R8635" s="89"/>
    </row>
    <row r="8636" spans="13:18" x14ac:dyDescent="0.25">
      <c r="M8636" s="9"/>
      <c r="N8636" s="9"/>
      <c r="P8636" s="14"/>
      <c r="Q8636" s="85"/>
      <c r="R8636" s="89"/>
    </row>
    <row r="8637" spans="13:18" x14ac:dyDescent="0.25">
      <c r="M8637" s="9"/>
      <c r="N8637" s="9"/>
      <c r="P8637" s="14"/>
      <c r="Q8637" s="85"/>
      <c r="R8637" s="89"/>
    </row>
    <row r="8638" spans="13:18" x14ac:dyDescent="0.25">
      <c r="M8638" s="9"/>
      <c r="N8638" s="9"/>
      <c r="P8638" s="14"/>
      <c r="Q8638" s="85"/>
      <c r="R8638" s="89"/>
    </row>
    <row r="8639" spans="13:18" x14ac:dyDescent="0.25">
      <c r="M8639" s="9"/>
      <c r="N8639" s="9"/>
      <c r="P8639" s="14"/>
      <c r="Q8639" s="85"/>
      <c r="R8639" s="89"/>
    </row>
    <row r="8640" spans="13:18" x14ac:dyDescent="0.25">
      <c r="M8640" s="9"/>
      <c r="N8640" s="9"/>
      <c r="P8640" s="14"/>
      <c r="Q8640" s="85"/>
      <c r="R8640" s="89"/>
    </row>
    <row r="8641" spans="13:18" x14ac:dyDescent="0.25">
      <c r="M8641" s="9"/>
      <c r="N8641" s="9"/>
      <c r="P8641" s="14"/>
      <c r="Q8641" s="85"/>
      <c r="R8641" s="89"/>
    </row>
    <row r="8642" spans="13:18" x14ac:dyDescent="0.25">
      <c r="M8642" s="9"/>
      <c r="N8642" s="9"/>
      <c r="P8642" s="14"/>
      <c r="Q8642" s="85"/>
      <c r="R8642" s="89"/>
    </row>
    <row r="8643" spans="13:18" x14ac:dyDescent="0.25">
      <c r="M8643" s="9"/>
      <c r="N8643" s="9"/>
      <c r="P8643" s="14"/>
      <c r="Q8643" s="85"/>
      <c r="R8643" s="89"/>
    </row>
    <row r="8644" spans="13:18" x14ac:dyDescent="0.25">
      <c r="M8644" s="9"/>
      <c r="N8644" s="9"/>
      <c r="P8644" s="14"/>
      <c r="Q8644" s="85"/>
      <c r="R8644" s="89"/>
    </row>
    <row r="8645" spans="13:18" x14ac:dyDescent="0.25">
      <c r="M8645" s="9"/>
      <c r="N8645" s="9"/>
      <c r="P8645" s="14"/>
      <c r="Q8645" s="85"/>
      <c r="R8645" s="89"/>
    </row>
    <row r="8646" spans="13:18" x14ac:dyDescent="0.25">
      <c r="M8646" s="9"/>
      <c r="N8646" s="9"/>
      <c r="P8646" s="14"/>
      <c r="Q8646" s="85"/>
      <c r="R8646" s="89"/>
    </row>
    <row r="8647" spans="13:18" x14ac:dyDescent="0.25">
      <c r="M8647" s="9"/>
      <c r="N8647" s="9"/>
      <c r="P8647" s="14"/>
      <c r="Q8647" s="85"/>
      <c r="R8647" s="89"/>
    </row>
    <row r="8648" spans="13:18" x14ac:dyDescent="0.25">
      <c r="M8648" s="9"/>
      <c r="N8648" s="9"/>
      <c r="P8648" s="14"/>
      <c r="Q8648" s="85"/>
      <c r="R8648" s="89"/>
    </row>
    <row r="8649" spans="13:18" x14ac:dyDescent="0.25">
      <c r="M8649" s="9"/>
      <c r="N8649" s="9"/>
      <c r="P8649" s="14"/>
      <c r="Q8649" s="85"/>
      <c r="R8649" s="89"/>
    </row>
    <row r="8650" spans="13:18" x14ac:dyDescent="0.25">
      <c r="M8650" s="9"/>
      <c r="N8650" s="9"/>
      <c r="P8650" s="14"/>
      <c r="Q8650" s="85"/>
      <c r="R8650" s="89"/>
    </row>
    <row r="8651" spans="13:18" x14ac:dyDescent="0.25">
      <c r="M8651" s="9"/>
      <c r="N8651" s="9"/>
      <c r="P8651" s="14"/>
      <c r="Q8651" s="85"/>
      <c r="R8651" s="89"/>
    </row>
    <row r="8652" spans="13:18" x14ac:dyDescent="0.25">
      <c r="M8652" s="9"/>
      <c r="N8652" s="9"/>
      <c r="P8652" s="14"/>
      <c r="Q8652" s="85"/>
      <c r="R8652" s="89"/>
    </row>
    <row r="8653" spans="13:18" x14ac:dyDescent="0.25">
      <c r="M8653" s="9"/>
      <c r="N8653" s="9"/>
      <c r="P8653" s="14"/>
      <c r="Q8653" s="85"/>
      <c r="R8653" s="89"/>
    </row>
    <row r="8654" spans="13:18" x14ac:dyDescent="0.25">
      <c r="M8654" s="9"/>
      <c r="N8654" s="9"/>
      <c r="P8654" s="14"/>
      <c r="Q8654" s="85"/>
      <c r="R8654" s="89"/>
    </row>
    <row r="8655" spans="13:18" x14ac:dyDescent="0.25">
      <c r="M8655" s="9"/>
      <c r="N8655" s="9"/>
      <c r="P8655" s="14"/>
      <c r="Q8655" s="85"/>
      <c r="R8655" s="89"/>
    </row>
    <row r="8656" spans="13:18" x14ac:dyDescent="0.25">
      <c r="M8656" s="9"/>
      <c r="N8656" s="9"/>
      <c r="P8656" s="14"/>
      <c r="Q8656" s="85"/>
      <c r="R8656" s="89"/>
    </row>
    <row r="8657" spans="13:18" x14ac:dyDescent="0.25">
      <c r="M8657" s="9"/>
      <c r="N8657" s="9"/>
      <c r="P8657" s="14"/>
      <c r="Q8657" s="85"/>
      <c r="R8657" s="89"/>
    </row>
    <row r="8658" spans="13:18" x14ac:dyDescent="0.25">
      <c r="M8658" s="9"/>
      <c r="N8658" s="9"/>
      <c r="P8658" s="14"/>
      <c r="Q8658" s="85"/>
      <c r="R8658" s="89"/>
    </row>
    <row r="8659" spans="13:18" x14ac:dyDescent="0.25">
      <c r="M8659" s="9"/>
      <c r="N8659" s="9"/>
      <c r="P8659" s="14"/>
      <c r="Q8659" s="85"/>
      <c r="R8659" s="89"/>
    </row>
    <row r="8660" spans="13:18" x14ac:dyDescent="0.25">
      <c r="M8660" s="9"/>
      <c r="N8660" s="9"/>
      <c r="P8660" s="14"/>
      <c r="Q8660" s="85"/>
      <c r="R8660" s="89"/>
    </row>
    <row r="8661" spans="13:18" x14ac:dyDescent="0.25">
      <c r="M8661" s="9"/>
      <c r="N8661" s="9"/>
      <c r="P8661" s="14"/>
      <c r="Q8661" s="85"/>
      <c r="R8661" s="89"/>
    </row>
    <row r="8662" spans="13:18" x14ac:dyDescent="0.25">
      <c r="M8662" s="9"/>
      <c r="N8662" s="9"/>
      <c r="P8662" s="14"/>
      <c r="Q8662" s="85"/>
      <c r="R8662" s="89"/>
    </row>
    <row r="8663" spans="13:18" x14ac:dyDescent="0.25">
      <c r="M8663" s="9"/>
      <c r="N8663" s="9"/>
      <c r="P8663" s="14"/>
      <c r="Q8663" s="85"/>
      <c r="R8663" s="89"/>
    </row>
    <row r="8664" spans="13:18" x14ac:dyDescent="0.25">
      <c r="M8664" s="9"/>
      <c r="N8664" s="9"/>
      <c r="P8664" s="14"/>
      <c r="Q8664" s="85"/>
      <c r="R8664" s="89"/>
    </row>
    <row r="8665" spans="13:18" x14ac:dyDescent="0.25">
      <c r="M8665" s="9"/>
      <c r="N8665" s="9"/>
      <c r="P8665" s="14"/>
      <c r="Q8665" s="85"/>
      <c r="R8665" s="89"/>
    </row>
    <row r="8666" spans="13:18" x14ac:dyDescent="0.25">
      <c r="M8666" s="9"/>
      <c r="N8666" s="9"/>
      <c r="P8666" s="14"/>
      <c r="Q8666" s="85"/>
      <c r="R8666" s="89"/>
    </row>
    <row r="8667" spans="13:18" x14ac:dyDescent="0.25">
      <c r="M8667" s="9"/>
      <c r="N8667" s="9"/>
      <c r="P8667" s="14"/>
      <c r="Q8667" s="85"/>
      <c r="R8667" s="89"/>
    </row>
    <row r="8668" spans="13:18" x14ac:dyDescent="0.25">
      <c r="M8668" s="9"/>
      <c r="N8668" s="9"/>
      <c r="P8668" s="14"/>
      <c r="Q8668" s="85"/>
      <c r="R8668" s="89"/>
    </row>
    <row r="8669" spans="13:18" x14ac:dyDescent="0.25">
      <c r="M8669" s="9"/>
      <c r="N8669" s="9"/>
      <c r="P8669" s="14"/>
      <c r="Q8669" s="85"/>
      <c r="R8669" s="89"/>
    </row>
    <row r="8670" spans="13:18" x14ac:dyDescent="0.25">
      <c r="M8670" s="9"/>
      <c r="N8670" s="9"/>
      <c r="P8670" s="14"/>
      <c r="Q8670" s="85"/>
      <c r="R8670" s="89"/>
    </row>
    <row r="8671" spans="13:18" x14ac:dyDescent="0.25">
      <c r="M8671" s="9"/>
      <c r="N8671" s="9"/>
      <c r="P8671" s="14"/>
      <c r="Q8671" s="85"/>
      <c r="R8671" s="89"/>
    </row>
    <row r="8672" spans="13:18" x14ac:dyDescent="0.25">
      <c r="M8672" s="9"/>
      <c r="N8672" s="9"/>
      <c r="P8672" s="14"/>
      <c r="Q8672" s="85"/>
      <c r="R8672" s="89"/>
    </row>
    <row r="8673" spans="13:18" x14ac:dyDescent="0.25">
      <c r="M8673" s="9"/>
      <c r="N8673" s="9"/>
      <c r="P8673" s="14"/>
      <c r="Q8673" s="85"/>
      <c r="R8673" s="89"/>
    </row>
    <row r="8674" spans="13:18" x14ac:dyDescent="0.25">
      <c r="M8674" s="9"/>
      <c r="N8674" s="9"/>
      <c r="P8674" s="14"/>
      <c r="Q8674" s="85"/>
      <c r="R8674" s="89"/>
    </row>
    <row r="8675" spans="13:18" x14ac:dyDescent="0.25">
      <c r="M8675" s="9"/>
      <c r="N8675" s="9"/>
      <c r="P8675" s="14"/>
      <c r="Q8675" s="85"/>
      <c r="R8675" s="89"/>
    </row>
    <row r="8676" spans="13:18" x14ac:dyDescent="0.25">
      <c r="M8676" s="9"/>
      <c r="N8676" s="9"/>
      <c r="P8676" s="14"/>
      <c r="Q8676" s="85"/>
      <c r="R8676" s="89"/>
    </row>
    <row r="8677" spans="13:18" x14ac:dyDescent="0.25">
      <c r="M8677" s="9"/>
      <c r="N8677" s="9"/>
      <c r="P8677" s="14"/>
      <c r="Q8677" s="85"/>
      <c r="R8677" s="89"/>
    </row>
    <row r="8678" spans="13:18" x14ac:dyDescent="0.25">
      <c r="M8678" s="9"/>
      <c r="N8678" s="9"/>
      <c r="P8678" s="14"/>
      <c r="Q8678" s="85"/>
      <c r="R8678" s="89"/>
    </row>
    <row r="8679" spans="13:18" x14ac:dyDescent="0.25">
      <c r="M8679" s="9"/>
      <c r="N8679" s="9"/>
      <c r="P8679" s="14"/>
      <c r="Q8679" s="85"/>
      <c r="R8679" s="89"/>
    </row>
    <row r="8680" spans="13:18" x14ac:dyDescent="0.25">
      <c r="M8680" s="9"/>
      <c r="N8680" s="9"/>
      <c r="P8680" s="14"/>
      <c r="Q8680" s="85"/>
      <c r="R8680" s="89"/>
    </row>
    <row r="8681" spans="13:18" x14ac:dyDescent="0.25">
      <c r="M8681" s="9"/>
      <c r="N8681" s="9"/>
      <c r="P8681" s="14"/>
      <c r="Q8681" s="85"/>
      <c r="R8681" s="89"/>
    </row>
    <row r="8682" spans="13:18" x14ac:dyDescent="0.25">
      <c r="M8682" s="9"/>
      <c r="N8682" s="9"/>
      <c r="P8682" s="14"/>
      <c r="Q8682" s="85"/>
      <c r="R8682" s="89"/>
    </row>
    <row r="8683" spans="13:18" x14ac:dyDescent="0.25">
      <c r="M8683" s="9"/>
      <c r="N8683" s="9"/>
      <c r="P8683" s="14"/>
      <c r="Q8683" s="85"/>
      <c r="R8683" s="89"/>
    </row>
    <row r="8684" spans="13:18" x14ac:dyDescent="0.25">
      <c r="M8684" s="9"/>
      <c r="N8684" s="9"/>
      <c r="P8684" s="14"/>
      <c r="Q8684" s="85"/>
      <c r="R8684" s="89"/>
    </row>
    <row r="8685" spans="13:18" x14ac:dyDescent="0.25">
      <c r="M8685" s="9"/>
      <c r="N8685" s="9"/>
      <c r="P8685" s="14"/>
      <c r="Q8685" s="85"/>
      <c r="R8685" s="89"/>
    </row>
    <row r="8686" spans="13:18" x14ac:dyDescent="0.25">
      <c r="M8686" s="9"/>
      <c r="N8686" s="9"/>
      <c r="P8686" s="14"/>
      <c r="Q8686" s="85"/>
      <c r="R8686" s="89"/>
    </row>
    <row r="8687" spans="13:18" x14ac:dyDescent="0.25">
      <c r="M8687" s="9"/>
      <c r="N8687" s="9"/>
      <c r="P8687" s="14"/>
      <c r="Q8687" s="85"/>
      <c r="R8687" s="89"/>
    </row>
    <row r="8688" spans="13:18" x14ac:dyDescent="0.25">
      <c r="M8688" s="9"/>
      <c r="N8688" s="9"/>
      <c r="P8688" s="14"/>
      <c r="Q8688" s="85"/>
      <c r="R8688" s="89"/>
    </row>
    <row r="8689" spans="13:18" x14ac:dyDescent="0.25">
      <c r="M8689" s="9"/>
      <c r="N8689" s="9"/>
      <c r="P8689" s="14"/>
      <c r="Q8689" s="85"/>
      <c r="R8689" s="89"/>
    </row>
    <row r="8690" spans="13:18" x14ac:dyDescent="0.25">
      <c r="M8690" s="9"/>
      <c r="N8690" s="9"/>
      <c r="P8690" s="14"/>
      <c r="Q8690" s="85"/>
      <c r="R8690" s="89"/>
    </row>
    <row r="8691" spans="13:18" x14ac:dyDescent="0.25">
      <c r="M8691" s="9"/>
      <c r="N8691" s="9"/>
      <c r="P8691" s="14"/>
      <c r="Q8691" s="85"/>
      <c r="R8691" s="89"/>
    </row>
    <row r="8692" spans="13:18" x14ac:dyDescent="0.25">
      <c r="M8692" s="9"/>
      <c r="N8692" s="9"/>
      <c r="P8692" s="14"/>
      <c r="Q8692" s="85"/>
      <c r="R8692" s="89"/>
    </row>
    <row r="8693" spans="13:18" x14ac:dyDescent="0.25">
      <c r="M8693" s="9"/>
      <c r="N8693" s="9"/>
      <c r="P8693" s="14"/>
      <c r="Q8693" s="85"/>
      <c r="R8693" s="89"/>
    </row>
    <row r="8694" spans="13:18" x14ac:dyDescent="0.25">
      <c r="M8694" s="9"/>
      <c r="N8694" s="9"/>
      <c r="P8694" s="14"/>
      <c r="Q8694" s="85"/>
      <c r="R8694" s="89"/>
    </row>
    <row r="8695" spans="13:18" x14ac:dyDescent="0.25">
      <c r="M8695" s="9"/>
      <c r="N8695" s="9"/>
      <c r="P8695" s="14"/>
      <c r="Q8695" s="85"/>
      <c r="R8695" s="89"/>
    </row>
    <row r="8696" spans="13:18" x14ac:dyDescent="0.25">
      <c r="M8696" s="9"/>
      <c r="N8696" s="9"/>
      <c r="P8696" s="14"/>
      <c r="Q8696" s="85"/>
      <c r="R8696" s="89"/>
    </row>
    <row r="8697" spans="13:18" x14ac:dyDescent="0.25">
      <c r="M8697" s="9"/>
      <c r="N8697" s="9"/>
      <c r="P8697" s="14"/>
      <c r="Q8697" s="85"/>
      <c r="R8697" s="89"/>
    </row>
    <row r="8698" spans="13:18" x14ac:dyDescent="0.25">
      <c r="M8698" s="9"/>
      <c r="N8698" s="9"/>
      <c r="P8698" s="14"/>
      <c r="Q8698" s="85"/>
      <c r="R8698" s="89"/>
    </row>
    <row r="8699" spans="13:18" x14ac:dyDescent="0.25">
      <c r="M8699" s="9"/>
      <c r="N8699" s="9"/>
      <c r="P8699" s="14"/>
      <c r="Q8699" s="85"/>
      <c r="R8699" s="89"/>
    </row>
    <row r="8700" spans="13:18" x14ac:dyDescent="0.25">
      <c r="M8700" s="9"/>
      <c r="N8700" s="9"/>
      <c r="P8700" s="14"/>
      <c r="Q8700" s="85"/>
      <c r="R8700" s="89"/>
    </row>
    <row r="8701" spans="13:18" x14ac:dyDescent="0.25">
      <c r="M8701" s="9"/>
      <c r="N8701" s="9"/>
      <c r="P8701" s="14"/>
      <c r="Q8701" s="85"/>
      <c r="R8701" s="89"/>
    </row>
    <row r="8702" spans="13:18" x14ac:dyDescent="0.25">
      <c r="M8702" s="9"/>
      <c r="N8702" s="9"/>
      <c r="P8702" s="14"/>
      <c r="Q8702" s="85"/>
      <c r="R8702" s="89"/>
    </row>
    <row r="8703" spans="13:18" x14ac:dyDescent="0.25">
      <c r="M8703" s="9"/>
      <c r="N8703" s="9"/>
      <c r="P8703" s="14"/>
      <c r="Q8703" s="85"/>
      <c r="R8703" s="89"/>
    </row>
    <row r="8704" spans="13:18" x14ac:dyDescent="0.25">
      <c r="M8704" s="9"/>
      <c r="N8704" s="9"/>
      <c r="P8704" s="14"/>
      <c r="Q8704" s="85"/>
      <c r="R8704" s="89"/>
    </row>
    <row r="8705" spans="13:18" x14ac:dyDescent="0.25">
      <c r="M8705" s="9"/>
      <c r="N8705" s="9"/>
      <c r="P8705" s="14"/>
      <c r="Q8705" s="85"/>
      <c r="R8705" s="89"/>
    </row>
    <row r="8706" spans="13:18" x14ac:dyDescent="0.25">
      <c r="M8706" s="9"/>
      <c r="N8706" s="9"/>
      <c r="P8706" s="14"/>
      <c r="Q8706" s="85"/>
      <c r="R8706" s="89"/>
    </row>
    <row r="8707" spans="13:18" x14ac:dyDescent="0.25">
      <c r="M8707" s="9"/>
      <c r="N8707" s="9"/>
      <c r="P8707" s="14"/>
      <c r="Q8707" s="85"/>
      <c r="R8707" s="89"/>
    </row>
    <row r="8708" spans="13:18" x14ac:dyDescent="0.25">
      <c r="M8708" s="9"/>
      <c r="N8708" s="9"/>
      <c r="P8708" s="14"/>
      <c r="Q8708" s="85"/>
      <c r="R8708" s="89"/>
    </row>
    <row r="8709" spans="13:18" x14ac:dyDescent="0.25">
      <c r="M8709" s="9"/>
      <c r="N8709" s="9"/>
      <c r="P8709" s="14"/>
      <c r="Q8709" s="85"/>
      <c r="R8709" s="89"/>
    </row>
    <row r="8710" spans="13:18" x14ac:dyDescent="0.25">
      <c r="M8710" s="9"/>
      <c r="N8710" s="9"/>
      <c r="P8710" s="14"/>
      <c r="Q8710" s="85"/>
      <c r="R8710" s="89"/>
    </row>
    <row r="8711" spans="13:18" x14ac:dyDescent="0.25">
      <c r="M8711" s="9"/>
      <c r="N8711" s="9"/>
      <c r="P8711" s="14"/>
      <c r="Q8711" s="85"/>
      <c r="R8711" s="89"/>
    </row>
    <row r="8712" spans="13:18" x14ac:dyDescent="0.25">
      <c r="M8712" s="9"/>
      <c r="N8712" s="9"/>
      <c r="P8712" s="14"/>
      <c r="Q8712" s="85"/>
      <c r="R8712" s="89"/>
    </row>
    <row r="8713" spans="13:18" x14ac:dyDescent="0.25">
      <c r="M8713" s="9"/>
      <c r="N8713" s="9"/>
      <c r="P8713" s="14"/>
      <c r="Q8713" s="85"/>
      <c r="R8713" s="89"/>
    </row>
    <row r="8714" spans="13:18" x14ac:dyDescent="0.25">
      <c r="M8714" s="9"/>
      <c r="N8714" s="9"/>
      <c r="P8714" s="14"/>
      <c r="Q8714" s="85"/>
      <c r="R8714" s="89"/>
    </row>
    <row r="8715" spans="13:18" x14ac:dyDescent="0.25">
      <c r="M8715" s="9"/>
      <c r="N8715" s="9"/>
      <c r="P8715" s="14"/>
      <c r="Q8715" s="85"/>
      <c r="R8715" s="89"/>
    </row>
    <row r="8716" spans="13:18" x14ac:dyDescent="0.25">
      <c r="M8716" s="9"/>
      <c r="N8716" s="9"/>
      <c r="P8716" s="14"/>
      <c r="Q8716" s="85"/>
      <c r="R8716" s="89"/>
    </row>
    <row r="8717" spans="13:18" x14ac:dyDescent="0.25">
      <c r="M8717" s="9"/>
      <c r="N8717" s="9"/>
      <c r="P8717" s="14"/>
      <c r="Q8717" s="85"/>
      <c r="R8717" s="89"/>
    </row>
    <row r="8718" spans="13:18" x14ac:dyDescent="0.25">
      <c r="M8718" s="9"/>
      <c r="N8718" s="9"/>
      <c r="P8718" s="14"/>
      <c r="Q8718" s="85"/>
      <c r="R8718" s="89"/>
    </row>
    <row r="8719" spans="13:18" x14ac:dyDescent="0.25">
      <c r="M8719" s="9"/>
      <c r="N8719" s="9"/>
      <c r="P8719" s="14"/>
      <c r="Q8719" s="85"/>
      <c r="R8719" s="89"/>
    </row>
    <row r="8720" spans="13:18" x14ac:dyDescent="0.25">
      <c r="M8720" s="9"/>
      <c r="N8720" s="9"/>
      <c r="P8720" s="14"/>
      <c r="Q8720" s="85"/>
      <c r="R8720" s="89"/>
    </row>
    <row r="8721" spans="13:18" x14ac:dyDescent="0.25">
      <c r="M8721" s="9"/>
      <c r="N8721" s="9"/>
      <c r="P8721" s="14"/>
      <c r="Q8721" s="85"/>
      <c r="R8721" s="89"/>
    </row>
    <row r="8722" spans="13:18" x14ac:dyDescent="0.25">
      <c r="M8722" s="9"/>
      <c r="N8722" s="9"/>
      <c r="P8722" s="14"/>
      <c r="Q8722" s="85"/>
      <c r="R8722" s="89"/>
    </row>
    <row r="8723" spans="13:18" x14ac:dyDescent="0.25">
      <c r="M8723" s="9"/>
      <c r="N8723" s="9"/>
      <c r="P8723" s="14"/>
      <c r="Q8723" s="85"/>
      <c r="R8723" s="89"/>
    </row>
    <row r="8724" spans="13:18" x14ac:dyDescent="0.25">
      <c r="M8724" s="9"/>
      <c r="N8724" s="9"/>
      <c r="P8724" s="14"/>
      <c r="Q8724" s="85"/>
      <c r="R8724" s="89"/>
    </row>
    <row r="8725" spans="13:18" x14ac:dyDescent="0.25">
      <c r="M8725" s="9"/>
      <c r="N8725" s="9"/>
      <c r="P8725" s="14"/>
      <c r="Q8725" s="85"/>
      <c r="R8725" s="89"/>
    </row>
    <row r="8726" spans="13:18" x14ac:dyDescent="0.25">
      <c r="M8726" s="9"/>
      <c r="N8726" s="9"/>
      <c r="P8726" s="14"/>
      <c r="Q8726" s="85"/>
      <c r="R8726" s="89"/>
    </row>
    <row r="8727" spans="13:18" x14ac:dyDescent="0.25">
      <c r="M8727" s="9"/>
      <c r="N8727" s="9"/>
      <c r="P8727" s="14"/>
      <c r="Q8727" s="85"/>
      <c r="R8727" s="89"/>
    </row>
    <row r="8728" spans="13:18" x14ac:dyDescent="0.25">
      <c r="M8728" s="9"/>
      <c r="N8728" s="9"/>
      <c r="P8728" s="14"/>
      <c r="Q8728" s="85"/>
      <c r="R8728" s="89"/>
    </row>
    <row r="8729" spans="13:18" x14ac:dyDescent="0.25">
      <c r="M8729" s="9"/>
      <c r="N8729" s="9"/>
      <c r="P8729" s="14"/>
      <c r="Q8729" s="85"/>
      <c r="R8729" s="89"/>
    </row>
    <row r="8730" spans="13:18" x14ac:dyDescent="0.25">
      <c r="M8730" s="9"/>
      <c r="N8730" s="9"/>
      <c r="P8730" s="14"/>
      <c r="Q8730" s="85"/>
      <c r="R8730" s="89"/>
    </row>
    <row r="8731" spans="13:18" x14ac:dyDescent="0.25">
      <c r="M8731" s="9"/>
      <c r="N8731" s="9"/>
      <c r="P8731" s="14"/>
      <c r="Q8731" s="85"/>
      <c r="R8731" s="89"/>
    </row>
    <row r="8732" spans="13:18" x14ac:dyDescent="0.25">
      <c r="M8732" s="9"/>
      <c r="N8732" s="9"/>
      <c r="P8732" s="14"/>
      <c r="Q8732" s="85"/>
      <c r="R8732" s="89"/>
    </row>
    <row r="8733" spans="13:18" x14ac:dyDescent="0.25">
      <c r="M8733" s="9"/>
      <c r="N8733" s="9"/>
      <c r="P8733" s="14"/>
      <c r="Q8733" s="85"/>
      <c r="R8733" s="89"/>
    </row>
    <row r="8734" spans="13:18" x14ac:dyDescent="0.25">
      <c r="M8734" s="9"/>
      <c r="N8734" s="9"/>
      <c r="P8734" s="14"/>
      <c r="Q8734" s="85"/>
      <c r="R8734" s="89"/>
    </row>
    <row r="8735" spans="13:18" x14ac:dyDescent="0.25">
      <c r="M8735" s="9"/>
      <c r="N8735" s="9"/>
      <c r="P8735" s="14"/>
      <c r="Q8735" s="85"/>
      <c r="R8735" s="89"/>
    </row>
    <row r="8736" spans="13:18" x14ac:dyDescent="0.25">
      <c r="M8736" s="9"/>
      <c r="N8736" s="9"/>
      <c r="P8736" s="14"/>
      <c r="Q8736" s="85"/>
      <c r="R8736" s="89"/>
    </row>
    <row r="8737" spans="13:18" x14ac:dyDescent="0.25">
      <c r="M8737" s="9"/>
      <c r="N8737" s="9"/>
      <c r="P8737" s="14"/>
      <c r="Q8737" s="85"/>
      <c r="R8737" s="89"/>
    </row>
    <row r="8738" spans="13:18" x14ac:dyDescent="0.25">
      <c r="M8738" s="9"/>
      <c r="N8738" s="9"/>
      <c r="P8738" s="14"/>
      <c r="Q8738" s="85"/>
      <c r="R8738" s="89"/>
    </row>
    <row r="8739" spans="13:18" x14ac:dyDescent="0.25">
      <c r="M8739" s="9"/>
      <c r="N8739" s="9"/>
      <c r="P8739" s="14"/>
      <c r="Q8739" s="85"/>
      <c r="R8739" s="89"/>
    </row>
    <row r="8740" spans="13:18" x14ac:dyDescent="0.25">
      <c r="M8740" s="9"/>
      <c r="N8740" s="9"/>
      <c r="P8740" s="14"/>
      <c r="Q8740" s="85"/>
      <c r="R8740" s="89"/>
    </row>
    <row r="8741" spans="13:18" x14ac:dyDescent="0.25">
      <c r="M8741" s="9"/>
      <c r="N8741" s="9"/>
      <c r="P8741" s="14"/>
      <c r="Q8741" s="85"/>
      <c r="R8741" s="89"/>
    </row>
    <row r="8742" spans="13:18" x14ac:dyDescent="0.25">
      <c r="M8742" s="9"/>
      <c r="N8742" s="9"/>
      <c r="P8742" s="14"/>
      <c r="Q8742" s="85"/>
      <c r="R8742" s="89"/>
    </row>
    <row r="8743" spans="13:18" x14ac:dyDescent="0.25">
      <c r="M8743" s="9"/>
      <c r="N8743" s="9"/>
      <c r="P8743" s="14"/>
      <c r="Q8743" s="85"/>
      <c r="R8743" s="89"/>
    </row>
    <row r="8744" spans="13:18" x14ac:dyDescent="0.25">
      <c r="M8744" s="9"/>
      <c r="N8744" s="9"/>
      <c r="P8744" s="14"/>
      <c r="Q8744" s="85"/>
      <c r="R8744" s="89"/>
    </row>
    <row r="8745" spans="13:18" x14ac:dyDescent="0.25">
      <c r="M8745" s="9"/>
      <c r="N8745" s="9"/>
      <c r="P8745" s="14"/>
      <c r="Q8745" s="85"/>
      <c r="R8745" s="89"/>
    </row>
    <row r="8746" spans="13:18" x14ac:dyDescent="0.25">
      <c r="M8746" s="9"/>
      <c r="N8746" s="9"/>
      <c r="P8746" s="14"/>
      <c r="Q8746" s="85"/>
      <c r="R8746" s="89"/>
    </row>
    <row r="8747" spans="13:18" x14ac:dyDescent="0.25">
      <c r="M8747" s="9"/>
      <c r="N8747" s="9"/>
      <c r="P8747" s="14"/>
      <c r="Q8747" s="85"/>
      <c r="R8747" s="89"/>
    </row>
    <row r="8748" spans="13:18" x14ac:dyDescent="0.25">
      <c r="M8748" s="9"/>
      <c r="N8748" s="9"/>
      <c r="P8748" s="14"/>
      <c r="Q8748" s="85"/>
      <c r="R8748" s="89"/>
    </row>
    <row r="8749" spans="13:18" x14ac:dyDescent="0.25">
      <c r="M8749" s="9"/>
      <c r="N8749" s="9"/>
      <c r="P8749" s="14"/>
      <c r="Q8749" s="85"/>
      <c r="R8749" s="89"/>
    </row>
    <row r="8750" spans="13:18" x14ac:dyDescent="0.25">
      <c r="M8750" s="9"/>
      <c r="N8750" s="9"/>
      <c r="P8750" s="14"/>
      <c r="Q8750" s="85"/>
      <c r="R8750" s="89"/>
    </row>
    <row r="8751" spans="13:18" x14ac:dyDescent="0.25">
      <c r="M8751" s="9"/>
      <c r="N8751" s="9"/>
      <c r="P8751" s="14"/>
      <c r="Q8751" s="85"/>
      <c r="R8751" s="89"/>
    </row>
    <row r="8752" spans="13:18" x14ac:dyDescent="0.25">
      <c r="M8752" s="9"/>
      <c r="N8752" s="9"/>
      <c r="P8752" s="14"/>
      <c r="Q8752" s="85"/>
      <c r="R8752" s="89"/>
    </row>
    <row r="8753" spans="13:18" x14ac:dyDescent="0.25">
      <c r="M8753" s="9"/>
      <c r="N8753" s="9"/>
      <c r="P8753" s="14"/>
      <c r="Q8753" s="85"/>
      <c r="R8753" s="89"/>
    </row>
    <row r="8754" spans="13:18" x14ac:dyDescent="0.25">
      <c r="M8754" s="9"/>
      <c r="N8754" s="9"/>
      <c r="P8754" s="14"/>
      <c r="Q8754" s="85"/>
      <c r="R8754" s="89"/>
    </row>
    <row r="8755" spans="13:18" x14ac:dyDescent="0.25">
      <c r="M8755" s="9"/>
      <c r="N8755" s="9"/>
      <c r="P8755" s="14"/>
      <c r="Q8755" s="85"/>
      <c r="R8755" s="89"/>
    </row>
    <row r="8756" spans="13:18" x14ac:dyDescent="0.25">
      <c r="M8756" s="9"/>
      <c r="N8756" s="9"/>
      <c r="P8756" s="14"/>
      <c r="Q8756" s="85"/>
      <c r="R8756" s="89"/>
    </row>
    <row r="8757" spans="13:18" x14ac:dyDescent="0.25">
      <c r="M8757" s="9"/>
      <c r="N8757" s="9"/>
      <c r="P8757" s="14"/>
      <c r="Q8757" s="85"/>
      <c r="R8757" s="89"/>
    </row>
    <row r="8758" spans="13:18" x14ac:dyDescent="0.25">
      <c r="M8758" s="9"/>
      <c r="N8758" s="9"/>
      <c r="P8758" s="14"/>
      <c r="Q8758" s="85"/>
      <c r="R8758" s="89"/>
    </row>
    <row r="8759" spans="13:18" x14ac:dyDescent="0.25">
      <c r="M8759" s="9"/>
      <c r="N8759" s="9"/>
      <c r="P8759" s="14"/>
      <c r="Q8759" s="85"/>
      <c r="R8759" s="89"/>
    </row>
    <row r="8760" spans="13:18" x14ac:dyDescent="0.25">
      <c r="M8760" s="9"/>
      <c r="N8760" s="9"/>
      <c r="P8760" s="14"/>
      <c r="Q8760" s="85"/>
      <c r="R8760" s="89"/>
    </row>
    <row r="8761" spans="13:18" x14ac:dyDescent="0.25">
      <c r="M8761" s="9"/>
      <c r="N8761" s="9"/>
      <c r="P8761" s="14"/>
      <c r="Q8761" s="85"/>
      <c r="R8761" s="89"/>
    </row>
    <row r="8762" spans="13:18" x14ac:dyDescent="0.25">
      <c r="M8762" s="9"/>
      <c r="N8762" s="9"/>
      <c r="P8762" s="14"/>
      <c r="Q8762" s="85"/>
      <c r="R8762" s="89"/>
    </row>
    <row r="8763" spans="13:18" x14ac:dyDescent="0.25">
      <c r="M8763" s="9"/>
      <c r="N8763" s="9"/>
      <c r="P8763" s="14"/>
      <c r="Q8763" s="85"/>
      <c r="R8763" s="89"/>
    </row>
    <row r="8764" spans="13:18" x14ac:dyDescent="0.25">
      <c r="M8764" s="9"/>
      <c r="N8764" s="9"/>
      <c r="P8764" s="14"/>
      <c r="Q8764" s="85"/>
      <c r="R8764" s="89"/>
    </row>
    <row r="8765" spans="13:18" x14ac:dyDescent="0.25">
      <c r="M8765" s="9"/>
      <c r="N8765" s="9"/>
      <c r="P8765" s="14"/>
      <c r="Q8765" s="85"/>
      <c r="R8765" s="89"/>
    </row>
    <row r="8766" spans="13:18" x14ac:dyDescent="0.25">
      <c r="M8766" s="9"/>
      <c r="N8766" s="9"/>
      <c r="P8766" s="14"/>
      <c r="Q8766" s="85"/>
      <c r="R8766" s="89"/>
    </row>
    <row r="8767" spans="13:18" x14ac:dyDescent="0.25">
      <c r="M8767" s="9"/>
      <c r="N8767" s="9"/>
      <c r="P8767" s="14"/>
      <c r="Q8767" s="85"/>
      <c r="R8767" s="89"/>
    </row>
    <row r="8768" spans="13:18" x14ac:dyDescent="0.25">
      <c r="M8768" s="9"/>
      <c r="N8768" s="9"/>
      <c r="P8768" s="14"/>
      <c r="Q8768" s="85"/>
      <c r="R8768" s="89"/>
    </row>
    <row r="8769" spans="13:18" x14ac:dyDescent="0.25">
      <c r="M8769" s="9"/>
      <c r="N8769" s="9"/>
      <c r="P8769" s="14"/>
      <c r="Q8769" s="85"/>
      <c r="R8769" s="89"/>
    </row>
    <row r="8770" spans="13:18" x14ac:dyDescent="0.25">
      <c r="M8770" s="9"/>
      <c r="N8770" s="9"/>
      <c r="P8770" s="14"/>
      <c r="Q8770" s="85"/>
      <c r="R8770" s="89"/>
    </row>
    <row r="8771" spans="13:18" x14ac:dyDescent="0.25">
      <c r="M8771" s="9"/>
      <c r="N8771" s="9"/>
      <c r="P8771" s="14"/>
      <c r="Q8771" s="85"/>
      <c r="R8771" s="89"/>
    </row>
    <row r="8772" spans="13:18" x14ac:dyDescent="0.25">
      <c r="M8772" s="9"/>
      <c r="N8772" s="9"/>
      <c r="P8772" s="14"/>
      <c r="Q8772" s="85"/>
      <c r="R8772" s="89"/>
    </row>
    <row r="8773" spans="13:18" x14ac:dyDescent="0.25">
      <c r="M8773" s="9"/>
      <c r="N8773" s="9"/>
      <c r="P8773" s="14"/>
      <c r="Q8773" s="85"/>
      <c r="R8773" s="89"/>
    </row>
    <row r="8774" spans="13:18" x14ac:dyDescent="0.25">
      <c r="M8774" s="9"/>
      <c r="N8774" s="9"/>
      <c r="P8774" s="14"/>
      <c r="Q8774" s="85"/>
      <c r="R8774" s="89"/>
    </row>
    <row r="8775" spans="13:18" x14ac:dyDescent="0.25">
      <c r="M8775" s="9"/>
      <c r="N8775" s="9"/>
      <c r="P8775" s="14"/>
      <c r="Q8775" s="85"/>
      <c r="R8775" s="89"/>
    </row>
    <row r="8776" spans="13:18" x14ac:dyDescent="0.25">
      <c r="M8776" s="9"/>
      <c r="N8776" s="9"/>
      <c r="P8776" s="14"/>
      <c r="Q8776" s="85"/>
      <c r="R8776" s="89"/>
    </row>
    <row r="8777" spans="13:18" x14ac:dyDescent="0.25">
      <c r="M8777" s="9"/>
      <c r="N8777" s="9"/>
      <c r="P8777" s="14"/>
      <c r="Q8777" s="85"/>
      <c r="R8777" s="89"/>
    </row>
    <row r="8778" spans="13:18" x14ac:dyDescent="0.25">
      <c r="M8778" s="9"/>
      <c r="N8778" s="9"/>
      <c r="P8778" s="14"/>
      <c r="Q8778" s="85"/>
      <c r="R8778" s="89"/>
    </row>
    <row r="8779" spans="13:18" x14ac:dyDescent="0.25">
      <c r="M8779" s="9"/>
      <c r="N8779" s="9"/>
      <c r="P8779" s="14"/>
      <c r="Q8779" s="85"/>
      <c r="R8779" s="89"/>
    </row>
    <row r="8780" spans="13:18" x14ac:dyDescent="0.25">
      <c r="M8780" s="9"/>
      <c r="N8780" s="9"/>
      <c r="P8780" s="14"/>
      <c r="Q8780" s="85"/>
      <c r="R8780" s="89"/>
    </row>
    <row r="8781" spans="13:18" x14ac:dyDescent="0.25">
      <c r="M8781" s="9"/>
      <c r="N8781" s="9"/>
      <c r="P8781" s="14"/>
      <c r="Q8781" s="85"/>
      <c r="R8781" s="89"/>
    </row>
    <row r="8782" spans="13:18" x14ac:dyDescent="0.25">
      <c r="M8782" s="9"/>
      <c r="N8782" s="9"/>
      <c r="P8782" s="14"/>
      <c r="Q8782" s="85"/>
      <c r="R8782" s="89"/>
    </row>
    <row r="8783" spans="13:18" x14ac:dyDescent="0.25">
      <c r="M8783" s="9"/>
      <c r="N8783" s="9"/>
      <c r="P8783" s="14"/>
      <c r="Q8783" s="85"/>
      <c r="R8783" s="89"/>
    </row>
    <row r="8784" spans="13:18" x14ac:dyDescent="0.25">
      <c r="M8784" s="9"/>
      <c r="N8784" s="9"/>
      <c r="P8784" s="14"/>
      <c r="Q8784" s="85"/>
      <c r="R8784" s="89"/>
    </row>
    <row r="8785" spans="13:18" x14ac:dyDescent="0.25">
      <c r="M8785" s="9"/>
      <c r="N8785" s="9"/>
      <c r="P8785" s="14"/>
      <c r="Q8785" s="85"/>
      <c r="R8785" s="89"/>
    </row>
    <row r="8786" spans="13:18" x14ac:dyDescent="0.25">
      <c r="M8786" s="9"/>
      <c r="N8786" s="9"/>
      <c r="P8786" s="14"/>
      <c r="Q8786" s="85"/>
      <c r="R8786" s="89"/>
    </row>
    <row r="8787" spans="13:18" x14ac:dyDescent="0.25">
      <c r="M8787" s="9"/>
      <c r="N8787" s="9"/>
      <c r="P8787" s="14"/>
      <c r="Q8787" s="85"/>
      <c r="R8787" s="89"/>
    </row>
    <row r="8788" spans="13:18" x14ac:dyDescent="0.25">
      <c r="M8788" s="9"/>
      <c r="N8788" s="9"/>
      <c r="P8788" s="14"/>
      <c r="Q8788" s="85"/>
      <c r="R8788" s="89"/>
    </row>
    <row r="8789" spans="13:18" x14ac:dyDescent="0.25">
      <c r="M8789" s="9"/>
      <c r="N8789" s="9"/>
      <c r="P8789" s="14"/>
      <c r="Q8789" s="85"/>
      <c r="R8789" s="89"/>
    </row>
    <row r="8790" spans="13:18" x14ac:dyDescent="0.25">
      <c r="M8790" s="9"/>
      <c r="N8790" s="9"/>
      <c r="P8790" s="14"/>
      <c r="Q8790" s="85"/>
      <c r="R8790" s="89"/>
    </row>
    <row r="8791" spans="13:18" x14ac:dyDescent="0.25">
      <c r="M8791" s="9"/>
      <c r="N8791" s="9"/>
      <c r="P8791" s="14"/>
      <c r="Q8791" s="85"/>
      <c r="R8791" s="89"/>
    </row>
    <row r="8792" spans="13:18" x14ac:dyDescent="0.25">
      <c r="M8792" s="9"/>
      <c r="N8792" s="9"/>
      <c r="P8792" s="14"/>
      <c r="Q8792" s="85"/>
      <c r="R8792" s="89"/>
    </row>
    <row r="8793" spans="13:18" x14ac:dyDescent="0.25">
      <c r="M8793" s="9"/>
      <c r="N8793" s="9"/>
      <c r="P8793" s="14"/>
      <c r="Q8793" s="85"/>
      <c r="R8793" s="89"/>
    </row>
    <row r="8794" spans="13:18" x14ac:dyDescent="0.25">
      <c r="M8794" s="9"/>
      <c r="N8794" s="9"/>
      <c r="P8794" s="14"/>
      <c r="Q8794" s="85"/>
      <c r="R8794" s="89"/>
    </row>
    <row r="8795" spans="13:18" x14ac:dyDescent="0.25">
      <c r="M8795" s="9"/>
      <c r="N8795" s="9"/>
      <c r="P8795" s="14"/>
      <c r="Q8795" s="85"/>
      <c r="R8795" s="89"/>
    </row>
    <row r="8796" spans="13:18" x14ac:dyDescent="0.25">
      <c r="M8796" s="9"/>
      <c r="N8796" s="9"/>
      <c r="P8796" s="14"/>
      <c r="Q8796" s="85"/>
      <c r="R8796" s="89"/>
    </row>
    <row r="8797" spans="13:18" x14ac:dyDescent="0.25">
      <c r="M8797" s="9"/>
      <c r="N8797" s="9"/>
      <c r="P8797" s="14"/>
      <c r="Q8797" s="85"/>
      <c r="R8797" s="89"/>
    </row>
    <row r="8798" spans="13:18" x14ac:dyDescent="0.25">
      <c r="M8798" s="9"/>
      <c r="N8798" s="9"/>
      <c r="P8798" s="14"/>
      <c r="Q8798" s="85"/>
      <c r="R8798" s="89"/>
    </row>
    <row r="8799" spans="13:18" x14ac:dyDescent="0.25">
      <c r="M8799" s="9"/>
      <c r="N8799" s="9"/>
      <c r="P8799" s="14"/>
      <c r="Q8799" s="85"/>
      <c r="R8799" s="89"/>
    </row>
    <row r="8800" spans="13:18" x14ac:dyDescent="0.25">
      <c r="M8800" s="9"/>
      <c r="N8800" s="9"/>
      <c r="P8800" s="14"/>
      <c r="Q8800" s="85"/>
      <c r="R8800" s="89"/>
    </row>
    <row r="8801" spans="13:18" x14ac:dyDescent="0.25">
      <c r="M8801" s="9"/>
      <c r="N8801" s="9"/>
      <c r="P8801" s="14"/>
      <c r="Q8801" s="85"/>
      <c r="R8801" s="89"/>
    </row>
    <row r="8802" spans="13:18" x14ac:dyDescent="0.25">
      <c r="M8802" s="9"/>
      <c r="N8802" s="9"/>
      <c r="P8802" s="14"/>
      <c r="Q8802" s="85"/>
      <c r="R8802" s="89"/>
    </row>
    <row r="8803" spans="13:18" x14ac:dyDescent="0.25">
      <c r="M8803" s="9"/>
      <c r="N8803" s="9"/>
      <c r="P8803" s="14"/>
      <c r="Q8803" s="85"/>
      <c r="R8803" s="89"/>
    </row>
    <row r="8804" spans="13:18" x14ac:dyDescent="0.25">
      <c r="M8804" s="9"/>
      <c r="N8804" s="9"/>
      <c r="P8804" s="14"/>
      <c r="Q8804" s="85"/>
      <c r="R8804" s="89"/>
    </row>
    <row r="8805" spans="13:18" x14ac:dyDescent="0.25">
      <c r="M8805" s="9"/>
      <c r="N8805" s="9"/>
      <c r="P8805" s="14"/>
      <c r="Q8805" s="85"/>
      <c r="R8805" s="89"/>
    </row>
    <row r="8806" spans="13:18" x14ac:dyDescent="0.25">
      <c r="M8806" s="9"/>
      <c r="N8806" s="9"/>
      <c r="P8806" s="14"/>
      <c r="Q8806" s="85"/>
      <c r="R8806" s="89"/>
    </row>
    <row r="8807" spans="13:18" x14ac:dyDescent="0.25">
      <c r="M8807" s="9"/>
      <c r="N8807" s="9"/>
      <c r="P8807" s="14"/>
      <c r="Q8807" s="85"/>
      <c r="R8807" s="89"/>
    </row>
    <row r="8808" spans="13:18" x14ac:dyDescent="0.25">
      <c r="M8808" s="9"/>
      <c r="N8808" s="9"/>
      <c r="P8808" s="14"/>
      <c r="Q8808" s="85"/>
      <c r="R8808" s="89"/>
    </row>
    <row r="8809" spans="13:18" x14ac:dyDescent="0.25">
      <c r="M8809" s="9"/>
      <c r="N8809" s="9"/>
      <c r="P8809" s="14"/>
      <c r="Q8809" s="85"/>
      <c r="R8809" s="89"/>
    </row>
    <row r="8810" spans="13:18" x14ac:dyDescent="0.25">
      <c r="M8810" s="9"/>
      <c r="N8810" s="9"/>
      <c r="P8810" s="14"/>
      <c r="Q8810" s="85"/>
      <c r="R8810" s="89"/>
    </row>
    <row r="8811" spans="13:18" x14ac:dyDescent="0.25">
      <c r="M8811" s="9"/>
      <c r="N8811" s="9"/>
      <c r="P8811" s="14"/>
      <c r="Q8811" s="85"/>
      <c r="R8811" s="89"/>
    </row>
    <row r="8812" spans="13:18" x14ac:dyDescent="0.25">
      <c r="M8812" s="9"/>
      <c r="N8812" s="9"/>
      <c r="P8812" s="14"/>
      <c r="Q8812" s="85"/>
      <c r="R8812" s="89"/>
    </row>
    <row r="8813" spans="13:18" x14ac:dyDescent="0.25">
      <c r="M8813" s="9"/>
      <c r="N8813" s="9"/>
      <c r="P8813" s="14"/>
      <c r="Q8813" s="85"/>
      <c r="R8813" s="89"/>
    </row>
    <row r="8814" spans="13:18" x14ac:dyDescent="0.25">
      <c r="M8814" s="9"/>
      <c r="N8814" s="9"/>
      <c r="P8814" s="14"/>
      <c r="Q8814" s="85"/>
      <c r="R8814" s="89"/>
    </row>
    <row r="8815" spans="13:18" x14ac:dyDescent="0.25">
      <c r="M8815" s="9"/>
      <c r="N8815" s="9"/>
      <c r="P8815" s="14"/>
      <c r="Q8815" s="85"/>
      <c r="R8815" s="89"/>
    </row>
    <row r="8816" spans="13:18" x14ac:dyDescent="0.25">
      <c r="M8816" s="9"/>
      <c r="N8816" s="9"/>
      <c r="P8816" s="14"/>
      <c r="Q8816" s="85"/>
      <c r="R8816" s="89"/>
    </row>
    <row r="8817" spans="13:18" x14ac:dyDescent="0.25">
      <c r="M8817" s="9"/>
      <c r="N8817" s="9"/>
      <c r="P8817" s="14"/>
      <c r="Q8817" s="85"/>
      <c r="R8817" s="89"/>
    </row>
    <row r="8818" spans="13:18" x14ac:dyDescent="0.25">
      <c r="M8818" s="9"/>
      <c r="N8818" s="9"/>
      <c r="P8818" s="14"/>
      <c r="Q8818" s="85"/>
      <c r="R8818" s="89"/>
    </row>
    <row r="8819" spans="13:18" x14ac:dyDescent="0.25">
      <c r="M8819" s="9"/>
      <c r="N8819" s="9"/>
      <c r="P8819" s="14"/>
      <c r="Q8819" s="85"/>
      <c r="R8819" s="89"/>
    </row>
    <row r="8820" spans="13:18" x14ac:dyDescent="0.25">
      <c r="M8820" s="9"/>
      <c r="N8820" s="9"/>
      <c r="P8820" s="14"/>
      <c r="Q8820" s="85"/>
      <c r="R8820" s="89"/>
    </row>
    <row r="8821" spans="13:18" x14ac:dyDescent="0.25">
      <c r="M8821" s="9"/>
      <c r="N8821" s="9"/>
      <c r="P8821" s="14"/>
      <c r="Q8821" s="85"/>
      <c r="R8821" s="89"/>
    </row>
    <row r="8822" spans="13:18" x14ac:dyDescent="0.25">
      <c r="M8822" s="9"/>
      <c r="N8822" s="9"/>
      <c r="P8822" s="14"/>
      <c r="Q8822" s="85"/>
      <c r="R8822" s="89"/>
    </row>
    <row r="8823" spans="13:18" x14ac:dyDescent="0.25">
      <c r="M8823" s="9"/>
      <c r="N8823" s="9"/>
      <c r="P8823" s="14"/>
      <c r="Q8823" s="85"/>
      <c r="R8823" s="89"/>
    </row>
    <row r="8824" spans="13:18" x14ac:dyDescent="0.25">
      <c r="M8824" s="9"/>
      <c r="N8824" s="9"/>
      <c r="P8824" s="14"/>
      <c r="Q8824" s="85"/>
      <c r="R8824" s="89"/>
    </row>
    <row r="8825" spans="13:18" x14ac:dyDescent="0.25">
      <c r="M8825" s="9"/>
      <c r="N8825" s="9"/>
      <c r="P8825" s="14"/>
      <c r="Q8825" s="85"/>
      <c r="R8825" s="89"/>
    </row>
    <row r="8826" spans="13:18" x14ac:dyDescent="0.25">
      <c r="M8826" s="9"/>
      <c r="N8826" s="9"/>
      <c r="P8826" s="14"/>
      <c r="Q8826" s="85"/>
      <c r="R8826" s="89"/>
    </row>
    <row r="8827" spans="13:18" x14ac:dyDescent="0.25">
      <c r="M8827" s="9"/>
      <c r="N8827" s="9"/>
      <c r="P8827" s="14"/>
      <c r="Q8827" s="85"/>
      <c r="R8827" s="89"/>
    </row>
    <row r="8828" spans="13:18" x14ac:dyDescent="0.25">
      <c r="M8828" s="9"/>
      <c r="N8828" s="9"/>
      <c r="P8828" s="14"/>
      <c r="Q8828" s="85"/>
      <c r="R8828" s="89"/>
    </row>
    <row r="8829" spans="13:18" x14ac:dyDescent="0.25">
      <c r="M8829" s="9"/>
      <c r="N8829" s="9"/>
      <c r="P8829" s="14"/>
      <c r="Q8829" s="85"/>
      <c r="R8829" s="89"/>
    </row>
    <row r="8830" spans="13:18" x14ac:dyDescent="0.25">
      <c r="M8830" s="9"/>
      <c r="N8830" s="9"/>
      <c r="P8830" s="14"/>
      <c r="Q8830" s="85"/>
      <c r="R8830" s="89"/>
    </row>
    <row r="8831" spans="13:18" x14ac:dyDescent="0.25">
      <c r="M8831" s="9"/>
      <c r="N8831" s="9"/>
      <c r="P8831" s="14"/>
      <c r="Q8831" s="85"/>
      <c r="R8831" s="89"/>
    </row>
    <row r="8832" spans="13:18" x14ac:dyDescent="0.25">
      <c r="M8832" s="9"/>
      <c r="N8832" s="9"/>
      <c r="P8832" s="14"/>
      <c r="Q8832" s="85"/>
      <c r="R8832" s="89"/>
    </row>
    <row r="8833" spans="13:18" x14ac:dyDescent="0.25">
      <c r="M8833" s="9"/>
      <c r="N8833" s="9"/>
      <c r="P8833" s="14"/>
      <c r="Q8833" s="85"/>
      <c r="R8833" s="89"/>
    </row>
    <row r="8834" spans="13:18" x14ac:dyDescent="0.25">
      <c r="M8834" s="9"/>
      <c r="N8834" s="9"/>
      <c r="P8834" s="14"/>
      <c r="Q8834" s="85"/>
      <c r="R8834" s="89"/>
    </row>
    <row r="8835" spans="13:18" x14ac:dyDescent="0.25">
      <c r="M8835" s="9"/>
      <c r="N8835" s="9"/>
      <c r="P8835" s="14"/>
      <c r="Q8835" s="85"/>
      <c r="R8835" s="89"/>
    </row>
    <row r="8836" spans="13:18" x14ac:dyDescent="0.25">
      <c r="M8836" s="9"/>
      <c r="N8836" s="9"/>
      <c r="P8836" s="14"/>
      <c r="Q8836" s="85"/>
      <c r="R8836" s="89"/>
    </row>
    <row r="8837" spans="13:18" x14ac:dyDescent="0.25">
      <c r="M8837" s="9"/>
      <c r="N8837" s="9"/>
      <c r="P8837" s="14"/>
      <c r="Q8837" s="85"/>
      <c r="R8837" s="89"/>
    </row>
    <row r="8838" spans="13:18" x14ac:dyDescent="0.25">
      <c r="M8838" s="9"/>
      <c r="N8838" s="9"/>
      <c r="P8838" s="14"/>
      <c r="Q8838" s="85"/>
      <c r="R8838" s="89"/>
    </row>
    <row r="8839" spans="13:18" x14ac:dyDescent="0.25">
      <c r="M8839" s="9"/>
      <c r="N8839" s="9"/>
      <c r="P8839" s="14"/>
      <c r="Q8839" s="85"/>
      <c r="R8839" s="89"/>
    </row>
    <row r="8840" spans="13:18" x14ac:dyDescent="0.25">
      <c r="M8840" s="9"/>
      <c r="N8840" s="9"/>
      <c r="P8840" s="14"/>
      <c r="Q8840" s="85"/>
      <c r="R8840" s="89"/>
    </row>
    <row r="8841" spans="13:18" x14ac:dyDescent="0.25">
      <c r="M8841" s="9"/>
      <c r="N8841" s="9"/>
      <c r="P8841" s="14"/>
      <c r="Q8841" s="85"/>
      <c r="R8841" s="89"/>
    </row>
    <row r="8842" spans="13:18" x14ac:dyDescent="0.25">
      <c r="M8842" s="9"/>
      <c r="N8842" s="9"/>
      <c r="P8842" s="14"/>
      <c r="Q8842" s="85"/>
      <c r="R8842" s="89"/>
    </row>
    <row r="8843" spans="13:18" x14ac:dyDescent="0.25">
      <c r="M8843" s="9"/>
      <c r="N8843" s="9"/>
      <c r="P8843" s="14"/>
      <c r="Q8843" s="85"/>
      <c r="R8843" s="89"/>
    </row>
    <row r="8844" spans="13:18" x14ac:dyDescent="0.25">
      <c r="M8844" s="9"/>
      <c r="N8844" s="9"/>
      <c r="P8844" s="14"/>
      <c r="Q8844" s="85"/>
      <c r="R8844" s="89"/>
    </row>
    <row r="8845" spans="13:18" x14ac:dyDescent="0.25">
      <c r="M8845" s="9"/>
      <c r="N8845" s="9"/>
      <c r="P8845" s="14"/>
      <c r="Q8845" s="85"/>
      <c r="R8845" s="89"/>
    </row>
    <row r="8846" spans="13:18" x14ac:dyDescent="0.25">
      <c r="M8846" s="9"/>
      <c r="N8846" s="9"/>
      <c r="P8846" s="14"/>
      <c r="Q8846" s="85"/>
      <c r="R8846" s="89"/>
    </row>
    <row r="8847" spans="13:18" x14ac:dyDescent="0.25">
      <c r="M8847" s="9"/>
      <c r="N8847" s="9"/>
      <c r="P8847" s="14"/>
      <c r="Q8847" s="85"/>
      <c r="R8847" s="89"/>
    </row>
    <row r="8848" spans="13:18" x14ac:dyDescent="0.25">
      <c r="M8848" s="9"/>
      <c r="N8848" s="9"/>
      <c r="P8848" s="14"/>
      <c r="Q8848" s="85"/>
      <c r="R8848" s="89"/>
    </row>
    <row r="8849" spans="13:18" x14ac:dyDescent="0.25">
      <c r="M8849" s="9"/>
      <c r="N8849" s="9"/>
      <c r="P8849" s="14"/>
      <c r="Q8849" s="85"/>
      <c r="R8849" s="89"/>
    </row>
    <row r="8850" spans="13:18" x14ac:dyDescent="0.25">
      <c r="M8850" s="9"/>
      <c r="N8850" s="9"/>
      <c r="P8850" s="14"/>
      <c r="Q8850" s="85"/>
      <c r="R8850" s="89"/>
    </row>
    <row r="8851" spans="13:18" x14ac:dyDescent="0.25">
      <c r="M8851" s="9"/>
      <c r="N8851" s="9"/>
      <c r="P8851" s="14"/>
      <c r="Q8851" s="85"/>
      <c r="R8851" s="89"/>
    </row>
    <row r="8852" spans="13:18" x14ac:dyDescent="0.25">
      <c r="M8852" s="9"/>
      <c r="N8852" s="9"/>
      <c r="P8852" s="14"/>
      <c r="Q8852" s="85"/>
      <c r="R8852" s="89"/>
    </row>
    <row r="8853" spans="13:18" x14ac:dyDescent="0.25">
      <c r="M8853" s="9"/>
      <c r="N8853" s="9"/>
      <c r="P8853" s="14"/>
      <c r="Q8853" s="85"/>
      <c r="R8853" s="89"/>
    </row>
    <row r="8854" spans="13:18" x14ac:dyDescent="0.25">
      <c r="M8854" s="9"/>
      <c r="N8854" s="9"/>
      <c r="P8854" s="14"/>
      <c r="Q8854" s="85"/>
      <c r="R8854" s="89"/>
    </row>
    <row r="8855" spans="13:18" x14ac:dyDescent="0.25">
      <c r="M8855" s="9"/>
      <c r="N8855" s="9"/>
      <c r="P8855" s="14"/>
      <c r="Q8855" s="85"/>
      <c r="R8855" s="89"/>
    </row>
    <row r="8856" spans="13:18" x14ac:dyDescent="0.25">
      <c r="M8856" s="9"/>
      <c r="N8856" s="9"/>
      <c r="P8856" s="14"/>
      <c r="Q8856" s="85"/>
      <c r="R8856" s="89"/>
    </row>
    <row r="8857" spans="13:18" x14ac:dyDescent="0.25">
      <c r="M8857" s="9"/>
      <c r="N8857" s="9"/>
      <c r="P8857" s="14"/>
      <c r="Q8857" s="85"/>
      <c r="R8857" s="89"/>
    </row>
    <row r="8858" spans="13:18" x14ac:dyDescent="0.25">
      <c r="M8858" s="9"/>
      <c r="N8858" s="9"/>
      <c r="P8858" s="14"/>
      <c r="Q8858" s="85"/>
      <c r="R8858" s="89"/>
    </row>
    <row r="8859" spans="13:18" x14ac:dyDescent="0.25">
      <c r="M8859" s="9"/>
      <c r="N8859" s="9"/>
      <c r="P8859" s="14"/>
      <c r="Q8859" s="85"/>
      <c r="R8859" s="89"/>
    </row>
    <row r="8860" spans="13:18" x14ac:dyDescent="0.25">
      <c r="M8860" s="9"/>
      <c r="N8860" s="9"/>
      <c r="P8860" s="14"/>
      <c r="Q8860" s="85"/>
      <c r="R8860" s="89"/>
    </row>
    <row r="8861" spans="13:18" x14ac:dyDescent="0.25">
      <c r="M8861" s="9"/>
      <c r="N8861" s="9"/>
      <c r="P8861" s="14"/>
      <c r="Q8861" s="85"/>
      <c r="R8861" s="89"/>
    </row>
    <row r="8862" spans="13:18" x14ac:dyDescent="0.25">
      <c r="M8862" s="9"/>
      <c r="N8862" s="9"/>
      <c r="P8862" s="14"/>
      <c r="Q8862" s="85"/>
      <c r="R8862" s="89"/>
    </row>
    <row r="8863" spans="13:18" x14ac:dyDescent="0.25">
      <c r="M8863" s="9"/>
      <c r="N8863" s="9"/>
      <c r="P8863" s="14"/>
      <c r="Q8863" s="85"/>
      <c r="R8863" s="89"/>
    </row>
    <row r="8864" spans="13:18" x14ac:dyDescent="0.25">
      <c r="M8864" s="9"/>
      <c r="N8864" s="9"/>
      <c r="P8864" s="14"/>
      <c r="Q8864" s="85"/>
      <c r="R8864" s="89"/>
    </row>
    <row r="8865" spans="13:18" x14ac:dyDescent="0.25">
      <c r="M8865" s="9"/>
      <c r="N8865" s="9"/>
      <c r="P8865" s="14"/>
      <c r="Q8865" s="85"/>
      <c r="R8865" s="89"/>
    </row>
    <row r="8866" spans="13:18" x14ac:dyDescent="0.25">
      <c r="M8866" s="9"/>
      <c r="N8866" s="9"/>
      <c r="P8866" s="14"/>
      <c r="Q8866" s="85"/>
      <c r="R8866" s="89"/>
    </row>
    <row r="8867" spans="13:18" x14ac:dyDescent="0.25">
      <c r="M8867" s="9"/>
      <c r="N8867" s="9"/>
      <c r="P8867" s="14"/>
      <c r="Q8867" s="85"/>
      <c r="R8867" s="89"/>
    </row>
    <row r="8868" spans="13:18" x14ac:dyDescent="0.25">
      <c r="M8868" s="9"/>
      <c r="N8868" s="9"/>
      <c r="P8868" s="14"/>
      <c r="Q8868" s="85"/>
      <c r="R8868" s="89"/>
    </row>
    <row r="8869" spans="13:18" x14ac:dyDescent="0.25">
      <c r="M8869" s="9"/>
      <c r="N8869" s="9"/>
      <c r="P8869" s="14"/>
      <c r="Q8869" s="85"/>
      <c r="R8869" s="89"/>
    </row>
    <row r="8870" spans="13:18" x14ac:dyDescent="0.25">
      <c r="M8870" s="9"/>
      <c r="N8870" s="9"/>
      <c r="P8870" s="14"/>
      <c r="Q8870" s="85"/>
      <c r="R8870" s="89"/>
    </row>
    <row r="8871" spans="13:18" x14ac:dyDescent="0.25">
      <c r="M8871" s="9"/>
      <c r="N8871" s="9"/>
      <c r="P8871" s="14"/>
      <c r="Q8871" s="85"/>
      <c r="R8871" s="89"/>
    </row>
    <row r="8872" spans="13:18" x14ac:dyDescent="0.25">
      <c r="M8872" s="9"/>
      <c r="N8872" s="9"/>
      <c r="P8872" s="14"/>
      <c r="Q8872" s="85"/>
      <c r="R8872" s="89"/>
    </row>
    <row r="8873" spans="13:18" x14ac:dyDescent="0.25">
      <c r="M8873" s="9"/>
      <c r="N8873" s="9"/>
      <c r="P8873" s="14"/>
      <c r="Q8873" s="85"/>
      <c r="R8873" s="89"/>
    </row>
    <row r="8874" spans="13:18" x14ac:dyDescent="0.25">
      <c r="M8874" s="9"/>
      <c r="N8874" s="9"/>
      <c r="P8874" s="14"/>
      <c r="Q8874" s="85"/>
      <c r="R8874" s="89"/>
    </row>
    <row r="8875" spans="13:18" x14ac:dyDescent="0.25">
      <c r="M8875" s="9"/>
      <c r="N8875" s="9"/>
      <c r="P8875" s="14"/>
      <c r="Q8875" s="85"/>
      <c r="R8875" s="89"/>
    </row>
    <row r="8876" spans="13:18" x14ac:dyDescent="0.25">
      <c r="M8876" s="9"/>
      <c r="N8876" s="9"/>
      <c r="P8876" s="14"/>
      <c r="Q8876" s="85"/>
      <c r="R8876" s="89"/>
    </row>
    <row r="8877" spans="13:18" x14ac:dyDescent="0.25">
      <c r="M8877" s="9"/>
      <c r="N8877" s="9"/>
      <c r="P8877" s="14"/>
      <c r="Q8877" s="85"/>
      <c r="R8877" s="89"/>
    </row>
    <row r="8878" spans="13:18" x14ac:dyDescent="0.25">
      <c r="M8878" s="9"/>
      <c r="N8878" s="9"/>
      <c r="P8878" s="14"/>
      <c r="Q8878" s="85"/>
      <c r="R8878" s="89"/>
    </row>
    <row r="8879" spans="13:18" x14ac:dyDescent="0.25">
      <c r="M8879" s="9"/>
      <c r="N8879" s="9"/>
      <c r="P8879" s="14"/>
      <c r="Q8879" s="85"/>
      <c r="R8879" s="89"/>
    </row>
    <row r="8880" spans="13:18" x14ac:dyDescent="0.25">
      <c r="M8880" s="9"/>
      <c r="N8880" s="9"/>
      <c r="P8880" s="14"/>
      <c r="Q8880" s="85"/>
      <c r="R8880" s="89"/>
    </row>
    <row r="8881" spans="13:18" x14ac:dyDescent="0.25">
      <c r="M8881" s="9"/>
      <c r="N8881" s="9"/>
      <c r="P8881" s="14"/>
      <c r="Q8881" s="85"/>
      <c r="R8881" s="89"/>
    </row>
    <row r="8882" spans="13:18" x14ac:dyDescent="0.25">
      <c r="M8882" s="9"/>
      <c r="N8882" s="9"/>
      <c r="P8882" s="14"/>
      <c r="Q8882" s="85"/>
      <c r="R8882" s="89"/>
    </row>
    <row r="8883" spans="13:18" x14ac:dyDescent="0.25">
      <c r="M8883" s="9"/>
      <c r="N8883" s="9"/>
      <c r="P8883" s="14"/>
      <c r="Q8883" s="85"/>
      <c r="R8883" s="89"/>
    </row>
    <row r="8884" spans="13:18" x14ac:dyDescent="0.25">
      <c r="M8884" s="9"/>
      <c r="N8884" s="9"/>
      <c r="P8884" s="14"/>
      <c r="Q8884" s="85"/>
      <c r="R8884" s="89"/>
    </row>
    <row r="8885" spans="13:18" x14ac:dyDescent="0.25">
      <c r="M8885" s="9"/>
      <c r="N8885" s="9"/>
      <c r="P8885" s="14"/>
      <c r="Q8885" s="85"/>
      <c r="R8885" s="89"/>
    </row>
    <row r="8886" spans="13:18" x14ac:dyDescent="0.25">
      <c r="M8886" s="9"/>
      <c r="N8886" s="9"/>
      <c r="P8886" s="14"/>
      <c r="Q8886" s="85"/>
      <c r="R8886" s="89"/>
    </row>
    <row r="8887" spans="13:18" x14ac:dyDescent="0.25">
      <c r="M8887" s="9"/>
      <c r="N8887" s="9"/>
      <c r="P8887" s="14"/>
      <c r="Q8887" s="85"/>
      <c r="R8887" s="89"/>
    </row>
    <row r="8888" spans="13:18" x14ac:dyDescent="0.25">
      <c r="M8888" s="9"/>
      <c r="N8888" s="9"/>
      <c r="P8888" s="14"/>
      <c r="Q8888" s="85"/>
      <c r="R8888" s="89"/>
    </row>
    <row r="8889" spans="13:18" x14ac:dyDescent="0.25">
      <c r="M8889" s="9"/>
      <c r="N8889" s="9"/>
      <c r="P8889" s="14"/>
      <c r="Q8889" s="85"/>
      <c r="R8889" s="89"/>
    </row>
    <row r="8890" spans="13:18" x14ac:dyDescent="0.25">
      <c r="M8890" s="9"/>
      <c r="N8890" s="9"/>
      <c r="P8890" s="14"/>
      <c r="Q8890" s="85"/>
      <c r="R8890" s="89"/>
    </row>
    <row r="8891" spans="13:18" x14ac:dyDescent="0.25">
      <c r="M8891" s="9"/>
      <c r="N8891" s="9"/>
      <c r="P8891" s="14"/>
      <c r="Q8891" s="85"/>
      <c r="R8891" s="89"/>
    </row>
    <row r="8892" spans="13:18" x14ac:dyDescent="0.25">
      <c r="M8892" s="9"/>
      <c r="N8892" s="9"/>
      <c r="P8892" s="14"/>
      <c r="Q8892" s="85"/>
      <c r="R8892" s="89"/>
    </row>
    <row r="8893" spans="13:18" x14ac:dyDescent="0.25">
      <c r="M8893" s="9"/>
      <c r="N8893" s="9"/>
      <c r="P8893" s="14"/>
      <c r="Q8893" s="85"/>
      <c r="R8893" s="89"/>
    </row>
    <row r="8894" spans="13:18" x14ac:dyDescent="0.25">
      <c r="M8894" s="9"/>
      <c r="N8894" s="9"/>
      <c r="P8894" s="14"/>
      <c r="Q8894" s="85"/>
      <c r="R8894" s="89"/>
    </row>
    <row r="8895" spans="13:18" x14ac:dyDescent="0.25">
      <c r="M8895" s="9"/>
      <c r="N8895" s="9"/>
      <c r="P8895" s="14"/>
      <c r="Q8895" s="85"/>
      <c r="R8895" s="89"/>
    </row>
    <row r="8896" spans="13:18" x14ac:dyDescent="0.25">
      <c r="M8896" s="9"/>
      <c r="N8896" s="9"/>
      <c r="P8896" s="14"/>
      <c r="Q8896" s="85"/>
      <c r="R8896" s="89"/>
    </row>
    <row r="8897" spans="13:18" x14ac:dyDescent="0.25">
      <c r="M8897" s="9"/>
      <c r="N8897" s="9"/>
      <c r="P8897" s="14"/>
      <c r="Q8897" s="85"/>
      <c r="R8897" s="89"/>
    </row>
    <row r="8898" spans="13:18" x14ac:dyDescent="0.25">
      <c r="M8898" s="9"/>
      <c r="N8898" s="9"/>
      <c r="P8898" s="14"/>
      <c r="Q8898" s="85"/>
      <c r="R8898" s="89"/>
    </row>
    <row r="8899" spans="13:18" x14ac:dyDescent="0.25">
      <c r="M8899" s="9"/>
      <c r="N8899" s="9"/>
      <c r="P8899" s="14"/>
      <c r="Q8899" s="85"/>
      <c r="R8899" s="89"/>
    </row>
    <row r="8900" spans="13:18" x14ac:dyDescent="0.25">
      <c r="M8900" s="9"/>
      <c r="N8900" s="9"/>
      <c r="P8900" s="14"/>
      <c r="Q8900" s="85"/>
      <c r="R8900" s="89"/>
    </row>
    <row r="8901" spans="13:18" x14ac:dyDescent="0.25">
      <c r="M8901" s="9"/>
      <c r="N8901" s="9"/>
      <c r="P8901" s="14"/>
      <c r="Q8901" s="85"/>
      <c r="R8901" s="89"/>
    </row>
    <row r="8902" spans="13:18" x14ac:dyDescent="0.25">
      <c r="M8902" s="9"/>
      <c r="N8902" s="9"/>
      <c r="P8902" s="14"/>
      <c r="Q8902" s="85"/>
      <c r="R8902" s="89"/>
    </row>
    <row r="8903" spans="13:18" x14ac:dyDescent="0.25">
      <c r="M8903" s="9"/>
      <c r="N8903" s="9"/>
      <c r="P8903" s="14"/>
      <c r="Q8903" s="85"/>
      <c r="R8903" s="89"/>
    </row>
    <row r="8904" spans="13:18" x14ac:dyDescent="0.25">
      <c r="M8904" s="9"/>
      <c r="N8904" s="9"/>
      <c r="P8904" s="14"/>
      <c r="Q8904" s="85"/>
      <c r="R8904" s="89"/>
    </row>
    <row r="8905" spans="13:18" x14ac:dyDescent="0.25">
      <c r="M8905" s="9"/>
      <c r="N8905" s="9"/>
      <c r="P8905" s="14"/>
      <c r="Q8905" s="85"/>
      <c r="R8905" s="89"/>
    </row>
    <row r="8906" spans="13:18" x14ac:dyDescent="0.25">
      <c r="M8906" s="9"/>
      <c r="N8906" s="9"/>
      <c r="P8906" s="14"/>
      <c r="Q8906" s="85"/>
      <c r="R8906" s="89"/>
    </row>
    <row r="8907" spans="13:18" x14ac:dyDescent="0.25">
      <c r="M8907" s="9"/>
      <c r="N8907" s="9"/>
      <c r="P8907" s="14"/>
      <c r="Q8907" s="85"/>
      <c r="R8907" s="89"/>
    </row>
    <row r="8908" spans="13:18" x14ac:dyDescent="0.25">
      <c r="M8908" s="9"/>
      <c r="N8908" s="9"/>
      <c r="P8908" s="14"/>
      <c r="Q8908" s="85"/>
      <c r="R8908" s="89"/>
    </row>
    <row r="8909" spans="13:18" x14ac:dyDescent="0.25">
      <c r="M8909" s="9"/>
      <c r="N8909" s="9"/>
      <c r="P8909" s="14"/>
      <c r="Q8909" s="85"/>
      <c r="R8909" s="89"/>
    </row>
    <row r="8910" spans="13:18" x14ac:dyDescent="0.25">
      <c r="M8910" s="9"/>
      <c r="N8910" s="9"/>
      <c r="P8910" s="14"/>
      <c r="Q8910" s="85"/>
      <c r="R8910" s="89"/>
    </row>
    <row r="8911" spans="13:18" x14ac:dyDescent="0.25">
      <c r="M8911" s="9"/>
      <c r="N8911" s="9"/>
      <c r="P8911" s="14"/>
      <c r="Q8911" s="85"/>
      <c r="R8911" s="89"/>
    </row>
    <row r="8912" spans="13:18" x14ac:dyDescent="0.25">
      <c r="M8912" s="9"/>
      <c r="N8912" s="9"/>
      <c r="P8912" s="14"/>
      <c r="Q8912" s="85"/>
      <c r="R8912" s="89"/>
    </row>
    <row r="8913" spans="13:18" x14ac:dyDescent="0.25">
      <c r="M8913" s="9"/>
      <c r="N8913" s="9"/>
      <c r="P8913" s="14"/>
      <c r="Q8913" s="85"/>
      <c r="R8913" s="89"/>
    </row>
    <row r="8914" spans="13:18" x14ac:dyDescent="0.25">
      <c r="M8914" s="9"/>
      <c r="N8914" s="9"/>
      <c r="P8914" s="14"/>
      <c r="Q8914" s="85"/>
      <c r="R8914" s="89"/>
    </row>
    <row r="8915" spans="13:18" x14ac:dyDescent="0.25">
      <c r="M8915" s="9"/>
      <c r="N8915" s="9"/>
      <c r="P8915" s="14"/>
      <c r="Q8915" s="85"/>
      <c r="R8915" s="89"/>
    </row>
    <row r="8916" spans="13:18" x14ac:dyDescent="0.25">
      <c r="M8916" s="9"/>
      <c r="N8916" s="9"/>
      <c r="P8916" s="14"/>
      <c r="Q8916" s="85"/>
      <c r="R8916" s="89"/>
    </row>
    <row r="8917" spans="13:18" x14ac:dyDescent="0.25">
      <c r="M8917" s="9"/>
      <c r="N8917" s="9"/>
      <c r="P8917" s="14"/>
      <c r="Q8917" s="85"/>
      <c r="R8917" s="89"/>
    </row>
    <row r="8918" spans="13:18" x14ac:dyDescent="0.25">
      <c r="M8918" s="9"/>
      <c r="N8918" s="9"/>
      <c r="P8918" s="14"/>
      <c r="Q8918" s="85"/>
      <c r="R8918" s="89"/>
    </row>
    <row r="8919" spans="13:18" x14ac:dyDescent="0.25">
      <c r="M8919" s="9"/>
      <c r="N8919" s="9"/>
      <c r="P8919" s="14"/>
      <c r="Q8919" s="85"/>
      <c r="R8919" s="89"/>
    </row>
    <row r="8920" spans="13:18" x14ac:dyDescent="0.25">
      <c r="M8920" s="9"/>
      <c r="N8920" s="9"/>
      <c r="P8920" s="14"/>
      <c r="Q8920" s="85"/>
      <c r="R8920" s="89"/>
    </row>
    <row r="8921" spans="13:18" x14ac:dyDescent="0.25">
      <c r="M8921" s="9"/>
      <c r="N8921" s="9"/>
      <c r="P8921" s="14"/>
      <c r="Q8921" s="85"/>
      <c r="R8921" s="89"/>
    </row>
    <row r="8922" spans="13:18" x14ac:dyDescent="0.25">
      <c r="M8922" s="9"/>
      <c r="N8922" s="9"/>
      <c r="P8922" s="14"/>
      <c r="Q8922" s="85"/>
      <c r="R8922" s="89"/>
    </row>
    <row r="8923" spans="13:18" x14ac:dyDescent="0.25">
      <c r="M8923" s="9"/>
      <c r="N8923" s="9"/>
      <c r="P8923" s="14"/>
      <c r="Q8923" s="85"/>
      <c r="R8923" s="89"/>
    </row>
    <row r="8924" spans="13:18" x14ac:dyDescent="0.25">
      <c r="M8924" s="9"/>
      <c r="N8924" s="9"/>
      <c r="P8924" s="14"/>
      <c r="Q8924" s="85"/>
      <c r="R8924" s="89"/>
    </row>
    <row r="8925" spans="13:18" x14ac:dyDescent="0.25">
      <c r="M8925" s="9"/>
      <c r="N8925" s="9"/>
      <c r="P8925" s="14"/>
      <c r="Q8925" s="85"/>
      <c r="R8925" s="89"/>
    </row>
    <row r="8926" spans="13:18" x14ac:dyDescent="0.25">
      <c r="M8926" s="9"/>
      <c r="N8926" s="9"/>
      <c r="P8926" s="14"/>
      <c r="Q8926" s="85"/>
      <c r="R8926" s="89"/>
    </row>
    <row r="8927" spans="13:18" x14ac:dyDescent="0.25">
      <c r="M8927" s="9"/>
      <c r="N8927" s="9"/>
      <c r="P8927" s="14"/>
      <c r="Q8927" s="85"/>
      <c r="R8927" s="89"/>
    </row>
    <row r="8928" spans="13:18" x14ac:dyDescent="0.25">
      <c r="M8928" s="9"/>
      <c r="N8928" s="9"/>
      <c r="P8928" s="14"/>
      <c r="Q8928" s="85"/>
      <c r="R8928" s="89"/>
    </row>
    <row r="8929" spans="13:18" x14ac:dyDescent="0.25">
      <c r="M8929" s="9"/>
      <c r="N8929" s="9"/>
      <c r="P8929" s="14"/>
      <c r="Q8929" s="85"/>
      <c r="R8929" s="89"/>
    </row>
    <row r="8930" spans="13:18" x14ac:dyDescent="0.25">
      <c r="M8930" s="9"/>
      <c r="N8930" s="9"/>
      <c r="P8930" s="14"/>
      <c r="Q8930" s="85"/>
      <c r="R8930" s="89"/>
    </row>
    <row r="8931" spans="13:18" x14ac:dyDescent="0.25">
      <c r="M8931" s="9"/>
      <c r="N8931" s="9"/>
      <c r="P8931" s="14"/>
      <c r="Q8931" s="85"/>
      <c r="R8931" s="89"/>
    </row>
    <row r="8932" spans="13:18" x14ac:dyDescent="0.25">
      <c r="M8932" s="9"/>
      <c r="N8932" s="9"/>
      <c r="P8932" s="14"/>
      <c r="Q8932" s="85"/>
      <c r="R8932" s="89"/>
    </row>
    <row r="8933" spans="13:18" x14ac:dyDescent="0.25">
      <c r="M8933" s="9"/>
      <c r="N8933" s="9"/>
      <c r="P8933" s="14"/>
      <c r="Q8933" s="85"/>
      <c r="R8933" s="89"/>
    </row>
    <row r="8934" spans="13:18" x14ac:dyDescent="0.25">
      <c r="M8934" s="9"/>
      <c r="N8934" s="9"/>
      <c r="P8934" s="14"/>
      <c r="Q8934" s="85"/>
      <c r="R8934" s="89"/>
    </row>
    <row r="8935" spans="13:18" x14ac:dyDescent="0.25">
      <c r="M8935" s="9"/>
      <c r="N8935" s="9"/>
      <c r="P8935" s="14"/>
      <c r="Q8935" s="85"/>
      <c r="R8935" s="89"/>
    </row>
    <row r="8936" spans="13:18" x14ac:dyDescent="0.25">
      <c r="M8936" s="9"/>
      <c r="N8936" s="9"/>
      <c r="P8936" s="14"/>
      <c r="Q8936" s="85"/>
      <c r="R8936" s="89"/>
    </row>
    <row r="8937" spans="13:18" x14ac:dyDescent="0.25">
      <c r="M8937" s="9"/>
      <c r="N8937" s="9"/>
      <c r="P8937" s="14"/>
      <c r="Q8937" s="85"/>
      <c r="R8937" s="89"/>
    </row>
    <row r="8938" spans="13:18" x14ac:dyDescent="0.25">
      <c r="M8938" s="9"/>
      <c r="N8938" s="9"/>
      <c r="P8938" s="14"/>
      <c r="Q8938" s="85"/>
      <c r="R8938" s="89"/>
    </row>
    <row r="8939" spans="13:18" x14ac:dyDescent="0.25">
      <c r="M8939" s="9"/>
      <c r="N8939" s="9"/>
      <c r="P8939" s="14"/>
      <c r="Q8939" s="85"/>
      <c r="R8939" s="89"/>
    </row>
    <row r="8940" spans="13:18" x14ac:dyDescent="0.25">
      <c r="M8940" s="9"/>
      <c r="N8940" s="9"/>
      <c r="P8940" s="14"/>
      <c r="Q8940" s="85"/>
      <c r="R8940" s="89"/>
    </row>
    <row r="8941" spans="13:18" x14ac:dyDescent="0.25">
      <c r="M8941" s="9"/>
      <c r="N8941" s="9"/>
      <c r="P8941" s="14"/>
      <c r="Q8941" s="85"/>
      <c r="R8941" s="89"/>
    </row>
    <row r="8942" spans="13:18" x14ac:dyDescent="0.25">
      <c r="M8942" s="9"/>
      <c r="N8942" s="9"/>
      <c r="P8942" s="14"/>
      <c r="Q8942" s="85"/>
      <c r="R8942" s="89"/>
    </row>
    <row r="8943" spans="13:18" x14ac:dyDescent="0.25">
      <c r="M8943" s="9"/>
      <c r="N8943" s="9"/>
      <c r="P8943" s="14"/>
      <c r="Q8943" s="85"/>
      <c r="R8943" s="89"/>
    </row>
    <row r="8944" spans="13:18" x14ac:dyDescent="0.25">
      <c r="M8944" s="9"/>
      <c r="N8944" s="9"/>
      <c r="P8944" s="14"/>
      <c r="Q8944" s="85"/>
      <c r="R8944" s="89"/>
    </row>
    <row r="8945" spans="13:18" x14ac:dyDescent="0.25">
      <c r="M8945" s="9"/>
      <c r="N8945" s="9"/>
      <c r="P8945" s="14"/>
      <c r="Q8945" s="85"/>
      <c r="R8945" s="89"/>
    </row>
    <row r="8946" spans="13:18" x14ac:dyDescent="0.25">
      <c r="M8946" s="9"/>
      <c r="N8946" s="9"/>
      <c r="P8946" s="14"/>
      <c r="Q8946" s="85"/>
      <c r="R8946" s="89"/>
    </row>
    <row r="8947" spans="13:18" x14ac:dyDescent="0.25">
      <c r="M8947" s="9"/>
      <c r="N8947" s="9"/>
      <c r="P8947" s="14"/>
      <c r="Q8947" s="85"/>
      <c r="R8947" s="89"/>
    </row>
    <row r="8948" spans="13:18" x14ac:dyDescent="0.25">
      <c r="M8948" s="9"/>
      <c r="N8948" s="9"/>
      <c r="P8948" s="14"/>
      <c r="Q8948" s="85"/>
      <c r="R8948" s="89"/>
    </row>
    <row r="8949" spans="13:18" x14ac:dyDescent="0.25">
      <c r="M8949" s="9"/>
      <c r="N8949" s="9"/>
      <c r="P8949" s="14"/>
      <c r="Q8949" s="85"/>
      <c r="R8949" s="89"/>
    </row>
    <row r="8950" spans="13:18" x14ac:dyDescent="0.25">
      <c r="M8950" s="9"/>
      <c r="N8950" s="9"/>
      <c r="P8950" s="14"/>
      <c r="Q8950" s="85"/>
      <c r="R8950" s="89"/>
    </row>
    <row r="8951" spans="13:18" x14ac:dyDescent="0.25">
      <c r="M8951" s="9"/>
      <c r="N8951" s="9"/>
      <c r="P8951" s="14"/>
      <c r="Q8951" s="85"/>
      <c r="R8951" s="89"/>
    </row>
    <row r="8952" spans="13:18" x14ac:dyDescent="0.25">
      <c r="M8952" s="9"/>
      <c r="N8952" s="9"/>
      <c r="P8952" s="14"/>
      <c r="Q8952" s="85"/>
      <c r="R8952" s="89"/>
    </row>
    <row r="8953" spans="13:18" x14ac:dyDescent="0.25">
      <c r="M8953" s="9"/>
      <c r="N8953" s="9"/>
      <c r="P8953" s="14"/>
      <c r="Q8953" s="85"/>
      <c r="R8953" s="89"/>
    </row>
    <row r="8954" spans="13:18" x14ac:dyDescent="0.25">
      <c r="M8954" s="9"/>
      <c r="N8954" s="9"/>
      <c r="P8954" s="14"/>
      <c r="Q8954" s="85"/>
      <c r="R8954" s="89"/>
    </row>
    <row r="8955" spans="13:18" x14ac:dyDescent="0.25">
      <c r="M8955" s="9"/>
      <c r="N8955" s="9"/>
      <c r="P8955" s="14"/>
      <c r="Q8955" s="85"/>
      <c r="R8955" s="89"/>
    </row>
    <row r="8956" spans="13:18" x14ac:dyDescent="0.25">
      <c r="M8956" s="9"/>
      <c r="N8956" s="9"/>
      <c r="P8956" s="14"/>
      <c r="Q8956" s="85"/>
      <c r="R8956" s="89"/>
    </row>
    <row r="8957" spans="13:18" x14ac:dyDescent="0.25">
      <c r="M8957" s="9"/>
      <c r="N8957" s="9"/>
      <c r="P8957" s="14"/>
      <c r="Q8957" s="85"/>
      <c r="R8957" s="89"/>
    </row>
    <row r="8958" spans="13:18" x14ac:dyDescent="0.25">
      <c r="M8958" s="9"/>
      <c r="N8958" s="9"/>
      <c r="P8958" s="14"/>
      <c r="Q8958" s="85"/>
      <c r="R8958" s="89"/>
    </row>
    <row r="8959" spans="13:18" x14ac:dyDescent="0.25">
      <c r="M8959" s="9"/>
      <c r="N8959" s="9"/>
      <c r="P8959" s="14"/>
      <c r="Q8959" s="85"/>
      <c r="R8959" s="89"/>
    </row>
    <row r="8960" spans="13:18" x14ac:dyDescent="0.25">
      <c r="M8960" s="9"/>
      <c r="N8960" s="9"/>
      <c r="P8960" s="14"/>
      <c r="Q8960" s="85"/>
      <c r="R8960" s="89"/>
    </row>
    <row r="8961" spans="13:18" x14ac:dyDescent="0.25">
      <c r="M8961" s="9"/>
      <c r="N8961" s="9"/>
      <c r="P8961" s="14"/>
      <c r="Q8961" s="85"/>
      <c r="R8961" s="89"/>
    </row>
    <row r="8962" spans="13:18" x14ac:dyDescent="0.25">
      <c r="M8962" s="9"/>
      <c r="N8962" s="9"/>
      <c r="P8962" s="14"/>
      <c r="Q8962" s="85"/>
      <c r="R8962" s="89"/>
    </row>
    <row r="8963" spans="13:18" x14ac:dyDescent="0.25">
      <c r="M8963" s="9"/>
      <c r="N8963" s="9"/>
      <c r="P8963" s="14"/>
      <c r="Q8963" s="85"/>
      <c r="R8963" s="89"/>
    </row>
    <row r="8964" spans="13:18" x14ac:dyDescent="0.25">
      <c r="M8964" s="9"/>
      <c r="N8964" s="9"/>
      <c r="P8964" s="14"/>
      <c r="Q8964" s="85"/>
      <c r="R8964" s="89"/>
    </row>
    <row r="8965" spans="13:18" x14ac:dyDescent="0.25">
      <c r="M8965" s="9"/>
      <c r="N8965" s="9"/>
      <c r="P8965" s="14"/>
      <c r="Q8965" s="85"/>
      <c r="R8965" s="89"/>
    </row>
    <row r="8966" spans="13:18" x14ac:dyDescent="0.25">
      <c r="M8966" s="9"/>
      <c r="N8966" s="9"/>
      <c r="P8966" s="14"/>
      <c r="Q8966" s="85"/>
      <c r="R8966" s="89"/>
    </row>
    <row r="8967" spans="13:18" x14ac:dyDescent="0.25">
      <c r="M8967" s="9"/>
      <c r="N8967" s="9"/>
      <c r="P8967" s="14"/>
      <c r="Q8967" s="85"/>
      <c r="R8967" s="89"/>
    </row>
    <row r="8968" spans="13:18" x14ac:dyDescent="0.25">
      <c r="M8968" s="9"/>
      <c r="N8968" s="9"/>
      <c r="P8968" s="14"/>
      <c r="Q8968" s="85"/>
      <c r="R8968" s="89"/>
    </row>
    <row r="8969" spans="13:18" x14ac:dyDescent="0.25">
      <c r="M8969" s="9"/>
      <c r="N8969" s="9"/>
      <c r="P8969" s="14"/>
      <c r="Q8969" s="85"/>
      <c r="R8969" s="89"/>
    </row>
    <row r="8970" spans="13:18" x14ac:dyDescent="0.25">
      <c r="M8970" s="9"/>
      <c r="N8970" s="9"/>
      <c r="P8970" s="14"/>
      <c r="Q8970" s="85"/>
      <c r="R8970" s="89"/>
    </row>
    <row r="8971" spans="13:18" x14ac:dyDescent="0.25">
      <c r="M8971" s="9"/>
      <c r="N8971" s="9"/>
      <c r="P8971" s="14"/>
      <c r="Q8971" s="85"/>
      <c r="R8971" s="89"/>
    </row>
    <row r="8972" spans="13:18" x14ac:dyDescent="0.25">
      <c r="M8972" s="9"/>
      <c r="N8972" s="9"/>
      <c r="P8972" s="14"/>
      <c r="Q8972" s="85"/>
      <c r="R8972" s="89"/>
    </row>
    <row r="8973" spans="13:18" x14ac:dyDescent="0.25">
      <c r="M8973" s="9"/>
      <c r="N8973" s="9"/>
      <c r="P8973" s="14"/>
      <c r="Q8973" s="85"/>
      <c r="R8973" s="89"/>
    </row>
    <row r="8974" spans="13:18" x14ac:dyDescent="0.25">
      <c r="M8974" s="9"/>
      <c r="N8974" s="9"/>
      <c r="P8974" s="14"/>
      <c r="Q8974" s="85"/>
      <c r="R8974" s="89"/>
    </row>
    <row r="8975" spans="13:18" x14ac:dyDescent="0.25">
      <c r="M8975" s="9"/>
      <c r="N8975" s="9"/>
      <c r="P8975" s="14"/>
      <c r="Q8975" s="85"/>
      <c r="R8975" s="89"/>
    </row>
    <row r="8976" spans="13:18" x14ac:dyDescent="0.25">
      <c r="M8976" s="9"/>
      <c r="N8976" s="9"/>
      <c r="P8976" s="14"/>
      <c r="Q8976" s="85"/>
      <c r="R8976" s="89"/>
    </row>
    <row r="8977" spans="13:18" x14ac:dyDescent="0.25">
      <c r="M8977" s="9"/>
      <c r="N8977" s="9"/>
      <c r="P8977" s="14"/>
      <c r="Q8977" s="85"/>
      <c r="R8977" s="89"/>
    </row>
    <row r="8978" spans="13:18" x14ac:dyDescent="0.25">
      <c r="M8978" s="9"/>
      <c r="N8978" s="9"/>
      <c r="P8978" s="14"/>
      <c r="Q8978" s="85"/>
      <c r="R8978" s="89"/>
    </row>
    <row r="8979" spans="13:18" x14ac:dyDescent="0.25">
      <c r="M8979" s="9"/>
      <c r="N8979" s="9"/>
      <c r="P8979" s="14"/>
      <c r="Q8979" s="85"/>
      <c r="R8979" s="89"/>
    </row>
    <row r="8980" spans="13:18" x14ac:dyDescent="0.25">
      <c r="M8980" s="9"/>
      <c r="N8980" s="9"/>
      <c r="P8980" s="14"/>
      <c r="Q8980" s="85"/>
      <c r="R8980" s="89"/>
    </row>
    <row r="8981" spans="13:18" x14ac:dyDescent="0.25">
      <c r="M8981" s="9"/>
      <c r="N8981" s="9"/>
      <c r="P8981" s="14"/>
      <c r="Q8981" s="85"/>
      <c r="R8981" s="89"/>
    </row>
    <row r="8982" spans="13:18" x14ac:dyDescent="0.25">
      <c r="M8982" s="9"/>
      <c r="N8982" s="9"/>
      <c r="P8982" s="14"/>
      <c r="Q8982" s="85"/>
      <c r="R8982" s="89"/>
    </row>
    <row r="8983" spans="13:18" x14ac:dyDescent="0.25">
      <c r="M8983" s="9"/>
      <c r="N8983" s="9"/>
      <c r="P8983" s="14"/>
      <c r="Q8983" s="85"/>
      <c r="R8983" s="89"/>
    </row>
    <row r="8984" spans="13:18" x14ac:dyDescent="0.25">
      <c r="M8984" s="9"/>
      <c r="N8984" s="9"/>
      <c r="P8984" s="14"/>
      <c r="Q8984" s="85"/>
      <c r="R8984" s="89"/>
    </row>
    <row r="8985" spans="13:18" x14ac:dyDescent="0.25">
      <c r="M8985" s="9"/>
      <c r="N8985" s="9"/>
      <c r="P8985" s="14"/>
      <c r="Q8985" s="85"/>
      <c r="R8985" s="89"/>
    </row>
    <row r="8986" spans="13:18" x14ac:dyDescent="0.25">
      <c r="M8986" s="9"/>
      <c r="N8986" s="9"/>
      <c r="P8986" s="14"/>
      <c r="Q8986" s="85"/>
      <c r="R8986" s="89"/>
    </row>
    <row r="8987" spans="13:18" x14ac:dyDescent="0.25">
      <c r="M8987" s="9"/>
      <c r="N8987" s="9"/>
      <c r="P8987" s="14"/>
      <c r="Q8987" s="85"/>
      <c r="R8987" s="89"/>
    </row>
    <row r="8988" spans="13:18" x14ac:dyDescent="0.25">
      <c r="M8988" s="9"/>
      <c r="N8988" s="9"/>
      <c r="P8988" s="14"/>
      <c r="Q8988" s="85"/>
      <c r="R8988" s="89"/>
    </row>
    <row r="8989" spans="13:18" x14ac:dyDescent="0.25">
      <c r="M8989" s="9"/>
      <c r="N8989" s="9"/>
      <c r="P8989" s="14"/>
      <c r="Q8989" s="85"/>
      <c r="R8989" s="89"/>
    </row>
    <row r="8990" spans="13:18" x14ac:dyDescent="0.25">
      <c r="M8990" s="9"/>
      <c r="N8990" s="9"/>
      <c r="P8990" s="14"/>
      <c r="Q8990" s="85"/>
      <c r="R8990" s="89"/>
    </row>
    <row r="8991" spans="13:18" x14ac:dyDescent="0.25">
      <c r="M8991" s="9"/>
      <c r="N8991" s="9"/>
      <c r="P8991" s="14"/>
      <c r="Q8991" s="85"/>
      <c r="R8991" s="89"/>
    </row>
    <row r="8992" spans="13:18" x14ac:dyDescent="0.25">
      <c r="M8992" s="9"/>
      <c r="N8992" s="9"/>
      <c r="P8992" s="14"/>
      <c r="Q8992" s="85"/>
      <c r="R8992" s="89"/>
    </row>
    <row r="8993" spans="13:18" x14ac:dyDescent="0.25">
      <c r="M8993" s="9"/>
      <c r="N8993" s="9"/>
      <c r="P8993" s="14"/>
      <c r="Q8993" s="85"/>
      <c r="R8993" s="89"/>
    </row>
    <row r="8994" spans="13:18" x14ac:dyDescent="0.25">
      <c r="M8994" s="9"/>
      <c r="N8994" s="9"/>
      <c r="P8994" s="14"/>
      <c r="Q8994" s="85"/>
      <c r="R8994" s="89"/>
    </row>
    <row r="8995" spans="13:18" x14ac:dyDescent="0.25">
      <c r="M8995" s="9"/>
      <c r="N8995" s="9"/>
      <c r="P8995" s="14"/>
      <c r="Q8995" s="85"/>
      <c r="R8995" s="89"/>
    </row>
    <row r="8996" spans="13:18" x14ac:dyDescent="0.25">
      <c r="M8996" s="9"/>
      <c r="N8996" s="9"/>
      <c r="P8996" s="14"/>
      <c r="Q8996" s="85"/>
      <c r="R8996" s="89"/>
    </row>
    <row r="8997" spans="13:18" x14ac:dyDescent="0.25">
      <c r="M8997" s="9"/>
      <c r="N8997" s="9"/>
      <c r="P8997" s="14"/>
      <c r="Q8997" s="85"/>
      <c r="R8997" s="89"/>
    </row>
    <row r="8998" spans="13:18" x14ac:dyDescent="0.25">
      <c r="M8998" s="9"/>
      <c r="N8998" s="9"/>
      <c r="P8998" s="14"/>
      <c r="Q8998" s="85"/>
      <c r="R8998" s="89"/>
    </row>
    <row r="8999" spans="13:18" x14ac:dyDescent="0.25">
      <c r="M8999" s="9"/>
      <c r="N8999" s="9"/>
      <c r="P8999" s="14"/>
      <c r="Q8999" s="85"/>
      <c r="R8999" s="89"/>
    </row>
    <row r="9000" spans="13:18" x14ac:dyDescent="0.25">
      <c r="M9000" s="9"/>
      <c r="N9000" s="9"/>
      <c r="P9000" s="14"/>
      <c r="Q9000" s="85"/>
      <c r="R9000" s="89"/>
    </row>
    <row r="9001" spans="13:18" x14ac:dyDescent="0.25">
      <c r="M9001" s="9"/>
      <c r="N9001" s="9"/>
      <c r="P9001" s="14"/>
      <c r="Q9001" s="85"/>
      <c r="R9001" s="89"/>
    </row>
    <row r="9002" spans="13:18" x14ac:dyDescent="0.25">
      <c r="M9002" s="9"/>
      <c r="N9002" s="9"/>
      <c r="P9002" s="14"/>
      <c r="Q9002" s="85"/>
      <c r="R9002" s="89"/>
    </row>
    <row r="9003" spans="13:18" x14ac:dyDescent="0.25">
      <c r="M9003" s="9"/>
      <c r="N9003" s="9"/>
      <c r="P9003" s="14"/>
      <c r="Q9003" s="85"/>
      <c r="R9003" s="89"/>
    </row>
    <row r="9004" spans="13:18" x14ac:dyDescent="0.25">
      <c r="M9004" s="9"/>
      <c r="N9004" s="9"/>
      <c r="P9004" s="14"/>
      <c r="Q9004" s="85"/>
      <c r="R9004" s="89"/>
    </row>
    <row r="9005" spans="13:18" x14ac:dyDescent="0.25">
      <c r="M9005" s="9"/>
      <c r="N9005" s="9"/>
      <c r="P9005" s="14"/>
      <c r="Q9005" s="85"/>
      <c r="R9005" s="89"/>
    </row>
    <row r="9006" spans="13:18" x14ac:dyDescent="0.25">
      <c r="M9006" s="9"/>
      <c r="N9006" s="9"/>
      <c r="P9006" s="14"/>
      <c r="Q9006" s="85"/>
      <c r="R9006" s="89"/>
    </row>
    <row r="9007" spans="13:18" x14ac:dyDescent="0.25">
      <c r="M9007" s="9"/>
      <c r="N9007" s="9"/>
      <c r="P9007" s="14"/>
      <c r="Q9007" s="85"/>
      <c r="R9007" s="89"/>
    </row>
    <row r="9008" spans="13:18" x14ac:dyDescent="0.25">
      <c r="M9008" s="9"/>
      <c r="N9008" s="9"/>
      <c r="P9008" s="14"/>
      <c r="Q9008" s="85"/>
      <c r="R9008" s="89"/>
    </row>
    <row r="9009" spans="13:18" x14ac:dyDescent="0.25">
      <c r="M9009" s="9"/>
      <c r="N9009" s="9"/>
      <c r="P9009" s="14"/>
      <c r="Q9009" s="85"/>
      <c r="R9009" s="89"/>
    </row>
    <row r="9010" spans="13:18" x14ac:dyDescent="0.25">
      <c r="M9010" s="9"/>
      <c r="N9010" s="9"/>
      <c r="P9010" s="14"/>
      <c r="Q9010" s="85"/>
      <c r="R9010" s="89"/>
    </row>
    <row r="9011" spans="13:18" x14ac:dyDescent="0.25">
      <c r="M9011" s="9"/>
      <c r="N9011" s="9"/>
      <c r="P9011" s="14"/>
      <c r="Q9011" s="85"/>
      <c r="R9011" s="89"/>
    </row>
    <row r="9012" spans="13:18" x14ac:dyDescent="0.25">
      <c r="M9012" s="9"/>
      <c r="N9012" s="9"/>
      <c r="P9012" s="14"/>
      <c r="Q9012" s="85"/>
      <c r="R9012" s="89"/>
    </row>
    <row r="9013" spans="13:18" x14ac:dyDescent="0.25">
      <c r="M9013" s="9"/>
      <c r="N9013" s="9"/>
      <c r="P9013" s="14"/>
      <c r="Q9013" s="85"/>
      <c r="R9013" s="89"/>
    </row>
    <row r="9014" spans="13:18" x14ac:dyDescent="0.25">
      <c r="M9014" s="9"/>
      <c r="N9014" s="9"/>
      <c r="P9014" s="14"/>
      <c r="Q9014" s="85"/>
      <c r="R9014" s="89"/>
    </row>
    <row r="9015" spans="13:18" x14ac:dyDescent="0.25">
      <c r="M9015" s="9"/>
      <c r="N9015" s="9"/>
      <c r="P9015" s="14"/>
      <c r="Q9015" s="85"/>
      <c r="R9015" s="89"/>
    </row>
    <row r="9016" spans="13:18" x14ac:dyDescent="0.25">
      <c r="M9016" s="9"/>
      <c r="N9016" s="9"/>
      <c r="P9016" s="14"/>
      <c r="Q9016" s="85"/>
      <c r="R9016" s="89"/>
    </row>
    <row r="9017" spans="13:18" x14ac:dyDescent="0.25">
      <c r="M9017" s="9"/>
      <c r="N9017" s="9"/>
      <c r="P9017" s="14"/>
      <c r="Q9017" s="85"/>
      <c r="R9017" s="89"/>
    </row>
    <row r="9018" spans="13:18" x14ac:dyDescent="0.25">
      <c r="M9018" s="9"/>
      <c r="N9018" s="9"/>
      <c r="P9018" s="14"/>
      <c r="Q9018" s="85"/>
      <c r="R9018" s="89"/>
    </row>
    <row r="9019" spans="13:18" x14ac:dyDescent="0.25">
      <c r="M9019" s="9"/>
      <c r="N9019" s="9"/>
      <c r="P9019" s="14"/>
      <c r="Q9019" s="85"/>
      <c r="R9019" s="89"/>
    </row>
    <row r="9020" spans="13:18" x14ac:dyDescent="0.25">
      <c r="M9020" s="9"/>
      <c r="N9020" s="9"/>
      <c r="P9020" s="14"/>
      <c r="Q9020" s="85"/>
      <c r="R9020" s="89"/>
    </row>
    <row r="9021" spans="13:18" x14ac:dyDescent="0.25">
      <c r="M9021" s="9"/>
      <c r="N9021" s="9"/>
      <c r="P9021" s="14"/>
      <c r="Q9021" s="85"/>
      <c r="R9021" s="89"/>
    </row>
    <row r="9022" spans="13:18" x14ac:dyDescent="0.25">
      <c r="M9022" s="9"/>
      <c r="N9022" s="9"/>
      <c r="P9022" s="14"/>
      <c r="Q9022" s="85"/>
      <c r="R9022" s="89"/>
    </row>
    <row r="9023" spans="13:18" x14ac:dyDescent="0.25">
      <c r="M9023" s="9"/>
      <c r="N9023" s="9"/>
      <c r="P9023" s="14"/>
      <c r="Q9023" s="85"/>
      <c r="R9023" s="89"/>
    </row>
    <row r="9024" spans="13:18" x14ac:dyDescent="0.25">
      <c r="M9024" s="9"/>
      <c r="N9024" s="9"/>
      <c r="P9024" s="14"/>
      <c r="Q9024" s="85"/>
      <c r="R9024" s="89"/>
    </row>
    <row r="9025" spans="13:18" x14ac:dyDescent="0.25">
      <c r="M9025" s="9"/>
      <c r="N9025" s="9"/>
      <c r="P9025" s="14"/>
      <c r="Q9025" s="85"/>
      <c r="R9025" s="89"/>
    </row>
    <row r="9026" spans="13:18" x14ac:dyDescent="0.25">
      <c r="M9026" s="9"/>
      <c r="N9026" s="9"/>
      <c r="P9026" s="14"/>
      <c r="Q9026" s="85"/>
      <c r="R9026" s="89"/>
    </row>
    <row r="9027" spans="13:18" x14ac:dyDescent="0.25">
      <c r="M9027" s="9"/>
      <c r="N9027" s="9"/>
      <c r="P9027" s="14"/>
      <c r="Q9027" s="85"/>
      <c r="R9027" s="89"/>
    </row>
    <row r="9028" spans="13:18" x14ac:dyDescent="0.25">
      <c r="M9028" s="9"/>
      <c r="N9028" s="9"/>
      <c r="P9028" s="14"/>
      <c r="Q9028" s="85"/>
      <c r="R9028" s="89"/>
    </row>
    <row r="9029" spans="13:18" x14ac:dyDescent="0.25">
      <c r="M9029" s="9"/>
      <c r="N9029" s="9"/>
      <c r="P9029" s="14"/>
      <c r="Q9029" s="85"/>
      <c r="R9029" s="89"/>
    </row>
    <row r="9030" spans="13:18" x14ac:dyDescent="0.25">
      <c r="M9030" s="9"/>
      <c r="N9030" s="9"/>
      <c r="P9030" s="14"/>
      <c r="Q9030" s="85"/>
      <c r="R9030" s="89"/>
    </row>
    <row r="9031" spans="13:18" x14ac:dyDescent="0.25">
      <c r="M9031" s="9"/>
      <c r="N9031" s="9"/>
      <c r="P9031" s="14"/>
      <c r="Q9031" s="85"/>
      <c r="R9031" s="89"/>
    </row>
    <row r="9032" spans="13:18" x14ac:dyDescent="0.25">
      <c r="M9032" s="9"/>
      <c r="N9032" s="9"/>
      <c r="P9032" s="14"/>
      <c r="Q9032" s="85"/>
      <c r="R9032" s="89"/>
    </row>
    <row r="9033" spans="13:18" x14ac:dyDescent="0.25">
      <c r="M9033" s="9"/>
      <c r="N9033" s="9"/>
      <c r="P9033" s="14"/>
      <c r="Q9033" s="85"/>
      <c r="R9033" s="89"/>
    </row>
    <row r="9034" spans="13:18" x14ac:dyDescent="0.25">
      <c r="M9034" s="9"/>
      <c r="N9034" s="9"/>
      <c r="P9034" s="14"/>
      <c r="Q9034" s="85"/>
      <c r="R9034" s="89"/>
    </row>
    <row r="9035" spans="13:18" x14ac:dyDescent="0.25">
      <c r="M9035" s="9"/>
      <c r="N9035" s="9"/>
      <c r="P9035" s="14"/>
      <c r="Q9035" s="85"/>
      <c r="R9035" s="89"/>
    </row>
    <row r="9036" spans="13:18" x14ac:dyDescent="0.25">
      <c r="M9036" s="9"/>
      <c r="N9036" s="9"/>
      <c r="P9036" s="14"/>
      <c r="Q9036" s="85"/>
      <c r="R9036" s="89"/>
    </row>
    <row r="9037" spans="13:18" x14ac:dyDescent="0.25">
      <c r="M9037" s="9"/>
      <c r="N9037" s="9"/>
      <c r="P9037" s="14"/>
      <c r="Q9037" s="85"/>
      <c r="R9037" s="89"/>
    </row>
    <row r="9038" spans="13:18" x14ac:dyDescent="0.25">
      <c r="M9038" s="9"/>
      <c r="N9038" s="9"/>
      <c r="P9038" s="14"/>
      <c r="Q9038" s="85"/>
      <c r="R9038" s="89"/>
    </row>
    <row r="9039" spans="13:18" x14ac:dyDescent="0.25">
      <c r="M9039" s="9"/>
      <c r="N9039" s="9"/>
      <c r="P9039" s="14"/>
      <c r="Q9039" s="85"/>
      <c r="R9039" s="89"/>
    </row>
    <row r="9040" spans="13:18" x14ac:dyDescent="0.25">
      <c r="M9040" s="9"/>
      <c r="N9040" s="9"/>
      <c r="P9040" s="14"/>
      <c r="Q9040" s="85"/>
      <c r="R9040" s="89"/>
    </row>
    <row r="9041" spans="13:18" x14ac:dyDescent="0.25">
      <c r="M9041" s="9"/>
      <c r="N9041" s="9"/>
      <c r="P9041" s="14"/>
      <c r="Q9041" s="85"/>
      <c r="R9041" s="89"/>
    </row>
    <row r="9042" spans="13:18" x14ac:dyDescent="0.25">
      <c r="M9042" s="9"/>
      <c r="N9042" s="9"/>
      <c r="P9042" s="14"/>
      <c r="Q9042" s="85"/>
      <c r="R9042" s="89"/>
    </row>
    <row r="9043" spans="13:18" x14ac:dyDescent="0.25">
      <c r="M9043" s="9"/>
      <c r="N9043" s="9"/>
      <c r="P9043" s="14"/>
      <c r="Q9043" s="85"/>
      <c r="R9043" s="89"/>
    </row>
    <row r="9044" spans="13:18" x14ac:dyDescent="0.25">
      <c r="M9044" s="9"/>
      <c r="N9044" s="9"/>
      <c r="P9044" s="14"/>
      <c r="Q9044" s="85"/>
      <c r="R9044" s="89"/>
    </row>
    <row r="9045" spans="13:18" x14ac:dyDescent="0.25">
      <c r="M9045" s="9"/>
      <c r="N9045" s="9"/>
      <c r="P9045" s="14"/>
      <c r="Q9045" s="85"/>
      <c r="R9045" s="89"/>
    </row>
    <row r="9046" spans="13:18" x14ac:dyDescent="0.25">
      <c r="M9046" s="9"/>
      <c r="N9046" s="9"/>
      <c r="P9046" s="14"/>
      <c r="Q9046" s="85"/>
      <c r="R9046" s="89"/>
    </row>
    <row r="9047" spans="13:18" x14ac:dyDescent="0.25">
      <c r="M9047" s="9"/>
      <c r="N9047" s="9"/>
      <c r="P9047" s="14"/>
      <c r="Q9047" s="85"/>
      <c r="R9047" s="89"/>
    </row>
    <row r="9048" spans="13:18" x14ac:dyDescent="0.25">
      <c r="M9048" s="9"/>
      <c r="N9048" s="9"/>
      <c r="P9048" s="14"/>
      <c r="Q9048" s="85"/>
      <c r="R9048" s="89"/>
    </row>
    <row r="9049" spans="13:18" x14ac:dyDescent="0.25">
      <c r="M9049" s="9"/>
      <c r="N9049" s="9"/>
      <c r="P9049" s="14"/>
      <c r="Q9049" s="85"/>
      <c r="R9049" s="89"/>
    </row>
    <row r="9050" spans="13:18" x14ac:dyDescent="0.25">
      <c r="M9050" s="9"/>
      <c r="N9050" s="9"/>
      <c r="P9050" s="14"/>
      <c r="Q9050" s="85"/>
      <c r="R9050" s="89"/>
    </row>
    <row r="9051" spans="13:18" x14ac:dyDescent="0.25">
      <c r="M9051" s="9"/>
      <c r="N9051" s="9"/>
      <c r="P9051" s="14"/>
      <c r="Q9051" s="85"/>
      <c r="R9051" s="89"/>
    </row>
    <row r="9052" spans="13:18" x14ac:dyDescent="0.25">
      <c r="M9052" s="9"/>
      <c r="N9052" s="9"/>
      <c r="P9052" s="14"/>
      <c r="Q9052" s="85"/>
      <c r="R9052" s="89"/>
    </row>
    <row r="9053" spans="13:18" x14ac:dyDescent="0.25">
      <c r="M9053" s="9"/>
      <c r="N9053" s="9"/>
      <c r="P9053" s="14"/>
      <c r="Q9053" s="85"/>
      <c r="R9053" s="89"/>
    </row>
    <row r="9054" spans="13:18" x14ac:dyDescent="0.25">
      <c r="M9054" s="9"/>
      <c r="N9054" s="9"/>
      <c r="P9054" s="14"/>
      <c r="Q9054" s="85"/>
      <c r="R9054" s="89"/>
    </row>
    <row r="9055" spans="13:18" x14ac:dyDescent="0.25">
      <c r="M9055" s="9"/>
      <c r="N9055" s="9"/>
      <c r="P9055" s="14"/>
      <c r="Q9055" s="85"/>
      <c r="R9055" s="89"/>
    </row>
    <row r="9056" spans="13:18" x14ac:dyDescent="0.25">
      <c r="M9056" s="9"/>
      <c r="N9056" s="9"/>
      <c r="P9056" s="14"/>
      <c r="Q9056" s="85"/>
      <c r="R9056" s="89"/>
    </row>
    <row r="9057" spans="13:18" x14ac:dyDescent="0.25">
      <c r="M9057" s="9"/>
      <c r="N9057" s="9"/>
      <c r="P9057" s="14"/>
      <c r="Q9057" s="85"/>
      <c r="R9057" s="89"/>
    </row>
    <row r="9058" spans="13:18" x14ac:dyDescent="0.25">
      <c r="M9058" s="9"/>
      <c r="N9058" s="9"/>
      <c r="P9058" s="14"/>
      <c r="Q9058" s="85"/>
      <c r="R9058" s="89"/>
    </row>
    <row r="9059" spans="13:18" x14ac:dyDescent="0.25">
      <c r="M9059" s="9"/>
      <c r="N9059" s="9"/>
      <c r="P9059" s="14"/>
      <c r="Q9059" s="85"/>
      <c r="R9059" s="89"/>
    </row>
    <row r="9060" spans="13:18" x14ac:dyDescent="0.25">
      <c r="M9060" s="9"/>
      <c r="N9060" s="9"/>
      <c r="P9060" s="14"/>
      <c r="Q9060" s="85"/>
      <c r="R9060" s="89"/>
    </row>
    <row r="9061" spans="13:18" x14ac:dyDescent="0.25">
      <c r="M9061" s="9"/>
      <c r="N9061" s="9"/>
      <c r="P9061" s="14"/>
      <c r="Q9061" s="85"/>
      <c r="R9061" s="89"/>
    </row>
    <row r="9062" spans="13:18" x14ac:dyDescent="0.25">
      <c r="M9062" s="9"/>
      <c r="N9062" s="9"/>
      <c r="P9062" s="14"/>
      <c r="Q9062" s="85"/>
      <c r="R9062" s="89"/>
    </row>
    <row r="9063" spans="13:18" x14ac:dyDescent="0.25">
      <c r="M9063" s="9"/>
      <c r="N9063" s="9"/>
      <c r="P9063" s="14"/>
      <c r="Q9063" s="85"/>
      <c r="R9063" s="89"/>
    </row>
    <row r="9064" spans="13:18" x14ac:dyDescent="0.25">
      <c r="M9064" s="9"/>
      <c r="N9064" s="9"/>
      <c r="P9064" s="14"/>
      <c r="Q9064" s="85"/>
      <c r="R9064" s="89"/>
    </row>
    <row r="9065" spans="13:18" x14ac:dyDescent="0.25">
      <c r="M9065" s="9"/>
      <c r="N9065" s="9"/>
      <c r="P9065" s="14"/>
      <c r="Q9065" s="85"/>
      <c r="R9065" s="89"/>
    </row>
    <row r="9066" spans="13:18" x14ac:dyDescent="0.25">
      <c r="M9066" s="9"/>
      <c r="N9066" s="9"/>
      <c r="P9066" s="14"/>
      <c r="Q9066" s="85"/>
      <c r="R9066" s="89"/>
    </row>
    <row r="9067" spans="13:18" x14ac:dyDescent="0.25">
      <c r="M9067" s="9"/>
      <c r="N9067" s="9"/>
      <c r="P9067" s="14"/>
      <c r="Q9067" s="85"/>
      <c r="R9067" s="89"/>
    </row>
    <row r="9068" spans="13:18" x14ac:dyDescent="0.25">
      <c r="M9068" s="9"/>
      <c r="N9068" s="9"/>
      <c r="P9068" s="14"/>
      <c r="Q9068" s="85"/>
      <c r="R9068" s="89"/>
    </row>
    <row r="9069" spans="13:18" x14ac:dyDescent="0.25">
      <c r="M9069" s="9"/>
      <c r="N9069" s="9"/>
      <c r="P9069" s="14"/>
      <c r="Q9069" s="85"/>
      <c r="R9069" s="89"/>
    </row>
    <row r="9070" spans="13:18" x14ac:dyDescent="0.25">
      <c r="M9070" s="9"/>
      <c r="N9070" s="9"/>
      <c r="P9070" s="14"/>
      <c r="Q9070" s="85"/>
      <c r="R9070" s="89"/>
    </row>
    <row r="9071" spans="13:18" x14ac:dyDescent="0.25">
      <c r="M9071" s="9"/>
      <c r="N9071" s="9"/>
      <c r="P9071" s="14"/>
      <c r="Q9071" s="85"/>
      <c r="R9071" s="89"/>
    </row>
    <row r="9072" spans="13:18" x14ac:dyDescent="0.25">
      <c r="M9072" s="9"/>
      <c r="N9072" s="9"/>
      <c r="P9072" s="14"/>
      <c r="Q9072" s="85"/>
      <c r="R9072" s="89"/>
    </row>
    <row r="9073" spans="13:18" x14ac:dyDescent="0.25">
      <c r="M9073" s="9"/>
      <c r="N9073" s="9"/>
      <c r="P9073" s="14"/>
      <c r="Q9073" s="85"/>
      <c r="R9073" s="89"/>
    </row>
    <row r="9074" spans="13:18" x14ac:dyDescent="0.25">
      <c r="M9074" s="9"/>
      <c r="N9074" s="9"/>
      <c r="P9074" s="14"/>
      <c r="Q9074" s="85"/>
      <c r="R9074" s="89"/>
    </row>
    <row r="9075" spans="13:18" x14ac:dyDescent="0.25">
      <c r="M9075" s="9"/>
      <c r="N9075" s="9"/>
      <c r="P9075" s="14"/>
      <c r="Q9075" s="85"/>
      <c r="R9075" s="89"/>
    </row>
    <row r="9076" spans="13:18" x14ac:dyDescent="0.25">
      <c r="M9076" s="9"/>
      <c r="N9076" s="9"/>
      <c r="P9076" s="14"/>
      <c r="Q9076" s="85"/>
      <c r="R9076" s="89"/>
    </row>
    <row r="9077" spans="13:18" x14ac:dyDescent="0.25">
      <c r="M9077" s="9"/>
      <c r="N9077" s="9"/>
      <c r="P9077" s="14"/>
      <c r="Q9077" s="85"/>
      <c r="R9077" s="89"/>
    </row>
    <row r="9078" spans="13:18" x14ac:dyDescent="0.25">
      <c r="M9078" s="9"/>
      <c r="N9078" s="9"/>
      <c r="P9078" s="14"/>
      <c r="Q9078" s="85"/>
      <c r="R9078" s="89"/>
    </row>
    <row r="9079" spans="13:18" x14ac:dyDescent="0.25">
      <c r="M9079" s="9"/>
      <c r="N9079" s="9"/>
      <c r="P9079" s="14"/>
      <c r="Q9079" s="85"/>
      <c r="R9079" s="89"/>
    </row>
    <row r="9080" spans="13:18" x14ac:dyDescent="0.25">
      <c r="M9080" s="9"/>
      <c r="N9080" s="9"/>
      <c r="P9080" s="14"/>
      <c r="Q9080" s="85"/>
      <c r="R9080" s="89"/>
    </row>
    <row r="9081" spans="13:18" x14ac:dyDescent="0.25">
      <c r="M9081" s="9"/>
      <c r="N9081" s="9"/>
      <c r="P9081" s="14"/>
      <c r="Q9081" s="85"/>
      <c r="R9081" s="89"/>
    </row>
    <row r="9082" spans="13:18" x14ac:dyDescent="0.25">
      <c r="M9082" s="9"/>
      <c r="N9082" s="9"/>
      <c r="P9082" s="14"/>
      <c r="Q9082" s="85"/>
      <c r="R9082" s="89"/>
    </row>
    <row r="9083" spans="13:18" x14ac:dyDescent="0.25">
      <c r="M9083" s="9"/>
      <c r="N9083" s="9"/>
      <c r="P9083" s="14"/>
      <c r="Q9083" s="85"/>
      <c r="R9083" s="89"/>
    </row>
    <row r="9084" spans="13:18" x14ac:dyDescent="0.25">
      <c r="M9084" s="9"/>
      <c r="N9084" s="9"/>
      <c r="P9084" s="14"/>
      <c r="Q9084" s="85"/>
      <c r="R9084" s="89"/>
    </row>
    <row r="9085" spans="13:18" x14ac:dyDescent="0.25">
      <c r="M9085" s="9"/>
      <c r="N9085" s="9"/>
      <c r="P9085" s="14"/>
      <c r="Q9085" s="85"/>
      <c r="R9085" s="89"/>
    </row>
    <row r="9086" spans="13:18" x14ac:dyDescent="0.25">
      <c r="M9086" s="9"/>
      <c r="N9086" s="9"/>
      <c r="P9086" s="14"/>
      <c r="Q9086" s="85"/>
      <c r="R9086" s="89"/>
    </row>
    <row r="9087" spans="13:18" x14ac:dyDescent="0.25">
      <c r="M9087" s="9"/>
      <c r="N9087" s="9"/>
      <c r="P9087" s="14"/>
      <c r="Q9087" s="85"/>
      <c r="R9087" s="89"/>
    </row>
    <row r="9088" spans="13:18" x14ac:dyDescent="0.25">
      <c r="M9088" s="9"/>
      <c r="N9088" s="9"/>
      <c r="P9088" s="14"/>
      <c r="Q9088" s="85"/>
      <c r="R9088" s="89"/>
    </row>
    <row r="9089" spans="13:18" x14ac:dyDescent="0.25">
      <c r="M9089" s="9"/>
      <c r="N9089" s="9"/>
      <c r="P9089" s="14"/>
      <c r="Q9089" s="85"/>
      <c r="R9089" s="89"/>
    </row>
    <row r="9090" spans="13:18" x14ac:dyDescent="0.25">
      <c r="M9090" s="9"/>
      <c r="N9090" s="9"/>
      <c r="P9090" s="14"/>
      <c r="Q9090" s="85"/>
      <c r="R9090" s="89"/>
    </row>
    <row r="9091" spans="13:18" x14ac:dyDescent="0.25">
      <c r="M9091" s="9"/>
      <c r="N9091" s="9"/>
      <c r="P9091" s="14"/>
      <c r="Q9091" s="85"/>
      <c r="R9091" s="89"/>
    </row>
    <row r="9092" spans="13:18" x14ac:dyDescent="0.25">
      <c r="M9092" s="9"/>
      <c r="N9092" s="9"/>
      <c r="P9092" s="14"/>
      <c r="Q9092" s="85"/>
      <c r="R9092" s="89"/>
    </row>
    <row r="9093" spans="13:18" x14ac:dyDescent="0.25">
      <c r="M9093" s="9"/>
      <c r="N9093" s="9"/>
      <c r="P9093" s="14"/>
      <c r="Q9093" s="85"/>
      <c r="R9093" s="89"/>
    </row>
    <row r="9094" spans="13:18" x14ac:dyDescent="0.25">
      <c r="M9094" s="9"/>
      <c r="N9094" s="9"/>
      <c r="P9094" s="14"/>
      <c r="Q9094" s="85"/>
      <c r="R9094" s="89"/>
    </row>
    <row r="9095" spans="13:18" x14ac:dyDescent="0.25">
      <c r="M9095" s="9"/>
      <c r="N9095" s="9"/>
      <c r="P9095" s="14"/>
      <c r="Q9095" s="85"/>
      <c r="R9095" s="89"/>
    </row>
    <row r="9096" spans="13:18" x14ac:dyDescent="0.25">
      <c r="M9096" s="9"/>
      <c r="N9096" s="9"/>
      <c r="P9096" s="14"/>
      <c r="Q9096" s="85"/>
      <c r="R9096" s="89"/>
    </row>
    <row r="9097" spans="13:18" x14ac:dyDescent="0.25">
      <c r="M9097" s="9"/>
      <c r="N9097" s="9"/>
      <c r="P9097" s="14"/>
      <c r="Q9097" s="85"/>
      <c r="R9097" s="89"/>
    </row>
    <row r="9098" spans="13:18" x14ac:dyDescent="0.25">
      <c r="M9098" s="9"/>
      <c r="N9098" s="9"/>
      <c r="P9098" s="14"/>
      <c r="Q9098" s="85"/>
      <c r="R9098" s="89"/>
    </row>
    <row r="9099" spans="13:18" x14ac:dyDescent="0.25">
      <c r="M9099" s="9"/>
      <c r="N9099" s="9"/>
      <c r="P9099" s="14"/>
      <c r="Q9099" s="85"/>
      <c r="R9099" s="89"/>
    </row>
    <row r="9100" spans="13:18" x14ac:dyDescent="0.25">
      <c r="M9100" s="9"/>
      <c r="N9100" s="9"/>
      <c r="P9100" s="14"/>
      <c r="Q9100" s="85"/>
      <c r="R9100" s="89"/>
    </row>
    <row r="9101" spans="13:18" x14ac:dyDescent="0.25">
      <c r="M9101" s="9"/>
      <c r="N9101" s="9"/>
      <c r="P9101" s="14"/>
      <c r="Q9101" s="85"/>
      <c r="R9101" s="89"/>
    </row>
    <row r="9102" spans="13:18" x14ac:dyDescent="0.25">
      <c r="M9102" s="9"/>
      <c r="N9102" s="9"/>
      <c r="P9102" s="14"/>
      <c r="Q9102" s="85"/>
      <c r="R9102" s="89"/>
    </row>
    <row r="9103" spans="13:18" x14ac:dyDescent="0.25">
      <c r="M9103" s="9"/>
      <c r="N9103" s="9"/>
      <c r="P9103" s="14"/>
      <c r="Q9103" s="85"/>
      <c r="R9103" s="89"/>
    </row>
    <row r="9104" spans="13:18" x14ac:dyDescent="0.25">
      <c r="M9104" s="9"/>
      <c r="N9104" s="9"/>
      <c r="P9104" s="14"/>
      <c r="Q9104" s="85"/>
      <c r="R9104" s="89"/>
    </row>
    <row r="9105" spans="13:18" x14ac:dyDescent="0.25">
      <c r="M9105" s="9"/>
      <c r="N9105" s="9"/>
      <c r="P9105" s="14"/>
      <c r="Q9105" s="85"/>
      <c r="R9105" s="89"/>
    </row>
    <row r="9106" spans="13:18" x14ac:dyDescent="0.25">
      <c r="M9106" s="9"/>
      <c r="N9106" s="9"/>
      <c r="P9106" s="14"/>
      <c r="Q9106" s="85"/>
      <c r="R9106" s="89"/>
    </row>
    <row r="9107" spans="13:18" x14ac:dyDescent="0.25">
      <c r="M9107" s="9"/>
      <c r="N9107" s="9"/>
      <c r="P9107" s="14"/>
      <c r="Q9107" s="85"/>
      <c r="R9107" s="89"/>
    </row>
    <row r="9108" spans="13:18" x14ac:dyDescent="0.25">
      <c r="M9108" s="9"/>
      <c r="N9108" s="9"/>
      <c r="P9108" s="14"/>
      <c r="Q9108" s="85"/>
      <c r="R9108" s="89"/>
    </row>
    <row r="9109" spans="13:18" x14ac:dyDescent="0.25">
      <c r="M9109" s="9"/>
      <c r="N9109" s="9"/>
      <c r="P9109" s="14"/>
      <c r="Q9109" s="85"/>
      <c r="R9109" s="89"/>
    </row>
    <row r="9110" spans="13:18" x14ac:dyDescent="0.25">
      <c r="M9110" s="9"/>
      <c r="N9110" s="9"/>
      <c r="P9110" s="14"/>
      <c r="Q9110" s="85"/>
      <c r="R9110" s="89"/>
    </row>
    <row r="9111" spans="13:18" x14ac:dyDescent="0.25">
      <c r="M9111" s="9"/>
      <c r="N9111" s="9"/>
      <c r="P9111" s="14"/>
      <c r="Q9111" s="85"/>
      <c r="R9111" s="89"/>
    </row>
    <row r="9112" spans="13:18" x14ac:dyDescent="0.25">
      <c r="M9112" s="9"/>
      <c r="N9112" s="9"/>
      <c r="P9112" s="14"/>
      <c r="Q9112" s="85"/>
      <c r="R9112" s="89"/>
    </row>
    <row r="9113" spans="13:18" x14ac:dyDescent="0.25">
      <c r="M9113" s="9"/>
      <c r="N9113" s="9"/>
      <c r="P9113" s="14"/>
      <c r="Q9113" s="85"/>
      <c r="R9113" s="89"/>
    </row>
    <row r="9114" spans="13:18" x14ac:dyDescent="0.25">
      <c r="M9114" s="9"/>
      <c r="N9114" s="9"/>
      <c r="P9114" s="14"/>
      <c r="Q9114" s="85"/>
      <c r="R9114" s="89"/>
    </row>
    <row r="9115" spans="13:18" x14ac:dyDescent="0.25">
      <c r="M9115" s="9"/>
      <c r="N9115" s="9"/>
      <c r="P9115" s="14"/>
      <c r="Q9115" s="85"/>
      <c r="R9115" s="89"/>
    </row>
    <row r="9116" spans="13:18" x14ac:dyDescent="0.25">
      <c r="M9116" s="9"/>
      <c r="N9116" s="9"/>
      <c r="P9116" s="14"/>
      <c r="Q9116" s="85"/>
      <c r="R9116" s="89"/>
    </row>
    <row r="9117" spans="13:18" x14ac:dyDescent="0.25">
      <c r="M9117" s="9"/>
      <c r="N9117" s="9"/>
      <c r="P9117" s="14"/>
      <c r="Q9117" s="85"/>
      <c r="R9117" s="89"/>
    </row>
    <row r="9118" spans="13:18" x14ac:dyDescent="0.25">
      <c r="M9118" s="9"/>
      <c r="N9118" s="9"/>
      <c r="P9118" s="14"/>
      <c r="Q9118" s="85"/>
      <c r="R9118" s="89"/>
    </row>
    <row r="9119" spans="13:18" x14ac:dyDescent="0.25">
      <c r="M9119" s="9"/>
      <c r="N9119" s="9"/>
      <c r="P9119" s="14"/>
      <c r="Q9119" s="85"/>
      <c r="R9119" s="89"/>
    </row>
    <row r="9120" spans="13:18" x14ac:dyDescent="0.25">
      <c r="M9120" s="9"/>
      <c r="N9120" s="9"/>
      <c r="P9120" s="14"/>
      <c r="Q9120" s="85"/>
      <c r="R9120" s="89"/>
    </row>
    <row r="9121" spans="13:18" x14ac:dyDescent="0.25">
      <c r="M9121" s="9"/>
      <c r="N9121" s="9"/>
      <c r="P9121" s="14"/>
      <c r="Q9121" s="85"/>
      <c r="R9121" s="89"/>
    </row>
    <row r="9122" spans="13:18" x14ac:dyDescent="0.25">
      <c r="M9122" s="9"/>
      <c r="N9122" s="9"/>
      <c r="P9122" s="14"/>
      <c r="Q9122" s="85"/>
      <c r="R9122" s="89"/>
    </row>
    <row r="9123" spans="13:18" x14ac:dyDescent="0.25">
      <c r="M9123" s="9"/>
      <c r="N9123" s="9"/>
      <c r="P9123" s="14"/>
      <c r="Q9123" s="85"/>
      <c r="R9123" s="89"/>
    </row>
    <row r="9124" spans="13:18" x14ac:dyDescent="0.25">
      <c r="M9124" s="9"/>
      <c r="N9124" s="9"/>
      <c r="P9124" s="14"/>
      <c r="Q9124" s="85"/>
      <c r="R9124" s="89"/>
    </row>
    <row r="9125" spans="13:18" x14ac:dyDescent="0.25">
      <c r="M9125" s="9"/>
      <c r="N9125" s="9"/>
      <c r="P9125" s="14"/>
      <c r="Q9125" s="85"/>
      <c r="R9125" s="89"/>
    </row>
    <row r="9126" spans="13:18" x14ac:dyDescent="0.25">
      <c r="M9126" s="9"/>
      <c r="N9126" s="9"/>
      <c r="P9126" s="14"/>
      <c r="Q9126" s="85"/>
      <c r="R9126" s="89"/>
    </row>
    <row r="9127" spans="13:18" x14ac:dyDescent="0.25">
      <c r="M9127" s="9"/>
      <c r="N9127" s="9"/>
      <c r="P9127" s="14"/>
      <c r="Q9127" s="85"/>
      <c r="R9127" s="89"/>
    </row>
    <row r="9128" spans="13:18" x14ac:dyDescent="0.25">
      <c r="M9128" s="9"/>
      <c r="N9128" s="9"/>
      <c r="P9128" s="14"/>
      <c r="Q9128" s="85"/>
      <c r="R9128" s="89"/>
    </row>
    <row r="9129" spans="13:18" x14ac:dyDescent="0.25">
      <c r="M9129" s="9"/>
      <c r="N9129" s="9"/>
      <c r="P9129" s="14"/>
      <c r="Q9129" s="85"/>
      <c r="R9129" s="89"/>
    </row>
    <row r="9130" spans="13:18" x14ac:dyDescent="0.25">
      <c r="M9130" s="9"/>
      <c r="N9130" s="9"/>
      <c r="P9130" s="14"/>
      <c r="Q9130" s="85"/>
      <c r="R9130" s="89"/>
    </row>
    <row r="9131" spans="13:18" x14ac:dyDescent="0.25">
      <c r="M9131" s="9"/>
      <c r="N9131" s="9"/>
      <c r="P9131" s="14"/>
      <c r="Q9131" s="85"/>
      <c r="R9131" s="89"/>
    </row>
    <row r="9132" spans="13:18" x14ac:dyDescent="0.25">
      <c r="M9132" s="9"/>
      <c r="N9132" s="9"/>
      <c r="P9132" s="14"/>
      <c r="Q9132" s="85"/>
      <c r="R9132" s="89"/>
    </row>
    <row r="9133" spans="13:18" x14ac:dyDescent="0.25">
      <c r="M9133" s="9"/>
      <c r="N9133" s="9"/>
      <c r="P9133" s="14"/>
      <c r="Q9133" s="85"/>
      <c r="R9133" s="89"/>
    </row>
    <row r="9134" spans="13:18" x14ac:dyDescent="0.25">
      <c r="M9134" s="9"/>
      <c r="N9134" s="9"/>
      <c r="P9134" s="14"/>
      <c r="Q9134" s="85"/>
      <c r="R9134" s="89"/>
    </row>
    <row r="9135" spans="13:18" x14ac:dyDescent="0.25">
      <c r="M9135" s="9"/>
      <c r="N9135" s="9"/>
      <c r="P9135" s="14"/>
      <c r="Q9135" s="85"/>
      <c r="R9135" s="89"/>
    </row>
    <row r="9136" spans="13:18" x14ac:dyDescent="0.25">
      <c r="M9136" s="9"/>
      <c r="N9136" s="9"/>
      <c r="P9136" s="14"/>
      <c r="Q9136" s="85"/>
      <c r="R9136" s="89"/>
    </row>
    <row r="9137" spans="13:18" x14ac:dyDescent="0.25">
      <c r="M9137" s="9"/>
      <c r="N9137" s="9"/>
      <c r="P9137" s="14"/>
      <c r="Q9137" s="85"/>
      <c r="R9137" s="89"/>
    </row>
    <row r="9138" spans="13:18" x14ac:dyDescent="0.25">
      <c r="M9138" s="9"/>
      <c r="N9138" s="9"/>
      <c r="P9138" s="14"/>
      <c r="Q9138" s="85"/>
      <c r="R9138" s="89"/>
    </row>
    <row r="9139" spans="13:18" x14ac:dyDescent="0.25">
      <c r="M9139" s="9"/>
      <c r="N9139" s="9"/>
      <c r="P9139" s="14"/>
      <c r="Q9139" s="85"/>
      <c r="R9139" s="89"/>
    </row>
    <row r="9140" spans="13:18" x14ac:dyDescent="0.25">
      <c r="M9140" s="9"/>
      <c r="N9140" s="9"/>
      <c r="P9140" s="14"/>
      <c r="Q9140" s="85"/>
      <c r="R9140" s="89"/>
    </row>
    <row r="9141" spans="13:18" x14ac:dyDescent="0.25">
      <c r="M9141" s="9"/>
      <c r="N9141" s="9"/>
      <c r="P9141" s="14"/>
      <c r="Q9141" s="85"/>
      <c r="R9141" s="89"/>
    </row>
    <row r="9142" spans="13:18" x14ac:dyDescent="0.25">
      <c r="M9142" s="9"/>
      <c r="N9142" s="9"/>
      <c r="P9142" s="14"/>
      <c r="Q9142" s="85"/>
      <c r="R9142" s="89"/>
    </row>
    <row r="9143" spans="13:18" x14ac:dyDescent="0.25">
      <c r="M9143" s="9"/>
      <c r="N9143" s="9"/>
      <c r="P9143" s="14"/>
      <c r="Q9143" s="85"/>
      <c r="R9143" s="89"/>
    </row>
    <row r="9144" spans="13:18" x14ac:dyDescent="0.25">
      <c r="M9144" s="9"/>
      <c r="N9144" s="9"/>
      <c r="P9144" s="14"/>
      <c r="Q9144" s="85"/>
      <c r="R9144" s="89"/>
    </row>
    <row r="9145" spans="13:18" x14ac:dyDescent="0.25">
      <c r="M9145" s="9"/>
      <c r="N9145" s="9"/>
      <c r="P9145" s="14"/>
      <c r="Q9145" s="85"/>
      <c r="R9145" s="89"/>
    </row>
    <row r="9146" spans="13:18" x14ac:dyDescent="0.25">
      <c r="M9146" s="9"/>
      <c r="N9146" s="9"/>
      <c r="P9146" s="14"/>
      <c r="Q9146" s="85"/>
      <c r="R9146" s="89"/>
    </row>
    <row r="9147" spans="13:18" x14ac:dyDescent="0.25">
      <c r="M9147" s="9"/>
      <c r="N9147" s="9"/>
      <c r="P9147" s="14"/>
      <c r="Q9147" s="85"/>
      <c r="R9147" s="89"/>
    </row>
    <row r="9148" spans="13:18" x14ac:dyDescent="0.25">
      <c r="M9148" s="9"/>
      <c r="N9148" s="9"/>
      <c r="P9148" s="14"/>
      <c r="Q9148" s="85"/>
      <c r="R9148" s="89"/>
    </row>
    <row r="9149" spans="13:18" x14ac:dyDescent="0.25">
      <c r="M9149" s="9"/>
      <c r="N9149" s="9"/>
      <c r="P9149" s="14"/>
      <c r="Q9149" s="85"/>
      <c r="R9149" s="89"/>
    </row>
    <row r="9150" spans="13:18" x14ac:dyDescent="0.25">
      <c r="M9150" s="9"/>
      <c r="N9150" s="9"/>
      <c r="P9150" s="14"/>
      <c r="Q9150" s="85"/>
      <c r="R9150" s="89"/>
    </row>
    <row r="9151" spans="13:18" x14ac:dyDescent="0.25">
      <c r="M9151" s="9"/>
      <c r="N9151" s="9"/>
      <c r="P9151" s="14"/>
      <c r="Q9151" s="85"/>
      <c r="R9151" s="89"/>
    </row>
    <row r="9152" spans="13:18" x14ac:dyDescent="0.25">
      <c r="M9152" s="9"/>
      <c r="N9152" s="9"/>
      <c r="P9152" s="14"/>
      <c r="Q9152" s="85"/>
      <c r="R9152" s="89"/>
    </row>
    <row r="9153" spans="13:18" x14ac:dyDescent="0.25">
      <c r="M9153" s="9"/>
      <c r="N9153" s="9"/>
      <c r="P9153" s="14"/>
      <c r="Q9153" s="85"/>
      <c r="R9153" s="89"/>
    </row>
    <row r="9154" spans="13:18" x14ac:dyDescent="0.25">
      <c r="M9154" s="9"/>
      <c r="N9154" s="9"/>
      <c r="P9154" s="14"/>
      <c r="Q9154" s="85"/>
      <c r="R9154" s="89"/>
    </row>
    <row r="9155" spans="13:18" x14ac:dyDescent="0.25">
      <c r="M9155" s="9"/>
      <c r="N9155" s="9"/>
      <c r="P9155" s="14"/>
      <c r="Q9155" s="85"/>
      <c r="R9155" s="89"/>
    </row>
    <row r="9156" spans="13:18" x14ac:dyDescent="0.25">
      <c r="M9156" s="9"/>
      <c r="N9156" s="9"/>
      <c r="P9156" s="14"/>
      <c r="Q9156" s="85"/>
      <c r="R9156" s="89"/>
    </row>
    <row r="9157" spans="13:18" x14ac:dyDescent="0.25">
      <c r="M9157" s="9"/>
      <c r="N9157" s="9"/>
      <c r="P9157" s="14"/>
      <c r="Q9157" s="85"/>
      <c r="R9157" s="89"/>
    </row>
    <row r="9158" spans="13:18" x14ac:dyDescent="0.25">
      <c r="M9158" s="9"/>
      <c r="N9158" s="9"/>
      <c r="P9158" s="14"/>
      <c r="Q9158" s="85"/>
      <c r="R9158" s="89"/>
    </row>
    <row r="9159" spans="13:18" x14ac:dyDescent="0.25">
      <c r="M9159" s="9"/>
      <c r="N9159" s="9"/>
      <c r="P9159" s="14"/>
      <c r="Q9159" s="85"/>
      <c r="R9159" s="89"/>
    </row>
    <row r="9160" spans="13:18" x14ac:dyDescent="0.25">
      <c r="M9160" s="9"/>
      <c r="N9160" s="9"/>
      <c r="P9160" s="14"/>
      <c r="Q9160" s="85"/>
      <c r="R9160" s="89"/>
    </row>
    <row r="9161" spans="13:18" x14ac:dyDescent="0.25">
      <c r="M9161" s="9"/>
      <c r="N9161" s="9"/>
      <c r="P9161" s="14"/>
      <c r="Q9161" s="85"/>
      <c r="R9161" s="89"/>
    </row>
    <row r="9162" spans="13:18" x14ac:dyDescent="0.25">
      <c r="M9162" s="9"/>
      <c r="N9162" s="9"/>
      <c r="P9162" s="14"/>
      <c r="Q9162" s="85"/>
      <c r="R9162" s="89"/>
    </row>
    <row r="9163" spans="13:18" x14ac:dyDescent="0.25">
      <c r="M9163" s="9"/>
      <c r="N9163" s="9"/>
      <c r="P9163" s="14"/>
      <c r="Q9163" s="85"/>
      <c r="R9163" s="89"/>
    </row>
    <row r="9164" spans="13:18" x14ac:dyDescent="0.25">
      <c r="M9164" s="9"/>
      <c r="N9164" s="9"/>
      <c r="P9164" s="14"/>
      <c r="Q9164" s="85"/>
      <c r="R9164" s="89"/>
    </row>
    <row r="9165" spans="13:18" x14ac:dyDescent="0.25">
      <c r="M9165" s="9"/>
      <c r="N9165" s="9"/>
      <c r="P9165" s="14"/>
      <c r="Q9165" s="85"/>
      <c r="R9165" s="89"/>
    </row>
    <row r="9166" spans="13:18" x14ac:dyDescent="0.25">
      <c r="M9166" s="9"/>
      <c r="N9166" s="9"/>
      <c r="P9166" s="14"/>
      <c r="Q9166" s="85"/>
      <c r="R9166" s="89"/>
    </row>
    <row r="9167" spans="13:18" x14ac:dyDescent="0.25">
      <c r="M9167" s="9"/>
      <c r="N9167" s="9"/>
      <c r="P9167" s="14"/>
      <c r="Q9167" s="85"/>
      <c r="R9167" s="89"/>
    </row>
    <row r="9168" spans="13:18" x14ac:dyDescent="0.25">
      <c r="M9168" s="9"/>
      <c r="N9168" s="9"/>
      <c r="P9168" s="14"/>
      <c r="Q9168" s="85"/>
      <c r="R9168" s="89"/>
    </row>
    <row r="9169" spans="13:18" x14ac:dyDescent="0.25">
      <c r="M9169" s="9"/>
      <c r="N9169" s="9"/>
      <c r="P9169" s="14"/>
      <c r="Q9169" s="85"/>
      <c r="R9169" s="89"/>
    </row>
    <row r="9170" spans="13:18" x14ac:dyDescent="0.25">
      <c r="M9170" s="9"/>
      <c r="N9170" s="9"/>
      <c r="P9170" s="14"/>
      <c r="Q9170" s="85"/>
      <c r="R9170" s="89"/>
    </row>
    <row r="9171" spans="13:18" x14ac:dyDescent="0.25">
      <c r="M9171" s="9"/>
      <c r="N9171" s="9"/>
      <c r="P9171" s="14"/>
      <c r="Q9171" s="85"/>
      <c r="R9171" s="89"/>
    </row>
    <row r="9172" spans="13:18" x14ac:dyDescent="0.25">
      <c r="M9172" s="9"/>
      <c r="N9172" s="9"/>
      <c r="P9172" s="14"/>
      <c r="Q9172" s="85"/>
      <c r="R9172" s="89"/>
    </row>
    <row r="9173" spans="13:18" x14ac:dyDescent="0.25">
      <c r="M9173" s="9"/>
      <c r="N9173" s="9"/>
      <c r="P9173" s="14"/>
      <c r="Q9173" s="85"/>
      <c r="R9173" s="89"/>
    </row>
    <row r="9174" spans="13:18" x14ac:dyDescent="0.25">
      <c r="M9174" s="9"/>
      <c r="N9174" s="9"/>
      <c r="P9174" s="14"/>
      <c r="Q9174" s="85"/>
      <c r="R9174" s="89"/>
    </row>
    <row r="9175" spans="13:18" x14ac:dyDescent="0.25">
      <c r="M9175" s="9"/>
      <c r="N9175" s="9"/>
      <c r="P9175" s="14"/>
      <c r="Q9175" s="85"/>
      <c r="R9175" s="89"/>
    </row>
    <row r="9176" spans="13:18" x14ac:dyDescent="0.25">
      <c r="M9176" s="9"/>
      <c r="N9176" s="9"/>
      <c r="P9176" s="14"/>
      <c r="Q9176" s="85"/>
      <c r="R9176" s="89"/>
    </row>
    <row r="9177" spans="13:18" x14ac:dyDescent="0.25">
      <c r="M9177" s="9"/>
      <c r="N9177" s="9"/>
      <c r="P9177" s="14"/>
      <c r="Q9177" s="85"/>
      <c r="R9177" s="89"/>
    </row>
    <row r="9178" spans="13:18" x14ac:dyDescent="0.25">
      <c r="M9178" s="9"/>
      <c r="N9178" s="9"/>
      <c r="P9178" s="14"/>
      <c r="Q9178" s="85"/>
      <c r="R9178" s="89"/>
    </row>
    <row r="9179" spans="13:18" x14ac:dyDescent="0.25">
      <c r="M9179" s="9"/>
      <c r="N9179" s="9"/>
      <c r="P9179" s="14"/>
      <c r="Q9179" s="85"/>
      <c r="R9179" s="89"/>
    </row>
    <row r="9180" spans="13:18" x14ac:dyDescent="0.25">
      <c r="M9180" s="9"/>
      <c r="N9180" s="9"/>
      <c r="P9180" s="14"/>
      <c r="Q9180" s="85"/>
      <c r="R9180" s="89"/>
    </row>
    <row r="9181" spans="13:18" x14ac:dyDescent="0.25">
      <c r="M9181" s="9"/>
      <c r="N9181" s="9"/>
      <c r="P9181" s="14"/>
      <c r="Q9181" s="85"/>
      <c r="R9181" s="89"/>
    </row>
    <row r="9182" spans="13:18" x14ac:dyDescent="0.25">
      <c r="M9182" s="9"/>
      <c r="N9182" s="9"/>
      <c r="P9182" s="14"/>
      <c r="Q9182" s="85"/>
      <c r="R9182" s="89"/>
    </row>
    <row r="9183" spans="13:18" x14ac:dyDescent="0.25">
      <c r="M9183" s="9"/>
      <c r="N9183" s="9"/>
      <c r="P9183" s="14"/>
      <c r="Q9183" s="85"/>
      <c r="R9183" s="89"/>
    </row>
    <row r="9184" spans="13:18" x14ac:dyDescent="0.25">
      <c r="M9184" s="9"/>
      <c r="N9184" s="9"/>
      <c r="P9184" s="14"/>
      <c r="Q9184" s="85"/>
      <c r="R9184" s="89"/>
    </row>
    <row r="9185" spans="13:18" x14ac:dyDescent="0.25">
      <c r="M9185" s="9"/>
      <c r="N9185" s="9"/>
      <c r="P9185" s="14"/>
      <c r="Q9185" s="85"/>
      <c r="R9185" s="89"/>
    </row>
    <row r="9186" spans="13:18" x14ac:dyDescent="0.25">
      <c r="M9186" s="9"/>
      <c r="N9186" s="9"/>
      <c r="P9186" s="14"/>
      <c r="Q9186" s="85"/>
      <c r="R9186" s="89"/>
    </row>
    <row r="9187" spans="13:18" x14ac:dyDescent="0.25">
      <c r="M9187" s="9"/>
      <c r="N9187" s="9"/>
      <c r="P9187" s="14"/>
      <c r="Q9187" s="85"/>
      <c r="R9187" s="89"/>
    </row>
    <row r="9188" spans="13:18" x14ac:dyDescent="0.25">
      <c r="M9188" s="9"/>
      <c r="N9188" s="9"/>
      <c r="P9188" s="14"/>
      <c r="Q9188" s="85"/>
      <c r="R9188" s="89"/>
    </row>
    <row r="9189" spans="13:18" x14ac:dyDescent="0.25">
      <c r="M9189" s="9"/>
      <c r="N9189" s="9"/>
      <c r="P9189" s="14"/>
      <c r="Q9189" s="85"/>
      <c r="R9189" s="89"/>
    </row>
    <row r="9190" spans="13:18" x14ac:dyDescent="0.25">
      <c r="M9190" s="9"/>
      <c r="N9190" s="9"/>
      <c r="P9190" s="14"/>
      <c r="Q9190" s="85"/>
      <c r="R9190" s="89"/>
    </row>
    <row r="9191" spans="13:18" x14ac:dyDescent="0.25">
      <c r="M9191" s="9"/>
      <c r="N9191" s="9"/>
      <c r="P9191" s="14"/>
      <c r="Q9191" s="85"/>
      <c r="R9191" s="89"/>
    </row>
    <row r="9192" spans="13:18" x14ac:dyDescent="0.25">
      <c r="M9192" s="9"/>
      <c r="N9192" s="9"/>
      <c r="P9192" s="14"/>
      <c r="Q9192" s="85"/>
      <c r="R9192" s="89"/>
    </row>
    <row r="9193" spans="13:18" x14ac:dyDescent="0.25">
      <c r="M9193" s="9"/>
      <c r="N9193" s="9"/>
      <c r="P9193" s="14"/>
      <c r="Q9193" s="85"/>
      <c r="R9193" s="89"/>
    </row>
    <row r="9194" spans="13:18" x14ac:dyDescent="0.25">
      <c r="M9194" s="9"/>
      <c r="N9194" s="9"/>
      <c r="P9194" s="14"/>
      <c r="Q9194" s="85"/>
      <c r="R9194" s="89"/>
    </row>
    <row r="9195" spans="13:18" x14ac:dyDescent="0.25">
      <c r="M9195" s="9"/>
      <c r="N9195" s="9"/>
      <c r="P9195" s="14"/>
      <c r="Q9195" s="85"/>
      <c r="R9195" s="89"/>
    </row>
    <row r="9196" spans="13:18" x14ac:dyDescent="0.25">
      <c r="M9196" s="9"/>
      <c r="N9196" s="9"/>
      <c r="P9196" s="14"/>
      <c r="Q9196" s="85"/>
      <c r="R9196" s="89"/>
    </row>
    <row r="9197" spans="13:18" x14ac:dyDescent="0.25">
      <c r="M9197" s="9"/>
      <c r="N9197" s="9"/>
      <c r="P9197" s="14"/>
      <c r="Q9197" s="85"/>
      <c r="R9197" s="89"/>
    </row>
    <row r="9198" spans="13:18" x14ac:dyDescent="0.25">
      <c r="M9198" s="9"/>
      <c r="N9198" s="9"/>
      <c r="P9198" s="14"/>
      <c r="Q9198" s="85"/>
      <c r="R9198" s="89"/>
    </row>
    <row r="9199" spans="13:18" x14ac:dyDescent="0.25">
      <c r="M9199" s="9"/>
      <c r="N9199" s="9"/>
      <c r="P9199" s="14"/>
      <c r="Q9199" s="85"/>
      <c r="R9199" s="89"/>
    </row>
    <row r="9200" spans="13:18" x14ac:dyDescent="0.25">
      <c r="M9200" s="9"/>
      <c r="N9200" s="9"/>
      <c r="P9200" s="14"/>
      <c r="Q9200" s="85"/>
      <c r="R9200" s="89"/>
    </row>
    <row r="9201" spans="13:18" x14ac:dyDescent="0.25">
      <c r="M9201" s="9"/>
      <c r="N9201" s="9"/>
      <c r="P9201" s="14"/>
      <c r="Q9201" s="85"/>
      <c r="R9201" s="89"/>
    </row>
    <row r="9202" spans="13:18" x14ac:dyDescent="0.25">
      <c r="M9202" s="9"/>
      <c r="N9202" s="9"/>
      <c r="P9202" s="14"/>
      <c r="Q9202" s="85"/>
      <c r="R9202" s="89"/>
    </row>
    <row r="9203" spans="13:18" x14ac:dyDescent="0.25">
      <c r="M9203" s="9"/>
      <c r="N9203" s="9"/>
      <c r="P9203" s="14"/>
      <c r="Q9203" s="85"/>
      <c r="R9203" s="89"/>
    </row>
    <row r="9204" spans="13:18" x14ac:dyDescent="0.25">
      <c r="M9204" s="9"/>
      <c r="N9204" s="9"/>
      <c r="P9204" s="14"/>
      <c r="Q9204" s="85"/>
      <c r="R9204" s="89"/>
    </row>
    <row r="9205" spans="13:18" x14ac:dyDescent="0.25">
      <c r="M9205" s="9"/>
      <c r="N9205" s="9"/>
      <c r="P9205" s="14"/>
      <c r="Q9205" s="85"/>
      <c r="R9205" s="89"/>
    </row>
    <row r="9206" spans="13:18" x14ac:dyDescent="0.25">
      <c r="M9206" s="9"/>
      <c r="N9206" s="9"/>
      <c r="P9206" s="14"/>
      <c r="Q9206" s="85"/>
      <c r="R9206" s="89"/>
    </row>
    <row r="9207" spans="13:18" x14ac:dyDescent="0.25">
      <c r="M9207" s="9"/>
      <c r="N9207" s="9"/>
      <c r="P9207" s="14"/>
      <c r="Q9207" s="85"/>
      <c r="R9207" s="89"/>
    </row>
    <row r="9208" spans="13:18" x14ac:dyDescent="0.25">
      <c r="M9208" s="9"/>
      <c r="N9208" s="9"/>
      <c r="P9208" s="14"/>
      <c r="Q9208" s="85"/>
      <c r="R9208" s="89"/>
    </row>
    <row r="9209" spans="13:18" x14ac:dyDescent="0.25">
      <c r="M9209" s="9"/>
      <c r="N9209" s="9"/>
      <c r="P9209" s="14"/>
      <c r="Q9209" s="85"/>
      <c r="R9209" s="89"/>
    </row>
    <row r="9210" spans="13:18" x14ac:dyDescent="0.25">
      <c r="M9210" s="9"/>
      <c r="N9210" s="9"/>
      <c r="P9210" s="14"/>
      <c r="Q9210" s="85"/>
      <c r="R9210" s="89"/>
    </row>
    <row r="9211" spans="13:18" x14ac:dyDescent="0.25">
      <c r="M9211" s="9"/>
      <c r="N9211" s="9"/>
      <c r="P9211" s="14"/>
      <c r="Q9211" s="85"/>
      <c r="R9211" s="89"/>
    </row>
    <row r="9212" spans="13:18" x14ac:dyDescent="0.25">
      <c r="M9212" s="9"/>
      <c r="N9212" s="9"/>
      <c r="P9212" s="14"/>
      <c r="Q9212" s="85"/>
      <c r="R9212" s="89"/>
    </row>
    <row r="9213" spans="13:18" x14ac:dyDescent="0.25">
      <c r="M9213" s="9"/>
      <c r="N9213" s="9"/>
      <c r="P9213" s="14"/>
      <c r="Q9213" s="85"/>
      <c r="R9213" s="89"/>
    </row>
    <row r="9214" spans="13:18" x14ac:dyDescent="0.25">
      <c r="M9214" s="9"/>
      <c r="N9214" s="9"/>
      <c r="P9214" s="14"/>
      <c r="Q9214" s="85"/>
      <c r="R9214" s="89"/>
    </row>
    <row r="9215" spans="13:18" x14ac:dyDescent="0.25">
      <c r="M9215" s="9"/>
      <c r="N9215" s="9"/>
      <c r="P9215" s="14"/>
      <c r="Q9215" s="85"/>
      <c r="R9215" s="89"/>
    </row>
    <row r="9216" spans="13:18" x14ac:dyDescent="0.25">
      <c r="M9216" s="9"/>
      <c r="N9216" s="9"/>
      <c r="P9216" s="14"/>
      <c r="Q9216" s="85"/>
      <c r="R9216" s="89"/>
    </row>
    <row r="9217" spans="13:18" x14ac:dyDescent="0.25">
      <c r="M9217" s="9"/>
      <c r="N9217" s="9"/>
      <c r="P9217" s="14"/>
      <c r="Q9217" s="85"/>
      <c r="R9217" s="89"/>
    </row>
    <row r="9218" spans="13:18" x14ac:dyDescent="0.25">
      <c r="M9218" s="9"/>
      <c r="N9218" s="9"/>
      <c r="P9218" s="14"/>
      <c r="Q9218" s="85"/>
      <c r="R9218" s="89"/>
    </row>
    <row r="9219" spans="13:18" x14ac:dyDescent="0.25">
      <c r="M9219" s="9"/>
      <c r="N9219" s="9"/>
      <c r="P9219" s="14"/>
      <c r="Q9219" s="85"/>
      <c r="R9219" s="89"/>
    </row>
    <row r="9220" spans="13:18" x14ac:dyDescent="0.25">
      <c r="M9220" s="9"/>
      <c r="N9220" s="9"/>
      <c r="P9220" s="14"/>
      <c r="Q9220" s="85"/>
      <c r="R9220" s="89"/>
    </row>
    <row r="9221" spans="13:18" x14ac:dyDescent="0.25">
      <c r="M9221" s="9"/>
      <c r="N9221" s="9"/>
      <c r="P9221" s="14"/>
      <c r="Q9221" s="85"/>
      <c r="R9221" s="89"/>
    </row>
    <row r="9222" spans="13:18" x14ac:dyDescent="0.25">
      <c r="M9222" s="9"/>
      <c r="N9222" s="9"/>
      <c r="P9222" s="14"/>
      <c r="Q9222" s="85"/>
      <c r="R9222" s="89"/>
    </row>
    <row r="9223" spans="13:18" x14ac:dyDescent="0.25">
      <c r="M9223" s="9"/>
      <c r="N9223" s="9"/>
      <c r="P9223" s="14"/>
      <c r="Q9223" s="85"/>
      <c r="R9223" s="89"/>
    </row>
    <row r="9224" spans="13:18" x14ac:dyDescent="0.25">
      <c r="M9224" s="9"/>
      <c r="N9224" s="9"/>
      <c r="P9224" s="14"/>
      <c r="Q9224" s="85"/>
      <c r="R9224" s="89"/>
    </row>
    <row r="9225" spans="13:18" x14ac:dyDescent="0.25">
      <c r="M9225" s="9"/>
      <c r="N9225" s="9"/>
      <c r="P9225" s="14"/>
      <c r="Q9225" s="85"/>
      <c r="R9225" s="89"/>
    </row>
    <row r="9226" spans="13:18" x14ac:dyDescent="0.25">
      <c r="M9226" s="9"/>
      <c r="N9226" s="9"/>
      <c r="P9226" s="14"/>
      <c r="Q9226" s="85"/>
      <c r="R9226" s="89"/>
    </row>
    <row r="9227" spans="13:18" x14ac:dyDescent="0.25">
      <c r="M9227" s="9"/>
      <c r="N9227" s="9"/>
      <c r="P9227" s="14"/>
      <c r="Q9227" s="85"/>
      <c r="R9227" s="89"/>
    </row>
    <row r="9228" spans="13:18" x14ac:dyDescent="0.25">
      <c r="M9228" s="9"/>
      <c r="N9228" s="9"/>
      <c r="P9228" s="14"/>
      <c r="Q9228" s="85"/>
      <c r="R9228" s="89"/>
    </row>
    <row r="9229" spans="13:18" x14ac:dyDescent="0.25">
      <c r="M9229" s="9"/>
      <c r="N9229" s="9"/>
      <c r="P9229" s="14"/>
      <c r="Q9229" s="85"/>
      <c r="R9229" s="89"/>
    </row>
    <row r="9230" spans="13:18" x14ac:dyDescent="0.25">
      <c r="M9230" s="9"/>
      <c r="N9230" s="9"/>
      <c r="P9230" s="14"/>
      <c r="Q9230" s="85"/>
      <c r="R9230" s="89"/>
    </row>
    <row r="9231" spans="13:18" x14ac:dyDescent="0.25">
      <c r="M9231" s="9"/>
      <c r="N9231" s="9"/>
      <c r="P9231" s="14"/>
      <c r="Q9231" s="85"/>
      <c r="R9231" s="89"/>
    </row>
    <row r="9232" spans="13:18" x14ac:dyDescent="0.25">
      <c r="M9232" s="9"/>
      <c r="N9232" s="9"/>
      <c r="P9232" s="14"/>
      <c r="Q9232" s="85"/>
      <c r="R9232" s="89"/>
    </row>
    <row r="9233" spans="13:18" x14ac:dyDescent="0.25">
      <c r="M9233" s="9"/>
      <c r="N9233" s="9"/>
      <c r="P9233" s="14"/>
      <c r="Q9233" s="85"/>
      <c r="R9233" s="89"/>
    </row>
    <row r="9234" spans="13:18" x14ac:dyDescent="0.25">
      <c r="M9234" s="9"/>
      <c r="N9234" s="9"/>
      <c r="P9234" s="14"/>
      <c r="Q9234" s="85"/>
      <c r="R9234" s="89"/>
    </row>
    <row r="9235" spans="13:18" x14ac:dyDescent="0.25">
      <c r="M9235" s="9"/>
      <c r="N9235" s="9"/>
      <c r="P9235" s="14"/>
      <c r="Q9235" s="85"/>
      <c r="R9235" s="89"/>
    </row>
    <row r="9236" spans="13:18" x14ac:dyDescent="0.25">
      <c r="M9236" s="9"/>
      <c r="N9236" s="9"/>
      <c r="P9236" s="14"/>
      <c r="Q9236" s="85"/>
      <c r="R9236" s="89"/>
    </row>
    <row r="9237" spans="13:18" x14ac:dyDescent="0.25">
      <c r="M9237" s="9"/>
      <c r="N9237" s="9"/>
      <c r="P9237" s="14"/>
      <c r="Q9237" s="85"/>
      <c r="R9237" s="89"/>
    </row>
    <row r="9238" spans="13:18" x14ac:dyDescent="0.25">
      <c r="M9238" s="9"/>
      <c r="N9238" s="9"/>
      <c r="P9238" s="14"/>
      <c r="Q9238" s="85"/>
      <c r="R9238" s="89"/>
    </row>
    <row r="9239" spans="13:18" x14ac:dyDescent="0.25">
      <c r="M9239" s="9"/>
      <c r="N9239" s="9"/>
      <c r="P9239" s="14"/>
      <c r="Q9239" s="85"/>
      <c r="R9239" s="89"/>
    </row>
    <row r="9240" spans="13:18" x14ac:dyDescent="0.25">
      <c r="M9240" s="9"/>
      <c r="N9240" s="9"/>
      <c r="P9240" s="14"/>
      <c r="Q9240" s="85"/>
      <c r="R9240" s="89"/>
    </row>
    <row r="9241" spans="13:18" x14ac:dyDescent="0.25">
      <c r="M9241" s="9"/>
      <c r="N9241" s="9"/>
      <c r="P9241" s="14"/>
      <c r="Q9241" s="85"/>
      <c r="R9241" s="89"/>
    </row>
    <row r="9242" spans="13:18" x14ac:dyDescent="0.25">
      <c r="M9242" s="9"/>
      <c r="N9242" s="9"/>
      <c r="P9242" s="14"/>
      <c r="Q9242" s="85"/>
      <c r="R9242" s="89"/>
    </row>
    <row r="9243" spans="13:18" x14ac:dyDescent="0.25">
      <c r="M9243" s="9"/>
      <c r="N9243" s="9"/>
      <c r="P9243" s="14"/>
      <c r="Q9243" s="85"/>
      <c r="R9243" s="89"/>
    </row>
    <row r="9244" spans="13:18" x14ac:dyDescent="0.25">
      <c r="M9244" s="9"/>
      <c r="N9244" s="9"/>
      <c r="P9244" s="14"/>
      <c r="Q9244" s="85"/>
      <c r="R9244" s="89"/>
    </row>
    <row r="9245" spans="13:18" x14ac:dyDescent="0.25">
      <c r="M9245" s="9"/>
      <c r="N9245" s="9"/>
      <c r="P9245" s="14"/>
      <c r="Q9245" s="85"/>
      <c r="R9245" s="89"/>
    </row>
    <row r="9246" spans="13:18" x14ac:dyDescent="0.25">
      <c r="M9246" s="9"/>
      <c r="N9246" s="9"/>
      <c r="P9246" s="14"/>
      <c r="Q9246" s="85"/>
      <c r="R9246" s="89"/>
    </row>
    <row r="9247" spans="13:18" x14ac:dyDescent="0.25">
      <c r="M9247" s="9"/>
      <c r="N9247" s="9"/>
      <c r="P9247" s="14"/>
      <c r="Q9247" s="85"/>
      <c r="R9247" s="89"/>
    </row>
    <row r="9248" spans="13:18" x14ac:dyDescent="0.25">
      <c r="M9248" s="9"/>
      <c r="N9248" s="9"/>
      <c r="P9248" s="14"/>
      <c r="Q9248" s="85"/>
      <c r="R9248" s="89"/>
    </row>
    <row r="9249" spans="13:18" x14ac:dyDescent="0.25">
      <c r="M9249" s="9"/>
      <c r="N9249" s="9"/>
      <c r="P9249" s="14"/>
      <c r="Q9249" s="85"/>
      <c r="R9249" s="89"/>
    </row>
    <row r="9250" spans="13:18" x14ac:dyDescent="0.25">
      <c r="M9250" s="9"/>
      <c r="N9250" s="9"/>
      <c r="P9250" s="14"/>
      <c r="Q9250" s="85"/>
      <c r="R9250" s="89"/>
    </row>
    <row r="9251" spans="13:18" x14ac:dyDescent="0.25">
      <c r="M9251" s="9"/>
      <c r="N9251" s="9"/>
      <c r="P9251" s="14"/>
      <c r="Q9251" s="85"/>
      <c r="R9251" s="89"/>
    </row>
    <row r="9252" spans="13:18" x14ac:dyDescent="0.25">
      <c r="M9252" s="9"/>
      <c r="N9252" s="9"/>
      <c r="P9252" s="14"/>
      <c r="Q9252" s="85"/>
      <c r="R9252" s="89"/>
    </row>
    <row r="9253" spans="13:18" x14ac:dyDescent="0.25">
      <c r="M9253" s="9"/>
      <c r="N9253" s="9"/>
      <c r="P9253" s="14"/>
      <c r="Q9253" s="85"/>
      <c r="R9253" s="89"/>
    </row>
    <row r="9254" spans="13:18" x14ac:dyDescent="0.25">
      <c r="M9254" s="9"/>
      <c r="N9254" s="9"/>
      <c r="P9254" s="14"/>
      <c r="Q9254" s="85"/>
      <c r="R9254" s="89"/>
    </row>
    <row r="9255" spans="13:18" x14ac:dyDescent="0.25">
      <c r="M9255" s="9"/>
      <c r="N9255" s="9"/>
      <c r="P9255" s="14"/>
      <c r="Q9255" s="85"/>
      <c r="R9255" s="89"/>
    </row>
    <row r="9256" spans="13:18" x14ac:dyDescent="0.25">
      <c r="M9256" s="9"/>
      <c r="N9256" s="9"/>
      <c r="P9256" s="14"/>
      <c r="Q9256" s="85"/>
      <c r="R9256" s="89"/>
    </row>
    <row r="9257" spans="13:18" x14ac:dyDescent="0.25">
      <c r="M9257" s="9"/>
      <c r="N9257" s="9"/>
      <c r="P9257" s="14"/>
      <c r="Q9257" s="85"/>
      <c r="R9257" s="89"/>
    </row>
    <row r="9258" spans="13:18" x14ac:dyDescent="0.25">
      <c r="M9258" s="9"/>
      <c r="N9258" s="9"/>
      <c r="P9258" s="14"/>
      <c r="Q9258" s="85"/>
      <c r="R9258" s="89"/>
    </row>
    <row r="9259" spans="13:18" x14ac:dyDescent="0.25">
      <c r="M9259" s="9"/>
      <c r="N9259" s="9"/>
      <c r="P9259" s="14"/>
      <c r="Q9259" s="85"/>
      <c r="R9259" s="89"/>
    </row>
    <row r="9260" spans="13:18" x14ac:dyDescent="0.25">
      <c r="M9260" s="9"/>
      <c r="N9260" s="9"/>
      <c r="P9260" s="14"/>
      <c r="Q9260" s="85"/>
      <c r="R9260" s="89"/>
    </row>
    <row r="9261" spans="13:18" x14ac:dyDescent="0.25">
      <c r="M9261" s="9"/>
      <c r="N9261" s="9"/>
      <c r="P9261" s="14"/>
      <c r="Q9261" s="85"/>
      <c r="R9261" s="89"/>
    </row>
    <row r="9262" spans="13:18" x14ac:dyDescent="0.25">
      <c r="M9262" s="9"/>
      <c r="N9262" s="9"/>
      <c r="P9262" s="14"/>
      <c r="Q9262" s="85"/>
      <c r="R9262" s="89"/>
    </row>
    <row r="9263" spans="13:18" x14ac:dyDescent="0.25">
      <c r="M9263" s="9"/>
      <c r="N9263" s="9"/>
      <c r="P9263" s="14"/>
      <c r="Q9263" s="85"/>
      <c r="R9263" s="89"/>
    </row>
    <row r="9264" spans="13:18" x14ac:dyDescent="0.25">
      <c r="M9264" s="9"/>
      <c r="N9264" s="9"/>
      <c r="P9264" s="14"/>
      <c r="Q9264" s="85"/>
      <c r="R9264" s="89"/>
    </row>
    <row r="9265" spans="13:18" x14ac:dyDescent="0.25">
      <c r="M9265" s="9"/>
      <c r="N9265" s="9"/>
      <c r="P9265" s="14"/>
      <c r="Q9265" s="85"/>
      <c r="R9265" s="89"/>
    </row>
    <row r="9266" spans="13:18" x14ac:dyDescent="0.25">
      <c r="M9266" s="9"/>
      <c r="N9266" s="9"/>
      <c r="P9266" s="14"/>
      <c r="Q9266" s="85"/>
      <c r="R9266" s="89"/>
    </row>
    <row r="9267" spans="13:18" x14ac:dyDescent="0.25">
      <c r="M9267" s="9"/>
      <c r="N9267" s="9"/>
      <c r="P9267" s="14"/>
      <c r="Q9267" s="85"/>
      <c r="R9267" s="89"/>
    </row>
    <row r="9268" spans="13:18" x14ac:dyDescent="0.25">
      <c r="M9268" s="9"/>
      <c r="N9268" s="9"/>
      <c r="P9268" s="14"/>
      <c r="Q9268" s="85"/>
      <c r="R9268" s="89"/>
    </row>
    <row r="9269" spans="13:18" x14ac:dyDescent="0.25">
      <c r="M9269" s="9"/>
      <c r="N9269" s="9"/>
      <c r="P9269" s="14"/>
      <c r="Q9269" s="85"/>
      <c r="R9269" s="89"/>
    </row>
    <row r="9270" spans="13:18" x14ac:dyDescent="0.25">
      <c r="M9270" s="9"/>
      <c r="N9270" s="9"/>
      <c r="P9270" s="14"/>
      <c r="Q9270" s="85"/>
      <c r="R9270" s="89"/>
    </row>
    <row r="9271" spans="13:18" x14ac:dyDescent="0.25">
      <c r="M9271" s="9"/>
      <c r="N9271" s="9"/>
      <c r="P9271" s="14"/>
      <c r="Q9271" s="85"/>
      <c r="R9271" s="89"/>
    </row>
    <row r="9272" spans="13:18" x14ac:dyDescent="0.25">
      <c r="M9272" s="9"/>
      <c r="N9272" s="9"/>
      <c r="P9272" s="14"/>
      <c r="Q9272" s="85"/>
      <c r="R9272" s="89"/>
    </row>
    <row r="9273" spans="13:18" x14ac:dyDescent="0.25">
      <c r="M9273" s="9"/>
      <c r="N9273" s="9"/>
      <c r="P9273" s="14"/>
      <c r="Q9273" s="85"/>
      <c r="R9273" s="89"/>
    </row>
    <row r="9274" spans="13:18" x14ac:dyDescent="0.25">
      <c r="M9274" s="9"/>
      <c r="N9274" s="9"/>
      <c r="P9274" s="14"/>
      <c r="Q9274" s="85"/>
      <c r="R9274" s="89"/>
    </row>
    <row r="9275" spans="13:18" x14ac:dyDescent="0.25">
      <c r="M9275" s="9"/>
      <c r="N9275" s="9"/>
      <c r="P9275" s="14"/>
      <c r="Q9275" s="85"/>
      <c r="R9275" s="89"/>
    </row>
    <row r="9276" spans="13:18" x14ac:dyDescent="0.25">
      <c r="M9276" s="9"/>
      <c r="N9276" s="9"/>
      <c r="P9276" s="14"/>
      <c r="Q9276" s="85"/>
      <c r="R9276" s="89"/>
    </row>
    <row r="9277" spans="13:18" x14ac:dyDescent="0.25">
      <c r="M9277" s="9"/>
      <c r="N9277" s="9"/>
      <c r="P9277" s="14"/>
      <c r="Q9277" s="85"/>
      <c r="R9277" s="89"/>
    </row>
    <row r="9278" spans="13:18" x14ac:dyDescent="0.25">
      <c r="M9278" s="9"/>
      <c r="N9278" s="9"/>
      <c r="P9278" s="14"/>
      <c r="Q9278" s="85"/>
      <c r="R9278" s="89"/>
    </row>
    <row r="9279" spans="13:18" x14ac:dyDescent="0.25">
      <c r="M9279" s="9"/>
      <c r="N9279" s="9"/>
      <c r="P9279" s="14"/>
      <c r="Q9279" s="85"/>
      <c r="R9279" s="89"/>
    </row>
    <row r="9280" spans="13:18" x14ac:dyDescent="0.25">
      <c r="M9280" s="9"/>
      <c r="N9280" s="9"/>
      <c r="P9280" s="14"/>
      <c r="Q9280" s="85"/>
      <c r="R9280" s="89"/>
    </row>
    <row r="9281" spans="13:18" x14ac:dyDescent="0.25">
      <c r="M9281" s="9"/>
      <c r="N9281" s="9"/>
      <c r="P9281" s="14"/>
      <c r="Q9281" s="85"/>
      <c r="R9281" s="89"/>
    </row>
    <row r="9282" spans="13:18" x14ac:dyDescent="0.25">
      <c r="M9282" s="9"/>
      <c r="N9282" s="9"/>
      <c r="P9282" s="14"/>
      <c r="Q9282" s="85"/>
      <c r="R9282" s="89"/>
    </row>
    <row r="9283" spans="13:18" x14ac:dyDescent="0.25">
      <c r="M9283" s="9"/>
      <c r="N9283" s="9"/>
      <c r="P9283" s="14"/>
      <c r="Q9283" s="85"/>
      <c r="R9283" s="89"/>
    </row>
    <row r="9284" spans="13:18" x14ac:dyDescent="0.25">
      <c r="M9284" s="9"/>
      <c r="N9284" s="9"/>
      <c r="P9284" s="14"/>
      <c r="Q9284" s="85"/>
      <c r="R9284" s="89"/>
    </row>
    <row r="9285" spans="13:18" x14ac:dyDescent="0.25">
      <c r="M9285" s="9"/>
      <c r="N9285" s="9"/>
      <c r="P9285" s="14"/>
      <c r="Q9285" s="85"/>
      <c r="R9285" s="89"/>
    </row>
    <row r="9286" spans="13:18" x14ac:dyDescent="0.25">
      <c r="M9286" s="9"/>
      <c r="N9286" s="9"/>
      <c r="P9286" s="14"/>
      <c r="Q9286" s="85"/>
      <c r="R9286" s="89"/>
    </row>
    <row r="9287" spans="13:18" x14ac:dyDescent="0.25">
      <c r="M9287" s="9"/>
      <c r="N9287" s="9"/>
      <c r="P9287" s="14"/>
      <c r="Q9287" s="85"/>
      <c r="R9287" s="89"/>
    </row>
    <row r="9288" spans="13:18" x14ac:dyDescent="0.25">
      <c r="M9288" s="9"/>
      <c r="N9288" s="9"/>
      <c r="P9288" s="14"/>
      <c r="Q9288" s="85"/>
      <c r="R9288" s="89"/>
    </row>
    <row r="9289" spans="13:18" x14ac:dyDescent="0.25">
      <c r="M9289" s="9"/>
      <c r="N9289" s="9"/>
      <c r="P9289" s="14"/>
      <c r="Q9289" s="85"/>
      <c r="R9289" s="89"/>
    </row>
    <row r="9290" spans="13:18" x14ac:dyDescent="0.25">
      <c r="M9290" s="9"/>
      <c r="N9290" s="9"/>
      <c r="P9290" s="14"/>
      <c r="Q9290" s="85"/>
      <c r="R9290" s="89"/>
    </row>
    <row r="9291" spans="13:18" x14ac:dyDescent="0.25">
      <c r="M9291" s="9"/>
      <c r="N9291" s="9"/>
      <c r="P9291" s="14"/>
      <c r="Q9291" s="85"/>
      <c r="R9291" s="89"/>
    </row>
    <row r="9292" spans="13:18" x14ac:dyDescent="0.25">
      <c r="M9292" s="9"/>
      <c r="N9292" s="9"/>
      <c r="P9292" s="14"/>
      <c r="Q9292" s="85"/>
      <c r="R9292" s="89"/>
    </row>
    <row r="9293" spans="13:18" x14ac:dyDescent="0.25">
      <c r="M9293" s="9"/>
      <c r="N9293" s="9"/>
      <c r="P9293" s="14"/>
      <c r="Q9293" s="85"/>
      <c r="R9293" s="89"/>
    </row>
    <row r="9294" spans="13:18" x14ac:dyDescent="0.25">
      <c r="M9294" s="9"/>
      <c r="N9294" s="9"/>
      <c r="P9294" s="14"/>
      <c r="Q9294" s="85"/>
      <c r="R9294" s="89"/>
    </row>
    <row r="9295" spans="13:18" x14ac:dyDescent="0.25">
      <c r="M9295" s="9"/>
      <c r="N9295" s="9"/>
      <c r="P9295" s="14"/>
      <c r="Q9295" s="85"/>
      <c r="R9295" s="89"/>
    </row>
    <row r="9296" spans="13:18" x14ac:dyDescent="0.25">
      <c r="M9296" s="9"/>
      <c r="N9296" s="9"/>
      <c r="P9296" s="14"/>
      <c r="Q9296" s="85"/>
      <c r="R9296" s="89"/>
    </row>
    <row r="9297" spans="13:18" x14ac:dyDescent="0.25">
      <c r="M9297" s="9"/>
      <c r="N9297" s="9"/>
      <c r="P9297" s="14"/>
      <c r="Q9297" s="85"/>
      <c r="R9297" s="89"/>
    </row>
    <row r="9298" spans="13:18" x14ac:dyDescent="0.25">
      <c r="M9298" s="9"/>
      <c r="N9298" s="9"/>
      <c r="P9298" s="14"/>
      <c r="Q9298" s="85"/>
      <c r="R9298" s="89"/>
    </row>
    <row r="9299" spans="13:18" x14ac:dyDescent="0.25">
      <c r="M9299" s="9"/>
      <c r="N9299" s="9"/>
      <c r="P9299" s="14"/>
      <c r="Q9299" s="85"/>
      <c r="R9299" s="89"/>
    </row>
    <row r="9300" spans="13:18" x14ac:dyDescent="0.25">
      <c r="M9300" s="9"/>
      <c r="N9300" s="9"/>
      <c r="P9300" s="14"/>
      <c r="Q9300" s="85"/>
      <c r="R9300" s="89"/>
    </row>
    <row r="9301" spans="13:18" x14ac:dyDescent="0.25">
      <c r="M9301" s="9"/>
      <c r="N9301" s="9"/>
      <c r="P9301" s="14"/>
      <c r="Q9301" s="85"/>
      <c r="R9301" s="89"/>
    </row>
    <row r="9302" spans="13:18" x14ac:dyDescent="0.25">
      <c r="M9302" s="9"/>
      <c r="N9302" s="9"/>
      <c r="P9302" s="14"/>
      <c r="Q9302" s="85"/>
      <c r="R9302" s="89"/>
    </row>
    <row r="9303" spans="13:18" x14ac:dyDescent="0.25">
      <c r="M9303" s="9"/>
      <c r="N9303" s="9"/>
      <c r="P9303" s="14"/>
      <c r="Q9303" s="85"/>
      <c r="R9303" s="89"/>
    </row>
    <row r="9304" spans="13:18" x14ac:dyDescent="0.25">
      <c r="M9304" s="9"/>
      <c r="N9304" s="9"/>
      <c r="P9304" s="14"/>
      <c r="Q9304" s="85"/>
      <c r="R9304" s="89"/>
    </row>
    <row r="9305" spans="13:18" x14ac:dyDescent="0.25">
      <c r="M9305" s="9"/>
      <c r="N9305" s="9"/>
      <c r="P9305" s="14"/>
      <c r="Q9305" s="85"/>
      <c r="R9305" s="89"/>
    </row>
    <row r="9306" spans="13:18" x14ac:dyDescent="0.25">
      <c r="M9306" s="9"/>
      <c r="N9306" s="9"/>
      <c r="P9306" s="14"/>
      <c r="Q9306" s="85"/>
      <c r="R9306" s="89"/>
    </row>
    <row r="9307" spans="13:18" x14ac:dyDescent="0.25">
      <c r="M9307" s="9"/>
      <c r="N9307" s="9"/>
      <c r="P9307" s="14"/>
      <c r="Q9307" s="85"/>
      <c r="R9307" s="89"/>
    </row>
    <row r="9308" spans="13:18" x14ac:dyDescent="0.25">
      <c r="M9308" s="9"/>
      <c r="N9308" s="9"/>
      <c r="P9308" s="14"/>
      <c r="Q9308" s="85"/>
      <c r="R9308" s="89"/>
    </row>
    <row r="9309" spans="13:18" x14ac:dyDescent="0.25">
      <c r="M9309" s="9"/>
      <c r="N9309" s="9"/>
      <c r="P9309" s="14"/>
      <c r="Q9309" s="85"/>
      <c r="R9309" s="89"/>
    </row>
    <row r="9310" spans="13:18" x14ac:dyDescent="0.25">
      <c r="M9310" s="9"/>
      <c r="N9310" s="9"/>
      <c r="P9310" s="14"/>
      <c r="Q9310" s="85"/>
      <c r="R9310" s="89"/>
    </row>
    <row r="9311" spans="13:18" x14ac:dyDescent="0.25">
      <c r="M9311" s="9"/>
      <c r="N9311" s="9"/>
      <c r="P9311" s="14"/>
      <c r="Q9311" s="85"/>
      <c r="R9311" s="89"/>
    </row>
    <row r="9312" spans="13:18" x14ac:dyDescent="0.25">
      <c r="M9312" s="9"/>
      <c r="N9312" s="9"/>
      <c r="P9312" s="14"/>
      <c r="Q9312" s="85"/>
      <c r="R9312" s="89"/>
    </row>
    <row r="9313" spans="13:18" x14ac:dyDescent="0.25">
      <c r="M9313" s="9"/>
      <c r="N9313" s="9"/>
      <c r="P9313" s="14"/>
      <c r="Q9313" s="85"/>
      <c r="R9313" s="89"/>
    </row>
    <row r="9314" spans="13:18" x14ac:dyDescent="0.25">
      <c r="M9314" s="9"/>
      <c r="N9314" s="9"/>
      <c r="P9314" s="14"/>
      <c r="Q9314" s="85"/>
      <c r="R9314" s="89"/>
    </row>
    <row r="9315" spans="13:18" x14ac:dyDescent="0.25">
      <c r="M9315" s="9"/>
      <c r="N9315" s="9"/>
      <c r="P9315" s="14"/>
      <c r="Q9315" s="85"/>
      <c r="R9315" s="89"/>
    </row>
    <row r="9316" spans="13:18" x14ac:dyDescent="0.25">
      <c r="M9316" s="9"/>
      <c r="N9316" s="9"/>
      <c r="P9316" s="14"/>
      <c r="Q9316" s="85"/>
      <c r="R9316" s="89"/>
    </row>
    <row r="9317" spans="13:18" x14ac:dyDescent="0.25">
      <c r="M9317" s="9"/>
      <c r="N9317" s="9"/>
      <c r="P9317" s="14"/>
      <c r="Q9317" s="85"/>
      <c r="R9317" s="89"/>
    </row>
    <row r="9318" spans="13:18" x14ac:dyDescent="0.25">
      <c r="M9318" s="9"/>
      <c r="N9318" s="9"/>
      <c r="P9318" s="14"/>
      <c r="Q9318" s="85"/>
      <c r="R9318" s="89"/>
    </row>
    <row r="9319" spans="13:18" x14ac:dyDescent="0.25">
      <c r="M9319" s="9"/>
      <c r="N9319" s="9"/>
      <c r="P9319" s="14"/>
      <c r="Q9319" s="85"/>
      <c r="R9319" s="89"/>
    </row>
    <row r="9320" spans="13:18" x14ac:dyDescent="0.25">
      <c r="M9320" s="9"/>
      <c r="N9320" s="9"/>
      <c r="P9320" s="14"/>
      <c r="Q9320" s="85"/>
      <c r="R9320" s="89"/>
    </row>
    <row r="9321" spans="13:18" x14ac:dyDescent="0.25">
      <c r="M9321" s="9"/>
      <c r="N9321" s="9"/>
      <c r="P9321" s="14"/>
      <c r="Q9321" s="85"/>
      <c r="R9321" s="89"/>
    </row>
    <row r="9322" spans="13:18" x14ac:dyDescent="0.25">
      <c r="M9322" s="9"/>
      <c r="N9322" s="9"/>
      <c r="P9322" s="14"/>
      <c r="Q9322" s="85"/>
      <c r="R9322" s="89"/>
    </row>
    <row r="9323" spans="13:18" x14ac:dyDescent="0.25">
      <c r="M9323" s="9"/>
      <c r="N9323" s="9"/>
      <c r="P9323" s="14"/>
      <c r="Q9323" s="85"/>
      <c r="R9323" s="89"/>
    </row>
    <row r="9324" spans="13:18" x14ac:dyDescent="0.25">
      <c r="M9324" s="9"/>
      <c r="N9324" s="9"/>
      <c r="P9324" s="14"/>
      <c r="Q9324" s="85"/>
      <c r="R9324" s="89"/>
    </row>
    <row r="9325" spans="13:18" x14ac:dyDescent="0.25">
      <c r="M9325" s="9"/>
      <c r="N9325" s="9"/>
      <c r="P9325" s="14"/>
      <c r="Q9325" s="85"/>
      <c r="R9325" s="89"/>
    </row>
    <row r="9326" spans="13:18" x14ac:dyDescent="0.25">
      <c r="M9326" s="9"/>
      <c r="N9326" s="9"/>
      <c r="P9326" s="14"/>
      <c r="Q9326" s="85"/>
      <c r="R9326" s="89"/>
    </row>
    <row r="9327" spans="13:18" x14ac:dyDescent="0.25">
      <c r="M9327" s="9"/>
      <c r="N9327" s="9"/>
      <c r="P9327" s="14"/>
      <c r="Q9327" s="85"/>
      <c r="R9327" s="89"/>
    </row>
    <row r="9328" spans="13:18" x14ac:dyDescent="0.25">
      <c r="M9328" s="9"/>
      <c r="N9328" s="9"/>
      <c r="P9328" s="14"/>
      <c r="Q9328" s="85"/>
      <c r="R9328" s="89"/>
    </row>
    <row r="9329" spans="13:18" x14ac:dyDescent="0.25">
      <c r="M9329" s="9"/>
      <c r="N9329" s="9"/>
      <c r="P9329" s="14"/>
      <c r="Q9329" s="85"/>
      <c r="R9329" s="89"/>
    </row>
    <row r="9330" spans="13:18" x14ac:dyDescent="0.25">
      <c r="M9330" s="9"/>
      <c r="N9330" s="9"/>
      <c r="P9330" s="14"/>
      <c r="Q9330" s="85"/>
      <c r="R9330" s="89"/>
    </row>
    <row r="9331" spans="13:18" x14ac:dyDescent="0.25">
      <c r="M9331" s="9"/>
      <c r="N9331" s="9"/>
      <c r="P9331" s="14"/>
      <c r="Q9331" s="85"/>
      <c r="R9331" s="89"/>
    </row>
    <row r="9332" spans="13:18" x14ac:dyDescent="0.25">
      <c r="M9332" s="9"/>
      <c r="N9332" s="9"/>
      <c r="P9332" s="14"/>
      <c r="Q9332" s="85"/>
      <c r="R9332" s="89"/>
    </row>
    <row r="9333" spans="13:18" x14ac:dyDescent="0.25">
      <c r="M9333" s="9"/>
      <c r="N9333" s="9"/>
      <c r="P9333" s="14"/>
      <c r="Q9333" s="85"/>
      <c r="R9333" s="89"/>
    </row>
    <row r="9334" spans="13:18" x14ac:dyDescent="0.25">
      <c r="M9334" s="9"/>
      <c r="N9334" s="9"/>
      <c r="P9334" s="14"/>
      <c r="Q9334" s="85"/>
      <c r="R9334" s="89"/>
    </row>
    <row r="9335" spans="13:18" x14ac:dyDescent="0.25">
      <c r="M9335" s="9"/>
      <c r="N9335" s="9"/>
      <c r="P9335" s="14"/>
      <c r="Q9335" s="85"/>
      <c r="R9335" s="89"/>
    </row>
    <row r="9336" spans="13:18" x14ac:dyDescent="0.25">
      <c r="M9336" s="9"/>
      <c r="N9336" s="9"/>
      <c r="P9336" s="14"/>
      <c r="Q9336" s="85"/>
      <c r="R9336" s="89"/>
    </row>
    <row r="9337" spans="13:18" x14ac:dyDescent="0.25">
      <c r="M9337" s="9"/>
      <c r="N9337" s="9"/>
      <c r="P9337" s="14"/>
      <c r="Q9337" s="85"/>
      <c r="R9337" s="89"/>
    </row>
    <row r="9338" spans="13:18" x14ac:dyDescent="0.25">
      <c r="M9338" s="9"/>
      <c r="N9338" s="9"/>
      <c r="P9338" s="14"/>
      <c r="Q9338" s="85"/>
      <c r="R9338" s="89"/>
    </row>
    <row r="9339" spans="13:18" x14ac:dyDescent="0.25">
      <c r="M9339" s="9"/>
      <c r="N9339" s="9"/>
      <c r="P9339" s="14"/>
      <c r="Q9339" s="85"/>
      <c r="R9339" s="89"/>
    </row>
    <row r="9340" spans="13:18" x14ac:dyDescent="0.25">
      <c r="M9340" s="9"/>
      <c r="N9340" s="9"/>
      <c r="P9340" s="14"/>
      <c r="Q9340" s="85"/>
      <c r="R9340" s="89"/>
    </row>
    <row r="9341" spans="13:18" x14ac:dyDescent="0.25">
      <c r="M9341" s="9"/>
      <c r="N9341" s="9"/>
      <c r="P9341" s="14"/>
      <c r="Q9341" s="85"/>
      <c r="R9341" s="89"/>
    </row>
    <row r="9342" spans="13:18" x14ac:dyDescent="0.25">
      <c r="M9342" s="9"/>
      <c r="N9342" s="9"/>
      <c r="P9342" s="14"/>
      <c r="Q9342" s="85"/>
      <c r="R9342" s="89"/>
    </row>
    <row r="9343" spans="13:18" x14ac:dyDescent="0.25">
      <c r="M9343" s="9"/>
      <c r="N9343" s="9"/>
      <c r="P9343" s="14"/>
      <c r="Q9343" s="85"/>
      <c r="R9343" s="89"/>
    </row>
    <row r="9344" spans="13:18" x14ac:dyDescent="0.25">
      <c r="M9344" s="9"/>
      <c r="N9344" s="9"/>
      <c r="P9344" s="14"/>
      <c r="Q9344" s="85"/>
      <c r="R9344" s="89"/>
    </row>
    <row r="9345" spans="13:18" x14ac:dyDescent="0.25">
      <c r="M9345" s="9"/>
      <c r="N9345" s="9"/>
      <c r="P9345" s="14"/>
      <c r="Q9345" s="85"/>
      <c r="R9345" s="89"/>
    </row>
    <row r="9346" spans="13:18" x14ac:dyDescent="0.25">
      <c r="M9346" s="9"/>
      <c r="N9346" s="9"/>
      <c r="P9346" s="14"/>
      <c r="Q9346" s="85"/>
      <c r="R9346" s="89"/>
    </row>
    <row r="9347" spans="13:18" x14ac:dyDescent="0.25">
      <c r="M9347" s="9"/>
      <c r="N9347" s="9"/>
      <c r="P9347" s="14"/>
      <c r="Q9347" s="85"/>
      <c r="R9347" s="89"/>
    </row>
    <row r="9348" spans="13:18" x14ac:dyDescent="0.25">
      <c r="M9348" s="9"/>
      <c r="N9348" s="9"/>
      <c r="P9348" s="14"/>
      <c r="Q9348" s="85"/>
      <c r="R9348" s="89"/>
    </row>
    <row r="9349" spans="13:18" x14ac:dyDescent="0.25">
      <c r="M9349" s="9"/>
      <c r="N9349" s="9"/>
      <c r="P9349" s="14"/>
      <c r="Q9349" s="85"/>
      <c r="R9349" s="89"/>
    </row>
    <row r="9350" spans="13:18" x14ac:dyDescent="0.25">
      <c r="M9350" s="9"/>
      <c r="N9350" s="9"/>
      <c r="P9350" s="14"/>
      <c r="Q9350" s="85"/>
      <c r="R9350" s="89"/>
    </row>
    <row r="9351" spans="13:18" x14ac:dyDescent="0.25">
      <c r="M9351" s="9"/>
      <c r="N9351" s="9"/>
      <c r="P9351" s="14"/>
      <c r="Q9351" s="85"/>
      <c r="R9351" s="89"/>
    </row>
    <row r="9352" spans="13:18" x14ac:dyDescent="0.25">
      <c r="M9352" s="9"/>
      <c r="N9352" s="9"/>
      <c r="P9352" s="14"/>
      <c r="Q9352" s="85"/>
      <c r="R9352" s="89"/>
    </row>
    <row r="9353" spans="13:18" x14ac:dyDescent="0.25">
      <c r="M9353" s="9"/>
      <c r="N9353" s="9"/>
      <c r="P9353" s="14"/>
      <c r="Q9353" s="85"/>
      <c r="R9353" s="89"/>
    </row>
    <row r="9354" spans="13:18" x14ac:dyDescent="0.25">
      <c r="M9354" s="9"/>
      <c r="N9354" s="9"/>
      <c r="P9354" s="14"/>
      <c r="Q9354" s="85"/>
      <c r="R9354" s="89"/>
    </row>
    <row r="9355" spans="13:18" x14ac:dyDescent="0.25">
      <c r="M9355" s="9"/>
      <c r="N9355" s="9"/>
      <c r="P9355" s="14"/>
      <c r="Q9355" s="85"/>
      <c r="R9355" s="89"/>
    </row>
    <row r="9356" spans="13:18" x14ac:dyDescent="0.25">
      <c r="M9356" s="9"/>
      <c r="N9356" s="9"/>
      <c r="P9356" s="14"/>
      <c r="Q9356" s="85"/>
      <c r="R9356" s="89"/>
    </row>
    <row r="9357" spans="13:18" x14ac:dyDescent="0.25">
      <c r="M9357" s="9"/>
      <c r="N9357" s="9"/>
      <c r="P9357" s="14"/>
      <c r="Q9357" s="85"/>
      <c r="R9357" s="89"/>
    </row>
    <row r="9358" spans="13:18" x14ac:dyDescent="0.25">
      <c r="M9358" s="9"/>
      <c r="N9358" s="9"/>
      <c r="P9358" s="14"/>
      <c r="Q9358" s="85"/>
      <c r="R9358" s="89"/>
    </row>
    <row r="9359" spans="13:18" x14ac:dyDescent="0.25">
      <c r="M9359" s="9"/>
      <c r="N9359" s="9"/>
      <c r="P9359" s="14"/>
      <c r="Q9359" s="85"/>
      <c r="R9359" s="89"/>
    </row>
    <row r="9360" spans="13:18" x14ac:dyDescent="0.25">
      <c r="M9360" s="9"/>
      <c r="N9360" s="9"/>
      <c r="P9360" s="14"/>
      <c r="Q9360" s="85"/>
      <c r="R9360" s="89"/>
    </row>
    <row r="9361" spans="13:18" x14ac:dyDescent="0.25">
      <c r="M9361" s="9"/>
      <c r="N9361" s="9"/>
      <c r="P9361" s="14"/>
      <c r="Q9361" s="85"/>
      <c r="R9361" s="89"/>
    </row>
    <row r="9362" spans="13:18" x14ac:dyDescent="0.25">
      <c r="M9362" s="9"/>
      <c r="N9362" s="9"/>
      <c r="P9362" s="14"/>
      <c r="Q9362" s="85"/>
      <c r="R9362" s="89"/>
    </row>
    <row r="9363" spans="13:18" x14ac:dyDescent="0.25">
      <c r="M9363" s="9"/>
      <c r="N9363" s="9"/>
      <c r="P9363" s="14"/>
      <c r="Q9363" s="85"/>
      <c r="R9363" s="89"/>
    </row>
    <row r="9364" spans="13:18" x14ac:dyDescent="0.25">
      <c r="M9364" s="9"/>
      <c r="N9364" s="9"/>
      <c r="P9364" s="14"/>
      <c r="Q9364" s="85"/>
      <c r="R9364" s="89"/>
    </row>
    <row r="9365" spans="13:18" x14ac:dyDescent="0.25">
      <c r="M9365" s="9"/>
      <c r="N9365" s="9"/>
      <c r="P9365" s="14"/>
      <c r="Q9365" s="85"/>
      <c r="R9365" s="89"/>
    </row>
    <row r="9366" spans="13:18" x14ac:dyDescent="0.25">
      <c r="M9366" s="9"/>
      <c r="N9366" s="9"/>
      <c r="P9366" s="14"/>
      <c r="Q9366" s="85"/>
      <c r="R9366" s="89"/>
    </row>
    <row r="9367" spans="13:18" x14ac:dyDescent="0.25">
      <c r="M9367" s="9"/>
      <c r="N9367" s="9"/>
      <c r="P9367" s="14"/>
      <c r="Q9367" s="85"/>
      <c r="R9367" s="89"/>
    </row>
    <row r="9368" spans="13:18" x14ac:dyDescent="0.25">
      <c r="M9368" s="9"/>
      <c r="N9368" s="9"/>
      <c r="P9368" s="14"/>
      <c r="Q9368" s="85"/>
      <c r="R9368" s="89"/>
    </row>
    <row r="9369" spans="13:18" x14ac:dyDescent="0.25">
      <c r="M9369" s="9"/>
      <c r="N9369" s="9"/>
      <c r="P9369" s="14"/>
      <c r="Q9369" s="85"/>
      <c r="R9369" s="89"/>
    </row>
    <row r="9370" spans="13:18" x14ac:dyDescent="0.25">
      <c r="M9370" s="9"/>
      <c r="N9370" s="9"/>
      <c r="P9370" s="14"/>
      <c r="Q9370" s="85"/>
      <c r="R9370" s="89"/>
    </row>
    <row r="9371" spans="13:18" x14ac:dyDescent="0.25">
      <c r="M9371" s="9"/>
      <c r="N9371" s="9"/>
      <c r="P9371" s="14"/>
      <c r="Q9371" s="85"/>
      <c r="R9371" s="89"/>
    </row>
    <row r="9372" spans="13:18" x14ac:dyDescent="0.25">
      <c r="M9372" s="9"/>
      <c r="N9372" s="9"/>
      <c r="P9372" s="14"/>
      <c r="Q9372" s="85"/>
      <c r="R9372" s="89"/>
    </row>
    <row r="9373" spans="13:18" x14ac:dyDescent="0.25">
      <c r="M9373" s="9"/>
      <c r="N9373" s="9"/>
      <c r="P9373" s="14"/>
      <c r="Q9373" s="85"/>
      <c r="R9373" s="89"/>
    </row>
    <row r="9374" spans="13:18" x14ac:dyDescent="0.25">
      <c r="M9374" s="9"/>
      <c r="N9374" s="9"/>
      <c r="P9374" s="14"/>
      <c r="Q9374" s="85"/>
      <c r="R9374" s="89"/>
    </row>
    <row r="9375" spans="13:18" x14ac:dyDescent="0.25">
      <c r="M9375" s="9"/>
      <c r="N9375" s="9"/>
      <c r="P9375" s="14"/>
      <c r="Q9375" s="85"/>
      <c r="R9375" s="89"/>
    </row>
    <row r="9376" spans="13:18" x14ac:dyDescent="0.25">
      <c r="M9376" s="9"/>
      <c r="N9376" s="9"/>
      <c r="P9376" s="14"/>
      <c r="Q9376" s="85"/>
      <c r="R9376" s="89"/>
    </row>
    <row r="9377" spans="13:18" x14ac:dyDescent="0.25">
      <c r="M9377" s="9"/>
      <c r="N9377" s="9"/>
      <c r="P9377" s="14"/>
      <c r="Q9377" s="85"/>
      <c r="R9377" s="89"/>
    </row>
    <row r="9378" spans="13:18" x14ac:dyDescent="0.25">
      <c r="M9378" s="9"/>
      <c r="N9378" s="9"/>
      <c r="P9378" s="14"/>
      <c r="Q9378" s="85"/>
      <c r="R9378" s="89"/>
    </row>
    <row r="9379" spans="13:18" x14ac:dyDescent="0.25">
      <c r="M9379" s="9"/>
      <c r="N9379" s="9"/>
      <c r="P9379" s="14"/>
      <c r="Q9379" s="85"/>
      <c r="R9379" s="89"/>
    </row>
    <row r="9380" spans="13:18" x14ac:dyDescent="0.25">
      <c r="M9380" s="9"/>
      <c r="N9380" s="9"/>
      <c r="P9380" s="14"/>
      <c r="Q9380" s="85"/>
      <c r="R9380" s="89"/>
    </row>
    <row r="9381" spans="13:18" x14ac:dyDescent="0.25">
      <c r="M9381" s="9"/>
      <c r="N9381" s="9"/>
      <c r="P9381" s="14"/>
      <c r="Q9381" s="85"/>
      <c r="R9381" s="89"/>
    </row>
    <row r="9382" spans="13:18" x14ac:dyDescent="0.25">
      <c r="M9382" s="9"/>
      <c r="N9382" s="9"/>
      <c r="P9382" s="14"/>
      <c r="Q9382" s="85"/>
      <c r="R9382" s="89"/>
    </row>
    <row r="9383" spans="13:18" x14ac:dyDescent="0.25">
      <c r="M9383" s="9"/>
      <c r="N9383" s="9"/>
      <c r="P9383" s="14"/>
      <c r="Q9383" s="85"/>
      <c r="R9383" s="89"/>
    </row>
    <row r="9384" spans="13:18" x14ac:dyDescent="0.25">
      <c r="M9384" s="9"/>
      <c r="N9384" s="9"/>
      <c r="P9384" s="14"/>
      <c r="Q9384" s="85"/>
      <c r="R9384" s="89"/>
    </row>
    <row r="9385" spans="13:18" x14ac:dyDescent="0.25">
      <c r="M9385" s="9"/>
      <c r="N9385" s="9"/>
      <c r="P9385" s="14"/>
      <c r="Q9385" s="85"/>
      <c r="R9385" s="89"/>
    </row>
    <row r="9386" spans="13:18" x14ac:dyDescent="0.25">
      <c r="M9386" s="9"/>
      <c r="N9386" s="9"/>
      <c r="P9386" s="14"/>
      <c r="Q9386" s="85"/>
      <c r="R9386" s="89"/>
    </row>
    <row r="9387" spans="13:18" x14ac:dyDescent="0.25">
      <c r="M9387" s="9"/>
      <c r="N9387" s="9"/>
      <c r="P9387" s="14"/>
      <c r="Q9387" s="85"/>
      <c r="R9387" s="89"/>
    </row>
    <row r="9388" spans="13:18" x14ac:dyDescent="0.25">
      <c r="M9388" s="9"/>
      <c r="N9388" s="9"/>
      <c r="P9388" s="14"/>
      <c r="Q9388" s="85"/>
      <c r="R9388" s="89"/>
    </row>
    <row r="9389" spans="13:18" x14ac:dyDescent="0.25">
      <c r="M9389" s="9"/>
      <c r="N9389" s="9"/>
      <c r="P9389" s="14"/>
      <c r="Q9389" s="85"/>
      <c r="R9389" s="89"/>
    </row>
    <row r="9390" spans="13:18" x14ac:dyDescent="0.25">
      <c r="M9390" s="9"/>
      <c r="N9390" s="9"/>
      <c r="P9390" s="14"/>
      <c r="Q9390" s="85"/>
      <c r="R9390" s="89"/>
    </row>
    <row r="9391" spans="13:18" x14ac:dyDescent="0.25">
      <c r="M9391" s="9"/>
      <c r="N9391" s="9"/>
      <c r="P9391" s="14"/>
      <c r="Q9391" s="85"/>
      <c r="R9391" s="89"/>
    </row>
    <row r="9392" spans="13:18" x14ac:dyDescent="0.25">
      <c r="M9392" s="9"/>
      <c r="N9392" s="9"/>
      <c r="P9392" s="14"/>
      <c r="Q9392" s="85"/>
      <c r="R9392" s="89"/>
    </row>
    <row r="9393" spans="13:18" x14ac:dyDescent="0.25">
      <c r="M9393" s="9"/>
      <c r="N9393" s="9"/>
      <c r="P9393" s="14"/>
      <c r="Q9393" s="85"/>
      <c r="R9393" s="89"/>
    </row>
    <row r="9394" spans="13:18" x14ac:dyDescent="0.25">
      <c r="M9394" s="9"/>
      <c r="N9394" s="9"/>
      <c r="P9394" s="14"/>
      <c r="Q9394" s="85"/>
      <c r="R9394" s="89"/>
    </row>
    <row r="9395" spans="13:18" x14ac:dyDescent="0.25">
      <c r="M9395" s="9"/>
      <c r="N9395" s="9"/>
      <c r="P9395" s="14"/>
      <c r="Q9395" s="85"/>
      <c r="R9395" s="89"/>
    </row>
    <row r="9396" spans="13:18" x14ac:dyDescent="0.25">
      <c r="M9396" s="9"/>
      <c r="N9396" s="9"/>
      <c r="P9396" s="14"/>
      <c r="Q9396" s="85"/>
      <c r="R9396" s="89"/>
    </row>
    <row r="9397" spans="13:18" x14ac:dyDescent="0.25">
      <c r="M9397" s="9"/>
      <c r="N9397" s="9"/>
      <c r="P9397" s="14"/>
      <c r="Q9397" s="85"/>
      <c r="R9397" s="89"/>
    </row>
    <row r="9398" spans="13:18" x14ac:dyDescent="0.25">
      <c r="M9398" s="9"/>
      <c r="N9398" s="9"/>
      <c r="P9398" s="14"/>
      <c r="Q9398" s="85"/>
      <c r="R9398" s="89"/>
    </row>
    <row r="9399" spans="13:18" x14ac:dyDescent="0.25">
      <c r="M9399" s="9"/>
      <c r="N9399" s="9"/>
      <c r="P9399" s="14"/>
      <c r="Q9399" s="85"/>
      <c r="R9399" s="89"/>
    </row>
    <row r="9400" spans="13:18" x14ac:dyDescent="0.25">
      <c r="M9400" s="9"/>
      <c r="N9400" s="9"/>
      <c r="P9400" s="14"/>
      <c r="Q9400" s="85"/>
      <c r="R9400" s="89"/>
    </row>
    <row r="9401" spans="13:18" x14ac:dyDescent="0.25">
      <c r="M9401" s="9"/>
      <c r="N9401" s="9"/>
      <c r="P9401" s="14"/>
      <c r="Q9401" s="85"/>
      <c r="R9401" s="89"/>
    </row>
    <row r="9402" spans="13:18" x14ac:dyDescent="0.25">
      <c r="M9402" s="9"/>
      <c r="N9402" s="9"/>
      <c r="P9402" s="14"/>
      <c r="Q9402" s="85"/>
      <c r="R9402" s="89"/>
    </row>
    <row r="9403" spans="13:18" x14ac:dyDescent="0.25">
      <c r="M9403" s="9"/>
      <c r="N9403" s="9"/>
      <c r="P9403" s="14"/>
      <c r="Q9403" s="85"/>
      <c r="R9403" s="89"/>
    </row>
    <row r="9404" spans="13:18" x14ac:dyDescent="0.25">
      <c r="M9404" s="9"/>
      <c r="N9404" s="9"/>
      <c r="P9404" s="14"/>
      <c r="Q9404" s="85"/>
      <c r="R9404" s="89"/>
    </row>
    <row r="9405" spans="13:18" x14ac:dyDescent="0.25">
      <c r="M9405" s="9"/>
      <c r="N9405" s="9"/>
      <c r="P9405" s="14"/>
      <c r="Q9405" s="85"/>
      <c r="R9405" s="89"/>
    </row>
    <row r="9406" spans="13:18" x14ac:dyDescent="0.25">
      <c r="M9406" s="9"/>
      <c r="N9406" s="9"/>
      <c r="P9406" s="14"/>
      <c r="Q9406" s="85"/>
      <c r="R9406" s="89"/>
    </row>
    <row r="9407" spans="13:18" x14ac:dyDescent="0.25">
      <c r="M9407" s="9"/>
      <c r="N9407" s="9"/>
      <c r="P9407" s="14"/>
      <c r="Q9407" s="85"/>
      <c r="R9407" s="89"/>
    </row>
    <row r="9408" spans="13:18" x14ac:dyDescent="0.25">
      <c r="M9408" s="9"/>
      <c r="N9408" s="9"/>
      <c r="P9408" s="14"/>
      <c r="Q9408" s="85"/>
      <c r="R9408" s="89"/>
    </row>
    <row r="9409" spans="13:18" x14ac:dyDescent="0.25">
      <c r="M9409" s="9"/>
      <c r="N9409" s="9"/>
      <c r="P9409" s="14"/>
      <c r="Q9409" s="85"/>
      <c r="R9409" s="89"/>
    </row>
    <row r="9410" spans="13:18" x14ac:dyDescent="0.25">
      <c r="M9410" s="9"/>
      <c r="N9410" s="9"/>
      <c r="P9410" s="14"/>
      <c r="Q9410" s="85"/>
      <c r="R9410" s="89"/>
    </row>
    <row r="9411" spans="13:18" x14ac:dyDescent="0.25">
      <c r="M9411" s="9"/>
      <c r="N9411" s="9"/>
      <c r="P9411" s="14"/>
      <c r="Q9411" s="85"/>
      <c r="R9411" s="89"/>
    </row>
    <row r="9412" spans="13:18" x14ac:dyDescent="0.25">
      <c r="M9412" s="9"/>
      <c r="N9412" s="9"/>
      <c r="P9412" s="14"/>
      <c r="Q9412" s="85"/>
      <c r="R9412" s="89"/>
    </row>
    <row r="9413" spans="13:18" x14ac:dyDescent="0.25">
      <c r="M9413" s="9"/>
      <c r="N9413" s="9"/>
      <c r="P9413" s="14"/>
      <c r="Q9413" s="85"/>
      <c r="R9413" s="89"/>
    </row>
    <row r="9414" spans="13:18" x14ac:dyDescent="0.25">
      <c r="M9414" s="9"/>
      <c r="N9414" s="9"/>
      <c r="P9414" s="14"/>
      <c r="Q9414" s="85"/>
      <c r="R9414" s="89"/>
    </row>
    <row r="9415" spans="13:18" x14ac:dyDescent="0.25">
      <c r="M9415" s="9"/>
      <c r="N9415" s="9"/>
      <c r="P9415" s="14"/>
      <c r="Q9415" s="85"/>
      <c r="R9415" s="89"/>
    </row>
    <row r="9416" spans="13:18" x14ac:dyDescent="0.25">
      <c r="M9416" s="9"/>
      <c r="N9416" s="9"/>
      <c r="P9416" s="14"/>
      <c r="Q9416" s="85"/>
      <c r="R9416" s="89"/>
    </row>
    <row r="9417" spans="13:18" x14ac:dyDescent="0.25">
      <c r="M9417" s="9"/>
      <c r="N9417" s="9"/>
      <c r="P9417" s="14"/>
      <c r="Q9417" s="85"/>
      <c r="R9417" s="89"/>
    </row>
    <row r="9418" spans="13:18" x14ac:dyDescent="0.25">
      <c r="M9418" s="9"/>
      <c r="N9418" s="9"/>
      <c r="P9418" s="14"/>
      <c r="Q9418" s="85"/>
      <c r="R9418" s="89"/>
    </row>
    <row r="9419" spans="13:18" x14ac:dyDescent="0.25">
      <c r="M9419" s="9"/>
      <c r="N9419" s="9"/>
      <c r="P9419" s="14"/>
      <c r="Q9419" s="85"/>
      <c r="R9419" s="89"/>
    </row>
    <row r="9420" spans="13:18" x14ac:dyDescent="0.25">
      <c r="M9420" s="9"/>
      <c r="N9420" s="9"/>
      <c r="P9420" s="14"/>
      <c r="Q9420" s="85"/>
      <c r="R9420" s="89"/>
    </row>
    <row r="9421" spans="13:18" x14ac:dyDescent="0.25">
      <c r="M9421" s="9"/>
      <c r="N9421" s="9"/>
      <c r="P9421" s="14"/>
      <c r="Q9421" s="85"/>
      <c r="R9421" s="89"/>
    </row>
    <row r="9422" spans="13:18" x14ac:dyDescent="0.25">
      <c r="M9422" s="9"/>
      <c r="N9422" s="9"/>
      <c r="P9422" s="14"/>
      <c r="Q9422" s="85"/>
      <c r="R9422" s="89"/>
    </row>
    <row r="9423" spans="13:18" x14ac:dyDescent="0.25">
      <c r="M9423" s="9"/>
      <c r="N9423" s="9"/>
      <c r="P9423" s="14"/>
      <c r="Q9423" s="85"/>
      <c r="R9423" s="89"/>
    </row>
    <row r="9424" spans="13:18" x14ac:dyDescent="0.25">
      <c r="M9424" s="9"/>
      <c r="N9424" s="9"/>
      <c r="P9424" s="14"/>
      <c r="Q9424" s="85"/>
      <c r="R9424" s="89"/>
    </row>
    <row r="9425" spans="13:18" x14ac:dyDescent="0.25">
      <c r="M9425" s="9"/>
      <c r="N9425" s="9"/>
      <c r="P9425" s="14"/>
      <c r="Q9425" s="85"/>
      <c r="R9425" s="89"/>
    </row>
    <row r="9426" spans="13:18" x14ac:dyDescent="0.25">
      <c r="M9426" s="9"/>
      <c r="N9426" s="9"/>
      <c r="P9426" s="14"/>
      <c r="Q9426" s="85"/>
      <c r="R9426" s="89"/>
    </row>
    <row r="9427" spans="13:18" x14ac:dyDescent="0.25">
      <c r="M9427" s="9"/>
      <c r="N9427" s="9"/>
      <c r="P9427" s="14"/>
      <c r="Q9427" s="85"/>
      <c r="R9427" s="89"/>
    </row>
    <row r="9428" spans="13:18" x14ac:dyDescent="0.25">
      <c r="M9428" s="9"/>
      <c r="N9428" s="9"/>
      <c r="P9428" s="14"/>
      <c r="Q9428" s="85"/>
      <c r="R9428" s="89"/>
    </row>
    <row r="9429" spans="13:18" x14ac:dyDescent="0.25">
      <c r="M9429" s="9"/>
      <c r="N9429" s="9"/>
      <c r="P9429" s="14"/>
      <c r="Q9429" s="85"/>
      <c r="R9429" s="89"/>
    </row>
    <row r="9430" spans="13:18" x14ac:dyDescent="0.25">
      <c r="M9430" s="9"/>
      <c r="N9430" s="9"/>
      <c r="P9430" s="14"/>
      <c r="Q9430" s="85"/>
      <c r="R9430" s="89"/>
    </row>
    <row r="9431" spans="13:18" x14ac:dyDescent="0.25">
      <c r="M9431" s="9"/>
      <c r="N9431" s="9"/>
      <c r="P9431" s="14"/>
      <c r="Q9431" s="85"/>
      <c r="R9431" s="89"/>
    </row>
    <row r="9432" spans="13:18" x14ac:dyDescent="0.25">
      <c r="M9432" s="9"/>
      <c r="N9432" s="9"/>
      <c r="P9432" s="14"/>
      <c r="Q9432" s="85"/>
      <c r="R9432" s="89"/>
    </row>
    <row r="9433" spans="13:18" x14ac:dyDescent="0.25">
      <c r="M9433" s="9"/>
      <c r="N9433" s="9"/>
      <c r="P9433" s="14"/>
      <c r="Q9433" s="85"/>
      <c r="R9433" s="89"/>
    </row>
    <row r="9434" spans="13:18" x14ac:dyDescent="0.25">
      <c r="M9434" s="9"/>
      <c r="N9434" s="9"/>
      <c r="P9434" s="14"/>
      <c r="Q9434" s="85"/>
      <c r="R9434" s="89"/>
    </row>
    <row r="9435" spans="13:18" x14ac:dyDescent="0.25">
      <c r="M9435" s="9"/>
      <c r="N9435" s="9"/>
      <c r="P9435" s="14"/>
      <c r="Q9435" s="85"/>
      <c r="R9435" s="89"/>
    </row>
    <row r="9436" spans="13:18" x14ac:dyDescent="0.25">
      <c r="M9436" s="9"/>
      <c r="N9436" s="9"/>
      <c r="P9436" s="14"/>
      <c r="Q9436" s="85"/>
      <c r="R9436" s="89"/>
    </row>
    <row r="9437" spans="13:18" x14ac:dyDescent="0.25">
      <c r="M9437" s="9"/>
      <c r="N9437" s="9"/>
      <c r="P9437" s="14"/>
      <c r="Q9437" s="85"/>
      <c r="R9437" s="89"/>
    </row>
    <row r="9438" spans="13:18" x14ac:dyDescent="0.25">
      <c r="M9438" s="9"/>
      <c r="N9438" s="9"/>
      <c r="P9438" s="14"/>
      <c r="Q9438" s="85"/>
      <c r="R9438" s="89"/>
    </row>
    <row r="9439" spans="13:18" x14ac:dyDescent="0.25">
      <c r="M9439" s="9"/>
      <c r="N9439" s="9"/>
      <c r="P9439" s="14"/>
      <c r="Q9439" s="85"/>
      <c r="R9439" s="89"/>
    </row>
    <row r="9440" spans="13:18" x14ac:dyDescent="0.25">
      <c r="M9440" s="9"/>
      <c r="N9440" s="9"/>
      <c r="P9440" s="14"/>
      <c r="Q9440" s="85"/>
      <c r="R9440" s="89"/>
    </row>
    <row r="9441" spans="13:18" x14ac:dyDescent="0.25">
      <c r="M9441" s="9"/>
      <c r="N9441" s="9"/>
      <c r="P9441" s="14"/>
      <c r="Q9441" s="85"/>
      <c r="R9441" s="89"/>
    </row>
    <row r="9442" spans="13:18" x14ac:dyDescent="0.25">
      <c r="M9442" s="9"/>
      <c r="N9442" s="9"/>
      <c r="P9442" s="14"/>
      <c r="Q9442" s="85"/>
      <c r="R9442" s="89"/>
    </row>
    <row r="9443" spans="13:18" x14ac:dyDescent="0.25">
      <c r="M9443" s="9"/>
      <c r="N9443" s="9"/>
      <c r="P9443" s="14"/>
      <c r="Q9443" s="85"/>
      <c r="R9443" s="89"/>
    </row>
    <row r="9444" spans="13:18" x14ac:dyDescent="0.25">
      <c r="M9444" s="9"/>
      <c r="N9444" s="9"/>
      <c r="P9444" s="14"/>
      <c r="Q9444" s="85"/>
      <c r="R9444" s="89"/>
    </row>
    <row r="9445" spans="13:18" x14ac:dyDescent="0.25">
      <c r="M9445" s="9"/>
      <c r="N9445" s="9"/>
      <c r="P9445" s="14"/>
      <c r="Q9445" s="85"/>
      <c r="R9445" s="89"/>
    </row>
    <row r="9446" spans="13:18" x14ac:dyDescent="0.25">
      <c r="M9446" s="9"/>
      <c r="N9446" s="9"/>
      <c r="P9446" s="14"/>
      <c r="Q9446" s="85"/>
      <c r="R9446" s="89"/>
    </row>
    <row r="9447" spans="13:18" x14ac:dyDescent="0.25">
      <c r="M9447" s="9"/>
      <c r="N9447" s="9"/>
      <c r="P9447" s="14"/>
      <c r="Q9447" s="85"/>
      <c r="R9447" s="89"/>
    </row>
    <row r="9448" spans="13:18" x14ac:dyDescent="0.25">
      <c r="M9448" s="9"/>
      <c r="N9448" s="9"/>
      <c r="P9448" s="14"/>
      <c r="Q9448" s="85"/>
      <c r="R9448" s="89"/>
    </row>
    <row r="9449" spans="13:18" x14ac:dyDescent="0.25">
      <c r="M9449" s="9"/>
      <c r="N9449" s="9"/>
      <c r="P9449" s="14"/>
      <c r="Q9449" s="85"/>
      <c r="R9449" s="89"/>
    </row>
    <row r="9450" spans="13:18" x14ac:dyDescent="0.25">
      <c r="M9450" s="9"/>
      <c r="N9450" s="9"/>
      <c r="P9450" s="14"/>
      <c r="Q9450" s="85"/>
      <c r="R9450" s="89"/>
    </row>
    <row r="9451" spans="13:18" x14ac:dyDescent="0.25">
      <c r="M9451" s="9"/>
      <c r="N9451" s="9"/>
      <c r="P9451" s="14"/>
      <c r="Q9451" s="85"/>
      <c r="R9451" s="89"/>
    </row>
    <row r="9452" spans="13:18" x14ac:dyDescent="0.25">
      <c r="M9452" s="9"/>
      <c r="N9452" s="9"/>
      <c r="P9452" s="14"/>
      <c r="Q9452" s="85"/>
      <c r="R9452" s="89"/>
    </row>
    <row r="9453" spans="13:18" x14ac:dyDescent="0.25">
      <c r="M9453" s="9"/>
      <c r="N9453" s="9"/>
      <c r="P9453" s="14"/>
      <c r="Q9453" s="85"/>
      <c r="R9453" s="89"/>
    </row>
    <row r="9454" spans="13:18" x14ac:dyDescent="0.25">
      <c r="M9454" s="9"/>
      <c r="N9454" s="9"/>
      <c r="P9454" s="14"/>
      <c r="Q9454" s="85"/>
      <c r="R9454" s="89"/>
    </row>
    <row r="9455" spans="13:18" x14ac:dyDescent="0.25">
      <c r="M9455" s="9"/>
      <c r="N9455" s="9"/>
      <c r="P9455" s="14"/>
      <c r="Q9455" s="85"/>
      <c r="R9455" s="89"/>
    </row>
    <row r="9456" spans="13:18" x14ac:dyDescent="0.25">
      <c r="M9456" s="9"/>
      <c r="N9456" s="9"/>
      <c r="P9456" s="14"/>
      <c r="Q9456" s="85"/>
      <c r="R9456" s="89"/>
    </row>
    <row r="9457" spans="13:18" x14ac:dyDescent="0.25">
      <c r="M9457" s="9"/>
      <c r="N9457" s="9"/>
      <c r="P9457" s="14"/>
      <c r="Q9457" s="85"/>
      <c r="R9457" s="89"/>
    </row>
    <row r="9458" spans="13:18" x14ac:dyDescent="0.25">
      <c r="M9458" s="9"/>
      <c r="N9458" s="9"/>
      <c r="P9458" s="14"/>
      <c r="Q9458" s="85"/>
      <c r="R9458" s="89"/>
    </row>
    <row r="9459" spans="13:18" x14ac:dyDescent="0.25">
      <c r="M9459" s="9"/>
      <c r="N9459" s="9"/>
      <c r="P9459" s="14"/>
      <c r="Q9459" s="85"/>
      <c r="R9459" s="89"/>
    </row>
    <row r="9460" spans="13:18" x14ac:dyDescent="0.25">
      <c r="M9460" s="9"/>
      <c r="N9460" s="9"/>
      <c r="P9460" s="14"/>
      <c r="Q9460" s="85"/>
      <c r="R9460" s="89"/>
    </row>
    <row r="9461" spans="13:18" x14ac:dyDescent="0.25">
      <c r="M9461" s="9"/>
      <c r="N9461" s="9"/>
      <c r="P9461" s="14"/>
      <c r="Q9461" s="85"/>
      <c r="R9461" s="89"/>
    </row>
    <row r="9462" spans="13:18" x14ac:dyDescent="0.25">
      <c r="M9462" s="9"/>
      <c r="N9462" s="9"/>
      <c r="P9462" s="14"/>
      <c r="Q9462" s="85"/>
      <c r="R9462" s="89"/>
    </row>
    <row r="9463" spans="13:18" x14ac:dyDescent="0.25">
      <c r="M9463" s="9"/>
      <c r="N9463" s="9"/>
      <c r="P9463" s="14"/>
      <c r="Q9463" s="85"/>
      <c r="R9463" s="89"/>
    </row>
    <row r="9464" spans="13:18" x14ac:dyDescent="0.25">
      <c r="M9464" s="9"/>
      <c r="N9464" s="9"/>
      <c r="P9464" s="14"/>
      <c r="Q9464" s="85"/>
      <c r="R9464" s="89"/>
    </row>
    <row r="9465" spans="13:18" x14ac:dyDescent="0.25">
      <c r="M9465" s="9"/>
      <c r="N9465" s="9"/>
      <c r="P9465" s="14"/>
      <c r="Q9465" s="85"/>
      <c r="R9465" s="89"/>
    </row>
    <row r="9466" spans="13:18" x14ac:dyDescent="0.25">
      <c r="M9466" s="9"/>
      <c r="N9466" s="9"/>
      <c r="P9466" s="14"/>
      <c r="Q9466" s="85"/>
      <c r="R9466" s="89"/>
    </row>
    <row r="9467" spans="13:18" x14ac:dyDescent="0.25">
      <c r="M9467" s="9"/>
      <c r="N9467" s="9"/>
      <c r="P9467" s="14"/>
      <c r="Q9467" s="85"/>
      <c r="R9467" s="89"/>
    </row>
    <row r="9468" spans="13:18" x14ac:dyDescent="0.25">
      <c r="M9468" s="9"/>
      <c r="N9468" s="9"/>
      <c r="P9468" s="14"/>
      <c r="Q9468" s="85"/>
      <c r="R9468" s="89"/>
    </row>
    <row r="9469" spans="13:18" x14ac:dyDescent="0.25">
      <c r="M9469" s="9"/>
      <c r="N9469" s="9"/>
      <c r="P9469" s="14"/>
      <c r="Q9469" s="85"/>
      <c r="R9469" s="89"/>
    </row>
    <row r="9470" spans="13:18" x14ac:dyDescent="0.25">
      <c r="M9470" s="9"/>
      <c r="N9470" s="9"/>
      <c r="P9470" s="14"/>
      <c r="Q9470" s="85"/>
      <c r="R9470" s="89"/>
    </row>
    <row r="9471" spans="13:18" x14ac:dyDescent="0.25">
      <c r="M9471" s="9"/>
      <c r="N9471" s="9"/>
      <c r="P9471" s="14"/>
      <c r="Q9471" s="85"/>
      <c r="R9471" s="89"/>
    </row>
    <row r="9472" spans="13:18" x14ac:dyDescent="0.25">
      <c r="M9472" s="9"/>
      <c r="N9472" s="9"/>
      <c r="P9472" s="14"/>
      <c r="Q9472" s="85"/>
      <c r="R9472" s="89"/>
    </row>
    <row r="9473" spans="13:18" x14ac:dyDescent="0.25">
      <c r="M9473" s="9"/>
      <c r="N9473" s="9"/>
      <c r="P9473" s="14"/>
      <c r="Q9473" s="85"/>
      <c r="R9473" s="89"/>
    </row>
    <row r="9474" spans="13:18" x14ac:dyDescent="0.25">
      <c r="M9474" s="9"/>
      <c r="N9474" s="9"/>
      <c r="P9474" s="14"/>
      <c r="Q9474" s="85"/>
      <c r="R9474" s="89"/>
    </row>
    <row r="9475" spans="13:18" x14ac:dyDescent="0.25">
      <c r="M9475" s="9"/>
      <c r="N9475" s="9"/>
      <c r="P9475" s="14"/>
      <c r="Q9475" s="85"/>
      <c r="R9475" s="89"/>
    </row>
    <row r="9476" spans="13:18" x14ac:dyDescent="0.25">
      <c r="M9476" s="9"/>
      <c r="N9476" s="9"/>
      <c r="P9476" s="14"/>
      <c r="Q9476" s="85"/>
      <c r="R9476" s="89"/>
    </row>
    <row r="9477" spans="13:18" x14ac:dyDescent="0.25">
      <c r="M9477" s="9"/>
      <c r="N9477" s="9"/>
      <c r="P9477" s="14"/>
      <c r="Q9477" s="85"/>
      <c r="R9477" s="89"/>
    </row>
    <row r="9478" spans="13:18" x14ac:dyDescent="0.25">
      <c r="M9478" s="9"/>
      <c r="N9478" s="9"/>
      <c r="P9478" s="14"/>
      <c r="Q9478" s="85"/>
      <c r="R9478" s="89"/>
    </row>
    <row r="9479" spans="13:18" x14ac:dyDescent="0.25">
      <c r="M9479" s="9"/>
      <c r="N9479" s="9"/>
      <c r="P9479" s="14"/>
      <c r="Q9479" s="85"/>
      <c r="R9479" s="89"/>
    </row>
    <row r="9480" spans="13:18" x14ac:dyDescent="0.25">
      <c r="M9480" s="9"/>
      <c r="N9480" s="9"/>
      <c r="P9480" s="14"/>
      <c r="Q9480" s="85"/>
      <c r="R9480" s="89"/>
    </row>
    <row r="9481" spans="13:18" x14ac:dyDescent="0.25">
      <c r="M9481" s="9"/>
      <c r="N9481" s="9"/>
      <c r="P9481" s="14"/>
      <c r="Q9481" s="85"/>
      <c r="R9481" s="89"/>
    </row>
    <row r="9482" spans="13:18" x14ac:dyDescent="0.25">
      <c r="M9482" s="9"/>
      <c r="N9482" s="9"/>
      <c r="P9482" s="14"/>
      <c r="Q9482" s="85"/>
      <c r="R9482" s="89"/>
    </row>
    <row r="9483" spans="13:18" x14ac:dyDescent="0.25">
      <c r="M9483" s="9"/>
      <c r="N9483" s="9"/>
      <c r="P9483" s="14"/>
      <c r="Q9483" s="85"/>
      <c r="R9483" s="89"/>
    </row>
    <row r="9484" spans="13:18" x14ac:dyDescent="0.25">
      <c r="M9484" s="9"/>
      <c r="N9484" s="9"/>
      <c r="P9484" s="14"/>
      <c r="Q9484" s="85"/>
      <c r="R9484" s="89"/>
    </row>
    <row r="9485" spans="13:18" x14ac:dyDescent="0.25">
      <c r="M9485" s="9"/>
      <c r="N9485" s="9"/>
      <c r="P9485" s="14"/>
      <c r="Q9485" s="85"/>
      <c r="R9485" s="89"/>
    </row>
    <row r="9486" spans="13:18" x14ac:dyDescent="0.25">
      <c r="M9486" s="9"/>
      <c r="N9486" s="9"/>
      <c r="P9486" s="14"/>
      <c r="Q9486" s="85"/>
      <c r="R9486" s="89"/>
    </row>
    <row r="9487" spans="13:18" x14ac:dyDescent="0.25">
      <c r="M9487" s="9"/>
      <c r="N9487" s="9"/>
      <c r="P9487" s="14"/>
      <c r="Q9487" s="85"/>
      <c r="R9487" s="89"/>
    </row>
    <row r="9488" spans="13:18" x14ac:dyDescent="0.25">
      <c r="M9488" s="9"/>
      <c r="N9488" s="9"/>
      <c r="P9488" s="14"/>
      <c r="Q9488" s="85"/>
      <c r="R9488" s="89"/>
    </row>
    <row r="9489" spans="13:18" x14ac:dyDescent="0.25">
      <c r="M9489" s="9"/>
      <c r="N9489" s="9"/>
      <c r="P9489" s="14"/>
      <c r="Q9489" s="85"/>
      <c r="R9489" s="89"/>
    </row>
    <row r="9490" spans="13:18" x14ac:dyDescent="0.25">
      <c r="M9490" s="9"/>
      <c r="N9490" s="9"/>
      <c r="P9490" s="14"/>
      <c r="Q9490" s="85"/>
      <c r="R9490" s="89"/>
    </row>
    <row r="9491" spans="13:18" x14ac:dyDescent="0.25">
      <c r="M9491" s="9"/>
      <c r="N9491" s="9"/>
      <c r="P9491" s="14"/>
      <c r="Q9491" s="85"/>
      <c r="R9491" s="89"/>
    </row>
    <row r="9492" spans="13:18" x14ac:dyDescent="0.25">
      <c r="M9492" s="9"/>
      <c r="N9492" s="9"/>
      <c r="P9492" s="14"/>
      <c r="Q9492" s="85"/>
      <c r="R9492" s="89"/>
    </row>
    <row r="9493" spans="13:18" x14ac:dyDescent="0.25">
      <c r="M9493" s="9"/>
      <c r="N9493" s="9"/>
      <c r="P9493" s="14"/>
      <c r="Q9493" s="85"/>
      <c r="R9493" s="89"/>
    </row>
    <row r="9494" spans="13:18" x14ac:dyDescent="0.25">
      <c r="M9494" s="9"/>
      <c r="N9494" s="9"/>
      <c r="P9494" s="14"/>
      <c r="Q9494" s="85"/>
      <c r="R9494" s="89"/>
    </row>
    <row r="9495" spans="13:18" x14ac:dyDescent="0.25">
      <c r="M9495" s="9"/>
      <c r="N9495" s="9"/>
      <c r="P9495" s="14"/>
      <c r="Q9495" s="85"/>
      <c r="R9495" s="89"/>
    </row>
    <row r="9496" spans="13:18" x14ac:dyDescent="0.25">
      <c r="M9496" s="9"/>
      <c r="N9496" s="9"/>
      <c r="P9496" s="14"/>
      <c r="Q9496" s="85"/>
      <c r="R9496" s="89"/>
    </row>
    <row r="9497" spans="13:18" x14ac:dyDescent="0.25">
      <c r="M9497" s="9"/>
      <c r="N9497" s="9"/>
      <c r="P9497" s="14"/>
      <c r="Q9497" s="85"/>
      <c r="R9497" s="89"/>
    </row>
    <row r="9498" spans="13:18" x14ac:dyDescent="0.25">
      <c r="M9498" s="9"/>
      <c r="N9498" s="9"/>
      <c r="P9498" s="14"/>
      <c r="Q9498" s="85"/>
      <c r="R9498" s="89"/>
    </row>
    <row r="9499" spans="13:18" x14ac:dyDescent="0.25">
      <c r="M9499" s="9"/>
      <c r="N9499" s="9"/>
      <c r="P9499" s="14"/>
      <c r="Q9499" s="85"/>
      <c r="R9499" s="89"/>
    </row>
    <row r="9500" spans="13:18" x14ac:dyDescent="0.25">
      <c r="M9500" s="9"/>
      <c r="N9500" s="9"/>
      <c r="P9500" s="14"/>
      <c r="Q9500" s="85"/>
      <c r="R9500" s="89"/>
    </row>
    <row r="9501" spans="13:18" x14ac:dyDescent="0.25">
      <c r="M9501" s="9"/>
      <c r="N9501" s="9"/>
      <c r="P9501" s="14"/>
      <c r="Q9501" s="85"/>
      <c r="R9501" s="89"/>
    </row>
    <row r="9502" spans="13:18" x14ac:dyDescent="0.25">
      <c r="M9502" s="9"/>
      <c r="N9502" s="9"/>
      <c r="P9502" s="14"/>
      <c r="Q9502" s="85"/>
      <c r="R9502" s="89"/>
    </row>
    <row r="9503" spans="13:18" x14ac:dyDescent="0.25">
      <c r="M9503" s="9"/>
      <c r="N9503" s="9"/>
      <c r="P9503" s="14"/>
      <c r="Q9503" s="85"/>
      <c r="R9503" s="89"/>
    </row>
    <row r="9504" spans="13:18" x14ac:dyDescent="0.25">
      <c r="M9504" s="9"/>
      <c r="N9504" s="9"/>
      <c r="P9504" s="14"/>
      <c r="Q9504" s="85"/>
      <c r="R9504" s="89"/>
    </row>
    <row r="9505" spans="13:18" x14ac:dyDescent="0.25">
      <c r="M9505" s="9"/>
      <c r="N9505" s="9"/>
      <c r="P9505" s="14"/>
      <c r="Q9505" s="85"/>
      <c r="R9505" s="89"/>
    </row>
    <row r="9506" spans="13:18" x14ac:dyDescent="0.25">
      <c r="M9506" s="9"/>
      <c r="N9506" s="9"/>
      <c r="P9506" s="14"/>
      <c r="Q9506" s="85"/>
      <c r="R9506" s="89"/>
    </row>
    <row r="9507" spans="13:18" x14ac:dyDescent="0.25">
      <c r="M9507" s="9"/>
      <c r="N9507" s="9"/>
      <c r="P9507" s="14"/>
      <c r="Q9507" s="85"/>
      <c r="R9507" s="89"/>
    </row>
    <row r="9508" spans="13:18" x14ac:dyDescent="0.25">
      <c r="M9508" s="9"/>
      <c r="N9508" s="9"/>
      <c r="P9508" s="14"/>
      <c r="Q9508" s="85"/>
      <c r="R9508" s="89"/>
    </row>
    <row r="9509" spans="13:18" x14ac:dyDescent="0.25">
      <c r="M9509" s="9"/>
      <c r="N9509" s="9"/>
      <c r="P9509" s="14"/>
      <c r="Q9509" s="85"/>
      <c r="R9509" s="89"/>
    </row>
    <row r="9510" spans="13:18" x14ac:dyDescent="0.25">
      <c r="M9510" s="9"/>
      <c r="N9510" s="9"/>
      <c r="P9510" s="14"/>
      <c r="Q9510" s="85"/>
      <c r="R9510" s="89"/>
    </row>
    <row r="9511" spans="13:18" x14ac:dyDescent="0.25">
      <c r="M9511" s="9"/>
      <c r="N9511" s="9"/>
      <c r="P9511" s="14"/>
      <c r="Q9511" s="85"/>
      <c r="R9511" s="89"/>
    </row>
    <row r="9512" spans="13:18" x14ac:dyDescent="0.25">
      <c r="M9512" s="9"/>
      <c r="N9512" s="9"/>
      <c r="P9512" s="14"/>
      <c r="Q9512" s="85"/>
      <c r="R9512" s="89"/>
    </row>
    <row r="9513" spans="13:18" x14ac:dyDescent="0.25">
      <c r="M9513" s="9"/>
      <c r="N9513" s="9"/>
      <c r="P9513" s="14"/>
      <c r="Q9513" s="85"/>
      <c r="R9513" s="89"/>
    </row>
    <row r="9514" spans="13:18" x14ac:dyDescent="0.25">
      <c r="M9514" s="9"/>
      <c r="N9514" s="9"/>
      <c r="P9514" s="14"/>
      <c r="Q9514" s="85"/>
      <c r="R9514" s="89"/>
    </row>
    <row r="9515" spans="13:18" x14ac:dyDescent="0.25">
      <c r="M9515" s="9"/>
      <c r="N9515" s="9"/>
      <c r="P9515" s="14"/>
      <c r="Q9515" s="85"/>
      <c r="R9515" s="89"/>
    </row>
    <row r="9516" spans="13:18" x14ac:dyDescent="0.25">
      <c r="M9516" s="9"/>
      <c r="N9516" s="9"/>
      <c r="P9516" s="14"/>
      <c r="Q9516" s="85"/>
      <c r="R9516" s="89"/>
    </row>
    <row r="9517" spans="13:18" x14ac:dyDescent="0.25">
      <c r="M9517" s="9"/>
      <c r="N9517" s="9"/>
      <c r="P9517" s="14"/>
      <c r="Q9517" s="85"/>
      <c r="R9517" s="89"/>
    </row>
    <row r="9518" spans="13:18" x14ac:dyDescent="0.25">
      <c r="M9518" s="9"/>
      <c r="N9518" s="9"/>
      <c r="P9518" s="14"/>
      <c r="Q9518" s="85"/>
      <c r="R9518" s="89"/>
    </row>
    <row r="9519" spans="13:18" x14ac:dyDescent="0.25">
      <c r="M9519" s="9"/>
      <c r="N9519" s="9"/>
      <c r="P9519" s="14"/>
      <c r="Q9519" s="85"/>
      <c r="R9519" s="89"/>
    </row>
    <row r="9520" spans="13:18" x14ac:dyDescent="0.25">
      <c r="M9520" s="9"/>
      <c r="N9520" s="9"/>
      <c r="P9520" s="14"/>
      <c r="Q9520" s="85"/>
      <c r="R9520" s="89"/>
    </row>
    <row r="9521" spans="13:18" x14ac:dyDescent="0.25">
      <c r="M9521" s="9"/>
      <c r="N9521" s="9"/>
      <c r="P9521" s="14"/>
      <c r="Q9521" s="85"/>
      <c r="R9521" s="89"/>
    </row>
    <row r="9522" spans="13:18" x14ac:dyDescent="0.25">
      <c r="M9522" s="9"/>
      <c r="N9522" s="9"/>
      <c r="P9522" s="14"/>
      <c r="Q9522" s="85"/>
      <c r="R9522" s="89"/>
    </row>
    <row r="9523" spans="13:18" x14ac:dyDescent="0.25">
      <c r="M9523" s="9"/>
      <c r="N9523" s="9"/>
      <c r="P9523" s="14"/>
      <c r="Q9523" s="85"/>
      <c r="R9523" s="89"/>
    </row>
    <row r="9524" spans="13:18" x14ac:dyDescent="0.25">
      <c r="M9524" s="9"/>
      <c r="N9524" s="9"/>
      <c r="P9524" s="14"/>
      <c r="Q9524" s="85"/>
      <c r="R9524" s="89"/>
    </row>
    <row r="9525" spans="13:18" x14ac:dyDescent="0.25">
      <c r="M9525" s="9"/>
      <c r="N9525" s="9"/>
      <c r="P9525" s="14"/>
      <c r="Q9525" s="85"/>
      <c r="R9525" s="89"/>
    </row>
    <row r="9526" spans="13:18" x14ac:dyDescent="0.25">
      <c r="M9526" s="9"/>
      <c r="N9526" s="9"/>
      <c r="P9526" s="14"/>
      <c r="Q9526" s="85"/>
      <c r="R9526" s="89"/>
    </row>
    <row r="9527" spans="13:18" x14ac:dyDescent="0.25">
      <c r="M9527" s="9"/>
      <c r="N9527" s="9"/>
      <c r="P9527" s="14"/>
      <c r="Q9527" s="85"/>
      <c r="R9527" s="89"/>
    </row>
    <row r="9528" spans="13:18" x14ac:dyDescent="0.25">
      <c r="M9528" s="9"/>
      <c r="N9528" s="9"/>
      <c r="P9528" s="14"/>
      <c r="Q9528" s="85"/>
      <c r="R9528" s="89"/>
    </row>
    <row r="9529" spans="13:18" x14ac:dyDescent="0.25">
      <c r="M9529" s="9"/>
      <c r="N9529" s="9"/>
      <c r="P9529" s="14"/>
      <c r="Q9529" s="85"/>
      <c r="R9529" s="89"/>
    </row>
    <row r="9530" spans="13:18" x14ac:dyDescent="0.25">
      <c r="M9530" s="9"/>
      <c r="N9530" s="9"/>
      <c r="P9530" s="14"/>
      <c r="Q9530" s="85"/>
      <c r="R9530" s="89"/>
    </row>
    <row r="9531" spans="13:18" x14ac:dyDescent="0.25">
      <c r="M9531" s="9"/>
      <c r="N9531" s="9"/>
      <c r="P9531" s="14"/>
      <c r="Q9531" s="85"/>
      <c r="R9531" s="89"/>
    </row>
    <row r="9532" spans="13:18" x14ac:dyDescent="0.25">
      <c r="M9532" s="9"/>
      <c r="N9532" s="9"/>
      <c r="P9532" s="14"/>
      <c r="Q9532" s="85"/>
      <c r="R9532" s="89"/>
    </row>
    <row r="9533" spans="13:18" x14ac:dyDescent="0.25">
      <c r="M9533" s="9"/>
      <c r="N9533" s="9"/>
      <c r="P9533" s="14"/>
      <c r="Q9533" s="85"/>
      <c r="R9533" s="89"/>
    </row>
    <row r="9534" spans="13:18" x14ac:dyDescent="0.25">
      <c r="M9534" s="9"/>
      <c r="N9534" s="9"/>
      <c r="P9534" s="14"/>
      <c r="Q9534" s="85"/>
      <c r="R9534" s="89"/>
    </row>
    <row r="9535" spans="13:18" x14ac:dyDescent="0.25">
      <c r="M9535" s="9"/>
      <c r="N9535" s="9"/>
      <c r="P9535" s="14"/>
      <c r="Q9535" s="85"/>
      <c r="R9535" s="89"/>
    </row>
    <row r="9536" spans="13:18" x14ac:dyDescent="0.25">
      <c r="M9536" s="9"/>
      <c r="N9536" s="9"/>
      <c r="P9536" s="14"/>
      <c r="Q9536" s="85"/>
      <c r="R9536" s="89"/>
    </row>
    <row r="9537" spans="13:18" x14ac:dyDescent="0.25">
      <c r="M9537" s="9"/>
      <c r="N9537" s="9"/>
      <c r="P9537" s="14"/>
      <c r="Q9537" s="85"/>
      <c r="R9537" s="89"/>
    </row>
    <row r="9538" spans="13:18" x14ac:dyDescent="0.25">
      <c r="M9538" s="9"/>
      <c r="N9538" s="9"/>
      <c r="P9538" s="14"/>
      <c r="Q9538" s="85"/>
      <c r="R9538" s="89"/>
    </row>
    <row r="9539" spans="13:18" x14ac:dyDescent="0.25">
      <c r="M9539" s="9"/>
      <c r="N9539" s="9"/>
      <c r="P9539" s="14"/>
      <c r="Q9539" s="85"/>
      <c r="R9539" s="89"/>
    </row>
    <row r="9540" spans="13:18" x14ac:dyDescent="0.25">
      <c r="M9540" s="9"/>
      <c r="N9540" s="9"/>
      <c r="P9540" s="14"/>
      <c r="Q9540" s="85"/>
      <c r="R9540" s="89"/>
    </row>
    <row r="9541" spans="13:18" x14ac:dyDescent="0.25">
      <c r="M9541" s="9"/>
      <c r="N9541" s="9"/>
      <c r="P9541" s="14"/>
      <c r="Q9541" s="85"/>
      <c r="R9541" s="89"/>
    </row>
    <row r="9542" spans="13:18" x14ac:dyDescent="0.25">
      <c r="M9542" s="9"/>
      <c r="N9542" s="9"/>
      <c r="P9542" s="14"/>
      <c r="Q9542" s="85"/>
      <c r="R9542" s="89"/>
    </row>
    <row r="9543" spans="13:18" x14ac:dyDescent="0.25">
      <c r="M9543" s="9"/>
      <c r="N9543" s="9"/>
      <c r="P9543" s="14"/>
      <c r="Q9543" s="85"/>
      <c r="R9543" s="89"/>
    </row>
    <row r="9544" spans="13:18" x14ac:dyDescent="0.25">
      <c r="M9544" s="9"/>
      <c r="N9544" s="9"/>
      <c r="P9544" s="14"/>
      <c r="Q9544" s="85"/>
      <c r="R9544" s="89"/>
    </row>
    <row r="9545" spans="13:18" x14ac:dyDescent="0.25">
      <c r="M9545" s="9"/>
      <c r="N9545" s="9"/>
      <c r="P9545" s="14"/>
      <c r="Q9545" s="85"/>
      <c r="R9545" s="89"/>
    </row>
    <row r="9546" spans="13:18" x14ac:dyDescent="0.25">
      <c r="M9546" s="9"/>
      <c r="N9546" s="9"/>
      <c r="P9546" s="14"/>
      <c r="Q9546" s="85"/>
      <c r="R9546" s="89"/>
    </row>
    <row r="9547" spans="13:18" x14ac:dyDescent="0.25">
      <c r="M9547" s="9"/>
      <c r="N9547" s="9"/>
      <c r="P9547" s="14"/>
      <c r="Q9547" s="85"/>
      <c r="R9547" s="89"/>
    </row>
    <row r="9548" spans="13:18" x14ac:dyDescent="0.25">
      <c r="M9548" s="9"/>
      <c r="N9548" s="9"/>
      <c r="P9548" s="14"/>
      <c r="Q9548" s="85"/>
      <c r="R9548" s="89"/>
    </row>
    <row r="9549" spans="13:18" x14ac:dyDescent="0.25">
      <c r="M9549" s="9"/>
      <c r="N9549" s="9"/>
      <c r="P9549" s="14"/>
      <c r="Q9549" s="85"/>
      <c r="R9549" s="89"/>
    </row>
    <row r="9550" spans="13:18" x14ac:dyDescent="0.25">
      <c r="M9550" s="9"/>
      <c r="N9550" s="9"/>
      <c r="P9550" s="14"/>
      <c r="Q9550" s="85"/>
      <c r="R9550" s="89"/>
    </row>
    <row r="9551" spans="13:18" x14ac:dyDescent="0.25">
      <c r="M9551" s="9"/>
      <c r="N9551" s="9"/>
      <c r="P9551" s="14"/>
      <c r="Q9551" s="85"/>
      <c r="R9551" s="89"/>
    </row>
    <row r="9552" spans="13:18" x14ac:dyDescent="0.25">
      <c r="M9552" s="9"/>
      <c r="N9552" s="9"/>
      <c r="P9552" s="14"/>
      <c r="Q9552" s="85"/>
      <c r="R9552" s="89"/>
    </row>
    <row r="9553" spans="13:18" x14ac:dyDescent="0.25">
      <c r="M9553" s="9"/>
      <c r="N9553" s="9"/>
      <c r="P9553" s="14"/>
      <c r="Q9553" s="85"/>
      <c r="R9553" s="89"/>
    </row>
    <row r="9554" spans="13:18" x14ac:dyDescent="0.25">
      <c r="M9554" s="9"/>
      <c r="N9554" s="9"/>
      <c r="P9554" s="14"/>
      <c r="Q9554" s="85"/>
      <c r="R9554" s="89"/>
    </row>
    <row r="9555" spans="13:18" x14ac:dyDescent="0.25">
      <c r="M9555" s="9"/>
      <c r="N9555" s="9"/>
      <c r="P9555" s="14"/>
      <c r="Q9555" s="85"/>
      <c r="R9555" s="89"/>
    </row>
    <row r="9556" spans="13:18" x14ac:dyDescent="0.25">
      <c r="M9556" s="9"/>
      <c r="N9556" s="9"/>
      <c r="P9556" s="14"/>
      <c r="Q9556" s="85"/>
      <c r="R9556" s="89"/>
    </row>
    <row r="9557" spans="13:18" x14ac:dyDescent="0.25">
      <c r="M9557" s="9"/>
      <c r="N9557" s="9"/>
      <c r="P9557" s="14"/>
      <c r="Q9557" s="85"/>
      <c r="R9557" s="89"/>
    </row>
    <row r="9558" spans="13:18" x14ac:dyDescent="0.25">
      <c r="M9558" s="9"/>
      <c r="N9558" s="9"/>
      <c r="P9558" s="14"/>
      <c r="Q9558" s="85"/>
      <c r="R9558" s="89"/>
    </row>
    <row r="9559" spans="13:18" x14ac:dyDescent="0.25">
      <c r="M9559" s="9"/>
      <c r="N9559" s="9"/>
      <c r="P9559" s="14"/>
      <c r="Q9559" s="85"/>
      <c r="R9559" s="89"/>
    </row>
    <row r="9560" spans="13:18" x14ac:dyDescent="0.25">
      <c r="M9560" s="9"/>
      <c r="N9560" s="9"/>
      <c r="P9560" s="14"/>
      <c r="Q9560" s="85"/>
      <c r="R9560" s="89"/>
    </row>
    <row r="9561" spans="13:18" x14ac:dyDescent="0.25">
      <c r="M9561" s="9"/>
      <c r="N9561" s="9"/>
      <c r="P9561" s="14"/>
      <c r="Q9561" s="85"/>
      <c r="R9561" s="89"/>
    </row>
    <row r="9562" spans="13:18" x14ac:dyDescent="0.25">
      <c r="M9562" s="9"/>
      <c r="N9562" s="9"/>
      <c r="P9562" s="14"/>
      <c r="Q9562" s="85"/>
      <c r="R9562" s="89"/>
    </row>
    <row r="9563" spans="13:18" x14ac:dyDescent="0.25">
      <c r="M9563" s="9"/>
      <c r="N9563" s="9"/>
      <c r="P9563" s="14"/>
      <c r="Q9563" s="85"/>
      <c r="R9563" s="89"/>
    </row>
    <row r="9564" spans="13:18" x14ac:dyDescent="0.25">
      <c r="M9564" s="9"/>
      <c r="N9564" s="9"/>
      <c r="P9564" s="14"/>
      <c r="Q9564" s="85"/>
      <c r="R9564" s="89"/>
    </row>
    <row r="9565" spans="13:18" x14ac:dyDescent="0.25">
      <c r="M9565" s="9"/>
      <c r="N9565" s="9"/>
      <c r="P9565" s="14"/>
      <c r="Q9565" s="85"/>
      <c r="R9565" s="89"/>
    </row>
    <row r="9566" spans="13:18" x14ac:dyDescent="0.25">
      <c r="M9566" s="9"/>
      <c r="N9566" s="9"/>
      <c r="P9566" s="14"/>
      <c r="Q9566" s="85"/>
      <c r="R9566" s="89"/>
    </row>
    <row r="9567" spans="13:18" x14ac:dyDescent="0.25">
      <c r="M9567" s="9"/>
      <c r="N9567" s="9"/>
      <c r="P9567" s="14"/>
      <c r="Q9567" s="85"/>
      <c r="R9567" s="89"/>
    </row>
    <row r="9568" spans="13:18" x14ac:dyDescent="0.25">
      <c r="M9568" s="9"/>
      <c r="N9568" s="9"/>
      <c r="P9568" s="14"/>
      <c r="Q9568" s="85"/>
      <c r="R9568" s="89"/>
    </row>
    <row r="9569" spans="13:18" x14ac:dyDescent="0.25">
      <c r="M9569" s="9"/>
      <c r="N9569" s="9"/>
      <c r="P9569" s="14"/>
      <c r="Q9569" s="85"/>
      <c r="R9569" s="89"/>
    </row>
    <row r="9570" spans="13:18" x14ac:dyDescent="0.25">
      <c r="M9570" s="9"/>
      <c r="N9570" s="9"/>
      <c r="P9570" s="14"/>
      <c r="Q9570" s="85"/>
      <c r="R9570" s="89"/>
    </row>
    <row r="9571" spans="13:18" x14ac:dyDescent="0.25">
      <c r="M9571" s="9"/>
      <c r="N9571" s="9"/>
      <c r="P9571" s="14"/>
      <c r="Q9571" s="85"/>
      <c r="R9571" s="89"/>
    </row>
    <row r="9572" spans="13:18" x14ac:dyDescent="0.25">
      <c r="M9572" s="9"/>
      <c r="N9572" s="9"/>
      <c r="P9572" s="14"/>
      <c r="Q9572" s="85"/>
      <c r="R9572" s="89"/>
    </row>
    <row r="9573" spans="13:18" x14ac:dyDescent="0.25">
      <c r="M9573" s="9"/>
      <c r="N9573" s="9"/>
      <c r="P9573" s="14"/>
      <c r="Q9573" s="85"/>
      <c r="R9573" s="89"/>
    </row>
    <row r="9574" spans="13:18" x14ac:dyDescent="0.25">
      <c r="M9574" s="9"/>
      <c r="N9574" s="9"/>
      <c r="P9574" s="14"/>
      <c r="Q9574" s="85"/>
      <c r="R9574" s="89"/>
    </row>
    <row r="9575" spans="13:18" x14ac:dyDescent="0.25">
      <c r="M9575" s="9"/>
      <c r="N9575" s="9"/>
      <c r="P9575" s="14"/>
      <c r="Q9575" s="85"/>
      <c r="R9575" s="89"/>
    </row>
    <row r="9576" spans="13:18" x14ac:dyDescent="0.25">
      <c r="M9576" s="9"/>
      <c r="N9576" s="9"/>
      <c r="P9576" s="14"/>
      <c r="Q9576" s="85"/>
      <c r="R9576" s="89"/>
    </row>
    <row r="9577" spans="13:18" x14ac:dyDescent="0.25">
      <c r="M9577" s="9"/>
      <c r="N9577" s="9"/>
      <c r="P9577" s="14"/>
      <c r="Q9577" s="85"/>
      <c r="R9577" s="89"/>
    </row>
    <row r="9578" spans="13:18" x14ac:dyDescent="0.25">
      <c r="M9578" s="9"/>
      <c r="N9578" s="9"/>
      <c r="P9578" s="14"/>
      <c r="Q9578" s="85"/>
      <c r="R9578" s="89"/>
    </row>
    <row r="9579" spans="13:18" x14ac:dyDescent="0.25">
      <c r="M9579" s="9"/>
      <c r="N9579" s="9"/>
      <c r="P9579" s="14"/>
      <c r="Q9579" s="85"/>
      <c r="R9579" s="89"/>
    </row>
    <row r="9580" spans="13:18" x14ac:dyDescent="0.25">
      <c r="M9580" s="9"/>
      <c r="N9580" s="9"/>
      <c r="P9580" s="14"/>
      <c r="Q9580" s="85"/>
      <c r="R9580" s="89"/>
    </row>
    <row r="9581" spans="13:18" x14ac:dyDescent="0.25">
      <c r="M9581" s="9"/>
      <c r="N9581" s="9"/>
      <c r="P9581" s="14"/>
      <c r="Q9581" s="85"/>
      <c r="R9581" s="89"/>
    </row>
    <row r="9582" spans="13:18" x14ac:dyDescent="0.25">
      <c r="M9582" s="9"/>
      <c r="N9582" s="9"/>
      <c r="P9582" s="14"/>
      <c r="Q9582" s="85"/>
      <c r="R9582" s="89"/>
    </row>
    <row r="9583" spans="13:18" x14ac:dyDescent="0.25">
      <c r="M9583" s="9"/>
      <c r="N9583" s="9"/>
      <c r="P9583" s="14"/>
      <c r="Q9583" s="85"/>
      <c r="R9583" s="89"/>
    </row>
    <row r="9584" spans="13:18" x14ac:dyDescent="0.25">
      <c r="M9584" s="9"/>
      <c r="N9584" s="9"/>
      <c r="P9584" s="14"/>
      <c r="Q9584" s="85"/>
      <c r="R9584" s="89"/>
    </row>
    <row r="9585" spans="13:18" x14ac:dyDescent="0.25">
      <c r="M9585" s="9"/>
      <c r="N9585" s="9"/>
      <c r="P9585" s="14"/>
      <c r="Q9585" s="85"/>
      <c r="R9585" s="89"/>
    </row>
    <row r="9586" spans="13:18" x14ac:dyDescent="0.25">
      <c r="M9586" s="9"/>
      <c r="N9586" s="9"/>
      <c r="P9586" s="14"/>
      <c r="Q9586" s="85"/>
      <c r="R9586" s="89"/>
    </row>
    <row r="9587" spans="13:18" x14ac:dyDescent="0.25">
      <c r="M9587" s="9"/>
      <c r="N9587" s="9"/>
      <c r="P9587" s="14"/>
      <c r="Q9587" s="85"/>
      <c r="R9587" s="89"/>
    </row>
    <row r="9588" spans="13:18" x14ac:dyDescent="0.25">
      <c r="M9588" s="9"/>
      <c r="N9588" s="9"/>
      <c r="P9588" s="14"/>
      <c r="Q9588" s="85"/>
      <c r="R9588" s="89"/>
    </row>
    <row r="9589" spans="13:18" x14ac:dyDescent="0.25">
      <c r="M9589" s="9"/>
      <c r="N9589" s="9"/>
      <c r="P9589" s="14"/>
      <c r="Q9589" s="85"/>
      <c r="R9589" s="89"/>
    </row>
    <row r="9590" spans="13:18" x14ac:dyDescent="0.25">
      <c r="M9590" s="9"/>
      <c r="N9590" s="9"/>
      <c r="P9590" s="14"/>
      <c r="Q9590" s="85"/>
      <c r="R9590" s="89"/>
    </row>
    <row r="9591" spans="13:18" x14ac:dyDescent="0.25">
      <c r="M9591" s="9"/>
      <c r="N9591" s="9"/>
      <c r="P9591" s="14"/>
      <c r="Q9591" s="85"/>
      <c r="R9591" s="89"/>
    </row>
    <row r="9592" spans="13:18" x14ac:dyDescent="0.25">
      <c r="M9592" s="9"/>
      <c r="N9592" s="9"/>
      <c r="P9592" s="14"/>
      <c r="Q9592" s="85"/>
      <c r="R9592" s="89"/>
    </row>
    <row r="9593" spans="13:18" x14ac:dyDescent="0.25">
      <c r="M9593" s="9"/>
      <c r="N9593" s="9"/>
      <c r="P9593" s="14"/>
      <c r="Q9593" s="85"/>
      <c r="R9593" s="89"/>
    </row>
    <row r="9594" spans="13:18" x14ac:dyDescent="0.25">
      <c r="M9594" s="9"/>
      <c r="N9594" s="9"/>
      <c r="P9594" s="14"/>
      <c r="Q9594" s="85"/>
      <c r="R9594" s="89"/>
    </row>
    <row r="9595" spans="13:18" x14ac:dyDescent="0.25">
      <c r="M9595" s="9"/>
      <c r="N9595" s="9"/>
      <c r="P9595" s="14"/>
      <c r="Q9595" s="85"/>
      <c r="R9595" s="89"/>
    </row>
    <row r="9596" spans="13:18" x14ac:dyDescent="0.25">
      <c r="M9596" s="9"/>
      <c r="N9596" s="9"/>
      <c r="P9596" s="14"/>
      <c r="Q9596" s="85"/>
      <c r="R9596" s="89"/>
    </row>
    <row r="9597" spans="13:18" x14ac:dyDescent="0.25">
      <c r="M9597" s="9"/>
      <c r="N9597" s="9"/>
      <c r="P9597" s="14"/>
      <c r="Q9597" s="85"/>
      <c r="R9597" s="89"/>
    </row>
    <row r="9598" spans="13:18" x14ac:dyDescent="0.25">
      <c r="M9598" s="9"/>
      <c r="N9598" s="9"/>
      <c r="P9598" s="14"/>
      <c r="Q9598" s="85"/>
      <c r="R9598" s="89"/>
    </row>
    <row r="9599" spans="13:18" x14ac:dyDescent="0.25">
      <c r="M9599" s="9"/>
      <c r="N9599" s="9"/>
      <c r="P9599" s="14"/>
      <c r="Q9599" s="85"/>
      <c r="R9599" s="89"/>
    </row>
    <row r="9600" spans="13:18" x14ac:dyDescent="0.25">
      <c r="M9600" s="9"/>
      <c r="N9600" s="9"/>
      <c r="P9600" s="14"/>
      <c r="Q9600" s="85"/>
      <c r="R9600" s="89"/>
    </row>
    <row r="9601" spans="13:18" x14ac:dyDescent="0.25">
      <c r="M9601" s="9"/>
      <c r="N9601" s="9"/>
      <c r="P9601" s="14"/>
      <c r="Q9601" s="85"/>
      <c r="R9601" s="89"/>
    </row>
    <row r="9602" spans="13:18" x14ac:dyDescent="0.25">
      <c r="M9602" s="9"/>
      <c r="N9602" s="9"/>
      <c r="P9602" s="14"/>
      <c r="Q9602" s="85"/>
      <c r="R9602" s="89"/>
    </row>
    <row r="9603" spans="13:18" x14ac:dyDescent="0.25">
      <c r="M9603" s="9"/>
      <c r="N9603" s="9"/>
      <c r="P9603" s="14"/>
      <c r="Q9603" s="85"/>
      <c r="R9603" s="89"/>
    </row>
    <row r="9604" spans="13:18" x14ac:dyDescent="0.25">
      <c r="M9604" s="9"/>
      <c r="N9604" s="9"/>
      <c r="P9604" s="14"/>
      <c r="Q9604" s="85"/>
      <c r="R9604" s="89"/>
    </row>
    <row r="9605" spans="13:18" x14ac:dyDescent="0.25">
      <c r="M9605" s="9"/>
      <c r="N9605" s="9"/>
      <c r="P9605" s="14"/>
      <c r="Q9605" s="85"/>
      <c r="R9605" s="89"/>
    </row>
    <row r="9606" spans="13:18" x14ac:dyDescent="0.25">
      <c r="M9606" s="9"/>
      <c r="N9606" s="9"/>
      <c r="P9606" s="14"/>
      <c r="Q9606" s="85"/>
      <c r="R9606" s="89"/>
    </row>
    <row r="9607" spans="13:18" x14ac:dyDescent="0.25">
      <c r="M9607" s="9"/>
      <c r="N9607" s="9"/>
      <c r="P9607" s="14"/>
      <c r="Q9607" s="85"/>
      <c r="R9607" s="89"/>
    </row>
    <row r="9608" spans="13:18" x14ac:dyDescent="0.25">
      <c r="M9608" s="9"/>
      <c r="N9608" s="9"/>
      <c r="P9608" s="14"/>
      <c r="Q9608" s="85"/>
      <c r="R9608" s="89"/>
    </row>
    <row r="9609" spans="13:18" x14ac:dyDescent="0.25">
      <c r="M9609" s="9"/>
      <c r="N9609" s="9"/>
      <c r="P9609" s="14"/>
      <c r="Q9609" s="85"/>
      <c r="R9609" s="89"/>
    </row>
    <row r="9610" spans="13:18" x14ac:dyDescent="0.25">
      <c r="M9610" s="9"/>
      <c r="N9610" s="9"/>
      <c r="P9610" s="14"/>
      <c r="Q9610" s="85"/>
      <c r="R9610" s="89"/>
    </row>
    <row r="9611" spans="13:18" x14ac:dyDescent="0.25">
      <c r="M9611" s="9"/>
      <c r="N9611" s="9"/>
      <c r="P9611" s="14"/>
      <c r="Q9611" s="85"/>
      <c r="R9611" s="89"/>
    </row>
    <row r="9612" spans="13:18" x14ac:dyDescent="0.25">
      <c r="M9612" s="9"/>
      <c r="N9612" s="9"/>
      <c r="P9612" s="14"/>
      <c r="Q9612" s="85"/>
      <c r="R9612" s="89"/>
    </row>
    <row r="9613" spans="13:18" x14ac:dyDescent="0.25">
      <c r="M9613" s="9"/>
      <c r="N9613" s="9"/>
      <c r="P9613" s="14"/>
      <c r="Q9613" s="85"/>
      <c r="R9613" s="89"/>
    </row>
    <row r="9614" spans="13:18" x14ac:dyDescent="0.25">
      <c r="M9614" s="9"/>
      <c r="N9614" s="9"/>
      <c r="P9614" s="14"/>
      <c r="Q9614" s="85"/>
      <c r="R9614" s="89"/>
    </row>
    <row r="9615" spans="13:18" x14ac:dyDescent="0.25">
      <c r="M9615" s="9"/>
      <c r="N9615" s="9"/>
      <c r="P9615" s="14"/>
      <c r="Q9615" s="85"/>
      <c r="R9615" s="89"/>
    </row>
    <row r="9616" spans="13:18" x14ac:dyDescent="0.25">
      <c r="M9616" s="9"/>
      <c r="N9616" s="9"/>
      <c r="P9616" s="14"/>
      <c r="Q9616" s="85"/>
      <c r="R9616" s="89"/>
    </row>
    <row r="9617" spans="13:18" x14ac:dyDescent="0.25">
      <c r="M9617" s="9"/>
      <c r="N9617" s="9"/>
      <c r="P9617" s="14"/>
      <c r="Q9617" s="85"/>
      <c r="R9617" s="89"/>
    </row>
    <row r="9618" spans="13:18" x14ac:dyDescent="0.25">
      <c r="M9618" s="9"/>
      <c r="N9618" s="9"/>
      <c r="P9618" s="14"/>
      <c r="Q9618" s="85"/>
      <c r="R9618" s="89"/>
    </row>
    <row r="9619" spans="13:18" x14ac:dyDescent="0.25">
      <c r="M9619" s="9"/>
      <c r="N9619" s="9"/>
      <c r="P9619" s="14"/>
      <c r="Q9619" s="85"/>
      <c r="R9619" s="89"/>
    </row>
    <row r="9620" spans="13:18" x14ac:dyDescent="0.25">
      <c r="M9620" s="9"/>
      <c r="N9620" s="9"/>
      <c r="P9620" s="14"/>
      <c r="Q9620" s="85"/>
      <c r="R9620" s="89"/>
    </row>
    <row r="9621" spans="13:18" x14ac:dyDescent="0.25">
      <c r="M9621" s="9"/>
      <c r="N9621" s="9"/>
      <c r="P9621" s="14"/>
      <c r="Q9621" s="85"/>
      <c r="R9621" s="89"/>
    </row>
    <row r="9622" spans="13:18" x14ac:dyDescent="0.25">
      <c r="M9622" s="9"/>
      <c r="N9622" s="9"/>
      <c r="P9622" s="14"/>
      <c r="Q9622" s="85"/>
      <c r="R9622" s="89"/>
    </row>
    <row r="9623" spans="13:18" x14ac:dyDescent="0.25">
      <c r="M9623" s="9"/>
      <c r="N9623" s="9"/>
      <c r="P9623" s="14"/>
      <c r="Q9623" s="85"/>
      <c r="R9623" s="89"/>
    </row>
    <row r="9624" spans="13:18" x14ac:dyDescent="0.25">
      <c r="M9624" s="9"/>
      <c r="N9624" s="9"/>
      <c r="P9624" s="14"/>
      <c r="Q9624" s="85"/>
      <c r="R9624" s="89"/>
    </row>
    <row r="9625" spans="13:18" x14ac:dyDescent="0.25">
      <c r="M9625" s="9"/>
      <c r="N9625" s="9"/>
      <c r="P9625" s="14"/>
      <c r="Q9625" s="85"/>
      <c r="R9625" s="89"/>
    </row>
    <row r="9626" spans="13:18" x14ac:dyDescent="0.25">
      <c r="M9626" s="9"/>
      <c r="N9626" s="9"/>
      <c r="P9626" s="14"/>
      <c r="Q9626" s="85"/>
      <c r="R9626" s="89"/>
    </row>
    <row r="9627" spans="13:18" x14ac:dyDescent="0.25">
      <c r="M9627" s="9"/>
      <c r="N9627" s="9"/>
      <c r="P9627" s="14"/>
      <c r="Q9627" s="85"/>
      <c r="R9627" s="89"/>
    </row>
    <row r="9628" spans="13:18" x14ac:dyDescent="0.25">
      <c r="M9628" s="9"/>
      <c r="N9628" s="9"/>
      <c r="P9628" s="14"/>
      <c r="Q9628" s="85"/>
      <c r="R9628" s="89"/>
    </row>
    <row r="9629" spans="13:18" x14ac:dyDescent="0.25">
      <c r="M9629" s="9"/>
      <c r="N9629" s="9"/>
      <c r="P9629" s="14"/>
      <c r="Q9629" s="85"/>
      <c r="R9629" s="89"/>
    </row>
    <row r="9630" spans="13:18" x14ac:dyDescent="0.25">
      <c r="M9630" s="9"/>
      <c r="N9630" s="9"/>
      <c r="P9630" s="14"/>
      <c r="Q9630" s="85"/>
      <c r="R9630" s="89"/>
    </row>
    <row r="9631" spans="13:18" x14ac:dyDescent="0.25">
      <c r="M9631" s="9"/>
      <c r="N9631" s="9"/>
      <c r="P9631" s="14"/>
      <c r="Q9631" s="85"/>
      <c r="R9631" s="89"/>
    </row>
    <row r="9632" spans="13:18" x14ac:dyDescent="0.25">
      <c r="M9632" s="9"/>
      <c r="N9632" s="9"/>
      <c r="P9632" s="14"/>
      <c r="Q9632" s="85"/>
      <c r="R9632" s="89"/>
    </row>
    <row r="9633" spans="13:18" x14ac:dyDescent="0.25">
      <c r="M9633" s="9"/>
      <c r="N9633" s="9"/>
      <c r="P9633" s="14"/>
      <c r="Q9633" s="85"/>
      <c r="R9633" s="89"/>
    </row>
    <row r="9634" spans="13:18" x14ac:dyDescent="0.25">
      <c r="M9634" s="9"/>
      <c r="N9634" s="9"/>
      <c r="P9634" s="14"/>
      <c r="Q9634" s="85"/>
      <c r="R9634" s="89"/>
    </row>
    <row r="9635" spans="13:18" x14ac:dyDescent="0.25">
      <c r="M9635" s="9"/>
      <c r="N9635" s="9"/>
      <c r="P9635" s="14"/>
      <c r="Q9635" s="85"/>
      <c r="R9635" s="89"/>
    </row>
    <row r="9636" spans="13:18" x14ac:dyDescent="0.25">
      <c r="M9636" s="9"/>
      <c r="N9636" s="9"/>
      <c r="P9636" s="14"/>
      <c r="Q9636" s="85"/>
      <c r="R9636" s="89"/>
    </row>
    <row r="9637" spans="13:18" x14ac:dyDescent="0.25">
      <c r="M9637" s="9"/>
      <c r="N9637" s="9"/>
      <c r="P9637" s="14"/>
      <c r="Q9637" s="85"/>
      <c r="R9637" s="89"/>
    </row>
    <row r="9638" spans="13:18" x14ac:dyDescent="0.25">
      <c r="M9638" s="9"/>
      <c r="N9638" s="9"/>
      <c r="P9638" s="14"/>
      <c r="Q9638" s="85"/>
      <c r="R9638" s="89"/>
    </row>
    <row r="9639" spans="13:18" x14ac:dyDescent="0.25">
      <c r="M9639" s="9"/>
      <c r="N9639" s="9"/>
      <c r="P9639" s="14"/>
      <c r="Q9639" s="85"/>
      <c r="R9639" s="89"/>
    </row>
    <row r="9640" spans="13:18" x14ac:dyDescent="0.25">
      <c r="M9640" s="9"/>
      <c r="N9640" s="9"/>
      <c r="P9640" s="14"/>
      <c r="Q9640" s="85"/>
      <c r="R9640" s="89"/>
    </row>
    <row r="9641" spans="13:18" x14ac:dyDescent="0.25">
      <c r="M9641" s="9"/>
      <c r="N9641" s="9"/>
      <c r="P9641" s="14"/>
      <c r="Q9641" s="85"/>
      <c r="R9641" s="89"/>
    </row>
    <row r="9642" spans="13:18" x14ac:dyDescent="0.25">
      <c r="M9642" s="9"/>
      <c r="N9642" s="9"/>
      <c r="P9642" s="14"/>
      <c r="Q9642" s="85"/>
      <c r="R9642" s="89"/>
    </row>
    <row r="9643" spans="13:18" x14ac:dyDescent="0.25">
      <c r="M9643" s="9"/>
      <c r="N9643" s="9"/>
      <c r="P9643" s="14"/>
      <c r="Q9643" s="85"/>
      <c r="R9643" s="89"/>
    </row>
    <row r="9644" spans="13:18" x14ac:dyDescent="0.25">
      <c r="M9644" s="9"/>
      <c r="N9644" s="9"/>
      <c r="P9644" s="14"/>
      <c r="Q9644" s="85"/>
      <c r="R9644" s="89"/>
    </row>
    <row r="9645" spans="13:18" x14ac:dyDescent="0.25">
      <c r="M9645" s="9"/>
      <c r="N9645" s="9"/>
      <c r="P9645" s="14"/>
      <c r="Q9645" s="85"/>
      <c r="R9645" s="89"/>
    </row>
    <row r="9646" spans="13:18" x14ac:dyDescent="0.25">
      <c r="M9646" s="9"/>
      <c r="N9646" s="9"/>
      <c r="P9646" s="14"/>
      <c r="Q9646" s="85"/>
      <c r="R9646" s="89"/>
    </row>
    <row r="9647" spans="13:18" x14ac:dyDescent="0.25">
      <c r="M9647" s="9"/>
      <c r="N9647" s="9"/>
      <c r="P9647" s="14"/>
      <c r="Q9647" s="85"/>
      <c r="R9647" s="89"/>
    </row>
    <row r="9648" spans="13:18" x14ac:dyDescent="0.25">
      <c r="M9648" s="9"/>
      <c r="N9648" s="9"/>
      <c r="P9648" s="14"/>
      <c r="Q9648" s="85"/>
      <c r="R9648" s="89"/>
    </row>
    <row r="9649" spans="13:18" x14ac:dyDescent="0.25">
      <c r="M9649" s="9"/>
      <c r="N9649" s="9"/>
      <c r="P9649" s="14"/>
      <c r="Q9649" s="85"/>
      <c r="R9649" s="89"/>
    </row>
    <row r="9650" spans="13:18" x14ac:dyDescent="0.25">
      <c r="M9650" s="9"/>
      <c r="N9650" s="9"/>
      <c r="P9650" s="14"/>
      <c r="Q9650" s="85"/>
      <c r="R9650" s="89"/>
    </row>
    <row r="9651" spans="13:18" x14ac:dyDescent="0.25">
      <c r="M9651" s="9"/>
      <c r="N9651" s="9"/>
      <c r="P9651" s="14"/>
      <c r="Q9651" s="85"/>
      <c r="R9651" s="89"/>
    </row>
    <row r="9652" spans="13:18" x14ac:dyDescent="0.25">
      <c r="M9652" s="9"/>
      <c r="N9652" s="9"/>
      <c r="P9652" s="14"/>
      <c r="Q9652" s="85"/>
      <c r="R9652" s="89"/>
    </row>
    <row r="9653" spans="13:18" x14ac:dyDescent="0.25">
      <c r="M9653" s="9"/>
      <c r="N9653" s="9"/>
      <c r="P9653" s="14"/>
      <c r="Q9653" s="85"/>
      <c r="R9653" s="89"/>
    </row>
    <row r="9654" spans="13:18" x14ac:dyDescent="0.25">
      <c r="M9654" s="9"/>
      <c r="N9654" s="9"/>
      <c r="P9654" s="14"/>
      <c r="Q9654" s="85"/>
      <c r="R9654" s="89"/>
    </row>
    <row r="9655" spans="13:18" x14ac:dyDescent="0.25">
      <c r="M9655" s="9"/>
      <c r="N9655" s="9"/>
      <c r="P9655" s="14"/>
      <c r="Q9655" s="85"/>
      <c r="R9655" s="89"/>
    </row>
    <row r="9656" spans="13:18" x14ac:dyDescent="0.25">
      <c r="M9656" s="9"/>
      <c r="N9656" s="9"/>
      <c r="P9656" s="14"/>
      <c r="Q9656" s="85"/>
      <c r="R9656" s="89"/>
    </row>
    <row r="9657" spans="13:18" x14ac:dyDescent="0.25">
      <c r="M9657" s="9"/>
      <c r="N9657" s="9"/>
      <c r="P9657" s="14"/>
      <c r="Q9657" s="85"/>
      <c r="R9657" s="89"/>
    </row>
    <row r="9658" spans="13:18" x14ac:dyDescent="0.25">
      <c r="M9658" s="9"/>
      <c r="N9658" s="9"/>
      <c r="P9658" s="14"/>
      <c r="Q9658" s="85"/>
      <c r="R9658" s="89"/>
    </row>
    <row r="9659" spans="13:18" x14ac:dyDescent="0.25">
      <c r="M9659" s="9"/>
      <c r="N9659" s="9"/>
      <c r="P9659" s="14"/>
      <c r="Q9659" s="85"/>
      <c r="R9659" s="89"/>
    </row>
    <row r="9660" spans="13:18" x14ac:dyDescent="0.25">
      <c r="M9660" s="9"/>
      <c r="N9660" s="9"/>
      <c r="P9660" s="14"/>
      <c r="Q9660" s="85"/>
      <c r="R9660" s="89"/>
    </row>
    <row r="9661" spans="13:18" x14ac:dyDescent="0.25">
      <c r="M9661" s="9"/>
      <c r="N9661" s="9"/>
      <c r="P9661" s="14"/>
      <c r="Q9661" s="85"/>
      <c r="R9661" s="89"/>
    </row>
    <row r="9662" spans="13:18" x14ac:dyDescent="0.25">
      <c r="M9662" s="9"/>
      <c r="N9662" s="9"/>
      <c r="P9662" s="14"/>
      <c r="Q9662" s="85"/>
      <c r="R9662" s="89"/>
    </row>
    <row r="9663" spans="13:18" x14ac:dyDescent="0.25">
      <c r="M9663" s="9"/>
      <c r="N9663" s="9"/>
      <c r="P9663" s="14"/>
      <c r="Q9663" s="85"/>
      <c r="R9663" s="89"/>
    </row>
    <row r="9664" spans="13:18" x14ac:dyDescent="0.25">
      <c r="M9664" s="9"/>
      <c r="N9664" s="9"/>
      <c r="P9664" s="14"/>
      <c r="Q9664" s="85"/>
      <c r="R9664" s="89"/>
    </row>
    <row r="9665" spans="13:18" x14ac:dyDescent="0.25">
      <c r="M9665" s="9"/>
      <c r="N9665" s="9"/>
      <c r="P9665" s="14"/>
      <c r="Q9665" s="85"/>
      <c r="R9665" s="89"/>
    </row>
    <row r="9666" spans="13:18" x14ac:dyDescent="0.25">
      <c r="M9666" s="9"/>
      <c r="N9666" s="9"/>
      <c r="P9666" s="14"/>
      <c r="Q9666" s="85"/>
      <c r="R9666" s="89"/>
    </row>
    <row r="9667" spans="13:18" x14ac:dyDescent="0.25">
      <c r="M9667" s="9"/>
      <c r="N9667" s="9"/>
      <c r="P9667" s="14"/>
      <c r="Q9667" s="85"/>
      <c r="R9667" s="89"/>
    </row>
    <row r="9668" spans="13:18" x14ac:dyDescent="0.25">
      <c r="M9668" s="9"/>
      <c r="N9668" s="9"/>
      <c r="P9668" s="14"/>
      <c r="Q9668" s="85"/>
      <c r="R9668" s="89"/>
    </row>
    <row r="9669" spans="13:18" x14ac:dyDescent="0.25">
      <c r="M9669" s="9"/>
      <c r="N9669" s="9"/>
      <c r="P9669" s="14"/>
      <c r="Q9669" s="85"/>
      <c r="R9669" s="89"/>
    </row>
    <row r="9670" spans="13:18" x14ac:dyDescent="0.25">
      <c r="M9670" s="9"/>
      <c r="N9670" s="9"/>
      <c r="P9670" s="14"/>
      <c r="Q9670" s="85"/>
      <c r="R9670" s="89"/>
    </row>
    <row r="9671" spans="13:18" x14ac:dyDescent="0.25">
      <c r="M9671" s="9"/>
      <c r="N9671" s="9"/>
      <c r="P9671" s="14"/>
      <c r="Q9671" s="85"/>
      <c r="R9671" s="89"/>
    </row>
    <row r="9672" spans="13:18" x14ac:dyDescent="0.25">
      <c r="M9672" s="9"/>
      <c r="N9672" s="9"/>
      <c r="P9672" s="14"/>
      <c r="Q9672" s="85"/>
      <c r="R9672" s="89"/>
    </row>
    <row r="9673" spans="13:18" x14ac:dyDescent="0.25">
      <c r="M9673" s="9"/>
      <c r="N9673" s="9"/>
      <c r="P9673" s="14"/>
      <c r="Q9673" s="85"/>
      <c r="R9673" s="89"/>
    </row>
    <row r="9674" spans="13:18" x14ac:dyDescent="0.25">
      <c r="M9674" s="9"/>
      <c r="N9674" s="9"/>
      <c r="P9674" s="14"/>
      <c r="Q9674" s="85"/>
      <c r="R9674" s="89"/>
    </row>
    <row r="9675" spans="13:18" x14ac:dyDescent="0.25">
      <c r="M9675" s="9"/>
      <c r="N9675" s="9"/>
      <c r="P9675" s="14"/>
      <c r="Q9675" s="85"/>
      <c r="R9675" s="89"/>
    </row>
    <row r="9676" spans="13:18" x14ac:dyDescent="0.25">
      <c r="M9676" s="9"/>
      <c r="N9676" s="9"/>
      <c r="P9676" s="14"/>
      <c r="Q9676" s="85"/>
      <c r="R9676" s="89"/>
    </row>
    <row r="9677" spans="13:18" x14ac:dyDescent="0.25">
      <c r="M9677" s="9"/>
      <c r="N9677" s="9"/>
      <c r="P9677" s="14"/>
      <c r="Q9677" s="85"/>
      <c r="R9677" s="89"/>
    </row>
    <row r="9678" spans="13:18" x14ac:dyDescent="0.25">
      <c r="M9678" s="9"/>
      <c r="N9678" s="9"/>
      <c r="P9678" s="14"/>
      <c r="Q9678" s="85"/>
      <c r="R9678" s="89"/>
    </row>
    <row r="9679" spans="13:18" x14ac:dyDescent="0.25">
      <c r="M9679" s="9"/>
      <c r="N9679" s="9"/>
      <c r="P9679" s="14"/>
      <c r="Q9679" s="85"/>
      <c r="R9679" s="89"/>
    </row>
    <row r="9680" spans="13:18" x14ac:dyDescent="0.25">
      <c r="M9680" s="9"/>
      <c r="N9680" s="9"/>
      <c r="P9680" s="14"/>
      <c r="Q9680" s="85"/>
      <c r="R9680" s="89"/>
    </row>
    <row r="9681" spans="13:18" x14ac:dyDescent="0.25">
      <c r="M9681" s="9"/>
      <c r="N9681" s="9"/>
      <c r="P9681" s="14"/>
      <c r="Q9681" s="85"/>
      <c r="R9681" s="89"/>
    </row>
    <row r="9682" spans="13:18" x14ac:dyDescent="0.25">
      <c r="M9682" s="9"/>
      <c r="N9682" s="9"/>
      <c r="P9682" s="14"/>
      <c r="Q9682" s="85"/>
      <c r="R9682" s="89"/>
    </row>
    <row r="9683" spans="13:18" x14ac:dyDescent="0.25">
      <c r="M9683" s="9"/>
      <c r="N9683" s="9"/>
      <c r="P9683" s="14"/>
      <c r="Q9683" s="85"/>
      <c r="R9683" s="89"/>
    </row>
    <row r="9684" spans="13:18" x14ac:dyDescent="0.25">
      <c r="M9684" s="9"/>
      <c r="N9684" s="9"/>
      <c r="P9684" s="14"/>
      <c r="Q9684" s="85"/>
      <c r="R9684" s="89"/>
    </row>
    <row r="9685" spans="13:18" x14ac:dyDescent="0.25">
      <c r="M9685" s="9"/>
      <c r="N9685" s="9"/>
      <c r="P9685" s="14"/>
      <c r="Q9685" s="85"/>
      <c r="R9685" s="89"/>
    </row>
    <row r="9686" spans="13:18" x14ac:dyDescent="0.25">
      <c r="M9686" s="9"/>
      <c r="N9686" s="9"/>
      <c r="P9686" s="14"/>
      <c r="Q9686" s="85"/>
      <c r="R9686" s="89"/>
    </row>
    <row r="9687" spans="13:18" x14ac:dyDescent="0.25">
      <c r="M9687" s="9"/>
      <c r="N9687" s="9"/>
      <c r="P9687" s="14"/>
      <c r="Q9687" s="85"/>
      <c r="R9687" s="89"/>
    </row>
    <row r="9688" spans="13:18" x14ac:dyDescent="0.25">
      <c r="M9688" s="9"/>
      <c r="N9688" s="9"/>
      <c r="P9688" s="14"/>
      <c r="Q9688" s="85"/>
      <c r="R9688" s="89"/>
    </row>
    <row r="9689" spans="13:18" x14ac:dyDescent="0.25">
      <c r="M9689" s="9"/>
      <c r="N9689" s="9"/>
      <c r="P9689" s="14"/>
      <c r="Q9689" s="85"/>
      <c r="R9689" s="89"/>
    </row>
    <row r="9690" spans="13:18" x14ac:dyDescent="0.25">
      <c r="M9690" s="9"/>
      <c r="N9690" s="9"/>
      <c r="P9690" s="14"/>
      <c r="Q9690" s="85"/>
      <c r="R9690" s="89"/>
    </row>
    <row r="9691" spans="13:18" x14ac:dyDescent="0.25">
      <c r="M9691" s="9"/>
      <c r="N9691" s="9"/>
      <c r="P9691" s="14"/>
      <c r="Q9691" s="85"/>
      <c r="R9691" s="89"/>
    </row>
    <row r="9692" spans="13:18" x14ac:dyDescent="0.25">
      <c r="M9692" s="9"/>
      <c r="N9692" s="9"/>
      <c r="P9692" s="14"/>
      <c r="Q9692" s="85"/>
      <c r="R9692" s="89"/>
    </row>
    <row r="9693" spans="13:18" x14ac:dyDescent="0.25">
      <c r="M9693" s="9"/>
      <c r="N9693" s="9"/>
      <c r="P9693" s="14"/>
      <c r="Q9693" s="85"/>
      <c r="R9693" s="89"/>
    </row>
    <row r="9694" spans="13:18" x14ac:dyDescent="0.25">
      <c r="M9694" s="9"/>
      <c r="N9694" s="9"/>
      <c r="P9694" s="14"/>
      <c r="Q9694" s="85"/>
      <c r="R9694" s="89"/>
    </row>
    <row r="9695" spans="13:18" x14ac:dyDescent="0.25">
      <c r="M9695" s="9"/>
      <c r="N9695" s="9"/>
      <c r="P9695" s="14"/>
      <c r="Q9695" s="85"/>
      <c r="R9695" s="89"/>
    </row>
    <row r="9696" spans="13:18" x14ac:dyDescent="0.25">
      <c r="M9696" s="9"/>
      <c r="N9696" s="9"/>
      <c r="P9696" s="14"/>
      <c r="Q9696" s="85"/>
      <c r="R9696" s="89"/>
    </row>
    <row r="9697" spans="13:18" x14ac:dyDescent="0.25">
      <c r="M9697" s="9"/>
      <c r="N9697" s="9"/>
      <c r="P9697" s="14"/>
      <c r="Q9697" s="85"/>
      <c r="R9697" s="89"/>
    </row>
    <row r="9698" spans="13:18" x14ac:dyDescent="0.25">
      <c r="M9698" s="9"/>
      <c r="N9698" s="9"/>
      <c r="P9698" s="14"/>
      <c r="Q9698" s="85"/>
      <c r="R9698" s="89"/>
    </row>
    <row r="9699" spans="13:18" x14ac:dyDescent="0.25">
      <c r="M9699" s="9"/>
      <c r="N9699" s="9"/>
      <c r="P9699" s="14"/>
      <c r="Q9699" s="85"/>
      <c r="R9699" s="89"/>
    </row>
    <row r="9700" spans="13:18" x14ac:dyDescent="0.25">
      <c r="M9700" s="9"/>
      <c r="N9700" s="9"/>
      <c r="P9700" s="14"/>
      <c r="Q9700" s="85"/>
      <c r="R9700" s="89"/>
    </row>
    <row r="9701" spans="13:18" x14ac:dyDescent="0.25">
      <c r="M9701" s="9"/>
      <c r="N9701" s="9"/>
      <c r="P9701" s="14"/>
      <c r="Q9701" s="85"/>
      <c r="R9701" s="89"/>
    </row>
    <row r="9702" spans="13:18" x14ac:dyDescent="0.25">
      <c r="M9702" s="9"/>
      <c r="N9702" s="9"/>
      <c r="P9702" s="14"/>
      <c r="Q9702" s="85"/>
      <c r="R9702" s="89"/>
    </row>
    <row r="9703" spans="13:18" x14ac:dyDescent="0.25">
      <c r="M9703" s="9"/>
      <c r="N9703" s="9"/>
      <c r="P9703" s="14"/>
      <c r="Q9703" s="85"/>
      <c r="R9703" s="89"/>
    </row>
    <row r="9704" spans="13:18" x14ac:dyDescent="0.25">
      <c r="M9704" s="9"/>
      <c r="N9704" s="9"/>
      <c r="P9704" s="14"/>
      <c r="Q9704" s="85"/>
      <c r="R9704" s="89"/>
    </row>
    <row r="9705" spans="13:18" x14ac:dyDescent="0.25">
      <c r="M9705" s="9"/>
      <c r="N9705" s="9"/>
      <c r="P9705" s="14"/>
      <c r="Q9705" s="85"/>
      <c r="R9705" s="89"/>
    </row>
    <row r="9706" spans="13:18" x14ac:dyDescent="0.25">
      <c r="M9706" s="9"/>
      <c r="N9706" s="9"/>
      <c r="P9706" s="14"/>
      <c r="Q9706" s="85"/>
      <c r="R9706" s="89"/>
    </row>
    <row r="9707" spans="13:18" x14ac:dyDescent="0.25">
      <c r="M9707" s="9"/>
      <c r="N9707" s="9"/>
      <c r="P9707" s="14"/>
      <c r="Q9707" s="85"/>
      <c r="R9707" s="89"/>
    </row>
    <row r="9708" spans="13:18" x14ac:dyDescent="0.25">
      <c r="M9708" s="9"/>
      <c r="N9708" s="9"/>
      <c r="P9708" s="14"/>
      <c r="Q9708" s="85"/>
      <c r="R9708" s="89"/>
    </row>
    <row r="9709" spans="13:18" x14ac:dyDescent="0.25">
      <c r="M9709" s="9"/>
      <c r="N9709" s="9"/>
      <c r="P9709" s="14"/>
      <c r="Q9709" s="85"/>
      <c r="R9709" s="89"/>
    </row>
    <row r="9710" spans="13:18" x14ac:dyDescent="0.25">
      <c r="M9710" s="9"/>
      <c r="N9710" s="9"/>
      <c r="P9710" s="14"/>
      <c r="Q9710" s="85"/>
      <c r="R9710" s="89"/>
    </row>
    <row r="9711" spans="13:18" x14ac:dyDescent="0.25">
      <c r="M9711" s="9"/>
      <c r="N9711" s="9"/>
      <c r="P9711" s="14"/>
      <c r="Q9711" s="85"/>
      <c r="R9711" s="89"/>
    </row>
    <row r="9712" spans="13:18" x14ac:dyDescent="0.25">
      <c r="M9712" s="9"/>
      <c r="N9712" s="9"/>
      <c r="P9712" s="14"/>
      <c r="Q9712" s="85"/>
      <c r="R9712" s="89"/>
    </row>
    <row r="9713" spans="13:18" x14ac:dyDescent="0.25">
      <c r="M9713" s="9"/>
      <c r="N9713" s="9"/>
      <c r="P9713" s="14"/>
      <c r="Q9713" s="85"/>
      <c r="R9713" s="89"/>
    </row>
    <row r="9714" spans="13:18" x14ac:dyDescent="0.25">
      <c r="M9714" s="9"/>
      <c r="N9714" s="9"/>
      <c r="P9714" s="14"/>
      <c r="Q9714" s="85"/>
      <c r="R9714" s="89"/>
    </row>
    <row r="9715" spans="13:18" x14ac:dyDescent="0.25">
      <c r="M9715" s="9"/>
      <c r="N9715" s="9"/>
      <c r="P9715" s="14"/>
      <c r="Q9715" s="85"/>
      <c r="R9715" s="89"/>
    </row>
    <row r="9716" spans="13:18" x14ac:dyDescent="0.25">
      <c r="M9716" s="9"/>
      <c r="N9716" s="9"/>
      <c r="P9716" s="14"/>
      <c r="Q9716" s="85"/>
      <c r="R9716" s="89"/>
    </row>
    <row r="9717" spans="13:18" x14ac:dyDescent="0.25">
      <c r="M9717" s="9"/>
      <c r="N9717" s="9"/>
      <c r="P9717" s="14"/>
      <c r="Q9717" s="85"/>
      <c r="R9717" s="89"/>
    </row>
    <row r="9718" spans="13:18" x14ac:dyDescent="0.25">
      <c r="M9718" s="9"/>
      <c r="N9718" s="9"/>
      <c r="P9718" s="14"/>
      <c r="Q9718" s="85"/>
      <c r="R9718" s="89"/>
    </row>
    <row r="9719" spans="13:18" x14ac:dyDescent="0.25">
      <c r="M9719" s="9"/>
      <c r="N9719" s="9"/>
      <c r="P9719" s="14"/>
      <c r="Q9719" s="85"/>
      <c r="R9719" s="89"/>
    </row>
    <row r="9720" spans="13:18" x14ac:dyDescent="0.25">
      <c r="M9720" s="9"/>
      <c r="N9720" s="9"/>
      <c r="P9720" s="14"/>
      <c r="Q9720" s="85"/>
      <c r="R9720" s="89"/>
    </row>
    <row r="9721" spans="13:18" x14ac:dyDescent="0.25">
      <c r="M9721" s="9"/>
      <c r="N9721" s="9"/>
      <c r="P9721" s="14"/>
      <c r="Q9721" s="85"/>
      <c r="R9721" s="89"/>
    </row>
    <row r="9722" spans="13:18" x14ac:dyDescent="0.25">
      <c r="M9722" s="9"/>
      <c r="N9722" s="9"/>
      <c r="P9722" s="14"/>
      <c r="Q9722" s="85"/>
      <c r="R9722" s="89"/>
    </row>
    <row r="9723" spans="13:18" x14ac:dyDescent="0.25">
      <c r="M9723" s="9"/>
      <c r="N9723" s="9"/>
      <c r="P9723" s="14"/>
      <c r="Q9723" s="85"/>
      <c r="R9723" s="89"/>
    </row>
    <row r="9724" spans="13:18" x14ac:dyDescent="0.25">
      <c r="M9724" s="9"/>
      <c r="N9724" s="9"/>
      <c r="P9724" s="14"/>
      <c r="Q9724" s="85"/>
      <c r="R9724" s="89"/>
    </row>
    <row r="9725" spans="13:18" x14ac:dyDescent="0.25">
      <c r="M9725" s="9"/>
      <c r="N9725" s="9"/>
      <c r="P9725" s="14"/>
      <c r="Q9725" s="85"/>
      <c r="R9725" s="89"/>
    </row>
    <row r="9726" spans="13:18" x14ac:dyDescent="0.25">
      <c r="M9726" s="9"/>
      <c r="N9726" s="9"/>
      <c r="P9726" s="14"/>
      <c r="Q9726" s="85"/>
      <c r="R9726" s="89"/>
    </row>
    <row r="9727" spans="13:18" x14ac:dyDescent="0.25">
      <c r="M9727" s="9"/>
      <c r="N9727" s="9"/>
      <c r="P9727" s="14"/>
      <c r="Q9727" s="85"/>
      <c r="R9727" s="89"/>
    </row>
    <row r="9728" spans="13:18" x14ac:dyDescent="0.25">
      <c r="M9728" s="9"/>
      <c r="N9728" s="9"/>
      <c r="P9728" s="14"/>
      <c r="Q9728" s="85"/>
      <c r="R9728" s="89"/>
    </row>
    <row r="9729" spans="13:18" x14ac:dyDescent="0.25">
      <c r="M9729" s="9"/>
      <c r="N9729" s="9"/>
      <c r="P9729" s="14"/>
      <c r="Q9729" s="85"/>
      <c r="R9729" s="89"/>
    </row>
    <row r="9730" spans="13:18" x14ac:dyDescent="0.25">
      <c r="M9730" s="9"/>
      <c r="N9730" s="9"/>
      <c r="P9730" s="14"/>
      <c r="Q9730" s="85"/>
      <c r="R9730" s="89"/>
    </row>
    <row r="9731" spans="13:18" x14ac:dyDescent="0.25">
      <c r="M9731" s="9"/>
      <c r="N9731" s="9"/>
      <c r="P9731" s="14"/>
      <c r="Q9731" s="85"/>
      <c r="R9731" s="89"/>
    </row>
    <row r="9732" spans="13:18" x14ac:dyDescent="0.25">
      <c r="M9732" s="9"/>
      <c r="N9732" s="9"/>
      <c r="P9732" s="14"/>
      <c r="Q9732" s="85"/>
      <c r="R9732" s="89"/>
    </row>
    <row r="9733" spans="13:18" x14ac:dyDescent="0.25">
      <c r="M9733" s="9"/>
      <c r="N9733" s="9"/>
      <c r="P9733" s="14"/>
      <c r="Q9733" s="85"/>
      <c r="R9733" s="89"/>
    </row>
    <row r="9734" spans="13:18" x14ac:dyDescent="0.25">
      <c r="M9734" s="9"/>
      <c r="N9734" s="9"/>
      <c r="P9734" s="14"/>
      <c r="Q9734" s="85"/>
      <c r="R9734" s="89"/>
    </row>
    <row r="9735" spans="13:18" x14ac:dyDescent="0.25">
      <c r="M9735" s="9"/>
      <c r="N9735" s="9"/>
      <c r="P9735" s="14"/>
      <c r="Q9735" s="85"/>
      <c r="R9735" s="89"/>
    </row>
    <row r="9736" spans="13:18" x14ac:dyDescent="0.25">
      <c r="M9736" s="9"/>
      <c r="N9736" s="9"/>
      <c r="P9736" s="14"/>
      <c r="Q9736" s="85"/>
      <c r="R9736" s="89"/>
    </row>
    <row r="9737" spans="13:18" x14ac:dyDescent="0.25">
      <c r="M9737" s="9"/>
      <c r="N9737" s="9"/>
      <c r="P9737" s="14"/>
      <c r="Q9737" s="85"/>
      <c r="R9737" s="89"/>
    </row>
    <row r="9738" spans="13:18" x14ac:dyDescent="0.25">
      <c r="M9738" s="9"/>
      <c r="N9738" s="9"/>
      <c r="P9738" s="14"/>
      <c r="Q9738" s="85"/>
      <c r="R9738" s="89"/>
    </row>
    <row r="9739" spans="13:18" x14ac:dyDescent="0.25">
      <c r="M9739" s="9"/>
      <c r="N9739" s="9"/>
      <c r="P9739" s="14"/>
      <c r="Q9739" s="85"/>
      <c r="R9739" s="89"/>
    </row>
    <row r="9740" spans="13:18" x14ac:dyDescent="0.25">
      <c r="M9740" s="9"/>
      <c r="N9740" s="9"/>
      <c r="P9740" s="14"/>
      <c r="Q9740" s="85"/>
      <c r="R9740" s="89"/>
    </row>
    <row r="9741" spans="13:18" x14ac:dyDescent="0.25">
      <c r="M9741" s="9"/>
      <c r="N9741" s="9"/>
      <c r="P9741" s="14"/>
      <c r="Q9741" s="85"/>
      <c r="R9741" s="89"/>
    </row>
    <row r="9742" spans="13:18" x14ac:dyDescent="0.25">
      <c r="M9742" s="9"/>
      <c r="N9742" s="9"/>
      <c r="P9742" s="14"/>
      <c r="Q9742" s="85"/>
      <c r="R9742" s="89"/>
    </row>
    <row r="9743" spans="13:18" x14ac:dyDescent="0.25">
      <c r="M9743" s="9"/>
      <c r="N9743" s="9"/>
      <c r="P9743" s="14"/>
      <c r="Q9743" s="85"/>
      <c r="R9743" s="89"/>
    </row>
    <row r="9744" spans="13:18" x14ac:dyDescent="0.25">
      <c r="M9744" s="9"/>
      <c r="N9744" s="9"/>
      <c r="P9744" s="14"/>
      <c r="Q9744" s="85"/>
      <c r="R9744" s="89"/>
    </row>
    <row r="9745" spans="13:18" x14ac:dyDescent="0.25">
      <c r="M9745" s="9"/>
      <c r="N9745" s="9"/>
      <c r="P9745" s="14"/>
      <c r="Q9745" s="85"/>
      <c r="R9745" s="89"/>
    </row>
    <row r="9746" spans="13:18" x14ac:dyDescent="0.25">
      <c r="M9746" s="9"/>
      <c r="N9746" s="9"/>
      <c r="P9746" s="14"/>
      <c r="Q9746" s="85"/>
      <c r="R9746" s="89"/>
    </row>
    <row r="9747" spans="13:18" x14ac:dyDescent="0.25">
      <c r="M9747" s="9"/>
      <c r="N9747" s="9"/>
      <c r="P9747" s="14"/>
      <c r="Q9747" s="85"/>
      <c r="R9747" s="89"/>
    </row>
    <row r="9748" spans="13:18" x14ac:dyDescent="0.25">
      <c r="M9748" s="9"/>
      <c r="N9748" s="9"/>
      <c r="P9748" s="14"/>
      <c r="Q9748" s="85"/>
      <c r="R9748" s="89"/>
    </row>
    <row r="9749" spans="13:18" x14ac:dyDescent="0.25">
      <c r="M9749" s="9"/>
      <c r="N9749" s="9"/>
      <c r="P9749" s="14"/>
      <c r="Q9749" s="85"/>
      <c r="R9749" s="89"/>
    </row>
    <row r="9750" spans="13:18" x14ac:dyDescent="0.25">
      <c r="M9750" s="9"/>
      <c r="N9750" s="9"/>
      <c r="P9750" s="14"/>
      <c r="Q9750" s="85"/>
      <c r="R9750" s="89"/>
    </row>
    <row r="9751" spans="13:18" x14ac:dyDescent="0.25">
      <c r="M9751" s="9"/>
      <c r="N9751" s="9"/>
      <c r="P9751" s="14"/>
      <c r="Q9751" s="85"/>
      <c r="R9751" s="89"/>
    </row>
    <row r="9752" spans="13:18" x14ac:dyDescent="0.25">
      <c r="M9752" s="9"/>
      <c r="N9752" s="9"/>
      <c r="P9752" s="14"/>
      <c r="Q9752" s="85"/>
      <c r="R9752" s="89"/>
    </row>
    <row r="9753" spans="13:18" x14ac:dyDescent="0.25">
      <c r="M9753" s="9"/>
      <c r="N9753" s="9"/>
      <c r="P9753" s="14"/>
      <c r="Q9753" s="85"/>
      <c r="R9753" s="89"/>
    </row>
    <row r="9754" spans="13:18" x14ac:dyDescent="0.25">
      <c r="M9754" s="9"/>
      <c r="N9754" s="9"/>
      <c r="P9754" s="14"/>
      <c r="Q9754" s="85"/>
      <c r="R9754" s="89"/>
    </row>
    <row r="9755" spans="13:18" x14ac:dyDescent="0.25">
      <c r="M9755" s="9"/>
      <c r="N9755" s="9"/>
      <c r="P9755" s="14"/>
      <c r="Q9755" s="85"/>
      <c r="R9755" s="89"/>
    </row>
    <row r="9756" spans="13:18" x14ac:dyDescent="0.25">
      <c r="M9756" s="9"/>
      <c r="N9756" s="9"/>
      <c r="P9756" s="14"/>
      <c r="Q9756" s="85"/>
      <c r="R9756" s="89"/>
    </row>
    <row r="9757" spans="13:18" x14ac:dyDescent="0.25">
      <c r="M9757" s="9"/>
      <c r="N9757" s="9"/>
      <c r="P9757" s="14"/>
      <c r="Q9757" s="85"/>
      <c r="R9757" s="89"/>
    </row>
    <row r="9758" spans="13:18" x14ac:dyDescent="0.25">
      <c r="M9758" s="9"/>
      <c r="N9758" s="9"/>
      <c r="P9758" s="14"/>
      <c r="Q9758" s="85"/>
      <c r="R9758" s="89"/>
    </row>
    <row r="9759" spans="13:18" x14ac:dyDescent="0.25">
      <c r="M9759" s="9"/>
      <c r="N9759" s="9"/>
      <c r="P9759" s="14"/>
      <c r="Q9759" s="85"/>
      <c r="R9759" s="89"/>
    </row>
    <row r="9760" spans="13:18" x14ac:dyDescent="0.25">
      <c r="M9760" s="9"/>
      <c r="N9760" s="9"/>
      <c r="P9760" s="14"/>
      <c r="Q9760" s="85"/>
      <c r="R9760" s="89"/>
    </row>
    <row r="9761" spans="13:18" x14ac:dyDescent="0.25">
      <c r="M9761" s="9"/>
      <c r="N9761" s="9"/>
      <c r="P9761" s="14"/>
      <c r="Q9761" s="85"/>
      <c r="R9761" s="89"/>
    </row>
    <row r="9762" spans="13:18" x14ac:dyDescent="0.25">
      <c r="M9762" s="9"/>
      <c r="N9762" s="9"/>
      <c r="P9762" s="14"/>
      <c r="Q9762" s="85"/>
      <c r="R9762" s="89"/>
    </row>
    <row r="9763" spans="13:18" x14ac:dyDescent="0.25">
      <c r="M9763" s="9"/>
      <c r="N9763" s="9"/>
      <c r="P9763" s="14"/>
      <c r="Q9763" s="85"/>
      <c r="R9763" s="89"/>
    </row>
    <row r="9764" spans="13:18" x14ac:dyDescent="0.25">
      <c r="M9764" s="9"/>
      <c r="N9764" s="9"/>
      <c r="P9764" s="14"/>
      <c r="Q9764" s="85"/>
      <c r="R9764" s="89"/>
    </row>
    <row r="9765" spans="13:18" x14ac:dyDescent="0.25">
      <c r="M9765" s="9"/>
      <c r="N9765" s="9"/>
      <c r="P9765" s="14"/>
      <c r="Q9765" s="85"/>
      <c r="R9765" s="89"/>
    </row>
    <row r="9766" spans="13:18" x14ac:dyDescent="0.25">
      <c r="M9766" s="9"/>
      <c r="N9766" s="9"/>
      <c r="P9766" s="14"/>
      <c r="Q9766" s="85"/>
      <c r="R9766" s="89"/>
    </row>
    <row r="9767" spans="13:18" x14ac:dyDescent="0.25">
      <c r="M9767" s="9"/>
      <c r="N9767" s="9"/>
      <c r="P9767" s="14"/>
      <c r="Q9767" s="85"/>
      <c r="R9767" s="89"/>
    </row>
    <row r="9768" spans="13:18" x14ac:dyDescent="0.25">
      <c r="M9768" s="9"/>
      <c r="N9768" s="9"/>
      <c r="P9768" s="14"/>
      <c r="Q9768" s="85"/>
      <c r="R9768" s="89"/>
    </row>
    <row r="9769" spans="13:18" x14ac:dyDescent="0.25">
      <c r="M9769" s="9"/>
      <c r="N9769" s="9"/>
      <c r="P9769" s="14"/>
      <c r="Q9769" s="85"/>
      <c r="R9769" s="89"/>
    </row>
    <row r="9770" spans="13:18" x14ac:dyDescent="0.25">
      <c r="M9770" s="9"/>
      <c r="N9770" s="9"/>
      <c r="P9770" s="14"/>
      <c r="Q9770" s="85"/>
      <c r="R9770" s="89"/>
    </row>
    <row r="9771" spans="13:18" x14ac:dyDescent="0.25">
      <c r="M9771" s="9"/>
      <c r="N9771" s="9"/>
      <c r="P9771" s="14"/>
      <c r="Q9771" s="85"/>
      <c r="R9771" s="89"/>
    </row>
    <row r="9772" spans="13:18" x14ac:dyDescent="0.25">
      <c r="M9772" s="9"/>
      <c r="N9772" s="9"/>
      <c r="P9772" s="14"/>
      <c r="Q9772" s="85"/>
      <c r="R9772" s="89"/>
    </row>
    <row r="9773" spans="13:18" x14ac:dyDescent="0.25">
      <c r="M9773" s="9"/>
      <c r="N9773" s="9"/>
      <c r="P9773" s="14"/>
      <c r="Q9773" s="85"/>
      <c r="R9773" s="89"/>
    </row>
    <row r="9774" spans="13:18" x14ac:dyDescent="0.25">
      <c r="M9774" s="9"/>
      <c r="N9774" s="9"/>
      <c r="P9774" s="14"/>
      <c r="Q9774" s="85"/>
      <c r="R9774" s="89"/>
    </row>
    <row r="9775" spans="13:18" x14ac:dyDescent="0.25">
      <c r="M9775" s="9"/>
      <c r="N9775" s="9"/>
      <c r="P9775" s="14"/>
      <c r="Q9775" s="85"/>
      <c r="R9775" s="89"/>
    </row>
    <row r="9776" spans="13:18" x14ac:dyDescent="0.25">
      <c r="M9776" s="9"/>
      <c r="N9776" s="9"/>
      <c r="P9776" s="14"/>
      <c r="Q9776" s="85"/>
      <c r="R9776" s="89"/>
    </row>
    <row r="9777" spans="13:18" x14ac:dyDescent="0.25">
      <c r="M9777" s="9"/>
      <c r="N9777" s="9"/>
      <c r="P9777" s="14"/>
      <c r="Q9777" s="85"/>
      <c r="R9777" s="89"/>
    </row>
    <row r="9778" spans="13:18" x14ac:dyDescent="0.25">
      <c r="M9778" s="9"/>
      <c r="N9778" s="9"/>
      <c r="P9778" s="14"/>
      <c r="Q9778" s="85"/>
      <c r="R9778" s="89"/>
    </row>
    <row r="9779" spans="13:18" x14ac:dyDescent="0.25">
      <c r="M9779" s="9"/>
      <c r="N9779" s="9"/>
      <c r="P9779" s="14"/>
      <c r="Q9779" s="85"/>
      <c r="R9779" s="89"/>
    </row>
    <row r="9780" spans="13:18" x14ac:dyDescent="0.25">
      <c r="M9780" s="9"/>
      <c r="N9780" s="9"/>
      <c r="P9780" s="14"/>
      <c r="Q9780" s="85"/>
      <c r="R9780" s="89"/>
    </row>
    <row r="9781" spans="13:18" x14ac:dyDescent="0.25">
      <c r="M9781" s="9"/>
      <c r="N9781" s="9"/>
      <c r="P9781" s="14"/>
      <c r="Q9781" s="85"/>
      <c r="R9781" s="89"/>
    </row>
    <row r="9782" spans="13:18" x14ac:dyDescent="0.25">
      <c r="M9782" s="9"/>
      <c r="N9782" s="9"/>
      <c r="P9782" s="14"/>
      <c r="Q9782" s="85"/>
      <c r="R9782" s="89"/>
    </row>
    <row r="9783" spans="13:18" x14ac:dyDescent="0.25">
      <c r="M9783" s="9"/>
      <c r="N9783" s="9"/>
      <c r="P9783" s="14"/>
      <c r="Q9783" s="85"/>
      <c r="R9783" s="89"/>
    </row>
    <row r="9784" spans="13:18" x14ac:dyDescent="0.25">
      <c r="M9784" s="9"/>
      <c r="N9784" s="9"/>
      <c r="P9784" s="14"/>
      <c r="Q9784" s="85"/>
      <c r="R9784" s="89"/>
    </row>
    <row r="9785" spans="13:18" x14ac:dyDescent="0.25">
      <c r="M9785" s="9"/>
      <c r="N9785" s="9"/>
      <c r="P9785" s="14"/>
      <c r="Q9785" s="85"/>
      <c r="R9785" s="89"/>
    </row>
    <row r="9786" spans="13:18" x14ac:dyDescent="0.25">
      <c r="M9786" s="9"/>
      <c r="N9786" s="9"/>
      <c r="P9786" s="14"/>
      <c r="Q9786" s="85"/>
      <c r="R9786" s="89"/>
    </row>
    <row r="9787" spans="13:18" x14ac:dyDescent="0.25">
      <c r="M9787" s="9"/>
      <c r="N9787" s="9"/>
      <c r="P9787" s="14"/>
      <c r="Q9787" s="85"/>
      <c r="R9787" s="89"/>
    </row>
    <row r="9788" spans="13:18" x14ac:dyDescent="0.25">
      <c r="M9788" s="9"/>
      <c r="N9788" s="9"/>
      <c r="P9788" s="14"/>
      <c r="Q9788" s="85"/>
      <c r="R9788" s="89"/>
    </row>
    <row r="9789" spans="13:18" x14ac:dyDescent="0.25">
      <c r="M9789" s="9"/>
      <c r="N9789" s="9"/>
      <c r="P9789" s="14"/>
      <c r="Q9789" s="85"/>
      <c r="R9789" s="89"/>
    </row>
    <row r="9790" spans="13:18" x14ac:dyDescent="0.25">
      <c r="M9790" s="9"/>
      <c r="N9790" s="9"/>
      <c r="P9790" s="14"/>
      <c r="Q9790" s="85"/>
      <c r="R9790" s="89"/>
    </row>
    <row r="9791" spans="13:18" x14ac:dyDescent="0.25">
      <c r="M9791" s="9"/>
      <c r="N9791" s="9"/>
      <c r="P9791" s="14"/>
      <c r="Q9791" s="85"/>
      <c r="R9791" s="89"/>
    </row>
    <row r="9792" spans="13:18" x14ac:dyDescent="0.25">
      <c r="M9792" s="9"/>
      <c r="N9792" s="9"/>
      <c r="P9792" s="14"/>
      <c r="Q9792" s="85"/>
      <c r="R9792" s="89"/>
    </row>
    <row r="9793" spans="13:18" x14ac:dyDescent="0.25">
      <c r="M9793" s="9"/>
      <c r="N9793" s="9"/>
      <c r="P9793" s="14"/>
      <c r="Q9793" s="85"/>
      <c r="R9793" s="89"/>
    </row>
    <row r="9794" spans="13:18" x14ac:dyDescent="0.25">
      <c r="M9794" s="9"/>
      <c r="N9794" s="9"/>
      <c r="P9794" s="14"/>
      <c r="Q9794" s="85"/>
      <c r="R9794" s="89"/>
    </row>
    <row r="9795" spans="13:18" x14ac:dyDescent="0.25">
      <c r="M9795" s="9"/>
      <c r="N9795" s="9"/>
      <c r="P9795" s="14"/>
      <c r="Q9795" s="85"/>
      <c r="R9795" s="89"/>
    </row>
    <row r="9796" spans="13:18" x14ac:dyDescent="0.25">
      <c r="M9796" s="9"/>
      <c r="N9796" s="9"/>
      <c r="P9796" s="14"/>
      <c r="Q9796" s="85"/>
      <c r="R9796" s="89"/>
    </row>
    <row r="9797" spans="13:18" x14ac:dyDescent="0.25">
      <c r="M9797" s="9"/>
      <c r="N9797" s="9"/>
      <c r="P9797" s="14"/>
      <c r="Q9797" s="85"/>
      <c r="R9797" s="89"/>
    </row>
    <row r="9798" spans="13:18" x14ac:dyDescent="0.25">
      <c r="M9798" s="9"/>
      <c r="N9798" s="9"/>
      <c r="P9798" s="14"/>
      <c r="Q9798" s="85"/>
      <c r="R9798" s="89"/>
    </row>
    <row r="9799" spans="13:18" x14ac:dyDescent="0.25">
      <c r="M9799" s="9"/>
      <c r="N9799" s="9"/>
      <c r="P9799" s="14"/>
      <c r="Q9799" s="85"/>
      <c r="R9799" s="89"/>
    </row>
    <row r="9800" spans="13:18" x14ac:dyDescent="0.25">
      <c r="M9800" s="9"/>
      <c r="N9800" s="9"/>
      <c r="P9800" s="14"/>
      <c r="Q9800" s="85"/>
      <c r="R9800" s="89"/>
    </row>
    <row r="9801" spans="13:18" x14ac:dyDescent="0.25">
      <c r="M9801" s="9"/>
      <c r="N9801" s="9"/>
      <c r="P9801" s="14"/>
      <c r="Q9801" s="85"/>
      <c r="R9801" s="89"/>
    </row>
    <row r="9802" spans="13:18" x14ac:dyDescent="0.25">
      <c r="M9802" s="9"/>
      <c r="N9802" s="9"/>
      <c r="P9802" s="14"/>
      <c r="Q9802" s="85"/>
      <c r="R9802" s="89"/>
    </row>
    <row r="9803" spans="13:18" x14ac:dyDescent="0.25">
      <c r="M9803" s="9"/>
      <c r="N9803" s="9"/>
      <c r="P9803" s="14"/>
      <c r="Q9803" s="85"/>
      <c r="R9803" s="89"/>
    </row>
    <row r="9804" spans="13:18" x14ac:dyDescent="0.25">
      <c r="M9804" s="9"/>
      <c r="N9804" s="9"/>
      <c r="P9804" s="14"/>
      <c r="Q9804" s="85"/>
      <c r="R9804" s="89"/>
    </row>
    <row r="9805" spans="13:18" x14ac:dyDescent="0.25">
      <c r="M9805" s="9"/>
      <c r="N9805" s="9"/>
      <c r="P9805" s="14"/>
      <c r="Q9805" s="85"/>
      <c r="R9805" s="89"/>
    </row>
    <row r="9806" spans="13:18" x14ac:dyDescent="0.25">
      <c r="M9806" s="9"/>
      <c r="N9806" s="9"/>
      <c r="P9806" s="14"/>
      <c r="Q9806" s="85"/>
      <c r="R9806" s="89"/>
    </row>
    <row r="9807" spans="13:18" x14ac:dyDescent="0.25">
      <c r="M9807" s="9"/>
      <c r="N9807" s="9"/>
      <c r="P9807" s="14"/>
      <c r="Q9807" s="85"/>
      <c r="R9807" s="89"/>
    </row>
    <row r="9808" spans="13:18" x14ac:dyDescent="0.25">
      <c r="M9808" s="9"/>
      <c r="N9808" s="9"/>
      <c r="P9808" s="14"/>
      <c r="Q9808" s="85"/>
      <c r="R9808" s="89"/>
    </row>
    <row r="9809" spans="13:18" x14ac:dyDescent="0.25">
      <c r="M9809" s="9"/>
      <c r="N9809" s="9"/>
      <c r="P9809" s="14"/>
      <c r="Q9809" s="85"/>
      <c r="R9809" s="89"/>
    </row>
    <row r="9810" spans="13:18" x14ac:dyDescent="0.25">
      <c r="M9810" s="9"/>
      <c r="N9810" s="9"/>
      <c r="P9810" s="14"/>
      <c r="Q9810" s="85"/>
      <c r="R9810" s="89"/>
    </row>
    <row r="9811" spans="13:18" x14ac:dyDescent="0.25">
      <c r="M9811" s="9"/>
      <c r="N9811" s="9"/>
      <c r="P9811" s="14"/>
      <c r="Q9811" s="85"/>
      <c r="R9811" s="89"/>
    </row>
    <row r="9812" spans="13:18" x14ac:dyDescent="0.25">
      <c r="M9812" s="9"/>
      <c r="N9812" s="9"/>
      <c r="P9812" s="14"/>
      <c r="Q9812" s="85"/>
      <c r="R9812" s="89"/>
    </row>
    <row r="9813" spans="13:18" x14ac:dyDescent="0.25">
      <c r="M9813" s="9"/>
      <c r="N9813" s="9"/>
      <c r="P9813" s="14"/>
      <c r="Q9813" s="85"/>
      <c r="R9813" s="89"/>
    </row>
    <row r="9814" spans="13:18" x14ac:dyDescent="0.25">
      <c r="M9814" s="9"/>
      <c r="N9814" s="9"/>
      <c r="P9814" s="14"/>
      <c r="Q9814" s="85"/>
      <c r="R9814" s="89"/>
    </row>
    <row r="9815" spans="13:18" x14ac:dyDescent="0.25">
      <c r="M9815" s="9"/>
      <c r="N9815" s="9"/>
      <c r="P9815" s="14"/>
      <c r="Q9815" s="85"/>
      <c r="R9815" s="89"/>
    </row>
    <row r="9816" spans="13:18" x14ac:dyDescent="0.25">
      <c r="M9816" s="9"/>
      <c r="N9816" s="9"/>
      <c r="P9816" s="14"/>
      <c r="Q9816" s="85"/>
      <c r="R9816" s="89"/>
    </row>
    <row r="9817" spans="13:18" x14ac:dyDescent="0.25">
      <c r="M9817" s="9"/>
      <c r="N9817" s="9"/>
      <c r="P9817" s="14"/>
      <c r="Q9817" s="85"/>
      <c r="R9817" s="89"/>
    </row>
    <row r="9818" spans="13:18" x14ac:dyDescent="0.25">
      <c r="M9818" s="9"/>
      <c r="N9818" s="9"/>
      <c r="P9818" s="14"/>
      <c r="Q9818" s="85"/>
      <c r="R9818" s="89"/>
    </row>
    <row r="9819" spans="13:18" x14ac:dyDescent="0.25">
      <c r="M9819" s="9"/>
      <c r="N9819" s="9"/>
      <c r="P9819" s="14"/>
      <c r="Q9819" s="85"/>
      <c r="R9819" s="89"/>
    </row>
    <row r="9820" spans="13:18" x14ac:dyDescent="0.25">
      <c r="M9820" s="9"/>
      <c r="N9820" s="9"/>
      <c r="P9820" s="14"/>
      <c r="Q9820" s="85"/>
      <c r="R9820" s="89"/>
    </row>
    <row r="9821" spans="13:18" x14ac:dyDescent="0.25">
      <c r="M9821" s="9"/>
      <c r="N9821" s="9"/>
      <c r="P9821" s="14"/>
      <c r="Q9821" s="85"/>
      <c r="R9821" s="89"/>
    </row>
    <row r="9822" spans="13:18" x14ac:dyDescent="0.25">
      <c r="M9822" s="9"/>
      <c r="N9822" s="9"/>
      <c r="P9822" s="14"/>
      <c r="Q9822" s="85"/>
      <c r="R9822" s="89"/>
    </row>
    <row r="9823" spans="13:18" x14ac:dyDescent="0.25">
      <c r="M9823" s="9"/>
      <c r="N9823" s="9"/>
      <c r="P9823" s="14"/>
      <c r="Q9823" s="85"/>
      <c r="R9823" s="89"/>
    </row>
    <row r="9824" spans="13:18" x14ac:dyDescent="0.25">
      <c r="M9824" s="9"/>
      <c r="N9824" s="9"/>
      <c r="P9824" s="14"/>
      <c r="Q9824" s="85"/>
      <c r="R9824" s="89"/>
    </row>
    <row r="9825" spans="13:18" x14ac:dyDescent="0.25">
      <c r="M9825" s="9"/>
      <c r="N9825" s="9"/>
      <c r="P9825" s="14"/>
      <c r="Q9825" s="85"/>
      <c r="R9825" s="89"/>
    </row>
    <row r="9826" spans="13:18" x14ac:dyDescent="0.25">
      <c r="M9826" s="9"/>
      <c r="N9826" s="9"/>
      <c r="P9826" s="14"/>
      <c r="Q9826" s="85"/>
      <c r="R9826" s="89"/>
    </row>
    <row r="9827" spans="13:18" x14ac:dyDescent="0.25">
      <c r="M9827" s="9"/>
      <c r="N9827" s="9"/>
      <c r="P9827" s="14"/>
      <c r="Q9827" s="85"/>
      <c r="R9827" s="89"/>
    </row>
    <row r="9828" spans="13:18" x14ac:dyDescent="0.25">
      <c r="M9828" s="9"/>
      <c r="N9828" s="9"/>
      <c r="P9828" s="14"/>
      <c r="Q9828" s="85"/>
      <c r="R9828" s="89"/>
    </row>
    <row r="9829" spans="13:18" x14ac:dyDescent="0.25">
      <c r="M9829" s="9"/>
      <c r="N9829" s="9"/>
      <c r="P9829" s="14"/>
      <c r="Q9829" s="85"/>
      <c r="R9829" s="89"/>
    </row>
    <row r="9830" spans="13:18" x14ac:dyDescent="0.25">
      <c r="M9830" s="9"/>
      <c r="N9830" s="9"/>
      <c r="P9830" s="14"/>
      <c r="Q9830" s="85"/>
      <c r="R9830" s="89"/>
    </row>
    <row r="9831" spans="13:18" x14ac:dyDescent="0.25">
      <c r="M9831" s="9"/>
      <c r="N9831" s="9"/>
      <c r="P9831" s="14"/>
      <c r="Q9831" s="85"/>
      <c r="R9831" s="89"/>
    </row>
    <row r="9832" spans="13:18" x14ac:dyDescent="0.25">
      <c r="M9832" s="9"/>
      <c r="N9832" s="9"/>
      <c r="P9832" s="14"/>
      <c r="Q9832" s="85"/>
      <c r="R9832" s="89"/>
    </row>
    <row r="9833" spans="13:18" x14ac:dyDescent="0.25">
      <c r="M9833" s="9"/>
      <c r="N9833" s="9"/>
      <c r="P9833" s="14"/>
      <c r="Q9833" s="85"/>
      <c r="R9833" s="89"/>
    </row>
    <row r="9834" spans="13:18" x14ac:dyDescent="0.25">
      <c r="M9834" s="9"/>
      <c r="N9834" s="9"/>
      <c r="P9834" s="14"/>
      <c r="Q9834" s="85"/>
      <c r="R9834" s="89"/>
    </row>
    <row r="9835" spans="13:18" x14ac:dyDescent="0.25">
      <c r="M9835" s="9"/>
      <c r="N9835" s="9"/>
      <c r="P9835" s="14"/>
      <c r="Q9835" s="85"/>
      <c r="R9835" s="89"/>
    </row>
    <row r="9836" spans="13:18" x14ac:dyDescent="0.25">
      <c r="M9836" s="9"/>
      <c r="N9836" s="9"/>
      <c r="P9836" s="14"/>
      <c r="Q9836" s="85"/>
      <c r="R9836" s="89"/>
    </row>
    <row r="9837" spans="13:18" x14ac:dyDescent="0.25">
      <c r="M9837" s="9"/>
      <c r="N9837" s="9"/>
      <c r="P9837" s="14"/>
      <c r="Q9837" s="85"/>
      <c r="R9837" s="89"/>
    </row>
    <row r="9838" spans="13:18" x14ac:dyDescent="0.25">
      <c r="M9838" s="9"/>
      <c r="N9838" s="9"/>
      <c r="P9838" s="14"/>
      <c r="Q9838" s="85"/>
      <c r="R9838" s="89"/>
    </row>
    <row r="9839" spans="13:18" x14ac:dyDescent="0.25">
      <c r="M9839" s="9"/>
      <c r="N9839" s="9"/>
      <c r="P9839" s="14"/>
      <c r="Q9839" s="85"/>
      <c r="R9839" s="89"/>
    </row>
    <row r="9840" spans="13:18" x14ac:dyDescent="0.25">
      <c r="M9840" s="9"/>
      <c r="N9840" s="9"/>
      <c r="P9840" s="14"/>
      <c r="Q9840" s="85"/>
      <c r="R9840" s="89"/>
    </row>
    <row r="9841" spans="13:18" x14ac:dyDescent="0.25">
      <c r="M9841" s="9"/>
      <c r="N9841" s="9"/>
      <c r="P9841" s="14"/>
      <c r="Q9841" s="85"/>
      <c r="R9841" s="89"/>
    </row>
    <row r="9842" spans="13:18" x14ac:dyDescent="0.25">
      <c r="M9842" s="9"/>
      <c r="N9842" s="9"/>
      <c r="P9842" s="14"/>
      <c r="Q9842" s="85"/>
      <c r="R9842" s="89"/>
    </row>
    <row r="9843" spans="13:18" x14ac:dyDescent="0.25">
      <c r="M9843" s="9"/>
      <c r="N9843" s="9"/>
      <c r="P9843" s="14"/>
      <c r="Q9843" s="85"/>
      <c r="R9843" s="89"/>
    </row>
    <row r="9844" spans="13:18" x14ac:dyDescent="0.25">
      <c r="M9844" s="9"/>
      <c r="N9844" s="9"/>
      <c r="P9844" s="14"/>
      <c r="Q9844" s="85"/>
      <c r="R9844" s="89"/>
    </row>
    <row r="9845" spans="13:18" x14ac:dyDescent="0.25">
      <c r="M9845" s="9"/>
      <c r="N9845" s="9"/>
      <c r="P9845" s="14"/>
      <c r="Q9845" s="85"/>
      <c r="R9845" s="89"/>
    </row>
    <row r="9846" spans="13:18" x14ac:dyDescent="0.25">
      <c r="M9846" s="9"/>
      <c r="N9846" s="9"/>
      <c r="P9846" s="14"/>
      <c r="Q9846" s="85"/>
      <c r="R9846" s="89"/>
    </row>
    <row r="9847" spans="13:18" x14ac:dyDescent="0.25">
      <c r="M9847" s="9"/>
      <c r="N9847" s="9"/>
      <c r="P9847" s="14"/>
      <c r="Q9847" s="85"/>
      <c r="R9847" s="89"/>
    </row>
    <row r="9848" spans="13:18" x14ac:dyDescent="0.25">
      <c r="M9848" s="9"/>
      <c r="N9848" s="9"/>
      <c r="P9848" s="14"/>
      <c r="Q9848" s="85"/>
      <c r="R9848" s="89"/>
    </row>
    <row r="9849" spans="13:18" x14ac:dyDescent="0.25">
      <c r="M9849" s="9"/>
      <c r="N9849" s="9"/>
      <c r="P9849" s="14"/>
      <c r="Q9849" s="85"/>
      <c r="R9849" s="89"/>
    </row>
    <row r="9850" spans="13:18" x14ac:dyDescent="0.25">
      <c r="M9850" s="9"/>
      <c r="N9850" s="9"/>
      <c r="P9850" s="14"/>
      <c r="Q9850" s="85"/>
      <c r="R9850" s="89"/>
    </row>
    <row r="9851" spans="13:18" x14ac:dyDescent="0.25">
      <c r="M9851" s="9"/>
      <c r="N9851" s="9"/>
      <c r="P9851" s="14"/>
      <c r="Q9851" s="85"/>
      <c r="R9851" s="89"/>
    </row>
    <row r="9852" spans="13:18" x14ac:dyDescent="0.25">
      <c r="M9852" s="9"/>
      <c r="N9852" s="9"/>
      <c r="P9852" s="14"/>
      <c r="Q9852" s="85"/>
      <c r="R9852" s="89"/>
    </row>
    <row r="9853" spans="13:18" x14ac:dyDescent="0.25">
      <c r="M9853" s="9"/>
      <c r="N9853" s="9"/>
      <c r="P9853" s="14"/>
      <c r="Q9853" s="85"/>
      <c r="R9853" s="89"/>
    </row>
    <row r="9854" spans="13:18" x14ac:dyDescent="0.25">
      <c r="M9854" s="9"/>
      <c r="N9854" s="9"/>
      <c r="P9854" s="14"/>
      <c r="Q9854" s="85"/>
      <c r="R9854" s="89"/>
    </row>
    <row r="9855" spans="13:18" x14ac:dyDescent="0.25">
      <c r="M9855" s="9"/>
      <c r="N9855" s="9"/>
      <c r="P9855" s="14"/>
      <c r="Q9855" s="85"/>
      <c r="R9855" s="89"/>
    </row>
    <row r="9856" spans="13:18" x14ac:dyDescent="0.25">
      <c r="M9856" s="9"/>
      <c r="N9856" s="9"/>
      <c r="P9856" s="14"/>
      <c r="Q9856" s="85"/>
      <c r="R9856" s="89"/>
    </row>
    <row r="9857" spans="13:18" x14ac:dyDescent="0.25">
      <c r="M9857" s="9"/>
      <c r="N9857" s="9"/>
      <c r="P9857" s="14"/>
      <c r="Q9857" s="85"/>
      <c r="R9857" s="89"/>
    </row>
    <row r="9858" spans="13:18" x14ac:dyDescent="0.25">
      <c r="M9858" s="9"/>
      <c r="N9858" s="9"/>
      <c r="P9858" s="14"/>
      <c r="Q9858" s="85"/>
      <c r="R9858" s="89"/>
    </row>
    <row r="9859" spans="13:18" x14ac:dyDescent="0.25">
      <c r="M9859" s="9"/>
      <c r="N9859" s="9"/>
      <c r="P9859" s="14"/>
      <c r="Q9859" s="85"/>
      <c r="R9859" s="89"/>
    </row>
    <row r="9860" spans="13:18" x14ac:dyDescent="0.25">
      <c r="M9860" s="9"/>
      <c r="N9860" s="9"/>
      <c r="P9860" s="14"/>
      <c r="Q9860" s="85"/>
      <c r="R9860" s="89"/>
    </row>
    <row r="9861" spans="13:18" x14ac:dyDescent="0.25">
      <c r="M9861" s="9"/>
      <c r="N9861" s="9"/>
      <c r="P9861" s="14"/>
      <c r="Q9861" s="85"/>
      <c r="R9861" s="89"/>
    </row>
    <row r="9862" spans="13:18" x14ac:dyDescent="0.25">
      <c r="M9862" s="9"/>
      <c r="N9862" s="9"/>
      <c r="P9862" s="14"/>
      <c r="Q9862" s="85"/>
      <c r="R9862" s="89"/>
    </row>
    <row r="9863" spans="13:18" x14ac:dyDescent="0.25">
      <c r="M9863" s="9"/>
      <c r="N9863" s="9"/>
      <c r="P9863" s="14"/>
      <c r="Q9863" s="85"/>
      <c r="R9863" s="89"/>
    </row>
    <row r="9864" spans="13:18" x14ac:dyDescent="0.25">
      <c r="M9864" s="9"/>
      <c r="N9864" s="9"/>
      <c r="P9864" s="14"/>
      <c r="Q9864" s="85"/>
      <c r="R9864" s="89"/>
    </row>
    <row r="9865" spans="13:18" x14ac:dyDescent="0.25">
      <c r="M9865" s="9"/>
      <c r="N9865" s="9"/>
      <c r="P9865" s="14"/>
      <c r="Q9865" s="85"/>
      <c r="R9865" s="89"/>
    </row>
    <row r="9866" spans="13:18" x14ac:dyDescent="0.25">
      <c r="M9866" s="9"/>
      <c r="N9866" s="9"/>
      <c r="P9866" s="14"/>
      <c r="Q9866" s="85"/>
      <c r="R9866" s="89"/>
    </row>
    <row r="9867" spans="13:18" x14ac:dyDescent="0.25">
      <c r="M9867" s="9"/>
      <c r="N9867" s="9"/>
      <c r="P9867" s="14"/>
      <c r="Q9867" s="85"/>
      <c r="R9867" s="89"/>
    </row>
    <row r="9868" spans="13:18" x14ac:dyDescent="0.25">
      <c r="M9868" s="9"/>
      <c r="N9868" s="9"/>
      <c r="P9868" s="14"/>
      <c r="Q9868" s="85"/>
      <c r="R9868" s="89"/>
    </row>
    <row r="9869" spans="13:18" x14ac:dyDescent="0.25">
      <c r="M9869" s="9"/>
      <c r="N9869" s="9"/>
      <c r="P9869" s="14"/>
      <c r="Q9869" s="85"/>
      <c r="R9869" s="89"/>
    </row>
    <row r="9870" spans="13:18" x14ac:dyDescent="0.25">
      <c r="M9870" s="9"/>
      <c r="N9870" s="9"/>
      <c r="P9870" s="14"/>
      <c r="Q9870" s="85"/>
      <c r="R9870" s="89"/>
    </row>
    <row r="9871" spans="13:18" x14ac:dyDescent="0.25">
      <c r="M9871" s="9"/>
      <c r="N9871" s="9"/>
      <c r="P9871" s="14"/>
      <c r="Q9871" s="85"/>
      <c r="R9871" s="89"/>
    </row>
    <row r="9872" spans="13:18" x14ac:dyDescent="0.25">
      <c r="M9872" s="9"/>
      <c r="N9872" s="9"/>
      <c r="P9872" s="14"/>
      <c r="Q9872" s="85"/>
      <c r="R9872" s="89"/>
    </row>
    <row r="9873" spans="13:18" x14ac:dyDescent="0.25">
      <c r="M9873" s="9"/>
      <c r="N9873" s="9"/>
      <c r="P9873" s="14"/>
      <c r="Q9873" s="85"/>
      <c r="R9873" s="89"/>
    </row>
    <row r="9874" spans="13:18" x14ac:dyDescent="0.25">
      <c r="M9874" s="9"/>
      <c r="N9874" s="9"/>
      <c r="P9874" s="14"/>
      <c r="Q9874" s="85"/>
      <c r="R9874" s="89"/>
    </row>
    <row r="9875" spans="13:18" x14ac:dyDescent="0.25">
      <c r="M9875" s="9"/>
      <c r="N9875" s="9"/>
      <c r="P9875" s="14"/>
      <c r="Q9875" s="85"/>
      <c r="R9875" s="89"/>
    </row>
    <row r="9876" spans="13:18" x14ac:dyDescent="0.25">
      <c r="M9876" s="9"/>
      <c r="N9876" s="9"/>
      <c r="P9876" s="14"/>
      <c r="Q9876" s="85"/>
      <c r="R9876" s="89"/>
    </row>
    <row r="9877" spans="13:18" x14ac:dyDescent="0.25">
      <c r="M9877" s="9"/>
      <c r="N9877" s="9"/>
      <c r="P9877" s="14"/>
      <c r="Q9877" s="85"/>
      <c r="R9877" s="89"/>
    </row>
    <row r="9878" spans="13:18" x14ac:dyDescent="0.25">
      <c r="M9878" s="9"/>
      <c r="N9878" s="9"/>
      <c r="P9878" s="14"/>
      <c r="Q9878" s="85"/>
      <c r="R9878" s="89"/>
    </row>
    <row r="9879" spans="13:18" x14ac:dyDescent="0.25">
      <c r="M9879" s="9"/>
      <c r="N9879" s="9"/>
      <c r="P9879" s="14"/>
      <c r="Q9879" s="85"/>
      <c r="R9879" s="89"/>
    </row>
    <row r="9880" spans="13:18" x14ac:dyDescent="0.25">
      <c r="M9880" s="9"/>
      <c r="N9880" s="9"/>
      <c r="P9880" s="14"/>
      <c r="Q9880" s="85"/>
      <c r="R9880" s="89"/>
    </row>
    <row r="9881" spans="13:18" x14ac:dyDescent="0.25">
      <c r="M9881" s="9"/>
      <c r="N9881" s="9"/>
      <c r="P9881" s="14"/>
      <c r="Q9881" s="85"/>
      <c r="R9881" s="89"/>
    </row>
    <row r="9882" spans="13:18" x14ac:dyDescent="0.25">
      <c r="M9882" s="9"/>
      <c r="N9882" s="9"/>
      <c r="P9882" s="14"/>
      <c r="Q9882" s="85"/>
      <c r="R9882" s="89"/>
    </row>
    <row r="9883" spans="13:18" x14ac:dyDescent="0.25">
      <c r="M9883" s="9"/>
      <c r="N9883" s="9"/>
      <c r="P9883" s="14"/>
      <c r="Q9883" s="85"/>
      <c r="R9883" s="89"/>
    </row>
    <row r="9884" spans="13:18" x14ac:dyDescent="0.25">
      <c r="M9884" s="9"/>
      <c r="N9884" s="9"/>
      <c r="P9884" s="14"/>
      <c r="Q9884" s="85"/>
      <c r="R9884" s="89"/>
    </row>
    <row r="9885" spans="13:18" x14ac:dyDescent="0.25">
      <c r="M9885" s="9"/>
      <c r="N9885" s="9"/>
      <c r="P9885" s="14"/>
      <c r="Q9885" s="85"/>
      <c r="R9885" s="89"/>
    </row>
    <row r="9886" spans="13:18" x14ac:dyDescent="0.25">
      <c r="M9886" s="9"/>
      <c r="N9886" s="9"/>
      <c r="P9886" s="14"/>
      <c r="Q9886" s="85"/>
      <c r="R9886" s="89"/>
    </row>
    <row r="9887" spans="13:18" x14ac:dyDescent="0.25">
      <c r="M9887" s="9"/>
      <c r="N9887" s="9"/>
      <c r="P9887" s="14"/>
      <c r="Q9887" s="85"/>
      <c r="R9887" s="89"/>
    </row>
    <row r="9888" spans="13:18" x14ac:dyDescent="0.25">
      <c r="M9888" s="9"/>
      <c r="N9888" s="9"/>
      <c r="P9888" s="14"/>
      <c r="Q9888" s="85"/>
      <c r="R9888" s="89"/>
    </row>
    <row r="9889" spans="13:18" x14ac:dyDescent="0.25">
      <c r="M9889" s="9"/>
      <c r="N9889" s="9"/>
      <c r="P9889" s="14"/>
      <c r="Q9889" s="85"/>
      <c r="R9889" s="89"/>
    </row>
    <row r="9890" spans="13:18" x14ac:dyDescent="0.25">
      <c r="M9890" s="9"/>
      <c r="N9890" s="9"/>
      <c r="P9890" s="14"/>
      <c r="Q9890" s="85"/>
      <c r="R9890" s="89"/>
    </row>
    <row r="9891" spans="13:18" x14ac:dyDescent="0.25">
      <c r="M9891" s="9"/>
      <c r="N9891" s="9"/>
      <c r="P9891" s="14"/>
      <c r="Q9891" s="85"/>
      <c r="R9891" s="89"/>
    </row>
    <row r="9892" spans="13:18" x14ac:dyDescent="0.25">
      <c r="M9892" s="9"/>
      <c r="N9892" s="9"/>
      <c r="P9892" s="14"/>
      <c r="Q9892" s="85"/>
      <c r="R9892" s="89"/>
    </row>
    <row r="9893" spans="13:18" x14ac:dyDescent="0.25">
      <c r="M9893" s="9"/>
      <c r="N9893" s="9"/>
      <c r="P9893" s="14"/>
      <c r="Q9893" s="85"/>
      <c r="R9893" s="89"/>
    </row>
    <row r="9894" spans="13:18" x14ac:dyDescent="0.25">
      <c r="M9894" s="9"/>
      <c r="N9894" s="9"/>
      <c r="P9894" s="14"/>
      <c r="Q9894" s="85"/>
      <c r="R9894" s="89"/>
    </row>
    <row r="9895" spans="13:18" x14ac:dyDescent="0.25">
      <c r="M9895" s="9"/>
      <c r="N9895" s="9"/>
      <c r="P9895" s="14"/>
      <c r="Q9895" s="85"/>
      <c r="R9895" s="89"/>
    </row>
    <row r="9896" spans="13:18" x14ac:dyDescent="0.25">
      <c r="M9896" s="9"/>
      <c r="N9896" s="9"/>
      <c r="P9896" s="14"/>
      <c r="Q9896" s="85"/>
      <c r="R9896" s="89"/>
    </row>
    <row r="9897" spans="13:18" x14ac:dyDescent="0.25">
      <c r="M9897" s="9"/>
      <c r="N9897" s="9"/>
      <c r="P9897" s="14"/>
      <c r="Q9897" s="85"/>
      <c r="R9897" s="89"/>
    </row>
    <row r="9898" spans="13:18" x14ac:dyDescent="0.25">
      <c r="M9898" s="9"/>
      <c r="N9898" s="9"/>
      <c r="P9898" s="14"/>
      <c r="Q9898" s="85"/>
      <c r="R9898" s="89"/>
    </row>
    <row r="9899" spans="13:18" x14ac:dyDescent="0.25">
      <c r="M9899" s="9"/>
      <c r="N9899" s="9"/>
      <c r="P9899" s="14"/>
      <c r="Q9899" s="85"/>
      <c r="R9899" s="89"/>
    </row>
    <row r="9900" spans="13:18" x14ac:dyDescent="0.25">
      <c r="M9900" s="9"/>
      <c r="N9900" s="9"/>
      <c r="P9900" s="14"/>
      <c r="Q9900" s="85"/>
      <c r="R9900" s="89"/>
    </row>
    <row r="9901" spans="13:18" x14ac:dyDescent="0.25">
      <c r="M9901" s="9"/>
      <c r="N9901" s="9"/>
      <c r="P9901" s="14"/>
      <c r="Q9901" s="85"/>
      <c r="R9901" s="89"/>
    </row>
    <row r="9902" spans="13:18" x14ac:dyDescent="0.25">
      <c r="M9902" s="9"/>
      <c r="N9902" s="9"/>
      <c r="P9902" s="14"/>
      <c r="Q9902" s="85"/>
      <c r="R9902" s="89"/>
    </row>
    <row r="9903" spans="13:18" x14ac:dyDescent="0.25">
      <c r="M9903" s="9"/>
      <c r="N9903" s="9"/>
      <c r="P9903" s="14"/>
      <c r="Q9903" s="85"/>
      <c r="R9903" s="89"/>
    </row>
    <row r="9904" spans="13:18" x14ac:dyDescent="0.25">
      <c r="M9904" s="9"/>
      <c r="N9904" s="9"/>
      <c r="P9904" s="14"/>
      <c r="Q9904" s="85"/>
      <c r="R9904" s="89"/>
    </row>
    <row r="9905" spans="13:18" x14ac:dyDescent="0.25">
      <c r="M9905" s="9"/>
      <c r="N9905" s="9"/>
      <c r="P9905" s="14"/>
      <c r="Q9905" s="85"/>
      <c r="R9905" s="89"/>
    </row>
    <row r="9906" spans="13:18" x14ac:dyDescent="0.25">
      <c r="M9906" s="9"/>
      <c r="N9906" s="9"/>
      <c r="P9906" s="14"/>
      <c r="Q9906" s="85"/>
      <c r="R9906" s="89"/>
    </row>
    <row r="9907" spans="13:18" x14ac:dyDescent="0.25">
      <c r="M9907" s="9"/>
      <c r="N9907" s="9"/>
      <c r="P9907" s="14"/>
      <c r="Q9907" s="85"/>
      <c r="R9907" s="89"/>
    </row>
    <row r="9908" spans="13:18" x14ac:dyDescent="0.25">
      <c r="M9908" s="9"/>
      <c r="N9908" s="9"/>
      <c r="P9908" s="14"/>
      <c r="Q9908" s="85"/>
      <c r="R9908" s="89"/>
    </row>
    <row r="9909" spans="13:18" x14ac:dyDescent="0.25">
      <c r="M9909" s="9"/>
      <c r="N9909" s="9"/>
      <c r="P9909" s="14"/>
      <c r="Q9909" s="85"/>
      <c r="R9909" s="89"/>
    </row>
    <row r="9910" spans="13:18" x14ac:dyDescent="0.25">
      <c r="M9910" s="9"/>
      <c r="N9910" s="9"/>
      <c r="P9910" s="14"/>
      <c r="Q9910" s="85"/>
      <c r="R9910" s="89"/>
    </row>
    <row r="9911" spans="13:18" x14ac:dyDescent="0.25">
      <c r="M9911" s="9"/>
      <c r="N9911" s="9"/>
      <c r="P9911" s="14"/>
      <c r="Q9911" s="85"/>
      <c r="R9911" s="89"/>
    </row>
    <row r="9912" spans="13:18" x14ac:dyDescent="0.25">
      <c r="M9912" s="9"/>
      <c r="N9912" s="9"/>
      <c r="P9912" s="14"/>
      <c r="Q9912" s="85"/>
      <c r="R9912" s="89"/>
    </row>
    <row r="9913" spans="13:18" x14ac:dyDescent="0.25">
      <c r="M9913" s="9"/>
      <c r="N9913" s="9"/>
      <c r="P9913" s="14"/>
      <c r="Q9913" s="85"/>
      <c r="R9913" s="89"/>
    </row>
    <row r="9914" spans="13:18" x14ac:dyDescent="0.25">
      <c r="M9914" s="9"/>
      <c r="N9914" s="9"/>
      <c r="P9914" s="14"/>
      <c r="Q9914" s="85"/>
      <c r="R9914" s="89"/>
    </row>
    <row r="9915" spans="13:18" x14ac:dyDescent="0.25">
      <c r="M9915" s="9"/>
      <c r="N9915" s="9"/>
      <c r="P9915" s="14"/>
      <c r="Q9915" s="85"/>
      <c r="R9915" s="89"/>
    </row>
    <row r="9916" spans="13:18" x14ac:dyDescent="0.25">
      <c r="M9916" s="9"/>
      <c r="N9916" s="9"/>
      <c r="P9916" s="14"/>
      <c r="Q9916" s="85"/>
      <c r="R9916" s="89"/>
    </row>
    <row r="9917" spans="13:18" x14ac:dyDescent="0.25">
      <c r="M9917" s="9"/>
      <c r="N9917" s="9"/>
      <c r="P9917" s="14"/>
      <c r="Q9917" s="85"/>
      <c r="R9917" s="89"/>
    </row>
    <row r="9918" spans="13:18" x14ac:dyDescent="0.25">
      <c r="M9918" s="9"/>
      <c r="N9918" s="9"/>
      <c r="P9918" s="14"/>
      <c r="Q9918" s="85"/>
      <c r="R9918" s="89"/>
    </row>
    <row r="9919" spans="13:18" x14ac:dyDescent="0.25">
      <c r="M9919" s="9"/>
      <c r="N9919" s="9"/>
      <c r="P9919" s="14"/>
      <c r="Q9919" s="85"/>
      <c r="R9919" s="89"/>
    </row>
    <row r="9920" spans="13:18" x14ac:dyDescent="0.25">
      <c r="M9920" s="9"/>
      <c r="N9920" s="9"/>
      <c r="P9920" s="14"/>
      <c r="Q9920" s="85"/>
      <c r="R9920" s="89"/>
    </row>
    <row r="9921" spans="13:18" x14ac:dyDescent="0.25">
      <c r="M9921" s="9"/>
      <c r="N9921" s="9"/>
      <c r="P9921" s="14"/>
      <c r="Q9921" s="85"/>
      <c r="R9921" s="89"/>
    </row>
    <row r="9922" spans="13:18" x14ac:dyDescent="0.25">
      <c r="M9922" s="9"/>
      <c r="N9922" s="9"/>
      <c r="P9922" s="14"/>
      <c r="Q9922" s="85"/>
      <c r="R9922" s="89"/>
    </row>
    <row r="9923" spans="13:18" x14ac:dyDescent="0.25">
      <c r="M9923" s="9"/>
      <c r="N9923" s="9"/>
      <c r="P9923" s="14"/>
      <c r="Q9923" s="85"/>
      <c r="R9923" s="89"/>
    </row>
    <row r="9924" spans="13:18" x14ac:dyDescent="0.25">
      <c r="M9924" s="9"/>
      <c r="N9924" s="9"/>
      <c r="P9924" s="14"/>
      <c r="Q9924" s="85"/>
      <c r="R9924" s="89"/>
    </row>
    <row r="9925" spans="13:18" x14ac:dyDescent="0.25">
      <c r="M9925" s="9"/>
      <c r="N9925" s="9"/>
      <c r="P9925" s="14"/>
      <c r="Q9925" s="85"/>
      <c r="R9925" s="89"/>
    </row>
    <row r="9926" spans="13:18" x14ac:dyDescent="0.25">
      <c r="M9926" s="9"/>
      <c r="N9926" s="9"/>
      <c r="P9926" s="14"/>
      <c r="Q9926" s="85"/>
      <c r="R9926" s="89"/>
    </row>
    <row r="9927" spans="13:18" x14ac:dyDescent="0.25">
      <c r="M9927" s="9"/>
      <c r="N9927" s="9"/>
      <c r="P9927" s="14"/>
      <c r="Q9927" s="85"/>
      <c r="R9927" s="89"/>
    </row>
    <row r="9928" spans="13:18" x14ac:dyDescent="0.25">
      <c r="M9928" s="9"/>
      <c r="N9928" s="9"/>
      <c r="P9928" s="14"/>
      <c r="Q9928" s="85"/>
      <c r="R9928" s="89"/>
    </row>
    <row r="9929" spans="13:18" x14ac:dyDescent="0.25">
      <c r="M9929" s="9"/>
      <c r="N9929" s="9"/>
      <c r="P9929" s="14"/>
      <c r="Q9929" s="85"/>
      <c r="R9929" s="89"/>
    </row>
    <row r="9930" spans="13:18" x14ac:dyDescent="0.25">
      <c r="M9930" s="9"/>
      <c r="N9930" s="9"/>
      <c r="P9930" s="14"/>
      <c r="Q9930" s="85"/>
      <c r="R9930" s="89"/>
    </row>
    <row r="9931" spans="13:18" x14ac:dyDescent="0.25">
      <c r="M9931" s="9"/>
      <c r="N9931" s="9"/>
      <c r="P9931" s="14"/>
      <c r="Q9931" s="85"/>
      <c r="R9931" s="89"/>
    </row>
    <row r="9932" spans="13:18" x14ac:dyDescent="0.25">
      <c r="M9932" s="9"/>
      <c r="N9932" s="9"/>
      <c r="P9932" s="14"/>
      <c r="Q9932" s="85"/>
      <c r="R9932" s="89"/>
    </row>
    <row r="9933" spans="13:18" x14ac:dyDescent="0.25">
      <c r="M9933" s="9"/>
      <c r="N9933" s="9"/>
      <c r="P9933" s="14"/>
      <c r="Q9933" s="85"/>
      <c r="R9933" s="89"/>
    </row>
    <row r="9934" spans="13:18" x14ac:dyDescent="0.25">
      <c r="M9934" s="9"/>
      <c r="N9934" s="9"/>
      <c r="P9934" s="14"/>
      <c r="Q9934" s="85"/>
      <c r="R9934" s="89"/>
    </row>
    <row r="9935" spans="13:18" x14ac:dyDescent="0.25">
      <c r="M9935" s="9"/>
      <c r="N9935" s="9"/>
      <c r="P9935" s="14"/>
      <c r="Q9935" s="85"/>
      <c r="R9935" s="89"/>
    </row>
    <row r="9936" spans="13:18" x14ac:dyDescent="0.25">
      <c r="M9936" s="9"/>
      <c r="N9936" s="9"/>
      <c r="P9936" s="14"/>
      <c r="Q9936" s="85"/>
      <c r="R9936" s="89"/>
    </row>
    <row r="9937" spans="13:18" x14ac:dyDescent="0.25">
      <c r="M9937" s="9"/>
      <c r="N9937" s="9"/>
      <c r="P9937" s="14"/>
      <c r="Q9937" s="85"/>
      <c r="R9937" s="89"/>
    </row>
    <row r="9938" spans="13:18" x14ac:dyDescent="0.25">
      <c r="M9938" s="9"/>
      <c r="N9938" s="9"/>
      <c r="P9938" s="14"/>
      <c r="Q9938" s="85"/>
      <c r="R9938" s="89"/>
    </row>
    <row r="9939" spans="13:18" x14ac:dyDescent="0.25">
      <c r="M9939" s="9"/>
      <c r="N9939" s="9"/>
      <c r="P9939" s="14"/>
      <c r="Q9939" s="85"/>
      <c r="R9939" s="89"/>
    </row>
    <row r="9940" spans="13:18" x14ac:dyDescent="0.25">
      <c r="M9940" s="9"/>
      <c r="N9940" s="9"/>
      <c r="P9940" s="14"/>
      <c r="Q9940" s="85"/>
      <c r="R9940" s="89"/>
    </row>
    <row r="9941" spans="13:18" x14ac:dyDescent="0.25">
      <c r="M9941" s="9"/>
      <c r="N9941" s="9"/>
      <c r="P9941" s="14"/>
      <c r="Q9941" s="85"/>
      <c r="R9941" s="89"/>
    </row>
    <row r="9942" spans="13:18" x14ac:dyDescent="0.25">
      <c r="M9942" s="9"/>
      <c r="N9942" s="9"/>
      <c r="P9942" s="14"/>
      <c r="Q9942" s="85"/>
      <c r="R9942" s="89"/>
    </row>
    <row r="9943" spans="13:18" x14ac:dyDescent="0.25">
      <c r="M9943" s="9"/>
      <c r="N9943" s="9"/>
      <c r="P9943" s="14"/>
      <c r="Q9943" s="85"/>
      <c r="R9943" s="89"/>
    </row>
    <row r="9944" spans="13:18" x14ac:dyDescent="0.25">
      <c r="M9944" s="9"/>
      <c r="N9944" s="9"/>
      <c r="P9944" s="14"/>
      <c r="Q9944" s="85"/>
      <c r="R9944" s="89"/>
    </row>
    <row r="9945" spans="13:18" x14ac:dyDescent="0.25">
      <c r="M9945" s="9"/>
      <c r="N9945" s="9"/>
      <c r="P9945" s="14"/>
      <c r="Q9945" s="85"/>
      <c r="R9945" s="89"/>
    </row>
    <row r="9946" spans="13:18" x14ac:dyDescent="0.25">
      <c r="M9946" s="9"/>
      <c r="N9946" s="9"/>
      <c r="P9946" s="14"/>
      <c r="Q9946" s="85"/>
      <c r="R9946" s="89"/>
    </row>
    <row r="9947" spans="13:18" x14ac:dyDescent="0.25">
      <c r="M9947" s="9"/>
      <c r="N9947" s="9"/>
      <c r="P9947" s="14"/>
      <c r="Q9947" s="85"/>
      <c r="R9947" s="89"/>
    </row>
    <row r="9948" spans="13:18" x14ac:dyDescent="0.25">
      <c r="M9948" s="9"/>
      <c r="N9948" s="9"/>
      <c r="P9948" s="14"/>
      <c r="Q9948" s="85"/>
      <c r="R9948" s="89"/>
    </row>
    <row r="9949" spans="13:18" x14ac:dyDescent="0.25">
      <c r="M9949" s="9"/>
      <c r="N9949" s="9"/>
      <c r="P9949" s="14"/>
      <c r="Q9949" s="85"/>
      <c r="R9949" s="89"/>
    </row>
    <row r="9950" spans="13:18" x14ac:dyDescent="0.25">
      <c r="M9950" s="9"/>
      <c r="N9950" s="9"/>
      <c r="P9950" s="14"/>
      <c r="Q9950" s="85"/>
      <c r="R9950" s="89"/>
    </row>
    <row r="9951" spans="13:18" x14ac:dyDescent="0.25">
      <c r="M9951" s="9"/>
      <c r="N9951" s="9"/>
      <c r="P9951" s="14"/>
      <c r="Q9951" s="85"/>
      <c r="R9951" s="89"/>
    </row>
    <row r="9952" spans="13:18" x14ac:dyDescent="0.25">
      <c r="M9952" s="9"/>
      <c r="N9952" s="9"/>
      <c r="P9952" s="14"/>
      <c r="Q9952" s="85"/>
      <c r="R9952" s="89"/>
    </row>
    <row r="9953" spans="13:18" x14ac:dyDescent="0.25">
      <c r="M9953" s="9"/>
      <c r="N9953" s="9"/>
      <c r="P9953" s="14"/>
      <c r="Q9953" s="85"/>
      <c r="R9953" s="89"/>
    </row>
    <row r="9954" spans="13:18" x14ac:dyDescent="0.25">
      <c r="M9954" s="9"/>
      <c r="N9954" s="9"/>
      <c r="P9954" s="14"/>
      <c r="Q9954" s="85"/>
      <c r="R9954" s="89"/>
    </row>
    <row r="9955" spans="13:18" x14ac:dyDescent="0.25">
      <c r="M9955" s="9"/>
      <c r="N9955" s="9"/>
      <c r="P9955" s="14"/>
      <c r="Q9955" s="85"/>
      <c r="R9955" s="89"/>
    </row>
    <row r="9956" spans="13:18" x14ac:dyDescent="0.25">
      <c r="M9956" s="9"/>
      <c r="N9956" s="9"/>
      <c r="P9956" s="14"/>
      <c r="Q9956" s="85"/>
      <c r="R9956" s="89"/>
    </row>
    <row r="9957" spans="13:18" x14ac:dyDescent="0.25">
      <c r="M9957" s="9"/>
      <c r="N9957" s="9"/>
      <c r="P9957" s="14"/>
      <c r="Q9957" s="85"/>
      <c r="R9957" s="89"/>
    </row>
    <row r="9958" spans="13:18" x14ac:dyDescent="0.25">
      <c r="M9958" s="9"/>
      <c r="N9958" s="9"/>
      <c r="P9958" s="14"/>
      <c r="Q9958" s="85"/>
      <c r="R9958" s="89"/>
    </row>
    <row r="9959" spans="13:18" x14ac:dyDescent="0.25">
      <c r="M9959" s="9"/>
      <c r="N9959" s="9"/>
      <c r="P9959" s="14"/>
      <c r="Q9959" s="85"/>
      <c r="R9959" s="89"/>
    </row>
    <row r="9960" spans="13:18" x14ac:dyDescent="0.25">
      <c r="M9960" s="9"/>
      <c r="N9960" s="9"/>
      <c r="P9960" s="14"/>
      <c r="Q9960" s="85"/>
      <c r="R9960" s="89"/>
    </row>
    <row r="9961" spans="13:18" x14ac:dyDescent="0.25">
      <c r="M9961" s="9"/>
      <c r="N9961" s="9"/>
      <c r="P9961" s="14"/>
      <c r="Q9961" s="85"/>
      <c r="R9961" s="89"/>
    </row>
    <row r="9962" spans="13:18" x14ac:dyDescent="0.25">
      <c r="M9962" s="9"/>
      <c r="N9962" s="9"/>
      <c r="P9962" s="14"/>
      <c r="Q9962" s="85"/>
      <c r="R9962" s="89"/>
    </row>
    <row r="9963" spans="13:18" x14ac:dyDescent="0.25">
      <c r="M9963" s="9"/>
      <c r="N9963" s="9"/>
      <c r="P9963" s="14"/>
      <c r="Q9963" s="85"/>
      <c r="R9963" s="89"/>
    </row>
    <row r="9964" spans="13:18" x14ac:dyDescent="0.25">
      <c r="M9964" s="9"/>
      <c r="N9964" s="9"/>
      <c r="P9964" s="14"/>
      <c r="Q9964" s="85"/>
      <c r="R9964" s="89"/>
    </row>
    <row r="9965" spans="13:18" x14ac:dyDescent="0.25">
      <c r="M9965" s="9"/>
      <c r="N9965" s="9"/>
      <c r="P9965" s="14"/>
      <c r="Q9965" s="85"/>
      <c r="R9965" s="89"/>
    </row>
    <row r="9966" spans="13:18" x14ac:dyDescent="0.25">
      <c r="M9966" s="9"/>
      <c r="N9966" s="9"/>
      <c r="P9966" s="14"/>
      <c r="Q9966" s="85"/>
      <c r="R9966" s="89"/>
    </row>
    <row r="9967" spans="13:18" x14ac:dyDescent="0.25">
      <c r="M9967" s="9"/>
      <c r="N9967" s="9"/>
      <c r="P9967" s="14"/>
      <c r="Q9967" s="85"/>
      <c r="R9967" s="89"/>
    </row>
    <row r="9968" spans="13:18" x14ac:dyDescent="0.25">
      <c r="M9968" s="9"/>
      <c r="N9968" s="9"/>
      <c r="P9968" s="14"/>
      <c r="Q9968" s="85"/>
      <c r="R9968" s="89"/>
    </row>
    <row r="9969" spans="13:18" x14ac:dyDescent="0.25">
      <c r="M9969" s="9"/>
      <c r="N9969" s="9"/>
      <c r="P9969" s="14"/>
      <c r="Q9969" s="85"/>
      <c r="R9969" s="89"/>
    </row>
    <row r="9970" spans="13:18" x14ac:dyDescent="0.25">
      <c r="M9970" s="9"/>
      <c r="N9970" s="9"/>
      <c r="P9970" s="14"/>
      <c r="Q9970" s="85"/>
      <c r="R9970" s="89"/>
    </row>
    <row r="9971" spans="13:18" x14ac:dyDescent="0.25">
      <c r="M9971" s="9"/>
      <c r="N9971" s="9"/>
      <c r="P9971" s="14"/>
      <c r="Q9971" s="85"/>
      <c r="R9971" s="89"/>
    </row>
    <row r="9972" spans="13:18" x14ac:dyDescent="0.25">
      <c r="M9972" s="9"/>
      <c r="N9972" s="9"/>
      <c r="P9972" s="14"/>
      <c r="Q9972" s="85"/>
      <c r="R9972" s="89"/>
    </row>
    <row r="9973" spans="13:18" x14ac:dyDescent="0.25">
      <c r="M9973" s="9"/>
      <c r="N9973" s="9"/>
      <c r="P9973" s="14"/>
      <c r="Q9973" s="85"/>
      <c r="R9973" s="89"/>
    </row>
    <row r="9974" spans="13:18" x14ac:dyDescent="0.25">
      <c r="M9974" s="9"/>
      <c r="N9974" s="9"/>
      <c r="P9974" s="14"/>
      <c r="Q9974" s="85"/>
      <c r="R9974" s="89"/>
    </row>
    <row r="9975" spans="13:18" x14ac:dyDescent="0.25">
      <c r="M9975" s="9"/>
      <c r="N9975" s="9"/>
      <c r="P9975" s="14"/>
      <c r="Q9975" s="85"/>
      <c r="R9975" s="89"/>
    </row>
    <row r="9976" spans="13:18" x14ac:dyDescent="0.25">
      <c r="M9976" s="9"/>
      <c r="N9976" s="9"/>
      <c r="P9976" s="14"/>
      <c r="Q9976" s="85"/>
      <c r="R9976" s="89"/>
    </row>
    <row r="9977" spans="13:18" x14ac:dyDescent="0.25">
      <c r="M9977" s="9"/>
      <c r="N9977" s="9"/>
      <c r="P9977" s="14"/>
      <c r="Q9977" s="85"/>
      <c r="R9977" s="89"/>
    </row>
    <row r="9978" spans="13:18" x14ac:dyDescent="0.25">
      <c r="M9978" s="9"/>
      <c r="N9978" s="9"/>
      <c r="P9978" s="14"/>
      <c r="Q9978" s="85"/>
      <c r="R9978" s="89"/>
    </row>
    <row r="9979" spans="13:18" x14ac:dyDescent="0.25">
      <c r="M9979" s="9"/>
      <c r="N9979" s="9"/>
      <c r="P9979" s="14"/>
      <c r="Q9979" s="85"/>
      <c r="R9979" s="89"/>
    </row>
    <row r="9980" spans="13:18" x14ac:dyDescent="0.25">
      <c r="M9980" s="9"/>
      <c r="N9980" s="9"/>
      <c r="P9980" s="14"/>
      <c r="Q9980" s="85"/>
      <c r="R9980" s="89"/>
    </row>
    <row r="9981" spans="13:18" x14ac:dyDescent="0.25">
      <c r="M9981" s="9"/>
      <c r="N9981" s="9"/>
      <c r="P9981" s="14"/>
      <c r="Q9981" s="85"/>
      <c r="R9981" s="89"/>
    </row>
    <row r="9982" spans="13:18" x14ac:dyDescent="0.25">
      <c r="M9982" s="9"/>
      <c r="N9982" s="9"/>
      <c r="P9982" s="14"/>
      <c r="Q9982" s="85"/>
      <c r="R9982" s="89"/>
    </row>
    <row r="9983" spans="13:18" x14ac:dyDescent="0.25">
      <c r="M9983" s="9"/>
      <c r="N9983" s="9"/>
      <c r="P9983" s="14"/>
      <c r="Q9983" s="85"/>
      <c r="R9983" s="89"/>
    </row>
    <row r="9984" spans="13:18" x14ac:dyDescent="0.25">
      <c r="M9984" s="9"/>
      <c r="N9984" s="9"/>
      <c r="P9984" s="14"/>
      <c r="Q9984" s="85"/>
      <c r="R9984" s="89"/>
    </row>
    <row r="9985" spans="13:18" x14ac:dyDescent="0.25">
      <c r="M9985" s="9"/>
      <c r="N9985" s="9"/>
      <c r="P9985" s="14"/>
      <c r="Q9985" s="85"/>
      <c r="R9985" s="89"/>
    </row>
    <row r="9986" spans="13:18" x14ac:dyDescent="0.25">
      <c r="M9986" s="9"/>
      <c r="N9986" s="9"/>
      <c r="P9986" s="14"/>
      <c r="Q9986" s="85"/>
      <c r="R9986" s="89"/>
    </row>
    <row r="9987" spans="13:18" x14ac:dyDescent="0.25">
      <c r="M9987" s="9"/>
      <c r="N9987" s="9"/>
      <c r="P9987" s="14"/>
      <c r="Q9987" s="85"/>
      <c r="R9987" s="89"/>
    </row>
    <row r="9988" spans="13:18" x14ac:dyDescent="0.25">
      <c r="M9988" s="9"/>
      <c r="N9988" s="9"/>
      <c r="P9988" s="14"/>
      <c r="Q9988" s="85"/>
      <c r="R9988" s="89"/>
    </row>
    <row r="9989" spans="13:18" x14ac:dyDescent="0.25">
      <c r="M9989" s="9"/>
      <c r="N9989" s="9"/>
      <c r="P9989" s="14"/>
      <c r="Q9989" s="85"/>
      <c r="R9989" s="89"/>
    </row>
    <row r="9990" spans="13:18" x14ac:dyDescent="0.25">
      <c r="M9990" s="9"/>
      <c r="N9990" s="9"/>
      <c r="P9990" s="14"/>
      <c r="Q9990" s="85"/>
      <c r="R9990" s="89"/>
    </row>
    <row r="9991" spans="13:18" x14ac:dyDescent="0.25">
      <c r="M9991" s="9"/>
      <c r="N9991" s="9"/>
      <c r="P9991" s="14"/>
      <c r="Q9991" s="85"/>
      <c r="R9991" s="89"/>
    </row>
    <row r="9992" spans="13:18" x14ac:dyDescent="0.25">
      <c r="M9992" s="9"/>
      <c r="N9992" s="9"/>
      <c r="P9992" s="14"/>
      <c r="Q9992" s="85"/>
      <c r="R9992" s="89"/>
    </row>
    <row r="9993" spans="13:18" x14ac:dyDescent="0.25">
      <c r="M9993" s="9"/>
      <c r="N9993" s="9"/>
      <c r="P9993" s="14"/>
      <c r="Q9993" s="85"/>
      <c r="R9993" s="89"/>
    </row>
    <row r="9994" spans="13:18" x14ac:dyDescent="0.25">
      <c r="M9994" s="9"/>
      <c r="N9994" s="9"/>
      <c r="P9994" s="14"/>
      <c r="Q9994" s="85"/>
      <c r="R9994" s="89"/>
    </row>
    <row r="9995" spans="13:18" x14ac:dyDescent="0.25">
      <c r="M9995" s="9"/>
      <c r="N9995" s="9"/>
      <c r="P9995" s="14"/>
      <c r="Q9995" s="85"/>
      <c r="R9995" s="89"/>
    </row>
    <row r="9996" spans="13:18" x14ac:dyDescent="0.25">
      <c r="M9996" s="9"/>
      <c r="N9996" s="9"/>
      <c r="P9996" s="14"/>
      <c r="Q9996" s="85"/>
      <c r="R9996" s="89"/>
    </row>
    <row r="9997" spans="13:18" x14ac:dyDescent="0.25">
      <c r="M9997" s="9"/>
      <c r="N9997" s="9"/>
      <c r="P9997" s="14"/>
      <c r="Q9997" s="85"/>
      <c r="R9997" s="89"/>
    </row>
    <row r="9998" spans="13:18" x14ac:dyDescent="0.25">
      <c r="M9998" s="9"/>
      <c r="N9998" s="9"/>
      <c r="P9998" s="14"/>
      <c r="Q9998" s="85"/>
      <c r="R9998" s="89"/>
    </row>
    <row r="9999" spans="13:18" x14ac:dyDescent="0.25">
      <c r="M9999" s="9"/>
      <c r="N9999" s="9"/>
      <c r="P9999" s="14"/>
      <c r="Q9999" s="85"/>
      <c r="R9999" s="89"/>
    </row>
    <row r="10000" spans="13:18" x14ac:dyDescent="0.25">
      <c r="M10000" s="9"/>
      <c r="N10000" s="9"/>
      <c r="P10000" s="14"/>
      <c r="Q10000" s="85"/>
      <c r="R10000" s="89"/>
    </row>
  </sheetData>
  <autoFilter ref="A2:Z6552" xr:uid="{00000000-0009-0000-0000-000001000000}"/>
  <dataValidations count="1">
    <dataValidation type="list" allowBlank="1" showInputMessage="1" sqref="I501 I470 F6554:F6622 I601:I605 I361 I593 I115:I117 I143:I145 I148 I375 I543 I297:I298 I307 I318 I335 I506 I41 I33:I35 I174 I224 I341 F3:F5591" xr:uid="{00000000-0002-0000-0100-000000000000}">
      <formula1>Customer_Name</formula1>
    </dataValidation>
  </dataValidations>
  <pageMargins left="0.7" right="0.7" top="0.75" bottom="0.75" header="0.3" footer="0.3"/>
  <pageSetup orientation="portrait" r:id="rId1"/>
  <ignoredErrors>
    <ignoredError sqref="M1084:P6552 M6623:P1048576 O892:O985 M3:R5 M6:R8 M9:R9 M10:R13 M14:R15 M16:R17 M18:R19 M20:R28 O29:R30 M31:R31 M32:R33 M34:R34 M35:R35 O36:R36 M37:R37 O38:R38 M39:R41 M42:R47 M48:R48 M49:R53 M54:R55 M57:R60 O56:R56 M61:R61 M62:R62 O63:R64 M65:R67 M68:R70 M71:R72 M73:R75 M76:R77 O78:R78 O79:R80 M81:R84 M85:R86 M87:R102 M103:R105 M106:R106 M107:R110 M111:R117 O118:R120 M120:N120 M121:R124 M125:R125 M126:R131 M132:R134 M135:R140 M141:R146 M147:R150 M151:R152 M153:R169 M170:R172 M173:R174 M175:R175 M177:R177 O176:R176 O178:R179 O180:R181 M182:R182 M183:R183 M185:R187 O184:R184 M188:R190 M191:R191 M192:R197 M198:R199 M201:R203 O200:R200 M204:R206 M207:R207 M208:R209" unlockedFormula="1"/>
    <ignoredError sqref="A4:A71 A778:A823 A825:A902 A906:A985 A73:A171 A384:A626 A646:A768 A627:A637 A638:A641 A642:A645 A769:A777 A177:A382 A172:A17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8:V105"/>
  <sheetViews>
    <sheetView showGridLines="0" workbookViewId="0">
      <pane ySplit="9" topLeftCell="A91" activePane="bottomLeft" state="frozen"/>
      <selection pane="bottomLeft" activeCell="B92" sqref="B92"/>
    </sheetView>
  </sheetViews>
  <sheetFormatPr defaultRowHeight="15" x14ac:dyDescent="0.25"/>
  <cols>
    <col min="1" max="1" width="37.7109375" bestFit="1" customWidth="1"/>
    <col min="2" max="2" width="10.7109375" customWidth="1"/>
    <col min="3" max="3" width="14.28515625" bestFit="1" customWidth="1"/>
    <col min="4" max="4" width="4.42578125" customWidth="1"/>
    <col min="5" max="5" width="5.5703125" customWidth="1"/>
    <col min="6" max="6" width="22.140625" customWidth="1"/>
    <col min="7" max="7" width="13.5703125" bestFit="1" customWidth="1"/>
    <col min="22" max="22" width="12.5703125" bestFit="1" customWidth="1"/>
  </cols>
  <sheetData>
    <row r="8" spans="1:17" ht="28.5" customHeight="1" x14ac:dyDescent="0.25"/>
    <row r="9" spans="1:17" x14ac:dyDescent="0.25">
      <c r="A9" s="40" t="s">
        <v>26</v>
      </c>
      <c r="B9" t="s">
        <v>44</v>
      </c>
      <c r="C9" t="s">
        <v>41</v>
      </c>
    </row>
    <row r="10" spans="1:17" x14ac:dyDescent="0.25">
      <c r="A10" s="46" t="s">
        <v>51</v>
      </c>
      <c r="B10" s="61">
        <v>212.70000000000005</v>
      </c>
      <c r="C10" s="59">
        <v>232163</v>
      </c>
      <c r="F10" s="46"/>
    </row>
    <row r="11" spans="1:17" x14ac:dyDescent="0.25">
      <c r="A11" s="46" t="s">
        <v>39</v>
      </c>
      <c r="B11" s="61">
        <v>2648.2999999999993</v>
      </c>
      <c r="C11" s="59">
        <v>3099240.0999999996</v>
      </c>
      <c r="F11" s="46"/>
    </row>
    <row r="12" spans="1:17" x14ac:dyDescent="0.25">
      <c r="A12" s="46" t="s">
        <v>69</v>
      </c>
      <c r="B12" s="61">
        <v>10133.700000000001</v>
      </c>
      <c r="C12" s="59">
        <v>8059657.299999997</v>
      </c>
      <c r="F12" s="46"/>
    </row>
    <row r="13" spans="1:17" x14ac:dyDescent="0.25">
      <c r="A13" s="46" t="s">
        <v>68</v>
      </c>
      <c r="B13" s="61">
        <v>26513.700000000012</v>
      </c>
      <c r="C13" s="59">
        <v>14413626.9</v>
      </c>
    </row>
    <row r="14" spans="1:17" x14ac:dyDescent="0.25">
      <c r="A14" s="46" t="s">
        <v>89</v>
      </c>
      <c r="B14" s="61">
        <v>4088.9999999999995</v>
      </c>
      <c r="C14" s="59">
        <v>2063398.8</v>
      </c>
      <c r="Q14" t="s">
        <v>42</v>
      </c>
    </row>
    <row r="15" spans="1:17" x14ac:dyDescent="0.25">
      <c r="A15" s="46" t="s">
        <v>50</v>
      </c>
      <c r="B15" s="61">
        <v>132.1</v>
      </c>
      <c r="C15" s="59">
        <v>133485.4</v>
      </c>
    </row>
    <row r="16" spans="1:17" x14ac:dyDescent="0.25">
      <c r="A16" s="46" t="s">
        <v>49</v>
      </c>
      <c r="B16" s="61">
        <v>292.8</v>
      </c>
      <c r="C16" s="59">
        <v>241551.6</v>
      </c>
    </row>
    <row r="17" spans="1:3" x14ac:dyDescent="0.25">
      <c r="A17" s="46" t="s">
        <v>48</v>
      </c>
      <c r="B17" s="61">
        <v>2615.4999999999995</v>
      </c>
      <c r="C17" s="59">
        <v>1642113.5999999999</v>
      </c>
    </row>
    <row r="18" spans="1:3" x14ac:dyDescent="0.25">
      <c r="A18" s="46" t="s">
        <v>77</v>
      </c>
      <c r="B18" s="61">
        <v>11500</v>
      </c>
      <c r="C18" s="59">
        <v>80000</v>
      </c>
    </row>
    <row r="19" spans="1:3" x14ac:dyDescent="0.25">
      <c r="A19" s="46" t="s">
        <v>91</v>
      </c>
      <c r="B19" s="61">
        <v>4500</v>
      </c>
      <c r="C19" s="59">
        <v>27900</v>
      </c>
    </row>
    <row r="20" spans="1:3" x14ac:dyDescent="0.25">
      <c r="A20" s="46" t="s">
        <v>53</v>
      </c>
      <c r="B20" s="61">
        <v>1266.53078</v>
      </c>
      <c r="C20" s="59">
        <v>408945.80349999998</v>
      </c>
    </row>
    <row r="21" spans="1:3" x14ac:dyDescent="0.25">
      <c r="A21" s="46" t="s">
        <v>83</v>
      </c>
      <c r="B21" s="61">
        <v>861.7</v>
      </c>
      <c r="C21" s="59">
        <v>319718.5</v>
      </c>
    </row>
    <row r="22" spans="1:3" x14ac:dyDescent="0.25">
      <c r="A22" s="46" t="s">
        <v>76</v>
      </c>
      <c r="B22" s="61">
        <v>1377.3</v>
      </c>
      <c r="C22" s="59">
        <v>243714</v>
      </c>
    </row>
    <row r="23" spans="1:3" x14ac:dyDescent="0.25">
      <c r="A23" s="46" t="s">
        <v>80</v>
      </c>
      <c r="B23" s="61">
        <v>1256.4078199999999</v>
      </c>
      <c r="C23" s="59">
        <v>448986.40122</v>
      </c>
    </row>
    <row r="24" spans="1:3" x14ac:dyDescent="0.25">
      <c r="A24" s="46" t="s">
        <v>79</v>
      </c>
      <c r="B24" s="61">
        <v>66.099999999999994</v>
      </c>
      <c r="C24" s="59">
        <v>41743</v>
      </c>
    </row>
    <row r="25" spans="1:3" x14ac:dyDescent="0.25">
      <c r="A25" s="46" t="s">
        <v>74</v>
      </c>
      <c r="B25" s="61">
        <v>4675.0989749999999</v>
      </c>
      <c r="C25" s="59">
        <v>1351103.603775</v>
      </c>
    </row>
    <row r="26" spans="1:3" x14ac:dyDescent="0.25">
      <c r="A26" s="46" t="s">
        <v>92</v>
      </c>
      <c r="B26" s="61">
        <v>1786.1107689999999</v>
      </c>
      <c r="C26" s="59">
        <v>1230008.9875340001</v>
      </c>
    </row>
    <row r="27" spans="1:3" x14ac:dyDescent="0.25">
      <c r="A27" s="46" t="s">
        <v>113</v>
      </c>
      <c r="B27" s="61"/>
      <c r="C27" s="59"/>
    </row>
    <row r="28" spans="1:3" x14ac:dyDescent="0.25">
      <c r="A28" s="46" t="s">
        <v>78</v>
      </c>
      <c r="B28" s="61">
        <v>1668.8000000000002</v>
      </c>
      <c r="C28" s="59">
        <v>2056876.2000000002</v>
      </c>
    </row>
    <row r="29" spans="1:3" x14ac:dyDescent="0.25">
      <c r="A29" s="46" t="s">
        <v>85</v>
      </c>
      <c r="B29" s="61">
        <v>4</v>
      </c>
      <c r="C29" s="59">
        <v>24800</v>
      </c>
    </row>
    <row r="30" spans="1:3" x14ac:dyDescent="0.25">
      <c r="A30" s="46" t="s">
        <v>93</v>
      </c>
      <c r="B30" s="61">
        <v>105.97423000000001</v>
      </c>
      <c r="C30" s="59">
        <v>61677.001860000004</v>
      </c>
    </row>
    <row r="31" spans="1:3" x14ac:dyDescent="0.25">
      <c r="A31" s="46" t="s">
        <v>40</v>
      </c>
      <c r="B31" s="61">
        <v>17435</v>
      </c>
      <c r="C31" s="59">
        <v>326350</v>
      </c>
    </row>
    <row r="32" spans="1:3" x14ac:dyDescent="0.25">
      <c r="A32" s="46" t="s">
        <v>82</v>
      </c>
      <c r="B32" s="61">
        <v>11472.4</v>
      </c>
      <c r="C32" s="59">
        <v>401534</v>
      </c>
    </row>
    <row r="33" spans="1:22" x14ac:dyDescent="0.25">
      <c r="A33" s="46" t="s">
        <v>84</v>
      </c>
      <c r="B33" s="61">
        <v>243.4</v>
      </c>
      <c r="C33" s="59">
        <v>107241</v>
      </c>
      <c r="V33" s="62"/>
    </row>
    <row r="34" spans="1:22" x14ac:dyDescent="0.25">
      <c r="A34" s="46" t="s">
        <v>99</v>
      </c>
      <c r="B34" s="61">
        <v>544</v>
      </c>
      <c r="C34" s="59">
        <v>104679</v>
      </c>
    </row>
    <row r="35" spans="1:22" x14ac:dyDescent="0.25">
      <c r="A35" s="46" t="s">
        <v>136</v>
      </c>
      <c r="B35" s="61">
        <v>8.9</v>
      </c>
      <c r="C35" s="59">
        <v>1029</v>
      </c>
    </row>
    <row r="36" spans="1:22" x14ac:dyDescent="0.25">
      <c r="A36" s="46" t="s">
        <v>86</v>
      </c>
      <c r="B36" s="61">
        <v>573.60000000000014</v>
      </c>
      <c r="C36" s="59">
        <v>206837.59999999998</v>
      </c>
    </row>
    <row r="37" spans="1:22" x14ac:dyDescent="0.25">
      <c r="A37" s="46" t="s">
        <v>75</v>
      </c>
      <c r="B37" s="61">
        <v>1575.0500705599998</v>
      </c>
      <c r="C37" s="59">
        <v>1296654.8545008001</v>
      </c>
    </row>
    <row r="38" spans="1:22" x14ac:dyDescent="0.25">
      <c r="A38" s="46" t="s">
        <v>90</v>
      </c>
      <c r="B38" s="61">
        <v>200</v>
      </c>
      <c r="C38" s="59">
        <v>2000</v>
      </c>
    </row>
    <row r="39" spans="1:22" x14ac:dyDescent="0.25">
      <c r="A39" s="46" t="s">
        <v>94</v>
      </c>
      <c r="B39" s="61">
        <v>394.59999999999997</v>
      </c>
      <c r="C39" s="59">
        <v>330799.90000000002</v>
      </c>
    </row>
    <row r="40" spans="1:22" x14ac:dyDescent="0.25">
      <c r="A40" s="46" t="s">
        <v>96</v>
      </c>
      <c r="B40" s="61">
        <v>128.1</v>
      </c>
      <c r="C40" s="59">
        <v>123143</v>
      </c>
    </row>
    <row r="41" spans="1:22" x14ac:dyDescent="0.25">
      <c r="A41" s="46" t="s">
        <v>97</v>
      </c>
      <c r="B41" s="61">
        <v>87.4</v>
      </c>
      <c r="C41" s="59">
        <v>132411</v>
      </c>
    </row>
    <row r="42" spans="1:22" x14ac:dyDescent="0.25">
      <c r="A42" s="46" t="s">
        <v>104</v>
      </c>
      <c r="B42" s="61">
        <v>522</v>
      </c>
      <c r="C42" s="59">
        <v>387800.5</v>
      </c>
    </row>
    <row r="43" spans="1:22" x14ac:dyDescent="0.25">
      <c r="A43" s="46" t="s">
        <v>110</v>
      </c>
      <c r="B43" s="61">
        <v>209</v>
      </c>
      <c r="C43" s="59">
        <v>99483.999999999985</v>
      </c>
    </row>
    <row r="44" spans="1:22" x14ac:dyDescent="0.25">
      <c r="A44" s="46" t="s">
        <v>140</v>
      </c>
      <c r="B44" s="61">
        <v>3750.84292</v>
      </c>
      <c r="C44" s="59">
        <v>1652720.5277199999</v>
      </c>
    </row>
    <row r="45" spans="1:22" x14ac:dyDescent="0.25">
      <c r="A45" s="46" t="s">
        <v>115</v>
      </c>
      <c r="B45" s="61">
        <v>1277.4000000000001</v>
      </c>
      <c r="C45" s="59">
        <v>1665027.4</v>
      </c>
    </row>
    <row r="46" spans="1:22" x14ac:dyDescent="0.25">
      <c r="A46" s="46" t="s">
        <v>205</v>
      </c>
      <c r="B46" s="61">
        <v>420</v>
      </c>
      <c r="C46" s="59">
        <v>105000</v>
      </c>
    </row>
    <row r="47" spans="1:22" x14ac:dyDescent="0.25">
      <c r="A47" s="46" t="s">
        <v>118</v>
      </c>
      <c r="B47" s="61">
        <v>4</v>
      </c>
      <c r="C47" s="59">
        <v>3240</v>
      </c>
    </row>
    <row r="48" spans="1:22" x14ac:dyDescent="0.25">
      <c r="A48" s="46" t="s">
        <v>511</v>
      </c>
      <c r="B48" s="61">
        <v>342.8</v>
      </c>
      <c r="C48" s="59">
        <v>121694</v>
      </c>
    </row>
    <row r="49" spans="1:3" x14ac:dyDescent="0.25">
      <c r="A49" s="46" t="s">
        <v>268</v>
      </c>
      <c r="B49" s="61">
        <v>2817.4280900000003</v>
      </c>
      <c r="C49" s="59">
        <v>1097217.60005</v>
      </c>
    </row>
    <row r="50" spans="1:3" x14ac:dyDescent="0.25">
      <c r="A50" s="46" t="s">
        <v>295</v>
      </c>
      <c r="B50" s="61">
        <v>3637.3999999999996</v>
      </c>
      <c r="C50" s="59">
        <v>1747847.4</v>
      </c>
    </row>
    <row r="51" spans="1:3" x14ac:dyDescent="0.25">
      <c r="A51" s="46" t="s">
        <v>296</v>
      </c>
      <c r="B51" s="61">
        <v>365.6</v>
      </c>
      <c r="C51" s="59">
        <v>217166.4</v>
      </c>
    </row>
    <row r="52" spans="1:3" x14ac:dyDescent="0.25">
      <c r="A52" s="46" t="s">
        <v>244</v>
      </c>
      <c r="B52" s="61">
        <v>2.2000000000000002</v>
      </c>
      <c r="C52" s="59">
        <v>1496.0000000000002</v>
      </c>
    </row>
    <row r="53" spans="1:3" x14ac:dyDescent="0.25">
      <c r="A53" s="46" t="s">
        <v>245</v>
      </c>
      <c r="B53" s="61">
        <v>16.600000000000001</v>
      </c>
      <c r="C53" s="59">
        <v>13197.000000000002</v>
      </c>
    </row>
    <row r="54" spans="1:3" x14ac:dyDescent="0.25">
      <c r="A54" s="46" t="s">
        <v>246</v>
      </c>
      <c r="B54" s="61">
        <v>7.9</v>
      </c>
      <c r="C54" s="59">
        <v>7505</v>
      </c>
    </row>
    <row r="55" spans="1:3" x14ac:dyDescent="0.25">
      <c r="A55" s="46" t="s">
        <v>247</v>
      </c>
      <c r="B55" s="61">
        <v>19.5</v>
      </c>
      <c r="C55" s="59">
        <v>64350</v>
      </c>
    </row>
    <row r="56" spans="1:3" x14ac:dyDescent="0.25">
      <c r="A56" s="46" t="s">
        <v>430</v>
      </c>
      <c r="B56" s="61">
        <v>199.5</v>
      </c>
      <c r="C56" s="59">
        <v>142842.00000000003</v>
      </c>
    </row>
    <row r="57" spans="1:3" x14ac:dyDescent="0.25">
      <c r="A57" s="46" t="s">
        <v>266</v>
      </c>
      <c r="B57" s="61">
        <v>1700</v>
      </c>
      <c r="C57" s="59">
        <v>16900</v>
      </c>
    </row>
    <row r="58" spans="1:3" x14ac:dyDescent="0.25">
      <c r="A58" s="46" t="s">
        <v>132</v>
      </c>
      <c r="B58" s="61">
        <v>566.4</v>
      </c>
      <c r="C58" s="59">
        <v>382320</v>
      </c>
    </row>
    <row r="59" spans="1:3" x14ac:dyDescent="0.25">
      <c r="A59" s="46" t="s">
        <v>148</v>
      </c>
      <c r="B59" s="61">
        <v>25</v>
      </c>
      <c r="C59" s="59">
        <v>22500</v>
      </c>
    </row>
    <row r="60" spans="1:3" x14ac:dyDescent="0.25">
      <c r="A60" s="46" t="s">
        <v>149</v>
      </c>
      <c r="B60" s="61">
        <v>25</v>
      </c>
      <c r="C60" s="59">
        <v>16605</v>
      </c>
    </row>
    <row r="61" spans="1:3" x14ac:dyDescent="0.25">
      <c r="A61" s="46" t="s">
        <v>150</v>
      </c>
      <c r="B61" s="61">
        <v>200</v>
      </c>
      <c r="C61" s="59">
        <v>2000</v>
      </c>
    </row>
    <row r="62" spans="1:3" x14ac:dyDescent="0.25">
      <c r="A62" s="46" t="s">
        <v>151</v>
      </c>
      <c r="B62" s="61">
        <v>4</v>
      </c>
      <c r="C62" s="59">
        <v>550</v>
      </c>
    </row>
    <row r="63" spans="1:3" x14ac:dyDescent="0.25">
      <c r="A63" s="46" t="s">
        <v>152</v>
      </c>
      <c r="B63" s="61">
        <v>4</v>
      </c>
      <c r="C63" s="59">
        <v>1240</v>
      </c>
    </row>
    <row r="64" spans="1:3" x14ac:dyDescent="0.25">
      <c r="A64" s="46" t="s">
        <v>153</v>
      </c>
      <c r="B64" s="61">
        <v>2</v>
      </c>
      <c r="C64" s="59">
        <v>520</v>
      </c>
    </row>
    <row r="65" spans="1:3" x14ac:dyDescent="0.25">
      <c r="A65" s="46" t="s">
        <v>178</v>
      </c>
      <c r="B65" s="61">
        <v>1</v>
      </c>
      <c r="C65" s="59">
        <v>895</v>
      </c>
    </row>
    <row r="66" spans="1:3" x14ac:dyDescent="0.25">
      <c r="A66" s="46" t="s">
        <v>180</v>
      </c>
      <c r="B66" s="61">
        <v>1</v>
      </c>
      <c r="C66" s="59">
        <v>355</v>
      </c>
    </row>
    <row r="67" spans="1:3" x14ac:dyDescent="0.25">
      <c r="A67" s="46" t="s">
        <v>181</v>
      </c>
      <c r="B67" s="61">
        <v>1</v>
      </c>
      <c r="C67" s="59">
        <v>636</v>
      </c>
    </row>
    <row r="68" spans="1:3" x14ac:dyDescent="0.25">
      <c r="A68" s="46" t="s">
        <v>182</v>
      </c>
      <c r="B68" s="61">
        <v>1</v>
      </c>
      <c r="C68" s="59">
        <v>699</v>
      </c>
    </row>
    <row r="69" spans="1:3" x14ac:dyDescent="0.25">
      <c r="A69" s="46" t="s">
        <v>183</v>
      </c>
      <c r="B69" s="61">
        <v>2</v>
      </c>
      <c r="C69" s="59">
        <v>1380</v>
      </c>
    </row>
    <row r="70" spans="1:3" x14ac:dyDescent="0.25">
      <c r="A70" s="46" t="s">
        <v>184</v>
      </c>
      <c r="B70" s="61">
        <v>2</v>
      </c>
      <c r="C70" s="59">
        <v>354</v>
      </c>
    </row>
    <row r="71" spans="1:3" x14ac:dyDescent="0.25">
      <c r="A71" s="46" t="s">
        <v>185</v>
      </c>
      <c r="B71" s="61">
        <v>10</v>
      </c>
      <c r="C71" s="59">
        <v>2500</v>
      </c>
    </row>
    <row r="72" spans="1:3" x14ac:dyDescent="0.25">
      <c r="A72" s="46" t="s">
        <v>186</v>
      </c>
      <c r="B72" s="61">
        <v>5</v>
      </c>
      <c r="C72" s="59">
        <v>1000</v>
      </c>
    </row>
    <row r="73" spans="1:3" x14ac:dyDescent="0.25">
      <c r="A73" s="46" t="s">
        <v>187</v>
      </c>
      <c r="B73" s="61">
        <v>2</v>
      </c>
      <c r="C73" s="59">
        <v>2350</v>
      </c>
    </row>
    <row r="74" spans="1:3" x14ac:dyDescent="0.25">
      <c r="A74" s="46" t="s">
        <v>188</v>
      </c>
      <c r="B74" s="61">
        <v>2</v>
      </c>
      <c r="C74" s="59">
        <v>3960</v>
      </c>
    </row>
    <row r="75" spans="1:3" x14ac:dyDescent="0.25">
      <c r="A75" s="46" t="s">
        <v>189</v>
      </c>
      <c r="B75" s="61">
        <v>2</v>
      </c>
      <c r="C75" s="59">
        <v>3444</v>
      </c>
    </row>
    <row r="76" spans="1:3" x14ac:dyDescent="0.25">
      <c r="A76" s="46" t="s">
        <v>190</v>
      </c>
      <c r="B76" s="61">
        <v>2</v>
      </c>
      <c r="C76" s="59">
        <v>7140</v>
      </c>
    </row>
    <row r="77" spans="1:3" x14ac:dyDescent="0.25">
      <c r="A77" s="46" t="s">
        <v>191</v>
      </c>
      <c r="B77" s="61">
        <v>200</v>
      </c>
      <c r="C77" s="59">
        <v>700</v>
      </c>
    </row>
    <row r="78" spans="1:3" x14ac:dyDescent="0.25">
      <c r="A78" s="46" t="s">
        <v>192</v>
      </c>
      <c r="B78" s="61">
        <v>1</v>
      </c>
      <c r="C78" s="59">
        <v>50500</v>
      </c>
    </row>
    <row r="79" spans="1:3" x14ac:dyDescent="0.25">
      <c r="A79" s="46" t="s">
        <v>193</v>
      </c>
      <c r="B79" s="61">
        <v>30</v>
      </c>
      <c r="C79" s="59">
        <v>2160</v>
      </c>
    </row>
    <row r="80" spans="1:3" x14ac:dyDescent="0.25">
      <c r="A80" s="46" t="s">
        <v>195</v>
      </c>
      <c r="B80" s="61">
        <v>96</v>
      </c>
      <c r="C80" s="59">
        <v>43008</v>
      </c>
    </row>
    <row r="81" spans="1:3" x14ac:dyDescent="0.25">
      <c r="A81" s="46" t="s">
        <v>206</v>
      </c>
      <c r="B81" s="61">
        <v>56100</v>
      </c>
      <c r="C81" s="59">
        <v>420750</v>
      </c>
    </row>
    <row r="82" spans="1:3" x14ac:dyDescent="0.25">
      <c r="A82" s="46" t="s">
        <v>253</v>
      </c>
      <c r="B82" s="61">
        <v>10</v>
      </c>
      <c r="C82" s="59">
        <v>540</v>
      </c>
    </row>
    <row r="83" spans="1:3" x14ac:dyDescent="0.25">
      <c r="A83" s="46" t="s">
        <v>254</v>
      </c>
      <c r="B83" s="61">
        <v>1</v>
      </c>
      <c r="C83" s="59">
        <v>26952</v>
      </c>
    </row>
    <row r="84" spans="1:3" x14ac:dyDescent="0.25">
      <c r="A84" s="46" t="s">
        <v>255</v>
      </c>
      <c r="B84" s="61">
        <v>1</v>
      </c>
      <c r="C84" s="59">
        <v>130000</v>
      </c>
    </row>
    <row r="85" spans="1:3" x14ac:dyDescent="0.25">
      <c r="A85" s="46" t="s">
        <v>256</v>
      </c>
      <c r="B85" s="61">
        <v>1</v>
      </c>
      <c r="C85" s="59">
        <v>2500</v>
      </c>
    </row>
    <row r="86" spans="1:3" x14ac:dyDescent="0.25">
      <c r="A86" s="46" t="s">
        <v>257</v>
      </c>
      <c r="B86" s="61">
        <v>2</v>
      </c>
      <c r="C86" s="59">
        <v>7000</v>
      </c>
    </row>
    <row r="87" spans="1:3" x14ac:dyDescent="0.25">
      <c r="A87" s="46" t="s">
        <v>332</v>
      </c>
      <c r="B87" s="61">
        <v>5000</v>
      </c>
      <c r="C87" s="59">
        <v>40000</v>
      </c>
    </row>
    <row r="88" spans="1:3" x14ac:dyDescent="0.25">
      <c r="A88" s="46" t="s">
        <v>333</v>
      </c>
      <c r="B88" s="61">
        <v>100</v>
      </c>
      <c r="C88" s="59">
        <v>3600</v>
      </c>
    </row>
    <row r="89" spans="1:3" x14ac:dyDescent="0.25">
      <c r="A89" s="46" t="s">
        <v>403</v>
      </c>
      <c r="B89" s="61">
        <v>1</v>
      </c>
      <c r="C89" s="59">
        <v>39500</v>
      </c>
    </row>
    <row r="90" spans="1:3" x14ac:dyDescent="0.25">
      <c r="A90" s="46" t="s">
        <v>404</v>
      </c>
      <c r="B90" s="61">
        <v>1</v>
      </c>
      <c r="C90" s="59">
        <v>55000</v>
      </c>
    </row>
    <row r="91" spans="1:3" x14ac:dyDescent="0.25">
      <c r="A91" s="46" t="s">
        <v>405</v>
      </c>
      <c r="B91" s="61">
        <v>1</v>
      </c>
      <c r="C91" s="59">
        <v>156100</v>
      </c>
    </row>
    <row r="92" spans="1:3" x14ac:dyDescent="0.25">
      <c r="A92" s="46" t="s">
        <v>406</v>
      </c>
      <c r="B92" s="61">
        <v>1</v>
      </c>
      <c r="C92" s="59">
        <v>550</v>
      </c>
    </row>
    <row r="93" spans="1:3" x14ac:dyDescent="0.25">
      <c r="A93" s="46" t="s">
        <v>407</v>
      </c>
      <c r="B93" s="61">
        <v>510</v>
      </c>
      <c r="C93" s="59">
        <v>22950</v>
      </c>
    </row>
    <row r="94" spans="1:3" x14ac:dyDescent="0.25">
      <c r="A94" s="46" t="s">
        <v>427</v>
      </c>
      <c r="B94" s="61">
        <v>72</v>
      </c>
      <c r="C94" s="59">
        <v>101232</v>
      </c>
    </row>
    <row r="95" spans="1:3" x14ac:dyDescent="0.25">
      <c r="A95" s="46" t="s">
        <v>428</v>
      </c>
      <c r="B95" s="61">
        <v>150</v>
      </c>
      <c r="C95" s="59">
        <v>160650</v>
      </c>
    </row>
    <row r="96" spans="1:3" x14ac:dyDescent="0.25">
      <c r="A96" s="46" t="s">
        <v>454</v>
      </c>
      <c r="B96" s="61">
        <v>96</v>
      </c>
      <c r="C96" s="59">
        <v>115680</v>
      </c>
    </row>
    <row r="97" spans="1:3" x14ac:dyDescent="0.25">
      <c r="A97" s="46" t="s">
        <v>455</v>
      </c>
      <c r="B97" s="61">
        <v>12</v>
      </c>
      <c r="C97" s="59">
        <v>9780</v>
      </c>
    </row>
    <row r="98" spans="1:3" x14ac:dyDescent="0.25">
      <c r="A98" s="46" t="s">
        <v>456</v>
      </c>
      <c r="B98" s="61">
        <v>66</v>
      </c>
      <c r="C98" s="59">
        <v>25410</v>
      </c>
    </row>
    <row r="99" spans="1:3" x14ac:dyDescent="0.25">
      <c r="A99" s="46" t="s">
        <v>457</v>
      </c>
      <c r="B99" s="61">
        <v>12</v>
      </c>
      <c r="C99" s="59">
        <v>4344</v>
      </c>
    </row>
    <row r="100" spans="1:3" x14ac:dyDescent="0.25">
      <c r="A100" s="46" t="s">
        <v>467</v>
      </c>
      <c r="B100" s="61">
        <v>841.59999999999991</v>
      </c>
      <c r="C100" s="59">
        <v>380262.39999999997</v>
      </c>
    </row>
    <row r="101" spans="1:3" x14ac:dyDescent="0.25">
      <c r="A101" s="46" t="s">
        <v>468</v>
      </c>
      <c r="B101" s="61">
        <v>517.20000000000005</v>
      </c>
      <c r="C101" s="59">
        <v>307734</v>
      </c>
    </row>
    <row r="102" spans="1:3" x14ac:dyDescent="0.25">
      <c r="A102" s="46" t="s">
        <v>470</v>
      </c>
      <c r="B102" s="61">
        <v>72</v>
      </c>
      <c r="C102" s="59">
        <v>105840</v>
      </c>
    </row>
    <row r="103" spans="1:3" x14ac:dyDescent="0.25">
      <c r="A103" s="46" t="s">
        <v>478</v>
      </c>
      <c r="B103" s="61">
        <v>12</v>
      </c>
      <c r="C103" s="59">
        <v>9072</v>
      </c>
    </row>
    <row r="104" spans="1:3" x14ac:dyDescent="0.25">
      <c r="A104" s="46" t="s">
        <v>496</v>
      </c>
      <c r="B104" s="61">
        <v>21050</v>
      </c>
      <c r="C104" s="59">
        <v>189450</v>
      </c>
    </row>
    <row r="105" spans="1:3" x14ac:dyDescent="0.25">
      <c r="A105" s="46" t="s">
        <v>23</v>
      </c>
      <c r="B105" s="61">
        <v>209474.64365456</v>
      </c>
      <c r="C105" s="72">
        <v>49418589.780159794</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6561"/>
  <sheetViews>
    <sheetView showGridLines="0" zoomScaleNormal="100" workbookViewId="0">
      <pane ySplit="2" topLeftCell="A937" activePane="bottomLeft" state="frozen"/>
      <selection pane="bottomLeft" activeCell="C957" sqref="C957"/>
    </sheetView>
  </sheetViews>
  <sheetFormatPr defaultRowHeight="15" x14ac:dyDescent="0.25"/>
  <cols>
    <col min="1" max="1" width="5.85546875" bestFit="1" customWidth="1"/>
    <col min="2" max="2" width="10.85546875" style="125" bestFit="1" customWidth="1"/>
    <col min="3" max="3" width="12.140625" customWidth="1"/>
    <col min="4" max="4" width="10.42578125" style="15" bestFit="1" customWidth="1"/>
    <col min="5" max="5" width="15" bestFit="1" customWidth="1"/>
    <col min="6" max="6" width="37" bestFit="1" customWidth="1"/>
    <col min="7" max="7" width="44.28515625" style="15" bestFit="1" customWidth="1"/>
    <col min="8" max="8" width="37.85546875" customWidth="1"/>
    <col min="9" max="9" width="47.7109375" customWidth="1"/>
    <col min="10" max="10" width="11" style="50" bestFit="1" customWidth="1"/>
    <col min="11" max="11" width="12.5703125" style="15" customWidth="1"/>
    <col min="12" max="12" width="12.140625" style="54" customWidth="1"/>
    <col min="13" max="13" width="14.28515625" bestFit="1" customWidth="1"/>
    <col min="14" max="14" width="14.5703125" bestFit="1" customWidth="1"/>
    <col min="15" max="15" width="13.7109375" bestFit="1" customWidth="1"/>
    <col min="16" max="16" width="14.5703125" bestFit="1" customWidth="1"/>
    <col min="17" max="17" width="11.5703125" bestFit="1" customWidth="1"/>
    <col min="18" max="18" width="22.140625" customWidth="1"/>
    <col min="19" max="19" width="12.5703125" bestFit="1" customWidth="1"/>
  </cols>
  <sheetData>
    <row r="1" spans="1:17" x14ac:dyDescent="0.25">
      <c r="D1"/>
      <c r="G1"/>
      <c r="J1"/>
      <c r="K1"/>
      <c r="L1"/>
    </row>
    <row r="2" spans="1:17" s="58" customFormat="1" x14ac:dyDescent="0.25">
      <c r="A2" s="24" t="s">
        <v>21</v>
      </c>
      <c r="B2" s="25" t="s">
        <v>22</v>
      </c>
      <c r="C2" s="124" t="s">
        <v>29</v>
      </c>
      <c r="D2" s="56" t="s">
        <v>6</v>
      </c>
      <c r="E2" s="56" t="s">
        <v>30</v>
      </c>
      <c r="F2" s="56" t="s">
        <v>33</v>
      </c>
      <c r="G2" s="56" t="s">
        <v>34</v>
      </c>
      <c r="H2" s="57" t="s">
        <v>35</v>
      </c>
      <c r="I2" s="118" t="s">
        <v>36</v>
      </c>
      <c r="J2" s="120" t="s">
        <v>37</v>
      </c>
      <c r="K2" s="119" t="s">
        <v>31</v>
      </c>
      <c r="L2" s="56" t="s">
        <v>32</v>
      </c>
      <c r="M2" s="56" t="s">
        <v>12</v>
      </c>
    </row>
    <row r="3" spans="1:17" x14ac:dyDescent="0.25">
      <c r="A3" s="21">
        <f>IF(C3="","",COUNTA($C$3:C3))</f>
        <v>1</v>
      </c>
      <c r="B3" s="35" t="str">
        <f t="shared" ref="B3:B68" si="0">IF(C3="","",TEXT(C3,"mmmm"))</f>
        <v>April</v>
      </c>
      <c r="C3" s="33">
        <v>46113</v>
      </c>
      <c r="D3" s="15">
        <v>61930</v>
      </c>
      <c r="E3" s="60">
        <v>45322</v>
      </c>
      <c r="F3" s="18" t="s">
        <v>120</v>
      </c>
      <c r="G3" s="15" t="s">
        <v>123</v>
      </c>
      <c r="H3" s="49" t="s">
        <v>38</v>
      </c>
      <c r="I3" s="49" t="s">
        <v>68</v>
      </c>
      <c r="J3" s="50" t="s">
        <v>47</v>
      </c>
      <c r="K3" s="15">
        <v>374.9</v>
      </c>
      <c r="L3" s="54">
        <v>585</v>
      </c>
      <c r="M3" s="53">
        <f t="shared" ref="M3:M85" si="1">K3*L3</f>
        <v>219316.5</v>
      </c>
    </row>
    <row r="4" spans="1:17" x14ac:dyDescent="0.25">
      <c r="A4" s="21">
        <f>IF(C4="","",COUNTA($C$3:C4))</f>
        <v>2</v>
      </c>
      <c r="B4" s="35" t="str">
        <f t="shared" si="0"/>
        <v>April</v>
      </c>
      <c r="C4" s="33">
        <v>46113</v>
      </c>
      <c r="D4" s="15">
        <v>61930</v>
      </c>
      <c r="E4" s="60">
        <v>45322</v>
      </c>
      <c r="F4" s="18" t="s">
        <v>120</v>
      </c>
      <c r="G4" s="15" t="s">
        <v>123</v>
      </c>
      <c r="H4" s="49" t="s">
        <v>38</v>
      </c>
      <c r="I4" s="49" t="s">
        <v>69</v>
      </c>
      <c r="J4" s="50" t="s">
        <v>47</v>
      </c>
      <c r="K4" s="15">
        <v>139.1</v>
      </c>
      <c r="L4" s="54">
        <v>790</v>
      </c>
      <c r="M4" s="53">
        <f t="shared" si="1"/>
        <v>109889</v>
      </c>
    </row>
    <row r="5" spans="1:17" x14ac:dyDescent="0.25">
      <c r="A5" s="21">
        <f>IF(C5="","",COUNTA($C$3:C5))</f>
        <v>3</v>
      </c>
      <c r="B5" s="35" t="str">
        <f t="shared" si="0"/>
        <v>April</v>
      </c>
      <c r="C5" s="33">
        <v>46113</v>
      </c>
      <c r="D5" s="15">
        <v>61930</v>
      </c>
      <c r="E5" s="60">
        <v>45322</v>
      </c>
      <c r="F5" s="18" t="s">
        <v>120</v>
      </c>
      <c r="G5" s="15" t="s">
        <v>123</v>
      </c>
      <c r="H5" s="49" t="s">
        <v>129</v>
      </c>
      <c r="I5" s="49" t="s">
        <v>74</v>
      </c>
      <c r="J5" s="50" t="s">
        <v>47</v>
      </c>
      <c r="K5" s="15">
        <v>408.3</v>
      </c>
      <c r="L5" s="54">
        <v>289</v>
      </c>
      <c r="M5" s="53">
        <f t="shared" si="1"/>
        <v>117998.7</v>
      </c>
      <c r="O5" s="59"/>
      <c r="P5" s="112"/>
      <c r="Q5" s="59"/>
    </row>
    <row r="6" spans="1:17" x14ac:dyDescent="0.25">
      <c r="A6" s="21">
        <f>IF(C6="","",COUNTA($C$3:C6))</f>
        <v>4</v>
      </c>
      <c r="B6" s="35" t="str">
        <f t="shared" si="0"/>
        <v>April</v>
      </c>
      <c r="C6" s="33">
        <v>46113</v>
      </c>
      <c r="D6" s="15">
        <v>61930</v>
      </c>
      <c r="E6" s="60">
        <v>45322</v>
      </c>
      <c r="F6" s="18" t="s">
        <v>120</v>
      </c>
      <c r="G6" s="15" t="s">
        <v>123</v>
      </c>
      <c r="H6" s="49" t="s">
        <v>129</v>
      </c>
      <c r="I6" s="49" t="s">
        <v>75</v>
      </c>
      <c r="J6" s="50" t="s">
        <v>47</v>
      </c>
      <c r="K6" s="15">
        <v>38.700000000000003</v>
      </c>
      <c r="L6" s="54">
        <v>805</v>
      </c>
      <c r="M6" s="53">
        <f t="shared" si="1"/>
        <v>31153.500000000004</v>
      </c>
    </row>
    <row r="7" spans="1:17" x14ac:dyDescent="0.25">
      <c r="A7" s="21">
        <f>IF(C7="","",COUNTA($C$3:C7))</f>
        <v>5</v>
      </c>
      <c r="B7" s="35" t="str">
        <f t="shared" si="0"/>
        <v>April</v>
      </c>
      <c r="C7" s="33">
        <v>46113</v>
      </c>
      <c r="D7" s="15">
        <v>61930</v>
      </c>
      <c r="E7" s="60">
        <v>45322</v>
      </c>
      <c r="F7" s="18" t="s">
        <v>120</v>
      </c>
      <c r="G7" s="15" t="s">
        <v>123</v>
      </c>
      <c r="H7" s="49" t="s">
        <v>129</v>
      </c>
      <c r="I7" s="49" t="s">
        <v>115</v>
      </c>
      <c r="J7" s="50" t="s">
        <v>47</v>
      </c>
      <c r="K7" s="15">
        <v>57.3</v>
      </c>
      <c r="L7" s="54">
        <v>1271</v>
      </c>
      <c r="M7" s="53">
        <f t="shared" si="1"/>
        <v>72828.3</v>
      </c>
    </row>
    <row r="8" spans="1:17" x14ac:dyDescent="0.25">
      <c r="A8" s="21">
        <f>IF(C8="","",COUNTA($C$3:C8))</f>
        <v>6</v>
      </c>
      <c r="B8" s="35" t="str">
        <f t="shared" si="0"/>
        <v>April</v>
      </c>
      <c r="C8" s="33">
        <v>46113</v>
      </c>
      <c r="D8" s="15">
        <v>61930</v>
      </c>
      <c r="E8" s="60">
        <v>45322</v>
      </c>
      <c r="F8" s="18" t="s">
        <v>120</v>
      </c>
      <c r="G8" s="15" t="s">
        <v>123</v>
      </c>
      <c r="H8" s="49" t="s">
        <v>130</v>
      </c>
      <c r="I8" s="49" t="s">
        <v>40</v>
      </c>
      <c r="J8" s="50" t="s">
        <v>47</v>
      </c>
      <c r="K8" s="15">
        <v>440</v>
      </c>
      <c r="L8" s="54">
        <v>15</v>
      </c>
      <c r="M8" s="53">
        <f t="shared" si="1"/>
        <v>6600</v>
      </c>
    </row>
    <row r="9" spans="1:17" x14ac:dyDescent="0.25">
      <c r="A9" s="21">
        <f>IF(C9="","",COUNTA($C$3:C9))</f>
        <v>7</v>
      </c>
      <c r="B9" s="35" t="str">
        <f t="shared" si="0"/>
        <v>April</v>
      </c>
      <c r="C9" s="33">
        <v>46113</v>
      </c>
      <c r="D9" s="15">
        <v>61930</v>
      </c>
      <c r="E9" s="60">
        <v>45322</v>
      </c>
      <c r="F9" s="18" t="s">
        <v>120</v>
      </c>
      <c r="G9" s="15" t="s">
        <v>123</v>
      </c>
      <c r="H9" s="49" t="s">
        <v>118</v>
      </c>
      <c r="I9" s="49" t="s">
        <v>118</v>
      </c>
      <c r="J9" s="50" t="s">
        <v>70</v>
      </c>
      <c r="K9" s="15">
        <v>2</v>
      </c>
      <c r="L9" s="54">
        <v>810</v>
      </c>
      <c r="M9" s="53">
        <f t="shared" si="1"/>
        <v>1620</v>
      </c>
    </row>
    <row r="10" spans="1:17" x14ac:dyDescent="0.25">
      <c r="A10" s="21">
        <f>IF(C10="","",COUNTA($C$3:C10))</f>
        <v>8</v>
      </c>
      <c r="B10" s="35" t="str">
        <f t="shared" si="0"/>
        <v>April</v>
      </c>
      <c r="C10" s="33">
        <v>46114</v>
      </c>
      <c r="D10" s="15">
        <v>61936</v>
      </c>
      <c r="E10" s="60">
        <v>45323</v>
      </c>
      <c r="F10" s="18" t="s">
        <v>131</v>
      </c>
      <c r="G10" s="15" t="s">
        <v>128</v>
      </c>
      <c r="H10" s="49" t="s">
        <v>38</v>
      </c>
      <c r="I10" s="49" t="s">
        <v>68</v>
      </c>
      <c r="J10" s="50" t="s">
        <v>47</v>
      </c>
      <c r="K10" s="15">
        <v>105.6</v>
      </c>
      <c r="L10" s="54">
        <v>585</v>
      </c>
      <c r="M10" s="53">
        <f t="shared" si="1"/>
        <v>61776</v>
      </c>
    </row>
    <row r="11" spans="1:17" x14ac:dyDescent="0.25">
      <c r="A11" s="21">
        <f>IF(C11="","",COUNTA($C$3:C11))</f>
        <v>9</v>
      </c>
      <c r="B11" s="35" t="str">
        <f t="shared" si="0"/>
        <v>April</v>
      </c>
      <c r="C11" s="33">
        <v>46114</v>
      </c>
      <c r="D11" s="15">
        <v>61936</v>
      </c>
      <c r="E11" s="60">
        <v>45323</v>
      </c>
      <c r="F11" s="18" t="s">
        <v>131</v>
      </c>
      <c r="G11" s="15" t="s">
        <v>128</v>
      </c>
      <c r="H11" s="49" t="s">
        <v>38</v>
      </c>
      <c r="I11" s="49" t="s">
        <v>69</v>
      </c>
      <c r="J11" s="50" t="s">
        <v>47</v>
      </c>
      <c r="K11" s="55">
        <v>3.3</v>
      </c>
      <c r="L11" s="54">
        <v>790</v>
      </c>
      <c r="M11" s="53">
        <f t="shared" si="1"/>
        <v>2607</v>
      </c>
    </row>
    <row r="12" spans="1:17" x14ac:dyDescent="0.25">
      <c r="A12" s="21">
        <f>IF(C12="","",COUNTA($C$3:C12))</f>
        <v>10</v>
      </c>
      <c r="B12" s="35" t="str">
        <f t="shared" si="0"/>
        <v>April</v>
      </c>
      <c r="C12" s="33">
        <v>46114</v>
      </c>
      <c r="D12" s="15">
        <v>61936</v>
      </c>
      <c r="E12" s="60">
        <v>45323</v>
      </c>
      <c r="F12" s="18" t="s">
        <v>131</v>
      </c>
      <c r="G12" s="15" t="s">
        <v>128</v>
      </c>
      <c r="H12" s="49" t="s">
        <v>38</v>
      </c>
      <c r="I12" s="49" t="s">
        <v>39</v>
      </c>
      <c r="J12" s="50" t="s">
        <v>47</v>
      </c>
      <c r="K12" s="15">
        <v>15.1</v>
      </c>
      <c r="L12" s="54">
        <v>915</v>
      </c>
      <c r="M12" s="53">
        <f t="shared" si="1"/>
        <v>13816.5</v>
      </c>
    </row>
    <row r="13" spans="1:17" x14ac:dyDescent="0.25">
      <c r="A13" s="21">
        <f>IF(C13="","",COUNTA($C$3:C13))</f>
        <v>11</v>
      </c>
      <c r="B13" s="35" t="str">
        <f t="shared" si="0"/>
        <v>April</v>
      </c>
      <c r="C13" s="33">
        <v>46114</v>
      </c>
      <c r="D13" s="15">
        <v>61936</v>
      </c>
      <c r="E13" s="60">
        <v>45323</v>
      </c>
      <c r="F13" s="18" t="s">
        <v>131</v>
      </c>
      <c r="G13" s="15" t="s">
        <v>128</v>
      </c>
      <c r="H13" s="49" t="s">
        <v>38</v>
      </c>
      <c r="I13" s="49" t="s">
        <v>51</v>
      </c>
      <c r="J13" s="50" t="s">
        <v>47</v>
      </c>
      <c r="K13" s="15">
        <v>4.3</v>
      </c>
      <c r="L13" s="54">
        <v>1030</v>
      </c>
      <c r="M13" s="53">
        <f t="shared" si="1"/>
        <v>4429</v>
      </c>
    </row>
    <row r="14" spans="1:17" x14ac:dyDescent="0.25">
      <c r="A14" s="21">
        <f>IF(C14="","",COUNTA($C$3:C14))</f>
        <v>12</v>
      </c>
      <c r="B14" s="35" t="str">
        <f t="shared" si="0"/>
        <v>April</v>
      </c>
      <c r="C14" s="33">
        <v>46114</v>
      </c>
      <c r="D14" s="15">
        <v>61936</v>
      </c>
      <c r="E14" s="60">
        <v>45323</v>
      </c>
      <c r="F14" s="18" t="s">
        <v>131</v>
      </c>
      <c r="G14" s="15" t="s">
        <v>128</v>
      </c>
      <c r="H14" s="49" t="s">
        <v>114</v>
      </c>
      <c r="I14" s="49" t="s">
        <v>48</v>
      </c>
      <c r="J14" s="50" t="s">
        <v>47</v>
      </c>
      <c r="K14" s="15">
        <v>14.7</v>
      </c>
      <c r="L14" s="54">
        <v>660</v>
      </c>
      <c r="M14" s="53">
        <f t="shared" si="1"/>
        <v>9702</v>
      </c>
      <c r="O14" s="59"/>
    </row>
    <row r="15" spans="1:17" x14ac:dyDescent="0.25">
      <c r="A15" s="21">
        <f>IF(C15="","",COUNTA($C$3:C15))</f>
        <v>13</v>
      </c>
      <c r="B15" s="35" t="str">
        <f t="shared" si="0"/>
        <v>April</v>
      </c>
      <c r="C15" s="33">
        <v>46114</v>
      </c>
      <c r="D15" s="15">
        <v>61936</v>
      </c>
      <c r="E15" s="60">
        <v>45323</v>
      </c>
      <c r="F15" s="18" t="s">
        <v>131</v>
      </c>
      <c r="G15" s="15" t="s">
        <v>128</v>
      </c>
      <c r="H15" s="49" t="s">
        <v>114</v>
      </c>
      <c r="I15" s="49" t="s">
        <v>49</v>
      </c>
      <c r="J15" s="50" t="s">
        <v>47</v>
      </c>
      <c r="K15" s="15">
        <v>23.5</v>
      </c>
      <c r="L15" s="54">
        <v>795</v>
      </c>
      <c r="M15" s="53">
        <f t="shared" si="1"/>
        <v>18682.5</v>
      </c>
      <c r="O15" s="59"/>
    </row>
    <row r="16" spans="1:17" x14ac:dyDescent="0.25">
      <c r="A16" s="21">
        <f>IF(C16="","",COUNTA($C$3:C16))</f>
        <v>14</v>
      </c>
      <c r="B16" s="35" t="str">
        <f t="shared" si="0"/>
        <v>April</v>
      </c>
      <c r="C16" s="33">
        <v>46114</v>
      </c>
      <c r="D16" s="15">
        <v>61936</v>
      </c>
      <c r="E16" s="60">
        <v>45323</v>
      </c>
      <c r="F16" s="18" t="s">
        <v>131</v>
      </c>
      <c r="G16" s="15" t="s">
        <v>128</v>
      </c>
      <c r="H16" s="49" t="s">
        <v>129</v>
      </c>
      <c r="I16" s="49" t="s">
        <v>83</v>
      </c>
      <c r="J16" s="50" t="s">
        <v>47</v>
      </c>
      <c r="K16" s="15">
        <v>38.200000000000003</v>
      </c>
      <c r="L16" s="54">
        <v>380</v>
      </c>
      <c r="M16" s="53">
        <f t="shared" si="1"/>
        <v>14516.000000000002</v>
      </c>
      <c r="O16" s="59"/>
    </row>
    <row r="17" spans="1:15" x14ac:dyDescent="0.25">
      <c r="A17" s="21">
        <f>IF(C17="","",COUNTA($C$3:C17))</f>
        <v>15</v>
      </c>
      <c r="B17" s="35" t="str">
        <f t="shared" si="0"/>
        <v>April</v>
      </c>
      <c r="C17" s="33">
        <v>46114</v>
      </c>
      <c r="D17" s="15">
        <v>61936</v>
      </c>
      <c r="E17" s="60">
        <v>45323</v>
      </c>
      <c r="F17" s="18" t="s">
        <v>131</v>
      </c>
      <c r="G17" s="15" t="s">
        <v>128</v>
      </c>
      <c r="H17" s="49" t="s">
        <v>129</v>
      </c>
      <c r="I17" s="49" t="s">
        <v>104</v>
      </c>
      <c r="J17" s="50" t="s">
        <v>47</v>
      </c>
      <c r="K17" s="15">
        <v>57.8</v>
      </c>
      <c r="L17" s="54">
        <v>680</v>
      </c>
      <c r="M17" s="53">
        <f t="shared" si="1"/>
        <v>39304</v>
      </c>
      <c r="O17" s="59"/>
    </row>
    <row r="18" spans="1:15" x14ac:dyDescent="0.25">
      <c r="A18" s="21">
        <f>IF(C18="","",COUNTA($C$3:C18))</f>
        <v>16</v>
      </c>
      <c r="B18" s="35" t="str">
        <f t="shared" si="0"/>
        <v>April</v>
      </c>
      <c r="C18" s="33">
        <v>46114</v>
      </c>
      <c r="D18" s="15">
        <v>61936</v>
      </c>
      <c r="E18" s="60">
        <v>45323</v>
      </c>
      <c r="F18" s="18" t="s">
        <v>131</v>
      </c>
      <c r="G18" s="15" t="s">
        <v>128</v>
      </c>
      <c r="H18" s="49" t="s">
        <v>129</v>
      </c>
      <c r="I18" s="49" t="s">
        <v>132</v>
      </c>
      <c r="J18" s="50" t="s">
        <v>47</v>
      </c>
      <c r="K18" s="15">
        <v>52.1</v>
      </c>
      <c r="L18" s="54">
        <v>675</v>
      </c>
      <c r="M18" s="53">
        <f t="shared" si="1"/>
        <v>35167.5</v>
      </c>
      <c r="O18" s="59"/>
    </row>
    <row r="19" spans="1:15" x14ac:dyDescent="0.25">
      <c r="A19" s="21">
        <f>IF(C19="","",COUNTA($C$3:C19))</f>
        <v>17</v>
      </c>
      <c r="B19" s="35" t="str">
        <f t="shared" si="0"/>
        <v>April</v>
      </c>
      <c r="C19" s="33">
        <v>46114</v>
      </c>
      <c r="D19" s="15">
        <v>61936</v>
      </c>
      <c r="E19" s="60">
        <v>45324</v>
      </c>
      <c r="F19" s="18" t="s">
        <v>131</v>
      </c>
      <c r="G19" s="15" t="s">
        <v>128</v>
      </c>
      <c r="H19" s="49" t="s">
        <v>38</v>
      </c>
      <c r="I19" s="49" t="s">
        <v>68</v>
      </c>
      <c r="J19" s="50" t="s">
        <v>47</v>
      </c>
      <c r="K19" s="15">
        <v>119.1</v>
      </c>
      <c r="L19" s="54">
        <v>585</v>
      </c>
      <c r="M19" s="53">
        <f t="shared" si="1"/>
        <v>69673.5</v>
      </c>
      <c r="O19" s="59"/>
    </row>
    <row r="20" spans="1:15" x14ac:dyDescent="0.25">
      <c r="A20" s="21">
        <f>IF(C20="","",COUNTA($C$3:C20))</f>
        <v>18</v>
      </c>
      <c r="B20" s="35" t="str">
        <f t="shared" si="0"/>
        <v>April</v>
      </c>
      <c r="C20" s="33">
        <v>46114</v>
      </c>
      <c r="D20" s="15">
        <v>61936</v>
      </c>
      <c r="E20" s="60">
        <v>45324</v>
      </c>
      <c r="F20" s="18" t="s">
        <v>131</v>
      </c>
      <c r="G20" s="15" t="s">
        <v>128</v>
      </c>
      <c r="H20" s="49" t="s">
        <v>38</v>
      </c>
      <c r="I20" s="49" t="s">
        <v>69</v>
      </c>
      <c r="J20" s="50" t="s">
        <v>47</v>
      </c>
      <c r="K20" s="55">
        <v>31.9</v>
      </c>
      <c r="L20" s="54">
        <v>790</v>
      </c>
      <c r="M20" s="53">
        <f t="shared" si="1"/>
        <v>25201</v>
      </c>
      <c r="O20" s="59"/>
    </row>
    <row r="21" spans="1:15" x14ac:dyDescent="0.25">
      <c r="A21" s="21">
        <f>IF(C21="","",COUNTA($C$3:C21))</f>
        <v>19</v>
      </c>
      <c r="B21" s="35" t="str">
        <f t="shared" si="0"/>
        <v>April</v>
      </c>
      <c r="C21" s="33">
        <v>46114</v>
      </c>
      <c r="D21" s="15">
        <v>61936</v>
      </c>
      <c r="E21" s="60">
        <v>45324</v>
      </c>
      <c r="F21" s="18" t="s">
        <v>131</v>
      </c>
      <c r="G21" s="15" t="s">
        <v>128</v>
      </c>
      <c r="H21" s="49" t="s">
        <v>38</v>
      </c>
      <c r="I21" s="49" t="s">
        <v>39</v>
      </c>
      <c r="J21" s="50" t="s">
        <v>47</v>
      </c>
      <c r="K21" s="15">
        <v>11.8</v>
      </c>
      <c r="L21" s="54">
        <v>915</v>
      </c>
      <c r="M21" s="53">
        <f t="shared" si="1"/>
        <v>10797</v>
      </c>
    </row>
    <row r="22" spans="1:15" x14ac:dyDescent="0.25">
      <c r="A22" s="21">
        <f>IF(C22="","",COUNTA($C$3:C22))</f>
        <v>20</v>
      </c>
      <c r="B22" s="35" t="str">
        <f t="shared" si="0"/>
        <v>April</v>
      </c>
      <c r="C22" s="33">
        <v>46114</v>
      </c>
      <c r="D22" s="15">
        <v>61936</v>
      </c>
      <c r="E22" s="60">
        <v>45324</v>
      </c>
      <c r="F22" s="18" t="s">
        <v>131</v>
      </c>
      <c r="G22" s="15" t="s">
        <v>128</v>
      </c>
      <c r="H22" s="49" t="s">
        <v>38</v>
      </c>
      <c r="I22" s="49" t="s">
        <v>51</v>
      </c>
      <c r="J22" s="50" t="s">
        <v>47</v>
      </c>
      <c r="K22" s="15">
        <v>8.5</v>
      </c>
      <c r="L22" s="54">
        <v>1030</v>
      </c>
      <c r="M22" s="53">
        <f t="shared" si="1"/>
        <v>8755</v>
      </c>
    </row>
    <row r="23" spans="1:15" x14ac:dyDescent="0.25">
      <c r="A23" s="21">
        <f>IF(C23="","",COUNTA($C$3:C23))</f>
        <v>21</v>
      </c>
      <c r="B23" s="35" t="str">
        <f t="shared" si="0"/>
        <v>April</v>
      </c>
      <c r="C23" s="33">
        <v>46114</v>
      </c>
      <c r="D23" s="15">
        <v>61936</v>
      </c>
      <c r="E23" s="60">
        <v>45324</v>
      </c>
      <c r="F23" s="18" t="s">
        <v>131</v>
      </c>
      <c r="G23" s="15" t="s">
        <v>128</v>
      </c>
      <c r="H23" s="49" t="s">
        <v>129</v>
      </c>
      <c r="I23" s="49" t="s">
        <v>132</v>
      </c>
      <c r="J23" s="50" t="s">
        <v>47</v>
      </c>
      <c r="K23" s="15">
        <v>171.3</v>
      </c>
      <c r="L23" s="54">
        <v>675</v>
      </c>
      <c r="M23" s="53">
        <f t="shared" si="1"/>
        <v>115627.50000000001</v>
      </c>
    </row>
    <row r="24" spans="1:15" x14ac:dyDescent="0.25">
      <c r="A24" s="21">
        <f>IF(C24="","",COUNTA($C$3:C24))</f>
        <v>22</v>
      </c>
      <c r="B24" s="35" t="str">
        <f t="shared" si="0"/>
        <v>April</v>
      </c>
      <c r="C24" s="33">
        <v>46115</v>
      </c>
      <c r="D24" s="15">
        <v>61936</v>
      </c>
      <c r="E24" s="60">
        <v>45325</v>
      </c>
      <c r="F24" s="18" t="s">
        <v>131</v>
      </c>
      <c r="G24" s="15" t="s">
        <v>128</v>
      </c>
      <c r="H24" s="49" t="s">
        <v>38</v>
      </c>
      <c r="I24" s="49" t="s">
        <v>68</v>
      </c>
      <c r="J24" s="50" t="s">
        <v>47</v>
      </c>
      <c r="K24" s="15">
        <v>70</v>
      </c>
      <c r="L24" s="54">
        <v>585</v>
      </c>
      <c r="M24" s="53">
        <f t="shared" si="1"/>
        <v>40950</v>
      </c>
    </row>
    <row r="25" spans="1:15" x14ac:dyDescent="0.25">
      <c r="A25" s="21">
        <f>IF(C25="","",COUNTA($C$3:C25))</f>
        <v>23</v>
      </c>
      <c r="B25" s="35" t="str">
        <f t="shared" si="0"/>
        <v>April</v>
      </c>
      <c r="C25" s="33">
        <v>46115</v>
      </c>
      <c r="D25" s="15">
        <v>61936</v>
      </c>
      <c r="E25" s="60">
        <v>45325</v>
      </c>
      <c r="F25" s="18" t="s">
        <v>131</v>
      </c>
      <c r="G25" s="15" t="s">
        <v>128</v>
      </c>
      <c r="H25" s="49" t="s">
        <v>38</v>
      </c>
      <c r="I25" s="49" t="s">
        <v>69</v>
      </c>
      <c r="J25" s="50" t="s">
        <v>47</v>
      </c>
      <c r="K25" s="55">
        <v>9.8000000000000007</v>
      </c>
      <c r="L25" s="54">
        <v>790</v>
      </c>
      <c r="M25" s="53">
        <f t="shared" si="1"/>
        <v>7742.0000000000009</v>
      </c>
    </row>
    <row r="26" spans="1:15" x14ac:dyDescent="0.25">
      <c r="A26" s="21">
        <f>IF(C26="","",COUNTA($C$3:C26))</f>
        <v>24</v>
      </c>
      <c r="B26" s="35" t="str">
        <f t="shared" si="0"/>
        <v>April</v>
      </c>
      <c r="C26" s="33">
        <v>46115</v>
      </c>
      <c r="D26" s="15">
        <v>61936</v>
      </c>
      <c r="E26" s="60">
        <v>45325</v>
      </c>
      <c r="F26" s="18" t="s">
        <v>131</v>
      </c>
      <c r="G26" s="15" t="s">
        <v>128</v>
      </c>
      <c r="H26" s="49" t="s">
        <v>38</v>
      </c>
      <c r="I26" s="49" t="s">
        <v>39</v>
      </c>
      <c r="J26" s="50" t="s">
        <v>47</v>
      </c>
      <c r="K26" s="15">
        <v>13.2</v>
      </c>
      <c r="L26" s="54">
        <v>915</v>
      </c>
      <c r="M26" s="53">
        <f t="shared" si="1"/>
        <v>12078</v>
      </c>
    </row>
    <row r="27" spans="1:15" x14ac:dyDescent="0.25">
      <c r="A27" s="21">
        <f>IF(C27="","",COUNTA($C$3:C27))</f>
        <v>25</v>
      </c>
      <c r="B27" s="35" t="str">
        <f t="shared" si="0"/>
        <v>April</v>
      </c>
      <c r="C27" s="33">
        <v>46115</v>
      </c>
      <c r="D27" s="15">
        <v>61936</v>
      </c>
      <c r="E27" s="60">
        <v>45325</v>
      </c>
      <c r="F27" s="18" t="s">
        <v>131</v>
      </c>
      <c r="G27" s="15" t="s">
        <v>128</v>
      </c>
      <c r="H27" s="49" t="s">
        <v>38</v>
      </c>
      <c r="I27" s="49" t="s">
        <v>51</v>
      </c>
      <c r="J27" s="50" t="s">
        <v>47</v>
      </c>
      <c r="K27" s="15">
        <v>28.4</v>
      </c>
      <c r="L27" s="54">
        <v>1030</v>
      </c>
      <c r="M27" s="53">
        <f t="shared" si="1"/>
        <v>29252</v>
      </c>
    </row>
    <row r="28" spans="1:15" x14ac:dyDescent="0.25">
      <c r="A28" s="21">
        <f>IF(C28="","",COUNTA($C$3:C28))</f>
        <v>26</v>
      </c>
      <c r="B28" s="35" t="str">
        <f t="shared" si="0"/>
        <v>April</v>
      </c>
      <c r="C28" s="33">
        <v>46115</v>
      </c>
      <c r="D28" s="15">
        <v>61936</v>
      </c>
      <c r="E28" s="60">
        <v>45325</v>
      </c>
      <c r="F28" s="18" t="s">
        <v>131</v>
      </c>
      <c r="G28" s="15" t="s">
        <v>128</v>
      </c>
      <c r="H28" s="49" t="s">
        <v>135</v>
      </c>
      <c r="I28" s="49" t="s">
        <v>39</v>
      </c>
      <c r="J28" s="50" t="s">
        <v>47</v>
      </c>
      <c r="K28" s="15">
        <v>11.9</v>
      </c>
      <c r="L28" s="53">
        <v>3400</v>
      </c>
      <c r="M28" s="53">
        <f t="shared" si="1"/>
        <v>40460</v>
      </c>
    </row>
    <row r="29" spans="1:15" x14ac:dyDescent="0.25">
      <c r="A29" s="21">
        <f>IF(C29="","",COUNTA($C$3:C29))</f>
        <v>27</v>
      </c>
      <c r="B29" s="35" t="str">
        <f t="shared" si="0"/>
        <v>April</v>
      </c>
      <c r="C29" s="33">
        <v>46115</v>
      </c>
      <c r="D29" s="15">
        <v>61936</v>
      </c>
      <c r="E29" s="60">
        <v>45325</v>
      </c>
      <c r="F29" s="18" t="s">
        <v>131</v>
      </c>
      <c r="G29" s="15" t="s">
        <v>128</v>
      </c>
      <c r="H29" s="49" t="s">
        <v>129</v>
      </c>
      <c r="I29" s="49" t="s">
        <v>97</v>
      </c>
      <c r="J29" s="50" t="s">
        <v>47</v>
      </c>
      <c r="K29" s="15">
        <v>25.5</v>
      </c>
      <c r="L29" s="54">
        <v>1515</v>
      </c>
      <c r="M29" s="53">
        <f t="shared" si="1"/>
        <v>38632.5</v>
      </c>
    </row>
    <row r="30" spans="1:15" x14ac:dyDescent="0.25">
      <c r="A30" s="21">
        <f>IF(C30="","",COUNTA($C$3:C30))</f>
        <v>28</v>
      </c>
      <c r="B30" s="35" t="str">
        <f t="shared" si="0"/>
        <v>April</v>
      </c>
      <c r="C30" s="33">
        <v>46115</v>
      </c>
      <c r="D30" s="15">
        <v>61936</v>
      </c>
      <c r="E30" s="60">
        <v>45325</v>
      </c>
      <c r="F30" s="18" t="s">
        <v>131</v>
      </c>
      <c r="G30" s="15" t="s">
        <v>128</v>
      </c>
      <c r="H30" s="49" t="s">
        <v>129</v>
      </c>
      <c r="I30" s="49" t="s">
        <v>104</v>
      </c>
      <c r="J30" s="50" t="s">
        <v>47</v>
      </c>
      <c r="K30" s="15">
        <v>0.5</v>
      </c>
      <c r="L30" s="54">
        <v>680</v>
      </c>
      <c r="M30" s="53">
        <f t="shared" si="1"/>
        <v>340</v>
      </c>
    </row>
    <row r="31" spans="1:15" x14ac:dyDescent="0.25">
      <c r="A31" s="21">
        <f>IF(C31="","",COUNTA($C$3:C31))</f>
        <v>29</v>
      </c>
      <c r="B31" s="35" t="str">
        <f t="shared" si="0"/>
        <v>April</v>
      </c>
      <c r="C31" s="33">
        <v>46115</v>
      </c>
      <c r="D31" s="15">
        <v>61936</v>
      </c>
      <c r="E31" s="60">
        <v>45325</v>
      </c>
      <c r="F31" s="18" t="s">
        <v>131</v>
      </c>
      <c r="G31" s="15" t="s">
        <v>128</v>
      </c>
      <c r="H31" s="49" t="s">
        <v>129</v>
      </c>
      <c r="I31" s="49" t="s">
        <v>132</v>
      </c>
      <c r="J31" s="50" t="s">
        <v>47</v>
      </c>
      <c r="K31" s="15">
        <v>95.4</v>
      </c>
      <c r="L31" s="54">
        <v>675</v>
      </c>
      <c r="M31" s="53">
        <f t="shared" si="1"/>
        <v>64395.000000000007</v>
      </c>
    </row>
    <row r="32" spans="1:15" x14ac:dyDescent="0.25">
      <c r="A32" s="21">
        <f>IF(C32="","",COUNTA($C$3:C32))</f>
        <v>30</v>
      </c>
      <c r="B32" s="35" t="str">
        <f t="shared" si="0"/>
        <v>April</v>
      </c>
      <c r="C32" s="33">
        <v>46115</v>
      </c>
      <c r="D32" s="15">
        <v>61936</v>
      </c>
      <c r="E32" s="60">
        <v>45325</v>
      </c>
      <c r="F32" s="18" t="s">
        <v>131</v>
      </c>
      <c r="G32" s="15" t="s">
        <v>128</v>
      </c>
      <c r="H32" s="49" t="s">
        <v>136</v>
      </c>
      <c r="I32" s="49" t="s">
        <v>136</v>
      </c>
      <c r="J32" s="50" t="s">
        <v>137</v>
      </c>
      <c r="K32" s="55">
        <v>2.5</v>
      </c>
      <c r="L32" s="54">
        <v>130</v>
      </c>
      <c r="M32" s="53">
        <f t="shared" si="1"/>
        <v>325</v>
      </c>
      <c r="O32" s="59"/>
    </row>
    <row r="33" spans="1:17" x14ac:dyDescent="0.25">
      <c r="A33" s="21">
        <f>IF(C33="","",COUNTA($C$3:C33))</f>
        <v>31</v>
      </c>
      <c r="B33" s="35" t="str">
        <f t="shared" si="0"/>
        <v>April</v>
      </c>
      <c r="C33" s="33">
        <v>46115</v>
      </c>
      <c r="D33" s="15">
        <v>61936</v>
      </c>
      <c r="E33" s="60">
        <v>45325</v>
      </c>
      <c r="F33" s="18" t="s">
        <v>131</v>
      </c>
      <c r="G33" s="15" t="s">
        <v>128</v>
      </c>
      <c r="H33" s="49" t="s">
        <v>138</v>
      </c>
      <c r="I33" s="49" t="s">
        <v>99</v>
      </c>
      <c r="J33" s="50" t="s">
        <v>70</v>
      </c>
      <c r="K33" s="15">
        <v>30</v>
      </c>
      <c r="L33" s="54">
        <v>147</v>
      </c>
      <c r="M33" s="53">
        <f t="shared" si="1"/>
        <v>4410</v>
      </c>
      <c r="O33" s="59"/>
    </row>
    <row r="34" spans="1:17" x14ac:dyDescent="0.25">
      <c r="A34" s="21">
        <f>IF(C34="","",COUNTA($C$3:C34))</f>
        <v>32</v>
      </c>
      <c r="B34" s="35" t="str">
        <f t="shared" si="0"/>
        <v>April</v>
      </c>
      <c r="C34" s="33">
        <v>46115</v>
      </c>
      <c r="D34" s="15">
        <v>61531</v>
      </c>
      <c r="E34" s="60">
        <v>45326</v>
      </c>
      <c r="F34" s="18" t="s">
        <v>120</v>
      </c>
      <c r="G34" s="52" t="s">
        <v>134</v>
      </c>
      <c r="H34" s="49" t="s">
        <v>38</v>
      </c>
      <c r="I34" s="49" t="s">
        <v>68</v>
      </c>
      <c r="J34" s="50" t="s">
        <v>47</v>
      </c>
      <c r="K34" s="15">
        <v>38.1</v>
      </c>
      <c r="L34" s="54">
        <v>530</v>
      </c>
      <c r="M34" s="53">
        <f t="shared" si="1"/>
        <v>20193</v>
      </c>
      <c r="O34" s="59"/>
    </row>
    <row r="35" spans="1:17" x14ac:dyDescent="0.25">
      <c r="A35" s="21">
        <f>IF(C35="","",COUNTA($C$3:C35))</f>
        <v>33</v>
      </c>
      <c r="B35" s="35" t="str">
        <f t="shared" ref="B35:B38" si="2">IF(C35="","",TEXT(C35,"mmmm"))</f>
        <v>April</v>
      </c>
      <c r="C35" s="33">
        <v>46115</v>
      </c>
      <c r="D35" s="15">
        <v>61531</v>
      </c>
      <c r="E35" s="60">
        <v>45326</v>
      </c>
      <c r="F35" s="18" t="s">
        <v>120</v>
      </c>
      <c r="G35" s="52" t="s">
        <v>134</v>
      </c>
      <c r="H35" s="49" t="s">
        <v>38</v>
      </c>
      <c r="I35" s="49" t="s">
        <v>69</v>
      </c>
      <c r="J35" s="50" t="s">
        <v>47</v>
      </c>
      <c r="K35" s="15">
        <v>7.1</v>
      </c>
      <c r="L35" s="54">
        <v>677</v>
      </c>
      <c r="M35" s="53">
        <f t="shared" si="1"/>
        <v>4806.7</v>
      </c>
      <c r="O35" s="59"/>
    </row>
    <row r="36" spans="1:17" x14ac:dyDescent="0.25">
      <c r="A36" s="21">
        <f>IF(C36="","",COUNTA($C$3:C36))</f>
        <v>34</v>
      </c>
      <c r="B36" s="35" t="str">
        <f t="shared" si="2"/>
        <v>April</v>
      </c>
      <c r="C36" s="33">
        <v>46115</v>
      </c>
      <c r="D36" s="15">
        <v>61531</v>
      </c>
      <c r="E36" s="60">
        <v>45326</v>
      </c>
      <c r="F36" s="18" t="s">
        <v>120</v>
      </c>
      <c r="G36" s="52" t="s">
        <v>134</v>
      </c>
      <c r="H36" s="49" t="s">
        <v>129</v>
      </c>
      <c r="I36" s="49" t="s">
        <v>140</v>
      </c>
      <c r="J36" s="50" t="s">
        <v>47</v>
      </c>
      <c r="K36" s="15">
        <v>45.2</v>
      </c>
      <c r="L36" s="53">
        <v>410</v>
      </c>
      <c r="M36" s="53">
        <f t="shared" si="1"/>
        <v>18532</v>
      </c>
      <c r="O36" s="59"/>
    </row>
    <row r="37" spans="1:17" x14ac:dyDescent="0.25">
      <c r="A37" s="21">
        <f>IF(C37="","",COUNTA($C$3:C37))</f>
        <v>35</v>
      </c>
      <c r="B37" s="35" t="str">
        <f t="shared" si="2"/>
        <v>April</v>
      </c>
      <c r="C37" s="33">
        <v>46115</v>
      </c>
      <c r="D37" s="15">
        <v>61531</v>
      </c>
      <c r="E37" s="60">
        <v>45326</v>
      </c>
      <c r="F37" s="18" t="s">
        <v>120</v>
      </c>
      <c r="G37" s="52" t="s">
        <v>134</v>
      </c>
      <c r="H37" s="49" t="s">
        <v>139</v>
      </c>
      <c r="I37" s="49" t="s">
        <v>39</v>
      </c>
      <c r="J37" s="50" t="s">
        <v>47</v>
      </c>
      <c r="K37" s="55">
        <v>1.1000000000000001</v>
      </c>
      <c r="L37" s="54">
        <v>4950</v>
      </c>
      <c r="M37" s="53">
        <f t="shared" si="1"/>
        <v>5445</v>
      </c>
      <c r="O37" s="59"/>
    </row>
    <row r="38" spans="1:17" x14ac:dyDescent="0.25">
      <c r="A38" s="21">
        <f>IF(C38="","",COUNTA($C$3:C38))</f>
        <v>36</v>
      </c>
      <c r="B38" s="35" t="str">
        <f t="shared" si="2"/>
        <v>April</v>
      </c>
      <c r="C38" s="33">
        <v>46115</v>
      </c>
      <c r="D38" s="15">
        <v>61531</v>
      </c>
      <c r="E38" s="60">
        <v>45326</v>
      </c>
      <c r="F38" s="18" t="s">
        <v>120</v>
      </c>
      <c r="G38" s="52" t="s">
        <v>134</v>
      </c>
      <c r="H38" s="49" t="s">
        <v>130</v>
      </c>
      <c r="I38" s="49" t="s">
        <v>40</v>
      </c>
      <c r="J38" s="50" t="s">
        <v>47</v>
      </c>
      <c r="K38" s="15">
        <v>60</v>
      </c>
      <c r="L38" s="54">
        <v>15</v>
      </c>
      <c r="M38" s="53">
        <f t="shared" si="1"/>
        <v>900</v>
      </c>
      <c r="O38" s="59"/>
    </row>
    <row r="39" spans="1:17" x14ac:dyDescent="0.25">
      <c r="A39" s="21">
        <f>IF(C39="","",COUNTA($C$3:C39))</f>
        <v>37</v>
      </c>
      <c r="B39" s="35" t="str">
        <f t="shared" si="0"/>
        <v>April</v>
      </c>
      <c r="C39" s="33">
        <v>46115</v>
      </c>
      <c r="D39" s="15">
        <v>61930</v>
      </c>
      <c r="E39" s="60">
        <v>45327</v>
      </c>
      <c r="F39" s="18" t="s">
        <v>120</v>
      </c>
      <c r="G39" s="15" t="s">
        <v>123</v>
      </c>
      <c r="H39" s="49" t="s">
        <v>38</v>
      </c>
      <c r="I39" s="49" t="s">
        <v>68</v>
      </c>
      <c r="J39" s="50" t="s">
        <v>47</v>
      </c>
      <c r="K39" s="15">
        <v>317.39999999999998</v>
      </c>
      <c r="L39" s="54">
        <v>585</v>
      </c>
      <c r="M39" s="53">
        <f t="shared" si="1"/>
        <v>185679</v>
      </c>
      <c r="O39" s="59"/>
    </row>
    <row r="40" spans="1:17" x14ac:dyDescent="0.25">
      <c r="A40" s="21">
        <f>IF(C40="","",COUNTA($C$3:C40))</f>
        <v>38</v>
      </c>
      <c r="B40" s="35" t="str">
        <f t="shared" si="0"/>
        <v>April</v>
      </c>
      <c r="C40" s="33">
        <v>46115</v>
      </c>
      <c r="D40" s="15">
        <v>61930</v>
      </c>
      <c r="E40" s="60">
        <v>45327</v>
      </c>
      <c r="F40" s="18" t="s">
        <v>120</v>
      </c>
      <c r="G40" s="15" t="s">
        <v>123</v>
      </c>
      <c r="H40" s="49" t="s">
        <v>38</v>
      </c>
      <c r="I40" s="49" t="s">
        <v>69</v>
      </c>
      <c r="J40" s="50" t="s">
        <v>47</v>
      </c>
      <c r="K40" s="15">
        <v>83.8</v>
      </c>
      <c r="L40" s="54">
        <v>790</v>
      </c>
      <c r="M40" s="53">
        <f t="shared" si="1"/>
        <v>66202</v>
      </c>
    </row>
    <row r="41" spans="1:17" x14ac:dyDescent="0.25">
      <c r="A41" s="21">
        <f>IF(C41="","",COUNTA($C$3:C41))</f>
        <v>39</v>
      </c>
      <c r="B41" s="35" t="str">
        <f t="shared" si="0"/>
        <v>April</v>
      </c>
      <c r="C41" s="33">
        <v>46115</v>
      </c>
      <c r="D41" s="15">
        <v>61930</v>
      </c>
      <c r="E41" s="60">
        <v>45327</v>
      </c>
      <c r="F41" s="18" t="s">
        <v>120</v>
      </c>
      <c r="G41" s="15" t="s">
        <v>123</v>
      </c>
      <c r="H41" s="49" t="s">
        <v>38</v>
      </c>
      <c r="I41" s="49" t="s">
        <v>39</v>
      </c>
      <c r="J41" s="50" t="s">
        <v>47</v>
      </c>
      <c r="K41" s="15">
        <v>48.2</v>
      </c>
      <c r="L41" s="54">
        <v>915</v>
      </c>
      <c r="M41" s="53">
        <f t="shared" si="1"/>
        <v>44103</v>
      </c>
    </row>
    <row r="42" spans="1:17" x14ac:dyDescent="0.25">
      <c r="A42" s="21">
        <f>IF(C42="","",COUNTA($C$3:C42))</f>
        <v>40</v>
      </c>
      <c r="B42" s="35" t="str">
        <f t="shared" si="0"/>
        <v>April</v>
      </c>
      <c r="C42" s="33">
        <v>46115</v>
      </c>
      <c r="D42" s="15">
        <v>61930</v>
      </c>
      <c r="E42" s="60">
        <v>45327</v>
      </c>
      <c r="F42" s="18" t="s">
        <v>120</v>
      </c>
      <c r="G42" s="15" t="s">
        <v>123</v>
      </c>
      <c r="H42" s="49" t="s">
        <v>129</v>
      </c>
      <c r="I42" s="49" t="s">
        <v>74</v>
      </c>
      <c r="J42" s="50" t="s">
        <v>47</v>
      </c>
      <c r="K42" s="15">
        <v>222</v>
      </c>
      <c r="L42" s="54">
        <v>289</v>
      </c>
      <c r="M42" s="53">
        <f t="shared" si="1"/>
        <v>64158</v>
      </c>
    </row>
    <row r="43" spans="1:17" x14ac:dyDescent="0.25">
      <c r="A43" s="21">
        <f>IF(C43="","",COUNTA($C$3:C43))</f>
        <v>41</v>
      </c>
      <c r="B43" s="35" t="str">
        <f t="shared" si="0"/>
        <v>April</v>
      </c>
      <c r="C43" s="33">
        <v>46115</v>
      </c>
      <c r="D43" s="15">
        <v>61930</v>
      </c>
      <c r="E43" s="60">
        <v>45327</v>
      </c>
      <c r="F43" s="18" t="s">
        <v>120</v>
      </c>
      <c r="G43" s="15" t="s">
        <v>123</v>
      </c>
      <c r="H43" s="49" t="s">
        <v>129</v>
      </c>
      <c r="I43" s="49" t="s">
        <v>75</v>
      </c>
      <c r="J43" s="50" t="s">
        <v>47</v>
      </c>
      <c r="K43" s="55">
        <f>41.9+47.70186</f>
        <v>89.601860000000002</v>
      </c>
      <c r="L43" s="54">
        <v>805</v>
      </c>
      <c r="M43" s="53">
        <f t="shared" si="1"/>
        <v>72129.497300000003</v>
      </c>
    </row>
    <row r="44" spans="1:17" x14ac:dyDescent="0.25">
      <c r="A44" s="21">
        <f>IF(C44="","",COUNTA($C$3:C44))</f>
        <v>42</v>
      </c>
      <c r="B44" s="35" t="str">
        <f t="shared" si="0"/>
        <v>April</v>
      </c>
      <c r="C44" s="33">
        <v>46115</v>
      </c>
      <c r="D44" s="15">
        <v>61930</v>
      </c>
      <c r="E44" s="60">
        <v>45327</v>
      </c>
      <c r="F44" s="18" t="s">
        <v>120</v>
      </c>
      <c r="G44" s="15" t="s">
        <v>123</v>
      </c>
      <c r="H44" s="49" t="s">
        <v>129</v>
      </c>
      <c r="I44" s="49" t="s">
        <v>115</v>
      </c>
      <c r="J44" s="50" t="s">
        <v>47</v>
      </c>
      <c r="K44" s="15">
        <v>139.80000000000001</v>
      </c>
      <c r="L44" s="54">
        <v>1271</v>
      </c>
      <c r="M44" s="53">
        <f t="shared" si="1"/>
        <v>177685.80000000002</v>
      </c>
    </row>
    <row r="45" spans="1:17" x14ac:dyDescent="0.25">
      <c r="A45" s="21">
        <f>IF(C45="","",COUNTA($C$3:C45))</f>
        <v>43</v>
      </c>
      <c r="B45" s="35" t="str">
        <f t="shared" si="0"/>
        <v>April</v>
      </c>
      <c r="C45" s="33">
        <v>46115</v>
      </c>
      <c r="D45" s="15">
        <v>61930</v>
      </c>
      <c r="E45" s="60">
        <v>45327</v>
      </c>
      <c r="F45" s="18" t="s">
        <v>120</v>
      </c>
      <c r="G45" s="15" t="s">
        <v>123</v>
      </c>
      <c r="H45" s="49" t="s">
        <v>141</v>
      </c>
      <c r="I45" s="49" t="s">
        <v>69</v>
      </c>
      <c r="J45" s="50" t="s">
        <v>47</v>
      </c>
      <c r="K45" s="15">
        <v>15</v>
      </c>
      <c r="L45" s="54">
        <v>3425</v>
      </c>
      <c r="M45" s="53">
        <f t="shared" si="1"/>
        <v>51375</v>
      </c>
      <c r="O45" s="59"/>
      <c r="P45" s="112"/>
      <c r="Q45" s="59"/>
    </row>
    <row r="46" spans="1:17" x14ac:dyDescent="0.25">
      <c r="A46" s="21">
        <f>IF(C46="","",COUNTA($C$3:C46))</f>
        <v>44</v>
      </c>
      <c r="B46" s="35" t="str">
        <f t="shared" si="0"/>
        <v>April</v>
      </c>
      <c r="C46" s="33">
        <v>46115</v>
      </c>
      <c r="D46" s="15">
        <v>61930</v>
      </c>
      <c r="E46" s="60">
        <v>45327</v>
      </c>
      <c r="F46" s="18" t="s">
        <v>120</v>
      </c>
      <c r="G46" s="15" t="s">
        <v>123</v>
      </c>
      <c r="H46" s="49" t="s">
        <v>130</v>
      </c>
      <c r="I46" s="49" t="s">
        <v>40</v>
      </c>
      <c r="J46" s="50" t="s">
        <v>47</v>
      </c>
      <c r="K46" s="15">
        <v>320</v>
      </c>
      <c r="L46" s="54">
        <v>15</v>
      </c>
      <c r="M46" s="53">
        <f t="shared" si="1"/>
        <v>4800</v>
      </c>
    </row>
    <row r="47" spans="1:17" x14ac:dyDescent="0.25">
      <c r="A47" s="21">
        <f>IF(C47="","",COUNTA($C$3:C47))</f>
        <v>45</v>
      </c>
      <c r="B47" s="35" t="str">
        <f t="shared" si="0"/>
        <v>April</v>
      </c>
      <c r="C47" s="33">
        <v>46118</v>
      </c>
      <c r="D47" s="64">
        <v>61930</v>
      </c>
      <c r="E47" s="51">
        <v>45328</v>
      </c>
      <c r="F47" s="18" t="s">
        <v>120</v>
      </c>
      <c r="G47" s="15" t="s">
        <v>123</v>
      </c>
      <c r="H47" s="49" t="s">
        <v>38</v>
      </c>
      <c r="I47" s="49" t="s">
        <v>68</v>
      </c>
      <c r="J47" s="50" t="s">
        <v>47</v>
      </c>
      <c r="K47" s="15">
        <v>329.9</v>
      </c>
      <c r="L47" s="54">
        <v>585</v>
      </c>
      <c r="M47" s="53">
        <f t="shared" si="1"/>
        <v>192991.5</v>
      </c>
    </row>
    <row r="48" spans="1:17" x14ac:dyDescent="0.25">
      <c r="A48" s="21">
        <f>IF(C48="","",COUNTA($C$3:C48))</f>
        <v>46</v>
      </c>
      <c r="B48" s="35" t="str">
        <f t="shared" si="0"/>
        <v>April</v>
      </c>
      <c r="C48" s="33">
        <v>46118</v>
      </c>
      <c r="D48" s="64">
        <v>61930</v>
      </c>
      <c r="E48" s="51">
        <v>45328</v>
      </c>
      <c r="F48" s="18" t="s">
        <v>120</v>
      </c>
      <c r="G48" s="15" t="s">
        <v>123</v>
      </c>
      <c r="H48" s="49" t="s">
        <v>38</v>
      </c>
      <c r="I48" s="49" t="s">
        <v>69</v>
      </c>
      <c r="J48" s="50" t="s">
        <v>47</v>
      </c>
      <c r="K48" s="15">
        <v>58.7</v>
      </c>
      <c r="L48" s="54">
        <v>790</v>
      </c>
      <c r="M48" s="53">
        <f t="shared" si="1"/>
        <v>46373</v>
      </c>
    </row>
    <row r="49" spans="1:17" x14ac:dyDescent="0.25">
      <c r="A49" s="21">
        <f>IF(C49="","",COUNTA($C$3:C49))</f>
        <v>47</v>
      </c>
      <c r="B49" s="35" t="str">
        <f t="shared" si="0"/>
        <v>April</v>
      </c>
      <c r="C49" s="33">
        <v>46118</v>
      </c>
      <c r="D49" s="64">
        <v>61930</v>
      </c>
      <c r="E49" s="51">
        <v>45328</v>
      </c>
      <c r="F49" s="18" t="s">
        <v>120</v>
      </c>
      <c r="G49" s="15" t="s">
        <v>123</v>
      </c>
      <c r="H49" s="49" t="s">
        <v>38</v>
      </c>
      <c r="I49" s="49" t="s">
        <v>39</v>
      </c>
      <c r="J49" s="50" t="s">
        <v>47</v>
      </c>
      <c r="K49" s="15">
        <v>56.1</v>
      </c>
      <c r="L49" s="54">
        <v>915</v>
      </c>
      <c r="M49" s="53">
        <f t="shared" si="1"/>
        <v>51331.5</v>
      </c>
    </row>
    <row r="50" spans="1:17" x14ac:dyDescent="0.25">
      <c r="A50" s="21">
        <f>IF(C50="","",COUNTA($C$3:C50))</f>
        <v>48</v>
      </c>
      <c r="B50" s="35" t="str">
        <f t="shared" si="0"/>
        <v>April</v>
      </c>
      <c r="C50" s="33">
        <v>46118</v>
      </c>
      <c r="D50" s="64">
        <v>61930</v>
      </c>
      <c r="E50" s="51">
        <v>45328</v>
      </c>
      <c r="F50" s="18" t="s">
        <v>120</v>
      </c>
      <c r="G50" s="15" t="s">
        <v>123</v>
      </c>
      <c r="H50" s="49" t="s">
        <v>142</v>
      </c>
      <c r="I50" s="49" t="s">
        <v>69</v>
      </c>
      <c r="J50" s="50" t="s">
        <v>47</v>
      </c>
      <c r="K50" s="15">
        <v>6</v>
      </c>
      <c r="L50" s="54">
        <v>975</v>
      </c>
      <c r="M50" s="53">
        <f t="shared" si="1"/>
        <v>5850</v>
      </c>
      <c r="O50" s="59"/>
      <c r="P50" s="69"/>
      <c r="Q50" s="59"/>
    </row>
    <row r="51" spans="1:17" x14ac:dyDescent="0.25">
      <c r="A51" s="21">
        <f>IF(C51="","",COUNTA($C$3:C51))</f>
        <v>49</v>
      </c>
      <c r="B51" s="35" t="str">
        <f t="shared" si="0"/>
        <v>April</v>
      </c>
      <c r="C51" s="33">
        <v>46118</v>
      </c>
      <c r="D51" s="64">
        <v>61930</v>
      </c>
      <c r="E51" s="51">
        <v>45328</v>
      </c>
      <c r="F51" s="18" t="s">
        <v>120</v>
      </c>
      <c r="G51" s="15" t="s">
        <v>123</v>
      </c>
      <c r="H51" s="49" t="s">
        <v>141</v>
      </c>
      <c r="I51" s="49" t="s">
        <v>69</v>
      </c>
      <c r="J51" s="50" t="s">
        <v>47</v>
      </c>
      <c r="K51" s="15">
        <v>20</v>
      </c>
      <c r="L51" s="54">
        <v>3425</v>
      </c>
      <c r="M51" s="53">
        <f t="shared" si="1"/>
        <v>68500</v>
      </c>
      <c r="O51" s="59"/>
      <c r="P51" s="69"/>
      <c r="Q51" s="59"/>
    </row>
    <row r="52" spans="1:17" x14ac:dyDescent="0.25">
      <c r="A52" s="21">
        <f>IF(C52="","",COUNTA($C$3:C52))</f>
        <v>50</v>
      </c>
      <c r="B52" s="35" t="str">
        <f t="shared" si="0"/>
        <v>April</v>
      </c>
      <c r="C52" s="33">
        <v>46118</v>
      </c>
      <c r="D52" s="64">
        <v>61930</v>
      </c>
      <c r="E52" s="51">
        <v>45328</v>
      </c>
      <c r="F52" s="18" t="s">
        <v>120</v>
      </c>
      <c r="G52" s="15" t="s">
        <v>123</v>
      </c>
      <c r="H52" s="49" t="s">
        <v>129</v>
      </c>
      <c r="I52" s="49" t="s">
        <v>74</v>
      </c>
      <c r="J52" s="50" t="s">
        <v>47</v>
      </c>
      <c r="K52" s="15">
        <v>256.3</v>
      </c>
      <c r="L52" s="54">
        <v>289</v>
      </c>
      <c r="M52" s="53">
        <f t="shared" si="1"/>
        <v>74070.7</v>
      </c>
      <c r="O52" s="59"/>
      <c r="P52" s="59"/>
    </row>
    <row r="53" spans="1:17" x14ac:dyDescent="0.25">
      <c r="A53" s="21">
        <f>IF(C53="","",COUNTA($C$3:C53))</f>
        <v>51</v>
      </c>
      <c r="B53" s="35" t="str">
        <f t="shared" si="0"/>
        <v>April</v>
      </c>
      <c r="C53" s="33">
        <v>46118</v>
      </c>
      <c r="D53" s="64">
        <v>61930</v>
      </c>
      <c r="E53" s="51">
        <v>45328</v>
      </c>
      <c r="F53" s="18" t="s">
        <v>120</v>
      </c>
      <c r="G53" s="15" t="s">
        <v>123</v>
      </c>
      <c r="H53" s="49" t="s">
        <v>129</v>
      </c>
      <c r="I53" s="49" t="s">
        <v>75</v>
      </c>
      <c r="J53" s="50" t="s">
        <v>47</v>
      </c>
      <c r="K53" s="55">
        <f>47+5.70195+63.6024</f>
        <v>116.30435</v>
      </c>
      <c r="L53" s="54">
        <v>805</v>
      </c>
      <c r="M53" s="53">
        <f t="shared" si="1"/>
        <v>93625.001749999996</v>
      </c>
      <c r="O53" s="59"/>
    </row>
    <row r="54" spans="1:17" x14ac:dyDescent="0.25">
      <c r="A54" s="21">
        <f>IF(C54="","",COUNTA($C$3:C54))</f>
        <v>52</v>
      </c>
      <c r="B54" s="35" t="str">
        <f t="shared" si="0"/>
        <v>April</v>
      </c>
      <c r="C54" s="33">
        <v>46118</v>
      </c>
      <c r="D54" s="64">
        <v>61930</v>
      </c>
      <c r="E54" s="51">
        <v>45328</v>
      </c>
      <c r="F54" s="18" t="s">
        <v>120</v>
      </c>
      <c r="G54" s="15" t="s">
        <v>123</v>
      </c>
      <c r="H54" s="49" t="s">
        <v>129</v>
      </c>
      <c r="I54" s="49" t="s">
        <v>115</v>
      </c>
      <c r="J54" s="50" t="s">
        <v>47</v>
      </c>
      <c r="K54" s="15">
        <v>141.4</v>
      </c>
      <c r="L54" s="54">
        <v>1271</v>
      </c>
      <c r="M54" s="53">
        <f t="shared" si="1"/>
        <v>179719.4</v>
      </c>
      <c r="O54" s="59"/>
    </row>
    <row r="55" spans="1:17" x14ac:dyDescent="0.25">
      <c r="A55" s="21">
        <f>IF(C55="","",COUNTA($C$3:C55))</f>
        <v>53</v>
      </c>
      <c r="B55" s="35" t="str">
        <f t="shared" si="0"/>
        <v>April</v>
      </c>
      <c r="C55" s="33">
        <v>46118</v>
      </c>
      <c r="D55" s="64">
        <v>61930</v>
      </c>
      <c r="E55" s="51">
        <v>45328</v>
      </c>
      <c r="F55" s="18" t="s">
        <v>120</v>
      </c>
      <c r="G55" s="15" t="s">
        <v>123</v>
      </c>
      <c r="H55" s="49" t="s">
        <v>130</v>
      </c>
      <c r="I55" s="49" t="s">
        <v>40</v>
      </c>
      <c r="J55" s="50" t="s">
        <v>47</v>
      </c>
      <c r="K55" s="15">
        <v>360</v>
      </c>
      <c r="L55" s="54">
        <v>15</v>
      </c>
      <c r="M55" s="53">
        <f t="shared" si="1"/>
        <v>5400</v>
      </c>
      <c r="O55" s="59"/>
    </row>
    <row r="56" spans="1:17" x14ac:dyDescent="0.25">
      <c r="A56" s="21">
        <f>IF(C56="","",COUNTA($C$3:C56))</f>
        <v>54</v>
      </c>
      <c r="B56" s="35" t="str">
        <f t="shared" si="0"/>
        <v>April</v>
      </c>
      <c r="C56" s="33">
        <v>46119</v>
      </c>
      <c r="D56" s="64">
        <v>61936</v>
      </c>
      <c r="E56" s="51">
        <v>45329</v>
      </c>
      <c r="F56" s="18" t="s">
        <v>131</v>
      </c>
      <c r="G56" s="18" t="s">
        <v>128</v>
      </c>
      <c r="H56" s="49" t="s">
        <v>38</v>
      </c>
      <c r="I56" s="49" t="s">
        <v>68</v>
      </c>
      <c r="J56" s="50" t="s">
        <v>47</v>
      </c>
      <c r="K56" s="15">
        <v>48.7</v>
      </c>
      <c r="L56" s="54">
        <v>585</v>
      </c>
      <c r="M56" s="53">
        <f t="shared" si="1"/>
        <v>28489.5</v>
      </c>
      <c r="O56" s="59"/>
    </row>
    <row r="57" spans="1:17" x14ac:dyDescent="0.25">
      <c r="A57" s="21">
        <f>IF(C57="","",COUNTA($C$3:C57))</f>
        <v>55</v>
      </c>
      <c r="B57" s="35" t="str">
        <f t="shared" si="0"/>
        <v>April</v>
      </c>
      <c r="C57" s="33">
        <v>46119</v>
      </c>
      <c r="D57" s="64">
        <v>61936</v>
      </c>
      <c r="E57" s="51">
        <v>45329</v>
      </c>
      <c r="F57" s="18" t="s">
        <v>131</v>
      </c>
      <c r="G57" s="18" t="s">
        <v>128</v>
      </c>
      <c r="H57" s="49" t="s">
        <v>38</v>
      </c>
      <c r="I57" s="49" t="s">
        <v>69</v>
      </c>
      <c r="J57" s="50" t="s">
        <v>47</v>
      </c>
      <c r="K57" s="55">
        <v>18</v>
      </c>
      <c r="L57" s="54">
        <v>790</v>
      </c>
      <c r="M57" s="53">
        <f t="shared" si="1"/>
        <v>14220</v>
      </c>
      <c r="O57" s="59"/>
    </row>
    <row r="58" spans="1:17" x14ac:dyDescent="0.25">
      <c r="A58" s="21">
        <f>IF(C58="","",COUNTA($C$3:C58))</f>
        <v>56</v>
      </c>
      <c r="B58" s="35" t="str">
        <f t="shared" si="0"/>
        <v>April</v>
      </c>
      <c r="C58" s="33">
        <v>46119</v>
      </c>
      <c r="D58" s="64">
        <v>61936</v>
      </c>
      <c r="E58" s="51">
        <v>45329</v>
      </c>
      <c r="F58" s="18" t="s">
        <v>131</v>
      </c>
      <c r="G58" s="18" t="s">
        <v>128</v>
      </c>
      <c r="H58" s="49" t="s">
        <v>38</v>
      </c>
      <c r="I58" s="49" t="s">
        <v>39</v>
      </c>
      <c r="J58" s="50" t="s">
        <v>47</v>
      </c>
      <c r="K58" s="15">
        <v>29.5</v>
      </c>
      <c r="L58" s="54">
        <v>915</v>
      </c>
      <c r="M58" s="53">
        <f t="shared" si="1"/>
        <v>26992.5</v>
      </c>
    </row>
    <row r="59" spans="1:17" x14ac:dyDescent="0.25">
      <c r="A59" s="21">
        <f>IF(C59="","",COUNTA($C$3:C59))</f>
        <v>57</v>
      </c>
      <c r="B59" s="35" t="str">
        <f t="shared" si="0"/>
        <v>April</v>
      </c>
      <c r="C59" s="33">
        <v>46119</v>
      </c>
      <c r="D59" s="64">
        <v>61936</v>
      </c>
      <c r="E59" s="51">
        <v>45329</v>
      </c>
      <c r="F59" s="18" t="s">
        <v>131</v>
      </c>
      <c r="G59" s="18" t="s">
        <v>128</v>
      </c>
      <c r="H59" s="49" t="s">
        <v>38</v>
      </c>
      <c r="I59" s="49" t="s">
        <v>51</v>
      </c>
      <c r="J59" s="50" t="s">
        <v>47</v>
      </c>
      <c r="K59" s="15">
        <v>22.6</v>
      </c>
      <c r="L59" s="54">
        <v>1030</v>
      </c>
      <c r="M59" s="53">
        <f t="shared" si="1"/>
        <v>23278</v>
      </c>
    </row>
    <row r="60" spans="1:17" x14ac:dyDescent="0.25">
      <c r="A60" s="21">
        <f>IF(C60="","",COUNTA($C$3:C60))</f>
        <v>58</v>
      </c>
      <c r="B60" s="35" t="str">
        <f t="shared" si="0"/>
        <v>April</v>
      </c>
      <c r="C60" s="33">
        <v>46119</v>
      </c>
      <c r="D60" s="64">
        <v>61936</v>
      </c>
      <c r="E60" s="51">
        <v>45329</v>
      </c>
      <c r="F60" s="18" t="s">
        <v>131</v>
      </c>
      <c r="G60" s="18" t="s">
        <v>128</v>
      </c>
      <c r="H60" s="49" t="s">
        <v>129</v>
      </c>
      <c r="I60" s="49" t="s">
        <v>97</v>
      </c>
      <c r="J60" s="50" t="s">
        <v>47</v>
      </c>
      <c r="K60" s="15">
        <v>42.4</v>
      </c>
      <c r="L60" s="54">
        <v>1515</v>
      </c>
      <c r="M60" s="53">
        <f t="shared" si="1"/>
        <v>64236</v>
      </c>
    </row>
    <row r="61" spans="1:17" x14ac:dyDescent="0.25">
      <c r="A61" s="21">
        <f>IF(C61="","",COUNTA($C$3:C61))</f>
        <v>59</v>
      </c>
      <c r="B61" s="35" t="str">
        <f t="shared" si="0"/>
        <v>April</v>
      </c>
      <c r="C61" s="33">
        <v>46119</v>
      </c>
      <c r="D61" s="64">
        <v>61936</v>
      </c>
      <c r="E61" s="51">
        <v>45329</v>
      </c>
      <c r="F61" s="18" t="s">
        <v>131</v>
      </c>
      <c r="G61" s="18" t="s">
        <v>128</v>
      </c>
      <c r="H61" s="49" t="s">
        <v>129</v>
      </c>
      <c r="I61" s="49" t="s">
        <v>104</v>
      </c>
      <c r="J61" s="50" t="s">
        <v>47</v>
      </c>
      <c r="K61" s="15">
        <v>5.6</v>
      </c>
      <c r="L61" s="54">
        <v>680</v>
      </c>
      <c r="M61" s="53">
        <f t="shared" si="1"/>
        <v>3807.9999999999995</v>
      </c>
    </row>
    <row r="62" spans="1:17" x14ac:dyDescent="0.25">
      <c r="A62" s="21">
        <f>IF(C62="","",COUNTA($C$3:C62))</f>
        <v>60</v>
      </c>
      <c r="B62" s="35" t="str">
        <f t="shared" si="0"/>
        <v>April</v>
      </c>
      <c r="C62" s="33">
        <v>46119</v>
      </c>
      <c r="D62" s="64">
        <v>61936</v>
      </c>
      <c r="E62" s="51">
        <v>45329</v>
      </c>
      <c r="F62" s="18" t="s">
        <v>131</v>
      </c>
      <c r="G62" s="18" t="s">
        <v>128</v>
      </c>
      <c r="H62" s="49" t="s">
        <v>129</v>
      </c>
      <c r="I62" s="49" t="s">
        <v>132</v>
      </c>
      <c r="J62" s="50" t="s">
        <v>47</v>
      </c>
      <c r="K62" s="15">
        <v>70.8</v>
      </c>
      <c r="L62" s="54">
        <v>675</v>
      </c>
      <c r="M62" s="53">
        <f t="shared" si="1"/>
        <v>47790</v>
      </c>
    </row>
    <row r="63" spans="1:17" x14ac:dyDescent="0.25">
      <c r="A63" s="21">
        <f>IF(C63="","",COUNTA($C$3:C63))</f>
        <v>61</v>
      </c>
      <c r="B63" s="35" t="str">
        <f t="shared" si="0"/>
        <v>April</v>
      </c>
      <c r="C63" s="33">
        <v>46119</v>
      </c>
      <c r="D63" s="64">
        <v>61936</v>
      </c>
      <c r="E63" s="51">
        <v>45329</v>
      </c>
      <c r="F63" s="18" t="s">
        <v>131</v>
      </c>
      <c r="G63" s="18" t="s">
        <v>128</v>
      </c>
      <c r="H63" s="49" t="s">
        <v>138</v>
      </c>
      <c r="I63" s="49" t="s">
        <v>99</v>
      </c>
      <c r="J63" s="50" t="s">
        <v>70</v>
      </c>
      <c r="K63" s="15">
        <v>22</v>
      </c>
      <c r="L63" s="54">
        <v>147</v>
      </c>
      <c r="M63" s="53">
        <f t="shared" si="1"/>
        <v>3234</v>
      </c>
    </row>
    <row r="64" spans="1:17" x14ac:dyDescent="0.25">
      <c r="A64" s="21">
        <f>IF(C64="","",COUNTA($C$3:C64))</f>
        <v>62</v>
      </c>
      <c r="B64" s="35" t="str">
        <f t="shared" si="0"/>
        <v>April</v>
      </c>
      <c r="C64" s="33">
        <v>46120</v>
      </c>
      <c r="D64" s="64">
        <v>61936</v>
      </c>
      <c r="E64" s="51">
        <v>45330</v>
      </c>
      <c r="F64" s="18" t="s">
        <v>131</v>
      </c>
      <c r="G64" s="18" t="s">
        <v>128</v>
      </c>
      <c r="H64" s="49" t="s">
        <v>38</v>
      </c>
      <c r="I64" s="49" t="s">
        <v>68</v>
      </c>
      <c r="J64" s="50" t="s">
        <v>47</v>
      </c>
      <c r="K64" s="15">
        <v>72.5</v>
      </c>
      <c r="L64" s="54">
        <v>585</v>
      </c>
      <c r="M64" s="53">
        <f t="shared" si="1"/>
        <v>42412.5</v>
      </c>
    </row>
    <row r="65" spans="1:13" x14ac:dyDescent="0.25">
      <c r="A65" s="21">
        <f>IF(C65="","",COUNTA($C$3:C65))</f>
        <v>63</v>
      </c>
      <c r="B65" s="35" t="str">
        <f t="shared" si="0"/>
        <v>April</v>
      </c>
      <c r="C65" s="33">
        <v>46120</v>
      </c>
      <c r="D65" s="64">
        <v>61936</v>
      </c>
      <c r="E65" s="51">
        <v>45330</v>
      </c>
      <c r="F65" s="18" t="s">
        <v>131</v>
      </c>
      <c r="G65" s="18" t="s">
        <v>128</v>
      </c>
      <c r="H65" s="49" t="s">
        <v>38</v>
      </c>
      <c r="I65" s="49" t="s">
        <v>69</v>
      </c>
      <c r="J65" s="50" t="s">
        <v>47</v>
      </c>
      <c r="K65" s="55">
        <v>15.5</v>
      </c>
      <c r="L65" s="54">
        <v>790</v>
      </c>
      <c r="M65" s="53">
        <f t="shared" si="1"/>
        <v>12245</v>
      </c>
    </row>
    <row r="66" spans="1:13" x14ac:dyDescent="0.25">
      <c r="A66" s="21">
        <f>IF(C66="","",COUNTA($C$3:C66))</f>
        <v>64</v>
      </c>
      <c r="B66" s="35" t="str">
        <f t="shared" si="0"/>
        <v>April</v>
      </c>
      <c r="C66" s="33">
        <v>46120</v>
      </c>
      <c r="D66" s="64">
        <v>61936</v>
      </c>
      <c r="E66" s="51">
        <v>45330</v>
      </c>
      <c r="F66" s="18" t="s">
        <v>131</v>
      </c>
      <c r="G66" s="18" t="s">
        <v>128</v>
      </c>
      <c r="H66" s="49" t="s">
        <v>38</v>
      </c>
      <c r="I66" s="49" t="s">
        <v>39</v>
      </c>
      <c r="J66" s="50" t="s">
        <v>47</v>
      </c>
      <c r="K66" s="15">
        <v>15.4</v>
      </c>
      <c r="L66" s="54">
        <v>915</v>
      </c>
      <c r="M66" s="53">
        <f t="shared" si="1"/>
        <v>14091</v>
      </c>
    </row>
    <row r="67" spans="1:13" x14ac:dyDescent="0.25">
      <c r="A67" s="21">
        <f>IF(C67="","",COUNTA($C$3:C67))</f>
        <v>65</v>
      </c>
      <c r="B67" s="35" t="str">
        <f t="shared" si="0"/>
        <v>April</v>
      </c>
      <c r="C67" s="33">
        <v>46120</v>
      </c>
      <c r="D67" s="64">
        <v>61936</v>
      </c>
      <c r="E67" s="51">
        <v>45330</v>
      </c>
      <c r="F67" s="18" t="s">
        <v>131</v>
      </c>
      <c r="G67" s="18" t="s">
        <v>128</v>
      </c>
      <c r="H67" s="49" t="s">
        <v>38</v>
      </c>
      <c r="I67" s="49" t="s">
        <v>51</v>
      </c>
      <c r="J67" s="50" t="s">
        <v>47</v>
      </c>
      <c r="K67" s="15">
        <v>19.5</v>
      </c>
      <c r="L67" s="54">
        <v>1030</v>
      </c>
      <c r="M67" s="53">
        <f t="shared" si="1"/>
        <v>20085</v>
      </c>
    </row>
    <row r="68" spans="1:13" x14ac:dyDescent="0.25">
      <c r="A68" s="21">
        <f>IF(C68="","",COUNTA($C$3:C68))</f>
        <v>66</v>
      </c>
      <c r="B68" s="35" t="str">
        <f t="shared" si="0"/>
        <v>April</v>
      </c>
      <c r="C68" s="33">
        <v>46120</v>
      </c>
      <c r="D68" s="64">
        <v>61936</v>
      </c>
      <c r="E68" s="51">
        <v>45330</v>
      </c>
      <c r="F68" s="18" t="s">
        <v>131</v>
      </c>
      <c r="G68" s="18" t="s">
        <v>128</v>
      </c>
      <c r="H68" s="49" t="s">
        <v>147</v>
      </c>
      <c r="I68" s="49" t="s">
        <v>50</v>
      </c>
      <c r="J68" s="50" t="s">
        <v>47</v>
      </c>
      <c r="K68" s="15">
        <v>15.6</v>
      </c>
      <c r="L68" s="54">
        <v>904</v>
      </c>
      <c r="M68" s="53">
        <f t="shared" si="1"/>
        <v>14102.4</v>
      </c>
    </row>
    <row r="69" spans="1:13" x14ac:dyDescent="0.25">
      <c r="A69" s="21">
        <f>IF(C69="","",COUNTA($C$3:C69))</f>
        <v>67</v>
      </c>
      <c r="B69" s="35" t="str">
        <f t="shared" ref="B69:B131" si="3">IF(C69="","",TEXT(C69,"mmmm"))</f>
        <v>April</v>
      </c>
      <c r="C69" s="33">
        <v>46120</v>
      </c>
      <c r="D69" s="64">
        <v>61936</v>
      </c>
      <c r="E69" s="51">
        <v>45330</v>
      </c>
      <c r="F69" s="18" t="s">
        <v>131</v>
      </c>
      <c r="G69" s="18" t="s">
        <v>128</v>
      </c>
      <c r="H69" s="49" t="s">
        <v>129</v>
      </c>
      <c r="I69" s="49" t="s">
        <v>97</v>
      </c>
      <c r="J69" s="50" t="s">
        <v>47</v>
      </c>
      <c r="K69" s="15">
        <v>19.5</v>
      </c>
      <c r="L69" s="54">
        <v>1515</v>
      </c>
      <c r="M69" s="53">
        <f t="shared" si="1"/>
        <v>29542.5</v>
      </c>
    </row>
    <row r="70" spans="1:13" x14ac:dyDescent="0.25">
      <c r="A70" s="21">
        <f>IF(C70="","",COUNTA($C$3:C70))</f>
        <v>68</v>
      </c>
      <c r="B70" s="35" t="str">
        <f t="shared" si="3"/>
        <v>April</v>
      </c>
      <c r="C70" s="33">
        <v>46120</v>
      </c>
      <c r="D70" s="64">
        <v>61936</v>
      </c>
      <c r="E70" s="51">
        <v>45330</v>
      </c>
      <c r="F70" s="18" t="s">
        <v>131</v>
      </c>
      <c r="G70" s="18" t="s">
        <v>128</v>
      </c>
      <c r="H70" s="49" t="s">
        <v>129</v>
      </c>
      <c r="I70" s="49" t="s">
        <v>132</v>
      </c>
      <c r="J70" s="50" t="s">
        <v>47</v>
      </c>
      <c r="K70" s="15">
        <v>119</v>
      </c>
      <c r="L70" s="54">
        <v>675</v>
      </c>
      <c r="M70" s="53">
        <f t="shared" si="1"/>
        <v>80325</v>
      </c>
    </row>
    <row r="71" spans="1:13" x14ac:dyDescent="0.25">
      <c r="A71" s="21">
        <f>IF(C71="","",COUNTA($C$3:C71))</f>
        <v>69</v>
      </c>
      <c r="B71" s="35" t="str">
        <f t="shared" si="3"/>
        <v>April</v>
      </c>
      <c r="C71" s="33">
        <v>46120</v>
      </c>
      <c r="D71" s="64">
        <v>61936</v>
      </c>
      <c r="E71" s="51">
        <v>45330</v>
      </c>
      <c r="F71" s="18" t="s">
        <v>131</v>
      </c>
      <c r="G71" s="18" t="s">
        <v>128</v>
      </c>
      <c r="H71" s="49" t="s">
        <v>129</v>
      </c>
      <c r="I71" s="49" t="s">
        <v>83</v>
      </c>
      <c r="J71" s="50" t="s">
        <v>47</v>
      </c>
      <c r="K71" s="15">
        <v>15.6</v>
      </c>
      <c r="L71" s="54">
        <v>380</v>
      </c>
      <c r="M71" s="53">
        <f t="shared" si="1"/>
        <v>5928</v>
      </c>
    </row>
    <row r="72" spans="1:13" x14ac:dyDescent="0.25">
      <c r="A72" s="21">
        <f>IF(C72="","",COUNTA($C$3:C72))</f>
        <v>70</v>
      </c>
      <c r="B72" s="35" t="str">
        <f t="shared" si="3"/>
        <v>April</v>
      </c>
      <c r="C72" s="33">
        <v>46120</v>
      </c>
      <c r="D72" s="15">
        <v>61768</v>
      </c>
      <c r="E72" s="60">
        <v>45331</v>
      </c>
      <c r="F72" s="18" t="s">
        <v>144</v>
      </c>
      <c r="G72" s="18" t="s">
        <v>146</v>
      </c>
      <c r="H72" s="49" t="s">
        <v>143</v>
      </c>
      <c r="I72" s="49" t="s">
        <v>148</v>
      </c>
      <c r="J72" s="50" t="s">
        <v>70</v>
      </c>
      <c r="K72" s="15">
        <v>15</v>
      </c>
      <c r="L72" s="54">
        <v>900</v>
      </c>
      <c r="M72" s="53">
        <f t="shared" si="1"/>
        <v>13500</v>
      </c>
    </row>
    <row r="73" spans="1:13" x14ac:dyDescent="0.25">
      <c r="A73" s="21">
        <f>IF(C73="","",COUNTA($C$3:C73))</f>
        <v>71</v>
      </c>
      <c r="B73" s="35" t="str">
        <f t="shared" si="3"/>
        <v>April</v>
      </c>
      <c r="C73" s="33">
        <v>46120</v>
      </c>
      <c r="D73" s="15">
        <v>61768</v>
      </c>
      <c r="E73" s="60">
        <v>45331</v>
      </c>
      <c r="F73" s="18" t="s">
        <v>144</v>
      </c>
      <c r="G73" s="18" t="s">
        <v>146</v>
      </c>
      <c r="H73" s="49" t="s">
        <v>143</v>
      </c>
      <c r="I73" s="49" t="s">
        <v>149</v>
      </c>
      <c r="J73" s="50" t="s">
        <v>70</v>
      </c>
      <c r="K73" s="15">
        <v>15</v>
      </c>
      <c r="L73" s="48">
        <v>664.2</v>
      </c>
      <c r="M73" s="48">
        <f t="shared" si="1"/>
        <v>9963</v>
      </c>
    </row>
    <row r="74" spans="1:13" x14ac:dyDescent="0.25">
      <c r="A74" s="21">
        <f>IF(C74="","",COUNTA($C$3:C74))</f>
        <v>72</v>
      </c>
      <c r="B74" s="35" t="str">
        <f t="shared" si="3"/>
        <v>April</v>
      </c>
      <c r="C74" s="33">
        <v>46120</v>
      </c>
      <c r="D74" s="15">
        <v>61768</v>
      </c>
      <c r="E74" s="60">
        <v>45331</v>
      </c>
      <c r="F74" s="18" t="s">
        <v>144</v>
      </c>
      <c r="G74" s="18" t="s">
        <v>146</v>
      </c>
      <c r="H74" s="49" t="s">
        <v>143</v>
      </c>
      <c r="I74" s="49" t="s">
        <v>150</v>
      </c>
      <c r="J74" s="50" t="s">
        <v>70</v>
      </c>
      <c r="K74" s="15">
        <v>200</v>
      </c>
      <c r="L74" s="48">
        <v>10</v>
      </c>
      <c r="M74" s="48">
        <f t="shared" si="1"/>
        <v>2000</v>
      </c>
    </row>
    <row r="75" spans="1:13" x14ac:dyDescent="0.25">
      <c r="A75" s="21">
        <f>IF(C75="","",COUNTA($C$3:C75))</f>
        <v>73</v>
      </c>
      <c r="B75" s="35" t="str">
        <f t="shared" si="3"/>
        <v>April</v>
      </c>
      <c r="C75" s="33">
        <v>46120</v>
      </c>
      <c r="D75" s="15">
        <v>61768</v>
      </c>
      <c r="E75" s="60">
        <v>45331</v>
      </c>
      <c r="F75" s="18" t="s">
        <v>144</v>
      </c>
      <c r="G75" s="18" t="s">
        <v>146</v>
      </c>
      <c r="H75" s="49" t="s">
        <v>143</v>
      </c>
      <c r="I75" s="49" t="s">
        <v>151</v>
      </c>
      <c r="J75" s="50" t="s">
        <v>70</v>
      </c>
      <c r="K75" s="15">
        <v>4</v>
      </c>
      <c r="L75" s="54">
        <v>137.5</v>
      </c>
      <c r="M75" s="53">
        <f t="shared" si="1"/>
        <v>550</v>
      </c>
    </row>
    <row r="76" spans="1:13" x14ac:dyDescent="0.25">
      <c r="A76" s="21">
        <f>IF(C76="","",COUNTA($C$3:C76))</f>
        <v>74</v>
      </c>
      <c r="B76" s="35" t="str">
        <f t="shared" si="3"/>
        <v>April</v>
      </c>
      <c r="C76" s="33">
        <v>46120</v>
      </c>
      <c r="D76" s="15">
        <v>61768</v>
      </c>
      <c r="E76" s="60">
        <v>45331</v>
      </c>
      <c r="F76" s="18" t="s">
        <v>144</v>
      </c>
      <c r="G76" s="18" t="s">
        <v>146</v>
      </c>
      <c r="H76" s="49" t="s">
        <v>143</v>
      </c>
      <c r="I76" s="49" t="s">
        <v>152</v>
      </c>
      <c r="J76" s="50" t="s">
        <v>70</v>
      </c>
      <c r="K76" s="15">
        <v>4</v>
      </c>
      <c r="L76" s="54">
        <v>310</v>
      </c>
      <c r="M76" s="53">
        <f t="shared" si="1"/>
        <v>1240</v>
      </c>
    </row>
    <row r="77" spans="1:13" x14ac:dyDescent="0.25">
      <c r="A77" s="21">
        <f>IF(C77="","",COUNTA($C$3:C77))</f>
        <v>75</v>
      </c>
      <c r="B77" s="35" t="str">
        <f t="shared" si="3"/>
        <v>April</v>
      </c>
      <c r="C77" s="33">
        <v>46120</v>
      </c>
      <c r="D77" s="15">
        <v>61768</v>
      </c>
      <c r="E77" s="60">
        <v>45331</v>
      </c>
      <c r="F77" s="18" t="s">
        <v>144</v>
      </c>
      <c r="G77" s="18" t="s">
        <v>146</v>
      </c>
      <c r="H77" s="49" t="s">
        <v>143</v>
      </c>
      <c r="I77" s="49" t="s">
        <v>153</v>
      </c>
      <c r="J77" s="50" t="s">
        <v>70</v>
      </c>
      <c r="K77" s="15">
        <v>2</v>
      </c>
      <c r="L77" s="48">
        <v>260</v>
      </c>
      <c r="M77" s="48">
        <f t="shared" si="1"/>
        <v>520</v>
      </c>
    </row>
    <row r="78" spans="1:13" x14ac:dyDescent="0.25">
      <c r="A78" s="21">
        <f>IF(C78="","",COUNTA($C$3:C78))</f>
        <v>76</v>
      </c>
      <c r="B78" s="35" t="str">
        <f t="shared" si="3"/>
        <v>April</v>
      </c>
      <c r="C78" s="33">
        <v>46120</v>
      </c>
      <c r="D78" s="64">
        <v>61930</v>
      </c>
      <c r="E78" s="51">
        <v>45332</v>
      </c>
      <c r="F78" s="18" t="s">
        <v>120</v>
      </c>
      <c r="G78" s="52" t="s">
        <v>123</v>
      </c>
      <c r="H78" s="49" t="s">
        <v>38</v>
      </c>
      <c r="I78" s="49" t="s">
        <v>68</v>
      </c>
      <c r="J78" s="50" t="s">
        <v>47</v>
      </c>
      <c r="K78" s="15">
        <v>410.3</v>
      </c>
      <c r="L78" s="54">
        <v>585</v>
      </c>
      <c r="M78" s="48">
        <f t="shared" si="1"/>
        <v>240025.5</v>
      </c>
    </row>
    <row r="79" spans="1:13" x14ac:dyDescent="0.25">
      <c r="A79" s="21">
        <f>IF(C79="","",COUNTA($C$3:C79))</f>
        <v>77</v>
      </c>
      <c r="B79" s="35" t="str">
        <f t="shared" si="3"/>
        <v>April</v>
      </c>
      <c r="C79" s="33">
        <v>46120</v>
      </c>
      <c r="D79" s="64">
        <v>61930</v>
      </c>
      <c r="E79" s="51">
        <v>45332</v>
      </c>
      <c r="F79" s="18" t="s">
        <v>120</v>
      </c>
      <c r="G79" s="52" t="s">
        <v>123</v>
      </c>
      <c r="H79" s="49" t="s">
        <v>38</v>
      </c>
      <c r="I79" s="49" t="s">
        <v>69</v>
      </c>
      <c r="J79" s="50" t="s">
        <v>47</v>
      </c>
      <c r="K79" s="15">
        <v>132.6</v>
      </c>
      <c r="L79" s="54">
        <v>790</v>
      </c>
      <c r="M79" s="53">
        <f t="shared" si="1"/>
        <v>104754</v>
      </c>
    </row>
    <row r="80" spans="1:13" x14ac:dyDescent="0.25">
      <c r="A80" s="21">
        <f>IF(C80="","",COUNTA($C$3:C80))</f>
        <v>78</v>
      </c>
      <c r="B80" s="35" t="str">
        <f t="shared" si="3"/>
        <v>April</v>
      </c>
      <c r="C80" s="33">
        <v>46120</v>
      </c>
      <c r="D80" s="64">
        <v>61930</v>
      </c>
      <c r="E80" s="51">
        <v>45332</v>
      </c>
      <c r="F80" s="18" t="s">
        <v>120</v>
      </c>
      <c r="G80" s="52" t="s">
        <v>123</v>
      </c>
      <c r="H80" s="49" t="s">
        <v>38</v>
      </c>
      <c r="I80" s="49" t="s">
        <v>39</v>
      </c>
      <c r="J80" s="50" t="s">
        <v>47</v>
      </c>
      <c r="K80" s="15">
        <v>20.2</v>
      </c>
      <c r="L80" s="54">
        <v>915</v>
      </c>
      <c r="M80" s="48">
        <f t="shared" si="1"/>
        <v>18483</v>
      </c>
    </row>
    <row r="81" spans="1:15" x14ac:dyDescent="0.25">
      <c r="A81" s="21">
        <f>IF(C81="","",COUNTA($C$3:C81))</f>
        <v>79</v>
      </c>
      <c r="B81" s="35" t="str">
        <f t="shared" si="3"/>
        <v>April</v>
      </c>
      <c r="C81" s="33">
        <v>46120</v>
      </c>
      <c r="D81" s="64">
        <v>61930</v>
      </c>
      <c r="E81" s="51">
        <v>45332</v>
      </c>
      <c r="F81" s="18" t="s">
        <v>120</v>
      </c>
      <c r="G81" s="52" t="s">
        <v>123</v>
      </c>
      <c r="H81" s="49" t="s">
        <v>129</v>
      </c>
      <c r="I81" s="49" t="s">
        <v>74</v>
      </c>
      <c r="J81" s="50" t="s">
        <v>47</v>
      </c>
      <c r="K81" s="15">
        <v>342.5</v>
      </c>
      <c r="L81" s="54">
        <v>289</v>
      </c>
      <c r="M81" s="48">
        <f t="shared" si="1"/>
        <v>98982.5</v>
      </c>
    </row>
    <row r="82" spans="1:15" x14ac:dyDescent="0.25">
      <c r="A82" s="21">
        <f>IF(C82="","",COUNTA($C$3:C82))</f>
        <v>80</v>
      </c>
      <c r="B82" s="35" t="str">
        <f t="shared" si="3"/>
        <v>April</v>
      </c>
      <c r="C82" s="33">
        <v>46120</v>
      </c>
      <c r="D82" s="64">
        <v>61930</v>
      </c>
      <c r="E82" s="51">
        <v>45332</v>
      </c>
      <c r="F82" s="18" t="s">
        <v>120</v>
      </c>
      <c r="G82" s="52" t="s">
        <v>123</v>
      </c>
      <c r="H82" s="49" t="s">
        <v>129</v>
      </c>
      <c r="I82" s="49" t="s">
        <v>75</v>
      </c>
      <c r="J82" s="50" t="s">
        <v>47</v>
      </c>
      <c r="K82" s="55">
        <v>46.1</v>
      </c>
      <c r="L82" s="54">
        <v>805</v>
      </c>
      <c r="M82" s="53">
        <f t="shared" si="1"/>
        <v>37110.5</v>
      </c>
    </row>
    <row r="83" spans="1:15" x14ac:dyDescent="0.25">
      <c r="A83" s="21">
        <f>IF(C83="","",COUNTA($C$3:C83))</f>
        <v>81</v>
      </c>
      <c r="B83" s="35" t="str">
        <f t="shared" si="3"/>
        <v>April</v>
      </c>
      <c r="C83" s="33">
        <v>46120</v>
      </c>
      <c r="D83" s="64">
        <v>61930</v>
      </c>
      <c r="E83" s="51">
        <v>45332</v>
      </c>
      <c r="F83" s="18" t="s">
        <v>120</v>
      </c>
      <c r="G83" s="52" t="s">
        <v>123</v>
      </c>
      <c r="H83" s="49" t="s">
        <v>129</v>
      </c>
      <c r="I83" s="49" t="s">
        <v>115</v>
      </c>
      <c r="J83" s="50" t="s">
        <v>47</v>
      </c>
      <c r="K83" s="15">
        <v>110.6</v>
      </c>
      <c r="L83" s="54">
        <v>1271</v>
      </c>
      <c r="M83" s="53">
        <f t="shared" si="1"/>
        <v>140572.6</v>
      </c>
    </row>
    <row r="84" spans="1:15" x14ac:dyDescent="0.25">
      <c r="A84" s="21">
        <f>IF(C84="","",COUNTA($C$3:C84))</f>
        <v>82</v>
      </c>
      <c r="B84" s="35" t="str">
        <f t="shared" si="3"/>
        <v>April</v>
      </c>
      <c r="C84" s="33">
        <v>46120</v>
      </c>
      <c r="D84" s="64">
        <v>61930</v>
      </c>
      <c r="E84" s="51">
        <v>45332</v>
      </c>
      <c r="F84" s="18" t="s">
        <v>120</v>
      </c>
      <c r="G84" s="52" t="s">
        <v>123</v>
      </c>
      <c r="H84" s="49" t="s">
        <v>91</v>
      </c>
      <c r="I84" s="49" t="s">
        <v>91</v>
      </c>
      <c r="J84" s="50" t="s">
        <v>137</v>
      </c>
      <c r="K84" s="15">
        <v>200</v>
      </c>
      <c r="L84" s="48">
        <v>5</v>
      </c>
      <c r="M84" s="48">
        <f t="shared" si="1"/>
        <v>1000</v>
      </c>
    </row>
    <row r="85" spans="1:15" x14ac:dyDescent="0.25">
      <c r="A85" s="21">
        <f>IF(C85="","",COUNTA($C$3:C85))</f>
        <v>83</v>
      </c>
      <c r="B85" s="35" t="str">
        <f t="shared" si="3"/>
        <v>April</v>
      </c>
      <c r="C85" s="33">
        <v>46120</v>
      </c>
      <c r="D85" s="64">
        <v>61930</v>
      </c>
      <c r="E85" s="51">
        <v>45332</v>
      </c>
      <c r="F85" s="18" t="s">
        <v>120</v>
      </c>
      <c r="G85" s="52" t="s">
        <v>123</v>
      </c>
      <c r="H85" s="49" t="s">
        <v>130</v>
      </c>
      <c r="I85" s="49" t="s">
        <v>40</v>
      </c>
      <c r="J85" s="50" t="s">
        <v>47</v>
      </c>
      <c r="K85" s="15">
        <v>430</v>
      </c>
      <c r="L85" s="48">
        <v>15</v>
      </c>
      <c r="M85" s="48">
        <f t="shared" si="1"/>
        <v>6450</v>
      </c>
    </row>
    <row r="86" spans="1:15" x14ac:dyDescent="0.25">
      <c r="A86" s="21">
        <f>IF(C86="","",COUNTA($C$3:C86))</f>
        <v>84</v>
      </c>
      <c r="B86" s="35" t="str">
        <f t="shared" si="3"/>
        <v>April</v>
      </c>
      <c r="C86" s="33">
        <v>46121</v>
      </c>
      <c r="D86" s="64">
        <v>61936</v>
      </c>
      <c r="E86" s="51">
        <v>45333</v>
      </c>
      <c r="F86" s="18" t="s">
        <v>131</v>
      </c>
      <c r="G86" s="52" t="s">
        <v>128</v>
      </c>
      <c r="H86" s="49" t="s">
        <v>38</v>
      </c>
      <c r="I86" s="49" t="s">
        <v>68</v>
      </c>
      <c r="J86" s="50" t="s">
        <v>47</v>
      </c>
      <c r="K86" s="15">
        <v>6.7</v>
      </c>
      <c r="L86" s="54">
        <v>585</v>
      </c>
      <c r="M86" s="53">
        <f t="shared" ref="M86:M197" si="4">K86*L86</f>
        <v>3919.5</v>
      </c>
    </row>
    <row r="87" spans="1:15" x14ac:dyDescent="0.25">
      <c r="A87" s="21">
        <f>IF(C87="","",COUNTA($C$3:C87))</f>
        <v>85</v>
      </c>
      <c r="B87" s="35" t="str">
        <f t="shared" si="3"/>
        <v>April</v>
      </c>
      <c r="C87" s="33">
        <v>46121</v>
      </c>
      <c r="D87" s="64">
        <v>61936</v>
      </c>
      <c r="E87" s="51">
        <v>45333</v>
      </c>
      <c r="F87" s="18" t="s">
        <v>131</v>
      </c>
      <c r="G87" s="52" t="s">
        <v>128</v>
      </c>
      <c r="H87" s="49" t="s">
        <v>38</v>
      </c>
      <c r="I87" s="49" t="s">
        <v>69</v>
      </c>
      <c r="J87" s="50" t="s">
        <v>47</v>
      </c>
      <c r="K87" s="55">
        <v>3.1</v>
      </c>
      <c r="L87" s="54">
        <v>790</v>
      </c>
      <c r="M87" s="53">
        <f t="shared" si="4"/>
        <v>2449</v>
      </c>
    </row>
    <row r="88" spans="1:15" x14ac:dyDescent="0.25">
      <c r="A88" s="21">
        <f>IF(C88="","",COUNTA($C$3:C88))</f>
        <v>86</v>
      </c>
      <c r="B88" s="35" t="str">
        <f t="shared" si="3"/>
        <v>April</v>
      </c>
      <c r="C88" s="33">
        <v>46121</v>
      </c>
      <c r="D88" s="64">
        <v>61936</v>
      </c>
      <c r="E88" s="51">
        <v>45333</v>
      </c>
      <c r="F88" s="18" t="s">
        <v>131</v>
      </c>
      <c r="G88" s="52" t="s">
        <v>128</v>
      </c>
      <c r="H88" s="49" t="s">
        <v>38</v>
      </c>
      <c r="I88" s="49" t="s">
        <v>39</v>
      </c>
      <c r="J88" s="50" t="s">
        <v>47</v>
      </c>
      <c r="K88" s="15">
        <v>32</v>
      </c>
      <c r="L88" s="54">
        <v>915</v>
      </c>
      <c r="M88" s="53">
        <f t="shared" si="4"/>
        <v>29280</v>
      </c>
      <c r="O88" s="54"/>
    </row>
    <row r="89" spans="1:15" x14ac:dyDescent="0.25">
      <c r="A89" s="21">
        <f>IF(C89="","",COUNTA($C$3:C89))</f>
        <v>87</v>
      </c>
      <c r="B89" s="35" t="str">
        <f t="shared" si="3"/>
        <v>April</v>
      </c>
      <c r="C89" s="33">
        <v>46121</v>
      </c>
      <c r="D89" s="64">
        <v>61936</v>
      </c>
      <c r="E89" s="51">
        <v>45333</v>
      </c>
      <c r="F89" s="18" t="s">
        <v>131</v>
      </c>
      <c r="G89" s="52" t="s">
        <v>128</v>
      </c>
      <c r="H89" s="49" t="s">
        <v>38</v>
      </c>
      <c r="I89" s="49" t="s">
        <v>51</v>
      </c>
      <c r="J89" s="50" t="s">
        <v>47</v>
      </c>
      <c r="K89" s="15">
        <v>15.8</v>
      </c>
      <c r="L89" s="54">
        <v>1030</v>
      </c>
      <c r="M89" s="53">
        <f t="shared" si="4"/>
        <v>16274</v>
      </c>
      <c r="O89" s="54"/>
    </row>
    <row r="90" spans="1:15" x14ac:dyDescent="0.25">
      <c r="A90" s="21">
        <f>IF(C90="","",COUNTA($C$3:C90))</f>
        <v>88</v>
      </c>
      <c r="B90" s="35" t="str">
        <f t="shared" si="3"/>
        <v>April</v>
      </c>
      <c r="C90" s="33">
        <v>46121</v>
      </c>
      <c r="D90" s="64">
        <v>61936</v>
      </c>
      <c r="E90" s="51">
        <v>45333</v>
      </c>
      <c r="F90" s="18" t="s">
        <v>131</v>
      </c>
      <c r="G90" s="52" t="s">
        <v>128</v>
      </c>
      <c r="H90" s="49" t="s">
        <v>139</v>
      </c>
      <c r="I90" s="49" t="s">
        <v>39</v>
      </c>
      <c r="J90" s="50" t="s">
        <v>47</v>
      </c>
      <c r="K90" s="15">
        <v>3</v>
      </c>
      <c r="L90" s="54">
        <v>4950</v>
      </c>
      <c r="M90" s="53">
        <f t="shared" si="4"/>
        <v>14850</v>
      </c>
    </row>
    <row r="91" spans="1:15" x14ac:dyDescent="0.25">
      <c r="A91" s="21">
        <f>IF(C91="","",COUNTA($C$3:C91))</f>
        <v>89</v>
      </c>
      <c r="B91" s="35" t="str">
        <f t="shared" si="3"/>
        <v>April</v>
      </c>
      <c r="C91" s="33">
        <v>46121</v>
      </c>
      <c r="D91" s="64">
        <v>61936</v>
      </c>
      <c r="E91" s="51">
        <v>45333</v>
      </c>
      <c r="F91" s="18" t="s">
        <v>131</v>
      </c>
      <c r="G91" s="52" t="s">
        <v>128</v>
      </c>
      <c r="H91" s="49" t="s">
        <v>129</v>
      </c>
      <c r="I91" s="49" t="s">
        <v>132</v>
      </c>
      <c r="J91" s="50" t="s">
        <v>47</v>
      </c>
      <c r="K91" s="15">
        <v>57.8</v>
      </c>
      <c r="L91" s="54">
        <v>675</v>
      </c>
      <c r="M91" s="53">
        <f t="shared" si="4"/>
        <v>39015</v>
      </c>
    </row>
    <row r="92" spans="1:15" x14ac:dyDescent="0.25">
      <c r="A92" s="21">
        <f>IF(C92="","",COUNTA($C$3:C92))</f>
        <v>90</v>
      </c>
      <c r="B92" s="35" t="str">
        <f t="shared" si="3"/>
        <v>April</v>
      </c>
      <c r="C92" s="33">
        <v>46121</v>
      </c>
      <c r="D92" s="64">
        <v>61930</v>
      </c>
      <c r="E92" s="51">
        <v>45334</v>
      </c>
      <c r="F92" s="18" t="s">
        <v>120</v>
      </c>
      <c r="G92" s="52" t="s">
        <v>123</v>
      </c>
      <c r="H92" s="49" t="s">
        <v>38</v>
      </c>
      <c r="I92" s="49" t="s">
        <v>68</v>
      </c>
      <c r="J92" s="50" t="s">
        <v>47</v>
      </c>
      <c r="K92" s="15">
        <v>478.8</v>
      </c>
      <c r="L92" s="54">
        <v>585</v>
      </c>
      <c r="M92" s="53">
        <f t="shared" si="4"/>
        <v>280098</v>
      </c>
    </row>
    <row r="93" spans="1:15" x14ac:dyDescent="0.25">
      <c r="A93" s="21">
        <f>IF(C93="","",COUNTA($C$3:C93))</f>
        <v>91</v>
      </c>
      <c r="B93" s="35" t="str">
        <f t="shared" si="3"/>
        <v>April</v>
      </c>
      <c r="C93" s="33">
        <v>46121</v>
      </c>
      <c r="D93" s="64">
        <v>61930</v>
      </c>
      <c r="E93" s="51">
        <v>45334</v>
      </c>
      <c r="F93" s="18" t="s">
        <v>120</v>
      </c>
      <c r="G93" s="52" t="s">
        <v>123</v>
      </c>
      <c r="H93" s="49" t="s">
        <v>38</v>
      </c>
      <c r="I93" s="49" t="s">
        <v>69</v>
      </c>
      <c r="J93" s="50" t="s">
        <v>47</v>
      </c>
      <c r="K93" s="15">
        <v>116.3</v>
      </c>
      <c r="L93" s="54">
        <v>790</v>
      </c>
      <c r="M93" s="53">
        <f t="shared" si="4"/>
        <v>91877</v>
      </c>
    </row>
    <row r="94" spans="1:15" x14ac:dyDescent="0.25">
      <c r="A94" s="21">
        <f>IF(C94="","",COUNTA($C$3:C94))</f>
        <v>92</v>
      </c>
      <c r="B94" s="35" t="str">
        <f t="shared" si="3"/>
        <v>April</v>
      </c>
      <c r="C94" s="33">
        <v>46121</v>
      </c>
      <c r="D94" s="64">
        <v>61930</v>
      </c>
      <c r="E94" s="51">
        <v>45334</v>
      </c>
      <c r="F94" s="18" t="s">
        <v>120</v>
      </c>
      <c r="G94" s="52" t="s">
        <v>123</v>
      </c>
      <c r="H94" s="49" t="s">
        <v>38</v>
      </c>
      <c r="I94" s="49" t="s">
        <v>39</v>
      </c>
      <c r="J94" s="50" t="s">
        <v>47</v>
      </c>
      <c r="K94" s="15">
        <v>13.9</v>
      </c>
      <c r="L94" s="54">
        <v>915</v>
      </c>
      <c r="M94" s="48">
        <f t="shared" si="4"/>
        <v>12718.5</v>
      </c>
      <c r="O94" s="59"/>
    </row>
    <row r="95" spans="1:15" x14ac:dyDescent="0.25">
      <c r="A95" s="21">
        <f>IF(C95="","",COUNTA($C$3:C95))</f>
        <v>93</v>
      </c>
      <c r="B95" s="35" t="str">
        <f t="shared" si="3"/>
        <v>April</v>
      </c>
      <c r="C95" s="33">
        <v>46121</v>
      </c>
      <c r="D95" s="64">
        <v>61930</v>
      </c>
      <c r="E95" s="51">
        <v>45334</v>
      </c>
      <c r="F95" s="18" t="s">
        <v>120</v>
      </c>
      <c r="G95" s="52" t="s">
        <v>123</v>
      </c>
      <c r="H95" s="49" t="s">
        <v>129</v>
      </c>
      <c r="I95" s="49" t="s">
        <v>74</v>
      </c>
      <c r="J95" s="50" t="s">
        <v>47</v>
      </c>
      <c r="K95" s="15">
        <v>399.4</v>
      </c>
      <c r="L95" s="54">
        <v>289</v>
      </c>
      <c r="M95" s="48">
        <f t="shared" si="4"/>
        <v>115426.59999999999</v>
      </c>
      <c r="O95" s="59"/>
    </row>
    <row r="96" spans="1:15" x14ac:dyDescent="0.25">
      <c r="A96" s="21">
        <f>IF(C96="","",COUNTA($C$3:C96))</f>
        <v>94</v>
      </c>
      <c r="B96" s="35" t="str">
        <f t="shared" si="3"/>
        <v>April</v>
      </c>
      <c r="C96" s="33">
        <v>46121</v>
      </c>
      <c r="D96" s="64">
        <v>61930</v>
      </c>
      <c r="E96" s="51">
        <v>45334</v>
      </c>
      <c r="F96" s="18" t="s">
        <v>120</v>
      </c>
      <c r="G96" s="52" t="s">
        <v>123</v>
      </c>
      <c r="H96" s="49" t="s">
        <v>129</v>
      </c>
      <c r="I96" s="49" t="s">
        <v>75</v>
      </c>
      <c r="J96" s="50" t="s">
        <v>47</v>
      </c>
      <c r="K96" s="55">
        <v>49.3</v>
      </c>
      <c r="L96" s="54">
        <v>805</v>
      </c>
      <c r="M96" s="48">
        <f t="shared" si="4"/>
        <v>39686.5</v>
      </c>
      <c r="O96" s="59"/>
    </row>
    <row r="97" spans="1:15" x14ac:dyDescent="0.25">
      <c r="A97" s="21">
        <f>IF(C97="","",COUNTA($C$3:C97))</f>
        <v>95</v>
      </c>
      <c r="B97" s="35" t="str">
        <f t="shared" si="3"/>
        <v>April</v>
      </c>
      <c r="C97" s="33">
        <v>46121</v>
      </c>
      <c r="D97" s="64">
        <v>61930</v>
      </c>
      <c r="E97" s="51">
        <v>45334</v>
      </c>
      <c r="F97" s="18" t="s">
        <v>120</v>
      </c>
      <c r="G97" s="52" t="s">
        <v>123</v>
      </c>
      <c r="H97" s="49" t="s">
        <v>129</v>
      </c>
      <c r="I97" s="49" t="s">
        <v>115</v>
      </c>
      <c r="J97" s="50" t="s">
        <v>47</v>
      </c>
      <c r="K97" s="15">
        <v>96.2</v>
      </c>
      <c r="L97" s="54">
        <v>1271</v>
      </c>
      <c r="M97" s="48">
        <f t="shared" si="4"/>
        <v>122270.2</v>
      </c>
      <c r="O97" s="59"/>
    </row>
    <row r="98" spans="1:15" x14ac:dyDescent="0.25">
      <c r="A98" s="21">
        <f>IF(C98="","",COUNTA($C$3:C98))</f>
        <v>96</v>
      </c>
      <c r="B98" s="35" t="str">
        <f t="shared" si="3"/>
        <v>April</v>
      </c>
      <c r="C98" s="33">
        <v>46121</v>
      </c>
      <c r="D98" s="64">
        <v>61930</v>
      </c>
      <c r="E98" s="51">
        <v>45334</v>
      </c>
      <c r="F98" s="18" t="s">
        <v>120</v>
      </c>
      <c r="G98" s="52" t="s">
        <v>123</v>
      </c>
      <c r="H98" s="49" t="s">
        <v>130</v>
      </c>
      <c r="I98" s="49" t="s">
        <v>40</v>
      </c>
      <c r="J98" s="50" t="s">
        <v>47</v>
      </c>
      <c r="K98" s="15">
        <v>480</v>
      </c>
      <c r="L98" s="54">
        <v>15</v>
      </c>
      <c r="M98" s="48">
        <f t="shared" si="4"/>
        <v>7200</v>
      </c>
      <c r="O98" s="69"/>
    </row>
    <row r="99" spans="1:15" x14ac:dyDescent="0.25">
      <c r="A99" s="21">
        <f>IF(C99="","",COUNTA($C$3:C99))</f>
        <v>97</v>
      </c>
      <c r="B99" s="35" t="str">
        <f t="shared" si="3"/>
        <v>April</v>
      </c>
      <c r="C99" s="33">
        <v>46122</v>
      </c>
      <c r="D99" s="64">
        <v>61434</v>
      </c>
      <c r="E99" s="51">
        <v>45335</v>
      </c>
      <c r="F99" s="18" t="s">
        <v>120</v>
      </c>
      <c r="G99" s="52" t="s">
        <v>155</v>
      </c>
      <c r="H99" s="49" t="s">
        <v>38</v>
      </c>
      <c r="I99" s="49" t="s">
        <v>68</v>
      </c>
      <c r="J99" s="50" t="s">
        <v>47</v>
      </c>
      <c r="K99" s="15">
        <v>7.2</v>
      </c>
      <c r="L99" s="54">
        <v>530</v>
      </c>
      <c r="M99" s="48">
        <f t="shared" si="4"/>
        <v>3816</v>
      </c>
    </row>
    <row r="100" spans="1:15" x14ac:dyDescent="0.25">
      <c r="A100" s="21">
        <f>IF(C100="","",COUNTA($C$3:C100))</f>
        <v>98</v>
      </c>
      <c r="B100" s="35" t="str">
        <f t="shared" si="3"/>
        <v>April</v>
      </c>
      <c r="C100" s="33">
        <v>46122</v>
      </c>
      <c r="D100" s="64">
        <v>61434</v>
      </c>
      <c r="E100" s="51">
        <v>45335</v>
      </c>
      <c r="F100" s="18" t="s">
        <v>120</v>
      </c>
      <c r="G100" s="52" t="s">
        <v>155</v>
      </c>
      <c r="H100" s="49" t="s">
        <v>38</v>
      </c>
      <c r="I100" s="49" t="s">
        <v>69</v>
      </c>
      <c r="J100" s="50" t="s">
        <v>47</v>
      </c>
      <c r="K100" s="15">
        <v>18.3</v>
      </c>
      <c r="L100" s="62">
        <v>677</v>
      </c>
      <c r="M100" s="48">
        <f t="shared" si="4"/>
        <v>12389.1</v>
      </c>
    </row>
    <row r="101" spans="1:15" x14ac:dyDescent="0.25">
      <c r="A101" s="21">
        <f>IF(C101="","",COUNTA($C$3:C101))</f>
        <v>99</v>
      </c>
      <c r="B101" s="35" t="str">
        <f t="shared" si="3"/>
        <v>April</v>
      </c>
      <c r="C101" s="33">
        <v>46122</v>
      </c>
      <c r="D101" s="64">
        <v>61434</v>
      </c>
      <c r="E101" s="51">
        <v>45335</v>
      </c>
      <c r="F101" s="18" t="s">
        <v>120</v>
      </c>
      <c r="G101" s="52" t="s">
        <v>155</v>
      </c>
      <c r="H101" s="49" t="s">
        <v>38</v>
      </c>
      <c r="I101" s="49" t="s">
        <v>39</v>
      </c>
      <c r="J101" s="50" t="s">
        <v>47</v>
      </c>
      <c r="K101" s="15">
        <v>16.7</v>
      </c>
      <c r="L101" s="54">
        <v>823</v>
      </c>
      <c r="M101" s="53">
        <f t="shared" si="4"/>
        <v>13744.099999999999</v>
      </c>
    </row>
    <row r="102" spans="1:15" x14ac:dyDescent="0.25">
      <c r="A102" s="21">
        <f>IF(C102="","",COUNTA($C$3:C102))</f>
        <v>100</v>
      </c>
      <c r="B102" s="35" t="str">
        <f t="shared" si="3"/>
        <v>April</v>
      </c>
      <c r="C102" s="33">
        <v>46122</v>
      </c>
      <c r="D102" s="64">
        <v>61434</v>
      </c>
      <c r="E102" s="51">
        <v>45335</v>
      </c>
      <c r="F102" s="18" t="s">
        <v>120</v>
      </c>
      <c r="G102" s="52" t="s">
        <v>155</v>
      </c>
      <c r="H102" s="49" t="s">
        <v>129</v>
      </c>
      <c r="I102" s="49" t="s">
        <v>75</v>
      </c>
      <c r="J102" s="50" t="s">
        <v>47</v>
      </c>
      <c r="K102" s="15">
        <v>16.7</v>
      </c>
      <c r="L102" s="54">
        <v>935</v>
      </c>
      <c r="M102" s="53">
        <f t="shared" si="4"/>
        <v>15614.5</v>
      </c>
    </row>
    <row r="103" spans="1:15" x14ac:dyDescent="0.25">
      <c r="A103" s="21">
        <f>IF(C103="","",COUNTA($C$3:C103))</f>
        <v>101</v>
      </c>
      <c r="B103" s="35" t="str">
        <f t="shared" si="3"/>
        <v>April</v>
      </c>
      <c r="C103" s="33">
        <v>46122</v>
      </c>
      <c r="D103" s="64">
        <v>61434</v>
      </c>
      <c r="E103" s="51">
        <v>45335</v>
      </c>
      <c r="F103" s="18" t="s">
        <v>120</v>
      </c>
      <c r="G103" s="52" t="s">
        <v>155</v>
      </c>
      <c r="H103" s="49" t="s">
        <v>161</v>
      </c>
      <c r="I103" s="49" t="s">
        <v>68</v>
      </c>
      <c r="J103" s="50" t="s">
        <v>47</v>
      </c>
      <c r="K103" s="15">
        <v>15</v>
      </c>
      <c r="L103" s="62">
        <v>454</v>
      </c>
      <c r="M103" s="53">
        <f t="shared" si="4"/>
        <v>6810</v>
      </c>
    </row>
    <row r="104" spans="1:15" x14ac:dyDescent="0.25">
      <c r="A104" s="21">
        <f>IF(C104="","",COUNTA($C$3:C104))</f>
        <v>102</v>
      </c>
      <c r="B104" s="35" t="str">
        <f t="shared" si="3"/>
        <v>April</v>
      </c>
      <c r="C104" s="33">
        <v>46122</v>
      </c>
      <c r="D104" s="64">
        <v>61935</v>
      </c>
      <c r="E104" s="51">
        <v>45336</v>
      </c>
      <c r="F104" s="18" t="s">
        <v>157</v>
      </c>
      <c r="G104" s="52" t="s">
        <v>158</v>
      </c>
      <c r="H104" s="49" t="s">
        <v>114</v>
      </c>
      <c r="I104" s="49" t="s">
        <v>48</v>
      </c>
      <c r="J104" s="50" t="s">
        <v>47</v>
      </c>
      <c r="K104" s="15">
        <v>1.7</v>
      </c>
      <c r="L104" s="54">
        <v>660</v>
      </c>
      <c r="M104" s="53">
        <f t="shared" si="4"/>
        <v>1122</v>
      </c>
    </row>
    <row r="105" spans="1:15" x14ac:dyDescent="0.25">
      <c r="A105" s="21">
        <f>IF(C105="","",COUNTA($C$3:C105))</f>
        <v>103</v>
      </c>
      <c r="B105" s="35" t="str">
        <f t="shared" si="3"/>
        <v>April</v>
      </c>
      <c r="C105" s="33">
        <v>46122</v>
      </c>
      <c r="D105" s="64">
        <v>61935</v>
      </c>
      <c r="E105" s="51">
        <v>45336</v>
      </c>
      <c r="F105" s="18" t="s">
        <v>157</v>
      </c>
      <c r="G105" s="52" t="s">
        <v>158</v>
      </c>
      <c r="H105" s="49" t="s">
        <v>129</v>
      </c>
      <c r="I105" s="49" t="s">
        <v>76</v>
      </c>
      <c r="J105" s="50" t="s">
        <v>47</v>
      </c>
      <c r="K105" s="15">
        <v>1.7</v>
      </c>
      <c r="L105" s="54">
        <v>320</v>
      </c>
      <c r="M105" s="53">
        <f t="shared" si="4"/>
        <v>544</v>
      </c>
    </row>
    <row r="106" spans="1:15" x14ac:dyDescent="0.25">
      <c r="A106" s="21">
        <f>IF(C106="","",COUNTA($C$3:C106))</f>
        <v>104</v>
      </c>
      <c r="B106" s="35" t="str">
        <f t="shared" si="3"/>
        <v>April</v>
      </c>
      <c r="C106" s="33">
        <v>46123</v>
      </c>
      <c r="D106" s="64">
        <v>61936</v>
      </c>
      <c r="E106" s="51">
        <v>45337</v>
      </c>
      <c r="F106" s="18" t="s">
        <v>131</v>
      </c>
      <c r="G106" s="52" t="s">
        <v>128</v>
      </c>
      <c r="H106" s="49" t="s">
        <v>139</v>
      </c>
      <c r="I106" s="49" t="s">
        <v>39</v>
      </c>
      <c r="J106" s="50" t="s">
        <v>47</v>
      </c>
      <c r="K106" s="15">
        <v>11</v>
      </c>
      <c r="L106" s="62">
        <v>4950</v>
      </c>
      <c r="M106" s="53">
        <f t="shared" si="4"/>
        <v>54450</v>
      </c>
    </row>
    <row r="107" spans="1:15" x14ac:dyDescent="0.25">
      <c r="A107" s="21">
        <f>IF(C107="","",COUNTA($C$3:C107))</f>
        <v>105</v>
      </c>
      <c r="B107" s="35" t="str">
        <f t="shared" si="3"/>
        <v>April</v>
      </c>
      <c r="C107" s="33">
        <v>46123</v>
      </c>
      <c r="D107" s="64">
        <v>61930</v>
      </c>
      <c r="E107" s="51">
        <v>45338</v>
      </c>
      <c r="F107" s="18" t="s">
        <v>120</v>
      </c>
      <c r="G107" s="52" t="s">
        <v>123</v>
      </c>
      <c r="H107" s="49" t="s">
        <v>38</v>
      </c>
      <c r="I107" s="49" t="s">
        <v>68</v>
      </c>
      <c r="J107" s="50" t="s">
        <v>47</v>
      </c>
      <c r="K107" s="15">
        <v>352.8</v>
      </c>
      <c r="L107" s="54">
        <v>585</v>
      </c>
      <c r="M107" s="53">
        <f t="shared" si="4"/>
        <v>206388</v>
      </c>
    </row>
    <row r="108" spans="1:15" x14ac:dyDescent="0.25">
      <c r="A108" s="21">
        <f>IF(C108="","",COUNTA($C$3:C108))</f>
        <v>106</v>
      </c>
      <c r="B108" s="35" t="str">
        <f t="shared" si="3"/>
        <v>April</v>
      </c>
      <c r="C108" s="33">
        <v>46123</v>
      </c>
      <c r="D108" s="64">
        <v>61930</v>
      </c>
      <c r="E108" s="51">
        <v>45338</v>
      </c>
      <c r="F108" s="18" t="s">
        <v>120</v>
      </c>
      <c r="G108" s="52" t="s">
        <v>123</v>
      </c>
      <c r="H108" s="49" t="s">
        <v>38</v>
      </c>
      <c r="I108" s="49" t="s">
        <v>69</v>
      </c>
      <c r="J108" s="50" t="s">
        <v>47</v>
      </c>
      <c r="K108" s="15">
        <v>204.1</v>
      </c>
      <c r="L108" s="62">
        <v>790</v>
      </c>
      <c r="M108" s="53">
        <f t="shared" si="4"/>
        <v>161239</v>
      </c>
    </row>
    <row r="109" spans="1:15" x14ac:dyDescent="0.25">
      <c r="A109" s="21">
        <f>IF(C109="","",COUNTA($C$3:C109))</f>
        <v>107</v>
      </c>
      <c r="B109" s="35" t="str">
        <f t="shared" si="3"/>
        <v>April</v>
      </c>
      <c r="C109" s="33">
        <v>46123</v>
      </c>
      <c r="D109" s="64">
        <v>61930</v>
      </c>
      <c r="E109" s="51">
        <v>45338</v>
      </c>
      <c r="F109" s="18" t="s">
        <v>120</v>
      </c>
      <c r="G109" s="52" t="s">
        <v>123</v>
      </c>
      <c r="H109" s="49" t="s">
        <v>38</v>
      </c>
      <c r="I109" s="49" t="s">
        <v>39</v>
      </c>
      <c r="J109" s="50" t="s">
        <v>47</v>
      </c>
      <c r="K109" s="15">
        <v>13.4</v>
      </c>
      <c r="L109" s="54">
        <v>915</v>
      </c>
      <c r="M109" s="53">
        <f t="shared" si="4"/>
        <v>12261</v>
      </c>
    </row>
    <row r="110" spans="1:15" x14ac:dyDescent="0.25">
      <c r="A110" s="21">
        <f>IF(C110="","",COUNTA($C$3:C110))</f>
        <v>108</v>
      </c>
      <c r="B110" s="35" t="str">
        <f t="shared" si="3"/>
        <v>April</v>
      </c>
      <c r="C110" s="33">
        <v>46123</v>
      </c>
      <c r="D110" s="64">
        <v>61930</v>
      </c>
      <c r="E110" s="51">
        <v>45338</v>
      </c>
      <c r="F110" s="18" t="s">
        <v>120</v>
      </c>
      <c r="G110" s="52" t="s">
        <v>123</v>
      </c>
      <c r="H110" s="49" t="s">
        <v>129</v>
      </c>
      <c r="I110" s="49" t="s">
        <v>74</v>
      </c>
      <c r="J110" s="50" t="s">
        <v>47</v>
      </c>
      <c r="K110" s="15">
        <v>331.1</v>
      </c>
      <c r="L110" s="54">
        <v>289</v>
      </c>
      <c r="M110" s="53">
        <f t="shared" si="4"/>
        <v>95687.900000000009</v>
      </c>
    </row>
    <row r="111" spans="1:15" x14ac:dyDescent="0.25">
      <c r="A111" s="21">
        <f>IF(C111="","",COUNTA($C$3:C111))</f>
        <v>109</v>
      </c>
      <c r="B111" s="35" t="str">
        <f t="shared" si="3"/>
        <v>April</v>
      </c>
      <c r="C111" s="33">
        <v>46123</v>
      </c>
      <c r="D111" s="64">
        <v>61930</v>
      </c>
      <c r="E111" s="51">
        <v>45338</v>
      </c>
      <c r="F111" s="18" t="s">
        <v>120</v>
      </c>
      <c r="G111" s="52" t="s">
        <v>123</v>
      </c>
      <c r="H111" s="49" t="s">
        <v>129</v>
      </c>
      <c r="I111" s="49" t="s">
        <v>75</v>
      </c>
      <c r="J111" s="50" t="s">
        <v>47</v>
      </c>
      <c r="K111" s="55">
        <v>37.799999999999997</v>
      </c>
      <c r="L111" s="54">
        <v>805</v>
      </c>
      <c r="M111" s="53">
        <f t="shared" si="4"/>
        <v>30428.999999999996</v>
      </c>
    </row>
    <row r="112" spans="1:15" x14ac:dyDescent="0.25">
      <c r="A112" s="21">
        <f>IF(C112="","",COUNTA($C$3:C112))</f>
        <v>110</v>
      </c>
      <c r="B112" s="35" t="str">
        <f t="shared" si="3"/>
        <v>April</v>
      </c>
      <c r="C112" s="33">
        <v>46123</v>
      </c>
      <c r="D112" s="64">
        <v>61930</v>
      </c>
      <c r="E112" s="51">
        <v>45338</v>
      </c>
      <c r="F112" s="18" t="s">
        <v>120</v>
      </c>
      <c r="G112" s="52" t="s">
        <v>123</v>
      </c>
      <c r="H112" s="49" t="s">
        <v>129</v>
      </c>
      <c r="I112" s="49" t="s">
        <v>115</v>
      </c>
      <c r="J112" s="50" t="s">
        <v>47</v>
      </c>
      <c r="K112" s="15">
        <v>124.9</v>
      </c>
      <c r="L112" s="54">
        <v>1271</v>
      </c>
      <c r="M112" s="53">
        <f t="shared" si="4"/>
        <v>158747.9</v>
      </c>
    </row>
    <row r="113" spans="1:15" x14ac:dyDescent="0.25">
      <c r="A113" s="21">
        <f>IF(C113="","",COUNTA($C$3:C113))</f>
        <v>111</v>
      </c>
      <c r="B113" s="35" t="str">
        <f t="shared" si="3"/>
        <v>April</v>
      </c>
      <c r="C113" s="33">
        <v>46123</v>
      </c>
      <c r="D113" s="64">
        <v>61930</v>
      </c>
      <c r="E113" s="51">
        <v>45338</v>
      </c>
      <c r="F113" s="18" t="s">
        <v>120</v>
      </c>
      <c r="G113" s="52" t="s">
        <v>123</v>
      </c>
      <c r="H113" s="49" t="s">
        <v>130</v>
      </c>
      <c r="I113" s="49" t="s">
        <v>40</v>
      </c>
      <c r="J113" s="50" t="s">
        <v>47</v>
      </c>
      <c r="K113" s="15">
        <v>430</v>
      </c>
      <c r="L113" s="54">
        <v>15</v>
      </c>
      <c r="M113" s="53">
        <f t="shared" si="4"/>
        <v>6450</v>
      </c>
    </row>
    <row r="114" spans="1:15" x14ac:dyDescent="0.25">
      <c r="A114" s="21">
        <f>IF(C114="","",COUNTA($C$3:C114))</f>
        <v>112</v>
      </c>
      <c r="B114" s="35" t="str">
        <f t="shared" si="3"/>
        <v>April</v>
      </c>
      <c r="C114" s="33">
        <v>46125</v>
      </c>
      <c r="D114" s="64">
        <v>61816</v>
      </c>
      <c r="E114" s="51">
        <v>45339</v>
      </c>
      <c r="F114" s="18" t="s">
        <v>120</v>
      </c>
      <c r="G114" s="18" t="s">
        <v>163</v>
      </c>
      <c r="H114" s="49" t="s">
        <v>114</v>
      </c>
      <c r="I114" s="49" t="s">
        <v>48</v>
      </c>
      <c r="J114" s="50" t="s">
        <v>47</v>
      </c>
      <c r="K114" s="15">
        <v>9.4</v>
      </c>
      <c r="L114" s="54">
        <v>655</v>
      </c>
      <c r="M114" s="53">
        <f t="shared" si="4"/>
        <v>6157</v>
      </c>
    </row>
    <row r="115" spans="1:15" x14ac:dyDescent="0.25">
      <c r="A115" s="21">
        <f>IF(C115="","",COUNTA($C$3:C115))</f>
        <v>113</v>
      </c>
      <c r="B115" s="35" t="str">
        <f t="shared" si="3"/>
        <v>April</v>
      </c>
      <c r="C115" s="33">
        <v>46125</v>
      </c>
      <c r="D115" s="64">
        <v>61816</v>
      </c>
      <c r="E115" s="51">
        <v>45339</v>
      </c>
      <c r="F115" s="18" t="s">
        <v>120</v>
      </c>
      <c r="G115" s="18" t="s">
        <v>163</v>
      </c>
      <c r="H115" s="49" t="s">
        <v>147</v>
      </c>
      <c r="I115" s="49" t="s">
        <v>49</v>
      </c>
      <c r="J115" s="50" t="s">
        <v>47</v>
      </c>
      <c r="K115" s="15">
        <v>0.4</v>
      </c>
      <c r="L115" s="48">
        <v>690</v>
      </c>
      <c r="M115" s="53">
        <f t="shared" si="4"/>
        <v>276</v>
      </c>
    </row>
    <row r="116" spans="1:15" x14ac:dyDescent="0.25">
      <c r="A116" s="21">
        <f>IF(C116="","",COUNTA($C$3:C116))</f>
        <v>114</v>
      </c>
      <c r="B116" s="35" t="str">
        <f t="shared" si="3"/>
        <v>April</v>
      </c>
      <c r="C116" s="33">
        <v>46125</v>
      </c>
      <c r="D116" s="64">
        <v>61816</v>
      </c>
      <c r="E116" s="51">
        <v>45339</v>
      </c>
      <c r="F116" s="18" t="s">
        <v>120</v>
      </c>
      <c r="G116" s="18" t="s">
        <v>163</v>
      </c>
      <c r="H116" s="49" t="s">
        <v>129</v>
      </c>
      <c r="I116" s="49" t="s">
        <v>76</v>
      </c>
      <c r="J116" s="50" t="s">
        <v>47</v>
      </c>
      <c r="K116" s="15">
        <v>9.8000000000000007</v>
      </c>
      <c r="L116" s="54">
        <v>255</v>
      </c>
      <c r="M116" s="53">
        <f t="shared" si="4"/>
        <v>2499</v>
      </c>
      <c r="O116" s="59"/>
    </row>
    <row r="117" spans="1:15" x14ac:dyDescent="0.25">
      <c r="A117" s="21">
        <f>IF(C117="","",COUNTA($C$3:C117))</f>
        <v>115</v>
      </c>
      <c r="B117" s="35" t="str">
        <f t="shared" si="3"/>
        <v>April</v>
      </c>
      <c r="C117" s="33">
        <v>46125</v>
      </c>
      <c r="D117" s="64">
        <v>61948</v>
      </c>
      <c r="E117" s="51">
        <v>45340</v>
      </c>
      <c r="F117" s="18" t="s">
        <v>120</v>
      </c>
      <c r="G117" s="18" t="s">
        <v>166</v>
      </c>
      <c r="H117" s="49" t="s">
        <v>114</v>
      </c>
      <c r="I117" s="49" t="s">
        <v>48</v>
      </c>
      <c r="J117" s="50" t="s">
        <v>47</v>
      </c>
      <c r="K117" s="15">
        <v>54.8</v>
      </c>
      <c r="L117" s="54">
        <v>660</v>
      </c>
      <c r="M117" s="53">
        <f t="shared" si="4"/>
        <v>36168</v>
      </c>
      <c r="O117" s="59"/>
    </row>
    <row r="118" spans="1:15" x14ac:dyDescent="0.25">
      <c r="A118" s="21">
        <f>IF(C118="","",COUNTA($C$3:C118))</f>
        <v>116</v>
      </c>
      <c r="B118" s="35" t="str">
        <f t="shared" si="3"/>
        <v>April</v>
      </c>
      <c r="C118" s="33">
        <v>46125</v>
      </c>
      <c r="D118" s="64">
        <v>61948</v>
      </c>
      <c r="E118" s="51">
        <v>45340</v>
      </c>
      <c r="F118" s="18" t="s">
        <v>120</v>
      </c>
      <c r="G118" s="18" t="s">
        <v>166</v>
      </c>
      <c r="H118" s="49" t="s">
        <v>114</v>
      </c>
      <c r="I118" s="49" t="s">
        <v>49</v>
      </c>
      <c r="J118" s="50" t="s">
        <v>47</v>
      </c>
      <c r="K118" s="15">
        <v>2.2999999999999998</v>
      </c>
      <c r="L118" s="54">
        <v>795</v>
      </c>
      <c r="M118" s="53">
        <f t="shared" si="4"/>
        <v>1828.4999999999998</v>
      </c>
      <c r="N118" s="71"/>
      <c r="O118" s="59"/>
    </row>
    <row r="119" spans="1:15" x14ac:dyDescent="0.25">
      <c r="A119" s="21">
        <f>IF(C119="","",COUNTA($C$3:C119))</f>
        <v>117</v>
      </c>
      <c r="B119" s="35" t="str">
        <f t="shared" si="3"/>
        <v>April</v>
      </c>
      <c r="C119" s="33">
        <v>46125</v>
      </c>
      <c r="D119" s="64">
        <v>61948</v>
      </c>
      <c r="E119" s="51">
        <v>45340</v>
      </c>
      <c r="F119" s="18" t="s">
        <v>120</v>
      </c>
      <c r="G119" s="18" t="s">
        <v>166</v>
      </c>
      <c r="H119" s="49" t="s">
        <v>147</v>
      </c>
      <c r="I119" s="49" t="s">
        <v>50</v>
      </c>
      <c r="J119" s="50" t="s">
        <v>47</v>
      </c>
      <c r="K119" s="15">
        <v>2.2000000000000002</v>
      </c>
      <c r="L119" s="54">
        <v>905</v>
      </c>
      <c r="M119" s="48">
        <f t="shared" si="4"/>
        <v>1991.0000000000002</v>
      </c>
    </row>
    <row r="120" spans="1:15" x14ac:dyDescent="0.25">
      <c r="A120" s="21">
        <f>IF(C120="","",COUNTA($C$3:C120))</f>
        <v>118</v>
      </c>
      <c r="B120" s="35" t="str">
        <f t="shared" si="3"/>
        <v>April</v>
      </c>
      <c r="C120" s="33">
        <v>46125</v>
      </c>
      <c r="D120" s="64">
        <v>61948</v>
      </c>
      <c r="E120" s="51">
        <v>45340</v>
      </c>
      <c r="F120" s="18" t="s">
        <v>120</v>
      </c>
      <c r="G120" s="18" t="s">
        <v>166</v>
      </c>
      <c r="H120" s="49" t="s">
        <v>129</v>
      </c>
      <c r="I120" s="49" t="s">
        <v>76</v>
      </c>
      <c r="J120" s="50" t="s">
        <v>47</v>
      </c>
      <c r="K120" s="15">
        <v>59.3</v>
      </c>
      <c r="L120" s="54">
        <v>255</v>
      </c>
      <c r="M120" s="48">
        <f t="shared" si="4"/>
        <v>15121.5</v>
      </c>
    </row>
    <row r="121" spans="1:15" x14ac:dyDescent="0.25">
      <c r="A121" s="21">
        <f>IF(C121="","",COUNTA($C$3:C121))</f>
        <v>119</v>
      </c>
      <c r="B121" s="35" t="str">
        <f t="shared" si="3"/>
        <v>April</v>
      </c>
      <c r="C121" s="33">
        <v>46127</v>
      </c>
      <c r="D121" s="64">
        <v>61859</v>
      </c>
      <c r="E121" s="51">
        <v>45341</v>
      </c>
      <c r="F121" s="18" t="s">
        <v>120</v>
      </c>
      <c r="G121" s="18" t="s">
        <v>168</v>
      </c>
      <c r="H121" s="49" t="s">
        <v>91</v>
      </c>
      <c r="I121" s="49" t="s">
        <v>91</v>
      </c>
      <c r="J121" s="50" t="s">
        <v>137</v>
      </c>
      <c r="K121" s="15">
        <v>500</v>
      </c>
      <c r="L121" s="54">
        <v>5</v>
      </c>
      <c r="M121" s="48">
        <f t="shared" si="4"/>
        <v>2500</v>
      </c>
    </row>
    <row r="122" spans="1:15" x14ac:dyDescent="0.25">
      <c r="A122" s="21">
        <f>IF(C122="","",COUNTA($C$3:C122))</f>
        <v>120</v>
      </c>
      <c r="B122" s="35" t="str">
        <f t="shared" si="3"/>
        <v>April</v>
      </c>
      <c r="C122" s="33">
        <v>46127</v>
      </c>
      <c r="D122" s="64">
        <v>61930</v>
      </c>
      <c r="E122" s="51">
        <v>45342</v>
      </c>
      <c r="F122" s="18" t="s">
        <v>120</v>
      </c>
      <c r="G122" s="18" t="s">
        <v>123</v>
      </c>
      <c r="H122" s="49" t="s">
        <v>38</v>
      </c>
      <c r="I122" s="49" t="s">
        <v>68</v>
      </c>
      <c r="J122" s="50" t="s">
        <v>47</v>
      </c>
      <c r="K122" s="15">
        <v>461.6</v>
      </c>
      <c r="L122" s="54">
        <v>585</v>
      </c>
      <c r="M122" s="53">
        <f t="shared" si="4"/>
        <v>270036</v>
      </c>
    </row>
    <row r="123" spans="1:15" x14ac:dyDescent="0.25">
      <c r="A123" s="21">
        <f>IF(C123="","",COUNTA($C$3:C123))</f>
        <v>121</v>
      </c>
      <c r="B123" s="35" t="str">
        <f t="shared" si="3"/>
        <v>April</v>
      </c>
      <c r="C123" s="33">
        <v>46127</v>
      </c>
      <c r="D123" s="64">
        <v>61930</v>
      </c>
      <c r="E123" s="51">
        <v>45342</v>
      </c>
      <c r="F123" s="18" t="s">
        <v>120</v>
      </c>
      <c r="G123" s="18" t="s">
        <v>123</v>
      </c>
      <c r="H123" s="49" t="s">
        <v>38</v>
      </c>
      <c r="I123" s="49" t="s">
        <v>69</v>
      </c>
      <c r="J123" s="50" t="s">
        <v>47</v>
      </c>
      <c r="K123" s="15">
        <v>150.69999999999999</v>
      </c>
      <c r="L123" s="62">
        <v>790</v>
      </c>
      <c r="M123" s="53">
        <f t="shared" si="4"/>
        <v>119052.99999999999</v>
      </c>
    </row>
    <row r="124" spans="1:15" x14ac:dyDescent="0.25">
      <c r="A124" s="21">
        <f>IF(C124="","",COUNTA($C$3:C124))</f>
        <v>122</v>
      </c>
      <c r="B124" s="35" t="str">
        <f t="shared" si="3"/>
        <v>April</v>
      </c>
      <c r="C124" s="33">
        <v>46127</v>
      </c>
      <c r="D124" s="64">
        <v>61930</v>
      </c>
      <c r="E124" s="51">
        <v>45342</v>
      </c>
      <c r="F124" s="18" t="s">
        <v>120</v>
      </c>
      <c r="G124" s="18" t="s">
        <v>123</v>
      </c>
      <c r="H124" s="49" t="s">
        <v>38</v>
      </c>
      <c r="I124" s="49" t="s">
        <v>39</v>
      </c>
      <c r="J124" s="50" t="s">
        <v>47</v>
      </c>
      <c r="K124" s="15">
        <v>3.7</v>
      </c>
      <c r="L124" s="54">
        <v>915</v>
      </c>
      <c r="M124" s="53">
        <f t="shared" si="4"/>
        <v>3385.5</v>
      </c>
    </row>
    <row r="125" spans="1:15" x14ac:dyDescent="0.25">
      <c r="A125" s="21">
        <f>IF(C125="","",COUNTA($C$3:C125))</f>
        <v>123</v>
      </c>
      <c r="B125" s="35" t="str">
        <f t="shared" si="3"/>
        <v>April</v>
      </c>
      <c r="C125" s="33">
        <v>46127</v>
      </c>
      <c r="D125" s="64">
        <v>61930</v>
      </c>
      <c r="E125" s="51">
        <v>45342</v>
      </c>
      <c r="F125" s="18" t="s">
        <v>120</v>
      </c>
      <c r="G125" s="18" t="s">
        <v>123</v>
      </c>
      <c r="H125" s="49" t="s">
        <v>129</v>
      </c>
      <c r="I125" s="49" t="s">
        <v>74</v>
      </c>
      <c r="J125" s="50" t="s">
        <v>47</v>
      </c>
      <c r="K125" s="15">
        <v>379.4</v>
      </c>
      <c r="L125" s="54">
        <v>289</v>
      </c>
      <c r="M125" s="48">
        <f t="shared" si="4"/>
        <v>109646.59999999999</v>
      </c>
    </row>
    <row r="126" spans="1:15" x14ac:dyDescent="0.25">
      <c r="A126" s="21">
        <f>IF(C126="","",COUNTA($C$3:C126))</f>
        <v>124</v>
      </c>
      <c r="B126" s="35" t="str">
        <f t="shared" si="3"/>
        <v>April</v>
      </c>
      <c r="C126" s="33">
        <v>46127</v>
      </c>
      <c r="D126" s="64">
        <v>61930</v>
      </c>
      <c r="E126" s="51">
        <v>45342</v>
      </c>
      <c r="F126" s="18" t="s">
        <v>120</v>
      </c>
      <c r="G126" s="18" t="s">
        <v>123</v>
      </c>
      <c r="H126" s="49" t="s">
        <v>129</v>
      </c>
      <c r="I126" s="49" t="s">
        <v>75</v>
      </c>
      <c r="J126" s="50" t="s">
        <v>47</v>
      </c>
      <c r="K126" s="55">
        <v>68.2</v>
      </c>
      <c r="L126" s="54">
        <v>805</v>
      </c>
      <c r="M126" s="53">
        <f t="shared" si="4"/>
        <v>54901</v>
      </c>
    </row>
    <row r="127" spans="1:15" x14ac:dyDescent="0.25">
      <c r="A127" s="21">
        <f>IF(C127="","",COUNTA($C$3:C127))</f>
        <v>125</v>
      </c>
      <c r="B127" s="35" t="str">
        <f t="shared" si="3"/>
        <v>April</v>
      </c>
      <c r="C127" s="33">
        <v>46127</v>
      </c>
      <c r="D127" s="64">
        <v>61930</v>
      </c>
      <c r="E127" s="51">
        <v>45342</v>
      </c>
      <c r="F127" s="18" t="s">
        <v>120</v>
      </c>
      <c r="G127" s="18" t="s">
        <v>123</v>
      </c>
      <c r="H127" s="49" t="s">
        <v>129</v>
      </c>
      <c r="I127" s="49" t="s">
        <v>115</v>
      </c>
      <c r="J127" s="50" t="s">
        <v>47</v>
      </c>
      <c r="K127" s="15">
        <v>76.599999999999994</v>
      </c>
      <c r="L127" s="54">
        <v>1271</v>
      </c>
      <c r="M127" s="53">
        <f t="shared" si="4"/>
        <v>97358.599999999991</v>
      </c>
    </row>
    <row r="128" spans="1:15" x14ac:dyDescent="0.25">
      <c r="A128" s="21">
        <f>IF(C128="","",COUNTA($C$3:C128))</f>
        <v>126</v>
      </c>
      <c r="B128" s="35" t="str">
        <f t="shared" si="3"/>
        <v>April</v>
      </c>
      <c r="C128" s="33">
        <v>46127</v>
      </c>
      <c r="D128" s="64">
        <v>61930</v>
      </c>
      <c r="E128" s="51">
        <v>45342</v>
      </c>
      <c r="F128" s="18" t="s">
        <v>120</v>
      </c>
      <c r="G128" s="18" t="s">
        <v>123</v>
      </c>
      <c r="H128" s="49" t="s">
        <v>130</v>
      </c>
      <c r="I128" s="49" t="s">
        <v>40</v>
      </c>
      <c r="J128" s="50" t="s">
        <v>47</v>
      </c>
      <c r="K128" s="15">
        <v>460</v>
      </c>
      <c r="L128" s="54">
        <v>15</v>
      </c>
      <c r="M128" s="53">
        <f t="shared" si="4"/>
        <v>6900</v>
      </c>
      <c r="N128" s="59"/>
    </row>
    <row r="129" spans="1:17" x14ac:dyDescent="0.25">
      <c r="A129" s="21">
        <f>IF(C129="","",COUNTA($C$3:C129))</f>
        <v>127</v>
      </c>
      <c r="B129" s="35" t="str">
        <f t="shared" si="3"/>
        <v>April</v>
      </c>
      <c r="C129" s="33">
        <v>46128</v>
      </c>
      <c r="D129" s="64">
        <v>61949</v>
      </c>
      <c r="E129" s="51">
        <v>45343</v>
      </c>
      <c r="F129" s="18" t="s">
        <v>120</v>
      </c>
      <c r="G129" s="52" t="s">
        <v>170</v>
      </c>
      <c r="H129" s="49" t="s">
        <v>161</v>
      </c>
      <c r="I129" s="49" t="s">
        <v>78</v>
      </c>
      <c r="J129" s="50" t="s">
        <v>47</v>
      </c>
      <c r="K129" s="15">
        <v>9</v>
      </c>
      <c r="L129" s="54">
        <v>920</v>
      </c>
      <c r="M129" s="53">
        <f t="shared" si="4"/>
        <v>8280</v>
      </c>
    </row>
    <row r="130" spans="1:17" x14ac:dyDescent="0.25">
      <c r="A130" s="21">
        <f>IF(C130="","",COUNTA($C$3:C130))</f>
        <v>128</v>
      </c>
      <c r="B130" s="35" t="str">
        <f t="shared" si="3"/>
        <v>April</v>
      </c>
      <c r="C130" s="33">
        <v>46128</v>
      </c>
      <c r="D130" s="64">
        <v>61949</v>
      </c>
      <c r="E130" s="51">
        <v>45343</v>
      </c>
      <c r="F130" s="18" t="s">
        <v>120</v>
      </c>
      <c r="G130" s="52" t="s">
        <v>170</v>
      </c>
      <c r="H130" s="49" t="s">
        <v>161</v>
      </c>
      <c r="I130" s="49" t="s">
        <v>68</v>
      </c>
      <c r="J130" s="50" t="s">
        <v>47</v>
      </c>
      <c r="K130" s="15">
        <v>12</v>
      </c>
      <c r="L130" s="62">
        <v>454</v>
      </c>
      <c r="M130" s="53">
        <f t="shared" si="4"/>
        <v>5448</v>
      </c>
    </row>
    <row r="131" spans="1:17" x14ac:dyDescent="0.25">
      <c r="A131" s="21">
        <f>IF(C131="","",COUNTA($C$3:C131))</f>
        <v>129</v>
      </c>
      <c r="B131" s="35" t="str">
        <f t="shared" si="3"/>
        <v>April</v>
      </c>
      <c r="C131" s="33">
        <v>46128</v>
      </c>
      <c r="D131" s="64">
        <v>61936</v>
      </c>
      <c r="E131" s="51">
        <v>45344</v>
      </c>
      <c r="F131" s="52" t="s">
        <v>131</v>
      </c>
      <c r="G131" s="52" t="s">
        <v>128</v>
      </c>
      <c r="H131" s="49" t="s">
        <v>38</v>
      </c>
      <c r="I131" s="49" t="s">
        <v>39</v>
      </c>
      <c r="J131" s="50" t="s">
        <v>47</v>
      </c>
      <c r="K131" s="15">
        <v>15.3</v>
      </c>
      <c r="L131" s="54">
        <v>915</v>
      </c>
      <c r="M131" s="53">
        <f t="shared" si="4"/>
        <v>13999.5</v>
      </c>
    </row>
    <row r="132" spans="1:17" x14ac:dyDescent="0.25">
      <c r="A132" s="21">
        <f>IF(C132="","",COUNTA($C$3:C132))</f>
        <v>130</v>
      </c>
      <c r="B132" s="35" t="str">
        <f t="shared" ref="B132:B195" si="5">IF(C132="","",TEXT(C132,"mmmm"))</f>
        <v>April</v>
      </c>
      <c r="C132" s="33">
        <v>46128</v>
      </c>
      <c r="D132" s="64">
        <v>61936</v>
      </c>
      <c r="E132" s="51">
        <v>45344</v>
      </c>
      <c r="F132" s="52" t="s">
        <v>131</v>
      </c>
      <c r="G132" s="52" t="s">
        <v>128</v>
      </c>
      <c r="H132" s="49" t="s">
        <v>129</v>
      </c>
      <c r="I132" s="49" t="s">
        <v>83</v>
      </c>
      <c r="J132" s="50" t="s">
        <v>47</v>
      </c>
      <c r="K132" s="15">
        <v>15.3</v>
      </c>
      <c r="L132" s="54">
        <v>380</v>
      </c>
      <c r="M132" s="53">
        <f t="shared" si="4"/>
        <v>5814</v>
      </c>
    </row>
    <row r="133" spans="1:17" x14ac:dyDescent="0.25">
      <c r="A133" s="21">
        <f>IF(C133="","",COUNTA($C$3:C133))</f>
        <v>131</v>
      </c>
      <c r="B133" s="35" t="str">
        <f t="shared" si="5"/>
        <v>April</v>
      </c>
      <c r="C133" s="33">
        <v>46128</v>
      </c>
      <c r="D133" s="64">
        <v>61936</v>
      </c>
      <c r="E133" s="60">
        <v>45345</v>
      </c>
      <c r="F133" s="52" t="s">
        <v>131</v>
      </c>
      <c r="G133" s="52" t="s">
        <v>128</v>
      </c>
      <c r="H133" s="49" t="s">
        <v>38</v>
      </c>
      <c r="I133" s="49" t="s">
        <v>39</v>
      </c>
      <c r="J133" s="50" t="s">
        <v>47</v>
      </c>
      <c r="K133" s="15">
        <v>13.8</v>
      </c>
      <c r="L133" s="54">
        <v>915</v>
      </c>
      <c r="M133" s="53">
        <f t="shared" si="4"/>
        <v>12627</v>
      </c>
    </row>
    <row r="134" spans="1:17" x14ac:dyDescent="0.25">
      <c r="A134" s="21">
        <f>IF(C134="","",COUNTA($C$3:C134))</f>
        <v>132</v>
      </c>
      <c r="B134" s="35" t="str">
        <f t="shared" si="5"/>
        <v>April</v>
      </c>
      <c r="C134" s="33">
        <v>46128</v>
      </c>
      <c r="D134" s="64">
        <v>61936</v>
      </c>
      <c r="E134" s="60">
        <v>45345</v>
      </c>
      <c r="F134" s="52" t="s">
        <v>131</v>
      </c>
      <c r="G134" s="52" t="s">
        <v>128</v>
      </c>
      <c r="H134" s="49" t="s">
        <v>129</v>
      </c>
      <c r="I134" s="49" t="s">
        <v>83</v>
      </c>
      <c r="J134" s="50" t="s">
        <v>47</v>
      </c>
      <c r="K134" s="15">
        <v>13.8</v>
      </c>
      <c r="L134" s="54">
        <v>380</v>
      </c>
      <c r="M134" s="53">
        <f t="shared" si="4"/>
        <v>5244</v>
      </c>
    </row>
    <row r="135" spans="1:17" x14ac:dyDescent="0.25">
      <c r="A135" s="21">
        <f>IF(C135="","",COUNTA($C$3:C135))</f>
        <v>133</v>
      </c>
      <c r="B135" s="35" t="str">
        <f t="shared" si="5"/>
        <v>April</v>
      </c>
      <c r="C135" s="33">
        <v>46129</v>
      </c>
      <c r="D135" s="64">
        <v>61951</v>
      </c>
      <c r="E135" s="60">
        <v>45346</v>
      </c>
      <c r="F135" s="52" t="s">
        <v>120</v>
      </c>
      <c r="G135" s="52" t="s">
        <v>173</v>
      </c>
      <c r="H135" s="49" t="s">
        <v>38</v>
      </c>
      <c r="I135" s="49" t="s">
        <v>68</v>
      </c>
      <c r="J135" s="50" t="s">
        <v>47</v>
      </c>
      <c r="K135" s="15">
        <v>110.1</v>
      </c>
      <c r="L135" s="54">
        <v>670</v>
      </c>
      <c r="M135" s="53">
        <f t="shared" si="4"/>
        <v>73767</v>
      </c>
    </row>
    <row r="136" spans="1:17" x14ac:dyDescent="0.25">
      <c r="A136" s="21">
        <f>IF(C136="","",COUNTA($C$3:C136))</f>
        <v>134</v>
      </c>
      <c r="B136" s="35" t="str">
        <f t="shared" si="5"/>
        <v>April</v>
      </c>
      <c r="C136" s="33">
        <v>46129</v>
      </c>
      <c r="D136" s="64">
        <v>61951</v>
      </c>
      <c r="E136" s="60">
        <v>45346</v>
      </c>
      <c r="F136" s="52" t="s">
        <v>120</v>
      </c>
      <c r="G136" s="52" t="s">
        <v>173</v>
      </c>
      <c r="H136" s="49" t="s">
        <v>38</v>
      </c>
      <c r="I136" s="49" t="s">
        <v>69</v>
      </c>
      <c r="J136" s="50" t="s">
        <v>47</v>
      </c>
      <c r="K136" s="15">
        <v>28.8</v>
      </c>
      <c r="L136" s="62">
        <v>868</v>
      </c>
      <c r="M136" s="53">
        <f t="shared" si="4"/>
        <v>24998.400000000001</v>
      </c>
    </row>
    <row r="137" spans="1:17" x14ac:dyDescent="0.25">
      <c r="A137" s="21">
        <f>IF(C137="","",COUNTA($C$3:C137))</f>
        <v>135</v>
      </c>
      <c r="B137" s="35" t="str">
        <f t="shared" si="5"/>
        <v>April</v>
      </c>
      <c r="C137" s="33">
        <v>46129</v>
      </c>
      <c r="D137" s="64">
        <v>61951</v>
      </c>
      <c r="E137" s="60">
        <v>45346</v>
      </c>
      <c r="F137" s="52" t="s">
        <v>120</v>
      </c>
      <c r="G137" s="52" t="s">
        <v>173</v>
      </c>
      <c r="H137" s="49" t="s">
        <v>129</v>
      </c>
      <c r="I137" s="49" t="s">
        <v>94</v>
      </c>
      <c r="J137" s="50" t="s">
        <v>47</v>
      </c>
      <c r="K137" s="15">
        <v>1.5</v>
      </c>
      <c r="L137" s="53">
        <v>820</v>
      </c>
      <c r="M137" s="53">
        <f t="shared" si="4"/>
        <v>1230</v>
      </c>
    </row>
    <row r="138" spans="1:17" x14ac:dyDescent="0.25">
      <c r="A138" s="21">
        <f>IF(C138="","",COUNTA($C$3:C138))</f>
        <v>136</v>
      </c>
      <c r="B138" s="35" t="str">
        <f t="shared" si="5"/>
        <v>April</v>
      </c>
      <c r="C138" s="33">
        <v>46129</v>
      </c>
      <c r="D138" s="64">
        <v>61951</v>
      </c>
      <c r="E138" s="60">
        <v>45346</v>
      </c>
      <c r="F138" s="52" t="s">
        <v>120</v>
      </c>
      <c r="G138" s="52" t="s">
        <v>173</v>
      </c>
      <c r="H138" s="49" t="s">
        <v>129</v>
      </c>
      <c r="I138" s="49" t="s">
        <v>86</v>
      </c>
      <c r="J138" s="50" t="s">
        <v>47</v>
      </c>
      <c r="K138" s="15">
        <v>106.4</v>
      </c>
      <c r="L138" s="54">
        <v>507</v>
      </c>
      <c r="M138" s="53">
        <f t="shared" si="4"/>
        <v>53944.800000000003</v>
      </c>
    </row>
    <row r="139" spans="1:17" x14ac:dyDescent="0.25">
      <c r="A139" s="21">
        <f>IF(C139="","",COUNTA($C$3:C139))</f>
        <v>137</v>
      </c>
      <c r="B139" s="35" t="str">
        <f t="shared" si="5"/>
        <v>April</v>
      </c>
      <c r="C139" s="33">
        <v>46129</v>
      </c>
      <c r="D139" s="64">
        <v>61951</v>
      </c>
      <c r="E139" s="60">
        <v>45346</v>
      </c>
      <c r="F139" s="52" t="s">
        <v>120</v>
      </c>
      <c r="G139" s="52" t="s">
        <v>173</v>
      </c>
      <c r="H139" s="49" t="s">
        <v>176</v>
      </c>
      <c r="I139" s="49" t="s">
        <v>86</v>
      </c>
      <c r="J139" s="50" t="s">
        <v>47</v>
      </c>
      <c r="K139" s="15">
        <v>20</v>
      </c>
      <c r="L139" s="54">
        <v>360</v>
      </c>
      <c r="M139" s="53">
        <f t="shared" si="4"/>
        <v>7200</v>
      </c>
      <c r="O139" s="59"/>
      <c r="P139" s="112"/>
      <c r="Q139" s="59"/>
    </row>
    <row r="140" spans="1:17" x14ac:dyDescent="0.25">
      <c r="A140" s="21">
        <f>IF(C140="","",COUNTA($C$3:C140))</f>
        <v>138</v>
      </c>
      <c r="B140" s="35" t="str">
        <f t="shared" si="5"/>
        <v>April</v>
      </c>
      <c r="C140" s="33">
        <v>46129</v>
      </c>
      <c r="D140" s="64">
        <v>61951</v>
      </c>
      <c r="E140" s="60">
        <v>45346</v>
      </c>
      <c r="F140" s="52" t="s">
        <v>120</v>
      </c>
      <c r="G140" s="52" t="s">
        <v>173</v>
      </c>
      <c r="H140" s="49" t="s">
        <v>130</v>
      </c>
      <c r="I140" s="49" t="s">
        <v>40</v>
      </c>
      <c r="J140" s="50" t="s">
        <v>47</v>
      </c>
      <c r="K140" s="15">
        <v>110</v>
      </c>
      <c r="L140" s="54">
        <v>15</v>
      </c>
      <c r="M140" s="53">
        <f t="shared" si="4"/>
        <v>1650</v>
      </c>
      <c r="O140" s="59"/>
      <c r="P140" s="112"/>
      <c r="Q140" s="59"/>
    </row>
    <row r="141" spans="1:17" x14ac:dyDescent="0.25">
      <c r="A141" s="21">
        <f>IF(C141="","",COUNTA($C$3:C141))</f>
        <v>139</v>
      </c>
      <c r="B141" s="35" t="str">
        <f t="shared" si="5"/>
        <v>April</v>
      </c>
      <c r="C141" s="33">
        <v>46129</v>
      </c>
      <c r="D141" s="64">
        <v>61952</v>
      </c>
      <c r="E141" s="60">
        <v>45347</v>
      </c>
      <c r="F141" s="52" t="s">
        <v>174</v>
      </c>
      <c r="G141" s="52" t="s">
        <v>175</v>
      </c>
      <c r="H141" s="49" t="s">
        <v>38</v>
      </c>
      <c r="I141" s="49" t="s">
        <v>68</v>
      </c>
      <c r="J141" s="50" t="s">
        <v>47</v>
      </c>
      <c r="K141" s="105">
        <v>112.4</v>
      </c>
      <c r="L141" s="54">
        <v>620</v>
      </c>
      <c r="M141" s="53">
        <f t="shared" si="4"/>
        <v>69688</v>
      </c>
    </row>
    <row r="142" spans="1:17" x14ac:dyDescent="0.25">
      <c r="A142" s="21">
        <f>IF(C142="","",COUNTA($C$3:C142))</f>
        <v>140</v>
      </c>
      <c r="B142" s="35" t="str">
        <f t="shared" si="5"/>
        <v>April</v>
      </c>
      <c r="C142" s="33">
        <v>46129</v>
      </c>
      <c r="D142" s="64">
        <v>61952</v>
      </c>
      <c r="E142" s="60">
        <v>45347</v>
      </c>
      <c r="F142" s="52" t="s">
        <v>174</v>
      </c>
      <c r="G142" s="52" t="s">
        <v>175</v>
      </c>
      <c r="H142" s="49" t="s">
        <v>38</v>
      </c>
      <c r="I142" s="49" t="s">
        <v>69</v>
      </c>
      <c r="J142" s="50" t="s">
        <v>47</v>
      </c>
      <c r="K142" s="67">
        <v>31.7</v>
      </c>
      <c r="L142" s="54">
        <v>800</v>
      </c>
      <c r="M142" s="53">
        <f t="shared" si="4"/>
        <v>25360</v>
      </c>
    </row>
    <row r="143" spans="1:17" x14ac:dyDescent="0.25">
      <c r="A143" s="21">
        <f>IF(C143="","",COUNTA($C$3:C143))</f>
        <v>141</v>
      </c>
      <c r="B143" s="35" t="str">
        <f t="shared" si="5"/>
        <v>April</v>
      </c>
      <c r="C143" s="33">
        <v>46130</v>
      </c>
      <c r="D143" s="64">
        <v>61768</v>
      </c>
      <c r="E143" s="60">
        <v>45348</v>
      </c>
      <c r="F143" s="52" t="s">
        <v>144</v>
      </c>
      <c r="G143" s="18" t="s">
        <v>146</v>
      </c>
      <c r="H143" s="49" t="s">
        <v>143</v>
      </c>
      <c r="I143" s="49" t="s">
        <v>148</v>
      </c>
      <c r="J143" s="50" t="s">
        <v>70</v>
      </c>
      <c r="K143" s="15">
        <v>10</v>
      </c>
      <c r="L143" s="54">
        <v>900</v>
      </c>
      <c r="M143" s="53">
        <f t="shared" si="4"/>
        <v>9000</v>
      </c>
    </row>
    <row r="144" spans="1:17" x14ac:dyDescent="0.25">
      <c r="A144" s="21">
        <f>IF(C144="","",COUNTA($C$3:C144))</f>
        <v>142</v>
      </c>
      <c r="B144" s="35" t="str">
        <f t="shared" si="5"/>
        <v>April</v>
      </c>
      <c r="C144" s="33">
        <v>46130</v>
      </c>
      <c r="D144" s="64">
        <v>61768</v>
      </c>
      <c r="E144" s="60">
        <v>45348</v>
      </c>
      <c r="F144" s="52" t="s">
        <v>144</v>
      </c>
      <c r="G144" s="18" t="s">
        <v>146</v>
      </c>
      <c r="H144" s="49" t="s">
        <v>143</v>
      </c>
      <c r="I144" s="49" t="s">
        <v>149</v>
      </c>
      <c r="J144" s="50" t="s">
        <v>70</v>
      </c>
      <c r="K144" s="15">
        <v>10</v>
      </c>
      <c r="L144" s="48">
        <v>664.2</v>
      </c>
      <c r="M144" s="53">
        <f t="shared" si="4"/>
        <v>6642</v>
      </c>
    </row>
    <row r="145" spans="1:13" x14ac:dyDescent="0.25">
      <c r="A145" s="21">
        <f>IF(C145="","",COUNTA($C$3:C145))</f>
        <v>143</v>
      </c>
      <c r="B145" s="35" t="str">
        <f t="shared" si="5"/>
        <v>April</v>
      </c>
      <c r="C145" s="33">
        <v>46130</v>
      </c>
      <c r="D145" s="64">
        <v>61768</v>
      </c>
      <c r="E145" s="60">
        <v>45348</v>
      </c>
      <c r="F145" s="52" t="s">
        <v>144</v>
      </c>
      <c r="G145" s="18" t="s">
        <v>146</v>
      </c>
      <c r="H145" s="49" t="s">
        <v>143</v>
      </c>
      <c r="I145" s="49" t="s">
        <v>178</v>
      </c>
      <c r="J145" s="50" t="s">
        <v>179</v>
      </c>
      <c r="K145" s="15">
        <v>1</v>
      </c>
      <c r="L145" s="54">
        <v>895</v>
      </c>
      <c r="M145" s="53">
        <f t="shared" si="4"/>
        <v>895</v>
      </c>
    </row>
    <row r="146" spans="1:13" x14ac:dyDescent="0.25">
      <c r="A146" s="21">
        <f>IF(C146="","",COUNTA($C$3:C146))</f>
        <v>144</v>
      </c>
      <c r="B146" s="35" t="str">
        <f t="shared" si="5"/>
        <v>April</v>
      </c>
      <c r="C146" s="33">
        <v>46130</v>
      </c>
      <c r="D146" s="64">
        <v>61768</v>
      </c>
      <c r="E146" s="60">
        <v>45348</v>
      </c>
      <c r="F146" s="52" t="s">
        <v>144</v>
      </c>
      <c r="G146" s="18" t="s">
        <v>146</v>
      </c>
      <c r="H146" s="49" t="s">
        <v>143</v>
      </c>
      <c r="I146" s="49" t="s">
        <v>180</v>
      </c>
      <c r="J146" s="50" t="s">
        <v>179</v>
      </c>
      <c r="K146" s="15">
        <v>1</v>
      </c>
      <c r="L146" s="54">
        <v>355</v>
      </c>
      <c r="M146" s="53">
        <f t="shared" si="4"/>
        <v>355</v>
      </c>
    </row>
    <row r="147" spans="1:13" x14ac:dyDescent="0.25">
      <c r="A147" s="21">
        <f>IF(C147="","",COUNTA($C$3:C147))</f>
        <v>145</v>
      </c>
      <c r="B147" s="35" t="str">
        <f t="shared" si="5"/>
        <v>April</v>
      </c>
      <c r="C147" s="33">
        <v>46130</v>
      </c>
      <c r="D147" s="64">
        <v>61768</v>
      </c>
      <c r="E147" s="60">
        <v>45348</v>
      </c>
      <c r="F147" s="52" t="s">
        <v>144</v>
      </c>
      <c r="G147" s="18" t="s">
        <v>146</v>
      </c>
      <c r="H147" s="49" t="s">
        <v>143</v>
      </c>
      <c r="I147" s="49" t="s">
        <v>181</v>
      </c>
      <c r="J147" s="50" t="s">
        <v>179</v>
      </c>
      <c r="K147" s="15">
        <v>1</v>
      </c>
      <c r="L147" s="54">
        <v>636</v>
      </c>
      <c r="M147" s="53">
        <f t="shared" si="4"/>
        <v>636</v>
      </c>
    </row>
    <row r="148" spans="1:13" x14ac:dyDescent="0.25">
      <c r="A148" s="21">
        <f>IF(C148="","",COUNTA($C$3:C148))</f>
        <v>146</v>
      </c>
      <c r="B148" s="35" t="str">
        <f t="shared" si="5"/>
        <v>April</v>
      </c>
      <c r="C148" s="33">
        <v>46130</v>
      </c>
      <c r="D148" s="64">
        <v>61768</v>
      </c>
      <c r="E148" s="60">
        <v>45348</v>
      </c>
      <c r="F148" s="52" t="s">
        <v>144</v>
      </c>
      <c r="G148" s="18" t="s">
        <v>146</v>
      </c>
      <c r="H148" s="49" t="s">
        <v>143</v>
      </c>
      <c r="I148" s="49" t="s">
        <v>182</v>
      </c>
      <c r="J148" s="50" t="s">
        <v>179</v>
      </c>
      <c r="K148" s="15">
        <v>1</v>
      </c>
      <c r="L148" s="54">
        <v>699</v>
      </c>
      <c r="M148" s="53">
        <f t="shared" si="4"/>
        <v>699</v>
      </c>
    </row>
    <row r="149" spans="1:13" x14ac:dyDescent="0.25">
      <c r="A149" s="21">
        <f>IF(C149="","",COUNTA($C$3:C149))</f>
        <v>147</v>
      </c>
      <c r="B149" s="35" t="str">
        <f t="shared" si="5"/>
        <v>April</v>
      </c>
      <c r="C149" s="33">
        <v>46130</v>
      </c>
      <c r="D149" s="64">
        <v>61768</v>
      </c>
      <c r="E149" s="60">
        <v>45348</v>
      </c>
      <c r="F149" s="52" t="s">
        <v>144</v>
      </c>
      <c r="G149" s="18" t="s">
        <v>146</v>
      </c>
      <c r="H149" s="49" t="s">
        <v>143</v>
      </c>
      <c r="I149" s="49" t="s">
        <v>183</v>
      </c>
      <c r="J149" s="50" t="s">
        <v>70</v>
      </c>
      <c r="K149" s="15">
        <v>2</v>
      </c>
      <c r="L149" s="54">
        <v>690</v>
      </c>
      <c r="M149" s="53">
        <f t="shared" si="4"/>
        <v>1380</v>
      </c>
    </row>
    <row r="150" spans="1:13" x14ac:dyDescent="0.25">
      <c r="A150" s="21">
        <f>IF(C150="","",COUNTA($C$3:C150))</f>
        <v>148</v>
      </c>
      <c r="B150" s="35" t="str">
        <f t="shared" si="5"/>
        <v>April</v>
      </c>
      <c r="C150" s="33">
        <v>46130</v>
      </c>
      <c r="D150" s="64">
        <v>61768</v>
      </c>
      <c r="E150" s="60">
        <v>45348</v>
      </c>
      <c r="F150" s="52" t="s">
        <v>144</v>
      </c>
      <c r="G150" s="18" t="s">
        <v>146</v>
      </c>
      <c r="H150" s="49" t="s">
        <v>143</v>
      </c>
      <c r="I150" s="49" t="s">
        <v>184</v>
      </c>
      <c r="J150" s="50" t="s">
        <v>70</v>
      </c>
      <c r="K150" s="15">
        <v>2</v>
      </c>
      <c r="L150" s="54">
        <v>177</v>
      </c>
      <c r="M150" s="53">
        <f t="shared" si="4"/>
        <v>354</v>
      </c>
    </row>
    <row r="151" spans="1:13" x14ac:dyDescent="0.25">
      <c r="A151" s="21">
        <f>IF(C151="","",COUNTA($C$3:C151))</f>
        <v>149</v>
      </c>
      <c r="B151" s="35" t="str">
        <f t="shared" si="5"/>
        <v>April</v>
      </c>
      <c r="C151" s="33">
        <v>46130</v>
      </c>
      <c r="D151" s="64">
        <v>61768</v>
      </c>
      <c r="E151" s="60">
        <v>45348</v>
      </c>
      <c r="F151" s="52" t="s">
        <v>144</v>
      </c>
      <c r="G151" s="18" t="s">
        <v>146</v>
      </c>
      <c r="H151" s="49" t="s">
        <v>143</v>
      </c>
      <c r="I151" s="49" t="s">
        <v>185</v>
      </c>
      <c r="J151" s="50" t="s">
        <v>70</v>
      </c>
      <c r="K151" s="15">
        <v>10</v>
      </c>
      <c r="L151" s="54">
        <v>250</v>
      </c>
      <c r="M151" s="53">
        <f t="shared" si="4"/>
        <v>2500</v>
      </c>
    </row>
    <row r="152" spans="1:13" x14ac:dyDescent="0.25">
      <c r="A152" s="21">
        <f>IF(C152="","",COUNTA($C$3:C152))</f>
        <v>150</v>
      </c>
      <c r="B152" s="35" t="str">
        <f t="shared" si="5"/>
        <v>April</v>
      </c>
      <c r="C152" s="33">
        <v>46130</v>
      </c>
      <c r="D152" s="64">
        <v>61768</v>
      </c>
      <c r="E152" s="60">
        <v>45348</v>
      </c>
      <c r="F152" s="52" t="s">
        <v>144</v>
      </c>
      <c r="G152" s="18" t="s">
        <v>146</v>
      </c>
      <c r="H152" s="49" t="s">
        <v>143</v>
      </c>
      <c r="I152" s="49" t="s">
        <v>186</v>
      </c>
      <c r="J152" s="50" t="s">
        <v>70</v>
      </c>
      <c r="K152" s="15">
        <v>5</v>
      </c>
      <c r="L152" s="54">
        <v>200</v>
      </c>
      <c r="M152" s="53">
        <f t="shared" si="4"/>
        <v>1000</v>
      </c>
    </row>
    <row r="153" spans="1:13" x14ac:dyDescent="0.25">
      <c r="A153" s="21">
        <f>IF(C153="","",COUNTA($C$3:C153))</f>
        <v>151</v>
      </c>
      <c r="B153" s="35" t="str">
        <f t="shared" si="5"/>
        <v>April</v>
      </c>
      <c r="C153" s="33">
        <v>46130</v>
      </c>
      <c r="D153" s="64">
        <v>61768</v>
      </c>
      <c r="E153" s="60">
        <v>45348</v>
      </c>
      <c r="F153" s="52" t="s">
        <v>144</v>
      </c>
      <c r="G153" s="18" t="s">
        <v>146</v>
      </c>
      <c r="H153" s="49" t="s">
        <v>143</v>
      </c>
      <c r="I153" s="49" t="s">
        <v>187</v>
      </c>
      <c r="J153" s="50" t="s">
        <v>70</v>
      </c>
      <c r="K153" s="15">
        <v>2</v>
      </c>
      <c r="L153" s="54">
        <v>1175</v>
      </c>
      <c r="M153" s="53">
        <f t="shared" si="4"/>
        <v>2350</v>
      </c>
    </row>
    <row r="154" spans="1:13" x14ac:dyDescent="0.25">
      <c r="A154" s="21">
        <f>IF(C154="","",COUNTA($C$3:C154))</f>
        <v>152</v>
      </c>
      <c r="B154" s="35" t="str">
        <f t="shared" si="5"/>
        <v>April</v>
      </c>
      <c r="C154" s="33">
        <v>46130</v>
      </c>
      <c r="D154" s="64">
        <v>61768</v>
      </c>
      <c r="E154" s="60">
        <v>45348</v>
      </c>
      <c r="F154" s="52" t="s">
        <v>144</v>
      </c>
      <c r="G154" s="18" t="s">
        <v>146</v>
      </c>
      <c r="H154" s="49" t="s">
        <v>143</v>
      </c>
      <c r="I154" s="49" t="s">
        <v>188</v>
      </c>
      <c r="J154" s="50" t="s">
        <v>70</v>
      </c>
      <c r="K154" s="15">
        <v>2</v>
      </c>
      <c r="L154" s="53">
        <v>1980</v>
      </c>
      <c r="M154" s="53">
        <f t="shared" si="4"/>
        <v>3960</v>
      </c>
    </row>
    <row r="155" spans="1:13" x14ac:dyDescent="0.25">
      <c r="A155" s="21">
        <f>IF(C155="","",COUNTA($C$3:C155))</f>
        <v>153</v>
      </c>
      <c r="B155" s="35" t="str">
        <f t="shared" si="5"/>
        <v>April</v>
      </c>
      <c r="C155" s="33">
        <v>46130</v>
      </c>
      <c r="D155" s="64">
        <v>61768</v>
      </c>
      <c r="E155" s="60">
        <v>45348</v>
      </c>
      <c r="F155" s="52" t="s">
        <v>144</v>
      </c>
      <c r="G155" s="18" t="s">
        <v>146</v>
      </c>
      <c r="H155" s="49" t="s">
        <v>143</v>
      </c>
      <c r="I155" s="49" t="s">
        <v>189</v>
      </c>
      <c r="J155" s="50" t="s">
        <v>70</v>
      </c>
      <c r="K155" s="15">
        <v>2</v>
      </c>
      <c r="L155" s="62">
        <v>1722</v>
      </c>
      <c r="M155" s="53">
        <f t="shared" si="4"/>
        <v>3444</v>
      </c>
    </row>
    <row r="156" spans="1:13" x14ac:dyDescent="0.25">
      <c r="A156" s="21">
        <f>IF(C156="","",COUNTA($C$3:C156))</f>
        <v>154</v>
      </c>
      <c r="B156" s="35" t="str">
        <f t="shared" si="5"/>
        <v>April</v>
      </c>
      <c r="C156" s="33">
        <v>46130</v>
      </c>
      <c r="D156" s="64">
        <v>61768</v>
      </c>
      <c r="E156" s="60">
        <v>45348</v>
      </c>
      <c r="F156" s="52" t="s">
        <v>144</v>
      </c>
      <c r="G156" s="18" t="s">
        <v>146</v>
      </c>
      <c r="H156" s="49" t="s">
        <v>143</v>
      </c>
      <c r="I156" s="49" t="s">
        <v>190</v>
      </c>
      <c r="J156" s="50" t="s">
        <v>70</v>
      </c>
      <c r="K156" s="15">
        <v>2</v>
      </c>
      <c r="L156" s="78">
        <v>3570</v>
      </c>
      <c r="M156" s="53">
        <f t="shared" si="4"/>
        <v>7140</v>
      </c>
    </row>
    <row r="157" spans="1:13" x14ac:dyDescent="0.25">
      <c r="A157" s="21">
        <f>IF(C157="","",COUNTA($C$3:C157))</f>
        <v>155</v>
      </c>
      <c r="B157" s="35" t="str">
        <f t="shared" si="5"/>
        <v>April</v>
      </c>
      <c r="C157" s="33">
        <v>46130</v>
      </c>
      <c r="D157" s="64">
        <v>61768</v>
      </c>
      <c r="E157" s="60">
        <v>45348</v>
      </c>
      <c r="F157" s="52" t="s">
        <v>144</v>
      </c>
      <c r="G157" s="18" t="s">
        <v>146</v>
      </c>
      <c r="H157" s="49" t="s">
        <v>143</v>
      </c>
      <c r="I157" s="49" t="s">
        <v>191</v>
      </c>
      <c r="J157" s="50" t="s">
        <v>70</v>
      </c>
      <c r="K157" s="15">
        <v>200</v>
      </c>
      <c r="L157" s="53">
        <v>3.5</v>
      </c>
      <c r="M157" s="53">
        <f t="shared" si="4"/>
        <v>700</v>
      </c>
    </row>
    <row r="158" spans="1:13" x14ac:dyDescent="0.25">
      <c r="A158" s="21">
        <f>IF(C158="","",COUNTA($C$3:C158))</f>
        <v>156</v>
      </c>
      <c r="B158" s="35" t="str">
        <f t="shared" si="5"/>
        <v>April</v>
      </c>
      <c r="C158" s="33">
        <v>46130</v>
      </c>
      <c r="D158" s="64">
        <v>61768</v>
      </c>
      <c r="E158" s="60">
        <v>45348</v>
      </c>
      <c r="F158" s="52" t="s">
        <v>144</v>
      </c>
      <c r="G158" s="18" t="s">
        <v>146</v>
      </c>
      <c r="H158" s="49" t="s">
        <v>143</v>
      </c>
      <c r="I158" s="49" t="s">
        <v>192</v>
      </c>
      <c r="J158" s="50" t="s">
        <v>70</v>
      </c>
      <c r="K158" s="15">
        <v>1</v>
      </c>
      <c r="L158" s="54">
        <v>50500</v>
      </c>
      <c r="M158" s="53">
        <f t="shared" si="4"/>
        <v>50500</v>
      </c>
    </row>
    <row r="159" spans="1:13" x14ac:dyDescent="0.25">
      <c r="A159" s="21">
        <f>IF(C159="","",COUNTA($C$3:C159))</f>
        <v>157</v>
      </c>
      <c r="B159" s="35" t="str">
        <f t="shared" si="5"/>
        <v>April</v>
      </c>
      <c r="C159" s="33">
        <v>46130</v>
      </c>
      <c r="D159" s="64">
        <v>61768</v>
      </c>
      <c r="E159" s="60">
        <v>45348</v>
      </c>
      <c r="F159" s="52" t="s">
        <v>144</v>
      </c>
      <c r="G159" s="18" t="s">
        <v>146</v>
      </c>
      <c r="H159" s="49" t="s">
        <v>143</v>
      </c>
      <c r="I159" s="49" t="s">
        <v>193</v>
      </c>
      <c r="J159" s="50" t="s">
        <v>194</v>
      </c>
      <c r="K159" s="15">
        <v>30</v>
      </c>
      <c r="L159" s="62">
        <v>72</v>
      </c>
      <c r="M159" s="53">
        <f t="shared" si="4"/>
        <v>2160</v>
      </c>
    </row>
    <row r="160" spans="1:13" x14ac:dyDescent="0.25">
      <c r="A160" s="21">
        <f>IF(C160="","",COUNTA($C$3:C160))</f>
        <v>158</v>
      </c>
      <c r="B160" s="35" t="str">
        <f t="shared" si="5"/>
        <v>April</v>
      </c>
      <c r="C160" s="33">
        <v>46130</v>
      </c>
      <c r="D160" s="64">
        <v>61768</v>
      </c>
      <c r="E160" s="60">
        <v>45349</v>
      </c>
      <c r="F160" s="52" t="s">
        <v>144</v>
      </c>
      <c r="G160" s="18" t="s">
        <v>146</v>
      </c>
      <c r="H160" s="49" t="s">
        <v>143</v>
      </c>
      <c r="I160" s="49" t="s">
        <v>195</v>
      </c>
      <c r="J160" s="50" t="s">
        <v>47</v>
      </c>
      <c r="K160" s="15">
        <v>96</v>
      </c>
      <c r="L160" s="62">
        <v>448</v>
      </c>
      <c r="M160" s="53">
        <f t="shared" si="4"/>
        <v>43008</v>
      </c>
    </row>
    <row r="161" spans="1:19" x14ac:dyDescent="0.25">
      <c r="A161" s="21">
        <f>IF(C161="","",COUNTA($C$3:C161))</f>
        <v>159</v>
      </c>
      <c r="B161" s="35" t="str">
        <f t="shared" si="5"/>
        <v>April</v>
      </c>
      <c r="C161" s="33">
        <v>46132</v>
      </c>
      <c r="D161" s="64">
        <v>61930</v>
      </c>
      <c r="E161" s="60">
        <v>45350</v>
      </c>
      <c r="F161" s="52" t="s">
        <v>120</v>
      </c>
      <c r="G161" s="52" t="s">
        <v>123</v>
      </c>
      <c r="H161" s="49" t="s">
        <v>38</v>
      </c>
      <c r="I161" s="49" t="s">
        <v>68</v>
      </c>
      <c r="J161" s="50" t="s">
        <v>47</v>
      </c>
      <c r="K161" s="15">
        <v>141.9</v>
      </c>
      <c r="L161" s="54">
        <v>585</v>
      </c>
      <c r="M161" s="53">
        <f t="shared" si="4"/>
        <v>83011.5</v>
      </c>
    </row>
    <row r="162" spans="1:19" x14ac:dyDescent="0.25">
      <c r="A162" s="21">
        <f>IF(C162="","",COUNTA($C$3:C162))</f>
        <v>160</v>
      </c>
      <c r="B162" s="35" t="str">
        <f t="shared" si="5"/>
        <v>April</v>
      </c>
      <c r="C162" s="33">
        <v>46132</v>
      </c>
      <c r="D162" s="64">
        <v>61930</v>
      </c>
      <c r="E162" s="60">
        <v>45350</v>
      </c>
      <c r="F162" s="52" t="s">
        <v>120</v>
      </c>
      <c r="G162" s="52" t="s">
        <v>123</v>
      </c>
      <c r="H162" s="49" t="s">
        <v>38</v>
      </c>
      <c r="I162" s="49" t="s">
        <v>69</v>
      </c>
      <c r="J162" s="50" t="s">
        <v>47</v>
      </c>
      <c r="K162" s="15">
        <v>106</v>
      </c>
      <c r="L162" s="62">
        <v>790</v>
      </c>
      <c r="M162" s="53">
        <f t="shared" si="4"/>
        <v>83740</v>
      </c>
    </row>
    <row r="163" spans="1:19" x14ac:dyDescent="0.25">
      <c r="A163" s="21">
        <f>IF(C163="","",COUNTA($C$3:C163))</f>
        <v>161</v>
      </c>
      <c r="B163" s="35" t="str">
        <f t="shared" si="5"/>
        <v>April</v>
      </c>
      <c r="C163" s="33">
        <v>46132</v>
      </c>
      <c r="D163" s="64">
        <v>61930</v>
      </c>
      <c r="E163" s="60">
        <v>45350</v>
      </c>
      <c r="F163" s="52" t="s">
        <v>120</v>
      </c>
      <c r="G163" s="52" t="s">
        <v>123</v>
      </c>
      <c r="H163" s="49" t="s">
        <v>38</v>
      </c>
      <c r="I163" s="49" t="s">
        <v>39</v>
      </c>
      <c r="J163" s="50" t="s">
        <v>47</v>
      </c>
      <c r="K163" s="15">
        <v>9.6999999999999993</v>
      </c>
      <c r="L163" s="54">
        <v>915</v>
      </c>
      <c r="M163" s="53">
        <f t="shared" si="4"/>
        <v>8875.5</v>
      </c>
    </row>
    <row r="164" spans="1:19" x14ac:dyDescent="0.25">
      <c r="A164" s="21">
        <f>IF(C164="","",COUNTA($C$3:C164))</f>
        <v>162</v>
      </c>
      <c r="B164" s="35" t="str">
        <f t="shared" si="5"/>
        <v>April</v>
      </c>
      <c r="C164" s="33">
        <v>46132</v>
      </c>
      <c r="D164" s="64">
        <v>61930</v>
      </c>
      <c r="E164" s="60">
        <v>45350</v>
      </c>
      <c r="F164" s="52" t="s">
        <v>120</v>
      </c>
      <c r="G164" s="52" t="s">
        <v>123</v>
      </c>
      <c r="H164" s="49" t="s">
        <v>129</v>
      </c>
      <c r="I164" s="49" t="s">
        <v>74</v>
      </c>
      <c r="J164" s="50" t="s">
        <v>47</v>
      </c>
      <c r="K164" s="15">
        <v>123.3</v>
      </c>
      <c r="L164" s="54">
        <v>289</v>
      </c>
      <c r="M164" s="53">
        <f t="shared" si="4"/>
        <v>35633.699999999997</v>
      </c>
    </row>
    <row r="165" spans="1:19" x14ac:dyDescent="0.25">
      <c r="A165" s="21">
        <f>IF(C165="","",COUNTA($C$3:C165))</f>
        <v>163</v>
      </c>
      <c r="B165" s="35" t="str">
        <f t="shared" si="5"/>
        <v>April</v>
      </c>
      <c r="C165" s="33">
        <v>46132</v>
      </c>
      <c r="D165" s="64">
        <v>61930</v>
      </c>
      <c r="E165" s="60">
        <v>45350</v>
      </c>
      <c r="F165" s="52" t="s">
        <v>120</v>
      </c>
      <c r="G165" s="52" t="s">
        <v>123</v>
      </c>
      <c r="H165" s="49" t="s">
        <v>129</v>
      </c>
      <c r="I165" s="49" t="s">
        <v>75</v>
      </c>
      <c r="J165" s="50" t="s">
        <v>47</v>
      </c>
      <c r="K165" s="55">
        <f>52.1+19.9565+187.62735</f>
        <v>259.68385000000001</v>
      </c>
      <c r="L165" s="54">
        <v>805</v>
      </c>
      <c r="M165" s="53">
        <f t="shared" si="4"/>
        <v>209045.49924999999</v>
      </c>
    </row>
    <row r="166" spans="1:19" x14ac:dyDescent="0.25">
      <c r="A166" s="21">
        <f>IF(C166="","",COUNTA($C$3:C166))</f>
        <v>164</v>
      </c>
      <c r="B166" s="35" t="str">
        <f t="shared" si="5"/>
        <v>April</v>
      </c>
      <c r="C166" s="33">
        <v>46132</v>
      </c>
      <c r="D166" s="64">
        <v>61930</v>
      </c>
      <c r="E166" s="60">
        <v>45350</v>
      </c>
      <c r="F166" s="52" t="s">
        <v>120</v>
      </c>
      <c r="G166" s="52" t="s">
        <v>123</v>
      </c>
      <c r="H166" s="49" t="s">
        <v>129</v>
      </c>
      <c r="I166" s="49" t="s">
        <v>115</v>
      </c>
      <c r="J166" s="50" t="s">
        <v>47</v>
      </c>
      <c r="K166" s="15">
        <v>82.2</v>
      </c>
      <c r="L166" s="54">
        <v>1271</v>
      </c>
      <c r="M166" s="53">
        <f t="shared" si="4"/>
        <v>104476.2</v>
      </c>
    </row>
    <row r="167" spans="1:19" x14ac:dyDescent="0.25">
      <c r="A167" s="21">
        <f>IF(C167="","",COUNTA($C$3:C167))</f>
        <v>165</v>
      </c>
      <c r="B167" s="35" t="str">
        <f t="shared" si="5"/>
        <v>April</v>
      </c>
      <c r="C167" s="33">
        <v>46132</v>
      </c>
      <c r="D167" s="64">
        <v>61930</v>
      </c>
      <c r="E167" s="60">
        <v>45350</v>
      </c>
      <c r="F167" s="52" t="s">
        <v>120</v>
      </c>
      <c r="G167" s="52" t="s">
        <v>123</v>
      </c>
      <c r="H167" s="49" t="s">
        <v>142</v>
      </c>
      <c r="I167" s="49" t="s">
        <v>69</v>
      </c>
      <c r="J167" s="50" t="s">
        <v>47</v>
      </c>
      <c r="K167" s="15">
        <v>21</v>
      </c>
      <c r="L167" s="54">
        <v>975</v>
      </c>
      <c r="M167" s="53">
        <f t="shared" si="4"/>
        <v>20475</v>
      </c>
      <c r="O167" s="59"/>
      <c r="P167" s="69"/>
      <c r="Q167" s="59"/>
    </row>
    <row r="168" spans="1:19" x14ac:dyDescent="0.25">
      <c r="A168" s="21">
        <f>IF(C168="","",COUNTA($C$3:C168))</f>
        <v>166</v>
      </c>
      <c r="B168" s="35" t="str">
        <f t="shared" si="5"/>
        <v>April</v>
      </c>
      <c r="C168" s="33">
        <v>46132</v>
      </c>
      <c r="D168" s="64">
        <v>61930</v>
      </c>
      <c r="E168" s="60">
        <v>45350</v>
      </c>
      <c r="F168" s="52" t="s">
        <v>120</v>
      </c>
      <c r="G168" s="52" t="s">
        <v>123</v>
      </c>
      <c r="H168" s="49" t="s">
        <v>141</v>
      </c>
      <c r="I168" s="49" t="s">
        <v>69</v>
      </c>
      <c r="J168" s="50" t="s">
        <v>47</v>
      </c>
      <c r="K168" s="15">
        <v>59</v>
      </c>
      <c r="L168" s="54">
        <v>3425</v>
      </c>
      <c r="M168" s="53">
        <f t="shared" si="4"/>
        <v>202075</v>
      </c>
      <c r="O168" s="59"/>
      <c r="P168" s="112"/>
      <c r="Q168" s="59"/>
    </row>
    <row r="169" spans="1:19" x14ac:dyDescent="0.25">
      <c r="A169" s="21">
        <f>IF(C169="","",COUNTA($C$3:C169))</f>
        <v>167</v>
      </c>
      <c r="B169" s="35" t="str">
        <f t="shared" si="5"/>
        <v>April</v>
      </c>
      <c r="C169" s="33">
        <v>46132</v>
      </c>
      <c r="D169" s="64">
        <v>61930</v>
      </c>
      <c r="E169" s="60">
        <v>45350</v>
      </c>
      <c r="F169" s="52" t="s">
        <v>120</v>
      </c>
      <c r="G169" s="52" t="s">
        <v>123</v>
      </c>
      <c r="H169" s="49" t="s">
        <v>130</v>
      </c>
      <c r="I169" s="49" t="s">
        <v>40</v>
      </c>
      <c r="J169" s="50" t="s">
        <v>47</v>
      </c>
      <c r="K169" s="15">
        <v>230</v>
      </c>
      <c r="L169" s="54">
        <v>15</v>
      </c>
      <c r="M169" s="53">
        <f t="shared" si="4"/>
        <v>3450</v>
      </c>
    </row>
    <row r="170" spans="1:19" x14ac:dyDescent="0.25">
      <c r="A170" s="21">
        <f>IF(C170="","",COUNTA($C$3:C170))</f>
        <v>168</v>
      </c>
      <c r="B170" s="35" t="str">
        <f t="shared" si="5"/>
        <v>April</v>
      </c>
      <c r="C170" s="33">
        <v>46133</v>
      </c>
      <c r="D170" s="64">
        <v>61950</v>
      </c>
      <c r="E170" s="60">
        <v>45351</v>
      </c>
      <c r="F170" s="52" t="s">
        <v>120</v>
      </c>
      <c r="G170" s="52" t="s">
        <v>198</v>
      </c>
      <c r="H170" s="49" t="s">
        <v>38</v>
      </c>
      <c r="I170" s="49" t="s">
        <v>68</v>
      </c>
      <c r="J170" s="50" t="s">
        <v>47</v>
      </c>
      <c r="K170" s="15">
        <v>11.8</v>
      </c>
      <c r="L170" s="48">
        <v>618</v>
      </c>
      <c r="M170" s="53">
        <f t="shared" si="4"/>
        <v>7292.4000000000005</v>
      </c>
    </row>
    <row r="171" spans="1:19" x14ac:dyDescent="0.25">
      <c r="A171" s="21">
        <f>IF(C171="","",COUNTA($C$3:C171))</f>
        <v>169</v>
      </c>
      <c r="B171" s="35" t="str">
        <f t="shared" si="5"/>
        <v>April</v>
      </c>
      <c r="C171" s="33">
        <v>46133</v>
      </c>
      <c r="D171" s="64">
        <v>61950</v>
      </c>
      <c r="E171" s="60">
        <v>45351</v>
      </c>
      <c r="F171" s="52" t="s">
        <v>120</v>
      </c>
      <c r="G171" s="52" t="s">
        <v>198</v>
      </c>
      <c r="H171" s="49" t="s">
        <v>38</v>
      </c>
      <c r="I171" s="49" t="s">
        <v>69</v>
      </c>
      <c r="J171" s="50" t="s">
        <v>47</v>
      </c>
      <c r="K171" s="15">
        <v>8.9</v>
      </c>
      <c r="L171" s="48">
        <v>799</v>
      </c>
      <c r="M171" s="53">
        <f t="shared" si="4"/>
        <v>7111.1</v>
      </c>
    </row>
    <row r="172" spans="1:19" x14ac:dyDescent="0.25">
      <c r="A172" s="21">
        <f>IF(C172="","",COUNTA($C$3:C172))</f>
        <v>170</v>
      </c>
      <c r="B172" s="35" t="str">
        <f t="shared" si="5"/>
        <v>April</v>
      </c>
      <c r="C172" s="33">
        <v>46133</v>
      </c>
      <c r="D172" s="64">
        <v>61950</v>
      </c>
      <c r="E172" s="60">
        <v>45351</v>
      </c>
      <c r="F172" s="52" t="s">
        <v>120</v>
      </c>
      <c r="G172" s="52" t="s">
        <v>198</v>
      </c>
      <c r="H172" s="49" t="s">
        <v>114</v>
      </c>
      <c r="I172" s="49" t="s">
        <v>48</v>
      </c>
      <c r="J172" s="50" t="s">
        <v>47</v>
      </c>
      <c r="K172" s="15">
        <v>6.4</v>
      </c>
      <c r="L172" s="62">
        <v>660</v>
      </c>
      <c r="M172" s="53">
        <f t="shared" si="4"/>
        <v>4224</v>
      </c>
    </row>
    <row r="173" spans="1:19" x14ac:dyDescent="0.25">
      <c r="A173" s="21">
        <f>IF(C173="","",COUNTA($C$3:C173))</f>
        <v>171</v>
      </c>
      <c r="B173" s="35" t="str">
        <f t="shared" si="5"/>
        <v>April</v>
      </c>
      <c r="C173" s="33">
        <v>46133</v>
      </c>
      <c r="D173" s="64">
        <v>61950</v>
      </c>
      <c r="E173" s="60">
        <v>45351</v>
      </c>
      <c r="F173" s="52" t="s">
        <v>120</v>
      </c>
      <c r="G173" s="52" t="s">
        <v>198</v>
      </c>
      <c r="H173" s="49" t="s">
        <v>147</v>
      </c>
      <c r="I173" s="49" t="s">
        <v>49</v>
      </c>
      <c r="J173" s="50" t="s">
        <v>47</v>
      </c>
      <c r="K173" s="15">
        <v>0.3</v>
      </c>
      <c r="L173" s="48">
        <v>707</v>
      </c>
      <c r="M173" s="53">
        <f t="shared" si="4"/>
        <v>212.1</v>
      </c>
      <c r="S173" s="54"/>
    </row>
    <row r="174" spans="1:19" x14ac:dyDescent="0.25">
      <c r="A174" s="21">
        <f>IF(C174="","",COUNTA($C$3:C174))</f>
        <v>172</v>
      </c>
      <c r="B174" s="35" t="str">
        <f t="shared" si="5"/>
        <v>April</v>
      </c>
      <c r="C174" s="33">
        <v>46133</v>
      </c>
      <c r="D174" s="64">
        <v>61950</v>
      </c>
      <c r="E174" s="60">
        <v>45351</v>
      </c>
      <c r="F174" s="52" t="s">
        <v>120</v>
      </c>
      <c r="G174" s="52" t="s">
        <v>198</v>
      </c>
      <c r="H174" s="49" t="s">
        <v>199</v>
      </c>
      <c r="I174" s="49" t="s">
        <v>39</v>
      </c>
      <c r="J174" s="50" t="s">
        <v>70</v>
      </c>
      <c r="K174" s="15">
        <v>6</v>
      </c>
      <c r="L174" s="54">
        <v>975</v>
      </c>
      <c r="M174" s="53">
        <f t="shared" si="4"/>
        <v>5850</v>
      </c>
    </row>
    <row r="175" spans="1:19" x14ac:dyDescent="0.25">
      <c r="A175" s="21">
        <f>IF(C175="","",COUNTA($C$3:C175))</f>
        <v>173</v>
      </c>
      <c r="B175" s="35" t="str">
        <f t="shared" si="5"/>
        <v>April</v>
      </c>
      <c r="C175" s="33">
        <v>46133</v>
      </c>
      <c r="D175" s="64">
        <v>61950</v>
      </c>
      <c r="E175" s="60">
        <v>45351</v>
      </c>
      <c r="F175" s="52" t="s">
        <v>120</v>
      </c>
      <c r="G175" s="52" t="s">
        <v>198</v>
      </c>
      <c r="H175" s="49" t="s">
        <v>200</v>
      </c>
      <c r="I175" s="49" t="s">
        <v>69</v>
      </c>
      <c r="J175" s="50" t="s">
        <v>70</v>
      </c>
      <c r="K175" s="15">
        <v>1</v>
      </c>
      <c r="L175" s="54">
        <v>400</v>
      </c>
      <c r="M175" s="53">
        <f t="shared" si="4"/>
        <v>400</v>
      </c>
    </row>
    <row r="176" spans="1:19" x14ac:dyDescent="0.25">
      <c r="A176" s="21">
        <f>IF(C176="","",COUNTA($C$3:C176))</f>
        <v>174</v>
      </c>
      <c r="B176" s="35" t="str">
        <f t="shared" si="5"/>
        <v>April</v>
      </c>
      <c r="C176" s="33">
        <v>46133</v>
      </c>
      <c r="D176" s="64">
        <v>61950</v>
      </c>
      <c r="E176" s="60">
        <v>45351</v>
      </c>
      <c r="F176" s="52" t="s">
        <v>120</v>
      </c>
      <c r="G176" s="52" t="s">
        <v>198</v>
      </c>
      <c r="H176" s="49" t="s">
        <v>135</v>
      </c>
      <c r="I176" s="49" t="s">
        <v>39</v>
      </c>
      <c r="J176" s="50" t="s">
        <v>47</v>
      </c>
      <c r="K176" s="15">
        <v>0.4</v>
      </c>
      <c r="L176" s="53">
        <v>3450</v>
      </c>
      <c r="M176" s="53">
        <f t="shared" si="4"/>
        <v>1380</v>
      </c>
    </row>
    <row r="177" spans="1:18" x14ac:dyDescent="0.25">
      <c r="A177" s="21">
        <f>IF(C177="","",COUNTA($C$3:C177))</f>
        <v>175</v>
      </c>
      <c r="B177" s="35" t="str">
        <f t="shared" si="5"/>
        <v>April</v>
      </c>
      <c r="C177" s="33">
        <v>46133</v>
      </c>
      <c r="D177" s="64">
        <v>61950</v>
      </c>
      <c r="E177" s="60">
        <v>45351</v>
      </c>
      <c r="F177" s="52" t="s">
        <v>120</v>
      </c>
      <c r="G177" s="52" t="s">
        <v>198</v>
      </c>
      <c r="H177" s="49" t="s">
        <v>139</v>
      </c>
      <c r="I177" s="49" t="s">
        <v>39</v>
      </c>
      <c r="J177" s="50" t="s">
        <v>47</v>
      </c>
      <c r="K177" s="15">
        <v>0.2</v>
      </c>
      <c r="L177" s="54">
        <v>4950</v>
      </c>
      <c r="M177" s="53">
        <f t="shared" si="4"/>
        <v>990</v>
      </c>
    </row>
    <row r="178" spans="1:18" x14ac:dyDescent="0.25">
      <c r="A178" s="21">
        <f>IF(C178="","",COUNTA($C$3:C178))</f>
        <v>176</v>
      </c>
      <c r="B178" s="35" t="str">
        <f t="shared" si="5"/>
        <v>April</v>
      </c>
      <c r="C178" s="33">
        <v>46133</v>
      </c>
      <c r="D178" s="64">
        <v>61950</v>
      </c>
      <c r="E178" s="60">
        <v>45351</v>
      </c>
      <c r="F178" s="52" t="s">
        <v>120</v>
      </c>
      <c r="G178" s="52" t="s">
        <v>198</v>
      </c>
      <c r="H178" s="49" t="s">
        <v>161</v>
      </c>
      <c r="I178" s="49" t="s">
        <v>68</v>
      </c>
      <c r="J178" s="50" t="s">
        <v>47</v>
      </c>
      <c r="K178" s="15">
        <v>6</v>
      </c>
      <c r="L178" s="53">
        <v>495</v>
      </c>
      <c r="M178" s="53">
        <f t="shared" si="4"/>
        <v>2970</v>
      </c>
    </row>
    <row r="179" spans="1:18" x14ac:dyDescent="0.25">
      <c r="A179" s="21">
        <f>IF(C179="","",COUNTA($C$3:C179))</f>
        <v>177</v>
      </c>
      <c r="B179" s="35" t="str">
        <f t="shared" si="5"/>
        <v>April</v>
      </c>
      <c r="C179" s="33">
        <v>46133</v>
      </c>
      <c r="D179" s="64">
        <v>61950</v>
      </c>
      <c r="E179" s="60">
        <v>45351</v>
      </c>
      <c r="F179" s="52" t="s">
        <v>120</v>
      </c>
      <c r="G179" s="52" t="s">
        <v>198</v>
      </c>
      <c r="H179" s="49" t="s">
        <v>129</v>
      </c>
      <c r="I179" s="49" t="s">
        <v>76</v>
      </c>
      <c r="J179" s="50" t="s">
        <v>47</v>
      </c>
      <c r="K179" s="15">
        <v>17.600000000000001</v>
      </c>
      <c r="L179" s="53">
        <v>255</v>
      </c>
      <c r="M179" s="53">
        <f t="shared" si="4"/>
        <v>4488</v>
      </c>
      <c r="R179" s="54"/>
    </row>
    <row r="180" spans="1:18" x14ac:dyDescent="0.25">
      <c r="A180" s="21">
        <f>IF(C180="","",COUNTA($C$3:C180))</f>
        <v>178</v>
      </c>
      <c r="B180" s="35" t="str">
        <f t="shared" si="5"/>
        <v>April</v>
      </c>
      <c r="C180" s="33">
        <v>46133</v>
      </c>
      <c r="D180" s="64">
        <v>61930</v>
      </c>
      <c r="E180" s="60">
        <v>45352</v>
      </c>
      <c r="F180" s="52" t="s">
        <v>120</v>
      </c>
      <c r="G180" s="52" t="s">
        <v>123</v>
      </c>
      <c r="H180" s="49" t="s">
        <v>38</v>
      </c>
      <c r="I180" s="49" t="s">
        <v>68</v>
      </c>
      <c r="J180" s="50" t="s">
        <v>47</v>
      </c>
      <c r="K180" s="15">
        <v>332.4</v>
      </c>
      <c r="L180" s="54">
        <v>585</v>
      </c>
      <c r="M180" s="53">
        <f t="shared" si="4"/>
        <v>194454</v>
      </c>
    </row>
    <row r="181" spans="1:18" x14ac:dyDescent="0.25">
      <c r="A181" s="21">
        <f>IF(C181="","",COUNTA($C$3:C181))</f>
        <v>179</v>
      </c>
      <c r="B181" s="35" t="str">
        <f t="shared" si="5"/>
        <v>April</v>
      </c>
      <c r="C181" s="33">
        <v>46133</v>
      </c>
      <c r="D181" s="64">
        <v>61930</v>
      </c>
      <c r="E181" s="60">
        <v>45352</v>
      </c>
      <c r="F181" s="52" t="s">
        <v>120</v>
      </c>
      <c r="G181" s="52" t="s">
        <v>123</v>
      </c>
      <c r="H181" s="49" t="s">
        <v>38</v>
      </c>
      <c r="I181" s="49" t="s">
        <v>69</v>
      </c>
      <c r="J181" s="50" t="s">
        <v>47</v>
      </c>
      <c r="K181" s="15">
        <v>56.3</v>
      </c>
      <c r="L181" s="62">
        <v>790</v>
      </c>
      <c r="M181" s="53">
        <f t="shared" si="4"/>
        <v>44477</v>
      </c>
    </row>
    <row r="182" spans="1:18" x14ac:dyDescent="0.25">
      <c r="A182" s="21">
        <f>IF(C182="","",COUNTA($C$3:C182))</f>
        <v>180</v>
      </c>
      <c r="B182" s="35" t="str">
        <f t="shared" si="5"/>
        <v>April</v>
      </c>
      <c r="C182" s="33">
        <v>46133</v>
      </c>
      <c r="D182" s="64">
        <v>61930</v>
      </c>
      <c r="E182" s="60">
        <v>45352</v>
      </c>
      <c r="F182" s="52" t="s">
        <v>120</v>
      </c>
      <c r="G182" s="52" t="s">
        <v>123</v>
      </c>
      <c r="H182" s="49" t="s">
        <v>38</v>
      </c>
      <c r="I182" s="49" t="s">
        <v>39</v>
      </c>
      <c r="J182" s="50" t="s">
        <v>47</v>
      </c>
      <c r="K182" s="15">
        <v>41.4</v>
      </c>
      <c r="L182" s="54">
        <v>915</v>
      </c>
      <c r="M182" s="53">
        <f t="shared" si="4"/>
        <v>37881</v>
      </c>
    </row>
    <row r="183" spans="1:18" x14ac:dyDescent="0.25">
      <c r="A183" s="21">
        <f>IF(C183="","",COUNTA($C$3:C183))</f>
        <v>181</v>
      </c>
      <c r="B183" s="35" t="str">
        <f t="shared" si="5"/>
        <v>April</v>
      </c>
      <c r="C183" s="33">
        <v>46133</v>
      </c>
      <c r="D183" s="64">
        <v>61930</v>
      </c>
      <c r="E183" s="60">
        <v>45352</v>
      </c>
      <c r="F183" s="52" t="s">
        <v>120</v>
      </c>
      <c r="G183" s="52" t="s">
        <v>123</v>
      </c>
      <c r="H183" s="49" t="s">
        <v>129</v>
      </c>
      <c r="I183" s="49" t="s">
        <v>74</v>
      </c>
      <c r="J183" s="50" t="s">
        <v>47</v>
      </c>
      <c r="K183" s="15">
        <v>321.89999999999998</v>
      </c>
      <c r="L183" s="54">
        <v>289</v>
      </c>
      <c r="M183" s="53">
        <f t="shared" si="4"/>
        <v>93029.099999999991</v>
      </c>
    </row>
    <row r="184" spans="1:18" x14ac:dyDescent="0.25">
      <c r="A184" s="21">
        <f>IF(C184="","",COUNTA($C$3:C184))</f>
        <v>182</v>
      </c>
      <c r="B184" s="35" t="str">
        <f t="shared" si="5"/>
        <v>April</v>
      </c>
      <c r="C184" s="33">
        <v>46133</v>
      </c>
      <c r="D184" s="64">
        <v>61930</v>
      </c>
      <c r="E184" s="60">
        <v>45352</v>
      </c>
      <c r="F184" s="52" t="s">
        <v>120</v>
      </c>
      <c r="G184" s="52" t="s">
        <v>123</v>
      </c>
      <c r="H184" s="49" t="s">
        <v>129</v>
      </c>
      <c r="I184" s="49" t="s">
        <v>75</v>
      </c>
      <c r="J184" s="50" t="s">
        <v>47</v>
      </c>
      <c r="K184" s="55">
        <f>24.8+2.851+104.941</f>
        <v>132.59200000000001</v>
      </c>
      <c r="L184" s="54">
        <v>805</v>
      </c>
      <c r="M184" s="53">
        <f t="shared" si="4"/>
        <v>106736.56000000001</v>
      </c>
    </row>
    <row r="185" spans="1:18" x14ac:dyDescent="0.25">
      <c r="A185" s="21">
        <f>IF(C185="","",COUNTA($C$3:C185))</f>
        <v>183</v>
      </c>
      <c r="B185" s="35" t="str">
        <f t="shared" si="5"/>
        <v>April</v>
      </c>
      <c r="C185" s="33">
        <v>46133</v>
      </c>
      <c r="D185" s="64">
        <v>61930</v>
      </c>
      <c r="E185" s="60">
        <v>45352</v>
      </c>
      <c r="F185" s="52" t="s">
        <v>120</v>
      </c>
      <c r="G185" s="52" t="s">
        <v>123</v>
      </c>
      <c r="H185" s="49" t="s">
        <v>129</v>
      </c>
      <c r="I185" s="49" t="s">
        <v>115</v>
      </c>
      <c r="J185" s="50" t="s">
        <v>47</v>
      </c>
      <c r="K185" s="15">
        <v>83.4</v>
      </c>
      <c r="L185" s="54">
        <v>1271</v>
      </c>
      <c r="M185" s="53">
        <f t="shared" si="4"/>
        <v>106001.40000000001</v>
      </c>
    </row>
    <row r="186" spans="1:18" x14ac:dyDescent="0.25">
      <c r="A186" s="21">
        <f>IF(C186="","",COUNTA($C$3:C186))</f>
        <v>184</v>
      </c>
      <c r="B186" s="35" t="str">
        <f t="shared" si="5"/>
        <v>April</v>
      </c>
      <c r="C186" s="33">
        <v>46133</v>
      </c>
      <c r="D186" s="64">
        <v>61930</v>
      </c>
      <c r="E186" s="60">
        <v>45352</v>
      </c>
      <c r="F186" s="52" t="s">
        <v>120</v>
      </c>
      <c r="G186" s="52" t="s">
        <v>123</v>
      </c>
      <c r="H186" s="49" t="s">
        <v>142</v>
      </c>
      <c r="I186" s="49" t="s">
        <v>69</v>
      </c>
      <c r="J186" s="50" t="s">
        <v>47</v>
      </c>
      <c r="K186" s="15">
        <v>3</v>
      </c>
      <c r="L186" s="54">
        <v>975</v>
      </c>
      <c r="M186" s="53">
        <f t="shared" si="4"/>
        <v>2925</v>
      </c>
      <c r="O186" s="59"/>
      <c r="P186" s="71"/>
      <c r="Q186" s="59"/>
    </row>
    <row r="187" spans="1:18" x14ac:dyDescent="0.25">
      <c r="A187" s="21">
        <f>IF(C187="","",COUNTA($C$3:C187))</f>
        <v>185</v>
      </c>
      <c r="B187" s="35" t="str">
        <f t="shared" si="5"/>
        <v>April</v>
      </c>
      <c r="C187" s="33">
        <v>46133</v>
      </c>
      <c r="D187" s="64">
        <v>61930</v>
      </c>
      <c r="E187" s="60">
        <v>45352</v>
      </c>
      <c r="F187" s="52" t="s">
        <v>120</v>
      </c>
      <c r="G187" s="52" t="s">
        <v>123</v>
      </c>
      <c r="H187" s="49" t="s">
        <v>141</v>
      </c>
      <c r="I187" s="49" t="s">
        <v>69</v>
      </c>
      <c r="J187" s="50" t="s">
        <v>47</v>
      </c>
      <c r="K187" s="15">
        <v>33</v>
      </c>
      <c r="L187" s="54">
        <v>3425</v>
      </c>
      <c r="M187" s="53">
        <f t="shared" si="4"/>
        <v>113025</v>
      </c>
      <c r="O187" s="59"/>
      <c r="P187" s="71"/>
      <c r="Q187" s="59"/>
    </row>
    <row r="188" spans="1:18" x14ac:dyDescent="0.25">
      <c r="A188" s="21">
        <f>IF(C188="","",COUNTA($C$3:C188))</f>
        <v>186</v>
      </c>
      <c r="B188" s="35" t="str">
        <f t="shared" si="5"/>
        <v>April</v>
      </c>
      <c r="C188" s="33">
        <v>46133</v>
      </c>
      <c r="D188" s="64">
        <v>61930</v>
      </c>
      <c r="E188" s="60">
        <v>45352</v>
      </c>
      <c r="F188" s="52" t="s">
        <v>120</v>
      </c>
      <c r="G188" s="52" t="s">
        <v>123</v>
      </c>
      <c r="H188" s="49" t="s">
        <v>130</v>
      </c>
      <c r="I188" s="49" t="s">
        <v>40</v>
      </c>
      <c r="J188" s="50" t="s">
        <v>47</v>
      </c>
      <c r="K188" s="15">
        <v>420</v>
      </c>
      <c r="L188" s="48">
        <v>15</v>
      </c>
      <c r="M188" s="53">
        <f t="shared" si="4"/>
        <v>6300</v>
      </c>
    </row>
    <row r="189" spans="1:18" x14ac:dyDescent="0.25">
      <c r="A189" s="21">
        <f>IF(C189="","",COUNTA($C$3:C189))</f>
        <v>187</v>
      </c>
      <c r="B189" s="35" t="str">
        <f t="shared" si="5"/>
        <v>April</v>
      </c>
      <c r="C189" s="33">
        <v>46135</v>
      </c>
      <c r="D189" s="64">
        <v>61953</v>
      </c>
      <c r="E189" s="60">
        <v>45353</v>
      </c>
      <c r="F189" s="52" t="s">
        <v>204</v>
      </c>
      <c r="G189" s="18" t="s">
        <v>202</v>
      </c>
      <c r="H189" s="49" t="s">
        <v>205</v>
      </c>
      <c r="I189" s="49" t="s">
        <v>205</v>
      </c>
      <c r="J189" s="50" t="s">
        <v>194</v>
      </c>
      <c r="K189" s="15">
        <v>420</v>
      </c>
      <c r="L189" s="53">
        <v>250</v>
      </c>
      <c r="M189" s="53">
        <f t="shared" si="4"/>
        <v>105000</v>
      </c>
    </row>
    <row r="190" spans="1:18" x14ac:dyDescent="0.25">
      <c r="A190" s="21">
        <f>IF(C190="","",COUNTA($C$3:C190))</f>
        <v>188</v>
      </c>
      <c r="B190" s="35" t="str">
        <f t="shared" si="5"/>
        <v>April</v>
      </c>
      <c r="C190" s="33">
        <v>46136</v>
      </c>
      <c r="D190" s="64">
        <v>61930</v>
      </c>
      <c r="E190" s="60">
        <v>45354</v>
      </c>
      <c r="F190" s="52" t="s">
        <v>120</v>
      </c>
      <c r="G190" s="18" t="s">
        <v>123</v>
      </c>
      <c r="H190" s="49" t="s">
        <v>38</v>
      </c>
      <c r="I190" s="49" t="s">
        <v>68</v>
      </c>
      <c r="J190" s="50" t="s">
        <v>47</v>
      </c>
      <c r="K190" s="15">
        <v>445.2</v>
      </c>
      <c r="L190" s="54">
        <v>585</v>
      </c>
      <c r="M190" s="53">
        <f t="shared" si="4"/>
        <v>260442</v>
      </c>
    </row>
    <row r="191" spans="1:18" x14ac:dyDescent="0.25">
      <c r="A191" s="21">
        <f>IF(C191="","",COUNTA($C$3:C191))</f>
        <v>189</v>
      </c>
      <c r="B191" s="35" t="str">
        <f t="shared" si="5"/>
        <v>April</v>
      </c>
      <c r="C191" s="33">
        <v>46136</v>
      </c>
      <c r="D191" s="64">
        <v>61930</v>
      </c>
      <c r="E191" s="60">
        <v>45354</v>
      </c>
      <c r="F191" s="52" t="s">
        <v>120</v>
      </c>
      <c r="G191" s="18" t="s">
        <v>123</v>
      </c>
      <c r="H191" s="49" t="s">
        <v>38</v>
      </c>
      <c r="I191" s="49" t="s">
        <v>69</v>
      </c>
      <c r="J191" s="50" t="s">
        <v>47</v>
      </c>
      <c r="K191" s="15">
        <v>158.19999999999999</v>
      </c>
      <c r="L191" s="62">
        <v>790</v>
      </c>
      <c r="M191" s="53">
        <f t="shared" si="4"/>
        <v>124977.99999999999</v>
      </c>
    </row>
    <row r="192" spans="1:18" x14ac:dyDescent="0.25">
      <c r="A192" s="21">
        <f>IF(C192="","",COUNTA($C$3:C192))</f>
        <v>190</v>
      </c>
      <c r="B192" s="35" t="str">
        <f t="shared" si="5"/>
        <v>April</v>
      </c>
      <c r="C192" s="33">
        <v>46136</v>
      </c>
      <c r="D192" s="64">
        <v>61930</v>
      </c>
      <c r="E192" s="60">
        <v>45354</v>
      </c>
      <c r="F192" s="52" t="s">
        <v>120</v>
      </c>
      <c r="G192" s="18" t="s">
        <v>123</v>
      </c>
      <c r="H192" s="49" t="s">
        <v>38</v>
      </c>
      <c r="I192" s="49" t="s">
        <v>39</v>
      </c>
      <c r="J192" s="50" t="s">
        <v>47</v>
      </c>
      <c r="K192" s="15">
        <v>6.6</v>
      </c>
      <c r="L192" s="54">
        <v>915</v>
      </c>
      <c r="M192" s="53">
        <f t="shared" si="4"/>
        <v>6039</v>
      </c>
    </row>
    <row r="193" spans="1:18" x14ac:dyDescent="0.25">
      <c r="A193" s="21">
        <f>IF(C193="","",COUNTA($C$3:C193))</f>
        <v>191</v>
      </c>
      <c r="B193" s="35" t="str">
        <f t="shared" si="5"/>
        <v>April</v>
      </c>
      <c r="C193" s="33">
        <v>46136</v>
      </c>
      <c r="D193" s="64">
        <v>61930</v>
      </c>
      <c r="E193" s="60">
        <v>45354</v>
      </c>
      <c r="F193" s="52" t="s">
        <v>120</v>
      </c>
      <c r="G193" s="18" t="s">
        <v>123</v>
      </c>
      <c r="H193" s="49" t="s">
        <v>129</v>
      </c>
      <c r="I193" s="49" t="s">
        <v>74</v>
      </c>
      <c r="J193" s="50" t="s">
        <v>47</v>
      </c>
      <c r="K193" s="15">
        <v>426.2</v>
      </c>
      <c r="L193" s="54">
        <v>289</v>
      </c>
      <c r="M193" s="53">
        <f t="shared" si="4"/>
        <v>123171.8</v>
      </c>
    </row>
    <row r="194" spans="1:18" x14ac:dyDescent="0.25">
      <c r="A194" s="21">
        <f>IF(C194="","",COUNTA($C$3:C194))</f>
        <v>192</v>
      </c>
      <c r="B194" s="35" t="str">
        <f t="shared" si="5"/>
        <v>April</v>
      </c>
      <c r="C194" s="33">
        <v>46136</v>
      </c>
      <c r="D194" s="64">
        <v>61930</v>
      </c>
      <c r="E194" s="60">
        <v>45354</v>
      </c>
      <c r="F194" s="52" t="s">
        <v>120</v>
      </c>
      <c r="G194" s="18" t="s">
        <v>123</v>
      </c>
      <c r="H194" s="49" t="s">
        <v>129</v>
      </c>
      <c r="I194" s="49" t="s">
        <v>75</v>
      </c>
      <c r="J194" s="50" t="s">
        <v>47</v>
      </c>
      <c r="K194" s="55">
        <v>42.5</v>
      </c>
      <c r="L194" s="54">
        <v>805</v>
      </c>
      <c r="M194" s="53">
        <f t="shared" si="4"/>
        <v>34212.5</v>
      </c>
    </row>
    <row r="195" spans="1:18" x14ac:dyDescent="0.25">
      <c r="A195" s="21">
        <f>IF(C195="","",COUNTA($C$3:C195))</f>
        <v>193</v>
      </c>
      <c r="B195" s="35" t="str">
        <f t="shared" si="5"/>
        <v>April</v>
      </c>
      <c r="C195" s="33">
        <v>46136</v>
      </c>
      <c r="D195" s="64">
        <v>61930</v>
      </c>
      <c r="E195" s="60">
        <v>45354</v>
      </c>
      <c r="F195" s="52" t="s">
        <v>120</v>
      </c>
      <c r="G195" s="18" t="s">
        <v>123</v>
      </c>
      <c r="H195" s="49" t="s">
        <v>129</v>
      </c>
      <c r="I195" s="49" t="s">
        <v>115</v>
      </c>
      <c r="J195" s="50" t="s">
        <v>47</v>
      </c>
      <c r="K195" s="15">
        <v>52.7</v>
      </c>
      <c r="L195" s="54">
        <v>1271</v>
      </c>
      <c r="M195" s="53">
        <f t="shared" si="4"/>
        <v>66981.7</v>
      </c>
    </row>
    <row r="196" spans="1:18" x14ac:dyDescent="0.25">
      <c r="A196" s="21">
        <f>IF(C196="","",COUNTA($C$3:C196))</f>
        <v>194</v>
      </c>
      <c r="B196" s="35" t="str">
        <f t="shared" ref="B196:B259" si="6">IF(C196="","",TEXT(C196,"mmmm"))</f>
        <v>April</v>
      </c>
      <c r="C196" s="33">
        <v>46136</v>
      </c>
      <c r="D196" s="64">
        <v>61930</v>
      </c>
      <c r="E196" s="60">
        <v>45354</v>
      </c>
      <c r="F196" s="52" t="s">
        <v>120</v>
      </c>
      <c r="G196" s="18" t="s">
        <v>123</v>
      </c>
      <c r="H196" s="49" t="s">
        <v>130</v>
      </c>
      <c r="I196" s="49" t="s">
        <v>40</v>
      </c>
      <c r="J196" s="50" t="s">
        <v>47</v>
      </c>
      <c r="K196" s="15">
        <v>520</v>
      </c>
      <c r="L196" s="54">
        <v>15</v>
      </c>
      <c r="M196" s="53">
        <f t="shared" si="4"/>
        <v>7800</v>
      </c>
      <c r="R196" s="61"/>
    </row>
    <row r="197" spans="1:18" x14ac:dyDescent="0.25">
      <c r="A197" s="21">
        <f>IF(C197="","",COUNTA($C$3:C197))</f>
        <v>195</v>
      </c>
      <c r="B197" s="35" t="str">
        <f t="shared" si="6"/>
        <v>April</v>
      </c>
      <c r="C197" s="33">
        <v>46136</v>
      </c>
      <c r="D197" s="64">
        <v>61768</v>
      </c>
      <c r="E197" s="60">
        <v>45355</v>
      </c>
      <c r="F197" s="52" t="s">
        <v>144</v>
      </c>
      <c r="G197" s="18" t="s">
        <v>146</v>
      </c>
      <c r="H197" s="49" t="s">
        <v>143</v>
      </c>
      <c r="I197" s="49" t="s">
        <v>206</v>
      </c>
      <c r="J197" s="50" t="s">
        <v>70</v>
      </c>
      <c r="K197" s="15">
        <v>10000</v>
      </c>
      <c r="L197" s="53">
        <v>7.5</v>
      </c>
      <c r="M197" s="53">
        <f t="shared" si="4"/>
        <v>75000</v>
      </c>
    </row>
    <row r="198" spans="1:18" x14ac:dyDescent="0.25">
      <c r="A198" s="21">
        <f>IF(C198="","",COUNTA($C$3:C198))</f>
        <v>196</v>
      </c>
      <c r="B198" s="35" t="str">
        <f t="shared" si="6"/>
        <v>April</v>
      </c>
      <c r="C198" s="33">
        <v>46139</v>
      </c>
      <c r="D198" s="64">
        <v>61930</v>
      </c>
      <c r="E198" s="60">
        <v>45356</v>
      </c>
      <c r="F198" s="52" t="s">
        <v>120</v>
      </c>
      <c r="G198" s="18" t="s">
        <v>123</v>
      </c>
      <c r="H198" s="49" t="s">
        <v>38</v>
      </c>
      <c r="I198" s="49" t="s">
        <v>68</v>
      </c>
      <c r="J198" s="50" t="s">
        <v>47</v>
      </c>
      <c r="K198" s="15">
        <v>212.9</v>
      </c>
      <c r="L198" s="54">
        <v>585</v>
      </c>
      <c r="M198" s="53">
        <f t="shared" ref="M198:M329" si="7">K198*L198</f>
        <v>124546.5</v>
      </c>
    </row>
    <row r="199" spans="1:18" x14ac:dyDescent="0.25">
      <c r="A199" s="21">
        <f>IF(C199="","",COUNTA($C$3:C199))</f>
        <v>197</v>
      </c>
      <c r="B199" s="35" t="str">
        <f t="shared" si="6"/>
        <v>April</v>
      </c>
      <c r="C199" s="33">
        <v>46139</v>
      </c>
      <c r="D199" s="64">
        <v>61930</v>
      </c>
      <c r="E199" s="60">
        <v>45356</v>
      </c>
      <c r="F199" s="52" t="s">
        <v>120</v>
      </c>
      <c r="G199" s="18" t="s">
        <v>123</v>
      </c>
      <c r="H199" s="49" t="s">
        <v>38</v>
      </c>
      <c r="I199" s="49" t="s">
        <v>69</v>
      </c>
      <c r="J199" s="50" t="s">
        <v>47</v>
      </c>
      <c r="K199" s="15">
        <v>97.8</v>
      </c>
      <c r="L199" s="62">
        <v>790</v>
      </c>
      <c r="M199" s="53">
        <f t="shared" si="7"/>
        <v>77262</v>
      </c>
    </row>
    <row r="200" spans="1:18" x14ac:dyDescent="0.25">
      <c r="A200" s="21">
        <f>IF(C200="","",COUNTA($C$3:C200))</f>
        <v>198</v>
      </c>
      <c r="B200" s="35" t="str">
        <f t="shared" si="6"/>
        <v>April</v>
      </c>
      <c r="C200" s="33">
        <v>46139</v>
      </c>
      <c r="D200" s="64">
        <v>61930</v>
      </c>
      <c r="E200" s="60">
        <v>45356</v>
      </c>
      <c r="F200" s="52" t="s">
        <v>120</v>
      </c>
      <c r="G200" s="18" t="s">
        <v>123</v>
      </c>
      <c r="H200" s="49" t="s">
        <v>38</v>
      </c>
      <c r="I200" s="49" t="s">
        <v>39</v>
      </c>
      <c r="J200" s="50" t="s">
        <v>47</v>
      </c>
      <c r="K200" s="15">
        <v>14.3</v>
      </c>
      <c r="L200" s="54">
        <v>915</v>
      </c>
      <c r="M200" s="53">
        <f t="shared" si="7"/>
        <v>13084.5</v>
      </c>
    </row>
    <row r="201" spans="1:18" x14ac:dyDescent="0.25">
      <c r="A201" s="21">
        <f>IF(C201="","",COUNTA($C$3:C201))</f>
        <v>199</v>
      </c>
      <c r="B201" s="35" t="str">
        <f t="shared" si="6"/>
        <v>April</v>
      </c>
      <c r="C201" s="33">
        <v>46139</v>
      </c>
      <c r="D201" s="64">
        <v>61930</v>
      </c>
      <c r="E201" s="60">
        <v>45356</v>
      </c>
      <c r="F201" s="52" t="s">
        <v>120</v>
      </c>
      <c r="G201" s="18" t="s">
        <v>123</v>
      </c>
      <c r="H201" s="49" t="s">
        <v>129</v>
      </c>
      <c r="I201" s="49" t="s">
        <v>74</v>
      </c>
      <c r="J201" s="50" t="s">
        <v>47</v>
      </c>
      <c r="K201" s="15">
        <v>55.6</v>
      </c>
      <c r="L201" s="54">
        <v>289</v>
      </c>
      <c r="M201" s="53">
        <f t="shared" si="7"/>
        <v>16068.4</v>
      </c>
    </row>
    <row r="202" spans="1:18" x14ac:dyDescent="0.25">
      <c r="A202" s="21">
        <f>IF(C202="","",COUNTA($C$3:C202))</f>
        <v>200</v>
      </c>
      <c r="B202" s="35" t="str">
        <f t="shared" si="6"/>
        <v>April</v>
      </c>
      <c r="C202" s="33">
        <v>46139</v>
      </c>
      <c r="D202" s="64">
        <v>61930</v>
      </c>
      <c r="E202" s="60">
        <v>45356</v>
      </c>
      <c r="F202" s="52" t="s">
        <v>120</v>
      </c>
      <c r="G202" s="18" t="s">
        <v>123</v>
      </c>
      <c r="H202" s="49" t="s">
        <v>129</v>
      </c>
      <c r="I202" s="49" t="s">
        <v>75</v>
      </c>
      <c r="J202" s="50" t="s">
        <v>47</v>
      </c>
      <c r="K202" s="55">
        <f>119.6+151.95031056</f>
        <v>271.55031055999996</v>
      </c>
      <c r="L202" s="54">
        <v>805</v>
      </c>
      <c r="M202" s="53">
        <f t="shared" si="7"/>
        <v>218598.00000079998</v>
      </c>
    </row>
    <row r="203" spans="1:18" x14ac:dyDescent="0.25">
      <c r="A203" s="21">
        <f>IF(C203="","",COUNTA($C$3:C203))</f>
        <v>201</v>
      </c>
      <c r="B203" s="35" t="str">
        <f t="shared" si="6"/>
        <v>April</v>
      </c>
      <c r="C203" s="33">
        <v>46139</v>
      </c>
      <c r="D203" s="64">
        <v>61930</v>
      </c>
      <c r="E203" s="60">
        <v>45356</v>
      </c>
      <c r="F203" s="52" t="s">
        <v>120</v>
      </c>
      <c r="G203" s="18" t="s">
        <v>123</v>
      </c>
      <c r="H203" s="49" t="s">
        <v>129</v>
      </c>
      <c r="I203" s="49" t="s">
        <v>115</v>
      </c>
      <c r="J203" s="50" t="s">
        <v>47</v>
      </c>
      <c r="K203" s="15">
        <v>108.2</v>
      </c>
      <c r="L203" s="54">
        <v>1271</v>
      </c>
      <c r="M203" s="53">
        <f t="shared" si="7"/>
        <v>137522.20000000001</v>
      </c>
    </row>
    <row r="204" spans="1:18" x14ac:dyDescent="0.25">
      <c r="A204" s="21">
        <f>IF(C204="","",COUNTA($C$3:C204))</f>
        <v>202</v>
      </c>
      <c r="B204" s="35" t="str">
        <f t="shared" si="6"/>
        <v>April</v>
      </c>
      <c r="C204" s="33">
        <v>46139</v>
      </c>
      <c r="D204" s="64">
        <v>61930</v>
      </c>
      <c r="E204" s="60">
        <v>45356</v>
      </c>
      <c r="F204" s="52" t="s">
        <v>120</v>
      </c>
      <c r="G204" s="18" t="s">
        <v>123</v>
      </c>
      <c r="H204" s="49" t="s">
        <v>142</v>
      </c>
      <c r="I204" s="49" t="s">
        <v>69</v>
      </c>
      <c r="J204" s="50" t="s">
        <v>47</v>
      </c>
      <c r="K204" s="15">
        <v>16</v>
      </c>
      <c r="L204" s="54">
        <v>975</v>
      </c>
      <c r="M204" s="53">
        <f t="shared" si="7"/>
        <v>15600</v>
      </c>
      <c r="O204" s="59"/>
    </row>
    <row r="205" spans="1:18" x14ac:dyDescent="0.25">
      <c r="A205" s="21">
        <f>IF(C205="","",COUNTA($C$3:C205))</f>
        <v>203</v>
      </c>
      <c r="B205" s="35" t="str">
        <f t="shared" si="6"/>
        <v>April</v>
      </c>
      <c r="C205" s="33">
        <v>46139</v>
      </c>
      <c r="D205" s="64">
        <v>61930</v>
      </c>
      <c r="E205" s="60">
        <v>45356</v>
      </c>
      <c r="F205" s="52" t="s">
        <v>120</v>
      </c>
      <c r="G205" s="18" t="s">
        <v>123</v>
      </c>
      <c r="H205" s="49" t="s">
        <v>141</v>
      </c>
      <c r="I205" s="49" t="s">
        <v>69</v>
      </c>
      <c r="J205" s="50" t="s">
        <v>47</v>
      </c>
      <c r="K205" s="15">
        <v>43</v>
      </c>
      <c r="L205" s="54">
        <v>3425</v>
      </c>
      <c r="M205" s="53">
        <f t="shared" si="7"/>
        <v>147275</v>
      </c>
      <c r="O205" s="59"/>
    </row>
    <row r="206" spans="1:18" x14ac:dyDescent="0.25">
      <c r="A206" s="21">
        <f>IF(C206="","",COUNTA($C$3:C206))</f>
        <v>204</v>
      </c>
      <c r="B206" s="35" t="str">
        <f t="shared" si="6"/>
        <v>April</v>
      </c>
      <c r="C206" s="33">
        <v>46139</v>
      </c>
      <c r="D206" s="64">
        <v>61930</v>
      </c>
      <c r="E206" s="60">
        <v>45356</v>
      </c>
      <c r="F206" s="52" t="s">
        <v>120</v>
      </c>
      <c r="G206" s="18" t="s">
        <v>123</v>
      </c>
      <c r="H206" s="49" t="s">
        <v>130</v>
      </c>
      <c r="I206" s="49" t="s">
        <v>40</v>
      </c>
      <c r="J206" s="50" t="s">
        <v>47</v>
      </c>
      <c r="K206" s="15">
        <v>140</v>
      </c>
      <c r="L206" s="48">
        <v>15</v>
      </c>
      <c r="M206" s="53">
        <f t="shared" si="7"/>
        <v>2100</v>
      </c>
      <c r="O206" s="59"/>
      <c r="P206" s="149"/>
    </row>
    <row r="207" spans="1:18" x14ac:dyDescent="0.25">
      <c r="A207" s="21">
        <f>IF(C207="","",COUNTA($C$3:C207))</f>
        <v>205</v>
      </c>
      <c r="B207" s="35" t="str">
        <f t="shared" si="6"/>
        <v>April</v>
      </c>
      <c r="C207" s="33">
        <v>46141</v>
      </c>
      <c r="D207" s="64">
        <v>61954</v>
      </c>
      <c r="E207" s="60">
        <v>45357</v>
      </c>
      <c r="F207" s="52" t="s">
        <v>207</v>
      </c>
      <c r="G207" s="52" t="s">
        <v>209</v>
      </c>
      <c r="H207" s="49" t="s">
        <v>114</v>
      </c>
      <c r="I207" s="49" t="s">
        <v>48</v>
      </c>
      <c r="J207" s="50" t="s">
        <v>47</v>
      </c>
      <c r="K207" s="15">
        <v>122</v>
      </c>
      <c r="L207" s="53">
        <v>700</v>
      </c>
      <c r="M207" s="53">
        <f t="shared" si="7"/>
        <v>85400</v>
      </c>
    </row>
    <row r="208" spans="1:18" x14ac:dyDescent="0.25">
      <c r="A208" s="21">
        <f>IF(C208="","",COUNTA($C$3:C208))</f>
        <v>206</v>
      </c>
      <c r="B208" s="35" t="str">
        <f t="shared" si="6"/>
        <v>April</v>
      </c>
      <c r="C208" s="33">
        <v>46141</v>
      </c>
      <c r="D208" s="64">
        <v>61954</v>
      </c>
      <c r="E208" s="60">
        <v>45357</v>
      </c>
      <c r="F208" s="52" t="s">
        <v>207</v>
      </c>
      <c r="G208" s="52" t="s">
        <v>209</v>
      </c>
      <c r="H208" s="49" t="s">
        <v>114</v>
      </c>
      <c r="I208" s="49" t="s">
        <v>49</v>
      </c>
      <c r="J208" s="50" t="s">
        <v>47</v>
      </c>
      <c r="K208" s="15">
        <v>86.1</v>
      </c>
      <c r="L208" s="53">
        <v>820</v>
      </c>
      <c r="M208" s="53">
        <f t="shared" si="7"/>
        <v>70602</v>
      </c>
    </row>
    <row r="209" spans="1:17" x14ac:dyDescent="0.25">
      <c r="A209" s="21">
        <f>IF(C209="","",COUNTA($C$3:C209))</f>
        <v>207</v>
      </c>
      <c r="B209" s="35" t="str">
        <f t="shared" si="6"/>
        <v>April</v>
      </c>
      <c r="C209" s="33">
        <v>46141</v>
      </c>
      <c r="D209" s="64">
        <v>61954</v>
      </c>
      <c r="E209" s="60">
        <v>45357</v>
      </c>
      <c r="F209" s="52" t="s">
        <v>207</v>
      </c>
      <c r="G209" s="52" t="s">
        <v>209</v>
      </c>
      <c r="H209" s="49" t="s">
        <v>147</v>
      </c>
      <c r="I209" s="49" t="s">
        <v>50</v>
      </c>
      <c r="J209" s="50" t="s">
        <v>47</v>
      </c>
      <c r="K209" s="15">
        <v>4.5</v>
      </c>
      <c r="L209" s="54">
        <v>910</v>
      </c>
      <c r="M209" s="53">
        <f t="shared" si="7"/>
        <v>4095</v>
      </c>
    </row>
    <row r="210" spans="1:17" x14ac:dyDescent="0.25">
      <c r="A210" s="21">
        <f>IF(C210="","",COUNTA($C$3:C210))</f>
        <v>208</v>
      </c>
      <c r="B210" s="35" t="str">
        <f t="shared" si="6"/>
        <v>April</v>
      </c>
      <c r="C210" s="33">
        <v>46141</v>
      </c>
      <c r="D210" s="64">
        <v>61954</v>
      </c>
      <c r="E210" s="60">
        <v>45357</v>
      </c>
      <c r="F210" s="52" t="s">
        <v>207</v>
      </c>
      <c r="G210" s="52" t="s">
        <v>209</v>
      </c>
      <c r="H210" s="49" t="s">
        <v>129</v>
      </c>
      <c r="I210" s="49" t="s">
        <v>53</v>
      </c>
      <c r="J210" s="50" t="s">
        <v>47</v>
      </c>
      <c r="K210" s="55">
        <v>212.6</v>
      </c>
      <c r="L210" s="54">
        <v>330</v>
      </c>
      <c r="M210" s="53">
        <f t="shared" si="7"/>
        <v>70158</v>
      </c>
    </row>
    <row r="211" spans="1:17" x14ac:dyDescent="0.25">
      <c r="A211" s="21">
        <f>IF(C211="","",COUNTA($C$3:C211))</f>
        <v>209</v>
      </c>
      <c r="B211" s="35" t="str">
        <f t="shared" si="6"/>
        <v>April</v>
      </c>
      <c r="C211" s="33">
        <v>46142</v>
      </c>
      <c r="D211" s="64">
        <v>61859</v>
      </c>
      <c r="E211" s="60">
        <v>45358</v>
      </c>
      <c r="F211" s="52" t="s">
        <v>120</v>
      </c>
      <c r="G211" s="52" t="s">
        <v>168</v>
      </c>
      <c r="H211" s="49" t="s">
        <v>38</v>
      </c>
      <c r="I211" s="49" t="s">
        <v>68</v>
      </c>
      <c r="J211" s="50" t="s">
        <v>47</v>
      </c>
      <c r="K211" s="15">
        <v>78.099999999999994</v>
      </c>
      <c r="L211" s="53">
        <v>545</v>
      </c>
      <c r="M211" s="53">
        <f t="shared" si="7"/>
        <v>42564.5</v>
      </c>
    </row>
    <row r="212" spans="1:17" x14ac:dyDescent="0.25">
      <c r="A212" s="21">
        <f>IF(C212="","",COUNTA($C$3:C212))</f>
        <v>210</v>
      </c>
      <c r="B212" s="35" t="str">
        <f t="shared" si="6"/>
        <v>April</v>
      </c>
      <c r="C212" s="33">
        <v>46142</v>
      </c>
      <c r="D212" s="64">
        <v>61859</v>
      </c>
      <c r="E212" s="60">
        <v>45358</v>
      </c>
      <c r="F212" s="52" t="s">
        <v>120</v>
      </c>
      <c r="G212" s="52" t="s">
        <v>168</v>
      </c>
      <c r="H212" s="49" t="s">
        <v>38</v>
      </c>
      <c r="I212" s="49" t="s">
        <v>69</v>
      </c>
      <c r="J212" s="50" t="s">
        <v>47</v>
      </c>
      <c r="K212" s="15">
        <v>137.30000000000001</v>
      </c>
      <c r="L212" s="54">
        <v>705</v>
      </c>
      <c r="M212" s="53">
        <f t="shared" si="7"/>
        <v>96796.500000000015</v>
      </c>
      <c r="O212" s="59"/>
      <c r="P212" s="59"/>
      <c r="Q212" s="59"/>
    </row>
    <row r="213" spans="1:17" x14ac:dyDescent="0.25">
      <c r="A213" s="21">
        <f>IF(C213="","",COUNTA($C$3:C213))</f>
        <v>211</v>
      </c>
      <c r="B213" s="35" t="str">
        <f t="shared" si="6"/>
        <v>April</v>
      </c>
      <c r="C213" s="33">
        <v>46142</v>
      </c>
      <c r="D213" s="64">
        <v>61859</v>
      </c>
      <c r="E213" s="60">
        <v>45358</v>
      </c>
      <c r="F213" s="52" t="s">
        <v>120</v>
      </c>
      <c r="G213" s="52" t="s">
        <v>168</v>
      </c>
      <c r="H213" s="49" t="s">
        <v>38</v>
      </c>
      <c r="I213" s="49" t="s">
        <v>39</v>
      </c>
      <c r="J213" s="50" t="s">
        <v>47</v>
      </c>
      <c r="K213" s="15">
        <v>93.5</v>
      </c>
      <c r="L213" s="53">
        <v>915</v>
      </c>
      <c r="M213" s="53">
        <f t="shared" si="7"/>
        <v>85552.5</v>
      </c>
    </row>
    <row r="214" spans="1:17" x14ac:dyDescent="0.25">
      <c r="A214" s="21">
        <f>IF(C214="","",COUNTA($C$3:C214))</f>
        <v>212</v>
      </c>
      <c r="B214" s="35" t="str">
        <f t="shared" si="6"/>
        <v>April</v>
      </c>
      <c r="C214" s="33">
        <v>46142</v>
      </c>
      <c r="D214" s="64">
        <v>61955</v>
      </c>
      <c r="E214" s="60">
        <v>45359</v>
      </c>
      <c r="F214" s="52" t="s">
        <v>120</v>
      </c>
      <c r="G214" s="52" t="s">
        <v>211</v>
      </c>
      <c r="H214" s="49" t="s">
        <v>38</v>
      </c>
      <c r="I214" s="49" t="s">
        <v>68</v>
      </c>
      <c r="J214" s="50" t="s">
        <v>47</v>
      </c>
      <c r="K214" s="15">
        <v>202.8</v>
      </c>
      <c r="L214" s="54">
        <v>670</v>
      </c>
      <c r="M214" s="53">
        <f t="shared" si="7"/>
        <v>135876</v>
      </c>
    </row>
    <row r="215" spans="1:17" x14ac:dyDescent="0.25">
      <c r="A215" s="21">
        <f>IF(C215="","",COUNTA($C$3:C215))</f>
        <v>213</v>
      </c>
      <c r="B215" s="35" t="str">
        <f t="shared" si="6"/>
        <v>April</v>
      </c>
      <c r="C215" s="33">
        <v>46142</v>
      </c>
      <c r="D215" s="64">
        <v>61955</v>
      </c>
      <c r="E215" s="60">
        <v>45359</v>
      </c>
      <c r="F215" s="52" t="s">
        <v>120</v>
      </c>
      <c r="G215" s="52" t="s">
        <v>211</v>
      </c>
      <c r="H215" s="49" t="s">
        <v>38</v>
      </c>
      <c r="I215" s="49" t="s">
        <v>69</v>
      </c>
      <c r="J215" s="50" t="s">
        <v>47</v>
      </c>
      <c r="K215" s="15">
        <v>17.5</v>
      </c>
      <c r="L215" s="62">
        <v>868</v>
      </c>
      <c r="M215" s="53">
        <f t="shared" si="7"/>
        <v>15190</v>
      </c>
    </row>
    <row r="216" spans="1:17" x14ac:dyDescent="0.25">
      <c r="A216" s="21">
        <f>IF(C216="","",COUNTA($C$3:C216))</f>
        <v>214</v>
      </c>
      <c r="B216" s="35" t="str">
        <f t="shared" si="6"/>
        <v>April</v>
      </c>
      <c r="C216" s="33">
        <v>46142</v>
      </c>
      <c r="D216" s="64">
        <v>61955</v>
      </c>
      <c r="E216" s="60">
        <v>45359</v>
      </c>
      <c r="F216" s="52" t="s">
        <v>120</v>
      </c>
      <c r="G216" s="52" t="s">
        <v>211</v>
      </c>
      <c r="H216" s="49" t="s">
        <v>129</v>
      </c>
      <c r="I216" s="49" t="s">
        <v>80</v>
      </c>
      <c r="J216" s="50" t="s">
        <v>47</v>
      </c>
      <c r="K216" s="15">
        <v>158.1</v>
      </c>
      <c r="L216" s="53">
        <v>373</v>
      </c>
      <c r="M216" s="53">
        <f t="shared" si="7"/>
        <v>58971.299999999996</v>
      </c>
    </row>
    <row r="217" spans="1:17" x14ac:dyDescent="0.25">
      <c r="A217" s="21">
        <f>IF(C217="","",COUNTA($C$3:C217))</f>
        <v>215</v>
      </c>
      <c r="B217" s="35" t="str">
        <f t="shared" si="6"/>
        <v>April</v>
      </c>
      <c r="C217" s="33">
        <v>46142</v>
      </c>
      <c r="D217" s="64">
        <v>61955</v>
      </c>
      <c r="E217" s="60">
        <v>45359</v>
      </c>
      <c r="F217" s="52" t="s">
        <v>120</v>
      </c>
      <c r="G217" s="52" t="s">
        <v>211</v>
      </c>
      <c r="H217" s="49" t="s">
        <v>139</v>
      </c>
      <c r="I217" s="49" t="s">
        <v>39</v>
      </c>
      <c r="J217" s="50" t="s">
        <v>47</v>
      </c>
      <c r="K217" s="15">
        <v>9.6999999999999993</v>
      </c>
      <c r="L217" s="62">
        <v>5200</v>
      </c>
      <c r="M217" s="53">
        <f t="shared" si="7"/>
        <v>50439.999999999993</v>
      </c>
    </row>
    <row r="218" spans="1:17" x14ac:dyDescent="0.25">
      <c r="A218" s="21">
        <f>IF(C218="","",COUNTA($C$3:C218))</f>
        <v>216</v>
      </c>
      <c r="B218" s="35" t="str">
        <f t="shared" si="6"/>
        <v>April</v>
      </c>
      <c r="C218" s="33">
        <v>46142</v>
      </c>
      <c r="D218" s="64">
        <v>61955</v>
      </c>
      <c r="E218" s="60">
        <v>45359</v>
      </c>
      <c r="F218" s="52" t="s">
        <v>120</v>
      </c>
      <c r="G218" s="52" t="s">
        <v>211</v>
      </c>
      <c r="H218" s="49" t="s">
        <v>130</v>
      </c>
      <c r="I218" s="49" t="s">
        <v>40</v>
      </c>
      <c r="J218" s="50" t="s">
        <v>47</v>
      </c>
      <c r="K218" s="15">
        <v>170</v>
      </c>
      <c r="L218" s="54">
        <v>20</v>
      </c>
      <c r="M218" s="53">
        <f t="shared" si="7"/>
        <v>3400</v>
      </c>
    </row>
    <row r="219" spans="1:17" x14ac:dyDescent="0.25">
      <c r="A219" s="21">
        <f>IF(C219="","",COUNTA($C$3:C219))</f>
        <v>217</v>
      </c>
      <c r="B219" s="35" t="str">
        <f t="shared" si="6"/>
        <v>April</v>
      </c>
      <c r="C219" s="33">
        <v>46142</v>
      </c>
      <c r="D219" s="64">
        <v>61954</v>
      </c>
      <c r="E219" s="60">
        <v>45360</v>
      </c>
      <c r="F219" s="52" t="s">
        <v>207</v>
      </c>
      <c r="G219" s="52" t="s">
        <v>212</v>
      </c>
      <c r="H219" s="49" t="s">
        <v>114</v>
      </c>
      <c r="I219" s="49" t="s">
        <v>48</v>
      </c>
      <c r="J219" s="50" t="s">
        <v>47</v>
      </c>
      <c r="K219" s="15">
        <v>79.400000000000006</v>
      </c>
      <c r="L219" s="53">
        <v>700</v>
      </c>
      <c r="M219" s="53">
        <f t="shared" si="7"/>
        <v>55580.000000000007</v>
      </c>
    </row>
    <row r="220" spans="1:17" x14ac:dyDescent="0.25">
      <c r="A220" s="21">
        <f>IF(C220="","",COUNTA($C$3:C220))</f>
        <v>218</v>
      </c>
      <c r="B220" s="35" t="str">
        <f t="shared" si="6"/>
        <v>April</v>
      </c>
      <c r="C220" s="33">
        <v>46142</v>
      </c>
      <c r="D220" s="64">
        <v>61954</v>
      </c>
      <c r="E220" s="60">
        <v>45360</v>
      </c>
      <c r="F220" s="52" t="s">
        <v>207</v>
      </c>
      <c r="G220" s="52" t="s">
        <v>212</v>
      </c>
      <c r="H220" s="49" t="s">
        <v>114</v>
      </c>
      <c r="I220" s="49" t="s">
        <v>49</v>
      </c>
      <c r="J220" s="50" t="s">
        <v>47</v>
      </c>
      <c r="K220" s="15">
        <v>17.399999999999999</v>
      </c>
      <c r="L220" s="53">
        <v>820</v>
      </c>
      <c r="M220" s="53">
        <f t="shared" si="7"/>
        <v>14267.999999999998</v>
      </c>
    </row>
    <row r="221" spans="1:17" x14ac:dyDescent="0.25">
      <c r="A221" s="21">
        <f>IF(C221="","",COUNTA($C$3:C221))</f>
        <v>219</v>
      </c>
      <c r="B221" s="35" t="str">
        <f t="shared" si="6"/>
        <v>April</v>
      </c>
      <c r="C221" s="33">
        <v>46142</v>
      </c>
      <c r="D221" s="64">
        <v>61954</v>
      </c>
      <c r="E221" s="60">
        <v>45360</v>
      </c>
      <c r="F221" s="52" t="s">
        <v>207</v>
      </c>
      <c r="G221" s="52" t="s">
        <v>212</v>
      </c>
      <c r="H221" s="49" t="s">
        <v>147</v>
      </c>
      <c r="I221" s="49" t="s">
        <v>50</v>
      </c>
      <c r="J221" s="50" t="s">
        <v>47</v>
      </c>
      <c r="K221" s="15">
        <v>3.1</v>
      </c>
      <c r="L221" s="54">
        <v>910</v>
      </c>
      <c r="M221" s="53">
        <f t="shared" si="7"/>
        <v>2821</v>
      </c>
    </row>
    <row r="222" spans="1:17" x14ac:dyDescent="0.25">
      <c r="A222" s="21">
        <f>IF(C222="","",COUNTA($C$3:C222))</f>
        <v>220</v>
      </c>
      <c r="B222" s="35" t="str">
        <f t="shared" si="6"/>
        <v>April</v>
      </c>
      <c r="C222" s="33">
        <v>46142</v>
      </c>
      <c r="D222" s="64">
        <v>61954</v>
      </c>
      <c r="E222" s="60">
        <v>45360</v>
      </c>
      <c r="F222" s="52" t="s">
        <v>207</v>
      </c>
      <c r="G222" s="52" t="s">
        <v>212</v>
      </c>
      <c r="H222" s="49" t="s">
        <v>129</v>
      </c>
      <c r="I222" s="49" t="s">
        <v>53</v>
      </c>
      <c r="J222" s="50" t="s">
        <v>47</v>
      </c>
      <c r="K222" s="55">
        <v>99.9</v>
      </c>
      <c r="L222" s="54">
        <v>330</v>
      </c>
      <c r="M222" s="53">
        <f t="shared" si="7"/>
        <v>32967</v>
      </c>
    </row>
    <row r="223" spans="1:17" x14ac:dyDescent="0.25">
      <c r="A223" s="21">
        <f>IF(C223="","",COUNTA($C$3:C223))</f>
        <v>221</v>
      </c>
      <c r="B223" s="35" t="str">
        <f t="shared" si="6"/>
        <v>May</v>
      </c>
      <c r="C223" s="33">
        <v>46144</v>
      </c>
      <c r="D223" s="64">
        <v>61956</v>
      </c>
      <c r="E223" s="60">
        <v>45361</v>
      </c>
      <c r="F223" s="52" t="s">
        <v>157</v>
      </c>
      <c r="G223" s="52" t="s">
        <v>214</v>
      </c>
      <c r="H223" s="49" t="s">
        <v>38</v>
      </c>
      <c r="I223" s="49" t="s">
        <v>68</v>
      </c>
      <c r="J223" s="50" t="s">
        <v>47</v>
      </c>
      <c r="K223" s="15">
        <v>24.1</v>
      </c>
      <c r="L223" s="62">
        <v>660</v>
      </c>
      <c r="M223" s="53">
        <f t="shared" si="7"/>
        <v>15906.000000000002</v>
      </c>
    </row>
    <row r="224" spans="1:17" x14ac:dyDescent="0.25">
      <c r="A224" s="21">
        <f>IF(C224="","",COUNTA($C$3:C224))</f>
        <v>222</v>
      </c>
      <c r="B224" s="35" t="str">
        <f t="shared" si="6"/>
        <v>May</v>
      </c>
      <c r="C224" s="33">
        <v>46144</v>
      </c>
      <c r="D224" s="64">
        <v>61956</v>
      </c>
      <c r="E224" s="60">
        <v>45361</v>
      </c>
      <c r="F224" s="52" t="s">
        <v>157</v>
      </c>
      <c r="G224" s="52" t="s">
        <v>214</v>
      </c>
      <c r="H224" s="49" t="s">
        <v>114</v>
      </c>
      <c r="I224" s="49" t="s">
        <v>48</v>
      </c>
      <c r="J224" s="50" t="s">
        <v>47</v>
      </c>
      <c r="K224" s="15">
        <v>16.7</v>
      </c>
      <c r="L224" s="62">
        <v>710</v>
      </c>
      <c r="M224" s="53">
        <f t="shared" si="7"/>
        <v>11857</v>
      </c>
    </row>
    <row r="225" spans="1:13" x14ac:dyDescent="0.25">
      <c r="A225" s="21">
        <f>IF(C225="","",COUNTA($C$3:C225))</f>
        <v>223</v>
      </c>
      <c r="B225" s="35" t="str">
        <f t="shared" si="6"/>
        <v>May</v>
      </c>
      <c r="C225" s="33">
        <v>46144</v>
      </c>
      <c r="D225" s="64">
        <v>61956</v>
      </c>
      <c r="E225" s="60">
        <v>45361</v>
      </c>
      <c r="F225" s="52" t="s">
        <v>157</v>
      </c>
      <c r="G225" s="52" t="s">
        <v>214</v>
      </c>
      <c r="H225" s="49" t="s">
        <v>147</v>
      </c>
      <c r="I225" s="49" t="s">
        <v>50</v>
      </c>
      <c r="J225" s="50" t="s">
        <v>47</v>
      </c>
      <c r="K225" s="15">
        <v>0.8</v>
      </c>
      <c r="L225" s="62">
        <v>1000</v>
      </c>
      <c r="M225" s="53">
        <f t="shared" si="7"/>
        <v>800</v>
      </c>
    </row>
    <row r="226" spans="1:13" x14ac:dyDescent="0.25">
      <c r="A226" s="21">
        <f>IF(C226="","",COUNTA($C$3:C226))</f>
        <v>224</v>
      </c>
      <c r="B226" s="35" t="str">
        <f t="shared" si="6"/>
        <v>May</v>
      </c>
      <c r="C226" s="33">
        <v>46144</v>
      </c>
      <c r="D226" s="64">
        <v>61956</v>
      </c>
      <c r="E226" s="60">
        <v>45361</v>
      </c>
      <c r="F226" s="52" t="s">
        <v>157</v>
      </c>
      <c r="G226" s="52" t="s">
        <v>214</v>
      </c>
      <c r="H226" s="49" t="s">
        <v>135</v>
      </c>
      <c r="I226" s="49" t="s">
        <v>39</v>
      </c>
      <c r="J226" s="50" t="s">
        <v>47</v>
      </c>
      <c r="K226" s="15">
        <v>0.3</v>
      </c>
      <c r="L226" s="62">
        <v>3795</v>
      </c>
      <c r="M226" s="53">
        <f t="shared" si="7"/>
        <v>1138.5</v>
      </c>
    </row>
    <row r="227" spans="1:13" x14ac:dyDescent="0.25">
      <c r="A227" s="21">
        <f>IF(C227="","",COUNTA($C$3:C227))</f>
        <v>225</v>
      </c>
      <c r="B227" s="35" t="str">
        <f t="shared" si="6"/>
        <v>May</v>
      </c>
      <c r="C227" s="33">
        <v>46144</v>
      </c>
      <c r="D227" s="64">
        <v>61956</v>
      </c>
      <c r="E227" s="60">
        <v>45361</v>
      </c>
      <c r="F227" s="52" t="s">
        <v>157</v>
      </c>
      <c r="G227" s="52" t="s">
        <v>214</v>
      </c>
      <c r="H227" s="49" t="s">
        <v>139</v>
      </c>
      <c r="I227" s="49" t="s">
        <v>39</v>
      </c>
      <c r="J227" s="50" t="s">
        <v>47</v>
      </c>
      <c r="K227" s="15">
        <v>0.4</v>
      </c>
      <c r="L227" s="53">
        <v>5200</v>
      </c>
      <c r="M227" s="53">
        <f t="shared" si="7"/>
        <v>2080</v>
      </c>
    </row>
    <row r="228" spans="1:13" x14ac:dyDescent="0.25">
      <c r="A228" s="21">
        <f>IF(C228="","",COUNTA($C$3:C228))</f>
        <v>226</v>
      </c>
      <c r="B228" s="35" t="str">
        <f t="shared" si="6"/>
        <v>May</v>
      </c>
      <c r="C228" s="33">
        <v>46144</v>
      </c>
      <c r="D228" s="64">
        <v>61956</v>
      </c>
      <c r="E228" s="60">
        <v>45361</v>
      </c>
      <c r="F228" s="52" t="s">
        <v>157</v>
      </c>
      <c r="G228" s="52" t="s">
        <v>214</v>
      </c>
      <c r="H228" s="49" t="s">
        <v>129</v>
      </c>
      <c r="I228" s="49" t="s">
        <v>104</v>
      </c>
      <c r="J228" s="50" t="s">
        <v>47</v>
      </c>
      <c r="K228" s="15">
        <v>5</v>
      </c>
      <c r="L228" s="62">
        <v>495</v>
      </c>
      <c r="M228" s="53">
        <f t="shared" si="7"/>
        <v>2475</v>
      </c>
    </row>
    <row r="229" spans="1:13" x14ac:dyDescent="0.25">
      <c r="A229" s="21">
        <f>IF(C229="","",COUNTA($C$3:C229))</f>
        <v>227</v>
      </c>
      <c r="B229" s="35" t="str">
        <f t="shared" si="6"/>
        <v>May</v>
      </c>
      <c r="C229" s="33">
        <v>46146</v>
      </c>
      <c r="D229" s="64">
        <v>61957</v>
      </c>
      <c r="E229" s="60">
        <v>45362</v>
      </c>
      <c r="F229" s="52" t="s">
        <v>120</v>
      </c>
      <c r="G229" s="52" t="s">
        <v>216</v>
      </c>
      <c r="H229" s="49" t="s">
        <v>38</v>
      </c>
      <c r="I229" s="49" t="s">
        <v>69</v>
      </c>
      <c r="J229" s="50" t="s">
        <v>47</v>
      </c>
      <c r="K229" s="15">
        <v>26.4</v>
      </c>
      <c r="L229" s="48">
        <v>670</v>
      </c>
      <c r="M229" s="53">
        <f t="shared" si="7"/>
        <v>17688</v>
      </c>
    </row>
    <row r="230" spans="1:13" x14ac:dyDescent="0.25">
      <c r="A230" s="21">
        <f>IF(C230="","",COUNTA($C$3:C230))</f>
        <v>228</v>
      </c>
      <c r="B230" s="35" t="str">
        <f t="shared" si="6"/>
        <v>May</v>
      </c>
      <c r="C230" s="33">
        <v>46146</v>
      </c>
      <c r="D230" s="64">
        <v>61957</v>
      </c>
      <c r="E230" s="60">
        <v>45362</v>
      </c>
      <c r="F230" s="52" t="s">
        <v>120</v>
      </c>
      <c r="G230" s="52" t="s">
        <v>216</v>
      </c>
      <c r="H230" s="49" t="s">
        <v>161</v>
      </c>
      <c r="I230" s="49" t="s">
        <v>69</v>
      </c>
      <c r="J230" s="50" t="s">
        <v>47</v>
      </c>
      <c r="K230" s="15">
        <v>6</v>
      </c>
      <c r="L230" s="54">
        <v>625</v>
      </c>
      <c r="M230" s="53">
        <f t="shared" si="7"/>
        <v>3750</v>
      </c>
    </row>
    <row r="231" spans="1:13" x14ac:dyDescent="0.25">
      <c r="A231" s="21">
        <f>IF(C231="","",COUNTA($C$3:C231))</f>
        <v>229</v>
      </c>
      <c r="B231" s="35" t="str">
        <f t="shared" si="6"/>
        <v>May</v>
      </c>
      <c r="C231" s="33">
        <v>46146</v>
      </c>
      <c r="D231" s="64">
        <v>61955</v>
      </c>
      <c r="E231" s="60">
        <v>45363</v>
      </c>
      <c r="F231" s="52" t="s">
        <v>120</v>
      </c>
      <c r="G231" s="52" t="s">
        <v>211</v>
      </c>
      <c r="H231" s="49" t="s">
        <v>38</v>
      </c>
      <c r="I231" s="49" t="s">
        <v>68</v>
      </c>
      <c r="J231" s="50" t="s">
        <v>47</v>
      </c>
      <c r="K231" s="15">
        <v>109.6</v>
      </c>
      <c r="L231" s="53">
        <v>670</v>
      </c>
      <c r="M231" s="53">
        <f t="shared" si="7"/>
        <v>73432</v>
      </c>
    </row>
    <row r="232" spans="1:13" x14ac:dyDescent="0.25">
      <c r="A232" s="21">
        <f>IF(C232="","",COUNTA($C$3:C232))</f>
        <v>230</v>
      </c>
      <c r="B232" s="35" t="str">
        <f t="shared" si="6"/>
        <v>May</v>
      </c>
      <c r="C232" s="33">
        <v>46146</v>
      </c>
      <c r="D232" s="64">
        <v>61955</v>
      </c>
      <c r="E232" s="60">
        <v>45363</v>
      </c>
      <c r="F232" s="52" t="s">
        <v>120</v>
      </c>
      <c r="G232" s="52" t="s">
        <v>211</v>
      </c>
      <c r="H232" s="49" t="s">
        <v>38</v>
      </c>
      <c r="I232" s="49" t="s">
        <v>69</v>
      </c>
      <c r="J232" s="50" t="s">
        <v>47</v>
      </c>
      <c r="K232" s="15">
        <v>38.1</v>
      </c>
      <c r="L232" s="54">
        <v>868</v>
      </c>
      <c r="M232" s="53">
        <f t="shared" si="7"/>
        <v>33070.800000000003</v>
      </c>
    </row>
    <row r="233" spans="1:13" x14ac:dyDescent="0.25">
      <c r="A233" s="21">
        <f>IF(C233="","",COUNTA($C$3:C233))</f>
        <v>231</v>
      </c>
      <c r="B233" s="35" t="str">
        <f t="shared" si="6"/>
        <v>May</v>
      </c>
      <c r="C233" s="33">
        <v>46146</v>
      </c>
      <c r="D233" s="64">
        <v>61955</v>
      </c>
      <c r="E233" s="60">
        <v>45363</v>
      </c>
      <c r="F233" s="52" t="s">
        <v>120</v>
      </c>
      <c r="G233" s="52" t="s">
        <v>211</v>
      </c>
      <c r="H233" s="49" t="s">
        <v>114</v>
      </c>
      <c r="I233" s="49" t="s">
        <v>49</v>
      </c>
      <c r="J233" s="50" t="s">
        <v>47</v>
      </c>
      <c r="K233" s="15">
        <v>15.8</v>
      </c>
      <c r="L233" s="53">
        <v>865</v>
      </c>
      <c r="M233" s="53">
        <f t="shared" si="7"/>
        <v>13667</v>
      </c>
    </row>
    <row r="234" spans="1:13" x14ac:dyDescent="0.25">
      <c r="A234" s="21">
        <f>IF(C234="","",COUNTA($C$3:C234))</f>
        <v>232</v>
      </c>
      <c r="B234" s="35" t="str">
        <f t="shared" si="6"/>
        <v>May</v>
      </c>
      <c r="C234" s="33">
        <v>46146</v>
      </c>
      <c r="D234" s="64">
        <v>61955</v>
      </c>
      <c r="E234" s="60">
        <v>45363</v>
      </c>
      <c r="F234" s="52" t="s">
        <v>120</v>
      </c>
      <c r="G234" s="52" t="s">
        <v>211</v>
      </c>
      <c r="H234" s="49" t="s">
        <v>147</v>
      </c>
      <c r="I234" s="49" t="s">
        <v>50</v>
      </c>
      <c r="J234" s="50" t="s">
        <v>47</v>
      </c>
      <c r="K234" s="15">
        <v>1.8</v>
      </c>
      <c r="L234" s="54">
        <v>995</v>
      </c>
      <c r="M234" s="53">
        <f t="shared" si="7"/>
        <v>1791</v>
      </c>
    </row>
    <row r="235" spans="1:13" x14ac:dyDescent="0.25">
      <c r="A235" s="21">
        <f>IF(C235="","",COUNTA($C$3:C235))</f>
        <v>233</v>
      </c>
      <c r="B235" s="35" t="str">
        <f t="shared" si="6"/>
        <v>May</v>
      </c>
      <c r="C235" s="33">
        <v>46146</v>
      </c>
      <c r="D235" s="64">
        <v>61955</v>
      </c>
      <c r="E235" s="60">
        <v>45363</v>
      </c>
      <c r="F235" s="52" t="s">
        <v>120</v>
      </c>
      <c r="G235" s="52" t="s">
        <v>211</v>
      </c>
      <c r="H235" s="49" t="s">
        <v>129</v>
      </c>
      <c r="I235" s="49" t="s">
        <v>80</v>
      </c>
      <c r="J235" s="50" t="s">
        <v>47</v>
      </c>
      <c r="K235" s="15">
        <v>147</v>
      </c>
      <c r="L235" s="54">
        <v>373</v>
      </c>
      <c r="M235" s="53">
        <f t="shared" si="7"/>
        <v>54831</v>
      </c>
    </row>
    <row r="236" spans="1:13" x14ac:dyDescent="0.25">
      <c r="A236" s="21">
        <f>IF(C236="","",COUNTA($C$3:C236))</f>
        <v>234</v>
      </c>
      <c r="B236" s="35" t="str">
        <f t="shared" si="6"/>
        <v>May</v>
      </c>
      <c r="C236" s="33">
        <v>46146</v>
      </c>
      <c r="D236" s="64">
        <v>61955</v>
      </c>
      <c r="E236" s="60">
        <v>45363</v>
      </c>
      <c r="F236" s="52" t="s">
        <v>120</v>
      </c>
      <c r="G236" s="52" t="s">
        <v>211</v>
      </c>
      <c r="H236" s="49" t="s">
        <v>129</v>
      </c>
      <c r="I236" s="49" t="s">
        <v>94</v>
      </c>
      <c r="J236" s="50" t="s">
        <v>47</v>
      </c>
      <c r="K236" s="15">
        <v>18.3</v>
      </c>
      <c r="L236" s="53">
        <v>820</v>
      </c>
      <c r="M236" s="53">
        <f t="shared" si="7"/>
        <v>15006</v>
      </c>
    </row>
    <row r="237" spans="1:13" x14ac:dyDescent="0.25">
      <c r="A237" s="21">
        <f>IF(C237="","",COUNTA($C$3:C237))</f>
        <v>235</v>
      </c>
      <c r="B237" s="35" t="str">
        <f t="shared" si="6"/>
        <v>May</v>
      </c>
      <c r="C237" s="33">
        <v>46146</v>
      </c>
      <c r="D237" s="64">
        <v>61955</v>
      </c>
      <c r="E237" s="60">
        <v>45363</v>
      </c>
      <c r="F237" s="52" t="s">
        <v>120</v>
      </c>
      <c r="G237" s="52" t="s">
        <v>211</v>
      </c>
      <c r="H237" s="49" t="s">
        <v>136</v>
      </c>
      <c r="I237" s="49" t="s">
        <v>136</v>
      </c>
      <c r="J237" s="50" t="s">
        <v>137</v>
      </c>
      <c r="K237" s="15">
        <v>6.4</v>
      </c>
      <c r="L237" s="54">
        <v>110</v>
      </c>
      <c r="M237" s="53">
        <f t="shared" si="7"/>
        <v>704</v>
      </c>
    </row>
    <row r="238" spans="1:13" x14ac:dyDescent="0.25">
      <c r="A238" s="21">
        <f>IF(C238="","",COUNTA($C$3:C238))</f>
        <v>236</v>
      </c>
      <c r="B238" s="35" t="str">
        <f t="shared" si="6"/>
        <v>May</v>
      </c>
      <c r="C238" s="33">
        <v>46146</v>
      </c>
      <c r="D238" s="64">
        <v>61955</v>
      </c>
      <c r="E238" s="60">
        <v>45363</v>
      </c>
      <c r="F238" s="52" t="s">
        <v>120</v>
      </c>
      <c r="G238" s="52" t="s">
        <v>211</v>
      </c>
      <c r="H238" s="49" t="s">
        <v>130</v>
      </c>
      <c r="I238" s="49" t="s">
        <v>40</v>
      </c>
      <c r="J238" s="50" t="s">
        <v>47</v>
      </c>
      <c r="K238" s="15">
        <v>160</v>
      </c>
      <c r="L238" s="54">
        <v>20</v>
      </c>
      <c r="M238" s="53">
        <f t="shared" si="7"/>
        <v>3200</v>
      </c>
    </row>
    <row r="239" spans="1:13" x14ac:dyDescent="0.25">
      <c r="A239" s="21">
        <f>IF(C239="","",COUNTA($C$3:C239))</f>
        <v>237</v>
      </c>
      <c r="B239" s="35" t="str">
        <f t="shared" si="6"/>
        <v>May</v>
      </c>
      <c r="C239" s="33">
        <v>46146</v>
      </c>
      <c r="D239" s="64">
        <v>61958</v>
      </c>
      <c r="E239" s="60">
        <v>45364</v>
      </c>
      <c r="F239" s="52" t="s">
        <v>218</v>
      </c>
      <c r="G239" s="52" t="s">
        <v>219</v>
      </c>
      <c r="H239" s="49" t="s">
        <v>114</v>
      </c>
      <c r="I239" s="49" t="s">
        <v>48</v>
      </c>
      <c r="J239" s="50" t="s">
        <v>47</v>
      </c>
      <c r="K239" s="15">
        <v>6.4</v>
      </c>
      <c r="L239" s="53">
        <v>710</v>
      </c>
      <c r="M239" s="53">
        <f t="shared" si="7"/>
        <v>4544</v>
      </c>
    </row>
    <row r="240" spans="1:13" x14ac:dyDescent="0.25">
      <c r="A240" s="21">
        <f>IF(C240="","",COUNTA($C$3:C240))</f>
        <v>238</v>
      </c>
      <c r="B240" s="35" t="str">
        <f t="shared" si="6"/>
        <v>May</v>
      </c>
      <c r="C240" s="33">
        <v>46146</v>
      </c>
      <c r="D240" s="64">
        <v>61958</v>
      </c>
      <c r="E240" s="60">
        <v>45364</v>
      </c>
      <c r="F240" s="52" t="s">
        <v>218</v>
      </c>
      <c r="G240" s="52" t="s">
        <v>219</v>
      </c>
      <c r="H240" s="49" t="s">
        <v>147</v>
      </c>
      <c r="I240" s="49" t="s">
        <v>50</v>
      </c>
      <c r="J240" s="50" t="s">
        <v>47</v>
      </c>
      <c r="K240" s="15">
        <v>0.6</v>
      </c>
      <c r="L240" s="48">
        <v>1000</v>
      </c>
      <c r="M240" s="53">
        <f t="shared" si="7"/>
        <v>600</v>
      </c>
    </row>
    <row r="241" spans="1:17" x14ac:dyDescent="0.25">
      <c r="A241" s="21">
        <f>IF(C241="","",COUNTA($C$3:C241))</f>
        <v>239</v>
      </c>
      <c r="B241" s="35" t="str">
        <f t="shared" si="6"/>
        <v>May</v>
      </c>
      <c r="C241" s="33">
        <v>46146</v>
      </c>
      <c r="D241" s="64">
        <v>61958</v>
      </c>
      <c r="E241" s="60">
        <v>45364</v>
      </c>
      <c r="F241" s="52" t="s">
        <v>218</v>
      </c>
      <c r="G241" s="52" t="s">
        <v>219</v>
      </c>
      <c r="H241" s="49" t="s">
        <v>135</v>
      </c>
      <c r="I241" s="49" t="s">
        <v>39</v>
      </c>
      <c r="J241" s="50" t="s">
        <v>47</v>
      </c>
      <c r="K241" s="15">
        <v>0.3</v>
      </c>
      <c r="L241" s="54">
        <v>3795</v>
      </c>
      <c r="M241" s="53">
        <f t="shared" si="7"/>
        <v>1138.5</v>
      </c>
    </row>
    <row r="242" spans="1:17" x14ac:dyDescent="0.25">
      <c r="A242" s="21">
        <f>IF(C242="","",COUNTA($C$3:C242))</f>
        <v>240</v>
      </c>
      <c r="B242" s="35" t="str">
        <f t="shared" si="6"/>
        <v>May</v>
      </c>
      <c r="C242" s="33">
        <v>46146</v>
      </c>
      <c r="D242" s="64">
        <v>61935</v>
      </c>
      <c r="E242" s="60">
        <v>45365</v>
      </c>
      <c r="F242" s="52" t="s">
        <v>157</v>
      </c>
      <c r="G242" s="52" t="s">
        <v>158</v>
      </c>
      <c r="H242" s="49" t="s">
        <v>114</v>
      </c>
      <c r="I242" s="49" t="s">
        <v>49</v>
      </c>
      <c r="J242" s="50" t="s">
        <v>47</v>
      </c>
      <c r="K242" s="15">
        <v>1.2</v>
      </c>
      <c r="L242" s="54">
        <v>795</v>
      </c>
      <c r="M242" s="53">
        <f t="shared" si="7"/>
        <v>954</v>
      </c>
    </row>
    <row r="243" spans="1:17" x14ac:dyDescent="0.25">
      <c r="A243" s="21">
        <f>IF(C243="","",COUNTA($C$3:C243))</f>
        <v>241</v>
      </c>
      <c r="B243" s="35" t="str">
        <f t="shared" si="6"/>
        <v>May</v>
      </c>
      <c r="C243" s="33">
        <v>46146</v>
      </c>
      <c r="D243" s="64">
        <v>61840</v>
      </c>
      <c r="E243" s="60">
        <v>45366</v>
      </c>
      <c r="F243" s="52" t="s">
        <v>120</v>
      </c>
      <c r="G243" s="52" t="s">
        <v>222</v>
      </c>
      <c r="H243" s="49" t="s">
        <v>224</v>
      </c>
      <c r="I243" s="49" t="s">
        <v>89</v>
      </c>
      <c r="J243" s="50" t="s">
        <v>47</v>
      </c>
      <c r="K243" s="15">
        <v>1227.9000000000001</v>
      </c>
      <c r="L243" s="54">
        <v>475</v>
      </c>
      <c r="M243" s="53">
        <f t="shared" si="7"/>
        <v>583252.5</v>
      </c>
    </row>
    <row r="244" spans="1:17" x14ac:dyDescent="0.25">
      <c r="A244" s="21">
        <f>IF(C244="","",COUNTA($C$3:C244))</f>
        <v>242</v>
      </c>
      <c r="B244" s="35" t="str">
        <f t="shared" si="6"/>
        <v>May</v>
      </c>
      <c r="C244" s="33">
        <v>46146</v>
      </c>
      <c r="D244" s="64">
        <v>61840</v>
      </c>
      <c r="E244" s="60">
        <v>45366</v>
      </c>
      <c r="F244" s="52" t="s">
        <v>120</v>
      </c>
      <c r="G244" s="52" t="s">
        <v>222</v>
      </c>
      <c r="H244" s="49" t="s">
        <v>224</v>
      </c>
      <c r="I244" s="49" t="s">
        <v>68</v>
      </c>
      <c r="J244" s="50" t="s">
        <v>47</v>
      </c>
      <c r="K244" s="15">
        <v>54.1</v>
      </c>
      <c r="L244" s="54">
        <v>525</v>
      </c>
      <c r="M244" s="53">
        <f t="shared" si="7"/>
        <v>28402.5</v>
      </c>
    </row>
    <row r="245" spans="1:17" x14ac:dyDescent="0.25">
      <c r="A245" s="21">
        <f>IF(C245="","",COUNTA($C$3:C245))</f>
        <v>243</v>
      </c>
      <c r="B245" s="35" t="str">
        <f t="shared" si="6"/>
        <v>May</v>
      </c>
      <c r="C245" s="33">
        <v>46146</v>
      </c>
      <c r="D245" s="64">
        <v>61840</v>
      </c>
      <c r="E245" s="60">
        <v>45366</v>
      </c>
      <c r="F245" s="52" t="s">
        <v>120</v>
      </c>
      <c r="G245" s="52" t="s">
        <v>222</v>
      </c>
      <c r="H245" s="49" t="s">
        <v>224</v>
      </c>
      <c r="I245" s="49" t="s">
        <v>69</v>
      </c>
      <c r="J245" s="50" t="s">
        <v>47</v>
      </c>
      <c r="K245" s="15">
        <v>61.1</v>
      </c>
      <c r="L245" s="54">
        <v>685</v>
      </c>
      <c r="M245" s="53">
        <f t="shared" si="7"/>
        <v>41853.5</v>
      </c>
    </row>
    <row r="246" spans="1:17" x14ac:dyDescent="0.25">
      <c r="A246" s="21">
        <f>IF(C246="","",COUNTA($C$3:C246))</f>
        <v>244</v>
      </c>
      <c r="B246" s="35" t="str">
        <f t="shared" si="6"/>
        <v>May</v>
      </c>
      <c r="C246" s="33">
        <v>46147</v>
      </c>
      <c r="D246" s="64">
        <v>61434</v>
      </c>
      <c r="E246" s="60">
        <v>45367</v>
      </c>
      <c r="F246" s="52" t="s">
        <v>120</v>
      </c>
      <c r="G246" s="52" t="s">
        <v>155</v>
      </c>
      <c r="H246" s="49" t="s">
        <v>38</v>
      </c>
      <c r="I246" s="49" t="s">
        <v>68</v>
      </c>
      <c r="J246" s="50" t="s">
        <v>47</v>
      </c>
      <c r="K246" s="15">
        <v>4.4000000000000004</v>
      </c>
      <c r="L246" s="53">
        <v>530</v>
      </c>
      <c r="M246" s="53">
        <f t="shared" si="7"/>
        <v>2332</v>
      </c>
    </row>
    <row r="247" spans="1:17" x14ac:dyDescent="0.25">
      <c r="A247" s="21">
        <f>IF(C247="","",COUNTA($C$3:C247))</f>
        <v>245</v>
      </c>
      <c r="B247" s="35" t="str">
        <f t="shared" si="6"/>
        <v>May</v>
      </c>
      <c r="C247" s="33">
        <v>46147</v>
      </c>
      <c r="D247" s="64">
        <v>61434</v>
      </c>
      <c r="E247" s="60">
        <v>45367</v>
      </c>
      <c r="F247" s="52" t="s">
        <v>120</v>
      </c>
      <c r="G247" s="52" t="s">
        <v>155</v>
      </c>
      <c r="H247" s="49" t="s">
        <v>38</v>
      </c>
      <c r="I247" s="49" t="s">
        <v>69</v>
      </c>
      <c r="J247" s="50" t="s">
        <v>47</v>
      </c>
      <c r="K247" s="15">
        <v>69.400000000000006</v>
      </c>
      <c r="L247" s="54">
        <v>677</v>
      </c>
      <c r="M247" s="53">
        <f t="shared" si="7"/>
        <v>46983.8</v>
      </c>
    </row>
    <row r="248" spans="1:17" x14ac:dyDescent="0.25">
      <c r="A248" s="21">
        <f>IF(C248="","",COUNTA($C$3:C248))</f>
        <v>246</v>
      </c>
      <c r="B248" s="35" t="str">
        <f t="shared" si="6"/>
        <v>May</v>
      </c>
      <c r="C248" s="33">
        <v>46149</v>
      </c>
      <c r="D248" s="64">
        <v>61451</v>
      </c>
      <c r="E248" s="60">
        <v>45368</v>
      </c>
      <c r="F248" s="52" t="s">
        <v>120</v>
      </c>
      <c r="G248" s="52" t="s">
        <v>227</v>
      </c>
      <c r="H248" s="49" t="s">
        <v>235</v>
      </c>
      <c r="I248" s="49" t="s">
        <v>68</v>
      </c>
      <c r="J248" s="50" t="s">
        <v>47</v>
      </c>
      <c r="K248" s="15">
        <v>3.9</v>
      </c>
      <c r="L248" s="48">
        <v>495</v>
      </c>
      <c r="M248" s="53">
        <f t="shared" si="7"/>
        <v>1930.5</v>
      </c>
    </row>
    <row r="249" spans="1:17" x14ac:dyDescent="0.25">
      <c r="A249" s="21">
        <f>IF(C249="","",COUNTA($C$3:C249))</f>
        <v>247</v>
      </c>
      <c r="B249" s="35" t="str">
        <f t="shared" si="6"/>
        <v>May</v>
      </c>
      <c r="C249" s="33">
        <v>46149</v>
      </c>
      <c r="D249" s="64">
        <v>61959</v>
      </c>
      <c r="E249" s="60">
        <v>45369</v>
      </c>
      <c r="F249" s="52" t="s">
        <v>120</v>
      </c>
      <c r="G249" s="52" t="s">
        <v>173</v>
      </c>
      <c r="H249" s="49" t="s">
        <v>236</v>
      </c>
      <c r="I249" s="49" t="s">
        <v>82</v>
      </c>
      <c r="J249" s="50" t="s">
        <v>47</v>
      </c>
      <c r="K249" s="15">
        <v>138.9</v>
      </c>
      <c r="L249" s="53">
        <v>35</v>
      </c>
      <c r="M249" s="53">
        <f t="shared" si="7"/>
        <v>4861.5</v>
      </c>
      <c r="O249" s="59"/>
    </row>
    <row r="250" spans="1:17" x14ac:dyDescent="0.25">
      <c r="A250" s="21">
        <f>IF(C250="","",COUNTA($C$3:C250))</f>
        <v>248</v>
      </c>
      <c r="B250" s="35" t="str">
        <f t="shared" si="6"/>
        <v>May</v>
      </c>
      <c r="C250" s="33">
        <v>46149</v>
      </c>
      <c r="D250" s="64">
        <v>61960</v>
      </c>
      <c r="E250" s="60">
        <v>45370</v>
      </c>
      <c r="F250" s="52" t="s">
        <v>120</v>
      </c>
      <c r="G250" s="52" t="s">
        <v>211</v>
      </c>
      <c r="H250" s="49" t="s">
        <v>236</v>
      </c>
      <c r="I250" s="49" t="s">
        <v>82</v>
      </c>
      <c r="J250" s="50" t="s">
        <v>47</v>
      </c>
      <c r="K250" s="15">
        <v>220.3</v>
      </c>
      <c r="L250" s="54">
        <v>35</v>
      </c>
      <c r="M250" s="53">
        <f t="shared" si="7"/>
        <v>7710.5</v>
      </c>
    </row>
    <row r="251" spans="1:17" x14ac:dyDescent="0.25">
      <c r="A251" s="21">
        <f>IF(C251="","",COUNTA($C$3:C251))</f>
        <v>249</v>
      </c>
      <c r="B251" s="35" t="str">
        <f t="shared" si="6"/>
        <v>May</v>
      </c>
      <c r="C251" s="33">
        <v>46149</v>
      </c>
      <c r="D251" s="64">
        <v>61961</v>
      </c>
      <c r="E251" s="60">
        <v>45371</v>
      </c>
      <c r="F251" s="52" t="s">
        <v>120</v>
      </c>
      <c r="G251" s="52" t="s">
        <v>168</v>
      </c>
      <c r="H251" s="49" t="s">
        <v>236</v>
      </c>
      <c r="I251" s="49" t="s">
        <v>82</v>
      </c>
      <c r="J251" s="50" t="s">
        <v>47</v>
      </c>
      <c r="K251" s="15">
        <v>308.89999999999998</v>
      </c>
      <c r="L251" s="54">
        <v>35</v>
      </c>
      <c r="M251" s="53">
        <f t="shared" si="7"/>
        <v>10811.5</v>
      </c>
    </row>
    <row r="252" spans="1:17" x14ac:dyDescent="0.25">
      <c r="A252" s="21">
        <f>IF(C252="","",COUNTA($C$3:C252))</f>
        <v>250</v>
      </c>
      <c r="B252" s="35" t="str">
        <f t="shared" si="6"/>
        <v>May</v>
      </c>
      <c r="C252" s="33">
        <v>46149</v>
      </c>
      <c r="D252" s="64">
        <v>61962</v>
      </c>
      <c r="E252" s="60">
        <v>45372</v>
      </c>
      <c r="F252" s="52" t="s">
        <v>120</v>
      </c>
      <c r="G252" s="52" t="s">
        <v>233</v>
      </c>
      <c r="H252" s="49" t="s">
        <v>237</v>
      </c>
      <c r="I252" s="49" t="s">
        <v>68</v>
      </c>
      <c r="J252" s="50" t="s">
        <v>70</v>
      </c>
      <c r="K252" s="15">
        <v>404</v>
      </c>
      <c r="L252" s="54">
        <v>969</v>
      </c>
      <c r="M252" s="53">
        <f t="shared" si="7"/>
        <v>391476</v>
      </c>
      <c r="O252" s="59"/>
      <c r="P252" s="69"/>
      <c r="Q252" s="59"/>
    </row>
    <row r="253" spans="1:17" x14ac:dyDescent="0.25">
      <c r="A253" s="21">
        <f>IF(C253="","",COUNTA($C$3:C253))</f>
        <v>251</v>
      </c>
      <c r="B253" s="35" t="str">
        <f t="shared" si="6"/>
        <v>May</v>
      </c>
      <c r="C253" s="33">
        <v>46149</v>
      </c>
      <c r="D253" s="64">
        <v>61962</v>
      </c>
      <c r="E253" s="60">
        <v>45372</v>
      </c>
      <c r="F253" s="52" t="s">
        <v>120</v>
      </c>
      <c r="G253" s="52" t="s">
        <v>233</v>
      </c>
      <c r="H253" s="49" t="s">
        <v>129</v>
      </c>
      <c r="I253" s="49" t="s">
        <v>92</v>
      </c>
      <c r="J253" s="50" t="s">
        <v>47</v>
      </c>
      <c r="K253" s="55">
        <v>480.55975999999998</v>
      </c>
      <c r="L253" s="62">
        <v>686</v>
      </c>
      <c r="M253" s="53">
        <f t="shared" si="7"/>
        <v>329663.99536</v>
      </c>
    </row>
    <row r="254" spans="1:17" x14ac:dyDescent="0.25">
      <c r="A254" s="21">
        <f>IF(C254="","",COUNTA($C$3:C254))</f>
        <v>252</v>
      </c>
      <c r="B254" s="35" t="str">
        <f t="shared" si="6"/>
        <v>May</v>
      </c>
      <c r="C254" s="33">
        <v>46149</v>
      </c>
      <c r="D254" s="64">
        <v>61962</v>
      </c>
      <c r="E254" s="60">
        <v>45372</v>
      </c>
      <c r="F254" s="52" t="s">
        <v>120</v>
      </c>
      <c r="G254" s="52" t="s">
        <v>233</v>
      </c>
      <c r="H254" s="49" t="s">
        <v>200</v>
      </c>
      <c r="I254" s="49" t="s">
        <v>69</v>
      </c>
      <c r="J254" s="50" t="s">
        <v>70</v>
      </c>
      <c r="K254" s="15">
        <v>450</v>
      </c>
      <c r="L254" s="54">
        <v>400</v>
      </c>
      <c r="M254" s="53">
        <f t="shared" si="7"/>
        <v>180000</v>
      </c>
    </row>
    <row r="255" spans="1:17" x14ac:dyDescent="0.25">
      <c r="A255" s="21">
        <f>IF(C255="","",COUNTA($C$3:C255))</f>
        <v>253</v>
      </c>
      <c r="B255" s="35" t="str">
        <f t="shared" si="6"/>
        <v>May</v>
      </c>
      <c r="C255" s="33">
        <v>46149</v>
      </c>
      <c r="D255" s="64">
        <v>61962</v>
      </c>
      <c r="E255" s="60">
        <v>45372</v>
      </c>
      <c r="F255" s="52" t="s">
        <v>120</v>
      </c>
      <c r="G255" s="52" t="s">
        <v>233</v>
      </c>
      <c r="H255" s="49" t="s">
        <v>139</v>
      </c>
      <c r="I255" s="49" t="s">
        <v>39</v>
      </c>
      <c r="J255" s="50" t="s">
        <v>47</v>
      </c>
      <c r="K255" s="15">
        <v>31.4</v>
      </c>
      <c r="L255" s="48">
        <v>5200</v>
      </c>
      <c r="M255" s="53">
        <f t="shared" si="7"/>
        <v>163280</v>
      </c>
    </row>
    <row r="256" spans="1:17" x14ac:dyDescent="0.25">
      <c r="A256" s="21">
        <f>IF(C256="","",COUNTA($C$3:C256))</f>
        <v>254</v>
      </c>
      <c r="B256" s="35" t="str">
        <f t="shared" si="6"/>
        <v>May</v>
      </c>
      <c r="C256" s="33">
        <v>46150</v>
      </c>
      <c r="D256" s="64">
        <v>61930</v>
      </c>
      <c r="E256" s="60">
        <v>45373</v>
      </c>
      <c r="F256" s="52" t="s">
        <v>120</v>
      </c>
      <c r="G256" s="52" t="s">
        <v>123</v>
      </c>
      <c r="H256" s="49" t="s">
        <v>90</v>
      </c>
      <c r="I256" s="49" t="s">
        <v>90</v>
      </c>
      <c r="J256" s="50" t="s">
        <v>70</v>
      </c>
      <c r="K256" s="15">
        <v>200</v>
      </c>
      <c r="L256" s="48">
        <v>10</v>
      </c>
      <c r="M256" s="53">
        <f t="shared" si="7"/>
        <v>2000</v>
      </c>
    </row>
    <row r="257" spans="1:17" x14ac:dyDescent="0.25">
      <c r="A257" s="21">
        <f>IF(C257="","",COUNTA($C$3:C257))</f>
        <v>255</v>
      </c>
      <c r="B257" s="35" t="str">
        <f t="shared" si="6"/>
        <v>May</v>
      </c>
      <c r="C257" s="33">
        <v>46151</v>
      </c>
      <c r="D257" s="64">
        <v>61963</v>
      </c>
      <c r="E257" s="60">
        <v>45374</v>
      </c>
      <c r="F257" s="52" t="s">
        <v>120</v>
      </c>
      <c r="G257" s="52" t="s">
        <v>239</v>
      </c>
      <c r="H257" s="49" t="s">
        <v>38</v>
      </c>
      <c r="I257" s="49" t="s">
        <v>68</v>
      </c>
      <c r="J257" s="50" t="s">
        <v>47</v>
      </c>
      <c r="K257" s="15">
        <v>55.4</v>
      </c>
      <c r="L257" s="54">
        <v>670</v>
      </c>
      <c r="M257" s="53">
        <f t="shared" si="7"/>
        <v>37118</v>
      </c>
    </row>
    <row r="258" spans="1:17" x14ac:dyDescent="0.25">
      <c r="A258" s="21">
        <f>IF(C258="","",COUNTA($C$3:C258))</f>
        <v>256</v>
      </c>
      <c r="B258" s="35" t="str">
        <f t="shared" si="6"/>
        <v>May</v>
      </c>
      <c r="C258" s="33">
        <v>46151</v>
      </c>
      <c r="D258" s="64">
        <v>61963</v>
      </c>
      <c r="E258" s="60">
        <v>45374</v>
      </c>
      <c r="F258" s="52" t="s">
        <v>120</v>
      </c>
      <c r="G258" s="52" t="s">
        <v>239</v>
      </c>
      <c r="H258" s="49" t="s">
        <v>161</v>
      </c>
      <c r="I258" s="49" t="s">
        <v>68</v>
      </c>
      <c r="J258" s="50" t="s">
        <v>47</v>
      </c>
      <c r="K258" s="15">
        <v>6</v>
      </c>
      <c r="L258" s="54">
        <v>495</v>
      </c>
      <c r="M258" s="53">
        <f t="shared" si="7"/>
        <v>2970</v>
      </c>
      <c r="O258" s="59"/>
    </row>
    <row r="259" spans="1:17" x14ac:dyDescent="0.25">
      <c r="A259" s="21">
        <f>IF(C259="","",COUNTA($C$3:C259))</f>
        <v>257</v>
      </c>
      <c r="B259" s="35" t="str">
        <f t="shared" si="6"/>
        <v>May</v>
      </c>
      <c r="C259" s="33">
        <v>46151</v>
      </c>
      <c r="D259" s="64">
        <v>61963</v>
      </c>
      <c r="E259" s="60">
        <v>45374</v>
      </c>
      <c r="F259" s="52" t="s">
        <v>120</v>
      </c>
      <c r="G259" s="52" t="s">
        <v>239</v>
      </c>
      <c r="H259" s="49" t="s">
        <v>240</v>
      </c>
      <c r="I259" s="49" t="s">
        <v>68</v>
      </c>
      <c r="J259" s="50" t="s">
        <v>70</v>
      </c>
      <c r="K259" s="15">
        <v>15</v>
      </c>
      <c r="L259" s="53">
        <v>750</v>
      </c>
      <c r="M259" s="53">
        <f t="shared" si="7"/>
        <v>11250</v>
      </c>
      <c r="O259" s="59"/>
      <c r="P259" s="59"/>
      <c r="Q259" s="59"/>
    </row>
    <row r="260" spans="1:17" x14ac:dyDescent="0.25">
      <c r="A260" s="21">
        <f>IF(C260="","",COUNTA($C$3:C260))</f>
        <v>258</v>
      </c>
      <c r="B260" s="35" t="str">
        <f t="shared" ref="B260:B323" si="8">IF(C260="","",TEXT(C260,"mmmm"))</f>
        <v>May</v>
      </c>
      <c r="C260" s="33">
        <v>46151</v>
      </c>
      <c r="D260" s="64">
        <v>61963</v>
      </c>
      <c r="E260" s="60">
        <v>45374</v>
      </c>
      <c r="F260" s="52" t="s">
        <v>120</v>
      </c>
      <c r="G260" s="52" t="s">
        <v>239</v>
      </c>
      <c r="H260" s="49" t="s">
        <v>200</v>
      </c>
      <c r="I260" s="49" t="s">
        <v>69</v>
      </c>
      <c r="J260" s="50" t="s">
        <v>70</v>
      </c>
      <c r="K260" s="15">
        <v>15</v>
      </c>
      <c r="L260" s="54">
        <v>400</v>
      </c>
      <c r="M260" s="53">
        <f t="shared" si="7"/>
        <v>6000</v>
      </c>
      <c r="O260" s="59"/>
    </row>
    <row r="261" spans="1:17" x14ac:dyDescent="0.25">
      <c r="A261" s="21">
        <f>IF(C261="","",COUNTA($C$3:C261))</f>
        <v>259</v>
      </c>
      <c r="B261" s="35" t="str">
        <f t="shared" si="8"/>
        <v>May</v>
      </c>
      <c r="C261" s="33">
        <v>46151</v>
      </c>
      <c r="D261" s="64">
        <v>61963</v>
      </c>
      <c r="E261" s="60">
        <v>45374</v>
      </c>
      <c r="F261" s="52" t="s">
        <v>120</v>
      </c>
      <c r="G261" s="52" t="s">
        <v>239</v>
      </c>
      <c r="H261" s="49" t="s">
        <v>129</v>
      </c>
      <c r="I261" s="49" t="s">
        <v>53</v>
      </c>
      <c r="J261" s="50" t="s">
        <v>47</v>
      </c>
      <c r="K261" s="15">
        <f>44.3+12.5</f>
        <v>56.8</v>
      </c>
      <c r="L261" s="53">
        <v>270</v>
      </c>
      <c r="M261" s="53">
        <f t="shared" si="7"/>
        <v>15336</v>
      </c>
      <c r="O261" s="59"/>
    </row>
    <row r="262" spans="1:17" x14ac:dyDescent="0.25">
      <c r="A262" s="21">
        <f>IF(C262="","",COUNTA($C$3:C262))</f>
        <v>260</v>
      </c>
      <c r="B262" s="35" t="str">
        <f t="shared" si="8"/>
        <v>May</v>
      </c>
      <c r="C262" s="33">
        <v>46151</v>
      </c>
      <c r="D262" s="64">
        <v>61963</v>
      </c>
      <c r="E262" s="60">
        <v>45374</v>
      </c>
      <c r="F262" s="52" t="s">
        <v>120</v>
      </c>
      <c r="G262" s="52" t="s">
        <v>239</v>
      </c>
      <c r="H262" s="49" t="s">
        <v>129</v>
      </c>
      <c r="I262" s="49" t="s">
        <v>79</v>
      </c>
      <c r="J262" s="50" t="s">
        <v>47</v>
      </c>
      <c r="K262" s="67">
        <v>11.1</v>
      </c>
      <c r="L262" s="48">
        <v>755</v>
      </c>
      <c r="M262" s="53">
        <f t="shared" si="7"/>
        <v>8380.5</v>
      </c>
    </row>
    <row r="263" spans="1:17" x14ac:dyDescent="0.25">
      <c r="A263" s="21">
        <f>IF(C263="","",COUNTA($C$3:C263))</f>
        <v>261</v>
      </c>
      <c r="B263" s="35" t="str">
        <f t="shared" si="8"/>
        <v>May</v>
      </c>
      <c r="C263" s="33">
        <v>46151</v>
      </c>
      <c r="D263" s="64">
        <v>61963</v>
      </c>
      <c r="E263" s="60">
        <v>45374</v>
      </c>
      <c r="F263" s="52" t="s">
        <v>120</v>
      </c>
      <c r="G263" s="52" t="s">
        <v>239</v>
      </c>
      <c r="H263" s="49" t="s">
        <v>176</v>
      </c>
      <c r="I263" s="49" t="s">
        <v>79</v>
      </c>
      <c r="J263" s="50" t="s">
        <v>47</v>
      </c>
      <c r="K263" s="15">
        <v>6</v>
      </c>
      <c r="L263" s="48">
        <v>525</v>
      </c>
      <c r="M263" s="53">
        <f t="shared" si="7"/>
        <v>3150</v>
      </c>
    </row>
    <row r="264" spans="1:17" x14ac:dyDescent="0.25">
      <c r="A264" s="21">
        <f>IF(C264="","",COUNTA($C$3:C264))</f>
        <v>262</v>
      </c>
      <c r="B264" s="35" t="str">
        <f t="shared" si="8"/>
        <v>May</v>
      </c>
      <c r="C264" s="33">
        <v>46154</v>
      </c>
      <c r="D264" s="64">
        <v>61762</v>
      </c>
      <c r="E264" s="60">
        <v>45375</v>
      </c>
      <c r="F264" s="52" t="s">
        <v>120</v>
      </c>
      <c r="G264" s="52" t="s">
        <v>243</v>
      </c>
      <c r="H264" s="49" t="s">
        <v>114</v>
      </c>
      <c r="I264" s="49" t="s">
        <v>244</v>
      </c>
      <c r="J264" s="50" t="s">
        <v>47</v>
      </c>
      <c r="K264" s="15">
        <v>2.2000000000000002</v>
      </c>
      <c r="L264" s="54">
        <v>680</v>
      </c>
      <c r="M264" s="53">
        <f t="shared" si="7"/>
        <v>1496.0000000000002</v>
      </c>
    </row>
    <row r="265" spans="1:17" x14ac:dyDescent="0.25">
      <c r="A265" s="21">
        <f>IF(C265="","",COUNTA($C$3:C265))</f>
        <v>263</v>
      </c>
      <c r="B265" s="35" t="str">
        <f t="shared" si="8"/>
        <v>May</v>
      </c>
      <c r="C265" s="33">
        <v>46154</v>
      </c>
      <c r="D265" s="64">
        <v>61762</v>
      </c>
      <c r="E265" s="60">
        <v>45375</v>
      </c>
      <c r="F265" s="52" t="s">
        <v>120</v>
      </c>
      <c r="G265" s="52" t="s">
        <v>243</v>
      </c>
      <c r="H265" s="49" t="s">
        <v>114</v>
      </c>
      <c r="I265" s="49" t="s">
        <v>245</v>
      </c>
      <c r="J265" s="50" t="s">
        <v>47</v>
      </c>
      <c r="K265" s="15">
        <v>16.600000000000001</v>
      </c>
      <c r="L265" s="54">
        <v>795</v>
      </c>
      <c r="M265" s="53">
        <f t="shared" si="7"/>
        <v>13197.000000000002</v>
      </c>
    </row>
    <row r="266" spans="1:17" x14ac:dyDescent="0.25">
      <c r="A266" s="21">
        <f>IF(C266="","",COUNTA($C$3:C266))</f>
        <v>264</v>
      </c>
      <c r="B266" s="35" t="str">
        <f t="shared" si="8"/>
        <v>May</v>
      </c>
      <c r="C266" s="33">
        <v>46154</v>
      </c>
      <c r="D266" s="64">
        <v>61762</v>
      </c>
      <c r="E266" s="60">
        <v>45375</v>
      </c>
      <c r="F266" s="52" t="s">
        <v>120</v>
      </c>
      <c r="G266" s="52" t="s">
        <v>243</v>
      </c>
      <c r="H266" s="49" t="s">
        <v>114</v>
      </c>
      <c r="I266" s="49" t="s">
        <v>246</v>
      </c>
      <c r="J266" s="50" t="s">
        <v>47</v>
      </c>
      <c r="K266" s="15">
        <v>7.9</v>
      </c>
      <c r="L266" s="54">
        <v>950</v>
      </c>
      <c r="M266" s="53">
        <f t="shared" si="7"/>
        <v>7505</v>
      </c>
    </row>
    <row r="267" spans="1:17" x14ac:dyDescent="0.25">
      <c r="A267" s="21">
        <f>IF(C267="","",COUNTA($C$3:C267))</f>
        <v>265</v>
      </c>
      <c r="B267" s="35" t="str">
        <f t="shared" si="8"/>
        <v>May</v>
      </c>
      <c r="C267" s="33">
        <v>46154</v>
      </c>
      <c r="D267" s="64">
        <v>61762</v>
      </c>
      <c r="E267" s="60">
        <v>45375</v>
      </c>
      <c r="F267" s="52" t="s">
        <v>120</v>
      </c>
      <c r="G267" s="52" t="s">
        <v>243</v>
      </c>
      <c r="H267" s="49" t="s">
        <v>135</v>
      </c>
      <c r="I267" s="49" t="s">
        <v>247</v>
      </c>
      <c r="J267" s="50" t="s">
        <v>47</v>
      </c>
      <c r="K267" s="15">
        <v>19.5</v>
      </c>
      <c r="L267" s="54">
        <v>3300</v>
      </c>
      <c r="M267" s="53">
        <f t="shared" si="7"/>
        <v>64350</v>
      </c>
    </row>
    <row r="268" spans="1:17" x14ac:dyDescent="0.25">
      <c r="A268" s="21">
        <f>IF(C268="","",COUNTA($C$3:C268))</f>
        <v>266</v>
      </c>
      <c r="B268" s="35" t="str">
        <f t="shared" si="8"/>
        <v>May</v>
      </c>
      <c r="C268" s="33">
        <v>46154</v>
      </c>
      <c r="D268" s="64">
        <v>61762</v>
      </c>
      <c r="E268" s="60">
        <v>45375</v>
      </c>
      <c r="F268" s="52" t="s">
        <v>120</v>
      </c>
      <c r="G268" s="52" t="s">
        <v>243</v>
      </c>
      <c r="H268" s="49" t="s">
        <v>129</v>
      </c>
      <c r="I268" s="49" t="s">
        <v>76</v>
      </c>
      <c r="J268" s="50" t="s">
        <v>47</v>
      </c>
      <c r="K268" s="15">
        <v>26.7</v>
      </c>
      <c r="L268" s="54">
        <v>252</v>
      </c>
      <c r="M268" s="53">
        <f t="shared" si="7"/>
        <v>6728.4</v>
      </c>
    </row>
    <row r="269" spans="1:17" x14ac:dyDescent="0.25">
      <c r="A269" s="21">
        <f>IF(C269="","",COUNTA($C$3:C269))</f>
        <v>267</v>
      </c>
      <c r="B269" s="35" t="str">
        <f t="shared" si="8"/>
        <v>May</v>
      </c>
      <c r="C269" s="33">
        <v>46155</v>
      </c>
      <c r="D269" s="64">
        <v>61704</v>
      </c>
      <c r="E269" s="60">
        <v>45376</v>
      </c>
      <c r="F269" s="52" t="s">
        <v>120</v>
      </c>
      <c r="G269" s="52" t="s">
        <v>249</v>
      </c>
      <c r="H269" s="49" t="s">
        <v>38</v>
      </c>
      <c r="I269" s="49" t="s">
        <v>68</v>
      </c>
      <c r="J269" s="50" t="s">
        <v>47</v>
      </c>
      <c r="K269" s="15">
        <v>18.899999999999999</v>
      </c>
      <c r="L269" s="48">
        <v>565</v>
      </c>
      <c r="M269" s="53">
        <f t="shared" si="7"/>
        <v>10678.5</v>
      </c>
    </row>
    <row r="270" spans="1:17" x14ac:dyDescent="0.25">
      <c r="A270" s="21">
        <f>IF(C270="","",COUNTA($C$3:C270))</f>
        <v>268</v>
      </c>
      <c r="B270" s="35" t="str">
        <f t="shared" si="8"/>
        <v>May</v>
      </c>
      <c r="C270" s="33">
        <v>46155</v>
      </c>
      <c r="D270" s="64">
        <v>61704</v>
      </c>
      <c r="E270" s="60">
        <v>45376</v>
      </c>
      <c r="F270" s="52" t="s">
        <v>120</v>
      </c>
      <c r="G270" s="52" t="s">
        <v>249</v>
      </c>
      <c r="H270" s="49" t="s">
        <v>38</v>
      </c>
      <c r="I270" s="49" t="s">
        <v>69</v>
      </c>
      <c r="J270" s="50" t="s">
        <v>47</v>
      </c>
      <c r="K270" s="15">
        <v>61.4</v>
      </c>
      <c r="L270" s="53">
        <v>725</v>
      </c>
      <c r="M270" s="53">
        <f t="shared" si="7"/>
        <v>44515</v>
      </c>
    </row>
    <row r="271" spans="1:17" x14ac:dyDescent="0.25">
      <c r="A271" s="21">
        <f>IF(C271="","",COUNTA($C$3:C271))</f>
        <v>269</v>
      </c>
      <c r="B271" s="35" t="str">
        <f t="shared" si="8"/>
        <v>May</v>
      </c>
      <c r="C271" s="33">
        <v>46155</v>
      </c>
      <c r="D271" s="64">
        <v>61704</v>
      </c>
      <c r="E271" s="60">
        <v>45376</v>
      </c>
      <c r="F271" s="52" t="s">
        <v>120</v>
      </c>
      <c r="G271" s="52" t="s">
        <v>249</v>
      </c>
      <c r="H271" s="49" t="s">
        <v>129</v>
      </c>
      <c r="I271" s="49" t="s">
        <v>76</v>
      </c>
      <c r="J271" s="50" t="s">
        <v>47</v>
      </c>
      <c r="K271" s="55">
        <v>10.1</v>
      </c>
      <c r="L271" s="54">
        <v>270</v>
      </c>
      <c r="M271" s="53">
        <f t="shared" si="7"/>
        <v>2727</v>
      </c>
    </row>
    <row r="272" spans="1:17" x14ac:dyDescent="0.25">
      <c r="A272" s="21">
        <f>IF(C272="","",COUNTA($C$3:C272))</f>
        <v>270</v>
      </c>
      <c r="B272" s="35" t="str">
        <f t="shared" si="8"/>
        <v>May</v>
      </c>
      <c r="C272" s="33">
        <v>46155</v>
      </c>
      <c r="D272" s="64">
        <v>61704</v>
      </c>
      <c r="E272" s="60">
        <v>45376</v>
      </c>
      <c r="F272" s="52" t="s">
        <v>120</v>
      </c>
      <c r="G272" s="52" t="s">
        <v>249</v>
      </c>
      <c r="H272" s="49" t="s">
        <v>251</v>
      </c>
      <c r="I272" s="49" t="s">
        <v>51</v>
      </c>
      <c r="J272" s="50" t="s">
        <v>70</v>
      </c>
      <c r="K272" s="15">
        <v>9</v>
      </c>
      <c r="L272" s="54">
        <v>1040</v>
      </c>
      <c r="M272" s="53">
        <f t="shared" si="7"/>
        <v>9360</v>
      </c>
    </row>
    <row r="273" spans="1:17" x14ac:dyDescent="0.25">
      <c r="A273" s="21">
        <f>IF(C273="","",COUNTA($C$3:C273))</f>
        <v>271</v>
      </c>
      <c r="B273" s="35" t="str">
        <f t="shared" si="8"/>
        <v>May</v>
      </c>
      <c r="C273" s="33">
        <v>46155</v>
      </c>
      <c r="D273" s="64">
        <v>61704</v>
      </c>
      <c r="E273" s="60">
        <v>45376</v>
      </c>
      <c r="F273" s="52" t="s">
        <v>120</v>
      </c>
      <c r="G273" s="52" t="s">
        <v>249</v>
      </c>
      <c r="H273" s="49" t="s">
        <v>252</v>
      </c>
      <c r="I273" s="49" t="s">
        <v>51</v>
      </c>
      <c r="J273" s="50" t="s">
        <v>70</v>
      </c>
      <c r="K273" s="15">
        <v>15</v>
      </c>
      <c r="L273" s="54">
        <v>1250</v>
      </c>
      <c r="M273" s="53">
        <f t="shared" si="7"/>
        <v>18750</v>
      </c>
    </row>
    <row r="274" spans="1:17" x14ac:dyDescent="0.25">
      <c r="A274" s="21">
        <f>IF(C274="","",COUNTA($C$3:C274))</f>
        <v>272</v>
      </c>
      <c r="B274" s="35" t="str">
        <f t="shared" si="8"/>
        <v>May</v>
      </c>
      <c r="C274" s="33">
        <v>46155</v>
      </c>
      <c r="D274" s="64">
        <v>61704</v>
      </c>
      <c r="E274" s="60">
        <v>45376</v>
      </c>
      <c r="F274" s="52" t="s">
        <v>120</v>
      </c>
      <c r="G274" s="52" t="s">
        <v>249</v>
      </c>
      <c r="H274" s="49" t="s">
        <v>161</v>
      </c>
      <c r="I274" s="49" t="s">
        <v>68</v>
      </c>
      <c r="J274" s="50" t="s">
        <v>47</v>
      </c>
      <c r="K274" s="15">
        <v>18</v>
      </c>
      <c r="L274" s="54">
        <v>454</v>
      </c>
      <c r="M274" s="53">
        <f t="shared" si="7"/>
        <v>8172</v>
      </c>
    </row>
    <row r="275" spans="1:17" x14ac:dyDescent="0.25">
      <c r="A275" s="21">
        <f>IF(C275="","",COUNTA($C$3:C275))</f>
        <v>273</v>
      </c>
      <c r="B275" s="35" t="str">
        <f t="shared" si="8"/>
        <v>May</v>
      </c>
      <c r="C275" s="33">
        <v>46155</v>
      </c>
      <c r="D275" s="64">
        <v>61704</v>
      </c>
      <c r="E275" s="60">
        <v>45376</v>
      </c>
      <c r="F275" s="52" t="s">
        <v>120</v>
      </c>
      <c r="G275" s="52" t="s">
        <v>249</v>
      </c>
      <c r="H275" s="49" t="s">
        <v>91</v>
      </c>
      <c r="I275" s="49" t="s">
        <v>91</v>
      </c>
      <c r="J275" s="50" t="s">
        <v>137</v>
      </c>
      <c r="K275" s="15">
        <v>100</v>
      </c>
      <c r="L275" s="53">
        <v>8</v>
      </c>
      <c r="M275" s="53">
        <f t="shared" si="7"/>
        <v>800</v>
      </c>
    </row>
    <row r="276" spans="1:17" x14ac:dyDescent="0.25">
      <c r="A276" s="21">
        <f>IF(C276="","",COUNTA($C$3:C276))</f>
        <v>274</v>
      </c>
      <c r="B276" s="35" t="str">
        <f t="shared" si="8"/>
        <v>May</v>
      </c>
      <c r="C276" s="33">
        <v>46155</v>
      </c>
      <c r="D276" s="64">
        <v>61704</v>
      </c>
      <c r="E276" s="60">
        <v>45376</v>
      </c>
      <c r="F276" s="52" t="s">
        <v>120</v>
      </c>
      <c r="G276" s="52" t="s">
        <v>249</v>
      </c>
      <c r="H276" s="49" t="s">
        <v>130</v>
      </c>
      <c r="I276" s="49" t="s">
        <v>40</v>
      </c>
      <c r="J276" s="50" t="s">
        <v>47</v>
      </c>
      <c r="K276" s="15">
        <v>15</v>
      </c>
      <c r="L276" s="54">
        <v>15</v>
      </c>
      <c r="M276" s="53">
        <f t="shared" si="7"/>
        <v>225</v>
      </c>
    </row>
    <row r="277" spans="1:17" x14ac:dyDescent="0.25">
      <c r="A277" s="21">
        <f>IF(C277="","",COUNTA($C$3:C277))</f>
        <v>275</v>
      </c>
      <c r="B277" s="35" t="str">
        <f t="shared" si="8"/>
        <v>May</v>
      </c>
      <c r="C277" s="33">
        <v>46155</v>
      </c>
      <c r="D277" s="64">
        <v>61962</v>
      </c>
      <c r="E277" s="60">
        <v>45377</v>
      </c>
      <c r="F277" s="52" t="s">
        <v>120</v>
      </c>
      <c r="G277" s="52" t="s">
        <v>233</v>
      </c>
      <c r="H277" s="49" t="s">
        <v>237</v>
      </c>
      <c r="I277" s="49" t="s">
        <v>68</v>
      </c>
      <c r="J277" s="50" t="s">
        <v>70</v>
      </c>
      <c r="K277" s="15">
        <v>353</v>
      </c>
      <c r="L277" s="54">
        <v>969</v>
      </c>
      <c r="M277" s="53">
        <f t="shared" si="7"/>
        <v>342057</v>
      </c>
      <c r="O277" s="59"/>
      <c r="P277" s="112"/>
      <c r="Q277" s="59"/>
    </row>
    <row r="278" spans="1:17" x14ac:dyDescent="0.25">
      <c r="A278" s="21">
        <f>IF(C278="","",COUNTA($C$3:C278))</f>
        <v>276</v>
      </c>
      <c r="B278" s="35" t="str">
        <f t="shared" si="8"/>
        <v>May</v>
      </c>
      <c r="C278" s="33">
        <v>46155</v>
      </c>
      <c r="D278" s="64">
        <v>61962</v>
      </c>
      <c r="E278" s="60">
        <v>45377</v>
      </c>
      <c r="F278" s="52" t="s">
        <v>120</v>
      </c>
      <c r="G278" s="52" t="s">
        <v>233</v>
      </c>
      <c r="H278" s="49" t="s">
        <v>129</v>
      </c>
      <c r="I278" s="49" t="s">
        <v>92</v>
      </c>
      <c r="J278" s="50" t="s">
        <v>47</v>
      </c>
      <c r="K278" s="55">
        <v>419.89503999999999</v>
      </c>
      <c r="L278" s="62">
        <v>686</v>
      </c>
      <c r="M278" s="53">
        <f t="shared" si="7"/>
        <v>288047.99744000001</v>
      </c>
    </row>
    <row r="279" spans="1:17" x14ac:dyDescent="0.25">
      <c r="A279" s="21">
        <f>IF(C279="","",COUNTA($C$3:C279))</f>
        <v>277</v>
      </c>
      <c r="B279" s="35" t="str">
        <f t="shared" si="8"/>
        <v>May</v>
      </c>
      <c r="C279" s="33">
        <v>46155</v>
      </c>
      <c r="D279" s="64">
        <v>61962</v>
      </c>
      <c r="E279" s="60">
        <v>45377</v>
      </c>
      <c r="F279" s="52" t="s">
        <v>120</v>
      </c>
      <c r="G279" s="52" t="s">
        <v>233</v>
      </c>
      <c r="H279" s="49" t="s">
        <v>200</v>
      </c>
      <c r="I279" s="49" t="s">
        <v>69</v>
      </c>
      <c r="J279" s="50" t="s">
        <v>70</v>
      </c>
      <c r="K279" s="15">
        <v>307</v>
      </c>
      <c r="L279" s="54">
        <v>400</v>
      </c>
      <c r="M279" s="53">
        <f t="shared" si="7"/>
        <v>122800</v>
      </c>
    </row>
    <row r="280" spans="1:17" x14ac:dyDescent="0.25">
      <c r="A280" s="21">
        <f>IF(C280="","",COUNTA($C$3:C280))</f>
        <v>278</v>
      </c>
      <c r="B280" s="35" t="str">
        <f t="shared" si="8"/>
        <v>May</v>
      </c>
      <c r="C280" s="33">
        <v>46155</v>
      </c>
      <c r="D280" s="64">
        <v>61768</v>
      </c>
      <c r="E280" s="60">
        <v>45378</v>
      </c>
      <c r="F280" s="52" t="s">
        <v>144</v>
      </c>
      <c r="G280" s="18" t="s">
        <v>146</v>
      </c>
      <c r="H280" s="49" t="s">
        <v>143</v>
      </c>
      <c r="I280" s="49" t="s">
        <v>206</v>
      </c>
      <c r="J280" s="50" t="s">
        <v>70</v>
      </c>
      <c r="K280" s="15">
        <v>46100</v>
      </c>
      <c r="L280" s="53">
        <v>7.5</v>
      </c>
      <c r="M280" s="53">
        <f t="shared" si="7"/>
        <v>345750</v>
      </c>
    </row>
    <row r="281" spans="1:17" x14ac:dyDescent="0.25">
      <c r="A281" s="21">
        <f>IF(C281="","",COUNTA($C$3:C281))</f>
        <v>279</v>
      </c>
      <c r="B281" s="35" t="str">
        <f t="shared" si="8"/>
        <v>May</v>
      </c>
      <c r="C281" s="33">
        <v>46155</v>
      </c>
      <c r="D281" s="64">
        <v>61768</v>
      </c>
      <c r="E281" s="60">
        <v>45378</v>
      </c>
      <c r="F281" s="52" t="s">
        <v>144</v>
      </c>
      <c r="G281" s="18" t="s">
        <v>146</v>
      </c>
      <c r="H281" s="49" t="s">
        <v>143</v>
      </c>
      <c r="I281" s="49" t="s">
        <v>253</v>
      </c>
      <c r="J281" s="50" t="s">
        <v>70</v>
      </c>
      <c r="K281" s="15">
        <v>10</v>
      </c>
      <c r="L281" s="54">
        <v>54</v>
      </c>
      <c r="M281" s="53">
        <f t="shared" si="7"/>
        <v>540</v>
      </c>
    </row>
    <row r="282" spans="1:17" x14ac:dyDescent="0.25">
      <c r="A282" s="21">
        <f>IF(C282="","",COUNTA($C$3:C282))</f>
        <v>280</v>
      </c>
      <c r="B282" s="35" t="str">
        <f t="shared" si="8"/>
        <v>May</v>
      </c>
      <c r="C282" s="33">
        <v>46155</v>
      </c>
      <c r="D282" s="64">
        <v>61768</v>
      </c>
      <c r="E282" s="60">
        <v>45378</v>
      </c>
      <c r="F282" s="52" t="s">
        <v>144</v>
      </c>
      <c r="G282" s="18" t="s">
        <v>146</v>
      </c>
      <c r="H282" s="49" t="s">
        <v>143</v>
      </c>
      <c r="I282" s="49" t="s">
        <v>254</v>
      </c>
      <c r="J282" s="50" t="s">
        <v>70</v>
      </c>
      <c r="K282" s="15">
        <v>1</v>
      </c>
      <c r="L282" s="53">
        <v>26952</v>
      </c>
      <c r="M282" s="53">
        <f t="shared" si="7"/>
        <v>26952</v>
      </c>
    </row>
    <row r="283" spans="1:17" x14ac:dyDescent="0.25">
      <c r="A283" s="21">
        <f>IF(C283="","",COUNTA($C$3:C283))</f>
        <v>281</v>
      </c>
      <c r="B283" s="35" t="str">
        <f t="shared" si="8"/>
        <v>May</v>
      </c>
      <c r="C283" s="33">
        <v>46155</v>
      </c>
      <c r="D283" s="64">
        <v>61768</v>
      </c>
      <c r="E283" s="60">
        <v>45378</v>
      </c>
      <c r="F283" s="52" t="s">
        <v>144</v>
      </c>
      <c r="G283" s="18" t="s">
        <v>146</v>
      </c>
      <c r="H283" s="49" t="s">
        <v>143</v>
      </c>
      <c r="I283" s="49" t="s">
        <v>255</v>
      </c>
      <c r="J283" s="50" t="s">
        <v>70</v>
      </c>
      <c r="K283" s="15">
        <v>1</v>
      </c>
      <c r="L283" s="48">
        <v>130000</v>
      </c>
      <c r="M283" s="53">
        <f t="shared" si="7"/>
        <v>130000</v>
      </c>
    </row>
    <row r="284" spans="1:17" x14ac:dyDescent="0.25">
      <c r="A284" s="21">
        <f>IF(C284="","",COUNTA($C$3:C284))</f>
        <v>282</v>
      </c>
      <c r="B284" s="35" t="str">
        <f t="shared" si="8"/>
        <v>May</v>
      </c>
      <c r="C284" s="33">
        <v>46155</v>
      </c>
      <c r="D284" s="64">
        <v>61768</v>
      </c>
      <c r="E284" s="60">
        <v>45378</v>
      </c>
      <c r="F284" s="52" t="s">
        <v>144</v>
      </c>
      <c r="G284" s="18" t="s">
        <v>146</v>
      </c>
      <c r="H284" s="49" t="s">
        <v>143</v>
      </c>
      <c r="I284" s="49" t="s">
        <v>256</v>
      </c>
      <c r="J284" s="50" t="s">
        <v>70</v>
      </c>
      <c r="K284" s="15">
        <v>1</v>
      </c>
      <c r="L284" s="54">
        <v>2500</v>
      </c>
      <c r="M284" s="53">
        <f t="shared" si="7"/>
        <v>2500</v>
      </c>
    </row>
    <row r="285" spans="1:17" x14ac:dyDescent="0.25">
      <c r="A285" s="21">
        <f>IF(C285="","",COUNTA($C$3:C285))</f>
        <v>283</v>
      </c>
      <c r="B285" s="35" t="str">
        <f t="shared" si="8"/>
        <v>May</v>
      </c>
      <c r="C285" s="33">
        <v>46155</v>
      </c>
      <c r="D285" s="64">
        <v>61768</v>
      </c>
      <c r="E285" s="60">
        <v>45378</v>
      </c>
      <c r="F285" s="52" t="s">
        <v>144</v>
      </c>
      <c r="G285" s="18" t="s">
        <v>146</v>
      </c>
      <c r="H285" s="49" t="s">
        <v>143</v>
      </c>
      <c r="I285" s="49" t="s">
        <v>257</v>
      </c>
      <c r="J285" s="50" t="s">
        <v>70</v>
      </c>
      <c r="K285" s="15">
        <v>2</v>
      </c>
      <c r="L285" s="53">
        <v>3500</v>
      </c>
      <c r="M285" s="53">
        <f t="shared" si="7"/>
        <v>7000</v>
      </c>
    </row>
    <row r="286" spans="1:17" x14ac:dyDescent="0.25">
      <c r="A286" s="21">
        <f>IF(C286="","",COUNTA($C$3:C286))</f>
        <v>284</v>
      </c>
      <c r="B286" s="35" t="str">
        <f t="shared" si="8"/>
        <v>May</v>
      </c>
      <c r="C286" s="33">
        <v>46156</v>
      </c>
      <c r="D286" s="64">
        <v>61964</v>
      </c>
      <c r="E286" s="60">
        <v>45379</v>
      </c>
      <c r="F286" s="52" t="s">
        <v>120</v>
      </c>
      <c r="G286" s="52" t="s">
        <v>258</v>
      </c>
      <c r="H286" s="49" t="s">
        <v>38</v>
      </c>
      <c r="I286" s="49" t="s">
        <v>68</v>
      </c>
      <c r="J286" s="50" t="s">
        <v>47</v>
      </c>
      <c r="K286" s="15">
        <v>191.9</v>
      </c>
      <c r="L286" s="53">
        <v>670</v>
      </c>
      <c r="M286" s="53">
        <f t="shared" si="7"/>
        <v>128573</v>
      </c>
    </row>
    <row r="287" spans="1:17" x14ac:dyDescent="0.25">
      <c r="A287" s="21">
        <f>IF(C287="","",COUNTA($C$3:C287))</f>
        <v>285</v>
      </c>
      <c r="B287" s="35" t="str">
        <f t="shared" si="8"/>
        <v>May</v>
      </c>
      <c r="C287" s="33">
        <v>46156</v>
      </c>
      <c r="D287" s="64">
        <v>61964</v>
      </c>
      <c r="E287" s="60">
        <v>45379</v>
      </c>
      <c r="F287" s="52" t="s">
        <v>120</v>
      </c>
      <c r="G287" s="52" t="s">
        <v>258</v>
      </c>
      <c r="H287" s="49" t="s">
        <v>129</v>
      </c>
      <c r="I287" s="49" t="s">
        <v>80</v>
      </c>
      <c r="J287" s="50" t="s">
        <v>47</v>
      </c>
      <c r="K287" s="55">
        <f>132.2+4.22102</f>
        <v>136.42102</v>
      </c>
      <c r="L287" s="53">
        <v>371</v>
      </c>
      <c r="M287" s="53">
        <f t="shared" si="7"/>
        <v>50612.198420000001</v>
      </c>
    </row>
    <row r="288" spans="1:17" x14ac:dyDescent="0.25">
      <c r="A288" s="21">
        <f>IF(C288="","",COUNTA($C$3:C288))</f>
        <v>286</v>
      </c>
      <c r="B288" s="35" t="str">
        <f t="shared" si="8"/>
        <v>May</v>
      </c>
      <c r="C288" s="33">
        <v>46156</v>
      </c>
      <c r="D288" s="64">
        <v>61964</v>
      </c>
      <c r="E288" s="60">
        <v>45379</v>
      </c>
      <c r="F288" s="52" t="s">
        <v>120</v>
      </c>
      <c r="G288" s="52" t="s">
        <v>258</v>
      </c>
      <c r="H288" s="49" t="s">
        <v>129</v>
      </c>
      <c r="I288" s="49" t="s">
        <v>94</v>
      </c>
      <c r="J288" s="50" t="s">
        <v>47</v>
      </c>
      <c r="K288" s="15">
        <v>7.6</v>
      </c>
      <c r="L288" s="53">
        <v>820</v>
      </c>
      <c r="M288" s="53">
        <f t="shared" si="7"/>
        <v>6232</v>
      </c>
    </row>
    <row r="289" spans="1:17" x14ac:dyDescent="0.25">
      <c r="A289" s="21">
        <f>IF(C289="","",COUNTA($C$3:C289))</f>
        <v>287</v>
      </c>
      <c r="B289" s="35" t="str">
        <f t="shared" si="8"/>
        <v>May</v>
      </c>
      <c r="C289" s="33">
        <v>46156</v>
      </c>
      <c r="D289" s="64">
        <v>61964</v>
      </c>
      <c r="E289" s="60">
        <v>45379</v>
      </c>
      <c r="F289" s="52" t="s">
        <v>120</v>
      </c>
      <c r="G289" s="52" t="s">
        <v>258</v>
      </c>
      <c r="H289" s="49" t="s">
        <v>259</v>
      </c>
      <c r="I289" s="49" t="s">
        <v>68</v>
      </c>
      <c r="J289" s="50" t="s">
        <v>70</v>
      </c>
      <c r="K289" s="15">
        <v>9</v>
      </c>
      <c r="L289" s="48">
        <v>416</v>
      </c>
      <c r="M289" s="53">
        <f t="shared" si="7"/>
        <v>3744</v>
      </c>
      <c r="O289" s="59"/>
      <c r="P289" s="112"/>
      <c r="Q289" s="59"/>
    </row>
    <row r="290" spans="1:17" x14ac:dyDescent="0.25">
      <c r="A290" s="21">
        <f>IF(C290="","",COUNTA($C$3:C290))</f>
        <v>288</v>
      </c>
      <c r="B290" s="35" t="str">
        <f t="shared" si="8"/>
        <v>May</v>
      </c>
      <c r="C290" s="33">
        <v>46156</v>
      </c>
      <c r="D290" s="64">
        <v>61964</v>
      </c>
      <c r="E290" s="60">
        <v>45379</v>
      </c>
      <c r="F290" s="52" t="s">
        <v>120</v>
      </c>
      <c r="G290" s="52" t="s">
        <v>258</v>
      </c>
      <c r="H290" s="49" t="s">
        <v>130</v>
      </c>
      <c r="I290" s="49" t="s">
        <v>40</v>
      </c>
      <c r="J290" s="50" t="s">
        <v>47</v>
      </c>
      <c r="K290" s="15">
        <v>150</v>
      </c>
      <c r="L290" s="54">
        <v>20</v>
      </c>
      <c r="M290" s="53">
        <f t="shared" si="7"/>
        <v>3000</v>
      </c>
    </row>
    <row r="291" spans="1:17" x14ac:dyDescent="0.25">
      <c r="A291" s="21">
        <f>IF(C291="","",COUNTA($C$3:C291))</f>
        <v>289</v>
      </c>
      <c r="B291" s="35" t="str">
        <f t="shared" si="8"/>
        <v>May</v>
      </c>
      <c r="C291" s="33">
        <v>46157</v>
      </c>
      <c r="D291" s="64">
        <v>61930</v>
      </c>
      <c r="E291" s="60">
        <v>45380</v>
      </c>
      <c r="F291" s="52" t="s">
        <v>120</v>
      </c>
      <c r="G291" s="52" t="s">
        <v>123</v>
      </c>
      <c r="H291" s="49" t="s">
        <v>77</v>
      </c>
      <c r="I291" s="49" t="s">
        <v>77</v>
      </c>
      <c r="J291" s="50" t="s">
        <v>70</v>
      </c>
      <c r="K291" s="15">
        <v>2500</v>
      </c>
      <c r="L291" s="54">
        <v>8</v>
      </c>
      <c r="M291" s="53">
        <f t="shared" si="7"/>
        <v>20000</v>
      </c>
    </row>
    <row r="292" spans="1:17" x14ac:dyDescent="0.25">
      <c r="A292" s="21">
        <f>IF(C292="","",COUNTA($C$3:C292))</f>
        <v>290</v>
      </c>
      <c r="B292" s="35" t="str">
        <f t="shared" si="8"/>
        <v>May</v>
      </c>
      <c r="C292" s="33">
        <v>46157</v>
      </c>
      <c r="D292" s="64">
        <v>61930</v>
      </c>
      <c r="E292" s="60">
        <v>45380</v>
      </c>
      <c r="F292" s="52" t="s">
        <v>120</v>
      </c>
      <c r="G292" s="52" t="s">
        <v>123</v>
      </c>
      <c r="H292" s="49" t="s">
        <v>91</v>
      </c>
      <c r="I292" s="49" t="s">
        <v>91</v>
      </c>
      <c r="J292" s="50" t="s">
        <v>137</v>
      </c>
      <c r="K292" s="15">
        <v>500</v>
      </c>
      <c r="L292" s="54">
        <v>5</v>
      </c>
      <c r="M292" s="53">
        <f t="shared" si="7"/>
        <v>2500</v>
      </c>
    </row>
    <row r="293" spans="1:17" x14ac:dyDescent="0.25">
      <c r="A293" s="21">
        <f>IF(C293="","",COUNTA($C$3:C293))</f>
        <v>291</v>
      </c>
      <c r="B293" s="35" t="str">
        <f t="shared" si="8"/>
        <v>May</v>
      </c>
      <c r="C293" s="33">
        <v>46158</v>
      </c>
      <c r="D293" s="64">
        <v>61965</v>
      </c>
      <c r="E293" s="60">
        <v>45381</v>
      </c>
      <c r="F293" s="52" t="s">
        <v>120</v>
      </c>
      <c r="G293" s="52" t="s">
        <v>134</v>
      </c>
      <c r="H293" s="49" t="s">
        <v>38</v>
      </c>
      <c r="I293" s="49" t="s">
        <v>68</v>
      </c>
      <c r="J293" s="50" t="s">
        <v>47</v>
      </c>
      <c r="K293" s="15">
        <v>411.4</v>
      </c>
      <c r="L293" s="54">
        <v>670</v>
      </c>
      <c r="M293" s="53">
        <f t="shared" si="7"/>
        <v>275638</v>
      </c>
    </row>
    <row r="294" spans="1:17" x14ac:dyDescent="0.25">
      <c r="A294" s="21">
        <f>IF(C294="","",COUNTA($C$3:C294))</f>
        <v>292</v>
      </c>
      <c r="B294" s="35" t="str">
        <f t="shared" si="8"/>
        <v>May</v>
      </c>
      <c r="C294" s="33">
        <v>46158</v>
      </c>
      <c r="D294" s="64">
        <v>61965</v>
      </c>
      <c r="E294" s="60">
        <v>45381</v>
      </c>
      <c r="F294" s="52" t="s">
        <v>120</v>
      </c>
      <c r="G294" s="52" t="s">
        <v>134</v>
      </c>
      <c r="H294" s="49" t="s">
        <v>38</v>
      </c>
      <c r="I294" s="49" t="s">
        <v>69</v>
      </c>
      <c r="J294" s="50" t="s">
        <v>47</v>
      </c>
      <c r="K294" s="15">
        <v>183.6</v>
      </c>
      <c r="L294" s="54">
        <v>868</v>
      </c>
      <c r="M294" s="53">
        <f t="shared" si="7"/>
        <v>159364.79999999999</v>
      </c>
    </row>
    <row r="295" spans="1:17" x14ac:dyDescent="0.25">
      <c r="A295" s="21">
        <f>IF(C295="","",COUNTA($C$3:C295))</f>
        <v>293</v>
      </c>
      <c r="B295" s="35" t="str">
        <f t="shared" si="8"/>
        <v>May</v>
      </c>
      <c r="C295" s="33">
        <v>46158</v>
      </c>
      <c r="D295" s="64">
        <v>61965</v>
      </c>
      <c r="E295" s="60">
        <v>45381</v>
      </c>
      <c r="F295" s="52" t="s">
        <v>120</v>
      </c>
      <c r="G295" s="52" t="s">
        <v>134</v>
      </c>
      <c r="H295" s="49" t="s">
        <v>129</v>
      </c>
      <c r="I295" s="49" t="s">
        <v>140</v>
      </c>
      <c r="J295" s="50" t="s">
        <v>47</v>
      </c>
      <c r="K295" s="15">
        <v>595</v>
      </c>
      <c r="L295" s="54">
        <v>441</v>
      </c>
      <c r="M295" s="53">
        <f t="shared" si="7"/>
        <v>262395</v>
      </c>
    </row>
    <row r="296" spans="1:17" x14ac:dyDescent="0.25">
      <c r="A296" s="21">
        <f>IF(C296="","",COUNTA($C$3:C296))</f>
        <v>294</v>
      </c>
      <c r="B296" s="35" t="str">
        <f t="shared" si="8"/>
        <v>May</v>
      </c>
      <c r="C296" s="33">
        <v>46158</v>
      </c>
      <c r="D296" s="64">
        <v>61965</v>
      </c>
      <c r="E296" s="60">
        <v>45381</v>
      </c>
      <c r="F296" s="52" t="s">
        <v>120</v>
      </c>
      <c r="G296" s="52" t="s">
        <v>134</v>
      </c>
      <c r="H296" s="49" t="s">
        <v>130</v>
      </c>
      <c r="I296" s="49" t="s">
        <v>40</v>
      </c>
      <c r="J296" s="50" t="s">
        <v>47</v>
      </c>
      <c r="K296" s="15">
        <v>650</v>
      </c>
      <c r="L296" s="54">
        <v>20</v>
      </c>
      <c r="M296" s="53">
        <f t="shared" si="7"/>
        <v>13000</v>
      </c>
    </row>
    <row r="297" spans="1:17" x14ac:dyDescent="0.25">
      <c r="A297" s="21">
        <f>IF(C297="","",COUNTA($C$3:C297))</f>
        <v>295</v>
      </c>
      <c r="B297" s="35" t="str">
        <f t="shared" si="8"/>
        <v>May</v>
      </c>
      <c r="C297" s="33">
        <v>46160</v>
      </c>
      <c r="D297" s="64">
        <v>61967</v>
      </c>
      <c r="E297" s="60">
        <v>45382</v>
      </c>
      <c r="F297" s="52" t="s">
        <v>120</v>
      </c>
      <c r="G297" s="52" t="s">
        <v>263</v>
      </c>
      <c r="H297" s="49" t="s">
        <v>38</v>
      </c>
      <c r="I297" s="49" t="s">
        <v>68</v>
      </c>
      <c r="J297" s="50" t="s">
        <v>47</v>
      </c>
      <c r="K297" s="15">
        <v>87</v>
      </c>
      <c r="L297" s="53">
        <v>670</v>
      </c>
      <c r="M297" s="53">
        <f t="shared" si="7"/>
        <v>58290</v>
      </c>
    </row>
    <row r="298" spans="1:17" x14ac:dyDescent="0.25">
      <c r="A298" s="21">
        <f>IF(C298="","",COUNTA($C$3:C298))</f>
        <v>296</v>
      </c>
      <c r="B298" s="35" t="str">
        <f t="shared" si="8"/>
        <v>May</v>
      </c>
      <c r="C298" s="33">
        <v>46160</v>
      </c>
      <c r="D298" s="64">
        <v>61967</v>
      </c>
      <c r="E298" s="60">
        <v>45382</v>
      </c>
      <c r="F298" s="52" t="s">
        <v>120</v>
      </c>
      <c r="G298" s="52" t="s">
        <v>263</v>
      </c>
      <c r="H298" s="49" t="s">
        <v>38</v>
      </c>
      <c r="I298" s="49" t="s">
        <v>69</v>
      </c>
      <c r="J298" s="50" t="s">
        <v>47</v>
      </c>
      <c r="K298" s="15">
        <v>198.4</v>
      </c>
      <c r="L298" s="53">
        <v>868</v>
      </c>
      <c r="M298" s="53">
        <f t="shared" si="7"/>
        <v>172211.20000000001</v>
      </c>
    </row>
    <row r="299" spans="1:17" x14ac:dyDescent="0.25">
      <c r="A299" s="21">
        <f>IF(C299="","",COUNTA($C$3:C299))</f>
        <v>297</v>
      </c>
      <c r="B299" s="35" t="str">
        <f t="shared" si="8"/>
        <v>May</v>
      </c>
      <c r="C299" s="33">
        <v>46160</v>
      </c>
      <c r="D299" s="64">
        <v>61967</v>
      </c>
      <c r="E299" s="60">
        <v>45382</v>
      </c>
      <c r="F299" s="52" t="s">
        <v>120</v>
      </c>
      <c r="G299" s="52" t="s">
        <v>263</v>
      </c>
      <c r="H299" s="49" t="s">
        <v>38</v>
      </c>
      <c r="I299" s="49" t="s">
        <v>39</v>
      </c>
      <c r="J299" s="50" t="s">
        <v>47</v>
      </c>
      <c r="K299" s="15">
        <v>4.9000000000000004</v>
      </c>
      <c r="L299" s="53">
        <v>1060</v>
      </c>
      <c r="M299" s="53">
        <f t="shared" si="7"/>
        <v>5194</v>
      </c>
    </row>
    <row r="300" spans="1:17" x14ac:dyDescent="0.25">
      <c r="A300" s="21">
        <f>IF(C300="","",COUNTA($C$3:C300))</f>
        <v>298</v>
      </c>
      <c r="B300" s="35" t="str">
        <f t="shared" si="8"/>
        <v>May</v>
      </c>
      <c r="C300" s="33">
        <v>46160</v>
      </c>
      <c r="D300" s="64">
        <v>61967</v>
      </c>
      <c r="E300" s="60">
        <v>45382</v>
      </c>
      <c r="F300" s="52" t="s">
        <v>120</v>
      </c>
      <c r="G300" s="52" t="s">
        <v>263</v>
      </c>
      <c r="H300" s="49" t="s">
        <v>129</v>
      </c>
      <c r="I300" s="49" t="s">
        <v>104</v>
      </c>
      <c r="J300" s="50" t="s">
        <v>47</v>
      </c>
      <c r="K300" s="15">
        <v>290.3</v>
      </c>
      <c r="L300" s="54">
        <v>755</v>
      </c>
      <c r="M300" s="53">
        <f t="shared" si="7"/>
        <v>219176.5</v>
      </c>
    </row>
    <row r="301" spans="1:17" x14ac:dyDescent="0.25">
      <c r="A301" s="21">
        <f>IF(C301="","",COUNTA($C$3:C301))</f>
        <v>299</v>
      </c>
      <c r="B301" s="35" t="str">
        <f t="shared" si="8"/>
        <v>May</v>
      </c>
      <c r="C301" s="33">
        <v>46160</v>
      </c>
      <c r="D301" s="64">
        <v>61967</v>
      </c>
      <c r="E301" s="60">
        <v>45382</v>
      </c>
      <c r="F301" s="52" t="s">
        <v>120</v>
      </c>
      <c r="G301" s="52" t="s">
        <v>263</v>
      </c>
      <c r="H301" s="49" t="s">
        <v>161</v>
      </c>
      <c r="I301" s="49" t="s">
        <v>68</v>
      </c>
      <c r="J301" s="50" t="s">
        <v>47</v>
      </c>
      <c r="K301" s="15">
        <v>150</v>
      </c>
      <c r="L301" s="62">
        <v>495</v>
      </c>
      <c r="M301" s="53">
        <f t="shared" si="7"/>
        <v>74250</v>
      </c>
    </row>
    <row r="302" spans="1:17" x14ac:dyDescent="0.25">
      <c r="A302" s="21">
        <f>IF(C302="","",COUNTA($C$3:C302))</f>
        <v>300</v>
      </c>
      <c r="B302" s="35" t="str">
        <f t="shared" si="8"/>
        <v>May</v>
      </c>
      <c r="C302" s="33">
        <v>46160</v>
      </c>
      <c r="D302" s="64">
        <v>61967</v>
      </c>
      <c r="E302" s="60">
        <v>45382</v>
      </c>
      <c r="F302" s="52" t="s">
        <v>120</v>
      </c>
      <c r="G302" s="52" t="s">
        <v>263</v>
      </c>
      <c r="H302" s="49" t="s">
        <v>266</v>
      </c>
      <c r="I302" s="49" t="s">
        <v>266</v>
      </c>
      <c r="J302" s="50" t="s">
        <v>70</v>
      </c>
      <c r="K302" s="15">
        <v>200</v>
      </c>
      <c r="L302" s="53">
        <v>10</v>
      </c>
      <c r="M302" s="53">
        <f t="shared" si="7"/>
        <v>2000</v>
      </c>
    </row>
    <row r="303" spans="1:17" x14ac:dyDescent="0.25">
      <c r="A303" s="21">
        <f>IF(C303="","",COUNTA($C$3:C303))</f>
        <v>301</v>
      </c>
      <c r="B303" s="35" t="str">
        <f t="shared" si="8"/>
        <v>May</v>
      </c>
      <c r="C303" s="33">
        <v>46160</v>
      </c>
      <c r="D303" s="64">
        <v>61967</v>
      </c>
      <c r="E303" s="60">
        <v>45382</v>
      </c>
      <c r="F303" s="52" t="s">
        <v>120</v>
      </c>
      <c r="G303" s="52" t="s">
        <v>263</v>
      </c>
      <c r="H303" s="49" t="s">
        <v>77</v>
      </c>
      <c r="I303" s="49" t="s">
        <v>77</v>
      </c>
      <c r="J303" s="50" t="s">
        <v>70</v>
      </c>
      <c r="K303" s="15">
        <v>400</v>
      </c>
      <c r="L303" s="48">
        <v>8</v>
      </c>
      <c r="M303" s="53">
        <f t="shared" si="7"/>
        <v>3200</v>
      </c>
    </row>
    <row r="304" spans="1:17" x14ac:dyDescent="0.25">
      <c r="A304" s="21">
        <f>IF(C304="","",COUNTA($C$3:C304))</f>
        <v>302</v>
      </c>
      <c r="B304" s="35" t="str">
        <f t="shared" si="8"/>
        <v>May</v>
      </c>
      <c r="C304" s="33">
        <v>46160</v>
      </c>
      <c r="D304" s="64">
        <v>61966</v>
      </c>
      <c r="E304" s="60">
        <v>45383</v>
      </c>
      <c r="F304" s="52" t="s">
        <v>120</v>
      </c>
      <c r="G304" s="52" t="s">
        <v>267</v>
      </c>
      <c r="H304" s="49" t="s">
        <v>38</v>
      </c>
      <c r="I304" s="49" t="s">
        <v>68</v>
      </c>
      <c r="J304" s="50" t="s">
        <v>47</v>
      </c>
      <c r="K304" s="55">
        <v>159.5</v>
      </c>
      <c r="L304" s="54">
        <v>670</v>
      </c>
      <c r="M304" s="53">
        <f t="shared" si="7"/>
        <v>106865</v>
      </c>
    </row>
    <row r="305" spans="1:13" x14ac:dyDescent="0.25">
      <c r="A305" s="21">
        <f>IF(C305="","",COUNTA($C$3:C305))</f>
        <v>303</v>
      </c>
      <c r="B305" s="35" t="str">
        <f t="shared" si="8"/>
        <v>May</v>
      </c>
      <c r="C305" s="33">
        <v>46160</v>
      </c>
      <c r="D305" s="64">
        <v>61966</v>
      </c>
      <c r="E305" s="60">
        <v>45383</v>
      </c>
      <c r="F305" s="52" t="s">
        <v>120</v>
      </c>
      <c r="G305" s="52" t="s">
        <v>267</v>
      </c>
      <c r="H305" s="49" t="s">
        <v>38</v>
      </c>
      <c r="I305" s="49" t="s">
        <v>69</v>
      </c>
      <c r="J305" s="50" t="s">
        <v>47</v>
      </c>
      <c r="K305" s="15">
        <v>163.19999999999999</v>
      </c>
      <c r="L305" s="54">
        <v>868</v>
      </c>
      <c r="M305" s="53">
        <f t="shared" si="7"/>
        <v>141657.59999999998</v>
      </c>
    </row>
    <row r="306" spans="1:13" x14ac:dyDescent="0.25">
      <c r="A306" s="21">
        <f>IF(C306="","",COUNTA($C$3:C306))</f>
        <v>304</v>
      </c>
      <c r="B306" s="35" t="str">
        <f t="shared" si="8"/>
        <v>May</v>
      </c>
      <c r="C306" s="33">
        <v>46160</v>
      </c>
      <c r="D306" s="64">
        <v>61966</v>
      </c>
      <c r="E306" s="60">
        <v>45383</v>
      </c>
      <c r="F306" s="52" t="s">
        <v>120</v>
      </c>
      <c r="G306" s="52" t="s">
        <v>267</v>
      </c>
      <c r="H306" s="49" t="s">
        <v>139</v>
      </c>
      <c r="I306" s="49" t="s">
        <v>39</v>
      </c>
      <c r="J306" s="50" t="s">
        <v>47</v>
      </c>
      <c r="K306" s="55">
        <v>1</v>
      </c>
      <c r="L306" s="54">
        <v>5200</v>
      </c>
      <c r="M306" s="53">
        <f t="shared" si="7"/>
        <v>5200</v>
      </c>
    </row>
    <row r="307" spans="1:13" x14ac:dyDescent="0.25">
      <c r="A307" s="21">
        <f>IF(C307="","",COUNTA($C$3:C307))</f>
        <v>305</v>
      </c>
      <c r="B307" s="35" t="str">
        <f t="shared" si="8"/>
        <v>May</v>
      </c>
      <c r="C307" s="33">
        <v>46160</v>
      </c>
      <c r="D307" s="64">
        <v>61966</v>
      </c>
      <c r="E307" s="60">
        <v>45383</v>
      </c>
      <c r="F307" s="52" t="s">
        <v>120</v>
      </c>
      <c r="G307" s="52" t="s">
        <v>267</v>
      </c>
      <c r="H307" s="49" t="s">
        <v>129</v>
      </c>
      <c r="I307" s="49" t="s">
        <v>268</v>
      </c>
      <c r="J307" s="50" t="s">
        <v>47</v>
      </c>
      <c r="K307" s="15">
        <v>40.799999999999997</v>
      </c>
      <c r="L307" s="62">
        <v>415</v>
      </c>
      <c r="M307" s="53">
        <f t="shared" si="7"/>
        <v>16932</v>
      </c>
    </row>
    <row r="308" spans="1:13" x14ac:dyDescent="0.25">
      <c r="A308" s="21">
        <f>IF(C308="","",COUNTA($C$3:C308))</f>
        <v>306</v>
      </c>
      <c r="B308" s="35" t="str">
        <f t="shared" si="8"/>
        <v>May</v>
      </c>
      <c r="C308" s="33">
        <v>46160</v>
      </c>
      <c r="D308" s="64">
        <v>61966</v>
      </c>
      <c r="E308" s="60">
        <v>45383</v>
      </c>
      <c r="F308" s="52" t="s">
        <v>120</v>
      </c>
      <c r="G308" s="52" t="s">
        <v>267</v>
      </c>
      <c r="H308" s="49" t="s">
        <v>129</v>
      </c>
      <c r="I308" s="49" t="s">
        <v>84</v>
      </c>
      <c r="J308" s="50" t="s">
        <v>47</v>
      </c>
      <c r="K308" s="15">
        <v>56.8</v>
      </c>
      <c r="L308" s="53">
        <v>465</v>
      </c>
      <c r="M308" s="53">
        <f t="shared" si="7"/>
        <v>26412</v>
      </c>
    </row>
    <row r="309" spans="1:13" x14ac:dyDescent="0.25">
      <c r="A309" s="21">
        <f>IF(C309="","",COUNTA($C$3:C309))</f>
        <v>307</v>
      </c>
      <c r="B309" s="35" t="str">
        <f t="shared" si="8"/>
        <v>May</v>
      </c>
      <c r="C309" s="33">
        <v>46160</v>
      </c>
      <c r="D309" s="64">
        <v>61966</v>
      </c>
      <c r="E309" s="60">
        <v>45383</v>
      </c>
      <c r="F309" s="52" t="s">
        <v>120</v>
      </c>
      <c r="G309" s="52" t="s">
        <v>267</v>
      </c>
      <c r="H309" s="49" t="s">
        <v>129</v>
      </c>
      <c r="I309" s="49" t="s">
        <v>96</v>
      </c>
      <c r="J309" s="50" t="s">
        <v>47</v>
      </c>
      <c r="K309" s="15">
        <v>10.5</v>
      </c>
      <c r="L309" s="53">
        <v>820</v>
      </c>
      <c r="M309" s="53">
        <f t="shared" si="7"/>
        <v>8610</v>
      </c>
    </row>
    <row r="310" spans="1:13" x14ac:dyDescent="0.25">
      <c r="A310" s="21">
        <f>IF(C310="","",COUNTA($C$3:C310))</f>
        <v>308</v>
      </c>
      <c r="B310" s="35" t="str">
        <f t="shared" si="8"/>
        <v>May</v>
      </c>
      <c r="C310" s="33">
        <v>46160</v>
      </c>
      <c r="D310" s="64">
        <v>61966</v>
      </c>
      <c r="E310" s="60">
        <v>45383</v>
      </c>
      <c r="F310" s="52" t="s">
        <v>120</v>
      </c>
      <c r="G310" s="52" t="s">
        <v>267</v>
      </c>
      <c r="H310" s="49" t="s">
        <v>161</v>
      </c>
      <c r="I310" s="49" t="s">
        <v>68</v>
      </c>
      <c r="J310" s="50" t="s">
        <v>47</v>
      </c>
      <c r="K310" s="15">
        <v>15</v>
      </c>
      <c r="L310" s="53">
        <v>495</v>
      </c>
      <c r="M310" s="53">
        <f t="shared" si="7"/>
        <v>7425</v>
      </c>
    </row>
    <row r="311" spans="1:13" x14ac:dyDescent="0.25">
      <c r="A311" s="21">
        <f>IF(C311="","",COUNTA($C$3:C311))</f>
        <v>309</v>
      </c>
      <c r="B311" s="35" t="str">
        <f t="shared" si="8"/>
        <v>May</v>
      </c>
      <c r="C311" s="33">
        <v>46160</v>
      </c>
      <c r="D311" s="64">
        <v>61966</v>
      </c>
      <c r="E311" s="60">
        <v>45383</v>
      </c>
      <c r="F311" s="52" t="s">
        <v>120</v>
      </c>
      <c r="G311" s="52" t="s">
        <v>267</v>
      </c>
      <c r="H311" s="49" t="s">
        <v>176</v>
      </c>
      <c r="I311" s="49" t="s">
        <v>268</v>
      </c>
      <c r="J311" s="50" t="s">
        <v>47</v>
      </c>
      <c r="K311" s="55">
        <v>25</v>
      </c>
      <c r="L311" s="54">
        <v>251</v>
      </c>
      <c r="M311" s="53">
        <f t="shared" si="7"/>
        <v>6275</v>
      </c>
    </row>
    <row r="312" spans="1:13" x14ac:dyDescent="0.25">
      <c r="A312" s="21">
        <f>IF(C312="","",COUNTA($C$3:C312))</f>
        <v>310</v>
      </c>
      <c r="B312" s="35" t="str">
        <f t="shared" si="8"/>
        <v>May</v>
      </c>
      <c r="C312" s="33">
        <v>46160</v>
      </c>
      <c r="D312" s="64">
        <v>61966</v>
      </c>
      <c r="E312" s="60">
        <v>45383</v>
      </c>
      <c r="F312" s="52" t="s">
        <v>120</v>
      </c>
      <c r="G312" s="52" t="s">
        <v>267</v>
      </c>
      <c r="H312" s="49" t="s">
        <v>129</v>
      </c>
      <c r="I312" s="49" t="s">
        <v>84</v>
      </c>
      <c r="J312" s="50" t="s">
        <v>47</v>
      </c>
      <c r="K312" s="15">
        <v>36</v>
      </c>
      <c r="L312" s="54">
        <v>300</v>
      </c>
      <c r="M312" s="53">
        <f t="shared" si="7"/>
        <v>10800</v>
      </c>
    </row>
    <row r="313" spans="1:13" x14ac:dyDescent="0.25">
      <c r="A313" s="21">
        <f>IF(C313="","",COUNTA($C$3:C313))</f>
        <v>311</v>
      </c>
      <c r="B313" s="35" t="str">
        <f t="shared" si="8"/>
        <v>May</v>
      </c>
      <c r="C313" s="33">
        <v>46160</v>
      </c>
      <c r="D313" s="64">
        <v>61966</v>
      </c>
      <c r="E313" s="60">
        <v>45383</v>
      </c>
      <c r="F313" s="52" t="s">
        <v>120</v>
      </c>
      <c r="G313" s="52" t="s">
        <v>267</v>
      </c>
      <c r="H313" s="49" t="s">
        <v>266</v>
      </c>
      <c r="I313" s="49" t="s">
        <v>266</v>
      </c>
      <c r="J313" s="50" t="s">
        <v>70</v>
      </c>
      <c r="K313" s="15">
        <v>100</v>
      </c>
      <c r="L313" s="53">
        <v>10</v>
      </c>
      <c r="M313" s="53">
        <f t="shared" si="7"/>
        <v>1000</v>
      </c>
    </row>
    <row r="314" spans="1:13" x14ac:dyDescent="0.25">
      <c r="A314" s="21">
        <f>IF(C314="","",COUNTA($C$3:C314))</f>
        <v>312</v>
      </c>
      <c r="B314" s="35" t="str">
        <f t="shared" si="8"/>
        <v>May</v>
      </c>
      <c r="C314" s="33">
        <v>46160</v>
      </c>
      <c r="D314" s="64">
        <v>61966</v>
      </c>
      <c r="E314" s="60">
        <v>45383</v>
      </c>
      <c r="F314" s="52" t="s">
        <v>120</v>
      </c>
      <c r="G314" s="52" t="s">
        <v>267</v>
      </c>
      <c r="H314" s="49" t="s">
        <v>77</v>
      </c>
      <c r="I314" s="49" t="s">
        <v>77</v>
      </c>
      <c r="J314" s="50" t="s">
        <v>70</v>
      </c>
      <c r="K314" s="15">
        <v>100</v>
      </c>
      <c r="L314" s="53">
        <v>8</v>
      </c>
      <c r="M314" s="53">
        <f t="shared" si="7"/>
        <v>800</v>
      </c>
    </row>
    <row r="315" spans="1:13" x14ac:dyDescent="0.25">
      <c r="A315" s="21">
        <f>IF(C315="","",COUNTA($C$3:C315))</f>
        <v>313</v>
      </c>
      <c r="B315" s="35" t="str">
        <f t="shared" si="8"/>
        <v>May</v>
      </c>
      <c r="C315" s="33">
        <v>46160</v>
      </c>
      <c r="D315" s="64">
        <v>61966</v>
      </c>
      <c r="E315" s="60">
        <v>45383</v>
      </c>
      <c r="F315" s="52" t="s">
        <v>120</v>
      </c>
      <c r="G315" s="52" t="s">
        <v>267</v>
      </c>
      <c r="H315" s="49" t="s">
        <v>130</v>
      </c>
      <c r="I315" s="49" t="s">
        <v>40</v>
      </c>
      <c r="J315" s="50" t="s">
        <v>47</v>
      </c>
      <c r="K315" s="67">
        <v>120</v>
      </c>
      <c r="L315" s="48">
        <v>20</v>
      </c>
      <c r="M315" s="53">
        <f t="shared" si="7"/>
        <v>2400</v>
      </c>
    </row>
    <row r="316" spans="1:13" x14ac:dyDescent="0.25">
      <c r="A316" s="21">
        <f>IF(C316="","",COUNTA($C$3:C316))</f>
        <v>314</v>
      </c>
      <c r="B316" s="35" t="str">
        <f t="shared" si="8"/>
        <v>May</v>
      </c>
      <c r="C316" s="33">
        <v>46161</v>
      </c>
      <c r="D316" s="64">
        <v>61964</v>
      </c>
      <c r="E316" s="60">
        <v>45384</v>
      </c>
      <c r="F316" s="52" t="s">
        <v>120</v>
      </c>
      <c r="G316" s="52" t="s">
        <v>258</v>
      </c>
      <c r="H316" s="49" t="s">
        <v>38</v>
      </c>
      <c r="I316" s="49" t="s">
        <v>68</v>
      </c>
      <c r="J316" s="50" t="s">
        <v>47</v>
      </c>
      <c r="K316" s="67">
        <v>196</v>
      </c>
      <c r="L316" s="48">
        <v>670</v>
      </c>
      <c r="M316" s="53">
        <f t="shared" si="7"/>
        <v>131320</v>
      </c>
    </row>
    <row r="317" spans="1:13" x14ac:dyDescent="0.25">
      <c r="A317" s="21">
        <f>IF(C317="","",COUNTA($C$3:C317))</f>
        <v>315</v>
      </c>
      <c r="B317" s="35" t="str">
        <f t="shared" si="8"/>
        <v>May</v>
      </c>
      <c r="C317" s="33">
        <v>46161</v>
      </c>
      <c r="D317" s="64">
        <v>61964</v>
      </c>
      <c r="E317" s="60">
        <v>45384</v>
      </c>
      <c r="F317" s="52" t="s">
        <v>120</v>
      </c>
      <c r="G317" s="52" t="s">
        <v>258</v>
      </c>
      <c r="H317" s="49" t="s">
        <v>129</v>
      </c>
      <c r="I317" s="49" t="s">
        <v>80</v>
      </c>
      <c r="J317" s="50" t="s">
        <v>47</v>
      </c>
      <c r="K317" s="55">
        <v>111.6</v>
      </c>
      <c r="L317" s="53">
        <v>371</v>
      </c>
      <c r="M317" s="53">
        <f t="shared" si="7"/>
        <v>41403.599999999999</v>
      </c>
    </row>
    <row r="318" spans="1:13" x14ac:dyDescent="0.25">
      <c r="A318" s="21">
        <f>IF(C318="","",COUNTA($C$3:C318))</f>
        <v>316</v>
      </c>
      <c r="B318" s="35" t="str">
        <f t="shared" si="8"/>
        <v>May</v>
      </c>
      <c r="C318" s="33">
        <v>46161</v>
      </c>
      <c r="D318" s="64">
        <v>61964</v>
      </c>
      <c r="E318" s="60">
        <v>45384</v>
      </c>
      <c r="F318" s="52" t="s">
        <v>120</v>
      </c>
      <c r="G318" s="52" t="s">
        <v>258</v>
      </c>
      <c r="H318" s="49" t="s">
        <v>130</v>
      </c>
      <c r="I318" s="49" t="s">
        <v>40</v>
      </c>
      <c r="J318" s="50" t="s">
        <v>47</v>
      </c>
      <c r="K318" s="15">
        <v>130</v>
      </c>
      <c r="L318" s="53">
        <v>20</v>
      </c>
      <c r="M318" s="53">
        <f t="shared" si="7"/>
        <v>2600</v>
      </c>
    </row>
    <row r="319" spans="1:13" x14ac:dyDescent="0.25">
      <c r="A319" s="21">
        <f>IF(C319="","",COUNTA($C$3:C319))</f>
        <v>317</v>
      </c>
      <c r="B319" s="35" t="str">
        <f t="shared" si="8"/>
        <v>May</v>
      </c>
      <c r="C319" s="33">
        <v>46161</v>
      </c>
      <c r="D319" s="64">
        <v>61968</v>
      </c>
      <c r="E319" s="60">
        <v>45385</v>
      </c>
      <c r="F319" s="52" t="s">
        <v>120</v>
      </c>
      <c r="G319" s="52" t="s">
        <v>270</v>
      </c>
      <c r="H319" s="49" t="s">
        <v>271</v>
      </c>
      <c r="I319" s="49" t="s">
        <v>48</v>
      </c>
      <c r="J319" s="50" t="s">
        <v>47</v>
      </c>
      <c r="K319" s="15">
        <v>136</v>
      </c>
      <c r="L319" s="53">
        <v>620</v>
      </c>
      <c r="M319" s="53">
        <f t="shared" si="7"/>
        <v>84320</v>
      </c>
    </row>
    <row r="320" spans="1:13" x14ac:dyDescent="0.25">
      <c r="A320" s="21">
        <f>IF(C320="","",COUNTA($C$3:C320))</f>
        <v>318</v>
      </c>
      <c r="B320" s="35" t="str">
        <f t="shared" si="8"/>
        <v>May</v>
      </c>
      <c r="C320" s="33">
        <v>46161</v>
      </c>
      <c r="D320" s="64">
        <v>61968</v>
      </c>
      <c r="E320" s="60">
        <v>45385</v>
      </c>
      <c r="F320" s="52" t="s">
        <v>120</v>
      </c>
      <c r="G320" s="52" t="s">
        <v>270</v>
      </c>
      <c r="H320" s="49" t="s">
        <v>272</v>
      </c>
      <c r="I320" s="49" t="s">
        <v>68</v>
      </c>
      <c r="J320" s="50" t="s">
        <v>70</v>
      </c>
      <c r="K320" s="67">
        <v>105</v>
      </c>
      <c r="L320" s="48">
        <v>378</v>
      </c>
      <c r="M320" s="53">
        <f t="shared" si="7"/>
        <v>39690</v>
      </c>
    </row>
    <row r="321" spans="1:13" x14ac:dyDescent="0.25">
      <c r="A321" s="21">
        <f>IF(C321="","",COUNTA($C$3:C321))</f>
        <v>319</v>
      </c>
      <c r="B321" s="35" t="str">
        <f t="shared" si="8"/>
        <v>May</v>
      </c>
      <c r="C321" s="33">
        <v>46161</v>
      </c>
      <c r="D321" s="64">
        <v>61968</v>
      </c>
      <c r="E321" s="60">
        <v>45385</v>
      </c>
      <c r="F321" s="52" t="s">
        <v>120</v>
      </c>
      <c r="G321" s="52" t="s">
        <v>270</v>
      </c>
      <c r="H321" s="49" t="s">
        <v>273</v>
      </c>
      <c r="I321" s="49" t="s">
        <v>68</v>
      </c>
      <c r="J321" s="50" t="s">
        <v>70</v>
      </c>
      <c r="K321" s="15">
        <v>33</v>
      </c>
      <c r="L321" s="54">
        <v>355</v>
      </c>
      <c r="M321" s="53">
        <f t="shared" si="7"/>
        <v>11715</v>
      </c>
    </row>
    <row r="322" spans="1:13" x14ac:dyDescent="0.25">
      <c r="A322" s="21">
        <f>IF(C322="","",COUNTA($C$3:C322))</f>
        <v>320</v>
      </c>
      <c r="B322" s="35" t="str">
        <f t="shared" si="8"/>
        <v>May</v>
      </c>
      <c r="C322" s="33">
        <v>46162</v>
      </c>
      <c r="D322" s="64">
        <v>61965</v>
      </c>
      <c r="E322" s="60">
        <v>45386</v>
      </c>
      <c r="F322" s="52" t="s">
        <v>120</v>
      </c>
      <c r="G322" s="52" t="s">
        <v>134</v>
      </c>
      <c r="H322" s="49" t="s">
        <v>38</v>
      </c>
      <c r="I322" s="49" t="s">
        <v>68</v>
      </c>
      <c r="J322" s="50" t="s">
        <v>47</v>
      </c>
      <c r="K322" s="15">
        <v>198.4</v>
      </c>
      <c r="L322" s="53">
        <v>670</v>
      </c>
      <c r="M322" s="53">
        <f t="shared" si="7"/>
        <v>132928</v>
      </c>
    </row>
    <row r="323" spans="1:13" x14ac:dyDescent="0.25">
      <c r="A323" s="21">
        <f>IF(C323="","",COUNTA($C$3:C323))</f>
        <v>321</v>
      </c>
      <c r="B323" s="35" t="str">
        <f t="shared" si="8"/>
        <v>May</v>
      </c>
      <c r="C323" s="33">
        <v>46162</v>
      </c>
      <c r="D323" s="64">
        <v>61965</v>
      </c>
      <c r="E323" s="60">
        <v>45386</v>
      </c>
      <c r="F323" s="52" t="s">
        <v>120</v>
      </c>
      <c r="G323" s="52" t="s">
        <v>134</v>
      </c>
      <c r="H323" s="49" t="s">
        <v>38</v>
      </c>
      <c r="I323" s="49" t="s">
        <v>69</v>
      </c>
      <c r="J323" s="50" t="s">
        <v>47</v>
      </c>
      <c r="K323" s="15">
        <v>158.30000000000001</v>
      </c>
      <c r="L323" s="53">
        <v>868</v>
      </c>
      <c r="M323" s="53">
        <f t="shared" si="7"/>
        <v>137404.40000000002</v>
      </c>
    </row>
    <row r="324" spans="1:13" x14ac:dyDescent="0.25">
      <c r="A324" s="21">
        <f>IF(C324="","",COUNTA($C$3:C324))</f>
        <v>322</v>
      </c>
      <c r="B324" s="35" t="str">
        <f t="shared" ref="B324:B387" si="9">IF(C324="","",TEXT(C324,"mmmm"))</f>
        <v>May</v>
      </c>
      <c r="C324" s="33">
        <v>46162</v>
      </c>
      <c r="D324" s="64">
        <v>61965</v>
      </c>
      <c r="E324" s="60">
        <v>45386</v>
      </c>
      <c r="F324" s="52" t="s">
        <v>120</v>
      </c>
      <c r="G324" s="52" t="s">
        <v>134</v>
      </c>
      <c r="H324" s="49" t="s">
        <v>271</v>
      </c>
      <c r="I324" s="49" t="s">
        <v>48</v>
      </c>
      <c r="J324" s="50" t="s">
        <v>47</v>
      </c>
      <c r="K324" s="15">
        <v>133.9</v>
      </c>
      <c r="L324" s="53">
        <v>620</v>
      </c>
      <c r="M324" s="53">
        <f t="shared" si="7"/>
        <v>83018</v>
      </c>
    </row>
    <row r="325" spans="1:13" x14ac:dyDescent="0.25">
      <c r="A325" s="21">
        <f>IF(C325="","",COUNTA($C$3:C325))</f>
        <v>323</v>
      </c>
      <c r="B325" s="35" t="str">
        <f t="shared" si="9"/>
        <v>May</v>
      </c>
      <c r="C325" s="33">
        <v>46162</v>
      </c>
      <c r="D325" s="64">
        <v>61965</v>
      </c>
      <c r="E325" s="60">
        <v>45386</v>
      </c>
      <c r="F325" s="52" t="s">
        <v>120</v>
      </c>
      <c r="G325" s="52" t="s">
        <v>134</v>
      </c>
      <c r="H325" s="49" t="s">
        <v>274</v>
      </c>
      <c r="I325" s="49" t="s">
        <v>68</v>
      </c>
      <c r="J325" s="50" t="s">
        <v>70</v>
      </c>
      <c r="K325" s="15">
        <v>59</v>
      </c>
      <c r="L325" s="54">
        <v>70</v>
      </c>
      <c r="M325" s="53">
        <f t="shared" si="7"/>
        <v>4130</v>
      </c>
    </row>
    <row r="326" spans="1:13" x14ac:dyDescent="0.25">
      <c r="A326" s="21">
        <f>IF(C326="","",COUNTA($C$3:C326))</f>
        <v>324</v>
      </c>
      <c r="B326" s="35" t="str">
        <f t="shared" si="9"/>
        <v>May</v>
      </c>
      <c r="C326" s="33">
        <v>46162</v>
      </c>
      <c r="D326" s="64">
        <v>61965</v>
      </c>
      <c r="E326" s="60">
        <v>45386</v>
      </c>
      <c r="F326" s="52" t="s">
        <v>120</v>
      </c>
      <c r="G326" s="52" t="s">
        <v>134</v>
      </c>
      <c r="H326" s="49" t="s">
        <v>129</v>
      </c>
      <c r="I326" s="49" t="s">
        <v>140</v>
      </c>
      <c r="J326" s="50" t="s">
        <v>47</v>
      </c>
      <c r="K326" s="15">
        <v>360.2</v>
      </c>
      <c r="L326" s="62">
        <v>441</v>
      </c>
      <c r="M326" s="53">
        <f t="shared" si="7"/>
        <v>158848.19999999998</v>
      </c>
    </row>
    <row r="327" spans="1:13" x14ac:dyDescent="0.25">
      <c r="A327" s="21">
        <f>IF(C327="","",COUNTA($C$3:C327))</f>
        <v>325</v>
      </c>
      <c r="B327" s="35" t="str">
        <f t="shared" si="9"/>
        <v>May</v>
      </c>
      <c r="C327" s="33">
        <v>46162</v>
      </c>
      <c r="D327" s="64">
        <v>61965</v>
      </c>
      <c r="E327" s="60">
        <v>45386</v>
      </c>
      <c r="F327" s="52" t="s">
        <v>120</v>
      </c>
      <c r="G327" s="52" t="s">
        <v>134</v>
      </c>
      <c r="H327" s="49" t="s">
        <v>129</v>
      </c>
      <c r="I327" s="49" t="s">
        <v>75</v>
      </c>
      <c r="J327" s="50" t="s">
        <v>47</v>
      </c>
      <c r="K327" s="15">
        <v>55.6</v>
      </c>
      <c r="L327" s="54">
        <v>838</v>
      </c>
      <c r="M327" s="53">
        <f t="shared" si="7"/>
        <v>46592.800000000003</v>
      </c>
    </row>
    <row r="328" spans="1:13" x14ac:dyDescent="0.25">
      <c r="A328" s="21">
        <f>IF(C328="","",COUNTA($C$3:C328))</f>
        <v>326</v>
      </c>
      <c r="B328" s="35" t="str">
        <f t="shared" si="9"/>
        <v>May</v>
      </c>
      <c r="C328" s="33">
        <v>46162</v>
      </c>
      <c r="D328" s="64">
        <v>61965</v>
      </c>
      <c r="E328" s="60">
        <v>45386</v>
      </c>
      <c r="F328" s="52" t="s">
        <v>120</v>
      </c>
      <c r="G328" s="52" t="s">
        <v>134</v>
      </c>
      <c r="H328" s="49" t="s">
        <v>275</v>
      </c>
      <c r="I328" s="49" t="s">
        <v>99</v>
      </c>
      <c r="J328" s="50" t="s">
        <v>70</v>
      </c>
      <c r="K328" s="15">
        <v>90</v>
      </c>
      <c r="L328" s="54">
        <v>198</v>
      </c>
      <c r="M328" s="53">
        <f t="shared" si="7"/>
        <v>17820</v>
      </c>
    </row>
    <row r="329" spans="1:13" x14ac:dyDescent="0.25">
      <c r="A329" s="21">
        <f>IF(C329="","",COUNTA($C$3:C329))</f>
        <v>327</v>
      </c>
      <c r="B329" s="35" t="str">
        <f t="shared" si="9"/>
        <v>May</v>
      </c>
      <c r="C329" s="33">
        <v>46162</v>
      </c>
      <c r="D329" s="64">
        <v>61965</v>
      </c>
      <c r="E329" s="60">
        <v>45386</v>
      </c>
      <c r="F329" s="52" t="s">
        <v>120</v>
      </c>
      <c r="G329" s="52" t="s">
        <v>134</v>
      </c>
      <c r="H329" s="49" t="s">
        <v>130</v>
      </c>
      <c r="I329" s="49" t="s">
        <v>40</v>
      </c>
      <c r="J329" s="50" t="s">
        <v>47</v>
      </c>
      <c r="K329" s="15">
        <v>400</v>
      </c>
      <c r="L329" s="54">
        <v>20</v>
      </c>
      <c r="M329" s="53">
        <f t="shared" si="7"/>
        <v>8000</v>
      </c>
    </row>
    <row r="330" spans="1:13" x14ac:dyDescent="0.25">
      <c r="A330" s="21">
        <f>IF(C330="","",COUNTA($C$3:C330))</f>
        <v>328</v>
      </c>
      <c r="B330" s="35" t="str">
        <f t="shared" si="9"/>
        <v>May</v>
      </c>
      <c r="C330" s="33">
        <v>46163</v>
      </c>
      <c r="D330" s="64">
        <v>61969</v>
      </c>
      <c r="E330" s="60">
        <v>45387</v>
      </c>
      <c r="F330" s="52" t="s">
        <v>120</v>
      </c>
      <c r="G330" s="52" t="s">
        <v>278</v>
      </c>
      <c r="H330" s="49" t="s">
        <v>279</v>
      </c>
      <c r="I330" s="49" t="s">
        <v>68</v>
      </c>
      <c r="J330" s="50" t="str">
        <f>IF(ISNUMBER(SEARCH("gsm",I:I)),"Sqmt",IF(ISNUMBER(SEARCH("Tape",I:I)),"Roll",IF(ISNUMBER(SEARCH("Thermal",I:I)),"Sqmt",IF(ISNUMBER(SEARCH("Acou",I:I)),"Sqmt",IF(ISNUMBER(SEARCH("ss",I:I)),"Sqmt",IF(ISNUMBER(SEARCH("Alu",I:I)),"Sqmt",IF(ISNUMBER(SEARCH("Gasket",I:I)),"Rmt",IF(ISNUMBER(SEARCH("Cleats",I:I)),"No's",IF(ISNUMBER(SEARCH("Tube",I:I)),"No's",IF(ISNUMBER(SEARCH("Bracket",I:I)),"No's",IF(ISNUMBER(SEARCH("Corner",I:I)),"No's",IF(ISNUMBER(SEARCH("MS",I:I)),"Kg's",IF(ISNUMBER(SEARCH("Bucket",I:I)),"Kg's",IF(ISNUMBER(SEARCH("stretch",I:I)),"Kg's",IF(ISNUMBER(SEARCH("Bubble",I:I)),"Roll",IF(ISNUMBER(SEARCH("JTR",I:I)),"Rmt",IF(ISNUMBER(SEARCH("Clamp",I:I)),"No's",IF(ISNUMBER(SEARCH("wrapping",I:I)),"Sqmt",IF(ISNUMBER(SEARCH("frame",I:I)),"No's",IF(ISNUMBER(SEARCH("Scrap",I:I)),"Kg's",""))))))))))))))))))))</f>
        <v>Sqmt</v>
      </c>
      <c r="K330" s="15">
        <v>22.3</v>
      </c>
      <c r="L330" s="48">
        <v>625</v>
      </c>
      <c r="M330" s="48">
        <f t="shared" ref="M330:M332" si="10">K330*L330</f>
        <v>13937.5</v>
      </c>
    </row>
    <row r="331" spans="1:13" x14ac:dyDescent="0.25">
      <c r="A331" s="21">
        <f>IF(C331="","",COUNTA($C$3:C331))</f>
        <v>329</v>
      </c>
      <c r="B331" s="35" t="str">
        <f t="shared" si="9"/>
        <v>May</v>
      </c>
      <c r="C331" s="33">
        <v>46163</v>
      </c>
      <c r="D331" s="64">
        <v>61969</v>
      </c>
      <c r="E331" s="60">
        <v>45387</v>
      </c>
      <c r="F331" s="52" t="s">
        <v>120</v>
      </c>
      <c r="G331" s="52" t="s">
        <v>278</v>
      </c>
      <c r="H331" s="49" t="s">
        <v>280</v>
      </c>
      <c r="I331" s="49" t="s">
        <v>49</v>
      </c>
      <c r="J331" s="50" t="s">
        <v>47</v>
      </c>
      <c r="K331" s="15">
        <v>1.4</v>
      </c>
      <c r="L331" s="54">
        <v>770</v>
      </c>
      <c r="M331" s="53">
        <f t="shared" si="10"/>
        <v>1078</v>
      </c>
    </row>
    <row r="332" spans="1:13" x14ac:dyDescent="0.25">
      <c r="A332" s="21">
        <f>IF(C332="","",COUNTA($C$3:C332))</f>
        <v>330</v>
      </c>
      <c r="B332" s="35" t="str">
        <f t="shared" si="9"/>
        <v>May</v>
      </c>
      <c r="C332" s="33">
        <v>46163</v>
      </c>
      <c r="D332" s="64">
        <v>61969</v>
      </c>
      <c r="E332" s="60">
        <v>45387</v>
      </c>
      <c r="F332" s="52" t="s">
        <v>120</v>
      </c>
      <c r="G332" s="52" t="s">
        <v>278</v>
      </c>
      <c r="H332" s="49" t="s">
        <v>38</v>
      </c>
      <c r="I332" s="49" t="s">
        <v>68</v>
      </c>
      <c r="J332" s="50" t="s">
        <v>47</v>
      </c>
      <c r="K332" s="15">
        <v>7.2</v>
      </c>
      <c r="L332" s="53">
        <v>670</v>
      </c>
      <c r="M332" s="53">
        <f t="shared" si="10"/>
        <v>4824</v>
      </c>
    </row>
    <row r="333" spans="1:13" x14ac:dyDescent="0.25">
      <c r="A333" s="21">
        <f>IF(C333="","",COUNTA($C$3:C333))</f>
        <v>331</v>
      </c>
      <c r="B333" s="35" t="str">
        <f t="shared" si="9"/>
        <v>May</v>
      </c>
      <c r="C333" s="33">
        <v>46163</v>
      </c>
      <c r="D333" s="64">
        <v>61969</v>
      </c>
      <c r="E333" s="60">
        <v>45387</v>
      </c>
      <c r="F333" s="52" t="s">
        <v>120</v>
      </c>
      <c r="G333" s="52" t="s">
        <v>278</v>
      </c>
      <c r="H333" s="49" t="s">
        <v>129</v>
      </c>
      <c r="I333" s="49" t="s">
        <v>53</v>
      </c>
      <c r="J333" s="50" t="s">
        <v>47</v>
      </c>
      <c r="K333" s="55">
        <v>22.3</v>
      </c>
      <c r="L333" s="54">
        <v>281</v>
      </c>
      <c r="M333" s="53">
        <f t="shared" ref="M333:M404" si="11">K333*L333</f>
        <v>6266.3</v>
      </c>
    </row>
    <row r="334" spans="1:13" x14ac:dyDescent="0.25">
      <c r="A334" s="21">
        <f>IF(C334="","",COUNTA($C$3:C334))</f>
        <v>332</v>
      </c>
      <c r="B334" s="35" t="str">
        <f t="shared" si="9"/>
        <v>May</v>
      </c>
      <c r="C334" s="33">
        <v>46163</v>
      </c>
      <c r="D334" s="64">
        <v>61969</v>
      </c>
      <c r="E334" s="60">
        <v>45387</v>
      </c>
      <c r="F334" s="52" t="s">
        <v>120</v>
      </c>
      <c r="G334" s="52" t="s">
        <v>278</v>
      </c>
      <c r="H334" s="49" t="s">
        <v>129</v>
      </c>
      <c r="I334" s="49" t="s">
        <v>104</v>
      </c>
      <c r="J334" s="50" t="s">
        <v>47</v>
      </c>
      <c r="K334" s="15">
        <v>7.2</v>
      </c>
      <c r="L334" s="62">
        <v>755</v>
      </c>
      <c r="M334" s="53">
        <f t="shared" si="11"/>
        <v>5436</v>
      </c>
    </row>
    <row r="335" spans="1:13" x14ac:dyDescent="0.25">
      <c r="A335" s="21">
        <f>IF(C335="","",COUNTA($C$3:C335))</f>
        <v>333</v>
      </c>
      <c r="B335" s="35" t="str">
        <f t="shared" si="9"/>
        <v>May</v>
      </c>
      <c r="C335" s="33">
        <v>46163</v>
      </c>
      <c r="D335" s="64">
        <v>61969</v>
      </c>
      <c r="E335" s="60">
        <v>45387</v>
      </c>
      <c r="F335" s="52" t="s">
        <v>120</v>
      </c>
      <c r="G335" s="52" t="s">
        <v>278</v>
      </c>
      <c r="H335" s="49" t="s">
        <v>130</v>
      </c>
      <c r="I335" s="49" t="s">
        <v>40</v>
      </c>
      <c r="J335" s="50" t="s">
        <v>47</v>
      </c>
      <c r="K335" s="67">
        <v>30</v>
      </c>
      <c r="L335" s="48">
        <v>20</v>
      </c>
      <c r="M335" s="53">
        <f t="shared" si="11"/>
        <v>600</v>
      </c>
    </row>
    <row r="336" spans="1:13" x14ac:dyDescent="0.25">
      <c r="A336" s="21">
        <f>IF(C336="","",COUNTA($C$3:C336))</f>
        <v>334</v>
      </c>
      <c r="B336" s="35" t="str">
        <f t="shared" si="9"/>
        <v>May</v>
      </c>
      <c r="C336" s="33">
        <v>46163</v>
      </c>
      <c r="D336" s="64">
        <v>61964</v>
      </c>
      <c r="E336" s="60">
        <v>45388</v>
      </c>
      <c r="F336" s="52" t="s">
        <v>120</v>
      </c>
      <c r="G336" s="52" t="s">
        <v>258</v>
      </c>
      <c r="H336" s="49" t="s">
        <v>38</v>
      </c>
      <c r="I336" s="49" t="s">
        <v>68</v>
      </c>
      <c r="J336" s="50" t="s">
        <v>47</v>
      </c>
      <c r="K336" s="67">
        <v>206.9</v>
      </c>
      <c r="L336" s="48">
        <v>670</v>
      </c>
      <c r="M336" s="53">
        <f t="shared" si="11"/>
        <v>138623</v>
      </c>
    </row>
    <row r="337" spans="1:17" x14ac:dyDescent="0.25">
      <c r="A337" s="21">
        <f>IF(C337="","",COUNTA($C$3:C337))</f>
        <v>335</v>
      </c>
      <c r="B337" s="35" t="str">
        <f t="shared" si="9"/>
        <v>May</v>
      </c>
      <c r="C337" s="33">
        <v>46163</v>
      </c>
      <c r="D337" s="64">
        <v>61964</v>
      </c>
      <c r="E337" s="60">
        <v>45388</v>
      </c>
      <c r="F337" s="52" t="s">
        <v>120</v>
      </c>
      <c r="G337" s="52" t="s">
        <v>258</v>
      </c>
      <c r="H337" s="49" t="s">
        <v>38</v>
      </c>
      <c r="I337" s="49" t="s">
        <v>69</v>
      </c>
      <c r="J337" s="50" t="s">
        <v>47</v>
      </c>
      <c r="K337" s="15">
        <v>12.5</v>
      </c>
      <c r="L337" s="53">
        <v>868</v>
      </c>
      <c r="M337" s="53">
        <f t="shared" si="11"/>
        <v>10850</v>
      </c>
    </row>
    <row r="338" spans="1:17" x14ac:dyDescent="0.25">
      <c r="A338" s="21">
        <f>IF(C338="","",COUNTA($C$3:C338))</f>
        <v>336</v>
      </c>
      <c r="B338" s="35" t="str">
        <f t="shared" si="9"/>
        <v>May</v>
      </c>
      <c r="C338" s="33">
        <v>46163</v>
      </c>
      <c r="D338" s="64">
        <v>61964</v>
      </c>
      <c r="E338" s="60">
        <v>45388</v>
      </c>
      <c r="F338" s="52" t="s">
        <v>120</v>
      </c>
      <c r="G338" s="52" t="s">
        <v>258</v>
      </c>
      <c r="H338" s="49" t="s">
        <v>139</v>
      </c>
      <c r="I338" s="49" t="s">
        <v>39</v>
      </c>
      <c r="J338" s="50" t="s">
        <v>47</v>
      </c>
      <c r="K338" s="15">
        <v>4.2</v>
      </c>
      <c r="L338" s="53">
        <v>5200</v>
      </c>
      <c r="M338" s="53">
        <f t="shared" si="11"/>
        <v>21840</v>
      </c>
    </row>
    <row r="339" spans="1:17" x14ac:dyDescent="0.25">
      <c r="A339" s="21">
        <f>IF(C339="","",COUNTA($C$3:C339))</f>
        <v>337</v>
      </c>
      <c r="B339" s="35" t="str">
        <f t="shared" si="9"/>
        <v>May</v>
      </c>
      <c r="C339" s="33">
        <v>46163</v>
      </c>
      <c r="D339" s="64">
        <v>61964</v>
      </c>
      <c r="E339" s="60">
        <v>45388</v>
      </c>
      <c r="F339" s="52" t="s">
        <v>120</v>
      </c>
      <c r="G339" s="52" t="s">
        <v>258</v>
      </c>
      <c r="H339" s="49" t="s">
        <v>129</v>
      </c>
      <c r="I339" s="49" t="s">
        <v>80</v>
      </c>
      <c r="J339" s="50" t="s">
        <v>47</v>
      </c>
      <c r="K339" s="55">
        <f>153.5+20.181+1.08+10.6258</f>
        <v>185.38680000000002</v>
      </c>
      <c r="L339" s="53">
        <v>371</v>
      </c>
      <c r="M339" s="53">
        <f t="shared" si="11"/>
        <v>68778.502800000002</v>
      </c>
    </row>
    <row r="340" spans="1:17" x14ac:dyDescent="0.25">
      <c r="A340" s="21">
        <f>IF(C340="","",COUNTA($C$3:C340))</f>
        <v>338</v>
      </c>
      <c r="B340" s="35" t="str">
        <f t="shared" si="9"/>
        <v>May</v>
      </c>
      <c r="C340" s="33">
        <v>46163</v>
      </c>
      <c r="D340" s="64">
        <v>61964</v>
      </c>
      <c r="E340" s="60">
        <v>45388</v>
      </c>
      <c r="F340" s="52" t="s">
        <v>120</v>
      </c>
      <c r="G340" s="52" t="s">
        <v>258</v>
      </c>
      <c r="H340" s="49" t="s">
        <v>129</v>
      </c>
      <c r="I340" s="49" t="s">
        <v>94</v>
      </c>
      <c r="J340" s="50" t="s">
        <v>47</v>
      </c>
      <c r="K340" s="15">
        <v>15.5</v>
      </c>
      <c r="L340" s="53">
        <v>820</v>
      </c>
      <c r="M340" s="53">
        <f t="shared" si="11"/>
        <v>12710</v>
      </c>
    </row>
    <row r="341" spans="1:17" x14ac:dyDescent="0.25">
      <c r="A341" s="21">
        <f>IF(C341="","",COUNTA($C$3:C341))</f>
        <v>339</v>
      </c>
      <c r="B341" s="35" t="str">
        <f t="shared" si="9"/>
        <v>May</v>
      </c>
      <c r="C341" s="33">
        <v>46163</v>
      </c>
      <c r="D341" s="64">
        <v>61964</v>
      </c>
      <c r="E341" s="60">
        <v>45388</v>
      </c>
      <c r="F341" s="52" t="s">
        <v>120</v>
      </c>
      <c r="G341" s="52" t="s">
        <v>258</v>
      </c>
      <c r="H341" s="49" t="s">
        <v>281</v>
      </c>
      <c r="I341" s="49" t="s">
        <v>68</v>
      </c>
      <c r="J341" s="50" t="s">
        <v>70</v>
      </c>
      <c r="K341" s="15">
        <v>24</v>
      </c>
      <c r="L341" s="48">
        <v>648</v>
      </c>
      <c r="M341" s="53">
        <f t="shared" si="11"/>
        <v>15552</v>
      </c>
      <c r="O341" s="59"/>
      <c r="P341" s="59"/>
      <c r="Q341" s="59"/>
    </row>
    <row r="342" spans="1:17" x14ac:dyDescent="0.25">
      <c r="A342" s="21">
        <f>IF(C342="","",COUNTA($C$3:C342))</f>
        <v>340</v>
      </c>
      <c r="B342" s="35" t="str">
        <f t="shared" si="9"/>
        <v>May</v>
      </c>
      <c r="C342" s="33">
        <v>46163</v>
      </c>
      <c r="D342" s="64">
        <v>61964</v>
      </c>
      <c r="E342" s="60">
        <v>45388</v>
      </c>
      <c r="F342" s="52" t="s">
        <v>120</v>
      </c>
      <c r="G342" s="52" t="s">
        <v>258</v>
      </c>
      <c r="H342" s="49" t="s">
        <v>282</v>
      </c>
      <c r="I342" s="49" t="s">
        <v>68</v>
      </c>
      <c r="J342" s="50" t="s">
        <v>70</v>
      </c>
      <c r="K342" s="15">
        <v>2</v>
      </c>
      <c r="L342" s="48">
        <v>505</v>
      </c>
      <c r="M342" s="53">
        <f t="shared" si="11"/>
        <v>1010</v>
      </c>
      <c r="O342" s="59"/>
      <c r="P342" s="59"/>
      <c r="Q342" s="59"/>
    </row>
    <row r="343" spans="1:17" x14ac:dyDescent="0.25">
      <c r="A343" s="21">
        <f>IF(C343="","",COUNTA($C$3:C343))</f>
        <v>341</v>
      </c>
      <c r="B343" s="35" t="str">
        <f t="shared" si="9"/>
        <v>May</v>
      </c>
      <c r="C343" s="33">
        <v>46163</v>
      </c>
      <c r="D343" s="64">
        <v>61964</v>
      </c>
      <c r="E343" s="60">
        <v>45388</v>
      </c>
      <c r="F343" s="52" t="s">
        <v>120</v>
      </c>
      <c r="G343" s="52" t="s">
        <v>258</v>
      </c>
      <c r="H343" s="49" t="s">
        <v>283</v>
      </c>
      <c r="I343" s="49" t="s">
        <v>68</v>
      </c>
      <c r="J343" s="50" t="s">
        <v>70</v>
      </c>
      <c r="K343" s="15">
        <v>18</v>
      </c>
      <c r="L343" s="48">
        <v>556</v>
      </c>
      <c r="M343" s="53">
        <f t="shared" si="11"/>
        <v>10008</v>
      </c>
      <c r="O343" s="59"/>
      <c r="P343" s="69"/>
      <c r="Q343" s="59"/>
    </row>
    <row r="344" spans="1:17" x14ac:dyDescent="0.25">
      <c r="A344" s="21">
        <f>IF(C344="","",COUNTA($C$3:C344))</f>
        <v>342</v>
      </c>
      <c r="B344" s="35" t="str">
        <f t="shared" si="9"/>
        <v>May</v>
      </c>
      <c r="C344" s="33">
        <v>46163</v>
      </c>
      <c r="D344" s="64">
        <v>61964</v>
      </c>
      <c r="E344" s="60">
        <v>45388</v>
      </c>
      <c r="F344" s="52" t="s">
        <v>120</v>
      </c>
      <c r="G344" s="52" t="s">
        <v>258</v>
      </c>
      <c r="H344" s="49" t="s">
        <v>284</v>
      </c>
      <c r="I344" s="49" t="s">
        <v>69</v>
      </c>
      <c r="J344" s="50" t="s">
        <v>70</v>
      </c>
      <c r="K344" s="15">
        <v>101</v>
      </c>
      <c r="L344" s="54">
        <v>385</v>
      </c>
      <c r="M344" s="53">
        <f t="shared" si="11"/>
        <v>38885</v>
      </c>
    </row>
    <row r="345" spans="1:17" x14ac:dyDescent="0.25">
      <c r="A345" s="21">
        <f>IF(C345="","",COUNTA($C$3:C345))</f>
        <v>343</v>
      </c>
      <c r="B345" s="35" t="str">
        <f t="shared" si="9"/>
        <v>May</v>
      </c>
      <c r="C345" s="33">
        <v>46163</v>
      </c>
      <c r="D345" s="64">
        <v>61964</v>
      </c>
      <c r="E345" s="60">
        <v>45388</v>
      </c>
      <c r="F345" s="52" t="s">
        <v>120</v>
      </c>
      <c r="G345" s="52" t="s">
        <v>258</v>
      </c>
      <c r="H345" s="49" t="s">
        <v>200</v>
      </c>
      <c r="I345" s="49" t="s">
        <v>69</v>
      </c>
      <c r="J345" s="50" t="s">
        <v>70</v>
      </c>
      <c r="K345" s="15">
        <v>17</v>
      </c>
      <c r="L345" s="53">
        <v>440</v>
      </c>
      <c r="M345" s="53">
        <f t="shared" si="11"/>
        <v>7480</v>
      </c>
    </row>
    <row r="346" spans="1:17" x14ac:dyDescent="0.25">
      <c r="A346" s="21">
        <f>IF(C346="","",COUNTA($C$3:C346))</f>
        <v>344</v>
      </c>
      <c r="B346" s="35" t="str">
        <f t="shared" si="9"/>
        <v>May</v>
      </c>
      <c r="C346" s="33">
        <v>46163</v>
      </c>
      <c r="D346" s="64">
        <v>61964</v>
      </c>
      <c r="E346" s="60">
        <v>45388</v>
      </c>
      <c r="F346" s="52" t="s">
        <v>120</v>
      </c>
      <c r="G346" s="52" t="s">
        <v>258</v>
      </c>
      <c r="H346" s="49" t="s">
        <v>176</v>
      </c>
      <c r="I346" s="49" t="s">
        <v>80</v>
      </c>
      <c r="J346" s="50" t="s">
        <v>47</v>
      </c>
      <c r="K346" s="15">
        <v>33.6</v>
      </c>
      <c r="L346" s="54">
        <v>212</v>
      </c>
      <c r="M346" s="53">
        <f t="shared" si="11"/>
        <v>7123.2000000000007</v>
      </c>
    </row>
    <row r="347" spans="1:17" x14ac:dyDescent="0.25">
      <c r="A347" s="21">
        <f>IF(C347="","",COUNTA($C$3:C347))</f>
        <v>345</v>
      </c>
      <c r="B347" s="35" t="str">
        <f t="shared" si="9"/>
        <v>May</v>
      </c>
      <c r="C347" s="33">
        <v>46163</v>
      </c>
      <c r="D347" s="64">
        <v>61964</v>
      </c>
      <c r="E347" s="60">
        <v>45388</v>
      </c>
      <c r="F347" s="52" t="s">
        <v>120</v>
      </c>
      <c r="G347" s="52" t="s">
        <v>258</v>
      </c>
      <c r="H347" s="49" t="s">
        <v>130</v>
      </c>
      <c r="I347" s="49" t="s">
        <v>40</v>
      </c>
      <c r="J347" s="50" t="s">
        <v>47</v>
      </c>
      <c r="K347" s="55">
        <v>170</v>
      </c>
      <c r="L347" s="54">
        <v>20</v>
      </c>
      <c r="M347" s="53">
        <f t="shared" si="11"/>
        <v>3400</v>
      </c>
    </row>
    <row r="348" spans="1:17" x14ac:dyDescent="0.25">
      <c r="A348" s="21">
        <f>IF(C348="","",COUNTA($C$3:C348))</f>
        <v>346</v>
      </c>
      <c r="B348" s="35" t="str">
        <f t="shared" si="9"/>
        <v>May</v>
      </c>
      <c r="C348" s="33">
        <v>46163</v>
      </c>
      <c r="D348" s="64">
        <v>61930</v>
      </c>
      <c r="E348" s="60">
        <v>45389</v>
      </c>
      <c r="F348" s="52" t="s">
        <v>120</v>
      </c>
      <c r="G348" s="18" t="s">
        <v>123</v>
      </c>
      <c r="H348" s="49" t="s">
        <v>91</v>
      </c>
      <c r="I348" s="49" t="s">
        <v>91</v>
      </c>
      <c r="J348" s="50" t="s">
        <v>137</v>
      </c>
      <c r="K348" s="15">
        <v>1000</v>
      </c>
      <c r="L348" s="48">
        <v>5</v>
      </c>
      <c r="M348" s="53">
        <f t="shared" si="11"/>
        <v>5000</v>
      </c>
    </row>
    <row r="349" spans="1:17" x14ac:dyDescent="0.25">
      <c r="A349" s="21">
        <f>IF(C349="","",COUNTA($C$3:C349))</f>
        <v>347</v>
      </c>
      <c r="B349" s="35" t="str">
        <f t="shared" si="9"/>
        <v>May</v>
      </c>
      <c r="C349" s="33">
        <v>46165</v>
      </c>
      <c r="D349" s="64">
        <v>61971</v>
      </c>
      <c r="E349" s="60">
        <v>45390</v>
      </c>
      <c r="F349" s="52" t="s">
        <v>120</v>
      </c>
      <c r="G349" s="18" t="s">
        <v>286</v>
      </c>
      <c r="H349" s="49" t="s">
        <v>161</v>
      </c>
      <c r="I349" s="49" t="s">
        <v>68</v>
      </c>
      <c r="J349" s="50" t="s">
        <v>47</v>
      </c>
      <c r="K349" s="15">
        <v>30</v>
      </c>
      <c r="L349" s="53">
        <v>495</v>
      </c>
      <c r="M349" s="53">
        <f t="shared" si="11"/>
        <v>14850</v>
      </c>
    </row>
    <row r="350" spans="1:17" x14ac:dyDescent="0.25">
      <c r="A350" s="21">
        <f>IF(C350="","",COUNTA($C$3:C350))</f>
        <v>348</v>
      </c>
      <c r="B350" s="35" t="str">
        <f t="shared" si="9"/>
        <v>May</v>
      </c>
      <c r="C350" s="33">
        <v>46165</v>
      </c>
      <c r="D350" s="64">
        <v>61970</v>
      </c>
      <c r="E350" s="60">
        <v>45391</v>
      </c>
      <c r="F350" s="52" t="s">
        <v>120</v>
      </c>
      <c r="G350" s="18" t="s">
        <v>288</v>
      </c>
      <c r="H350" s="49" t="s">
        <v>38</v>
      </c>
      <c r="I350" s="49" t="s">
        <v>68</v>
      </c>
      <c r="J350" s="50" t="s">
        <v>47</v>
      </c>
      <c r="K350" s="15">
        <v>47.5</v>
      </c>
      <c r="L350" s="53">
        <v>670</v>
      </c>
      <c r="M350" s="53">
        <f t="shared" si="11"/>
        <v>31825</v>
      </c>
    </row>
    <row r="351" spans="1:17" x14ac:dyDescent="0.25">
      <c r="A351" s="21">
        <f>IF(C351="","",COUNTA($C$3:C351))</f>
        <v>349</v>
      </c>
      <c r="B351" s="35" t="str">
        <f t="shared" si="9"/>
        <v>May</v>
      </c>
      <c r="C351" s="33">
        <v>46165</v>
      </c>
      <c r="D351" s="64">
        <v>61970</v>
      </c>
      <c r="E351" s="60">
        <v>45391</v>
      </c>
      <c r="F351" s="52" t="s">
        <v>120</v>
      </c>
      <c r="G351" s="18" t="s">
        <v>288</v>
      </c>
      <c r="H351" s="49" t="s">
        <v>38</v>
      </c>
      <c r="I351" s="49" t="s">
        <v>69</v>
      </c>
      <c r="J351" s="50" t="s">
        <v>47</v>
      </c>
      <c r="K351" s="15">
        <v>9</v>
      </c>
      <c r="L351" s="53">
        <v>868</v>
      </c>
      <c r="M351" s="53">
        <f t="shared" si="11"/>
        <v>7812</v>
      </c>
    </row>
    <row r="352" spans="1:17" x14ac:dyDescent="0.25">
      <c r="A352" s="21">
        <f>IF(C352="","",COUNTA($C$3:C352))</f>
        <v>350</v>
      </c>
      <c r="B352" s="35" t="str">
        <f t="shared" si="9"/>
        <v>May</v>
      </c>
      <c r="C352" s="33">
        <v>46165</v>
      </c>
      <c r="D352" s="64">
        <v>61970</v>
      </c>
      <c r="E352" s="60">
        <v>45391</v>
      </c>
      <c r="F352" s="52" t="s">
        <v>120</v>
      </c>
      <c r="G352" s="18" t="s">
        <v>288</v>
      </c>
      <c r="H352" s="49" t="s">
        <v>38</v>
      </c>
      <c r="I352" s="49" t="s">
        <v>39</v>
      </c>
      <c r="J352" s="50" t="s">
        <v>47</v>
      </c>
      <c r="K352" s="55">
        <v>30.1</v>
      </c>
      <c r="L352" s="54">
        <v>1060</v>
      </c>
      <c r="M352" s="53">
        <f t="shared" si="11"/>
        <v>31906</v>
      </c>
    </row>
    <row r="353" spans="1:13" x14ac:dyDescent="0.25">
      <c r="A353" s="21">
        <f>IF(C353="","",COUNTA($C$3:C353))</f>
        <v>351</v>
      </c>
      <c r="B353" s="35" t="str">
        <f t="shared" si="9"/>
        <v>May</v>
      </c>
      <c r="C353" s="33">
        <v>46165</v>
      </c>
      <c r="D353" s="64">
        <v>61970</v>
      </c>
      <c r="E353" s="60">
        <v>45391</v>
      </c>
      <c r="F353" s="52" t="s">
        <v>120</v>
      </c>
      <c r="G353" s="18" t="s">
        <v>288</v>
      </c>
      <c r="H353" s="49" t="s">
        <v>38</v>
      </c>
      <c r="I353" s="49" t="s">
        <v>78</v>
      </c>
      <c r="J353" s="50" t="s">
        <v>47</v>
      </c>
      <c r="K353" s="15">
        <v>6.8</v>
      </c>
      <c r="L353" s="53">
        <v>1269</v>
      </c>
      <c r="M353" s="53">
        <f t="shared" si="11"/>
        <v>8629.1999999999989</v>
      </c>
    </row>
    <row r="354" spans="1:13" x14ac:dyDescent="0.25">
      <c r="A354" s="21">
        <f>IF(C354="","",COUNTA($C$3:C354))</f>
        <v>352</v>
      </c>
      <c r="B354" s="35" t="str">
        <f t="shared" si="9"/>
        <v>May</v>
      </c>
      <c r="C354" s="33">
        <v>46167</v>
      </c>
      <c r="D354" s="64">
        <v>61974</v>
      </c>
      <c r="E354" s="60">
        <v>45392</v>
      </c>
      <c r="F354" s="52" t="s">
        <v>120</v>
      </c>
      <c r="G354" s="18" t="s">
        <v>290</v>
      </c>
      <c r="H354" s="49" t="s">
        <v>38</v>
      </c>
      <c r="I354" s="49" t="s">
        <v>78</v>
      </c>
      <c r="J354" s="50" t="s">
        <v>47</v>
      </c>
      <c r="K354" s="15">
        <v>176.3</v>
      </c>
      <c r="L354" s="53">
        <v>1269</v>
      </c>
      <c r="M354" s="53">
        <f t="shared" si="11"/>
        <v>223724.7</v>
      </c>
    </row>
    <row r="355" spans="1:13" x14ac:dyDescent="0.25">
      <c r="A355" s="21">
        <f>IF(C355="","",COUNTA($C$3:C355))</f>
        <v>353</v>
      </c>
      <c r="B355" s="35" t="str">
        <f t="shared" si="9"/>
        <v>May</v>
      </c>
      <c r="C355" s="33">
        <v>46167</v>
      </c>
      <c r="D355" s="64">
        <v>61974</v>
      </c>
      <c r="E355" s="60">
        <v>45392</v>
      </c>
      <c r="F355" s="52" t="s">
        <v>120</v>
      </c>
      <c r="G355" s="18" t="s">
        <v>290</v>
      </c>
      <c r="H355" s="49" t="s">
        <v>129</v>
      </c>
      <c r="I355" s="49" t="s">
        <v>86</v>
      </c>
      <c r="J355" s="50" t="s">
        <v>47</v>
      </c>
      <c r="K355" s="15">
        <v>35.299999999999997</v>
      </c>
      <c r="L355" s="54">
        <v>388</v>
      </c>
      <c r="M355" s="53">
        <f t="shared" si="11"/>
        <v>13696.4</v>
      </c>
    </row>
    <row r="356" spans="1:13" x14ac:dyDescent="0.25">
      <c r="A356" s="21">
        <f>IF(C356="","",COUNTA($C$3:C356))</f>
        <v>354</v>
      </c>
      <c r="B356" s="35" t="str">
        <f t="shared" si="9"/>
        <v>May</v>
      </c>
      <c r="C356" s="33">
        <v>46167</v>
      </c>
      <c r="D356" s="64">
        <v>61974</v>
      </c>
      <c r="E356" s="60">
        <v>45392</v>
      </c>
      <c r="F356" s="52" t="s">
        <v>120</v>
      </c>
      <c r="G356" s="18" t="s">
        <v>290</v>
      </c>
      <c r="H356" s="49" t="s">
        <v>129</v>
      </c>
      <c r="I356" s="49" t="s">
        <v>110</v>
      </c>
      <c r="J356" s="50" t="s">
        <v>47</v>
      </c>
      <c r="K356" s="15">
        <v>43.7</v>
      </c>
      <c r="L356" s="54">
        <v>476</v>
      </c>
      <c r="M356" s="53">
        <f t="shared" si="11"/>
        <v>20801.2</v>
      </c>
    </row>
    <row r="357" spans="1:13" x14ac:dyDescent="0.25">
      <c r="A357" s="21">
        <f>IF(C357="","",COUNTA($C$3:C357))</f>
        <v>355</v>
      </c>
      <c r="B357" s="35" t="str">
        <f t="shared" si="9"/>
        <v>May</v>
      </c>
      <c r="C357" s="33">
        <v>46167</v>
      </c>
      <c r="D357" s="64">
        <v>61974</v>
      </c>
      <c r="E357" s="60">
        <v>45392</v>
      </c>
      <c r="F357" s="52" t="s">
        <v>120</v>
      </c>
      <c r="G357" s="18" t="s">
        <v>290</v>
      </c>
      <c r="H357" s="49" t="s">
        <v>129</v>
      </c>
      <c r="I357" s="49" t="s">
        <v>295</v>
      </c>
      <c r="J357" s="50" t="s">
        <v>47</v>
      </c>
      <c r="K357" s="15">
        <v>60.2</v>
      </c>
      <c r="L357" s="54">
        <v>507</v>
      </c>
      <c r="M357" s="53">
        <f t="shared" si="11"/>
        <v>30521.4</v>
      </c>
    </row>
    <row r="358" spans="1:13" x14ac:dyDescent="0.25">
      <c r="A358" s="21">
        <f>IF(C358="","",COUNTA($C$3:C358))</f>
        <v>356</v>
      </c>
      <c r="B358" s="35" t="str">
        <f t="shared" si="9"/>
        <v>May</v>
      </c>
      <c r="C358" s="33">
        <v>46167</v>
      </c>
      <c r="D358" s="64">
        <v>61974</v>
      </c>
      <c r="E358" s="60">
        <v>45392</v>
      </c>
      <c r="F358" s="52" t="s">
        <v>120</v>
      </c>
      <c r="G358" s="18" t="s">
        <v>290</v>
      </c>
      <c r="H358" s="49" t="s">
        <v>129</v>
      </c>
      <c r="I358" s="49" t="s">
        <v>296</v>
      </c>
      <c r="J358" s="50" t="s">
        <v>47</v>
      </c>
      <c r="K358" s="15">
        <v>37.1</v>
      </c>
      <c r="L358" s="54">
        <v>594</v>
      </c>
      <c r="M358" s="53">
        <f t="shared" si="11"/>
        <v>22037.4</v>
      </c>
    </row>
    <row r="359" spans="1:13" x14ac:dyDescent="0.25">
      <c r="A359" s="21">
        <f>IF(C359="","",COUNTA($C$3:C359))</f>
        <v>357</v>
      </c>
      <c r="B359" s="35" t="str">
        <f t="shared" si="9"/>
        <v>May</v>
      </c>
      <c r="C359" s="33">
        <v>46167</v>
      </c>
      <c r="D359" s="64">
        <v>61974</v>
      </c>
      <c r="E359" s="60">
        <v>45392</v>
      </c>
      <c r="F359" s="52" t="s">
        <v>120</v>
      </c>
      <c r="G359" s="18" t="s">
        <v>290</v>
      </c>
      <c r="H359" s="49" t="s">
        <v>161</v>
      </c>
      <c r="I359" s="49" t="s">
        <v>78</v>
      </c>
      <c r="J359" s="50" t="s">
        <v>47</v>
      </c>
      <c r="K359" s="55">
        <v>18</v>
      </c>
      <c r="L359" s="54">
        <v>950</v>
      </c>
      <c r="M359" s="53">
        <f t="shared" si="11"/>
        <v>17100</v>
      </c>
    </row>
    <row r="360" spans="1:13" x14ac:dyDescent="0.25">
      <c r="A360" s="21">
        <f>IF(C360="","",COUNTA($C$3:C360))</f>
        <v>358</v>
      </c>
      <c r="B360" s="35" t="str">
        <f t="shared" si="9"/>
        <v>May</v>
      </c>
      <c r="C360" s="33">
        <v>46167</v>
      </c>
      <c r="D360" s="64">
        <v>61974</v>
      </c>
      <c r="E360" s="60">
        <v>45393</v>
      </c>
      <c r="F360" s="52" t="s">
        <v>120</v>
      </c>
      <c r="G360" s="18" t="s">
        <v>290</v>
      </c>
      <c r="H360" s="49" t="s">
        <v>38</v>
      </c>
      <c r="I360" s="49" t="s">
        <v>78</v>
      </c>
      <c r="J360" s="50" t="s">
        <v>47</v>
      </c>
      <c r="K360" s="15">
        <v>11.5</v>
      </c>
      <c r="L360" s="53">
        <v>1269</v>
      </c>
      <c r="M360" s="53">
        <f t="shared" si="11"/>
        <v>14593.5</v>
      </c>
    </row>
    <row r="361" spans="1:13" x14ac:dyDescent="0.25">
      <c r="A361" s="21">
        <f>IF(C361="","",COUNTA($C$3:C361))</f>
        <v>359</v>
      </c>
      <c r="B361" s="35" t="str">
        <f t="shared" si="9"/>
        <v>May</v>
      </c>
      <c r="C361" s="33">
        <v>46167</v>
      </c>
      <c r="D361" s="64">
        <v>61974</v>
      </c>
      <c r="E361" s="60">
        <v>45393</v>
      </c>
      <c r="F361" s="52" t="s">
        <v>120</v>
      </c>
      <c r="G361" s="18" t="s">
        <v>290</v>
      </c>
      <c r="H361" s="49" t="s">
        <v>129</v>
      </c>
      <c r="I361" s="49" t="s">
        <v>86</v>
      </c>
      <c r="J361" s="50" t="s">
        <v>47</v>
      </c>
      <c r="K361" s="55">
        <v>11.5</v>
      </c>
      <c r="L361" s="54">
        <v>388</v>
      </c>
      <c r="M361" s="53">
        <f t="shared" si="11"/>
        <v>4462</v>
      </c>
    </row>
    <row r="362" spans="1:13" x14ac:dyDescent="0.25">
      <c r="A362" s="21">
        <f>IF(C362="","",COUNTA($C$3:C362))</f>
        <v>360</v>
      </c>
      <c r="B362" s="35" t="str">
        <f t="shared" si="9"/>
        <v>May</v>
      </c>
      <c r="C362" s="33">
        <v>46167</v>
      </c>
      <c r="D362" s="64">
        <v>61974</v>
      </c>
      <c r="E362" s="60">
        <v>45393</v>
      </c>
      <c r="F362" s="52" t="s">
        <v>120</v>
      </c>
      <c r="G362" s="18" t="s">
        <v>290</v>
      </c>
      <c r="H362" s="49" t="s">
        <v>176</v>
      </c>
      <c r="I362" s="49" t="s">
        <v>86</v>
      </c>
      <c r="J362" s="50" t="s">
        <v>47</v>
      </c>
      <c r="K362" s="15">
        <v>33.6</v>
      </c>
      <c r="L362" s="53">
        <v>250</v>
      </c>
      <c r="M362" s="53">
        <f t="shared" si="11"/>
        <v>8400</v>
      </c>
    </row>
    <row r="363" spans="1:13" x14ac:dyDescent="0.25">
      <c r="A363" s="21">
        <f>IF(C363="","",COUNTA($C$3:C363))</f>
        <v>361</v>
      </c>
      <c r="B363" s="35" t="str">
        <f t="shared" si="9"/>
        <v>May</v>
      </c>
      <c r="C363" s="33">
        <v>46167</v>
      </c>
      <c r="D363" s="64">
        <v>61974</v>
      </c>
      <c r="E363" s="60">
        <v>45393</v>
      </c>
      <c r="F363" s="52" t="s">
        <v>120</v>
      </c>
      <c r="G363" s="18" t="s">
        <v>290</v>
      </c>
      <c r="H363" s="49" t="s">
        <v>176</v>
      </c>
      <c r="I363" s="49" t="s">
        <v>295</v>
      </c>
      <c r="J363" s="50" t="s">
        <v>47</v>
      </c>
      <c r="K363" s="15">
        <v>33.6</v>
      </c>
      <c r="L363" s="53">
        <v>360</v>
      </c>
      <c r="M363" s="53">
        <f t="shared" si="11"/>
        <v>12096</v>
      </c>
    </row>
    <row r="364" spans="1:13" x14ac:dyDescent="0.25">
      <c r="A364" s="21">
        <f>IF(C364="","",COUNTA($C$3:C364))</f>
        <v>362</v>
      </c>
      <c r="B364" s="35" t="str">
        <f t="shared" si="9"/>
        <v>May</v>
      </c>
      <c r="C364" s="33">
        <v>46167</v>
      </c>
      <c r="D364" s="64">
        <v>61974</v>
      </c>
      <c r="E364" s="60">
        <v>45393</v>
      </c>
      <c r="F364" s="52" t="s">
        <v>120</v>
      </c>
      <c r="G364" s="18" t="s">
        <v>290</v>
      </c>
      <c r="H364" s="49" t="s">
        <v>139</v>
      </c>
      <c r="I364" s="49" t="s">
        <v>85</v>
      </c>
      <c r="J364" s="50" t="s">
        <v>47</v>
      </c>
      <c r="K364" s="15">
        <v>0.8</v>
      </c>
      <c r="L364" s="54">
        <v>6200</v>
      </c>
      <c r="M364" s="53">
        <f t="shared" si="11"/>
        <v>4960</v>
      </c>
    </row>
    <row r="365" spans="1:13" x14ac:dyDescent="0.25">
      <c r="A365" s="21">
        <f>IF(C365="","",COUNTA($C$3:C365))</f>
        <v>363</v>
      </c>
      <c r="B365" s="35" t="str">
        <f t="shared" si="9"/>
        <v>May</v>
      </c>
      <c r="C365" s="33">
        <v>46167</v>
      </c>
      <c r="D365" s="64">
        <v>61975</v>
      </c>
      <c r="E365" s="60">
        <v>45394</v>
      </c>
      <c r="F365" s="52" t="s">
        <v>120</v>
      </c>
      <c r="G365" s="18" t="s">
        <v>292</v>
      </c>
      <c r="H365" s="49" t="s">
        <v>38</v>
      </c>
      <c r="I365" s="49" t="s">
        <v>78</v>
      </c>
      <c r="J365" s="50" t="s">
        <v>47</v>
      </c>
      <c r="K365" s="15">
        <v>92.8</v>
      </c>
      <c r="L365" s="53">
        <v>1269</v>
      </c>
      <c r="M365" s="53">
        <f t="shared" si="11"/>
        <v>117763.2</v>
      </c>
    </row>
    <row r="366" spans="1:13" x14ac:dyDescent="0.25">
      <c r="A366" s="21">
        <f>IF(C366="","",COUNTA($C$3:C366))</f>
        <v>364</v>
      </c>
      <c r="B366" s="35" t="str">
        <f t="shared" si="9"/>
        <v>May</v>
      </c>
      <c r="C366" s="33">
        <v>46167</v>
      </c>
      <c r="D366" s="64">
        <v>61975</v>
      </c>
      <c r="E366" s="60">
        <v>45394</v>
      </c>
      <c r="F366" s="52" t="s">
        <v>120</v>
      </c>
      <c r="G366" s="18" t="s">
        <v>292</v>
      </c>
      <c r="H366" s="49" t="s">
        <v>129</v>
      </c>
      <c r="I366" s="49" t="s">
        <v>86</v>
      </c>
      <c r="J366" s="50" t="s">
        <v>47</v>
      </c>
      <c r="K366" s="15">
        <v>21.6</v>
      </c>
      <c r="L366" s="54">
        <v>388</v>
      </c>
      <c r="M366" s="53">
        <f t="shared" si="11"/>
        <v>8380.8000000000011</v>
      </c>
    </row>
    <row r="367" spans="1:13" x14ac:dyDescent="0.25">
      <c r="A367" s="21">
        <f>IF(C367="","",COUNTA($C$3:C367))</f>
        <v>365</v>
      </c>
      <c r="B367" s="35" t="str">
        <f t="shared" si="9"/>
        <v>May</v>
      </c>
      <c r="C367" s="33">
        <v>46167</v>
      </c>
      <c r="D367" s="64">
        <v>61975</v>
      </c>
      <c r="E367" s="60">
        <v>45394</v>
      </c>
      <c r="F367" s="52" t="s">
        <v>120</v>
      </c>
      <c r="G367" s="18" t="s">
        <v>292</v>
      </c>
      <c r="H367" s="49" t="s">
        <v>129</v>
      </c>
      <c r="I367" s="49" t="s">
        <v>110</v>
      </c>
      <c r="J367" s="50" t="s">
        <v>47</v>
      </c>
      <c r="K367" s="15">
        <v>16.899999999999999</v>
      </c>
      <c r="L367" s="54">
        <v>476</v>
      </c>
      <c r="M367" s="53">
        <f t="shared" si="11"/>
        <v>8044.4</v>
      </c>
    </row>
    <row r="368" spans="1:13" x14ac:dyDescent="0.25">
      <c r="A368" s="21">
        <f>IF(C368="","",COUNTA($C$3:C368))</f>
        <v>366</v>
      </c>
      <c r="B368" s="35" t="str">
        <f t="shared" si="9"/>
        <v>May</v>
      </c>
      <c r="C368" s="33">
        <v>46167</v>
      </c>
      <c r="D368" s="64">
        <v>61975</v>
      </c>
      <c r="E368" s="60">
        <v>45394</v>
      </c>
      <c r="F368" s="52" t="s">
        <v>120</v>
      </c>
      <c r="G368" s="18" t="s">
        <v>292</v>
      </c>
      <c r="H368" s="49" t="s">
        <v>129</v>
      </c>
      <c r="I368" s="49" t="s">
        <v>295</v>
      </c>
      <c r="J368" s="50" t="s">
        <v>47</v>
      </c>
      <c r="K368" s="15">
        <v>31.8</v>
      </c>
      <c r="L368" s="54">
        <v>507</v>
      </c>
      <c r="M368" s="53">
        <f t="shared" si="11"/>
        <v>16122.6</v>
      </c>
    </row>
    <row r="369" spans="1:13" x14ac:dyDescent="0.25">
      <c r="A369" s="21">
        <f>IF(C369="","",COUNTA($C$3:C369))</f>
        <v>367</v>
      </c>
      <c r="B369" s="35" t="str">
        <f t="shared" si="9"/>
        <v>May</v>
      </c>
      <c r="C369" s="33">
        <v>46167</v>
      </c>
      <c r="D369" s="64">
        <v>61975</v>
      </c>
      <c r="E369" s="60">
        <v>45394</v>
      </c>
      <c r="F369" s="52" t="s">
        <v>120</v>
      </c>
      <c r="G369" s="18" t="s">
        <v>292</v>
      </c>
      <c r="H369" s="49" t="s">
        <v>129</v>
      </c>
      <c r="I369" s="49" t="s">
        <v>296</v>
      </c>
      <c r="J369" s="50" t="s">
        <v>47</v>
      </c>
      <c r="K369" s="15">
        <v>22.5</v>
      </c>
      <c r="L369" s="54">
        <v>594</v>
      </c>
      <c r="M369" s="53">
        <f t="shared" si="11"/>
        <v>13365</v>
      </c>
    </row>
    <row r="370" spans="1:13" x14ac:dyDescent="0.25">
      <c r="A370" s="21">
        <f>IF(C370="","",COUNTA($C$3:C370))</f>
        <v>368</v>
      </c>
      <c r="B370" s="35" t="str">
        <f t="shared" si="9"/>
        <v>May</v>
      </c>
      <c r="C370" s="33">
        <v>46167</v>
      </c>
      <c r="D370" s="64">
        <v>61975</v>
      </c>
      <c r="E370" s="60">
        <v>45394</v>
      </c>
      <c r="F370" s="52" t="s">
        <v>120</v>
      </c>
      <c r="G370" s="18" t="s">
        <v>292</v>
      </c>
      <c r="H370" s="49" t="s">
        <v>176</v>
      </c>
      <c r="I370" s="49" t="s">
        <v>86</v>
      </c>
      <c r="J370" s="50" t="s">
        <v>47</v>
      </c>
      <c r="K370" s="15">
        <v>16.8</v>
      </c>
      <c r="L370" s="53">
        <v>250</v>
      </c>
      <c r="M370" s="53">
        <f t="shared" si="11"/>
        <v>4200</v>
      </c>
    </row>
    <row r="371" spans="1:13" x14ac:dyDescent="0.25">
      <c r="A371" s="21">
        <f>IF(C371="","",COUNTA($C$3:C371))</f>
        <v>369</v>
      </c>
      <c r="B371" s="35" t="str">
        <f t="shared" si="9"/>
        <v>May</v>
      </c>
      <c r="C371" s="33">
        <v>46167</v>
      </c>
      <c r="D371" s="64">
        <v>61975</v>
      </c>
      <c r="E371" s="60">
        <v>45394</v>
      </c>
      <c r="F371" s="52" t="s">
        <v>120</v>
      </c>
      <c r="G371" s="18" t="s">
        <v>292</v>
      </c>
      <c r="H371" s="49" t="s">
        <v>176</v>
      </c>
      <c r="I371" s="49" t="s">
        <v>295</v>
      </c>
      <c r="J371" s="50" t="s">
        <v>47</v>
      </c>
      <c r="K371" s="15">
        <v>16.8</v>
      </c>
      <c r="L371" s="53">
        <v>360</v>
      </c>
      <c r="M371" s="53">
        <f t="shared" si="11"/>
        <v>6048</v>
      </c>
    </row>
    <row r="372" spans="1:13" x14ac:dyDescent="0.25">
      <c r="A372" s="21">
        <f>IF(C372="","",COUNTA($C$3:C372))</f>
        <v>370</v>
      </c>
      <c r="B372" s="35" t="str">
        <f t="shared" si="9"/>
        <v>May</v>
      </c>
      <c r="C372" s="33">
        <v>46167</v>
      </c>
      <c r="D372" s="64">
        <v>61975</v>
      </c>
      <c r="E372" s="60">
        <v>45394</v>
      </c>
      <c r="F372" s="52" t="s">
        <v>120</v>
      </c>
      <c r="G372" s="18" t="s">
        <v>292</v>
      </c>
      <c r="H372" s="49" t="s">
        <v>161</v>
      </c>
      <c r="I372" s="49" t="s">
        <v>78</v>
      </c>
      <c r="J372" s="50" t="s">
        <v>47</v>
      </c>
      <c r="K372" s="15">
        <v>15</v>
      </c>
      <c r="L372" s="53">
        <v>950</v>
      </c>
      <c r="M372" s="53">
        <f t="shared" si="11"/>
        <v>14250</v>
      </c>
    </row>
    <row r="373" spans="1:13" x14ac:dyDescent="0.25">
      <c r="A373" s="21">
        <f>IF(C373="","",COUNTA($C$3:C373))</f>
        <v>371</v>
      </c>
      <c r="B373" s="35" t="str">
        <f t="shared" si="9"/>
        <v>May</v>
      </c>
      <c r="C373" s="33">
        <v>46167</v>
      </c>
      <c r="D373" s="64">
        <v>61975</v>
      </c>
      <c r="E373" s="60">
        <v>45394</v>
      </c>
      <c r="F373" s="52" t="s">
        <v>120</v>
      </c>
      <c r="G373" s="18" t="s">
        <v>292</v>
      </c>
      <c r="H373" s="49" t="s">
        <v>139</v>
      </c>
      <c r="I373" s="49" t="s">
        <v>85</v>
      </c>
      <c r="J373" s="50" t="s">
        <v>47</v>
      </c>
      <c r="K373" s="15">
        <v>0.4</v>
      </c>
      <c r="L373" s="54">
        <v>6200</v>
      </c>
      <c r="M373" s="53">
        <f t="shared" si="11"/>
        <v>2480</v>
      </c>
    </row>
    <row r="374" spans="1:13" x14ac:dyDescent="0.25">
      <c r="A374" s="21">
        <f>IF(C374="","",COUNTA($C$3:C374))</f>
        <v>372</v>
      </c>
      <c r="B374" s="35" t="str">
        <f t="shared" si="9"/>
        <v>May</v>
      </c>
      <c r="C374" s="33">
        <v>46168</v>
      </c>
      <c r="D374" s="64">
        <v>61973</v>
      </c>
      <c r="E374" s="60">
        <v>45395</v>
      </c>
      <c r="F374" s="52" t="s">
        <v>120</v>
      </c>
      <c r="G374" s="52" t="s">
        <v>294</v>
      </c>
      <c r="H374" s="49" t="s">
        <v>38</v>
      </c>
      <c r="I374" s="49" t="s">
        <v>68</v>
      </c>
      <c r="J374" s="50" t="s">
        <v>47</v>
      </c>
      <c r="K374" s="15">
        <v>39.5</v>
      </c>
      <c r="L374" s="54">
        <v>670</v>
      </c>
      <c r="M374" s="53">
        <f t="shared" si="11"/>
        <v>26465</v>
      </c>
    </row>
    <row r="375" spans="1:13" x14ac:dyDescent="0.25">
      <c r="A375" s="21">
        <f>IF(C375="","",COUNTA($C$3:C375))</f>
        <v>373</v>
      </c>
      <c r="B375" s="35" t="str">
        <f t="shared" si="9"/>
        <v>May</v>
      </c>
      <c r="C375" s="33">
        <v>46168</v>
      </c>
      <c r="D375" s="64">
        <v>61973</v>
      </c>
      <c r="E375" s="60">
        <v>45395</v>
      </c>
      <c r="F375" s="52" t="s">
        <v>120</v>
      </c>
      <c r="G375" s="52" t="s">
        <v>294</v>
      </c>
      <c r="H375" s="49" t="s">
        <v>139</v>
      </c>
      <c r="I375" s="49" t="s">
        <v>39</v>
      </c>
      <c r="J375" s="50" t="s">
        <v>47</v>
      </c>
      <c r="K375" s="55">
        <v>0.4</v>
      </c>
      <c r="L375" s="54">
        <v>5200</v>
      </c>
      <c r="M375" s="53">
        <f t="shared" si="11"/>
        <v>2080</v>
      </c>
    </row>
    <row r="376" spans="1:13" x14ac:dyDescent="0.25">
      <c r="A376" s="21">
        <f>IF(C376="","",COUNTA($C$3:C376))</f>
        <v>374</v>
      </c>
      <c r="B376" s="35" t="str">
        <f t="shared" si="9"/>
        <v>May</v>
      </c>
      <c r="C376" s="33">
        <v>46168</v>
      </c>
      <c r="D376" s="64">
        <v>61973</v>
      </c>
      <c r="E376" s="60">
        <v>45395</v>
      </c>
      <c r="F376" s="52" t="s">
        <v>120</v>
      </c>
      <c r="G376" s="52" t="s">
        <v>294</v>
      </c>
      <c r="H376" s="49" t="s">
        <v>284</v>
      </c>
      <c r="I376" s="49" t="s">
        <v>69</v>
      </c>
      <c r="J376" s="50" t="s">
        <v>70</v>
      </c>
      <c r="K376" s="15">
        <v>18</v>
      </c>
      <c r="L376" s="53">
        <v>385</v>
      </c>
      <c r="M376" s="53">
        <f t="shared" si="11"/>
        <v>6930</v>
      </c>
    </row>
    <row r="377" spans="1:13" x14ac:dyDescent="0.25">
      <c r="A377" s="21">
        <f>IF(C377="","",COUNTA($C$3:C377))</f>
        <v>375</v>
      </c>
      <c r="B377" s="35" t="str">
        <f t="shared" si="9"/>
        <v>May</v>
      </c>
      <c r="C377" s="33">
        <v>46168</v>
      </c>
      <c r="D377" s="64">
        <v>61973</v>
      </c>
      <c r="E377" s="60">
        <v>45395</v>
      </c>
      <c r="F377" s="52" t="s">
        <v>120</v>
      </c>
      <c r="G377" s="52" t="s">
        <v>294</v>
      </c>
      <c r="H377" s="49" t="s">
        <v>161</v>
      </c>
      <c r="I377" s="49" t="s">
        <v>68</v>
      </c>
      <c r="J377" s="50" t="s">
        <v>47</v>
      </c>
      <c r="K377" s="55">
        <v>6</v>
      </c>
      <c r="L377" s="54">
        <v>495</v>
      </c>
      <c r="M377" s="53">
        <f t="shared" si="11"/>
        <v>2970</v>
      </c>
    </row>
    <row r="378" spans="1:13" x14ac:dyDescent="0.25">
      <c r="A378" s="21">
        <f>IF(C378="","",COUNTA($C$3:C378))</f>
        <v>376</v>
      </c>
      <c r="B378" s="35" t="str">
        <f t="shared" si="9"/>
        <v>May</v>
      </c>
      <c r="C378" s="33">
        <v>46168</v>
      </c>
      <c r="D378" s="64">
        <v>61967</v>
      </c>
      <c r="E378" s="60">
        <v>45396</v>
      </c>
      <c r="F378" s="52" t="s">
        <v>120</v>
      </c>
      <c r="G378" s="18" t="s">
        <v>263</v>
      </c>
      <c r="H378" s="49" t="s">
        <v>38</v>
      </c>
      <c r="I378" s="49" t="s">
        <v>68</v>
      </c>
      <c r="J378" s="50" t="s">
        <v>47</v>
      </c>
      <c r="K378" s="15">
        <v>92.6</v>
      </c>
      <c r="L378" s="53">
        <v>670</v>
      </c>
      <c r="M378" s="53">
        <f t="shared" si="11"/>
        <v>62041.999999999993</v>
      </c>
    </row>
    <row r="379" spans="1:13" x14ac:dyDescent="0.25">
      <c r="A379" s="21">
        <f>IF(C379="","",COUNTA($C$3:C379))</f>
        <v>377</v>
      </c>
      <c r="B379" s="35" t="str">
        <f t="shared" si="9"/>
        <v>May</v>
      </c>
      <c r="C379" s="33">
        <v>46168</v>
      </c>
      <c r="D379" s="64">
        <v>61967</v>
      </c>
      <c r="E379" s="60">
        <v>45396</v>
      </c>
      <c r="F379" s="52" t="s">
        <v>120</v>
      </c>
      <c r="G379" s="18" t="s">
        <v>263</v>
      </c>
      <c r="H379" s="49" t="s">
        <v>38</v>
      </c>
      <c r="I379" s="49" t="s">
        <v>69</v>
      </c>
      <c r="J379" s="50" t="s">
        <v>47</v>
      </c>
      <c r="K379" s="15">
        <v>207.1</v>
      </c>
      <c r="L379" s="53">
        <v>868</v>
      </c>
      <c r="M379" s="53">
        <f t="shared" si="11"/>
        <v>179762.8</v>
      </c>
    </row>
    <row r="380" spans="1:13" x14ac:dyDescent="0.25">
      <c r="A380" s="21">
        <f>IF(C380="","",COUNTA($C$3:C380))</f>
        <v>378</v>
      </c>
      <c r="B380" s="35" t="str">
        <f t="shared" si="9"/>
        <v>May</v>
      </c>
      <c r="C380" s="33">
        <v>46168</v>
      </c>
      <c r="D380" s="64">
        <v>61967</v>
      </c>
      <c r="E380" s="60">
        <v>45396</v>
      </c>
      <c r="F380" s="52" t="s">
        <v>120</v>
      </c>
      <c r="G380" s="18" t="s">
        <v>263</v>
      </c>
      <c r="H380" s="49" t="s">
        <v>38</v>
      </c>
      <c r="I380" s="49" t="s">
        <v>39</v>
      </c>
      <c r="J380" s="50" t="s">
        <v>47</v>
      </c>
      <c r="K380" s="15">
        <v>37.1</v>
      </c>
      <c r="L380" s="54">
        <v>1060</v>
      </c>
      <c r="M380" s="53">
        <f t="shared" si="11"/>
        <v>39326</v>
      </c>
    </row>
    <row r="381" spans="1:13" x14ac:dyDescent="0.25">
      <c r="A381" s="21">
        <f>IF(C381="","",COUNTA($C$3:C381))</f>
        <v>379</v>
      </c>
      <c r="B381" s="35" t="str">
        <f t="shared" si="9"/>
        <v>May</v>
      </c>
      <c r="C381" s="33">
        <v>46168</v>
      </c>
      <c r="D381" s="64">
        <v>61967</v>
      </c>
      <c r="E381" s="60">
        <v>45396</v>
      </c>
      <c r="F381" s="52" t="s">
        <v>120</v>
      </c>
      <c r="G381" s="18" t="s">
        <v>263</v>
      </c>
      <c r="H381" s="49" t="s">
        <v>129</v>
      </c>
      <c r="I381" s="49" t="s">
        <v>268</v>
      </c>
      <c r="J381" s="50" t="s">
        <v>47</v>
      </c>
      <c r="K381" s="15">
        <v>242</v>
      </c>
      <c r="L381" s="62">
        <v>415</v>
      </c>
      <c r="M381" s="53">
        <f t="shared" si="11"/>
        <v>100430</v>
      </c>
    </row>
    <row r="382" spans="1:13" x14ac:dyDescent="0.25">
      <c r="A382" s="21">
        <f>IF(C382="","",COUNTA($C$3:C382))</f>
        <v>380</v>
      </c>
      <c r="B382" s="35" t="str">
        <f t="shared" si="9"/>
        <v>May</v>
      </c>
      <c r="C382" s="33">
        <v>46168</v>
      </c>
      <c r="D382" s="64">
        <v>61967</v>
      </c>
      <c r="E382" s="60">
        <v>45396</v>
      </c>
      <c r="F382" s="52" t="s">
        <v>120</v>
      </c>
      <c r="G382" s="18" t="s">
        <v>263</v>
      </c>
      <c r="H382" s="49" t="s">
        <v>129</v>
      </c>
      <c r="I382" s="49" t="s">
        <v>84</v>
      </c>
      <c r="J382" s="50" t="s">
        <v>47</v>
      </c>
      <c r="K382" s="15">
        <v>94.8</v>
      </c>
      <c r="L382" s="53">
        <v>465</v>
      </c>
      <c r="M382" s="53">
        <f t="shared" si="11"/>
        <v>44082</v>
      </c>
    </row>
    <row r="383" spans="1:13" x14ac:dyDescent="0.25">
      <c r="A383" s="21">
        <f>IF(C383="","",COUNTA($C$3:C383))</f>
        <v>381</v>
      </c>
      <c r="B383" s="35" t="str">
        <f t="shared" si="9"/>
        <v>May</v>
      </c>
      <c r="C383" s="33">
        <v>46168</v>
      </c>
      <c r="D383" s="64">
        <v>61967</v>
      </c>
      <c r="E383" s="60">
        <v>45396</v>
      </c>
      <c r="F383" s="52" t="s">
        <v>120</v>
      </c>
      <c r="G383" s="18" t="s">
        <v>263</v>
      </c>
      <c r="H383" s="49" t="s">
        <v>176</v>
      </c>
      <c r="I383" s="49" t="s">
        <v>268</v>
      </c>
      <c r="J383" s="50" t="s">
        <v>47</v>
      </c>
      <c r="K383" s="55">
        <v>100.8</v>
      </c>
      <c r="L383" s="54">
        <v>251</v>
      </c>
      <c r="M383" s="53">
        <f t="shared" si="11"/>
        <v>25300.799999999999</v>
      </c>
    </row>
    <row r="384" spans="1:13" x14ac:dyDescent="0.25">
      <c r="A384" s="21">
        <f>IF(C384="","",COUNTA($C$3:C384))</f>
        <v>382</v>
      </c>
      <c r="B384" s="35" t="str">
        <f t="shared" si="9"/>
        <v>May</v>
      </c>
      <c r="C384" s="33">
        <v>46168</v>
      </c>
      <c r="D384" s="64">
        <v>61967</v>
      </c>
      <c r="E384" s="60">
        <v>45396</v>
      </c>
      <c r="F384" s="52" t="s">
        <v>120</v>
      </c>
      <c r="G384" s="18" t="s">
        <v>263</v>
      </c>
      <c r="H384" s="49" t="s">
        <v>161</v>
      </c>
      <c r="I384" s="49" t="s">
        <v>68</v>
      </c>
      <c r="J384" s="50" t="s">
        <v>47</v>
      </c>
      <c r="K384" s="55">
        <v>30</v>
      </c>
      <c r="L384" s="54">
        <v>495</v>
      </c>
      <c r="M384" s="53">
        <f t="shared" si="11"/>
        <v>14850</v>
      </c>
    </row>
    <row r="385" spans="1:19" x14ac:dyDescent="0.25">
      <c r="A385" s="21">
        <f>IF(C385="","",COUNTA($C$3:C385))</f>
        <v>383</v>
      </c>
      <c r="B385" s="35" t="str">
        <f t="shared" si="9"/>
        <v>May</v>
      </c>
      <c r="C385" s="33">
        <v>46168</v>
      </c>
      <c r="D385" s="64">
        <v>61967</v>
      </c>
      <c r="E385" s="60">
        <v>45396</v>
      </c>
      <c r="F385" s="52" t="s">
        <v>120</v>
      </c>
      <c r="G385" s="18" t="s">
        <v>263</v>
      </c>
      <c r="H385" s="49" t="s">
        <v>161</v>
      </c>
      <c r="I385" s="49" t="s">
        <v>69</v>
      </c>
      <c r="J385" s="50" t="s">
        <v>47</v>
      </c>
      <c r="K385" s="15">
        <v>15</v>
      </c>
      <c r="L385" s="53">
        <v>625</v>
      </c>
      <c r="M385" s="53">
        <f t="shared" si="11"/>
        <v>9375</v>
      </c>
    </row>
    <row r="386" spans="1:19" x14ac:dyDescent="0.25">
      <c r="A386" s="21">
        <f>IF(C386="","",COUNTA($C$3:C386))</f>
        <v>384</v>
      </c>
      <c r="B386" s="35" t="str">
        <f t="shared" si="9"/>
        <v>May</v>
      </c>
      <c r="C386" s="33">
        <v>46168</v>
      </c>
      <c r="D386" s="64">
        <v>61967</v>
      </c>
      <c r="E386" s="60">
        <v>45396</v>
      </c>
      <c r="F386" s="52" t="s">
        <v>120</v>
      </c>
      <c r="G386" s="18" t="s">
        <v>263</v>
      </c>
      <c r="H386" s="49" t="s">
        <v>130</v>
      </c>
      <c r="I386" s="49" t="s">
        <v>40</v>
      </c>
      <c r="J386" s="50" t="s">
        <v>47</v>
      </c>
      <c r="K386" s="15">
        <v>380</v>
      </c>
      <c r="L386" s="54">
        <v>20</v>
      </c>
      <c r="M386" s="53">
        <f t="shared" si="11"/>
        <v>7600</v>
      </c>
    </row>
    <row r="387" spans="1:19" x14ac:dyDescent="0.25">
      <c r="A387" s="21">
        <f>IF(C387="","",COUNTA($C$3:C387))</f>
        <v>385</v>
      </c>
      <c r="B387" s="35" t="str">
        <f t="shared" si="9"/>
        <v>May</v>
      </c>
      <c r="C387" s="33">
        <v>46170</v>
      </c>
      <c r="D387" s="64">
        <v>61840</v>
      </c>
      <c r="E387" s="60">
        <v>45397</v>
      </c>
      <c r="F387" s="52" t="s">
        <v>120</v>
      </c>
      <c r="G387" s="52" t="s">
        <v>222</v>
      </c>
      <c r="H387" s="49" t="s">
        <v>224</v>
      </c>
      <c r="I387" s="49" t="s">
        <v>89</v>
      </c>
      <c r="J387" s="50" t="s">
        <v>47</v>
      </c>
      <c r="K387" s="15">
        <v>1152.5999999999999</v>
      </c>
      <c r="L387" s="54">
        <v>475</v>
      </c>
      <c r="M387" s="53">
        <f t="shared" si="11"/>
        <v>547485</v>
      </c>
    </row>
    <row r="388" spans="1:19" x14ac:dyDescent="0.25">
      <c r="A388" s="21">
        <f>IF(C388="","",COUNTA($C$3:C388))</f>
        <v>386</v>
      </c>
      <c r="B388" s="35" t="str">
        <f t="shared" ref="B388:B404" si="12">IF(C388="","",TEXT(C388,"mmmm"))</f>
        <v>May</v>
      </c>
      <c r="C388" s="33">
        <v>46170</v>
      </c>
      <c r="D388" s="64">
        <v>61840</v>
      </c>
      <c r="E388" s="60">
        <v>45397</v>
      </c>
      <c r="F388" s="52" t="s">
        <v>120</v>
      </c>
      <c r="G388" s="52" t="s">
        <v>222</v>
      </c>
      <c r="H388" s="49" t="s">
        <v>224</v>
      </c>
      <c r="I388" s="49" t="s">
        <v>68</v>
      </c>
      <c r="J388" s="50" t="s">
        <v>47</v>
      </c>
      <c r="K388" s="15">
        <v>103.7</v>
      </c>
      <c r="L388" s="54">
        <v>525</v>
      </c>
      <c r="M388" s="53">
        <f t="shared" si="11"/>
        <v>54442.5</v>
      </c>
    </row>
    <row r="389" spans="1:19" x14ac:dyDescent="0.25">
      <c r="A389" s="21">
        <f>IF(C389="","",COUNTA($C$3:C389))</f>
        <v>387</v>
      </c>
      <c r="B389" s="35" t="str">
        <f t="shared" si="12"/>
        <v>May</v>
      </c>
      <c r="C389" s="33">
        <v>46170</v>
      </c>
      <c r="D389" s="64">
        <v>61840</v>
      </c>
      <c r="E389" s="60">
        <v>45397</v>
      </c>
      <c r="F389" s="52" t="s">
        <v>120</v>
      </c>
      <c r="G389" s="52" t="s">
        <v>222</v>
      </c>
      <c r="H389" s="49" t="s">
        <v>224</v>
      </c>
      <c r="I389" s="49" t="s">
        <v>69</v>
      </c>
      <c r="J389" s="50" t="s">
        <v>47</v>
      </c>
      <c r="K389" s="15">
        <v>87.6</v>
      </c>
      <c r="L389" s="54">
        <v>685</v>
      </c>
      <c r="M389" s="53">
        <f t="shared" si="11"/>
        <v>60005.999999999993</v>
      </c>
    </row>
    <row r="390" spans="1:19" x14ac:dyDescent="0.25">
      <c r="A390" s="21">
        <f>IF(C390="","",COUNTA($C$3:C390))</f>
        <v>388</v>
      </c>
      <c r="B390" s="35" t="str">
        <f t="shared" si="12"/>
        <v>May</v>
      </c>
      <c r="C390" s="33">
        <v>46170</v>
      </c>
      <c r="D390" s="64">
        <v>61840</v>
      </c>
      <c r="E390" s="60">
        <v>45397</v>
      </c>
      <c r="F390" s="52" t="s">
        <v>120</v>
      </c>
      <c r="G390" s="52" t="s">
        <v>222</v>
      </c>
      <c r="H390" s="49" t="s">
        <v>266</v>
      </c>
      <c r="I390" s="49" t="s">
        <v>266</v>
      </c>
      <c r="J390" s="50" t="s">
        <v>70</v>
      </c>
      <c r="K390" s="67">
        <v>1000</v>
      </c>
      <c r="L390" s="48">
        <v>10</v>
      </c>
      <c r="M390" s="53">
        <f t="shared" si="11"/>
        <v>10000</v>
      </c>
    </row>
    <row r="391" spans="1:19" x14ac:dyDescent="0.25">
      <c r="A391" s="21">
        <f>IF(C391="","",COUNTA($C$3:C391))</f>
        <v>389</v>
      </c>
      <c r="B391" s="35" t="str">
        <f t="shared" si="12"/>
        <v>May</v>
      </c>
      <c r="C391" s="33">
        <v>46170</v>
      </c>
      <c r="D391" s="64">
        <v>61840</v>
      </c>
      <c r="E391" s="60">
        <v>45397</v>
      </c>
      <c r="F391" s="52" t="s">
        <v>120</v>
      </c>
      <c r="G391" s="52" t="s">
        <v>222</v>
      </c>
      <c r="H391" s="49" t="s">
        <v>118</v>
      </c>
      <c r="I391" s="49" t="s">
        <v>118</v>
      </c>
      <c r="J391" s="50" t="s">
        <v>70</v>
      </c>
      <c r="K391" s="15">
        <v>2</v>
      </c>
      <c r="L391" s="54">
        <v>810</v>
      </c>
      <c r="M391" s="53">
        <f t="shared" si="11"/>
        <v>1620</v>
      </c>
    </row>
    <row r="392" spans="1:19" x14ac:dyDescent="0.25">
      <c r="A392" s="21">
        <f>IF(C392="","",COUNTA($C$3:C392))</f>
        <v>390</v>
      </c>
      <c r="B392" s="35" t="str">
        <f t="shared" si="12"/>
        <v>May</v>
      </c>
      <c r="C392" s="33">
        <v>46172</v>
      </c>
      <c r="D392" s="64">
        <v>61972</v>
      </c>
      <c r="E392" s="60">
        <v>45398</v>
      </c>
      <c r="F392" s="52" t="s">
        <v>120</v>
      </c>
      <c r="G392" s="52" t="s">
        <v>329</v>
      </c>
      <c r="H392" s="49" t="s">
        <v>38</v>
      </c>
      <c r="I392" s="49" t="s">
        <v>68</v>
      </c>
      <c r="J392" s="50" t="s">
        <v>47</v>
      </c>
      <c r="K392" s="55">
        <v>42.7</v>
      </c>
      <c r="L392" s="54">
        <v>670</v>
      </c>
      <c r="M392" s="53">
        <f t="shared" si="11"/>
        <v>28609.000000000004</v>
      </c>
    </row>
    <row r="393" spans="1:19" x14ac:dyDescent="0.25">
      <c r="A393" s="21">
        <f>IF(C393="","",COUNTA($C$3:C393))</f>
        <v>391</v>
      </c>
      <c r="B393" s="35" t="str">
        <f t="shared" si="12"/>
        <v>May</v>
      </c>
      <c r="C393" s="33">
        <v>46172</v>
      </c>
      <c r="D393" s="64">
        <v>61972</v>
      </c>
      <c r="E393" s="60">
        <v>45398</v>
      </c>
      <c r="F393" s="52" t="s">
        <v>120</v>
      </c>
      <c r="G393" s="52" t="s">
        <v>329</v>
      </c>
      <c r="H393" s="49" t="s">
        <v>38</v>
      </c>
      <c r="I393" s="49" t="s">
        <v>69</v>
      </c>
      <c r="J393" s="50" t="s">
        <v>47</v>
      </c>
      <c r="K393" s="15">
        <v>99.9</v>
      </c>
      <c r="L393" s="54">
        <v>868</v>
      </c>
      <c r="M393" s="53">
        <f t="shared" si="11"/>
        <v>86713.200000000012</v>
      </c>
    </row>
    <row r="394" spans="1:19" x14ac:dyDescent="0.25">
      <c r="A394" s="21">
        <f>IF(C394="","",COUNTA($C$3:C394))</f>
        <v>392</v>
      </c>
      <c r="B394" s="35" t="str">
        <f t="shared" si="12"/>
        <v>May</v>
      </c>
      <c r="C394" s="33">
        <v>46172</v>
      </c>
      <c r="D394" s="64">
        <v>61972</v>
      </c>
      <c r="E394" s="60">
        <v>45398</v>
      </c>
      <c r="F394" s="52" t="s">
        <v>120</v>
      </c>
      <c r="G394" s="52" t="s">
        <v>329</v>
      </c>
      <c r="H394" s="49" t="s">
        <v>38</v>
      </c>
      <c r="I394" s="49" t="s">
        <v>39</v>
      </c>
      <c r="J394" s="50" t="s">
        <v>47</v>
      </c>
      <c r="K394" s="15">
        <v>44.4</v>
      </c>
      <c r="L394" s="53">
        <v>1060</v>
      </c>
      <c r="M394" s="53">
        <f t="shared" si="11"/>
        <v>47064</v>
      </c>
    </row>
    <row r="395" spans="1:19" x14ac:dyDescent="0.25">
      <c r="A395" s="21">
        <f>IF(C395="","",COUNTA($C$3:C395))</f>
        <v>393</v>
      </c>
      <c r="B395" s="35" t="str">
        <f t="shared" si="12"/>
        <v>May</v>
      </c>
      <c r="C395" s="33">
        <v>46172</v>
      </c>
      <c r="D395" s="64">
        <v>61972</v>
      </c>
      <c r="E395" s="60">
        <v>45398</v>
      </c>
      <c r="F395" s="52" t="s">
        <v>120</v>
      </c>
      <c r="G395" s="52" t="s">
        <v>329</v>
      </c>
      <c r="H395" s="49" t="s">
        <v>271</v>
      </c>
      <c r="I395" s="49" t="s">
        <v>48</v>
      </c>
      <c r="J395" s="50" t="s">
        <v>47</v>
      </c>
      <c r="K395" s="15">
        <v>54.3</v>
      </c>
      <c r="L395" s="53">
        <v>620</v>
      </c>
      <c r="M395" s="53">
        <f t="shared" si="11"/>
        <v>33666</v>
      </c>
    </row>
    <row r="396" spans="1:19" x14ac:dyDescent="0.25">
      <c r="A396" s="21">
        <f>IF(C396="","",COUNTA($C$3:C396))</f>
        <v>394</v>
      </c>
      <c r="B396" s="35" t="str">
        <f t="shared" si="12"/>
        <v>May</v>
      </c>
      <c r="C396" s="33">
        <v>46172</v>
      </c>
      <c r="D396" s="64">
        <v>61972</v>
      </c>
      <c r="E396" s="60">
        <v>45398</v>
      </c>
      <c r="F396" s="52" t="s">
        <v>120</v>
      </c>
      <c r="G396" s="52" t="s">
        <v>329</v>
      </c>
      <c r="H396" s="49" t="s">
        <v>280</v>
      </c>
      <c r="I396" s="49" t="s">
        <v>49</v>
      </c>
      <c r="J396" s="50" t="s">
        <v>47</v>
      </c>
      <c r="K396" s="15">
        <v>2</v>
      </c>
      <c r="L396" s="54">
        <v>770</v>
      </c>
      <c r="M396" s="53">
        <f t="shared" si="11"/>
        <v>1540</v>
      </c>
    </row>
    <row r="397" spans="1:19" x14ac:dyDescent="0.25">
      <c r="A397" s="21">
        <f>IF(C397="","",COUNTA($C$3:C397))</f>
        <v>395</v>
      </c>
      <c r="B397" s="35" t="str">
        <f t="shared" si="12"/>
        <v>May</v>
      </c>
      <c r="C397" s="33">
        <v>46172</v>
      </c>
      <c r="D397" s="64">
        <v>61972</v>
      </c>
      <c r="E397" s="60">
        <v>45398</v>
      </c>
      <c r="F397" s="52" t="s">
        <v>120</v>
      </c>
      <c r="G397" s="52" t="s">
        <v>329</v>
      </c>
      <c r="H397" s="49" t="s">
        <v>129</v>
      </c>
      <c r="I397" s="49" t="s">
        <v>92</v>
      </c>
      <c r="J397" s="50" t="s">
        <v>47</v>
      </c>
      <c r="K397" s="55">
        <v>60</v>
      </c>
      <c r="L397" s="62">
        <v>703</v>
      </c>
      <c r="M397" s="53">
        <f t="shared" si="11"/>
        <v>42180</v>
      </c>
    </row>
    <row r="398" spans="1:19" x14ac:dyDescent="0.25">
      <c r="A398" s="21">
        <f>IF(C398="","",COUNTA($C$3:C398))</f>
        <v>396</v>
      </c>
      <c r="B398" s="35" t="str">
        <f t="shared" si="12"/>
        <v>May</v>
      </c>
      <c r="C398" s="33">
        <v>46172</v>
      </c>
      <c r="D398" s="64">
        <v>61972</v>
      </c>
      <c r="E398" s="60">
        <v>45398</v>
      </c>
      <c r="F398" s="52" t="s">
        <v>120</v>
      </c>
      <c r="G398" s="52" t="s">
        <v>329</v>
      </c>
      <c r="H398" s="49" t="s">
        <v>129</v>
      </c>
      <c r="I398" s="49" t="s">
        <v>75</v>
      </c>
      <c r="J398" s="50" t="s">
        <v>47</v>
      </c>
      <c r="K398" s="15">
        <v>10.3</v>
      </c>
      <c r="L398" s="62">
        <v>838</v>
      </c>
      <c r="M398" s="53">
        <f t="shared" si="11"/>
        <v>8631.4000000000015</v>
      </c>
    </row>
    <row r="399" spans="1:19" x14ac:dyDescent="0.25">
      <c r="A399" s="21">
        <f>IF(C399="","",COUNTA($C$3:C399))</f>
        <v>397</v>
      </c>
      <c r="B399" s="35" t="str">
        <f t="shared" si="12"/>
        <v>May</v>
      </c>
      <c r="C399" s="33">
        <v>46172</v>
      </c>
      <c r="D399" s="64">
        <v>61972</v>
      </c>
      <c r="E399" s="60">
        <v>45398</v>
      </c>
      <c r="F399" s="52" t="s">
        <v>120</v>
      </c>
      <c r="G399" s="52" t="s">
        <v>329</v>
      </c>
      <c r="H399" s="49" t="s">
        <v>331</v>
      </c>
      <c r="I399" s="49" t="s">
        <v>51</v>
      </c>
      <c r="J399" s="50" t="s">
        <v>70</v>
      </c>
      <c r="K399" s="15">
        <v>4</v>
      </c>
      <c r="L399" s="53">
        <v>1625</v>
      </c>
      <c r="M399" s="53">
        <f t="shared" si="11"/>
        <v>6500</v>
      </c>
    </row>
    <row r="400" spans="1:19" x14ac:dyDescent="0.25">
      <c r="A400" s="21">
        <f>IF(C400="","",COUNTA($C$3:C400))</f>
        <v>398</v>
      </c>
      <c r="B400" s="35" t="str">
        <f t="shared" si="12"/>
        <v>May</v>
      </c>
      <c r="C400" s="33">
        <v>46172</v>
      </c>
      <c r="D400" s="64">
        <v>61972</v>
      </c>
      <c r="E400" s="60">
        <v>45398</v>
      </c>
      <c r="F400" s="52" t="s">
        <v>120</v>
      </c>
      <c r="G400" s="52" t="s">
        <v>329</v>
      </c>
      <c r="H400" s="49" t="s">
        <v>330</v>
      </c>
      <c r="I400" s="49" t="s">
        <v>51</v>
      </c>
      <c r="J400" s="50" t="s">
        <v>70</v>
      </c>
      <c r="K400" s="15">
        <v>8</v>
      </c>
      <c r="L400" s="53">
        <v>780</v>
      </c>
      <c r="M400" s="53">
        <f t="shared" si="11"/>
        <v>6240</v>
      </c>
      <c r="R400" s="54"/>
      <c r="S400" s="54"/>
    </row>
    <row r="401" spans="1:13" x14ac:dyDescent="0.25">
      <c r="A401" s="21">
        <f>IF(C401="","",COUNTA($C$3:C401))</f>
        <v>399</v>
      </c>
      <c r="B401" s="35" t="str">
        <f t="shared" si="12"/>
        <v>May</v>
      </c>
      <c r="C401" s="33">
        <v>46172</v>
      </c>
      <c r="D401" s="64">
        <v>61972</v>
      </c>
      <c r="E401" s="60">
        <v>45398</v>
      </c>
      <c r="F401" s="52" t="s">
        <v>120</v>
      </c>
      <c r="G401" s="52" t="s">
        <v>329</v>
      </c>
      <c r="H401" s="49" t="s">
        <v>161</v>
      </c>
      <c r="I401" s="49" t="s">
        <v>68</v>
      </c>
      <c r="J401" s="50" t="s">
        <v>47</v>
      </c>
      <c r="K401" s="15">
        <v>60</v>
      </c>
      <c r="L401" s="53">
        <v>495</v>
      </c>
      <c r="M401" s="53">
        <f t="shared" si="11"/>
        <v>29700</v>
      </c>
    </row>
    <row r="402" spans="1:13" x14ac:dyDescent="0.25">
      <c r="A402" s="21">
        <f>IF(C402="","",COUNTA($C$3:C402))</f>
        <v>400</v>
      </c>
      <c r="B402" s="35" t="str">
        <f t="shared" si="12"/>
        <v>May</v>
      </c>
      <c r="C402" s="33">
        <v>46172</v>
      </c>
      <c r="D402" s="64">
        <v>61972</v>
      </c>
      <c r="E402" s="60">
        <v>45398</v>
      </c>
      <c r="F402" s="52" t="s">
        <v>120</v>
      </c>
      <c r="G402" s="52" t="s">
        <v>329</v>
      </c>
      <c r="H402" s="49" t="s">
        <v>91</v>
      </c>
      <c r="I402" s="49" t="s">
        <v>91</v>
      </c>
      <c r="J402" s="50" t="s">
        <v>137</v>
      </c>
      <c r="K402" s="15">
        <v>500</v>
      </c>
      <c r="L402" s="53">
        <v>8</v>
      </c>
      <c r="M402" s="53">
        <f t="shared" si="11"/>
        <v>4000</v>
      </c>
    </row>
    <row r="403" spans="1:13" x14ac:dyDescent="0.25">
      <c r="A403" s="21">
        <f>IF(C403="","",COUNTA($C$3:C403))</f>
        <v>401</v>
      </c>
      <c r="B403" s="35" t="str">
        <f t="shared" si="12"/>
        <v>May</v>
      </c>
      <c r="C403" s="33">
        <v>46172</v>
      </c>
      <c r="D403" s="64">
        <v>61768</v>
      </c>
      <c r="E403" s="60">
        <v>45399</v>
      </c>
      <c r="F403" s="18" t="s">
        <v>144</v>
      </c>
      <c r="G403" s="18" t="s">
        <v>146</v>
      </c>
      <c r="H403" s="49" t="s">
        <v>143</v>
      </c>
      <c r="I403" s="49" t="s">
        <v>332</v>
      </c>
      <c r="J403" s="50" t="s">
        <v>70</v>
      </c>
      <c r="K403" s="15">
        <v>5000</v>
      </c>
      <c r="L403" s="53">
        <v>8</v>
      </c>
      <c r="M403" s="53">
        <f t="shared" si="11"/>
        <v>40000</v>
      </c>
    </row>
    <row r="404" spans="1:13" x14ac:dyDescent="0.25">
      <c r="A404" s="21">
        <f>IF(C404="","",COUNTA($C$3:C404))</f>
        <v>402</v>
      </c>
      <c r="B404" s="35" t="str">
        <f t="shared" si="12"/>
        <v>May</v>
      </c>
      <c r="C404" s="33">
        <v>46172</v>
      </c>
      <c r="D404" s="64">
        <v>61768</v>
      </c>
      <c r="E404" s="60">
        <v>45399</v>
      </c>
      <c r="F404" s="18" t="s">
        <v>144</v>
      </c>
      <c r="G404" s="18" t="s">
        <v>146</v>
      </c>
      <c r="H404" s="49" t="s">
        <v>143</v>
      </c>
      <c r="I404" s="49" t="s">
        <v>333</v>
      </c>
      <c r="J404" s="50" t="s">
        <v>70</v>
      </c>
      <c r="K404" s="15">
        <v>100</v>
      </c>
      <c r="L404" s="53">
        <v>36</v>
      </c>
      <c r="M404" s="53">
        <f t="shared" si="11"/>
        <v>3600</v>
      </c>
    </row>
    <row r="405" spans="1:13" x14ac:dyDescent="0.25">
      <c r="A405" s="21">
        <f>IF(C405="","",COUNTA($C$3:C405))</f>
        <v>403</v>
      </c>
      <c r="B405" s="35" t="str">
        <f t="shared" ref="B405:B468" si="13">IF(C405="","",TEXT(C405,"mmmm"))</f>
        <v>June</v>
      </c>
      <c r="C405" s="33">
        <v>46174</v>
      </c>
      <c r="D405" s="64">
        <v>61977</v>
      </c>
      <c r="E405" s="60">
        <v>45400</v>
      </c>
      <c r="F405" s="52" t="s">
        <v>120</v>
      </c>
      <c r="G405" s="18" t="s">
        <v>341</v>
      </c>
      <c r="H405" s="49" t="s">
        <v>271</v>
      </c>
      <c r="I405" s="49" t="s">
        <v>48</v>
      </c>
      <c r="J405" s="50" t="s">
        <v>47</v>
      </c>
      <c r="K405" s="15">
        <v>306</v>
      </c>
      <c r="L405" s="53">
        <v>620</v>
      </c>
      <c r="M405" s="53">
        <f t="shared" ref="M405:M468" si="14">K405*L405</f>
        <v>189720</v>
      </c>
    </row>
    <row r="406" spans="1:13" x14ac:dyDescent="0.25">
      <c r="A406" s="21">
        <f>IF(C406="","",COUNTA($C$3:C406))</f>
        <v>404</v>
      </c>
      <c r="B406" s="35" t="str">
        <f t="shared" si="13"/>
        <v>June</v>
      </c>
      <c r="C406" s="33">
        <v>46174</v>
      </c>
      <c r="D406" s="64">
        <v>61978</v>
      </c>
      <c r="E406" s="60">
        <v>45401</v>
      </c>
      <c r="F406" s="52" t="s">
        <v>120</v>
      </c>
      <c r="G406" s="18" t="s">
        <v>337</v>
      </c>
      <c r="H406" s="49" t="s">
        <v>38</v>
      </c>
      <c r="I406" s="49" t="s">
        <v>68</v>
      </c>
      <c r="J406" s="50" t="s">
        <v>47</v>
      </c>
      <c r="K406" s="55">
        <v>33.299999999999997</v>
      </c>
      <c r="L406" s="54">
        <v>670</v>
      </c>
      <c r="M406" s="53">
        <f t="shared" si="14"/>
        <v>22310.999999999996</v>
      </c>
    </row>
    <row r="407" spans="1:13" x14ac:dyDescent="0.25">
      <c r="A407" s="21">
        <f>IF(C407="","",COUNTA($C$3:C407))</f>
        <v>405</v>
      </c>
      <c r="B407" s="35" t="str">
        <f t="shared" si="13"/>
        <v>June</v>
      </c>
      <c r="C407" s="33">
        <v>46174</v>
      </c>
      <c r="D407" s="64">
        <v>61978</v>
      </c>
      <c r="E407" s="60">
        <v>45401</v>
      </c>
      <c r="F407" s="52" t="s">
        <v>120</v>
      </c>
      <c r="G407" s="18" t="s">
        <v>337</v>
      </c>
      <c r="H407" s="49" t="s">
        <v>38</v>
      </c>
      <c r="I407" s="49" t="s">
        <v>69</v>
      </c>
      <c r="J407" s="50" t="s">
        <v>47</v>
      </c>
      <c r="K407" s="15">
        <v>3.6</v>
      </c>
      <c r="L407" s="53">
        <v>868</v>
      </c>
      <c r="M407" s="53">
        <f t="shared" si="14"/>
        <v>3124.8</v>
      </c>
    </row>
    <row r="408" spans="1:13" x14ac:dyDescent="0.25">
      <c r="A408" s="21">
        <f>IF(C408="","",COUNTA($C$3:C408))</f>
        <v>406</v>
      </c>
      <c r="B408" s="35" t="str">
        <f t="shared" si="13"/>
        <v>June</v>
      </c>
      <c r="C408" s="33">
        <v>46174</v>
      </c>
      <c r="D408" s="64">
        <v>61978</v>
      </c>
      <c r="E408" s="60">
        <v>45401</v>
      </c>
      <c r="F408" s="52" t="s">
        <v>120</v>
      </c>
      <c r="G408" s="18" t="s">
        <v>337</v>
      </c>
      <c r="H408" s="49" t="s">
        <v>139</v>
      </c>
      <c r="I408" s="49" t="s">
        <v>39</v>
      </c>
      <c r="J408" s="50" t="s">
        <v>47</v>
      </c>
      <c r="K408" s="55">
        <v>0.6</v>
      </c>
      <c r="L408" s="54">
        <v>5200</v>
      </c>
      <c r="M408" s="53">
        <f t="shared" si="14"/>
        <v>3120</v>
      </c>
    </row>
    <row r="409" spans="1:13" x14ac:dyDescent="0.25">
      <c r="A409" s="21">
        <f>IF(C409="","",COUNTA($C$3:C409))</f>
        <v>407</v>
      </c>
      <c r="B409" s="35" t="str">
        <f t="shared" si="13"/>
        <v>June</v>
      </c>
      <c r="C409" s="33">
        <v>46174</v>
      </c>
      <c r="D409" s="64">
        <v>61978</v>
      </c>
      <c r="E409" s="60">
        <v>45401</v>
      </c>
      <c r="F409" s="52" t="s">
        <v>120</v>
      </c>
      <c r="G409" s="18" t="s">
        <v>337</v>
      </c>
      <c r="H409" s="49" t="s">
        <v>129</v>
      </c>
      <c r="I409" s="49" t="s">
        <v>80</v>
      </c>
      <c r="J409" s="50" t="s">
        <v>47</v>
      </c>
      <c r="K409" s="15">
        <v>33.299999999999997</v>
      </c>
      <c r="L409" s="54">
        <v>345</v>
      </c>
      <c r="M409" s="53">
        <f t="shared" si="14"/>
        <v>11488.499999999998</v>
      </c>
    </row>
    <row r="410" spans="1:13" x14ac:dyDescent="0.25">
      <c r="A410" s="21">
        <f>IF(C410="","",COUNTA($C$3:C410))</f>
        <v>408</v>
      </c>
      <c r="B410" s="35" t="str">
        <f t="shared" si="13"/>
        <v>June</v>
      </c>
      <c r="C410" s="33">
        <v>46174</v>
      </c>
      <c r="D410" s="64">
        <v>61978</v>
      </c>
      <c r="E410" s="60">
        <v>45401</v>
      </c>
      <c r="F410" s="52" t="s">
        <v>120</v>
      </c>
      <c r="G410" s="18" t="s">
        <v>337</v>
      </c>
      <c r="H410" s="49" t="s">
        <v>129</v>
      </c>
      <c r="I410" s="49" t="s">
        <v>79</v>
      </c>
      <c r="J410" s="50" t="s">
        <v>47</v>
      </c>
      <c r="K410" s="67">
        <v>3.6</v>
      </c>
      <c r="L410" s="48">
        <v>615</v>
      </c>
      <c r="M410" s="53">
        <f t="shared" si="14"/>
        <v>2214</v>
      </c>
    </row>
    <row r="411" spans="1:13" x14ac:dyDescent="0.25">
      <c r="A411" s="21">
        <f>IF(C411="","",COUNTA($C$3:C411))</f>
        <v>409</v>
      </c>
      <c r="B411" s="35" t="str">
        <f t="shared" si="13"/>
        <v>June</v>
      </c>
      <c r="C411" s="33">
        <v>46174</v>
      </c>
      <c r="D411" s="64">
        <v>61978</v>
      </c>
      <c r="E411" s="60">
        <v>45401</v>
      </c>
      <c r="F411" s="52" t="s">
        <v>120</v>
      </c>
      <c r="G411" s="18" t="s">
        <v>337</v>
      </c>
      <c r="H411" s="49" t="s">
        <v>176</v>
      </c>
      <c r="I411" s="49" t="s">
        <v>80</v>
      </c>
      <c r="J411" s="50" t="s">
        <v>47</v>
      </c>
      <c r="K411" s="15">
        <v>50.4</v>
      </c>
      <c r="L411" s="53">
        <v>190</v>
      </c>
      <c r="M411" s="53">
        <f t="shared" si="14"/>
        <v>9576</v>
      </c>
    </row>
    <row r="412" spans="1:13" x14ac:dyDescent="0.25">
      <c r="A412" s="21">
        <f>IF(C412="","",COUNTA($C$3:C412))</f>
        <v>410</v>
      </c>
      <c r="B412" s="35" t="str">
        <f t="shared" si="13"/>
        <v>June</v>
      </c>
      <c r="C412" s="33">
        <v>46174</v>
      </c>
      <c r="D412" s="64">
        <v>61978</v>
      </c>
      <c r="E412" s="60">
        <v>45401</v>
      </c>
      <c r="F412" s="52" t="s">
        <v>120</v>
      </c>
      <c r="G412" s="18" t="s">
        <v>337</v>
      </c>
      <c r="H412" s="49" t="s">
        <v>129</v>
      </c>
      <c r="I412" s="49" t="s">
        <v>79</v>
      </c>
      <c r="J412" s="50" t="s">
        <v>47</v>
      </c>
      <c r="K412" s="15">
        <v>10</v>
      </c>
      <c r="L412" s="53">
        <v>425</v>
      </c>
      <c r="M412" s="53">
        <f t="shared" si="14"/>
        <v>4250</v>
      </c>
    </row>
    <row r="413" spans="1:13" x14ac:dyDescent="0.25">
      <c r="A413" s="21">
        <f>IF(C413="","",COUNTA($C$3:C413))</f>
        <v>411</v>
      </c>
      <c r="B413" s="35" t="str">
        <f t="shared" si="13"/>
        <v>June</v>
      </c>
      <c r="C413" s="33">
        <v>46174</v>
      </c>
      <c r="D413" s="64">
        <v>61978</v>
      </c>
      <c r="E413" s="60">
        <v>45401</v>
      </c>
      <c r="F413" s="52" t="s">
        <v>120</v>
      </c>
      <c r="G413" s="18" t="s">
        <v>337</v>
      </c>
      <c r="H413" s="49" t="s">
        <v>161</v>
      </c>
      <c r="I413" s="49" t="s">
        <v>68</v>
      </c>
      <c r="J413" s="50" t="s">
        <v>47</v>
      </c>
      <c r="K413" s="15">
        <v>45</v>
      </c>
      <c r="L413" s="53">
        <v>495</v>
      </c>
      <c r="M413" s="53">
        <f t="shared" si="14"/>
        <v>22275</v>
      </c>
    </row>
    <row r="414" spans="1:13" x14ac:dyDescent="0.25">
      <c r="A414" s="21">
        <f>IF(C414="","",COUNTA($C$3:C414))</f>
        <v>412</v>
      </c>
      <c r="B414" s="35" t="str">
        <f t="shared" si="13"/>
        <v>June</v>
      </c>
      <c r="C414" s="33">
        <v>46174</v>
      </c>
      <c r="D414" s="64">
        <v>61978</v>
      </c>
      <c r="E414" s="60">
        <v>45401</v>
      </c>
      <c r="F414" s="52" t="s">
        <v>120</v>
      </c>
      <c r="G414" s="18" t="s">
        <v>337</v>
      </c>
      <c r="H414" s="49" t="s">
        <v>200</v>
      </c>
      <c r="I414" s="49" t="s">
        <v>69</v>
      </c>
      <c r="J414" s="50" t="s">
        <v>70</v>
      </c>
      <c r="K414" s="15">
        <v>15</v>
      </c>
      <c r="L414" s="54">
        <v>440</v>
      </c>
      <c r="M414" s="53">
        <f t="shared" si="14"/>
        <v>6600</v>
      </c>
    </row>
    <row r="415" spans="1:13" x14ac:dyDescent="0.25">
      <c r="A415" s="21">
        <f>IF(C415="","",COUNTA($C$3:C415))</f>
        <v>413</v>
      </c>
      <c r="B415" s="35" t="str">
        <f t="shared" si="13"/>
        <v>June</v>
      </c>
      <c r="C415" s="33">
        <v>46174</v>
      </c>
      <c r="D415" s="64">
        <v>61978</v>
      </c>
      <c r="E415" s="60">
        <v>45401</v>
      </c>
      <c r="F415" s="52" t="s">
        <v>120</v>
      </c>
      <c r="G415" s="18" t="s">
        <v>337</v>
      </c>
      <c r="H415" s="49" t="s">
        <v>240</v>
      </c>
      <c r="I415" s="49" t="s">
        <v>68</v>
      </c>
      <c r="J415" s="50" t="s">
        <v>70</v>
      </c>
      <c r="K415" s="55">
        <v>20</v>
      </c>
      <c r="L415" s="54">
        <v>755</v>
      </c>
      <c r="M415" s="53">
        <f t="shared" si="14"/>
        <v>15100</v>
      </c>
    </row>
    <row r="416" spans="1:13" x14ac:dyDescent="0.25">
      <c r="A416" s="21">
        <f>IF(C416="","",COUNTA($C$3:C416))</f>
        <v>414</v>
      </c>
      <c r="B416" s="35" t="str">
        <f t="shared" si="13"/>
        <v>June</v>
      </c>
      <c r="C416" s="33">
        <v>46174</v>
      </c>
      <c r="D416" s="64">
        <v>61978</v>
      </c>
      <c r="E416" s="60">
        <v>45401</v>
      </c>
      <c r="F416" s="52" t="s">
        <v>120</v>
      </c>
      <c r="G416" s="18" t="s">
        <v>337</v>
      </c>
      <c r="H416" s="49" t="s">
        <v>130</v>
      </c>
      <c r="I416" s="49" t="s">
        <v>40</v>
      </c>
      <c r="J416" s="50" t="s">
        <v>47</v>
      </c>
      <c r="K416" s="55">
        <v>40</v>
      </c>
      <c r="L416" s="54">
        <v>20</v>
      </c>
      <c r="M416" s="53">
        <f t="shared" si="14"/>
        <v>800</v>
      </c>
    </row>
    <row r="417" spans="1:17" x14ac:dyDescent="0.25">
      <c r="A417" s="21">
        <f>IF(C417="","",COUNTA($C$3:C417))</f>
        <v>415</v>
      </c>
      <c r="B417" s="35" t="str">
        <f t="shared" si="13"/>
        <v>June</v>
      </c>
      <c r="C417" s="33">
        <v>46174</v>
      </c>
      <c r="D417" s="64">
        <v>61976</v>
      </c>
      <c r="E417" s="60">
        <v>45402</v>
      </c>
      <c r="F417" s="52" t="s">
        <v>120</v>
      </c>
      <c r="G417" s="18" t="s">
        <v>134</v>
      </c>
      <c r="H417" s="49" t="s">
        <v>342</v>
      </c>
      <c r="I417" s="49" t="s">
        <v>68</v>
      </c>
      <c r="J417" s="50" t="s">
        <v>70</v>
      </c>
      <c r="K417" s="15">
        <v>168</v>
      </c>
      <c r="L417" s="53">
        <v>420</v>
      </c>
      <c r="M417" s="53">
        <f t="shared" si="14"/>
        <v>70560</v>
      </c>
      <c r="O417" s="59"/>
      <c r="P417" s="71"/>
      <c r="Q417" s="59"/>
    </row>
    <row r="418" spans="1:17" x14ac:dyDescent="0.25">
      <c r="A418" s="21">
        <f>IF(C418="","",COUNTA($C$3:C418))</f>
        <v>416</v>
      </c>
      <c r="B418" s="35" t="str">
        <f t="shared" si="13"/>
        <v>June</v>
      </c>
      <c r="C418" s="33">
        <v>46174</v>
      </c>
      <c r="D418" s="64">
        <v>61976</v>
      </c>
      <c r="E418" s="60">
        <v>45402</v>
      </c>
      <c r="F418" s="52" t="s">
        <v>120</v>
      </c>
      <c r="G418" s="18" t="s">
        <v>134</v>
      </c>
      <c r="H418" s="49" t="s">
        <v>343</v>
      </c>
      <c r="I418" s="49" t="s">
        <v>68</v>
      </c>
      <c r="J418" s="50" t="s">
        <v>70</v>
      </c>
      <c r="K418" s="15">
        <v>387</v>
      </c>
      <c r="L418" s="53">
        <v>435</v>
      </c>
      <c r="M418" s="53">
        <f t="shared" si="14"/>
        <v>168345</v>
      </c>
      <c r="O418" s="59"/>
      <c r="P418" s="112"/>
      <c r="Q418" s="59"/>
    </row>
    <row r="419" spans="1:17" x14ac:dyDescent="0.25">
      <c r="A419" s="21">
        <f>IF(C419="","",COUNTA($C$3:C419))</f>
        <v>417</v>
      </c>
      <c r="B419" s="35" t="str">
        <f t="shared" si="13"/>
        <v>June</v>
      </c>
      <c r="C419" s="33">
        <v>46174</v>
      </c>
      <c r="D419" s="64">
        <v>61976</v>
      </c>
      <c r="E419" s="60">
        <v>45402</v>
      </c>
      <c r="F419" s="52" t="s">
        <v>120</v>
      </c>
      <c r="G419" s="18" t="s">
        <v>134</v>
      </c>
      <c r="H419" s="49" t="s">
        <v>344</v>
      </c>
      <c r="I419" s="49" t="s">
        <v>68</v>
      </c>
      <c r="J419" s="50" t="s">
        <v>70</v>
      </c>
      <c r="K419" s="15">
        <v>20</v>
      </c>
      <c r="L419" s="53">
        <v>693</v>
      </c>
      <c r="M419" s="53">
        <f t="shared" si="14"/>
        <v>13860</v>
      </c>
      <c r="O419" s="59"/>
      <c r="P419" s="59"/>
      <c r="Q419" s="59"/>
    </row>
    <row r="420" spans="1:17" x14ac:dyDescent="0.25">
      <c r="A420" s="21">
        <f>IF(C420="","",COUNTA($C$3:C420))</f>
        <v>418</v>
      </c>
      <c r="B420" s="35" t="str">
        <f t="shared" si="13"/>
        <v>June</v>
      </c>
      <c r="C420" s="33">
        <v>46174</v>
      </c>
      <c r="D420" s="64">
        <v>61976</v>
      </c>
      <c r="E420" s="60">
        <v>45402</v>
      </c>
      <c r="F420" s="52" t="s">
        <v>120</v>
      </c>
      <c r="G420" s="18" t="s">
        <v>134</v>
      </c>
      <c r="H420" s="49" t="s">
        <v>345</v>
      </c>
      <c r="I420" s="49" t="s">
        <v>68</v>
      </c>
      <c r="J420" s="50" t="s">
        <v>70</v>
      </c>
      <c r="K420" s="15">
        <v>83</v>
      </c>
      <c r="L420" s="53">
        <v>660</v>
      </c>
      <c r="M420" s="53">
        <f t="shared" si="14"/>
        <v>54780</v>
      </c>
      <c r="O420" s="59"/>
      <c r="P420" s="117"/>
      <c r="Q420" s="59"/>
    </row>
    <row r="421" spans="1:17" x14ac:dyDescent="0.25">
      <c r="A421" s="21">
        <f>IF(C421="","",COUNTA($C$3:C421))</f>
        <v>419</v>
      </c>
      <c r="B421" s="35" t="str">
        <f t="shared" si="13"/>
        <v>June</v>
      </c>
      <c r="C421" s="33">
        <v>46174</v>
      </c>
      <c r="D421" s="64">
        <v>61976</v>
      </c>
      <c r="E421" s="60">
        <v>45402</v>
      </c>
      <c r="F421" s="52" t="s">
        <v>120</v>
      </c>
      <c r="G421" s="18" t="s">
        <v>134</v>
      </c>
      <c r="H421" s="49" t="s">
        <v>129</v>
      </c>
      <c r="I421" s="49" t="s">
        <v>140</v>
      </c>
      <c r="J421" s="50" t="s">
        <v>47</v>
      </c>
      <c r="K421" s="15">
        <f>66.67+337.85711+14.6+69.6371</f>
        <v>488.76421000000005</v>
      </c>
      <c r="L421" s="62">
        <v>441</v>
      </c>
      <c r="M421" s="53">
        <f t="shared" si="14"/>
        <v>215545.01661000002</v>
      </c>
      <c r="O421" s="59"/>
    </row>
    <row r="422" spans="1:17" x14ac:dyDescent="0.25">
      <c r="A422" s="21">
        <f>IF(C422="","",COUNTA($C$3:C422))</f>
        <v>420</v>
      </c>
      <c r="B422" s="35" t="str">
        <f t="shared" si="13"/>
        <v>June</v>
      </c>
      <c r="C422" s="33">
        <v>46174</v>
      </c>
      <c r="D422" s="64">
        <v>61976</v>
      </c>
      <c r="E422" s="60">
        <v>45402</v>
      </c>
      <c r="F422" s="52" t="s">
        <v>120</v>
      </c>
      <c r="G422" s="18" t="s">
        <v>134</v>
      </c>
      <c r="H422" s="49" t="s">
        <v>275</v>
      </c>
      <c r="I422" s="49" t="s">
        <v>99</v>
      </c>
      <c r="J422" s="50" t="s">
        <v>70</v>
      </c>
      <c r="K422" s="15">
        <v>130</v>
      </c>
      <c r="L422" s="54">
        <v>190</v>
      </c>
      <c r="M422" s="53">
        <f t="shared" si="14"/>
        <v>24700</v>
      </c>
    </row>
    <row r="423" spans="1:17" x14ac:dyDescent="0.25">
      <c r="A423" s="21">
        <f>IF(C423="","",COUNTA($C$3:C423))</f>
        <v>421</v>
      </c>
      <c r="B423" s="35" t="str">
        <f t="shared" si="13"/>
        <v>June</v>
      </c>
      <c r="C423" s="33">
        <v>46175</v>
      </c>
      <c r="D423" s="64">
        <v>61974</v>
      </c>
      <c r="E423" s="60">
        <v>45403</v>
      </c>
      <c r="F423" s="52" t="s">
        <v>120</v>
      </c>
      <c r="G423" s="18" t="s">
        <v>290</v>
      </c>
      <c r="H423" s="49" t="s">
        <v>176</v>
      </c>
      <c r="I423" s="49" t="s">
        <v>86</v>
      </c>
      <c r="J423" s="50" t="s">
        <v>47</v>
      </c>
      <c r="K423" s="15">
        <v>16.8</v>
      </c>
      <c r="L423" s="53">
        <v>250</v>
      </c>
      <c r="M423" s="53">
        <f t="shared" si="14"/>
        <v>4200</v>
      </c>
    </row>
    <row r="424" spans="1:17" x14ac:dyDescent="0.25">
      <c r="A424" s="21">
        <f>IF(C424="","",COUNTA($C$3:C424))</f>
        <v>422</v>
      </c>
      <c r="B424" s="35" t="str">
        <f t="shared" si="13"/>
        <v>June</v>
      </c>
      <c r="C424" s="33">
        <v>46175</v>
      </c>
      <c r="D424" s="64">
        <v>61974</v>
      </c>
      <c r="E424" s="60">
        <v>45403</v>
      </c>
      <c r="F424" s="52" t="s">
        <v>120</v>
      </c>
      <c r="G424" s="18" t="s">
        <v>290</v>
      </c>
      <c r="H424" s="49" t="s">
        <v>176</v>
      </c>
      <c r="I424" s="49" t="s">
        <v>295</v>
      </c>
      <c r="J424" s="50" t="s">
        <v>47</v>
      </c>
      <c r="K424" s="15">
        <v>16.8</v>
      </c>
      <c r="L424" s="53">
        <v>360</v>
      </c>
      <c r="M424" s="53">
        <f t="shared" si="14"/>
        <v>6048</v>
      </c>
    </row>
    <row r="425" spans="1:17" x14ac:dyDescent="0.25">
      <c r="A425" s="21">
        <f>IF(C425="","",COUNTA($C$3:C425))</f>
        <v>423</v>
      </c>
      <c r="B425" s="35" t="str">
        <f t="shared" si="13"/>
        <v>June</v>
      </c>
      <c r="C425" s="33">
        <v>46175</v>
      </c>
      <c r="D425" s="64">
        <v>61974</v>
      </c>
      <c r="E425" s="60">
        <v>45403</v>
      </c>
      <c r="F425" s="52" t="s">
        <v>120</v>
      </c>
      <c r="G425" s="18" t="s">
        <v>290</v>
      </c>
      <c r="H425" s="49" t="s">
        <v>161</v>
      </c>
      <c r="I425" s="49" t="s">
        <v>78</v>
      </c>
      <c r="J425" s="50" t="s">
        <v>47</v>
      </c>
      <c r="K425" s="15">
        <v>18</v>
      </c>
      <c r="L425" s="53">
        <v>950</v>
      </c>
      <c r="M425" s="53">
        <f t="shared" si="14"/>
        <v>17100</v>
      </c>
    </row>
    <row r="426" spans="1:17" x14ac:dyDescent="0.25">
      <c r="A426" s="21">
        <f>IF(C426="","",COUNTA($C$3:C426))</f>
        <v>424</v>
      </c>
      <c r="B426" s="35" t="str">
        <f t="shared" si="13"/>
        <v>June</v>
      </c>
      <c r="C426" s="33">
        <v>46176</v>
      </c>
      <c r="D426" s="64">
        <v>61976</v>
      </c>
      <c r="E426" s="60">
        <v>45404</v>
      </c>
      <c r="F426" s="52" t="s">
        <v>120</v>
      </c>
      <c r="G426" s="18" t="s">
        <v>134</v>
      </c>
      <c r="H426" s="49" t="s">
        <v>342</v>
      </c>
      <c r="I426" s="49" t="s">
        <v>68</v>
      </c>
      <c r="J426" s="50" t="s">
        <v>70</v>
      </c>
      <c r="K426" s="15">
        <v>59</v>
      </c>
      <c r="L426" s="53">
        <v>420</v>
      </c>
      <c r="M426" s="53">
        <f t="shared" si="14"/>
        <v>24780</v>
      </c>
      <c r="O426" s="59"/>
      <c r="P426" s="71"/>
      <c r="Q426" s="59"/>
    </row>
    <row r="427" spans="1:17" x14ac:dyDescent="0.25">
      <c r="A427" s="21">
        <f>IF(C427="","",COUNTA($C$3:C427))</f>
        <v>425</v>
      </c>
      <c r="B427" s="35" t="str">
        <f t="shared" si="13"/>
        <v>June</v>
      </c>
      <c r="C427" s="33">
        <v>46176</v>
      </c>
      <c r="D427" s="64">
        <v>61976</v>
      </c>
      <c r="E427" s="60">
        <v>45404</v>
      </c>
      <c r="F427" s="52" t="s">
        <v>120</v>
      </c>
      <c r="G427" s="18" t="s">
        <v>134</v>
      </c>
      <c r="H427" s="49" t="s">
        <v>348</v>
      </c>
      <c r="I427" s="49" t="s">
        <v>68</v>
      </c>
      <c r="J427" s="50" t="s">
        <v>70</v>
      </c>
      <c r="K427" s="15">
        <v>14</v>
      </c>
      <c r="L427" s="53">
        <v>508</v>
      </c>
      <c r="M427" s="53">
        <f t="shared" si="14"/>
        <v>7112</v>
      </c>
      <c r="O427" s="59"/>
      <c r="P427" s="59"/>
      <c r="Q427" s="59"/>
    </row>
    <row r="428" spans="1:17" x14ac:dyDescent="0.25">
      <c r="A428" s="21">
        <f>IF(C428="","",COUNTA($C$3:C428))</f>
        <v>426</v>
      </c>
      <c r="B428" s="35" t="str">
        <f t="shared" si="13"/>
        <v>June</v>
      </c>
      <c r="C428" s="33">
        <v>46176</v>
      </c>
      <c r="D428" s="64">
        <v>61976</v>
      </c>
      <c r="E428" s="60">
        <v>45404</v>
      </c>
      <c r="F428" s="52" t="s">
        <v>120</v>
      </c>
      <c r="G428" s="18" t="s">
        <v>134</v>
      </c>
      <c r="H428" s="49" t="s">
        <v>349</v>
      </c>
      <c r="I428" s="49" t="s">
        <v>68</v>
      </c>
      <c r="J428" s="50" t="s">
        <v>70</v>
      </c>
      <c r="K428" s="15">
        <v>46</v>
      </c>
      <c r="L428" s="53">
        <v>560</v>
      </c>
      <c r="M428" s="53">
        <f t="shared" si="14"/>
        <v>25760</v>
      </c>
      <c r="O428" s="59"/>
      <c r="P428" s="59"/>
      <c r="Q428" s="59"/>
    </row>
    <row r="429" spans="1:17" x14ac:dyDescent="0.25">
      <c r="A429" s="21">
        <f>IF(C429="","",COUNTA($C$3:C429))</f>
        <v>427</v>
      </c>
      <c r="B429" s="35" t="str">
        <f t="shared" si="13"/>
        <v>June</v>
      </c>
      <c r="C429" s="33">
        <v>46176</v>
      </c>
      <c r="D429" s="64">
        <v>61976</v>
      </c>
      <c r="E429" s="60">
        <v>45404</v>
      </c>
      <c r="F429" s="52" t="s">
        <v>120</v>
      </c>
      <c r="G429" s="18" t="s">
        <v>134</v>
      </c>
      <c r="H429" s="49" t="s">
        <v>350</v>
      </c>
      <c r="I429" s="49" t="s">
        <v>68</v>
      </c>
      <c r="J429" s="50" t="s">
        <v>70</v>
      </c>
      <c r="K429" s="15">
        <v>1</v>
      </c>
      <c r="L429" s="54">
        <v>894</v>
      </c>
      <c r="M429" s="53">
        <f t="shared" si="14"/>
        <v>894</v>
      </c>
      <c r="O429" s="59"/>
      <c r="P429" s="59"/>
      <c r="Q429" s="59"/>
    </row>
    <row r="430" spans="1:17" x14ac:dyDescent="0.25">
      <c r="A430" s="21">
        <f>IF(C430="","",COUNTA($C$3:C430))</f>
        <v>428</v>
      </c>
      <c r="B430" s="35" t="str">
        <f t="shared" si="13"/>
        <v>June</v>
      </c>
      <c r="C430" s="33">
        <v>46176</v>
      </c>
      <c r="D430" s="64">
        <v>61976</v>
      </c>
      <c r="E430" s="60">
        <v>45404</v>
      </c>
      <c r="F430" s="52" t="s">
        <v>120</v>
      </c>
      <c r="G430" s="18" t="s">
        <v>134</v>
      </c>
      <c r="H430" s="49" t="s">
        <v>344</v>
      </c>
      <c r="I430" s="49" t="s">
        <v>68</v>
      </c>
      <c r="J430" s="50" t="s">
        <v>70</v>
      </c>
      <c r="K430" s="15">
        <v>8</v>
      </c>
      <c r="L430" s="53">
        <v>693</v>
      </c>
      <c r="M430" s="53">
        <f t="shared" si="14"/>
        <v>5544</v>
      </c>
      <c r="O430" s="59"/>
      <c r="P430" s="69"/>
      <c r="Q430" s="59"/>
    </row>
    <row r="431" spans="1:17" x14ac:dyDescent="0.25">
      <c r="A431" s="21">
        <f>IF(C431="","",COUNTA($C$3:C431))</f>
        <v>429</v>
      </c>
      <c r="B431" s="35" t="str">
        <f t="shared" si="13"/>
        <v>June</v>
      </c>
      <c r="C431" s="33">
        <v>46176</v>
      </c>
      <c r="D431" s="64">
        <v>61976</v>
      </c>
      <c r="E431" s="60">
        <v>45404</v>
      </c>
      <c r="F431" s="52" t="s">
        <v>120</v>
      </c>
      <c r="G431" s="18" t="s">
        <v>134</v>
      </c>
      <c r="H431" s="49" t="s">
        <v>345</v>
      </c>
      <c r="I431" s="49" t="s">
        <v>68</v>
      </c>
      <c r="J431" s="50" t="s">
        <v>70</v>
      </c>
      <c r="K431" s="15">
        <v>25</v>
      </c>
      <c r="L431" s="53">
        <v>660</v>
      </c>
      <c r="M431" s="53">
        <f t="shared" si="14"/>
        <v>16500</v>
      </c>
      <c r="O431" s="59"/>
      <c r="P431" s="59"/>
      <c r="Q431" s="59"/>
    </row>
    <row r="432" spans="1:17" x14ac:dyDescent="0.25">
      <c r="A432" s="21">
        <f>IF(C432="","",COUNTA($C$3:C432))</f>
        <v>430</v>
      </c>
      <c r="B432" s="35" t="str">
        <f t="shared" si="13"/>
        <v>June</v>
      </c>
      <c r="C432" s="33">
        <v>46176</v>
      </c>
      <c r="D432" s="64">
        <v>61976</v>
      </c>
      <c r="E432" s="60">
        <v>45404</v>
      </c>
      <c r="F432" s="52" t="s">
        <v>120</v>
      </c>
      <c r="G432" s="18" t="s">
        <v>134</v>
      </c>
      <c r="H432" s="49" t="s">
        <v>129</v>
      </c>
      <c r="I432" s="49" t="s">
        <v>140</v>
      </c>
      <c r="J432" s="50" t="s">
        <v>47</v>
      </c>
      <c r="K432" s="15">
        <f>23.41+7.68+50.59+0.92+5.8418+20.98</f>
        <v>109.42180000000002</v>
      </c>
      <c r="L432" s="62">
        <v>441</v>
      </c>
      <c r="M432" s="53">
        <f t="shared" si="14"/>
        <v>48255.013800000008</v>
      </c>
    </row>
    <row r="433" spans="1:19" x14ac:dyDescent="0.25">
      <c r="A433" s="21">
        <f>IF(C433="","",COUNTA($C$3:C433))</f>
        <v>431</v>
      </c>
      <c r="B433" s="35" t="str">
        <f t="shared" si="13"/>
        <v>June</v>
      </c>
      <c r="C433" s="33">
        <v>46176</v>
      </c>
      <c r="D433" s="64">
        <v>61976</v>
      </c>
      <c r="E433" s="60">
        <v>45404</v>
      </c>
      <c r="F433" s="52" t="s">
        <v>120</v>
      </c>
      <c r="G433" s="18" t="s">
        <v>134</v>
      </c>
      <c r="H433" s="49" t="s">
        <v>275</v>
      </c>
      <c r="I433" s="49" t="s">
        <v>99</v>
      </c>
      <c r="J433" s="50" t="s">
        <v>70</v>
      </c>
      <c r="K433" s="15">
        <v>46</v>
      </c>
      <c r="L433" s="54">
        <v>190</v>
      </c>
      <c r="M433" s="53">
        <f t="shared" si="14"/>
        <v>8740</v>
      </c>
    </row>
    <row r="434" spans="1:19" x14ac:dyDescent="0.25">
      <c r="A434" s="21">
        <f>IF(C434="","",COUNTA($C$3:C434))</f>
        <v>432</v>
      </c>
      <c r="B434" s="35" t="str">
        <f t="shared" si="13"/>
        <v>June</v>
      </c>
      <c r="C434" s="33">
        <v>46176</v>
      </c>
      <c r="D434" s="64">
        <v>61988</v>
      </c>
      <c r="E434" s="60">
        <v>45405</v>
      </c>
      <c r="F434" s="52" t="s">
        <v>120</v>
      </c>
      <c r="G434" s="18" t="s">
        <v>123</v>
      </c>
      <c r="H434" s="49" t="s">
        <v>351</v>
      </c>
      <c r="I434" s="49" t="s">
        <v>68</v>
      </c>
      <c r="J434" s="50" t="s">
        <v>70</v>
      </c>
      <c r="K434" s="15">
        <v>165</v>
      </c>
      <c r="L434" s="53">
        <v>1103</v>
      </c>
      <c r="M434" s="53">
        <f t="shared" si="14"/>
        <v>181995</v>
      </c>
      <c r="O434" s="59"/>
      <c r="P434" s="69"/>
      <c r="Q434" s="59"/>
    </row>
    <row r="435" spans="1:19" x14ac:dyDescent="0.25">
      <c r="A435" s="21">
        <f>IF(C435="","",COUNTA($C$3:C435))</f>
        <v>433</v>
      </c>
      <c r="B435" s="35" t="str">
        <f t="shared" si="13"/>
        <v>June</v>
      </c>
      <c r="C435" s="33">
        <v>46176</v>
      </c>
      <c r="D435" s="64">
        <v>61988</v>
      </c>
      <c r="E435" s="60">
        <v>45405</v>
      </c>
      <c r="F435" s="52" t="s">
        <v>120</v>
      </c>
      <c r="G435" s="18" t="s">
        <v>123</v>
      </c>
      <c r="H435" s="49" t="s">
        <v>129</v>
      </c>
      <c r="I435" s="49" t="s">
        <v>74</v>
      </c>
      <c r="J435" s="50" t="s">
        <v>47</v>
      </c>
      <c r="K435" s="15">
        <v>218.09690000000001</v>
      </c>
      <c r="L435" s="54">
        <v>289</v>
      </c>
      <c r="M435" s="53">
        <f t="shared" si="14"/>
        <v>63030.004099999998</v>
      </c>
    </row>
    <row r="436" spans="1:19" x14ac:dyDescent="0.25">
      <c r="A436" s="21">
        <f>IF(C436="","",COUNTA($C$3:C436))</f>
        <v>434</v>
      </c>
      <c r="B436" s="35" t="str">
        <f t="shared" si="13"/>
        <v>June</v>
      </c>
      <c r="C436" s="33">
        <v>46176</v>
      </c>
      <c r="D436" s="64">
        <v>61988</v>
      </c>
      <c r="E436" s="60">
        <v>45405</v>
      </c>
      <c r="F436" s="52" t="s">
        <v>120</v>
      </c>
      <c r="G436" s="18" t="s">
        <v>123</v>
      </c>
      <c r="H436" s="49" t="s">
        <v>176</v>
      </c>
      <c r="I436" s="76" t="s">
        <v>76</v>
      </c>
      <c r="J436" s="50" t="s">
        <v>70</v>
      </c>
      <c r="K436" s="15">
        <v>300</v>
      </c>
      <c r="L436" s="54">
        <v>154</v>
      </c>
      <c r="M436" s="53">
        <f t="shared" si="14"/>
        <v>46200</v>
      </c>
    </row>
    <row r="437" spans="1:19" x14ac:dyDescent="0.25">
      <c r="A437" s="21">
        <f>IF(C437="","",COUNTA($C$3:C437))</f>
        <v>435</v>
      </c>
      <c r="B437" s="35" t="str">
        <f t="shared" si="13"/>
        <v>June</v>
      </c>
      <c r="C437" s="33">
        <v>46177</v>
      </c>
      <c r="D437" s="64">
        <v>61979</v>
      </c>
      <c r="E437" s="60">
        <v>45406</v>
      </c>
      <c r="F437" s="52" t="s">
        <v>120</v>
      </c>
      <c r="G437" s="18" t="s">
        <v>211</v>
      </c>
      <c r="H437" s="49" t="s">
        <v>236</v>
      </c>
      <c r="I437" s="49" t="s">
        <v>82</v>
      </c>
      <c r="J437" s="50" t="s">
        <v>47</v>
      </c>
      <c r="K437" s="15">
        <v>165.3</v>
      </c>
      <c r="L437" s="62">
        <v>35</v>
      </c>
      <c r="M437" s="53">
        <f t="shared" si="14"/>
        <v>5785.5</v>
      </c>
    </row>
    <row r="438" spans="1:19" x14ac:dyDescent="0.25">
      <c r="A438" s="21">
        <f>IF(C438="","",COUNTA($C$3:C438))</f>
        <v>436</v>
      </c>
      <c r="B438" s="35" t="str">
        <f t="shared" si="13"/>
        <v>June</v>
      </c>
      <c r="C438" s="33">
        <v>46177</v>
      </c>
      <c r="D438" s="64">
        <v>61980</v>
      </c>
      <c r="E438" s="60">
        <v>45407</v>
      </c>
      <c r="F438" s="52" t="s">
        <v>120</v>
      </c>
      <c r="G438" s="18" t="s">
        <v>134</v>
      </c>
      <c r="H438" s="49" t="s">
        <v>236</v>
      </c>
      <c r="I438" s="49" t="s">
        <v>82</v>
      </c>
      <c r="J438" s="50" t="s">
        <v>47</v>
      </c>
      <c r="K438" s="15">
        <v>1085.5999999999999</v>
      </c>
      <c r="L438" s="62">
        <v>35</v>
      </c>
      <c r="M438" s="53">
        <f t="shared" si="14"/>
        <v>37996</v>
      </c>
    </row>
    <row r="439" spans="1:19" x14ac:dyDescent="0.25">
      <c r="A439" s="21">
        <f>IF(C439="","",COUNTA($C$3:C439))</f>
        <v>437</v>
      </c>
      <c r="B439" s="35" t="str">
        <f t="shared" si="13"/>
        <v>June</v>
      </c>
      <c r="C439" s="33">
        <v>46177</v>
      </c>
      <c r="D439" s="64">
        <v>61981</v>
      </c>
      <c r="E439" s="60">
        <v>45408</v>
      </c>
      <c r="F439" s="52" t="s">
        <v>120</v>
      </c>
      <c r="G439" s="18" t="s">
        <v>258</v>
      </c>
      <c r="H439" s="49" t="s">
        <v>236</v>
      </c>
      <c r="I439" s="49" t="s">
        <v>82</v>
      </c>
      <c r="J439" s="50" t="s">
        <v>47</v>
      </c>
      <c r="K439" s="15">
        <v>607.29999999999995</v>
      </c>
      <c r="L439" s="62">
        <v>35</v>
      </c>
      <c r="M439" s="53">
        <f t="shared" si="14"/>
        <v>21255.5</v>
      </c>
    </row>
    <row r="440" spans="1:19" x14ac:dyDescent="0.25">
      <c r="A440" s="21">
        <f>IF(C440="","",COUNTA($C$3:C440))</f>
        <v>438</v>
      </c>
      <c r="B440" s="35" t="str">
        <f t="shared" si="13"/>
        <v>June</v>
      </c>
      <c r="C440" s="33">
        <v>46177</v>
      </c>
      <c r="D440" s="64">
        <v>61982</v>
      </c>
      <c r="E440" s="60">
        <v>45409</v>
      </c>
      <c r="F440" s="52" t="s">
        <v>120</v>
      </c>
      <c r="G440" s="18" t="s">
        <v>270</v>
      </c>
      <c r="H440" s="49" t="s">
        <v>236</v>
      </c>
      <c r="I440" s="49" t="s">
        <v>82</v>
      </c>
      <c r="J440" s="50" t="s">
        <v>47</v>
      </c>
      <c r="K440" s="55">
        <v>136</v>
      </c>
      <c r="L440" s="54">
        <v>35</v>
      </c>
      <c r="M440" s="53">
        <f t="shared" si="14"/>
        <v>4760</v>
      </c>
    </row>
    <row r="441" spans="1:19" x14ac:dyDescent="0.25">
      <c r="A441" s="21">
        <f>IF(C441="","",COUNTA($C$3:C441))</f>
        <v>439</v>
      </c>
      <c r="B441" s="35" t="str">
        <f t="shared" si="13"/>
        <v>June</v>
      </c>
      <c r="C441" s="33">
        <v>46177</v>
      </c>
      <c r="D441" s="64">
        <v>61983</v>
      </c>
      <c r="E441" s="60">
        <v>45410</v>
      </c>
      <c r="F441" s="52" t="s">
        <v>120</v>
      </c>
      <c r="G441" s="18" t="s">
        <v>288</v>
      </c>
      <c r="H441" s="49" t="s">
        <v>236</v>
      </c>
      <c r="I441" s="49" t="s">
        <v>82</v>
      </c>
      <c r="J441" s="50" t="s">
        <v>47</v>
      </c>
      <c r="K441" s="15">
        <v>93.4</v>
      </c>
      <c r="L441" s="62">
        <v>35</v>
      </c>
      <c r="M441" s="53">
        <f t="shared" si="14"/>
        <v>3269</v>
      </c>
    </row>
    <row r="442" spans="1:19" x14ac:dyDescent="0.25">
      <c r="A442" s="21">
        <f>IF(C442="","",COUNTA($C$3:C442))</f>
        <v>440</v>
      </c>
      <c r="B442" s="35" t="str">
        <f t="shared" si="13"/>
        <v>June</v>
      </c>
      <c r="C442" s="33">
        <v>46177</v>
      </c>
      <c r="D442" s="64">
        <v>61984</v>
      </c>
      <c r="E442" s="60">
        <v>45411</v>
      </c>
      <c r="F442" s="52" t="s">
        <v>120</v>
      </c>
      <c r="G442" s="18" t="s">
        <v>290</v>
      </c>
      <c r="H442" s="49" t="s">
        <v>236</v>
      </c>
      <c r="I442" s="49" t="s">
        <v>82</v>
      </c>
      <c r="J442" s="50" t="s">
        <v>47</v>
      </c>
      <c r="K442" s="15">
        <v>280.60000000000002</v>
      </c>
      <c r="L442" s="62">
        <v>35</v>
      </c>
      <c r="M442" s="53">
        <f t="shared" si="14"/>
        <v>9821</v>
      </c>
    </row>
    <row r="443" spans="1:19" x14ac:dyDescent="0.25">
      <c r="A443" s="21">
        <f>IF(C443="","",COUNTA($C$3:C443))</f>
        <v>441</v>
      </c>
      <c r="B443" s="35" t="str">
        <f t="shared" si="13"/>
        <v>June</v>
      </c>
      <c r="C443" s="33">
        <v>46177</v>
      </c>
      <c r="D443" s="64">
        <v>61985</v>
      </c>
      <c r="E443" s="60">
        <v>45412</v>
      </c>
      <c r="F443" s="52" t="s">
        <v>120</v>
      </c>
      <c r="G443" s="18" t="s">
        <v>263</v>
      </c>
      <c r="H443" s="49" t="s">
        <v>236</v>
      </c>
      <c r="I443" s="49" t="s">
        <v>82</v>
      </c>
      <c r="J443" s="50" t="s">
        <v>47</v>
      </c>
      <c r="K443" s="15">
        <v>627.1</v>
      </c>
      <c r="L443" s="62">
        <v>35</v>
      </c>
      <c r="M443" s="53">
        <f t="shared" si="14"/>
        <v>21948.5</v>
      </c>
      <c r="Q443" s="59"/>
      <c r="R443" s="66"/>
      <c r="S443" s="68"/>
    </row>
    <row r="444" spans="1:19" x14ac:dyDescent="0.25">
      <c r="A444" s="21">
        <f>IF(C444="","",COUNTA($C$3:C444))</f>
        <v>442</v>
      </c>
      <c r="B444" s="35" t="str">
        <f t="shared" si="13"/>
        <v>June</v>
      </c>
      <c r="C444" s="33">
        <v>46177</v>
      </c>
      <c r="D444" s="64">
        <v>61986</v>
      </c>
      <c r="E444" s="60">
        <v>45413</v>
      </c>
      <c r="F444" s="52" t="s">
        <v>120</v>
      </c>
      <c r="G444" s="18" t="s">
        <v>267</v>
      </c>
      <c r="H444" s="49" t="s">
        <v>236</v>
      </c>
      <c r="I444" s="49" t="s">
        <v>82</v>
      </c>
      <c r="J444" s="50" t="s">
        <v>47</v>
      </c>
      <c r="K444" s="15">
        <v>322.7</v>
      </c>
      <c r="L444" s="62">
        <v>35</v>
      </c>
      <c r="M444" s="53">
        <f t="shared" si="14"/>
        <v>11294.5</v>
      </c>
    </row>
    <row r="445" spans="1:19" x14ac:dyDescent="0.25">
      <c r="A445" s="21">
        <f>IF(C445="","",COUNTA($C$3:C445))</f>
        <v>443</v>
      </c>
      <c r="B445" s="35" t="str">
        <f t="shared" si="13"/>
        <v>June</v>
      </c>
      <c r="C445" s="33">
        <v>46177</v>
      </c>
      <c r="D445" s="64">
        <v>61987</v>
      </c>
      <c r="E445" s="60">
        <v>45414</v>
      </c>
      <c r="F445" s="52" t="s">
        <v>120</v>
      </c>
      <c r="G445" s="18" t="s">
        <v>329</v>
      </c>
      <c r="H445" s="49" t="s">
        <v>236</v>
      </c>
      <c r="I445" s="49" t="s">
        <v>82</v>
      </c>
      <c r="J445" s="50" t="s">
        <v>47</v>
      </c>
      <c r="K445" s="15">
        <v>243.3</v>
      </c>
      <c r="L445" s="62">
        <v>35</v>
      </c>
      <c r="M445" s="53">
        <f t="shared" si="14"/>
        <v>8515.5</v>
      </c>
    </row>
    <row r="446" spans="1:19" x14ac:dyDescent="0.25">
      <c r="A446" s="21">
        <f>IF(C446="","",COUNTA($C$3:C446))</f>
        <v>444</v>
      </c>
      <c r="B446" s="35" t="str">
        <f t="shared" si="13"/>
        <v>June</v>
      </c>
      <c r="C446" s="33">
        <v>46178</v>
      </c>
      <c r="D446" s="64">
        <v>61989</v>
      </c>
      <c r="E446" s="60">
        <v>45415</v>
      </c>
      <c r="F446" s="52" t="s">
        <v>120</v>
      </c>
      <c r="G446" s="18" t="s">
        <v>362</v>
      </c>
      <c r="H446" s="49" t="s">
        <v>38</v>
      </c>
      <c r="I446" s="49" t="s">
        <v>68</v>
      </c>
      <c r="J446" s="50" t="s">
        <v>47</v>
      </c>
      <c r="K446" s="55">
        <v>92.9</v>
      </c>
      <c r="L446" s="54">
        <v>670</v>
      </c>
      <c r="M446" s="53">
        <f t="shared" si="14"/>
        <v>62243.000000000007</v>
      </c>
    </row>
    <row r="447" spans="1:19" x14ac:dyDescent="0.25">
      <c r="A447" s="21">
        <f>IF(C447="","",COUNTA($C$3:C447))</f>
        <v>445</v>
      </c>
      <c r="B447" s="35" t="str">
        <f t="shared" si="13"/>
        <v>June</v>
      </c>
      <c r="C447" s="33">
        <v>46178</v>
      </c>
      <c r="D447" s="64">
        <v>61989</v>
      </c>
      <c r="E447" s="60">
        <v>45415</v>
      </c>
      <c r="F447" s="52" t="s">
        <v>120</v>
      </c>
      <c r="G447" s="18" t="s">
        <v>362</v>
      </c>
      <c r="H447" s="49" t="s">
        <v>38</v>
      </c>
      <c r="I447" s="49" t="s">
        <v>69</v>
      </c>
      <c r="J447" s="50" t="s">
        <v>47</v>
      </c>
      <c r="K447" s="15">
        <v>78.5</v>
      </c>
      <c r="L447" s="62">
        <v>868</v>
      </c>
      <c r="M447" s="53">
        <f t="shared" si="14"/>
        <v>68138</v>
      </c>
    </row>
    <row r="448" spans="1:19" x14ac:dyDescent="0.25">
      <c r="A448" s="21">
        <f>IF(C448="","",COUNTA($C$3:C448))</f>
        <v>446</v>
      </c>
      <c r="B448" s="35" t="str">
        <f t="shared" si="13"/>
        <v>June</v>
      </c>
      <c r="C448" s="33">
        <v>46178</v>
      </c>
      <c r="D448" s="64">
        <v>61990</v>
      </c>
      <c r="E448" s="60">
        <v>45416</v>
      </c>
      <c r="F448" s="52" t="s">
        <v>120</v>
      </c>
      <c r="G448" s="18" t="s">
        <v>364</v>
      </c>
      <c r="H448" s="49" t="s">
        <v>38</v>
      </c>
      <c r="I448" s="49" t="s">
        <v>78</v>
      </c>
      <c r="J448" s="50" t="s">
        <v>47</v>
      </c>
      <c r="K448" s="15">
        <v>127.2</v>
      </c>
      <c r="L448" s="53">
        <v>1269</v>
      </c>
      <c r="M448" s="53">
        <f t="shared" si="14"/>
        <v>161416.80000000002</v>
      </c>
    </row>
    <row r="449" spans="1:17" x14ac:dyDescent="0.25">
      <c r="A449" s="21">
        <f>IF(C449="","",COUNTA($C$3:C449))</f>
        <v>447</v>
      </c>
      <c r="B449" s="35" t="str">
        <f t="shared" si="13"/>
        <v>June</v>
      </c>
      <c r="C449" s="33">
        <v>46178</v>
      </c>
      <c r="D449" s="64">
        <v>61990</v>
      </c>
      <c r="E449" s="60">
        <v>45416</v>
      </c>
      <c r="F449" s="52" t="s">
        <v>120</v>
      </c>
      <c r="G449" s="18" t="s">
        <v>364</v>
      </c>
      <c r="H449" s="49" t="s">
        <v>129</v>
      </c>
      <c r="I449" s="49" t="s">
        <v>86</v>
      </c>
      <c r="J449" s="50" t="s">
        <v>47</v>
      </c>
      <c r="K449" s="15">
        <v>20.8</v>
      </c>
      <c r="L449" s="54">
        <v>388</v>
      </c>
      <c r="M449" s="53">
        <f t="shared" si="14"/>
        <v>8070.4000000000005</v>
      </c>
    </row>
    <row r="450" spans="1:17" x14ac:dyDescent="0.25">
      <c r="A450" s="21">
        <f>IF(C450="","",COUNTA($C$3:C450))</f>
        <v>448</v>
      </c>
      <c r="B450" s="35" t="str">
        <f t="shared" si="13"/>
        <v>June</v>
      </c>
      <c r="C450" s="33">
        <v>46178</v>
      </c>
      <c r="D450" s="64">
        <v>61990</v>
      </c>
      <c r="E450" s="60">
        <v>45416</v>
      </c>
      <c r="F450" s="52" t="s">
        <v>120</v>
      </c>
      <c r="G450" s="18" t="s">
        <v>364</v>
      </c>
      <c r="H450" s="49" t="s">
        <v>129</v>
      </c>
      <c r="I450" s="49" t="s">
        <v>110</v>
      </c>
      <c r="J450" s="50" t="s">
        <v>47</v>
      </c>
      <c r="K450" s="15">
        <v>20.100000000000001</v>
      </c>
      <c r="L450" s="54">
        <v>476</v>
      </c>
      <c r="M450" s="53">
        <f t="shared" si="14"/>
        <v>9567.6</v>
      </c>
    </row>
    <row r="451" spans="1:17" x14ac:dyDescent="0.25">
      <c r="A451" s="21">
        <f>IF(C451="","",COUNTA($C$3:C451))</f>
        <v>449</v>
      </c>
      <c r="B451" s="35" t="str">
        <f t="shared" si="13"/>
        <v>June</v>
      </c>
      <c r="C451" s="33">
        <v>46178</v>
      </c>
      <c r="D451" s="64">
        <v>61990</v>
      </c>
      <c r="E451" s="60">
        <v>45416</v>
      </c>
      <c r="F451" s="52" t="s">
        <v>120</v>
      </c>
      <c r="G451" s="18" t="s">
        <v>364</v>
      </c>
      <c r="H451" s="49" t="s">
        <v>129</v>
      </c>
      <c r="I451" s="49" t="s">
        <v>295</v>
      </c>
      <c r="J451" s="50" t="s">
        <v>47</v>
      </c>
      <c r="K451" s="15">
        <v>47.8</v>
      </c>
      <c r="L451" s="54">
        <v>507</v>
      </c>
      <c r="M451" s="53">
        <f t="shared" si="14"/>
        <v>24234.6</v>
      </c>
      <c r="O451" s="59"/>
    </row>
    <row r="452" spans="1:17" x14ac:dyDescent="0.25">
      <c r="A452" s="21">
        <f>IF(C452="","",COUNTA($C$3:C452))</f>
        <v>450</v>
      </c>
      <c r="B452" s="35" t="str">
        <f t="shared" si="13"/>
        <v>June</v>
      </c>
      <c r="C452" s="33">
        <v>46178</v>
      </c>
      <c r="D452" s="64">
        <v>61990</v>
      </c>
      <c r="E452" s="60">
        <v>45416</v>
      </c>
      <c r="F452" s="52" t="s">
        <v>120</v>
      </c>
      <c r="G452" s="18" t="s">
        <v>364</v>
      </c>
      <c r="H452" s="49" t="s">
        <v>129</v>
      </c>
      <c r="I452" s="49" t="s">
        <v>296</v>
      </c>
      <c r="J452" s="50" t="s">
        <v>47</v>
      </c>
      <c r="K452" s="15">
        <v>38.5</v>
      </c>
      <c r="L452" s="54">
        <v>594</v>
      </c>
      <c r="M452" s="53">
        <f t="shared" si="14"/>
        <v>22869</v>
      </c>
      <c r="O452" s="61"/>
    </row>
    <row r="453" spans="1:17" x14ac:dyDescent="0.25">
      <c r="A453" s="21">
        <f>IF(C453="","",COUNTA($C$3:C453))</f>
        <v>451</v>
      </c>
      <c r="B453" s="35" t="str">
        <f t="shared" si="13"/>
        <v>June</v>
      </c>
      <c r="C453" s="33">
        <v>46178</v>
      </c>
      <c r="D453" s="64">
        <v>61990</v>
      </c>
      <c r="E453" s="60">
        <v>45416</v>
      </c>
      <c r="F453" s="52" t="s">
        <v>120</v>
      </c>
      <c r="G453" s="18" t="s">
        <v>364</v>
      </c>
      <c r="H453" s="49" t="s">
        <v>176</v>
      </c>
      <c r="I453" s="49" t="s">
        <v>86</v>
      </c>
      <c r="J453" s="50" t="s">
        <v>47</v>
      </c>
      <c r="K453" s="15">
        <v>16.8</v>
      </c>
      <c r="L453" s="53">
        <v>250</v>
      </c>
      <c r="M453" s="53">
        <f t="shared" si="14"/>
        <v>4200</v>
      </c>
    </row>
    <row r="454" spans="1:17" x14ac:dyDescent="0.25">
      <c r="A454" s="21">
        <f>IF(C454="","",COUNTA($C$3:C454))</f>
        <v>452</v>
      </c>
      <c r="B454" s="35" t="str">
        <f t="shared" si="13"/>
        <v>June</v>
      </c>
      <c r="C454" s="33">
        <v>46178</v>
      </c>
      <c r="D454" s="64">
        <v>61990</v>
      </c>
      <c r="E454" s="60">
        <v>45416</v>
      </c>
      <c r="F454" s="52" t="s">
        <v>120</v>
      </c>
      <c r="G454" s="18" t="s">
        <v>364</v>
      </c>
      <c r="H454" s="49" t="s">
        <v>176</v>
      </c>
      <c r="I454" s="49" t="s">
        <v>295</v>
      </c>
      <c r="J454" s="50" t="s">
        <v>47</v>
      </c>
      <c r="K454" s="15">
        <v>16.8</v>
      </c>
      <c r="L454" s="53">
        <v>360</v>
      </c>
      <c r="M454" s="53">
        <f t="shared" si="14"/>
        <v>6048</v>
      </c>
    </row>
    <row r="455" spans="1:17" x14ac:dyDescent="0.25">
      <c r="A455" s="21">
        <f>IF(C455="","",COUNTA($C$3:C455))</f>
        <v>453</v>
      </c>
      <c r="B455" s="35" t="str">
        <f t="shared" si="13"/>
        <v>June</v>
      </c>
      <c r="C455" s="33">
        <v>46178</v>
      </c>
      <c r="D455" s="64">
        <v>61990</v>
      </c>
      <c r="E455" s="60">
        <v>45416</v>
      </c>
      <c r="F455" s="52" t="s">
        <v>120</v>
      </c>
      <c r="G455" s="18" t="s">
        <v>364</v>
      </c>
      <c r="H455" s="49" t="s">
        <v>161</v>
      </c>
      <c r="I455" s="49" t="s">
        <v>78</v>
      </c>
      <c r="J455" s="50" t="s">
        <v>47</v>
      </c>
      <c r="K455" s="15">
        <v>18</v>
      </c>
      <c r="L455" s="53">
        <v>950</v>
      </c>
      <c r="M455" s="53">
        <f t="shared" si="14"/>
        <v>17100</v>
      </c>
    </row>
    <row r="456" spans="1:17" x14ac:dyDescent="0.25">
      <c r="A456" s="21">
        <f>IF(C456="","",COUNTA($C$3:C456))</f>
        <v>454</v>
      </c>
      <c r="B456" s="35" t="str">
        <f t="shared" si="13"/>
        <v>June</v>
      </c>
      <c r="C456" s="33">
        <v>46178</v>
      </c>
      <c r="D456" s="64">
        <v>61990</v>
      </c>
      <c r="E456" s="60">
        <v>45416</v>
      </c>
      <c r="F456" s="52" t="s">
        <v>120</v>
      </c>
      <c r="G456" s="18" t="s">
        <v>364</v>
      </c>
      <c r="H456" s="49" t="s">
        <v>139</v>
      </c>
      <c r="I456" s="49" t="s">
        <v>85</v>
      </c>
      <c r="J456" s="50" t="s">
        <v>47</v>
      </c>
      <c r="K456" s="15">
        <v>0.4</v>
      </c>
      <c r="L456" s="54">
        <v>6200</v>
      </c>
      <c r="M456" s="53">
        <f t="shared" si="14"/>
        <v>2480</v>
      </c>
    </row>
    <row r="457" spans="1:17" x14ac:dyDescent="0.25">
      <c r="A457" s="21">
        <f>IF(C457="","",COUNTA($C$3:C457))</f>
        <v>455</v>
      </c>
      <c r="B457" s="35" t="str">
        <f t="shared" si="13"/>
        <v>June</v>
      </c>
      <c r="C457" s="33">
        <v>46178</v>
      </c>
      <c r="D457" s="64">
        <v>61930</v>
      </c>
      <c r="E457" s="60">
        <v>45417</v>
      </c>
      <c r="F457" s="52" t="s">
        <v>120</v>
      </c>
      <c r="G457" s="18" t="s">
        <v>123</v>
      </c>
      <c r="H457" s="49" t="s">
        <v>38</v>
      </c>
      <c r="I457" s="49" t="s">
        <v>68</v>
      </c>
      <c r="J457" s="50" t="s">
        <v>47</v>
      </c>
      <c r="K457" s="15">
        <v>13.4</v>
      </c>
      <c r="L457" s="62">
        <v>585</v>
      </c>
      <c r="M457" s="53">
        <f t="shared" si="14"/>
        <v>7839</v>
      </c>
    </row>
    <row r="458" spans="1:17" x14ac:dyDescent="0.25">
      <c r="A458" s="21">
        <f>IF(C458="","",COUNTA($C$3:C458))</f>
        <v>456</v>
      </c>
      <c r="B458" s="35" t="str">
        <f t="shared" si="13"/>
        <v>June</v>
      </c>
      <c r="C458" s="33">
        <v>46178</v>
      </c>
      <c r="D458" s="64">
        <v>61930</v>
      </c>
      <c r="E458" s="60">
        <v>45417</v>
      </c>
      <c r="F458" s="52" t="s">
        <v>120</v>
      </c>
      <c r="G458" s="18" t="s">
        <v>123</v>
      </c>
      <c r="H458" s="49" t="s">
        <v>38</v>
      </c>
      <c r="I458" s="49" t="s">
        <v>69</v>
      </c>
      <c r="J458" s="50" t="s">
        <v>47</v>
      </c>
      <c r="K458" s="15">
        <v>14.5</v>
      </c>
      <c r="L458" s="62">
        <v>790</v>
      </c>
      <c r="M458" s="53">
        <f t="shared" si="14"/>
        <v>11455</v>
      </c>
      <c r="Q458" s="59"/>
    </row>
    <row r="459" spans="1:17" x14ac:dyDescent="0.25">
      <c r="A459" s="21">
        <f>IF(C459="","",COUNTA($C$3:C459))</f>
        <v>457</v>
      </c>
      <c r="B459" s="35" t="str">
        <f t="shared" si="13"/>
        <v>June</v>
      </c>
      <c r="C459" s="33">
        <v>46178</v>
      </c>
      <c r="D459" s="64">
        <v>61930</v>
      </c>
      <c r="E459" s="60">
        <v>45417</v>
      </c>
      <c r="F459" s="52" t="s">
        <v>120</v>
      </c>
      <c r="G459" s="18" t="s">
        <v>123</v>
      </c>
      <c r="H459" s="49" t="s">
        <v>38</v>
      </c>
      <c r="I459" s="49" t="s">
        <v>39</v>
      </c>
      <c r="J459" s="50" t="s">
        <v>47</v>
      </c>
      <c r="K459" s="15">
        <v>50.7</v>
      </c>
      <c r="L459" s="62">
        <v>915</v>
      </c>
      <c r="M459" s="53">
        <f t="shared" si="14"/>
        <v>46390.5</v>
      </c>
    </row>
    <row r="460" spans="1:17" x14ac:dyDescent="0.25">
      <c r="A460" s="21">
        <f>IF(C460="","",COUNTA($C$3:C460))</f>
        <v>458</v>
      </c>
      <c r="B460" s="35" t="str">
        <f t="shared" si="13"/>
        <v>June</v>
      </c>
      <c r="C460" s="33">
        <v>46178</v>
      </c>
      <c r="D460" s="64">
        <v>61930</v>
      </c>
      <c r="E460" s="60">
        <v>45417</v>
      </c>
      <c r="F460" s="52" t="s">
        <v>120</v>
      </c>
      <c r="G460" s="18" t="s">
        <v>123</v>
      </c>
      <c r="H460" s="49" t="s">
        <v>129</v>
      </c>
      <c r="I460" s="49" t="s">
        <v>74</v>
      </c>
      <c r="J460" s="50" t="s">
        <v>47</v>
      </c>
      <c r="K460" s="15">
        <v>4</v>
      </c>
      <c r="L460" s="54">
        <v>289</v>
      </c>
      <c r="M460" s="53">
        <f t="shared" si="14"/>
        <v>1156</v>
      </c>
    </row>
    <row r="461" spans="1:17" x14ac:dyDescent="0.25">
      <c r="A461" s="21">
        <f>IF(C461="","",COUNTA($C$3:C461))</f>
        <v>459</v>
      </c>
      <c r="B461" s="35" t="str">
        <f t="shared" si="13"/>
        <v>June</v>
      </c>
      <c r="C461" s="33">
        <v>46178</v>
      </c>
      <c r="D461" s="64">
        <v>61930</v>
      </c>
      <c r="E461" s="60">
        <v>45417</v>
      </c>
      <c r="F461" s="52" t="s">
        <v>120</v>
      </c>
      <c r="G461" s="18" t="s">
        <v>123</v>
      </c>
      <c r="H461" s="49" t="s">
        <v>129</v>
      </c>
      <c r="I461" s="49" t="s">
        <v>115</v>
      </c>
      <c r="J461" s="50" t="s">
        <v>47</v>
      </c>
      <c r="K461" s="15">
        <v>74.599999999999994</v>
      </c>
      <c r="L461" s="54">
        <v>1271</v>
      </c>
      <c r="M461" s="53">
        <f t="shared" si="14"/>
        <v>94816.599999999991</v>
      </c>
    </row>
    <row r="462" spans="1:17" x14ac:dyDescent="0.25">
      <c r="A462" s="21">
        <f>IF(C462="","",COUNTA($C$3:C462))</f>
        <v>460</v>
      </c>
      <c r="B462" s="35" t="str">
        <f t="shared" si="13"/>
        <v>June</v>
      </c>
      <c r="C462" s="33">
        <v>46178</v>
      </c>
      <c r="D462" s="64">
        <v>61930</v>
      </c>
      <c r="E462" s="60">
        <v>45417</v>
      </c>
      <c r="F462" s="52" t="s">
        <v>120</v>
      </c>
      <c r="G462" s="18" t="s">
        <v>123</v>
      </c>
      <c r="H462" s="49" t="s">
        <v>130</v>
      </c>
      <c r="I462" s="49" t="s">
        <v>40</v>
      </c>
      <c r="J462" s="50" t="s">
        <v>47</v>
      </c>
      <c r="K462" s="15">
        <v>10</v>
      </c>
      <c r="L462" s="54">
        <v>15</v>
      </c>
      <c r="M462" s="53">
        <f t="shared" si="14"/>
        <v>150</v>
      </c>
    </row>
    <row r="463" spans="1:17" x14ac:dyDescent="0.25">
      <c r="A463" s="21">
        <f>IF(C463="","",COUNTA($C$3:C463))</f>
        <v>461</v>
      </c>
      <c r="B463" s="35" t="str">
        <f t="shared" si="13"/>
        <v>June</v>
      </c>
      <c r="C463" s="33">
        <v>46178</v>
      </c>
      <c r="D463" s="64">
        <v>61988</v>
      </c>
      <c r="E463" s="60">
        <v>45418</v>
      </c>
      <c r="F463" s="52" t="s">
        <v>120</v>
      </c>
      <c r="G463" s="18" t="s">
        <v>123</v>
      </c>
      <c r="H463" s="49" t="s">
        <v>368</v>
      </c>
      <c r="I463" s="49" t="s">
        <v>68</v>
      </c>
      <c r="J463" s="50" t="s">
        <v>70</v>
      </c>
      <c r="K463" s="15">
        <v>9</v>
      </c>
      <c r="L463" s="54">
        <v>757</v>
      </c>
      <c r="M463" s="53">
        <f t="shared" si="14"/>
        <v>6813</v>
      </c>
      <c r="O463" s="59"/>
      <c r="P463" s="59"/>
      <c r="Q463" s="59"/>
    </row>
    <row r="464" spans="1:17" x14ac:dyDescent="0.25">
      <c r="A464" s="21">
        <f>IF(C464="","",COUNTA($C$3:C464))</f>
        <v>462</v>
      </c>
      <c r="B464" s="35" t="str">
        <f t="shared" si="13"/>
        <v>June</v>
      </c>
      <c r="C464" s="33">
        <v>46178</v>
      </c>
      <c r="D464" s="64">
        <v>61988</v>
      </c>
      <c r="E464" s="60">
        <v>45418</v>
      </c>
      <c r="F464" s="52" t="s">
        <v>120</v>
      </c>
      <c r="G464" s="18" t="s">
        <v>123</v>
      </c>
      <c r="H464" s="49" t="s">
        <v>351</v>
      </c>
      <c r="I464" s="49" t="s">
        <v>68</v>
      </c>
      <c r="J464" s="50" t="s">
        <v>70</v>
      </c>
      <c r="K464" s="55">
        <v>77</v>
      </c>
      <c r="L464" s="53">
        <v>1103</v>
      </c>
      <c r="M464" s="53">
        <f t="shared" si="14"/>
        <v>84931</v>
      </c>
      <c r="O464" s="59"/>
      <c r="P464" s="59"/>
      <c r="Q464" s="59"/>
    </row>
    <row r="465" spans="1:19" x14ac:dyDescent="0.25">
      <c r="A465" s="21">
        <f>IF(C465="","",COUNTA($C$3:C465))</f>
        <v>463</v>
      </c>
      <c r="B465" s="35" t="str">
        <f t="shared" si="13"/>
        <v>June</v>
      </c>
      <c r="C465" s="33">
        <v>46178</v>
      </c>
      <c r="D465" s="64">
        <v>61988</v>
      </c>
      <c r="E465" s="60">
        <v>45418</v>
      </c>
      <c r="F465" s="52" t="s">
        <v>120</v>
      </c>
      <c r="G465" s="18" t="s">
        <v>123</v>
      </c>
      <c r="H465" s="49" t="s">
        <v>369</v>
      </c>
      <c r="I465" s="49" t="s">
        <v>68</v>
      </c>
      <c r="J465" s="50" t="s">
        <v>70</v>
      </c>
      <c r="K465" s="15">
        <v>33</v>
      </c>
      <c r="L465" s="53">
        <v>1195</v>
      </c>
      <c r="M465" s="53">
        <f t="shared" si="14"/>
        <v>39435</v>
      </c>
      <c r="O465" s="59"/>
      <c r="P465" s="71"/>
      <c r="Q465" s="59"/>
      <c r="R465" s="46"/>
      <c r="S465" s="59"/>
    </row>
    <row r="466" spans="1:19" x14ac:dyDescent="0.25">
      <c r="A466" s="21">
        <f>IF(C466="","",COUNTA($C$3:C466))</f>
        <v>464</v>
      </c>
      <c r="B466" s="35" t="str">
        <f t="shared" si="13"/>
        <v>June</v>
      </c>
      <c r="C466" s="33">
        <v>46178</v>
      </c>
      <c r="D466" s="64">
        <v>61988</v>
      </c>
      <c r="E466" s="60">
        <v>45418</v>
      </c>
      <c r="F466" s="52" t="s">
        <v>120</v>
      </c>
      <c r="G466" s="18" t="s">
        <v>123</v>
      </c>
      <c r="H466" s="49" t="s">
        <v>129</v>
      </c>
      <c r="I466" s="49" t="s">
        <v>74</v>
      </c>
      <c r="J466" s="50" t="s">
        <v>47</v>
      </c>
      <c r="K466" s="15">
        <f>8.19+101.78+50.812</f>
        <v>160.78199999999998</v>
      </c>
      <c r="L466" s="54">
        <v>289</v>
      </c>
      <c r="M466" s="53">
        <f t="shared" si="14"/>
        <v>46465.997999999992</v>
      </c>
      <c r="R466" s="46"/>
      <c r="S466" s="59"/>
    </row>
    <row r="467" spans="1:19" x14ac:dyDescent="0.25">
      <c r="A467" s="21">
        <f>IF(C467="","",COUNTA($C$3:C467))</f>
        <v>465</v>
      </c>
      <c r="B467" s="35" t="str">
        <f t="shared" si="13"/>
        <v>June</v>
      </c>
      <c r="C467" s="33">
        <v>46178</v>
      </c>
      <c r="D467" s="64">
        <v>61988</v>
      </c>
      <c r="E467" s="60">
        <v>45418</v>
      </c>
      <c r="F467" s="52" t="s">
        <v>120</v>
      </c>
      <c r="G467" s="18" t="s">
        <v>123</v>
      </c>
      <c r="H467" s="49" t="s">
        <v>176</v>
      </c>
      <c r="I467" s="76" t="s">
        <v>76</v>
      </c>
      <c r="J467" s="50" t="s">
        <v>70</v>
      </c>
      <c r="K467" s="15">
        <v>100</v>
      </c>
      <c r="L467" s="54">
        <v>154</v>
      </c>
      <c r="M467" s="53">
        <f t="shared" si="14"/>
        <v>15400</v>
      </c>
    </row>
    <row r="468" spans="1:19" x14ac:dyDescent="0.25">
      <c r="A468" s="21">
        <f>IF(C468="","",COUNTA($C$3:C468))</f>
        <v>466</v>
      </c>
      <c r="B468" s="35" t="str">
        <f t="shared" si="13"/>
        <v>June</v>
      </c>
      <c r="C468" s="33">
        <v>46178</v>
      </c>
      <c r="D468" s="64">
        <v>61988</v>
      </c>
      <c r="E468" s="60">
        <v>45418</v>
      </c>
      <c r="F468" s="52" t="s">
        <v>120</v>
      </c>
      <c r="G468" s="18" t="s">
        <v>123</v>
      </c>
      <c r="H468" s="49" t="s">
        <v>77</v>
      </c>
      <c r="I468" s="49" t="s">
        <v>77</v>
      </c>
      <c r="J468" s="50" t="s">
        <v>70</v>
      </c>
      <c r="K468" s="15">
        <v>1500</v>
      </c>
      <c r="L468" s="54">
        <v>8</v>
      </c>
      <c r="M468" s="53">
        <f t="shared" si="14"/>
        <v>12000</v>
      </c>
    </row>
    <row r="469" spans="1:19" x14ac:dyDescent="0.25">
      <c r="A469" s="21">
        <f>IF(C469="","",COUNTA($C$3:C469))</f>
        <v>467</v>
      </c>
      <c r="B469" s="35" t="str">
        <f t="shared" ref="B469:B532" si="15">IF(C469="","",TEXT(C469,"mmmm"))</f>
        <v>June</v>
      </c>
      <c r="C469" s="33">
        <v>46178</v>
      </c>
      <c r="D469" s="64">
        <v>61988</v>
      </c>
      <c r="E469" s="60">
        <v>45418</v>
      </c>
      <c r="F469" s="52" t="s">
        <v>120</v>
      </c>
      <c r="G469" s="18" t="s">
        <v>123</v>
      </c>
      <c r="H469" s="49" t="s">
        <v>91</v>
      </c>
      <c r="I469" s="49" t="s">
        <v>91</v>
      </c>
      <c r="J469" s="50" t="s">
        <v>137</v>
      </c>
      <c r="K469" s="15">
        <v>500</v>
      </c>
      <c r="L469" s="54">
        <v>5</v>
      </c>
      <c r="M469" s="53">
        <f t="shared" ref="M469:M532" si="16">K469*L469</f>
        <v>2500</v>
      </c>
    </row>
    <row r="470" spans="1:19" x14ac:dyDescent="0.25">
      <c r="A470" s="21">
        <f>IF(C470="","",COUNTA($C$3:C470))</f>
        <v>468</v>
      </c>
      <c r="B470" s="35" t="str">
        <f t="shared" si="15"/>
        <v>June</v>
      </c>
      <c r="C470" s="33">
        <v>46178</v>
      </c>
      <c r="D470" s="64">
        <v>61988</v>
      </c>
      <c r="E470" s="60">
        <v>45418</v>
      </c>
      <c r="F470" s="52" t="s">
        <v>120</v>
      </c>
      <c r="G470" s="18" t="s">
        <v>123</v>
      </c>
      <c r="H470" s="49" t="s">
        <v>266</v>
      </c>
      <c r="I470" s="49" t="s">
        <v>266</v>
      </c>
      <c r="J470" s="50" t="s">
        <v>70</v>
      </c>
      <c r="K470" s="15">
        <v>300</v>
      </c>
      <c r="L470" s="48">
        <v>10</v>
      </c>
      <c r="M470" s="53">
        <f t="shared" si="16"/>
        <v>3000</v>
      </c>
    </row>
    <row r="471" spans="1:19" x14ac:dyDescent="0.25">
      <c r="A471" s="21">
        <f>IF(C471="","",COUNTA($C$3:C471))</f>
        <v>469</v>
      </c>
      <c r="B471" s="35" t="str">
        <f t="shared" si="15"/>
        <v>June</v>
      </c>
      <c r="C471" s="33">
        <v>46178</v>
      </c>
      <c r="D471" s="64">
        <v>61991</v>
      </c>
      <c r="E471" s="60">
        <v>45419</v>
      </c>
      <c r="F471" s="52" t="s">
        <v>120</v>
      </c>
      <c r="G471" s="18" t="s">
        <v>366</v>
      </c>
      <c r="H471" s="49" t="s">
        <v>38</v>
      </c>
      <c r="I471" s="49" t="s">
        <v>78</v>
      </c>
      <c r="J471" s="50" t="s">
        <v>47</v>
      </c>
      <c r="K471" s="15">
        <v>161.30000000000001</v>
      </c>
      <c r="L471" s="53">
        <v>1269</v>
      </c>
      <c r="M471" s="53">
        <f t="shared" si="16"/>
        <v>204689.7</v>
      </c>
    </row>
    <row r="472" spans="1:19" x14ac:dyDescent="0.25">
      <c r="A472" s="21">
        <f>IF(C472="","",COUNTA($C$3:C472))</f>
        <v>470</v>
      </c>
      <c r="B472" s="35" t="str">
        <f t="shared" si="15"/>
        <v>June</v>
      </c>
      <c r="C472" s="33">
        <v>46178</v>
      </c>
      <c r="D472" s="64">
        <v>61991</v>
      </c>
      <c r="E472" s="60">
        <v>45419</v>
      </c>
      <c r="F472" s="52" t="s">
        <v>120</v>
      </c>
      <c r="G472" s="18" t="s">
        <v>366</v>
      </c>
      <c r="H472" s="49" t="s">
        <v>129</v>
      </c>
      <c r="I472" s="49" t="s">
        <v>86</v>
      </c>
      <c r="J472" s="50" t="s">
        <v>47</v>
      </c>
      <c r="K472" s="15">
        <v>37.1</v>
      </c>
      <c r="L472" s="54">
        <v>388</v>
      </c>
      <c r="M472" s="53">
        <f t="shared" si="16"/>
        <v>14394.800000000001</v>
      </c>
    </row>
    <row r="473" spans="1:19" x14ac:dyDescent="0.25">
      <c r="A473" s="21">
        <f>IF(C473="","",COUNTA($C$3:C473))</f>
        <v>471</v>
      </c>
      <c r="B473" s="35" t="str">
        <f t="shared" si="15"/>
        <v>June</v>
      </c>
      <c r="C473" s="33">
        <v>46178</v>
      </c>
      <c r="D473" s="64">
        <v>61991</v>
      </c>
      <c r="E473" s="60">
        <v>45419</v>
      </c>
      <c r="F473" s="52" t="s">
        <v>120</v>
      </c>
      <c r="G473" s="18" t="s">
        <v>366</v>
      </c>
      <c r="H473" s="49" t="s">
        <v>129</v>
      </c>
      <c r="I473" s="49" t="s">
        <v>110</v>
      </c>
      <c r="J473" s="50" t="s">
        <v>47</v>
      </c>
      <c r="K473" s="15">
        <v>37.9</v>
      </c>
      <c r="L473" s="54">
        <v>476</v>
      </c>
      <c r="M473" s="53">
        <f t="shared" si="16"/>
        <v>18040.399999999998</v>
      </c>
    </row>
    <row r="474" spans="1:19" x14ac:dyDescent="0.25">
      <c r="A474" s="21">
        <f>IF(C474="","",COUNTA($C$3:C474))</f>
        <v>472</v>
      </c>
      <c r="B474" s="35" t="str">
        <f t="shared" si="15"/>
        <v>June</v>
      </c>
      <c r="C474" s="33">
        <v>46178</v>
      </c>
      <c r="D474" s="64">
        <v>61991</v>
      </c>
      <c r="E474" s="60">
        <v>45419</v>
      </c>
      <c r="F474" s="52" t="s">
        <v>120</v>
      </c>
      <c r="G474" s="18" t="s">
        <v>366</v>
      </c>
      <c r="H474" s="49" t="s">
        <v>129</v>
      </c>
      <c r="I474" s="49" t="s">
        <v>295</v>
      </c>
      <c r="J474" s="50" t="s">
        <v>47</v>
      </c>
      <c r="K474" s="15">
        <v>56.5</v>
      </c>
      <c r="L474" s="54">
        <v>507</v>
      </c>
      <c r="M474" s="53">
        <f t="shared" si="16"/>
        <v>28645.5</v>
      </c>
    </row>
    <row r="475" spans="1:19" x14ac:dyDescent="0.25">
      <c r="A475" s="21">
        <f>IF(C475="","",COUNTA($C$3:C475))</f>
        <v>473</v>
      </c>
      <c r="B475" s="35" t="str">
        <f t="shared" si="15"/>
        <v>June</v>
      </c>
      <c r="C475" s="33">
        <v>46178</v>
      </c>
      <c r="D475" s="64">
        <v>61991</v>
      </c>
      <c r="E475" s="60">
        <v>45419</v>
      </c>
      <c r="F475" s="52" t="s">
        <v>120</v>
      </c>
      <c r="G475" s="18" t="s">
        <v>366</v>
      </c>
      <c r="H475" s="49" t="s">
        <v>129</v>
      </c>
      <c r="I475" s="49" t="s">
        <v>296</v>
      </c>
      <c r="J475" s="50" t="s">
        <v>47</v>
      </c>
      <c r="K475" s="15">
        <v>29.8</v>
      </c>
      <c r="L475" s="54">
        <v>594</v>
      </c>
      <c r="M475" s="53">
        <f t="shared" si="16"/>
        <v>17701.2</v>
      </c>
    </row>
    <row r="476" spans="1:19" x14ac:dyDescent="0.25">
      <c r="A476" s="21">
        <f>IF(C476="","",COUNTA($C$3:C476))</f>
        <v>474</v>
      </c>
      <c r="B476" s="35" t="str">
        <f t="shared" si="15"/>
        <v>June</v>
      </c>
      <c r="C476" s="33">
        <v>46178</v>
      </c>
      <c r="D476" s="64">
        <v>61991</v>
      </c>
      <c r="E476" s="60">
        <v>45419</v>
      </c>
      <c r="F476" s="52" t="s">
        <v>120</v>
      </c>
      <c r="G476" s="18" t="s">
        <v>366</v>
      </c>
      <c r="H476" s="49" t="s">
        <v>176</v>
      </c>
      <c r="I476" s="49" t="s">
        <v>86</v>
      </c>
      <c r="J476" s="50" t="s">
        <v>47</v>
      </c>
      <c r="K476" s="15">
        <v>33.6</v>
      </c>
      <c r="L476" s="53">
        <v>250</v>
      </c>
      <c r="M476" s="53">
        <f t="shared" si="16"/>
        <v>8400</v>
      </c>
    </row>
    <row r="477" spans="1:19" x14ac:dyDescent="0.25">
      <c r="A477" s="21">
        <f>IF(C477="","",COUNTA($C$3:C477))</f>
        <v>475</v>
      </c>
      <c r="B477" s="35" t="str">
        <f t="shared" si="15"/>
        <v>June</v>
      </c>
      <c r="C477" s="33">
        <v>46178</v>
      </c>
      <c r="D477" s="64">
        <v>61991</v>
      </c>
      <c r="E477" s="60">
        <v>45419</v>
      </c>
      <c r="F477" s="52" t="s">
        <v>120</v>
      </c>
      <c r="G477" s="18" t="s">
        <v>366</v>
      </c>
      <c r="H477" s="49" t="s">
        <v>176</v>
      </c>
      <c r="I477" s="49" t="s">
        <v>295</v>
      </c>
      <c r="J477" s="50" t="s">
        <v>47</v>
      </c>
      <c r="K477" s="15">
        <v>33.6</v>
      </c>
      <c r="L477" s="53">
        <v>360</v>
      </c>
      <c r="M477" s="53">
        <f t="shared" si="16"/>
        <v>12096</v>
      </c>
    </row>
    <row r="478" spans="1:19" x14ac:dyDescent="0.25">
      <c r="A478" s="21">
        <f>IF(C478="","",COUNTA($C$3:C478))</f>
        <v>476</v>
      </c>
      <c r="B478" s="35" t="str">
        <f t="shared" si="15"/>
        <v>June</v>
      </c>
      <c r="C478" s="33">
        <v>46178</v>
      </c>
      <c r="D478" s="64">
        <v>61991</v>
      </c>
      <c r="E478" s="60">
        <v>45419</v>
      </c>
      <c r="F478" s="52" t="s">
        <v>120</v>
      </c>
      <c r="G478" s="18" t="s">
        <v>366</v>
      </c>
      <c r="H478" s="49" t="s">
        <v>161</v>
      </c>
      <c r="I478" s="49" t="s">
        <v>78</v>
      </c>
      <c r="J478" s="50" t="s">
        <v>47</v>
      </c>
      <c r="K478" s="15">
        <v>24</v>
      </c>
      <c r="L478" s="53">
        <v>950</v>
      </c>
      <c r="M478" s="53">
        <f t="shared" si="16"/>
        <v>22800</v>
      </c>
    </row>
    <row r="479" spans="1:19" x14ac:dyDescent="0.25">
      <c r="A479" s="21">
        <f>IF(C479="","",COUNTA($C$3:C479))</f>
        <v>477</v>
      </c>
      <c r="B479" s="35" t="str">
        <f t="shared" si="15"/>
        <v>June</v>
      </c>
      <c r="C479" s="33">
        <v>46178</v>
      </c>
      <c r="D479" s="64">
        <v>61991</v>
      </c>
      <c r="E479" s="60">
        <v>45419</v>
      </c>
      <c r="F479" s="52" t="s">
        <v>120</v>
      </c>
      <c r="G479" s="18" t="s">
        <v>366</v>
      </c>
      <c r="H479" s="49" t="s">
        <v>139</v>
      </c>
      <c r="I479" s="49" t="s">
        <v>85</v>
      </c>
      <c r="J479" s="50" t="s">
        <v>47</v>
      </c>
      <c r="K479" s="15">
        <v>0.8</v>
      </c>
      <c r="L479" s="54">
        <v>6200</v>
      </c>
      <c r="M479" s="53">
        <f t="shared" si="16"/>
        <v>4960</v>
      </c>
    </row>
    <row r="480" spans="1:19" x14ac:dyDescent="0.25">
      <c r="A480" s="21">
        <f>IF(C480="","",COUNTA($C$3:C480))</f>
        <v>478</v>
      </c>
      <c r="B480" s="35" t="str">
        <f t="shared" si="15"/>
        <v>June</v>
      </c>
      <c r="C480" s="33">
        <v>46179</v>
      </c>
      <c r="D480" s="64">
        <v>61977</v>
      </c>
      <c r="E480" s="60">
        <v>45420</v>
      </c>
      <c r="F480" s="52" t="s">
        <v>120</v>
      </c>
      <c r="G480" s="18" t="s">
        <v>341</v>
      </c>
      <c r="H480" s="49" t="s">
        <v>271</v>
      </c>
      <c r="I480" s="49" t="s">
        <v>48</v>
      </c>
      <c r="J480" s="50" t="s">
        <v>47</v>
      </c>
      <c r="K480" s="15">
        <v>6.8</v>
      </c>
      <c r="L480" s="53">
        <v>620</v>
      </c>
      <c r="M480" s="53">
        <f t="shared" si="16"/>
        <v>4216</v>
      </c>
    </row>
    <row r="481" spans="1:18" x14ac:dyDescent="0.25">
      <c r="A481" s="21">
        <f>IF(C481="","",COUNTA($C$3:C481))</f>
        <v>479</v>
      </c>
      <c r="B481" s="35" t="str">
        <f t="shared" si="15"/>
        <v>June</v>
      </c>
      <c r="C481" s="33">
        <v>46179</v>
      </c>
      <c r="D481" s="64">
        <v>61977</v>
      </c>
      <c r="E481" s="60">
        <v>45420</v>
      </c>
      <c r="F481" s="52" t="s">
        <v>120</v>
      </c>
      <c r="G481" s="18" t="s">
        <v>341</v>
      </c>
      <c r="H481" s="49" t="s">
        <v>280</v>
      </c>
      <c r="I481" s="49" t="s">
        <v>49</v>
      </c>
      <c r="J481" s="50" t="s">
        <v>47</v>
      </c>
      <c r="K481" s="55">
        <v>6.3</v>
      </c>
      <c r="L481" s="54">
        <v>770</v>
      </c>
      <c r="M481" s="53">
        <f t="shared" si="16"/>
        <v>4851</v>
      </c>
      <c r="O481" s="59"/>
      <c r="P481" s="69"/>
      <c r="Q481" s="59"/>
    </row>
    <row r="482" spans="1:18" x14ac:dyDescent="0.25">
      <c r="A482" s="21">
        <f>IF(C482="","",COUNTA($C$3:C482))</f>
        <v>480</v>
      </c>
      <c r="B482" s="35" t="str">
        <f t="shared" si="15"/>
        <v>June</v>
      </c>
      <c r="C482" s="33">
        <v>46179</v>
      </c>
      <c r="D482" s="64">
        <v>61977</v>
      </c>
      <c r="E482" s="60">
        <v>45420</v>
      </c>
      <c r="F482" s="52" t="s">
        <v>120</v>
      </c>
      <c r="G482" s="18" t="s">
        <v>341</v>
      </c>
      <c r="H482" s="49" t="s">
        <v>370</v>
      </c>
      <c r="I482" s="49" t="s">
        <v>68</v>
      </c>
      <c r="J482" s="50" t="s">
        <v>70</v>
      </c>
      <c r="K482" s="15">
        <v>48</v>
      </c>
      <c r="L482" s="53">
        <v>375</v>
      </c>
      <c r="M482" s="53">
        <f t="shared" si="16"/>
        <v>18000</v>
      </c>
      <c r="R482" s="54"/>
    </row>
    <row r="483" spans="1:18" x14ac:dyDescent="0.25">
      <c r="A483" s="21">
        <f>IF(C483="","",COUNTA($C$3:C483))</f>
        <v>481</v>
      </c>
      <c r="B483" s="35" t="str">
        <f t="shared" si="15"/>
        <v>June</v>
      </c>
      <c r="C483" s="33">
        <v>46179</v>
      </c>
      <c r="D483" s="64">
        <v>61977</v>
      </c>
      <c r="E483" s="60">
        <v>45420</v>
      </c>
      <c r="F483" s="52" t="s">
        <v>120</v>
      </c>
      <c r="G483" s="18" t="s">
        <v>341</v>
      </c>
      <c r="H483" s="49" t="s">
        <v>371</v>
      </c>
      <c r="I483" s="49" t="s">
        <v>68</v>
      </c>
      <c r="J483" s="50" t="s">
        <v>70</v>
      </c>
      <c r="K483" s="15">
        <v>312</v>
      </c>
      <c r="L483" s="62">
        <v>100</v>
      </c>
      <c r="M483" s="53">
        <f t="shared" si="16"/>
        <v>31200</v>
      </c>
    </row>
    <row r="484" spans="1:18" x14ac:dyDescent="0.25">
      <c r="A484" s="21">
        <f>IF(C484="","",COUNTA($C$3:C484))</f>
        <v>482</v>
      </c>
      <c r="B484" s="35" t="str">
        <f t="shared" si="15"/>
        <v>June</v>
      </c>
      <c r="C484" s="33">
        <v>46179</v>
      </c>
      <c r="D484" s="64">
        <v>61977</v>
      </c>
      <c r="E484" s="60">
        <v>45420</v>
      </c>
      <c r="F484" s="52" t="s">
        <v>120</v>
      </c>
      <c r="G484" s="18" t="s">
        <v>341</v>
      </c>
      <c r="H484" s="49" t="s">
        <v>372</v>
      </c>
      <c r="I484" s="49" t="s">
        <v>68</v>
      </c>
      <c r="J484" s="50" t="s">
        <v>70</v>
      </c>
      <c r="K484" s="15">
        <v>24</v>
      </c>
      <c r="L484" s="62">
        <v>120</v>
      </c>
      <c r="M484" s="53">
        <f t="shared" si="16"/>
        <v>2880</v>
      </c>
    </row>
    <row r="485" spans="1:18" x14ac:dyDescent="0.25">
      <c r="A485" s="21">
        <f>IF(C485="","",COUNTA($C$3:C485))</f>
        <v>483</v>
      </c>
      <c r="B485" s="35" t="str">
        <f t="shared" si="15"/>
        <v>June</v>
      </c>
      <c r="C485" s="33">
        <v>46179</v>
      </c>
      <c r="D485" s="64">
        <v>61977</v>
      </c>
      <c r="E485" s="60">
        <v>45420</v>
      </c>
      <c r="F485" s="52" t="s">
        <v>120</v>
      </c>
      <c r="G485" s="18" t="s">
        <v>341</v>
      </c>
      <c r="H485" s="49" t="s">
        <v>284</v>
      </c>
      <c r="I485" s="49" t="s">
        <v>69</v>
      </c>
      <c r="J485" s="50" t="s">
        <v>70</v>
      </c>
      <c r="K485" s="15">
        <v>312</v>
      </c>
      <c r="L485" s="62">
        <v>385</v>
      </c>
      <c r="M485" s="53">
        <f t="shared" si="16"/>
        <v>120120</v>
      </c>
    </row>
    <row r="486" spans="1:18" x14ac:dyDescent="0.25">
      <c r="A486" s="21">
        <f>IF(C486="","",COUNTA($C$3:C486))</f>
        <v>484</v>
      </c>
      <c r="B486" s="35" t="str">
        <f t="shared" si="15"/>
        <v>June</v>
      </c>
      <c r="C486" s="33">
        <v>46179</v>
      </c>
      <c r="D486" s="64">
        <v>61992</v>
      </c>
      <c r="E486" s="60">
        <v>45421</v>
      </c>
      <c r="F486" s="52" t="s">
        <v>120</v>
      </c>
      <c r="G486" s="18" t="s">
        <v>341</v>
      </c>
      <c r="H486" s="49" t="s">
        <v>271</v>
      </c>
      <c r="I486" s="49" t="s">
        <v>48</v>
      </c>
      <c r="J486" s="50" t="s">
        <v>47</v>
      </c>
      <c r="K486" s="15">
        <v>248.3</v>
      </c>
      <c r="L486" s="62">
        <v>578</v>
      </c>
      <c r="M486" s="53">
        <f t="shared" si="16"/>
        <v>143517.4</v>
      </c>
    </row>
    <row r="487" spans="1:18" x14ac:dyDescent="0.25">
      <c r="A487" s="21">
        <f>IF(C487="","",COUNTA($C$3:C487))</f>
        <v>485</v>
      </c>
      <c r="B487" s="35" t="str">
        <f t="shared" si="15"/>
        <v>June</v>
      </c>
      <c r="C487" s="33">
        <v>46179</v>
      </c>
      <c r="D487" s="64">
        <v>61992</v>
      </c>
      <c r="E487" s="60">
        <v>45421</v>
      </c>
      <c r="F487" s="52" t="s">
        <v>120</v>
      </c>
      <c r="G487" s="18" t="s">
        <v>341</v>
      </c>
      <c r="H487" s="49" t="s">
        <v>272</v>
      </c>
      <c r="I487" s="49" t="s">
        <v>68</v>
      </c>
      <c r="J487" s="50" t="s">
        <v>70</v>
      </c>
      <c r="K487" s="15">
        <v>16</v>
      </c>
      <c r="L487" s="53">
        <v>350</v>
      </c>
      <c r="M487" s="53">
        <f t="shared" si="16"/>
        <v>5600</v>
      </c>
    </row>
    <row r="488" spans="1:18" x14ac:dyDescent="0.25">
      <c r="A488" s="21">
        <f>IF(C488="","",COUNTA($C$3:C488))</f>
        <v>486</v>
      </c>
      <c r="B488" s="35" t="str">
        <f t="shared" si="15"/>
        <v>June</v>
      </c>
      <c r="C488" s="33">
        <v>46179</v>
      </c>
      <c r="D488" s="64">
        <v>61992</v>
      </c>
      <c r="E488" s="60">
        <v>45421</v>
      </c>
      <c r="F488" s="52" t="s">
        <v>120</v>
      </c>
      <c r="G488" s="18" t="s">
        <v>341</v>
      </c>
      <c r="H488" s="49" t="s">
        <v>373</v>
      </c>
      <c r="I488" s="49" t="s">
        <v>68</v>
      </c>
      <c r="J488" s="50" t="s">
        <v>70</v>
      </c>
      <c r="K488" s="15">
        <v>28</v>
      </c>
      <c r="L488" s="53">
        <v>380</v>
      </c>
      <c r="M488" s="53">
        <f t="shared" si="16"/>
        <v>10640</v>
      </c>
    </row>
    <row r="489" spans="1:18" x14ac:dyDescent="0.25">
      <c r="A489" s="21">
        <f>IF(C489="","",COUNTA($C$3:C489))</f>
        <v>487</v>
      </c>
      <c r="B489" s="35" t="str">
        <f t="shared" si="15"/>
        <v>June</v>
      </c>
      <c r="C489" s="33">
        <v>46179</v>
      </c>
      <c r="D489" s="64">
        <v>61992</v>
      </c>
      <c r="E489" s="60">
        <v>45421</v>
      </c>
      <c r="F489" s="52" t="s">
        <v>120</v>
      </c>
      <c r="G489" s="18" t="s">
        <v>341</v>
      </c>
      <c r="H489" s="49" t="s">
        <v>374</v>
      </c>
      <c r="I489" s="49" t="s">
        <v>68</v>
      </c>
      <c r="J489" s="50" t="s">
        <v>70</v>
      </c>
      <c r="K489" s="15">
        <v>28</v>
      </c>
      <c r="L489" s="53">
        <v>530</v>
      </c>
      <c r="M489" s="53">
        <f t="shared" si="16"/>
        <v>14840</v>
      </c>
      <c r="O489" s="59"/>
    </row>
    <row r="490" spans="1:18" x14ac:dyDescent="0.25">
      <c r="A490" s="21">
        <f>IF(C490="","",COUNTA($C$3:C490))</f>
        <v>488</v>
      </c>
      <c r="B490" s="35" t="str">
        <f t="shared" si="15"/>
        <v>June</v>
      </c>
      <c r="C490" s="33">
        <v>46179</v>
      </c>
      <c r="D490" s="64">
        <v>61992</v>
      </c>
      <c r="E490" s="60">
        <v>45421</v>
      </c>
      <c r="F490" s="52" t="s">
        <v>120</v>
      </c>
      <c r="G490" s="18" t="s">
        <v>341</v>
      </c>
      <c r="H490" s="49" t="s">
        <v>375</v>
      </c>
      <c r="I490" s="49" t="s">
        <v>68</v>
      </c>
      <c r="J490" s="50" t="s">
        <v>70</v>
      </c>
      <c r="K490" s="55">
        <v>8</v>
      </c>
      <c r="L490" s="54">
        <v>295</v>
      </c>
      <c r="M490" s="53">
        <f t="shared" si="16"/>
        <v>2360</v>
      </c>
    </row>
    <row r="491" spans="1:18" x14ac:dyDescent="0.25">
      <c r="A491" s="21">
        <f>IF(C491="","",COUNTA($C$3:C491))</f>
        <v>489</v>
      </c>
      <c r="B491" s="35" t="str">
        <f t="shared" si="15"/>
        <v>June</v>
      </c>
      <c r="C491" s="33">
        <v>46179</v>
      </c>
      <c r="D491" s="64">
        <v>61992</v>
      </c>
      <c r="E491" s="60">
        <v>45421</v>
      </c>
      <c r="F491" s="52" t="s">
        <v>120</v>
      </c>
      <c r="G491" s="18" t="s">
        <v>341</v>
      </c>
      <c r="H491" s="49" t="s">
        <v>376</v>
      </c>
      <c r="I491" s="49" t="s">
        <v>68</v>
      </c>
      <c r="J491" s="50" t="s">
        <v>70</v>
      </c>
      <c r="K491" s="55">
        <v>8</v>
      </c>
      <c r="L491" s="54">
        <v>390</v>
      </c>
      <c r="M491" s="53">
        <f t="shared" si="16"/>
        <v>3120</v>
      </c>
    </row>
    <row r="492" spans="1:18" x14ac:dyDescent="0.25">
      <c r="A492" s="21">
        <f>IF(C492="","",COUNTA($C$3:C492))</f>
        <v>490</v>
      </c>
      <c r="B492" s="35" t="str">
        <f t="shared" si="15"/>
        <v>June</v>
      </c>
      <c r="C492" s="33">
        <v>46179</v>
      </c>
      <c r="D492" s="64">
        <v>61992</v>
      </c>
      <c r="E492" s="60">
        <v>45421</v>
      </c>
      <c r="F492" s="52" t="s">
        <v>120</v>
      </c>
      <c r="G492" s="18" t="s">
        <v>341</v>
      </c>
      <c r="H492" s="49" t="s">
        <v>377</v>
      </c>
      <c r="I492" s="49" t="s">
        <v>68</v>
      </c>
      <c r="J492" s="50" t="s">
        <v>70</v>
      </c>
      <c r="K492" s="15">
        <v>10</v>
      </c>
      <c r="L492" s="62">
        <v>395</v>
      </c>
      <c r="M492" s="53">
        <f t="shared" si="16"/>
        <v>3950</v>
      </c>
    </row>
    <row r="493" spans="1:18" x14ac:dyDescent="0.25">
      <c r="A493" s="21">
        <f>IF(C493="","",COUNTA($C$3:C493))</f>
        <v>491</v>
      </c>
      <c r="B493" s="35" t="str">
        <f t="shared" si="15"/>
        <v>June</v>
      </c>
      <c r="C493" s="33">
        <v>46181</v>
      </c>
      <c r="D493" s="64">
        <v>61992</v>
      </c>
      <c r="E493" s="60">
        <v>45422</v>
      </c>
      <c r="F493" s="52" t="s">
        <v>120</v>
      </c>
      <c r="G493" s="18" t="s">
        <v>341</v>
      </c>
      <c r="H493" s="49" t="s">
        <v>271</v>
      </c>
      <c r="I493" s="49" t="s">
        <v>48</v>
      </c>
      <c r="J493" s="50" t="s">
        <v>47</v>
      </c>
      <c r="K493" s="15">
        <v>51</v>
      </c>
      <c r="L493" s="53">
        <v>578</v>
      </c>
      <c r="M493" s="53">
        <f t="shared" si="16"/>
        <v>29478</v>
      </c>
    </row>
    <row r="494" spans="1:18" x14ac:dyDescent="0.25">
      <c r="A494" s="21">
        <f>IF(C494="","",COUNTA($C$3:C494))</f>
        <v>492</v>
      </c>
      <c r="B494" s="35" t="str">
        <f t="shared" si="15"/>
        <v>June</v>
      </c>
      <c r="C494" s="33">
        <v>46181</v>
      </c>
      <c r="D494" s="64">
        <v>61992</v>
      </c>
      <c r="E494" s="60">
        <v>45422</v>
      </c>
      <c r="F494" s="52" t="s">
        <v>120</v>
      </c>
      <c r="G494" s="18" t="s">
        <v>341</v>
      </c>
      <c r="H494" s="49" t="s">
        <v>272</v>
      </c>
      <c r="I494" s="49" t="s">
        <v>68</v>
      </c>
      <c r="J494" s="50" t="s">
        <v>70</v>
      </c>
      <c r="K494" s="15">
        <v>30</v>
      </c>
      <c r="L494" s="53">
        <v>350</v>
      </c>
      <c r="M494" s="53">
        <f t="shared" si="16"/>
        <v>10500</v>
      </c>
    </row>
    <row r="495" spans="1:18" x14ac:dyDescent="0.25">
      <c r="A495" s="21">
        <f>IF(C495="","",COUNTA($C$3:C495))</f>
        <v>493</v>
      </c>
      <c r="B495" s="35" t="str">
        <f t="shared" si="15"/>
        <v>June</v>
      </c>
      <c r="C495" s="33">
        <v>46181</v>
      </c>
      <c r="D495" s="64">
        <v>61992</v>
      </c>
      <c r="E495" s="60">
        <v>45422</v>
      </c>
      <c r="F495" s="52" t="s">
        <v>120</v>
      </c>
      <c r="G495" s="18" t="s">
        <v>341</v>
      </c>
      <c r="H495" s="49" t="s">
        <v>373</v>
      </c>
      <c r="I495" s="49" t="s">
        <v>68</v>
      </c>
      <c r="J495" s="50" t="s">
        <v>70</v>
      </c>
      <c r="K495" s="15">
        <v>58</v>
      </c>
      <c r="L495" s="53">
        <v>380</v>
      </c>
      <c r="M495" s="53">
        <f t="shared" si="16"/>
        <v>22040</v>
      </c>
    </row>
    <row r="496" spans="1:18" x14ac:dyDescent="0.25">
      <c r="A496" s="21">
        <f>IF(C496="","",COUNTA($C$3:C496))</f>
        <v>494</v>
      </c>
      <c r="B496" s="35" t="str">
        <f t="shared" si="15"/>
        <v>June</v>
      </c>
      <c r="C496" s="33">
        <v>46181</v>
      </c>
      <c r="D496" s="64">
        <v>61992</v>
      </c>
      <c r="E496" s="60">
        <v>45422</v>
      </c>
      <c r="F496" s="52" t="s">
        <v>120</v>
      </c>
      <c r="G496" s="18" t="s">
        <v>341</v>
      </c>
      <c r="H496" s="49" t="s">
        <v>374</v>
      </c>
      <c r="I496" s="49" t="s">
        <v>68</v>
      </c>
      <c r="J496" s="50" t="s">
        <v>70</v>
      </c>
      <c r="K496" s="15">
        <v>92</v>
      </c>
      <c r="L496" s="53">
        <v>530</v>
      </c>
      <c r="M496" s="53">
        <f t="shared" si="16"/>
        <v>48760</v>
      </c>
      <c r="O496" s="59"/>
    </row>
    <row r="497" spans="1:18" x14ac:dyDescent="0.25">
      <c r="A497" s="21">
        <f>IF(C497="","",COUNTA($C$3:C497))</f>
        <v>495</v>
      </c>
      <c r="B497" s="35" t="str">
        <f t="shared" si="15"/>
        <v>June</v>
      </c>
      <c r="C497" s="33">
        <v>46181</v>
      </c>
      <c r="D497" s="64">
        <v>61992</v>
      </c>
      <c r="E497" s="60">
        <v>45422</v>
      </c>
      <c r="F497" s="52" t="s">
        <v>120</v>
      </c>
      <c r="G497" s="18" t="s">
        <v>341</v>
      </c>
      <c r="H497" s="49" t="s">
        <v>375</v>
      </c>
      <c r="I497" s="49" t="s">
        <v>68</v>
      </c>
      <c r="J497" s="50" t="s">
        <v>70</v>
      </c>
      <c r="K497" s="55">
        <v>38</v>
      </c>
      <c r="L497" s="54">
        <v>295</v>
      </c>
      <c r="M497" s="53">
        <f t="shared" si="16"/>
        <v>11210</v>
      </c>
      <c r="O497" s="59"/>
    </row>
    <row r="498" spans="1:18" x14ac:dyDescent="0.25">
      <c r="A498" s="21">
        <f>IF(C498="","",COUNTA($C$3:C498))</f>
        <v>496</v>
      </c>
      <c r="B498" s="35" t="str">
        <f t="shared" si="15"/>
        <v>June</v>
      </c>
      <c r="C498" s="33">
        <v>46181</v>
      </c>
      <c r="D498" s="64">
        <v>61992</v>
      </c>
      <c r="E498" s="60">
        <v>45422</v>
      </c>
      <c r="F498" s="52" t="s">
        <v>120</v>
      </c>
      <c r="G498" s="18" t="s">
        <v>341</v>
      </c>
      <c r="H498" s="49" t="s">
        <v>376</v>
      </c>
      <c r="I498" s="49" t="s">
        <v>68</v>
      </c>
      <c r="J498" s="50" t="s">
        <v>70</v>
      </c>
      <c r="K498" s="55">
        <v>38</v>
      </c>
      <c r="L498" s="54">
        <v>390</v>
      </c>
      <c r="M498" s="53">
        <f t="shared" si="16"/>
        <v>14820</v>
      </c>
      <c r="O498" s="59"/>
    </row>
    <row r="499" spans="1:18" x14ac:dyDescent="0.25">
      <c r="A499" s="21">
        <f>IF(C499="","",COUNTA($C$3:C499))</f>
        <v>497</v>
      </c>
      <c r="B499" s="35" t="str">
        <f t="shared" si="15"/>
        <v>June</v>
      </c>
      <c r="C499" s="33">
        <v>46181</v>
      </c>
      <c r="D499" s="64">
        <v>61992</v>
      </c>
      <c r="E499" s="60">
        <v>45422</v>
      </c>
      <c r="F499" s="52" t="s">
        <v>120</v>
      </c>
      <c r="G499" s="18" t="s">
        <v>341</v>
      </c>
      <c r="H499" s="49" t="s">
        <v>377</v>
      </c>
      <c r="I499" s="49" t="s">
        <v>68</v>
      </c>
      <c r="J499" s="50" t="s">
        <v>70</v>
      </c>
      <c r="K499" s="15">
        <v>36</v>
      </c>
      <c r="L499" s="62">
        <v>395</v>
      </c>
      <c r="M499" s="53">
        <f t="shared" si="16"/>
        <v>14220</v>
      </c>
      <c r="O499" s="59"/>
    </row>
    <row r="500" spans="1:18" x14ac:dyDescent="0.25">
      <c r="A500" s="21">
        <f>IF(C500="","",COUNTA($C$3:C500))</f>
        <v>498</v>
      </c>
      <c r="B500" s="35" t="str">
        <f t="shared" si="15"/>
        <v>June</v>
      </c>
      <c r="C500" s="33">
        <v>46181</v>
      </c>
      <c r="D500" s="64">
        <v>61992</v>
      </c>
      <c r="E500" s="60">
        <v>45422</v>
      </c>
      <c r="F500" s="52" t="s">
        <v>120</v>
      </c>
      <c r="G500" s="18" t="s">
        <v>341</v>
      </c>
      <c r="H500" s="49" t="s">
        <v>371</v>
      </c>
      <c r="I500" s="49" t="s">
        <v>68</v>
      </c>
      <c r="J500" s="50" t="s">
        <v>70</v>
      </c>
      <c r="K500" s="15">
        <v>35</v>
      </c>
      <c r="L500" s="62">
        <v>100</v>
      </c>
      <c r="M500" s="53">
        <f t="shared" si="16"/>
        <v>3500</v>
      </c>
      <c r="O500" s="59"/>
    </row>
    <row r="501" spans="1:18" x14ac:dyDescent="0.25">
      <c r="A501" s="21">
        <f>IF(C501="","",COUNTA($C$3:C501))</f>
        <v>499</v>
      </c>
      <c r="B501" s="35" t="str">
        <f t="shared" si="15"/>
        <v>June</v>
      </c>
      <c r="C501" s="33">
        <v>46181</v>
      </c>
      <c r="D501" s="64">
        <v>61992</v>
      </c>
      <c r="E501" s="60">
        <v>45422</v>
      </c>
      <c r="F501" s="52" t="s">
        <v>120</v>
      </c>
      <c r="G501" s="18" t="s">
        <v>341</v>
      </c>
      <c r="H501" s="49" t="s">
        <v>379</v>
      </c>
      <c r="I501" s="49" t="s">
        <v>68</v>
      </c>
      <c r="J501" s="50" t="s">
        <v>70</v>
      </c>
      <c r="K501" s="15">
        <v>75</v>
      </c>
      <c r="L501" s="62">
        <v>140</v>
      </c>
      <c r="M501" s="53">
        <f t="shared" si="16"/>
        <v>10500</v>
      </c>
      <c r="O501" s="59"/>
    </row>
    <row r="502" spans="1:18" x14ac:dyDescent="0.25">
      <c r="A502" s="21">
        <f>IF(C502="","",COUNTA($C$3:C502))</f>
        <v>500</v>
      </c>
      <c r="B502" s="35" t="str">
        <f t="shared" si="15"/>
        <v>June</v>
      </c>
      <c r="C502" s="33">
        <v>46181</v>
      </c>
      <c r="D502" s="64">
        <v>61992</v>
      </c>
      <c r="E502" s="60">
        <v>45422</v>
      </c>
      <c r="F502" s="52" t="s">
        <v>120</v>
      </c>
      <c r="G502" s="18" t="s">
        <v>341</v>
      </c>
      <c r="H502" s="49" t="s">
        <v>380</v>
      </c>
      <c r="I502" s="49" t="s">
        <v>68</v>
      </c>
      <c r="J502" s="50" t="s">
        <v>70</v>
      </c>
      <c r="K502" s="15">
        <v>25</v>
      </c>
      <c r="L502" s="62">
        <v>180</v>
      </c>
      <c r="M502" s="53">
        <f t="shared" si="16"/>
        <v>4500</v>
      </c>
      <c r="O502" s="59"/>
    </row>
    <row r="503" spans="1:18" x14ac:dyDescent="0.25">
      <c r="A503" s="21">
        <f>IF(C503="","",COUNTA($C$3:C503))</f>
        <v>501</v>
      </c>
      <c r="B503" s="35" t="str">
        <f t="shared" si="15"/>
        <v>June</v>
      </c>
      <c r="C503" s="33">
        <v>46181</v>
      </c>
      <c r="D503" s="15">
        <v>61988</v>
      </c>
      <c r="E503" s="60">
        <v>45423</v>
      </c>
      <c r="F503" s="52" t="s">
        <v>120</v>
      </c>
      <c r="G503" s="18" t="s">
        <v>123</v>
      </c>
      <c r="H503" s="49" t="s">
        <v>351</v>
      </c>
      <c r="I503" s="49" t="s">
        <v>68</v>
      </c>
      <c r="J503" s="50" t="s">
        <v>70</v>
      </c>
      <c r="K503" s="15">
        <v>118</v>
      </c>
      <c r="L503" s="62">
        <v>1103</v>
      </c>
      <c r="M503" s="53">
        <f t="shared" si="16"/>
        <v>130154</v>
      </c>
      <c r="O503" s="59"/>
      <c r="P503" s="71"/>
      <c r="Q503" s="59"/>
    </row>
    <row r="504" spans="1:18" x14ac:dyDescent="0.25">
      <c r="A504" s="21">
        <f>IF(C504="","",COUNTA($C$3:C504))</f>
        <v>502</v>
      </c>
      <c r="B504" s="35" t="str">
        <f t="shared" si="15"/>
        <v>June</v>
      </c>
      <c r="C504" s="33">
        <v>46181</v>
      </c>
      <c r="D504" s="15">
        <v>61988</v>
      </c>
      <c r="E504" s="60">
        <v>45423</v>
      </c>
      <c r="F504" s="52" t="s">
        <v>120</v>
      </c>
      <c r="G504" s="18" t="s">
        <v>123</v>
      </c>
      <c r="H504" s="49" t="s">
        <v>369</v>
      </c>
      <c r="I504" s="49" t="s">
        <v>68</v>
      </c>
      <c r="J504" s="50" t="s">
        <v>70</v>
      </c>
      <c r="K504" s="15">
        <v>50</v>
      </c>
      <c r="L504" s="62">
        <v>1195</v>
      </c>
      <c r="M504" s="53">
        <f t="shared" si="16"/>
        <v>59750</v>
      </c>
      <c r="O504" s="59"/>
      <c r="P504" s="71"/>
      <c r="Q504" s="59"/>
    </row>
    <row r="505" spans="1:18" x14ac:dyDescent="0.25">
      <c r="A505" s="21">
        <f>IF(C505="","",COUNTA($C$3:C505))</f>
        <v>503</v>
      </c>
      <c r="B505" s="35" t="str">
        <f t="shared" si="15"/>
        <v>June</v>
      </c>
      <c r="C505" s="33">
        <v>46181</v>
      </c>
      <c r="D505" s="15">
        <v>61988</v>
      </c>
      <c r="E505" s="60">
        <v>45423</v>
      </c>
      <c r="F505" s="52" t="s">
        <v>120</v>
      </c>
      <c r="G505" s="18" t="s">
        <v>123</v>
      </c>
      <c r="H505" s="49" t="s">
        <v>129</v>
      </c>
      <c r="I505" s="49" t="s">
        <v>74</v>
      </c>
      <c r="J505" s="50" t="s">
        <v>47</v>
      </c>
      <c r="K505" s="15">
        <f>155.97101+76.99092</f>
        <v>232.96193</v>
      </c>
      <c r="L505" s="62">
        <v>289</v>
      </c>
      <c r="M505" s="53">
        <f t="shared" si="16"/>
        <v>67325.997770000002</v>
      </c>
      <c r="O505" s="59"/>
    </row>
    <row r="506" spans="1:18" x14ac:dyDescent="0.25">
      <c r="A506" s="21">
        <f>IF(C506="","",COUNTA($C$3:C506))</f>
        <v>504</v>
      </c>
      <c r="B506" s="35" t="str">
        <f t="shared" si="15"/>
        <v>June</v>
      </c>
      <c r="C506" s="33">
        <v>46181</v>
      </c>
      <c r="D506" s="15">
        <v>61988</v>
      </c>
      <c r="E506" s="60">
        <v>45423</v>
      </c>
      <c r="F506" s="52" t="s">
        <v>120</v>
      </c>
      <c r="G506" s="18" t="s">
        <v>123</v>
      </c>
      <c r="H506" s="49" t="s">
        <v>176</v>
      </c>
      <c r="I506" s="76" t="s">
        <v>76</v>
      </c>
      <c r="J506" s="50" t="s">
        <v>70</v>
      </c>
      <c r="K506" s="15">
        <v>100</v>
      </c>
      <c r="L506" s="62">
        <v>154</v>
      </c>
      <c r="M506" s="53">
        <f t="shared" si="16"/>
        <v>15400</v>
      </c>
      <c r="O506" s="59"/>
    </row>
    <row r="507" spans="1:18" x14ac:dyDescent="0.25">
      <c r="A507" s="21">
        <f>IF(C507="","",COUNTA($C$3:C507))</f>
        <v>505</v>
      </c>
      <c r="B507" s="35" t="str">
        <f t="shared" si="15"/>
        <v>June</v>
      </c>
      <c r="C507" s="33">
        <v>46181</v>
      </c>
      <c r="D507" s="15">
        <v>61849</v>
      </c>
      <c r="E507" s="60">
        <v>45424</v>
      </c>
      <c r="F507" s="52" t="s">
        <v>207</v>
      </c>
      <c r="G507" s="18" t="s">
        <v>378</v>
      </c>
      <c r="H507" s="49" t="s">
        <v>114</v>
      </c>
      <c r="I507" s="49" t="s">
        <v>48</v>
      </c>
      <c r="J507" s="50" t="s">
        <v>47</v>
      </c>
      <c r="K507" s="15">
        <v>13.1</v>
      </c>
      <c r="L507" s="54">
        <v>710</v>
      </c>
      <c r="M507" s="53">
        <f t="shared" si="16"/>
        <v>9301</v>
      </c>
      <c r="O507" s="59"/>
    </row>
    <row r="508" spans="1:18" x14ac:dyDescent="0.25">
      <c r="A508" s="21">
        <f>IF(C508="","",COUNTA($C$3:C508))</f>
        <v>506</v>
      </c>
      <c r="B508" s="35" t="str">
        <f t="shared" si="15"/>
        <v>June</v>
      </c>
      <c r="C508" s="33">
        <v>46181</v>
      </c>
      <c r="D508" s="15">
        <v>61849</v>
      </c>
      <c r="E508" s="60">
        <v>45424</v>
      </c>
      <c r="F508" s="52" t="s">
        <v>207</v>
      </c>
      <c r="G508" s="18" t="s">
        <v>378</v>
      </c>
      <c r="H508" s="49" t="s">
        <v>114</v>
      </c>
      <c r="I508" s="49" t="s">
        <v>49</v>
      </c>
      <c r="J508" s="50" t="s">
        <v>47</v>
      </c>
      <c r="K508" s="15">
        <v>5.9</v>
      </c>
      <c r="L508" s="54">
        <v>865</v>
      </c>
      <c r="M508" s="53">
        <f t="shared" si="16"/>
        <v>5103.5</v>
      </c>
      <c r="O508" s="59"/>
    </row>
    <row r="509" spans="1:18" x14ac:dyDescent="0.25">
      <c r="A509" s="21">
        <f>IF(C509="","",COUNTA($C$3:C509))</f>
        <v>507</v>
      </c>
      <c r="B509" s="35" t="str">
        <f t="shared" si="15"/>
        <v>June</v>
      </c>
      <c r="C509" s="33">
        <v>46181</v>
      </c>
      <c r="D509" s="15">
        <v>61849</v>
      </c>
      <c r="E509" s="60">
        <v>45424</v>
      </c>
      <c r="F509" s="52" t="s">
        <v>207</v>
      </c>
      <c r="G509" s="18" t="s">
        <v>378</v>
      </c>
      <c r="H509" s="49" t="s">
        <v>147</v>
      </c>
      <c r="I509" s="49" t="s">
        <v>50</v>
      </c>
      <c r="J509" s="50" t="s">
        <v>47</v>
      </c>
      <c r="K509" s="15">
        <v>0.6</v>
      </c>
      <c r="L509" s="54">
        <v>960</v>
      </c>
      <c r="M509" s="53">
        <f t="shared" si="16"/>
        <v>576</v>
      </c>
      <c r="O509" s="59"/>
    </row>
    <row r="510" spans="1:18" x14ac:dyDescent="0.25">
      <c r="A510" s="21">
        <f>IF(C510="","",COUNTA($C$3:C510))</f>
        <v>508</v>
      </c>
      <c r="B510" s="35" t="str">
        <f t="shared" si="15"/>
        <v>June</v>
      </c>
      <c r="C510" s="33">
        <v>46181</v>
      </c>
      <c r="D510" s="15">
        <v>61849</v>
      </c>
      <c r="E510" s="60">
        <v>45424</v>
      </c>
      <c r="F510" s="52" t="s">
        <v>207</v>
      </c>
      <c r="G510" s="18" t="s">
        <v>378</v>
      </c>
      <c r="H510" s="49" t="s">
        <v>271</v>
      </c>
      <c r="I510" s="49" t="s">
        <v>48</v>
      </c>
      <c r="J510" s="50" t="s">
        <v>47</v>
      </c>
      <c r="K510" s="15">
        <v>20.6</v>
      </c>
      <c r="L510" s="53">
        <v>620</v>
      </c>
      <c r="M510" s="53">
        <f t="shared" si="16"/>
        <v>12772</v>
      </c>
      <c r="O510" s="71"/>
    </row>
    <row r="511" spans="1:18" x14ac:dyDescent="0.25">
      <c r="A511" s="21">
        <f>IF(C511="","",COUNTA($C$3:C511))</f>
        <v>509</v>
      </c>
      <c r="B511" s="35" t="str">
        <f t="shared" si="15"/>
        <v>June</v>
      </c>
      <c r="C511" s="33">
        <v>46181</v>
      </c>
      <c r="D511" s="15">
        <v>61849</v>
      </c>
      <c r="E511" s="60">
        <v>45424</v>
      </c>
      <c r="F511" s="52" t="s">
        <v>207</v>
      </c>
      <c r="G511" s="18" t="s">
        <v>378</v>
      </c>
      <c r="H511" s="49" t="s">
        <v>280</v>
      </c>
      <c r="I511" s="49" t="s">
        <v>49</v>
      </c>
      <c r="J511" s="50" t="s">
        <v>47</v>
      </c>
      <c r="K511" s="15">
        <v>0.9</v>
      </c>
      <c r="L511" s="54">
        <v>770</v>
      </c>
      <c r="M511" s="53">
        <f t="shared" si="16"/>
        <v>693</v>
      </c>
      <c r="R511" s="59"/>
    </row>
    <row r="512" spans="1:18" x14ac:dyDescent="0.25">
      <c r="A512" s="21">
        <f>IF(C512="","",COUNTA($C$3:C512))</f>
        <v>510</v>
      </c>
      <c r="B512" s="35" t="str">
        <f t="shared" si="15"/>
        <v>June</v>
      </c>
      <c r="C512" s="33">
        <v>46181</v>
      </c>
      <c r="D512" s="15">
        <v>61849</v>
      </c>
      <c r="E512" s="60">
        <v>45424</v>
      </c>
      <c r="F512" s="52" t="s">
        <v>207</v>
      </c>
      <c r="G512" s="18" t="s">
        <v>378</v>
      </c>
      <c r="H512" s="49" t="s">
        <v>129</v>
      </c>
      <c r="I512" s="49" t="s">
        <v>53</v>
      </c>
      <c r="J512" s="50" t="s">
        <v>47</v>
      </c>
      <c r="K512" s="15">
        <v>41.1</v>
      </c>
      <c r="L512" s="53">
        <v>320</v>
      </c>
      <c r="M512" s="53">
        <f t="shared" si="16"/>
        <v>13152</v>
      </c>
    </row>
    <row r="513" spans="1:17" x14ac:dyDescent="0.25">
      <c r="A513" s="21">
        <f>IF(C513="","",COUNTA($C$3:C513))</f>
        <v>511</v>
      </c>
      <c r="B513" s="35" t="str">
        <f t="shared" si="15"/>
        <v>June</v>
      </c>
      <c r="C513" s="33">
        <v>46182</v>
      </c>
      <c r="D513" s="15">
        <v>61988</v>
      </c>
      <c r="E513" s="60">
        <v>45425</v>
      </c>
      <c r="F513" s="52" t="s">
        <v>120</v>
      </c>
      <c r="G513" s="18" t="s">
        <v>123</v>
      </c>
      <c r="H513" s="49" t="s">
        <v>368</v>
      </c>
      <c r="I513" s="49" t="s">
        <v>68</v>
      </c>
      <c r="J513" s="50" t="s">
        <v>70</v>
      </c>
      <c r="K513" s="15">
        <v>5</v>
      </c>
      <c r="L513" s="54">
        <v>757</v>
      </c>
      <c r="M513" s="53">
        <f t="shared" si="16"/>
        <v>3785</v>
      </c>
      <c r="O513" s="59"/>
      <c r="P513" s="112"/>
      <c r="Q513" s="59"/>
    </row>
    <row r="514" spans="1:17" x14ac:dyDescent="0.25">
      <c r="A514" s="21">
        <f>IF(C514="","",COUNTA($C$3:C514))</f>
        <v>512</v>
      </c>
      <c r="B514" s="35" t="str">
        <f t="shared" si="15"/>
        <v>June</v>
      </c>
      <c r="C514" s="33">
        <v>46182</v>
      </c>
      <c r="D514" s="15">
        <v>61988</v>
      </c>
      <c r="E514" s="60">
        <v>45425</v>
      </c>
      <c r="F514" s="52" t="s">
        <v>120</v>
      </c>
      <c r="G514" s="18" t="s">
        <v>123</v>
      </c>
      <c r="H514" s="49" t="s">
        <v>351</v>
      </c>
      <c r="I514" s="49" t="s">
        <v>68</v>
      </c>
      <c r="J514" s="50" t="s">
        <v>70</v>
      </c>
      <c r="K514" s="67">
        <v>226</v>
      </c>
      <c r="L514" s="53">
        <v>1103</v>
      </c>
      <c r="M514" s="53">
        <f t="shared" si="16"/>
        <v>249278</v>
      </c>
      <c r="O514" s="59"/>
      <c r="P514" s="59"/>
      <c r="Q514" s="59"/>
    </row>
    <row r="515" spans="1:17" x14ac:dyDescent="0.25">
      <c r="A515" s="21">
        <f>IF(C515="","",COUNTA($C$3:C515))</f>
        <v>513</v>
      </c>
      <c r="B515" s="35" t="str">
        <f t="shared" si="15"/>
        <v>June</v>
      </c>
      <c r="C515" s="33">
        <v>46182</v>
      </c>
      <c r="D515" s="15">
        <v>61988</v>
      </c>
      <c r="E515" s="60">
        <v>45425</v>
      </c>
      <c r="F515" s="52" t="s">
        <v>120</v>
      </c>
      <c r="G515" s="18" t="s">
        <v>123</v>
      </c>
      <c r="H515" s="49" t="s">
        <v>369</v>
      </c>
      <c r="I515" s="49" t="s">
        <v>68</v>
      </c>
      <c r="J515" s="50" t="s">
        <v>70</v>
      </c>
      <c r="K515" s="15">
        <v>75</v>
      </c>
      <c r="L515" s="53">
        <v>1195</v>
      </c>
      <c r="M515" s="53">
        <f t="shared" si="16"/>
        <v>89625</v>
      </c>
      <c r="O515" s="59"/>
      <c r="P515" s="69"/>
      <c r="Q515" s="59"/>
    </row>
    <row r="516" spans="1:17" x14ac:dyDescent="0.25">
      <c r="A516" s="21">
        <f>IF(C516="","",COUNTA($C$3:C516))</f>
        <v>514</v>
      </c>
      <c r="B516" s="35" t="str">
        <f t="shared" si="15"/>
        <v>June</v>
      </c>
      <c r="C516" s="33">
        <v>46182</v>
      </c>
      <c r="D516" s="15">
        <v>61988</v>
      </c>
      <c r="E516" s="60">
        <v>45425</v>
      </c>
      <c r="F516" s="52" t="s">
        <v>120</v>
      </c>
      <c r="G516" s="18" t="s">
        <v>123</v>
      </c>
      <c r="H516" s="49" t="s">
        <v>129</v>
      </c>
      <c r="I516" s="49" t="s">
        <v>74</v>
      </c>
      <c r="J516" s="50" t="s">
        <v>47</v>
      </c>
      <c r="K516" s="15">
        <f>4.5502+298.73+115.48105</f>
        <v>418.76125000000002</v>
      </c>
      <c r="L516" s="62">
        <v>289</v>
      </c>
      <c r="M516" s="53">
        <f t="shared" si="16"/>
        <v>121022.00125</v>
      </c>
    </row>
    <row r="517" spans="1:17" x14ac:dyDescent="0.25">
      <c r="A517" s="21">
        <f>IF(C517="","",COUNTA($C$3:C517))</f>
        <v>515</v>
      </c>
      <c r="B517" s="35" t="str">
        <f t="shared" si="15"/>
        <v>June</v>
      </c>
      <c r="C517" s="33">
        <v>46182</v>
      </c>
      <c r="D517" s="15">
        <v>61988</v>
      </c>
      <c r="E517" s="60">
        <v>45425</v>
      </c>
      <c r="F517" s="52" t="s">
        <v>120</v>
      </c>
      <c r="G517" s="18" t="s">
        <v>123</v>
      </c>
      <c r="H517" s="49" t="s">
        <v>176</v>
      </c>
      <c r="I517" s="76" t="s">
        <v>76</v>
      </c>
      <c r="J517" s="50" t="s">
        <v>70</v>
      </c>
      <c r="K517" s="15">
        <v>360</v>
      </c>
      <c r="L517" s="62">
        <v>154</v>
      </c>
      <c r="M517" s="53">
        <f t="shared" si="16"/>
        <v>55440</v>
      </c>
    </row>
    <row r="518" spans="1:17" x14ac:dyDescent="0.25">
      <c r="A518" s="21">
        <f>IF(C518="","",COUNTA($C$3:C518))</f>
        <v>516</v>
      </c>
      <c r="B518" s="35" t="str">
        <f t="shared" si="15"/>
        <v>June</v>
      </c>
      <c r="C518" s="33">
        <v>46183</v>
      </c>
      <c r="D518" s="15">
        <v>61993</v>
      </c>
      <c r="E518" s="60">
        <v>45426</v>
      </c>
      <c r="F518" s="52" t="s">
        <v>120</v>
      </c>
      <c r="G518" s="18" t="s">
        <v>382</v>
      </c>
      <c r="H518" s="49" t="s">
        <v>237</v>
      </c>
      <c r="I518" s="49" t="s">
        <v>68</v>
      </c>
      <c r="J518" s="50" t="s">
        <v>70</v>
      </c>
      <c r="K518" s="15">
        <v>89</v>
      </c>
      <c r="L518" s="62">
        <v>987</v>
      </c>
      <c r="M518" s="53">
        <f t="shared" si="16"/>
        <v>87843</v>
      </c>
      <c r="O518" s="59"/>
      <c r="P518" s="112"/>
      <c r="Q518" s="59"/>
    </row>
    <row r="519" spans="1:17" x14ac:dyDescent="0.25">
      <c r="A519" s="21">
        <f>IF(C519="","",COUNTA($C$3:C519))</f>
        <v>517</v>
      </c>
      <c r="B519" s="35" t="str">
        <f t="shared" si="15"/>
        <v>June</v>
      </c>
      <c r="C519" s="33">
        <v>46183</v>
      </c>
      <c r="D519" s="15">
        <v>61993</v>
      </c>
      <c r="E519" s="60">
        <v>45426</v>
      </c>
      <c r="F519" s="52" t="s">
        <v>120</v>
      </c>
      <c r="G519" s="18" t="s">
        <v>382</v>
      </c>
      <c r="H519" s="49" t="s">
        <v>389</v>
      </c>
      <c r="I519" s="49" t="s">
        <v>68</v>
      </c>
      <c r="J519" s="50" t="s">
        <v>70</v>
      </c>
      <c r="K519" s="15">
        <v>3</v>
      </c>
      <c r="L519" s="62">
        <v>482</v>
      </c>
      <c r="M519" s="53">
        <f t="shared" si="16"/>
        <v>1446</v>
      </c>
      <c r="O519" s="59"/>
      <c r="P519" s="59"/>
      <c r="Q519" s="59"/>
    </row>
    <row r="520" spans="1:17" x14ac:dyDescent="0.25">
      <c r="A520" s="21">
        <f>IF(C520="","",COUNTA($C$3:C520))</f>
        <v>518</v>
      </c>
      <c r="B520" s="35" t="str">
        <f t="shared" si="15"/>
        <v>June</v>
      </c>
      <c r="C520" s="33">
        <v>46183</v>
      </c>
      <c r="D520" s="15">
        <v>61993</v>
      </c>
      <c r="E520" s="60">
        <v>45426</v>
      </c>
      <c r="F520" s="52" t="s">
        <v>120</v>
      </c>
      <c r="G520" s="18" t="s">
        <v>382</v>
      </c>
      <c r="H520" s="49" t="s">
        <v>390</v>
      </c>
      <c r="I520" s="49" t="s">
        <v>68</v>
      </c>
      <c r="J520" s="50" t="s">
        <v>70</v>
      </c>
      <c r="K520" s="15">
        <v>40</v>
      </c>
      <c r="L520" s="62">
        <v>542</v>
      </c>
      <c r="M520" s="53">
        <f t="shared" si="16"/>
        <v>21680</v>
      </c>
      <c r="O520" s="59"/>
      <c r="P520" s="59"/>
      <c r="Q520" s="59"/>
    </row>
    <row r="521" spans="1:17" x14ac:dyDescent="0.25">
      <c r="A521" s="21">
        <f>IF(C521="","",COUNTA($C$3:C521))</f>
        <v>519</v>
      </c>
      <c r="B521" s="35" t="str">
        <f t="shared" si="15"/>
        <v>June</v>
      </c>
      <c r="C521" s="33">
        <v>46183</v>
      </c>
      <c r="D521" s="15">
        <v>61993</v>
      </c>
      <c r="E521" s="60">
        <v>45426</v>
      </c>
      <c r="F521" s="52" t="s">
        <v>120</v>
      </c>
      <c r="G521" s="18" t="s">
        <v>382</v>
      </c>
      <c r="H521" s="49" t="s">
        <v>391</v>
      </c>
      <c r="I521" s="49" t="s">
        <v>68</v>
      </c>
      <c r="J521" s="50" t="s">
        <v>70</v>
      </c>
      <c r="K521" s="15">
        <v>3</v>
      </c>
      <c r="L521" s="62">
        <v>645</v>
      </c>
      <c r="M521" s="53">
        <f t="shared" si="16"/>
        <v>1935</v>
      </c>
      <c r="O521" s="59"/>
      <c r="P521" s="59"/>
      <c r="Q521" s="59"/>
    </row>
    <row r="522" spans="1:17" x14ac:dyDescent="0.25">
      <c r="A522" s="21">
        <f>IF(C522="","",COUNTA($C$3:C522))</f>
        <v>520</v>
      </c>
      <c r="B522" s="35" t="str">
        <f t="shared" si="15"/>
        <v>June</v>
      </c>
      <c r="C522" s="33">
        <v>46183</v>
      </c>
      <c r="D522" s="15">
        <v>61993</v>
      </c>
      <c r="E522" s="60">
        <v>45426</v>
      </c>
      <c r="F522" s="52" t="s">
        <v>120</v>
      </c>
      <c r="G522" s="18" t="s">
        <v>382</v>
      </c>
      <c r="H522" s="49" t="s">
        <v>392</v>
      </c>
      <c r="I522" s="49" t="s">
        <v>68</v>
      </c>
      <c r="J522" s="50" t="s">
        <v>70</v>
      </c>
      <c r="K522" s="15">
        <v>1</v>
      </c>
      <c r="L522" s="62">
        <v>726</v>
      </c>
      <c r="M522" s="53">
        <f t="shared" si="16"/>
        <v>726</v>
      </c>
      <c r="O522" s="59"/>
      <c r="P522" s="59"/>
      <c r="Q522" s="59"/>
    </row>
    <row r="523" spans="1:17" x14ac:dyDescent="0.25">
      <c r="A523" s="21">
        <f>IF(C523="","",COUNTA($C$3:C523))</f>
        <v>521</v>
      </c>
      <c r="B523" s="35" t="str">
        <f t="shared" si="15"/>
        <v>June</v>
      </c>
      <c r="C523" s="33">
        <v>46183</v>
      </c>
      <c r="D523" s="15">
        <v>61993</v>
      </c>
      <c r="E523" s="60">
        <v>45426</v>
      </c>
      <c r="F523" s="52" t="s">
        <v>120</v>
      </c>
      <c r="G523" s="18" t="s">
        <v>382</v>
      </c>
      <c r="H523" s="49" t="s">
        <v>129</v>
      </c>
      <c r="I523" s="49" t="s">
        <v>93</v>
      </c>
      <c r="J523" s="50" t="s">
        <v>47</v>
      </c>
      <c r="K523" s="105">
        <v>105.97423000000001</v>
      </c>
      <c r="L523" s="62">
        <v>582</v>
      </c>
      <c r="M523" s="53">
        <f t="shared" si="16"/>
        <v>61677.001860000004</v>
      </c>
    </row>
    <row r="524" spans="1:17" x14ac:dyDescent="0.25">
      <c r="A524" s="21">
        <f>IF(C524="","",COUNTA($C$3:C524))</f>
        <v>522</v>
      </c>
      <c r="B524" s="35" t="str">
        <f t="shared" si="15"/>
        <v>June</v>
      </c>
      <c r="C524" s="33">
        <v>46183</v>
      </c>
      <c r="D524" s="15">
        <v>61993</v>
      </c>
      <c r="E524" s="60">
        <v>45426</v>
      </c>
      <c r="F524" s="52" t="s">
        <v>120</v>
      </c>
      <c r="G524" s="18" t="s">
        <v>382</v>
      </c>
      <c r="H524" s="49" t="s">
        <v>129</v>
      </c>
      <c r="I524" s="49" t="s">
        <v>75</v>
      </c>
      <c r="J524" s="50" t="s">
        <v>47</v>
      </c>
      <c r="K524" s="15">
        <f>1.86+24.8+2.1+0.96</f>
        <v>29.720000000000002</v>
      </c>
      <c r="L524" s="54">
        <v>900</v>
      </c>
      <c r="M524" s="53">
        <f t="shared" si="16"/>
        <v>26748.000000000004</v>
      </c>
    </row>
    <row r="525" spans="1:17" x14ac:dyDescent="0.25">
      <c r="A525" s="21">
        <f>IF(C525="","",COUNTA($C$3:C525))</f>
        <v>523</v>
      </c>
      <c r="B525" s="35" t="str">
        <f t="shared" si="15"/>
        <v>June</v>
      </c>
      <c r="C525" s="33">
        <v>46184</v>
      </c>
      <c r="D525" s="15">
        <v>61928</v>
      </c>
      <c r="E525" s="60">
        <v>45427</v>
      </c>
      <c r="F525" s="52" t="s">
        <v>120</v>
      </c>
      <c r="G525" s="18" t="s">
        <v>384</v>
      </c>
      <c r="H525" s="49" t="s">
        <v>38</v>
      </c>
      <c r="I525" s="49" t="s">
        <v>78</v>
      </c>
      <c r="J525" s="50" t="s">
        <v>47</v>
      </c>
      <c r="K525" s="15">
        <v>19.899999999999999</v>
      </c>
      <c r="L525" s="53">
        <v>1269</v>
      </c>
      <c r="M525" s="53">
        <f t="shared" si="16"/>
        <v>25253.1</v>
      </c>
    </row>
    <row r="526" spans="1:17" x14ac:dyDescent="0.25">
      <c r="A526" s="21">
        <f>IF(C526="","",COUNTA($C$3:C526))</f>
        <v>524</v>
      </c>
      <c r="B526" s="35" t="str">
        <f t="shared" si="15"/>
        <v>June</v>
      </c>
      <c r="C526" s="33">
        <v>46184</v>
      </c>
      <c r="D526" s="15">
        <v>61928</v>
      </c>
      <c r="E526" s="60">
        <v>45427</v>
      </c>
      <c r="F526" s="52" t="s">
        <v>120</v>
      </c>
      <c r="G526" s="18" t="s">
        <v>384</v>
      </c>
      <c r="H526" s="49" t="s">
        <v>129</v>
      </c>
      <c r="I526" s="49" t="s">
        <v>295</v>
      </c>
      <c r="J526" s="50" t="s">
        <v>47</v>
      </c>
      <c r="K526" s="15">
        <v>9</v>
      </c>
      <c r="L526" s="54">
        <v>507</v>
      </c>
      <c r="M526" s="53">
        <f t="shared" si="16"/>
        <v>4563</v>
      </c>
    </row>
    <row r="527" spans="1:17" x14ac:dyDescent="0.25">
      <c r="A527" s="21">
        <f>IF(C527="","",COUNTA($C$3:C527))</f>
        <v>525</v>
      </c>
      <c r="B527" s="35" t="str">
        <f t="shared" si="15"/>
        <v>June</v>
      </c>
      <c r="C527" s="33">
        <v>46184</v>
      </c>
      <c r="D527" s="15">
        <v>61928</v>
      </c>
      <c r="E527" s="60">
        <v>45427</v>
      </c>
      <c r="F527" s="52" t="s">
        <v>120</v>
      </c>
      <c r="G527" s="18" t="s">
        <v>384</v>
      </c>
      <c r="H527" s="49" t="s">
        <v>129</v>
      </c>
      <c r="I527" s="49" t="s">
        <v>296</v>
      </c>
      <c r="J527" s="50" t="s">
        <v>47</v>
      </c>
      <c r="K527" s="15">
        <v>10.9</v>
      </c>
      <c r="L527" s="54">
        <v>594</v>
      </c>
      <c r="M527" s="53">
        <f t="shared" si="16"/>
        <v>6474.6</v>
      </c>
    </row>
    <row r="528" spans="1:17" x14ac:dyDescent="0.25">
      <c r="A528" s="21">
        <f>IF(C528="","",COUNTA($C$3:C528))</f>
        <v>526</v>
      </c>
      <c r="B528" s="35" t="str">
        <f t="shared" si="15"/>
        <v>June</v>
      </c>
      <c r="C528" s="33">
        <v>46184</v>
      </c>
      <c r="D528" s="15">
        <v>61928</v>
      </c>
      <c r="E528" s="60">
        <v>45427</v>
      </c>
      <c r="F528" s="52" t="s">
        <v>120</v>
      </c>
      <c r="G528" s="18" t="s">
        <v>384</v>
      </c>
      <c r="H528" s="49" t="s">
        <v>161</v>
      </c>
      <c r="I528" s="49" t="s">
        <v>78</v>
      </c>
      <c r="J528" s="50" t="s">
        <v>47</v>
      </c>
      <c r="K528" s="15">
        <v>9</v>
      </c>
      <c r="L528" s="53">
        <v>920</v>
      </c>
      <c r="M528" s="53">
        <f t="shared" si="16"/>
        <v>8280</v>
      </c>
    </row>
    <row r="529" spans="1:18" x14ac:dyDescent="0.25">
      <c r="A529" s="21">
        <f>IF(C529="","",COUNTA($C$3:C529))</f>
        <v>527</v>
      </c>
      <c r="B529" s="35" t="str">
        <f t="shared" si="15"/>
        <v>June</v>
      </c>
      <c r="C529" s="33">
        <v>46184</v>
      </c>
      <c r="D529" s="15">
        <v>61928</v>
      </c>
      <c r="E529" s="60">
        <v>45427</v>
      </c>
      <c r="F529" s="52" t="s">
        <v>120</v>
      </c>
      <c r="G529" s="18" t="s">
        <v>384</v>
      </c>
      <c r="H529" s="49" t="s">
        <v>176</v>
      </c>
      <c r="I529" s="49" t="s">
        <v>86</v>
      </c>
      <c r="J529" s="50" t="s">
        <v>47</v>
      </c>
      <c r="K529" s="15">
        <v>16.8</v>
      </c>
      <c r="L529" s="53">
        <v>250</v>
      </c>
      <c r="M529" s="53">
        <f t="shared" si="16"/>
        <v>4200</v>
      </c>
    </row>
    <row r="530" spans="1:18" x14ac:dyDescent="0.25">
      <c r="A530" s="21">
        <f>IF(C530="","",COUNTA($C$3:C530))</f>
        <v>528</v>
      </c>
      <c r="B530" s="35" t="str">
        <f t="shared" si="15"/>
        <v>June</v>
      </c>
      <c r="C530" s="33">
        <v>46184</v>
      </c>
      <c r="D530" s="15">
        <v>61928</v>
      </c>
      <c r="E530" s="60">
        <v>45427</v>
      </c>
      <c r="F530" s="52" t="s">
        <v>120</v>
      </c>
      <c r="G530" s="18" t="s">
        <v>384</v>
      </c>
      <c r="H530" s="49" t="s">
        <v>176</v>
      </c>
      <c r="I530" s="49" t="s">
        <v>295</v>
      </c>
      <c r="J530" s="50" t="s">
        <v>47</v>
      </c>
      <c r="K530" s="15">
        <v>16.8</v>
      </c>
      <c r="L530" s="53">
        <v>360</v>
      </c>
      <c r="M530" s="53">
        <f t="shared" si="16"/>
        <v>6048</v>
      </c>
    </row>
    <row r="531" spans="1:18" x14ac:dyDescent="0.25">
      <c r="A531" s="21">
        <f>IF(C531="","",COUNTA($C$3:C531))</f>
        <v>529</v>
      </c>
      <c r="B531" s="35" t="str">
        <f t="shared" si="15"/>
        <v>June</v>
      </c>
      <c r="C531" s="33">
        <v>46184</v>
      </c>
      <c r="D531" s="15">
        <v>61995</v>
      </c>
      <c r="E531" s="60">
        <v>45428</v>
      </c>
      <c r="F531" s="52" t="s">
        <v>385</v>
      </c>
      <c r="G531" s="18" t="s">
        <v>386</v>
      </c>
      <c r="H531" s="49" t="s">
        <v>38</v>
      </c>
      <c r="I531" s="49" t="s">
        <v>68</v>
      </c>
      <c r="J531" s="50" t="s">
        <v>47</v>
      </c>
      <c r="K531" s="55">
        <v>15.6</v>
      </c>
      <c r="L531" s="54">
        <v>670</v>
      </c>
      <c r="M531" s="53">
        <f t="shared" si="16"/>
        <v>10452</v>
      </c>
    </row>
    <row r="532" spans="1:18" x14ac:dyDescent="0.25">
      <c r="A532" s="21">
        <f>IF(C532="","",COUNTA($C$3:C532))</f>
        <v>530</v>
      </c>
      <c r="B532" s="35" t="str">
        <f t="shared" si="15"/>
        <v>June</v>
      </c>
      <c r="C532" s="33">
        <v>46184</v>
      </c>
      <c r="D532" s="15">
        <v>61995</v>
      </c>
      <c r="E532" s="60">
        <v>45428</v>
      </c>
      <c r="F532" s="52" t="s">
        <v>385</v>
      </c>
      <c r="G532" s="18" t="s">
        <v>386</v>
      </c>
      <c r="H532" s="49" t="s">
        <v>38</v>
      </c>
      <c r="I532" s="49" t="s">
        <v>69</v>
      </c>
      <c r="J532" s="50" t="s">
        <v>47</v>
      </c>
      <c r="K532" s="15">
        <v>1.7</v>
      </c>
      <c r="L532" s="62">
        <v>868</v>
      </c>
      <c r="M532" s="53">
        <f t="shared" si="16"/>
        <v>1475.6</v>
      </c>
    </row>
    <row r="533" spans="1:18" x14ac:dyDescent="0.25">
      <c r="A533" s="21">
        <f>IF(C533="","",COUNTA($C$3:C533))</f>
        <v>531</v>
      </c>
      <c r="B533" s="35" t="str">
        <f t="shared" ref="B533:B596" si="17">IF(C533="","",TEXT(C533,"mmmm"))</f>
        <v>June</v>
      </c>
      <c r="C533" s="33">
        <v>46184</v>
      </c>
      <c r="D533" s="15">
        <v>61995</v>
      </c>
      <c r="E533" s="60">
        <v>45428</v>
      </c>
      <c r="F533" s="52" t="s">
        <v>385</v>
      </c>
      <c r="G533" s="18" t="s">
        <v>386</v>
      </c>
      <c r="H533" s="49" t="s">
        <v>393</v>
      </c>
      <c r="I533" s="49" t="s">
        <v>68</v>
      </c>
      <c r="J533" s="50" t="s">
        <v>70</v>
      </c>
      <c r="K533" s="15">
        <v>3</v>
      </c>
      <c r="L533" s="62">
        <v>750</v>
      </c>
      <c r="M533" s="53">
        <f t="shared" ref="M533:M596" si="18">K533*L533</f>
        <v>2250</v>
      </c>
    </row>
    <row r="534" spans="1:18" x14ac:dyDescent="0.25">
      <c r="A534" s="21">
        <f>IF(C534="","",COUNTA($C$3:C534))</f>
        <v>532</v>
      </c>
      <c r="B534" s="35" t="str">
        <f t="shared" si="17"/>
        <v>June</v>
      </c>
      <c r="C534" s="33">
        <v>46184</v>
      </c>
      <c r="D534" s="15">
        <v>61995</v>
      </c>
      <c r="E534" s="60">
        <v>45428</v>
      </c>
      <c r="F534" s="52" t="s">
        <v>385</v>
      </c>
      <c r="G534" s="18" t="s">
        <v>386</v>
      </c>
      <c r="H534" s="49" t="s">
        <v>394</v>
      </c>
      <c r="I534" s="49" t="s">
        <v>69</v>
      </c>
      <c r="J534" s="50" t="s">
        <v>70</v>
      </c>
      <c r="K534" s="15">
        <v>3</v>
      </c>
      <c r="L534" s="62">
        <v>660</v>
      </c>
      <c r="M534" s="53">
        <f t="shared" si="18"/>
        <v>1980</v>
      </c>
    </row>
    <row r="535" spans="1:18" x14ac:dyDescent="0.25">
      <c r="A535" s="21">
        <f>IF(C535="","",COUNTA($C$3:C535))</f>
        <v>533</v>
      </c>
      <c r="B535" s="35" t="str">
        <f t="shared" si="17"/>
        <v>June</v>
      </c>
      <c r="C535" s="33">
        <v>46184</v>
      </c>
      <c r="D535" s="15">
        <v>61994</v>
      </c>
      <c r="E535" s="60">
        <v>45429</v>
      </c>
      <c r="F535" s="52" t="s">
        <v>120</v>
      </c>
      <c r="G535" s="18" t="s">
        <v>249</v>
      </c>
      <c r="H535" s="49" t="s">
        <v>38</v>
      </c>
      <c r="I535" s="49" t="s">
        <v>68</v>
      </c>
      <c r="J535" s="50" t="s">
        <v>47</v>
      </c>
      <c r="K535" s="15">
        <v>464.4</v>
      </c>
      <c r="L535" s="62">
        <v>670</v>
      </c>
      <c r="M535" s="53">
        <f t="shared" si="18"/>
        <v>311148</v>
      </c>
    </row>
    <row r="536" spans="1:18" x14ac:dyDescent="0.25">
      <c r="A536" s="21">
        <f>IF(C536="","",COUNTA($C$3:C536))</f>
        <v>534</v>
      </c>
      <c r="B536" s="35" t="str">
        <f t="shared" si="17"/>
        <v>June</v>
      </c>
      <c r="C536" s="33">
        <v>46185</v>
      </c>
      <c r="D536" s="15">
        <v>61930</v>
      </c>
      <c r="E536" s="60">
        <v>45430</v>
      </c>
      <c r="F536" s="52" t="s">
        <v>120</v>
      </c>
      <c r="G536" s="18" t="s">
        <v>123</v>
      </c>
      <c r="H536" s="49" t="s">
        <v>38</v>
      </c>
      <c r="I536" s="49" t="s">
        <v>68</v>
      </c>
      <c r="J536" s="50" t="s">
        <v>47</v>
      </c>
      <c r="K536" s="15">
        <v>62.6</v>
      </c>
      <c r="L536" s="62">
        <v>585</v>
      </c>
      <c r="M536" s="53">
        <f t="shared" si="18"/>
        <v>36621</v>
      </c>
    </row>
    <row r="537" spans="1:18" x14ac:dyDescent="0.25">
      <c r="A537" s="21">
        <f>IF(C537="","",COUNTA($C$3:C537))</f>
        <v>535</v>
      </c>
      <c r="B537" s="35" t="str">
        <f t="shared" si="17"/>
        <v>June</v>
      </c>
      <c r="C537" s="33">
        <v>46185</v>
      </c>
      <c r="D537" s="15">
        <v>61930</v>
      </c>
      <c r="E537" s="60">
        <v>45430</v>
      </c>
      <c r="F537" s="52" t="s">
        <v>120</v>
      </c>
      <c r="G537" s="18" t="s">
        <v>123</v>
      </c>
      <c r="H537" s="49" t="s">
        <v>129</v>
      </c>
      <c r="I537" s="49" t="s">
        <v>74</v>
      </c>
      <c r="J537" s="50" t="s">
        <v>47</v>
      </c>
      <c r="K537" s="15">
        <v>34</v>
      </c>
      <c r="L537" s="54">
        <v>289</v>
      </c>
      <c r="M537" s="53">
        <f t="shared" si="18"/>
        <v>9826</v>
      </c>
    </row>
    <row r="538" spans="1:18" x14ac:dyDescent="0.25">
      <c r="A538" s="21">
        <f>IF(C538="","",COUNTA($C$3:C538))</f>
        <v>536</v>
      </c>
      <c r="B538" s="35" t="str">
        <f t="shared" si="17"/>
        <v>June</v>
      </c>
      <c r="C538" s="33">
        <v>46185</v>
      </c>
      <c r="D538" s="15">
        <v>61930</v>
      </c>
      <c r="E538" s="60">
        <v>45430</v>
      </c>
      <c r="F538" s="52" t="s">
        <v>120</v>
      </c>
      <c r="G538" s="18" t="s">
        <v>123</v>
      </c>
      <c r="H538" s="49" t="s">
        <v>129</v>
      </c>
      <c r="I538" s="49" t="s">
        <v>75</v>
      </c>
      <c r="J538" s="50" t="s">
        <v>47</v>
      </c>
      <c r="K538" s="55">
        <v>28.6</v>
      </c>
      <c r="L538" s="54">
        <v>805</v>
      </c>
      <c r="M538" s="53">
        <f t="shared" si="18"/>
        <v>23023</v>
      </c>
    </row>
    <row r="539" spans="1:18" x14ac:dyDescent="0.25">
      <c r="A539" s="21">
        <f>IF(C539="","",COUNTA($C$3:C539))</f>
        <v>537</v>
      </c>
      <c r="B539" s="35" t="str">
        <f t="shared" si="17"/>
        <v>June</v>
      </c>
      <c r="C539" s="33">
        <v>46185</v>
      </c>
      <c r="D539" s="15">
        <v>61930</v>
      </c>
      <c r="E539" s="60">
        <v>45430</v>
      </c>
      <c r="F539" s="52" t="s">
        <v>120</v>
      </c>
      <c r="G539" s="18" t="s">
        <v>123</v>
      </c>
      <c r="H539" s="49" t="s">
        <v>130</v>
      </c>
      <c r="I539" s="49" t="s">
        <v>40</v>
      </c>
      <c r="J539" s="50" t="s">
        <v>47</v>
      </c>
      <c r="K539" s="15">
        <v>45</v>
      </c>
      <c r="L539" s="62">
        <v>15</v>
      </c>
      <c r="M539" s="53">
        <f t="shared" si="18"/>
        <v>675</v>
      </c>
    </row>
    <row r="540" spans="1:18" x14ac:dyDescent="0.25">
      <c r="A540" s="21">
        <f>IF(C540="","",COUNTA($C$3:C540))</f>
        <v>538</v>
      </c>
      <c r="B540" s="35" t="str">
        <f t="shared" si="17"/>
        <v>June</v>
      </c>
      <c r="C540" s="33">
        <v>46185</v>
      </c>
      <c r="D540" s="15">
        <v>61996</v>
      </c>
      <c r="E540" s="60">
        <v>45431</v>
      </c>
      <c r="F540" s="52" t="s">
        <v>120</v>
      </c>
      <c r="G540" s="18" t="s">
        <v>398</v>
      </c>
      <c r="H540" s="49" t="s">
        <v>139</v>
      </c>
      <c r="I540" s="49" t="s">
        <v>39</v>
      </c>
      <c r="J540" s="50" t="s">
        <v>47</v>
      </c>
      <c r="K540" s="15">
        <v>4.3</v>
      </c>
      <c r="L540" s="62">
        <v>5200</v>
      </c>
      <c r="M540" s="53">
        <f t="shared" si="18"/>
        <v>22360</v>
      </c>
    </row>
    <row r="541" spans="1:18" x14ac:dyDescent="0.25">
      <c r="A541" s="21">
        <f>IF(C541="","",COUNTA($C$3:C541))</f>
        <v>539</v>
      </c>
      <c r="B541" s="35" t="str">
        <f t="shared" si="17"/>
        <v>June</v>
      </c>
      <c r="C541" s="33">
        <v>46186</v>
      </c>
      <c r="D541" s="15">
        <v>61955</v>
      </c>
      <c r="E541" s="60">
        <v>45432</v>
      </c>
      <c r="F541" s="52" t="s">
        <v>120</v>
      </c>
      <c r="G541" s="18" t="s">
        <v>211</v>
      </c>
      <c r="H541" s="49" t="s">
        <v>38</v>
      </c>
      <c r="I541" s="49" t="s">
        <v>68</v>
      </c>
      <c r="J541" s="50" t="s">
        <v>47</v>
      </c>
      <c r="K541" s="15">
        <v>79.599999999999994</v>
      </c>
      <c r="L541" s="62">
        <v>670</v>
      </c>
      <c r="M541" s="53">
        <f t="shared" si="18"/>
        <v>53331.999999999993</v>
      </c>
      <c r="R541" s="54"/>
    </row>
    <row r="542" spans="1:18" x14ac:dyDescent="0.25">
      <c r="A542" s="21">
        <f>IF(C542="","",COUNTA($C$3:C542))</f>
        <v>540</v>
      </c>
      <c r="B542" s="35" t="str">
        <f t="shared" si="17"/>
        <v>June</v>
      </c>
      <c r="C542" s="33">
        <v>46186</v>
      </c>
      <c r="D542" s="15">
        <v>61955</v>
      </c>
      <c r="E542" s="60">
        <v>45432</v>
      </c>
      <c r="F542" s="52" t="s">
        <v>120</v>
      </c>
      <c r="G542" s="18" t="s">
        <v>211</v>
      </c>
      <c r="H542" s="49" t="s">
        <v>38</v>
      </c>
      <c r="I542" s="49" t="s">
        <v>69</v>
      </c>
      <c r="J542" s="50" t="s">
        <v>47</v>
      </c>
      <c r="K542" s="15">
        <v>117.6</v>
      </c>
      <c r="L542" s="62">
        <v>868</v>
      </c>
      <c r="M542" s="53">
        <f t="shared" si="18"/>
        <v>102076.79999999999</v>
      </c>
    </row>
    <row r="543" spans="1:18" x14ac:dyDescent="0.25">
      <c r="A543" s="21">
        <f>IF(C543="","",COUNTA($C$3:C543))</f>
        <v>541</v>
      </c>
      <c r="B543" s="35" t="str">
        <f t="shared" si="17"/>
        <v>June</v>
      </c>
      <c r="C543" s="33">
        <v>46186</v>
      </c>
      <c r="D543" s="15">
        <v>61955</v>
      </c>
      <c r="E543" s="60">
        <v>45432</v>
      </c>
      <c r="F543" s="52" t="s">
        <v>120</v>
      </c>
      <c r="G543" s="18" t="s">
        <v>211</v>
      </c>
      <c r="H543" s="49" t="s">
        <v>129</v>
      </c>
      <c r="I543" s="49" t="s">
        <v>94</v>
      </c>
      <c r="J543" s="50" t="s">
        <v>47</v>
      </c>
      <c r="K543" s="15">
        <v>197.2</v>
      </c>
      <c r="L543" s="53">
        <v>820</v>
      </c>
      <c r="M543" s="53">
        <f t="shared" si="18"/>
        <v>161704</v>
      </c>
    </row>
    <row r="544" spans="1:18" x14ac:dyDescent="0.25">
      <c r="A544" s="21">
        <f>IF(C544="","",COUNTA($C$3:C544))</f>
        <v>542</v>
      </c>
      <c r="B544" s="35" t="str">
        <f t="shared" si="17"/>
        <v>June</v>
      </c>
      <c r="C544" s="33">
        <v>46186</v>
      </c>
      <c r="D544" s="15">
        <v>61955</v>
      </c>
      <c r="E544" s="60">
        <v>45433</v>
      </c>
      <c r="F544" s="52" t="s">
        <v>120</v>
      </c>
      <c r="G544" s="18" t="s">
        <v>211</v>
      </c>
      <c r="H544" s="49" t="s">
        <v>38</v>
      </c>
      <c r="I544" s="49" t="s">
        <v>68</v>
      </c>
      <c r="J544" s="50" t="s">
        <v>47</v>
      </c>
      <c r="K544" s="15">
        <v>10.7</v>
      </c>
      <c r="L544" s="54">
        <v>670</v>
      </c>
      <c r="M544" s="53">
        <f t="shared" si="18"/>
        <v>7168.9999999999991</v>
      </c>
    </row>
    <row r="545" spans="1:17" x14ac:dyDescent="0.25">
      <c r="A545" s="21">
        <f>IF(C545="","",COUNTA($C$3:C545))</f>
        <v>543</v>
      </c>
      <c r="B545" s="35" t="str">
        <f t="shared" si="17"/>
        <v>June</v>
      </c>
      <c r="C545" s="33">
        <v>46186</v>
      </c>
      <c r="D545" s="15">
        <v>61955</v>
      </c>
      <c r="E545" s="60">
        <v>45433</v>
      </c>
      <c r="F545" s="52" t="s">
        <v>120</v>
      </c>
      <c r="G545" s="18" t="s">
        <v>211</v>
      </c>
      <c r="H545" s="49" t="s">
        <v>38</v>
      </c>
      <c r="I545" s="49" t="s">
        <v>69</v>
      </c>
      <c r="J545" s="50" t="s">
        <v>47</v>
      </c>
      <c r="K545" s="15">
        <v>44.3</v>
      </c>
      <c r="L545" s="62">
        <v>868</v>
      </c>
      <c r="M545" s="53">
        <f t="shared" si="18"/>
        <v>38452.399999999994</v>
      </c>
      <c r="O545" s="59"/>
      <c r="P545" s="112"/>
      <c r="Q545" s="59"/>
    </row>
    <row r="546" spans="1:17" x14ac:dyDescent="0.25">
      <c r="A546" s="21">
        <f>IF(C546="","",COUNTA($C$3:C546))</f>
        <v>544</v>
      </c>
      <c r="B546" s="35" t="str">
        <f t="shared" si="17"/>
        <v>June</v>
      </c>
      <c r="C546" s="33">
        <v>46186</v>
      </c>
      <c r="D546" s="15">
        <v>61955</v>
      </c>
      <c r="E546" s="60">
        <v>45433</v>
      </c>
      <c r="F546" s="52" t="s">
        <v>120</v>
      </c>
      <c r="G546" s="18" t="s">
        <v>211</v>
      </c>
      <c r="H546" s="49" t="s">
        <v>400</v>
      </c>
      <c r="I546" s="49" t="s">
        <v>39</v>
      </c>
      <c r="J546" s="50" t="s">
        <v>70</v>
      </c>
      <c r="K546" s="55">
        <v>8</v>
      </c>
      <c r="L546" s="54">
        <v>1040</v>
      </c>
      <c r="M546" s="53">
        <f t="shared" si="18"/>
        <v>8320</v>
      </c>
    </row>
    <row r="547" spans="1:17" x14ac:dyDescent="0.25">
      <c r="A547" s="21">
        <f>IF(C547="","",COUNTA($C$3:C547))</f>
        <v>545</v>
      </c>
      <c r="B547" s="35" t="str">
        <f t="shared" si="17"/>
        <v>June</v>
      </c>
      <c r="C547" s="33">
        <v>46186</v>
      </c>
      <c r="D547" s="15">
        <v>61997</v>
      </c>
      <c r="E547" s="60">
        <v>45434</v>
      </c>
      <c r="F547" s="52" t="s">
        <v>120</v>
      </c>
      <c r="G547" s="18" t="s">
        <v>173</v>
      </c>
      <c r="H547" s="49" t="s">
        <v>38</v>
      </c>
      <c r="I547" s="49" t="s">
        <v>68</v>
      </c>
      <c r="J547" s="50" t="s">
        <v>47</v>
      </c>
      <c r="K547" s="55">
        <v>211.7</v>
      </c>
      <c r="L547" s="54">
        <v>670</v>
      </c>
      <c r="M547" s="53">
        <f t="shared" si="18"/>
        <v>141839</v>
      </c>
    </row>
    <row r="548" spans="1:17" x14ac:dyDescent="0.25">
      <c r="A548" s="21">
        <f>IF(C548="","",COUNTA($C$3:C548))</f>
        <v>546</v>
      </c>
      <c r="B548" s="35" t="str">
        <f t="shared" si="17"/>
        <v>June</v>
      </c>
      <c r="C548" s="33">
        <v>46186</v>
      </c>
      <c r="D548" s="15">
        <v>61997</v>
      </c>
      <c r="E548" s="60">
        <v>45434</v>
      </c>
      <c r="F548" s="52" t="s">
        <v>120</v>
      </c>
      <c r="G548" s="18" t="s">
        <v>173</v>
      </c>
      <c r="H548" s="49" t="s">
        <v>38</v>
      </c>
      <c r="I548" s="49" t="s">
        <v>69</v>
      </c>
      <c r="J548" s="50" t="s">
        <v>47</v>
      </c>
      <c r="K548" s="15">
        <v>45.1</v>
      </c>
      <c r="L548" s="62">
        <v>868</v>
      </c>
      <c r="M548" s="53">
        <f t="shared" si="18"/>
        <v>39146.800000000003</v>
      </c>
      <c r="O548" s="129"/>
    </row>
    <row r="549" spans="1:17" x14ac:dyDescent="0.25">
      <c r="A549" s="21">
        <f>IF(C549="","",COUNTA($C$3:C549))</f>
        <v>547</v>
      </c>
      <c r="B549" s="35" t="str">
        <f t="shared" si="17"/>
        <v>June</v>
      </c>
      <c r="C549" s="33">
        <v>46186</v>
      </c>
      <c r="D549" s="15">
        <v>61997</v>
      </c>
      <c r="E549" s="60">
        <v>45434</v>
      </c>
      <c r="F549" s="52" t="s">
        <v>120</v>
      </c>
      <c r="G549" s="18" t="s">
        <v>173</v>
      </c>
      <c r="H549" s="49" t="s">
        <v>274</v>
      </c>
      <c r="I549" s="49" t="s">
        <v>68</v>
      </c>
      <c r="J549" s="50" t="s">
        <v>70</v>
      </c>
      <c r="K549" s="15">
        <v>51</v>
      </c>
      <c r="L549" s="62">
        <v>75</v>
      </c>
      <c r="M549" s="53">
        <f t="shared" si="18"/>
        <v>3825</v>
      </c>
    </row>
    <row r="550" spans="1:17" x14ac:dyDescent="0.25">
      <c r="A550" s="21">
        <f>IF(C550="","",COUNTA($C$3:C550))</f>
        <v>548</v>
      </c>
      <c r="B550" s="35" t="str">
        <f t="shared" si="17"/>
        <v>June</v>
      </c>
      <c r="C550" s="33">
        <v>46186</v>
      </c>
      <c r="D550" s="15">
        <v>61965</v>
      </c>
      <c r="E550" s="60">
        <v>45435</v>
      </c>
      <c r="F550" s="52" t="s">
        <v>120</v>
      </c>
      <c r="G550" s="18" t="s">
        <v>134</v>
      </c>
      <c r="H550" s="49" t="s">
        <v>38</v>
      </c>
      <c r="I550" s="49" t="s">
        <v>68</v>
      </c>
      <c r="J550" s="50" t="s">
        <v>47</v>
      </c>
      <c r="K550" s="15">
        <v>255.3</v>
      </c>
      <c r="L550" s="62">
        <v>670</v>
      </c>
      <c r="M550" s="53">
        <f t="shared" si="18"/>
        <v>171051</v>
      </c>
    </row>
    <row r="551" spans="1:17" x14ac:dyDescent="0.25">
      <c r="A551" s="21">
        <f>IF(C551="","",COUNTA($C$3:C551))</f>
        <v>549</v>
      </c>
      <c r="B551" s="35" t="str">
        <f t="shared" si="17"/>
        <v>June</v>
      </c>
      <c r="C551" s="33">
        <v>46186</v>
      </c>
      <c r="D551" s="15">
        <v>61965</v>
      </c>
      <c r="E551" s="60">
        <v>45435</v>
      </c>
      <c r="F551" s="52" t="s">
        <v>120</v>
      </c>
      <c r="G551" s="18" t="s">
        <v>134</v>
      </c>
      <c r="H551" s="49" t="s">
        <v>38</v>
      </c>
      <c r="I551" s="49" t="s">
        <v>69</v>
      </c>
      <c r="J551" s="50" t="s">
        <v>47</v>
      </c>
      <c r="K551" s="15">
        <v>179.5</v>
      </c>
      <c r="L551" s="62">
        <v>868</v>
      </c>
      <c r="M551" s="53">
        <f t="shared" si="18"/>
        <v>155806</v>
      </c>
    </row>
    <row r="552" spans="1:17" x14ac:dyDescent="0.25">
      <c r="A552" s="21">
        <f>IF(C552="","",COUNTA($C$3:C552))</f>
        <v>550</v>
      </c>
      <c r="B552" s="35" t="str">
        <f t="shared" si="17"/>
        <v>June</v>
      </c>
      <c r="C552" s="33">
        <v>46186</v>
      </c>
      <c r="D552" s="15">
        <v>61965</v>
      </c>
      <c r="E552" s="60">
        <v>45435</v>
      </c>
      <c r="F552" s="52" t="s">
        <v>120</v>
      </c>
      <c r="G552" s="18" t="s">
        <v>134</v>
      </c>
      <c r="H552" s="49" t="s">
        <v>129</v>
      </c>
      <c r="I552" s="49" t="s">
        <v>140</v>
      </c>
      <c r="J552" s="50" t="s">
        <v>47</v>
      </c>
      <c r="K552" s="15">
        <v>100.2</v>
      </c>
      <c r="L552" s="62">
        <v>441</v>
      </c>
      <c r="M552" s="53">
        <f t="shared" si="18"/>
        <v>44188.200000000004</v>
      </c>
    </row>
    <row r="553" spans="1:17" x14ac:dyDescent="0.25">
      <c r="A553" s="21">
        <f>IF(C553="","",COUNTA($C$3:C553))</f>
        <v>551</v>
      </c>
      <c r="B553" s="35" t="str">
        <f t="shared" si="17"/>
        <v>June</v>
      </c>
      <c r="C553" s="33">
        <v>46186</v>
      </c>
      <c r="D553" s="15">
        <v>61965</v>
      </c>
      <c r="E553" s="60">
        <v>45435</v>
      </c>
      <c r="F553" s="52" t="s">
        <v>120</v>
      </c>
      <c r="G553" s="18" t="s">
        <v>134</v>
      </c>
      <c r="H553" s="49" t="s">
        <v>130</v>
      </c>
      <c r="I553" s="49" t="s">
        <v>40</v>
      </c>
      <c r="J553" s="50" t="s">
        <v>47</v>
      </c>
      <c r="K553" s="15">
        <v>140</v>
      </c>
      <c r="L553" s="62">
        <v>20</v>
      </c>
      <c r="M553" s="53">
        <f t="shared" si="18"/>
        <v>2800</v>
      </c>
    </row>
    <row r="554" spans="1:17" x14ac:dyDescent="0.25">
      <c r="A554" s="21">
        <f>IF(C554="","",COUNTA($C$3:C554))</f>
        <v>552</v>
      </c>
      <c r="B554" s="35" t="str">
        <f t="shared" si="17"/>
        <v>June</v>
      </c>
      <c r="C554" s="33">
        <v>46187</v>
      </c>
      <c r="D554" s="15">
        <v>61965</v>
      </c>
      <c r="E554" s="60">
        <v>45436</v>
      </c>
      <c r="F554" s="52" t="s">
        <v>120</v>
      </c>
      <c r="G554" s="18" t="s">
        <v>134</v>
      </c>
      <c r="H554" s="49" t="s">
        <v>38</v>
      </c>
      <c r="I554" s="49" t="s">
        <v>68</v>
      </c>
      <c r="J554" s="50" t="s">
        <v>47</v>
      </c>
      <c r="K554" s="15">
        <v>192.4</v>
      </c>
      <c r="L554" s="54">
        <v>670</v>
      </c>
      <c r="M554" s="53">
        <f t="shared" si="18"/>
        <v>128908</v>
      </c>
      <c r="O554" s="59"/>
      <c r="P554" s="112"/>
      <c r="Q554" s="59"/>
    </row>
    <row r="555" spans="1:17" x14ac:dyDescent="0.25">
      <c r="A555" s="21">
        <f>IF(C555="","",COUNTA($C$3:C555))</f>
        <v>553</v>
      </c>
      <c r="B555" s="35" t="str">
        <f t="shared" si="17"/>
        <v>June</v>
      </c>
      <c r="C555" s="33">
        <v>46187</v>
      </c>
      <c r="D555" s="15">
        <v>61965</v>
      </c>
      <c r="E555" s="60">
        <v>45436</v>
      </c>
      <c r="F555" s="52" t="s">
        <v>120</v>
      </c>
      <c r="G555" s="18" t="s">
        <v>134</v>
      </c>
      <c r="H555" s="49" t="s">
        <v>38</v>
      </c>
      <c r="I555" s="49" t="s">
        <v>69</v>
      </c>
      <c r="J555" s="50" t="s">
        <v>47</v>
      </c>
      <c r="K555" s="15">
        <v>46.3</v>
      </c>
      <c r="L555" s="54">
        <v>868</v>
      </c>
      <c r="M555" s="53">
        <f t="shared" si="18"/>
        <v>40188.399999999994</v>
      </c>
    </row>
    <row r="556" spans="1:17" x14ac:dyDescent="0.25">
      <c r="A556" s="21">
        <f>IF(C556="","",COUNTA($C$3:C556))</f>
        <v>554</v>
      </c>
      <c r="B556" s="35" t="str">
        <f t="shared" si="17"/>
        <v>June</v>
      </c>
      <c r="C556" s="33">
        <v>46187</v>
      </c>
      <c r="D556" s="15">
        <v>61965</v>
      </c>
      <c r="E556" s="60">
        <v>45436</v>
      </c>
      <c r="F556" s="52" t="s">
        <v>120</v>
      </c>
      <c r="G556" s="18" t="s">
        <v>134</v>
      </c>
      <c r="H556" s="49" t="s">
        <v>271</v>
      </c>
      <c r="I556" s="49" t="s">
        <v>48</v>
      </c>
      <c r="J556" s="50" t="s">
        <v>47</v>
      </c>
      <c r="K556" s="15">
        <v>40.5</v>
      </c>
      <c r="L556" s="62">
        <v>620</v>
      </c>
      <c r="M556" s="53">
        <f t="shared" si="18"/>
        <v>25110</v>
      </c>
    </row>
    <row r="557" spans="1:17" x14ac:dyDescent="0.25">
      <c r="A557" s="21">
        <f>IF(C557="","",COUNTA($C$3:C557))</f>
        <v>555</v>
      </c>
      <c r="B557" s="35" t="str">
        <f t="shared" si="17"/>
        <v>June</v>
      </c>
      <c r="C557" s="33">
        <v>46187</v>
      </c>
      <c r="D557" s="15">
        <v>61965</v>
      </c>
      <c r="E557" s="60">
        <v>45436</v>
      </c>
      <c r="F557" s="52" t="s">
        <v>120</v>
      </c>
      <c r="G557" s="18" t="s">
        <v>134</v>
      </c>
      <c r="H557" s="49" t="s">
        <v>274</v>
      </c>
      <c r="I557" s="49" t="s">
        <v>68</v>
      </c>
      <c r="J557" s="50" t="s">
        <v>70</v>
      </c>
      <c r="K557" s="15">
        <v>25</v>
      </c>
      <c r="L557" s="62">
        <v>70</v>
      </c>
      <c r="M557" s="53">
        <f t="shared" si="18"/>
        <v>1750</v>
      </c>
    </row>
    <row r="558" spans="1:17" x14ac:dyDescent="0.25">
      <c r="A558" s="21">
        <f>IF(C558="","",COUNTA($C$3:C558))</f>
        <v>556</v>
      </c>
      <c r="B558" s="35" t="str">
        <f t="shared" si="17"/>
        <v>June</v>
      </c>
      <c r="C558" s="33">
        <v>46187</v>
      </c>
      <c r="D558" s="15">
        <v>61965</v>
      </c>
      <c r="E558" s="60">
        <v>45436</v>
      </c>
      <c r="F558" s="52" t="s">
        <v>120</v>
      </c>
      <c r="G558" s="18" t="s">
        <v>134</v>
      </c>
      <c r="H558" s="49" t="s">
        <v>129</v>
      </c>
      <c r="I558" s="49" t="s">
        <v>140</v>
      </c>
      <c r="J558" s="50" t="s">
        <v>47</v>
      </c>
      <c r="K558" s="15">
        <v>256.5</v>
      </c>
      <c r="L558" s="62">
        <v>441</v>
      </c>
      <c r="M558" s="53">
        <f t="shared" si="18"/>
        <v>113116.5</v>
      </c>
    </row>
    <row r="559" spans="1:17" x14ac:dyDescent="0.25">
      <c r="A559" s="21">
        <f>IF(C559="","",COUNTA($C$3:C559))</f>
        <v>557</v>
      </c>
      <c r="B559" s="35" t="str">
        <f t="shared" si="17"/>
        <v>June</v>
      </c>
      <c r="C559" s="33">
        <v>46187</v>
      </c>
      <c r="D559" s="15">
        <v>61965</v>
      </c>
      <c r="E559" s="60">
        <v>45436</v>
      </c>
      <c r="F559" s="52" t="s">
        <v>120</v>
      </c>
      <c r="G559" s="18" t="s">
        <v>134</v>
      </c>
      <c r="H559" s="49" t="s">
        <v>129</v>
      </c>
      <c r="I559" s="49" t="s">
        <v>75</v>
      </c>
      <c r="J559" s="50" t="s">
        <v>47</v>
      </c>
      <c r="K559" s="15">
        <v>22.7</v>
      </c>
      <c r="L559" s="62">
        <v>838</v>
      </c>
      <c r="M559" s="53">
        <f t="shared" si="18"/>
        <v>19022.599999999999</v>
      </c>
    </row>
    <row r="560" spans="1:17" x14ac:dyDescent="0.25">
      <c r="A560" s="21">
        <f>IF(C560="","",COUNTA($C$3:C560))</f>
        <v>558</v>
      </c>
      <c r="B560" s="35" t="str">
        <f t="shared" si="17"/>
        <v>June</v>
      </c>
      <c r="C560" s="33">
        <v>46187</v>
      </c>
      <c r="D560" s="15">
        <v>61965</v>
      </c>
      <c r="E560" s="60">
        <v>45436</v>
      </c>
      <c r="F560" s="52" t="s">
        <v>120</v>
      </c>
      <c r="G560" s="18" t="s">
        <v>134</v>
      </c>
      <c r="H560" s="49" t="s">
        <v>130</v>
      </c>
      <c r="I560" s="49" t="s">
        <v>40</v>
      </c>
      <c r="J560" s="50" t="s">
        <v>47</v>
      </c>
      <c r="K560" s="15">
        <v>300</v>
      </c>
      <c r="L560" s="62">
        <v>20</v>
      </c>
      <c r="M560" s="53">
        <f t="shared" si="18"/>
        <v>6000</v>
      </c>
      <c r="Q560" s="54"/>
    </row>
    <row r="561" spans="1:17" x14ac:dyDescent="0.25">
      <c r="A561" s="21">
        <f>IF(C561="","",COUNTA($C$3:C561))</f>
        <v>559</v>
      </c>
      <c r="B561" s="35" t="str">
        <f t="shared" si="17"/>
        <v>June</v>
      </c>
      <c r="C561" s="33">
        <v>46187</v>
      </c>
      <c r="D561" s="15">
        <v>61965</v>
      </c>
      <c r="E561" s="60">
        <v>45436</v>
      </c>
      <c r="F561" s="52" t="s">
        <v>120</v>
      </c>
      <c r="G561" s="18" t="s">
        <v>134</v>
      </c>
      <c r="H561" s="49" t="s">
        <v>275</v>
      </c>
      <c r="I561" s="49" t="s">
        <v>99</v>
      </c>
      <c r="J561" s="50" t="s">
        <v>70</v>
      </c>
      <c r="K561" s="15">
        <v>36</v>
      </c>
      <c r="L561" s="62">
        <v>190</v>
      </c>
      <c r="M561" s="53">
        <f t="shared" si="18"/>
        <v>6840</v>
      </c>
    </row>
    <row r="562" spans="1:17" x14ac:dyDescent="0.25">
      <c r="A562" s="21">
        <f>IF(C562="","",COUNTA($C$3:C562))</f>
        <v>560</v>
      </c>
      <c r="B562" s="35" t="str">
        <f t="shared" si="17"/>
        <v>June</v>
      </c>
      <c r="C562" s="33">
        <v>46189</v>
      </c>
      <c r="D562" s="15">
        <v>61997</v>
      </c>
      <c r="E562" s="60">
        <v>45437</v>
      </c>
      <c r="F562" s="52" t="s">
        <v>120</v>
      </c>
      <c r="G562" s="18" t="s">
        <v>173</v>
      </c>
      <c r="H562" s="49" t="s">
        <v>38</v>
      </c>
      <c r="I562" s="49" t="s">
        <v>68</v>
      </c>
      <c r="J562" s="50" t="s">
        <v>47</v>
      </c>
      <c r="K562" s="15">
        <v>544.29999999999995</v>
      </c>
      <c r="L562" s="62">
        <v>670</v>
      </c>
      <c r="M562" s="53">
        <f t="shared" si="18"/>
        <v>364680.99999999994</v>
      </c>
    </row>
    <row r="563" spans="1:17" x14ac:dyDescent="0.25">
      <c r="A563" s="21">
        <f>IF(C563="","",COUNTA($C$3:C563))</f>
        <v>561</v>
      </c>
      <c r="B563" s="35" t="str">
        <f t="shared" si="17"/>
        <v>June</v>
      </c>
      <c r="C563" s="33">
        <v>46189</v>
      </c>
      <c r="D563" s="15">
        <v>61997</v>
      </c>
      <c r="E563" s="60">
        <v>45437</v>
      </c>
      <c r="F563" s="52" t="s">
        <v>120</v>
      </c>
      <c r="G563" s="18" t="s">
        <v>173</v>
      </c>
      <c r="H563" s="49" t="s">
        <v>38</v>
      </c>
      <c r="I563" s="49" t="s">
        <v>69</v>
      </c>
      <c r="J563" s="50" t="s">
        <v>47</v>
      </c>
      <c r="K563" s="15">
        <v>149.69999999999999</v>
      </c>
      <c r="L563" s="54">
        <v>868</v>
      </c>
      <c r="M563" s="53">
        <f t="shared" si="18"/>
        <v>129939.59999999999</v>
      </c>
    </row>
    <row r="564" spans="1:17" x14ac:dyDescent="0.25">
      <c r="A564" s="21">
        <f>IF(C564="","",COUNTA($C$3:C564))</f>
        <v>562</v>
      </c>
      <c r="B564" s="35" t="str">
        <f t="shared" si="17"/>
        <v>June</v>
      </c>
      <c r="C564" s="33">
        <v>46189</v>
      </c>
      <c r="D564" s="15">
        <v>61997</v>
      </c>
      <c r="E564" s="60">
        <v>45437</v>
      </c>
      <c r="F564" s="52" t="s">
        <v>120</v>
      </c>
      <c r="G564" s="18" t="s">
        <v>173</v>
      </c>
      <c r="H564" s="49" t="s">
        <v>129</v>
      </c>
      <c r="I564" s="49" t="s">
        <v>295</v>
      </c>
      <c r="J564" s="50" t="s">
        <v>47</v>
      </c>
      <c r="K564" s="15">
        <v>694</v>
      </c>
      <c r="L564" s="54">
        <v>507</v>
      </c>
      <c r="M564" s="53">
        <f t="shared" si="18"/>
        <v>351858</v>
      </c>
    </row>
    <row r="565" spans="1:17" x14ac:dyDescent="0.25">
      <c r="A565" s="21">
        <f>IF(C565="","",COUNTA($C$3:C565))</f>
        <v>563</v>
      </c>
      <c r="B565" s="35" t="str">
        <f t="shared" si="17"/>
        <v>June</v>
      </c>
      <c r="C565" s="33">
        <v>46189</v>
      </c>
      <c r="D565" s="15">
        <v>61997</v>
      </c>
      <c r="E565" s="60">
        <v>45437</v>
      </c>
      <c r="F565" s="52" t="s">
        <v>120</v>
      </c>
      <c r="G565" s="18" t="s">
        <v>173</v>
      </c>
      <c r="H565" s="49" t="s">
        <v>176</v>
      </c>
      <c r="I565" s="49" t="s">
        <v>295</v>
      </c>
      <c r="J565" s="50" t="s">
        <v>47</v>
      </c>
      <c r="K565" s="15">
        <v>100.8</v>
      </c>
      <c r="L565" s="53">
        <v>360</v>
      </c>
      <c r="M565" s="53">
        <f t="shared" si="18"/>
        <v>36288</v>
      </c>
    </row>
    <row r="566" spans="1:17" x14ac:dyDescent="0.25">
      <c r="A566" s="21">
        <f>IF(C566="","",COUNTA($C$3:C566))</f>
        <v>564</v>
      </c>
      <c r="B566" s="35" t="str">
        <f t="shared" si="17"/>
        <v>June</v>
      </c>
      <c r="C566" s="33">
        <v>46189</v>
      </c>
      <c r="D566" s="15">
        <v>61997</v>
      </c>
      <c r="E566" s="60">
        <v>45437</v>
      </c>
      <c r="F566" s="52" t="s">
        <v>120</v>
      </c>
      <c r="G566" s="18" t="s">
        <v>173</v>
      </c>
      <c r="H566" s="49" t="s">
        <v>274</v>
      </c>
      <c r="I566" s="49" t="s">
        <v>68</v>
      </c>
      <c r="J566" s="50" t="s">
        <v>70</v>
      </c>
      <c r="K566" s="15">
        <v>93</v>
      </c>
      <c r="L566" s="54">
        <v>75</v>
      </c>
      <c r="M566" s="53">
        <f t="shared" si="18"/>
        <v>6975</v>
      </c>
    </row>
    <row r="567" spans="1:17" x14ac:dyDescent="0.25">
      <c r="A567" s="21">
        <f>IF(C567="","",COUNTA($C$3:C567))</f>
        <v>565</v>
      </c>
      <c r="B567" s="35" t="str">
        <f t="shared" si="17"/>
        <v>June</v>
      </c>
      <c r="C567" s="33">
        <v>46189</v>
      </c>
      <c r="D567" s="15">
        <v>61997</v>
      </c>
      <c r="E567" s="60">
        <v>45437</v>
      </c>
      <c r="F567" s="52" t="s">
        <v>120</v>
      </c>
      <c r="G567" s="18" t="s">
        <v>173</v>
      </c>
      <c r="H567" s="49" t="s">
        <v>130</v>
      </c>
      <c r="I567" s="49" t="s">
        <v>40</v>
      </c>
      <c r="J567" s="50" t="s">
        <v>47</v>
      </c>
      <c r="K567" s="55">
        <v>750</v>
      </c>
      <c r="L567" s="54">
        <v>20</v>
      </c>
      <c r="M567" s="53">
        <f t="shared" si="18"/>
        <v>15000</v>
      </c>
    </row>
    <row r="568" spans="1:17" x14ac:dyDescent="0.25">
      <c r="A568" s="21">
        <f>IF(C568="","",COUNTA($C$3:C568))</f>
        <v>566</v>
      </c>
      <c r="B568" s="35" t="str">
        <f t="shared" si="17"/>
        <v>June</v>
      </c>
      <c r="C568" s="33">
        <v>46190</v>
      </c>
      <c r="D568" s="15">
        <v>61967</v>
      </c>
      <c r="E568" s="60">
        <v>45438</v>
      </c>
      <c r="F568" s="52" t="s">
        <v>120</v>
      </c>
      <c r="G568" s="18" t="s">
        <v>263</v>
      </c>
      <c r="H568" s="49" t="s">
        <v>38</v>
      </c>
      <c r="I568" s="49" t="s">
        <v>68</v>
      </c>
      <c r="J568" s="50" t="s">
        <v>47</v>
      </c>
      <c r="K568" s="15">
        <v>206.2</v>
      </c>
      <c r="L568" s="62">
        <v>670</v>
      </c>
      <c r="M568" s="53">
        <f t="shared" si="18"/>
        <v>138154</v>
      </c>
    </row>
    <row r="569" spans="1:17" x14ac:dyDescent="0.25">
      <c r="A569" s="21">
        <f>IF(C569="","",COUNTA($C$3:C569))</f>
        <v>567</v>
      </c>
      <c r="B569" s="35" t="str">
        <f t="shared" si="17"/>
        <v>June</v>
      </c>
      <c r="C569" s="33">
        <v>46190</v>
      </c>
      <c r="D569" s="15">
        <v>61967</v>
      </c>
      <c r="E569" s="60">
        <v>45438</v>
      </c>
      <c r="F569" s="52" t="s">
        <v>120</v>
      </c>
      <c r="G569" s="18" t="s">
        <v>263</v>
      </c>
      <c r="H569" s="49" t="s">
        <v>38</v>
      </c>
      <c r="I569" s="49" t="s">
        <v>69</v>
      </c>
      <c r="J569" s="50" t="s">
        <v>47</v>
      </c>
      <c r="K569" s="15">
        <v>175.1</v>
      </c>
      <c r="L569" s="62">
        <v>868</v>
      </c>
      <c r="M569" s="53">
        <f t="shared" si="18"/>
        <v>151986.79999999999</v>
      </c>
    </row>
    <row r="570" spans="1:17" x14ac:dyDescent="0.25">
      <c r="A570" s="21">
        <f>IF(C570="","",COUNTA($C$3:C570))</f>
        <v>568</v>
      </c>
      <c r="B570" s="35" t="str">
        <f t="shared" si="17"/>
        <v>June</v>
      </c>
      <c r="C570" s="33">
        <v>46190</v>
      </c>
      <c r="D570" s="15">
        <v>61967</v>
      </c>
      <c r="E570" s="60">
        <v>45438</v>
      </c>
      <c r="F570" s="52" t="s">
        <v>120</v>
      </c>
      <c r="G570" s="18" t="s">
        <v>263</v>
      </c>
      <c r="H570" s="49" t="s">
        <v>38</v>
      </c>
      <c r="I570" s="49" t="s">
        <v>39</v>
      </c>
      <c r="J570" s="50" t="s">
        <v>47</v>
      </c>
      <c r="K570" s="15">
        <v>22.8</v>
      </c>
      <c r="L570" s="62">
        <v>1060</v>
      </c>
      <c r="M570" s="53">
        <f t="shared" si="18"/>
        <v>24168</v>
      </c>
    </row>
    <row r="571" spans="1:17" x14ac:dyDescent="0.25">
      <c r="A571" s="21">
        <f>IF(C571="","",COUNTA($C$3:C571))</f>
        <v>569</v>
      </c>
      <c r="B571" s="35" t="str">
        <f t="shared" si="17"/>
        <v>June</v>
      </c>
      <c r="C571" s="33">
        <v>46190</v>
      </c>
      <c r="D571" s="15">
        <v>61967</v>
      </c>
      <c r="E571" s="60">
        <v>45438</v>
      </c>
      <c r="F571" s="52" t="s">
        <v>120</v>
      </c>
      <c r="G571" s="18" t="s">
        <v>263</v>
      </c>
      <c r="H571" s="49" t="s">
        <v>129</v>
      </c>
      <c r="I571" s="49" t="s">
        <v>268</v>
      </c>
      <c r="J571" s="50" t="s">
        <v>47</v>
      </c>
      <c r="K571" s="15">
        <v>116</v>
      </c>
      <c r="L571" s="62">
        <v>415</v>
      </c>
      <c r="M571" s="53">
        <f t="shared" si="18"/>
        <v>48140</v>
      </c>
    </row>
    <row r="572" spans="1:17" x14ac:dyDescent="0.25">
      <c r="A572" s="21">
        <f>IF(C572="","",COUNTA($C$3:C572))</f>
        <v>570</v>
      </c>
      <c r="B572" s="35" t="str">
        <f t="shared" si="17"/>
        <v>June</v>
      </c>
      <c r="C572" s="33">
        <v>46190</v>
      </c>
      <c r="D572" s="15">
        <v>61967</v>
      </c>
      <c r="E572" s="60">
        <v>45438</v>
      </c>
      <c r="F572" s="52" t="s">
        <v>120</v>
      </c>
      <c r="G572" s="18" t="s">
        <v>263</v>
      </c>
      <c r="H572" s="49" t="s">
        <v>129</v>
      </c>
      <c r="I572" s="49" t="s">
        <v>84</v>
      </c>
      <c r="J572" s="50" t="s">
        <v>47</v>
      </c>
      <c r="K572" s="15">
        <v>48.9</v>
      </c>
      <c r="L572" s="53">
        <v>465</v>
      </c>
      <c r="M572" s="53">
        <f t="shared" si="18"/>
        <v>22738.5</v>
      </c>
    </row>
    <row r="573" spans="1:17" x14ac:dyDescent="0.25">
      <c r="A573" s="21">
        <f>IF(C573="","",COUNTA($C$3:C573))</f>
        <v>571</v>
      </c>
      <c r="B573" s="35" t="str">
        <f t="shared" si="17"/>
        <v>June</v>
      </c>
      <c r="C573" s="33">
        <v>46190</v>
      </c>
      <c r="D573" s="15">
        <v>61967</v>
      </c>
      <c r="E573" s="60">
        <v>45438</v>
      </c>
      <c r="F573" s="52" t="s">
        <v>120</v>
      </c>
      <c r="G573" s="18" t="s">
        <v>263</v>
      </c>
      <c r="H573" s="49" t="s">
        <v>130</v>
      </c>
      <c r="I573" s="49" t="s">
        <v>40</v>
      </c>
      <c r="J573" s="50" t="s">
        <v>47</v>
      </c>
      <c r="K573" s="15">
        <v>200</v>
      </c>
      <c r="L573" s="62">
        <v>20</v>
      </c>
      <c r="M573" s="53">
        <f t="shared" si="18"/>
        <v>4000</v>
      </c>
    </row>
    <row r="574" spans="1:17" x14ac:dyDescent="0.25">
      <c r="A574" s="21">
        <f>IF(C574="","",COUNTA($C$3:C574))</f>
        <v>572</v>
      </c>
      <c r="B574" s="35" t="str">
        <f t="shared" si="17"/>
        <v>June</v>
      </c>
      <c r="C574" s="33">
        <v>46190</v>
      </c>
      <c r="D574" s="15">
        <v>61988</v>
      </c>
      <c r="E574" s="60">
        <v>45439</v>
      </c>
      <c r="F574" s="52" t="s">
        <v>120</v>
      </c>
      <c r="G574" s="18" t="s">
        <v>123</v>
      </c>
      <c r="H574" s="49" t="s">
        <v>161</v>
      </c>
      <c r="I574" s="49" t="s">
        <v>68</v>
      </c>
      <c r="J574" s="50" t="s">
        <v>47</v>
      </c>
      <c r="K574" s="55">
        <v>75</v>
      </c>
      <c r="L574" s="54">
        <v>495</v>
      </c>
      <c r="M574" s="53">
        <f t="shared" si="18"/>
        <v>37125</v>
      </c>
    </row>
    <row r="575" spans="1:17" x14ac:dyDescent="0.25">
      <c r="A575" s="21">
        <f>IF(C575="","",COUNTA($C$3:C575))</f>
        <v>573</v>
      </c>
      <c r="B575" s="35" t="str">
        <f t="shared" si="17"/>
        <v>June</v>
      </c>
      <c r="C575" s="33">
        <v>46191</v>
      </c>
      <c r="D575" s="15">
        <v>61988</v>
      </c>
      <c r="E575" s="60">
        <v>45440</v>
      </c>
      <c r="F575" s="52" t="s">
        <v>120</v>
      </c>
      <c r="G575" s="18" t="s">
        <v>123</v>
      </c>
      <c r="H575" s="49" t="s">
        <v>351</v>
      </c>
      <c r="I575" s="49" t="s">
        <v>68</v>
      </c>
      <c r="J575" s="50" t="s">
        <v>70</v>
      </c>
      <c r="K575" s="67">
        <v>149</v>
      </c>
      <c r="L575" s="53">
        <v>1103</v>
      </c>
      <c r="M575" s="53">
        <f t="shared" si="18"/>
        <v>164347</v>
      </c>
      <c r="O575" s="59"/>
      <c r="P575" s="71"/>
      <c r="Q575" s="59"/>
    </row>
    <row r="576" spans="1:17" x14ac:dyDescent="0.25">
      <c r="A576" s="21">
        <f>IF(C576="","",COUNTA($C$3:C576))</f>
        <v>574</v>
      </c>
      <c r="B576" s="35" t="str">
        <f t="shared" si="17"/>
        <v>June</v>
      </c>
      <c r="C576" s="33">
        <v>46191</v>
      </c>
      <c r="D576" s="15">
        <v>61988</v>
      </c>
      <c r="E576" s="60">
        <v>45440</v>
      </c>
      <c r="F576" s="52" t="s">
        <v>120</v>
      </c>
      <c r="G576" s="18" t="s">
        <v>123</v>
      </c>
      <c r="H576" s="49" t="s">
        <v>369</v>
      </c>
      <c r="I576" s="49" t="s">
        <v>68</v>
      </c>
      <c r="J576" s="50" t="s">
        <v>70</v>
      </c>
      <c r="K576" s="15">
        <v>54</v>
      </c>
      <c r="L576" s="53">
        <v>1195</v>
      </c>
      <c r="M576" s="53">
        <f t="shared" si="18"/>
        <v>64530</v>
      </c>
      <c r="O576" s="59"/>
      <c r="P576" s="112"/>
      <c r="Q576" s="59"/>
    </row>
    <row r="577" spans="1:17" x14ac:dyDescent="0.25">
      <c r="A577" s="21">
        <f>IF(C577="","",COUNTA($C$3:C577))</f>
        <v>575</v>
      </c>
      <c r="B577" s="35" t="str">
        <f t="shared" si="17"/>
        <v>June</v>
      </c>
      <c r="C577" s="33">
        <v>46191</v>
      </c>
      <c r="D577" s="15">
        <v>61988</v>
      </c>
      <c r="E577" s="60">
        <v>45440</v>
      </c>
      <c r="F577" s="52" t="s">
        <v>120</v>
      </c>
      <c r="G577" s="18" t="s">
        <v>123</v>
      </c>
      <c r="H577" s="49" t="s">
        <v>129</v>
      </c>
      <c r="I577" s="49" t="s">
        <v>74</v>
      </c>
      <c r="J577" s="50" t="s">
        <v>47</v>
      </c>
      <c r="K577" s="55">
        <f>196.9481+83.148795</f>
        <v>280.09689500000002</v>
      </c>
      <c r="L577" s="62">
        <v>289</v>
      </c>
      <c r="M577" s="53">
        <f t="shared" si="18"/>
        <v>80948.002655000004</v>
      </c>
    </row>
    <row r="578" spans="1:17" x14ac:dyDescent="0.25">
      <c r="A578" s="21">
        <f>IF(C578="","",COUNTA($C$3:C578))</f>
        <v>576</v>
      </c>
      <c r="B578" s="35" t="str">
        <f t="shared" si="17"/>
        <v>June</v>
      </c>
      <c r="C578" s="33">
        <v>46192</v>
      </c>
      <c r="D578" s="15">
        <v>61998</v>
      </c>
      <c r="E578" s="60">
        <v>45441</v>
      </c>
      <c r="F578" s="52" t="s">
        <v>120</v>
      </c>
      <c r="G578" s="18" t="s">
        <v>329</v>
      </c>
      <c r="H578" s="49" t="s">
        <v>237</v>
      </c>
      <c r="I578" s="49" t="s">
        <v>68</v>
      </c>
      <c r="J578" s="50" t="s">
        <v>70</v>
      </c>
      <c r="K578" s="15">
        <v>108</v>
      </c>
      <c r="L578" s="54">
        <v>991</v>
      </c>
      <c r="M578" s="53">
        <f t="shared" si="18"/>
        <v>107028</v>
      </c>
      <c r="O578" s="59"/>
      <c r="P578" s="59"/>
      <c r="Q578" s="59"/>
    </row>
    <row r="579" spans="1:17" x14ac:dyDescent="0.25">
      <c r="A579" s="21">
        <f>IF(C579="","",COUNTA($C$3:C579))</f>
        <v>577</v>
      </c>
      <c r="B579" s="35" t="str">
        <f t="shared" si="17"/>
        <v>June</v>
      </c>
      <c r="C579" s="33">
        <v>46192</v>
      </c>
      <c r="D579" s="15">
        <v>61998</v>
      </c>
      <c r="E579" s="60">
        <v>45441</v>
      </c>
      <c r="F579" s="52" t="s">
        <v>120</v>
      </c>
      <c r="G579" s="18" t="s">
        <v>329</v>
      </c>
      <c r="H579" s="49" t="s">
        <v>390</v>
      </c>
      <c r="I579" s="49" t="s">
        <v>68</v>
      </c>
      <c r="J579" s="50" t="s">
        <v>70</v>
      </c>
      <c r="K579" s="15">
        <v>26</v>
      </c>
      <c r="L579" s="62">
        <v>542</v>
      </c>
      <c r="M579" s="53">
        <f t="shared" si="18"/>
        <v>14092</v>
      </c>
      <c r="O579" s="59"/>
      <c r="P579" s="59"/>
      <c r="Q579" s="59"/>
    </row>
    <row r="580" spans="1:17" x14ac:dyDescent="0.25">
      <c r="A580" s="21">
        <f>IF(C580="","",COUNTA($C$3:C580))</f>
        <v>578</v>
      </c>
      <c r="B580" s="35" t="str">
        <f t="shared" si="17"/>
        <v>June</v>
      </c>
      <c r="C580" s="33">
        <v>46192</v>
      </c>
      <c r="D580" s="15">
        <v>61998</v>
      </c>
      <c r="E580" s="60">
        <v>45441</v>
      </c>
      <c r="F580" s="52" t="s">
        <v>120</v>
      </c>
      <c r="G580" s="18" t="s">
        <v>329</v>
      </c>
      <c r="H580" s="49" t="s">
        <v>129</v>
      </c>
      <c r="I580" s="49" t="s">
        <v>75</v>
      </c>
      <c r="J580" s="50" t="s">
        <v>47</v>
      </c>
      <c r="K580" s="15">
        <v>16.12</v>
      </c>
      <c r="L580" s="54">
        <v>900</v>
      </c>
      <c r="M580" s="53">
        <f t="shared" si="18"/>
        <v>14508</v>
      </c>
    </row>
    <row r="581" spans="1:17" x14ac:dyDescent="0.25">
      <c r="A581" s="21">
        <f>IF(C581="","",COUNTA($C$3:C581))</f>
        <v>579</v>
      </c>
      <c r="B581" s="35" t="str">
        <f t="shared" si="17"/>
        <v>June</v>
      </c>
      <c r="C581" s="33">
        <v>46192</v>
      </c>
      <c r="D581" s="15">
        <v>61998</v>
      </c>
      <c r="E581" s="60">
        <v>45441</v>
      </c>
      <c r="F581" s="52" t="s">
        <v>120</v>
      </c>
      <c r="G581" s="18" t="s">
        <v>329</v>
      </c>
      <c r="H581" s="49" t="s">
        <v>129</v>
      </c>
      <c r="I581" s="49" t="s">
        <v>92</v>
      </c>
      <c r="J581" s="50" t="s">
        <v>47</v>
      </c>
      <c r="K581" s="55">
        <v>128.4</v>
      </c>
      <c r="L581" s="62">
        <v>630</v>
      </c>
      <c r="M581" s="53">
        <f t="shared" si="18"/>
        <v>80892</v>
      </c>
    </row>
    <row r="582" spans="1:17" x14ac:dyDescent="0.25">
      <c r="A582" s="21">
        <f>IF(C582="","",COUNTA($C$3:C582))</f>
        <v>580</v>
      </c>
      <c r="B582" s="35" t="str">
        <f t="shared" si="17"/>
        <v>June</v>
      </c>
      <c r="C582" s="33">
        <v>46192</v>
      </c>
      <c r="D582" s="15">
        <v>61998</v>
      </c>
      <c r="E582" s="60">
        <v>45441</v>
      </c>
      <c r="F582" s="52" t="s">
        <v>120</v>
      </c>
      <c r="G582" s="18" t="s">
        <v>329</v>
      </c>
      <c r="H582" s="49" t="s">
        <v>200</v>
      </c>
      <c r="I582" s="49" t="s">
        <v>69</v>
      </c>
      <c r="J582" s="50" t="s">
        <v>70</v>
      </c>
      <c r="K582" s="15">
        <v>108</v>
      </c>
      <c r="L582" s="54">
        <v>440</v>
      </c>
      <c r="M582" s="53">
        <f t="shared" si="18"/>
        <v>47520</v>
      </c>
    </row>
    <row r="583" spans="1:17" x14ac:dyDescent="0.25">
      <c r="A583" s="21">
        <f>IF(C583="","",COUNTA($C$3:C583))</f>
        <v>581</v>
      </c>
      <c r="B583" s="35" t="str">
        <f t="shared" si="17"/>
        <v>June</v>
      </c>
      <c r="C583" s="33">
        <v>46192</v>
      </c>
      <c r="D583" s="15">
        <v>61998</v>
      </c>
      <c r="E583" s="60">
        <v>45441</v>
      </c>
      <c r="F583" s="52" t="s">
        <v>120</v>
      </c>
      <c r="G583" s="18" t="s">
        <v>329</v>
      </c>
      <c r="H583" s="49" t="s">
        <v>139</v>
      </c>
      <c r="I583" s="49" t="s">
        <v>39</v>
      </c>
      <c r="J583" s="50" t="s">
        <v>47</v>
      </c>
      <c r="K583" s="15">
        <v>2.8</v>
      </c>
      <c r="L583" s="48">
        <v>5200</v>
      </c>
      <c r="M583" s="53">
        <f t="shared" si="18"/>
        <v>14559.999999999998</v>
      </c>
    </row>
    <row r="584" spans="1:17" x14ac:dyDescent="0.25">
      <c r="A584" s="21">
        <f>IF(C584="","",COUNTA($C$3:C584))</f>
        <v>582</v>
      </c>
      <c r="B584" s="35" t="str">
        <f t="shared" si="17"/>
        <v>June</v>
      </c>
      <c r="C584" s="33">
        <v>46192</v>
      </c>
      <c r="D584" s="15">
        <v>61768</v>
      </c>
      <c r="E584" s="60">
        <v>45442</v>
      </c>
      <c r="F584" s="18" t="s">
        <v>144</v>
      </c>
      <c r="G584" s="18" t="s">
        <v>146</v>
      </c>
      <c r="H584" s="49" t="s">
        <v>143</v>
      </c>
      <c r="I584" s="49" t="s">
        <v>403</v>
      </c>
      <c r="J584" s="50" t="s">
        <v>70</v>
      </c>
      <c r="K584" s="15">
        <v>1</v>
      </c>
      <c r="L584" s="54">
        <v>39500</v>
      </c>
      <c r="M584" s="53">
        <f t="shared" si="18"/>
        <v>39500</v>
      </c>
    </row>
    <row r="585" spans="1:17" x14ac:dyDescent="0.25">
      <c r="A585" s="21">
        <f>IF(C585="","",COUNTA($C$3:C585))</f>
        <v>583</v>
      </c>
      <c r="B585" s="35" t="str">
        <f t="shared" si="17"/>
        <v>June</v>
      </c>
      <c r="C585" s="33">
        <v>46192</v>
      </c>
      <c r="D585" s="15">
        <v>61768</v>
      </c>
      <c r="E585" s="60">
        <v>45442</v>
      </c>
      <c r="F585" s="18" t="s">
        <v>144</v>
      </c>
      <c r="G585" s="18" t="s">
        <v>146</v>
      </c>
      <c r="H585" s="49" t="s">
        <v>143</v>
      </c>
      <c r="I585" s="49" t="s">
        <v>404</v>
      </c>
      <c r="J585" s="50" t="s">
        <v>70</v>
      </c>
      <c r="K585" s="15">
        <v>1</v>
      </c>
      <c r="L585" s="54">
        <v>55000</v>
      </c>
      <c r="M585" s="53">
        <f t="shared" si="18"/>
        <v>55000</v>
      </c>
    </row>
    <row r="586" spans="1:17" x14ac:dyDescent="0.25">
      <c r="A586" s="21">
        <f>IF(C586="","",COUNTA($C$3:C586))</f>
        <v>584</v>
      </c>
      <c r="B586" s="35" t="str">
        <f t="shared" si="17"/>
        <v>June</v>
      </c>
      <c r="C586" s="33">
        <v>46192</v>
      </c>
      <c r="D586" s="15">
        <v>61768</v>
      </c>
      <c r="E586" s="60">
        <v>45442</v>
      </c>
      <c r="F586" s="18" t="s">
        <v>144</v>
      </c>
      <c r="G586" s="18" t="s">
        <v>146</v>
      </c>
      <c r="H586" s="49" t="s">
        <v>143</v>
      </c>
      <c r="I586" s="49" t="s">
        <v>405</v>
      </c>
      <c r="J586" s="50" t="s">
        <v>70</v>
      </c>
      <c r="K586" s="15">
        <v>1</v>
      </c>
      <c r="L586" s="62">
        <v>156100</v>
      </c>
      <c r="M586" s="53">
        <f t="shared" si="18"/>
        <v>156100</v>
      </c>
    </row>
    <row r="587" spans="1:17" x14ac:dyDescent="0.25">
      <c r="A587" s="21">
        <f>IF(C587="","",COUNTA($C$3:C587))</f>
        <v>585</v>
      </c>
      <c r="B587" s="35" t="str">
        <f t="shared" si="17"/>
        <v>June</v>
      </c>
      <c r="C587" s="33">
        <v>46192</v>
      </c>
      <c r="D587" s="15">
        <v>61768</v>
      </c>
      <c r="E587" s="60">
        <v>45443</v>
      </c>
      <c r="F587" s="18" t="s">
        <v>144</v>
      </c>
      <c r="G587" s="18" t="s">
        <v>146</v>
      </c>
      <c r="H587" s="49" t="s">
        <v>143</v>
      </c>
      <c r="I587" s="49" t="s">
        <v>77</v>
      </c>
      <c r="J587" s="50" t="s">
        <v>70</v>
      </c>
      <c r="K587" s="15">
        <v>4000</v>
      </c>
      <c r="L587" s="62">
        <v>5</v>
      </c>
      <c r="M587" s="53">
        <f t="shared" si="18"/>
        <v>20000</v>
      </c>
    </row>
    <row r="588" spans="1:17" x14ac:dyDescent="0.25">
      <c r="A588" s="21">
        <f>IF(C588="","",COUNTA($C$3:C588))</f>
        <v>586</v>
      </c>
      <c r="B588" s="35" t="str">
        <f t="shared" si="17"/>
        <v>June</v>
      </c>
      <c r="C588" s="33">
        <v>46192</v>
      </c>
      <c r="D588" s="15">
        <v>61768</v>
      </c>
      <c r="E588" s="60">
        <v>45443</v>
      </c>
      <c r="F588" s="18" t="s">
        <v>144</v>
      </c>
      <c r="G588" s="18" t="s">
        <v>146</v>
      </c>
      <c r="H588" s="49" t="s">
        <v>143</v>
      </c>
      <c r="I588" s="49" t="s">
        <v>406</v>
      </c>
      <c r="J588" s="50" t="s">
        <v>70</v>
      </c>
      <c r="K588" s="15">
        <v>1</v>
      </c>
      <c r="L588" s="62">
        <v>550</v>
      </c>
      <c r="M588" s="53">
        <f t="shared" si="18"/>
        <v>550</v>
      </c>
      <c r="O588" s="59"/>
    </row>
    <row r="589" spans="1:17" x14ac:dyDescent="0.25">
      <c r="A589" s="21">
        <f>IF(C589="","",COUNTA($C$3:C589))</f>
        <v>587</v>
      </c>
      <c r="B589" s="35" t="str">
        <f t="shared" si="17"/>
        <v>June</v>
      </c>
      <c r="C589" s="33">
        <v>46192</v>
      </c>
      <c r="D589" s="15">
        <v>61768</v>
      </c>
      <c r="E589" s="60">
        <v>45443</v>
      </c>
      <c r="F589" s="18" t="s">
        <v>144</v>
      </c>
      <c r="G589" s="18" t="s">
        <v>146</v>
      </c>
      <c r="H589" s="49" t="s">
        <v>143</v>
      </c>
      <c r="I589" s="49" t="s">
        <v>407</v>
      </c>
      <c r="J589" s="50" t="s">
        <v>408</v>
      </c>
      <c r="K589" s="15">
        <v>510</v>
      </c>
      <c r="L589" s="62">
        <v>45</v>
      </c>
      <c r="M589" s="53">
        <f t="shared" si="18"/>
        <v>22950</v>
      </c>
    </row>
    <row r="590" spans="1:17" x14ac:dyDescent="0.25">
      <c r="A590" s="21">
        <f>IF(C590="","",COUNTA($C$3:C590))</f>
        <v>588</v>
      </c>
      <c r="B590" s="35" t="str">
        <f t="shared" si="17"/>
        <v>June</v>
      </c>
      <c r="C590" s="33">
        <v>46193</v>
      </c>
      <c r="D590" s="15">
        <v>61930</v>
      </c>
      <c r="E590" s="60">
        <v>45444</v>
      </c>
      <c r="F590" s="18" t="s">
        <v>120</v>
      </c>
      <c r="G590" s="18" t="s">
        <v>123</v>
      </c>
      <c r="H590" s="49" t="s">
        <v>38</v>
      </c>
      <c r="I590" s="49" t="s">
        <v>68</v>
      </c>
      <c r="J590" s="50" t="s">
        <v>47</v>
      </c>
      <c r="K590" s="15">
        <v>3.5</v>
      </c>
      <c r="L590" s="62">
        <v>585</v>
      </c>
      <c r="M590" s="53">
        <f t="shared" si="18"/>
        <v>2047.5</v>
      </c>
    </row>
    <row r="591" spans="1:17" x14ac:dyDescent="0.25">
      <c r="A591" s="21">
        <f>IF(C591="","",COUNTA($C$3:C591))</f>
        <v>589</v>
      </c>
      <c r="B591" s="35" t="str">
        <f t="shared" si="17"/>
        <v>June</v>
      </c>
      <c r="C591" s="33">
        <v>46193</v>
      </c>
      <c r="D591" s="15">
        <v>61930</v>
      </c>
      <c r="E591" s="60">
        <v>45444</v>
      </c>
      <c r="F591" s="18" t="s">
        <v>120</v>
      </c>
      <c r="G591" s="18" t="s">
        <v>123</v>
      </c>
      <c r="H591" s="49" t="s">
        <v>38</v>
      </c>
      <c r="I591" s="49" t="s">
        <v>39</v>
      </c>
      <c r="J591" s="50" t="s">
        <v>47</v>
      </c>
      <c r="K591" s="15">
        <v>5.5</v>
      </c>
      <c r="L591" s="62">
        <v>915</v>
      </c>
      <c r="M591" s="53">
        <f t="shared" si="18"/>
        <v>5032.5</v>
      </c>
    </row>
    <row r="592" spans="1:17" x14ac:dyDescent="0.25">
      <c r="A592" s="21">
        <f>IF(C592="","",COUNTA($C$3:C592))</f>
        <v>590</v>
      </c>
      <c r="B592" s="35" t="str">
        <f t="shared" si="17"/>
        <v>June</v>
      </c>
      <c r="C592" s="33">
        <v>46193</v>
      </c>
      <c r="D592" s="15">
        <v>61930</v>
      </c>
      <c r="E592" s="60">
        <v>45444</v>
      </c>
      <c r="F592" s="18" t="s">
        <v>120</v>
      </c>
      <c r="G592" s="18" t="s">
        <v>123</v>
      </c>
      <c r="H592" s="49" t="s">
        <v>129</v>
      </c>
      <c r="I592" s="49" t="s">
        <v>115</v>
      </c>
      <c r="J592" s="50" t="s">
        <v>47</v>
      </c>
      <c r="K592" s="15">
        <v>9</v>
      </c>
      <c r="L592" s="54">
        <v>1271</v>
      </c>
      <c r="M592" s="53">
        <f t="shared" si="18"/>
        <v>11439</v>
      </c>
    </row>
    <row r="593" spans="1:18" x14ac:dyDescent="0.25">
      <c r="A593" s="21">
        <f>IF(C593="","",COUNTA($C$3:C593))</f>
        <v>591</v>
      </c>
      <c r="B593" s="35" t="str">
        <f t="shared" si="17"/>
        <v>June</v>
      </c>
      <c r="C593" s="33">
        <v>46195</v>
      </c>
      <c r="D593" s="15">
        <v>61968</v>
      </c>
      <c r="E593" s="60">
        <v>45445</v>
      </c>
      <c r="F593" s="18" t="s">
        <v>120</v>
      </c>
      <c r="G593" s="18" t="s">
        <v>270</v>
      </c>
      <c r="H593" s="49" t="s">
        <v>271</v>
      </c>
      <c r="I593" s="49" t="s">
        <v>48</v>
      </c>
      <c r="J593" s="50" t="s">
        <v>47</v>
      </c>
      <c r="K593" s="15">
        <v>526.70000000000005</v>
      </c>
      <c r="L593" s="62">
        <v>620</v>
      </c>
      <c r="M593" s="53">
        <f t="shared" si="18"/>
        <v>326554</v>
      </c>
    </row>
    <row r="594" spans="1:18" x14ac:dyDescent="0.25">
      <c r="A594" s="21">
        <f>IF(C594="","",COUNTA($C$3:C594))</f>
        <v>592</v>
      </c>
      <c r="B594" s="35" t="str">
        <f t="shared" si="17"/>
        <v>June</v>
      </c>
      <c r="C594" s="33">
        <v>46195</v>
      </c>
      <c r="D594" s="15">
        <v>61968</v>
      </c>
      <c r="E594" s="60">
        <v>45445</v>
      </c>
      <c r="F594" s="18" t="s">
        <v>120</v>
      </c>
      <c r="G594" s="18" t="s">
        <v>270</v>
      </c>
      <c r="H594" s="49" t="s">
        <v>280</v>
      </c>
      <c r="I594" s="49" t="s">
        <v>49</v>
      </c>
      <c r="J594" s="50" t="s">
        <v>47</v>
      </c>
      <c r="K594" s="15">
        <v>3.1</v>
      </c>
      <c r="L594" s="62">
        <v>770</v>
      </c>
      <c r="M594" s="53">
        <f t="shared" si="18"/>
        <v>2387</v>
      </c>
    </row>
    <row r="595" spans="1:18" x14ac:dyDescent="0.25">
      <c r="A595" s="21">
        <f>IF(C595="","",COUNTA($C$3:C595))</f>
        <v>593</v>
      </c>
      <c r="B595" s="35" t="str">
        <f t="shared" si="17"/>
        <v>June</v>
      </c>
      <c r="C595" s="33">
        <v>46195</v>
      </c>
      <c r="D595" s="15">
        <v>61976</v>
      </c>
      <c r="E595" s="60">
        <v>45446</v>
      </c>
      <c r="F595" s="18" t="s">
        <v>120</v>
      </c>
      <c r="G595" s="18" t="s">
        <v>134</v>
      </c>
      <c r="H595" s="49" t="s">
        <v>342</v>
      </c>
      <c r="I595" s="49" t="s">
        <v>68</v>
      </c>
      <c r="J595" s="50" t="s">
        <v>70</v>
      </c>
      <c r="K595" s="15">
        <v>170</v>
      </c>
      <c r="L595" s="53">
        <v>420</v>
      </c>
      <c r="M595" s="53">
        <f t="shared" si="18"/>
        <v>71400</v>
      </c>
      <c r="O595" s="59"/>
      <c r="P595" s="59"/>
      <c r="Q595" s="59"/>
    </row>
    <row r="596" spans="1:18" x14ac:dyDescent="0.25">
      <c r="A596" s="21">
        <f>IF(C596="","",COUNTA($C$3:C596))</f>
        <v>594</v>
      </c>
      <c r="B596" s="35" t="str">
        <f t="shared" si="17"/>
        <v>June</v>
      </c>
      <c r="C596" s="33">
        <v>46195</v>
      </c>
      <c r="D596" s="15">
        <v>61976</v>
      </c>
      <c r="E596" s="60">
        <v>45446</v>
      </c>
      <c r="F596" s="18" t="s">
        <v>120</v>
      </c>
      <c r="G596" s="18" t="s">
        <v>134</v>
      </c>
      <c r="H596" s="49" t="s">
        <v>348</v>
      </c>
      <c r="I596" s="49" t="s">
        <v>68</v>
      </c>
      <c r="J596" s="50" t="s">
        <v>70</v>
      </c>
      <c r="K596" s="15">
        <v>13</v>
      </c>
      <c r="L596" s="53">
        <v>508</v>
      </c>
      <c r="M596" s="53">
        <f t="shared" si="18"/>
        <v>6604</v>
      </c>
      <c r="O596" s="59"/>
      <c r="P596" s="59"/>
      <c r="Q596" s="59"/>
    </row>
    <row r="597" spans="1:18" x14ac:dyDescent="0.25">
      <c r="A597" s="21">
        <f>IF(C597="","",COUNTA($C$3:C597))</f>
        <v>595</v>
      </c>
      <c r="B597" s="35" t="str">
        <f t="shared" ref="B597:B660" si="19">IF(C597="","",TEXT(C597,"mmmm"))</f>
        <v>June</v>
      </c>
      <c r="C597" s="33">
        <v>46195</v>
      </c>
      <c r="D597" s="15">
        <v>61976</v>
      </c>
      <c r="E597" s="60">
        <v>45446</v>
      </c>
      <c r="F597" s="18" t="s">
        <v>120</v>
      </c>
      <c r="G597" s="18" t="s">
        <v>134</v>
      </c>
      <c r="H597" s="49" t="s">
        <v>343</v>
      </c>
      <c r="I597" s="49" t="s">
        <v>68</v>
      </c>
      <c r="J597" s="50" t="s">
        <v>70</v>
      </c>
      <c r="K597" s="15">
        <v>370</v>
      </c>
      <c r="L597" s="53">
        <v>435</v>
      </c>
      <c r="M597" s="53">
        <f t="shared" ref="M597:M660" si="20">K597*L597</f>
        <v>160950</v>
      </c>
      <c r="O597" s="59"/>
      <c r="P597" s="59"/>
      <c r="Q597" s="59"/>
    </row>
    <row r="598" spans="1:18" x14ac:dyDescent="0.25">
      <c r="A598" s="21">
        <f>IF(C598="","",COUNTA($C$3:C598))</f>
        <v>596</v>
      </c>
      <c r="B598" s="35" t="str">
        <f t="shared" si="19"/>
        <v>June</v>
      </c>
      <c r="C598" s="33">
        <v>46195</v>
      </c>
      <c r="D598" s="15">
        <v>61976</v>
      </c>
      <c r="E598" s="60">
        <v>45446</v>
      </c>
      <c r="F598" s="18" t="s">
        <v>120</v>
      </c>
      <c r="G598" s="18" t="s">
        <v>134</v>
      </c>
      <c r="H598" s="49" t="s">
        <v>349</v>
      </c>
      <c r="I598" s="49" t="s">
        <v>68</v>
      </c>
      <c r="J598" s="50" t="s">
        <v>70</v>
      </c>
      <c r="K598" s="15">
        <v>27</v>
      </c>
      <c r="L598" s="53">
        <v>560</v>
      </c>
      <c r="M598" s="53">
        <f t="shared" si="20"/>
        <v>15120</v>
      </c>
      <c r="O598" s="59"/>
      <c r="P598" s="59"/>
      <c r="Q598" s="59"/>
    </row>
    <row r="599" spans="1:18" x14ac:dyDescent="0.25">
      <c r="A599" s="21">
        <f>IF(C599="","",COUNTA($C$3:C599))</f>
        <v>597</v>
      </c>
      <c r="B599" s="35" t="str">
        <f t="shared" si="19"/>
        <v>June</v>
      </c>
      <c r="C599" s="33">
        <v>46195</v>
      </c>
      <c r="D599" s="15">
        <v>61976</v>
      </c>
      <c r="E599" s="60">
        <v>45446</v>
      </c>
      <c r="F599" s="18" t="s">
        <v>120</v>
      </c>
      <c r="G599" s="18" t="s">
        <v>134</v>
      </c>
      <c r="H599" s="49" t="s">
        <v>350</v>
      </c>
      <c r="I599" s="49" t="s">
        <v>68</v>
      </c>
      <c r="J599" s="50" t="s">
        <v>70</v>
      </c>
      <c r="K599" s="15">
        <v>8</v>
      </c>
      <c r="L599" s="54">
        <v>894</v>
      </c>
      <c r="M599" s="53">
        <f t="shared" si="20"/>
        <v>7152</v>
      </c>
      <c r="O599" s="59"/>
      <c r="P599" s="59"/>
      <c r="Q599" s="59"/>
    </row>
    <row r="600" spans="1:18" x14ac:dyDescent="0.25">
      <c r="A600" s="21">
        <f>IF(C600="","",COUNTA($C$3:C600))</f>
        <v>598</v>
      </c>
      <c r="B600" s="35" t="str">
        <f t="shared" si="19"/>
        <v>June</v>
      </c>
      <c r="C600" s="33">
        <v>46195</v>
      </c>
      <c r="D600" s="15">
        <v>61976</v>
      </c>
      <c r="E600" s="60">
        <v>45446</v>
      </c>
      <c r="F600" s="18" t="s">
        <v>120</v>
      </c>
      <c r="G600" s="18" t="s">
        <v>134</v>
      </c>
      <c r="H600" s="49" t="s">
        <v>345</v>
      </c>
      <c r="I600" s="49" t="s">
        <v>68</v>
      </c>
      <c r="J600" s="50" t="s">
        <v>70</v>
      </c>
      <c r="K600" s="15">
        <v>150</v>
      </c>
      <c r="L600" s="53">
        <v>660</v>
      </c>
      <c r="M600" s="53">
        <f t="shared" si="20"/>
        <v>99000</v>
      </c>
      <c r="O600" s="59"/>
      <c r="P600" s="59"/>
      <c r="Q600" s="59"/>
    </row>
    <row r="601" spans="1:18" x14ac:dyDescent="0.25">
      <c r="A601" s="21">
        <f>IF(C601="","",COUNTA($C$3:C601))</f>
        <v>599</v>
      </c>
      <c r="B601" s="35" t="str">
        <f t="shared" si="19"/>
        <v>June</v>
      </c>
      <c r="C601" s="33">
        <v>46195</v>
      </c>
      <c r="D601" s="15">
        <v>61976</v>
      </c>
      <c r="E601" s="60">
        <v>45446</v>
      </c>
      <c r="F601" s="18" t="s">
        <v>120</v>
      </c>
      <c r="G601" s="18" t="s">
        <v>134</v>
      </c>
      <c r="H601" s="49" t="s">
        <v>413</v>
      </c>
      <c r="I601" s="49" t="s">
        <v>68</v>
      </c>
      <c r="J601" s="50" t="s">
        <v>70</v>
      </c>
      <c r="K601" s="55">
        <v>2</v>
      </c>
      <c r="L601" s="54">
        <v>743</v>
      </c>
      <c r="M601" s="53">
        <f t="shared" si="20"/>
        <v>1486</v>
      </c>
      <c r="O601" s="59"/>
      <c r="P601" s="112"/>
      <c r="Q601" s="59"/>
      <c r="R601" s="59"/>
    </row>
    <row r="602" spans="1:18" x14ac:dyDescent="0.25">
      <c r="A602" s="21">
        <f>IF(C602="","",COUNTA($C$3:C602))</f>
        <v>600</v>
      </c>
      <c r="B602" s="35" t="str">
        <f t="shared" si="19"/>
        <v>June</v>
      </c>
      <c r="C602" s="33">
        <v>46195</v>
      </c>
      <c r="D602" s="15">
        <v>61976</v>
      </c>
      <c r="E602" s="60">
        <v>45446</v>
      </c>
      <c r="F602" s="18" t="s">
        <v>120</v>
      </c>
      <c r="G602" s="18" t="s">
        <v>134</v>
      </c>
      <c r="H602" s="49" t="s">
        <v>129</v>
      </c>
      <c r="I602" s="49" t="s">
        <v>140</v>
      </c>
      <c r="J602" s="50" t="s">
        <v>47</v>
      </c>
      <c r="K602" s="55">
        <f>67.46+7.13+323.02+29.69+7.37+125.85+1.43691</f>
        <v>561.95690999999999</v>
      </c>
      <c r="L602" s="62">
        <v>441</v>
      </c>
      <c r="M602" s="53">
        <f t="shared" si="20"/>
        <v>247822.99731000001</v>
      </c>
      <c r="R602" s="59"/>
    </row>
    <row r="603" spans="1:18" x14ac:dyDescent="0.25">
      <c r="A603" s="21">
        <f>IF(C603="","",COUNTA($C$3:C603))</f>
        <v>601</v>
      </c>
      <c r="B603" s="35" t="str">
        <f t="shared" si="19"/>
        <v>June</v>
      </c>
      <c r="C603" s="33">
        <v>46195</v>
      </c>
      <c r="D603" s="15">
        <v>61976</v>
      </c>
      <c r="E603" s="60">
        <v>45446</v>
      </c>
      <c r="F603" s="18" t="s">
        <v>120</v>
      </c>
      <c r="G603" s="18" t="s">
        <v>134</v>
      </c>
      <c r="H603" s="49" t="s">
        <v>275</v>
      </c>
      <c r="I603" s="49" t="s">
        <v>99</v>
      </c>
      <c r="J603" s="50" t="s">
        <v>70</v>
      </c>
      <c r="K603" s="15">
        <v>183</v>
      </c>
      <c r="L603" s="54">
        <v>190</v>
      </c>
      <c r="M603" s="53">
        <f t="shared" si="20"/>
        <v>34770</v>
      </c>
    </row>
    <row r="604" spans="1:18" x14ac:dyDescent="0.25">
      <c r="A604" s="21">
        <f>IF(C604="","",COUNTA($C$3:C604))</f>
        <v>602</v>
      </c>
      <c r="B604" s="35" t="str">
        <f t="shared" si="19"/>
        <v>June</v>
      </c>
      <c r="C604" s="33">
        <v>46196</v>
      </c>
      <c r="D604" s="15">
        <v>61999</v>
      </c>
      <c r="E604" s="60">
        <v>45447</v>
      </c>
      <c r="F604" s="18" t="s">
        <v>120</v>
      </c>
      <c r="G604" s="18" t="s">
        <v>411</v>
      </c>
      <c r="H604" s="49" t="s">
        <v>38</v>
      </c>
      <c r="I604" s="49" t="s">
        <v>68</v>
      </c>
      <c r="J604" s="50" t="s">
        <v>47</v>
      </c>
      <c r="K604" s="15">
        <v>43.2</v>
      </c>
      <c r="L604" s="62">
        <v>670</v>
      </c>
      <c r="M604" s="53">
        <f t="shared" si="20"/>
        <v>28944.000000000004</v>
      </c>
    </row>
    <row r="605" spans="1:18" x14ac:dyDescent="0.25">
      <c r="A605" s="21">
        <f>IF(C605="","",COUNTA($C$3:C605))</f>
        <v>603</v>
      </c>
      <c r="B605" s="35" t="str">
        <f t="shared" si="19"/>
        <v>June</v>
      </c>
      <c r="C605" s="33">
        <v>46196</v>
      </c>
      <c r="D605" s="15">
        <v>61999</v>
      </c>
      <c r="E605" s="60">
        <v>45447</v>
      </c>
      <c r="F605" s="18" t="s">
        <v>120</v>
      </c>
      <c r="G605" s="18" t="s">
        <v>411</v>
      </c>
      <c r="H605" s="49" t="s">
        <v>38</v>
      </c>
      <c r="I605" s="49" t="s">
        <v>69</v>
      </c>
      <c r="J605" s="50" t="s">
        <v>47</v>
      </c>
      <c r="K605" s="55">
        <v>29.5</v>
      </c>
      <c r="L605" s="54">
        <v>868</v>
      </c>
      <c r="M605" s="53">
        <f t="shared" si="20"/>
        <v>25606</v>
      </c>
    </row>
    <row r="606" spans="1:18" x14ac:dyDescent="0.25">
      <c r="A606" s="21">
        <f>IF(C606="","",COUNTA($C$3:C606))</f>
        <v>604</v>
      </c>
      <c r="B606" s="35" t="str">
        <f t="shared" si="19"/>
        <v>June</v>
      </c>
      <c r="C606" s="33">
        <v>46196</v>
      </c>
      <c r="D606" s="15">
        <v>61999</v>
      </c>
      <c r="E606" s="60">
        <v>45447</v>
      </c>
      <c r="F606" s="18" t="s">
        <v>120</v>
      </c>
      <c r="G606" s="18" t="s">
        <v>411</v>
      </c>
      <c r="H606" s="49" t="s">
        <v>139</v>
      </c>
      <c r="I606" s="49" t="s">
        <v>39</v>
      </c>
      <c r="J606" s="50" t="s">
        <v>47</v>
      </c>
      <c r="K606" s="15">
        <v>0.4</v>
      </c>
      <c r="L606" s="62">
        <v>5200</v>
      </c>
      <c r="M606" s="53">
        <f t="shared" si="20"/>
        <v>2080</v>
      </c>
    </row>
    <row r="607" spans="1:18" x14ac:dyDescent="0.25">
      <c r="A607" s="21">
        <f>IF(C607="","",COUNTA($C$3:C607))</f>
        <v>605</v>
      </c>
      <c r="B607" s="35" t="str">
        <f t="shared" si="19"/>
        <v>June</v>
      </c>
      <c r="C607" s="33">
        <v>46196</v>
      </c>
      <c r="D607" s="15">
        <v>61999</v>
      </c>
      <c r="E607" s="60">
        <v>45447</v>
      </c>
      <c r="F607" s="18" t="s">
        <v>120</v>
      </c>
      <c r="G607" s="18" t="s">
        <v>411</v>
      </c>
      <c r="H607" s="49" t="s">
        <v>161</v>
      </c>
      <c r="I607" s="49" t="s">
        <v>68</v>
      </c>
      <c r="J607" s="50" t="s">
        <v>47</v>
      </c>
      <c r="K607" s="15">
        <v>9</v>
      </c>
      <c r="L607" s="62">
        <v>495</v>
      </c>
      <c r="M607" s="53">
        <f t="shared" si="20"/>
        <v>4455</v>
      </c>
    </row>
    <row r="608" spans="1:18" x14ac:dyDescent="0.25">
      <c r="A608" s="21">
        <f>IF(C608="","",COUNTA($C$3:C608))</f>
        <v>606</v>
      </c>
      <c r="B608" s="35" t="str">
        <f t="shared" si="19"/>
        <v>June</v>
      </c>
      <c r="C608" s="33">
        <v>46196</v>
      </c>
      <c r="D608" s="15">
        <v>61999</v>
      </c>
      <c r="E608" s="60">
        <v>45447</v>
      </c>
      <c r="F608" s="18" t="s">
        <v>120</v>
      </c>
      <c r="G608" s="18" t="s">
        <v>411</v>
      </c>
      <c r="H608" s="49" t="s">
        <v>129</v>
      </c>
      <c r="I608" s="49" t="s">
        <v>268</v>
      </c>
      <c r="J608" s="50" t="s">
        <v>47</v>
      </c>
      <c r="K608" s="15">
        <v>72.7</v>
      </c>
      <c r="L608" s="62">
        <v>388</v>
      </c>
      <c r="M608" s="53">
        <f t="shared" si="20"/>
        <v>28207.600000000002</v>
      </c>
    </row>
    <row r="609" spans="1:16" x14ac:dyDescent="0.25">
      <c r="A609" s="21">
        <f>IF(C609="","",COUNTA($C$3:C609))</f>
        <v>607</v>
      </c>
      <c r="B609" s="35" t="str">
        <f t="shared" si="19"/>
        <v>June</v>
      </c>
      <c r="C609" s="33">
        <v>46196</v>
      </c>
      <c r="D609" s="15">
        <v>61999</v>
      </c>
      <c r="E609" s="60">
        <v>45447</v>
      </c>
      <c r="F609" s="18" t="s">
        <v>120</v>
      </c>
      <c r="G609" s="18" t="s">
        <v>411</v>
      </c>
      <c r="H609" s="49" t="s">
        <v>129</v>
      </c>
      <c r="I609" s="49" t="s">
        <v>268</v>
      </c>
      <c r="J609" s="50" t="s">
        <v>47</v>
      </c>
      <c r="K609" s="15">
        <v>33.6</v>
      </c>
      <c r="L609" s="62">
        <v>250</v>
      </c>
      <c r="M609" s="53">
        <f t="shared" si="20"/>
        <v>8400</v>
      </c>
    </row>
    <row r="610" spans="1:16" x14ac:dyDescent="0.25">
      <c r="A610" s="21">
        <f>IF(C610="","",COUNTA($C$3:C610))</f>
        <v>608</v>
      </c>
      <c r="B610" s="35" t="str">
        <f t="shared" si="19"/>
        <v>June</v>
      </c>
      <c r="C610" s="33">
        <v>46196</v>
      </c>
      <c r="D610" s="15">
        <v>61999</v>
      </c>
      <c r="E610" s="60">
        <v>45447</v>
      </c>
      <c r="F610" s="18" t="s">
        <v>120</v>
      </c>
      <c r="G610" s="18" t="s">
        <v>411</v>
      </c>
      <c r="H610" s="49" t="s">
        <v>129</v>
      </c>
      <c r="I610" s="49" t="s">
        <v>104</v>
      </c>
      <c r="J610" s="50" t="s">
        <v>47</v>
      </c>
      <c r="K610" s="15">
        <v>10</v>
      </c>
      <c r="L610" s="54">
        <v>755</v>
      </c>
      <c r="M610" s="53">
        <f t="shared" si="20"/>
        <v>7550</v>
      </c>
    </row>
    <row r="611" spans="1:16" x14ac:dyDescent="0.25">
      <c r="A611" s="21">
        <f>IF(C611="","",COUNTA($C$3:C611))</f>
        <v>609</v>
      </c>
      <c r="B611" s="35" t="str">
        <f t="shared" si="19"/>
        <v>June</v>
      </c>
      <c r="C611" s="33">
        <v>46196</v>
      </c>
      <c r="D611" s="15">
        <v>61999</v>
      </c>
      <c r="E611" s="60">
        <v>45447</v>
      </c>
      <c r="F611" s="18" t="s">
        <v>120</v>
      </c>
      <c r="G611" s="18" t="s">
        <v>411</v>
      </c>
      <c r="H611" s="49" t="s">
        <v>130</v>
      </c>
      <c r="I611" s="49" t="s">
        <v>40</v>
      </c>
      <c r="J611" s="50" t="s">
        <v>47</v>
      </c>
      <c r="K611" s="15">
        <v>90</v>
      </c>
      <c r="L611" s="54">
        <v>20</v>
      </c>
      <c r="M611" s="53">
        <f t="shared" si="20"/>
        <v>1800</v>
      </c>
    </row>
    <row r="612" spans="1:16" x14ac:dyDescent="0.25">
      <c r="A612" s="21">
        <f>IF(C612="","",COUNTA($C$3:C612))</f>
        <v>610</v>
      </c>
      <c r="B612" s="35" t="str">
        <f t="shared" si="19"/>
        <v>June</v>
      </c>
      <c r="C612" s="33">
        <v>46196</v>
      </c>
      <c r="D612" s="15">
        <v>61968</v>
      </c>
      <c r="E612" s="60">
        <v>45448</v>
      </c>
      <c r="F612" s="18" t="s">
        <v>120</v>
      </c>
      <c r="G612" s="18" t="s">
        <v>270</v>
      </c>
      <c r="H612" s="49" t="s">
        <v>271</v>
      </c>
      <c r="I612" s="49" t="s">
        <v>48</v>
      </c>
      <c r="J612" s="50" t="s">
        <v>47</v>
      </c>
      <c r="K612" s="15">
        <v>207.2</v>
      </c>
      <c r="L612" s="62">
        <v>620</v>
      </c>
      <c r="M612" s="53">
        <f t="shared" si="20"/>
        <v>128464</v>
      </c>
    </row>
    <row r="613" spans="1:16" x14ac:dyDescent="0.25">
      <c r="A613" s="21">
        <f>IF(C613="","",COUNTA($C$3:C613))</f>
        <v>611</v>
      </c>
      <c r="B613" s="35" t="str">
        <f t="shared" si="19"/>
        <v>June</v>
      </c>
      <c r="C613" s="33">
        <v>46196</v>
      </c>
      <c r="D613" s="15">
        <v>61968</v>
      </c>
      <c r="E613" s="60">
        <v>45448</v>
      </c>
      <c r="F613" s="18" t="s">
        <v>120</v>
      </c>
      <c r="G613" s="18" t="s">
        <v>270</v>
      </c>
      <c r="H613" s="49" t="s">
        <v>280</v>
      </c>
      <c r="I613" s="49" t="s">
        <v>49</v>
      </c>
      <c r="J613" s="50" t="s">
        <v>47</v>
      </c>
      <c r="K613" s="55">
        <v>12.6</v>
      </c>
      <c r="L613" s="54">
        <v>770</v>
      </c>
      <c r="M613" s="53">
        <f t="shared" si="20"/>
        <v>9702</v>
      </c>
    </row>
    <row r="614" spans="1:16" x14ac:dyDescent="0.25">
      <c r="A614" s="21">
        <f>IF(C614="","",COUNTA($C$3:C614))</f>
        <v>612</v>
      </c>
      <c r="B614" s="35" t="str">
        <f t="shared" si="19"/>
        <v>June</v>
      </c>
      <c r="C614" s="33">
        <v>46196</v>
      </c>
      <c r="D614" s="15">
        <v>61968</v>
      </c>
      <c r="E614" s="60">
        <v>45448</v>
      </c>
      <c r="F614" s="18" t="s">
        <v>120</v>
      </c>
      <c r="G614" s="18" t="s">
        <v>270</v>
      </c>
      <c r="H614" s="49" t="s">
        <v>272</v>
      </c>
      <c r="I614" s="49" t="s">
        <v>68</v>
      </c>
      <c r="J614" s="50" t="s">
        <v>70</v>
      </c>
      <c r="K614" s="15">
        <v>50</v>
      </c>
      <c r="L614" s="54">
        <v>378</v>
      </c>
      <c r="M614" s="53">
        <f t="shared" si="20"/>
        <v>18900</v>
      </c>
    </row>
    <row r="615" spans="1:16" x14ac:dyDescent="0.25">
      <c r="A615" s="21">
        <f>IF(C615="","",COUNTA($C$3:C615))</f>
        <v>613</v>
      </c>
      <c r="B615" s="35" t="str">
        <f t="shared" si="19"/>
        <v>June</v>
      </c>
      <c r="C615" s="33">
        <v>46196</v>
      </c>
      <c r="D615" s="15">
        <v>61968</v>
      </c>
      <c r="E615" s="60">
        <v>45448</v>
      </c>
      <c r="F615" s="18" t="s">
        <v>120</v>
      </c>
      <c r="G615" s="18" t="s">
        <v>270</v>
      </c>
      <c r="H615" s="49" t="s">
        <v>373</v>
      </c>
      <c r="I615" s="49" t="s">
        <v>68</v>
      </c>
      <c r="J615" s="50" t="s">
        <v>70</v>
      </c>
      <c r="K615" s="15">
        <v>110</v>
      </c>
      <c r="L615" s="62">
        <v>380</v>
      </c>
      <c r="M615" s="53">
        <f t="shared" si="20"/>
        <v>41800</v>
      </c>
    </row>
    <row r="616" spans="1:16" x14ac:dyDescent="0.25">
      <c r="A616" s="21">
        <f>IF(C616="","",COUNTA($C$3:C616))</f>
        <v>614</v>
      </c>
      <c r="B616" s="35" t="str">
        <f t="shared" si="19"/>
        <v>June</v>
      </c>
      <c r="C616" s="33">
        <v>46196</v>
      </c>
      <c r="D616" s="15">
        <v>61968</v>
      </c>
      <c r="E616" s="60">
        <v>45448</v>
      </c>
      <c r="F616" s="18" t="s">
        <v>120</v>
      </c>
      <c r="G616" s="18" t="s">
        <v>270</v>
      </c>
      <c r="H616" s="49" t="s">
        <v>273</v>
      </c>
      <c r="I616" s="49" t="s">
        <v>68</v>
      </c>
      <c r="J616" s="50" t="s">
        <v>70</v>
      </c>
      <c r="K616" s="15">
        <v>35</v>
      </c>
      <c r="L616" s="62">
        <v>355</v>
      </c>
      <c r="M616" s="53">
        <f t="shared" si="20"/>
        <v>12425</v>
      </c>
    </row>
    <row r="617" spans="1:16" x14ac:dyDescent="0.25">
      <c r="A617" s="21">
        <f>IF(C617="","",COUNTA($C$3:C617))</f>
        <v>615</v>
      </c>
      <c r="B617" s="35" t="str">
        <f t="shared" si="19"/>
        <v>June</v>
      </c>
      <c r="C617" s="33">
        <v>46196</v>
      </c>
      <c r="D617" s="15">
        <v>61968</v>
      </c>
      <c r="E617" s="60">
        <v>45448</v>
      </c>
      <c r="F617" s="18" t="s">
        <v>120</v>
      </c>
      <c r="G617" s="18" t="s">
        <v>270</v>
      </c>
      <c r="H617" s="49" t="s">
        <v>370</v>
      </c>
      <c r="I617" s="49" t="s">
        <v>68</v>
      </c>
      <c r="J617" s="50" t="s">
        <v>70</v>
      </c>
      <c r="K617" s="15">
        <v>35</v>
      </c>
      <c r="L617" s="62">
        <v>375</v>
      </c>
      <c r="M617" s="53">
        <f t="shared" si="20"/>
        <v>13125</v>
      </c>
    </row>
    <row r="618" spans="1:16" x14ac:dyDescent="0.25">
      <c r="A618" s="21">
        <f>IF(C618="","",COUNTA($C$3:C618))</f>
        <v>616</v>
      </c>
      <c r="B618" s="35" t="str">
        <f t="shared" si="19"/>
        <v>June</v>
      </c>
      <c r="C618" s="33">
        <v>46196</v>
      </c>
      <c r="D618" s="15">
        <v>61968</v>
      </c>
      <c r="E618" s="60">
        <v>45448</v>
      </c>
      <c r="F618" s="18" t="s">
        <v>120</v>
      </c>
      <c r="G618" s="18" t="s">
        <v>270</v>
      </c>
      <c r="H618" s="49" t="s">
        <v>414</v>
      </c>
      <c r="I618" s="49" t="s">
        <v>68</v>
      </c>
      <c r="J618" s="50" t="s">
        <v>70</v>
      </c>
      <c r="K618" s="15">
        <v>70</v>
      </c>
      <c r="L618" s="62">
        <v>270</v>
      </c>
      <c r="M618" s="53">
        <f t="shared" si="20"/>
        <v>18900</v>
      </c>
    </row>
    <row r="619" spans="1:16" x14ac:dyDescent="0.25">
      <c r="A619" s="21">
        <f>IF(C619="","",COUNTA($C$3:C619))</f>
        <v>617</v>
      </c>
      <c r="B619" s="35" t="str">
        <f t="shared" si="19"/>
        <v>June</v>
      </c>
      <c r="C619" s="33">
        <v>46196</v>
      </c>
      <c r="D619" s="15">
        <v>61968</v>
      </c>
      <c r="E619" s="60">
        <v>45448</v>
      </c>
      <c r="F619" s="18" t="s">
        <v>120</v>
      </c>
      <c r="G619" s="18" t="s">
        <v>270</v>
      </c>
      <c r="H619" s="49" t="s">
        <v>375</v>
      </c>
      <c r="I619" s="49" t="s">
        <v>68</v>
      </c>
      <c r="J619" s="50" t="s">
        <v>70</v>
      </c>
      <c r="K619" s="15">
        <v>35</v>
      </c>
      <c r="L619" s="62">
        <v>295</v>
      </c>
      <c r="M619" s="53">
        <f t="shared" si="20"/>
        <v>10325</v>
      </c>
      <c r="O619" s="59"/>
      <c r="P619" s="59"/>
    </row>
    <row r="620" spans="1:16" x14ac:dyDescent="0.25">
      <c r="A620" s="21">
        <f>IF(C620="","",COUNTA($C$3:C620))</f>
        <v>618</v>
      </c>
      <c r="B620" s="35" t="str">
        <f t="shared" si="19"/>
        <v>June</v>
      </c>
      <c r="C620" s="33">
        <v>46196</v>
      </c>
      <c r="D620" s="15">
        <v>62000</v>
      </c>
      <c r="E620" s="60">
        <v>45449</v>
      </c>
      <c r="F620" s="18" t="s">
        <v>120</v>
      </c>
      <c r="G620" s="18" t="s">
        <v>415</v>
      </c>
      <c r="H620" s="49" t="s">
        <v>38</v>
      </c>
      <c r="I620" s="49" t="s">
        <v>89</v>
      </c>
      <c r="J620" s="50" t="s">
        <v>47</v>
      </c>
      <c r="K620" s="15">
        <v>34.1</v>
      </c>
      <c r="L620" s="62">
        <v>566</v>
      </c>
      <c r="M620" s="53">
        <f t="shared" si="20"/>
        <v>19300.600000000002</v>
      </c>
      <c r="O620" s="59"/>
    </row>
    <row r="621" spans="1:16" x14ac:dyDescent="0.25">
      <c r="A621" s="21">
        <f>IF(C621="","",COUNTA($C$3:C621))</f>
        <v>619</v>
      </c>
      <c r="B621" s="35" t="str">
        <f t="shared" si="19"/>
        <v>June</v>
      </c>
      <c r="C621" s="33">
        <v>46196</v>
      </c>
      <c r="D621" s="15">
        <v>62000</v>
      </c>
      <c r="E621" s="60">
        <v>45449</v>
      </c>
      <c r="F621" s="18" t="s">
        <v>120</v>
      </c>
      <c r="G621" s="18" t="s">
        <v>415</v>
      </c>
      <c r="H621" s="49" t="s">
        <v>38</v>
      </c>
      <c r="I621" s="49" t="s">
        <v>68</v>
      </c>
      <c r="J621" s="50" t="s">
        <v>47</v>
      </c>
      <c r="K621" s="15">
        <v>53.1</v>
      </c>
      <c r="L621" s="62">
        <v>670</v>
      </c>
      <c r="M621" s="53">
        <f t="shared" si="20"/>
        <v>35577</v>
      </c>
      <c r="O621" s="59"/>
    </row>
    <row r="622" spans="1:16" x14ac:dyDescent="0.25">
      <c r="A622" s="21">
        <f>IF(C622="","",COUNTA($C$3:C622))</f>
        <v>620</v>
      </c>
      <c r="B622" s="35" t="str">
        <f t="shared" si="19"/>
        <v>June</v>
      </c>
      <c r="C622" s="33">
        <v>46196</v>
      </c>
      <c r="D622" s="15">
        <v>62000</v>
      </c>
      <c r="E622" s="60">
        <v>45449</v>
      </c>
      <c r="F622" s="18" t="s">
        <v>120</v>
      </c>
      <c r="G622" s="18" t="s">
        <v>415</v>
      </c>
      <c r="H622" s="49" t="s">
        <v>38</v>
      </c>
      <c r="I622" s="49" t="s">
        <v>69</v>
      </c>
      <c r="J622" s="50" t="s">
        <v>47</v>
      </c>
      <c r="K622" s="15">
        <v>90.7</v>
      </c>
      <c r="L622" s="62">
        <v>868</v>
      </c>
      <c r="M622" s="53">
        <f t="shared" si="20"/>
        <v>78727.600000000006</v>
      </c>
      <c r="O622" s="59"/>
    </row>
    <row r="623" spans="1:16" x14ac:dyDescent="0.25">
      <c r="A623" s="21">
        <f>IF(C623="","",COUNTA($C$3:C623))</f>
        <v>621</v>
      </c>
      <c r="B623" s="35" t="str">
        <f t="shared" si="19"/>
        <v>June</v>
      </c>
      <c r="C623" s="33">
        <v>46196</v>
      </c>
      <c r="D623" s="15">
        <v>62000</v>
      </c>
      <c r="E623" s="60">
        <v>45449</v>
      </c>
      <c r="F623" s="18" t="s">
        <v>120</v>
      </c>
      <c r="G623" s="18" t="s">
        <v>415</v>
      </c>
      <c r="H623" s="49" t="s">
        <v>38</v>
      </c>
      <c r="I623" s="49" t="s">
        <v>39</v>
      </c>
      <c r="J623" s="50" t="s">
        <v>47</v>
      </c>
      <c r="K623" s="15">
        <v>119</v>
      </c>
      <c r="L623" s="62">
        <v>1060</v>
      </c>
      <c r="M623" s="53">
        <f t="shared" si="20"/>
        <v>126140</v>
      </c>
      <c r="O623" s="54"/>
    </row>
    <row r="624" spans="1:16" x14ac:dyDescent="0.25">
      <c r="A624" s="21">
        <f>IF(C624="","",COUNTA($C$3:C624))</f>
        <v>622</v>
      </c>
      <c r="B624" s="35" t="str">
        <f t="shared" si="19"/>
        <v>June</v>
      </c>
      <c r="C624" s="33">
        <v>46196</v>
      </c>
      <c r="D624" s="15">
        <v>62000</v>
      </c>
      <c r="E624" s="60">
        <v>45450</v>
      </c>
      <c r="F624" s="18" t="s">
        <v>120</v>
      </c>
      <c r="G624" s="18" t="s">
        <v>415</v>
      </c>
      <c r="H624" s="49" t="s">
        <v>38</v>
      </c>
      <c r="I624" s="49" t="s">
        <v>69</v>
      </c>
      <c r="J624" s="50" t="s">
        <v>47</v>
      </c>
      <c r="K624" s="15">
        <v>89.1</v>
      </c>
      <c r="L624" s="62">
        <v>868</v>
      </c>
      <c r="M624" s="53">
        <f t="shared" si="20"/>
        <v>77338.799999999988</v>
      </c>
    </row>
    <row r="625" spans="1:16" x14ac:dyDescent="0.25">
      <c r="A625" s="21">
        <f>IF(C625="","",COUNTA($C$3:C625))</f>
        <v>623</v>
      </c>
      <c r="B625" s="35" t="str">
        <f t="shared" si="19"/>
        <v>June</v>
      </c>
      <c r="C625" s="33">
        <v>46196</v>
      </c>
      <c r="D625" s="15">
        <v>62000</v>
      </c>
      <c r="E625" s="60">
        <v>45450</v>
      </c>
      <c r="F625" s="18" t="s">
        <v>120</v>
      </c>
      <c r="G625" s="18" t="s">
        <v>415</v>
      </c>
      <c r="H625" s="49" t="s">
        <v>38</v>
      </c>
      <c r="I625" s="49" t="s">
        <v>39</v>
      </c>
      <c r="J625" s="50" t="s">
        <v>47</v>
      </c>
      <c r="K625" s="15">
        <v>124.2</v>
      </c>
      <c r="L625" s="62">
        <v>1060</v>
      </c>
      <c r="M625" s="53">
        <f t="shared" si="20"/>
        <v>131652</v>
      </c>
    </row>
    <row r="626" spans="1:16" x14ac:dyDescent="0.25">
      <c r="A626" s="21">
        <f>IF(C626="","",COUNTA($C$3:C626))</f>
        <v>624</v>
      </c>
      <c r="B626" s="35" t="str">
        <f t="shared" si="19"/>
        <v>June</v>
      </c>
      <c r="C626" s="33">
        <v>46197</v>
      </c>
      <c r="D626" s="15">
        <v>61968</v>
      </c>
      <c r="E626" s="60">
        <v>45451</v>
      </c>
      <c r="F626" s="18" t="s">
        <v>120</v>
      </c>
      <c r="G626" s="18" t="s">
        <v>270</v>
      </c>
      <c r="H626" s="49" t="s">
        <v>271</v>
      </c>
      <c r="I626" s="49" t="s">
        <v>48</v>
      </c>
      <c r="J626" s="50" t="s">
        <v>47</v>
      </c>
      <c r="K626" s="15">
        <v>104.1</v>
      </c>
      <c r="L626" s="62">
        <v>620</v>
      </c>
      <c r="M626" s="53">
        <f t="shared" si="20"/>
        <v>64542</v>
      </c>
    </row>
    <row r="627" spans="1:16" x14ac:dyDescent="0.25">
      <c r="A627" s="21">
        <f>IF(C627="","",COUNTA($C$3:C627))</f>
        <v>625</v>
      </c>
      <c r="B627" s="35" t="str">
        <f t="shared" si="19"/>
        <v>June</v>
      </c>
      <c r="C627" s="33">
        <v>46197</v>
      </c>
      <c r="D627" s="15">
        <v>61968</v>
      </c>
      <c r="E627" s="60">
        <v>45451</v>
      </c>
      <c r="F627" s="18" t="s">
        <v>120</v>
      </c>
      <c r="G627" s="18" t="s">
        <v>270</v>
      </c>
      <c r="H627" s="49" t="s">
        <v>272</v>
      </c>
      <c r="I627" s="49" t="s">
        <v>68</v>
      </c>
      <c r="J627" s="50" t="s">
        <v>70</v>
      </c>
      <c r="K627" s="15">
        <v>40</v>
      </c>
      <c r="L627" s="54">
        <v>378</v>
      </c>
      <c r="M627" s="53">
        <f t="shared" si="20"/>
        <v>15120</v>
      </c>
    </row>
    <row r="628" spans="1:16" x14ac:dyDescent="0.25">
      <c r="A628" s="21">
        <f>IF(C628="","",COUNTA($C$3:C628))</f>
        <v>626</v>
      </c>
      <c r="B628" s="35" t="str">
        <f t="shared" si="19"/>
        <v>June</v>
      </c>
      <c r="C628" s="33">
        <v>46197</v>
      </c>
      <c r="D628" s="15">
        <v>61968</v>
      </c>
      <c r="E628" s="60">
        <v>45451</v>
      </c>
      <c r="F628" s="18" t="s">
        <v>120</v>
      </c>
      <c r="G628" s="18" t="s">
        <v>270</v>
      </c>
      <c r="H628" s="49" t="s">
        <v>373</v>
      </c>
      <c r="I628" s="49" t="s">
        <v>68</v>
      </c>
      <c r="J628" s="50" t="s">
        <v>70</v>
      </c>
      <c r="K628" s="15">
        <v>140</v>
      </c>
      <c r="L628" s="62">
        <v>380</v>
      </c>
      <c r="M628" s="53">
        <f t="shared" si="20"/>
        <v>53200</v>
      </c>
    </row>
    <row r="629" spans="1:16" x14ac:dyDescent="0.25">
      <c r="A629" s="21">
        <f>IF(C629="","",COUNTA($C$3:C629))</f>
        <v>627</v>
      </c>
      <c r="B629" s="35" t="str">
        <f t="shared" si="19"/>
        <v>June</v>
      </c>
      <c r="C629" s="33">
        <v>46197</v>
      </c>
      <c r="D629" s="15">
        <v>62000</v>
      </c>
      <c r="E629" s="60">
        <v>45452</v>
      </c>
      <c r="F629" s="18" t="s">
        <v>120</v>
      </c>
      <c r="G629" s="18" t="s">
        <v>415</v>
      </c>
      <c r="H629" s="49" t="s">
        <v>38</v>
      </c>
      <c r="I629" s="49" t="s">
        <v>68</v>
      </c>
      <c r="J629" s="50" t="s">
        <v>47</v>
      </c>
      <c r="K629" s="15">
        <v>6.9</v>
      </c>
      <c r="L629" s="62">
        <v>670</v>
      </c>
      <c r="M629" s="53">
        <f t="shared" si="20"/>
        <v>4623</v>
      </c>
    </row>
    <row r="630" spans="1:16" x14ac:dyDescent="0.25">
      <c r="A630" s="21">
        <f>IF(C630="","",COUNTA($C$3:C630))</f>
        <v>628</v>
      </c>
      <c r="B630" s="35" t="str">
        <f t="shared" si="19"/>
        <v>June</v>
      </c>
      <c r="C630" s="33">
        <v>46197</v>
      </c>
      <c r="D630" s="15">
        <v>62000</v>
      </c>
      <c r="E630" s="60">
        <v>45452</v>
      </c>
      <c r="F630" s="18" t="s">
        <v>120</v>
      </c>
      <c r="G630" s="18" t="s">
        <v>415</v>
      </c>
      <c r="H630" s="49" t="s">
        <v>38</v>
      </c>
      <c r="I630" s="49" t="s">
        <v>69</v>
      </c>
      <c r="J630" s="50" t="s">
        <v>47</v>
      </c>
      <c r="K630" s="15">
        <v>19</v>
      </c>
      <c r="L630" s="62">
        <v>868</v>
      </c>
      <c r="M630" s="53">
        <f t="shared" si="20"/>
        <v>16492</v>
      </c>
      <c r="O630" s="59"/>
    </row>
    <row r="631" spans="1:16" x14ac:dyDescent="0.25">
      <c r="A631" s="21">
        <f>IF(C631="","",COUNTA($C$3:C631))</f>
        <v>629</v>
      </c>
      <c r="B631" s="35" t="str">
        <f t="shared" si="19"/>
        <v>June</v>
      </c>
      <c r="C631" s="33">
        <v>46197</v>
      </c>
      <c r="D631" s="15">
        <v>62000</v>
      </c>
      <c r="E631" s="60">
        <v>45452</v>
      </c>
      <c r="F631" s="18" t="s">
        <v>120</v>
      </c>
      <c r="G631" s="18" t="s">
        <v>415</v>
      </c>
      <c r="H631" s="49" t="s">
        <v>38</v>
      </c>
      <c r="I631" s="49" t="s">
        <v>39</v>
      </c>
      <c r="J631" s="50" t="s">
        <v>47</v>
      </c>
      <c r="K631" s="15">
        <v>218.8</v>
      </c>
      <c r="L631" s="62">
        <v>1060</v>
      </c>
      <c r="M631" s="53">
        <f t="shared" si="20"/>
        <v>231928</v>
      </c>
    </row>
    <row r="632" spans="1:16" x14ac:dyDescent="0.25">
      <c r="A632" s="21">
        <f>IF(C632="","",COUNTA($C$3:C632))</f>
        <v>630</v>
      </c>
      <c r="B632" s="35" t="str">
        <f t="shared" si="19"/>
        <v>June</v>
      </c>
      <c r="C632" s="33">
        <v>46197</v>
      </c>
      <c r="D632" s="15">
        <v>62000</v>
      </c>
      <c r="E632" s="60">
        <v>45453</v>
      </c>
      <c r="F632" s="18" t="s">
        <v>120</v>
      </c>
      <c r="G632" s="18" t="s">
        <v>415</v>
      </c>
      <c r="H632" s="49" t="s">
        <v>38</v>
      </c>
      <c r="I632" s="49" t="s">
        <v>69</v>
      </c>
      <c r="J632" s="50" t="s">
        <v>47</v>
      </c>
      <c r="K632" s="15">
        <v>61.5</v>
      </c>
      <c r="L632" s="62">
        <v>868</v>
      </c>
      <c r="M632" s="53">
        <f t="shared" si="20"/>
        <v>53382</v>
      </c>
    </row>
    <row r="633" spans="1:16" x14ac:dyDescent="0.25">
      <c r="A633" s="21">
        <f>IF(C633="","",COUNTA($C$3:C633))</f>
        <v>631</v>
      </c>
      <c r="B633" s="35" t="str">
        <f t="shared" si="19"/>
        <v>June</v>
      </c>
      <c r="C633" s="33">
        <v>46197</v>
      </c>
      <c r="D633" s="15">
        <v>62000</v>
      </c>
      <c r="E633" s="60">
        <v>45453</v>
      </c>
      <c r="F633" s="18" t="s">
        <v>120</v>
      </c>
      <c r="G633" s="18" t="s">
        <v>415</v>
      </c>
      <c r="H633" s="49" t="s">
        <v>38</v>
      </c>
      <c r="I633" s="49" t="s">
        <v>39</v>
      </c>
      <c r="J633" s="50" t="s">
        <v>47</v>
      </c>
      <c r="K633" s="15">
        <v>158.80000000000001</v>
      </c>
      <c r="L633" s="62">
        <v>1060</v>
      </c>
      <c r="M633" s="53">
        <f t="shared" si="20"/>
        <v>168328</v>
      </c>
    </row>
    <row r="634" spans="1:16" x14ac:dyDescent="0.25">
      <c r="A634" s="21">
        <f>IF(C634="","",COUNTA($C$3:C634))</f>
        <v>632</v>
      </c>
      <c r="B634" s="35" t="str">
        <f t="shared" si="19"/>
        <v>June</v>
      </c>
      <c r="C634" s="33">
        <v>46198</v>
      </c>
      <c r="D634" s="15">
        <v>62000</v>
      </c>
      <c r="E634" s="60">
        <v>45454</v>
      </c>
      <c r="F634" s="18" t="s">
        <v>120</v>
      </c>
      <c r="G634" s="18" t="s">
        <v>415</v>
      </c>
      <c r="H634" s="49" t="s">
        <v>38</v>
      </c>
      <c r="I634" s="49" t="s">
        <v>68</v>
      </c>
      <c r="J634" s="50" t="s">
        <v>47</v>
      </c>
      <c r="K634" s="15">
        <v>4.0999999999999996</v>
      </c>
      <c r="L634" s="62">
        <v>670</v>
      </c>
      <c r="M634" s="53">
        <f t="shared" si="20"/>
        <v>2746.9999999999995</v>
      </c>
    </row>
    <row r="635" spans="1:16" x14ac:dyDescent="0.25">
      <c r="A635" s="21">
        <f>IF(C635="","",COUNTA($C$3:C635))</f>
        <v>633</v>
      </c>
      <c r="B635" s="35" t="str">
        <f t="shared" si="19"/>
        <v>June</v>
      </c>
      <c r="C635" s="33">
        <v>46198</v>
      </c>
      <c r="D635" s="15">
        <v>62000</v>
      </c>
      <c r="E635" s="60">
        <v>45454</v>
      </c>
      <c r="F635" s="18" t="s">
        <v>120</v>
      </c>
      <c r="G635" s="18" t="s">
        <v>415</v>
      </c>
      <c r="H635" s="49" t="s">
        <v>38</v>
      </c>
      <c r="I635" s="49" t="s">
        <v>69</v>
      </c>
      <c r="J635" s="50" t="s">
        <v>47</v>
      </c>
      <c r="K635" s="15">
        <v>89.5</v>
      </c>
      <c r="L635" s="62">
        <v>868</v>
      </c>
      <c r="M635" s="53">
        <f t="shared" si="20"/>
        <v>77686</v>
      </c>
    </row>
    <row r="636" spans="1:16" x14ac:dyDescent="0.25">
      <c r="A636" s="21">
        <f>IF(C636="","",COUNTA($C$3:C636))</f>
        <v>634</v>
      </c>
      <c r="B636" s="35" t="str">
        <f t="shared" si="19"/>
        <v>June</v>
      </c>
      <c r="C636" s="33">
        <v>46198</v>
      </c>
      <c r="D636" s="15">
        <v>62000</v>
      </c>
      <c r="E636" s="60">
        <v>45454</v>
      </c>
      <c r="F636" s="18" t="s">
        <v>120</v>
      </c>
      <c r="G636" s="18" t="s">
        <v>415</v>
      </c>
      <c r="H636" s="49" t="s">
        <v>38</v>
      </c>
      <c r="I636" s="49" t="s">
        <v>39</v>
      </c>
      <c r="J636" s="50" t="s">
        <v>47</v>
      </c>
      <c r="K636" s="15">
        <v>132.19999999999999</v>
      </c>
      <c r="L636" s="62">
        <v>1060</v>
      </c>
      <c r="M636" s="53">
        <f t="shared" si="20"/>
        <v>140132</v>
      </c>
    </row>
    <row r="637" spans="1:16" x14ac:dyDescent="0.25">
      <c r="A637" s="21">
        <f>IF(C637="","",COUNTA($C$3:C637))</f>
        <v>635</v>
      </c>
      <c r="B637" s="35" t="str">
        <f t="shared" si="19"/>
        <v>June</v>
      </c>
      <c r="C637" s="33">
        <v>46199</v>
      </c>
      <c r="D637" s="15">
        <v>61964</v>
      </c>
      <c r="E637" s="60">
        <v>45455</v>
      </c>
      <c r="F637" s="18" t="s">
        <v>120</v>
      </c>
      <c r="G637" s="18" t="s">
        <v>258</v>
      </c>
      <c r="H637" s="49" t="s">
        <v>280</v>
      </c>
      <c r="I637" s="49" t="s">
        <v>49</v>
      </c>
      <c r="J637" s="50" t="s">
        <v>47</v>
      </c>
      <c r="K637" s="15">
        <v>3.6</v>
      </c>
      <c r="L637" s="54">
        <v>770</v>
      </c>
      <c r="M637" s="53">
        <f t="shared" si="20"/>
        <v>2772</v>
      </c>
      <c r="P637" s="59"/>
    </row>
    <row r="638" spans="1:16" x14ac:dyDescent="0.25">
      <c r="A638" s="21">
        <f>IF(C638="","",COUNTA($C$3:C638))</f>
        <v>636</v>
      </c>
      <c r="B638" s="35" t="str">
        <f t="shared" si="19"/>
        <v>June</v>
      </c>
      <c r="C638" s="33">
        <v>46199</v>
      </c>
      <c r="D638" s="15">
        <v>62001</v>
      </c>
      <c r="E638" s="60">
        <v>45456</v>
      </c>
      <c r="F638" s="18" t="s">
        <v>120</v>
      </c>
      <c r="G638" s="18" t="s">
        <v>123</v>
      </c>
      <c r="H638" s="49" t="s">
        <v>38</v>
      </c>
      <c r="I638" s="49" t="s">
        <v>68</v>
      </c>
      <c r="J638" s="50" t="s">
        <v>47</v>
      </c>
      <c r="K638" s="15">
        <v>81.7</v>
      </c>
      <c r="L638" s="62">
        <v>670</v>
      </c>
      <c r="M638" s="53">
        <f t="shared" si="20"/>
        <v>54739</v>
      </c>
    </row>
    <row r="639" spans="1:16" x14ac:dyDescent="0.25">
      <c r="A639" s="21">
        <f>IF(C639="","",COUNTA($C$3:C639))</f>
        <v>637</v>
      </c>
      <c r="B639" s="35" t="str">
        <f t="shared" si="19"/>
        <v>June</v>
      </c>
      <c r="C639" s="33">
        <v>46199</v>
      </c>
      <c r="D639" s="15">
        <v>62001</v>
      </c>
      <c r="E639" s="60">
        <v>45456</v>
      </c>
      <c r="F639" s="18" t="s">
        <v>120</v>
      </c>
      <c r="G639" s="18" t="s">
        <v>123</v>
      </c>
      <c r="H639" s="49" t="s">
        <v>38</v>
      </c>
      <c r="I639" s="49" t="s">
        <v>69</v>
      </c>
      <c r="J639" s="50" t="s">
        <v>47</v>
      </c>
      <c r="K639" s="15">
        <v>29.6</v>
      </c>
      <c r="L639" s="62">
        <v>868</v>
      </c>
      <c r="M639" s="53">
        <f t="shared" si="20"/>
        <v>25692.800000000003</v>
      </c>
    </row>
    <row r="640" spans="1:16" x14ac:dyDescent="0.25">
      <c r="A640" s="21">
        <f>IF(C640="","",COUNTA($C$3:C640))</f>
        <v>638</v>
      </c>
      <c r="B640" s="35" t="str">
        <f t="shared" si="19"/>
        <v>June</v>
      </c>
      <c r="C640" s="33">
        <v>46199</v>
      </c>
      <c r="D640" s="15">
        <v>62001</v>
      </c>
      <c r="E640" s="60">
        <v>45456</v>
      </c>
      <c r="F640" s="18" t="s">
        <v>120</v>
      </c>
      <c r="G640" s="18" t="s">
        <v>123</v>
      </c>
      <c r="H640" s="49" t="s">
        <v>38</v>
      </c>
      <c r="I640" s="49" t="s">
        <v>39</v>
      </c>
      <c r="J640" s="50" t="s">
        <v>47</v>
      </c>
      <c r="K640" s="15">
        <v>86.5</v>
      </c>
      <c r="L640" s="62">
        <v>1060</v>
      </c>
      <c r="M640" s="53">
        <f t="shared" si="20"/>
        <v>91690</v>
      </c>
    </row>
    <row r="641" spans="1:17" x14ac:dyDescent="0.25">
      <c r="A641" s="21">
        <f>IF(C641="","",COUNTA($C$3:C641))</f>
        <v>639</v>
      </c>
      <c r="B641" s="35" t="str">
        <f t="shared" si="19"/>
        <v>June</v>
      </c>
      <c r="C641" s="33">
        <v>46199</v>
      </c>
      <c r="D641" s="15">
        <v>62001</v>
      </c>
      <c r="E641" s="60">
        <v>45456</v>
      </c>
      <c r="F641" s="18" t="s">
        <v>120</v>
      </c>
      <c r="G641" s="18" t="s">
        <v>123</v>
      </c>
      <c r="H641" s="49" t="s">
        <v>129</v>
      </c>
      <c r="I641" s="49" t="s">
        <v>74</v>
      </c>
      <c r="J641" s="50" t="s">
        <v>47</v>
      </c>
      <c r="K641" s="15">
        <v>60.4</v>
      </c>
      <c r="L641" s="54">
        <v>289</v>
      </c>
      <c r="M641" s="53">
        <f t="shared" si="20"/>
        <v>17455.599999999999</v>
      </c>
    </row>
    <row r="642" spans="1:17" x14ac:dyDescent="0.25">
      <c r="A642" s="21">
        <f>IF(C642="","",COUNTA($C$3:C642))</f>
        <v>640</v>
      </c>
      <c r="B642" s="35" t="str">
        <f t="shared" si="19"/>
        <v>June</v>
      </c>
      <c r="C642" s="33">
        <v>46199</v>
      </c>
      <c r="D642" s="15">
        <v>62001</v>
      </c>
      <c r="E642" s="60">
        <v>45456</v>
      </c>
      <c r="F642" s="18" t="s">
        <v>120</v>
      </c>
      <c r="G642" s="18" t="s">
        <v>123</v>
      </c>
      <c r="H642" s="49" t="s">
        <v>129</v>
      </c>
      <c r="I642" s="49" t="s">
        <v>115</v>
      </c>
      <c r="J642" s="50" t="s">
        <v>47</v>
      </c>
      <c r="K642" s="15">
        <v>120.5</v>
      </c>
      <c r="L642" s="54">
        <v>1615</v>
      </c>
      <c r="M642" s="53">
        <f t="shared" si="20"/>
        <v>194607.5</v>
      </c>
    </row>
    <row r="643" spans="1:17" x14ac:dyDescent="0.25">
      <c r="A643" s="21">
        <f>IF(C643="","",COUNTA($C$3:C643))</f>
        <v>641</v>
      </c>
      <c r="B643" s="35" t="str">
        <f t="shared" si="19"/>
        <v>June</v>
      </c>
      <c r="C643" s="33">
        <v>46199</v>
      </c>
      <c r="D643" s="15">
        <v>62001</v>
      </c>
      <c r="E643" s="60">
        <v>45456</v>
      </c>
      <c r="F643" s="18" t="s">
        <v>120</v>
      </c>
      <c r="G643" s="18" t="s">
        <v>123</v>
      </c>
      <c r="H643" s="49" t="s">
        <v>130</v>
      </c>
      <c r="I643" s="49" t="s">
        <v>40</v>
      </c>
      <c r="J643" s="50" t="s">
        <v>47</v>
      </c>
      <c r="K643" s="15">
        <v>65</v>
      </c>
      <c r="L643" s="62">
        <v>20</v>
      </c>
      <c r="M643" s="53">
        <f t="shared" si="20"/>
        <v>1300</v>
      </c>
    </row>
    <row r="644" spans="1:17" x14ac:dyDescent="0.25">
      <c r="A644" s="21">
        <f>IF(C644="","",COUNTA($C$3:C644))</f>
        <v>642</v>
      </c>
      <c r="B644" s="35" t="str">
        <f t="shared" si="19"/>
        <v>June</v>
      </c>
      <c r="C644" s="33">
        <v>46199</v>
      </c>
      <c r="D644" s="15">
        <v>62004</v>
      </c>
      <c r="E644" s="60">
        <v>45457</v>
      </c>
      <c r="F644" s="18" t="s">
        <v>120</v>
      </c>
      <c r="G644" s="18" t="s">
        <v>422</v>
      </c>
      <c r="H644" s="49" t="s">
        <v>38</v>
      </c>
      <c r="I644" s="49" t="s">
        <v>68</v>
      </c>
      <c r="J644" s="50" t="s">
        <v>47</v>
      </c>
      <c r="K644" s="15">
        <v>10.3</v>
      </c>
      <c r="L644" s="62">
        <v>670</v>
      </c>
      <c r="M644" s="53">
        <f t="shared" si="20"/>
        <v>6901.0000000000009</v>
      </c>
    </row>
    <row r="645" spans="1:17" x14ac:dyDescent="0.25">
      <c r="A645" s="21">
        <f>IF(C645="","",COUNTA($C$3:C645))</f>
        <v>643</v>
      </c>
      <c r="B645" s="35" t="str">
        <f t="shared" si="19"/>
        <v>June</v>
      </c>
      <c r="C645" s="33">
        <v>46199</v>
      </c>
      <c r="D645" s="15">
        <v>62004</v>
      </c>
      <c r="E645" s="60">
        <v>45457</v>
      </c>
      <c r="F645" s="18" t="s">
        <v>120</v>
      </c>
      <c r="G645" s="18" t="s">
        <v>422</v>
      </c>
      <c r="H645" s="49" t="s">
        <v>38</v>
      </c>
      <c r="I645" s="49" t="s">
        <v>69</v>
      </c>
      <c r="J645" s="50" t="s">
        <v>47</v>
      </c>
      <c r="K645" s="15">
        <v>8.1999999999999993</v>
      </c>
      <c r="L645" s="62">
        <v>868</v>
      </c>
      <c r="M645" s="53">
        <f t="shared" si="20"/>
        <v>7117.5999999999995</v>
      </c>
    </row>
    <row r="646" spans="1:17" x14ac:dyDescent="0.25">
      <c r="A646" s="21">
        <f>IF(C646="","",COUNTA($C$3:C646))</f>
        <v>644</v>
      </c>
      <c r="B646" s="35" t="str">
        <f t="shared" si="19"/>
        <v>June</v>
      </c>
      <c r="C646" s="33">
        <v>46199</v>
      </c>
      <c r="D646" s="15">
        <v>62004</v>
      </c>
      <c r="E646" s="60">
        <v>45457</v>
      </c>
      <c r="F646" s="18" t="s">
        <v>120</v>
      </c>
      <c r="G646" s="18" t="s">
        <v>422</v>
      </c>
      <c r="H646" s="49" t="s">
        <v>114</v>
      </c>
      <c r="I646" s="49" t="s">
        <v>48</v>
      </c>
      <c r="J646" s="50" t="s">
        <v>47</v>
      </c>
      <c r="K646" s="15">
        <v>53.1</v>
      </c>
      <c r="L646" s="62">
        <v>710</v>
      </c>
      <c r="M646" s="53">
        <f t="shared" si="20"/>
        <v>37701</v>
      </c>
    </row>
    <row r="647" spans="1:17" x14ac:dyDescent="0.25">
      <c r="A647" s="21">
        <f>IF(C647="","",COUNTA($C$3:C647))</f>
        <v>645</v>
      </c>
      <c r="B647" s="35" t="str">
        <f t="shared" si="19"/>
        <v>June</v>
      </c>
      <c r="C647" s="33">
        <v>46199</v>
      </c>
      <c r="D647" s="15">
        <v>62004</v>
      </c>
      <c r="E647" s="60">
        <v>45457</v>
      </c>
      <c r="F647" s="18" t="s">
        <v>120</v>
      </c>
      <c r="G647" s="18" t="s">
        <v>422</v>
      </c>
      <c r="H647" s="49" t="s">
        <v>147</v>
      </c>
      <c r="I647" s="49" t="s">
        <v>50</v>
      </c>
      <c r="J647" s="50" t="s">
        <v>47</v>
      </c>
      <c r="K647" s="15">
        <v>2.6</v>
      </c>
      <c r="L647" s="62">
        <v>995</v>
      </c>
      <c r="M647" s="53">
        <f t="shared" si="20"/>
        <v>2587</v>
      </c>
    </row>
    <row r="648" spans="1:17" x14ac:dyDescent="0.25">
      <c r="A648" s="21">
        <f>IF(C648="","",COUNTA($C$3:C648))</f>
        <v>646</v>
      </c>
      <c r="B648" s="35" t="str">
        <f t="shared" si="19"/>
        <v>June</v>
      </c>
      <c r="C648" s="33">
        <v>46199</v>
      </c>
      <c r="D648" s="15">
        <v>62004</v>
      </c>
      <c r="E648" s="60">
        <v>45457</v>
      </c>
      <c r="F648" s="18" t="s">
        <v>120</v>
      </c>
      <c r="G648" s="18" t="s">
        <v>422</v>
      </c>
      <c r="H648" s="49" t="s">
        <v>129</v>
      </c>
      <c r="I648" s="49" t="s">
        <v>80</v>
      </c>
      <c r="J648" s="50" t="s">
        <v>47</v>
      </c>
      <c r="K648" s="15">
        <v>66</v>
      </c>
      <c r="L648" s="54">
        <v>365</v>
      </c>
      <c r="M648" s="53">
        <f t="shared" si="20"/>
        <v>24090</v>
      </c>
    </row>
    <row r="649" spans="1:17" x14ac:dyDescent="0.25">
      <c r="A649" s="21">
        <f>IF(C649="","",COUNTA($C$3:C649))</f>
        <v>647</v>
      </c>
      <c r="B649" s="35" t="str">
        <f t="shared" si="19"/>
        <v>June</v>
      </c>
      <c r="C649" s="33">
        <v>46199</v>
      </c>
      <c r="D649" s="15">
        <v>62004</v>
      </c>
      <c r="E649" s="60">
        <v>45457</v>
      </c>
      <c r="F649" s="18" t="s">
        <v>120</v>
      </c>
      <c r="G649" s="18" t="s">
        <v>422</v>
      </c>
      <c r="H649" s="49" t="s">
        <v>129</v>
      </c>
      <c r="I649" s="49" t="s">
        <v>79</v>
      </c>
      <c r="J649" s="50" t="s">
        <v>47</v>
      </c>
      <c r="K649" s="67">
        <v>8.1999999999999993</v>
      </c>
      <c r="L649" s="48">
        <v>755</v>
      </c>
      <c r="M649" s="53">
        <f t="shared" si="20"/>
        <v>6190.9999999999991</v>
      </c>
      <c r="Q649" s="69"/>
    </row>
    <row r="650" spans="1:17" x14ac:dyDescent="0.25">
      <c r="A650" s="21">
        <f>IF(C650="","",COUNTA($C$3:C650))</f>
        <v>648</v>
      </c>
      <c r="B650" s="35" t="str">
        <f t="shared" si="19"/>
        <v>June</v>
      </c>
      <c r="C650" s="33">
        <v>46199</v>
      </c>
      <c r="D650" s="15">
        <v>62002</v>
      </c>
      <c r="E650" s="60">
        <v>45458</v>
      </c>
      <c r="F650" s="18" t="s">
        <v>120</v>
      </c>
      <c r="G650" s="18" t="s">
        <v>419</v>
      </c>
      <c r="H650" s="49" t="s">
        <v>38</v>
      </c>
      <c r="I650" s="49" t="s">
        <v>68</v>
      </c>
      <c r="J650" s="50" t="s">
        <v>47</v>
      </c>
      <c r="K650" s="15">
        <v>17.8</v>
      </c>
      <c r="L650" s="62">
        <v>670</v>
      </c>
      <c r="M650" s="53">
        <f t="shared" si="20"/>
        <v>11926</v>
      </c>
    </row>
    <row r="651" spans="1:17" x14ac:dyDescent="0.25">
      <c r="A651" s="21">
        <f>IF(C651="","",COUNTA($C$3:C651))</f>
        <v>649</v>
      </c>
      <c r="B651" s="35" t="str">
        <f t="shared" si="19"/>
        <v>June</v>
      </c>
      <c r="C651" s="33">
        <v>46199</v>
      </c>
      <c r="D651" s="15">
        <v>62002</v>
      </c>
      <c r="E651" s="60">
        <v>45458</v>
      </c>
      <c r="F651" s="18" t="s">
        <v>120</v>
      </c>
      <c r="G651" s="18" t="s">
        <v>419</v>
      </c>
      <c r="H651" s="49" t="s">
        <v>129</v>
      </c>
      <c r="I651" s="49" t="s">
        <v>94</v>
      </c>
      <c r="J651" s="50" t="s">
        <v>47</v>
      </c>
      <c r="K651" s="15">
        <v>17.8</v>
      </c>
      <c r="L651" s="53">
        <v>820</v>
      </c>
      <c r="M651" s="53">
        <f t="shared" si="20"/>
        <v>14596</v>
      </c>
    </row>
    <row r="652" spans="1:17" x14ac:dyDescent="0.25">
      <c r="A652" s="21">
        <f>IF(C652="","",COUNTA($C$3:C652))</f>
        <v>650</v>
      </c>
      <c r="B652" s="35" t="str">
        <f t="shared" si="19"/>
        <v>June</v>
      </c>
      <c r="C652" s="33">
        <v>46199</v>
      </c>
      <c r="D652" s="15">
        <v>62003</v>
      </c>
      <c r="E652" s="60">
        <v>45459</v>
      </c>
      <c r="F652" s="18" t="s">
        <v>120</v>
      </c>
      <c r="G652" s="52" t="s">
        <v>421</v>
      </c>
      <c r="H652" s="49" t="s">
        <v>114</v>
      </c>
      <c r="I652" s="49" t="s">
        <v>48</v>
      </c>
      <c r="J652" s="50" t="s">
        <v>47</v>
      </c>
      <c r="K652" s="15">
        <v>17.600000000000001</v>
      </c>
      <c r="L652" s="62">
        <v>710</v>
      </c>
      <c r="M652" s="53">
        <f t="shared" si="20"/>
        <v>12496.000000000002</v>
      </c>
    </row>
    <row r="653" spans="1:17" x14ac:dyDescent="0.25">
      <c r="A653" s="21">
        <f>IF(C653="","",COUNTA($C$3:C653))</f>
        <v>651</v>
      </c>
      <c r="B653" s="35" t="str">
        <f t="shared" si="19"/>
        <v>June</v>
      </c>
      <c r="C653" s="33">
        <v>46199</v>
      </c>
      <c r="D653" s="15">
        <v>62003</v>
      </c>
      <c r="E653" s="60">
        <v>45459</v>
      </c>
      <c r="F653" s="18" t="s">
        <v>120</v>
      </c>
      <c r="G653" s="52" t="s">
        <v>421</v>
      </c>
      <c r="H653" s="49" t="s">
        <v>147</v>
      </c>
      <c r="I653" s="49" t="s">
        <v>50</v>
      </c>
      <c r="J653" s="50" t="s">
        <v>47</v>
      </c>
      <c r="K653" s="15">
        <v>0.6</v>
      </c>
      <c r="L653" s="62">
        <v>995</v>
      </c>
      <c r="M653" s="53">
        <f t="shared" si="20"/>
        <v>597</v>
      </c>
    </row>
    <row r="654" spans="1:17" x14ac:dyDescent="0.25">
      <c r="A654" s="21">
        <f>IF(C654="","",COUNTA($C$3:C654))</f>
        <v>652</v>
      </c>
      <c r="B654" s="35" t="str">
        <f t="shared" si="19"/>
        <v>June</v>
      </c>
      <c r="C654" s="33">
        <v>46199</v>
      </c>
      <c r="D654" s="15">
        <v>62003</v>
      </c>
      <c r="E654" s="60">
        <v>45459</v>
      </c>
      <c r="F654" s="18" t="s">
        <v>120</v>
      </c>
      <c r="G654" s="52" t="s">
        <v>421</v>
      </c>
      <c r="H654" s="49" t="s">
        <v>129</v>
      </c>
      <c r="I654" s="49" t="s">
        <v>80</v>
      </c>
      <c r="J654" s="50" t="s">
        <v>47</v>
      </c>
      <c r="K654" s="15">
        <v>16.899999999999999</v>
      </c>
      <c r="L654" s="54">
        <v>364</v>
      </c>
      <c r="M654" s="53">
        <f t="shared" si="20"/>
        <v>6151.5999999999995</v>
      </c>
      <c r="O654" s="59"/>
    </row>
    <row r="655" spans="1:17" x14ac:dyDescent="0.25">
      <c r="A655" s="21">
        <f>IF(C655="","",COUNTA($C$3:C655))</f>
        <v>653</v>
      </c>
      <c r="B655" s="35" t="str">
        <f t="shared" si="19"/>
        <v>June</v>
      </c>
      <c r="C655" s="33">
        <v>46199</v>
      </c>
      <c r="D655" s="15">
        <v>62003</v>
      </c>
      <c r="E655" s="60">
        <v>45459</v>
      </c>
      <c r="F655" s="18" t="s">
        <v>120</v>
      </c>
      <c r="G655" s="52" t="s">
        <v>421</v>
      </c>
      <c r="H655" s="49" t="s">
        <v>129</v>
      </c>
      <c r="I655" s="49" t="s">
        <v>79</v>
      </c>
      <c r="J655" s="50" t="s">
        <v>47</v>
      </c>
      <c r="K655" s="67">
        <v>1.3</v>
      </c>
      <c r="L655" s="48">
        <v>755</v>
      </c>
      <c r="M655" s="53">
        <f t="shared" si="20"/>
        <v>981.5</v>
      </c>
    </row>
    <row r="656" spans="1:17" x14ac:dyDescent="0.25">
      <c r="A656" s="21">
        <f>IF(C656="","",COUNTA($C$3:C656))</f>
        <v>654</v>
      </c>
      <c r="B656" s="35" t="str">
        <f t="shared" si="19"/>
        <v>June</v>
      </c>
      <c r="C656" s="33">
        <v>46202</v>
      </c>
      <c r="D656" s="15">
        <v>62005</v>
      </c>
      <c r="E656" s="60">
        <v>45460</v>
      </c>
      <c r="F656" s="18" t="s">
        <v>120</v>
      </c>
      <c r="G656" s="52" t="s">
        <v>469</v>
      </c>
      <c r="H656" s="49" t="s">
        <v>429</v>
      </c>
      <c r="I656" s="49" t="s">
        <v>427</v>
      </c>
      <c r="J656" s="50" t="s">
        <v>137</v>
      </c>
      <c r="K656" s="15">
        <v>72</v>
      </c>
      <c r="L656" s="62">
        <v>1406</v>
      </c>
      <c r="M656" s="53">
        <f t="shared" si="20"/>
        <v>101232</v>
      </c>
    </row>
    <row r="657" spans="1:13" x14ac:dyDescent="0.25">
      <c r="A657" s="21">
        <f>IF(C657="","",COUNTA($C$3:C657))</f>
        <v>655</v>
      </c>
      <c r="B657" s="35" t="str">
        <f t="shared" si="19"/>
        <v>June</v>
      </c>
      <c r="C657" s="33">
        <v>46202</v>
      </c>
      <c r="D657" s="15">
        <v>62005</v>
      </c>
      <c r="E657" s="60">
        <v>45460</v>
      </c>
      <c r="F657" s="18" t="s">
        <v>120</v>
      </c>
      <c r="G657" s="52" t="s">
        <v>469</v>
      </c>
      <c r="H657" s="49" t="s">
        <v>429</v>
      </c>
      <c r="I657" s="49" t="s">
        <v>428</v>
      </c>
      <c r="J657" s="50" t="s">
        <v>137</v>
      </c>
      <c r="K657" s="15">
        <v>78</v>
      </c>
      <c r="L657" s="62">
        <v>1071</v>
      </c>
      <c r="M657" s="53">
        <f t="shared" si="20"/>
        <v>83538</v>
      </c>
    </row>
    <row r="658" spans="1:13" x14ac:dyDescent="0.25">
      <c r="A658" s="21">
        <f>IF(C658="","",COUNTA($C$3:C658))</f>
        <v>656</v>
      </c>
      <c r="B658" s="35" t="str">
        <f t="shared" si="19"/>
        <v>June</v>
      </c>
      <c r="C658" s="33">
        <v>46202</v>
      </c>
      <c r="D658" s="15">
        <v>62006</v>
      </c>
      <c r="E658" s="60">
        <v>45461</v>
      </c>
      <c r="F658" s="18" t="s">
        <v>120</v>
      </c>
      <c r="G658" s="52" t="s">
        <v>425</v>
      </c>
      <c r="H658" s="49" t="s">
        <v>38</v>
      </c>
      <c r="I658" s="49" t="s">
        <v>78</v>
      </c>
      <c r="J658" s="50" t="s">
        <v>47</v>
      </c>
      <c r="K658" s="15">
        <v>481.5</v>
      </c>
      <c r="L658" s="53">
        <v>1269</v>
      </c>
      <c r="M658" s="53">
        <f t="shared" si="20"/>
        <v>611023.5</v>
      </c>
    </row>
    <row r="659" spans="1:13" x14ac:dyDescent="0.25">
      <c r="A659" s="21">
        <f>IF(C659="","",COUNTA($C$3:C659))</f>
        <v>657</v>
      </c>
      <c r="B659" s="35" t="str">
        <f t="shared" si="19"/>
        <v>June</v>
      </c>
      <c r="C659" s="33">
        <v>46202</v>
      </c>
      <c r="D659" s="15">
        <v>62006</v>
      </c>
      <c r="E659" s="60">
        <v>45461</v>
      </c>
      <c r="F659" s="18" t="s">
        <v>120</v>
      </c>
      <c r="G659" s="52" t="s">
        <v>425</v>
      </c>
      <c r="H659" s="49" t="s">
        <v>129</v>
      </c>
      <c r="I659" s="49" t="s">
        <v>86</v>
      </c>
      <c r="J659" s="50" t="s">
        <v>47</v>
      </c>
      <c r="K659" s="15">
        <v>102.8</v>
      </c>
      <c r="L659" s="54">
        <v>388</v>
      </c>
      <c r="M659" s="53">
        <f t="shared" si="20"/>
        <v>39886.400000000001</v>
      </c>
    </row>
    <row r="660" spans="1:13" x14ac:dyDescent="0.25">
      <c r="A660" s="21">
        <f>IF(C660="","",COUNTA($C$3:C660))</f>
        <v>658</v>
      </c>
      <c r="B660" s="35" t="str">
        <f t="shared" si="19"/>
        <v>June</v>
      </c>
      <c r="C660" s="33">
        <v>46202</v>
      </c>
      <c r="D660" s="15">
        <v>62006</v>
      </c>
      <c r="E660" s="60">
        <v>45461</v>
      </c>
      <c r="F660" s="18" t="s">
        <v>120</v>
      </c>
      <c r="G660" s="52" t="s">
        <v>425</v>
      </c>
      <c r="H660" s="49" t="s">
        <v>129</v>
      </c>
      <c r="I660" s="49" t="s">
        <v>110</v>
      </c>
      <c r="J660" s="50" t="s">
        <v>47</v>
      </c>
      <c r="K660" s="15">
        <v>74.099999999999994</v>
      </c>
      <c r="L660" s="54">
        <v>476</v>
      </c>
      <c r="M660" s="53">
        <f t="shared" si="20"/>
        <v>35271.599999999999</v>
      </c>
    </row>
    <row r="661" spans="1:13" x14ac:dyDescent="0.25">
      <c r="A661" s="21">
        <f>IF(C661="","",COUNTA($C$3:C661))</f>
        <v>659</v>
      </c>
      <c r="B661" s="35" t="str">
        <f t="shared" ref="B661:B724" si="21">IF(C661="","",TEXT(C661,"mmmm"))</f>
        <v>June</v>
      </c>
      <c r="C661" s="33">
        <v>46202</v>
      </c>
      <c r="D661" s="15">
        <v>62006</v>
      </c>
      <c r="E661" s="60">
        <v>45461</v>
      </c>
      <c r="F661" s="18" t="s">
        <v>120</v>
      </c>
      <c r="G661" s="52" t="s">
        <v>425</v>
      </c>
      <c r="H661" s="49" t="s">
        <v>129</v>
      </c>
      <c r="I661" s="49" t="s">
        <v>295</v>
      </c>
      <c r="J661" s="50" t="s">
        <v>47</v>
      </c>
      <c r="K661" s="15">
        <v>147.5</v>
      </c>
      <c r="L661" s="54">
        <v>507</v>
      </c>
      <c r="M661" s="53">
        <f t="shared" ref="M661:M724" si="22">K661*L661</f>
        <v>74782.5</v>
      </c>
    </row>
    <row r="662" spans="1:13" x14ac:dyDescent="0.25">
      <c r="A662" s="21">
        <f>IF(C662="","",COUNTA($C$3:C662))</f>
        <v>660</v>
      </c>
      <c r="B662" s="35" t="str">
        <f t="shared" si="21"/>
        <v>June</v>
      </c>
      <c r="C662" s="33">
        <v>46202</v>
      </c>
      <c r="D662" s="15">
        <v>62006</v>
      </c>
      <c r="E662" s="60">
        <v>45461</v>
      </c>
      <c r="F662" s="18" t="s">
        <v>120</v>
      </c>
      <c r="G662" s="52" t="s">
        <v>425</v>
      </c>
      <c r="H662" s="49" t="s">
        <v>129</v>
      </c>
      <c r="I662" s="49" t="s">
        <v>296</v>
      </c>
      <c r="J662" s="50" t="s">
        <v>47</v>
      </c>
      <c r="K662" s="15">
        <v>157.1</v>
      </c>
      <c r="L662" s="54">
        <v>594</v>
      </c>
      <c r="M662" s="53">
        <f t="shared" si="22"/>
        <v>93317.4</v>
      </c>
    </row>
    <row r="663" spans="1:13" x14ac:dyDescent="0.25">
      <c r="A663" s="21">
        <f>IF(C663="","",COUNTA($C$3:C663))</f>
        <v>661</v>
      </c>
      <c r="B663" s="35" t="str">
        <f t="shared" si="21"/>
        <v>June</v>
      </c>
      <c r="C663" s="33">
        <v>46202</v>
      </c>
      <c r="D663" s="15">
        <v>62006</v>
      </c>
      <c r="E663" s="60">
        <v>45461</v>
      </c>
      <c r="F663" s="18" t="s">
        <v>120</v>
      </c>
      <c r="G663" s="52" t="s">
        <v>425</v>
      </c>
      <c r="H663" s="49" t="s">
        <v>176</v>
      </c>
      <c r="I663" s="49" t="s">
        <v>86</v>
      </c>
      <c r="J663" s="50" t="s">
        <v>47</v>
      </c>
      <c r="K663" s="15">
        <v>67.2</v>
      </c>
      <c r="L663" s="53">
        <v>250</v>
      </c>
      <c r="M663" s="53">
        <f t="shared" si="22"/>
        <v>16800</v>
      </c>
    </row>
    <row r="664" spans="1:13" x14ac:dyDescent="0.25">
      <c r="A664" s="21">
        <f>IF(C664="","",COUNTA($C$3:C664))</f>
        <v>662</v>
      </c>
      <c r="B664" s="35" t="str">
        <f t="shared" si="21"/>
        <v>June</v>
      </c>
      <c r="C664" s="33">
        <v>46202</v>
      </c>
      <c r="D664" s="15">
        <v>62006</v>
      </c>
      <c r="E664" s="60">
        <v>45461</v>
      </c>
      <c r="F664" s="18" t="s">
        <v>120</v>
      </c>
      <c r="G664" s="52" t="s">
        <v>425</v>
      </c>
      <c r="H664" s="49" t="s">
        <v>176</v>
      </c>
      <c r="I664" s="49" t="s">
        <v>295</v>
      </c>
      <c r="J664" s="50" t="s">
        <v>47</v>
      </c>
      <c r="K664" s="15">
        <v>67.2</v>
      </c>
      <c r="L664" s="53">
        <v>360</v>
      </c>
      <c r="M664" s="53">
        <f t="shared" si="22"/>
        <v>24192</v>
      </c>
    </row>
    <row r="665" spans="1:13" x14ac:dyDescent="0.25">
      <c r="A665" s="21">
        <f>IF(C665="","",COUNTA($C$3:C665))</f>
        <v>663</v>
      </c>
      <c r="B665" s="35" t="str">
        <f t="shared" si="21"/>
        <v>June</v>
      </c>
      <c r="C665" s="33">
        <v>46202</v>
      </c>
      <c r="D665" s="15">
        <v>62006</v>
      </c>
      <c r="E665" s="60">
        <v>45461</v>
      </c>
      <c r="F665" s="18" t="s">
        <v>120</v>
      </c>
      <c r="G665" s="52" t="s">
        <v>425</v>
      </c>
      <c r="H665" s="49" t="s">
        <v>161</v>
      </c>
      <c r="I665" s="49" t="s">
        <v>78</v>
      </c>
      <c r="J665" s="50" t="s">
        <v>47</v>
      </c>
      <c r="K665" s="15">
        <v>60</v>
      </c>
      <c r="L665" s="53">
        <v>950</v>
      </c>
      <c r="M665" s="53">
        <f t="shared" si="22"/>
        <v>57000</v>
      </c>
    </row>
    <row r="666" spans="1:13" x14ac:dyDescent="0.25">
      <c r="A666" s="21">
        <f>IF(C666="","",COUNTA($C$3:C666))</f>
        <v>664</v>
      </c>
      <c r="B666" s="35" t="str">
        <f t="shared" si="21"/>
        <v>June</v>
      </c>
      <c r="C666" s="33">
        <v>46202</v>
      </c>
      <c r="D666" s="15">
        <v>62006</v>
      </c>
      <c r="E666" s="60">
        <v>45461</v>
      </c>
      <c r="F666" s="18" t="s">
        <v>120</v>
      </c>
      <c r="G666" s="52" t="s">
        <v>425</v>
      </c>
      <c r="H666" s="49" t="s">
        <v>139</v>
      </c>
      <c r="I666" s="49" t="s">
        <v>85</v>
      </c>
      <c r="J666" s="50" t="s">
        <v>47</v>
      </c>
      <c r="K666" s="15">
        <v>1.6</v>
      </c>
      <c r="L666" s="54">
        <v>6200</v>
      </c>
      <c r="M666" s="53">
        <f t="shared" si="22"/>
        <v>9920</v>
      </c>
    </row>
    <row r="667" spans="1:13" x14ac:dyDescent="0.25">
      <c r="A667" s="21">
        <f>IF(C667="","",COUNTA($C$3:C667))</f>
        <v>665</v>
      </c>
      <c r="B667" s="35" t="str">
        <f t="shared" si="21"/>
        <v>June</v>
      </c>
      <c r="C667" s="33">
        <v>46202</v>
      </c>
      <c r="D667" s="15">
        <v>62007</v>
      </c>
      <c r="E667" s="60">
        <v>45462</v>
      </c>
      <c r="F667" s="18" t="s">
        <v>120</v>
      </c>
      <c r="G667" s="18" t="s">
        <v>258</v>
      </c>
      <c r="H667" s="49" t="s">
        <v>38</v>
      </c>
      <c r="I667" s="49" t="s">
        <v>78</v>
      </c>
      <c r="J667" s="50" t="s">
        <v>47</v>
      </c>
      <c r="K667" s="15">
        <v>174.7</v>
      </c>
      <c r="L667" s="53">
        <v>1269</v>
      </c>
      <c r="M667" s="53">
        <f t="shared" si="22"/>
        <v>221694.3</v>
      </c>
    </row>
    <row r="668" spans="1:13" x14ac:dyDescent="0.25">
      <c r="A668" s="21">
        <f>IF(C668="","",COUNTA($C$3:C668))</f>
        <v>666</v>
      </c>
      <c r="B668" s="35" t="str">
        <f t="shared" si="21"/>
        <v>June</v>
      </c>
      <c r="C668" s="33">
        <v>46202</v>
      </c>
      <c r="D668" s="15">
        <v>62007</v>
      </c>
      <c r="E668" s="60">
        <v>45462</v>
      </c>
      <c r="F668" s="18" t="s">
        <v>120</v>
      </c>
      <c r="G668" s="18" t="s">
        <v>258</v>
      </c>
      <c r="H668" s="49" t="s">
        <v>129</v>
      </c>
      <c r="I668" s="49" t="s">
        <v>80</v>
      </c>
      <c r="J668" s="50" t="s">
        <v>47</v>
      </c>
      <c r="K668" s="55">
        <v>174.7</v>
      </c>
      <c r="L668" s="53">
        <v>365</v>
      </c>
      <c r="M668" s="53">
        <f t="shared" si="22"/>
        <v>63765.499999999993</v>
      </c>
    </row>
    <row r="669" spans="1:13" x14ac:dyDescent="0.25">
      <c r="A669" s="21">
        <f>IF(C669="","",COUNTA($C$3:C669))</f>
        <v>667</v>
      </c>
      <c r="B669" s="35" t="str">
        <f t="shared" si="21"/>
        <v>June</v>
      </c>
      <c r="C669" s="33">
        <v>46202</v>
      </c>
      <c r="D669" s="15">
        <v>62007</v>
      </c>
      <c r="E669" s="60">
        <v>45462</v>
      </c>
      <c r="F669" s="18" t="s">
        <v>120</v>
      </c>
      <c r="G669" s="18" t="s">
        <v>258</v>
      </c>
      <c r="H669" s="49" t="s">
        <v>161</v>
      </c>
      <c r="I669" s="49" t="s">
        <v>68</v>
      </c>
      <c r="J669" s="50" t="s">
        <v>47</v>
      </c>
      <c r="K669" s="15">
        <v>30</v>
      </c>
      <c r="L669" s="62">
        <v>495</v>
      </c>
      <c r="M669" s="53">
        <f t="shared" si="22"/>
        <v>14850</v>
      </c>
    </row>
    <row r="670" spans="1:13" x14ac:dyDescent="0.25">
      <c r="A670" s="21">
        <f>IF(C670="","",COUNTA($C$3:C670))</f>
        <v>668</v>
      </c>
      <c r="B670" s="35" t="str">
        <f t="shared" si="21"/>
        <v>June</v>
      </c>
      <c r="C670" s="33">
        <v>46202</v>
      </c>
      <c r="D670" s="15">
        <v>62007</v>
      </c>
      <c r="E670" s="60">
        <v>45462</v>
      </c>
      <c r="F670" s="18" t="s">
        <v>120</v>
      </c>
      <c r="G670" s="18" t="s">
        <v>258</v>
      </c>
      <c r="H670" s="49" t="s">
        <v>130</v>
      </c>
      <c r="I670" s="49" t="s">
        <v>40</v>
      </c>
      <c r="J670" s="50" t="s">
        <v>47</v>
      </c>
      <c r="K670" s="15">
        <v>180</v>
      </c>
      <c r="L670" s="62">
        <v>20</v>
      </c>
      <c r="M670" s="53">
        <f t="shared" si="22"/>
        <v>3600</v>
      </c>
    </row>
    <row r="671" spans="1:13" x14ac:dyDescent="0.25">
      <c r="A671" s="21">
        <f>IF(C671="","",COUNTA($C$3:C671))</f>
        <v>669</v>
      </c>
      <c r="B671" s="35" t="str">
        <f t="shared" si="21"/>
        <v>June</v>
      </c>
      <c r="C671" s="33">
        <v>46202</v>
      </c>
      <c r="D671" s="15">
        <v>62006</v>
      </c>
      <c r="E671" s="60">
        <v>45463</v>
      </c>
      <c r="F671" s="18" t="s">
        <v>120</v>
      </c>
      <c r="G671" s="18" t="s">
        <v>425</v>
      </c>
      <c r="H671" s="49" t="s">
        <v>38</v>
      </c>
      <c r="I671" s="49" t="s">
        <v>78</v>
      </c>
      <c r="J671" s="50" t="s">
        <v>47</v>
      </c>
      <c r="K671" s="15">
        <v>44.5</v>
      </c>
      <c r="L671" s="53">
        <v>1269</v>
      </c>
      <c r="M671" s="53">
        <f t="shared" si="22"/>
        <v>56470.5</v>
      </c>
    </row>
    <row r="672" spans="1:13" x14ac:dyDescent="0.25">
      <c r="A672" s="21">
        <f>IF(C672="","",COUNTA($C$3:C672))</f>
        <v>670</v>
      </c>
      <c r="B672" s="35" t="str">
        <f t="shared" si="21"/>
        <v>June</v>
      </c>
      <c r="C672" s="33">
        <v>46202</v>
      </c>
      <c r="D672" s="15">
        <v>62006</v>
      </c>
      <c r="E672" s="60">
        <v>45463</v>
      </c>
      <c r="F672" s="18" t="s">
        <v>120</v>
      </c>
      <c r="G672" s="18" t="s">
        <v>425</v>
      </c>
      <c r="H672" s="49" t="s">
        <v>129</v>
      </c>
      <c r="I672" s="49" t="s">
        <v>86</v>
      </c>
      <c r="J672" s="50" t="s">
        <v>47</v>
      </c>
      <c r="K672" s="15">
        <v>16.5</v>
      </c>
      <c r="L672" s="54">
        <v>388</v>
      </c>
      <c r="M672" s="53">
        <f t="shared" si="22"/>
        <v>6402</v>
      </c>
    </row>
    <row r="673" spans="1:18" x14ac:dyDescent="0.25">
      <c r="A673" s="21">
        <f>IF(C673="","",COUNTA($C$3:C673))</f>
        <v>671</v>
      </c>
      <c r="B673" s="35" t="str">
        <f t="shared" si="21"/>
        <v>June</v>
      </c>
      <c r="C673" s="33">
        <v>46202</v>
      </c>
      <c r="D673" s="15">
        <v>62006</v>
      </c>
      <c r="E673" s="60">
        <v>45463</v>
      </c>
      <c r="F673" s="18" t="s">
        <v>120</v>
      </c>
      <c r="G673" s="18" t="s">
        <v>425</v>
      </c>
      <c r="H673" s="49" t="s">
        <v>129</v>
      </c>
      <c r="I673" s="49" t="s">
        <v>110</v>
      </c>
      <c r="J673" s="50" t="s">
        <v>47</v>
      </c>
      <c r="K673" s="15">
        <v>16.3</v>
      </c>
      <c r="L673" s="54">
        <v>476</v>
      </c>
      <c r="M673" s="53">
        <f t="shared" si="22"/>
        <v>7758.8</v>
      </c>
    </row>
    <row r="674" spans="1:18" x14ac:dyDescent="0.25">
      <c r="A674" s="21">
        <f>IF(C674="","",COUNTA($C$3:C674))</f>
        <v>672</v>
      </c>
      <c r="B674" s="35" t="str">
        <f t="shared" si="21"/>
        <v>June</v>
      </c>
      <c r="C674" s="33">
        <v>46202</v>
      </c>
      <c r="D674" s="15">
        <v>62006</v>
      </c>
      <c r="E674" s="60">
        <v>45463</v>
      </c>
      <c r="F674" s="18" t="s">
        <v>120</v>
      </c>
      <c r="G674" s="18" t="s">
        <v>425</v>
      </c>
      <c r="H674" s="49" t="s">
        <v>129</v>
      </c>
      <c r="I674" s="49" t="s">
        <v>295</v>
      </c>
      <c r="J674" s="50" t="s">
        <v>47</v>
      </c>
      <c r="K674" s="15">
        <v>7.6</v>
      </c>
      <c r="L674" s="54">
        <v>507</v>
      </c>
      <c r="M674" s="53">
        <f t="shared" si="22"/>
        <v>3853.2</v>
      </c>
    </row>
    <row r="675" spans="1:18" x14ac:dyDescent="0.25">
      <c r="A675" s="21">
        <f>IF(C675="","",COUNTA($C$3:C675))</f>
        <v>673</v>
      </c>
      <c r="B675" s="35" t="str">
        <f t="shared" si="21"/>
        <v>June</v>
      </c>
      <c r="C675" s="33">
        <v>46202</v>
      </c>
      <c r="D675" s="15">
        <v>62006</v>
      </c>
      <c r="E675" s="60">
        <v>45463</v>
      </c>
      <c r="F675" s="18" t="s">
        <v>120</v>
      </c>
      <c r="G675" s="18" t="s">
        <v>425</v>
      </c>
      <c r="H675" s="49" t="s">
        <v>129</v>
      </c>
      <c r="I675" s="49" t="s">
        <v>296</v>
      </c>
      <c r="J675" s="50" t="s">
        <v>47</v>
      </c>
      <c r="K675" s="15">
        <v>4.0999999999999996</v>
      </c>
      <c r="L675" s="54">
        <v>594</v>
      </c>
      <c r="M675" s="53">
        <f t="shared" si="22"/>
        <v>2435.3999999999996</v>
      </c>
    </row>
    <row r="676" spans="1:18" x14ac:dyDescent="0.25">
      <c r="A676" s="21">
        <f>IF(C676="","",COUNTA($C$3:C676))</f>
        <v>674</v>
      </c>
      <c r="B676" s="35" t="str">
        <f t="shared" si="21"/>
        <v>June</v>
      </c>
      <c r="C676" s="33">
        <v>46203</v>
      </c>
      <c r="D676" s="15">
        <v>62007</v>
      </c>
      <c r="E676" s="60">
        <v>45464</v>
      </c>
      <c r="F676" s="18" t="s">
        <v>120</v>
      </c>
      <c r="G676" s="18" t="s">
        <v>258</v>
      </c>
      <c r="H676" s="49" t="s">
        <v>38</v>
      </c>
      <c r="I676" s="49" t="s">
        <v>78</v>
      </c>
      <c r="J676" s="50" t="s">
        <v>47</v>
      </c>
      <c r="K676" s="15">
        <v>183.3</v>
      </c>
      <c r="L676" s="53">
        <v>1269</v>
      </c>
      <c r="M676" s="53">
        <f t="shared" si="22"/>
        <v>232607.7</v>
      </c>
    </row>
    <row r="677" spans="1:18" x14ac:dyDescent="0.25">
      <c r="A677" s="21">
        <f>IF(C677="","",COUNTA($C$3:C677))</f>
        <v>675</v>
      </c>
      <c r="B677" s="35" t="str">
        <f t="shared" si="21"/>
        <v>June</v>
      </c>
      <c r="C677" s="33">
        <v>46203</v>
      </c>
      <c r="D677" s="15">
        <v>62007</v>
      </c>
      <c r="E677" s="60">
        <v>45464</v>
      </c>
      <c r="F677" s="18" t="s">
        <v>120</v>
      </c>
      <c r="G677" s="18" t="s">
        <v>258</v>
      </c>
      <c r="H677" s="49" t="s">
        <v>129</v>
      </c>
      <c r="I677" s="49" t="s">
        <v>80</v>
      </c>
      <c r="J677" s="50" t="s">
        <v>47</v>
      </c>
      <c r="K677" s="55">
        <v>91.8</v>
      </c>
      <c r="L677" s="53">
        <v>365</v>
      </c>
      <c r="M677" s="53">
        <f t="shared" si="22"/>
        <v>33507</v>
      </c>
    </row>
    <row r="678" spans="1:18" x14ac:dyDescent="0.25">
      <c r="A678" s="21">
        <f>IF(C678="","",COUNTA($C$3:C678))</f>
        <v>676</v>
      </c>
      <c r="B678" s="35" t="str">
        <f t="shared" si="21"/>
        <v>June</v>
      </c>
      <c r="C678" s="33">
        <v>46203</v>
      </c>
      <c r="D678" s="15">
        <v>62007</v>
      </c>
      <c r="E678" s="60">
        <v>45464</v>
      </c>
      <c r="F678" s="18" t="s">
        <v>120</v>
      </c>
      <c r="G678" s="18" t="s">
        <v>258</v>
      </c>
      <c r="H678" s="49" t="s">
        <v>129</v>
      </c>
      <c r="I678" s="49" t="s">
        <v>296</v>
      </c>
      <c r="J678" s="50" t="s">
        <v>47</v>
      </c>
      <c r="K678" s="15">
        <v>65.599999999999994</v>
      </c>
      <c r="L678" s="54">
        <v>594</v>
      </c>
      <c r="M678" s="53">
        <f t="shared" si="22"/>
        <v>38966.399999999994</v>
      </c>
      <c r="R678" s="59"/>
    </row>
    <row r="679" spans="1:18" x14ac:dyDescent="0.25">
      <c r="A679" s="21">
        <f>IF(C679="","",COUNTA($C$3:C679))</f>
        <v>677</v>
      </c>
      <c r="B679" s="35" t="str">
        <f t="shared" si="21"/>
        <v>June</v>
      </c>
      <c r="C679" s="33">
        <v>46203</v>
      </c>
      <c r="D679" s="15">
        <v>62007</v>
      </c>
      <c r="E679" s="60">
        <v>45464</v>
      </c>
      <c r="F679" s="18" t="s">
        <v>120</v>
      </c>
      <c r="G679" s="18" t="s">
        <v>258</v>
      </c>
      <c r="H679" s="49" t="s">
        <v>129</v>
      </c>
      <c r="I679" s="49" t="s">
        <v>79</v>
      </c>
      <c r="J679" s="50" t="s">
        <v>47</v>
      </c>
      <c r="K679" s="67">
        <v>25.9</v>
      </c>
      <c r="L679" s="48">
        <v>640</v>
      </c>
      <c r="M679" s="53">
        <f t="shared" si="22"/>
        <v>16576</v>
      </c>
    </row>
    <row r="680" spans="1:18" x14ac:dyDescent="0.25">
      <c r="A680" s="21">
        <f>IF(C680="","",COUNTA($C$3:C680))</f>
        <v>678</v>
      </c>
      <c r="B680" s="35" t="str">
        <f t="shared" si="21"/>
        <v>June</v>
      </c>
      <c r="C680" s="33">
        <v>46203</v>
      </c>
      <c r="D680" s="15">
        <v>62007</v>
      </c>
      <c r="E680" s="60">
        <v>45464</v>
      </c>
      <c r="F680" s="18" t="s">
        <v>120</v>
      </c>
      <c r="G680" s="18" t="s">
        <v>258</v>
      </c>
      <c r="H680" s="49" t="s">
        <v>161</v>
      </c>
      <c r="I680" s="49" t="s">
        <v>78</v>
      </c>
      <c r="J680" s="50" t="s">
        <v>47</v>
      </c>
      <c r="K680" s="15">
        <v>18</v>
      </c>
      <c r="L680" s="53">
        <v>950</v>
      </c>
      <c r="M680" s="53">
        <f t="shared" si="22"/>
        <v>17100</v>
      </c>
      <c r="R680" s="66"/>
    </row>
    <row r="681" spans="1:18" x14ac:dyDescent="0.25">
      <c r="A681" s="21">
        <f>IF(C681="","",COUNTA($C$3:C681))</f>
        <v>679</v>
      </c>
      <c r="B681" s="35" t="str">
        <f t="shared" si="21"/>
        <v>June</v>
      </c>
      <c r="C681" s="33">
        <v>46203</v>
      </c>
      <c r="D681" s="15">
        <v>62007</v>
      </c>
      <c r="E681" s="60">
        <v>45464</v>
      </c>
      <c r="F681" s="18" t="s">
        <v>120</v>
      </c>
      <c r="G681" s="18" t="s">
        <v>258</v>
      </c>
      <c r="H681" s="49" t="s">
        <v>176</v>
      </c>
      <c r="I681" s="49" t="s">
        <v>295</v>
      </c>
      <c r="J681" s="50" t="s">
        <v>47</v>
      </c>
      <c r="K681" s="15">
        <v>16.8</v>
      </c>
      <c r="L681" s="53">
        <v>360</v>
      </c>
      <c r="M681" s="53">
        <f t="shared" si="22"/>
        <v>6048</v>
      </c>
    </row>
    <row r="682" spans="1:18" x14ac:dyDescent="0.25">
      <c r="A682" s="21">
        <f>IF(C682="","",COUNTA($C$3:C682))</f>
        <v>680</v>
      </c>
      <c r="B682" s="35" t="str">
        <f t="shared" si="21"/>
        <v>June</v>
      </c>
      <c r="C682" s="33">
        <v>46203</v>
      </c>
      <c r="D682" s="15">
        <v>62007</v>
      </c>
      <c r="E682" s="60">
        <v>45464</v>
      </c>
      <c r="F682" s="18" t="s">
        <v>120</v>
      </c>
      <c r="G682" s="18" t="s">
        <v>258</v>
      </c>
      <c r="H682" s="49" t="s">
        <v>176</v>
      </c>
      <c r="I682" s="76" t="s">
        <v>76</v>
      </c>
      <c r="J682" s="50" t="s">
        <v>70</v>
      </c>
      <c r="K682" s="15">
        <v>50</v>
      </c>
      <c r="L682" s="62">
        <v>154</v>
      </c>
      <c r="M682" s="53">
        <f t="shared" si="22"/>
        <v>7700</v>
      </c>
    </row>
    <row r="683" spans="1:18" x14ac:dyDescent="0.25">
      <c r="A683" s="21">
        <f>IF(C683="","",COUNTA($C$3:C683))</f>
        <v>681</v>
      </c>
      <c r="B683" s="35" t="str">
        <f t="shared" si="21"/>
        <v>June</v>
      </c>
      <c r="C683" s="33">
        <v>46203</v>
      </c>
      <c r="D683" s="15">
        <v>62007</v>
      </c>
      <c r="E683" s="60">
        <v>45464</v>
      </c>
      <c r="F683" s="18" t="s">
        <v>120</v>
      </c>
      <c r="G683" s="18" t="s">
        <v>258</v>
      </c>
      <c r="H683" s="49" t="s">
        <v>130</v>
      </c>
      <c r="I683" s="49" t="s">
        <v>40</v>
      </c>
      <c r="J683" s="50" t="s">
        <v>47</v>
      </c>
      <c r="K683" s="15">
        <v>180</v>
      </c>
      <c r="L683" s="62">
        <v>20</v>
      </c>
      <c r="M683" s="53">
        <f t="shared" si="22"/>
        <v>3600</v>
      </c>
    </row>
    <row r="684" spans="1:18" x14ac:dyDescent="0.25">
      <c r="A684" s="21">
        <f>IF(C684="","",COUNTA($C$3:C684))</f>
        <v>682</v>
      </c>
      <c r="B684" s="35" t="str">
        <f t="shared" si="21"/>
        <v>June</v>
      </c>
      <c r="C684" s="33">
        <v>46203</v>
      </c>
      <c r="D684" s="15">
        <v>62000</v>
      </c>
      <c r="E684" s="60">
        <v>45465</v>
      </c>
      <c r="F684" s="18" t="s">
        <v>120</v>
      </c>
      <c r="G684" s="18" t="s">
        <v>415</v>
      </c>
      <c r="H684" s="49" t="s">
        <v>38</v>
      </c>
      <c r="I684" s="49" t="s">
        <v>89</v>
      </c>
      <c r="J684" s="50" t="s">
        <v>47</v>
      </c>
      <c r="K684" s="15">
        <v>38.700000000000003</v>
      </c>
      <c r="L684" s="53">
        <v>566</v>
      </c>
      <c r="M684" s="53">
        <f t="shared" si="22"/>
        <v>21904.2</v>
      </c>
    </row>
    <row r="685" spans="1:18" x14ac:dyDescent="0.25">
      <c r="A685" s="21">
        <f>IF(C685="","",COUNTA($C$3:C685))</f>
        <v>683</v>
      </c>
      <c r="B685" s="35" t="str">
        <f t="shared" si="21"/>
        <v>June</v>
      </c>
      <c r="C685" s="33">
        <v>46203</v>
      </c>
      <c r="D685" s="15">
        <v>62000</v>
      </c>
      <c r="E685" s="60">
        <v>45465</v>
      </c>
      <c r="F685" s="18" t="s">
        <v>120</v>
      </c>
      <c r="G685" s="18" t="s">
        <v>415</v>
      </c>
      <c r="H685" s="49" t="s">
        <v>38</v>
      </c>
      <c r="I685" s="49" t="s">
        <v>68</v>
      </c>
      <c r="J685" s="50" t="s">
        <v>47</v>
      </c>
      <c r="K685" s="15">
        <v>249.8</v>
      </c>
      <c r="L685" s="62">
        <v>670</v>
      </c>
      <c r="M685" s="53">
        <f t="shared" si="22"/>
        <v>167366</v>
      </c>
    </row>
    <row r="686" spans="1:18" x14ac:dyDescent="0.25">
      <c r="A686" s="21">
        <f>IF(C686="","",COUNTA($C$3:C686))</f>
        <v>684</v>
      </c>
      <c r="B686" s="35" t="str">
        <f t="shared" si="21"/>
        <v>June</v>
      </c>
      <c r="C686" s="33">
        <v>46203</v>
      </c>
      <c r="D686" s="15">
        <v>62000</v>
      </c>
      <c r="E686" s="60">
        <v>45465</v>
      </c>
      <c r="F686" s="18" t="s">
        <v>120</v>
      </c>
      <c r="G686" s="18" t="s">
        <v>415</v>
      </c>
      <c r="H686" s="49" t="s">
        <v>38</v>
      </c>
      <c r="I686" s="49" t="s">
        <v>69</v>
      </c>
      <c r="J686" s="50" t="s">
        <v>47</v>
      </c>
      <c r="K686" s="55">
        <v>148.4</v>
      </c>
      <c r="L686" s="54">
        <v>868</v>
      </c>
      <c r="M686" s="53">
        <f t="shared" si="22"/>
        <v>128811.20000000001</v>
      </c>
    </row>
    <row r="687" spans="1:18" x14ac:dyDescent="0.25">
      <c r="A687" s="21">
        <f>IF(C687="","",COUNTA($C$3:C687))</f>
        <v>685</v>
      </c>
      <c r="B687" s="35" t="str">
        <f t="shared" si="21"/>
        <v>June</v>
      </c>
      <c r="C687" s="33">
        <v>46203</v>
      </c>
      <c r="D687" s="15">
        <v>62000</v>
      </c>
      <c r="E687" s="60">
        <v>45465</v>
      </c>
      <c r="F687" s="18" t="s">
        <v>120</v>
      </c>
      <c r="G687" s="18" t="s">
        <v>415</v>
      </c>
      <c r="H687" s="49" t="s">
        <v>139</v>
      </c>
      <c r="I687" s="49" t="s">
        <v>39</v>
      </c>
      <c r="J687" s="50" t="s">
        <v>47</v>
      </c>
      <c r="K687" s="15">
        <v>1.4</v>
      </c>
      <c r="L687" s="62">
        <v>5200</v>
      </c>
      <c r="M687" s="53">
        <f t="shared" si="22"/>
        <v>7279.9999999999991</v>
      </c>
    </row>
    <row r="688" spans="1:18" x14ac:dyDescent="0.25">
      <c r="A688" s="21">
        <f>IF(C688="","",COUNTA($C$3:C688))</f>
        <v>686</v>
      </c>
      <c r="B688" s="35" t="str">
        <f t="shared" si="21"/>
        <v>June</v>
      </c>
      <c r="C688" s="33">
        <v>46203</v>
      </c>
      <c r="D688" s="15">
        <v>62000</v>
      </c>
      <c r="E688" s="60">
        <v>45465</v>
      </c>
      <c r="F688" s="18" t="s">
        <v>120</v>
      </c>
      <c r="G688" s="18" t="s">
        <v>415</v>
      </c>
      <c r="H688" s="49" t="s">
        <v>129</v>
      </c>
      <c r="I688" s="49" t="s">
        <v>268</v>
      </c>
      <c r="J688" s="50" t="s">
        <v>47</v>
      </c>
      <c r="K688" s="15">
        <v>161.5</v>
      </c>
      <c r="L688" s="62">
        <v>383</v>
      </c>
      <c r="M688" s="53">
        <f t="shared" si="22"/>
        <v>61854.5</v>
      </c>
    </row>
    <row r="689" spans="1:18" x14ac:dyDescent="0.25">
      <c r="A689" s="21">
        <f>IF(C689="","",COUNTA($C$3:C689))</f>
        <v>687</v>
      </c>
      <c r="B689" s="35" t="str">
        <f t="shared" si="21"/>
        <v>June</v>
      </c>
      <c r="C689" s="33">
        <v>46203</v>
      </c>
      <c r="D689" s="15">
        <v>62000</v>
      </c>
      <c r="E689" s="60">
        <v>45465</v>
      </c>
      <c r="F689" s="18" t="s">
        <v>120</v>
      </c>
      <c r="G689" s="18" t="s">
        <v>415</v>
      </c>
      <c r="H689" s="49" t="s">
        <v>129</v>
      </c>
      <c r="I689" s="49" t="s">
        <v>430</v>
      </c>
      <c r="J689" s="50" t="s">
        <v>47</v>
      </c>
      <c r="K689" s="15">
        <v>194.8</v>
      </c>
      <c r="L689" s="54">
        <v>716</v>
      </c>
      <c r="M689" s="53">
        <f t="shared" si="22"/>
        <v>139476.80000000002</v>
      </c>
    </row>
    <row r="690" spans="1:18" x14ac:dyDescent="0.25">
      <c r="A690" s="21">
        <f>IF(C690="","",COUNTA($C$3:C690))</f>
        <v>688</v>
      </c>
      <c r="B690" s="35" t="str">
        <f t="shared" si="21"/>
        <v>June</v>
      </c>
      <c r="C690" s="33">
        <v>46203</v>
      </c>
      <c r="D690" s="15">
        <v>62000</v>
      </c>
      <c r="E690" s="60">
        <v>45465</v>
      </c>
      <c r="F690" s="18" t="s">
        <v>120</v>
      </c>
      <c r="G690" s="18" t="s">
        <v>415</v>
      </c>
      <c r="H690" s="49" t="s">
        <v>129</v>
      </c>
      <c r="I690" s="49" t="s">
        <v>96</v>
      </c>
      <c r="J690" s="50" t="s">
        <v>47</v>
      </c>
      <c r="K690" s="15">
        <v>41.9</v>
      </c>
      <c r="L690" s="53">
        <v>1041</v>
      </c>
      <c r="M690" s="53">
        <f t="shared" si="22"/>
        <v>43617.9</v>
      </c>
    </row>
    <row r="691" spans="1:18" x14ac:dyDescent="0.25">
      <c r="A691" s="21">
        <f>IF(C691="","",COUNTA($C$3:C691))</f>
        <v>689</v>
      </c>
      <c r="B691" s="35" t="str">
        <f t="shared" si="21"/>
        <v>June</v>
      </c>
      <c r="C691" s="33">
        <v>46203</v>
      </c>
      <c r="D691" s="15">
        <v>62000</v>
      </c>
      <c r="E691" s="60">
        <v>45465</v>
      </c>
      <c r="F691" s="18" t="s">
        <v>120</v>
      </c>
      <c r="G691" s="18" t="s">
        <v>415</v>
      </c>
      <c r="H691" s="49" t="s">
        <v>130</v>
      </c>
      <c r="I691" s="49" t="s">
        <v>40</v>
      </c>
      <c r="J691" s="50" t="s">
        <v>47</v>
      </c>
      <c r="K691" s="15">
        <v>380</v>
      </c>
      <c r="L691" s="62">
        <v>20</v>
      </c>
      <c r="M691" s="53">
        <f t="shared" si="22"/>
        <v>7600</v>
      </c>
    </row>
    <row r="692" spans="1:18" x14ac:dyDescent="0.25">
      <c r="A692" s="21">
        <f>IF(C692="","",COUNTA($C$3:C692))</f>
        <v>690</v>
      </c>
      <c r="B692" s="35" t="str">
        <f t="shared" si="21"/>
        <v>July</v>
      </c>
      <c r="C692" s="33">
        <v>46204</v>
      </c>
      <c r="D692" s="15">
        <v>62009</v>
      </c>
      <c r="E692" s="60">
        <v>45466</v>
      </c>
      <c r="F692" s="52" t="s">
        <v>174</v>
      </c>
      <c r="G692" s="18" t="s">
        <v>431</v>
      </c>
      <c r="H692" s="49" t="s">
        <v>38</v>
      </c>
      <c r="I692" s="49" t="s">
        <v>68</v>
      </c>
      <c r="J692" s="50" t="s">
        <v>47</v>
      </c>
      <c r="K692" s="15">
        <v>14.8</v>
      </c>
      <c r="L692" s="62">
        <v>670</v>
      </c>
      <c r="M692" s="53">
        <f t="shared" si="22"/>
        <v>9916</v>
      </c>
    </row>
    <row r="693" spans="1:18" x14ac:dyDescent="0.25">
      <c r="A693" s="21">
        <f>IF(C693="","",COUNTA($C$3:C693))</f>
        <v>691</v>
      </c>
      <c r="B693" s="35" t="str">
        <f t="shared" si="21"/>
        <v>July</v>
      </c>
      <c r="C693" s="33">
        <v>46204</v>
      </c>
      <c r="D693" s="15">
        <v>62009</v>
      </c>
      <c r="E693" s="60">
        <v>45466</v>
      </c>
      <c r="F693" s="52" t="s">
        <v>174</v>
      </c>
      <c r="G693" s="18" t="s">
        <v>431</v>
      </c>
      <c r="H693" s="49" t="s">
        <v>38</v>
      </c>
      <c r="I693" s="49" t="s">
        <v>69</v>
      </c>
      <c r="J693" s="50" t="s">
        <v>47</v>
      </c>
      <c r="K693" s="15">
        <v>9.5</v>
      </c>
      <c r="L693" s="62">
        <v>870</v>
      </c>
      <c r="M693" s="53">
        <f t="shared" si="22"/>
        <v>8265</v>
      </c>
    </row>
    <row r="694" spans="1:18" x14ac:dyDescent="0.25">
      <c r="A694" s="21">
        <f>IF(C694="","",COUNTA($C$3:C694))</f>
        <v>692</v>
      </c>
      <c r="B694" s="35" t="str">
        <f t="shared" si="21"/>
        <v>July</v>
      </c>
      <c r="C694" s="33">
        <v>46204</v>
      </c>
      <c r="D694" s="15">
        <v>62008</v>
      </c>
      <c r="E694" s="60">
        <v>45467</v>
      </c>
      <c r="F694" s="52" t="s">
        <v>120</v>
      </c>
      <c r="G694" s="18" t="s">
        <v>222</v>
      </c>
      <c r="H694" s="49" t="s">
        <v>224</v>
      </c>
      <c r="I694" s="49" t="s">
        <v>89</v>
      </c>
      <c r="J694" s="50" t="s">
        <v>47</v>
      </c>
      <c r="K694" s="55">
        <v>491.6</v>
      </c>
      <c r="L694" s="54">
        <v>545</v>
      </c>
      <c r="M694" s="53">
        <f t="shared" si="22"/>
        <v>267922</v>
      </c>
    </row>
    <row r="695" spans="1:18" x14ac:dyDescent="0.25">
      <c r="A695" s="21">
        <f>IF(C695="","",COUNTA($C$3:C695))</f>
        <v>693</v>
      </c>
      <c r="B695" s="35" t="str">
        <f t="shared" si="21"/>
        <v>July</v>
      </c>
      <c r="C695" s="33">
        <v>46204</v>
      </c>
      <c r="D695" s="15">
        <v>62008</v>
      </c>
      <c r="E695" s="60">
        <v>45467</v>
      </c>
      <c r="F695" s="52" t="s">
        <v>120</v>
      </c>
      <c r="G695" s="18" t="s">
        <v>222</v>
      </c>
      <c r="H695" s="49" t="s">
        <v>224</v>
      </c>
      <c r="I695" s="49" t="s">
        <v>68</v>
      </c>
      <c r="J695" s="50" t="s">
        <v>47</v>
      </c>
      <c r="K695" s="15">
        <v>3.4</v>
      </c>
      <c r="L695" s="62">
        <v>645</v>
      </c>
      <c r="M695" s="53">
        <f t="shared" si="22"/>
        <v>2193</v>
      </c>
    </row>
    <row r="696" spans="1:18" x14ac:dyDescent="0.25">
      <c r="A696" s="21">
        <f>IF(C696="","",COUNTA($C$3:C696))</f>
        <v>694</v>
      </c>
      <c r="B696" s="35" t="str">
        <f t="shared" si="21"/>
        <v>July</v>
      </c>
      <c r="C696" s="33">
        <v>46204</v>
      </c>
      <c r="D696" s="15">
        <v>62008</v>
      </c>
      <c r="E696" s="60">
        <v>45467</v>
      </c>
      <c r="F696" s="52" t="s">
        <v>120</v>
      </c>
      <c r="G696" s="18" t="s">
        <v>222</v>
      </c>
      <c r="H696" s="49" t="s">
        <v>224</v>
      </c>
      <c r="I696" s="49" t="s">
        <v>69</v>
      </c>
      <c r="J696" s="50" t="s">
        <v>47</v>
      </c>
      <c r="K696" s="15">
        <v>339.6</v>
      </c>
      <c r="L696" s="62">
        <v>845</v>
      </c>
      <c r="M696" s="53">
        <f t="shared" si="22"/>
        <v>286962</v>
      </c>
    </row>
    <row r="697" spans="1:18" x14ac:dyDescent="0.25">
      <c r="A697" s="21">
        <f>IF(C697="","",COUNTA($C$3:C697))</f>
        <v>695</v>
      </c>
      <c r="B697" s="35" t="str">
        <f t="shared" si="21"/>
        <v>July</v>
      </c>
      <c r="C697" s="33">
        <v>46204</v>
      </c>
      <c r="D697" s="15">
        <v>62008</v>
      </c>
      <c r="E697" s="60">
        <v>45467</v>
      </c>
      <c r="F697" s="52" t="s">
        <v>120</v>
      </c>
      <c r="G697" s="18" t="s">
        <v>222</v>
      </c>
      <c r="H697" s="49" t="s">
        <v>224</v>
      </c>
      <c r="I697" s="49" t="s">
        <v>39</v>
      </c>
      <c r="J697" s="50" t="s">
        <v>47</v>
      </c>
      <c r="K697" s="15">
        <v>508.5</v>
      </c>
      <c r="L697" s="62">
        <v>1035</v>
      </c>
      <c r="M697" s="53">
        <f t="shared" si="22"/>
        <v>526297.5</v>
      </c>
    </row>
    <row r="698" spans="1:18" x14ac:dyDescent="0.25">
      <c r="A698" s="21">
        <f>IF(C698="","",COUNTA($C$3:C698))</f>
        <v>696</v>
      </c>
      <c r="B698" s="35" t="str">
        <f t="shared" si="21"/>
        <v>July</v>
      </c>
      <c r="C698" s="33">
        <v>46204</v>
      </c>
      <c r="D698" s="15">
        <v>62008</v>
      </c>
      <c r="E698" s="60">
        <v>45467</v>
      </c>
      <c r="F698" s="52" t="s">
        <v>120</v>
      </c>
      <c r="G698" s="18" t="s">
        <v>222</v>
      </c>
      <c r="H698" s="49" t="s">
        <v>139</v>
      </c>
      <c r="I698" s="49" t="s">
        <v>39</v>
      </c>
      <c r="J698" s="50" t="s">
        <v>47</v>
      </c>
      <c r="K698" s="15">
        <v>7.2</v>
      </c>
      <c r="L698" s="62">
        <v>5200</v>
      </c>
      <c r="M698" s="53">
        <f t="shared" si="22"/>
        <v>37440</v>
      </c>
    </row>
    <row r="699" spans="1:18" x14ac:dyDescent="0.25">
      <c r="A699" s="21">
        <f>IF(C699="","",COUNTA($C$3:C699))</f>
        <v>697</v>
      </c>
      <c r="B699" s="35" t="str">
        <f t="shared" si="21"/>
        <v>July</v>
      </c>
      <c r="C699" s="33">
        <v>46204</v>
      </c>
      <c r="D699" s="15">
        <v>61997</v>
      </c>
      <c r="E699" s="60">
        <v>45468</v>
      </c>
      <c r="F699" s="52" t="s">
        <v>120</v>
      </c>
      <c r="G699" s="18" t="s">
        <v>173</v>
      </c>
      <c r="H699" s="49" t="s">
        <v>38</v>
      </c>
      <c r="I699" s="49" t="s">
        <v>68</v>
      </c>
      <c r="J699" s="50" t="s">
        <v>47</v>
      </c>
      <c r="K699" s="15">
        <v>542.20000000000005</v>
      </c>
      <c r="L699" s="62">
        <v>670</v>
      </c>
      <c r="M699" s="53">
        <f t="shared" si="22"/>
        <v>363274.00000000006</v>
      </c>
    </row>
    <row r="700" spans="1:18" x14ac:dyDescent="0.25">
      <c r="A700" s="21">
        <f>IF(C700="","",COUNTA($C$3:C700))</f>
        <v>698</v>
      </c>
      <c r="B700" s="35" t="str">
        <f t="shared" si="21"/>
        <v>July</v>
      </c>
      <c r="C700" s="33">
        <v>46204</v>
      </c>
      <c r="D700" s="15">
        <v>61997</v>
      </c>
      <c r="E700" s="60">
        <v>45468</v>
      </c>
      <c r="F700" s="52" t="s">
        <v>120</v>
      </c>
      <c r="G700" s="18" t="s">
        <v>173</v>
      </c>
      <c r="H700" s="49" t="s">
        <v>38</v>
      </c>
      <c r="I700" s="49" t="s">
        <v>69</v>
      </c>
      <c r="J700" s="50" t="s">
        <v>47</v>
      </c>
      <c r="K700" s="15">
        <v>30.2</v>
      </c>
      <c r="L700" s="62">
        <v>868</v>
      </c>
      <c r="M700" s="53">
        <f t="shared" si="22"/>
        <v>26213.599999999999</v>
      </c>
    </row>
    <row r="701" spans="1:18" x14ac:dyDescent="0.25">
      <c r="A701" s="21">
        <f>IF(C701="","",COUNTA($C$3:C701))</f>
        <v>699</v>
      </c>
      <c r="B701" s="35" t="str">
        <f t="shared" si="21"/>
        <v>July</v>
      </c>
      <c r="C701" s="33">
        <v>46204</v>
      </c>
      <c r="D701" s="15">
        <v>61997</v>
      </c>
      <c r="E701" s="60">
        <v>45468</v>
      </c>
      <c r="F701" s="52" t="s">
        <v>120</v>
      </c>
      <c r="G701" s="18" t="s">
        <v>173</v>
      </c>
      <c r="H701" s="49" t="s">
        <v>129</v>
      </c>
      <c r="I701" s="49" t="s">
        <v>295</v>
      </c>
      <c r="J701" s="50" t="s">
        <v>47</v>
      </c>
      <c r="K701" s="15">
        <v>385.7</v>
      </c>
      <c r="L701" s="54">
        <v>507</v>
      </c>
      <c r="M701" s="53">
        <f t="shared" si="22"/>
        <v>195549.9</v>
      </c>
      <c r="R701" s="59"/>
    </row>
    <row r="702" spans="1:18" x14ac:dyDescent="0.25">
      <c r="A702" s="21">
        <f>IF(C702="","",COUNTA($C$3:C702))</f>
        <v>700</v>
      </c>
      <c r="B702" s="35" t="str">
        <f t="shared" si="21"/>
        <v>July</v>
      </c>
      <c r="C702" s="33">
        <v>46204</v>
      </c>
      <c r="D702" s="15">
        <v>61997</v>
      </c>
      <c r="E702" s="60">
        <v>45468</v>
      </c>
      <c r="F702" s="52" t="s">
        <v>120</v>
      </c>
      <c r="G702" s="18" t="s">
        <v>173</v>
      </c>
      <c r="H702" s="49" t="s">
        <v>176</v>
      </c>
      <c r="I702" s="49" t="s">
        <v>295</v>
      </c>
      <c r="J702" s="50" t="s">
        <v>47</v>
      </c>
      <c r="K702" s="15">
        <v>84</v>
      </c>
      <c r="L702" s="53">
        <v>360</v>
      </c>
      <c r="M702" s="53">
        <f t="shared" si="22"/>
        <v>30240</v>
      </c>
    </row>
    <row r="703" spans="1:18" x14ac:dyDescent="0.25">
      <c r="A703" s="21">
        <f>IF(C703="","",COUNTA($C$3:C703))</f>
        <v>701</v>
      </c>
      <c r="B703" s="35" t="str">
        <f t="shared" si="21"/>
        <v>July</v>
      </c>
      <c r="C703" s="33">
        <v>46204</v>
      </c>
      <c r="D703" s="15">
        <v>61997</v>
      </c>
      <c r="E703" s="60">
        <v>45468</v>
      </c>
      <c r="F703" s="52" t="s">
        <v>120</v>
      </c>
      <c r="G703" s="18" t="s">
        <v>173</v>
      </c>
      <c r="H703" s="49" t="s">
        <v>129</v>
      </c>
      <c r="I703" s="49" t="s">
        <v>94</v>
      </c>
      <c r="J703" s="50" t="s">
        <v>47</v>
      </c>
      <c r="K703" s="15">
        <v>51.9</v>
      </c>
      <c r="L703" s="53">
        <v>865</v>
      </c>
      <c r="M703" s="53">
        <f t="shared" si="22"/>
        <v>44893.5</v>
      </c>
    </row>
    <row r="704" spans="1:18" x14ac:dyDescent="0.25">
      <c r="A704" s="21">
        <f>IF(C704="","",COUNTA($C$3:C704))</f>
        <v>702</v>
      </c>
      <c r="B704" s="35" t="str">
        <f t="shared" si="21"/>
        <v>July</v>
      </c>
      <c r="C704" s="33">
        <v>46204</v>
      </c>
      <c r="D704" s="15">
        <v>61997</v>
      </c>
      <c r="E704" s="60">
        <v>45468</v>
      </c>
      <c r="F704" s="52" t="s">
        <v>120</v>
      </c>
      <c r="G704" s="18" t="s">
        <v>173</v>
      </c>
      <c r="H704" s="49" t="s">
        <v>274</v>
      </c>
      <c r="I704" s="49" t="s">
        <v>68</v>
      </c>
      <c r="J704" s="50" t="s">
        <v>70</v>
      </c>
      <c r="K704" s="15">
        <v>72</v>
      </c>
      <c r="L704" s="62">
        <v>75</v>
      </c>
      <c r="M704" s="53">
        <f t="shared" si="22"/>
        <v>5400</v>
      </c>
    </row>
    <row r="705" spans="1:18" x14ac:dyDescent="0.25">
      <c r="A705" s="21">
        <f>IF(C705="","",COUNTA($C$3:C705))</f>
        <v>703</v>
      </c>
      <c r="B705" s="35" t="str">
        <f t="shared" si="21"/>
        <v>July</v>
      </c>
      <c r="C705" s="33">
        <v>46204</v>
      </c>
      <c r="D705" s="15">
        <v>61997</v>
      </c>
      <c r="E705" s="60">
        <v>45468</v>
      </c>
      <c r="F705" s="52" t="s">
        <v>120</v>
      </c>
      <c r="G705" s="18" t="s">
        <v>173</v>
      </c>
      <c r="H705" s="49" t="s">
        <v>130</v>
      </c>
      <c r="I705" s="49" t="s">
        <v>40</v>
      </c>
      <c r="J705" s="50" t="s">
        <v>47</v>
      </c>
      <c r="K705" s="55">
        <v>430</v>
      </c>
      <c r="L705" s="54">
        <v>20</v>
      </c>
      <c r="M705" s="53">
        <f t="shared" si="22"/>
        <v>8600</v>
      </c>
    </row>
    <row r="706" spans="1:18" x14ac:dyDescent="0.25">
      <c r="A706" s="21">
        <f>IF(C706="","",COUNTA($C$3:C706))</f>
        <v>704</v>
      </c>
      <c r="B706" s="35" t="str">
        <f t="shared" si="21"/>
        <v>July</v>
      </c>
      <c r="C706" s="33">
        <v>46204</v>
      </c>
      <c r="D706" s="15">
        <v>62008</v>
      </c>
      <c r="E706" s="60">
        <v>45469</v>
      </c>
      <c r="F706" s="52" t="s">
        <v>120</v>
      </c>
      <c r="G706" s="18" t="s">
        <v>222</v>
      </c>
      <c r="H706" s="49" t="s">
        <v>224</v>
      </c>
      <c r="I706" s="49" t="s">
        <v>89</v>
      </c>
      <c r="J706" s="50" t="s">
        <v>47</v>
      </c>
      <c r="K706" s="55">
        <v>926.2</v>
      </c>
      <c r="L706" s="54">
        <v>545</v>
      </c>
      <c r="M706" s="53">
        <f t="shared" si="22"/>
        <v>504779</v>
      </c>
    </row>
    <row r="707" spans="1:18" x14ac:dyDescent="0.25">
      <c r="A707" s="21">
        <f>IF(C707="","",COUNTA($C$3:C707))</f>
        <v>705</v>
      </c>
      <c r="B707" s="35" t="str">
        <f t="shared" si="21"/>
        <v>July</v>
      </c>
      <c r="C707" s="33">
        <v>46204</v>
      </c>
      <c r="D707" s="15">
        <v>62008</v>
      </c>
      <c r="E707" s="60">
        <v>45469</v>
      </c>
      <c r="F707" s="52" t="s">
        <v>120</v>
      </c>
      <c r="G707" s="18" t="s">
        <v>222</v>
      </c>
      <c r="H707" s="49" t="s">
        <v>224</v>
      </c>
      <c r="I707" s="49" t="s">
        <v>68</v>
      </c>
      <c r="J707" s="50" t="s">
        <v>47</v>
      </c>
      <c r="K707" s="15">
        <v>55.7</v>
      </c>
      <c r="L707" s="62">
        <v>645</v>
      </c>
      <c r="M707" s="53">
        <f t="shared" si="22"/>
        <v>35926.5</v>
      </c>
    </row>
    <row r="708" spans="1:18" x14ac:dyDescent="0.25">
      <c r="A708" s="21">
        <f>IF(C708="","",COUNTA($C$3:C708))</f>
        <v>706</v>
      </c>
      <c r="B708" s="35" t="str">
        <f t="shared" si="21"/>
        <v>July</v>
      </c>
      <c r="C708" s="33">
        <v>46204</v>
      </c>
      <c r="D708" s="15">
        <v>62008</v>
      </c>
      <c r="E708" s="60">
        <v>45469</v>
      </c>
      <c r="F708" s="52" t="s">
        <v>120</v>
      </c>
      <c r="G708" s="18" t="s">
        <v>222</v>
      </c>
      <c r="H708" s="49" t="s">
        <v>224</v>
      </c>
      <c r="I708" s="49" t="s">
        <v>69</v>
      </c>
      <c r="J708" s="50" t="s">
        <v>47</v>
      </c>
      <c r="K708" s="15">
        <v>105.4</v>
      </c>
      <c r="L708" s="62">
        <v>845</v>
      </c>
      <c r="M708" s="53">
        <f t="shared" si="22"/>
        <v>89063</v>
      </c>
    </row>
    <row r="709" spans="1:18" x14ac:dyDescent="0.25">
      <c r="A709" s="21">
        <f>IF(C709="","",COUNTA($C$3:C709))</f>
        <v>707</v>
      </c>
      <c r="B709" s="35" t="str">
        <f t="shared" si="21"/>
        <v>July</v>
      </c>
      <c r="C709" s="33">
        <v>46204</v>
      </c>
      <c r="D709" s="15">
        <v>62008</v>
      </c>
      <c r="E709" s="60">
        <v>45469</v>
      </c>
      <c r="F709" s="52" t="s">
        <v>120</v>
      </c>
      <c r="G709" s="18" t="s">
        <v>222</v>
      </c>
      <c r="H709" s="49" t="s">
        <v>224</v>
      </c>
      <c r="I709" s="49" t="s">
        <v>39</v>
      </c>
      <c r="J709" s="50" t="s">
        <v>47</v>
      </c>
      <c r="K709" s="15">
        <v>2.2000000000000002</v>
      </c>
      <c r="L709" s="62">
        <v>1035</v>
      </c>
      <c r="M709" s="53">
        <f t="shared" si="22"/>
        <v>2277</v>
      </c>
    </row>
    <row r="710" spans="1:18" x14ac:dyDescent="0.25">
      <c r="A710" s="21">
        <f>IF(C710="","",COUNTA($C$3:C710))</f>
        <v>708</v>
      </c>
      <c r="B710" s="35" t="str">
        <f t="shared" si="21"/>
        <v>July</v>
      </c>
      <c r="C710" s="33">
        <v>46207</v>
      </c>
      <c r="D710" s="15">
        <v>62022</v>
      </c>
      <c r="E710" s="60">
        <v>45470</v>
      </c>
      <c r="F710" s="52" t="s">
        <v>174</v>
      </c>
      <c r="G710" s="18" t="s">
        <v>431</v>
      </c>
      <c r="H710" s="49" t="s">
        <v>38</v>
      </c>
      <c r="I710" s="49" t="s">
        <v>68</v>
      </c>
      <c r="J710" s="50" t="s">
        <v>47</v>
      </c>
      <c r="K710" s="15">
        <v>14.8</v>
      </c>
      <c r="L710" s="62">
        <v>670</v>
      </c>
      <c r="M710" s="53">
        <f t="shared" si="22"/>
        <v>9916</v>
      </c>
    </row>
    <row r="711" spans="1:18" x14ac:dyDescent="0.25">
      <c r="A711" s="21">
        <f>IF(C711="","",COUNTA($C$3:C711))</f>
        <v>709</v>
      </c>
      <c r="B711" s="35" t="str">
        <f t="shared" si="21"/>
        <v>July</v>
      </c>
      <c r="C711" s="33">
        <v>46207</v>
      </c>
      <c r="D711" s="15">
        <v>62022</v>
      </c>
      <c r="E711" s="60">
        <v>45470</v>
      </c>
      <c r="F711" s="52" t="s">
        <v>174</v>
      </c>
      <c r="G711" s="18" t="s">
        <v>431</v>
      </c>
      <c r="H711" s="49" t="s">
        <v>38</v>
      </c>
      <c r="I711" s="49" t="s">
        <v>69</v>
      </c>
      <c r="J711" s="50" t="s">
        <v>47</v>
      </c>
      <c r="K711" s="55">
        <v>9.5</v>
      </c>
      <c r="L711" s="54">
        <v>870</v>
      </c>
      <c r="M711" s="53">
        <f t="shared" si="22"/>
        <v>8265</v>
      </c>
    </row>
    <row r="712" spans="1:18" x14ac:dyDescent="0.25">
      <c r="A712" s="21">
        <f>IF(C712="","",COUNTA($C$3:C712))</f>
        <v>710</v>
      </c>
      <c r="B712" s="35" t="str">
        <f t="shared" si="21"/>
        <v>July</v>
      </c>
      <c r="C712" s="33">
        <v>46207</v>
      </c>
      <c r="D712" s="15">
        <v>62023</v>
      </c>
      <c r="E712" s="60">
        <v>45471</v>
      </c>
      <c r="F712" s="52" t="s">
        <v>385</v>
      </c>
      <c r="G712" s="18" t="s">
        <v>436</v>
      </c>
      <c r="H712" s="49" t="s">
        <v>38</v>
      </c>
      <c r="I712" s="49" t="s">
        <v>68</v>
      </c>
      <c r="J712" s="50" t="s">
        <v>47</v>
      </c>
      <c r="K712" s="15">
        <v>4.9000000000000004</v>
      </c>
      <c r="L712" s="62">
        <v>680</v>
      </c>
      <c r="M712" s="53">
        <f t="shared" si="22"/>
        <v>3332.0000000000005</v>
      </c>
    </row>
    <row r="713" spans="1:18" x14ac:dyDescent="0.25">
      <c r="A713" s="21">
        <f>IF(C713="","",COUNTA($C$3:C713))</f>
        <v>711</v>
      </c>
      <c r="B713" s="35" t="str">
        <f t="shared" si="21"/>
        <v>July</v>
      </c>
      <c r="C713" s="33">
        <v>46207</v>
      </c>
      <c r="D713" s="15">
        <v>62023</v>
      </c>
      <c r="E713" s="60">
        <v>45471</v>
      </c>
      <c r="F713" s="52" t="s">
        <v>385</v>
      </c>
      <c r="G713" s="18" t="s">
        <v>436</v>
      </c>
      <c r="H713" s="49" t="s">
        <v>437</v>
      </c>
      <c r="I713" s="49" t="s">
        <v>68</v>
      </c>
      <c r="J713" s="50" t="s">
        <v>70</v>
      </c>
      <c r="K713" s="15">
        <v>4</v>
      </c>
      <c r="L713" s="62">
        <v>580</v>
      </c>
      <c r="M713" s="53">
        <f t="shared" si="22"/>
        <v>2320</v>
      </c>
    </row>
    <row r="714" spans="1:18" x14ac:dyDescent="0.25">
      <c r="A714" s="21">
        <f>IF(C714="","",COUNTA($C$3:C714))</f>
        <v>712</v>
      </c>
      <c r="B714" s="35" t="str">
        <f t="shared" si="21"/>
        <v>July</v>
      </c>
      <c r="C714" s="33">
        <v>46207</v>
      </c>
      <c r="D714" s="15">
        <v>62023</v>
      </c>
      <c r="E714" s="60">
        <v>45471</v>
      </c>
      <c r="F714" s="52" t="s">
        <v>385</v>
      </c>
      <c r="G714" s="18" t="s">
        <v>436</v>
      </c>
      <c r="H714" s="49" t="s">
        <v>438</v>
      </c>
      <c r="I714" s="49" t="s">
        <v>68</v>
      </c>
      <c r="J714" s="50" t="s">
        <v>70</v>
      </c>
      <c r="K714" s="15">
        <v>2</v>
      </c>
      <c r="L714" s="62">
        <v>380</v>
      </c>
      <c r="M714" s="53">
        <f t="shared" si="22"/>
        <v>760</v>
      </c>
    </row>
    <row r="715" spans="1:18" x14ac:dyDescent="0.25">
      <c r="A715" s="21">
        <f>IF(C715="","",COUNTA($C$3:C715))</f>
        <v>713</v>
      </c>
      <c r="B715" s="35" t="str">
        <f t="shared" si="21"/>
        <v>July</v>
      </c>
      <c r="C715" s="33">
        <v>46207</v>
      </c>
      <c r="D715" s="15">
        <v>62023</v>
      </c>
      <c r="E715" s="60">
        <v>45471</v>
      </c>
      <c r="F715" s="52" t="s">
        <v>385</v>
      </c>
      <c r="G715" s="18" t="s">
        <v>436</v>
      </c>
      <c r="H715" s="49" t="s">
        <v>200</v>
      </c>
      <c r="I715" s="49" t="s">
        <v>69</v>
      </c>
      <c r="J715" s="50" t="s">
        <v>70</v>
      </c>
      <c r="K715" s="15">
        <v>2</v>
      </c>
      <c r="L715" s="62">
        <v>460</v>
      </c>
      <c r="M715" s="53">
        <f t="shared" si="22"/>
        <v>920</v>
      </c>
      <c r="O715" s="59"/>
    </row>
    <row r="716" spans="1:18" x14ac:dyDescent="0.25">
      <c r="A716" s="21">
        <f>IF(C716="","",COUNTA($C$3:C716))</f>
        <v>714</v>
      </c>
      <c r="B716" s="35" t="str">
        <f t="shared" si="21"/>
        <v>July</v>
      </c>
      <c r="C716" s="33">
        <v>46207</v>
      </c>
      <c r="D716" s="15">
        <v>62023</v>
      </c>
      <c r="E716" s="60">
        <v>45471</v>
      </c>
      <c r="F716" s="52" t="s">
        <v>385</v>
      </c>
      <c r="G716" s="18" t="s">
        <v>436</v>
      </c>
      <c r="H716" s="49" t="s">
        <v>439</v>
      </c>
      <c r="I716" s="49" t="s">
        <v>69</v>
      </c>
      <c r="J716" s="50" t="s">
        <v>70</v>
      </c>
      <c r="K716" s="15">
        <v>4</v>
      </c>
      <c r="L716" s="62">
        <v>530</v>
      </c>
      <c r="M716" s="53">
        <f t="shared" si="22"/>
        <v>2120</v>
      </c>
    </row>
    <row r="717" spans="1:18" x14ac:dyDescent="0.25">
      <c r="A717" s="21">
        <f>IF(C717="","",COUNTA($C$3:C717))</f>
        <v>715</v>
      </c>
      <c r="B717" s="35" t="str">
        <f t="shared" si="21"/>
        <v>July</v>
      </c>
      <c r="C717" s="33">
        <v>46210</v>
      </c>
      <c r="D717" s="15">
        <v>62005</v>
      </c>
      <c r="E717" s="60">
        <v>45472</v>
      </c>
      <c r="F717" s="52" t="s">
        <v>120</v>
      </c>
      <c r="G717" s="18" t="s">
        <v>469</v>
      </c>
      <c r="H717" s="49" t="s">
        <v>429</v>
      </c>
      <c r="I717" s="49" t="s">
        <v>454</v>
      </c>
      <c r="J717" s="50" t="s">
        <v>137</v>
      </c>
      <c r="K717" s="15">
        <v>42</v>
      </c>
      <c r="L717" s="62">
        <v>1205</v>
      </c>
      <c r="M717" s="53">
        <f t="shared" si="22"/>
        <v>50610</v>
      </c>
      <c r="R717" s="54"/>
    </row>
    <row r="718" spans="1:18" x14ac:dyDescent="0.25">
      <c r="A718" s="21">
        <f>IF(C718="","",COUNTA($C$3:C718))</f>
        <v>716</v>
      </c>
      <c r="B718" s="35" t="str">
        <f t="shared" si="21"/>
        <v>July</v>
      </c>
      <c r="C718" s="33">
        <v>46210</v>
      </c>
      <c r="D718" s="15">
        <v>62005</v>
      </c>
      <c r="E718" s="60">
        <v>45472</v>
      </c>
      <c r="F718" s="52" t="s">
        <v>120</v>
      </c>
      <c r="G718" s="18" t="s">
        <v>469</v>
      </c>
      <c r="H718" s="49" t="s">
        <v>429</v>
      </c>
      <c r="I718" s="49" t="s">
        <v>455</v>
      </c>
      <c r="J718" s="50" t="s">
        <v>137</v>
      </c>
      <c r="K718" s="15">
        <v>12</v>
      </c>
      <c r="L718" s="62">
        <v>815</v>
      </c>
      <c r="M718" s="53">
        <f t="shared" si="22"/>
        <v>9780</v>
      </c>
    </row>
    <row r="719" spans="1:18" x14ac:dyDescent="0.25">
      <c r="A719" s="21">
        <f>IF(C719="","",COUNTA($C$3:C719))</f>
        <v>717</v>
      </c>
      <c r="B719" s="35" t="str">
        <f t="shared" si="21"/>
        <v>July</v>
      </c>
      <c r="C719" s="33">
        <v>46210</v>
      </c>
      <c r="D719" s="15">
        <v>62005</v>
      </c>
      <c r="E719" s="60">
        <v>45472</v>
      </c>
      <c r="F719" s="52" t="s">
        <v>120</v>
      </c>
      <c r="G719" s="18" t="s">
        <v>469</v>
      </c>
      <c r="H719" s="49" t="s">
        <v>429</v>
      </c>
      <c r="I719" s="49" t="s">
        <v>456</v>
      </c>
      <c r="J719" s="50" t="s">
        <v>137</v>
      </c>
      <c r="K719" s="15">
        <v>66</v>
      </c>
      <c r="L719" s="62">
        <v>385</v>
      </c>
      <c r="M719" s="53">
        <f t="shared" si="22"/>
        <v>25410</v>
      </c>
    </row>
    <row r="720" spans="1:18" x14ac:dyDescent="0.25">
      <c r="A720" s="21">
        <f>IF(C720="","",COUNTA($C$3:C720))</f>
        <v>718</v>
      </c>
      <c r="B720" s="35" t="str">
        <f t="shared" si="21"/>
        <v>July</v>
      </c>
      <c r="C720" s="33">
        <v>46210</v>
      </c>
      <c r="D720" s="15">
        <v>62005</v>
      </c>
      <c r="E720" s="60">
        <v>45472</v>
      </c>
      <c r="F720" s="52" t="s">
        <v>120</v>
      </c>
      <c r="G720" s="18" t="s">
        <v>469</v>
      </c>
      <c r="H720" s="49" t="s">
        <v>429</v>
      </c>
      <c r="I720" s="49" t="s">
        <v>457</v>
      </c>
      <c r="J720" s="50" t="s">
        <v>137</v>
      </c>
      <c r="K720" s="55">
        <v>12</v>
      </c>
      <c r="L720" s="54">
        <v>362</v>
      </c>
      <c r="M720" s="53">
        <f t="shared" si="22"/>
        <v>4344</v>
      </c>
    </row>
    <row r="721" spans="1:17" x14ac:dyDescent="0.25">
      <c r="A721" s="21">
        <f>IF(C721="","",COUNTA($C$3:C721))</f>
        <v>719</v>
      </c>
      <c r="B721" s="35" t="str">
        <f t="shared" si="21"/>
        <v>July</v>
      </c>
      <c r="C721" s="33">
        <v>46210</v>
      </c>
      <c r="D721" s="15">
        <v>62000</v>
      </c>
      <c r="E721" s="60">
        <v>45473</v>
      </c>
      <c r="F721" s="52" t="s">
        <v>120</v>
      </c>
      <c r="G721" s="18" t="s">
        <v>415</v>
      </c>
      <c r="H721" s="49" t="s">
        <v>38</v>
      </c>
      <c r="I721" s="49" t="s">
        <v>68</v>
      </c>
      <c r="J721" s="50" t="s">
        <v>47</v>
      </c>
      <c r="K721" s="15">
        <v>4.7</v>
      </c>
      <c r="L721" s="62">
        <v>670</v>
      </c>
      <c r="M721" s="53">
        <f t="shared" si="22"/>
        <v>3149</v>
      </c>
    </row>
    <row r="722" spans="1:17" x14ac:dyDescent="0.25">
      <c r="A722" s="21">
        <f>IF(C722="","",COUNTA($C$3:C722))</f>
        <v>720</v>
      </c>
      <c r="B722" s="35" t="str">
        <f t="shared" si="21"/>
        <v>July</v>
      </c>
      <c r="C722" s="33">
        <v>46210</v>
      </c>
      <c r="D722" s="15">
        <v>62000</v>
      </c>
      <c r="E722" s="60">
        <v>45473</v>
      </c>
      <c r="F722" s="52" t="s">
        <v>120</v>
      </c>
      <c r="G722" s="18" t="s">
        <v>415</v>
      </c>
      <c r="H722" s="49" t="s">
        <v>38</v>
      </c>
      <c r="I722" s="49" t="s">
        <v>69</v>
      </c>
      <c r="J722" s="50" t="s">
        <v>47</v>
      </c>
      <c r="K722" s="15">
        <v>9.6</v>
      </c>
      <c r="L722" s="62">
        <v>868</v>
      </c>
      <c r="M722" s="53">
        <f t="shared" si="22"/>
        <v>8332.7999999999993</v>
      </c>
    </row>
    <row r="723" spans="1:17" x14ac:dyDescent="0.25">
      <c r="A723" s="21">
        <f>IF(C723="","",COUNTA($C$3:C723))</f>
        <v>721</v>
      </c>
      <c r="B723" s="35" t="str">
        <f t="shared" si="21"/>
        <v>July</v>
      </c>
      <c r="C723" s="33">
        <v>46210</v>
      </c>
      <c r="D723" s="15">
        <v>62000</v>
      </c>
      <c r="E723" s="60">
        <v>45473</v>
      </c>
      <c r="F723" s="52" t="s">
        <v>120</v>
      </c>
      <c r="G723" s="18" t="s">
        <v>415</v>
      </c>
      <c r="H723" s="49" t="s">
        <v>129</v>
      </c>
      <c r="I723" s="49" t="s">
        <v>268</v>
      </c>
      <c r="J723" s="50" t="s">
        <v>47</v>
      </c>
      <c r="K723" s="15">
        <v>9.6</v>
      </c>
      <c r="L723" s="62">
        <v>383</v>
      </c>
      <c r="M723" s="53">
        <f t="shared" si="22"/>
        <v>3676.7999999999997</v>
      </c>
    </row>
    <row r="724" spans="1:17" x14ac:dyDescent="0.25">
      <c r="A724" s="21">
        <f>IF(C724="","",COUNTA($C$3:C724))</f>
        <v>722</v>
      </c>
      <c r="B724" s="35" t="str">
        <f t="shared" si="21"/>
        <v>July</v>
      </c>
      <c r="C724" s="33">
        <v>46210</v>
      </c>
      <c r="D724" s="15">
        <v>62000</v>
      </c>
      <c r="E724" s="60">
        <v>45473</v>
      </c>
      <c r="F724" s="52" t="s">
        <v>120</v>
      </c>
      <c r="G724" s="18" t="s">
        <v>415</v>
      </c>
      <c r="H724" s="49" t="s">
        <v>129</v>
      </c>
      <c r="I724" s="49" t="s">
        <v>430</v>
      </c>
      <c r="J724" s="50" t="s">
        <v>47</v>
      </c>
      <c r="K724" s="15">
        <v>4.7</v>
      </c>
      <c r="L724" s="54">
        <v>716</v>
      </c>
      <c r="M724" s="53">
        <f t="shared" si="22"/>
        <v>3365.2000000000003</v>
      </c>
    </row>
    <row r="725" spans="1:17" x14ac:dyDescent="0.25">
      <c r="A725" s="21">
        <f>IF(C725="","",COUNTA($C$3:C725))</f>
        <v>723</v>
      </c>
      <c r="B725" s="35" t="str">
        <f t="shared" ref="B725:B788" si="23">IF(C725="","",TEXT(C725,"mmmm"))</f>
        <v>July</v>
      </c>
      <c r="C725" s="33">
        <v>46210</v>
      </c>
      <c r="D725" s="15">
        <v>62000</v>
      </c>
      <c r="E725" s="60">
        <v>45473</v>
      </c>
      <c r="F725" s="52" t="s">
        <v>120</v>
      </c>
      <c r="G725" s="18" t="s">
        <v>415</v>
      </c>
      <c r="H725" s="49" t="s">
        <v>176</v>
      </c>
      <c r="I725" s="49" t="s">
        <v>268</v>
      </c>
      <c r="J725" s="50" t="s">
        <v>47</v>
      </c>
      <c r="K725" s="15">
        <v>84</v>
      </c>
      <c r="L725" s="54">
        <v>225</v>
      </c>
      <c r="M725" s="53">
        <f t="shared" ref="M725:M788" si="24">K725*L725</f>
        <v>18900</v>
      </c>
      <c r="O725" s="59"/>
      <c r="P725" s="59"/>
      <c r="Q725" s="59"/>
    </row>
    <row r="726" spans="1:17" x14ac:dyDescent="0.25">
      <c r="A726" s="21">
        <f>IF(C726="","",COUNTA($C$3:C726))</f>
        <v>724</v>
      </c>
      <c r="B726" s="35" t="str">
        <f t="shared" si="23"/>
        <v>July</v>
      </c>
      <c r="C726" s="33">
        <v>46210</v>
      </c>
      <c r="D726" s="15">
        <v>62000</v>
      </c>
      <c r="E726" s="60">
        <v>45473</v>
      </c>
      <c r="F726" s="52" t="s">
        <v>120</v>
      </c>
      <c r="G726" s="18" t="s">
        <v>415</v>
      </c>
      <c r="H726" s="49" t="s">
        <v>130</v>
      </c>
      <c r="I726" s="49" t="s">
        <v>40</v>
      </c>
      <c r="J726" s="50" t="s">
        <v>47</v>
      </c>
      <c r="K726" s="15">
        <v>20</v>
      </c>
      <c r="L726" s="62">
        <v>20</v>
      </c>
      <c r="M726" s="53">
        <f t="shared" si="24"/>
        <v>400</v>
      </c>
    </row>
    <row r="727" spans="1:17" x14ac:dyDescent="0.25">
      <c r="A727" s="21">
        <f>IF(C727="","",COUNTA($C$3:C727))</f>
        <v>725</v>
      </c>
      <c r="B727" s="35" t="str">
        <f t="shared" si="23"/>
        <v>July</v>
      </c>
      <c r="C727" s="33">
        <v>46210</v>
      </c>
      <c r="D727" s="15">
        <v>61965</v>
      </c>
      <c r="E727" s="60">
        <v>45474</v>
      </c>
      <c r="F727" s="52" t="s">
        <v>120</v>
      </c>
      <c r="G727" s="18" t="s">
        <v>134</v>
      </c>
      <c r="H727" s="49" t="s">
        <v>38</v>
      </c>
      <c r="I727" s="49" t="s">
        <v>68</v>
      </c>
      <c r="J727" s="50" t="s">
        <v>47</v>
      </c>
      <c r="K727" s="15">
        <v>286.3</v>
      </c>
      <c r="L727" s="62">
        <v>670</v>
      </c>
      <c r="M727" s="53">
        <f t="shared" si="24"/>
        <v>191821</v>
      </c>
      <c r="O727" s="59"/>
    </row>
    <row r="728" spans="1:17" x14ac:dyDescent="0.25">
      <c r="A728" s="21">
        <f>IF(C728="","",COUNTA($C$3:C728))</f>
        <v>726</v>
      </c>
      <c r="B728" s="35" t="str">
        <f t="shared" si="23"/>
        <v>July</v>
      </c>
      <c r="C728" s="33">
        <v>46210</v>
      </c>
      <c r="D728" s="15">
        <v>61965</v>
      </c>
      <c r="E728" s="60">
        <v>45474</v>
      </c>
      <c r="F728" s="52" t="s">
        <v>120</v>
      </c>
      <c r="G728" s="18" t="s">
        <v>134</v>
      </c>
      <c r="H728" s="49" t="s">
        <v>38</v>
      </c>
      <c r="I728" s="49" t="s">
        <v>69</v>
      </c>
      <c r="J728" s="50" t="s">
        <v>47</v>
      </c>
      <c r="K728" s="15">
        <v>167.7</v>
      </c>
      <c r="L728" s="62">
        <v>868</v>
      </c>
      <c r="M728" s="53">
        <f t="shared" si="24"/>
        <v>145563.59999999998</v>
      </c>
    </row>
    <row r="729" spans="1:17" x14ac:dyDescent="0.25">
      <c r="A729" s="21">
        <f>IF(C729="","",COUNTA($C$3:C729))</f>
        <v>727</v>
      </c>
      <c r="B729" s="35" t="str">
        <f t="shared" si="23"/>
        <v>July</v>
      </c>
      <c r="C729" s="33">
        <v>46210</v>
      </c>
      <c r="D729" s="15">
        <v>61965</v>
      </c>
      <c r="E729" s="60">
        <v>45474</v>
      </c>
      <c r="F729" s="52" t="s">
        <v>120</v>
      </c>
      <c r="G729" s="18" t="s">
        <v>134</v>
      </c>
      <c r="H729" s="49" t="s">
        <v>129</v>
      </c>
      <c r="I729" s="49" t="s">
        <v>140</v>
      </c>
      <c r="J729" s="50" t="s">
        <v>47</v>
      </c>
      <c r="K729" s="15">
        <v>401.6</v>
      </c>
      <c r="L729" s="62">
        <v>441</v>
      </c>
      <c r="M729" s="53">
        <f t="shared" si="24"/>
        <v>177105.6</v>
      </c>
    </row>
    <row r="730" spans="1:17" x14ac:dyDescent="0.25">
      <c r="A730" s="21">
        <f>IF(C730="","",COUNTA($C$3:C730))</f>
        <v>728</v>
      </c>
      <c r="B730" s="35" t="str">
        <f t="shared" si="23"/>
        <v>July</v>
      </c>
      <c r="C730" s="33">
        <v>46210</v>
      </c>
      <c r="D730" s="15">
        <v>61965</v>
      </c>
      <c r="E730" s="60">
        <v>45474</v>
      </c>
      <c r="F730" s="52" t="s">
        <v>120</v>
      </c>
      <c r="G730" s="18" t="s">
        <v>134</v>
      </c>
      <c r="H730" s="49" t="s">
        <v>129</v>
      </c>
      <c r="I730" s="49" t="s">
        <v>75</v>
      </c>
      <c r="J730" s="50" t="s">
        <v>47</v>
      </c>
      <c r="K730" s="15">
        <v>52.4</v>
      </c>
      <c r="L730" s="62">
        <v>838</v>
      </c>
      <c r="M730" s="53">
        <f t="shared" si="24"/>
        <v>43911.199999999997</v>
      </c>
    </row>
    <row r="731" spans="1:17" x14ac:dyDescent="0.25">
      <c r="A731" s="21">
        <f>IF(C731="","",COUNTA($C$3:C731))</f>
        <v>729</v>
      </c>
      <c r="B731" s="35" t="str">
        <f t="shared" si="23"/>
        <v>July</v>
      </c>
      <c r="C731" s="33">
        <v>46210</v>
      </c>
      <c r="D731" s="15">
        <v>61965</v>
      </c>
      <c r="E731" s="60">
        <v>45474</v>
      </c>
      <c r="F731" s="52" t="s">
        <v>120</v>
      </c>
      <c r="G731" s="18" t="s">
        <v>134</v>
      </c>
      <c r="H731" s="49" t="s">
        <v>130</v>
      </c>
      <c r="I731" s="49" t="s">
        <v>40</v>
      </c>
      <c r="J731" s="50" t="s">
        <v>47</v>
      </c>
      <c r="K731" s="15">
        <v>440</v>
      </c>
      <c r="L731" s="54">
        <v>20</v>
      </c>
      <c r="M731" s="53">
        <f t="shared" si="24"/>
        <v>8800</v>
      </c>
    </row>
    <row r="732" spans="1:17" x14ac:dyDescent="0.25">
      <c r="A732" s="21">
        <f>IF(C732="","",COUNTA($C$3:C732))</f>
        <v>730</v>
      </c>
      <c r="B732" s="35" t="str">
        <f t="shared" si="23"/>
        <v>July</v>
      </c>
      <c r="C732" s="33">
        <v>46210</v>
      </c>
      <c r="D732" s="15">
        <v>61993</v>
      </c>
      <c r="E732" s="60">
        <v>45475</v>
      </c>
      <c r="F732" s="52" t="s">
        <v>120</v>
      </c>
      <c r="G732" s="18" t="s">
        <v>382</v>
      </c>
      <c r="H732" s="49" t="s">
        <v>38</v>
      </c>
      <c r="I732" s="49" t="s">
        <v>68</v>
      </c>
      <c r="J732" s="50" t="s">
        <v>47</v>
      </c>
      <c r="K732" s="15">
        <v>16.3</v>
      </c>
      <c r="L732" s="62">
        <v>670</v>
      </c>
      <c r="M732" s="53">
        <f t="shared" si="24"/>
        <v>10921</v>
      </c>
    </row>
    <row r="733" spans="1:17" x14ac:dyDescent="0.25">
      <c r="A733" s="21">
        <f>IF(C733="","",COUNTA($C$3:C733))</f>
        <v>731</v>
      </c>
      <c r="B733" s="35" t="str">
        <f t="shared" si="23"/>
        <v>July</v>
      </c>
      <c r="C733" s="33">
        <v>46210</v>
      </c>
      <c r="D733" s="15">
        <v>61993</v>
      </c>
      <c r="E733" s="60">
        <v>45475</v>
      </c>
      <c r="F733" s="52" t="s">
        <v>120</v>
      </c>
      <c r="G733" s="18" t="s">
        <v>382</v>
      </c>
      <c r="H733" s="49" t="s">
        <v>38</v>
      </c>
      <c r="I733" s="49" t="s">
        <v>69</v>
      </c>
      <c r="J733" s="50" t="s">
        <v>47</v>
      </c>
      <c r="K733" s="15">
        <v>53.3</v>
      </c>
      <c r="L733" s="62">
        <v>868</v>
      </c>
      <c r="M733" s="53">
        <f t="shared" si="24"/>
        <v>46264.399999999994</v>
      </c>
    </row>
    <row r="734" spans="1:17" x14ac:dyDescent="0.25">
      <c r="A734" s="21">
        <f>IF(C734="","",COUNTA($C$3:C734))</f>
        <v>732</v>
      </c>
      <c r="B734" s="35" t="str">
        <f t="shared" si="23"/>
        <v>July</v>
      </c>
      <c r="C734" s="33">
        <v>46210</v>
      </c>
      <c r="D734" s="15">
        <v>61993</v>
      </c>
      <c r="E734" s="60">
        <v>45475</v>
      </c>
      <c r="F734" s="52" t="s">
        <v>120</v>
      </c>
      <c r="G734" s="18" t="s">
        <v>382</v>
      </c>
      <c r="H734" s="49" t="s">
        <v>129</v>
      </c>
      <c r="I734" s="49" t="s">
        <v>75</v>
      </c>
      <c r="J734" s="50" t="s">
        <v>47</v>
      </c>
      <c r="K734" s="15">
        <v>69.599999999999994</v>
      </c>
      <c r="L734" s="54">
        <v>906</v>
      </c>
      <c r="M734" s="53">
        <f t="shared" si="24"/>
        <v>63057.599999999991</v>
      </c>
    </row>
    <row r="735" spans="1:17" x14ac:dyDescent="0.25">
      <c r="A735" s="21">
        <f>IF(C735="","",COUNTA($C$3:C735))</f>
        <v>733</v>
      </c>
      <c r="B735" s="35" t="str">
        <f t="shared" si="23"/>
        <v>July</v>
      </c>
      <c r="C735" s="33">
        <v>46210</v>
      </c>
      <c r="D735" s="15">
        <v>62010</v>
      </c>
      <c r="E735" s="60">
        <v>45476</v>
      </c>
      <c r="F735" s="52" t="s">
        <v>120</v>
      </c>
      <c r="G735" s="18" t="s">
        <v>263</v>
      </c>
      <c r="H735" s="49" t="s">
        <v>236</v>
      </c>
      <c r="I735" s="49" t="s">
        <v>82</v>
      </c>
      <c r="J735" s="50" t="s">
        <v>47</v>
      </c>
      <c r="K735" s="15">
        <v>404.1</v>
      </c>
      <c r="L735" s="62">
        <v>35</v>
      </c>
      <c r="M735" s="53">
        <f t="shared" si="24"/>
        <v>14143.5</v>
      </c>
    </row>
    <row r="736" spans="1:17" x14ac:dyDescent="0.25">
      <c r="A736" s="21">
        <f>IF(C736="","",COUNTA($C$3:C736))</f>
        <v>734</v>
      </c>
      <c r="B736" s="35" t="str">
        <f t="shared" si="23"/>
        <v>July</v>
      </c>
      <c r="C736" s="33">
        <v>46210</v>
      </c>
      <c r="D736" s="15">
        <v>62011</v>
      </c>
      <c r="E736" s="60">
        <v>45477</v>
      </c>
      <c r="F736" s="52" t="s">
        <v>120</v>
      </c>
      <c r="G736" s="18" t="s">
        <v>173</v>
      </c>
      <c r="H736" s="49" t="s">
        <v>236</v>
      </c>
      <c r="I736" s="49" t="s">
        <v>82</v>
      </c>
      <c r="J736" s="50" t="s">
        <v>47</v>
      </c>
      <c r="K736" s="15">
        <v>950.8</v>
      </c>
      <c r="L736" s="62">
        <v>35</v>
      </c>
      <c r="M736" s="53">
        <f t="shared" si="24"/>
        <v>33278</v>
      </c>
    </row>
    <row r="737" spans="1:17" x14ac:dyDescent="0.25">
      <c r="A737" s="21">
        <f>IF(C737="","",COUNTA($C$3:C737))</f>
        <v>735</v>
      </c>
      <c r="B737" s="35" t="str">
        <f t="shared" si="23"/>
        <v>July</v>
      </c>
      <c r="C737" s="33">
        <v>46210</v>
      </c>
      <c r="D737" s="15">
        <v>62012</v>
      </c>
      <c r="E737" s="60">
        <v>45478</v>
      </c>
      <c r="F737" s="52" t="s">
        <v>120</v>
      </c>
      <c r="G737" s="18" t="s">
        <v>211</v>
      </c>
      <c r="H737" s="49" t="s">
        <v>236</v>
      </c>
      <c r="I737" s="49" t="s">
        <v>82</v>
      </c>
      <c r="J737" s="50" t="s">
        <v>47</v>
      </c>
      <c r="K737" s="15">
        <v>252.2</v>
      </c>
      <c r="L737" s="62">
        <v>35</v>
      </c>
      <c r="M737" s="53">
        <f t="shared" si="24"/>
        <v>8827</v>
      </c>
    </row>
    <row r="738" spans="1:17" x14ac:dyDescent="0.25">
      <c r="A738" s="21">
        <f>IF(C738="","",COUNTA($C$3:C738))</f>
        <v>736</v>
      </c>
      <c r="B738" s="35" t="str">
        <f t="shared" si="23"/>
        <v>July</v>
      </c>
      <c r="C738" s="33">
        <v>46210</v>
      </c>
      <c r="D738" s="15">
        <v>62013</v>
      </c>
      <c r="E738" s="60">
        <v>45479</v>
      </c>
      <c r="F738" s="52" t="s">
        <v>120</v>
      </c>
      <c r="G738" s="18" t="s">
        <v>134</v>
      </c>
      <c r="H738" s="49" t="s">
        <v>236</v>
      </c>
      <c r="I738" s="49" t="s">
        <v>82</v>
      </c>
      <c r="J738" s="50" t="s">
        <v>47</v>
      </c>
      <c r="K738" s="15">
        <v>714</v>
      </c>
      <c r="L738" s="62">
        <v>35</v>
      </c>
      <c r="M738" s="53">
        <f t="shared" si="24"/>
        <v>24990</v>
      </c>
    </row>
    <row r="739" spans="1:17" x14ac:dyDescent="0.25">
      <c r="A739" s="21">
        <f>IF(C739="","",COUNTA($C$3:C739))</f>
        <v>737</v>
      </c>
      <c r="B739" s="35" t="str">
        <f t="shared" si="23"/>
        <v>July</v>
      </c>
      <c r="C739" s="33">
        <v>46210</v>
      </c>
      <c r="D739" s="15">
        <v>62014</v>
      </c>
      <c r="E739" s="60">
        <v>45480</v>
      </c>
      <c r="F739" s="52" t="s">
        <v>120</v>
      </c>
      <c r="G739" s="18" t="s">
        <v>249</v>
      </c>
      <c r="H739" s="49" t="s">
        <v>236</v>
      </c>
      <c r="I739" s="49" t="s">
        <v>82</v>
      </c>
      <c r="J739" s="50" t="s">
        <v>47</v>
      </c>
      <c r="K739" s="15">
        <v>464.4</v>
      </c>
      <c r="L739" s="62">
        <v>35</v>
      </c>
      <c r="M739" s="53">
        <f t="shared" si="24"/>
        <v>16254</v>
      </c>
    </row>
    <row r="740" spans="1:17" x14ac:dyDescent="0.25">
      <c r="A740" s="21">
        <f>IF(C740="","",COUNTA($C$3:C740))</f>
        <v>738</v>
      </c>
      <c r="B740" s="35" t="str">
        <f t="shared" si="23"/>
        <v>July</v>
      </c>
      <c r="C740" s="33">
        <v>46210</v>
      </c>
      <c r="D740" s="15">
        <v>62015</v>
      </c>
      <c r="E740" s="60">
        <v>45481</v>
      </c>
      <c r="F740" s="52" t="s">
        <v>120</v>
      </c>
      <c r="G740" s="18" t="s">
        <v>258</v>
      </c>
      <c r="H740" s="49" t="s">
        <v>236</v>
      </c>
      <c r="I740" s="49" t="s">
        <v>82</v>
      </c>
      <c r="J740" s="50" t="s">
        <v>47</v>
      </c>
      <c r="K740" s="15">
        <v>361.6</v>
      </c>
      <c r="L740" s="62">
        <v>35</v>
      </c>
      <c r="M740" s="53">
        <f t="shared" si="24"/>
        <v>12656</v>
      </c>
      <c r="O740" s="59"/>
    </row>
    <row r="741" spans="1:17" x14ac:dyDescent="0.25">
      <c r="A741" s="21">
        <f>IF(C741="","",COUNTA($C$3:C741))</f>
        <v>739</v>
      </c>
      <c r="B741" s="35" t="str">
        <f t="shared" si="23"/>
        <v>July</v>
      </c>
      <c r="C741" s="33">
        <v>46210</v>
      </c>
      <c r="D741" s="15">
        <v>62016</v>
      </c>
      <c r="E741" s="60">
        <v>45482</v>
      </c>
      <c r="F741" s="52" t="s">
        <v>120</v>
      </c>
      <c r="G741" s="18" t="s">
        <v>270</v>
      </c>
      <c r="H741" s="49" t="s">
        <v>236</v>
      </c>
      <c r="I741" s="49" t="s">
        <v>82</v>
      </c>
      <c r="J741" s="50" t="s">
        <v>47</v>
      </c>
      <c r="K741" s="15">
        <v>853.7</v>
      </c>
      <c r="L741" s="53">
        <v>35</v>
      </c>
      <c r="M741" s="53">
        <f t="shared" si="24"/>
        <v>29879.5</v>
      </c>
    </row>
    <row r="742" spans="1:17" x14ac:dyDescent="0.25">
      <c r="A742" s="21">
        <f>IF(C742="","",COUNTA($C$3:C742))</f>
        <v>740</v>
      </c>
      <c r="B742" s="35" t="str">
        <f t="shared" si="23"/>
        <v>July</v>
      </c>
      <c r="C742" s="33">
        <v>46210</v>
      </c>
      <c r="D742" s="15">
        <v>62017</v>
      </c>
      <c r="E742" s="60">
        <v>45483</v>
      </c>
      <c r="F742" s="52" t="s">
        <v>120</v>
      </c>
      <c r="G742" s="18" t="s">
        <v>341</v>
      </c>
      <c r="H742" s="49" t="s">
        <v>236</v>
      </c>
      <c r="I742" s="49" t="s">
        <v>82</v>
      </c>
      <c r="J742" s="50" t="s">
        <v>47</v>
      </c>
      <c r="K742" s="15">
        <v>319.10000000000002</v>
      </c>
      <c r="L742" s="62">
        <v>35</v>
      </c>
      <c r="M742" s="53">
        <f t="shared" si="24"/>
        <v>11168.5</v>
      </c>
    </row>
    <row r="743" spans="1:17" x14ac:dyDescent="0.25">
      <c r="A743" s="21">
        <f>IF(C743="","",COUNTA($C$3:C743))</f>
        <v>741</v>
      </c>
      <c r="B743" s="35" t="str">
        <f t="shared" si="23"/>
        <v>July</v>
      </c>
      <c r="C743" s="33">
        <v>46210</v>
      </c>
      <c r="D743" s="15">
        <v>62018</v>
      </c>
      <c r="E743" s="60">
        <v>45484</v>
      </c>
      <c r="F743" s="52" t="s">
        <v>120</v>
      </c>
      <c r="G743" s="18" t="s">
        <v>450</v>
      </c>
      <c r="H743" s="49" t="s">
        <v>236</v>
      </c>
      <c r="I743" s="49" t="s">
        <v>82</v>
      </c>
      <c r="J743" s="50" t="s">
        <v>47</v>
      </c>
      <c r="K743" s="15">
        <v>814.5</v>
      </c>
      <c r="L743" s="62">
        <v>35</v>
      </c>
      <c r="M743" s="53">
        <f t="shared" si="24"/>
        <v>28507.5</v>
      </c>
    </row>
    <row r="744" spans="1:17" x14ac:dyDescent="0.25">
      <c r="A744" s="21">
        <f>IF(C744="","",COUNTA($C$3:C744))</f>
        <v>742</v>
      </c>
      <c r="B744" s="35" t="str">
        <f t="shared" si="23"/>
        <v>July</v>
      </c>
      <c r="C744" s="33">
        <v>46210</v>
      </c>
      <c r="D744" s="15">
        <v>62019</v>
      </c>
      <c r="E744" s="60">
        <v>45485</v>
      </c>
      <c r="F744" s="52" t="s">
        <v>120</v>
      </c>
      <c r="G744" s="18" t="s">
        <v>362</v>
      </c>
      <c r="H744" s="49" t="s">
        <v>236</v>
      </c>
      <c r="I744" s="49" t="s">
        <v>82</v>
      </c>
      <c r="J744" s="50" t="s">
        <v>47</v>
      </c>
      <c r="K744" s="15">
        <v>171.4</v>
      </c>
      <c r="L744" s="62">
        <v>35</v>
      </c>
      <c r="M744" s="53">
        <f t="shared" si="24"/>
        <v>5999</v>
      </c>
    </row>
    <row r="745" spans="1:17" x14ac:dyDescent="0.25">
      <c r="A745" s="21">
        <f>IF(C745="","",COUNTA($C$3:C745))</f>
        <v>743</v>
      </c>
      <c r="B745" s="35" t="str">
        <f t="shared" si="23"/>
        <v>July</v>
      </c>
      <c r="C745" s="33">
        <v>46210</v>
      </c>
      <c r="D745" s="15">
        <v>62020</v>
      </c>
      <c r="E745" s="60">
        <v>45486</v>
      </c>
      <c r="F745" s="52" t="s">
        <v>120</v>
      </c>
      <c r="G745" s="18" t="s">
        <v>341</v>
      </c>
      <c r="H745" s="49" t="s">
        <v>236</v>
      </c>
      <c r="I745" s="49" t="s">
        <v>82</v>
      </c>
      <c r="J745" s="50" t="s">
        <v>47</v>
      </c>
      <c r="K745" s="15">
        <v>299.3</v>
      </c>
      <c r="L745" s="62">
        <v>35</v>
      </c>
      <c r="M745" s="53">
        <f t="shared" si="24"/>
        <v>10475.5</v>
      </c>
    </row>
    <row r="746" spans="1:17" x14ac:dyDescent="0.25">
      <c r="A746" s="21">
        <f>IF(C746="","",COUNTA($C$3:C746))</f>
        <v>744</v>
      </c>
      <c r="B746" s="35" t="str">
        <f t="shared" si="23"/>
        <v>July</v>
      </c>
      <c r="C746" s="33">
        <v>46210</v>
      </c>
      <c r="D746" s="15">
        <v>62021</v>
      </c>
      <c r="E746" s="60">
        <v>45487</v>
      </c>
      <c r="F746" s="52" t="s">
        <v>120</v>
      </c>
      <c r="G746" s="18" t="s">
        <v>415</v>
      </c>
      <c r="H746" s="49" t="s">
        <v>236</v>
      </c>
      <c r="I746" s="49" t="s">
        <v>82</v>
      </c>
      <c r="J746" s="50" t="s">
        <v>47</v>
      </c>
      <c r="K746" s="15">
        <v>1637.9</v>
      </c>
      <c r="L746" s="62">
        <v>35</v>
      </c>
      <c r="M746" s="53">
        <f t="shared" si="24"/>
        <v>57326.5</v>
      </c>
    </row>
    <row r="747" spans="1:17" x14ac:dyDescent="0.25">
      <c r="A747" s="21">
        <f>IF(C747="","",COUNTA($C$3:C747))</f>
        <v>745</v>
      </c>
      <c r="B747" s="35" t="str">
        <f t="shared" si="23"/>
        <v>July</v>
      </c>
      <c r="C747" s="33">
        <v>46210</v>
      </c>
      <c r="D747" s="15">
        <v>61965</v>
      </c>
      <c r="E747" s="60">
        <v>45488</v>
      </c>
      <c r="F747" s="52" t="s">
        <v>120</v>
      </c>
      <c r="G747" s="18" t="s">
        <v>134</v>
      </c>
      <c r="H747" s="49" t="s">
        <v>38</v>
      </c>
      <c r="I747" s="49" t="s">
        <v>68</v>
      </c>
      <c r="J747" s="50" t="s">
        <v>47</v>
      </c>
      <c r="K747" s="15">
        <v>401.7</v>
      </c>
      <c r="L747" s="62">
        <v>670</v>
      </c>
      <c r="M747" s="53">
        <f t="shared" si="24"/>
        <v>269139</v>
      </c>
    </row>
    <row r="748" spans="1:17" x14ac:dyDescent="0.25">
      <c r="A748" s="21">
        <f>IF(C748="","",COUNTA($C$3:C748))</f>
        <v>746</v>
      </c>
      <c r="B748" s="35" t="str">
        <f t="shared" si="23"/>
        <v>July</v>
      </c>
      <c r="C748" s="33">
        <v>46210</v>
      </c>
      <c r="D748" s="15">
        <v>61965</v>
      </c>
      <c r="E748" s="60">
        <v>45488</v>
      </c>
      <c r="F748" s="52" t="s">
        <v>120</v>
      </c>
      <c r="G748" s="18" t="s">
        <v>134</v>
      </c>
      <c r="H748" s="49" t="s">
        <v>38</v>
      </c>
      <c r="I748" s="49" t="s">
        <v>69</v>
      </c>
      <c r="J748" s="50" t="s">
        <v>47</v>
      </c>
      <c r="K748" s="15">
        <v>30.2</v>
      </c>
      <c r="L748" s="54">
        <v>868</v>
      </c>
      <c r="M748" s="53">
        <f t="shared" si="24"/>
        <v>26213.599999999999</v>
      </c>
      <c r="O748" s="59"/>
      <c r="P748" s="59"/>
      <c r="Q748" s="59"/>
    </row>
    <row r="749" spans="1:17" x14ac:dyDescent="0.25">
      <c r="A749" s="21">
        <f>IF(C749="","",COUNTA($C$3:C749))</f>
        <v>747</v>
      </c>
      <c r="B749" s="35" t="str">
        <f t="shared" si="23"/>
        <v>July</v>
      </c>
      <c r="C749" s="33">
        <v>46210</v>
      </c>
      <c r="D749" s="15">
        <v>61965</v>
      </c>
      <c r="E749" s="60">
        <v>45488</v>
      </c>
      <c r="F749" s="52" t="s">
        <v>120</v>
      </c>
      <c r="G749" s="18" t="s">
        <v>134</v>
      </c>
      <c r="H749" s="49" t="s">
        <v>129</v>
      </c>
      <c r="I749" s="49" t="s">
        <v>140</v>
      </c>
      <c r="J749" s="50" t="s">
        <v>47</v>
      </c>
      <c r="K749" s="15">
        <v>431.9</v>
      </c>
      <c r="L749" s="62">
        <v>441</v>
      </c>
      <c r="M749" s="53">
        <f t="shared" si="24"/>
        <v>190467.9</v>
      </c>
      <c r="O749" s="59"/>
      <c r="P749" s="112"/>
      <c r="Q749" s="59"/>
    </row>
    <row r="750" spans="1:17" x14ac:dyDescent="0.25">
      <c r="A750" s="21">
        <f>IF(C750="","",COUNTA($C$3:C750))</f>
        <v>748</v>
      </c>
      <c r="B750" s="35" t="str">
        <f t="shared" si="23"/>
        <v>July</v>
      </c>
      <c r="C750" s="33">
        <v>46210</v>
      </c>
      <c r="D750" s="15">
        <v>61965</v>
      </c>
      <c r="E750" s="60">
        <v>45488</v>
      </c>
      <c r="F750" s="52" t="s">
        <v>120</v>
      </c>
      <c r="G750" s="18" t="s">
        <v>134</v>
      </c>
      <c r="H750" s="49" t="s">
        <v>130</v>
      </c>
      <c r="I750" s="49" t="s">
        <v>40</v>
      </c>
      <c r="J750" s="50" t="s">
        <v>47</v>
      </c>
      <c r="K750" s="15">
        <v>470</v>
      </c>
      <c r="L750" s="54">
        <v>20</v>
      </c>
      <c r="M750" s="53">
        <f t="shared" si="24"/>
        <v>9400</v>
      </c>
      <c r="O750" s="59"/>
    </row>
    <row r="751" spans="1:17" x14ac:dyDescent="0.25">
      <c r="A751" s="21">
        <f>IF(C751="","",COUNTA($C$3:C751))</f>
        <v>749</v>
      </c>
      <c r="B751" s="35" t="str">
        <f t="shared" si="23"/>
        <v>July</v>
      </c>
      <c r="C751" s="33">
        <v>46211</v>
      </c>
      <c r="D751" s="15">
        <v>61859</v>
      </c>
      <c r="E751" s="60">
        <v>45489</v>
      </c>
      <c r="F751" s="52" t="s">
        <v>120</v>
      </c>
      <c r="G751" s="18" t="s">
        <v>168</v>
      </c>
      <c r="H751" s="49" t="s">
        <v>139</v>
      </c>
      <c r="I751" s="49" t="s">
        <v>39</v>
      </c>
      <c r="J751" s="50" t="s">
        <v>47</v>
      </c>
      <c r="K751" s="15">
        <v>2.1</v>
      </c>
      <c r="L751" s="62">
        <v>5200</v>
      </c>
      <c r="M751" s="53">
        <f t="shared" si="24"/>
        <v>10920</v>
      </c>
      <c r="O751" s="59"/>
      <c r="P751" s="54"/>
    </row>
    <row r="752" spans="1:17" x14ac:dyDescent="0.25">
      <c r="A752" s="21">
        <f>IF(C752="","",COUNTA($C$3:C752))</f>
        <v>750</v>
      </c>
      <c r="B752" s="35" t="str">
        <f t="shared" si="23"/>
        <v>July</v>
      </c>
      <c r="C752" s="33">
        <v>46211</v>
      </c>
      <c r="D752" s="15">
        <v>61965</v>
      </c>
      <c r="E752" s="60">
        <v>45490</v>
      </c>
      <c r="F752" s="52" t="s">
        <v>120</v>
      </c>
      <c r="G752" s="18" t="s">
        <v>134</v>
      </c>
      <c r="H752" s="49" t="s">
        <v>38</v>
      </c>
      <c r="I752" s="49" t="s">
        <v>68</v>
      </c>
      <c r="J752" s="50" t="s">
        <v>47</v>
      </c>
      <c r="K752" s="15">
        <v>402</v>
      </c>
      <c r="L752" s="53">
        <v>670</v>
      </c>
      <c r="M752" s="53">
        <f t="shared" si="24"/>
        <v>269340</v>
      </c>
      <c r="O752" s="59"/>
    </row>
    <row r="753" spans="1:18" x14ac:dyDescent="0.25">
      <c r="A753" s="21">
        <f>IF(C753="","",COUNTA($C$3:C753))</f>
        <v>751</v>
      </c>
      <c r="B753" s="35" t="str">
        <f t="shared" si="23"/>
        <v>July</v>
      </c>
      <c r="C753" s="33">
        <v>46211</v>
      </c>
      <c r="D753" s="15">
        <v>61965</v>
      </c>
      <c r="E753" s="60">
        <v>45490</v>
      </c>
      <c r="F753" s="52" t="s">
        <v>120</v>
      </c>
      <c r="G753" s="18" t="s">
        <v>134</v>
      </c>
      <c r="H753" s="49" t="s">
        <v>38</v>
      </c>
      <c r="I753" s="49" t="s">
        <v>69</v>
      </c>
      <c r="J753" s="50" t="s">
        <v>47</v>
      </c>
      <c r="K753" s="15">
        <v>78.5</v>
      </c>
      <c r="L753" s="53">
        <v>868</v>
      </c>
      <c r="M753" s="53">
        <f t="shared" si="24"/>
        <v>68138</v>
      </c>
      <c r="O753" s="59"/>
    </row>
    <row r="754" spans="1:18" x14ac:dyDescent="0.25">
      <c r="A754" s="21">
        <f>IF(C754="","",COUNTA($C$3:C754))</f>
        <v>752</v>
      </c>
      <c r="B754" s="35" t="str">
        <f t="shared" si="23"/>
        <v>July</v>
      </c>
      <c r="C754" s="33">
        <v>46211</v>
      </c>
      <c r="D754" s="15">
        <v>61965</v>
      </c>
      <c r="E754" s="60">
        <v>45490</v>
      </c>
      <c r="F754" s="52" t="s">
        <v>120</v>
      </c>
      <c r="G754" s="18" t="s">
        <v>134</v>
      </c>
      <c r="H754" s="49" t="s">
        <v>271</v>
      </c>
      <c r="I754" s="49" t="s">
        <v>48</v>
      </c>
      <c r="J754" s="50" t="s">
        <v>47</v>
      </c>
      <c r="K754" s="15">
        <v>93.5</v>
      </c>
      <c r="L754" s="53">
        <v>620</v>
      </c>
      <c r="M754" s="53">
        <f t="shared" si="24"/>
        <v>57970</v>
      </c>
      <c r="O754" s="59"/>
    </row>
    <row r="755" spans="1:18" x14ac:dyDescent="0.25">
      <c r="A755" s="21">
        <f>IF(C755="","",COUNTA($C$3:C755))</f>
        <v>753</v>
      </c>
      <c r="B755" s="35" t="str">
        <f t="shared" si="23"/>
        <v>July</v>
      </c>
      <c r="C755" s="33">
        <v>46211</v>
      </c>
      <c r="D755" s="15">
        <v>61965</v>
      </c>
      <c r="E755" s="60">
        <v>45490</v>
      </c>
      <c r="F755" s="52" t="s">
        <v>120</v>
      </c>
      <c r="G755" s="18" t="s">
        <v>134</v>
      </c>
      <c r="H755" s="49" t="s">
        <v>274</v>
      </c>
      <c r="I755" s="49" t="s">
        <v>68</v>
      </c>
      <c r="J755" s="50" t="s">
        <v>70</v>
      </c>
      <c r="K755" s="15">
        <v>26</v>
      </c>
      <c r="L755" s="54">
        <v>70</v>
      </c>
      <c r="M755" s="53">
        <f t="shared" si="24"/>
        <v>1820</v>
      </c>
      <c r="O755" s="59"/>
    </row>
    <row r="756" spans="1:18" x14ac:dyDescent="0.25">
      <c r="A756" s="21">
        <f>IF(C756="","",COUNTA($C$3:C756))</f>
        <v>754</v>
      </c>
      <c r="B756" s="35" t="str">
        <f t="shared" si="23"/>
        <v>July</v>
      </c>
      <c r="C756" s="33">
        <v>46211</v>
      </c>
      <c r="D756" s="15">
        <v>61965</v>
      </c>
      <c r="E756" s="60">
        <v>45490</v>
      </c>
      <c r="F756" s="52" t="s">
        <v>120</v>
      </c>
      <c r="G756" s="18" t="s">
        <v>134</v>
      </c>
      <c r="H756" s="49" t="s">
        <v>129</v>
      </c>
      <c r="I756" s="49" t="s">
        <v>140</v>
      </c>
      <c r="J756" s="50" t="s">
        <v>47</v>
      </c>
      <c r="K756" s="15">
        <v>365.4</v>
      </c>
      <c r="L756" s="62">
        <v>441</v>
      </c>
      <c r="M756" s="53">
        <f t="shared" si="24"/>
        <v>161141.4</v>
      </c>
      <c r="O756" s="59"/>
    </row>
    <row r="757" spans="1:18" x14ac:dyDescent="0.25">
      <c r="A757" s="21">
        <f>IF(C757="","",COUNTA($C$3:C757))</f>
        <v>755</v>
      </c>
      <c r="B757" s="35" t="str">
        <f t="shared" si="23"/>
        <v>July</v>
      </c>
      <c r="C757" s="33">
        <v>46211</v>
      </c>
      <c r="D757" s="15">
        <v>61965</v>
      </c>
      <c r="E757" s="60">
        <v>45490</v>
      </c>
      <c r="F757" s="52" t="s">
        <v>120</v>
      </c>
      <c r="G757" s="18" t="s">
        <v>134</v>
      </c>
      <c r="H757" s="49" t="s">
        <v>129</v>
      </c>
      <c r="I757" s="49" t="s">
        <v>75</v>
      </c>
      <c r="J757" s="50" t="s">
        <v>47</v>
      </c>
      <c r="K757" s="15">
        <v>3.1</v>
      </c>
      <c r="L757" s="54">
        <v>838</v>
      </c>
      <c r="M757" s="53">
        <f t="shared" si="24"/>
        <v>2597.8000000000002</v>
      </c>
      <c r="O757" s="59"/>
    </row>
    <row r="758" spans="1:18" x14ac:dyDescent="0.25">
      <c r="A758" s="21">
        <f>IF(C758="","",COUNTA($C$3:C758))</f>
        <v>756</v>
      </c>
      <c r="B758" s="35" t="str">
        <f t="shared" si="23"/>
        <v>July</v>
      </c>
      <c r="C758" s="33">
        <v>46211</v>
      </c>
      <c r="D758" s="15">
        <v>61965</v>
      </c>
      <c r="E758" s="60">
        <v>45490</v>
      </c>
      <c r="F758" s="52" t="s">
        <v>120</v>
      </c>
      <c r="G758" s="18" t="s">
        <v>134</v>
      </c>
      <c r="H758" s="49" t="s">
        <v>130</v>
      </c>
      <c r="I758" s="49" t="s">
        <v>40</v>
      </c>
      <c r="J758" s="50" t="s">
        <v>47</v>
      </c>
      <c r="K758" s="15">
        <v>400</v>
      </c>
      <c r="L758" s="62">
        <v>20</v>
      </c>
      <c r="M758" s="53">
        <f t="shared" si="24"/>
        <v>8000</v>
      </c>
    </row>
    <row r="759" spans="1:18" x14ac:dyDescent="0.25">
      <c r="A759" s="21">
        <f>IF(C759="","",COUNTA($C$3:C759))</f>
        <v>757</v>
      </c>
      <c r="B759" s="35" t="str">
        <f t="shared" si="23"/>
        <v>July</v>
      </c>
      <c r="C759" s="33">
        <v>46211</v>
      </c>
      <c r="D759" s="15">
        <v>61967</v>
      </c>
      <c r="E759" s="60">
        <v>45491</v>
      </c>
      <c r="F759" s="52" t="s">
        <v>120</v>
      </c>
      <c r="G759" s="18" t="s">
        <v>263</v>
      </c>
      <c r="H759" s="49" t="s">
        <v>38</v>
      </c>
      <c r="I759" s="49" t="s">
        <v>68</v>
      </c>
      <c r="J759" s="50" t="s">
        <v>47</v>
      </c>
      <c r="K759" s="15">
        <v>391.9</v>
      </c>
      <c r="L759" s="62">
        <v>670</v>
      </c>
      <c r="M759" s="53">
        <f t="shared" si="24"/>
        <v>262573</v>
      </c>
      <c r="R759" s="54"/>
    </row>
    <row r="760" spans="1:18" x14ac:dyDescent="0.25">
      <c r="A760" s="21">
        <f>IF(C760="","",COUNTA($C$3:C760))</f>
        <v>758</v>
      </c>
      <c r="B760" s="35" t="str">
        <f t="shared" si="23"/>
        <v>July</v>
      </c>
      <c r="C760" s="33">
        <v>46211</v>
      </c>
      <c r="D760" s="15">
        <v>61967</v>
      </c>
      <c r="E760" s="60">
        <v>45491</v>
      </c>
      <c r="F760" s="52" t="s">
        <v>120</v>
      </c>
      <c r="G760" s="18" t="s">
        <v>263</v>
      </c>
      <c r="H760" s="49" t="s">
        <v>38</v>
      </c>
      <c r="I760" s="49" t="s">
        <v>69</v>
      </c>
      <c r="J760" s="50" t="s">
        <v>47</v>
      </c>
      <c r="K760" s="15">
        <v>193.8</v>
      </c>
      <c r="L760" s="62">
        <v>868</v>
      </c>
      <c r="M760" s="53">
        <f t="shared" si="24"/>
        <v>168218.40000000002</v>
      </c>
    </row>
    <row r="761" spans="1:18" x14ac:dyDescent="0.25">
      <c r="A761" s="21">
        <f>IF(C761="","",COUNTA($C$3:C761))</f>
        <v>759</v>
      </c>
      <c r="B761" s="35" t="str">
        <f t="shared" si="23"/>
        <v>July</v>
      </c>
      <c r="C761" s="33">
        <v>46211</v>
      </c>
      <c r="D761" s="15">
        <v>61967</v>
      </c>
      <c r="E761" s="60">
        <v>45491</v>
      </c>
      <c r="F761" s="52" t="s">
        <v>120</v>
      </c>
      <c r="G761" s="18" t="s">
        <v>263</v>
      </c>
      <c r="H761" s="49" t="s">
        <v>38</v>
      </c>
      <c r="I761" s="49" t="s">
        <v>39</v>
      </c>
      <c r="J761" s="50" t="s">
        <v>47</v>
      </c>
      <c r="K761" s="15">
        <v>34.6</v>
      </c>
      <c r="L761" s="62">
        <v>1060</v>
      </c>
      <c r="M761" s="53">
        <f t="shared" si="24"/>
        <v>36676</v>
      </c>
    </row>
    <row r="762" spans="1:18" x14ac:dyDescent="0.25">
      <c r="A762" s="21">
        <f>IF(C762="","",COUNTA($C$3:C762))</f>
        <v>760</v>
      </c>
      <c r="B762" s="35" t="str">
        <f t="shared" si="23"/>
        <v>July</v>
      </c>
      <c r="C762" s="33">
        <v>46211</v>
      </c>
      <c r="D762" s="15">
        <v>61967</v>
      </c>
      <c r="E762" s="60">
        <v>45491</v>
      </c>
      <c r="F762" s="52" t="s">
        <v>120</v>
      </c>
      <c r="G762" s="18" t="s">
        <v>263</v>
      </c>
      <c r="H762" s="49" t="s">
        <v>129</v>
      </c>
      <c r="I762" s="49" t="s">
        <v>268</v>
      </c>
      <c r="J762" s="50" t="s">
        <v>47</v>
      </c>
      <c r="K762" s="15">
        <v>620.29999999999995</v>
      </c>
      <c r="L762" s="62">
        <v>415</v>
      </c>
      <c r="M762" s="53">
        <f t="shared" si="24"/>
        <v>257424.49999999997</v>
      </c>
    </row>
    <row r="763" spans="1:18" x14ac:dyDescent="0.25">
      <c r="A763" s="21">
        <f>IF(C763="","",COUNTA($C$3:C763))</f>
        <v>761</v>
      </c>
      <c r="B763" s="35" t="str">
        <f t="shared" si="23"/>
        <v>July</v>
      </c>
      <c r="C763" s="33">
        <v>46211</v>
      </c>
      <c r="D763" s="15">
        <v>61967</v>
      </c>
      <c r="E763" s="60">
        <v>45491</v>
      </c>
      <c r="F763" s="52" t="s">
        <v>120</v>
      </c>
      <c r="G763" s="18" t="s">
        <v>263</v>
      </c>
      <c r="H763" s="49" t="s">
        <v>130</v>
      </c>
      <c r="I763" s="49" t="s">
        <v>40</v>
      </c>
      <c r="J763" s="50" t="s">
        <v>47</v>
      </c>
      <c r="K763" s="15">
        <v>630</v>
      </c>
      <c r="L763" s="62">
        <v>20</v>
      </c>
      <c r="M763" s="53">
        <f t="shared" si="24"/>
        <v>12600</v>
      </c>
    </row>
    <row r="764" spans="1:18" x14ac:dyDescent="0.25">
      <c r="A764" s="21">
        <f>IF(C764="","",COUNTA($C$3:C764))</f>
        <v>762</v>
      </c>
      <c r="B764" s="35" t="str">
        <f t="shared" si="23"/>
        <v>July</v>
      </c>
      <c r="C764" s="33">
        <v>46212</v>
      </c>
      <c r="D764" s="15">
        <v>61965</v>
      </c>
      <c r="E764" s="60">
        <v>45492</v>
      </c>
      <c r="F764" s="52" t="s">
        <v>120</v>
      </c>
      <c r="G764" s="18" t="s">
        <v>134</v>
      </c>
      <c r="H764" s="49" t="s">
        <v>38</v>
      </c>
      <c r="I764" s="49" t="s">
        <v>68</v>
      </c>
      <c r="J764" s="50" t="s">
        <v>47</v>
      </c>
      <c r="K764" s="15">
        <v>32.200000000000003</v>
      </c>
      <c r="L764" s="62">
        <v>670</v>
      </c>
      <c r="M764" s="53">
        <f t="shared" si="24"/>
        <v>21574.000000000004</v>
      </c>
    </row>
    <row r="765" spans="1:18" x14ac:dyDescent="0.25">
      <c r="A765" s="21">
        <f>IF(C765="","",COUNTA($C$3:C765))</f>
        <v>763</v>
      </c>
      <c r="B765" s="35" t="str">
        <f t="shared" si="23"/>
        <v>July</v>
      </c>
      <c r="C765" s="33">
        <v>46212</v>
      </c>
      <c r="D765" s="15">
        <v>61965</v>
      </c>
      <c r="E765" s="60">
        <v>45492</v>
      </c>
      <c r="F765" s="52" t="s">
        <v>120</v>
      </c>
      <c r="G765" s="18" t="s">
        <v>134</v>
      </c>
      <c r="H765" s="49" t="s">
        <v>38</v>
      </c>
      <c r="I765" s="49" t="s">
        <v>69</v>
      </c>
      <c r="J765" s="50" t="s">
        <v>47</v>
      </c>
      <c r="K765" s="15">
        <v>15.8</v>
      </c>
      <c r="L765" s="62">
        <v>868</v>
      </c>
      <c r="M765" s="53">
        <f t="shared" si="24"/>
        <v>13714.400000000001</v>
      </c>
      <c r="O765" s="59"/>
    </row>
    <row r="766" spans="1:18" x14ac:dyDescent="0.25">
      <c r="A766" s="21">
        <f>IF(C766="","",COUNTA($C$3:C766))</f>
        <v>764</v>
      </c>
      <c r="B766" s="35" t="str">
        <f t="shared" si="23"/>
        <v>July</v>
      </c>
      <c r="C766" s="33">
        <v>46212</v>
      </c>
      <c r="D766" s="15">
        <v>61965</v>
      </c>
      <c r="E766" s="60">
        <v>45492</v>
      </c>
      <c r="F766" s="52" t="s">
        <v>120</v>
      </c>
      <c r="G766" s="18" t="s">
        <v>134</v>
      </c>
      <c r="H766" s="49" t="s">
        <v>129</v>
      </c>
      <c r="I766" s="49" t="s">
        <v>140</v>
      </c>
      <c r="J766" s="50" t="s">
        <v>47</v>
      </c>
      <c r="K766" s="15">
        <v>34.700000000000003</v>
      </c>
      <c r="L766" s="62">
        <v>441</v>
      </c>
      <c r="M766" s="53">
        <f t="shared" si="24"/>
        <v>15302.7</v>
      </c>
      <c r="O766" s="59"/>
    </row>
    <row r="767" spans="1:18" x14ac:dyDescent="0.25">
      <c r="A767" s="21">
        <f>IF(C767="","",COUNTA($C$3:C767))</f>
        <v>765</v>
      </c>
      <c r="B767" s="35" t="str">
        <f t="shared" si="23"/>
        <v>July</v>
      </c>
      <c r="C767" s="33">
        <v>46212</v>
      </c>
      <c r="D767" s="15">
        <v>61965</v>
      </c>
      <c r="E767" s="60">
        <v>45492</v>
      </c>
      <c r="F767" s="52" t="s">
        <v>120</v>
      </c>
      <c r="G767" s="18" t="s">
        <v>134</v>
      </c>
      <c r="H767" s="49" t="s">
        <v>129</v>
      </c>
      <c r="I767" s="49" t="s">
        <v>75</v>
      </c>
      <c r="J767" s="50" t="s">
        <v>47</v>
      </c>
      <c r="K767" s="15">
        <v>3.8</v>
      </c>
      <c r="L767" s="54">
        <v>838</v>
      </c>
      <c r="M767" s="53">
        <f t="shared" si="24"/>
        <v>3184.3999999999996</v>
      </c>
    </row>
    <row r="768" spans="1:18" x14ac:dyDescent="0.25">
      <c r="A768" s="21">
        <f>IF(C768="","",COUNTA($C$3:C768))</f>
        <v>766</v>
      </c>
      <c r="B768" s="35" t="str">
        <f t="shared" si="23"/>
        <v>July</v>
      </c>
      <c r="C768" s="33">
        <v>46212</v>
      </c>
      <c r="D768" s="15">
        <v>61965</v>
      </c>
      <c r="E768" s="60">
        <v>45492</v>
      </c>
      <c r="F768" s="52" t="s">
        <v>120</v>
      </c>
      <c r="G768" s="18" t="s">
        <v>134</v>
      </c>
      <c r="H768" s="49" t="s">
        <v>130</v>
      </c>
      <c r="I768" s="49" t="s">
        <v>40</v>
      </c>
      <c r="J768" s="50" t="s">
        <v>47</v>
      </c>
      <c r="K768" s="15">
        <v>50</v>
      </c>
      <c r="L768" s="62">
        <v>20</v>
      </c>
      <c r="M768" s="53">
        <f t="shared" si="24"/>
        <v>1000</v>
      </c>
    </row>
    <row r="769" spans="1:15" x14ac:dyDescent="0.25">
      <c r="A769" s="21">
        <f>IF(C769="","",COUNTA($C$3:C769))</f>
        <v>767</v>
      </c>
      <c r="B769" s="35" t="str">
        <f t="shared" si="23"/>
        <v>July</v>
      </c>
      <c r="C769" s="33">
        <v>46212</v>
      </c>
      <c r="D769" s="15">
        <v>62024</v>
      </c>
      <c r="E769" s="60">
        <v>45493</v>
      </c>
      <c r="F769" s="52" t="s">
        <v>120</v>
      </c>
      <c r="G769" s="18" t="s">
        <v>460</v>
      </c>
      <c r="H769" s="49" t="s">
        <v>38</v>
      </c>
      <c r="I769" s="49" t="s">
        <v>68</v>
      </c>
      <c r="J769" s="50" t="s">
        <v>47</v>
      </c>
      <c r="K769" s="15">
        <v>105</v>
      </c>
      <c r="L769" s="62">
        <v>670</v>
      </c>
      <c r="M769" s="53">
        <f t="shared" si="24"/>
        <v>70350</v>
      </c>
    </row>
    <row r="770" spans="1:15" x14ac:dyDescent="0.25">
      <c r="A770" s="21">
        <f>IF(C770="","",COUNTA($C$3:C770))</f>
        <v>768</v>
      </c>
      <c r="B770" s="35" t="str">
        <f t="shared" si="23"/>
        <v>July</v>
      </c>
      <c r="C770" s="33">
        <v>46212</v>
      </c>
      <c r="D770" s="15">
        <v>62024</v>
      </c>
      <c r="E770" s="60">
        <v>45493</v>
      </c>
      <c r="F770" s="52" t="s">
        <v>120</v>
      </c>
      <c r="G770" s="18" t="s">
        <v>460</v>
      </c>
      <c r="H770" s="49" t="s">
        <v>38</v>
      </c>
      <c r="I770" s="49" t="s">
        <v>69</v>
      </c>
      <c r="J770" s="50" t="s">
        <v>47</v>
      </c>
      <c r="K770" s="15">
        <v>84.1</v>
      </c>
      <c r="L770" s="62">
        <v>868</v>
      </c>
      <c r="M770" s="53">
        <f t="shared" si="24"/>
        <v>72998.799999999988</v>
      </c>
    </row>
    <row r="771" spans="1:15" x14ac:dyDescent="0.25">
      <c r="A771" s="21">
        <f>IF(C771="","",COUNTA($C$3:C771))</f>
        <v>769</v>
      </c>
      <c r="B771" s="35" t="str">
        <f t="shared" si="23"/>
        <v>July</v>
      </c>
      <c r="C771" s="33">
        <v>46212</v>
      </c>
      <c r="D771" s="15">
        <v>62024</v>
      </c>
      <c r="E771" s="60">
        <v>45493</v>
      </c>
      <c r="F771" s="52" t="s">
        <v>120</v>
      </c>
      <c r="G771" s="18" t="s">
        <v>460</v>
      </c>
      <c r="H771" s="49" t="s">
        <v>271</v>
      </c>
      <c r="I771" s="49" t="s">
        <v>48</v>
      </c>
      <c r="J771" s="50" t="s">
        <v>47</v>
      </c>
      <c r="K771" s="15">
        <v>16.100000000000001</v>
      </c>
      <c r="L771" s="62">
        <v>620</v>
      </c>
      <c r="M771" s="53">
        <f t="shared" si="24"/>
        <v>9982</v>
      </c>
    </row>
    <row r="772" spans="1:15" x14ac:dyDescent="0.25">
      <c r="A772" s="21">
        <f>IF(C772="","",COUNTA($C$3:C772))</f>
        <v>770</v>
      </c>
      <c r="B772" s="35" t="str">
        <f t="shared" si="23"/>
        <v>July</v>
      </c>
      <c r="C772" s="33">
        <v>46212</v>
      </c>
      <c r="D772" s="15">
        <v>62024</v>
      </c>
      <c r="E772" s="60">
        <v>45493</v>
      </c>
      <c r="F772" s="52" t="s">
        <v>120</v>
      </c>
      <c r="G772" s="18" t="s">
        <v>460</v>
      </c>
      <c r="H772" s="49" t="s">
        <v>147</v>
      </c>
      <c r="I772" s="49" t="s">
        <v>49</v>
      </c>
      <c r="J772" s="50" t="s">
        <v>47</v>
      </c>
      <c r="K772" s="15">
        <v>0.7</v>
      </c>
      <c r="L772" s="54">
        <v>770</v>
      </c>
      <c r="M772" s="53">
        <f t="shared" si="24"/>
        <v>539</v>
      </c>
    </row>
    <row r="773" spans="1:15" x14ac:dyDescent="0.25">
      <c r="A773" s="21">
        <f>IF(C773="","",COUNTA($C$3:C773))</f>
        <v>771</v>
      </c>
      <c r="B773" s="35" t="str">
        <f t="shared" si="23"/>
        <v>July</v>
      </c>
      <c r="C773" s="33">
        <v>46212</v>
      </c>
      <c r="D773" s="15">
        <v>62024</v>
      </c>
      <c r="E773" s="60">
        <v>45493</v>
      </c>
      <c r="F773" s="52" t="s">
        <v>120</v>
      </c>
      <c r="G773" s="18" t="s">
        <v>460</v>
      </c>
      <c r="H773" s="49" t="s">
        <v>139</v>
      </c>
      <c r="I773" s="49" t="s">
        <v>39</v>
      </c>
      <c r="J773" s="50" t="s">
        <v>47</v>
      </c>
      <c r="K773" s="15">
        <v>2.5</v>
      </c>
      <c r="L773" s="62">
        <v>5200</v>
      </c>
      <c r="M773" s="53">
        <f t="shared" si="24"/>
        <v>13000</v>
      </c>
    </row>
    <row r="774" spans="1:15" x14ac:dyDescent="0.25">
      <c r="A774" s="21">
        <f>IF(C774="","",COUNTA($C$3:C774))</f>
        <v>772</v>
      </c>
      <c r="B774" s="35" t="str">
        <f t="shared" si="23"/>
        <v>July</v>
      </c>
      <c r="C774" s="33">
        <v>46212</v>
      </c>
      <c r="D774" s="15">
        <v>62024</v>
      </c>
      <c r="E774" s="60">
        <v>45493</v>
      </c>
      <c r="F774" s="52" t="s">
        <v>120</v>
      </c>
      <c r="G774" s="18" t="s">
        <v>460</v>
      </c>
      <c r="H774" s="49" t="s">
        <v>129</v>
      </c>
      <c r="I774" s="49" t="s">
        <v>80</v>
      </c>
      <c r="J774" s="50" t="s">
        <v>47</v>
      </c>
      <c r="K774" s="55">
        <v>51.2</v>
      </c>
      <c r="L774" s="53">
        <v>365</v>
      </c>
      <c r="M774" s="53">
        <f t="shared" si="24"/>
        <v>18688</v>
      </c>
      <c r="O774" s="59"/>
    </row>
    <row r="775" spans="1:15" x14ac:dyDescent="0.25">
      <c r="A775" s="21">
        <f>IF(C775="","",COUNTA($C$3:C775))</f>
        <v>773</v>
      </c>
      <c r="B775" s="35" t="str">
        <f t="shared" si="23"/>
        <v>July</v>
      </c>
      <c r="C775" s="33">
        <v>46212</v>
      </c>
      <c r="D775" s="15">
        <v>62024</v>
      </c>
      <c r="E775" s="60">
        <v>45493</v>
      </c>
      <c r="F775" s="52" t="s">
        <v>120</v>
      </c>
      <c r="G775" s="18" t="s">
        <v>460</v>
      </c>
      <c r="H775" s="49" t="s">
        <v>129</v>
      </c>
      <c r="I775" s="49" t="s">
        <v>75</v>
      </c>
      <c r="J775" s="50" t="s">
        <v>47</v>
      </c>
      <c r="K775" s="15">
        <v>4.4000000000000004</v>
      </c>
      <c r="L775" s="54">
        <v>906</v>
      </c>
      <c r="M775" s="53">
        <f t="shared" si="24"/>
        <v>3986.4000000000005</v>
      </c>
    </row>
    <row r="776" spans="1:15" x14ac:dyDescent="0.25">
      <c r="A776" s="21">
        <f>IF(C776="","",COUNTA($C$3:C776))</f>
        <v>774</v>
      </c>
      <c r="B776" s="35" t="str">
        <f t="shared" si="23"/>
        <v>July</v>
      </c>
      <c r="C776" s="33">
        <v>46212</v>
      </c>
      <c r="D776" s="15">
        <v>62024</v>
      </c>
      <c r="E776" s="60">
        <v>45493</v>
      </c>
      <c r="F776" s="52" t="s">
        <v>120</v>
      </c>
      <c r="G776" s="18" t="s">
        <v>460</v>
      </c>
      <c r="H776" s="49" t="s">
        <v>176</v>
      </c>
      <c r="I776" s="76" t="s">
        <v>76</v>
      </c>
      <c r="J776" s="50" t="s">
        <v>70</v>
      </c>
      <c r="K776" s="15">
        <v>15</v>
      </c>
      <c r="L776" s="62">
        <v>154</v>
      </c>
      <c r="M776" s="53">
        <f t="shared" si="24"/>
        <v>2310</v>
      </c>
    </row>
    <row r="777" spans="1:15" x14ac:dyDescent="0.25">
      <c r="A777" s="21">
        <f>IF(C777="","",COUNTA($C$3:C777))</f>
        <v>775</v>
      </c>
      <c r="B777" s="35" t="str">
        <f t="shared" si="23"/>
        <v>July</v>
      </c>
      <c r="C777" s="33">
        <v>46212</v>
      </c>
      <c r="D777" s="15">
        <v>62024</v>
      </c>
      <c r="E777" s="60">
        <v>45493</v>
      </c>
      <c r="F777" s="52" t="s">
        <v>120</v>
      </c>
      <c r="G777" s="18" t="s">
        <v>460</v>
      </c>
      <c r="H777" s="49" t="s">
        <v>130</v>
      </c>
      <c r="I777" s="49" t="s">
        <v>40</v>
      </c>
      <c r="J777" s="50" t="s">
        <v>47</v>
      </c>
      <c r="K777" s="15">
        <v>75</v>
      </c>
      <c r="L777" s="62">
        <v>20</v>
      </c>
      <c r="M777" s="53">
        <f t="shared" si="24"/>
        <v>1500</v>
      </c>
    </row>
    <row r="778" spans="1:15" x14ac:dyDescent="0.25">
      <c r="A778" s="21">
        <f>IF(C778="","",COUNTA($C$3:C778))</f>
        <v>776</v>
      </c>
      <c r="B778" s="35" t="str">
        <f t="shared" si="23"/>
        <v>July</v>
      </c>
      <c r="C778" s="33">
        <v>46213</v>
      </c>
      <c r="D778" s="15">
        <v>61997</v>
      </c>
      <c r="E778" s="60">
        <v>45494</v>
      </c>
      <c r="F778" s="52" t="s">
        <v>120</v>
      </c>
      <c r="G778" s="18" t="s">
        <v>173</v>
      </c>
      <c r="H778" s="49" t="s">
        <v>38</v>
      </c>
      <c r="I778" s="49" t="s">
        <v>68</v>
      </c>
      <c r="J778" s="50" t="s">
        <v>47</v>
      </c>
      <c r="K778" s="15">
        <v>826.2</v>
      </c>
      <c r="L778" s="62">
        <v>670</v>
      </c>
      <c r="M778" s="53">
        <f t="shared" si="24"/>
        <v>553554</v>
      </c>
    </row>
    <row r="779" spans="1:15" x14ac:dyDescent="0.25">
      <c r="A779" s="21">
        <f>IF(C779="","",COUNTA($C$3:C779))</f>
        <v>777</v>
      </c>
      <c r="B779" s="35" t="str">
        <f t="shared" si="23"/>
        <v>July</v>
      </c>
      <c r="C779" s="33">
        <v>46213</v>
      </c>
      <c r="D779" s="15">
        <v>61997</v>
      </c>
      <c r="E779" s="60">
        <v>45494</v>
      </c>
      <c r="F779" s="52" t="s">
        <v>120</v>
      </c>
      <c r="G779" s="18" t="s">
        <v>173</v>
      </c>
      <c r="H779" s="49" t="s">
        <v>280</v>
      </c>
      <c r="I779" s="49" t="s">
        <v>49</v>
      </c>
      <c r="J779" s="50" t="s">
        <v>47</v>
      </c>
      <c r="K779" s="15">
        <v>8.3000000000000007</v>
      </c>
      <c r="L779" s="54">
        <v>770</v>
      </c>
      <c r="M779" s="53">
        <f t="shared" si="24"/>
        <v>6391.0000000000009</v>
      </c>
    </row>
    <row r="780" spans="1:15" x14ac:dyDescent="0.25">
      <c r="A780" s="21">
        <f>IF(C780="","",COUNTA($C$3:C780))</f>
        <v>778</v>
      </c>
      <c r="B780" s="35" t="str">
        <f t="shared" si="23"/>
        <v>July</v>
      </c>
      <c r="C780" s="33">
        <v>46213</v>
      </c>
      <c r="D780" s="15">
        <v>61997</v>
      </c>
      <c r="E780" s="60">
        <v>45494</v>
      </c>
      <c r="F780" s="52" t="s">
        <v>120</v>
      </c>
      <c r="G780" s="18" t="s">
        <v>173</v>
      </c>
      <c r="H780" s="49" t="s">
        <v>274</v>
      </c>
      <c r="I780" s="49" t="s">
        <v>68</v>
      </c>
      <c r="J780" s="50" t="s">
        <v>70</v>
      </c>
      <c r="K780" s="15">
        <v>76</v>
      </c>
      <c r="L780" s="62">
        <v>75</v>
      </c>
      <c r="M780" s="53">
        <f t="shared" si="24"/>
        <v>5700</v>
      </c>
    </row>
    <row r="781" spans="1:15" x14ac:dyDescent="0.25">
      <c r="A781" s="21">
        <f>IF(C781="","",COUNTA($C$3:C781))</f>
        <v>779</v>
      </c>
      <c r="B781" s="35" t="str">
        <f t="shared" si="23"/>
        <v>July</v>
      </c>
      <c r="C781" s="33">
        <v>46213</v>
      </c>
      <c r="D781" s="15">
        <v>61997</v>
      </c>
      <c r="E781" s="60">
        <v>45494</v>
      </c>
      <c r="F781" s="52" t="s">
        <v>120</v>
      </c>
      <c r="G781" s="18" t="s">
        <v>173</v>
      </c>
      <c r="H781" s="49" t="s">
        <v>129</v>
      </c>
      <c r="I781" s="49" t="s">
        <v>295</v>
      </c>
      <c r="J781" s="50" t="s">
        <v>47</v>
      </c>
      <c r="K781" s="15">
        <v>580.79999999999995</v>
      </c>
      <c r="L781" s="54">
        <v>507</v>
      </c>
      <c r="M781" s="53">
        <f t="shared" si="24"/>
        <v>294465.59999999998</v>
      </c>
    </row>
    <row r="782" spans="1:15" x14ac:dyDescent="0.25">
      <c r="A782" s="21">
        <f>IF(C782="","",COUNTA($C$3:C782))</f>
        <v>780</v>
      </c>
      <c r="B782" s="35" t="str">
        <f t="shared" si="23"/>
        <v>July</v>
      </c>
      <c r="C782" s="33">
        <v>46213</v>
      </c>
      <c r="D782" s="15">
        <v>61997</v>
      </c>
      <c r="E782" s="60">
        <v>45494</v>
      </c>
      <c r="F782" s="52" t="s">
        <v>120</v>
      </c>
      <c r="G782" s="18" t="s">
        <v>173</v>
      </c>
      <c r="H782" s="49" t="s">
        <v>129</v>
      </c>
      <c r="I782" s="49" t="s">
        <v>75</v>
      </c>
      <c r="J782" s="50" t="s">
        <v>47</v>
      </c>
      <c r="K782" s="15">
        <v>26.4</v>
      </c>
      <c r="L782" s="54">
        <v>865</v>
      </c>
      <c r="M782" s="53">
        <f t="shared" si="24"/>
        <v>22836</v>
      </c>
    </row>
    <row r="783" spans="1:15" x14ac:dyDescent="0.25">
      <c r="A783" s="21">
        <f>IF(C783="","",COUNTA($C$3:C783))</f>
        <v>781</v>
      </c>
      <c r="B783" s="35" t="str">
        <f t="shared" si="23"/>
        <v>July</v>
      </c>
      <c r="C783" s="33">
        <v>46213</v>
      </c>
      <c r="D783" s="15">
        <v>61997</v>
      </c>
      <c r="E783" s="60">
        <v>45494</v>
      </c>
      <c r="F783" s="52" t="s">
        <v>120</v>
      </c>
      <c r="G783" s="18" t="s">
        <v>173</v>
      </c>
      <c r="H783" s="49" t="s">
        <v>176</v>
      </c>
      <c r="I783" s="49" t="s">
        <v>295</v>
      </c>
      <c r="J783" s="50" t="s">
        <v>47</v>
      </c>
      <c r="K783" s="15">
        <v>100.8</v>
      </c>
      <c r="L783" s="53">
        <v>360</v>
      </c>
      <c r="M783" s="53">
        <f t="shared" si="24"/>
        <v>36288</v>
      </c>
    </row>
    <row r="784" spans="1:15" x14ac:dyDescent="0.25">
      <c r="A784" s="21">
        <f>IF(C784="","",COUNTA($C$3:C784))</f>
        <v>782</v>
      </c>
      <c r="B784" s="35" t="str">
        <f t="shared" si="23"/>
        <v>July</v>
      </c>
      <c r="C784" s="33">
        <v>46213</v>
      </c>
      <c r="D784" s="15">
        <v>61997</v>
      </c>
      <c r="E784" s="60">
        <v>45494</v>
      </c>
      <c r="F784" s="52" t="s">
        <v>120</v>
      </c>
      <c r="G784" s="18" t="s">
        <v>173</v>
      </c>
      <c r="H784" s="49" t="s">
        <v>130</v>
      </c>
      <c r="I784" s="49" t="s">
        <v>40</v>
      </c>
      <c r="J784" s="50" t="s">
        <v>47</v>
      </c>
      <c r="K784" s="15">
        <v>630</v>
      </c>
      <c r="L784" s="62">
        <v>20</v>
      </c>
      <c r="M784" s="53">
        <f t="shared" si="24"/>
        <v>12600</v>
      </c>
    </row>
    <row r="785" spans="1:17" x14ac:dyDescent="0.25">
      <c r="A785" s="21">
        <f>IF(C785="","",COUNTA($C$3:C785))</f>
        <v>783</v>
      </c>
      <c r="B785" s="35" t="str">
        <f t="shared" si="23"/>
        <v>July</v>
      </c>
      <c r="C785" s="33">
        <v>46214</v>
      </c>
      <c r="D785" s="15">
        <v>62008</v>
      </c>
      <c r="E785" s="60">
        <v>45495</v>
      </c>
      <c r="F785" s="52" t="s">
        <v>120</v>
      </c>
      <c r="G785" s="18" t="s">
        <v>222</v>
      </c>
      <c r="H785" s="49" t="s">
        <v>224</v>
      </c>
      <c r="I785" s="49" t="s">
        <v>89</v>
      </c>
      <c r="J785" s="50" t="s">
        <v>47</v>
      </c>
      <c r="K785" s="15">
        <v>217.9</v>
      </c>
      <c r="L785" s="54">
        <v>545</v>
      </c>
      <c r="M785" s="53">
        <f t="shared" si="24"/>
        <v>118755.5</v>
      </c>
    </row>
    <row r="786" spans="1:17" x14ac:dyDescent="0.25">
      <c r="A786" s="21">
        <f>IF(C786="","",COUNTA($C$3:C786))</f>
        <v>784</v>
      </c>
      <c r="B786" s="35" t="str">
        <f t="shared" si="23"/>
        <v>July</v>
      </c>
      <c r="C786" s="33">
        <v>46214</v>
      </c>
      <c r="D786" s="15">
        <v>62008</v>
      </c>
      <c r="E786" s="60">
        <v>45495</v>
      </c>
      <c r="F786" s="52" t="s">
        <v>120</v>
      </c>
      <c r="G786" s="18" t="s">
        <v>222</v>
      </c>
      <c r="H786" s="49" t="s">
        <v>224</v>
      </c>
      <c r="I786" s="49" t="s">
        <v>68</v>
      </c>
      <c r="J786" s="50" t="s">
        <v>47</v>
      </c>
      <c r="K786" s="15">
        <v>3</v>
      </c>
      <c r="L786" s="54">
        <v>645</v>
      </c>
      <c r="M786" s="53">
        <f t="shared" si="24"/>
        <v>1935</v>
      </c>
    </row>
    <row r="787" spans="1:17" x14ac:dyDescent="0.25">
      <c r="A787" s="21">
        <f>IF(C787="","",COUNTA($C$3:C787))</f>
        <v>785</v>
      </c>
      <c r="B787" s="35" t="str">
        <f t="shared" si="23"/>
        <v>July</v>
      </c>
      <c r="C787" s="33">
        <v>46214</v>
      </c>
      <c r="D787" s="15">
        <v>61993</v>
      </c>
      <c r="E787" s="60">
        <v>45496</v>
      </c>
      <c r="F787" s="52" t="s">
        <v>120</v>
      </c>
      <c r="G787" s="18" t="s">
        <v>382</v>
      </c>
      <c r="H787" s="49" t="s">
        <v>38</v>
      </c>
      <c r="I787" s="49" t="s">
        <v>68</v>
      </c>
      <c r="J787" s="50" t="s">
        <v>47</v>
      </c>
      <c r="K787" s="15">
        <v>5.9</v>
      </c>
      <c r="L787" s="62">
        <v>670</v>
      </c>
      <c r="M787" s="53">
        <f t="shared" si="24"/>
        <v>3953.0000000000005</v>
      </c>
    </row>
    <row r="788" spans="1:17" x14ac:dyDescent="0.25">
      <c r="A788" s="21">
        <f>IF(C788="","",COUNTA($C$3:C788))</f>
        <v>786</v>
      </c>
      <c r="B788" s="35" t="str">
        <f t="shared" si="23"/>
        <v>July</v>
      </c>
      <c r="C788" s="33">
        <v>46214</v>
      </c>
      <c r="D788" s="15">
        <v>61993</v>
      </c>
      <c r="E788" s="60">
        <v>45496</v>
      </c>
      <c r="F788" s="52" t="s">
        <v>120</v>
      </c>
      <c r="G788" s="18" t="s">
        <v>382</v>
      </c>
      <c r="H788" s="49" t="s">
        <v>38</v>
      </c>
      <c r="I788" s="49" t="s">
        <v>69</v>
      </c>
      <c r="J788" s="50" t="s">
        <v>47</v>
      </c>
      <c r="K788" s="15">
        <v>6.7</v>
      </c>
      <c r="L788" s="62">
        <v>868</v>
      </c>
      <c r="M788" s="53">
        <f t="shared" si="24"/>
        <v>5815.6</v>
      </c>
    </row>
    <row r="789" spans="1:17" x14ac:dyDescent="0.25">
      <c r="A789" s="21">
        <f>IF(C789="","",COUNTA($C$3:C789))</f>
        <v>787</v>
      </c>
      <c r="B789" s="35" t="str">
        <f t="shared" ref="B789:B812" si="25">IF(C789="","",TEXT(C789,"mmmm"))</f>
        <v>July</v>
      </c>
      <c r="C789" s="33">
        <v>46214</v>
      </c>
      <c r="D789" s="15">
        <v>61993</v>
      </c>
      <c r="E789" s="60">
        <v>45496</v>
      </c>
      <c r="F789" s="52" t="s">
        <v>120</v>
      </c>
      <c r="G789" s="18" t="s">
        <v>382</v>
      </c>
      <c r="H789" s="49" t="s">
        <v>392</v>
      </c>
      <c r="I789" s="49" t="s">
        <v>68</v>
      </c>
      <c r="J789" s="50" t="s">
        <v>70</v>
      </c>
      <c r="K789" s="15">
        <v>8</v>
      </c>
      <c r="L789" s="62">
        <v>726</v>
      </c>
      <c r="M789" s="53">
        <f t="shared" ref="M789:M954" si="26">K789*L789</f>
        <v>5808</v>
      </c>
      <c r="O789" s="59"/>
      <c r="P789" s="59"/>
      <c r="Q789" s="59"/>
    </row>
    <row r="790" spans="1:17" x14ac:dyDescent="0.25">
      <c r="A790" s="21">
        <f>IF(C790="","",COUNTA($C$3:C790))</f>
        <v>788</v>
      </c>
      <c r="B790" s="35" t="str">
        <f t="shared" si="25"/>
        <v>July</v>
      </c>
      <c r="C790" s="33">
        <v>46214</v>
      </c>
      <c r="D790" s="15">
        <v>61993</v>
      </c>
      <c r="E790" s="60">
        <v>45496</v>
      </c>
      <c r="F790" s="52" t="s">
        <v>120</v>
      </c>
      <c r="G790" s="18" t="s">
        <v>382</v>
      </c>
      <c r="H790" s="49" t="s">
        <v>462</v>
      </c>
      <c r="I790" s="49" t="s">
        <v>68</v>
      </c>
      <c r="J790" s="50" t="s">
        <v>70</v>
      </c>
      <c r="K790" s="15">
        <v>39</v>
      </c>
      <c r="L790" s="54">
        <v>1120</v>
      </c>
      <c r="M790" s="53">
        <f t="shared" si="26"/>
        <v>43680</v>
      </c>
      <c r="O790" s="59"/>
      <c r="P790" s="69"/>
      <c r="Q790" s="59"/>
    </row>
    <row r="791" spans="1:17" x14ac:dyDescent="0.25">
      <c r="A791" s="21">
        <f>IF(C791="","",COUNTA($C$3:C791))</f>
        <v>789</v>
      </c>
      <c r="B791" s="35" t="str">
        <f t="shared" si="25"/>
        <v>July</v>
      </c>
      <c r="C791" s="33">
        <v>46214</v>
      </c>
      <c r="D791" s="15">
        <v>61993</v>
      </c>
      <c r="E791" s="60">
        <v>45496</v>
      </c>
      <c r="F791" s="52" t="s">
        <v>120</v>
      </c>
      <c r="G791" s="18" t="s">
        <v>382</v>
      </c>
      <c r="H791" s="49" t="s">
        <v>463</v>
      </c>
      <c r="I791" s="49" t="s">
        <v>68</v>
      </c>
      <c r="J791" s="50" t="s">
        <v>70</v>
      </c>
      <c r="K791" s="15">
        <v>4</v>
      </c>
      <c r="L791" s="54">
        <v>1495</v>
      </c>
      <c r="M791" s="53">
        <f t="shared" si="26"/>
        <v>5980</v>
      </c>
      <c r="O791" s="59"/>
      <c r="P791" s="59"/>
      <c r="Q791" s="59"/>
    </row>
    <row r="792" spans="1:17" x14ac:dyDescent="0.25">
      <c r="A792" s="21">
        <f>IF(C792="","",COUNTA($C$3:C792))</f>
        <v>790</v>
      </c>
      <c r="B792" s="35" t="str">
        <f t="shared" si="25"/>
        <v>July</v>
      </c>
      <c r="C792" s="33">
        <v>46214</v>
      </c>
      <c r="D792" s="15">
        <v>61993</v>
      </c>
      <c r="E792" s="60">
        <v>45496</v>
      </c>
      <c r="F792" s="52" t="s">
        <v>120</v>
      </c>
      <c r="G792" s="18" t="s">
        <v>382</v>
      </c>
      <c r="H792" s="49" t="s">
        <v>129</v>
      </c>
      <c r="I792" s="49" t="s">
        <v>75</v>
      </c>
      <c r="J792" s="50" t="s">
        <v>47</v>
      </c>
      <c r="K792" s="55">
        <f>7.63+53.8077+7.24+12.6</f>
        <v>81.277699999999996</v>
      </c>
      <c r="L792" s="54">
        <v>906</v>
      </c>
      <c r="M792" s="53">
        <f t="shared" si="26"/>
        <v>73637.5962</v>
      </c>
      <c r="O792" s="59"/>
    </row>
    <row r="793" spans="1:17" x14ac:dyDescent="0.25">
      <c r="A793" s="21">
        <f>IF(C793="","",COUNTA($C$3:C793))</f>
        <v>791</v>
      </c>
      <c r="B793" s="35" t="str">
        <f t="shared" si="25"/>
        <v>July</v>
      </c>
      <c r="C793" s="33">
        <v>46216</v>
      </c>
      <c r="D793" s="15">
        <v>62027</v>
      </c>
      <c r="E793" s="60">
        <v>45497</v>
      </c>
      <c r="F793" s="52" t="s">
        <v>120</v>
      </c>
      <c r="G793" s="18" t="s">
        <v>466</v>
      </c>
      <c r="H793" s="49" t="s">
        <v>38</v>
      </c>
      <c r="I793" s="49" t="s">
        <v>69</v>
      </c>
      <c r="J793" s="50" t="s">
        <v>47</v>
      </c>
      <c r="K793" s="15">
        <v>394.5</v>
      </c>
      <c r="L793" s="62">
        <v>835</v>
      </c>
      <c r="M793" s="53">
        <f t="shared" si="26"/>
        <v>329407.5</v>
      </c>
      <c r="Q793" s="54"/>
    </row>
    <row r="794" spans="1:17" x14ac:dyDescent="0.25">
      <c r="A794" s="21">
        <f>IF(C794="","",COUNTA($C$3:C794))</f>
        <v>792</v>
      </c>
      <c r="B794" s="35" t="str">
        <f t="shared" si="25"/>
        <v>July</v>
      </c>
      <c r="C794" s="33">
        <v>46216</v>
      </c>
      <c r="D794" s="15">
        <v>62027</v>
      </c>
      <c r="E794" s="60">
        <v>45497</v>
      </c>
      <c r="F794" s="52" t="s">
        <v>120</v>
      </c>
      <c r="G794" s="18" t="s">
        <v>466</v>
      </c>
      <c r="H794" s="49" t="s">
        <v>129</v>
      </c>
      <c r="I794" s="49" t="s">
        <v>467</v>
      </c>
      <c r="J794" s="50" t="s">
        <v>47</v>
      </c>
      <c r="K794" s="15">
        <v>212.7</v>
      </c>
      <c r="L794" s="62">
        <v>496</v>
      </c>
      <c r="M794" s="53">
        <f t="shared" si="26"/>
        <v>105499.2</v>
      </c>
    </row>
    <row r="795" spans="1:17" x14ac:dyDescent="0.25">
      <c r="A795" s="21">
        <f>IF(C795="","",COUNTA($C$3:C795))</f>
        <v>793</v>
      </c>
      <c r="B795" s="35" t="str">
        <f t="shared" si="25"/>
        <v>July</v>
      </c>
      <c r="C795" s="33">
        <v>46216</v>
      </c>
      <c r="D795" s="15">
        <v>62027</v>
      </c>
      <c r="E795" s="60">
        <v>45497</v>
      </c>
      <c r="F795" s="52" t="s">
        <v>120</v>
      </c>
      <c r="G795" s="18" t="s">
        <v>466</v>
      </c>
      <c r="H795" s="49" t="s">
        <v>129</v>
      </c>
      <c r="I795" s="49" t="s">
        <v>468</v>
      </c>
      <c r="J795" s="50" t="s">
        <v>47</v>
      </c>
      <c r="K795" s="55">
        <v>181.8</v>
      </c>
      <c r="L795" s="54">
        <v>595</v>
      </c>
      <c r="M795" s="53">
        <f t="shared" si="26"/>
        <v>108171</v>
      </c>
    </row>
    <row r="796" spans="1:17" x14ac:dyDescent="0.25">
      <c r="A796" s="21">
        <f>IF(C796="","",COUNTA($C$3:C796))</f>
        <v>794</v>
      </c>
      <c r="B796" s="35" t="str">
        <f t="shared" si="25"/>
        <v>July</v>
      </c>
      <c r="C796" s="33">
        <v>46216</v>
      </c>
      <c r="D796" s="15">
        <v>62027</v>
      </c>
      <c r="E796" s="60">
        <v>45497</v>
      </c>
      <c r="F796" s="52" t="s">
        <v>120</v>
      </c>
      <c r="G796" s="18" t="s">
        <v>466</v>
      </c>
      <c r="H796" s="49" t="s">
        <v>130</v>
      </c>
      <c r="I796" s="49" t="s">
        <v>40</v>
      </c>
      <c r="J796" s="50" t="s">
        <v>47</v>
      </c>
      <c r="K796" s="55">
        <v>450</v>
      </c>
      <c r="L796" s="54">
        <v>20</v>
      </c>
      <c r="M796" s="53">
        <f t="shared" si="26"/>
        <v>9000</v>
      </c>
    </row>
    <row r="797" spans="1:17" x14ac:dyDescent="0.25">
      <c r="A797" s="21">
        <f>IF(C797="","",COUNTA($C$3:C797))</f>
        <v>795</v>
      </c>
      <c r="B797" s="35" t="str">
        <f t="shared" si="25"/>
        <v>July</v>
      </c>
      <c r="C797" s="33">
        <v>46216</v>
      </c>
      <c r="D797" s="15">
        <v>62027</v>
      </c>
      <c r="E797" s="60">
        <v>45498</v>
      </c>
      <c r="F797" s="52" t="s">
        <v>120</v>
      </c>
      <c r="G797" s="18" t="s">
        <v>466</v>
      </c>
      <c r="H797" s="49" t="s">
        <v>38</v>
      </c>
      <c r="I797" s="49" t="s">
        <v>69</v>
      </c>
      <c r="J797" s="50" t="s">
        <v>47</v>
      </c>
      <c r="K797" s="15">
        <v>356.3</v>
      </c>
      <c r="L797" s="62">
        <v>835</v>
      </c>
      <c r="M797" s="53">
        <f t="shared" si="26"/>
        <v>297510.5</v>
      </c>
    </row>
    <row r="798" spans="1:17" x14ac:dyDescent="0.25">
      <c r="A798" s="21">
        <f>IF(C798="","",COUNTA($C$3:C798))</f>
        <v>796</v>
      </c>
      <c r="B798" s="35" t="str">
        <f t="shared" si="25"/>
        <v>July</v>
      </c>
      <c r="C798" s="33">
        <v>46216</v>
      </c>
      <c r="D798" s="15">
        <v>62027</v>
      </c>
      <c r="E798" s="60">
        <v>45498</v>
      </c>
      <c r="F798" s="52" t="s">
        <v>120</v>
      </c>
      <c r="G798" s="18" t="s">
        <v>466</v>
      </c>
      <c r="H798" s="49" t="s">
        <v>129</v>
      </c>
      <c r="I798" s="49" t="s">
        <v>467</v>
      </c>
      <c r="J798" s="50" t="s">
        <v>47</v>
      </c>
      <c r="K798" s="15">
        <v>239.1</v>
      </c>
      <c r="L798" s="62">
        <v>496</v>
      </c>
      <c r="M798" s="53">
        <f t="shared" si="26"/>
        <v>118593.59999999999</v>
      </c>
    </row>
    <row r="799" spans="1:17" x14ac:dyDescent="0.25">
      <c r="A799" s="21">
        <f>IF(C799="","",COUNTA($C$3:C799))</f>
        <v>797</v>
      </c>
      <c r="B799" s="35" t="str">
        <f t="shared" si="25"/>
        <v>July</v>
      </c>
      <c r="C799" s="33">
        <v>46216</v>
      </c>
      <c r="D799" s="15">
        <v>62027</v>
      </c>
      <c r="E799" s="60">
        <v>45498</v>
      </c>
      <c r="F799" s="52" t="s">
        <v>120</v>
      </c>
      <c r="G799" s="18" t="s">
        <v>466</v>
      </c>
      <c r="H799" s="49" t="s">
        <v>129</v>
      </c>
      <c r="I799" s="49" t="s">
        <v>468</v>
      </c>
      <c r="J799" s="50" t="s">
        <v>47</v>
      </c>
      <c r="K799" s="55">
        <v>117.2</v>
      </c>
      <c r="L799" s="54">
        <v>595</v>
      </c>
      <c r="M799" s="53">
        <f t="shared" si="26"/>
        <v>69734</v>
      </c>
    </row>
    <row r="800" spans="1:17" x14ac:dyDescent="0.25">
      <c r="A800" s="21">
        <f>IF(C800="","",COUNTA($C$3:C800))</f>
        <v>798</v>
      </c>
      <c r="B800" s="35" t="str">
        <f t="shared" si="25"/>
        <v>July</v>
      </c>
      <c r="C800" s="33">
        <v>46216</v>
      </c>
      <c r="D800" s="15">
        <v>62027</v>
      </c>
      <c r="E800" s="60">
        <v>45498</v>
      </c>
      <c r="F800" s="52" t="s">
        <v>120</v>
      </c>
      <c r="G800" s="18" t="s">
        <v>466</v>
      </c>
      <c r="H800" s="49" t="s">
        <v>130</v>
      </c>
      <c r="I800" s="49" t="s">
        <v>40</v>
      </c>
      <c r="J800" s="50" t="s">
        <v>47</v>
      </c>
      <c r="K800" s="55">
        <v>400</v>
      </c>
      <c r="L800" s="54">
        <v>20</v>
      </c>
      <c r="M800" s="53">
        <f t="shared" si="26"/>
        <v>8000</v>
      </c>
    </row>
    <row r="801" spans="1:15" x14ac:dyDescent="0.25">
      <c r="A801" s="21">
        <f>IF(C801="","",COUNTA($C$3:C801))</f>
        <v>799</v>
      </c>
      <c r="B801" s="35" t="str">
        <f t="shared" si="25"/>
        <v>July</v>
      </c>
      <c r="C801" s="33">
        <v>46217</v>
      </c>
      <c r="D801" s="15">
        <v>62027</v>
      </c>
      <c r="E801" s="60">
        <v>45499</v>
      </c>
      <c r="F801" s="52" t="s">
        <v>120</v>
      </c>
      <c r="G801" s="18" t="s">
        <v>466</v>
      </c>
      <c r="H801" s="49" t="s">
        <v>38</v>
      </c>
      <c r="I801" s="49" t="s">
        <v>69</v>
      </c>
      <c r="J801" s="50" t="s">
        <v>47</v>
      </c>
      <c r="K801" s="15">
        <v>332.3</v>
      </c>
      <c r="L801" s="53">
        <v>835</v>
      </c>
      <c r="M801" s="53">
        <f t="shared" si="26"/>
        <v>277470.5</v>
      </c>
    </row>
    <row r="802" spans="1:15" x14ac:dyDescent="0.25">
      <c r="A802" s="21">
        <f>IF(C802="","",COUNTA($C$3:C802))</f>
        <v>800</v>
      </c>
      <c r="B802" s="35" t="str">
        <f t="shared" si="25"/>
        <v>July</v>
      </c>
      <c r="C802" s="33">
        <v>46217</v>
      </c>
      <c r="D802" s="15">
        <v>62027</v>
      </c>
      <c r="E802" s="60">
        <v>45499</v>
      </c>
      <c r="F802" s="52" t="s">
        <v>120</v>
      </c>
      <c r="G802" s="18" t="s">
        <v>466</v>
      </c>
      <c r="H802" s="49" t="s">
        <v>129</v>
      </c>
      <c r="I802" s="49" t="s">
        <v>467</v>
      </c>
      <c r="J802" s="50" t="s">
        <v>47</v>
      </c>
      <c r="K802" s="15">
        <v>145.30000000000001</v>
      </c>
      <c r="L802" s="62">
        <v>496</v>
      </c>
      <c r="M802" s="53">
        <f t="shared" si="26"/>
        <v>72068.800000000003</v>
      </c>
    </row>
    <row r="803" spans="1:15" x14ac:dyDescent="0.25">
      <c r="A803" s="21">
        <f>IF(C803="","",COUNTA($C$3:C803))</f>
        <v>801</v>
      </c>
      <c r="B803" s="35" t="str">
        <f t="shared" si="25"/>
        <v>July</v>
      </c>
      <c r="C803" s="33">
        <v>46217</v>
      </c>
      <c r="D803" s="15">
        <v>62027</v>
      </c>
      <c r="E803" s="60">
        <v>45499</v>
      </c>
      <c r="F803" s="52" t="s">
        <v>120</v>
      </c>
      <c r="G803" s="18" t="s">
        <v>466</v>
      </c>
      <c r="H803" s="49" t="s">
        <v>129</v>
      </c>
      <c r="I803" s="49" t="s">
        <v>468</v>
      </c>
      <c r="J803" s="50" t="s">
        <v>47</v>
      </c>
      <c r="K803" s="55">
        <v>187</v>
      </c>
      <c r="L803" s="54">
        <v>595</v>
      </c>
      <c r="M803" s="53">
        <f t="shared" si="26"/>
        <v>111265</v>
      </c>
    </row>
    <row r="804" spans="1:15" x14ac:dyDescent="0.25">
      <c r="A804" s="21">
        <f>IF(C804="","",COUNTA($C$3:C804))</f>
        <v>802</v>
      </c>
      <c r="B804" s="35" t="str">
        <f t="shared" si="25"/>
        <v>July</v>
      </c>
      <c r="C804" s="33">
        <v>46217</v>
      </c>
      <c r="D804" s="15">
        <v>62027</v>
      </c>
      <c r="E804" s="60">
        <v>45499</v>
      </c>
      <c r="F804" s="52" t="s">
        <v>120</v>
      </c>
      <c r="G804" s="18" t="s">
        <v>466</v>
      </c>
      <c r="H804" s="49" t="s">
        <v>176</v>
      </c>
      <c r="I804" s="49" t="s">
        <v>467</v>
      </c>
      <c r="J804" s="50" t="s">
        <v>47</v>
      </c>
      <c r="K804" s="15">
        <v>115.2</v>
      </c>
      <c r="L804" s="62">
        <v>320</v>
      </c>
      <c r="M804" s="53">
        <f t="shared" si="26"/>
        <v>36864</v>
      </c>
    </row>
    <row r="805" spans="1:15" x14ac:dyDescent="0.25">
      <c r="A805" s="21">
        <f>IF(C805="","",COUNTA($C$3:C805))</f>
        <v>803</v>
      </c>
      <c r="B805" s="35" t="str">
        <f t="shared" si="25"/>
        <v>July</v>
      </c>
      <c r="C805" s="33">
        <v>46217</v>
      </c>
      <c r="D805" s="15">
        <v>62027</v>
      </c>
      <c r="E805" s="60">
        <v>45499</v>
      </c>
      <c r="F805" s="52" t="s">
        <v>120</v>
      </c>
      <c r="G805" s="18" t="s">
        <v>466</v>
      </c>
      <c r="H805" s="49" t="s">
        <v>130</v>
      </c>
      <c r="I805" s="49" t="s">
        <v>40</v>
      </c>
      <c r="J805" s="50" t="s">
        <v>47</v>
      </c>
      <c r="K805" s="15">
        <v>380</v>
      </c>
      <c r="L805" s="62">
        <v>20</v>
      </c>
      <c r="M805" s="53">
        <f t="shared" si="26"/>
        <v>7600</v>
      </c>
    </row>
    <row r="806" spans="1:15" x14ac:dyDescent="0.25">
      <c r="A806" s="21">
        <f>IF(C806="","",COUNTA($C$3:C806))</f>
        <v>804</v>
      </c>
      <c r="B806" s="35" t="str">
        <f t="shared" si="25"/>
        <v>July</v>
      </c>
      <c r="C806" s="33">
        <v>46217</v>
      </c>
      <c r="D806" s="15">
        <v>62027</v>
      </c>
      <c r="E806" s="60">
        <v>45500</v>
      </c>
      <c r="F806" s="52" t="s">
        <v>120</v>
      </c>
      <c r="G806" s="18" t="s">
        <v>466</v>
      </c>
      <c r="H806" s="49" t="s">
        <v>38</v>
      </c>
      <c r="I806" s="49" t="s">
        <v>69</v>
      </c>
      <c r="J806" s="50" t="s">
        <v>47</v>
      </c>
      <c r="K806" s="15">
        <v>64.5</v>
      </c>
      <c r="L806" s="53">
        <v>835</v>
      </c>
      <c r="M806" s="53">
        <f t="shared" si="26"/>
        <v>53857.5</v>
      </c>
    </row>
    <row r="807" spans="1:15" x14ac:dyDescent="0.25">
      <c r="A807" s="21">
        <f>IF(C807="","",COUNTA($C$3:C807))</f>
        <v>805</v>
      </c>
      <c r="B807" s="35" t="str">
        <f t="shared" si="25"/>
        <v>July</v>
      </c>
      <c r="C807" s="33">
        <v>46217</v>
      </c>
      <c r="D807" s="15">
        <v>62027</v>
      </c>
      <c r="E807" s="60">
        <v>45500</v>
      </c>
      <c r="F807" s="52" t="s">
        <v>120</v>
      </c>
      <c r="G807" s="18" t="s">
        <v>466</v>
      </c>
      <c r="H807" s="49" t="s">
        <v>129</v>
      </c>
      <c r="I807" s="49" t="s">
        <v>467</v>
      </c>
      <c r="J807" s="50" t="s">
        <v>47</v>
      </c>
      <c r="K807" s="15">
        <v>33.299999999999997</v>
      </c>
      <c r="L807" s="62">
        <v>496</v>
      </c>
      <c r="M807" s="53">
        <f t="shared" si="26"/>
        <v>16516.8</v>
      </c>
    </row>
    <row r="808" spans="1:15" x14ac:dyDescent="0.25">
      <c r="A808" s="21">
        <f>IF(C808="","",COUNTA($C$3:C808))</f>
        <v>806</v>
      </c>
      <c r="B808" s="35" t="str">
        <f t="shared" si="25"/>
        <v>July</v>
      </c>
      <c r="C808" s="33">
        <v>46217</v>
      </c>
      <c r="D808" s="15">
        <v>62027</v>
      </c>
      <c r="E808" s="60">
        <v>45500</v>
      </c>
      <c r="F808" s="52" t="s">
        <v>120</v>
      </c>
      <c r="G808" s="18" t="s">
        <v>466</v>
      </c>
      <c r="H808" s="49" t="s">
        <v>129</v>
      </c>
      <c r="I808" s="49" t="s">
        <v>468</v>
      </c>
      <c r="J808" s="50" t="s">
        <v>47</v>
      </c>
      <c r="K808" s="55">
        <v>31.2</v>
      </c>
      <c r="L808" s="54">
        <v>595</v>
      </c>
      <c r="M808" s="53">
        <f t="shared" si="26"/>
        <v>18564</v>
      </c>
    </row>
    <row r="809" spans="1:15" x14ac:dyDescent="0.25">
      <c r="A809" s="21">
        <f>IF(C809="","",COUNTA($C$3:C809))</f>
        <v>807</v>
      </c>
      <c r="B809" s="35" t="str">
        <f t="shared" si="25"/>
        <v>July</v>
      </c>
      <c r="C809" s="33">
        <v>46217</v>
      </c>
      <c r="D809" s="15">
        <v>62027</v>
      </c>
      <c r="E809" s="60">
        <v>45500</v>
      </c>
      <c r="F809" s="52" t="s">
        <v>120</v>
      </c>
      <c r="G809" s="18" t="s">
        <v>466</v>
      </c>
      <c r="H809" s="49" t="s">
        <v>176</v>
      </c>
      <c r="I809" s="49" t="s">
        <v>467</v>
      </c>
      <c r="J809" s="50" t="s">
        <v>47</v>
      </c>
      <c r="K809" s="15">
        <v>96</v>
      </c>
      <c r="L809" s="62">
        <v>320</v>
      </c>
      <c r="M809" s="53">
        <f t="shared" si="26"/>
        <v>30720</v>
      </c>
    </row>
    <row r="810" spans="1:15" x14ac:dyDescent="0.25">
      <c r="A810" s="21">
        <f>IF(C810="","",COUNTA($C$3:C810))</f>
        <v>808</v>
      </c>
      <c r="B810" s="35" t="str">
        <f t="shared" si="25"/>
        <v>July</v>
      </c>
      <c r="C810" s="33">
        <v>46217</v>
      </c>
      <c r="D810" s="15">
        <v>62027</v>
      </c>
      <c r="E810" s="60">
        <v>45500</v>
      </c>
      <c r="F810" s="52" t="s">
        <v>120</v>
      </c>
      <c r="G810" s="18" t="s">
        <v>466</v>
      </c>
      <c r="H810" s="49" t="s">
        <v>130</v>
      </c>
      <c r="I810" s="49" t="s">
        <v>40</v>
      </c>
      <c r="J810" s="50" t="s">
        <v>47</v>
      </c>
      <c r="K810" s="15">
        <v>100</v>
      </c>
      <c r="L810" s="62">
        <v>20</v>
      </c>
      <c r="M810" s="53">
        <f t="shared" si="26"/>
        <v>2000</v>
      </c>
    </row>
    <row r="811" spans="1:15" x14ac:dyDescent="0.25">
      <c r="A811" s="21">
        <f>IF(C811="","",COUNTA($C$3:C811))</f>
        <v>809</v>
      </c>
      <c r="B811" s="35" t="str">
        <f t="shared" si="25"/>
        <v>July</v>
      </c>
      <c r="C811" s="33">
        <v>46218</v>
      </c>
      <c r="D811" s="15">
        <v>62005</v>
      </c>
      <c r="E811" s="60">
        <v>45501</v>
      </c>
      <c r="F811" s="52" t="s">
        <v>120</v>
      </c>
      <c r="G811" s="18" t="s">
        <v>469</v>
      </c>
      <c r="H811" s="49" t="s">
        <v>429</v>
      </c>
      <c r="I811" s="49" t="s">
        <v>470</v>
      </c>
      <c r="J811" s="50" t="s">
        <v>137</v>
      </c>
      <c r="K811" s="15">
        <v>72</v>
      </c>
      <c r="L811" s="62">
        <v>1470</v>
      </c>
      <c r="M811" s="53">
        <f t="shared" si="26"/>
        <v>105840</v>
      </c>
      <c r="O811" s="59"/>
    </row>
    <row r="812" spans="1:15" x14ac:dyDescent="0.25">
      <c r="A812" s="21">
        <f>IF(C812="","",COUNTA($C$3:C812))</f>
        <v>810</v>
      </c>
      <c r="B812" s="35" t="str">
        <f t="shared" si="25"/>
        <v>July</v>
      </c>
      <c r="C812" s="33">
        <v>46219</v>
      </c>
      <c r="D812" s="15">
        <v>61992</v>
      </c>
      <c r="E812" s="60">
        <v>45502</v>
      </c>
      <c r="F812" s="52" t="s">
        <v>120</v>
      </c>
      <c r="G812" s="18" t="s">
        <v>341</v>
      </c>
      <c r="H812" s="49" t="s">
        <v>271</v>
      </c>
      <c r="I812" s="49" t="s">
        <v>48</v>
      </c>
      <c r="J812" s="50" t="s">
        <v>47</v>
      </c>
      <c r="K812" s="15">
        <v>131.9</v>
      </c>
      <c r="L812" s="54">
        <v>578</v>
      </c>
      <c r="M812" s="53">
        <f t="shared" si="26"/>
        <v>76238.2</v>
      </c>
    </row>
    <row r="813" spans="1:15" x14ac:dyDescent="0.25">
      <c r="A813" s="21">
        <f>IF(C813="","",COUNTA($C$3:C813))</f>
        <v>811</v>
      </c>
      <c r="B813" s="35" t="str">
        <f t="shared" ref="B813:B836" si="27">IF(C813="","",TEXT(C813,"mmmm"))</f>
        <v>July</v>
      </c>
      <c r="C813" s="33">
        <v>46219</v>
      </c>
      <c r="D813" s="15">
        <v>61992</v>
      </c>
      <c r="E813" s="60">
        <v>45502</v>
      </c>
      <c r="F813" s="52" t="s">
        <v>120</v>
      </c>
      <c r="G813" s="18" t="s">
        <v>341</v>
      </c>
      <c r="H813" s="49" t="s">
        <v>374</v>
      </c>
      <c r="I813" s="49" t="s">
        <v>68</v>
      </c>
      <c r="J813" s="50" t="s">
        <v>70</v>
      </c>
      <c r="K813" s="15">
        <v>15</v>
      </c>
      <c r="L813" s="53">
        <v>530</v>
      </c>
      <c r="M813" s="53">
        <f t="shared" si="26"/>
        <v>7950</v>
      </c>
      <c r="O813" s="59"/>
    </row>
    <row r="814" spans="1:15" x14ac:dyDescent="0.25">
      <c r="A814" s="21">
        <f>IF(C814="","",COUNTA($C$3:C814))</f>
        <v>812</v>
      </c>
      <c r="B814" s="35" t="str">
        <f t="shared" si="27"/>
        <v>July</v>
      </c>
      <c r="C814" s="33">
        <v>46219</v>
      </c>
      <c r="D814" s="15">
        <v>61992</v>
      </c>
      <c r="E814" s="60">
        <v>45502</v>
      </c>
      <c r="F814" s="52" t="s">
        <v>120</v>
      </c>
      <c r="G814" s="18" t="s">
        <v>341</v>
      </c>
      <c r="H814" s="49" t="s">
        <v>376</v>
      </c>
      <c r="I814" s="49" t="s">
        <v>68</v>
      </c>
      <c r="J814" s="50" t="s">
        <v>70</v>
      </c>
      <c r="K814" s="55">
        <v>25</v>
      </c>
      <c r="L814" s="54">
        <v>390</v>
      </c>
      <c r="M814" s="53">
        <f t="shared" si="26"/>
        <v>9750</v>
      </c>
    </row>
    <row r="815" spans="1:15" x14ac:dyDescent="0.25">
      <c r="A815" s="21">
        <f>IF(C815="","",COUNTA($C$3:C815))</f>
        <v>813</v>
      </c>
      <c r="B815" s="35" t="str">
        <f t="shared" si="27"/>
        <v>July</v>
      </c>
      <c r="C815" s="33">
        <v>46219</v>
      </c>
      <c r="D815" s="15">
        <v>61992</v>
      </c>
      <c r="E815" s="60">
        <v>45502</v>
      </c>
      <c r="F815" s="52" t="s">
        <v>120</v>
      </c>
      <c r="G815" s="18" t="s">
        <v>341</v>
      </c>
      <c r="H815" s="49" t="s">
        <v>471</v>
      </c>
      <c r="I815" s="49" t="s">
        <v>68</v>
      </c>
      <c r="J815" s="50" t="s">
        <v>70</v>
      </c>
      <c r="K815" s="15">
        <v>25</v>
      </c>
      <c r="L815" s="62">
        <v>450</v>
      </c>
      <c r="M815" s="53">
        <f t="shared" si="26"/>
        <v>11250</v>
      </c>
    </row>
    <row r="816" spans="1:15" x14ac:dyDescent="0.25">
      <c r="A816" s="21">
        <f>IF(C816="","",COUNTA($C$3:C816))</f>
        <v>814</v>
      </c>
      <c r="B816" s="35" t="str">
        <f t="shared" si="27"/>
        <v>July</v>
      </c>
      <c r="C816" s="33">
        <v>46219</v>
      </c>
      <c r="D816" s="15">
        <v>61992</v>
      </c>
      <c r="E816" s="60">
        <v>45502</v>
      </c>
      <c r="F816" s="52" t="s">
        <v>120</v>
      </c>
      <c r="G816" s="18" t="s">
        <v>341</v>
      </c>
      <c r="H816" s="49" t="s">
        <v>473</v>
      </c>
      <c r="I816" s="49" t="s">
        <v>68</v>
      </c>
      <c r="J816" s="50" t="s">
        <v>70</v>
      </c>
      <c r="K816" s="15">
        <v>50</v>
      </c>
      <c r="L816" s="54">
        <v>290</v>
      </c>
      <c r="M816" s="53">
        <f t="shared" si="26"/>
        <v>14500</v>
      </c>
    </row>
    <row r="817" spans="1:18" x14ac:dyDescent="0.25">
      <c r="A817" s="21">
        <f>IF(C817="","",COUNTA($C$3:C817))</f>
        <v>815</v>
      </c>
      <c r="B817" s="35" t="str">
        <f t="shared" si="27"/>
        <v>July</v>
      </c>
      <c r="C817" s="33">
        <v>46219</v>
      </c>
      <c r="D817" s="15">
        <v>61992</v>
      </c>
      <c r="E817" s="60">
        <v>45502</v>
      </c>
      <c r="F817" s="52" t="s">
        <v>120</v>
      </c>
      <c r="G817" s="18" t="s">
        <v>341</v>
      </c>
      <c r="H817" s="49" t="s">
        <v>377</v>
      </c>
      <c r="I817" s="49" t="s">
        <v>68</v>
      </c>
      <c r="J817" s="50" t="s">
        <v>70</v>
      </c>
      <c r="K817" s="15">
        <v>4</v>
      </c>
      <c r="L817" s="62">
        <v>395</v>
      </c>
      <c r="M817" s="53">
        <f t="shared" si="26"/>
        <v>1580</v>
      </c>
    </row>
    <row r="818" spans="1:18" x14ac:dyDescent="0.25">
      <c r="A818" s="21">
        <f>IF(C818="","",COUNTA($C$3:C818))</f>
        <v>816</v>
      </c>
      <c r="B818" s="35" t="str">
        <f t="shared" si="27"/>
        <v>July</v>
      </c>
      <c r="C818" s="33">
        <v>46219</v>
      </c>
      <c r="D818" s="15">
        <v>61992</v>
      </c>
      <c r="E818" s="60">
        <v>45502</v>
      </c>
      <c r="F818" s="52" t="s">
        <v>120</v>
      </c>
      <c r="G818" s="18" t="s">
        <v>341</v>
      </c>
      <c r="H818" s="49" t="s">
        <v>472</v>
      </c>
      <c r="I818" s="49" t="s">
        <v>68</v>
      </c>
      <c r="J818" s="50" t="s">
        <v>70</v>
      </c>
      <c r="K818" s="15">
        <v>60</v>
      </c>
      <c r="L818" s="62">
        <v>285</v>
      </c>
      <c r="M818" s="53">
        <f t="shared" si="26"/>
        <v>17100</v>
      </c>
    </row>
    <row r="819" spans="1:18" x14ac:dyDescent="0.25">
      <c r="A819" s="21">
        <f>IF(C819="","",COUNTA($C$3:C819))</f>
        <v>817</v>
      </c>
      <c r="B819" s="35" t="str">
        <f t="shared" si="27"/>
        <v>July</v>
      </c>
      <c r="C819" s="33">
        <v>46220</v>
      </c>
      <c r="D819" s="15">
        <v>61967</v>
      </c>
      <c r="E819" s="60">
        <v>45503</v>
      </c>
      <c r="F819" s="52" t="s">
        <v>120</v>
      </c>
      <c r="G819" s="18" t="s">
        <v>263</v>
      </c>
      <c r="H819" s="49" t="s">
        <v>38</v>
      </c>
      <c r="I819" s="49" t="s">
        <v>68</v>
      </c>
      <c r="J819" s="50" t="s">
        <v>47</v>
      </c>
      <c r="K819" s="15">
        <v>366.4</v>
      </c>
      <c r="L819" s="62">
        <v>670</v>
      </c>
      <c r="M819" s="53">
        <f t="shared" si="26"/>
        <v>245487.99999999997</v>
      </c>
    </row>
    <row r="820" spans="1:18" x14ac:dyDescent="0.25">
      <c r="A820" s="21">
        <f>IF(C820="","",COUNTA($C$3:C820))</f>
        <v>818</v>
      </c>
      <c r="B820" s="35" t="str">
        <f t="shared" si="27"/>
        <v>July</v>
      </c>
      <c r="C820" s="33">
        <v>46220</v>
      </c>
      <c r="D820" s="15">
        <v>61967</v>
      </c>
      <c r="E820" s="60">
        <v>45503</v>
      </c>
      <c r="F820" s="52" t="s">
        <v>120</v>
      </c>
      <c r="G820" s="18" t="s">
        <v>263</v>
      </c>
      <c r="H820" s="49" t="s">
        <v>38</v>
      </c>
      <c r="I820" s="49" t="s">
        <v>69</v>
      </c>
      <c r="J820" s="50" t="s">
        <v>47</v>
      </c>
      <c r="K820" s="15">
        <v>189.6</v>
      </c>
      <c r="L820" s="62">
        <v>868</v>
      </c>
      <c r="M820" s="53">
        <f t="shared" si="26"/>
        <v>164572.79999999999</v>
      </c>
    </row>
    <row r="821" spans="1:18" x14ac:dyDescent="0.25">
      <c r="A821" s="21">
        <f>IF(C821="","",COUNTA($C$3:C821))</f>
        <v>819</v>
      </c>
      <c r="B821" s="35" t="str">
        <f t="shared" si="27"/>
        <v>July</v>
      </c>
      <c r="C821" s="33">
        <v>46220</v>
      </c>
      <c r="D821" s="15">
        <v>61967</v>
      </c>
      <c r="E821" s="60">
        <v>45503</v>
      </c>
      <c r="F821" s="52" t="s">
        <v>120</v>
      </c>
      <c r="G821" s="18" t="s">
        <v>263</v>
      </c>
      <c r="H821" s="49" t="s">
        <v>38</v>
      </c>
      <c r="I821" s="49" t="s">
        <v>39</v>
      </c>
      <c r="J821" s="50" t="s">
        <v>47</v>
      </c>
      <c r="K821" s="15">
        <v>60.9</v>
      </c>
      <c r="L821" s="62">
        <v>1060</v>
      </c>
      <c r="M821" s="53">
        <f t="shared" si="26"/>
        <v>64554</v>
      </c>
    </row>
    <row r="822" spans="1:18" x14ac:dyDescent="0.25">
      <c r="A822" s="21">
        <f>IF(C822="","",COUNTA($C$3:C822))</f>
        <v>820</v>
      </c>
      <c r="B822" s="35" t="str">
        <f t="shared" si="27"/>
        <v>July</v>
      </c>
      <c r="C822" s="33">
        <v>46220</v>
      </c>
      <c r="D822" s="15">
        <v>61967</v>
      </c>
      <c r="E822" s="60">
        <v>45503</v>
      </c>
      <c r="F822" s="52" t="s">
        <v>120</v>
      </c>
      <c r="G822" s="18" t="s">
        <v>263</v>
      </c>
      <c r="H822" s="49" t="s">
        <v>129</v>
      </c>
      <c r="I822" s="49" t="s">
        <v>104</v>
      </c>
      <c r="J822" s="50" t="s">
        <v>47</v>
      </c>
      <c r="K822" s="15">
        <v>38.700000000000003</v>
      </c>
      <c r="L822" s="54">
        <v>755</v>
      </c>
      <c r="M822" s="53">
        <f t="shared" si="26"/>
        <v>29218.500000000004</v>
      </c>
    </row>
    <row r="823" spans="1:18" x14ac:dyDescent="0.25">
      <c r="A823" s="21">
        <f>IF(C823="","",COUNTA($C$3:C823))</f>
        <v>821</v>
      </c>
      <c r="B823" s="35" t="str">
        <f t="shared" si="27"/>
        <v>July</v>
      </c>
      <c r="C823" s="33">
        <v>46220</v>
      </c>
      <c r="D823" s="15">
        <v>61967</v>
      </c>
      <c r="E823" s="60">
        <v>45503</v>
      </c>
      <c r="F823" s="52" t="s">
        <v>120</v>
      </c>
      <c r="G823" s="18" t="s">
        <v>263</v>
      </c>
      <c r="H823" s="49" t="s">
        <v>129</v>
      </c>
      <c r="I823" s="49" t="s">
        <v>268</v>
      </c>
      <c r="J823" s="50" t="s">
        <v>47</v>
      </c>
      <c r="K823" s="15">
        <v>558.6</v>
      </c>
      <c r="L823" s="62">
        <v>415</v>
      </c>
      <c r="M823" s="53">
        <f t="shared" si="26"/>
        <v>231819</v>
      </c>
      <c r="O823" s="59"/>
      <c r="R823" s="59"/>
    </row>
    <row r="824" spans="1:18" x14ac:dyDescent="0.25">
      <c r="A824" s="21">
        <f>IF(C824="","",COUNTA($C$3:C824))</f>
        <v>822</v>
      </c>
      <c r="B824" s="35" t="str">
        <f t="shared" si="27"/>
        <v>July</v>
      </c>
      <c r="C824" s="33">
        <v>46220</v>
      </c>
      <c r="D824" s="15">
        <v>61967</v>
      </c>
      <c r="E824" s="60">
        <v>45503</v>
      </c>
      <c r="F824" s="52" t="s">
        <v>120</v>
      </c>
      <c r="G824" s="18" t="s">
        <v>263</v>
      </c>
      <c r="H824" s="49" t="s">
        <v>130</v>
      </c>
      <c r="I824" s="49" t="s">
        <v>40</v>
      </c>
      <c r="J824" s="50" t="s">
        <v>47</v>
      </c>
      <c r="K824" s="67">
        <v>600</v>
      </c>
      <c r="L824" s="62">
        <v>20</v>
      </c>
      <c r="M824" s="53">
        <f t="shared" si="26"/>
        <v>12000</v>
      </c>
      <c r="N824" s="54"/>
    </row>
    <row r="825" spans="1:18" x14ac:dyDescent="0.25">
      <c r="A825" s="21">
        <f>IF(C825="","",COUNTA($C$3:C825))</f>
        <v>823</v>
      </c>
      <c r="B825" s="35" t="str">
        <f t="shared" si="27"/>
        <v>July</v>
      </c>
      <c r="C825" s="33">
        <v>46221</v>
      </c>
      <c r="D825" s="15">
        <v>62005</v>
      </c>
      <c r="E825" s="60">
        <v>45504</v>
      </c>
      <c r="F825" s="52" t="s">
        <v>120</v>
      </c>
      <c r="G825" s="18" t="s">
        <v>469</v>
      </c>
      <c r="H825" s="49" t="s">
        <v>429</v>
      </c>
      <c r="I825" s="49" t="s">
        <v>454</v>
      </c>
      <c r="J825" s="50" t="s">
        <v>137</v>
      </c>
      <c r="K825" s="15">
        <v>54</v>
      </c>
      <c r="L825" s="62">
        <v>1205</v>
      </c>
      <c r="M825" s="53">
        <f t="shared" si="26"/>
        <v>65070</v>
      </c>
    </row>
    <row r="826" spans="1:18" x14ac:dyDescent="0.25">
      <c r="A826" s="21">
        <f>IF(C826="","",COUNTA($C$3:C826))</f>
        <v>824</v>
      </c>
      <c r="B826" s="35" t="str">
        <f t="shared" si="27"/>
        <v>July</v>
      </c>
      <c r="C826" s="33">
        <v>46221</v>
      </c>
      <c r="D826" s="15">
        <v>62005</v>
      </c>
      <c r="E826" s="60">
        <v>45504</v>
      </c>
      <c r="F826" s="52" t="s">
        <v>120</v>
      </c>
      <c r="G826" s="18" t="s">
        <v>469</v>
      </c>
      <c r="H826" s="49" t="s">
        <v>429</v>
      </c>
      <c r="I826" s="49" t="s">
        <v>428</v>
      </c>
      <c r="J826" s="50" t="s">
        <v>137</v>
      </c>
      <c r="K826" s="15">
        <v>72</v>
      </c>
      <c r="L826" s="62">
        <v>1071</v>
      </c>
      <c r="M826" s="53">
        <f t="shared" si="26"/>
        <v>77112</v>
      </c>
    </row>
    <row r="827" spans="1:18" x14ac:dyDescent="0.25">
      <c r="A827" s="21">
        <f>IF(C827="","",COUNTA($C$3:C827))</f>
        <v>825</v>
      </c>
      <c r="B827" s="35" t="str">
        <f t="shared" si="27"/>
        <v>July</v>
      </c>
      <c r="C827" s="33">
        <v>46221</v>
      </c>
      <c r="D827" s="15">
        <v>62005</v>
      </c>
      <c r="E827" s="60">
        <v>45504</v>
      </c>
      <c r="F827" s="52" t="s">
        <v>120</v>
      </c>
      <c r="G827" s="18" t="s">
        <v>469</v>
      </c>
      <c r="H827" s="49" t="s">
        <v>429</v>
      </c>
      <c r="I827" s="49" t="s">
        <v>478</v>
      </c>
      <c r="J827" s="50" t="s">
        <v>137</v>
      </c>
      <c r="K827" s="15">
        <v>12</v>
      </c>
      <c r="L827" s="62">
        <v>756</v>
      </c>
      <c r="M827" s="53">
        <f t="shared" si="26"/>
        <v>9072</v>
      </c>
    </row>
    <row r="828" spans="1:18" x14ac:dyDescent="0.25">
      <c r="A828" s="21">
        <f>IF(C828="","",COUNTA($C$3:C828))</f>
        <v>826</v>
      </c>
      <c r="B828" s="35" t="str">
        <f t="shared" si="27"/>
        <v>July</v>
      </c>
      <c r="C828" s="33">
        <v>46221</v>
      </c>
      <c r="D828" s="15">
        <v>61968</v>
      </c>
      <c r="E828" s="60">
        <v>45505</v>
      </c>
      <c r="F828" s="52" t="s">
        <v>120</v>
      </c>
      <c r="G828" s="18" t="s">
        <v>270</v>
      </c>
      <c r="H828" s="49" t="s">
        <v>271</v>
      </c>
      <c r="I828" s="49" t="s">
        <v>48</v>
      </c>
      <c r="J828" s="50" t="s">
        <v>47</v>
      </c>
      <c r="K828" s="15">
        <v>24.3</v>
      </c>
      <c r="L828" s="62">
        <v>620</v>
      </c>
      <c r="M828" s="53">
        <f t="shared" si="26"/>
        <v>15066</v>
      </c>
    </row>
    <row r="829" spans="1:18" x14ac:dyDescent="0.25">
      <c r="A829" s="21">
        <f>IF(C829="","",COUNTA($C$3:C829))</f>
        <v>827</v>
      </c>
      <c r="B829" s="35" t="str">
        <f t="shared" si="27"/>
        <v>July</v>
      </c>
      <c r="C829" s="33">
        <v>46221</v>
      </c>
      <c r="D829" s="15">
        <v>61968</v>
      </c>
      <c r="E829" s="60">
        <v>45505</v>
      </c>
      <c r="F829" s="52" t="s">
        <v>120</v>
      </c>
      <c r="G829" s="18" t="s">
        <v>270</v>
      </c>
      <c r="H829" s="49" t="s">
        <v>375</v>
      </c>
      <c r="I829" s="49" t="s">
        <v>68</v>
      </c>
      <c r="J829" s="50" t="s">
        <v>70</v>
      </c>
      <c r="K829" s="15">
        <v>35</v>
      </c>
      <c r="L829" s="62">
        <v>295</v>
      </c>
      <c r="M829" s="53">
        <f t="shared" si="26"/>
        <v>10325</v>
      </c>
    </row>
    <row r="830" spans="1:18" x14ac:dyDescent="0.25">
      <c r="A830" s="21">
        <f>IF(C830="","",COUNTA($C$3:C830))</f>
        <v>828</v>
      </c>
      <c r="B830" s="35" t="str">
        <f t="shared" si="27"/>
        <v>July</v>
      </c>
      <c r="C830" s="33">
        <v>46221</v>
      </c>
      <c r="D830" s="15">
        <v>61968</v>
      </c>
      <c r="E830" s="60">
        <v>45505</v>
      </c>
      <c r="F830" s="52" t="s">
        <v>120</v>
      </c>
      <c r="G830" s="18" t="s">
        <v>270</v>
      </c>
      <c r="H830" s="49" t="s">
        <v>370</v>
      </c>
      <c r="I830" s="49" t="s">
        <v>68</v>
      </c>
      <c r="J830" s="50" t="s">
        <v>70</v>
      </c>
      <c r="K830" s="15">
        <v>35</v>
      </c>
      <c r="L830" s="62">
        <v>375</v>
      </c>
      <c r="M830" s="53">
        <f t="shared" si="26"/>
        <v>13125</v>
      </c>
    </row>
    <row r="831" spans="1:18" x14ac:dyDescent="0.25">
      <c r="A831" s="21">
        <f>IF(C831="","",COUNTA($C$3:C831))</f>
        <v>829</v>
      </c>
      <c r="B831" s="35" t="str">
        <f t="shared" si="27"/>
        <v>July</v>
      </c>
      <c r="C831" s="33">
        <v>46221</v>
      </c>
      <c r="D831" s="15">
        <v>62028</v>
      </c>
      <c r="E831" s="60">
        <v>45506</v>
      </c>
      <c r="F831" s="52" t="s">
        <v>131</v>
      </c>
      <c r="G831" s="18" t="s">
        <v>479</v>
      </c>
      <c r="H831" s="49" t="s">
        <v>38</v>
      </c>
      <c r="I831" s="49" t="s">
        <v>68</v>
      </c>
      <c r="J831" s="50" t="s">
        <v>47</v>
      </c>
      <c r="K831" s="15">
        <v>343.4</v>
      </c>
      <c r="L831" s="62">
        <v>650</v>
      </c>
      <c r="M831" s="53">
        <f t="shared" si="26"/>
        <v>223209.99999999997</v>
      </c>
    </row>
    <row r="832" spans="1:18" x14ac:dyDescent="0.25">
      <c r="A832" s="21">
        <f>IF(C832="","",COUNTA($C$3:C832))</f>
        <v>830</v>
      </c>
      <c r="B832" s="35" t="str">
        <f t="shared" si="27"/>
        <v>July</v>
      </c>
      <c r="C832" s="33">
        <v>46221</v>
      </c>
      <c r="D832" s="15">
        <v>62028</v>
      </c>
      <c r="E832" s="60">
        <v>45506</v>
      </c>
      <c r="F832" s="52" t="s">
        <v>131</v>
      </c>
      <c r="G832" s="18" t="s">
        <v>479</v>
      </c>
      <c r="H832" s="49" t="s">
        <v>38</v>
      </c>
      <c r="I832" s="49" t="s">
        <v>69</v>
      </c>
      <c r="J832" s="50" t="s">
        <v>47</v>
      </c>
      <c r="K832" s="15">
        <v>123.8</v>
      </c>
      <c r="L832" s="62">
        <v>835</v>
      </c>
      <c r="M832" s="53">
        <f t="shared" si="26"/>
        <v>103373</v>
      </c>
    </row>
    <row r="833" spans="1:17" x14ac:dyDescent="0.25">
      <c r="A833" s="21">
        <f>IF(C833="","",COUNTA($C$3:C833))</f>
        <v>831</v>
      </c>
      <c r="B833" s="35" t="str">
        <f t="shared" si="27"/>
        <v>July</v>
      </c>
      <c r="C833" s="33">
        <v>46221</v>
      </c>
      <c r="D833" s="15">
        <v>62028</v>
      </c>
      <c r="E833" s="60">
        <v>45506</v>
      </c>
      <c r="F833" s="52" t="s">
        <v>131</v>
      </c>
      <c r="G833" s="18" t="s">
        <v>479</v>
      </c>
      <c r="H833" s="49" t="s">
        <v>439</v>
      </c>
      <c r="I833" s="49" t="s">
        <v>69</v>
      </c>
      <c r="J833" s="50" t="s">
        <v>70</v>
      </c>
      <c r="K833" s="15">
        <v>71</v>
      </c>
      <c r="L833" s="62">
        <v>500</v>
      </c>
      <c r="M833" s="53">
        <f t="shared" si="26"/>
        <v>35500</v>
      </c>
    </row>
    <row r="834" spans="1:17" x14ac:dyDescent="0.25">
      <c r="A834" s="21">
        <f>IF(C834="","",COUNTA($C$3:C834))</f>
        <v>832</v>
      </c>
      <c r="B834" s="35" t="str">
        <f t="shared" si="27"/>
        <v>July</v>
      </c>
      <c r="C834" s="33">
        <v>46221</v>
      </c>
      <c r="D834" s="15">
        <v>62028</v>
      </c>
      <c r="E834" s="60">
        <v>45506</v>
      </c>
      <c r="F834" s="52" t="s">
        <v>131</v>
      </c>
      <c r="G834" s="18" t="s">
        <v>479</v>
      </c>
      <c r="H834" s="49" t="s">
        <v>129</v>
      </c>
      <c r="I834" s="49" t="s">
        <v>53</v>
      </c>
      <c r="J834" s="50" t="s">
        <v>47</v>
      </c>
      <c r="K834" s="121">
        <f>467.2+4.43078+52</f>
        <v>523.63077999999996</v>
      </c>
      <c r="L834" s="53">
        <v>325</v>
      </c>
      <c r="M834" s="53">
        <f t="shared" si="26"/>
        <v>170180.00349999999</v>
      </c>
    </row>
    <row r="835" spans="1:17" x14ac:dyDescent="0.25">
      <c r="A835" s="21">
        <f>IF(C835="","",COUNTA($C$3:C835))</f>
        <v>833</v>
      </c>
      <c r="B835" s="35" t="str">
        <f t="shared" si="27"/>
        <v>July</v>
      </c>
      <c r="C835" s="33">
        <v>46221</v>
      </c>
      <c r="D835" s="15">
        <v>62028</v>
      </c>
      <c r="E835" s="60">
        <v>45506</v>
      </c>
      <c r="F835" s="52" t="s">
        <v>131</v>
      </c>
      <c r="G835" s="18" t="s">
        <v>479</v>
      </c>
      <c r="H835" s="49" t="s">
        <v>480</v>
      </c>
      <c r="I835" s="49" t="s">
        <v>68</v>
      </c>
      <c r="J835" s="50" t="s">
        <v>70</v>
      </c>
      <c r="K835" s="15">
        <v>6</v>
      </c>
      <c r="L835" s="62">
        <v>585</v>
      </c>
      <c r="M835" s="53">
        <f t="shared" si="26"/>
        <v>3510</v>
      </c>
      <c r="O835" s="59"/>
      <c r="P835" s="69"/>
      <c r="Q835" s="59"/>
    </row>
    <row r="836" spans="1:17" x14ac:dyDescent="0.25">
      <c r="A836" s="21">
        <f>IF(C836="","",COUNTA($C$3:C836))</f>
        <v>834</v>
      </c>
      <c r="B836" s="35" t="str">
        <f t="shared" si="27"/>
        <v>July</v>
      </c>
      <c r="C836" s="33">
        <v>46221</v>
      </c>
      <c r="D836" s="15">
        <v>62028</v>
      </c>
      <c r="E836" s="60">
        <v>45506</v>
      </c>
      <c r="F836" s="52" t="s">
        <v>131</v>
      </c>
      <c r="G836" s="18" t="s">
        <v>479</v>
      </c>
      <c r="H836" s="49" t="s">
        <v>349</v>
      </c>
      <c r="I836" s="49" t="s">
        <v>68</v>
      </c>
      <c r="J836" s="50" t="s">
        <v>70</v>
      </c>
      <c r="K836" s="15">
        <v>65</v>
      </c>
      <c r="L836" s="62">
        <v>650</v>
      </c>
      <c r="M836" s="53">
        <f t="shared" si="26"/>
        <v>42250</v>
      </c>
      <c r="O836" s="59"/>
      <c r="P836" s="59"/>
      <c r="Q836" s="59"/>
    </row>
    <row r="837" spans="1:17" x14ac:dyDescent="0.25">
      <c r="A837" s="21">
        <f>IF(C837="","",COUNTA($C$3:C837))</f>
        <v>835</v>
      </c>
      <c r="B837" s="35" t="str">
        <f t="shared" ref="B837:B900" si="28">IF(C837="","",TEXT(C837,"mmmm"))</f>
        <v>July</v>
      </c>
      <c r="C837" s="33">
        <v>46223</v>
      </c>
      <c r="D837" s="15">
        <v>62029</v>
      </c>
      <c r="E837" s="60">
        <v>45507</v>
      </c>
      <c r="F837" s="52" t="s">
        <v>120</v>
      </c>
      <c r="G837" s="18" t="s">
        <v>482</v>
      </c>
      <c r="H837" s="49" t="s">
        <v>38</v>
      </c>
      <c r="I837" s="49" t="s">
        <v>68</v>
      </c>
      <c r="J837" s="50" t="s">
        <v>47</v>
      </c>
      <c r="K837" s="15">
        <v>142</v>
      </c>
      <c r="L837" s="62">
        <v>650</v>
      </c>
      <c r="M837" s="53">
        <f t="shared" si="26"/>
        <v>92300</v>
      </c>
    </row>
    <row r="838" spans="1:17" x14ac:dyDescent="0.25">
      <c r="A838" s="21">
        <f>IF(C838="","",COUNTA($C$3:C838))</f>
        <v>836</v>
      </c>
      <c r="B838" s="35" t="str">
        <f t="shared" si="28"/>
        <v>July</v>
      </c>
      <c r="C838" s="33">
        <v>46223</v>
      </c>
      <c r="D838" s="15">
        <v>62029</v>
      </c>
      <c r="E838" s="60">
        <v>45507</v>
      </c>
      <c r="F838" s="52" t="s">
        <v>120</v>
      </c>
      <c r="G838" s="18" t="s">
        <v>482</v>
      </c>
      <c r="H838" s="49" t="s">
        <v>129</v>
      </c>
      <c r="I838" s="49" t="s">
        <v>83</v>
      </c>
      <c r="J838" s="50" t="s">
        <v>47</v>
      </c>
      <c r="K838" s="15">
        <v>142</v>
      </c>
      <c r="L838" s="54">
        <v>350</v>
      </c>
      <c r="M838" s="53">
        <f t="shared" si="26"/>
        <v>49700</v>
      </c>
    </row>
    <row r="839" spans="1:17" x14ac:dyDescent="0.25">
      <c r="A839" s="21">
        <f>IF(C839="","",COUNTA($C$3:C839))</f>
        <v>837</v>
      </c>
      <c r="B839" s="35" t="str">
        <f t="shared" si="28"/>
        <v>July</v>
      </c>
      <c r="C839" s="33">
        <v>46223</v>
      </c>
      <c r="D839" s="15">
        <v>62029</v>
      </c>
      <c r="E839" s="60">
        <v>45507</v>
      </c>
      <c r="F839" s="52" t="s">
        <v>120</v>
      </c>
      <c r="G839" s="18" t="s">
        <v>482</v>
      </c>
      <c r="H839" s="49" t="s">
        <v>176</v>
      </c>
      <c r="I839" s="76" t="s">
        <v>76</v>
      </c>
      <c r="J839" s="50" t="s">
        <v>70</v>
      </c>
      <c r="K839" s="15">
        <v>25</v>
      </c>
      <c r="L839" s="62">
        <v>154</v>
      </c>
      <c r="M839" s="53">
        <f t="shared" si="26"/>
        <v>3850</v>
      </c>
    </row>
    <row r="840" spans="1:17" x14ac:dyDescent="0.25">
      <c r="A840" s="21">
        <f>IF(C840="","",COUNTA($C$3:C840))</f>
        <v>838</v>
      </c>
      <c r="B840" s="35" t="str">
        <f t="shared" si="28"/>
        <v>July</v>
      </c>
      <c r="C840" s="33">
        <v>46223</v>
      </c>
      <c r="D840" s="15">
        <v>62029</v>
      </c>
      <c r="E840" s="60">
        <v>45507</v>
      </c>
      <c r="F840" s="52" t="s">
        <v>120</v>
      </c>
      <c r="G840" s="18" t="s">
        <v>482</v>
      </c>
      <c r="H840" s="49" t="s">
        <v>130</v>
      </c>
      <c r="I840" s="49" t="s">
        <v>40</v>
      </c>
      <c r="J840" s="50" t="s">
        <v>47</v>
      </c>
      <c r="K840" s="15">
        <v>160</v>
      </c>
      <c r="L840" s="62">
        <v>20</v>
      </c>
      <c r="M840" s="53">
        <f t="shared" si="26"/>
        <v>3200</v>
      </c>
    </row>
    <row r="841" spans="1:17" x14ac:dyDescent="0.25">
      <c r="A841" s="21">
        <f>IF(C841="","",COUNTA($C$3:C841))</f>
        <v>839</v>
      </c>
      <c r="B841" s="35" t="str">
        <f t="shared" si="28"/>
        <v>July</v>
      </c>
      <c r="C841" s="33">
        <v>46223</v>
      </c>
      <c r="D841" s="15">
        <v>62026</v>
      </c>
      <c r="E841" s="60">
        <v>45508</v>
      </c>
      <c r="F841" s="52" t="s">
        <v>120</v>
      </c>
      <c r="G841" s="18" t="s">
        <v>362</v>
      </c>
      <c r="H841" s="49" t="s">
        <v>77</v>
      </c>
      <c r="I841" s="49" t="s">
        <v>77</v>
      </c>
      <c r="J841" s="50" t="s">
        <v>70</v>
      </c>
      <c r="K841" s="15">
        <v>3000</v>
      </c>
      <c r="L841" s="54">
        <v>8</v>
      </c>
      <c r="M841" s="53">
        <f t="shared" si="26"/>
        <v>24000</v>
      </c>
    </row>
    <row r="842" spans="1:17" x14ac:dyDescent="0.25">
      <c r="A842" s="21">
        <f>IF(C842="","",COUNTA($C$3:C842))</f>
        <v>840</v>
      </c>
      <c r="B842" s="35" t="str">
        <f t="shared" si="28"/>
        <v>July</v>
      </c>
      <c r="C842" s="33">
        <v>46223</v>
      </c>
      <c r="D842" s="15">
        <v>62026</v>
      </c>
      <c r="E842" s="60">
        <v>45508</v>
      </c>
      <c r="F842" s="52" t="s">
        <v>120</v>
      </c>
      <c r="G842" s="18" t="s">
        <v>362</v>
      </c>
      <c r="H842" s="49" t="s">
        <v>91</v>
      </c>
      <c r="I842" s="49" t="s">
        <v>91</v>
      </c>
      <c r="J842" s="50" t="s">
        <v>137</v>
      </c>
      <c r="K842" s="15">
        <v>1000</v>
      </c>
      <c r="L842" s="54">
        <v>8</v>
      </c>
      <c r="M842" s="53">
        <f t="shared" si="26"/>
        <v>8000</v>
      </c>
    </row>
    <row r="843" spans="1:17" x14ac:dyDescent="0.25">
      <c r="A843" s="21">
        <f>IF(C843="","",COUNTA($C$3:C843))</f>
        <v>841</v>
      </c>
      <c r="B843" s="35" t="str">
        <f t="shared" si="28"/>
        <v>July</v>
      </c>
      <c r="C843" s="33">
        <v>46223</v>
      </c>
      <c r="D843" s="15">
        <v>61997</v>
      </c>
      <c r="E843" s="60">
        <v>45509</v>
      </c>
      <c r="F843" s="52" t="s">
        <v>120</v>
      </c>
      <c r="G843" s="18" t="s">
        <v>173</v>
      </c>
      <c r="H843" s="49" t="s">
        <v>38</v>
      </c>
      <c r="I843" s="49" t="s">
        <v>68</v>
      </c>
      <c r="J843" s="50" t="s">
        <v>47</v>
      </c>
      <c r="K843" s="15">
        <v>503.7</v>
      </c>
      <c r="L843" s="62">
        <v>670</v>
      </c>
      <c r="M843" s="53">
        <f t="shared" si="26"/>
        <v>337479</v>
      </c>
      <c r="O843" s="59"/>
      <c r="P843" s="112"/>
      <c r="Q843" s="59"/>
    </row>
    <row r="844" spans="1:17" x14ac:dyDescent="0.25">
      <c r="A844" s="21">
        <f>IF(C844="","",COUNTA($C$3:C844))</f>
        <v>842</v>
      </c>
      <c r="B844" s="35" t="str">
        <f t="shared" si="28"/>
        <v>July</v>
      </c>
      <c r="C844" s="33">
        <v>46223</v>
      </c>
      <c r="D844" s="15">
        <v>61997</v>
      </c>
      <c r="E844" s="60">
        <v>45509</v>
      </c>
      <c r="F844" s="52" t="s">
        <v>120</v>
      </c>
      <c r="G844" s="18" t="s">
        <v>173</v>
      </c>
      <c r="H844" s="49" t="s">
        <v>38</v>
      </c>
      <c r="I844" s="49" t="s">
        <v>69</v>
      </c>
      <c r="J844" s="50" t="s">
        <v>47</v>
      </c>
      <c r="K844" s="15">
        <v>218.2</v>
      </c>
      <c r="L844" s="62">
        <v>868</v>
      </c>
      <c r="M844" s="53">
        <f t="shared" si="26"/>
        <v>189397.59999999998</v>
      </c>
      <c r="O844" s="59"/>
      <c r="P844" s="69"/>
      <c r="Q844" s="59"/>
    </row>
    <row r="845" spans="1:17" x14ac:dyDescent="0.25">
      <c r="A845" s="21">
        <f>IF(C845="","",COUNTA($C$3:C845))</f>
        <v>843</v>
      </c>
      <c r="B845" s="35" t="str">
        <f t="shared" si="28"/>
        <v>July</v>
      </c>
      <c r="C845" s="33">
        <v>46223</v>
      </c>
      <c r="D845" s="15">
        <v>61997</v>
      </c>
      <c r="E845" s="60">
        <v>45509</v>
      </c>
      <c r="F845" s="52" t="s">
        <v>120</v>
      </c>
      <c r="G845" s="18" t="s">
        <v>173</v>
      </c>
      <c r="H845" s="49" t="s">
        <v>274</v>
      </c>
      <c r="I845" s="49" t="s">
        <v>68</v>
      </c>
      <c r="J845" s="50" t="s">
        <v>70</v>
      </c>
      <c r="K845" s="15">
        <v>114</v>
      </c>
      <c r="L845" s="62">
        <v>75</v>
      </c>
      <c r="M845" s="53">
        <f t="shared" si="26"/>
        <v>8550</v>
      </c>
      <c r="O845" s="59"/>
      <c r="P845" s="59"/>
      <c r="Q845" s="59"/>
    </row>
    <row r="846" spans="1:17" x14ac:dyDescent="0.25">
      <c r="A846" s="21">
        <f>IF(C846="","",COUNTA($C$3:C846))</f>
        <v>844</v>
      </c>
      <c r="B846" s="35" t="str">
        <f t="shared" si="28"/>
        <v>July</v>
      </c>
      <c r="C846" s="33">
        <v>46223</v>
      </c>
      <c r="D846" s="15">
        <v>61997</v>
      </c>
      <c r="E846" s="60">
        <v>45509</v>
      </c>
      <c r="F846" s="52" t="s">
        <v>120</v>
      </c>
      <c r="G846" s="18" t="s">
        <v>173</v>
      </c>
      <c r="H846" s="49" t="s">
        <v>129</v>
      </c>
      <c r="I846" s="49" t="s">
        <v>295</v>
      </c>
      <c r="J846" s="50" t="s">
        <v>47</v>
      </c>
      <c r="K846" s="15">
        <v>618.29999999999995</v>
      </c>
      <c r="L846" s="54">
        <v>507</v>
      </c>
      <c r="M846" s="53">
        <f t="shared" si="26"/>
        <v>313478.09999999998</v>
      </c>
    </row>
    <row r="847" spans="1:17" x14ac:dyDescent="0.25">
      <c r="A847" s="21">
        <f>IF(C847="","",COUNTA($C$3:C847))</f>
        <v>845</v>
      </c>
      <c r="B847" s="35" t="str">
        <f t="shared" si="28"/>
        <v>July</v>
      </c>
      <c r="C847" s="33">
        <v>46223</v>
      </c>
      <c r="D847" s="15">
        <v>61997</v>
      </c>
      <c r="E847" s="60">
        <v>45509</v>
      </c>
      <c r="F847" s="52" t="s">
        <v>120</v>
      </c>
      <c r="G847" s="18" t="s">
        <v>173</v>
      </c>
      <c r="H847" s="49" t="s">
        <v>129</v>
      </c>
      <c r="I847" s="49" t="s">
        <v>94</v>
      </c>
      <c r="J847" s="50" t="s">
        <v>47</v>
      </c>
      <c r="K847" s="15">
        <v>18.100000000000001</v>
      </c>
      <c r="L847" s="53">
        <v>865</v>
      </c>
      <c r="M847" s="53">
        <f t="shared" si="26"/>
        <v>15656.500000000002</v>
      </c>
    </row>
    <row r="848" spans="1:17" x14ac:dyDescent="0.25">
      <c r="A848" s="21">
        <f>IF(C848="","",COUNTA($C$3:C848))</f>
        <v>846</v>
      </c>
      <c r="B848" s="35" t="str">
        <f t="shared" si="28"/>
        <v>July</v>
      </c>
      <c r="C848" s="33">
        <v>46223</v>
      </c>
      <c r="D848" s="15">
        <v>61997</v>
      </c>
      <c r="E848" s="60">
        <v>45509</v>
      </c>
      <c r="F848" s="52" t="s">
        <v>120</v>
      </c>
      <c r="G848" s="18" t="s">
        <v>173</v>
      </c>
      <c r="H848" s="49" t="s">
        <v>130</v>
      </c>
      <c r="I848" s="49" t="s">
        <v>40</v>
      </c>
      <c r="J848" s="50" t="s">
        <v>47</v>
      </c>
      <c r="K848" s="55">
        <v>670</v>
      </c>
      <c r="L848" s="54">
        <v>20</v>
      </c>
      <c r="M848" s="53">
        <f t="shared" si="26"/>
        <v>13400</v>
      </c>
    </row>
    <row r="849" spans="1:17" x14ac:dyDescent="0.25">
      <c r="A849" s="21">
        <f>IF(C849="","",COUNTA($C$3:C849))</f>
        <v>847</v>
      </c>
      <c r="B849" s="35" t="str">
        <f t="shared" si="28"/>
        <v>July</v>
      </c>
      <c r="C849" s="33">
        <v>46225</v>
      </c>
      <c r="D849" s="15">
        <v>62030</v>
      </c>
      <c r="E849" s="60">
        <v>45510</v>
      </c>
      <c r="F849" s="52" t="s">
        <v>120</v>
      </c>
      <c r="G849" s="18" t="s">
        <v>486</v>
      </c>
      <c r="H849" s="49" t="s">
        <v>487</v>
      </c>
      <c r="I849" s="49" t="s">
        <v>68</v>
      </c>
      <c r="J849" s="50" t="s">
        <v>47</v>
      </c>
      <c r="K849" s="15">
        <v>145.4</v>
      </c>
      <c r="L849" s="54">
        <v>630</v>
      </c>
      <c r="M849" s="53">
        <f t="shared" si="26"/>
        <v>91602</v>
      </c>
    </row>
    <row r="850" spans="1:17" x14ac:dyDescent="0.25">
      <c r="A850" s="21">
        <f>IF(C850="","",COUNTA($C$3:C850))</f>
        <v>848</v>
      </c>
      <c r="B850" s="35" t="str">
        <f t="shared" si="28"/>
        <v>July</v>
      </c>
      <c r="C850" s="33">
        <v>46225</v>
      </c>
      <c r="D850" s="15">
        <v>62030</v>
      </c>
      <c r="E850" s="60">
        <v>45510</v>
      </c>
      <c r="F850" s="52" t="s">
        <v>120</v>
      </c>
      <c r="G850" s="18" t="s">
        <v>486</v>
      </c>
      <c r="H850" s="49" t="s">
        <v>487</v>
      </c>
      <c r="I850" s="49" t="s">
        <v>69</v>
      </c>
      <c r="J850" s="50" t="s">
        <v>47</v>
      </c>
      <c r="K850" s="15">
        <v>6.4</v>
      </c>
      <c r="L850" s="54">
        <v>815</v>
      </c>
      <c r="M850" s="53">
        <f t="shared" si="26"/>
        <v>5216</v>
      </c>
    </row>
    <row r="851" spans="1:17" x14ac:dyDescent="0.25">
      <c r="A851" s="21">
        <f>IF(C851="","",COUNTA($C$3:C851))</f>
        <v>849</v>
      </c>
      <c r="B851" s="35" t="str">
        <f t="shared" si="28"/>
        <v>July</v>
      </c>
      <c r="C851" s="33">
        <v>46225</v>
      </c>
      <c r="D851" s="15">
        <v>62030</v>
      </c>
      <c r="E851" s="60">
        <v>45510</v>
      </c>
      <c r="F851" s="52" t="s">
        <v>120</v>
      </c>
      <c r="G851" s="18" t="s">
        <v>486</v>
      </c>
      <c r="H851" s="49" t="s">
        <v>129</v>
      </c>
      <c r="I851" s="49" t="s">
        <v>83</v>
      </c>
      <c r="J851" s="50" t="s">
        <v>47</v>
      </c>
      <c r="K851" s="15">
        <v>138.69999999999999</v>
      </c>
      <c r="L851" s="54">
        <v>355</v>
      </c>
      <c r="M851" s="53">
        <f t="shared" si="26"/>
        <v>49238.499999999993</v>
      </c>
    </row>
    <row r="852" spans="1:17" x14ac:dyDescent="0.25">
      <c r="A852" s="21">
        <f>IF(C852="","",COUNTA($C$3:C852))</f>
        <v>850</v>
      </c>
      <c r="B852" s="35" t="str">
        <f t="shared" si="28"/>
        <v>July</v>
      </c>
      <c r="C852" s="33">
        <v>46225</v>
      </c>
      <c r="D852" s="15">
        <v>62030</v>
      </c>
      <c r="E852" s="60">
        <v>45510</v>
      </c>
      <c r="F852" s="52" t="s">
        <v>120</v>
      </c>
      <c r="G852" s="18" t="s">
        <v>486</v>
      </c>
      <c r="H852" s="49" t="s">
        <v>129</v>
      </c>
      <c r="I852" s="49" t="s">
        <v>96</v>
      </c>
      <c r="J852" s="50" t="s">
        <v>47</v>
      </c>
      <c r="K852" s="15">
        <v>13.1</v>
      </c>
      <c r="L852" s="53">
        <v>1041</v>
      </c>
      <c r="M852" s="53">
        <f t="shared" si="26"/>
        <v>13637.1</v>
      </c>
    </row>
    <row r="853" spans="1:17" x14ac:dyDescent="0.25">
      <c r="A853" s="21">
        <f>IF(C853="","",COUNTA($C$3:C853))</f>
        <v>851</v>
      </c>
      <c r="B853" s="35" t="str">
        <f t="shared" si="28"/>
        <v>July</v>
      </c>
      <c r="C853" s="33">
        <v>46225</v>
      </c>
      <c r="D853" s="15">
        <v>62030</v>
      </c>
      <c r="E853" s="60">
        <v>45510</v>
      </c>
      <c r="F853" s="52" t="s">
        <v>120</v>
      </c>
      <c r="G853" s="18" t="s">
        <v>486</v>
      </c>
      <c r="H853" s="49" t="s">
        <v>139</v>
      </c>
      <c r="I853" s="49" t="s">
        <v>39</v>
      </c>
      <c r="J853" s="50" t="s">
        <v>47</v>
      </c>
      <c r="K853" s="15">
        <v>0.8</v>
      </c>
      <c r="L853" s="62">
        <v>5200</v>
      </c>
      <c r="M853" s="53">
        <f t="shared" si="26"/>
        <v>4160</v>
      </c>
    </row>
    <row r="854" spans="1:17" x14ac:dyDescent="0.25">
      <c r="A854" s="21">
        <f>IF(C854="","",COUNTA($C$3:C854))</f>
        <v>852</v>
      </c>
      <c r="B854" s="35" t="str">
        <f t="shared" si="28"/>
        <v>July</v>
      </c>
      <c r="C854" s="33">
        <v>46225</v>
      </c>
      <c r="D854" s="15">
        <v>62030</v>
      </c>
      <c r="E854" s="60">
        <v>45510</v>
      </c>
      <c r="F854" s="52" t="s">
        <v>120</v>
      </c>
      <c r="G854" s="18" t="s">
        <v>486</v>
      </c>
      <c r="H854" s="49" t="s">
        <v>176</v>
      </c>
      <c r="I854" s="76" t="s">
        <v>76</v>
      </c>
      <c r="J854" s="50" t="s">
        <v>70</v>
      </c>
      <c r="K854" s="15">
        <v>30</v>
      </c>
      <c r="L854" s="62">
        <v>154</v>
      </c>
      <c r="M854" s="53">
        <f t="shared" si="26"/>
        <v>4620</v>
      </c>
    </row>
    <row r="855" spans="1:17" x14ac:dyDescent="0.25">
      <c r="A855" s="21">
        <f>IF(C855="","",COUNTA($C$3:C855))</f>
        <v>853</v>
      </c>
      <c r="B855" s="35" t="str">
        <f t="shared" ref="B855:B867" si="29">IF(C855="","",TEXT(C855,"mmmm"))</f>
        <v>July</v>
      </c>
      <c r="C855" s="33">
        <v>46225</v>
      </c>
      <c r="D855" s="15">
        <v>62030</v>
      </c>
      <c r="E855" s="60">
        <v>45510</v>
      </c>
      <c r="F855" s="52" t="s">
        <v>120</v>
      </c>
      <c r="G855" s="18" t="s">
        <v>486</v>
      </c>
      <c r="H855" s="49" t="s">
        <v>130</v>
      </c>
      <c r="I855" s="49" t="s">
        <v>40</v>
      </c>
      <c r="J855" s="50" t="s">
        <v>47</v>
      </c>
      <c r="K855" s="15">
        <v>150</v>
      </c>
      <c r="L855" s="62">
        <v>20</v>
      </c>
      <c r="M855" s="53">
        <f t="shared" si="26"/>
        <v>3000</v>
      </c>
    </row>
    <row r="856" spans="1:17" x14ac:dyDescent="0.25">
      <c r="A856" s="21">
        <f>IF(C856="","",COUNTA($C$3:C856))</f>
        <v>854</v>
      </c>
      <c r="B856" s="35" t="str">
        <f t="shared" si="29"/>
        <v>July</v>
      </c>
      <c r="C856" s="33">
        <v>46226</v>
      </c>
      <c r="D856" s="15">
        <v>62034</v>
      </c>
      <c r="E856" s="60">
        <v>45511</v>
      </c>
      <c r="F856" s="52" t="s">
        <v>120</v>
      </c>
      <c r="G856" s="18" t="s">
        <v>489</v>
      </c>
      <c r="H856" s="49" t="s">
        <v>38</v>
      </c>
      <c r="I856" s="49" t="s">
        <v>68</v>
      </c>
      <c r="J856" s="50" t="s">
        <v>47</v>
      </c>
      <c r="K856" s="15">
        <v>21.3</v>
      </c>
      <c r="L856" s="62">
        <v>650</v>
      </c>
      <c r="M856" s="53">
        <f t="shared" si="26"/>
        <v>13845</v>
      </c>
    </row>
    <row r="857" spans="1:17" x14ac:dyDescent="0.25">
      <c r="A857" s="21">
        <f>IF(C857="","",COUNTA($C$3:C857))</f>
        <v>855</v>
      </c>
      <c r="B857" s="35" t="str">
        <f t="shared" si="29"/>
        <v>July</v>
      </c>
      <c r="C857" s="33">
        <v>46226</v>
      </c>
      <c r="D857" s="15">
        <v>62034</v>
      </c>
      <c r="E857" s="60">
        <v>45511</v>
      </c>
      <c r="F857" s="52" t="s">
        <v>120</v>
      </c>
      <c r="G857" s="18" t="s">
        <v>489</v>
      </c>
      <c r="H857" s="49" t="s">
        <v>129</v>
      </c>
      <c r="I857" s="49" t="s">
        <v>268</v>
      </c>
      <c r="J857" s="50" t="s">
        <v>47</v>
      </c>
      <c r="K857" s="55">
        <f>18.2+15.12809</f>
        <v>33.328090000000003</v>
      </c>
      <c r="L857" s="62">
        <v>445</v>
      </c>
      <c r="M857" s="53">
        <f t="shared" si="26"/>
        <v>14831.000050000001</v>
      </c>
    </row>
    <row r="858" spans="1:17" x14ac:dyDescent="0.25">
      <c r="A858" s="21">
        <f>IF(C858="","",COUNTA($C$3:C858))</f>
        <v>856</v>
      </c>
      <c r="B858" s="35" t="str">
        <f t="shared" si="29"/>
        <v>July</v>
      </c>
      <c r="C858" s="33">
        <v>46226</v>
      </c>
      <c r="D858" s="15">
        <v>62034</v>
      </c>
      <c r="E858" s="60">
        <v>45511</v>
      </c>
      <c r="F858" s="52" t="s">
        <v>120</v>
      </c>
      <c r="G858" s="18" t="s">
        <v>489</v>
      </c>
      <c r="H858" s="49" t="s">
        <v>129</v>
      </c>
      <c r="I858" s="49" t="s">
        <v>104</v>
      </c>
      <c r="J858" s="50" t="s">
        <v>47</v>
      </c>
      <c r="K858" s="15">
        <v>3.1</v>
      </c>
      <c r="L858" s="54">
        <v>685</v>
      </c>
      <c r="M858" s="53">
        <f t="shared" si="26"/>
        <v>2123.5</v>
      </c>
    </row>
    <row r="859" spans="1:17" x14ac:dyDescent="0.25">
      <c r="A859" s="21">
        <f>IF(C859="","",COUNTA($C$3:C859))</f>
        <v>857</v>
      </c>
      <c r="B859" s="35" t="str">
        <f t="shared" si="29"/>
        <v>July</v>
      </c>
      <c r="C859" s="33">
        <v>46226</v>
      </c>
      <c r="D859" s="15">
        <v>62034</v>
      </c>
      <c r="E859" s="60">
        <v>45511</v>
      </c>
      <c r="F859" s="52" t="s">
        <v>120</v>
      </c>
      <c r="G859" s="18" t="s">
        <v>489</v>
      </c>
      <c r="H859" s="49" t="s">
        <v>176</v>
      </c>
      <c r="I859" s="49" t="s">
        <v>268</v>
      </c>
      <c r="J859" s="50" t="s">
        <v>47</v>
      </c>
      <c r="K859" s="15">
        <v>10</v>
      </c>
      <c r="L859" s="62">
        <v>275</v>
      </c>
      <c r="M859" s="53">
        <f t="shared" si="26"/>
        <v>2750</v>
      </c>
    </row>
    <row r="860" spans="1:17" x14ac:dyDescent="0.25">
      <c r="A860" s="21">
        <f>IF(C860="","",COUNTA($C$3:C860))</f>
        <v>858</v>
      </c>
      <c r="B860" s="35" t="str">
        <f t="shared" si="29"/>
        <v>July</v>
      </c>
      <c r="C860" s="33">
        <v>46226</v>
      </c>
      <c r="D860" s="15">
        <v>62034</v>
      </c>
      <c r="E860" s="60">
        <v>45511</v>
      </c>
      <c r="F860" s="52" t="s">
        <v>120</v>
      </c>
      <c r="G860" s="18" t="s">
        <v>489</v>
      </c>
      <c r="H860" s="49" t="s">
        <v>493</v>
      </c>
      <c r="I860" s="49" t="s">
        <v>68</v>
      </c>
      <c r="J860" s="50" t="s">
        <v>70</v>
      </c>
      <c r="K860" s="15">
        <v>12</v>
      </c>
      <c r="L860" s="62">
        <v>999</v>
      </c>
      <c r="M860" s="53">
        <f t="shared" si="26"/>
        <v>11988</v>
      </c>
      <c r="O860" s="59"/>
      <c r="P860" s="112"/>
      <c r="Q860" s="59"/>
    </row>
    <row r="861" spans="1:17" x14ac:dyDescent="0.25">
      <c r="A861" s="21">
        <f>IF(C861="","",COUNTA($C$3:C861))</f>
        <v>859</v>
      </c>
      <c r="B861" s="35" t="str">
        <f t="shared" si="29"/>
        <v>July</v>
      </c>
      <c r="C861" s="33">
        <v>46226</v>
      </c>
      <c r="D861" s="15">
        <v>62034</v>
      </c>
      <c r="E861" s="60">
        <v>45511</v>
      </c>
      <c r="F861" s="52" t="s">
        <v>120</v>
      </c>
      <c r="G861" s="18" t="s">
        <v>489</v>
      </c>
      <c r="H861" s="49" t="s">
        <v>439</v>
      </c>
      <c r="I861" s="49" t="s">
        <v>69</v>
      </c>
      <c r="J861" s="50" t="s">
        <v>70</v>
      </c>
      <c r="K861" s="15">
        <v>12</v>
      </c>
      <c r="L861" s="62">
        <v>500</v>
      </c>
      <c r="M861" s="53">
        <f t="shared" si="26"/>
        <v>6000</v>
      </c>
      <c r="O861" s="59"/>
    </row>
    <row r="862" spans="1:17" x14ac:dyDescent="0.25">
      <c r="A862" s="21">
        <f>IF(C862="","",COUNTA($C$3:C862))</f>
        <v>860</v>
      </c>
      <c r="B862" s="35" t="str">
        <f t="shared" si="29"/>
        <v>July</v>
      </c>
      <c r="C862" s="33">
        <v>46226</v>
      </c>
      <c r="D862" s="15">
        <v>62034</v>
      </c>
      <c r="E862" s="60">
        <v>45511</v>
      </c>
      <c r="F862" s="52" t="s">
        <v>120</v>
      </c>
      <c r="G862" s="18" t="s">
        <v>489</v>
      </c>
      <c r="H862" s="49" t="s">
        <v>130</v>
      </c>
      <c r="I862" s="49" t="s">
        <v>40</v>
      </c>
      <c r="J862" s="50" t="s">
        <v>47</v>
      </c>
      <c r="K862" s="55">
        <v>25</v>
      </c>
      <c r="L862" s="54">
        <v>20</v>
      </c>
      <c r="M862" s="53">
        <f t="shared" si="26"/>
        <v>500</v>
      </c>
      <c r="O862" s="59"/>
    </row>
    <row r="863" spans="1:17" x14ac:dyDescent="0.25">
      <c r="A863" s="21">
        <f>IF(C863="","",COUNTA($C$3:C863))</f>
        <v>861</v>
      </c>
      <c r="B863" s="35" t="str">
        <f t="shared" si="29"/>
        <v>July</v>
      </c>
      <c r="C863" s="33">
        <v>46226</v>
      </c>
      <c r="D863" s="15">
        <v>61965</v>
      </c>
      <c r="E863" s="60">
        <v>45512</v>
      </c>
      <c r="F863" s="52" t="s">
        <v>120</v>
      </c>
      <c r="G863" s="18" t="s">
        <v>134</v>
      </c>
      <c r="H863" s="49" t="s">
        <v>494</v>
      </c>
      <c r="I863" s="49" t="s">
        <v>68</v>
      </c>
      <c r="J863" s="50" t="s">
        <v>47</v>
      </c>
      <c r="K863" s="15">
        <v>695</v>
      </c>
      <c r="L863" s="62">
        <v>4.5</v>
      </c>
      <c r="M863" s="53">
        <f t="shared" si="26"/>
        <v>3127.5</v>
      </c>
      <c r="O863" s="59"/>
    </row>
    <row r="864" spans="1:17" x14ac:dyDescent="0.25">
      <c r="A864" s="21">
        <f>IF(C864="","",COUNTA($C$3:C864))</f>
        <v>862</v>
      </c>
      <c r="B864" s="35" t="str">
        <f t="shared" si="29"/>
        <v>July</v>
      </c>
      <c r="C864" s="33">
        <v>46226</v>
      </c>
      <c r="D864" s="15">
        <v>61955</v>
      </c>
      <c r="E864" s="60">
        <v>45513</v>
      </c>
      <c r="F864" s="52" t="s">
        <v>120</v>
      </c>
      <c r="G864" s="18" t="s">
        <v>211</v>
      </c>
      <c r="H864" s="49" t="s">
        <v>161</v>
      </c>
      <c r="I864" s="49" t="s">
        <v>68</v>
      </c>
      <c r="J864" s="50" t="s">
        <v>47</v>
      </c>
      <c r="K864" s="15">
        <v>60</v>
      </c>
      <c r="L864" s="62">
        <v>495</v>
      </c>
      <c r="M864" s="53">
        <f t="shared" si="26"/>
        <v>29700</v>
      </c>
      <c r="O864" s="59"/>
    </row>
    <row r="865" spans="1:17" x14ac:dyDescent="0.25">
      <c r="A865" s="21">
        <f>IF(C865="","",COUNTA($C$3:C865))</f>
        <v>863</v>
      </c>
      <c r="B865" s="35" t="str">
        <f t="shared" si="29"/>
        <v>July</v>
      </c>
      <c r="C865" s="33">
        <v>46226</v>
      </c>
      <c r="D865" s="15">
        <v>61955</v>
      </c>
      <c r="E865" s="60">
        <v>45513</v>
      </c>
      <c r="F865" s="52" t="s">
        <v>120</v>
      </c>
      <c r="G865" s="18" t="s">
        <v>211</v>
      </c>
      <c r="H865" s="49" t="s">
        <v>91</v>
      </c>
      <c r="I865" s="49" t="s">
        <v>91</v>
      </c>
      <c r="J865" s="50" t="s">
        <v>137</v>
      </c>
      <c r="K865" s="15">
        <v>200</v>
      </c>
      <c r="L865" s="62">
        <v>8</v>
      </c>
      <c r="M865" s="53">
        <f t="shared" si="26"/>
        <v>1600</v>
      </c>
      <c r="O865" s="59"/>
    </row>
    <row r="866" spans="1:17" x14ac:dyDescent="0.25">
      <c r="A866" s="21">
        <f>IF(C866="","",COUNTA($C$3:C866))</f>
        <v>864</v>
      </c>
      <c r="B866" s="35" t="str">
        <f t="shared" si="29"/>
        <v>July</v>
      </c>
      <c r="C866" s="33">
        <v>46226</v>
      </c>
      <c r="D866" s="15">
        <v>61955</v>
      </c>
      <c r="E866" s="60">
        <v>45513</v>
      </c>
      <c r="F866" s="52" t="s">
        <v>120</v>
      </c>
      <c r="G866" s="18" t="s">
        <v>211</v>
      </c>
      <c r="H866" s="49" t="s">
        <v>266</v>
      </c>
      <c r="I866" s="49" t="s">
        <v>266</v>
      </c>
      <c r="J866" s="50" t="s">
        <v>70</v>
      </c>
      <c r="K866" s="15">
        <v>100</v>
      </c>
      <c r="L866" s="62">
        <v>9</v>
      </c>
      <c r="M866" s="53">
        <f t="shared" si="26"/>
        <v>900</v>
      </c>
    </row>
    <row r="867" spans="1:17" x14ac:dyDescent="0.25">
      <c r="A867" s="21">
        <f>IF(C867="","",COUNTA($C$3:C867))</f>
        <v>865</v>
      </c>
      <c r="B867" s="35" t="str">
        <f t="shared" si="29"/>
        <v>July</v>
      </c>
      <c r="C867" s="33">
        <v>46226</v>
      </c>
      <c r="D867" s="15">
        <v>61962</v>
      </c>
      <c r="E867" s="60">
        <v>45514</v>
      </c>
      <c r="F867" s="52" t="s">
        <v>120</v>
      </c>
      <c r="G867" s="18" t="s">
        <v>233</v>
      </c>
      <c r="H867" s="49" t="s">
        <v>237</v>
      </c>
      <c r="I867" s="49" t="s">
        <v>68</v>
      </c>
      <c r="J867" s="50" t="s">
        <v>70</v>
      </c>
      <c r="K867" s="15">
        <v>154</v>
      </c>
      <c r="L867" s="54">
        <v>969</v>
      </c>
      <c r="M867" s="53">
        <f t="shared" si="26"/>
        <v>149226</v>
      </c>
      <c r="O867" s="59"/>
      <c r="P867" s="112"/>
      <c r="Q867" s="59"/>
    </row>
    <row r="868" spans="1:17" x14ac:dyDescent="0.25">
      <c r="A868" s="21">
        <f>IF(C868="","",COUNTA($C$3:C868))</f>
        <v>866</v>
      </c>
      <c r="B868" s="35" t="str">
        <f t="shared" si="28"/>
        <v>July</v>
      </c>
      <c r="C868" s="33">
        <v>46226</v>
      </c>
      <c r="D868" s="15">
        <v>61962</v>
      </c>
      <c r="E868" s="60">
        <v>45514</v>
      </c>
      <c r="F868" s="52" t="s">
        <v>120</v>
      </c>
      <c r="G868" s="18" t="s">
        <v>233</v>
      </c>
      <c r="H868" s="49" t="s">
        <v>129</v>
      </c>
      <c r="I868" s="49" t="s">
        <v>92</v>
      </c>
      <c r="J868" s="50" t="s">
        <v>47</v>
      </c>
      <c r="K868" s="55">
        <v>183.18367000000001</v>
      </c>
      <c r="L868" s="62">
        <v>686</v>
      </c>
      <c r="M868" s="53">
        <f t="shared" si="26"/>
        <v>125663.99762000001</v>
      </c>
    </row>
    <row r="869" spans="1:17" x14ac:dyDescent="0.25">
      <c r="A869" s="21">
        <f>IF(C869="","",COUNTA($C$3:C869))</f>
        <v>867</v>
      </c>
      <c r="B869" s="35" t="str">
        <f t="shared" si="28"/>
        <v>July</v>
      </c>
      <c r="C869" s="33">
        <v>46226</v>
      </c>
      <c r="D869" s="15">
        <v>61962</v>
      </c>
      <c r="E869" s="60">
        <v>45514</v>
      </c>
      <c r="F869" s="52" t="s">
        <v>120</v>
      </c>
      <c r="G869" s="18" t="s">
        <v>233</v>
      </c>
      <c r="H869" s="49" t="s">
        <v>129</v>
      </c>
      <c r="I869" s="49" t="s">
        <v>92</v>
      </c>
      <c r="J869" s="50" t="s">
        <v>47</v>
      </c>
      <c r="K869" s="15">
        <v>222.6</v>
      </c>
      <c r="L869" s="62">
        <v>735</v>
      </c>
      <c r="M869" s="53">
        <f t="shared" si="26"/>
        <v>163611</v>
      </c>
      <c r="O869" s="59"/>
    </row>
    <row r="870" spans="1:17" x14ac:dyDescent="0.25">
      <c r="A870" s="21">
        <f>IF(C870="","",COUNTA($C$3:C870))</f>
        <v>868</v>
      </c>
      <c r="B870" s="35" t="str">
        <f t="shared" si="28"/>
        <v>July</v>
      </c>
      <c r="C870" s="33">
        <v>46226</v>
      </c>
      <c r="D870" s="15">
        <v>61962</v>
      </c>
      <c r="E870" s="60">
        <v>45514</v>
      </c>
      <c r="F870" s="52" t="s">
        <v>120</v>
      </c>
      <c r="G870" s="18" t="s">
        <v>233</v>
      </c>
      <c r="H870" s="49" t="s">
        <v>495</v>
      </c>
      <c r="I870" s="49" t="s">
        <v>99</v>
      </c>
      <c r="J870" s="50" t="s">
        <v>70</v>
      </c>
      <c r="K870" s="15">
        <v>7</v>
      </c>
      <c r="L870" s="62">
        <v>595</v>
      </c>
      <c r="M870" s="53">
        <f t="shared" si="26"/>
        <v>4165</v>
      </c>
    </row>
    <row r="871" spans="1:17" x14ac:dyDescent="0.25">
      <c r="A871" s="21">
        <f>IF(C871="","",COUNTA($C$3:C871))</f>
        <v>869</v>
      </c>
      <c r="B871" s="35" t="str">
        <f t="shared" si="28"/>
        <v>July</v>
      </c>
      <c r="C871" s="33">
        <v>46226</v>
      </c>
      <c r="D871" s="15">
        <v>61768</v>
      </c>
      <c r="E871" s="60">
        <v>45515</v>
      </c>
      <c r="F871" s="18" t="s">
        <v>144</v>
      </c>
      <c r="G871" s="18" t="s">
        <v>146</v>
      </c>
      <c r="H871" s="49" t="s">
        <v>143</v>
      </c>
      <c r="I871" s="49" t="s">
        <v>496</v>
      </c>
      <c r="J871" s="50" t="s">
        <v>70</v>
      </c>
      <c r="K871" s="15">
        <v>21050</v>
      </c>
      <c r="L871" s="62">
        <v>9</v>
      </c>
      <c r="M871" s="53">
        <f t="shared" si="26"/>
        <v>189450</v>
      </c>
    </row>
    <row r="872" spans="1:17" x14ac:dyDescent="0.25">
      <c r="A872" s="21">
        <f>IF(C872="","",COUNTA($C$3:C872))</f>
        <v>870</v>
      </c>
      <c r="B872" s="35" t="str">
        <f t="shared" si="28"/>
        <v>July</v>
      </c>
      <c r="C872" s="33">
        <v>46226</v>
      </c>
      <c r="D872" s="15">
        <v>61768</v>
      </c>
      <c r="E872" s="60">
        <v>45515</v>
      </c>
      <c r="F872" s="18" t="s">
        <v>144</v>
      </c>
      <c r="G872" s="18" t="s">
        <v>146</v>
      </c>
      <c r="H872" s="49" t="s">
        <v>439</v>
      </c>
      <c r="I872" s="49" t="s">
        <v>69</v>
      </c>
      <c r="J872" s="50" t="s">
        <v>70</v>
      </c>
      <c r="K872" s="15">
        <v>25</v>
      </c>
      <c r="L872" s="54">
        <v>500</v>
      </c>
      <c r="M872" s="53">
        <f t="shared" si="26"/>
        <v>12500</v>
      </c>
    </row>
    <row r="873" spans="1:17" x14ac:dyDescent="0.25">
      <c r="A873" s="21">
        <f>IF(C873="","",COUNTA($C$3:C873))</f>
        <v>871</v>
      </c>
      <c r="B873" s="35" t="str">
        <f t="shared" si="28"/>
        <v>July</v>
      </c>
      <c r="C873" s="33">
        <v>46226</v>
      </c>
      <c r="D873" s="15">
        <v>61768</v>
      </c>
      <c r="E873" s="60">
        <v>45515</v>
      </c>
      <c r="F873" s="18" t="s">
        <v>144</v>
      </c>
      <c r="G873" s="18" t="s">
        <v>146</v>
      </c>
      <c r="H873" s="49" t="s">
        <v>497</v>
      </c>
      <c r="I873" s="49" t="s">
        <v>68</v>
      </c>
      <c r="J873" s="50" t="s">
        <v>70</v>
      </c>
      <c r="K873" s="55">
        <v>2</v>
      </c>
      <c r="L873" s="62">
        <v>800</v>
      </c>
      <c r="M873" s="53">
        <f t="shared" si="26"/>
        <v>1600</v>
      </c>
      <c r="P873" s="15"/>
      <c r="Q873" s="62"/>
    </row>
    <row r="874" spans="1:17" x14ac:dyDescent="0.25">
      <c r="A874" s="21">
        <f>IF(C874="","",COUNTA($C$3:C874))</f>
        <v>872</v>
      </c>
      <c r="B874" s="35" t="str">
        <f t="shared" si="28"/>
        <v>July</v>
      </c>
      <c r="C874" s="33">
        <v>46226</v>
      </c>
      <c r="D874" s="15">
        <v>62033</v>
      </c>
      <c r="E874" s="60">
        <v>45516</v>
      </c>
      <c r="F874" s="52" t="s">
        <v>491</v>
      </c>
      <c r="G874" s="18" t="s">
        <v>492</v>
      </c>
      <c r="H874" s="49" t="s">
        <v>271</v>
      </c>
      <c r="I874" s="49" t="s">
        <v>48</v>
      </c>
      <c r="J874" s="50" t="s">
        <v>47</v>
      </c>
      <c r="K874" s="15">
        <v>3.2</v>
      </c>
      <c r="L874" s="62">
        <v>610</v>
      </c>
      <c r="M874" s="53">
        <f t="shared" si="26"/>
        <v>1952</v>
      </c>
      <c r="P874" s="15"/>
    </row>
    <row r="875" spans="1:17" x14ac:dyDescent="0.25">
      <c r="A875" s="21">
        <f>IF(C875="","",COUNTA($C$3:C875))</f>
        <v>873</v>
      </c>
      <c r="B875" s="35" t="str">
        <f t="shared" si="28"/>
        <v>July</v>
      </c>
      <c r="C875" s="33">
        <v>46226</v>
      </c>
      <c r="D875" s="15">
        <v>62033</v>
      </c>
      <c r="E875" s="60">
        <v>45516</v>
      </c>
      <c r="F875" s="52" t="s">
        <v>491</v>
      </c>
      <c r="G875" s="18" t="s">
        <v>492</v>
      </c>
      <c r="H875" s="49" t="s">
        <v>114</v>
      </c>
      <c r="I875" s="49" t="s">
        <v>48</v>
      </c>
      <c r="J875" s="50" t="s">
        <v>47</v>
      </c>
      <c r="K875" s="15">
        <v>10.8</v>
      </c>
      <c r="L875" s="62">
        <v>720</v>
      </c>
      <c r="M875" s="53">
        <f t="shared" si="26"/>
        <v>7776.0000000000009</v>
      </c>
    </row>
    <row r="876" spans="1:17" x14ac:dyDescent="0.25">
      <c r="A876" s="21">
        <f>IF(C876="","",COUNTA($C$3:C876))</f>
        <v>874</v>
      </c>
      <c r="B876" s="35" t="str">
        <f t="shared" si="28"/>
        <v>July</v>
      </c>
      <c r="C876" s="33">
        <v>46226</v>
      </c>
      <c r="D876" s="15">
        <v>62033</v>
      </c>
      <c r="E876" s="60">
        <v>45516</v>
      </c>
      <c r="F876" s="52" t="s">
        <v>491</v>
      </c>
      <c r="G876" s="18" t="s">
        <v>492</v>
      </c>
      <c r="H876" s="49" t="s">
        <v>147</v>
      </c>
      <c r="I876" s="49" t="s">
        <v>50</v>
      </c>
      <c r="J876" s="50" t="s">
        <v>47</v>
      </c>
      <c r="K876" s="15">
        <v>0.3</v>
      </c>
      <c r="L876" s="62">
        <v>950</v>
      </c>
      <c r="M876" s="53">
        <f t="shared" si="26"/>
        <v>285</v>
      </c>
    </row>
    <row r="877" spans="1:17" x14ac:dyDescent="0.25">
      <c r="A877" s="21">
        <f>IF(C877="","",COUNTA($C$3:C877))</f>
        <v>875</v>
      </c>
      <c r="B877" s="35" t="str">
        <f t="shared" si="28"/>
        <v>July</v>
      </c>
      <c r="C877" s="33">
        <v>46226</v>
      </c>
      <c r="D877" s="15">
        <v>62033</v>
      </c>
      <c r="E877" s="60">
        <v>45516</v>
      </c>
      <c r="F877" s="52" t="s">
        <v>491</v>
      </c>
      <c r="G877" s="18" t="s">
        <v>492</v>
      </c>
      <c r="H877" s="49" t="s">
        <v>129</v>
      </c>
      <c r="I877" s="49" t="s">
        <v>53</v>
      </c>
      <c r="J877" s="50" t="s">
        <v>47</v>
      </c>
      <c r="K877" s="15">
        <v>14.3</v>
      </c>
      <c r="L877" s="53">
        <v>330</v>
      </c>
      <c r="M877" s="53">
        <f t="shared" si="26"/>
        <v>4719</v>
      </c>
    </row>
    <row r="878" spans="1:17" x14ac:dyDescent="0.25">
      <c r="A878" s="21">
        <f>IF(C878="","",COUNTA($C$3:C878))</f>
        <v>876</v>
      </c>
      <c r="B878" s="35" t="str">
        <f t="shared" si="28"/>
        <v>July</v>
      </c>
      <c r="C878" s="33">
        <v>46228</v>
      </c>
      <c r="D878" s="15">
        <v>61965</v>
      </c>
      <c r="E878" s="60">
        <v>45517</v>
      </c>
      <c r="F878" s="52" t="s">
        <v>120</v>
      </c>
      <c r="G878" s="18" t="s">
        <v>134</v>
      </c>
      <c r="H878" s="49" t="s">
        <v>38</v>
      </c>
      <c r="I878" s="49" t="s">
        <v>68</v>
      </c>
      <c r="J878" s="50" t="s">
        <v>47</v>
      </c>
      <c r="K878" s="15">
        <v>2</v>
      </c>
      <c r="L878" s="62">
        <v>670</v>
      </c>
      <c r="M878" s="53">
        <f t="shared" si="26"/>
        <v>1340</v>
      </c>
    </row>
    <row r="879" spans="1:17" x14ac:dyDescent="0.25">
      <c r="A879" s="21">
        <f>IF(C879="","",COUNTA($C$3:C879))</f>
        <v>877</v>
      </c>
      <c r="B879" s="35" t="str">
        <f t="shared" si="28"/>
        <v>July</v>
      </c>
      <c r="C879" s="33">
        <v>46228</v>
      </c>
      <c r="D879" s="15">
        <v>61965</v>
      </c>
      <c r="E879" s="60">
        <v>45517</v>
      </c>
      <c r="F879" s="52" t="s">
        <v>120</v>
      </c>
      <c r="G879" s="18" t="s">
        <v>134</v>
      </c>
      <c r="H879" s="49" t="s">
        <v>494</v>
      </c>
      <c r="I879" s="49" t="s">
        <v>68</v>
      </c>
      <c r="J879" s="50" t="s">
        <v>47</v>
      </c>
      <c r="K879" s="15">
        <v>2745</v>
      </c>
      <c r="L879" s="62">
        <v>4.5</v>
      </c>
      <c r="M879" s="53">
        <f t="shared" si="26"/>
        <v>12352.5</v>
      </c>
    </row>
    <row r="880" spans="1:17" x14ac:dyDescent="0.25">
      <c r="A880" s="21">
        <f>IF(C880="","",COUNTA($C$3:C880))</f>
        <v>878</v>
      </c>
      <c r="B880" s="35" t="str">
        <f t="shared" si="28"/>
        <v>July</v>
      </c>
      <c r="C880" s="33">
        <v>46228</v>
      </c>
      <c r="D880" s="15">
        <v>61965</v>
      </c>
      <c r="E880" s="60">
        <v>45517</v>
      </c>
      <c r="F880" s="52" t="s">
        <v>120</v>
      </c>
      <c r="G880" s="18" t="s">
        <v>134</v>
      </c>
      <c r="H880" s="49" t="s">
        <v>499</v>
      </c>
      <c r="I880" s="49" t="s">
        <v>39</v>
      </c>
      <c r="J880" s="50" t="s">
        <v>47</v>
      </c>
      <c r="K880" s="15">
        <v>122.9</v>
      </c>
      <c r="L880" s="62">
        <v>760</v>
      </c>
      <c r="M880" s="53">
        <f t="shared" si="26"/>
        <v>93404</v>
      </c>
    </row>
    <row r="881" spans="1:17" x14ac:dyDescent="0.25">
      <c r="A881" s="21">
        <f>IF(C881="","",COUNTA($C$3:C881))</f>
        <v>879</v>
      </c>
      <c r="B881" s="35" t="str">
        <f t="shared" si="28"/>
        <v>July</v>
      </c>
      <c r="C881" s="33">
        <v>46228</v>
      </c>
      <c r="D881" s="15">
        <v>61965</v>
      </c>
      <c r="E881" s="60">
        <v>45517</v>
      </c>
      <c r="F881" s="52" t="s">
        <v>120</v>
      </c>
      <c r="G881" s="18" t="s">
        <v>134</v>
      </c>
      <c r="H881" s="49" t="s">
        <v>129</v>
      </c>
      <c r="I881" s="49" t="s">
        <v>75</v>
      </c>
      <c r="J881" s="50" t="s">
        <v>47</v>
      </c>
      <c r="K881" s="15">
        <v>2</v>
      </c>
      <c r="L881" s="54">
        <v>838</v>
      </c>
      <c r="M881" s="53">
        <f t="shared" si="26"/>
        <v>1676</v>
      </c>
    </row>
    <row r="882" spans="1:17" x14ac:dyDescent="0.25">
      <c r="A882" s="21">
        <f>IF(C882="","",COUNTA($C$3:C882))</f>
        <v>880</v>
      </c>
      <c r="B882" s="35" t="str">
        <f t="shared" si="28"/>
        <v>July</v>
      </c>
      <c r="C882" s="33">
        <v>46228</v>
      </c>
      <c r="D882" s="15">
        <v>61967</v>
      </c>
      <c r="E882" s="60">
        <v>45518</v>
      </c>
      <c r="F882" s="52" t="s">
        <v>120</v>
      </c>
      <c r="G882" s="18" t="s">
        <v>263</v>
      </c>
      <c r="H882" s="49" t="s">
        <v>38</v>
      </c>
      <c r="I882" s="49" t="s">
        <v>68</v>
      </c>
      <c r="J882" s="50" t="s">
        <v>47</v>
      </c>
      <c r="K882" s="15">
        <v>329.1</v>
      </c>
      <c r="L882" s="62">
        <v>670</v>
      </c>
      <c r="M882" s="53">
        <f t="shared" si="26"/>
        <v>220497.00000000003</v>
      </c>
    </row>
    <row r="883" spans="1:17" x14ac:dyDescent="0.25">
      <c r="A883" s="21">
        <f>IF(C883="","",COUNTA($C$3:C883))</f>
        <v>881</v>
      </c>
      <c r="B883" s="35" t="str">
        <f t="shared" si="28"/>
        <v>July</v>
      </c>
      <c r="C883" s="33">
        <v>46228</v>
      </c>
      <c r="D883" s="15">
        <v>61967</v>
      </c>
      <c r="E883" s="60">
        <v>45518</v>
      </c>
      <c r="F883" s="52" t="s">
        <v>120</v>
      </c>
      <c r="G883" s="18" t="s">
        <v>263</v>
      </c>
      <c r="H883" s="49" t="s">
        <v>38</v>
      </c>
      <c r="I883" s="49" t="s">
        <v>69</v>
      </c>
      <c r="J883" s="50" t="s">
        <v>47</v>
      </c>
      <c r="K883" s="15">
        <v>114.8</v>
      </c>
      <c r="L883" s="62">
        <v>868</v>
      </c>
      <c r="M883" s="53">
        <f t="shared" si="26"/>
        <v>99646.399999999994</v>
      </c>
    </row>
    <row r="884" spans="1:17" x14ac:dyDescent="0.25">
      <c r="A884" s="21">
        <f>IF(C884="","",COUNTA($C$3:C884))</f>
        <v>882</v>
      </c>
      <c r="B884" s="35" t="str">
        <f t="shared" si="28"/>
        <v>July</v>
      </c>
      <c r="C884" s="33">
        <v>46228</v>
      </c>
      <c r="D884" s="15">
        <v>61967</v>
      </c>
      <c r="E884" s="60">
        <v>45518</v>
      </c>
      <c r="F884" s="52" t="s">
        <v>120</v>
      </c>
      <c r="G884" s="18" t="s">
        <v>263</v>
      </c>
      <c r="H884" s="49" t="s">
        <v>38</v>
      </c>
      <c r="I884" s="49" t="s">
        <v>39</v>
      </c>
      <c r="J884" s="50" t="s">
        <v>47</v>
      </c>
      <c r="K884" s="67">
        <v>50.2</v>
      </c>
      <c r="L884" s="62">
        <v>1060</v>
      </c>
      <c r="M884" s="53">
        <f t="shared" si="26"/>
        <v>53212</v>
      </c>
    </row>
    <row r="885" spans="1:17" x14ac:dyDescent="0.25">
      <c r="A885" s="21">
        <f>IF(C885="","",COUNTA($C$3:C885))</f>
        <v>883</v>
      </c>
      <c r="B885" s="35" t="str">
        <f t="shared" si="28"/>
        <v>July</v>
      </c>
      <c r="C885" s="33">
        <v>46228</v>
      </c>
      <c r="D885" s="15">
        <v>61967</v>
      </c>
      <c r="E885" s="60">
        <v>45518</v>
      </c>
      <c r="F885" s="52" t="s">
        <v>120</v>
      </c>
      <c r="G885" s="18" t="s">
        <v>263</v>
      </c>
      <c r="H885" s="49" t="s">
        <v>129</v>
      </c>
      <c r="I885" s="49" t="s">
        <v>104</v>
      </c>
      <c r="J885" s="50" t="s">
        <v>47</v>
      </c>
      <c r="K885" s="15">
        <v>59.3</v>
      </c>
      <c r="L885" s="54">
        <v>755</v>
      </c>
      <c r="M885" s="53">
        <f t="shared" si="26"/>
        <v>44771.5</v>
      </c>
    </row>
    <row r="886" spans="1:17" x14ac:dyDescent="0.25">
      <c r="A886" s="21">
        <f>IF(C886="","",COUNTA($C$3:C886))</f>
        <v>884</v>
      </c>
      <c r="B886" s="35" t="str">
        <f t="shared" si="28"/>
        <v>July</v>
      </c>
      <c r="C886" s="33">
        <v>46228</v>
      </c>
      <c r="D886" s="15">
        <v>61967</v>
      </c>
      <c r="E886" s="60">
        <v>45518</v>
      </c>
      <c r="F886" s="52" t="s">
        <v>120</v>
      </c>
      <c r="G886" s="18" t="s">
        <v>263</v>
      </c>
      <c r="H886" s="49" t="s">
        <v>129</v>
      </c>
      <c r="I886" s="49" t="s">
        <v>268</v>
      </c>
      <c r="J886" s="50" t="s">
        <v>47</v>
      </c>
      <c r="K886" s="15">
        <v>414.9</v>
      </c>
      <c r="L886" s="62">
        <v>415</v>
      </c>
      <c r="M886" s="53">
        <f t="shared" si="26"/>
        <v>172183.5</v>
      </c>
    </row>
    <row r="887" spans="1:17" x14ac:dyDescent="0.25">
      <c r="A887" s="21">
        <f>IF(C887="","",COUNTA($C$3:C887))</f>
        <v>885</v>
      </c>
      <c r="B887" s="35" t="str">
        <f t="shared" si="28"/>
        <v>July</v>
      </c>
      <c r="C887" s="33">
        <v>46228</v>
      </c>
      <c r="D887" s="15">
        <v>61967</v>
      </c>
      <c r="E887" s="60">
        <v>45518</v>
      </c>
      <c r="F887" s="52" t="s">
        <v>120</v>
      </c>
      <c r="G887" s="18" t="s">
        <v>263</v>
      </c>
      <c r="H887" s="49" t="s">
        <v>130</v>
      </c>
      <c r="I887" s="49" t="s">
        <v>40</v>
      </c>
      <c r="J887" s="50" t="s">
        <v>47</v>
      </c>
      <c r="K887" s="15">
        <v>470</v>
      </c>
      <c r="L887" s="62">
        <v>20</v>
      </c>
      <c r="M887" s="53">
        <f t="shared" si="26"/>
        <v>9400</v>
      </c>
    </row>
    <row r="888" spans="1:17" x14ac:dyDescent="0.25">
      <c r="A888" s="21">
        <f>IF(C888="","",COUNTA($C$3:C888))</f>
        <v>886</v>
      </c>
      <c r="B888" s="35" t="str">
        <f t="shared" si="28"/>
        <v>July</v>
      </c>
      <c r="C888" s="33">
        <v>46230</v>
      </c>
      <c r="D888" s="15">
        <v>61997</v>
      </c>
      <c r="E888" s="60">
        <v>45519</v>
      </c>
      <c r="F888" s="52" t="s">
        <v>120</v>
      </c>
      <c r="G888" s="18" t="s">
        <v>173</v>
      </c>
      <c r="H888" s="49" t="s">
        <v>38</v>
      </c>
      <c r="I888" s="49" t="s">
        <v>68</v>
      </c>
      <c r="J888" s="50" t="s">
        <v>47</v>
      </c>
      <c r="K888" s="15">
        <v>493.7</v>
      </c>
      <c r="L888" s="62">
        <v>670</v>
      </c>
      <c r="M888" s="53">
        <f t="shared" si="26"/>
        <v>330779</v>
      </c>
    </row>
    <row r="889" spans="1:17" x14ac:dyDescent="0.25">
      <c r="A889" s="21">
        <f>IF(C889="","",COUNTA($C$3:C889))</f>
        <v>887</v>
      </c>
      <c r="B889" s="35" t="str">
        <f t="shared" si="28"/>
        <v>July</v>
      </c>
      <c r="C889" s="33">
        <v>46230</v>
      </c>
      <c r="D889" s="15">
        <v>61997</v>
      </c>
      <c r="E889" s="60">
        <v>45519</v>
      </c>
      <c r="F889" s="52" t="s">
        <v>120</v>
      </c>
      <c r="G889" s="18" t="s">
        <v>173</v>
      </c>
      <c r="H889" s="49" t="s">
        <v>38</v>
      </c>
      <c r="I889" s="49" t="s">
        <v>69</v>
      </c>
      <c r="J889" s="50" t="s">
        <v>47</v>
      </c>
      <c r="K889" s="15">
        <v>32.200000000000003</v>
      </c>
      <c r="L889" s="62">
        <v>868</v>
      </c>
      <c r="M889" s="53">
        <f t="shared" si="26"/>
        <v>27949.600000000002</v>
      </c>
      <c r="O889" s="59"/>
      <c r="P889" s="71"/>
      <c r="Q889" s="59"/>
    </row>
    <row r="890" spans="1:17" x14ac:dyDescent="0.25">
      <c r="A890" s="21">
        <f>IF(C890="","",COUNTA($C$3:C890))</f>
        <v>888</v>
      </c>
      <c r="B890" s="35" t="str">
        <f t="shared" si="28"/>
        <v>July</v>
      </c>
      <c r="C890" s="33">
        <v>46230</v>
      </c>
      <c r="D890" s="15">
        <v>61997</v>
      </c>
      <c r="E890" s="60">
        <v>45519</v>
      </c>
      <c r="F890" s="52" t="s">
        <v>120</v>
      </c>
      <c r="G890" s="18" t="s">
        <v>173</v>
      </c>
      <c r="H890" s="49" t="s">
        <v>280</v>
      </c>
      <c r="I890" s="49" t="s">
        <v>49</v>
      </c>
      <c r="J890" s="50" t="s">
        <v>47</v>
      </c>
      <c r="K890" s="15">
        <v>9.5</v>
      </c>
      <c r="L890" s="54">
        <v>770</v>
      </c>
      <c r="M890" s="53">
        <f t="shared" si="26"/>
        <v>7315</v>
      </c>
      <c r="O890" s="59"/>
      <c r="P890" s="59"/>
      <c r="Q890" s="59"/>
    </row>
    <row r="891" spans="1:17" x14ac:dyDescent="0.25">
      <c r="A891" s="21">
        <f>IF(C891="","",COUNTA($C$3:C891))</f>
        <v>889</v>
      </c>
      <c r="B891" s="35" t="str">
        <f t="shared" si="28"/>
        <v>July</v>
      </c>
      <c r="C891" s="33">
        <v>46230</v>
      </c>
      <c r="D891" s="15">
        <v>61997</v>
      </c>
      <c r="E891" s="60">
        <v>45519</v>
      </c>
      <c r="F891" s="52" t="s">
        <v>120</v>
      </c>
      <c r="G891" s="18" t="s">
        <v>173</v>
      </c>
      <c r="H891" s="49" t="s">
        <v>274</v>
      </c>
      <c r="I891" s="49" t="s">
        <v>68</v>
      </c>
      <c r="J891" s="50" t="s">
        <v>70</v>
      </c>
      <c r="K891" s="15">
        <v>155</v>
      </c>
      <c r="L891" s="62">
        <v>75</v>
      </c>
      <c r="M891" s="53">
        <f t="shared" si="26"/>
        <v>11625</v>
      </c>
      <c r="O891" s="59"/>
      <c r="P891" s="71"/>
      <c r="Q891" s="59"/>
    </row>
    <row r="892" spans="1:17" x14ac:dyDescent="0.25">
      <c r="A892" s="21">
        <f>IF(C892="","",COUNTA($C$3:C892))</f>
        <v>890</v>
      </c>
      <c r="B892" s="35" t="str">
        <f t="shared" si="28"/>
        <v>July</v>
      </c>
      <c r="C892" s="33">
        <v>46230</v>
      </c>
      <c r="D892" s="15">
        <v>61997</v>
      </c>
      <c r="E892" s="60">
        <v>45519</v>
      </c>
      <c r="F892" s="52" t="s">
        <v>120</v>
      </c>
      <c r="G892" s="18" t="s">
        <v>173</v>
      </c>
      <c r="H892" s="49" t="s">
        <v>284</v>
      </c>
      <c r="I892" s="49" t="s">
        <v>69</v>
      </c>
      <c r="J892" s="50" t="s">
        <v>70</v>
      </c>
      <c r="K892" s="15">
        <v>96</v>
      </c>
      <c r="L892" s="62">
        <v>385</v>
      </c>
      <c r="M892" s="53">
        <f t="shared" si="26"/>
        <v>36960</v>
      </c>
    </row>
    <row r="893" spans="1:17" x14ac:dyDescent="0.25">
      <c r="A893" s="21">
        <f>IF(C893="","",COUNTA($C$3:C893))</f>
        <v>891</v>
      </c>
      <c r="B893" s="35" t="str">
        <f t="shared" si="28"/>
        <v>July</v>
      </c>
      <c r="C893" s="33">
        <v>46230</v>
      </c>
      <c r="D893" s="15">
        <v>61997</v>
      </c>
      <c r="E893" s="60">
        <v>45519</v>
      </c>
      <c r="F893" s="52" t="s">
        <v>120</v>
      </c>
      <c r="G893" s="18" t="s">
        <v>173</v>
      </c>
      <c r="H893" s="49" t="s">
        <v>129</v>
      </c>
      <c r="I893" s="49" t="s">
        <v>295</v>
      </c>
      <c r="J893" s="50" t="s">
        <v>47</v>
      </c>
      <c r="K893" s="15">
        <v>343</v>
      </c>
      <c r="L893" s="54">
        <v>507</v>
      </c>
      <c r="M893" s="53">
        <f t="shared" si="26"/>
        <v>173901</v>
      </c>
      <c r="O893" s="59"/>
      <c r="P893" s="59"/>
      <c r="Q893" s="59"/>
    </row>
    <row r="894" spans="1:17" x14ac:dyDescent="0.25">
      <c r="A894" s="21">
        <f>IF(C894="","",COUNTA($C$3:C894))</f>
        <v>892</v>
      </c>
      <c r="B894" s="35" t="str">
        <f t="shared" si="28"/>
        <v>July</v>
      </c>
      <c r="C894" s="33">
        <v>46230</v>
      </c>
      <c r="D894" s="15">
        <v>61997</v>
      </c>
      <c r="E894" s="60">
        <v>45519</v>
      </c>
      <c r="F894" s="52" t="s">
        <v>120</v>
      </c>
      <c r="G894" s="18" t="s">
        <v>173</v>
      </c>
      <c r="H894" s="49" t="s">
        <v>176</v>
      </c>
      <c r="I894" s="49" t="s">
        <v>295</v>
      </c>
      <c r="J894" s="50" t="s">
        <v>47</v>
      </c>
      <c r="K894" s="15">
        <v>151.19999999999999</v>
      </c>
      <c r="L894" s="53">
        <v>360</v>
      </c>
      <c r="M894" s="53">
        <f t="shared" si="26"/>
        <v>54431.999999999993</v>
      </c>
      <c r="O894" s="59"/>
      <c r="P894" s="112"/>
      <c r="Q894" s="59"/>
    </row>
    <row r="895" spans="1:17" x14ac:dyDescent="0.25">
      <c r="A895" s="21">
        <f>IF(C895="","",COUNTA($C$3:C895))</f>
        <v>893</v>
      </c>
      <c r="B895" s="35" t="str">
        <f t="shared" si="28"/>
        <v>July</v>
      </c>
      <c r="C895" s="33">
        <v>46230</v>
      </c>
      <c r="D895" s="15">
        <v>61997</v>
      </c>
      <c r="E895" s="60">
        <v>45519</v>
      </c>
      <c r="F895" s="52" t="s">
        <v>120</v>
      </c>
      <c r="G895" s="18" t="s">
        <v>173</v>
      </c>
      <c r="H895" s="49" t="s">
        <v>129</v>
      </c>
      <c r="I895" s="49" t="s">
        <v>94</v>
      </c>
      <c r="J895" s="50" t="s">
        <v>47</v>
      </c>
      <c r="K895" s="15">
        <v>19.899999999999999</v>
      </c>
      <c r="L895" s="53">
        <v>865</v>
      </c>
      <c r="M895" s="53">
        <f t="shared" si="26"/>
        <v>17213.5</v>
      </c>
    </row>
    <row r="896" spans="1:17" x14ac:dyDescent="0.25">
      <c r="A896" s="21">
        <f>IF(C896="","",COUNTA($C$3:C896))</f>
        <v>894</v>
      </c>
      <c r="B896" s="35" t="str">
        <f t="shared" si="28"/>
        <v>July</v>
      </c>
      <c r="C896" s="33">
        <v>46230</v>
      </c>
      <c r="D896" s="15">
        <v>61997</v>
      </c>
      <c r="E896" s="60">
        <v>45519</v>
      </c>
      <c r="F896" s="52" t="s">
        <v>120</v>
      </c>
      <c r="G896" s="18" t="s">
        <v>173</v>
      </c>
      <c r="H896" s="49" t="s">
        <v>130</v>
      </c>
      <c r="I896" s="49" t="s">
        <v>40</v>
      </c>
      <c r="J896" s="50" t="s">
        <v>47</v>
      </c>
      <c r="K896" s="15">
        <v>380</v>
      </c>
      <c r="L896" s="62">
        <v>20</v>
      </c>
      <c r="M896" s="53">
        <f t="shared" si="26"/>
        <v>7600</v>
      </c>
    </row>
    <row r="897" spans="1:17" x14ac:dyDescent="0.25">
      <c r="A897" s="21">
        <f>IF(C897="","",COUNTA($C$3:C897))</f>
        <v>895</v>
      </c>
      <c r="B897" s="35" t="str">
        <f t="shared" si="28"/>
        <v>July</v>
      </c>
      <c r="C897" s="33">
        <v>46230</v>
      </c>
      <c r="D897" s="15">
        <v>62025</v>
      </c>
      <c r="E897" s="60">
        <v>45520</v>
      </c>
      <c r="F897" s="52" t="s">
        <v>120</v>
      </c>
      <c r="G897" s="18" t="s">
        <v>501</v>
      </c>
      <c r="H897" s="49" t="s">
        <v>38</v>
      </c>
      <c r="I897" s="49" t="s">
        <v>68</v>
      </c>
      <c r="J897" s="50" t="s">
        <v>47</v>
      </c>
      <c r="K897" s="55">
        <v>107.4</v>
      </c>
      <c r="L897" s="62">
        <v>650</v>
      </c>
      <c r="M897" s="53">
        <f t="shared" si="26"/>
        <v>69810</v>
      </c>
    </row>
    <row r="898" spans="1:17" x14ac:dyDescent="0.25">
      <c r="A898" s="21">
        <f>IF(C898="","",COUNTA($C$3:C898))</f>
        <v>896</v>
      </c>
      <c r="B898" s="35" t="str">
        <f t="shared" si="28"/>
        <v>July</v>
      </c>
      <c r="C898" s="33">
        <v>46230</v>
      </c>
      <c r="D898" s="15">
        <v>62025</v>
      </c>
      <c r="E898" s="60">
        <v>45520</v>
      </c>
      <c r="F898" s="52" t="s">
        <v>120</v>
      </c>
      <c r="G898" s="18" t="s">
        <v>501</v>
      </c>
      <c r="H898" s="49" t="s">
        <v>38</v>
      </c>
      <c r="I898" s="49" t="s">
        <v>69</v>
      </c>
      <c r="J898" s="50" t="s">
        <v>47</v>
      </c>
      <c r="K898" s="15">
        <v>76.5</v>
      </c>
      <c r="L898" s="62">
        <v>835</v>
      </c>
      <c r="M898" s="53">
        <f t="shared" si="26"/>
        <v>63877.5</v>
      </c>
    </row>
    <row r="899" spans="1:17" x14ac:dyDescent="0.25">
      <c r="A899" s="21">
        <f>IF(C899="","",COUNTA($C$3:C899))</f>
        <v>897</v>
      </c>
      <c r="B899" s="35" t="str">
        <f t="shared" si="28"/>
        <v>July</v>
      </c>
      <c r="C899" s="33">
        <v>46230</v>
      </c>
      <c r="D899" s="15">
        <v>62025</v>
      </c>
      <c r="E899" s="60">
        <v>45520</v>
      </c>
      <c r="F899" s="52" t="s">
        <v>120</v>
      </c>
      <c r="G899" s="18" t="s">
        <v>501</v>
      </c>
      <c r="H899" s="49" t="s">
        <v>439</v>
      </c>
      <c r="I899" s="49" t="s">
        <v>69</v>
      </c>
      <c r="J899" s="50" t="s">
        <v>70</v>
      </c>
      <c r="K899" s="15">
        <v>74</v>
      </c>
      <c r="L899" s="62">
        <v>500</v>
      </c>
      <c r="M899" s="53">
        <f t="shared" si="26"/>
        <v>37000</v>
      </c>
    </row>
    <row r="900" spans="1:17" x14ac:dyDescent="0.25">
      <c r="A900" s="21">
        <f>IF(C900="","",COUNTA($C$3:C900))</f>
        <v>898</v>
      </c>
      <c r="B900" s="35" t="str">
        <f t="shared" si="28"/>
        <v>July</v>
      </c>
      <c r="C900" s="33">
        <v>46230</v>
      </c>
      <c r="D900" s="15">
        <v>62025</v>
      </c>
      <c r="E900" s="60">
        <v>45520</v>
      </c>
      <c r="F900" s="52" t="s">
        <v>120</v>
      </c>
      <c r="G900" s="18" t="s">
        <v>501</v>
      </c>
      <c r="H900" s="49" t="s">
        <v>394</v>
      </c>
      <c r="I900" s="49" t="s">
        <v>69</v>
      </c>
      <c r="J900" s="50" t="s">
        <v>70</v>
      </c>
      <c r="K900" s="15">
        <v>23</v>
      </c>
      <c r="L900" s="62">
        <v>660</v>
      </c>
      <c r="M900" s="53">
        <f t="shared" si="26"/>
        <v>15180</v>
      </c>
    </row>
    <row r="901" spans="1:17" x14ac:dyDescent="0.25">
      <c r="A901" s="21">
        <f>IF(C901="","",COUNTA($C$3:C901))</f>
        <v>899</v>
      </c>
      <c r="B901" s="35" t="str">
        <f t="shared" ref="B901:B964" si="30">IF(C901="","",TEXT(C901,"mmmm"))</f>
        <v>July</v>
      </c>
      <c r="C901" s="33">
        <v>46230</v>
      </c>
      <c r="D901" s="15">
        <v>62025</v>
      </c>
      <c r="E901" s="60">
        <v>45520</v>
      </c>
      <c r="F901" s="52" t="s">
        <v>120</v>
      </c>
      <c r="G901" s="18" t="s">
        <v>501</v>
      </c>
      <c r="H901" s="49" t="s">
        <v>129</v>
      </c>
      <c r="I901" s="49" t="s">
        <v>76</v>
      </c>
      <c r="J901" s="50" t="s">
        <v>47</v>
      </c>
      <c r="K901" s="55">
        <v>137.1</v>
      </c>
      <c r="L901" s="54">
        <v>291</v>
      </c>
      <c r="M901" s="53">
        <f t="shared" si="26"/>
        <v>39896.1</v>
      </c>
    </row>
    <row r="902" spans="1:17" x14ac:dyDescent="0.25">
      <c r="A902" s="21">
        <f>IF(C902="","",COUNTA($C$3:C902))</f>
        <v>900</v>
      </c>
      <c r="B902" s="35" t="str">
        <f t="shared" si="30"/>
        <v>July</v>
      </c>
      <c r="C902" s="33">
        <v>46230</v>
      </c>
      <c r="D902" s="15">
        <v>62025</v>
      </c>
      <c r="E902" s="60">
        <v>45520</v>
      </c>
      <c r="F902" s="52" t="s">
        <v>120</v>
      </c>
      <c r="G902" s="18" t="s">
        <v>501</v>
      </c>
      <c r="H902" s="49" t="s">
        <v>129</v>
      </c>
      <c r="I902" s="49" t="s">
        <v>94</v>
      </c>
      <c r="J902" s="50" t="s">
        <v>47</v>
      </c>
      <c r="K902" s="15">
        <v>46.8</v>
      </c>
      <c r="L902" s="53">
        <v>888</v>
      </c>
      <c r="M902" s="53">
        <f t="shared" si="26"/>
        <v>41558.399999999994</v>
      </c>
    </row>
    <row r="903" spans="1:17" x14ac:dyDescent="0.25">
      <c r="A903" s="21">
        <f>IF(C903="","",COUNTA($C$3:C903))</f>
        <v>901</v>
      </c>
      <c r="B903" s="35" t="str">
        <f t="shared" si="30"/>
        <v>July</v>
      </c>
      <c r="C903" s="33">
        <v>46230</v>
      </c>
      <c r="D903" s="15">
        <v>62025</v>
      </c>
      <c r="E903" s="60">
        <v>45520</v>
      </c>
      <c r="F903" s="52" t="s">
        <v>120</v>
      </c>
      <c r="G903" s="18" t="s">
        <v>501</v>
      </c>
      <c r="H903" s="49" t="s">
        <v>176</v>
      </c>
      <c r="I903" s="76" t="s">
        <v>76</v>
      </c>
      <c r="J903" s="50" t="s">
        <v>70</v>
      </c>
      <c r="K903" s="15">
        <v>35</v>
      </c>
      <c r="L903" s="54">
        <v>154</v>
      </c>
      <c r="M903" s="53">
        <f t="shared" si="26"/>
        <v>5390</v>
      </c>
    </row>
    <row r="904" spans="1:17" x14ac:dyDescent="0.25">
      <c r="A904" s="21">
        <f>IF(C904="","",COUNTA($C$3:C904))</f>
        <v>902</v>
      </c>
      <c r="B904" s="35" t="str">
        <f t="shared" si="30"/>
        <v>July</v>
      </c>
      <c r="C904" s="33">
        <v>46230</v>
      </c>
      <c r="D904" s="15">
        <v>62025</v>
      </c>
      <c r="E904" s="60">
        <v>45520</v>
      </c>
      <c r="F904" s="52" t="s">
        <v>120</v>
      </c>
      <c r="G904" s="18" t="s">
        <v>501</v>
      </c>
      <c r="H904" s="49" t="s">
        <v>130</v>
      </c>
      <c r="I904" s="49" t="s">
        <v>40</v>
      </c>
      <c r="J904" s="50" t="s">
        <v>47</v>
      </c>
      <c r="K904" s="15">
        <v>170</v>
      </c>
      <c r="L904" s="62">
        <v>20</v>
      </c>
      <c r="M904" s="53">
        <f t="shared" si="26"/>
        <v>3400</v>
      </c>
    </row>
    <row r="905" spans="1:17" x14ac:dyDescent="0.25">
      <c r="A905" s="21">
        <f>IF(C905="","",COUNTA($C$3:C905))</f>
        <v>903</v>
      </c>
      <c r="B905" s="35" t="str">
        <f t="shared" si="30"/>
        <v>July</v>
      </c>
      <c r="C905" s="33">
        <v>46231</v>
      </c>
      <c r="D905" s="15">
        <v>62035</v>
      </c>
      <c r="E905" s="60">
        <v>45521</v>
      </c>
      <c r="F905" s="52" t="s">
        <v>120</v>
      </c>
      <c r="G905" s="18" t="s">
        <v>288</v>
      </c>
      <c r="H905" s="49" t="s">
        <v>38</v>
      </c>
      <c r="I905" s="49" t="s">
        <v>68</v>
      </c>
      <c r="J905" s="50" t="s">
        <v>47</v>
      </c>
      <c r="K905" s="15">
        <v>11.1</v>
      </c>
      <c r="L905" s="62">
        <v>650</v>
      </c>
      <c r="M905" s="53">
        <f t="shared" si="26"/>
        <v>7215</v>
      </c>
    </row>
    <row r="906" spans="1:17" x14ac:dyDescent="0.25">
      <c r="A906" s="21">
        <f>IF(C906="","",COUNTA($C$3:C906))</f>
        <v>904</v>
      </c>
      <c r="B906" s="35" t="str">
        <f t="shared" si="30"/>
        <v>July</v>
      </c>
      <c r="C906" s="33">
        <v>46231</v>
      </c>
      <c r="D906" s="15">
        <v>62035</v>
      </c>
      <c r="E906" s="60">
        <v>45521</v>
      </c>
      <c r="F906" s="52" t="s">
        <v>120</v>
      </c>
      <c r="G906" s="18" t="s">
        <v>288</v>
      </c>
      <c r="H906" s="49" t="s">
        <v>38</v>
      </c>
      <c r="I906" s="49" t="s">
        <v>69</v>
      </c>
      <c r="J906" s="50" t="s">
        <v>47</v>
      </c>
      <c r="K906" s="15">
        <v>58</v>
      </c>
      <c r="L906" s="62">
        <v>835</v>
      </c>
      <c r="M906" s="53">
        <f t="shared" si="26"/>
        <v>48430</v>
      </c>
    </row>
    <row r="907" spans="1:17" x14ac:dyDescent="0.25">
      <c r="A907" s="21">
        <f>IF(C907="","",COUNTA($C$3:C907))</f>
        <v>905</v>
      </c>
      <c r="B907" s="35" t="str">
        <f t="shared" si="30"/>
        <v>July</v>
      </c>
      <c r="C907" s="33">
        <v>46231</v>
      </c>
      <c r="D907" s="15">
        <v>62035</v>
      </c>
      <c r="E907" s="60">
        <v>45521</v>
      </c>
      <c r="F907" s="52" t="s">
        <v>120</v>
      </c>
      <c r="G907" s="18" t="s">
        <v>288</v>
      </c>
      <c r="H907" s="49" t="s">
        <v>38</v>
      </c>
      <c r="I907" s="49" t="s">
        <v>39</v>
      </c>
      <c r="J907" s="50" t="s">
        <v>47</v>
      </c>
      <c r="K907" s="15">
        <v>58.2</v>
      </c>
      <c r="L907" s="62">
        <v>1050</v>
      </c>
      <c r="M907" s="53">
        <f t="shared" si="26"/>
        <v>61110</v>
      </c>
    </row>
    <row r="908" spans="1:17" x14ac:dyDescent="0.25">
      <c r="A908" s="21">
        <f>IF(C908="","",COUNTA($C$3:C908))</f>
        <v>906</v>
      </c>
      <c r="B908" s="35" t="str">
        <f t="shared" si="30"/>
        <v>July</v>
      </c>
      <c r="C908" s="33">
        <v>46231</v>
      </c>
      <c r="D908" s="15">
        <v>62035</v>
      </c>
      <c r="E908" s="60">
        <v>45521</v>
      </c>
      <c r="F908" s="52" t="s">
        <v>120</v>
      </c>
      <c r="G908" s="18" t="s">
        <v>288</v>
      </c>
      <c r="H908" s="49" t="s">
        <v>38</v>
      </c>
      <c r="I908" s="49" t="s">
        <v>51</v>
      </c>
      <c r="J908" s="50" t="s">
        <v>47</v>
      </c>
      <c r="K908" s="15">
        <v>54.8</v>
      </c>
      <c r="L908" s="62">
        <v>1150</v>
      </c>
      <c r="M908" s="53">
        <f t="shared" si="26"/>
        <v>63020</v>
      </c>
    </row>
    <row r="909" spans="1:17" x14ac:dyDescent="0.25">
      <c r="A909" s="21">
        <f>IF(C909="","",COUNTA($C$3:C909))</f>
        <v>907</v>
      </c>
      <c r="B909" s="35" t="str">
        <f t="shared" si="30"/>
        <v>July</v>
      </c>
      <c r="C909" s="33">
        <v>46231</v>
      </c>
      <c r="D909" s="15">
        <v>62035</v>
      </c>
      <c r="E909" s="60">
        <v>45521</v>
      </c>
      <c r="F909" s="52" t="s">
        <v>120</v>
      </c>
      <c r="G909" s="18" t="s">
        <v>288</v>
      </c>
      <c r="H909" s="49" t="s">
        <v>139</v>
      </c>
      <c r="I909" s="49" t="s">
        <v>39</v>
      </c>
      <c r="J909" s="50" t="s">
        <v>47</v>
      </c>
      <c r="K909" s="55">
        <v>2.4</v>
      </c>
      <c r="L909" s="54">
        <v>5200</v>
      </c>
      <c r="M909" s="53">
        <f t="shared" si="26"/>
        <v>12480</v>
      </c>
    </row>
    <row r="910" spans="1:17" x14ac:dyDescent="0.25">
      <c r="A910" s="21">
        <f>IF(C910="","",COUNTA($C$3:C910))</f>
        <v>908</v>
      </c>
      <c r="B910" s="35" t="str">
        <f t="shared" si="30"/>
        <v>July</v>
      </c>
      <c r="C910" s="33">
        <v>46231</v>
      </c>
      <c r="D910" s="15">
        <v>61962</v>
      </c>
      <c r="E910" s="60">
        <v>45522</v>
      </c>
      <c r="F910" s="52" t="s">
        <v>120</v>
      </c>
      <c r="G910" s="18" t="s">
        <v>233</v>
      </c>
      <c r="H910" s="49" t="s">
        <v>237</v>
      </c>
      <c r="I910" s="49" t="s">
        <v>68</v>
      </c>
      <c r="J910" s="50" t="s">
        <v>70</v>
      </c>
      <c r="K910" s="15">
        <v>189</v>
      </c>
      <c r="L910" s="54">
        <v>969</v>
      </c>
      <c r="M910" s="53">
        <f t="shared" si="26"/>
        <v>183141</v>
      </c>
      <c r="O910" s="59"/>
      <c r="P910" s="71"/>
      <c r="Q910" s="59"/>
    </row>
    <row r="911" spans="1:17" x14ac:dyDescent="0.25">
      <c r="A911" s="21">
        <f>IF(C911="","",COUNTA($C$3:C911))</f>
        <v>909</v>
      </c>
      <c r="B911" s="35" t="str">
        <f t="shared" si="30"/>
        <v>July</v>
      </c>
      <c r="C911" s="33">
        <v>46231</v>
      </c>
      <c r="D911" s="15">
        <v>61962</v>
      </c>
      <c r="E911" s="60">
        <v>45522</v>
      </c>
      <c r="F911" s="52" t="s">
        <v>120</v>
      </c>
      <c r="G911" s="18" t="s">
        <v>233</v>
      </c>
      <c r="H911" s="49" t="s">
        <v>129</v>
      </c>
      <c r="I911" s="49" t="s">
        <v>92</v>
      </c>
      <c r="J911" s="50" t="s">
        <v>47</v>
      </c>
      <c r="K911" s="55">
        <f>224.815999+31.6968+9.6095+25.35</f>
        <v>291.47229900000008</v>
      </c>
      <c r="L911" s="62">
        <v>686</v>
      </c>
      <c r="M911" s="53">
        <f t="shared" si="26"/>
        <v>199949.99711400006</v>
      </c>
    </row>
    <row r="912" spans="1:17" x14ac:dyDescent="0.25">
      <c r="A912" s="21">
        <f>IF(C912="","",COUNTA($C$3:C912))</f>
        <v>910</v>
      </c>
      <c r="B912" s="35" t="str">
        <f t="shared" si="30"/>
        <v>July</v>
      </c>
      <c r="C912" s="33">
        <v>46231</v>
      </c>
      <c r="D912" s="15">
        <v>61962</v>
      </c>
      <c r="E912" s="60">
        <v>45522</v>
      </c>
      <c r="F912" s="52" t="s">
        <v>120</v>
      </c>
      <c r="G912" s="18" t="s">
        <v>233</v>
      </c>
      <c r="H912" s="49" t="s">
        <v>200</v>
      </c>
      <c r="I912" s="49" t="s">
        <v>69</v>
      </c>
      <c r="J912" s="50" t="s">
        <v>70</v>
      </c>
      <c r="K912" s="15">
        <v>343</v>
      </c>
      <c r="L912" s="62">
        <v>400</v>
      </c>
      <c r="M912" s="53">
        <f t="shared" si="26"/>
        <v>137200</v>
      </c>
    </row>
    <row r="913" spans="1:17" x14ac:dyDescent="0.25">
      <c r="A913" s="21">
        <f>IF(C913="","",COUNTA($C$3:C913))</f>
        <v>911</v>
      </c>
      <c r="B913" s="35" t="str">
        <f t="shared" si="30"/>
        <v>July</v>
      </c>
      <c r="C913" s="33">
        <v>46231</v>
      </c>
      <c r="D913" s="15">
        <v>61962</v>
      </c>
      <c r="E913" s="60">
        <v>45522</v>
      </c>
      <c r="F913" s="52" t="s">
        <v>120</v>
      </c>
      <c r="G913" s="18" t="s">
        <v>233</v>
      </c>
      <c r="H913" s="49" t="s">
        <v>503</v>
      </c>
      <c r="I913" s="49" t="s">
        <v>68</v>
      </c>
      <c r="J913" s="50" t="s">
        <v>70</v>
      </c>
      <c r="K913" s="15">
        <v>48</v>
      </c>
      <c r="L913" s="62">
        <v>837</v>
      </c>
      <c r="M913" s="53">
        <f t="shared" si="26"/>
        <v>40176</v>
      </c>
      <c r="O913" s="59"/>
      <c r="P913" s="69"/>
      <c r="Q913" s="59"/>
    </row>
    <row r="914" spans="1:17" x14ac:dyDescent="0.25">
      <c r="A914" s="21">
        <f>IF(C914="","",COUNTA($C$3:C914))</f>
        <v>912</v>
      </c>
      <c r="B914" s="35" t="str">
        <f t="shared" si="30"/>
        <v>July</v>
      </c>
      <c r="C914" s="33">
        <v>46231</v>
      </c>
      <c r="D914" s="15">
        <v>61962</v>
      </c>
      <c r="E914" s="60">
        <v>45522</v>
      </c>
      <c r="F914" s="52" t="s">
        <v>120</v>
      </c>
      <c r="G914" s="18" t="s">
        <v>233</v>
      </c>
      <c r="H914" s="49" t="s">
        <v>504</v>
      </c>
      <c r="I914" s="49" t="s">
        <v>68</v>
      </c>
      <c r="J914" s="50" t="s">
        <v>70</v>
      </c>
      <c r="K914" s="15">
        <v>16</v>
      </c>
      <c r="L914" s="62">
        <v>608</v>
      </c>
      <c r="M914" s="53">
        <f t="shared" si="26"/>
        <v>9728</v>
      </c>
      <c r="O914" s="59"/>
      <c r="P914" s="69"/>
      <c r="Q914" s="59"/>
    </row>
    <row r="915" spans="1:17" x14ac:dyDescent="0.25">
      <c r="A915" s="21">
        <f>IF(C915="","",COUNTA($C$3:C915))</f>
        <v>913</v>
      </c>
      <c r="B915" s="35" t="str">
        <f t="shared" si="30"/>
        <v>July</v>
      </c>
      <c r="C915" s="33">
        <v>46231</v>
      </c>
      <c r="D915" s="15">
        <v>61962</v>
      </c>
      <c r="E915" s="60">
        <v>45522</v>
      </c>
      <c r="F915" s="52" t="s">
        <v>120</v>
      </c>
      <c r="G915" s="18" t="s">
        <v>233</v>
      </c>
      <c r="H915" s="49" t="s">
        <v>505</v>
      </c>
      <c r="I915" s="49" t="s">
        <v>68</v>
      </c>
      <c r="J915" s="50" t="s">
        <v>70</v>
      </c>
      <c r="K915" s="15">
        <v>47</v>
      </c>
      <c r="L915" s="62">
        <v>600</v>
      </c>
      <c r="M915" s="53">
        <f t="shared" si="26"/>
        <v>28200</v>
      </c>
      <c r="O915" s="59"/>
      <c r="P915" s="59"/>
      <c r="Q915" s="59"/>
    </row>
    <row r="916" spans="1:17" x14ac:dyDescent="0.25">
      <c r="A916" s="21">
        <f>IF(C916="","",COUNTA($C$3:C916))</f>
        <v>914</v>
      </c>
      <c r="B916" s="35" t="str">
        <f t="shared" si="30"/>
        <v>July</v>
      </c>
      <c r="C916" s="33">
        <v>46232</v>
      </c>
      <c r="D916" s="15">
        <v>62028</v>
      </c>
      <c r="E916" s="60">
        <v>45523</v>
      </c>
      <c r="F916" s="52" t="s">
        <v>131</v>
      </c>
      <c r="G916" s="18" t="s">
        <v>479</v>
      </c>
      <c r="H916" s="49" t="s">
        <v>114</v>
      </c>
      <c r="I916" s="49" t="s">
        <v>48</v>
      </c>
      <c r="J916" s="50" t="s">
        <v>47</v>
      </c>
      <c r="K916" s="15">
        <v>105</v>
      </c>
      <c r="L916" s="62">
        <v>700</v>
      </c>
      <c r="M916" s="53">
        <f t="shared" si="26"/>
        <v>73500</v>
      </c>
      <c r="O916" s="59"/>
    </row>
    <row r="917" spans="1:17" x14ac:dyDescent="0.25">
      <c r="A917" s="21">
        <f>IF(C917="","",COUNTA($C$3:C917))</f>
        <v>915</v>
      </c>
      <c r="B917" s="35" t="str">
        <f t="shared" si="30"/>
        <v>July</v>
      </c>
      <c r="C917" s="33">
        <v>46232</v>
      </c>
      <c r="D917" s="15">
        <v>62028</v>
      </c>
      <c r="E917" s="60">
        <v>45523</v>
      </c>
      <c r="F917" s="52" t="s">
        <v>131</v>
      </c>
      <c r="G917" s="18" t="s">
        <v>479</v>
      </c>
      <c r="H917" s="49" t="s">
        <v>114</v>
      </c>
      <c r="I917" s="49" t="s">
        <v>49</v>
      </c>
      <c r="J917" s="50" t="s">
        <v>47</v>
      </c>
      <c r="K917" s="15">
        <v>91.5</v>
      </c>
      <c r="L917" s="54">
        <v>860</v>
      </c>
      <c r="M917" s="53">
        <f t="shared" si="26"/>
        <v>78690</v>
      </c>
      <c r="O917" s="59"/>
    </row>
    <row r="918" spans="1:17" x14ac:dyDescent="0.25">
      <c r="A918" s="21">
        <f>IF(C918="","",COUNTA($C$3:C918))</f>
        <v>916</v>
      </c>
      <c r="B918" s="35" t="str">
        <f t="shared" si="30"/>
        <v>July</v>
      </c>
      <c r="C918" s="33">
        <v>46232</v>
      </c>
      <c r="D918" s="15">
        <v>62028</v>
      </c>
      <c r="E918" s="60">
        <v>45523</v>
      </c>
      <c r="F918" s="52" t="s">
        <v>131</v>
      </c>
      <c r="G918" s="18" t="s">
        <v>479</v>
      </c>
      <c r="H918" s="49" t="s">
        <v>114</v>
      </c>
      <c r="I918" s="49" t="s">
        <v>50</v>
      </c>
      <c r="J918" s="50" t="s">
        <v>47</v>
      </c>
      <c r="K918" s="15">
        <v>88.1</v>
      </c>
      <c r="L918" s="54">
        <v>1050</v>
      </c>
      <c r="M918" s="53">
        <f t="shared" si="26"/>
        <v>92505</v>
      </c>
      <c r="N918" s="75"/>
      <c r="O918" s="59"/>
    </row>
    <row r="919" spans="1:17" x14ac:dyDescent="0.25">
      <c r="A919" s="21">
        <f>IF(C919="","",COUNTA($C$3:C919))</f>
        <v>917</v>
      </c>
      <c r="B919" s="35" t="str">
        <f t="shared" si="30"/>
        <v>July</v>
      </c>
      <c r="C919" s="33">
        <v>46232</v>
      </c>
      <c r="D919" s="15">
        <v>62028</v>
      </c>
      <c r="E919" s="60">
        <v>45523</v>
      </c>
      <c r="F919" s="52" t="s">
        <v>131</v>
      </c>
      <c r="G919" s="18" t="s">
        <v>479</v>
      </c>
      <c r="H919" s="49" t="s">
        <v>147</v>
      </c>
      <c r="I919" s="49" t="s">
        <v>50</v>
      </c>
      <c r="J919" s="50" t="s">
        <v>47</v>
      </c>
      <c r="K919" s="15">
        <v>11.3</v>
      </c>
      <c r="L919" s="62">
        <v>950</v>
      </c>
      <c r="M919" s="53">
        <f t="shared" si="26"/>
        <v>10735</v>
      </c>
    </row>
    <row r="920" spans="1:17" x14ac:dyDescent="0.25">
      <c r="A920" s="21">
        <f>IF(C920="","",COUNTA($C$3:C920))</f>
        <v>918</v>
      </c>
      <c r="B920" s="35" t="str">
        <f t="shared" si="30"/>
        <v>July</v>
      </c>
      <c r="C920" s="33">
        <v>46232</v>
      </c>
      <c r="D920" s="15">
        <v>62028</v>
      </c>
      <c r="E920" s="60">
        <v>45523</v>
      </c>
      <c r="F920" s="52" t="s">
        <v>131</v>
      </c>
      <c r="G920" s="18" t="s">
        <v>479</v>
      </c>
      <c r="H920" s="49" t="s">
        <v>135</v>
      </c>
      <c r="I920" s="49" t="s">
        <v>39</v>
      </c>
      <c r="J920" s="50" t="s">
        <v>47</v>
      </c>
      <c r="K920" s="15">
        <v>2.9</v>
      </c>
      <c r="L920" s="62">
        <v>3900</v>
      </c>
      <c r="M920" s="53">
        <f t="shared" si="26"/>
        <v>11310</v>
      </c>
    </row>
    <row r="921" spans="1:17" x14ac:dyDescent="0.25">
      <c r="A921" s="21">
        <f>IF(C921="","",COUNTA($C$3:C921))</f>
        <v>919</v>
      </c>
      <c r="B921" s="35" t="str">
        <f t="shared" si="30"/>
        <v>July</v>
      </c>
      <c r="C921" s="33">
        <v>46232</v>
      </c>
      <c r="D921" s="15">
        <v>62028</v>
      </c>
      <c r="E921" s="60">
        <v>45523</v>
      </c>
      <c r="F921" s="52" t="s">
        <v>131</v>
      </c>
      <c r="G921" s="18" t="s">
        <v>479</v>
      </c>
      <c r="H921" s="49" t="s">
        <v>139</v>
      </c>
      <c r="I921" s="49" t="s">
        <v>39</v>
      </c>
      <c r="J921" s="50" t="s">
        <v>47</v>
      </c>
      <c r="K921" s="15">
        <v>4.0999999999999996</v>
      </c>
      <c r="L921" s="53">
        <v>5300</v>
      </c>
      <c r="M921" s="53">
        <f t="shared" si="26"/>
        <v>21729.999999999996</v>
      </c>
    </row>
    <row r="922" spans="1:17" x14ac:dyDescent="0.25">
      <c r="A922" s="21">
        <f>IF(C922="","",COUNTA($C$3:C922))</f>
        <v>920</v>
      </c>
      <c r="B922" s="35" t="str">
        <f t="shared" si="30"/>
        <v>July</v>
      </c>
      <c r="C922" s="33">
        <v>46232</v>
      </c>
      <c r="D922" s="15">
        <v>62028</v>
      </c>
      <c r="E922" s="60">
        <v>45523</v>
      </c>
      <c r="F922" s="52" t="s">
        <v>131</v>
      </c>
      <c r="G922" s="18" t="s">
        <v>479</v>
      </c>
      <c r="H922" s="49" t="s">
        <v>129</v>
      </c>
      <c r="I922" s="49" t="s">
        <v>53</v>
      </c>
      <c r="J922" s="50" t="s">
        <v>47</v>
      </c>
      <c r="K922" s="121">
        <v>295.89999999999998</v>
      </c>
      <c r="L922" s="53">
        <v>325</v>
      </c>
      <c r="M922" s="53">
        <f t="shared" si="26"/>
        <v>96167.499999999985</v>
      </c>
    </row>
    <row r="923" spans="1:17" x14ac:dyDescent="0.25">
      <c r="A923" s="21">
        <f>IF(C923="","",COUNTA($C$3:C923))</f>
        <v>921</v>
      </c>
      <c r="B923" s="35" t="str">
        <f t="shared" si="30"/>
        <v>July</v>
      </c>
      <c r="C923" s="33">
        <v>46232</v>
      </c>
      <c r="D923" s="15">
        <v>61967</v>
      </c>
      <c r="E923" s="60">
        <v>45524</v>
      </c>
      <c r="F923" s="52" t="s">
        <v>120</v>
      </c>
      <c r="G923" s="52" t="s">
        <v>263</v>
      </c>
      <c r="H923" s="49" t="s">
        <v>38</v>
      </c>
      <c r="I923" s="49" t="s">
        <v>68</v>
      </c>
      <c r="J923" s="50" t="s">
        <v>47</v>
      </c>
      <c r="K923" s="55">
        <v>208</v>
      </c>
      <c r="L923" s="54">
        <v>670</v>
      </c>
      <c r="M923" s="53">
        <f t="shared" si="26"/>
        <v>139360</v>
      </c>
    </row>
    <row r="924" spans="1:17" x14ac:dyDescent="0.25">
      <c r="A924" s="21">
        <f>IF(C924="","",COUNTA($C$3:C924))</f>
        <v>922</v>
      </c>
      <c r="B924" s="35" t="str">
        <f t="shared" si="30"/>
        <v>July</v>
      </c>
      <c r="C924" s="33">
        <v>46232</v>
      </c>
      <c r="D924" s="15">
        <v>61967</v>
      </c>
      <c r="E924" s="60">
        <v>45524</v>
      </c>
      <c r="F924" s="52" t="s">
        <v>120</v>
      </c>
      <c r="G924" s="52" t="s">
        <v>263</v>
      </c>
      <c r="H924" s="49" t="s">
        <v>38</v>
      </c>
      <c r="I924" s="49" t="s">
        <v>69</v>
      </c>
      <c r="J924" s="50" t="s">
        <v>47</v>
      </c>
      <c r="K924" s="15">
        <v>93.2</v>
      </c>
      <c r="L924" s="62">
        <v>868</v>
      </c>
      <c r="M924" s="53">
        <f t="shared" si="26"/>
        <v>80897.600000000006</v>
      </c>
    </row>
    <row r="925" spans="1:17" x14ac:dyDescent="0.25">
      <c r="A925" s="21">
        <f>IF(C925="","",COUNTA($C$3:C925))</f>
        <v>923</v>
      </c>
      <c r="B925" s="35" t="str">
        <f t="shared" si="30"/>
        <v>July</v>
      </c>
      <c r="C925" s="33">
        <v>46232</v>
      </c>
      <c r="D925" s="15">
        <v>61967</v>
      </c>
      <c r="E925" s="60">
        <v>45524</v>
      </c>
      <c r="F925" s="52" t="s">
        <v>120</v>
      </c>
      <c r="G925" s="52" t="s">
        <v>263</v>
      </c>
      <c r="H925" s="49" t="s">
        <v>129</v>
      </c>
      <c r="I925" s="49" t="s">
        <v>104</v>
      </c>
      <c r="J925" s="50" t="s">
        <v>47</v>
      </c>
      <c r="K925" s="15">
        <v>44.5</v>
      </c>
      <c r="L925" s="54">
        <v>755</v>
      </c>
      <c r="M925" s="53">
        <f t="shared" si="26"/>
        <v>33597.5</v>
      </c>
    </row>
    <row r="926" spans="1:17" x14ac:dyDescent="0.25">
      <c r="A926" s="21">
        <f>IF(C926="","",COUNTA($C$3:C926))</f>
        <v>924</v>
      </c>
      <c r="B926" s="35" t="str">
        <f t="shared" si="30"/>
        <v>July</v>
      </c>
      <c r="C926" s="33">
        <v>46232</v>
      </c>
      <c r="D926" s="15">
        <v>61967</v>
      </c>
      <c r="E926" s="60">
        <v>45524</v>
      </c>
      <c r="F926" s="52" t="s">
        <v>120</v>
      </c>
      <c r="G926" s="52" t="s">
        <v>263</v>
      </c>
      <c r="H926" s="49" t="s">
        <v>129</v>
      </c>
      <c r="I926" s="49" t="s">
        <v>268</v>
      </c>
      <c r="J926" s="50" t="s">
        <v>47</v>
      </c>
      <c r="K926" s="15">
        <v>159.9</v>
      </c>
      <c r="L926" s="62">
        <v>415</v>
      </c>
      <c r="M926" s="53">
        <f t="shared" si="26"/>
        <v>66358.5</v>
      </c>
    </row>
    <row r="927" spans="1:17" x14ac:dyDescent="0.25">
      <c r="A927" s="21">
        <f>IF(C927="","",COUNTA($C$3:C927))</f>
        <v>925</v>
      </c>
      <c r="B927" s="35" t="str">
        <f t="shared" si="30"/>
        <v>July</v>
      </c>
      <c r="C927" s="33">
        <v>46232</v>
      </c>
      <c r="D927" s="15">
        <v>61967</v>
      </c>
      <c r="E927" s="60">
        <v>45524</v>
      </c>
      <c r="F927" s="52" t="s">
        <v>120</v>
      </c>
      <c r="G927" s="52" t="s">
        <v>263</v>
      </c>
      <c r="H927" s="49" t="s">
        <v>129</v>
      </c>
      <c r="I927" s="49" t="s">
        <v>84</v>
      </c>
      <c r="J927" s="50" t="s">
        <v>47</v>
      </c>
      <c r="K927" s="55">
        <v>6.9</v>
      </c>
      <c r="L927" s="54">
        <v>465</v>
      </c>
      <c r="M927" s="53">
        <f t="shared" si="26"/>
        <v>3208.5</v>
      </c>
    </row>
    <row r="928" spans="1:17" x14ac:dyDescent="0.25">
      <c r="A928" s="21">
        <f>IF(C928="","",COUNTA($C$3:C928))</f>
        <v>926</v>
      </c>
      <c r="B928" s="35" t="str">
        <f t="shared" si="30"/>
        <v>July</v>
      </c>
      <c r="C928" s="33">
        <v>46232</v>
      </c>
      <c r="D928" s="15">
        <v>61967</v>
      </c>
      <c r="E928" s="60">
        <v>45524</v>
      </c>
      <c r="F928" s="52" t="s">
        <v>120</v>
      </c>
      <c r="G928" s="52" t="s">
        <v>263</v>
      </c>
      <c r="H928" s="49" t="s">
        <v>176</v>
      </c>
      <c r="I928" s="49" t="s">
        <v>268</v>
      </c>
      <c r="J928" s="50" t="s">
        <v>47</v>
      </c>
      <c r="K928" s="15">
        <v>134.4</v>
      </c>
      <c r="L928" s="53">
        <v>251</v>
      </c>
      <c r="M928" s="53">
        <f t="shared" si="26"/>
        <v>33734.400000000001</v>
      </c>
    </row>
    <row r="929" spans="1:15" x14ac:dyDescent="0.25">
      <c r="A929" s="21">
        <f>IF(C929="","",COUNTA($C$3:C929))</f>
        <v>927</v>
      </c>
      <c r="B929" s="35" t="str">
        <f t="shared" si="30"/>
        <v>July</v>
      </c>
      <c r="C929" s="33">
        <v>46232</v>
      </c>
      <c r="D929" s="15">
        <v>61967</v>
      </c>
      <c r="E929" s="60">
        <v>45524</v>
      </c>
      <c r="F929" s="52" t="s">
        <v>120</v>
      </c>
      <c r="G929" s="52" t="s">
        <v>263</v>
      </c>
      <c r="H929" s="49" t="s">
        <v>130</v>
      </c>
      <c r="I929" s="49" t="s">
        <v>40</v>
      </c>
      <c r="J929" s="50" t="s">
        <v>47</v>
      </c>
      <c r="K929" s="15">
        <v>200</v>
      </c>
      <c r="L929" s="62">
        <v>20</v>
      </c>
      <c r="M929" s="53">
        <f t="shared" si="26"/>
        <v>4000</v>
      </c>
    </row>
    <row r="930" spans="1:15" x14ac:dyDescent="0.25">
      <c r="A930" s="21">
        <f>IF(C930="","",COUNTA($C$3:C930))</f>
        <v>928</v>
      </c>
      <c r="B930" s="35" t="str">
        <f t="shared" si="30"/>
        <v>July</v>
      </c>
      <c r="C930" s="33">
        <v>46232</v>
      </c>
      <c r="D930" s="15">
        <v>62036</v>
      </c>
      <c r="E930" s="60">
        <v>45525</v>
      </c>
      <c r="F930" s="52" t="s">
        <v>120</v>
      </c>
      <c r="G930" s="18" t="s">
        <v>508</v>
      </c>
      <c r="H930" s="49" t="s">
        <v>38</v>
      </c>
      <c r="I930" s="49" t="s">
        <v>68</v>
      </c>
      <c r="J930" s="50" t="s">
        <v>47</v>
      </c>
      <c r="K930" s="15">
        <v>92.9</v>
      </c>
      <c r="L930" s="62">
        <v>650</v>
      </c>
      <c r="M930" s="53">
        <f t="shared" si="26"/>
        <v>60385.000000000007</v>
      </c>
    </row>
    <row r="931" spans="1:15" x14ac:dyDescent="0.25">
      <c r="A931" s="21">
        <f>IF(C931="","",COUNTA($C$3:C931))</f>
        <v>929</v>
      </c>
      <c r="B931" s="35" t="str">
        <f t="shared" si="30"/>
        <v>July</v>
      </c>
      <c r="C931" s="33">
        <v>46232</v>
      </c>
      <c r="D931" s="15">
        <v>62036</v>
      </c>
      <c r="E931" s="60">
        <v>45525</v>
      </c>
      <c r="F931" s="52" t="s">
        <v>120</v>
      </c>
      <c r="G931" s="18" t="s">
        <v>508</v>
      </c>
      <c r="H931" s="49" t="s">
        <v>38</v>
      </c>
      <c r="I931" s="49" t="s">
        <v>69</v>
      </c>
      <c r="J931" s="50" t="s">
        <v>47</v>
      </c>
      <c r="K931" s="15">
        <v>24.5</v>
      </c>
      <c r="L931" s="62">
        <v>835</v>
      </c>
      <c r="M931" s="53">
        <f t="shared" si="26"/>
        <v>20457.5</v>
      </c>
    </row>
    <row r="932" spans="1:15" x14ac:dyDescent="0.25">
      <c r="A932" s="21">
        <f>IF(C932="","",COUNTA($C$3:C932))</f>
        <v>930</v>
      </c>
      <c r="B932" s="35" t="str">
        <f t="shared" si="30"/>
        <v>July</v>
      </c>
      <c r="C932" s="33">
        <v>46232</v>
      </c>
      <c r="D932" s="15">
        <v>62036</v>
      </c>
      <c r="E932" s="60">
        <v>45525</v>
      </c>
      <c r="F932" s="52" t="s">
        <v>120</v>
      </c>
      <c r="G932" s="18" t="s">
        <v>508</v>
      </c>
      <c r="H932" s="49" t="s">
        <v>38</v>
      </c>
      <c r="I932" s="49" t="s">
        <v>39</v>
      </c>
      <c r="J932" s="50" t="s">
        <v>47</v>
      </c>
      <c r="K932" s="15">
        <v>43.7</v>
      </c>
      <c r="L932" s="62">
        <v>1060</v>
      </c>
      <c r="M932" s="53">
        <f t="shared" si="26"/>
        <v>46322</v>
      </c>
    </row>
    <row r="933" spans="1:15" x14ac:dyDescent="0.25">
      <c r="A933" s="21">
        <f>IF(C933="","",COUNTA($C$3:C933))</f>
        <v>931</v>
      </c>
      <c r="B933" s="35" t="str">
        <f t="shared" si="30"/>
        <v>July</v>
      </c>
      <c r="C933" s="33">
        <v>46232</v>
      </c>
      <c r="D933" s="15">
        <v>62036</v>
      </c>
      <c r="E933" s="60">
        <v>45525</v>
      </c>
      <c r="F933" s="52" t="s">
        <v>120</v>
      </c>
      <c r="G933" s="18" t="s">
        <v>508</v>
      </c>
      <c r="H933" s="49" t="s">
        <v>129</v>
      </c>
      <c r="I933" s="49" t="s">
        <v>83</v>
      </c>
      <c r="J933" s="50" t="s">
        <v>47</v>
      </c>
      <c r="K933" s="15">
        <v>161.1</v>
      </c>
      <c r="L933" s="62">
        <v>380</v>
      </c>
      <c r="M933" s="53">
        <f t="shared" si="26"/>
        <v>61218</v>
      </c>
    </row>
    <row r="934" spans="1:15" x14ac:dyDescent="0.25">
      <c r="A934" s="21">
        <f>IF(C934="","",COUNTA($C$3:C934))</f>
        <v>932</v>
      </c>
      <c r="B934" s="35" t="str">
        <f t="shared" si="30"/>
        <v>July</v>
      </c>
      <c r="C934" s="33">
        <v>46232</v>
      </c>
      <c r="D934" s="15">
        <v>62036</v>
      </c>
      <c r="E934" s="60">
        <v>45525</v>
      </c>
      <c r="F934" s="52" t="s">
        <v>120</v>
      </c>
      <c r="G934" s="18" t="s">
        <v>508</v>
      </c>
      <c r="H934" s="49" t="s">
        <v>130</v>
      </c>
      <c r="I934" s="49" t="s">
        <v>40</v>
      </c>
      <c r="J934" s="50" t="s">
        <v>47</v>
      </c>
      <c r="K934" s="15">
        <v>200</v>
      </c>
      <c r="L934" s="62">
        <v>20</v>
      </c>
      <c r="M934" s="53">
        <f t="shared" si="26"/>
        <v>4000</v>
      </c>
    </row>
    <row r="935" spans="1:15" x14ac:dyDescent="0.25">
      <c r="A935" s="21">
        <f>IF(C935="","",COUNTA($C$3:C935))</f>
        <v>933</v>
      </c>
      <c r="B935" s="35" t="str">
        <f t="shared" si="30"/>
        <v>July</v>
      </c>
      <c r="C935" s="33">
        <v>46233</v>
      </c>
      <c r="D935" s="15">
        <v>62036</v>
      </c>
      <c r="E935" s="60">
        <v>45526</v>
      </c>
      <c r="F935" s="52" t="s">
        <v>120</v>
      </c>
      <c r="G935" s="18" t="s">
        <v>508</v>
      </c>
      <c r="H935" s="49" t="s">
        <v>38</v>
      </c>
      <c r="I935" s="49" t="s">
        <v>68</v>
      </c>
      <c r="J935" s="50" t="s">
        <v>47</v>
      </c>
      <c r="K935" s="55">
        <v>124.4</v>
      </c>
      <c r="L935" s="54">
        <v>650</v>
      </c>
      <c r="M935" s="53">
        <f t="shared" si="26"/>
        <v>80860</v>
      </c>
    </row>
    <row r="936" spans="1:15" x14ac:dyDescent="0.25">
      <c r="A936" s="21">
        <f>IF(C936="","",COUNTA($C$3:C936))</f>
        <v>934</v>
      </c>
      <c r="B936" s="35" t="str">
        <f t="shared" si="30"/>
        <v>July</v>
      </c>
      <c r="C936" s="33">
        <v>46233</v>
      </c>
      <c r="D936" s="15">
        <v>62036</v>
      </c>
      <c r="E936" s="60">
        <v>45526</v>
      </c>
      <c r="F936" s="52" t="s">
        <v>120</v>
      </c>
      <c r="G936" s="18" t="s">
        <v>508</v>
      </c>
      <c r="H936" s="49" t="s">
        <v>38</v>
      </c>
      <c r="I936" s="49" t="s">
        <v>69</v>
      </c>
      <c r="J936" s="50" t="s">
        <v>47</v>
      </c>
      <c r="K936" s="15">
        <v>26.3</v>
      </c>
      <c r="L936" s="62">
        <v>835</v>
      </c>
      <c r="M936" s="53">
        <f t="shared" si="26"/>
        <v>21960.5</v>
      </c>
    </row>
    <row r="937" spans="1:15" x14ac:dyDescent="0.25">
      <c r="A937" s="21">
        <f>IF(C937="","",COUNTA($C$3:C937))</f>
        <v>935</v>
      </c>
      <c r="B937" s="35" t="str">
        <f t="shared" si="30"/>
        <v>July</v>
      </c>
      <c r="C937" s="33">
        <v>46233</v>
      </c>
      <c r="D937" s="15">
        <v>62036</v>
      </c>
      <c r="E937" s="60">
        <v>45526</v>
      </c>
      <c r="F937" s="52" t="s">
        <v>120</v>
      </c>
      <c r="G937" s="18" t="s">
        <v>508</v>
      </c>
      <c r="H937" s="49" t="s">
        <v>38</v>
      </c>
      <c r="I937" s="49" t="s">
        <v>39</v>
      </c>
      <c r="J937" s="50" t="s">
        <v>47</v>
      </c>
      <c r="K937" s="15">
        <v>21</v>
      </c>
      <c r="L937" s="62">
        <v>1060</v>
      </c>
      <c r="M937" s="53">
        <f t="shared" si="26"/>
        <v>22260</v>
      </c>
    </row>
    <row r="938" spans="1:15" x14ac:dyDescent="0.25">
      <c r="A938" s="21">
        <f>IF(C938="","",COUNTA($C$3:C938))</f>
        <v>936</v>
      </c>
      <c r="B938" s="35" t="str">
        <f t="shared" si="30"/>
        <v>July</v>
      </c>
      <c r="C938" s="33">
        <v>46233</v>
      </c>
      <c r="D938" s="15">
        <v>62036</v>
      </c>
      <c r="E938" s="60">
        <v>45526</v>
      </c>
      <c r="F938" s="52" t="s">
        <v>120</v>
      </c>
      <c r="G938" s="18" t="s">
        <v>508</v>
      </c>
      <c r="H938" s="49" t="s">
        <v>129</v>
      </c>
      <c r="I938" s="49" t="s">
        <v>83</v>
      </c>
      <c r="J938" s="50" t="s">
        <v>47</v>
      </c>
      <c r="K938" s="15">
        <v>171.7</v>
      </c>
      <c r="L938" s="62">
        <v>380</v>
      </c>
      <c r="M938" s="53">
        <f t="shared" si="26"/>
        <v>65245.999999999993</v>
      </c>
    </row>
    <row r="939" spans="1:15" x14ac:dyDescent="0.25">
      <c r="A939" s="21">
        <f>IF(C939="","",COUNTA($C$3:C939))</f>
        <v>937</v>
      </c>
      <c r="B939" s="35" t="str">
        <f t="shared" si="30"/>
        <v>July</v>
      </c>
      <c r="C939" s="33">
        <v>46233</v>
      </c>
      <c r="D939" s="15">
        <v>62036</v>
      </c>
      <c r="E939" s="60">
        <v>45526</v>
      </c>
      <c r="F939" s="52" t="s">
        <v>120</v>
      </c>
      <c r="G939" s="18" t="s">
        <v>508</v>
      </c>
      <c r="H939" s="49" t="s">
        <v>130</v>
      </c>
      <c r="I939" s="49" t="s">
        <v>40</v>
      </c>
      <c r="J939" s="50" t="s">
        <v>47</v>
      </c>
      <c r="K939" s="15">
        <v>200</v>
      </c>
      <c r="L939" s="62">
        <v>20</v>
      </c>
      <c r="M939" s="53">
        <f t="shared" si="26"/>
        <v>4000</v>
      </c>
    </row>
    <row r="940" spans="1:15" x14ac:dyDescent="0.25">
      <c r="A940" s="21">
        <f>IF(C940="","",COUNTA($C$3:C940))</f>
        <v>938</v>
      </c>
      <c r="B940" s="35" t="str">
        <f t="shared" si="30"/>
        <v>July</v>
      </c>
      <c r="C940" s="33">
        <v>46234</v>
      </c>
      <c r="D940" s="15">
        <v>62036</v>
      </c>
      <c r="E940" s="60">
        <v>45527</v>
      </c>
      <c r="F940" s="52" t="s">
        <v>120</v>
      </c>
      <c r="G940" s="18" t="s">
        <v>508</v>
      </c>
      <c r="H940" s="49" t="s">
        <v>38</v>
      </c>
      <c r="I940" s="49" t="s">
        <v>68</v>
      </c>
      <c r="J940" s="50" t="s">
        <v>47</v>
      </c>
      <c r="K940" s="55">
        <v>123</v>
      </c>
      <c r="L940" s="54">
        <v>650</v>
      </c>
      <c r="M940" s="53">
        <f t="shared" si="26"/>
        <v>79950</v>
      </c>
    </row>
    <row r="941" spans="1:15" x14ac:dyDescent="0.25">
      <c r="A941" s="21">
        <f>IF(C941="","",COUNTA($C$3:C941))</f>
        <v>939</v>
      </c>
      <c r="B941" s="35" t="str">
        <f t="shared" si="30"/>
        <v>July</v>
      </c>
      <c r="C941" s="33">
        <v>46234</v>
      </c>
      <c r="D941" s="15">
        <v>62036</v>
      </c>
      <c r="E941" s="60">
        <v>45527</v>
      </c>
      <c r="F941" s="52" t="s">
        <v>120</v>
      </c>
      <c r="G941" s="18" t="s">
        <v>508</v>
      </c>
      <c r="H941" s="49" t="s">
        <v>38</v>
      </c>
      <c r="I941" s="49" t="s">
        <v>69</v>
      </c>
      <c r="J941" s="50" t="s">
        <v>47</v>
      </c>
      <c r="K941" s="15">
        <v>51.9</v>
      </c>
      <c r="L941" s="62">
        <v>835</v>
      </c>
      <c r="M941" s="53">
        <f t="shared" si="26"/>
        <v>43336.5</v>
      </c>
    </row>
    <row r="942" spans="1:15" x14ac:dyDescent="0.25">
      <c r="A942" s="21">
        <f>IF(C942="","",COUNTA($C$3:C942))</f>
        <v>940</v>
      </c>
      <c r="B942" s="35" t="str">
        <f t="shared" si="30"/>
        <v>July</v>
      </c>
      <c r="C942" s="33">
        <v>46234</v>
      </c>
      <c r="D942" s="15">
        <v>62036</v>
      </c>
      <c r="E942" s="60">
        <v>45527</v>
      </c>
      <c r="F942" s="52" t="s">
        <v>120</v>
      </c>
      <c r="G942" s="18" t="s">
        <v>508</v>
      </c>
      <c r="H942" s="49" t="s">
        <v>38</v>
      </c>
      <c r="I942" s="49" t="s">
        <v>39</v>
      </c>
      <c r="J942" s="50" t="s">
        <v>47</v>
      </c>
      <c r="K942" s="15">
        <v>15.6</v>
      </c>
      <c r="L942" s="62">
        <v>1060</v>
      </c>
      <c r="M942" s="53">
        <f t="shared" si="26"/>
        <v>16536</v>
      </c>
    </row>
    <row r="943" spans="1:15" x14ac:dyDescent="0.25">
      <c r="A943" s="21">
        <f>IF(C943="","",COUNTA($C$3:C943))</f>
        <v>941</v>
      </c>
      <c r="B943" s="35" t="str">
        <f t="shared" si="30"/>
        <v>July</v>
      </c>
      <c r="C943" s="33">
        <v>46234</v>
      </c>
      <c r="D943" s="15">
        <v>62036</v>
      </c>
      <c r="E943" s="60">
        <v>45527</v>
      </c>
      <c r="F943" s="52" t="s">
        <v>120</v>
      </c>
      <c r="G943" s="18" t="s">
        <v>508</v>
      </c>
      <c r="H943" s="49" t="s">
        <v>129</v>
      </c>
      <c r="I943" s="49" t="s">
        <v>83</v>
      </c>
      <c r="J943" s="50" t="s">
        <v>47</v>
      </c>
      <c r="K943" s="15">
        <v>165.3</v>
      </c>
      <c r="L943" s="62">
        <v>380</v>
      </c>
      <c r="M943" s="53">
        <f t="shared" si="26"/>
        <v>62814.000000000007</v>
      </c>
    </row>
    <row r="944" spans="1:15" x14ac:dyDescent="0.25">
      <c r="A944" s="21">
        <f>IF(C944="","",COUNTA($C$3:C944))</f>
        <v>942</v>
      </c>
      <c r="B944" s="35" t="str">
        <f t="shared" si="30"/>
        <v>July</v>
      </c>
      <c r="C944" s="33">
        <v>46234</v>
      </c>
      <c r="D944" s="15">
        <v>62036</v>
      </c>
      <c r="E944" s="60">
        <v>45527</v>
      </c>
      <c r="F944" s="52" t="s">
        <v>120</v>
      </c>
      <c r="G944" s="18" t="s">
        <v>508</v>
      </c>
      <c r="H944" s="49" t="s">
        <v>129</v>
      </c>
      <c r="I944" s="49" t="s">
        <v>96</v>
      </c>
      <c r="J944" s="50" t="s">
        <v>47</v>
      </c>
      <c r="K944" s="15">
        <v>20.8</v>
      </c>
      <c r="L944" s="53">
        <v>925</v>
      </c>
      <c r="M944" s="53">
        <f t="shared" si="26"/>
        <v>19240</v>
      </c>
      <c r="O944" s="59"/>
    </row>
    <row r="945" spans="1:17" x14ac:dyDescent="0.25">
      <c r="A945" s="21">
        <f>IF(C945="","",COUNTA($C$3:C945))</f>
        <v>943</v>
      </c>
      <c r="B945" s="35" t="str">
        <f t="shared" si="30"/>
        <v>July</v>
      </c>
      <c r="C945" s="33">
        <v>46234</v>
      </c>
      <c r="D945" s="15">
        <v>62036</v>
      </c>
      <c r="E945" s="60">
        <v>45527</v>
      </c>
      <c r="F945" s="52" t="s">
        <v>120</v>
      </c>
      <c r="G945" s="18" t="s">
        <v>508</v>
      </c>
      <c r="H945" s="49" t="s">
        <v>139</v>
      </c>
      <c r="I945" s="49" t="s">
        <v>39</v>
      </c>
      <c r="J945" s="50" t="s">
        <v>47</v>
      </c>
      <c r="K945" s="15">
        <v>2.6</v>
      </c>
      <c r="L945" s="53">
        <v>5200</v>
      </c>
      <c r="M945" s="53">
        <f t="shared" si="26"/>
        <v>13520</v>
      </c>
      <c r="O945" s="59"/>
    </row>
    <row r="946" spans="1:17" x14ac:dyDescent="0.25">
      <c r="A946" s="21">
        <f>IF(C946="","",COUNTA($C$3:C946))</f>
        <v>944</v>
      </c>
      <c r="B946" s="35" t="str">
        <f t="shared" si="30"/>
        <v>July</v>
      </c>
      <c r="C946" s="33">
        <v>46234</v>
      </c>
      <c r="D946" s="15">
        <v>62036</v>
      </c>
      <c r="E946" s="60">
        <v>45527</v>
      </c>
      <c r="F946" s="52" t="s">
        <v>120</v>
      </c>
      <c r="G946" s="18" t="s">
        <v>508</v>
      </c>
      <c r="H946" s="49" t="s">
        <v>176</v>
      </c>
      <c r="I946" s="76" t="s">
        <v>76</v>
      </c>
      <c r="J946" s="50" t="s">
        <v>70</v>
      </c>
      <c r="K946" s="15">
        <v>100</v>
      </c>
      <c r="L946" s="54">
        <v>154</v>
      </c>
      <c r="M946" s="53">
        <f t="shared" si="26"/>
        <v>15400</v>
      </c>
      <c r="O946" s="59"/>
    </row>
    <row r="947" spans="1:17" x14ac:dyDescent="0.25">
      <c r="A947" s="21">
        <f>IF(C947="","",COUNTA($C$3:C947))</f>
        <v>945</v>
      </c>
      <c r="B947" s="35" t="str">
        <f t="shared" si="30"/>
        <v>July</v>
      </c>
      <c r="C947" s="33">
        <v>46234</v>
      </c>
      <c r="D947" s="15">
        <v>62036</v>
      </c>
      <c r="E947" s="60">
        <v>45527</v>
      </c>
      <c r="F947" s="52" t="s">
        <v>120</v>
      </c>
      <c r="G947" s="18" t="s">
        <v>508</v>
      </c>
      <c r="H947" s="49" t="s">
        <v>130</v>
      </c>
      <c r="I947" s="49" t="s">
        <v>40</v>
      </c>
      <c r="J947" s="50" t="s">
        <v>47</v>
      </c>
      <c r="K947" s="55">
        <v>200</v>
      </c>
      <c r="L947" s="54">
        <v>20</v>
      </c>
      <c r="M947" s="53">
        <f t="shared" si="26"/>
        <v>4000</v>
      </c>
      <c r="O947" s="59"/>
      <c r="Q947" s="59"/>
    </row>
    <row r="948" spans="1:17" x14ac:dyDescent="0.25">
      <c r="A948" s="21">
        <f>IF(C948="","",COUNTA($C$3:C948))</f>
        <v>946</v>
      </c>
      <c r="B948" s="35" t="str">
        <f t="shared" si="30"/>
        <v>July</v>
      </c>
      <c r="C948" s="33">
        <v>46234</v>
      </c>
      <c r="D948" s="15">
        <v>62037</v>
      </c>
      <c r="E948" s="60">
        <v>45528</v>
      </c>
      <c r="F948" s="52" t="s">
        <v>120</v>
      </c>
      <c r="G948" s="18" t="s">
        <v>510</v>
      </c>
      <c r="H948" s="49" t="s">
        <v>38</v>
      </c>
      <c r="I948" s="49" t="s">
        <v>68</v>
      </c>
      <c r="J948" s="50" t="s">
        <v>47</v>
      </c>
      <c r="K948" s="15">
        <v>102.9</v>
      </c>
      <c r="L948" s="62">
        <v>650</v>
      </c>
      <c r="M948" s="53">
        <f t="shared" si="26"/>
        <v>66885</v>
      </c>
    </row>
    <row r="949" spans="1:17" x14ac:dyDescent="0.25">
      <c r="A949" s="21">
        <f>IF(C949="","",COUNTA($C$3:C949))</f>
        <v>947</v>
      </c>
      <c r="B949" s="35" t="str">
        <f t="shared" si="30"/>
        <v>July</v>
      </c>
      <c r="C949" s="33">
        <v>46234</v>
      </c>
      <c r="D949" s="15">
        <v>62037</v>
      </c>
      <c r="E949" s="60">
        <v>45528</v>
      </c>
      <c r="F949" s="52" t="s">
        <v>120</v>
      </c>
      <c r="G949" s="18" t="s">
        <v>510</v>
      </c>
      <c r="H949" s="49" t="s">
        <v>38</v>
      </c>
      <c r="I949" s="49" t="s">
        <v>69</v>
      </c>
      <c r="J949" s="50" t="s">
        <v>47</v>
      </c>
      <c r="K949" s="15">
        <v>170.6</v>
      </c>
      <c r="L949" s="53">
        <v>835</v>
      </c>
      <c r="M949" s="53">
        <f t="shared" si="26"/>
        <v>142451</v>
      </c>
    </row>
    <row r="950" spans="1:17" x14ac:dyDescent="0.25">
      <c r="A950" s="21">
        <f>IF(C950="","",COUNTA($C$3:C950))</f>
        <v>948</v>
      </c>
      <c r="B950" s="35" t="str">
        <f t="shared" si="30"/>
        <v>July</v>
      </c>
      <c r="C950" s="33">
        <v>46234</v>
      </c>
      <c r="D950" s="15">
        <v>62037</v>
      </c>
      <c r="E950" s="60">
        <v>45528</v>
      </c>
      <c r="F950" s="52" t="s">
        <v>120</v>
      </c>
      <c r="G950" s="18" t="s">
        <v>510</v>
      </c>
      <c r="H950" s="49" t="s">
        <v>38</v>
      </c>
      <c r="I950" s="49" t="s">
        <v>39</v>
      </c>
      <c r="J950" s="50" t="s">
        <v>47</v>
      </c>
      <c r="K950" s="55">
        <v>88.3</v>
      </c>
      <c r="L950" s="54">
        <v>1060</v>
      </c>
      <c r="M950" s="53">
        <f t="shared" si="26"/>
        <v>93598</v>
      </c>
    </row>
    <row r="951" spans="1:17" x14ac:dyDescent="0.25">
      <c r="A951" s="21">
        <f>IF(C951="","",COUNTA($C$3:C951))</f>
        <v>949</v>
      </c>
      <c r="B951" s="35" t="str">
        <f t="shared" si="30"/>
        <v>July</v>
      </c>
      <c r="C951" s="33">
        <v>46234</v>
      </c>
      <c r="D951" s="15">
        <v>62037</v>
      </c>
      <c r="E951" s="60">
        <v>45528</v>
      </c>
      <c r="F951" s="52" t="s">
        <v>120</v>
      </c>
      <c r="G951" s="18" t="s">
        <v>510</v>
      </c>
      <c r="H951" s="49" t="s">
        <v>38</v>
      </c>
      <c r="I951" s="49" t="s">
        <v>51</v>
      </c>
      <c r="J951" s="50" t="s">
        <v>47</v>
      </c>
      <c r="K951" s="15">
        <v>22.8</v>
      </c>
      <c r="L951" s="62">
        <v>1150</v>
      </c>
      <c r="M951" s="53">
        <f t="shared" si="26"/>
        <v>26220</v>
      </c>
    </row>
    <row r="952" spans="1:17" x14ac:dyDescent="0.25">
      <c r="A952" s="21">
        <f>IF(C952="","",COUNTA($C$3:C952))</f>
        <v>950</v>
      </c>
      <c r="B952" s="35" t="str">
        <f t="shared" si="30"/>
        <v>July</v>
      </c>
      <c r="C952" s="33">
        <v>46234</v>
      </c>
      <c r="D952" s="15">
        <v>62037</v>
      </c>
      <c r="E952" s="60">
        <v>45528</v>
      </c>
      <c r="F952" s="52" t="s">
        <v>120</v>
      </c>
      <c r="G952" s="18" t="s">
        <v>510</v>
      </c>
      <c r="H952" s="49" t="s">
        <v>129</v>
      </c>
      <c r="I952" s="49" t="s">
        <v>511</v>
      </c>
      <c r="J952" s="50" t="s">
        <v>47</v>
      </c>
      <c r="K952" s="15">
        <v>342.8</v>
      </c>
      <c r="L952" s="62">
        <v>355</v>
      </c>
      <c r="M952" s="53">
        <f t="shared" si="26"/>
        <v>121694</v>
      </c>
    </row>
    <row r="953" spans="1:17" x14ac:dyDescent="0.25">
      <c r="A953" s="21">
        <f>IF(C953="","",COUNTA($C$3:C953))</f>
        <v>951</v>
      </c>
      <c r="B953" s="35" t="str">
        <f t="shared" si="30"/>
        <v>July</v>
      </c>
      <c r="C953" s="33">
        <v>46234</v>
      </c>
      <c r="D953" s="15">
        <v>62037</v>
      </c>
      <c r="E953" s="60">
        <v>45528</v>
      </c>
      <c r="F953" s="52" t="s">
        <v>120</v>
      </c>
      <c r="G953" s="18" t="s">
        <v>510</v>
      </c>
      <c r="H953" s="49" t="s">
        <v>129</v>
      </c>
      <c r="I953" s="49" t="s">
        <v>96</v>
      </c>
      <c r="J953" s="50" t="s">
        <v>47</v>
      </c>
      <c r="K953" s="15">
        <v>41.8</v>
      </c>
      <c r="L953" s="53">
        <v>910</v>
      </c>
      <c r="M953" s="53">
        <f t="shared" si="26"/>
        <v>38038</v>
      </c>
    </row>
    <row r="954" spans="1:17" x14ac:dyDescent="0.25">
      <c r="A954" s="21">
        <f>IF(C954="","",COUNTA($C$3:C954))</f>
        <v>952</v>
      </c>
      <c r="B954" s="35" t="str">
        <f t="shared" si="30"/>
        <v>July</v>
      </c>
      <c r="C954" s="33">
        <v>46234</v>
      </c>
      <c r="D954" s="15">
        <v>62037</v>
      </c>
      <c r="E954" s="60">
        <v>45528</v>
      </c>
      <c r="F954" s="52" t="s">
        <v>120</v>
      </c>
      <c r="G954" s="18" t="s">
        <v>510</v>
      </c>
      <c r="H954" s="49" t="s">
        <v>130</v>
      </c>
      <c r="I954" s="49" t="s">
        <v>40</v>
      </c>
      <c r="J954" s="50" t="s">
        <v>47</v>
      </c>
      <c r="K954" s="15">
        <v>380</v>
      </c>
      <c r="L954" s="62">
        <v>20</v>
      </c>
      <c r="M954" s="53">
        <f t="shared" si="26"/>
        <v>7600</v>
      </c>
    </row>
    <row r="955" spans="1:17" x14ac:dyDescent="0.25">
      <c r="A955" s="21" t="str">
        <f>IF(C955="","",COUNTA($C$3:C955))</f>
        <v/>
      </c>
      <c r="B955" s="35" t="str">
        <f t="shared" si="30"/>
        <v/>
      </c>
      <c r="C955" s="33"/>
      <c r="E955" s="60"/>
      <c r="F955" s="52"/>
      <c r="G955" s="18"/>
      <c r="H955" s="49"/>
      <c r="I955" s="49"/>
      <c r="L955" s="62"/>
      <c r="M955" s="53"/>
    </row>
    <row r="956" spans="1:17" x14ac:dyDescent="0.25">
      <c r="A956" s="21" t="str">
        <f>IF(C956="","",COUNTA($C$3:C956))</f>
        <v/>
      </c>
      <c r="B956" s="35" t="str">
        <f t="shared" si="30"/>
        <v/>
      </c>
      <c r="C956" s="33"/>
      <c r="E956" s="60"/>
      <c r="F956" s="52"/>
      <c r="G956" s="18"/>
      <c r="H956" s="49"/>
      <c r="I956" s="49"/>
      <c r="K956" s="55"/>
      <c r="M956" s="53"/>
    </row>
    <row r="957" spans="1:17" x14ac:dyDescent="0.25">
      <c r="A957" s="21" t="str">
        <f>IF(C957="","",COUNTA($C$3:C957))</f>
        <v/>
      </c>
      <c r="B957" s="35" t="str">
        <f t="shared" si="30"/>
        <v/>
      </c>
      <c r="C957" s="33"/>
      <c r="E957" s="60"/>
      <c r="F957" s="52"/>
      <c r="G957" s="18"/>
      <c r="H957" s="49"/>
      <c r="I957" s="49"/>
      <c r="L957" s="62"/>
      <c r="M957" s="53"/>
    </row>
    <row r="958" spans="1:17" x14ac:dyDescent="0.25">
      <c r="A958" s="21" t="str">
        <f>IF(C958="","",COUNTA($C$3:C958))</f>
        <v/>
      </c>
      <c r="B958" s="35" t="str">
        <f t="shared" si="30"/>
        <v/>
      </c>
      <c r="C958" s="33"/>
      <c r="E958" s="60"/>
      <c r="F958" s="52"/>
      <c r="G958" s="18"/>
      <c r="H958" s="49"/>
      <c r="I958" s="49"/>
      <c r="K958" s="55"/>
      <c r="M958" s="53"/>
    </row>
    <row r="959" spans="1:17" x14ac:dyDescent="0.25">
      <c r="A959" s="21" t="str">
        <f>IF(C959="","",COUNTA($C$3:C959))</f>
        <v/>
      </c>
      <c r="B959" s="35" t="str">
        <f t="shared" si="30"/>
        <v/>
      </c>
      <c r="C959" s="33"/>
      <c r="E959" s="60"/>
      <c r="F959" s="52"/>
      <c r="G959" s="18"/>
      <c r="H959" s="49"/>
      <c r="I959" s="49"/>
      <c r="L959" s="62"/>
      <c r="M959" s="53"/>
    </row>
    <row r="960" spans="1:17" x14ac:dyDescent="0.25">
      <c r="A960" s="21" t="str">
        <f>IF(C960="","",COUNTA($C$3:C960))</f>
        <v/>
      </c>
      <c r="B960" s="35" t="str">
        <f t="shared" si="30"/>
        <v/>
      </c>
      <c r="C960" s="33"/>
      <c r="E960" s="60"/>
      <c r="F960" s="52"/>
      <c r="G960" s="18"/>
      <c r="H960" s="49"/>
      <c r="I960" s="49"/>
      <c r="L960" s="62"/>
      <c r="M960" s="53"/>
      <c r="O960" s="59"/>
    </row>
    <row r="961" spans="1:17" x14ac:dyDescent="0.25">
      <c r="A961" s="21" t="str">
        <f>IF(C961="","",COUNTA($C$3:C961))</f>
        <v/>
      </c>
      <c r="B961" s="35" t="str">
        <f t="shared" si="30"/>
        <v/>
      </c>
      <c r="C961" s="33"/>
      <c r="E961" s="60"/>
      <c r="F961" s="52"/>
      <c r="G961" s="18"/>
      <c r="H961" s="49"/>
      <c r="I961" s="49"/>
      <c r="L961" s="62"/>
      <c r="M961" s="53"/>
      <c r="O961" s="59"/>
      <c r="Q961" s="59"/>
    </row>
    <row r="962" spans="1:17" x14ac:dyDescent="0.25">
      <c r="A962" s="21" t="str">
        <f>IF(C962="","",COUNTA($C$3:C962))</f>
        <v/>
      </c>
      <c r="B962" s="35" t="str">
        <f t="shared" si="30"/>
        <v/>
      </c>
      <c r="C962" s="33"/>
      <c r="E962" s="60"/>
      <c r="F962" s="52"/>
      <c r="G962" s="18"/>
      <c r="H962" s="49"/>
      <c r="I962" s="49"/>
      <c r="L962" s="62"/>
      <c r="M962" s="53"/>
      <c r="O962" s="59"/>
    </row>
    <row r="963" spans="1:17" x14ac:dyDescent="0.25">
      <c r="A963" s="21" t="str">
        <f>IF(C963="","",COUNTA($C$3:C963))</f>
        <v/>
      </c>
      <c r="B963" s="35" t="str">
        <f t="shared" si="30"/>
        <v/>
      </c>
      <c r="C963" s="33"/>
      <c r="E963" s="60"/>
      <c r="F963" s="52"/>
      <c r="G963" s="18"/>
      <c r="H963" s="49"/>
      <c r="I963" s="49"/>
      <c r="L963" s="62"/>
      <c r="M963" s="53"/>
      <c r="O963" s="59"/>
    </row>
    <row r="964" spans="1:17" x14ac:dyDescent="0.25">
      <c r="A964" s="21" t="str">
        <f>IF(C964="","",COUNTA($C$3:C964))</f>
        <v/>
      </c>
      <c r="B964" s="35" t="str">
        <f t="shared" si="30"/>
        <v/>
      </c>
      <c r="C964" s="33"/>
      <c r="E964" s="60"/>
      <c r="F964" s="52"/>
      <c r="G964" s="18"/>
      <c r="H964" s="49"/>
      <c r="I964" s="49"/>
      <c r="K964" s="67"/>
      <c r="L964" s="62"/>
      <c r="M964" s="53"/>
    </row>
    <row r="965" spans="1:17" x14ac:dyDescent="0.25">
      <c r="A965" s="21" t="str">
        <f>IF(C965="","",COUNTA($C$3:C965))</f>
        <v/>
      </c>
      <c r="B965" s="35" t="str">
        <f t="shared" ref="B965:B1028" si="31">IF(C965="","",TEXT(C965,"mmmm"))</f>
        <v/>
      </c>
      <c r="C965" s="33"/>
      <c r="E965" s="60"/>
      <c r="F965" s="52"/>
      <c r="G965" s="18"/>
      <c r="H965" s="49"/>
      <c r="I965" s="49"/>
      <c r="L965" s="62"/>
      <c r="M965" s="53"/>
    </row>
    <row r="966" spans="1:17" x14ac:dyDescent="0.25">
      <c r="A966" s="21" t="str">
        <f>IF(C966="","",COUNTA($C$3:C966))</f>
        <v/>
      </c>
      <c r="B966" s="35" t="str">
        <f t="shared" si="31"/>
        <v/>
      </c>
      <c r="C966" s="33"/>
      <c r="E966" s="60"/>
      <c r="F966" s="52"/>
      <c r="G966" s="18"/>
      <c r="H966" s="49"/>
      <c r="I966" s="49"/>
      <c r="L966" s="62"/>
      <c r="M966" s="53"/>
      <c r="O966" s="59"/>
    </row>
    <row r="967" spans="1:17" x14ac:dyDescent="0.25">
      <c r="A967" s="21" t="str">
        <f>IF(C967="","",COUNTA($C$3:C967))</f>
        <v/>
      </c>
      <c r="B967" s="35" t="str">
        <f t="shared" si="31"/>
        <v/>
      </c>
      <c r="C967" s="33"/>
      <c r="E967" s="60"/>
      <c r="F967" s="52"/>
      <c r="G967" s="18"/>
      <c r="H967" s="49"/>
      <c r="I967" s="49"/>
      <c r="L967" s="62"/>
      <c r="M967" s="53"/>
      <c r="O967" s="59"/>
    </row>
    <row r="968" spans="1:17" x14ac:dyDescent="0.25">
      <c r="A968" s="21" t="str">
        <f>IF(C968="","",COUNTA($C$3:C968))</f>
        <v/>
      </c>
      <c r="B968" s="35" t="str">
        <f t="shared" si="31"/>
        <v/>
      </c>
      <c r="C968" s="33"/>
      <c r="E968" s="60"/>
      <c r="F968" s="52"/>
      <c r="G968" s="18"/>
      <c r="H968" s="49"/>
      <c r="I968" s="49"/>
      <c r="K968" s="67"/>
      <c r="L968" s="62"/>
      <c r="M968" s="53"/>
      <c r="O968" s="59"/>
    </row>
    <row r="969" spans="1:17" x14ac:dyDescent="0.25">
      <c r="A969" s="21" t="str">
        <f>IF(C969="","",COUNTA($C$3:C969))</f>
        <v/>
      </c>
      <c r="B969" s="35" t="str">
        <f t="shared" si="31"/>
        <v/>
      </c>
      <c r="C969" s="33"/>
      <c r="E969" s="60"/>
      <c r="F969" s="52"/>
      <c r="G969" s="18"/>
      <c r="H969" s="49"/>
      <c r="I969" s="49"/>
      <c r="L969" s="62"/>
      <c r="M969" s="53"/>
      <c r="O969" s="59"/>
    </row>
    <row r="970" spans="1:17" x14ac:dyDescent="0.25">
      <c r="A970" s="21" t="str">
        <f>IF(C970="","",COUNTA($C$3:C970))</f>
        <v/>
      </c>
      <c r="B970" s="35" t="str">
        <f t="shared" si="31"/>
        <v/>
      </c>
      <c r="C970" s="33"/>
      <c r="E970" s="60"/>
      <c r="F970" s="52"/>
      <c r="G970" s="18"/>
      <c r="H970" s="49"/>
      <c r="I970" s="49"/>
      <c r="L970" s="62"/>
      <c r="M970" s="53"/>
    </row>
    <row r="971" spans="1:17" x14ac:dyDescent="0.25">
      <c r="A971" s="21" t="str">
        <f>IF(C971="","",COUNTA($C$3:C971))</f>
        <v/>
      </c>
      <c r="B971" s="35" t="str">
        <f t="shared" si="31"/>
        <v/>
      </c>
      <c r="C971" s="33"/>
      <c r="E971" s="60"/>
      <c r="F971" s="52"/>
      <c r="G971" s="18"/>
      <c r="H971" s="49"/>
      <c r="I971" s="49"/>
      <c r="L971" s="62"/>
      <c r="M971" s="53"/>
      <c r="O971" s="59"/>
      <c r="P971" s="59"/>
      <c r="Q971" s="59"/>
    </row>
    <row r="972" spans="1:17" x14ac:dyDescent="0.25">
      <c r="A972" s="21" t="str">
        <f>IF(C972="","",COUNTA($C$3:C972))</f>
        <v/>
      </c>
      <c r="B972" s="35" t="str">
        <f t="shared" si="31"/>
        <v/>
      </c>
      <c r="C972" s="33"/>
      <c r="E972" s="60"/>
      <c r="F972" s="52"/>
      <c r="G972" s="18"/>
      <c r="H972" s="49"/>
      <c r="I972" s="49"/>
      <c r="M972" s="53"/>
      <c r="O972" s="59"/>
      <c r="P972" s="59"/>
      <c r="Q972" s="59"/>
    </row>
    <row r="973" spans="1:17" x14ac:dyDescent="0.25">
      <c r="A973" s="21" t="str">
        <f>IF(C973="","",COUNTA($C$3:C973))</f>
        <v/>
      </c>
      <c r="B973" s="35" t="str">
        <f t="shared" si="31"/>
        <v/>
      </c>
      <c r="C973" s="33"/>
      <c r="E973" s="60"/>
      <c r="F973" s="52"/>
      <c r="G973" s="18"/>
      <c r="H973" s="49"/>
      <c r="I973" s="49"/>
      <c r="M973" s="53"/>
      <c r="O973" s="59"/>
      <c r="P973" s="59"/>
      <c r="Q973" s="59"/>
    </row>
    <row r="974" spans="1:17" x14ac:dyDescent="0.25">
      <c r="A974" s="21" t="str">
        <f>IF(C974="","",COUNTA($C$3:C974))</f>
        <v/>
      </c>
      <c r="B974" s="35" t="str">
        <f t="shared" si="31"/>
        <v/>
      </c>
      <c r="C974" s="33"/>
      <c r="E974" s="60"/>
      <c r="F974" s="52"/>
      <c r="G974" s="18"/>
      <c r="H974" s="49"/>
      <c r="I974" s="49"/>
      <c r="L974" s="62"/>
      <c r="M974" s="53"/>
      <c r="O974" s="59"/>
      <c r="P974" s="71"/>
      <c r="Q974" s="59"/>
    </row>
    <row r="975" spans="1:17" x14ac:dyDescent="0.25">
      <c r="A975" s="21" t="str">
        <f>IF(C975="","",COUNTA($C$3:C975))</f>
        <v/>
      </c>
      <c r="B975" s="35" t="str">
        <f t="shared" si="31"/>
        <v/>
      </c>
      <c r="C975" s="33"/>
      <c r="E975" s="60"/>
      <c r="F975" s="52"/>
      <c r="G975" s="18"/>
      <c r="H975" s="49"/>
      <c r="I975" s="49"/>
      <c r="L975" s="62"/>
      <c r="M975" s="53"/>
      <c r="O975" s="59"/>
      <c r="P975" s="69"/>
      <c r="Q975" s="59"/>
    </row>
    <row r="976" spans="1:17" x14ac:dyDescent="0.25">
      <c r="A976" s="21" t="str">
        <f>IF(C976="","",COUNTA($C$3:C976))</f>
        <v/>
      </c>
      <c r="B976" s="35" t="str">
        <f t="shared" si="31"/>
        <v/>
      </c>
      <c r="C976" s="33"/>
      <c r="E976" s="60"/>
      <c r="F976" s="52"/>
      <c r="G976" s="18"/>
      <c r="H976" s="49"/>
      <c r="I976" s="49"/>
      <c r="K976" s="55"/>
      <c r="L976" s="62"/>
      <c r="M976" s="53"/>
      <c r="N976" s="59"/>
    </row>
    <row r="977" spans="1:14" x14ac:dyDescent="0.25">
      <c r="A977" s="21" t="str">
        <f>IF(C977="","",COUNTA($C$3:C977))</f>
        <v/>
      </c>
      <c r="B977" s="35" t="str">
        <f t="shared" si="31"/>
        <v/>
      </c>
      <c r="C977" s="33"/>
      <c r="E977" s="60"/>
      <c r="F977" s="52"/>
      <c r="G977" s="18"/>
      <c r="H977" s="49"/>
      <c r="I977" s="49"/>
      <c r="L977" s="62"/>
      <c r="M977" s="53"/>
      <c r="N977" s="69"/>
    </row>
    <row r="978" spans="1:14" x14ac:dyDescent="0.25">
      <c r="A978" s="21" t="str">
        <f>IF(C978="","",COUNTA($C$3:C978))</f>
        <v/>
      </c>
      <c r="B978" s="35" t="str">
        <f t="shared" si="31"/>
        <v/>
      </c>
      <c r="C978" s="33"/>
      <c r="E978" s="60"/>
      <c r="F978" s="52"/>
      <c r="G978" s="18"/>
      <c r="H978" s="49"/>
      <c r="I978" s="49"/>
      <c r="K978" s="55"/>
      <c r="L978" s="62"/>
      <c r="M978" s="53"/>
    </row>
    <row r="979" spans="1:14" x14ac:dyDescent="0.25">
      <c r="A979" s="21" t="str">
        <f>IF(C979="","",COUNTA($C$3:C979))</f>
        <v/>
      </c>
      <c r="B979" s="35" t="str">
        <f t="shared" si="31"/>
        <v/>
      </c>
      <c r="C979" s="33"/>
      <c r="E979" s="60"/>
      <c r="F979" s="52"/>
      <c r="G979" s="18"/>
      <c r="H979" s="49"/>
      <c r="I979" s="49"/>
      <c r="L979" s="62"/>
      <c r="M979" s="53"/>
    </row>
    <row r="980" spans="1:14" x14ac:dyDescent="0.25">
      <c r="A980" s="21" t="str">
        <f>IF(C980="","",COUNTA($C$3:C980))</f>
        <v/>
      </c>
      <c r="B980" s="35" t="str">
        <f t="shared" si="31"/>
        <v/>
      </c>
      <c r="C980" s="33"/>
      <c r="E980" s="60"/>
      <c r="F980" s="52"/>
      <c r="G980" s="18"/>
      <c r="H980" s="49"/>
      <c r="I980" s="49"/>
      <c r="L980" s="62"/>
      <c r="M980" s="53"/>
    </row>
    <row r="981" spans="1:14" x14ac:dyDescent="0.25">
      <c r="A981" s="21" t="str">
        <f>IF(C981="","",COUNTA($C$3:C981))</f>
        <v/>
      </c>
      <c r="B981" s="35" t="str">
        <f t="shared" si="31"/>
        <v/>
      </c>
      <c r="C981" s="33"/>
      <c r="E981" s="60"/>
      <c r="F981" s="52"/>
      <c r="G981" s="18"/>
      <c r="H981" s="49"/>
      <c r="I981" s="49"/>
      <c r="L981" s="62"/>
      <c r="M981" s="53"/>
    </row>
    <row r="982" spans="1:14" x14ac:dyDescent="0.25">
      <c r="A982" s="21" t="str">
        <f>IF(C982="","",COUNTA($C$3:C982))</f>
        <v/>
      </c>
      <c r="B982" s="35" t="str">
        <f t="shared" si="31"/>
        <v/>
      </c>
      <c r="C982" s="33"/>
      <c r="E982" s="60"/>
      <c r="F982" s="52"/>
      <c r="G982" s="18"/>
      <c r="H982" s="49"/>
      <c r="I982" s="49"/>
      <c r="K982" s="55"/>
      <c r="M982" s="53"/>
    </row>
    <row r="983" spans="1:14" x14ac:dyDescent="0.25">
      <c r="A983" s="21" t="str">
        <f>IF(C983="","",COUNTA($C$3:C983))</f>
        <v/>
      </c>
      <c r="B983" s="35" t="str">
        <f t="shared" si="31"/>
        <v/>
      </c>
      <c r="C983" s="33"/>
      <c r="E983" s="60"/>
      <c r="F983" s="52"/>
      <c r="G983" s="18"/>
      <c r="H983" s="49"/>
      <c r="I983" s="49"/>
      <c r="L983" s="62"/>
      <c r="M983" s="53"/>
    </row>
    <row r="984" spans="1:14" x14ac:dyDescent="0.25">
      <c r="A984" s="21" t="str">
        <f>IF(C984="","",COUNTA($C$3:C984))</f>
        <v/>
      </c>
      <c r="B984" s="35" t="str">
        <f t="shared" si="31"/>
        <v/>
      </c>
      <c r="C984" s="33"/>
      <c r="E984" s="60"/>
      <c r="F984" s="52"/>
      <c r="G984" s="18"/>
      <c r="H984" s="49"/>
      <c r="I984" s="49"/>
      <c r="L984" s="62"/>
      <c r="M984" s="53"/>
    </row>
    <row r="985" spans="1:14" x14ac:dyDescent="0.25">
      <c r="A985" s="21" t="str">
        <f>IF(C985="","",COUNTA($C$3:C985))</f>
        <v/>
      </c>
      <c r="B985" s="35" t="str">
        <f t="shared" si="31"/>
        <v/>
      </c>
      <c r="C985" s="33"/>
      <c r="E985" s="60"/>
      <c r="F985" s="52"/>
      <c r="G985" s="18"/>
      <c r="H985" s="49"/>
      <c r="I985" s="49"/>
      <c r="L985" s="62"/>
      <c r="M985" s="53"/>
    </row>
    <row r="986" spans="1:14" x14ac:dyDescent="0.25">
      <c r="A986" s="21" t="str">
        <f>IF(C986="","",COUNTA($C$3:C986))</f>
        <v/>
      </c>
      <c r="B986" s="35" t="str">
        <f t="shared" si="31"/>
        <v/>
      </c>
      <c r="C986" s="33"/>
      <c r="E986" s="60"/>
      <c r="F986" s="52"/>
      <c r="G986" s="18"/>
      <c r="H986" s="49"/>
      <c r="I986" s="49"/>
      <c r="L986" s="62"/>
      <c r="M986" s="53"/>
    </row>
    <row r="987" spans="1:14" x14ac:dyDescent="0.25">
      <c r="A987" s="21" t="str">
        <f>IF(C987="","",COUNTA($C$3:C987))</f>
        <v/>
      </c>
      <c r="B987" s="35" t="str">
        <f t="shared" si="31"/>
        <v/>
      </c>
      <c r="C987" s="33"/>
      <c r="E987" s="60"/>
      <c r="F987" s="52"/>
      <c r="G987" s="18"/>
      <c r="H987" s="49"/>
      <c r="I987" s="49"/>
      <c r="L987" s="62"/>
      <c r="M987" s="53"/>
    </row>
    <row r="988" spans="1:14" x14ac:dyDescent="0.25">
      <c r="A988" s="21" t="str">
        <f>IF(C988="","",COUNTA($C$3:C988))</f>
        <v/>
      </c>
      <c r="B988" s="35" t="str">
        <f t="shared" si="31"/>
        <v/>
      </c>
      <c r="C988" s="33"/>
      <c r="E988" s="60"/>
      <c r="F988" s="52"/>
      <c r="G988" s="18"/>
      <c r="H988" s="49"/>
      <c r="I988" s="49"/>
      <c r="L988" s="62"/>
      <c r="M988" s="53"/>
    </row>
    <row r="989" spans="1:14" x14ac:dyDescent="0.25">
      <c r="A989" s="21" t="str">
        <f>IF(C989="","",COUNTA($C$3:C989))</f>
        <v/>
      </c>
      <c r="B989" s="35" t="str">
        <f t="shared" si="31"/>
        <v/>
      </c>
      <c r="C989" s="33"/>
      <c r="E989" s="60"/>
      <c r="F989" s="52"/>
      <c r="G989" s="18"/>
      <c r="H989" s="49"/>
      <c r="I989" s="49"/>
      <c r="L989" s="62"/>
      <c r="M989" s="53"/>
    </row>
    <row r="990" spans="1:14" x14ac:dyDescent="0.25">
      <c r="A990" s="21" t="str">
        <f>IF(C990="","",COUNTA($C$3:C990))</f>
        <v/>
      </c>
      <c r="B990" s="35" t="str">
        <f t="shared" si="31"/>
        <v/>
      </c>
      <c r="C990" s="33"/>
      <c r="E990" s="60"/>
      <c r="F990" s="52"/>
      <c r="G990" s="18"/>
      <c r="H990" s="49"/>
      <c r="I990" s="49"/>
      <c r="L990" s="62"/>
      <c r="M990" s="53"/>
    </row>
    <row r="991" spans="1:14" x14ac:dyDescent="0.25">
      <c r="A991" s="21" t="str">
        <f>IF(C991="","",COUNTA($C$3:C991))</f>
        <v/>
      </c>
      <c r="B991" s="35" t="str">
        <f t="shared" si="31"/>
        <v/>
      </c>
      <c r="C991" s="33"/>
      <c r="E991" s="60"/>
      <c r="F991" s="52"/>
      <c r="G991" s="18"/>
      <c r="H991" s="49"/>
      <c r="I991" s="49"/>
      <c r="L991" s="62"/>
      <c r="M991" s="53"/>
    </row>
    <row r="992" spans="1:14" x14ac:dyDescent="0.25">
      <c r="A992" s="21" t="str">
        <f>IF(C992="","",COUNTA($C$3:C992))</f>
        <v/>
      </c>
      <c r="B992" s="35" t="str">
        <f t="shared" si="31"/>
        <v/>
      </c>
      <c r="C992" s="33"/>
      <c r="E992" s="60"/>
      <c r="F992" s="52"/>
      <c r="G992" s="18"/>
      <c r="H992" s="49"/>
      <c r="I992" s="49"/>
      <c r="L992" s="62"/>
      <c r="M992" s="53"/>
    </row>
    <row r="993" spans="1:17" x14ac:dyDescent="0.25">
      <c r="A993" s="21" t="str">
        <f>IF(C993="","",COUNTA($C$3:C993))</f>
        <v/>
      </c>
      <c r="B993" s="35" t="str">
        <f t="shared" si="31"/>
        <v/>
      </c>
      <c r="C993" s="33"/>
      <c r="E993" s="60"/>
      <c r="F993" s="52"/>
      <c r="G993" s="18"/>
      <c r="H993" s="49"/>
      <c r="I993" s="49"/>
      <c r="L993" s="62"/>
      <c r="M993" s="53"/>
    </row>
    <row r="994" spans="1:17" x14ac:dyDescent="0.25">
      <c r="A994" s="21" t="str">
        <f>IF(C994="","",COUNTA($C$3:C994))</f>
        <v/>
      </c>
      <c r="B994" s="35" t="str">
        <f t="shared" si="31"/>
        <v/>
      </c>
      <c r="C994" s="33"/>
      <c r="E994" s="60"/>
      <c r="F994" s="52"/>
      <c r="G994" s="18"/>
      <c r="H994" s="49"/>
      <c r="I994" s="49"/>
      <c r="K994" s="55"/>
      <c r="M994" s="53"/>
    </row>
    <row r="995" spans="1:17" x14ac:dyDescent="0.25">
      <c r="A995" s="21" t="str">
        <f>IF(C995="","",COUNTA($C$3:C995))</f>
        <v/>
      </c>
      <c r="B995" s="35" t="str">
        <f t="shared" si="31"/>
        <v/>
      </c>
      <c r="C995" s="33"/>
      <c r="E995" s="60"/>
      <c r="F995" s="52"/>
      <c r="G995" s="18"/>
      <c r="H995" s="49"/>
      <c r="I995" s="49"/>
      <c r="L995" s="62"/>
      <c r="M995" s="53"/>
    </row>
    <row r="996" spans="1:17" x14ac:dyDescent="0.25">
      <c r="A996" s="21" t="str">
        <f>IF(C996="","",COUNTA($C$3:C996))</f>
        <v/>
      </c>
      <c r="B996" s="35" t="str">
        <f t="shared" si="31"/>
        <v/>
      </c>
      <c r="C996" s="33"/>
      <c r="E996" s="60"/>
      <c r="F996" s="52"/>
      <c r="G996" s="18"/>
      <c r="H996" s="49"/>
      <c r="I996" s="49"/>
      <c r="L996" s="62"/>
      <c r="M996" s="53"/>
    </row>
    <row r="997" spans="1:17" x14ac:dyDescent="0.25">
      <c r="A997" s="21" t="str">
        <f>IF(C997="","",COUNTA($C$3:C997))</f>
        <v/>
      </c>
      <c r="B997" s="35" t="str">
        <f t="shared" si="31"/>
        <v/>
      </c>
      <c r="C997" s="33"/>
      <c r="E997" s="60"/>
      <c r="F997" s="52"/>
      <c r="G997" s="18"/>
      <c r="H997" s="49"/>
      <c r="I997" s="49"/>
      <c r="L997" s="62"/>
      <c r="M997" s="53"/>
    </row>
    <row r="998" spans="1:17" x14ac:dyDescent="0.25">
      <c r="A998" s="21" t="str">
        <f>IF(C998="","",COUNTA($C$3:C998))</f>
        <v/>
      </c>
      <c r="B998" s="35" t="str">
        <f t="shared" si="31"/>
        <v/>
      </c>
      <c r="C998" s="33"/>
      <c r="E998" s="60"/>
      <c r="F998" s="52"/>
      <c r="G998" s="18"/>
      <c r="H998" s="49"/>
      <c r="I998" s="49"/>
      <c r="L998" s="62"/>
      <c r="M998" s="53"/>
    </row>
    <row r="999" spans="1:17" x14ac:dyDescent="0.25">
      <c r="A999" s="21" t="str">
        <f>IF(C999="","",COUNTA($C$3:C999))</f>
        <v/>
      </c>
      <c r="B999" s="35" t="str">
        <f t="shared" si="31"/>
        <v/>
      </c>
      <c r="C999" s="33"/>
      <c r="E999" s="60"/>
      <c r="F999" s="52"/>
      <c r="G999" s="18"/>
      <c r="H999" s="49"/>
      <c r="I999" s="49"/>
      <c r="L999" s="62"/>
      <c r="M999" s="53"/>
      <c r="O999" s="59"/>
      <c r="P999" s="59"/>
      <c r="Q999" s="59"/>
    </row>
    <row r="1000" spans="1:17" x14ac:dyDescent="0.25">
      <c r="A1000" s="21" t="str">
        <f>IF(C1000="","",COUNTA($C$3:C1000))</f>
        <v/>
      </c>
      <c r="B1000" s="35" t="str">
        <f t="shared" si="31"/>
        <v/>
      </c>
      <c r="C1000" s="33"/>
      <c r="E1000" s="60"/>
      <c r="F1000" s="52"/>
      <c r="G1000" s="18"/>
      <c r="H1000" s="49"/>
      <c r="I1000" s="49"/>
      <c r="L1000" s="62"/>
      <c r="M1000" s="53"/>
      <c r="O1000" s="59"/>
      <c r="P1000" s="59"/>
      <c r="Q1000" s="59"/>
    </row>
    <row r="1001" spans="1:17" x14ac:dyDescent="0.25">
      <c r="A1001" s="21" t="str">
        <f>IF(C1001="","",COUNTA($C$3:C1001))</f>
        <v/>
      </c>
      <c r="B1001" s="35" t="str">
        <f t="shared" si="31"/>
        <v/>
      </c>
      <c r="C1001" s="33"/>
      <c r="E1001" s="60"/>
      <c r="F1001" s="52"/>
      <c r="G1001" s="18"/>
      <c r="H1001" s="49"/>
      <c r="I1001" s="49"/>
      <c r="L1001" s="62"/>
      <c r="M1001" s="53"/>
      <c r="O1001" s="59"/>
      <c r="P1001" s="59"/>
      <c r="Q1001" s="59"/>
    </row>
    <row r="1002" spans="1:17" x14ac:dyDescent="0.25">
      <c r="A1002" s="21" t="str">
        <f>IF(C1002="","",COUNTA($C$3:C1002))</f>
        <v/>
      </c>
      <c r="B1002" s="35" t="str">
        <f t="shared" si="31"/>
        <v/>
      </c>
      <c r="C1002" s="33"/>
      <c r="E1002" s="60"/>
      <c r="F1002" s="52"/>
      <c r="G1002" s="18"/>
      <c r="H1002" s="49"/>
      <c r="I1002" s="49"/>
      <c r="M1002" s="53"/>
      <c r="O1002" s="59"/>
      <c r="P1002" s="59"/>
      <c r="Q1002" s="59"/>
    </row>
    <row r="1003" spans="1:17" x14ac:dyDescent="0.25">
      <c r="A1003" s="21" t="str">
        <f>IF(C1003="","",COUNTA($C$3:C1003))</f>
        <v/>
      </c>
      <c r="B1003" s="35" t="str">
        <f t="shared" si="31"/>
        <v/>
      </c>
      <c r="C1003" s="33"/>
      <c r="E1003" s="60"/>
      <c r="F1003" s="52"/>
      <c r="G1003" s="18"/>
      <c r="H1003" s="49"/>
      <c r="I1003" s="49"/>
      <c r="L1003" s="62"/>
      <c r="M1003" s="53"/>
      <c r="O1003" s="59"/>
      <c r="P1003" s="59"/>
      <c r="Q1003" s="59"/>
    </row>
    <row r="1004" spans="1:17" x14ac:dyDescent="0.25">
      <c r="A1004" s="21" t="str">
        <f>IF(C1004="","",COUNTA($C$3:C1004))</f>
        <v/>
      </c>
      <c r="B1004" s="35" t="str">
        <f t="shared" si="31"/>
        <v/>
      </c>
      <c r="C1004" s="33"/>
      <c r="E1004" s="60"/>
      <c r="F1004" s="52"/>
      <c r="G1004" s="18"/>
      <c r="H1004" s="49"/>
      <c r="I1004" s="49"/>
      <c r="L1004" s="62"/>
      <c r="M1004" s="53"/>
      <c r="O1004" s="59"/>
      <c r="P1004" s="112"/>
      <c r="Q1004" s="59"/>
    </row>
    <row r="1005" spans="1:17" x14ac:dyDescent="0.25">
      <c r="A1005" s="21" t="str">
        <f>IF(C1005="","",COUNTA($C$3:C1005))</f>
        <v/>
      </c>
      <c r="B1005" s="35" t="str">
        <f t="shared" si="31"/>
        <v/>
      </c>
      <c r="C1005" s="33"/>
      <c r="E1005" s="60"/>
      <c r="F1005" s="52"/>
      <c r="G1005" s="18"/>
      <c r="H1005" s="49"/>
      <c r="I1005" s="49"/>
      <c r="L1005" s="62"/>
      <c r="M1005" s="53"/>
    </row>
    <row r="1006" spans="1:17" x14ac:dyDescent="0.25">
      <c r="A1006" s="21" t="str">
        <f>IF(C1006="","",COUNTA($C$3:C1006))</f>
        <v/>
      </c>
      <c r="B1006" s="35" t="str">
        <f t="shared" si="31"/>
        <v/>
      </c>
      <c r="C1006" s="33"/>
      <c r="E1006" s="60"/>
      <c r="F1006" s="52"/>
      <c r="G1006" s="18"/>
      <c r="H1006" s="49"/>
      <c r="I1006" s="49"/>
      <c r="L1006" s="62"/>
      <c r="M1006" s="53"/>
    </row>
    <row r="1007" spans="1:17" x14ac:dyDescent="0.25">
      <c r="A1007" s="21" t="str">
        <f>IF(C1007="","",COUNTA($C$3:C1007))</f>
        <v/>
      </c>
      <c r="B1007" s="35" t="str">
        <f t="shared" si="31"/>
        <v/>
      </c>
      <c r="C1007" s="33"/>
      <c r="E1007" s="60"/>
      <c r="F1007" s="52"/>
      <c r="G1007" s="18"/>
      <c r="H1007" s="49"/>
      <c r="I1007" s="49"/>
      <c r="K1007" s="55"/>
      <c r="L1007" s="62"/>
      <c r="M1007" s="53"/>
      <c r="P1007" s="115"/>
    </row>
    <row r="1008" spans="1:17" x14ac:dyDescent="0.25">
      <c r="A1008" s="21" t="str">
        <f>IF(C1008="","",COUNTA($C$3:C1008))</f>
        <v/>
      </c>
      <c r="B1008" s="35" t="str">
        <f t="shared" si="31"/>
        <v/>
      </c>
      <c r="C1008" s="33"/>
      <c r="E1008" s="60"/>
      <c r="F1008" s="52"/>
      <c r="G1008" s="18"/>
      <c r="H1008" s="49"/>
      <c r="I1008" s="49"/>
      <c r="K1008" s="55"/>
      <c r="L1008" s="62"/>
      <c r="M1008" s="53"/>
    </row>
    <row r="1009" spans="1:17" x14ac:dyDescent="0.25">
      <c r="A1009" s="21" t="str">
        <f>IF(C1009="","",COUNTA($C$3:C1009))</f>
        <v/>
      </c>
      <c r="B1009" s="35" t="str">
        <f t="shared" si="31"/>
        <v/>
      </c>
      <c r="C1009" s="33"/>
      <c r="E1009" s="60"/>
      <c r="F1009" s="52"/>
      <c r="G1009" s="18"/>
      <c r="H1009" s="49"/>
      <c r="I1009" s="49"/>
      <c r="L1009" s="62"/>
      <c r="M1009" s="53"/>
    </row>
    <row r="1010" spans="1:17" x14ac:dyDescent="0.25">
      <c r="A1010" s="21" t="str">
        <f>IF(C1010="","",COUNTA($C$3:C1010))</f>
        <v/>
      </c>
      <c r="B1010" s="35" t="str">
        <f t="shared" si="31"/>
        <v/>
      </c>
      <c r="C1010" s="33"/>
      <c r="E1010" s="60"/>
      <c r="F1010" s="52"/>
      <c r="G1010" s="18"/>
      <c r="H1010" s="49"/>
      <c r="I1010" s="49"/>
      <c r="L1010" s="62"/>
      <c r="M1010" s="53"/>
    </row>
    <row r="1011" spans="1:17" x14ac:dyDescent="0.25">
      <c r="A1011" s="21" t="str">
        <f>IF(C1011="","",COUNTA($C$3:C1011))</f>
        <v/>
      </c>
      <c r="B1011" s="35" t="str">
        <f t="shared" si="31"/>
        <v/>
      </c>
      <c r="C1011" s="33"/>
      <c r="E1011" s="60"/>
      <c r="F1011" s="52"/>
      <c r="G1011" s="18"/>
      <c r="H1011" s="49"/>
      <c r="I1011" s="49"/>
      <c r="L1011" s="62"/>
      <c r="M1011" s="53"/>
    </row>
    <row r="1012" spans="1:17" x14ac:dyDescent="0.25">
      <c r="A1012" s="21" t="str">
        <f>IF(C1012="","",COUNTA($C$3:C1012))</f>
        <v/>
      </c>
      <c r="B1012" s="35" t="str">
        <f t="shared" si="31"/>
        <v/>
      </c>
      <c r="C1012" s="33"/>
      <c r="E1012" s="60"/>
      <c r="F1012" s="52"/>
      <c r="G1012" s="18"/>
      <c r="H1012" s="49"/>
      <c r="I1012" s="49"/>
      <c r="L1012" s="62"/>
      <c r="M1012" s="53"/>
    </row>
    <row r="1013" spans="1:17" x14ac:dyDescent="0.25">
      <c r="A1013" s="21" t="str">
        <f>IF(C1013="","",COUNTA($C$3:C1013))</f>
        <v/>
      </c>
      <c r="B1013" s="35" t="str">
        <f t="shared" si="31"/>
        <v/>
      </c>
      <c r="C1013" s="33"/>
      <c r="E1013" s="60"/>
      <c r="F1013" s="52"/>
      <c r="G1013" s="18"/>
      <c r="H1013" s="49"/>
      <c r="I1013" s="49"/>
      <c r="L1013" s="62"/>
      <c r="M1013" s="53"/>
    </row>
    <row r="1014" spans="1:17" x14ac:dyDescent="0.25">
      <c r="A1014" s="21" t="str">
        <f>IF(C1014="","",COUNTA($C$3:C1014))</f>
        <v/>
      </c>
      <c r="B1014" s="35" t="str">
        <f t="shared" si="31"/>
        <v/>
      </c>
      <c r="C1014" s="33"/>
      <c r="E1014" s="60"/>
      <c r="F1014" s="52"/>
      <c r="G1014" s="18"/>
      <c r="H1014" s="49"/>
      <c r="I1014" s="49"/>
      <c r="L1014" s="62"/>
      <c r="M1014" s="53"/>
    </row>
    <row r="1015" spans="1:17" x14ac:dyDescent="0.25">
      <c r="A1015" s="21" t="str">
        <f>IF(C1015="","",COUNTA($C$3:C1015))</f>
        <v/>
      </c>
      <c r="B1015" s="35" t="str">
        <f t="shared" si="31"/>
        <v/>
      </c>
      <c r="C1015" s="33"/>
      <c r="E1015" s="60"/>
      <c r="F1015" s="52"/>
      <c r="G1015" s="18"/>
      <c r="H1015" s="49"/>
      <c r="I1015" s="49"/>
      <c r="L1015" s="62"/>
      <c r="M1015" s="53"/>
    </row>
    <row r="1016" spans="1:17" x14ac:dyDescent="0.25">
      <c r="A1016" s="21" t="str">
        <f>IF(C1016="","",COUNTA($C$3:C1016))</f>
        <v/>
      </c>
      <c r="B1016" s="35" t="str">
        <f t="shared" si="31"/>
        <v/>
      </c>
      <c r="C1016" s="33"/>
      <c r="E1016" s="60"/>
      <c r="F1016" s="52"/>
      <c r="G1016" s="18"/>
      <c r="H1016" s="49"/>
      <c r="I1016" s="49"/>
      <c r="L1016" s="62"/>
      <c r="M1016" s="53"/>
    </row>
    <row r="1017" spans="1:17" x14ac:dyDescent="0.25">
      <c r="A1017" s="21" t="str">
        <f>IF(C1017="","",COUNTA($C$3:C1017))</f>
        <v/>
      </c>
      <c r="B1017" s="35" t="str">
        <f t="shared" si="31"/>
        <v/>
      </c>
      <c r="C1017" s="33"/>
      <c r="E1017" s="60"/>
      <c r="F1017" s="52"/>
      <c r="G1017" s="18"/>
      <c r="H1017" s="49"/>
      <c r="I1017" s="49"/>
      <c r="L1017" s="62"/>
      <c r="M1017" s="53"/>
    </row>
    <row r="1018" spans="1:17" x14ac:dyDescent="0.25">
      <c r="A1018" s="21" t="str">
        <f>IF(C1018="","",COUNTA($C$3:C1018))</f>
        <v/>
      </c>
      <c r="B1018" s="35" t="str">
        <f t="shared" si="31"/>
        <v/>
      </c>
      <c r="C1018" s="33"/>
      <c r="E1018" s="60"/>
      <c r="F1018" s="52"/>
      <c r="G1018" s="18"/>
      <c r="H1018" s="49"/>
      <c r="I1018" s="49"/>
      <c r="L1018" s="62"/>
      <c r="M1018" s="53"/>
    </row>
    <row r="1019" spans="1:17" x14ac:dyDescent="0.25">
      <c r="A1019" s="21" t="str">
        <f>IF(C1019="","",COUNTA($C$3:C1019))</f>
        <v/>
      </c>
      <c r="B1019" s="35" t="str">
        <f t="shared" si="31"/>
        <v/>
      </c>
      <c r="C1019" s="33"/>
      <c r="E1019" s="60"/>
      <c r="F1019" s="52"/>
      <c r="G1019" s="18"/>
      <c r="H1019" s="49"/>
      <c r="I1019" s="49"/>
      <c r="L1019" s="62"/>
      <c r="M1019" s="53"/>
    </row>
    <row r="1020" spans="1:17" x14ac:dyDescent="0.25">
      <c r="A1020" s="21" t="str">
        <f>IF(C1020="","",COUNTA($C$3:C1020))</f>
        <v/>
      </c>
      <c r="B1020" s="35" t="str">
        <f t="shared" si="31"/>
        <v/>
      </c>
      <c r="C1020" s="33"/>
      <c r="E1020" s="60"/>
      <c r="F1020" s="52"/>
      <c r="G1020" s="18"/>
      <c r="H1020" s="49"/>
      <c r="I1020" s="49"/>
      <c r="L1020" s="62"/>
      <c r="M1020" s="53"/>
    </row>
    <row r="1021" spans="1:17" x14ac:dyDescent="0.25">
      <c r="A1021" s="21" t="str">
        <f>IF(C1021="","",COUNTA($C$3:C1021))</f>
        <v/>
      </c>
      <c r="B1021" s="35" t="str">
        <f t="shared" si="31"/>
        <v/>
      </c>
      <c r="C1021" s="33"/>
      <c r="E1021" s="60"/>
      <c r="F1021" s="52"/>
      <c r="G1021" s="18"/>
      <c r="H1021" s="49"/>
      <c r="I1021" s="49"/>
      <c r="L1021" s="62"/>
      <c r="M1021" s="53"/>
    </row>
    <row r="1022" spans="1:17" x14ac:dyDescent="0.25">
      <c r="A1022" s="21" t="str">
        <f>IF(C1022="","",COUNTA($C$3:C1022))</f>
        <v/>
      </c>
      <c r="B1022" s="35" t="str">
        <f t="shared" si="31"/>
        <v/>
      </c>
      <c r="C1022" s="33"/>
      <c r="E1022" s="60"/>
      <c r="F1022" s="52"/>
      <c r="G1022" s="18"/>
      <c r="H1022" s="49"/>
      <c r="I1022" s="49"/>
      <c r="K1022" s="55"/>
      <c r="L1022" s="62"/>
      <c r="M1022" s="53"/>
    </row>
    <row r="1023" spans="1:17" x14ac:dyDescent="0.25">
      <c r="A1023" s="21" t="str">
        <f>IF(C1023="","",COUNTA($C$3:C1023))</f>
        <v/>
      </c>
      <c r="B1023" s="35" t="str">
        <f t="shared" si="31"/>
        <v/>
      </c>
      <c r="C1023" s="33"/>
      <c r="E1023" s="60"/>
      <c r="F1023" s="52"/>
      <c r="G1023" s="18"/>
      <c r="H1023" s="49"/>
      <c r="I1023" s="49"/>
      <c r="K1023" s="55"/>
      <c r="L1023" s="62"/>
      <c r="M1023" s="53"/>
    </row>
    <row r="1024" spans="1:17" x14ac:dyDescent="0.25">
      <c r="A1024" s="21" t="str">
        <f>IF(C1024="","",COUNTA($C$3:C1024))</f>
        <v/>
      </c>
      <c r="B1024" s="35" t="str">
        <f t="shared" si="31"/>
        <v/>
      </c>
      <c r="C1024" s="33"/>
      <c r="E1024" s="60"/>
      <c r="F1024" s="52"/>
      <c r="G1024" s="18"/>
      <c r="H1024" s="49"/>
      <c r="I1024" s="49"/>
      <c r="L1024" s="62"/>
      <c r="M1024" s="53"/>
      <c r="O1024" s="59"/>
      <c r="P1024" s="69"/>
      <c r="Q1024" s="59"/>
    </row>
    <row r="1025" spans="1:18" x14ac:dyDescent="0.25">
      <c r="A1025" s="21" t="str">
        <f>IF(C1025="","",COUNTA($C$3:C1025))</f>
        <v/>
      </c>
      <c r="B1025" s="35" t="str">
        <f t="shared" si="31"/>
        <v/>
      </c>
      <c r="C1025" s="33"/>
      <c r="E1025" s="60"/>
      <c r="F1025" s="52"/>
      <c r="G1025" s="18"/>
      <c r="H1025" s="49"/>
      <c r="I1025" s="49"/>
      <c r="K1025" s="105"/>
      <c r="L1025" s="62"/>
      <c r="M1025" s="53"/>
      <c r="O1025" s="59"/>
      <c r="P1025" s="71"/>
      <c r="Q1025" s="59"/>
      <c r="R1025" s="59"/>
    </row>
    <row r="1026" spans="1:18" x14ac:dyDescent="0.25">
      <c r="A1026" s="21" t="str">
        <f>IF(C1026="","",COUNTA($C$3:C1026))</f>
        <v/>
      </c>
      <c r="B1026" s="35" t="str">
        <f t="shared" si="31"/>
        <v/>
      </c>
      <c r="C1026" s="33"/>
      <c r="E1026" s="60"/>
      <c r="F1026" s="52"/>
      <c r="G1026" s="18"/>
      <c r="H1026" s="49"/>
      <c r="I1026" s="49"/>
      <c r="L1026" s="62"/>
      <c r="M1026" s="53"/>
    </row>
    <row r="1027" spans="1:18" x14ac:dyDescent="0.25">
      <c r="A1027" s="21" t="str">
        <f>IF(C1027="","",COUNTA($C$3:C1027))</f>
        <v/>
      </c>
      <c r="B1027" s="35" t="str">
        <f t="shared" si="31"/>
        <v/>
      </c>
      <c r="C1027" s="33"/>
      <c r="E1027" s="60"/>
      <c r="F1027" s="52"/>
      <c r="G1027" s="18"/>
      <c r="H1027" s="49"/>
      <c r="I1027" s="49"/>
      <c r="M1027" s="53"/>
      <c r="O1027" s="59"/>
      <c r="P1027" s="59"/>
      <c r="Q1027" s="59"/>
    </row>
    <row r="1028" spans="1:18" x14ac:dyDescent="0.25">
      <c r="A1028" s="21" t="str">
        <f>IF(C1028="","",COUNTA($C$3:C1028))</f>
        <v/>
      </c>
      <c r="B1028" s="35" t="str">
        <f t="shared" si="31"/>
        <v/>
      </c>
      <c r="C1028" s="33"/>
      <c r="E1028" s="60"/>
      <c r="F1028" s="52"/>
      <c r="G1028" s="18"/>
      <c r="H1028" s="49"/>
      <c r="I1028" s="49"/>
      <c r="L1028" s="62"/>
      <c r="M1028" s="53"/>
    </row>
    <row r="1029" spans="1:18" x14ac:dyDescent="0.25">
      <c r="A1029" s="21" t="str">
        <f>IF(C1029="","",COUNTA($C$3:C1029))</f>
        <v/>
      </c>
      <c r="B1029" s="35" t="str">
        <f t="shared" ref="B1029:B1092" si="32">IF(C1029="","",TEXT(C1029,"mmmm"))</f>
        <v/>
      </c>
      <c r="C1029" s="33"/>
      <c r="E1029" s="60"/>
      <c r="F1029" s="52"/>
      <c r="G1029" s="18"/>
      <c r="H1029" s="49"/>
      <c r="I1029" s="49"/>
      <c r="L1029" s="62"/>
      <c r="M1029" s="53"/>
    </row>
    <row r="1030" spans="1:18" x14ac:dyDescent="0.25">
      <c r="A1030" s="21" t="str">
        <f>IF(C1030="","",COUNTA($C$3:C1030))</f>
        <v/>
      </c>
      <c r="B1030" s="35" t="str">
        <f t="shared" si="32"/>
        <v/>
      </c>
      <c r="C1030" s="33"/>
      <c r="E1030" s="60"/>
      <c r="F1030" s="52"/>
      <c r="G1030" s="18"/>
      <c r="H1030" s="49"/>
      <c r="I1030" s="49"/>
      <c r="L1030" s="62"/>
      <c r="M1030" s="53"/>
    </row>
    <row r="1031" spans="1:18" x14ac:dyDescent="0.25">
      <c r="A1031" s="21" t="str">
        <f>IF(C1031="","",COUNTA($C$3:C1031))</f>
        <v/>
      </c>
      <c r="B1031" s="35" t="str">
        <f t="shared" si="32"/>
        <v/>
      </c>
      <c r="C1031" s="33"/>
      <c r="E1031" s="60"/>
      <c r="F1031" s="52"/>
      <c r="G1031" s="18"/>
      <c r="H1031" s="49"/>
      <c r="I1031" s="49"/>
      <c r="L1031" s="62"/>
      <c r="M1031" s="53"/>
    </row>
    <row r="1032" spans="1:18" x14ac:dyDescent="0.25">
      <c r="A1032" s="21" t="str">
        <f>IF(C1032="","",COUNTA($C$3:C1032))</f>
        <v/>
      </c>
      <c r="B1032" s="35" t="str">
        <f t="shared" si="32"/>
        <v/>
      </c>
      <c r="C1032" s="33"/>
      <c r="E1032" s="60"/>
      <c r="F1032" s="52"/>
      <c r="G1032" s="18"/>
      <c r="H1032" s="49"/>
      <c r="I1032" s="49"/>
      <c r="M1032" s="53"/>
    </row>
    <row r="1033" spans="1:18" x14ac:dyDescent="0.25">
      <c r="A1033" s="21" t="str">
        <f>IF(C1033="","",COUNTA($C$3:C1033))</f>
        <v/>
      </c>
      <c r="B1033" s="35" t="str">
        <f t="shared" si="32"/>
        <v/>
      </c>
      <c r="C1033" s="33"/>
      <c r="E1033" s="60"/>
      <c r="F1033" s="52"/>
      <c r="G1033" s="18"/>
      <c r="H1033" s="49"/>
      <c r="I1033" s="49"/>
      <c r="L1033" s="62"/>
      <c r="M1033" s="53"/>
      <c r="O1033" s="59"/>
    </row>
    <row r="1034" spans="1:18" x14ac:dyDescent="0.25">
      <c r="A1034" s="21" t="str">
        <f>IF(C1034="","",COUNTA($C$3:C1034))</f>
        <v/>
      </c>
      <c r="B1034" s="35" t="str">
        <f t="shared" si="32"/>
        <v/>
      </c>
      <c r="C1034" s="33"/>
      <c r="E1034" s="60"/>
      <c r="F1034" s="52"/>
      <c r="G1034" s="18"/>
      <c r="H1034" s="49"/>
      <c r="I1034" s="49"/>
      <c r="L1034" s="62"/>
      <c r="M1034" s="53"/>
    </row>
    <row r="1035" spans="1:18" x14ac:dyDescent="0.25">
      <c r="A1035" s="21" t="str">
        <f>IF(C1035="","",COUNTA($C$3:C1035))</f>
        <v/>
      </c>
      <c r="B1035" s="35" t="str">
        <f t="shared" si="32"/>
        <v/>
      </c>
      <c r="C1035" s="33"/>
      <c r="E1035" s="60"/>
      <c r="F1035" s="52"/>
      <c r="G1035" s="18"/>
      <c r="H1035" s="49"/>
      <c r="I1035" s="49"/>
      <c r="L1035" s="62"/>
      <c r="M1035" s="53"/>
    </row>
    <row r="1036" spans="1:18" x14ac:dyDescent="0.25">
      <c r="A1036" s="21" t="str">
        <f>IF(C1036="","",COUNTA($C$3:C1036))</f>
        <v/>
      </c>
      <c r="B1036" s="35" t="str">
        <f t="shared" si="32"/>
        <v/>
      </c>
      <c r="C1036" s="33"/>
      <c r="E1036" s="60"/>
      <c r="F1036" s="52"/>
      <c r="G1036" s="18"/>
      <c r="H1036" s="49"/>
      <c r="I1036" s="49"/>
      <c r="L1036" s="62"/>
      <c r="M1036" s="53"/>
    </row>
    <row r="1037" spans="1:18" x14ac:dyDescent="0.25">
      <c r="A1037" s="21" t="str">
        <f>IF(C1037="","",COUNTA($C$3:C1037))</f>
        <v/>
      </c>
      <c r="B1037" s="35" t="str">
        <f t="shared" si="32"/>
        <v/>
      </c>
      <c r="C1037" s="33"/>
      <c r="E1037" s="60"/>
      <c r="F1037" s="52"/>
      <c r="G1037" s="18"/>
      <c r="H1037" s="49"/>
      <c r="I1037" s="49"/>
      <c r="L1037" s="62"/>
      <c r="M1037" s="53"/>
    </row>
    <row r="1038" spans="1:18" x14ac:dyDescent="0.25">
      <c r="A1038" s="21" t="str">
        <f>IF(C1038="","",COUNTA($C$3:C1038))</f>
        <v/>
      </c>
      <c r="B1038" s="35" t="str">
        <f t="shared" si="32"/>
        <v/>
      </c>
      <c r="C1038" s="33"/>
      <c r="E1038" s="60"/>
      <c r="F1038" s="52"/>
      <c r="G1038" s="18"/>
      <c r="H1038" s="49"/>
      <c r="I1038" s="49"/>
      <c r="L1038" s="62"/>
      <c r="M1038" s="53"/>
    </row>
    <row r="1039" spans="1:18" x14ac:dyDescent="0.25">
      <c r="A1039" s="21" t="str">
        <f>IF(C1039="","",COUNTA($C$3:C1039))</f>
        <v/>
      </c>
      <c r="B1039" s="35" t="str">
        <f t="shared" si="32"/>
        <v/>
      </c>
      <c r="C1039" s="33"/>
      <c r="E1039" s="60"/>
      <c r="F1039" s="52"/>
      <c r="G1039" s="18"/>
      <c r="H1039" s="49"/>
      <c r="I1039" s="49"/>
      <c r="L1039" s="62"/>
      <c r="M1039" s="53"/>
    </row>
    <row r="1040" spans="1:18" x14ac:dyDescent="0.25">
      <c r="A1040" s="21" t="str">
        <f>IF(C1040="","",COUNTA($C$3:C1040))</f>
        <v/>
      </c>
      <c r="B1040" s="35" t="str">
        <f t="shared" si="32"/>
        <v/>
      </c>
      <c r="C1040" s="33"/>
      <c r="E1040" s="60"/>
      <c r="F1040" s="52"/>
      <c r="G1040" s="18"/>
      <c r="H1040" s="49"/>
      <c r="I1040" s="49"/>
      <c r="L1040" s="62"/>
      <c r="M1040" s="53"/>
    </row>
    <row r="1041" spans="1:17" x14ac:dyDescent="0.25">
      <c r="A1041" s="21" t="str">
        <f>IF(C1041="","",COUNTA($C$3:C1041))</f>
        <v/>
      </c>
      <c r="B1041" s="35" t="str">
        <f t="shared" si="32"/>
        <v/>
      </c>
      <c r="C1041" s="33"/>
      <c r="E1041" s="60"/>
      <c r="F1041" s="52"/>
      <c r="G1041" s="18"/>
      <c r="H1041" s="49"/>
      <c r="I1041" s="49"/>
      <c r="L1041" s="62"/>
      <c r="M1041" s="53"/>
    </row>
    <row r="1042" spans="1:17" x14ac:dyDescent="0.25">
      <c r="A1042" s="21" t="str">
        <f>IF(C1042="","",COUNTA($C$3:C1042))</f>
        <v/>
      </c>
      <c r="B1042" s="35" t="str">
        <f t="shared" si="32"/>
        <v/>
      </c>
      <c r="C1042" s="33"/>
      <c r="E1042" s="60"/>
      <c r="F1042" s="52"/>
      <c r="G1042" s="18"/>
      <c r="H1042" s="49"/>
      <c r="I1042" s="49"/>
      <c r="L1042" s="62"/>
      <c r="M1042" s="53"/>
    </row>
    <row r="1043" spans="1:17" x14ac:dyDescent="0.25">
      <c r="A1043" s="21" t="str">
        <f>IF(C1043="","",COUNTA($C$3:C1043))</f>
        <v/>
      </c>
      <c r="B1043" s="35" t="str">
        <f t="shared" si="32"/>
        <v/>
      </c>
      <c r="C1043" s="33"/>
      <c r="E1043" s="60"/>
      <c r="F1043" s="52"/>
      <c r="G1043" s="18"/>
      <c r="H1043" s="49"/>
      <c r="I1043" s="49"/>
      <c r="L1043" s="62"/>
      <c r="M1043" s="53"/>
    </row>
    <row r="1044" spans="1:17" x14ac:dyDescent="0.25">
      <c r="A1044" s="21" t="str">
        <f>IF(C1044="","",COUNTA($C$3:C1044))</f>
        <v/>
      </c>
      <c r="B1044" s="35" t="str">
        <f t="shared" si="32"/>
        <v/>
      </c>
      <c r="C1044" s="33"/>
      <c r="E1044" s="60"/>
      <c r="F1044" s="52"/>
      <c r="G1044" s="18"/>
      <c r="H1044" s="49"/>
      <c r="I1044" s="49"/>
      <c r="L1044" s="62"/>
      <c r="M1044" s="53"/>
      <c r="Q1044" s="54"/>
    </row>
    <row r="1045" spans="1:17" x14ac:dyDescent="0.25">
      <c r="A1045" s="21" t="str">
        <f>IF(C1045="","",COUNTA($C$3:C1045))</f>
        <v/>
      </c>
      <c r="B1045" s="35" t="str">
        <f t="shared" si="32"/>
        <v/>
      </c>
      <c r="C1045" s="33"/>
      <c r="E1045" s="60"/>
      <c r="F1045" s="52"/>
      <c r="G1045" s="18"/>
      <c r="H1045" s="49"/>
      <c r="I1045" s="49"/>
      <c r="L1045" s="62"/>
      <c r="M1045" s="53"/>
    </row>
    <row r="1046" spans="1:17" x14ac:dyDescent="0.25">
      <c r="A1046" s="21" t="str">
        <f>IF(C1046="","",COUNTA($C$3:C1046))</f>
        <v/>
      </c>
      <c r="B1046" s="35" t="str">
        <f t="shared" si="32"/>
        <v/>
      </c>
      <c r="C1046" s="33"/>
      <c r="E1046" s="60"/>
      <c r="F1046" s="52"/>
      <c r="G1046" s="18"/>
      <c r="H1046" s="49"/>
      <c r="I1046" s="49"/>
      <c r="L1046" s="62"/>
      <c r="M1046" s="53"/>
    </row>
    <row r="1047" spans="1:17" x14ac:dyDescent="0.25">
      <c r="A1047" s="21" t="str">
        <f>IF(C1047="","",COUNTA($C$3:C1047))</f>
        <v/>
      </c>
      <c r="B1047" s="35" t="str">
        <f t="shared" si="32"/>
        <v/>
      </c>
      <c r="C1047" s="33"/>
      <c r="E1047" s="60"/>
      <c r="F1047" s="52"/>
      <c r="G1047" s="18"/>
      <c r="H1047" s="49"/>
      <c r="I1047" s="49"/>
      <c r="L1047" s="62"/>
      <c r="M1047" s="53"/>
    </row>
    <row r="1048" spans="1:17" x14ac:dyDescent="0.25">
      <c r="A1048" s="21" t="str">
        <f>IF(C1048="","",COUNTA($C$3:C1048))</f>
        <v/>
      </c>
      <c r="B1048" s="35" t="str">
        <f t="shared" si="32"/>
        <v/>
      </c>
      <c r="C1048" s="33"/>
      <c r="E1048" s="60"/>
      <c r="F1048" s="52"/>
      <c r="G1048" s="18"/>
      <c r="H1048" s="49"/>
      <c r="I1048" s="49"/>
      <c r="L1048" s="62"/>
      <c r="M1048" s="53"/>
    </row>
    <row r="1049" spans="1:17" x14ac:dyDescent="0.25">
      <c r="A1049" s="21" t="str">
        <f>IF(C1049="","",COUNTA($C$3:C1049))</f>
        <v/>
      </c>
      <c r="B1049" s="35" t="str">
        <f t="shared" si="32"/>
        <v/>
      </c>
      <c r="C1049" s="33"/>
      <c r="E1049" s="60"/>
      <c r="F1049" s="52"/>
      <c r="G1049" s="18"/>
      <c r="H1049" s="49"/>
      <c r="I1049" s="49"/>
      <c r="L1049" s="62"/>
      <c r="M1049" s="53"/>
    </row>
    <row r="1050" spans="1:17" x14ac:dyDescent="0.25">
      <c r="A1050" s="21" t="str">
        <f>IF(C1050="","",COUNTA($C$3:C1050))</f>
        <v/>
      </c>
      <c r="B1050" s="35" t="str">
        <f t="shared" si="32"/>
        <v/>
      </c>
      <c r="C1050" s="33"/>
      <c r="E1050" s="60"/>
      <c r="F1050" s="52"/>
      <c r="G1050" s="18"/>
      <c r="H1050" s="49"/>
      <c r="I1050" s="49"/>
      <c r="L1050" s="62"/>
      <c r="M1050" s="53"/>
    </row>
    <row r="1051" spans="1:17" x14ac:dyDescent="0.25">
      <c r="A1051" s="21" t="str">
        <f>IF(C1051="","",COUNTA($C$3:C1051))</f>
        <v/>
      </c>
      <c r="B1051" s="35" t="str">
        <f t="shared" si="32"/>
        <v/>
      </c>
      <c r="C1051" s="33"/>
      <c r="E1051" s="60"/>
      <c r="F1051" s="52"/>
      <c r="G1051" s="18"/>
      <c r="H1051" s="49"/>
      <c r="I1051" s="49"/>
      <c r="L1051" s="62"/>
      <c r="M1051" s="53"/>
    </row>
    <row r="1052" spans="1:17" x14ac:dyDescent="0.25">
      <c r="A1052" s="21" t="str">
        <f>IF(C1052="","",COUNTA($C$3:C1052))</f>
        <v/>
      </c>
      <c r="B1052" s="35" t="str">
        <f t="shared" si="32"/>
        <v/>
      </c>
      <c r="C1052" s="33"/>
      <c r="E1052" s="60"/>
      <c r="F1052" s="52"/>
      <c r="G1052" s="18"/>
      <c r="H1052" s="49"/>
      <c r="I1052" s="49"/>
      <c r="L1052" s="62"/>
      <c r="M1052" s="53"/>
    </row>
    <row r="1053" spans="1:17" x14ac:dyDescent="0.25">
      <c r="A1053" s="21" t="str">
        <f>IF(C1053="","",COUNTA($C$3:C1053))</f>
        <v/>
      </c>
      <c r="B1053" s="35" t="str">
        <f t="shared" si="32"/>
        <v/>
      </c>
      <c r="C1053" s="33"/>
      <c r="E1053" s="60"/>
      <c r="F1053" s="52"/>
      <c r="G1053" s="18"/>
      <c r="H1053" s="49"/>
      <c r="I1053" s="49"/>
      <c r="K1053" s="55"/>
      <c r="M1053" s="53"/>
    </row>
    <row r="1054" spans="1:17" x14ac:dyDescent="0.25">
      <c r="A1054" s="21" t="str">
        <f>IF(C1054="","",COUNTA($C$3:C1054))</f>
        <v/>
      </c>
      <c r="B1054" s="35" t="str">
        <f t="shared" si="32"/>
        <v/>
      </c>
      <c r="C1054" s="33"/>
      <c r="E1054" s="60"/>
      <c r="F1054" s="52"/>
      <c r="G1054" s="18"/>
      <c r="H1054" s="49"/>
      <c r="I1054" s="49"/>
      <c r="L1054" s="62"/>
      <c r="M1054" s="53"/>
    </row>
    <row r="1055" spans="1:17" x14ac:dyDescent="0.25">
      <c r="A1055" s="21" t="str">
        <f>IF(C1055="","",COUNTA($C$3:C1055))</f>
        <v/>
      </c>
      <c r="B1055" s="35" t="str">
        <f t="shared" si="32"/>
        <v/>
      </c>
      <c r="C1055" s="33"/>
      <c r="E1055" s="60"/>
      <c r="F1055" s="52"/>
      <c r="G1055" s="18"/>
      <c r="H1055" s="49"/>
      <c r="I1055" s="49"/>
      <c r="L1055" s="62"/>
      <c r="M1055" s="53"/>
    </row>
    <row r="1056" spans="1:17" x14ac:dyDescent="0.25">
      <c r="A1056" s="21" t="str">
        <f>IF(C1056="","",COUNTA($C$3:C1056))</f>
        <v/>
      </c>
      <c r="B1056" s="35" t="str">
        <f t="shared" si="32"/>
        <v/>
      </c>
      <c r="C1056" s="33"/>
      <c r="E1056" s="60"/>
      <c r="F1056" s="52"/>
      <c r="G1056" s="18"/>
      <c r="H1056" s="49"/>
      <c r="I1056" s="49"/>
      <c r="L1056" s="62"/>
      <c r="M1056" s="53"/>
    </row>
    <row r="1057" spans="1:18" x14ac:dyDescent="0.25">
      <c r="A1057" s="21" t="str">
        <f>IF(C1057="","",COUNTA($C$3:C1057))</f>
        <v/>
      </c>
      <c r="B1057" s="35" t="str">
        <f t="shared" si="32"/>
        <v/>
      </c>
      <c r="C1057" s="33"/>
      <c r="E1057" s="60"/>
      <c r="F1057" s="52"/>
      <c r="G1057" s="18"/>
      <c r="H1057" s="49"/>
      <c r="I1057" s="49"/>
      <c r="L1057" s="62"/>
      <c r="M1057" s="53"/>
    </row>
    <row r="1058" spans="1:18" x14ac:dyDescent="0.25">
      <c r="A1058" s="21" t="str">
        <f>IF(C1058="","",COUNTA($C$3:C1058))</f>
        <v/>
      </c>
      <c r="B1058" s="35" t="str">
        <f t="shared" si="32"/>
        <v/>
      </c>
      <c r="C1058" s="33"/>
      <c r="E1058" s="60"/>
      <c r="F1058" s="52"/>
      <c r="G1058" s="18"/>
      <c r="H1058" s="49"/>
      <c r="I1058" s="49"/>
      <c r="K1058" s="55"/>
      <c r="L1058" s="62"/>
      <c r="M1058" s="53"/>
    </row>
    <row r="1059" spans="1:18" x14ac:dyDescent="0.25">
      <c r="A1059" s="21" t="str">
        <f>IF(C1059="","",COUNTA($C$3:C1059))</f>
        <v/>
      </c>
      <c r="B1059" s="35" t="str">
        <f t="shared" si="32"/>
        <v/>
      </c>
      <c r="C1059" s="33"/>
      <c r="E1059" s="60"/>
      <c r="F1059" s="52"/>
      <c r="G1059" s="18"/>
      <c r="H1059" s="49"/>
      <c r="I1059" s="49"/>
      <c r="L1059" s="62"/>
      <c r="M1059" s="53"/>
    </row>
    <row r="1060" spans="1:18" x14ac:dyDescent="0.25">
      <c r="A1060" s="21" t="str">
        <f>IF(C1060="","",COUNTA($C$3:C1060))</f>
        <v/>
      </c>
      <c r="B1060" s="35" t="str">
        <f t="shared" si="32"/>
        <v/>
      </c>
      <c r="C1060" s="33"/>
      <c r="E1060" s="60"/>
      <c r="F1060" s="52"/>
      <c r="G1060" s="18"/>
      <c r="H1060" s="49"/>
      <c r="I1060" s="49"/>
      <c r="L1060" s="62"/>
      <c r="M1060" s="53"/>
      <c r="O1060" s="59"/>
      <c r="P1060" s="117"/>
      <c r="Q1060" s="59"/>
    </row>
    <row r="1061" spans="1:18" x14ac:dyDescent="0.25">
      <c r="A1061" s="21" t="str">
        <f>IF(C1061="","",COUNTA($C$3:C1061))</f>
        <v/>
      </c>
      <c r="B1061" s="35" t="str">
        <f t="shared" si="32"/>
        <v/>
      </c>
      <c r="C1061" s="33"/>
      <c r="E1061" s="60"/>
      <c r="F1061" s="52"/>
      <c r="G1061" s="18"/>
      <c r="H1061" s="49"/>
      <c r="I1061" s="49"/>
      <c r="L1061" s="62"/>
      <c r="M1061" s="53"/>
      <c r="O1061" s="59"/>
      <c r="P1061" s="117"/>
      <c r="Q1061" s="59"/>
    </row>
    <row r="1062" spans="1:18" x14ac:dyDescent="0.25">
      <c r="A1062" s="21" t="str">
        <f>IF(C1062="","",COUNTA($C$3:C1062))</f>
        <v/>
      </c>
      <c r="B1062" s="35" t="str">
        <f t="shared" si="32"/>
        <v/>
      </c>
      <c r="C1062" s="33"/>
      <c r="D1062" s="18"/>
      <c r="E1062" s="77"/>
      <c r="F1062" s="52"/>
      <c r="G1062" s="18"/>
      <c r="H1062" s="49"/>
      <c r="I1062" s="49"/>
      <c r="L1062" s="62"/>
      <c r="M1062" s="53"/>
    </row>
    <row r="1063" spans="1:18" x14ac:dyDescent="0.25">
      <c r="A1063" s="21" t="str">
        <f>IF(C1063="","",COUNTA($C$3:C1063))</f>
        <v/>
      </c>
      <c r="B1063" s="35" t="str">
        <f t="shared" si="32"/>
        <v/>
      </c>
      <c r="C1063" s="33"/>
      <c r="D1063" s="18"/>
      <c r="E1063" s="77"/>
      <c r="F1063" s="52"/>
      <c r="G1063" s="18"/>
      <c r="H1063" s="49"/>
      <c r="I1063" s="49"/>
      <c r="L1063" s="62"/>
      <c r="M1063" s="53"/>
    </row>
    <row r="1064" spans="1:18" x14ac:dyDescent="0.25">
      <c r="A1064" s="21" t="str">
        <f>IF(C1064="","",COUNTA($C$3:C1064))</f>
        <v/>
      </c>
      <c r="B1064" s="35" t="str">
        <f t="shared" si="32"/>
        <v/>
      </c>
      <c r="C1064" s="33"/>
      <c r="E1064" s="60"/>
      <c r="F1064" s="52"/>
      <c r="G1064" s="18"/>
      <c r="H1064" s="49"/>
      <c r="I1064" s="49"/>
      <c r="L1064" s="62"/>
      <c r="M1064" s="53"/>
    </row>
    <row r="1065" spans="1:18" x14ac:dyDescent="0.25">
      <c r="A1065" s="21" t="str">
        <f>IF(C1065="","",COUNTA($C$3:C1065))</f>
        <v/>
      </c>
      <c r="B1065" s="35" t="str">
        <f t="shared" si="32"/>
        <v/>
      </c>
      <c r="C1065" s="33"/>
      <c r="E1065" s="60"/>
      <c r="F1065" s="52"/>
      <c r="G1065" s="18"/>
      <c r="H1065" s="49"/>
      <c r="I1065" s="49"/>
      <c r="L1065" s="62"/>
      <c r="M1065" s="53"/>
    </row>
    <row r="1066" spans="1:18" x14ac:dyDescent="0.25">
      <c r="A1066" s="21" t="str">
        <f>IF(C1066="","",COUNTA($C$3:C1066))</f>
        <v/>
      </c>
      <c r="B1066" s="35" t="str">
        <f t="shared" si="32"/>
        <v/>
      </c>
      <c r="C1066" s="33"/>
      <c r="E1066" s="60"/>
      <c r="F1066" s="52"/>
      <c r="G1066" s="18"/>
      <c r="H1066" s="49"/>
      <c r="I1066" s="49"/>
      <c r="L1066" s="62"/>
      <c r="M1066" s="53"/>
    </row>
    <row r="1067" spans="1:18" x14ac:dyDescent="0.25">
      <c r="A1067" s="21" t="str">
        <f>IF(C1067="","",COUNTA($C$3:C1067))</f>
        <v/>
      </c>
      <c r="B1067" s="35" t="str">
        <f t="shared" si="32"/>
        <v/>
      </c>
      <c r="C1067" s="33"/>
      <c r="E1067" s="60"/>
      <c r="F1067" s="52"/>
      <c r="G1067" s="18"/>
      <c r="H1067" s="49"/>
      <c r="I1067" s="49"/>
      <c r="L1067" s="62"/>
      <c r="M1067" s="53"/>
      <c r="R1067" s="59"/>
    </row>
    <row r="1068" spans="1:18" x14ac:dyDescent="0.25">
      <c r="A1068" s="21" t="str">
        <f>IF(C1068="","",COUNTA($C$3:C1068))</f>
        <v/>
      </c>
      <c r="B1068" s="35" t="str">
        <f t="shared" si="32"/>
        <v/>
      </c>
      <c r="C1068" s="33"/>
      <c r="E1068" s="60"/>
      <c r="F1068" s="52"/>
      <c r="G1068" s="18"/>
      <c r="H1068" s="49"/>
      <c r="I1068" s="49"/>
      <c r="L1068" s="62"/>
      <c r="M1068" s="53"/>
      <c r="R1068" s="59"/>
    </row>
    <row r="1069" spans="1:18" x14ac:dyDescent="0.25">
      <c r="A1069" s="21" t="str">
        <f>IF(C1069="","",COUNTA($C$3:C1069))</f>
        <v/>
      </c>
      <c r="B1069" s="35" t="str">
        <f t="shared" si="32"/>
        <v/>
      </c>
      <c r="C1069" s="33"/>
      <c r="E1069" s="60"/>
      <c r="F1069" s="52"/>
      <c r="G1069" s="18"/>
      <c r="H1069" s="49"/>
      <c r="I1069" s="49"/>
      <c r="L1069" s="62"/>
      <c r="M1069" s="53"/>
    </row>
    <row r="1070" spans="1:18" x14ac:dyDescent="0.25">
      <c r="A1070" s="21" t="str">
        <f>IF(C1070="","",COUNTA($C$3:C1070))</f>
        <v/>
      </c>
      <c r="B1070" s="35" t="str">
        <f t="shared" si="32"/>
        <v/>
      </c>
      <c r="C1070" s="33"/>
      <c r="E1070" s="60"/>
      <c r="F1070" s="52"/>
      <c r="G1070" s="18"/>
      <c r="H1070" s="49"/>
      <c r="I1070" s="49"/>
      <c r="L1070" s="62"/>
      <c r="M1070" s="53"/>
    </row>
    <row r="1071" spans="1:18" x14ac:dyDescent="0.25">
      <c r="A1071" s="21" t="str">
        <f>IF(C1071="","",COUNTA($C$3:C1071))</f>
        <v/>
      </c>
      <c r="B1071" s="35" t="str">
        <f t="shared" si="32"/>
        <v/>
      </c>
      <c r="C1071" s="33"/>
      <c r="E1071" s="60"/>
      <c r="F1071" s="52"/>
      <c r="G1071" s="18"/>
      <c r="H1071" s="49"/>
      <c r="I1071" s="49"/>
      <c r="L1071" s="62"/>
      <c r="M1071" s="53"/>
      <c r="O1071" s="54"/>
    </row>
    <row r="1072" spans="1:18" x14ac:dyDescent="0.25">
      <c r="A1072" s="21" t="str">
        <f>IF(C1072="","",COUNTA($C$3:C1072))</f>
        <v/>
      </c>
      <c r="B1072" s="35" t="str">
        <f t="shared" si="32"/>
        <v/>
      </c>
      <c r="C1072" s="33"/>
      <c r="E1072" s="60"/>
      <c r="F1072" s="52"/>
      <c r="G1072" s="18"/>
      <c r="H1072" s="49"/>
      <c r="I1072" s="49"/>
      <c r="L1072" s="62"/>
      <c r="M1072" s="53"/>
      <c r="O1072" s="59"/>
    </row>
    <row r="1073" spans="1:17" x14ac:dyDescent="0.25">
      <c r="A1073" s="21" t="str">
        <f>IF(C1073="","",COUNTA($C$3:C1073))</f>
        <v/>
      </c>
      <c r="B1073" s="35" t="str">
        <f t="shared" si="32"/>
        <v/>
      </c>
      <c r="C1073" s="33"/>
      <c r="E1073" s="60"/>
      <c r="F1073" s="52"/>
      <c r="G1073" s="18"/>
      <c r="H1073" s="49"/>
      <c r="I1073" s="49"/>
      <c r="L1073" s="78"/>
      <c r="M1073" s="53"/>
      <c r="O1073" s="59"/>
    </row>
    <row r="1074" spans="1:17" x14ac:dyDescent="0.25">
      <c r="A1074" s="21" t="str">
        <f>IF(C1074="","",COUNTA($C$3:C1074))</f>
        <v/>
      </c>
      <c r="B1074" s="35" t="str">
        <f t="shared" si="32"/>
        <v/>
      </c>
      <c r="C1074" s="33"/>
      <c r="E1074" s="60"/>
      <c r="F1074" s="52"/>
      <c r="G1074" s="18"/>
      <c r="H1074" s="49"/>
      <c r="I1074" s="49"/>
      <c r="L1074" s="62"/>
      <c r="M1074" s="53"/>
    </row>
    <row r="1075" spans="1:17" x14ac:dyDescent="0.25">
      <c r="A1075" s="21" t="str">
        <f>IF(C1075="","",COUNTA($C$3:C1075))</f>
        <v/>
      </c>
      <c r="B1075" s="35" t="str">
        <f t="shared" si="32"/>
        <v/>
      </c>
      <c r="C1075" s="33"/>
      <c r="E1075" s="60"/>
      <c r="F1075" s="52"/>
      <c r="G1075" s="18"/>
      <c r="H1075" s="49"/>
      <c r="I1075" s="49"/>
      <c r="L1075" s="62"/>
      <c r="M1075" s="53"/>
    </row>
    <row r="1076" spans="1:17" x14ac:dyDescent="0.25">
      <c r="A1076" s="21" t="str">
        <f>IF(C1076="","",COUNTA($C$3:C1076))</f>
        <v/>
      </c>
      <c r="B1076" s="35" t="str">
        <f t="shared" si="32"/>
        <v/>
      </c>
      <c r="C1076" s="33"/>
      <c r="E1076" s="60"/>
      <c r="F1076" s="52"/>
      <c r="G1076" s="18"/>
      <c r="H1076" s="49"/>
      <c r="I1076" s="49"/>
      <c r="L1076" s="78"/>
      <c r="M1076" s="53"/>
      <c r="O1076" s="59"/>
    </row>
    <row r="1077" spans="1:17" x14ac:dyDescent="0.25">
      <c r="A1077" s="21" t="str">
        <f>IF(C1077="","",COUNTA($C$3:C1077))</f>
        <v/>
      </c>
      <c r="B1077" s="35" t="str">
        <f t="shared" si="32"/>
        <v/>
      </c>
      <c r="C1077" s="33"/>
      <c r="E1077" s="60"/>
      <c r="F1077" s="52"/>
      <c r="G1077" s="18"/>
      <c r="H1077" s="49"/>
      <c r="I1077" s="49"/>
      <c r="L1077" s="62"/>
      <c r="M1077" s="53"/>
    </row>
    <row r="1078" spans="1:17" x14ac:dyDescent="0.25">
      <c r="A1078" s="21" t="str">
        <f>IF(C1078="","",COUNTA($C$3:C1078))</f>
        <v/>
      </c>
      <c r="B1078" s="35" t="str">
        <f t="shared" si="32"/>
        <v/>
      </c>
      <c r="C1078" s="33"/>
      <c r="E1078" s="60"/>
      <c r="F1078" s="52"/>
      <c r="G1078" s="18"/>
      <c r="H1078" s="49"/>
      <c r="I1078" s="49"/>
      <c r="L1078" s="78"/>
      <c r="M1078" s="53"/>
      <c r="O1078" s="59"/>
    </row>
    <row r="1079" spans="1:17" x14ac:dyDescent="0.25">
      <c r="A1079" s="21" t="str">
        <f>IF(C1079="","",COUNTA($C$3:C1079))</f>
        <v/>
      </c>
      <c r="B1079" s="35" t="str">
        <f t="shared" si="32"/>
        <v/>
      </c>
      <c r="C1079" s="33"/>
      <c r="E1079" s="60"/>
      <c r="F1079" s="52"/>
      <c r="G1079" s="18"/>
      <c r="H1079" s="49"/>
      <c r="I1079" s="49"/>
      <c r="K1079" s="67"/>
      <c r="L1079" s="62"/>
      <c r="M1079" s="53"/>
    </row>
    <row r="1080" spans="1:17" x14ac:dyDescent="0.25">
      <c r="A1080" s="21" t="str">
        <f>IF(C1080="","",COUNTA($C$3:C1080))</f>
        <v/>
      </c>
      <c r="B1080" s="35" t="str">
        <f t="shared" si="32"/>
        <v/>
      </c>
      <c r="C1080" s="33"/>
      <c r="E1080" s="60"/>
      <c r="F1080" s="52"/>
      <c r="G1080" s="18"/>
      <c r="H1080" s="49"/>
      <c r="I1080" s="49"/>
      <c r="L1080" s="78"/>
      <c r="M1080" s="53"/>
      <c r="O1080" s="59"/>
      <c r="Q1080" s="59"/>
    </row>
    <row r="1081" spans="1:17" x14ac:dyDescent="0.25">
      <c r="A1081" s="21" t="str">
        <f>IF(C1081="","",COUNTA($C$3:C1081))</f>
        <v/>
      </c>
      <c r="B1081" s="35" t="str">
        <f t="shared" si="32"/>
        <v/>
      </c>
      <c r="C1081" s="33"/>
      <c r="E1081" s="60"/>
      <c r="F1081" s="52"/>
      <c r="G1081" s="18"/>
      <c r="H1081" s="49"/>
      <c r="I1081" s="49"/>
      <c r="K1081" s="67"/>
      <c r="L1081" s="62"/>
      <c r="M1081" s="53"/>
    </row>
    <row r="1082" spans="1:17" x14ac:dyDescent="0.25">
      <c r="A1082" s="21" t="str">
        <f>IF(C1082="","",COUNTA($C$3:C1082))</f>
        <v/>
      </c>
      <c r="B1082" s="35" t="str">
        <f t="shared" si="32"/>
        <v/>
      </c>
      <c r="C1082" s="33"/>
      <c r="E1082" s="60"/>
      <c r="F1082" s="52"/>
      <c r="G1082" s="18"/>
      <c r="H1082" s="49"/>
      <c r="I1082" s="49"/>
      <c r="K1082" s="55"/>
      <c r="L1082" s="78"/>
      <c r="M1082" s="53"/>
    </row>
    <row r="1083" spans="1:17" x14ac:dyDescent="0.25">
      <c r="A1083" s="21" t="str">
        <f>IF(C1083="","",COUNTA($C$3:C1083))</f>
        <v/>
      </c>
      <c r="B1083" s="35" t="str">
        <f t="shared" si="32"/>
        <v/>
      </c>
      <c r="C1083" s="33"/>
      <c r="E1083" s="60"/>
      <c r="F1083" s="52"/>
      <c r="G1083" s="18"/>
      <c r="H1083" s="49"/>
      <c r="I1083" s="49"/>
      <c r="M1083" s="53"/>
    </row>
    <row r="1084" spans="1:17" x14ac:dyDescent="0.25">
      <c r="A1084" s="21" t="str">
        <f>IF(C1084="","",COUNTA($C$3:C1084))</f>
        <v/>
      </c>
      <c r="B1084" s="35" t="str">
        <f t="shared" si="32"/>
        <v/>
      </c>
      <c r="C1084" s="33"/>
      <c r="E1084" s="60"/>
      <c r="F1084" s="52"/>
      <c r="G1084" s="18"/>
      <c r="H1084" s="49"/>
      <c r="I1084" s="49"/>
      <c r="L1084" s="62"/>
      <c r="M1084" s="53"/>
    </row>
    <row r="1085" spans="1:17" x14ac:dyDescent="0.25">
      <c r="A1085" s="21" t="str">
        <f>IF(C1085="","",COUNTA($C$3:C1085))</f>
        <v/>
      </c>
      <c r="B1085" s="35" t="str">
        <f t="shared" si="32"/>
        <v/>
      </c>
      <c r="C1085" s="33"/>
      <c r="E1085" s="60"/>
      <c r="F1085" s="52"/>
      <c r="G1085" s="18"/>
      <c r="H1085" s="49"/>
      <c r="I1085" s="49"/>
      <c r="L1085" s="62"/>
      <c r="M1085" s="53"/>
    </row>
    <row r="1086" spans="1:17" x14ac:dyDescent="0.25">
      <c r="A1086" s="21" t="str">
        <f>IF(C1086="","",COUNTA($C$3:C1086))</f>
        <v/>
      </c>
      <c r="B1086" s="35" t="str">
        <f t="shared" si="32"/>
        <v/>
      </c>
      <c r="C1086" s="33"/>
      <c r="E1086" s="60"/>
      <c r="F1086" s="52"/>
      <c r="G1086" s="18"/>
      <c r="H1086" s="49"/>
      <c r="I1086" s="49"/>
      <c r="L1086" s="62"/>
      <c r="M1086" s="53"/>
    </row>
    <row r="1087" spans="1:17" x14ac:dyDescent="0.25">
      <c r="A1087" s="21" t="str">
        <f>IF(C1087="","",COUNTA($C$3:C1087))</f>
        <v/>
      </c>
      <c r="B1087" s="35" t="str">
        <f t="shared" si="32"/>
        <v/>
      </c>
      <c r="C1087" s="33"/>
      <c r="E1087" s="60"/>
      <c r="F1087" s="52"/>
      <c r="G1087" s="18"/>
      <c r="H1087" s="49"/>
      <c r="I1087" s="49"/>
      <c r="L1087" s="62"/>
      <c r="M1087" s="53"/>
    </row>
    <row r="1088" spans="1:17" x14ac:dyDescent="0.25">
      <c r="A1088" s="21" t="str">
        <f>IF(C1088="","",COUNTA($C$3:C1088))</f>
        <v/>
      </c>
      <c r="B1088" s="35" t="str">
        <f t="shared" si="32"/>
        <v/>
      </c>
      <c r="C1088" s="33"/>
      <c r="E1088" s="60"/>
      <c r="F1088" s="52"/>
      <c r="G1088" s="18"/>
      <c r="H1088" s="49"/>
      <c r="I1088" s="49"/>
      <c r="L1088" s="53"/>
      <c r="M1088" s="53"/>
    </row>
    <row r="1089" spans="1:17" x14ac:dyDescent="0.25">
      <c r="A1089" s="21" t="str">
        <f>IF(C1089="","",COUNTA($C$3:C1089))</f>
        <v/>
      </c>
      <c r="B1089" s="35" t="str">
        <f t="shared" si="32"/>
        <v/>
      </c>
      <c r="C1089" s="33"/>
      <c r="E1089" s="60"/>
      <c r="F1089" s="52"/>
      <c r="G1089" s="18"/>
      <c r="H1089" s="49"/>
      <c r="I1089" s="49"/>
      <c r="L1089" s="62"/>
      <c r="M1089" s="53"/>
    </row>
    <row r="1090" spans="1:17" x14ac:dyDescent="0.25">
      <c r="A1090" s="21" t="str">
        <f>IF(C1090="","",COUNTA($C$3:C1090))</f>
        <v/>
      </c>
      <c r="B1090" s="35" t="str">
        <f t="shared" si="32"/>
        <v/>
      </c>
      <c r="C1090" s="33"/>
      <c r="E1090" s="60"/>
      <c r="F1090" s="52"/>
      <c r="G1090" s="18"/>
      <c r="H1090" s="49"/>
      <c r="I1090" s="49"/>
      <c r="L1090" s="62"/>
      <c r="M1090" s="53"/>
    </row>
    <row r="1091" spans="1:17" x14ac:dyDescent="0.25">
      <c r="A1091" s="21" t="str">
        <f>IF(C1091="","",COUNTA($C$3:C1091))</f>
        <v/>
      </c>
      <c r="B1091" s="35" t="str">
        <f t="shared" si="32"/>
        <v/>
      </c>
      <c r="C1091" s="33"/>
      <c r="E1091" s="60"/>
      <c r="F1091" s="52"/>
      <c r="G1091" s="18"/>
      <c r="H1091" s="49"/>
      <c r="I1091" s="49"/>
      <c r="L1091" s="62"/>
      <c r="M1091" s="53"/>
    </row>
    <row r="1092" spans="1:17" x14ac:dyDescent="0.25">
      <c r="A1092" s="21" t="str">
        <f>IF(C1092="","",COUNTA($C$3:C1092))</f>
        <v/>
      </c>
      <c r="B1092" s="35" t="str">
        <f t="shared" si="32"/>
        <v/>
      </c>
      <c r="C1092" s="33"/>
      <c r="E1092" s="60"/>
      <c r="F1092" s="52"/>
      <c r="G1092" s="18"/>
      <c r="H1092" s="49"/>
      <c r="I1092" s="49"/>
      <c r="L1092" s="62"/>
      <c r="M1092" s="53"/>
    </row>
    <row r="1093" spans="1:17" x14ac:dyDescent="0.25">
      <c r="A1093" s="21" t="str">
        <f>IF(C1093="","",COUNTA($C$3:C1093))</f>
        <v/>
      </c>
      <c r="B1093" s="35" t="str">
        <f t="shared" ref="B1093:B1156" si="33">IF(C1093="","",TEXT(C1093,"mmmm"))</f>
        <v/>
      </c>
      <c r="C1093" s="33"/>
      <c r="E1093" s="60"/>
      <c r="F1093" s="52"/>
      <c r="G1093" s="18"/>
      <c r="H1093" s="49"/>
      <c r="I1093" s="49"/>
      <c r="L1093" s="62"/>
      <c r="M1093" s="53"/>
    </row>
    <row r="1094" spans="1:17" x14ac:dyDescent="0.25">
      <c r="A1094" s="21" t="str">
        <f>IF(C1094="","",COUNTA($C$3:C1094))</f>
        <v/>
      </c>
      <c r="B1094" s="35" t="str">
        <f t="shared" si="33"/>
        <v/>
      </c>
      <c r="C1094" s="33"/>
      <c r="E1094" s="60"/>
      <c r="F1094" s="52"/>
      <c r="G1094" s="18"/>
      <c r="H1094" s="49"/>
      <c r="I1094" s="76"/>
      <c r="M1094" s="53"/>
    </row>
    <row r="1095" spans="1:17" x14ac:dyDescent="0.25">
      <c r="A1095" s="21" t="str">
        <f>IF(C1095="","",COUNTA($C$3:C1095))</f>
        <v/>
      </c>
      <c r="B1095" s="35" t="str">
        <f t="shared" si="33"/>
        <v/>
      </c>
      <c r="C1095" s="33"/>
      <c r="E1095" s="60"/>
      <c r="F1095" s="52"/>
      <c r="G1095" s="18"/>
      <c r="H1095" s="49"/>
      <c r="I1095" s="49"/>
      <c r="L1095" s="62"/>
      <c r="M1095" s="53"/>
    </row>
    <row r="1096" spans="1:17" x14ac:dyDescent="0.25">
      <c r="A1096" s="21" t="str">
        <f>IF(C1096="","",COUNTA($C$3:C1096))</f>
        <v/>
      </c>
      <c r="B1096" s="35" t="str">
        <f t="shared" si="33"/>
        <v/>
      </c>
      <c r="C1096" s="33"/>
      <c r="E1096" s="60"/>
      <c r="F1096" s="52"/>
      <c r="G1096" s="18"/>
      <c r="H1096" s="49"/>
      <c r="I1096" s="49"/>
      <c r="K1096" s="55"/>
      <c r="M1096" s="53"/>
    </row>
    <row r="1097" spans="1:17" x14ac:dyDescent="0.25">
      <c r="A1097" s="21" t="str">
        <f>IF(C1097="","",COUNTA($C$3:C1097))</f>
        <v/>
      </c>
      <c r="B1097" s="35" t="str">
        <f t="shared" si="33"/>
        <v/>
      </c>
      <c r="C1097" s="33"/>
      <c r="E1097" s="60"/>
      <c r="F1097" s="52"/>
      <c r="G1097" s="18"/>
      <c r="H1097" s="49"/>
      <c r="I1097" s="49"/>
      <c r="M1097" s="53"/>
    </row>
    <row r="1098" spans="1:17" x14ac:dyDescent="0.25">
      <c r="A1098" s="21" t="str">
        <f>IF(C1098="","",COUNTA($C$3:C1098))</f>
        <v/>
      </c>
      <c r="B1098" s="35" t="str">
        <f t="shared" si="33"/>
        <v/>
      </c>
      <c r="C1098" s="33"/>
      <c r="E1098" s="60"/>
      <c r="F1098" s="52"/>
      <c r="G1098" s="18"/>
      <c r="H1098" s="49"/>
      <c r="I1098" s="49"/>
      <c r="L1098" s="62"/>
      <c r="M1098" s="53"/>
      <c r="O1098" s="59"/>
    </row>
    <row r="1099" spans="1:17" x14ac:dyDescent="0.25">
      <c r="A1099" s="21" t="str">
        <f>IF(C1099="","",COUNTA($C$3:C1099))</f>
        <v/>
      </c>
      <c r="B1099" s="35" t="str">
        <f t="shared" si="33"/>
        <v/>
      </c>
      <c r="C1099" s="33"/>
      <c r="E1099" s="60"/>
      <c r="F1099" s="52"/>
      <c r="G1099" s="18"/>
      <c r="H1099" s="49"/>
      <c r="I1099" s="49"/>
      <c r="L1099" s="62"/>
      <c r="M1099" s="53"/>
      <c r="O1099" s="59"/>
    </row>
    <row r="1100" spans="1:17" x14ac:dyDescent="0.25">
      <c r="A1100" s="21" t="str">
        <f>IF(C1100="","",COUNTA($C$3:C1100))</f>
        <v/>
      </c>
      <c r="B1100" s="35" t="str">
        <f t="shared" si="33"/>
        <v/>
      </c>
      <c r="C1100" s="33"/>
      <c r="E1100" s="60"/>
      <c r="F1100" s="52"/>
      <c r="G1100" s="18"/>
      <c r="H1100" s="49"/>
      <c r="I1100" s="49"/>
      <c r="L1100" s="62"/>
      <c r="M1100" s="53"/>
      <c r="O1100" s="59"/>
    </row>
    <row r="1101" spans="1:17" x14ac:dyDescent="0.25">
      <c r="A1101" s="21" t="str">
        <f>IF(C1101="","",COUNTA($C$3:C1101))</f>
        <v/>
      </c>
      <c r="B1101" s="35" t="str">
        <f t="shared" si="33"/>
        <v/>
      </c>
      <c r="C1101" s="33"/>
      <c r="E1101" s="60"/>
      <c r="F1101" s="52"/>
      <c r="G1101" s="18"/>
      <c r="H1101" s="49"/>
      <c r="I1101" s="49"/>
      <c r="L1101" s="62"/>
      <c r="M1101" s="53"/>
      <c r="O1101" s="59"/>
    </row>
    <row r="1102" spans="1:17" x14ac:dyDescent="0.25">
      <c r="A1102" s="21" t="str">
        <f>IF(C1102="","",COUNTA($C$3:C1102))</f>
        <v/>
      </c>
      <c r="B1102" s="35" t="str">
        <f t="shared" si="33"/>
        <v/>
      </c>
      <c r="C1102" s="33"/>
      <c r="E1102" s="60"/>
      <c r="F1102" s="52"/>
      <c r="G1102" s="18"/>
      <c r="H1102" s="49"/>
      <c r="I1102" s="49"/>
      <c r="L1102" s="62"/>
      <c r="M1102" s="53"/>
    </row>
    <row r="1103" spans="1:17" x14ac:dyDescent="0.25">
      <c r="A1103" s="21" t="str">
        <f>IF(C1103="","",COUNTA($C$3:C1103))</f>
        <v/>
      </c>
      <c r="B1103" s="35" t="str">
        <f t="shared" si="33"/>
        <v/>
      </c>
      <c r="C1103" s="33"/>
      <c r="E1103" s="60"/>
      <c r="F1103" s="52"/>
      <c r="G1103" s="18"/>
      <c r="H1103" s="49"/>
      <c r="I1103" s="49"/>
      <c r="L1103" s="62"/>
      <c r="M1103" s="53"/>
      <c r="Q1103" s="59"/>
    </row>
    <row r="1104" spans="1:17" x14ac:dyDescent="0.25">
      <c r="A1104" s="21" t="str">
        <f>IF(C1104="","",COUNTA($C$3:C1104))</f>
        <v/>
      </c>
      <c r="B1104" s="35" t="str">
        <f t="shared" si="33"/>
        <v/>
      </c>
      <c r="C1104" s="33"/>
      <c r="E1104" s="60"/>
      <c r="F1104" s="52"/>
      <c r="G1104" s="18"/>
      <c r="H1104" s="49"/>
      <c r="I1104" s="49"/>
      <c r="L1104" s="62"/>
      <c r="M1104" s="53"/>
    </row>
    <row r="1105" spans="1:15" x14ac:dyDescent="0.25">
      <c r="A1105" s="21" t="str">
        <f>IF(C1105="","",COUNTA($C$3:C1105))</f>
        <v/>
      </c>
      <c r="B1105" s="35" t="str">
        <f t="shared" si="33"/>
        <v/>
      </c>
      <c r="C1105" s="33"/>
      <c r="E1105" s="60"/>
      <c r="F1105" s="52"/>
      <c r="G1105" s="18"/>
      <c r="H1105" s="49"/>
      <c r="I1105" s="49"/>
      <c r="L1105" s="78"/>
      <c r="M1105" s="53"/>
    </row>
    <row r="1106" spans="1:15" x14ac:dyDescent="0.25">
      <c r="A1106" s="21" t="str">
        <f>IF(C1106="","",COUNTA($C$3:C1106))</f>
        <v/>
      </c>
      <c r="B1106" s="35" t="str">
        <f t="shared" si="33"/>
        <v/>
      </c>
      <c r="C1106" s="33"/>
      <c r="E1106" s="60"/>
      <c r="F1106" s="52"/>
      <c r="G1106" s="18"/>
      <c r="H1106" s="49"/>
      <c r="I1106" s="49"/>
      <c r="L1106" s="78"/>
      <c r="M1106" s="53"/>
    </row>
    <row r="1107" spans="1:15" x14ac:dyDescent="0.25">
      <c r="A1107" s="21" t="str">
        <f>IF(C1107="","",COUNTA($C$3:C1107))</f>
        <v/>
      </c>
      <c r="B1107" s="35" t="str">
        <f t="shared" si="33"/>
        <v/>
      </c>
      <c r="C1107" s="33"/>
      <c r="E1107" s="60"/>
      <c r="F1107" s="52"/>
      <c r="G1107" s="18"/>
      <c r="H1107" s="49"/>
      <c r="I1107" s="49"/>
      <c r="L1107" s="78"/>
      <c r="M1107" s="53"/>
    </row>
    <row r="1108" spans="1:15" x14ac:dyDescent="0.25">
      <c r="A1108" s="21" t="str">
        <f>IF(C1108="","",COUNTA($C$3:C1108))</f>
        <v/>
      </c>
      <c r="B1108" s="35" t="str">
        <f t="shared" si="33"/>
        <v/>
      </c>
      <c r="C1108" s="33"/>
      <c r="E1108" s="60"/>
      <c r="F1108" s="52"/>
      <c r="G1108" s="18"/>
      <c r="H1108" s="49"/>
      <c r="I1108" s="49"/>
      <c r="L1108" s="62"/>
      <c r="M1108" s="53"/>
    </row>
    <row r="1109" spans="1:15" x14ac:dyDescent="0.25">
      <c r="A1109" s="21" t="str">
        <f>IF(C1109="","",COUNTA($C$3:C1109))</f>
        <v/>
      </c>
      <c r="B1109" s="35" t="str">
        <f t="shared" si="33"/>
        <v/>
      </c>
      <c r="C1109" s="33"/>
      <c r="E1109" s="60"/>
      <c r="F1109" s="52"/>
      <c r="G1109" s="18"/>
      <c r="H1109" s="49"/>
      <c r="I1109" s="49"/>
      <c r="L1109" s="62"/>
      <c r="M1109" s="53"/>
      <c r="O1109" s="59"/>
    </row>
    <row r="1110" spans="1:15" x14ac:dyDescent="0.25">
      <c r="A1110" s="21" t="str">
        <f>IF(C1110="","",COUNTA($C$3:C1110))</f>
        <v/>
      </c>
      <c r="B1110" s="35" t="str">
        <f t="shared" si="33"/>
        <v/>
      </c>
      <c r="C1110" s="33"/>
      <c r="E1110" s="60"/>
      <c r="F1110" s="52"/>
      <c r="G1110" s="18"/>
      <c r="H1110" s="49"/>
      <c r="I1110" s="49"/>
      <c r="L1110" s="62"/>
      <c r="M1110" s="53"/>
      <c r="O1110" s="59"/>
    </row>
    <row r="1111" spans="1:15" x14ac:dyDescent="0.25">
      <c r="A1111" s="21" t="str">
        <f>IF(C1111="","",COUNTA($C$3:C1111))</f>
        <v/>
      </c>
      <c r="B1111" s="35" t="str">
        <f t="shared" si="33"/>
        <v/>
      </c>
      <c r="C1111" s="33"/>
      <c r="E1111" s="60"/>
      <c r="F1111" s="52"/>
      <c r="G1111" s="18"/>
      <c r="H1111" s="49"/>
      <c r="I1111" s="49"/>
      <c r="K1111" s="67"/>
      <c r="L1111" s="62"/>
      <c r="M1111" s="53"/>
      <c r="O1111" s="59"/>
    </row>
    <row r="1112" spans="1:15" x14ac:dyDescent="0.25">
      <c r="A1112" s="21" t="str">
        <f>IF(C1112="","",COUNTA($C$3:C1112))</f>
        <v/>
      </c>
      <c r="B1112" s="35" t="str">
        <f t="shared" si="33"/>
        <v/>
      </c>
      <c r="C1112" s="33"/>
      <c r="E1112" s="60"/>
      <c r="F1112" s="52"/>
      <c r="G1112" s="18"/>
      <c r="H1112" s="49"/>
      <c r="I1112" s="49"/>
      <c r="L1112" s="62"/>
      <c r="M1112" s="53"/>
      <c r="O1112" s="59"/>
    </row>
    <row r="1113" spans="1:15" x14ac:dyDescent="0.25">
      <c r="A1113" s="21" t="str">
        <f>IF(C1113="","",COUNTA($C$3:C1113))</f>
        <v/>
      </c>
      <c r="B1113" s="35" t="str">
        <f t="shared" si="33"/>
        <v/>
      </c>
      <c r="C1113" s="33"/>
      <c r="E1113" s="60"/>
      <c r="F1113" s="52"/>
      <c r="G1113" s="18"/>
      <c r="H1113" s="49"/>
      <c r="I1113" s="49"/>
      <c r="L1113" s="62"/>
      <c r="M1113" s="53"/>
      <c r="O1113" s="59"/>
    </row>
    <row r="1114" spans="1:15" x14ac:dyDescent="0.25">
      <c r="A1114" s="21" t="str">
        <f>IF(C1114="","",COUNTA($C$3:C1114))</f>
        <v/>
      </c>
      <c r="B1114" s="35" t="str">
        <f t="shared" si="33"/>
        <v/>
      </c>
      <c r="C1114" s="33"/>
      <c r="E1114" s="60"/>
      <c r="F1114" s="52"/>
      <c r="G1114" s="18"/>
      <c r="H1114" s="49"/>
      <c r="I1114" s="49"/>
      <c r="L1114" s="62"/>
      <c r="M1114" s="53"/>
      <c r="O1114" s="59"/>
    </row>
    <row r="1115" spans="1:15" x14ac:dyDescent="0.25">
      <c r="A1115" s="21" t="str">
        <f>IF(C1115="","",COUNTA($C$3:C1115))</f>
        <v/>
      </c>
      <c r="B1115" s="35" t="str">
        <f t="shared" si="33"/>
        <v/>
      </c>
      <c r="C1115" s="33"/>
      <c r="E1115" s="60"/>
      <c r="F1115" s="52"/>
      <c r="G1115" s="18"/>
      <c r="H1115" s="49"/>
      <c r="I1115" s="49"/>
      <c r="L1115" s="62"/>
      <c r="M1115" s="53"/>
    </row>
    <row r="1116" spans="1:15" x14ac:dyDescent="0.25">
      <c r="A1116" s="21" t="str">
        <f>IF(C1116="","",COUNTA($C$3:C1116))</f>
        <v/>
      </c>
      <c r="B1116" s="35" t="str">
        <f t="shared" si="33"/>
        <v/>
      </c>
      <c r="C1116" s="33"/>
      <c r="E1116" s="60"/>
      <c r="F1116" s="52"/>
      <c r="G1116" s="18"/>
      <c r="H1116" s="49"/>
      <c r="I1116" s="49"/>
      <c r="L1116" s="53"/>
      <c r="M1116" s="53"/>
    </row>
    <row r="1117" spans="1:15" x14ac:dyDescent="0.25">
      <c r="A1117" s="21" t="str">
        <f>IF(C1117="","",COUNTA($C$3:C1117))</f>
        <v/>
      </c>
      <c r="B1117" s="35" t="str">
        <f t="shared" si="33"/>
        <v/>
      </c>
      <c r="C1117" s="33"/>
      <c r="E1117" s="60"/>
      <c r="F1117" s="52"/>
      <c r="G1117" s="18"/>
      <c r="H1117" s="49"/>
      <c r="I1117" s="49"/>
      <c r="L1117" s="53"/>
      <c r="M1117" s="53"/>
    </row>
    <row r="1118" spans="1:15" x14ac:dyDescent="0.25">
      <c r="A1118" s="21" t="str">
        <f>IF(C1118="","",COUNTA($C$3:C1118))</f>
        <v/>
      </c>
      <c r="B1118" s="35" t="str">
        <f t="shared" si="33"/>
        <v/>
      </c>
      <c r="C1118" s="33"/>
      <c r="E1118" s="60"/>
      <c r="F1118" s="52"/>
      <c r="G1118" s="18"/>
      <c r="H1118" s="49"/>
      <c r="I1118" s="49"/>
      <c r="L1118" s="53"/>
      <c r="M1118" s="53"/>
    </row>
    <row r="1119" spans="1:15" x14ac:dyDescent="0.25">
      <c r="A1119" s="21" t="str">
        <f>IF(C1119="","",COUNTA($C$3:C1119))</f>
        <v/>
      </c>
      <c r="B1119" s="35" t="str">
        <f t="shared" si="33"/>
        <v/>
      </c>
      <c r="C1119" s="33"/>
      <c r="E1119" s="60"/>
      <c r="F1119" s="52"/>
      <c r="G1119" s="18"/>
      <c r="H1119" s="49"/>
      <c r="I1119" s="49"/>
      <c r="L1119" s="78"/>
      <c r="M1119" s="53"/>
    </row>
    <row r="1120" spans="1:15" x14ac:dyDescent="0.25">
      <c r="A1120" s="21" t="str">
        <f>IF(C1120="","",COUNTA($C$3:C1120))</f>
        <v/>
      </c>
      <c r="B1120" s="35" t="str">
        <f t="shared" si="33"/>
        <v/>
      </c>
      <c r="C1120" s="33"/>
      <c r="E1120" s="60"/>
      <c r="F1120" s="52"/>
      <c r="G1120" s="18"/>
      <c r="H1120" s="49"/>
      <c r="I1120" s="49"/>
      <c r="M1120" s="53"/>
    </row>
    <row r="1121" spans="1:16" x14ac:dyDescent="0.25">
      <c r="A1121" s="21" t="str">
        <f>IF(C1121="","",COUNTA($C$3:C1121))</f>
        <v/>
      </c>
      <c r="B1121" s="35" t="str">
        <f t="shared" si="33"/>
        <v/>
      </c>
      <c r="C1121" s="33"/>
      <c r="E1121" s="60"/>
      <c r="F1121" s="52"/>
      <c r="G1121" s="18"/>
      <c r="H1121" s="49"/>
      <c r="I1121" s="49"/>
      <c r="L1121" s="62"/>
      <c r="M1121" s="53"/>
    </row>
    <row r="1122" spans="1:16" x14ac:dyDescent="0.25">
      <c r="A1122" s="21" t="str">
        <f>IF(C1122="","",COUNTA($C$3:C1122))</f>
        <v/>
      </c>
      <c r="B1122" s="35" t="str">
        <f t="shared" si="33"/>
        <v/>
      </c>
      <c r="C1122" s="33"/>
      <c r="E1122" s="60"/>
      <c r="F1122" s="52"/>
      <c r="G1122" s="52"/>
      <c r="H1122" s="49"/>
      <c r="I1122" s="49"/>
      <c r="L1122" s="62"/>
      <c r="M1122" s="53"/>
    </row>
    <row r="1123" spans="1:16" x14ac:dyDescent="0.25">
      <c r="A1123" s="21" t="str">
        <f>IF(C1123="","",COUNTA($C$3:C1123))</f>
        <v/>
      </c>
      <c r="B1123" s="35" t="str">
        <f t="shared" si="33"/>
        <v/>
      </c>
      <c r="C1123" s="33"/>
      <c r="E1123" s="60"/>
      <c r="F1123" s="52"/>
      <c r="G1123" s="52"/>
      <c r="H1123" s="49"/>
      <c r="I1123" s="49"/>
      <c r="L1123" s="78"/>
      <c r="M1123" s="53"/>
    </row>
    <row r="1124" spans="1:16" x14ac:dyDescent="0.25">
      <c r="A1124" s="21" t="str">
        <f>IF(C1124="","",COUNTA($C$3:C1124))</f>
        <v/>
      </c>
      <c r="B1124" s="35" t="str">
        <f t="shared" si="33"/>
        <v/>
      </c>
      <c r="C1124" s="33"/>
      <c r="E1124" s="60"/>
      <c r="F1124" s="52"/>
      <c r="G1124" s="52"/>
      <c r="H1124" s="49"/>
      <c r="I1124" s="49"/>
      <c r="L1124" s="62"/>
      <c r="M1124" s="53"/>
    </row>
    <row r="1125" spans="1:16" x14ac:dyDescent="0.25">
      <c r="A1125" s="21" t="str">
        <f>IF(C1125="","",COUNTA($C$3:C1125))</f>
        <v/>
      </c>
      <c r="B1125" s="35" t="str">
        <f t="shared" si="33"/>
        <v/>
      </c>
      <c r="C1125" s="33"/>
      <c r="E1125" s="60"/>
      <c r="F1125" s="52"/>
      <c r="G1125" s="52"/>
      <c r="H1125" s="49"/>
      <c r="I1125" s="49"/>
      <c r="L1125" s="62"/>
      <c r="M1125" s="53"/>
    </row>
    <row r="1126" spans="1:16" x14ac:dyDescent="0.25">
      <c r="A1126" s="21" t="str">
        <f>IF(C1126="","",COUNTA($C$3:C1126))</f>
        <v/>
      </c>
      <c r="B1126" s="35" t="str">
        <f t="shared" si="33"/>
        <v/>
      </c>
      <c r="C1126" s="33"/>
      <c r="E1126" s="60"/>
      <c r="F1126" s="52"/>
      <c r="G1126" s="52"/>
      <c r="H1126" s="49"/>
      <c r="I1126" s="49"/>
      <c r="K1126" s="55"/>
      <c r="M1126" s="53"/>
    </row>
    <row r="1127" spans="1:16" x14ac:dyDescent="0.25">
      <c r="A1127" s="21" t="str">
        <f>IF(C1127="","",COUNTA($C$3:C1127))</f>
        <v/>
      </c>
      <c r="B1127" s="35" t="str">
        <f t="shared" si="33"/>
        <v/>
      </c>
      <c r="C1127" s="33"/>
      <c r="E1127" s="60"/>
      <c r="F1127" s="52"/>
      <c r="G1127" s="52"/>
      <c r="H1127" s="49"/>
      <c r="I1127" s="49"/>
      <c r="L1127" s="62"/>
      <c r="M1127" s="53"/>
    </row>
    <row r="1128" spans="1:16" x14ac:dyDescent="0.25">
      <c r="A1128" s="21" t="str">
        <f>IF(C1128="","",COUNTA($C$3:C1128))</f>
        <v/>
      </c>
      <c r="B1128" s="35" t="str">
        <f t="shared" si="33"/>
        <v/>
      </c>
      <c r="C1128" s="33"/>
      <c r="E1128" s="60"/>
      <c r="F1128" s="52"/>
      <c r="G1128" s="18"/>
      <c r="H1128" s="49"/>
      <c r="I1128" s="49"/>
      <c r="L1128" s="62"/>
      <c r="M1128" s="53"/>
    </row>
    <row r="1129" spans="1:16" x14ac:dyDescent="0.25">
      <c r="A1129" s="21" t="str">
        <f>IF(C1129="","",COUNTA($C$3:C1129))</f>
        <v/>
      </c>
      <c r="B1129" s="35" t="str">
        <f t="shared" si="33"/>
        <v/>
      </c>
      <c r="C1129" s="33"/>
      <c r="E1129" s="60"/>
      <c r="F1129" s="52"/>
      <c r="G1129" s="18"/>
      <c r="H1129" s="49"/>
      <c r="I1129" s="49"/>
      <c r="L1129" s="78"/>
      <c r="M1129" s="53"/>
    </row>
    <row r="1130" spans="1:16" x14ac:dyDescent="0.25">
      <c r="A1130" s="21" t="str">
        <f>IF(C1130="","",COUNTA($C$3:C1130))</f>
        <v/>
      </c>
      <c r="B1130" s="35" t="str">
        <f t="shared" si="33"/>
        <v/>
      </c>
      <c r="C1130" s="33"/>
      <c r="E1130" s="60"/>
      <c r="F1130" s="52"/>
      <c r="G1130" s="18"/>
      <c r="H1130" s="49"/>
      <c r="I1130" s="49"/>
      <c r="L1130" s="53"/>
      <c r="M1130" s="53"/>
    </row>
    <row r="1131" spans="1:16" x14ac:dyDescent="0.25">
      <c r="A1131" s="21" t="str">
        <f>IF(C1131="","",COUNTA($C$3:C1131))</f>
        <v/>
      </c>
      <c r="B1131" s="35" t="str">
        <f t="shared" si="33"/>
        <v/>
      </c>
      <c r="C1131" s="33"/>
      <c r="E1131" s="60"/>
      <c r="F1131" s="52"/>
      <c r="G1131" s="18"/>
      <c r="H1131" s="49"/>
      <c r="I1131" s="49"/>
      <c r="K1131" s="55"/>
      <c r="M1131" s="53"/>
    </row>
    <row r="1132" spans="1:16" x14ac:dyDescent="0.25">
      <c r="A1132" s="21" t="str">
        <f>IF(C1132="","",COUNTA($C$3:C1132))</f>
        <v/>
      </c>
      <c r="B1132" s="35" t="str">
        <f t="shared" si="33"/>
        <v/>
      </c>
      <c r="C1132" s="33"/>
      <c r="E1132" s="60"/>
      <c r="F1132" s="52"/>
      <c r="G1132" s="18"/>
      <c r="H1132" s="49"/>
      <c r="I1132" s="49"/>
      <c r="L1132" s="62"/>
      <c r="M1132" s="53"/>
    </row>
    <row r="1133" spans="1:16" x14ac:dyDescent="0.25">
      <c r="A1133" s="21" t="str">
        <f>IF(C1133="","",COUNTA($C$3:C1133))</f>
        <v/>
      </c>
      <c r="B1133" s="35" t="str">
        <f t="shared" si="33"/>
        <v/>
      </c>
      <c r="C1133" s="33"/>
      <c r="E1133" s="60"/>
      <c r="F1133" s="52"/>
      <c r="G1133" s="18"/>
      <c r="H1133" s="49"/>
      <c r="I1133" s="49"/>
      <c r="L1133" s="62"/>
      <c r="M1133" s="53"/>
      <c r="P1133" s="59"/>
    </row>
    <row r="1134" spans="1:16" x14ac:dyDescent="0.25">
      <c r="A1134" s="21" t="str">
        <f>IF(C1134="","",COUNTA($C$3:C1134))</f>
        <v/>
      </c>
      <c r="B1134" s="35" t="str">
        <f t="shared" si="33"/>
        <v/>
      </c>
      <c r="C1134" s="33"/>
      <c r="E1134" s="60"/>
      <c r="F1134" s="52"/>
      <c r="G1134" s="18"/>
      <c r="H1134" s="49"/>
      <c r="I1134" s="49"/>
      <c r="L1134" s="62"/>
      <c r="M1134" s="53"/>
    </row>
    <row r="1135" spans="1:16" x14ac:dyDescent="0.25">
      <c r="A1135" s="21" t="str">
        <f>IF(C1135="","",COUNTA($C$3:C1135))</f>
        <v/>
      </c>
      <c r="B1135" s="35" t="str">
        <f t="shared" si="33"/>
        <v/>
      </c>
      <c r="C1135" s="33"/>
      <c r="E1135" s="60"/>
      <c r="F1135" s="52"/>
      <c r="G1135" s="18"/>
      <c r="H1135" s="49"/>
      <c r="I1135" s="49"/>
      <c r="L1135" s="53"/>
      <c r="M1135" s="53"/>
    </row>
    <row r="1136" spans="1:16" x14ac:dyDescent="0.25">
      <c r="A1136" s="21" t="str">
        <f>IF(C1136="","",COUNTA($C$3:C1136))</f>
        <v/>
      </c>
      <c r="B1136" s="35" t="str">
        <f t="shared" si="33"/>
        <v/>
      </c>
      <c r="C1136" s="33"/>
      <c r="E1136" s="60"/>
      <c r="F1136" s="52"/>
      <c r="G1136" s="18"/>
      <c r="H1136" s="49"/>
      <c r="I1136" s="49"/>
      <c r="L1136" s="78"/>
      <c r="M1136" s="53"/>
    </row>
    <row r="1137" spans="1:18" x14ac:dyDescent="0.25">
      <c r="A1137" s="21" t="str">
        <f>IF(C1137="","",COUNTA($C$3:C1137))</f>
        <v/>
      </c>
      <c r="B1137" s="35" t="str">
        <f t="shared" si="33"/>
        <v/>
      </c>
      <c r="C1137" s="33"/>
      <c r="E1137" s="60"/>
      <c r="F1137" s="52"/>
      <c r="G1137" s="18"/>
      <c r="H1137" s="49"/>
      <c r="I1137" s="49"/>
      <c r="L1137" s="53"/>
      <c r="M1137" s="53"/>
    </row>
    <row r="1138" spans="1:18" x14ac:dyDescent="0.25">
      <c r="A1138" s="21" t="str">
        <f>IF(C1138="","",COUNTA($C$3:C1138))</f>
        <v/>
      </c>
      <c r="B1138" s="35" t="str">
        <f t="shared" si="33"/>
        <v/>
      </c>
      <c r="C1138" s="33"/>
      <c r="E1138" s="60"/>
      <c r="F1138" s="52"/>
      <c r="G1138" s="18"/>
      <c r="H1138" s="49"/>
      <c r="I1138" s="49"/>
      <c r="L1138" s="78"/>
      <c r="M1138" s="53"/>
    </row>
    <row r="1139" spans="1:18" x14ac:dyDescent="0.25">
      <c r="A1139" s="21" t="str">
        <f>IF(C1139="","",COUNTA($C$3:C1139))</f>
        <v/>
      </c>
      <c r="B1139" s="35" t="str">
        <f t="shared" si="33"/>
        <v/>
      </c>
      <c r="C1139" s="33"/>
      <c r="E1139" s="60"/>
      <c r="F1139" s="52"/>
      <c r="G1139" s="18"/>
      <c r="H1139" s="49"/>
      <c r="I1139" s="49"/>
      <c r="L1139" s="78"/>
      <c r="M1139" s="53"/>
    </row>
    <row r="1140" spans="1:18" x14ac:dyDescent="0.25">
      <c r="A1140" s="21" t="str">
        <f>IF(C1140="","",COUNTA($C$3:C1140))</f>
        <v/>
      </c>
      <c r="B1140" s="35" t="str">
        <f t="shared" si="33"/>
        <v/>
      </c>
      <c r="C1140" s="33"/>
      <c r="E1140" s="60"/>
      <c r="F1140" s="52"/>
      <c r="G1140" s="18"/>
      <c r="H1140" s="49"/>
      <c r="I1140" s="76"/>
      <c r="L1140" s="62"/>
      <c r="M1140" s="53"/>
    </row>
    <row r="1141" spans="1:18" x14ac:dyDescent="0.25">
      <c r="A1141" s="21" t="str">
        <f>IF(C1141="","",COUNTA($C$3:C1141))</f>
        <v/>
      </c>
      <c r="B1141" s="35" t="str">
        <f t="shared" si="33"/>
        <v/>
      </c>
      <c r="C1141" s="33"/>
      <c r="E1141" s="60"/>
      <c r="F1141" s="52"/>
      <c r="G1141" s="18"/>
      <c r="H1141" s="49"/>
      <c r="I1141" s="49"/>
      <c r="K1141" s="55"/>
      <c r="M1141" s="53"/>
    </row>
    <row r="1142" spans="1:18" x14ac:dyDescent="0.25">
      <c r="A1142" s="21" t="str">
        <f>IF(C1142="","",COUNTA($C$3:C1142))</f>
        <v/>
      </c>
      <c r="B1142" s="35" t="str">
        <f t="shared" si="33"/>
        <v/>
      </c>
      <c r="C1142" s="33"/>
      <c r="E1142" s="60"/>
      <c r="F1142" s="52"/>
      <c r="G1142" s="52"/>
      <c r="H1142" s="49"/>
      <c r="I1142" s="49"/>
      <c r="L1142" s="62"/>
      <c r="M1142" s="53"/>
    </row>
    <row r="1143" spans="1:18" x14ac:dyDescent="0.25">
      <c r="A1143" s="21" t="str">
        <f>IF(C1143="","",COUNTA($C$3:C1143))</f>
        <v/>
      </c>
      <c r="B1143" s="35" t="str">
        <f t="shared" si="33"/>
        <v/>
      </c>
      <c r="C1143" s="33"/>
      <c r="E1143" s="60"/>
      <c r="F1143" s="52"/>
      <c r="G1143" s="52"/>
      <c r="H1143" s="49"/>
      <c r="I1143" s="49"/>
      <c r="L1143" s="62"/>
      <c r="M1143" s="53"/>
    </row>
    <row r="1144" spans="1:18" x14ac:dyDescent="0.25">
      <c r="A1144" s="21" t="str">
        <f>IF(C1144="","",COUNTA($C$3:C1144))</f>
        <v/>
      </c>
      <c r="B1144" s="35" t="str">
        <f t="shared" si="33"/>
        <v/>
      </c>
      <c r="C1144" s="33"/>
      <c r="E1144" s="60"/>
      <c r="F1144" s="52"/>
      <c r="G1144" s="52"/>
      <c r="H1144" s="49"/>
      <c r="I1144" s="49"/>
      <c r="L1144" s="62"/>
      <c r="M1144" s="53"/>
    </row>
    <row r="1145" spans="1:18" x14ac:dyDescent="0.25">
      <c r="A1145" s="21" t="str">
        <f>IF(C1145="","",COUNTA($C$3:C1145))</f>
        <v/>
      </c>
      <c r="B1145" s="35" t="str">
        <f t="shared" si="33"/>
        <v/>
      </c>
      <c r="C1145" s="33"/>
      <c r="E1145" s="60"/>
      <c r="F1145" s="52"/>
      <c r="G1145" s="52"/>
      <c r="H1145" s="49"/>
      <c r="I1145" s="49"/>
      <c r="L1145" s="78"/>
      <c r="M1145" s="53"/>
    </row>
    <row r="1146" spans="1:18" x14ac:dyDescent="0.25">
      <c r="A1146" s="21" t="str">
        <f>IF(C1146="","",COUNTA($C$3:C1146))</f>
        <v/>
      </c>
      <c r="B1146" s="35" t="str">
        <f t="shared" si="33"/>
        <v/>
      </c>
      <c r="C1146" s="33"/>
      <c r="E1146" s="60"/>
      <c r="F1146" s="52"/>
      <c r="G1146" s="52"/>
      <c r="H1146" s="49"/>
      <c r="I1146" s="49"/>
      <c r="L1146" s="62"/>
      <c r="M1146" s="53"/>
    </row>
    <row r="1147" spans="1:18" x14ac:dyDescent="0.25">
      <c r="A1147" s="21" t="str">
        <f>IF(C1147="","",COUNTA($C$3:C1147))</f>
        <v/>
      </c>
      <c r="B1147" s="35" t="str">
        <f t="shared" si="33"/>
        <v/>
      </c>
      <c r="C1147" s="33"/>
      <c r="E1147" s="60"/>
      <c r="F1147" s="52"/>
      <c r="G1147" s="18"/>
      <c r="H1147" s="49"/>
      <c r="I1147" s="49"/>
      <c r="L1147" s="78"/>
      <c r="M1147" s="53"/>
    </row>
    <row r="1148" spans="1:18" x14ac:dyDescent="0.25">
      <c r="A1148" s="21" t="str">
        <f>IF(C1148="","",COUNTA($C$3:C1148))</f>
        <v/>
      </c>
      <c r="B1148" s="35" t="str">
        <f t="shared" si="33"/>
        <v/>
      </c>
      <c r="C1148" s="33"/>
      <c r="E1148" s="60"/>
      <c r="F1148" s="52"/>
      <c r="G1148" s="18"/>
      <c r="H1148" s="49"/>
      <c r="I1148" s="49"/>
      <c r="M1148" s="53"/>
    </row>
    <row r="1149" spans="1:18" x14ac:dyDescent="0.25">
      <c r="A1149" s="21" t="str">
        <f>IF(C1149="","",COUNTA($C$3:C1149))</f>
        <v/>
      </c>
      <c r="B1149" s="35" t="str">
        <f t="shared" si="33"/>
        <v/>
      </c>
      <c r="C1149" s="33"/>
      <c r="E1149" s="60"/>
      <c r="F1149" s="52"/>
      <c r="G1149" s="18"/>
      <c r="H1149" s="49"/>
      <c r="I1149" s="49"/>
      <c r="L1149" s="78"/>
      <c r="M1149" s="53"/>
    </row>
    <row r="1150" spans="1:18" x14ac:dyDescent="0.25">
      <c r="A1150" s="21" t="str">
        <f>IF(C1150="","",COUNTA($C$3:C1150))</f>
        <v/>
      </c>
      <c r="B1150" s="35" t="str">
        <f t="shared" si="33"/>
        <v/>
      </c>
      <c r="C1150" s="33"/>
      <c r="E1150" s="60"/>
      <c r="F1150" s="52"/>
      <c r="G1150" s="18"/>
      <c r="H1150" s="49"/>
      <c r="I1150" s="49"/>
      <c r="L1150" s="78"/>
      <c r="M1150" s="53"/>
    </row>
    <row r="1151" spans="1:18" x14ac:dyDescent="0.25">
      <c r="A1151" s="21" t="str">
        <f>IF(C1151="","",COUNTA($C$3:C1151))</f>
        <v/>
      </c>
      <c r="B1151" s="35" t="str">
        <f t="shared" si="33"/>
        <v/>
      </c>
      <c r="C1151" s="33"/>
      <c r="E1151" s="60"/>
      <c r="F1151" s="52"/>
      <c r="G1151" s="18"/>
      <c r="H1151" s="49"/>
      <c r="I1151" s="49"/>
      <c r="L1151" s="62"/>
      <c r="M1151" s="53"/>
    </row>
    <row r="1152" spans="1:18" x14ac:dyDescent="0.25">
      <c r="A1152" s="21" t="str">
        <f>IF(C1152="","",COUNTA($C$3:C1152))</f>
        <v/>
      </c>
      <c r="B1152" s="35" t="str">
        <f t="shared" si="33"/>
        <v/>
      </c>
      <c r="C1152" s="33"/>
      <c r="E1152" s="60"/>
      <c r="F1152" s="52"/>
      <c r="G1152" s="18"/>
      <c r="H1152" s="49"/>
      <c r="I1152" s="49"/>
      <c r="L1152" s="78"/>
      <c r="M1152" s="53"/>
      <c r="R1152" s="59"/>
    </row>
    <row r="1153" spans="1:13" x14ac:dyDescent="0.25">
      <c r="A1153" s="21" t="str">
        <f>IF(C1153="","",COUNTA($C$3:C1153))</f>
        <v/>
      </c>
      <c r="B1153" s="35" t="str">
        <f t="shared" si="33"/>
        <v/>
      </c>
      <c r="C1153" s="33"/>
      <c r="E1153" s="60"/>
      <c r="F1153" s="52"/>
      <c r="G1153" s="18"/>
      <c r="H1153" s="49"/>
      <c r="I1153" s="49"/>
      <c r="L1153" s="62"/>
      <c r="M1153" s="53"/>
    </row>
    <row r="1154" spans="1:13" x14ac:dyDescent="0.25">
      <c r="A1154" s="21" t="str">
        <f>IF(C1154="","",COUNTA($C$3:C1154))</f>
        <v/>
      </c>
      <c r="B1154" s="35" t="str">
        <f t="shared" si="33"/>
        <v/>
      </c>
      <c r="C1154" s="33"/>
      <c r="E1154" s="60"/>
      <c r="F1154" s="52"/>
      <c r="G1154" s="18"/>
      <c r="H1154" s="49"/>
      <c r="I1154" s="49"/>
      <c r="L1154" s="78"/>
      <c r="M1154" s="53"/>
    </row>
    <row r="1155" spans="1:13" x14ac:dyDescent="0.25">
      <c r="A1155" s="21" t="str">
        <f>IF(C1155="","",COUNTA($C$3:C1155))</f>
        <v/>
      </c>
      <c r="B1155" s="35" t="str">
        <f t="shared" si="33"/>
        <v/>
      </c>
      <c r="C1155" s="33"/>
      <c r="E1155" s="60"/>
      <c r="F1155" s="52"/>
      <c r="G1155" s="18"/>
      <c r="H1155" s="49"/>
      <c r="I1155" s="49"/>
      <c r="M1155" s="53"/>
    </row>
    <row r="1156" spans="1:13" x14ac:dyDescent="0.25">
      <c r="A1156" s="21" t="str">
        <f>IF(C1156="","",COUNTA($C$3:C1156))</f>
        <v/>
      </c>
      <c r="B1156" s="35" t="str">
        <f t="shared" si="33"/>
        <v/>
      </c>
      <c r="C1156" s="33"/>
      <c r="E1156" s="60"/>
      <c r="F1156" s="52"/>
      <c r="G1156" s="18"/>
      <c r="H1156" s="49"/>
      <c r="I1156" s="49"/>
      <c r="L1156" s="78"/>
      <c r="M1156" s="53"/>
    </row>
    <row r="1157" spans="1:13" x14ac:dyDescent="0.25">
      <c r="A1157" s="21" t="str">
        <f>IF(C1157="","",COUNTA($C$3:C1157))</f>
        <v/>
      </c>
      <c r="B1157" s="35" t="str">
        <f t="shared" ref="B1157:B1220" si="34">IF(C1157="","",TEXT(C1157,"mmmm"))</f>
        <v/>
      </c>
      <c r="C1157" s="33"/>
      <c r="E1157" s="60"/>
      <c r="F1157" s="52"/>
      <c r="G1157" s="18"/>
      <c r="H1157" s="49"/>
      <c r="I1157" s="49"/>
      <c r="L1157" s="78"/>
      <c r="M1157" s="53"/>
    </row>
    <row r="1158" spans="1:13" x14ac:dyDescent="0.25">
      <c r="A1158" s="21" t="str">
        <f>IF(C1158="","",COUNTA($C$3:C1158))</f>
        <v/>
      </c>
      <c r="B1158" s="35" t="str">
        <f t="shared" si="34"/>
        <v/>
      </c>
      <c r="C1158" s="33"/>
      <c r="E1158" s="60"/>
      <c r="F1158" s="52"/>
      <c r="G1158" s="18"/>
      <c r="H1158" s="49"/>
      <c r="I1158" s="49"/>
      <c r="L1158" s="78"/>
      <c r="M1158" s="53"/>
    </row>
    <row r="1159" spans="1:13" x14ac:dyDescent="0.25">
      <c r="A1159" s="21" t="str">
        <f>IF(C1159="","",COUNTA($C$3:C1159))</f>
        <v/>
      </c>
      <c r="B1159" s="35" t="str">
        <f t="shared" si="34"/>
        <v/>
      </c>
      <c r="C1159" s="33"/>
      <c r="E1159" s="60"/>
      <c r="F1159" s="52"/>
      <c r="G1159" s="18"/>
      <c r="H1159" s="49"/>
      <c r="I1159" s="49"/>
      <c r="L1159" s="78"/>
      <c r="M1159" s="53"/>
    </row>
    <row r="1160" spans="1:13" x14ac:dyDescent="0.25">
      <c r="A1160" s="21" t="str">
        <f>IF(C1160="","",COUNTA($C$3:C1160))</f>
        <v/>
      </c>
      <c r="B1160" s="35" t="str">
        <f t="shared" si="34"/>
        <v/>
      </c>
      <c r="C1160" s="33"/>
      <c r="E1160" s="60"/>
      <c r="F1160" s="52"/>
      <c r="G1160" s="18"/>
      <c r="H1160" s="49"/>
      <c r="I1160" s="49"/>
      <c r="L1160" s="62"/>
      <c r="M1160" s="53"/>
    </row>
    <row r="1161" spans="1:13" x14ac:dyDescent="0.25">
      <c r="A1161" s="21" t="str">
        <f>IF(C1161="","",COUNTA($C$3:C1161))</f>
        <v/>
      </c>
      <c r="B1161" s="35" t="str">
        <f t="shared" si="34"/>
        <v/>
      </c>
      <c r="C1161" s="33"/>
      <c r="E1161" s="60"/>
      <c r="F1161" s="52"/>
      <c r="G1161" s="18"/>
      <c r="H1161" s="49"/>
      <c r="I1161" s="49"/>
      <c r="L1161" s="62"/>
      <c r="M1161" s="53"/>
    </row>
    <row r="1162" spans="1:13" x14ac:dyDescent="0.25">
      <c r="A1162" s="21" t="str">
        <f>IF(C1162="","",COUNTA($C$3:C1162))</f>
        <v/>
      </c>
      <c r="B1162" s="35" t="str">
        <f t="shared" si="34"/>
        <v/>
      </c>
      <c r="C1162" s="33"/>
      <c r="E1162" s="60"/>
      <c r="F1162" s="52"/>
      <c r="G1162" s="18"/>
      <c r="H1162" s="49"/>
      <c r="I1162" s="49"/>
      <c r="L1162" s="53"/>
      <c r="M1162" s="53"/>
    </row>
    <row r="1163" spans="1:13" x14ac:dyDescent="0.25">
      <c r="A1163" s="21" t="str">
        <f>IF(C1163="","",COUNTA($C$3:C1163))</f>
        <v/>
      </c>
      <c r="B1163" s="35" t="str">
        <f t="shared" si="34"/>
        <v/>
      </c>
      <c r="C1163" s="33"/>
      <c r="E1163" s="60"/>
      <c r="F1163" s="52"/>
      <c r="G1163" s="18"/>
      <c r="H1163" s="49"/>
      <c r="I1163" s="49"/>
      <c r="L1163" s="53"/>
      <c r="M1163" s="53"/>
    </row>
    <row r="1164" spans="1:13" x14ac:dyDescent="0.25">
      <c r="A1164" s="21" t="str">
        <f>IF(C1164="","",COUNTA($C$3:C1164))</f>
        <v/>
      </c>
      <c r="B1164" s="35" t="str">
        <f t="shared" si="34"/>
        <v/>
      </c>
      <c r="C1164" s="33"/>
      <c r="E1164" s="60"/>
      <c r="F1164" s="52"/>
      <c r="G1164" s="18"/>
      <c r="H1164" s="49"/>
      <c r="I1164" s="49"/>
      <c r="K1164" s="55"/>
      <c r="M1164" s="53"/>
    </row>
    <row r="1165" spans="1:13" x14ac:dyDescent="0.25">
      <c r="A1165" s="21" t="str">
        <f>IF(C1165="","",COUNTA($C$3:C1165))</f>
        <v/>
      </c>
      <c r="B1165" s="35" t="str">
        <f t="shared" si="34"/>
        <v/>
      </c>
      <c r="C1165" s="33"/>
      <c r="E1165" s="60"/>
      <c r="F1165" s="52"/>
      <c r="G1165" s="18"/>
      <c r="H1165" s="49"/>
      <c r="I1165" s="49"/>
      <c r="K1165" s="55"/>
      <c r="M1165" s="53"/>
    </row>
    <row r="1166" spans="1:13" x14ac:dyDescent="0.25">
      <c r="A1166" s="21" t="str">
        <f>IF(C1166="","",COUNTA($C$3:C1166))</f>
        <v/>
      </c>
      <c r="B1166" s="35" t="str">
        <f t="shared" si="34"/>
        <v/>
      </c>
      <c r="C1166" s="33"/>
      <c r="E1166" s="60"/>
      <c r="F1166" s="52"/>
      <c r="G1166" s="18"/>
      <c r="H1166" s="49"/>
      <c r="I1166" s="49"/>
      <c r="K1166" s="55"/>
      <c r="M1166" s="53"/>
    </row>
    <row r="1167" spans="1:13" x14ac:dyDescent="0.25">
      <c r="A1167" s="21" t="str">
        <f>IF(C1167="","",COUNTA($C$3:C1167))</f>
        <v/>
      </c>
      <c r="B1167" s="35" t="str">
        <f t="shared" si="34"/>
        <v/>
      </c>
      <c r="C1167" s="33"/>
      <c r="E1167" s="60"/>
      <c r="F1167" s="52"/>
      <c r="G1167" s="18"/>
      <c r="H1167" s="49"/>
      <c r="I1167" s="49"/>
      <c r="L1167" s="53"/>
      <c r="M1167" s="53"/>
    </row>
    <row r="1168" spans="1:13" x14ac:dyDescent="0.25">
      <c r="A1168" s="21" t="str">
        <f>IF(C1168="","",COUNTA($C$3:C1168))</f>
        <v/>
      </c>
      <c r="B1168" s="35" t="str">
        <f t="shared" si="34"/>
        <v/>
      </c>
      <c r="C1168" s="33"/>
      <c r="E1168" s="60"/>
      <c r="F1168" s="52"/>
      <c r="G1168" s="18"/>
      <c r="H1168" s="49"/>
      <c r="I1168" s="49"/>
      <c r="L1168" s="78"/>
      <c r="M1168" s="53"/>
    </row>
    <row r="1169" spans="1:15" x14ac:dyDescent="0.25">
      <c r="A1169" s="21" t="str">
        <f>IF(C1169="","",COUNTA($C$3:C1169))</f>
        <v/>
      </c>
      <c r="B1169" s="35" t="str">
        <f t="shared" si="34"/>
        <v/>
      </c>
      <c r="C1169" s="33"/>
      <c r="E1169" s="60"/>
      <c r="F1169" s="52"/>
      <c r="G1169" s="18"/>
      <c r="H1169" s="49"/>
      <c r="I1169" s="49"/>
      <c r="L1169" s="78"/>
      <c r="M1169" s="53"/>
    </row>
    <row r="1170" spans="1:15" x14ac:dyDescent="0.25">
      <c r="A1170" s="21" t="str">
        <f>IF(C1170="","",COUNTA($C$3:C1170))</f>
        <v/>
      </c>
      <c r="B1170" s="35" t="str">
        <f t="shared" si="34"/>
        <v/>
      </c>
      <c r="C1170" s="33"/>
      <c r="E1170" s="60"/>
      <c r="F1170" s="52"/>
      <c r="G1170" s="18"/>
      <c r="H1170" s="49"/>
      <c r="I1170" s="49"/>
      <c r="L1170" s="78"/>
      <c r="M1170" s="53"/>
    </row>
    <row r="1171" spans="1:15" x14ac:dyDescent="0.25">
      <c r="A1171" s="21" t="str">
        <f>IF(C1171="","",COUNTA($C$3:C1171))</f>
        <v/>
      </c>
      <c r="B1171" s="35" t="str">
        <f t="shared" si="34"/>
        <v/>
      </c>
      <c r="C1171" s="33"/>
      <c r="E1171" s="60"/>
      <c r="F1171" s="52"/>
      <c r="G1171" s="18"/>
      <c r="H1171" s="49"/>
      <c r="I1171" s="49"/>
      <c r="L1171" s="62"/>
      <c r="M1171" s="53"/>
    </row>
    <row r="1172" spans="1:15" x14ac:dyDescent="0.25">
      <c r="A1172" s="21" t="str">
        <f>IF(C1172="","",COUNTA($C$3:C1172))</f>
        <v/>
      </c>
      <c r="B1172" s="35" t="str">
        <f t="shared" si="34"/>
        <v/>
      </c>
      <c r="C1172" s="33"/>
      <c r="E1172" s="60"/>
      <c r="F1172" s="52"/>
      <c r="G1172" s="18"/>
      <c r="H1172" s="49"/>
      <c r="I1172" s="49"/>
      <c r="L1172" s="78"/>
      <c r="M1172" s="53"/>
    </row>
    <row r="1173" spans="1:15" x14ac:dyDescent="0.25">
      <c r="A1173" s="21" t="str">
        <f>IF(C1173="","",COUNTA($C$3:C1173))</f>
        <v/>
      </c>
      <c r="B1173" s="35" t="str">
        <f t="shared" si="34"/>
        <v/>
      </c>
      <c r="C1173" s="33"/>
      <c r="E1173" s="60"/>
      <c r="F1173" s="52"/>
      <c r="G1173" s="18"/>
      <c r="H1173" s="49"/>
      <c r="I1173" s="49"/>
      <c r="L1173" s="78"/>
      <c r="M1173" s="53"/>
    </row>
    <row r="1174" spans="1:15" x14ac:dyDescent="0.25">
      <c r="A1174" s="21" t="str">
        <f>IF(C1174="","",COUNTA($C$3:C1174))</f>
        <v/>
      </c>
      <c r="B1174" s="35" t="str">
        <f t="shared" si="34"/>
        <v/>
      </c>
      <c r="C1174" s="33"/>
      <c r="E1174" s="60"/>
      <c r="F1174" s="52"/>
      <c r="G1174" s="18"/>
      <c r="H1174" s="49"/>
      <c r="I1174" s="49"/>
      <c r="L1174" s="78"/>
      <c r="M1174" s="53"/>
    </row>
    <row r="1175" spans="1:15" x14ac:dyDescent="0.25">
      <c r="A1175" s="21" t="str">
        <f>IF(C1175="","",COUNTA($C$3:C1175))</f>
        <v/>
      </c>
      <c r="B1175" s="35" t="str">
        <f t="shared" si="34"/>
        <v/>
      </c>
      <c r="C1175" s="33"/>
      <c r="E1175" s="60"/>
      <c r="F1175" s="52"/>
      <c r="G1175" s="18"/>
      <c r="H1175" s="49"/>
      <c r="I1175" s="49"/>
      <c r="L1175" s="62"/>
      <c r="M1175" s="53"/>
    </row>
    <row r="1176" spans="1:15" x14ac:dyDescent="0.25">
      <c r="A1176" s="21" t="str">
        <f>IF(C1176="","",COUNTA($C$3:C1176))</f>
        <v/>
      </c>
      <c r="B1176" s="35" t="str">
        <f t="shared" si="34"/>
        <v/>
      </c>
      <c r="C1176" s="33"/>
      <c r="E1176" s="60"/>
      <c r="F1176" s="52"/>
      <c r="G1176" s="18"/>
      <c r="H1176" s="49"/>
      <c r="I1176" s="49"/>
      <c r="L1176" s="62"/>
      <c r="M1176" s="53"/>
    </row>
    <row r="1177" spans="1:15" x14ac:dyDescent="0.25">
      <c r="A1177" s="21" t="str">
        <f>IF(C1177="","",COUNTA($C$3:C1177))</f>
        <v/>
      </c>
      <c r="B1177" s="35" t="str">
        <f t="shared" si="34"/>
        <v/>
      </c>
      <c r="C1177" s="33"/>
      <c r="E1177" s="60"/>
      <c r="F1177" s="52"/>
      <c r="G1177" s="18"/>
      <c r="H1177" s="49"/>
      <c r="I1177" s="49"/>
      <c r="L1177" s="62"/>
      <c r="M1177" s="53"/>
      <c r="O1177" s="59"/>
    </row>
    <row r="1178" spans="1:15" x14ac:dyDescent="0.25">
      <c r="A1178" s="21" t="str">
        <f>IF(C1178="","",COUNTA($C$3:C1178))</f>
        <v/>
      </c>
      <c r="B1178" s="35" t="str">
        <f t="shared" si="34"/>
        <v/>
      </c>
      <c r="C1178" s="33"/>
      <c r="E1178" s="60"/>
      <c r="F1178" s="52"/>
      <c r="G1178" s="18"/>
      <c r="H1178" s="49"/>
      <c r="I1178" s="49"/>
      <c r="L1178" s="78"/>
      <c r="M1178" s="53"/>
      <c r="O1178" s="59"/>
    </row>
    <row r="1179" spans="1:15" x14ac:dyDescent="0.25">
      <c r="A1179" s="21" t="str">
        <f>IF(C1179="","",COUNTA($C$3:C1179))</f>
        <v/>
      </c>
      <c r="B1179" s="35" t="str">
        <f t="shared" si="34"/>
        <v/>
      </c>
      <c r="C1179" s="33"/>
      <c r="E1179" s="60"/>
      <c r="F1179" s="52"/>
      <c r="G1179" s="18"/>
      <c r="H1179" s="49"/>
      <c r="I1179" s="49"/>
      <c r="L1179" s="78"/>
      <c r="M1179" s="53"/>
      <c r="O1179" s="59"/>
    </row>
    <row r="1180" spans="1:15" x14ac:dyDescent="0.25">
      <c r="A1180" s="21" t="str">
        <f>IF(C1180="","",COUNTA($C$3:C1180))</f>
        <v/>
      </c>
      <c r="B1180" s="35" t="str">
        <f t="shared" si="34"/>
        <v/>
      </c>
      <c r="C1180" s="33"/>
      <c r="E1180" s="60"/>
      <c r="F1180" s="52"/>
      <c r="G1180" s="18"/>
      <c r="H1180" s="49"/>
      <c r="I1180" s="49"/>
      <c r="L1180" s="53"/>
      <c r="M1180" s="53"/>
      <c r="O1180" s="59"/>
    </row>
    <row r="1181" spans="1:15" x14ac:dyDescent="0.25">
      <c r="A1181" s="21" t="str">
        <f>IF(C1181="","",COUNTA($C$3:C1181))</f>
        <v/>
      </c>
      <c r="B1181" s="35" t="str">
        <f t="shared" si="34"/>
        <v/>
      </c>
      <c r="C1181" s="33"/>
      <c r="E1181" s="60"/>
      <c r="F1181" s="52"/>
      <c r="G1181" s="18"/>
      <c r="H1181" s="49"/>
      <c r="I1181" s="49"/>
      <c r="L1181" s="53"/>
      <c r="M1181" s="53"/>
      <c r="O1181" s="59"/>
    </row>
    <row r="1182" spans="1:15" x14ac:dyDescent="0.25">
      <c r="A1182" s="21" t="str">
        <f>IF(C1182="","",COUNTA($C$3:C1182))</f>
        <v/>
      </c>
      <c r="B1182" s="35" t="str">
        <f t="shared" si="34"/>
        <v/>
      </c>
      <c r="C1182" s="33"/>
      <c r="E1182" s="60"/>
      <c r="F1182" s="52"/>
      <c r="G1182" s="18"/>
      <c r="H1182" s="49"/>
      <c r="I1182" s="49"/>
      <c r="L1182" s="78"/>
      <c r="M1182" s="53"/>
      <c r="O1182" s="59"/>
    </row>
    <row r="1183" spans="1:15" x14ac:dyDescent="0.25">
      <c r="A1183" s="21" t="str">
        <f>IF(C1183="","",COUNTA($C$3:C1183))</f>
        <v/>
      </c>
      <c r="B1183" s="35" t="str">
        <f t="shared" si="34"/>
        <v/>
      </c>
      <c r="C1183" s="33"/>
      <c r="E1183" s="60"/>
      <c r="F1183" s="52"/>
      <c r="G1183" s="18"/>
      <c r="H1183" s="49"/>
      <c r="I1183" s="49"/>
      <c r="L1183" s="62"/>
      <c r="M1183" s="53"/>
      <c r="O1183" s="54"/>
    </row>
    <row r="1184" spans="1:15" x14ac:dyDescent="0.25">
      <c r="A1184" s="21" t="str">
        <f>IF(C1184="","",COUNTA($C$3:C1184))</f>
        <v/>
      </c>
      <c r="B1184" s="35" t="str">
        <f t="shared" si="34"/>
        <v/>
      </c>
      <c r="C1184" s="33"/>
      <c r="E1184" s="60"/>
      <c r="F1184" s="52"/>
      <c r="G1184" s="18"/>
      <c r="H1184" s="49"/>
      <c r="I1184" s="49"/>
      <c r="K1184" s="55"/>
      <c r="M1184" s="53"/>
    </row>
    <row r="1185" spans="1:17" x14ac:dyDescent="0.25">
      <c r="A1185" s="21" t="str">
        <f>IF(C1185="","",COUNTA($C$3:C1185))</f>
        <v/>
      </c>
      <c r="B1185" s="35" t="str">
        <f t="shared" si="34"/>
        <v/>
      </c>
      <c r="C1185" s="33"/>
      <c r="E1185" s="60"/>
      <c r="F1185" s="52"/>
      <c r="G1185" s="18"/>
      <c r="H1185" s="49"/>
      <c r="I1185" s="49"/>
      <c r="L1185" s="62"/>
      <c r="M1185" s="53"/>
    </row>
    <row r="1186" spans="1:17" x14ac:dyDescent="0.25">
      <c r="A1186" s="21" t="str">
        <f>IF(C1186="","",COUNTA($C$3:C1186))</f>
        <v/>
      </c>
      <c r="B1186" s="35" t="str">
        <f t="shared" si="34"/>
        <v/>
      </c>
      <c r="C1186" s="33"/>
      <c r="E1186" s="60"/>
      <c r="F1186" s="52"/>
      <c r="G1186" s="18"/>
      <c r="H1186" s="49"/>
      <c r="I1186" s="76"/>
      <c r="L1186" s="62"/>
      <c r="M1186" s="53"/>
    </row>
    <row r="1187" spans="1:17" x14ac:dyDescent="0.25">
      <c r="A1187" s="21" t="str">
        <f>IF(C1187="","",COUNTA($C$3:C1187))</f>
        <v/>
      </c>
      <c r="B1187" s="35" t="str">
        <f t="shared" si="34"/>
        <v/>
      </c>
      <c r="C1187" s="33"/>
      <c r="E1187" s="60"/>
      <c r="F1187" s="52"/>
      <c r="G1187" s="18"/>
      <c r="H1187" s="49"/>
      <c r="I1187" s="49"/>
      <c r="L1187" s="62"/>
      <c r="M1187" s="53"/>
    </row>
    <row r="1188" spans="1:17" x14ac:dyDescent="0.25">
      <c r="A1188" s="21" t="str">
        <f>IF(C1188="","",COUNTA($C$3:C1188))</f>
        <v/>
      </c>
      <c r="B1188" s="35" t="str">
        <f t="shared" si="34"/>
        <v/>
      </c>
      <c r="C1188" s="33"/>
      <c r="E1188" s="60"/>
      <c r="F1188" s="52"/>
      <c r="G1188" s="18"/>
      <c r="H1188" s="49"/>
      <c r="I1188" s="49"/>
      <c r="L1188" s="53"/>
      <c r="M1188" s="53"/>
    </row>
    <row r="1189" spans="1:17" x14ac:dyDescent="0.25">
      <c r="A1189" s="21" t="str">
        <f>IF(C1189="","",COUNTA($C$3:C1189))</f>
        <v/>
      </c>
      <c r="B1189" s="35" t="str">
        <f t="shared" si="34"/>
        <v/>
      </c>
      <c r="C1189" s="33"/>
      <c r="E1189" s="60"/>
      <c r="F1189" s="52"/>
      <c r="G1189" s="18"/>
      <c r="H1189" s="49"/>
      <c r="I1189" s="49"/>
      <c r="L1189" s="53"/>
      <c r="M1189" s="53"/>
    </row>
    <row r="1190" spans="1:17" x14ac:dyDescent="0.25">
      <c r="A1190" s="21" t="str">
        <f>IF(C1190="","",COUNTA($C$3:C1190))</f>
        <v/>
      </c>
      <c r="B1190" s="35" t="str">
        <f t="shared" si="34"/>
        <v/>
      </c>
      <c r="C1190" s="33"/>
      <c r="E1190" s="60"/>
      <c r="F1190" s="52"/>
      <c r="G1190" s="18"/>
      <c r="H1190" s="49"/>
      <c r="I1190" s="49"/>
      <c r="L1190" s="62"/>
      <c r="M1190" s="53"/>
    </row>
    <row r="1191" spans="1:17" x14ac:dyDescent="0.25">
      <c r="A1191" s="21" t="str">
        <f>IF(C1191="","",COUNTA($C$3:C1191))</f>
        <v/>
      </c>
      <c r="B1191" s="35" t="str">
        <f t="shared" si="34"/>
        <v/>
      </c>
      <c r="C1191" s="33"/>
      <c r="E1191" s="60"/>
      <c r="F1191" s="52"/>
      <c r="G1191" s="18"/>
      <c r="H1191" s="49"/>
      <c r="I1191" s="49"/>
      <c r="L1191" s="62"/>
      <c r="M1191" s="53"/>
    </row>
    <row r="1192" spans="1:17" x14ac:dyDescent="0.25">
      <c r="A1192" s="21" t="str">
        <f>IF(C1192="","",COUNTA($C$3:C1192))</f>
        <v/>
      </c>
      <c r="B1192" s="35" t="str">
        <f t="shared" si="34"/>
        <v/>
      </c>
      <c r="C1192" s="33"/>
      <c r="E1192" s="60"/>
      <c r="F1192" s="52"/>
      <c r="G1192" s="18"/>
      <c r="H1192" s="49"/>
      <c r="I1192" s="49"/>
      <c r="L1192" s="62"/>
      <c r="M1192" s="53"/>
    </row>
    <row r="1193" spans="1:17" x14ac:dyDescent="0.25">
      <c r="A1193" s="21" t="str">
        <f>IF(C1193="","",COUNTA($C$3:C1193))</f>
        <v/>
      </c>
      <c r="B1193" s="35" t="str">
        <f t="shared" si="34"/>
        <v/>
      </c>
      <c r="C1193" s="33"/>
      <c r="E1193" s="60"/>
      <c r="F1193" s="52"/>
      <c r="G1193" s="18"/>
      <c r="H1193" s="49"/>
      <c r="I1193" s="49"/>
      <c r="L1193" s="53"/>
      <c r="M1193" s="53"/>
    </row>
    <row r="1194" spans="1:17" x14ac:dyDescent="0.25">
      <c r="A1194" s="21" t="str">
        <f>IF(C1194="","",COUNTA($C$3:C1194))</f>
        <v/>
      </c>
      <c r="B1194" s="35" t="str">
        <f t="shared" si="34"/>
        <v/>
      </c>
      <c r="C1194" s="33"/>
      <c r="E1194" s="60"/>
      <c r="F1194" s="52"/>
      <c r="G1194" s="18"/>
      <c r="H1194" s="49"/>
      <c r="I1194" s="49"/>
      <c r="L1194" s="62"/>
      <c r="M1194" s="53"/>
      <c r="P1194" s="59"/>
    </row>
    <row r="1195" spans="1:17" x14ac:dyDescent="0.25">
      <c r="A1195" s="21" t="str">
        <f>IF(C1195="","",COUNTA($C$3:C1195))</f>
        <v/>
      </c>
      <c r="B1195" s="35" t="str">
        <f t="shared" si="34"/>
        <v/>
      </c>
      <c r="C1195" s="33"/>
      <c r="E1195" s="60"/>
      <c r="F1195" s="52"/>
      <c r="G1195" s="18"/>
      <c r="H1195" s="49"/>
      <c r="I1195" s="49"/>
      <c r="L1195" s="62"/>
      <c r="M1195" s="53"/>
    </row>
    <row r="1196" spans="1:17" x14ac:dyDescent="0.25">
      <c r="A1196" s="21" t="str">
        <f>IF(C1196="","",COUNTA($C$3:C1196))</f>
        <v/>
      </c>
      <c r="B1196" s="35" t="str">
        <f t="shared" si="34"/>
        <v/>
      </c>
      <c r="C1196" s="33"/>
      <c r="E1196" s="60"/>
      <c r="F1196" s="52"/>
      <c r="G1196" s="18"/>
      <c r="H1196" s="49"/>
      <c r="I1196" s="49"/>
      <c r="L1196" s="62"/>
      <c r="M1196" s="53"/>
    </row>
    <row r="1197" spans="1:17" x14ac:dyDescent="0.25">
      <c r="A1197" s="21" t="str">
        <f>IF(C1197="","",COUNTA($C$3:C1197))</f>
        <v/>
      </c>
      <c r="B1197" s="35" t="str">
        <f t="shared" si="34"/>
        <v/>
      </c>
      <c r="C1197" s="33"/>
      <c r="E1197" s="60"/>
      <c r="F1197" s="52"/>
      <c r="G1197" s="18"/>
      <c r="H1197" s="49"/>
      <c r="I1197" s="49"/>
      <c r="L1197" s="62"/>
      <c r="M1197" s="53"/>
    </row>
    <row r="1198" spans="1:17" x14ac:dyDescent="0.25">
      <c r="A1198" s="21" t="str">
        <f>IF(C1198="","",COUNTA($C$3:C1198))</f>
        <v/>
      </c>
      <c r="B1198" s="35" t="str">
        <f t="shared" si="34"/>
        <v/>
      </c>
      <c r="C1198" s="33"/>
      <c r="E1198" s="60"/>
      <c r="F1198" s="52"/>
      <c r="G1198" s="18"/>
      <c r="H1198" s="49"/>
      <c r="I1198" s="49"/>
      <c r="L1198" s="53"/>
      <c r="M1198" s="53"/>
    </row>
    <row r="1199" spans="1:17" x14ac:dyDescent="0.25">
      <c r="A1199" s="21" t="str">
        <f>IF(C1199="","",COUNTA($C$3:C1199))</f>
        <v/>
      </c>
      <c r="B1199" s="35" t="str">
        <f t="shared" si="34"/>
        <v/>
      </c>
      <c r="C1199" s="33"/>
      <c r="E1199" s="60"/>
      <c r="F1199" s="52"/>
      <c r="G1199" s="18"/>
      <c r="H1199" s="49"/>
      <c r="I1199" s="49"/>
      <c r="L1199" s="53"/>
      <c r="M1199" s="53"/>
    </row>
    <row r="1200" spans="1:17" x14ac:dyDescent="0.25">
      <c r="A1200" s="21" t="str">
        <f>IF(C1200="","",COUNTA($C$3:C1200))</f>
        <v/>
      </c>
      <c r="B1200" s="35" t="str">
        <f t="shared" si="34"/>
        <v/>
      </c>
      <c r="C1200" s="33"/>
      <c r="E1200" s="60"/>
      <c r="F1200" s="52"/>
      <c r="G1200" s="18"/>
      <c r="H1200" s="49"/>
      <c r="I1200" s="49"/>
      <c r="L1200" s="78"/>
      <c r="M1200" s="53"/>
      <c r="O1200" s="59"/>
      <c r="P1200" s="59"/>
      <c r="Q1200" s="59"/>
    </row>
    <row r="1201" spans="1:13" x14ac:dyDescent="0.25">
      <c r="A1201" s="21" t="str">
        <f>IF(C1201="","",COUNTA($C$3:C1201))</f>
        <v/>
      </c>
      <c r="B1201" s="35" t="str">
        <f t="shared" si="34"/>
        <v/>
      </c>
      <c r="C1201" s="33"/>
      <c r="E1201" s="60"/>
      <c r="F1201" s="52"/>
      <c r="G1201" s="18"/>
      <c r="H1201" s="49"/>
      <c r="I1201" s="49"/>
      <c r="K1201" s="55"/>
      <c r="L1201" s="62"/>
      <c r="M1201" s="53"/>
    </row>
    <row r="1202" spans="1:13" x14ac:dyDescent="0.25">
      <c r="A1202" s="21" t="str">
        <f>IF(C1202="","",COUNTA($C$3:C1202))</f>
        <v/>
      </c>
      <c r="B1202" s="35" t="str">
        <f t="shared" si="34"/>
        <v/>
      </c>
      <c r="C1202" s="33"/>
      <c r="E1202" s="60"/>
      <c r="F1202" s="52"/>
      <c r="G1202" s="18"/>
      <c r="H1202" s="49"/>
      <c r="I1202" s="49"/>
      <c r="L1202" s="62"/>
      <c r="M1202" s="53"/>
    </row>
    <row r="1203" spans="1:13" x14ac:dyDescent="0.25">
      <c r="A1203" s="21" t="str">
        <f>IF(C1203="","",COUNTA($C$3:C1203))</f>
        <v/>
      </c>
      <c r="B1203" s="35" t="str">
        <f t="shared" si="34"/>
        <v/>
      </c>
      <c r="C1203" s="33"/>
      <c r="E1203" s="60"/>
      <c r="F1203" s="52"/>
      <c r="G1203" s="18"/>
      <c r="H1203" s="49"/>
      <c r="I1203" s="49"/>
      <c r="L1203" s="62"/>
      <c r="M1203" s="53"/>
    </row>
    <row r="1204" spans="1:13" x14ac:dyDescent="0.25">
      <c r="A1204" s="21" t="str">
        <f>IF(C1204="","",COUNTA($C$3:C1204))</f>
        <v/>
      </c>
      <c r="B1204" s="35" t="str">
        <f t="shared" si="34"/>
        <v/>
      </c>
      <c r="C1204" s="33"/>
      <c r="E1204" s="60"/>
      <c r="F1204" s="52"/>
      <c r="G1204" s="18"/>
      <c r="H1204" s="49"/>
      <c r="I1204" s="49"/>
      <c r="L1204" s="78"/>
      <c r="M1204" s="53"/>
    </row>
    <row r="1205" spans="1:13" x14ac:dyDescent="0.25">
      <c r="A1205" s="21" t="str">
        <f>IF(C1205="","",COUNTA($C$3:C1205))</f>
        <v/>
      </c>
      <c r="B1205" s="35" t="str">
        <f t="shared" si="34"/>
        <v/>
      </c>
      <c r="C1205" s="33"/>
      <c r="E1205" s="60"/>
      <c r="F1205" s="52"/>
      <c r="G1205" s="18"/>
      <c r="H1205" s="49"/>
      <c r="I1205" s="49"/>
      <c r="L1205" s="78"/>
      <c r="M1205" s="53"/>
    </row>
    <row r="1206" spans="1:13" x14ac:dyDescent="0.25">
      <c r="A1206" s="21" t="str">
        <f>IF(C1206="","",COUNTA($C$3:C1206))</f>
        <v/>
      </c>
      <c r="B1206" s="35" t="str">
        <f t="shared" si="34"/>
        <v/>
      </c>
      <c r="C1206" s="33"/>
      <c r="E1206" s="60"/>
      <c r="F1206" s="52"/>
      <c r="G1206" s="18"/>
      <c r="H1206" s="49"/>
      <c r="I1206" s="49"/>
      <c r="L1206" s="62"/>
      <c r="M1206" s="53"/>
    </row>
    <row r="1207" spans="1:13" x14ac:dyDescent="0.25">
      <c r="A1207" s="21" t="str">
        <f>IF(C1207="","",COUNTA($C$3:C1207))</f>
        <v/>
      </c>
      <c r="B1207" s="35" t="str">
        <f t="shared" si="34"/>
        <v/>
      </c>
      <c r="C1207" s="33"/>
      <c r="E1207" s="60"/>
      <c r="F1207" s="52"/>
      <c r="G1207" s="18"/>
      <c r="H1207" s="49"/>
      <c r="I1207" s="49"/>
      <c r="L1207" s="62"/>
      <c r="M1207" s="53"/>
    </row>
    <row r="1208" spans="1:13" x14ac:dyDescent="0.25">
      <c r="A1208" s="21" t="str">
        <f>IF(C1208="","",COUNTA($C$3:C1208))</f>
        <v/>
      </c>
      <c r="B1208" s="35" t="str">
        <f t="shared" si="34"/>
        <v/>
      </c>
      <c r="C1208" s="33"/>
      <c r="E1208" s="60"/>
      <c r="F1208" s="52"/>
      <c r="G1208" s="18"/>
      <c r="H1208" s="49"/>
      <c r="I1208" s="49"/>
      <c r="L1208" s="62"/>
      <c r="M1208" s="53"/>
    </row>
    <row r="1209" spans="1:13" x14ac:dyDescent="0.25">
      <c r="A1209" s="21" t="str">
        <f>IF(C1209="","",COUNTA($C$3:C1209))</f>
        <v/>
      </c>
      <c r="B1209" s="35" t="str">
        <f t="shared" si="34"/>
        <v/>
      </c>
      <c r="C1209" s="33"/>
      <c r="E1209" s="60"/>
      <c r="F1209" s="52"/>
      <c r="G1209" s="18"/>
      <c r="H1209" s="49"/>
      <c r="I1209" s="49"/>
      <c r="L1209" s="78"/>
      <c r="M1209" s="53"/>
    </row>
    <row r="1210" spans="1:13" x14ac:dyDescent="0.25">
      <c r="A1210" s="21" t="str">
        <f>IF(C1210="","",COUNTA($C$3:C1210))</f>
        <v/>
      </c>
      <c r="B1210" s="35" t="str">
        <f t="shared" si="34"/>
        <v/>
      </c>
      <c r="C1210" s="33"/>
      <c r="E1210" s="60"/>
      <c r="F1210" s="52"/>
      <c r="G1210" s="18"/>
      <c r="H1210" s="49"/>
      <c r="I1210" s="49"/>
      <c r="L1210" s="62"/>
      <c r="M1210" s="53"/>
    </row>
    <row r="1211" spans="1:13" x14ac:dyDescent="0.25">
      <c r="A1211" s="21" t="str">
        <f>IF(C1211="","",COUNTA($C$3:C1211))</f>
        <v/>
      </c>
      <c r="B1211" s="35" t="str">
        <f t="shared" si="34"/>
        <v/>
      </c>
      <c r="C1211" s="33"/>
      <c r="E1211" s="60"/>
      <c r="F1211" s="52"/>
      <c r="G1211" s="18"/>
      <c r="H1211" s="49"/>
      <c r="I1211" s="49"/>
      <c r="L1211" s="78"/>
      <c r="M1211" s="53"/>
    </row>
    <row r="1212" spans="1:13" x14ac:dyDescent="0.25">
      <c r="A1212" s="21" t="str">
        <f>IF(C1212="","",COUNTA($C$3:C1212))</f>
        <v/>
      </c>
      <c r="B1212" s="35" t="str">
        <f t="shared" si="34"/>
        <v/>
      </c>
      <c r="C1212" s="33"/>
      <c r="E1212" s="60"/>
      <c r="F1212" s="52"/>
      <c r="G1212" s="18"/>
      <c r="H1212" s="49"/>
      <c r="I1212" s="49"/>
      <c r="L1212" s="62"/>
      <c r="M1212" s="53"/>
    </row>
    <row r="1213" spans="1:13" x14ac:dyDescent="0.25">
      <c r="A1213" s="21" t="str">
        <f>IF(C1213="","",COUNTA($C$3:C1213))</f>
        <v/>
      </c>
      <c r="B1213" s="35" t="str">
        <f t="shared" si="34"/>
        <v/>
      </c>
      <c r="C1213" s="33"/>
      <c r="E1213" s="60"/>
      <c r="F1213" s="52"/>
      <c r="G1213" s="18"/>
      <c r="H1213" s="49"/>
      <c r="I1213" s="49"/>
      <c r="L1213" s="53"/>
      <c r="M1213" s="53"/>
    </row>
    <row r="1214" spans="1:13" x14ac:dyDescent="0.25">
      <c r="A1214" s="21" t="str">
        <f>IF(C1214="","",COUNTA($C$3:C1214))</f>
        <v/>
      </c>
      <c r="B1214" s="35" t="str">
        <f t="shared" si="34"/>
        <v/>
      </c>
      <c r="C1214" s="33"/>
      <c r="E1214" s="60"/>
      <c r="F1214" s="52"/>
      <c r="G1214" s="18"/>
      <c r="H1214" s="49"/>
      <c r="I1214" s="49"/>
      <c r="L1214" s="53"/>
      <c r="M1214" s="53"/>
    </row>
    <row r="1215" spans="1:13" x14ac:dyDescent="0.25">
      <c r="A1215" s="21" t="str">
        <f>IF(C1215="","",COUNTA($C$3:C1215))</f>
        <v/>
      </c>
      <c r="B1215" s="35" t="str">
        <f t="shared" si="34"/>
        <v/>
      </c>
      <c r="C1215" s="33"/>
      <c r="E1215" s="60"/>
      <c r="F1215" s="52"/>
      <c r="G1215" s="18"/>
      <c r="H1215" s="49"/>
      <c r="I1215" s="49"/>
      <c r="K1215" s="55"/>
      <c r="M1215" s="53"/>
    </row>
    <row r="1216" spans="1:13" x14ac:dyDescent="0.25">
      <c r="A1216" s="21" t="str">
        <f>IF(C1216="","",COUNTA($C$3:C1216))</f>
        <v/>
      </c>
      <c r="B1216" s="35" t="str">
        <f t="shared" si="34"/>
        <v/>
      </c>
      <c r="C1216" s="33"/>
      <c r="E1216" s="60"/>
      <c r="F1216" s="52"/>
      <c r="G1216" s="18"/>
      <c r="H1216" s="49"/>
      <c r="I1216" s="49"/>
      <c r="L1216" s="62"/>
      <c r="M1216" s="53"/>
    </row>
    <row r="1217" spans="1:15" x14ac:dyDescent="0.25">
      <c r="A1217" s="21" t="str">
        <f>IF(C1217="","",COUNTA($C$3:C1217))</f>
        <v/>
      </c>
      <c r="B1217" s="35" t="str">
        <f t="shared" si="34"/>
        <v/>
      </c>
      <c r="C1217" s="33"/>
      <c r="E1217" s="60"/>
      <c r="F1217" s="52"/>
      <c r="G1217" s="18"/>
      <c r="H1217" s="49"/>
      <c r="I1217" s="49"/>
      <c r="L1217" s="62"/>
      <c r="M1217" s="53"/>
    </row>
    <row r="1218" spans="1:15" x14ac:dyDescent="0.25">
      <c r="A1218" s="21" t="str">
        <f>IF(C1218="","",COUNTA($C$3:C1218))</f>
        <v/>
      </c>
      <c r="B1218" s="35" t="str">
        <f t="shared" si="34"/>
        <v/>
      </c>
      <c r="C1218" s="33"/>
      <c r="E1218" s="60"/>
      <c r="F1218" s="52"/>
      <c r="G1218" s="18"/>
      <c r="H1218" s="49"/>
      <c r="I1218" s="49"/>
      <c r="L1218" s="53"/>
      <c r="M1218" s="53"/>
    </row>
    <row r="1219" spans="1:15" x14ac:dyDescent="0.25">
      <c r="A1219" s="21" t="str">
        <f>IF(C1219="","",COUNTA($C$3:C1219))</f>
        <v/>
      </c>
      <c r="B1219" s="35" t="str">
        <f t="shared" si="34"/>
        <v/>
      </c>
      <c r="C1219" s="33"/>
      <c r="E1219" s="60"/>
      <c r="F1219" s="52"/>
      <c r="G1219" s="18"/>
      <c r="H1219" s="49"/>
      <c r="I1219" s="49"/>
      <c r="L1219" s="53"/>
      <c r="M1219" s="53"/>
    </row>
    <row r="1220" spans="1:15" x14ac:dyDescent="0.25">
      <c r="A1220" s="21" t="str">
        <f>IF(C1220="","",COUNTA($C$3:C1220))</f>
        <v/>
      </c>
      <c r="B1220" s="35" t="str">
        <f t="shared" si="34"/>
        <v/>
      </c>
      <c r="C1220" s="33"/>
      <c r="E1220" s="60"/>
      <c r="F1220" s="52"/>
      <c r="G1220" s="18"/>
      <c r="H1220" s="49"/>
      <c r="I1220" s="49"/>
      <c r="K1220" s="55"/>
      <c r="M1220" s="53"/>
    </row>
    <row r="1221" spans="1:15" x14ac:dyDescent="0.25">
      <c r="A1221" s="21" t="str">
        <f>IF(C1221="","",COUNTA($C$3:C1221))</f>
        <v/>
      </c>
      <c r="B1221" s="35" t="str">
        <f t="shared" ref="B1221:B1284" si="35">IF(C1221="","",TEXT(C1221,"mmmm"))</f>
        <v/>
      </c>
      <c r="C1221" s="33"/>
      <c r="E1221" s="60"/>
      <c r="F1221" s="52"/>
      <c r="G1221" s="18"/>
      <c r="H1221" s="49"/>
      <c r="I1221" s="49"/>
      <c r="K1221" s="55"/>
      <c r="M1221" s="53"/>
    </row>
    <row r="1222" spans="1:15" x14ac:dyDescent="0.25">
      <c r="A1222" s="21" t="str">
        <f>IF(C1222="","",COUNTA($C$3:C1222))</f>
        <v/>
      </c>
      <c r="B1222" s="35" t="str">
        <f t="shared" si="35"/>
        <v/>
      </c>
      <c r="C1222" s="33"/>
      <c r="E1222" s="60"/>
      <c r="F1222" s="52"/>
      <c r="G1222" s="18"/>
      <c r="H1222" s="49"/>
      <c r="I1222" s="49"/>
      <c r="L1222" s="62"/>
      <c r="M1222" s="53"/>
    </row>
    <row r="1223" spans="1:15" x14ac:dyDescent="0.25">
      <c r="A1223" s="21" t="str">
        <f>IF(C1223="","",COUNTA($C$3:C1223))</f>
        <v/>
      </c>
      <c r="B1223" s="35" t="str">
        <f t="shared" si="35"/>
        <v/>
      </c>
      <c r="C1223" s="33"/>
      <c r="E1223" s="60"/>
      <c r="F1223" s="52"/>
      <c r="G1223" s="18"/>
      <c r="H1223" s="49"/>
      <c r="I1223" s="49"/>
      <c r="L1223" s="53"/>
      <c r="M1223" s="53"/>
    </row>
    <row r="1224" spans="1:15" x14ac:dyDescent="0.25">
      <c r="A1224" s="21" t="str">
        <f>IF(C1224="","",COUNTA($C$3:C1224))</f>
        <v/>
      </c>
      <c r="B1224" s="35" t="str">
        <f t="shared" si="35"/>
        <v/>
      </c>
      <c r="C1224" s="33"/>
      <c r="E1224" s="60"/>
      <c r="F1224" s="52"/>
      <c r="G1224" s="18"/>
      <c r="H1224" s="49"/>
      <c r="I1224" s="49"/>
      <c r="L1224" s="53"/>
      <c r="M1224" s="53"/>
    </row>
    <row r="1225" spans="1:15" x14ac:dyDescent="0.25">
      <c r="A1225" s="21" t="str">
        <f>IF(C1225="","",COUNTA($C$3:C1225))</f>
        <v/>
      </c>
      <c r="B1225" s="35" t="str">
        <f t="shared" si="35"/>
        <v/>
      </c>
      <c r="C1225" s="33"/>
      <c r="E1225" s="60"/>
      <c r="F1225" s="52"/>
      <c r="G1225" s="18"/>
      <c r="H1225" s="49"/>
      <c r="I1225" s="76"/>
      <c r="L1225" s="62"/>
      <c r="M1225" s="53"/>
    </row>
    <row r="1226" spans="1:15" x14ac:dyDescent="0.25">
      <c r="A1226" s="21" t="str">
        <f>IF(C1226="","",COUNTA($C$3:C1226))</f>
        <v/>
      </c>
      <c r="B1226" s="35" t="str">
        <f t="shared" si="35"/>
        <v/>
      </c>
      <c r="C1226" s="33"/>
      <c r="E1226" s="60"/>
      <c r="F1226" s="52"/>
      <c r="G1226" s="18"/>
      <c r="H1226" s="49"/>
      <c r="I1226" s="49"/>
      <c r="L1226" s="62"/>
      <c r="M1226" s="53"/>
      <c r="O1226" s="59"/>
    </row>
    <row r="1227" spans="1:15" x14ac:dyDescent="0.25">
      <c r="A1227" s="21" t="str">
        <f>IF(C1227="","",COUNTA($C$3:C1227))</f>
        <v/>
      </c>
      <c r="B1227" s="35" t="str">
        <f t="shared" si="35"/>
        <v/>
      </c>
      <c r="C1227" s="33"/>
      <c r="E1227" s="60"/>
      <c r="F1227" s="52"/>
      <c r="G1227" s="18"/>
      <c r="H1227" s="49"/>
      <c r="I1227" s="49"/>
      <c r="L1227" s="62"/>
      <c r="M1227" s="53"/>
    </row>
    <row r="1228" spans="1:15" x14ac:dyDescent="0.25">
      <c r="A1228" s="21" t="str">
        <f>IF(C1228="","",COUNTA($C$3:C1228))</f>
        <v/>
      </c>
      <c r="B1228" s="35" t="str">
        <f t="shared" si="35"/>
        <v/>
      </c>
      <c r="C1228" s="33"/>
      <c r="E1228" s="60"/>
      <c r="F1228" s="52"/>
      <c r="G1228" s="18"/>
      <c r="H1228" s="49"/>
      <c r="I1228" s="49"/>
      <c r="L1228" s="62"/>
      <c r="M1228" s="53"/>
    </row>
    <row r="1229" spans="1:15" x14ac:dyDescent="0.25">
      <c r="A1229" s="21" t="str">
        <f>IF(C1229="","",COUNTA($C$3:C1229))</f>
        <v/>
      </c>
      <c r="B1229" s="35" t="str">
        <f t="shared" si="35"/>
        <v/>
      </c>
      <c r="C1229" s="33"/>
      <c r="E1229" s="60"/>
      <c r="F1229" s="52"/>
      <c r="G1229" s="18"/>
      <c r="H1229" s="49"/>
      <c r="I1229" s="49"/>
      <c r="K1229" s="67"/>
      <c r="L1229" s="62"/>
      <c r="M1229" s="53"/>
    </row>
    <row r="1230" spans="1:15" x14ac:dyDescent="0.25">
      <c r="A1230" s="21" t="str">
        <f>IF(C1230="","",COUNTA($C$3:C1230))</f>
        <v/>
      </c>
      <c r="B1230" s="35" t="str">
        <f t="shared" si="35"/>
        <v/>
      </c>
      <c r="C1230" s="33"/>
      <c r="E1230" s="60"/>
      <c r="F1230" s="52"/>
      <c r="G1230" s="18"/>
      <c r="H1230" s="49"/>
      <c r="I1230" s="49"/>
      <c r="L1230" s="62"/>
      <c r="M1230" s="53"/>
    </row>
    <row r="1231" spans="1:15" x14ac:dyDescent="0.25">
      <c r="A1231" s="21" t="str">
        <f>IF(C1231="","",COUNTA($C$3:C1231))</f>
        <v/>
      </c>
      <c r="B1231" s="35" t="str">
        <f t="shared" si="35"/>
        <v/>
      </c>
      <c r="C1231" s="33"/>
      <c r="E1231" s="60"/>
      <c r="F1231" s="52"/>
      <c r="G1231" s="18"/>
      <c r="H1231" s="49"/>
      <c r="I1231" s="76"/>
      <c r="K1231" s="55"/>
      <c r="M1231" s="53"/>
    </row>
    <row r="1232" spans="1:15" x14ac:dyDescent="0.25">
      <c r="A1232" s="21" t="str">
        <f>IF(C1232="","",COUNTA($C$3:C1232))</f>
        <v/>
      </c>
      <c r="B1232" s="35" t="str">
        <f t="shared" si="35"/>
        <v/>
      </c>
      <c r="C1232" s="33"/>
      <c r="E1232" s="60"/>
      <c r="F1232" s="52"/>
      <c r="G1232" s="18"/>
      <c r="H1232" s="49"/>
      <c r="I1232" s="49"/>
      <c r="L1232" s="62"/>
      <c r="M1232" s="53"/>
    </row>
    <row r="1233" spans="1:18" x14ac:dyDescent="0.25">
      <c r="A1233" s="21" t="str">
        <f>IF(C1233="","",COUNTA($C$3:C1233))</f>
        <v/>
      </c>
      <c r="B1233" s="35" t="str">
        <f t="shared" si="35"/>
        <v/>
      </c>
      <c r="C1233" s="33"/>
      <c r="E1233" s="60"/>
      <c r="F1233" s="52"/>
      <c r="G1233" s="18"/>
      <c r="H1233" s="49"/>
      <c r="I1233" s="49"/>
      <c r="L1233" s="62"/>
      <c r="M1233" s="53"/>
    </row>
    <row r="1234" spans="1:18" x14ac:dyDescent="0.25">
      <c r="A1234" s="21" t="str">
        <f>IF(C1234="","",COUNTA($C$3:C1234))</f>
        <v/>
      </c>
      <c r="B1234" s="35" t="str">
        <f t="shared" si="35"/>
        <v/>
      </c>
      <c r="C1234" s="33"/>
      <c r="E1234" s="60"/>
      <c r="F1234" s="52"/>
      <c r="G1234" s="18"/>
      <c r="H1234" s="49"/>
      <c r="I1234" s="49"/>
      <c r="L1234" s="62"/>
      <c r="M1234" s="53"/>
    </row>
    <row r="1235" spans="1:18" x14ac:dyDescent="0.25">
      <c r="A1235" s="21" t="str">
        <f>IF(C1235="","",COUNTA($C$3:C1235))</f>
        <v/>
      </c>
      <c r="B1235" s="35" t="str">
        <f t="shared" si="35"/>
        <v/>
      </c>
      <c r="C1235" s="33"/>
      <c r="E1235" s="60"/>
      <c r="F1235" s="52"/>
      <c r="G1235" s="18"/>
      <c r="H1235" s="49"/>
      <c r="I1235" s="49"/>
      <c r="L1235" s="53"/>
      <c r="M1235" s="53"/>
      <c r="R1235" s="54"/>
    </row>
    <row r="1236" spans="1:18" x14ac:dyDescent="0.25">
      <c r="A1236" s="21" t="str">
        <f>IF(C1236="","",COUNTA($C$3:C1236))</f>
        <v/>
      </c>
      <c r="B1236" s="35" t="str">
        <f t="shared" si="35"/>
        <v/>
      </c>
      <c r="C1236" s="33"/>
      <c r="E1236" s="60"/>
      <c r="F1236" s="52"/>
      <c r="G1236" s="18"/>
      <c r="H1236" s="49"/>
      <c r="I1236" s="49"/>
      <c r="K1236" s="67"/>
      <c r="L1236" s="62"/>
      <c r="M1236" s="53"/>
      <c r="R1236" s="59"/>
    </row>
    <row r="1237" spans="1:18" x14ac:dyDescent="0.25">
      <c r="A1237" s="21" t="str">
        <f>IF(C1237="","",COUNTA($C$3:C1237))</f>
        <v/>
      </c>
      <c r="B1237" s="35" t="str">
        <f t="shared" si="35"/>
        <v/>
      </c>
      <c r="C1237" s="33"/>
      <c r="E1237" s="60"/>
      <c r="F1237" s="52"/>
      <c r="G1237" s="18"/>
      <c r="H1237" s="49"/>
      <c r="I1237" s="49"/>
      <c r="L1237" s="62"/>
      <c r="M1237" s="53"/>
    </row>
    <row r="1238" spans="1:18" x14ac:dyDescent="0.25">
      <c r="A1238" s="21" t="str">
        <f>IF(C1238="","",COUNTA($C$3:C1238))</f>
        <v/>
      </c>
      <c r="B1238" s="35" t="str">
        <f t="shared" si="35"/>
        <v/>
      </c>
      <c r="C1238" s="33"/>
      <c r="E1238" s="60"/>
      <c r="F1238" s="52"/>
      <c r="G1238" s="18"/>
      <c r="H1238" s="49"/>
      <c r="I1238" s="49"/>
      <c r="K1238" s="55"/>
      <c r="M1238" s="53"/>
      <c r="Q1238" s="59"/>
    </row>
    <row r="1239" spans="1:18" x14ac:dyDescent="0.25">
      <c r="A1239" s="21" t="str">
        <f>IF(C1239="","",COUNTA($C$3:C1239))</f>
        <v/>
      </c>
      <c r="B1239" s="35" t="str">
        <f t="shared" si="35"/>
        <v/>
      </c>
      <c r="C1239" s="33"/>
      <c r="E1239" s="60"/>
      <c r="F1239" s="52"/>
      <c r="G1239" s="18"/>
      <c r="H1239" s="49"/>
      <c r="I1239" s="49"/>
      <c r="L1239" s="62"/>
      <c r="M1239" s="53"/>
    </row>
    <row r="1240" spans="1:18" x14ac:dyDescent="0.25">
      <c r="A1240" s="21" t="str">
        <f>IF(C1240="","",COUNTA($C$3:C1240))</f>
        <v/>
      </c>
      <c r="B1240" s="35" t="str">
        <f t="shared" si="35"/>
        <v/>
      </c>
      <c r="C1240" s="33"/>
      <c r="E1240" s="60"/>
      <c r="F1240" s="52"/>
      <c r="G1240" s="18"/>
      <c r="H1240" s="49"/>
      <c r="I1240" s="49"/>
      <c r="L1240" s="53"/>
      <c r="M1240" s="53"/>
    </row>
    <row r="1241" spans="1:18" x14ac:dyDescent="0.25">
      <c r="A1241" s="21" t="str">
        <f>IF(C1241="","",COUNTA($C$3:C1241))</f>
        <v/>
      </c>
      <c r="B1241" s="35" t="str">
        <f t="shared" si="35"/>
        <v/>
      </c>
      <c r="C1241" s="33"/>
      <c r="E1241" s="60"/>
      <c r="F1241" s="52"/>
      <c r="G1241" s="18"/>
      <c r="H1241" s="49"/>
      <c r="I1241" s="49"/>
      <c r="L1241" s="62"/>
      <c r="M1241" s="53"/>
    </row>
    <row r="1242" spans="1:18" x14ac:dyDescent="0.25">
      <c r="A1242" s="21" t="str">
        <f>IF(C1242="","",COUNTA($C$3:C1242))</f>
        <v/>
      </c>
      <c r="B1242" s="35" t="str">
        <f t="shared" si="35"/>
        <v/>
      </c>
      <c r="C1242" s="33"/>
      <c r="E1242" s="60"/>
      <c r="F1242" s="52"/>
      <c r="G1242" s="18"/>
      <c r="H1242" s="49"/>
      <c r="I1242" s="49"/>
      <c r="L1242" s="62"/>
      <c r="M1242" s="53"/>
    </row>
    <row r="1243" spans="1:18" x14ac:dyDescent="0.25">
      <c r="A1243" s="21" t="str">
        <f>IF(C1243="","",COUNTA($C$3:C1243))</f>
        <v/>
      </c>
      <c r="B1243" s="35" t="str">
        <f t="shared" si="35"/>
        <v/>
      </c>
      <c r="C1243" s="33"/>
      <c r="E1243" s="60"/>
      <c r="F1243" s="52"/>
      <c r="G1243" s="18"/>
      <c r="H1243" s="49"/>
      <c r="I1243" s="49"/>
      <c r="L1243" s="62"/>
      <c r="M1243" s="53"/>
    </row>
    <row r="1244" spans="1:18" x14ac:dyDescent="0.25">
      <c r="A1244" s="21" t="str">
        <f>IF(C1244="","",COUNTA($C$3:C1244))</f>
        <v/>
      </c>
      <c r="B1244" s="35" t="str">
        <f t="shared" si="35"/>
        <v/>
      </c>
      <c r="C1244" s="33"/>
      <c r="E1244" s="60"/>
      <c r="F1244" s="52"/>
      <c r="G1244" s="18"/>
      <c r="H1244" s="49"/>
      <c r="I1244" s="49"/>
      <c r="L1244" s="62"/>
      <c r="M1244" s="53"/>
    </row>
    <row r="1245" spans="1:18" x14ac:dyDescent="0.25">
      <c r="A1245" s="21" t="str">
        <f>IF(C1245="","",COUNTA($C$3:C1245))</f>
        <v/>
      </c>
      <c r="B1245" s="35" t="str">
        <f t="shared" si="35"/>
        <v/>
      </c>
      <c r="C1245" s="33"/>
      <c r="E1245" s="60"/>
      <c r="F1245" s="52"/>
      <c r="G1245" s="18"/>
      <c r="H1245" s="49"/>
      <c r="I1245" s="49"/>
      <c r="L1245" s="62"/>
      <c r="M1245" s="53"/>
    </row>
    <row r="1246" spans="1:18" x14ac:dyDescent="0.25">
      <c r="A1246" s="21" t="str">
        <f>IF(C1246="","",COUNTA($C$3:C1246))</f>
        <v/>
      </c>
      <c r="B1246" s="35" t="str">
        <f t="shared" si="35"/>
        <v/>
      </c>
      <c r="C1246" s="33"/>
      <c r="E1246" s="60"/>
      <c r="F1246" s="52"/>
      <c r="G1246" s="18"/>
      <c r="H1246" s="49"/>
      <c r="I1246" s="49"/>
      <c r="L1246" s="53"/>
      <c r="M1246" s="53"/>
    </row>
    <row r="1247" spans="1:18" x14ac:dyDescent="0.25">
      <c r="A1247" s="21" t="str">
        <f>IF(C1247="","",COUNTA($C$3:C1247))</f>
        <v/>
      </c>
      <c r="B1247" s="35" t="str">
        <f t="shared" si="35"/>
        <v/>
      </c>
      <c r="C1247" s="33"/>
      <c r="E1247" s="60"/>
      <c r="F1247" s="52"/>
      <c r="G1247" s="18"/>
      <c r="H1247" s="49"/>
      <c r="I1247" s="49"/>
      <c r="L1247" s="53"/>
      <c r="M1247" s="53"/>
    </row>
    <row r="1248" spans="1:18" x14ac:dyDescent="0.25">
      <c r="A1248" s="21" t="str">
        <f>IF(C1248="","",COUNTA($C$3:C1248))</f>
        <v/>
      </c>
      <c r="B1248" s="35" t="str">
        <f t="shared" si="35"/>
        <v/>
      </c>
      <c r="C1248" s="33"/>
      <c r="E1248" s="60"/>
      <c r="F1248" s="52"/>
      <c r="G1248" s="18"/>
      <c r="H1248" s="49"/>
      <c r="I1248" s="49"/>
      <c r="L1248" s="62"/>
      <c r="M1248" s="53"/>
    </row>
    <row r="1249" spans="1:16" x14ac:dyDescent="0.25">
      <c r="A1249" s="21" t="str">
        <f>IF(C1249="","",COUNTA($C$3:C1249))</f>
        <v/>
      </c>
      <c r="B1249" s="35" t="str">
        <f t="shared" si="35"/>
        <v/>
      </c>
      <c r="C1249" s="33"/>
      <c r="E1249" s="60"/>
      <c r="F1249" s="52"/>
      <c r="G1249" s="18"/>
      <c r="H1249" s="49"/>
      <c r="I1249" s="49"/>
      <c r="L1249" s="62"/>
      <c r="M1249" s="53"/>
    </row>
    <row r="1250" spans="1:16" x14ac:dyDescent="0.25">
      <c r="A1250" s="21" t="str">
        <f>IF(C1250="","",COUNTA($C$3:C1250))</f>
        <v/>
      </c>
      <c r="B1250" s="35" t="str">
        <f t="shared" si="35"/>
        <v/>
      </c>
      <c r="C1250" s="33"/>
      <c r="E1250" s="60"/>
      <c r="F1250" s="52"/>
      <c r="G1250" s="18"/>
      <c r="H1250" s="49"/>
      <c r="I1250" s="49"/>
      <c r="L1250" s="78"/>
      <c r="M1250" s="53"/>
    </row>
    <row r="1251" spans="1:16" x14ac:dyDescent="0.25">
      <c r="A1251" s="21" t="str">
        <f>IF(C1251="","",COUNTA($C$3:C1251))</f>
        <v/>
      </c>
      <c r="B1251" s="35" t="str">
        <f t="shared" si="35"/>
        <v/>
      </c>
      <c r="C1251" s="33"/>
      <c r="E1251" s="60"/>
      <c r="F1251" s="52"/>
      <c r="G1251" s="18"/>
      <c r="H1251" s="49"/>
      <c r="I1251" s="49"/>
      <c r="L1251" s="62"/>
      <c r="M1251" s="53"/>
      <c r="P1251" s="59"/>
    </row>
    <row r="1252" spans="1:16" x14ac:dyDescent="0.25">
      <c r="A1252" s="21" t="str">
        <f>IF(C1252="","",COUNTA($C$3:C1252))</f>
        <v/>
      </c>
      <c r="B1252" s="35" t="str">
        <f t="shared" si="35"/>
        <v/>
      </c>
      <c r="C1252" s="33"/>
      <c r="E1252" s="60"/>
      <c r="F1252" s="52"/>
      <c r="G1252" s="18"/>
      <c r="H1252" s="49"/>
      <c r="I1252" s="49"/>
      <c r="L1252" s="62"/>
      <c r="M1252" s="53"/>
    </row>
    <row r="1253" spans="1:16" x14ac:dyDescent="0.25">
      <c r="A1253" s="21" t="str">
        <f>IF(C1253="","",COUNTA($C$3:C1253))</f>
        <v/>
      </c>
      <c r="B1253" s="35" t="str">
        <f t="shared" si="35"/>
        <v/>
      </c>
      <c r="C1253" s="33"/>
      <c r="E1253" s="60"/>
      <c r="F1253" s="52"/>
      <c r="G1253" s="18"/>
      <c r="H1253" s="49"/>
      <c r="I1253" s="49"/>
      <c r="L1253" s="62"/>
      <c r="M1253" s="53"/>
    </row>
    <row r="1254" spans="1:16" x14ac:dyDescent="0.25">
      <c r="A1254" s="21" t="str">
        <f>IF(C1254="","",COUNTA($C$3:C1254))</f>
        <v/>
      </c>
      <c r="B1254" s="35" t="str">
        <f t="shared" si="35"/>
        <v/>
      </c>
      <c r="C1254" s="33"/>
      <c r="E1254" s="60"/>
      <c r="F1254" s="52"/>
      <c r="G1254" s="18"/>
      <c r="H1254" s="49"/>
      <c r="I1254" s="49"/>
      <c r="L1254" s="53"/>
      <c r="M1254" s="53"/>
    </row>
    <row r="1255" spans="1:16" x14ac:dyDescent="0.25">
      <c r="A1255" s="21" t="str">
        <f>IF(C1255="","",COUNTA($C$3:C1255))</f>
        <v/>
      </c>
      <c r="B1255" s="35" t="str">
        <f t="shared" si="35"/>
        <v/>
      </c>
      <c r="C1255" s="33"/>
      <c r="E1255" s="60"/>
      <c r="F1255" s="52"/>
      <c r="G1255" s="18"/>
      <c r="H1255" s="49"/>
      <c r="I1255" s="49"/>
      <c r="L1255" s="62"/>
      <c r="M1255" s="53"/>
    </row>
    <row r="1256" spans="1:16" x14ac:dyDescent="0.25">
      <c r="A1256" s="21" t="str">
        <f>IF(C1256="","",COUNTA($C$3:C1256))</f>
        <v/>
      </c>
      <c r="B1256" s="35" t="str">
        <f t="shared" si="35"/>
        <v/>
      </c>
      <c r="C1256" s="33"/>
      <c r="E1256" s="60"/>
      <c r="F1256" s="52"/>
      <c r="G1256" s="18"/>
      <c r="H1256" s="49"/>
      <c r="I1256" s="49"/>
      <c r="K1256" s="55"/>
      <c r="M1256" s="53"/>
      <c r="P1256" s="59"/>
    </row>
    <row r="1257" spans="1:16" x14ac:dyDescent="0.25">
      <c r="A1257" s="21" t="str">
        <f>IF(C1257="","",COUNTA($C$3:C1257))</f>
        <v/>
      </c>
      <c r="B1257" s="35" t="str">
        <f t="shared" si="35"/>
        <v/>
      </c>
      <c r="C1257" s="33"/>
      <c r="E1257" s="60"/>
      <c r="F1257" s="52"/>
      <c r="G1257" s="18"/>
      <c r="H1257" s="49"/>
      <c r="I1257" s="76"/>
      <c r="K1257" s="55"/>
      <c r="M1257" s="53"/>
    </row>
    <row r="1258" spans="1:16" x14ac:dyDescent="0.25">
      <c r="A1258" s="21" t="str">
        <f>IF(C1258="","",COUNTA($C$3:C1258))</f>
        <v/>
      </c>
      <c r="B1258" s="35" t="str">
        <f t="shared" si="35"/>
        <v/>
      </c>
      <c r="C1258" s="33"/>
      <c r="E1258" s="60"/>
      <c r="F1258" s="52"/>
      <c r="G1258" s="18"/>
      <c r="H1258" s="49"/>
      <c r="I1258" s="49"/>
      <c r="M1258" s="53"/>
    </row>
    <row r="1259" spans="1:16" x14ac:dyDescent="0.25">
      <c r="A1259" s="21" t="str">
        <f>IF(C1259="","",COUNTA($C$3:C1259))</f>
        <v/>
      </c>
      <c r="B1259" s="35" t="str">
        <f t="shared" si="35"/>
        <v/>
      </c>
      <c r="C1259" s="33"/>
      <c r="E1259" s="60"/>
      <c r="F1259" s="52"/>
      <c r="G1259" s="18"/>
      <c r="H1259" s="49"/>
      <c r="I1259" s="49"/>
      <c r="L1259" s="53"/>
      <c r="M1259" s="53"/>
    </row>
    <row r="1260" spans="1:16" x14ac:dyDescent="0.25">
      <c r="A1260" s="21" t="str">
        <f>IF(C1260="","",COUNTA($C$3:C1260))</f>
        <v/>
      </c>
      <c r="B1260" s="35" t="str">
        <f t="shared" si="35"/>
        <v/>
      </c>
      <c r="C1260" s="33"/>
      <c r="E1260" s="60"/>
      <c r="F1260" s="52"/>
      <c r="G1260" s="18"/>
      <c r="H1260" s="49"/>
      <c r="I1260" s="49"/>
      <c r="L1260" s="62"/>
      <c r="M1260" s="53"/>
    </row>
    <row r="1261" spans="1:16" x14ac:dyDescent="0.25">
      <c r="A1261" s="21" t="str">
        <f>IF(C1261="","",COUNTA($C$3:C1261))</f>
        <v/>
      </c>
      <c r="B1261" s="35" t="str">
        <f t="shared" si="35"/>
        <v/>
      </c>
      <c r="C1261" s="33"/>
      <c r="E1261" s="60"/>
      <c r="F1261" s="52"/>
      <c r="G1261" s="18"/>
      <c r="H1261" s="49"/>
      <c r="I1261" s="49"/>
      <c r="L1261" s="53"/>
      <c r="M1261" s="53"/>
    </row>
    <row r="1262" spans="1:16" x14ac:dyDescent="0.25">
      <c r="A1262" s="21" t="str">
        <f>IF(C1262="","",COUNTA($C$3:C1262))</f>
        <v/>
      </c>
      <c r="B1262" s="35" t="str">
        <f t="shared" si="35"/>
        <v/>
      </c>
      <c r="C1262" s="33"/>
      <c r="E1262" s="60"/>
      <c r="F1262" s="52"/>
      <c r="G1262" s="18"/>
      <c r="H1262" s="49"/>
      <c r="I1262" s="49"/>
      <c r="L1262" s="62"/>
      <c r="M1262" s="53"/>
    </row>
    <row r="1263" spans="1:16" x14ac:dyDescent="0.25">
      <c r="A1263" s="21" t="str">
        <f>IF(C1263="","",COUNTA($C$3:C1263))</f>
        <v/>
      </c>
      <c r="B1263" s="35" t="str">
        <f t="shared" si="35"/>
        <v/>
      </c>
      <c r="C1263" s="33"/>
      <c r="E1263" s="60"/>
      <c r="F1263" s="52"/>
      <c r="G1263" s="18"/>
      <c r="H1263" s="49"/>
      <c r="I1263" s="49"/>
      <c r="K1263" s="55"/>
      <c r="M1263" s="53"/>
    </row>
    <row r="1264" spans="1:16" x14ac:dyDescent="0.25">
      <c r="A1264" s="21" t="str">
        <f>IF(C1264="","",COUNTA($C$3:C1264))</f>
        <v/>
      </c>
      <c r="B1264" s="35" t="str">
        <f t="shared" si="35"/>
        <v/>
      </c>
      <c r="C1264" s="33"/>
      <c r="E1264" s="60"/>
      <c r="F1264" s="52"/>
      <c r="G1264" s="18"/>
      <c r="H1264" s="49"/>
      <c r="I1264" s="49"/>
      <c r="L1264" s="15"/>
      <c r="M1264" s="53"/>
    </row>
    <row r="1265" spans="1:16" x14ac:dyDescent="0.25">
      <c r="A1265" s="21" t="str">
        <f>IF(C1265="","",COUNTA($C$3:C1265))</f>
        <v/>
      </c>
      <c r="B1265" s="35" t="str">
        <f t="shared" si="35"/>
        <v/>
      </c>
      <c r="C1265" s="33"/>
      <c r="E1265" s="60"/>
      <c r="F1265" s="52"/>
      <c r="G1265" s="18"/>
      <c r="H1265" s="49"/>
      <c r="I1265" s="76"/>
      <c r="L1265" s="62"/>
      <c r="M1265" s="53"/>
    </row>
    <row r="1266" spans="1:16" x14ac:dyDescent="0.25">
      <c r="A1266" s="21" t="str">
        <f>IF(C1266="","",COUNTA($C$3:C1266))</f>
        <v/>
      </c>
      <c r="B1266" s="35" t="str">
        <f t="shared" si="35"/>
        <v/>
      </c>
      <c r="C1266" s="33"/>
      <c r="E1266" s="60"/>
      <c r="F1266" s="52"/>
      <c r="G1266" s="18"/>
      <c r="H1266" s="49"/>
      <c r="I1266" s="49"/>
      <c r="L1266" s="62"/>
      <c r="M1266" s="53"/>
    </row>
    <row r="1267" spans="1:16" x14ac:dyDescent="0.25">
      <c r="A1267" s="21" t="str">
        <f>IF(C1267="","",COUNTA($C$3:C1267))</f>
        <v/>
      </c>
      <c r="B1267" s="35" t="str">
        <f t="shared" si="35"/>
        <v/>
      </c>
      <c r="C1267" s="33"/>
      <c r="E1267" s="60"/>
      <c r="F1267" s="52"/>
      <c r="G1267" s="18"/>
      <c r="H1267" s="49"/>
      <c r="I1267" s="49"/>
      <c r="L1267" s="62"/>
      <c r="M1267" s="53"/>
    </row>
    <row r="1268" spans="1:16" x14ac:dyDescent="0.25">
      <c r="A1268" s="21" t="str">
        <f>IF(C1268="","",COUNTA($C$3:C1268))</f>
        <v/>
      </c>
      <c r="B1268" s="35" t="str">
        <f t="shared" si="35"/>
        <v/>
      </c>
      <c r="C1268" s="33"/>
      <c r="E1268" s="60"/>
      <c r="F1268" s="52"/>
      <c r="G1268" s="18"/>
      <c r="H1268" s="49"/>
      <c r="I1268" s="49"/>
      <c r="L1268" s="62"/>
      <c r="M1268" s="53"/>
    </row>
    <row r="1269" spans="1:16" x14ac:dyDescent="0.25">
      <c r="A1269" s="21" t="str">
        <f>IF(C1269="","",COUNTA($C$3:C1269))</f>
        <v/>
      </c>
      <c r="B1269" s="35" t="str">
        <f t="shared" si="35"/>
        <v/>
      </c>
      <c r="C1269" s="33"/>
      <c r="E1269" s="60"/>
      <c r="F1269" s="52"/>
      <c r="G1269" s="18"/>
      <c r="H1269" s="49"/>
      <c r="I1269" s="49"/>
      <c r="L1269" s="62"/>
      <c r="M1269" s="53"/>
    </row>
    <row r="1270" spans="1:16" x14ac:dyDescent="0.25">
      <c r="A1270" s="21" t="str">
        <f>IF(C1270="","",COUNTA($C$3:C1270))</f>
        <v/>
      </c>
      <c r="B1270" s="35" t="str">
        <f t="shared" si="35"/>
        <v/>
      </c>
      <c r="C1270" s="33"/>
      <c r="E1270" s="60"/>
      <c r="F1270" s="52"/>
      <c r="G1270" s="18"/>
      <c r="H1270" s="49"/>
      <c r="I1270" s="49"/>
      <c r="L1270" s="62"/>
      <c r="M1270" s="53"/>
    </row>
    <row r="1271" spans="1:16" x14ac:dyDescent="0.25">
      <c r="A1271" s="21" t="str">
        <f>IF(C1271="","",COUNTA($C$3:C1271))</f>
        <v/>
      </c>
      <c r="B1271" s="35" t="str">
        <f t="shared" si="35"/>
        <v/>
      </c>
      <c r="C1271" s="33"/>
      <c r="E1271" s="60"/>
      <c r="F1271" s="52"/>
      <c r="G1271" s="18"/>
      <c r="H1271" s="49"/>
      <c r="I1271" s="49"/>
      <c r="L1271" s="62"/>
      <c r="M1271" s="53"/>
    </row>
    <row r="1272" spans="1:16" x14ac:dyDescent="0.25">
      <c r="A1272" s="21" t="str">
        <f>IF(C1272="","",COUNTA($C$3:C1272))</f>
        <v/>
      </c>
      <c r="B1272" s="35" t="str">
        <f t="shared" si="35"/>
        <v/>
      </c>
      <c r="C1272" s="33"/>
      <c r="E1272" s="60"/>
      <c r="F1272" s="52"/>
      <c r="G1272" s="18"/>
      <c r="H1272" s="49"/>
      <c r="I1272" s="49"/>
      <c r="K1272" s="55"/>
      <c r="M1272" s="53"/>
    </row>
    <row r="1273" spans="1:16" x14ac:dyDescent="0.25">
      <c r="A1273" s="21" t="str">
        <f>IF(C1273="","",COUNTA($C$3:C1273))</f>
        <v/>
      </c>
      <c r="B1273" s="35" t="str">
        <f t="shared" si="35"/>
        <v/>
      </c>
      <c r="C1273" s="33"/>
      <c r="E1273" s="60"/>
      <c r="F1273" s="52"/>
      <c r="G1273" s="18"/>
      <c r="H1273" s="49"/>
      <c r="I1273" s="49"/>
      <c r="L1273" s="62"/>
      <c r="M1273" s="53"/>
    </row>
    <row r="1274" spans="1:16" x14ac:dyDescent="0.25">
      <c r="A1274" s="21" t="str">
        <f>IF(C1274="","",COUNTA($C$3:C1274))</f>
        <v/>
      </c>
      <c r="B1274" s="35" t="str">
        <f t="shared" si="35"/>
        <v/>
      </c>
      <c r="C1274" s="33"/>
      <c r="E1274" s="60"/>
      <c r="F1274" s="52"/>
      <c r="G1274" s="18"/>
      <c r="H1274" s="49"/>
      <c r="I1274" s="49"/>
      <c r="L1274" s="62"/>
      <c r="M1274" s="53"/>
      <c r="P1274" s="59"/>
    </row>
    <row r="1275" spans="1:16" x14ac:dyDescent="0.25">
      <c r="A1275" s="21" t="str">
        <f>IF(C1275="","",COUNTA($C$3:C1275))</f>
        <v/>
      </c>
      <c r="B1275" s="35" t="str">
        <f t="shared" si="35"/>
        <v/>
      </c>
      <c r="C1275" s="33"/>
      <c r="E1275" s="60"/>
      <c r="F1275" s="52"/>
      <c r="G1275" s="18"/>
      <c r="H1275" s="49"/>
      <c r="I1275" s="49"/>
      <c r="L1275" s="62"/>
      <c r="M1275" s="53"/>
    </row>
    <row r="1276" spans="1:16" x14ac:dyDescent="0.25">
      <c r="A1276" s="21" t="str">
        <f>IF(C1276="","",COUNTA($C$3:C1276))</f>
        <v/>
      </c>
      <c r="B1276" s="35" t="str">
        <f t="shared" si="35"/>
        <v/>
      </c>
      <c r="C1276" s="33"/>
      <c r="E1276" s="60"/>
      <c r="F1276" s="52"/>
      <c r="G1276" s="18"/>
      <c r="H1276" s="49"/>
      <c r="I1276" s="49"/>
      <c r="L1276" s="62"/>
      <c r="M1276" s="53"/>
    </row>
    <row r="1277" spans="1:16" x14ac:dyDescent="0.25">
      <c r="A1277" s="21" t="str">
        <f>IF(C1277="","",COUNTA($C$3:C1277))</f>
        <v/>
      </c>
      <c r="B1277" s="35" t="str">
        <f t="shared" si="35"/>
        <v/>
      </c>
      <c r="C1277" s="33"/>
      <c r="E1277" s="60"/>
      <c r="F1277" s="52"/>
      <c r="G1277" s="18"/>
      <c r="H1277" s="49"/>
      <c r="I1277" s="49"/>
      <c r="L1277" s="62"/>
      <c r="M1277" s="53"/>
    </row>
    <row r="1278" spans="1:16" x14ac:dyDescent="0.25">
      <c r="A1278" s="21" t="str">
        <f>IF(C1278="","",COUNTA($C$3:C1278))</f>
        <v/>
      </c>
      <c r="B1278" s="35" t="str">
        <f t="shared" si="35"/>
        <v/>
      </c>
      <c r="C1278" s="33"/>
      <c r="E1278" s="60"/>
      <c r="F1278" s="52"/>
      <c r="G1278" s="18"/>
      <c r="H1278" s="49"/>
      <c r="I1278" s="49"/>
      <c r="L1278" s="62"/>
      <c r="M1278" s="53"/>
    </row>
    <row r="1279" spans="1:16" x14ac:dyDescent="0.25">
      <c r="A1279" s="21" t="str">
        <f>IF(C1279="","",COUNTA($C$3:C1279))</f>
        <v/>
      </c>
      <c r="B1279" s="35" t="str">
        <f t="shared" si="35"/>
        <v/>
      </c>
      <c r="C1279" s="33"/>
      <c r="E1279" s="60"/>
      <c r="F1279" s="52"/>
      <c r="G1279" s="18"/>
      <c r="H1279" s="49"/>
      <c r="I1279" s="49"/>
      <c r="K1279" s="55"/>
      <c r="L1279" s="62"/>
      <c r="M1279" s="53"/>
    </row>
    <row r="1280" spans="1:16" x14ac:dyDescent="0.25">
      <c r="A1280" s="21" t="str">
        <f>IF(C1280="","",COUNTA($C$3:C1280))</f>
        <v/>
      </c>
      <c r="B1280" s="35" t="str">
        <f t="shared" si="35"/>
        <v/>
      </c>
      <c r="C1280" s="33"/>
      <c r="E1280" s="60"/>
      <c r="F1280" s="52"/>
      <c r="G1280" s="18"/>
      <c r="H1280" s="49"/>
      <c r="I1280" s="49"/>
      <c r="L1280" s="62"/>
      <c r="M1280" s="53"/>
    </row>
    <row r="1281" spans="1:17" x14ac:dyDescent="0.25">
      <c r="A1281" s="21" t="str">
        <f>IF(C1281="","",COUNTA($C$3:C1281))</f>
        <v/>
      </c>
      <c r="B1281" s="35" t="str">
        <f t="shared" si="35"/>
        <v/>
      </c>
      <c r="C1281" s="33"/>
      <c r="E1281" s="60"/>
      <c r="F1281" s="52"/>
      <c r="G1281" s="18"/>
      <c r="H1281" s="49"/>
      <c r="I1281" s="49"/>
      <c r="L1281" s="62"/>
      <c r="M1281" s="53"/>
    </row>
    <row r="1282" spans="1:17" x14ac:dyDescent="0.25">
      <c r="A1282" s="21" t="str">
        <f>IF(C1282="","",COUNTA($C$3:C1282))</f>
        <v/>
      </c>
      <c r="B1282" s="35" t="str">
        <f t="shared" si="35"/>
        <v/>
      </c>
      <c r="C1282" s="33"/>
      <c r="E1282" s="60"/>
      <c r="F1282" s="52"/>
      <c r="G1282" s="18"/>
      <c r="H1282" s="49"/>
      <c r="I1282" s="49"/>
      <c r="L1282" s="62"/>
      <c r="M1282" s="53"/>
      <c r="O1282" s="59"/>
      <c r="P1282" s="69"/>
      <c r="Q1282" s="59"/>
    </row>
    <row r="1283" spans="1:17" x14ac:dyDescent="0.25">
      <c r="A1283" s="21" t="str">
        <f>IF(C1283="","",COUNTA($C$3:C1283))</f>
        <v/>
      </c>
      <c r="B1283" s="35" t="str">
        <f t="shared" si="35"/>
        <v/>
      </c>
      <c r="C1283" s="33"/>
      <c r="E1283" s="60"/>
      <c r="F1283" s="52"/>
      <c r="G1283" s="18"/>
      <c r="H1283" s="49"/>
      <c r="I1283" s="49"/>
      <c r="K1283" s="55"/>
      <c r="M1283" s="53"/>
      <c r="O1283" s="59"/>
      <c r="P1283" s="114"/>
      <c r="Q1283" s="59"/>
    </row>
    <row r="1284" spans="1:17" x14ac:dyDescent="0.25">
      <c r="A1284" s="21" t="str">
        <f>IF(C1284="","",COUNTA($C$3:C1284))</f>
        <v/>
      </c>
      <c r="B1284" s="35" t="str">
        <f t="shared" si="35"/>
        <v/>
      </c>
      <c r="C1284" s="33"/>
      <c r="E1284" s="60"/>
      <c r="F1284" s="52"/>
      <c r="G1284" s="18"/>
      <c r="H1284" s="49"/>
      <c r="I1284" s="49"/>
      <c r="L1284" s="62"/>
      <c r="M1284" s="53"/>
    </row>
    <row r="1285" spans="1:17" x14ac:dyDescent="0.25">
      <c r="A1285" s="21" t="str">
        <f>IF(C1285="","",COUNTA($C$3:C1285))</f>
        <v/>
      </c>
      <c r="B1285" s="35" t="str">
        <f t="shared" ref="B1285:B1348" si="36">IF(C1285="","",TEXT(C1285,"mmmm"))</f>
        <v/>
      </c>
      <c r="C1285" s="33"/>
      <c r="E1285" s="60"/>
      <c r="F1285" s="52"/>
      <c r="G1285" s="18"/>
      <c r="H1285" s="49"/>
      <c r="I1285" s="49"/>
      <c r="L1285" s="62"/>
      <c r="M1285" s="53"/>
    </row>
    <row r="1286" spans="1:17" x14ac:dyDescent="0.25">
      <c r="A1286" s="21" t="str">
        <f>IF(C1286="","",COUNTA($C$3:C1286))</f>
        <v/>
      </c>
      <c r="B1286" s="35" t="str">
        <f t="shared" si="36"/>
        <v/>
      </c>
      <c r="C1286" s="33"/>
      <c r="E1286" s="60"/>
      <c r="F1286" s="52"/>
      <c r="G1286" s="18"/>
      <c r="H1286" s="49"/>
      <c r="I1286" s="49"/>
      <c r="K1286" s="55"/>
      <c r="M1286" s="53"/>
    </row>
    <row r="1287" spans="1:17" x14ac:dyDescent="0.25">
      <c r="A1287" s="21" t="str">
        <f>IF(C1287="","",COUNTA($C$3:C1287))</f>
        <v/>
      </c>
      <c r="B1287" s="35" t="str">
        <f t="shared" si="36"/>
        <v/>
      </c>
      <c r="C1287" s="33"/>
      <c r="E1287" s="60"/>
      <c r="F1287" s="52"/>
      <c r="G1287" s="18"/>
      <c r="H1287" s="49"/>
      <c r="I1287" s="49"/>
      <c r="L1287" s="62"/>
      <c r="M1287" s="53"/>
    </row>
    <row r="1288" spans="1:17" x14ac:dyDescent="0.25">
      <c r="A1288" s="21" t="str">
        <f>IF(C1288="","",COUNTA($C$3:C1288))</f>
        <v/>
      </c>
      <c r="B1288" s="35" t="str">
        <f t="shared" si="36"/>
        <v/>
      </c>
      <c r="C1288" s="33"/>
      <c r="E1288" s="60"/>
      <c r="F1288" s="52"/>
      <c r="G1288" s="18"/>
      <c r="H1288" s="49"/>
      <c r="I1288" s="49"/>
      <c r="L1288" s="62"/>
      <c r="M1288" s="53"/>
    </row>
    <row r="1289" spans="1:17" x14ac:dyDescent="0.25">
      <c r="A1289" s="21" t="str">
        <f>IF(C1289="","",COUNTA($C$3:C1289))</f>
        <v/>
      </c>
      <c r="B1289" s="35" t="str">
        <f t="shared" si="36"/>
        <v/>
      </c>
      <c r="C1289" s="33"/>
      <c r="E1289" s="60"/>
      <c r="F1289" s="52"/>
      <c r="G1289" s="18"/>
      <c r="H1289" s="49"/>
      <c r="I1289" s="49"/>
      <c r="L1289" s="62"/>
      <c r="M1289" s="53"/>
    </row>
    <row r="1290" spans="1:17" x14ac:dyDescent="0.25">
      <c r="A1290" s="21" t="str">
        <f>IF(C1290="","",COUNTA($C$3:C1290))</f>
        <v/>
      </c>
      <c r="B1290" s="35" t="str">
        <f t="shared" si="36"/>
        <v/>
      </c>
      <c r="C1290" s="33"/>
      <c r="E1290" s="60"/>
      <c r="F1290" s="52"/>
      <c r="G1290" s="18"/>
      <c r="H1290" s="49"/>
      <c r="I1290" s="49"/>
      <c r="L1290" s="62"/>
      <c r="M1290" s="53"/>
    </row>
    <row r="1291" spans="1:17" x14ac:dyDescent="0.25">
      <c r="A1291" s="21" t="str">
        <f>IF(C1291="","",COUNTA($C$3:C1291))</f>
        <v/>
      </c>
      <c r="B1291" s="35" t="str">
        <f t="shared" si="36"/>
        <v/>
      </c>
      <c r="C1291" s="33"/>
      <c r="E1291" s="60"/>
      <c r="F1291" s="52"/>
      <c r="G1291" s="18"/>
      <c r="H1291" s="49"/>
      <c r="I1291" s="49"/>
      <c r="L1291" s="62"/>
      <c r="M1291" s="53"/>
    </row>
    <row r="1292" spans="1:17" x14ac:dyDescent="0.25">
      <c r="A1292" s="21" t="str">
        <f>IF(C1292="","",COUNTA($C$3:C1292))</f>
        <v/>
      </c>
      <c r="B1292" s="35" t="str">
        <f t="shared" si="36"/>
        <v/>
      </c>
      <c r="C1292" s="33"/>
      <c r="E1292" s="60"/>
      <c r="F1292" s="52"/>
      <c r="G1292" s="18"/>
      <c r="H1292" s="49"/>
      <c r="I1292" s="49"/>
      <c r="L1292" s="62"/>
      <c r="M1292" s="53"/>
    </row>
    <row r="1293" spans="1:17" x14ac:dyDescent="0.25">
      <c r="A1293" s="21" t="str">
        <f>IF(C1293="","",COUNTA($C$3:C1293))</f>
        <v/>
      </c>
      <c r="B1293" s="35" t="str">
        <f t="shared" si="36"/>
        <v/>
      </c>
      <c r="C1293" s="33"/>
      <c r="E1293" s="60"/>
      <c r="F1293" s="52"/>
      <c r="G1293" s="18"/>
      <c r="H1293" s="49"/>
      <c r="I1293" s="49"/>
      <c r="L1293" s="62"/>
      <c r="M1293" s="53"/>
    </row>
    <row r="1294" spans="1:17" x14ac:dyDescent="0.25">
      <c r="A1294" s="21" t="str">
        <f>IF(C1294="","",COUNTA($C$3:C1294))</f>
        <v/>
      </c>
      <c r="B1294" s="35" t="str">
        <f t="shared" si="36"/>
        <v/>
      </c>
      <c r="C1294" s="33"/>
      <c r="E1294" s="60"/>
      <c r="F1294" s="52"/>
      <c r="G1294" s="18"/>
      <c r="H1294" s="49"/>
      <c r="I1294" s="49"/>
      <c r="L1294" s="78"/>
      <c r="M1294" s="53"/>
    </row>
    <row r="1295" spans="1:17" x14ac:dyDescent="0.25">
      <c r="A1295" s="21" t="str">
        <f>IF(C1295="","",COUNTA($C$3:C1295))</f>
        <v/>
      </c>
      <c r="B1295" s="35" t="str">
        <f t="shared" si="36"/>
        <v/>
      </c>
      <c r="C1295" s="33"/>
      <c r="E1295" s="60"/>
      <c r="F1295" s="52"/>
      <c r="G1295" s="18"/>
      <c r="H1295" s="49"/>
      <c r="I1295" s="49"/>
      <c r="L1295" s="62"/>
      <c r="M1295" s="53"/>
    </row>
    <row r="1296" spans="1:17" x14ac:dyDescent="0.25">
      <c r="A1296" s="21" t="str">
        <f>IF(C1296="","",COUNTA($C$3:C1296))</f>
        <v/>
      </c>
      <c r="B1296" s="35" t="str">
        <f t="shared" si="36"/>
        <v/>
      </c>
      <c r="C1296" s="33"/>
      <c r="D1296" s="18"/>
      <c r="E1296" s="77"/>
      <c r="F1296" s="52"/>
      <c r="G1296" s="18"/>
      <c r="H1296" s="49"/>
      <c r="I1296" s="49"/>
      <c r="L1296" s="62"/>
      <c r="M1296" s="53"/>
    </row>
    <row r="1297" spans="1:16" x14ac:dyDescent="0.25">
      <c r="A1297" s="21" t="str">
        <f>IF(C1297="","",COUNTA($C$3:C1297))</f>
        <v/>
      </c>
      <c r="B1297" s="35" t="str">
        <f t="shared" si="36"/>
        <v/>
      </c>
      <c r="C1297" s="33"/>
      <c r="D1297" s="18"/>
      <c r="E1297" s="77"/>
      <c r="F1297" s="52"/>
      <c r="G1297" s="18"/>
      <c r="H1297" s="49"/>
      <c r="I1297" s="49"/>
      <c r="L1297" s="62"/>
      <c r="M1297" s="53"/>
    </row>
    <row r="1298" spans="1:16" x14ac:dyDescent="0.25">
      <c r="A1298" s="21" t="str">
        <f>IF(C1298="","",COUNTA($C$3:C1298))</f>
        <v/>
      </c>
      <c r="B1298" s="35" t="str">
        <f t="shared" si="36"/>
        <v/>
      </c>
      <c r="C1298" s="33"/>
      <c r="D1298" s="18"/>
      <c r="E1298" s="77"/>
      <c r="F1298" s="52"/>
      <c r="G1298" s="18"/>
      <c r="H1298" s="49"/>
      <c r="I1298" s="49"/>
      <c r="L1298" s="62"/>
      <c r="M1298" s="53"/>
    </row>
    <row r="1299" spans="1:16" x14ac:dyDescent="0.25">
      <c r="A1299" s="21" t="str">
        <f>IF(C1299="","",COUNTA($C$3:C1299))</f>
        <v/>
      </c>
      <c r="B1299" s="35" t="str">
        <f t="shared" si="36"/>
        <v/>
      </c>
      <c r="C1299" s="33"/>
      <c r="D1299" s="18"/>
      <c r="E1299" s="77"/>
      <c r="F1299" s="52"/>
      <c r="G1299" s="18"/>
      <c r="H1299" s="49"/>
      <c r="I1299" s="49"/>
      <c r="L1299" s="62"/>
      <c r="M1299" s="53"/>
    </row>
    <row r="1300" spans="1:16" x14ac:dyDescent="0.25">
      <c r="A1300" s="21" t="str">
        <f>IF(C1300="","",COUNTA($C$3:C1300))</f>
        <v/>
      </c>
      <c r="B1300" s="35" t="str">
        <f t="shared" si="36"/>
        <v/>
      </c>
      <c r="C1300" s="33"/>
      <c r="D1300" s="18"/>
      <c r="E1300" s="77"/>
      <c r="F1300" s="52"/>
      <c r="G1300" s="18"/>
      <c r="H1300" s="49"/>
      <c r="I1300" s="49"/>
      <c r="L1300" s="62"/>
      <c r="M1300" s="53"/>
    </row>
    <row r="1301" spans="1:16" x14ac:dyDescent="0.25">
      <c r="A1301" s="21" t="str">
        <f>IF(C1301="","",COUNTA($C$3:C1301))</f>
        <v/>
      </c>
      <c r="B1301" s="35" t="str">
        <f t="shared" si="36"/>
        <v/>
      </c>
      <c r="C1301" s="33"/>
      <c r="D1301" s="18"/>
      <c r="E1301" s="77"/>
      <c r="F1301" s="52"/>
      <c r="G1301" s="18"/>
      <c r="H1301" s="49"/>
      <c r="I1301" s="49"/>
      <c r="K1301" s="55"/>
      <c r="M1301" s="53"/>
    </row>
    <row r="1302" spans="1:16" x14ac:dyDescent="0.25">
      <c r="A1302" s="21" t="str">
        <f>IF(C1302="","",COUNTA($C$3:C1302))</f>
        <v/>
      </c>
      <c r="B1302" s="35" t="str">
        <f t="shared" si="36"/>
        <v/>
      </c>
      <c r="C1302" s="33"/>
      <c r="D1302" s="18"/>
      <c r="E1302" s="77"/>
      <c r="F1302" s="52"/>
      <c r="G1302" s="18"/>
      <c r="H1302" s="49"/>
      <c r="I1302" s="49"/>
      <c r="L1302" s="62"/>
      <c r="M1302" s="53"/>
    </row>
    <row r="1303" spans="1:16" x14ac:dyDescent="0.25">
      <c r="A1303" s="21" t="str">
        <f>IF(C1303="","",COUNTA($C$3:C1303))</f>
        <v/>
      </c>
      <c r="B1303" s="35" t="str">
        <f t="shared" si="36"/>
        <v/>
      </c>
      <c r="C1303" s="33"/>
      <c r="D1303" s="18"/>
      <c r="E1303" s="77"/>
      <c r="F1303" s="52"/>
      <c r="G1303" s="18"/>
      <c r="H1303" s="49"/>
      <c r="I1303" s="49"/>
      <c r="L1303" s="62"/>
      <c r="M1303" s="53"/>
    </row>
    <row r="1304" spans="1:16" x14ac:dyDescent="0.25">
      <c r="A1304" s="21" t="str">
        <f>IF(C1304="","",COUNTA($C$3:C1304))</f>
        <v/>
      </c>
      <c r="B1304" s="35" t="str">
        <f t="shared" si="36"/>
        <v/>
      </c>
      <c r="C1304" s="33"/>
      <c r="D1304" s="18"/>
      <c r="E1304" s="77"/>
      <c r="F1304" s="52"/>
      <c r="G1304" s="18"/>
      <c r="H1304" s="49"/>
      <c r="I1304" s="49"/>
      <c r="L1304" s="62"/>
      <c r="M1304" s="53"/>
    </row>
    <row r="1305" spans="1:16" x14ac:dyDescent="0.25">
      <c r="A1305" s="21" t="str">
        <f>IF(C1305="","",COUNTA($C$3:C1305))</f>
        <v/>
      </c>
      <c r="B1305" s="35" t="str">
        <f t="shared" si="36"/>
        <v/>
      </c>
      <c r="C1305" s="33"/>
      <c r="D1305" s="18"/>
      <c r="E1305" s="77"/>
      <c r="F1305" s="52"/>
      <c r="G1305" s="18"/>
      <c r="H1305" s="49"/>
      <c r="I1305" s="49"/>
      <c r="L1305" s="62"/>
      <c r="M1305" s="53"/>
    </row>
    <row r="1306" spans="1:16" x14ac:dyDescent="0.25">
      <c r="A1306" s="21" t="str">
        <f>IF(C1306="","",COUNTA($C$3:C1306))</f>
        <v/>
      </c>
      <c r="B1306" s="35" t="str">
        <f t="shared" si="36"/>
        <v/>
      </c>
      <c r="C1306" s="33"/>
      <c r="D1306" s="18"/>
      <c r="E1306" s="77"/>
      <c r="F1306" s="52"/>
      <c r="G1306" s="18"/>
      <c r="H1306" s="49"/>
      <c r="I1306" s="49"/>
      <c r="L1306" s="62"/>
      <c r="M1306" s="53"/>
    </row>
    <row r="1307" spans="1:16" x14ac:dyDescent="0.25">
      <c r="A1307" s="21" t="str">
        <f>IF(C1307="","",COUNTA($C$3:C1307))</f>
        <v/>
      </c>
      <c r="B1307" s="35" t="str">
        <f t="shared" si="36"/>
        <v/>
      </c>
      <c r="C1307" s="33"/>
      <c r="D1307" s="18"/>
      <c r="E1307" s="77"/>
      <c r="F1307" s="52"/>
      <c r="G1307" s="18"/>
      <c r="H1307" s="49"/>
      <c r="I1307" s="49"/>
      <c r="L1307" s="62"/>
      <c r="M1307" s="53"/>
    </row>
    <row r="1308" spans="1:16" x14ac:dyDescent="0.25">
      <c r="A1308" s="21" t="str">
        <f>IF(C1308="","",COUNTA($C$3:C1308))</f>
        <v/>
      </c>
      <c r="B1308" s="35" t="str">
        <f t="shared" si="36"/>
        <v/>
      </c>
      <c r="C1308" s="33"/>
      <c r="D1308" s="18"/>
      <c r="E1308" s="77"/>
      <c r="F1308" s="52"/>
      <c r="G1308" s="18"/>
      <c r="H1308" s="49"/>
      <c r="I1308" s="49"/>
      <c r="L1308" s="78"/>
      <c r="M1308" s="53"/>
    </row>
    <row r="1309" spans="1:16" x14ac:dyDescent="0.25">
      <c r="A1309" s="21" t="str">
        <f>IF(C1309="","",COUNTA($C$3:C1309))</f>
        <v/>
      </c>
      <c r="B1309" s="35" t="str">
        <f t="shared" si="36"/>
        <v/>
      </c>
      <c r="C1309" s="33"/>
      <c r="D1309" s="18"/>
      <c r="E1309" s="77"/>
      <c r="F1309" s="52"/>
      <c r="G1309" s="18"/>
      <c r="H1309" s="49"/>
      <c r="I1309" s="49"/>
      <c r="L1309" s="62"/>
      <c r="M1309" s="53"/>
    </row>
    <row r="1310" spans="1:16" x14ac:dyDescent="0.25">
      <c r="A1310" s="21" t="str">
        <f>IF(C1310="","",COUNTA($C$3:C1310))</f>
        <v/>
      </c>
      <c r="B1310" s="35" t="str">
        <f t="shared" si="36"/>
        <v/>
      </c>
      <c r="C1310" s="33"/>
      <c r="D1310" s="18"/>
      <c r="E1310" s="77"/>
      <c r="F1310" s="52"/>
      <c r="G1310" s="18"/>
      <c r="H1310" s="49"/>
      <c r="I1310" s="49"/>
      <c r="L1310" s="62"/>
      <c r="M1310" s="53"/>
    </row>
    <row r="1311" spans="1:16" x14ac:dyDescent="0.25">
      <c r="A1311" s="21" t="str">
        <f>IF(C1311="","",COUNTA($C$3:C1311))</f>
        <v/>
      </c>
      <c r="B1311" s="35" t="str">
        <f t="shared" si="36"/>
        <v/>
      </c>
      <c r="C1311" s="33"/>
      <c r="D1311" s="18"/>
      <c r="E1311" s="77"/>
      <c r="F1311" s="52"/>
      <c r="G1311" s="18"/>
      <c r="H1311" s="49"/>
      <c r="I1311" s="49"/>
      <c r="L1311" s="62"/>
      <c r="M1311" s="53"/>
    </row>
    <row r="1312" spans="1:16" x14ac:dyDescent="0.25">
      <c r="A1312" s="21" t="str">
        <f>IF(C1312="","",COUNTA($C$3:C1312))</f>
        <v/>
      </c>
      <c r="B1312" s="35" t="str">
        <f t="shared" si="36"/>
        <v/>
      </c>
      <c r="C1312" s="33"/>
      <c r="D1312" s="18"/>
      <c r="E1312" s="77"/>
      <c r="F1312" s="52"/>
      <c r="G1312" s="18"/>
      <c r="H1312" s="49"/>
      <c r="I1312" s="49"/>
      <c r="L1312" s="62"/>
      <c r="M1312" s="53"/>
      <c r="P1312" s="59"/>
    </row>
    <row r="1313" spans="1:17" x14ac:dyDescent="0.25">
      <c r="A1313" s="21" t="str">
        <f>IF(C1313="","",COUNTA($C$3:C1313))</f>
        <v/>
      </c>
      <c r="B1313" s="35" t="str">
        <f t="shared" si="36"/>
        <v/>
      </c>
      <c r="C1313" s="33"/>
      <c r="D1313" s="18"/>
      <c r="E1313" s="77"/>
      <c r="F1313" s="52"/>
      <c r="G1313" s="18"/>
      <c r="H1313" s="49"/>
      <c r="I1313" s="49"/>
      <c r="L1313" s="62"/>
      <c r="M1313" s="53"/>
    </row>
    <row r="1314" spans="1:17" x14ac:dyDescent="0.25">
      <c r="A1314" s="21" t="str">
        <f>IF(C1314="","",COUNTA($C$3:C1314))</f>
        <v/>
      </c>
      <c r="B1314" s="35" t="str">
        <f t="shared" si="36"/>
        <v/>
      </c>
      <c r="C1314" s="33"/>
      <c r="D1314" s="18"/>
      <c r="E1314" s="77"/>
      <c r="F1314" s="52"/>
      <c r="G1314" s="18"/>
      <c r="H1314" s="49"/>
      <c r="I1314" s="49"/>
      <c r="L1314" s="62"/>
      <c r="M1314" s="53"/>
    </row>
    <row r="1315" spans="1:17" x14ac:dyDescent="0.25">
      <c r="A1315" s="21" t="str">
        <f>IF(C1315="","",COUNTA($C$3:C1315))</f>
        <v/>
      </c>
      <c r="B1315" s="35" t="str">
        <f t="shared" si="36"/>
        <v/>
      </c>
      <c r="C1315" s="33"/>
      <c r="D1315" s="18"/>
      <c r="E1315" s="77"/>
      <c r="F1315" s="52"/>
      <c r="G1315" s="18"/>
      <c r="H1315" s="49"/>
      <c r="I1315" s="49"/>
      <c r="L1315" s="62"/>
      <c r="M1315" s="53"/>
    </row>
    <row r="1316" spans="1:17" x14ac:dyDescent="0.25">
      <c r="A1316" s="21" t="str">
        <f>IF(C1316="","",COUNTA($C$3:C1316))</f>
        <v/>
      </c>
      <c r="B1316" s="35" t="str">
        <f t="shared" si="36"/>
        <v/>
      </c>
      <c r="C1316" s="33"/>
      <c r="D1316" s="18"/>
      <c r="E1316" s="77"/>
      <c r="F1316" s="52"/>
      <c r="G1316" s="18"/>
      <c r="H1316" s="49"/>
      <c r="I1316" s="49"/>
      <c r="L1316" s="62"/>
      <c r="M1316" s="53"/>
    </row>
    <row r="1317" spans="1:17" x14ac:dyDescent="0.25">
      <c r="A1317" s="21" t="str">
        <f>IF(C1317="","",COUNTA($C$3:C1317))</f>
        <v/>
      </c>
      <c r="B1317" s="35" t="str">
        <f t="shared" si="36"/>
        <v/>
      </c>
      <c r="C1317" s="33"/>
      <c r="D1317" s="18"/>
      <c r="E1317" s="77"/>
      <c r="F1317" s="52"/>
      <c r="G1317" s="18"/>
      <c r="H1317" s="49"/>
      <c r="I1317" s="49"/>
      <c r="L1317" s="62"/>
      <c r="M1317" s="53"/>
    </row>
    <row r="1318" spans="1:17" x14ac:dyDescent="0.25">
      <c r="A1318" s="21" t="str">
        <f>IF(C1318="","",COUNTA($C$3:C1318))</f>
        <v/>
      </c>
      <c r="B1318" s="35" t="str">
        <f t="shared" si="36"/>
        <v/>
      </c>
      <c r="C1318" s="33"/>
      <c r="D1318" s="18"/>
      <c r="E1318" s="77"/>
      <c r="F1318" s="52"/>
      <c r="G1318" s="18"/>
      <c r="H1318" s="49"/>
      <c r="I1318" s="49"/>
      <c r="L1318" s="62"/>
      <c r="M1318" s="53"/>
    </row>
    <row r="1319" spans="1:17" x14ac:dyDescent="0.25">
      <c r="A1319" s="21" t="str">
        <f>IF(C1319="","",COUNTA($C$3:C1319))</f>
        <v/>
      </c>
      <c r="B1319" s="35" t="str">
        <f t="shared" si="36"/>
        <v/>
      </c>
      <c r="C1319" s="33"/>
      <c r="D1319" s="18"/>
      <c r="E1319" s="77"/>
      <c r="F1319" s="52"/>
      <c r="G1319" s="18"/>
      <c r="H1319" s="49"/>
      <c r="I1319" s="49"/>
      <c r="L1319" s="62"/>
      <c r="M1319" s="53"/>
    </row>
    <row r="1320" spans="1:17" x14ac:dyDescent="0.25">
      <c r="A1320" s="21" t="str">
        <f>IF(C1320="","",COUNTA($C$3:C1320))</f>
        <v/>
      </c>
      <c r="B1320" s="35" t="str">
        <f t="shared" si="36"/>
        <v/>
      </c>
      <c r="C1320" s="33"/>
      <c r="D1320" s="18"/>
      <c r="E1320" s="77"/>
      <c r="F1320" s="52"/>
      <c r="G1320" s="18"/>
      <c r="H1320" s="49"/>
      <c r="I1320" s="49"/>
      <c r="L1320" s="62"/>
      <c r="M1320" s="53"/>
      <c r="O1320" s="59"/>
      <c r="P1320" s="59"/>
      <c r="Q1320" s="59"/>
    </row>
    <row r="1321" spans="1:17" x14ac:dyDescent="0.25">
      <c r="A1321" s="21" t="str">
        <f>IF(C1321="","",COUNTA($C$3:C1321))</f>
        <v/>
      </c>
      <c r="B1321" s="35" t="str">
        <f t="shared" si="36"/>
        <v/>
      </c>
      <c r="C1321" s="33"/>
      <c r="D1321" s="18"/>
      <c r="E1321" s="77"/>
      <c r="F1321" s="52"/>
      <c r="G1321" s="18"/>
      <c r="H1321" s="49"/>
      <c r="I1321" s="49"/>
      <c r="M1321" s="53"/>
      <c r="O1321" s="59"/>
      <c r="P1321" s="59"/>
      <c r="Q1321" s="59"/>
    </row>
    <row r="1322" spans="1:17" x14ac:dyDescent="0.25">
      <c r="A1322" s="21" t="str">
        <f>IF(C1322="","",COUNTA($C$3:C1322))</f>
        <v/>
      </c>
      <c r="B1322" s="35" t="str">
        <f t="shared" si="36"/>
        <v/>
      </c>
      <c r="C1322" s="33"/>
      <c r="D1322" s="18"/>
      <c r="E1322" s="77"/>
      <c r="F1322" s="52"/>
      <c r="G1322" s="18"/>
      <c r="H1322" s="49"/>
      <c r="I1322" s="49"/>
      <c r="M1322" s="53"/>
      <c r="O1322" s="59"/>
      <c r="P1322" s="59"/>
      <c r="Q1322" s="59"/>
    </row>
    <row r="1323" spans="1:17" x14ac:dyDescent="0.25">
      <c r="A1323" s="21" t="str">
        <f>IF(C1323="","",COUNTA($C$3:C1323))</f>
        <v/>
      </c>
      <c r="B1323" s="35" t="str">
        <f t="shared" si="36"/>
        <v/>
      </c>
      <c r="C1323" s="33"/>
      <c r="D1323" s="18"/>
      <c r="E1323" s="77"/>
      <c r="F1323" s="52"/>
      <c r="G1323" s="18"/>
      <c r="H1323" s="49"/>
      <c r="I1323" s="49"/>
      <c r="K1323" s="55"/>
      <c r="L1323" s="62"/>
      <c r="M1323" s="53"/>
    </row>
    <row r="1324" spans="1:17" x14ac:dyDescent="0.25">
      <c r="A1324" s="21" t="str">
        <f>IF(C1324="","",COUNTA($C$3:C1324))</f>
        <v/>
      </c>
      <c r="B1324" s="35" t="str">
        <f t="shared" si="36"/>
        <v/>
      </c>
      <c r="C1324" s="33"/>
      <c r="E1324" s="60"/>
      <c r="F1324" s="52"/>
      <c r="G1324" s="18"/>
      <c r="H1324" s="49"/>
      <c r="I1324" s="49"/>
      <c r="L1324" s="62"/>
      <c r="M1324" s="53"/>
    </row>
    <row r="1325" spans="1:17" x14ac:dyDescent="0.25">
      <c r="A1325" s="21" t="str">
        <f>IF(C1325="","",COUNTA($C$3:C1325))</f>
        <v/>
      </c>
      <c r="B1325" s="35" t="str">
        <f t="shared" si="36"/>
        <v/>
      </c>
      <c r="C1325" s="33"/>
      <c r="E1325" s="60"/>
      <c r="F1325" s="52"/>
      <c r="G1325" s="18"/>
      <c r="H1325" s="49"/>
      <c r="I1325" s="49"/>
      <c r="L1325" s="62"/>
      <c r="M1325" s="53"/>
    </row>
    <row r="1326" spans="1:17" x14ac:dyDescent="0.25">
      <c r="A1326" s="21" t="str">
        <f>IF(C1326="","",COUNTA($C$3:C1326))</f>
        <v/>
      </c>
      <c r="B1326" s="35" t="str">
        <f t="shared" si="36"/>
        <v/>
      </c>
      <c r="C1326" s="33"/>
      <c r="E1326" s="60"/>
      <c r="F1326" s="52"/>
      <c r="G1326" s="18"/>
      <c r="H1326" s="49"/>
      <c r="I1326" s="49"/>
      <c r="L1326" s="62"/>
      <c r="M1326" s="53"/>
    </row>
    <row r="1327" spans="1:17" x14ac:dyDescent="0.25">
      <c r="A1327" s="21" t="str">
        <f>IF(C1327="","",COUNTA($C$3:C1327))</f>
        <v/>
      </c>
      <c r="B1327" s="35" t="str">
        <f t="shared" si="36"/>
        <v/>
      </c>
      <c r="C1327" s="33"/>
      <c r="E1327" s="60"/>
      <c r="F1327" s="52"/>
      <c r="G1327" s="18"/>
      <c r="H1327" s="49"/>
      <c r="I1327" s="49"/>
      <c r="L1327" s="62"/>
      <c r="M1327" s="53"/>
      <c r="O1327" s="59"/>
      <c r="P1327" s="112"/>
      <c r="Q1327" s="59"/>
    </row>
    <row r="1328" spans="1:17" x14ac:dyDescent="0.25">
      <c r="A1328" s="21" t="str">
        <f>IF(C1328="","",COUNTA($C$3:C1328))</f>
        <v/>
      </c>
      <c r="B1328" s="35" t="str">
        <f t="shared" si="36"/>
        <v/>
      </c>
      <c r="C1328" s="33"/>
      <c r="E1328" s="60"/>
      <c r="F1328" s="52"/>
      <c r="G1328" s="18"/>
      <c r="H1328" s="49"/>
      <c r="I1328" s="49"/>
      <c r="L1328" s="62"/>
      <c r="M1328" s="53"/>
    </row>
    <row r="1329" spans="1:15" x14ac:dyDescent="0.25">
      <c r="A1329" s="21" t="str">
        <f>IF(C1329="","",COUNTA($C$3:C1329))</f>
        <v/>
      </c>
      <c r="B1329" s="35" t="str">
        <f t="shared" si="36"/>
        <v/>
      </c>
      <c r="C1329" s="33"/>
      <c r="E1329" s="60"/>
      <c r="F1329" s="52"/>
      <c r="G1329" s="18"/>
      <c r="H1329" s="49"/>
      <c r="I1329" s="49"/>
      <c r="K1329" s="55"/>
      <c r="M1329" s="53"/>
    </row>
    <row r="1330" spans="1:15" x14ac:dyDescent="0.25">
      <c r="A1330" s="21" t="str">
        <f>IF(C1330="","",COUNTA($C$3:C1330))</f>
        <v/>
      </c>
      <c r="B1330" s="35" t="str">
        <f t="shared" si="36"/>
        <v/>
      </c>
      <c r="C1330" s="33"/>
      <c r="E1330" s="60"/>
      <c r="F1330" s="52"/>
      <c r="G1330" s="18"/>
      <c r="H1330" s="49"/>
      <c r="I1330" s="49"/>
      <c r="K1330" s="105"/>
      <c r="L1330" s="53"/>
      <c r="M1330" s="53"/>
    </row>
    <row r="1331" spans="1:15" x14ac:dyDescent="0.25">
      <c r="A1331" s="21" t="str">
        <f>IF(C1331="","",COUNTA($C$3:C1331))</f>
        <v/>
      </c>
      <c r="B1331" s="35" t="str">
        <f t="shared" si="36"/>
        <v/>
      </c>
      <c r="C1331" s="33"/>
      <c r="E1331" s="60"/>
      <c r="F1331" s="52"/>
      <c r="G1331" s="18"/>
      <c r="H1331" s="49"/>
      <c r="I1331" s="49"/>
      <c r="L1331" s="62"/>
      <c r="M1331" s="53"/>
      <c r="O1331" s="59"/>
    </row>
    <row r="1332" spans="1:15" x14ac:dyDescent="0.25">
      <c r="A1332" s="21" t="str">
        <f>IF(C1332="","",COUNTA($C$3:C1332))</f>
        <v/>
      </c>
      <c r="B1332" s="35" t="str">
        <f t="shared" si="36"/>
        <v/>
      </c>
      <c r="C1332" s="33"/>
      <c r="E1332" s="60"/>
      <c r="F1332" s="52"/>
      <c r="G1332" s="18"/>
      <c r="H1332" s="49"/>
      <c r="I1332" s="49"/>
      <c r="L1332" s="62"/>
      <c r="M1332" s="53"/>
    </row>
    <row r="1333" spans="1:15" x14ac:dyDescent="0.25">
      <c r="A1333" s="21" t="str">
        <f>IF(C1333="","",COUNTA($C$3:C1333))</f>
        <v/>
      </c>
      <c r="B1333" s="35" t="str">
        <f t="shared" si="36"/>
        <v/>
      </c>
      <c r="C1333" s="33"/>
      <c r="E1333" s="60"/>
      <c r="F1333" s="52"/>
      <c r="G1333" s="18"/>
      <c r="H1333" s="49"/>
      <c r="I1333" s="49"/>
      <c r="L1333" s="62"/>
      <c r="M1333" s="53"/>
    </row>
    <row r="1334" spans="1:15" x14ac:dyDescent="0.25">
      <c r="A1334" s="21" t="str">
        <f>IF(C1334="","",COUNTA($C$3:C1334))</f>
        <v/>
      </c>
      <c r="B1334" s="35" t="str">
        <f t="shared" si="36"/>
        <v/>
      </c>
      <c r="C1334" s="33"/>
      <c r="E1334" s="60"/>
      <c r="F1334" s="52"/>
      <c r="G1334" s="18"/>
      <c r="H1334" s="49"/>
      <c r="I1334" s="49"/>
      <c r="K1334" s="55"/>
      <c r="M1334" s="53"/>
    </row>
    <row r="1335" spans="1:15" x14ac:dyDescent="0.25">
      <c r="A1335" s="21" t="str">
        <f>IF(C1335="","",COUNTA($C$3:C1335))</f>
        <v/>
      </c>
      <c r="B1335" s="35" t="str">
        <f t="shared" si="36"/>
        <v/>
      </c>
      <c r="C1335" s="33"/>
      <c r="E1335" s="60"/>
      <c r="F1335" s="52"/>
      <c r="G1335" s="18"/>
      <c r="H1335" s="49"/>
      <c r="I1335" s="76"/>
      <c r="L1335" s="53"/>
      <c r="M1335" s="53"/>
    </row>
    <row r="1336" spans="1:15" x14ac:dyDescent="0.25">
      <c r="A1336" s="21" t="str">
        <f>IF(C1336="","",COUNTA($C$3:C1336))</f>
        <v/>
      </c>
      <c r="B1336" s="35" t="str">
        <f t="shared" si="36"/>
        <v/>
      </c>
      <c r="C1336" s="33"/>
      <c r="E1336" s="60"/>
      <c r="F1336" s="52"/>
      <c r="G1336" s="18"/>
      <c r="H1336" s="49"/>
      <c r="I1336" s="49"/>
      <c r="L1336" s="62"/>
      <c r="M1336" s="53"/>
    </row>
    <row r="1337" spans="1:15" x14ac:dyDescent="0.25">
      <c r="A1337" s="21" t="str">
        <f>IF(C1337="","",COUNTA($C$3:C1337))</f>
        <v/>
      </c>
      <c r="B1337" s="35" t="str">
        <f t="shared" si="36"/>
        <v/>
      </c>
      <c r="C1337" s="33"/>
      <c r="E1337" s="60"/>
      <c r="F1337" s="52"/>
      <c r="G1337" s="18"/>
      <c r="H1337" s="49"/>
      <c r="I1337" s="49"/>
      <c r="L1337" s="62"/>
      <c r="M1337" s="53"/>
    </row>
    <row r="1338" spans="1:15" x14ac:dyDescent="0.25">
      <c r="A1338" s="21" t="str">
        <f>IF(C1338="","",COUNTA($C$3:C1338))</f>
        <v/>
      </c>
      <c r="B1338" s="35" t="str">
        <f t="shared" si="36"/>
        <v/>
      </c>
      <c r="C1338" s="33"/>
      <c r="E1338" s="60"/>
      <c r="F1338" s="52"/>
      <c r="G1338" s="18"/>
      <c r="H1338" s="49"/>
      <c r="I1338" s="49"/>
      <c r="L1338" s="62"/>
      <c r="M1338" s="53"/>
    </row>
    <row r="1339" spans="1:15" x14ac:dyDescent="0.25">
      <c r="A1339" s="21" t="str">
        <f>IF(C1339="","",COUNTA($C$3:C1339))</f>
        <v/>
      </c>
      <c r="B1339" s="35" t="str">
        <f t="shared" si="36"/>
        <v/>
      </c>
      <c r="C1339" s="33"/>
      <c r="E1339" s="60"/>
      <c r="F1339" s="52"/>
      <c r="G1339" s="18"/>
      <c r="H1339" s="49"/>
      <c r="I1339" s="49"/>
      <c r="L1339" s="62"/>
      <c r="M1339" s="53"/>
    </row>
    <row r="1340" spans="1:15" x14ac:dyDescent="0.25">
      <c r="A1340" s="21" t="str">
        <f>IF(C1340="","",COUNTA($C$3:C1340))</f>
        <v/>
      </c>
      <c r="B1340" s="35" t="str">
        <f t="shared" si="36"/>
        <v/>
      </c>
      <c r="C1340" s="33"/>
      <c r="E1340" s="60"/>
      <c r="F1340" s="52"/>
      <c r="G1340" s="18"/>
      <c r="H1340" s="49"/>
      <c r="I1340" s="49"/>
      <c r="L1340" s="53"/>
      <c r="M1340" s="53"/>
    </row>
    <row r="1341" spans="1:15" x14ac:dyDescent="0.25">
      <c r="A1341" s="21" t="str">
        <f>IF(C1341="","",COUNTA($C$3:C1341))</f>
        <v/>
      </c>
      <c r="B1341" s="35" t="str">
        <f t="shared" si="36"/>
        <v/>
      </c>
      <c r="C1341" s="33"/>
      <c r="E1341" s="60"/>
      <c r="F1341" s="52"/>
      <c r="G1341" s="18"/>
      <c r="H1341" s="49"/>
      <c r="I1341" s="49"/>
      <c r="L1341" s="62"/>
      <c r="M1341" s="53"/>
    </row>
    <row r="1342" spans="1:15" x14ac:dyDescent="0.25">
      <c r="A1342" s="21" t="str">
        <f>IF(C1342="","",COUNTA($C$3:C1342))</f>
        <v/>
      </c>
      <c r="B1342" s="35" t="str">
        <f t="shared" si="36"/>
        <v/>
      </c>
      <c r="C1342" s="33"/>
      <c r="E1342" s="60"/>
      <c r="F1342" s="52"/>
      <c r="G1342" s="18"/>
      <c r="H1342" s="49"/>
      <c r="I1342" s="49"/>
      <c r="L1342" s="62"/>
      <c r="M1342" s="53"/>
    </row>
    <row r="1343" spans="1:15" x14ac:dyDescent="0.25">
      <c r="A1343" s="21" t="str">
        <f>IF(C1343="","",COUNTA($C$3:C1343))</f>
        <v/>
      </c>
      <c r="B1343" s="35" t="str">
        <f t="shared" si="36"/>
        <v/>
      </c>
      <c r="C1343" s="33"/>
      <c r="E1343" s="60"/>
      <c r="F1343" s="52"/>
      <c r="G1343" s="18"/>
      <c r="H1343" s="49"/>
      <c r="I1343" s="49"/>
      <c r="L1343" s="62"/>
      <c r="M1343" s="53"/>
      <c r="O1343" s="59"/>
    </row>
    <row r="1344" spans="1:15" x14ac:dyDescent="0.25">
      <c r="A1344" s="21" t="str">
        <f>IF(C1344="","",COUNTA($C$3:C1344))</f>
        <v/>
      </c>
      <c r="B1344" s="35" t="str">
        <f t="shared" si="36"/>
        <v/>
      </c>
      <c r="C1344" s="33"/>
      <c r="E1344" s="60"/>
      <c r="F1344" s="52"/>
      <c r="G1344" s="18"/>
      <c r="H1344" s="49"/>
      <c r="I1344" s="49"/>
      <c r="L1344" s="62"/>
      <c r="M1344" s="53"/>
      <c r="O1344" s="59"/>
    </row>
    <row r="1345" spans="1:17" x14ac:dyDescent="0.25">
      <c r="A1345" s="21" t="str">
        <f>IF(C1345="","",COUNTA($C$3:C1345))</f>
        <v/>
      </c>
      <c r="B1345" s="35" t="str">
        <f t="shared" si="36"/>
        <v/>
      </c>
      <c r="C1345" s="33"/>
      <c r="E1345" s="60"/>
      <c r="F1345" s="52"/>
      <c r="G1345" s="18"/>
      <c r="H1345" s="49"/>
      <c r="I1345" s="49"/>
      <c r="L1345" s="62"/>
      <c r="M1345" s="53"/>
      <c r="O1345" s="59"/>
    </row>
    <row r="1346" spans="1:17" x14ac:dyDescent="0.25">
      <c r="A1346" s="21" t="str">
        <f>IF(C1346="","",COUNTA($C$3:C1346))</f>
        <v/>
      </c>
      <c r="B1346" s="35" t="str">
        <f t="shared" si="36"/>
        <v/>
      </c>
      <c r="C1346" s="33"/>
      <c r="E1346" s="60"/>
      <c r="F1346" s="52"/>
      <c r="G1346" s="18"/>
      <c r="H1346" s="49"/>
      <c r="I1346" s="49"/>
      <c r="L1346" s="62"/>
      <c r="M1346" s="53"/>
      <c r="O1346" s="59"/>
    </row>
    <row r="1347" spans="1:17" x14ac:dyDescent="0.25">
      <c r="A1347" s="21" t="str">
        <f>IF(C1347="","",COUNTA($C$3:C1347))</f>
        <v/>
      </c>
      <c r="B1347" s="35" t="str">
        <f t="shared" si="36"/>
        <v/>
      </c>
      <c r="C1347" s="33"/>
      <c r="E1347" s="60"/>
      <c r="F1347" s="52"/>
      <c r="G1347" s="18"/>
      <c r="H1347" s="49"/>
      <c r="I1347" s="49"/>
      <c r="L1347" s="62"/>
      <c r="M1347" s="53"/>
      <c r="O1347" s="59"/>
    </row>
    <row r="1348" spans="1:17" x14ac:dyDescent="0.25">
      <c r="A1348" s="21" t="str">
        <f>IF(C1348="","",COUNTA($C$3:C1348))</f>
        <v/>
      </c>
      <c r="B1348" s="35" t="str">
        <f t="shared" si="36"/>
        <v/>
      </c>
      <c r="C1348" s="33"/>
      <c r="E1348" s="60"/>
      <c r="F1348" s="52"/>
      <c r="G1348" s="18"/>
      <c r="H1348" s="49"/>
      <c r="I1348" s="49"/>
      <c r="L1348" s="62"/>
      <c r="M1348" s="53"/>
      <c r="O1348" s="59"/>
    </row>
    <row r="1349" spans="1:17" x14ac:dyDescent="0.25">
      <c r="A1349" s="21" t="str">
        <f>IF(C1349="","",COUNTA($C$3:C1349))</f>
        <v/>
      </c>
      <c r="B1349" s="35" t="str">
        <f t="shared" ref="B1349:B1412" si="37">IF(C1349="","",TEXT(C1349,"mmmm"))</f>
        <v/>
      </c>
      <c r="C1349" s="33"/>
      <c r="E1349" s="60"/>
      <c r="F1349" s="52"/>
      <c r="G1349" s="18"/>
      <c r="H1349" s="49"/>
      <c r="I1349" s="49"/>
      <c r="L1349" s="62"/>
      <c r="M1349" s="53"/>
      <c r="O1349" s="59"/>
      <c r="P1349" s="69"/>
      <c r="Q1349" s="59"/>
    </row>
    <row r="1350" spans="1:17" x14ac:dyDescent="0.25">
      <c r="A1350" s="21" t="str">
        <f>IF(C1350="","",COUNTA($C$3:C1350))</f>
        <v/>
      </c>
      <c r="B1350" s="35" t="str">
        <f t="shared" si="37"/>
        <v/>
      </c>
      <c r="C1350" s="33"/>
      <c r="E1350" s="60"/>
      <c r="F1350" s="52"/>
      <c r="G1350" s="18"/>
      <c r="H1350" s="49"/>
      <c r="I1350" s="49"/>
      <c r="L1350" s="62"/>
      <c r="M1350" s="53"/>
      <c r="O1350" s="59"/>
      <c r="P1350" s="114"/>
      <c r="Q1350" s="59"/>
    </row>
    <row r="1351" spans="1:17" x14ac:dyDescent="0.25">
      <c r="A1351" s="21" t="str">
        <f>IF(C1351="","",COUNTA($C$3:C1351))</f>
        <v/>
      </c>
      <c r="B1351" s="35" t="str">
        <f t="shared" si="37"/>
        <v/>
      </c>
      <c r="C1351" s="33"/>
      <c r="E1351" s="60"/>
      <c r="F1351" s="52"/>
      <c r="G1351" s="18"/>
      <c r="H1351" s="49"/>
      <c r="I1351" s="49"/>
      <c r="K1351" s="55"/>
      <c r="L1351" s="62"/>
      <c r="M1351" s="53"/>
    </row>
    <row r="1352" spans="1:17" x14ac:dyDescent="0.25">
      <c r="A1352" s="21" t="str">
        <f>IF(C1352="","",COUNTA($C$3:C1352))</f>
        <v/>
      </c>
      <c r="B1352" s="35" t="str">
        <f t="shared" si="37"/>
        <v/>
      </c>
      <c r="C1352" s="33"/>
      <c r="E1352" s="60"/>
      <c r="F1352" s="52"/>
      <c r="G1352" s="18"/>
      <c r="H1352" s="49"/>
      <c r="I1352" s="49"/>
      <c r="L1352" s="62"/>
      <c r="M1352" s="53"/>
      <c r="O1352" s="59"/>
    </row>
    <row r="1353" spans="1:17" x14ac:dyDescent="0.25">
      <c r="A1353" s="21" t="str">
        <f>IF(C1353="","",COUNTA($C$3:C1353))</f>
        <v/>
      </c>
      <c r="B1353" s="35" t="str">
        <f t="shared" si="37"/>
        <v/>
      </c>
      <c r="C1353" s="33"/>
      <c r="E1353" s="60"/>
      <c r="F1353" s="52"/>
      <c r="G1353" s="18"/>
      <c r="H1353" s="49"/>
      <c r="I1353" s="49"/>
      <c r="L1353" s="62"/>
      <c r="M1353" s="53"/>
    </row>
    <row r="1354" spans="1:17" x14ac:dyDescent="0.25">
      <c r="A1354" s="21" t="str">
        <f>IF(C1354="","",COUNTA($C$3:C1354))</f>
        <v/>
      </c>
      <c r="B1354" s="35" t="str">
        <f t="shared" si="37"/>
        <v/>
      </c>
      <c r="C1354" s="33"/>
      <c r="E1354" s="60"/>
      <c r="F1354" s="52"/>
      <c r="G1354" s="18"/>
      <c r="H1354" s="49"/>
      <c r="I1354" s="49"/>
      <c r="L1354" s="62"/>
      <c r="M1354" s="53"/>
    </row>
    <row r="1355" spans="1:17" x14ac:dyDescent="0.25">
      <c r="A1355" s="21" t="str">
        <f>IF(C1355="","",COUNTA($C$3:C1355))</f>
        <v/>
      </c>
      <c r="B1355" s="35" t="str">
        <f t="shared" si="37"/>
        <v/>
      </c>
      <c r="C1355" s="33"/>
      <c r="E1355" s="60"/>
      <c r="F1355" s="52"/>
      <c r="G1355" s="18"/>
      <c r="H1355" s="49"/>
      <c r="I1355" s="49"/>
      <c r="L1355" s="62"/>
      <c r="M1355" s="53"/>
    </row>
    <row r="1356" spans="1:17" x14ac:dyDescent="0.25">
      <c r="A1356" s="21" t="str">
        <f>IF(C1356="","",COUNTA($C$3:C1356))</f>
        <v/>
      </c>
      <c r="B1356" s="35" t="str">
        <f t="shared" si="37"/>
        <v/>
      </c>
      <c r="C1356" s="33"/>
      <c r="E1356" s="60"/>
      <c r="F1356" s="52"/>
      <c r="G1356" s="18"/>
      <c r="H1356" s="49"/>
      <c r="I1356" s="49"/>
      <c r="L1356" s="62"/>
      <c r="M1356" s="53"/>
    </row>
    <row r="1357" spans="1:17" x14ac:dyDescent="0.25">
      <c r="A1357" s="21" t="str">
        <f>IF(C1357="","",COUNTA($C$3:C1357))</f>
        <v/>
      </c>
      <c r="B1357" s="35" t="str">
        <f t="shared" si="37"/>
        <v/>
      </c>
      <c r="C1357" s="33"/>
      <c r="E1357" s="60"/>
      <c r="F1357" s="52"/>
      <c r="G1357" s="18"/>
      <c r="H1357" s="49"/>
      <c r="I1357" s="49"/>
      <c r="L1357" s="62"/>
      <c r="M1357" s="53"/>
    </row>
    <row r="1358" spans="1:17" x14ac:dyDescent="0.25">
      <c r="A1358" s="21" t="str">
        <f>IF(C1358="","",COUNTA($C$3:C1358))</f>
        <v/>
      </c>
      <c r="B1358" s="35" t="str">
        <f t="shared" si="37"/>
        <v/>
      </c>
      <c r="C1358" s="33"/>
      <c r="E1358" s="60"/>
      <c r="F1358" s="52"/>
      <c r="G1358" s="18"/>
      <c r="H1358" s="49"/>
      <c r="I1358" s="49"/>
      <c r="L1358" s="62"/>
      <c r="M1358" s="53"/>
    </row>
    <row r="1359" spans="1:17" x14ac:dyDescent="0.25">
      <c r="A1359" s="21" t="str">
        <f>IF(C1359="","",COUNTA($C$3:C1359))</f>
        <v/>
      </c>
      <c r="B1359" s="35" t="str">
        <f t="shared" si="37"/>
        <v/>
      </c>
      <c r="C1359" s="33"/>
      <c r="E1359" s="60"/>
      <c r="F1359" s="52"/>
      <c r="G1359" s="18"/>
      <c r="H1359" s="49"/>
      <c r="I1359" s="49"/>
      <c r="K1359" s="55"/>
      <c r="M1359" s="53"/>
      <c r="O1359" s="59"/>
    </row>
    <row r="1360" spans="1:17" x14ac:dyDescent="0.25">
      <c r="A1360" s="21" t="str">
        <f>IF(C1360="","",COUNTA($C$3:C1360))</f>
        <v/>
      </c>
      <c r="B1360" s="35" t="str">
        <f t="shared" si="37"/>
        <v/>
      </c>
      <c r="C1360" s="33"/>
      <c r="E1360" s="60"/>
      <c r="F1360" s="52"/>
      <c r="G1360" s="18"/>
      <c r="H1360" s="49"/>
      <c r="I1360" s="49"/>
      <c r="L1360" s="62"/>
      <c r="M1360" s="53"/>
      <c r="O1360" s="59"/>
    </row>
    <row r="1361" spans="1:18" x14ac:dyDescent="0.25">
      <c r="A1361" s="21" t="str">
        <f>IF(C1361="","",COUNTA($C$3:C1361))</f>
        <v/>
      </c>
      <c r="B1361" s="35" t="str">
        <f t="shared" si="37"/>
        <v/>
      </c>
      <c r="C1361" s="33"/>
      <c r="E1361" s="60"/>
      <c r="F1361" s="52"/>
      <c r="G1361" s="18"/>
      <c r="H1361" s="49"/>
      <c r="I1361" s="49"/>
      <c r="L1361" s="62"/>
      <c r="M1361" s="53"/>
      <c r="O1361" s="59"/>
    </row>
    <row r="1362" spans="1:18" x14ac:dyDescent="0.25">
      <c r="A1362" s="21" t="str">
        <f>IF(C1362="","",COUNTA($C$3:C1362))</f>
        <v/>
      </c>
      <c r="B1362" s="35" t="str">
        <f t="shared" si="37"/>
        <v/>
      </c>
      <c r="C1362" s="33"/>
      <c r="E1362" s="60"/>
      <c r="F1362" s="52"/>
      <c r="G1362" s="18"/>
      <c r="H1362" s="49"/>
      <c r="I1362" s="76"/>
      <c r="L1362" s="62"/>
      <c r="M1362" s="53"/>
      <c r="O1362" s="59"/>
    </row>
    <row r="1363" spans="1:18" x14ac:dyDescent="0.25">
      <c r="A1363" s="21" t="str">
        <f>IF(C1363="","",COUNTA($C$3:C1363))</f>
        <v/>
      </c>
      <c r="B1363" s="35" t="str">
        <f t="shared" si="37"/>
        <v/>
      </c>
      <c r="C1363" s="33"/>
      <c r="E1363" s="60"/>
      <c r="F1363" s="52"/>
      <c r="G1363" s="18"/>
      <c r="H1363" s="49"/>
      <c r="I1363" s="49"/>
      <c r="L1363" s="62"/>
      <c r="M1363" s="53"/>
      <c r="O1363" s="59"/>
    </row>
    <row r="1364" spans="1:18" x14ac:dyDescent="0.25">
      <c r="A1364" s="21" t="str">
        <f>IF(C1364="","",COUNTA($C$3:C1364))</f>
        <v/>
      </c>
      <c r="B1364" s="35" t="str">
        <f t="shared" si="37"/>
        <v/>
      </c>
      <c r="C1364" s="33"/>
      <c r="E1364" s="60"/>
      <c r="F1364" s="52"/>
      <c r="G1364" s="18"/>
      <c r="H1364" s="49"/>
      <c r="I1364" s="49"/>
      <c r="L1364" s="62"/>
      <c r="M1364" s="53"/>
      <c r="O1364" s="59"/>
    </row>
    <row r="1365" spans="1:18" x14ac:dyDescent="0.25">
      <c r="A1365" s="21" t="str">
        <f>IF(C1365="","",COUNTA($C$3:C1365))</f>
        <v/>
      </c>
      <c r="B1365" s="35" t="str">
        <f t="shared" si="37"/>
        <v/>
      </c>
      <c r="C1365" s="33"/>
      <c r="E1365" s="60"/>
      <c r="F1365" s="52"/>
      <c r="G1365" s="18"/>
      <c r="H1365" s="49"/>
      <c r="I1365" s="49"/>
      <c r="L1365" s="62"/>
      <c r="M1365" s="53"/>
      <c r="O1365" s="59"/>
    </row>
    <row r="1366" spans="1:18" x14ac:dyDescent="0.25">
      <c r="A1366" s="21" t="str">
        <f>IF(C1366="","",COUNTA($C$3:C1366))</f>
        <v/>
      </c>
      <c r="B1366" s="35" t="str">
        <f t="shared" si="37"/>
        <v/>
      </c>
      <c r="C1366" s="33"/>
      <c r="E1366" s="60"/>
      <c r="F1366" s="52"/>
      <c r="G1366" s="18"/>
      <c r="H1366" s="49"/>
      <c r="I1366" s="49"/>
      <c r="L1366" s="62"/>
      <c r="M1366" s="53"/>
    </row>
    <row r="1367" spans="1:18" x14ac:dyDescent="0.25">
      <c r="A1367" s="21" t="str">
        <f>IF(C1367="","",COUNTA($C$3:C1367))</f>
        <v/>
      </c>
      <c r="B1367" s="35" t="str">
        <f t="shared" si="37"/>
        <v/>
      </c>
      <c r="C1367" s="33"/>
      <c r="E1367" s="60"/>
      <c r="F1367" s="52"/>
      <c r="G1367" s="18"/>
      <c r="H1367" s="49"/>
      <c r="I1367" s="49"/>
      <c r="L1367" s="62"/>
      <c r="M1367" s="53"/>
    </row>
    <row r="1368" spans="1:18" x14ac:dyDescent="0.25">
      <c r="A1368" s="21" t="str">
        <f>IF(C1368="","",COUNTA($C$3:C1368))</f>
        <v/>
      </c>
      <c r="B1368" s="35" t="str">
        <f t="shared" si="37"/>
        <v/>
      </c>
      <c r="C1368" s="33"/>
      <c r="E1368" s="60"/>
      <c r="F1368" s="52"/>
      <c r="G1368" s="18"/>
      <c r="H1368" s="49"/>
      <c r="I1368" s="49"/>
      <c r="L1368" s="62"/>
      <c r="M1368" s="53"/>
    </row>
    <row r="1369" spans="1:18" x14ac:dyDescent="0.25">
      <c r="A1369" s="21" t="str">
        <f>IF(C1369="","",COUNTA($C$3:C1369))</f>
        <v/>
      </c>
      <c r="B1369" s="35" t="str">
        <f t="shared" si="37"/>
        <v/>
      </c>
      <c r="C1369" s="33"/>
      <c r="E1369" s="60"/>
      <c r="F1369" s="52"/>
      <c r="G1369" s="18"/>
      <c r="H1369" s="49"/>
      <c r="I1369" s="49"/>
      <c r="L1369" s="62"/>
      <c r="M1369" s="53"/>
    </row>
    <row r="1370" spans="1:18" x14ac:dyDescent="0.25">
      <c r="A1370" s="21" t="str">
        <f>IF(C1370="","",COUNTA($C$3:C1370))</f>
        <v/>
      </c>
      <c r="B1370" s="35" t="str">
        <f t="shared" si="37"/>
        <v/>
      </c>
      <c r="C1370" s="33"/>
      <c r="E1370" s="60"/>
      <c r="F1370" s="52"/>
      <c r="G1370" s="18"/>
      <c r="H1370" s="49"/>
      <c r="I1370" s="49"/>
      <c r="L1370" s="62"/>
      <c r="M1370" s="53"/>
    </row>
    <row r="1371" spans="1:18" x14ac:dyDescent="0.25">
      <c r="A1371" s="21" t="str">
        <f>IF(C1371="","",COUNTA($C$3:C1371))</f>
        <v/>
      </c>
      <c r="B1371" s="35" t="str">
        <f t="shared" si="37"/>
        <v/>
      </c>
      <c r="C1371" s="33"/>
      <c r="E1371" s="60"/>
      <c r="F1371" s="52"/>
      <c r="G1371" s="18"/>
      <c r="H1371" s="49"/>
      <c r="I1371" s="49"/>
      <c r="L1371" s="62"/>
      <c r="M1371" s="53"/>
    </row>
    <row r="1372" spans="1:18" x14ac:dyDescent="0.25">
      <c r="A1372" s="21" t="str">
        <f>IF(C1372="","",COUNTA($C$3:C1372))</f>
        <v/>
      </c>
      <c r="B1372" s="35" t="str">
        <f t="shared" si="37"/>
        <v/>
      </c>
      <c r="C1372" s="33"/>
      <c r="E1372" s="60"/>
      <c r="F1372" s="52"/>
      <c r="G1372" s="18"/>
      <c r="H1372" s="49"/>
      <c r="I1372" s="49"/>
      <c r="L1372" s="62"/>
      <c r="M1372" s="53"/>
    </row>
    <row r="1373" spans="1:18" x14ac:dyDescent="0.25">
      <c r="A1373" s="21" t="str">
        <f>IF(C1373="","",COUNTA($C$3:C1373))</f>
        <v/>
      </c>
      <c r="B1373" s="35" t="str">
        <f t="shared" si="37"/>
        <v/>
      </c>
      <c r="C1373" s="33"/>
      <c r="E1373" s="60"/>
      <c r="F1373" s="52"/>
      <c r="G1373" s="18"/>
      <c r="H1373" s="49"/>
      <c r="I1373" s="49"/>
      <c r="L1373" s="62"/>
      <c r="M1373" s="53"/>
    </row>
    <row r="1374" spans="1:18" x14ac:dyDescent="0.25">
      <c r="A1374" s="21" t="str">
        <f>IF(C1374="","",COUNTA($C$3:C1374))</f>
        <v/>
      </c>
      <c r="B1374" s="35" t="str">
        <f t="shared" si="37"/>
        <v/>
      </c>
      <c r="C1374" s="33"/>
      <c r="E1374" s="60"/>
      <c r="F1374" s="52"/>
      <c r="G1374" s="18"/>
      <c r="H1374" s="49"/>
      <c r="I1374" s="49"/>
      <c r="L1374" s="62"/>
      <c r="M1374" s="53"/>
      <c r="P1374" s="59"/>
      <c r="R1374" s="59"/>
    </row>
    <row r="1375" spans="1:18" x14ac:dyDescent="0.25">
      <c r="A1375" s="21" t="str">
        <f>IF(C1375="","",COUNTA($C$3:C1375))</f>
        <v/>
      </c>
      <c r="B1375" s="35" t="str">
        <f t="shared" si="37"/>
        <v/>
      </c>
      <c r="C1375" s="33"/>
      <c r="E1375" s="60"/>
      <c r="F1375" s="52"/>
      <c r="G1375" s="18"/>
      <c r="H1375" s="49"/>
      <c r="I1375" s="49"/>
      <c r="L1375" s="62"/>
      <c r="M1375" s="53"/>
    </row>
    <row r="1376" spans="1:18" x14ac:dyDescent="0.25">
      <c r="A1376" s="21" t="str">
        <f>IF(C1376="","",COUNTA($C$3:C1376))</f>
        <v/>
      </c>
      <c r="B1376" s="35" t="str">
        <f t="shared" si="37"/>
        <v/>
      </c>
      <c r="C1376" s="33"/>
      <c r="E1376" s="60"/>
      <c r="F1376" s="52"/>
      <c r="G1376" s="18"/>
      <c r="H1376" s="49"/>
      <c r="I1376" s="49"/>
      <c r="L1376" s="62"/>
      <c r="M1376" s="53"/>
      <c r="R1376" s="59"/>
    </row>
    <row r="1377" spans="1:18" x14ac:dyDescent="0.25">
      <c r="A1377" s="21" t="str">
        <f>IF(C1377="","",COUNTA($C$3:C1377))</f>
        <v/>
      </c>
      <c r="B1377" s="35" t="str">
        <f t="shared" si="37"/>
        <v/>
      </c>
      <c r="C1377" s="33"/>
      <c r="E1377" s="60"/>
      <c r="F1377" s="52"/>
      <c r="G1377" s="18"/>
      <c r="H1377" s="49"/>
      <c r="I1377" s="49"/>
      <c r="L1377" s="62"/>
      <c r="M1377" s="53"/>
      <c r="R1377" s="59"/>
    </row>
    <row r="1378" spans="1:18" x14ac:dyDescent="0.25">
      <c r="A1378" s="21" t="str">
        <f>IF(C1378="","",COUNTA($C$3:C1378))</f>
        <v/>
      </c>
      <c r="B1378" s="35" t="str">
        <f t="shared" si="37"/>
        <v/>
      </c>
      <c r="C1378" s="33"/>
      <c r="E1378" s="60"/>
      <c r="F1378" s="52"/>
      <c r="G1378" s="18"/>
      <c r="H1378" s="49"/>
      <c r="I1378" s="49"/>
      <c r="L1378" s="62"/>
      <c r="M1378" s="53"/>
    </row>
    <row r="1379" spans="1:18" x14ac:dyDescent="0.25">
      <c r="A1379" s="21" t="str">
        <f>IF(C1379="","",COUNTA($C$3:C1379))</f>
        <v/>
      </c>
      <c r="B1379" s="35" t="str">
        <f t="shared" si="37"/>
        <v/>
      </c>
      <c r="C1379" s="33"/>
      <c r="E1379" s="60"/>
      <c r="F1379" s="52"/>
      <c r="G1379" s="18"/>
      <c r="H1379" s="49"/>
      <c r="I1379" s="49"/>
      <c r="L1379" s="62"/>
      <c r="M1379" s="53"/>
    </row>
    <row r="1380" spans="1:18" x14ac:dyDescent="0.25">
      <c r="A1380" s="21" t="str">
        <f>IF(C1380="","",COUNTA($C$3:C1380))</f>
        <v/>
      </c>
      <c r="B1380" s="35" t="str">
        <f t="shared" si="37"/>
        <v/>
      </c>
      <c r="C1380" s="33"/>
      <c r="E1380" s="60"/>
      <c r="F1380" s="52"/>
      <c r="G1380" s="18"/>
      <c r="H1380" s="49"/>
      <c r="I1380" s="49"/>
      <c r="L1380" s="62"/>
      <c r="M1380" s="53"/>
    </row>
    <row r="1381" spans="1:18" x14ac:dyDescent="0.25">
      <c r="A1381" s="21" t="str">
        <f>IF(C1381="","",COUNTA($C$3:C1381))</f>
        <v/>
      </c>
      <c r="B1381" s="35" t="str">
        <f t="shared" si="37"/>
        <v/>
      </c>
      <c r="C1381" s="33"/>
      <c r="E1381" s="60"/>
      <c r="F1381" s="52"/>
      <c r="G1381" s="18"/>
      <c r="H1381" s="49"/>
      <c r="I1381" s="49"/>
      <c r="L1381" s="62"/>
      <c r="M1381" s="53"/>
    </row>
    <row r="1382" spans="1:18" x14ac:dyDescent="0.25">
      <c r="A1382" s="21" t="str">
        <f>IF(C1382="","",COUNTA($C$3:C1382))</f>
        <v/>
      </c>
      <c r="B1382" s="35" t="str">
        <f t="shared" si="37"/>
        <v/>
      </c>
      <c r="C1382" s="33"/>
      <c r="E1382" s="60"/>
      <c r="F1382" s="52"/>
      <c r="G1382" s="18"/>
      <c r="H1382" s="49"/>
      <c r="I1382" s="49"/>
      <c r="L1382" s="62"/>
      <c r="M1382" s="53"/>
    </row>
    <row r="1383" spans="1:18" x14ac:dyDescent="0.25">
      <c r="A1383" s="21" t="str">
        <f>IF(C1383="","",COUNTA($C$3:C1383))</f>
        <v/>
      </c>
      <c r="B1383" s="35" t="str">
        <f t="shared" si="37"/>
        <v/>
      </c>
      <c r="C1383" s="33"/>
      <c r="E1383" s="60"/>
      <c r="F1383" s="52"/>
      <c r="G1383" s="18"/>
      <c r="H1383" s="49"/>
      <c r="I1383" s="49"/>
      <c r="L1383" s="62"/>
      <c r="M1383" s="53"/>
    </row>
    <row r="1384" spans="1:18" x14ac:dyDescent="0.25">
      <c r="A1384" s="21" t="str">
        <f>IF(C1384="","",COUNTA($C$3:C1384))</f>
        <v/>
      </c>
      <c r="B1384" s="35" t="str">
        <f t="shared" si="37"/>
        <v/>
      </c>
      <c r="C1384" s="33"/>
      <c r="E1384" s="60"/>
      <c r="F1384" s="52"/>
      <c r="G1384" s="18"/>
      <c r="H1384" s="49"/>
      <c r="I1384" s="49"/>
      <c r="L1384" s="62"/>
      <c r="M1384" s="53"/>
    </row>
    <row r="1385" spans="1:18" x14ac:dyDescent="0.25">
      <c r="A1385" s="21" t="str">
        <f>IF(C1385="","",COUNTA($C$3:C1385))</f>
        <v/>
      </c>
      <c r="B1385" s="35" t="str">
        <f t="shared" si="37"/>
        <v/>
      </c>
      <c r="C1385" s="33"/>
      <c r="E1385" s="60"/>
      <c r="F1385" s="52"/>
      <c r="G1385" s="18"/>
      <c r="H1385" s="49"/>
      <c r="I1385" s="49"/>
      <c r="L1385" s="62"/>
      <c r="M1385" s="53"/>
    </row>
    <row r="1386" spans="1:18" x14ac:dyDescent="0.25">
      <c r="A1386" s="21" t="str">
        <f>IF(C1386="","",COUNTA($C$3:C1386))</f>
        <v/>
      </c>
      <c r="B1386" s="35" t="str">
        <f t="shared" si="37"/>
        <v/>
      </c>
      <c r="C1386" s="33"/>
      <c r="E1386" s="60"/>
      <c r="F1386" s="52"/>
      <c r="G1386" s="18"/>
      <c r="H1386" s="49"/>
      <c r="I1386" s="49"/>
      <c r="L1386" s="62"/>
      <c r="M1386" s="53"/>
    </row>
    <row r="1387" spans="1:18" x14ac:dyDescent="0.25">
      <c r="A1387" s="21" t="str">
        <f>IF(C1387="","",COUNTA($C$3:C1387))</f>
        <v/>
      </c>
      <c r="B1387" s="35" t="str">
        <f t="shared" si="37"/>
        <v/>
      </c>
      <c r="C1387" s="33"/>
      <c r="E1387" s="60"/>
      <c r="F1387" s="52"/>
      <c r="G1387" s="18"/>
      <c r="H1387" s="49"/>
      <c r="I1387" s="49"/>
      <c r="L1387" s="62"/>
      <c r="M1387" s="53"/>
    </row>
    <row r="1388" spans="1:18" x14ac:dyDescent="0.25">
      <c r="A1388" s="21" t="str">
        <f>IF(C1388="","",COUNTA($C$3:C1388))</f>
        <v/>
      </c>
      <c r="B1388" s="35" t="str">
        <f t="shared" si="37"/>
        <v/>
      </c>
      <c r="C1388" s="33"/>
      <c r="E1388" s="60"/>
      <c r="F1388" s="52"/>
      <c r="G1388" s="18"/>
      <c r="H1388" s="49"/>
      <c r="I1388" s="49"/>
      <c r="L1388" s="62"/>
      <c r="M1388" s="53"/>
    </row>
    <row r="1389" spans="1:18" x14ac:dyDescent="0.25">
      <c r="A1389" s="21" t="str">
        <f>IF(C1389="","",COUNTA($C$3:C1389))</f>
        <v/>
      </c>
      <c r="B1389" s="35" t="str">
        <f t="shared" si="37"/>
        <v/>
      </c>
      <c r="C1389" s="33"/>
      <c r="E1389" s="60"/>
      <c r="F1389" s="52"/>
      <c r="G1389" s="18"/>
      <c r="H1389" s="49"/>
      <c r="I1389" s="49"/>
      <c r="L1389" s="62"/>
      <c r="M1389" s="53"/>
    </row>
    <row r="1390" spans="1:18" x14ac:dyDescent="0.25">
      <c r="A1390" s="21" t="str">
        <f>IF(C1390="","",COUNTA($C$3:C1390))</f>
        <v/>
      </c>
      <c r="B1390" s="35" t="str">
        <f t="shared" si="37"/>
        <v/>
      </c>
      <c r="C1390" s="33"/>
      <c r="E1390" s="60"/>
      <c r="F1390" s="52"/>
      <c r="G1390" s="18"/>
      <c r="H1390" s="49"/>
      <c r="I1390" s="49"/>
      <c r="L1390" s="62"/>
      <c r="M1390" s="53"/>
    </row>
    <row r="1391" spans="1:18" x14ac:dyDescent="0.25">
      <c r="A1391" s="21" t="str">
        <f>IF(C1391="","",COUNTA($C$3:C1391))</f>
        <v/>
      </c>
      <c r="B1391" s="35" t="str">
        <f t="shared" si="37"/>
        <v/>
      </c>
      <c r="C1391" s="33"/>
      <c r="E1391" s="60"/>
      <c r="F1391" s="52"/>
      <c r="G1391" s="18"/>
      <c r="H1391" s="49"/>
      <c r="I1391" s="49"/>
      <c r="L1391" s="62"/>
      <c r="M1391" s="53"/>
    </row>
    <row r="1392" spans="1:18" x14ac:dyDescent="0.25">
      <c r="A1392" s="21" t="str">
        <f>IF(C1392="","",COUNTA($C$3:C1392))</f>
        <v/>
      </c>
      <c r="B1392" s="35" t="str">
        <f t="shared" si="37"/>
        <v/>
      </c>
      <c r="C1392" s="33"/>
      <c r="E1392" s="60"/>
      <c r="F1392" s="52"/>
      <c r="G1392" s="18"/>
      <c r="H1392" s="49"/>
      <c r="I1392" s="49"/>
      <c r="L1392" s="62"/>
      <c r="M1392" s="53"/>
    </row>
    <row r="1393" spans="1:13" x14ac:dyDescent="0.25">
      <c r="A1393" s="21" t="str">
        <f>IF(C1393="","",COUNTA($C$3:C1393))</f>
        <v/>
      </c>
      <c r="B1393" s="35" t="str">
        <f t="shared" si="37"/>
        <v/>
      </c>
      <c r="C1393" s="33"/>
      <c r="E1393" s="60"/>
      <c r="F1393" s="52"/>
      <c r="G1393" s="18"/>
      <c r="H1393" s="49"/>
      <c r="I1393" s="49"/>
      <c r="L1393" s="62"/>
      <c r="M1393" s="53"/>
    </row>
    <row r="1394" spans="1:13" x14ac:dyDescent="0.25">
      <c r="A1394" s="21" t="str">
        <f>IF(C1394="","",COUNTA($C$3:C1394))</f>
        <v/>
      </c>
      <c r="B1394" s="35" t="str">
        <f t="shared" si="37"/>
        <v/>
      </c>
      <c r="C1394" s="33"/>
      <c r="E1394" s="60"/>
      <c r="F1394" s="52"/>
      <c r="G1394" s="18"/>
      <c r="H1394" s="49"/>
      <c r="I1394" s="49"/>
      <c r="L1394" s="62"/>
      <c r="M1394" s="53"/>
    </row>
    <row r="1395" spans="1:13" x14ac:dyDescent="0.25">
      <c r="A1395" s="21" t="str">
        <f>IF(C1395="","",COUNTA($C$3:C1395))</f>
        <v/>
      </c>
      <c r="B1395" s="35" t="str">
        <f t="shared" si="37"/>
        <v/>
      </c>
      <c r="C1395" s="33"/>
      <c r="E1395" s="60"/>
      <c r="F1395" s="52"/>
      <c r="G1395" s="18"/>
      <c r="H1395" s="49"/>
      <c r="I1395" s="49"/>
      <c r="L1395" s="62"/>
      <c r="M1395" s="53"/>
    </row>
    <row r="1396" spans="1:13" x14ac:dyDescent="0.25">
      <c r="A1396" s="21" t="str">
        <f>IF(C1396="","",COUNTA($C$3:C1396))</f>
        <v/>
      </c>
      <c r="B1396" s="35" t="str">
        <f t="shared" si="37"/>
        <v/>
      </c>
      <c r="C1396" s="33"/>
      <c r="E1396" s="60"/>
      <c r="F1396" s="52"/>
      <c r="G1396" s="18"/>
      <c r="H1396" s="49"/>
      <c r="I1396" s="49"/>
      <c r="L1396" s="62"/>
      <c r="M1396" s="53"/>
    </row>
    <row r="1397" spans="1:13" x14ac:dyDescent="0.25">
      <c r="A1397" s="21" t="str">
        <f>IF(C1397="","",COUNTA($C$3:C1397))</f>
        <v/>
      </c>
      <c r="B1397" s="35" t="str">
        <f t="shared" si="37"/>
        <v/>
      </c>
      <c r="C1397" s="33"/>
      <c r="E1397" s="60"/>
      <c r="F1397" s="52"/>
      <c r="G1397" s="18"/>
      <c r="H1397" s="49"/>
      <c r="I1397" s="49"/>
      <c r="M1397" s="53"/>
    </row>
    <row r="1398" spans="1:13" x14ac:dyDescent="0.25">
      <c r="A1398" s="21" t="str">
        <f>IF(C1398="","",COUNTA($C$3:C1398))</f>
        <v/>
      </c>
      <c r="B1398" s="35" t="str">
        <f t="shared" si="37"/>
        <v/>
      </c>
      <c r="C1398" s="33"/>
      <c r="E1398" s="60"/>
      <c r="F1398" s="52"/>
      <c r="G1398" s="18"/>
      <c r="H1398" s="49"/>
      <c r="I1398" s="49"/>
      <c r="L1398" s="62"/>
      <c r="M1398" s="53"/>
    </row>
    <row r="1399" spans="1:13" x14ac:dyDescent="0.25">
      <c r="A1399" s="21" t="str">
        <f>IF(C1399="","",COUNTA($C$3:C1399))</f>
        <v/>
      </c>
      <c r="B1399" s="35" t="str">
        <f t="shared" si="37"/>
        <v/>
      </c>
      <c r="C1399" s="33"/>
      <c r="E1399" s="60"/>
      <c r="F1399" s="52"/>
      <c r="G1399" s="18"/>
      <c r="H1399" s="49"/>
      <c r="I1399" s="49"/>
      <c r="L1399" s="62"/>
      <c r="M1399" s="53"/>
    </row>
    <row r="1400" spans="1:13" x14ac:dyDescent="0.25">
      <c r="A1400" s="21" t="str">
        <f>IF(C1400="","",COUNTA($C$3:C1400))</f>
        <v/>
      </c>
      <c r="B1400" s="35" t="str">
        <f t="shared" si="37"/>
        <v/>
      </c>
      <c r="C1400" s="33"/>
      <c r="E1400" s="60"/>
      <c r="F1400" s="52"/>
      <c r="G1400" s="18"/>
      <c r="H1400" s="49"/>
      <c r="I1400" s="49"/>
      <c r="L1400" s="62"/>
      <c r="M1400" s="53"/>
    </row>
    <row r="1401" spans="1:13" x14ac:dyDescent="0.25">
      <c r="A1401" s="21" t="str">
        <f>IF(C1401="","",COUNTA($C$3:C1401))</f>
        <v/>
      </c>
      <c r="B1401" s="35" t="str">
        <f t="shared" si="37"/>
        <v/>
      </c>
      <c r="C1401" s="33"/>
      <c r="E1401" s="60"/>
      <c r="F1401" s="52"/>
      <c r="G1401" s="18"/>
      <c r="H1401" s="49"/>
      <c r="I1401" s="49"/>
      <c r="L1401" s="62"/>
      <c r="M1401" s="53"/>
    </row>
    <row r="1402" spans="1:13" x14ac:dyDescent="0.25">
      <c r="A1402" s="21" t="str">
        <f>IF(C1402="","",COUNTA($C$3:C1402))</f>
        <v/>
      </c>
      <c r="B1402" s="35" t="str">
        <f t="shared" si="37"/>
        <v/>
      </c>
      <c r="C1402" s="33"/>
      <c r="E1402" s="60"/>
      <c r="F1402" s="52"/>
      <c r="G1402" s="18"/>
      <c r="H1402" s="49"/>
      <c r="I1402" s="49"/>
      <c r="L1402" s="62"/>
      <c r="M1402" s="53"/>
    </row>
    <row r="1403" spans="1:13" x14ac:dyDescent="0.25">
      <c r="A1403" s="21" t="str">
        <f>IF(C1403="","",COUNTA($C$3:C1403))</f>
        <v/>
      </c>
      <c r="B1403" s="35" t="str">
        <f t="shared" si="37"/>
        <v/>
      </c>
      <c r="C1403" s="33"/>
      <c r="E1403" s="60"/>
      <c r="F1403" s="52"/>
      <c r="G1403" s="18"/>
      <c r="H1403" s="49"/>
      <c r="I1403" s="49"/>
      <c r="L1403" s="62"/>
      <c r="M1403" s="53"/>
    </row>
    <row r="1404" spans="1:13" x14ac:dyDescent="0.25">
      <c r="A1404" s="21" t="str">
        <f>IF(C1404="","",COUNTA($C$3:C1404))</f>
        <v/>
      </c>
      <c r="B1404" s="35" t="str">
        <f t="shared" si="37"/>
        <v/>
      </c>
      <c r="C1404" s="33"/>
      <c r="E1404" s="60"/>
      <c r="F1404" s="52"/>
      <c r="G1404" s="18"/>
      <c r="H1404" s="49"/>
      <c r="I1404" s="49"/>
      <c r="L1404" s="62"/>
      <c r="M1404" s="53"/>
    </row>
    <row r="1405" spans="1:13" x14ac:dyDescent="0.25">
      <c r="A1405" s="21" t="str">
        <f>IF(C1405="","",COUNTA($C$3:C1405))</f>
        <v/>
      </c>
      <c r="B1405" s="35" t="str">
        <f t="shared" si="37"/>
        <v/>
      </c>
      <c r="C1405" s="33"/>
      <c r="E1405" s="60"/>
      <c r="F1405" s="52"/>
      <c r="G1405" s="18"/>
      <c r="H1405" s="49"/>
      <c r="I1405" s="49"/>
      <c r="L1405" s="62"/>
      <c r="M1405" s="53"/>
    </row>
    <row r="1406" spans="1:13" x14ac:dyDescent="0.25">
      <c r="A1406" s="21" t="str">
        <f>IF(C1406="","",COUNTA($C$3:C1406))</f>
        <v/>
      </c>
      <c r="B1406" s="35" t="str">
        <f t="shared" si="37"/>
        <v/>
      </c>
      <c r="C1406" s="33"/>
      <c r="E1406" s="60"/>
      <c r="F1406" s="52"/>
      <c r="G1406" s="18"/>
      <c r="H1406" s="49"/>
      <c r="I1406" s="49"/>
      <c r="L1406" s="62"/>
      <c r="M1406" s="53"/>
    </row>
    <row r="1407" spans="1:13" x14ac:dyDescent="0.25">
      <c r="A1407" s="21" t="str">
        <f>IF(C1407="","",COUNTA($C$3:C1407))</f>
        <v/>
      </c>
      <c r="B1407" s="35" t="str">
        <f t="shared" si="37"/>
        <v/>
      </c>
      <c r="C1407" s="33"/>
      <c r="E1407" s="60"/>
      <c r="F1407" s="52"/>
      <c r="G1407" s="18"/>
      <c r="H1407" s="49"/>
      <c r="I1407" s="49"/>
      <c r="L1407" s="62"/>
      <c r="M1407" s="53"/>
    </row>
    <row r="1408" spans="1:13" x14ac:dyDescent="0.25">
      <c r="A1408" s="21" t="str">
        <f>IF(C1408="","",COUNTA($C$3:C1408))</f>
        <v/>
      </c>
      <c r="B1408" s="35" t="str">
        <f t="shared" si="37"/>
        <v/>
      </c>
      <c r="C1408" s="33"/>
      <c r="E1408" s="60"/>
      <c r="F1408" s="52"/>
      <c r="G1408" s="18"/>
      <c r="H1408" s="49"/>
      <c r="I1408" s="49"/>
      <c r="L1408" s="62"/>
      <c r="M1408" s="53"/>
    </row>
    <row r="1409" spans="1:18" x14ac:dyDescent="0.25">
      <c r="A1409" s="21" t="str">
        <f>IF(C1409="","",COUNTA($C$3:C1409))</f>
        <v/>
      </c>
      <c r="B1409" s="35" t="str">
        <f t="shared" si="37"/>
        <v/>
      </c>
      <c r="C1409" s="33"/>
      <c r="E1409" s="60"/>
      <c r="F1409" s="52"/>
      <c r="G1409" s="18"/>
      <c r="H1409" s="49"/>
      <c r="I1409" s="49"/>
      <c r="L1409" s="53"/>
      <c r="M1409" s="53"/>
    </row>
    <row r="1410" spans="1:18" x14ac:dyDescent="0.25">
      <c r="A1410" s="21" t="str">
        <f>IF(C1410="","",COUNTA($C$3:C1410))</f>
        <v/>
      </c>
      <c r="B1410" s="35" t="str">
        <f t="shared" si="37"/>
        <v/>
      </c>
      <c r="C1410" s="33"/>
      <c r="E1410" s="60"/>
      <c r="F1410" s="52"/>
      <c r="G1410" s="18"/>
      <c r="H1410" s="49"/>
      <c r="I1410" s="49"/>
      <c r="L1410" s="53"/>
      <c r="M1410" s="53"/>
      <c r="R1410" s="59"/>
    </row>
    <row r="1411" spans="1:18" x14ac:dyDescent="0.25">
      <c r="A1411" s="21" t="str">
        <f>IF(C1411="","",COUNTA($C$3:C1411))</f>
        <v/>
      </c>
      <c r="B1411" s="35" t="str">
        <f t="shared" si="37"/>
        <v/>
      </c>
      <c r="C1411" s="33"/>
      <c r="E1411" s="60"/>
      <c r="F1411" s="52"/>
      <c r="G1411" s="18"/>
      <c r="H1411" s="49"/>
      <c r="I1411" s="49"/>
      <c r="L1411" s="62"/>
      <c r="M1411" s="53"/>
    </row>
    <row r="1412" spans="1:18" x14ac:dyDescent="0.25">
      <c r="A1412" s="21" t="str">
        <f>IF(C1412="","",COUNTA($C$3:C1412))</f>
        <v/>
      </c>
      <c r="B1412" s="35" t="str">
        <f t="shared" si="37"/>
        <v/>
      </c>
      <c r="C1412" s="33"/>
      <c r="E1412" s="60"/>
      <c r="F1412" s="52"/>
      <c r="G1412" s="18"/>
      <c r="H1412" s="49"/>
      <c r="I1412" s="76"/>
      <c r="L1412" s="62"/>
      <c r="M1412" s="53"/>
    </row>
    <row r="1413" spans="1:18" x14ac:dyDescent="0.25">
      <c r="A1413" s="21" t="str">
        <f>IF(C1413="","",COUNTA($C$3:C1413))</f>
        <v/>
      </c>
      <c r="B1413" s="35" t="str">
        <f t="shared" ref="B1413:B1476" si="38">IF(C1413="","",TEXT(C1413,"mmmm"))</f>
        <v/>
      </c>
      <c r="C1413" s="33"/>
      <c r="E1413" s="60"/>
      <c r="F1413" s="52"/>
      <c r="G1413" s="18"/>
      <c r="H1413" s="49"/>
      <c r="I1413" s="49"/>
      <c r="L1413" s="62"/>
      <c r="M1413" s="53"/>
    </row>
    <row r="1414" spans="1:18" x14ac:dyDescent="0.25">
      <c r="A1414" s="21" t="str">
        <f>IF(C1414="","",COUNTA($C$3:C1414))</f>
        <v/>
      </c>
      <c r="B1414" s="35" t="str">
        <f t="shared" si="38"/>
        <v/>
      </c>
      <c r="C1414" s="33"/>
      <c r="E1414" s="60"/>
      <c r="F1414" s="52"/>
      <c r="G1414" s="18"/>
      <c r="H1414" s="49"/>
      <c r="I1414" s="49"/>
      <c r="L1414" s="62"/>
      <c r="M1414" s="53"/>
    </row>
    <row r="1415" spans="1:18" x14ac:dyDescent="0.25">
      <c r="A1415" s="21" t="str">
        <f>IF(C1415="","",COUNTA($C$3:C1415))</f>
        <v/>
      </c>
      <c r="B1415" s="35" t="str">
        <f t="shared" si="38"/>
        <v/>
      </c>
      <c r="C1415" s="33"/>
      <c r="E1415" s="60"/>
      <c r="F1415" s="52"/>
      <c r="G1415" s="18"/>
      <c r="H1415" s="49"/>
      <c r="I1415" s="49"/>
      <c r="L1415" s="62"/>
      <c r="M1415" s="53"/>
    </row>
    <row r="1416" spans="1:18" x14ac:dyDescent="0.25">
      <c r="A1416" s="21" t="str">
        <f>IF(C1416="","",COUNTA($C$3:C1416))</f>
        <v/>
      </c>
      <c r="B1416" s="35" t="str">
        <f t="shared" si="38"/>
        <v/>
      </c>
      <c r="C1416" s="33"/>
      <c r="E1416" s="60"/>
      <c r="F1416" s="52"/>
      <c r="G1416" s="18"/>
      <c r="H1416" s="49"/>
      <c r="I1416" s="49"/>
      <c r="L1416" s="62"/>
      <c r="M1416" s="53"/>
    </row>
    <row r="1417" spans="1:18" x14ac:dyDescent="0.25">
      <c r="A1417" s="21" t="str">
        <f>IF(C1417="","",COUNTA($C$3:C1417))</f>
        <v/>
      </c>
      <c r="B1417" s="35" t="str">
        <f t="shared" si="38"/>
        <v/>
      </c>
      <c r="C1417" s="33"/>
      <c r="E1417" s="60"/>
      <c r="F1417" s="52"/>
      <c r="G1417" s="18"/>
      <c r="H1417" s="49"/>
      <c r="I1417" s="49"/>
      <c r="L1417" s="62"/>
      <c r="M1417" s="53"/>
    </row>
    <row r="1418" spans="1:18" x14ac:dyDescent="0.25">
      <c r="A1418" s="21" t="str">
        <f>IF(C1418="","",COUNTA($C$3:C1418))</f>
        <v/>
      </c>
      <c r="B1418" s="35" t="str">
        <f t="shared" si="38"/>
        <v/>
      </c>
      <c r="C1418" s="33"/>
      <c r="E1418" s="60"/>
      <c r="F1418" s="52"/>
      <c r="G1418" s="18"/>
      <c r="H1418" s="49"/>
      <c r="I1418" s="49"/>
      <c r="L1418" s="62"/>
      <c r="M1418" s="53"/>
    </row>
    <row r="1419" spans="1:18" x14ac:dyDescent="0.25">
      <c r="A1419" s="21" t="str">
        <f>IF(C1419="","",COUNTA($C$3:C1419))</f>
        <v/>
      </c>
      <c r="B1419" s="35" t="str">
        <f t="shared" si="38"/>
        <v/>
      </c>
      <c r="C1419" s="33"/>
      <c r="E1419" s="60"/>
      <c r="F1419" s="52"/>
      <c r="G1419" s="18"/>
      <c r="H1419" s="49"/>
      <c r="I1419" s="49"/>
      <c r="L1419" s="62"/>
      <c r="M1419" s="53"/>
    </row>
    <row r="1420" spans="1:18" x14ac:dyDescent="0.25">
      <c r="A1420" s="21" t="str">
        <f>IF(C1420="","",COUNTA($C$3:C1420))</f>
        <v/>
      </c>
      <c r="B1420" s="35" t="str">
        <f t="shared" si="38"/>
        <v/>
      </c>
      <c r="C1420" s="33"/>
      <c r="E1420" s="60"/>
      <c r="F1420" s="52"/>
      <c r="G1420" s="18"/>
      <c r="H1420" s="49"/>
      <c r="I1420" s="49"/>
      <c r="L1420" s="62"/>
      <c r="M1420" s="53"/>
    </row>
    <row r="1421" spans="1:18" x14ac:dyDescent="0.25">
      <c r="A1421" s="21" t="str">
        <f>IF(C1421="","",COUNTA($C$3:C1421))</f>
        <v/>
      </c>
      <c r="B1421" s="35" t="str">
        <f t="shared" si="38"/>
        <v/>
      </c>
      <c r="C1421" s="33"/>
      <c r="E1421" s="60"/>
      <c r="F1421" s="52"/>
      <c r="G1421" s="18"/>
      <c r="H1421" s="49"/>
      <c r="I1421" s="49"/>
      <c r="L1421" s="62"/>
      <c r="M1421" s="53"/>
    </row>
    <row r="1422" spans="1:18" x14ac:dyDescent="0.25">
      <c r="A1422" s="21" t="str">
        <f>IF(C1422="","",COUNTA($C$3:C1422))</f>
        <v/>
      </c>
      <c r="B1422" s="35" t="str">
        <f t="shared" si="38"/>
        <v/>
      </c>
      <c r="C1422" s="33"/>
      <c r="E1422" s="60"/>
      <c r="F1422" s="52"/>
      <c r="G1422" s="18"/>
      <c r="H1422" s="49"/>
      <c r="I1422" s="49"/>
      <c r="L1422" s="62"/>
      <c r="M1422" s="53"/>
    </row>
    <row r="1423" spans="1:18" x14ac:dyDescent="0.25">
      <c r="A1423" s="21" t="str">
        <f>IF(C1423="","",COUNTA($C$3:C1423))</f>
        <v/>
      </c>
      <c r="B1423" s="35" t="str">
        <f t="shared" si="38"/>
        <v/>
      </c>
      <c r="C1423" s="33"/>
      <c r="E1423" s="60"/>
      <c r="F1423" s="52"/>
      <c r="G1423" s="18"/>
      <c r="H1423" s="49"/>
      <c r="I1423" s="49"/>
      <c r="L1423" s="62"/>
      <c r="M1423" s="53"/>
    </row>
    <row r="1424" spans="1:18" x14ac:dyDescent="0.25">
      <c r="A1424" s="21" t="str">
        <f>IF(C1424="","",COUNTA($C$3:C1424))</f>
        <v/>
      </c>
      <c r="B1424" s="35" t="str">
        <f t="shared" si="38"/>
        <v/>
      </c>
      <c r="C1424" s="33"/>
      <c r="E1424" s="60"/>
      <c r="F1424" s="52"/>
      <c r="G1424" s="18"/>
      <c r="H1424" s="49"/>
      <c r="I1424" s="49"/>
      <c r="L1424" s="62"/>
      <c r="M1424" s="53"/>
    </row>
    <row r="1425" spans="1:15" x14ac:dyDescent="0.25">
      <c r="A1425" s="21" t="str">
        <f>IF(C1425="","",COUNTA($C$3:C1425))</f>
        <v/>
      </c>
      <c r="B1425" s="35" t="str">
        <f t="shared" si="38"/>
        <v/>
      </c>
      <c r="C1425" s="33"/>
      <c r="E1425" s="60"/>
      <c r="F1425" s="52"/>
      <c r="G1425" s="18"/>
      <c r="H1425" s="49"/>
      <c r="I1425" s="49"/>
      <c r="L1425" s="62"/>
      <c r="M1425" s="53"/>
    </row>
    <row r="1426" spans="1:15" x14ac:dyDescent="0.25">
      <c r="A1426" s="21" t="str">
        <f>IF(C1426="","",COUNTA($C$3:C1426))</f>
        <v/>
      </c>
      <c r="B1426" s="35" t="str">
        <f t="shared" si="38"/>
        <v/>
      </c>
      <c r="C1426" s="33"/>
      <c r="E1426" s="60"/>
      <c r="F1426" s="52"/>
      <c r="G1426" s="18"/>
      <c r="H1426" s="49"/>
      <c r="I1426" s="49"/>
      <c r="L1426" s="62"/>
      <c r="M1426" s="53"/>
    </row>
    <row r="1427" spans="1:15" x14ac:dyDescent="0.25">
      <c r="A1427" s="21" t="str">
        <f>IF(C1427="","",COUNTA($C$3:C1427))</f>
        <v/>
      </c>
      <c r="B1427" s="35" t="str">
        <f t="shared" si="38"/>
        <v/>
      </c>
      <c r="C1427" s="33"/>
      <c r="E1427" s="60"/>
      <c r="F1427" s="52"/>
      <c r="G1427" s="18"/>
      <c r="H1427" s="49"/>
      <c r="I1427" s="49"/>
      <c r="L1427" s="62"/>
      <c r="M1427" s="53"/>
      <c r="O1427" s="59"/>
    </row>
    <row r="1428" spans="1:15" x14ac:dyDescent="0.25">
      <c r="A1428" s="21" t="str">
        <f>IF(C1428="","",COUNTA($C$3:C1428))</f>
        <v/>
      </c>
      <c r="B1428" s="35" t="str">
        <f t="shared" si="38"/>
        <v/>
      </c>
      <c r="C1428" s="33"/>
      <c r="E1428" s="60"/>
      <c r="F1428" s="52"/>
      <c r="G1428" s="18"/>
      <c r="H1428" s="49"/>
      <c r="I1428" s="49"/>
      <c r="L1428" s="62"/>
      <c r="M1428" s="53"/>
      <c r="O1428" s="59"/>
    </row>
    <row r="1429" spans="1:15" x14ac:dyDescent="0.25">
      <c r="A1429" s="21" t="str">
        <f>IF(C1429="","",COUNTA($C$3:C1429))</f>
        <v/>
      </c>
      <c r="B1429" s="35" t="str">
        <f t="shared" si="38"/>
        <v/>
      </c>
      <c r="C1429" s="33"/>
      <c r="E1429" s="60"/>
      <c r="F1429" s="52"/>
      <c r="G1429" s="18"/>
      <c r="H1429" s="49"/>
      <c r="I1429" s="49"/>
      <c r="L1429" s="62"/>
      <c r="M1429" s="53"/>
      <c r="O1429" s="59"/>
    </row>
    <row r="1430" spans="1:15" x14ac:dyDescent="0.25">
      <c r="A1430" s="21" t="str">
        <f>IF(C1430="","",COUNTA($C$3:C1430))</f>
        <v/>
      </c>
      <c r="B1430" s="35" t="str">
        <f t="shared" si="38"/>
        <v/>
      </c>
      <c r="C1430" s="33"/>
      <c r="E1430" s="60"/>
      <c r="F1430" s="52"/>
      <c r="G1430" s="18"/>
      <c r="H1430" s="49"/>
      <c r="I1430" s="76"/>
      <c r="K1430" s="55"/>
      <c r="M1430" s="53"/>
      <c r="O1430" s="59"/>
    </row>
    <row r="1431" spans="1:15" x14ac:dyDescent="0.25">
      <c r="A1431" s="21" t="str">
        <f>IF(C1431="","",COUNTA($C$3:C1431))</f>
        <v/>
      </c>
      <c r="B1431" s="35" t="str">
        <f t="shared" si="38"/>
        <v/>
      </c>
      <c r="C1431" s="33"/>
      <c r="E1431" s="60"/>
      <c r="F1431" s="52"/>
      <c r="G1431" s="18"/>
      <c r="H1431" s="49"/>
      <c r="I1431" s="49"/>
      <c r="L1431" s="70"/>
      <c r="M1431" s="53"/>
      <c r="O1431" s="59"/>
    </row>
    <row r="1432" spans="1:15" x14ac:dyDescent="0.25">
      <c r="A1432" s="21" t="str">
        <f>IF(C1432="","",COUNTA($C$3:C1432))</f>
        <v/>
      </c>
      <c r="B1432" s="35" t="str">
        <f t="shared" si="38"/>
        <v/>
      </c>
      <c r="C1432" s="33"/>
      <c r="E1432" s="60"/>
      <c r="F1432" s="52"/>
      <c r="G1432" s="18"/>
      <c r="H1432" s="49"/>
      <c r="I1432" s="49"/>
      <c r="L1432" s="62"/>
      <c r="M1432" s="53"/>
      <c r="O1432" s="59"/>
    </row>
    <row r="1433" spans="1:15" x14ac:dyDescent="0.25">
      <c r="A1433" s="21" t="str">
        <f>IF(C1433="","",COUNTA($C$3:C1433))</f>
        <v/>
      </c>
      <c r="B1433" s="35" t="str">
        <f t="shared" si="38"/>
        <v/>
      </c>
      <c r="C1433" s="33"/>
      <c r="E1433" s="60"/>
      <c r="F1433" s="52"/>
      <c r="G1433" s="18"/>
      <c r="H1433" s="49"/>
      <c r="I1433" s="49"/>
      <c r="L1433" s="62"/>
      <c r="M1433" s="53"/>
    </row>
    <row r="1434" spans="1:15" x14ac:dyDescent="0.25">
      <c r="A1434" s="21" t="str">
        <f>IF(C1434="","",COUNTA($C$3:C1434))</f>
        <v/>
      </c>
      <c r="B1434" s="35" t="str">
        <f t="shared" si="38"/>
        <v/>
      </c>
      <c r="C1434" s="33"/>
      <c r="E1434" s="60"/>
      <c r="F1434" s="52"/>
      <c r="G1434" s="18"/>
      <c r="H1434" s="49"/>
      <c r="I1434" s="49"/>
      <c r="L1434" s="62"/>
      <c r="M1434" s="53"/>
    </row>
    <row r="1435" spans="1:15" x14ac:dyDescent="0.25">
      <c r="A1435" s="21" t="str">
        <f>IF(C1435="","",COUNTA($C$3:C1435))</f>
        <v/>
      </c>
      <c r="B1435" s="35" t="str">
        <f t="shared" si="38"/>
        <v/>
      </c>
      <c r="C1435" s="33"/>
      <c r="E1435" s="60"/>
      <c r="F1435" s="52"/>
      <c r="G1435" s="18"/>
      <c r="H1435" s="49"/>
      <c r="I1435" s="49"/>
      <c r="L1435" s="62"/>
      <c r="M1435" s="53"/>
    </row>
    <row r="1436" spans="1:15" x14ac:dyDescent="0.25">
      <c r="A1436" s="21" t="str">
        <f>IF(C1436="","",COUNTA($C$3:C1436))</f>
        <v/>
      </c>
      <c r="B1436" s="35" t="str">
        <f t="shared" si="38"/>
        <v/>
      </c>
      <c r="C1436" s="33"/>
      <c r="E1436" s="60"/>
      <c r="F1436" s="52"/>
      <c r="G1436" s="18"/>
      <c r="H1436" s="49"/>
      <c r="I1436" s="49"/>
      <c r="L1436" s="62"/>
      <c r="M1436" s="53"/>
    </row>
    <row r="1437" spans="1:15" x14ac:dyDescent="0.25">
      <c r="A1437" s="21" t="str">
        <f>IF(C1437="","",COUNTA($C$3:C1437))</f>
        <v/>
      </c>
      <c r="B1437" s="35" t="str">
        <f t="shared" si="38"/>
        <v/>
      </c>
      <c r="C1437" s="33"/>
      <c r="E1437" s="60"/>
      <c r="F1437" s="52"/>
      <c r="G1437" s="18"/>
      <c r="H1437" s="49"/>
      <c r="I1437" s="49"/>
      <c r="L1437" s="70"/>
      <c r="M1437" s="53"/>
    </row>
    <row r="1438" spans="1:15" x14ac:dyDescent="0.25">
      <c r="A1438" s="21" t="str">
        <f>IF(C1438="","",COUNTA($C$3:C1438))</f>
        <v/>
      </c>
      <c r="B1438" s="35" t="str">
        <f t="shared" si="38"/>
        <v/>
      </c>
      <c r="C1438" s="33"/>
      <c r="D1438" s="18"/>
      <c r="E1438" s="77"/>
      <c r="F1438" s="52"/>
      <c r="G1438" s="18"/>
      <c r="H1438" s="49"/>
      <c r="I1438" s="49"/>
      <c r="L1438" s="62"/>
      <c r="M1438" s="53"/>
    </row>
    <row r="1439" spans="1:15" x14ac:dyDescent="0.25">
      <c r="A1439" s="21" t="str">
        <f>IF(C1439="","",COUNTA($C$3:C1439))</f>
        <v/>
      </c>
      <c r="B1439" s="35" t="str">
        <f t="shared" si="38"/>
        <v/>
      </c>
      <c r="C1439" s="33"/>
      <c r="D1439" s="18"/>
      <c r="E1439" s="77"/>
      <c r="F1439" s="52"/>
      <c r="G1439" s="18"/>
      <c r="H1439" s="49"/>
      <c r="I1439" s="49"/>
      <c r="L1439" s="70"/>
      <c r="M1439" s="53"/>
    </row>
    <row r="1440" spans="1:15" x14ac:dyDescent="0.25">
      <c r="A1440" s="21" t="str">
        <f>IF(C1440="","",COUNTA($C$3:C1440))</f>
        <v/>
      </c>
      <c r="B1440" s="35" t="str">
        <f t="shared" si="38"/>
        <v/>
      </c>
      <c r="C1440" s="33"/>
      <c r="D1440" s="18"/>
      <c r="E1440" s="77"/>
      <c r="F1440" s="52"/>
      <c r="G1440" s="18"/>
      <c r="H1440" s="49"/>
      <c r="I1440" s="49"/>
      <c r="L1440" s="62"/>
      <c r="M1440" s="53"/>
    </row>
    <row r="1441" spans="1:13" x14ac:dyDescent="0.25">
      <c r="A1441" s="21" t="str">
        <f>IF(C1441="","",COUNTA($C$3:C1441))</f>
        <v/>
      </c>
      <c r="B1441" s="35" t="str">
        <f t="shared" si="38"/>
        <v/>
      </c>
      <c r="C1441" s="33"/>
      <c r="D1441" s="18"/>
      <c r="E1441" s="77"/>
      <c r="F1441" s="52"/>
      <c r="G1441" s="18"/>
      <c r="H1441" s="49"/>
      <c r="I1441" s="49"/>
      <c r="L1441" s="62"/>
      <c r="M1441" s="53"/>
    </row>
    <row r="1442" spans="1:13" x14ac:dyDescent="0.25">
      <c r="A1442" s="21" t="str">
        <f>IF(C1442="","",COUNTA($C$3:C1442))</f>
        <v/>
      </c>
      <c r="B1442" s="35" t="str">
        <f t="shared" si="38"/>
        <v/>
      </c>
      <c r="C1442" s="33"/>
      <c r="D1442" s="18"/>
      <c r="E1442" s="77"/>
      <c r="F1442" s="52"/>
      <c r="G1442" s="18"/>
      <c r="H1442" s="49"/>
      <c r="I1442" s="49"/>
      <c r="L1442" s="62"/>
      <c r="M1442" s="53"/>
    </row>
    <row r="1443" spans="1:13" x14ac:dyDescent="0.25">
      <c r="A1443" s="21" t="str">
        <f>IF(C1443="","",COUNTA($C$3:C1443))</f>
        <v/>
      </c>
      <c r="B1443" s="35" t="str">
        <f t="shared" si="38"/>
        <v/>
      </c>
      <c r="C1443" s="33"/>
      <c r="D1443" s="18"/>
      <c r="E1443" s="77"/>
      <c r="F1443" s="52"/>
      <c r="G1443" s="18"/>
      <c r="H1443" s="49"/>
      <c r="I1443" s="49"/>
      <c r="K1443" s="55"/>
      <c r="L1443" s="62"/>
      <c r="M1443" s="53"/>
    </row>
    <row r="1444" spans="1:13" x14ac:dyDescent="0.25">
      <c r="A1444" s="21" t="str">
        <f>IF(C1444="","",COUNTA($C$3:C1444))</f>
        <v/>
      </c>
      <c r="B1444" s="35" t="str">
        <f t="shared" si="38"/>
        <v/>
      </c>
      <c r="C1444" s="33"/>
      <c r="D1444" s="18"/>
      <c r="E1444" s="77"/>
      <c r="F1444" s="52"/>
      <c r="G1444" s="18"/>
      <c r="H1444" s="49"/>
      <c r="I1444" s="49"/>
      <c r="L1444" s="70"/>
      <c r="M1444" s="53"/>
    </row>
    <row r="1445" spans="1:13" x14ac:dyDescent="0.25">
      <c r="A1445" s="21" t="str">
        <f>IF(C1445="","",COUNTA($C$3:C1445))</f>
        <v/>
      </c>
      <c r="B1445" s="35" t="str">
        <f t="shared" si="38"/>
        <v/>
      </c>
      <c r="C1445" s="33"/>
      <c r="D1445" s="18"/>
      <c r="E1445" s="77"/>
      <c r="F1445" s="52"/>
      <c r="G1445" s="18"/>
      <c r="H1445" s="49"/>
      <c r="I1445" s="49"/>
      <c r="L1445" s="62"/>
      <c r="M1445" s="53"/>
    </row>
    <row r="1446" spans="1:13" x14ac:dyDescent="0.25">
      <c r="A1446" s="21" t="str">
        <f>IF(C1446="","",COUNTA($C$3:C1446))</f>
        <v/>
      </c>
      <c r="B1446" s="35" t="str">
        <f t="shared" si="38"/>
        <v/>
      </c>
      <c r="C1446" s="33"/>
      <c r="D1446" s="18"/>
      <c r="E1446" s="77"/>
      <c r="F1446" s="52"/>
      <c r="G1446" s="18"/>
      <c r="H1446" s="49"/>
      <c r="I1446" s="49"/>
      <c r="L1446" s="62"/>
      <c r="M1446" s="53"/>
    </row>
    <row r="1447" spans="1:13" x14ac:dyDescent="0.25">
      <c r="A1447" s="21" t="str">
        <f>IF(C1447="","",COUNTA($C$3:C1447))</f>
        <v/>
      </c>
      <c r="B1447" s="35" t="str">
        <f t="shared" si="38"/>
        <v/>
      </c>
      <c r="C1447" s="33"/>
      <c r="D1447" s="18"/>
      <c r="E1447" s="77"/>
      <c r="F1447" s="52"/>
      <c r="G1447" s="18"/>
      <c r="H1447" s="49"/>
      <c r="I1447" s="49"/>
      <c r="L1447" s="70"/>
      <c r="M1447" s="53"/>
    </row>
    <row r="1448" spans="1:13" x14ac:dyDescent="0.25">
      <c r="A1448" s="21" t="str">
        <f>IF(C1448="","",COUNTA($C$3:C1448))</f>
        <v/>
      </c>
      <c r="B1448" s="35" t="str">
        <f t="shared" si="38"/>
        <v/>
      </c>
      <c r="C1448" s="33"/>
      <c r="D1448" s="18"/>
      <c r="E1448" s="77"/>
      <c r="F1448" s="52"/>
      <c r="G1448" s="18"/>
      <c r="H1448" s="49"/>
      <c r="I1448" s="49"/>
      <c r="L1448" s="62"/>
      <c r="M1448" s="53"/>
    </row>
    <row r="1449" spans="1:13" x14ac:dyDescent="0.25">
      <c r="A1449" s="21" t="str">
        <f>IF(C1449="","",COUNTA($C$3:C1449))</f>
        <v/>
      </c>
      <c r="B1449" s="35" t="str">
        <f t="shared" si="38"/>
        <v/>
      </c>
      <c r="C1449" s="33"/>
      <c r="D1449" s="18"/>
      <c r="E1449" s="77"/>
      <c r="F1449" s="52"/>
      <c r="G1449" s="18"/>
      <c r="H1449" s="49"/>
      <c r="I1449" s="49"/>
      <c r="L1449" s="70"/>
      <c r="M1449" s="53"/>
    </row>
    <row r="1450" spans="1:13" x14ac:dyDescent="0.25">
      <c r="A1450" s="21" t="str">
        <f>IF(C1450="","",COUNTA($C$3:C1450))</f>
        <v/>
      </c>
      <c r="B1450" s="35" t="str">
        <f t="shared" si="38"/>
        <v/>
      </c>
      <c r="C1450" s="33"/>
      <c r="D1450" s="18"/>
      <c r="E1450" s="77"/>
      <c r="F1450" s="52"/>
      <c r="G1450" s="18"/>
      <c r="H1450" s="49"/>
      <c r="I1450" s="49"/>
      <c r="L1450" s="62"/>
      <c r="M1450" s="53"/>
    </row>
    <row r="1451" spans="1:13" x14ac:dyDescent="0.25">
      <c r="A1451" s="21" t="str">
        <f>IF(C1451="","",COUNTA($C$3:C1451))</f>
        <v/>
      </c>
      <c r="B1451" s="35" t="str">
        <f t="shared" si="38"/>
        <v/>
      </c>
      <c r="C1451" s="33"/>
      <c r="D1451" s="18"/>
      <c r="E1451" s="77"/>
      <c r="F1451" s="52"/>
      <c r="G1451" s="18"/>
      <c r="H1451" s="49"/>
      <c r="I1451" s="49"/>
      <c r="L1451" s="62"/>
      <c r="M1451" s="53"/>
    </row>
    <row r="1452" spans="1:13" x14ac:dyDescent="0.25">
      <c r="A1452" s="21" t="str">
        <f>IF(C1452="","",COUNTA($C$3:C1452))</f>
        <v/>
      </c>
      <c r="B1452" s="35" t="str">
        <f t="shared" si="38"/>
        <v/>
      </c>
      <c r="C1452" s="33"/>
      <c r="D1452" s="18"/>
      <c r="E1452" s="77"/>
      <c r="F1452" s="52"/>
      <c r="G1452" s="18"/>
      <c r="H1452" s="49"/>
      <c r="I1452" s="49"/>
      <c r="L1452" s="62"/>
      <c r="M1452" s="53"/>
    </row>
    <row r="1453" spans="1:13" x14ac:dyDescent="0.25">
      <c r="A1453" s="21" t="str">
        <f>IF(C1453="","",COUNTA($C$3:C1453))</f>
        <v/>
      </c>
      <c r="B1453" s="35" t="str">
        <f t="shared" si="38"/>
        <v/>
      </c>
      <c r="C1453" s="33"/>
      <c r="D1453" s="18"/>
      <c r="E1453" s="77"/>
      <c r="F1453" s="52"/>
      <c r="G1453" s="18"/>
      <c r="H1453" s="49"/>
      <c r="I1453" s="49"/>
      <c r="L1453" s="62"/>
      <c r="M1453" s="53"/>
    </row>
    <row r="1454" spans="1:13" x14ac:dyDescent="0.25">
      <c r="A1454" s="21" t="str">
        <f>IF(C1454="","",COUNTA($C$3:C1454))</f>
        <v/>
      </c>
      <c r="B1454" s="35" t="str">
        <f t="shared" si="38"/>
        <v/>
      </c>
      <c r="C1454" s="33"/>
      <c r="D1454" s="18"/>
      <c r="E1454" s="77"/>
      <c r="F1454" s="52"/>
      <c r="G1454" s="18"/>
      <c r="H1454" s="49"/>
      <c r="I1454" s="49"/>
      <c r="L1454" s="62"/>
      <c r="M1454" s="53"/>
    </row>
    <row r="1455" spans="1:13" x14ac:dyDescent="0.25">
      <c r="A1455" s="21" t="str">
        <f>IF(C1455="","",COUNTA($C$3:C1455))</f>
        <v/>
      </c>
      <c r="B1455" s="35" t="str">
        <f t="shared" si="38"/>
        <v/>
      </c>
      <c r="C1455" s="33"/>
      <c r="D1455" s="18"/>
      <c r="E1455" s="77"/>
      <c r="F1455" s="52"/>
      <c r="G1455" s="18"/>
      <c r="H1455" s="49"/>
      <c r="I1455" s="49"/>
      <c r="L1455" s="62"/>
      <c r="M1455" s="53"/>
    </row>
    <row r="1456" spans="1:13" x14ac:dyDescent="0.25">
      <c r="A1456" s="21" t="str">
        <f>IF(C1456="","",COUNTA($C$3:C1456))</f>
        <v/>
      </c>
      <c r="B1456" s="35" t="str">
        <f t="shared" si="38"/>
        <v/>
      </c>
      <c r="C1456" s="33"/>
      <c r="D1456" s="18"/>
      <c r="E1456" s="77"/>
      <c r="F1456" s="52"/>
      <c r="G1456" s="18"/>
      <c r="H1456" s="49"/>
      <c r="I1456" s="49"/>
      <c r="L1456" s="62"/>
      <c r="M1456" s="53"/>
    </row>
    <row r="1457" spans="1:15" x14ac:dyDescent="0.25">
      <c r="A1457" s="21" t="str">
        <f>IF(C1457="","",COUNTA($C$3:C1457))</f>
        <v/>
      </c>
      <c r="B1457" s="35" t="str">
        <f t="shared" si="38"/>
        <v/>
      </c>
      <c r="C1457" s="33"/>
      <c r="D1457" s="18"/>
      <c r="E1457" s="77"/>
      <c r="F1457" s="52"/>
      <c r="G1457" s="18"/>
      <c r="H1457" s="49"/>
      <c r="I1457" s="49"/>
      <c r="L1457" s="62"/>
      <c r="M1457" s="53"/>
    </row>
    <row r="1458" spans="1:15" x14ac:dyDescent="0.25">
      <c r="A1458" s="21" t="str">
        <f>IF(C1458="","",COUNTA($C$3:C1458))</f>
        <v/>
      </c>
      <c r="B1458" s="35" t="str">
        <f t="shared" si="38"/>
        <v/>
      </c>
      <c r="C1458" s="33"/>
      <c r="D1458" s="18"/>
      <c r="E1458" s="77"/>
      <c r="F1458" s="52"/>
      <c r="G1458" s="18"/>
      <c r="H1458" s="49"/>
      <c r="I1458" s="49"/>
      <c r="L1458" s="62"/>
      <c r="M1458" s="53"/>
    </row>
    <row r="1459" spans="1:15" x14ac:dyDescent="0.25">
      <c r="A1459" s="21" t="str">
        <f>IF(C1459="","",COUNTA($C$3:C1459))</f>
        <v/>
      </c>
      <c r="B1459" s="35" t="str">
        <f t="shared" si="38"/>
        <v/>
      </c>
      <c r="C1459" s="33"/>
      <c r="D1459" s="18"/>
      <c r="E1459" s="77"/>
      <c r="F1459" s="52"/>
      <c r="G1459" s="18"/>
      <c r="H1459" s="49"/>
      <c r="I1459" s="49"/>
      <c r="K1459" s="55"/>
      <c r="L1459" s="55"/>
      <c r="M1459" s="53"/>
    </row>
    <row r="1460" spans="1:15" x14ac:dyDescent="0.25">
      <c r="A1460" s="21" t="str">
        <f>IF(C1460="","",COUNTA($C$3:C1460))</f>
        <v/>
      </c>
      <c r="B1460" s="35" t="str">
        <f t="shared" si="38"/>
        <v/>
      </c>
      <c r="C1460" s="33"/>
      <c r="D1460" s="18"/>
      <c r="E1460" s="77"/>
      <c r="F1460" s="52"/>
      <c r="G1460" s="18"/>
      <c r="H1460" s="49"/>
      <c r="I1460" s="49"/>
      <c r="L1460" s="62"/>
      <c r="M1460" s="53"/>
      <c r="O1460" s="59"/>
    </row>
    <row r="1461" spans="1:15" x14ac:dyDescent="0.25">
      <c r="A1461" s="21" t="str">
        <f>IF(C1461="","",COUNTA($C$3:C1461))</f>
        <v/>
      </c>
      <c r="B1461" s="35" t="str">
        <f t="shared" si="38"/>
        <v/>
      </c>
      <c r="C1461" s="33"/>
      <c r="D1461" s="18"/>
      <c r="E1461" s="77"/>
      <c r="F1461" s="52"/>
      <c r="G1461" s="18"/>
      <c r="H1461" s="49"/>
      <c r="I1461" s="49"/>
      <c r="L1461" s="62"/>
      <c r="M1461" s="53"/>
      <c r="O1461" s="59"/>
    </row>
    <row r="1462" spans="1:15" x14ac:dyDescent="0.25">
      <c r="A1462" s="21" t="str">
        <f>IF(C1462="","",COUNTA($C$3:C1462))</f>
        <v/>
      </c>
      <c r="B1462" s="35" t="str">
        <f t="shared" si="38"/>
        <v/>
      </c>
      <c r="C1462" s="33"/>
      <c r="D1462" s="18"/>
      <c r="E1462" s="77"/>
      <c r="F1462" s="52"/>
      <c r="G1462" s="18"/>
      <c r="H1462" s="49"/>
      <c r="I1462" s="49"/>
      <c r="L1462" s="62"/>
      <c r="M1462" s="53"/>
    </row>
    <row r="1463" spans="1:15" x14ac:dyDescent="0.25">
      <c r="A1463" s="21" t="str">
        <f>IF(C1463="","",COUNTA($C$3:C1463))</f>
        <v/>
      </c>
      <c r="B1463" s="35" t="str">
        <f t="shared" si="38"/>
        <v/>
      </c>
      <c r="C1463" s="33"/>
      <c r="E1463" s="60"/>
      <c r="F1463" s="52"/>
      <c r="G1463" s="18"/>
      <c r="H1463" s="49"/>
      <c r="I1463" s="49"/>
      <c r="L1463" s="62"/>
      <c r="M1463" s="53"/>
    </row>
    <row r="1464" spans="1:15" x14ac:dyDescent="0.25">
      <c r="A1464" s="21" t="str">
        <f>IF(C1464="","",COUNTA($C$3:C1464))</f>
        <v/>
      </c>
      <c r="B1464" s="35" t="str">
        <f t="shared" si="38"/>
        <v/>
      </c>
      <c r="C1464" s="33"/>
      <c r="E1464" s="60"/>
      <c r="F1464" s="52"/>
      <c r="G1464" s="18"/>
      <c r="H1464" s="49"/>
      <c r="I1464" s="49"/>
      <c r="K1464" s="55"/>
      <c r="L1464" s="62"/>
      <c r="M1464" s="53"/>
    </row>
    <row r="1465" spans="1:15" x14ac:dyDescent="0.25">
      <c r="A1465" s="21" t="str">
        <f>IF(C1465="","",COUNTA($C$3:C1465))</f>
        <v/>
      </c>
      <c r="B1465" s="35" t="str">
        <f t="shared" si="38"/>
        <v/>
      </c>
      <c r="C1465" s="33"/>
      <c r="E1465" s="60"/>
      <c r="F1465" s="52"/>
      <c r="G1465" s="18"/>
      <c r="H1465" s="49"/>
      <c r="I1465" s="49"/>
      <c r="K1465" s="67"/>
      <c r="L1465" s="62"/>
      <c r="M1465" s="53"/>
    </row>
    <row r="1466" spans="1:15" x14ac:dyDescent="0.25">
      <c r="A1466" s="21" t="str">
        <f>IF(C1466="","",COUNTA($C$3:C1466))</f>
        <v/>
      </c>
      <c r="B1466" s="35" t="str">
        <f t="shared" si="38"/>
        <v/>
      </c>
      <c r="C1466" s="33"/>
      <c r="E1466" s="60"/>
      <c r="F1466" s="52"/>
      <c r="G1466" s="18"/>
      <c r="H1466" s="49"/>
      <c r="I1466" s="49"/>
      <c r="L1466" s="62"/>
      <c r="M1466" s="53"/>
    </row>
    <row r="1467" spans="1:15" x14ac:dyDescent="0.25">
      <c r="A1467" s="21" t="str">
        <f>IF(C1467="","",COUNTA($C$3:C1467))</f>
        <v/>
      </c>
      <c r="B1467" s="35" t="str">
        <f t="shared" si="38"/>
        <v/>
      </c>
      <c r="C1467" s="33"/>
      <c r="E1467" s="60"/>
      <c r="F1467" s="52"/>
      <c r="G1467" s="18"/>
      <c r="H1467" s="49"/>
      <c r="I1467" s="49"/>
      <c r="L1467" s="62"/>
      <c r="M1467" s="53"/>
    </row>
    <row r="1468" spans="1:15" x14ac:dyDescent="0.25">
      <c r="A1468" s="21" t="str">
        <f>IF(C1468="","",COUNTA($C$3:C1468))</f>
        <v/>
      </c>
      <c r="B1468" s="35" t="str">
        <f t="shared" si="38"/>
        <v/>
      </c>
      <c r="C1468" s="33"/>
      <c r="E1468" s="60"/>
      <c r="F1468" s="52"/>
      <c r="G1468" s="18"/>
      <c r="H1468" s="49"/>
      <c r="I1468" s="49"/>
      <c r="L1468" s="62"/>
      <c r="M1468" s="53"/>
    </row>
    <row r="1469" spans="1:15" x14ac:dyDescent="0.25">
      <c r="A1469" s="21" t="str">
        <f>IF(C1469="","",COUNTA($C$3:C1469))</f>
        <v/>
      </c>
      <c r="B1469" s="35" t="str">
        <f t="shared" si="38"/>
        <v/>
      </c>
      <c r="C1469" s="33"/>
      <c r="E1469" s="60"/>
      <c r="F1469" s="52"/>
      <c r="G1469" s="18"/>
      <c r="H1469" s="49"/>
      <c r="I1469" s="49"/>
      <c r="L1469" s="62"/>
      <c r="M1469" s="53"/>
    </row>
    <row r="1470" spans="1:15" x14ac:dyDescent="0.25">
      <c r="A1470" s="21" t="str">
        <f>IF(C1470="","",COUNTA($C$3:C1470))</f>
        <v/>
      </c>
      <c r="B1470" s="35" t="str">
        <f t="shared" si="38"/>
        <v/>
      </c>
      <c r="C1470" s="33"/>
      <c r="E1470" s="60"/>
      <c r="F1470" s="52"/>
      <c r="G1470" s="18"/>
      <c r="H1470" s="49"/>
      <c r="I1470" s="49"/>
      <c r="L1470" s="62"/>
      <c r="M1470" s="53"/>
    </row>
    <row r="1471" spans="1:15" x14ac:dyDescent="0.25">
      <c r="A1471" s="21" t="str">
        <f>IF(C1471="","",COUNTA($C$3:C1471))</f>
        <v/>
      </c>
      <c r="B1471" s="35" t="str">
        <f t="shared" si="38"/>
        <v/>
      </c>
      <c r="C1471" s="33"/>
      <c r="E1471" s="60"/>
      <c r="F1471" s="52"/>
      <c r="G1471" s="18"/>
      <c r="H1471" s="49"/>
      <c r="I1471" s="49"/>
      <c r="L1471" s="62"/>
      <c r="M1471" s="53"/>
    </row>
    <row r="1472" spans="1:15" x14ac:dyDescent="0.25">
      <c r="A1472" s="21" t="str">
        <f>IF(C1472="","",COUNTA($C$3:C1472))</f>
        <v/>
      </c>
      <c r="B1472" s="35" t="str">
        <f t="shared" si="38"/>
        <v/>
      </c>
      <c r="C1472" s="33"/>
      <c r="E1472" s="60"/>
      <c r="F1472" s="52"/>
      <c r="G1472" s="18"/>
      <c r="H1472" s="49"/>
      <c r="I1472" s="49"/>
      <c r="L1472" s="62"/>
      <c r="M1472" s="53"/>
    </row>
    <row r="1473" spans="1:14" x14ac:dyDescent="0.25">
      <c r="A1473" s="21" t="str">
        <f>IF(C1473="","",COUNTA($C$3:C1473))</f>
        <v/>
      </c>
      <c r="B1473" s="35" t="str">
        <f t="shared" si="38"/>
        <v/>
      </c>
      <c r="C1473" s="33"/>
      <c r="E1473" s="60"/>
      <c r="F1473" s="52"/>
      <c r="G1473" s="18"/>
      <c r="H1473" s="49"/>
      <c r="I1473" s="49"/>
      <c r="L1473" s="62"/>
      <c r="M1473" s="53"/>
    </row>
    <row r="1474" spans="1:14" x14ac:dyDescent="0.25">
      <c r="A1474" s="21" t="str">
        <f>IF(C1474="","",COUNTA($C$3:C1474))</f>
        <v/>
      </c>
      <c r="B1474" s="35" t="str">
        <f t="shared" si="38"/>
        <v/>
      </c>
      <c r="C1474" s="33"/>
      <c r="E1474" s="60"/>
      <c r="F1474" s="52"/>
      <c r="G1474" s="18"/>
      <c r="H1474" s="49"/>
      <c r="I1474" s="49"/>
      <c r="L1474" s="62"/>
      <c r="M1474" s="53"/>
    </row>
    <row r="1475" spans="1:14" x14ac:dyDescent="0.25">
      <c r="A1475" s="21" t="str">
        <f>IF(C1475="","",COUNTA($C$3:C1475))</f>
        <v/>
      </c>
      <c r="B1475" s="35" t="str">
        <f t="shared" si="38"/>
        <v/>
      </c>
      <c r="C1475" s="33"/>
      <c r="E1475" s="60"/>
      <c r="F1475" s="52"/>
      <c r="G1475" s="18"/>
      <c r="H1475" s="49"/>
      <c r="I1475" s="49"/>
      <c r="K1475" s="55"/>
      <c r="L1475" s="62"/>
      <c r="M1475" s="53"/>
    </row>
    <row r="1476" spans="1:14" x14ac:dyDescent="0.25">
      <c r="A1476" s="21" t="str">
        <f>IF(C1476="","",COUNTA($C$3:C1476))</f>
        <v/>
      </c>
      <c r="B1476" s="35" t="str">
        <f t="shared" si="38"/>
        <v/>
      </c>
      <c r="C1476" s="33"/>
      <c r="E1476" s="60"/>
      <c r="F1476" s="52"/>
      <c r="G1476" s="18"/>
      <c r="H1476" s="49"/>
      <c r="I1476" s="49"/>
      <c r="K1476" s="67"/>
      <c r="L1476" s="62"/>
      <c r="M1476" s="53"/>
    </row>
    <row r="1477" spans="1:14" x14ac:dyDescent="0.25">
      <c r="A1477" s="21" t="str">
        <f>IF(C1477="","",COUNTA($C$3:C1477))</f>
        <v/>
      </c>
      <c r="B1477" s="35" t="str">
        <f t="shared" ref="B1477:B1540" si="39">IF(C1477="","",TEXT(C1477,"mmmm"))</f>
        <v/>
      </c>
      <c r="C1477" s="33"/>
      <c r="E1477" s="60"/>
      <c r="F1477" s="52"/>
      <c r="G1477" s="18"/>
      <c r="H1477" s="49"/>
      <c r="I1477" s="49"/>
      <c r="K1477" s="55"/>
      <c r="L1477" s="62"/>
      <c r="M1477" s="53"/>
    </row>
    <row r="1478" spans="1:14" x14ac:dyDescent="0.25">
      <c r="A1478" s="21" t="str">
        <f>IF(C1478="","",COUNTA($C$3:C1478))</f>
        <v/>
      </c>
      <c r="B1478" s="35" t="str">
        <f t="shared" si="39"/>
        <v/>
      </c>
      <c r="C1478" s="33"/>
      <c r="E1478" s="60"/>
      <c r="F1478" s="52"/>
      <c r="G1478" s="18"/>
      <c r="H1478" s="49"/>
      <c r="I1478" s="49"/>
      <c r="L1478" s="62"/>
      <c r="M1478" s="53"/>
    </row>
    <row r="1479" spans="1:14" x14ac:dyDescent="0.25">
      <c r="A1479" s="21" t="str">
        <f>IF(C1479="","",COUNTA($C$3:C1479))</f>
        <v/>
      </c>
      <c r="B1479" s="35" t="str">
        <f t="shared" si="39"/>
        <v/>
      </c>
      <c r="C1479" s="33"/>
      <c r="E1479" s="60"/>
      <c r="F1479" s="52"/>
      <c r="G1479" s="18"/>
      <c r="H1479" s="49"/>
      <c r="I1479" s="49"/>
      <c r="L1479" s="62"/>
      <c r="M1479" s="53"/>
    </row>
    <row r="1480" spans="1:14" x14ac:dyDescent="0.25">
      <c r="A1480" s="21" t="str">
        <f>IF(C1480="","",COUNTA($C$3:C1480))</f>
        <v/>
      </c>
      <c r="B1480" s="35" t="str">
        <f t="shared" si="39"/>
        <v/>
      </c>
      <c r="C1480" s="33"/>
      <c r="E1480" s="60"/>
      <c r="F1480" s="52"/>
      <c r="G1480" s="18"/>
      <c r="H1480" s="49"/>
      <c r="I1480" s="49"/>
      <c r="L1480" s="62"/>
      <c r="M1480" s="53"/>
    </row>
    <row r="1481" spans="1:14" x14ac:dyDescent="0.25">
      <c r="A1481" s="21" t="str">
        <f>IF(C1481="","",COUNTA($C$3:C1481))</f>
        <v/>
      </c>
      <c r="B1481" s="35" t="str">
        <f t="shared" si="39"/>
        <v/>
      </c>
      <c r="C1481" s="33"/>
      <c r="E1481" s="60"/>
      <c r="F1481" s="52"/>
      <c r="G1481" s="18"/>
      <c r="H1481" s="49"/>
      <c r="I1481" s="49"/>
      <c r="L1481" s="62"/>
      <c r="M1481" s="53"/>
    </row>
    <row r="1482" spans="1:14" x14ac:dyDescent="0.25">
      <c r="A1482" s="21" t="str">
        <f>IF(C1482="","",COUNTA($C$3:C1482))</f>
        <v/>
      </c>
      <c r="B1482" s="35" t="str">
        <f t="shared" si="39"/>
        <v/>
      </c>
      <c r="C1482" s="33"/>
      <c r="E1482" s="60"/>
      <c r="F1482" s="52"/>
      <c r="G1482" s="18"/>
      <c r="H1482" s="49"/>
      <c r="I1482" s="49"/>
      <c r="L1482" s="62"/>
      <c r="M1482" s="53"/>
    </row>
    <row r="1483" spans="1:14" x14ac:dyDescent="0.25">
      <c r="A1483" s="21" t="str">
        <f>IF(C1483="","",COUNTA($C$3:C1483))</f>
        <v/>
      </c>
      <c r="B1483" s="35" t="str">
        <f t="shared" si="39"/>
        <v/>
      </c>
      <c r="C1483" s="33"/>
      <c r="E1483" s="60"/>
      <c r="F1483" s="52"/>
      <c r="G1483" s="18"/>
      <c r="H1483" s="49"/>
      <c r="I1483" s="49"/>
      <c r="L1483" s="62"/>
      <c r="M1483" s="53"/>
    </row>
    <row r="1484" spans="1:14" x14ac:dyDescent="0.25">
      <c r="A1484" s="21" t="str">
        <f>IF(C1484="","",COUNTA($C$3:C1484))</f>
        <v/>
      </c>
      <c r="B1484" s="35" t="str">
        <f t="shared" si="39"/>
        <v/>
      </c>
      <c r="C1484" s="33"/>
      <c r="E1484" s="60"/>
      <c r="F1484" s="52"/>
      <c r="G1484" s="18"/>
      <c r="H1484" s="49"/>
      <c r="I1484" s="49"/>
      <c r="L1484" s="62"/>
      <c r="M1484" s="53"/>
      <c r="N1484" s="69"/>
    </row>
    <row r="1485" spans="1:14" x14ac:dyDescent="0.25">
      <c r="A1485" s="21" t="str">
        <f>IF(C1485="","",COUNTA($C$3:C1485))</f>
        <v/>
      </c>
      <c r="B1485" s="35" t="str">
        <f t="shared" si="39"/>
        <v/>
      </c>
      <c r="C1485" s="33"/>
      <c r="E1485" s="60"/>
      <c r="F1485" s="52"/>
      <c r="G1485" s="18"/>
      <c r="H1485" s="49"/>
      <c r="I1485" s="49"/>
      <c r="L1485" s="62"/>
      <c r="M1485" s="53"/>
    </row>
    <row r="1486" spans="1:14" x14ac:dyDescent="0.25">
      <c r="A1486" s="21" t="str">
        <f>IF(C1486="","",COUNTA($C$3:C1486))</f>
        <v/>
      </c>
      <c r="B1486" s="35" t="str">
        <f t="shared" si="39"/>
        <v/>
      </c>
      <c r="C1486" s="33"/>
      <c r="E1486" s="60"/>
      <c r="F1486" s="52"/>
      <c r="G1486" s="18"/>
      <c r="H1486" s="49"/>
      <c r="I1486" s="49"/>
      <c r="L1486" s="62"/>
      <c r="M1486" s="53"/>
    </row>
    <row r="1487" spans="1:14" x14ac:dyDescent="0.25">
      <c r="A1487" s="21" t="str">
        <f>IF(C1487="","",COUNTA($C$3:C1487))</f>
        <v/>
      </c>
      <c r="B1487" s="35" t="str">
        <f t="shared" si="39"/>
        <v/>
      </c>
      <c r="C1487" s="33"/>
      <c r="E1487" s="60"/>
      <c r="F1487" s="52"/>
      <c r="G1487" s="18"/>
      <c r="H1487" s="49"/>
      <c r="I1487" s="49"/>
      <c r="L1487" s="62"/>
      <c r="M1487" s="53"/>
    </row>
    <row r="1488" spans="1:14" x14ac:dyDescent="0.25">
      <c r="A1488" s="21" t="str">
        <f>IF(C1488="","",COUNTA($C$3:C1488))</f>
        <v/>
      </c>
      <c r="B1488" s="35" t="str">
        <f t="shared" si="39"/>
        <v/>
      </c>
      <c r="C1488" s="33"/>
      <c r="E1488" s="60"/>
      <c r="F1488" s="52"/>
      <c r="G1488" s="18"/>
      <c r="H1488" s="49"/>
      <c r="I1488" s="49"/>
      <c r="K1488" s="67"/>
      <c r="L1488" s="62"/>
      <c r="M1488" s="53"/>
    </row>
    <row r="1489" spans="1:13" x14ac:dyDescent="0.25">
      <c r="A1489" s="21" t="str">
        <f>IF(C1489="","",COUNTA($C$3:C1489))</f>
        <v/>
      </c>
      <c r="B1489" s="35" t="str">
        <f t="shared" si="39"/>
        <v/>
      </c>
      <c r="C1489" s="33"/>
      <c r="E1489" s="60"/>
      <c r="F1489" s="52"/>
      <c r="G1489" s="18"/>
      <c r="H1489" s="49"/>
      <c r="I1489" s="49"/>
      <c r="K1489" s="67"/>
      <c r="L1489" s="53"/>
      <c r="M1489" s="53"/>
    </row>
    <row r="1490" spans="1:13" x14ac:dyDescent="0.25">
      <c r="A1490" s="21" t="str">
        <f>IF(C1490="","",COUNTA($C$3:C1490))</f>
        <v/>
      </c>
      <c r="B1490" s="35" t="str">
        <f t="shared" si="39"/>
        <v/>
      </c>
      <c r="C1490" s="33"/>
      <c r="E1490" s="60"/>
      <c r="F1490" s="52"/>
      <c r="G1490" s="18"/>
      <c r="H1490" s="49"/>
      <c r="I1490" s="49"/>
      <c r="L1490" s="62"/>
      <c r="M1490" s="53"/>
    </row>
    <row r="1491" spans="1:13" x14ac:dyDescent="0.25">
      <c r="A1491" s="21" t="str">
        <f>IF(C1491="","",COUNTA($C$3:C1491))</f>
        <v/>
      </c>
      <c r="B1491" s="35" t="str">
        <f t="shared" si="39"/>
        <v/>
      </c>
      <c r="C1491" s="33"/>
      <c r="E1491" s="60"/>
      <c r="F1491" s="52"/>
      <c r="G1491" s="18"/>
      <c r="H1491" s="49"/>
      <c r="I1491" s="49"/>
      <c r="L1491" s="62"/>
      <c r="M1491" s="53"/>
    </row>
    <row r="1492" spans="1:13" x14ac:dyDescent="0.25">
      <c r="A1492" s="21" t="str">
        <f>IF(C1492="","",COUNTA($C$3:C1492))</f>
        <v/>
      </c>
      <c r="B1492" s="35" t="str">
        <f t="shared" si="39"/>
        <v/>
      </c>
      <c r="C1492" s="33"/>
      <c r="E1492" s="60"/>
      <c r="F1492" s="52"/>
      <c r="G1492" s="18"/>
      <c r="H1492" s="49"/>
      <c r="I1492" s="49"/>
      <c r="L1492" s="62"/>
      <c r="M1492" s="53"/>
    </row>
    <row r="1493" spans="1:13" x14ac:dyDescent="0.25">
      <c r="A1493" s="21" t="str">
        <f>IF(C1493="","",COUNTA($C$3:C1493))</f>
        <v/>
      </c>
      <c r="B1493" s="35" t="str">
        <f t="shared" si="39"/>
        <v/>
      </c>
      <c r="C1493" s="33"/>
      <c r="E1493" s="60"/>
      <c r="F1493" s="52"/>
      <c r="G1493" s="18"/>
      <c r="H1493" s="49"/>
      <c r="I1493" s="49"/>
      <c r="L1493" s="70"/>
      <c r="M1493" s="53"/>
    </row>
    <row r="1494" spans="1:13" x14ac:dyDescent="0.25">
      <c r="A1494" s="21" t="str">
        <f>IF(C1494="","",COUNTA($C$3:C1494))</f>
        <v/>
      </c>
      <c r="B1494" s="35" t="str">
        <f t="shared" si="39"/>
        <v/>
      </c>
      <c r="C1494" s="33"/>
      <c r="E1494" s="60"/>
      <c r="F1494" s="52"/>
      <c r="G1494" s="18"/>
      <c r="H1494" s="49"/>
      <c r="I1494" s="49"/>
      <c r="L1494" s="62"/>
      <c r="M1494" s="53"/>
    </row>
    <row r="1495" spans="1:13" x14ac:dyDescent="0.25">
      <c r="A1495" s="21" t="str">
        <f>IF(C1495="","",COUNTA($C$3:C1495))</f>
        <v/>
      </c>
      <c r="B1495" s="35" t="str">
        <f t="shared" si="39"/>
        <v/>
      </c>
      <c r="C1495" s="33"/>
      <c r="E1495" s="60"/>
      <c r="F1495" s="52"/>
      <c r="G1495" s="18"/>
      <c r="H1495" s="49"/>
      <c r="I1495" s="49"/>
      <c r="L1495" s="70"/>
      <c r="M1495" s="53"/>
    </row>
    <row r="1496" spans="1:13" x14ac:dyDescent="0.25">
      <c r="A1496" s="21" t="str">
        <f>IF(C1496="","",COUNTA($C$3:C1496))</f>
        <v/>
      </c>
      <c r="B1496" s="35" t="str">
        <f t="shared" si="39"/>
        <v/>
      </c>
      <c r="C1496" s="33"/>
      <c r="E1496" s="60"/>
      <c r="F1496" s="52"/>
      <c r="G1496" s="18"/>
      <c r="H1496" s="49"/>
      <c r="I1496" s="49"/>
      <c r="L1496" s="62"/>
      <c r="M1496" s="53"/>
    </row>
    <row r="1497" spans="1:13" x14ac:dyDescent="0.25">
      <c r="A1497" s="21" t="str">
        <f>IF(C1497="","",COUNTA($C$3:C1497))</f>
        <v/>
      </c>
      <c r="B1497" s="35" t="str">
        <f t="shared" si="39"/>
        <v/>
      </c>
      <c r="C1497" s="33"/>
      <c r="E1497" s="60"/>
      <c r="F1497" s="52"/>
      <c r="G1497" s="18"/>
      <c r="H1497" s="49"/>
      <c r="I1497" s="49"/>
      <c r="L1497" s="70"/>
      <c r="M1497" s="53"/>
    </row>
    <row r="1498" spans="1:13" x14ac:dyDescent="0.25">
      <c r="A1498" s="21" t="str">
        <f>IF(C1498="","",COUNTA($C$3:C1498))</f>
        <v/>
      </c>
      <c r="B1498" s="35" t="str">
        <f t="shared" si="39"/>
        <v/>
      </c>
      <c r="C1498" s="33"/>
      <c r="E1498" s="60"/>
      <c r="F1498" s="52"/>
      <c r="G1498" s="18"/>
      <c r="H1498" s="49"/>
      <c r="I1498" s="49"/>
      <c r="L1498" s="62"/>
      <c r="M1498" s="53"/>
    </row>
    <row r="1499" spans="1:13" x14ac:dyDescent="0.25">
      <c r="A1499" s="21" t="str">
        <f>IF(C1499="","",COUNTA($C$3:C1499))</f>
        <v/>
      </c>
      <c r="B1499" s="35" t="str">
        <f t="shared" si="39"/>
        <v/>
      </c>
      <c r="C1499" s="33"/>
      <c r="E1499" s="60"/>
      <c r="F1499" s="52"/>
      <c r="G1499" s="18"/>
      <c r="H1499" s="49"/>
      <c r="I1499" s="49"/>
      <c r="L1499" s="70"/>
      <c r="M1499" s="53"/>
    </row>
    <row r="1500" spans="1:13" x14ac:dyDescent="0.25">
      <c r="A1500" s="21" t="str">
        <f>IF(C1500="","",COUNTA($C$3:C1500))</f>
        <v/>
      </c>
      <c r="B1500" s="35" t="str">
        <f t="shared" si="39"/>
        <v/>
      </c>
      <c r="C1500" s="33"/>
      <c r="E1500" s="60"/>
      <c r="F1500" s="52"/>
      <c r="G1500" s="18"/>
      <c r="H1500" s="49"/>
      <c r="I1500" s="49"/>
      <c r="L1500" s="70"/>
      <c r="M1500" s="53"/>
    </row>
    <row r="1501" spans="1:13" x14ac:dyDescent="0.25">
      <c r="A1501" s="21" t="str">
        <f>IF(C1501="","",COUNTA($C$3:C1501))</f>
        <v/>
      </c>
      <c r="B1501" s="35" t="str">
        <f t="shared" si="39"/>
        <v/>
      </c>
      <c r="C1501" s="33"/>
      <c r="E1501" s="60"/>
      <c r="F1501" s="52"/>
      <c r="G1501" s="52"/>
      <c r="H1501" s="49"/>
      <c r="I1501" s="49"/>
      <c r="L1501" s="70"/>
      <c r="M1501" s="53"/>
    </row>
    <row r="1502" spans="1:13" x14ac:dyDescent="0.25">
      <c r="A1502" s="21" t="str">
        <f>IF(C1502="","",COUNTA($C$3:C1502))</f>
        <v/>
      </c>
      <c r="B1502" s="35" t="str">
        <f t="shared" si="39"/>
        <v/>
      </c>
      <c r="C1502" s="33"/>
      <c r="E1502" s="60"/>
      <c r="F1502" s="52"/>
      <c r="G1502" s="52"/>
      <c r="H1502" s="49"/>
      <c r="I1502" s="49"/>
      <c r="L1502" s="62"/>
      <c r="M1502" s="53"/>
    </row>
    <row r="1503" spans="1:13" x14ac:dyDescent="0.25">
      <c r="A1503" s="21" t="str">
        <f>IF(C1503="","",COUNTA($C$3:C1503))</f>
        <v/>
      </c>
      <c r="B1503" s="35" t="str">
        <f t="shared" si="39"/>
        <v/>
      </c>
      <c r="C1503" s="33"/>
      <c r="E1503" s="60"/>
      <c r="F1503" s="52"/>
      <c r="G1503" s="52"/>
      <c r="H1503" s="49"/>
      <c r="I1503" s="49"/>
      <c r="L1503" s="62"/>
      <c r="M1503" s="53"/>
    </row>
    <row r="1504" spans="1:13" x14ac:dyDescent="0.25">
      <c r="A1504" s="21" t="str">
        <f>IF(C1504="","",COUNTA($C$3:C1504))</f>
        <v/>
      </c>
      <c r="B1504" s="35" t="str">
        <f t="shared" si="39"/>
        <v/>
      </c>
      <c r="C1504" s="33"/>
      <c r="E1504" s="60"/>
      <c r="F1504" s="52"/>
      <c r="G1504" s="52"/>
      <c r="H1504" s="49"/>
      <c r="I1504" s="49"/>
      <c r="L1504" s="62"/>
      <c r="M1504" s="53"/>
    </row>
    <row r="1505" spans="1:13" x14ac:dyDescent="0.25">
      <c r="A1505" s="21" t="str">
        <f>IF(C1505="","",COUNTA($C$3:C1505))</f>
        <v/>
      </c>
      <c r="B1505" s="35" t="str">
        <f t="shared" si="39"/>
        <v/>
      </c>
      <c r="C1505" s="33"/>
      <c r="E1505" s="60"/>
      <c r="F1505" s="52"/>
      <c r="G1505" s="52"/>
      <c r="H1505" s="49"/>
      <c r="I1505" s="49"/>
      <c r="L1505" s="62"/>
      <c r="M1505" s="53"/>
    </row>
    <row r="1506" spans="1:13" x14ac:dyDescent="0.25">
      <c r="A1506" s="21" t="str">
        <f>IF(C1506="","",COUNTA($C$3:C1506))</f>
        <v/>
      </c>
      <c r="B1506" s="35" t="str">
        <f t="shared" si="39"/>
        <v/>
      </c>
      <c r="C1506" s="33"/>
      <c r="E1506" s="60"/>
      <c r="F1506" s="52"/>
      <c r="G1506" s="52"/>
      <c r="H1506" s="49"/>
      <c r="I1506" s="49"/>
      <c r="L1506" s="62"/>
      <c r="M1506" s="53"/>
    </row>
    <row r="1507" spans="1:13" x14ac:dyDescent="0.25">
      <c r="A1507" s="21" t="str">
        <f>IF(C1507="","",COUNTA($C$3:C1507))</f>
        <v/>
      </c>
      <c r="B1507" s="35" t="str">
        <f t="shared" si="39"/>
        <v/>
      </c>
      <c r="C1507" s="33"/>
      <c r="E1507" s="60"/>
      <c r="F1507" s="52"/>
      <c r="G1507" s="52"/>
      <c r="H1507" s="49"/>
      <c r="I1507" s="49"/>
      <c r="L1507" s="62"/>
      <c r="M1507" s="53"/>
    </row>
    <row r="1508" spans="1:13" x14ac:dyDescent="0.25">
      <c r="A1508" s="21" t="str">
        <f>IF(C1508="","",COUNTA($C$3:C1508))</f>
        <v/>
      </c>
      <c r="B1508" s="35" t="str">
        <f t="shared" si="39"/>
        <v/>
      </c>
      <c r="C1508" s="33"/>
      <c r="E1508" s="60"/>
      <c r="F1508" s="52"/>
      <c r="G1508" s="18"/>
      <c r="H1508" s="49"/>
      <c r="I1508" s="49"/>
      <c r="L1508" s="62"/>
      <c r="M1508" s="53"/>
    </row>
    <row r="1509" spans="1:13" x14ac:dyDescent="0.25">
      <c r="A1509" s="21" t="str">
        <f>IF(C1509="","",COUNTA($C$3:C1509))</f>
        <v/>
      </c>
      <c r="B1509" s="35" t="str">
        <f t="shared" si="39"/>
        <v/>
      </c>
      <c r="C1509" s="33"/>
      <c r="E1509" s="60"/>
      <c r="F1509" s="52"/>
      <c r="G1509" s="18"/>
      <c r="H1509" s="49"/>
      <c r="I1509" s="49"/>
      <c r="L1509" s="62"/>
      <c r="M1509" s="53"/>
    </row>
    <row r="1510" spans="1:13" x14ac:dyDescent="0.25">
      <c r="A1510" s="21" t="str">
        <f>IF(C1510="","",COUNTA($C$3:C1510))</f>
        <v/>
      </c>
      <c r="B1510" s="35" t="str">
        <f t="shared" si="39"/>
        <v/>
      </c>
      <c r="C1510" s="33"/>
      <c r="E1510" s="60"/>
      <c r="F1510" s="52"/>
      <c r="G1510" s="18"/>
      <c r="H1510" s="49"/>
      <c r="I1510" s="49"/>
      <c r="L1510" s="62"/>
      <c r="M1510" s="53"/>
    </row>
    <row r="1511" spans="1:13" x14ac:dyDescent="0.25">
      <c r="A1511" s="21" t="str">
        <f>IF(C1511="","",COUNTA($C$3:C1511))</f>
        <v/>
      </c>
      <c r="B1511" s="35" t="str">
        <f t="shared" si="39"/>
        <v/>
      </c>
      <c r="C1511" s="33"/>
      <c r="E1511" s="60"/>
      <c r="F1511" s="52"/>
      <c r="G1511" s="18"/>
      <c r="H1511" s="49"/>
      <c r="I1511" s="49"/>
      <c r="L1511" s="62"/>
      <c r="M1511" s="53"/>
    </row>
    <row r="1512" spans="1:13" x14ac:dyDescent="0.25">
      <c r="A1512" s="21" t="str">
        <f>IF(C1512="","",COUNTA($C$3:C1512))</f>
        <v/>
      </c>
      <c r="B1512" s="35" t="str">
        <f t="shared" si="39"/>
        <v/>
      </c>
      <c r="C1512" s="33"/>
      <c r="E1512" s="60"/>
      <c r="F1512" s="52"/>
      <c r="G1512" s="18"/>
      <c r="H1512" s="49"/>
      <c r="I1512" s="49"/>
      <c r="L1512" s="62"/>
      <c r="M1512" s="53"/>
    </row>
    <row r="1513" spans="1:13" x14ac:dyDescent="0.25">
      <c r="A1513" s="21" t="str">
        <f>IF(C1513="","",COUNTA($C$3:C1513))</f>
        <v/>
      </c>
      <c r="B1513" s="35" t="str">
        <f t="shared" si="39"/>
        <v/>
      </c>
      <c r="C1513" s="33"/>
      <c r="E1513" s="60"/>
      <c r="F1513" s="52"/>
      <c r="G1513" s="52"/>
      <c r="H1513" s="49"/>
      <c r="I1513" s="49"/>
      <c r="L1513" s="70"/>
      <c r="M1513" s="53"/>
    </row>
    <row r="1514" spans="1:13" x14ac:dyDescent="0.25">
      <c r="A1514" s="21" t="str">
        <f>IF(C1514="","",COUNTA($C$3:C1514))</f>
        <v/>
      </c>
      <c r="B1514" s="35" t="str">
        <f t="shared" si="39"/>
        <v/>
      </c>
      <c r="C1514" s="33"/>
      <c r="E1514" s="60"/>
      <c r="F1514" s="52"/>
      <c r="G1514" s="52"/>
      <c r="H1514" s="49"/>
      <c r="I1514" s="49"/>
      <c r="L1514" s="62"/>
      <c r="M1514" s="53"/>
    </row>
    <row r="1515" spans="1:13" x14ac:dyDescent="0.25">
      <c r="A1515" s="21" t="str">
        <f>IF(C1515="","",COUNTA($C$3:C1515))</f>
        <v/>
      </c>
      <c r="B1515" s="35" t="str">
        <f t="shared" si="39"/>
        <v/>
      </c>
      <c r="C1515" s="33"/>
      <c r="E1515" s="60"/>
      <c r="F1515" s="52"/>
      <c r="G1515" s="52"/>
      <c r="H1515" s="49"/>
      <c r="I1515" s="49"/>
      <c r="L1515" s="62"/>
      <c r="M1515" s="53"/>
    </row>
    <row r="1516" spans="1:13" x14ac:dyDescent="0.25">
      <c r="A1516" s="21" t="str">
        <f>IF(C1516="","",COUNTA($C$3:C1516))</f>
        <v/>
      </c>
      <c r="B1516" s="35" t="str">
        <f t="shared" si="39"/>
        <v/>
      </c>
      <c r="C1516" s="33"/>
      <c r="E1516" s="60"/>
      <c r="F1516" s="52"/>
      <c r="G1516" s="52"/>
      <c r="H1516" s="49"/>
      <c r="I1516" s="76"/>
      <c r="L1516" s="62"/>
      <c r="M1516" s="53"/>
    </row>
    <row r="1517" spans="1:13" x14ac:dyDescent="0.25">
      <c r="A1517" s="21" t="str">
        <f>IF(C1517="","",COUNTA($C$3:C1517))</f>
        <v/>
      </c>
      <c r="B1517" s="35" t="str">
        <f t="shared" si="39"/>
        <v/>
      </c>
      <c r="C1517" s="33"/>
      <c r="E1517" s="60"/>
      <c r="F1517" s="52"/>
      <c r="G1517" s="52"/>
      <c r="H1517" s="49"/>
      <c r="I1517" s="49"/>
      <c r="L1517" s="62"/>
      <c r="M1517" s="53"/>
    </row>
    <row r="1518" spans="1:13" x14ac:dyDescent="0.25">
      <c r="A1518" s="21" t="str">
        <f>IF(C1518="","",COUNTA($C$3:C1518))</f>
        <v/>
      </c>
      <c r="B1518" s="35" t="str">
        <f t="shared" si="39"/>
        <v/>
      </c>
      <c r="C1518" s="33"/>
      <c r="E1518" s="60"/>
      <c r="F1518" s="52"/>
      <c r="G1518" s="52"/>
      <c r="H1518" s="49"/>
      <c r="I1518" s="49"/>
      <c r="L1518" s="62"/>
      <c r="M1518" s="53"/>
    </row>
    <row r="1519" spans="1:13" x14ac:dyDescent="0.25">
      <c r="A1519" s="21" t="str">
        <f>IF(C1519="","",COUNTA($C$3:C1519))</f>
        <v/>
      </c>
      <c r="B1519" s="35" t="str">
        <f t="shared" si="39"/>
        <v/>
      </c>
      <c r="C1519" s="33"/>
      <c r="E1519" s="60"/>
      <c r="F1519" s="52"/>
      <c r="G1519" s="18"/>
      <c r="H1519" s="49"/>
      <c r="I1519" s="49"/>
      <c r="L1519" s="62"/>
      <c r="M1519" s="53"/>
    </row>
    <row r="1520" spans="1:13" x14ac:dyDescent="0.25">
      <c r="A1520" s="21" t="str">
        <f>IF(C1520="","",COUNTA($C$3:C1520))</f>
        <v/>
      </c>
      <c r="B1520" s="35" t="str">
        <f t="shared" si="39"/>
        <v/>
      </c>
      <c r="C1520" s="33"/>
      <c r="E1520" s="60"/>
      <c r="F1520" s="52"/>
      <c r="G1520" s="18"/>
      <c r="H1520" s="49"/>
      <c r="I1520" s="49"/>
      <c r="L1520" s="62"/>
      <c r="M1520" s="53"/>
    </row>
    <row r="1521" spans="1:15" x14ac:dyDescent="0.25">
      <c r="A1521" s="21" t="str">
        <f>IF(C1521="","",COUNTA($C$3:C1521))</f>
        <v/>
      </c>
      <c r="B1521" s="35" t="str">
        <f t="shared" si="39"/>
        <v/>
      </c>
      <c r="C1521" s="33"/>
      <c r="E1521" s="60"/>
      <c r="F1521" s="52"/>
      <c r="G1521" s="18"/>
      <c r="H1521" s="49"/>
      <c r="I1521" s="49"/>
      <c r="L1521" s="62"/>
      <c r="M1521" s="53"/>
    </row>
    <row r="1522" spans="1:15" x14ac:dyDescent="0.25">
      <c r="A1522" s="21" t="str">
        <f>IF(C1522="","",COUNTA($C$3:C1522))</f>
        <v/>
      </c>
      <c r="B1522" s="35" t="str">
        <f t="shared" si="39"/>
        <v/>
      </c>
      <c r="C1522" s="33"/>
      <c r="E1522" s="60"/>
      <c r="F1522" s="52"/>
      <c r="G1522" s="18"/>
      <c r="H1522" s="49"/>
      <c r="I1522" s="49"/>
      <c r="L1522" s="62"/>
      <c r="M1522" s="53"/>
    </row>
    <row r="1523" spans="1:15" x14ac:dyDescent="0.25">
      <c r="A1523" s="21" t="str">
        <f>IF(C1523="","",COUNTA($C$3:C1523))</f>
        <v/>
      </c>
      <c r="B1523" s="35" t="str">
        <f t="shared" si="39"/>
        <v/>
      </c>
      <c r="C1523" s="33"/>
      <c r="E1523" s="60"/>
      <c r="F1523" s="52"/>
      <c r="G1523" s="18"/>
      <c r="H1523" s="49"/>
      <c r="I1523" s="49"/>
      <c r="L1523" s="62"/>
      <c r="M1523" s="53"/>
    </row>
    <row r="1524" spans="1:15" x14ac:dyDescent="0.25">
      <c r="A1524" s="21" t="str">
        <f>IF(C1524="","",COUNTA($C$3:C1524))</f>
        <v/>
      </c>
      <c r="B1524" s="35" t="str">
        <f t="shared" si="39"/>
        <v/>
      </c>
      <c r="C1524" s="33"/>
      <c r="E1524" s="60"/>
      <c r="F1524" s="52"/>
      <c r="G1524" s="18"/>
      <c r="H1524" s="49"/>
      <c r="I1524" s="49"/>
      <c r="L1524" s="62"/>
      <c r="M1524" s="53"/>
    </row>
    <row r="1525" spans="1:15" x14ac:dyDescent="0.25">
      <c r="A1525" s="21" t="str">
        <f>IF(C1525="","",COUNTA($C$3:C1525))</f>
        <v/>
      </c>
      <c r="B1525" s="35" t="str">
        <f t="shared" si="39"/>
        <v/>
      </c>
      <c r="C1525" s="33"/>
      <c r="E1525" s="60"/>
      <c r="F1525" s="52"/>
      <c r="G1525" s="18"/>
      <c r="H1525" s="49"/>
      <c r="I1525" s="49"/>
      <c r="L1525" s="62"/>
      <c r="M1525" s="53"/>
    </row>
    <row r="1526" spans="1:15" x14ac:dyDescent="0.25">
      <c r="A1526" s="21" t="str">
        <f>IF(C1526="","",COUNTA($C$3:C1526))</f>
        <v/>
      </c>
      <c r="B1526" s="35" t="str">
        <f t="shared" si="39"/>
        <v/>
      </c>
      <c r="C1526" s="33"/>
      <c r="E1526" s="60"/>
      <c r="F1526" s="52"/>
      <c r="G1526" s="18"/>
      <c r="H1526" s="49"/>
      <c r="I1526" s="49"/>
      <c r="L1526" s="62"/>
      <c r="M1526" s="53"/>
    </row>
    <row r="1527" spans="1:15" x14ac:dyDescent="0.25">
      <c r="A1527" s="21" t="str">
        <f>IF(C1527="","",COUNTA($C$3:C1527))</f>
        <v/>
      </c>
      <c r="B1527" s="35" t="str">
        <f t="shared" si="39"/>
        <v/>
      </c>
      <c r="C1527" s="33"/>
      <c r="E1527" s="60"/>
      <c r="F1527" s="52"/>
      <c r="G1527" s="18"/>
      <c r="H1527" s="49"/>
      <c r="I1527" s="49"/>
      <c r="K1527" s="55"/>
      <c r="M1527" s="53"/>
    </row>
    <row r="1528" spans="1:15" x14ac:dyDescent="0.25">
      <c r="A1528" s="21" t="str">
        <f>IF(C1528="","",COUNTA($C$3:C1528))</f>
        <v/>
      </c>
      <c r="B1528" s="35" t="str">
        <f t="shared" si="39"/>
        <v/>
      </c>
      <c r="C1528" s="33"/>
      <c r="E1528" s="60"/>
      <c r="F1528" s="52"/>
      <c r="G1528" s="18"/>
      <c r="H1528" s="49"/>
      <c r="I1528" s="49"/>
      <c r="K1528" s="55"/>
      <c r="M1528" s="53"/>
    </row>
    <row r="1529" spans="1:15" x14ac:dyDescent="0.25">
      <c r="A1529" s="21" t="str">
        <f>IF(C1529="","",COUNTA($C$3:C1529))</f>
        <v/>
      </c>
      <c r="B1529" s="35" t="str">
        <f t="shared" si="39"/>
        <v/>
      </c>
      <c r="C1529" s="33"/>
      <c r="E1529" s="60"/>
      <c r="F1529" s="52"/>
      <c r="G1529" s="18"/>
      <c r="H1529" s="49"/>
      <c r="I1529" s="49"/>
      <c r="L1529" s="78"/>
      <c r="M1529" s="53"/>
      <c r="O1529" s="59"/>
    </row>
    <row r="1530" spans="1:15" x14ac:dyDescent="0.25">
      <c r="A1530" s="21" t="str">
        <f>IF(C1530="","",COUNTA($C$3:C1530))</f>
        <v/>
      </c>
      <c r="B1530" s="35" t="str">
        <f t="shared" si="39"/>
        <v/>
      </c>
      <c r="C1530" s="33"/>
      <c r="E1530" s="60"/>
      <c r="F1530" s="52"/>
      <c r="G1530" s="18"/>
      <c r="H1530" s="49"/>
      <c r="I1530" s="49"/>
      <c r="L1530" s="62"/>
      <c r="M1530" s="53"/>
      <c r="O1530" s="59"/>
    </row>
    <row r="1531" spans="1:15" x14ac:dyDescent="0.25">
      <c r="A1531" s="21" t="str">
        <f>IF(C1531="","",COUNTA($C$3:C1531))</f>
        <v/>
      </c>
      <c r="B1531" s="35" t="str">
        <f t="shared" si="39"/>
        <v/>
      </c>
      <c r="C1531" s="33"/>
      <c r="E1531" s="60"/>
      <c r="F1531" s="52"/>
      <c r="G1531" s="18"/>
      <c r="H1531" s="49"/>
      <c r="I1531" s="49"/>
      <c r="L1531" s="62"/>
      <c r="M1531" s="53"/>
      <c r="O1531" s="59"/>
    </row>
    <row r="1532" spans="1:15" x14ac:dyDescent="0.25">
      <c r="A1532" s="21" t="str">
        <f>IF(C1532="","",COUNTA($C$3:C1532))</f>
        <v/>
      </c>
      <c r="B1532" s="35" t="str">
        <f t="shared" si="39"/>
        <v/>
      </c>
      <c r="C1532" s="33"/>
      <c r="E1532" s="60"/>
      <c r="F1532" s="52"/>
      <c r="G1532" s="18"/>
      <c r="H1532" s="49"/>
      <c r="I1532" s="49"/>
      <c r="L1532" s="62"/>
      <c r="M1532" s="53"/>
      <c r="O1532" s="69"/>
    </row>
    <row r="1533" spans="1:15" x14ac:dyDescent="0.25">
      <c r="A1533" s="21" t="str">
        <f>IF(C1533="","",COUNTA($C$3:C1533))</f>
        <v/>
      </c>
      <c r="B1533" s="35" t="str">
        <f t="shared" si="39"/>
        <v/>
      </c>
      <c r="C1533" s="33"/>
      <c r="E1533" s="60"/>
      <c r="F1533" s="52"/>
      <c r="G1533" s="18"/>
      <c r="H1533" s="49"/>
      <c r="I1533" s="49"/>
      <c r="L1533" s="62"/>
      <c r="M1533" s="53"/>
    </row>
    <row r="1534" spans="1:15" x14ac:dyDescent="0.25">
      <c r="A1534" s="21" t="str">
        <f>IF(C1534="","",COUNTA($C$3:C1534))</f>
        <v/>
      </c>
      <c r="B1534" s="35" t="str">
        <f t="shared" si="39"/>
        <v/>
      </c>
      <c r="C1534" s="33"/>
      <c r="E1534" s="60"/>
      <c r="F1534" s="52"/>
      <c r="G1534" s="18"/>
      <c r="H1534" s="49"/>
      <c r="I1534" s="49"/>
      <c r="L1534" s="62"/>
      <c r="M1534" s="53"/>
    </row>
    <row r="1535" spans="1:15" x14ac:dyDescent="0.25">
      <c r="A1535" s="21" t="str">
        <f>IF(C1535="","",COUNTA($C$3:C1535))</f>
        <v/>
      </c>
      <c r="B1535" s="35" t="str">
        <f t="shared" si="39"/>
        <v/>
      </c>
      <c r="C1535" s="33"/>
      <c r="E1535" s="60"/>
      <c r="F1535" s="52"/>
      <c r="G1535" s="18"/>
      <c r="H1535" s="49"/>
      <c r="I1535" s="49"/>
      <c r="L1535" s="70"/>
      <c r="M1535" s="53"/>
    </row>
    <row r="1536" spans="1:15" x14ac:dyDescent="0.25">
      <c r="A1536" s="21" t="str">
        <f>IF(C1536="","",COUNTA($C$3:C1536))</f>
        <v/>
      </c>
      <c r="B1536" s="35" t="str">
        <f t="shared" si="39"/>
        <v/>
      </c>
      <c r="C1536" s="33"/>
      <c r="E1536" s="60"/>
      <c r="F1536" s="52"/>
      <c r="G1536" s="18"/>
      <c r="H1536" s="49"/>
      <c r="I1536" s="49"/>
      <c r="K1536" s="55"/>
      <c r="M1536" s="53"/>
    </row>
    <row r="1537" spans="1:15" x14ac:dyDescent="0.25">
      <c r="A1537" s="21" t="str">
        <f>IF(C1537="","",COUNTA($C$3:C1537))</f>
        <v/>
      </c>
      <c r="B1537" s="35" t="str">
        <f t="shared" si="39"/>
        <v/>
      </c>
      <c r="C1537" s="33"/>
      <c r="E1537" s="60"/>
      <c r="F1537" s="52"/>
      <c r="G1537" s="18"/>
      <c r="H1537" s="49"/>
      <c r="I1537" s="49"/>
      <c r="K1537" s="55"/>
      <c r="M1537" s="53"/>
    </row>
    <row r="1538" spans="1:15" x14ac:dyDescent="0.25">
      <c r="A1538" s="21" t="str">
        <f>IF(C1538="","",COUNTA($C$3:C1538))</f>
        <v/>
      </c>
      <c r="B1538" s="35" t="str">
        <f t="shared" si="39"/>
        <v/>
      </c>
      <c r="C1538" s="33"/>
      <c r="E1538" s="60"/>
      <c r="F1538" s="52"/>
      <c r="G1538" s="18"/>
      <c r="H1538" s="49"/>
      <c r="I1538" s="49"/>
      <c r="L1538" s="62"/>
      <c r="M1538" s="53"/>
    </row>
    <row r="1539" spans="1:15" x14ac:dyDescent="0.25">
      <c r="A1539" s="21" t="str">
        <f>IF(C1539="","",COUNTA($C$3:C1539))</f>
        <v/>
      </c>
      <c r="B1539" s="35" t="str">
        <f t="shared" si="39"/>
        <v/>
      </c>
      <c r="C1539" s="33"/>
      <c r="E1539" s="60"/>
      <c r="F1539" s="52"/>
      <c r="G1539" s="18"/>
      <c r="H1539" s="49"/>
      <c r="I1539" s="49"/>
      <c r="L1539" s="62"/>
      <c r="M1539" s="53"/>
      <c r="O1539" s="59"/>
    </row>
    <row r="1540" spans="1:15" x14ac:dyDescent="0.25">
      <c r="A1540" s="21" t="str">
        <f>IF(C1540="","",COUNTA($C$3:C1540))</f>
        <v/>
      </c>
      <c r="B1540" s="35" t="str">
        <f t="shared" si="39"/>
        <v/>
      </c>
      <c r="C1540" s="33"/>
      <c r="E1540" s="60"/>
      <c r="F1540" s="52"/>
      <c r="G1540" s="18"/>
      <c r="H1540" s="49"/>
      <c r="I1540" s="49"/>
      <c r="K1540" s="55"/>
      <c r="M1540" s="53"/>
    </row>
    <row r="1541" spans="1:15" x14ac:dyDescent="0.25">
      <c r="A1541" s="21" t="str">
        <f>IF(C1541="","",COUNTA($C$3:C1541))</f>
        <v/>
      </c>
      <c r="B1541" s="35" t="str">
        <f t="shared" ref="B1541:B1604" si="40">IF(C1541="","",TEXT(C1541,"mmmm"))</f>
        <v/>
      </c>
      <c r="C1541" s="33"/>
      <c r="E1541" s="60"/>
      <c r="F1541" s="52"/>
      <c r="G1541" s="18"/>
      <c r="H1541" s="49"/>
      <c r="I1541" s="49"/>
      <c r="K1541" s="55"/>
      <c r="L1541" s="62"/>
      <c r="M1541" s="53"/>
    </row>
    <row r="1542" spans="1:15" x14ac:dyDescent="0.25">
      <c r="A1542" s="21" t="str">
        <f>IF(C1542="","",COUNTA($C$3:C1542))</f>
        <v/>
      </c>
      <c r="B1542" s="35" t="str">
        <f t="shared" si="40"/>
        <v/>
      </c>
      <c r="C1542" s="33"/>
      <c r="E1542" s="60"/>
      <c r="F1542" s="52"/>
      <c r="G1542" s="18"/>
      <c r="H1542" s="49"/>
      <c r="I1542" s="49"/>
      <c r="L1542" s="62"/>
      <c r="M1542" s="53"/>
    </row>
    <row r="1543" spans="1:15" x14ac:dyDescent="0.25">
      <c r="A1543" s="21" t="str">
        <f>IF(C1543="","",COUNTA($C$3:C1543))</f>
        <v/>
      </c>
      <c r="B1543" s="35" t="str">
        <f t="shared" si="40"/>
        <v/>
      </c>
      <c r="C1543" s="33"/>
      <c r="E1543" s="60"/>
      <c r="F1543" s="52"/>
      <c r="G1543" s="18"/>
      <c r="H1543" s="49"/>
      <c r="I1543" s="49"/>
      <c r="L1543" s="62"/>
      <c r="M1543" s="53"/>
    </row>
    <row r="1544" spans="1:15" x14ac:dyDescent="0.25">
      <c r="A1544" s="21" t="str">
        <f>IF(C1544="","",COUNTA($C$3:C1544))</f>
        <v/>
      </c>
      <c r="B1544" s="35" t="str">
        <f t="shared" si="40"/>
        <v/>
      </c>
      <c r="C1544" s="33"/>
      <c r="E1544" s="60"/>
      <c r="F1544" s="52"/>
      <c r="G1544" s="18"/>
      <c r="H1544" s="49"/>
      <c r="I1544" s="49"/>
      <c r="L1544" s="62"/>
      <c r="M1544" s="53"/>
    </row>
    <row r="1545" spans="1:15" x14ac:dyDescent="0.25">
      <c r="A1545" s="21" t="str">
        <f>IF(C1545="","",COUNTA($C$3:C1545))</f>
        <v/>
      </c>
      <c r="B1545" s="35" t="str">
        <f t="shared" si="40"/>
        <v/>
      </c>
      <c r="C1545" s="33"/>
      <c r="E1545" s="60"/>
      <c r="F1545" s="52"/>
      <c r="G1545" s="18"/>
      <c r="H1545" s="49"/>
      <c r="I1545" s="49"/>
      <c r="L1545" s="62"/>
      <c r="M1545" s="53"/>
    </row>
    <row r="1546" spans="1:15" x14ac:dyDescent="0.25">
      <c r="A1546" s="21" t="str">
        <f>IF(C1546="","",COUNTA($C$3:C1546))</f>
        <v/>
      </c>
      <c r="B1546" s="35" t="str">
        <f t="shared" si="40"/>
        <v/>
      </c>
      <c r="C1546" s="33"/>
      <c r="E1546" s="60"/>
      <c r="F1546" s="52"/>
      <c r="G1546" s="18"/>
      <c r="H1546" s="49"/>
      <c r="I1546" s="49"/>
      <c r="L1546" s="62"/>
      <c r="M1546" s="53"/>
    </row>
    <row r="1547" spans="1:15" x14ac:dyDescent="0.25">
      <c r="A1547" s="21" t="str">
        <f>IF(C1547="","",COUNTA($C$3:C1547))</f>
        <v/>
      </c>
      <c r="B1547" s="35" t="str">
        <f t="shared" si="40"/>
        <v/>
      </c>
      <c r="C1547" s="33"/>
      <c r="E1547" s="60"/>
      <c r="F1547" s="52"/>
      <c r="G1547" s="18"/>
      <c r="H1547" s="49"/>
      <c r="I1547" s="49"/>
      <c r="L1547" s="70"/>
      <c r="M1547" s="53"/>
    </row>
    <row r="1548" spans="1:15" x14ac:dyDescent="0.25">
      <c r="A1548" s="21" t="str">
        <f>IF(C1548="","",COUNTA($C$3:C1548))</f>
        <v/>
      </c>
      <c r="B1548" s="35" t="str">
        <f t="shared" si="40"/>
        <v/>
      </c>
      <c r="C1548" s="33"/>
      <c r="E1548" s="60"/>
      <c r="F1548" s="52"/>
      <c r="G1548" s="18"/>
      <c r="H1548" s="49"/>
      <c r="I1548" s="49"/>
      <c r="L1548" s="62"/>
      <c r="M1548" s="53"/>
    </row>
    <row r="1549" spans="1:15" x14ac:dyDescent="0.25">
      <c r="A1549" s="21" t="str">
        <f>IF(C1549="","",COUNTA($C$3:C1549))</f>
        <v/>
      </c>
      <c r="B1549" s="35" t="str">
        <f t="shared" si="40"/>
        <v/>
      </c>
      <c r="C1549" s="33"/>
      <c r="E1549" s="60"/>
      <c r="F1549" s="52"/>
      <c r="G1549" s="18"/>
      <c r="H1549" s="49"/>
      <c r="I1549" s="49"/>
      <c r="L1549" s="70"/>
      <c r="M1549" s="53"/>
    </row>
    <row r="1550" spans="1:15" x14ac:dyDescent="0.25">
      <c r="A1550" s="21" t="str">
        <f>IF(C1550="","",COUNTA($C$3:C1550))</f>
        <v/>
      </c>
      <c r="B1550" s="35" t="str">
        <f t="shared" si="40"/>
        <v/>
      </c>
      <c r="C1550" s="33"/>
      <c r="E1550" s="60"/>
      <c r="F1550" s="52"/>
      <c r="G1550" s="18"/>
      <c r="H1550" s="49"/>
      <c r="I1550" s="49"/>
      <c r="L1550" s="62"/>
      <c r="M1550" s="53"/>
    </row>
    <row r="1551" spans="1:15" x14ac:dyDescent="0.25">
      <c r="A1551" s="21" t="str">
        <f>IF(C1551="","",COUNTA($C$3:C1551))</f>
        <v/>
      </c>
      <c r="B1551" s="35" t="str">
        <f t="shared" si="40"/>
        <v/>
      </c>
      <c r="C1551" s="33"/>
      <c r="E1551" s="60"/>
      <c r="F1551" s="52"/>
      <c r="G1551" s="18"/>
      <c r="H1551" s="49"/>
      <c r="I1551" s="49"/>
      <c r="L1551" s="70"/>
      <c r="M1551" s="53"/>
    </row>
    <row r="1552" spans="1:15" x14ac:dyDescent="0.25">
      <c r="A1552" s="21" t="str">
        <f>IF(C1552="","",COUNTA($C$3:C1552))</f>
        <v/>
      </c>
      <c r="B1552" s="35" t="str">
        <f t="shared" si="40"/>
        <v/>
      </c>
      <c r="C1552" s="33"/>
      <c r="E1552" s="60"/>
      <c r="F1552" s="52"/>
      <c r="G1552" s="18"/>
      <c r="H1552" s="49"/>
      <c r="I1552" s="49"/>
      <c r="L1552" s="70"/>
      <c r="M1552" s="53"/>
    </row>
    <row r="1553" spans="1:17" x14ac:dyDescent="0.25">
      <c r="A1553" s="21" t="str">
        <f>IF(C1553="","",COUNTA($C$3:C1553))</f>
        <v/>
      </c>
      <c r="B1553" s="35" t="str">
        <f t="shared" si="40"/>
        <v/>
      </c>
      <c r="C1553" s="33"/>
      <c r="E1553" s="60"/>
      <c r="F1553" s="52"/>
      <c r="G1553" s="18"/>
      <c r="H1553" s="49"/>
      <c r="I1553" s="49"/>
      <c r="K1553" s="55"/>
      <c r="L1553" s="62"/>
      <c r="M1553" s="53"/>
      <c r="O1553" s="130"/>
    </row>
    <row r="1554" spans="1:17" x14ac:dyDescent="0.25">
      <c r="A1554" s="21" t="str">
        <f>IF(C1554="","",COUNTA($C$3:C1554))</f>
        <v/>
      </c>
      <c r="B1554" s="35" t="str">
        <f t="shared" si="40"/>
        <v/>
      </c>
      <c r="C1554" s="33"/>
      <c r="E1554" s="60"/>
      <c r="F1554" s="52"/>
      <c r="G1554" s="18"/>
      <c r="H1554" s="49"/>
      <c r="I1554" s="49"/>
      <c r="L1554" s="62"/>
      <c r="M1554" s="53"/>
    </row>
    <row r="1555" spans="1:17" x14ac:dyDescent="0.25">
      <c r="A1555" s="21" t="str">
        <f>IF(C1555="","",COUNTA($C$3:C1555))</f>
        <v/>
      </c>
      <c r="B1555" s="35" t="str">
        <f t="shared" si="40"/>
        <v/>
      </c>
      <c r="C1555" s="33"/>
      <c r="E1555" s="60"/>
      <c r="F1555" s="52"/>
      <c r="G1555" s="18"/>
      <c r="H1555" s="49"/>
      <c r="I1555" s="49"/>
      <c r="L1555" s="62"/>
      <c r="M1555" s="53"/>
      <c r="O1555" s="59"/>
      <c r="P1555" s="59"/>
      <c r="Q1555" s="59"/>
    </row>
    <row r="1556" spans="1:17" x14ac:dyDescent="0.25">
      <c r="A1556" s="21" t="str">
        <f>IF(C1556="","",COUNTA($C$3:C1556))</f>
        <v/>
      </c>
      <c r="B1556" s="35" t="str">
        <f t="shared" si="40"/>
        <v/>
      </c>
      <c r="C1556" s="33"/>
      <c r="E1556" s="60"/>
      <c r="F1556" s="52"/>
      <c r="G1556" s="18"/>
      <c r="H1556" s="49"/>
      <c r="I1556" s="49"/>
      <c r="L1556" s="62"/>
      <c r="M1556" s="53"/>
      <c r="O1556" s="59"/>
      <c r="P1556" s="59"/>
      <c r="Q1556" s="59"/>
    </row>
    <row r="1557" spans="1:17" x14ac:dyDescent="0.25">
      <c r="A1557" s="21" t="str">
        <f>IF(C1557="","",COUNTA($C$3:C1557))</f>
        <v/>
      </c>
      <c r="B1557" s="35" t="str">
        <f t="shared" si="40"/>
        <v/>
      </c>
      <c r="C1557" s="33"/>
      <c r="E1557" s="60"/>
      <c r="F1557" s="52"/>
      <c r="G1557" s="18"/>
      <c r="H1557" s="49"/>
      <c r="I1557" s="49"/>
      <c r="L1557" s="62"/>
      <c r="M1557" s="53"/>
      <c r="O1557" s="59"/>
      <c r="P1557" s="59"/>
      <c r="Q1557" s="59"/>
    </row>
    <row r="1558" spans="1:17" x14ac:dyDescent="0.25">
      <c r="A1558" s="21" t="str">
        <f>IF(C1558="","",COUNTA($C$3:C1558))</f>
        <v/>
      </c>
      <c r="B1558" s="35" t="str">
        <f t="shared" si="40"/>
        <v/>
      </c>
      <c r="C1558" s="33"/>
      <c r="E1558" s="60"/>
      <c r="F1558" s="52"/>
      <c r="G1558" s="18"/>
      <c r="H1558" s="49"/>
      <c r="I1558" s="49"/>
      <c r="L1558" s="62"/>
      <c r="M1558" s="53"/>
      <c r="O1558" s="59"/>
      <c r="P1558" s="59"/>
      <c r="Q1558" s="59"/>
    </row>
    <row r="1559" spans="1:17" x14ac:dyDescent="0.25">
      <c r="A1559" s="21" t="str">
        <f>IF(C1559="","",COUNTA($C$3:C1559))</f>
        <v/>
      </c>
      <c r="B1559" s="35" t="str">
        <f t="shared" si="40"/>
        <v/>
      </c>
      <c r="C1559" s="33"/>
      <c r="E1559" s="60"/>
      <c r="F1559" s="52"/>
      <c r="G1559" s="18"/>
      <c r="H1559" s="49"/>
      <c r="I1559" s="49"/>
      <c r="L1559" s="70"/>
      <c r="M1559" s="53"/>
    </row>
    <row r="1560" spans="1:17" x14ac:dyDescent="0.25">
      <c r="A1560" s="21" t="str">
        <f>IF(C1560="","",COUNTA($C$3:C1560))</f>
        <v/>
      </c>
      <c r="B1560" s="35" t="str">
        <f t="shared" si="40"/>
        <v/>
      </c>
      <c r="C1560" s="33"/>
      <c r="E1560" s="60"/>
      <c r="F1560" s="52"/>
      <c r="G1560" s="18"/>
      <c r="H1560" s="49"/>
      <c r="I1560" s="49"/>
      <c r="L1560" s="62"/>
      <c r="M1560" s="53"/>
    </row>
    <row r="1561" spans="1:17" x14ac:dyDescent="0.25">
      <c r="A1561" s="21" t="str">
        <f>IF(C1561="","",COUNTA($C$3:C1561))</f>
        <v/>
      </c>
      <c r="B1561" s="35" t="str">
        <f t="shared" si="40"/>
        <v/>
      </c>
      <c r="C1561" s="33"/>
      <c r="E1561" s="60"/>
      <c r="F1561" s="52"/>
      <c r="G1561" s="18"/>
      <c r="H1561" s="49"/>
      <c r="I1561" s="49"/>
      <c r="L1561" s="62"/>
      <c r="M1561" s="53"/>
    </row>
    <row r="1562" spans="1:17" x14ac:dyDescent="0.25">
      <c r="A1562" s="21" t="str">
        <f>IF(C1562="","",COUNTA($C$3:C1562))</f>
        <v/>
      </c>
      <c r="B1562" s="35" t="str">
        <f t="shared" si="40"/>
        <v/>
      </c>
      <c r="C1562" s="33"/>
      <c r="E1562" s="60"/>
      <c r="F1562" s="52"/>
      <c r="G1562" s="18"/>
      <c r="H1562" s="49"/>
      <c r="I1562" s="49"/>
      <c r="L1562" s="62"/>
      <c r="M1562" s="53"/>
    </row>
    <row r="1563" spans="1:17" x14ac:dyDescent="0.25">
      <c r="A1563" s="21" t="str">
        <f>IF(C1563="","",COUNTA($C$3:C1563))</f>
        <v/>
      </c>
      <c r="B1563" s="35" t="str">
        <f t="shared" si="40"/>
        <v/>
      </c>
      <c r="C1563" s="33"/>
      <c r="E1563" s="60"/>
      <c r="F1563" s="52"/>
      <c r="G1563" s="18"/>
      <c r="H1563" s="49"/>
      <c r="I1563" s="49"/>
      <c r="L1563" s="70"/>
      <c r="M1563" s="53"/>
    </row>
    <row r="1564" spans="1:17" x14ac:dyDescent="0.25">
      <c r="A1564" s="21" t="str">
        <f>IF(C1564="","",COUNTA($C$3:C1564))</f>
        <v/>
      </c>
      <c r="B1564" s="35" t="str">
        <f t="shared" si="40"/>
        <v/>
      </c>
      <c r="C1564" s="33"/>
      <c r="E1564" s="60"/>
      <c r="F1564" s="52"/>
      <c r="G1564" s="18"/>
      <c r="H1564" s="49"/>
      <c r="I1564" s="49"/>
      <c r="L1564" s="70"/>
      <c r="M1564" s="53"/>
    </row>
    <row r="1565" spans="1:17" x14ac:dyDescent="0.25">
      <c r="A1565" s="21" t="str">
        <f>IF(C1565="","",COUNTA($C$3:C1565))</f>
        <v/>
      </c>
      <c r="B1565" s="35" t="str">
        <f t="shared" si="40"/>
        <v/>
      </c>
      <c r="C1565" s="33"/>
      <c r="E1565" s="60"/>
      <c r="F1565" s="52"/>
      <c r="G1565" s="18"/>
      <c r="H1565" s="49"/>
      <c r="I1565" s="49"/>
      <c r="L1565" s="62"/>
      <c r="M1565" s="53"/>
    </row>
    <row r="1566" spans="1:17" x14ac:dyDescent="0.25">
      <c r="A1566" s="21" t="str">
        <f>IF(C1566="","",COUNTA($C$3:C1566))</f>
        <v/>
      </c>
      <c r="B1566" s="35" t="str">
        <f t="shared" si="40"/>
        <v/>
      </c>
      <c r="C1566" s="33"/>
      <c r="E1566" s="60"/>
      <c r="F1566" s="52"/>
      <c r="G1566" s="18"/>
      <c r="H1566" s="49"/>
      <c r="I1566" s="49"/>
      <c r="L1566" s="70"/>
      <c r="M1566" s="53"/>
    </row>
    <row r="1567" spans="1:17" x14ac:dyDescent="0.25">
      <c r="A1567" s="21" t="str">
        <f>IF(C1567="","",COUNTA($C$3:C1567))</f>
        <v/>
      </c>
      <c r="B1567" s="35" t="str">
        <f t="shared" si="40"/>
        <v/>
      </c>
      <c r="C1567" s="33"/>
      <c r="E1567" s="60"/>
      <c r="F1567" s="52"/>
      <c r="G1567" s="18"/>
      <c r="H1567" s="49"/>
      <c r="I1567" s="49"/>
      <c r="K1567" s="55"/>
      <c r="M1567" s="53"/>
    </row>
    <row r="1568" spans="1:17" x14ac:dyDescent="0.25">
      <c r="A1568" s="21" t="str">
        <f>IF(C1568="","",COUNTA($C$3:C1568))</f>
        <v/>
      </c>
      <c r="B1568" s="35" t="str">
        <f t="shared" si="40"/>
        <v/>
      </c>
      <c r="C1568" s="33"/>
      <c r="E1568" s="60"/>
      <c r="F1568" s="52"/>
      <c r="G1568" s="18"/>
      <c r="H1568" s="49"/>
      <c r="I1568" s="49"/>
      <c r="L1568" s="62"/>
      <c r="M1568" s="53"/>
    </row>
    <row r="1569" spans="1:17" x14ac:dyDescent="0.25">
      <c r="A1569" s="21" t="str">
        <f>IF(C1569="","",COUNTA($C$3:C1569))</f>
        <v/>
      </c>
      <c r="B1569" s="35" t="str">
        <f t="shared" si="40"/>
        <v/>
      </c>
      <c r="C1569" s="33"/>
      <c r="E1569" s="60"/>
      <c r="F1569" s="52"/>
      <c r="G1569" s="18"/>
      <c r="H1569" s="49"/>
      <c r="I1569" s="49"/>
      <c r="L1569" s="70"/>
      <c r="M1569" s="53"/>
    </row>
    <row r="1570" spans="1:17" x14ac:dyDescent="0.25">
      <c r="A1570" s="21" t="str">
        <f>IF(C1570="","",COUNTA($C$3:C1570))</f>
        <v/>
      </c>
      <c r="B1570" s="35" t="str">
        <f t="shared" si="40"/>
        <v/>
      </c>
      <c r="C1570" s="33"/>
      <c r="E1570" s="60"/>
      <c r="F1570" s="52"/>
      <c r="G1570" s="18"/>
      <c r="H1570" s="49"/>
      <c r="I1570" s="49"/>
      <c r="L1570" s="62"/>
      <c r="M1570" s="53"/>
    </row>
    <row r="1571" spans="1:17" x14ac:dyDescent="0.25">
      <c r="A1571" s="21" t="str">
        <f>IF(C1571="","",COUNTA($C$3:C1571))</f>
        <v/>
      </c>
      <c r="B1571" s="35" t="str">
        <f t="shared" si="40"/>
        <v/>
      </c>
      <c r="C1571" s="33"/>
      <c r="E1571" s="60"/>
      <c r="F1571" s="52"/>
      <c r="G1571" s="18"/>
      <c r="H1571" s="49"/>
      <c r="I1571" s="49"/>
      <c r="L1571" s="62"/>
      <c r="M1571" s="53"/>
    </row>
    <row r="1572" spans="1:17" x14ac:dyDescent="0.25">
      <c r="A1572" s="21" t="str">
        <f>IF(C1572="","",COUNTA($C$3:C1572))</f>
        <v/>
      </c>
      <c r="B1572" s="35" t="str">
        <f t="shared" si="40"/>
        <v/>
      </c>
      <c r="C1572" s="33"/>
      <c r="E1572" s="60"/>
      <c r="F1572" s="52"/>
      <c r="G1572" s="18"/>
      <c r="H1572" s="49"/>
      <c r="I1572" s="49"/>
      <c r="L1572" s="62"/>
      <c r="M1572" s="53"/>
      <c r="O1572" s="59"/>
      <c r="P1572" s="71"/>
      <c r="Q1572" s="59"/>
    </row>
    <row r="1573" spans="1:17" x14ac:dyDescent="0.25">
      <c r="A1573" s="21" t="str">
        <f>IF(C1573="","",COUNTA($C$3:C1573))</f>
        <v/>
      </c>
      <c r="B1573" s="35" t="str">
        <f t="shared" si="40"/>
        <v/>
      </c>
      <c r="C1573" s="33"/>
      <c r="E1573" s="60"/>
      <c r="F1573" s="52"/>
      <c r="G1573" s="18"/>
      <c r="H1573" s="49"/>
      <c r="I1573" s="76"/>
      <c r="M1573" s="53"/>
    </row>
    <row r="1574" spans="1:17" x14ac:dyDescent="0.25">
      <c r="A1574" s="21" t="str">
        <f>IF(C1574="","",COUNTA($C$3:C1574))</f>
        <v/>
      </c>
      <c r="B1574" s="35" t="str">
        <f t="shared" si="40"/>
        <v/>
      </c>
      <c r="C1574" s="33"/>
      <c r="E1574" s="60"/>
      <c r="F1574" s="52"/>
      <c r="G1574" s="18"/>
      <c r="H1574" s="49"/>
      <c r="I1574" s="49"/>
      <c r="L1574" s="62"/>
      <c r="M1574" s="53"/>
    </row>
    <row r="1575" spans="1:17" x14ac:dyDescent="0.25">
      <c r="A1575" s="21" t="str">
        <f>IF(C1575="","",COUNTA($C$3:C1575))</f>
        <v/>
      </c>
      <c r="B1575" s="35" t="str">
        <f t="shared" si="40"/>
        <v/>
      </c>
      <c r="C1575" s="33"/>
      <c r="E1575" s="60"/>
      <c r="F1575" s="52"/>
      <c r="G1575" s="18"/>
      <c r="H1575" s="49"/>
      <c r="I1575" s="49"/>
      <c r="L1575" s="62"/>
      <c r="M1575" s="53"/>
    </row>
    <row r="1576" spans="1:17" x14ac:dyDescent="0.25">
      <c r="A1576" s="21" t="str">
        <f>IF(C1576="","",COUNTA($C$3:C1576))</f>
        <v/>
      </c>
      <c r="B1576" s="35" t="str">
        <f t="shared" si="40"/>
        <v/>
      </c>
      <c r="C1576" s="33"/>
      <c r="E1576" s="60"/>
      <c r="F1576" s="52"/>
      <c r="G1576" s="18"/>
      <c r="H1576" s="49"/>
      <c r="I1576" s="49"/>
      <c r="K1576" s="55"/>
      <c r="M1576" s="53"/>
    </row>
    <row r="1577" spans="1:17" x14ac:dyDescent="0.25">
      <c r="A1577" s="21" t="str">
        <f>IF(C1577="","",COUNTA($C$3:C1577))</f>
        <v/>
      </c>
      <c r="B1577" s="35" t="str">
        <f t="shared" si="40"/>
        <v/>
      </c>
      <c r="C1577" s="33"/>
      <c r="E1577" s="60"/>
      <c r="F1577" s="52"/>
      <c r="G1577" s="18"/>
      <c r="H1577" s="49"/>
      <c r="I1577" s="49"/>
      <c r="L1577" s="62"/>
      <c r="M1577" s="53"/>
    </row>
    <row r="1578" spans="1:17" x14ac:dyDescent="0.25">
      <c r="A1578" s="21" t="str">
        <f>IF(C1578="","",COUNTA($C$3:C1578))</f>
        <v/>
      </c>
      <c r="B1578" s="35" t="str">
        <f t="shared" si="40"/>
        <v/>
      </c>
      <c r="C1578" s="33"/>
      <c r="E1578" s="60"/>
      <c r="F1578" s="52"/>
      <c r="G1578" s="18"/>
      <c r="H1578" s="49"/>
      <c r="I1578" s="49"/>
      <c r="L1578" s="78"/>
      <c r="M1578" s="53"/>
      <c r="O1578" s="59"/>
    </row>
    <row r="1579" spans="1:17" x14ac:dyDescent="0.25">
      <c r="A1579" s="21" t="str">
        <f>IF(C1579="","",COUNTA($C$3:C1579))</f>
        <v/>
      </c>
      <c r="B1579" s="35" t="str">
        <f t="shared" si="40"/>
        <v/>
      </c>
      <c r="C1579" s="33"/>
      <c r="E1579" s="60"/>
      <c r="F1579" s="52"/>
      <c r="G1579" s="18"/>
      <c r="H1579" s="49"/>
      <c r="I1579" s="49"/>
      <c r="L1579" s="78"/>
      <c r="M1579" s="53"/>
    </row>
    <row r="1580" spans="1:17" x14ac:dyDescent="0.25">
      <c r="A1580" s="21" t="str">
        <f>IF(C1580="","",COUNTA($C$3:C1580))</f>
        <v/>
      </c>
      <c r="B1580" s="35" t="str">
        <f t="shared" si="40"/>
        <v/>
      </c>
      <c r="C1580" s="33"/>
      <c r="E1580" s="60"/>
      <c r="F1580" s="52"/>
      <c r="G1580" s="18"/>
      <c r="H1580" s="49"/>
      <c r="I1580" s="49"/>
      <c r="L1580" s="62"/>
      <c r="M1580" s="53"/>
    </row>
    <row r="1581" spans="1:17" x14ac:dyDescent="0.25">
      <c r="A1581" s="21" t="str">
        <f>IF(C1581="","",COUNTA($C$3:C1581))</f>
        <v/>
      </c>
      <c r="B1581" s="35" t="str">
        <f t="shared" si="40"/>
        <v/>
      </c>
      <c r="C1581" s="33"/>
      <c r="E1581" s="60"/>
      <c r="F1581" s="52"/>
      <c r="G1581" s="18"/>
      <c r="H1581" s="49"/>
      <c r="I1581" s="49"/>
      <c r="L1581" s="62"/>
      <c r="M1581" s="53"/>
      <c r="O1581" s="59"/>
    </row>
    <row r="1582" spans="1:17" x14ac:dyDescent="0.25">
      <c r="A1582" s="21" t="str">
        <f>IF(C1582="","",COUNTA($C$3:C1582))</f>
        <v/>
      </c>
      <c r="B1582" s="35" t="str">
        <f t="shared" si="40"/>
        <v/>
      </c>
      <c r="C1582" s="33"/>
      <c r="E1582" s="60"/>
      <c r="F1582" s="52"/>
      <c r="G1582" s="18"/>
      <c r="H1582" s="49"/>
      <c r="I1582" s="49"/>
      <c r="L1582" s="62"/>
      <c r="M1582" s="53"/>
      <c r="O1582" s="71"/>
    </row>
    <row r="1583" spans="1:17" x14ac:dyDescent="0.25">
      <c r="A1583" s="21" t="str">
        <f>IF(C1583="","",COUNTA($C$3:C1583))</f>
        <v/>
      </c>
      <c r="B1583" s="35" t="str">
        <f t="shared" si="40"/>
        <v/>
      </c>
      <c r="C1583" s="33"/>
      <c r="E1583" s="60"/>
      <c r="F1583" s="52"/>
      <c r="G1583" s="18"/>
      <c r="H1583" s="49"/>
      <c r="I1583" s="49"/>
      <c r="L1583" s="62"/>
      <c r="M1583" s="53"/>
      <c r="O1583" s="71"/>
    </row>
    <row r="1584" spans="1:17" x14ac:dyDescent="0.25">
      <c r="A1584" s="21" t="str">
        <f>IF(C1584="","",COUNTA($C$3:C1584))</f>
        <v/>
      </c>
      <c r="B1584" s="35" t="str">
        <f t="shared" si="40"/>
        <v/>
      </c>
      <c r="C1584" s="31"/>
      <c r="E1584" s="60"/>
      <c r="F1584" s="52"/>
      <c r="G1584" s="18"/>
      <c r="H1584" s="49"/>
      <c r="I1584" s="49"/>
      <c r="L1584" s="62"/>
      <c r="M1584" s="53"/>
      <c r="O1584" s="59"/>
    </row>
    <row r="1585" spans="1:16" x14ac:dyDescent="0.25">
      <c r="A1585" s="21" t="str">
        <f>IF(C1585="","",COUNTA($C$3:C1585))</f>
        <v/>
      </c>
      <c r="B1585" s="35" t="str">
        <f t="shared" si="40"/>
        <v/>
      </c>
      <c r="C1585" s="31"/>
      <c r="E1585" s="60"/>
      <c r="F1585" s="52"/>
      <c r="G1585" s="18"/>
      <c r="H1585" s="49"/>
      <c r="I1585" s="49"/>
      <c r="L1585" s="62"/>
      <c r="M1585" s="53"/>
    </row>
    <row r="1586" spans="1:16" x14ac:dyDescent="0.25">
      <c r="A1586" s="21" t="str">
        <f>IF(C1586="","",COUNTA($C$3:C1586))</f>
        <v/>
      </c>
      <c r="B1586" s="35" t="str">
        <f t="shared" si="40"/>
        <v/>
      </c>
      <c r="C1586" s="31"/>
      <c r="E1586" s="60"/>
      <c r="F1586" s="52"/>
      <c r="G1586" s="18"/>
      <c r="H1586" s="49"/>
      <c r="I1586" s="49"/>
      <c r="L1586" s="62"/>
      <c r="M1586" s="53"/>
    </row>
    <row r="1587" spans="1:16" x14ac:dyDescent="0.25">
      <c r="A1587" s="21" t="str">
        <f>IF(C1587="","",COUNTA($C$3:C1587))</f>
        <v/>
      </c>
      <c r="B1587" s="35" t="str">
        <f t="shared" si="40"/>
        <v/>
      </c>
      <c r="C1587" s="31"/>
      <c r="E1587" s="60"/>
      <c r="F1587" s="52"/>
      <c r="G1587" s="18"/>
      <c r="H1587" s="49"/>
      <c r="I1587" s="49"/>
      <c r="L1587" s="62"/>
      <c r="M1587" s="53"/>
    </row>
    <row r="1588" spans="1:16" x14ac:dyDescent="0.25">
      <c r="A1588" s="21" t="str">
        <f>IF(C1588="","",COUNTA($C$3:C1588))</f>
        <v/>
      </c>
      <c r="B1588" s="35" t="str">
        <f t="shared" si="40"/>
        <v/>
      </c>
      <c r="C1588" s="31"/>
      <c r="E1588" s="60"/>
      <c r="F1588" s="52"/>
      <c r="G1588" s="18"/>
      <c r="H1588" s="49"/>
      <c r="I1588" s="49"/>
      <c r="K1588" s="67"/>
      <c r="L1588" s="62"/>
      <c r="M1588" s="53"/>
    </row>
    <row r="1589" spans="1:16" x14ac:dyDescent="0.25">
      <c r="A1589" s="21" t="str">
        <f>IF(C1589="","",COUNTA($C$3:C1589))</f>
        <v/>
      </c>
      <c r="B1589" s="35" t="str">
        <f t="shared" si="40"/>
        <v/>
      </c>
      <c r="C1589" s="31"/>
      <c r="E1589" s="60"/>
      <c r="F1589" s="52"/>
      <c r="G1589" s="18"/>
      <c r="H1589" s="49"/>
      <c r="I1589" s="49"/>
      <c r="L1589" s="62"/>
      <c r="M1589" s="53"/>
    </row>
    <row r="1590" spans="1:16" x14ac:dyDescent="0.25">
      <c r="A1590" s="21" t="str">
        <f>IF(C1590="","",COUNTA($C$3:C1590))</f>
        <v/>
      </c>
      <c r="B1590" s="35" t="str">
        <f t="shared" si="40"/>
        <v/>
      </c>
      <c r="C1590" s="31"/>
      <c r="E1590" s="60"/>
      <c r="F1590" s="52"/>
      <c r="G1590" s="18"/>
      <c r="H1590" s="49"/>
      <c r="I1590" s="49"/>
      <c r="L1590" s="62"/>
      <c r="M1590" s="53"/>
    </row>
    <row r="1591" spans="1:16" x14ac:dyDescent="0.25">
      <c r="A1591" s="21" t="str">
        <f>IF(C1591="","",COUNTA($C$3:C1591))</f>
        <v/>
      </c>
      <c r="B1591" s="35" t="str">
        <f t="shared" si="40"/>
        <v/>
      </c>
      <c r="C1591" s="31"/>
      <c r="E1591" s="60"/>
      <c r="F1591" s="52"/>
      <c r="G1591" s="18"/>
      <c r="H1591" s="49"/>
      <c r="I1591" s="49"/>
      <c r="L1591" s="62"/>
      <c r="M1591" s="53"/>
    </row>
    <row r="1592" spans="1:16" x14ac:dyDescent="0.25">
      <c r="A1592" s="21" t="str">
        <f>IF(C1592="","",COUNTA($C$3:C1592))</f>
        <v/>
      </c>
      <c r="B1592" s="35" t="str">
        <f t="shared" si="40"/>
        <v/>
      </c>
      <c r="C1592" s="31"/>
      <c r="E1592" s="60"/>
      <c r="F1592" s="52"/>
      <c r="G1592" s="18"/>
      <c r="H1592" s="49"/>
      <c r="I1592" s="49"/>
      <c r="L1592" s="62"/>
      <c r="M1592" s="53"/>
      <c r="O1592" s="59"/>
    </row>
    <row r="1593" spans="1:16" x14ac:dyDescent="0.25">
      <c r="A1593" s="21" t="str">
        <f>IF(C1593="","",COUNTA($C$3:C1593))</f>
        <v/>
      </c>
      <c r="B1593" s="35" t="str">
        <f t="shared" si="40"/>
        <v/>
      </c>
      <c r="C1593" s="31"/>
      <c r="E1593" s="60"/>
      <c r="F1593" s="52"/>
      <c r="G1593" s="18"/>
      <c r="H1593" s="49"/>
      <c r="I1593" s="49"/>
      <c r="L1593" s="62"/>
      <c r="M1593" s="53"/>
      <c r="O1593" s="59"/>
    </row>
    <row r="1594" spans="1:16" x14ac:dyDescent="0.25">
      <c r="A1594" s="21" t="str">
        <f>IF(C1594="","",COUNTA($C$3:C1594))</f>
        <v/>
      </c>
      <c r="B1594" s="35" t="str">
        <f t="shared" si="40"/>
        <v/>
      </c>
      <c r="C1594" s="31"/>
      <c r="E1594" s="60"/>
      <c r="F1594" s="52"/>
      <c r="G1594" s="18"/>
      <c r="H1594" s="49"/>
      <c r="I1594" s="49"/>
      <c r="L1594" s="62"/>
      <c r="M1594" s="53"/>
      <c r="O1594" s="59"/>
    </row>
    <row r="1595" spans="1:16" x14ac:dyDescent="0.25">
      <c r="A1595" s="21" t="str">
        <f>IF(C1595="","",COUNTA($C$3:C1595))</f>
        <v/>
      </c>
      <c r="B1595" s="35" t="str">
        <f t="shared" si="40"/>
        <v/>
      </c>
      <c r="C1595" s="31"/>
      <c r="E1595" s="60"/>
      <c r="F1595" s="52"/>
      <c r="G1595" s="18"/>
      <c r="H1595" s="49"/>
      <c r="I1595" s="49"/>
      <c r="L1595" s="70"/>
      <c r="M1595" s="53"/>
      <c r="O1595" s="59"/>
    </row>
    <row r="1596" spans="1:16" x14ac:dyDescent="0.25">
      <c r="A1596" s="21" t="str">
        <f>IF(C1596="","",COUNTA($C$3:C1596))</f>
        <v/>
      </c>
      <c r="B1596" s="35" t="str">
        <f t="shared" si="40"/>
        <v/>
      </c>
      <c r="C1596" s="31"/>
      <c r="E1596" s="60"/>
      <c r="F1596" s="52"/>
      <c r="G1596" s="18"/>
      <c r="H1596" s="49"/>
      <c r="I1596" s="49"/>
      <c r="L1596" s="78"/>
      <c r="M1596" s="53"/>
    </row>
    <row r="1597" spans="1:16" x14ac:dyDescent="0.25">
      <c r="A1597" s="21" t="str">
        <f>IF(C1597="","",COUNTA($C$3:C1597))</f>
        <v/>
      </c>
      <c r="B1597" s="35" t="str">
        <f t="shared" si="40"/>
        <v/>
      </c>
      <c r="C1597" s="31"/>
      <c r="E1597" s="60"/>
      <c r="F1597" s="52"/>
      <c r="G1597" s="18"/>
      <c r="H1597" s="49"/>
      <c r="I1597" s="49"/>
      <c r="L1597" s="70"/>
      <c r="M1597" s="53"/>
    </row>
    <row r="1598" spans="1:16" x14ac:dyDescent="0.25">
      <c r="A1598" s="21" t="str">
        <f>IF(C1598="","",COUNTA($C$3:C1598))</f>
        <v/>
      </c>
      <c r="B1598" s="35" t="str">
        <f t="shared" si="40"/>
        <v/>
      </c>
      <c r="C1598" s="31"/>
      <c r="E1598" s="60"/>
      <c r="F1598" s="52"/>
      <c r="G1598" s="18"/>
      <c r="H1598" s="49"/>
      <c r="I1598" s="49"/>
      <c r="L1598" s="62"/>
      <c r="M1598" s="53"/>
    </row>
    <row r="1599" spans="1:16" x14ac:dyDescent="0.25">
      <c r="A1599" s="21" t="str">
        <f>IF(C1599="","",COUNTA($C$3:C1599))</f>
        <v/>
      </c>
      <c r="B1599" s="35" t="str">
        <f t="shared" si="40"/>
        <v/>
      </c>
      <c r="C1599" s="31"/>
      <c r="E1599" s="60"/>
      <c r="F1599" s="52"/>
      <c r="G1599" s="18"/>
      <c r="H1599" s="49"/>
      <c r="I1599" s="49"/>
      <c r="L1599" s="62"/>
      <c r="M1599" s="53"/>
    </row>
    <row r="1600" spans="1:16" x14ac:dyDescent="0.25">
      <c r="A1600" s="21" t="str">
        <f>IF(C1600="","",COUNTA($C$3:C1600))</f>
        <v/>
      </c>
      <c r="B1600" s="35" t="str">
        <f t="shared" si="40"/>
        <v/>
      </c>
      <c r="C1600" s="31"/>
      <c r="E1600" s="60"/>
      <c r="F1600" s="52"/>
      <c r="G1600" s="18"/>
      <c r="H1600" s="49"/>
      <c r="I1600" s="49"/>
      <c r="L1600" s="62"/>
      <c r="M1600" s="53"/>
      <c r="O1600" s="59"/>
      <c r="P1600" s="59"/>
    </row>
    <row r="1601" spans="1:16" x14ac:dyDescent="0.25">
      <c r="A1601" s="21" t="str">
        <f>IF(C1601="","",COUNTA($C$3:C1601))</f>
        <v/>
      </c>
      <c r="B1601" s="35" t="str">
        <f t="shared" si="40"/>
        <v/>
      </c>
      <c r="C1601" s="31"/>
      <c r="E1601" s="60"/>
      <c r="F1601" s="52"/>
      <c r="G1601" s="18"/>
      <c r="H1601" s="49"/>
      <c r="I1601" s="49"/>
      <c r="L1601" s="62"/>
      <c r="M1601" s="53"/>
      <c r="O1601" s="59"/>
      <c r="P1601" s="59"/>
    </row>
    <row r="1602" spans="1:16" x14ac:dyDescent="0.25">
      <c r="A1602" s="21" t="str">
        <f>IF(C1602="","",COUNTA($C$3:C1602))</f>
        <v/>
      </c>
      <c r="B1602" s="35" t="str">
        <f t="shared" si="40"/>
        <v/>
      </c>
      <c r="C1602" s="31"/>
      <c r="E1602" s="60"/>
      <c r="F1602" s="52"/>
      <c r="G1602" s="18"/>
      <c r="H1602" s="49"/>
      <c r="I1602" s="49"/>
      <c r="L1602" s="62"/>
      <c r="M1602" s="53"/>
      <c r="O1602" s="59"/>
      <c r="P1602" s="59"/>
    </row>
    <row r="1603" spans="1:16" x14ac:dyDescent="0.25">
      <c r="A1603" s="21" t="str">
        <f>IF(C1603="","",COUNTA($C$3:C1603))</f>
        <v/>
      </c>
      <c r="B1603" s="35" t="str">
        <f t="shared" si="40"/>
        <v/>
      </c>
      <c r="C1603" s="31"/>
      <c r="E1603" s="60"/>
      <c r="F1603" s="52"/>
      <c r="G1603" s="18"/>
      <c r="H1603" s="49"/>
      <c r="I1603" s="49"/>
      <c r="L1603" s="62"/>
      <c r="M1603" s="53"/>
      <c r="O1603" s="59"/>
      <c r="P1603" s="59"/>
    </row>
    <row r="1604" spans="1:16" x14ac:dyDescent="0.25">
      <c r="A1604" s="21" t="str">
        <f>IF(C1604="","",COUNTA($C$3:C1604))</f>
        <v/>
      </c>
      <c r="B1604" s="35" t="str">
        <f t="shared" si="40"/>
        <v/>
      </c>
      <c r="C1604" s="31"/>
      <c r="E1604" s="60"/>
      <c r="F1604" s="52"/>
      <c r="G1604" s="18"/>
      <c r="H1604" s="49"/>
      <c r="I1604" s="49"/>
      <c r="L1604" s="62"/>
      <c r="M1604" s="53"/>
      <c r="P1604" s="59"/>
    </row>
    <row r="1605" spans="1:16" x14ac:dyDescent="0.25">
      <c r="A1605" s="21" t="str">
        <f>IF(C1605="","",COUNTA($C$3:C1605))</f>
        <v/>
      </c>
      <c r="B1605" s="35" t="str">
        <f t="shared" ref="B1605:B1668" si="41">IF(C1605="","",TEXT(C1605,"mmmm"))</f>
        <v/>
      </c>
      <c r="C1605" s="31"/>
      <c r="E1605" s="60"/>
      <c r="F1605" s="52"/>
      <c r="G1605" s="18"/>
      <c r="H1605" s="49"/>
      <c r="I1605" s="49"/>
      <c r="L1605" s="53"/>
      <c r="M1605" s="53"/>
      <c r="O1605" s="112"/>
      <c r="P1605" s="59"/>
    </row>
    <row r="1606" spans="1:16" x14ac:dyDescent="0.25">
      <c r="A1606" s="21" t="str">
        <f>IF(C1606="","",COUNTA($C$3:C1606))</f>
        <v/>
      </c>
      <c r="B1606" s="35" t="str">
        <f t="shared" si="41"/>
        <v/>
      </c>
      <c r="C1606" s="31"/>
      <c r="E1606" s="60"/>
      <c r="F1606" s="52"/>
      <c r="G1606" s="18"/>
      <c r="H1606" s="49"/>
      <c r="I1606" s="49"/>
      <c r="L1606" s="62"/>
      <c r="M1606" s="53"/>
      <c r="P1606" s="59"/>
    </row>
    <row r="1607" spans="1:16" x14ac:dyDescent="0.25">
      <c r="A1607" s="21" t="str">
        <f>IF(C1607="","",COUNTA($C$3:C1607))</f>
        <v/>
      </c>
      <c r="B1607" s="35" t="str">
        <f t="shared" si="41"/>
        <v/>
      </c>
      <c r="C1607" s="31"/>
      <c r="E1607" s="60"/>
      <c r="F1607" s="52"/>
      <c r="G1607" s="18"/>
      <c r="H1607" s="49"/>
      <c r="I1607" s="76"/>
      <c r="L1607" s="62"/>
      <c r="M1607" s="53"/>
      <c r="P1607" s="59"/>
    </row>
    <row r="1608" spans="1:16" x14ac:dyDescent="0.25">
      <c r="A1608" s="21" t="str">
        <f>IF(C1608="","",COUNTA($C$3:C1608))</f>
        <v/>
      </c>
      <c r="B1608" s="35" t="str">
        <f t="shared" si="41"/>
        <v/>
      </c>
      <c r="C1608" s="31"/>
      <c r="E1608" s="60"/>
      <c r="F1608" s="52"/>
      <c r="G1608" s="18"/>
      <c r="H1608" s="49"/>
      <c r="I1608" s="49"/>
      <c r="L1608" s="53"/>
      <c r="M1608" s="53"/>
      <c r="P1608" s="59"/>
    </row>
    <row r="1609" spans="1:16" x14ac:dyDescent="0.25">
      <c r="A1609" s="21" t="str">
        <f>IF(C1609="","",COUNTA($C$3:C1609))</f>
        <v/>
      </c>
      <c r="B1609" s="35" t="str">
        <f t="shared" si="41"/>
        <v/>
      </c>
      <c r="C1609" s="31"/>
      <c r="E1609" s="60"/>
      <c r="F1609" s="52"/>
      <c r="G1609" s="18"/>
      <c r="H1609" s="49"/>
      <c r="I1609" s="49"/>
      <c r="L1609" s="62"/>
      <c r="M1609" s="53"/>
    </row>
    <row r="1610" spans="1:16" x14ac:dyDescent="0.25">
      <c r="A1610" s="21" t="str">
        <f>IF(C1610="","",COUNTA($C$3:C1610))</f>
        <v/>
      </c>
      <c r="B1610" s="35" t="str">
        <f t="shared" si="41"/>
        <v/>
      </c>
      <c r="C1610" s="31"/>
      <c r="E1610" s="60"/>
      <c r="F1610" s="52"/>
      <c r="G1610" s="18"/>
      <c r="H1610" s="49"/>
      <c r="I1610" s="49"/>
      <c r="M1610" s="53"/>
      <c r="O1610" s="59"/>
    </row>
    <row r="1611" spans="1:16" x14ac:dyDescent="0.25">
      <c r="A1611" s="21" t="str">
        <f>IF(C1611="","",COUNTA($C$3:C1611))</f>
        <v/>
      </c>
      <c r="B1611" s="35" t="str">
        <f t="shared" si="41"/>
        <v/>
      </c>
      <c r="C1611" s="31"/>
      <c r="E1611" s="60"/>
      <c r="F1611" s="52"/>
      <c r="G1611" s="18"/>
      <c r="H1611" s="49"/>
      <c r="I1611" s="49"/>
      <c r="L1611" s="62"/>
      <c r="M1611" s="53"/>
      <c r="O1611" s="59"/>
    </row>
    <row r="1612" spans="1:16" x14ac:dyDescent="0.25">
      <c r="A1612" s="21" t="str">
        <f>IF(C1612="","",COUNTA($C$3:C1612))</f>
        <v/>
      </c>
      <c r="B1612" s="35" t="str">
        <f t="shared" si="41"/>
        <v/>
      </c>
      <c r="C1612" s="31"/>
      <c r="E1612" s="60"/>
      <c r="F1612" s="52"/>
      <c r="G1612" s="18"/>
      <c r="H1612" s="49"/>
      <c r="I1612" s="49"/>
      <c r="L1612" s="62"/>
      <c r="M1612" s="53"/>
      <c r="O1612" s="59"/>
    </row>
    <row r="1613" spans="1:16" x14ac:dyDescent="0.25">
      <c r="A1613" s="21" t="str">
        <f>IF(C1613="","",COUNTA($C$3:C1613))</f>
        <v/>
      </c>
      <c r="B1613" s="35" t="str">
        <f t="shared" si="41"/>
        <v/>
      </c>
      <c r="C1613" s="31"/>
      <c r="E1613" s="60"/>
      <c r="F1613" s="52"/>
      <c r="G1613" s="18"/>
      <c r="H1613" s="49"/>
      <c r="I1613" s="49"/>
      <c r="L1613" s="62"/>
      <c r="M1613" s="53"/>
      <c r="O1613" s="59"/>
    </row>
    <row r="1614" spans="1:16" x14ac:dyDescent="0.25">
      <c r="A1614" s="21" t="str">
        <f>IF(C1614="","",COUNTA($C$3:C1614))</f>
        <v/>
      </c>
      <c r="B1614" s="35" t="str">
        <f t="shared" si="41"/>
        <v/>
      </c>
      <c r="C1614" s="31"/>
      <c r="E1614" s="60"/>
      <c r="F1614" s="52"/>
      <c r="G1614" s="18"/>
      <c r="H1614" s="49"/>
      <c r="I1614" s="49"/>
      <c r="L1614" s="62"/>
      <c r="M1614" s="53"/>
    </row>
    <row r="1615" spans="1:16" x14ac:dyDescent="0.25">
      <c r="A1615" s="21" t="str">
        <f>IF(C1615="","",COUNTA($C$3:C1615))</f>
        <v/>
      </c>
      <c r="B1615" s="35" t="str">
        <f t="shared" si="41"/>
        <v/>
      </c>
      <c r="C1615" s="31"/>
      <c r="E1615" s="60"/>
      <c r="F1615" s="52"/>
      <c r="G1615" s="18"/>
      <c r="H1615" s="49"/>
      <c r="I1615" s="49"/>
      <c r="L1615" s="62"/>
      <c r="M1615" s="53"/>
    </row>
    <row r="1616" spans="1:16" x14ac:dyDescent="0.25">
      <c r="A1616" s="21" t="str">
        <f>IF(C1616="","",COUNTA($C$3:C1616))</f>
        <v/>
      </c>
      <c r="B1616" s="35" t="str">
        <f t="shared" si="41"/>
        <v/>
      </c>
      <c r="C1616" s="31"/>
      <c r="E1616" s="60"/>
      <c r="F1616" s="52"/>
      <c r="G1616" s="18"/>
      <c r="H1616" s="49"/>
      <c r="I1616" s="49"/>
      <c r="L1616" s="70"/>
      <c r="M1616" s="53"/>
    </row>
    <row r="1617" spans="1:15" x14ac:dyDescent="0.25">
      <c r="A1617" s="21" t="str">
        <f>IF(C1617="","",COUNTA($C$3:C1617))</f>
        <v/>
      </c>
      <c r="B1617" s="35" t="str">
        <f t="shared" si="41"/>
        <v/>
      </c>
      <c r="C1617" s="31"/>
      <c r="E1617" s="60"/>
      <c r="F1617" s="52"/>
      <c r="G1617" s="18"/>
      <c r="H1617" s="49"/>
      <c r="I1617" s="49"/>
      <c r="L1617" s="62"/>
      <c r="M1617" s="53"/>
    </row>
    <row r="1618" spans="1:15" x14ac:dyDescent="0.25">
      <c r="A1618" s="21" t="str">
        <f>IF(C1618="","",COUNTA($C$3:C1618))</f>
        <v/>
      </c>
      <c r="B1618" s="35" t="str">
        <f t="shared" si="41"/>
        <v/>
      </c>
      <c r="C1618" s="31"/>
      <c r="E1618" s="60"/>
      <c r="F1618" s="52"/>
      <c r="G1618" s="18"/>
      <c r="H1618" s="49"/>
      <c r="I1618" s="49"/>
      <c r="L1618" s="62"/>
      <c r="M1618" s="53"/>
      <c r="O1618" s="59"/>
    </row>
    <row r="1619" spans="1:15" x14ac:dyDescent="0.25">
      <c r="A1619" s="21" t="str">
        <f>IF(C1619="","",COUNTA($C$3:C1619))</f>
        <v/>
      </c>
      <c r="B1619" s="35" t="str">
        <f t="shared" si="41"/>
        <v/>
      </c>
      <c r="C1619" s="31"/>
      <c r="E1619" s="60"/>
      <c r="F1619" s="52"/>
      <c r="G1619" s="18"/>
      <c r="H1619" s="49"/>
      <c r="I1619" s="49"/>
      <c r="L1619" s="62"/>
      <c r="M1619" s="53"/>
    </row>
    <row r="1620" spans="1:15" x14ac:dyDescent="0.25">
      <c r="A1620" s="21" t="str">
        <f>IF(C1620="","",COUNTA($C$3:C1620))</f>
        <v/>
      </c>
      <c r="B1620" s="35" t="str">
        <f t="shared" si="41"/>
        <v/>
      </c>
      <c r="C1620" s="31"/>
      <c r="E1620" s="60"/>
      <c r="F1620" s="52"/>
      <c r="G1620" s="18"/>
      <c r="H1620" s="49"/>
      <c r="I1620" s="49"/>
      <c r="L1620" s="62"/>
      <c r="M1620" s="53"/>
    </row>
    <row r="1621" spans="1:15" x14ac:dyDescent="0.25">
      <c r="A1621" s="21" t="str">
        <f>IF(C1621="","",COUNTA($C$3:C1621))</f>
        <v/>
      </c>
      <c r="B1621" s="35" t="str">
        <f t="shared" si="41"/>
        <v/>
      </c>
      <c r="C1621" s="31"/>
      <c r="E1621" s="60"/>
      <c r="F1621" s="52"/>
      <c r="G1621" s="18"/>
      <c r="H1621" s="49"/>
      <c r="I1621" s="49"/>
      <c r="L1621" s="62"/>
      <c r="M1621" s="53"/>
    </row>
    <row r="1622" spans="1:15" x14ac:dyDescent="0.25">
      <c r="A1622" s="21" t="str">
        <f>IF(C1622="","",COUNTA($C$3:C1622))</f>
        <v/>
      </c>
      <c r="B1622" s="35" t="str">
        <f t="shared" si="41"/>
        <v/>
      </c>
      <c r="C1622" s="31"/>
      <c r="E1622" s="60"/>
      <c r="F1622" s="52"/>
      <c r="G1622" s="18"/>
      <c r="H1622" s="49"/>
      <c r="I1622" s="49"/>
      <c r="L1622" s="62"/>
      <c r="M1622" s="53"/>
    </row>
    <row r="1623" spans="1:15" x14ac:dyDescent="0.25">
      <c r="A1623" s="21" t="str">
        <f>IF(C1623="","",COUNTA($C$3:C1623))</f>
        <v/>
      </c>
      <c r="B1623" s="35" t="str">
        <f t="shared" si="41"/>
        <v/>
      </c>
      <c r="C1623" s="31"/>
      <c r="E1623" s="60"/>
      <c r="F1623" s="52"/>
      <c r="G1623" s="18"/>
      <c r="H1623" s="49"/>
      <c r="I1623" s="49"/>
      <c r="L1623" s="62"/>
      <c r="M1623" s="53"/>
      <c r="O1623" s="59"/>
    </row>
    <row r="1624" spans="1:15" x14ac:dyDescent="0.25">
      <c r="A1624" s="21" t="str">
        <f>IF(C1624="","",COUNTA($C$3:C1624))</f>
        <v/>
      </c>
      <c r="B1624" s="35" t="str">
        <f t="shared" si="41"/>
        <v/>
      </c>
      <c r="C1624" s="31"/>
      <c r="E1624" s="60"/>
      <c r="F1624" s="52"/>
      <c r="G1624" s="18"/>
      <c r="H1624" s="49"/>
      <c r="I1624" s="49"/>
      <c r="L1624" s="62"/>
      <c r="M1624" s="53"/>
    </row>
    <row r="1625" spans="1:15" x14ac:dyDescent="0.25">
      <c r="A1625" s="21" t="str">
        <f>IF(C1625="","",COUNTA($C$3:C1625))</f>
        <v/>
      </c>
      <c r="B1625" s="35" t="str">
        <f t="shared" si="41"/>
        <v/>
      </c>
      <c r="C1625" s="31"/>
      <c r="E1625" s="60"/>
      <c r="F1625" s="52"/>
      <c r="G1625" s="18"/>
      <c r="H1625" s="49"/>
      <c r="I1625" s="49"/>
      <c r="L1625" s="62"/>
      <c r="M1625" s="53"/>
    </row>
    <row r="1626" spans="1:15" x14ac:dyDescent="0.25">
      <c r="A1626" s="21" t="str">
        <f>IF(C1626="","",COUNTA($C$3:C1626))</f>
        <v/>
      </c>
      <c r="B1626" s="35" t="str">
        <f t="shared" si="41"/>
        <v/>
      </c>
      <c r="C1626" s="31"/>
      <c r="E1626" s="60"/>
      <c r="F1626" s="52"/>
      <c r="G1626" s="18"/>
      <c r="H1626" s="49"/>
      <c r="I1626" s="49"/>
      <c r="L1626" s="70"/>
      <c r="M1626" s="53"/>
    </row>
    <row r="1627" spans="1:15" x14ac:dyDescent="0.25">
      <c r="A1627" s="21" t="str">
        <f>IF(C1627="","",COUNTA($C$3:C1627))</f>
        <v/>
      </c>
      <c r="B1627" s="35" t="str">
        <f t="shared" si="41"/>
        <v/>
      </c>
      <c r="C1627" s="31"/>
      <c r="E1627" s="60"/>
      <c r="F1627" s="52"/>
      <c r="G1627" s="18"/>
      <c r="H1627" s="49"/>
      <c r="I1627" s="49"/>
      <c r="L1627" s="62"/>
      <c r="M1627" s="53"/>
    </row>
    <row r="1628" spans="1:15" x14ac:dyDescent="0.25">
      <c r="A1628" s="21" t="str">
        <f>IF(C1628="","",COUNTA($C$3:C1628))</f>
        <v/>
      </c>
      <c r="B1628" s="35" t="str">
        <f t="shared" si="41"/>
        <v/>
      </c>
      <c r="C1628" s="31"/>
      <c r="E1628" s="60"/>
      <c r="F1628" s="52"/>
      <c r="G1628" s="18"/>
      <c r="H1628" s="49"/>
      <c r="I1628" s="49"/>
      <c r="L1628" s="62"/>
      <c r="M1628" s="53"/>
      <c r="O1628" s="59"/>
    </row>
    <row r="1629" spans="1:15" x14ac:dyDescent="0.25">
      <c r="A1629" s="21" t="str">
        <f>IF(C1629="","",COUNTA($C$3:C1629))</f>
        <v/>
      </c>
      <c r="B1629" s="35" t="str">
        <f t="shared" si="41"/>
        <v/>
      </c>
      <c r="C1629" s="31"/>
      <c r="E1629" s="60"/>
      <c r="F1629" s="52"/>
      <c r="G1629" s="18"/>
      <c r="H1629" s="49"/>
      <c r="I1629" s="76"/>
      <c r="L1629" s="62"/>
      <c r="M1629" s="53"/>
    </row>
    <row r="1630" spans="1:15" x14ac:dyDescent="0.25">
      <c r="A1630" s="21" t="str">
        <f>IF(C1630="","",COUNTA($C$3:C1630))</f>
        <v/>
      </c>
      <c r="B1630" s="35" t="str">
        <f t="shared" si="41"/>
        <v/>
      </c>
      <c r="C1630" s="33"/>
      <c r="E1630" s="60"/>
      <c r="F1630" s="52"/>
      <c r="G1630" s="18"/>
      <c r="H1630" s="49"/>
      <c r="I1630" s="49"/>
      <c r="L1630" s="62"/>
      <c r="M1630" s="53"/>
      <c r="O1630" s="59"/>
    </row>
    <row r="1631" spans="1:15" x14ac:dyDescent="0.25">
      <c r="A1631" s="21" t="str">
        <f>IF(C1631="","",COUNTA($C$3:C1631))</f>
        <v/>
      </c>
      <c r="B1631" s="35" t="str">
        <f t="shared" si="41"/>
        <v/>
      </c>
      <c r="C1631" s="33"/>
      <c r="E1631" s="60"/>
      <c r="F1631" s="52"/>
      <c r="G1631" s="18"/>
      <c r="H1631" s="49"/>
      <c r="I1631" s="49"/>
      <c r="L1631" s="62"/>
      <c r="M1631" s="53"/>
      <c r="O1631" s="59"/>
    </row>
    <row r="1632" spans="1:15" x14ac:dyDescent="0.25">
      <c r="A1632" s="21" t="str">
        <f>IF(C1632="","",COUNTA($C$3:C1632))</f>
        <v/>
      </c>
      <c r="B1632" s="35" t="str">
        <f t="shared" si="41"/>
        <v/>
      </c>
      <c r="C1632" s="33"/>
      <c r="E1632" s="60"/>
      <c r="F1632" s="52"/>
      <c r="G1632" s="18"/>
      <c r="H1632" s="49"/>
      <c r="I1632" s="49"/>
      <c r="L1632" s="62"/>
      <c r="M1632" s="53"/>
      <c r="O1632" s="59"/>
    </row>
    <row r="1633" spans="1:16" x14ac:dyDescent="0.25">
      <c r="A1633" s="21" t="str">
        <f>IF(C1633="","",COUNTA($C$3:C1633))</f>
        <v/>
      </c>
      <c r="B1633" s="35" t="str">
        <f t="shared" si="41"/>
        <v/>
      </c>
      <c r="C1633" s="33"/>
      <c r="E1633" s="60"/>
      <c r="F1633" s="52"/>
      <c r="G1633" s="18"/>
      <c r="H1633" s="49"/>
      <c r="I1633" s="49"/>
      <c r="L1633" s="62"/>
      <c r="M1633" s="53"/>
      <c r="O1633" s="59"/>
    </row>
    <row r="1634" spans="1:16" x14ac:dyDescent="0.25">
      <c r="A1634" s="21" t="str">
        <f>IF(C1634="","",COUNTA($C$3:C1634))</f>
        <v/>
      </c>
      <c r="B1634" s="35" t="str">
        <f t="shared" si="41"/>
        <v/>
      </c>
      <c r="C1634" s="33"/>
      <c r="E1634" s="60"/>
      <c r="F1634" s="52"/>
      <c r="G1634" s="18"/>
      <c r="H1634" s="49"/>
      <c r="I1634" s="49"/>
      <c r="L1634" s="62"/>
      <c r="M1634" s="53"/>
      <c r="O1634" s="59"/>
    </row>
    <row r="1635" spans="1:16" x14ac:dyDescent="0.25">
      <c r="A1635" s="21" t="str">
        <f>IF(C1635="","",COUNTA($C$3:C1635))</f>
        <v/>
      </c>
      <c r="B1635" s="35" t="str">
        <f t="shared" si="41"/>
        <v/>
      </c>
      <c r="C1635" s="33"/>
      <c r="E1635" s="60"/>
      <c r="F1635" s="52"/>
      <c r="G1635" s="18"/>
      <c r="H1635" s="49"/>
      <c r="I1635" s="49"/>
      <c r="L1635" s="62"/>
      <c r="M1635" s="53"/>
      <c r="O1635" s="112"/>
    </row>
    <row r="1636" spans="1:16" x14ac:dyDescent="0.25">
      <c r="A1636" s="21" t="str">
        <f>IF(C1636="","",COUNTA($C$3:C1636))</f>
        <v/>
      </c>
      <c r="B1636" s="35" t="str">
        <f t="shared" si="41"/>
        <v/>
      </c>
      <c r="C1636" s="33"/>
      <c r="E1636" s="60"/>
      <c r="F1636" s="52"/>
      <c r="G1636" s="18"/>
      <c r="H1636" s="49"/>
      <c r="I1636" s="49"/>
      <c r="L1636" s="70"/>
      <c r="M1636" s="53"/>
    </row>
    <row r="1637" spans="1:16" x14ac:dyDescent="0.25">
      <c r="A1637" s="21" t="str">
        <f>IF(C1637="","",COUNTA($C$3:C1637))</f>
        <v/>
      </c>
      <c r="B1637" s="35" t="str">
        <f t="shared" si="41"/>
        <v/>
      </c>
      <c r="C1637" s="33"/>
      <c r="E1637" s="60"/>
      <c r="F1637" s="52"/>
      <c r="G1637" s="18"/>
      <c r="H1637" s="49"/>
      <c r="I1637" s="49"/>
      <c r="L1637" s="62"/>
      <c r="M1637" s="53"/>
    </row>
    <row r="1638" spans="1:16" x14ac:dyDescent="0.25">
      <c r="A1638" s="21" t="str">
        <f>IF(C1638="","",COUNTA($C$3:C1638))</f>
        <v/>
      </c>
      <c r="B1638" s="35" t="str">
        <f t="shared" si="41"/>
        <v/>
      </c>
      <c r="C1638" s="33"/>
      <c r="E1638" s="60"/>
      <c r="F1638" s="52"/>
      <c r="G1638" s="18"/>
      <c r="H1638" s="49"/>
      <c r="I1638" s="49"/>
      <c r="L1638" s="62"/>
      <c r="M1638" s="53"/>
    </row>
    <row r="1639" spans="1:16" x14ac:dyDescent="0.25">
      <c r="A1639" s="21" t="str">
        <f>IF(C1639="","",COUNTA($C$3:C1639))</f>
        <v/>
      </c>
      <c r="B1639" s="35" t="str">
        <f t="shared" si="41"/>
        <v/>
      </c>
      <c r="C1639" s="33"/>
      <c r="E1639" s="60"/>
      <c r="F1639" s="52"/>
      <c r="G1639" s="18"/>
      <c r="H1639" s="49"/>
      <c r="I1639" s="49"/>
      <c r="L1639" s="62"/>
      <c r="M1639" s="53"/>
      <c r="O1639" s="59"/>
    </row>
    <row r="1640" spans="1:16" x14ac:dyDescent="0.25">
      <c r="A1640" s="21" t="str">
        <f>IF(C1640="","",COUNTA($C$3:C1640))</f>
        <v/>
      </c>
      <c r="B1640" s="35" t="str">
        <f t="shared" si="41"/>
        <v/>
      </c>
      <c r="C1640" s="33"/>
      <c r="E1640" s="60"/>
      <c r="F1640" s="52"/>
      <c r="G1640" s="18"/>
      <c r="H1640" s="49"/>
      <c r="I1640" s="76"/>
      <c r="L1640" s="62"/>
      <c r="M1640" s="53"/>
      <c r="O1640" s="59"/>
    </row>
    <row r="1641" spans="1:16" x14ac:dyDescent="0.25">
      <c r="A1641" s="21" t="str">
        <f>IF(C1641="","",COUNTA($C$3:C1641))</f>
        <v/>
      </c>
      <c r="B1641" s="35" t="str">
        <f t="shared" si="41"/>
        <v/>
      </c>
      <c r="C1641" s="33"/>
      <c r="E1641" s="60"/>
      <c r="F1641" s="52"/>
      <c r="G1641" s="18"/>
      <c r="H1641" s="49"/>
      <c r="I1641" s="49"/>
      <c r="L1641" s="62"/>
      <c r="M1641" s="53"/>
      <c r="O1641" s="59"/>
    </row>
    <row r="1642" spans="1:16" x14ac:dyDescent="0.25">
      <c r="A1642" s="21" t="str">
        <f>IF(C1642="","",COUNTA($C$3:C1642))</f>
        <v/>
      </c>
      <c r="B1642" s="35" t="str">
        <f t="shared" si="41"/>
        <v/>
      </c>
      <c r="C1642" s="33"/>
      <c r="E1642" s="60"/>
      <c r="F1642" s="52"/>
      <c r="G1642" s="18"/>
      <c r="H1642" s="49"/>
      <c r="I1642" s="49"/>
      <c r="L1642" s="62"/>
      <c r="M1642" s="53"/>
      <c r="O1642" s="59"/>
    </row>
    <row r="1643" spans="1:16" x14ac:dyDescent="0.25">
      <c r="A1643" s="21" t="str">
        <f>IF(C1643="","",COUNTA($C$3:C1643))</f>
        <v/>
      </c>
      <c r="B1643" s="35" t="str">
        <f t="shared" si="41"/>
        <v/>
      </c>
      <c r="C1643" s="33"/>
      <c r="E1643" s="60"/>
      <c r="F1643" s="52"/>
      <c r="G1643" s="18"/>
      <c r="H1643" s="49"/>
      <c r="I1643" s="49"/>
      <c r="L1643" s="70"/>
      <c r="M1643" s="53"/>
    </row>
    <row r="1644" spans="1:16" x14ac:dyDescent="0.25">
      <c r="A1644" s="21" t="str">
        <f>IF(C1644="","",COUNTA($C$3:C1644))</f>
        <v/>
      </c>
      <c r="B1644" s="35" t="str">
        <f t="shared" si="41"/>
        <v/>
      </c>
      <c r="C1644" s="33"/>
      <c r="E1644" s="60"/>
      <c r="F1644" s="52"/>
      <c r="G1644" s="18"/>
      <c r="H1644" s="49"/>
      <c r="I1644" s="49"/>
      <c r="L1644" s="62"/>
      <c r="M1644" s="53"/>
    </row>
    <row r="1645" spans="1:16" x14ac:dyDescent="0.25">
      <c r="A1645" s="21" t="str">
        <f>IF(C1645="","",COUNTA($C$3:C1645))</f>
        <v/>
      </c>
      <c r="B1645" s="35" t="str">
        <f t="shared" si="41"/>
        <v/>
      </c>
      <c r="C1645" s="33"/>
      <c r="E1645" s="60"/>
      <c r="F1645" s="52"/>
      <c r="G1645" s="18"/>
      <c r="H1645" s="49"/>
      <c r="I1645" s="49"/>
      <c r="L1645" s="70"/>
      <c r="M1645" s="53"/>
    </row>
    <row r="1646" spans="1:16" x14ac:dyDescent="0.25">
      <c r="A1646" s="21" t="str">
        <f>IF(C1646="","",COUNTA($C$3:C1646))</f>
        <v/>
      </c>
      <c r="B1646" s="35" t="str">
        <f t="shared" si="41"/>
        <v/>
      </c>
      <c r="C1646" s="33"/>
      <c r="E1646" s="60"/>
      <c r="F1646" s="52"/>
      <c r="G1646" s="18"/>
      <c r="H1646" s="49"/>
      <c r="I1646" s="49"/>
      <c r="L1646" s="62"/>
      <c r="M1646" s="53"/>
      <c r="P1646" s="59"/>
    </row>
    <row r="1647" spans="1:16" x14ac:dyDescent="0.25">
      <c r="A1647" s="21" t="str">
        <f>IF(C1647="","",COUNTA($C$3:C1647))</f>
        <v/>
      </c>
      <c r="B1647" s="35" t="str">
        <f t="shared" si="41"/>
        <v/>
      </c>
      <c r="C1647" s="33"/>
      <c r="E1647" s="60"/>
      <c r="F1647" s="52"/>
      <c r="G1647" s="18"/>
      <c r="H1647" s="49"/>
      <c r="I1647" s="49"/>
      <c r="L1647" s="70"/>
      <c r="M1647" s="53"/>
      <c r="P1647" s="59"/>
    </row>
    <row r="1648" spans="1:16" x14ac:dyDescent="0.25">
      <c r="A1648" s="21" t="str">
        <f>IF(C1648="","",COUNTA($C$3:C1648))</f>
        <v/>
      </c>
      <c r="B1648" s="35" t="str">
        <f t="shared" si="41"/>
        <v/>
      </c>
      <c r="C1648" s="33"/>
      <c r="E1648" s="60"/>
      <c r="F1648" s="52"/>
      <c r="G1648" s="18"/>
      <c r="H1648" s="49"/>
      <c r="I1648" s="49"/>
      <c r="L1648" s="70"/>
      <c r="M1648" s="53"/>
      <c r="P1648" s="59"/>
    </row>
    <row r="1649" spans="1:17" x14ac:dyDescent="0.25">
      <c r="A1649" s="21" t="str">
        <f>IF(C1649="","",COUNTA($C$3:C1649))</f>
        <v/>
      </c>
      <c r="B1649" s="35" t="str">
        <f t="shared" si="41"/>
        <v/>
      </c>
      <c r="C1649" s="33"/>
      <c r="E1649" s="60"/>
      <c r="F1649" s="52"/>
      <c r="G1649" s="18"/>
      <c r="H1649" s="49"/>
      <c r="I1649" s="49"/>
      <c r="L1649" s="70"/>
      <c r="M1649" s="53"/>
      <c r="P1649" s="59"/>
    </row>
    <row r="1650" spans="1:17" x14ac:dyDescent="0.25">
      <c r="A1650" s="21" t="str">
        <f>IF(C1650="","",COUNTA($C$3:C1650))</f>
        <v/>
      </c>
      <c r="B1650" s="35" t="str">
        <f t="shared" si="41"/>
        <v/>
      </c>
      <c r="C1650" s="33"/>
      <c r="E1650" s="60"/>
      <c r="F1650" s="52"/>
      <c r="G1650" s="18"/>
      <c r="H1650" s="49"/>
      <c r="I1650" s="49"/>
      <c r="L1650" s="62"/>
      <c r="M1650" s="53"/>
      <c r="P1650" s="59"/>
    </row>
    <row r="1651" spans="1:17" x14ac:dyDescent="0.25">
      <c r="A1651" s="21" t="str">
        <f>IF(C1651="","",COUNTA($C$3:C1651))</f>
        <v/>
      </c>
      <c r="B1651" s="35" t="str">
        <f t="shared" si="41"/>
        <v/>
      </c>
      <c r="C1651" s="33"/>
      <c r="E1651" s="60"/>
      <c r="F1651" s="52"/>
      <c r="G1651" s="18"/>
      <c r="H1651" s="49"/>
      <c r="I1651" s="49"/>
      <c r="L1651" s="62"/>
      <c r="M1651" s="53"/>
      <c r="P1651" s="59"/>
    </row>
    <row r="1652" spans="1:17" x14ac:dyDescent="0.25">
      <c r="A1652" s="21" t="str">
        <f>IF(C1652="","",COUNTA($C$3:C1652))</f>
        <v/>
      </c>
      <c r="B1652" s="35" t="str">
        <f t="shared" si="41"/>
        <v/>
      </c>
      <c r="C1652" s="33"/>
      <c r="E1652" s="60"/>
      <c r="F1652" s="52"/>
      <c r="G1652" s="18"/>
      <c r="H1652" s="49"/>
      <c r="I1652" s="49"/>
      <c r="L1652" s="62"/>
      <c r="M1652" s="53"/>
      <c r="P1652" s="59"/>
    </row>
    <row r="1653" spans="1:17" x14ac:dyDescent="0.25">
      <c r="A1653" s="21" t="str">
        <f>IF(C1653="","",COUNTA($C$3:C1653))</f>
        <v/>
      </c>
      <c r="B1653" s="35" t="str">
        <f t="shared" si="41"/>
        <v/>
      </c>
      <c r="C1653" s="33"/>
      <c r="E1653" s="60"/>
      <c r="F1653" s="52"/>
      <c r="G1653" s="18"/>
      <c r="H1653" s="49"/>
      <c r="I1653" s="49"/>
      <c r="L1653" s="62"/>
      <c r="M1653" s="53"/>
      <c r="P1653" s="59"/>
    </row>
    <row r="1654" spans="1:17" x14ac:dyDescent="0.25">
      <c r="A1654" s="21" t="str">
        <f>IF(C1654="","",COUNTA($C$3:C1654))</f>
        <v/>
      </c>
      <c r="B1654" s="35" t="str">
        <f t="shared" si="41"/>
        <v/>
      </c>
      <c r="C1654" s="33"/>
      <c r="E1654" s="60"/>
      <c r="F1654" s="52"/>
      <c r="G1654" s="18"/>
      <c r="H1654" s="49"/>
      <c r="I1654" s="49"/>
      <c r="L1654" s="62"/>
      <c r="M1654" s="53"/>
      <c r="P1654" s="59"/>
    </row>
    <row r="1655" spans="1:17" x14ac:dyDescent="0.25">
      <c r="A1655" s="21" t="str">
        <f>IF(C1655="","",COUNTA($C$3:C1655))</f>
        <v/>
      </c>
      <c r="B1655" s="35" t="str">
        <f t="shared" si="41"/>
        <v/>
      </c>
      <c r="C1655" s="33"/>
      <c r="E1655" s="60"/>
      <c r="F1655" s="52"/>
      <c r="G1655" s="18"/>
      <c r="H1655" s="49"/>
      <c r="I1655" s="49"/>
      <c r="L1655" s="62"/>
      <c r="M1655" s="53"/>
      <c r="P1655" s="59"/>
    </row>
    <row r="1656" spans="1:17" x14ac:dyDescent="0.25">
      <c r="A1656" s="21" t="str">
        <f>IF(C1656="","",COUNTA($C$3:C1656))</f>
        <v/>
      </c>
      <c r="B1656" s="35" t="str">
        <f t="shared" si="41"/>
        <v/>
      </c>
      <c r="C1656" s="33"/>
      <c r="E1656" s="60"/>
      <c r="F1656" s="52"/>
      <c r="G1656" s="18"/>
      <c r="H1656" s="49"/>
      <c r="I1656" s="49"/>
      <c r="L1656" s="62"/>
      <c r="M1656" s="53"/>
      <c r="P1656" s="59"/>
    </row>
    <row r="1657" spans="1:17" x14ac:dyDescent="0.25">
      <c r="A1657" s="21" t="str">
        <f>IF(C1657="","",COUNTA($C$3:C1657))</f>
        <v/>
      </c>
      <c r="B1657" s="35" t="str">
        <f t="shared" si="41"/>
        <v/>
      </c>
      <c r="C1657" s="33"/>
      <c r="E1657" s="60"/>
      <c r="F1657" s="52"/>
      <c r="G1657" s="18"/>
      <c r="H1657" s="49"/>
      <c r="I1657" s="49"/>
      <c r="K1657" s="55"/>
      <c r="L1657" s="62"/>
      <c r="M1657" s="53"/>
      <c r="P1657" s="59"/>
    </row>
    <row r="1658" spans="1:17" x14ac:dyDescent="0.25">
      <c r="A1658" s="21" t="str">
        <f>IF(C1658="","",COUNTA($C$3:C1658))</f>
        <v/>
      </c>
      <c r="B1658" s="35" t="str">
        <f t="shared" si="41"/>
        <v/>
      </c>
      <c r="C1658" s="33"/>
      <c r="E1658" s="60"/>
      <c r="F1658" s="52"/>
      <c r="G1658" s="18"/>
      <c r="H1658" s="49"/>
      <c r="I1658" s="49"/>
      <c r="L1658" s="62"/>
      <c r="M1658" s="53"/>
      <c r="O1658" s="59"/>
      <c r="P1658" s="69"/>
      <c r="Q1658" s="59"/>
    </row>
    <row r="1659" spans="1:17" x14ac:dyDescent="0.25">
      <c r="A1659" s="21" t="str">
        <f>IF(C1659="","",COUNTA($C$3:C1659))</f>
        <v/>
      </c>
      <c r="B1659" s="35" t="str">
        <f t="shared" si="41"/>
        <v/>
      </c>
      <c r="C1659" s="33"/>
      <c r="E1659" s="60"/>
      <c r="F1659" s="52"/>
      <c r="G1659" s="18"/>
      <c r="H1659" s="49"/>
      <c r="I1659" s="49"/>
      <c r="L1659" s="62"/>
      <c r="M1659" s="53"/>
      <c r="O1659" s="59"/>
      <c r="P1659" s="112"/>
      <c r="Q1659" s="59"/>
    </row>
    <row r="1660" spans="1:17" x14ac:dyDescent="0.25">
      <c r="A1660" s="21" t="str">
        <f>IF(C1660="","",COUNTA($C$3:C1660))</f>
        <v/>
      </c>
      <c r="B1660" s="35" t="str">
        <f t="shared" si="41"/>
        <v/>
      </c>
      <c r="C1660" s="33"/>
      <c r="E1660" s="60"/>
      <c r="F1660" s="52"/>
      <c r="G1660" s="18"/>
      <c r="H1660" s="49"/>
      <c r="I1660" s="49"/>
      <c r="L1660" s="62"/>
      <c r="M1660" s="53"/>
      <c r="O1660" s="59"/>
    </row>
    <row r="1661" spans="1:17" x14ac:dyDescent="0.25">
      <c r="A1661" s="21" t="str">
        <f>IF(C1661="","",COUNTA($C$3:C1661))</f>
        <v/>
      </c>
      <c r="B1661" s="35" t="str">
        <f t="shared" si="41"/>
        <v/>
      </c>
      <c r="C1661" s="33"/>
      <c r="E1661" s="60"/>
      <c r="F1661" s="52"/>
      <c r="G1661" s="18"/>
      <c r="H1661" s="49"/>
      <c r="I1661" s="49"/>
      <c r="M1661" s="53"/>
      <c r="O1661" s="59"/>
    </row>
    <row r="1662" spans="1:17" x14ac:dyDescent="0.25">
      <c r="A1662" s="21" t="str">
        <f>IF(C1662="","",COUNTA($C$3:C1662))</f>
        <v/>
      </c>
      <c r="B1662" s="35" t="str">
        <f t="shared" si="41"/>
        <v/>
      </c>
      <c r="C1662" s="33"/>
      <c r="E1662" s="60"/>
      <c r="F1662" s="52"/>
      <c r="G1662" s="18"/>
      <c r="H1662" s="49"/>
      <c r="I1662" s="49"/>
      <c r="M1662" s="53"/>
      <c r="O1662" s="59"/>
    </row>
    <row r="1663" spans="1:17" x14ac:dyDescent="0.25">
      <c r="A1663" s="21" t="str">
        <f>IF(C1663="","",COUNTA($C$3:C1663))</f>
        <v/>
      </c>
      <c r="B1663" s="35" t="str">
        <f t="shared" si="41"/>
        <v/>
      </c>
      <c r="C1663" s="33"/>
      <c r="E1663" s="60"/>
      <c r="F1663" s="52"/>
      <c r="G1663" s="18"/>
      <c r="H1663" s="49"/>
      <c r="I1663" s="49"/>
      <c r="M1663" s="53"/>
      <c r="O1663" s="59"/>
    </row>
    <row r="1664" spans="1:17" x14ac:dyDescent="0.25">
      <c r="A1664" s="21" t="str">
        <f>IF(C1664="","",COUNTA($C$3:C1664))</f>
        <v/>
      </c>
      <c r="B1664" s="35" t="str">
        <f t="shared" si="41"/>
        <v/>
      </c>
      <c r="C1664" s="33"/>
      <c r="E1664" s="60"/>
      <c r="F1664" s="52"/>
      <c r="G1664" s="18"/>
      <c r="H1664" s="49"/>
      <c r="I1664" s="49"/>
      <c r="M1664" s="53"/>
      <c r="O1664" s="59"/>
    </row>
    <row r="1665" spans="1:17" x14ac:dyDescent="0.25">
      <c r="A1665" s="21" t="str">
        <f>IF(C1665="","",COUNTA($C$3:C1665))</f>
        <v/>
      </c>
      <c r="B1665" s="35" t="str">
        <f t="shared" si="41"/>
        <v/>
      </c>
      <c r="C1665" s="33"/>
      <c r="E1665" s="60"/>
      <c r="F1665" s="52"/>
      <c r="G1665" s="18"/>
      <c r="H1665" s="49"/>
      <c r="I1665" s="49"/>
      <c r="M1665" s="53"/>
      <c r="O1665" s="59"/>
      <c r="P1665" s="69"/>
      <c r="Q1665" s="59"/>
    </row>
    <row r="1666" spans="1:17" x14ac:dyDescent="0.25">
      <c r="A1666" s="21" t="str">
        <f>IF(C1666="","",COUNTA($C$3:C1666))</f>
        <v/>
      </c>
      <c r="B1666" s="35" t="str">
        <f t="shared" si="41"/>
        <v/>
      </c>
      <c r="C1666" s="33"/>
      <c r="E1666" s="60"/>
      <c r="F1666" s="52"/>
      <c r="G1666" s="18"/>
      <c r="H1666" s="49"/>
      <c r="I1666" s="49"/>
      <c r="M1666" s="53"/>
      <c r="O1666" s="59"/>
    </row>
    <row r="1667" spans="1:17" x14ac:dyDescent="0.25">
      <c r="A1667" s="21" t="str">
        <f>IF(C1667="","",COUNTA($C$3:C1667))</f>
        <v/>
      </c>
      <c r="B1667" s="35" t="str">
        <f t="shared" si="41"/>
        <v/>
      </c>
      <c r="C1667" s="33"/>
      <c r="E1667" s="60"/>
      <c r="F1667" s="52"/>
      <c r="G1667" s="18"/>
      <c r="H1667" s="49"/>
      <c r="I1667" s="49"/>
      <c r="M1667" s="53"/>
      <c r="O1667" s="59"/>
    </row>
    <row r="1668" spans="1:17" x14ac:dyDescent="0.25">
      <c r="A1668" s="21" t="str">
        <f>IF(C1668="","",COUNTA($C$3:C1668))</f>
        <v/>
      </c>
      <c r="B1668" s="35" t="str">
        <f t="shared" si="41"/>
        <v/>
      </c>
      <c r="C1668" s="33"/>
      <c r="E1668" s="60"/>
      <c r="F1668" s="52"/>
      <c r="G1668" s="18"/>
      <c r="H1668" s="49"/>
      <c r="I1668" s="49"/>
      <c r="K1668" s="67"/>
      <c r="L1668" s="53"/>
      <c r="M1668" s="53"/>
      <c r="O1668" s="59"/>
    </row>
    <row r="1669" spans="1:17" x14ac:dyDescent="0.25">
      <c r="A1669" s="21" t="str">
        <f>IF(C1669="","",COUNTA($C$3:C1669))</f>
        <v/>
      </c>
      <c r="B1669" s="35" t="str">
        <f t="shared" ref="B1669:B1732" si="42">IF(C1669="","",TEXT(C1669,"mmmm"))</f>
        <v/>
      </c>
      <c r="C1669" s="33"/>
      <c r="E1669" s="60"/>
      <c r="F1669" s="52"/>
      <c r="G1669" s="18"/>
      <c r="H1669" s="49"/>
      <c r="I1669" s="49"/>
      <c r="L1669" s="70"/>
      <c r="M1669" s="53"/>
    </row>
    <row r="1670" spans="1:17" x14ac:dyDescent="0.25">
      <c r="A1670" s="21" t="str">
        <f>IF(C1670="","",COUNTA($C$3:C1670))</f>
        <v/>
      </c>
      <c r="B1670" s="35" t="str">
        <f t="shared" si="42"/>
        <v/>
      </c>
      <c r="C1670" s="33"/>
      <c r="E1670" s="60"/>
      <c r="F1670" s="52"/>
      <c r="G1670" s="18"/>
      <c r="H1670" s="49"/>
      <c r="I1670" s="49"/>
      <c r="L1670" s="62"/>
      <c r="M1670" s="53"/>
    </row>
    <row r="1671" spans="1:17" x14ac:dyDescent="0.25">
      <c r="A1671" s="21" t="str">
        <f>IF(C1671="","",COUNTA($C$3:C1671))</f>
        <v/>
      </c>
      <c r="B1671" s="35" t="str">
        <f t="shared" si="42"/>
        <v/>
      </c>
      <c r="C1671" s="33"/>
      <c r="E1671" s="60"/>
      <c r="F1671" s="52"/>
      <c r="G1671" s="18"/>
      <c r="H1671" s="49"/>
      <c r="I1671" s="76"/>
      <c r="L1671" s="62"/>
      <c r="M1671" s="53"/>
    </row>
    <row r="1672" spans="1:17" x14ac:dyDescent="0.25">
      <c r="A1672" s="21" t="str">
        <f>IF(C1672="","",COUNTA($C$3:C1672))</f>
        <v/>
      </c>
      <c r="B1672" s="35" t="str">
        <f t="shared" si="42"/>
        <v/>
      </c>
      <c r="C1672" s="33"/>
      <c r="E1672" s="60"/>
      <c r="F1672" s="52"/>
      <c r="G1672" s="18"/>
      <c r="H1672" s="49"/>
      <c r="I1672" s="49"/>
      <c r="L1672" s="62"/>
      <c r="M1672" s="53"/>
    </row>
    <row r="1673" spans="1:17" x14ac:dyDescent="0.25">
      <c r="A1673" s="21" t="str">
        <f>IF(C1673="","",COUNTA($C$3:C1673))</f>
        <v/>
      </c>
      <c r="B1673" s="35" t="str">
        <f t="shared" si="42"/>
        <v/>
      </c>
      <c r="C1673" s="33"/>
      <c r="E1673" s="60"/>
      <c r="F1673" s="52"/>
      <c r="G1673" s="18"/>
      <c r="H1673" s="49"/>
      <c r="I1673" s="49"/>
      <c r="L1673" s="62"/>
      <c r="M1673" s="53"/>
    </row>
    <row r="1674" spans="1:17" x14ac:dyDescent="0.25">
      <c r="A1674" s="21" t="str">
        <f>IF(C1674="","",COUNTA($C$3:C1674))</f>
        <v/>
      </c>
      <c r="B1674" s="35" t="str">
        <f t="shared" si="42"/>
        <v/>
      </c>
      <c r="C1674" s="33"/>
      <c r="E1674" s="60"/>
      <c r="F1674" s="52"/>
      <c r="G1674" s="18"/>
      <c r="H1674" s="49"/>
      <c r="I1674" s="49"/>
      <c r="L1674" s="62"/>
      <c r="M1674" s="53"/>
    </row>
    <row r="1675" spans="1:17" x14ac:dyDescent="0.25">
      <c r="A1675" s="21" t="str">
        <f>IF(C1675="","",COUNTA($C$3:C1675))</f>
        <v/>
      </c>
      <c r="B1675" s="35" t="str">
        <f t="shared" si="42"/>
        <v/>
      </c>
      <c r="C1675" s="33"/>
      <c r="E1675" s="60"/>
      <c r="F1675" s="52"/>
      <c r="G1675" s="18"/>
      <c r="H1675" s="49"/>
      <c r="I1675" s="49"/>
      <c r="L1675" s="62"/>
      <c r="M1675" s="53"/>
    </row>
    <row r="1676" spans="1:17" x14ac:dyDescent="0.25">
      <c r="A1676" s="21" t="str">
        <f>IF(C1676="","",COUNTA($C$3:C1676))</f>
        <v/>
      </c>
      <c r="B1676" s="35" t="str">
        <f t="shared" si="42"/>
        <v/>
      </c>
      <c r="C1676" s="33"/>
      <c r="E1676" s="60"/>
      <c r="F1676" s="52"/>
      <c r="G1676" s="18"/>
      <c r="H1676" s="49"/>
      <c r="I1676" s="49"/>
      <c r="M1676" s="53"/>
    </row>
    <row r="1677" spans="1:17" x14ac:dyDescent="0.25">
      <c r="A1677" s="21" t="str">
        <f>IF(C1677="","",COUNTA($C$3:C1677))</f>
        <v/>
      </c>
      <c r="B1677" s="35" t="str">
        <f t="shared" si="42"/>
        <v/>
      </c>
      <c r="C1677" s="33"/>
      <c r="E1677" s="60"/>
      <c r="F1677" s="52"/>
      <c r="G1677" s="18"/>
      <c r="H1677" s="49"/>
      <c r="I1677" s="49"/>
      <c r="L1677" s="70"/>
      <c r="M1677" s="53"/>
    </row>
    <row r="1678" spans="1:17" x14ac:dyDescent="0.25">
      <c r="A1678" s="21" t="str">
        <f>IF(C1678="","",COUNTA($C$3:C1678))</f>
        <v/>
      </c>
      <c r="B1678" s="35" t="str">
        <f t="shared" si="42"/>
        <v/>
      </c>
      <c r="C1678" s="33"/>
      <c r="E1678" s="60"/>
      <c r="F1678" s="52"/>
      <c r="G1678" s="18"/>
      <c r="H1678" s="49"/>
      <c r="I1678" s="49"/>
      <c r="L1678" s="70"/>
      <c r="M1678" s="53"/>
    </row>
    <row r="1679" spans="1:17" x14ac:dyDescent="0.25">
      <c r="A1679" s="21" t="str">
        <f>IF(C1679="","",COUNTA($C$3:C1679))</f>
        <v/>
      </c>
      <c r="B1679" s="35" t="str">
        <f t="shared" si="42"/>
        <v/>
      </c>
      <c r="C1679" s="33"/>
      <c r="E1679" s="60"/>
      <c r="F1679" s="52"/>
      <c r="G1679" s="18"/>
      <c r="H1679" s="49"/>
      <c r="I1679" s="49"/>
      <c r="L1679" s="70"/>
      <c r="M1679" s="53"/>
    </row>
    <row r="1680" spans="1:17" x14ac:dyDescent="0.25">
      <c r="A1680" s="21" t="str">
        <f>IF(C1680="","",COUNTA($C$3:C1680))</f>
        <v/>
      </c>
      <c r="B1680" s="35" t="str">
        <f t="shared" si="42"/>
        <v/>
      </c>
      <c r="C1680" s="33"/>
      <c r="E1680" s="60"/>
      <c r="F1680" s="52"/>
      <c r="G1680" s="18"/>
      <c r="H1680" s="49"/>
      <c r="I1680" s="49"/>
      <c r="L1680" s="78"/>
      <c r="M1680" s="53"/>
    </row>
    <row r="1681" spans="1:13" x14ac:dyDescent="0.25">
      <c r="A1681" s="21" t="str">
        <f>IF(C1681="","",COUNTA($C$3:C1681))</f>
        <v/>
      </c>
      <c r="B1681" s="35" t="str">
        <f t="shared" si="42"/>
        <v/>
      </c>
      <c r="C1681" s="33"/>
      <c r="E1681" s="60"/>
      <c r="F1681" s="52"/>
      <c r="G1681" s="18"/>
      <c r="H1681" s="49"/>
      <c r="I1681" s="49"/>
      <c r="M1681" s="53"/>
    </row>
    <row r="1682" spans="1:13" x14ac:dyDescent="0.25">
      <c r="A1682" s="21" t="str">
        <f>IF(C1682="","",COUNTA($C$3:C1682))</f>
        <v/>
      </c>
      <c r="B1682" s="35" t="str">
        <f t="shared" si="42"/>
        <v/>
      </c>
      <c r="C1682" s="33"/>
      <c r="E1682" s="60"/>
      <c r="F1682" s="52"/>
      <c r="G1682" s="18"/>
      <c r="H1682" s="49"/>
      <c r="I1682" s="49"/>
      <c r="M1682" s="53"/>
    </row>
    <row r="1683" spans="1:13" x14ac:dyDescent="0.25">
      <c r="A1683" s="21" t="str">
        <f>IF(C1683="","",COUNTA($C$3:C1683))</f>
        <v/>
      </c>
      <c r="B1683" s="35" t="str">
        <f t="shared" si="42"/>
        <v/>
      </c>
      <c r="C1683" s="33"/>
      <c r="E1683" s="60"/>
      <c r="F1683" s="52"/>
      <c r="G1683" s="18"/>
      <c r="H1683" s="49"/>
      <c r="I1683" s="49"/>
      <c r="M1683" s="53"/>
    </row>
    <row r="1684" spans="1:13" x14ac:dyDescent="0.25">
      <c r="A1684" s="21" t="str">
        <f>IF(C1684="","",COUNTA($C$3:C1684))</f>
        <v/>
      </c>
      <c r="B1684" s="35" t="str">
        <f t="shared" si="42"/>
        <v/>
      </c>
      <c r="C1684" s="33"/>
      <c r="E1684" s="60"/>
      <c r="F1684" s="52"/>
      <c r="G1684" s="18"/>
      <c r="H1684" s="49"/>
      <c r="I1684" s="49"/>
      <c r="L1684" s="70"/>
      <c r="M1684" s="53"/>
    </row>
    <row r="1685" spans="1:13" x14ac:dyDescent="0.25">
      <c r="A1685" s="21" t="str">
        <f>IF(C1685="","",COUNTA($C$3:C1685))</f>
        <v/>
      </c>
      <c r="B1685" s="35" t="str">
        <f t="shared" si="42"/>
        <v/>
      </c>
      <c r="C1685" s="33"/>
      <c r="E1685" s="60"/>
      <c r="F1685" s="52"/>
      <c r="G1685" s="18"/>
      <c r="H1685" s="49"/>
      <c r="I1685" s="49"/>
      <c r="L1685" s="62"/>
      <c r="M1685" s="53"/>
    </row>
    <row r="1686" spans="1:13" x14ac:dyDescent="0.25">
      <c r="A1686" s="21" t="str">
        <f>IF(C1686="","",COUNTA($C$3:C1686))</f>
        <v/>
      </c>
      <c r="B1686" s="35" t="str">
        <f t="shared" si="42"/>
        <v/>
      </c>
      <c r="C1686" s="33"/>
      <c r="E1686" s="60"/>
      <c r="F1686" s="52"/>
      <c r="G1686" s="18"/>
      <c r="H1686" s="49"/>
      <c r="I1686" s="49"/>
      <c r="L1686" s="70"/>
      <c r="M1686" s="53"/>
    </row>
    <row r="1687" spans="1:13" x14ac:dyDescent="0.25">
      <c r="A1687" s="21" t="str">
        <f>IF(C1687="","",COUNTA($C$3:C1687))</f>
        <v/>
      </c>
      <c r="B1687" s="35" t="str">
        <f t="shared" si="42"/>
        <v/>
      </c>
      <c r="C1687" s="33"/>
      <c r="E1687" s="60"/>
      <c r="F1687" s="52"/>
      <c r="G1687" s="18"/>
      <c r="H1687" s="49"/>
      <c r="I1687" s="49"/>
      <c r="L1687" s="70"/>
      <c r="M1687" s="53"/>
    </row>
    <row r="1688" spans="1:13" x14ac:dyDescent="0.25">
      <c r="A1688" s="21" t="str">
        <f>IF(C1688="","",COUNTA($C$3:C1688))</f>
        <v/>
      </c>
      <c r="B1688" s="35" t="str">
        <f t="shared" si="42"/>
        <v/>
      </c>
      <c r="C1688" s="33"/>
      <c r="E1688" s="60"/>
      <c r="F1688" s="52"/>
      <c r="G1688" s="18"/>
      <c r="H1688" s="49"/>
      <c r="I1688" s="49"/>
      <c r="L1688" s="62"/>
      <c r="M1688" s="53"/>
    </row>
    <row r="1689" spans="1:13" x14ac:dyDescent="0.25">
      <c r="A1689" s="21" t="str">
        <f>IF(C1689="","",COUNTA($C$3:C1689))</f>
        <v/>
      </c>
      <c r="B1689" s="35" t="str">
        <f t="shared" si="42"/>
        <v/>
      </c>
      <c r="C1689" s="33"/>
      <c r="E1689" s="60"/>
      <c r="F1689" s="52"/>
      <c r="G1689" s="18"/>
      <c r="H1689" s="49"/>
      <c r="I1689" s="49"/>
      <c r="K1689" s="55"/>
      <c r="M1689" s="53"/>
    </row>
    <row r="1690" spans="1:13" x14ac:dyDescent="0.25">
      <c r="A1690" s="21" t="str">
        <f>IF(C1690="","",COUNTA($C$3:C1690))</f>
        <v/>
      </c>
      <c r="B1690" s="35" t="str">
        <f t="shared" si="42"/>
        <v/>
      </c>
      <c r="C1690" s="33"/>
      <c r="E1690" s="60"/>
      <c r="F1690" s="52"/>
      <c r="G1690" s="18"/>
      <c r="H1690" s="49"/>
      <c r="I1690" s="49"/>
      <c r="L1690" s="70"/>
      <c r="M1690" s="53"/>
    </row>
    <row r="1691" spans="1:13" x14ac:dyDescent="0.25">
      <c r="A1691" s="21" t="str">
        <f>IF(C1691="","",COUNTA($C$3:C1691))</f>
        <v/>
      </c>
      <c r="B1691" s="35" t="str">
        <f t="shared" si="42"/>
        <v/>
      </c>
      <c r="C1691" s="33"/>
      <c r="E1691" s="60"/>
      <c r="F1691" s="52"/>
      <c r="G1691" s="18"/>
      <c r="H1691" s="49"/>
      <c r="I1691" s="49"/>
      <c r="M1691" s="53"/>
    </row>
    <row r="1692" spans="1:13" x14ac:dyDescent="0.25">
      <c r="A1692" s="21" t="str">
        <f>IF(C1692="","",COUNTA($C$3:C1692))</f>
        <v/>
      </c>
      <c r="B1692" s="35" t="str">
        <f t="shared" si="42"/>
        <v/>
      </c>
      <c r="C1692" s="33"/>
      <c r="E1692" s="60"/>
      <c r="F1692" s="52"/>
      <c r="G1692" s="18"/>
      <c r="H1692" s="49"/>
      <c r="I1692" s="49"/>
      <c r="L1692" s="62"/>
      <c r="M1692" s="53"/>
    </row>
    <row r="1693" spans="1:13" x14ac:dyDescent="0.25">
      <c r="A1693" s="21" t="str">
        <f>IF(C1693="","",COUNTA($C$3:C1693))</f>
        <v/>
      </c>
      <c r="B1693" s="35" t="str">
        <f t="shared" si="42"/>
        <v/>
      </c>
      <c r="C1693" s="33"/>
      <c r="E1693" s="60"/>
      <c r="F1693" s="52"/>
      <c r="G1693" s="18"/>
      <c r="H1693" s="49"/>
      <c r="I1693" s="49"/>
      <c r="M1693" s="53"/>
    </row>
    <row r="1694" spans="1:13" x14ac:dyDescent="0.25">
      <c r="A1694" s="21" t="str">
        <f>IF(C1694="","",COUNTA($C$3:C1694))</f>
        <v/>
      </c>
      <c r="B1694" s="35" t="str">
        <f t="shared" si="42"/>
        <v/>
      </c>
      <c r="C1694" s="33"/>
      <c r="E1694" s="60"/>
      <c r="F1694" s="52"/>
      <c r="G1694" s="18"/>
      <c r="H1694" s="49"/>
      <c r="I1694" s="49"/>
      <c r="M1694" s="53"/>
    </row>
    <row r="1695" spans="1:13" x14ac:dyDescent="0.25">
      <c r="A1695" s="21" t="str">
        <f>IF(C1695="","",COUNTA($C$3:C1695))</f>
        <v/>
      </c>
      <c r="B1695" s="35" t="str">
        <f t="shared" si="42"/>
        <v/>
      </c>
      <c r="C1695" s="33"/>
      <c r="E1695" s="60"/>
      <c r="F1695" s="52"/>
      <c r="G1695" s="18"/>
      <c r="H1695" s="49"/>
      <c r="I1695" s="49"/>
      <c r="M1695" s="53"/>
    </row>
    <row r="1696" spans="1:13" x14ac:dyDescent="0.25">
      <c r="A1696" s="21" t="str">
        <f>IF(C1696="","",COUNTA($C$3:C1696))</f>
        <v/>
      </c>
      <c r="B1696" s="35" t="str">
        <f t="shared" si="42"/>
        <v/>
      </c>
      <c r="C1696" s="33"/>
      <c r="E1696" s="60"/>
      <c r="F1696" s="52"/>
      <c r="G1696" s="18"/>
      <c r="H1696" s="49"/>
      <c r="I1696" s="49"/>
      <c r="M1696" s="53"/>
    </row>
    <row r="1697" spans="1:15" x14ac:dyDescent="0.25">
      <c r="A1697" s="21" t="str">
        <f>IF(C1697="","",COUNTA($C$3:C1697))</f>
        <v/>
      </c>
      <c r="B1697" s="35" t="str">
        <f t="shared" si="42"/>
        <v/>
      </c>
      <c r="C1697" s="33"/>
      <c r="E1697" s="60"/>
      <c r="F1697" s="52"/>
      <c r="G1697" s="18"/>
      <c r="H1697" s="49"/>
      <c r="I1697" s="49"/>
      <c r="M1697" s="53"/>
    </row>
    <row r="1698" spans="1:15" x14ac:dyDescent="0.25">
      <c r="A1698" s="21" t="str">
        <f>IF(C1698="","",COUNTA($C$3:C1698))</f>
        <v/>
      </c>
      <c r="B1698" s="35" t="str">
        <f t="shared" si="42"/>
        <v/>
      </c>
      <c r="C1698" s="33"/>
      <c r="E1698" s="60"/>
      <c r="F1698" s="52"/>
      <c r="G1698" s="18"/>
      <c r="H1698" s="49"/>
      <c r="I1698" s="49"/>
      <c r="L1698" s="70"/>
      <c r="M1698" s="53"/>
    </row>
    <row r="1699" spans="1:15" x14ac:dyDescent="0.25">
      <c r="A1699" s="21" t="str">
        <f>IF(C1699="","",COUNTA($C$3:C1699))</f>
        <v/>
      </c>
      <c r="B1699" s="35" t="str">
        <f t="shared" si="42"/>
        <v/>
      </c>
      <c r="C1699" s="33"/>
      <c r="E1699" s="60"/>
      <c r="F1699" s="52"/>
      <c r="G1699" s="18"/>
      <c r="H1699" s="49"/>
      <c r="I1699" s="49"/>
      <c r="M1699" s="53"/>
      <c r="O1699" s="59"/>
    </row>
    <row r="1700" spans="1:15" x14ac:dyDescent="0.25">
      <c r="A1700" s="21" t="str">
        <f>IF(C1700="","",COUNTA($C$3:C1700))</f>
        <v/>
      </c>
      <c r="B1700" s="35" t="str">
        <f t="shared" si="42"/>
        <v/>
      </c>
      <c r="C1700" s="33"/>
      <c r="E1700" s="60"/>
      <c r="F1700" s="52"/>
      <c r="G1700" s="18"/>
      <c r="H1700" s="49"/>
      <c r="I1700" s="49"/>
      <c r="M1700" s="53"/>
      <c r="O1700" s="59"/>
    </row>
    <row r="1701" spans="1:15" x14ac:dyDescent="0.25">
      <c r="A1701" s="21" t="str">
        <f>IF(C1701="","",COUNTA($C$3:C1701))</f>
        <v/>
      </c>
      <c r="B1701" s="35" t="str">
        <f t="shared" si="42"/>
        <v/>
      </c>
      <c r="C1701" s="33"/>
      <c r="E1701" s="60"/>
      <c r="F1701" s="52"/>
      <c r="G1701" s="18"/>
      <c r="H1701" s="49"/>
      <c r="I1701" s="49"/>
      <c r="M1701" s="53"/>
      <c r="O1701" s="59"/>
    </row>
    <row r="1702" spans="1:15" x14ac:dyDescent="0.25">
      <c r="A1702" s="21" t="str">
        <f>IF(C1702="","",COUNTA($C$3:C1702))</f>
        <v/>
      </c>
      <c r="B1702" s="35" t="str">
        <f t="shared" si="42"/>
        <v/>
      </c>
      <c r="C1702" s="33"/>
      <c r="E1702" s="60"/>
      <c r="F1702" s="52"/>
      <c r="G1702" s="18"/>
      <c r="H1702" s="49"/>
      <c r="I1702" s="49"/>
      <c r="M1702" s="53"/>
      <c r="O1702" s="69"/>
    </row>
    <row r="1703" spans="1:15" x14ac:dyDescent="0.25">
      <c r="A1703" s="21" t="str">
        <f>IF(C1703="","",COUNTA($C$3:C1703))</f>
        <v/>
      </c>
      <c r="B1703" s="35" t="str">
        <f t="shared" si="42"/>
        <v/>
      </c>
      <c r="C1703" s="33"/>
      <c r="E1703" s="60"/>
      <c r="F1703" s="52"/>
      <c r="G1703" s="18"/>
      <c r="H1703" s="49"/>
      <c r="I1703" s="49"/>
      <c r="L1703" s="62"/>
      <c r="M1703" s="53"/>
      <c r="O1703" s="59"/>
    </row>
    <row r="1704" spans="1:15" x14ac:dyDescent="0.25">
      <c r="A1704" s="21" t="str">
        <f>IF(C1704="","",COUNTA($C$3:C1704))</f>
        <v/>
      </c>
      <c r="B1704" s="35" t="str">
        <f t="shared" si="42"/>
        <v/>
      </c>
      <c r="C1704" s="33"/>
      <c r="E1704" s="60"/>
      <c r="F1704" s="52"/>
      <c r="G1704" s="18"/>
      <c r="H1704" s="49"/>
      <c r="I1704" s="49"/>
      <c r="L1704" s="62"/>
      <c r="M1704" s="53"/>
    </row>
    <row r="1705" spans="1:15" x14ac:dyDescent="0.25">
      <c r="A1705" s="21" t="str">
        <f>IF(C1705="","",COUNTA($C$3:C1705))</f>
        <v/>
      </c>
      <c r="B1705" s="35" t="str">
        <f t="shared" si="42"/>
        <v/>
      </c>
      <c r="C1705" s="33"/>
      <c r="E1705" s="60"/>
      <c r="F1705" s="52"/>
      <c r="G1705" s="18"/>
      <c r="H1705" s="49"/>
      <c r="I1705" s="49"/>
      <c r="M1705" s="53"/>
    </row>
    <row r="1706" spans="1:15" x14ac:dyDescent="0.25">
      <c r="A1706" s="21" t="str">
        <f>IF(C1706="","",COUNTA($C$3:C1706))</f>
        <v/>
      </c>
      <c r="B1706" s="35" t="str">
        <f t="shared" si="42"/>
        <v/>
      </c>
      <c r="C1706" s="33"/>
      <c r="E1706" s="60"/>
      <c r="F1706" s="52"/>
      <c r="G1706" s="18"/>
      <c r="H1706" s="49"/>
      <c r="I1706" s="49"/>
      <c r="K1706" s="67"/>
      <c r="M1706" s="53"/>
    </row>
    <row r="1707" spans="1:15" x14ac:dyDescent="0.25">
      <c r="A1707" s="21" t="str">
        <f>IF(C1707="","",COUNTA($C$3:C1707))</f>
        <v/>
      </c>
      <c r="B1707" s="35" t="str">
        <f t="shared" si="42"/>
        <v/>
      </c>
      <c r="C1707" s="33"/>
      <c r="E1707" s="60"/>
      <c r="F1707" s="52"/>
      <c r="G1707" s="18"/>
      <c r="H1707" s="49"/>
      <c r="I1707" s="49"/>
      <c r="K1707" s="67"/>
      <c r="M1707" s="53"/>
    </row>
    <row r="1708" spans="1:15" x14ac:dyDescent="0.25">
      <c r="A1708" s="21" t="str">
        <f>IF(C1708="","",COUNTA($C$3:C1708))</f>
        <v/>
      </c>
      <c r="B1708" s="35" t="str">
        <f t="shared" si="42"/>
        <v/>
      </c>
      <c r="C1708" s="33"/>
      <c r="E1708" s="60"/>
      <c r="F1708" s="52"/>
      <c r="G1708" s="18"/>
      <c r="H1708" s="49"/>
      <c r="I1708" s="49"/>
      <c r="M1708" s="53"/>
    </row>
    <row r="1709" spans="1:15" x14ac:dyDescent="0.25">
      <c r="A1709" s="21" t="str">
        <f>IF(C1709="","",COUNTA($C$3:C1709))</f>
        <v/>
      </c>
      <c r="B1709" s="35" t="str">
        <f t="shared" si="42"/>
        <v/>
      </c>
      <c r="C1709" s="33"/>
      <c r="E1709" s="60"/>
      <c r="F1709" s="52"/>
      <c r="G1709" s="18"/>
      <c r="H1709" s="49"/>
      <c r="I1709" s="49"/>
      <c r="M1709" s="53"/>
    </row>
    <row r="1710" spans="1:15" x14ac:dyDescent="0.25">
      <c r="A1710" s="21" t="str">
        <f>IF(C1710="","",COUNTA($C$3:C1710))</f>
        <v/>
      </c>
      <c r="B1710" s="35" t="str">
        <f t="shared" si="42"/>
        <v/>
      </c>
      <c r="C1710" s="33"/>
      <c r="E1710" s="60"/>
      <c r="F1710" s="52"/>
      <c r="G1710" s="18"/>
      <c r="H1710" s="49"/>
      <c r="I1710" s="49"/>
      <c r="M1710" s="53"/>
    </row>
    <row r="1711" spans="1:15" x14ac:dyDescent="0.25">
      <c r="A1711" s="21" t="str">
        <f>IF(C1711="","",COUNTA($C$3:C1711))</f>
        <v/>
      </c>
      <c r="B1711" s="35" t="str">
        <f t="shared" si="42"/>
        <v/>
      </c>
      <c r="C1711" s="33"/>
      <c r="E1711" s="60"/>
      <c r="F1711" s="52"/>
      <c r="G1711" s="18"/>
      <c r="H1711" s="49"/>
      <c r="I1711" s="49"/>
      <c r="M1711" s="53"/>
    </row>
    <row r="1712" spans="1:15" x14ac:dyDescent="0.25">
      <c r="A1712" s="21" t="str">
        <f>IF(C1712="","",COUNTA($C$3:C1712))</f>
        <v/>
      </c>
      <c r="B1712" s="35" t="str">
        <f t="shared" si="42"/>
        <v/>
      </c>
      <c r="C1712" s="33"/>
      <c r="E1712" s="60"/>
      <c r="F1712" s="52"/>
      <c r="G1712" s="18"/>
      <c r="H1712" s="49"/>
      <c r="I1712" s="49"/>
      <c r="M1712" s="53"/>
    </row>
    <row r="1713" spans="1:17" x14ac:dyDescent="0.25">
      <c r="A1713" s="21" t="str">
        <f>IF(C1713="","",COUNTA($C$3:C1713))</f>
        <v/>
      </c>
      <c r="B1713" s="35" t="str">
        <f t="shared" si="42"/>
        <v/>
      </c>
      <c r="C1713" s="33"/>
      <c r="E1713" s="60"/>
      <c r="F1713" s="52"/>
      <c r="G1713" s="18"/>
      <c r="H1713" s="49"/>
      <c r="I1713" s="49"/>
      <c r="L1713" s="70"/>
      <c r="M1713" s="53"/>
      <c r="O1713" s="59"/>
      <c r="P1713" s="69"/>
      <c r="Q1713" s="59"/>
    </row>
    <row r="1714" spans="1:17" x14ac:dyDescent="0.25">
      <c r="A1714" s="21" t="str">
        <f>IF(C1714="","",COUNTA($C$3:C1714))</f>
        <v/>
      </c>
      <c r="B1714" s="35" t="str">
        <f t="shared" si="42"/>
        <v/>
      </c>
      <c r="C1714" s="33"/>
      <c r="E1714" s="60"/>
      <c r="F1714" s="52"/>
      <c r="G1714" s="18"/>
      <c r="H1714" s="49"/>
      <c r="I1714" s="49"/>
      <c r="L1714" s="70"/>
      <c r="M1714" s="53"/>
      <c r="O1714" s="59"/>
      <c r="P1714" s="112"/>
      <c r="Q1714" s="59"/>
    </row>
    <row r="1715" spans="1:17" x14ac:dyDescent="0.25">
      <c r="A1715" s="21" t="str">
        <f>IF(C1715="","",COUNTA($C$3:C1715))</f>
        <v/>
      </c>
      <c r="B1715" s="35" t="str">
        <f t="shared" si="42"/>
        <v/>
      </c>
      <c r="C1715" s="33"/>
      <c r="E1715" s="60"/>
      <c r="F1715" s="52"/>
      <c r="G1715" s="18"/>
      <c r="H1715" s="49"/>
      <c r="I1715" s="49"/>
      <c r="K1715" s="55"/>
      <c r="L1715" s="78"/>
      <c r="M1715" s="53"/>
    </row>
    <row r="1716" spans="1:17" x14ac:dyDescent="0.25">
      <c r="A1716" s="21" t="str">
        <f>IF(C1716="","",COUNTA($C$3:C1716))</f>
        <v/>
      </c>
      <c r="B1716" s="35" t="str">
        <f t="shared" si="42"/>
        <v/>
      </c>
      <c r="C1716" s="33"/>
      <c r="E1716" s="60"/>
      <c r="F1716" s="52"/>
      <c r="G1716" s="18"/>
      <c r="H1716" s="49"/>
      <c r="I1716" s="49"/>
      <c r="L1716" s="62"/>
      <c r="M1716" s="53"/>
    </row>
    <row r="1717" spans="1:17" x14ac:dyDescent="0.25">
      <c r="A1717" s="21" t="str">
        <f>IF(C1717="","",COUNTA($C$3:C1717))</f>
        <v/>
      </c>
      <c r="B1717" s="35" t="str">
        <f t="shared" si="42"/>
        <v/>
      </c>
      <c r="C1717" s="33"/>
      <c r="E1717" s="60"/>
      <c r="F1717" s="52"/>
      <c r="G1717" s="18"/>
      <c r="H1717" s="49"/>
      <c r="I1717" s="49"/>
      <c r="L1717" s="62"/>
      <c r="M1717" s="53"/>
    </row>
    <row r="1718" spans="1:17" x14ac:dyDescent="0.25">
      <c r="A1718" s="21" t="str">
        <f>IF(C1718="","",COUNTA($C$3:C1718))</f>
        <v/>
      </c>
      <c r="B1718" s="35" t="str">
        <f t="shared" si="42"/>
        <v/>
      </c>
      <c r="C1718" s="33"/>
      <c r="E1718" s="60"/>
      <c r="F1718" s="52"/>
      <c r="G1718" s="18"/>
      <c r="H1718" s="49"/>
      <c r="I1718" s="49"/>
      <c r="L1718" s="62"/>
      <c r="M1718" s="53"/>
    </row>
    <row r="1719" spans="1:17" x14ac:dyDescent="0.25">
      <c r="A1719" s="21" t="str">
        <f>IF(C1719="","",COUNTA($C$3:C1719))</f>
        <v/>
      </c>
      <c r="B1719" s="35" t="str">
        <f t="shared" si="42"/>
        <v/>
      </c>
      <c r="C1719" s="33"/>
      <c r="E1719" s="60"/>
      <c r="F1719" s="52"/>
      <c r="G1719" s="18"/>
      <c r="H1719" s="49"/>
      <c r="I1719" s="49"/>
      <c r="K1719" s="55"/>
      <c r="M1719" s="53"/>
    </row>
    <row r="1720" spans="1:17" x14ac:dyDescent="0.25">
      <c r="A1720" s="21" t="str">
        <f>IF(C1720="","",COUNTA($C$3:C1720))</f>
        <v/>
      </c>
      <c r="B1720" s="35" t="str">
        <f t="shared" si="42"/>
        <v/>
      </c>
      <c r="C1720" s="33"/>
      <c r="E1720" s="60"/>
      <c r="F1720" s="52"/>
      <c r="G1720" s="18"/>
      <c r="H1720" s="49"/>
      <c r="I1720" s="49"/>
      <c r="M1720" s="53"/>
    </row>
    <row r="1721" spans="1:17" x14ac:dyDescent="0.25">
      <c r="A1721" s="21" t="str">
        <f>IF(C1721="","",COUNTA($C$3:C1721))</f>
        <v/>
      </c>
      <c r="B1721" s="35" t="str">
        <f t="shared" si="42"/>
        <v/>
      </c>
      <c r="C1721" s="33"/>
      <c r="E1721" s="60"/>
      <c r="F1721" s="52"/>
      <c r="G1721" s="18"/>
      <c r="H1721" s="49"/>
      <c r="I1721" s="49"/>
      <c r="M1721" s="53"/>
    </row>
    <row r="1722" spans="1:17" x14ac:dyDescent="0.25">
      <c r="A1722" s="21" t="str">
        <f>IF(C1722="","",COUNTA($C$3:C1722))</f>
        <v/>
      </c>
      <c r="B1722" s="35" t="str">
        <f t="shared" si="42"/>
        <v/>
      </c>
      <c r="C1722" s="33"/>
      <c r="E1722" s="60"/>
      <c r="F1722" s="52"/>
      <c r="G1722" s="18"/>
      <c r="H1722" s="49"/>
      <c r="I1722" s="49"/>
      <c r="L1722" s="62"/>
      <c r="M1722" s="53"/>
    </row>
    <row r="1723" spans="1:17" x14ac:dyDescent="0.25">
      <c r="A1723" s="21" t="str">
        <f>IF(C1723="","",COUNTA($C$3:C1723))</f>
        <v/>
      </c>
      <c r="B1723" s="35" t="str">
        <f t="shared" si="42"/>
        <v/>
      </c>
      <c r="C1723" s="33"/>
      <c r="E1723" s="60"/>
      <c r="F1723" s="52"/>
      <c r="G1723" s="18"/>
      <c r="H1723" s="49"/>
      <c r="I1723" s="49"/>
      <c r="L1723" s="62"/>
      <c r="M1723" s="53"/>
    </row>
    <row r="1724" spans="1:17" x14ac:dyDescent="0.25">
      <c r="A1724" s="21" t="str">
        <f>IF(C1724="","",COUNTA($C$3:C1724))</f>
        <v/>
      </c>
      <c r="B1724" s="35" t="str">
        <f t="shared" si="42"/>
        <v/>
      </c>
      <c r="C1724" s="33"/>
      <c r="E1724" s="60"/>
      <c r="F1724" s="52"/>
      <c r="G1724" s="18"/>
      <c r="H1724" s="49"/>
      <c r="I1724" s="49"/>
      <c r="L1724" s="62"/>
      <c r="M1724" s="53"/>
    </row>
    <row r="1725" spans="1:17" x14ac:dyDescent="0.25">
      <c r="A1725" s="21" t="str">
        <f>IF(C1725="","",COUNTA($C$3:C1725))</f>
        <v/>
      </c>
      <c r="B1725" s="35" t="str">
        <f t="shared" si="42"/>
        <v/>
      </c>
      <c r="C1725" s="33"/>
      <c r="E1725" s="60"/>
      <c r="F1725" s="52"/>
      <c r="G1725" s="18"/>
      <c r="H1725" s="49"/>
      <c r="I1725" s="49"/>
      <c r="K1725" s="55"/>
      <c r="L1725" s="62"/>
      <c r="M1725" s="53"/>
    </row>
    <row r="1726" spans="1:17" x14ac:dyDescent="0.25">
      <c r="A1726" s="21" t="str">
        <f>IF(C1726="","",COUNTA($C$3:C1726))</f>
        <v/>
      </c>
      <c r="B1726" s="35" t="str">
        <f t="shared" si="42"/>
        <v/>
      </c>
      <c r="C1726" s="33"/>
      <c r="E1726" s="60"/>
      <c r="F1726" s="52"/>
      <c r="G1726" s="18"/>
      <c r="H1726" s="49"/>
      <c r="I1726" s="49"/>
      <c r="L1726" s="62"/>
      <c r="M1726" s="53"/>
    </row>
    <row r="1727" spans="1:17" x14ac:dyDescent="0.25">
      <c r="A1727" s="21" t="str">
        <f>IF(C1727="","",COUNTA($C$3:C1727))</f>
        <v/>
      </c>
      <c r="B1727" s="35" t="str">
        <f t="shared" si="42"/>
        <v/>
      </c>
      <c r="C1727" s="33"/>
      <c r="E1727" s="60"/>
      <c r="F1727" s="52"/>
      <c r="G1727" s="18"/>
      <c r="H1727" s="49"/>
      <c r="I1727" s="49"/>
      <c r="L1727" s="62"/>
      <c r="M1727" s="53"/>
      <c r="O1727" s="59"/>
      <c r="P1727" s="69"/>
      <c r="Q1727" s="59"/>
    </row>
    <row r="1728" spans="1:17" x14ac:dyDescent="0.25">
      <c r="A1728" s="21" t="str">
        <f>IF(C1728="","",COUNTA($C$3:C1728))</f>
        <v/>
      </c>
      <c r="B1728" s="35" t="str">
        <f t="shared" si="42"/>
        <v/>
      </c>
      <c r="C1728" s="33"/>
      <c r="E1728" s="60"/>
      <c r="F1728" s="52"/>
      <c r="G1728" s="18"/>
      <c r="H1728" s="49"/>
      <c r="I1728" s="49"/>
      <c r="L1728" s="62"/>
      <c r="M1728" s="53"/>
      <c r="O1728" s="59"/>
      <c r="P1728" s="69"/>
      <c r="Q1728" s="59"/>
    </row>
    <row r="1729" spans="1:15" x14ac:dyDescent="0.25">
      <c r="A1729" s="21" t="str">
        <f>IF(C1729="","",COUNTA($C$3:C1729))</f>
        <v/>
      </c>
      <c r="B1729" s="35" t="str">
        <f t="shared" si="42"/>
        <v/>
      </c>
      <c r="C1729" s="33"/>
      <c r="E1729" s="60"/>
      <c r="F1729" s="52"/>
      <c r="G1729" s="18"/>
      <c r="H1729" s="49"/>
      <c r="I1729" s="49"/>
      <c r="M1729" s="53"/>
    </row>
    <row r="1730" spans="1:15" x14ac:dyDescent="0.25">
      <c r="A1730" s="21" t="str">
        <f>IF(C1730="","",COUNTA($C$3:C1730))</f>
        <v/>
      </c>
      <c r="B1730" s="35" t="str">
        <f t="shared" si="42"/>
        <v/>
      </c>
      <c r="C1730" s="33"/>
      <c r="E1730" s="60"/>
      <c r="F1730" s="52"/>
      <c r="G1730" s="18"/>
      <c r="H1730" s="49"/>
      <c r="I1730" s="49"/>
      <c r="M1730" s="53"/>
    </row>
    <row r="1731" spans="1:15" x14ac:dyDescent="0.25">
      <c r="A1731" s="21" t="str">
        <f>IF(C1731="","",COUNTA($C$3:C1731))</f>
        <v/>
      </c>
      <c r="B1731" s="35" t="str">
        <f t="shared" si="42"/>
        <v/>
      </c>
      <c r="C1731" s="33"/>
      <c r="E1731" s="60"/>
      <c r="F1731" s="52"/>
      <c r="G1731" s="18"/>
      <c r="H1731" s="49"/>
      <c r="I1731" s="49"/>
      <c r="M1731" s="53"/>
    </row>
    <row r="1732" spans="1:15" x14ac:dyDescent="0.25">
      <c r="A1732" s="21" t="str">
        <f>IF(C1732="","",COUNTA($C$3:C1732))</f>
        <v/>
      </c>
      <c r="B1732" s="35" t="str">
        <f t="shared" si="42"/>
        <v/>
      </c>
      <c r="C1732" s="33"/>
      <c r="E1732" s="60"/>
      <c r="F1732" s="52"/>
      <c r="G1732" s="18"/>
      <c r="H1732" s="49"/>
      <c r="I1732" s="49"/>
      <c r="M1732" s="53"/>
    </row>
    <row r="1733" spans="1:15" x14ac:dyDescent="0.25">
      <c r="A1733" s="21" t="str">
        <f>IF(C1733="","",COUNTA($C$3:C1733))</f>
        <v/>
      </c>
      <c r="B1733" s="35" t="str">
        <f t="shared" ref="B1733:B1796" si="43">IF(C1733="","",TEXT(C1733,"mmmm"))</f>
        <v/>
      </c>
      <c r="C1733" s="33"/>
      <c r="E1733" s="60"/>
      <c r="F1733" s="52"/>
      <c r="G1733" s="18"/>
      <c r="H1733" s="49"/>
      <c r="I1733" s="49"/>
      <c r="L1733" s="70"/>
      <c r="M1733" s="53"/>
    </row>
    <row r="1734" spans="1:15" x14ac:dyDescent="0.25">
      <c r="A1734" s="21" t="str">
        <f>IF(C1734="","",COUNTA($C$3:C1734))</f>
        <v/>
      </c>
      <c r="B1734" s="35" t="str">
        <f t="shared" si="43"/>
        <v/>
      </c>
      <c r="C1734" s="33"/>
      <c r="E1734" s="60"/>
      <c r="F1734" s="52"/>
      <c r="G1734" s="18"/>
      <c r="H1734" s="49"/>
      <c r="I1734" s="49"/>
      <c r="L1734" s="70"/>
      <c r="M1734" s="53"/>
    </row>
    <row r="1735" spans="1:15" x14ac:dyDescent="0.25">
      <c r="A1735" s="21" t="str">
        <f>IF(C1735="","",COUNTA($C$3:C1735))</f>
        <v/>
      </c>
      <c r="B1735" s="35" t="str">
        <f t="shared" si="43"/>
        <v/>
      </c>
      <c r="C1735" s="33"/>
      <c r="E1735" s="60"/>
      <c r="F1735" s="52"/>
      <c r="G1735" s="18"/>
      <c r="H1735" s="49"/>
      <c r="I1735" s="49"/>
      <c r="L1735" s="62"/>
      <c r="M1735" s="53"/>
    </row>
    <row r="1736" spans="1:15" x14ac:dyDescent="0.25">
      <c r="A1736" s="21" t="str">
        <f>IF(C1736="","",COUNTA($C$3:C1736))</f>
        <v/>
      </c>
      <c r="B1736" s="35" t="str">
        <f t="shared" si="43"/>
        <v/>
      </c>
      <c r="C1736" s="33"/>
      <c r="E1736" s="60"/>
      <c r="F1736" s="52"/>
      <c r="G1736" s="18"/>
      <c r="H1736" s="49"/>
      <c r="I1736" s="49"/>
      <c r="L1736" s="62"/>
      <c r="M1736" s="53"/>
    </row>
    <row r="1737" spans="1:15" x14ac:dyDescent="0.25">
      <c r="A1737" s="21" t="str">
        <f>IF(C1737="","",COUNTA($C$3:C1737))</f>
        <v/>
      </c>
      <c r="B1737" s="35" t="str">
        <f t="shared" si="43"/>
        <v/>
      </c>
      <c r="C1737" s="33"/>
      <c r="E1737" s="60"/>
      <c r="F1737" s="52"/>
      <c r="G1737" s="18"/>
      <c r="H1737" s="49"/>
      <c r="I1737" s="49"/>
      <c r="K1737" s="55"/>
      <c r="L1737" s="78"/>
      <c r="M1737" s="53"/>
    </row>
    <row r="1738" spans="1:15" x14ac:dyDescent="0.25">
      <c r="A1738" s="21" t="str">
        <f>IF(C1738="","",COUNTA($C$3:C1738))</f>
        <v/>
      </c>
      <c r="B1738" s="35" t="str">
        <f t="shared" si="43"/>
        <v/>
      </c>
      <c r="C1738" s="33"/>
      <c r="E1738" s="60"/>
      <c r="F1738" s="52"/>
      <c r="G1738" s="18"/>
      <c r="H1738" s="49"/>
      <c r="I1738" s="49"/>
      <c r="L1738" s="62"/>
      <c r="M1738" s="53"/>
    </row>
    <row r="1739" spans="1:15" x14ac:dyDescent="0.25">
      <c r="A1739" s="21" t="str">
        <f>IF(C1739="","",COUNTA($C$3:C1739))</f>
        <v/>
      </c>
      <c r="B1739" s="35" t="str">
        <f t="shared" si="43"/>
        <v/>
      </c>
      <c r="C1739" s="33"/>
      <c r="E1739" s="60"/>
      <c r="F1739" s="52"/>
      <c r="G1739" s="18"/>
      <c r="H1739" s="49"/>
      <c r="I1739" s="49"/>
      <c r="L1739" s="78"/>
      <c r="M1739" s="53"/>
    </row>
    <row r="1740" spans="1:15" x14ac:dyDescent="0.25">
      <c r="A1740" s="21" t="str">
        <f>IF(C1740="","",COUNTA($C$3:C1740))</f>
        <v/>
      </c>
      <c r="B1740" s="35" t="str">
        <f t="shared" si="43"/>
        <v/>
      </c>
      <c r="C1740" s="33"/>
      <c r="E1740" s="60"/>
      <c r="F1740" s="52"/>
      <c r="G1740" s="18"/>
      <c r="H1740" s="49"/>
      <c r="I1740" s="49"/>
      <c r="L1740" s="70"/>
      <c r="M1740" s="53"/>
    </row>
    <row r="1741" spans="1:15" x14ac:dyDescent="0.25">
      <c r="A1741" s="21" t="str">
        <f>IF(C1741="","",COUNTA($C$3:C1741))</f>
        <v/>
      </c>
      <c r="B1741" s="35" t="str">
        <f t="shared" si="43"/>
        <v/>
      </c>
      <c r="C1741" s="33"/>
      <c r="E1741" s="60"/>
      <c r="F1741" s="52"/>
      <c r="G1741" s="18"/>
      <c r="H1741" s="49"/>
      <c r="I1741" s="49"/>
      <c r="L1741" s="70"/>
      <c r="M1741" s="53"/>
    </row>
    <row r="1742" spans="1:15" x14ac:dyDescent="0.25">
      <c r="A1742" s="21" t="str">
        <f>IF(C1742="","",COUNTA($C$3:C1742))</f>
        <v/>
      </c>
      <c r="B1742" s="35" t="str">
        <f t="shared" si="43"/>
        <v/>
      </c>
      <c r="C1742" s="33"/>
      <c r="E1742" s="60"/>
      <c r="F1742" s="52"/>
      <c r="G1742" s="18"/>
      <c r="H1742" s="49"/>
      <c r="I1742" s="76"/>
      <c r="K1742" s="67"/>
      <c r="L1742" s="62"/>
      <c r="M1742" s="53"/>
    </row>
    <row r="1743" spans="1:15" x14ac:dyDescent="0.25">
      <c r="A1743" s="21" t="str">
        <f>IF(C1743="","",COUNTA($C$3:C1743))</f>
        <v/>
      </c>
      <c r="B1743" s="35" t="str">
        <f t="shared" si="43"/>
        <v/>
      </c>
      <c r="C1743" s="33"/>
      <c r="E1743" s="60"/>
      <c r="F1743" s="52"/>
      <c r="G1743" s="18"/>
      <c r="H1743" s="49"/>
      <c r="I1743" s="49"/>
      <c r="M1743" s="53"/>
      <c r="O1743" s="59"/>
    </row>
    <row r="1744" spans="1:15" x14ac:dyDescent="0.25">
      <c r="A1744" s="21" t="str">
        <f>IF(C1744="","",COUNTA($C$3:C1744))</f>
        <v/>
      </c>
      <c r="B1744" s="35" t="str">
        <f t="shared" si="43"/>
        <v/>
      </c>
      <c r="C1744" s="33"/>
      <c r="E1744" s="60"/>
      <c r="F1744" s="52"/>
      <c r="G1744" s="18"/>
      <c r="H1744" s="49"/>
      <c r="I1744" s="49"/>
      <c r="M1744" s="53"/>
      <c r="O1744" s="59"/>
    </row>
    <row r="1745" spans="1:15" x14ac:dyDescent="0.25">
      <c r="A1745" s="21" t="str">
        <f>IF(C1745="","",COUNTA($C$3:C1745))</f>
        <v/>
      </c>
      <c r="B1745" s="35" t="str">
        <f t="shared" si="43"/>
        <v/>
      </c>
      <c r="C1745" s="33"/>
      <c r="E1745" s="60"/>
      <c r="F1745" s="52"/>
      <c r="G1745" s="18"/>
      <c r="H1745" s="49"/>
      <c r="I1745" s="49"/>
      <c r="M1745" s="53"/>
      <c r="O1745" s="59"/>
    </row>
    <row r="1746" spans="1:15" x14ac:dyDescent="0.25">
      <c r="A1746" s="21" t="str">
        <f>IF(C1746="","",COUNTA($C$3:C1746))</f>
        <v/>
      </c>
      <c r="B1746" s="35" t="str">
        <f t="shared" si="43"/>
        <v/>
      </c>
      <c r="C1746" s="33"/>
      <c r="E1746" s="60"/>
      <c r="F1746" s="52"/>
      <c r="G1746" s="18"/>
      <c r="H1746" s="49"/>
      <c r="I1746" s="49"/>
      <c r="M1746" s="53"/>
      <c r="O1746" s="59"/>
    </row>
    <row r="1747" spans="1:15" x14ac:dyDescent="0.25">
      <c r="A1747" s="21" t="str">
        <f>IF(C1747="","",COUNTA($C$3:C1747))</f>
        <v/>
      </c>
      <c r="B1747" s="35" t="str">
        <f t="shared" si="43"/>
        <v/>
      </c>
      <c r="C1747" s="33"/>
      <c r="E1747" s="60"/>
      <c r="F1747" s="52"/>
      <c r="G1747" s="18"/>
      <c r="H1747" s="49"/>
      <c r="I1747" s="49"/>
      <c r="L1747" s="62"/>
      <c r="M1747" s="53"/>
    </row>
    <row r="1748" spans="1:15" x14ac:dyDescent="0.25">
      <c r="A1748" s="21" t="str">
        <f>IF(C1748="","",COUNTA($C$3:C1748))</f>
        <v/>
      </c>
      <c r="B1748" s="35" t="str">
        <f t="shared" si="43"/>
        <v/>
      </c>
      <c r="C1748" s="33"/>
      <c r="E1748" s="60"/>
      <c r="F1748" s="52"/>
      <c r="G1748" s="18"/>
      <c r="H1748" s="49"/>
      <c r="I1748" s="49"/>
      <c r="L1748" s="70"/>
      <c r="M1748" s="53"/>
    </row>
    <row r="1749" spans="1:15" x14ac:dyDescent="0.25">
      <c r="A1749" s="21" t="str">
        <f>IF(C1749="","",COUNTA($C$3:C1749))</f>
        <v/>
      </c>
      <c r="B1749" s="35" t="str">
        <f t="shared" si="43"/>
        <v/>
      </c>
      <c r="C1749" s="33"/>
      <c r="E1749" s="60"/>
      <c r="F1749" s="52"/>
      <c r="G1749" s="18"/>
      <c r="H1749" s="49"/>
      <c r="I1749" s="49"/>
      <c r="L1749" s="62"/>
      <c r="M1749" s="53"/>
    </row>
    <row r="1750" spans="1:15" x14ac:dyDescent="0.25">
      <c r="A1750" s="21" t="str">
        <f>IF(C1750="","",COUNTA($C$3:C1750))</f>
        <v/>
      </c>
      <c r="B1750" s="35" t="str">
        <f t="shared" si="43"/>
        <v/>
      </c>
      <c r="C1750" s="33"/>
      <c r="E1750" s="60"/>
      <c r="F1750" s="52"/>
      <c r="G1750" s="18"/>
      <c r="H1750" s="49"/>
      <c r="I1750" s="49"/>
      <c r="L1750" s="70"/>
      <c r="M1750" s="53"/>
    </row>
    <row r="1751" spans="1:15" x14ac:dyDescent="0.25">
      <c r="A1751" s="21" t="str">
        <f>IF(C1751="","",COUNTA($C$3:C1751))</f>
        <v/>
      </c>
      <c r="B1751" s="35" t="str">
        <f t="shared" si="43"/>
        <v/>
      </c>
      <c r="C1751" s="33"/>
      <c r="E1751" s="60"/>
      <c r="F1751" s="52"/>
      <c r="G1751" s="18"/>
      <c r="H1751" s="49"/>
      <c r="I1751" s="49"/>
      <c r="L1751" s="70"/>
      <c r="M1751" s="53"/>
    </row>
    <row r="1752" spans="1:15" x14ac:dyDescent="0.25">
      <c r="A1752" s="21" t="str">
        <f>IF(C1752="","",COUNTA($C$3:C1752))</f>
        <v/>
      </c>
      <c r="B1752" s="35" t="str">
        <f t="shared" si="43"/>
        <v/>
      </c>
      <c r="C1752" s="33"/>
      <c r="E1752" s="60"/>
      <c r="F1752" s="52"/>
      <c r="G1752" s="18"/>
      <c r="H1752" s="49"/>
      <c r="I1752" s="49"/>
      <c r="L1752" s="70"/>
      <c r="M1752" s="53"/>
    </row>
    <row r="1753" spans="1:15" x14ac:dyDescent="0.25">
      <c r="A1753" s="21" t="str">
        <f>IF(C1753="","",COUNTA($C$3:C1753))</f>
        <v/>
      </c>
      <c r="B1753" s="35" t="str">
        <f t="shared" si="43"/>
        <v/>
      </c>
      <c r="C1753" s="33"/>
      <c r="E1753" s="60"/>
      <c r="F1753" s="52"/>
      <c r="G1753" s="18"/>
      <c r="H1753" s="49"/>
      <c r="I1753" s="76"/>
      <c r="M1753" s="53"/>
    </row>
    <row r="1754" spans="1:15" x14ac:dyDescent="0.25">
      <c r="A1754" s="21" t="str">
        <f>IF(C1754="","",COUNTA($C$3:C1754))</f>
        <v/>
      </c>
      <c r="B1754" s="35" t="str">
        <f t="shared" si="43"/>
        <v/>
      </c>
      <c r="C1754" s="33"/>
      <c r="E1754" s="60"/>
      <c r="F1754" s="52"/>
      <c r="G1754" s="18"/>
      <c r="H1754" s="49"/>
      <c r="I1754" s="49"/>
      <c r="L1754" s="70"/>
      <c r="M1754" s="53"/>
    </row>
    <row r="1755" spans="1:15" x14ac:dyDescent="0.25">
      <c r="A1755" s="21" t="str">
        <f>IF(C1755="","",COUNTA($C$3:C1755))</f>
        <v/>
      </c>
      <c r="B1755" s="35" t="str">
        <f t="shared" si="43"/>
        <v/>
      </c>
      <c r="C1755" s="33"/>
      <c r="E1755" s="60"/>
      <c r="F1755" s="52"/>
      <c r="G1755" s="18"/>
      <c r="H1755" s="49"/>
      <c r="I1755" s="49"/>
      <c r="L1755" s="70"/>
      <c r="M1755" s="53"/>
    </row>
    <row r="1756" spans="1:15" x14ac:dyDescent="0.25">
      <c r="A1756" s="21" t="str">
        <f>IF(C1756="","",COUNTA($C$3:C1756))</f>
        <v/>
      </c>
      <c r="B1756" s="35" t="str">
        <f t="shared" si="43"/>
        <v/>
      </c>
      <c r="C1756" s="33"/>
      <c r="E1756" s="60"/>
      <c r="F1756" s="52"/>
      <c r="G1756" s="18"/>
      <c r="H1756" s="49"/>
      <c r="I1756" s="49"/>
      <c r="L1756" s="62"/>
      <c r="M1756" s="53"/>
      <c r="O1756" s="59"/>
    </row>
    <row r="1757" spans="1:15" x14ac:dyDescent="0.25">
      <c r="A1757" s="21" t="str">
        <f>IF(C1757="","",COUNTA($C$3:C1757))</f>
        <v/>
      </c>
      <c r="B1757" s="35" t="str">
        <f t="shared" si="43"/>
        <v/>
      </c>
      <c r="C1757" s="33"/>
      <c r="E1757" s="60"/>
      <c r="F1757" s="52"/>
      <c r="G1757" s="18"/>
      <c r="H1757" s="49"/>
      <c r="I1757" s="49"/>
      <c r="L1757" s="62"/>
      <c r="M1757" s="53"/>
      <c r="N1757" s="69"/>
    </row>
    <row r="1758" spans="1:15" x14ac:dyDescent="0.25">
      <c r="A1758" s="21" t="str">
        <f>IF(C1758="","",COUNTA($C$3:C1758))</f>
        <v/>
      </c>
      <c r="B1758" s="35" t="str">
        <f t="shared" si="43"/>
        <v/>
      </c>
      <c r="C1758" s="33"/>
      <c r="E1758" s="60"/>
      <c r="F1758" s="52"/>
      <c r="G1758" s="18"/>
      <c r="H1758" s="49"/>
      <c r="I1758" s="49"/>
      <c r="L1758" s="62"/>
      <c r="M1758" s="53"/>
    </row>
    <row r="1759" spans="1:15" x14ac:dyDescent="0.25">
      <c r="A1759" s="21" t="str">
        <f>IF(C1759="","",COUNTA($C$3:C1759))</f>
        <v/>
      </c>
      <c r="B1759" s="35" t="str">
        <f t="shared" si="43"/>
        <v/>
      </c>
      <c r="C1759" s="33"/>
      <c r="E1759" s="60"/>
      <c r="F1759" s="52"/>
      <c r="G1759" s="18"/>
      <c r="H1759" s="49"/>
      <c r="I1759" s="49"/>
      <c r="K1759" s="55"/>
      <c r="L1759" s="62"/>
      <c r="M1759" s="53"/>
    </row>
    <row r="1760" spans="1:15" x14ac:dyDescent="0.25">
      <c r="A1760" s="21" t="str">
        <f>IF(C1760="","",COUNTA($C$3:C1760))</f>
        <v/>
      </c>
      <c r="B1760" s="35" t="str">
        <f t="shared" si="43"/>
        <v/>
      </c>
      <c r="C1760" s="33"/>
      <c r="E1760" s="60"/>
      <c r="F1760" s="52"/>
      <c r="G1760" s="18"/>
      <c r="H1760" s="49"/>
      <c r="I1760" s="49"/>
      <c r="L1760" s="62"/>
      <c r="M1760" s="53"/>
    </row>
    <row r="1761" spans="1:17" x14ac:dyDescent="0.25">
      <c r="A1761" s="21" t="str">
        <f>IF(C1761="","",COUNTA($C$3:C1761))</f>
        <v/>
      </c>
      <c r="B1761" s="35" t="str">
        <f t="shared" si="43"/>
        <v/>
      </c>
      <c r="C1761" s="33"/>
      <c r="E1761" s="60"/>
      <c r="F1761" s="52"/>
      <c r="G1761" s="18"/>
      <c r="H1761" s="49"/>
      <c r="I1761" s="49"/>
      <c r="K1761" s="55"/>
      <c r="L1761" s="62"/>
      <c r="M1761" s="53"/>
      <c r="O1761" s="59"/>
      <c r="P1761" s="69"/>
      <c r="Q1761" s="59"/>
    </row>
    <row r="1762" spans="1:17" x14ac:dyDescent="0.25">
      <c r="A1762" s="21" t="str">
        <f>IF(C1762="","",COUNTA($C$3:C1762))</f>
        <v/>
      </c>
      <c r="B1762" s="35" t="str">
        <f t="shared" si="43"/>
        <v/>
      </c>
      <c r="C1762" s="33"/>
      <c r="E1762" s="60"/>
      <c r="F1762" s="52"/>
      <c r="G1762" s="18"/>
      <c r="H1762" s="49"/>
      <c r="I1762" s="49"/>
      <c r="M1762" s="53"/>
      <c r="O1762" s="59"/>
      <c r="P1762" s="59"/>
      <c r="Q1762" s="59"/>
    </row>
    <row r="1763" spans="1:17" x14ac:dyDescent="0.25">
      <c r="A1763" s="21" t="str">
        <f>IF(C1763="","",COUNTA($C$3:C1763))</f>
        <v/>
      </c>
      <c r="B1763" s="35" t="str">
        <f t="shared" si="43"/>
        <v/>
      </c>
      <c r="C1763" s="33"/>
      <c r="E1763" s="60"/>
      <c r="F1763" s="52"/>
      <c r="G1763" s="18"/>
      <c r="H1763" s="49"/>
      <c r="I1763" s="49"/>
      <c r="L1763" s="70"/>
      <c r="M1763" s="53"/>
      <c r="O1763" s="59"/>
      <c r="P1763" s="69"/>
      <c r="Q1763" s="59"/>
    </row>
    <row r="1764" spans="1:17" x14ac:dyDescent="0.25">
      <c r="A1764" s="21" t="str">
        <f>IF(C1764="","",COUNTA($C$3:C1764))</f>
        <v/>
      </c>
      <c r="B1764" s="35" t="str">
        <f t="shared" si="43"/>
        <v/>
      </c>
      <c r="C1764" s="33"/>
      <c r="E1764" s="60"/>
      <c r="F1764" s="52"/>
      <c r="G1764" s="18"/>
      <c r="H1764" s="49"/>
      <c r="I1764" s="49"/>
      <c r="L1764" s="70"/>
      <c r="M1764" s="53"/>
      <c r="O1764" s="59"/>
      <c r="P1764" s="59"/>
      <c r="Q1764" s="59"/>
    </row>
    <row r="1765" spans="1:17" x14ac:dyDescent="0.25">
      <c r="A1765" s="21" t="str">
        <f>IF(C1765="","",COUNTA($C$3:C1765))</f>
        <v/>
      </c>
      <c r="B1765" s="35" t="str">
        <f t="shared" si="43"/>
        <v/>
      </c>
      <c r="C1765" s="33"/>
      <c r="E1765" s="60"/>
      <c r="F1765" s="52"/>
      <c r="G1765" s="18"/>
      <c r="H1765" s="49"/>
      <c r="I1765" s="49"/>
      <c r="L1765" s="70"/>
      <c r="M1765" s="53"/>
      <c r="O1765" s="59"/>
      <c r="P1765" s="114"/>
      <c r="Q1765" s="59"/>
    </row>
    <row r="1766" spans="1:17" x14ac:dyDescent="0.25">
      <c r="A1766" s="21" t="str">
        <f>IF(C1766="","",COUNTA($C$3:C1766))</f>
        <v/>
      </c>
      <c r="B1766" s="35" t="str">
        <f t="shared" si="43"/>
        <v/>
      </c>
      <c r="C1766" s="33"/>
      <c r="E1766" s="60"/>
      <c r="F1766" s="52"/>
      <c r="G1766" s="18"/>
      <c r="H1766" s="49"/>
      <c r="I1766" s="49"/>
      <c r="L1766" s="70"/>
      <c r="M1766" s="53"/>
    </row>
    <row r="1767" spans="1:17" x14ac:dyDescent="0.25">
      <c r="A1767" s="21" t="str">
        <f>IF(C1767="","",COUNTA($C$3:C1767))</f>
        <v/>
      </c>
      <c r="B1767" s="35" t="str">
        <f t="shared" si="43"/>
        <v/>
      </c>
      <c r="C1767" s="33"/>
      <c r="E1767" s="60"/>
      <c r="F1767" s="52"/>
      <c r="G1767" s="18"/>
      <c r="H1767" s="49"/>
      <c r="I1767" s="49"/>
      <c r="M1767" s="53"/>
    </row>
    <row r="1768" spans="1:17" x14ac:dyDescent="0.25">
      <c r="A1768" s="21" t="str">
        <f>IF(C1768="","",COUNTA($C$3:C1768))</f>
        <v/>
      </c>
      <c r="B1768" s="35" t="str">
        <f t="shared" si="43"/>
        <v/>
      </c>
      <c r="C1768" s="33"/>
      <c r="E1768" s="60"/>
      <c r="F1768" s="52"/>
      <c r="G1768" s="18"/>
      <c r="H1768" s="49"/>
      <c r="I1768" s="49"/>
      <c r="M1768" s="53"/>
    </row>
    <row r="1769" spans="1:17" x14ac:dyDescent="0.25">
      <c r="A1769" s="21" t="str">
        <f>IF(C1769="","",COUNTA($C$3:C1769))</f>
        <v/>
      </c>
      <c r="B1769" s="35" t="str">
        <f t="shared" si="43"/>
        <v/>
      </c>
      <c r="C1769" s="33"/>
      <c r="E1769" s="60"/>
      <c r="F1769" s="52"/>
      <c r="G1769" s="18"/>
      <c r="H1769" s="49"/>
      <c r="I1769" s="49"/>
      <c r="M1769" s="53"/>
    </row>
    <row r="1770" spans="1:17" x14ac:dyDescent="0.25">
      <c r="A1770" s="21" t="str">
        <f>IF(C1770="","",COUNTA($C$3:C1770))</f>
        <v/>
      </c>
      <c r="B1770" s="35" t="str">
        <f t="shared" si="43"/>
        <v/>
      </c>
      <c r="C1770" s="33"/>
      <c r="E1770" s="60"/>
      <c r="F1770" s="52"/>
      <c r="G1770" s="18"/>
      <c r="H1770" s="49"/>
      <c r="I1770" s="49"/>
      <c r="M1770" s="53"/>
    </row>
    <row r="1771" spans="1:17" x14ac:dyDescent="0.25">
      <c r="A1771" s="21" t="str">
        <f>IF(C1771="","",COUNTA($C$3:C1771))</f>
        <v/>
      </c>
      <c r="B1771" s="35" t="str">
        <f t="shared" si="43"/>
        <v/>
      </c>
      <c r="C1771" s="33"/>
      <c r="E1771" s="60"/>
      <c r="F1771" s="52"/>
      <c r="G1771" s="18"/>
      <c r="H1771" s="49"/>
      <c r="I1771" s="49"/>
      <c r="M1771" s="53"/>
    </row>
    <row r="1772" spans="1:17" x14ac:dyDescent="0.25">
      <c r="A1772" s="21" t="str">
        <f>IF(C1772="","",COUNTA($C$3:C1772))</f>
        <v/>
      </c>
      <c r="B1772" s="35" t="str">
        <f t="shared" si="43"/>
        <v/>
      </c>
      <c r="C1772" s="33"/>
      <c r="E1772" s="60"/>
      <c r="F1772" s="52"/>
      <c r="G1772" s="18"/>
      <c r="H1772" s="49"/>
      <c r="I1772" s="49"/>
      <c r="M1772" s="53"/>
    </row>
    <row r="1773" spans="1:17" x14ac:dyDescent="0.25">
      <c r="A1773" s="21" t="str">
        <f>IF(C1773="","",COUNTA($C$3:C1773))</f>
        <v/>
      </c>
      <c r="B1773" s="35" t="str">
        <f t="shared" si="43"/>
        <v/>
      </c>
      <c r="C1773" s="33"/>
      <c r="E1773" s="60"/>
      <c r="F1773" s="52"/>
      <c r="G1773" s="18"/>
      <c r="H1773" s="49"/>
      <c r="I1773" s="49"/>
      <c r="M1773" s="53"/>
    </row>
    <row r="1774" spans="1:17" x14ac:dyDescent="0.25">
      <c r="A1774" s="21" t="str">
        <f>IF(C1774="","",COUNTA($C$3:C1774))</f>
        <v/>
      </c>
      <c r="B1774" s="35" t="str">
        <f t="shared" si="43"/>
        <v/>
      </c>
      <c r="C1774" s="33"/>
      <c r="E1774" s="60"/>
      <c r="F1774" s="52"/>
      <c r="G1774" s="18"/>
      <c r="H1774" s="49"/>
      <c r="I1774" s="49"/>
      <c r="M1774" s="53"/>
    </row>
    <row r="1775" spans="1:17" x14ac:dyDescent="0.25">
      <c r="A1775" s="21" t="str">
        <f>IF(C1775="","",COUNTA($C$3:C1775))</f>
        <v/>
      </c>
      <c r="B1775" s="35" t="str">
        <f t="shared" si="43"/>
        <v/>
      </c>
      <c r="C1775" s="33"/>
      <c r="E1775" s="60"/>
      <c r="F1775" s="52"/>
      <c r="G1775" s="18"/>
      <c r="H1775" s="49"/>
      <c r="I1775" s="49"/>
      <c r="M1775" s="53"/>
    </row>
    <row r="1776" spans="1:17" x14ac:dyDescent="0.25">
      <c r="A1776" s="21" t="str">
        <f>IF(C1776="","",COUNTA($C$3:C1776))</f>
        <v/>
      </c>
      <c r="B1776" s="35" t="str">
        <f t="shared" si="43"/>
        <v/>
      </c>
      <c r="C1776" s="33"/>
      <c r="E1776" s="60"/>
      <c r="F1776" s="52"/>
      <c r="G1776" s="18"/>
      <c r="H1776" s="49"/>
      <c r="I1776" s="49"/>
      <c r="L1776" s="62"/>
      <c r="M1776" s="53"/>
    </row>
    <row r="1777" spans="1:17" x14ac:dyDescent="0.25">
      <c r="A1777" s="21" t="str">
        <f>IF(C1777="","",COUNTA($C$3:C1777))</f>
        <v/>
      </c>
      <c r="B1777" s="35" t="str">
        <f t="shared" si="43"/>
        <v/>
      </c>
      <c r="C1777" s="33"/>
      <c r="E1777" s="60"/>
      <c r="F1777" s="52"/>
      <c r="G1777" s="18"/>
      <c r="H1777" s="49"/>
      <c r="I1777" s="49"/>
      <c r="L1777" s="70"/>
      <c r="M1777" s="53"/>
    </row>
    <row r="1778" spans="1:17" x14ac:dyDescent="0.25">
      <c r="A1778" s="21" t="str">
        <f>IF(C1778="","",COUNTA($C$3:C1778))</f>
        <v/>
      </c>
      <c r="B1778" s="35" t="str">
        <f t="shared" si="43"/>
        <v/>
      </c>
      <c r="C1778" s="33"/>
      <c r="E1778" s="60"/>
      <c r="F1778" s="52"/>
      <c r="G1778" s="18"/>
      <c r="H1778" s="49"/>
      <c r="I1778" s="49"/>
      <c r="L1778" s="62"/>
      <c r="M1778" s="53"/>
    </row>
    <row r="1779" spans="1:17" x14ac:dyDescent="0.25">
      <c r="A1779" s="21" t="str">
        <f>IF(C1779="","",COUNTA($C$3:C1779))</f>
        <v/>
      </c>
      <c r="B1779" s="35" t="str">
        <f t="shared" si="43"/>
        <v/>
      </c>
      <c r="C1779" s="33"/>
      <c r="E1779" s="60"/>
      <c r="F1779" s="52"/>
      <c r="G1779" s="18"/>
      <c r="H1779" s="49"/>
      <c r="I1779" s="49"/>
      <c r="L1779" s="70"/>
      <c r="M1779" s="53"/>
    </row>
    <row r="1780" spans="1:17" x14ac:dyDescent="0.25">
      <c r="A1780" s="21" t="str">
        <f>IF(C1780="","",COUNTA($C$3:C1780))</f>
        <v/>
      </c>
      <c r="B1780" s="35" t="str">
        <f t="shared" si="43"/>
        <v/>
      </c>
      <c r="C1780" s="33"/>
      <c r="E1780" s="60"/>
      <c r="F1780" s="52"/>
      <c r="G1780" s="18"/>
      <c r="H1780" s="49"/>
      <c r="I1780" s="49"/>
      <c r="L1780" s="70"/>
      <c r="M1780" s="53"/>
    </row>
    <row r="1781" spans="1:17" x14ac:dyDescent="0.25">
      <c r="A1781" s="21" t="str">
        <f>IF(C1781="","",COUNTA($C$3:C1781))</f>
        <v/>
      </c>
      <c r="B1781" s="35" t="str">
        <f t="shared" si="43"/>
        <v/>
      </c>
      <c r="C1781" s="33"/>
      <c r="E1781" s="60"/>
      <c r="F1781" s="52"/>
      <c r="G1781" s="18"/>
      <c r="H1781" s="49"/>
      <c r="I1781" s="49"/>
      <c r="L1781" s="70"/>
      <c r="M1781" s="53"/>
    </row>
    <row r="1782" spans="1:17" x14ac:dyDescent="0.25">
      <c r="A1782" s="21" t="str">
        <f>IF(C1782="","",COUNTA($C$3:C1782))</f>
        <v/>
      </c>
      <c r="B1782" s="35" t="str">
        <f t="shared" si="43"/>
        <v/>
      </c>
      <c r="C1782" s="33"/>
      <c r="E1782" s="60"/>
      <c r="F1782" s="52"/>
      <c r="G1782" s="18"/>
      <c r="H1782" s="49"/>
      <c r="I1782" s="49"/>
      <c r="L1782" s="70"/>
      <c r="M1782" s="53"/>
    </row>
    <row r="1783" spans="1:17" x14ac:dyDescent="0.25">
      <c r="A1783" s="21" t="str">
        <f>IF(C1783="","",COUNTA($C$3:C1783))</f>
        <v/>
      </c>
      <c r="B1783" s="35" t="str">
        <f t="shared" si="43"/>
        <v/>
      </c>
      <c r="C1783" s="33"/>
      <c r="E1783" s="60"/>
      <c r="F1783" s="52"/>
      <c r="G1783" s="18"/>
      <c r="H1783" s="49"/>
      <c r="I1783" s="49"/>
      <c r="M1783" s="53"/>
    </row>
    <row r="1784" spans="1:17" x14ac:dyDescent="0.25">
      <c r="A1784" s="21" t="str">
        <f>IF(C1784="","",COUNTA($C$3:C1784))</f>
        <v/>
      </c>
      <c r="B1784" s="35" t="str">
        <f t="shared" si="43"/>
        <v/>
      </c>
      <c r="C1784" s="33"/>
      <c r="E1784" s="60"/>
      <c r="F1784" s="52"/>
      <c r="G1784" s="18"/>
      <c r="H1784" s="49"/>
      <c r="I1784" s="49"/>
      <c r="L1784" s="62"/>
      <c r="M1784" s="53"/>
    </row>
    <row r="1785" spans="1:17" x14ac:dyDescent="0.25">
      <c r="A1785" s="21" t="str">
        <f>IF(C1785="","",COUNTA($C$3:C1785))</f>
        <v/>
      </c>
      <c r="B1785" s="35" t="str">
        <f t="shared" si="43"/>
        <v/>
      </c>
      <c r="C1785" s="33"/>
      <c r="E1785" s="60"/>
      <c r="F1785" s="52"/>
      <c r="G1785" s="18"/>
      <c r="H1785" s="49"/>
      <c r="I1785" s="49"/>
      <c r="L1785" s="70"/>
      <c r="M1785" s="53"/>
    </row>
    <row r="1786" spans="1:17" x14ac:dyDescent="0.25">
      <c r="A1786" s="21" t="str">
        <f>IF(C1786="","",COUNTA($C$3:C1786))</f>
        <v/>
      </c>
      <c r="B1786" s="35" t="str">
        <f t="shared" si="43"/>
        <v/>
      </c>
      <c r="C1786" s="33"/>
      <c r="E1786" s="60"/>
      <c r="F1786" s="52"/>
      <c r="G1786" s="18"/>
      <c r="H1786" s="49"/>
      <c r="I1786" s="49"/>
      <c r="L1786" s="70"/>
      <c r="M1786" s="53"/>
    </row>
    <row r="1787" spans="1:17" x14ac:dyDescent="0.25">
      <c r="A1787" s="21" t="str">
        <f>IF(C1787="","",COUNTA($C$3:C1787))</f>
        <v/>
      </c>
      <c r="B1787" s="35" t="str">
        <f t="shared" si="43"/>
        <v/>
      </c>
      <c r="C1787" s="33"/>
      <c r="E1787" s="60"/>
      <c r="F1787" s="52"/>
      <c r="G1787" s="18"/>
      <c r="H1787" s="49"/>
      <c r="I1787" s="49"/>
      <c r="M1787" s="53"/>
    </row>
    <row r="1788" spans="1:17" x14ac:dyDescent="0.25">
      <c r="A1788" s="21" t="str">
        <f>IF(C1788="","",COUNTA($C$3:C1788))</f>
        <v/>
      </c>
      <c r="B1788" s="35" t="str">
        <f t="shared" si="43"/>
        <v/>
      </c>
      <c r="C1788" s="33"/>
      <c r="E1788" s="60"/>
      <c r="F1788" s="52"/>
      <c r="G1788" s="18"/>
      <c r="H1788" s="49"/>
      <c r="I1788" s="49"/>
      <c r="M1788" s="53"/>
    </row>
    <row r="1789" spans="1:17" x14ac:dyDescent="0.25">
      <c r="A1789" s="21" t="str">
        <f>IF(C1789="","",COUNTA($C$3:C1789))</f>
        <v/>
      </c>
      <c r="B1789" s="35" t="str">
        <f t="shared" si="43"/>
        <v/>
      </c>
      <c r="C1789" s="33"/>
      <c r="E1789" s="60"/>
      <c r="F1789" s="52"/>
      <c r="G1789" s="18"/>
      <c r="H1789" s="49"/>
      <c r="I1789" s="49"/>
      <c r="M1789" s="53"/>
    </row>
    <row r="1790" spans="1:17" x14ac:dyDescent="0.25">
      <c r="A1790" s="21" t="str">
        <f>IF(C1790="","",COUNTA($C$3:C1790))</f>
        <v/>
      </c>
      <c r="B1790" s="35" t="str">
        <f t="shared" si="43"/>
        <v/>
      </c>
      <c r="C1790" s="33"/>
      <c r="E1790" s="60"/>
      <c r="F1790" s="52"/>
      <c r="G1790" s="18"/>
      <c r="H1790" s="49"/>
      <c r="I1790" s="49"/>
      <c r="K1790" s="67"/>
      <c r="M1790" s="53"/>
    </row>
    <row r="1791" spans="1:17" x14ac:dyDescent="0.25">
      <c r="A1791" s="21" t="str">
        <f>IF(C1791="","",COUNTA($C$3:C1791))</f>
        <v/>
      </c>
      <c r="B1791" s="35" t="str">
        <f t="shared" si="43"/>
        <v/>
      </c>
      <c r="C1791" s="33"/>
      <c r="E1791" s="60"/>
      <c r="F1791" s="52"/>
      <c r="G1791" s="18"/>
      <c r="H1791" s="49"/>
      <c r="I1791" s="49"/>
      <c r="M1791" s="53"/>
    </row>
    <row r="1792" spans="1:17" x14ac:dyDescent="0.25">
      <c r="A1792" s="21" t="str">
        <f>IF(C1792="","",COUNTA($C$3:C1792))</f>
        <v/>
      </c>
      <c r="B1792" s="35" t="str">
        <f t="shared" si="43"/>
        <v/>
      </c>
      <c r="C1792" s="33"/>
      <c r="E1792" s="60"/>
      <c r="F1792" s="52"/>
      <c r="G1792" s="18"/>
      <c r="H1792" s="49"/>
      <c r="I1792" s="49"/>
      <c r="M1792" s="53"/>
      <c r="N1792">
        <v>9120</v>
      </c>
      <c r="O1792" s="59">
        <f>N1792-M1792</f>
        <v>9120</v>
      </c>
      <c r="P1792" s="72">
        <v>7</v>
      </c>
      <c r="Q1792" s="59">
        <f>P1792*595</f>
        <v>4165</v>
      </c>
    </row>
    <row r="1793" spans="1:17" x14ac:dyDescent="0.25">
      <c r="A1793" s="21" t="str">
        <f>IF(C1793="","",COUNTA($C$3:C1793))</f>
        <v/>
      </c>
      <c r="B1793" s="35" t="str">
        <f t="shared" si="43"/>
        <v/>
      </c>
      <c r="C1793" s="33"/>
      <c r="E1793" s="60"/>
      <c r="F1793" s="52"/>
      <c r="G1793" s="18"/>
      <c r="H1793" s="49"/>
      <c r="I1793" s="49"/>
      <c r="M1793" s="53"/>
      <c r="N1793">
        <v>11080</v>
      </c>
      <c r="O1793" s="59">
        <f>N1793-M1793</f>
        <v>11080</v>
      </c>
      <c r="P1793" s="59">
        <f>O1793/595</f>
        <v>18.6218487394958</v>
      </c>
      <c r="Q1793" s="59">
        <f>P1793*595</f>
        <v>11080</v>
      </c>
    </row>
    <row r="1794" spans="1:17" x14ac:dyDescent="0.25">
      <c r="A1794" s="21" t="str">
        <f>IF(C1794="","",COUNTA($C$3:C1794))</f>
        <v/>
      </c>
      <c r="B1794" s="35" t="str">
        <f t="shared" si="43"/>
        <v/>
      </c>
      <c r="C1794" s="33"/>
      <c r="E1794" s="60"/>
      <c r="F1794" s="52"/>
      <c r="G1794" s="18"/>
      <c r="H1794" s="49"/>
      <c r="I1794" s="49"/>
      <c r="M1794" s="53"/>
    </row>
    <row r="1795" spans="1:17" x14ac:dyDescent="0.25">
      <c r="A1795" s="21" t="str">
        <f>IF(C1795="","",COUNTA($C$3:C1795))</f>
        <v/>
      </c>
      <c r="B1795" s="35" t="str">
        <f t="shared" si="43"/>
        <v/>
      </c>
      <c r="C1795" s="33"/>
      <c r="E1795" s="60"/>
      <c r="F1795" s="52"/>
      <c r="G1795" s="18"/>
      <c r="H1795" s="49"/>
      <c r="I1795" s="49"/>
      <c r="M1795" s="53"/>
    </row>
    <row r="1796" spans="1:17" x14ac:dyDescent="0.25">
      <c r="A1796" s="21" t="str">
        <f>IF(C1796="","",COUNTA($C$3:C1796))</f>
        <v/>
      </c>
      <c r="B1796" s="35" t="str">
        <f t="shared" si="43"/>
        <v/>
      </c>
      <c r="C1796" s="33"/>
      <c r="E1796" s="60"/>
      <c r="F1796" s="52"/>
      <c r="G1796" s="18"/>
      <c r="H1796" s="49"/>
      <c r="I1796" s="49"/>
      <c r="M1796" s="53"/>
      <c r="O1796" s="59"/>
    </row>
    <row r="1797" spans="1:17" x14ac:dyDescent="0.25">
      <c r="A1797" s="21" t="str">
        <f>IF(C1797="","",COUNTA($C$3:C1797))</f>
        <v/>
      </c>
      <c r="B1797" s="35" t="str">
        <f t="shared" ref="B1797:B1860" si="44">IF(C1797="","",TEXT(C1797,"mmmm"))</f>
        <v/>
      </c>
      <c r="C1797" s="33"/>
      <c r="E1797" s="60"/>
      <c r="F1797" s="52"/>
      <c r="G1797" s="18"/>
      <c r="H1797" s="49"/>
      <c r="I1797" s="49"/>
      <c r="L1797" s="62"/>
      <c r="M1797" s="53"/>
      <c r="O1797" s="69"/>
    </row>
    <row r="1798" spans="1:17" x14ac:dyDescent="0.25">
      <c r="A1798" s="21" t="str">
        <f>IF(C1798="","",COUNTA($C$3:C1798))</f>
        <v/>
      </c>
      <c r="B1798" s="35" t="str">
        <f t="shared" si="44"/>
        <v/>
      </c>
      <c r="C1798" s="33"/>
      <c r="E1798" s="60"/>
      <c r="F1798" s="52"/>
      <c r="G1798" s="18"/>
      <c r="H1798" s="49"/>
      <c r="I1798" s="49"/>
      <c r="K1798" s="67"/>
      <c r="M1798" s="53"/>
    </row>
    <row r="1799" spans="1:17" x14ac:dyDescent="0.25">
      <c r="A1799" s="21" t="str">
        <f>IF(C1799="","",COUNTA($C$3:C1799))</f>
        <v/>
      </c>
      <c r="B1799" s="35" t="str">
        <f t="shared" si="44"/>
        <v/>
      </c>
      <c r="C1799" s="33"/>
      <c r="E1799" s="60"/>
      <c r="F1799" s="52"/>
      <c r="G1799" s="18"/>
      <c r="H1799" s="49"/>
      <c r="I1799" s="49"/>
      <c r="M1799" s="53"/>
      <c r="O1799" s="59"/>
    </row>
    <row r="1800" spans="1:17" x14ac:dyDescent="0.25">
      <c r="A1800" s="21" t="str">
        <f>IF(C1800="","",COUNTA($C$3:C1800))</f>
        <v/>
      </c>
      <c r="B1800" s="35" t="str">
        <f t="shared" si="44"/>
        <v/>
      </c>
      <c r="C1800" s="33"/>
      <c r="E1800" s="60"/>
      <c r="F1800" s="52"/>
      <c r="G1800" s="18"/>
      <c r="H1800" s="49"/>
      <c r="I1800" s="49"/>
      <c r="M1800" s="53"/>
      <c r="O1800" s="59"/>
    </row>
    <row r="1801" spans="1:17" x14ac:dyDescent="0.25">
      <c r="A1801" s="21" t="str">
        <f>IF(C1801="","",COUNTA($C$3:C1801))</f>
        <v/>
      </c>
      <c r="B1801" s="35" t="str">
        <f t="shared" si="44"/>
        <v/>
      </c>
      <c r="C1801" s="33"/>
      <c r="E1801" s="60"/>
      <c r="F1801" s="52"/>
      <c r="G1801" s="18"/>
      <c r="H1801" s="49"/>
      <c r="I1801" s="49"/>
      <c r="M1801" s="53"/>
      <c r="O1801" s="59"/>
    </row>
    <row r="1802" spans="1:17" x14ac:dyDescent="0.25">
      <c r="A1802" s="21" t="str">
        <f>IF(C1802="","",COUNTA($C$3:C1802))</f>
        <v/>
      </c>
      <c r="B1802" s="35" t="str">
        <f t="shared" si="44"/>
        <v/>
      </c>
      <c r="C1802" s="33"/>
      <c r="E1802" s="60"/>
      <c r="F1802" s="52"/>
      <c r="G1802" s="18"/>
      <c r="H1802" s="49"/>
      <c r="I1802" s="49"/>
      <c r="L1802" s="62"/>
      <c r="M1802" s="53"/>
      <c r="O1802" s="59"/>
    </row>
    <row r="1803" spans="1:17" x14ac:dyDescent="0.25">
      <c r="A1803" s="21" t="str">
        <f>IF(C1803="","",COUNTA($C$3:C1803))</f>
        <v/>
      </c>
      <c r="B1803" s="35" t="str">
        <f t="shared" si="44"/>
        <v/>
      </c>
      <c r="C1803" s="33"/>
      <c r="E1803" s="60"/>
      <c r="F1803" s="52"/>
      <c r="G1803" s="18"/>
      <c r="H1803" s="49"/>
      <c r="I1803" s="49"/>
      <c r="K1803" s="55"/>
      <c r="L1803" s="62"/>
      <c r="M1803" s="53"/>
      <c r="O1803" s="59"/>
    </row>
    <row r="1804" spans="1:17" x14ac:dyDescent="0.25">
      <c r="A1804" s="21" t="str">
        <f>IF(C1804="","",COUNTA($C$3:C1804))</f>
        <v/>
      </c>
      <c r="B1804" s="35" t="str">
        <f t="shared" si="44"/>
        <v/>
      </c>
      <c r="C1804" s="33"/>
      <c r="E1804" s="60"/>
      <c r="F1804" s="52"/>
      <c r="G1804" s="18"/>
      <c r="H1804" s="49"/>
      <c r="I1804" s="49"/>
      <c r="L1804" s="62"/>
      <c r="M1804" s="53"/>
    </row>
    <row r="1805" spans="1:17" x14ac:dyDescent="0.25">
      <c r="A1805" s="21" t="str">
        <f>IF(C1805="","",COUNTA($C$3:C1805))</f>
        <v/>
      </c>
      <c r="B1805" s="35" t="str">
        <f t="shared" si="44"/>
        <v/>
      </c>
      <c r="C1805" s="33"/>
      <c r="E1805" s="60"/>
      <c r="F1805" s="52"/>
      <c r="G1805" s="18"/>
      <c r="H1805" s="49"/>
      <c r="I1805" s="49"/>
      <c r="L1805" s="62"/>
      <c r="M1805" s="53"/>
      <c r="O1805" s="59"/>
      <c r="P1805" s="71"/>
      <c r="Q1805" s="59"/>
    </row>
    <row r="1806" spans="1:17" x14ac:dyDescent="0.25">
      <c r="A1806" s="21" t="str">
        <f>IF(C1806="","",COUNTA($C$3:C1806))</f>
        <v/>
      </c>
      <c r="B1806" s="35" t="str">
        <f t="shared" si="44"/>
        <v/>
      </c>
      <c r="C1806" s="33"/>
      <c r="E1806" s="60"/>
      <c r="F1806" s="52"/>
      <c r="G1806" s="18"/>
      <c r="H1806" s="49"/>
      <c r="I1806" s="49"/>
      <c r="L1806" s="62"/>
      <c r="M1806" s="53"/>
      <c r="O1806" s="59"/>
      <c r="P1806" s="71"/>
      <c r="Q1806" s="59"/>
    </row>
    <row r="1807" spans="1:17" x14ac:dyDescent="0.25">
      <c r="A1807" s="21" t="str">
        <f>IF(C1807="","",COUNTA($C$3:C1807))</f>
        <v/>
      </c>
      <c r="B1807" s="35" t="str">
        <f t="shared" si="44"/>
        <v/>
      </c>
      <c r="C1807" s="33"/>
      <c r="E1807" s="60"/>
      <c r="F1807" s="52"/>
      <c r="G1807" s="18"/>
      <c r="H1807" s="49"/>
      <c r="I1807" s="49"/>
      <c r="L1807" s="62"/>
      <c r="M1807" s="53"/>
      <c r="O1807" s="59"/>
    </row>
    <row r="1808" spans="1:17" x14ac:dyDescent="0.25">
      <c r="A1808" s="21" t="str">
        <f>IF(C1808="","",COUNTA($C$3:C1808))</f>
        <v/>
      </c>
      <c r="B1808" s="35" t="str">
        <f t="shared" si="44"/>
        <v/>
      </c>
      <c r="C1808" s="33"/>
      <c r="E1808" s="60"/>
      <c r="F1808" s="52"/>
      <c r="G1808" s="18"/>
      <c r="H1808" s="49"/>
      <c r="I1808" s="49"/>
      <c r="M1808" s="53"/>
      <c r="O1808" s="59"/>
    </row>
    <row r="1809" spans="1:15" x14ac:dyDescent="0.25">
      <c r="A1809" s="21" t="str">
        <f>IF(C1809="","",COUNTA($C$3:C1809))</f>
        <v/>
      </c>
      <c r="B1809" s="35" t="str">
        <f t="shared" si="44"/>
        <v/>
      </c>
      <c r="C1809" s="33"/>
      <c r="E1809" s="60"/>
      <c r="F1809" s="52"/>
      <c r="G1809" s="18"/>
      <c r="H1809" s="49"/>
      <c r="I1809" s="49"/>
      <c r="K1809" s="67"/>
      <c r="L1809" s="62"/>
      <c r="M1809" s="53"/>
      <c r="O1809" s="59"/>
    </row>
    <row r="1810" spans="1:15" x14ac:dyDescent="0.25">
      <c r="A1810" s="21" t="str">
        <f>IF(C1810="","",COUNTA($C$3:C1810))</f>
        <v/>
      </c>
      <c r="B1810" s="35" t="str">
        <f t="shared" si="44"/>
        <v/>
      </c>
      <c r="C1810" s="33"/>
      <c r="E1810" s="60"/>
      <c r="F1810" s="52"/>
      <c r="G1810" s="18"/>
      <c r="H1810" s="49"/>
      <c r="I1810" s="49"/>
      <c r="M1810" s="53"/>
    </row>
    <row r="1811" spans="1:15" x14ac:dyDescent="0.25">
      <c r="A1811" s="21" t="str">
        <f>IF(C1811="","",COUNTA($C$3:C1811))</f>
        <v/>
      </c>
      <c r="B1811" s="35" t="str">
        <f t="shared" si="44"/>
        <v/>
      </c>
      <c r="C1811" s="33"/>
      <c r="E1811" s="60"/>
      <c r="F1811" s="52"/>
      <c r="G1811" s="18"/>
      <c r="H1811" s="49"/>
      <c r="I1811" s="49"/>
      <c r="M1811" s="53"/>
    </row>
    <row r="1812" spans="1:15" x14ac:dyDescent="0.25">
      <c r="A1812" s="21" t="str">
        <f>IF(C1812="","",COUNTA($C$3:C1812))</f>
        <v/>
      </c>
      <c r="B1812" s="35" t="str">
        <f t="shared" si="44"/>
        <v/>
      </c>
      <c r="C1812" s="33"/>
      <c r="E1812" s="60"/>
      <c r="F1812" s="52"/>
      <c r="G1812" s="18"/>
      <c r="H1812" s="49"/>
      <c r="I1812" s="49"/>
      <c r="M1812" s="53"/>
    </row>
    <row r="1813" spans="1:15" x14ac:dyDescent="0.25">
      <c r="A1813" s="21" t="str">
        <f>IF(C1813="","",COUNTA($C$3:C1813))</f>
        <v/>
      </c>
      <c r="B1813" s="35" t="str">
        <f t="shared" si="44"/>
        <v/>
      </c>
      <c r="C1813" s="33"/>
      <c r="E1813" s="60"/>
      <c r="F1813" s="52"/>
      <c r="G1813" s="18"/>
      <c r="H1813" s="49"/>
      <c r="I1813" s="49"/>
      <c r="M1813" s="53"/>
    </row>
    <row r="1814" spans="1:15" x14ac:dyDescent="0.25">
      <c r="A1814" s="21" t="str">
        <f>IF(C1814="","",COUNTA($C$3:C1814))</f>
        <v/>
      </c>
      <c r="B1814" s="35" t="str">
        <f t="shared" si="44"/>
        <v/>
      </c>
      <c r="C1814" s="33"/>
      <c r="E1814" s="60"/>
      <c r="F1814" s="52"/>
      <c r="G1814" s="18"/>
      <c r="H1814" s="49"/>
      <c r="I1814" s="49"/>
      <c r="M1814" s="53"/>
    </row>
    <row r="1815" spans="1:15" x14ac:dyDescent="0.25">
      <c r="A1815" s="21" t="str">
        <f>IF(C1815="","",COUNTA($C$3:C1815))</f>
        <v/>
      </c>
      <c r="B1815" s="35" t="str">
        <f t="shared" si="44"/>
        <v/>
      </c>
      <c r="C1815" s="33"/>
      <c r="E1815" s="60"/>
      <c r="F1815" s="52"/>
      <c r="G1815" s="18"/>
      <c r="H1815" s="49"/>
      <c r="I1815" s="49"/>
      <c r="M1815" s="53"/>
    </row>
    <row r="1816" spans="1:15" x14ac:dyDescent="0.25">
      <c r="A1816" s="21" t="str">
        <f>IF(C1816="","",COUNTA($C$3:C1816))</f>
        <v/>
      </c>
      <c r="B1816" s="35" t="str">
        <f t="shared" si="44"/>
        <v/>
      </c>
      <c r="C1816" s="33"/>
      <c r="E1816" s="60"/>
      <c r="F1816" s="52"/>
      <c r="G1816" s="18"/>
      <c r="H1816" s="49"/>
      <c r="I1816" s="76"/>
      <c r="M1816" s="53"/>
    </row>
    <row r="1817" spans="1:15" x14ac:dyDescent="0.25">
      <c r="A1817" s="21" t="str">
        <f>IF(C1817="","",COUNTA($C$3:C1817))</f>
        <v/>
      </c>
      <c r="B1817" s="35" t="str">
        <f t="shared" si="44"/>
        <v/>
      </c>
      <c r="C1817" s="33"/>
      <c r="E1817" s="60"/>
      <c r="F1817" s="52"/>
      <c r="G1817" s="18"/>
      <c r="H1817" s="49"/>
      <c r="I1817" s="49"/>
      <c r="M1817" s="53"/>
    </row>
    <row r="1818" spans="1:15" x14ac:dyDescent="0.25">
      <c r="A1818" s="21" t="str">
        <f>IF(C1818="","",COUNTA($C$3:C1818))</f>
        <v/>
      </c>
      <c r="B1818" s="35" t="str">
        <f t="shared" si="44"/>
        <v/>
      </c>
      <c r="C1818" s="33"/>
      <c r="E1818" s="60"/>
      <c r="F1818" s="52"/>
      <c r="G1818" s="18"/>
      <c r="H1818" s="49"/>
      <c r="I1818" s="49"/>
      <c r="M1818" s="53"/>
    </row>
    <row r="1819" spans="1:15" x14ac:dyDescent="0.25">
      <c r="A1819" s="21" t="str">
        <f>IF(C1819="","",COUNTA($C$3:C1819))</f>
        <v/>
      </c>
      <c r="B1819" s="35" t="str">
        <f t="shared" si="44"/>
        <v/>
      </c>
      <c r="C1819" s="33"/>
      <c r="E1819" s="60"/>
      <c r="F1819" s="52"/>
      <c r="G1819" s="18"/>
      <c r="H1819" s="49"/>
      <c r="I1819" s="49"/>
      <c r="M1819" s="53"/>
    </row>
    <row r="1820" spans="1:15" x14ac:dyDescent="0.25">
      <c r="A1820" s="21" t="str">
        <f>IF(C1820="","",COUNTA($C$3:C1820))</f>
        <v/>
      </c>
      <c r="B1820" s="35" t="str">
        <f t="shared" si="44"/>
        <v/>
      </c>
      <c r="C1820" s="33"/>
      <c r="E1820" s="60"/>
      <c r="F1820" s="52"/>
      <c r="G1820" s="18"/>
      <c r="H1820" s="49"/>
      <c r="I1820" s="49"/>
      <c r="M1820" s="53"/>
      <c r="O1820" s="59"/>
    </row>
    <row r="1821" spans="1:15" x14ac:dyDescent="0.25">
      <c r="A1821" s="21" t="str">
        <f>IF(C1821="","",COUNTA($C$3:C1821))</f>
        <v/>
      </c>
      <c r="B1821" s="35" t="str">
        <f t="shared" si="44"/>
        <v/>
      </c>
      <c r="C1821" s="33"/>
      <c r="E1821" s="60"/>
      <c r="F1821" s="52"/>
      <c r="G1821" s="18"/>
      <c r="H1821" s="49"/>
      <c r="I1821" s="49"/>
      <c r="M1821" s="53"/>
      <c r="O1821" s="59"/>
    </row>
    <row r="1822" spans="1:15" x14ac:dyDescent="0.25">
      <c r="A1822" s="21" t="str">
        <f>IF(C1822="","",COUNTA($C$3:C1822))</f>
        <v/>
      </c>
      <c r="B1822" s="35" t="str">
        <f t="shared" si="44"/>
        <v/>
      </c>
      <c r="C1822" s="33"/>
      <c r="E1822" s="60"/>
      <c r="F1822" s="52"/>
      <c r="G1822" s="18"/>
      <c r="H1822" s="49"/>
      <c r="I1822" s="49"/>
      <c r="M1822" s="53"/>
    </row>
    <row r="1823" spans="1:15" x14ac:dyDescent="0.25">
      <c r="A1823" s="21" t="str">
        <f>IF(C1823="","",COUNTA($C$3:C1823))</f>
        <v/>
      </c>
      <c r="B1823" s="35" t="str">
        <f t="shared" si="44"/>
        <v/>
      </c>
      <c r="C1823" s="33"/>
      <c r="E1823" s="60"/>
      <c r="F1823" s="52"/>
      <c r="G1823" s="18"/>
      <c r="H1823" s="49"/>
      <c r="I1823" s="49"/>
      <c r="M1823" s="53"/>
    </row>
    <row r="1824" spans="1:15" x14ac:dyDescent="0.25">
      <c r="A1824" s="21" t="str">
        <f>IF(C1824="","",COUNTA($C$3:C1824))</f>
        <v/>
      </c>
      <c r="B1824" s="35" t="str">
        <f t="shared" si="44"/>
        <v/>
      </c>
      <c r="C1824" s="33"/>
      <c r="E1824" s="60"/>
      <c r="F1824" s="52"/>
      <c r="G1824" s="18"/>
      <c r="H1824" s="49"/>
      <c r="I1824" s="49"/>
      <c r="M1824" s="53"/>
    </row>
    <row r="1825" spans="1:16" x14ac:dyDescent="0.25">
      <c r="A1825" s="21" t="str">
        <f>IF(C1825="","",COUNTA($C$3:C1825))</f>
        <v/>
      </c>
      <c r="B1825" s="35" t="str">
        <f t="shared" si="44"/>
        <v/>
      </c>
      <c r="C1825" s="33"/>
      <c r="E1825" s="60"/>
      <c r="F1825" s="52"/>
      <c r="G1825" s="18"/>
      <c r="H1825" s="49"/>
      <c r="I1825" s="49"/>
      <c r="M1825" s="53"/>
    </row>
    <row r="1826" spans="1:16" x14ac:dyDescent="0.25">
      <c r="A1826" s="21" t="str">
        <f>IF(C1826="","",COUNTA($C$3:C1826))</f>
        <v/>
      </c>
      <c r="B1826" s="35" t="str">
        <f t="shared" si="44"/>
        <v/>
      </c>
      <c r="C1826" s="33"/>
      <c r="E1826" s="60"/>
      <c r="F1826" s="52"/>
      <c r="G1826" s="18"/>
      <c r="H1826" s="49"/>
      <c r="I1826" s="49"/>
      <c r="M1826" s="53"/>
    </row>
    <row r="1827" spans="1:16" x14ac:dyDescent="0.25">
      <c r="A1827" s="21" t="str">
        <f>IF(C1827="","",COUNTA($C$3:C1827))</f>
        <v/>
      </c>
      <c r="B1827" s="35" t="str">
        <f t="shared" si="44"/>
        <v/>
      </c>
      <c r="C1827" s="33"/>
      <c r="E1827" s="60"/>
      <c r="F1827" s="52"/>
      <c r="G1827" s="18"/>
      <c r="H1827" s="49"/>
      <c r="I1827" s="49"/>
      <c r="M1827" s="53"/>
    </row>
    <row r="1828" spans="1:16" x14ac:dyDescent="0.25">
      <c r="A1828" s="21" t="str">
        <f>IF(C1828="","",COUNTA($C$3:C1828))</f>
        <v/>
      </c>
      <c r="B1828" s="35" t="str">
        <f t="shared" si="44"/>
        <v/>
      </c>
      <c r="C1828" s="33"/>
      <c r="E1828" s="60"/>
      <c r="F1828" s="52"/>
      <c r="G1828" s="18"/>
      <c r="H1828" s="49"/>
      <c r="I1828" s="49"/>
      <c r="M1828" s="53"/>
      <c r="O1828" s="59"/>
    </row>
    <row r="1829" spans="1:16" x14ac:dyDescent="0.25">
      <c r="A1829" s="21" t="str">
        <f>IF(C1829="","",COUNTA($C$3:C1829))</f>
        <v/>
      </c>
      <c r="B1829" s="35" t="str">
        <f t="shared" si="44"/>
        <v/>
      </c>
      <c r="C1829" s="33"/>
      <c r="E1829" s="60"/>
      <c r="F1829" s="52"/>
      <c r="G1829" s="18"/>
      <c r="H1829" s="49"/>
      <c r="I1829" s="49"/>
      <c r="M1829" s="53"/>
    </row>
    <row r="1830" spans="1:16" x14ac:dyDescent="0.25">
      <c r="A1830" s="21" t="str">
        <f>IF(C1830="","",COUNTA($C$3:C1830))</f>
        <v/>
      </c>
      <c r="B1830" s="35" t="str">
        <f t="shared" si="44"/>
        <v/>
      </c>
      <c r="C1830" s="33"/>
      <c r="E1830" s="60"/>
      <c r="F1830" s="52"/>
      <c r="G1830" s="18"/>
      <c r="H1830" s="49"/>
      <c r="I1830" s="49"/>
      <c r="M1830" s="53"/>
    </row>
    <row r="1831" spans="1:16" x14ac:dyDescent="0.25">
      <c r="A1831" s="21" t="str">
        <f>IF(C1831="","",COUNTA($C$3:C1831))</f>
        <v/>
      </c>
      <c r="B1831" s="35" t="str">
        <f t="shared" si="44"/>
        <v/>
      </c>
      <c r="C1831" s="33"/>
      <c r="E1831" s="60"/>
      <c r="F1831" s="52"/>
      <c r="G1831" s="18"/>
      <c r="H1831" s="49"/>
      <c r="I1831" s="49"/>
      <c r="K1831" s="67"/>
      <c r="M1831" s="53"/>
      <c r="P1831" s="69"/>
    </row>
    <row r="1832" spans="1:16" x14ac:dyDescent="0.25">
      <c r="A1832" s="21" t="str">
        <f>IF(C1832="","",COUNTA($C$3:C1832))</f>
        <v/>
      </c>
      <c r="B1832" s="35" t="str">
        <f t="shared" si="44"/>
        <v/>
      </c>
      <c r="C1832" s="33"/>
      <c r="E1832" s="60"/>
      <c r="F1832" s="52"/>
      <c r="G1832" s="18"/>
      <c r="H1832" s="49"/>
      <c r="I1832" s="49"/>
      <c r="M1832" s="53"/>
    </row>
    <row r="1833" spans="1:16" x14ac:dyDescent="0.25">
      <c r="A1833" s="21" t="str">
        <f>IF(C1833="","",COUNTA($C$3:C1833))</f>
        <v/>
      </c>
      <c r="B1833" s="35" t="str">
        <f t="shared" si="44"/>
        <v/>
      </c>
      <c r="C1833" s="33"/>
      <c r="E1833" s="60"/>
      <c r="F1833" s="52"/>
      <c r="G1833" s="18"/>
      <c r="H1833" s="49"/>
      <c r="I1833" s="49"/>
      <c r="M1833" s="53"/>
    </row>
    <row r="1834" spans="1:16" x14ac:dyDescent="0.25">
      <c r="A1834" s="21" t="str">
        <f>IF(C1834="","",COUNTA($C$3:C1834))</f>
        <v/>
      </c>
      <c r="B1834" s="35" t="str">
        <f t="shared" si="44"/>
        <v/>
      </c>
      <c r="C1834" s="33"/>
      <c r="E1834" s="60"/>
      <c r="F1834" s="52"/>
      <c r="G1834" s="18"/>
      <c r="H1834" s="49"/>
      <c r="I1834" s="49"/>
      <c r="M1834" s="53"/>
    </row>
    <row r="1835" spans="1:16" x14ac:dyDescent="0.25">
      <c r="A1835" s="21" t="str">
        <f>IF(C1835="","",COUNTA($C$3:C1835))</f>
        <v/>
      </c>
      <c r="B1835" s="35" t="str">
        <f t="shared" si="44"/>
        <v/>
      </c>
      <c r="C1835" s="33"/>
      <c r="E1835" s="60"/>
      <c r="F1835" s="52"/>
      <c r="G1835" s="18"/>
      <c r="H1835" s="49"/>
      <c r="I1835" s="49"/>
      <c r="K1835" s="55"/>
      <c r="M1835" s="53"/>
    </row>
    <row r="1836" spans="1:16" x14ac:dyDescent="0.25">
      <c r="A1836" s="21" t="str">
        <f>IF(C1836="","",COUNTA($C$3:C1836))</f>
        <v/>
      </c>
      <c r="B1836" s="35" t="str">
        <f t="shared" si="44"/>
        <v/>
      </c>
      <c r="C1836" s="33"/>
      <c r="E1836" s="60"/>
      <c r="F1836" s="52"/>
      <c r="G1836" s="18"/>
      <c r="H1836" s="49"/>
      <c r="I1836" s="49"/>
      <c r="M1836" s="53"/>
    </row>
    <row r="1837" spans="1:16" x14ac:dyDescent="0.25">
      <c r="A1837" s="21" t="str">
        <f>IF(C1837="","",COUNTA($C$3:C1837))</f>
        <v/>
      </c>
      <c r="B1837" s="35" t="str">
        <f t="shared" si="44"/>
        <v/>
      </c>
      <c r="C1837" s="33"/>
      <c r="E1837" s="60"/>
      <c r="F1837" s="52"/>
      <c r="G1837" s="18"/>
      <c r="H1837" s="49"/>
      <c r="I1837" s="49"/>
      <c r="M1837" s="53"/>
    </row>
    <row r="1838" spans="1:16" x14ac:dyDescent="0.25">
      <c r="A1838" s="21" t="str">
        <f>IF(C1838="","",COUNTA($C$3:C1838))</f>
        <v/>
      </c>
      <c r="B1838" s="35" t="str">
        <f t="shared" si="44"/>
        <v/>
      </c>
      <c r="C1838" s="33"/>
      <c r="E1838" s="60"/>
      <c r="F1838" s="52"/>
      <c r="G1838" s="18"/>
      <c r="H1838" s="49"/>
      <c r="I1838" s="49"/>
      <c r="K1838" s="55"/>
      <c r="M1838" s="53"/>
    </row>
    <row r="1839" spans="1:16" x14ac:dyDescent="0.25">
      <c r="A1839" s="21" t="str">
        <f>IF(C1839="","",COUNTA($C$3:C1839))</f>
        <v/>
      </c>
      <c r="B1839" s="35" t="str">
        <f t="shared" si="44"/>
        <v/>
      </c>
      <c r="C1839" s="33"/>
      <c r="E1839" s="60"/>
      <c r="F1839" s="52"/>
      <c r="G1839" s="18"/>
      <c r="H1839" s="49"/>
      <c r="I1839" s="49"/>
      <c r="M1839" s="53"/>
    </row>
    <row r="1840" spans="1:16" x14ac:dyDescent="0.25">
      <c r="A1840" s="21" t="str">
        <f>IF(C1840="","",COUNTA($C$3:C1840))</f>
        <v/>
      </c>
      <c r="B1840" s="35" t="str">
        <f t="shared" si="44"/>
        <v/>
      </c>
      <c r="C1840" s="33"/>
      <c r="E1840" s="60"/>
      <c r="F1840" s="52"/>
      <c r="G1840" s="18"/>
      <c r="H1840" s="49"/>
      <c r="I1840" s="49"/>
      <c r="L1840" s="62"/>
      <c r="M1840" s="53"/>
    </row>
    <row r="1841" spans="1:17" x14ac:dyDescent="0.25">
      <c r="A1841" s="21" t="str">
        <f>IF(C1841="","",COUNTA($C$3:C1841))</f>
        <v/>
      </c>
      <c r="B1841" s="35" t="str">
        <f t="shared" si="44"/>
        <v/>
      </c>
      <c r="C1841" s="33"/>
      <c r="E1841" s="60"/>
      <c r="F1841" s="52"/>
      <c r="G1841" s="18"/>
      <c r="H1841" s="49"/>
      <c r="I1841" s="49"/>
      <c r="M1841" s="53"/>
    </row>
    <row r="1842" spans="1:17" x14ac:dyDescent="0.25">
      <c r="A1842" s="21" t="str">
        <f>IF(C1842="","",COUNTA($C$3:C1842))</f>
        <v/>
      </c>
      <c r="B1842" s="35" t="str">
        <f t="shared" si="44"/>
        <v/>
      </c>
      <c r="C1842" s="33"/>
      <c r="E1842" s="60"/>
      <c r="F1842" s="52"/>
      <c r="G1842" s="18"/>
      <c r="H1842" s="49"/>
      <c r="I1842" s="49"/>
      <c r="M1842" s="53"/>
    </row>
    <row r="1843" spans="1:17" x14ac:dyDescent="0.25">
      <c r="A1843" s="21" t="str">
        <f>IF(C1843="","",COUNTA($C$3:C1843))</f>
        <v/>
      </c>
      <c r="B1843" s="35" t="str">
        <f t="shared" si="44"/>
        <v/>
      </c>
      <c r="C1843" s="33"/>
      <c r="E1843" s="60"/>
      <c r="F1843" s="52"/>
      <c r="G1843" s="18"/>
      <c r="H1843" s="49"/>
      <c r="I1843" s="49"/>
      <c r="M1843" s="53"/>
    </row>
    <row r="1844" spans="1:17" x14ac:dyDescent="0.25">
      <c r="A1844" s="21" t="str">
        <f>IF(C1844="","",COUNTA($C$3:C1844))</f>
        <v/>
      </c>
      <c r="B1844" s="35" t="str">
        <f t="shared" si="44"/>
        <v/>
      </c>
      <c r="C1844" s="33"/>
      <c r="E1844" s="60"/>
      <c r="F1844" s="52"/>
      <c r="G1844" s="18"/>
      <c r="H1844" s="49"/>
      <c r="I1844" s="49"/>
      <c r="M1844" s="53"/>
    </row>
    <row r="1845" spans="1:17" x14ac:dyDescent="0.25">
      <c r="A1845" s="21" t="str">
        <f>IF(C1845="","",COUNTA($C$3:C1845))</f>
        <v/>
      </c>
      <c r="B1845" s="35" t="str">
        <f t="shared" si="44"/>
        <v/>
      </c>
      <c r="C1845" s="33"/>
      <c r="E1845" s="60"/>
      <c r="F1845" s="52"/>
      <c r="G1845" s="18"/>
      <c r="H1845" s="49"/>
      <c r="I1845" s="49"/>
      <c r="M1845" s="53"/>
    </row>
    <row r="1846" spans="1:17" x14ac:dyDescent="0.25">
      <c r="A1846" s="21" t="str">
        <f>IF(C1846="","",COUNTA($C$3:C1846))</f>
        <v/>
      </c>
      <c r="B1846" s="35" t="str">
        <f t="shared" si="44"/>
        <v/>
      </c>
      <c r="C1846" s="33"/>
      <c r="E1846" s="60"/>
      <c r="F1846" s="52"/>
      <c r="G1846" s="18"/>
      <c r="H1846" s="49"/>
      <c r="I1846" s="49"/>
      <c r="L1846" s="62"/>
      <c r="M1846" s="53"/>
      <c r="O1846" s="59"/>
      <c r="P1846" s="59"/>
      <c r="Q1846" s="59"/>
    </row>
    <row r="1847" spans="1:17" x14ac:dyDescent="0.25">
      <c r="A1847" s="21" t="str">
        <f>IF(C1847="","",COUNTA($C$3:C1847))</f>
        <v/>
      </c>
      <c r="B1847" s="35" t="str">
        <f t="shared" si="44"/>
        <v/>
      </c>
      <c r="C1847" s="33"/>
      <c r="E1847" s="60"/>
      <c r="F1847" s="52"/>
      <c r="G1847" s="18"/>
      <c r="H1847" s="49"/>
      <c r="I1847" s="49"/>
      <c r="L1847" s="62"/>
      <c r="M1847" s="53"/>
      <c r="O1847" s="59"/>
      <c r="P1847" s="71"/>
      <c r="Q1847" s="59"/>
    </row>
    <row r="1848" spans="1:17" x14ac:dyDescent="0.25">
      <c r="A1848" s="21" t="str">
        <f>IF(C1848="","",COUNTA($C$3:C1848))</f>
        <v/>
      </c>
      <c r="B1848" s="35" t="str">
        <f t="shared" si="44"/>
        <v/>
      </c>
      <c r="C1848" s="33"/>
      <c r="E1848" s="60"/>
      <c r="F1848" s="52"/>
      <c r="G1848" s="18"/>
      <c r="H1848" s="49"/>
      <c r="I1848" s="49"/>
      <c r="M1848" s="53"/>
    </row>
    <row r="1849" spans="1:17" x14ac:dyDescent="0.25">
      <c r="A1849" s="21" t="str">
        <f>IF(C1849="","",COUNTA($C$3:C1849))</f>
        <v/>
      </c>
      <c r="B1849" s="35" t="str">
        <f t="shared" si="44"/>
        <v/>
      </c>
      <c r="C1849" s="33"/>
      <c r="E1849" s="60"/>
      <c r="F1849" s="52"/>
      <c r="G1849" s="18"/>
      <c r="H1849" s="49"/>
      <c r="I1849" s="49"/>
      <c r="M1849" s="53"/>
    </row>
    <row r="1850" spans="1:17" x14ac:dyDescent="0.25">
      <c r="A1850" s="21" t="str">
        <f>IF(C1850="","",COUNTA($C$3:C1850))</f>
        <v/>
      </c>
      <c r="B1850" s="35" t="str">
        <f t="shared" si="44"/>
        <v/>
      </c>
      <c r="C1850" s="33"/>
      <c r="E1850" s="60"/>
      <c r="F1850" s="52"/>
      <c r="G1850" s="18"/>
      <c r="H1850" s="49"/>
      <c r="I1850" s="49"/>
      <c r="L1850" s="62"/>
      <c r="M1850" s="53"/>
    </row>
    <row r="1851" spans="1:17" x14ac:dyDescent="0.25">
      <c r="A1851" s="21" t="str">
        <f>IF(C1851="","",COUNTA($C$3:C1851))</f>
        <v/>
      </c>
      <c r="B1851" s="35" t="str">
        <f t="shared" si="44"/>
        <v/>
      </c>
      <c r="C1851" s="33"/>
      <c r="E1851" s="60"/>
      <c r="F1851" s="52"/>
      <c r="G1851" s="18"/>
      <c r="H1851" s="49"/>
      <c r="I1851" s="49"/>
      <c r="L1851" s="62"/>
      <c r="M1851" s="53"/>
    </row>
    <row r="1852" spans="1:17" x14ac:dyDescent="0.25">
      <c r="A1852" s="21" t="str">
        <f>IF(C1852="","",COUNTA($C$3:C1852))</f>
        <v/>
      </c>
      <c r="B1852" s="35" t="str">
        <f t="shared" si="44"/>
        <v/>
      </c>
      <c r="C1852" s="33"/>
      <c r="E1852" s="60"/>
      <c r="F1852" s="52"/>
      <c r="G1852" s="18"/>
      <c r="H1852" s="49"/>
      <c r="I1852" s="49"/>
      <c r="K1852" s="55"/>
      <c r="L1852" s="62"/>
      <c r="M1852" s="53"/>
    </row>
    <row r="1853" spans="1:17" x14ac:dyDescent="0.25">
      <c r="A1853" s="21" t="str">
        <f>IF(C1853="","",COUNTA($C$3:C1853))</f>
        <v/>
      </c>
      <c r="B1853" s="35" t="str">
        <f t="shared" si="44"/>
        <v/>
      </c>
      <c r="C1853" s="33"/>
      <c r="E1853" s="60"/>
      <c r="F1853" s="52"/>
      <c r="G1853" s="18"/>
      <c r="H1853" s="49"/>
      <c r="I1853" s="49"/>
      <c r="L1853" s="62"/>
      <c r="M1853" s="53"/>
    </row>
    <row r="1854" spans="1:17" x14ac:dyDescent="0.25">
      <c r="A1854" s="21" t="str">
        <f>IF(C1854="","",COUNTA($C$3:C1854))</f>
        <v/>
      </c>
      <c r="B1854" s="35" t="str">
        <f t="shared" si="44"/>
        <v/>
      </c>
      <c r="C1854" s="33"/>
      <c r="D1854" s="18"/>
      <c r="E1854" s="77"/>
      <c r="F1854" s="52"/>
      <c r="G1854" s="18"/>
      <c r="H1854" s="49"/>
      <c r="I1854" s="49"/>
      <c r="M1854" s="53"/>
    </row>
    <row r="1855" spans="1:17" x14ac:dyDescent="0.25">
      <c r="A1855" s="21" t="str">
        <f>IF(C1855="","",COUNTA($C$3:C1855))</f>
        <v/>
      </c>
      <c r="B1855" s="35" t="str">
        <f t="shared" si="44"/>
        <v/>
      </c>
      <c r="C1855" s="33"/>
      <c r="D1855" s="18"/>
      <c r="E1855" s="77"/>
      <c r="F1855" s="52"/>
      <c r="G1855" s="18"/>
      <c r="H1855" s="49"/>
      <c r="I1855" s="49"/>
      <c r="M1855" s="53"/>
    </row>
    <row r="1856" spans="1:17" x14ac:dyDescent="0.25">
      <c r="A1856" s="21" t="str">
        <f>IF(C1856="","",COUNTA($C$3:C1856))</f>
        <v/>
      </c>
      <c r="B1856" s="35" t="str">
        <f t="shared" si="44"/>
        <v/>
      </c>
      <c r="C1856" s="33"/>
      <c r="D1856" s="18"/>
      <c r="E1856" s="77"/>
      <c r="F1856" s="52"/>
      <c r="G1856" s="18"/>
      <c r="H1856" s="49"/>
      <c r="I1856" s="49"/>
      <c r="M1856" s="53"/>
    </row>
    <row r="1857" spans="1:15" x14ac:dyDescent="0.25">
      <c r="A1857" s="21" t="str">
        <f>IF(C1857="","",COUNTA($C$3:C1857))</f>
        <v/>
      </c>
      <c r="B1857" s="35" t="str">
        <f t="shared" si="44"/>
        <v/>
      </c>
      <c r="C1857" s="33"/>
      <c r="D1857" s="18"/>
      <c r="E1857" s="77"/>
      <c r="F1857" s="52"/>
      <c r="G1857" s="18"/>
      <c r="H1857" s="49"/>
      <c r="I1857" s="49"/>
      <c r="M1857" s="53"/>
    </row>
    <row r="1858" spans="1:15" x14ac:dyDescent="0.25">
      <c r="A1858" s="21" t="str">
        <f>IF(C1858="","",COUNTA($C$3:C1858))</f>
        <v/>
      </c>
      <c r="B1858" s="35" t="str">
        <f t="shared" si="44"/>
        <v/>
      </c>
      <c r="C1858" s="33"/>
      <c r="D1858" s="18"/>
      <c r="E1858" s="77"/>
      <c r="F1858" s="52"/>
      <c r="G1858" s="18"/>
      <c r="H1858" s="49"/>
      <c r="I1858" s="49"/>
      <c r="M1858" s="53"/>
    </row>
    <row r="1859" spans="1:15" x14ac:dyDescent="0.25">
      <c r="A1859" s="21" t="str">
        <f>IF(C1859="","",COUNTA($C$3:C1859))</f>
        <v/>
      </c>
      <c r="B1859" s="35" t="str">
        <f t="shared" si="44"/>
        <v/>
      </c>
      <c r="C1859" s="33"/>
      <c r="D1859" s="18"/>
      <c r="E1859" s="77"/>
      <c r="F1859" s="52"/>
      <c r="G1859" s="18"/>
      <c r="H1859" s="49"/>
      <c r="I1859" s="49"/>
      <c r="M1859" s="53"/>
    </row>
    <row r="1860" spans="1:15" x14ac:dyDescent="0.25">
      <c r="A1860" s="21" t="str">
        <f>IF(C1860="","",COUNTA($C$3:C1860))</f>
        <v/>
      </c>
      <c r="B1860" s="35" t="str">
        <f t="shared" si="44"/>
        <v/>
      </c>
      <c r="C1860" s="33"/>
      <c r="D1860" s="18"/>
      <c r="E1860" s="77"/>
      <c r="F1860" s="52"/>
      <c r="G1860" s="18"/>
      <c r="H1860" s="49"/>
      <c r="I1860" s="49"/>
      <c r="M1860" s="53"/>
    </row>
    <row r="1861" spans="1:15" x14ac:dyDescent="0.25">
      <c r="A1861" s="21" t="str">
        <f>IF(C1861="","",COUNTA($C$3:C1861))</f>
        <v/>
      </c>
      <c r="B1861" s="35" t="str">
        <f t="shared" ref="B1861:B1924" si="45">IF(C1861="","",TEXT(C1861,"mmmm"))</f>
        <v/>
      </c>
      <c r="C1861" s="33"/>
      <c r="D1861" s="18"/>
      <c r="E1861" s="77"/>
      <c r="F1861" s="52"/>
      <c r="G1861" s="18"/>
      <c r="H1861" s="49"/>
      <c r="I1861" s="49"/>
      <c r="M1861" s="53"/>
    </row>
    <row r="1862" spans="1:15" x14ac:dyDescent="0.25">
      <c r="A1862" s="21" t="str">
        <f>IF(C1862="","",COUNTA($C$3:C1862))</f>
        <v/>
      </c>
      <c r="B1862" s="35" t="str">
        <f t="shared" si="45"/>
        <v/>
      </c>
      <c r="C1862" s="33"/>
      <c r="D1862" s="18"/>
      <c r="E1862" s="77"/>
      <c r="F1862" s="52"/>
      <c r="G1862" s="18"/>
      <c r="H1862" s="49"/>
      <c r="I1862" s="49"/>
      <c r="M1862" s="53"/>
    </row>
    <row r="1863" spans="1:15" x14ac:dyDescent="0.25">
      <c r="A1863" s="21" t="str">
        <f>IF(C1863="","",COUNTA($C$3:C1863))</f>
        <v/>
      </c>
      <c r="B1863" s="35" t="str">
        <f t="shared" si="45"/>
        <v/>
      </c>
      <c r="C1863" s="33"/>
      <c r="D1863" s="18"/>
      <c r="E1863" s="77"/>
      <c r="F1863" s="52"/>
      <c r="G1863" s="18"/>
      <c r="H1863" s="49"/>
      <c r="I1863" s="49"/>
      <c r="M1863" s="53"/>
    </row>
    <row r="1864" spans="1:15" x14ac:dyDescent="0.25">
      <c r="A1864" s="21" t="str">
        <f>IF(C1864="","",COUNTA($C$3:C1864))</f>
        <v/>
      </c>
      <c r="B1864" s="35" t="str">
        <f t="shared" si="45"/>
        <v/>
      </c>
      <c r="C1864" s="33"/>
      <c r="D1864" s="18"/>
      <c r="E1864" s="77"/>
      <c r="F1864" s="52"/>
      <c r="G1864" s="18"/>
      <c r="H1864" s="49"/>
      <c r="I1864" s="49"/>
      <c r="M1864" s="53"/>
    </row>
    <row r="1865" spans="1:15" x14ac:dyDescent="0.25">
      <c r="A1865" s="21" t="str">
        <f>IF(C1865="","",COUNTA($C$3:C1865))</f>
        <v/>
      </c>
      <c r="B1865" s="35" t="str">
        <f t="shared" si="45"/>
        <v/>
      </c>
      <c r="C1865" s="33"/>
      <c r="D1865" s="18"/>
      <c r="E1865" s="77"/>
      <c r="F1865" s="52"/>
      <c r="G1865" s="18"/>
      <c r="H1865" s="49"/>
      <c r="I1865" s="49"/>
      <c r="M1865" s="53"/>
    </row>
    <row r="1866" spans="1:15" x14ac:dyDescent="0.25">
      <c r="A1866" s="21" t="str">
        <f>IF(C1866="","",COUNTA($C$3:C1866))</f>
        <v/>
      </c>
      <c r="B1866" s="35" t="str">
        <f t="shared" si="45"/>
        <v/>
      </c>
      <c r="C1866" s="33"/>
      <c r="D1866" s="18"/>
      <c r="E1866" s="77"/>
      <c r="F1866" s="52"/>
      <c r="G1866" s="18"/>
      <c r="H1866" s="49"/>
      <c r="I1866" s="49"/>
      <c r="M1866" s="53"/>
    </row>
    <row r="1867" spans="1:15" x14ac:dyDescent="0.25">
      <c r="A1867" s="21" t="str">
        <f>IF(C1867="","",COUNTA($C$3:C1867))</f>
        <v/>
      </c>
      <c r="B1867" s="35" t="str">
        <f t="shared" si="45"/>
        <v/>
      </c>
      <c r="C1867" s="33"/>
      <c r="E1867" s="77"/>
      <c r="F1867" s="52"/>
      <c r="G1867" s="18"/>
      <c r="H1867" s="49"/>
      <c r="I1867" s="49"/>
      <c r="M1867" s="53"/>
    </row>
    <row r="1868" spans="1:15" x14ac:dyDescent="0.25">
      <c r="A1868" s="21" t="str">
        <f>IF(C1868="","",COUNTA($C$3:C1868))</f>
        <v/>
      </c>
      <c r="B1868" s="35" t="str">
        <f t="shared" si="45"/>
        <v/>
      </c>
      <c r="C1868" s="33"/>
      <c r="E1868" s="77"/>
      <c r="F1868" s="52"/>
      <c r="G1868" s="18"/>
      <c r="H1868" s="49"/>
      <c r="I1868" s="49"/>
      <c r="M1868" s="53"/>
    </row>
    <row r="1869" spans="1:15" x14ac:dyDescent="0.25">
      <c r="A1869" s="21" t="str">
        <f>IF(C1869="","",COUNTA($C$3:C1869))</f>
        <v/>
      </c>
      <c r="B1869" s="35" t="str">
        <f t="shared" si="45"/>
        <v/>
      </c>
      <c r="C1869" s="33"/>
      <c r="E1869" s="77"/>
      <c r="F1869" s="52"/>
      <c r="G1869" s="18"/>
      <c r="H1869" s="49"/>
      <c r="I1869" s="49"/>
      <c r="M1869" s="53"/>
    </row>
    <row r="1870" spans="1:15" x14ac:dyDescent="0.25">
      <c r="A1870" s="21" t="str">
        <f>IF(C1870="","",COUNTA($C$3:C1870))</f>
        <v/>
      </c>
      <c r="B1870" s="35" t="str">
        <f t="shared" si="45"/>
        <v/>
      </c>
      <c r="C1870" s="33"/>
      <c r="E1870" s="77"/>
      <c r="F1870" s="52"/>
      <c r="G1870" s="18"/>
      <c r="H1870" s="49"/>
      <c r="I1870" s="49"/>
      <c r="M1870" s="53"/>
    </row>
    <row r="1871" spans="1:15" x14ac:dyDescent="0.25">
      <c r="A1871" s="21" t="str">
        <f>IF(C1871="","",COUNTA($C$3:C1871))</f>
        <v/>
      </c>
      <c r="B1871" s="35" t="str">
        <f t="shared" si="45"/>
        <v/>
      </c>
      <c r="C1871" s="33"/>
      <c r="E1871" s="77"/>
      <c r="F1871" s="52"/>
      <c r="G1871" s="18"/>
      <c r="H1871" s="49"/>
      <c r="I1871" s="49"/>
      <c r="M1871" s="53"/>
    </row>
    <row r="1872" spans="1:15" x14ac:dyDescent="0.25">
      <c r="A1872" s="21" t="str">
        <f>IF(C1872="","",COUNTA($C$3:C1872))</f>
        <v/>
      </c>
      <c r="B1872" s="35" t="str">
        <f t="shared" si="45"/>
        <v/>
      </c>
      <c r="C1872" s="33"/>
      <c r="E1872" s="77"/>
      <c r="F1872" s="52"/>
      <c r="G1872" s="18"/>
      <c r="H1872" s="49"/>
      <c r="I1872" s="49"/>
      <c r="M1872" s="53"/>
      <c r="O1872" s="59"/>
    </row>
    <row r="1873" spans="1:17" x14ac:dyDescent="0.25">
      <c r="A1873" s="21" t="str">
        <f>IF(C1873="","",COUNTA($C$3:C1873))</f>
        <v/>
      </c>
      <c r="B1873" s="35" t="str">
        <f t="shared" si="45"/>
        <v/>
      </c>
      <c r="C1873" s="33"/>
      <c r="E1873" s="77"/>
      <c r="F1873" s="52"/>
      <c r="G1873" s="18"/>
      <c r="H1873" s="49"/>
      <c r="I1873" s="49"/>
      <c r="L1873" s="62"/>
      <c r="M1873" s="53"/>
      <c r="O1873" s="59"/>
    </row>
    <row r="1874" spans="1:17" x14ac:dyDescent="0.25">
      <c r="A1874" s="21" t="str">
        <f>IF(C1874="","",COUNTA($C$3:C1874))</f>
        <v/>
      </c>
      <c r="B1874" s="35" t="str">
        <f t="shared" si="45"/>
        <v/>
      </c>
      <c r="C1874" s="33"/>
      <c r="E1874" s="77"/>
      <c r="F1874" s="52"/>
      <c r="G1874" s="18"/>
      <c r="H1874" s="49"/>
      <c r="I1874" s="49"/>
      <c r="L1874" s="62"/>
      <c r="M1874" s="53"/>
      <c r="O1874" s="59"/>
    </row>
    <row r="1875" spans="1:17" x14ac:dyDescent="0.25">
      <c r="A1875" s="21" t="str">
        <f>IF(C1875="","",COUNTA($C$3:C1875))</f>
        <v/>
      </c>
      <c r="B1875" s="35" t="str">
        <f t="shared" si="45"/>
        <v/>
      </c>
      <c r="C1875" s="33"/>
      <c r="E1875" s="77"/>
      <c r="F1875" s="52"/>
      <c r="G1875" s="18"/>
      <c r="H1875" s="49"/>
      <c r="I1875" s="49"/>
      <c r="M1875" s="53"/>
      <c r="O1875" s="59"/>
    </row>
    <row r="1876" spans="1:17" x14ac:dyDescent="0.25">
      <c r="A1876" s="21" t="str">
        <f>IF(C1876="","",COUNTA($C$3:C1876))</f>
        <v/>
      </c>
      <c r="B1876" s="35" t="str">
        <f t="shared" si="45"/>
        <v/>
      </c>
      <c r="C1876" s="33"/>
      <c r="D1876" s="18"/>
      <c r="E1876" s="77"/>
      <c r="F1876" s="52"/>
      <c r="G1876" s="18"/>
      <c r="H1876" s="49"/>
      <c r="I1876" s="49"/>
      <c r="M1876" s="53"/>
      <c r="O1876" s="69"/>
    </row>
    <row r="1877" spans="1:17" x14ac:dyDescent="0.25">
      <c r="A1877" s="21" t="str">
        <f>IF(C1877="","",COUNTA($C$3:C1877))</f>
        <v/>
      </c>
      <c r="B1877" s="35" t="str">
        <f t="shared" si="45"/>
        <v/>
      </c>
      <c r="C1877" s="33"/>
      <c r="D1877" s="18"/>
      <c r="E1877" s="77"/>
      <c r="F1877" s="52"/>
      <c r="G1877" s="18"/>
      <c r="H1877" s="49"/>
      <c r="I1877" s="49"/>
      <c r="K1877" s="55"/>
      <c r="M1877" s="53"/>
    </row>
    <row r="1878" spans="1:17" x14ac:dyDescent="0.25">
      <c r="A1878" s="21" t="str">
        <f>IF(C1878="","",COUNTA($C$3:C1878))</f>
        <v/>
      </c>
      <c r="B1878" s="35" t="str">
        <f t="shared" si="45"/>
        <v/>
      </c>
      <c r="C1878" s="33"/>
      <c r="D1878" s="18"/>
      <c r="E1878" s="77"/>
      <c r="F1878" s="52"/>
      <c r="G1878" s="18"/>
      <c r="H1878" s="49"/>
      <c r="I1878" s="49"/>
      <c r="K1878" s="55"/>
      <c r="M1878" s="53"/>
    </row>
    <row r="1879" spans="1:17" x14ac:dyDescent="0.25">
      <c r="A1879" s="21" t="str">
        <f>IF(C1879="","",COUNTA($C$3:C1879))</f>
        <v/>
      </c>
      <c r="B1879" s="35" t="str">
        <f t="shared" si="45"/>
        <v/>
      </c>
      <c r="C1879" s="33"/>
      <c r="D1879" s="18"/>
      <c r="E1879" s="77"/>
      <c r="F1879" s="52"/>
      <c r="G1879" s="18"/>
      <c r="H1879" s="49"/>
      <c r="I1879" s="49"/>
      <c r="M1879" s="53"/>
    </row>
    <row r="1880" spans="1:17" x14ac:dyDescent="0.25">
      <c r="A1880" s="21" t="str">
        <f>IF(C1880="","",COUNTA($C$3:C1880))</f>
        <v/>
      </c>
      <c r="B1880" s="35" t="str">
        <f t="shared" si="45"/>
        <v/>
      </c>
      <c r="C1880" s="33"/>
      <c r="D1880" s="18"/>
      <c r="E1880" s="77"/>
      <c r="F1880" s="52"/>
      <c r="G1880" s="18"/>
      <c r="H1880" s="49"/>
      <c r="I1880" s="49"/>
      <c r="M1880" s="53"/>
      <c r="O1880" s="59"/>
    </row>
    <row r="1881" spans="1:17" x14ac:dyDescent="0.25">
      <c r="A1881" s="21" t="str">
        <f>IF(C1881="","",COUNTA($C$3:C1881))</f>
        <v/>
      </c>
      <c r="B1881" s="35" t="str">
        <f t="shared" si="45"/>
        <v/>
      </c>
      <c r="C1881" s="33"/>
      <c r="D1881" s="18"/>
      <c r="E1881" s="77"/>
      <c r="F1881" s="52"/>
      <c r="G1881" s="18"/>
      <c r="H1881" s="49"/>
      <c r="I1881" s="49"/>
      <c r="M1881" s="53"/>
      <c r="O1881" s="59"/>
    </row>
    <row r="1882" spans="1:17" x14ac:dyDescent="0.25">
      <c r="A1882" s="21" t="str">
        <f>IF(C1882="","",COUNTA($C$3:C1882))</f>
        <v/>
      </c>
      <c r="B1882" s="35" t="str">
        <f t="shared" si="45"/>
        <v/>
      </c>
      <c r="C1882" s="33"/>
      <c r="D1882" s="18"/>
      <c r="E1882" s="77"/>
      <c r="F1882" s="52"/>
      <c r="G1882" s="18"/>
      <c r="H1882" s="49"/>
      <c r="I1882" s="49"/>
      <c r="M1882" s="53"/>
      <c r="O1882" s="59"/>
    </row>
    <row r="1883" spans="1:17" x14ac:dyDescent="0.25">
      <c r="A1883" s="21" t="str">
        <f>IF(C1883="","",COUNTA($C$3:C1883))</f>
        <v/>
      </c>
      <c r="B1883" s="35" t="str">
        <f t="shared" si="45"/>
        <v/>
      </c>
      <c r="C1883" s="33"/>
      <c r="E1883" s="60"/>
      <c r="F1883" s="52"/>
      <c r="G1883" s="18"/>
      <c r="H1883" s="49"/>
      <c r="I1883" s="49"/>
      <c r="M1883" s="53"/>
      <c r="N1883" s="59"/>
      <c r="O1883" s="59"/>
    </row>
    <row r="1884" spans="1:17" x14ac:dyDescent="0.25">
      <c r="A1884" s="21" t="str">
        <f>IF(C1884="","",COUNTA($C$3:C1884))</f>
        <v/>
      </c>
      <c r="B1884" s="35" t="str">
        <f t="shared" si="45"/>
        <v/>
      </c>
      <c r="C1884" s="33"/>
      <c r="E1884" s="60"/>
      <c r="F1884" s="52"/>
      <c r="G1884" s="18"/>
      <c r="H1884" s="49"/>
      <c r="I1884" s="49"/>
      <c r="K1884" s="55"/>
      <c r="M1884" s="53"/>
      <c r="O1884" s="71"/>
    </row>
    <row r="1885" spans="1:17" x14ac:dyDescent="0.25">
      <c r="A1885" s="21" t="str">
        <f>IF(C1885="","",COUNTA($C$3:C1885))</f>
        <v/>
      </c>
      <c r="B1885" s="35" t="str">
        <f t="shared" si="45"/>
        <v/>
      </c>
      <c r="C1885" s="33"/>
      <c r="E1885" s="60"/>
      <c r="F1885" s="52"/>
      <c r="G1885" s="18"/>
      <c r="H1885" s="49"/>
      <c r="I1885" s="49"/>
      <c r="M1885" s="53"/>
      <c r="O1885" s="59"/>
      <c r="P1885" s="59"/>
      <c r="Q1885" s="59"/>
    </row>
    <row r="1886" spans="1:17" x14ac:dyDescent="0.25">
      <c r="A1886" s="21" t="str">
        <f>IF(C1886="","",COUNTA($C$3:C1886))</f>
        <v/>
      </c>
      <c r="B1886" s="35" t="str">
        <f t="shared" si="45"/>
        <v/>
      </c>
      <c r="C1886" s="33"/>
      <c r="E1886" s="60"/>
      <c r="F1886" s="52"/>
      <c r="G1886" s="18"/>
      <c r="H1886" s="49"/>
      <c r="I1886" s="49"/>
      <c r="M1886" s="53"/>
      <c r="O1886" s="59"/>
      <c r="P1886" s="59"/>
      <c r="Q1886" s="59"/>
    </row>
    <row r="1887" spans="1:17" x14ac:dyDescent="0.25">
      <c r="A1887" s="21" t="str">
        <f>IF(C1887="","",COUNTA($C$3:C1887))</f>
        <v/>
      </c>
      <c r="B1887" s="35" t="str">
        <f t="shared" si="45"/>
        <v/>
      </c>
      <c r="C1887" s="33"/>
      <c r="E1887" s="60"/>
      <c r="F1887" s="52"/>
      <c r="G1887" s="18"/>
      <c r="H1887" s="49"/>
      <c r="I1887" s="49"/>
      <c r="M1887" s="53"/>
      <c r="O1887" s="59"/>
      <c r="P1887" s="59"/>
      <c r="Q1887" s="59"/>
    </row>
    <row r="1888" spans="1:17" x14ac:dyDescent="0.25">
      <c r="A1888" s="21" t="str">
        <f>IF(C1888="","",COUNTA($C$3:C1888))</f>
        <v/>
      </c>
      <c r="B1888" s="35" t="str">
        <f t="shared" si="45"/>
        <v/>
      </c>
      <c r="C1888" s="33"/>
      <c r="E1888" s="60"/>
      <c r="F1888" s="52"/>
      <c r="G1888" s="18"/>
      <c r="H1888" s="49"/>
      <c r="I1888" s="49"/>
      <c r="M1888" s="53"/>
      <c r="O1888" s="59"/>
      <c r="P1888" s="59"/>
      <c r="Q1888" s="59"/>
    </row>
    <row r="1889" spans="1:17" x14ac:dyDescent="0.25">
      <c r="A1889" s="21" t="str">
        <f>IF(C1889="","",COUNTA($C$3:C1889))</f>
        <v/>
      </c>
      <c r="B1889" s="35" t="str">
        <f t="shared" si="45"/>
        <v/>
      </c>
      <c r="C1889" s="33"/>
      <c r="E1889" s="60"/>
      <c r="F1889" s="52"/>
      <c r="G1889" s="18"/>
      <c r="H1889" s="49"/>
      <c r="I1889" s="49"/>
      <c r="M1889" s="53"/>
      <c r="O1889" s="59"/>
      <c r="P1889" s="59"/>
      <c r="Q1889" s="59"/>
    </row>
    <row r="1890" spans="1:17" x14ac:dyDescent="0.25">
      <c r="A1890" s="21" t="str">
        <f>IF(C1890="","",COUNTA($C$3:C1890))</f>
        <v/>
      </c>
      <c r="B1890" s="35" t="str">
        <f t="shared" si="45"/>
        <v/>
      </c>
      <c r="C1890" s="33"/>
      <c r="E1890" s="60"/>
      <c r="F1890" s="52"/>
      <c r="G1890" s="18"/>
      <c r="H1890" s="49"/>
      <c r="I1890" s="49"/>
      <c r="M1890" s="53"/>
      <c r="O1890" s="59"/>
      <c r="P1890" s="59"/>
      <c r="Q1890" s="59"/>
    </row>
    <row r="1891" spans="1:17" x14ac:dyDescent="0.25">
      <c r="A1891" s="21" t="str">
        <f>IF(C1891="","",COUNTA($C$3:C1891))</f>
        <v/>
      </c>
      <c r="B1891" s="35" t="str">
        <f t="shared" si="45"/>
        <v/>
      </c>
      <c r="C1891" s="33"/>
      <c r="E1891" s="60"/>
      <c r="F1891" s="52"/>
      <c r="G1891" s="18"/>
      <c r="H1891" s="49"/>
      <c r="I1891" s="49"/>
      <c r="M1891" s="53"/>
    </row>
    <row r="1892" spans="1:17" x14ac:dyDescent="0.25">
      <c r="A1892" s="21" t="str">
        <f>IF(C1892="","",COUNTA($C$3:C1892))</f>
        <v/>
      </c>
      <c r="B1892" s="35" t="str">
        <f t="shared" si="45"/>
        <v/>
      </c>
      <c r="C1892" s="33"/>
      <c r="E1892" s="60"/>
      <c r="F1892" s="52"/>
      <c r="G1892" s="18"/>
      <c r="H1892" s="49"/>
      <c r="I1892" s="49"/>
      <c r="M1892" s="53"/>
    </row>
    <row r="1893" spans="1:17" x14ac:dyDescent="0.25">
      <c r="A1893" s="21" t="str">
        <f>IF(C1893="","",COUNTA($C$3:C1893))</f>
        <v/>
      </c>
      <c r="B1893" s="35" t="str">
        <f t="shared" si="45"/>
        <v/>
      </c>
      <c r="C1893" s="33"/>
      <c r="E1893" s="60"/>
      <c r="F1893" s="52"/>
      <c r="G1893" s="18"/>
      <c r="H1893" s="49"/>
      <c r="I1893" s="49"/>
      <c r="L1893" s="78"/>
      <c r="M1893" s="53"/>
    </row>
    <row r="1894" spans="1:17" x14ac:dyDescent="0.25">
      <c r="A1894" s="21" t="str">
        <f>IF(C1894="","",COUNTA($C$3:C1894))</f>
        <v/>
      </c>
      <c r="B1894" s="35" t="str">
        <f t="shared" si="45"/>
        <v/>
      </c>
      <c r="C1894" s="33"/>
      <c r="E1894" s="60"/>
      <c r="F1894" s="52"/>
      <c r="G1894" s="18"/>
      <c r="H1894" s="49"/>
      <c r="I1894" s="49"/>
      <c r="L1894" s="78"/>
      <c r="M1894" s="53"/>
    </row>
    <row r="1895" spans="1:17" x14ac:dyDescent="0.25">
      <c r="A1895" s="21" t="str">
        <f>IF(C1895="","",COUNTA($C$3:C1895))</f>
        <v/>
      </c>
      <c r="B1895" s="35" t="str">
        <f t="shared" si="45"/>
        <v/>
      </c>
      <c r="C1895" s="33"/>
      <c r="E1895" s="60"/>
      <c r="F1895" s="52"/>
      <c r="G1895" s="18"/>
      <c r="H1895" s="49"/>
      <c r="I1895" s="49"/>
      <c r="L1895" s="78"/>
      <c r="M1895" s="53"/>
    </row>
    <row r="1896" spans="1:17" x14ac:dyDescent="0.25">
      <c r="A1896" s="21" t="str">
        <f>IF(C1896="","",COUNTA($C$3:C1896))</f>
        <v/>
      </c>
      <c r="B1896" s="35" t="str">
        <f t="shared" si="45"/>
        <v/>
      </c>
      <c r="C1896" s="33"/>
      <c r="E1896" s="60"/>
      <c r="F1896" s="52"/>
      <c r="G1896" s="18"/>
      <c r="H1896" s="49"/>
      <c r="I1896" s="49"/>
      <c r="M1896" s="53"/>
    </row>
    <row r="1897" spans="1:17" x14ac:dyDescent="0.25">
      <c r="A1897" s="21" t="str">
        <f>IF(C1897="","",COUNTA($C$3:C1897))</f>
        <v/>
      </c>
      <c r="B1897" s="35" t="str">
        <f t="shared" si="45"/>
        <v/>
      </c>
      <c r="C1897" s="33"/>
      <c r="E1897" s="60"/>
      <c r="F1897" s="18"/>
      <c r="G1897" s="18"/>
      <c r="H1897" s="49"/>
      <c r="I1897" s="49"/>
      <c r="K1897" s="67"/>
      <c r="M1897" s="53"/>
    </row>
    <row r="1898" spans="1:17" x14ac:dyDescent="0.25">
      <c r="A1898" s="21" t="str">
        <f>IF(C1898="","",COUNTA($C$3:C1898))</f>
        <v/>
      </c>
      <c r="B1898" s="35" t="str">
        <f t="shared" si="45"/>
        <v/>
      </c>
      <c r="C1898" s="33"/>
      <c r="E1898" s="60"/>
      <c r="F1898" s="18"/>
      <c r="G1898" s="18"/>
      <c r="H1898" s="49"/>
      <c r="I1898" s="49"/>
      <c r="L1898" s="62"/>
      <c r="M1898" s="53"/>
      <c r="O1898" s="59"/>
    </row>
    <row r="1899" spans="1:17" x14ac:dyDescent="0.25">
      <c r="A1899" s="21" t="str">
        <f>IF(C1899="","",COUNTA($C$3:C1899))</f>
        <v/>
      </c>
      <c r="B1899" s="35" t="str">
        <f t="shared" si="45"/>
        <v/>
      </c>
      <c r="C1899" s="33"/>
      <c r="E1899" s="60"/>
      <c r="F1899" s="18"/>
      <c r="G1899" s="18"/>
      <c r="H1899" s="49"/>
      <c r="I1899" s="49"/>
      <c r="M1899" s="53"/>
      <c r="O1899" s="59"/>
    </row>
    <row r="1900" spans="1:17" x14ac:dyDescent="0.25">
      <c r="A1900" s="21" t="str">
        <f>IF(C1900="","",COUNTA($C$3:C1900))</f>
        <v/>
      </c>
      <c r="B1900" s="35" t="str">
        <f t="shared" si="45"/>
        <v/>
      </c>
      <c r="C1900" s="33"/>
      <c r="E1900" s="60"/>
      <c r="F1900" s="18"/>
      <c r="G1900" s="18"/>
      <c r="H1900" s="49"/>
      <c r="I1900" s="49"/>
      <c r="M1900" s="53"/>
      <c r="O1900" s="59"/>
    </row>
    <row r="1901" spans="1:17" x14ac:dyDescent="0.25">
      <c r="A1901" s="21" t="str">
        <f>IF(C1901="","",COUNTA($C$3:C1901))</f>
        <v/>
      </c>
      <c r="B1901" s="35" t="str">
        <f t="shared" si="45"/>
        <v/>
      </c>
      <c r="C1901" s="33"/>
      <c r="E1901" s="60"/>
      <c r="F1901" s="18"/>
      <c r="G1901" s="18"/>
      <c r="H1901" s="49"/>
      <c r="I1901" s="49"/>
      <c r="M1901" s="53"/>
      <c r="O1901" s="59"/>
    </row>
    <row r="1902" spans="1:17" x14ac:dyDescent="0.25">
      <c r="A1902" s="21" t="str">
        <f>IF(C1902="","",COUNTA($C$3:C1902))</f>
        <v/>
      </c>
      <c r="B1902" s="35" t="str">
        <f t="shared" si="45"/>
        <v/>
      </c>
      <c r="C1902" s="33"/>
      <c r="E1902" s="60"/>
      <c r="F1902" s="18"/>
      <c r="G1902" s="18"/>
      <c r="H1902" s="49"/>
      <c r="I1902" s="49"/>
      <c r="M1902" s="53"/>
    </row>
    <row r="1903" spans="1:17" x14ac:dyDescent="0.25">
      <c r="A1903" s="21" t="str">
        <f>IF(C1903="","",COUNTA($C$3:C1903))</f>
        <v/>
      </c>
      <c r="B1903" s="35" t="str">
        <f t="shared" si="45"/>
        <v/>
      </c>
      <c r="C1903" s="33"/>
      <c r="E1903" s="60"/>
      <c r="F1903" s="18"/>
      <c r="G1903" s="18"/>
      <c r="H1903" s="49"/>
      <c r="I1903" s="49"/>
      <c r="M1903" s="53"/>
    </row>
    <row r="1904" spans="1:17" x14ac:dyDescent="0.25">
      <c r="A1904" s="21" t="str">
        <f>IF(C1904="","",COUNTA($C$3:C1904))</f>
        <v/>
      </c>
      <c r="B1904" s="35" t="str">
        <f t="shared" si="45"/>
        <v/>
      </c>
      <c r="C1904" s="33"/>
      <c r="E1904" s="60"/>
      <c r="F1904" s="18"/>
      <c r="G1904" s="18"/>
      <c r="H1904" s="49"/>
      <c r="I1904" s="49"/>
      <c r="L1904" s="78"/>
      <c r="M1904" s="53"/>
    </row>
    <row r="1905" spans="1:15" x14ac:dyDescent="0.25">
      <c r="A1905" s="21" t="str">
        <f>IF(C1905="","",COUNTA($C$3:C1905))</f>
        <v/>
      </c>
      <c r="B1905" s="35" t="str">
        <f t="shared" si="45"/>
        <v/>
      </c>
      <c r="C1905" s="33"/>
      <c r="E1905" s="60"/>
      <c r="F1905" s="18"/>
      <c r="G1905" s="18"/>
      <c r="H1905" s="49"/>
      <c r="I1905" s="49"/>
      <c r="L1905" s="78"/>
      <c r="M1905" s="53"/>
    </row>
    <row r="1906" spans="1:15" x14ac:dyDescent="0.25">
      <c r="A1906" s="21" t="str">
        <f>IF(C1906="","",COUNTA($C$3:C1906))</f>
        <v/>
      </c>
      <c r="B1906" s="35" t="str">
        <f t="shared" si="45"/>
        <v/>
      </c>
      <c r="C1906" s="33"/>
      <c r="E1906" s="60"/>
      <c r="F1906" s="18"/>
      <c r="G1906" s="18"/>
      <c r="H1906" s="49"/>
      <c r="I1906" s="49"/>
      <c r="L1906" s="78"/>
      <c r="M1906" s="53"/>
    </row>
    <row r="1907" spans="1:15" x14ac:dyDescent="0.25">
      <c r="A1907" s="21" t="str">
        <f>IF(C1907="","",COUNTA($C$3:C1907))</f>
        <v/>
      </c>
      <c r="B1907" s="35" t="str">
        <f t="shared" si="45"/>
        <v/>
      </c>
      <c r="C1907" s="33"/>
      <c r="E1907" s="60"/>
      <c r="F1907" s="18"/>
      <c r="G1907" s="18"/>
      <c r="H1907" s="49"/>
      <c r="I1907" s="49"/>
      <c r="M1907" s="53"/>
    </row>
    <row r="1908" spans="1:15" x14ac:dyDescent="0.25">
      <c r="A1908" s="21" t="str">
        <f>IF(C1908="","",COUNTA($C$3:C1908))</f>
        <v/>
      </c>
      <c r="B1908" s="35" t="str">
        <f t="shared" si="45"/>
        <v/>
      </c>
      <c r="C1908" s="33"/>
      <c r="E1908" s="60"/>
      <c r="F1908" s="18"/>
      <c r="G1908" s="18"/>
      <c r="H1908" s="49"/>
      <c r="I1908" s="76"/>
      <c r="M1908" s="53"/>
    </row>
    <row r="1909" spans="1:15" x14ac:dyDescent="0.25">
      <c r="A1909" s="21" t="str">
        <f>IF(C1909="","",COUNTA($C$3:C1909))</f>
        <v/>
      </c>
      <c r="B1909" s="35" t="str">
        <f t="shared" si="45"/>
        <v/>
      </c>
      <c r="C1909" s="33"/>
      <c r="E1909" s="60"/>
      <c r="F1909" s="18"/>
      <c r="G1909" s="18"/>
      <c r="H1909" s="49"/>
      <c r="I1909" s="49"/>
      <c r="M1909" s="53"/>
    </row>
    <row r="1910" spans="1:15" x14ac:dyDescent="0.25">
      <c r="A1910" s="21" t="str">
        <f>IF(C1910="","",COUNTA($C$3:C1910))</f>
        <v/>
      </c>
      <c r="B1910" s="35" t="str">
        <f t="shared" si="45"/>
        <v/>
      </c>
      <c r="C1910" s="33"/>
      <c r="E1910" s="60"/>
      <c r="F1910" s="18"/>
      <c r="G1910" s="18"/>
      <c r="H1910" s="49"/>
      <c r="I1910" s="49"/>
      <c r="M1910" s="53"/>
    </row>
    <row r="1911" spans="1:15" x14ac:dyDescent="0.25">
      <c r="A1911" s="21" t="str">
        <f>IF(C1911="","",COUNTA($C$3:C1911))</f>
        <v/>
      </c>
      <c r="B1911" s="35" t="str">
        <f t="shared" si="45"/>
        <v/>
      </c>
      <c r="C1911" s="33"/>
      <c r="E1911" s="60"/>
      <c r="F1911" s="18"/>
      <c r="G1911" s="18"/>
      <c r="H1911" s="49"/>
      <c r="I1911" s="49"/>
      <c r="M1911" s="53"/>
    </row>
    <row r="1912" spans="1:15" x14ac:dyDescent="0.25">
      <c r="A1912" s="21" t="str">
        <f>IF(C1912="","",COUNTA($C$3:C1912))</f>
        <v/>
      </c>
      <c r="B1912" s="35" t="str">
        <f t="shared" si="45"/>
        <v/>
      </c>
      <c r="C1912" s="33"/>
      <c r="E1912" s="60"/>
      <c r="F1912" s="18"/>
      <c r="G1912" s="18"/>
      <c r="H1912" s="49"/>
      <c r="I1912" s="49"/>
      <c r="K1912" s="67"/>
      <c r="M1912" s="53"/>
    </row>
    <row r="1913" spans="1:15" x14ac:dyDescent="0.25">
      <c r="A1913" s="21" t="str">
        <f>IF(C1913="","",COUNTA($C$3:C1913))</f>
        <v/>
      </c>
      <c r="B1913" s="35" t="str">
        <f t="shared" si="45"/>
        <v/>
      </c>
      <c r="C1913" s="33"/>
      <c r="E1913" s="60"/>
      <c r="F1913" s="18"/>
      <c r="G1913" s="18"/>
      <c r="H1913" s="49"/>
      <c r="I1913" s="49"/>
      <c r="K1913" s="67"/>
      <c r="M1913" s="53"/>
    </row>
    <row r="1914" spans="1:15" x14ac:dyDescent="0.25">
      <c r="A1914" s="21" t="str">
        <f>IF(C1914="","",COUNTA($C$3:C1914))</f>
        <v/>
      </c>
      <c r="B1914" s="35" t="str">
        <f t="shared" si="45"/>
        <v/>
      </c>
      <c r="C1914" s="33"/>
      <c r="E1914" s="60"/>
      <c r="F1914" s="18"/>
      <c r="G1914" s="18"/>
      <c r="H1914" s="49"/>
      <c r="I1914" s="49"/>
      <c r="M1914" s="53"/>
    </row>
    <row r="1915" spans="1:15" x14ac:dyDescent="0.25">
      <c r="A1915" s="21" t="str">
        <f>IF(C1915="","",COUNTA($C$3:C1915))</f>
        <v/>
      </c>
      <c r="B1915" s="35" t="str">
        <f t="shared" si="45"/>
        <v/>
      </c>
      <c r="C1915" s="33"/>
      <c r="E1915" s="60"/>
      <c r="F1915" s="18"/>
      <c r="G1915" s="18"/>
      <c r="H1915" s="49"/>
      <c r="I1915" s="49"/>
      <c r="L1915" s="62"/>
      <c r="M1915" s="53"/>
      <c r="O1915" s="59"/>
    </row>
    <row r="1916" spans="1:15" x14ac:dyDescent="0.25">
      <c r="A1916" s="21" t="str">
        <f>IF(C1916="","",COUNTA($C$3:C1916))</f>
        <v/>
      </c>
      <c r="B1916" s="35" t="str">
        <f t="shared" si="45"/>
        <v/>
      </c>
      <c r="C1916" s="33"/>
      <c r="E1916" s="60"/>
      <c r="F1916" s="18"/>
      <c r="G1916" s="18"/>
      <c r="H1916" s="49"/>
      <c r="I1916" s="49"/>
      <c r="M1916" s="53"/>
    </row>
    <row r="1917" spans="1:15" x14ac:dyDescent="0.25">
      <c r="A1917" s="21" t="str">
        <f>IF(C1917="","",COUNTA($C$3:C1917))</f>
        <v/>
      </c>
      <c r="B1917" s="35" t="str">
        <f t="shared" si="45"/>
        <v/>
      </c>
      <c r="C1917" s="33"/>
      <c r="E1917" s="60"/>
      <c r="F1917" s="18"/>
      <c r="G1917" s="18"/>
      <c r="H1917" s="49"/>
      <c r="I1917" s="49"/>
      <c r="L1917" s="78"/>
      <c r="M1917" s="53"/>
    </row>
    <row r="1918" spans="1:15" x14ac:dyDescent="0.25">
      <c r="A1918" s="21" t="str">
        <f>IF(C1918="","",COUNTA($C$3:C1918))</f>
        <v/>
      </c>
      <c r="B1918" s="35" t="str">
        <f t="shared" si="45"/>
        <v/>
      </c>
      <c r="C1918" s="33"/>
      <c r="E1918" s="60"/>
      <c r="F1918" s="18"/>
      <c r="G1918" s="18"/>
      <c r="H1918" s="49"/>
      <c r="I1918" s="49"/>
      <c r="L1918" s="78"/>
      <c r="M1918" s="53"/>
    </row>
    <row r="1919" spans="1:15" x14ac:dyDescent="0.25">
      <c r="A1919" s="21" t="str">
        <f>IF(C1919="","",COUNTA($C$3:C1919))</f>
        <v/>
      </c>
      <c r="B1919" s="35" t="str">
        <f t="shared" si="45"/>
        <v/>
      </c>
      <c r="C1919" s="33"/>
      <c r="E1919" s="60"/>
      <c r="F1919" s="18"/>
      <c r="G1919" s="18"/>
      <c r="H1919" s="49"/>
      <c r="I1919" s="49"/>
      <c r="L1919" s="78"/>
      <c r="M1919" s="53"/>
      <c r="O1919" s="71"/>
    </row>
    <row r="1920" spans="1:15" x14ac:dyDescent="0.25">
      <c r="A1920" s="21" t="str">
        <f>IF(C1920="","",COUNTA($C$3:C1920))</f>
        <v/>
      </c>
      <c r="B1920" s="35" t="str">
        <f t="shared" si="45"/>
        <v/>
      </c>
      <c r="C1920" s="33"/>
      <c r="E1920" s="60"/>
      <c r="F1920" s="18"/>
      <c r="G1920" s="18"/>
      <c r="H1920" s="49"/>
      <c r="I1920" s="49"/>
      <c r="M1920" s="53"/>
    </row>
    <row r="1921" spans="1:15" x14ac:dyDescent="0.25">
      <c r="A1921" s="21" t="str">
        <f>IF(C1921="","",COUNTA($C$3:C1921))</f>
        <v/>
      </c>
      <c r="B1921" s="35" t="str">
        <f t="shared" si="45"/>
        <v/>
      </c>
      <c r="C1921" s="33"/>
      <c r="E1921" s="60"/>
      <c r="F1921" s="18"/>
      <c r="G1921" s="18"/>
      <c r="H1921" s="49"/>
      <c r="I1921" s="49"/>
      <c r="M1921" s="53"/>
    </row>
    <row r="1922" spans="1:15" x14ac:dyDescent="0.25">
      <c r="A1922" s="21" t="str">
        <f>IF(C1922="","",COUNTA($C$3:C1922))</f>
        <v/>
      </c>
      <c r="B1922" s="35" t="str">
        <f t="shared" si="45"/>
        <v/>
      </c>
      <c r="C1922" s="33"/>
      <c r="E1922" s="60"/>
      <c r="F1922" s="18"/>
      <c r="G1922" s="18"/>
      <c r="H1922" s="49"/>
      <c r="I1922" s="49"/>
      <c r="M1922" s="53"/>
    </row>
    <row r="1923" spans="1:15" x14ac:dyDescent="0.25">
      <c r="A1923" s="21" t="str">
        <f>IF(C1923="","",COUNTA($C$3:C1923))</f>
        <v/>
      </c>
      <c r="B1923" s="35" t="str">
        <f t="shared" si="45"/>
        <v/>
      </c>
      <c r="C1923" s="33"/>
      <c r="E1923" s="60"/>
      <c r="F1923" s="18"/>
      <c r="G1923" s="18"/>
      <c r="H1923" s="49"/>
      <c r="I1923" s="49"/>
      <c r="M1923" s="53"/>
    </row>
    <row r="1924" spans="1:15" x14ac:dyDescent="0.25">
      <c r="A1924" s="21" t="str">
        <f>IF(C1924="","",COUNTA($C$3:C1924))</f>
        <v/>
      </c>
      <c r="B1924" s="35" t="str">
        <f t="shared" si="45"/>
        <v/>
      </c>
      <c r="C1924" s="33"/>
      <c r="E1924" s="60"/>
      <c r="F1924" s="18"/>
      <c r="G1924" s="18"/>
      <c r="H1924" s="49"/>
      <c r="I1924" s="49"/>
      <c r="M1924" s="53"/>
    </row>
    <row r="1925" spans="1:15" x14ac:dyDescent="0.25">
      <c r="A1925" s="21" t="str">
        <f>IF(C1925="","",COUNTA($C$3:C1925))</f>
        <v/>
      </c>
      <c r="B1925" s="35" t="str">
        <f t="shared" ref="B1925:B1988" si="46">IF(C1925="","",TEXT(C1925,"mmmm"))</f>
        <v/>
      </c>
      <c r="C1925" s="33"/>
      <c r="E1925" s="60"/>
      <c r="F1925" s="18"/>
      <c r="G1925" s="18"/>
      <c r="H1925" s="49"/>
      <c r="I1925" s="49"/>
      <c r="M1925" s="53"/>
    </row>
    <row r="1926" spans="1:15" x14ac:dyDescent="0.25">
      <c r="A1926" s="21" t="str">
        <f>IF(C1926="","",COUNTA($C$3:C1926))</f>
        <v/>
      </c>
      <c r="B1926" s="35" t="str">
        <f t="shared" si="46"/>
        <v/>
      </c>
      <c r="C1926" s="33"/>
      <c r="E1926" s="60"/>
      <c r="F1926" s="18"/>
      <c r="G1926" s="18"/>
      <c r="H1926" s="49"/>
      <c r="I1926" s="49"/>
      <c r="M1926" s="53"/>
    </row>
    <row r="1927" spans="1:15" x14ac:dyDescent="0.25">
      <c r="A1927" s="21" t="str">
        <f>IF(C1927="","",COUNTA($C$3:C1927))</f>
        <v/>
      </c>
      <c r="B1927" s="35" t="str">
        <f t="shared" si="46"/>
        <v/>
      </c>
      <c r="C1927" s="33"/>
      <c r="E1927" s="60"/>
      <c r="F1927" s="18"/>
      <c r="G1927" s="18"/>
      <c r="H1927" s="49"/>
      <c r="I1927" s="49"/>
      <c r="M1927" s="53"/>
    </row>
    <row r="1928" spans="1:15" x14ac:dyDescent="0.25">
      <c r="A1928" s="21" t="str">
        <f>IF(C1928="","",COUNTA($C$3:C1928))</f>
        <v/>
      </c>
      <c r="B1928" s="35" t="str">
        <f t="shared" si="46"/>
        <v/>
      </c>
      <c r="C1928" s="33"/>
      <c r="E1928" s="60"/>
      <c r="F1928" s="18"/>
      <c r="G1928" s="18"/>
      <c r="H1928" s="49"/>
      <c r="I1928" s="49"/>
      <c r="M1928" s="53"/>
    </row>
    <row r="1929" spans="1:15" x14ac:dyDescent="0.25">
      <c r="A1929" s="21" t="str">
        <f>IF(C1929="","",COUNTA($C$3:C1929))</f>
        <v/>
      </c>
      <c r="B1929" s="35" t="str">
        <f t="shared" si="46"/>
        <v/>
      </c>
      <c r="C1929" s="33"/>
      <c r="E1929" s="60"/>
      <c r="F1929" s="18"/>
      <c r="G1929" s="18"/>
      <c r="H1929" s="49"/>
      <c r="I1929" s="49"/>
      <c r="M1929" s="53"/>
      <c r="O1929" s="59"/>
    </row>
    <row r="1930" spans="1:15" x14ac:dyDescent="0.25">
      <c r="A1930" s="21" t="str">
        <f>IF(C1930="","",COUNTA($C$3:C1930))</f>
        <v/>
      </c>
      <c r="B1930" s="35" t="str">
        <f t="shared" si="46"/>
        <v/>
      </c>
      <c r="C1930" s="33"/>
      <c r="E1930" s="60"/>
      <c r="F1930" s="18"/>
      <c r="G1930" s="18"/>
      <c r="H1930" s="49"/>
      <c r="I1930" s="49"/>
      <c r="M1930" s="53"/>
      <c r="O1930" s="59"/>
    </row>
    <row r="1931" spans="1:15" x14ac:dyDescent="0.25">
      <c r="A1931" s="21" t="str">
        <f>IF(C1931="","",COUNTA($C$3:C1931))</f>
        <v/>
      </c>
      <c r="B1931" s="35" t="str">
        <f t="shared" si="46"/>
        <v/>
      </c>
      <c r="C1931" s="33"/>
      <c r="E1931" s="60"/>
      <c r="F1931" s="18"/>
      <c r="G1931" s="18"/>
      <c r="H1931" s="49"/>
      <c r="I1931" s="49"/>
      <c r="K1931" s="55"/>
      <c r="M1931" s="53"/>
    </row>
    <row r="1932" spans="1:15" x14ac:dyDescent="0.25">
      <c r="A1932" s="21" t="str">
        <f>IF(C1932="","",COUNTA($C$3:C1932))</f>
        <v/>
      </c>
      <c r="B1932" s="35" t="str">
        <f t="shared" si="46"/>
        <v/>
      </c>
      <c r="C1932" s="33"/>
      <c r="E1932" s="60"/>
      <c r="F1932" s="18"/>
      <c r="G1932" s="18"/>
      <c r="H1932" s="49"/>
      <c r="I1932" s="49"/>
      <c r="M1932" s="53"/>
    </row>
    <row r="1933" spans="1:15" x14ac:dyDescent="0.25">
      <c r="A1933" s="21" t="str">
        <f>IF(C1933="","",COUNTA($C$3:C1933))</f>
        <v/>
      </c>
      <c r="B1933" s="35" t="str">
        <f t="shared" si="46"/>
        <v/>
      </c>
      <c r="C1933" s="33"/>
      <c r="E1933" s="60"/>
      <c r="F1933" s="18"/>
      <c r="G1933" s="18"/>
      <c r="H1933" s="49"/>
      <c r="I1933" s="49"/>
      <c r="M1933" s="53"/>
    </row>
    <row r="1934" spans="1:15" x14ac:dyDescent="0.25">
      <c r="A1934" s="21" t="str">
        <f>IF(C1934="","",COUNTA($C$3:C1934))</f>
        <v/>
      </c>
      <c r="B1934" s="35" t="str">
        <f t="shared" si="46"/>
        <v/>
      </c>
      <c r="C1934" s="33"/>
      <c r="E1934" s="60"/>
      <c r="F1934" s="18"/>
      <c r="G1934" s="18"/>
      <c r="H1934" s="49"/>
      <c r="I1934" s="49"/>
      <c r="L1934" s="78"/>
      <c r="M1934" s="53"/>
    </row>
    <row r="1935" spans="1:15" x14ac:dyDescent="0.25">
      <c r="A1935" s="21" t="str">
        <f>IF(C1935="","",COUNTA($C$3:C1935))</f>
        <v/>
      </c>
      <c r="B1935" s="35" t="str">
        <f t="shared" si="46"/>
        <v/>
      </c>
      <c r="C1935" s="33"/>
      <c r="E1935" s="60"/>
      <c r="F1935" s="18"/>
      <c r="G1935" s="18"/>
      <c r="H1935" s="49"/>
      <c r="I1935" s="49"/>
      <c r="L1935" s="78"/>
      <c r="M1935" s="53"/>
    </row>
    <row r="1936" spans="1:15" x14ac:dyDescent="0.25">
      <c r="A1936" s="21" t="str">
        <f>IF(C1936="","",COUNTA($C$3:C1936))</f>
        <v/>
      </c>
      <c r="B1936" s="35" t="str">
        <f t="shared" si="46"/>
        <v/>
      </c>
      <c r="C1936" s="33"/>
      <c r="E1936" s="60"/>
      <c r="F1936" s="18"/>
      <c r="G1936" s="18"/>
      <c r="H1936" s="49"/>
      <c r="I1936" s="49"/>
      <c r="L1936" s="78"/>
      <c r="M1936" s="53"/>
    </row>
    <row r="1937" spans="1:13" x14ac:dyDescent="0.25">
      <c r="A1937" s="21" t="str">
        <f>IF(C1937="","",COUNTA($C$3:C1937))</f>
        <v/>
      </c>
      <c r="B1937" s="35" t="str">
        <f t="shared" si="46"/>
        <v/>
      </c>
      <c r="C1937" s="33"/>
      <c r="E1937" s="60"/>
      <c r="F1937" s="18"/>
      <c r="G1937" s="18"/>
      <c r="H1937" s="49"/>
      <c r="I1937" s="49"/>
      <c r="M1937" s="53"/>
    </row>
    <row r="1938" spans="1:13" x14ac:dyDescent="0.25">
      <c r="A1938" s="21" t="str">
        <f>IF(C1938="","",COUNTA($C$3:C1938))</f>
        <v/>
      </c>
      <c r="B1938" s="35" t="str">
        <f t="shared" si="46"/>
        <v/>
      </c>
      <c r="C1938" s="33"/>
      <c r="E1938" s="60"/>
      <c r="F1938" s="18"/>
      <c r="G1938" s="18"/>
      <c r="H1938" s="49"/>
      <c r="I1938" s="49"/>
      <c r="M1938" s="53"/>
    </row>
    <row r="1939" spans="1:13" x14ac:dyDescent="0.25">
      <c r="A1939" s="21" t="str">
        <f>IF(C1939="","",COUNTA($C$3:C1939))</f>
        <v/>
      </c>
      <c r="B1939" s="35" t="str">
        <f t="shared" si="46"/>
        <v/>
      </c>
      <c r="C1939" s="33"/>
      <c r="E1939" s="60"/>
      <c r="F1939" s="18"/>
      <c r="G1939" s="18"/>
      <c r="H1939" s="49"/>
      <c r="I1939" s="49"/>
      <c r="M1939" s="53"/>
    </row>
    <row r="1940" spans="1:13" x14ac:dyDescent="0.25">
      <c r="A1940" s="21" t="str">
        <f>IF(C1940="","",COUNTA($C$3:C1940))</f>
        <v/>
      </c>
      <c r="B1940" s="35" t="str">
        <f t="shared" si="46"/>
        <v/>
      </c>
      <c r="C1940" s="33"/>
      <c r="E1940" s="60"/>
      <c r="F1940" s="18"/>
      <c r="G1940" s="18"/>
      <c r="H1940" s="49"/>
      <c r="I1940" s="49"/>
      <c r="M1940" s="53"/>
    </row>
    <row r="1941" spans="1:13" x14ac:dyDescent="0.25">
      <c r="A1941" s="21" t="str">
        <f>IF(C1941="","",COUNTA($C$3:C1941))</f>
        <v/>
      </c>
      <c r="B1941" s="35" t="str">
        <f t="shared" si="46"/>
        <v/>
      </c>
      <c r="C1941" s="33"/>
      <c r="E1941" s="60"/>
      <c r="F1941" s="18"/>
      <c r="G1941" s="18"/>
      <c r="H1941" s="49"/>
      <c r="I1941" s="49"/>
      <c r="L1941" s="62"/>
      <c r="M1941" s="53"/>
    </row>
    <row r="1942" spans="1:13" x14ac:dyDescent="0.25">
      <c r="A1942" s="21" t="str">
        <f>IF(C1942="","",COUNTA($C$3:C1942))</f>
        <v/>
      </c>
      <c r="B1942" s="35" t="str">
        <f t="shared" si="46"/>
        <v/>
      </c>
      <c r="C1942" s="33"/>
      <c r="E1942" s="60"/>
      <c r="F1942" s="18"/>
      <c r="G1942" s="18"/>
      <c r="H1942" s="49"/>
      <c r="I1942" s="49"/>
      <c r="L1942" s="62"/>
      <c r="M1942" s="53"/>
    </row>
    <row r="1943" spans="1:13" x14ac:dyDescent="0.25">
      <c r="A1943" s="21" t="str">
        <f>IF(C1943="","",COUNTA($C$3:C1943))</f>
        <v/>
      </c>
      <c r="B1943" s="35" t="str">
        <f t="shared" si="46"/>
        <v/>
      </c>
      <c r="C1943" s="33"/>
      <c r="E1943" s="60"/>
      <c r="F1943" s="18"/>
      <c r="G1943" s="18"/>
      <c r="H1943" s="49"/>
      <c r="I1943" s="49"/>
      <c r="L1943" s="62"/>
      <c r="M1943" s="53"/>
    </row>
    <row r="1944" spans="1:13" x14ac:dyDescent="0.25">
      <c r="A1944" s="21" t="str">
        <f>IF(C1944="","",COUNTA($C$3:C1944))</f>
        <v/>
      </c>
      <c r="B1944" s="35" t="str">
        <f t="shared" si="46"/>
        <v/>
      </c>
      <c r="C1944" s="33"/>
      <c r="E1944" s="60"/>
      <c r="F1944" s="18"/>
      <c r="G1944" s="18"/>
      <c r="H1944" s="49"/>
      <c r="I1944" s="49"/>
      <c r="M1944" s="53"/>
    </row>
    <row r="1945" spans="1:13" x14ac:dyDescent="0.25">
      <c r="A1945" s="21" t="str">
        <f>IF(C1945="","",COUNTA($C$3:C1945))</f>
        <v/>
      </c>
      <c r="B1945" s="35" t="str">
        <f t="shared" si="46"/>
        <v/>
      </c>
      <c r="C1945" s="33"/>
      <c r="E1945" s="60"/>
      <c r="F1945" s="18"/>
      <c r="G1945" s="18"/>
      <c r="H1945" s="49"/>
      <c r="I1945" s="49"/>
      <c r="M1945" s="53"/>
    </row>
    <row r="1946" spans="1:13" x14ac:dyDescent="0.25">
      <c r="A1946" s="21" t="str">
        <f>IF(C1946="","",COUNTA($C$3:C1946))</f>
        <v/>
      </c>
      <c r="B1946" s="35" t="str">
        <f t="shared" si="46"/>
        <v/>
      </c>
      <c r="C1946" s="33"/>
      <c r="E1946" s="60"/>
      <c r="F1946" s="18"/>
      <c r="G1946" s="18"/>
      <c r="H1946" s="49"/>
      <c r="I1946" s="49"/>
      <c r="M1946" s="53"/>
    </row>
    <row r="1947" spans="1:13" x14ac:dyDescent="0.25">
      <c r="A1947" s="21" t="str">
        <f>IF(C1947="","",COUNTA($C$3:C1947))</f>
        <v/>
      </c>
      <c r="B1947" s="35" t="str">
        <f t="shared" si="46"/>
        <v/>
      </c>
      <c r="C1947" s="33"/>
      <c r="E1947" s="60"/>
      <c r="F1947" s="18"/>
      <c r="G1947" s="18"/>
      <c r="H1947" s="49"/>
      <c r="I1947" s="49"/>
      <c r="M1947" s="53"/>
    </row>
    <row r="1948" spans="1:13" x14ac:dyDescent="0.25">
      <c r="A1948" s="21" t="str">
        <f>IF(C1948="","",COUNTA($C$3:C1948))</f>
        <v/>
      </c>
      <c r="B1948" s="35" t="str">
        <f t="shared" si="46"/>
        <v/>
      </c>
      <c r="C1948" s="33"/>
      <c r="E1948" s="60"/>
      <c r="F1948" s="18"/>
      <c r="G1948" s="18"/>
      <c r="H1948" s="49"/>
      <c r="I1948" s="49"/>
      <c r="K1948" s="55"/>
      <c r="M1948" s="53"/>
    </row>
    <row r="1949" spans="1:13" x14ac:dyDescent="0.25">
      <c r="A1949" s="21" t="str">
        <f>IF(C1949="","",COUNTA($C$3:C1949))</f>
        <v/>
      </c>
      <c r="B1949" s="35" t="str">
        <f t="shared" si="46"/>
        <v/>
      </c>
      <c r="C1949" s="33"/>
      <c r="E1949" s="60"/>
      <c r="F1949" s="18"/>
      <c r="G1949" s="18"/>
      <c r="H1949" s="49"/>
      <c r="I1949" s="49"/>
      <c r="M1949" s="53"/>
    </row>
    <row r="1950" spans="1:13" x14ac:dyDescent="0.25">
      <c r="A1950" s="21" t="str">
        <f>IF(C1950="","",COUNTA($C$3:C1950))</f>
        <v/>
      </c>
      <c r="B1950" s="35" t="str">
        <f t="shared" si="46"/>
        <v/>
      </c>
      <c r="C1950" s="33"/>
      <c r="E1950" s="60"/>
      <c r="F1950" s="18"/>
      <c r="G1950" s="18"/>
      <c r="H1950" s="49"/>
      <c r="I1950" s="49"/>
      <c r="M1950" s="53"/>
    </row>
    <row r="1951" spans="1:13" x14ac:dyDescent="0.25">
      <c r="A1951" s="21" t="str">
        <f>IF(C1951="","",COUNTA($C$3:C1951))</f>
        <v/>
      </c>
      <c r="B1951" s="35" t="str">
        <f t="shared" si="46"/>
        <v/>
      </c>
      <c r="C1951" s="33"/>
      <c r="E1951" s="60"/>
      <c r="F1951" s="18"/>
      <c r="G1951" s="18"/>
      <c r="H1951" s="49"/>
      <c r="I1951" s="49"/>
      <c r="M1951" s="53"/>
    </row>
    <row r="1952" spans="1:13" x14ac:dyDescent="0.25">
      <c r="A1952" s="21" t="str">
        <f>IF(C1952="","",COUNTA($C$3:C1952))</f>
        <v/>
      </c>
      <c r="B1952" s="35" t="str">
        <f t="shared" si="46"/>
        <v/>
      </c>
      <c r="C1952" s="33"/>
      <c r="E1952" s="60"/>
      <c r="F1952" s="18"/>
      <c r="G1952" s="18"/>
      <c r="H1952" s="49"/>
      <c r="I1952" s="49"/>
      <c r="M1952" s="53"/>
    </row>
    <row r="1953" spans="1:15" x14ac:dyDescent="0.25">
      <c r="A1953" s="21" t="str">
        <f>IF(C1953="","",COUNTA($C$3:C1953))</f>
        <v/>
      </c>
      <c r="B1953" s="35" t="str">
        <f t="shared" si="46"/>
        <v/>
      </c>
      <c r="C1953" s="33"/>
      <c r="E1953" s="60"/>
      <c r="F1953" s="18"/>
      <c r="G1953" s="18"/>
      <c r="H1953" s="49"/>
      <c r="I1953" s="49"/>
      <c r="M1953" s="53"/>
    </row>
    <row r="1954" spans="1:15" x14ac:dyDescent="0.25">
      <c r="A1954" s="21" t="str">
        <f>IF(C1954="","",COUNTA($C$3:C1954))</f>
        <v/>
      </c>
      <c r="B1954" s="35" t="str">
        <f t="shared" si="46"/>
        <v/>
      </c>
      <c r="C1954" s="33"/>
      <c r="E1954" s="60"/>
      <c r="F1954" s="18"/>
      <c r="G1954" s="18"/>
      <c r="H1954" s="49"/>
      <c r="I1954" s="49"/>
      <c r="M1954" s="53"/>
      <c r="O1954" s="59"/>
    </row>
    <row r="1955" spans="1:15" x14ac:dyDescent="0.25">
      <c r="A1955" s="21" t="str">
        <f>IF(C1955="","",COUNTA($C$3:C1955))</f>
        <v/>
      </c>
      <c r="B1955" s="35" t="str">
        <f t="shared" si="46"/>
        <v/>
      </c>
      <c r="C1955" s="33"/>
      <c r="E1955" s="60"/>
      <c r="F1955" s="18"/>
      <c r="G1955" s="18"/>
      <c r="H1955" s="49"/>
      <c r="I1955" s="49"/>
      <c r="M1955" s="53"/>
    </row>
    <row r="1956" spans="1:15" x14ac:dyDescent="0.25">
      <c r="A1956" s="21" t="str">
        <f>IF(C1956="","",COUNTA($C$3:C1956))</f>
        <v/>
      </c>
      <c r="B1956" s="35" t="str">
        <f t="shared" si="46"/>
        <v/>
      </c>
      <c r="C1956" s="33"/>
      <c r="E1956" s="60"/>
      <c r="F1956" s="18"/>
      <c r="G1956" s="18"/>
      <c r="H1956" s="49"/>
      <c r="I1956" s="49"/>
      <c r="M1956" s="53"/>
      <c r="O1956" s="59"/>
    </row>
    <row r="1957" spans="1:15" x14ac:dyDescent="0.25">
      <c r="A1957" s="21" t="str">
        <f>IF(C1957="","",COUNTA($C$3:C1957))</f>
        <v/>
      </c>
      <c r="B1957" s="35" t="str">
        <f t="shared" si="46"/>
        <v/>
      </c>
      <c r="C1957" s="33"/>
      <c r="E1957" s="60"/>
      <c r="F1957" s="18"/>
      <c r="G1957" s="18"/>
      <c r="H1957" s="49"/>
      <c r="I1957" s="49"/>
      <c r="M1957" s="53"/>
      <c r="O1957" s="59"/>
    </row>
    <row r="1958" spans="1:15" x14ac:dyDescent="0.25">
      <c r="A1958" s="21" t="str">
        <f>IF(C1958="","",COUNTA($C$3:C1958))</f>
        <v/>
      </c>
      <c r="B1958" s="35" t="str">
        <f t="shared" si="46"/>
        <v/>
      </c>
      <c r="C1958" s="33"/>
      <c r="E1958" s="60"/>
      <c r="F1958" s="18"/>
      <c r="G1958" s="18"/>
      <c r="H1958" s="49"/>
      <c r="I1958" s="49"/>
      <c r="K1958" s="67"/>
      <c r="M1958" s="53"/>
      <c r="O1958" s="59"/>
    </row>
    <row r="1959" spans="1:15" x14ac:dyDescent="0.25">
      <c r="A1959" s="21" t="str">
        <f>IF(C1959="","",COUNTA($C$3:C1959))</f>
        <v/>
      </c>
      <c r="B1959" s="35" t="str">
        <f t="shared" si="46"/>
        <v/>
      </c>
      <c r="C1959" s="33"/>
      <c r="E1959" s="60"/>
      <c r="F1959" s="18"/>
      <c r="G1959" s="18"/>
      <c r="H1959" s="49"/>
      <c r="I1959" s="49"/>
      <c r="M1959" s="53"/>
      <c r="O1959" s="69"/>
    </row>
    <row r="1960" spans="1:15" x14ac:dyDescent="0.25">
      <c r="A1960" s="21" t="str">
        <f>IF(C1960="","",COUNTA($C$3:C1960))</f>
        <v/>
      </c>
      <c r="B1960" s="35" t="str">
        <f t="shared" si="46"/>
        <v/>
      </c>
      <c r="C1960" s="33"/>
      <c r="E1960" s="60"/>
      <c r="F1960" s="18"/>
      <c r="G1960" s="18"/>
      <c r="H1960" s="49"/>
      <c r="I1960" s="49"/>
      <c r="M1960" s="53"/>
    </row>
    <row r="1961" spans="1:15" x14ac:dyDescent="0.25">
      <c r="A1961" s="21" t="str">
        <f>IF(C1961="","",COUNTA($C$3:C1961))</f>
        <v/>
      </c>
      <c r="B1961" s="35" t="str">
        <f t="shared" si="46"/>
        <v/>
      </c>
      <c r="C1961" s="33"/>
      <c r="E1961" s="60"/>
      <c r="F1961" s="18"/>
      <c r="G1961" s="18"/>
      <c r="H1961" s="49"/>
      <c r="I1961" s="49"/>
      <c r="K1961" s="55"/>
      <c r="M1961" s="53"/>
    </row>
    <row r="1962" spans="1:15" x14ac:dyDescent="0.25">
      <c r="A1962" s="21" t="str">
        <f>IF(C1962="","",COUNTA($C$3:C1962))</f>
        <v/>
      </c>
      <c r="B1962" s="35" t="str">
        <f t="shared" si="46"/>
        <v/>
      </c>
      <c r="C1962" s="33"/>
      <c r="E1962" s="60"/>
      <c r="F1962" s="18"/>
      <c r="G1962" s="18"/>
      <c r="H1962" s="49"/>
      <c r="I1962" s="49"/>
      <c r="M1962" s="53"/>
    </row>
    <row r="1963" spans="1:15" x14ac:dyDescent="0.25">
      <c r="A1963" s="21" t="str">
        <f>IF(C1963="","",COUNTA($C$3:C1963))</f>
        <v/>
      </c>
      <c r="B1963" s="35" t="str">
        <f t="shared" si="46"/>
        <v/>
      </c>
      <c r="C1963" s="33"/>
      <c r="E1963" s="60"/>
      <c r="F1963" s="18"/>
      <c r="G1963" s="18"/>
      <c r="H1963" s="49"/>
      <c r="I1963" s="49"/>
      <c r="M1963" s="53"/>
    </row>
    <row r="1964" spans="1:15" x14ac:dyDescent="0.25">
      <c r="A1964" s="21" t="str">
        <f>IF(C1964="","",COUNTA($C$3:C1964))</f>
        <v/>
      </c>
      <c r="B1964" s="35" t="str">
        <f t="shared" si="46"/>
        <v/>
      </c>
      <c r="C1964" s="33"/>
      <c r="E1964" s="60"/>
      <c r="F1964" s="18"/>
      <c r="G1964" s="18"/>
      <c r="H1964" s="49"/>
      <c r="I1964" s="49"/>
      <c r="M1964" s="53"/>
    </row>
    <row r="1965" spans="1:15" x14ac:dyDescent="0.25">
      <c r="A1965" s="21" t="str">
        <f>IF(C1965="","",COUNTA($C$3:C1965))</f>
        <v/>
      </c>
      <c r="B1965" s="35" t="str">
        <f t="shared" si="46"/>
        <v/>
      </c>
      <c r="C1965" s="33"/>
      <c r="E1965" s="60"/>
      <c r="F1965" s="18"/>
      <c r="G1965" s="18"/>
      <c r="H1965" s="49"/>
      <c r="I1965" s="49"/>
      <c r="M1965" s="53"/>
    </row>
    <row r="1966" spans="1:15" x14ac:dyDescent="0.25">
      <c r="A1966" s="21" t="str">
        <f>IF(C1966="","",COUNTA($C$3:C1966))</f>
        <v/>
      </c>
      <c r="B1966" s="35" t="str">
        <f t="shared" si="46"/>
        <v/>
      </c>
      <c r="C1966" s="33"/>
      <c r="E1966" s="60"/>
      <c r="F1966" s="18"/>
      <c r="G1966" s="18"/>
      <c r="H1966" s="49"/>
      <c r="I1966" s="49"/>
      <c r="M1966" s="53"/>
    </row>
    <row r="1967" spans="1:15" x14ac:dyDescent="0.25">
      <c r="A1967" s="21" t="str">
        <f>IF(C1967="","",COUNTA($C$3:C1967))</f>
        <v/>
      </c>
      <c r="B1967" s="35" t="str">
        <f t="shared" si="46"/>
        <v/>
      </c>
      <c r="C1967" s="33"/>
      <c r="E1967" s="60"/>
      <c r="F1967" s="18"/>
      <c r="G1967" s="18"/>
      <c r="H1967" s="49"/>
      <c r="I1967" s="49"/>
      <c r="M1967" s="53"/>
    </row>
    <row r="1968" spans="1:15" x14ac:dyDescent="0.25">
      <c r="A1968" s="21" t="str">
        <f>IF(C1968="","",COUNTA($C$3:C1968))</f>
        <v/>
      </c>
      <c r="B1968" s="35" t="str">
        <f t="shared" si="46"/>
        <v/>
      </c>
      <c r="C1968" s="33"/>
      <c r="E1968" s="60"/>
      <c r="F1968" s="18"/>
      <c r="G1968" s="18"/>
      <c r="H1968" s="49"/>
      <c r="I1968" s="49"/>
      <c r="M1968" s="53"/>
    </row>
    <row r="1969" spans="1:13" x14ac:dyDescent="0.25">
      <c r="A1969" s="21" t="str">
        <f>IF(C1969="","",COUNTA($C$3:C1969))</f>
        <v/>
      </c>
      <c r="B1969" s="35" t="str">
        <f t="shared" si="46"/>
        <v/>
      </c>
      <c r="C1969" s="33"/>
      <c r="E1969" s="60"/>
      <c r="F1969" s="18"/>
      <c r="G1969" s="18"/>
      <c r="H1969" s="49"/>
      <c r="I1969" s="49"/>
      <c r="M1969" s="53"/>
    </row>
    <row r="1970" spans="1:13" x14ac:dyDescent="0.25">
      <c r="A1970" s="21" t="str">
        <f>IF(C1970="","",COUNTA($C$3:C1970))</f>
        <v/>
      </c>
      <c r="B1970" s="35" t="str">
        <f t="shared" si="46"/>
        <v/>
      </c>
      <c r="C1970" s="33"/>
      <c r="E1970" s="60"/>
      <c r="F1970" s="18"/>
      <c r="G1970" s="18"/>
      <c r="H1970" s="49"/>
      <c r="I1970" s="49"/>
      <c r="M1970" s="53"/>
    </row>
    <row r="1971" spans="1:13" x14ac:dyDescent="0.25">
      <c r="A1971" s="21" t="str">
        <f>IF(C1971="","",COUNTA($C$3:C1971))</f>
        <v/>
      </c>
      <c r="B1971" s="35" t="str">
        <f t="shared" si="46"/>
        <v/>
      </c>
      <c r="C1971" s="33"/>
      <c r="E1971" s="60"/>
      <c r="F1971" s="18"/>
      <c r="G1971" s="18"/>
      <c r="H1971" s="49"/>
      <c r="I1971" s="49"/>
      <c r="M1971" s="53"/>
    </row>
    <row r="1972" spans="1:13" x14ac:dyDescent="0.25">
      <c r="A1972" s="21" t="str">
        <f>IF(C1972="","",COUNTA($C$3:C1972))</f>
        <v/>
      </c>
      <c r="B1972" s="35" t="str">
        <f t="shared" si="46"/>
        <v/>
      </c>
      <c r="C1972" s="33"/>
      <c r="E1972" s="60"/>
      <c r="F1972" s="18"/>
      <c r="G1972" s="18"/>
      <c r="H1972" s="49"/>
      <c r="I1972" s="49"/>
      <c r="K1972" s="55"/>
      <c r="M1972" s="53"/>
    </row>
    <row r="1973" spans="1:13" x14ac:dyDescent="0.25">
      <c r="A1973" s="21" t="str">
        <f>IF(C1973="","",COUNTA($C$3:C1973))</f>
        <v/>
      </c>
      <c r="B1973" s="35" t="str">
        <f t="shared" si="46"/>
        <v/>
      </c>
      <c r="C1973" s="33"/>
      <c r="E1973" s="60"/>
      <c r="F1973" s="18"/>
      <c r="G1973" s="18"/>
      <c r="H1973" s="49"/>
      <c r="I1973" s="49"/>
      <c r="M1973" s="53"/>
    </row>
    <row r="1974" spans="1:13" x14ac:dyDescent="0.25">
      <c r="A1974" s="21" t="str">
        <f>IF(C1974="","",COUNTA($C$3:C1974))</f>
        <v/>
      </c>
      <c r="B1974" s="35" t="str">
        <f t="shared" si="46"/>
        <v/>
      </c>
      <c r="C1974" s="33"/>
      <c r="E1974" s="60"/>
      <c r="F1974" s="18"/>
      <c r="G1974" s="18"/>
      <c r="H1974" s="49"/>
      <c r="I1974" s="49"/>
      <c r="M1974" s="53"/>
    </row>
    <row r="1975" spans="1:13" x14ac:dyDescent="0.25">
      <c r="A1975" s="21" t="str">
        <f>IF(C1975="","",COUNTA($C$3:C1975))</f>
        <v/>
      </c>
      <c r="B1975" s="35" t="str">
        <f t="shared" si="46"/>
        <v/>
      </c>
      <c r="C1975" s="33"/>
      <c r="E1975" s="60"/>
      <c r="F1975" s="18"/>
      <c r="G1975" s="18"/>
      <c r="H1975" s="49"/>
      <c r="I1975" s="49"/>
      <c r="M1975" s="53"/>
    </row>
    <row r="1976" spans="1:13" x14ac:dyDescent="0.25">
      <c r="A1976" s="21" t="str">
        <f>IF(C1976="","",COUNTA($C$3:C1976))</f>
        <v/>
      </c>
      <c r="B1976" s="35" t="str">
        <f t="shared" si="46"/>
        <v/>
      </c>
      <c r="C1976" s="33"/>
      <c r="E1976" s="60"/>
      <c r="F1976" s="18"/>
      <c r="G1976" s="18"/>
      <c r="H1976" s="49"/>
      <c r="I1976" s="49"/>
      <c r="K1976" s="55"/>
      <c r="M1976" s="53"/>
    </row>
    <row r="1977" spans="1:13" x14ac:dyDescent="0.25">
      <c r="A1977" s="21" t="str">
        <f>IF(C1977="","",COUNTA($C$3:C1977))</f>
        <v/>
      </c>
      <c r="B1977" s="35" t="str">
        <f t="shared" si="46"/>
        <v/>
      </c>
      <c r="C1977" s="33"/>
      <c r="E1977" s="60"/>
      <c r="F1977" s="18"/>
      <c r="G1977" s="18"/>
      <c r="H1977" s="49"/>
      <c r="I1977" s="49"/>
      <c r="M1977" s="53"/>
    </row>
    <row r="1978" spans="1:13" x14ac:dyDescent="0.25">
      <c r="A1978" s="21" t="str">
        <f>IF(C1978="","",COUNTA($C$3:C1978))</f>
        <v/>
      </c>
      <c r="B1978" s="35" t="str">
        <f t="shared" si="46"/>
        <v/>
      </c>
      <c r="C1978" s="33"/>
      <c r="E1978" s="60"/>
      <c r="F1978" s="18"/>
      <c r="G1978" s="18"/>
      <c r="H1978" s="49"/>
      <c r="I1978" s="49"/>
      <c r="M1978" s="53"/>
    </row>
    <row r="1979" spans="1:13" x14ac:dyDescent="0.25">
      <c r="A1979" s="21" t="str">
        <f>IF(C1979="","",COUNTA($C$3:C1979))</f>
        <v/>
      </c>
      <c r="B1979" s="35" t="str">
        <f t="shared" si="46"/>
        <v/>
      </c>
      <c r="C1979" s="33"/>
      <c r="E1979" s="60"/>
      <c r="F1979" s="18"/>
      <c r="G1979" s="18"/>
      <c r="H1979" s="49"/>
      <c r="I1979" s="49"/>
      <c r="M1979" s="53"/>
    </row>
    <row r="1980" spans="1:13" x14ac:dyDescent="0.25">
      <c r="A1980" s="21" t="str">
        <f>IF(C1980="","",COUNTA($C$3:C1980))</f>
        <v/>
      </c>
      <c r="B1980" s="35" t="str">
        <f t="shared" si="46"/>
        <v/>
      </c>
      <c r="C1980" s="33"/>
      <c r="E1980" s="60"/>
      <c r="F1980" s="18"/>
      <c r="G1980" s="18"/>
      <c r="H1980" s="49"/>
      <c r="I1980" s="49"/>
      <c r="L1980" s="48"/>
      <c r="M1980" s="53"/>
    </row>
    <row r="1981" spans="1:13" x14ac:dyDescent="0.25">
      <c r="A1981" s="21" t="str">
        <f>IF(C1981="","",COUNTA($C$3:C1981))</f>
        <v/>
      </c>
      <c r="B1981" s="35" t="str">
        <f t="shared" si="46"/>
        <v/>
      </c>
      <c r="C1981" s="33"/>
      <c r="E1981" s="60"/>
      <c r="F1981" s="18"/>
      <c r="G1981" s="18"/>
      <c r="H1981" s="49"/>
      <c r="I1981" s="49"/>
      <c r="M1981" s="53"/>
    </row>
    <row r="1982" spans="1:13" x14ac:dyDescent="0.25">
      <c r="A1982" s="21" t="str">
        <f>IF(C1982="","",COUNTA($C$3:C1982))</f>
        <v/>
      </c>
      <c r="B1982" s="35" t="str">
        <f t="shared" si="46"/>
        <v/>
      </c>
      <c r="C1982" s="33"/>
      <c r="E1982" s="60"/>
      <c r="F1982" s="18"/>
      <c r="G1982" s="18"/>
      <c r="H1982" s="49"/>
      <c r="I1982" s="49"/>
      <c r="K1982" s="55"/>
      <c r="M1982" s="53"/>
    </row>
    <row r="1983" spans="1:13" x14ac:dyDescent="0.25">
      <c r="A1983" s="21" t="str">
        <f>IF(C1983="","",COUNTA($C$3:C1983))</f>
        <v/>
      </c>
      <c r="B1983" s="35" t="str">
        <f t="shared" si="46"/>
        <v/>
      </c>
      <c r="C1983" s="33"/>
      <c r="E1983" s="60"/>
      <c r="F1983" s="18"/>
      <c r="G1983" s="18"/>
      <c r="H1983" s="49"/>
      <c r="I1983" s="49"/>
      <c r="M1983" s="53"/>
    </row>
    <row r="1984" spans="1:13" x14ac:dyDescent="0.25">
      <c r="A1984" s="21" t="str">
        <f>IF(C1984="","",COUNTA($C$3:C1984))</f>
        <v/>
      </c>
      <c r="B1984" s="35" t="str">
        <f t="shared" si="46"/>
        <v/>
      </c>
      <c r="C1984" s="33"/>
      <c r="E1984" s="60"/>
      <c r="F1984" s="18"/>
      <c r="G1984" s="18"/>
      <c r="H1984" s="49"/>
      <c r="I1984" s="49"/>
      <c r="M1984" s="53"/>
    </row>
    <row r="1985" spans="1:15" x14ac:dyDescent="0.25">
      <c r="A1985" s="21" t="str">
        <f>IF(C1985="","",COUNTA($C$3:C1985))</f>
        <v/>
      </c>
      <c r="B1985" s="35" t="str">
        <f t="shared" si="46"/>
        <v/>
      </c>
      <c r="C1985" s="33"/>
      <c r="E1985" s="60"/>
      <c r="F1985" s="18"/>
      <c r="G1985" s="18"/>
      <c r="H1985" s="49"/>
      <c r="I1985" s="49"/>
      <c r="K1985" s="67"/>
      <c r="M1985" s="53"/>
    </row>
    <row r="1986" spans="1:15" x14ac:dyDescent="0.25">
      <c r="A1986" s="21" t="str">
        <f>IF(C1986="","",COUNTA($C$3:C1986))</f>
        <v/>
      </c>
      <c r="B1986" s="35" t="str">
        <f t="shared" si="46"/>
        <v/>
      </c>
      <c r="C1986" s="33"/>
      <c r="E1986" s="60"/>
      <c r="F1986" s="18"/>
      <c r="G1986" s="18"/>
      <c r="H1986" s="49"/>
      <c r="I1986" s="49"/>
      <c r="K1986" s="55"/>
      <c r="M1986" s="53"/>
    </row>
    <row r="1987" spans="1:15" x14ac:dyDescent="0.25">
      <c r="A1987" s="21" t="str">
        <f>IF(C1987="","",COUNTA($C$3:C1987))</f>
        <v/>
      </c>
      <c r="B1987" s="35" t="str">
        <f t="shared" si="46"/>
        <v/>
      </c>
      <c r="C1987" s="33"/>
      <c r="E1987" s="60"/>
      <c r="F1987" s="18"/>
      <c r="G1987" s="18"/>
      <c r="H1987" s="49"/>
      <c r="I1987" s="49"/>
      <c r="M1987" s="53"/>
    </row>
    <row r="1988" spans="1:15" x14ac:dyDescent="0.25">
      <c r="A1988" s="21" t="str">
        <f>IF(C1988="","",COUNTA($C$3:C1988))</f>
        <v/>
      </c>
      <c r="B1988" s="35" t="str">
        <f t="shared" si="46"/>
        <v/>
      </c>
      <c r="C1988" s="33"/>
      <c r="E1988" s="60"/>
      <c r="F1988" s="18"/>
      <c r="G1988" s="18"/>
      <c r="H1988" s="49"/>
      <c r="I1988" s="49"/>
      <c r="M1988" s="53"/>
    </row>
    <row r="1989" spans="1:15" x14ac:dyDescent="0.25">
      <c r="A1989" s="21" t="str">
        <f>IF(C1989="","",COUNTA($C$3:C1989))</f>
        <v/>
      </c>
      <c r="B1989" s="35" t="str">
        <f t="shared" ref="B1989:B2052" si="47">IF(C1989="","",TEXT(C1989,"mmmm"))</f>
        <v/>
      </c>
      <c r="C1989" s="33"/>
      <c r="E1989" s="60"/>
      <c r="F1989" s="18"/>
      <c r="G1989" s="18"/>
      <c r="H1989" s="49"/>
      <c r="I1989" s="49"/>
      <c r="M1989" s="53"/>
      <c r="O1989" s="59"/>
    </row>
    <row r="1990" spans="1:15" x14ac:dyDescent="0.25">
      <c r="A1990" s="21" t="str">
        <f>IF(C1990="","",COUNTA($C$3:C1990))</f>
        <v/>
      </c>
      <c r="B1990" s="35" t="str">
        <f t="shared" si="47"/>
        <v/>
      </c>
      <c r="C1990" s="33"/>
      <c r="E1990" s="60"/>
      <c r="F1990" s="18"/>
      <c r="G1990" s="18"/>
      <c r="H1990" s="49"/>
      <c r="I1990" s="49"/>
      <c r="M1990" s="53"/>
      <c r="O1990" s="59"/>
    </row>
    <row r="1991" spans="1:15" x14ac:dyDescent="0.25">
      <c r="A1991" s="21" t="str">
        <f>IF(C1991="","",COUNTA($C$3:C1991))</f>
        <v/>
      </c>
      <c r="B1991" s="35" t="str">
        <f t="shared" si="47"/>
        <v/>
      </c>
      <c r="C1991" s="33"/>
      <c r="E1991" s="60"/>
      <c r="F1991" s="18"/>
      <c r="G1991" s="18"/>
      <c r="H1991" s="49"/>
      <c r="I1991" s="49"/>
      <c r="M1991" s="53"/>
      <c r="O1991" s="59"/>
    </row>
    <row r="1992" spans="1:15" x14ac:dyDescent="0.25">
      <c r="A1992" s="21" t="str">
        <f>IF(C1992="","",COUNTA($C$3:C1992))</f>
        <v/>
      </c>
      <c r="B1992" s="35" t="str">
        <f t="shared" si="47"/>
        <v/>
      </c>
      <c r="C1992" s="33"/>
      <c r="E1992" s="60"/>
      <c r="F1992" s="18"/>
      <c r="G1992" s="18"/>
      <c r="H1992" s="49"/>
      <c r="I1992" s="49"/>
      <c r="M1992" s="53"/>
      <c r="O1992" s="69"/>
    </row>
    <row r="1993" spans="1:15" x14ac:dyDescent="0.25">
      <c r="A1993" s="21" t="str">
        <f>IF(C1993="","",COUNTA($C$3:C1993))</f>
        <v/>
      </c>
      <c r="B1993" s="35" t="str">
        <f t="shared" si="47"/>
        <v/>
      </c>
      <c r="C1993" s="33"/>
      <c r="E1993" s="60"/>
      <c r="F1993" s="18"/>
      <c r="G1993" s="18"/>
      <c r="H1993" s="49"/>
      <c r="I1993" s="49"/>
      <c r="L1993" s="62"/>
      <c r="M1993" s="53"/>
    </row>
    <row r="1994" spans="1:15" x14ac:dyDescent="0.25">
      <c r="A1994" s="21" t="str">
        <f>IF(C1994="","",COUNTA($C$3:C1994))</f>
        <v/>
      </c>
      <c r="B1994" s="35" t="str">
        <f t="shared" si="47"/>
        <v/>
      </c>
      <c r="C1994" s="33"/>
      <c r="E1994" s="60"/>
      <c r="F1994" s="18"/>
      <c r="G1994" s="18"/>
      <c r="H1994" s="49"/>
      <c r="I1994" s="49"/>
      <c r="K1994" s="67"/>
      <c r="M1994" s="53"/>
    </row>
    <row r="1995" spans="1:15" x14ac:dyDescent="0.25">
      <c r="A1995" s="21" t="str">
        <f>IF(C1995="","",COUNTA($C$3:C1995))</f>
        <v/>
      </c>
      <c r="B1995" s="35" t="str">
        <f t="shared" si="47"/>
        <v/>
      </c>
      <c r="C1995" s="33"/>
      <c r="E1995" s="60"/>
      <c r="F1995" s="18"/>
      <c r="G1995" s="18"/>
      <c r="H1995" s="49"/>
      <c r="I1995" s="49"/>
      <c r="K1995" s="67"/>
      <c r="M1995" s="53"/>
    </row>
    <row r="1996" spans="1:15" x14ac:dyDescent="0.25">
      <c r="A1996" s="21" t="str">
        <f>IF(C1996="","",COUNTA($C$3:C1996))</f>
        <v/>
      </c>
      <c r="B1996" s="35" t="str">
        <f t="shared" si="47"/>
        <v/>
      </c>
      <c r="C1996" s="33"/>
      <c r="E1996" s="60"/>
      <c r="F1996" s="18"/>
      <c r="G1996" s="18"/>
      <c r="H1996" s="49"/>
      <c r="I1996" s="49"/>
      <c r="M1996" s="53"/>
    </row>
    <row r="1997" spans="1:15" x14ac:dyDescent="0.25">
      <c r="A1997" s="21" t="str">
        <f>IF(C1997="","",COUNTA($C$3:C1997))</f>
        <v/>
      </c>
      <c r="B1997" s="35" t="str">
        <f t="shared" si="47"/>
        <v/>
      </c>
      <c r="C1997" s="33"/>
      <c r="E1997" s="60"/>
      <c r="F1997" s="18"/>
      <c r="G1997" s="18"/>
      <c r="H1997" s="49"/>
      <c r="I1997" s="49"/>
      <c r="M1997" s="53"/>
    </row>
    <row r="1998" spans="1:15" x14ac:dyDescent="0.25">
      <c r="A1998" s="21" t="str">
        <f>IF(C1998="","",COUNTA($C$3:C1998))</f>
        <v/>
      </c>
      <c r="B1998" s="35" t="str">
        <f t="shared" si="47"/>
        <v/>
      </c>
      <c r="C1998" s="33"/>
      <c r="E1998" s="60"/>
      <c r="F1998" s="18"/>
      <c r="G1998" s="18"/>
      <c r="H1998" s="49"/>
      <c r="I1998" s="49"/>
      <c r="M1998" s="53"/>
    </row>
    <row r="1999" spans="1:15" x14ac:dyDescent="0.25">
      <c r="A1999" s="21" t="str">
        <f>IF(C1999="","",COUNTA($C$3:C1999))</f>
        <v/>
      </c>
      <c r="B1999" s="35" t="str">
        <f t="shared" si="47"/>
        <v/>
      </c>
      <c r="C1999" s="33"/>
      <c r="E1999" s="60"/>
      <c r="F1999" s="18"/>
      <c r="G1999" s="18"/>
      <c r="H1999" s="49"/>
      <c r="I1999" s="49"/>
      <c r="M1999" s="53"/>
    </row>
    <row r="2000" spans="1:15" x14ac:dyDescent="0.25">
      <c r="A2000" s="21" t="str">
        <f>IF(C2000="","",COUNTA($C$3:C2000))</f>
        <v/>
      </c>
      <c r="B2000" s="35" t="str">
        <f t="shared" si="47"/>
        <v/>
      </c>
      <c r="C2000" s="33"/>
      <c r="E2000" s="60"/>
      <c r="F2000" s="18"/>
      <c r="G2000" s="18"/>
      <c r="H2000" s="49"/>
      <c r="I2000" s="49"/>
      <c r="M2000" s="53"/>
    </row>
    <row r="2001" spans="1:17" x14ac:dyDescent="0.25">
      <c r="A2001" s="21" t="str">
        <f>IF(C2001="","",COUNTA($C$3:C2001))</f>
        <v/>
      </c>
      <c r="B2001" s="35" t="str">
        <f t="shared" si="47"/>
        <v/>
      </c>
      <c r="C2001" s="33"/>
      <c r="E2001" s="60"/>
      <c r="F2001" s="18"/>
      <c r="G2001" s="18"/>
      <c r="H2001" s="49"/>
      <c r="I2001" s="49"/>
      <c r="K2001" s="55"/>
      <c r="M2001" s="53"/>
    </row>
    <row r="2002" spans="1:17" x14ac:dyDescent="0.25">
      <c r="A2002" s="21" t="str">
        <f>IF(C2002="","",COUNTA($C$3:C2002))</f>
        <v/>
      </c>
      <c r="B2002" s="35" t="str">
        <f t="shared" si="47"/>
        <v/>
      </c>
      <c r="C2002" s="33"/>
      <c r="E2002" s="60"/>
      <c r="F2002" s="18"/>
      <c r="G2002" s="18"/>
      <c r="H2002" s="49"/>
      <c r="I2002" s="49"/>
      <c r="M2002" s="53"/>
    </row>
    <row r="2003" spans="1:17" x14ac:dyDescent="0.25">
      <c r="A2003" s="21" t="str">
        <f>IF(C2003="","",COUNTA($C$3:C2003))</f>
        <v/>
      </c>
      <c r="B2003" s="35" t="str">
        <f t="shared" si="47"/>
        <v/>
      </c>
      <c r="C2003" s="33"/>
      <c r="E2003" s="60"/>
      <c r="F2003" s="18"/>
      <c r="G2003" s="18"/>
      <c r="H2003" s="49"/>
      <c r="I2003" s="49"/>
      <c r="L2003" s="78"/>
      <c r="M2003" s="53"/>
    </row>
    <row r="2004" spans="1:17" x14ac:dyDescent="0.25">
      <c r="A2004" s="21" t="str">
        <f>IF(C2004="","",COUNTA($C$3:C2004))</f>
        <v/>
      </c>
      <c r="B2004" s="35" t="str">
        <f t="shared" si="47"/>
        <v/>
      </c>
      <c r="C2004" s="33"/>
      <c r="E2004" s="60"/>
      <c r="F2004" s="18"/>
      <c r="G2004" s="18"/>
      <c r="H2004" s="49"/>
      <c r="I2004" s="49"/>
      <c r="L2004" s="78"/>
      <c r="M2004" s="53"/>
    </row>
    <row r="2005" spans="1:17" x14ac:dyDescent="0.25">
      <c r="A2005" s="21" t="str">
        <f>IF(C2005="","",COUNTA($C$3:C2005))</f>
        <v/>
      </c>
      <c r="B2005" s="35" t="str">
        <f t="shared" si="47"/>
        <v/>
      </c>
      <c r="C2005" s="33"/>
      <c r="E2005" s="60"/>
      <c r="F2005" s="18"/>
      <c r="G2005" s="18"/>
      <c r="H2005" s="49"/>
      <c r="I2005" s="49"/>
      <c r="L2005" s="62"/>
      <c r="M2005" s="53"/>
    </row>
    <row r="2006" spans="1:17" x14ac:dyDescent="0.25">
      <c r="A2006" s="21" t="str">
        <f>IF(C2006="","",COUNTA($C$3:C2006))</f>
        <v/>
      </c>
      <c r="B2006" s="35" t="str">
        <f t="shared" si="47"/>
        <v/>
      </c>
      <c r="C2006" s="33"/>
      <c r="E2006" s="60"/>
      <c r="F2006" s="18"/>
      <c r="G2006" s="18"/>
      <c r="H2006" s="49"/>
      <c r="I2006" s="49"/>
      <c r="K2006" s="55"/>
      <c r="L2006" s="62"/>
      <c r="M2006" s="53"/>
    </row>
    <row r="2007" spans="1:17" x14ac:dyDescent="0.25">
      <c r="A2007" s="21" t="str">
        <f>IF(C2007="","",COUNTA($C$3:C2007))</f>
        <v/>
      </c>
      <c r="B2007" s="35" t="str">
        <f t="shared" si="47"/>
        <v/>
      </c>
      <c r="C2007" s="33"/>
      <c r="E2007" s="60"/>
      <c r="F2007" s="18"/>
      <c r="G2007" s="18"/>
      <c r="H2007" s="49"/>
      <c r="I2007" s="49"/>
      <c r="L2007" s="62"/>
      <c r="M2007" s="53"/>
    </row>
    <row r="2008" spans="1:17" x14ac:dyDescent="0.25">
      <c r="A2008" s="21" t="str">
        <f>IF(C2008="","",COUNTA($C$3:C2008))</f>
        <v/>
      </c>
      <c r="B2008" s="35" t="str">
        <f t="shared" si="47"/>
        <v/>
      </c>
      <c r="C2008" s="33"/>
      <c r="E2008" s="60"/>
      <c r="F2008" s="18"/>
      <c r="G2008" s="18"/>
      <c r="H2008" s="49"/>
      <c r="I2008" s="49"/>
      <c r="K2008" s="55"/>
      <c r="L2008" s="62"/>
      <c r="M2008" s="53"/>
      <c r="N2008" s="59"/>
      <c r="O2008" s="59"/>
    </row>
    <row r="2009" spans="1:17" x14ac:dyDescent="0.25">
      <c r="A2009" s="21" t="str">
        <f>IF(C2009="","",COUNTA($C$3:C2009))</f>
        <v/>
      </c>
      <c r="B2009" s="35" t="str">
        <f t="shared" si="47"/>
        <v/>
      </c>
      <c r="C2009" s="33"/>
      <c r="E2009" s="60"/>
      <c r="F2009" s="18"/>
      <c r="G2009" s="18"/>
      <c r="H2009" s="49"/>
      <c r="I2009" s="49"/>
      <c r="M2009" s="53"/>
      <c r="O2009" s="59"/>
      <c r="P2009" s="59"/>
      <c r="Q2009" s="59"/>
    </row>
    <row r="2010" spans="1:17" x14ac:dyDescent="0.25">
      <c r="A2010" s="21" t="str">
        <f>IF(C2010="","",COUNTA($C$3:C2010))</f>
        <v/>
      </c>
      <c r="B2010" s="35" t="str">
        <f t="shared" si="47"/>
        <v/>
      </c>
      <c r="C2010" s="33"/>
      <c r="E2010" s="60"/>
      <c r="F2010" s="18"/>
      <c r="G2010" s="18"/>
      <c r="H2010" s="49"/>
      <c r="I2010" s="49"/>
      <c r="M2010" s="53"/>
      <c r="O2010" s="59"/>
      <c r="P2010" s="59"/>
      <c r="Q2010" s="59"/>
    </row>
    <row r="2011" spans="1:17" x14ac:dyDescent="0.25">
      <c r="A2011" s="21" t="str">
        <f>IF(C2011="","",COUNTA($C$3:C2011))</f>
        <v/>
      </c>
      <c r="B2011" s="35" t="str">
        <f t="shared" si="47"/>
        <v/>
      </c>
      <c r="C2011" s="33"/>
      <c r="E2011" s="60"/>
      <c r="F2011" s="18"/>
      <c r="G2011" s="18"/>
      <c r="H2011" s="49"/>
      <c r="I2011" s="49"/>
      <c r="M2011" s="53"/>
      <c r="O2011" s="59"/>
      <c r="P2011" s="69"/>
      <c r="Q2011" s="59"/>
    </row>
    <row r="2012" spans="1:17" x14ac:dyDescent="0.25">
      <c r="A2012" s="21" t="str">
        <f>IF(C2012="","",COUNTA($C$3:C2012))</f>
        <v/>
      </c>
      <c r="B2012" s="35" t="str">
        <f t="shared" si="47"/>
        <v/>
      </c>
      <c r="C2012" s="33"/>
      <c r="E2012" s="60"/>
      <c r="F2012" s="18"/>
      <c r="G2012" s="18"/>
      <c r="H2012" s="49"/>
      <c r="I2012" s="49"/>
      <c r="M2012" s="53"/>
      <c r="O2012" s="59"/>
      <c r="P2012" s="59"/>
    </row>
    <row r="2013" spans="1:17" x14ac:dyDescent="0.25">
      <c r="A2013" s="21" t="str">
        <f>IF(C2013="","",COUNTA($C$3:C2013))</f>
        <v/>
      </c>
      <c r="B2013" s="35" t="str">
        <f t="shared" si="47"/>
        <v/>
      </c>
      <c r="C2013" s="33"/>
      <c r="E2013" s="60"/>
      <c r="F2013" s="18"/>
      <c r="G2013" s="18"/>
      <c r="H2013" s="49"/>
      <c r="I2013" s="49"/>
      <c r="M2013" s="53"/>
      <c r="O2013" s="59"/>
      <c r="P2013" s="59"/>
    </row>
    <row r="2014" spans="1:17" x14ac:dyDescent="0.25">
      <c r="A2014" s="21" t="str">
        <f>IF(C2014="","",COUNTA($C$3:C2014))</f>
        <v/>
      </c>
      <c r="B2014" s="35" t="str">
        <f t="shared" si="47"/>
        <v/>
      </c>
      <c r="C2014" s="33"/>
      <c r="E2014" s="60"/>
      <c r="F2014" s="18"/>
      <c r="G2014" s="18"/>
      <c r="H2014" s="49"/>
      <c r="I2014" s="49"/>
      <c r="M2014" s="53"/>
      <c r="O2014" s="59"/>
      <c r="P2014" s="59"/>
    </row>
    <row r="2015" spans="1:17" x14ac:dyDescent="0.25">
      <c r="A2015" s="21" t="str">
        <f>IF(C2015="","",COUNTA($C$3:C2015))</f>
        <v/>
      </c>
      <c r="B2015" s="35" t="str">
        <f t="shared" si="47"/>
        <v/>
      </c>
      <c r="C2015" s="33"/>
      <c r="E2015" s="60"/>
      <c r="F2015" s="18"/>
      <c r="G2015" s="18"/>
      <c r="H2015" s="49"/>
      <c r="I2015" s="49"/>
      <c r="M2015" s="53"/>
      <c r="O2015" s="59"/>
      <c r="P2015" s="59"/>
    </row>
    <row r="2016" spans="1:17" x14ac:dyDescent="0.25">
      <c r="A2016" s="21" t="str">
        <f>IF(C2016="","",COUNTA($C$3:C2016))</f>
        <v/>
      </c>
      <c r="B2016" s="35" t="str">
        <f t="shared" si="47"/>
        <v/>
      </c>
      <c r="C2016" s="33"/>
      <c r="E2016" s="60"/>
      <c r="F2016" s="18"/>
      <c r="G2016" s="18"/>
      <c r="H2016" s="49"/>
      <c r="I2016" s="49"/>
      <c r="M2016" s="53"/>
      <c r="O2016" s="59"/>
      <c r="P2016" s="59"/>
    </row>
    <row r="2017" spans="1:16" x14ac:dyDescent="0.25">
      <c r="A2017" s="21" t="str">
        <f>IF(C2017="","",COUNTA($C$3:C2017))</f>
        <v/>
      </c>
      <c r="B2017" s="35" t="str">
        <f t="shared" si="47"/>
        <v/>
      </c>
      <c r="C2017" s="33"/>
      <c r="E2017" s="60"/>
      <c r="F2017" s="18"/>
      <c r="G2017" s="18"/>
      <c r="H2017" s="49"/>
      <c r="I2017" s="49"/>
      <c r="M2017" s="53"/>
      <c r="O2017" s="59"/>
      <c r="P2017" s="59"/>
    </row>
    <row r="2018" spans="1:16" x14ac:dyDescent="0.25">
      <c r="A2018" s="21" t="str">
        <f>IF(C2018="","",COUNTA($C$3:C2018))</f>
        <v/>
      </c>
      <c r="B2018" s="35" t="str">
        <f t="shared" si="47"/>
        <v/>
      </c>
      <c r="C2018" s="33"/>
      <c r="E2018" s="60"/>
      <c r="F2018" s="18"/>
      <c r="G2018" s="18"/>
      <c r="H2018" s="49"/>
      <c r="I2018" s="49"/>
      <c r="M2018" s="53"/>
      <c r="O2018" s="59"/>
      <c r="P2018" s="59"/>
    </row>
    <row r="2019" spans="1:16" x14ac:dyDescent="0.25">
      <c r="A2019" s="21" t="str">
        <f>IF(C2019="","",COUNTA($C$3:C2019))</f>
        <v/>
      </c>
      <c r="B2019" s="35" t="str">
        <f t="shared" si="47"/>
        <v/>
      </c>
      <c r="C2019" s="33"/>
      <c r="E2019" s="60"/>
      <c r="F2019" s="18"/>
      <c r="G2019" s="18"/>
      <c r="H2019" s="49"/>
      <c r="I2019" s="49"/>
      <c r="M2019" s="53"/>
    </row>
    <row r="2020" spans="1:16" x14ac:dyDescent="0.25">
      <c r="A2020" s="21" t="str">
        <f>IF(C2020="","",COUNTA($C$3:C2020))</f>
        <v/>
      </c>
      <c r="B2020" s="35" t="str">
        <f t="shared" si="47"/>
        <v/>
      </c>
      <c r="C2020" s="33"/>
      <c r="E2020" s="60"/>
      <c r="F2020" s="18"/>
      <c r="G2020" s="18"/>
      <c r="H2020" s="49"/>
      <c r="I2020" s="49"/>
      <c r="M2020" s="53"/>
    </row>
    <row r="2021" spans="1:16" x14ac:dyDescent="0.25">
      <c r="A2021" s="21" t="str">
        <f>IF(C2021="","",COUNTA($C$3:C2021))</f>
        <v/>
      </c>
      <c r="B2021" s="35" t="str">
        <f t="shared" si="47"/>
        <v/>
      </c>
      <c r="C2021" s="33"/>
      <c r="E2021" s="60"/>
      <c r="F2021" s="18"/>
      <c r="G2021" s="18"/>
      <c r="H2021" s="49"/>
      <c r="I2021" s="49"/>
      <c r="M2021" s="53"/>
    </row>
    <row r="2022" spans="1:16" x14ac:dyDescent="0.25">
      <c r="A2022" s="21" t="str">
        <f>IF(C2022="","",COUNTA($C$3:C2022))</f>
        <v/>
      </c>
      <c r="B2022" s="35" t="str">
        <f t="shared" si="47"/>
        <v/>
      </c>
      <c r="C2022" s="33"/>
      <c r="E2022" s="60"/>
      <c r="F2022" s="18"/>
      <c r="G2022" s="18"/>
      <c r="H2022" s="49"/>
      <c r="I2022" s="49"/>
      <c r="M2022" s="53"/>
    </row>
    <row r="2023" spans="1:16" x14ac:dyDescent="0.25">
      <c r="A2023" s="21" t="str">
        <f>IF(C2023="","",COUNTA($C$3:C2023))</f>
        <v/>
      </c>
      <c r="B2023" s="35" t="str">
        <f t="shared" si="47"/>
        <v/>
      </c>
      <c r="C2023" s="33"/>
      <c r="E2023" s="60"/>
      <c r="F2023" s="18"/>
      <c r="G2023" s="18"/>
      <c r="H2023" s="49"/>
      <c r="I2023" s="49"/>
      <c r="M2023" s="53"/>
    </row>
    <row r="2024" spans="1:16" x14ac:dyDescent="0.25">
      <c r="A2024" s="21" t="str">
        <f>IF(C2024="","",COUNTA($C$3:C2024))</f>
        <v/>
      </c>
      <c r="B2024" s="35" t="str">
        <f t="shared" si="47"/>
        <v/>
      </c>
      <c r="C2024" s="33"/>
      <c r="E2024" s="60"/>
      <c r="F2024" s="18"/>
      <c r="G2024" s="18"/>
      <c r="H2024" s="49"/>
      <c r="I2024" s="49"/>
      <c r="M2024" s="53"/>
    </row>
    <row r="2025" spans="1:16" x14ac:dyDescent="0.25">
      <c r="A2025" s="21" t="str">
        <f>IF(C2025="","",COUNTA($C$3:C2025))</f>
        <v/>
      </c>
      <c r="B2025" s="35" t="str">
        <f t="shared" si="47"/>
        <v/>
      </c>
      <c r="C2025" s="33"/>
      <c r="E2025" s="60"/>
      <c r="F2025" s="18"/>
      <c r="G2025" s="18"/>
      <c r="H2025" s="49"/>
      <c r="I2025" s="49"/>
      <c r="M2025" s="53"/>
    </row>
    <row r="2026" spans="1:16" x14ac:dyDescent="0.25">
      <c r="A2026" s="21" t="str">
        <f>IF(C2026="","",COUNTA($C$3:C2026))</f>
        <v/>
      </c>
      <c r="B2026" s="35" t="str">
        <f t="shared" si="47"/>
        <v/>
      </c>
      <c r="C2026" s="33"/>
      <c r="E2026" s="60"/>
      <c r="F2026" s="18"/>
      <c r="G2026" s="18"/>
      <c r="H2026" s="49"/>
      <c r="I2026" s="49"/>
      <c r="M2026" s="53"/>
    </row>
    <row r="2027" spans="1:16" x14ac:dyDescent="0.25">
      <c r="A2027" s="21" t="str">
        <f>IF(C2027="","",COUNTA($C$3:C2027))</f>
        <v/>
      </c>
      <c r="B2027" s="35" t="str">
        <f t="shared" si="47"/>
        <v/>
      </c>
      <c r="C2027" s="33"/>
      <c r="E2027" s="60"/>
      <c r="F2027" s="18"/>
      <c r="G2027" s="18"/>
      <c r="H2027" s="49"/>
      <c r="I2027" s="49"/>
      <c r="L2027" s="62"/>
      <c r="M2027" s="53"/>
    </row>
    <row r="2028" spans="1:16" x14ac:dyDescent="0.25">
      <c r="A2028" s="21" t="str">
        <f>IF(C2028="","",COUNTA($C$3:C2028))</f>
        <v/>
      </c>
      <c r="B2028" s="35" t="str">
        <f t="shared" si="47"/>
        <v/>
      </c>
      <c r="C2028" s="33"/>
      <c r="E2028" s="60"/>
      <c r="F2028" s="18"/>
      <c r="G2028" s="18"/>
      <c r="H2028" s="49"/>
      <c r="I2028" s="49"/>
      <c r="L2028" s="48"/>
      <c r="M2028" s="53"/>
    </row>
    <row r="2029" spans="1:16" x14ac:dyDescent="0.25">
      <c r="A2029" s="21" t="str">
        <f>IF(C2029="","",COUNTA($C$3:C2029))</f>
        <v/>
      </c>
      <c r="B2029" s="35" t="str">
        <f t="shared" si="47"/>
        <v/>
      </c>
      <c r="C2029" s="33"/>
      <c r="E2029" s="60"/>
      <c r="F2029" s="18"/>
      <c r="G2029" s="18"/>
      <c r="H2029" s="49"/>
      <c r="I2029" s="49"/>
      <c r="M2029" s="53"/>
    </row>
    <row r="2030" spans="1:16" x14ac:dyDescent="0.25">
      <c r="A2030" s="21" t="str">
        <f>IF(C2030="","",COUNTA($C$3:C2030))</f>
        <v/>
      </c>
      <c r="B2030" s="35" t="str">
        <f t="shared" si="47"/>
        <v/>
      </c>
      <c r="C2030" s="33"/>
      <c r="E2030" s="60"/>
      <c r="F2030" s="18"/>
      <c r="G2030" s="18"/>
      <c r="H2030" s="49"/>
      <c r="I2030" s="49"/>
      <c r="M2030" s="53"/>
    </row>
    <row r="2031" spans="1:16" x14ac:dyDescent="0.25">
      <c r="A2031" s="21" t="str">
        <f>IF(C2031="","",COUNTA($C$3:C2031))</f>
        <v/>
      </c>
      <c r="B2031" s="35" t="str">
        <f t="shared" si="47"/>
        <v/>
      </c>
      <c r="C2031" s="33"/>
      <c r="E2031" s="60"/>
      <c r="F2031" s="18"/>
      <c r="G2031" s="18"/>
      <c r="H2031" s="49"/>
      <c r="I2031" s="49"/>
      <c r="M2031" s="53"/>
    </row>
    <row r="2032" spans="1:16" x14ac:dyDescent="0.25">
      <c r="A2032" s="21" t="str">
        <f>IF(C2032="","",COUNTA($C$3:C2032))</f>
        <v/>
      </c>
      <c r="B2032" s="35" t="str">
        <f t="shared" si="47"/>
        <v/>
      </c>
      <c r="C2032" s="33"/>
      <c r="E2032" s="60"/>
      <c r="F2032" s="18"/>
      <c r="G2032" s="18"/>
      <c r="H2032" s="49"/>
      <c r="I2032" s="49"/>
      <c r="K2032" s="55"/>
      <c r="M2032" s="53"/>
    </row>
    <row r="2033" spans="1:17" x14ac:dyDescent="0.25">
      <c r="A2033" s="21" t="str">
        <f>IF(C2033="","",COUNTA($C$3:C2033))</f>
        <v/>
      </c>
      <c r="B2033" s="35" t="str">
        <f t="shared" si="47"/>
        <v/>
      </c>
      <c r="C2033" s="33"/>
      <c r="E2033" s="60"/>
      <c r="F2033" s="18"/>
      <c r="G2033" s="18"/>
      <c r="H2033" s="49"/>
      <c r="I2033" s="49"/>
      <c r="M2033" s="53"/>
    </row>
    <row r="2034" spans="1:17" x14ac:dyDescent="0.25">
      <c r="A2034" s="21" t="str">
        <f>IF(C2034="","",COUNTA($C$3:C2034))</f>
        <v/>
      </c>
      <c r="B2034" s="35" t="str">
        <f t="shared" si="47"/>
        <v/>
      </c>
      <c r="C2034" s="33"/>
      <c r="E2034" s="60"/>
      <c r="F2034" s="18"/>
      <c r="G2034" s="18"/>
      <c r="H2034" s="49"/>
      <c r="I2034" s="49"/>
      <c r="M2034" s="53"/>
    </row>
    <row r="2035" spans="1:17" x14ac:dyDescent="0.25">
      <c r="A2035" s="21" t="str">
        <f>IF(C2035="","",COUNTA($C$3:C2035))</f>
        <v/>
      </c>
      <c r="B2035" s="35" t="str">
        <f t="shared" si="47"/>
        <v/>
      </c>
      <c r="C2035" s="33"/>
      <c r="E2035" s="60"/>
      <c r="F2035" s="18"/>
      <c r="G2035" s="18"/>
      <c r="H2035" s="49"/>
      <c r="I2035" s="49"/>
      <c r="M2035" s="53"/>
      <c r="O2035" s="59"/>
      <c r="P2035" s="112"/>
      <c r="Q2035" s="59"/>
    </row>
    <row r="2036" spans="1:17" x14ac:dyDescent="0.25">
      <c r="A2036" s="21" t="str">
        <f>IF(C2036="","",COUNTA($C$3:C2036))</f>
        <v/>
      </c>
      <c r="B2036" s="35" t="str">
        <f t="shared" si="47"/>
        <v/>
      </c>
      <c r="C2036" s="33"/>
      <c r="E2036" s="60"/>
      <c r="F2036" s="18"/>
      <c r="G2036" s="18"/>
      <c r="H2036" s="49"/>
      <c r="I2036" s="49"/>
      <c r="K2036" s="55"/>
      <c r="M2036" s="53"/>
    </row>
    <row r="2037" spans="1:17" x14ac:dyDescent="0.25">
      <c r="A2037" s="21" t="str">
        <f>IF(C2037="","",COUNTA($C$3:C2037))</f>
        <v/>
      </c>
      <c r="B2037" s="35" t="str">
        <f t="shared" si="47"/>
        <v/>
      </c>
      <c r="C2037" s="33"/>
      <c r="E2037" s="60"/>
      <c r="F2037" s="18"/>
      <c r="G2037" s="18"/>
      <c r="H2037" s="49"/>
      <c r="I2037" s="49"/>
      <c r="M2037" s="53"/>
    </row>
    <row r="2038" spans="1:17" x14ac:dyDescent="0.25">
      <c r="A2038" s="21" t="str">
        <f>IF(C2038="","",COUNTA($C$3:C2038))</f>
        <v/>
      </c>
      <c r="B2038" s="35" t="str">
        <f t="shared" si="47"/>
        <v/>
      </c>
      <c r="C2038" s="33"/>
      <c r="E2038" s="60"/>
      <c r="F2038" s="18"/>
      <c r="G2038" s="18"/>
      <c r="H2038" s="49"/>
      <c r="I2038" s="49"/>
      <c r="M2038" s="53"/>
    </row>
    <row r="2039" spans="1:17" x14ac:dyDescent="0.25">
      <c r="A2039" s="21" t="str">
        <f>IF(C2039="","",COUNTA($C$3:C2039))</f>
        <v/>
      </c>
      <c r="B2039" s="35" t="str">
        <f t="shared" si="47"/>
        <v/>
      </c>
      <c r="C2039" s="33"/>
      <c r="E2039" s="60"/>
      <c r="F2039" s="18"/>
      <c r="G2039" s="18"/>
      <c r="H2039" s="49"/>
      <c r="I2039" s="49"/>
      <c r="M2039" s="53"/>
    </row>
    <row r="2040" spans="1:17" x14ac:dyDescent="0.25">
      <c r="A2040" s="21" t="str">
        <f>IF(C2040="","",COUNTA($C$3:C2040))</f>
        <v/>
      </c>
      <c r="B2040" s="35" t="str">
        <f t="shared" si="47"/>
        <v/>
      </c>
      <c r="C2040" s="33"/>
      <c r="E2040" s="60"/>
      <c r="F2040" s="18"/>
      <c r="G2040" s="18"/>
      <c r="H2040" s="49"/>
      <c r="I2040" s="49"/>
      <c r="M2040" s="53"/>
    </row>
    <row r="2041" spans="1:17" x14ac:dyDescent="0.25">
      <c r="A2041" s="21" t="str">
        <f>IF(C2041="","",COUNTA($C$3:C2041))</f>
        <v/>
      </c>
      <c r="B2041" s="35" t="str">
        <f t="shared" si="47"/>
        <v/>
      </c>
      <c r="C2041" s="33"/>
      <c r="E2041" s="60"/>
      <c r="F2041" s="18"/>
      <c r="G2041" s="18"/>
      <c r="H2041" s="49"/>
      <c r="I2041" s="76"/>
      <c r="M2041" s="53"/>
    </row>
    <row r="2042" spans="1:17" x14ac:dyDescent="0.25">
      <c r="A2042" s="21" t="str">
        <f>IF(C2042="","",COUNTA($C$3:C2042))</f>
        <v/>
      </c>
      <c r="B2042" s="35" t="str">
        <f t="shared" si="47"/>
        <v/>
      </c>
      <c r="C2042" s="33"/>
      <c r="E2042" s="60"/>
      <c r="F2042" s="18"/>
      <c r="G2042" s="18"/>
      <c r="H2042" s="49"/>
      <c r="I2042" s="49"/>
      <c r="M2042" s="53"/>
    </row>
    <row r="2043" spans="1:17" x14ac:dyDescent="0.25">
      <c r="A2043" s="21" t="str">
        <f>IF(C2043="","",COUNTA($C$3:C2043))</f>
        <v/>
      </c>
      <c r="B2043" s="35" t="str">
        <f t="shared" si="47"/>
        <v/>
      </c>
      <c r="C2043" s="33"/>
      <c r="E2043" s="60"/>
      <c r="F2043" s="18"/>
      <c r="G2043" s="18"/>
      <c r="H2043" s="49"/>
      <c r="I2043" s="49"/>
      <c r="M2043" s="53"/>
    </row>
    <row r="2044" spans="1:17" x14ac:dyDescent="0.25">
      <c r="A2044" s="21" t="str">
        <f>IF(C2044="","",COUNTA($C$3:C2044))</f>
        <v/>
      </c>
      <c r="B2044" s="35" t="str">
        <f t="shared" si="47"/>
        <v/>
      </c>
      <c r="C2044" s="33"/>
      <c r="E2044" s="60"/>
      <c r="F2044" s="18"/>
      <c r="G2044" s="18"/>
      <c r="H2044" s="49"/>
      <c r="I2044" s="49"/>
      <c r="K2044" s="55"/>
      <c r="M2044" s="53"/>
    </row>
    <row r="2045" spans="1:17" x14ac:dyDescent="0.25">
      <c r="A2045" s="21" t="str">
        <f>IF(C2045="","",COUNTA($C$3:C2045))</f>
        <v/>
      </c>
      <c r="B2045" s="35" t="str">
        <f t="shared" si="47"/>
        <v/>
      </c>
      <c r="C2045" s="33"/>
      <c r="E2045" s="60"/>
      <c r="F2045" s="18"/>
      <c r="G2045" s="18"/>
      <c r="H2045" s="49"/>
      <c r="I2045" s="49"/>
      <c r="M2045" s="53"/>
    </row>
    <row r="2046" spans="1:17" x14ac:dyDescent="0.25">
      <c r="A2046" s="21" t="str">
        <f>IF(C2046="","",COUNTA($C$3:C2046))</f>
        <v/>
      </c>
      <c r="B2046" s="35" t="str">
        <f t="shared" si="47"/>
        <v/>
      </c>
      <c r="C2046" s="33"/>
      <c r="E2046" s="60"/>
      <c r="F2046" s="18"/>
      <c r="G2046" s="18"/>
      <c r="H2046" s="49"/>
      <c r="I2046" s="49"/>
      <c r="M2046" s="53"/>
    </row>
    <row r="2047" spans="1:17" x14ac:dyDescent="0.25">
      <c r="A2047" s="21" t="str">
        <f>IF(C2047="","",COUNTA($C$3:C2047))</f>
        <v/>
      </c>
      <c r="B2047" s="35" t="str">
        <f t="shared" si="47"/>
        <v/>
      </c>
      <c r="C2047" s="33"/>
      <c r="E2047" s="60"/>
      <c r="F2047" s="18"/>
      <c r="G2047" s="18"/>
      <c r="H2047" s="49"/>
      <c r="I2047" s="49"/>
      <c r="M2047" s="53"/>
    </row>
    <row r="2048" spans="1:17" x14ac:dyDescent="0.25">
      <c r="A2048" s="21" t="str">
        <f>IF(C2048="","",COUNTA($C$3:C2048))</f>
        <v/>
      </c>
      <c r="B2048" s="35" t="str">
        <f t="shared" si="47"/>
        <v/>
      </c>
      <c r="C2048" s="33"/>
      <c r="E2048" s="60"/>
      <c r="F2048" s="18"/>
      <c r="G2048" s="18"/>
      <c r="H2048" s="49"/>
      <c r="I2048" s="49"/>
      <c r="M2048" s="53"/>
    </row>
    <row r="2049" spans="1:17" x14ac:dyDescent="0.25">
      <c r="A2049" s="21" t="str">
        <f>IF(C2049="","",COUNTA($C$3:C2049))</f>
        <v/>
      </c>
      <c r="B2049" s="35" t="str">
        <f t="shared" si="47"/>
        <v/>
      </c>
      <c r="C2049" s="33"/>
      <c r="E2049" s="60"/>
      <c r="F2049" s="18"/>
      <c r="G2049" s="18"/>
      <c r="H2049" s="49"/>
      <c r="I2049" s="49"/>
      <c r="M2049" s="53"/>
    </row>
    <row r="2050" spans="1:17" x14ac:dyDescent="0.25">
      <c r="A2050" s="21" t="str">
        <f>IF(C2050="","",COUNTA($C$3:C2050))</f>
        <v/>
      </c>
      <c r="B2050" s="35" t="str">
        <f t="shared" si="47"/>
        <v/>
      </c>
      <c r="C2050" s="33"/>
      <c r="E2050" s="60"/>
      <c r="F2050" s="18"/>
      <c r="G2050" s="18"/>
      <c r="H2050" s="49"/>
      <c r="I2050" s="49"/>
      <c r="L2050" s="78"/>
      <c r="M2050" s="53"/>
    </row>
    <row r="2051" spans="1:17" x14ac:dyDescent="0.25">
      <c r="A2051" s="21" t="str">
        <f>IF(C2051="","",COUNTA($C$3:C2051))</f>
        <v/>
      </c>
      <c r="B2051" s="35" t="str">
        <f t="shared" si="47"/>
        <v/>
      </c>
      <c r="C2051" s="33"/>
      <c r="E2051" s="60"/>
      <c r="F2051" s="18"/>
      <c r="G2051" s="18"/>
      <c r="H2051" s="49"/>
      <c r="I2051" s="49"/>
      <c r="L2051" s="78"/>
      <c r="M2051" s="53"/>
    </row>
    <row r="2052" spans="1:17" x14ac:dyDescent="0.25">
      <c r="A2052" s="21" t="str">
        <f>IF(C2052="","",COUNTA($C$3:C2052))</f>
        <v/>
      </c>
      <c r="B2052" s="35" t="str">
        <f t="shared" si="47"/>
        <v/>
      </c>
      <c r="C2052" s="33"/>
      <c r="E2052" s="60"/>
      <c r="F2052" s="18"/>
      <c r="G2052" s="18"/>
      <c r="H2052" s="49"/>
      <c r="I2052" s="49"/>
      <c r="K2052" s="55"/>
      <c r="M2052" s="53"/>
    </row>
    <row r="2053" spans="1:17" x14ac:dyDescent="0.25">
      <c r="A2053" s="21" t="str">
        <f>IF(C2053="","",COUNTA($C$3:C2053))</f>
        <v/>
      </c>
      <c r="B2053" s="35" t="str">
        <f t="shared" ref="B2053:B2116" si="48">IF(C2053="","",TEXT(C2053,"mmmm"))</f>
        <v/>
      </c>
      <c r="C2053" s="33"/>
      <c r="E2053" s="60"/>
      <c r="F2053" s="18"/>
      <c r="G2053" s="18"/>
      <c r="H2053" s="49"/>
      <c r="I2053" s="49"/>
      <c r="M2053" s="53"/>
    </row>
    <row r="2054" spans="1:17" x14ac:dyDescent="0.25">
      <c r="A2054" s="21" t="str">
        <f>IF(C2054="","",COUNTA($C$3:C2054))</f>
        <v/>
      </c>
      <c r="B2054" s="35" t="str">
        <f t="shared" si="48"/>
        <v/>
      </c>
      <c r="C2054" s="33"/>
      <c r="E2054" s="60"/>
      <c r="F2054" s="18"/>
      <c r="G2054" s="18"/>
      <c r="H2054" s="49"/>
      <c r="I2054" s="49"/>
      <c r="M2054" s="53"/>
    </row>
    <row r="2055" spans="1:17" x14ac:dyDescent="0.25">
      <c r="A2055" s="21" t="str">
        <f>IF(C2055="","",COUNTA($C$3:C2055))</f>
        <v/>
      </c>
      <c r="B2055" s="35" t="str">
        <f t="shared" si="48"/>
        <v/>
      </c>
      <c r="C2055" s="33"/>
      <c r="E2055" s="60"/>
      <c r="F2055" s="18"/>
      <c r="G2055" s="18"/>
      <c r="H2055" s="49"/>
      <c r="I2055" s="49"/>
      <c r="M2055" s="53"/>
    </row>
    <row r="2056" spans="1:17" x14ac:dyDescent="0.25">
      <c r="A2056" s="21" t="str">
        <f>IF(C2056="","",COUNTA($C$3:C2056))</f>
        <v/>
      </c>
      <c r="B2056" s="35" t="str">
        <f t="shared" si="48"/>
        <v/>
      </c>
      <c r="C2056" s="33"/>
      <c r="E2056" s="60"/>
      <c r="F2056" s="18"/>
      <c r="G2056" s="18"/>
      <c r="H2056" s="49"/>
      <c r="I2056" s="49"/>
      <c r="M2056" s="53"/>
    </row>
    <row r="2057" spans="1:17" x14ac:dyDescent="0.25">
      <c r="A2057" s="21" t="str">
        <f>IF(C2057="","",COUNTA($C$3:C2057))</f>
        <v/>
      </c>
      <c r="B2057" s="35" t="str">
        <f t="shared" si="48"/>
        <v/>
      </c>
      <c r="C2057" s="33"/>
      <c r="E2057" s="60"/>
      <c r="F2057" s="18"/>
      <c r="G2057" s="18"/>
      <c r="H2057" s="49"/>
      <c r="I2057" s="76"/>
      <c r="M2057" s="53"/>
    </row>
    <row r="2058" spans="1:17" x14ac:dyDescent="0.25">
      <c r="A2058" s="21" t="str">
        <f>IF(C2058="","",COUNTA($C$3:C2058))</f>
        <v/>
      </c>
      <c r="B2058" s="35" t="str">
        <f t="shared" si="48"/>
        <v/>
      </c>
      <c r="C2058" s="33"/>
      <c r="E2058" s="60"/>
      <c r="F2058" s="18"/>
      <c r="G2058" s="18"/>
      <c r="H2058" s="49"/>
      <c r="I2058" s="49"/>
      <c r="M2058" s="53"/>
    </row>
    <row r="2059" spans="1:17" x14ac:dyDescent="0.25">
      <c r="A2059" s="21" t="str">
        <f>IF(C2059="","",COUNTA($C$3:C2059))</f>
        <v/>
      </c>
      <c r="B2059" s="35" t="str">
        <f t="shared" si="48"/>
        <v/>
      </c>
      <c r="C2059" s="33"/>
      <c r="D2059" s="18"/>
      <c r="E2059" s="77"/>
      <c r="F2059" s="18"/>
      <c r="G2059" s="18"/>
      <c r="H2059" s="49"/>
      <c r="I2059" s="49"/>
      <c r="M2059" s="53"/>
    </row>
    <row r="2060" spans="1:17" x14ac:dyDescent="0.25">
      <c r="A2060" s="21" t="str">
        <f>IF(C2060="","",COUNTA($C$3:C2060))</f>
        <v/>
      </c>
      <c r="B2060" s="35" t="str">
        <f t="shared" si="48"/>
        <v/>
      </c>
      <c r="C2060" s="33"/>
      <c r="D2060" s="18"/>
      <c r="E2060" s="77"/>
      <c r="F2060" s="18"/>
      <c r="G2060" s="18"/>
      <c r="H2060" s="49"/>
      <c r="I2060" s="49"/>
      <c r="L2060" s="70"/>
      <c r="M2060" s="53"/>
      <c r="O2060" s="59"/>
      <c r="P2060" s="69"/>
      <c r="Q2060" s="59"/>
    </row>
    <row r="2061" spans="1:17" x14ac:dyDescent="0.25">
      <c r="A2061" s="21" t="str">
        <f>IF(C2061="","",COUNTA($C$3:C2061))</f>
        <v/>
      </c>
      <c r="B2061" s="35" t="str">
        <f t="shared" si="48"/>
        <v/>
      </c>
      <c r="C2061" s="33"/>
      <c r="D2061" s="18"/>
      <c r="E2061" s="77"/>
      <c r="F2061" s="18"/>
      <c r="G2061" s="18"/>
      <c r="H2061" s="49"/>
      <c r="I2061" s="49"/>
      <c r="L2061" s="70"/>
      <c r="M2061" s="53"/>
      <c r="O2061" s="59"/>
      <c r="P2061" s="69"/>
      <c r="Q2061" s="59"/>
    </row>
    <row r="2062" spans="1:17" x14ac:dyDescent="0.25">
      <c r="A2062" s="21" t="str">
        <f>IF(C2062="","",COUNTA($C$3:C2062))</f>
        <v/>
      </c>
      <c r="B2062" s="35" t="str">
        <f t="shared" si="48"/>
        <v/>
      </c>
      <c r="C2062" s="33"/>
      <c r="D2062" s="18"/>
      <c r="E2062" s="77"/>
      <c r="F2062" s="18"/>
      <c r="G2062" s="18"/>
      <c r="H2062" s="49"/>
      <c r="I2062" s="49"/>
      <c r="L2062" s="70"/>
      <c r="M2062" s="53"/>
      <c r="O2062" s="59"/>
      <c r="P2062" s="117"/>
      <c r="Q2062" s="59"/>
    </row>
    <row r="2063" spans="1:17" x14ac:dyDescent="0.25">
      <c r="A2063" s="21" t="str">
        <f>IF(C2063="","",COUNTA($C$3:C2063))</f>
        <v/>
      </c>
      <c r="B2063" s="35" t="str">
        <f t="shared" si="48"/>
        <v/>
      </c>
      <c r="C2063" s="33"/>
      <c r="D2063" s="18"/>
      <c r="E2063" s="77"/>
      <c r="F2063" s="18"/>
      <c r="G2063" s="18"/>
      <c r="H2063" s="49"/>
      <c r="I2063" s="49"/>
      <c r="K2063" s="55"/>
      <c r="L2063" s="62"/>
      <c r="M2063" s="53"/>
      <c r="O2063" s="59"/>
    </row>
    <row r="2064" spans="1:17" x14ac:dyDescent="0.25">
      <c r="A2064" s="21" t="str">
        <f>IF(C2064="","",COUNTA($C$3:C2064))</f>
        <v/>
      </c>
      <c r="B2064" s="35" t="str">
        <f t="shared" si="48"/>
        <v/>
      </c>
      <c r="C2064" s="33"/>
      <c r="D2064" s="18"/>
      <c r="E2064" s="77"/>
      <c r="F2064" s="18"/>
      <c r="G2064" s="18"/>
      <c r="H2064" s="49"/>
      <c r="I2064" s="49"/>
      <c r="M2064" s="53"/>
      <c r="O2064" s="59"/>
    </row>
    <row r="2065" spans="1:13" x14ac:dyDescent="0.25">
      <c r="A2065" s="21" t="str">
        <f>IF(C2065="","",COUNTA($C$3:C2065))</f>
        <v/>
      </c>
      <c r="B2065" s="35" t="str">
        <f t="shared" si="48"/>
        <v/>
      </c>
      <c r="C2065" s="33"/>
      <c r="D2065" s="18"/>
      <c r="E2065" s="77"/>
      <c r="F2065" s="18"/>
      <c r="G2065" s="18"/>
      <c r="H2065" s="49"/>
      <c r="I2065" s="49"/>
      <c r="M2065" s="53"/>
    </row>
    <row r="2066" spans="1:13" x14ac:dyDescent="0.25">
      <c r="A2066" s="21" t="str">
        <f>IF(C2066="","",COUNTA($C$3:C2066))</f>
        <v/>
      </c>
      <c r="B2066" s="35" t="str">
        <f t="shared" si="48"/>
        <v/>
      </c>
      <c r="C2066" s="33"/>
      <c r="D2066" s="18"/>
      <c r="E2066" s="77"/>
      <c r="F2066" s="18"/>
      <c r="G2066" s="18"/>
      <c r="H2066" s="49"/>
      <c r="I2066" s="49"/>
      <c r="M2066" s="53"/>
    </row>
    <row r="2067" spans="1:13" x14ac:dyDescent="0.25">
      <c r="A2067" s="21" t="str">
        <f>IF(C2067="","",COUNTA($C$3:C2067))</f>
        <v/>
      </c>
      <c r="B2067" s="35" t="str">
        <f t="shared" si="48"/>
        <v/>
      </c>
      <c r="C2067" s="33"/>
      <c r="D2067" s="18"/>
      <c r="E2067" s="77"/>
      <c r="F2067" s="18"/>
      <c r="G2067" s="18"/>
      <c r="H2067" s="49"/>
      <c r="I2067" s="49"/>
      <c r="M2067" s="53"/>
    </row>
    <row r="2068" spans="1:13" x14ac:dyDescent="0.25">
      <c r="A2068" s="21" t="str">
        <f>IF(C2068="","",COUNTA($C$3:C2068))</f>
        <v/>
      </c>
      <c r="B2068" s="35" t="str">
        <f t="shared" si="48"/>
        <v/>
      </c>
      <c r="C2068" s="33"/>
      <c r="D2068" s="18"/>
      <c r="E2068" s="77"/>
      <c r="F2068" s="18"/>
      <c r="G2068" s="18"/>
      <c r="H2068" s="49"/>
      <c r="I2068" s="49"/>
      <c r="M2068" s="53"/>
    </row>
    <row r="2069" spans="1:13" x14ac:dyDescent="0.25">
      <c r="A2069" s="21" t="str">
        <f>IF(C2069="","",COUNTA($C$3:C2069))</f>
        <v/>
      </c>
      <c r="B2069" s="35" t="str">
        <f t="shared" si="48"/>
        <v/>
      </c>
      <c r="C2069" s="33"/>
      <c r="D2069" s="18"/>
      <c r="E2069" s="77"/>
      <c r="F2069" s="18"/>
      <c r="G2069" s="18"/>
      <c r="H2069" s="49"/>
      <c r="I2069" s="49"/>
      <c r="L2069" s="78"/>
      <c r="M2069" s="53"/>
    </row>
    <row r="2070" spans="1:13" x14ac:dyDescent="0.25">
      <c r="A2070" s="21" t="str">
        <f>IF(C2070="","",COUNTA($C$3:C2070))</f>
        <v/>
      </c>
      <c r="B2070" s="35" t="str">
        <f t="shared" si="48"/>
        <v/>
      </c>
      <c r="C2070" s="33"/>
      <c r="D2070" s="18"/>
      <c r="E2070" s="77"/>
      <c r="F2070" s="18"/>
      <c r="G2070" s="18"/>
      <c r="H2070" s="49"/>
      <c r="I2070" s="49"/>
      <c r="L2070" s="78"/>
      <c r="M2070" s="53"/>
    </row>
    <row r="2071" spans="1:13" x14ac:dyDescent="0.25">
      <c r="A2071" s="21" t="str">
        <f>IF(C2071="","",COUNTA($C$3:C2071))</f>
        <v/>
      </c>
      <c r="B2071" s="35" t="str">
        <f t="shared" si="48"/>
        <v/>
      </c>
      <c r="C2071" s="33"/>
      <c r="D2071" s="18"/>
      <c r="E2071" s="77"/>
      <c r="F2071" s="18"/>
      <c r="G2071" s="18"/>
      <c r="H2071" s="49"/>
      <c r="I2071" s="76"/>
      <c r="K2071" s="55"/>
      <c r="M2071" s="53"/>
    </row>
    <row r="2072" spans="1:13" x14ac:dyDescent="0.25">
      <c r="A2072" s="21" t="str">
        <f>IF(C2072="","",COUNTA($C$3:C2072))</f>
        <v/>
      </c>
      <c r="B2072" s="35" t="str">
        <f t="shared" si="48"/>
        <v/>
      </c>
      <c r="C2072" s="33"/>
      <c r="E2072" s="60"/>
      <c r="F2072" s="18"/>
      <c r="G2072" s="18"/>
      <c r="H2072" s="49"/>
      <c r="I2072" s="49"/>
      <c r="M2072" s="53"/>
    </row>
    <row r="2073" spans="1:13" x14ac:dyDescent="0.25">
      <c r="A2073" s="21" t="str">
        <f>IF(C2073="","",COUNTA($C$3:C2073))</f>
        <v/>
      </c>
      <c r="B2073" s="35" t="str">
        <f t="shared" si="48"/>
        <v/>
      </c>
      <c r="C2073" s="33"/>
      <c r="E2073" s="60"/>
      <c r="F2073" s="18"/>
      <c r="G2073" s="18"/>
      <c r="H2073" s="49"/>
      <c r="I2073" s="49"/>
      <c r="M2073" s="53"/>
    </row>
    <row r="2074" spans="1:13" x14ac:dyDescent="0.25">
      <c r="A2074" s="21" t="str">
        <f>IF(C2074="","",COUNTA($C$3:C2074))</f>
        <v/>
      </c>
      <c r="B2074" s="35" t="str">
        <f t="shared" si="48"/>
        <v/>
      </c>
      <c r="C2074" s="33"/>
      <c r="E2074" s="60"/>
      <c r="F2074" s="18"/>
      <c r="G2074" s="18"/>
      <c r="H2074" s="49"/>
      <c r="I2074" s="49"/>
      <c r="M2074" s="53"/>
    </row>
    <row r="2075" spans="1:13" x14ac:dyDescent="0.25">
      <c r="A2075" s="21" t="str">
        <f>IF(C2075="","",COUNTA($C$3:C2075))</f>
        <v/>
      </c>
      <c r="B2075" s="35" t="str">
        <f t="shared" si="48"/>
        <v/>
      </c>
      <c r="C2075" s="33"/>
      <c r="E2075" s="60"/>
      <c r="F2075" s="18"/>
      <c r="G2075" s="18"/>
      <c r="H2075" s="49"/>
      <c r="I2075" s="49"/>
      <c r="M2075" s="53"/>
    </row>
    <row r="2076" spans="1:13" x14ac:dyDescent="0.25">
      <c r="A2076" s="21" t="str">
        <f>IF(C2076="","",COUNTA($C$3:C2076))</f>
        <v/>
      </c>
      <c r="B2076" s="35" t="str">
        <f t="shared" si="48"/>
        <v/>
      </c>
      <c r="C2076" s="33"/>
      <c r="E2076" s="60"/>
      <c r="F2076" s="18"/>
      <c r="G2076" s="18"/>
      <c r="H2076" s="49"/>
      <c r="I2076" s="49"/>
      <c r="M2076" s="53"/>
    </row>
    <row r="2077" spans="1:13" x14ac:dyDescent="0.25">
      <c r="A2077" s="21" t="str">
        <f>IF(C2077="","",COUNTA($C$3:C2077))</f>
        <v/>
      </c>
      <c r="B2077" s="35" t="str">
        <f t="shared" si="48"/>
        <v/>
      </c>
      <c r="C2077" s="33"/>
      <c r="E2077" s="60"/>
      <c r="F2077" s="18"/>
      <c r="G2077" s="18"/>
      <c r="H2077" s="49"/>
      <c r="I2077" s="49"/>
      <c r="M2077" s="53"/>
    </row>
    <row r="2078" spans="1:13" x14ac:dyDescent="0.25">
      <c r="A2078" s="21" t="str">
        <f>IF(C2078="","",COUNTA($C$3:C2078))</f>
        <v/>
      </c>
      <c r="B2078" s="35" t="str">
        <f t="shared" si="48"/>
        <v/>
      </c>
      <c r="C2078" s="33"/>
      <c r="E2078" s="60"/>
      <c r="F2078" s="18"/>
      <c r="G2078" s="18"/>
      <c r="H2078" s="49"/>
      <c r="I2078" s="49"/>
      <c r="L2078" s="62"/>
      <c r="M2078" s="53"/>
    </row>
    <row r="2079" spans="1:13" x14ac:dyDescent="0.25">
      <c r="A2079" s="21" t="str">
        <f>IF(C2079="","",COUNTA($C$3:C2079))</f>
        <v/>
      </c>
      <c r="B2079" s="35" t="str">
        <f t="shared" si="48"/>
        <v/>
      </c>
      <c r="C2079" s="33"/>
      <c r="E2079" s="60"/>
      <c r="F2079" s="18"/>
      <c r="G2079" s="18"/>
      <c r="H2079" s="49"/>
      <c r="I2079" s="49"/>
      <c r="L2079" s="62"/>
      <c r="M2079" s="53"/>
    </row>
    <row r="2080" spans="1:13" x14ac:dyDescent="0.25">
      <c r="A2080" s="21" t="str">
        <f>IF(C2080="","",COUNTA($C$3:C2080))</f>
        <v/>
      </c>
      <c r="B2080" s="35" t="str">
        <f t="shared" si="48"/>
        <v/>
      </c>
      <c r="C2080" s="33"/>
      <c r="E2080" s="60"/>
      <c r="F2080" s="18"/>
      <c r="G2080" s="18"/>
      <c r="H2080" s="49"/>
      <c r="I2080" s="49"/>
      <c r="M2080" s="53"/>
    </row>
    <row r="2081" spans="1:15" x14ac:dyDescent="0.25">
      <c r="A2081" s="21" t="str">
        <f>IF(C2081="","",COUNTA($C$3:C2081))</f>
        <v/>
      </c>
      <c r="B2081" s="35" t="str">
        <f t="shared" si="48"/>
        <v/>
      </c>
      <c r="C2081" s="33"/>
      <c r="E2081" s="60"/>
      <c r="F2081" s="18"/>
      <c r="G2081" s="18"/>
      <c r="H2081" s="49"/>
      <c r="I2081" s="49"/>
      <c r="M2081" s="53"/>
    </row>
    <row r="2082" spans="1:15" x14ac:dyDescent="0.25">
      <c r="A2082" s="21" t="str">
        <f>IF(C2082="","",COUNTA($C$3:C2082))</f>
        <v/>
      </c>
      <c r="B2082" s="35" t="str">
        <f t="shared" si="48"/>
        <v/>
      </c>
      <c r="C2082" s="33"/>
      <c r="E2082" s="60"/>
      <c r="F2082" s="18"/>
      <c r="G2082" s="18"/>
      <c r="H2082" s="49"/>
      <c r="I2082" s="49"/>
      <c r="M2082" s="53"/>
    </row>
    <row r="2083" spans="1:15" x14ac:dyDescent="0.25">
      <c r="A2083" s="21" t="str">
        <f>IF(C2083="","",COUNTA($C$3:C2083))</f>
        <v/>
      </c>
      <c r="B2083" s="35" t="str">
        <f t="shared" si="48"/>
        <v/>
      </c>
      <c r="C2083" s="33"/>
      <c r="E2083" s="60"/>
      <c r="F2083" s="18"/>
      <c r="G2083" s="18"/>
      <c r="H2083" s="49"/>
      <c r="I2083" s="49"/>
      <c r="M2083" s="53"/>
    </row>
    <row r="2084" spans="1:15" x14ac:dyDescent="0.25">
      <c r="A2084" s="21" t="str">
        <f>IF(C2084="","",COUNTA($C$3:C2084))</f>
        <v/>
      </c>
      <c r="B2084" s="35" t="str">
        <f t="shared" si="48"/>
        <v/>
      </c>
      <c r="C2084" s="33"/>
      <c r="E2084" s="60"/>
      <c r="F2084" s="18"/>
      <c r="G2084" s="18"/>
      <c r="H2084" s="49"/>
      <c r="I2084" s="49"/>
      <c r="L2084" s="53"/>
      <c r="M2084" s="53"/>
    </row>
    <row r="2085" spans="1:15" x14ac:dyDescent="0.25">
      <c r="A2085" s="21" t="str">
        <f>IF(C2085="","",COUNTA($C$3:C2085))</f>
        <v/>
      </c>
      <c r="B2085" s="35" t="str">
        <f t="shared" si="48"/>
        <v/>
      </c>
      <c r="C2085" s="33"/>
      <c r="E2085" s="60"/>
      <c r="F2085" s="18"/>
      <c r="G2085" s="18"/>
      <c r="H2085" s="49"/>
      <c r="I2085" s="49"/>
      <c r="M2085" s="53"/>
    </row>
    <row r="2086" spans="1:15" x14ac:dyDescent="0.25">
      <c r="A2086" s="21" t="str">
        <f>IF(C2086="","",COUNTA($C$3:C2086))</f>
        <v/>
      </c>
      <c r="B2086" s="35" t="str">
        <f t="shared" si="48"/>
        <v/>
      </c>
      <c r="C2086" s="33"/>
      <c r="E2086" s="60"/>
      <c r="F2086" s="18"/>
      <c r="G2086" s="18"/>
      <c r="H2086" s="49"/>
      <c r="I2086" s="49"/>
      <c r="M2086" s="53"/>
      <c r="N2086" s="59"/>
    </row>
    <row r="2087" spans="1:15" x14ac:dyDescent="0.25">
      <c r="A2087" s="21" t="str">
        <f>IF(C2087="","",COUNTA($C$3:C2087))</f>
        <v/>
      </c>
      <c r="B2087" s="35" t="str">
        <f t="shared" si="48"/>
        <v/>
      </c>
      <c r="C2087" s="33"/>
      <c r="E2087" s="60"/>
      <c r="F2087" s="18"/>
      <c r="G2087" s="18"/>
      <c r="H2087" s="49"/>
      <c r="I2087" s="49"/>
      <c r="L2087" s="62"/>
      <c r="M2087" s="53"/>
    </row>
    <row r="2088" spans="1:15" x14ac:dyDescent="0.25">
      <c r="A2088" s="21" t="str">
        <f>IF(C2088="","",COUNTA($C$3:C2088))</f>
        <v/>
      </c>
      <c r="B2088" s="35" t="str">
        <f t="shared" si="48"/>
        <v/>
      </c>
      <c r="C2088" s="33"/>
      <c r="E2088" s="60"/>
      <c r="F2088" s="18"/>
      <c r="G2088" s="18"/>
      <c r="H2088" s="49"/>
      <c r="I2088" s="49"/>
      <c r="L2088" s="62"/>
      <c r="M2088" s="53"/>
      <c r="N2088" s="59"/>
    </row>
    <row r="2089" spans="1:15" x14ac:dyDescent="0.25">
      <c r="A2089" s="21" t="str">
        <f>IF(C2089="","",COUNTA($C$3:C2089))</f>
        <v/>
      </c>
      <c r="B2089" s="35" t="str">
        <f t="shared" si="48"/>
        <v/>
      </c>
      <c r="C2089" s="32"/>
      <c r="E2089" s="60"/>
      <c r="F2089" s="18"/>
      <c r="G2089" s="18"/>
      <c r="H2089" s="49"/>
      <c r="I2089" s="49"/>
      <c r="M2089" s="53"/>
    </row>
    <row r="2090" spans="1:15" x14ac:dyDescent="0.25">
      <c r="A2090" s="21" t="str">
        <f>IF(C2090="","",COUNTA($C$3:C2090))</f>
        <v/>
      </c>
      <c r="B2090" s="35" t="str">
        <f t="shared" si="48"/>
        <v/>
      </c>
      <c r="C2090" s="32"/>
      <c r="E2090" s="60"/>
      <c r="F2090" s="18"/>
      <c r="G2090" s="18"/>
      <c r="H2090" s="49"/>
      <c r="I2090" s="49"/>
      <c r="M2090" s="53"/>
    </row>
    <row r="2091" spans="1:15" x14ac:dyDescent="0.25">
      <c r="A2091" s="21" t="str">
        <f>IF(C2091="","",COUNTA($C$3:C2091))</f>
        <v/>
      </c>
      <c r="B2091" s="35" t="str">
        <f t="shared" si="48"/>
        <v/>
      </c>
      <c r="C2091" s="32"/>
      <c r="E2091" s="60"/>
      <c r="F2091" s="18"/>
      <c r="G2091" s="18"/>
      <c r="H2091" s="49"/>
      <c r="I2091" s="49"/>
      <c r="M2091" s="53"/>
    </row>
    <row r="2092" spans="1:15" x14ac:dyDescent="0.25">
      <c r="A2092" s="21" t="str">
        <f>IF(C2092="","",COUNTA($C$3:C2092))</f>
        <v/>
      </c>
      <c r="B2092" s="35" t="str">
        <f t="shared" si="48"/>
        <v/>
      </c>
      <c r="C2092" s="32"/>
      <c r="E2092" s="60"/>
      <c r="F2092" s="18"/>
      <c r="G2092" s="18"/>
      <c r="H2092" s="49"/>
      <c r="I2092" s="49"/>
      <c r="M2092" s="53"/>
    </row>
    <row r="2093" spans="1:15" x14ac:dyDescent="0.25">
      <c r="A2093" s="21" t="str">
        <f>IF(C2093="","",COUNTA($C$3:C2093))</f>
        <v/>
      </c>
      <c r="B2093" s="35" t="str">
        <f t="shared" si="48"/>
        <v/>
      </c>
      <c r="C2093" s="32"/>
      <c r="E2093" s="60"/>
      <c r="F2093" s="18"/>
      <c r="G2093" s="18"/>
      <c r="H2093" s="49"/>
      <c r="I2093" s="49"/>
      <c r="M2093" s="53"/>
    </row>
    <row r="2094" spans="1:15" x14ac:dyDescent="0.25">
      <c r="A2094" s="21" t="str">
        <f>IF(C2094="","",COUNTA($C$3:C2094))</f>
        <v/>
      </c>
      <c r="B2094" s="35" t="str">
        <f t="shared" si="48"/>
        <v/>
      </c>
      <c r="C2094" s="32"/>
      <c r="E2094" s="60"/>
      <c r="F2094" s="18"/>
      <c r="G2094" s="18"/>
      <c r="H2094" s="49"/>
      <c r="I2094" s="49"/>
      <c r="M2094" s="53"/>
    </row>
    <row r="2095" spans="1:15" x14ac:dyDescent="0.25">
      <c r="A2095" s="21" t="str">
        <f>IF(C2095="","",COUNTA($C$3:C2095))</f>
        <v/>
      </c>
      <c r="B2095" s="35" t="str">
        <f t="shared" si="48"/>
        <v/>
      </c>
      <c r="C2095" s="32"/>
      <c r="E2095" s="60"/>
      <c r="F2095" s="18"/>
      <c r="G2095" s="18"/>
      <c r="H2095" s="49"/>
      <c r="I2095" s="49"/>
      <c r="M2095" s="53"/>
    </row>
    <row r="2096" spans="1:15" x14ac:dyDescent="0.25">
      <c r="A2096" s="21" t="str">
        <f>IF(C2096="","",COUNTA($C$3:C2096))</f>
        <v/>
      </c>
      <c r="B2096" s="35" t="str">
        <f t="shared" si="48"/>
        <v/>
      </c>
      <c r="C2096" s="32"/>
      <c r="E2096" s="60"/>
      <c r="F2096" s="18"/>
      <c r="G2096" s="18"/>
      <c r="H2096" s="49"/>
      <c r="I2096" s="49"/>
      <c r="M2096" s="53"/>
      <c r="O2096" s="59"/>
    </row>
    <row r="2097" spans="1:15" x14ac:dyDescent="0.25">
      <c r="A2097" s="21" t="str">
        <f>IF(C2097="","",COUNTA($C$3:C2097))</f>
        <v/>
      </c>
      <c r="B2097" s="35" t="str">
        <f t="shared" si="48"/>
        <v/>
      </c>
      <c r="C2097" s="32"/>
      <c r="E2097" s="60"/>
      <c r="F2097" s="18"/>
      <c r="G2097" s="18"/>
      <c r="H2097" s="49"/>
      <c r="I2097" s="49"/>
      <c r="M2097" s="53"/>
      <c r="O2097" s="69"/>
    </row>
    <row r="2098" spans="1:15" x14ac:dyDescent="0.25">
      <c r="A2098" s="21" t="str">
        <f>IF(C2098="","",COUNTA($C$3:C2098))</f>
        <v/>
      </c>
      <c r="B2098" s="35" t="str">
        <f t="shared" si="48"/>
        <v/>
      </c>
      <c r="C2098" s="32"/>
      <c r="E2098" s="60"/>
      <c r="F2098" s="18"/>
      <c r="G2098" s="18"/>
      <c r="H2098" s="49"/>
      <c r="I2098" s="49"/>
      <c r="M2098" s="53"/>
      <c r="O2098" s="59"/>
    </row>
    <row r="2099" spans="1:15" x14ac:dyDescent="0.25">
      <c r="A2099" s="21" t="str">
        <f>IF(C2099="","",COUNTA($C$3:C2099))</f>
        <v/>
      </c>
      <c r="B2099" s="35" t="str">
        <f t="shared" si="48"/>
        <v/>
      </c>
      <c r="C2099" s="32"/>
      <c r="E2099" s="60"/>
      <c r="F2099" s="18"/>
      <c r="G2099" s="18"/>
      <c r="H2099" s="49"/>
      <c r="I2099" s="49"/>
      <c r="M2099" s="53"/>
      <c r="O2099" s="59"/>
    </row>
    <row r="2100" spans="1:15" x14ac:dyDescent="0.25">
      <c r="A2100" s="21" t="str">
        <f>IF(C2100="","",COUNTA($C$3:C2100))</f>
        <v/>
      </c>
      <c r="B2100" s="35" t="str">
        <f t="shared" si="48"/>
        <v/>
      </c>
      <c r="C2100" s="32"/>
      <c r="E2100" s="60"/>
      <c r="F2100" s="18"/>
      <c r="G2100" s="18"/>
      <c r="H2100" s="49"/>
      <c r="I2100" s="49"/>
      <c r="M2100" s="53"/>
      <c r="O2100" s="59"/>
    </row>
    <row r="2101" spans="1:15" x14ac:dyDescent="0.25">
      <c r="A2101" s="21" t="str">
        <f>IF(C2101="","",COUNTA($C$3:C2101))</f>
        <v/>
      </c>
      <c r="B2101" s="35" t="str">
        <f t="shared" si="48"/>
        <v/>
      </c>
      <c r="C2101" s="32"/>
      <c r="E2101" s="60"/>
      <c r="F2101" s="18"/>
      <c r="G2101" s="18"/>
      <c r="H2101" s="49"/>
      <c r="I2101" s="49"/>
      <c r="M2101" s="53"/>
      <c r="O2101" s="59"/>
    </row>
    <row r="2102" spans="1:15" x14ac:dyDescent="0.25">
      <c r="A2102" s="21" t="str">
        <f>IF(C2102="","",COUNTA($C$3:C2102))</f>
        <v/>
      </c>
      <c r="B2102" s="35" t="str">
        <f t="shared" si="48"/>
        <v/>
      </c>
      <c r="C2102" s="32"/>
      <c r="E2102" s="60"/>
      <c r="F2102" s="18"/>
      <c r="G2102" s="18"/>
      <c r="H2102" s="49"/>
      <c r="I2102" s="49"/>
      <c r="M2102" s="53"/>
      <c r="O2102" s="59"/>
    </row>
    <row r="2103" spans="1:15" x14ac:dyDescent="0.25">
      <c r="A2103" s="21" t="str">
        <f>IF(C2103="","",COUNTA($C$3:C2103))</f>
        <v/>
      </c>
      <c r="B2103" s="35" t="str">
        <f t="shared" si="48"/>
        <v/>
      </c>
      <c r="C2103" s="32"/>
      <c r="E2103" s="60"/>
      <c r="F2103" s="18"/>
      <c r="G2103" s="18"/>
      <c r="H2103" s="49"/>
      <c r="I2103" s="76"/>
      <c r="M2103" s="53"/>
      <c r="O2103" s="59"/>
    </row>
    <row r="2104" spans="1:15" x14ac:dyDescent="0.25">
      <c r="A2104" s="21" t="str">
        <f>IF(C2104="","",COUNTA($C$3:C2104))</f>
        <v/>
      </c>
      <c r="B2104" s="35" t="str">
        <f t="shared" si="48"/>
        <v/>
      </c>
      <c r="C2104" s="32"/>
      <c r="E2104" s="60"/>
      <c r="F2104" s="18"/>
      <c r="G2104" s="18"/>
      <c r="H2104" s="49"/>
      <c r="I2104" s="49"/>
      <c r="M2104" s="53"/>
      <c r="O2104" s="59"/>
    </row>
    <row r="2105" spans="1:15" x14ac:dyDescent="0.25">
      <c r="A2105" s="21" t="str">
        <f>IF(C2105="","",COUNTA($C$3:C2105))</f>
        <v/>
      </c>
      <c r="B2105" s="35" t="str">
        <f t="shared" si="48"/>
        <v/>
      </c>
      <c r="C2105" s="32"/>
      <c r="E2105" s="60"/>
      <c r="F2105" s="18"/>
      <c r="G2105" s="18"/>
      <c r="H2105" s="49"/>
      <c r="I2105" s="49"/>
      <c r="M2105" s="53"/>
      <c r="O2105" s="59"/>
    </row>
    <row r="2106" spans="1:15" x14ac:dyDescent="0.25">
      <c r="A2106" s="21" t="str">
        <f>IF(C2106="","",COUNTA($C$3:C2106))</f>
        <v/>
      </c>
      <c r="B2106" s="35" t="str">
        <f t="shared" si="48"/>
        <v/>
      </c>
      <c r="C2106" s="32"/>
      <c r="E2106" s="60"/>
      <c r="F2106" s="18"/>
      <c r="G2106" s="18"/>
      <c r="H2106" s="49"/>
      <c r="I2106" s="49"/>
      <c r="M2106" s="53"/>
      <c r="O2106" s="59"/>
    </row>
    <row r="2107" spans="1:15" x14ac:dyDescent="0.25">
      <c r="A2107" s="21" t="str">
        <f>IF(C2107="","",COUNTA($C$3:C2107))</f>
        <v/>
      </c>
      <c r="B2107" s="35" t="str">
        <f t="shared" si="48"/>
        <v/>
      </c>
      <c r="C2107" s="32"/>
      <c r="E2107" s="60"/>
      <c r="F2107" s="18"/>
      <c r="G2107" s="18"/>
      <c r="H2107" s="49"/>
      <c r="I2107" s="49"/>
      <c r="M2107" s="53"/>
    </row>
    <row r="2108" spans="1:15" x14ac:dyDescent="0.25">
      <c r="A2108" s="21" t="str">
        <f>IF(C2108="","",COUNTA($C$3:C2108))</f>
        <v/>
      </c>
      <c r="B2108" s="35" t="str">
        <f t="shared" si="48"/>
        <v/>
      </c>
      <c r="C2108" s="32"/>
      <c r="E2108" s="60"/>
      <c r="F2108" s="18"/>
      <c r="G2108" s="18"/>
      <c r="H2108" s="49"/>
      <c r="I2108" s="49"/>
      <c r="M2108" s="53"/>
    </row>
    <row r="2109" spans="1:15" x14ac:dyDescent="0.25">
      <c r="A2109" s="21" t="str">
        <f>IF(C2109="","",COUNTA($C$3:C2109))</f>
        <v/>
      </c>
      <c r="B2109" s="35" t="str">
        <f t="shared" si="48"/>
        <v/>
      </c>
      <c r="C2109" s="32"/>
      <c r="E2109" s="60"/>
      <c r="F2109" s="18"/>
      <c r="G2109" s="18"/>
      <c r="H2109" s="49"/>
      <c r="I2109" s="49"/>
      <c r="M2109" s="53"/>
    </row>
    <row r="2110" spans="1:15" x14ac:dyDescent="0.25">
      <c r="A2110" s="21" t="str">
        <f>IF(C2110="","",COUNTA($C$3:C2110))</f>
        <v/>
      </c>
      <c r="B2110" s="35" t="str">
        <f t="shared" si="48"/>
        <v/>
      </c>
      <c r="C2110" s="32"/>
      <c r="E2110" s="60"/>
      <c r="F2110" s="18"/>
      <c r="G2110" s="18"/>
      <c r="H2110" s="49"/>
      <c r="I2110" s="49"/>
      <c r="L2110" s="62"/>
      <c r="M2110" s="53"/>
    </row>
    <row r="2111" spans="1:15" x14ac:dyDescent="0.25">
      <c r="A2111" s="21" t="str">
        <f>IF(C2111="","",COUNTA($C$3:C2111))</f>
        <v/>
      </c>
      <c r="B2111" s="35" t="str">
        <f t="shared" si="48"/>
        <v/>
      </c>
      <c r="C2111" s="32"/>
      <c r="E2111" s="60"/>
      <c r="F2111" s="18"/>
      <c r="G2111" s="18"/>
      <c r="H2111" s="49"/>
      <c r="I2111" s="49"/>
      <c r="L2111" s="62"/>
      <c r="M2111" s="53"/>
    </row>
    <row r="2112" spans="1:15" x14ac:dyDescent="0.25">
      <c r="A2112" s="21" t="str">
        <f>IF(C2112="","",COUNTA($C$3:C2112))</f>
        <v/>
      </c>
      <c r="B2112" s="35" t="str">
        <f t="shared" si="48"/>
        <v/>
      </c>
      <c r="C2112" s="32"/>
      <c r="E2112" s="60"/>
      <c r="F2112" s="18"/>
      <c r="G2112" s="18"/>
      <c r="H2112" s="49"/>
      <c r="I2112" s="49"/>
      <c r="M2112" s="53"/>
    </row>
    <row r="2113" spans="1:15" x14ac:dyDescent="0.25">
      <c r="A2113" s="21" t="str">
        <f>IF(C2113="","",COUNTA($C$3:C2113))</f>
        <v/>
      </c>
      <c r="B2113" s="35" t="str">
        <f t="shared" si="48"/>
        <v/>
      </c>
      <c r="C2113" s="32"/>
      <c r="E2113" s="60"/>
      <c r="F2113" s="18"/>
      <c r="G2113" s="18"/>
      <c r="H2113" s="49"/>
      <c r="I2113" s="49"/>
      <c r="M2113" s="53"/>
    </row>
    <row r="2114" spans="1:15" x14ac:dyDescent="0.25">
      <c r="A2114" s="21" t="str">
        <f>IF(C2114="","",COUNTA($C$3:C2114))</f>
        <v/>
      </c>
      <c r="B2114" s="35" t="str">
        <f t="shared" si="48"/>
        <v/>
      </c>
      <c r="C2114" s="32"/>
      <c r="E2114" s="60"/>
      <c r="F2114" s="18"/>
      <c r="G2114" s="18"/>
      <c r="H2114" s="49"/>
      <c r="I2114" s="49"/>
      <c r="M2114" s="53"/>
    </row>
    <row r="2115" spans="1:15" x14ac:dyDescent="0.25">
      <c r="A2115" s="21" t="str">
        <f>IF(C2115="","",COUNTA($C$3:C2115))</f>
        <v/>
      </c>
      <c r="B2115" s="35" t="str">
        <f t="shared" si="48"/>
        <v/>
      </c>
      <c r="C2115" s="32"/>
      <c r="E2115" s="60"/>
      <c r="F2115" s="18"/>
      <c r="G2115" s="18"/>
      <c r="H2115" s="49"/>
      <c r="I2115" s="49"/>
      <c r="M2115" s="53"/>
    </row>
    <row r="2116" spans="1:15" x14ac:dyDescent="0.25">
      <c r="A2116" s="21" t="str">
        <f>IF(C2116="","",COUNTA($C$3:C2116))</f>
        <v/>
      </c>
      <c r="B2116" s="35" t="str">
        <f t="shared" si="48"/>
        <v/>
      </c>
      <c r="C2116" s="32"/>
      <c r="E2116" s="60"/>
      <c r="F2116" s="18"/>
      <c r="G2116" s="18"/>
      <c r="H2116" s="49"/>
      <c r="I2116" s="49"/>
      <c r="M2116" s="53"/>
      <c r="O2116" s="59"/>
    </row>
    <row r="2117" spans="1:15" x14ac:dyDescent="0.25">
      <c r="A2117" s="21" t="str">
        <f>IF(C2117="","",COUNTA($C$3:C2117))</f>
        <v/>
      </c>
      <c r="B2117" s="35" t="str">
        <f t="shared" ref="B2117:B2180" si="49">IF(C2117="","",TEXT(C2117,"mmmm"))</f>
        <v/>
      </c>
      <c r="C2117" s="32"/>
      <c r="E2117" s="60"/>
      <c r="F2117" s="18"/>
      <c r="G2117" s="18"/>
      <c r="H2117" s="49"/>
      <c r="I2117" s="49"/>
      <c r="M2117" s="53"/>
      <c r="O2117" s="59"/>
    </row>
    <row r="2118" spans="1:15" x14ac:dyDescent="0.25">
      <c r="A2118" s="21" t="str">
        <f>IF(C2118="","",COUNTA($C$3:C2118))</f>
        <v/>
      </c>
      <c r="B2118" s="35" t="str">
        <f t="shared" si="49"/>
        <v/>
      </c>
      <c r="C2118" s="32"/>
      <c r="E2118" s="60"/>
      <c r="F2118" s="18"/>
      <c r="G2118" s="18"/>
      <c r="H2118" s="49"/>
      <c r="I2118" s="49"/>
      <c r="M2118" s="53"/>
      <c r="O2118" s="59"/>
    </row>
    <row r="2119" spans="1:15" x14ac:dyDescent="0.25">
      <c r="A2119" s="21" t="str">
        <f>IF(C2119="","",COUNTA($C$3:C2119))</f>
        <v/>
      </c>
      <c r="B2119" s="35" t="str">
        <f t="shared" si="49"/>
        <v/>
      </c>
      <c r="C2119" s="32"/>
      <c r="E2119" s="60"/>
      <c r="F2119" s="18"/>
      <c r="G2119" s="18"/>
      <c r="H2119" s="49"/>
      <c r="I2119" s="49"/>
      <c r="M2119" s="53"/>
      <c r="O2119" s="59"/>
    </row>
    <row r="2120" spans="1:15" x14ac:dyDescent="0.25">
      <c r="A2120" s="21" t="str">
        <f>IF(C2120="","",COUNTA($C$3:C2120))</f>
        <v/>
      </c>
      <c r="B2120" s="35" t="str">
        <f t="shared" si="49"/>
        <v/>
      </c>
      <c r="C2120" s="32"/>
      <c r="E2120" s="60"/>
      <c r="F2120" s="18"/>
      <c r="G2120" s="18"/>
      <c r="H2120" s="49"/>
      <c r="I2120" s="49"/>
      <c r="M2120" s="53"/>
      <c r="O2120" s="59"/>
    </row>
    <row r="2121" spans="1:15" x14ac:dyDescent="0.25">
      <c r="A2121" s="21" t="str">
        <f>IF(C2121="","",COUNTA($C$3:C2121))</f>
        <v/>
      </c>
      <c r="B2121" s="35" t="str">
        <f t="shared" si="49"/>
        <v/>
      </c>
      <c r="C2121" s="32"/>
      <c r="E2121" s="60"/>
      <c r="F2121" s="18"/>
      <c r="G2121" s="18"/>
      <c r="H2121" s="49"/>
      <c r="I2121" s="49"/>
      <c r="M2121" s="53"/>
      <c r="O2121" s="59"/>
    </row>
    <row r="2122" spans="1:15" x14ac:dyDescent="0.25">
      <c r="A2122" s="21" t="str">
        <f>IF(C2122="","",COUNTA($C$3:C2122))</f>
        <v/>
      </c>
      <c r="B2122" s="35" t="str">
        <f t="shared" si="49"/>
        <v/>
      </c>
      <c r="C2122" s="32"/>
      <c r="E2122" s="60"/>
      <c r="F2122" s="18"/>
      <c r="G2122" s="18"/>
      <c r="H2122" s="49"/>
      <c r="I2122" s="49"/>
      <c r="M2122" s="53"/>
      <c r="O2122" s="59"/>
    </row>
    <row r="2123" spans="1:15" x14ac:dyDescent="0.25">
      <c r="A2123" s="21" t="str">
        <f>IF(C2123="","",COUNTA($C$3:C2123))</f>
        <v/>
      </c>
      <c r="B2123" s="35" t="str">
        <f t="shared" si="49"/>
        <v/>
      </c>
      <c r="C2123" s="32"/>
      <c r="E2123" s="60"/>
      <c r="F2123" s="18"/>
      <c r="G2123" s="18"/>
      <c r="H2123" s="49"/>
      <c r="I2123" s="49"/>
      <c r="M2123" s="53"/>
      <c r="O2123" s="59"/>
    </row>
    <row r="2124" spans="1:15" x14ac:dyDescent="0.25">
      <c r="A2124" s="21" t="str">
        <f>IF(C2124="","",COUNTA($C$3:C2124))</f>
        <v/>
      </c>
      <c r="B2124" s="35" t="str">
        <f t="shared" si="49"/>
        <v/>
      </c>
      <c r="C2124" s="32"/>
      <c r="E2124" s="60"/>
      <c r="F2124" s="18"/>
      <c r="G2124" s="18"/>
      <c r="H2124" s="49"/>
      <c r="I2124" s="49"/>
      <c r="K2124" s="67"/>
      <c r="M2124" s="53"/>
      <c r="O2124" s="59"/>
    </row>
    <row r="2125" spans="1:15" x14ac:dyDescent="0.25">
      <c r="A2125" s="21" t="str">
        <f>IF(C2125="","",COUNTA($C$3:C2125))</f>
        <v/>
      </c>
      <c r="B2125" s="35" t="str">
        <f t="shared" si="49"/>
        <v/>
      </c>
      <c r="C2125" s="32"/>
      <c r="E2125" s="60"/>
      <c r="F2125" s="18"/>
      <c r="G2125" s="18"/>
      <c r="H2125" s="49"/>
      <c r="I2125" s="49"/>
      <c r="M2125" s="53"/>
      <c r="O2125" s="59"/>
    </row>
    <row r="2126" spans="1:15" x14ac:dyDescent="0.25">
      <c r="A2126" s="21" t="str">
        <f>IF(C2126="","",COUNTA($C$3:C2126))</f>
        <v/>
      </c>
      <c r="B2126" s="35" t="str">
        <f t="shared" si="49"/>
        <v/>
      </c>
      <c r="C2126" s="32"/>
      <c r="E2126" s="60"/>
      <c r="F2126" s="18"/>
      <c r="G2126" s="18"/>
      <c r="H2126" s="49"/>
      <c r="I2126" s="49"/>
      <c r="M2126" s="53"/>
    </row>
    <row r="2127" spans="1:15" x14ac:dyDescent="0.25">
      <c r="A2127" s="21" t="str">
        <f>IF(C2127="","",COUNTA($C$3:C2127))</f>
        <v/>
      </c>
      <c r="B2127" s="35" t="str">
        <f t="shared" si="49"/>
        <v/>
      </c>
      <c r="C2127" s="32"/>
      <c r="E2127" s="60"/>
      <c r="F2127" s="18"/>
      <c r="G2127" s="18"/>
      <c r="H2127" s="49"/>
      <c r="I2127" s="49"/>
      <c r="M2127" s="53"/>
    </row>
    <row r="2128" spans="1:15" x14ac:dyDescent="0.25">
      <c r="A2128" s="21" t="str">
        <f>IF(C2128="","",COUNTA($C$3:C2128))</f>
        <v/>
      </c>
      <c r="B2128" s="35" t="str">
        <f t="shared" si="49"/>
        <v/>
      </c>
      <c r="C2128" s="32"/>
      <c r="E2128" s="60"/>
      <c r="F2128" s="18"/>
      <c r="G2128" s="18"/>
      <c r="H2128" s="49"/>
      <c r="I2128" s="49"/>
      <c r="M2128" s="53"/>
    </row>
    <row r="2129" spans="1:15" x14ac:dyDescent="0.25">
      <c r="A2129" s="21" t="str">
        <f>IF(C2129="","",COUNTA($C$3:C2129))</f>
        <v/>
      </c>
      <c r="B2129" s="35" t="str">
        <f t="shared" si="49"/>
        <v/>
      </c>
      <c r="C2129" s="32"/>
      <c r="E2129" s="60"/>
      <c r="F2129" s="18"/>
      <c r="G2129" s="18"/>
      <c r="H2129" s="49"/>
      <c r="I2129" s="49"/>
      <c r="M2129" s="53"/>
    </row>
    <row r="2130" spans="1:15" x14ac:dyDescent="0.25">
      <c r="A2130" s="21" t="str">
        <f>IF(C2130="","",COUNTA($C$3:C2130))</f>
        <v/>
      </c>
      <c r="B2130" s="35" t="str">
        <f t="shared" si="49"/>
        <v/>
      </c>
      <c r="C2130" s="32"/>
      <c r="E2130" s="60"/>
      <c r="F2130" s="18"/>
      <c r="G2130" s="18"/>
      <c r="H2130" s="49"/>
      <c r="I2130" s="49"/>
      <c r="M2130" s="53"/>
    </row>
    <row r="2131" spans="1:15" x14ac:dyDescent="0.25">
      <c r="A2131" s="21" t="str">
        <f>IF(C2131="","",COUNTA($C$3:C2131))</f>
        <v/>
      </c>
      <c r="B2131" s="35" t="str">
        <f t="shared" si="49"/>
        <v/>
      </c>
      <c r="C2131" s="32"/>
      <c r="E2131" s="60"/>
      <c r="F2131" s="18"/>
      <c r="G2131" s="18"/>
      <c r="H2131" s="49"/>
      <c r="I2131" s="49"/>
      <c r="M2131" s="53"/>
      <c r="O2131" s="59"/>
    </row>
    <row r="2132" spans="1:15" x14ac:dyDescent="0.25">
      <c r="A2132" s="21" t="str">
        <f>IF(C2132="","",COUNTA($C$3:C2132))</f>
        <v/>
      </c>
      <c r="B2132" s="35" t="str">
        <f t="shared" si="49"/>
        <v/>
      </c>
      <c r="C2132" s="32"/>
      <c r="E2132" s="60"/>
      <c r="F2132" s="18"/>
      <c r="G2132" s="18"/>
      <c r="H2132" s="49"/>
      <c r="I2132" s="49"/>
      <c r="M2132" s="53"/>
      <c r="O2132" s="59"/>
    </row>
    <row r="2133" spans="1:15" x14ac:dyDescent="0.25">
      <c r="A2133" s="21" t="str">
        <f>IF(C2133="","",COUNTA($C$3:C2133))</f>
        <v/>
      </c>
      <c r="B2133" s="35" t="str">
        <f t="shared" si="49"/>
        <v/>
      </c>
      <c r="C2133" s="32"/>
      <c r="E2133" s="60"/>
      <c r="F2133" s="18"/>
      <c r="G2133" s="18"/>
      <c r="H2133" s="49"/>
      <c r="I2133" s="49"/>
      <c r="M2133" s="53"/>
      <c r="O2133" s="59"/>
    </row>
    <row r="2134" spans="1:15" x14ac:dyDescent="0.25">
      <c r="A2134" s="21" t="str">
        <f>IF(C2134="","",COUNTA($C$3:C2134))</f>
        <v/>
      </c>
      <c r="B2134" s="35" t="str">
        <f t="shared" si="49"/>
        <v/>
      </c>
      <c r="C2134" s="32"/>
      <c r="E2134" s="60"/>
      <c r="F2134" s="18"/>
      <c r="G2134" s="18"/>
      <c r="H2134" s="49"/>
      <c r="I2134" s="49"/>
      <c r="M2134" s="53"/>
      <c r="O2134" s="59"/>
    </row>
    <row r="2135" spans="1:15" x14ac:dyDescent="0.25">
      <c r="A2135" s="21" t="str">
        <f>IF(C2135="","",COUNTA($C$3:C2135))</f>
        <v/>
      </c>
      <c r="B2135" s="35" t="str">
        <f t="shared" si="49"/>
        <v/>
      </c>
      <c r="C2135" s="32"/>
      <c r="E2135" s="60"/>
      <c r="F2135" s="18"/>
      <c r="G2135" s="18"/>
      <c r="H2135" s="49"/>
      <c r="I2135" s="49"/>
      <c r="M2135" s="53"/>
      <c r="O2135" s="59"/>
    </row>
    <row r="2136" spans="1:15" x14ac:dyDescent="0.25">
      <c r="A2136" s="21" t="str">
        <f>IF(C2136="","",COUNTA($C$3:C2136))</f>
        <v/>
      </c>
      <c r="B2136" s="35" t="str">
        <f t="shared" si="49"/>
        <v/>
      </c>
      <c r="C2136" s="32"/>
      <c r="E2136" s="60"/>
      <c r="F2136" s="18"/>
      <c r="G2136" s="18"/>
      <c r="H2136" s="49"/>
      <c r="I2136" s="49"/>
      <c r="M2136" s="53"/>
      <c r="O2136" s="59"/>
    </row>
    <row r="2137" spans="1:15" x14ac:dyDescent="0.25">
      <c r="A2137" s="21" t="str">
        <f>IF(C2137="","",COUNTA($C$3:C2137))</f>
        <v/>
      </c>
      <c r="B2137" s="35" t="str">
        <f t="shared" si="49"/>
        <v/>
      </c>
      <c r="C2137" s="32"/>
      <c r="E2137" s="60"/>
      <c r="F2137" s="18"/>
      <c r="G2137" s="18"/>
      <c r="H2137" s="49"/>
      <c r="I2137" s="49"/>
      <c r="M2137" s="53"/>
    </row>
    <row r="2138" spans="1:15" x14ac:dyDescent="0.25">
      <c r="A2138" s="21" t="str">
        <f>IF(C2138="","",COUNTA($C$3:C2138))</f>
        <v/>
      </c>
      <c r="B2138" s="35" t="str">
        <f t="shared" si="49"/>
        <v/>
      </c>
      <c r="C2138" s="32"/>
      <c r="E2138" s="60"/>
      <c r="F2138" s="18"/>
      <c r="G2138" s="18"/>
      <c r="H2138" s="49"/>
      <c r="I2138" s="49"/>
      <c r="M2138" s="53"/>
    </row>
    <row r="2139" spans="1:15" x14ac:dyDescent="0.25">
      <c r="A2139" s="21" t="str">
        <f>IF(C2139="","",COUNTA($C$3:C2139))</f>
        <v/>
      </c>
      <c r="B2139" s="35" t="str">
        <f t="shared" si="49"/>
        <v/>
      </c>
      <c r="C2139" s="32"/>
      <c r="E2139" s="60"/>
      <c r="F2139" s="18"/>
      <c r="G2139" s="18"/>
      <c r="H2139" s="49"/>
      <c r="I2139" s="49"/>
      <c r="M2139" s="53"/>
      <c r="O2139" s="59"/>
    </row>
    <row r="2140" spans="1:15" x14ac:dyDescent="0.25">
      <c r="A2140" s="21" t="str">
        <f>IF(C2140="","",COUNTA($C$3:C2140))</f>
        <v/>
      </c>
      <c r="B2140" s="35" t="str">
        <f t="shared" si="49"/>
        <v/>
      </c>
      <c r="C2140" s="32"/>
      <c r="E2140" s="60"/>
      <c r="F2140" s="18"/>
      <c r="G2140" s="18"/>
      <c r="H2140" s="49"/>
      <c r="I2140" s="49"/>
      <c r="M2140" s="53"/>
      <c r="O2140" s="59"/>
    </row>
    <row r="2141" spans="1:15" x14ac:dyDescent="0.25">
      <c r="A2141" s="21" t="str">
        <f>IF(C2141="","",COUNTA($C$3:C2141))</f>
        <v/>
      </c>
      <c r="B2141" s="35" t="str">
        <f t="shared" si="49"/>
        <v/>
      </c>
      <c r="C2141" s="32"/>
      <c r="E2141" s="60"/>
      <c r="F2141" s="18"/>
      <c r="G2141" s="18"/>
      <c r="H2141" s="49"/>
      <c r="I2141" s="49"/>
      <c r="M2141" s="53"/>
      <c r="O2141" s="59"/>
    </row>
    <row r="2142" spans="1:15" x14ac:dyDescent="0.25">
      <c r="A2142" s="21" t="str">
        <f>IF(C2142="","",COUNTA($C$3:C2142))</f>
        <v/>
      </c>
      <c r="B2142" s="35" t="str">
        <f t="shared" si="49"/>
        <v/>
      </c>
      <c r="C2142" s="32"/>
      <c r="E2142" s="60"/>
      <c r="F2142" s="18"/>
      <c r="G2142" s="18"/>
      <c r="H2142" s="49"/>
      <c r="I2142" s="49"/>
      <c r="L2142" s="62"/>
      <c r="M2142" s="53"/>
      <c r="O2142" s="59"/>
    </row>
    <row r="2143" spans="1:15" x14ac:dyDescent="0.25">
      <c r="A2143" s="21" t="str">
        <f>IF(C2143="","",COUNTA($C$3:C2143))</f>
        <v/>
      </c>
      <c r="B2143" s="35" t="str">
        <f t="shared" si="49"/>
        <v/>
      </c>
      <c r="C2143" s="32"/>
      <c r="E2143" s="60"/>
      <c r="F2143" s="18"/>
      <c r="G2143" s="18"/>
      <c r="H2143" s="49"/>
      <c r="I2143" s="49"/>
      <c r="L2143" s="62"/>
      <c r="M2143" s="53"/>
      <c r="O2143" s="59"/>
    </row>
    <row r="2144" spans="1:15" x14ac:dyDescent="0.25">
      <c r="A2144" s="21" t="str">
        <f>IF(C2144="","",COUNTA($C$3:C2144))</f>
        <v/>
      </c>
      <c r="B2144" s="35" t="str">
        <f t="shared" si="49"/>
        <v/>
      </c>
      <c r="C2144" s="32"/>
      <c r="E2144" s="60"/>
      <c r="F2144" s="18"/>
      <c r="G2144" s="18"/>
      <c r="H2144" s="49"/>
      <c r="I2144" s="49"/>
      <c r="M2144" s="53"/>
    </row>
    <row r="2145" spans="1:13" x14ac:dyDescent="0.25">
      <c r="A2145" s="21" t="str">
        <f>IF(C2145="","",COUNTA($C$3:C2145))</f>
        <v/>
      </c>
      <c r="B2145" s="35" t="str">
        <f t="shared" si="49"/>
        <v/>
      </c>
      <c r="C2145" s="32"/>
      <c r="E2145" s="60"/>
      <c r="F2145" s="18"/>
      <c r="G2145" s="18"/>
      <c r="H2145" s="49"/>
      <c r="I2145" s="49"/>
      <c r="M2145" s="53"/>
    </row>
    <row r="2146" spans="1:13" x14ac:dyDescent="0.25">
      <c r="A2146" s="21" t="str">
        <f>IF(C2146="","",COUNTA($C$3:C2146))</f>
        <v/>
      </c>
      <c r="B2146" s="35" t="str">
        <f t="shared" si="49"/>
        <v/>
      </c>
      <c r="C2146" s="32"/>
      <c r="E2146" s="60"/>
      <c r="F2146" s="18"/>
      <c r="G2146" s="18"/>
      <c r="H2146" s="49"/>
      <c r="I2146" s="49"/>
      <c r="M2146" s="53"/>
    </row>
    <row r="2147" spans="1:13" x14ac:dyDescent="0.25">
      <c r="A2147" s="21" t="str">
        <f>IF(C2147="","",COUNTA($C$3:C2147))</f>
        <v/>
      </c>
      <c r="B2147" s="35" t="str">
        <f t="shared" si="49"/>
        <v/>
      </c>
      <c r="C2147" s="32"/>
      <c r="E2147" s="60"/>
      <c r="F2147" s="18"/>
      <c r="G2147" s="18"/>
      <c r="H2147" s="49"/>
      <c r="I2147" s="49"/>
      <c r="M2147" s="53"/>
    </row>
    <row r="2148" spans="1:13" x14ac:dyDescent="0.25">
      <c r="A2148" s="21" t="str">
        <f>IF(C2148="","",COUNTA($C$3:C2148))</f>
        <v/>
      </c>
      <c r="B2148" s="35" t="str">
        <f t="shared" si="49"/>
        <v/>
      </c>
      <c r="C2148" s="32"/>
      <c r="E2148" s="60"/>
      <c r="F2148" s="18"/>
      <c r="G2148" s="18"/>
      <c r="H2148" s="49"/>
      <c r="I2148" s="49"/>
      <c r="M2148" s="53"/>
    </row>
    <row r="2149" spans="1:13" x14ac:dyDescent="0.25">
      <c r="A2149" s="21" t="str">
        <f>IF(C2149="","",COUNTA($C$3:C2149))</f>
        <v/>
      </c>
      <c r="B2149" s="35" t="str">
        <f t="shared" si="49"/>
        <v/>
      </c>
      <c r="C2149" s="32"/>
      <c r="E2149" s="60"/>
      <c r="F2149" s="18"/>
      <c r="G2149" s="18"/>
      <c r="H2149" s="49"/>
      <c r="I2149" s="49"/>
      <c r="M2149" s="53"/>
    </row>
    <row r="2150" spans="1:13" x14ac:dyDescent="0.25">
      <c r="A2150" s="21" t="str">
        <f>IF(C2150="","",COUNTA($C$3:C2150))</f>
        <v/>
      </c>
      <c r="B2150" s="35" t="str">
        <f t="shared" si="49"/>
        <v/>
      </c>
      <c r="C2150" s="32"/>
      <c r="E2150" s="60"/>
      <c r="F2150" s="18"/>
      <c r="G2150" s="18"/>
      <c r="H2150" s="49"/>
      <c r="I2150" s="49"/>
      <c r="M2150" s="53"/>
    </row>
    <row r="2151" spans="1:13" x14ac:dyDescent="0.25">
      <c r="A2151" s="21" t="str">
        <f>IF(C2151="","",COUNTA($C$3:C2151))</f>
        <v/>
      </c>
      <c r="B2151" s="35" t="str">
        <f t="shared" si="49"/>
        <v/>
      </c>
      <c r="C2151" s="32"/>
      <c r="E2151" s="60"/>
      <c r="F2151" s="18"/>
      <c r="G2151" s="18"/>
      <c r="H2151" s="49"/>
      <c r="I2151" s="49"/>
      <c r="M2151" s="53"/>
    </row>
    <row r="2152" spans="1:13" x14ac:dyDescent="0.25">
      <c r="A2152" s="21" t="str">
        <f>IF(C2152="","",COUNTA($C$3:C2152))</f>
        <v/>
      </c>
      <c r="B2152" s="35" t="str">
        <f t="shared" si="49"/>
        <v/>
      </c>
      <c r="C2152" s="32"/>
      <c r="E2152" s="60"/>
      <c r="F2152" s="18"/>
      <c r="G2152" s="18"/>
      <c r="H2152" s="49"/>
      <c r="I2152" s="49"/>
      <c r="M2152" s="53"/>
    </row>
    <row r="2153" spans="1:13" x14ac:dyDescent="0.25">
      <c r="A2153" s="21" t="str">
        <f>IF(C2153="","",COUNTA($C$3:C2153))</f>
        <v/>
      </c>
      <c r="B2153" s="35" t="str">
        <f t="shared" si="49"/>
        <v/>
      </c>
      <c r="C2153" s="32"/>
      <c r="E2153" s="60"/>
      <c r="F2153" s="18"/>
      <c r="G2153" s="18"/>
      <c r="H2153" s="49"/>
      <c r="I2153" s="49"/>
      <c r="M2153" s="53"/>
    </row>
    <row r="2154" spans="1:13" x14ac:dyDescent="0.25">
      <c r="A2154" s="21" t="str">
        <f>IF(C2154="","",COUNTA($C$3:C2154))</f>
        <v/>
      </c>
      <c r="B2154" s="35" t="str">
        <f t="shared" si="49"/>
        <v/>
      </c>
      <c r="C2154" s="32"/>
      <c r="E2154" s="60"/>
      <c r="F2154" s="18"/>
      <c r="G2154" s="18"/>
      <c r="H2154" s="49"/>
      <c r="I2154" s="49"/>
      <c r="M2154" s="53"/>
    </row>
    <row r="2155" spans="1:13" x14ac:dyDescent="0.25">
      <c r="A2155" s="21" t="str">
        <f>IF(C2155="","",COUNTA($C$3:C2155))</f>
        <v/>
      </c>
      <c r="B2155" s="35" t="str">
        <f t="shared" si="49"/>
        <v/>
      </c>
      <c r="C2155" s="32"/>
      <c r="E2155" s="60"/>
      <c r="F2155" s="18"/>
      <c r="G2155" s="18"/>
      <c r="H2155" s="49"/>
      <c r="I2155" s="49"/>
      <c r="M2155" s="53"/>
    </row>
    <row r="2156" spans="1:13" x14ac:dyDescent="0.25">
      <c r="A2156" s="21" t="str">
        <f>IF(C2156="","",COUNTA($C$3:C2156))</f>
        <v/>
      </c>
      <c r="B2156" s="35" t="str">
        <f t="shared" si="49"/>
        <v/>
      </c>
      <c r="C2156" s="32"/>
      <c r="E2156" s="60"/>
      <c r="F2156" s="18"/>
      <c r="G2156" s="18"/>
      <c r="H2156" s="49"/>
      <c r="I2156" s="49"/>
      <c r="M2156" s="53"/>
    </row>
    <row r="2157" spans="1:13" x14ac:dyDescent="0.25">
      <c r="A2157" s="21" t="str">
        <f>IF(C2157="","",COUNTA($C$3:C2157))</f>
        <v/>
      </c>
      <c r="B2157" s="35" t="str">
        <f t="shared" si="49"/>
        <v/>
      </c>
      <c r="C2157" s="32"/>
      <c r="E2157" s="60"/>
      <c r="F2157" s="18"/>
      <c r="G2157" s="18"/>
      <c r="H2157" s="49"/>
      <c r="I2157" s="49"/>
      <c r="M2157" s="53"/>
    </row>
    <row r="2158" spans="1:13" x14ac:dyDescent="0.25">
      <c r="A2158" s="21" t="str">
        <f>IF(C2158="","",COUNTA($C$3:C2158))</f>
        <v/>
      </c>
      <c r="B2158" s="35" t="str">
        <f t="shared" si="49"/>
        <v/>
      </c>
      <c r="C2158" s="32"/>
      <c r="E2158" s="60"/>
      <c r="F2158" s="18"/>
      <c r="G2158" s="18"/>
      <c r="H2158" s="49"/>
      <c r="I2158" s="49"/>
      <c r="M2158" s="53"/>
    </row>
    <row r="2159" spans="1:13" x14ac:dyDescent="0.25">
      <c r="A2159" s="21" t="str">
        <f>IF(C2159="","",COUNTA($C$3:C2159))</f>
        <v/>
      </c>
      <c r="B2159" s="35" t="str">
        <f t="shared" si="49"/>
        <v/>
      </c>
      <c r="C2159" s="32"/>
      <c r="E2159" s="60"/>
      <c r="F2159" s="18"/>
      <c r="G2159" s="18"/>
      <c r="H2159" s="49"/>
      <c r="I2159" s="49"/>
      <c r="M2159" s="53"/>
    </row>
    <row r="2160" spans="1:13" x14ac:dyDescent="0.25">
      <c r="A2160" s="21" t="str">
        <f>IF(C2160="","",COUNTA($C$3:C2160))</f>
        <v/>
      </c>
      <c r="B2160" s="35" t="str">
        <f t="shared" si="49"/>
        <v/>
      </c>
      <c r="C2160" s="32"/>
      <c r="E2160" s="60"/>
      <c r="F2160" s="18"/>
      <c r="G2160" s="18"/>
      <c r="H2160" s="49"/>
      <c r="I2160" s="49"/>
      <c r="M2160" s="53"/>
    </row>
    <row r="2161" spans="1:15" x14ac:dyDescent="0.25">
      <c r="A2161" s="21" t="str">
        <f>IF(C2161="","",COUNTA($C$3:C2161))</f>
        <v/>
      </c>
      <c r="B2161" s="35" t="str">
        <f t="shared" si="49"/>
        <v/>
      </c>
      <c r="C2161" s="32"/>
      <c r="E2161" s="60"/>
      <c r="F2161" s="18"/>
      <c r="G2161" s="18"/>
      <c r="H2161" s="49"/>
      <c r="I2161" s="49"/>
      <c r="M2161" s="53"/>
    </row>
    <row r="2162" spans="1:15" x14ac:dyDescent="0.25">
      <c r="A2162" s="21" t="str">
        <f>IF(C2162="","",COUNTA($C$3:C2162))</f>
        <v/>
      </c>
      <c r="B2162" s="35" t="str">
        <f t="shared" si="49"/>
        <v/>
      </c>
      <c r="C2162" s="32"/>
      <c r="E2162" s="60"/>
      <c r="F2162" s="18"/>
      <c r="G2162" s="18"/>
      <c r="H2162" s="49"/>
      <c r="I2162" s="49"/>
      <c r="M2162" s="53"/>
    </row>
    <row r="2163" spans="1:15" x14ac:dyDescent="0.25">
      <c r="A2163" s="21" t="str">
        <f>IF(C2163="","",COUNTA($C$3:C2163))</f>
        <v/>
      </c>
      <c r="B2163" s="35" t="str">
        <f t="shared" si="49"/>
        <v/>
      </c>
      <c r="C2163" s="32"/>
      <c r="E2163" s="60"/>
      <c r="F2163" s="18"/>
      <c r="G2163" s="18"/>
      <c r="H2163" s="49"/>
      <c r="I2163" s="49"/>
      <c r="M2163" s="53"/>
    </row>
    <row r="2164" spans="1:15" x14ac:dyDescent="0.25">
      <c r="A2164" s="21" t="str">
        <f>IF(C2164="","",COUNTA($C$3:C2164))</f>
        <v/>
      </c>
      <c r="B2164" s="35" t="str">
        <f t="shared" si="49"/>
        <v/>
      </c>
      <c r="C2164" s="32"/>
      <c r="E2164" s="60"/>
      <c r="F2164" s="18"/>
      <c r="G2164" s="18"/>
      <c r="H2164" s="49"/>
      <c r="I2164" s="49"/>
      <c r="M2164" s="53"/>
    </row>
    <row r="2165" spans="1:15" x14ac:dyDescent="0.25">
      <c r="A2165" s="21" t="str">
        <f>IF(C2165="","",COUNTA($C$3:C2165))</f>
        <v/>
      </c>
      <c r="B2165" s="35" t="str">
        <f t="shared" si="49"/>
        <v/>
      </c>
      <c r="C2165" s="32"/>
      <c r="E2165" s="60"/>
      <c r="F2165" s="18"/>
      <c r="G2165" s="18"/>
      <c r="H2165" s="49"/>
      <c r="I2165" s="49"/>
      <c r="M2165" s="142"/>
    </row>
    <row r="2166" spans="1:15" x14ac:dyDescent="0.25">
      <c r="A2166" s="21" t="str">
        <f>IF(C2166="","",COUNTA($C$3:C2166))</f>
        <v/>
      </c>
      <c r="B2166" s="35" t="str">
        <f t="shared" si="49"/>
        <v/>
      </c>
      <c r="C2166" s="32"/>
      <c r="E2166" s="60"/>
      <c r="F2166" s="18"/>
      <c r="G2166" s="18"/>
      <c r="H2166" s="49"/>
      <c r="I2166" s="49"/>
      <c r="M2166" s="53"/>
    </row>
    <row r="2167" spans="1:15" x14ac:dyDescent="0.25">
      <c r="A2167" s="21" t="str">
        <f>IF(C2167="","",COUNTA($C$3:C2167))</f>
        <v/>
      </c>
      <c r="B2167" s="35" t="str">
        <f t="shared" si="49"/>
        <v/>
      </c>
      <c r="C2167" s="32"/>
      <c r="E2167" s="60"/>
      <c r="F2167" s="18"/>
      <c r="G2167" s="18"/>
      <c r="H2167" s="49"/>
      <c r="I2167" s="49"/>
      <c r="M2167" s="53"/>
    </row>
    <row r="2168" spans="1:15" x14ac:dyDescent="0.25">
      <c r="A2168" s="21" t="str">
        <f>IF(C2168="","",COUNTA($C$3:C2168))</f>
        <v/>
      </c>
      <c r="B2168" s="35" t="str">
        <f t="shared" si="49"/>
        <v/>
      </c>
      <c r="C2168" s="32"/>
      <c r="E2168" s="60"/>
      <c r="F2168" s="18"/>
      <c r="G2168" s="18"/>
      <c r="H2168" s="49"/>
      <c r="I2168" s="49"/>
      <c r="M2168" s="53"/>
    </row>
    <row r="2169" spans="1:15" x14ac:dyDescent="0.25">
      <c r="A2169" s="21" t="str">
        <f>IF(C2169="","",COUNTA($C$3:C2169))</f>
        <v/>
      </c>
      <c r="B2169" s="35" t="str">
        <f t="shared" si="49"/>
        <v/>
      </c>
      <c r="C2169" s="32"/>
      <c r="E2169" s="60"/>
      <c r="F2169" s="18"/>
      <c r="G2169" s="18"/>
      <c r="H2169" s="49"/>
      <c r="I2169" s="49"/>
      <c r="M2169" s="53"/>
    </row>
    <row r="2170" spans="1:15" x14ac:dyDescent="0.25">
      <c r="A2170" s="21" t="str">
        <f>IF(C2170="","",COUNTA($C$3:C2170))</f>
        <v/>
      </c>
      <c r="B2170" s="35" t="str">
        <f t="shared" si="49"/>
        <v/>
      </c>
      <c r="C2170" s="32"/>
      <c r="E2170" s="60"/>
      <c r="F2170" s="18"/>
      <c r="G2170" s="18"/>
      <c r="H2170" s="49"/>
      <c r="I2170" s="49"/>
      <c r="M2170" s="53"/>
    </row>
    <row r="2171" spans="1:15" x14ac:dyDescent="0.25">
      <c r="A2171" s="21" t="str">
        <f>IF(C2171="","",COUNTA($C$3:C2171))</f>
        <v/>
      </c>
      <c r="B2171" s="35" t="str">
        <f t="shared" si="49"/>
        <v/>
      </c>
      <c r="C2171" s="32"/>
      <c r="E2171" s="60"/>
      <c r="F2171" s="18"/>
      <c r="G2171" s="18"/>
      <c r="H2171" s="49"/>
      <c r="I2171" s="49"/>
      <c r="M2171" s="53"/>
    </row>
    <row r="2172" spans="1:15" x14ac:dyDescent="0.25">
      <c r="A2172" s="21" t="str">
        <f>IF(C2172="","",COUNTA($C$3:C2172))</f>
        <v/>
      </c>
      <c r="B2172" s="35" t="str">
        <f t="shared" si="49"/>
        <v/>
      </c>
      <c r="C2172" s="32"/>
      <c r="E2172" s="60"/>
      <c r="F2172" s="18"/>
      <c r="G2172" s="18"/>
      <c r="H2172" s="49"/>
      <c r="I2172" s="49"/>
      <c r="L2172" s="62"/>
      <c r="M2172" s="53"/>
      <c r="O2172" s="59"/>
    </row>
    <row r="2173" spans="1:15" x14ac:dyDescent="0.25">
      <c r="A2173" s="21" t="str">
        <f>IF(C2173="","",COUNTA($C$3:C2173))</f>
        <v/>
      </c>
      <c r="B2173" s="35" t="str">
        <f t="shared" si="49"/>
        <v/>
      </c>
      <c r="C2173" s="32"/>
      <c r="E2173" s="60"/>
      <c r="F2173" s="18"/>
      <c r="G2173" s="18"/>
      <c r="H2173" s="49"/>
      <c r="I2173" s="49"/>
      <c r="L2173" s="62"/>
      <c r="M2173" s="53"/>
      <c r="O2173" s="59"/>
    </row>
    <row r="2174" spans="1:15" ht="14.25" customHeight="1" x14ac:dyDescent="0.25">
      <c r="A2174" s="21" t="str">
        <f>IF(C2174="","",COUNTA($C$3:C2174))</f>
        <v/>
      </c>
      <c r="B2174" s="35" t="str">
        <f t="shared" si="49"/>
        <v/>
      </c>
      <c r="C2174" s="32"/>
      <c r="E2174" s="60"/>
      <c r="F2174" s="18"/>
      <c r="G2174" s="18"/>
      <c r="H2174" s="49"/>
      <c r="I2174" s="49"/>
      <c r="M2174" s="53"/>
      <c r="O2174" s="59"/>
    </row>
    <row r="2175" spans="1:15" x14ac:dyDescent="0.25">
      <c r="A2175" s="21" t="str">
        <f>IF(C2175="","",COUNTA($C$3:C2175))</f>
        <v/>
      </c>
      <c r="B2175" s="35" t="str">
        <f t="shared" si="49"/>
        <v/>
      </c>
      <c r="C2175" s="32"/>
      <c r="E2175" s="60"/>
      <c r="F2175" s="18"/>
      <c r="G2175" s="18"/>
      <c r="H2175" s="49"/>
      <c r="I2175" s="49"/>
      <c r="M2175" s="53"/>
      <c r="O2175" s="59"/>
    </row>
    <row r="2176" spans="1:15" x14ac:dyDescent="0.25">
      <c r="A2176" s="21" t="str">
        <f>IF(C2176="","",COUNTA($C$3:C2176))</f>
        <v/>
      </c>
      <c r="B2176" s="35" t="str">
        <f t="shared" si="49"/>
        <v/>
      </c>
      <c r="C2176" s="32"/>
      <c r="E2176" s="60"/>
      <c r="F2176" s="18"/>
      <c r="G2176" s="18"/>
      <c r="H2176" s="49"/>
      <c r="I2176" s="49"/>
      <c r="M2176" s="53"/>
      <c r="O2176" s="59"/>
    </row>
    <row r="2177" spans="1:15" x14ac:dyDescent="0.25">
      <c r="A2177" s="21" t="str">
        <f>IF(C2177="","",COUNTA($C$3:C2177))</f>
        <v/>
      </c>
      <c r="B2177" s="35" t="str">
        <f t="shared" si="49"/>
        <v/>
      </c>
      <c r="C2177" s="32"/>
      <c r="E2177" s="60"/>
      <c r="F2177" s="18"/>
      <c r="G2177" s="18"/>
      <c r="H2177" s="49"/>
      <c r="I2177" s="49"/>
      <c r="L2177" s="62"/>
      <c r="M2177" s="53"/>
      <c r="O2177" s="59"/>
    </row>
    <row r="2178" spans="1:15" x14ac:dyDescent="0.25">
      <c r="A2178" s="21" t="str">
        <f>IF(C2178="","",COUNTA($C$3:C2178))</f>
        <v/>
      </c>
      <c r="B2178" s="35" t="str">
        <f t="shared" si="49"/>
        <v/>
      </c>
      <c r="C2178" s="32"/>
      <c r="E2178" s="60"/>
      <c r="F2178" s="18"/>
      <c r="G2178" s="18"/>
      <c r="H2178" s="49"/>
      <c r="I2178" s="49"/>
      <c r="M2178" s="53"/>
      <c r="O2178" s="59"/>
    </row>
    <row r="2179" spans="1:15" x14ac:dyDescent="0.25">
      <c r="A2179" s="21" t="str">
        <f>IF(C2179="","",COUNTA($C$3:C2179))</f>
        <v/>
      </c>
      <c r="B2179" s="35" t="str">
        <f t="shared" si="49"/>
        <v/>
      </c>
      <c r="C2179" s="32"/>
      <c r="E2179" s="60"/>
      <c r="F2179" s="18"/>
      <c r="G2179" s="18"/>
      <c r="H2179" s="49"/>
      <c r="I2179" s="49"/>
      <c r="M2179" s="53"/>
      <c r="O2179" s="59"/>
    </row>
    <row r="2180" spans="1:15" x14ac:dyDescent="0.25">
      <c r="A2180" s="21" t="str">
        <f>IF(C2180="","",COUNTA($C$3:C2180))</f>
        <v/>
      </c>
      <c r="B2180" s="35" t="str">
        <f t="shared" si="49"/>
        <v/>
      </c>
      <c r="C2180" s="32"/>
      <c r="E2180" s="60"/>
      <c r="F2180" s="18"/>
      <c r="G2180" s="18"/>
      <c r="H2180" s="49"/>
      <c r="I2180" s="49"/>
      <c r="M2180" s="53"/>
      <c r="O2180" s="69"/>
    </row>
    <row r="2181" spans="1:15" x14ac:dyDescent="0.25">
      <c r="A2181" s="21" t="str">
        <f>IF(C2181="","",COUNTA($C$3:C2181))</f>
        <v/>
      </c>
      <c r="B2181" s="35" t="str">
        <f t="shared" ref="B2181:B2244" si="50">IF(C2181="","",TEXT(C2181,"mmmm"))</f>
        <v/>
      </c>
      <c r="C2181" s="32"/>
      <c r="E2181" s="60"/>
      <c r="F2181" s="18"/>
      <c r="G2181" s="18"/>
      <c r="H2181" s="49"/>
      <c r="I2181" s="49"/>
      <c r="M2181" s="53"/>
    </row>
    <row r="2182" spans="1:15" x14ac:dyDescent="0.25">
      <c r="A2182" s="21" t="str">
        <f>IF(C2182="","",COUNTA($C$3:C2182))</f>
        <v/>
      </c>
      <c r="B2182" s="35" t="str">
        <f t="shared" si="50"/>
        <v/>
      </c>
      <c r="C2182" s="32"/>
      <c r="E2182" s="60"/>
      <c r="F2182" s="18"/>
      <c r="G2182" s="18"/>
      <c r="H2182" s="49"/>
      <c r="I2182" s="49"/>
      <c r="M2182" s="53"/>
    </row>
    <row r="2183" spans="1:15" x14ac:dyDescent="0.25">
      <c r="A2183" s="21" t="str">
        <f>IF(C2183="","",COUNTA($C$3:C2183))</f>
        <v/>
      </c>
      <c r="B2183" s="35" t="str">
        <f t="shared" si="50"/>
        <v/>
      </c>
      <c r="C2183" s="32"/>
      <c r="E2183" s="60"/>
      <c r="F2183" s="18"/>
      <c r="G2183" s="18"/>
      <c r="H2183" s="49"/>
      <c r="I2183" s="49"/>
      <c r="M2183" s="53"/>
    </row>
    <row r="2184" spans="1:15" x14ac:dyDescent="0.25">
      <c r="A2184" s="21" t="str">
        <f>IF(C2184="","",COUNTA($C$3:C2184))</f>
        <v/>
      </c>
      <c r="B2184" s="35" t="str">
        <f t="shared" si="50"/>
        <v/>
      </c>
      <c r="C2184" s="32"/>
      <c r="E2184" s="60"/>
      <c r="F2184" s="18"/>
      <c r="G2184" s="18"/>
      <c r="H2184" s="49"/>
      <c r="I2184" s="49"/>
      <c r="M2184" s="53"/>
    </row>
    <row r="2185" spans="1:15" x14ac:dyDescent="0.25">
      <c r="A2185" s="21" t="str">
        <f>IF(C2185="","",COUNTA($C$3:C2185))</f>
        <v/>
      </c>
      <c r="B2185" s="35" t="str">
        <f t="shared" si="50"/>
        <v/>
      </c>
      <c r="C2185" s="32"/>
      <c r="E2185" s="60"/>
      <c r="F2185" s="18"/>
      <c r="G2185" s="18"/>
      <c r="H2185" s="49"/>
      <c r="I2185" s="49"/>
      <c r="M2185" s="53"/>
    </row>
    <row r="2186" spans="1:15" x14ac:dyDescent="0.25">
      <c r="A2186" s="21" t="str">
        <f>IF(C2186="","",COUNTA($C$3:C2186))</f>
        <v/>
      </c>
      <c r="B2186" s="35" t="str">
        <f t="shared" si="50"/>
        <v/>
      </c>
      <c r="C2186" s="32"/>
      <c r="E2186" s="60"/>
      <c r="F2186" s="18"/>
      <c r="G2186" s="18"/>
      <c r="H2186" s="49"/>
      <c r="I2186" s="49"/>
      <c r="M2186" s="53"/>
    </row>
    <row r="2187" spans="1:15" x14ac:dyDescent="0.25">
      <c r="A2187" s="21" t="str">
        <f>IF(C2187="","",COUNTA($C$3:C2187))</f>
        <v/>
      </c>
      <c r="B2187" s="35" t="str">
        <f t="shared" si="50"/>
        <v/>
      </c>
      <c r="C2187" s="32"/>
      <c r="E2187" s="60"/>
      <c r="F2187" s="18"/>
      <c r="G2187" s="18"/>
      <c r="H2187" s="49"/>
      <c r="I2187" s="49"/>
      <c r="M2187" s="53"/>
    </row>
    <row r="2188" spans="1:15" x14ac:dyDescent="0.25">
      <c r="A2188" s="21" t="str">
        <f>IF(C2188="","",COUNTA($C$3:C2188))</f>
        <v/>
      </c>
      <c r="B2188" s="35" t="str">
        <f t="shared" si="50"/>
        <v/>
      </c>
      <c r="C2188" s="32"/>
      <c r="E2188" s="60"/>
      <c r="F2188" s="18"/>
      <c r="G2188" s="18"/>
      <c r="H2188" s="49"/>
      <c r="I2188" s="49"/>
      <c r="M2188" s="53"/>
    </row>
    <row r="2189" spans="1:15" x14ac:dyDescent="0.25">
      <c r="A2189" s="21" t="str">
        <f>IF(C2189="","",COUNTA($C$3:C2189))</f>
        <v/>
      </c>
      <c r="B2189" s="35" t="str">
        <f t="shared" si="50"/>
        <v/>
      </c>
      <c r="C2189" s="32"/>
      <c r="E2189" s="60"/>
      <c r="F2189" s="18"/>
      <c r="G2189" s="18"/>
      <c r="H2189" s="49"/>
      <c r="I2189" s="49"/>
      <c r="M2189" s="53"/>
    </row>
    <row r="2190" spans="1:15" x14ac:dyDescent="0.25">
      <c r="A2190" s="21" t="str">
        <f>IF(C2190="","",COUNTA($C$3:C2190))</f>
        <v/>
      </c>
      <c r="B2190" s="35" t="str">
        <f t="shared" si="50"/>
        <v/>
      </c>
      <c r="C2190" s="32"/>
      <c r="E2190" s="60"/>
      <c r="F2190" s="18"/>
      <c r="G2190" s="18"/>
      <c r="H2190" s="49"/>
      <c r="I2190" s="49"/>
      <c r="M2190" s="53"/>
    </row>
    <row r="2191" spans="1:15" x14ac:dyDescent="0.25">
      <c r="A2191" s="21" t="str">
        <f>IF(C2191="","",COUNTA($C$3:C2191))</f>
        <v/>
      </c>
      <c r="B2191" s="35" t="str">
        <f t="shared" si="50"/>
        <v/>
      </c>
      <c r="C2191" s="32"/>
      <c r="E2191" s="60"/>
      <c r="F2191" s="18"/>
      <c r="G2191" s="18"/>
      <c r="H2191" s="49"/>
      <c r="I2191" s="49"/>
      <c r="K2191" s="105"/>
      <c r="M2191" s="53"/>
    </row>
    <row r="2192" spans="1:15" x14ac:dyDescent="0.25">
      <c r="A2192" s="21" t="str">
        <f>IF(C2192="","",COUNTA($C$3:C2192))</f>
        <v/>
      </c>
      <c r="B2192" s="35" t="str">
        <f t="shared" si="50"/>
        <v/>
      </c>
      <c r="C2192" s="32"/>
      <c r="E2192" s="60"/>
      <c r="F2192" s="18"/>
      <c r="G2192" s="18"/>
      <c r="H2192" s="49"/>
      <c r="I2192" s="49"/>
      <c r="M2192" s="53"/>
    </row>
    <row r="2193" spans="1:15" x14ac:dyDescent="0.25">
      <c r="A2193" s="21" t="str">
        <f>IF(C2193="","",COUNTA($C$3:C2193))</f>
        <v/>
      </c>
      <c r="B2193" s="35" t="str">
        <f t="shared" si="50"/>
        <v/>
      </c>
      <c r="C2193" s="32"/>
      <c r="E2193" s="60"/>
      <c r="F2193" s="18"/>
      <c r="G2193" s="18"/>
      <c r="H2193" s="49"/>
      <c r="I2193" s="49"/>
      <c r="M2193" s="53"/>
    </row>
    <row r="2194" spans="1:15" x14ac:dyDescent="0.25">
      <c r="A2194" s="21" t="str">
        <f>IF(C2194="","",COUNTA($C$3:C2194))</f>
        <v/>
      </c>
      <c r="B2194" s="35" t="str">
        <f t="shared" si="50"/>
        <v/>
      </c>
      <c r="C2194" s="32"/>
      <c r="E2194" s="60"/>
      <c r="F2194" s="18"/>
      <c r="G2194" s="18"/>
      <c r="H2194" s="49"/>
      <c r="I2194" s="49"/>
      <c r="M2194" s="53"/>
    </row>
    <row r="2195" spans="1:15" x14ac:dyDescent="0.25">
      <c r="A2195" s="21" t="str">
        <f>IF(C2195="","",COUNTA($C$3:C2195))</f>
        <v/>
      </c>
      <c r="B2195" s="35" t="str">
        <f t="shared" si="50"/>
        <v/>
      </c>
      <c r="C2195" s="32"/>
      <c r="E2195" s="60"/>
      <c r="F2195" s="18"/>
      <c r="G2195" s="18"/>
      <c r="H2195" s="49"/>
      <c r="I2195" s="49"/>
      <c r="M2195" s="53"/>
    </row>
    <row r="2196" spans="1:15" x14ac:dyDescent="0.25">
      <c r="A2196" s="21" t="str">
        <f>IF(C2196="","",COUNTA($C$3:C2196))</f>
        <v/>
      </c>
      <c r="B2196" s="35" t="str">
        <f t="shared" si="50"/>
        <v/>
      </c>
      <c r="C2196" s="32"/>
      <c r="E2196" s="60"/>
      <c r="F2196" s="18"/>
      <c r="G2196" s="18"/>
      <c r="H2196" s="49"/>
      <c r="I2196" s="49"/>
      <c r="M2196" s="53"/>
    </row>
    <row r="2197" spans="1:15" x14ac:dyDescent="0.25">
      <c r="A2197" s="21" t="str">
        <f>IF(C2197="","",COUNTA($C$3:C2197))</f>
        <v/>
      </c>
      <c r="B2197" s="35" t="str">
        <f t="shared" si="50"/>
        <v/>
      </c>
      <c r="C2197" s="32"/>
      <c r="E2197" s="60"/>
      <c r="F2197" s="18"/>
      <c r="G2197" s="18"/>
      <c r="H2197" s="49"/>
      <c r="I2197" s="49"/>
      <c r="M2197" s="53"/>
      <c r="O2197" s="59"/>
    </row>
    <row r="2198" spans="1:15" x14ac:dyDescent="0.25">
      <c r="A2198" s="21" t="str">
        <f>IF(C2198="","",COUNTA($C$3:C2198))</f>
        <v/>
      </c>
      <c r="B2198" s="35" t="str">
        <f t="shared" si="50"/>
        <v/>
      </c>
      <c r="C2198" s="32"/>
      <c r="E2198" s="60"/>
      <c r="F2198" s="18"/>
      <c r="G2198" s="18"/>
      <c r="H2198" s="49"/>
      <c r="I2198" s="49"/>
      <c r="M2198" s="53"/>
      <c r="O2198" s="59"/>
    </row>
    <row r="2199" spans="1:15" x14ac:dyDescent="0.25">
      <c r="A2199" s="21" t="str">
        <f>IF(C2199="","",COUNTA($C$3:C2199))</f>
        <v/>
      </c>
      <c r="B2199" s="35" t="str">
        <f t="shared" si="50"/>
        <v/>
      </c>
      <c r="C2199" s="32"/>
      <c r="E2199" s="60"/>
      <c r="F2199" s="18"/>
      <c r="G2199" s="18"/>
      <c r="H2199" s="49"/>
      <c r="I2199" s="49"/>
      <c r="M2199" s="53"/>
      <c r="O2199" s="59"/>
    </row>
    <row r="2200" spans="1:15" x14ac:dyDescent="0.25">
      <c r="A2200" s="21" t="str">
        <f>IF(C2200="","",COUNTA($C$3:C2200))</f>
        <v/>
      </c>
      <c r="B2200" s="35" t="str">
        <f t="shared" si="50"/>
        <v/>
      </c>
      <c r="C2200" s="32"/>
      <c r="E2200" s="60"/>
      <c r="F2200" s="18"/>
      <c r="G2200" s="18"/>
      <c r="H2200" s="49"/>
      <c r="I2200" s="49"/>
      <c r="M2200" s="53"/>
      <c r="O2200" s="59"/>
    </row>
    <row r="2201" spans="1:15" x14ac:dyDescent="0.25">
      <c r="A2201" s="21" t="str">
        <f>IF(C2201="","",COUNTA($C$3:C2201))</f>
        <v/>
      </c>
      <c r="B2201" s="35" t="str">
        <f t="shared" si="50"/>
        <v/>
      </c>
      <c r="C2201" s="32"/>
      <c r="E2201" s="60"/>
      <c r="F2201" s="18"/>
      <c r="G2201" s="18"/>
      <c r="H2201" s="49"/>
      <c r="I2201" s="49"/>
      <c r="M2201" s="53"/>
      <c r="O2201" s="59"/>
    </row>
    <row r="2202" spans="1:15" x14ac:dyDescent="0.25">
      <c r="A2202" s="21" t="str">
        <f>IF(C2202="","",COUNTA($C$3:C2202))</f>
        <v/>
      </c>
      <c r="B2202" s="35" t="str">
        <f t="shared" si="50"/>
        <v/>
      </c>
      <c r="C2202" s="32"/>
      <c r="E2202" s="60"/>
      <c r="F2202" s="18"/>
      <c r="G2202" s="18"/>
      <c r="H2202" s="49"/>
      <c r="I2202" s="49"/>
      <c r="M2202" s="53"/>
      <c r="O2202" s="59"/>
    </row>
    <row r="2203" spans="1:15" x14ac:dyDescent="0.25">
      <c r="A2203" s="21" t="str">
        <f>IF(C2203="","",COUNTA($C$3:C2203))</f>
        <v/>
      </c>
      <c r="B2203" s="35" t="str">
        <f t="shared" si="50"/>
        <v/>
      </c>
      <c r="C2203" s="32"/>
      <c r="E2203" s="60"/>
      <c r="F2203" s="18"/>
      <c r="G2203" s="18"/>
      <c r="H2203" s="49"/>
      <c r="I2203" s="49"/>
      <c r="M2203" s="53"/>
      <c r="O2203" s="59"/>
    </row>
    <row r="2204" spans="1:15" x14ac:dyDescent="0.25">
      <c r="A2204" s="21" t="str">
        <f>IF(C2204="","",COUNTA($C$3:C2204))</f>
        <v/>
      </c>
      <c r="B2204" s="35" t="str">
        <f t="shared" si="50"/>
        <v/>
      </c>
      <c r="C2204" s="32"/>
      <c r="E2204" s="60"/>
      <c r="F2204" s="18"/>
      <c r="G2204" s="18"/>
      <c r="H2204" s="49"/>
      <c r="I2204" s="49"/>
      <c r="M2204" s="53"/>
      <c r="O2204" s="59"/>
    </row>
    <row r="2205" spans="1:15" x14ac:dyDescent="0.25">
      <c r="A2205" s="21" t="str">
        <f>IF(C2205="","",COUNTA($C$3:C2205))</f>
        <v/>
      </c>
      <c r="B2205" s="35" t="str">
        <f t="shared" si="50"/>
        <v/>
      </c>
      <c r="C2205" s="32"/>
      <c r="E2205" s="60"/>
      <c r="F2205" s="18"/>
      <c r="G2205" s="18"/>
      <c r="H2205" s="49"/>
      <c r="I2205" s="49"/>
      <c r="M2205" s="53"/>
      <c r="O2205" s="59"/>
    </row>
    <row r="2206" spans="1:15" x14ac:dyDescent="0.25">
      <c r="A2206" s="21" t="str">
        <f>IF(C2206="","",COUNTA($C$3:C2206))</f>
        <v/>
      </c>
      <c r="B2206" s="35" t="str">
        <f t="shared" si="50"/>
        <v/>
      </c>
      <c r="C2206" s="32"/>
      <c r="E2206" s="60"/>
      <c r="F2206" s="18"/>
      <c r="G2206" s="18"/>
      <c r="H2206" s="49"/>
      <c r="I2206" s="49"/>
      <c r="M2206" s="53"/>
      <c r="O2206" s="59"/>
    </row>
    <row r="2207" spans="1:15" x14ac:dyDescent="0.25">
      <c r="A2207" s="21" t="str">
        <f>IF(C2207="","",COUNTA($C$3:C2207))</f>
        <v/>
      </c>
      <c r="B2207" s="35" t="str">
        <f t="shared" si="50"/>
        <v/>
      </c>
      <c r="C2207" s="32"/>
      <c r="E2207" s="60"/>
      <c r="F2207" s="18"/>
      <c r="G2207" s="18"/>
      <c r="H2207" s="49"/>
      <c r="I2207" s="49"/>
      <c r="M2207" s="53"/>
      <c r="O2207" s="59"/>
    </row>
    <row r="2208" spans="1:15" x14ac:dyDescent="0.25">
      <c r="A2208" s="21" t="str">
        <f>IF(C2208="","",COUNTA($C$3:C2208))</f>
        <v/>
      </c>
      <c r="B2208" s="35" t="str">
        <f t="shared" si="50"/>
        <v/>
      </c>
      <c r="C2208" s="32"/>
      <c r="E2208" s="60"/>
      <c r="F2208" s="18"/>
      <c r="G2208" s="18"/>
      <c r="H2208" s="49"/>
      <c r="I2208" s="49"/>
      <c r="K2208" s="67"/>
      <c r="M2208" s="53"/>
      <c r="O2208" s="69"/>
    </row>
    <row r="2209" spans="1:13" x14ac:dyDescent="0.25">
      <c r="A2209" s="21" t="str">
        <f>IF(C2209="","",COUNTA($C$3:C2209))</f>
        <v/>
      </c>
      <c r="B2209" s="35" t="str">
        <f t="shared" si="50"/>
        <v/>
      </c>
      <c r="C2209" s="32"/>
      <c r="E2209" s="60"/>
      <c r="F2209" s="18"/>
      <c r="G2209" s="18"/>
      <c r="H2209" s="49"/>
      <c r="I2209" s="49"/>
      <c r="M2209" s="53"/>
    </row>
    <row r="2210" spans="1:13" x14ac:dyDescent="0.25">
      <c r="A2210" s="21" t="str">
        <f>IF(C2210="","",COUNTA($C$3:C2210))</f>
        <v/>
      </c>
      <c r="B2210" s="35" t="str">
        <f t="shared" si="50"/>
        <v/>
      </c>
      <c r="C2210" s="32"/>
      <c r="E2210" s="60"/>
      <c r="F2210" s="18"/>
      <c r="G2210" s="18"/>
      <c r="H2210" s="49"/>
      <c r="I2210" s="49"/>
      <c r="M2210" s="53"/>
    </row>
    <row r="2211" spans="1:13" x14ac:dyDescent="0.25">
      <c r="A2211" s="21" t="str">
        <f>IF(C2211="","",COUNTA($C$3:C2211))</f>
        <v/>
      </c>
      <c r="B2211" s="35" t="str">
        <f t="shared" si="50"/>
        <v/>
      </c>
      <c r="C2211" s="32"/>
      <c r="E2211" s="60"/>
      <c r="F2211" s="18"/>
      <c r="G2211" s="18"/>
      <c r="H2211" s="49"/>
      <c r="I2211" s="49"/>
      <c r="M2211" s="53"/>
    </row>
    <row r="2212" spans="1:13" x14ac:dyDescent="0.25">
      <c r="A2212" s="21" t="str">
        <f>IF(C2212="","",COUNTA($C$3:C2212))</f>
        <v/>
      </c>
      <c r="B2212" s="35" t="str">
        <f t="shared" si="50"/>
        <v/>
      </c>
      <c r="C2212" s="32"/>
      <c r="E2212" s="60"/>
      <c r="F2212" s="18"/>
      <c r="G2212" s="18"/>
      <c r="H2212" s="49"/>
      <c r="I2212" s="49"/>
      <c r="M2212" s="53"/>
    </row>
    <row r="2213" spans="1:13" x14ac:dyDescent="0.25">
      <c r="A2213" s="21" t="str">
        <f>IF(C2213="","",COUNTA($C$3:C2213))</f>
        <v/>
      </c>
      <c r="B2213" s="35" t="str">
        <f t="shared" si="50"/>
        <v/>
      </c>
      <c r="C2213" s="32"/>
      <c r="E2213" s="60"/>
      <c r="F2213" s="18"/>
      <c r="G2213" s="18"/>
      <c r="H2213" s="49"/>
      <c r="I2213" s="49"/>
      <c r="M2213" s="53"/>
    </row>
    <row r="2214" spans="1:13" x14ac:dyDescent="0.25">
      <c r="A2214" s="21" t="str">
        <f>IF(C2214="","",COUNTA($C$3:C2214))</f>
        <v/>
      </c>
      <c r="B2214" s="35" t="str">
        <f t="shared" si="50"/>
        <v/>
      </c>
      <c r="C2214" s="32"/>
      <c r="E2214" s="60"/>
      <c r="F2214" s="18"/>
      <c r="G2214" s="18"/>
      <c r="H2214" s="49"/>
      <c r="I2214" s="49"/>
      <c r="M2214" s="53"/>
    </row>
    <row r="2215" spans="1:13" x14ac:dyDescent="0.25">
      <c r="A2215" s="21" t="str">
        <f>IF(C2215="","",COUNTA($C$3:C2215))</f>
        <v/>
      </c>
      <c r="B2215" s="35" t="str">
        <f t="shared" si="50"/>
        <v/>
      </c>
      <c r="C2215" s="32"/>
      <c r="E2215" s="60"/>
      <c r="F2215" s="18"/>
      <c r="G2215" s="18"/>
      <c r="H2215" s="49"/>
      <c r="I2215" s="49"/>
      <c r="K2215" s="67"/>
      <c r="M2215" s="53"/>
    </row>
    <row r="2216" spans="1:13" x14ac:dyDescent="0.25">
      <c r="A2216" s="21" t="str">
        <f>IF(C2216="","",COUNTA($C$3:C2216))</f>
        <v/>
      </c>
      <c r="B2216" s="35" t="str">
        <f t="shared" si="50"/>
        <v/>
      </c>
      <c r="C2216" s="32"/>
      <c r="E2216" s="60"/>
      <c r="F2216" s="18"/>
      <c r="G2216" s="18"/>
      <c r="H2216" s="49"/>
      <c r="I2216" s="49"/>
      <c r="M2216" s="53"/>
    </row>
    <row r="2217" spans="1:13" x14ac:dyDescent="0.25">
      <c r="A2217" s="21" t="str">
        <f>IF(C2217="","",COUNTA($C$3:C2217))</f>
        <v/>
      </c>
      <c r="B2217" s="35" t="str">
        <f t="shared" si="50"/>
        <v/>
      </c>
      <c r="C2217" s="32"/>
      <c r="E2217" s="60"/>
      <c r="F2217" s="18"/>
      <c r="G2217" s="18"/>
      <c r="H2217" s="49"/>
      <c r="I2217" s="49"/>
      <c r="M2217" s="53"/>
    </row>
    <row r="2218" spans="1:13" x14ac:dyDescent="0.25">
      <c r="A2218" s="21" t="str">
        <f>IF(C2218="","",COUNTA($C$3:C2218))</f>
        <v/>
      </c>
      <c r="B2218" s="35" t="str">
        <f t="shared" si="50"/>
        <v/>
      </c>
      <c r="C2218" s="32"/>
      <c r="E2218" s="60"/>
      <c r="F2218" s="18"/>
      <c r="G2218" s="18"/>
      <c r="H2218" s="49"/>
      <c r="I2218" s="49"/>
      <c r="M2218" s="53"/>
    </row>
    <row r="2219" spans="1:13" x14ac:dyDescent="0.25">
      <c r="A2219" s="21" t="str">
        <f>IF(C2219="","",COUNTA($C$3:C2219))</f>
        <v/>
      </c>
      <c r="B2219" s="35" t="str">
        <f t="shared" si="50"/>
        <v/>
      </c>
      <c r="C2219" s="32"/>
      <c r="E2219" s="60"/>
      <c r="F2219" s="18"/>
      <c r="G2219" s="18"/>
      <c r="H2219" s="49"/>
      <c r="I2219" s="49"/>
      <c r="M2219" s="53"/>
    </row>
    <row r="2220" spans="1:13" x14ac:dyDescent="0.25">
      <c r="A2220" s="21" t="str">
        <f>IF(C2220="","",COUNTA($C$3:C2220))</f>
        <v/>
      </c>
      <c r="B2220" s="35" t="str">
        <f t="shared" si="50"/>
        <v/>
      </c>
      <c r="C2220" s="32"/>
      <c r="E2220" s="60"/>
      <c r="F2220" s="18"/>
      <c r="G2220" s="18"/>
      <c r="H2220" s="49"/>
      <c r="I2220" s="49"/>
      <c r="M2220" s="53"/>
    </row>
    <row r="2221" spans="1:13" x14ac:dyDescent="0.25">
      <c r="A2221" s="21" t="str">
        <f>IF(C2221="","",COUNTA($C$3:C2221))</f>
        <v/>
      </c>
      <c r="B2221" s="35" t="str">
        <f t="shared" si="50"/>
        <v/>
      </c>
      <c r="C2221" s="32"/>
      <c r="E2221" s="60"/>
      <c r="F2221" s="18"/>
      <c r="G2221" s="18"/>
      <c r="H2221" s="49"/>
      <c r="I2221" s="49"/>
      <c r="M2221" s="53"/>
    </row>
    <row r="2222" spans="1:13" x14ac:dyDescent="0.25">
      <c r="A2222" s="21" t="str">
        <f>IF(C2222="","",COUNTA($C$3:C2222))</f>
        <v/>
      </c>
      <c r="B2222" s="35" t="str">
        <f t="shared" si="50"/>
        <v/>
      </c>
      <c r="C2222" s="32"/>
      <c r="E2222" s="60"/>
      <c r="F2222" s="18"/>
      <c r="G2222" s="18"/>
      <c r="H2222" s="49"/>
      <c r="I2222" s="49"/>
      <c r="M2222" s="53"/>
    </row>
    <row r="2223" spans="1:13" x14ac:dyDescent="0.25">
      <c r="A2223" s="21" t="str">
        <f>IF(C2223="","",COUNTA($C$3:C2223))</f>
        <v/>
      </c>
      <c r="B2223" s="35" t="str">
        <f t="shared" si="50"/>
        <v/>
      </c>
      <c r="C2223" s="32"/>
      <c r="E2223" s="60"/>
      <c r="F2223" s="18"/>
      <c r="G2223" s="18"/>
      <c r="H2223" s="49"/>
      <c r="I2223" s="49"/>
      <c r="M2223" s="53"/>
    </row>
    <row r="2224" spans="1:13" x14ac:dyDescent="0.25">
      <c r="A2224" s="21" t="str">
        <f>IF(C2224="","",COUNTA($C$3:C2224))</f>
        <v/>
      </c>
      <c r="B2224" s="35" t="str">
        <f t="shared" si="50"/>
        <v/>
      </c>
      <c r="C2224" s="32"/>
      <c r="E2224" s="60"/>
      <c r="F2224" s="18"/>
      <c r="G2224" s="18"/>
      <c r="H2224" s="49"/>
      <c r="I2224" s="49"/>
      <c r="M2224" s="53"/>
    </row>
    <row r="2225" spans="1:15" x14ac:dyDescent="0.25">
      <c r="A2225" s="21" t="str">
        <f>IF(C2225="","",COUNTA($C$3:C2225))</f>
        <v/>
      </c>
      <c r="B2225" s="35" t="str">
        <f t="shared" si="50"/>
        <v/>
      </c>
      <c r="C2225" s="32"/>
      <c r="E2225" s="60"/>
      <c r="F2225" s="18"/>
      <c r="G2225" s="18"/>
      <c r="H2225" s="49"/>
      <c r="I2225" s="49"/>
      <c r="M2225" s="53"/>
    </row>
    <row r="2226" spans="1:15" x14ac:dyDescent="0.25">
      <c r="A2226" s="21" t="str">
        <f>IF(C2226="","",COUNTA($C$3:C2226))</f>
        <v/>
      </c>
      <c r="B2226" s="35" t="str">
        <f t="shared" si="50"/>
        <v/>
      </c>
      <c r="C2226" s="32"/>
      <c r="E2226" s="60"/>
      <c r="F2226" s="18"/>
      <c r="G2226" s="18"/>
      <c r="H2226" s="49"/>
      <c r="I2226" s="49"/>
      <c r="M2226" s="53"/>
    </row>
    <row r="2227" spans="1:15" x14ac:dyDescent="0.25">
      <c r="A2227" s="21" t="str">
        <f>IF(C2227="","",COUNTA($C$3:C2227))</f>
        <v/>
      </c>
      <c r="B2227" s="35" t="str">
        <f t="shared" si="50"/>
        <v/>
      </c>
      <c r="C2227" s="32"/>
      <c r="E2227" s="60"/>
      <c r="F2227" s="18"/>
      <c r="G2227" s="18"/>
      <c r="H2227" s="49"/>
      <c r="I2227" s="49"/>
      <c r="M2227" s="53"/>
    </row>
    <row r="2228" spans="1:15" x14ac:dyDescent="0.25">
      <c r="A2228" s="21" t="str">
        <f>IF(C2228="","",COUNTA($C$3:C2228))</f>
        <v/>
      </c>
      <c r="B2228" s="35" t="str">
        <f t="shared" si="50"/>
        <v/>
      </c>
      <c r="C2228" s="32"/>
      <c r="E2228" s="60"/>
      <c r="F2228" s="18"/>
      <c r="G2228" s="18"/>
      <c r="H2228" s="49"/>
      <c r="I2228" s="49"/>
      <c r="M2228" s="53"/>
    </row>
    <row r="2229" spans="1:15" x14ac:dyDescent="0.25">
      <c r="A2229" s="21" t="str">
        <f>IF(C2229="","",COUNTA($C$3:C2229))</f>
        <v/>
      </c>
      <c r="B2229" s="35" t="str">
        <f t="shared" si="50"/>
        <v/>
      </c>
      <c r="C2229" s="32"/>
      <c r="E2229" s="60"/>
      <c r="F2229" s="18"/>
      <c r="G2229" s="18"/>
      <c r="H2229" s="49"/>
      <c r="I2229" s="49"/>
      <c r="M2229" s="53"/>
    </row>
    <row r="2230" spans="1:15" x14ac:dyDescent="0.25">
      <c r="A2230" s="21" t="str">
        <f>IF(C2230="","",COUNTA($C$3:C2230))</f>
        <v/>
      </c>
      <c r="B2230" s="35" t="str">
        <f t="shared" si="50"/>
        <v/>
      </c>
      <c r="C2230" s="32"/>
      <c r="E2230" s="60"/>
      <c r="F2230" s="18"/>
      <c r="G2230" s="18"/>
      <c r="H2230" s="49"/>
      <c r="I2230" s="49"/>
      <c r="M2230" s="53"/>
    </row>
    <row r="2231" spans="1:15" x14ac:dyDescent="0.25">
      <c r="A2231" s="21" t="str">
        <f>IF(C2231="","",COUNTA($C$3:C2231))</f>
        <v/>
      </c>
      <c r="B2231" s="35" t="str">
        <f t="shared" si="50"/>
        <v/>
      </c>
      <c r="C2231" s="32"/>
      <c r="E2231" s="60"/>
      <c r="F2231" s="18"/>
      <c r="G2231" s="18"/>
      <c r="H2231" s="49"/>
      <c r="I2231" s="49"/>
      <c r="M2231" s="53"/>
    </row>
    <row r="2232" spans="1:15" x14ac:dyDescent="0.25">
      <c r="A2232" s="21" t="str">
        <f>IF(C2232="","",COUNTA($C$3:C2232))</f>
        <v/>
      </c>
      <c r="B2232" s="35" t="str">
        <f t="shared" si="50"/>
        <v/>
      </c>
      <c r="C2232" s="32"/>
      <c r="E2232" s="60"/>
      <c r="F2232" s="18"/>
      <c r="G2232" s="18"/>
      <c r="H2232" s="49"/>
      <c r="I2232" s="49"/>
      <c r="M2232" s="53"/>
    </row>
    <row r="2233" spans="1:15" x14ac:dyDescent="0.25">
      <c r="A2233" s="21" t="str">
        <f>IF(C2233="","",COUNTA($C$3:C2233))</f>
        <v/>
      </c>
      <c r="B2233" s="35" t="str">
        <f t="shared" si="50"/>
        <v/>
      </c>
      <c r="C2233" s="32"/>
      <c r="E2233" s="60"/>
      <c r="F2233" s="18"/>
      <c r="G2233" s="18"/>
      <c r="H2233" s="49"/>
      <c r="I2233" s="49"/>
      <c r="M2233" s="53"/>
    </row>
    <row r="2234" spans="1:15" x14ac:dyDescent="0.25">
      <c r="A2234" s="21" t="str">
        <f>IF(C2234="","",COUNTA($C$3:C2234))</f>
        <v/>
      </c>
      <c r="B2234" s="35" t="str">
        <f t="shared" si="50"/>
        <v/>
      </c>
      <c r="C2234" s="32"/>
      <c r="E2234" s="60"/>
      <c r="F2234" s="18"/>
      <c r="G2234" s="18"/>
      <c r="H2234" s="49"/>
      <c r="I2234" s="49"/>
      <c r="M2234" s="53"/>
    </row>
    <row r="2235" spans="1:15" x14ac:dyDescent="0.25">
      <c r="A2235" s="21" t="str">
        <f>IF(C2235="","",COUNTA($C$3:C2235))</f>
        <v/>
      </c>
      <c r="B2235" s="35" t="str">
        <f t="shared" si="50"/>
        <v/>
      </c>
      <c r="C2235" s="32"/>
      <c r="E2235" s="60"/>
      <c r="F2235" s="18"/>
      <c r="G2235" s="18"/>
      <c r="H2235" s="49"/>
      <c r="I2235" s="49"/>
      <c r="M2235" s="53"/>
      <c r="O2235" s="59"/>
    </row>
    <row r="2236" spans="1:15" x14ac:dyDescent="0.25">
      <c r="A2236" s="21" t="str">
        <f>IF(C2236="","",COUNTA($C$3:C2236))</f>
        <v/>
      </c>
      <c r="B2236" s="35" t="str">
        <f t="shared" si="50"/>
        <v/>
      </c>
      <c r="C2236" s="32"/>
      <c r="E2236" s="60"/>
      <c r="F2236" s="18"/>
      <c r="G2236" s="18"/>
      <c r="H2236" s="49"/>
      <c r="I2236" s="49"/>
      <c r="M2236" s="53"/>
      <c r="O2236" s="71"/>
    </row>
    <row r="2237" spans="1:15" x14ac:dyDescent="0.25">
      <c r="A2237" s="21" t="str">
        <f>IF(C2237="","",COUNTA($C$3:C2237))</f>
        <v/>
      </c>
      <c r="B2237" s="35" t="str">
        <f t="shared" si="50"/>
        <v/>
      </c>
      <c r="C2237" s="32"/>
      <c r="E2237" s="60"/>
      <c r="F2237" s="18"/>
      <c r="G2237" s="18"/>
      <c r="H2237" s="49"/>
      <c r="I2237" s="49"/>
      <c r="M2237" s="53"/>
    </row>
    <row r="2238" spans="1:15" x14ac:dyDescent="0.25">
      <c r="A2238" s="21" t="str">
        <f>IF(C2238="","",COUNTA($C$3:C2238))</f>
        <v/>
      </c>
      <c r="B2238" s="35" t="str">
        <f t="shared" si="50"/>
        <v/>
      </c>
      <c r="C2238" s="32"/>
      <c r="E2238" s="60"/>
      <c r="F2238" s="18"/>
      <c r="G2238" s="18"/>
      <c r="H2238" s="49"/>
      <c r="I2238" s="49"/>
      <c r="M2238" s="53"/>
    </row>
    <row r="2239" spans="1:15" x14ac:dyDescent="0.25">
      <c r="A2239" s="21" t="str">
        <f>IF(C2239="","",COUNTA($C$3:C2239))</f>
        <v/>
      </c>
      <c r="B2239" s="35" t="str">
        <f t="shared" si="50"/>
        <v/>
      </c>
      <c r="C2239" s="32"/>
      <c r="E2239" s="60"/>
      <c r="F2239" s="18"/>
      <c r="G2239" s="18"/>
      <c r="H2239" s="49"/>
      <c r="I2239" s="49"/>
      <c r="M2239" s="53"/>
    </row>
    <row r="2240" spans="1:15" x14ac:dyDescent="0.25">
      <c r="A2240" s="21" t="str">
        <f>IF(C2240="","",COUNTA($C$3:C2240))</f>
        <v/>
      </c>
      <c r="B2240" s="35" t="str">
        <f t="shared" si="50"/>
        <v/>
      </c>
      <c r="C2240" s="32"/>
      <c r="E2240" s="60"/>
      <c r="F2240" s="18"/>
      <c r="G2240" s="18"/>
      <c r="H2240" s="49"/>
      <c r="I2240" s="49"/>
      <c r="M2240" s="53"/>
    </row>
    <row r="2241" spans="1:15" x14ac:dyDescent="0.25">
      <c r="A2241" s="21" t="str">
        <f>IF(C2241="","",COUNTA($C$3:C2241))</f>
        <v/>
      </c>
      <c r="B2241" s="35" t="str">
        <f t="shared" si="50"/>
        <v/>
      </c>
      <c r="C2241" s="32"/>
      <c r="E2241" s="60"/>
      <c r="F2241" s="18"/>
      <c r="G2241" s="18"/>
      <c r="H2241" s="49"/>
      <c r="I2241" s="49"/>
      <c r="M2241" s="53"/>
    </row>
    <row r="2242" spans="1:15" x14ac:dyDescent="0.25">
      <c r="A2242" s="21" t="str">
        <f>IF(C2242="","",COUNTA($C$3:C2242))</f>
        <v/>
      </c>
      <c r="B2242" s="35" t="str">
        <f t="shared" si="50"/>
        <v/>
      </c>
      <c r="C2242" s="32"/>
      <c r="E2242" s="60"/>
      <c r="F2242" s="18"/>
      <c r="G2242" s="18"/>
      <c r="H2242" s="49"/>
      <c r="I2242" s="49"/>
      <c r="M2242" s="53"/>
    </row>
    <row r="2243" spans="1:15" x14ac:dyDescent="0.25">
      <c r="A2243" s="21" t="str">
        <f>IF(C2243="","",COUNTA($C$3:C2243))</f>
        <v/>
      </c>
      <c r="B2243" s="35" t="str">
        <f t="shared" si="50"/>
        <v/>
      </c>
      <c r="C2243" s="32"/>
      <c r="E2243" s="60"/>
      <c r="F2243" s="18"/>
      <c r="G2243" s="18"/>
      <c r="H2243" s="49"/>
      <c r="I2243" s="49"/>
      <c r="M2243" s="53"/>
    </row>
    <row r="2244" spans="1:15" x14ac:dyDescent="0.25">
      <c r="A2244" s="21" t="str">
        <f>IF(C2244="","",COUNTA($C$3:C2244))</f>
        <v/>
      </c>
      <c r="B2244" s="35" t="str">
        <f t="shared" si="50"/>
        <v/>
      </c>
      <c r="C2244" s="32"/>
      <c r="E2244" s="60"/>
      <c r="F2244" s="18"/>
      <c r="G2244" s="18"/>
      <c r="H2244" s="49"/>
      <c r="I2244" s="49"/>
      <c r="K2244" s="55"/>
      <c r="M2244" s="53"/>
      <c r="N2244" s="59"/>
      <c r="O2244" s="71"/>
    </row>
    <row r="2245" spans="1:15" x14ac:dyDescent="0.25">
      <c r="A2245" s="21" t="str">
        <f>IF(C2245="","",COUNTA($C$3:C2245))</f>
        <v/>
      </c>
      <c r="B2245" s="35" t="str">
        <f t="shared" ref="B2245:B2308" si="51">IF(C2245="","",TEXT(C2245,"mmmm"))</f>
        <v/>
      </c>
      <c r="C2245" s="33"/>
      <c r="E2245" s="60"/>
      <c r="F2245" s="18"/>
      <c r="G2245" s="18"/>
      <c r="H2245" s="49"/>
      <c r="I2245" s="49"/>
      <c r="M2245" s="53"/>
    </row>
    <row r="2246" spans="1:15" x14ac:dyDescent="0.25">
      <c r="A2246" s="21" t="str">
        <f>IF(C2246="","",COUNTA($C$3:C2246))</f>
        <v/>
      </c>
      <c r="B2246" s="35" t="str">
        <f t="shared" si="51"/>
        <v/>
      </c>
      <c r="C2246" s="33"/>
      <c r="E2246" s="60"/>
      <c r="F2246" s="18"/>
      <c r="G2246" s="18"/>
      <c r="H2246" s="49"/>
      <c r="I2246" s="49"/>
      <c r="M2246" s="53"/>
    </row>
    <row r="2247" spans="1:15" x14ac:dyDescent="0.25">
      <c r="A2247" s="21" t="str">
        <f>IF(C2247="","",COUNTA($C$3:C2247))</f>
        <v/>
      </c>
      <c r="B2247" s="35" t="str">
        <f t="shared" si="51"/>
        <v/>
      </c>
      <c r="C2247" s="33"/>
      <c r="E2247" s="60"/>
      <c r="F2247" s="18"/>
      <c r="G2247" s="18"/>
      <c r="H2247" s="49"/>
      <c r="I2247" s="49"/>
      <c r="M2247" s="53"/>
    </row>
    <row r="2248" spans="1:15" x14ac:dyDescent="0.25">
      <c r="A2248" s="21" t="str">
        <f>IF(C2248="","",COUNTA($C$3:C2248))</f>
        <v/>
      </c>
      <c r="B2248" s="35" t="str">
        <f t="shared" si="51"/>
        <v/>
      </c>
      <c r="C2248" s="33"/>
      <c r="E2248" s="60"/>
      <c r="F2248" s="18"/>
      <c r="G2248" s="18"/>
      <c r="H2248" s="49"/>
      <c r="I2248" s="49"/>
      <c r="M2248" s="53"/>
    </row>
    <row r="2249" spans="1:15" x14ac:dyDescent="0.25">
      <c r="A2249" s="21" t="str">
        <f>IF(C2249="","",COUNTA($C$3:C2249))</f>
        <v/>
      </c>
      <c r="B2249" s="35" t="str">
        <f t="shared" si="51"/>
        <v/>
      </c>
      <c r="C2249" s="33"/>
      <c r="E2249" s="60"/>
      <c r="F2249" s="18"/>
      <c r="G2249" s="18"/>
      <c r="H2249" s="49"/>
      <c r="I2249" s="49"/>
      <c r="M2249" s="53"/>
    </row>
    <row r="2250" spans="1:15" x14ac:dyDescent="0.25">
      <c r="A2250" s="21" t="str">
        <f>IF(C2250="","",COUNTA($C$3:C2250))</f>
        <v/>
      </c>
      <c r="B2250" s="35" t="str">
        <f t="shared" si="51"/>
        <v/>
      </c>
      <c r="C2250" s="33"/>
      <c r="E2250" s="60"/>
      <c r="F2250" s="18"/>
      <c r="G2250" s="18"/>
      <c r="H2250" s="49"/>
      <c r="I2250" s="49"/>
      <c r="M2250" s="53"/>
    </row>
    <row r="2251" spans="1:15" x14ac:dyDescent="0.25">
      <c r="A2251" s="21" t="str">
        <f>IF(C2251="","",COUNTA($C$3:C2251))</f>
        <v/>
      </c>
      <c r="B2251" s="35" t="str">
        <f t="shared" si="51"/>
        <v/>
      </c>
      <c r="C2251" s="33"/>
      <c r="E2251" s="60"/>
      <c r="F2251" s="18"/>
      <c r="G2251" s="18"/>
      <c r="H2251" s="49"/>
      <c r="I2251" s="49"/>
      <c r="M2251" s="53"/>
    </row>
    <row r="2252" spans="1:15" x14ac:dyDescent="0.25">
      <c r="A2252" s="21" t="str">
        <f>IF(C2252="","",COUNTA($C$3:C2252))</f>
        <v/>
      </c>
      <c r="B2252" s="35" t="str">
        <f t="shared" si="51"/>
        <v/>
      </c>
      <c r="C2252" s="33"/>
      <c r="E2252" s="60"/>
      <c r="F2252" s="18"/>
      <c r="G2252" s="18"/>
      <c r="H2252" s="49"/>
      <c r="I2252" s="49"/>
      <c r="M2252" s="53"/>
    </row>
    <row r="2253" spans="1:15" x14ac:dyDescent="0.25">
      <c r="A2253" s="21" t="str">
        <f>IF(C2253="","",COUNTA($C$3:C2253))</f>
        <v/>
      </c>
      <c r="B2253" s="35" t="str">
        <f t="shared" si="51"/>
        <v/>
      </c>
      <c r="C2253" s="33"/>
      <c r="E2253" s="60"/>
      <c r="F2253" s="18"/>
      <c r="G2253" s="18"/>
      <c r="H2253" s="49"/>
      <c r="I2253" s="49"/>
      <c r="M2253" s="53"/>
    </row>
    <row r="2254" spans="1:15" x14ac:dyDescent="0.25">
      <c r="A2254" s="21" t="str">
        <f>IF(C2254="","",COUNTA($C$3:C2254))</f>
        <v/>
      </c>
      <c r="B2254" s="35" t="str">
        <f t="shared" si="51"/>
        <v/>
      </c>
      <c r="C2254" s="33"/>
      <c r="E2254" s="60"/>
      <c r="F2254" s="18"/>
      <c r="G2254" s="18"/>
      <c r="H2254" s="49"/>
      <c r="I2254" s="49"/>
      <c r="M2254" s="53"/>
    </row>
    <row r="2255" spans="1:15" x14ac:dyDescent="0.25">
      <c r="A2255" s="21" t="str">
        <f>IF(C2255="","",COUNTA($C$3:C2255))</f>
        <v/>
      </c>
      <c r="B2255" s="35" t="str">
        <f t="shared" si="51"/>
        <v/>
      </c>
      <c r="C2255" s="33"/>
      <c r="E2255" s="60"/>
      <c r="F2255" s="18"/>
      <c r="G2255" s="18"/>
      <c r="H2255" s="49"/>
      <c r="I2255" s="49"/>
      <c r="M2255" s="53"/>
    </row>
    <row r="2256" spans="1:15" x14ac:dyDescent="0.25">
      <c r="A2256" s="21" t="str">
        <f>IF(C2256="","",COUNTA($C$3:C2256))</f>
        <v/>
      </c>
      <c r="B2256" s="35" t="str">
        <f t="shared" si="51"/>
        <v/>
      </c>
      <c r="C2256" s="33"/>
      <c r="E2256" s="60"/>
      <c r="F2256" s="18"/>
      <c r="G2256" s="18"/>
      <c r="H2256" s="49"/>
      <c r="I2256" s="49"/>
      <c r="M2256" s="53"/>
    </row>
    <row r="2257" spans="1:15" x14ac:dyDescent="0.25">
      <c r="A2257" s="21" t="str">
        <f>IF(C2257="","",COUNTA($C$3:C2257))</f>
        <v/>
      </c>
      <c r="B2257" s="35" t="str">
        <f t="shared" si="51"/>
        <v/>
      </c>
      <c r="C2257" s="33"/>
      <c r="E2257" s="60"/>
      <c r="F2257" s="18"/>
      <c r="G2257" s="18"/>
      <c r="H2257" s="49"/>
      <c r="I2257" s="49"/>
      <c r="M2257" s="53"/>
    </row>
    <row r="2258" spans="1:15" x14ac:dyDescent="0.25">
      <c r="A2258" s="21" t="str">
        <f>IF(C2258="","",COUNTA($C$3:C2258))</f>
        <v/>
      </c>
      <c r="B2258" s="35" t="str">
        <f t="shared" si="51"/>
        <v/>
      </c>
      <c r="C2258" s="33"/>
      <c r="E2258" s="60"/>
      <c r="F2258" s="18"/>
      <c r="G2258" s="18"/>
      <c r="H2258" s="49"/>
      <c r="I2258" s="49"/>
      <c r="M2258" s="53"/>
    </row>
    <row r="2259" spans="1:15" x14ac:dyDescent="0.25">
      <c r="A2259" s="21" t="str">
        <f>IF(C2259="","",COUNTA($C$3:C2259))</f>
        <v/>
      </c>
      <c r="B2259" s="35" t="str">
        <f t="shared" si="51"/>
        <v/>
      </c>
      <c r="C2259" s="33"/>
      <c r="E2259" s="60"/>
      <c r="F2259" s="18"/>
      <c r="G2259" s="18"/>
      <c r="H2259" s="49"/>
      <c r="I2259" s="49"/>
      <c r="M2259" s="53"/>
    </row>
    <row r="2260" spans="1:15" x14ac:dyDescent="0.25">
      <c r="A2260" s="21" t="str">
        <f>IF(C2260="","",COUNTA($C$3:C2260))</f>
        <v/>
      </c>
      <c r="B2260" s="35" t="str">
        <f t="shared" si="51"/>
        <v/>
      </c>
      <c r="C2260" s="33"/>
      <c r="E2260" s="60"/>
      <c r="F2260" s="18"/>
      <c r="G2260" s="18"/>
      <c r="H2260" s="49"/>
      <c r="I2260" s="49"/>
      <c r="M2260" s="53"/>
    </row>
    <row r="2261" spans="1:15" x14ac:dyDescent="0.25">
      <c r="A2261" s="21" t="str">
        <f>IF(C2261="","",COUNTA($C$3:C2261))</f>
        <v/>
      </c>
      <c r="B2261" s="35" t="str">
        <f t="shared" si="51"/>
        <v/>
      </c>
      <c r="C2261" s="33"/>
      <c r="E2261" s="60"/>
      <c r="F2261" s="18"/>
      <c r="G2261" s="18"/>
      <c r="H2261" s="49"/>
      <c r="I2261" s="49"/>
      <c r="M2261" s="53"/>
    </row>
    <row r="2262" spans="1:15" x14ac:dyDescent="0.25">
      <c r="A2262" s="21" t="str">
        <f>IF(C2262="","",COUNTA($C$3:C2262))</f>
        <v/>
      </c>
      <c r="B2262" s="35" t="str">
        <f t="shared" si="51"/>
        <v/>
      </c>
      <c r="C2262" s="33"/>
      <c r="E2262" s="60"/>
      <c r="F2262" s="18"/>
      <c r="G2262" s="18"/>
      <c r="H2262" s="49"/>
      <c r="I2262" s="49"/>
      <c r="M2262" s="53"/>
    </row>
    <row r="2263" spans="1:15" x14ac:dyDescent="0.25">
      <c r="A2263" s="21" t="str">
        <f>IF(C2263="","",COUNTA($C$3:C2263))</f>
        <v/>
      </c>
      <c r="B2263" s="35" t="str">
        <f t="shared" si="51"/>
        <v/>
      </c>
      <c r="C2263" s="33"/>
      <c r="E2263" s="60"/>
      <c r="F2263" s="18"/>
      <c r="G2263" s="18"/>
      <c r="H2263" s="49"/>
      <c r="I2263" s="49"/>
      <c r="M2263" s="53"/>
    </row>
    <row r="2264" spans="1:15" x14ac:dyDescent="0.25">
      <c r="A2264" s="21" t="str">
        <f>IF(C2264="","",COUNTA($C$3:C2264))</f>
        <v/>
      </c>
      <c r="B2264" s="35" t="str">
        <f t="shared" si="51"/>
        <v/>
      </c>
      <c r="C2264" s="33"/>
      <c r="E2264" s="60"/>
      <c r="F2264" s="18"/>
      <c r="G2264" s="18"/>
      <c r="H2264" s="49"/>
      <c r="I2264" s="49"/>
      <c r="M2264" s="53"/>
    </row>
    <row r="2265" spans="1:15" x14ac:dyDescent="0.25">
      <c r="A2265" s="21" t="str">
        <f>IF(C2265="","",COUNTA($C$3:C2265))</f>
        <v/>
      </c>
      <c r="B2265" s="35" t="str">
        <f t="shared" si="51"/>
        <v/>
      </c>
      <c r="C2265" s="33"/>
      <c r="E2265" s="60"/>
      <c r="F2265" s="18"/>
      <c r="G2265" s="18"/>
      <c r="H2265" s="49"/>
      <c r="I2265" s="49"/>
      <c r="M2265" s="53"/>
      <c r="O2265" s="59"/>
    </row>
    <row r="2266" spans="1:15" x14ac:dyDescent="0.25">
      <c r="A2266" s="21" t="str">
        <f>IF(C2266="","",COUNTA($C$3:C2266))</f>
        <v/>
      </c>
      <c r="B2266" s="35" t="str">
        <f t="shared" si="51"/>
        <v/>
      </c>
      <c r="C2266" s="33"/>
      <c r="E2266" s="60"/>
      <c r="F2266" s="18"/>
      <c r="G2266" s="18"/>
      <c r="H2266" s="49"/>
      <c r="I2266" s="49"/>
      <c r="M2266" s="53"/>
      <c r="O2266" s="59"/>
    </row>
    <row r="2267" spans="1:15" x14ac:dyDescent="0.25">
      <c r="A2267" s="21" t="str">
        <f>IF(C2267="","",COUNTA($C$3:C2267))</f>
        <v/>
      </c>
      <c r="B2267" s="35" t="str">
        <f t="shared" si="51"/>
        <v/>
      </c>
      <c r="C2267" s="33"/>
      <c r="E2267" s="60"/>
      <c r="F2267" s="18"/>
      <c r="G2267" s="18"/>
      <c r="H2267" s="49"/>
      <c r="I2267" s="49"/>
      <c r="M2267" s="53"/>
      <c r="O2267" s="59"/>
    </row>
    <row r="2268" spans="1:15" x14ac:dyDescent="0.25">
      <c r="A2268" s="21" t="str">
        <f>IF(C2268="","",COUNTA($C$3:C2268))</f>
        <v/>
      </c>
      <c r="B2268" s="35" t="str">
        <f t="shared" si="51"/>
        <v/>
      </c>
      <c r="C2268" s="33"/>
      <c r="E2268" s="60"/>
      <c r="F2268" s="18"/>
      <c r="G2268" s="18"/>
      <c r="H2268" s="49"/>
      <c r="I2268" s="49"/>
      <c r="K2268" s="67"/>
      <c r="M2268" s="53"/>
      <c r="O2268" s="59"/>
    </row>
    <row r="2269" spans="1:15" x14ac:dyDescent="0.25">
      <c r="A2269" s="21" t="str">
        <f>IF(C2269="","",COUNTA($C$3:C2269))</f>
        <v/>
      </c>
      <c r="B2269" s="35" t="str">
        <f t="shared" si="51"/>
        <v/>
      </c>
      <c r="C2269" s="33"/>
      <c r="E2269" s="60"/>
      <c r="F2269" s="18"/>
      <c r="G2269" s="18"/>
      <c r="H2269" s="49"/>
      <c r="I2269" s="49"/>
      <c r="M2269" s="53"/>
    </row>
    <row r="2270" spans="1:15" x14ac:dyDescent="0.25">
      <c r="A2270" s="21" t="str">
        <f>IF(C2270="","",COUNTA($C$3:C2270))</f>
        <v/>
      </c>
      <c r="B2270" s="35" t="str">
        <f t="shared" si="51"/>
        <v/>
      </c>
      <c r="C2270" s="33"/>
      <c r="E2270" s="60"/>
      <c r="F2270" s="18"/>
      <c r="G2270" s="18"/>
      <c r="H2270" s="49"/>
      <c r="I2270" s="49"/>
      <c r="M2270" s="53"/>
      <c r="O2270" s="69"/>
    </row>
    <row r="2271" spans="1:15" x14ac:dyDescent="0.25">
      <c r="A2271" s="21" t="str">
        <f>IF(C2271="","",COUNTA($C$3:C2271))</f>
        <v/>
      </c>
      <c r="B2271" s="35" t="str">
        <f t="shared" si="51"/>
        <v/>
      </c>
      <c r="C2271" s="33"/>
      <c r="E2271" s="60"/>
      <c r="F2271" s="18"/>
      <c r="G2271" s="18"/>
      <c r="H2271" s="49"/>
      <c r="I2271" s="49"/>
      <c r="M2271" s="53"/>
    </row>
    <row r="2272" spans="1:15" x14ac:dyDescent="0.25">
      <c r="A2272" s="21" t="str">
        <f>IF(C2272="","",COUNTA($C$3:C2272))</f>
        <v/>
      </c>
      <c r="B2272" s="35" t="str">
        <f t="shared" si="51"/>
        <v/>
      </c>
      <c r="C2272" s="33"/>
      <c r="E2272" s="60"/>
      <c r="F2272" s="18"/>
      <c r="G2272" s="18"/>
      <c r="H2272" s="49"/>
      <c r="I2272" s="49"/>
      <c r="M2272" s="53"/>
    </row>
    <row r="2273" spans="1:15" x14ac:dyDescent="0.25">
      <c r="A2273" s="21" t="str">
        <f>IF(C2273="","",COUNTA($C$3:C2273))</f>
        <v/>
      </c>
      <c r="B2273" s="35" t="str">
        <f t="shared" si="51"/>
        <v/>
      </c>
      <c r="C2273" s="33"/>
      <c r="E2273" s="60"/>
      <c r="F2273" s="18"/>
      <c r="G2273" s="18"/>
      <c r="H2273" s="49"/>
      <c r="I2273" s="49"/>
      <c r="M2273" s="53"/>
      <c r="N2273" s="59"/>
    </row>
    <row r="2274" spans="1:15" x14ac:dyDescent="0.25">
      <c r="A2274" s="21" t="str">
        <f>IF(C2274="","",COUNTA($C$3:C2274))</f>
        <v/>
      </c>
      <c r="B2274" s="35" t="str">
        <f t="shared" si="51"/>
        <v/>
      </c>
      <c r="C2274" s="33"/>
      <c r="E2274" s="60"/>
      <c r="F2274" s="18"/>
      <c r="G2274" s="18"/>
      <c r="H2274" s="49"/>
      <c r="I2274" s="49"/>
      <c r="M2274" s="53"/>
      <c r="N2274" s="59"/>
    </row>
    <row r="2275" spans="1:15" x14ac:dyDescent="0.25">
      <c r="A2275" s="21" t="str">
        <f>IF(C2275="","",COUNTA($C$3:C2275))</f>
        <v/>
      </c>
      <c r="B2275" s="35" t="str">
        <f t="shared" si="51"/>
        <v/>
      </c>
      <c r="C2275" s="33"/>
      <c r="E2275" s="60"/>
      <c r="F2275" s="18"/>
      <c r="G2275" s="18"/>
      <c r="H2275" s="49"/>
      <c r="I2275" s="49"/>
      <c r="M2275" s="53"/>
    </row>
    <row r="2276" spans="1:15" x14ac:dyDescent="0.25">
      <c r="A2276" s="21" t="str">
        <f>IF(C2276="","",COUNTA($C$3:C2276))</f>
        <v/>
      </c>
      <c r="B2276" s="35" t="str">
        <f t="shared" si="51"/>
        <v/>
      </c>
      <c r="C2276" s="33"/>
      <c r="E2276" s="60"/>
      <c r="F2276" s="18"/>
      <c r="G2276" s="18"/>
      <c r="H2276" s="49"/>
      <c r="I2276" s="49"/>
      <c r="M2276" s="53"/>
    </row>
    <row r="2277" spans="1:15" x14ac:dyDescent="0.25">
      <c r="A2277" s="21" t="str">
        <f>IF(C2277="","",COUNTA($C$3:C2277))</f>
        <v/>
      </c>
      <c r="B2277" s="35" t="str">
        <f t="shared" si="51"/>
        <v/>
      </c>
      <c r="C2277" s="33"/>
      <c r="E2277" s="60"/>
      <c r="F2277" s="18"/>
      <c r="G2277" s="18"/>
      <c r="H2277" s="49"/>
      <c r="I2277" s="49"/>
      <c r="M2277" s="53"/>
    </row>
    <row r="2278" spans="1:15" x14ac:dyDescent="0.25">
      <c r="A2278" s="21" t="str">
        <f>IF(C2278="","",COUNTA($C$3:C2278))</f>
        <v/>
      </c>
      <c r="B2278" s="35" t="str">
        <f t="shared" si="51"/>
        <v/>
      </c>
      <c r="C2278" s="33"/>
      <c r="E2278" s="60"/>
      <c r="F2278" s="18"/>
      <c r="G2278" s="18"/>
      <c r="H2278" s="49"/>
      <c r="I2278" s="49"/>
      <c r="M2278" s="53"/>
    </row>
    <row r="2279" spans="1:15" x14ac:dyDescent="0.25">
      <c r="A2279" s="21" t="str">
        <f>IF(C2279="","",COUNTA($C$3:C2279))</f>
        <v/>
      </c>
      <c r="B2279" s="35" t="str">
        <f t="shared" si="51"/>
        <v/>
      </c>
      <c r="C2279" s="33"/>
      <c r="E2279" s="60"/>
      <c r="F2279" s="18"/>
      <c r="G2279" s="18"/>
      <c r="H2279" s="49"/>
      <c r="I2279" s="49"/>
      <c r="M2279" s="53"/>
    </row>
    <row r="2280" spans="1:15" x14ac:dyDescent="0.25">
      <c r="A2280" s="21" t="str">
        <f>IF(C2280="","",COUNTA($C$3:C2280))</f>
        <v/>
      </c>
      <c r="B2280" s="35" t="str">
        <f t="shared" si="51"/>
        <v/>
      </c>
      <c r="C2280" s="33"/>
      <c r="E2280" s="60"/>
      <c r="F2280" s="18"/>
      <c r="G2280" s="18"/>
      <c r="H2280" s="49"/>
      <c r="I2280" s="49"/>
      <c r="M2280" s="53"/>
      <c r="N2280" s="59"/>
    </row>
    <row r="2281" spans="1:15" x14ac:dyDescent="0.25">
      <c r="A2281" s="21" t="str">
        <f>IF(C2281="","",COUNTA($C$3:C2281))</f>
        <v/>
      </c>
      <c r="B2281" s="35" t="str">
        <f t="shared" si="51"/>
        <v/>
      </c>
      <c r="C2281" s="33"/>
      <c r="E2281" s="60"/>
      <c r="F2281" s="18"/>
      <c r="G2281" s="18"/>
      <c r="H2281" s="49"/>
      <c r="I2281" s="49"/>
      <c r="M2281" s="53"/>
      <c r="N2281" s="71"/>
      <c r="O2281" s="69"/>
    </row>
    <row r="2282" spans="1:15" x14ac:dyDescent="0.25">
      <c r="A2282" s="21" t="str">
        <f>IF(C2282="","",COUNTA($C$3:C2282))</f>
        <v/>
      </c>
      <c r="B2282" s="35" t="str">
        <f t="shared" si="51"/>
        <v/>
      </c>
      <c r="C2282" s="33"/>
      <c r="E2282" s="60"/>
      <c r="F2282" s="18"/>
      <c r="G2282" s="18"/>
      <c r="H2282" s="49"/>
      <c r="I2282" s="49"/>
      <c r="M2282" s="53"/>
    </row>
    <row r="2283" spans="1:15" x14ac:dyDescent="0.25">
      <c r="A2283" s="21" t="str">
        <f>IF(C2283="","",COUNTA($C$3:C2283))</f>
        <v/>
      </c>
      <c r="B2283" s="35" t="str">
        <f t="shared" si="51"/>
        <v/>
      </c>
      <c r="C2283" s="33"/>
      <c r="E2283" s="60"/>
      <c r="F2283" s="18"/>
      <c r="G2283" s="18"/>
      <c r="H2283" s="49"/>
      <c r="I2283" s="49"/>
      <c r="M2283" s="53"/>
    </row>
    <row r="2284" spans="1:15" x14ac:dyDescent="0.25">
      <c r="A2284" s="21" t="str">
        <f>IF(C2284="","",COUNTA($C$3:C2284))</f>
        <v/>
      </c>
      <c r="B2284" s="35" t="str">
        <f t="shared" si="51"/>
        <v/>
      </c>
      <c r="C2284" s="33"/>
      <c r="E2284" s="60"/>
      <c r="F2284" s="18"/>
      <c r="G2284" s="18"/>
      <c r="H2284" s="49"/>
      <c r="I2284" s="49"/>
      <c r="M2284" s="53"/>
    </row>
    <row r="2285" spans="1:15" x14ac:dyDescent="0.25">
      <c r="A2285" s="21" t="str">
        <f>IF(C2285="","",COUNTA($C$3:C2285))</f>
        <v/>
      </c>
      <c r="B2285" s="35" t="str">
        <f t="shared" si="51"/>
        <v/>
      </c>
      <c r="C2285" s="33"/>
      <c r="E2285" s="60"/>
      <c r="F2285" s="18"/>
      <c r="G2285" s="18"/>
      <c r="H2285" s="49"/>
      <c r="I2285" s="49"/>
      <c r="M2285" s="53"/>
    </row>
    <row r="2286" spans="1:15" x14ac:dyDescent="0.25">
      <c r="A2286" s="21" t="str">
        <f>IF(C2286="","",COUNTA($C$3:C2286))</f>
        <v/>
      </c>
      <c r="B2286" s="35" t="str">
        <f t="shared" si="51"/>
        <v/>
      </c>
      <c r="C2286" s="33"/>
      <c r="E2286" s="60"/>
      <c r="F2286" s="18"/>
      <c r="G2286" s="18"/>
      <c r="H2286" s="49"/>
      <c r="I2286" s="49"/>
      <c r="M2286" s="53"/>
    </row>
    <row r="2287" spans="1:15" x14ac:dyDescent="0.25">
      <c r="A2287" s="21" t="str">
        <f>IF(C2287="","",COUNTA($C$3:C2287))</f>
        <v/>
      </c>
      <c r="B2287" s="35" t="str">
        <f t="shared" si="51"/>
        <v/>
      </c>
      <c r="C2287" s="33"/>
      <c r="E2287" s="60"/>
      <c r="F2287" s="18"/>
      <c r="G2287" s="18"/>
      <c r="H2287" s="49"/>
      <c r="I2287" s="49"/>
      <c r="M2287" s="53"/>
    </row>
    <row r="2288" spans="1:15" x14ac:dyDescent="0.25">
      <c r="A2288" s="21" t="str">
        <f>IF(C2288="","",COUNTA($C$3:C2288))</f>
        <v/>
      </c>
      <c r="B2288" s="35" t="str">
        <f t="shared" si="51"/>
        <v/>
      </c>
      <c r="C2288" s="33"/>
      <c r="E2288" s="60"/>
      <c r="F2288" s="18"/>
      <c r="G2288" s="18"/>
      <c r="H2288" s="49"/>
      <c r="I2288" s="49"/>
      <c r="M2288" s="53"/>
    </row>
    <row r="2289" spans="1:13" x14ac:dyDescent="0.25">
      <c r="A2289" s="21" t="str">
        <f>IF(C2289="","",COUNTA($C$3:C2289))</f>
        <v/>
      </c>
      <c r="B2289" s="35" t="str">
        <f t="shared" si="51"/>
        <v/>
      </c>
      <c r="C2289" s="33"/>
      <c r="E2289" s="60"/>
      <c r="F2289" s="18"/>
      <c r="G2289" s="18"/>
      <c r="H2289" s="49"/>
      <c r="I2289" s="49"/>
      <c r="M2289" s="53"/>
    </row>
    <row r="2290" spans="1:13" x14ac:dyDescent="0.25">
      <c r="A2290" s="21" t="str">
        <f>IF(C2290="","",COUNTA($C$3:C2290))</f>
        <v/>
      </c>
      <c r="B2290" s="35" t="str">
        <f t="shared" si="51"/>
        <v/>
      </c>
      <c r="C2290" s="33"/>
      <c r="E2290" s="60"/>
      <c r="F2290" s="18"/>
      <c r="G2290" s="18"/>
      <c r="H2290" s="49"/>
      <c r="I2290" s="49"/>
      <c r="M2290" s="53"/>
    </row>
    <row r="2291" spans="1:13" x14ac:dyDescent="0.25">
      <c r="A2291" s="21" t="str">
        <f>IF(C2291="","",COUNTA($C$3:C2291))</f>
        <v/>
      </c>
      <c r="B2291" s="35" t="str">
        <f t="shared" si="51"/>
        <v/>
      </c>
      <c r="C2291" s="33"/>
      <c r="E2291" s="60"/>
      <c r="F2291" s="18"/>
      <c r="G2291" s="18"/>
      <c r="H2291" s="49"/>
      <c r="I2291" s="49"/>
      <c r="M2291" s="53"/>
    </row>
    <row r="2292" spans="1:13" x14ac:dyDescent="0.25">
      <c r="A2292" s="21" t="str">
        <f>IF(C2292="","",COUNTA($C$3:C2292))</f>
        <v/>
      </c>
      <c r="B2292" s="35" t="str">
        <f t="shared" si="51"/>
        <v/>
      </c>
      <c r="C2292" s="33"/>
      <c r="E2292" s="60"/>
      <c r="F2292" s="18"/>
      <c r="G2292" s="18"/>
      <c r="H2292" s="49"/>
      <c r="I2292" s="49"/>
      <c r="M2292" s="53"/>
    </row>
    <row r="2293" spans="1:13" x14ac:dyDescent="0.25">
      <c r="A2293" s="21" t="str">
        <f>IF(C2293="","",COUNTA($C$3:C2293))</f>
        <v/>
      </c>
      <c r="B2293" s="35" t="str">
        <f t="shared" si="51"/>
        <v/>
      </c>
      <c r="C2293" s="33"/>
      <c r="E2293" s="60"/>
      <c r="F2293" s="18"/>
      <c r="G2293" s="18"/>
      <c r="H2293" s="49"/>
      <c r="I2293" s="49"/>
      <c r="M2293" s="53"/>
    </row>
    <row r="2294" spans="1:13" x14ac:dyDescent="0.25">
      <c r="A2294" s="21" t="str">
        <f>IF(C2294="","",COUNTA($C$3:C2294))</f>
        <v/>
      </c>
      <c r="B2294" s="35" t="str">
        <f t="shared" si="51"/>
        <v/>
      </c>
      <c r="C2294" s="33"/>
      <c r="E2294" s="60"/>
      <c r="F2294" s="18"/>
      <c r="G2294" s="18"/>
      <c r="H2294" s="49"/>
      <c r="I2294" s="49"/>
      <c r="M2294" s="53"/>
    </row>
    <row r="2295" spans="1:13" x14ac:dyDescent="0.25">
      <c r="A2295" s="21" t="str">
        <f>IF(C2295="","",COUNTA($C$3:C2295))</f>
        <v/>
      </c>
      <c r="B2295" s="35" t="str">
        <f t="shared" si="51"/>
        <v/>
      </c>
      <c r="C2295" s="33"/>
      <c r="E2295" s="60"/>
      <c r="F2295" s="18"/>
      <c r="G2295" s="18"/>
      <c r="H2295" s="49"/>
      <c r="I2295" s="49"/>
      <c r="M2295" s="53"/>
    </row>
    <row r="2296" spans="1:13" x14ac:dyDescent="0.25">
      <c r="A2296" s="21" t="str">
        <f>IF(C2296="","",COUNTA($C$3:C2296))</f>
        <v/>
      </c>
      <c r="B2296" s="35" t="str">
        <f t="shared" si="51"/>
        <v/>
      </c>
      <c r="C2296" s="33"/>
      <c r="E2296" s="60"/>
      <c r="F2296" s="18"/>
      <c r="G2296" s="18"/>
      <c r="H2296" s="49"/>
      <c r="I2296" s="49"/>
      <c r="M2296" s="53"/>
    </row>
    <row r="2297" spans="1:13" x14ac:dyDescent="0.25">
      <c r="A2297" s="21" t="str">
        <f>IF(C2297="","",COUNTA($C$3:C2297))</f>
        <v/>
      </c>
      <c r="B2297" s="35" t="str">
        <f t="shared" si="51"/>
        <v/>
      </c>
      <c r="C2297" s="33"/>
      <c r="E2297" s="60"/>
      <c r="F2297" s="18"/>
      <c r="G2297" s="18"/>
      <c r="H2297" s="49"/>
      <c r="I2297" s="49"/>
      <c r="M2297" s="53"/>
    </row>
    <row r="2298" spans="1:13" x14ac:dyDescent="0.25">
      <c r="A2298" s="21" t="str">
        <f>IF(C2298="","",COUNTA($C$3:C2298))</f>
        <v/>
      </c>
      <c r="B2298" s="35" t="str">
        <f t="shared" si="51"/>
        <v/>
      </c>
      <c r="C2298" s="33"/>
      <c r="E2298" s="60"/>
      <c r="F2298" s="18"/>
      <c r="G2298" s="18"/>
      <c r="H2298" s="49"/>
      <c r="I2298" s="49"/>
      <c r="M2298" s="53"/>
    </row>
    <row r="2299" spans="1:13" x14ac:dyDescent="0.25">
      <c r="A2299" s="21" t="str">
        <f>IF(C2299="","",COUNTA($C$3:C2299))</f>
        <v/>
      </c>
      <c r="B2299" s="35" t="str">
        <f t="shared" si="51"/>
        <v/>
      </c>
      <c r="C2299" s="33"/>
      <c r="E2299" s="60"/>
      <c r="F2299" s="18"/>
      <c r="G2299" s="18"/>
      <c r="H2299" s="49"/>
      <c r="I2299" s="49"/>
      <c r="M2299" s="53"/>
    </row>
    <row r="2300" spans="1:13" x14ac:dyDescent="0.25">
      <c r="A2300" s="21" t="str">
        <f>IF(C2300="","",COUNTA($C$3:C2300))</f>
        <v/>
      </c>
      <c r="B2300" s="35" t="str">
        <f t="shared" si="51"/>
        <v/>
      </c>
      <c r="C2300" s="33"/>
      <c r="E2300" s="60"/>
      <c r="F2300" s="18"/>
      <c r="G2300" s="18"/>
      <c r="H2300" s="49"/>
      <c r="I2300" s="49"/>
      <c r="M2300" s="53"/>
    </row>
    <row r="2301" spans="1:13" x14ac:dyDescent="0.25">
      <c r="A2301" s="21" t="str">
        <f>IF(C2301="","",COUNTA($C$3:C2301))</f>
        <v/>
      </c>
      <c r="B2301" s="35" t="str">
        <f t="shared" si="51"/>
        <v/>
      </c>
      <c r="C2301" s="33"/>
      <c r="E2301" s="60"/>
      <c r="F2301" s="18"/>
      <c r="G2301" s="18"/>
      <c r="H2301" s="49"/>
      <c r="I2301" s="49"/>
      <c r="M2301" s="53"/>
    </row>
    <row r="2302" spans="1:13" x14ac:dyDescent="0.25">
      <c r="A2302" s="21" t="str">
        <f>IF(C2302="","",COUNTA($C$3:C2302))</f>
        <v/>
      </c>
      <c r="B2302" s="35" t="str">
        <f t="shared" si="51"/>
        <v/>
      </c>
      <c r="C2302" s="33"/>
      <c r="E2302" s="60"/>
      <c r="F2302" s="18"/>
      <c r="G2302" s="18"/>
      <c r="H2302" s="49"/>
      <c r="I2302" s="49"/>
      <c r="M2302" s="53"/>
    </row>
    <row r="2303" spans="1:13" x14ac:dyDescent="0.25">
      <c r="A2303" s="21" t="str">
        <f>IF(C2303="","",COUNTA($C$3:C2303))</f>
        <v/>
      </c>
      <c r="B2303" s="35" t="str">
        <f t="shared" si="51"/>
        <v/>
      </c>
      <c r="C2303" s="33"/>
      <c r="E2303" s="60"/>
      <c r="F2303" s="18"/>
      <c r="G2303" s="18"/>
      <c r="H2303" s="49"/>
      <c r="I2303" s="49"/>
      <c r="M2303" s="53"/>
    </row>
    <row r="2304" spans="1:13" x14ac:dyDescent="0.25">
      <c r="A2304" s="21" t="str">
        <f>IF(C2304="","",COUNTA($C$3:C2304))</f>
        <v/>
      </c>
      <c r="B2304" s="35" t="str">
        <f t="shared" si="51"/>
        <v/>
      </c>
      <c r="C2304" s="33"/>
      <c r="E2304" s="60"/>
      <c r="F2304" s="18"/>
      <c r="G2304" s="18"/>
      <c r="H2304" s="49"/>
      <c r="I2304" s="49"/>
      <c r="M2304" s="53"/>
    </row>
    <row r="2305" spans="1:13" x14ac:dyDescent="0.25">
      <c r="A2305" s="21" t="str">
        <f>IF(C2305="","",COUNTA($C$3:C2305))</f>
        <v/>
      </c>
      <c r="B2305" s="35" t="str">
        <f t="shared" si="51"/>
        <v/>
      </c>
      <c r="C2305" s="33"/>
      <c r="E2305" s="60"/>
      <c r="F2305" s="18"/>
      <c r="G2305" s="18"/>
      <c r="H2305" s="49"/>
      <c r="I2305" s="49"/>
      <c r="M2305" s="53"/>
    </row>
    <row r="2306" spans="1:13" x14ac:dyDescent="0.25">
      <c r="A2306" s="21" t="str">
        <f>IF(C2306="","",COUNTA($C$3:C2306))</f>
        <v/>
      </c>
      <c r="B2306" s="35" t="str">
        <f t="shared" si="51"/>
        <v/>
      </c>
      <c r="C2306" s="33"/>
      <c r="E2306" s="60"/>
      <c r="F2306" s="18"/>
      <c r="G2306" s="18"/>
      <c r="H2306" s="49"/>
      <c r="I2306" s="49"/>
      <c r="M2306" s="53"/>
    </row>
    <row r="2307" spans="1:13" x14ac:dyDescent="0.25">
      <c r="A2307" s="21" t="str">
        <f>IF(C2307="","",COUNTA($C$3:C2307))</f>
        <v/>
      </c>
      <c r="B2307" s="35" t="str">
        <f t="shared" si="51"/>
        <v/>
      </c>
      <c r="C2307" s="33"/>
      <c r="E2307" s="60"/>
      <c r="F2307" s="18"/>
      <c r="G2307" s="18"/>
      <c r="H2307" s="49"/>
      <c r="I2307" s="49"/>
      <c r="M2307" s="53"/>
    </row>
    <row r="2308" spans="1:13" x14ac:dyDescent="0.25">
      <c r="A2308" s="21" t="str">
        <f>IF(C2308="","",COUNTA($C$3:C2308))</f>
        <v/>
      </c>
      <c r="B2308" s="35" t="str">
        <f t="shared" si="51"/>
        <v/>
      </c>
      <c r="C2308" s="33"/>
      <c r="E2308" s="60"/>
      <c r="F2308" s="18"/>
      <c r="G2308" s="18"/>
      <c r="H2308" s="49"/>
      <c r="I2308" s="49"/>
      <c r="M2308" s="53"/>
    </row>
    <row r="2309" spans="1:13" x14ac:dyDescent="0.25">
      <c r="A2309" s="21" t="str">
        <f>IF(C2309="","",COUNTA($C$3:C2309))</f>
        <v/>
      </c>
      <c r="B2309" s="35" t="str">
        <f t="shared" ref="B2309:B2372" si="52">IF(C2309="","",TEXT(C2309,"mmmm"))</f>
        <v/>
      </c>
      <c r="C2309" s="33"/>
      <c r="E2309" s="60"/>
      <c r="F2309" s="18"/>
      <c r="G2309" s="18"/>
      <c r="H2309" s="49"/>
      <c r="I2309" s="76"/>
      <c r="M2309" s="53"/>
    </row>
    <row r="2310" spans="1:13" x14ac:dyDescent="0.25">
      <c r="A2310" s="21" t="str">
        <f>IF(C2310="","",COUNTA($C$3:C2310))</f>
        <v/>
      </c>
      <c r="B2310" s="35" t="str">
        <f t="shared" si="52"/>
        <v/>
      </c>
      <c r="C2310" s="33"/>
      <c r="E2310" s="60"/>
      <c r="F2310" s="18"/>
      <c r="G2310" s="18"/>
      <c r="H2310" s="49"/>
      <c r="I2310" s="49"/>
      <c r="M2310" s="53"/>
    </row>
    <row r="2311" spans="1:13" x14ac:dyDescent="0.25">
      <c r="A2311" s="21" t="str">
        <f>IF(C2311="","",COUNTA($C$3:C2311))</f>
        <v/>
      </c>
      <c r="B2311" s="35" t="str">
        <f t="shared" si="52"/>
        <v/>
      </c>
      <c r="C2311" s="33"/>
      <c r="E2311" s="60"/>
      <c r="F2311" s="18"/>
      <c r="G2311" s="18"/>
      <c r="H2311" s="49"/>
      <c r="I2311" s="49"/>
      <c r="M2311" s="53"/>
    </row>
    <row r="2312" spans="1:13" x14ac:dyDescent="0.25">
      <c r="A2312" s="21" t="str">
        <f>IF(C2312="","",COUNTA($C$3:C2312))</f>
        <v/>
      </c>
      <c r="B2312" s="35" t="str">
        <f t="shared" si="52"/>
        <v/>
      </c>
      <c r="C2312" s="33"/>
      <c r="E2312" s="60"/>
      <c r="F2312" s="18"/>
      <c r="G2312" s="18"/>
      <c r="H2312" s="49"/>
      <c r="I2312" s="49"/>
      <c r="M2312" s="53"/>
    </row>
    <row r="2313" spans="1:13" x14ac:dyDescent="0.25">
      <c r="A2313" s="21" t="str">
        <f>IF(C2313="","",COUNTA($C$3:C2313))</f>
        <v/>
      </c>
      <c r="B2313" s="35" t="str">
        <f t="shared" si="52"/>
        <v/>
      </c>
      <c r="C2313" s="33"/>
      <c r="E2313" s="60"/>
      <c r="F2313" s="18"/>
      <c r="G2313" s="18"/>
      <c r="H2313" s="49"/>
      <c r="I2313" s="49"/>
      <c r="M2313" s="53"/>
    </row>
    <row r="2314" spans="1:13" x14ac:dyDescent="0.25">
      <c r="A2314" s="21" t="str">
        <f>IF(C2314="","",COUNTA($C$3:C2314))</f>
        <v/>
      </c>
      <c r="B2314" s="35" t="str">
        <f t="shared" si="52"/>
        <v/>
      </c>
      <c r="C2314" s="33"/>
      <c r="E2314" s="60"/>
      <c r="F2314" s="18"/>
      <c r="G2314" s="18"/>
      <c r="H2314" s="49"/>
      <c r="I2314" s="49"/>
      <c r="M2314" s="53"/>
    </row>
    <row r="2315" spans="1:13" x14ac:dyDescent="0.25">
      <c r="A2315" s="21" t="str">
        <f>IF(C2315="","",COUNTA($C$3:C2315))</f>
        <v/>
      </c>
      <c r="B2315" s="35" t="str">
        <f t="shared" si="52"/>
        <v/>
      </c>
      <c r="C2315" s="33"/>
      <c r="E2315" s="60"/>
      <c r="F2315" s="18"/>
      <c r="G2315" s="18"/>
      <c r="H2315" s="49"/>
      <c r="I2315" s="49"/>
      <c r="M2315" s="53"/>
    </row>
    <row r="2316" spans="1:13" x14ac:dyDescent="0.25">
      <c r="A2316" s="21" t="str">
        <f>IF(C2316="","",COUNTA($C$3:C2316))</f>
        <v/>
      </c>
      <c r="B2316" s="35" t="str">
        <f t="shared" si="52"/>
        <v/>
      </c>
      <c r="C2316" s="33"/>
      <c r="E2316" s="60"/>
      <c r="F2316" s="18"/>
      <c r="G2316" s="18"/>
      <c r="H2316" s="49"/>
      <c r="I2316" s="49"/>
      <c r="M2316" s="53"/>
    </row>
    <row r="2317" spans="1:13" x14ac:dyDescent="0.25">
      <c r="A2317" s="21" t="str">
        <f>IF(C2317="","",COUNTA($C$3:C2317))</f>
        <v/>
      </c>
      <c r="B2317" s="35" t="str">
        <f t="shared" si="52"/>
        <v/>
      </c>
      <c r="C2317" s="33"/>
      <c r="E2317" s="60"/>
      <c r="F2317" s="18"/>
      <c r="G2317" s="18"/>
      <c r="H2317" s="49"/>
      <c r="I2317" s="49"/>
      <c r="M2317" s="53"/>
    </row>
    <row r="2318" spans="1:13" x14ac:dyDescent="0.25">
      <c r="A2318" s="21" t="str">
        <f>IF(C2318="","",COUNTA($C$3:C2318))</f>
        <v/>
      </c>
      <c r="B2318" s="35" t="str">
        <f t="shared" si="52"/>
        <v/>
      </c>
      <c r="C2318" s="33"/>
      <c r="E2318" s="60"/>
      <c r="F2318" s="18"/>
      <c r="G2318" s="18"/>
      <c r="H2318" s="49"/>
      <c r="I2318" s="49"/>
      <c r="M2318" s="53"/>
    </row>
    <row r="2319" spans="1:13" x14ac:dyDescent="0.25">
      <c r="A2319" s="21" t="str">
        <f>IF(C2319="","",COUNTA($C$3:C2319))</f>
        <v/>
      </c>
      <c r="B2319" s="35" t="str">
        <f t="shared" si="52"/>
        <v/>
      </c>
      <c r="C2319" s="33"/>
      <c r="E2319" s="60"/>
      <c r="F2319" s="18"/>
      <c r="G2319" s="18"/>
      <c r="H2319" s="49"/>
      <c r="I2319" s="49"/>
      <c r="M2319" s="53"/>
    </row>
    <row r="2320" spans="1:13" x14ac:dyDescent="0.25">
      <c r="A2320" s="21" t="str">
        <f>IF(C2320="","",COUNTA($C$3:C2320))</f>
        <v/>
      </c>
      <c r="B2320" s="35" t="str">
        <f t="shared" si="52"/>
        <v/>
      </c>
      <c r="C2320" s="33"/>
      <c r="E2320" s="60"/>
      <c r="F2320" s="18"/>
      <c r="G2320" s="18"/>
      <c r="H2320" s="49"/>
      <c r="I2320" s="49"/>
      <c r="M2320" s="53"/>
    </row>
    <row r="2321" spans="1:15" x14ac:dyDescent="0.25">
      <c r="A2321" s="21" t="str">
        <f>IF(C2321="","",COUNTA($C$3:C2321))</f>
        <v/>
      </c>
      <c r="B2321" s="35" t="str">
        <f t="shared" si="52"/>
        <v/>
      </c>
      <c r="C2321" s="33"/>
      <c r="E2321" s="60"/>
      <c r="F2321" s="18"/>
      <c r="G2321" s="18"/>
      <c r="H2321" s="49"/>
      <c r="I2321" s="49"/>
      <c r="M2321" s="53"/>
    </row>
    <row r="2322" spans="1:15" x14ac:dyDescent="0.25">
      <c r="A2322" s="21" t="str">
        <f>IF(C2322="","",COUNTA($C$3:C2322))</f>
        <v/>
      </c>
      <c r="B2322" s="35" t="str">
        <f t="shared" si="52"/>
        <v/>
      </c>
      <c r="C2322" s="33"/>
      <c r="E2322" s="60"/>
      <c r="F2322" s="18"/>
      <c r="G2322" s="18"/>
      <c r="H2322" s="49"/>
      <c r="I2322" s="49"/>
      <c r="M2322" s="53"/>
    </row>
    <row r="2323" spans="1:15" x14ac:dyDescent="0.25">
      <c r="A2323" s="21" t="str">
        <f>IF(C2323="","",COUNTA($C$3:C2323))</f>
        <v/>
      </c>
      <c r="B2323" s="35" t="str">
        <f t="shared" si="52"/>
        <v/>
      </c>
      <c r="C2323" s="33"/>
      <c r="E2323" s="60"/>
      <c r="F2323" s="18"/>
      <c r="G2323" s="18"/>
      <c r="H2323" s="49"/>
      <c r="I2323" s="49"/>
      <c r="M2323" s="53"/>
    </row>
    <row r="2324" spans="1:15" x14ac:dyDescent="0.25">
      <c r="A2324" s="21" t="str">
        <f>IF(C2324="","",COUNTA($C$3:C2324))</f>
        <v/>
      </c>
      <c r="B2324" s="35" t="str">
        <f t="shared" si="52"/>
        <v/>
      </c>
      <c r="C2324" s="33"/>
      <c r="E2324" s="60"/>
      <c r="F2324" s="18"/>
      <c r="G2324" s="18"/>
      <c r="H2324" s="49"/>
      <c r="I2324" s="49"/>
      <c r="M2324" s="53"/>
    </row>
    <row r="2325" spans="1:15" x14ac:dyDescent="0.25">
      <c r="A2325" s="21" t="str">
        <f>IF(C2325="","",COUNTA($C$3:C2325))</f>
        <v/>
      </c>
      <c r="B2325" s="35" t="str">
        <f t="shared" si="52"/>
        <v/>
      </c>
      <c r="C2325" s="33"/>
      <c r="E2325" s="60"/>
      <c r="F2325" s="18"/>
      <c r="G2325" s="18"/>
      <c r="H2325" s="49"/>
      <c r="I2325" s="49"/>
      <c r="M2325" s="53"/>
      <c r="O2325" s="59"/>
    </row>
    <row r="2326" spans="1:15" x14ac:dyDescent="0.25">
      <c r="A2326" s="21" t="str">
        <f>IF(C2326="","",COUNTA($C$3:C2326))</f>
        <v/>
      </c>
      <c r="B2326" s="35" t="str">
        <f t="shared" si="52"/>
        <v/>
      </c>
      <c r="C2326" s="33"/>
      <c r="E2326" s="60"/>
      <c r="F2326" s="18"/>
      <c r="G2326" s="18"/>
      <c r="H2326" s="49"/>
      <c r="I2326" s="49"/>
      <c r="M2326" s="53"/>
      <c r="O2326" s="59"/>
    </row>
    <row r="2327" spans="1:15" x14ac:dyDescent="0.25">
      <c r="A2327" s="21" t="str">
        <f>IF(C2327="","",COUNTA($C$3:C2327))</f>
        <v/>
      </c>
      <c r="B2327" s="35" t="str">
        <f t="shared" si="52"/>
        <v/>
      </c>
      <c r="C2327" s="33"/>
      <c r="E2327" s="60"/>
      <c r="F2327" s="18"/>
      <c r="G2327" s="18"/>
      <c r="H2327" s="49"/>
      <c r="I2327" s="49"/>
      <c r="M2327" s="53"/>
      <c r="O2327" s="59"/>
    </row>
    <row r="2328" spans="1:15" x14ac:dyDescent="0.25">
      <c r="A2328" s="21" t="str">
        <f>IF(C2328="","",COUNTA($C$3:C2328))</f>
        <v/>
      </c>
      <c r="B2328" s="35" t="str">
        <f t="shared" si="52"/>
        <v/>
      </c>
      <c r="C2328" s="33"/>
      <c r="E2328" s="60"/>
      <c r="F2328" s="18"/>
      <c r="G2328" s="18"/>
      <c r="H2328" s="49"/>
      <c r="I2328" s="49"/>
      <c r="M2328" s="53"/>
      <c r="O2328" s="59"/>
    </row>
    <row r="2329" spans="1:15" x14ac:dyDescent="0.25">
      <c r="A2329" s="21" t="str">
        <f>IF(C2329="","",COUNTA($C$3:C2329))</f>
        <v/>
      </c>
      <c r="B2329" s="35" t="str">
        <f t="shared" si="52"/>
        <v/>
      </c>
      <c r="C2329" s="33"/>
      <c r="E2329" s="60"/>
      <c r="F2329" s="18"/>
      <c r="G2329" s="18"/>
      <c r="H2329" s="49"/>
      <c r="I2329" s="49"/>
      <c r="M2329" s="53"/>
      <c r="O2329" s="69"/>
    </row>
    <row r="2330" spans="1:15" x14ac:dyDescent="0.25">
      <c r="A2330" s="21" t="str">
        <f>IF(C2330="","",COUNTA($C$3:C2330))</f>
        <v/>
      </c>
      <c r="B2330" s="35" t="str">
        <f t="shared" si="52"/>
        <v/>
      </c>
      <c r="C2330" s="33"/>
      <c r="E2330" s="60"/>
      <c r="F2330" s="18"/>
      <c r="G2330" s="18"/>
      <c r="H2330" s="49"/>
      <c r="I2330" s="49"/>
      <c r="L2330" s="78"/>
      <c r="M2330" s="53"/>
    </row>
    <row r="2331" spans="1:15" x14ac:dyDescent="0.25">
      <c r="A2331" s="21" t="str">
        <f>IF(C2331="","",COUNTA($C$3:C2331))</f>
        <v/>
      </c>
      <c r="B2331" s="35" t="str">
        <f t="shared" si="52"/>
        <v/>
      </c>
      <c r="C2331" s="33"/>
      <c r="E2331" s="60"/>
      <c r="F2331" s="18"/>
      <c r="G2331" s="18"/>
      <c r="H2331" s="49"/>
      <c r="I2331" s="49"/>
      <c r="L2331" s="62"/>
      <c r="M2331" s="53"/>
    </row>
    <row r="2332" spans="1:15" x14ac:dyDescent="0.25">
      <c r="A2332" s="21" t="str">
        <f>IF(C2332="","",COUNTA($C$3:C2332))</f>
        <v/>
      </c>
      <c r="B2332" s="35" t="str">
        <f t="shared" si="52"/>
        <v/>
      </c>
      <c r="C2332" s="33"/>
      <c r="E2332" s="60"/>
      <c r="F2332" s="18"/>
      <c r="G2332" s="18"/>
      <c r="H2332" s="49"/>
      <c r="I2332" s="49"/>
      <c r="L2332" s="62"/>
      <c r="M2332" s="53"/>
    </row>
    <row r="2333" spans="1:15" x14ac:dyDescent="0.25">
      <c r="A2333" s="21" t="str">
        <f>IF(C2333="","",COUNTA($C$3:C2333))</f>
        <v/>
      </c>
      <c r="B2333" s="35" t="str">
        <f t="shared" si="52"/>
        <v/>
      </c>
      <c r="C2333" s="33"/>
      <c r="E2333" s="60"/>
      <c r="F2333" s="18"/>
      <c r="G2333" s="18"/>
      <c r="H2333" s="49"/>
      <c r="I2333" s="49"/>
      <c r="L2333" s="62"/>
      <c r="M2333" s="53"/>
    </row>
    <row r="2334" spans="1:15" x14ac:dyDescent="0.25">
      <c r="A2334" s="21" t="str">
        <f>IF(C2334="","",COUNTA($C$3:C2334))</f>
        <v/>
      </c>
      <c r="B2334" s="35" t="str">
        <f t="shared" si="52"/>
        <v/>
      </c>
      <c r="C2334" s="33"/>
      <c r="E2334" s="60"/>
      <c r="F2334" s="18"/>
      <c r="G2334" s="18"/>
      <c r="H2334" s="49"/>
      <c r="I2334" s="49"/>
      <c r="L2334" s="62"/>
      <c r="M2334" s="53"/>
    </row>
    <row r="2335" spans="1:15" x14ac:dyDescent="0.25">
      <c r="A2335" s="21" t="str">
        <f>IF(C2335="","",COUNTA($C$3:C2335))</f>
        <v/>
      </c>
      <c r="B2335" s="35" t="str">
        <f t="shared" si="52"/>
        <v/>
      </c>
      <c r="C2335" s="33"/>
      <c r="E2335" s="60"/>
      <c r="F2335" s="18"/>
      <c r="G2335" s="18"/>
      <c r="H2335" s="49"/>
      <c r="I2335" s="49"/>
      <c r="L2335" s="62"/>
      <c r="M2335" s="53"/>
    </row>
    <row r="2336" spans="1:15" x14ac:dyDescent="0.25">
      <c r="A2336" s="21" t="str">
        <f>IF(C2336="","",COUNTA($C$3:C2336))</f>
        <v/>
      </c>
      <c r="B2336" s="35" t="str">
        <f t="shared" si="52"/>
        <v/>
      </c>
      <c r="C2336" s="33"/>
      <c r="E2336" s="60"/>
      <c r="F2336" s="18"/>
      <c r="G2336" s="18"/>
      <c r="H2336" s="49"/>
      <c r="I2336" s="49"/>
      <c r="L2336" s="62"/>
      <c r="M2336" s="53"/>
    </row>
    <row r="2337" spans="1:17" x14ac:dyDescent="0.25">
      <c r="A2337" s="21" t="str">
        <f>IF(C2337="","",COUNTA($C$3:C2337))</f>
        <v/>
      </c>
      <c r="B2337" s="35" t="str">
        <f t="shared" si="52"/>
        <v/>
      </c>
      <c r="C2337" s="33"/>
      <c r="E2337" s="60"/>
      <c r="F2337" s="18"/>
      <c r="G2337" s="18"/>
      <c r="H2337" s="49"/>
      <c r="I2337" s="49"/>
      <c r="L2337" s="62"/>
      <c r="M2337" s="53"/>
    </row>
    <row r="2338" spans="1:17" x14ac:dyDescent="0.25">
      <c r="A2338" s="21" t="str">
        <f>IF(C2338="","",COUNTA($C$3:C2338))</f>
        <v/>
      </c>
      <c r="B2338" s="35" t="str">
        <f t="shared" si="52"/>
        <v/>
      </c>
      <c r="C2338" s="33"/>
      <c r="E2338" s="60"/>
      <c r="F2338" s="18"/>
      <c r="G2338" s="18"/>
      <c r="H2338" s="49"/>
      <c r="I2338" s="49"/>
      <c r="L2338" s="62"/>
      <c r="M2338" s="53"/>
    </row>
    <row r="2339" spans="1:17" x14ac:dyDescent="0.25">
      <c r="A2339" s="21" t="str">
        <f>IF(C2339="","",COUNTA($C$3:C2339))</f>
        <v/>
      </c>
      <c r="B2339" s="35" t="str">
        <f t="shared" si="52"/>
        <v/>
      </c>
      <c r="C2339" s="33"/>
      <c r="E2339" s="60"/>
      <c r="F2339" s="18"/>
      <c r="G2339" s="18"/>
      <c r="H2339" s="49"/>
      <c r="I2339" s="49"/>
      <c r="M2339" s="53"/>
      <c r="O2339" s="59"/>
      <c r="P2339" s="112"/>
      <c r="Q2339" s="59"/>
    </row>
    <row r="2340" spans="1:17" x14ac:dyDescent="0.25">
      <c r="A2340" s="21" t="str">
        <f>IF(C2340="","",COUNTA($C$3:C2340))</f>
        <v/>
      </c>
      <c r="B2340" s="35" t="str">
        <f t="shared" si="52"/>
        <v/>
      </c>
      <c r="C2340" s="33"/>
      <c r="E2340" s="60"/>
      <c r="F2340" s="18"/>
      <c r="G2340" s="18"/>
      <c r="H2340" s="49"/>
      <c r="I2340" s="49"/>
      <c r="M2340" s="53"/>
    </row>
    <row r="2341" spans="1:17" x14ac:dyDescent="0.25">
      <c r="A2341" s="21" t="str">
        <f>IF(C2341="","",COUNTA($C$3:C2341))</f>
        <v/>
      </c>
      <c r="B2341" s="35" t="str">
        <f t="shared" si="52"/>
        <v/>
      </c>
      <c r="C2341" s="33"/>
      <c r="E2341" s="60"/>
      <c r="F2341" s="18"/>
      <c r="G2341" s="18"/>
      <c r="H2341" s="49"/>
      <c r="I2341" s="49"/>
      <c r="M2341" s="53"/>
      <c r="O2341" s="59"/>
    </row>
    <row r="2342" spans="1:17" x14ac:dyDescent="0.25">
      <c r="A2342" s="21" t="str">
        <f>IF(C2342="","",COUNTA($C$3:C2342))</f>
        <v/>
      </c>
      <c r="B2342" s="35" t="str">
        <f t="shared" si="52"/>
        <v/>
      </c>
      <c r="C2342" s="33"/>
      <c r="E2342" s="60"/>
      <c r="F2342" s="18"/>
      <c r="G2342" s="18"/>
      <c r="H2342" s="49"/>
      <c r="I2342" s="49"/>
      <c r="K2342" s="55"/>
      <c r="M2342" s="53"/>
      <c r="O2342" s="59"/>
    </row>
    <row r="2343" spans="1:17" x14ac:dyDescent="0.25">
      <c r="A2343" s="21" t="str">
        <f>IF(C2343="","",COUNTA($C$3:C2343))</f>
        <v/>
      </c>
      <c r="B2343" s="35" t="str">
        <f t="shared" si="52"/>
        <v/>
      </c>
      <c r="C2343" s="33"/>
      <c r="E2343" s="60"/>
      <c r="F2343" s="18"/>
      <c r="G2343" s="18"/>
      <c r="H2343" s="49"/>
      <c r="I2343" s="49"/>
      <c r="M2343" s="53"/>
      <c r="O2343" s="59"/>
    </row>
    <row r="2344" spans="1:17" x14ac:dyDescent="0.25">
      <c r="A2344" s="21" t="str">
        <f>IF(C2344="","",COUNTA($C$3:C2344))</f>
        <v/>
      </c>
      <c r="B2344" s="35" t="str">
        <f t="shared" si="52"/>
        <v/>
      </c>
      <c r="C2344" s="33"/>
      <c r="E2344" s="60"/>
      <c r="F2344" s="18"/>
      <c r="G2344" s="18"/>
      <c r="H2344" s="49"/>
      <c r="I2344" s="49"/>
      <c r="M2344" s="53"/>
      <c r="O2344" s="59"/>
    </row>
    <row r="2345" spans="1:17" x14ac:dyDescent="0.25">
      <c r="A2345" s="21" t="str">
        <f>IF(C2345="","",COUNTA($C$3:C2345))</f>
        <v/>
      </c>
      <c r="B2345" s="35" t="str">
        <f t="shared" si="52"/>
        <v/>
      </c>
      <c r="C2345" s="33"/>
      <c r="E2345" s="60"/>
      <c r="F2345" s="18"/>
      <c r="G2345" s="18"/>
      <c r="H2345" s="49"/>
      <c r="I2345" s="49"/>
      <c r="M2345" s="53"/>
      <c r="O2345" s="59"/>
    </row>
    <row r="2346" spans="1:17" x14ac:dyDescent="0.25">
      <c r="A2346" s="21" t="str">
        <f>IF(C2346="","",COUNTA($C$3:C2346))</f>
        <v/>
      </c>
      <c r="B2346" s="35" t="str">
        <f t="shared" si="52"/>
        <v/>
      </c>
      <c r="C2346" s="33"/>
      <c r="E2346" s="60"/>
      <c r="F2346" s="18"/>
      <c r="G2346" s="18"/>
      <c r="H2346" s="49"/>
      <c r="I2346" s="49"/>
      <c r="K2346" s="55"/>
      <c r="M2346" s="53"/>
      <c r="O2346" s="59"/>
    </row>
    <row r="2347" spans="1:17" x14ac:dyDescent="0.25">
      <c r="A2347" s="21" t="str">
        <f>IF(C2347="","",COUNTA($C$3:C2347))</f>
        <v/>
      </c>
      <c r="B2347" s="35" t="str">
        <f t="shared" si="52"/>
        <v/>
      </c>
      <c r="C2347" s="33"/>
      <c r="E2347" s="60"/>
      <c r="F2347" s="18"/>
      <c r="G2347" s="18"/>
      <c r="H2347" s="49"/>
      <c r="I2347" s="49"/>
      <c r="M2347" s="53"/>
      <c r="O2347" s="59"/>
    </row>
    <row r="2348" spans="1:17" x14ac:dyDescent="0.25">
      <c r="A2348" s="21" t="str">
        <f>IF(C2348="","",COUNTA($C$3:C2348))</f>
        <v/>
      </c>
      <c r="B2348" s="35" t="str">
        <f t="shared" si="52"/>
        <v/>
      </c>
      <c r="C2348" s="33"/>
      <c r="E2348" s="60"/>
      <c r="F2348" s="18"/>
      <c r="G2348" s="18"/>
      <c r="H2348" s="49"/>
      <c r="I2348" s="49"/>
      <c r="M2348" s="53"/>
    </row>
    <row r="2349" spans="1:17" x14ac:dyDescent="0.25">
      <c r="A2349" s="21" t="str">
        <f>IF(C2349="","",COUNTA($C$3:C2349))</f>
        <v/>
      </c>
      <c r="B2349" s="35" t="str">
        <f t="shared" si="52"/>
        <v/>
      </c>
      <c r="C2349" s="33"/>
      <c r="E2349" s="60"/>
      <c r="F2349" s="18"/>
      <c r="G2349" s="18"/>
      <c r="H2349" s="49"/>
      <c r="I2349" s="49"/>
      <c r="M2349" s="53"/>
    </row>
    <row r="2350" spans="1:17" x14ac:dyDescent="0.25">
      <c r="A2350" s="21" t="str">
        <f>IF(C2350="","",COUNTA($C$3:C2350))</f>
        <v/>
      </c>
      <c r="B2350" s="35" t="str">
        <f t="shared" si="52"/>
        <v/>
      </c>
      <c r="C2350" s="33"/>
      <c r="E2350" s="60"/>
      <c r="F2350" s="18"/>
      <c r="G2350" s="18"/>
      <c r="H2350" s="49"/>
      <c r="I2350" s="49"/>
      <c r="M2350" s="53"/>
    </row>
    <row r="2351" spans="1:17" x14ac:dyDescent="0.25">
      <c r="A2351" s="21" t="str">
        <f>IF(C2351="","",COUNTA($C$3:C2351))</f>
        <v/>
      </c>
      <c r="B2351" s="35" t="str">
        <f t="shared" si="52"/>
        <v/>
      </c>
      <c r="C2351" s="33"/>
      <c r="E2351" s="60"/>
      <c r="F2351" s="18"/>
      <c r="G2351" s="18"/>
      <c r="H2351" s="49"/>
      <c r="I2351" s="49"/>
      <c r="M2351" s="53"/>
    </row>
    <row r="2352" spans="1:17" x14ac:dyDescent="0.25">
      <c r="A2352" s="21" t="str">
        <f>IF(C2352="","",COUNTA($C$3:C2352))</f>
        <v/>
      </c>
      <c r="B2352" s="35" t="str">
        <f t="shared" si="52"/>
        <v/>
      </c>
      <c r="C2352" s="33"/>
      <c r="E2352" s="60"/>
      <c r="F2352" s="18"/>
      <c r="G2352" s="18"/>
      <c r="H2352" s="49"/>
      <c r="I2352" s="49"/>
      <c r="M2352" s="53"/>
    </row>
    <row r="2353" spans="1:17" x14ac:dyDescent="0.25">
      <c r="A2353" s="21" t="str">
        <f>IF(C2353="","",COUNTA($C$3:C2353))</f>
        <v/>
      </c>
      <c r="B2353" s="35" t="str">
        <f t="shared" si="52"/>
        <v/>
      </c>
      <c r="C2353" s="33"/>
      <c r="E2353" s="60"/>
      <c r="F2353" s="18"/>
      <c r="G2353" s="18"/>
      <c r="H2353" s="49"/>
      <c r="I2353" s="49"/>
      <c r="M2353" s="53"/>
    </row>
    <row r="2354" spans="1:17" x14ac:dyDescent="0.25">
      <c r="A2354" s="21" t="str">
        <f>IF(C2354="","",COUNTA($C$3:C2354))</f>
        <v/>
      </c>
      <c r="B2354" s="35" t="str">
        <f t="shared" si="52"/>
        <v/>
      </c>
      <c r="C2354" s="33"/>
      <c r="E2354" s="60"/>
      <c r="F2354" s="18"/>
      <c r="G2354" s="18"/>
      <c r="H2354" s="49"/>
      <c r="I2354" s="49"/>
      <c r="M2354" s="53"/>
    </row>
    <row r="2355" spans="1:17" x14ac:dyDescent="0.25">
      <c r="A2355" s="21" t="str">
        <f>IF(C2355="","",COUNTA($C$3:C2355))</f>
        <v/>
      </c>
      <c r="B2355" s="35" t="str">
        <f t="shared" si="52"/>
        <v/>
      </c>
      <c r="C2355" s="33"/>
      <c r="E2355" s="60"/>
      <c r="F2355" s="18"/>
      <c r="G2355" s="18"/>
      <c r="H2355" s="49"/>
      <c r="I2355" s="49"/>
      <c r="M2355" s="53"/>
    </row>
    <row r="2356" spans="1:17" x14ac:dyDescent="0.25">
      <c r="A2356" s="21" t="str">
        <f>IF(C2356="","",COUNTA($C$3:C2356))</f>
        <v/>
      </c>
      <c r="B2356" s="35" t="str">
        <f t="shared" si="52"/>
        <v/>
      </c>
      <c r="C2356" s="33"/>
      <c r="E2356" s="60"/>
      <c r="F2356" s="18"/>
      <c r="G2356" s="18"/>
      <c r="H2356" s="49"/>
      <c r="I2356" s="49"/>
      <c r="M2356" s="53"/>
    </row>
    <row r="2357" spans="1:17" x14ac:dyDescent="0.25">
      <c r="A2357" s="21" t="str">
        <f>IF(C2357="","",COUNTA($C$3:C2357))</f>
        <v/>
      </c>
      <c r="B2357" s="35" t="str">
        <f t="shared" si="52"/>
        <v/>
      </c>
      <c r="C2357" s="33"/>
      <c r="E2357" s="60"/>
      <c r="F2357" s="18"/>
      <c r="G2357" s="18"/>
      <c r="H2357" s="49"/>
      <c r="I2357" s="49"/>
      <c r="L2357" s="62"/>
      <c r="M2357" s="53"/>
    </row>
    <row r="2358" spans="1:17" x14ac:dyDescent="0.25">
      <c r="A2358" s="21" t="str">
        <f>IF(C2358="","",COUNTA($C$3:C2358))</f>
        <v/>
      </c>
      <c r="B2358" s="35" t="str">
        <f t="shared" si="52"/>
        <v/>
      </c>
      <c r="C2358" s="33"/>
      <c r="E2358" s="60"/>
      <c r="F2358" s="18"/>
      <c r="G2358" s="18"/>
      <c r="H2358" s="49"/>
      <c r="I2358" s="76"/>
      <c r="L2358" s="62"/>
      <c r="M2358" s="53"/>
      <c r="O2358" s="59"/>
    </row>
    <row r="2359" spans="1:17" x14ac:dyDescent="0.25">
      <c r="A2359" s="21" t="str">
        <f>IF(C2359="","",COUNTA($C$3:C2359))</f>
        <v/>
      </c>
      <c r="B2359" s="35" t="str">
        <f t="shared" si="52"/>
        <v/>
      </c>
      <c r="C2359" s="33"/>
      <c r="E2359" s="60"/>
      <c r="F2359" s="18"/>
      <c r="G2359" s="18"/>
      <c r="H2359" s="49"/>
      <c r="I2359" s="49"/>
      <c r="M2359" s="53"/>
      <c r="O2359" s="59"/>
    </row>
    <row r="2360" spans="1:17" x14ac:dyDescent="0.25">
      <c r="A2360" s="21" t="str">
        <f>IF(C2360="","",COUNTA($C$3:C2360))</f>
        <v/>
      </c>
      <c r="B2360" s="35" t="str">
        <f t="shared" si="52"/>
        <v/>
      </c>
      <c r="C2360" s="33"/>
      <c r="E2360" s="60"/>
      <c r="F2360" s="18"/>
      <c r="G2360" s="18"/>
      <c r="H2360" s="49"/>
      <c r="I2360" s="49"/>
      <c r="M2360" s="53"/>
    </row>
    <row r="2361" spans="1:17" x14ac:dyDescent="0.25">
      <c r="A2361" s="21" t="str">
        <f>IF(C2361="","",COUNTA($C$3:C2361))</f>
        <v/>
      </c>
      <c r="B2361" s="35" t="str">
        <f t="shared" si="52"/>
        <v/>
      </c>
      <c r="C2361" s="33"/>
      <c r="E2361" s="60"/>
      <c r="F2361" s="18"/>
      <c r="G2361" s="18"/>
      <c r="H2361" s="49"/>
      <c r="I2361" s="49"/>
      <c r="M2361" s="53"/>
    </row>
    <row r="2362" spans="1:17" x14ac:dyDescent="0.25">
      <c r="A2362" s="21" t="str">
        <f>IF(C2362="","",COUNTA($C$3:C2362))</f>
        <v/>
      </c>
      <c r="B2362" s="35" t="str">
        <f t="shared" si="52"/>
        <v/>
      </c>
      <c r="C2362" s="33"/>
      <c r="E2362" s="60"/>
      <c r="F2362" s="18"/>
      <c r="G2362" s="18"/>
      <c r="H2362" s="49"/>
      <c r="I2362" s="49"/>
      <c r="M2362" s="53"/>
    </row>
    <row r="2363" spans="1:17" x14ac:dyDescent="0.25">
      <c r="A2363" s="21" t="str">
        <f>IF(C2363="","",COUNTA($C$3:C2363))</f>
        <v/>
      </c>
      <c r="B2363" s="35" t="str">
        <f t="shared" si="52"/>
        <v/>
      </c>
      <c r="C2363" s="33"/>
      <c r="E2363" s="60"/>
      <c r="F2363" s="18"/>
      <c r="G2363" s="18"/>
      <c r="H2363" s="49"/>
      <c r="I2363" s="49"/>
      <c r="M2363" s="53"/>
    </row>
    <row r="2364" spans="1:17" x14ac:dyDescent="0.25">
      <c r="A2364" s="21" t="str">
        <f>IF(C2364="","",COUNTA($C$3:C2364))</f>
        <v/>
      </c>
      <c r="B2364" s="35" t="str">
        <f t="shared" si="52"/>
        <v/>
      </c>
      <c r="C2364" s="33"/>
      <c r="E2364" s="60"/>
      <c r="F2364" s="18"/>
      <c r="G2364" s="18"/>
      <c r="H2364" s="49"/>
      <c r="I2364" s="49"/>
      <c r="M2364" s="53"/>
    </row>
    <row r="2365" spans="1:17" x14ac:dyDescent="0.25">
      <c r="A2365" s="21" t="str">
        <f>IF(C2365="","",COUNTA($C$3:C2365))</f>
        <v/>
      </c>
      <c r="B2365" s="35" t="str">
        <f t="shared" si="52"/>
        <v/>
      </c>
      <c r="C2365" s="33"/>
      <c r="E2365" s="60"/>
      <c r="F2365" s="18"/>
      <c r="G2365" s="18"/>
      <c r="H2365" s="49"/>
      <c r="I2365" s="49"/>
      <c r="M2365" s="53"/>
    </row>
    <row r="2366" spans="1:17" x14ac:dyDescent="0.25">
      <c r="A2366" s="21" t="str">
        <f>IF(C2366="","",COUNTA($C$3:C2366))</f>
        <v/>
      </c>
      <c r="B2366" s="35" t="str">
        <f t="shared" si="52"/>
        <v/>
      </c>
      <c r="C2366" s="33"/>
      <c r="E2366" s="60"/>
      <c r="F2366" s="18"/>
      <c r="G2366" s="18"/>
      <c r="H2366" s="49"/>
      <c r="I2366" s="49"/>
      <c r="M2366" s="53"/>
    </row>
    <row r="2367" spans="1:17" x14ac:dyDescent="0.25">
      <c r="A2367" s="21" t="str">
        <f>IF(C2367="","",COUNTA($C$3:C2367))</f>
        <v/>
      </c>
      <c r="B2367" s="35" t="str">
        <f t="shared" si="52"/>
        <v/>
      </c>
      <c r="C2367" s="33"/>
      <c r="E2367" s="60"/>
      <c r="F2367" s="18"/>
      <c r="G2367" s="18"/>
      <c r="H2367" s="49"/>
      <c r="I2367" s="49"/>
      <c r="M2367" s="53"/>
    </row>
    <row r="2368" spans="1:17" x14ac:dyDescent="0.25">
      <c r="A2368" s="21" t="str">
        <f>IF(C2368="","",COUNTA($C$3:C2368))</f>
        <v/>
      </c>
      <c r="B2368" s="35" t="str">
        <f t="shared" si="52"/>
        <v/>
      </c>
      <c r="C2368" s="33"/>
      <c r="E2368" s="60"/>
      <c r="F2368" s="18"/>
      <c r="G2368" s="18"/>
      <c r="H2368" s="49"/>
      <c r="I2368" s="49"/>
      <c r="M2368" s="53"/>
      <c r="O2368" s="59"/>
      <c r="P2368" s="112"/>
      <c r="Q2368" s="59"/>
    </row>
    <row r="2369" spans="1:13" x14ac:dyDescent="0.25">
      <c r="A2369" s="21" t="str">
        <f>IF(C2369="","",COUNTA($C$3:C2369))</f>
        <v/>
      </c>
      <c r="B2369" s="35" t="str">
        <f t="shared" si="52"/>
        <v/>
      </c>
      <c r="C2369" s="33"/>
      <c r="E2369" s="60"/>
      <c r="F2369" s="18"/>
      <c r="G2369" s="18"/>
      <c r="H2369" s="49"/>
      <c r="I2369" s="49"/>
      <c r="M2369" s="53"/>
    </row>
    <row r="2370" spans="1:13" x14ac:dyDescent="0.25">
      <c r="A2370" s="21" t="str">
        <f>IF(C2370="","",COUNTA($C$3:C2370))</f>
        <v/>
      </c>
      <c r="B2370" s="35" t="str">
        <f t="shared" si="52"/>
        <v/>
      </c>
      <c r="C2370" s="33"/>
      <c r="E2370" s="60"/>
      <c r="F2370" s="18"/>
      <c r="G2370" s="18"/>
      <c r="H2370" s="49"/>
      <c r="I2370" s="49"/>
      <c r="M2370" s="53"/>
    </row>
    <row r="2371" spans="1:13" x14ac:dyDescent="0.25">
      <c r="A2371" s="21" t="str">
        <f>IF(C2371="","",COUNTA($C$3:C2371))</f>
        <v/>
      </c>
      <c r="B2371" s="35" t="str">
        <f t="shared" si="52"/>
        <v/>
      </c>
      <c r="C2371" s="33"/>
      <c r="E2371" s="60"/>
      <c r="F2371" s="18"/>
      <c r="G2371" s="18"/>
      <c r="H2371" s="49"/>
      <c r="I2371" s="49"/>
      <c r="M2371" s="53"/>
    </row>
    <row r="2372" spans="1:13" x14ac:dyDescent="0.25">
      <c r="A2372" s="21" t="str">
        <f>IF(C2372="","",COUNTA($C$3:C2372))</f>
        <v/>
      </c>
      <c r="B2372" s="35" t="str">
        <f t="shared" si="52"/>
        <v/>
      </c>
      <c r="C2372" s="33"/>
      <c r="E2372" s="60"/>
      <c r="F2372" s="18"/>
      <c r="G2372" s="18"/>
      <c r="H2372" s="49"/>
      <c r="I2372" s="49"/>
      <c r="M2372" s="53"/>
    </row>
    <row r="2373" spans="1:13" x14ac:dyDescent="0.25">
      <c r="A2373" s="21" t="str">
        <f>IF(C2373="","",COUNTA($C$3:C2373))</f>
        <v/>
      </c>
      <c r="B2373" s="35" t="str">
        <f t="shared" ref="B2373:B2436" si="53">IF(C2373="","",TEXT(C2373,"mmmm"))</f>
        <v/>
      </c>
      <c r="C2373" s="33"/>
      <c r="E2373" s="60"/>
      <c r="F2373" s="18"/>
      <c r="G2373" s="18"/>
      <c r="H2373" s="49"/>
      <c r="I2373" s="49"/>
      <c r="M2373" s="53"/>
    </row>
    <row r="2374" spans="1:13" x14ac:dyDescent="0.25">
      <c r="A2374" s="21" t="str">
        <f>IF(C2374="","",COUNTA($C$3:C2374))</f>
        <v/>
      </c>
      <c r="B2374" s="35" t="str">
        <f t="shared" si="53"/>
        <v/>
      </c>
      <c r="C2374" s="33"/>
      <c r="E2374" s="60"/>
      <c r="F2374" s="18"/>
      <c r="G2374" s="18"/>
      <c r="H2374" s="49"/>
      <c r="I2374" s="49"/>
      <c r="M2374" s="53"/>
    </row>
    <row r="2375" spans="1:13" x14ac:dyDescent="0.25">
      <c r="A2375" s="21" t="str">
        <f>IF(C2375="","",COUNTA($C$3:C2375))</f>
        <v/>
      </c>
      <c r="B2375" s="35" t="str">
        <f t="shared" si="53"/>
        <v/>
      </c>
      <c r="C2375" s="33"/>
      <c r="E2375" s="60"/>
      <c r="F2375" s="18"/>
      <c r="G2375" s="18"/>
      <c r="H2375" s="49"/>
      <c r="I2375" s="49"/>
      <c r="M2375" s="53"/>
    </row>
    <row r="2376" spans="1:13" x14ac:dyDescent="0.25">
      <c r="A2376" s="21" t="str">
        <f>IF(C2376="","",COUNTA($C$3:C2376))</f>
        <v/>
      </c>
      <c r="B2376" s="35" t="str">
        <f t="shared" si="53"/>
        <v/>
      </c>
      <c r="C2376" s="33"/>
      <c r="E2376" s="60"/>
      <c r="F2376" s="18"/>
      <c r="G2376" s="18"/>
      <c r="H2376" s="49"/>
      <c r="I2376" s="49"/>
      <c r="M2376" s="53"/>
    </row>
    <row r="2377" spans="1:13" x14ac:dyDescent="0.25">
      <c r="A2377" s="21" t="str">
        <f>IF(C2377="","",COUNTA($C$3:C2377))</f>
        <v/>
      </c>
      <c r="B2377" s="35" t="str">
        <f t="shared" si="53"/>
        <v/>
      </c>
      <c r="C2377" s="33"/>
      <c r="E2377" s="60"/>
      <c r="F2377" s="18"/>
      <c r="G2377" s="18"/>
      <c r="H2377" s="49"/>
      <c r="I2377" s="49"/>
      <c r="M2377" s="53"/>
    </row>
    <row r="2378" spans="1:13" x14ac:dyDescent="0.25">
      <c r="A2378" s="21" t="str">
        <f>IF(C2378="","",COUNTA($C$3:C2378))</f>
        <v/>
      </c>
      <c r="B2378" s="35" t="str">
        <f t="shared" si="53"/>
        <v/>
      </c>
      <c r="C2378" s="33"/>
      <c r="E2378" s="60"/>
      <c r="F2378" s="18"/>
      <c r="G2378" s="18"/>
      <c r="H2378" s="49"/>
      <c r="I2378" s="49"/>
      <c r="M2378" s="53"/>
    </row>
    <row r="2379" spans="1:13" x14ac:dyDescent="0.25">
      <c r="A2379" s="21" t="str">
        <f>IF(C2379="","",COUNTA($C$3:C2379))</f>
        <v/>
      </c>
      <c r="B2379" s="35" t="str">
        <f t="shared" si="53"/>
        <v/>
      </c>
      <c r="C2379" s="33"/>
      <c r="E2379" s="60"/>
      <c r="F2379" s="18"/>
      <c r="G2379" s="18"/>
      <c r="H2379" s="49"/>
      <c r="I2379" s="49"/>
      <c r="M2379" s="53"/>
    </row>
    <row r="2380" spans="1:13" x14ac:dyDescent="0.25">
      <c r="A2380" s="21" t="str">
        <f>IF(C2380="","",COUNTA($C$3:C2380))</f>
        <v/>
      </c>
      <c r="B2380" s="35" t="str">
        <f t="shared" si="53"/>
        <v/>
      </c>
      <c r="C2380" s="33"/>
      <c r="E2380" s="60"/>
      <c r="F2380" s="18"/>
      <c r="G2380" s="18"/>
      <c r="H2380" s="49"/>
      <c r="I2380" s="49"/>
      <c r="M2380" s="53"/>
    </row>
    <row r="2381" spans="1:13" x14ac:dyDescent="0.25">
      <c r="A2381" s="21" t="str">
        <f>IF(C2381="","",COUNTA($C$3:C2381))</f>
        <v/>
      </c>
      <c r="B2381" s="35" t="str">
        <f t="shared" si="53"/>
        <v/>
      </c>
      <c r="C2381" s="33"/>
      <c r="E2381" s="60"/>
      <c r="F2381" s="18"/>
      <c r="G2381" s="18"/>
      <c r="H2381" s="49"/>
      <c r="I2381" s="49"/>
      <c r="M2381" s="53"/>
    </row>
    <row r="2382" spans="1:13" x14ac:dyDescent="0.25">
      <c r="A2382" s="21" t="str">
        <f>IF(C2382="","",COUNTA($C$3:C2382))</f>
        <v/>
      </c>
      <c r="B2382" s="35" t="str">
        <f t="shared" si="53"/>
        <v/>
      </c>
      <c r="C2382" s="33"/>
      <c r="E2382" s="60"/>
      <c r="F2382" s="18"/>
      <c r="G2382" s="18"/>
      <c r="H2382" s="49"/>
      <c r="I2382" s="49"/>
      <c r="M2382" s="53"/>
    </row>
    <row r="2383" spans="1:13" x14ac:dyDescent="0.25">
      <c r="A2383" s="21" t="str">
        <f>IF(C2383="","",COUNTA($C$3:C2383))</f>
        <v/>
      </c>
      <c r="B2383" s="35" t="str">
        <f t="shared" si="53"/>
        <v/>
      </c>
      <c r="C2383" s="33"/>
      <c r="E2383" s="60"/>
      <c r="F2383" s="18"/>
      <c r="G2383" s="18"/>
      <c r="H2383" s="49"/>
      <c r="I2383" s="49"/>
      <c r="M2383" s="53"/>
    </row>
    <row r="2384" spans="1:13" x14ac:dyDescent="0.25">
      <c r="A2384" s="21" t="str">
        <f>IF(C2384="","",COUNTA($C$3:C2384))</f>
        <v/>
      </c>
      <c r="B2384" s="35" t="str">
        <f t="shared" si="53"/>
        <v/>
      </c>
      <c r="C2384" s="33"/>
      <c r="E2384" s="60"/>
      <c r="F2384" s="18"/>
      <c r="G2384" s="18"/>
      <c r="H2384" s="49"/>
      <c r="I2384" s="49"/>
      <c r="M2384" s="53"/>
    </row>
    <row r="2385" spans="1:17" x14ac:dyDescent="0.25">
      <c r="A2385" s="21" t="str">
        <f>IF(C2385="","",COUNTA($C$3:C2385))</f>
        <v/>
      </c>
      <c r="B2385" s="35" t="str">
        <f t="shared" si="53"/>
        <v/>
      </c>
      <c r="C2385" s="33"/>
      <c r="E2385" s="60"/>
      <c r="F2385" s="18"/>
      <c r="G2385" s="18"/>
      <c r="H2385" s="49"/>
      <c r="I2385" s="49"/>
      <c r="M2385" s="53"/>
    </row>
    <row r="2386" spans="1:17" x14ac:dyDescent="0.25">
      <c r="A2386" s="21" t="str">
        <f>IF(C2386="","",COUNTA($C$3:C2386))</f>
        <v/>
      </c>
      <c r="B2386" s="35" t="str">
        <f t="shared" si="53"/>
        <v/>
      </c>
      <c r="C2386" s="33"/>
      <c r="E2386" s="60"/>
      <c r="F2386" s="18"/>
      <c r="G2386" s="18"/>
      <c r="H2386" s="49"/>
      <c r="I2386" s="49"/>
      <c r="M2386" s="53"/>
    </row>
    <row r="2387" spans="1:17" x14ac:dyDescent="0.25">
      <c r="A2387" s="21" t="str">
        <f>IF(C2387="","",COUNTA($C$3:C2387))</f>
        <v/>
      </c>
      <c r="B2387" s="35" t="str">
        <f t="shared" si="53"/>
        <v/>
      </c>
      <c r="C2387" s="33"/>
      <c r="E2387" s="60"/>
      <c r="F2387" s="18"/>
      <c r="G2387" s="18"/>
      <c r="H2387" s="49"/>
      <c r="I2387" s="49"/>
      <c r="M2387" s="53"/>
    </row>
    <row r="2388" spans="1:17" x14ac:dyDescent="0.25">
      <c r="A2388" s="21" t="str">
        <f>IF(C2388="","",COUNTA($C$3:C2388))</f>
        <v/>
      </c>
      <c r="B2388" s="35" t="str">
        <f t="shared" si="53"/>
        <v/>
      </c>
      <c r="C2388" s="33"/>
      <c r="E2388" s="60"/>
      <c r="F2388" s="18"/>
      <c r="G2388" s="18"/>
      <c r="H2388" s="49"/>
      <c r="I2388" s="49"/>
      <c r="M2388" s="53"/>
      <c r="O2388" s="59"/>
      <c r="P2388" s="59"/>
      <c r="Q2388" s="59"/>
    </row>
    <row r="2389" spans="1:17" x14ac:dyDescent="0.25">
      <c r="A2389" s="21" t="str">
        <f>IF(C2389="","",COUNTA($C$3:C2389))</f>
        <v/>
      </c>
      <c r="B2389" s="35" t="str">
        <f t="shared" si="53"/>
        <v/>
      </c>
      <c r="C2389" s="33"/>
      <c r="E2389" s="60"/>
      <c r="F2389" s="18"/>
      <c r="G2389" s="18"/>
      <c r="H2389" s="49"/>
      <c r="I2389" s="49"/>
      <c r="K2389" s="55"/>
      <c r="L2389" s="62"/>
      <c r="M2389" s="53"/>
    </row>
    <row r="2390" spans="1:17" x14ac:dyDescent="0.25">
      <c r="A2390" s="21" t="str">
        <f>IF(C2390="","",COUNTA($C$3:C2390))</f>
        <v/>
      </c>
      <c r="B2390" s="35" t="str">
        <f t="shared" si="53"/>
        <v/>
      </c>
      <c r="C2390" s="33"/>
      <c r="E2390" s="60"/>
      <c r="F2390" s="18"/>
      <c r="G2390" s="18"/>
      <c r="H2390" s="49"/>
      <c r="I2390" s="49"/>
      <c r="M2390" s="53"/>
    </row>
    <row r="2391" spans="1:17" x14ac:dyDescent="0.25">
      <c r="A2391" s="21" t="str">
        <f>IF(C2391="","",COUNTA($C$3:C2391))</f>
        <v/>
      </c>
      <c r="B2391" s="35" t="str">
        <f t="shared" si="53"/>
        <v/>
      </c>
      <c r="C2391" s="33"/>
      <c r="E2391" s="60"/>
      <c r="F2391" s="18"/>
      <c r="G2391" s="18"/>
      <c r="H2391" s="49"/>
      <c r="I2391" s="49"/>
      <c r="M2391" s="53"/>
    </row>
    <row r="2392" spans="1:17" x14ac:dyDescent="0.25">
      <c r="A2392" s="21" t="str">
        <f>IF(C2392="","",COUNTA($C$3:C2392))</f>
        <v/>
      </c>
      <c r="B2392" s="35" t="str">
        <f t="shared" si="53"/>
        <v/>
      </c>
      <c r="C2392" s="33"/>
      <c r="E2392" s="60"/>
      <c r="F2392" s="18"/>
      <c r="G2392" s="18"/>
      <c r="H2392" s="49"/>
      <c r="I2392" s="49"/>
      <c r="M2392" s="53"/>
    </row>
    <row r="2393" spans="1:17" x14ac:dyDescent="0.25">
      <c r="A2393" s="21" t="str">
        <f>IF(C2393="","",COUNTA($C$3:C2393))</f>
        <v/>
      </c>
      <c r="B2393" s="35" t="str">
        <f t="shared" si="53"/>
        <v/>
      </c>
      <c r="C2393" s="33"/>
      <c r="E2393" s="60"/>
      <c r="F2393" s="18"/>
      <c r="G2393" s="18"/>
      <c r="H2393" s="49"/>
      <c r="I2393" s="49"/>
      <c r="M2393" s="53"/>
    </row>
    <row r="2394" spans="1:17" x14ac:dyDescent="0.25">
      <c r="A2394" s="21" t="str">
        <f>IF(C2394="","",COUNTA($C$3:C2394))</f>
        <v/>
      </c>
      <c r="B2394" s="35" t="str">
        <f t="shared" si="53"/>
        <v/>
      </c>
      <c r="C2394" s="33"/>
      <c r="E2394" s="60"/>
      <c r="F2394" s="18"/>
      <c r="G2394" s="18"/>
      <c r="H2394" s="49"/>
      <c r="I2394" s="49"/>
      <c r="M2394" s="53"/>
    </row>
    <row r="2395" spans="1:17" x14ac:dyDescent="0.25">
      <c r="A2395" s="21" t="str">
        <f>IF(C2395="","",COUNTA($C$3:C2395))</f>
        <v/>
      </c>
      <c r="B2395" s="35" t="str">
        <f t="shared" si="53"/>
        <v/>
      </c>
      <c r="C2395" s="33"/>
      <c r="E2395" s="60"/>
      <c r="F2395" s="18"/>
      <c r="G2395" s="18"/>
      <c r="H2395" s="49"/>
      <c r="I2395" s="49"/>
      <c r="M2395" s="53"/>
    </row>
    <row r="2396" spans="1:17" x14ac:dyDescent="0.25">
      <c r="A2396" s="21" t="str">
        <f>IF(C2396="","",COUNTA($C$3:C2396))</f>
        <v/>
      </c>
      <c r="B2396" s="35" t="str">
        <f t="shared" si="53"/>
        <v/>
      </c>
      <c r="C2396" s="33"/>
      <c r="E2396" s="60"/>
      <c r="F2396" s="18"/>
      <c r="G2396" s="18"/>
      <c r="H2396" s="49"/>
      <c r="I2396" s="49"/>
      <c r="M2396" s="53"/>
    </row>
    <row r="2397" spans="1:17" x14ac:dyDescent="0.25">
      <c r="A2397" s="21" t="str">
        <f>IF(C2397="","",COUNTA($C$3:C2397))</f>
        <v/>
      </c>
      <c r="B2397" s="35" t="str">
        <f t="shared" si="53"/>
        <v/>
      </c>
      <c r="C2397" s="33"/>
      <c r="E2397" s="60"/>
      <c r="F2397" s="18"/>
      <c r="G2397" s="18"/>
      <c r="H2397" s="49"/>
      <c r="I2397" s="49"/>
      <c r="M2397" s="53"/>
    </row>
    <row r="2398" spans="1:17" x14ac:dyDescent="0.25">
      <c r="A2398" s="21" t="str">
        <f>IF(C2398="","",COUNTA($C$3:C2398))</f>
        <v/>
      </c>
      <c r="B2398" s="35" t="str">
        <f t="shared" si="53"/>
        <v/>
      </c>
      <c r="C2398" s="33"/>
      <c r="E2398" s="60"/>
      <c r="F2398" s="18"/>
      <c r="G2398" s="18"/>
      <c r="H2398" s="49"/>
      <c r="I2398" s="49"/>
      <c r="M2398" s="53"/>
    </row>
    <row r="2399" spans="1:17" x14ac:dyDescent="0.25">
      <c r="A2399" s="21" t="str">
        <f>IF(C2399="","",COUNTA($C$3:C2399))</f>
        <v/>
      </c>
      <c r="B2399" s="35" t="str">
        <f t="shared" si="53"/>
        <v/>
      </c>
      <c r="C2399" s="33"/>
      <c r="E2399" s="60"/>
      <c r="F2399" s="18"/>
      <c r="G2399" s="18"/>
      <c r="H2399" s="49"/>
      <c r="I2399" s="49"/>
      <c r="M2399" s="53"/>
    </row>
    <row r="2400" spans="1:17" x14ac:dyDescent="0.25">
      <c r="A2400" s="21" t="str">
        <f>IF(C2400="","",COUNTA($C$3:C2400))</f>
        <v/>
      </c>
      <c r="B2400" s="35" t="str">
        <f t="shared" si="53"/>
        <v/>
      </c>
      <c r="C2400" s="33"/>
      <c r="E2400" s="60"/>
      <c r="F2400" s="18"/>
      <c r="G2400" s="18"/>
      <c r="H2400" s="49"/>
      <c r="I2400" s="49"/>
      <c r="M2400" s="53"/>
    </row>
    <row r="2401" spans="1:13" x14ac:dyDescent="0.25">
      <c r="A2401" s="21" t="str">
        <f>IF(C2401="","",COUNTA($C$3:C2401))</f>
        <v/>
      </c>
      <c r="B2401" s="35" t="str">
        <f t="shared" si="53"/>
        <v/>
      </c>
      <c r="C2401" s="33"/>
      <c r="E2401" s="60"/>
      <c r="F2401" s="18"/>
      <c r="G2401" s="18"/>
      <c r="H2401" s="49"/>
      <c r="I2401" s="49"/>
      <c r="M2401" s="53"/>
    </row>
    <row r="2402" spans="1:13" x14ac:dyDescent="0.25">
      <c r="A2402" s="21" t="str">
        <f>IF(C2402="","",COUNTA($C$3:C2402))</f>
        <v/>
      </c>
      <c r="B2402" s="35" t="str">
        <f t="shared" si="53"/>
        <v/>
      </c>
      <c r="C2402" s="33"/>
      <c r="E2402" s="60"/>
      <c r="F2402" s="18"/>
      <c r="G2402" s="18"/>
      <c r="H2402" s="49"/>
      <c r="I2402" s="49"/>
      <c r="M2402" s="53"/>
    </row>
    <row r="2403" spans="1:13" x14ac:dyDescent="0.25">
      <c r="A2403" s="21" t="str">
        <f>IF(C2403="","",COUNTA($C$3:C2403))</f>
        <v/>
      </c>
      <c r="B2403" s="35" t="str">
        <f t="shared" si="53"/>
        <v/>
      </c>
      <c r="C2403" s="33"/>
      <c r="E2403" s="60"/>
      <c r="F2403" s="18"/>
      <c r="G2403" s="18"/>
      <c r="H2403" s="49"/>
      <c r="I2403" s="49"/>
      <c r="M2403" s="53"/>
    </row>
    <row r="2404" spans="1:13" x14ac:dyDescent="0.25">
      <c r="A2404" s="21" t="str">
        <f>IF(C2404="","",COUNTA($C$3:C2404))</f>
        <v/>
      </c>
      <c r="B2404" s="35" t="str">
        <f t="shared" si="53"/>
        <v/>
      </c>
      <c r="C2404" s="33"/>
      <c r="E2404" s="60"/>
      <c r="F2404" s="18"/>
      <c r="G2404" s="18"/>
      <c r="H2404" s="49"/>
      <c r="I2404" s="49"/>
      <c r="M2404" s="53"/>
    </row>
    <row r="2405" spans="1:13" x14ac:dyDescent="0.25">
      <c r="A2405" s="21" t="str">
        <f>IF(C2405="","",COUNTA($C$3:C2405))</f>
        <v/>
      </c>
      <c r="B2405" s="35" t="str">
        <f t="shared" si="53"/>
        <v/>
      </c>
      <c r="C2405" s="33"/>
      <c r="E2405" s="60"/>
      <c r="F2405" s="18"/>
      <c r="G2405" s="18"/>
      <c r="H2405" s="49"/>
      <c r="I2405" s="49"/>
      <c r="M2405" s="53"/>
    </row>
    <row r="2406" spans="1:13" x14ac:dyDescent="0.25">
      <c r="A2406" s="21" t="str">
        <f>IF(C2406="","",COUNTA($C$3:C2406))</f>
        <v/>
      </c>
      <c r="B2406" s="35" t="str">
        <f t="shared" si="53"/>
        <v/>
      </c>
      <c r="C2406" s="33"/>
      <c r="E2406" s="60"/>
      <c r="F2406" s="18"/>
      <c r="G2406" s="18"/>
      <c r="H2406" s="49"/>
      <c r="I2406" s="49"/>
      <c r="M2406" s="53"/>
    </row>
    <row r="2407" spans="1:13" x14ac:dyDescent="0.25">
      <c r="A2407" s="21" t="str">
        <f>IF(C2407="","",COUNTA($C$3:C2407))</f>
        <v/>
      </c>
      <c r="B2407" s="35" t="str">
        <f t="shared" si="53"/>
        <v/>
      </c>
      <c r="C2407" s="33"/>
      <c r="E2407" s="60"/>
      <c r="F2407" s="18"/>
      <c r="G2407" s="18"/>
      <c r="H2407" s="49"/>
      <c r="I2407" s="49"/>
      <c r="M2407" s="53"/>
    </row>
    <row r="2408" spans="1:13" x14ac:dyDescent="0.25">
      <c r="A2408" s="21" t="str">
        <f>IF(C2408="","",COUNTA($C$3:C2408))</f>
        <v/>
      </c>
      <c r="B2408" s="35" t="str">
        <f t="shared" si="53"/>
        <v/>
      </c>
      <c r="C2408" s="33"/>
      <c r="E2408" s="60"/>
      <c r="F2408" s="18"/>
      <c r="G2408" s="18"/>
      <c r="H2408" s="49"/>
      <c r="I2408" s="49"/>
      <c r="M2408" s="53"/>
    </row>
    <row r="2409" spans="1:13" x14ac:dyDescent="0.25">
      <c r="A2409" s="21" t="str">
        <f>IF(C2409="","",COUNTA($C$3:C2409))</f>
        <v/>
      </c>
      <c r="B2409" s="35" t="str">
        <f t="shared" si="53"/>
        <v/>
      </c>
      <c r="C2409" s="33"/>
      <c r="E2409" s="60"/>
      <c r="F2409" s="18"/>
      <c r="G2409" s="18"/>
      <c r="H2409" s="49"/>
      <c r="I2409" s="49"/>
      <c r="M2409" s="53"/>
    </row>
    <row r="2410" spans="1:13" x14ac:dyDescent="0.25">
      <c r="A2410" s="21" t="str">
        <f>IF(C2410="","",COUNTA($C$3:C2410))</f>
        <v/>
      </c>
      <c r="B2410" s="35" t="str">
        <f t="shared" si="53"/>
        <v/>
      </c>
      <c r="C2410" s="33"/>
      <c r="E2410" s="60"/>
      <c r="F2410" s="18"/>
      <c r="G2410" s="18"/>
      <c r="H2410" s="49"/>
      <c r="I2410" s="49"/>
      <c r="M2410" s="53"/>
    </row>
    <row r="2411" spans="1:13" x14ac:dyDescent="0.25">
      <c r="A2411" s="21" t="str">
        <f>IF(C2411="","",COUNTA($C$3:C2411))</f>
        <v/>
      </c>
      <c r="B2411" s="35" t="str">
        <f t="shared" si="53"/>
        <v/>
      </c>
      <c r="C2411" s="33"/>
      <c r="E2411" s="60"/>
      <c r="F2411" s="18"/>
      <c r="G2411" s="18"/>
      <c r="H2411" s="49"/>
      <c r="I2411" s="49"/>
      <c r="M2411" s="53"/>
    </row>
    <row r="2412" spans="1:13" x14ac:dyDescent="0.25">
      <c r="A2412" s="21" t="str">
        <f>IF(C2412="","",COUNTA($C$3:C2412))</f>
        <v/>
      </c>
      <c r="B2412" s="35" t="str">
        <f t="shared" si="53"/>
        <v/>
      </c>
      <c r="C2412" s="33"/>
      <c r="E2412" s="60"/>
      <c r="F2412" s="18"/>
      <c r="G2412" s="18"/>
      <c r="H2412" s="49"/>
      <c r="I2412" s="49"/>
      <c r="M2412" s="53"/>
    </row>
    <row r="2413" spans="1:13" x14ac:dyDescent="0.25">
      <c r="A2413" s="21" t="str">
        <f>IF(C2413="","",COUNTA($C$3:C2413))</f>
        <v/>
      </c>
      <c r="B2413" s="35" t="str">
        <f t="shared" si="53"/>
        <v/>
      </c>
      <c r="C2413" s="33"/>
      <c r="E2413" s="60"/>
      <c r="F2413" s="18"/>
      <c r="G2413" s="18"/>
      <c r="H2413" s="49"/>
      <c r="I2413" s="49"/>
      <c r="M2413" s="53"/>
    </row>
    <row r="2414" spans="1:13" x14ac:dyDescent="0.25">
      <c r="A2414" s="21" t="str">
        <f>IF(C2414="","",COUNTA($C$3:C2414))</f>
        <v/>
      </c>
      <c r="B2414" s="35" t="str">
        <f t="shared" si="53"/>
        <v/>
      </c>
      <c r="C2414" s="33"/>
      <c r="E2414" s="60"/>
      <c r="F2414" s="18"/>
      <c r="G2414" s="18"/>
      <c r="H2414" s="49"/>
      <c r="I2414" s="49"/>
      <c r="M2414" s="53"/>
    </row>
    <row r="2415" spans="1:13" x14ac:dyDescent="0.25">
      <c r="A2415" s="21" t="str">
        <f>IF(C2415="","",COUNTA($C$3:C2415))</f>
        <v/>
      </c>
      <c r="B2415" s="35" t="str">
        <f t="shared" si="53"/>
        <v/>
      </c>
      <c r="C2415" s="33"/>
      <c r="E2415" s="60"/>
      <c r="F2415" s="18"/>
      <c r="G2415" s="18"/>
      <c r="H2415" s="49"/>
      <c r="I2415" s="49"/>
      <c r="M2415" s="53"/>
    </row>
    <row r="2416" spans="1:13" x14ac:dyDescent="0.25">
      <c r="A2416" s="21" t="str">
        <f>IF(C2416="","",COUNTA($C$3:C2416))</f>
        <v/>
      </c>
      <c r="B2416" s="35" t="str">
        <f t="shared" si="53"/>
        <v/>
      </c>
      <c r="C2416" s="33"/>
      <c r="E2416" s="60"/>
      <c r="F2416" s="18"/>
      <c r="G2416" s="18"/>
      <c r="H2416" s="49"/>
      <c r="I2416" s="49"/>
      <c r="M2416" s="53"/>
    </row>
    <row r="2417" spans="1:13" x14ac:dyDescent="0.25">
      <c r="A2417" s="21" t="str">
        <f>IF(C2417="","",COUNTA($C$3:C2417))</f>
        <v/>
      </c>
      <c r="B2417" s="35" t="str">
        <f t="shared" si="53"/>
        <v/>
      </c>
      <c r="C2417" s="33"/>
      <c r="E2417" s="60"/>
      <c r="F2417" s="18"/>
      <c r="G2417" s="18"/>
      <c r="H2417" s="49"/>
      <c r="I2417" s="49"/>
      <c r="M2417" s="53"/>
    </row>
    <row r="2418" spans="1:13" x14ac:dyDescent="0.25">
      <c r="A2418" s="21" t="str">
        <f>IF(C2418="","",COUNTA($C$3:C2418))</f>
        <v/>
      </c>
      <c r="B2418" s="35" t="str">
        <f t="shared" si="53"/>
        <v/>
      </c>
      <c r="C2418" s="33"/>
      <c r="E2418" s="60"/>
      <c r="F2418" s="18"/>
      <c r="G2418" s="18"/>
      <c r="H2418" s="49"/>
      <c r="I2418" s="49"/>
      <c r="M2418" s="53"/>
    </row>
    <row r="2419" spans="1:13" x14ac:dyDescent="0.25">
      <c r="A2419" s="21" t="str">
        <f>IF(C2419="","",COUNTA($C$3:C2419))</f>
        <v/>
      </c>
      <c r="B2419" s="35" t="str">
        <f t="shared" si="53"/>
        <v/>
      </c>
      <c r="C2419" s="33"/>
      <c r="E2419" s="60"/>
      <c r="F2419" s="18"/>
      <c r="G2419" s="18"/>
      <c r="H2419" s="49"/>
      <c r="I2419" s="49"/>
      <c r="M2419" s="53"/>
    </row>
    <row r="2420" spans="1:13" x14ac:dyDescent="0.25">
      <c r="A2420" s="21" t="str">
        <f>IF(C2420="","",COUNTA($C$3:C2420))</f>
        <v/>
      </c>
      <c r="B2420" s="35" t="str">
        <f t="shared" si="53"/>
        <v/>
      </c>
      <c r="C2420" s="33"/>
      <c r="E2420" s="60"/>
      <c r="F2420" s="18"/>
      <c r="G2420" s="18"/>
      <c r="H2420" s="49"/>
      <c r="I2420" s="49"/>
      <c r="M2420" s="53"/>
    </row>
    <row r="2421" spans="1:13" x14ac:dyDescent="0.25">
      <c r="A2421" s="21" t="str">
        <f>IF(C2421="","",COUNTA($C$3:C2421))</f>
        <v/>
      </c>
      <c r="B2421" s="35" t="str">
        <f t="shared" si="53"/>
        <v/>
      </c>
      <c r="C2421" s="33"/>
      <c r="E2421" s="60"/>
      <c r="F2421" s="18"/>
      <c r="G2421" s="18"/>
      <c r="H2421" s="49"/>
      <c r="I2421" s="49"/>
      <c r="L2421" s="62"/>
      <c r="M2421" s="53"/>
    </row>
    <row r="2422" spans="1:13" x14ac:dyDescent="0.25">
      <c r="A2422" s="21" t="str">
        <f>IF(C2422="","",COUNTA($C$3:C2422))</f>
        <v/>
      </c>
      <c r="B2422" s="35" t="str">
        <f t="shared" si="53"/>
        <v/>
      </c>
      <c r="C2422" s="33"/>
      <c r="E2422" s="60"/>
      <c r="F2422" s="18"/>
      <c r="G2422" s="18"/>
      <c r="H2422" s="49"/>
      <c r="I2422" s="49"/>
      <c r="M2422" s="53"/>
    </row>
    <row r="2423" spans="1:13" x14ac:dyDescent="0.25">
      <c r="A2423" s="21" t="str">
        <f>IF(C2423="","",COUNTA($C$3:C2423))</f>
        <v/>
      </c>
      <c r="B2423" s="35" t="str">
        <f t="shared" si="53"/>
        <v/>
      </c>
      <c r="C2423" s="33"/>
      <c r="E2423" s="60"/>
      <c r="F2423" s="18"/>
      <c r="G2423" s="18"/>
      <c r="H2423" s="49"/>
      <c r="I2423" s="49"/>
      <c r="M2423" s="53"/>
    </row>
    <row r="2424" spans="1:13" x14ac:dyDescent="0.25">
      <c r="A2424" s="21" t="str">
        <f>IF(C2424="","",COUNTA($C$3:C2424))</f>
        <v/>
      </c>
      <c r="B2424" s="35" t="str">
        <f t="shared" si="53"/>
        <v/>
      </c>
      <c r="C2424" s="33"/>
      <c r="E2424" s="60"/>
      <c r="F2424" s="18"/>
      <c r="G2424" s="18"/>
      <c r="H2424" s="49"/>
      <c r="I2424" s="49"/>
      <c r="M2424" s="53"/>
    </row>
    <row r="2425" spans="1:13" x14ac:dyDescent="0.25">
      <c r="A2425" s="21" t="str">
        <f>IF(C2425="","",COUNTA($C$3:C2425))</f>
        <v/>
      </c>
      <c r="B2425" s="35" t="str">
        <f t="shared" si="53"/>
        <v/>
      </c>
      <c r="C2425" s="33"/>
      <c r="E2425" s="60"/>
      <c r="F2425" s="18"/>
      <c r="G2425" s="18"/>
      <c r="H2425" s="49"/>
      <c r="I2425" s="49"/>
      <c r="M2425" s="53"/>
    </row>
    <row r="2426" spans="1:13" x14ac:dyDescent="0.25">
      <c r="A2426" s="21" t="str">
        <f>IF(C2426="","",COUNTA($C$3:C2426))</f>
        <v/>
      </c>
      <c r="B2426" s="35" t="str">
        <f t="shared" si="53"/>
        <v/>
      </c>
      <c r="C2426" s="33"/>
      <c r="E2426" s="60"/>
      <c r="F2426" s="18"/>
      <c r="G2426" s="18"/>
      <c r="H2426" s="49"/>
      <c r="I2426" s="49"/>
      <c r="M2426" s="53"/>
    </row>
    <row r="2427" spans="1:13" x14ac:dyDescent="0.25">
      <c r="A2427" s="21" t="str">
        <f>IF(C2427="","",COUNTA($C$3:C2427))</f>
        <v/>
      </c>
      <c r="B2427" s="35" t="str">
        <f t="shared" si="53"/>
        <v/>
      </c>
      <c r="C2427" s="33"/>
      <c r="E2427" s="60"/>
      <c r="F2427" s="18"/>
      <c r="G2427" s="18"/>
      <c r="H2427" s="49"/>
      <c r="I2427" s="49"/>
      <c r="M2427" s="53"/>
    </row>
    <row r="2428" spans="1:13" x14ac:dyDescent="0.25">
      <c r="A2428" s="21" t="str">
        <f>IF(C2428="","",COUNTA($C$3:C2428))</f>
        <v/>
      </c>
      <c r="B2428" s="35" t="str">
        <f t="shared" si="53"/>
        <v/>
      </c>
      <c r="C2428" s="33"/>
      <c r="E2428" s="60"/>
      <c r="F2428" s="18"/>
      <c r="G2428" s="18"/>
      <c r="H2428" s="49"/>
      <c r="I2428" s="49"/>
      <c r="M2428" s="53"/>
    </row>
    <row r="2429" spans="1:13" x14ac:dyDescent="0.25">
      <c r="A2429" s="21" t="str">
        <f>IF(C2429="","",COUNTA($C$3:C2429))</f>
        <v/>
      </c>
      <c r="B2429" s="35" t="str">
        <f t="shared" si="53"/>
        <v/>
      </c>
      <c r="C2429" s="33"/>
      <c r="E2429" s="60"/>
      <c r="F2429" s="18"/>
      <c r="G2429" s="18"/>
      <c r="H2429" s="49"/>
      <c r="I2429" s="49"/>
      <c r="M2429" s="53"/>
    </row>
    <row r="2430" spans="1:13" x14ac:dyDescent="0.25">
      <c r="A2430" s="21" t="str">
        <f>IF(C2430="","",COUNTA($C$3:C2430))</f>
        <v/>
      </c>
      <c r="B2430" s="35" t="str">
        <f t="shared" si="53"/>
        <v/>
      </c>
      <c r="C2430" s="33"/>
      <c r="E2430" s="60"/>
      <c r="F2430" s="18"/>
      <c r="G2430" s="18"/>
      <c r="H2430" s="49"/>
      <c r="I2430" s="49"/>
      <c r="M2430" s="53"/>
    </row>
    <row r="2431" spans="1:13" x14ac:dyDescent="0.25">
      <c r="A2431" s="21" t="str">
        <f>IF(C2431="","",COUNTA($C$3:C2431))</f>
        <v/>
      </c>
      <c r="B2431" s="35" t="str">
        <f t="shared" si="53"/>
        <v/>
      </c>
      <c r="C2431" s="33"/>
      <c r="E2431" s="60"/>
      <c r="F2431" s="18"/>
      <c r="G2431" s="18"/>
      <c r="H2431" s="49"/>
      <c r="I2431" s="49"/>
      <c r="M2431" s="53"/>
    </row>
    <row r="2432" spans="1:13" x14ac:dyDescent="0.25">
      <c r="A2432" s="21" t="str">
        <f>IF(C2432="","",COUNTA($C$3:C2432))</f>
        <v/>
      </c>
      <c r="B2432" s="35" t="str">
        <f t="shared" si="53"/>
        <v/>
      </c>
      <c r="C2432" s="33"/>
      <c r="E2432" s="60"/>
      <c r="F2432" s="18"/>
      <c r="G2432" s="18"/>
      <c r="H2432" s="49"/>
      <c r="I2432" s="49"/>
      <c r="M2432" s="53"/>
    </row>
    <row r="2433" spans="1:15" x14ac:dyDescent="0.25">
      <c r="A2433" s="21" t="str">
        <f>IF(C2433="","",COUNTA($C$3:C2433))</f>
        <v/>
      </c>
      <c r="B2433" s="35" t="str">
        <f t="shared" si="53"/>
        <v/>
      </c>
      <c r="C2433" s="33"/>
      <c r="E2433" s="60"/>
      <c r="F2433" s="18"/>
      <c r="G2433" s="18"/>
      <c r="H2433" s="49"/>
      <c r="I2433" s="49"/>
      <c r="M2433" s="53"/>
    </row>
    <row r="2434" spans="1:15" x14ac:dyDescent="0.25">
      <c r="A2434" s="21" t="str">
        <f>IF(C2434="","",COUNTA($C$3:C2434))</f>
        <v/>
      </c>
      <c r="B2434" s="35" t="str">
        <f t="shared" si="53"/>
        <v/>
      </c>
      <c r="C2434" s="33"/>
      <c r="E2434" s="60"/>
      <c r="F2434" s="18"/>
      <c r="G2434" s="18"/>
      <c r="H2434" s="49"/>
      <c r="I2434" s="49"/>
      <c r="K2434" s="67"/>
      <c r="M2434" s="53"/>
    </row>
    <row r="2435" spans="1:15" x14ac:dyDescent="0.25">
      <c r="A2435" s="21" t="str">
        <f>IF(C2435="","",COUNTA($C$3:C2435))</f>
        <v/>
      </c>
      <c r="B2435" s="35" t="str">
        <f t="shared" si="53"/>
        <v/>
      </c>
      <c r="C2435" s="33"/>
      <c r="E2435" s="60"/>
      <c r="F2435" s="18"/>
      <c r="G2435" s="18"/>
      <c r="H2435" s="49"/>
      <c r="I2435" s="49"/>
      <c r="M2435" s="53"/>
    </row>
    <row r="2436" spans="1:15" x14ac:dyDescent="0.25">
      <c r="A2436" s="21" t="str">
        <f>IF(C2436="","",COUNTA($C$3:C2436))</f>
        <v/>
      </c>
      <c r="B2436" s="35" t="str">
        <f t="shared" si="53"/>
        <v/>
      </c>
      <c r="C2436" s="33"/>
      <c r="E2436" s="60"/>
      <c r="F2436" s="18"/>
      <c r="G2436" s="18"/>
      <c r="H2436" s="49"/>
      <c r="I2436" s="49"/>
      <c r="M2436" s="53"/>
    </row>
    <row r="2437" spans="1:15" x14ac:dyDescent="0.25">
      <c r="A2437" s="21" t="str">
        <f>IF(C2437="","",COUNTA($C$3:C2437))</f>
        <v/>
      </c>
      <c r="B2437" s="35" t="str">
        <f t="shared" ref="B2437:B2500" si="54">IF(C2437="","",TEXT(C2437,"mmmm"))</f>
        <v/>
      </c>
      <c r="C2437" s="33"/>
      <c r="E2437" s="60"/>
      <c r="F2437" s="18"/>
      <c r="G2437" s="18"/>
      <c r="H2437" s="49"/>
      <c r="I2437" s="49"/>
      <c r="M2437" s="53"/>
    </row>
    <row r="2438" spans="1:15" x14ac:dyDescent="0.25">
      <c r="A2438" s="21" t="str">
        <f>IF(C2438="","",COUNTA($C$3:C2438))</f>
        <v/>
      </c>
      <c r="B2438" s="35" t="str">
        <f t="shared" si="54"/>
        <v/>
      </c>
      <c r="C2438" s="33"/>
      <c r="E2438" s="60"/>
      <c r="F2438" s="18"/>
      <c r="G2438" s="18"/>
      <c r="H2438" s="49"/>
      <c r="I2438" s="49"/>
      <c r="M2438" s="53"/>
      <c r="O2438" s="59"/>
    </row>
    <row r="2439" spans="1:15" x14ac:dyDescent="0.25">
      <c r="A2439" s="21" t="str">
        <f>IF(C2439="","",COUNTA($C$3:C2439))</f>
        <v/>
      </c>
      <c r="B2439" s="35" t="str">
        <f t="shared" si="54"/>
        <v/>
      </c>
      <c r="C2439" s="33"/>
      <c r="E2439" s="60"/>
      <c r="F2439" s="18"/>
      <c r="G2439" s="18"/>
      <c r="H2439" s="49"/>
      <c r="I2439" s="49"/>
      <c r="M2439" s="53"/>
      <c r="O2439" s="59"/>
    </row>
    <row r="2440" spans="1:15" x14ac:dyDescent="0.25">
      <c r="A2440" s="21" t="str">
        <f>IF(C2440="","",COUNTA($C$3:C2440))</f>
        <v/>
      </c>
      <c r="B2440" s="35" t="str">
        <f t="shared" si="54"/>
        <v/>
      </c>
      <c r="C2440" s="33"/>
      <c r="E2440" s="60"/>
      <c r="F2440" s="18"/>
      <c r="G2440" s="18"/>
      <c r="H2440" s="49"/>
      <c r="I2440" s="49"/>
      <c r="M2440" s="53"/>
      <c r="O2440" s="59"/>
    </row>
    <row r="2441" spans="1:15" x14ac:dyDescent="0.25">
      <c r="A2441" s="21" t="str">
        <f>IF(C2441="","",COUNTA($C$3:C2441))</f>
        <v/>
      </c>
      <c r="B2441" s="35" t="str">
        <f t="shared" si="54"/>
        <v/>
      </c>
      <c r="C2441" s="33"/>
      <c r="E2441" s="60"/>
      <c r="F2441" s="18"/>
      <c r="G2441" s="18"/>
      <c r="H2441" s="49"/>
      <c r="I2441" s="49"/>
      <c r="M2441" s="53"/>
      <c r="N2441" s="69"/>
      <c r="O2441" s="59"/>
    </row>
    <row r="2442" spans="1:15" x14ac:dyDescent="0.25">
      <c r="A2442" s="21" t="str">
        <f>IF(C2442="","",COUNTA($C$3:C2442))</f>
        <v/>
      </c>
      <c r="B2442" s="35" t="str">
        <f t="shared" si="54"/>
        <v/>
      </c>
      <c r="C2442" s="33"/>
      <c r="E2442" s="60"/>
      <c r="F2442" s="18"/>
      <c r="G2442" s="18"/>
      <c r="H2442" s="49"/>
      <c r="I2442" s="49"/>
      <c r="M2442" s="53"/>
    </row>
    <row r="2443" spans="1:15" x14ac:dyDescent="0.25">
      <c r="A2443" s="21" t="str">
        <f>IF(C2443="","",COUNTA($C$3:C2443))</f>
        <v/>
      </c>
      <c r="B2443" s="35" t="str">
        <f t="shared" si="54"/>
        <v/>
      </c>
      <c r="C2443" s="33"/>
      <c r="E2443" s="60"/>
      <c r="F2443" s="18"/>
      <c r="G2443" s="18"/>
      <c r="H2443" s="49"/>
      <c r="I2443" s="49"/>
      <c r="M2443" s="53"/>
    </row>
    <row r="2444" spans="1:15" x14ac:dyDescent="0.25">
      <c r="A2444" s="21" t="str">
        <f>IF(C2444="","",COUNTA($C$3:C2444))</f>
        <v/>
      </c>
      <c r="B2444" s="35" t="str">
        <f t="shared" si="54"/>
        <v/>
      </c>
      <c r="C2444" s="33"/>
      <c r="E2444" s="60"/>
      <c r="F2444" s="18"/>
      <c r="G2444" s="18"/>
      <c r="H2444" s="49"/>
      <c r="I2444" s="49"/>
      <c r="M2444" s="53"/>
    </row>
    <row r="2445" spans="1:15" x14ac:dyDescent="0.25">
      <c r="A2445" s="21" t="str">
        <f>IF(C2445="","",COUNTA($C$3:C2445))</f>
        <v/>
      </c>
      <c r="B2445" s="35" t="str">
        <f t="shared" si="54"/>
        <v/>
      </c>
      <c r="C2445" s="33"/>
      <c r="E2445" s="60"/>
      <c r="F2445" s="18"/>
      <c r="G2445" s="18"/>
      <c r="H2445" s="49"/>
      <c r="I2445" s="49"/>
      <c r="L2445" s="70"/>
      <c r="M2445" s="53"/>
    </row>
    <row r="2446" spans="1:15" x14ac:dyDescent="0.25">
      <c r="A2446" s="21" t="str">
        <f>IF(C2446="","",COUNTA($C$3:C2446))</f>
        <v/>
      </c>
      <c r="B2446" s="35" t="str">
        <f t="shared" si="54"/>
        <v/>
      </c>
      <c r="C2446" s="33"/>
      <c r="E2446" s="60"/>
      <c r="F2446" s="18"/>
      <c r="G2446" s="18"/>
      <c r="H2446" s="49"/>
      <c r="I2446" s="49"/>
      <c r="L2446" s="70"/>
      <c r="M2446" s="53"/>
    </row>
    <row r="2447" spans="1:15" x14ac:dyDescent="0.25">
      <c r="A2447" s="21" t="str">
        <f>IF(C2447="","",COUNTA($C$3:C2447))</f>
        <v/>
      </c>
      <c r="B2447" s="35" t="str">
        <f t="shared" si="54"/>
        <v/>
      </c>
      <c r="C2447" s="33"/>
      <c r="E2447" s="60"/>
      <c r="F2447" s="18"/>
      <c r="G2447" s="18"/>
      <c r="H2447" s="49"/>
      <c r="I2447" s="49"/>
      <c r="M2447" s="53"/>
    </row>
    <row r="2448" spans="1:15" x14ac:dyDescent="0.25">
      <c r="A2448" s="21" t="str">
        <f>IF(C2448="","",COUNTA($C$3:C2448))</f>
        <v/>
      </c>
      <c r="B2448" s="35" t="str">
        <f t="shared" si="54"/>
        <v/>
      </c>
      <c r="C2448" s="33"/>
      <c r="E2448" s="60"/>
      <c r="F2448" s="18"/>
      <c r="G2448" s="18"/>
      <c r="H2448" s="49"/>
      <c r="I2448" s="49"/>
      <c r="M2448" s="53"/>
    </row>
    <row r="2449" spans="1:17" x14ac:dyDescent="0.25">
      <c r="A2449" s="21" t="str">
        <f>IF(C2449="","",COUNTA($C$3:C2449))</f>
        <v/>
      </c>
      <c r="B2449" s="35" t="str">
        <f t="shared" si="54"/>
        <v/>
      </c>
      <c r="C2449" s="33"/>
      <c r="E2449" s="60"/>
      <c r="F2449" s="18"/>
      <c r="G2449" s="18"/>
      <c r="H2449" s="49"/>
      <c r="I2449" s="49"/>
      <c r="M2449" s="53"/>
    </row>
    <row r="2450" spans="1:17" x14ac:dyDescent="0.25">
      <c r="A2450" s="21" t="str">
        <f>IF(C2450="","",COUNTA($C$3:C2450))</f>
        <v/>
      </c>
      <c r="B2450" s="35" t="str">
        <f t="shared" si="54"/>
        <v/>
      </c>
      <c r="C2450" s="33"/>
      <c r="E2450" s="60"/>
      <c r="F2450" s="18"/>
      <c r="G2450" s="18"/>
      <c r="H2450" s="49"/>
      <c r="I2450" s="49"/>
      <c r="M2450" s="53"/>
    </row>
    <row r="2451" spans="1:17" x14ac:dyDescent="0.25">
      <c r="A2451" s="21" t="str">
        <f>IF(C2451="","",COUNTA($C$3:C2451))</f>
        <v/>
      </c>
      <c r="B2451" s="35" t="str">
        <f t="shared" si="54"/>
        <v/>
      </c>
      <c r="C2451" s="33"/>
      <c r="E2451" s="60"/>
      <c r="F2451" s="18"/>
      <c r="G2451" s="18"/>
      <c r="H2451" s="49"/>
      <c r="I2451" s="49"/>
      <c r="M2451" s="53"/>
    </row>
    <row r="2452" spans="1:17" x14ac:dyDescent="0.25">
      <c r="A2452" s="21" t="str">
        <f>IF(C2452="","",COUNTA($C$3:C2452))</f>
        <v/>
      </c>
      <c r="B2452" s="35" t="str">
        <f t="shared" si="54"/>
        <v/>
      </c>
      <c r="C2452" s="33"/>
      <c r="E2452" s="60"/>
      <c r="F2452" s="18"/>
      <c r="G2452" s="18"/>
      <c r="H2452" s="49"/>
      <c r="I2452" s="49"/>
      <c r="M2452" s="53"/>
    </row>
    <row r="2453" spans="1:17" x14ac:dyDescent="0.25">
      <c r="A2453" s="21" t="str">
        <f>IF(C2453="","",COUNTA($C$3:C2453))</f>
        <v/>
      </c>
      <c r="B2453" s="35" t="str">
        <f t="shared" si="54"/>
        <v/>
      </c>
      <c r="C2453" s="33"/>
      <c r="E2453" s="60"/>
      <c r="F2453" s="18"/>
      <c r="G2453" s="18"/>
      <c r="H2453" s="49"/>
      <c r="I2453" s="49"/>
      <c r="M2453" s="53"/>
    </row>
    <row r="2454" spans="1:17" x14ac:dyDescent="0.25">
      <c r="A2454" s="21" t="str">
        <f>IF(C2454="","",COUNTA($C$3:C2454))</f>
        <v/>
      </c>
      <c r="B2454" s="35" t="str">
        <f t="shared" si="54"/>
        <v/>
      </c>
      <c r="C2454" s="33"/>
      <c r="E2454" s="60"/>
      <c r="F2454" s="18"/>
      <c r="G2454" s="18"/>
      <c r="H2454" s="49"/>
      <c r="I2454" s="49"/>
      <c r="M2454" s="53"/>
    </row>
    <row r="2455" spans="1:17" x14ac:dyDescent="0.25">
      <c r="A2455" s="21" t="str">
        <f>IF(C2455="","",COUNTA($C$3:C2455))</f>
        <v/>
      </c>
      <c r="B2455" s="35" t="str">
        <f t="shared" si="54"/>
        <v/>
      </c>
      <c r="C2455" s="33"/>
      <c r="E2455" s="60"/>
      <c r="F2455" s="18"/>
      <c r="G2455" s="18"/>
      <c r="H2455" s="49"/>
      <c r="I2455" s="49"/>
      <c r="M2455" s="53"/>
    </row>
    <row r="2456" spans="1:17" x14ac:dyDescent="0.25">
      <c r="A2456" s="21" t="str">
        <f>IF(C2456="","",COUNTA($C$3:C2456))</f>
        <v/>
      </c>
      <c r="B2456" s="35" t="str">
        <f t="shared" si="54"/>
        <v/>
      </c>
      <c r="C2456" s="33"/>
      <c r="E2456" s="60"/>
      <c r="F2456" s="18"/>
      <c r="G2456" s="18"/>
      <c r="H2456" s="49"/>
      <c r="I2456" s="49"/>
      <c r="M2456" s="53"/>
    </row>
    <row r="2457" spans="1:17" x14ac:dyDescent="0.25">
      <c r="A2457" s="21" t="str">
        <f>IF(C2457="","",COUNTA($C$3:C2457))</f>
        <v/>
      </c>
      <c r="B2457" s="35" t="str">
        <f t="shared" si="54"/>
        <v/>
      </c>
      <c r="C2457" s="33"/>
      <c r="E2457" s="60"/>
      <c r="F2457" s="18"/>
      <c r="G2457" s="18"/>
      <c r="H2457" s="49"/>
      <c r="I2457" s="49"/>
      <c r="L2457" s="53"/>
      <c r="M2457" s="53"/>
    </row>
    <row r="2458" spans="1:17" x14ac:dyDescent="0.25">
      <c r="A2458" s="21" t="str">
        <f>IF(C2458="","",COUNTA($C$3:C2458))</f>
        <v/>
      </c>
      <c r="B2458" s="35" t="str">
        <f t="shared" si="54"/>
        <v/>
      </c>
      <c r="C2458" s="33"/>
      <c r="E2458" s="60"/>
      <c r="F2458" s="18"/>
      <c r="G2458" s="18"/>
      <c r="H2458" s="49"/>
      <c r="I2458" s="49"/>
      <c r="L2458" s="53"/>
      <c r="M2458" s="53"/>
    </row>
    <row r="2459" spans="1:17" x14ac:dyDescent="0.25">
      <c r="A2459" s="21" t="str">
        <f>IF(C2459="","",COUNTA($C$3:C2459))</f>
        <v/>
      </c>
      <c r="B2459" s="35" t="str">
        <f t="shared" si="54"/>
        <v/>
      </c>
      <c r="C2459" s="33"/>
      <c r="E2459" s="60"/>
      <c r="F2459" s="18"/>
      <c r="G2459" s="18"/>
      <c r="H2459" s="49"/>
      <c r="I2459" s="49"/>
      <c r="M2459" s="53"/>
    </row>
    <row r="2460" spans="1:17" x14ac:dyDescent="0.25">
      <c r="A2460" s="21" t="str">
        <f>IF(C2460="","",COUNTA($C$3:C2460))</f>
        <v/>
      </c>
      <c r="B2460" s="35" t="str">
        <f t="shared" si="54"/>
        <v/>
      </c>
      <c r="C2460" s="33"/>
      <c r="E2460" s="60"/>
      <c r="F2460" s="18"/>
      <c r="G2460" s="18"/>
      <c r="H2460" s="49"/>
      <c r="I2460" s="49"/>
      <c r="M2460" s="53"/>
    </row>
    <row r="2461" spans="1:17" x14ac:dyDescent="0.25">
      <c r="A2461" s="21" t="str">
        <f>IF(C2461="","",COUNTA($C$3:C2461))</f>
        <v/>
      </c>
      <c r="B2461" s="35" t="str">
        <f t="shared" si="54"/>
        <v/>
      </c>
      <c r="C2461" s="33"/>
      <c r="E2461" s="60"/>
      <c r="F2461" s="18"/>
      <c r="G2461" s="18"/>
      <c r="H2461" s="49"/>
      <c r="I2461" s="49"/>
      <c r="M2461" s="53"/>
      <c r="O2461" s="59"/>
      <c r="P2461" s="117"/>
      <c r="Q2461" s="59"/>
    </row>
    <row r="2462" spans="1:17" x14ac:dyDescent="0.25">
      <c r="A2462" s="21" t="str">
        <f>IF(C2462="","",COUNTA($C$3:C2462))</f>
        <v/>
      </c>
      <c r="B2462" s="35" t="str">
        <f t="shared" si="54"/>
        <v/>
      </c>
      <c r="C2462" s="33"/>
      <c r="E2462" s="60"/>
      <c r="F2462" s="18"/>
      <c r="G2462" s="18"/>
      <c r="H2462" s="49"/>
      <c r="I2462" s="49"/>
      <c r="K2462" s="55"/>
      <c r="L2462" s="70"/>
      <c r="M2462" s="53"/>
    </row>
    <row r="2463" spans="1:17" x14ac:dyDescent="0.25">
      <c r="A2463" s="21" t="str">
        <f>IF(C2463="","",COUNTA($C$3:C2463))</f>
        <v/>
      </c>
      <c r="B2463" s="35" t="str">
        <f t="shared" si="54"/>
        <v/>
      </c>
      <c r="C2463" s="33"/>
      <c r="E2463" s="60"/>
      <c r="F2463" s="18"/>
      <c r="G2463" s="18"/>
      <c r="H2463" s="49"/>
      <c r="I2463" s="49"/>
      <c r="L2463" s="70"/>
      <c r="M2463" s="53"/>
    </row>
    <row r="2464" spans="1:17" x14ac:dyDescent="0.25">
      <c r="A2464" s="21" t="str">
        <f>IF(C2464="","",COUNTA($C$3:C2464))</f>
        <v/>
      </c>
      <c r="B2464" s="35" t="str">
        <f t="shared" si="54"/>
        <v/>
      </c>
      <c r="C2464" s="33"/>
      <c r="E2464" s="60"/>
      <c r="F2464" s="18"/>
      <c r="G2464" s="18"/>
      <c r="H2464" s="49"/>
      <c r="I2464" s="49"/>
      <c r="M2464" s="53"/>
    </row>
    <row r="2465" spans="1:17" x14ac:dyDescent="0.25">
      <c r="A2465" s="21" t="str">
        <f>IF(C2465="","",COUNTA($C$3:C2465))</f>
        <v/>
      </c>
      <c r="B2465" s="35" t="str">
        <f t="shared" si="54"/>
        <v/>
      </c>
      <c r="C2465" s="33"/>
      <c r="E2465" s="60"/>
      <c r="F2465" s="18"/>
      <c r="G2465" s="18"/>
      <c r="H2465" s="49"/>
      <c r="I2465" s="49"/>
      <c r="M2465" s="53"/>
    </row>
    <row r="2466" spans="1:17" x14ac:dyDescent="0.25">
      <c r="A2466" s="21" t="str">
        <f>IF(C2466="","",COUNTA($C$3:C2466))</f>
        <v/>
      </c>
      <c r="B2466" s="35" t="str">
        <f t="shared" si="54"/>
        <v/>
      </c>
      <c r="C2466" s="33"/>
      <c r="E2466" s="60"/>
      <c r="F2466" s="18"/>
      <c r="G2466" s="18"/>
      <c r="H2466" s="49"/>
      <c r="I2466" s="49"/>
      <c r="M2466" s="53"/>
    </row>
    <row r="2467" spans="1:17" x14ac:dyDescent="0.25">
      <c r="A2467" s="21" t="str">
        <f>IF(C2467="","",COUNTA($C$3:C2467))</f>
        <v/>
      </c>
      <c r="B2467" s="35" t="str">
        <f t="shared" si="54"/>
        <v/>
      </c>
      <c r="C2467" s="33"/>
      <c r="E2467" s="60"/>
      <c r="F2467" s="18"/>
      <c r="G2467" s="18"/>
      <c r="H2467" s="49"/>
      <c r="I2467" s="49"/>
      <c r="M2467" s="53"/>
    </row>
    <row r="2468" spans="1:17" x14ac:dyDescent="0.25">
      <c r="A2468" s="21" t="str">
        <f>IF(C2468="","",COUNTA($C$3:C2468))</f>
        <v/>
      </c>
      <c r="B2468" s="35" t="str">
        <f t="shared" si="54"/>
        <v/>
      </c>
      <c r="C2468" s="33"/>
      <c r="E2468" s="60"/>
      <c r="F2468" s="18"/>
      <c r="G2468" s="18"/>
      <c r="H2468" s="49"/>
      <c r="I2468" s="49"/>
      <c r="M2468" s="53"/>
    </row>
    <row r="2469" spans="1:17" x14ac:dyDescent="0.25">
      <c r="A2469" s="21" t="str">
        <f>IF(C2469="","",COUNTA($C$3:C2469))</f>
        <v/>
      </c>
      <c r="B2469" s="35" t="str">
        <f t="shared" si="54"/>
        <v/>
      </c>
      <c r="C2469" s="33"/>
      <c r="E2469" s="60"/>
      <c r="F2469" s="18"/>
      <c r="G2469" s="18"/>
      <c r="H2469" s="49"/>
      <c r="I2469" s="49"/>
      <c r="M2469" s="53"/>
    </row>
    <row r="2470" spans="1:17" x14ac:dyDescent="0.25">
      <c r="A2470" s="21" t="str">
        <f>IF(C2470="","",COUNTA($C$3:C2470))</f>
        <v/>
      </c>
      <c r="B2470" s="35" t="str">
        <f t="shared" si="54"/>
        <v/>
      </c>
      <c r="C2470" s="33"/>
      <c r="E2470" s="60"/>
      <c r="F2470" s="18"/>
      <c r="G2470" s="18"/>
      <c r="H2470" s="49"/>
      <c r="I2470" s="49"/>
      <c r="M2470" s="53"/>
    </row>
    <row r="2471" spans="1:17" x14ac:dyDescent="0.25">
      <c r="A2471" s="21" t="str">
        <f>IF(C2471="","",COUNTA($C$3:C2471))</f>
        <v/>
      </c>
      <c r="B2471" s="35" t="str">
        <f t="shared" si="54"/>
        <v/>
      </c>
      <c r="C2471" s="33"/>
      <c r="E2471" s="60"/>
      <c r="F2471" s="18"/>
      <c r="G2471" s="18"/>
      <c r="H2471" s="49"/>
      <c r="I2471" s="49"/>
      <c r="L2471" s="62"/>
      <c r="M2471" s="53"/>
    </row>
    <row r="2472" spans="1:17" x14ac:dyDescent="0.25">
      <c r="A2472" s="21" t="str">
        <f>IF(C2472="","",COUNTA($C$3:C2472))</f>
        <v/>
      </c>
      <c r="B2472" s="35" t="str">
        <f t="shared" si="54"/>
        <v/>
      </c>
      <c r="C2472" s="33"/>
      <c r="E2472" s="60"/>
      <c r="F2472" s="18"/>
      <c r="G2472" s="18"/>
      <c r="H2472" s="49"/>
      <c r="I2472" s="49"/>
      <c r="L2472" s="62"/>
      <c r="M2472" s="53"/>
    </row>
    <row r="2473" spans="1:17" x14ac:dyDescent="0.25">
      <c r="A2473" s="21" t="str">
        <f>IF(C2473="","",COUNTA($C$3:C2473))</f>
        <v/>
      </c>
      <c r="B2473" s="35" t="str">
        <f t="shared" si="54"/>
        <v/>
      </c>
      <c r="C2473" s="33"/>
      <c r="E2473" s="60"/>
      <c r="F2473" s="18"/>
      <c r="G2473" s="18"/>
      <c r="H2473" s="49"/>
      <c r="I2473" s="49"/>
      <c r="L2473" s="62"/>
      <c r="M2473" s="53"/>
      <c r="O2473" s="59"/>
      <c r="P2473" s="59"/>
      <c r="Q2473" s="59"/>
    </row>
    <row r="2474" spans="1:17" x14ac:dyDescent="0.25">
      <c r="A2474" s="21" t="str">
        <f>IF(C2474="","",COUNTA($C$3:C2474))</f>
        <v/>
      </c>
      <c r="B2474" s="35" t="str">
        <f t="shared" si="54"/>
        <v/>
      </c>
      <c r="C2474" s="33"/>
      <c r="E2474" s="60"/>
      <c r="F2474" s="18"/>
      <c r="G2474" s="18"/>
      <c r="H2474" s="49"/>
      <c r="I2474" s="49"/>
      <c r="L2474" s="62"/>
      <c r="M2474" s="53"/>
      <c r="O2474" s="59"/>
      <c r="P2474" s="69"/>
      <c r="Q2474" s="59"/>
    </row>
    <row r="2475" spans="1:17" x14ac:dyDescent="0.25">
      <c r="A2475" s="21" t="str">
        <f>IF(C2475="","",COUNTA($C$3:C2475))</f>
        <v/>
      </c>
      <c r="B2475" s="35" t="str">
        <f t="shared" si="54"/>
        <v/>
      </c>
      <c r="C2475" s="33"/>
      <c r="E2475" s="60"/>
      <c r="F2475" s="18"/>
      <c r="G2475" s="18"/>
      <c r="H2475" s="49"/>
      <c r="I2475" s="49"/>
      <c r="L2475" s="62"/>
      <c r="M2475" s="53"/>
    </row>
    <row r="2476" spans="1:17" x14ac:dyDescent="0.25">
      <c r="A2476" s="21" t="str">
        <f>IF(C2476="","",COUNTA($C$3:C2476))</f>
        <v/>
      </c>
      <c r="B2476" s="35" t="str">
        <f t="shared" si="54"/>
        <v/>
      </c>
      <c r="C2476" s="33"/>
      <c r="E2476" s="60"/>
      <c r="F2476" s="18"/>
      <c r="G2476" s="18"/>
      <c r="H2476" s="49"/>
      <c r="I2476" s="49"/>
      <c r="K2476" s="55"/>
      <c r="L2476" s="62"/>
      <c r="M2476" s="53"/>
    </row>
    <row r="2477" spans="1:17" x14ac:dyDescent="0.25">
      <c r="A2477" s="21" t="str">
        <f>IF(C2477="","",COUNTA($C$3:C2477))</f>
        <v/>
      </c>
      <c r="B2477" s="35" t="str">
        <f t="shared" si="54"/>
        <v/>
      </c>
      <c r="C2477" s="33"/>
      <c r="E2477" s="60"/>
      <c r="F2477" s="18"/>
      <c r="G2477" s="18"/>
      <c r="H2477" s="49"/>
      <c r="I2477" s="49"/>
      <c r="L2477" s="62"/>
      <c r="M2477" s="53"/>
    </row>
    <row r="2478" spans="1:17" x14ac:dyDescent="0.25">
      <c r="A2478" s="21" t="str">
        <f>IF(C2478="","",COUNTA($C$3:C2478))</f>
        <v/>
      </c>
      <c r="B2478" s="35" t="str">
        <f t="shared" si="54"/>
        <v/>
      </c>
      <c r="C2478" s="33"/>
      <c r="E2478" s="60"/>
      <c r="F2478" s="18"/>
      <c r="G2478" s="18"/>
      <c r="H2478" s="49"/>
      <c r="I2478" s="49"/>
      <c r="M2478" s="53"/>
    </row>
    <row r="2479" spans="1:17" x14ac:dyDescent="0.25">
      <c r="A2479" s="21" t="str">
        <f>IF(C2479="","",COUNTA($C$3:C2479))</f>
        <v/>
      </c>
      <c r="B2479" s="35" t="str">
        <f t="shared" si="54"/>
        <v/>
      </c>
      <c r="C2479" s="33"/>
      <c r="E2479" s="60"/>
      <c r="F2479" s="18"/>
      <c r="G2479" s="18"/>
      <c r="H2479" s="49"/>
      <c r="I2479" s="49"/>
      <c r="M2479" s="53"/>
    </row>
    <row r="2480" spans="1:17" x14ac:dyDescent="0.25">
      <c r="A2480" s="21" t="str">
        <f>IF(C2480="","",COUNTA($C$3:C2480))</f>
        <v/>
      </c>
      <c r="B2480" s="35" t="str">
        <f t="shared" si="54"/>
        <v/>
      </c>
      <c r="C2480" s="33"/>
      <c r="E2480" s="60"/>
      <c r="F2480" s="18"/>
      <c r="G2480" s="18"/>
      <c r="H2480" s="49"/>
      <c r="I2480" s="49"/>
      <c r="M2480" s="53"/>
    </row>
    <row r="2481" spans="1:17" x14ac:dyDescent="0.25">
      <c r="A2481" s="21" t="str">
        <f>IF(C2481="","",COUNTA($C$3:C2481))</f>
        <v/>
      </c>
      <c r="B2481" s="35" t="str">
        <f t="shared" si="54"/>
        <v/>
      </c>
      <c r="C2481" s="33"/>
      <c r="E2481" s="60"/>
      <c r="F2481" s="18"/>
      <c r="G2481" s="18"/>
      <c r="H2481" s="49"/>
      <c r="I2481" s="49"/>
      <c r="M2481" s="53"/>
      <c r="O2481" s="59"/>
      <c r="P2481" s="112"/>
      <c r="Q2481" s="59"/>
    </row>
    <row r="2482" spans="1:17" x14ac:dyDescent="0.25">
      <c r="A2482" s="21" t="str">
        <f>IF(C2482="","",COUNTA($C$3:C2482))</f>
        <v/>
      </c>
      <c r="B2482" s="35" t="str">
        <f t="shared" si="54"/>
        <v/>
      </c>
      <c r="C2482" s="33"/>
      <c r="E2482" s="60"/>
      <c r="F2482" s="18"/>
      <c r="G2482" s="18"/>
      <c r="H2482" s="49"/>
      <c r="I2482" s="49"/>
      <c r="M2482" s="53"/>
    </row>
    <row r="2483" spans="1:17" x14ac:dyDescent="0.25">
      <c r="A2483" s="21" t="str">
        <f>IF(C2483="","",COUNTA($C$3:C2483))</f>
        <v/>
      </c>
      <c r="B2483" s="35" t="str">
        <f t="shared" si="54"/>
        <v/>
      </c>
      <c r="C2483" s="33"/>
      <c r="E2483" s="60"/>
      <c r="F2483" s="18"/>
      <c r="G2483" s="18"/>
      <c r="H2483" s="49"/>
      <c r="I2483" s="49"/>
      <c r="M2483" s="53"/>
    </row>
    <row r="2484" spans="1:17" x14ac:dyDescent="0.25">
      <c r="A2484" s="21" t="str">
        <f>IF(C2484="","",COUNTA($C$3:C2484))</f>
        <v/>
      </c>
      <c r="B2484" s="35" t="str">
        <f t="shared" si="54"/>
        <v/>
      </c>
      <c r="C2484" s="33"/>
      <c r="E2484" s="60"/>
      <c r="F2484" s="18"/>
      <c r="G2484" s="18"/>
      <c r="H2484" s="49"/>
      <c r="I2484" s="49"/>
      <c r="M2484" s="53"/>
    </row>
    <row r="2485" spans="1:17" x14ac:dyDescent="0.25">
      <c r="A2485" s="21" t="str">
        <f>IF(C2485="","",COUNTA($C$3:C2485))</f>
        <v/>
      </c>
      <c r="B2485" s="35" t="str">
        <f t="shared" si="54"/>
        <v/>
      </c>
      <c r="C2485" s="33"/>
      <c r="E2485" s="60"/>
      <c r="F2485" s="18"/>
      <c r="G2485" s="18"/>
      <c r="H2485" s="49"/>
      <c r="I2485" s="49"/>
      <c r="M2485" s="53"/>
    </row>
    <row r="2486" spans="1:17" x14ac:dyDescent="0.25">
      <c r="A2486" s="21" t="str">
        <f>IF(C2486="","",COUNTA($C$3:C2486))</f>
        <v/>
      </c>
      <c r="B2486" s="35" t="str">
        <f t="shared" si="54"/>
        <v/>
      </c>
      <c r="C2486" s="33"/>
      <c r="E2486" s="60"/>
      <c r="F2486" s="18"/>
      <c r="G2486" s="18"/>
      <c r="H2486" s="49"/>
      <c r="I2486" s="49"/>
      <c r="M2486" s="53"/>
    </row>
    <row r="2487" spans="1:17" x14ac:dyDescent="0.25">
      <c r="A2487" s="21" t="str">
        <f>IF(C2487="","",COUNTA($C$3:C2487))</f>
        <v/>
      </c>
      <c r="B2487" s="35" t="str">
        <f t="shared" si="54"/>
        <v/>
      </c>
      <c r="C2487" s="33"/>
      <c r="E2487" s="60"/>
      <c r="F2487" s="18"/>
      <c r="G2487" s="18"/>
      <c r="H2487" s="49"/>
      <c r="I2487" s="49"/>
      <c r="M2487" s="53"/>
    </row>
    <row r="2488" spans="1:17" x14ac:dyDescent="0.25">
      <c r="A2488" s="21" t="str">
        <f>IF(C2488="","",COUNTA($C$3:C2488))</f>
        <v/>
      </c>
      <c r="B2488" s="35" t="str">
        <f t="shared" si="54"/>
        <v/>
      </c>
      <c r="C2488" s="33"/>
      <c r="E2488" s="60"/>
      <c r="F2488" s="18"/>
      <c r="G2488" s="18"/>
      <c r="H2488" s="49"/>
      <c r="I2488" s="49"/>
      <c r="K2488" s="55"/>
      <c r="L2488" s="62"/>
      <c r="M2488" s="53"/>
    </row>
    <row r="2489" spans="1:17" x14ac:dyDescent="0.25">
      <c r="A2489" s="21" t="str">
        <f>IF(C2489="","",COUNTA($C$3:C2489))</f>
        <v/>
      </c>
      <c r="B2489" s="35" t="str">
        <f t="shared" si="54"/>
        <v/>
      </c>
      <c r="C2489" s="33"/>
      <c r="E2489" s="60"/>
      <c r="F2489" s="18"/>
      <c r="G2489" s="18"/>
      <c r="H2489" s="49"/>
      <c r="I2489" s="49"/>
      <c r="M2489" s="53"/>
      <c r="O2489" s="59"/>
      <c r="P2489" s="69"/>
      <c r="Q2489" s="59"/>
    </row>
    <row r="2490" spans="1:17" x14ac:dyDescent="0.25">
      <c r="A2490" s="21" t="str">
        <f>IF(C2490="","",COUNTA($C$3:C2490))</f>
        <v/>
      </c>
      <c r="B2490" s="35" t="str">
        <f t="shared" si="54"/>
        <v/>
      </c>
      <c r="C2490" s="33"/>
      <c r="E2490" s="60"/>
      <c r="F2490" s="18"/>
      <c r="G2490" s="18"/>
      <c r="H2490" s="49"/>
      <c r="I2490" s="49"/>
      <c r="M2490" s="53"/>
    </row>
    <row r="2491" spans="1:17" x14ac:dyDescent="0.25">
      <c r="A2491" s="21" t="str">
        <f>IF(C2491="","",COUNTA($C$3:C2491))</f>
        <v/>
      </c>
      <c r="B2491" s="35" t="str">
        <f t="shared" si="54"/>
        <v/>
      </c>
      <c r="C2491" s="33"/>
      <c r="E2491" s="60"/>
      <c r="F2491" s="18"/>
      <c r="G2491" s="18"/>
      <c r="H2491" s="49"/>
      <c r="I2491" s="49"/>
      <c r="M2491" s="53"/>
    </row>
    <row r="2492" spans="1:17" x14ac:dyDescent="0.25">
      <c r="A2492" s="21" t="str">
        <f>IF(C2492="","",COUNTA($C$3:C2492))</f>
        <v/>
      </c>
      <c r="B2492" s="35" t="str">
        <f t="shared" si="54"/>
        <v/>
      </c>
      <c r="C2492" s="33"/>
      <c r="E2492" s="60"/>
      <c r="F2492" s="18"/>
      <c r="G2492" s="18"/>
      <c r="H2492" s="49"/>
      <c r="I2492" s="49"/>
      <c r="M2492" s="53"/>
    </row>
    <row r="2493" spans="1:17" x14ac:dyDescent="0.25">
      <c r="A2493" s="21" t="str">
        <f>IF(C2493="","",COUNTA($C$3:C2493))</f>
        <v/>
      </c>
      <c r="B2493" s="35" t="str">
        <f t="shared" si="54"/>
        <v/>
      </c>
      <c r="C2493" s="33"/>
      <c r="E2493" s="60"/>
      <c r="F2493" s="18"/>
      <c r="G2493" s="18"/>
      <c r="H2493" s="49"/>
      <c r="I2493" s="49"/>
      <c r="M2493" s="53"/>
    </row>
    <row r="2494" spans="1:17" x14ac:dyDescent="0.25">
      <c r="A2494" s="21" t="str">
        <f>IF(C2494="","",COUNTA($C$3:C2494))</f>
        <v/>
      </c>
      <c r="B2494" s="35" t="str">
        <f t="shared" si="54"/>
        <v/>
      </c>
      <c r="C2494" s="33"/>
      <c r="E2494" s="60"/>
      <c r="F2494" s="18"/>
      <c r="G2494" s="18"/>
      <c r="H2494" s="49"/>
      <c r="I2494" s="49"/>
      <c r="M2494" s="53"/>
    </row>
    <row r="2495" spans="1:17" x14ac:dyDescent="0.25">
      <c r="A2495" s="21" t="str">
        <f>IF(C2495="","",COUNTA($C$3:C2495))</f>
        <v/>
      </c>
      <c r="B2495" s="35" t="str">
        <f t="shared" si="54"/>
        <v/>
      </c>
      <c r="C2495" s="33"/>
      <c r="E2495" s="60"/>
      <c r="F2495" s="18"/>
      <c r="G2495" s="18"/>
      <c r="H2495" s="49"/>
      <c r="I2495" s="49"/>
      <c r="M2495" s="53"/>
    </row>
    <row r="2496" spans="1:17" x14ac:dyDescent="0.25">
      <c r="A2496" s="21" t="str">
        <f>IF(C2496="","",COUNTA($C$3:C2496))</f>
        <v/>
      </c>
      <c r="B2496" s="35" t="str">
        <f t="shared" si="54"/>
        <v/>
      </c>
      <c r="C2496" s="33"/>
      <c r="E2496" s="60"/>
      <c r="F2496" s="18"/>
      <c r="G2496" s="18"/>
      <c r="H2496" s="49"/>
      <c r="I2496" s="49"/>
      <c r="M2496" s="53"/>
    </row>
    <row r="2497" spans="1:17" x14ac:dyDescent="0.25">
      <c r="A2497" s="21" t="str">
        <f>IF(C2497="","",COUNTA($C$3:C2497))</f>
        <v/>
      </c>
      <c r="B2497" s="35" t="str">
        <f t="shared" si="54"/>
        <v/>
      </c>
      <c r="C2497" s="33"/>
      <c r="E2497" s="60"/>
      <c r="F2497" s="18"/>
      <c r="G2497" s="18"/>
      <c r="H2497" s="49"/>
      <c r="I2497" s="49"/>
      <c r="M2497" s="53"/>
      <c r="O2497" s="59"/>
      <c r="P2497" s="69"/>
      <c r="Q2497" s="59"/>
    </row>
    <row r="2498" spans="1:17" x14ac:dyDescent="0.25">
      <c r="A2498" s="21" t="str">
        <f>IF(C2498="","",COUNTA($C$3:C2498))</f>
        <v/>
      </c>
      <c r="B2498" s="35" t="str">
        <f t="shared" si="54"/>
        <v/>
      </c>
      <c r="C2498" s="33"/>
      <c r="E2498" s="60"/>
      <c r="F2498" s="18"/>
      <c r="G2498" s="18"/>
      <c r="H2498" s="49"/>
      <c r="I2498" s="49"/>
      <c r="M2498" s="53"/>
      <c r="O2498" s="59"/>
      <c r="P2498" s="69"/>
      <c r="Q2498" s="59"/>
    </row>
    <row r="2499" spans="1:17" x14ac:dyDescent="0.25">
      <c r="A2499" s="21" t="str">
        <f>IF(C2499="","",COUNTA($C$3:C2499))</f>
        <v/>
      </c>
      <c r="B2499" s="35" t="str">
        <f t="shared" si="54"/>
        <v/>
      </c>
      <c r="C2499" s="33"/>
      <c r="E2499" s="60"/>
      <c r="F2499" s="18"/>
      <c r="G2499" s="18"/>
      <c r="H2499" s="49"/>
      <c r="I2499" s="49"/>
      <c r="M2499" s="53"/>
      <c r="O2499" s="59"/>
      <c r="P2499" s="69"/>
      <c r="Q2499" s="59"/>
    </row>
    <row r="2500" spans="1:17" x14ac:dyDescent="0.25">
      <c r="A2500" s="21" t="str">
        <f>IF(C2500="","",COUNTA($C$3:C2500))</f>
        <v/>
      </c>
      <c r="B2500" s="35" t="str">
        <f t="shared" si="54"/>
        <v/>
      </c>
      <c r="C2500" s="33"/>
      <c r="E2500" s="60"/>
      <c r="F2500" s="18"/>
      <c r="G2500" s="18"/>
      <c r="H2500" s="49"/>
      <c r="I2500" s="49"/>
      <c r="K2500" s="55"/>
      <c r="L2500" s="62"/>
      <c r="M2500" s="53"/>
    </row>
    <row r="2501" spans="1:17" x14ac:dyDescent="0.25">
      <c r="A2501" s="21" t="str">
        <f>IF(C2501="","",COUNTA($C$3:C2501))</f>
        <v/>
      </c>
      <c r="B2501" s="35" t="str">
        <f t="shared" ref="B2501:B2564" si="55">IF(C2501="","",TEXT(C2501,"mmmm"))</f>
        <v/>
      </c>
      <c r="C2501" s="33"/>
      <c r="E2501" s="60"/>
      <c r="F2501" s="18"/>
      <c r="G2501" s="18"/>
      <c r="H2501" s="49"/>
      <c r="I2501" s="49"/>
      <c r="M2501" s="53"/>
    </row>
    <row r="2502" spans="1:17" x14ac:dyDescent="0.25">
      <c r="A2502" s="21" t="str">
        <f>IF(C2502="","",COUNTA($C$3:C2502))</f>
        <v/>
      </c>
      <c r="B2502" s="35" t="str">
        <f t="shared" si="55"/>
        <v/>
      </c>
      <c r="C2502" s="33"/>
      <c r="E2502" s="60"/>
      <c r="F2502" s="18"/>
      <c r="G2502" s="18"/>
      <c r="H2502" s="49"/>
      <c r="I2502" s="49"/>
      <c r="M2502" s="53"/>
    </row>
    <row r="2503" spans="1:17" x14ac:dyDescent="0.25">
      <c r="A2503" s="21" t="str">
        <f>IF(C2503="","",COUNTA($C$3:C2503))</f>
        <v/>
      </c>
      <c r="B2503" s="35" t="str">
        <f t="shared" si="55"/>
        <v/>
      </c>
      <c r="C2503" s="33"/>
      <c r="E2503" s="60"/>
      <c r="F2503" s="18"/>
      <c r="G2503" s="18"/>
      <c r="H2503" s="49"/>
      <c r="I2503" s="49"/>
      <c r="M2503" s="53"/>
    </row>
    <row r="2504" spans="1:17" x14ac:dyDescent="0.25">
      <c r="A2504" s="21" t="str">
        <f>IF(C2504="","",COUNTA($C$3:C2504))</f>
        <v/>
      </c>
      <c r="B2504" s="35" t="str">
        <f t="shared" si="55"/>
        <v/>
      </c>
      <c r="C2504" s="33"/>
      <c r="E2504" s="60"/>
      <c r="F2504" s="18"/>
      <c r="G2504" s="18"/>
      <c r="H2504" s="49"/>
      <c r="I2504" s="49"/>
      <c r="M2504" s="53"/>
    </row>
    <row r="2505" spans="1:17" x14ac:dyDescent="0.25">
      <c r="A2505" s="21" t="str">
        <f>IF(C2505="","",COUNTA($C$3:C2505))</f>
        <v/>
      </c>
      <c r="B2505" s="35" t="str">
        <f t="shared" si="55"/>
        <v/>
      </c>
      <c r="C2505" s="33"/>
      <c r="E2505" s="60"/>
      <c r="F2505" s="18"/>
      <c r="G2505" s="18"/>
      <c r="H2505" s="49"/>
      <c r="I2505" s="49"/>
      <c r="M2505" s="53"/>
    </row>
    <row r="2506" spans="1:17" x14ac:dyDescent="0.25">
      <c r="A2506" s="21" t="str">
        <f>IF(C2506="","",COUNTA($C$3:C2506))</f>
        <v/>
      </c>
      <c r="B2506" s="35" t="str">
        <f t="shared" si="55"/>
        <v/>
      </c>
      <c r="C2506" s="33"/>
      <c r="E2506" s="60"/>
      <c r="F2506" s="18"/>
      <c r="G2506" s="18"/>
      <c r="H2506" s="49"/>
      <c r="I2506" s="49"/>
      <c r="M2506" s="53"/>
    </row>
    <row r="2507" spans="1:17" x14ac:dyDescent="0.25">
      <c r="A2507" s="21" t="str">
        <f>IF(C2507="","",COUNTA($C$3:C2507))</f>
        <v/>
      </c>
      <c r="B2507" s="35" t="str">
        <f t="shared" si="55"/>
        <v/>
      </c>
      <c r="C2507" s="33"/>
      <c r="E2507" s="60"/>
      <c r="F2507" s="18"/>
      <c r="G2507" s="18"/>
      <c r="H2507" s="49"/>
      <c r="I2507" s="49"/>
      <c r="M2507" s="53"/>
    </row>
    <row r="2508" spans="1:17" x14ac:dyDescent="0.25">
      <c r="A2508" s="21" t="str">
        <f>IF(C2508="","",COUNTA($C$3:C2508))</f>
        <v/>
      </c>
      <c r="B2508" s="35" t="str">
        <f t="shared" si="55"/>
        <v/>
      </c>
      <c r="C2508" s="33"/>
      <c r="E2508" s="60"/>
      <c r="F2508" s="18"/>
      <c r="G2508" s="18"/>
      <c r="H2508" s="49"/>
      <c r="I2508" s="49"/>
      <c r="M2508" s="53"/>
    </row>
    <row r="2509" spans="1:17" x14ac:dyDescent="0.25">
      <c r="A2509" s="21" t="str">
        <f>IF(C2509="","",COUNTA($C$3:C2509))</f>
        <v/>
      </c>
      <c r="B2509" s="35" t="str">
        <f t="shared" si="55"/>
        <v/>
      </c>
      <c r="C2509" s="33"/>
      <c r="E2509" s="60"/>
      <c r="F2509" s="18"/>
      <c r="G2509" s="18"/>
      <c r="H2509" s="49"/>
      <c r="I2509" s="49"/>
      <c r="M2509" s="53"/>
    </row>
    <row r="2510" spans="1:17" x14ac:dyDescent="0.25">
      <c r="A2510" s="21" t="str">
        <f>IF(C2510="","",COUNTA($C$3:C2510))</f>
        <v/>
      </c>
      <c r="B2510" s="35" t="str">
        <f t="shared" si="55"/>
        <v/>
      </c>
      <c r="C2510" s="33"/>
      <c r="E2510" s="60"/>
      <c r="F2510" s="18"/>
      <c r="G2510" s="18"/>
      <c r="H2510" s="49"/>
      <c r="I2510" s="49"/>
      <c r="M2510" s="53"/>
    </row>
    <row r="2511" spans="1:17" x14ac:dyDescent="0.25">
      <c r="A2511" s="21" t="str">
        <f>IF(C2511="","",COUNTA($C$3:C2511))</f>
        <v/>
      </c>
      <c r="B2511" s="35" t="str">
        <f t="shared" si="55"/>
        <v/>
      </c>
      <c r="C2511" s="33"/>
      <c r="E2511" s="60"/>
      <c r="F2511" s="18"/>
      <c r="G2511" s="18"/>
      <c r="H2511" s="49"/>
      <c r="I2511" s="49"/>
      <c r="M2511" s="53"/>
    </row>
    <row r="2512" spans="1:17" x14ac:dyDescent="0.25">
      <c r="A2512" s="21" t="str">
        <f>IF(C2512="","",COUNTA($C$3:C2512))</f>
        <v/>
      </c>
      <c r="B2512" s="35" t="str">
        <f t="shared" si="55"/>
        <v/>
      </c>
      <c r="C2512" s="33"/>
      <c r="E2512" s="60"/>
      <c r="F2512" s="18"/>
      <c r="G2512" s="18"/>
      <c r="H2512" s="49"/>
      <c r="I2512" s="49"/>
      <c r="L2512" s="62"/>
      <c r="M2512" s="53"/>
    </row>
    <row r="2513" spans="1:15" x14ac:dyDescent="0.25">
      <c r="A2513" s="21" t="str">
        <f>IF(C2513="","",COUNTA($C$3:C2513))</f>
        <v/>
      </c>
      <c r="B2513" s="35" t="str">
        <f t="shared" si="55"/>
        <v/>
      </c>
      <c r="C2513" s="33"/>
      <c r="E2513" s="60"/>
      <c r="F2513" s="18"/>
      <c r="G2513" s="18"/>
      <c r="H2513" s="49"/>
      <c r="I2513" s="49"/>
      <c r="M2513" s="53"/>
    </row>
    <row r="2514" spans="1:15" x14ac:dyDescent="0.25">
      <c r="A2514" s="21" t="str">
        <f>IF(C2514="","",COUNTA($C$3:C2514))</f>
        <v/>
      </c>
      <c r="B2514" s="35" t="str">
        <f t="shared" si="55"/>
        <v/>
      </c>
      <c r="C2514" s="33"/>
      <c r="E2514" s="60"/>
      <c r="F2514" s="18"/>
      <c r="G2514" s="18"/>
      <c r="H2514" s="49"/>
      <c r="I2514" s="49"/>
      <c r="M2514" s="53"/>
    </row>
    <row r="2515" spans="1:15" x14ac:dyDescent="0.25">
      <c r="A2515" s="21" t="str">
        <f>IF(C2515="","",COUNTA($C$3:C2515))</f>
        <v/>
      </c>
      <c r="B2515" s="35" t="str">
        <f t="shared" si="55"/>
        <v/>
      </c>
      <c r="C2515" s="33"/>
      <c r="E2515" s="60"/>
      <c r="F2515" s="18"/>
      <c r="G2515" s="18"/>
      <c r="H2515" s="49"/>
      <c r="I2515" s="49"/>
      <c r="M2515" s="53"/>
    </row>
    <row r="2516" spans="1:15" x14ac:dyDescent="0.25">
      <c r="A2516" s="21" t="str">
        <f>IF(C2516="","",COUNTA($C$3:C2516))</f>
        <v/>
      </c>
      <c r="B2516" s="35" t="str">
        <f t="shared" si="55"/>
        <v/>
      </c>
      <c r="C2516" s="33"/>
      <c r="E2516" s="60"/>
      <c r="F2516" s="18"/>
      <c r="G2516" s="18"/>
      <c r="H2516" s="49"/>
      <c r="I2516" s="49"/>
      <c r="M2516" s="53"/>
    </row>
    <row r="2517" spans="1:15" x14ac:dyDescent="0.25">
      <c r="A2517" s="21" t="str">
        <f>IF(C2517="","",COUNTA($C$3:C2517))</f>
        <v/>
      </c>
      <c r="B2517" s="35" t="str">
        <f t="shared" si="55"/>
        <v/>
      </c>
      <c r="C2517" s="33"/>
      <c r="E2517" s="60"/>
      <c r="F2517" s="18"/>
      <c r="G2517" s="18"/>
      <c r="H2517" s="49"/>
      <c r="I2517" s="49"/>
      <c r="M2517" s="53"/>
    </row>
    <row r="2518" spans="1:15" x14ac:dyDescent="0.25">
      <c r="A2518" s="21" t="str">
        <f>IF(C2518="","",COUNTA($C$3:C2518))</f>
        <v/>
      </c>
      <c r="B2518" s="35" t="str">
        <f t="shared" si="55"/>
        <v/>
      </c>
      <c r="C2518" s="33"/>
      <c r="E2518" s="60"/>
      <c r="F2518" s="18"/>
      <c r="G2518" s="18"/>
      <c r="H2518" s="49"/>
      <c r="I2518" s="49"/>
      <c r="M2518" s="53"/>
    </row>
    <row r="2519" spans="1:15" x14ac:dyDescent="0.25">
      <c r="A2519" s="21" t="str">
        <f>IF(C2519="","",COUNTA($C$3:C2519))</f>
        <v/>
      </c>
      <c r="B2519" s="35" t="str">
        <f t="shared" si="55"/>
        <v/>
      </c>
      <c r="C2519" s="33"/>
      <c r="E2519" s="60"/>
      <c r="F2519" s="18"/>
      <c r="G2519" s="18"/>
      <c r="H2519" s="49"/>
      <c r="I2519" s="49"/>
      <c r="M2519" s="53"/>
    </row>
    <row r="2520" spans="1:15" x14ac:dyDescent="0.25">
      <c r="A2520" s="21" t="str">
        <f>IF(C2520="","",COUNTA($C$3:C2520))</f>
        <v/>
      </c>
      <c r="B2520" s="35" t="str">
        <f t="shared" si="55"/>
        <v/>
      </c>
      <c r="C2520" s="33"/>
      <c r="E2520" s="60"/>
      <c r="F2520" s="18"/>
      <c r="G2520" s="18"/>
      <c r="H2520" s="49"/>
      <c r="I2520" s="49"/>
      <c r="L2520" s="62"/>
      <c r="M2520" s="53"/>
    </row>
    <row r="2521" spans="1:15" x14ac:dyDescent="0.25">
      <c r="A2521" s="21" t="str">
        <f>IF(C2521="","",COUNTA($C$3:C2521))</f>
        <v/>
      </c>
      <c r="B2521" s="35" t="str">
        <f t="shared" si="55"/>
        <v/>
      </c>
      <c r="C2521" s="33"/>
      <c r="E2521" s="60"/>
      <c r="F2521" s="18"/>
      <c r="G2521" s="18"/>
      <c r="H2521" s="49"/>
      <c r="I2521" s="49"/>
      <c r="M2521" s="53"/>
    </row>
    <row r="2522" spans="1:15" x14ac:dyDescent="0.25">
      <c r="A2522" s="21" t="str">
        <f>IF(C2522="","",COUNTA($C$3:C2522))</f>
        <v/>
      </c>
      <c r="B2522" s="35" t="str">
        <f t="shared" si="55"/>
        <v/>
      </c>
      <c r="C2522" s="33"/>
      <c r="E2522" s="60"/>
      <c r="F2522" s="18"/>
      <c r="G2522" s="18"/>
      <c r="H2522" s="49"/>
      <c r="I2522" s="49"/>
      <c r="M2522" s="53"/>
    </row>
    <row r="2523" spans="1:15" x14ac:dyDescent="0.25">
      <c r="A2523" s="21" t="str">
        <f>IF(C2523="","",COUNTA($C$3:C2523))</f>
        <v/>
      </c>
      <c r="B2523" s="35" t="str">
        <f t="shared" si="55"/>
        <v/>
      </c>
      <c r="C2523" s="33"/>
      <c r="E2523" s="60"/>
      <c r="F2523" s="18"/>
      <c r="G2523" s="18"/>
      <c r="H2523" s="49"/>
      <c r="I2523" s="49"/>
      <c r="M2523" s="53"/>
    </row>
    <row r="2524" spans="1:15" x14ac:dyDescent="0.25">
      <c r="A2524" s="21" t="str">
        <f>IF(C2524="","",COUNTA($C$3:C2524))</f>
        <v/>
      </c>
      <c r="B2524" s="35" t="str">
        <f t="shared" si="55"/>
        <v/>
      </c>
      <c r="C2524" s="33"/>
      <c r="E2524" s="60"/>
      <c r="F2524" s="18"/>
      <c r="G2524" s="18"/>
      <c r="H2524" s="49"/>
      <c r="I2524" s="49"/>
      <c r="M2524" s="53"/>
    </row>
    <row r="2525" spans="1:15" x14ac:dyDescent="0.25">
      <c r="A2525" s="21" t="str">
        <f>IF(C2525="","",COUNTA($C$3:C2525))</f>
        <v/>
      </c>
      <c r="B2525" s="35" t="str">
        <f t="shared" si="55"/>
        <v/>
      </c>
      <c r="C2525" s="33"/>
      <c r="E2525" s="60"/>
      <c r="F2525" s="18"/>
      <c r="G2525" s="18"/>
      <c r="H2525" s="49"/>
      <c r="I2525" s="49"/>
      <c r="M2525" s="53"/>
    </row>
    <row r="2526" spans="1:15" x14ac:dyDescent="0.25">
      <c r="A2526" s="21" t="str">
        <f>IF(C2526="","",COUNTA($C$3:C2526))</f>
        <v/>
      </c>
      <c r="B2526" s="35" t="str">
        <f t="shared" si="55"/>
        <v/>
      </c>
      <c r="C2526" s="33"/>
      <c r="E2526" s="60"/>
      <c r="F2526" s="18"/>
      <c r="G2526" s="18"/>
      <c r="H2526" s="49"/>
      <c r="I2526" s="49"/>
      <c r="M2526" s="53"/>
    </row>
    <row r="2527" spans="1:15" x14ac:dyDescent="0.25">
      <c r="A2527" s="21" t="str">
        <f>IF(C2527="","",COUNTA($C$3:C2527))</f>
        <v/>
      </c>
      <c r="B2527" s="35" t="str">
        <f t="shared" si="55"/>
        <v/>
      </c>
      <c r="C2527" s="33"/>
      <c r="E2527" s="60"/>
      <c r="F2527" s="18"/>
      <c r="G2527" s="18"/>
      <c r="H2527" s="49"/>
      <c r="I2527" s="49"/>
      <c r="M2527" s="53"/>
      <c r="O2527" s="59"/>
    </row>
    <row r="2528" spans="1:15" x14ac:dyDescent="0.25">
      <c r="A2528" s="21" t="str">
        <f>IF(C2528="","",COUNTA($C$3:C2528))</f>
        <v/>
      </c>
      <c r="B2528" s="35" t="str">
        <f t="shared" si="55"/>
        <v/>
      </c>
      <c r="C2528" s="33"/>
      <c r="E2528" s="60"/>
      <c r="F2528" s="18"/>
      <c r="G2528" s="18"/>
      <c r="H2528" s="49"/>
      <c r="I2528" s="49"/>
      <c r="L2528" s="62"/>
      <c r="M2528" s="53"/>
      <c r="O2528" s="69"/>
    </row>
    <row r="2529" spans="1:13" x14ac:dyDescent="0.25">
      <c r="A2529" s="21" t="str">
        <f>IF(C2529="","",COUNTA($C$3:C2529))</f>
        <v/>
      </c>
      <c r="B2529" s="35" t="str">
        <f t="shared" si="55"/>
        <v/>
      </c>
      <c r="C2529" s="33"/>
      <c r="E2529" s="60"/>
      <c r="F2529" s="18"/>
      <c r="G2529" s="18"/>
      <c r="H2529" s="49"/>
      <c r="I2529" s="49"/>
      <c r="K2529" s="67"/>
      <c r="M2529" s="53"/>
    </row>
    <row r="2530" spans="1:13" x14ac:dyDescent="0.25">
      <c r="A2530" s="21" t="str">
        <f>IF(C2530="","",COUNTA($C$3:C2530))</f>
        <v/>
      </c>
      <c r="B2530" s="35" t="str">
        <f t="shared" si="55"/>
        <v/>
      </c>
      <c r="C2530" s="33"/>
      <c r="E2530" s="60"/>
      <c r="F2530" s="18"/>
      <c r="G2530" s="18"/>
      <c r="H2530" s="49"/>
      <c r="I2530" s="49"/>
      <c r="M2530" s="53"/>
    </row>
    <row r="2531" spans="1:13" x14ac:dyDescent="0.25">
      <c r="A2531" s="21" t="str">
        <f>IF(C2531="","",COUNTA($C$3:C2531))</f>
        <v/>
      </c>
      <c r="B2531" s="35" t="str">
        <f t="shared" si="55"/>
        <v/>
      </c>
      <c r="C2531" s="33"/>
      <c r="E2531" s="60"/>
      <c r="F2531" s="18"/>
      <c r="G2531" s="18"/>
      <c r="H2531" s="49"/>
      <c r="I2531" s="49"/>
      <c r="M2531" s="53"/>
    </row>
    <row r="2532" spans="1:13" x14ac:dyDescent="0.25">
      <c r="A2532" s="21" t="str">
        <f>IF(C2532="","",COUNTA($C$3:C2532))</f>
        <v/>
      </c>
      <c r="B2532" s="35" t="str">
        <f t="shared" si="55"/>
        <v/>
      </c>
      <c r="C2532" s="33"/>
      <c r="E2532" s="60"/>
      <c r="F2532" s="18"/>
      <c r="G2532" s="18"/>
      <c r="H2532" s="49"/>
      <c r="I2532" s="49"/>
      <c r="M2532" s="53"/>
    </row>
    <row r="2533" spans="1:13" x14ac:dyDescent="0.25">
      <c r="A2533" s="21" t="str">
        <f>IF(C2533="","",COUNTA($C$3:C2533))</f>
        <v/>
      </c>
      <c r="B2533" s="35" t="str">
        <f t="shared" si="55"/>
        <v/>
      </c>
      <c r="C2533" s="33"/>
      <c r="E2533" s="60"/>
      <c r="F2533" s="18"/>
      <c r="G2533" s="18"/>
      <c r="H2533" s="49"/>
      <c r="I2533" s="49"/>
      <c r="M2533" s="53"/>
    </row>
    <row r="2534" spans="1:13" x14ac:dyDescent="0.25">
      <c r="A2534" s="21" t="str">
        <f>IF(C2534="","",COUNTA($C$3:C2534))</f>
        <v/>
      </c>
      <c r="B2534" s="35" t="str">
        <f t="shared" si="55"/>
        <v/>
      </c>
      <c r="C2534" s="33"/>
      <c r="E2534" s="60"/>
      <c r="F2534" s="18"/>
      <c r="G2534" s="18"/>
      <c r="H2534" s="49"/>
      <c r="I2534" s="49"/>
      <c r="M2534" s="53"/>
    </row>
    <row r="2535" spans="1:13" x14ac:dyDescent="0.25">
      <c r="A2535" s="21" t="str">
        <f>IF(C2535="","",COUNTA($C$3:C2535))</f>
        <v/>
      </c>
      <c r="B2535" s="35" t="str">
        <f t="shared" si="55"/>
        <v/>
      </c>
      <c r="C2535" s="33"/>
      <c r="E2535" s="60"/>
      <c r="F2535" s="18"/>
      <c r="G2535" s="18"/>
      <c r="H2535" s="49"/>
      <c r="I2535" s="49"/>
      <c r="L2535" s="62"/>
      <c r="M2535" s="53"/>
    </row>
    <row r="2536" spans="1:13" x14ac:dyDescent="0.25">
      <c r="A2536" s="21" t="str">
        <f>IF(C2536="","",COUNTA($C$3:C2536))</f>
        <v/>
      </c>
      <c r="B2536" s="35" t="str">
        <f t="shared" si="55"/>
        <v/>
      </c>
      <c r="C2536" s="33"/>
      <c r="E2536" s="60"/>
      <c r="F2536" s="18"/>
      <c r="G2536" s="18"/>
      <c r="H2536" s="49"/>
      <c r="I2536" s="49"/>
      <c r="M2536" s="53"/>
    </row>
    <row r="2537" spans="1:13" x14ac:dyDescent="0.25">
      <c r="A2537" s="21" t="str">
        <f>IF(C2537="","",COUNTA($C$3:C2537))</f>
        <v/>
      </c>
      <c r="B2537" s="35" t="str">
        <f t="shared" si="55"/>
        <v/>
      </c>
      <c r="C2537" s="33"/>
      <c r="E2537" s="60"/>
      <c r="F2537" s="18"/>
      <c r="G2537" s="18"/>
      <c r="H2537" s="49"/>
      <c r="I2537" s="49"/>
      <c r="M2537" s="53"/>
    </row>
    <row r="2538" spans="1:13" x14ac:dyDescent="0.25">
      <c r="A2538" s="21" t="str">
        <f>IF(C2538="","",COUNTA($C$3:C2538))</f>
        <v/>
      </c>
      <c r="B2538" s="35" t="str">
        <f t="shared" si="55"/>
        <v/>
      </c>
      <c r="C2538" s="33"/>
      <c r="E2538" s="60"/>
      <c r="F2538" s="18"/>
      <c r="G2538" s="18"/>
      <c r="H2538" s="49"/>
      <c r="I2538" s="49"/>
      <c r="M2538" s="53"/>
    </row>
    <row r="2539" spans="1:13" x14ac:dyDescent="0.25">
      <c r="A2539" s="21" t="str">
        <f>IF(C2539="","",COUNTA($C$3:C2539))</f>
        <v/>
      </c>
      <c r="B2539" s="35" t="str">
        <f t="shared" si="55"/>
        <v/>
      </c>
      <c r="C2539" s="33"/>
      <c r="E2539" s="60"/>
      <c r="F2539" s="18"/>
      <c r="G2539" s="18"/>
      <c r="H2539" s="49"/>
      <c r="I2539" s="76"/>
      <c r="M2539" s="53"/>
    </row>
    <row r="2540" spans="1:13" x14ac:dyDescent="0.25">
      <c r="A2540" s="21" t="str">
        <f>IF(C2540="","",COUNTA($C$3:C2540))</f>
        <v/>
      </c>
      <c r="B2540" s="35" t="str">
        <f t="shared" si="55"/>
        <v/>
      </c>
      <c r="C2540" s="33"/>
      <c r="E2540" s="60"/>
      <c r="F2540" s="18"/>
      <c r="G2540" s="18"/>
      <c r="H2540" s="49"/>
      <c r="I2540" s="49"/>
      <c r="M2540" s="53"/>
    </row>
    <row r="2541" spans="1:13" x14ac:dyDescent="0.25">
      <c r="A2541" s="21" t="str">
        <f>IF(C2541="","",COUNTA($C$3:C2541))</f>
        <v/>
      </c>
      <c r="B2541" s="35" t="str">
        <f t="shared" si="55"/>
        <v/>
      </c>
      <c r="C2541" s="33"/>
      <c r="E2541" s="60"/>
      <c r="F2541" s="18"/>
      <c r="G2541" s="18"/>
      <c r="H2541" s="49"/>
      <c r="I2541" s="49"/>
      <c r="M2541" s="53"/>
    </row>
    <row r="2542" spans="1:13" x14ac:dyDescent="0.25">
      <c r="A2542" s="21" t="str">
        <f>IF(C2542="","",COUNTA($C$3:C2542))</f>
        <v/>
      </c>
      <c r="B2542" s="35" t="str">
        <f t="shared" si="55"/>
        <v/>
      </c>
      <c r="C2542" s="33"/>
      <c r="E2542" s="60"/>
      <c r="F2542" s="18"/>
      <c r="G2542" s="18"/>
      <c r="H2542" s="49"/>
      <c r="I2542" s="49"/>
      <c r="M2542" s="53"/>
    </row>
    <row r="2543" spans="1:13" x14ac:dyDescent="0.25">
      <c r="A2543" s="21" t="str">
        <f>IF(C2543="","",COUNTA($C$3:C2543))</f>
        <v/>
      </c>
      <c r="B2543" s="35" t="str">
        <f t="shared" si="55"/>
        <v/>
      </c>
      <c r="C2543" s="33"/>
      <c r="E2543" s="60"/>
      <c r="F2543" s="18"/>
      <c r="G2543" s="18"/>
      <c r="H2543" s="49"/>
      <c r="I2543" s="49"/>
      <c r="M2543" s="53"/>
    </row>
    <row r="2544" spans="1:13" x14ac:dyDescent="0.25">
      <c r="A2544" s="21" t="str">
        <f>IF(C2544="","",COUNTA($C$3:C2544))</f>
        <v/>
      </c>
      <c r="B2544" s="35" t="str">
        <f t="shared" si="55"/>
        <v/>
      </c>
      <c r="C2544" s="33"/>
      <c r="E2544" s="60"/>
      <c r="F2544" s="18"/>
      <c r="G2544" s="18"/>
      <c r="H2544" s="49"/>
      <c r="I2544" s="49"/>
      <c r="M2544" s="53"/>
    </row>
    <row r="2545" spans="1:15" x14ac:dyDescent="0.25">
      <c r="A2545" s="21" t="str">
        <f>IF(C2545="","",COUNTA($C$3:C2545))</f>
        <v/>
      </c>
      <c r="B2545" s="35" t="str">
        <f t="shared" si="55"/>
        <v/>
      </c>
      <c r="C2545" s="33"/>
      <c r="E2545" s="60"/>
      <c r="F2545" s="18"/>
      <c r="G2545" s="18"/>
      <c r="H2545" s="49"/>
      <c r="I2545" s="49"/>
      <c r="M2545" s="53"/>
    </row>
    <row r="2546" spans="1:15" x14ac:dyDescent="0.25">
      <c r="A2546" s="21" t="str">
        <f>IF(C2546="","",COUNTA($C$3:C2546))</f>
        <v/>
      </c>
      <c r="B2546" s="35" t="str">
        <f t="shared" si="55"/>
        <v/>
      </c>
      <c r="C2546" s="33"/>
      <c r="E2546" s="60"/>
      <c r="F2546" s="18"/>
      <c r="G2546" s="18"/>
      <c r="H2546" s="49"/>
      <c r="I2546" s="49"/>
      <c r="M2546" s="53"/>
      <c r="O2546" s="59"/>
    </row>
    <row r="2547" spans="1:15" x14ac:dyDescent="0.25">
      <c r="A2547" s="21" t="str">
        <f>IF(C2547="","",COUNTA($C$3:C2547))</f>
        <v/>
      </c>
      <c r="B2547" s="35" t="str">
        <f t="shared" si="55"/>
        <v/>
      </c>
      <c r="C2547" s="33"/>
      <c r="E2547" s="60"/>
      <c r="F2547" s="18"/>
      <c r="G2547" s="18"/>
      <c r="H2547" s="49"/>
      <c r="I2547" s="49"/>
      <c r="M2547" s="53"/>
      <c r="O2547" s="59"/>
    </row>
    <row r="2548" spans="1:15" x14ac:dyDescent="0.25">
      <c r="A2548" s="21" t="str">
        <f>IF(C2548="","",COUNTA($C$3:C2548))</f>
        <v/>
      </c>
      <c r="B2548" s="35" t="str">
        <f t="shared" si="55"/>
        <v/>
      </c>
      <c r="C2548" s="33"/>
      <c r="E2548" s="60"/>
      <c r="F2548" s="18"/>
      <c r="G2548" s="18"/>
      <c r="H2548" s="49"/>
      <c r="I2548" s="49"/>
      <c r="M2548" s="53"/>
      <c r="N2548" s="69"/>
      <c r="O2548" s="59"/>
    </row>
    <row r="2549" spans="1:15" x14ac:dyDescent="0.25">
      <c r="A2549" s="21" t="str">
        <f>IF(C2549="","",COUNTA($C$3:C2549))</f>
        <v/>
      </c>
      <c r="B2549" s="35" t="str">
        <f t="shared" si="55"/>
        <v/>
      </c>
      <c r="C2549" s="33"/>
      <c r="E2549" s="60"/>
      <c r="F2549" s="18"/>
      <c r="G2549" s="18"/>
      <c r="H2549" s="49"/>
      <c r="I2549" s="49"/>
      <c r="K2549" s="67"/>
      <c r="M2549" s="53"/>
    </row>
    <row r="2550" spans="1:15" x14ac:dyDescent="0.25">
      <c r="A2550" s="21" t="str">
        <f>IF(C2550="","",COUNTA($C$3:C2550))</f>
        <v/>
      </c>
      <c r="B2550" s="35" t="str">
        <f t="shared" si="55"/>
        <v/>
      </c>
      <c r="C2550" s="33"/>
      <c r="E2550" s="60"/>
      <c r="F2550" s="18"/>
      <c r="G2550" s="18"/>
      <c r="H2550" s="49"/>
      <c r="I2550" s="49"/>
      <c r="M2550" s="53"/>
    </row>
    <row r="2551" spans="1:15" x14ac:dyDescent="0.25">
      <c r="A2551" s="21" t="str">
        <f>IF(C2551="","",COUNTA($C$3:C2551))</f>
        <v/>
      </c>
      <c r="B2551" s="35" t="str">
        <f t="shared" si="55"/>
        <v/>
      </c>
      <c r="C2551" s="33"/>
      <c r="E2551" s="60"/>
      <c r="F2551" s="18"/>
      <c r="G2551" s="18"/>
      <c r="H2551" s="49"/>
      <c r="I2551" s="49"/>
      <c r="M2551" s="53"/>
    </row>
    <row r="2552" spans="1:15" x14ac:dyDescent="0.25">
      <c r="A2552" s="21" t="str">
        <f>IF(C2552="","",COUNTA($C$3:C2552))</f>
        <v/>
      </c>
      <c r="B2552" s="35" t="str">
        <f t="shared" si="55"/>
        <v/>
      </c>
      <c r="C2552" s="33"/>
      <c r="E2552" s="60"/>
      <c r="F2552" s="18"/>
      <c r="G2552" s="18"/>
      <c r="H2552" s="49"/>
      <c r="I2552" s="49"/>
      <c r="M2552" s="53"/>
    </row>
    <row r="2553" spans="1:15" x14ac:dyDescent="0.25">
      <c r="A2553" s="21" t="str">
        <f>IF(C2553="","",COUNTA($C$3:C2553))</f>
        <v/>
      </c>
      <c r="B2553" s="35" t="str">
        <f t="shared" si="55"/>
        <v/>
      </c>
      <c r="C2553" s="33"/>
      <c r="E2553" s="60"/>
      <c r="F2553" s="18"/>
      <c r="G2553" s="18"/>
      <c r="H2553" s="49"/>
      <c r="I2553" s="49"/>
      <c r="K2553" s="67"/>
      <c r="M2553" s="53"/>
    </row>
    <row r="2554" spans="1:15" x14ac:dyDescent="0.25">
      <c r="A2554" s="21" t="str">
        <f>IF(C2554="","",COUNTA($C$3:C2554))</f>
        <v/>
      </c>
      <c r="B2554" s="35" t="str">
        <f t="shared" si="55"/>
        <v/>
      </c>
      <c r="C2554" s="33"/>
      <c r="E2554" s="60"/>
      <c r="F2554" s="18"/>
      <c r="G2554" s="18"/>
      <c r="H2554" s="49"/>
      <c r="I2554" s="49"/>
      <c r="M2554" s="53"/>
    </row>
    <row r="2555" spans="1:15" x14ac:dyDescent="0.25">
      <c r="A2555" s="21" t="str">
        <f>IF(C2555="","",COUNTA($C$3:C2555))</f>
        <v/>
      </c>
      <c r="B2555" s="35" t="str">
        <f t="shared" si="55"/>
        <v/>
      </c>
      <c r="C2555" s="33"/>
      <c r="E2555" s="60"/>
      <c r="F2555" s="18"/>
      <c r="G2555" s="18"/>
      <c r="H2555" s="49"/>
      <c r="I2555" s="49"/>
      <c r="M2555" s="53"/>
    </row>
    <row r="2556" spans="1:15" x14ac:dyDescent="0.25">
      <c r="A2556" s="21" t="str">
        <f>IF(C2556="","",COUNTA($C$3:C2556))</f>
        <v/>
      </c>
      <c r="B2556" s="35" t="str">
        <f t="shared" si="55"/>
        <v/>
      </c>
      <c r="C2556" s="33"/>
      <c r="E2556" s="60"/>
      <c r="F2556" s="18"/>
      <c r="G2556" s="18"/>
      <c r="H2556" s="49"/>
      <c r="I2556" s="49"/>
      <c r="M2556" s="53"/>
    </row>
    <row r="2557" spans="1:15" x14ac:dyDescent="0.25">
      <c r="A2557" s="21" t="str">
        <f>IF(C2557="","",COUNTA($C$3:C2557))</f>
        <v/>
      </c>
      <c r="B2557" s="35" t="str">
        <f t="shared" si="55"/>
        <v/>
      </c>
      <c r="C2557" s="33"/>
      <c r="E2557" s="60"/>
      <c r="F2557" s="18"/>
      <c r="G2557" s="18"/>
      <c r="H2557" s="49"/>
      <c r="I2557" s="49"/>
      <c r="K2557" s="55"/>
      <c r="M2557" s="53"/>
    </row>
    <row r="2558" spans="1:15" x14ac:dyDescent="0.25">
      <c r="A2558" s="21" t="str">
        <f>IF(C2558="","",COUNTA($C$3:C2558))</f>
        <v/>
      </c>
      <c r="B2558" s="35" t="str">
        <f t="shared" si="55"/>
        <v/>
      </c>
      <c r="C2558" s="33"/>
      <c r="E2558" s="60"/>
      <c r="F2558" s="18"/>
      <c r="G2558" s="18"/>
      <c r="H2558" s="49"/>
      <c r="I2558" s="49"/>
      <c r="M2558" s="53"/>
    </row>
    <row r="2559" spans="1:15" x14ac:dyDescent="0.25">
      <c r="A2559" s="21" t="str">
        <f>IF(C2559="","",COUNTA($C$3:C2559))</f>
        <v/>
      </c>
      <c r="B2559" s="35" t="str">
        <f t="shared" si="55"/>
        <v/>
      </c>
      <c r="C2559" s="33"/>
      <c r="E2559" s="60"/>
      <c r="F2559" s="18"/>
      <c r="G2559" s="18"/>
      <c r="H2559" s="49"/>
      <c r="I2559" s="49"/>
      <c r="L2559" s="62"/>
      <c r="M2559" s="53"/>
      <c r="O2559" s="59"/>
    </row>
    <row r="2560" spans="1:15" x14ac:dyDescent="0.25">
      <c r="A2560" s="21" t="str">
        <f>IF(C2560="","",COUNTA($C$3:C2560))</f>
        <v/>
      </c>
      <c r="B2560" s="35" t="str">
        <f t="shared" si="55"/>
        <v/>
      </c>
      <c r="C2560" s="33"/>
      <c r="E2560" s="60"/>
      <c r="F2560" s="18"/>
      <c r="G2560" s="18"/>
      <c r="H2560" s="49"/>
      <c r="I2560" s="49"/>
      <c r="L2560" s="53"/>
      <c r="M2560" s="53"/>
    </row>
    <row r="2561" spans="1:17" x14ac:dyDescent="0.25">
      <c r="A2561" s="21" t="str">
        <f>IF(C2561="","",COUNTA($C$3:C2561))</f>
        <v/>
      </c>
      <c r="B2561" s="35" t="str">
        <f t="shared" si="55"/>
        <v/>
      </c>
      <c r="C2561" s="33"/>
      <c r="E2561" s="60"/>
      <c r="F2561" s="18"/>
      <c r="G2561" s="18"/>
      <c r="H2561" s="49"/>
      <c r="I2561" s="49"/>
      <c r="M2561" s="53"/>
      <c r="O2561" s="59"/>
    </row>
    <row r="2562" spans="1:17" x14ac:dyDescent="0.25">
      <c r="A2562" s="21" t="str">
        <f>IF(C2562="","",COUNTA($C$3:C2562))</f>
        <v/>
      </c>
      <c r="B2562" s="35" t="str">
        <f t="shared" si="55"/>
        <v/>
      </c>
      <c r="C2562" s="33"/>
      <c r="E2562" s="60"/>
      <c r="F2562" s="18"/>
      <c r="G2562" s="18"/>
      <c r="H2562" s="49"/>
      <c r="I2562" s="49"/>
      <c r="K2562" s="67"/>
      <c r="M2562" s="53"/>
      <c r="O2562" s="59"/>
      <c r="P2562" s="59"/>
      <c r="Q2562" s="59"/>
    </row>
    <row r="2563" spans="1:17" x14ac:dyDescent="0.25">
      <c r="A2563" s="21" t="str">
        <f>IF(C2563="","",COUNTA($C$3:C2563))</f>
        <v/>
      </c>
      <c r="B2563" s="35" t="str">
        <f t="shared" si="55"/>
        <v/>
      </c>
      <c r="C2563" s="33"/>
      <c r="E2563" s="60"/>
      <c r="F2563" s="18"/>
      <c r="G2563" s="18"/>
      <c r="H2563" s="49"/>
      <c r="I2563" s="49"/>
      <c r="M2563" s="53"/>
      <c r="O2563" s="59"/>
      <c r="P2563" s="71"/>
      <c r="Q2563" s="59"/>
    </row>
    <row r="2564" spans="1:17" x14ac:dyDescent="0.25">
      <c r="A2564" s="21" t="str">
        <f>IF(C2564="","",COUNTA($C$3:C2564))</f>
        <v/>
      </c>
      <c r="B2564" s="35" t="str">
        <f t="shared" si="55"/>
        <v/>
      </c>
      <c r="C2564" s="33"/>
      <c r="E2564" s="60"/>
      <c r="F2564" s="18"/>
      <c r="G2564" s="18"/>
      <c r="H2564" s="49"/>
      <c r="I2564" s="49"/>
      <c r="M2564" s="53"/>
    </row>
    <row r="2565" spans="1:17" x14ac:dyDescent="0.25">
      <c r="A2565" s="21" t="str">
        <f>IF(C2565="","",COUNTA($C$3:C2565))</f>
        <v/>
      </c>
      <c r="B2565" s="35" t="str">
        <f t="shared" ref="B2565:B2628" si="56">IF(C2565="","",TEXT(C2565,"mmmm"))</f>
        <v/>
      </c>
      <c r="C2565" s="33"/>
      <c r="E2565" s="60"/>
      <c r="F2565" s="18"/>
      <c r="G2565" s="18"/>
      <c r="H2565" s="49"/>
      <c r="I2565" s="49"/>
      <c r="M2565" s="53"/>
      <c r="O2565" s="59"/>
      <c r="P2565" s="69"/>
      <c r="Q2565" s="59"/>
    </row>
    <row r="2566" spans="1:17" x14ac:dyDescent="0.25">
      <c r="A2566" s="21" t="str">
        <f>IF(C2566="","",COUNTA($C$3:C2566))</f>
        <v/>
      </c>
      <c r="B2566" s="35" t="str">
        <f t="shared" si="56"/>
        <v/>
      </c>
      <c r="C2566" s="33"/>
      <c r="E2566" s="60"/>
      <c r="F2566" s="18"/>
      <c r="G2566" s="18"/>
      <c r="H2566" s="49"/>
      <c r="I2566" s="49"/>
      <c r="M2566" s="53"/>
      <c r="O2566" s="59"/>
      <c r="P2566" s="59"/>
      <c r="Q2566" s="59"/>
    </row>
    <row r="2567" spans="1:17" x14ac:dyDescent="0.25">
      <c r="A2567" s="21" t="str">
        <f>IF(C2567="","",COUNTA($C$3:C2567))</f>
        <v/>
      </c>
      <c r="B2567" s="35" t="str">
        <f t="shared" si="56"/>
        <v/>
      </c>
      <c r="C2567" s="33"/>
      <c r="E2567" s="60"/>
      <c r="F2567" s="18"/>
      <c r="G2567" s="18"/>
      <c r="H2567" s="49"/>
      <c r="I2567" s="49"/>
      <c r="M2567" s="53"/>
      <c r="O2567" s="59"/>
      <c r="P2567" s="71"/>
      <c r="Q2567" s="59"/>
    </row>
    <row r="2568" spans="1:17" x14ac:dyDescent="0.25">
      <c r="A2568" s="21" t="str">
        <f>IF(C2568="","",COUNTA($C$3:C2568))</f>
        <v/>
      </c>
      <c r="B2568" s="35" t="str">
        <f t="shared" si="56"/>
        <v/>
      </c>
      <c r="C2568" s="33"/>
      <c r="E2568" s="60"/>
      <c r="F2568" s="18"/>
      <c r="G2568" s="18"/>
      <c r="H2568" s="49"/>
      <c r="I2568" s="49"/>
      <c r="M2568" s="53"/>
      <c r="O2568" s="59"/>
      <c r="P2568" s="69"/>
      <c r="Q2568" s="59"/>
    </row>
    <row r="2569" spans="1:17" x14ac:dyDescent="0.25">
      <c r="A2569" s="21" t="str">
        <f>IF(C2569="","",COUNTA($C$3:C2569))</f>
        <v/>
      </c>
      <c r="B2569" s="35" t="str">
        <f t="shared" si="56"/>
        <v/>
      </c>
      <c r="C2569" s="33"/>
      <c r="E2569" s="60"/>
      <c r="F2569" s="18"/>
      <c r="G2569" s="18"/>
      <c r="H2569" s="49"/>
      <c r="I2569" s="49"/>
      <c r="M2569" s="53"/>
    </row>
    <row r="2570" spans="1:17" x14ac:dyDescent="0.25">
      <c r="A2570" s="21" t="str">
        <f>IF(C2570="","",COUNTA($C$3:C2570))</f>
        <v/>
      </c>
      <c r="B2570" s="35" t="str">
        <f t="shared" si="56"/>
        <v/>
      </c>
      <c r="C2570" s="33"/>
      <c r="E2570" s="60"/>
      <c r="F2570" s="18"/>
      <c r="G2570" s="18"/>
      <c r="H2570" s="49"/>
      <c r="I2570" s="49"/>
      <c r="K2570" s="55"/>
      <c r="L2570" s="62"/>
      <c r="M2570" s="53"/>
    </row>
    <row r="2571" spans="1:17" x14ac:dyDescent="0.25">
      <c r="A2571" s="21" t="str">
        <f>IF(C2571="","",COUNTA($C$3:C2571))</f>
        <v/>
      </c>
      <c r="B2571" s="35" t="str">
        <f t="shared" si="56"/>
        <v/>
      </c>
      <c r="C2571" s="33"/>
      <c r="E2571" s="60"/>
      <c r="F2571" s="18"/>
      <c r="G2571" s="18"/>
      <c r="H2571" s="49"/>
      <c r="I2571" s="49"/>
      <c r="M2571" s="53"/>
    </row>
    <row r="2572" spans="1:17" x14ac:dyDescent="0.25">
      <c r="A2572" s="21" t="str">
        <f>IF(C2572="","",COUNTA($C$3:C2572))</f>
        <v/>
      </c>
      <c r="B2572" s="35" t="str">
        <f t="shared" si="56"/>
        <v/>
      </c>
      <c r="C2572" s="33"/>
      <c r="E2572" s="60"/>
      <c r="F2572" s="18"/>
      <c r="G2572" s="18"/>
      <c r="H2572" s="49"/>
      <c r="I2572" s="49"/>
      <c r="M2572" s="53"/>
    </row>
    <row r="2573" spans="1:17" x14ac:dyDescent="0.25">
      <c r="A2573" s="21" t="str">
        <f>IF(C2573="","",COUNTA($C$3:C2573))</f>
        <v/>
      </c>
      <c r="B2573" s="35" t="str">
        <f t="shared" si="56"/>
        <v/>
      </c>
      <c r="C2573" s="33"/>
      <c r="E2573" s="60"/>
      <c r="F2573" s="18"/>
      <c r="G2573" s="18"/>
      <c r="H2573" s="49"/>
      <c r="I2573" s="49"/>
      <c r="M2573" s="53"/>
    </row>
    <row r="2574" spans="1:17" x14ac:dyDescent="0.25">
      <c r="A2574" s="21" t="str">
        <f>IF(C2574="","",COUNTA($C$3:C2574))</f>
        <v/>
      </c>
      <c r="B2574" s="35" t="str">
        <f t="shared" si="56"/>
        <v/>
      </c>
      <c r="C2574" s="33"/>
      <c r="E2574" s="60"/>
      <c r="F2574" s="18"/>
      <c r="G2574" s="18"/>
      <c r="H2574" s="49"/>
      <c r="I2574" s="49"/>
      <c r="M2574" s="53"/>
    </row>
    <row r="2575" spans="1:17" x14ac:dyDescent="0.25">
      <c r="A2575" s="21" t="str">
        <f>IF(C2575="","",COUNTA($C$3:C2575))</f>
        <v/>
      </c>
      <c r="B2575" s="35" t="str">
        <f t="shared" si="56"/>
        <v/>
      </c>
      <c r="C2575" s="33"/>
      <c r="E2575" s="60"/>
      <c r="F2575" s="18"/>
      <c r="G2575" s="18"/>
      <c r="H2575" s="49"/>
      <c r="I2575" s="49"/>
      <c r="M2575" s="53"/>
    </row>
    <row r="2576" spans="1:17" x14ac:dyDescent="0.25">
      <c r="A2576" s="21" t="str">
        <f>IF(C2576="","",COUNTA($C$3:C2576))</f>
        <v/>
      </c>
      <c r="B2576" s="35" t="str">
        <f t="shared" si="56"/>
        <v/>
      </c>
      <c r="C2576" s="33"/>
      <c r="E2576" s="60"/>
      <c r="F2576" s="18"/>
      <c r="G2576" s="18"/>
      <c r="H2576" s="49"/>
      <c r="I2576" s="49"/>
      <c r="M2576" s="53"/>
    </row>
    <row r="2577" spans="1:13" x14ac:dyDescent="0.25">
      <c r="A2577" s="21" t="str">
        <f>IF(C2577="","",COUNTA($C$3:C2577))</f>
        <v/>
      </c>
      <c r="B2577" s="35" t="str">
        <f t="shared" si="56"/>
        <v/>
      </c>
      <c r="C2577" s="33"/>
      <c r="E2577" s="60"/>
      <c r="F2577" s="18"/>
      <c r="G2577" s="18"/>
      <c r="H2577" s="49"/>
      <c r="I2577" s="49"/>
      <c r="M2577" s="53"/>
    </row>
    <row r="2578" spans="1:13" x14ac:dyDescent="0.25">
      <c r="A2578" s="21" t="str">
        <f>IF(C2578="","",COUNTA($C$3:C2578))</f>
        <v/>
      </c>
      <c r="B2578" s="35" t="str">
        <f t="shared" si="56"/>
        <v/>
      </c>
      <c r="C2578" s="33"/>
      <c r="E2578" s="60"/>
      <c r="F2578" s="18"/>
      <c r="G2578" s="18"/>
      <c r="H2578" s="49"/>
      <c r="I2578" s="49"/>
      <c r="M2578" s="53"/>
    </row>
    <row r="2579" spans="1:13" x14ac:dyDescent="0.25">
      <c r="A2579" s="21" t="str">
        <f>IF(C2579="","",COUNTA($C$3:C2579))</f>
        <v/>
      </c>
      <c r="B2579" s="35" t="str">
        <f t="shared" si="56"/>
        <v/>
      </c>
      <c r="C2579" s="33"/>
      <c r="E2579" s="60"/>
      <c r="F2579" s="18"/>
      <c r="G2579" s="18"/>
      <c r="H2579" s="49"/>
      <c r="I2579" s="49"/>
      <c r="M2579" s="53"/>
    </row>
    <row r="2580" spans="1:13" x14ac:dyDescent="0.25">
      <c r="A2580" s="21" t="str">
        <f>IF(C2580="","",COUNTA($C$3:C2580))</f>
        <v/>
      </c>
      <c r="B2580" s="35" t="str">
        <f t="shared" si="56"/>
        <v/>
      </c>
      <c r="C2580" s="33"/>
      <c r="E2580" s="60"/>
      <c r="F2580" s="18"/>
      <c r="G2580" s="18"/>
      <c r="H2580" s="49"/>
      <c r="I2580" s="49"/>
      <c r="M2580" s="53"/>
    </row>
    <row r="2581" spans="1:13" x14ac:dyDescent="0.25">
      <c r="A2581" s="21" t="str">
        <f>IF(C2581="","",COUNTA($C$3:C2581))</f>
        <v/>
      </c>
      <c r="B2581" s="35" t="str">
        <f t="shared" si="56"/>
        <v/>
      </c>
      <c r="C2581" s="33"/>
      <c r="E2581" s="60"/>
      <c r="F2581" s="18"/>
      <c r="G2581" s="18"/>
      <c r="H2581" s="49"/>
      <c r="I2581" s="49"/>
      <c r="M2581" s="53"/>
    </row>
    <row r="2582" spans="1:13" x14ac:dyDescent="0.25">
      <c r="A2582" s="21" t="str">
        <f>IF(C2582="","",COUNTA($C$3:C2582))</f>
        <v/>
      </c>
      <c r="B2582" s="35" t="str">
        <f t="shared" si="56"/>
        <v/>
      </c>
      <c r="C2582" s="33"/>
      <c r="E2582" s="60"/>
      <c r="F2582" s="18"/>
      <c r="G2582" s="18"/>
      <c r="H2582" s="49"/>
      <c r="I2582" s="49"/>
      <c r="M2582" s="53"/>
    </row>
    <row r="2583" spans="1:13" x14ac:dyDescent="0.25">
      <c r="A2583" s="21" t="str">
        <f>IF(C2583="","",COUNTA($C$3:C2583))</f>
        <v/>
      </c>
      <c r="B2583" s="35" t="str">
        <f t="shared" si="56"/>
        <v/>
      </c>
      <c r="C2583" s="33"/>
      <c r="E2583" s="60"/>
      <c r="F2583" s="18"/>
      <c r="G2583" s="18"/>
      <c r="H2583" s="49"/>
      <c r="I2583" s="49"/>
      <c r="M2583" s="53"/>
    </row>
    <row r="2584" spans="1:13" x14ac:dyDescent="0.25">
      <c r="A2584" s="21" t="str">
        <f>IF(C2584="","",COUNTA($C$3:C2584))</f>
        <v/>
      </c>
      <c r="B2584" s="35" t="str">
        <f t="shared" si="56"/>
        <v/>
      </c>
      <c r="C2584" s="33"/>
      <c r="E2584" s="60"/>
      <c r="F2584" s="18"/>
      <c r="G2584" s="18"/>
      <c r="H2584" s="49"/>
      <c r="I2584" s="49"/>
      <c r="M2584" s="53"/>
    </row>
    <row r="2585" spans="1:13" x14ac:dyDescent="0.25">
      <c r="A2585" s="21" t="str">
        <f>IF(C2585="","",COUNTA($C$3:C2585))</f>
        <v/>
      </c>
      <c r="B2585" s="35" t="str">
        <f t="shared" si="56"/>
        <v/>
      </c>
      <c r="C2585" s="33"/>
      <c r="E2585" s="60"/>
      <c r="F2585" s="18"/>
      <c r="G2585" s="18"/>
      <c r="H2585" s="49"/>
      <c r="I2585" s="49"/>
      <c r="M2585" s="53"/>
    </row>
    <row r="2586" spans="1:13" x14ac:dyDescent="0.25">
      <c r="A2586" s="21" t="str">
        <f>IF(C2586="","",COUNTA($C$3:C2586))</f>
        <v/>
      </c>
      <c r="B2586" s="35" t="str">
        <f t="shared" si="56"/>
        <v/>
      </c>
      <c r="C2586" s="33"/>
      <c r="E2586" s="60"/>
      <c r="F2586" s="18"/>
      <c r="G2586" s="18"/>
      <c r="H2586" s="49"/>
      <c r="I2586" s="49"/>
      <c r="M2586" s="53"/>
    </row>
    <row r="2587" spans="1:13" x14ac:dyDescent="0.25">
      <c r="A2587" s="21" t="str">
        <f>IF(C2587="","",COUNTA($C$3:C2587))</f>
        <v/>
      </c>
      <c r="B2587" s="35" t="str">
        <f t="shared" si="56"/>
        <v/>
      </c>
      <c r="C2587" s="33"/>
      <c r="E2587" s="60"/>
      <c r="F2587" s="18"/>
      <c r="G2587" s="18"/>
      <c r="H2587" s="49"/>
      <c r="I2587" s="49"/>
      <c r="M2587" s="53"/>
    </row>
    <row r="2588" spans="1:13" x14ac:dyDescent="0.25">
      <c r="A2588" s="21" t="str">
        <f>IF(C2588="","",COUNTA($C$3:C2588))</f>
        <v/>
      </c>
      <c r="B2588" s="35" t="str">
        <f t="shared" si="56"/>
        <v/>
      </c>
      <c r="C2588" s="33"/>
      <c r="E2588" s="60"/>
      <c r="F2588" s="18"/>
      <c r="G2588" s="18"/>
      <c r="H2588" s="49"/>
      <c r="I2588" s="49"/>
      <c r="M2588" s="53"/>
    </row>
    <row r="2589" spans="1:13" x14ac:dyDescent="0.25">
      <c r="A2589" s="21" t="str">
        <f>IF(C2589="","",COUNTA($C$3:C2589))</f>
        <v/>
      </c>
      <c r="B2589" s="35" t="str">
        <f t="shared" si="56"/>
        <v/>
      </c>
      <c r="C2589" s="33"/>
      <c r="E2589" s="60"/>
      <c r="F2589" s="18"/>
      <c r="G2589" s="18"/>
      <c r="H2589" s="49"/>
      <c r="I2589" s="49"/>
      <c r="M2589" s="53"/>
    </row>
    <row r="2590" spans="1:13" x14ac:dyDescent="0.25">
      <c r="A2590" s="21" t="str">
        <f>IF(C2590="","",COUNTA($C$3:C2590))</f>
        <v/>
      </c>
      <c r="B2590" s="35" t="str">
        <f t="shared" si="56"/>
        <v/>
      </c>
      <c r="C2590" s="33"/>
      <c r="E2590" s="60"/>
      <c r="F2590" s="18"/>
      <c r="G2590" s="18"/>
      <c r="H2590" s="49"/>
      <c r="I2590" s="49"/>
      <c r="M2590" s="53"/>
    </row>
    <row r="2591" spans="1:13" x14ac:dyDescent="0.25">
      <c r="A2591" s="21" t="str">
        <f>IF(C2591="","",COUNTA($C$3:C2591))</f>
        <v/>
      </c>
      <c r="B2591" s="35" t="str">
        <f t="shared" si="56"/>
        <v/>
      </c>
      <c r="C2591" s="33"/>
      <c r="E2591" s="60"/>
      <c r="F2591" s="18"/>
      <c r="G2591" s="18"/>
      <c r="H2591" s="49"/>
      <c r="I2591" s="49"/>
      <c r="M2591" s="53"/>
    </row>
    <row r="2592" spans="1:13" x14ac:dyDescent="0.25">
      <c r="A2592" s="21" t="str">
        <f>IF(C2592="","",COUNTA($C$3:C2592))</f>
        <v/>
      </c>
      <c r="B2592" s="35" t="str">
        <f t="shared" si="56"/>
        <v/>
      </c>
      <c r="C2592" s="33"/>
      <c r="E2592" s="60"/>
      <c r="F2592" s="18"/>
      <c r="G2592" s="18"/>
      <c r="H2592" s="49"/>
      <c r="I2592" s="49"/>
      <c r="M2592" s="53"/>
    </row>
    <row r="2593" spans="1:17" x14ac:dyDescent="0.25">
      <c r="A2593" s="21" t="str">
        <f>IF(C2593="","",COUNTA($C$3:C2593))</f>
        <v/>
      </c>
      <c r="B2593" s="35" t="str">
        <f t="shared" si="56"/>
        <v/>
      </c>
      <c r="C2593" s="33"/>
      <c r="E2593" s="60"/>
      <c r="F2593" s="18"/>
      <c r="G2593" s="18"/>
      <c r="H2593" s="49"/>
      <c r="I2593" s="49"/>
      <c r="M2593" s="53"/>
    </row>
    <row r="2594" spans="1:17" x14ac:dyDescent="0.25">
      <c r="A2594" s="21" t="str">
        <f>IF(C2594="","",COUNTA($C$3:C2594))</f>
        <v/>
      </c>
      <c r="B2594" s="35" t="str">
        <f t="shared" si="56"/>
        <v/>
      </c>
      <c r="C2594" s="33"/>
      <c r="E2594" s="60"/>
      <c r="F2594" s="18"/>
      <c r="G2594" s="18"/>
      <c r="H2594" s="49"/>
      <c r="I2594" s="49"/>
      <c r="M2594" s="53"/>
    </row>
    <row r="2595" spans="1:17" x14ac:dyDescent="0.25">
      <c r="A2595" s="21" t="str">
        <f>IF(C2595="","",COUNTA($C$3:C2595))</f>
        <v/>
      </c>
      <c r="B2595" s="35" t="str">
        <f t="shared" si="56"/>
        <v/>
      </c>
      <c r="C2595" s="33"/>
      <c r="E2595" s="60"/>
      <c r="F2595" s="18"/>
      <c r="G2595" s="18"/>
      <c r="H2595" s="49"/>
      <c r="I2595" s="49"/>
      <c r="M2595" s="53"/>
    </row>
    <row r="2596" spans="1:17" x14ac:dyDescent="0.25">
      <c r="A2596" s="21" t="str">
        <f>IF(C2596="","",COUNTA($C$3:C2596))</f>
        <v/>
      </c>
      <c r="B2596" s="35" t="str">
        <f t="shared" si="56"/>
        <v/>
      </c>
      <c r="C2596" s="33"/>
      <c r="E2596" s="60"/>
      <c r="F2596" s="18"/>
      <c r="G2596" s="18"/>
      <c r="H2596" s="49"/>
      <c r="I2596" s="49"/>
      <c r="M2596" s="53"/>
    </row>
    <row r="2597" spans="1:17" x14ac:dyDescent="0.25">
      <c r="A2597" s="21" t="str">
        <f>IF(C2597="","",COUNTA($C$3:C2597))</f>
        <v/>
      </c>
      <c r="B2597" s="35" t="str">
        <f t="shared" si="56"/>
        <v/>
      </c>
      <c r="C2597" s="33"/>
      <c r="E2597" s="60"/>
      <c r="F2597" s="18"/>
      <c r="G2597" s="18"/>
      <c r="H2597" s="49"/>
      <c r="I2597" s="49"/>
      <c r="M2597" s="53"/>
    </row>
    <row r="2598" spans="1:17" x14ac:dyDescent="0.25">
      <c r="A2598" s="21" t="str">
        <f>IF(C2598="","",COUNTA($C$3:C2598))</f>
        <v/>
      </c>
      <c r="B2598" s="35" t="str">
        <f t="shared" si="56"/>
        <v/>
      </c>
      <c r="C2598" s="33"/>
      <c r="E2598" s="60"/>
      <c r="F2598" s="18"/>
      <c r="G2598" s="18"/>
      <c r="H2598" s="49"/>
      <c r="I2598" s="49"/>
      <c r="M2598" s="53"/>
    </row>
    <row r="2599" spans="1:17" x14ac:dyDescent="0.25">
      <c r="A2599" s="21" t="str">
        <f>IF(C2599="","",COUNTA($C$3:C2599))</f>
        <v/>
      </c>
      <c r="B2599" s="35" t="str">
        <f t="shared" si="56"/>
        <v/>
      </c>
      <c r="C2599" s="33"/>
      <c r="E2599" s="60"/>
      <c r="F2599" s="18"/>
      <c r="G2599" s="18"/>
      <c r="H2599" s="49"/>
      <c r="I2599" s="49"/>
      <c r="M2599" s="53"/>
    </row>
    <row r="2600" spans="1:17" x14ac:dyDescent="0.25">
      <c r="A2600" s="21" t="str">
        <f>IF(C2600="","",COUNTA($C$3:C2600))</f>
        <v/>
      </c>
      <c r="B2600" s="35" t="str">
        <f t="shared" si="56"/>
        <v/>
      </c>
      <c r="C2600" s="33"/>
      <c r="E2600" s="60"/>
      <c r="F2600" s="18"/>
      <c r="G2600" s="18"/>
      <c r="H2600" s="49"/>
      <c r="I2600" s="49"/>
      <c r="L2600" s="70"/>
      <c r="M2600" s="53"/>
    </row>
    <row r="2601" spans="1:17" x14ac:dyDescent="0.25">
      <c r="A2601" s="21" t="str">
        <f>IF(C2601="","",COUNTA($C$3:C2601))</f>
        <v/>
      </c>
      <c r="B2601" s="35" t="str">
        <f t="shared" si="56"/>
        <v/>
      </c>
      <c r="C2601" s="33"/>
      <c r="E2601" s="60"/>
      <c r="F2601" s="18"/>
      <c r="G2601" s="18"/>
      <c r="H2601" s="49"/>
      <c r="I2601" s="49"/>
      <c r="M2601" s="53"/>
    </row>
    <row r="2602" spans="1:17" x14ac:dyDescent="0.25">
      <c r="A2602" s="21" t="str">
        <f>IF(C2602="","",COUNTA($C$3:C2602))</f>
        <v/>
      </c>
      <c r="B2602" s="35" t="str">
        <f t="shared" si="56"/>
        <v/>
      </c>
      <c r="C2602" s="33"/>
      <c r="E2602" s="60"/>
      <c r="F2602" s="18"/>
      <c r="G2602" s="18"/>
      <c r="H2602" s="49"/>
      <c r="I2602" s="49"/>
      <c r="M2602" s="53"/>
      <c r="O2602" s="59"/>
    </row>
    <row r="2603" spans="1:17" x14ac:dyDescent="0.25">
      <c r="A2603" s="21" t="str">
        <f>IF(C2603="","",COUNTA($C$3:C2603))</f>
        <v/>
      </c>
      <c r="B2603" s="35" t="str">
        <f t="shared" si="56"/>
        <v/>
      </c>
      <c r="C2603" s="33"/>
      <c r="E2603" s="60"/>
      <c r="F2603" s="18"/>
      <c r="G2603" s="18"/>
      <c r="H2603" s="49"/>
      <c r="I2603" s="49"/>
      <c r="M2603" s="53"/>
      <c r="O2603" s="59"/>
      <c r="P2603" s="69"/>
      <c r="Q2603" s="59"/>
    </row>
    <row r="2604" spans="1:17" x14ac:dyDescent="0.25">
      <c r="A2604" s="21" t="str">
        <f>IF(C2604="","",COUNTA($C$3:C2604))</f>
        <v/>
      </c>
      <c r="B2604" s="35" t="str">
        <f t="shared" si="56"/>
        <v/>
      </c>
      <c r="C2604" s="33"/>
      <c r="E2604" s="60"/>
      <c r="F2604" s="18"/>
      <c r="G2604" s="18"/>
      <c r="H2604" s="49"/>
      <c r="I2604" s="49"/>
      <c r="M2604" s="53"/>
      <c r="O2604" s="59"/>
    </row>
    <row r="2605" spans="1:17" x14ac:dyDescent="0.25">
      <c r="A2605" s="21" t="str">
        <f>IF(C2605="","",COUNTA($C$3:C2605))</f>
        <v/>
      </c>
      <c r="B2605" s="35" t="str">
        <f t="shared" si="56"/>
        <v/>
      </c>
      <c r="C2605" s="33"/>
      <c r="E2605" s="60"/>
      <c r="F2605" s="18"/>
      <c r="G2605" s="18"/>
      <c r="H2605" s="49"/>
      <c r="I2605" s="49"/>
      <c r="M2605" s="53"/>
      <c r="O2605" s="59"/>
    </row>
    <row r="2606" spans="1:17" x14ac:dyDescent="0.25">
      <c r="A2606" s="21" t="str">
        <f>IF(C2606="","",COUNTA($C$3:C2606))</f>
        <v/>
      </c>
      <c r="B2606" s="35" t="str">
        <f t="shared" si="56"/>
        <v/>
      </c>
      <c r="C2606" s="33"/>
      <c r="E2606" s="60"/>
      <c r="F2606" s="18"/>
      <c r="G2606" s="18"/>
      <c r="H2606" s="49"/>
      <c r="I2606" s="49"/>
      <c r="K2606" s="67"/>
      <c r="M2606" s="53"/>
      <c r="O2606" s="59"/>
    </row>
    <row r="2607" spans="1:17" x14ac:dyDescent="0.25">
      <c r="A2607" s="21" t="str">
        <f>IF(C2607="","",COUNTA($C$3:C2607))</f>
        <v/>
      </c>
      <c r="B2607" s="35" t="str">
        <f t="shared" si="56"/>
        <v/>
      </c>
      <c r="C2607" s="33"/>
      <c r="E2607" s="60"/>
      <c r="F2607" s="18"/>
      <c r="G2607" s="18"/>
      <c r="H2607" s="49"/>
      <c r="I2607" s="49"/>
      <c r="M2607" s="53"/>
      <c r="O2607" s="59"/>
    </row>
    <row r="2608" spans="1:17" x14ac:dyDescent="0.25">
      <c r="A2608" s="21" t="str">
        <f>IF(C2608="","",COUNTA($C$3:C2608))</f>
        <v/>
      </c>
      <c r="B2608" s="35" t="str">
        <f t="shared" si="56"/>
        <v/>
      </c>
      <c r="C2608" s="33"/>
      <c r="E2608" s="60"/>
      <c r="F2608" s="18"/>
      <c r="G2608" s="18"/>
      <c r="H2608" s="49"/>
      <c r="I2608" s="49"/>
      <c r="M2608" s="53"/>
      <c r="O2608" s="59"/>
    </row>
    <row r="2609" spans="1:16" x14ac:dyDescent="0.25">
      <c r="A2609" s="21" t="str">
        <f>IF(C2609="","",COUNTA($C$3:C2609))</f>
        <v/>
      </c>
      <c r="B2609" s="35" t="str">
        <f t="shared" si="56"/>
        <v/>
      </c>
      <c r="C2609" s="33"/>
      <c r="E2609" s="60"/>
      <c r="F2609" s="18"/>
      <c r="G2609" s="18"/>
      <c r="H2609" s="49"/>
      <c r="I2609" s="49"/>
      <c r="K2609" s="55"/>
      <c r="M2609" s="53"/>
      <c r="O2609" s="59"/>
    </row>
    <row r="2610" spans="1:16" x14ac:dyDescent="0.25">
      <c r="A2610" s="21" t="str">
        <f>IF(C2610="","",COUNTA($C$3:C2610))</f>
        <v/>
      </c>
      <c r="B2610" s="35" t="str">
        <f t="shared" si="56"/>
        <v/>
      </c>
      <c r="C2610" s="33"/>
      <c r="E2610" s="60"/>
      <c r="F2610" s="18"/>
      <c r="G2610" s="18"/>
      <c r="H2610" s="49"/>
      <c r="I2610" s="49"/>
      <c r="M2610" s="53"/>
      <c r="O2610" s="59"/>
    </row>
    <row r="2611" spans="1:16" x14ac:dyDescent="0.25">
      <c r="A2611" s="21" t="str">
        <f>IF(C2611="","",COUNTA($C$3:C2611))</f>
        <v/>
      </c>
      <c r="B2611" s="35" t="str">
        <f t="shared" si="56"/>
        <v/>
      </c>
      <c r="C2611" s="33"/>
      <c r="E2611" s="60"/>
      <c r="F2611" s="18"/>
      <c r="G2611" s="18"/>
      <c r="H2611" s="49"/>
      <c r="I2611" s="49"/>
      <c r="M2611" s="53"/>
      <c r="O2611" s="59"/>
    </row>
    <row r="2612" spans="1:16" x14ac:dyDescent="0.25">
      <c r="A2612" s="21" t="str">
        <f>IF(C2612="","",COUNTA($C$3:C2612))</f>
        <v/>
      </c>
      <c r="B2612" s="35" t="str">
        <f t="shared" si="56"/>
        <v/>
      </c>
      <c r="C2612" s="33"/>
      <c r="E2612" s="60"/>
      <c r="F2612" s="18"/>
      <c r="G2612" s="18"/>
      <c r="H2612" s="49"/>
      <c r="I2612" s="49"/>
      <c r="M2612" s="53"/>
      <c r="O2612" s="59"/>
    </row>
    <row r="2613" spans="1:16" x14ac:dyDescent="0.25">
      <c r="A2613" s="21" t="str">
        <f>IF(C2613="","",COUNTA($C$3:C2613))</f>
        <v/>
      </c>
      <c r="B2613" s="35" t="str">
        <f t="shared" si="56"/>
        <v/>
      </c>
      <c r="C2613" s="33"/>
      <c r="E2613" s="60"/>
      <c r="F2613" s="18"/>
      <c r="G2613" s="18"/>
      <c r="H2613" s="49"/>
      <c r="I2613" s="49"/>
      <c r="M2613" s="53"/>
      <c r="O2613" s="59"/>
    </row>
    <row r="2614" spans="1:16" x14ac:dyDescent="0.25">
      <c r="A2614" s="21" t="str">
        <f>IF(C2614="","",COUNTA($C$3:C2614))</f>
        <v/>
      </c>
      <c r="B2614" s="35" t="str">
        <f t="shared" si="56"/>
        <v/>
      </c>
      <c r="C2614" s="33"/>
      <c r="E2614" s="60"/>
      <c r="F2614" s="18"/>
      <c r="G2614" s="18"/>
      <c r="H2614" s="49"/>
      <c r="I2614" s="49"/>
      <c r="M2614" s="53"/>
      <c r="O2614" s="59"/>
      <c r="P2614" s="71"/>
    </row>
    <row r="2615" spans="1:16" x14ac:dyDescent="0.25">
      <c r="A2615" s="21" t="str">
        <f>IF(C2615="","",COUNTA($C$3:C2615))</f>
        <v/>
      </c>
      <c r="B2615" s="35" t="str">
        <f t="shared" si="56"/>
        <v/>
      </c>
      <c r="C2615" s="33"/>
      <c r="E2615" s="60"/>
      <c r="F2615" s="18"/>
      <c r="G2615" s="18"/>
      <c r="H2615" s="49"/>
      <c r="I2615" s="49"/>
      <c r="M2615" s="53"/>
    </row>
    <row r="2616" spans="1:16" x14ac:dyDescent="0.25">
      <c r="A2616" s="21" t="str">
        <f>IF(C2616="","",COUNTA($C$3:C2616))</f>
        <v/>
      </c>
      <c r="B2616" s="35" t="str">
        <f t="shared" si="56"/>
        <v/>
      </c>
      <c r="C2616" s="33"/>
      <c r="E2616" s="60"/>
      <c r="F2616" s="18"/>
      <c r="G2616" s="18"/>
      <c r="H2616" s="49"/>
      <c r="I2616" s="49"/>
      <c r="M2616" s="53"/>
    </row>
    <row r="2617" spans="1:16" x14ac:dyDescent="0.25">
      <c r="A2617" s="21" t="str">
        <f>IF(C2617="","",COUNTA($C$3:C2617))</f>
        <v/>
      </c>
      <c r="B2617" s="35" t="str">
        <f t="shared" si="56"/>
        <v/>
      </c>
      <c r="C2617" s="33"/>
      <c r="E2617" s="60"/>
      <c r="F2617" s="18"/>
      <c r="G2617" s="18"/>
      <c r="H2617" s="49"/>
      <c r="I2617" s="49"/>
      <c r="M2617" s="53"/>
    </row>
    <row r="2618" spans="1:16" x14ac:dyDescent="0.25">
      <c r="A2618" s="21" t="str">
        <f>IF(C2618="","",COUNTA($C$3:C2618))</f>
        <v/>
      </c>
      <c r="B2618" s="35" t="str">
        <f t="shared" si="56"/>
        <v/>
      </c>
      <c r="C2618" s="33"/>
      <c r="E2618" s="60"/>
      <c r="F2618" s="18"/>
      <c r="G2618" s="18"/>
      <c r="H2618" s="49"/>
      <c r="I2618" s="49"/>
      <c r="M2618" s="53"/>
    </row>
    <row r="2619" spans="1:16" x14ac:dyDescent="0.25">
      <c r="A2619" s="21" t="str">
        <f>IF(C2619="","",COUNTA($C$3:C2619))</f>
        <v/>
      </c>
      <c r="B2619" s="35" t="str">
        <f t="shared" si="56"/>
        <v/>
      </c>
      <c r="C2619" s="33"/>
      <c r="E2619" s="60"/>
      <c r="F2619" s="18"/>
      <c r="G2619" s="18"/>
      <c r="H2619" s="49"/>
      <c r="I2619" s="49"/>
      <c r="M2619" s="53"/>
    </row>
    <row r="2620" spans="1:16" x14ac:dyDescent="0.25">
      <c r="A2620" s="21" t="str">
        <f>IF(C2620="","",COUNTA($C$3:C2620))</f>
        <v/>
      </c>
      <c r="B2620" s="35" t="str">
        <f t="shared" si="56"/>
        <v/>
      </c>
      <c r="C2620" s="33"/>
      <c r="E2620" s="60"/>
      <c r="F2620" s="18"/>
      <c r="G2620" s="18"/>
      <c r="H2620" s="49"/>
      <c r="I2620" s="49"/>
      <c r="M2620" s="53"/>
    </row>
    <row r="2621" spans="1:16" x14ac:dyDescent="0.25">
      <c r="A2621" s="21" t="str">
        <f>IF(C2621="","",COUNTA($C$3:C2621))</f>
        <v/>
      </c>
      <c r="B2621" s="35" t="str">
        <f t="shared" si="56"/>
        <v/>
      </c>
      <c r="C2621" s="33"/>
      <c r="E2621" s="60"/>
      <c r="F2621" s="18"/>
      <c r="G2621" s="18"/>
      <c r="H2621" s="49"/>
      <c r="I2621" s="49"/>
      <c r="M2621" s="53"/>
    </row>
    <row r="2622" spans="1:16" x14ac:dyDescent="0.25">
      <c r="A2622" s="21" t="str">
        <f>IF(C2622="","",COUNTA($C$3:C2622))</f>
        <v/>
      </c>
      <c r="B2622" s="35" t="str">
        <f t="shared" si="56"/>
        <v/>
      </c>
      <c r="C2622" s="33"/>
      <c r="E2622" s="60"/>
      <c r="F2622" s="18"/>
      <c r="G2622" s="18"/>
      <c r="H2622" s="49"/>
      <c r="I2622" s="49"/>
      <c r="M2622" s="53"/>
    </row>
    <row r="2623" spans="1:16" x14ac:dyDescent="0.25">
      <c r="A2623" s="21" t="str">
        <f>IF(C2623="","",COUNTA($C$3:C2623))</f>
        <v/>
      </c>
      <c r="B2623" s="35" t="str">
        <f t="shared" si="56"/>
        <v/>
      </c>
      <c r="C2623" s="33"/>
      <c r="E2623" s="60"/>
      <c r="F2623" s="18"/>
      <c r="G2623" s="18"/>
      <c r="H2623" s="49"/>
      <c r="I2623" s="49"/>
      <c r="M2623" s="53"/>
    </row>
    <row r="2624" spans="1:16" x14ac:dyDescent="0.25">
      <c r="A2624" s="21" t="str">
        <f>IF(C2624="","",COUNTA($C$3:C2624))</f>
        <v/>
      </c>
      <c r="B2624" s="35" t="str">
        <f t="shared" si="56"/>
        <v/>
      </c>
      <c r="C2624" s="33"/>
      <c r="E2624" s="60"/>
      <c r="F2624" s="18"/>
      <c r="G2624" s="18"/>
      <c r="H2624" s="49"/>
      <c r="I2624" s="49"/>
      <c r="M2624" s="53"/>
    </row>
    <row r="2625" spans="1:13" x14ac:dyDescent="0.25">
      <c r="A2625" s="21" t="str">
        <f>IF(C2625="","",COUNTA($C$3:C2625))</f>
        <v/>
      </c>
      <c r="B2625" s="35" t="str">
        <f t="shared" si="56"/>
        <v/>
      </c>
      <c r="C2625" s="33"/>
      <c r="E2625" s="60"/>
      <c r="F2625" s="18"/>
      <c r="G2625" s="18"/>
      <c r="H2625" s="49"/>
      <c r="I2625" s="49"/>
      <c r="M2625" s="53"/>
    </row>
    <row r="2626" spans="1:13" x14ac:dyDescent="0.25">
      <c r="A2626" s="21" t="str">
        <f>IF(C2626="","",COUNTA($C$3:C2626))</f>
        <v/>
      </c>
      <c r="B2626" s="35" t="str">
        <f t="shared" si="56"/>
        <v/>
      </c>
      <c r="C2626" s="33"/>
      <c r="E2626" s="60"/>
      <c r="F2626" s="18"/>
      <c r="G2626" s="18"/>
      <c r="H2626" s="49"/>
      <c r="I2626" s="49"/>
      <c r="M2626" s="53"/>
    </row>
    <row r="2627" spans="1:13" x14ac:dyDescent="0.25">
      <c r="A2627" s="21" t="str">
        <f>IF(C2627="","",COUNTA($C$3:C2627))</f>
        <v/>
      </c>
      <c r="B2627" s="35" t="str">
        <f t="shared" si="56"/>
        <v/>
      </c>
      <c r="C2627" s="33"/>
      <c r="E2627" s="60"/>
      <c r="F2627" s="18"/>
      <c r="G2627" s="18"/>
      <c r="H2627" s="49"/>
      <c r="I2627" s="49"/>
      <c r="M2627" s="53"/>
    </row>
    <row r="2628" spans="1:13" x14ac:dyDescent="0.25">
      <c r="A2628" s="21" t="str">
        <f>IF(C2628="","",COUNTA($C$3:C2628))</f>
        <v/>
      </c>
      <c r="B2628" s="35" t="str">
        <f t="shared" si="56"/>
        <v/>
      </c>
      <c r="C2628" s="33"/>
      <c r="E2628" s="60"/>
      <c r="F2628" s="18"/>
      <c r="G2628" s="18"/>
      <c r="H2628" s="49"/>
      <c r="I2628" s="49"/>
      <c r="M2628" s="53"/>
    </row>
    <row r="2629" spans="1:13" x14ac:dyDescent="0.25">
      <c r="A2629" s="21" t="str">
        <f>IF(C2629="","",COUNTA($C$3:C2629))</f>
        <v/>
      </c>
      <c r="B2629" s="35" t="str">
        <f t="shared" ref="B2629:B2692" si="57">IF(C2629="","",TEXT(C2629,"mmmm"))</f>
        <v/>
      </c>
      <c r="C2629" s="33"/>
      <c r="E2629" s="60"/>
      <c r="F2629" s="18"/>
      <c r="G2629" s="18"/>
      <c r="H2629" s="49"/>
      <c r="I2629" s="49"/>
      <c r="M2629" s="53"/>
    </row>
    <row r="2630" spans="1:13" x14ac:dyDescent="0.25">
      <c r="A2630" s="21" t="str">
        <f>IF(C2630="","",COUNTA($C$3:C2630))</f>
        <v/>
      </c>
      <c r="B2630" s="35" t="str">
        <f t="shared" si="57"/>
        <v/>
      </c>
      <c r="C2630" s="33"/>
      <c r="E2630" s="60"/>
      <c r="F2630" s="18"/>
      <c r="G2630" s="18"/>
      <c r="H2630" s="49"/>
      <c r="I2630" s="49"/>
      <c r="M2630" s="53"/>
    </row>
    <row r="2631" spans="1:13" x14ac:dyDescent="0.25">
      <c r="A2631" s="21" t="str">
        <f>IF(C2631="","",COUNTA($C$3:C2631))</f>
        <v/>
      </c>
      <c r="B2631" s="35" t="str">
        <f t="shared" si="57"/>
        <v/>
      </c>
      <c r="C2631" s="33"/>
      <c r="E2631" s="60"/>
      <c r="F2631" s="18"/>
      <c r="G2631" s="18"/>
      <c r="H2631" s="49"/>
      <c r="I2631" s="49"/>
      <c r="M2631" s="53"/>
    </row>
    <row r="2632" spans="1:13" x14ac:dyDescent="0.25">
      <c r="A2632" s="21" t="str">
        <f>IF(C2632="","",COUNTA($C$3:C2632))</f>
        <v/>
      </c>
      <c r="B2632" s="35" t="str">
        <f t="shared" si="57"/>
        <v/>
      </c>
      <c r="C2632" s="33"/>
      <c r="E2632" s="60"/>
      <c r="F2632" s="18"/>
      <c r="G2632" s="18"/>
      <c r="H2632" s="49"/>
      <c r="I2632" s="49"/>
      <c r="M2632" s="53"/>
    </row>
    <row r="2633" spans="1:13" x14ac:dyDescent="0.25">
      <c r="A2633" s="21" t="str">
        <f>IF(C2633="","",COUNTA($C$3:C2633))</f>
        <v/>
      </c>
      <c r="B2633" s="35" t="str">
        <f t="shared" si="57"/>
        <v/>
      </c>
      <c r="C2633" s="33"/>
      <c r="E2633" s="60"/>
      <c r="F2633" s="18"/>
      <c r="G2633" s="18"/>
      <c r="H2633" s="49"/>
      <c r="I2633" s="49"/>
      <c r="M2633" s="53"/>
    </row>
    <row r="2634" spans="1:13" x14ac:dyDescent="0.25">
      <c r="A2634" s="21" t="str">
        <f>IF(C2634="","",COUNTA($C$3:C2634))</f>
        <v/>
      </c>
      <c r="B2634" s="35" t="str">
        <f t="shared" si="57"/>
        <v/>
      </c>
      <c r="C2634" s="33"/>
      <c r="E2634" s="60"/>
      <c r="F2634" s="18"/>
      <c r="G2634" s="18"/>
      <c r="H2634" s="49"/>
      <c r="I2634" s="49"/>
      <c r="M2634" s="53"/>
    </row>
    <row r="2635" spans="1:13" x14ac:dyDescent="0.25">
      <c r="A2635" s="21" t="str">
        <f>IF(C2635="","",COUNTA($C$3:C2635))</f>
        <v/>
      </c>
      <c r="B2635" s="35" t="str">
        <f t="shared" si="57"/>
        <v/>
      </c>
      <c r="C2635" s="33"/>
      <c r="E2635" s="60"/>
      <c r="F2635" s="18"/>
      <c r="G2635" s="18"/>
      <c r="H2635" s="49"/>
      <c r="I2635" s="49"/>
      <c r="M2635" s="53"/>
    </row>
    <row r="2636" spans="1:13" x14ac:dyDescent="0.25">
      <c r="A2636" s="21" t="str">
        <f>IF(C2636="","",COUNTA($C$3:C2636))</f>
        <v/>
      </c>
      <c r="B2636" s="35" t="str">
        <f t="shared" si="57"/>
        <v/>
      </c>
      <c r="C2636" s="33"/>
      <c r="E2636" s="60"/>
      <c r="F2636" s="18"/>
      <c r="G2636" s="18"/>
      <c r="H2636" s="49"/>
      <c r="I2636" s="49"/>
      <c r="M2636" s="53"/>
    </row>
    <row r="2637" spans="1:13" x14ac:dyDescent="0.25">
      <c r="A2637" s="21" t="str">
        <f>IF(C2637="","",COUNTA($C$3:C2637))</f>
        <v/>
      </c>
      <c r="B2637" s="35" t="str">
        <f t="shared" si="57"/>
        <v/>
      </c>
      <c r="C2637" s="33"/>
      <c r="E2637" s="60"/>
      <c r="F2637" s="18"/>
      <c r="G2637" s="18"/>
      <c r="H2637" s="49"/>
      <c r="I2637" s="49"/>
      <c r="M2637" s="53"/>
    </row>
    <row r="2638" spans="1:13" x14ac:dyDescent="0.25">
      <c r="A2638" s="21" t="str">
        <f>IF(C2638="","",COUNTA($C$3:C2638))</f>
        <v/>
      </c>
      <c r="B2638" s="35" t="str">
        <f t="shared" si="57"/>
        <v/>
      </c>
      <c r="C2638" s="33"/>
      <c r="E2638" s="60"/>
      <c r="F2638" s="18"/>
      <c r="G2638" s="18"/>
      <c r="H2638" s="49"/>
      <c r="I2638" s="49"/>
      <c r="M2638" s="53"/>
    </row>
    <row r="2639" spans="1:13" x14ac:dyDescent="0.25">
      <c r="A2639" s="21" t="str">
        <f>IF(C2639="","",COUNTA($C$3:C2639))</f>
        <v/>
      </c>
      <c r="B2639" s="35" t="str">
        <f t="shared" si="57"/>
        <v/>
      </c>
      <c r="C2639" s="33"/>
      <c r="E2639" s="60"/>
      <c r="F2639" s="18"/>
      <c r="G2639" s="18"/>
      <c r="H2639" s="49"/>
      <c r="I2639" s="49"/>
      <c r="M2639" s="53"/>
    </row>
    <row r="2640" spans="1:13" x14ac:dyDescent="0.25">
      <c r="A2640" s="21" t="str">
        <f>IF(C2640="","",COUNTA($C$3:C2640))</f>
        <v/>
      </c>
      <c r="B2640" s="35" t="str">
        <f t="shared" si="57"/>
        <v/>
      </c>
      <c r="C2640" s="33"/>
      <c r="E2640" s="60"/>
      <c r="F2640" s="18"/>
      <c r="G2640" s="18"/>
      <c r="H2640" s="49"/>
      <c r="I2640" s="49"/>
      <c r="M2640" s="53"/>
    </row>
    <row r="2641" spans="1:13" x14ac:dyDescent="0.25">
      <c r="A2641" s="21" t="str">
        <f>IF(C2641="","",COUNTA($C$3:C2641))</f>
        <v/>
      </c>
      <c r="B2641" s="35" t="str">
        <f t="shared" si="57"/>
        <v/>
      </c>
      <c r="C2641" s="33"/>
      <c r="E2641" s="60"/>
      <c r="F2641" s="18"/>
      <c r="G2641" s="18"/>
      <c r="H2641" s="49"/>
      <c r="I2641" s="49"/>
      <c r="M2641" s="53"/>
    </row>
    <row r="2642" spans="1:13" x14ac:dyDescent="0.25">
      <c r="A2642" s="21" t="str">
        <f>IF(C2642="","",COUNTA($C$3:C2642))</f>
        <v/>
      </c>
      <c r="B2642" s="35" t="str">
        <f t="shared" si="57"/>
        <v/>
      </c>
      <c r="C2642" s="33"/>
      <c r="E2642" s="60"/>
      <c r="F2642" s="18"/>
      <c r="G2642" s="18"/>
      <c r="H2642" s="49"/>
      <c r="I2642" s="49"/>
      <c r="M2642" s="53"/>
    </row>
    <row r="2643" spans="1:13" x14ac:dyDescent="0.25">
      <c r="A2643" s="21" t="str">
        <f>IF(C2643="","",COUNTA($C$3:C2643))</f>
        <v/>
      </c>
      <c r="B2643" s="35" t="str">
        <f t="shared" si="57"/>
        <v/>
      </c>
      <c r="C2643" s="33"/>
      <c r="E2643" s="60"/>
      <c r="F2643" s="18"/>
      <c r="G2643" s="18"/>
      <c r="H2643" s="49"/>
      <c r="I2643" s="49"/>
      <c r="M2643" s="53"/>
    </row>
    <row r="2644" spans="1:13" x14ac:dyDescent="0.25">
      <c r="A2644" s="21" t="str">
        <f>IF(C2644="","",COUNTA($C$3:C2644))</f>
        <v/>
      </c>
      <c r="B2644" s="35" t="str">
        <f t="shared" si="57"/>
        <v/>
      </c>
      <c r="C2644" s="33"/>
      <c r="E2644" s="60"/>
      <c r="F2644" s="18"/>
      <c r="G2644" s="18"/>
      <c r="H2644" s="49"/>
      <c r="I2644" s="49"/>
      <c r="M2644" s="53"/>
    </row>
    <row r="2645" spans="1:13" x14ac:dyDescent="0.25">
      <c r="A2645" s="21" t="str">
        <f>IF(C2645="","",COUNTA($C$3:C2645))</f>
        <v/>
      </c>
      <c r="B2645" s="35" t="str">
        <f t="shared" si="57"/>
        <v/>
      </c>
      <c r="C2645" s="33"/>
      <c r="E2645" s="60"/>
      <c r="F2645" s="18"/>
      <c r="G2645" s="18"/>
      <c r="H2645" s="49"/>
      <c r="I2645" s="49"/>
      <c r="M2645" s="53"/>
    </row>
    <row r="2646" spans="1:13" x14ac:dyDescent="0.25">
      <c r="A2646" s="21" t="str">
        <f>IF(C2646="","",COUNTA($C$3:C2646))</f>
        <v/>
      </c>
      <c r="B2646" s="35" t="str">
        <f t="shared" si="57"/>
        <v/>
      </c>
      <c r="C2646" s="33"/>
      <c r="E2646" s="60"/>
      <c r="F2646" s="18"/>
      <c r="G2646" s="18"/>
      <c r="H2646" s="49"/>
      <c r="I2646" s="49"/>
      <c r="L2646" s="62"/>
      <c r="M2646" s="53"/>
    </row>
    <row r="2647" spans="1:13" x14ac:dyDescent="0.25">
      <c r="A2647" s="21" t="str">
        <f>IF(C2647="","",COUNTA($C$3:C2647))</f>
        <v/>
      </c>
      <c r="B2647" s="35" t="str">
        <f t="shared" si="57"/>
        <v/>
      </c>
      <c r="C2647" s="33"/>
      <c r="E2647" s="60"/>
      <c r="F2647" s="18"/>
      <c r="G2647" s="18"/>
      <c r="H2647" s="49"/>
      <c r="I2647" s="49"/>
      <c r="L2647" s="62"/>
      <c r="M2647" s="53"/>
    </row>
    <row r="2648" spans="1:13" x14ac:dyDescent="0.25">
      <c r="A2648" s="21" t="str">
        <f>IF(C2648="","",COUNTA($C$3:C2648))</f>
        <v/>
      </c>
      <c r="B2648" s="35" t="str">
        <f t="shared" si="57"/>
        <v/>
      </c>
      <c r="C2648" s="33"/>
      <c r="E2648" s="60"/>
      <c r="F2648" s="18"/>
      <c r="G2648" s="18"/>
      <c r="H2648" s="49"/>
      <c r="I2648" s="49"/>
      <c r="M2648" s="53"/>
    </row>
    <row r="2649" spans="1:13" x14ac:dyDescent="0.25">
      <c r="A2649" s="21" t="str">
        <f>IF(C2649="","",COUNTA($C$3:C2649))</f>
        <v/>
      </c>
      <c r="B2649" s="35" t="str">
        <f t="shared" si="57"/>
        <v/>
      </c>
      <c r="C2649" s="33"/>
      <c r="E2649" s="60"/>
      <c r="F2649" s="18"/>
      <c r="G2649" s="18"/>
      <c r="H2649" s="49"/>
      <c r="I2649" s="49"/>
      <c r="M2649" s="53"/>
    </row>
    <row r="2650" spans="1:13" x14ac:dyDescent="0.25">
      <c r="A2650" s="21" t="str">
        <f>IF(C2650="","",COUNTA($C$3:C2650))</f>
        <v/>
      </c>
      <c r="B2650" s="35" t="str">
        <f t="shared" si="57"/>
        <v/>
      </c>
      <c r="C2650" s="33"/>
      <c r="E2650" s="60"/>
      <c r="F2650" s="18"/>
      <c r="G2650" s="18"/>
      <c r="H2650" s="49"/>
      <c r="I2650" s="49"/>
      <c r="M2650" s="53"/>
    </row>
    <row r="2651" spans="1:13" x14ac:dyDescent="0.25">
      <c r="A2651" s="21" t="str">
        <f>IF(C2651="","",COUNTA($C$3:C2651))</f>
        <v/>
      </c>
      <c r="B2651" s="35" t="str">
        <f t="shared" si="57"/>
        <v/>
      </c>
      <c r="C2651" s="33"/>
      <c r="E2651" s="60"/>
      <c r="F2651" s="18"/>
      <c r="G2651" s="18"/>
      <c r="H2651" s="49"/>
      <c r="I2651" s="49"/>
      <c r="M2651" s="53"/>
    </row>
    <row r="2652" spans="1:13" x14ac:dyDescent="0.25">
      <c r="A2652" s="21" t="str">
        <f>IF(C2652="","",COUNTA($C$3:C2652))</f>
        <v/>
      </c>
      <c r="B2652" s="35" t="str">
        <f t="shared" si="57"/>
        <v/>
      </c>
      <c r="C2652" s="33"/>
      <c r="E2652" s="60"/>
      <c r="F2652" s="18"/>
      <c r="G2652" s="18"/>
      <c r="H2652" s="49"/>
      <c r="I2652" s="49"/>
      <c r="M2652" s="53"/>
    </row>
    <row r="2653" spans="1:13" x14ac:dyDescent="0.25">
      <c r="A2653" s="21" t="str">
        <f>IF(C2653="","",COUNTA($C$3:C2653))</f>
        <v/>
      </c>
      <c r="B2653" s="35" t="str">
        <f t="shared" si="57"/>
        <v/>
      </c>
      <c r="C2653" s="33"/>
      <c r="E2653" s="60"/>
      <c r="F2653" s="18"/>
      <c r="G2653" s="18"/>
      <c r="H2653" s="49"/>
      <c r="I2653" s="49"/>
      <c r="M2653" s="53"/>
    </row>
    <row r="2654" spans="1:13" x14ac:dyDescent="0.25">
      <c r="A2654" s="21" t="str">
        <f>IF(C2654="","",COUNTA($C$3:C2654))</f>
        <v/>
      </c>
      <c r="B2654" s="35" t="str">
        <f t="shared" si="57"/>
        <v/>
      </c>
      <c r="C2654" s="33"/>
      <c r="E2654" s="60"/>
      <c r="F2654" s="18"/>
      <c r="G2654" s="18"/>
      <c r="H2654" s="49"/>
      <c r="I2654" s="49"/>
      <c r="M2654" s="53"/>
    </row>
    <row r="2655" spans="1:13" x14ac:dyDescent="0.25">
      <c r="A2655" s="21" t="str">
        <f>IF(C2655="","",COUNTA($C$3:C2655))</f>
        <v/>
      </c>
      <c r="B2655" s="35" t="str">
        <f t="shared" si="57"/>
        <v/>
      </c>
      <c r="C2655" s="33"/>
      <c r="E2655" s="60"/>
      <c r="F2655" s="18"/>
      <c r="G2655" s="18"/>
      <c r="H2655" s="49"/>
      <c r="I2655" s="49"/>
      <c r="M2655" s="53"/>
    </row>
    <row r="2656" spans="1:13" x14ac:dyDescent="0.25">
      <c r="A2656" s="21" t="str">
        <f>IF(C2656="","",COUNTA($C$3:C2656))</f>
        <v/>
      </c>
      <c r="B2656" s="35" t="str">
        <f t="shared" si="57"/>
        <v/>
      </c>
      <c r="C2656" s="33"/>
      <c r="E2656" s="60"/>
      <c r="F2656" s="18"/>
      <c r="G2656" s="18"/>
      <c r="H2656" s="49"/>
      <c r="I2656" s="49"/>
      <c r="M2656" s="53"/>
    </row>
    <row r="2657" spans="1:17" x14ac:dyDescent="0.25">
      <c r="A2657" s="21" t="str">
        <f>IF(C2657="","",COUNTA($C$3:C2657))</f>
        <v/>
      </c>
      <c r="B2657" s="35" t="str">
        <f t="shared" si="57"/>
        <v/>
      </c>
      <c r="C2657" s="33"/>
      <c r="E2657" s="60"/>
      <c r="F2657" s="18"/>
      <c r="G2657" s="18"/>
      <c r="H2657" s="49"/>
      <c r="I2657" s="49"/>
      <c r="M2657" s="53"/>
    </row>
    <row r="2658" spans="1:17" x14ac:dyDescent="0.25">
      <c r="A2658" s="21" t="str">
        <f>IF(C2658="","",COUNTA($C$3:C2658))</f>
        <v/>
      </c>
      <c r="B2658" s="35" t="str">
        <f t="shared" si="57"/>
        <v/>
      </c>
      <c r="C2658" s="33"/>
      <c r="E2658" s="60"/>
      <c r="F2658" s="18"/>
      <c r="G2658" s="18"/>
      <c r="H2658" s="49"/>
      <c r="I2658" s="49"/>
      <c r="L2658" s="53"/>
      <c r="M2658" s="53"/>
    </row>
    <row r="2659" spans="1:17" x14ac:dyDescent="0.25">
      <c r="A2659" s="21" t="str">
        <f>IF(C2659="","",COUNTA($C$3:C2659))</f>
        <v/>
      </c>
      <c r="B2659" s="35" t="str">
        <f t="shared" si="57"/>
        <v/>
      </c>
      <c r="C2659" s="33"/>
      <c r="E2659" s="60"/>
      <c r="F2659" s="18"/>
      <c r="G2659" s="18"/>
      <c r="H2659" s="49"/>
      <c r="I2659" s="49"/>
      <c r="M2659" s="53"/>
    </row>
    <row r="2660" spans="1:17" x14ac:dyDescent="0.25">
      <c r="A2660" s="21" t="str">
        <f>IF(C2660="","",COUNTA($C$3:C2660))</f>
        <v/>
      </c>
      <c r="B2660" s="35" t="str">
        <f t="shared" si="57"/>
        <v/>
      </c>
      <c r="C2660" s="33"/>
      <c r="E2660" s="60"/>
      <c r="F2660" s="18"/>
      <c r="G2660" s="18"/>
      <c r="H2660" s="49"/>
      <c r="I2660" s="49"/>
      <c r="M2660" s="53"/>
    </row>
    <row r="2661" spans="1:17" x14ac:dyDescent="0.25">
      <c r="A2661" s="21" t="str">
        <f>IF(C2661="","",COUNTA($C$3:C2661))</f>
        <v/>
      </c>
      <c r="B2661" s="35" t="str">
        <f t="shared" si="57"/>
        <v/>
      </c>
      <c r="C2661" s="33"/>
      <c r="E2661" s="60"/>
      <c r="F2661" s="18"/>
      <c r="G2661" s="18"/>
      <c r="H2661" s="49"/>
      <c r="I2661" s="49"/>
      <c r="M2661" s="53"/>
    </row>
    <row r="2662" spans="1:17" x14ac:dyDescent="0.25">
      <c r="A2662" s="21" t="str">
        <f>IF(C2662="","",COUNTA($C$3:C2662))</f>
        <v/>
      </c>
      <c r="B2662" s="35" t="str">
        <f t="shared" si="57"/>
        <v/>
      </c>
      <c r="C2662" s="33"/>
      <c r="E2662" s="60"/>
      <c r="F2662" s="18"/>
      <c r="G2662" s="18"/>
      <c r="H2662" s="49"/>
      <c r="I2662" s="49"/>
      <c r="M2662" s="53"/>
    </row>
    <row r="2663" spans="1:17" x14ac:dyDescent="0.25">
      <c r="A2663" s="21" t="str">
        <f>IF(C2663="","",COUNTA($C$3:C2663))</f>
        <v/>
      </c>
      <c r="B2663" s="35" t="str">
        <f t="shared" si="57"/>
        <v/>
      </c>
      <c r="C2663" s="33"/>
      <c r="E2663" s="60"/>
      <c r="F2663" s="18"/>
      <c r="G2663" s="18"/>
      <c r="H2663" s="49"/>
      <c r="I2663" s="49"/>
      <c r="M2663" s="53"/>
      <c r="O2663" s="59"/>
      <c r="P2663" s="59"/>
      <c r="Q2663" s="59"/>
    </row>
    <row r="2664" spans="1:17" x14ac:dyDescent="0.25">
      <c r="A2664" s="21" t="str">
        <f>IF(C2664="","",COUNTA($C$3:C2664))</f>
        <v/>
      </c>
      <c r="B2664" s="35" t="str">
        <f t="shared" si="57"/>
        <v/>
      </c>
      <c r="C2664" s="33"/>
      <c r="E2664" s="60"/>
      <c r="F2664" s="18"/>
      <c r="G2664" s="18"/>
      <c r="H2664" s="49"/>
      <c r="I2664" s="49"/>
      <c r="M2664" s="53"/>
      <c r="O2664" s="59"/>
      <c r="P2664" s="59"/>
      <c r="Q2664" s="59"/>
    </row>
    <row r="2665" spans="1:17" x14ac:dyDescent="0.25">
      <c r="A2665" s="21" t="str">
        <f>IF(C2665="","",COUNTA($C$3:C2665))</f>
        <v/>
      </c>
      <c r="B2665" s="35" t="str">
        <f t="shared" si="57"/>
        <v/>
      </c>
      <c r="C2665" s="33"/>
      <c r="E2665" s="60"/>
      <c r="F2665" s="18"/>
      <c r="G2665" s="18"/>
      <c r="H2665" s="49"/>
      <c r="I2665" s="49"/>
      <c r="K2665" s="55"/>
      <c r="L2665" s="62"/>
      <c r="M2665" s="53"/>
    </row>
    <row r="2666" spans="1:17" x14ac:dyDescent="0.25">
      <c r="A2666" s="21" t="str">
        <f>IF(C2666="","",COUNTA($C$3:C2666))</f>
        <v/>
      </c>
      <c r="B2666" s="35" t="str">
        <f t="shared" si="57"/>
        <v/>
      </c>
      <c r="C2666" s="33"/>
      <c r="E2666" s="60"/>
      <c r="F2666" s="18"/>
      <c r="G2666" s="18"/>
      <c r="H2666" s="49"/>
      <c r="I2666" s="49"/>
      <c r="K2666" s="55"/>
      <c r="L2666" s="62"/>
      <c r="M2666" s="53"/>
    </row>
    <row r="2667" spans="1:17" x14ac:dyDescent="0.25">
      <c r="A2667" s="21" t="str">
        <f>IF(C2667="","",COUNTA($C$3:C2667))</f>
        <v/>
      </c>
      <c r="B2667" s="35" t="str">
        <f t="shared" si="57"/>
        <v/>
      </c>
      <c r="C2667" s="33"/>
      <c r="E2667" s="60"/>
      <c r="F2667" s="18"/>
      <c r="G2667" s="18"/>
      <c r="H2667" s="49"/>
      <c r="I2667" s="49"/>
      <c r="M2667" s="53"/>
      <c r="O2667" s="59"/>
      <c r="P2667" s="71"/>
      <c r="Q2667" s="59"/>
    </row>
    <row r="2668" spans="1:17" x14ac:dyDescent="0.25">
      <c r="A2668" s="21" t="str">
        <f>IF(C2668="","",COUNTA($C$3:C2668))</f>
        <v/>
      </c>
      <c r="B2668" s="35" t="str">
        <f t="shared" si="57"/>
        <v/>
      </c>
      <c r="C2668" s="33"/>
      <c r="E2668" s="60"/>
      <c r="F2668" s="18"/>
      <c r="G2668" s="18"/>
      <c r="H2668" s="49"/>
      <c r="I2668" s="49"/>
      <c r="M2668" s="53"/>
      <c r="O2668" s="59"/>
      <c r="P2668" s="69"/>
      <c r="Q2668" s="59"/>
    </row>
    <row r="2669" spans="1:17" x14ac:dyDescent="0.25">
      <c r="A2669" s="21" t="str">
        <f>IF(C2669="","",COUNTA($C$3:C2669))</f>
        <v/>
      </c>
      <c r="B2669" s="35" t="str">
        <f t="shared" si="57"/>
        <v/>
      </c>
      <c r="C2669" s="33"/>
      <c r="E2669" s="60"/>
      <c r="F2669" s="18"/>
      <c r="G2669" s="18"/>
      <c r="H2669" s="49"/>
      <c r="I2669" s="49"/>
      <c r="M2669" s="53"/>
      <c r="O2669" s="59"/>
      <c r="P2669" s="69"/>
      <c r="Q2669" s="59"/>
    </row>
    <row r="2670" spans="1:17" x14ac:dyDescent="0.25">
      <c r="A2670" s="21" t="str">
        <f>IF(C2670="","",COUNTA($C$3:C2670))</f>
        <v/>
      </c>
      <c r="B2670" s="35" t="str">
        <f t="shared" si="57"/>
        <v/>
      </c>
      <c r="C2670" s="33"/>
      <c r="E2670" s="60"/>
      <c r="F2670" s="18"/>
      <c r="G2670" s="18"/>
      <c r="H2670" s="49"/>
      <c r="I2670" s="49"/>
      <c r="M2670" s="53"/>
      <c r="O2670" s="59"/>
      <c r="P2670" s="59"/>
      <c r="Q2670" s="59"/>
    </row>
    <row r="2671" spans="1:17" x14ac:dyDescent="0.25">
      <c r="A2671" s="21" t="str">
        <f>IF(C2671="","",COUNTA($C$3:C2671))</f>
        <v/>
      </c>
      <c r="B2671" s="35" t="str">
        <f t="shared" si="57"/>
        <v/>
      </c>
      <c r="C2671" s="33"/>
      <c r="E2671" s="60"/>
      <c r="F2671" s="18"/>
      <c r="H2671" s="49"/>
      <c r="I2671" s="49"/>
      <c r="M2671" s="53"/>
    </row>
    <row r="2672" spans="1:17" x14ac:dyDescent="0.25">
      <c r="A2672" s="21" t="str">
        <f>IF(C2672="","",COUNTA($C$3:C2672))</f>
        <v/>
      </c>
      <c r="B2672" s="35" t="str">
        <f t="shared" si="57"/>
        <v/>
      </c>
      <c r="C2672" s="33"/>
      <c r="E2672" s="60"/>
      <c r="F2672" s="18"/>
      <c r="H2672" s="49"/>
      <c r="I2672" s="49"/>
      <c r="M2672" s="53"/>
    </row>
    <row r="2673" spans="1:17" x14ac:dyDescent="0.25">
      <c r="A2673" s="21" t="str">
        <f>IF(C2673="","",COUNTA($C$3:C2673))</f>
        <v/>
      </c>
      <c r="B2673" s="35" t="str">
        <f t="shared" si="57"/>
        <v/>
      </c>
      <c r="C2673" s="33"/>
      <c r="E2673" s="60"/>
      <c r="F2673" s="18"/>
      <c r="G2673" s="18"/>
      <c r="H2673" s="49"/>
      <c r="I2673" s="49"/>
      <c r="M2673" s="53"/>
    </row>
    <row r="2674" spans="1:17" x14ac:dyDescent="0.25">
      <c r="A2674" s="21" t="str">
        <f>IF(C2674="","",COUNTA($C$3:C2674))</f>
        <v/>
      </c>
      <c r="B2674" s="35" t="str">
        <f t="shared" si="57"/>
        <v/>
      </c>
      <c r="C2674" s="33"/>
      <c r="E2674" s="60"/>
      <c r="F2674" s="18"/>
      <c r="G2674" s="18"/>
      <c r="H2674" s="49"/>
      <c r="I2674" s="49"/>
      <c r="M2674" s="53"/>
    </row>
    <row r="2675" spans="1:17" x14ac:dyDescent="0.25">
      <c r="A2675" s="21" t="str">
        <f>IF(C2675="","",COUNTA($C$3:C2675))</f>
        <v/>
      </c>
      <c r="B2675" s="35" t="str">
        <f t="shared" si="57"/>
        <v/>
      </c>
      <c r="C2675" s="33"/>
      <c r="E2675" s="60"/>
      <c r="F2675" s="18"/>
      <c r="G2675" s="18"/>
      <c r="H2675" s="49"/>
      <c r="I2675" s="49"/>
      <c r="M2675" s="53"/>
    </row>
    <row r="2676" spans="1:17" x14ac:dyDescent="0.25">
      <c r="A2676" s="21" t="str">
        <f>IF(C2676="","",COUNTA($C$3:C2676))</f>
        <v/>
      </c>
      <c r="B2676" s="35" t="str">
        <f t="shared" si="57"/>
        <v/>
      </c>
      <c r="C2676" s="33"/>
      <c r="E2676" s="60"/>
      <c r="F2676" s="18"/>
      <c r="G2676" s="18"/>
      <c r="H2676" s="49"/>
      <c r="I2676" s="49"/>
      <c r="M2676" s="53"/>
    </row>
    <row r="2677" spans="1:17" x14ac:dyDescent="0.25">
      <c r="A2677" s="21" t="str">
        <f>IF(C2677="","",COUNTA($C$3:C2677))</f>
        <v/>
      </c>
      <c r="B2677" s="35" t="str">
        <f t="shared" si="57"/>
        <v/>
      </c>
      <c r="C2677" s="33"/>
      <c r="E2677" s="60"/>
      <c r="F2677" s="18"/>
      <c r="H2677" s="49"/>
      <c r="I2677" s="49"/>
      <c r="M2677" s="53"/>
    </row>
    <row r="2678" spans="1:17" x14ac:dyDescent="0.25">
      <c r="A2678" s="21" t="str">
        <f>IF(C2678="","",COUNTA($C$3:C2678))</f>
        <v/>
      </c>
      <c r="B2678" s="35" t="str">
        <f t="shared" si="57"/>
        <v/>
      </c>
      <c r="C2678" s="33"/>
      <c r="E2678" s="60"/>
      <c r="F2678" s="18"/>
      <c r="H2678" s="49"/>
      <c r="I2678" s="49"/>
      <c r="M2678" s="53"/>
    </row>
    <row r="2679" spans="1:17" x14ac:dyDescent="0.25">
      <c r="A2679" s="21" t="str">
        <f>IF(C2679="","",COUNTA($C$3:C2679))</f>
        <v/>
      </c>
      <c r="B2679" s="35" t="str">
        <f t="shared" si="57"/>
        <v/>
      </c>
      <c r="C2679" s="33"/>
      <c r="E2679" s="60"/>
      <c r="F2679" s="18"/>
      <c r="H2679" s="49"/>
      <c r="I2679" s="49"/>
      <c r="M2679" s="53"/>
    </row>
    <row r="2680" spans="1:17" x14ac:dyDescent="0.25">
      <c r="A2680" s="21" t="str">
        <f>IF(C2680="","",COUNTA($C$3:C2680))</f>
        <v/>
      </c>
      <c r="B2680" s="35" t="str">
        <f t="shared" si="57"/>
        <v/>
      </c>
      <c r="C2680" s="33"/>
      <c r="E2680" s="60"/>
      <c r="F2680" s="18"/>
      <c r="H2680" s="49"/>
      <c r="I2680" s="49"/>
      <c r="K2680" s="55"/>
      <c r="M2680" s="53"/>
    </row>
    <row r="2681" spans="1:17" x14ac:dyDescent="0.25">
      <c r="A2681" s="21" t="str">
        <f>IF(C2681="","",COUNTA($C$3:C2681))</f>
        <v/>
      </c>
      <c r="B2681" s="35" t="str">
        <f t="shared" si="57"/>
        <v/>
      </c>
      <c r="C2681" s="33"/>
      <c r="E2681" s="60"/>
      <c r="F2681" s="18"/>
      <c r="H2681" s="49"/>
      <c r="I2681" s="49"/>
      <c r="M2681" s="53"/>
      <c r="O2681" s="59"/>
      <c r="P2681" s="59"/>
      <c r="Q2681" s="59"/>
    </row>
    <row r="2682" spans="1:17" x14ac:dyDescent="0.25">
      <c r="A2682" s="21" t="str">
        <f>IF(C2682="","",COUNTA($C$3:C2682))</f>
        <v/>
      </c>
      <c r="B2682" s="35" t="str">
        <f t="shared" si="57"/>
        <v/>
      </c>
      <c r="C2682" s="33"/>
      <c r="E2682" s="60"/>
      <c r="F2682" s="18"/>
      <c r="H2682" s="49"/>
      <c r="I2682" s="49"/>
      <c r="M2682" s="53"/>
      <c r="O2682" s="59"/>
      <c r="P2682" s="59"/>
      <c r="Q2682" s="59"/>
    </row>
    <row r="2683" spans="1:17" x14ac:dyDescent="0.25">
      <c r="A2683" s="21" t="str">
        <f>IF(C2683="","",COUNTA($C$3:C2683))</f>
        <v/>
      </c>
      <c r="B2683" s="35" t="str">
        <f t="shared" si="57"/>
        <v/>
      </c>
      <c r="C2683" s="33"/>
      <c r="E2683" s="60"/>
      <c r="F2683" s="18"/>
      <c r="H2683" s="49"/>
      <c r="I2683" s="49"/>
      <c r="M2683" s="53"/>
      <c r="O2683" s="59"/>
      <c r="P2683" s="59"/>
      <c r="Q2683" s="59"/>
    </row>
    <row r="2684" spans="1:17" x14ac:dyDescent="0.25">
      <c r="A2684" s="21" t="str">
        <f>IF(C2684="","",COUNTA($C$3:C2684))</f>
        <v/>
      </c>
      <c r="B2684" s="35" t="str">
        <f t="shared" si="57"/>
        <v/>
      </c>
      <c r="C2684" s="33"/>
      <c r="E2684" s="60"/>
      <c r="F2684" s="18"/>
      <c r="H2684" s="49"/>
      <c r="I2684" s="49"/>
      <c r="M2684" s="53"/>
      <c r="O2684" s="59"/>
      <c r="P2684" s="59"/>
      <c r="Q2684" s="59"/>
    </row>
    <row r="2685" spans="1:17" x14ac:dyDescent="0.25">
      <c r="A2685" s="21" t="str">
        <f>IF(C2685="","",COUNTA($C$3:C2685))</f>
        <v/>
      </c>
      <c r="B2685" s="35" t="str">
        <f t="shared" si="57"/>
        <v/>
      </c>
      <c r="C2685" s="33"/>
      <c r="E2685" s="60"/>
      <c r="F2685" s="18"/>
      <c r="H2685" s="49"/>
      <c r="I2685" s="49"/>
      <c r="M2685" s="53"/>
      <c r="O2685" s="59"/>
      <c r="P2685" s="59"/>
      <c r="Q2685" s="59"/>
    </row>
    <row r="2686" spans="1:17" x14ac:dyDescent="0.25">
      <c r="A2686" s="21" t="str">
        <f>IF(C2686="","",COUNTA($C$3:C2686))</f>
        <v/>
      </c>
      <c r="B2686" s="35" t="str">
        <f t="shared" si="57"/>
        <v/>
      </c>
      <c r="C2686" s="33"/>
      <c r="E2686" s="60"/>
      <c r="F2686" s="18"/>
      <c r="H2686" s="49"/>
      <c r="I2686" s="49"/>
      <c r="M2686" s="53"/>
      <c r="O2686" s="59"/>
      <c r="P2686" s="59"/>
      <c r="Q2686" s="59"/>
    </row>
    <row r="2687" spans="1:17" x14ac:dyDescent="0.25">
      <c r="A2687" s="21" t="str">
        <f>IF(C2687="","",COUNTA($C$3:C2687))</f>
        <v/>
      </c>
      <c r="B2687" s="35" t="str">
        <f t="shared" si="57"/>
        <v/>
      </c>
      <c r="C2687" s="33"/>
      <c r="E2687" s="60"/>
      <c r="F2687" s="18"/>
      <c r="H2687" s="49"/>
      <c r="I2687" s="49"/>
      <c r="M2687" s="53"/>
      <c r="O2687" s="59"/>
      <c r="P2687" s="59"/>
      <c r="Q2687" s="59"/>
    </row>
    <row r="2688" spans="1:17" x14ac:dyDescent="0.25">
      <c r="A2688" s="21" t="str">
        <f>IF(C2688="","",COUNTA($C$3:C2688))</f>
        <v/>
      </c>
      <c r="B2688" s="35" t="str">
        <f t="shared" si="57"/>
        <v/>
      </c>
      <c r="C2688" s="33"/>
      <c r="E2688" s="60"/>
      <c r="F2688" s="18"/>
      <c r="H2688" s="49"/>
      <c r="I2688" s="49"/>
      <c r="M2688" s="53"/>
      <c r="O2688" s="59"/>
      <c r="P2688" s="69"/>
      <c r="Q2688" s="59"/>
    </row>
    <row r="2689" spans="1:17" x14ac:dyDescent="0.25">
      <c r="A2689" s="21" t="str">
        <f>IF(C2689="","",COUNTA($C$3:C2689))</f>
        <v/>
      </c>
      <c r="B2689" s="35" t="str">
        <f t="shared" si="57"/>
        <v/>
      </c>
      <c r="C2689" s="33"/>
      <c r="E2689" s="60"/>
      <c r="F2689" s="18"/>
      <c r="H2689" s="49"/>
      <c r="I2689" s="49"/>
      <c r="M2689" s="53"/>
      <c r="O2689" s="59"/>
      <c r="P2689" s="59"/>
      <c r="Q2689" s="59"/>
    </row>
    <row r="2690" spans="1:17" x14ac:dyDescent="0.25">
      <c r="A2690" s="21" t="str">
        <f>IF(C2690="","",COUNTA($C$3:C2690))</f>
        <v/>
      </c>
      <c r="B2690" s="35" t="str">
        <f t="shared" si="57"/>
        <v/>
      </c>
      <c r="C2690" s="33"/>
      <c r="E2690" s="60"/>
      <c r="F2690" s="18"/>
      <c r="H2690" s="49"/>
      <c r="I2690" s="49"/>
      <c r="M2690" s="53"/>
      <c r="O2690" s="59"/>
      <c r="P2690" s="69"/>
      <c r="Q2690" s="59"/>
    </row>
    <row r="2691" spans="1:17" x14ac:dyDescent="0.25">
      <c r="A2691" s="21" t="str">
        <f>IF(C2691="","",COUNTA($C$3:C2691))</f>
        <v/>
      </c>
      <c r="B2691" s="35" t="str">
        <f t="shared" si="57"/>
        <v/>
      </c>
      <c r="C2691" s="33"/>
      <c r="E2691" s="60"/>
      <c r="F2691" s="18"/>
      <c r="H2691" s="49"/>
      <c r="I2691" s="49"/>
      <c r="M2691" s="53"/>
      <c r="O2691" s="59"/>
      <c r="P2691" s="69"/>
      <c r="Q2691" s="59"/>
    </row>
    <row r="2692" spans="1:17" x14ac:dyDescent="0.25">
      <c r="A2692" s="21" t="str">
        <f>IF(C2692="","",COUNTA($C$3:C2692))</f>
        <v/>
      </c>
      <c r="B2692" s="35" t="str">
        <f t="shared" si="57"/>
        <v/>
      </c>
      <c r="C2692" s="33"/>
      <c r="E2692" s="60"/>
      <c r="F2692" s="18"/>
      <c r="H2692" s="49"/>
      <c r="I2692" s="49"/>
      <c r="M2692" s="53"/>
    </row>
    <row r="2693" spans="1:17" x14ac:dyDescent="0.25">
      <c r="A2693" s="21" t="str">
        <f>IF(C2693="","",COUNTA($C$3:C2693))</f>
        <v/>
      </c>
      <c r="B2693" s="35" t="str">
        <f t="shared" ref="B2693:B2756" si="58">IF(C2693="","",TEXT(C2693,"mmmm"))</f>
        <v/>
      </c>
      <c r="C2693" s="33"/>
      <c r="E2693" s="60"/>
      <c r="F2693" s="18"/>
      <c r="H2693" s="49"/>
      <c r="I2693" s="49"/>
      <c r="M2693" s="53"/>
    </row>
    <row r="2694" spans="1:17" x14ac:dyDescent="0.25">
      <c r="A2694" s="21" t="str">
        <f>IF(C2694="","",COUNTA($C$3:C2694))</f>
        <v/>
      </c>
      <c r="B2694" s="35" t="str">
        <f t="shared" si="58"/>
        <v/>
      </c>
      <c r="C2694" s="33"/>
      <c r="E2694" s="60"/>
      <c r="F2694" s="18"/>
      <c r="H2694" s="49"/>
      <c r="I2694" s="49"/>
      <c r="L2694" s="62"/>
      <c r="M2694" s="53"/>
    </row>
    <row r="2695" spans="1:17" x14ac:dyDescent="0.25">
      <c r="A2695" s="21" t="str">
        <f>IF(C2695="","",COUNTA($C$3:C2695))</f>
        <v/>
      </c>
      <c r="B2695" s="35" t="str">
        <f t="shared" si="58"/>
        <v/>
      </c>
      <c r="C2695" s="33"/>
      <c r="E2695" s="60"/>
      <c r="F2695" s="18"/>
      <c r="H2695" s="49"/>
      <c r="I2695" s="49"/>
      <c r="M2695" s="53"/>
    </row>
    <row r="2696" spans="1:17" x14ac:dyDescent="0.25">
      <c r="A2696" s="21" t="str">
        <f>IF(C2696="","",COUNTA($C$3:C2696))</f>
        <v/>
      </c>
      <c r="B2696" s="35" t="str">
        <f t="shared" si="58"/>
        <v/>
      </c>
      <c r="C2696" s="33"/>
      <c r="E2696" s="60"/>
      <c r="F2696" s="18"/>
      <c r="H2696" s="49"/>
      <c r="I2696" s="49"/>
      <c r="M2696" s="53"/>
    </row>
    <row r="2697" spans="1:17" x14ac:dyDescent="0.25">
      <c r="A2697" s="21" t="str">
        <f>IF(C2697="","",COUNTA($C$3:C2697))</f>
        <v/>
      </c>
      <c r="B2697" s="35" t="str">
        <f t="shared" si="58"/>
        <v/>
      </c>
      <c r="C2697" s="33"/>
      <c r="E2697" s="60"/>
      <c r="F2697" s="18"/>
      <c r="H2697" s="49"/>
      <c r="I2697" s="49"/>
      <c r="M2697" s="53"/>
      <c r="O2697" s="59"/>
    </row>
    <row r="2698" spans="1:17" x14ac:dyDescent="0.25">
      <c r="A2698" s="21" t="str">
        <f>IF(C2698="","",COUNTA($C$3:C2698))</f>
        <v/>
      </c>
      <c r="B2698" s="35" t="str">
        <f t="shared" si="58"/>
        <v/>
      </c>
      <c r="C2698" s="33"/>
      <c r="E2698" s="60"/>
      <c r="F2698" s="18"/>
      <c r="H2698" s="49"/>
      <c r="I2698" s="49"/>
      <c r="M2698" s="53"/>
      <c r="O2698" s="69"/>
    </row>
    <row r="2699" spans="1:17" x14ac:dyDescent="0.25">
      <c r="A2699" s="21" t="str">
        <f>IF(C2699="","",COUNTA($C$3:C2699))</f>
        <v/>
      </c>
      <c r="B2699" s="35" t="str">
        <f t="shared" si="58"/>
        <v/>
      </c>
      <c r="C2699" s="33"/>
      <c r="E2699" s="60"/>
      <c r="F2699" s="18"/>
      <c r="H2699" s="49"/>
      <c r="I2699" s="49"/>
      <c r="K2699" s="55"/>
      <c r="M2699" s="53"/>
    </row>
    <row r="2700" spans="1:17" x14ac:dyDescent="0.25">
      <c r="A2700" s="21" t="str">
        <f>IF(C2700="","",COUNTA($C$3:C2700))</f>
        <v/>
      </c>
      <c r="B2700" s="35" t="str">
        <f t="shared" si="58"/>
        <v/>
      </c>
      <c r="C2700" s="33"/>
      <c r="E2700" s="60"/>
      <c r="F2700" s="18"/>
      <c r="H2700" s="49"/>
      <c r="I2700" s="49"/>
      <c r="M2700" s="53"/>
    </row>
    <row r="2701" spans="1:17" x14ac:dyDescent="0.25">
      <c r="A2701" s="21" t="str">
        <f>IF(C2701="","",COUNTA($C$3:C2701))</f>
        <v/>
      </c>
      <c r="B2701" s="35" t="str">
        <f t="shared" si="58"/>
        <v/>
      </c>
      <c r="C2701" s="33"/>
      <c r="E2701" s="60"/>
      <c r="F2701" s="18"/>
      <c r="H2701" s="49"/>
      <c r="I2701" s="49"/>
      <c r="M2701" s="53"/>
    </row>
    <row r="2702" spans="1:17" x14ac:dyDescent="0.25">
      <c r="A2702" s="21" t="str">
        <f>IF(C2702="","",COUNTA($C$3:C2702))</f>
        <v/>
      </c>
      <c r="B2702" s="35" t="str">
        <f t="shared" si="58"/>
        <v/>
      </c>
      <c r="C2702" s="33"/>
      <c r="E2702" s="60"/>
      <c r="F2702" s="18"/>
      <c r="H2702" s="49"/>
      <c r="I2702" s="49"/>
      <c r="M2702" s="53"/>
    </row>
    <row r="2703" spans="1:17" x14ac:dyDescent="0.25">
      <c r="A2703" s="21" t="str">
        <f>IF(C2703="","",COUNTA($C$3:C2703))</f>
        <v/>
      </c>
      <c r="B2703" s="35" t="str">
        <f t="shared" si="58"/>
        <v/>
      </c>
      <c r="C2703" s="33"/>
      <c r="E2703" s="60"/>
      <c r="F2703" s="18"/>
      <c r="H2703" s="49"/>
      <c r="I2703" s="49"/>
      <c r="M2703" s="53"/>
    </row>
    <row r="2704" spans="1:17" x14ac:dyDescent="0.25">
      <c r="A2704" s="21" t="str">
        <f>IF(C2704="","",COUNTA($C$3:C2704))</f>
        <v/>
      </c>
      <c r="B2704" s="35" t="str">
        <f t="shared" si="58"/>
        <v/>
      </c>
      <c r="C2704" s="33"/>
      <c r="E2704" s="60"/>
      <c r="F2704" s="18"/>
      <c r="H2704" s="49"/>
      <c r="I2704" s="49"/>
      <c r="L2704" s="62"/>
      <c r="M2704" s="53"/>
    </row>
    <row r="2705" spans="1:13" x14ac:dyDescent="0.25">
      <c r="A2705" s="21" t="str">
        <f>IF(C2705="","",COUNTA($C$3:C2705))</f>
        <v/>
      </c>
      <c r="B2705" s="35" t="str">
        <f t="shared" si="58"/>
        <v/>
      </c>
      <c r="C2705" s="33"/>
      <c r="E2705" s="60"/>
      <c r="F2705" s="18"/>
      <c r="H2705" s="49"/>
      <c r="I2705" s="49"/>
      <c r="M2705" s="53"/>
    </row>
    <row r="2706" spans="1:13" x14ac:dyDescent="0.25">
      <c r="A2706" s="21" t="str">
        <f>IF(C2706="","",COUNTA($C$3:C2706))</f>
        <v/>
      </c>
      <c r="B2706" s="35" t="str">
        <f t="shared" si="58"/>
        <v/>
      </c>
      <c r="C2706" s="33"/>
      <c r="E2706" s="60"/>
      <c r="F2706" s="18"/>
      <c r="H2706" s="49"/>
      <c r="I2706" s="49"/>
      <c r="M2706" s="53"/>
    </row>
    <row r="2707" spans="1:13" x14ac:dyDescent="0.25">
      <c r="A2707" s="21" t="str">
        <f>IF(C2707="","",COUNTA($C$3:C2707))</f>
        <v/>
      </c>
      <c r="B2707" s="35" t="str">
        <f t="shared" si="58"/>
        <v/>
      </c>
      <c r="C2707" s="33"/>
      <c r="E2707" s="60"/>
      <c r="F2707" s="18"/>
      <c r="H2707" s="49"/>
      <c r="I2707" s="49"/>
      <c r="M2707" s="53"/>
    </row>
    <row r="2708" spans="1:13" x14ac:dyDescent="0.25">
      <c r="A2708" s="21" t="str">
        <f>IF(C2708="","",COUNTA($C$3:C2708))</f>
        <v/>
      </c>
      <c r="B2708" s="35" t="str">
        <f t="shared" si="58"/>
        <v/>
      </c>
      <c r="C2708" s="33"/>
      <c r="E2708" s="60"/>
      <c r="F2708" s="18"/>
      <c r="H2708" s="49"/>
      <c r="I2708" s="49"/>
      <c r="M2708" s="53"/>
    </row>
    <row r="2709" spans="1:13" x14ac:dyDescent="0.25">
      <c r="A2709" s="21" t="str">
        <f>IF(C2709="","",COUNTA($C$3:C2709))</f>
        <v/>
      </c>
      <c r="B2709" s="35" t="str">
        <f t="shared" si="58"/>
        <v/>
      </c>
      <c r="C2709" s="33"/>
      <c r="E2709" s="60"/>
      <c r="F2709" s="18"/>
      <c r="H2709" s="49"/>
      <c r="I2709" s="49"/>
      <c r="M2709" s="53"/>
    </row>
    <row r="2710" spans="1:13" x14ac:dyDescent="0.25">
      <c r="A2710" s="21" t="str">
        <f>IF(C2710="","",COUNTA($C$3:C2710))</f>
        <v/>
      </c>
      <c r="B2710" s="35" t="str">
        <f t="shared" si="58"/>
        <v/>
      </c>
      <c r="C2710" s="33"/>
      <c r="E2710" s="60"/>
      <c r="F2710" s="18"/>
      <c r="H2710" s="49"/>
      <c r="I2710" s="49"/>
      <c r="M2710" s="53"/>
    </row>
    <row r="2711" spans="1:13" x14ac:dyDescent="0.25">
      <c r="A2711" s="21" t="str">
        <f>IF(C2711="","",COUNTA($C$3:C2711))</f>
        <v/>
      </c>
      <c r="B2711" s="35" t="str">
        <f t="shared" si="58"/>
        <v/>
      </c>
      <c r="C2711" s="33"/>
      <c r="E2711" s="60"/>
      <c r="F2711" s="18"/>
      <c r="H2711" s="49"/>
      <c r="I2711" s="49"/>
      <c r="M2711" s="53"/>
    </row>
    <row r="2712" spans="1:13" x14ac:dyDescent="0.25">
      <c r="A2712" s="21" t="str">
        <f>IF(C2712="","",COUNTA($C$3:C2712))</f>
        <v/>
      </c>
      <c r="B2712" s="35" t="str">
        <f t="shared" si="58"/>
        <v/>
      </c>
      <c r="C2712" s="33"/>
      <c r="E2712" s="60"/>
      <c r="F2712" s="18"/>
      <c r="H2712" s="49"/>
      <c r="I2712" s="49"/>
      <c r="M2712" s="53"/>
    </row>
    <row r="2713" spans="1:13" x14ac:dyDescent="0.25">
      <c r="A2713" s="21" t="str">
        <f>IF(C2713="","",COUNTA($C$3:C2713))</f>
        <v/>
      </c>
      <c r="B2713" s="35" t="str">
        <f t="shared" si="58"/>
        <v/>
      </c>
      <c r="C2713" s="33"/>
      <c r="E2713" s="60"/>
      <c r="F2713" s="18"/>
      <c r="H2713" s="49"/>
      <c r="I2713" s="49"/>
      <c r="M2713" s="53"/>
    </row>
    <row r="2714" spans="1:13" x14ac:dyDescent="0.25">
      <c r="A2714" s="21" t="str">
        <f>IF(C2714="","",COUNTA($C$3:C2714))</f>
        <v/>
      </c>
      <c r="B2714" s="35" t="str">
        <f t="shared" si="58"/>
        <v/>
      </c>
      <c r="C2714" s="33"/>
      <c r="E2714" s="60"/>
      <c r="F2714" s="18"/>
      <c r="H2714" s="49"/>
      <c r="I2714" s="49"/>
      <c r="M2714" s="53"/>
    </row>
    <row r="2715" spans="1:13" x14ac:dyDescent="0.25">
      <c r="A2715" s="21" t="str">
        <f>IF(C2715="","",COUNTA($C$3:C2715))</f>
        <v/>
      </c>
      <c r="B2715" s="35" t="str">
        <f t="shared" si="58"/>
        <v/>
      </c>
      <c r="C2715" s="33"/>
      <c r="E2715" s="60"/>
      <c r="F2715" s="18"/>
      <c r="H2715" s="49"/>
      <c r="I2715" s="49"/>
      <c r="M2715" s="53"/>
    </row>
    <row r="2716" spans="1:13" x14ac:dyDescent="0.25">
      <c r="A2716" s="21" t="str">
        <f>IF(C2716="","",COUNTA($C$3:C2716))</f>
        <v/>
      </c>
      <c r="B2716" s="35" t="str">
        <f t="shared" si="58"/>
        <v/>
      </c>
      <c r="C2716" s="33"/>
      <c r="E2716" s="60"/>
      <c r="F2716" s="18"/>
      <c r="G2716" s="18"/>
      <c r="H2716" s="49"/>
      <c r="I2716" s="49"/>
      <c r="K2716" s="55"/>
      <c r="M2716" s="53"/>
    </row>
    <row r="2717" spans="1:13" x14ac:dyDescent="0.25">
      <c r="A2717" s="21" t="str">
        <f>IF(C2717="","",COUNTA($C$3:C2717))</f>
        <v/>
      </c>
      <c r="B2717" s="35" t="str">
        <f t="shared" si="58"/>
        <v/>
      </c>
      <c r="C2717" s="33"/>
      <c r="E2717" s="60"/>
      <c r="F2717" s="18"/>
      <c r="G2717" s="18"/>
      <c r="H2717" s="49"/>
      <c r="I2717" s="49"/>
      <c r="M2717" s="53"/>
    </row>
    <row r="2718" spans="1:13" x14ac:dyDescent="0.25">
      <c r="A2718" s="21" t="str">
        <f>IF(C2718="","",COUNTA($C$3:C2718))</f>
        <v/>
      </c>
      <c r="B2718" s="35" t="str">
        <f t="shared" si="58"/>
        <v/>
      </c>
      <c r="C2718" s="33"/>
      <c r="E2718" s="60"/>
      <c r="F2718" s="18"/>
      <c r="G2718" s="18"/>
      <c r="H2718" s="49"/>
      <c r="I2718" s="49"/>
      <c r="M2718" s="53"/>
    </row>
    <row r="2719" spans="1:13" x14ac:dyDescent="0.25">
      <c r="A2719" s="21" t="str">
        <f>IF(C2719="","",COUNTA($C$3:C2719))</f>
        <v/>
      </c>
      <c r="B2719" s="35" t="str">
        <f t="shared" si="58"/>
        <v/>
      </c>
      <c r="C2719" s="33"/>
      <c r="E2719" s="60"/>
      <c r="F2719" s="18"/>
      <c r="G2719" s="18"/>
      <c r="H2719" s="49"/>
      <c r="I2719" s="49"/>
      <c r="M2719" s="53"/>
    </row>
    <row r="2720" spans="1:13" x14ac:dyDescent="0.25">
      <c r="A2720" s="21" t="str">
        <f>IF(C2720="","",COUNTA($C$3:C2720))</f>
        <v/>
      </c>
      <c r="B2720" s="35" t="str">
        <f t="shared" si="58"/>
        <v/>
      </c>
      <c r="C2720" s="33"/>
      <c r="E2720" s="60"/>
      <c r="F2720" s="18"/>
      <c r="G2720" s="18"/>
      <c r="H2720" s="49"/>
      <c r="I2720" s="49"/>
      <c r="M2720" s="53"/>
    </row>
    <row r="2721" spans="1:13" x14ac:dyDescent="0.25">
      <c r="A2721" s="21" t="str">
        <f>IF(C2721="","",COUNTA($C$3:C2721))</f>
        <v/>
      </c>
      <c r="B2721" s="35" t="str">
        <f t="shared" si="58"/>
        <v/>
      </c>
      <c r="C2721" s="33"/>
      <c r="E2721" s="60"/>
      <c r="F2721" s="18"/>
      <c r="G2721" s="18"/>
      <c r="H2721" s="49"/>
      <c r="I2721" s="49"/>
      <c r="M2721" s="53"/>
    </row>
    <row r="2722" spans="1:13" x14ac:dyDescent="0.25">
      <c r="A2722" s="21" t="str">
        <f>IF(C2722="","",COUNTA($C$3:C2722))</f>
        <v/>
      </c>
      <c r="B2722" s="35" t="str">
        <f t="shared" si="58"/>
        <v/>
      </c>
      <c r="C2722" s="33"/>
      <c r="E2722" s="60"/>
      <c r="F2722" s="18"/>
      <c r="G2722" s="18"/>
      <c r="H2722" s="49"/>
      <c r="I2722" s="49"/>
      <c r="M2722" s="53"/>
    </row>
    <row r="2723" spans="1:13" x14ac:dyDescent="0.25">
      <c r="A2723" s="21" t="str">
        <f>IF(C2723="","",COUNTA($C$3:C2723))</f>
        <v/>
      </c>
      <c r="B2723" s="35" t="str">
        <f t="shared" si="58"/>
        <v/>
      </c>
      <c r="C2723" s="33"/>
      <c r="E2723" s="60"/>
      <c r="F2723" s="18"/>
      <c r="H2723" s="49"/>
      <c r="I2723" s="49"/>
      <c r="M2723" s="53"/>
    </row>
    <row r="2724" spans="1:13" x14ac:dyDescent="0.25">
      <c r="A2724" s="21" t="str">
        <f>IF(C2724="","",COUNTA($C$3:C2724))</f>
        <v/>
      </c>
      <c r="B2724" s="35" t="str">
        <f t="shared" si="58"/>
        <v/>
      </c>
      <c r="C2724" s="33"/>
      <c r="E2724" s="60"/>
      <c r="F2724" s="18"/>
      <c r="H2724" s="49"/>
      <c r="I2724" s="49"/>
      <c r="M2724" s="53"/>
    </row>
    <row r="2725" spans="1:13" x14ac:dyDescent="0.25">
      <c r="A2725" s="21" t="str">
        <f>IF(C2725="","",COUNTA($C$3:C2725))</f>
        <v/>
      </c>
      <c r="B2725" s="35" t="str">
        <f t="shared" si="58"/>
        <v/>
      </c>
      <c r="C2725" s="33"/>
      <c r="E2725" s="60"/>
      <c r="F2725" s="18"/>
      <c r="H2725" s="49"/>
      <c r="I2725" s="49"/>
      <c r="M2725" s="53"/>
    </row>
    <row r="2726" spans="1:13" x14ac:dyDescent="0.25">
      <c r="A2726" s="21" t="str">
        <f>IF(C2726="","",COUNTA($C$3:C2726))</f>
        <v/>
      </c>
      <c r="B2726" s="35" t="str">
        <f t="shared" si="58"/>
        <v/>
      </c>
      <c r="C2726" s="33"/>
      <c r="E2726" s="60"/>
      <c r="F2726" s="18"/>
      <c r="H2726" s="49"/>
      <c r="I2726" s="49"/>
      <c r="M2726" s="53"/>
    </row>
    <row r="2727" spans="1:13" x14ac:dyDescent="0.25">
      <c r="A2727" s="21" t="str">
        <f>IF(C2727="","",COUNTA($C$3:C2727))</f>
        <v/>
      </c>
      <c r="B2727" s="35" t="str">
        <f t="shared" si="58"/>
        <v/>
      </c>
      <c r="C2727" s="33"/>
      <c r="E2727" s="60"/>
      <c r="F2727" s="18"/>
      <c r="H2727" s="49"/>
      <c r="I2727" s="49"/>
      <c r="M2727" s="53"/>
    </row>
    <row r="2728" spans="1:13" x14ac:dyDescent="0.25">
      <c r="A2728" s="21" t="str">
        <f>IF(C2728="","",COUNTA($C$3:C2728))</f>
        <v/>
      </c>
      <c r="B2728" s="35" t="str">
        <f t="shared" si="58"/>
        <v/>
      </c>
      <c r="C2728" s="33"/>
      <c r="E2728" s="60"/>
      <c r="F2728" s="18"/>
      <c r="H2728" s="49"/>
      <c r="I2728" s="76"/>
      <c r="M2728" s="53"/>
    </row>
    <row r="2729" spans="1:13" x14ac:dyDescent="0.25">
      <c r="A2729" s="21" t="str">
        <f>IF(C2729="","",COUNTA($C$3:C2729))</f>
        <v/>
      </c>
      <c r="B2729" s="35" t="str">
        <f t="shared" si="58"/>
        <v/>
      </c>
      <c r="C2729" s="33"/>
      <c r="E2729" s="60"/>
      <c r="F2729" s="18"/>
      <c r="H2729" s="49"/>
      <c r="I2729" s="49"/>
      <c r="M2729" s="53"/>
    </row>
    <row r="2730" spans="1:13" x14ac:dyDescent="0.25">
      <c r="A2730" s="21" t="str">
        <f>IF(C2730="","",COUNTA($C$3:C2730))</f>
        <v/>
      </c>
      <c r="B2730" s="35" t="str">
        <f t="shared" si="58"/>
        <v/>
      </c>
      <c r="C2730" s="33"/>
      <c r="E2730" s="60"/>
      <c r="F2730" s="18"/>
      <c r="H2730" s="49"/>
      <c r="I2730" s="49"/>
      <c r="M2730" s="53"/>
    </row>
    <row r="2731" spans="1:13" x14ac:dyDescent="0.25">
      <c r="A2731" s="21" t="str">
        <f>IF(C2731="","",COUNTA($C$3:C2731))</f>
        <v/>
      </c>
      <c r="B2731" s="35" t="str">
        <f t="shared" si="58"/>
        <v/>
      </c>
      <c r="C2731" s="33"/>
      <c r="E2731" s="60"/>
      <c r="F2731" s="18"/>
      <c r="H2731" s="49"/>
      <c r="I2731" s="49"/>
      <c r="M2731" s="53"/>
    </row>
    <row r="2732" spans="1:13" x14ac:dyDescent="0.25">
      <c r="A2732" s="21" t="str">
        <f>IF(C2732="","",COUNTA($C$3:C2732))</f>
        <v/>
      </c>
      <c r="B2732" s="35" t="str">
        <f t="shared" si="58"/>
        <v/>
      </c>
      <c r="C2732" s="33"/>
      <c r="E2732" s="60"/>
      <c r="F2732" s="18"/>
      <c r="H2732" s="49"/>
      <c r="I2732" s="49"/>
      <c r="M2732" s="53"/>
    </row>
    <row r="2733" spans="1:13" x14ac:dyDescent="0.25">
      <c r="A2733" s="21" t="str">
        <f>IF(C2733="","",COUNTA($C$3:C2733))</f>
        <v/>
      </c>
      <c r="B2733" s="35" t="str">
        <f t="shared" si="58"/>
        <v/>
      </c>
      <c r="C2733" s="33"/>
      <c r="E2733" s="60"/>
      <c r="F2733" s="18"/>
      <c r="H2733" s="49"/>
      <c r="I2733" s="49"/>
      <c r="M2733" s="53"/>
    </row>
    <row r="2734" spans="1:13" x14ac:dyDescent="0.25">
      <c r="A2734" s="21" t="str">
        <f>IF(C2734="","",COUNTA($C$3:C2734))</f>
        <v/>
      </c>
      <c r="B2734" s="35" t="str">
        <f t="shared" si="58"/>
        <v/>
      </c>
      <c r="C2734" s="33"/>
      <c r="E2734" s="60"/>
      <c r="F2734" s="18"/>
      <c r="H2734" s="49"/>
      <c r="I2734" s="49"/>
      <c r="M2734" s="53"/>
    </row>
    <row r="2735" spans="1:13" x14ac:dyDescent="0.25">
      <c r="A2735" s="21" t="str">
        <f>IF(C2735="","",COUNTA($C$3:C2735))</f>
        <v/>
      </c>
      <c r="B2735" s="35" t="str">
        <f t="shared" si="58"/>
        <v/>
      </c>
      <c r="C2735" s="33"/>
      <c r="E2735" s="60"/>
      <c r="F2735" s="18"/>
      <c r="H2735" s="49"/>
      <c r="I2735" s="49"/>
      <c r="M2735" s="53"/>
    </row>
    <row r="2736" spans="1:13" x14ac:dyDescent="0.25">
      <c r="A2736" s="21" t="str">
        <f>IF(C2736="","",COUNTA($C$3:C2736))</f>
        <v/>
      </c>
      <c r="B2736" s="35" t="str">
        <f t="shared" si="58"/>
        <v/>
      </c>
      <c r="C2736" s="33"/>
      <c r="E2736" s="60"/>
      <c r="F2736" s="18"/>
      <c r="H2736" s="49"/>
      <c r="I2736" s="49"/>
      <c r="M2736" s="53"/>
    </row>
    <row r="2737" spans="1:13" x14ac:dyDescent="0.25">
      <c r="A2737" s="21" t="str">
        <f>IF(C2737="","",COUNTA($C$3:C2737))</f>
        <v/>
      </c>
      <c r="B2737" s="35" t="str">
        <f t="shared" si="58"/>
        <v/>
      </c>
      <c r="C2737" s="33"/>
      <c r="E2737" s="60"/>
      <c r="F2737" s="18"/>
      <c r="H2737" s="49"/>
      <c r="I2737" s="49"/>
      <c r="M2737" s="53"/>
    </row>
    <row r="2738" spans="1:13" x14ac:dyDescent="0.25">
      <c r="A2738" s="21" t="str">
        <f>IF(C2738="","",COUNTA($C$3:C2738))</f>
        <v/>
      </c>
      <c r="B2738" s="35" t="str">
        <f t="shared" si="58"/>
        <v/>
      </c>
      <c r="C2738" s="33"/>
      <c r="E2738" s="60"/>
      <c r="F2738" s="18"/>
      <c r="H2738" s="49"/>
      <c r="I2738" s="49"/>
      <c r="M2738" s="53"/>
    </row>
    <row r="2739" spans="1:13" x14ac:dyDescent="0.25">
      <c r="A2739" s="21" t="str">
        <f>IF(C2739="","",COUNTA($C$3:C2739))</f>
        <v/>
      </c>
      <c r="B2739" s="35" t="str">
        <f t="shared" si="58"/>
        <v/>
      </c>
      <c r="C2739" s="33"/>
      <c r="E2739" s="60"/>
      <c r="F2739" s="18"/>
      <c r="H2739" s="49"/>
      <c r="I2739" s="49"/>
      <c r="M2739" s="53"/>
    </row>
    <row r="2740" spans="1:13" x14ac:dyDescent="0.25">
      <c r="A2740" s="21" t="str">
        <f>IF(C2740="","",COUNTA($C$3:C2740))</f>
        <v/>
      </c>
      <c r="B2740" s="35" t="str">
        <f t="shared" si="58"/>
        <v/>
      </c>
      <c r="C2740" s="33"/>
      <c r="E2740" s="60"/>
      <c r="F2740" s="18"/>
      <c r="H2740" s="49"/>
      <c r="I2740" s="49"/>
      <c r="M2740" s="53"/>
    </row>
    <row r="2741" spans="1:13" x14ac:dyDescent="0.25">
      <c r="A2741" s="21" t="str">
        <f>IF(C2741="","",COUNTA($C$3:C2741))</f>
        <v/>
      </c>
      <c r="B2741" s="35" t="str">
        <f t="shared" si="58"/>
        <v/>
      </c>
      <c r="C2741" s="33"/>
      <c r="E2741" s="60"/>
      <c r="F2741" s="18"/>
      <c r="H2741" s="49"/>
      <c r="I2741" s="49"/>
      <c r="M2741" s="53"/>
    </row>
    <row r="2742" spans="1:13" x14ac:dyDescent="0.25">
      <c r="A2742" s="21" t="str">
        <f>IF(C2742="","",COUNTA($C$3:C2742))</f>
        <v/>
      </c>
      <c r="B2742" s="35" t="str">
        <f t="shared" si="58"/>
        <v/>
      </c>
      <c r="C2742" s="33"/>
      <c r="E2742" s="60"/>
      <c r="F2742" s="18"/>
      <c r="H2742" s="49"/>
      <c r="I2742" s="49"/>
      <c r="M2742" s="53"/>
    </row>
    <row r="2743" spans="1:13" x14ac:dyDescent="0.25">
      <c r="A2743" s="21" t="str">
        <f>IF(C2743="","",COUNTA($C$3:C2743))</f>
        <v/>
      </c>
      <c r="B2743" s="35" t="str">
        <f t="shared" si="58"/>
        <v/>
      </c>
      <c r="C2743" s="33"/>
      <c r="E2743" s="60"/>
      <c r="F2743" s="18"/>
      <c r="H2743" s="49"/>
      <c r="I2743" s="49"/>
      <c r="M2743" s="53"/>
    </row>
    <row r="2744" spans="1:13" x14ac:dyDescent="0.25">
      <c r="A2744" s="21" t="str">
        <f>IF(C2744="","",COUNTA($C$3:C2744))</f>
        <v/>
      </c>
      <c r="B2744" s="35" t="str">
        <f t="shared" si="58"/>
        <v/>
      </c>
      <c r="C2744" s="33"/>
      <c r="E2744" s="60"/>
      <c r="F2744" s="18"/>
      <c r="H2744" s="49"/>
      <c r="I2744" s="49"/>
      <c r="M2744" s="53"/>
    </row>
    <row r="2745" spans="1:13" x14ac:dyDescent="0.25">
      <c r="A2745" s="21" t="str">
        <f>IF(C2745="","",COUNTA($C$3:C2745))</f>
        <v/>
      </c>
      <c r="B2745" s="35" t="str">
        <f t="shared" si="58"/>
        <v/>
      </c>
      <c r="C2745" s="33"/>
      <c r="E2745" s="60"/>
      <c r="F2745" s="18"/>
      <c r="H2745" s="49"/>
      <c r="I2745" s="49"/>
      <c r="M2745" s="53"/>
    </row>
    <row r="2746" spans="1:13" x14ac:dyDescent="0.25">
      <c r="A2746" s="21" t="str">
        <f>IF(C2746="","",COUNTA($C$3:C2746))</f>
        <v/>
      </c>
      <c r="B2746" s="35" t="str">
        <f t="shared" si="58"/>
        <v/>
      </c>
      <c r="C2746" s="33"/>
      <c r="E2746" s="60"/>
      <c r="F2746" s="18"/>
      <c r="H2746" s="49"/>
      <c r="I2746" s="49"/>
      <c r="M2746" s="53"/>
    </row>
    <row r="2747" spans="1:13" x14ac:dyDescent="0.25">
      <c r="A2747" s="21" t="str">
        <f>IF(C2747="","",COUNTA($C$3:C2747))</f>
        <v/>
      </c>
      <c r="B2747" s="35" t="str">
        <f t="shared" si="58"/>
        <v/>
      </c>
      <c r="C2747" s="33"/>
      <c r="E2747" s="60"/>
      <c r="F2747" s="18"/>
      <c r="H2747" s="49"/>
      <c r="I2747" s="49"/>
      <c r="M2747" s="53"/>
    </row>
    <row r="2748" spans="1:13" x14ac:dyDescent="0.25">
      <c r="A2748" s="21" t="str">
        <f>IF(C2748="","",COUNTA($C$3:C2748))</f>
        <v/>
      </c>
      <c r="B2748" s="35" t="str">
        <f t="shared" si="58"/>
        <v/>
      </c>
      <c r="C2748" s="33"/>
      <c r="E2748" s="60"/>
      <c r="F2748" s="18"/>
      <c r="H2748" s="49"/>
      <c r="I2748" s="49"/>
      <c r="M2748" s="53"/>
    </row>
    <row r="2749" spans="1:13" x14ac:dyDescent="0.25">
      <c r="A2749" s="21" t="str">
        <f>IF(C2749="","",COUNTA($C$3:C2749))</f>
        <v/>
      </c>
      <c r="B2749" s="35" t="str">
        <f t="shared" si="58"/>
        <v/>
      </c>
      <c r="C2749" s="33"/>
      <c r="E2749" s="60"/>
      <c r="F2749" s="18"/>
      <c r="H2749" s="49"/>
      <c r="I2749" s="49"/>
      <c r="M2749" s="53"/>
    </row>
    <row r="2750" spans="1:13" x14ac:dyDescent="0.25">
      <c r="A2750" s="21" t="str">
        <f>IF(C2750="","",COUNTA($C$3:C2750))</f>
        <v/>
      </c>
      <c r="B2750" s="35" t="str">
        <f t="shared" si="58"/>
        <v/>
      </c>
      <c r="C2750" s="33"/>
      <c r="E2750" s="60"/>
      <c r="F2750" s="18"/>
      <c r="H2750" s="49"/>
      <c r="I2750" s="49"/>
      <c r="M2750" s="53"/>
    </row>
    <row r="2751" spans="1:13" x14ac:dyDescent="0.25">
      <c r="A2751" s="21" t="str">
        <f>IF(C2751="","",COUNTA($C$3:C2751))</f>
        <v/>
      </c>
      <c r="B2751" s="35" t="str">
        <f t="shared" si="58"/>
        <v/>
      </c>
      <c r="C2751" s="33"/>
      <c r="E2751" s="60"/>
      <c r="F2751" s="18"/>
      <c r="H2751" s="49"/>
      <c r="I2751" s="49"/>
      <c r="M2751" s="53"/>
    </row>
    <row r="2752" spans="1:13" x14ac:dyDescent="0.25">
      <c r="A2752" s="21" t="str">
        <f>IF(C2752="","",COUNTA($C$3:C2752))</f>
        <v/>
      </c>
      <c r="B2752" s="35" t="str">
        <f t="shared" si="58"/>
        <v/>
      </c>
      <c r="C2752" s="33"/>
      <c r="E2752" s="60"/>
      <c r="F2752" s="18"/>
      <c r="H2752" s="49"/>
      <c r="I2752" s="49"/>
      <c r="M2752" s="53"/>
    </row>
    <row r="2753" spans="1:15" x14ac:dyDescent="0.25">
      <c r="A2753" s="21" t="str">
        <f>IF(C2753="","",COUNTA($C$3:C2753))</f>
        <v/>
      </c>
      <c r="B2753" s="35" t="str">
        <f t="shared" si="58"/>
        <v/>
      </c>
      <c r="C2753" s="33"/>
      <c r="E2753" s="60"/>
      <c r="F2753" s="18"/>
      <c r="H2753" s="49"/>
      <c r="I2753" s="49"/>
      <c r="M2753" s="53"/>
    </row>
    <row r="2754" spans="1:15" x14ac:dyDescent="0.25">
      <c r="A2754" s="21" t="str">
        <f>IF(C2754="","",COUNTA($C$3:C2754))</f>
        <v/>
      </c>
      <c r="B2754" s="35" t="str">
        <f t="shared" si="58"/>
        <v/>
      </c>
      <c r="C2754" s="33"/>
      <c r="E2754" s="60"/>
      <c r="F2754" s="18"/>
      <c r="H2754" s="49"/>
      <c r="I2754" s="49"/>
      <c r="M2754" s="53"/>
    </row>
    <row r="2755" spans="1:15" x14ac:dyDescent="0.25">
      <c r="A2755" s="21" t="str">
        <f>IF(C2755="","",COUNTA($C$3:C2755))</f>
        <v/>
      </c>
      <c r="B2755" s="35" t="str">
        <f t="shared" si="58"/>
        <v/>
      </c>
      <c r="C2755" s="33"/>
      <c r="E2755" s="60"/>
      <c r="F2755" s="18"/>
      <c r="H2755" s="49"/>
      <c r="I2755" s="49"/>
      <c r="M2755" s="53"/>
    </row>
    <row r="2756" spans="1:15" x14ac:dyDescent="0.25">
      <c r="A2756" s="21" t="str">
        <f>IF(C2756="","",COUNTA($C$3:C2756))</f>
        <v/>
      </c>
      <c r="B2756" s="35" t="str">
        <f t="shared" si="58"/>
        <v/>
      </c>
      <c r="C2756" s="33"/>
      <c r="E2756" s="60"/>
      <c r="F2756" s="18"/>
      <c r="H2756" s="49"/>
      <c r="I2756" s="49"/>
      <c r="M2756" s="53"/>
    </row>
    <row r="2757" spans="1:15" x14ac:dyDescent="0.25">
      <c r="A2757" s="21" t="str">
        <f>IF(C2757="","",COUNTA($C$3:C2757))</f>
        <v/>
      </c>
      <c r="B2757" s="35" t="str">
        <f t="shared" ref="B2757:B2820" si="59">IF(C2757="","",TEXT(C2757,"mmmm"))</f>
        <v/>
      </c>
      <c r="C2757" s="33"/>
      <c r="E2757" s="60"/>
      <c r="F2757" s="18"/>
      <c r="H2757" s="49"/>
      <c r="I2757" s="49"/>
      <c r="M2757" s="53"/>
      <c r="O2757" s="59"/>
    </row>
    <row r="2758" spans="1:15" x14ac:dyDescent="0.25">
      <c r="A2758" s="21" t="str">
        <f>IF(C2758="","",COUNTA($C$3:C2758))</f>
        <v/>
      </c>
      <c r="B2758" s="35" t="str">
        <f t="shared" si="59"/>
        <v/>
      </c>
      <c r="C2758" s="33"/>
      <c r="E2758" s="60"/>
      <c r="F2758" s="18"/>
      <c r="H2758" s="49"/>
      <c r="I2758" s="49"/>
      <c r="M2758" s="53"/>
      <c r="O2758" s="69"/>
    </row>
    <row r="2759" spans="1:15" x14ac:dyDescent="0.25">
      <c r="A2759" s="21" t="str">
        <f>IF(C2759="","",COUNTA($C$3:C2759))</f>
        <v/>
      </c>
      <c r="B2759" s="35" t="str">
        <f t="shared" si="59"/>
        <v/>
      </c>
      <c r="C2759" s="33"/>
      <c r="E2759" s="60"/>
      <c r="F2759" s="18"/>
      <c r="H2759" s="49"/>
      <c r="I2759" s="49"/>
      <c r="M2759" s="53"/>
      <c r="O2759" s="59"/>
    </row>
    <row r="2760" spans="1:15" x14ac:dyDescent="0.25">
      <c r="A2760" s="21" t="str">
        <f>IF(C2760="","",COUNTA($C$3:C2760))</f>
        <v/>
      </c>
      <c r="B2760" s="35" t="str">
        <f t="shared" si="59"/>
        <v/>
      </c>
      <c r="C2760" s="33"/>
      <c r="E2760" s="60"/>
      <c r="F2760" s="18"/>
      <c r="H2760" s="49"/>
      <c r="I2760" s="49"/>
      <c r="M2760" s="53"/>
      <c r="O2760" s="69"/>
    </row>
    <row r="2761" spans="1:15" x14ac:dyDescent="0.25">
      <c r="A2761" s="21" t="str">
        <f>IF(C2761="","",COUNTA($C$3:C2761))</f>
        <v/>
      </c>
      <c r="B2761" s="35" t="str">
        <f t="shared" si="59"/>
        <v/>
      </c>
      <c r="C2761" s="33"/>
      <c r="E2761" s="60"/>
      <c r="F2761" s="18"/>
      <c r="H2761" s="49"/>
      <c r="I2761" s="49"/>
      <c r="M2761" s="53"/>
      <c r="O2761" s="114"/>
    </row>
    <row r="2762" spans="1:15" x14ac:dyDescent="0.25">
      <c r="A2762" s="21" t="str">
        <f>IF(C2762="","",COUNTA($C$3:C2762))</f>
        <v/>
      </c>
      <c r="B2762" s="35" t="str">
        <f t="shared" si="59"/>
        <v/>
      </c>
      <c r="C2762" s="33"/>
      <c r="E2762" s="60"/>
      <c r="F2762" s="18"/>
      <c r="H2762" s="49"/>
      <c r="I2762" s="49"/>
      <c r="M2762" s="53"/>
    </row>
    <row r="2763" spans="1:15" x14ac:dyDescent="0.25">
      <c r="A2763" s="21" t="str">
        <f>IF(C2763="","",COUNTA($C$3:C2763))</f>
        <v/>
      </c>
      <c r="B2763" s="35" t="str">
        <f t="shared" si="59"/>
        <v/>
      </c>
      <c r="C2763" s="33"/>
      <c r="E2763" s="60"/>
      <c r="F2763" s="18"/>
      <c r="H2763" s="49"/>
      <c r="I2763" s="49"/>
      <c r="K2763" s="55"/>
      <c r="M2763" s="53"/>
    </row>
    <row r="2764" spans="1:15" x14ac:dyDescent="0.25">
      <c r="A2764" s="21" t="str">
        <f>IF(C2764="","",COUNTA($C$3:C2764))</f>
        <v/>
      </c>
      <c r="B2764" s="35" t="str">
        <f t="shared" si="59"/>
        <v/>
      </c>
      <c r="C2764" s="33"/>
      <c r="E2764" s="60"/>
      <c r="F2764" s="18"/>
      <c r="H2764" s="49"/>
      <c r="I2764" s="49"/>
      <c r="M2764" s="53"/>
    </row>
    <row r="2765" spans="1:15" x14ac:dyDescent="0.25">
      <c r="A2765" s="21" t="str">
        <f>IF(C2765="","",COUNTA($C$3:C2765))</f>
        <v/>
      </c>
      <c r="B2765" s="35" t="str">
        <f t="shared" si="59"/>
        <v/>
      </c>
      <c r="C2765" s="33"/>
      <c r="E2765" s="60"/>
      <c r="F2765" s="18"/>
      <c r="H2765" s="49"/>
      <c r="I2765" s="49"/>
      <c r="M2765" s="53"/>
    </row>
    <row r="2766" spans="1:15" x14ac:dyDescent="0.25">
      <c r="A2766" s="21" t="str">
        <f>IF(C2766="","",COUNTA($C$3:C2766))</f>
        <v/>
      </c>
      <c r="B2766" s="35" t="str">
        <f t="shared" si="59"/>
        <v/>
      </c>
      <c r="C2766" s="33"/>
      <c r="E2766" s="60"/>
      <c r="F2766" s="18"/>
      <c r="H2766" s="49"/>
      <c r="I2766" s="49"/>
      <c r="M2766" s="53"/>
    </row>
    <row r="2767" spans="1:15" x14ac:dyDescent="0.25">
      <c r="A2767" s="21" t="str">
        <f>IF(C2767="","",COUNTA($C$3:C2767))</f>
        <v/>
      </c>
      <c r="B2767" s="35" t="str">
        <f t="shared" si="59"/>
        <v/>
      </c>
      <c r="C2767" s="33"/>
      <c r="E2767" s="60"/>
      <c r="F2767" s="18"/>
      <c r="H2767" s="49"/>
      <c r="I2767" s="49"/>
      <c r="M2767" s="53"/>
    </row>
    <row r="2768" spans="1:15" x14ac:dyDescent="0.25">
      <c r="A2768" s="21" t="str">
        <f>IF(C2768="","",COUNTA($C$3:C2768))</f>
        <v/>
      </c>
      <c r="B2768" s="35" t="str">
        <f t="shared" si="59"/>
        <v/>
      </c>
      <c r="C2768" s="33"/>
      <c r="E2768" s="60"/>
      <c r="F2768" s="18"/>
      <c r="H2768" s="49"/>
      <c r="I2768" s="49"/>
      <c r="M2768" s="53"/>
    </row>
    <row r="2769" spans="1:15" x14ac:dyDescent="0.25">
      <c r="A2769" s="21" t="str">
        <f>IF(C2769="","",COUNTA($C$3:C2769))</f>
        <v/>
      </c>
      <c r="B2769" s="35" t="str">
        <f t="shared" si="59"/>
        <v/>
      </c>
      <c r="C2769" s="33"/>
      <c r="E2769" s="60"/>
      <c r="F2769" s="18"/>
      <c r="H2769" s="49"/>
      <c r="I2769" s="49"/>
      <c r="M2769" s="53"/>
    </row>
    <row r="2770" spans="1:15" x14ac:dyDescent="0.25">
      <c r="A2770" s="21" t="str">
        <f>IF(C2770="","",COUNTA($C$3:C2770))</f>
        <v/>
      </c>
      <c r="B2770" s="35" t="str">
        <f t="shared" si="59"/>
        <v/>
      </c>
      <c r="C2770" s="33"/>
      <c r="E2770" s="60"/>
      <c r="F2770" s="18"/>
      <c r="H2770" s="49"/>
      <c r="I2770" s="49"/>
      <c r="M2770" s="53"/>
    </row>
    <row r="2771" spans="1:15" x14ac:dyDescent="0.25">
      <c r="A2771" s="21" t="str">
        <f>IF(C2771="","",COUNTA($C$3:C2771))</f>
        <v/>
      </c>
      <c r="B2771" s="35" t="str">
        <f t="shared" si="59"/>
        <v/>
      </c>
      <c r="C2771" s="33"/>
      <c r="E2771" s="60"/>
      <c r="F2771" s="18"/>
      <c r="H2771" s="49"/>
      <c r="I2771" s="49"/>
      <c r="M2771" s="53"/>
    </row>
    <row r="2772" spans="1:15" x14ac:dyDescent="0.25">
      <c r="A2772" s="21" t="str">
        <f>IF(C2772="","",COUNTA($C$3:C2772))</f>
        <v/>
      </c>
      <c r="B2772" s="35" t="str">
        <f t="shared" si="59"/>
        <v/>
      </c>
      <c r="C2772" s="33"/>
      <c r="E2772" s="60"/>
      <c r="F2772" s="18"/>
      <c r="H2772" s="49"/>
      <c r="I2772" s="49"/>
      <c r="M2772" s="53"/>
    </row>
    <row r="2773" spans="1:15" x14ac:dyDescent="0.25">
      <c r="A2773" s="21" t="str">
        <f>IF(C2773="","",COUNTA($C$3:C2773))</f>
        <v/>
      </c>
      <c r="B2773" s="35" t="str">
        <f t="shared" si="59"/>
        <v/>
      </c>
      <c r="C2773" s="33"/>
      <c r="E2773" s="60"/>
      <c r="F2773" s="18"/>
      <c r="G2773" s="18"/>
      <c r="H2773" s="49"/>
      <c r="I2773" s="49"/>
      <c r="M2773" s="53"/>
    </row>
    <row r="2774" spans="1:15" x14ac:dyDescent="0.25">
      <c r="A2774" s="21" t="str">
        <f>IF(C2774="","",COUNTA($C$3:C2774))</f>
        <v/>
      </c>
      <c r="B2774" s="35" t="str">
        <f t="shared" si="59"/>
        <v/>
      </c>
      <c r="C2774" s="33"/>
      <c r="E2774" s="60"/>
      <c r="F2774" s="18"/>
      <c r="G2774" s="18"/>
      <c r="H2774" s="49"/>
      <c r="I2774" s="49"/>
      <c r="M2774" s="53"/>
    </row>
    <row r="2775" spans="1:15" x14ac:dyDescent="0.25">
      <c r="A2775" s="21" t="str">
        <f>IF(C2775="","",COUNTA($C$3:C2775))</f>
        <v/>
      </c>
      <c r="B2775" s="35" t="str">
        <f t="shared" si="59"/>
        <v/>
      </c>
      <c r="C2775" s="33"/>
      <c r="E2775" s="60"/>
      <c r="F2775" s="18"/>
      <c r="G2775" s="18"/>
      <c r="H2775" s="49"/>
      <c r="I2775" s="49"/>
      <c r="M2775" s="53"/>
    </row>
    <row r="2776" spans="1:15" x14ac:dyDescent="0.25">
      <c r="A2776" s="21" t="str">
        <f>IF(C2776="","",COUNTA($C$3:C2776))</f>
        <v/>
      </c>
      <c r="B2776" s="35" t="str">
        <f t="shared" si="59"/>
        <v/>
      </c>
      <c r="C2776" s="33"/>
      <c r="E2776" s="60"/>
      <c r="F2776" s="18"/>
      <c r="G2776" s="18"/>
      <c r="H2776" s="49"/>
      <c r="I2776" s="49"/>
      <c r="M2776" s="53"/>
    </row>
    <row r="2777" spans="1:15" x14ac:dyDescent="0.25">
      <c r="A2777" s="21" t="str">
        <f>IF(C2777="","",COUNTA($C$3:C2777))</f>
        <v/>
      </c>
      <c r="B2777" s="35" t="str">
        <f t="shared" si="59"/>
        <v/>
      </c>
      <c r="C2777" s="33"/>
      <c r="E2777" s="60"/>
      <c r="F2777" s="18"/>
      <c r="G2777" s="18"/>
      <c r="H2777" s="49"/>
      <c r="I2777" s="49"/>
      <c r="M2777" s="53"/>
    </row>
    <row r="2778" spans="1:15" x14ac:dyDescent="0.25">
      <c r="A2778" s="21" t="str">
        <f>IF(C2778="","",COUNTA($C$3:C2778))</f>
        <v/>
      </c>
      <c r="B2778" s="35" t="str">
        <f t="shared" si="59"/>
        <v/>
      </c>
      <c r="C2778" s="33"/>
      <c r="E2778" s="60"/>
      <c r="F2778" s="18"/>
      <c r="G2778" s="18"/>
      <c r="H2778" s="49"/>
      <c r="I2778" s="49"/>
      <c r="M2778" s="53"/>
    </row>
    <row r="2779" spans="1:15" x14ac:dyDescent="0.25">
      <c r="A2779" s="21" t="str">
        <f>IF(C2779="","",COUNTA($C$3:C2779))</f>
        <v/>
      </c>
      <c r="B2779" s="35" t="str">
        <f t="shared" si="59"/>
        <v/>
      </c>
      <c r="C2779" s="33"/>
      <c r="E2779" s="60"/>
      <c r="F2779" s="18"/>
      <c r="G2779" s="18"/>
      <c r="H2779" s="49"/>
      <c r="I2779" s="49"/>
      <c r="M2779" s="53"/>
    </row>
    <row r="2780" spans="1:15" x14ac:dyDescent="0.25">
      <c r="A2780" s="21" t="str">
        <f>IF(C2780="","",COUNTA($C$3:C2780))</f>
        <v/>
      </c>
      <c r="B2780" s="35" t="str">
        <f t="shared" si="59"/>
        <v/>
      </c>
      <c r="C2780" s="33"/>
      <c r="E2780" s="60"/>
      <c r="F2780" s="18"/>
      <c r="G2780" s="18"/>
      <c r="H2780" s="49"/>
      <c r="I2780" s="49"/>
      <c r="M2780" s="53"/>
    </row>
    <row r="2781" spans="1:15" x14ac:dyDescent="0.25">
      <c r="A2781" s="21" t="str">
        <f>IF(C2781="","",COUNTA($C$3:C2781))</f>
        <v/>
      </c>
      <c r="B2781" s="35" t="str">
        <f t="shared" si="59"/>
        <v/>
      </c>
      <c r="C2781" s="33"/>
      <c r="E2781" s="60"/>
      <c r="F2781" s="18"/>
      <c r="G2781" s="18"/>
      <c r="H2781" s="49"/>
      <c r="I2781" s="49"/>
      <c r="M2781" s="53"/>
      <c r="O2781" s="59"/>
    </row>
    <row r="2782" spans="1:15" x14ac:dyDescent="0.25">
      <c r="A2782" s="21" t="str">
        <f>IF(C2782="","",COUNTA($C$3:C2782))</f>
        <v/>
      </c>
      <c r="B2782" s="35" t="str">
        <f t="shared" si="59"/>
        <v/>
      </c>
      <c r="C2782" s="33"/>
      <c r="E2782" s="60"/>
      <c r="F2782" s="18"/>
      <c r="G2782" s="18"/>
      <c r="H2782" s="49"/>
      <c r="I2782" s="49"/>
      <c r="M2782" s="53"/>
      <c r="O2782" s="69"/>
    </row>
    <row r="2783" spans="1:15" x14ac:dyDescent="0.25">
      <c r="A2783" s="21" t="str">
        <f>IF(C2783="","",COUNTA($C$3:C2783))</f>
        <v/>
      </c>
      <c r="B2783" s="35" t="str">
        <f t="shared" si="59"/>
        <v/>
      </c>
      <c r="C2783" s="33"/>
      <c r="E2783" s="60"/>
      <c r="F2783" s="18"/>
      <c r="G2783" s="18"/>
      <c r="H2783" s="49"/>
      <c r="I2783" s="49"/>
      <c r="M2783" s="53"/>
      <c r="O2783" s="59"/>
    </row>
    <row r="2784" spans="1:15" x14ac:dyDescent="0.25">
      <c r="A2784" s="21" t="str">
        <f>IF(C2784="","",COUNTA($C$3:C2784))</f>
        <v/>
      </c>
      <c r="B2784" s="35" t="str">
        <f t="shared" si="59"/>
        <v/>
      </c>
      <c r="C2784" s="33"/>
      <c r="E2784" s="60"/>
      <c r="F2784" s="18"/>
      <c r="G2784" s="18"/>
      <c r="H2784" s="49"/>
      <c r="I2784" s="49"/>
      <c r="M2784" s="53"/>
      <c r="O2784" s="69"/>
    </row>
    <row r="2785" spans="1:17" x14ac:dyDescent="0.25">
      <c r="A2785" s="21" t="str">
        <f>IF(C2785="","",COUNTA($C$3:C2785))</f>
        <v/>
      </c>
      <c r="B2785" s="35" t="str">
        <f t="shared" si="59"/>
        <v/>
      </c>
      <c r="C2785" s="33"/>
      <c r="E2785" s="60"/>
      <c r="F2785" s="18"/>
      <c r="G2785" s="18"/>
      <c r="H2785" s="49"/>
      <c r="I2785" s="49"/>
      <c r="L2785" s="62"/>
      <c r="M2785" s="53"/>
      <c r="O2785" s="59"/>
    </row>
    <row r="2786" spans="1:17" x14ac:dyDescent="0.25">
      <c r="A2786" s="21" t="str">
        <f>IF(C2786="","",COUNTA($C$3:C2786))</f>
        <v/>
      </c>
      <c r="B2786" s="35" t="str">
        <f t="shared" si="59"/>
        <v/>
      </c>
      <c r="C2786" s="33"/>
      <c r="E2786" s="60"/>
      <c r="F2786" s="18"/>
      <c r="G2786" s="18"/>
      <c r="H2786" s="49"/>
      <c r="I2786" s="49"/>
      <c r="L2786" s="62"/>
      <c r="M2786" s="53"/>
    </row>
    <row r="2787" spans="1:17" x14ac:dyDescent="0.25">
      <c r="A2787" s="21" t="str">
        <f>IF(C2787="","",COUNTA($C$3:C2787))</f>
        <v/>
      </c>
      <c r="B2787" s="35" t="str">
        <f t="shared" si="59"/>
        <v/>
      </c>
      <c r="C2787" s="33"/>
      <c r="E2787" s="60"/>
      <c r="F2787" s="18"/>
      <c r="G2787" s="18"/>
      <c r="H2787" s="49"/>
      <c r="I2787" s="49"/>
      <c r="M2787" s="53"/>
      <c r="O2787" s="59"/>
    </row>
    <row r="2788" spans="1:17" x14ac:dyDescent="0.25">
      <c r="A2788" s="21" t="str">
        <f>IF(C2788="","",COUNTA($C$3:C2788))</f>
        <v/>
      </c>
      <c r="B2788" s="35" t="str">
        <f t="shared" si="59"/>
        <v/>
      </c>
      <c r="C2788" s="33"/>
      <c r="E2788" s="60"/>
      <c r="F2788" s="18"/>
      <c r="G2788" s="18"/>
      <c r="H2788" s="49"/>
      <c r="I2788" s="49"/>
      <c r="M2788" s="53"/>
      <c r="O2788" s="59"/>
    </row>
    <row r="2789" spans="1:17" x14ac:dyDescent="0.25">
      <c r="A2789" s="21" t="str">
        <f>IF(C2789="","",COUNTA($C$3:C2789))</f>
        <v/>
      </c>
      <c r="B2789" s="35" t="str">
        <f t="shared" si="59"/>
        <v/>
      </c>
      <c r="C2789" s="33"/>
      <c r="E2789" s="60"/>
      <c r="F2789" s="18"/>
      <c r="G2789" s="18"/>
      <c r="H2789" s="49"/>
      <c r="I2789" s="49"/>
      <c r="M2789" s="53"/>
      <c r="O2789" s="59"/>
    </row>
    <row r="2790" spans="1:17" x14ac:dyDescent="0.25">
      <c r="A2790" s="21" t="str">
        <f>IF(C2790="","",COUNTA($C$3:C2790))</f>
        <v/>
      </c>
      <c r="B2790" s="35" t="str">
        <f t="shared" si="59"/>
        <v/>
      </c>
      <c r="C2790" s="33"/>
      <c r="E2790" s="60"/>
      <c r="F2790" s="18"/>
      <c r="G2790" s="18"/>
      <c r="H2790" s="49"/>
      <c r="I2790" s="49"/>
      <c r="M2790" s="53"/>
      <c r="O2790" s="59"/>
    </row>
    <row r="2791" spans="1:17" x14ac:dyDescent="0.25">
      <c r="A2791" s="21" t="str">
        <f>IF(C2791="","",COUNTA($C$3:C2791))</f>
        <v/>
      </c>
      <c r="B2791" s="35" t="str">
        <f t="shared" si="59"/>
        <v/>
      </c>
      <c r="C2791" s="33"/>
      <c r="E2791" s="60"/>
      <c r="F2791" s="18"/>
      <c r="G2791" s="18"/>
      <c r="H2791" s="49"/>
      <c r="I2791" s="49"/>
      <c r="M2791" s="53"/>
      <c r="O2791" s="59"/>
    </row>
    <row r="2792" spans="1:17" x14ac:dyDescent="0.25">
      <c r="A2792" s="21" t="str">
        <f>IF(C2792="","",COUNTA($C$3:C2792))</f>
        <v/>
      </c>
      <c r="B2792" s="35" t="str">
        <f t="shared" si="59"/>
        <v/>
      </c>
      <c r="C2792" s="33"/>
      <c r="E2792" s="60"/>
      <c r="F2792" s="18"/>
      <c r="G2792" s="18"/>
      <c r="H2792" s="49"/>
      <c r="I2792" s="49"/>
      <c r="M2792" s="53"/>
      <c r="O2792" s="59"/>
    </row>
    <row r="2793" spans="1:17" x14ac:dyDescent="0.25">
      <c r="A2793" s="21" t="str">
        <f>IF(C2793="","",COUNTA($C$3:C2793))</f>
        <v/>
      </c>
      <c r="B2793" s="35" t="str">
        <f t="shared" si="59"/>
        <v/>
      </c>
      <c r="C2793" s="33"/>
      <c r="E2793" s="60"/>
      <c r="F2793" s="18"/>
      <c r="G2793" s="18"/>
      <c r="H2793" s="49"/>
      <c r="I2793" s="49"/>
      <c r="M2793" s="53"/>
      <c r="O2793" s="59"/>
    </row>
    <row r="2794" spans="1:17" x14ac:dyDescent="0.25">
      <c r="A2794" s="21" t="str">
        <f>IF(C2794="","",COUNTA($C$3:C2794))</f>
        <v/>
      </c>
      <c r="B2794" s="35" t="str">
        <f t="shared" si="59"/>
        <v/>
      </c>
      <c r="C2794" s="33"/>
      <c r="E2794" s="60"/>
      <c r="F2794" s="18"/>
      <c r="G2794" s="18"/>
      <c r="H2794" s="49"/>
      <c r="I2794" s="49"/>
      <c r="K2794" s="55"/>
      <c r="L2794" s="62"/>
      <c r="M2794" s="53"/>
      <c r="O2794" s="59"/>
    </row>
    <row r="2795" spans="1:17" x14ac:dyDescent="0.25">
      <c r="A2795" s="21" t="str">
        <f>IF(C2795="","",COUNTA($C$3:C2795))</f>
        <v/>
      </c>
      <c r="B2795" s="35" t="str">
        <f t="shared" si="59"/>
        <v/>
      </c>
      <c r="C2795" s="33"/>
      <c r="E2795" s="60"/>
      <c r="F2795" s="18"/>
      <c r="G2795" s="18"/>
      <c r="H2795" s="49"/>
      <c r="I2795" s="49"/>
      <c r="K2795" s="55"/>
      <c r="L2795" s="62"/>
      <c r="M2795" s="53"/>
      <c r="O2795" s="59"/>
      <c r="P2795" s="112"/>
      <c r="Q2795" s="59"/>
    </row>
    <row r="2796" spans="1:17" x14ac:dyDescent="0.25">
      <c r="A2796" s="21" t="str">
        <f>IF(C2796="","",COUNTA($C$3:C2796))</f>
        <v/>
      </c>
      <c r="B2796" s="35" t="str">
        <f t="shared" si="59"/>
        <v/>
      </c>
      <c r="C2796" s="33"/>
      <c r="E2796" s="60"/>
      <c r="F2796" s="18"/>
      <c r="G2796" s="18"/>
      <c r="H2796" s="49"/>
      <c r="I2796" s="49"/>
      <c r="M2796" s="53"/>
      <c r="O2796" s="59"/>
    </row>
    <row r="2797" spans="1:17" x14ac:dyDescent="0.25">
      <c r="A2797" s="21" t="str">
        <f>IF(C2797="","",COUNTA($C$3:C2797))</f>
        <v/>
      </c>
      <c r="B2797" s="35" t="str">
        <f t="shared" si="59"/>
        <v/>
      </c>
      <c r="C2797" s="33"/>
      <c r="E2797" s="60"/>
      <c r="F2797" s="18"/>
      <c r="G2797" s="18"/>
      <c r="H2797" s="49"/>
      <c r="I2797" s="49"/>
      <c r="M2797" s="53"/>
      <c r="O2797" s="112"/>
    </row>
    <row r="2798" spans="1:17" x14ac:dyDescent="0.25">
      <c r="A2798" s="21" t="str">
        <f>IF(C2798="","",COUNTA($C$3:C2798))</f>
        <v/>
      </c>
      <c r="B2798" s="35" t="str">
        <f t="shared" si="59"/>
        <v/>
      </c>
      <c r="C2798" s="33"/>
      <c r="E2798" s="60"/>
      <c r="F2798" s="18"/>
      <c r="G2798" s="18"/>
      <c r="H2798" s="49"/>
      <c r="I2798" s="49"/>
      <c r="M2798" s="53"/>
    </row>
    <row r="2799" spans="1:17" x14ac:dyDescent="0.25">
      <c r="A2799" s="21" t="str">
        <f>IF(C2799="","",COUNTA($C$3:C2799))</f>
        <v/>
      </c>
      <c r="B2799" s="35" t="str">
        <f t="shared" si="59"/>
        <v/>
      </c>
      <c r="C2799" s="33"/>
      <c r="E2799" s="60"/>
      <c r="F2799" s="18"/>
      <c r="G2799" s="18"/>
      <c r="H2799" s="49"/>
      <c r="I2799" s="49"/>
      <c r="M2799" s="53"/>
    </row>
    <row r="2800" spans="1:17" x14ac:dyDescent="0.25">
      <c r="A2800" s="21" t="str">
        <f>IF(C2800="","",COUNTA($C$3:C2800))</f>
        <v/>
      </c>
      <c r="B2800" s="35" t="str">
        <f t="shared" si="59"/>
        <v/>
      </c>
      <c r="C2800" s="33"/>
      <c r="E2800" s="60"/>
      <c r="F2800" s="18"/>
      <c r="G2800" s="18"/>
      <c r="H2800" s="49"/>
      <c r="I2800" s="49"/>
      <c r="K2800" s="55"/>
      <c r="M2800" s="53"/>
    </row>
    <row r="2801" spans="1:17" x14ac:dyDescent="0.25">
      <c r="A2801" s="21" t="str">
        <f>IF(C2801="","",COUNTA($C$3:C2801))</f>
        <v/>
      </c>
      <c r="B2801" s="35" t="str">
        <f t="shared" si="59"/>
        <v/>
      </c>
      <c r="C2801" s="33"/>
      <c r="E2801" s="60"/>
      <c r="F2801" s="18"/>
      <c r="G2801" s="18"/>
      <c r="H2801" s="49"/>
      <c r="I2801" s="49"/>
      <c r="M2801" s="53"/>
    </row>
    <row r="2802" spans="1:17" x14ac:dyDescent="0.25">
      <c r="A2802" s="21" t="str">
        <f>IF(C2802="","",COUNTA($C$3:C2802))</f>
        <v/>
      </c>
      <c r="B2802" s="35" t="str">
        <f t="shared" si="59"/>
        <v/>
      </c>
      <c r="C2802" s="33"/>
      <c r="E2802" s="60"/>
      <c r="F2802" s="18"/>
      <c r="G2802" s="18"/>
      <c r="H2802" s="49"/>
      <c r="I2802" s="49"/>
      <c r="M2802" s="53"/>
    </row>
    <row r="2803" spans="1:17" x14ac:dyDescent="0.25">
      <c r="A2803" s="21" t="str">
        <f>IF(C2803="","",COUNTA($C$3:C2803))</f>
        <v/>
      </c>
      <c r="B2803" s="35" t="str">
        <f t="shared" si="59"/>
        <v/>
      </c>
      <c r="C2803" s="33"/>
      <c r="E2803" s="60"/>
      <c r="F2803" s="18"/>
      <c r="G2803" s="18"/>
      <c r="H2803" s="49"/>
      <c r="I2803" s="49"/>
      <c r="M2803" s="53"/>
    </row>
    <row r="2804" spans="1:17" x14ac:dyDescent="0.25">
      <c r="A2804" s="21" t="str">
        <f>IF(C2804="","",COUNTA($C$3:C2804))</f>
        <v/>
      </c>
      <c r="B2804" s="35" t="str">
        <f t="shared" si="59"/>
        <v/>
      </c>
      <c r="C2804" s="33"/>
      <c r="E2804" s="60"/>
      <c r="F2804" s="18"/>
      <c r="G2804" s="18"/>
      <c r="H2804" s="49"/>
      <c r="I2804" s="49"/>
      <c r="M2804" s="53"/>
    </row>
    <row r="2805" spans="1:17" x14ac:dyDescent="0.25">
      <c r="A2805" s="21" t="str">
        <f>IF(C2805="","",COUNTA($C$3:C2805))</f>
        <v/>
      </c>
      <c r="B2805" s="35" t="str">
        <f t="shared" si="59"/>
        <v/>
      </c>
      <c r="C2805" s="33"/>
      <c r="E2805" s="60"/>
      <c r="F2805" s="18"/>
      <c r="G2805" s="18"/>
      <c r="H2805" s="49"/>
      <c r="I2805" s="49"/>
      <c r="M2805" s="53"/>
    </row>
    <row r="2806" spans="1:17" x14ac:dyDescent="0.25">
      <c r="A2806" s="21" t="str">
        <f>IF(C2806="","",COUNTA($C$3:C2806))</f>
        <v/>
      </c>
      <c r="B2806" s="35" t="str">
        <f t="shared" si="59"/>
        <v/>
      </c>
      <c r="C2806" s="33"/>
      <c r="E2806" s="60"/>
      <c r="F2806" s="18"/>
      <c r="G2806" s="18"/>
      <c r="H2806" s="49"/>
      <c r="I2806" s="49"/>
      <c r="M2806" s="53"/>
    </row>
    <row r="2807" spans="1:17" x14ac:dyDescent="0.25">
      <c r="A2807" s="21" t="str">
        <f>IF(C2807="","",COUNTA($C$3:C2807))</f>
        <v/>
      </c>
      <c r="B2807" s="35" t="str">
        <f t="shared" si="59"/>
        <v/>
      </c>
      <c r="C2807" s="33"/>
      <c r="E2807" s="60"/>
      <c r="F2807" s="18"/>
      <c r="G2807" s="18"/>
      <c r="H2807" s="49"/>
      <c r="I2807" s="49"/>
      <c r="M2807" s="53"/>
    </row>
    <row r="2808" spans="1:17" x14ac:dyDescent="0.25">
      <c r="A2808" s="21" t="str">
        <f>IF(C2808="","",COUNTA($C$3:C2808))</f>
        <v/>
      </c>
      <c r="B2808" s="35" t="str">
        <f t="shared" si="59"/>
        <v/>
      </c>
      <c r="C2808" s="33"/>
      <c r="E2808" s="60"/>
      <c r="F2808" s="18"/>
      <c r="G2808" s="18"/>
      <c r="H2808" s="49"/>
      <c r="I2808" s="49"/>
      <c r="M2808" s="53"/>
    </row>
    <row r="2809" spans="1:17" x14ac:dyDescent="0.25">
      <c r="A2809" s="21" t="str">
        <f>IF(C2809="","",COUNTA($C$3:C2809))</f>
        <v/>
      </c>
      <c r="B2809" s="35" t="str">
        <f t="shared" si="59"/>
        <v/>
      </c>
      <c r="C2809" s="33"/>
      <c r="E2809" s="60"/>
      <c r="F2809" s="18"/>
      <c r="G2809" s="18"/>
      <c r="H2809" s="49"/>
      <c r="I2809" s="49"/>
      <c r="L2809" s="62"/>
      <c r="M2809" s="53"/>
    </row>
    <row r="2810" spans="1:17" x14ac:dyDescent="0.25">
      <c r="A2810" s="21" t="str">
        <f>IF(C2810="","",COUNTA($C$3:C2810))</f>
        <v/>
      </c>
      <c r="B2810" s="35" t="str">
        <f t="shared" si="59"/>
        <v/>
      </c>
      <c r="C2810" s="33"/>
      <c r="E2810" s="60"/>
      <c r="F2810" s="18"/>
      <c r="G2810" s="18"/>
      <c r="H2810" s="49"/>
      <c r="I2810" s="49"/>
      <c r="L2810" s="62"/>
      <c r="M2810" s="53"/>
    </row>
    <row r="2811" spans="1:17" x14ac:dyDescent="0.25">
      <c r="A2811" s="21" t="str">
        <f>IF(C2811="","",COUNTA($C$3:C2811))</f>
        <v/>
      </c>
      <c r="B2811" s="35" t="str">
        <f t="shared" si="59"/>
        <v/>
      </c>
      <c r="C2811" s="33"/>
      <c r="E2811" s="60"/>
      <c r="F2811" s="18"/>
      <c r="G2811" s="18"/>
      <c r="H2811" s="49"/>
      <c r="I2811" s="49"/>
      <c r="L2811" s="62"/>
      <c r="M2811" s="53"/>
    </row>
    <row r="2812" spans="1:17" x14ac:dyDescent="0.25">
      <c r="A2812" s="21" t="str">
        <f>IF(C2812="","",COUNTA($C$3:C2812))</f>
        <v/>
      </c>
      <c r="B2812" s="35" t="str">
        <f t="shared" si="59"/>
        <v/>
      </c>
      <c r="C2812" s="33"/>
      <c r="E2812" s="60"/>
      <c r="F2812" s="18"/>
      <c r="G2812" s="18"/>
      <c r="H2812" s="49"/>
      <c r="I2812" s="49"/>
      <c r="L2812" s="62"/>
      <c r="M2812" s="53"/>
    </row>
    <row r="2813" spans="1:17" x14ac:dyDescent="0.25">
      <c r="A2813" s="21" t="str">
        <f>IF(C2813="","",COUNTA($C$3:C2813))</f>
        <v/>
      </c>
      <c r="B2813" s="35" t="str">
        <f t="shared" si="59"/>
        <v/>
      </c>
      <c r="C2813" s="33"/>
      <c r="E2813" s="60"/>
      <c r="F2813" s="18"/>
      <c r="G2813" s="18"/>
      <c r="H2813" s="49"/>
      <c r="I2813" s="49"/>
      <c r="K2813" s="55"/>
      <c r="L2813" s="62"/>
      <c r="M2813" s="53"/>
    </row>
    <row r="2814" spans="1:17" x14ac:dyDescent="0.25">
      <c r="A2814" s="21" t="str">
        <f>IF(C2814="","",COUNTA($C$3:C2814))</f>
        <v/>
      </c>
      <c r="B2814" s="35" t="str">
        <f t="shared" si="59"/>
        <v/>
      </c>
      <c r="C2814" s="33"/>
      <c r="E2814" s="60"/>
      <c r="F2814" s="18"/>
      <c r="G2814" s="18"/>
      <c r="H2814" s="49"/>
      <c r="I2814" s="49"/>
      <c r="L2814" s="62"/>
      <c r="M2814" s="53"/>
      <c r="O2814" s="59"/>
      <c r="P2814" s="69"/>
      <c r="Q2814" s="59"/>
    </row>
    <row r="2815" spans="1:17" x14ac:dyDescent="0.25">
      <c r="A2815" s="21" t="str">
        <f>IF(C2815="","",COUNTA($C$3:C2815))</f>
        <v/>
      </c>
      <c r="B2815" s="35" t="str">
        <f t="shared" si="59"/>
        <v/>
      </c>
      <c r="C2815" s="33"/>
      <c r="E2815" s="60"/>
      <c r="F2815" s="18"/>
      <c r="G2815" s="18"/>
      <c r="H2815" s="49"/>
      <c r="I2815" s="49"/>
      <c r="L2815" s="62"/>
      <c r="M2815" s="53"/>
      <c r="O2815" s="59"/>
      <c r="P2815" s="114"/>
      <c r="Q2815" s="59"/>
    </row>
    <row r="2816" spans="1:17" x14ac:dyDescent="0.25">
      <c r="A2816" s="21" t="str">
        <f>IF(C2816="","",COUNTA($C$3:C2816))</f>
        <v/>
      </c>
      <c r="B2816" s="35" t="str">
        <f t="shared" si="59"/>
        <v/>
      </c>
      <c r="C2816" s="33"/>
      <c r="E2816" s="60"/>
      <c r="F2816" s="18"/>
      <c r="G2816" s="18"/>
      <c r="H2816" s="49"/>
      <c r="I2816" s="49"/>
      <c r="M2816" s="53"/>
    </row>
    <row r="2817" spans="1:15" x14ac:dyDescent="0.25">
      <c r="A2817" s="21" t="str">
        <f>IF(C2817="","",COUNTA($C$3:C2817))</f>
        <v/>
      </c>
      <c r="B2817" s="35" t="str">
        <f t="shared" si="59"/>
        <v/>
      </c>
      <c r="C2817" s="33"/>
      <c r="E2817" s="60"/>
      <c r="F2817" s="18"/>
      <c r="G2817" s="18"/>
      <c r="H2817" s="49"/>
      <c r="I2817" s="49"/>
      <c r="M2817" s="53"/>
    </row>
    <row r="2818" spans="1:15" x14ac:dyDescent="0.25">
      <c r="A2818" s="21" t="str">
        <f>IF(C2818="","",COUNTA($C$3:C2818))</f>
        <v/>
      </c>
      <c r="B2818" s="35" t="str">
        <f t="shared" si="59"/>
        <v/>
      </c>
      <c r="C2818" s="33"/>
      <c r="E2818" s="60"/>
      <c r="F2818" s="18"/>
      <c r="G2818" s="18"/>
      <c r="H2818" s="49"/>
      <c r="I2818" s="49"/>
      <c r="M2818" s="53"/>
    </row>
    <row r="2819" spans="1:15" x14ac:dyDescent="0.25">
      <c r="A2819" s="21" t="str">
        <f>IF(C2819="","",COUNTA($C$3:C2819))</f>
        <v/>
      </c>
      <c r="B2819" s="35" t="str">
        <f t="shared" si="59"/>
        <v/>
      </c>
      <c r="C2819" s="33"/>
      <c r="E2819" s="60"/>
      <c r="F2819" s="18"/>
      <c r="G2819" s="18"/>
      <c r="H2819" s="49"/>
      <c r="I2819" s="49"/>
      <c r="M2819" s="53"/>
    </row>
    <row r="2820" spans="1:15" x14ac:dyDescent="0.25">
      <c r="A2820" s="21" t="str">
        <f>IF(C2820="","",COUNTA($C$3:C2820))</f>
        <v/>
      </c>
      <c r="B2820" s="35" t="str">
        <f t="shared" si="59"/>
        <v/>
      </c>
      <c r="C2820" s="33"/>
      <c r="E2820" s="60"/>
      <c r="F2820" s="18"/>
      <c r="G2820" s="18"/>
      <c r="H2820" s="49"/>
      <c r="I2820" s="49"/>
      <c r="M2820" s="53"/>
    </row>
    <row r="2821" spans="1:15" x14ac:dyDescent="0.25">
      <c r="A2821" s="21" t="str">
        <f>IF(C2821="","",COUNTA($C$3:C2821))</f>
        <v/>
      </c>
      <c r="B2821" s="35" t="str">
        <f t="shared" ref="B2821:B2884" si="60">IF(C2821="","",TEXT(C2821,"mmmm"))</f>
        <v/>
      </c>
      <c r="C2821" s="33"/>
      <c r="E2821" s="60"/>
      <c r="F2821" s="18"/>
      <c r="G2821" s="18"/>
      <c r="H2821" s="49"/>
      <c r="I2821" s="49"/>
      <c r="M2821" s="53"/>
    </row>
    <row r="2822" spans="1:15" x14ac:dyDescent="0.25">
      <c r="A2822" s="21" t="str">
        <f>IF(C2822="","",COUNTA($C$3:C2822))</f>
        <v/>
      </c>
      <c r="B2822" s="35" t="str">
        <f t="shared" si="60"/>
        <v/>
      </c>
      <c r="C2822" s="33"/>
      <c r="E2822" s="60"/>
      <c r="F2822" s="18"/>
      <c r="G2822" s="18"/>
      <c r="H2822" s="49"/>
      <c r="I2822" s="49"/>
      <c r="M2822" s="53"/>
    </row>
    <row r="2823" spans="1:15" x14ac:dyDescent="0.25">
      <c r="A2823" s="21" t="str">
        <f>IF(C2823="","",COUNTA($C$3:C2823))</f>
        <v/>
      </c>
      <c r="B2823" s="35" t="str">
        <f t="shared" si="60"/>
        <v/>
      </c>
      <c r="C2823" s="33"/>
      <c r="E2823" s="60"/>
      <c r="F2823" s="18"/>
      <c r="G2823" s="18"/>
      <c r="H2823" s="49"/>
      <c r="I2823" s="49"/>
      <c r="M2823" s="53"/>
    </row>
    <row r="2824" spans="1:15" x14ac:dyDescent="0.25">
      <c r="A2824" s="21" t="str">
        <f>IF(C2824="","",COUNTA($C$3:C2824))</f>
        <v/>
      </c>
      <c r="B2824" s="35" t="str">
        <f t="shared" si="60"/>
        <v/>
      </c>
      <c r="C2824" s="33"/>
      <c r="E2824" s="60"/>
      <c r="F2824" s="18"/>
      <c r="G2824" s="18"/>
      <c r="H2824" s="49"/>
      <c r="I2824" s="49"/>
      <c r="M2824" s="53"/>
    </row>
    <row r="2825" spans="1:15" x14ac:dyDescent="0.25">
      <c r="A2825" s="21" t="str">
        <f>IF(C2825="","",COUNTA($C$3:C2825))</f>
        <v/>
      </c>
      <c r="B2825" s="35" t="str">
        <f t="shared" si="60"/>
        <v/>
      </c>
      <c r="C2825" s="33"/>
      <c r="E2825" s="60"/>
      <c r="F2825" s="18"/>
      <c r="G2825" s="18"/>
      <c r="H2825" s="49"/>
      <c r="I2825" s="49"/>
      <c r="L2825" s="62"/>
      <c r="M2825" s="53"/>
    </row>
    <row r="2826" spans="1:15" x14ac:dyDescent="0.25">
      <c r="A2826" s="21" t="str">
        <f>IF(C2826="","",COUNTA($C$3:C2826))</f>
        <v/>
      </c>
      <c r="B2826" s="35" t="str">
        <f t="shared" si="60"/>
        <v/>
      </c>
      <c r="C2826" s="33"/>
      <c r="E2826" s="60"/>
      <c r="F2826" s="18"/>
      <c r="G2826" s="18"/>
      <c r="H2826" s="49"/>
      <c r="I2826" s="49"/>
      <c r="K2826" s="55"/>
      <c r="L2826" s="62"/>
      <c r="M2826" s="53"/>
    </row>
    <row r="2827" spans="1:15" x14ac:dyDescent="0.25">
      <c r="A2827" s="21" t="str">
        <f>IF(C2827="","",COUNTA($C$3:C2827))</f>
        <v/>
      </c>
      <c r="B2827" s="35" t="str">
        <f t="shared" si="60"/>
        <v/>
      </c>
      <c r="C2827" s="33"/>
      <c r="E2827" s="60"/>
      <c r="F2827" s="18"/>
      <c r="G2827" s="18"/>
      <c r="H2827" s="49"/>
      <c r="I2827" s="49"/>
      <c r="M2827" s="53"/>
    </row>
    <row r="2828" spans="1:15" x14ac:dyDescent="0.25">
      <c r="A2828" s="21" t="str">
        <f>IF(C2828="","",COUNTA($C$3:C2828))</f>
        <v/>
      </c>
      <c r="B2828" s="35" t="str">
        <f t="shared" si="60"/>
        <v/>
      </c>
      <c r="C2828" s="33"/>
      <c r="E2828" s="60"/>
      <c r="F2828" s="18"/>
      <c r="G2828" s="18"/>
      <c r="H2828" s="49"/>
      <c r="I2828" s="49"/>
      <c r="M2828" s="53"/>
    </row>
    <row r="2829" spans="1:15" x14ac:dyDescent="0.25">
      <c r="A2829" s="21" t="str">
        <f>IF(C2829="","",COUNTA($C$3:C2829))</f>
        <v/>
      </c>
      <c r="B2829" s="35" t="str">
        <f t="shared" si="60"/>
        <v/>
      </c>
      <c r="C2829" s="33"/>
      <c r="E2829" s="60"/>
      <c r="F2829" s="18"/>
      <c r="G2829" s="18"/>
      <c r="H2829" s="49"/>
      <c r="I2829" s="49"/>
      <c r="M2829" s="53"/>
    </row>
    <row r="2830" spans="1:15" x14ac:dyDescent="0.25">
      <c r="A2830" s="21" t="str">
        <f>IF(C2830="","",COUNTA($C$3:C2830))</f>
        <v/>
      </c>
      <c r="B2830" s="35" t="str">
        <f t="shared" si="60"/>
        <v/>
      </c>
      <c r="C2830" s="33"/>
      <c r="E2830" s="60"/>
      <c r="F2830" s="18"/>
      <c r="G2830" s="18"/>
      <c r="H2830" s="49"/>
      <c r="I2830" s="49"/>
      <c r="M2830" s="53"/>
      <c r="N2830" s="115"/>
      <c r="O2830" s="116"/>
    </row>
    <row r="2831" spans="1:15" x14ac:dyDescent="0.25">
      <c r="A2831" s="21" t="str">
        <f>IF(C2831="","",COUNTA($C$3:C2831))</f>
        <v/>
      </c>
      <c r="B2831" s="35" t="str">
        <f t="shared" si="60"/>
        <v/>
      </c>
      <c r="C2831" s="33"/>
      <c r="E2831" s="60"/>
      <c r="F2831" s="18"/>
      <c r="G2831" s="18"/>
      <c r="H2831" s="49"/>
      <c r="I2831" s="49"/>
      <c r="K2831" s="67"/>
      <c r="M2831" s="53"/>
      <c r="O2831" s="69"/>
    </row>
    <row r="2832" spans="1:15" x14ac:dyDescent="0.25">
      <c r="A2832" s="21" t="str">
        <f>IF(C2832="","",COUNTA($C$3:C2832))</f>
        <v/>
      </c>
      <c r="B2832" s="35" t="str">
        <f t="shared" si="60"/>
        <v/>
      </c>
      <c r="C2832" s="33"/>
      <c r="E2832" s="60"/>
      <c r="F2832" s="18"/>
      <c r="G2832" s="18"/>
      <c r="H2832" s="49"/>
      <c r="I2832" s="49"/>
      <c r="M2832" s="53"/>
    </row>
    <row r="2833" spans="1:15" x14ac:dyDescent="0.25">
      <c r="A2833" s="21" t="str">
        <f>IF(C2833="","",COUNTA($C$3:C2833))</f>
        <v/>
      </c>
      <c r="B2833" s="35" t="str">
        <f t="shared" si="60"/>
        <v/>
      </c>
      <c r="C2833" s="33"/>
      <c r="E2833" s="60"/>
      <c r="F2833" s="18"/>
      <c r="G2833" s="18"/>
      <c r="H2833" s="49"/>
      <c r="I2833" s="49"/>
      <c r="M2833" s="53"/>
    </row>
    <row r="2834" spans="1:15" x14ac:dyDescent="0.25">
      <c r="A2834" s="21" t="str">
        <f>IF(C2834="","",COUNTA($C$3:C2834))</f>
        <v/>
      </c>
      <c r="B2834" s="35" t="str">
        <f t="shared" si="60"/>
        <v/>
      </c>
      <c r="C2834" s="33"/>
      <c r="E2834" s="60"/>
      <c r="F2834" s="18"/>
      <c r="G2834" s="18"/>
      <c r="H2834" s="49"/>
      <c r="I2834" s="49"/>
      <c r="K2834" s="55"/>
      <c r="M2834" s="53"/>
      <c r="O2834" s="75"/>
    </row>
    <row r="2835" spans="1:15" x14ac:dyDescent="0.25">
      <c r="A2835" s="21" t="str">
        <f>IF(C2835="","",COUNTA($C$3:C2835))</f>
        <v/>
      </c>
      <c r="B2835" s="35" t="str">
        <f t="shared" si="60"/>
        <v/>
      </c>
      <c r="C2835" s="33"/>
      <c r="E2835" s="60"/>
      <c r="F2835" s="18"/>
      <c r="G2835" s="18"/>
      <c r="H2835" s="49"/>
      <c r="I2835" s="49"/>
      <c r="M2835" s="53"/>
      <c r="O2835" s="75"/>
    </row>
    <row r="2836" spans="1:15" x14ac:dyDescent="0.25">
      <c r="A2836" s="21" t="str">
        <f>IF(C2836="","",COUNTA($C$3:C2836))</f>
        <v/>
      </c>
      <c r="B2836" s="35" t="str">
        <f t="shared" si="60"/>
        <v/>
      </c>
      <c r="C2836" s="33"/>
      <c r="E2836" s="60"/>
      <c r="F2836" s="18"/>
      <c r="G2836" s="18"/>
      <c r="H2836" s="49"/>
      <c r="I2836" s="49"/>
      <c r="M2836" s="53"/>
      <c r="O2836" s="75"/>
    </row>
    <row r="2837" spans="1:15" x14ac:dyDescent="0.25">
      <c r="A2837" s="21" t="str">
        <f>IF(C2837="","",COUNTA($C$3:C2837))</f>
        <v/>
      </c>
      <c r="B2837" s="35" t="str">
        <f t="shared" si="60"/>
        <v/>
      </c>
      <c r="C2837" s="33"/>
      <c r="E2837" s="60"/>
      <c r="F2837" s="18"/>
      <c r="G2837" s="18"/>
      <c r="H2837" s="49"/>
      <c r="I2837" s="49"/>
      <c r="M2837" s="53"/>
    </row>
    <row r="2838" spans="1:15" x14ac:dyDescent="0.25">
      <c r="A2838" s="21" t="str">
        <f>IF(C2838="","",COUNTA($C$3:C2838))</f>
        <v/>
      </c>
      <c r="B2838" s="35" t="str">
        <f t="shared" si="60"/>
        <v/>
      </c>
      <c r="C2838" s="33"/>
      <c r="E2838" s="60"/>
      <c r="F2838" s="18"/>
      <c r="G2838" s="18"/>
      <c r="H2838" s="49"/>
      <c r="I2838" s="49"/>
      <c r="K2838" s="55"/>
      <c r="M2838" s="53"/>
    </row>
    <row r="2839" spans="1:15" x14ac:dyDescent="0.25">
      <c r="A2839" s="21" t="str">
        <f>IF(C2839="","",COUNTA($C$3:C2839))</f>
        <v/>
      </c>
      <c r="B2839" s="35" t="str">
        <f t="shared" si="60"/>
        <v/>
      </c>
      <c r="C2839" s="33"/>
      <c r="E2839" s="60"/>
      <c r="F2839" s="18"/>
      <c r="G2839" s="18"/>
      <c r="H2839" s="49"/>
      <c r="I2839" s="49"/>
      <c r="M2839" s="53"/>
    </row>
    <row r="2840" spans="1:15" x14ac:dyDescent="0.25">
      <c r="A2840" s="21" t="str">
        <f>IF(C2840="","",COUNTA($C$3:C2840))</f>
        <v/>
      </c>
      <c r="B2840" s="35" t="str">
        <f t="shared" si="60"/>
        <v/>
      </c>
      <c r="C2840" s="33"/>
      <c r="E2840" s="60"/>
      <c r="F2840" s="18"/>
      <c r="G2840" s="18"/>
      <c r="H2840" s="49"/>
      <c r="I2840" s="49"/>
      <c r="M2840" s="53"/>
    </row>
    <row r="2841" spans="1:15" x14ac:dyDescent="0.25">
      <c r="A2841" s="21" t="str">
        <f>IF(C2841="","",COUNTA($C$3:C2841))</f>
        <v/>
      </c>
      <c r="B2841" s="35" t="str">
        <f t="shared" si="60"/>
        <v/>
      </c>
      <c r="C2841" s="33"/>
      <c r="E2841" s="60"/>
      <c r="F2841" s="18"/>
      <c r="G2841" s="18"/>
      <c r="H2841" s="49"/>
      <c r="I2841" s="49"/>
      <c r="M2841" s="53"/>
    </row>
    <row r="2842" spans="1:15" x14ac:dyDescent="0.25">
      <c r="A2842" s="21" t="str">
        <f>IF(C2842="","",COUNTA($C$3:C2842))</f>
        <v/>
      </c>
      <c r="B2842" s="35" t="str">
        <f t="shared" si="60"/>
        <v/>
      </c>
      <c r="C2842" s="33"/>
      <c r="E2842" s="60"/>
      <c r="F2842" s="18"/>
      <c r="G2842" s="18"/>
      <c r="H2842" s="49"/>
      <c r="I2842" s="49"/>
      <c r="M2842" s="53"/>
    </row>
    <row r="2843" spans="1:15" x14ac:dyDescent="0.25">
      <c r="A2843" s="21" t="str">
        <f>IF(C2843="","",COUNTA($C$3:C2843))</f>
        <v/>
      </c>
      <c r="B2843" s="35" t="str">
        <f t="shared" si="60"/>
        <v/>
      </c>
      <c r="C2843" s="33"/>
      <c r="E2843" s="60"/>
      <c r="F2843" s="18"/>
      <c r="G2843" s="18"/>
      <c r="H2843" s="49"/>
      <c r="I2843" s="49"/>
      <c r="M2843" s="53"/>
    </row>
    <row r="2844" spans="1:15" x14ac:dyDescent="0.25">
      <c r="A2844" s="21" t="str">
        <f>IF(C2844="","",COUNTA($C$3:C2844))</f>
        <v/>
      </c>
      <c r="B2844" s="35" t="str">
        <f t="shared" si="60"/>
        <v/>
      </c>
      <c r="C2844" s="33"/>
      <c r="E2844" s="60"/>
      <c r="F2844" s="18"/>
      <c r="G2844" s="18"/>
      <c r="H2844" s="49"/>
      <c r="I2844" s="49"/>
      <c r="M2844" s="53"/>
    </row>
    <row r="2845" spans="1:15" x14ac:dyDescent="0.25">
      <c r="A2845" s="21" t="str">
        <f>IF(C2845="","",COUNTA($C$3:C2845))</f>
        <v/>
      </c>
      <c r="B2845" s="35" t="str">
        <f t="shared" si="60"/>
        <v/>
      </c>
      <c r="C2845" s="33"/>
      <c r="E2845" s="60"/>
      <c r="F2845" s="18"/>
      <c r="G2845" s="18"/>
      <c r="H2845" s="49"/>
      <c r="I2845" s="49"/>
      <c r="M2845" s="53"/>
    </row>
    <row r="2846" spans="1:15" x14ac:dyDescent="0.25">
      <c r="A2846" s="21" t="str">
        <f>IF(C2846="","",COUNTA($C$3:C2846))</f>
        <v/>
      </c>
      <c r="B2846" s="35" t="str">
        <f t="shared" si="60"/>
        <v/>
      </c>
      <c r="C2846" s="33"/>
      <c r="E2846" s="60"/>
      <c r="F2846" s="18"/>
      <c r="G2846" s="18"/>
      <c r="H2846" s="49"/>
      <c r="I2846" s="49"/>
      <c r="M2846" s="53"/>
    </row>
    <row r="2847" spans="1:15" x14ac:dyDescent="0.25">
      <c r="A2847" s="21" t="str">
        <f>IF(C2847="","",COUNTA($C$3:C2847))</f>
        <v/>
      </c>
      <c r="B2847" s="35" t="str">
        <f t="shared" si="60"/>
        <v/>
      </c>
      <c r="C2847" s="33"/>
      <c r="E2847" s="60"/>
      <c r="F2847" s="18"/>
      <c r="G2847" s="18"/>
      <c r="H2847" s="49"/>
      <c r="I2847" s="49"/>
      <c r="M2847" s="53"/>
    </row>
    <row r="2848" spans="1:15" x14ac:dyDescent="0.25">
      <c r="A2848" s="21" t="str">
        <f>IF(C2848="","",COUNTA($C$3:C2848))</f>
        <v/>
      </c>
      <c r="B2848" s="35" t="str">
        <f t="shared" si="60"/>
        <v/>
      </c>
      <c r="C2848" s="33"/>
      <c r="E2848" s="60"/>
      <c r="F2848" s="18"/>
      <c r="G2848" s="18"/>
      <c r="H2848" s="49"/>
      <c r="I2848" s="49"/>
      <c r="M2848" s="53"/>
    </row>
    <row r="2849" spans="1:13" x14ac:dyDescent="0.25">
      <c r="A2849" s="21" t="str">
        <f>IF(C2849="","",COUNTA($C$3:C2849))</f>
        <v/>
      </c>
      <c r="B2849" s="35" t="str">
        <f t="shared" si="60"/>
        <v/>
      </c>
      <c r="C2849" s="33"/>
      <c r="E2849" s="60"/>
      <c r="F2849" s="18"/>
      <c r="G2849" s="18"/>
      <c r="H2849" s="49"/>
      <c r="I2849" s="49"/>
      <c r="M2849" s="53"/>
    </row>
    <row r="2850" spans="1:13" x14ac:dyDescent="0.25">
      <c r="A2850" s="21" t="str">
        <f>IF(C2850="","",COUNTA($C$3:C2850))</f>
        <v/>
      </c>
      <c r="B2850" s="35" t="str">
        <f t="shared" si="60"/>
        <v/>
      </c>
      <c r="C2850" s="33"/>
      <c r="E2850" s="60"/>
      <c r="F2850" s="18"/>
      <c r="G2850" s="18"/>
      <c r="H2850" s="49"/>
      <c r="I2850" s="49"/>
      <c r="M2850" s="53"/>
    </row>
    <row r="2851" spans="1:13" x14ac:dyDescent="0.25">
      <c r="A2851" s="21" t="str">
        <f>IF(C2851="","",COUNTA($C$3:C2851))</f>
        <v/>
      </c>
      <c r="B2851" s="35" t="str">
        <f t="shared" si="60"/>
        <v/>
      </c>
      <c r="C2851" s="33"/>
      <c r="E2851" s="60"/>
      <c r="F2851" s="18"/>
      <c r="G2851" s="18"/>
      <c r="H2851" s="49"/>
      <c r="I2851" s="49"/>
      <c r="M2851" s="53"/>
    </row>
    <row r="2852" spans="1:13" x14ac:dyDescent="0.25">
      <c r="A2852" s="21" t="str">
        <f>IF(C2852="","",COUNTA($C$3:C2852))</f>
        <v/>
      </c>
      <c r="B2852" s="35" t="str">
        <f t="shared" si="60"/>
        <v/>
      </c>
      <c r="C2852" s="33"/>
      <c r="E2852" s="60"/>
      <c r="F2852" s="18"/>
      <c r="G2852" s="18"/>
      <c r="H2852" s="49"/>
      <c r="I2852" s="49"/>
      <c r="M2852" s="53"/>
    </row>
    <row r="2853" spans="1:13" x14ac:dyDescent="0.25">
      <c r="A2853" s="21" t="str">
        <f>IF(C2853="","",COUNTA($C$3:C2853))</f>
        <v/>
      </c>
      <c r="B2853" s="35" t="str">
        <f t="shared" si="60"/>
        <v/>
      </c>
      <c r="C2853" s="33"/>
      <c r="E2853" s="60"/>
      <c r="F2853" s="18"/>
      <c r="G2853" s="18"/>
      <c r="H2853" s="49"/>
      <c r="I2853" s="49"/>
      <c r="M2853" s="53"/>
    </row>
    <row r="2854" spans="1:13" x14ac:dyDescent="0.25">
      <c r="A2854" s="21" t="str">
        <f>IF(C2854="","",COUNTA($C$3:C2854))</f>
        <v/>
      </c>
      <c r="B2854" s="35" t="str">
        <f t="shared" si="60"/>
        <v/>
      </c>
      <c r="C2854" s="33"/>
      <c r="E2854" s="60"/>
      <c r="F2854" s="18"/>
      <c r="G2854" s="18"/>
      <c r="H2854" s="49"/>
      <c r="I2854" s="49"/>
      <c r="M2854" s="53"/>
    </row>
    <row r="2855" spans="1:13" x14ac:dyDescent="0.25">
      <c r="A2855" s="21" t="str">
        <f>IF(C2855="","",COUNTA($C$3:C2855))</f>
        <v/>
      </c>
      <c r="B2855" s="35" t="str">
        <f t="shared" si="60"/>
        <v/>
      </c>
      <c r="C2855" s="33"/>
      <c r="E2855" s="60"/>
      <c r="F2855" s="18"/>
      <c r="G2855" s="18"/>
      <c r="H2855" s="49"/>
      <c r="I2855" s="49"/>
      <c r="M2855" s="53"/>
    </row>
    <row r="2856" spans="1:13" x14ac:dyDescent="0.25">
      <c r="A2856" s="21" t="str">
        <f>IF(C2856="","",COUNTA($C$3:C2856))</f>
        <v/>
      </c>
      <c r="B2856" s="35" t="str">
        <f t="shared" si="60"/>
        <v/>
      </c>
      <c r="C2856" s="33"/>
      <c r="E2856" s="60"/>
      <c r="F2856" s="18"/>
      <c r="G2856" s="18"/>
      <c r="H2856" s="49"/>
      <c r="I2856" s="49"/>
      <c r="M2856" s="53"/>
    </row>
    <row r="2857" spans="1:13" x14ac:dyDescent="0.25">
      <c r="A2857" s="21" t="str">
        <f>IF(C2857="","",COUNTA($C$3:C2857))</f>
        <v/>
      </c>
      <c r="B2857" s="35" t="str">
        <f t="shared" si="60"/>
        <v/>
      </c>
      <c r="C2857" s="33"/>
      <c r="E2857" s="60"/>
      <c r="F2857" s="18"/>
      <c r="G2857" s="18"/>
      <c r="H2857" s="49"/>
      <c r="I2857" s="49"/>
      <c r="M2857" s="53"/>
    </row>
    <row r="2858" spans="1:13" x14ac:dyDescent="0.25">
      <c r="A2858" s="21" t="str">
        <f>IF(C2858="","",COUNTA($C$3:C2858))</f>
        <v/>
      </c>
      <c r="B2858" s="35" t="str">
        <f t="shared" si="60"/>
        <v/>
      </c>
      <c r="C2858" s="33"/>
      <c r="E2858" s="60"/>
      <c r="F2858" s="18"/>
      <c r="G2858" s="18"/>
      <c r="H2858" s="49"/>
      <c r="I2858" s="49"/>
      <c r="M2858" s="53"/>
    </row>
    <row r="2859" spans="1:13" x14ac:dyDescent="0.25">
      <c r="A2859" s="21" t="str">
        <f>IF(C2859="","",COUNTA($C$3:C2859))</f>
        <v/>
      </c>
      <c r="B2859" s="35" t="str">
        <f t="shared" si="60"/>
        <v/>
      </c>
      <c r="C2859" s="33"/>
      <c r="E2859" s="60"/>
      <c r="F2859" s="18"/>
      <c r="G2859" s="18"/>
      <c r="H2859" s="49"/>
      <c r="I2859" s="49"/>
      <c r="M2859" s="53"/>
    </row>
    <row r="2860" spans="1:13" x14ac:dyDescent="0.25">
      <c r="A2860" s="21" t="str">
        <f>IF(C2860="","",COUNTA($C$3:C2860))</f>
        <v/>
      </c>
      <c r="B2860" s="35" t="str">
        <f t="shared" si="60"/>
        <v/>
      </c>
      <c r="C2860" s="33"/>
      <c r="E2860" s="60"/>
      <c r="F2860" s="18"/>
      <c r="G2860" s="18"/>
      <c r="H2860" s="49"/>
      <c r="I2860" s="49"/>
      <c r="M2860" s="53"/>
    </row>
    <row r="2861" spans="1:13" x14ac:dyDescent="0.25">
      <c r="A2861" s="21" t="str">
        <f>IF(C2861="","",COUNTA($C$3:C2861))</f>
        <v/>
      </c>
      <c r="B2861" s="35" t="str">
        <f t="shared" si="60"/>
        <v/>
      </c>
      <c r="C2861" s="33"/>
      <c r="E2861" s="60"/>
      <c r="F2861" s="18"/>
      <c r="G2861" s="18"/>
      <c r="H2861" s="49"/>
      <c r="I2861" s="49"/>
      <c r="M2861" s="53"/>
    </row>
    <row r="2862" spans="1:13" x14ac:dyDescent="0.25">
      <c r="A2862" s="21" t="str">
        <f>IF(C2862="","",COUNTA($C$3:C2862))</f>
        <v/>
      </c>
      <c r="B2862" s="35" t="str">
        <f t="shared" si="60"/>
        <v/>
      </c>
      <c r="C2862" s="33"/>
      <c r="E2862" s="60"/>
      <c r="F2862" s="18"/>
      <c r="G2862" s="18"/>
      <c r="H2862" s="49"/>
      <c r="I2862" s="49"/>
      <c r="M2862" s="53"/>
    </row>
    <row r="2863" spans="1:13" x14ac:dyDescent="0.25">
      <c r="A2863" s="21" t="str">
        <f>IF(C2863="","",COUNTA($C$3:C2863))</f>
        <v/>
      </c>
      <c r="B2863" s="35" t="str">
        <f t="shared" si="60"/>
        <v/>
      </c>
      <c r="C2863" s="33"/>
      <c r="E2863" s="60"/>
      <c r="F2863" s="18"/>
      <c r="G2863" s="18"/>
      <c r="H2863" s="49"/>
      <c r="I2863" s="49"/>
      <c r="M2863" s="53"/>
    </row>
    <row r="2864" spans="1:13" x14ac:dyDescent="0.25">
      <c r="A2864" s="21" t="str">
        <f>IF(C2864="","",COUNTA($C$3:C2864))</f>
        <v/>
      </c>
      <c r="B2864" s="35" t="str">
        <f t="shared" si="60"/>
        <v/>
      </c>
      <c r="C2864" s="33"/>
      <c r="E2864" s="60"/>
      <c r="F2864" s="18"/>
      <c r="G2864" s="18"/>
      <c r="H2864" s="49"/>
      <c r="I2864" s="49"/>
      <c r="M2864" s="53"/>
    </row>
    <row r="2865" spans="1:17" x14ac:dyDescent="0.25">
      <c r="A2865" s="21" t="str">
        <f>IF(C2865="","",COUNTA($C$3:C2865))</f>
        <v/>
      </c>
      <c r="B2865" s="35" t="str">
        <f t="shared" si="60"/>
        <v/>
      </c>
      <c r="C2865" s="33"/>
      <c r="E2865" s="60"/>
      <c r="F2865" s="18"/>
      <c r="G2865" s="18"/>
      <c r="H2865" s="49"/>
      <c r="I2865" s="49"/>
      <c r="M2865" s="53"/>
    </row>
    <row r="2866" spans="1:17" x14ac:dyDescent="0.25">
      <c r="A2866" s="21" t="str">
        <f>IF(C2866="","",COUNTA($C$3:C2866))</f>
        <v/>
      </c>
      <c r="B2866" s="35" t="str">
        <f t="shared" si="60"/>
        <v/>
      </c>
      <c r="C2866" s="33"/>
      <c r="E2866" s="60"/>
      <c r="F2866" s="18"/>
      <c r="G2866" s="18"/>
      <c r="H2866" s="49"/>
      <c r="I2866" s="49"/>
      <c r="M2866" s="53"/>
    </row>
    <row r="2867" spans="1:17" x14ac:dyDescent="0.25">
      <c r="A2867" s="21" t="str">
        <f>IF(C2867="","",COUNTA($C$3:C2867))</f>
        <v/>
      </c>
      <c r="B2867" s="35" t="str">
        <f t="shared" si="60"/>
        <v/>
      </c>
      <c r="C2867" s="33"/>
      <c r="E2867" s="60"/>
      <c r="F2867" s="18"/>
      <c r="G2867" s="18"/>
      <c r="H2867" s="49"/>
      <c r="I2867" s="49"/>
      <c r="M2867" s="53"/>
    </row>
    <row r="2868" spans="1:17" x14ac:dyDescent="0.25">
      <c r="A2868" s="21" t="str">
        <f>IF(C2868="","",COUNTA($C$3:C2868))</f>
        <v/>
      </c>
      <c r="B2868" s="35" t="str">
        <f t="shared" si="60"/>
        <v/>
      </c>
      <c r="C2868" s="33"/>
      <c r="E2868" s="60"/>
      <c r="F2868" s="18"/>
      <c r="G2868" s="18"/>
      <c r="H2868" s="49"/>
      <c r="I2868" s="49"/>
      <c r="M2868" s="53"/>
    </row>
    <row r="2869" spans="1:17" x14ac:dyDescent="0.25">
      <c r="A2869" s="21" t="str">
        <f>IF(C2869="","",COUNTA($C$3:C2869))</f>
        <v/>
      </c>
      <c r="B2869" s="35" t="str">
        <f t="shared" si="60"/>
        <v/>
      </c>
      <c r="C2869" s="33"/>
      <c r="E2869" s="60"/>
      <c r="F2869" s="18"/>
      <c r="G2869" s="18"/>
      <c r="H2869" s="49"/>
      <c r="I2869" s="49"/>
      <c r="M2869" s="53"/>
    </row>
    <row r="2870" spans="1:17" x14ac:dyDescent="0.25">
      <c r="A2870" s="21" t="str">
        <f>IF(C2870="","",COUNTA($C$3:C2870))</f>
        <v/>
      </c>
      <c r="B2870" s="35" t="str">
        <f t="shared" si="60"/>
        <v/>
      </c>
      <c r="C2870" s="33"/>
      <c r="E2870" s="60"/>
      <c r="F2870" s="18"/>
      <c r="G2870" s="18"/>
      <c r="H2870" s="49"/>
      <c r="I2870" s="49"/>
      <c r="M2870" s="53"/>
    </row>
    <row r="2871" spans="1:17" x14ac:dyDescent="0.25">
      <c r="A2871" s="21" t="str">
        <f>IF(C2871="","",COUNTA($C$3:C2871))</f>
        <v/>
      </c>
      <c r="B2871" s="35" t="str">
        <f t="shared" si="60"/>
        <v/>
      </c>
      <c r="C2871" s="33"/>
      <c r="E2871" s="60"/>
      <c r="F2871" s="18"/>
      <c r="G2871" s="18"/>
      <c r="H2871" s="49"/>
      <c r="I2871" s="49"/>
      <c r="K2871" s="55"/>
      <c r="M2871" s="53"/>
    </row>
    <row r="2872" spans="1:17" x14ac:dyDescent="0.25">
      <c r="A2872" s="21" t="str">
        <f>IF(C2872="","",COUNTA($C$3:C2872))</f>
        <v/>
      </c>
      <c r="B2872" s="35" t="str">
        <f t="shared" si="60"/>
        <v/>
      </c>
      <c r="C2872" s="33"/>
      <c r="E2872" s="60"/>
      <c r="F2872" s="18"/>
      <c r="G2872" s="18"/>
      <c r="H2872" s="49"/>
      <c r="I2872" s="49"/>
      <c r="L2872" s="62"/>
      <c r="M2872" s="53"/>
      <c r="O2872" s="59"/>
      <c r="P2872" s="59"/>
      <c r="Q2872" s="59"/>
    </row>
    <row r="2873" spans="1:17" x14ac:dyDescent="0.25">
      <c r="A2873" s="21" t="str">
        <f>IF(C2873="","",COUNTA($C$3:C2873))</f>
        <v/>
      </c>
      <c r="B2873" s="35" t="str">
        <f t="shared" si="60"/>
        <v/>
      </c>
      <c r="C2873" s="33"/>
      <c r="E2873" s="60"/>
      <c r="F2873" s="18"/>
      <c r="G2873" s="18"/>
      <c r="H2873" s="49"/>
      <c r="I2873" s="49"/>
      <c r="M2873" s="53"/>
    </row>
    <row r="2874" spans="1:17" x14ac:dyDescent="0.25">
      <c r="A2874" s="21" t="str">
        <f>IF(C2874="","",COUNTA($C$3:C2874))</f>
        <v/>
      </c>
      <c r="B2874" s="35" t="str">
        <f t="shared" si="60"/>
        <v/>
      </c>
      <c r="C2874" s="33"/>
      <c r="E2874" s="60"/>
      <c r="F2874" s="18"/>
      <c r="G2874" s="18"/>
      <c r="H2874" s="49"/>
      <c r="I2874" s="49"/>
      <c r="M2874" s="53"/>
    </row>
    <row r="2875" spans="1:17" x14ac:dyDescent="0.25">
      <c r="A2875" s="21" t="str">
        <f>IF(C2875="","",COUNTA($C$3:C2875))</f>
        <v/>
      </c>
      <c r="B2875" s="35" t="str">
        <f t="shared" si="60"/>
        <v/>
      </c>
      <c r="C2875" s="33"/>
      <c r="E2875" s="60"/>
      <c r="F2875" s="18"/>
      <c r="G2875" s="18"/>
      <c r="H2875" s="49"/>
      <c r="I2875" s="49"/>
      <c r="M2875" s="53"/>
    </row>
    <row r="2876" spans="1:17" x14ac:dyDescent="0.25">
      <c r="A2876" s="21" t="str">
        <f>IF(C2876="","",COUNTA($C$3:C2876))</f>
        <v/>
      </c>
      <c r="B2876" s="35" t="str">
        <f t="shared" si="60"/>
        <v/>
      </c>
      <c r="C2876" s="33"/>
      <c r="E2876" s="60"/>
      <c r="F2876" s="18"/>
      <c r="G2876" s="18"/>
      <c r="H2876" s="49"/>
      <c r="I2876" s="49"/>
      <c r="M2876" s="53"/>
    </row>
    <row r="2877" spans="1:17" x14ac:dyDescent="0.25">
      <c r="A2877" s="21" t="str">
        <f>IF(C2877="","",COUNTA($C$3:C2877))</f>
        <v/>
      </c>
      <c r="B2877" s="35" t="str">
        <f t="shared" si="60"/>
        <v/>
      </c>
      <c r="C2877" s="33"/>
      <c r="E2877" s="60"/>
      <c r="F2877" s="18"/>
      <c r="G2877" s="18"/>
      <c r="H2877" s="49"/>
      <c r="I2877" s="49"/>
      <c r="M2877" s="53"/>
    </row>
    <row r="2878" spans="1:17" x14ac:dyDescent="0.25">
      <c r="A2878" s="21" t="str">
        <f>IF(C2878="","",COUNTA($C$3:C2878))</f>
        <v/>
      </c>
      <c r="B2878" s="35" t="str">
        <f t="shared" si="60"/>
        <v/>
      </c>
      <c r="C2878" s="33"/>
      <c r="E2878" s="60"/>
      <c r="F2878" s="18"/>
      <c r="G2878" s="18"/>
      <c r="H2878" s="49"/>
      <c r="I2878" s="49"/>
      <c r="M2878" s="53"/>
    </row>
    <row r="2879" spans="1:17" x14ac:dyDescent="0.25">
      <c r="A2879" s="21" t="str">
        <f>IF(C2879="","",COUNTA($C$3:C2879))</f>
        <v/>
      </c>
      <c r="B2879" s="35" t="str">
        <f t="shared" si="60"/>
        <v/>
      </c>
      <c r="C2879" s="33"/>
      <c r="E2879" s="60"/>
      <c r="F2879" s="18"/>
      <c r="G2879" s="18"/>
      <c r="H2879" s="49"/>
      <c r="I2879" s="49"/>
      <c r="M2879" s="53"/>
    </row>
    <row r="2880" spans="1:17" x14ac:dyDescent="0.25">
      <c r="A2880" s="21" t="str">
        <f>IF(C2880="","",COUNTA($C$3:C2880))</f>
        <v/>
      </c>
      <c r="B2880" s="35" t="str">
        <f t="shared" si="60"/>
        <v/>
      </c>
      <c r="C2880" s="33"/>
      <c r="E2880" s="60"/>
      <c r="F2880" s="18"/>
      <c r="G2880" s="18"/>
      <c r="H2880" s="49"/>
      <c r="I2880" s="49"/>
      <c r="M2880" s="53"/>
    </row>
    <row r="2881" spans="1:15" x14ac:dyDescent="0.25">
      <c r="A2881" s="21" t="str">
        <f>IF(C2881="","",COUNTA($C$3:C2881))</f>
        <v/>
      </c>
      <c r="B2881" s="35" t="str">
        <f t="shared" si="60"/>
        <v/>
      </c>
      <c r="C2881" s="33"/>
      <c r="E2881" s="60"/>
      <c r="F2881" s="18"/>
      <c r="G2881" s="18"/>
      <c r="H2881" s="49"/>
      <c r="I2881" s="49"/>
      <c r="M2881" s="53"/>
    </row>
    <row r="2882" spans="1:15" x14ac:dyDescent="0.25">
      <c r="A2882" s="21" t="str">
        <f>IF(C2882="","",COUNTA($C$3:C2882))</f>
        <v/>
      </c>
      <c r="B2882" s="35" t="str">
        <f t="shared" si="60"/>
        <v/>
      </c>
      <c r="C2882" s="33"/>
      <c r="E2882" s="60"/>
      <c r="F2882" s="18"/>
      <c r="G2882" s="18"/>
      <c r="H2882" s="49"/>
      <c r="I2882" s="49"/>
      <c r="M2882" s="53"/>
    </row>
    <row r="2883" spans="1:15" x14ac:dyDescent="0.25">
      <c r="A2883" s="21" t="str">
        <f>IF(C2883="","",COUNTA($C$3:C2883))</f>
        <v/>
      </c>
      <c r="B2883" s="35" t="str">
        <f t="shared" si="60"/>
        <v/>
      </c>
      <c r="C2883" s="33"/>
      <c r="E2883" s="60"/>
      <c r="F2883" s="18"/>
      <c r="G2883" s="18"/>
      <c r="H2883" s="49"/>
      <c r="I2883" s="49"/>
      <c r="M2883" s="53"/>
      <c r="O2883" s="59"/>
    </row>
    <row r="2884" spans="1:15" x14ac:dyDescent="0.25">
      <c r="A2884" s="21" t="str">
        <f>IF(C2884="","",COUNTA($C$3:C2884))</f>
        <v/>
      </c>
      <c r="B2884" s="35" t="str">
        <f t="shared" si="60"/>
        <v/>
      </c>
      <c r="C2884" s="33"/>
      <c r="E2884" s="60"/>
      <c r="F2884" s="18"/>
      <c r="G2884" s="18"/>
      <c r="H2884" s="49"/>
      <c r="I2884" s="49"/>
      <c r="M2884" s="53"/>
      <c r="O2884" s="59"/>
    </row>
    <row r="2885" spans="1:15" x14ac:dyDescent="0.25">
      <c r="A2885" s="21" t="str">
        <f>IF(C2885="","",COUNTA($C$3:C2885))</f>
        <v/>
      </c>
      <c r="B2885" s="35" t="str">
        <f t="shared" ref="B2885:B2948" si="61">IF(C2885="","",TEXT(C2885,"mmmm"))</f>
        <v/>
      </c>
      <c r="C2885" s="33"/>
      <c r="E2885" s="60"/>
      <c r="F2885" s="18"/>
      <c r="G2885" s="18"/>
      <c r="H2885" s="49"/>
      <c r="I2885" s="49"/>
      <c r="K2885" s="55"/>
      <c r="M2885" s="53"/>
      <c r="O2885" s="59"/>
    </row>
    <row r="2886" spans="1:15" x14ac:dyDescent="0.25">
      <c r="A2886" s="21" t="str">
        <f>IF(C2886="","",COUNTA($C$3:C2886))</f>
        <v/>
      </c>
      <c r="B2886" s="35" t="str">
        <f t="shared" si="61"/>
        <v/>
      </c>
      <c r="C2886" s="33"/>
      <c r="E2886" s="60"/>
      <c r="F2886" s="18"/>
      <c r="G2886" s="18"/>
      <c r="H2886" s="49"/>
      <c r="I2886" s="49"/>
      <c r="M2886" s="53"/>
      <c r="O2886" s="117"/>
    </row>
    <row r="2887" spans="1:15" x14ac:dyDescent="0.25">
      <c r="A2887" s="21" t="str">
        <f>IF(C2887="","",COUNTA($C$3:C2887))</f>
        <v/>
      </c>
      <c r="B2887" s="35" t="str">
        <f t="shared" si="61"/>
        <v/>
      </c>
      <c r="C2887" s="33"/>
      <c r="E2887" s="60"/>
      <c r="F2887" s="18"/>
      <c r="G2887" s="18"/>
      <c r="H2887" s="49"/>
      <c r="I2887" s="49"/>
      <c r="M2887" s="53"/>
    </row>
    <row r="2888" spans="1:15" x14ac:dyDescent="0.25">
      <c r="A2888" s="21" t="str">
        <f>IF(C2888="","",COUNTA($C$3:C2888))</f>
        <v/>
      </c>
      <c r="B2888" s="35" t="str">
        <f t="shared" si="61"/>
        <v/>
      </c>
      <c r="C2888" s="33"/>
      <c r="E2888" s="60"/>
      <c r="F2888" s="18"/>
      <c r="G2888" s="18"/>
      <c r="H2888" s="49"/>
      <c r="I2888" s="49"/>
      <c r="K2888" s="67"/>
      <c r="M2888" s="53"/>
    </row>
    <row r="2889" spans="1:15" x14ac:dyDescent="0.25">
      <c r="A2889" s="21" t="str">
        <f>IF(C2889="","",COUNTA($C$3:C2889))</f>
        <v/>
      </c>
      <c r="B2889" s="35" t="str">
        <f t="shared" si="61"/>
        <v/>
      </c>
      <c r="C2889" s="33"/>
      <c r="E2889" s="60"/>
      <c r="F2889" s="18"/>
      <c r="G2889" s="18"/>
      <c r="H2889" s="49"/>
      <c r="I2889" s="49"/>
      <c r="M2889" s="53"/>
    </row>
    <row r="2890" spans="1:15" x14ac:dyDescent="0.25">
      <c r="A2890" s="21" t="str">
        <f>IF(C2890="","",COUNTA($C$3:C2890))</f>
        <v/>
      </c>
      <c r="B2890" s="35" t="str">
        <f t="shared" si="61"/>
        <v/>
      </c>
      <c r="C2890" s="33"/>
      <c r="E2890" s="60"/>
      <c r="F2890" s="18"/>
      <c r="G2890" s="18"/>
      <c r="H2890" s="49"/>
      <c r="I2890" s="49"/>
      <c r="M2890" s="53"/>
    </row>
    <row r="2891" spans="1:15" x14ac:dyDescent="0.25">
      <c r="A2891" s="21" t="str">
        <f>IF(C2891="","",COUNTA($C$3:C2891))</f>
        <v/>
      </c>
      <c r="B2891" s="35" t="str">
        <f t="shared" si="61"/>
        <v/>
      </c>
      <c r="C2891" s="33"/>
      <c r="E2891" s="60"/>
      <c r="F2891" s="18"/>
      <c r="G2891" s="18"/>
      <c r="H2891" s="49"/>
      <c r="I2891" s="49"/>
      <c r="M2891" s="53"/>
    </row>
    <row r="2892" spans="1:15" x14ac:dyDescent="0.25">
      <c r="A2892" s="21" t="str">
        <f>IF(C2892="","",COUNTA($C$3:C2892))</f>
        <v/>
      </c>
      <c r="B2892" s="35" t="str">
        <f t="shared" si="61"/>
        <v/>
      </c>
      <c r="C2892" s="33"/>
      <c r="E2892" s="60"/>
      <c r="F2892" s="18"/>
      <c r="G2892" s="18"/>
      <c r="H2892" s="49"/>
      <c r="I2892" s="49"/>
      <c r="M2892" s="53"/>
    </row>
    <row r="2893" spans="1:15" x14ac:dyDescent="0.25">
      <c r="A2893" s="21" t="str">
        <f>IF(C2893="","",COUNTA($C$3:C2893))</f>
        <v/>
      </c>
      <c r="B2893" s="35" t="str">
        <f t="shared" si="61"/>
        <v/>
      </c>
      <c r="C2893" s="33"/>
      <c r="E2893" s="60"/>
      <c r="F2893" s="18"/>
      <c r="G2893" s="18"/>
      <c r="H2893" s="49"/>
      <c r="I2893" s="49"/>
      <c r="M2893" s="53"/>
    </row>
    <row r="2894" spans="1:15" x14ac:dyDescent="0.25">
      <c r="A2894" s="21" t="str">
        <f>IF(C2894="","",COUNTA($C$3:C2894))</f>
        <v/>
      </c>
      <c r="B2894" s="35" t="str">
        <f t="shared" si="61"/>
        <v/>
      </c>
      <c r="C2894" s="33"/>
      <c r="E2894" s="60"/>
      <c r="F2894" s="18"/>
      <c r="G2894" s="18"/>
      <c r="H2894" s="49"/>
      <c r="I2894" s="49"/>
      <c r="M2894" s="53"/>
    </row>
    <row r="2895" spans="1:15" x14ac:dyDescent="0.25">
      <c r="A2895" s="21" t="str">
        <f>IF(C2895="","",COUNTA($C$3:C2895))</f>
        <v/>
      </c>
      <c r="B2895" s="35" t="str">
        <f t="shared" si="61"/>
        <v/>
      </c>
      <c r="C2895" s="33"/>
      <c r="E2895" s="60"/>
      <c r="F2895" s="18"/>
      <c r="G2895" s="18"/>
      <c r="H2895" s="49"/>
      <c r="I2895" s="49"/>
      <c r="M2895" s="53"/>
    </row>
    <row r="2896" spans="1:15" x14ac:dyDescent="0.25">
      <c r="A2896" s="21" t="str">
        <f>IF(C2896="","",COUNTA($C$3:C2896))</f>
        <v/>
      </c>
      <c r="B2896" s="35" t="str">
        <f t="shared" si="61"/>
        <v/>
      </c>
      <c r="C2896" s="33"/>
      <c r="E2896" s="60"/>
      <c r="F2896" s="18"/>
      <c r="G2896" s="18"/>
      <c r="H2896" s="49"/>
      <c r="I2896" s="49"/>
      <c r="M2896" s="53"/>
    </row>
    <row r="2897" spans="1:13" x14ac:dyDescent="0.25">
      <c r="A2897" s="21" t="str">
        <f>IF(C2897="","",COUNTA($C$3:C2897))</f>
        <v/>
      </c>
      <c r="B2897" s="35" t="str">
        <f t="shared" si="61"/>
        <v/>
      </c>
      <c r="C2897" s="33"/>
      <c r="E2897" s="60"/>
      <c r="F2897" s="18"/>
      <c r="G2897" s="18"/>
      <c r="H2897" s="49"/>
      <c r="I2897" s="49"/>
      <c r="M2897" s="53"/>
    </row>
    <row r="2898" spans="1:13" x14ac:dyDescent="0.25">
      <c r="A2898" s="21" t="str">
        <f>IF(C2898="","",COUNTA($C$3:C2898))</f>
        <v/>
      </c>
      <c r="B2898" s="35" t="str">
        <f t="shared" si="61"/>
        <v/>
      </c>
      <c r="C2898" s="33"/>
      <c r="E2898" s="60"/>
      <c r="F2898" s="18"/>
      <c r="G2898" s="18"/>
      <c r="H2898" s="49"/>
      <c r="I2898" s="49"/>
      <c r="M2898" s="53"/>
    </row>
    <row r="2899" spans="1:13" x14ac:dyDescent="0.25">
      <c r="A2899" s="21" t="str">
        <f>IF(C2899="","",COUNTA($C$3:C2899))</f>
        <v/>
      </c>
      <c r="B2899" s="35" t="str">
        <f t="shared" si="61"/>
        <v/>
      </c>
      <c r="C2899" s="33"/>
      <c r="E2899" s="60"/>
      <c r="F2899" s="18"/>
      <c r="G2899" s="18"/>
      <c r="H2899" s="49"/>
      <c r="I2899" s="49"/>
      <c r="M2899" s="53"/>
    </row>
    <row r="2900" spans="1:13" x14ac:dyDescent="0.25">
      <c r="A2900" s="21" t="str">
        <f>IF(C2900="","",COUNTA($C$3:C2900))</f>
        <v/>
      </c>
      <c r="B2900" s="35" t="str">
        <f t="shared" si="61"/>
        <v/>
      </c>
      <c r="C2900" s="33"/>
      <c r="E2900" s="60"/>
      <c r="F2900" s="18"/>
      <c r="G2900" s="18"/>
      <c r="H2900" s="49"/>
      <c r="I2900" s="49"/>
      <c r="M2900" s="53"/>
    </row>
    <row r="2901" spans="1:13" x14ac:dyDescent="0.25">
      <c r="A2901" s="21" t="str">
        <f>IF(C2901="","",COUNTA($C$3:C2901))</f>
        <v/>
      </c>
      <c r="B2901" s="35" t="str">
        <f t="shared" si="61"/>
        <v/>
      </c>
      <c r="C2901" s="33"/>
      <c r="E2901" s="60"/>
      <c r="F2901" s="18"/>
      <c r="G2901" s="18"/>
      <c r="H2901" s="49"/>
      <c r="I2901" s="49"/>
      <c r="M2901" s="53"/>
    </row>
    <row r="2902" spans="1:13" x14ac:dyDescent="0.25">
      <c r="A2902" s="21" t="str">
        <f>IF(C2902="","",COUNTA($C$3:C2902))</f>
        <v/>
      </c>
      <c r="B2902" s="35" t="str">
        <f t="shared" si="61"/>
        <v/>
      </c>
      <c r="C2902" s="33"/>
      <c r="E2902" s="60"/>
      <c r="F2902" s="18"/>
      <c r="G2902" s="18"/>
      <c r="H2902" s="49"/>
      <c r="I2902" s="49"/>
      <c r="M2902" s="53"/>
    </row>
    <row r="2903" spans="1:13" x14ac:dyDescent="0.25">
      <c r="A2903" s="21" t="str">
        <f>IF(C2903="","",COUNTA($C$3:C2903))</f>
        <v/>
      </c>
      <c r="B2903" s="35" t="str">
        <f t="shared" si="61"/>
        <v/>
      </c>
      <c r="C2903" s="33"/>
      <c r="E2903" s="60"/>
      <c r="F2903" s="18"/>
      <c r="G2903" s="18"/>
      <c r="H2903" s="49"/>
      <c r="I2903" s="49"/>
      <c r="M2903" s="53"/>
    </row>
    <row r="2904" spans="1:13" x14ac:dyDescent="0.25">
      <c r="A2904" s="21" t="str">
        <f>IF(C2904="","",COUNTA($C$3:C2904))</f>
        <v/>
      </c>
      <c r="B2904" s="35" t="str">
        <f t="shared" si="61"/>
        <v/>
      </c>
      <c r="C2904" s="33"/>
      <c r="E2904" s="60"/>
      <c r="F2904" s="18"/>
      <c r="G2904" s="18"/>
      <c r="H2904" s="49"/>
      <c r="I2904" s="49"/>
      <c r="M2904" s="53"/>
    </row>
    <row r="2905" spans="1:13" x14ac:dyDescent="0.25">
      <c r="A2905" s="21" t="str">
        <f>IF(C2905="","",COUNTA($C$3:C2905))</f>
        <v/>
      </c>
      <c r="B2905" s="35" t="str">
        <f t="shared" si="61"/>
        <v/>
      </c>
      <c r="C2905" s="33"/>
      <c r="E2905" s="60"/>
      <c r="F2905" s="18"/>
      <c r="G2905" s="18"/>
      <c r="H2905" s="49"/>
      <c r="I2905" s="49"/>
      <c r="M2905" s="53"/>
    </row>
    <row r="2906" spans="1:13" x14ac:dyDescent="0.25">
      <c r="A2906" s="21" t="str">
        <f>IF(C2906="","",COUNTA($C$3:C2906))</f>
        <v/>
      </c>
      <c r="B2906" s="35" t="str">
        <f t="shared" si="61"/>
        <v/>
      </c>
      <c r="C2906" s="33"/>
      <c r="E2906" s="60"/>
      <c r="F2906" s="18"/>
      <c r="G2906" s="18"/>
      <c r="H2906" s="49"/>
      <c r="I2906" s="49"/>
      <c r="M2906" s="53"/>
    </row>
    <row r="2907" spans="1:13" x14ac:dyDescent="0.25">
      <c r="A2907" s="21" t="str">
        <f>IF(C2907="","",COUNTA($C$3:C2907))</f>
        <v/>
      </c>
      <c r="B2907" s="35" t="str">
        <f t="shared" si="61"/>
        <v/>
      </c>
      <c r="C2907" s="33"/>
      <c r="E2907" s="60"/>
      <c r="F2907" s="18"/>
      <c r="G2907" s="18"/>
      <c r="H2907" s="49"/>
      <c r="I2907" s="49"/>
      <c r="M2907" s="53"/>
    </row>
    <row r="2908" spans="1:13" x14ac:dyDescent="0.25">
      <c r="A2908" s="21" t="str">
        <f>IF(C2908="","",COUNTA($C$3:C2908))</f>
        <v/>
      </c>
      <c r="B2908" s="35" t="str">
        <f t="shared" si="61"/>
        <v/>
      </c>
      <c r="C2908" s="33"/>
      <c r="E2908" s="60"/>
      <c r="F2908" s="18"/>
      <c r="G2908" s="18"/>
      <c r="H2908" s="49"/>
      <c r="I2908" s="49"/>
      <c r="M2908" s="53"/>
    </row>
    <row r="2909" spans="1:13" x14ac:dyDescent="0.25">
      <c r="A2909" s="21" t="str">
        <f>IF(C2909="","",COUNTA($C$3:C2909))</f>
        <v/>
      </c>
      <c r="B2909" s="35" t="str">
        <f t="shared" si="61"/>
        <v/>
      </c>
      <c r="C2909" s="33"/>
      <c r="E2909" s="60"/>
      <c r="F2909" s="18"/>
      <c r="G2909" s="18"/>
      <c r="H2909" s="49"/>
      <c r="I2909" s="49"/>
      <c r="M2909" s="53"/>
    </row>
    <row r="2910" spans="1:13" x14ac:dyDescent="0.25">
      <c r="A2910" s="21" t="str">
        <f>IF(C2910="","",COUNTA($C$3:C2910))</f>
        <v/>
      </c>
      <c r="B2910" s="35" t="str">
        <f t="shared" si="61"/>
        <v/>
      </c>
      <c r="C2910" s="33"/>
      <c r="E2910" s="60"/>
      <c r="F2910" s="18"/>
      <c r="G2910" s="18"/>
      <c r="H2910" s="49"/>
      <c r="I2910" s="49"/>
      <c r="M2910" s="53"/>
    </row>
    <row r="2911" spans="1:13" x14ac:dyDescent="0.25">
      <c r="A2911" s="21" t="str">
        <f>IF(C2911="","",COUNTA($C$3:C2911))</f>
        <v/>
      </c>
      <c r="B2911" s="35" t="str">
        <f t="shared" si="61"/>
        <v/>
      </c>
      <c r="C2911" s="33"/>
      <c r="E2911" s="60"/>
      <c r="F2911" s="18"/>
      <c r="G2911" s="18"/>
      <c r="H2911" s="49"/>
      <c r="I2911" s="49"/>
      <c r="L2911" s="53"/>
      <c r="M2911" s="53"/>
    </row>
    <row r="2912" spans="1:13" x14ac:dyDescent="0.25">
      <c r="A2912" s="21" t="str">
        <f>IF(C2912="","",COUNTA($C$3:C2912))</f>
        <v/>
      </c>
      <c r="B2912" s="35" t="str">
        <f t="shared" si="61"/>
        <v/>
      </c>
      <c r="C2912" s="33"/>
      <c r="E2912" s="60"/>
      <c r="F2912" s="18"/>
      <c r="G2912" s="18"/>
      <c r="H2912" s="49"/>
      <c r="I2912" s="49"/>
      <c r="L2912" s="53"/>
      <c r="M2912" s="53"/>
    </row>
    <row r="2913" spans="1:13" x14ac:dyDescent="0.25">
      <c r="A2913" s="21" t="str">
        <f>IF(C2913="","",COUNTA($C$3:C2913))</f>
        <v/>
      </c>
      <c r="B2913" s="35" t="str">
        <f t="shared" si="61"/>
        <v/>
      </c>
      <c r="C2913" s="33"/>
      <c r="E2913" s="60"/>
      <c r="F2913" s="18"/>
      <c r="G2913" s="18"/>
      <c r="H2913" s="49"/>
      <c r="I2913" s="49"/>
      <c r="K2913" s="55"/>
      <c r="M2913" s="53"/>
    </row>
    <row r="2914" spans="1:13" x14ac:dyDescent="0.25">
      <c r="A2914" s="21" t="str">
        <f>IF(C2914="","",COUNTA($C$3:C2914))</f>
        <v/>
      </c>
      <c r="B2914" s="35" t="str">
        <f t="shared" si="61"/>
        <v/>
      </c>
      <c r="C2914" s="33"/>
      <c r="E2914" s="60"/>
      <c r="F2914" s="18"/>
      <c r="G2914" s="18"/>
      <c r="H2914" s="49"/>
      <c r="I2914" s="49"/>
      <c r="M2914" s="53"/>
    </row>
    <row r="2915" spans="1:13" x14ac:dyDescent="0.25">
      <c r="A2915" s="21" t="str">
        <f>IF(C2915="","",COUNTA($C$3:C2915))</f>
        <v/>
      </c>
      <c r="B2915" s="35" t="str">
        <f t="shared" si="61"/>
        <v/>
      </c>
      <c r="C2915" s="33"/>
      <c r="E2915" s="60"/>
      <c r="F2915" s="18"/>
      <c r="G2915" s="18"/>
      <c r="H2915" s="49"/>
      <c r="I2915" s="49"/>
      <c r="L2915" s="62"/>
      <c r="M2915" s="53"/>
    </row>
    <row r="2916" spans="1:13" x14ac:dyDescent="0.25">
      <c r="A2916" s="21" t="str">
        <f>IF(C2916="","",COUNTA($C$3:C2916))</f>
        <v/>
      </c>
      <c r="B2916" s="35" t="str">
        <f t="shared" si="61"/>
        <v/>
      </c>
      <c r="C2916" s="33"/>
      <c r="E2916" s="60"/>
      <c r="F2916" s="18"/>
      <c r="G2916" s="18"/>
      <c r="H2916" s="49"/>
      <c r="I2916" s="49"/>
      <c r="M2916" s="53"/>
    </row>
    <row r="2917" spans="1:13" x14ac:dyDescent="0.25">
      <c r="A2917" s="21" t="str">
        <f>IF(C2917="","",COUNTA($C$3:C2917))</f>
        <v/>
      </c>
      <c r="B2917" s="35" t="str">
        <f t="shared" si="61"/>
        <v/>
      </c>
      <c r="C2917" s="33"/>
      <c r="E2917" s="60"/>
      <c r="F2917" s="18"/>
      <c r="G2917" s="18"/>
      <c r="H2917" s="49"/>
      <c r="I2917" s="49"/>
      <c r="M2917" s="53"/>
    </row>
    <row r="2918" spans="1:13" x14ac:dyDescent="0.25">
      <c r="A2918" s="21" t="str">
        <f>IF(C2918="","",COUNTA($C$3:C2918))</f>
        <v/>
      </c>
      <c r="B2918" s="35" t="str">
        <f t="shared" si="61"/>
        <v/>
      </c>
      <c r="C2918" s="33"/>
      <c r="E2918" s="60"/>
      <c r="F2918" s="18"/>
      <c r="G2918" s="18"/>
      <c r="H2918" s="49"/>
      <c r="I2918" s="49"/>
      <c r="M2918" s="53"/>
    </row>
    <row r="2919" spans="1:13" x14ac:dyDescent="0.25">
      <c r="A2919" s="21" t="str">
        <f>IF(C2919="","",COUNTA($C$3:C2919))</f>
        <v/>
      </c>
      <c r="B2919" s="35" t="str">
        <f t="shared" si="61"/>
        <v/>
      </c>
      <c r="C2919" s="33"/>
      <c r="E2919" s="60"/>
      <c r="F2919" s="18"/>
      <c r="G2919" s="18"/>
      <c r="H2919" s="49"/>
      <c r="I2919" s="49"/>
      <c r="M2919" s="53"/>
    </row>
    <row r="2920" spans="1:13" x14ac:dyDescent="0.25">
      <c r="A2920" s="21" t="str">
        <f>IF(C2920="","",COUNTA($C$3:C2920))</f>
        <v/>
      </c>
      <c r="B2920" s="35" t="str">
        <f t="shared" si="61"/>
        <v/>
      </c>
      <c r="C2920" s="33"/>
      <c r="E2920" s="60"/>
      <c r="F2920" s="18"/>
      <c r="G2920" s="18"/>
      <c r="H2920" s="49"/>
      <c r="I2920" s="49"/>
      <c r="M2920" s="53"/>
    </row>
    <row r="2921" spans="1:13" x14ac:dyDescent="0.25">
      <c r="A2921" s="21" t="str">
        <f>IF(C2921="","",COUNTA($C$3:C2921))</f>
        <v/>
      </c>
      <c r="B2921" s="35" t="str">
        <f t="shared" si="61"/>
        <v/>
      </c>
      <c r="C2921" s="33"/>
      <c r="E2921" s="60"/>
      <c r="F2921" s="18"/>
      <c r="H2921" s="49"/>
      <c r="I2921" s="49"/>
      <c r="M2921" s="53"/>
    </row>
    <row r="2922" spans="1:13" x14ac:dyDescent="0.25">
      <c r="A2922" s="21" t="str">
        <f>IF(C2922="","",COUNTA($C$3:C2922))</f>
        <v/>
      </c>
      <c r="B2922" s="35" t="str">
        <f t="shared" si="61"/>
        <v/>
      </c>
      <c r="C2922" s="33"/>
      <c r="E2922" s="60"/>
      <c r="F2922" s="18"/>
      <c r="G2922" s="18"/>
      <c r="H2922" s="49"/>
      <c r="I2922" s="49"/>
      <c r="M2922" s="53"/>
    </row>
    <row r="2923" spans="1:13" x14ac:dyDescent="0.25">
      <c r="A2923" s="21" t="str">
        <f>IF(C2923="","",COUNTA($C$3:C2923))</f>
        <v/>
      </c>
      <c r="B2923" s="35" t="str">
        <f t="shared" si="61"/>
        <v/>
      </c>
      <c r="C2923" s="33"/>
      <c r="E2923" s="60"/>
      <c r="F2923" s="18"/>
      <c r="G2923" s="18"/>
      <c r="H2923" s="49"/>
      <c r="I2923" s="49"/>
      <c r="M2923" s="53"/>
    </row>
    <row r="2924" spans="1:13" x14ac:dyDescent="0.25">
      <c r="A2924" s="21" t="str">
        <f>IF(C2924="","",COUNTA($C$3:C2924))</f>
        <v/>
      </c>
      <c r="B2924" s="35" t="str">
        <f t="shared" si="61"/>
        <v/>
      </c>
      <c r="C2924" s="33"/>
      <c r="E2924" s="60"/>
      <c r="F2924" s="18"/>
      <c r="G2924" s="18"/>
      <c r="H2924" s="49"/>
      <c r="I2924" s="49"/>
      <c r="M2924" s="53"/>
    </row>
    <row r="2925" spans="1:13" x14ac:dyDescent="0.25">
      <c r="A2925" s="21" t="str">
        <f>IF(C2925="","",COUNTA($C$3:C2925))</f>
        <v/>
      </c>
      <c r="B2925" s="35" t="str">
        <f t="shared" si="61"/>
        <v/>
      </c>
      <c r="C2925" s="33"/>
      <c r="E2925" s="60"/>
      <c r="F2925" s="18"/>
      <c r="G2925" s="18"/>
      <c r="H2925" s="49"/>
      <c r="I2925" s="49"/>
      <c r="K2925" s="55"/>
      <c r="M2925" s="53"/>
    </row>
    <row r="2926" spans="1:13" x14ac:dyDescent="0.25">
      <c r="A2926" s="21" t="str">
        <f>IF(C2926="","",COUNTA($C$3:C2926))</f>
        <v/>
      </c>
      <c r="B2926" s="35" t="str">
        <f t="shared" si="61"/>
        <v/>
      </c>
      <c r="C2926" s="33"/>
      <c r="E2926" s="60"/>
      <c r="F2926" s="18"/>
      <c r="G2926" s="18"/>
      <c r="H2926" s="49"/>
      <c r="I2926" s="49"/>
      <c r="M2926" s="53"/>
    </row>
    <row r="2927" spans="1:13" x14ac:dyDescent="0.25">
      <c r="A2927" s="21" t="str">
        <f>IF(C2927="","",COUNTA($C$3:C2927))</f>
        <v/>
      </c>
      <c r="B2927" s="35" t="str">
        <f t="shared" si="61"/>
        <v/>
      </c>
      <c r="C2927" s="33"/>
      <c r="E2927" s="60"/>
      <c r="F2927" s="18"/>
      <c r="G2927" s="18"/>
      <c r="H2927" s="49"/>
      <c r="I2927" s="49"/>
      <c r="M2927" s="53"/>
    </row>
    <row r="2928" spans="1:13" x14ac:dyDescent="0.25">
      <c r="A2928" s="21" t="str">
        <f>IF(C2928="","",COUNTA($C$3:C2928))</f>
        <v/>
      </c>
      <c r="B2928" s="35" t="str">
        <f t="shared" si="61"/>
        <v/>
      </c>
      <c r="C2928" s="33"/>
      <c r="E2928" s="60"/>
      <c r="F2928" s="18"/>
      <c r="G2928" s="18"/>
      <c r="H2928" s="49"/>
      <c r="I2928" s="49"/>
      <c r="M2928" s="53"/>
    </row>
    <row r="2929" spans="1:13" x14ac:dyDescent="0.25">
      <c r="A2929" s="21" t="str">
        <f>IF(C2929="","",COUNTA($C$3:C2929))</f>
        <v/>
      </c>
      <c r="B2929" s="35" t="str">
        <f t="shared" si="61"/>
        <v/>
      </c>
      <c r="C2929" s="33"/>
      <c r="E2929" s="60"/>
      <c r="F2929" s="18"/>
      <c r="G2929" s="18"/>
      <c r="H2929" s="49"/>
      <c r="I2929" s="49"/>
      <c r="M2929" s="53"/>
    </row>
    <row r="2930" spans="1:13" x14ac:dyDescent="0.25">
      <c r="A2930" s="21" t="str">
        <f>IF(C2930="","",COUNTA($C$3:C2930))</f>
        <v/>
      </c>
      <c r="B2930" s="35" t="str">
        <f t="shared" si="61"/>
        <v/>
      </c>
      <c r="C2930" s="33"/>
      <c r="E2930" s="60"/>
      <c r="F2930" s="18"/>
      <c r="G2930" s="18"/>
      <c r="H2930" s="49"/>
      <c r="I2930" s="49"/>
      <c r="M2930" s="53"/>
    </row>
    <row r="2931" spans="1:13" x14ac:dyDescent="0.25">
      <c r="A2931" s="21" t="str">
        <f>IF(C2931="","",COUNTA($C$3:C2931))</f>
        <v/>
      </c>
      <c r="B2931" s="35" t="str">
        <f t="shared" si="61"/>
        <v/>
      </c>
      <c r="C2931" s="33"/>
      <c r="E2931" s="60"/>
      <c r="F2931" s="18"/>
      <c r="G2931" s="18"/>
      <c r="H2931" s="49"/>
      <c r="I2931" s="49"/>
      <c r="M2931" s="53"/>
    </row>
    <row r="2932" spans="1:13" x14ac:dyDescent="0.25">
      <c r="A2932" s="21" t="str">
        <f>IF(C2932="","",COUNTA($C$3:C2932))</f>
        <v/>
      </c>
      <c r="B2932" s="35" t="str">
        <f t="shared" si="61"/>
        <v/>
      </c>
      <c r="C2932" s="33"/>
      <c r="E2932" s="60"/>
      <c r="F2932" s="18"/>
      <c r="G2932" s="18"/>
      <c r="H2932" s="49"/>
      <c r="I2932" s="49"/>
      <c r="L2932" s="62"/>
      <c r="M2932" s="53"/>
    </row>
    <row r="2933" spans="1:13" x14ac:dyDescent="0.25">
      <c r="A2933" s="21" t="str">
        <f>IF(C2933="","",COUNTA($C$3:C2933))</f>
        <v/>
      </c>
      <c r="B2933" s="35" t="str">
        <f t="shared" si="61"/>
        <v/>
      </c>
      <c r="C2933" s="33"/>
      <c r="E2933" s="60"/>
      <c r="F2933" s="18"/>
      <c r="G2933" s="18"/>
      <c r="H2933" s="49"/>
      <c r="I2933" s="49"/>
      <c r="M2933" s="53"/>
    </row>
    <row r="2934" spans="1:13" x14ac:dyDescent="0.25">
      <c r="A2934" s="21" t="str">
        <f>IF(C2934="","",COUNTA($C$3:C2934))</f>
        <v/>
      </c>
      <c r="B2934" s="35" t="str">
        <f t="shared" si="61"/>
        <v/>
      </c>
      <c r="C2934" s="33"/>
      <c r="E2934" s="60"/>
      <c r="F2934" s="18"/>
      <c r="G2934" s="18"/>
      <c r="H2934" s="49"/>
      <c r="I2934" s="49"/>
      <c r="M2934" s="53"/>
    </row>
    <row r="2935" spans="1:13" x14ac:dyDescent="0.25">
      <c r="A2935" s="21" t="str">
        <f>IF(C2935="","",COUNTA($C$3:C2935))</f>
        <v/>
      </c>
      <c r="B2935" s="35" t="str">
        <f t="shared" si="61"/>
        <v/>
      </c>
      <c r="C2935" s="33"/>
      <c r="E2935" s="60"/>
      <c r="F2935" s="18"/>
      <c r="G2935" s="18"/>
      <c r="H2935" s="49"/>
      <c r="I2935" s="49"/>
      <c r="M2935" s="53"/>
    </row>
    <row r="2936" spans="1:13" x14ac:dyDescent="0.25">
      <c r="A2936" s="21" t="str">
        <f>IF(C2936="","",COUNTA($C$3:C2936))</f>
        <v/>
      </c>
      <c r="B2936" s="35" t="str">
        <f t="shared" si="61"/>
        <v/>
      </c>
      <c r="C2936" s="33"/>
      <c r="E2936" s="60"/>
      <c r="F2936" s="18"/>
      <c r="G2936" s="18"/>
      <c r="H2936" s="49"/>
      <c r="I2936" s="49"/>
      <c r="M2936" s="53"/>
    </row>
    <row r="2937" spans="1:13" x14ac:dyDescent="0.25">
      <c r="A2937" s="21" t="str">
        <f>IF(C2937="","",COUNTA($C$3:C2937))</f>
        <v/>
      </c>
      <c r="B2937" s="35" t="str">
        <f t="shared" si="61"/>
        <v/>
      </c>
      <c r="C2937" s="33"/>
      <c r="E2937" s="60"/>
      <c r="F2937" s="18"/>
      <c r="G2937" s="18"/>
      <c r="H2937" s="49"/>
      <c r="I2937" s="49"/>
      <c r="M2937" s="53"/>
    </row>
    <row r="2938" spans="1:13" x14ac:dyDescent="0.25">
      <c r="A2938" s="21" t="str">
        <f>IF(C2938="","",COUNTA($C$3:C2938))</f>
        <v/>
      </c>
      <c r="B2938" s="35" t="str">
        <f t="shared" si="61"/>
        <v/>
      </c>
      <c r="C2938" s="33"/>
      <c r="E2938" s="60"/>
      <c r="F2938" s="18"/>
      <c r="G2938" s="18"/>
      <c r="H2938" s="49"/>
      <c r="I2938" s="49"/>
      <c r="M2938" s="53"/>
    </row>
    <row r="2939" spans="1:13" x14ac:dyDescent="0.25">
      <c r="A2939" s="21" t="str">
        <f>IF(C2939="","",COUNTA($C$3:C2939))</f>
        <v/>
      </c>
      <c r="B2939" s="35" t="str">
        <f t="shared" si="61"/>
        <v/>
      </c>
      <c r="C2939" s="33"/>
      <c r="E2939" s="60"/>
      <c r="F2939" s="18"/>
      <c r="G2939" s="18"/>
      <c r="H2939" s="49"/>
      <c r="I2939" s="76"/>
      <c r="M2939" s="53"/>
    </row>
    <row r="2940" spans="1:13" x14ac:dyDescent="0.25">
      <c r="A2940" s="21" t="str">
        <f>IF(C2940="","",COUNTA($C$3:C2940))</f>
        <v/>
      </c>
      <c r="B2940" s="35" t="str">
        <f t="shared" si="61"/>
        <v/>
      </c>
      <c r="C2940" s="33"/>
      <c r="E2940" s="60"/>
      <c r="F2940" s="18"/>
      <c r="G2940" s="18"/>
      <c r="H2940" s="49"/>
      <c r="I2940" s="49"/>
      <c r="M2940" s="53"/>
    </row>
    <row r="2941" spans="1:13" x14ac:dyDescent="0.25">
      <c r="A2941" s="21" t="str">
        <f>IF(C2941="","",COUNTA($C$3:C2941))</f>
        <v/>
      </c>
      <c r="B2941" s="35" t="str">
        <f t="shared" si="61"/>
        <v/>
      </c>
      <c r="C2941" s="33"/>
      <c r="E2941" s="60"/>
      <c r="F2941" s="18"/>
      <c r="G2941" s="18"/>
      <c r="H2941" s="49"/>
      <c r="I2941" s="49"/>
      <c r="M2941" s="53"/>
    </row>
    <row r="2942" spans="1:13" x14ac:dyDescent="0.25">
      <c r="A2942" s="21" t="str">
        <f>IF(C2942="","",COUNTA($C$3:C2942))</f>
        <v/>
      </c>
      <c r="B2942" s="35" t="str">
        <f t="shared" si="61"/>
        <v/>
      </c>
      <c r="C2942" s="33"/>
      <c r="E2942" s="60"/>
      <c r="F2942" s="18"/>
      <c r="G2942" s="18"/>
      <c r="H2942" s="49"/>
      <c r="I2942" s="49"/>
      <c r="M2942" s="53"/>
    </row>
    <row r="2943" spans="1:13" x14ac:dyDescent="0.25">
      <c r="A2943" s="21" t="str">
        <f>IF(C2943="","",COUNTA($C$3:C2943))</f>
        <v/>
      </c>
      <c r="B2943" s="35" t="str">
        <f t="shared" si="61"/>
        <v/>
      </c>
      <c r="C2943" s="33"/>
      <c r="E2943" s="60"/>
      <c r="F2943" s="18"/>
      <c r="G2943" s="18"/>
      <c r="H2943" s="49"/>
      <c r="I2943" s="49"/>
      <c r="M2943" s="53"/>
    </row>
    <row r="2944" spans="1:13" x14ac:dyDescent="0.25">
      <c r="A2944" s="21" t="str">
        <f>IF(C2944="","",COUNTA($C$3:C2944))</f>
        <v/>
      </c>
      <c r="B2944" s="35" t="str">
        <f t="shared" si="61"/>
        <v/>
      </c>
      <c r="C2944" s="33"/>
      <c r="E2944" s="60"/>
      <c r="F2944" s="18"/>
      <c r="G2944" s="18"/>
      <c r="H2944" s="49"/>
      <c r="I2944" s="49"/>
      <c r="M2944" s="53"/>
    </row>
    <row r="2945" spans="1:13" x14ac:dyDescent="0.25">
      <c r="A2945" s="21" t="str">
        <f>IF(C2945="","",COUNTA($C$3:C2945))</f>
        <v/>
      </c>
      <c r="B2945" s="35" t="str">
        <f t="shared" si="61"/>
        <v/>
      </c>
      <c r="C2945" s="33"/>
      <c r="E2945" s="60"/>
      <c r="F2945" s="18"/>
      <c r="G2945" s="18"/>
      <c r="H2945" s="49"/>
      <c r="I2945" s="49"/>
      <c r="M2945" s="53"/>
    </row>
    <row r="2946" spans="1:13" x14ac:dyDescent="0.25">
      <c r="A2946" s="21" t="str">
        <f>IF(C2946="","",COUNTA($C$3:C2946))</f>
        <v/>
      </c>
      <c r="B2946" s="35" t="str">
        <f t="shared" si="61"/>
        <v/>
      </c>
      <c r="C2946" s="33"/>
      <c r="E2946" s="60"/>
      <c r="F2946" s="18"/>
      <c r="G2946" s="18"/>
      <c r="H2946" s="49"/>
      <c r="I2946" s="49"/>
      <c r="M2946" s="53"/>
    </row>
    <row r="2947" spans="1:13" x14ac:dyDescent="0.25">
      <c r="A2947" s="21" t="str">
        <f>IF(C2947="","",COUNTA($C$3:C2947))</f>
        <v/>
      </c>
      <c r="B2947" s="35" t="str">
        <f t="shared" si="61"/>
        <v/>
      </c>
      <c r="C2947" s="33"/>
      <c r="E2947" s="60"/>
      <c r="F2947" s="18"/>
      <c r="G2947" s="18"/>
      <c r="H2947" s="49"/>
      <c r="I2947" s="49"/>
      <c r="M2947" s="53"/>
    </row>
    <row r="2948" spans="1:13" x14ac:dyDescent="0.25">
      <c r="A2948" s="21" t="str">
        <f>IF(C2948="","",COUNTA($C$3:C2948))</f>
        <v/>
      </c>
      <c r="B2948" s="35" t="str">
        <f t="shared" si="61"/>
        <v/>
      </c>
      <c r="C2948" s="33"/>
      <c r="E2948" s="60"/>
      <c r="F2948" s="18"/>
      <c r="G2948" s="18"/>
      <c r="H2948" s="49"/>
      <c r="I2948" s="49"/>
      <c r="M2948" s="53"/>
    </row>
    <row r="2949" spans="1:13" x14ac:dyDescent="0.25">
      <c r="A2949" s="21" t="str">
        <f>IF(C2949="","",COUNTA($C$3:C2949))</f>
        <v/>
      </c>
      <c r="B2949" s="35" t="str">
        <f t="shared" ref="B2949:B3012" si="62">IF(C2949="","",TEXT(C2949,"mmmm"))</f>
        <v/>
      </c>
      <c r="C2949" s="33"/>
      <c r="E2949" s="60"/>
      <c r="F2949" s="18"/>
      <c r="G2949" s="18"/>
      <c r="H2949" s="49"/>
      <c r="I2949" s="49"/>
      <c r="M2949" s="53"/>
    </row>
    <row r="2950" spans="1:13" x14ac:dyDescent="0.25">
      <c r="A2950" s="21" t="str">
        <f>IF(C2950="","",COUNTA($C$3:C2950))</f>
        <v/>
      </c>
      <c r="B2950" s="35" t="str">
        <f t="shared" si="62"/>
        <v/>
      </c>
      <c r="C2950" s="33"/>
      <c r="E2950" s="60"/>
      <c r="F2950" s="18"/>
      <c r="G2950" s="18"/>
      <c r="H2950" s="49"/>
      <c r="I2950" s="49"/>
      <c r="L2950" s="78"/>
      <c r="M2950" s="53"/>
    </row>
    <row r="2951" spans="1:13" x14ac:dyDescent="0.25">
      <c r="A2951" s="21" t="str">
        <f>IF(C2951="","",COUNTA($C$3:C2951))</f>
        <v/>
      </c>
      <c r="B2951" s="35" t="str">
        <f t="shared" si="62"/>
        <v/>
      </c>
      <c r="C2951" s="33"/>
      <c r="E2951" s="60"/>
      <c r="F2951" s="18"/>
      <c r="G2951" s="18"/>
      <c r="H2951" s="49"/>
      <c r="I2951" s="49"/>
      <c r="L2951" s="78"/>
      <c r="M2951" s="53"/>
    </row>
    <row r="2952" spans="1:13" x14ac:dyDescent="0.25">
      <c r="A2952" s="21" t="str">
        <f>IF(C2952="","",COUNTA($C$3:C2952))</f>
        <v/>
      </c>
      <c r="B2952" s="35" t="str">
        <f t="shared" si="62"/>
        <v/>
      </c>
      <c r="C2952" s="33"/>
      <c r="E2952" s="60"/>
      <c r="F2952" s="18"/>
      <c r="G2952" s="18"/>
      <c r="H2952" s="49"/>
      <c r="I2952" s="49"/>
      <c r="M2952" s="53"/>
    </row>
    <row r="2953" spans="1:13" x14ac:dyDescent="0.25">
      <c r="A2953" s="21" t="str">
        <f>IF(C2953="","",COUNTA($C$3:C2953))</f>
        <v/>
      </c>
      <c r="B2953" s="35" t="str">
        <f t="shared" si="62"/>
        <v/>
      </c>
      <c r="C2953" s="33"/>
      <c r="E2953" s="60"/>
      <c r="F2953" s="18"/>
      <c r="G2953" s="18"/>
      <c r="H2953" s="49"/>
      <c r="I2953" s="49"/>
      <c r="M2953" s="53"/>
    </row>
    <row r="2954" spans="1:13" x14ac:dyDescent="0.25">
      <c r="A2954" s="21" t="str">
        <f>IF(C2954="","",COUNTA($C$3:C2954))</f>
        <v/>
      </c>
      <c r="B2954" s="35" t="str">
        <f t="shared" si="62"/>
        <v/>
      </c>
      <c r="C2954" s="33"/>
      <c r="E2954" s="60"/>
      <c r="F2954" s="18"/>
      <c r="G2954" s="18"/>
      <c r="H2954" s="49"/>
      <c r="I2954" s="49"/>
      <c r="M2954" s="53"/>
    </row>
    <row r="2955" spans="1:13" x14ac:dyDescent="0.25">
      <c r="A2955" s="21" t="str">
        <f>IF(C2955="","",COUNTA($C$3:C2955))</f>
        <v/>
      </c>
      <c r="B2955" s="35" t="str">
        <f t="shared" si="62"/>
        <v/>
      </c>
      <c r="C2955" s="33"/>
      <c r="E2955" s="60"/>
      <c r="F2955" s="18"/>
      <c r="G2955" s="18"/>
      <c r="H2955" s="49"/>
      <c r="I2955" s="49"/>
      <c r="M2955" s="53"/>
    </row>
    <row r="2956" spans="1:13" x14ac:dyDescent="0.25">
      <c r="A2956" s="21" t="str">
        <f>IF(C2956="","",COUNTA($C$3:C2956))</f>
        <v/>
      </c>
      <c r="B2956" s="35" t="str">
        <f t="shared" si="62"/>
        <v/>
      </c>
      <c r="C2956" s="33"/>
      <c r="E2956" s="60"/>
      <c r="F2956" s="18"/>
      <c r="G2956" s="18"/>
      <c r="H2956" s="49"/>
      <c r="I2956" s="49"/>
      <c r="M2956" s="53"/>
    </row>
    <row r="2957" spans="1:13" x14ac:dyDescent="0.25">
      <c r="A2957" s="21" t="str">
        <f>IF(C2957="","",COUNTA($C$3:C2957))</f>
        <v/>
      </c>
      <c r="B2957" s="35" t="str">
        <f t="shared" si="62"/>
        <v/>
      </c>
      <c r="C2957" s="33"/>
      <c r="E2957" s="60"/>
      <c r="F2957" s="18"/>
      <c r="G2957" s="18"/>
      <c r="H2957" s="49"/>
      <c r="I2957" s="49"/>
      <c r="M2957" s="53"/>
    </row>
    <row r="2958" spans="1:13" x14ac:dyDescent="0.25">
      <c r="A2958" s="21" t="str">
        <f>IF(C2958="","",COUNTA($C$3:C2958))</f>
        <v/>
      </c>
      <c r="B2958" s="35" t="str">
        <f t="shared" si="62"/>
        <v/>
      </c>
      <c r="C2958" s="33"/>
      <c r="E2958" s="60"/>
      <c r="F2958" s="18"/>
      <c r="G2958" s="18"/>
      <c r="H2958" s="49"/>
      <c r="I2958" s="49"/>
      <c r="M2958" s="53"/>
    </row>
    <row r="2959" spans="1:13" x14ac:dyDescent="0.25">
      <c r="A2959" s="21" t="str">
        <f>IF(C2959="","",COUNTA($C$3:C2959))</f>
        <v/>
      </c>
      <c r="B2959" s="35" t="str">
        <f t="shared" si="62"/>
        <v/>
      </c>
      <c r="C2959" s="33"/>
      <c r="E2959" s="60"/>
      <c r="F2959" s="18"/>
      <c r="G2959" s="18"/>
      <c r="H2959" s="49"/>
      <c r="I2959" s="49"/>
      <c r="M2959" s="53"/>
    </row>
    <row r="2960" spans="1:13" x14ac:dyDescent="0.25">
      <c r="A2960" s="21" t="str">
        <f>IF(C2960="","",COUNTA($C$3:C2960))</f>
        <v/>
      </c>
      <c r="B2960" s="35" t="str">
        <f t="shared" si="62"/>
        <v/>
      </c>
      <c r="C2960" s="33"/>
      <c r="E2960" s="60"/>
      <c r="F2960" s="18"/>
      <c r="G2960" s="18"/>
      <c r="H2960" s="49"/>
      <c r="I2960" s="49"/>
      <c r="M2960" s="53"/>
    </row>
    <row r="2961" spans="1:13" x14ac:dyDescent="0.25">
      <c r="A2961" s="21" t="str">
        <f>IF(C2961="","",COUNTA($C$3:C2961))</f>
        <v/>
      </c>
      <c r="B2961" s="35" t="str">
        <f t="shared" si="62"/>
        <v/>
      </c>
      <c r="C2961" s="33"/>
      <c r="E2961" s="60"/>
      <c r="F2961" s="18"/>
      <c r="G2961" s="18"/>
      <c r="H2961" s="49"/>
      <c r="I2961" s="49"/>
      <c r="M2961" s="53"/>
    </row>
    <row r="2962" spans="1:13" x14ac:dyDescent="0.25">
      <c r="A2962" s="21" t="str">
        <f>IF(C2962="","",COUNTA($C$3:C2962))</f>
        <v/>
      </c>
      <c r="B2962" s="35" t="str">
        <f t="shared" si="62"/>
        <v/>
      </c>
      <c r="C2962" s="33"/>
      <c r="E2962" s="60"/>
      <c r="F2962" s="18"/>
      <c r="G2962" s="18"/>
      <c r="H2962" s="49"/>
      <c r="I2962" s="49"/>
      <c r="M2962" s="53"/>
    </row>
    <row r="2963" spans="1:13" x14ac:dyDescent="0.25">
      <c r="A2963" s="21" t="str">
        <f>IF(C2963="","",COUNTA($C$3:C2963))</f>
        <v/>
      </c>
      <c r="B2963" s="35" t="str">
        <f t="shared" si="62"/>
        <v/>
      </c>
      <c r="C2963" s="33"/>
      <c r="E2963" s="60"/>
      <c r="F2963" s="18"/>
      <c r="G2963" s="18"/>
      <c r="H2963" s="49"/>
      <c r="I2963" s="49"/>
      <c r="M2963" s="53"/>
    </row>
    <row r="2964" spans="1:13" x14ac:dyDescent="0.25">
      <c r="A2964" s="21" t="str">
        <f>IF(C2964="","",COUNTA($C$3:C2964))</f>
        <v/>
      </c>
      <c r="B2964" s="35" t="str">
        <f t="shared" si="62"/>
        <v/>
      </c>
      <c r="C2964" s="33"/>
      <c r="E2964" s="60"/>
      <c r="F2964" s="18"/>
      <c r="G2964" s="18"/>
      <c r="H2964" s="49"/>
      <c r="I2964" s="49"/>
      <c r="M2964" s="53"/>
    </row>
    <row r="2965" spans="1:13" x14ac:dyDescent="0.25">
      <c r="A2965" s="21" t="str">
        <f>IF(C2965="","",COUNTA($C$3:C2965))</f>
        <v/>
      </c>
      <c r="B2965" s="35" t="str">
        <f t="shared" si="62"/>
        <v/>
      </c>
      <c r="C2965" s="33"/>
      <c r="E2965" s="60"/>
      <c r="F2965" s="18"/>
      <c r="G2965" s="18"/>
      <c r="H2965" s="49"/>
      <c r="I2965" s="49"/>
      <c r="M2965" s="53"/>
    </row>
    <row r="2966" spans="1:13" x14ac:dyDescent="0.25">
      <c r="A2966" s="21" t="str">
        <f>IF(C2966="","",COUNTA($C$3:C2966))</f>
        <v/>
      </c>
      <c r="B2966" s="35" t="str">
        <f t="shared" si="62"/>
        <v/>
      </c>
      <c r="C2966" s="33"/>
      <c r="E2966" s="60"/>
      <c r="F2966" s="18"/>
      <c r="G2966" s="18"/>
      <c r="H2966" s="49"/>
      <c r="I2966" s="49"/>
      <c r="M2966" s="53"/>
    </row>
    <row r="2967" spans="1:13" x14ac:dyDescent="0.25">
      <c r="A2967" s="21" t="str">
        <f>IF(C2967="","",COUNTA($C$3:C2967))</f>
        <v/>
      </c>
      <c r="B2967" s="35" t="str">
        <f t="shared" si="62"/>
        <v/>
      </c>
      <c r="C2967" s="33"/>
      <c r="E2967" s="60"/>
      <c r="F2967" s="18"/>
      <c r="G2967" s="18"/>
      <c r="H2967" s="49"/>
      <c r="I2967" s="49"/>
      <c r="M2967" s="53"/>
    </row>
    <row r="2968" spans="1:13" x14ac:dyDescent="0.25">
      <c r="A2968" s="21" t="str">
        <f>IF(C2968="","",COUNTA($C$3:C2968))</f>
        <v/>
      </c>
      <c r="B2968" s="35" t="str">
        <f t="shared" si="62"/>
        <v/>
      </c>
      <c r="C2968" s="33"/>
      <c r="E2968" s="60"/>
      <c r="F2968" s="18"/>
      <c r="G2968" s="18"/>
      <c r="H2968" s="49"/>
      <c r="I2968" s="49"/>
      <c r="M2968" s="53"/>
    </row>
    <row r="2969" spans="1:13" x14ac:dyDescent="0.25">
      <c r="A2969" s="21" t="str">
        <f>IF(C2969="","",COUNTA($C$3:C2969))</f>
        <v/>
      </c>
      <c r="B2969" s="35" t="str">
        <f t="shared" si="62"/>
        <v/>
      </c>
      <c r="C2969" s="33"/>
      <c r="E2969" s="60"/>
      <c r="F2969" s="18"/>
      <c r="G2969" s="18"/>
      <c r="H2969" s="49"/>
      <c r="I2969" s="49"/>
      <c r="M2969" s="53"/>
    </row>
    <row r="2970" spans="1:13" x14ac:dyDescent="0.25">
      <c r="A2970" s="21" t="str">
        <f>IF(C2970="","",COUNTA($C$3:C2970))</f>
        <v/>
      </c>
      <c r="B2970" s="35" t="str">
        <f t="shared" si="62"/>
        <v/>
      </c>
      <c r="C2970" s="33"/>
      <c r="E2970" s="60"/>
      <c r="F2970" s="18"/>
      <c r="G2970" s="18"/>
      <c r="H2970" s="49"/>
      <c r="I2970" s="49"/>
      <c r="M2970" s="53"/>
    </row>
    <row r="2971" spans="1:13" x14ac:dyDescent="0.25">
      <c r="A2971" s="21" t="str">
        <f>IF(C2971="","",COUNTA($C$3:C2971))</f>
        <v/>
      </c>
      <c r="B2971" s="35" t="str">
        <f t="shared" si="62"/>
        <v/>
      </c>
      <c r="C2971" s="33"/>
      <c r="E2971" s="60"/>
      <c r="F2971" s="18"/>
      <c r="G2971" s="18"/>
      <c r="H2971" s="49"/>
      <c r="I2971" s="49"/>
      <c r="M2971" s="53"/>
    </row>
    <row r="2972" spans="1:13" x14ac:dyDescent="0.25">
      <c r="A2972" s="21" t="str">
        <f>IF(C2972="","",COUNTA($C$3:C2972))</f>
        <v/>
      </c>
      <c r="B2972" s="35" t="str">
        <f t="shared" si="62"/>
        <v/>
      </c>
      <c r="C2972" s="33"/>
      <c r="E2972" s="60"/>
      <c r="F2972" s="18"/>
      <c r="G2972" s="18"/>
      <c r="H2972" s="49"/>
      <c r="I2972" s="49"/>
      <c r="M2972" s="53"/>
    </row>
    <row r="2973" spans="1:13" x14ac:dyDescent="0.25">
      <c r="A2973" s="21" t="str">
        <f>IF(C2973="","",COUNTA($C$3:C2973))</f>
        <v/>
      </c>
      <c r="B2973" s="35" t="str">
        <f t="shared" si="62"/>
        <v/>
      </c>
      <c r="C2973" s="33"/>
      <c r="E2973" s="60"/>
      <c r="F2973" s="18"/>
      <c r="G2973" s="18"/>
      <c r="H2973" s="49"/>
      <c r="I2973" s="49"/>
      <c r="M2973" s="53"/>
    </row>
    <row r="2974" spans="1:13" x14ac:dyDescent="0.25">
      <c r="A2974" s="21" t="str">
        <f>IF(C2974="","",COUNTA($C$3:C2974))</f>
        <v/>
      </c>
      <c r="B2974" s="35" t="str">
        <f t="shared" si="62"/>
        <v/>
      </c>
      <c r="C2974" s="33"/>
      <c r="E2974" s="60"/>
      <c r="F2974" s="18"/>
      <c r="G2974" s="18"/>
      <c r="H2974" s="49"/>
      <c r="I2974" s="49"/>
      <c r="M2974" s="53"/>
    </row>
    <row r="2975" spans="1:13" x14ac:dyDescent="0.25">
      <c r="A2975" s="21" t="str">
        <f>IF(C2975="","",COUNTA($C$3:C2975))</f>
        <v/>
      </c>
      <c r="B2975" s="35" t="str">
        <f t="shared" si="62"/>
        <v/>
      </c>
      <c r="C2975" s="33"/>
      <c r="E2975" s="60"/>
      <c r="F2975" s="18"/>
      <c r="G2975" s="18"/>
      <c r="H2975" s="49"/>
      <c r="I2975" s="49"/>
      <c r="M2975" s="53"/>
    </row>
    <row r="2976" spans="1:13" x14ac:dyDescent="0.25">
      <c r="A2976" s="21" t="str">
        <f>IF(C2976="","",COUNTA($C$3:C2976))</f>
        <v/>
      </c>
      <c r="B2976" s="35" t="str">
        <f t="shared" si="62"/>
        <v/>
      </c>
      <c r="C2976" s="33"/>
      <c r="E2976" s="60"/>
      <c r="F2976" s="18"/>
      <c r="G2976" s="18"/>
      <c r="H2976" s="49"/>
      <c r="I2976" s="49"/>
      <c r="M2976" s="53"/>
    </row>
    <row r="2977" spans="1:16" x14ac:dyDescent="0.25">
      <c r="A2977" s="21" t="str">
        <f>IF(C2977="","",COUNTA($C$3:C2977))</f>
        <v/>
      </c>
      <c r="B2977" s="35" t="str">
        <f t="shared" si="62"/>
        <v/>
      </c>
      <c r="C2977" s="33"/>
      <c r="E2977" s="60"/>
      <c r="F2977" s="18"/>
      <c r="G2977" s="18"/>
      <c r="H2977" s="49"/>
      <c r="I2977" s="49"/>
      <c r="M2977" s="53"/>
    </row>
    <row r="2978" spans="1:16" x14ac:dyDescent="0.25">
      <c r="A2978" s="21" t="str">
        <f>IF(C2978="","",COUNTA($C$3:C2978))</f>
        <v/>
      </c>
      <c r="B2978" s="35" t="str">
        <f t="shared" si="62"/>
        <v/>
      </c>
      <c r="C2978" s="33"/>
      <c r="E2978" s="60"/>
      <c r="F2978" s="18"/>
      <c r="G2978" s="18"/>
      <c r="H2978" s="49"/>
      <c r="I2978" s="49"/>
      <c r="M2978" s="53"/>
    </row>
    <row r="2979" spans="1:16" x14ac:dyDescent="0.25">
      <c r="A2979" s="21" t="str">
        <f>IF(C2979="","",COUNTA($C$3:C2979))</f>
        <v/>
      </c>
      <c r="B2979" s="35" t="str">
        <f t="shared" si="62"/>
        <v/>
      </c>
      <c r="C2979" s="33"/>
      <c r="E2979" s="60"/>
      <c r="F2979" s="18"/>
      <c r="G2979" s="18"/>
      <c r="H2979" s="49"/>
      <c r="I2979" s="49"/>
      <c r="M2979" s="53"/>
    </row>
    <row r="2980" spans="1:16" x14ac:dyDescent="0.25">
      <c r="A2980" s="21" t="str">
        <f>IF(C2980="","",COUNTA($C$3:C2980))</f>
        <v/>
      </c>
      <c r="B2980" s="35" t="str">
        <f t="shared" si="62"/>
        <v/>
      </c>
      <c r="C2980" s="33"/>
      <c r="E2980" s="60"/>
      <c r="F2980" s="18"/>
      <c r="G2980" s="18"/>
      <c r="H2980" s="49"/>
      <c r="I2980" s="49"/>
      <c r="M2980" s="53"/>
    </row>
    <row r="2981" spans="1:16" x14ac:dyDescent="0.25">
      <c r="A2981" s="21" t="str">
        <f>IF(C2981="","",COUNTA($C$3:C2981))</f>
        <v/>
      </c>
      <c r="B2981" s="35" t="str">
        <f t="shared" si="62"/>
        <v/>
      </c>
      <c r="C2981" s="33"/>
      <c r="E2981" s="60"/>
      <c r="F2981" s="18"/>
      <c r="G2981" s="18"/>
      <c r="H2981" s="49"/>
      <c r="I2981" s="49"/>
      <c r="M2981" s="53"/>
      <c r="O2981" s="59"/>
      <c r="P2981" s="59"/>
    </row>
    <row r="2982" spans="1:16" x14ac:dyDescent="0.25">
      <c r="A2982" s="21" t="str">
        <f>IF(C2982="","",COUNTA($C$3:C2982))</f>
        <v/>
      </c>
      <c r="B2982" s="35" t="str">
        <f t="shared" si="62"/>
        <v/>
      </c>
      <c r="C2982" s="33"/>
      <c r="E2982" s="60"/>
      <c r="F2982" s="18"/>
      <c r="G2982" s="18"/>
      <c r="H2982" s="49"/>
      <c r="I2982" s="49"/>
      <c r="M2982" s="53"/>
      <c r="O2982" s="59"/>
    </row>
    <row r="2983" spans="1:16" x14ac:dyDescent="0.25">
      <c r="A2983" s="21" t="str">
        <f>IF(C2983="","",COUNTA($C$3:C2983))</f>
        <v/>
      </c>
      <c r="B2983" s="35" t="str">
        <f t="shared" si="62"/>
        <v/>
      </c>
      <c r="C2983" s="33"/>
      <c r="E2983" s="60"/>
      <c r="F2983" s="18"/>
      <c r="G2983" s="18"/>
      <c r="H2983" s="49"/>
      <c r="I2983" s="49"/>
      <c r="M2983" s="53"/>
    </row>
    <row r="2984" spans="1:16" x14ac:dyDescent="0.25">
      <c r="A2984" s="21" t="str">
        <f>IF(C2984="","",COUNTA($C$3:C2984))</f>
        <v/>
      </c>
      <c r="B2984" s="35" t="str">
        <f t="shared" si="62"/>
        <v/>
      </c>
      <c r="C2984" s="33"/>
      <c r="E2984" s="60"/>
      <c r="F2984" s="18"/>
      <c r="G2984" s="18"/>
      <c r="H2984" s="49"/>
      <c r="I2984" s="49"/>
      <c r="M2984" s="53"/>
    </row>
    <row r="2985" spans="1:16" x14ac:dyDescent="0.25">
      <c r="A2985" s="21" t="str">
        <f>IF(C2985="","",COUNTA($C$3:C2985))</f>
        <v/>
      </c>
      <c r="B2985" s="35" t="str">
        <f t="shared" si="62"/>
        <v/>
      </c>
      <c r="C2985" s="33"/>
      <c r="E2985" s="60"/>
      <c r="F2985" s="18"/>
      <c r="G2985" s="18"/>
      <c r="H2985" s="49"/>
      <c r="I2985" s="49"/>
      <c r="M2985" s="53"/>
    </row>
    <row r="2986" spans="1:16" x14ac:dyDescent="0.25">
      <c r="A2986" s="21" t="str">
        <f>IF(C2986="","",COUNTA($C$3:C2986))</f>
        <v/>
      </c>
      <c r="B2986" s="35" t="str">
        <f t="shared" si="62"/>
        <v/>
      </c>
      <c r="C2986" s="33"/>
      <c r="E2986" s="60"/>
      <c r="F2986" s="18"/>
      <c r="G2986" s="18"/>
      <c r="H2986" s="49"/>
      <c r="I2986" s="49"/>
      <c r="M2986" s="53"/>
    </row>
    <row r="2987" spans="1:16" x14ac:dyDescent="0.25">
      <c r="A2987" s="21" t="str">
        <f>IF(C2987="","",COUNTA($C$3:C2987))</f>
        <v/>
      </c>
      <c r="B2987" s="35" t="str">
        <f t="shared" si="62"/>
        <v/>
      </c>
      <c r="C2987" s="33"/>
      <c r="E2987" s="60"/>
      <c r="F2987" s="18"/>
      <c r="G2987" s="18"/>
      <c r="H2987" s="49"/>
      <c r="I2987" s="49"/>
      <c r="M2987" s="53"/>
    </row>
    <row r="2988" spans="1:16" x14ac:dyDescent="0.25">
      <c r="A2988" s="21" t="str">
        <f>IF(C2988="","",COUNTA($C$3:C2988))</f>
        <v/>
      </c>
      <c r="B2988" s="35" t="str">
        <f t="shared" si="62"/>
        <v/>
      </c>
      <c r="C2988" s="33"/>
      <c r="E2988" s="60"/>
      <c r="F2988" s="18"/>
      <c r="G2988" s="18"/>
      <c r="H2988" s="49"/>
      <c r="I2988" s="49"/>
      <c r="M2988" s="53"/>
    </row>
    <row r="2989" spans="1:16" x14ac:dyDescent="0.25">
      <c r="A2989" s="21" t="str">
        <f>IF(C2989="","",COUNTA($C$3:C2989))</f>
        <v/>
      </c>
      <c r="B2989" s="35" t="str">
        <f t="shared" si="62"/>
        <v/>
      </c>
      <c r="C2989" s="33"/>
      <c r="E2989" s="60"/>
      <c r="F2989" s="18"/>
      <c r="G2989" s="18"/>
      <c r="H2989" s="49"/>
      <c r="I2989" s="49"/>
      <c r="M2989" s="53"/>
    </row>
    <row r="2990" spans="1:16" x14ac:dyDescent="0.25">
      <c r="A2990" s="21" t="str">
        <f>IF(C2990="","",COUNTA($C$3:C2990))</f>
        <v/>
      </c>
      <c r="B2990" s="35" t="str">
        <f t="shared" si="62"/>
        <v/>
      </c>
      <c r="C2990" s="33"/>
      <c r="E2990" s="60"/>
      <c r="F2990" s="18"/>
      <c r="G2990" s="18"/>
      <c r="H2990" s="49"/>
      <c r="I2990" s="49"/>
      <c r="M2990" s="53"/>
    </row>
    <row r="2991" spans="1:16" x14ac:dyDescent="0.25">
      <c r="A2991" s="21" t="str">
        <f>IF(C2991="","",COUNTA($C$3:C2991))</f>
        <v/>
      </c>
      <c r="B2991" s="35" t="str">
        <f t="shared" si="62"/>
        <v/>
      </c>
      <c r="C2991" s="33"/>
      <c r="E2991" s="60"/>
      <c r="F2991" s="18"/>
      <c r="G2991" s="18"/>
      <c r="H2991" s="49"/>
      <c r="I2991" s="49"/>
      <c r="M2991" s="53"/>
      <c r="N2991" s="59"/>
      <c r="O2991" s="69"/>
    </row>
    <row r="2992" spans="1:16" x14ac:dyDescent="0.25">
      <c r="A2992" s="21" t="str">
        <f>IF(C2992="","",COUNTA($C$3:C2992))</f>
        <v/>
      </c>
      <c r="B2992" s="35" t="str">
        <f t="shared" si="62"/>
        <v/>
      </c>
      <c r="C2992" s="33"/>
      <c r="E2992" s="60"/>
      <c r="F2992" s="18"/>
      <c r="G2992" s="18"/>
      <c r="H2992" s="49"/>
      <c r="I2992" s="49"/>
      <c r="M2992" s="53"/>
    </row>
    <row r="2993" spans="1:15" x14ac:dyDescent="0.25">
      <c r="A2993" s="21" t="str">
        <f>IF(C2993="","",COUNTA($C$3:C2993))</f>
        <v/>
      </c>
      <c r="B2993" s="35" t="str">
        <f t="shared" si="62"/>
        <v/>
      </c>
      <c r="C2993" s="33"/>
      <c r="E2993" s="60"/>
      <c r="F2993" s="18"/>
      <c r="G2993" s="18"/>
      <c r="H2993" s="49"/>
      <c r="I2993" s="49"/>
      <c r="M2993" s="53"/>
    </row>
    <row r="2994" spans="1:15" x14ac:dyDescent="0.25">
      <c r="A2994" s="21" t="str">
        <f>IF(C2994="","",COUNTA($C$3:C2994))</f>
        <v/>
      </c>
      <c r="B2994" s="35" t="str">
        <f t="shared" si="62"/>
        <v/>
      </c>
      <c r="C2994" s="33"/>
      <c r="E2994" s="60"/>
      <c r="F2994" s="18"/>
      <c r="G2994" s="18"/>
      <c r="H2994" s="49"/>
      <c r="I2994" s="49"/>
      <c r="M2994" s="53"/>
    </row>
    <row r="2995" spans="1:15" x14ac:dyDescent="0.25">
      <c r="A2995" s="21" t="str">
        <f>IF(C2995="","",COUNTA($C$3:C2995))</f>
        <v/>
      </c>
      <c r="B2995" s="35" t="str">
        <f t="shared" si="62"/>
        <v/>
      </c>
      <c r="C2995" s="33"/>
      <c r="E2995" s="60"/>
      <c r="F2995" s="18"/>
      <c r="G2995" s="18"/>
      <c r="H2995" s="49"/>
      <c r="I2995" s="49"/>
      <c r="M2995" s="53"/>
    </row>
    <row r="2996" spans="1:15" x14ac:dyDescent="0.25">
      <c r="A2996" s="21" t="str">
        <f>IF(C2996="","",COUNTA($C$3:C2996))</f>
        <v/>
      </c>
      <c r="B2996" s="35" t="str">
        <f t="shared" si="62"/>
        <v/>
      </c>
      <c r="C2996" s="33"/>
      <c r="E2996" s="60"/>
      <c r="F2996" s="18"/>
      <c r="G2996" s="18"/>
      <c r="H2996" s="49"/>
      <c r="I2996" s="49"/>
      <c r="M2996" s="53"/>
    </row>
    <row r="2997" spans="1:15" x14ac:dyDescent="0.25">
      <c r="A2997" s="21" t="str">
        <f>IF(C2997="","",COUNTA($C$3:C2997))</f>
        <v/>
      </c>
      <c r="B2997" s="35" t="str">
        <f t="shared" si="62"/>
        <v/>
      </c>
      <c r="C2997" s="33"/>
      <c r="E2997" s="60"/>
      <c r="F2997" s="18"/>
      <c r="G2997" s="18"/>
      <c r="H2997" s="49"/>
      <c r="I2997" s="49"/>
      <c r="M2997" s="53"/>
    </row>
    <row r="2998" spans="1:15" x14ac:dyDescent="0.25">
      <c r="A2998" s="21" t="str">
        <f>IF(C2998="","",COUNTA($C$3:C2998))</f>
        <v/>
      </c>
      <c r="B2998" s="35" t="str">
        <f t="shared" si="62"/>
        <v/>
      </c>
      <c r="C2998" s="33"/>
      <c r="E2998" s="60"/>
      <c r="F2998" s="18"/>
      <c r="G2998" s="18"/>
      <c r="H2998" s="49"/>
      <c r="I2998" s="49"/>
      <c r="M2998" s="53"/>
    </row>
    <row r="2999" spans="1:15" x14ac:dyDescent="0.25">
      <c r="A2999" s="21" t="str">
        <f>IF(C2999="","",COUNTA($C$3:C2999))</f>
        <v/>
      </c>
      <c r="B2999" s="35" t="str">
        <f t="shared" si="62"/>
        <v/>
      </c>
      <c r="C2999" s="33"/>
      <c r="E2999" s="60"/>
      <c r="F2999" s="18"/>
      <c r="G2999" s="18"/>
      <c r="H2999" s="49"/>
      <c r="I2999" s="49"/>
      <c r="M2999" s="53"/>
    </row>
    <row r="3000" spans="1:15" x14ac:dyDescent="0.25">
      <c r="A3000" s="21" t="str">
        <f>IF(C3000="","",COUNTA($C$3:C3000))</f>
        <v/>
      </c>
      <c r="B3000" s="35" t="str">
        <f t="shared" si="62"/>
        <v/>
      </c>
      <c r="C3000" s="33"/>
      <c r="E3000" s="60"/>
      <c r="F3000" s="18"/>
      <c r="G3000" s="18"/>
      <c r="H3000" s="49"/>
      <c r="I3000" s="49"/>
      <c r="M3000" s="53"/>
    </row>
    <row r="3001" spans="1:15" x14ac:dyDescent="0.25">
      <c r="A3001" s="21" t="str">
        <f>IF(C3001="","",COUNTA($C$3:C3001))</f>
        <v/>
      </c>
      <c r="B3001" s="35" t="str">
        <f t="shared" si="62"/>
        <v/>
      </c>
      <c r="C3001" s="33"/>
      <c r="E3001" s="60"/>
      <c r="F3001" s="18"/>
      <c r="G3001" s="18"/>
      <c r="H3001" s="49"/>
      <c r="I3001" s="49"/>
      <c r="M3001" s="53"/>
    </row>
    <row r="3002" spans="1:15" x14ac:dyDescent="0.25">
      <c r="A3002" s="21" t="str">
        <f>IF(C3002="","",COUNTA($C$3:C3002))</f>
        <v/>
      </c>
      <c r="B3002" s="35" t="str">
        <f t="shared" si="62"/>
        <v/>
      </c>
      <c r="C3002" s="33"/>
      <c r="E3002" s="60"/>
      <c r="F3002" s="18"/>
      <c r="G3002" s="18"/>
      <c r="H3002" s="49"/>
      <c r="I3002" s="49"/>
      <c r="M3002" s="53"/>
    </row>
    <row r="3003" spans="1:15" x14ac:dyDescent="0.25">
      <c r="A3003" s="21" t="str">
        <f>IF(C3003="","",COUNTA($C$3:C3003))</f>
        <v/>
      </c>
      <c r="B3003" s="35" t="str">
        <f t="shared" si="62"/>
        <v/>
      </c>
      <c r="C3003" s="33"/>
      <c r="E3003" s="60"/>
      <c r="F3003" s="18"/>
      <c r="G3003" s="18"/>
      <c r="H3003" s="49"/>
      <c r="I3003" s="49"/>
      <c r="M3003" s="53"/>
    </row>
    <row r="3004" spans="1:15" x14ac:dyDescent="0.25">
      <c r="A3004" s="21" t="str">
        <f>IF(C3004="","",COUNTA($C$3:C3004))</f>
        <v/>
      </c>
      <c r="B3004" s="35" t="str">
        <f t="shared" si="62"/>
        <v/>
      </c>
      <c r="C3004" s="33"/>
      <c r="E3004" s="60"/>
      <c r="F3004" s="18"/>
      <c r="G3004" s="18"/>
      <c r="H3004" s="49"/>
      <c r="I3004" s="49"/>
      <c r="M3004" s="53"/>
    </row>
    <row r="3005" spans="1:15" x14ac:dyDescent="0.25">
      <c r="A3005" s="21" t="str">
        <f>IF(C3005="","",COUNTA($C$3:C3005))</f>
        <v/>
      </c>
      <c r="B3005" s="35" t="str">
        <f t="shared" si="62"/>
        <v/>
      </c>
      <c r="C3005" s="33"/>
      <c r="E3005" s="60"/>
      <c r="F3005" s="18"/>
      <c r="G3005" s="18"/>
      <c r="H3005" s="49"/>
      <c r="I3005" s="49"/>
      <c r="M3005" s="53"/>
    </row>
    <row r="3006" spans="1:15" x14ac:dyDescent="0.25">
      <c r="A3006" s="21" t="str">
        <f>IF(C3006="","",COUNTA($C$3:C3006))</f>
        <v/>
      </c>
      <c r="B3006" s="35" t="str">
        <f t="shared" si="62"/>
        <v/>
      </c>
      <c r="C3006" s="33"/>
      <c r="E3006" s="60"/>
      <c r="F3006" s="18"/>
      <c r="G3006" s="18"/>
      <c r="H3006" s="49"/>
      <c r="I3006" s="49"/>
      <c r="M3006" s="53"/>
    </row>
    <row r="3007" spans="1:15" x14ac:dyDescent="0.25">
      <c r="A3007" s="21" t="str">
        <f>IF(C3007="","",COUNTA($C$3:C3007))</f>
        <v/>
      </c>
      <c r="B3007" s="35" t="str">
        <f t="shared" si="62"/>
        <v/>
      </c>
      <c r="C3007" s="33"/>
      <c r="E3007" s="60"/>
      <c r="F3007" s="18"/>
      <c r="H3007" s="49"/>
      <c r="I3007" s="49"/>
      <c r="M3007" s="53"/>
      <c r="O3007" s="59"/>
    </row>
    <row r="3008" spans="1:15" x14ac:dyDescent="0.25">
      <c r="A3008" s="21" t="str">
        <f>IF(C3008="","",COUNTA($C$3:C3008))</f>
        <v/>
      </c>
      <c r="B3008" s="35" t="str">
        <f t="shared" si="62"/>
        <v/>
      </c>
      <c r="C3008" s="33"/>
      <c r="E3008" s="60"/>
      <c r="F3008" s="18"/>
      <c r="H3008" s="49"/>
      <c r="I3008" s="49"/>
      <c r="M3008" s="53"/>
      <c r="O3008" s="117"/>
    </row>
    <row r="3009" spans="1:17" x14ac:dyDescent="0.25">
      <c r="A3009" s="21" t="str">
        <f>IF(C3009="","",COUNTA($C$3:C3009))</f>
        <v/>
      </c>
      <c r="B3009" s="35" t="str">
        <f t="shared" si="62"/>
        <v/>
      </c>
      <c r="C3009" s="33"/>
      <c r="E3009" s="60"/>
      <c r="F3009" s="18"/>
      <c r="H3009" s="49"/>
      <c r="I3009" s="49"/>
      <c r="M3009" s="53"/>
    </row>
    <row r="3010" spans="1:17" x14ac:dyDescent="0.25">
      <c r="A3010" s="21" t="str">
        <f>IF(C3010="","",COUNTA($C$3:C3010))</f>
        <v/>
      </c>
      <c r="B3010" s="35" t="str">
        <f t="shared" si="62"/>
        <v/>
      </c>
      <c r="C3010" s="33"/>
      <c r="E3010" s="60"/>
      <c r="F3010" s="18"/>
      <c r="H3010" s="49"/>
      <c r="I3010" s="49"/>
      <c r="M3010" s="53"/>
    </row>
    <row r="3011" spans="1:17" x14ac:dyDescent="0.25">
      <c r="A3011" s="21" t="str">
        <f>IF(C3011="","",COUNTA($C$3:C3011))</f>
        <v/>
      </c>
      <c r="B3011" s="35" t="str">
        <f t="shared" si="62"/>
        <v/>
      </c>
      <c r="C3011" s="33"/>
      <c r="E3011" s="60"/>
      <c r="F3011" s="18"/>
      <c r="H3011" s="49"/>
      <c r="I3011" s="49"/>
      <c r="M3011" s="53"/>
    </row>
    <row r="3012" spans="1:17" x14ac:dyDescent="0.25">
      <c r="A3012" s="21" t="str">
        <f>IF(C3012="","",COUNTA($C$3:C3012))</f>
        <v/>
      </c>
      <c r="B3012" s="35" t="str">
        <f t="shared" si="62"/>
        <v/>
      </c>
      <c r="C3012" s="33"/>
      <c r="E3012" s="60"/>
      <c r="F3012" s="18"/>
      <c r="H3012" s="49"/>
      <c r="I3012" s="49"/>
      <c r="M3012" s="53"/>
    </row>
    <row r="3013" spans="1:17" x14ac:dyDescent="0.25">
      <c r="A3013" s="21" t="str">
        <f>IF(C3013="","",COUNTA($C$3:C3013))</f>
        <v/>
      </c>
      <c r="B3013" s="35" t="str">
        <f t="shared" ref="B3013:B3076" si="63">IF(C3013="","",TEXT(C3013,"mmmm"))</f>
        <v/>
      </c>
      <c r="C3013" s="33"/>
      <c r="E3013" s="60"/>
      <c r="F3013" s="18"/>
      <c r="H3013" s="49"/>
      <c r="I3013" s="49"/>
      <c r="M3013" s="53"/>
      <c r="O3013" s="59"/>
      <c r="P3013" s="59"/>
      <c r="Q3013" s="59"/>
    </row>
    <row r="3014" spans="1:17" x14ac:dyDescent="0.25">
      <c r="A3014" s="21" t="str">
        <f>IF(C3014="","",COUNTA($C$3:C3014))</f>
        <v/>
      </c>
      <c r="B3014" s="35" t="str">
        <f t="shared" si="63"/>
        <v/>
      </c>
      <c r="C3014" s="33"/>
      <c r="E3014" s="60"/>
      <c r="F3014" s="18"/>
      <c r="H3014" s="49"/>
      <c r="I3014" s="49"/>
      <c r="M3014" s="53"/>
    </row>
    <row r="3015" spans="1:17" x14ac:dyDescent="0.25">
      <c r="A3015" s="21" t="str">
        <f>IF(C3015="","",COUNTA($C$3:C3015))</f>
        <v/>
      </c>
      <c r="B3015" s="35" t="str">
        <f t="shared" si="63"/>
        <v/>
      </c>
      <c r="C3015" s="33"/>
      <c r="E3015" s="60"/>
      <c r="F3015" s="18"/>
      <c r="H3015" s="49"/>
      <c r="I3015" s="49"/>
      <c r="M3015" s="53"/>
    </row>
    <row r="3016" spans="1:17" x14ac:dyDescent="0.25">
      <c r="A3016" s="21" t="str">
        <f>IF(C3016="","",COUNTA($C$3:C3016))</f>
        <v/>
      </c>
      <c r="B3016" s="35" t="str">
        <f t="shared" si="63"/>
        <v/>
      </c>
      <c r="C3016" s="33"/>
      <c r="E3016" s="60"/>
      <c r="F3016" s="18"/>
      <c r="H3016" s="49"/>
      <c r="I3016" s="49"/>
      <c r="K3016" s="121"/>
      <c r="M3016" s="53"/>
    </row>
    <row r="3017" spans="1:17" x14ac:dyDescent="0.25">
      <c r="A3017" s="21" t="str">
        <f>IF(C3017="","",COUNTA($C$3:C3017))</f>
        <v/>
      </c>
      <c r="B3017" s="35" t="str">
        <f t="shared" si="63"/>
        <v/>
      </c>
      <c r="C3017" s="33"/>
      <c r="E3017" s="60"/>
      <c r="F3017" s="18"/>
      <c r="H3017" s="49"/>
      <c r="I3017" s="49"/>
      <c r="M3017" s="53"/>
    </row>
    <row r="3018" spans="1:17" x14ac:dyDescent="0.25">
      <c r="A3018" s="21" t="str">
        <f>IF(C3018="","",COUNTA($C$3:C3018))</f>
        <v/>
      </c>
      <c r="B3018" s="35" t="str">
        <f t="shared" si="63"/>
        <v/>
      </c>
      <c r="C3018" s="33"/>
      <c r="E3018" s="60"/>
      <c r="F3018" s="18"/>
      <c r="H3018" s="49"/>
      <c r="I3018" s="49"/>
      <c r="M3018" s="53"/>
    </row>
    <row r="3019" spans="1:17" x14ac:dyDescent="0.25">
      <c r="A3019" s="21" t="str">
        <f>IF(C3019="","",COUNTA($C$3:C3019))</f>
        <v/>
      </c>
      <c r="B3019" s="35" t="str">
        <f t="shared" si="63"/>
        <v/>
      </c>
      <c r="C3019" s="33"/>
      <c r="E3019" s="60"/>
      <c r="F3019" s="18"/>
      <c r="H3019" s="49"/>
      <c r="I3019" s="49"/>
      <c r="M3019" s="53"/>
    </row>
    <row r="3020" spans="1:17" x14ac:dyDescent="0.25">
      <c r="A3020" s="21" t="str">
        <f>IF(C3020="","",COUNTA($C$3:C3020))</f>
        <v/>
      </c>
      <c r="B3020" s="35" t="str">
        <f t="shared" si="63"/>
        <v/>
      </c>
      <c r="C3020" s="33"/>
      <c r="E3020" s="60"/>
      <c r="F3020" s="18"/>
      <c r="H3020" s="49"/>
      <c r="I3020" s="49"/>
      <c r="M3020" s="53"/>
    </row>
    <row r="3021" spans="1:17" x14ac:dyDescent="0.25">
      <c r="A3021" s="21" t="str">
        <f>IF(C3021="","",COUNTA($C$3:C3021))</f>
        <v/>
      </c>
      <c r="B3021" s="35" t="str">
        <f t="shared" si="63"/>
        <v/>
      </c>
      <c r="C3021" s="33"/>
      <c r="E3021" s="60"/>
      <c r="F3021" s="18"/>
      <c r="H3021" s="49"/>
      <c r="I3021" s="49"/>
      <c r="M3021" s="53"/>
    </row>
    <row r="3022" spans="1:17" x14ac:dyDescent="0.25">
      <c r="A3022" s="21" t="str">
        <f>IF(C3022="","",COUNTA($C$3:C3022))</f>
        <v/>
      </c>
      <c r="B3022" s="35" t="str">
        <f t="shared" si="63"/>
        <v/>
      </c>
      <c r="C3022" s="33"/>
      <c r="E3022" s="60"/>
      <c r="F3022" s="18"/>
      <c r="H3022" s="49"/>
      <c r="I3022" s="49"/>
      <c r="M3022" s="53"/>
    </row>
    <row r="3023" spans="1:17" x14ac:dyDescent="0.25">
      <c r="A3023" s="21" t="str">
        <f>IF(C3023="","",COUNTA($C$3:C3023))</f>
        <v/>
      </c>
      <c r="B3023" s="35" t="str">
        <f t="shared" si="63"/>
        <v/>
      </c>
      <c r="C3023" s="33"/>
      <c r="E3023" s="60"/>
      <c r="F3023" s="18"/>
      <c r="H3023" s="49"/>
      <c r="I3023" s="49"/>
      <c r="M3023" s="53"/>
    </row>
    <row r="3024" spans="1:17" x14ac:dyDescent="0.25">
      <c r="A3024" s="21" t="str">
        <f>IF(C3024="","",COUNTA($C$3:C3024))</f>
        <v/>
      </c>
      <c r="B3024" s="35" t="str">
        <f t="shared" si="63"/>
        <v/>
      </c>
      <c r="C3024" s="33"/>
      <c r="E3024" s="60"/>
      <c r="F3024" s="18"/>
      <c r="H3024" s="49"/>
      <c r="I3024" s="49"/>
      <c r="M3024" s="53"/>
    </row>
    <row r="3025" spans="1:13" x14ac:dyDescent="0.25">
      <c r="A3025" s="21" t="str">
        <f>IF(C3025="","",COUNTA($C$3:C3025))</f>
        <v/>
      </c>
      <c r="B3025" s="35" t="str">
        <f t="shared" si="63"/>
        <v/>
      </c>
      <c r="C3025" s="33"/>
      <c r="E3025" s="60"/>
      <c r="F3025" s="18"/>
      <c r="H3025" s="49"/>
      <c r="I3025" s="49"/>
      <c r="M3025" s="53"/>
    </row>
    <row r="3026" spans="1:13" x14ac:dyDescent="0.25">
      <c r="A3026" s="21" t="str">
        <f>IF(C3026="","",COUNTA($C$3:C3026))</f>
        <v/>
      </c>
      <c r="B3026" s="35" t="str">
        <f t="shared" si="63"/>
        <v/>
      </c>
      <c r="C3026" s="33"/>
      <c r="E3026" s="60"/>
      <c r="F3026" s="18"/>
      <c r="H3026" s="49"/>
      <c r="I3026" s="49"/>
      <c r="M3026" s="53"/>
    </row>
    <row r="3027" spans="1:13" x14ac:dyDescent="0.25">
      <c r="A3027" s="21" t="str">
        <f>IF(C3027="","",COUNTA($C$3:C3027))</f>
        <v/>
      </c>
      <c r="B3027" s="35" t="str">
        <f t="shared" si="63"/>
        <v/>
      </c>
      <c r="C3027" s="33"/>
      <c r="E3027" s="60"/>
      <c r="F3027" s="18"/>
      <c r="H3027" s="49"/>
      <c r="I3027" s="49"/>
      <c r="M3027" s="53"/>
    </row>
    <row r="3028" spans="1:13" x14ac:dyDescent="0.25">
      <c r="A3028" s="21" t="str">
        <f>IF(C3028="","",COUNTA($C$3:C3028))</f>
        <v/>
      </c>
      <c r="B3028" s="35" t="str">
        <f t="shared" si="63"/>
        <v/>
      </c>
      <c r="C3028" s="33"/>
      <c r="E3028" s="60"/>
      <c r="F3028" s="18"/>
      <c r="H3028" s="49"/>
      <c r="I3028" s="49"/>
      <c r="M3028" s="53"/>
    </row>
    <row r="3029" spans="1:13" x14ac:dyDescent="0.25">
      <c r="A3029" s="21" t="str">
        <f>IF(C3029="","",COUNTA($C$3:C3029))</f>
        <v/>
      </c>
      <c r="B3029" s="35" t="str">
        <f t="shared" si="63"/>
        <v/>
      </c>
      <c r="C3029" s="33"/>
      <c r="E3029" s="60"/>
      <c r="F3029" s="18"/>
      <c r="H3029" s="49"/>
      <c r="I3029" s="49"/>
      <c r="M3029" s="53"/>
    </row>
    <row r="3030" spans="1:13" x14ac:dyDescent="0.25">
      <c r="A3030" s="21" t="str">
        <f>IF(C3030="","",COUNTA($C$3:C3030))</f>
        <v/>
      </c>
      <c r="B3030" s="35" t="str">
        <f t="shared" si="63"/>
        <v/>
      </c>
      <c r="C3030" s="33"/>
      <c r="E3030" s="60"/>
      <c r="F3030" s="18"/>
      <c r="H3030" s="49"/>
      <c r="I3030" s="49"/>
      <c r="M3030" s="53"/>
    </row>
    <row r="3031" spans="1:13" x14ac:dyDescent="0.25">
      <c r="A3031" s="21" t="str">
        <f>IF(C3031="","",COUNTA($C$3:C3031))</f>
        <v/>
      </c>
      <c r="B3031" s="35" t="str">
        <f t="shared" si="63"/>
        <v/>
      </c>
      <c r="C3031" s="33"/>
      <c r="E3031" s="60"/>
      <c r="F3031" s="18"/>
      <c r="H3031" s="49"/>
      <c r="I3031" s="49"/>
      <c r="M3031" s="53"/>
    </row>
    <row r="3032" spans="1:13" x14ac:dyDescent="0.25">
      <c r="A3032" s="21" t="str">
        <f>IF(C3032="","",COUNTA($C$3:C3032))</f>
        <v/>
      </c>
      <c r="B3032" s="35" t="str">
        <f t="shared" si="63"/>
        <v/>
      </c>
      <c r="C3032" s="33"/>
      <c r="E3032" s="60"/>
      <c r="F3032" s="18"/>
      <c r="H3032" s="49"/>
      <c r="I3032" s="49"/>
      <c r="M3032" s="53"/>
    </row>
    <row r="3033" spans="1:13" x14ac:dyDescent="0.25">
      <c r="A3033" s="21" t="str">
        <f>IF(C3033="","",COUNTA($C$3:C3033))</f>
        <v/>
      </c>
      <c r="B3033" s="35" t="str">
        <f t="shared" si="63"/>
        <v/>
      </c>
      <c r="C3033" s="33"/>
      <c r="E3033" s="60"/>
      <c r="F3033" s="18"/>
      <c r="H3033" s="49"/>
      <c r="I3033" s="49"/>
      <c r="M3033" s="53"/>
    </row>
    <row r="3034" spans="1:13" x14ac:dyDescent="0.25">
      <c r="A3034" s="21" t="str">
        <f>IF(C3034="","",COUNTA($C$3:C3034))</f>
        <v/>
      </c>
      <c r="B3034" s="35" t="str">
        <f t="shared" si="63"/>
        <v/>
      </c>
      <c r="C3034" s="33"/>
      <c r="E3034" s="60"/>
      <c r="F3034" s="18"/>
      <c r="H3034" s="49"/>
      <c r="I3034" s="49"/>
      <c r="M3034" s="53"/>
    </row>
    <row r="3035" spans="1:13" x14ac:dyDescent="0.25">
      <c r="A3035" s="21" t="str">
        <f>IF(C3035="","",COUNTA($C$3:C3035))</f>
        <v/>
      </c>
      <c r="B3035" s="35" t="str">
        <f t="shared" si="63"/>
        <v/>
      </c>
      <c r="C3035" s="33"/>
      <c r="E3035" s="60"/>
      <c r="F3035" s="18"/>
      <c r="H3035" s="49"/>
      <c r="I3035" s="49"/>
      <c r="M3035" s="53"/>
    </row>
    <row r="3036" spans="1:13" x14ac:dyDescent="0.25">
      <c r="A3036" s="21" t="str">
        <f>IF(C3036="","",COUNTA($C$3:C3036))</f>
        <v/>
      </c>
      <c r="B3036" s="35" t="str">
        <f t="shared" si="63"/>
        <v/>
      </c>
      <c r="C3036" s="33"/>
      <c r="E3036" s="60"/>
      <c r="F3036" s="18"/>
      <c r="H3036" s="49"/>
      <c r="I3036" s="49"/>
      <c r="M3036" s="53"/>
    </row>
    <row r="3037" spans="1:13" x14ac:dyDescent="0.25">
      <c r="A3037" s="21" t="str">
        <f>IF(C3037="","",COUNTA($C$3:C3037))</f>
        <v/>
      </c>
      <c r="B3037" s="35" t="str">
        <f t="shared" si="63"/>
        <v/>
      </c>
      <c r="C3037" s="33"/>
      <c r="E3037" s="60"/>
      <c r="F3037" s="18"/>
      <c r="H3037" s="49"/>
      <c r="I3037" s="49"/>
      <c r="M3037" s="53"/>
    </row>
    <row r="3038" spans="1:13" x14ac:dyDescent="0.25">
      <c r="A3038" s="21" t="str">
        <f>IF(C3038="","",COUNTA($C$3:C3038))</f>
        <v/>
      </c>
      <c r="B3038" s="35" t="str">
        <f t="shared" si="63"/>
        <v/>
      </c>
      <c r="C3038" s="33"/>
      <c r="E3038" s="60"/>
      <c r="F3038" s="18"/>
      <c r="H3038" s="49"/>
      <c r="I3038" s="49"/>
      <c r="M3038" s="53"/>
    </row>
    <row r="3039" spans="1:13" x14ac:dyDescent="0.25">
      <c r="A3039" s="21" t="str">
        <f>IF(C3039="","",COUNTA($C$3:C3039))</f>
        <v/>
      </c>
      <c r="B3039" s="35" t="str">
        <f t="shared" si="63"/>
        <v/>
      </c>
      <c r="C3039" s="33"/>
      <c r="E3039" s="60"/>
      <c r="F3039" s="18"/>
      <c r="H3039" s="49"/>
      <c r="I3039" s="49"/>
      <c r="M3039" s="53"/>
    </row>
    <row r="3040" spans="1:13" x14ac:dyDescent="0.25">
      <c r="A3040" s="21" t="str">
        <f>IF(C3040="","",COUNTA($C$3:C3040))</f>
        <v/>
      </c>
      <c r="B3040" s="35" t="str">
        <f t="shared" si="63"/>
        <v/>
      </c>
      <c r="C3040" s="33"/>
      <c r="E3040" s="60"/>
      <c r="F3040" s="18"/>
      <c r="H3040" s="49"/>
      <c r="I3040" s="49"/>
      <c r="M3040" s="53"/>
    </row>
    <row r="3041" spans="1:13" x14ac:dyDescent="0.25">
      <c r="A3041" s="21" t="str">
        <f>IF(C3041="","",COUNTA($C$3:C3041))</f>
        <v/>
      </c>
      <c r="B3041" s="35" t="str">
        <f t="shared" si="63"/>
        <v/>
      </c>
      <c r="C3041" s="33"/>
      <c r="E3041" s="60"/>
      <c r="F3041" s="18"/>
      <c r="H3041" s="49"/>
      <c r="I3041" s="49"/>
      <c r="M3041" s="53"/>
    </row>
    <row r="3042" spans="1:13" x14ac:dyDescent="0.25">
      <c r="A3042" s="21" t="str">
        <f>IF(C3042="","",COUNTA($C$3:C3042))</f>
        <v/>
      </c>
      <c r="B3042" s="35" t="str">
        <f t="shared" si="63"/>
        <v/>
      </c>
      <c r="C3042" s="33"/>
      <c r="E3042" s="60"/>
      <c r="F3042" s="18"/>
      <c r="H3042" s="49"/>
      <c r="I3042" s="49"/>
      <c r="M3042" s="53"/>
    </row>
    <row r="3043" spans="1:13" x14ac:dyDescent="0.25">
      <c r="A3043" s="21" t="str">
        <f>IF(C3043="","",COUNTA($C$3:C3043))</f>
        <v/>
      </c>
      <c r="B3043" s="35" t="str">
        <f t="shared" si="63"/>
        <v/>
      </c>
      <c r="C3043" s="33"/>
      <c r="E3043" s="60"/>
      <c r="F3043" s="18"/>
      <c r="H3043" s="49"/>
      <c r="I3043" s="49"/>
      <c r="M3043" s="53"/>
    </row>
    <row r="3044" spans="1:13" x14ac:dyDescent="0.25">
      <c r="A3044" s="21" t="str">
        <f>IF(C3044="","",COUNTA($C$3:C3044))</f>
        <v/>
      </c>
      <c r="B3044" s="35" t="str">
        <f t="shared" si="63"/>
        <v/>
      </c>
      <c r="C3044" s="33"/>
      <c r="E3044" s="60"/>
      <c r="F3044" s="18"/>
      <c r="H3044" s="49"/>
      <c r="I3044" s="76"/>
      <c r="M3044" s="53"/>
    </row>
    <row r="3045" spans="1:13" x14ac:dyDescent="0.25">
      <c r="A3045" s="21" t="str">
        <f>IF(C3045="","",COUNTA($C$3:C3045))</f>
        <v/>
      </c>
      <c r="B3045" s="35" t="str">
        <f t="shared" si="63"/>
        <v/>
      </c>
      <c r="C3045" s="33"/>
      <c r="E3045" s="60"/>
      <c r="F3045" s="18"/>
      <c r="H3045" s="49"/>
      <c r="I3045" s="49"/>
      <c r="M3045" s="53"/>
    </row>
    <row r="3046" spans="1:13" x14ac:dyDescent="0.25">
      <c r="A3046" s="21" t="str">
        <f>IF(C3046="","",COUNTA($C$3:C3046))</f>
        <v/>
      </c>
      <c r="B3046" s="35" t="str">
        <f t="shared" si="63"/>
        <v/>
      </c>
      <c r="C3046" s="33"/>
      <c r="E3046" s="60"/>
      <c r="F3046" s="18"/>
      <c r="H3046" s="49"/>
      <c r="I3046" s="49"/>
      <c r="M3046" s="53"/>
    </row>
    <row r="3047" spans="1:13" x14ac:dyDescent="0.25">
      <c r="A3047" s="21" t="str">
        <f>IF(C3047="","",COUNTA($C$3:C3047))</f>
        <v/>
      </c>
      <c r="B3047" s="35" t="str">
        <f t="shared" si="63"/>
        <v/>
      </c>
      <c r="C3047" s="33"/>
      <c r="E3047" s="60"/>
      <c r="F3047" s="18"/>
      <c r="H3047" s="49"/>
      <c r="I3047" s="49"/>
      <c r="M3047" s="53"/>
    </row>
    <row r="3048" spans="1:13" x14ac:dyDescent="0.25">
      <c r="A3048" s="21" t="str">
        <f>IF(C3048="","",COUNTA($C$3:C3048))</f>
        <v/>
      </c>
      <c r="B3048" s="35" t="str">
        <f t="shared" si="63"/>
        <v/>
      </c>
      <c r="C3048" s="33"/>
      <c r="E3048" s="60"/>
      <c r="F3048" s="18"/>
      <c r="H3048" s="49"/>
      <c r="I3048" s="49"/>
      <c r="M3048" s="53"/>
    </row>
    <row r="3049" spans="1:13" x14ac:dyDescent="0.25">
      <c r="A3049" s="21" t="str">
        <f>IF(C3049="","",COUNTA($C$3:C3049))</f>
        <v/>
      </c>
      <c r="B3049" s="35" t="str">
        <f t="shared" si="63"/>
        <v/>
      </c>
      <c r="C3049" s="33"/>
      <c r="E3049" s="60"/>
      <c r="F3049" s="18"/>
      <c r="H3049" s="49"/>
      <c r="I3049" s="49"/>
      <c r="M3049" s="53"/>
    </row>
    <row r="3050" spans="1:13" x14ac:dyDescent="0.25">
      <c r="A3050" s="21" t="str">
        <f>IF(C3050="","",COUNTA($C$3:C3050))</f>
        <v/>
      </c>
      <c r="B3050" s="35" t="str">
        <f t="shared" si="63"/>
        <v/>
      </c>
      <c r="C3050" s="33"/>
      <c r="E3050" s="60"/>
      <c r="F3050" s="18"/>
      <c r="H3050" s="49"/>
      <c r="I3050" s="49"/>
      <c r="M3050" s="53"/>
    </row>
    <row r="3051" spans="1:13" x14ac:dyDescent="0.25">
      <c r="A3051" s="21" t="str">
        <f>IF(C3051="","",COUNTA($C$3:C3051))</f>
        <v/>
      </c>
      <c r="B3051" s="35" t="str">
        <f t="shared" si="63"/>
        <v/>
      </c>
      <c r="C3051" s="33"/>
      <c r="E3051" s="60"/>
      <c r="F3051" s="18"/>
      <c r="H3051" s="49"/>
      <c r="I3051" s="49"/>
      <c r="M3051" s="53"/>
    </row>
    <row r="3052" spans="1:13" x14ac:dyDescent="0.25">
      <c r="A3052" s="21" t="str">
        <f>IF(C3052="","",COUNTA($C$3:C3052))</f>
        <v/>
      </c>
      <c r="B3052" s="35" t="str">
        <f t="shared" si="63"/>
        <v/>
      </c>
      <c r="C3052" s="33"/>
      <c r="E3052" s="60"/>
      <c r="F3052" s="18"/>
      <c r="H3052" s="49"/>
      <c r="I3052" s="49"/>
      <c r="M3052" s="53"/>
    </row>
    <row r="3053" spans="1:13" x14ac:dyDescent="0.25">
      <c r="A3053" s="21" t="str">
        <f>IF(C3053="","",COUNTA($C$3:C3053))</f>
        <v/>
      </c>
      <c r="B3053" s="35" t="str">
        <f t="shared" si="63"/>
        <v/>
      </c>
      <c r="C3053" s="33"/>
      <c r="E3053" s="60"/>
      <c r="F3053" s="18"/>
      <c r="H3053" s="49"/>
      <c r="I3053" s="49"/>
      <c r="M3053" s="53"/>
    </row>
    <row r="3054" spans="1:13" x14ac:dyDescent="0.25">
      <c r="A3054" s="21" t="str">
        <f>IF(C3054="","",COUNTA($C$3:C3054))</f>
        <v/>
      </c>
      <c r="B3054" s="35" t="str">
        <f t="shared" si="63"/>
        <v/>
      </c>
      <c r="C3054" s="33"/>
      <c r="E3054" s="60"/>
      <c r="F3054" s="18"/>
      <c r="H3054" s="49"/>
      <c r="I3054" s="49"/>
      <c r="M3054" s="53"/>
    </row>
    <row r="3055" spans="1:13" x14ac:dyDescent="0.25">
      <c r="A3055" s="21" t="str">
        <f>IF(C3055="","",COUNTA($C$3:C3055))</f>
        <v/>
      </c>
      <c r="B3055" s="35" t="str">
        <f t="shared" si="63"/>
        <v/>
      </c>
      <c r="C3055" s="33"/>
      <c r="E3055" s="60"/>
      <c r="F3055" s="18"/>
      <c r="H3055" s="49"/>
      <c r="I3055" s="49"/>
      <c r="M3055" s="53"/>
    </row>
    <row r="3056" spans="1:13" x14ac:dyDescent="0.25">
      <c r="A3056" s="21" t="str">
        <f>IF(C3056="","",COUNTA($C$3:C3056))</f>
        <v/>
      </c>
      <c r="B3056" s="35" t="str">
        <f t="shared" si="63"/>
        <v/>
      </c>
      <c r="C3056" s="33"/>
      <c r="E3056" s="60"/>
      <c r="F3056" s="18"/>
      <c r="H3056" s="49"/>
      <c r="I3056" s="49"/>
      <c r="M3056" s="53"/>
    </row>
    <row r="3057" spans="1:13" x14ac:dyDescent="0.25">
      <c r="A3057" s="21" t="str">
        <f>IF(C3057="","",COUNTA($C$3:C3057))</f>
        <v/>
      </c>
      <c r="B3057" s="35" t="str">
        <f t="shared" si="63"/>
        <v/>
      </c>
      <c r="C3057" s="33"/>
      <c r="E3057" s="60"/>
      <c r="F3057" s="18"/>
      <c r="H3057" s="49"/>
      <c r="I3057" s="49"/>
      <c r="M3057" s="53"/>
    </row>
    <row r="3058" spans="1:13" x14ac:dyDescent="0.25">
      <c r="A3058" s="21" t="str">
        <f>IF(C3058="","",COUNTA($C$3:C3058))</f>
        <v/>
      </c>
      <c r="B3058" s="35" t="str">
        <f t="shared" si="63"/>
        <v/>
      </c>
      <c r="C3058" s="33"/>
      <c r="E3058" s="60"/>
      <c r="F3058" s="18"/>
      <c r="H3058" s="49"/>
      <c r="I3058" s="49"/>
      <c r="M3058" s="53"/>
    </row>
    <row r="3059" spans="1:13" x14ac:dyDescent="0.25">
      <c r="A3059" s="21" t="str">
        <f>IF(C3059="","",COUNTA($C$3:C3059))</f>
        <v/>
      </c>
      <c r="B3059" s="35" t="str">
        <f t="shared" si="63"/>
        <v/>
      </c>
      <c r="C3059" s="33"/>
      <c r="E3059" s="60"/>
      <c r="F3059" s="18"/>
      <c r="H3059" s="49"/>
      <c r="I3059" s="49"/>
      <c r="M3059" s="53"/>
    </row>
    <row r="3060" spans="1:13" x14ac:dyDescent="0.25">
      <c r="A3060" s="21" t="str">
        <f>IF(C3060="","",COUNTA($C$3:C3060))</f>
        <v/>
      </c>
      <c r="B3060" s="35" t="str">
        <f t="shared" si="63"/>
        <v/>
      </c>
      <c r="C3060" s="33"/>
      <c r="E3060" s="60"/>
      <c r="F3060" s="18"/>
      <c r="H3060" s="49"/>
      <c r="I3060" s="49"/>
      <c r="M3060" s="53"/>
    </row>
    <row r="3061" spans="1:13" x14ac:dyDescent="0.25">
      <c r="A3061" s="21" t="str">
        <f>IF(C3061="","",COUNTA($C$3:C3061))</f>
        <v/>
      </c>
      <c r="B3061" s="35" t="str">
        <f t="shared" si="63"/>
        <v/>
      </c>
      <c r="C3061" s="33"/>
      <c r="E3061" s="60"/>
      <c r="F3061" s="18"/>
      <c r="H3061" s="49"/>
      <c r="I3061" s="49"/>
      <c r="L3061" s="62"/>
      <c r="M3061" s="53"/>
    </row>
    <row r="3062" spans="1:13" x14ac:dyDescent="0.25">
      <c r="A3062" s="21" t="str">
        <f>IF(C3062="","",COUNTA($C$3:C3062))</f>
        <v/>
      </c>
      <c r="B3062" s="35" t="str">
        <f t="shared" si="63"/>
        <v/>
      </c>
      <c r="C3062" s="33"/>
      <c r="E3062" s="60"/>
      <c r="F3062" s="18"/>
      <c r="H3062" s="49"/>
      <c r="I3062" s="49"/>
      <c r="L3062" s="62"/>
      <c r="M3062" s="53"/>
    </row>
    <row r="3063" spans="1:13" x14ac:dyDescent="0.25">
      <c r="A3063" s="21" t="str">
        <f>IF(C3063="","",COUNTA($C$3:C3063))</f>
        <v/>
      </c>
      <c r="B3063" s="35" t="str">
        <f t="shared" si="63"/>
        <v/>
      </c>
      <c r="C3063" s="33"/>
      <c r="E3063" s="60"/>
      <c r="F3063" s="18"/>
      <c r="H3063" s="49"/>
      <c r="I3063" s="49"/>
      <c r="M3063" s="53"/>
    </row>
    <row r="3064" spans="1:13" x14ac:dyDescent="0.25">
      <c r="A3064" s="21" t="str">
        <f>IF(C3064="","",COUNTA($C$3:C3064))</f>
        <v/>
      </c>
      <c r="B3064" s="35" t="str">
        <f t="shared" si="63"/>
        <v/>
      </c>
      <c r="C3064" s="33"/>
      <c r="E3064" s="60"/>
      <c r="F3064" s="18"/>
      <c r="H3064" s="49"/>
      <c r="I3064" s="49"/>
      <c r="M3064" s="53"/>
    </row>
    <row r="3065" spans="1:13" x14ac:dyDescent="0.25">
      <c r="A3065" s="21" t="str">
        <f>IF(C3065="","",COUNTA($C$3:C3065))</f>
        <v/>
      </c>
      <c r="B3065" s="35" t="str">
        <f t="shared" si="63"/>
        <v/>
      </c>
      <c r="C3065" s="33"/>
      <c r="E3065" s="60"/>
      <c r="F3065" s="18"/>
      <c r="H3065" s="49"/>
      <c r="I3065" s="49"/>
      <c r="M3065" s="53"/>
    </row>
    <row r="3066" spans="1:13" x14ac:dyDescent="0.25">
      <c r="A3066" s="21" t="str">
        <f>IF(C3066="","",COUNTA($C$3:C3066))</f>
        <v/>
      </c>
      <c r="B3066" s="35" t="str">
        <f t="shared" si="63"/>
        <v/>
      </c>
      <c r="C3066" s="33"/>
      <c r="E3066" s="60"/>
      <c r="F3066" s="18"/>
      <c r="H3066" s="49"/>
      <c r="I3066" s="49"/>
      <c r="M3066" s="53"/>
    </row>
    <row r="3067" spans="1:13" x14ac:dyDescent="0.25">
      <c r="A3067" s="21" t="str">
        <f>IF(C3067="","",COUNTA($C$3:C3067))</f>
        <v/>
      </c>
      <c r="B3067" s="35" t="str">
        <f t="shared" si="63"/>
        <v/>
      </c>
      <c r="C3067" s="33"/>
      <c r="E3067" s="60"/>
      <c r="F3067" s="18"/>
      <c r="H3067" s="49"/>
      <c r="I3067" s="49"/>
      <c r="M3067" s="53"/>
    </row>
    <row r="3068" spans="1:13" x14ac:dyDescent="0.25">
      <c r="A3068" s="21" t="str">
        <f>IF(C3068="","",COUNTA($C$3:C3068))</f>
        <v/>
      </c>
      <c r="B3068" s="35" t="str">
        <f t="shared" si="63"/>
        <v/>
      </c>
      <c r="C3068" s="33"/>
      <c r="E3068" s="60"/>
      <c r="F3068" s="18"/>
      <c r="H3068" s="49"/>
      <c r="I3068" s="49"/>
      <c r="M3068" s="53"/>
    </row>
    <row r="3069" spans="1:13" x14ac:dyDescent="0.25">
      <c r="A3069" s="21" t="str">
        <f>IF(C3069="","",COUNTA($C$3:C3069))</f>
        <v/>
      </c>
      <c r="B3069" s="35" t="str">
        <f t="shared" si="63"/>
        <v/>
      </c>
      <c r="C3069" s="33"/>
      <c r="E3069" s="60"/>
      <c r="F3069" s="18"/>
      <c r="H3069" s="49"/>
      <c r="I3069" s="49"/>
      <c r="M3069" s="53"/>
    </row>
    <row r="3070" spans="1:13" x14ac:dyDescent="0.25">
      <c r="A3070" s="21" t="str">
        <f>IF(C3070="","",COUNTA($C$3:C3070))</f>
        <v/>
      </c>
      <c r="B3070" s="35" t="str">
        <f t="shared" si="63"/>
        <v/>
      </c>
      <c r="C3070" s="33"/>
      <c r="E3070" s="60"/>
      <c r="F3070" s="18"/>
      <c r="H3070" s="49"/>
      <c r="I3070" s="49"/>
      <c r="M3070" s="53"/>
    </row>
    <row r="3071" spans="1:13" x14ac:dyDescent="0.25">
      <c r="A3071" s="21" t="str">
        <f>IF(C3071="","",COUNTA($C$3:C3071))</f>
        <v/>
      </c>
      <c r="B3071" s="35" t="str">
        <f t="shared" si="63"/>
        <v/>
      </c>
      <c r="C3071" s="33"/>
      <c r="E3071" s="60"/>
      <c r="F3071" s="18"/>
      <c r="H3071" s="49"/>
      <c r="I3071" s="49"/>
      <c r="M3071" s="53"/>
    </row>
    <row r="3072" spans="1:13" x14ac:dyDescent="0.25">
      <c r="A3072" s="21" t="str">
        <f>IF(C3072="","",COUNTA($C$3:C3072))</f>
        <v/>
      </c>
      <c r="B3072" s="35" t="str">
        <f t="shared" si="63"/>
        <v/>
      </c>
      <c r="C3072" s="33"/>
      <c r="E3072" s="60"/>
      <c r="F3072" s="18"/>
      <c r="H3072" s="49"/>
      <c r="I3072" s="49"/>
      <c r="M3072" s="53"/>
    </row>
    <row r="3073" spans="1:13" x14ac:dyDescent="0.25">
      <c r="A3073" s="21" t="str">
        <f>IF(C3073="","",COUNTA($C$3:C3073))</f>
        <v/>
      </c>
      <c r="B3073" s="35" t="str">
        <f t="shared" si="63"/>
        <v/>
      </c>
      <c r="C3073" s="33"/>
      <c r="E3073" s="60"/>
      <c r="F3073" s="18"/>
      <c r="H3073" s="49"/>
      <c r="I3073" s="49"/>
      <c r="M3073" s="53"/>
    </row>
    <row r="3074" spans="1:13" x14ac:dyDescent="0.25">
      <c r="A3074" s="21" t="str">
        <f>IF(C3074="","",COUNTA($C$3:C3074))</f>
        <v/>
      </c>
      <c r="B3074" s="35" t="str">
        <f t="shared" si="63"/>
        <v/>
      </c>
      <c r="C3074" s="33"/>
      <c r="E3074" s="60"/>
      <c r="F3074" s="18"/>
      <c r="H3074" s="49"/>
      <c r="I3074" s="49"/>
      <c r="M3074" s="53"/>
    </row>
    <row r="3075" spans="1:13" x14ac:dyDescent="0.25">
      <c r="A3075" s="21" t="str">
        <f>IF(C3075="","",COUNTA($C$3:C3075))</f>
        <v/>
      </c>
      <c r="B3075" s="35" t="str">
        <f t="shared" si="63"/>
        <v/>
      </c>
      <c r="C3075" s="33"/>
      <c r="E3075" s="60"/>
      <c r="F3075" s="18"/>
      <c r="H3075" s="49"/>
      <c r="I3075" s="49"/>
      <c r="M3075" s="53"/>
    </row>
    <row r="3076" spans="1:13" x14ac:dyDescent="0.25">
      <c r="A3076" s="21" t="str">
        <f>IF(C3076="","",COUNTA($C$3:C3076))</f>
        <v/>
      </c>
      <c r="B3076" s="35" t="str">
        <f t="shared" si="63"/>
        <v/>
      </c>
      <c r="C3076" s="33"/>
      <c r="E3076" s="60"/>
      <c r="F3076" s="18"/>
      <c r="H3076" s="49"/>
      <c r="I3076" s="49"/>
      <c r="M3076" s="53"/>
    </row>
    <row r="3077" spans="1:13" x14ac:dyDescent="0.25">
      <c r="A3077" s="21" t="str">
        <f>IF(C3077="","",COUNTA($C$3:C3077))</f>
        <v/>
      </c>
      <c r="B3077" s="35" t="str">
        <f t="shared" ref="B3077:B3140" si="64">IF(C3077="","",TEXT(C3077,"mmmm"))</f>
        <v/>
      </c>
      <c r="C3077" s="33"/>
      <c r="E3077" s="60"/>
      <c r="F3077" s="18"/>
      <c r="H3077" s="49"/>
      <c r="I3077" s="49"/>
      <c r="M3077" s="53"/>
    </row>
    <row r="3078" spans="1:13" x14ac:dyDescent="0.25">
      <c r="A3078" s="21" t="str">
        <f>IF(C3078="","",COUNTA($C$3:C3078))</f>
        <v/>
      </c>
      <c r="B3078" s="35" t="str">
        <f t="shared" si="64"/>
        <v/>
      </c>
      <c r="C3078" s="33"/>
      <c r="E3078" s="60"/>
      <c r="F3078" s="18"/>
      <c r="H3078" s="49"/>
      <c r="I3078" s="49"/>
      <c r="M3078" s="53"/>
    </row>
    <row r="3079" spans="1:13" x14ac:dyDescent="0.25">
      <c r="A3079" s="21" t="str">
        <f>IF(C3079="","",COUNTA($C$3:C3079))</f>
        <v/>
      </c>
      <c r="B3079" s="35" t="str">
        <f t="shared" si="64"/>
        <v/>
      </c>
      <c r="C3079" s="33"/>
      <c r="E3079" s="60"/>
      <c r="F3079" s="18"/>
      <c r="H3079" s="49"/>
      <c r="I3079" s="49"/>
      <c r="M3079" s="53"/>
    </row>
    <row r="3080" spans="1:13" x14ac:dyDescent="0.25">
      <c r="A3080" s="21" t="str">
        <f>IF(C3080="","",COUNTA($C$3:C3080))</f>
        <v/>
      </c>
      <c r="B3080" s="35" t="str">
        <f t="shared" si="64"/>
        <v/>
      </c>
      <c r="C3080" s="33"/>
      <c r="E3080" s="60"/>
      <c r="F3080" s="18"/>
      <c r="H3080" s="49"/>
      <c r="I3080" s="49"/>
      <c r="M3080" s="53"/>
    </row>
    <row r="3081" spans="1:13" x14ac:dyDescent="0.25">
      <c r="A3081" s="21" t="str">
        <f>IF(C3081="","",COUNTA($C$3:C3081))</f>
        <v/>
      </c>
      <c r="B3081" s="35" t="str">
        <f t="shared" si="64"/>
        <v/>
      </c>
      <c r="C3081" s="33"/>
      <c r="E3081" s="60"/>
      <c r="F3081" s="18"/>
      <c r="H3081" s="49"/>
      <c r="I3081" s="49"/>
      <c r="M3081" s="53"/>
    </row>
    <row r="3082" spans="1:13" x14ac:dyDescent="0.25">
      <c r="A3082" s="21" t="str">
        <f>IF(C3082="","",COUNTA($C$3:C3082))</f>
        <v/>
      </c>
      <c r="B3082" s="35" t="str">
        <f t="shared" si="64"/>
        <v/>
      </c>
      <c r="C3082" s="33"/>
      <c r="E3082" s="60"/>
      <c r="F3082" s="18"/>
      <c r="H3082" s="49"/>
      <c r="I3082" s="49"/>
      <c r="M3082" s="53"/>
    </row>
    <row r="3083" spans="1:13" x14ac:dyDescent="0.25">
      <c r="A3083" s="21" t="str">
        <f>IF(C3083="","",COUNTA($C$3:C3083))</f>
        <v/>
      </c>
      <c r="B3083" s="35" t="str">
        <f t="shared" si="64"/>
        <v/>
      </c>
      <c r="C3083" s="33"/>
      <c r="E3083" s="60"/>
      <c r="F3083" s="18"/>
      <c r="H3083" s="49"/>
      <c r="I3083" s="49"/>
      <c r="M3083" s="53"/>
    </row>
    <row r="3084" spans="1:13" x14ac:dyDescent="0.25">
      <c r="A3084" s="21" t="str">
        <f>IF(C3084="","",COUNTA($C$3:C3084))</f>
        <v/>
      </c>
      <c r="B3084" s="35" t="str">
        <f t="shared" si="64"/>
        <v/>
      </c>
      <c r="C3084" s="33"/>
      <c r="E3084" s="60"/>
      <c r="F3084" s="18"/>
      <c r="H3084" s="49"/>
      <c r="I3084" s="49"/>
      <c r="M3084" s="53"/>
    </row>
    <row r="3085" spans="1:13" x14ac:dyDescent="0.25">
      <c r="A3085" s="21" t="str">
        <f>IF(C3085="","",COUNTA($C$3:C3085))</f>
        <v/>
      </c>
      <c r="B3085" s="35" t="str">
        <f t="shared" si="64"/>
        <v/>
      </c>
      <c r="C3085" s="33"/>
      <c r="E3085" s="60"/>
      <c r="F3085" s="18"/>
      <c r="H3085" s="49"/>
      <c r="I3085" s="49"/>
      <c r="M3085" s="53"/>
    </row>
    <row r="3086" spans="1:13" x14ac:dyDescent="0.25">
      <c r="A3086" s="21" t="str">
        <f>IF(C3086="","",COUNTA($C$3:C3086))</f>
        <v/>
      </c>
      <c r="B3086" s="35" t="str">
        <f t="shared" si="64"/>
        <v/>
      </c>
      <c r="C3086" s="33"/>
      <c r="E3086" s="60"/>
      <c r="F3086" s="18"/>
      <c r="H3086" s="49"/>
      <c r="I3086" s="49"/>
      <c r="M3086" s="53"/>
    </row>
    <row r="3087" spans="1:13" x14ac:dyDescent="0.25">
      <c r="A3087" s="21" t="str">
        <f>IF(C3087="","",COUNTA($C$3:C3087))</f>
        <v/>
      </c>
      <c r="B3087" s="35" t="str">
        <f t="shared" si="64"/>
        <v/>
      </c>
      <c r="C3087" s="33"/>
      <c r="E3087" s="60"/>
      <c r="F3087" s="18"/>
      <c r="H3087" s="49"/>
      <c r="I3087" s="49"/>
      <c r="K3087" s="67"/>
      <c r="M3087" s="53"/>
    </row>
    <row r="3088" spans="1:13" x14ac:dyDescent="0.25">
      <c r="A3088" s="21" t="str">
        <f>IF(C3088="","",COUNTA($C$3:C3088))</f>
        <v/>
      </c>
      <c r="B3088" s="35" t="str">
        <f t="shared" si="64"/>
        <v/>
      </c>
      <c r="C3088" s="33"/>
      <c r="E3088" s="60"/>
      <c r="F3088" s="18"/>
      <c r="H3088" s="49"/>
      <c r="I3088" s="49"/>
      <c r="M3088" s="53"/>
    </row>
    <row r="3089" spans="1:15" x14ac:dyDescent="0.25">
      <c r="A3089" s="21" t="str">
        <f>IF(C3089="","",COUNTA($C$3:C3089))</f>
        <v/>
      </c>
      <c r="B3089" s="35" t="str">
        <f t="shared" si="64"/>
        <v/>
      </c>
      <c r="C3089" s="33"/>
      <c r="E3089" s="60"/>
      <c r="F3089" s="18"/>
      <c r="H3089" s="49"/>
      <c r="I3089" s="49"/>
      <c r="M3089" s="53"/>
    </row>
    <row r="3090" spans="1:15" x14ac:dyDescent="0.25">
      <c r="A3090" s="21" t="str">
        <f>IF(C3090="","",COUNTA($C$3:C3090))</f>
        <v/>
      </c>
      <c r="B3090" s="35" t="str">
        <f t="shared" si="64"/>
        <v/>
      </c>
      <c r="C3090" s="33"/>
      <c r="E3090" s="60"/>
      <c r="F3090" s="18"/>
      <c r="H3090" s="49"/>
      <c r="I3090" s="49"/>
      <c r="K3090" s="55"/>
      <c r="M3090" s="53"/>
    </row>
    <row r="3091" spans="1:15" x14ac:dyDescent="0.25">
      <c r="A3091" s="21" t="str">
        <f>IF(C3091="","",COUNTA($C$3:C3091))</f>
        <v/>
      </c>
      <c r="B3091" s="35" t="str">
        <f t="shared" si="64"/>
        <v/>
      </c>
      <c r="C3091" s="33"/>
      <c r="E3091" s="60"/>
      <c r="F3091" s="18"/>
      <c r="H3091" s="49"/>
      <c r="I3091" s="49"/>
      <c r="M3091" s="53"/>
    </row>
    <row r="3092" spans="1:15" x14ac:dyDescent="0.25">
      <c r="A3092" s="21" t="str">
        <f>IF(C3092="","",COUNTA($C$3:C3092))</f>
        <v/>
      </c>
      <c r="B3092" s="35" t="str">
        <f t="shared" si="64"/>
        <v/>
      </c>
      <c r="C3092" s="33"/>
      <c r="E3092" s="60"/>
      <c r="F3092" s="18"/>
      <c r="H3092" s="49"/>
      <c r="I3092" s="49"/>
      <c r="M3092" s="53"/>
    </row>
    <row r="3093" spans="1:15" x14ac:dyDescent="0.25">
      <c r="A3093" s="21" t="str">
        <f>IF(C3093="","",COUNTA($C$3:C3093))</f>
        <v/>
      </c>
      <c r="B3093" s="35" t="str">
        <f t="shared" si="64"/>
        <v/>
      </c>
      <c r="C3093" s="33"/>
      <c r="E3093" s="60"/>
      <c r="F3093" s="18"/>
      <c r="H3093" s="49"/>
      <c r="I3093" s="49"/>
      <c r="M3093" s="53"/>
    </row>
    <row r="3094" spans="1:15" x14ac:dyDescent="0.25">
      <c r="A3094" s="21" t="str">
        <f>IF(C3094="","",COUNTA($C$3:C3094))</f>
        <v/>
      </c>
      <c r="B3094" s="35" t="str">
        <f t="shared" si="64"/>
        <v/>
      </c>
      <c r="C3094" s="33"/>
      <c r="E3094" s="60"/>
      <c r="F3094" s="18"/>
      <c r="H3094" s="49"/>
      <c r="I3094" s="49"/>
      <c r="M3094" s="53"/>
    </row>
    <row r="3095" spans="1:15" x14ac:dyDescent="0.25">
      <c r="A3095" s="21" t="str">
        <f>IF(C3095="","",COUNTA($C$3:C3095))</f>
        <v/>
      </c>
      <c r="B3095" s="35" t="str">
        <f t="shared" si="64"/>
        <v/>
      </c>
      <c r="C3095" s="33"/>
      <c r="E3095" s="60"/>
      <c r="F3095" s="18"/>
      <c r="H3095" s="49"/>
      <c r="I3095" s="49"/>
      <c r="L3095" s="62"/>
      <c r="M3095" s="53"/>
      <c r="O3095" s="59"/>
    </row>
    <row r="3096" spans="1:15" x14ac:dyDescent="0.25">
      <c r="A3096" s="21" t="str">
        <f>IF(C3096="","",COUNTA($C$3:C3096))</f>
        <v/>
      </c>
      <c r="B3096" s="35" t="str">
        <f t="shared" si="64"/>
        <v/>
      </c>
      <c r="C3096" s="33"/>
      <c r="E3096" s="60"/>
      <c r="F3096" s="18"/>
      <c r="H3096" s="49"/>
      <c r="I3096" s="49"/>
      <c r="M3096" s="53"/>
      <c r="O3096" s="72"/>
    </row>
    <row r="3097" spans="1:15" x14ac:dyDescent="0.25">
      <c r="A3097" s="21" t="str">
        <f>IF(C3097="","",COUNTA($C$3:C3097))</f>
        <v/>
      </c>
      <c r="B3097" s="35" t="str">
        <f t="shared" si="64"/>
        <v/>
      </c>
      <c r="C3097" s="33"/>
      <c r="E3097" s="60"/>
      <c r="F3097" s="18"/>
      <c r="H3097" s="49"/>
      <c r="I3097" s="49"/>
      <c r="M3097" s="53"/>
    </row>
    <row r="3098" spans="1:15" x14ac:dyDescent="0.25">
      <c r="A3098" s="21" t="str">
        <f>IF(C3098="","",COUNTA($C$3:C3098))</f>
        <v/>
      </c>
      <c r="B3098" s="35" t="str">
        <f t="shared" si="64"/>
        <v/>
      </c>
      <c r="C3098" s="33"/>
      <c r="E3098" s="60"/>
      <c r="F3098" s="18"/>
      <c r="H3098" s="49"/>
      <c r="I3098" s="49"/>
      <c r="M3098" s="53"/>
    </row>
    <row r="3099" spans="1:15" x14ac:dyDescent="0.25">
      <c r="A3099" s="21" t="str">
        <f>IF(C3099="","",COUNTA($C$3:C3099))</f>
        <v/>
      </c>
      <c r="B3099" s="35" t="str">
        <f t="shared" si="64"/>
        <v/>
      </c>
      <c r="C3099" s="33"/>
      <c r="E3099" s="60"/>
      <c r="F3099" s="18"/>
      <c r="H3099" s="49"/>
      <c r="I3099" s="49"/>
      <c r="M3099" s="53"/>
    </row>
    <row r="3100" spans="1:15" x14ac:dyDescent="0.25">
      <c r="A3100" s="21" t="str">
        <f>IF(C3100="","",COUNTA($C$3:C3100))</f>
        <v/>
      </c>
      <c r="B3100" s="35" t="str">
        <f t="shared" si="64"/>
        <v/>
      </c>
      <c r="C3100" s="33"/>
      <c r="E3100" s="60"/>
      <c r="F3100" s="18"/>
      <c r="H3100" s="49"/>
      <c r="I3100" s="49"/>
      <c r="M3100" s="53"/>
    </row>
    <row r="3101" spans="1:15" x14ac:dyDescent="0.25">
      <c r="A3101" s="21" t="str">
        <f>IF(C3101="","",COUNTA($C$3:C3101))</f>
        <v/>
      </c>
      <c r="B3101" s="35" t="str">
        <f t="shared" si="64"/>
        <v/>
      </c>
      <c r="C3101" s="33"/>
      <c r="E3101" s="60"/>
      <c r="F3101" s="18"/>
      <c r="H3101" s="49"/>
      <c r="I3101" s="49"/>
      <c r="M3101" s="53"/>
    </row>
    <row r="3102" spans="1:15" x14ac:dyDescent="0.25">
      <c r="A3102" s="21" t="str">
        <f>IF(C3102="","",COUNTA($C$3:C3102))</f>
        <v/>
      </c>
      <c r="B3102" s="35" t="str">
        <f t="shared" si="64"/>
        <v/>
      </c>
      <c r="C3102" s="33"/>
      <c r="E3102" s="60"/>
      <c r="F3102" s="18"/>
      <c r="H3102" s="49"/>
      <c r="I3102" s="49"/>
      <c r="M3102" s="53"/>
    </row>
    <row r="3103" spans="1:15" x14ac:dyDescent="0.25">
      <c r="A3103" s="21" t="str">
        <f>IF(C3103="","",COUNTA($C$3:C3103))</f>
        <v/>
      </c>
      <c r="B3103" s="35" t="str">
        <f t="shared" si="64"/>
        <v/>
      </c>
      <c r="C3103" s="33"/>
      <c r="E3103" s="60"/>
      <c r="F3103" s="18"/>
      <c r="H3103" s="49"/>
      <c r="I3103" s="49"/>
      <c r="M3103" s="53"/>
    </row>
    <row r="3104" spans="1:15" x14ac:dyDescent="0.25">
      <c r="A3104" s="21" t="str">
        <f>IF(C3104="","",COUNTA($C$3:C3104))</f>
        <v/>
      </c>
      <c r="B3104" s="35" t="str">
        <f t="shared" si="64"/>
        <v/>
      </c>
      <c r="C3104" s="33"/>
      <c r="E3104" s="60"/>
      <c r="F3104" s="18"/>
      <c r="H3104" s="49"/>
      <c r="I3104" s="49"/>
      <c r="M3104" s="53"/>
    </row>
    <row r="3105" spans="1:13" x14ac:dyDescent="0.25">
      <c r="A3105" s="21" t="str">
        <f>IF(C3105="","",COUNTA($C$3:C3105))</f>
        <v/>
      </c>
      <c r="B3105" s="35" t="str">
        <f t="shared" si="64"/>
        <v/>
      </c>
      <c r="C3105" s="33"/>
      <c r="E3105" s="60"/>
      <c r="F3105" s="18"/>
      <c r="H3105" s="49"/>
      <c r="I3105" s="49"/>
      <c r="M3105" s="53"/>
    </row>
    <row r="3106" spans="1:13" x14ac:dyDescent="0.25">
      <c r="A3106" s="21" t="str">
        <f>IF(C3106="","",COUNTA($C$3:C3106))</f>
        <v/>
      </c>
      <c r="B3106" s="35" t="str">
        <f t="shared" si="64"/>
        <v/>
      </c>
      <c r="C3106" s="33"/>
      <c r="E3106" s="60"/>
      <c r="F3106" s="18"/>
      <c r="H3106" s="49"/>
      <c r="I3106" s="49"/>
      <c r="M3106" s="53"/>
    </row>
    <row r="3107" spans="1:13" x14ac:dyDescent="0.25">
      <c r="A3107" s="21" t="str">
        <f>IF(C3107="","",COUNTA($C$3:C3107))</f>
        <v/>
      </c>
      <c r="B3107" s="35" t="str">
        <f t="shared" si="64"/>
        <v/>
      </c>
      <c r="C3107" s="33"/>
      <c r="E3107" s="60"/>
      <c r="F3107" s="18"/>
      <c r="H3107" s="49"/>
      <c r="I3107" s="49"/>
      <c r="M3107" s="53"/>
    </row>
    <row r="3108" spans="1:13" x14ac:dyDescent="0.25">
      <c r="A3108" s="21" t="str">
        <f>IF(C3108="","",COUNTA($C$3:C3108))</f>
        <v/>
      </c>
      <c r="B3108" s="35" t="str">
        <f t="shared" si="64"/>
        <v/>
      </c>
      <c r="C3108" s="33"/>
      <c r="E3108" s="60"/>
      <c r="F3108" s="18"/>
      <c r="H3108" s="49"/>
      <c r="I3108" s="49"/>
      <c r="M3108" s="53"/>
    </row>
    <row r="3109" spans="1:13" x14ac:dyDescent="0.25">
      <c r="A3109" s="21" t="str">
        <f>IF(C3109="","",COUNTA($C$3:C3109))</f>
        <v/>
      </c>
      <c r="B3109" s="35" t="str">
        <f t="shared" si="64"/>
        <v/>
      </c>
      <c r="C3109" s="33"/>
      <c r="E3109" s="60"/>
      <c r="F3109" s="18"/>
      <c r="H3109" s="49"/>
      <c r="I3109" s="49"/>
      <c r="M3109" s="53"/>
    </row>
    <row r="3110" spans="1:13" x14ac:dyDescent="0.25">
      <c r="A3110" s="21" t="str">
        <f>IF(C3110="","",COUNTA($C$3:C3110))</f>
        <v/>
      </c>
      <c r="B3110" s="35" t="str">
        <f t="shared" si="64"/>
        <v/>
      </c>
      <c r="C3110" s="33"/>
      <c r="E3110" s="60"/>
      <c r="F3110" s="18"/>
      <c r="H3110" s="49"/>
      <c r="I3110" s="49"/>
      <c r="M3110" s="53"/>
    </row>
    <row r="3111" spans="1:13" x14ac:dyDescent="0.25">
      <c r="A3111" s="21" t="str">
        <f>IF(C3111="","",COUNTA($C$3:C3111))</f>
        <v/>
      </c>
      <c r="B3111" s="35" t="str">
        <f t="shared" si="64"/>
        <v/>
      </c>
      <c r="C3111" s="33"/>
      <c r="E3111" s="60"/>
      <c r="F3111" s="18"/>
      <c r="H3111" s="49"/>
      <c r="I3111" s="49"/>
      <c r="M3111" s="53"/>
    </row>
    <row r="3112" spans="1:13" x14ac:dyDescent="0.25">
      <c r="A3112" s="21" t="str">
        <f>IF(C3112="","",COUNTA($C$3:C3112))</f>
        <v/>
      </c>
      <c r="B3112" s="35" t="str">
        <f t="shared" si="64"/>
        <v/>
      </c>
      <c r="C3112" s="33"/>
      <c r="E3112" s="60"/>
      <c r="F3112" s="18"/>
      <c r="H3112" s="49"/>
      <c r="I3112" s="49"/>
      <c r="M3112" s="53"/>
    </row>
    <row r="3113" spans="1:13" x14ac:dyDescent="0.25">
      <c r="A3113" s="21" t="str">
        <f>IF(C3113="","",COUNTA($C$3:C3113))</f>
        <v/>
      </c>
      <c r="B3113" s="35" t="str">
        <f t="shared" si="64"/>
        <v/>
      </c>
      <c r="C3113" s="33"/>
      <c r="E3113" s="60"/>
      <c r="F3113" s="18"/>
      <c r="H3113" s="49"/>
      <c r="I3113" s="49"/>
      <c r="M3113" s="53"/>
    </row>
    <row r="3114" spans="1:13" x14ac:dyDescent="0.25">
      <c r="A3114" s="21" t="str">
        <f>IF(C3114="","",COUNTA($C$3:C3114))</f>
        <v/>
      </c>
      <c r="B3114" s="35" t="str">
        <f t="shared" si="64"/>
        <v/>
      </c>
      <c r="C3114" s="33"/>
      <c r="E3114" s="60"/>
      <c r="F3114" s="18"/>
      <c r="H3114" s="49"/>
      <c r="I3114" s="49"/>
      <c r="M3114" s="53"/>
    </row>
    <row r="3115" spans="1:13" x14ac:dyDescent="0.25">
      <c r="A3115" s="21" t="str">
        <f>IF(C3115="","",COUNTA($C$3:C3115))</f>
        <v/>
      </c>
      <c r="B3115" s="35" t="str">
        <f t="shared" si="64"/>
        <v/>
      </c>
      <c r="C3115" s="33"/>
      <c r="E3115" s="60"/>
      <c r="F3115" s="18"/>
      <c r="H3115" s="49"/>
      <c r="I3115" s="49"/>
      <c r="M3115" s="122"/>
    </row>
    <row r="3116" spans="1:13" x14ac:dyDescent="0.25">
      <c r="A3116" s="21" t="str">
        <f>IF(C3116="","",COUNTA($C$3:C3116))</f>
        <v/>
      </c>
      <c r="B3116" s="35" t="str">
        <f t="shared" si="64"/>
        <v/>
      </c>
      <c r="C3116" s="33"/>
      <c r="E3116" s="60"/>
      <c r="F3116" s="18"/>
      <c r="H3116" s="49"/>
      <c r="I3116" s="49"/>
      <c r="L3116" s="53"/>
      <c r="M3116" s="122"/>
    </row>
    <row r="3117" spans="1:13" x14ac:dyDescent="0.25">
      <c r="A3117" s="21" t="str">
        <f>IF(C3117="","",COUNTA($C$3:C3117))</f>
        <v/>
      </c>
      <c r="B3117" s="35" t="str">
        <f t="shared" si="64"/>
        <v/>
      </c>
      <c r="C3117" s="33"/>
      <c r="E3117" s="60"/>
      <c r="F3117" s="18"/>
      <c r="H3117" s="49"/>
      <c r="I3117" s="49"/>
      <c r="L3117" s="53"/>
      <c r="M3117" s="122"/>
    </row>
    <row r="3118" spans="1:13" x14ac:dyDescent="0.25">
      <c r="A3118" s="21" t="str">
        <f>IF(C3118="","",COUNTA($C$3:C3118))</f>
        <v/>
      </c>
      <c r="B3118" s="35" t="str">
        <f t="shared" si="64"/>
        <v/>
      </c>
      <c r="C3118" s="33"/>
      <c r="E3118" s="60"/>
      <c r="F3118" s="18"/>
      <c r="H3118" s="49"/>
      <c r="I3118" s="49"/>
      <c r="M3118" s="122"/>
    </row>
    <row r="3119" spans="1:13" x14ac:dyDescent="0.25">
      <c r="A3119" s="21" t="str">
        <f>IF(C3119="","",COUNTA($C$3:C3119))</f>
        <v/>
      </c>
      <c r="B3119" s="35" t="str">
        <f t="shared" si="64"/>
        <v/>
      </c>
      <c r="C3119" s="33"/>
      <c r="E3119" s="60"/>
      <c r="F3119" s="18"/>
      <c r="H3119" s="49"/>
      <c r="I3119" s="49"/>
      <c r="L3119" s="48"/>
      <c r="M3119" s="122"/>
    </row>
    <row r="3120" spans="1:13" x14ac:dyDescent="0.25">
      <c r="A3120" s="21" t="str">
        <f>IF(C3120="","",COUNTA($C$3:C3120))</f>
        <v/>
      </c>
      <c r="B3120" s="35" t="str">
        <f t="shared" si="64"/>
        <v/>
      </c>
      <c r="C3120" s="33"/>
      <c r="E3120" s="60"/>
      <c r="F3120" s="18"/>
      <c r="H3120" s="49"/>
      <c r="I3120" s="49"/>
      <c r="M3120" s="53"/>
    </row>
    <row r="3121" spans="1:17" x14ac:dyDescent="0.25">
      <c r="A3121" s="21" t="str">
        <f>IF(C3121="","",COUNTA($C$3:C3121))</f>
        <v/>
      </c>
      <c r="B3121" s="35" t="str">
        <f t="shared" si="64"/>
        <v/>
      </c>
      <c r="C3121" s="33"/>
      <c r="E3121" s="60"/>
      <c r="F3121" s="18"/>
      <c r="H3121" s="49"/>
      <c r="I3121" s="49"/>
      <c r="L3121" s="53"/>
      <c r="M3121" s="53"/>
    </row>
    <row r="3122" spans="1:17" x14ac:dyDescent="0.25">
      <c r="A3122" s="21" t="str">
        <f>IF(C3122="","",COUNTA($C$3:C3122))</f>
        <v/>
      </c>
      <c r="B3122" s="35" t="str">
        <f t="shared" si="64"/>
        <v/>
      </c>
      <c r="C3122" s="33"/>
      <c r="E3122" s="60"/>
      <c r="F3122" s="18"/>
      <c r="H3122" s="49"/>
      <c r="I3122" s="49"/>
      <c r="M3122" s="53"/>
    </row>
    <row r="3123" spans="1:17" x14ac:dyDescent="0.25">
      <c r="A3123" s="21" t="str">
        <f>IF(C3123="","",COUNTA($C$3:C3123))</f>
        <v/>
      </c>
      <c r="B3123" s="35" t="str">
        <f t="shared" si="64"/>
        <v/>
      </c>
      <c r="C3123" s="33"/>
      <c r="E3123" s="60"/>
      <c r="F3123" s="18"/>
      <c r="H3123" s="49"/>
      <c r="I3123" s="49"/>
      <c r="M3123" s="53"/>
    </row>
    <row r="3124" spans="1:17" x14ac:dyDescent="0.25">
      <c r="A3124" s="21" t="str">
        <f>IF(C3124="","",COUNTA($C$3:C3124))</f>
        <v/>
      </c>
      <c r="B3124" s="35" t="str">
        <f t="shared" si="64"/>
        <v/>
      </c>
      <c r="C3124" s="33"/>
      <c r="E3124" s="60"/>
      <c r="F3124" s="18"/>
      <c r="H3124" s="49"/>
      <c r="I3124" s="49"/>
      <c r="M3124" s="53"/>
    </row>
    <row r="3125" spans="1:17" x14ac:dyDescent="0.25">
      <c r="A3125" s="21" t="str">
        <f>IF(C3125="","",COUNTA($C$3:C3125))</f>
        <v/>
      </c>
      <c r="B3125" s="35" t="str">
        <f t="shared" si="64"/>
        <v/>
      </c>
      <c r="C3125" s="33"/>
      <c r="E3125" s="60"/>
      <c r="F3125" s="18"/>
      <c r="H3125" s="49"/>
      <c r="I3125" s="49"/>
      <c r="M3125" s="53"/>
    </row>
    <row r="3126" spans="1:17" x14ac:dyDescent="0.25">
      <c r="A3126" s="21" t="str">
        <f>IF(C3126="","",COUNTA($C$3:C3126))</f>
        <v/>
      </c>
      <c r="B3126" s="35" t="str">
        <f t="shared" si="64"/>
        <v/>
      </c>
      <c r="C3126" s="33"/>
      <c r="E3126" s="60"/>
      <c r="F3126" s="18"/>
      <c r="H3126" s="49"/>
      <c r="I3126" s="49"/>
      <c r="M3126" s="53"/>
    </row>
    <row r="3127" spans="1:17" x14ac:dyDescent="0.25">
      <c r="A3127" s="21" t="str">
        <f>IF(C3127="","",COUNTA($C$3:C3127))</f>
        <v/>
      </c>
      <c r="B3127" s="35" t="str">
        <f t="shared" si="64"/>
        <v/>
      </c>
      <c r="C3127" s="33"/>
      <c r="E3127" s="60"/>
      <c r="F3127" s="18"/>
      <c r="H3127" s="49"/>
      <c r="I3127" s="49"/>
      <c r="M3127" s="53"/>
    </row>
    <row r="3128" spans="1:17" x14ac:dyDescent="0.25">
      <c r="A3128" s="21" t="str">
        <f>IF(C3128="","",COUNTA($C$3:C3128))</f>
        <v/>
      </c>
      <c r="B3128" s="35" t="str">
        <f t="shared" si="64"/>
        <v/>
      </c>
      <c r="C3128" s="33"/>
      <c r="E3128" s="60"/>
      <c r="F3128" s="18"/>
      <c r="H3128" s="49"/>
      <c r="I3128" s="49"/>
      <c r="M3128" s="53"/>
    </row>
    <row r="3129" spans="1:17" x14ac:dyDescent="0.25">
      <c r="A3129" s="21" t="str">
        <f>IF(C3129="","",COUNTA($C$3:C3129))</f>
        <v/>
      </c>
      <c r="B3129" s="35" t="str">
        <f t="shared" si="64"/>
        <v/>
      </c>
      <c r="C3129" s="33"/>
      <c r="E3129" s="60"/>
      <c r="F3129" s="18"/>
      <c r="H3129" s="49"/>
      <c r="I3129" s="49"/>
      <c r="M3129" s="53"/>
    </row>
    <row r="3130" spans="1:17" x14ac:dyDescent="0.25">
      <c r="A3130" s="21" t="str">
        <f>IF(C3130="","",COUNTA($C$3:C3130))</f>
        <v/>
      </c>
      <c r="B3130" s="35" t="str">
        <f t="shared" si="64"/>
        <v/>
      </c>
      <c r="C3130" s="33"/>
      <c r="E3130" s="60"/>
      <c r="F3130" s="18"/>
      <c r="H3130" s="49"/>
      <c r="I3130" s="49"/>
      <c r="M3130" s="53"/>
    </row>
    <row r="3131" spans="1:17" x14ac:dyDescent="0.25">
      <c r="A3131" s="21" t="str">
        <f>IF(C3131="","",COUNTA($C$3:C3131))</f>
        <v/>
      </c>
      <c r="B3131" s="35" t="str">
        <f t="shared" si="64"/>
        <v/>
      </c>
      <c r="C3131" s="33"/>
      <c r="E3131" s="60"/>
      <c r="F3131" s="18"/>
      <c r="H3131" s="49"/>
      <c r="I3131" s="49"/>
      <c r="L3131" s="62"/>
      <c r="M3131" s="53"/>
    </row>
    <row r="3132" spans="1:17" x14ac:dyDescent="0.25">
      <c r="A3132" s="21" t="str">
        <f>IF(C3132="","",COUNTA($C$3:C3132))</f>
        <v/>
      </c>
      <c r="B3132" s="35" t="str">
        <f t="shared" si="64"/>
        <v/>
      </c>
      <c r="C3132" s="33"/>
      <c r="E3132" s="60"/>
      <c r="F3132" s="18"/>
      <c r="H3132" s="49"/>
      <c r="I3132" s="49"/>
      <c r="M3132" s="53"/>
      <c r="O3132" s="59"/>
      <c r="P3132" s="59"/>
      <c r="Q3132" s="59"/>
    </row>
    <row r="3133" spans="1:17" x14ac:dyDescent="0.25">
      <c r="A3133" s="21" t="str">
        <f>IF(C3133="","",COUNTA($C$3:C3133))</f>
        <v/>
      </c>
      <c r="B3133" s="35" t="str">
        <f t="shared" si="64"/>
        <v/>
      </c>
      <c r="C3133" s="33"/>
      <c r="E3133" s="60"/>
      <c r="F3133" s="18"/>
      <c r="H3133" s="49"/>
      <c r="I3133" s="49"/>
      <c r="L3133" s="62"/>
      <c r="M3133" s="53"/>
      <c r="O3133" s="59"/>
      <c r="P3133" s="59"/>
      <c r="Q3133" s="59"/>
    </row>
    <row r="3134" spans="1:17" x14ac:dyDescent="0.25">
      <c r="A3134" s="21" t="str">
        <f>IF(C3134="","",COUNTA($C$3:C3134))</f>
        <v/>
      </c>
      <c r="B3134" s="35" t="str">
        <f t="shared" si="64"/>
        <v/>
      </c>
      <c r="C3134" s="33"/>
      <c r="E3134" s="60"/>
      <c r="F3134" s="18"/>
      <c r="H3134" s="49"/>
      <c r="I3134" s="49"/>
      <c r="L3134" s="62"/>
      <c r="M3134" s="53"/>
      <c r="O3134" s="59"/>
      <c r="P3134" s="69"/>
      <c r="Q3134" s="59"/>
    </row>
    <row r="3135" spans="1:17" x14ac:dyDescent="0.25">
      <c r="A3135" s="21" t="str">
        <f>IF(C3135="","",COUNTA($C$3:C3135))</f>
        <v/>
      </c>
      <c r="B3135" s="35" t="str">
        <f t="shared" si="64"/>
        <v/>
      </c>
      <c r="C3135" s="33"/>
      <c r="E3135" s="60"/>
      <c r="F3135" s="18"/>
      <c r="H3135" s="49"/>
      <c r="I3135" s="49"/>
      <c r="L3135" s="62"/>
      <c r="M3135" s="53"/>
    </row>
    <row r="3136" spans="1:17" x14ac:dyDescent="0.25">
      <c r="A3136" s="21" t="str">
        <f>IF(C3136="","",COUNTA($C$3:C3136))</f>
        <v/>
      </c>
      <c r="B3136" s="35" t="str">
        <f t="shared" si="64"/>
        <v/>
      </c>
      <c r="C3136" s="33"/>
      <c r="E3136" s="60"/>
      <c r="F3136" s="18"/>
      <c r="H3136" s="49"/>
      <c r="I3136" s="49"/>
      <c r="M3136" s="53"/>
    </row>
    <row r="3137" spans="1:15" x14ac:dyDescent="0.25">
      <c r="A3137" s="21" t="str">
        <f>IF(C3137="","",COUNTA($C$3:C3137))</f>
        <v/>
      </c>
      <c r="B3137" s="35" t="str">
        <f t="shared" si="64"/>
        <v/>
      </c>
      <c r="C3137" s="33"/>
      <c r="E3137" s="60"/>
      <c r="F3137" s="18"/>
      <c r="H3137" s="49"/>
      <c r="I3137" s="49"/>
      <c r="M3137" s="53"/>
    </row>
    <row r="3138" spans="1:15" x14ac:dyDescent="0.25">
      <c r="A3138" s="21" t="str">
        <f>IF(C3138="","",COUNTA($C$3:C3138))</f>
        <v/>
      </c>
      <c r="B3138" s="35" t="str">
        <f t="shared" si="64"/>
        <v/>
      </c>
      <c r="C3138" s="33"/>
      <c r="E3138" s="60"/>
      <c r="F3138" s="18"/>
      <c r="H3138" s="49"/>
      <c r="I3138" s="49"/>
      <c r="M3138" s="53"/>
    </row>
    <row r="3139" spans="1:15" x14ac:dyDescent="0.25">
      <c r="A3139" s="21" t="str">
        <f>IF(C3139="","",COUNTA($C$3:C3139))</f>
        <v/>
      </c>
      <c r="B3139" s="35" t="str">
        <f t="shared" si="64"/>
        <v/>
      </c>
      <c r="C3139" s="33"/>
      <c r="E3139" s="60"/>
      <c r="F3139" s="18"/>
      <c r="H3139" s="49"/>
      <c r="I3139" s="49"/>
      <c r="M3139" s="53"/>
    </row>
    <row r="3140" spans="1:15" x14ac:dyDescent="0.25">
      <c r="A3140" s="21" t="str">
        <f>IF(C3140="","",COUNTA($C$3:C3140))</f>
        <v/>
      </c>
      <c r="B3140" s="35" t="str">
        <f t="shared" si="64"/>
        <v/>
      </c>
      <c r="C3140" s="33"/>
      <c r="E3140" s="60"/>
      <c r="F3140" s="18"/>
      <c r="H3140" s="49"/>
      <c r="I3140" s="49"/>
      <c r="M3140" s="53"/>
    </row>
    <row r="3141" spans="1:15" x14ac:dyDescent="0.25">
      <c r="A3141" s="21" t="str">
        <f>IF(C3141="","",COUNTA($C$3:C3141))</f>
        <v/>
      </c>
      <c r="B3141" s="35" t="str">
        <f t="shared" ref="B3141:B3204" si="65">IF(C3141="","",TEXT(C3141,"mmmm"))</f>
        <v/>
      </c>
      <c r="C3141" s="33"/>
      <c r="E3141" s="60"/>
      <c r="F3141" s="18"/>
      <c r="H3141" s="49"/>
      <c r="I3141" s="49"/>
      <c r="M3141" s="53"/>
    </row>
    <row r="3142" spans="1:15" x14ac:dyDescent="0.25">
      <c r="A3142" s="21" t="str">
        <f>IF(C3142="","",COUNTA($C$3:C3142))</f>
        <v/>
      </c>
      <c r="B3142" s="35" t="str">
        <f t="shared" si="65"/>
        <v/>
      </c>
      <c r="C3142" s="33"/>
      <c r="E3142" s="60"/>
      <c r="F3142" s="18"/>
      <c r="H3142" s="49"/>
      <c r="I3142" s="49"/>
      <c r="M3142" s="53"/>
    </row>
    <row r="3143" spans="1:15" x14ac:dyDescent="0.25">
      <c r="A3143" s="21" t="str">
        <f>IF(C3143="","",COUNTA($C$3:C3143))</f>
        <v/>
      </c>
      <c r="B3143" s="35" t="str">
        <f t="shared" si="65"/>
        <v/>
      </c>
      <c r="C3143" s="33"/>
      <c r="E3143" s="60"/>
      <c r="F3143" s="18"/>
      <c r="H3143" s="49"/>
      <c r="I3143" s="49"/>
      <c r="M3143" s="53"/>
    </row>
    <row r="3144" spans="1:15" x14ac:dyDescent="0.25">
      <c r="A3144" s="21" t="str">
        <f>IF(C3144="","",COUNTA($C$3:C3144))</f>
        <v/>
      </c>
      <c r="B3144" s="35" t="str">
        <f t="shared" si="65"/>
        <v/>
      </c>
      <c r="C3144" s="33"/>
      <c r="E3144" s="60"/>
      <c r="F3144" s="18"/>
      <c r="H3144" s="49"/>
      <c r="I3144" s="49"/>
      <c r="M3144" s="53"/>
    </row>
    <row r="3145" spans="1:15" x14ac:dyDescent="0.25">
      <c r="A3145" s="21" t="str">
        <f>IF(C3145="","",COUNTA($C$3:C3145))</f>
        <v/>
      </c>
      <c r="B3145" s="35" t="str">
        <f t="shared" si="65"/>
        <v/>
      </c>
      <c r="C3145" s="33"/>
      <c r="E3145" s="60"/>
      <c r="F3145" s="18"/>
      <c r="H3145" s="49"/>
      <c r="I3145" s="49"/>
      <c r="M3145" s="53"/>
    </row>
    <row r="3146" spans="1:15" x14ac:dyDescent="0.25">
      <c r="A3146" s="21" t="str">
        <f>IF(C3146="","",COUNTA($C$3:C3146))</f>
        <v/>
      </c>
      <c r="B3146" s="35" t="str">
        <f t="shared" si="65"/>
        <v/>
      </c>
      <c r="C3146" s="33"/>
      <c r="E3146" s="60"/>
      <c r="F3146" s="18"/>
      <c r="H3146" s="49"/>
      <c r="I3146" s="49"/>
      <c r="M3146" s="53"/>
    </row>
    <row r="3147" spans="1:15" x14ac:dyDescent="0.25">
      <c r="A3147" s="21" t="str">
        <f>IF(C3147="","",COUNTA($C$3:C3147))</f>
        <v/>
      </c>
      <c r="B3147" s="35" t="str">
        <f t="shared" si="65"/>
        <v/>
      </c>
      <c r="C3147" s="33"/>
      <c r="E3147" s="60"/>
      <c r="F3147" s="18"/>
      <c r="H3147" s="49"/>
      <c r="I3147" s="49"/>
      <c r="M3147" s="53"/>
    </row>
    <row r="3148" spans="1:15" x14ac:dyDescent="0.25">
      <c r="A3148" s="21" t="str">
        <f>IF(C3148="","",COUNTA($C$3:C3148))</f>
        <v/>
      </c>
      <c r="B3148" s="35" t="str">
        <f t="shared" si="65"/>
        <v/>
      </c>
      <c r="C3148" s="33"/>
      <c r="E3148" s="60"/>
      <c r="F3148" s="18"/>
      <c r="H3148" s="49"/>
      <c r="I3148" s="49"/>
      <c r="M3148" s="53"/>
    </row>
    <row r="3149" spans="1:15" x14ac:dyDescent="0.25">
      <c r="A3149" s="21" t="str">
        <f>IF(C3149="","",COUNTA($C$3:C3149))</f>
        <v/>
      </c>
      <c r="B3149" s="35" t="str">
        <f t="shared" si="65"/>
        <v/>
      </c>
      <c r="C3149" s="33"/>
      <c r="E3149" s="60"/>
      <c r="F3149" s="18"/>
      <c r="H3149" s="49"/>
      <c r="I3149" s="49"/>
      <c r="L3149" s="53"/>
      <c r="M3149" s="53"/>
    </row>
    <row r="3150" spans="1:15" x14ac:dyDescent="0.25">
      <c r="A3150" s="21" t="str">
        <f>IF(C3150="","",COUNTA($C$3:C3150))</f>
        <v/>
      </c>
      <c r="B3150" s="35" t="str">
        <f t="shared" si="65"/>
        <v/>
      </c>
      <c r="C3150" s="33"/>
      <c r="E3150" s="60"/>
      <c r="F3150" s="18"/>
      <c r="H3150" s="49"/>
      <c r="I3150" s="49"/>
      <c r="M3150" s="53"/>
      <c r="O3150" s="59"/>
    </row>
    <row r="3151" spans="1:15" x14ac:dyDescent="0.25">
      <c r="A3151" s="21" t="str">
        <f>IF(C3151="","",COUNTA($C$3:C3151))</f>
        <v/>
      </c>
      <c r="B3151" s="35" t="str">
        <f t="shared" si="65"/>
        <v/>
      </c>
      <c r="C3151" s="33"/>
      <c r="E3151" s="60"/>
      <c r="F3151" s="18"/>
      <c r="H3151" s="49"/>
      <c r="I3151" s="49"/>
      <c r="L3151" s="62"/>
      <c r="M3151" s="53"/>
      <c r="O3151" s="112"/>
    </row>
    <row r="3152" spans="1:15" x14ac:dyDescent="0.25">
      <c r="A3152" s="21" t="str">
        <f>IF(C3152="","",COUNTA($C$3:C3152))</f>
        <v/>
      </c>
      <c r="B3152" s="35" t="str">
        <f t="shared" si="65"/>
        <v/>
      </c>
      <c r="C3152" s="33"/>
      <c r="E3152" s="60"/>
      <c r="F3152" s="18"/>
      <c r="H3152" s="49"/>
      <c r="I3152" s="49"/>
      <c r="M3152" s="53"/>
    </row>
    <row r="3153" spans="1:17" x14ac:dyDescent="0.25">
      <c r="A3153" s="21" t="str">
        <f>IF(C3153="","",COUNTA($C$3:C3153))</f>
        <v/>
      </c>
      <c r="B3153" s="35" t="str">
        <f t="shared" si="65"/>
        <v/>
      </c>
      <c r="C3153" s="33"/>
      <c r="E3153" s="60"/>
      <c r="F3153" s="18"/>
      <c r="H3153" s="49"/>
      <c r="I3153" s="49"/>
      <c r="M3153" s="53"/>
    </row>
    <row r="3154" spans="1:17" x14ac:dyDescent="0.25">
      <c r="A3154" s="21" t="str">
        <f>IF(C3154="","",COUNTA($C$3:C3154))</f>
        <v/>
      </c>
      <c r="B3154" s="35" t="str">
        <f t="shared" si="65"/>
        <v/>
      </c>
      <c r="C3154" s="33"/>
      <c r="E3154" s="60"/>
      <c r="F3154" s="18"/>
      <c r="H3154" s="49"/>
      <c r="I3154" s="49"/>
      <c r="M3154" s="53"/>
      <c r="O3154" s="59"/>
      <c r="P3154" s="112"/>
      <c r="Q3154" s="59"/>
    </row>
    <row r="3155" spans="1:17" x14ac:dyDescent="0.25">
      <c r="A3155" s="21" t="str">
        <f>IF(C3155="","",COUNTA($C$3:C3155))</f>
        <v/>
      </c>
      <c r="B3155" s="35" t="str">
        <f t="shared" si="65"/>
        <v/>
      </c>
      <c r="C3155" s="33"/>
      <c r="E3155" s="60"/>
      <c r="F3155" s="18"/>
      <c r="H3155" s="49"/>
      <c r="I3155" s="49"/>
      <c r="M3155" s="53"/>
    </row>
    <row r="3156" spans="1:17" x14ac:dyDescent="0.25">
      <c r="A3156" s="21" t="str">
        <f>IF(C3156="","",COUNTA($C$3:C3156))</f>
        <v/>
      </c>
      <c r="B3156" s="35" t="str">
        <f t="shared" si="65"/>
        <v/>
      </c>
      <c r="C3156" s="33"/>
      <c r="E3156" s="60"/>
      <c r="F3156" s="18"/>
      <c r="H3156" s="49"/>
      <c r="I3156" s="49"/>
      <c r="M3156" s="53"/>
    </row>
    <row r="3157" spans="1:17" x14ac:dyDescent="0.25">
      <c r="A3157" s="21" t="str">
        <f>IF(C3157="","",COUNTA($C$3:C3157))</f>
        <v/>
      </c>
      <c r="B3157" s="35" t="str">
        <f t="shared" si="65"/>
        <v/>
      </c>
      <c r="C3157" s="33"/>
      <c r="E3157" s="60"/>
      <c r="F3157" s="18"/>
      <c r="H3157" s="49"/>
      <c r="I3157" s="49"/>
      <c r="M3157" s="53"/>
    </row>
    <row r="3158" spans="1:17" x14ac:dyDescent="0.25">
      <c r="A3158" s="21" t="str">
        <f>IF(C3158="","",COUNTA($C$3:C3158))</f>
        <v/>
      </c>
      <c r="B3158" s="35" t="str">
        <f t="shared" si="65"/>
        <v/>
      </c>
      <c r="C3158" s="33"/>
      <c r="E3158" s="60"/>
      <c r="F3158" s="18"/>
      <c r="H3158" s="49"/>
      <c r="I3158" s="76"/>
      <c r="M3158" s="53"/>
    </row>
    <row r="3159" spans="1:17" x14ac:dyDescent="0.25">
      <c r="A3159" s="21" t="str">
        <f>IF(C3159="","",COUNTA($C$3:C3159))</f>
        <v/>
      </c>
      <c r="B3159" s="35" t="str">
        <f t="shared" si="65"/>
        <v/>
      </c>
      <c r="C3159" s="33"/>
      <c r="E3159" s="60"/>
      <c r="F3159" s="18"/>
      <c r="H3159" s="49"/>
      <c r="I3159" s="49"/>
      <c r="M3159" s="53"/>
    </row>
    <row r="3160" spans="1:17" x14ac:dyDescent="0.25">
      <c r="A3160" s="21" t="str">
        <f>IF(C3160="","",COUNTA($C$3:C3160))</f>
        <v/>
      </c>
      <c r="B3160" s="35" t="str">
        <f t="shared" si="65"/>
        <v/>
      </c>
      <c r="C3160" s="33"/>
      <c r="E3160" s="60"/>
      <c r="F3160" s="18"/>
      <c r="H3160" s="49"/>
      <c r="I3160" s="49"/>
      <c r="M3160" s="53"/>
    </row>
    <row r="3161" spans="1:17" x14ac:dyDescent="0.25">
      <c r="A3161" s="21" t="str">
        <f>IF(C3161="","",COUNTA($C$3:C3161))</f>
        <v/>
      </c>
      <c r="B3161" s="35" t="str">
        <f t="shared" si="65"/>
        <v/>
      </c>
      <c r="C3161" s="33"/>
      <c r="E3161" s="60"/>
      <c r="F3161" s="18"/>
      <c r="H3161" s="49"/>
      <c r="I3161" s="49"/>
      <c r="M3161" s="53"/>
    </row>
    <row r="3162" spans="1:17" x14ac:dyDescent="0.25">
      <c r="A3162" s="21" t="str">
        <f>IF(C3162="","",COUNTA($C$3:C3162))</f>
        <v/>
      </c>
      <c r="B3162" s="35" t="str">
        <f t="shared" si="65"/>
        <v/>
      </c>
      <c r="C3162" s="33"/>
      <c r="E3162" s="60"/>
      <c r="F3162" s="18"/>
      <c r="H3162" s="49"/>
      <c r="I3162" s="49"/>
      <c r="M3162" s="53"/>
    </row>
    <row r="3163" spans="1:17" x14ac:dyDescent="0.25">
      <c r="A3163" s="21" t="str">
        <f>IF(C3163="","",COUNTA($C$3:C3163))</f>
        <v/>
      </c>
      <c r="B3163" s="35" t="str">
        <f t="shared" si="65"/>
        <v/>
      </c>
      <c r="C3163" s="33"/>
      <c r="E3163" s="60"/>
      <c r="F3163" s="18"/>
      <c r="H3163" s="49"/>
      <c r="I3163" s="49"/>
      <c r="M3163" s="53"/>
    </row>
    <row r="3164" spans="1:17" x14ac:dyDescent="0.25">
      <c r="A3164" s="21" t="str">
        <f>IF(C3164="","",COUNTA($C$3:C3164))</f>
        <v/>
      </c>
      <c r="B3164" s="35" t="str">
        <f t="shared" si="65"/>
        <v/>
      </c>
      <c r="C3164" s="33"/>
      <c r="E3164" s="60"/>
      <c r="F3164" s="18"/>
      <c r="H3164" s="49"/>
      <c r="I3164" s="49"/>
      <c r="L3164" s="62"/>
      <c r="M3164" s="53"/>
    </row>
    <row r="3165" spans="1:17" x14ac:dyDescent="0.25">
      <c r="A3165" s="21" t="str">
        <f>IF(C3165="","",COUNTA($C$3:C3165))</f>
        <v/>
      </c>
      <c r="B3165" s="35" t="str">
        <f t="shared" si="65"/>
        <v/>
      </c>
      <c r="C3165" s="33"/>
      <c r="E3165" s="60"/>
      <c r="F3165" s="18"/>
      <c r="H3165" s="49"/>
      <c r="I3165" s="49"/>
      <c r="K3165" s="55"/>
      <c r="L3165" s="62"/>
      <c r="M3165" s="53"/>
    </row>
    <row r="3166" spans="1:17" x14ac:dyDescent="0.25">
      <c r="A3166" s="21" t="str">
        <f>IF(C3166="","",COUNTA($C$3:C3166))</f>
        <v/>
      </c>
      <c r="B3166" s="35" t="str">
        <f t="shared" si="65"/>
        <v/>
      </c>
      <c r="C3166" s="33"/>
      <c r="E3166" s="60"/>
      <c r="F3166" s="18"/>
      <c r="H3166" s="49"/>
      <c r="I3166" s="49"/>
      <c r="M3166" s="53"/>
      <c r="O3166" s="59"/>
      <c r="P3166" s="117"/>
      <c r="Q3166" s="59"/>
    </row>
    <row r="3167" spans="1:17" x14ac:dyDescent="0.25">
      <c r="A3167" s="21" t="str">
        <f>IF(C3167="","",COUNTA($C$3:C3167))</f>
        <v/>
      </c>
      <c r="B3167" s="35" t="str">
        <f t="shared" si="65"/>
        <v/>
      </c>
      <c r="C3167" s="33"/>
      <c r="E3167" s="60"/>
      <c r="F3167" s="18"/>
      <c r="H3167" s="49"/>
      <c r="I3167" s="49"/>
      <c r="M3167" s="53"/>
    </row>
    <row r="3168" spans="1:17" x14ac:dyDescent="0.25">
      <c r="A3168" s="21" t="str">
        <f>IF(C3168="","",COUNTA($C$3:C3168))</f>
        <v/>
      </c>
      <c r="B3168" s="35" t="str">
        <f t="shared" si="65"/>
        <v/>
      </c>
      <c r="C3168" s="33"/>
      <c r="E3168" s="60"/>
      <c r="F3168" s="18"/>
      <c r="H3168" s="49"/>
      <c r="I3168" s="49"/>
      <c r="M3168" s="53"/>
    </row>
    <row r="3169" spans="1:15" x14ac:dyDescent="0.25">
      <c r="A3169" s="21" t="str">
        <f>IF(C3169="","",COUNTA($C$3:C3169))</f>
        <v/>
      </c>
      <c r="B3169" s="35" t="str">
        <f t="shared" si="65"/>
        <v/>
      </c>
      <c r="C3169" s="33"/>
      <c r="E3169" s="60"/>
      <c r="F3169" s="18"/>
      <c r="H3169" s="49"/>
      <c r="I3169" s="49"/>
      <c r="K3169" s="67"/>
      <c r="M3169" s="53"/>
      <c r="O3169" s="59"/>
    </row>
    <row r="3170" spans="1:15" x14ac:dyDescent="0.25">
      <c r="A3170" s="21" t="str">
        <f>IF(C3170="","",COUNTA($C$3:C3170))</f>
        <v/>
      </c>
      <c r="B3170" s="35" t="str">
        <f t="shared" si="65"/>
        <v/>
      </c>
      <c r="C3170" s="33"/>
      <c r="E3170" s="60"/>
      <c r="F3170" s="18"/>
      <c r="H3170" s="49"/>
      <c r="I3170" s="49"/>
      <c r="M3170" s="53"/>
      <c r="O3170" s="69"/>
    </row>
    <row r="3171" spans="1:15" x14ac:dyDescent="0.25">
      <c r="A3171" s="21" t="str">
        <f>IF(C3171="","",COUNTA($C$3:C3171))</f>
        <v/>
      </c>
      <c r="B3171" s="35" t="str">
        <f t="shared" si="65"/>
        <v/>
      </c>
      <c r="C3171" s="33"/>
      <c r="E3171" s="60"/>
      <c r="F3171" s="18"/>
      <c r="H3171" s="49"/>
      <c r="I3171" s="49"/>
      <c r="M3171" s="53"/>
    </row>
    <row r="3172" spans="1:15" x14ac:dyDescent="0.25">
      <c r="A3172" s="21" t="str">
        <f>IF(C3172="","",COUNTA($C$3:C3172))</f>
        <v/>
      </c>
      <c r="B3172" s="35" t="str">
        <f t="shared" si="65"/>
        <v/>
      </c>
      <c r="C3172" s="33"/>
      <c r="E3172" s="60"/>
      <c r="F3172" s="18"/>
      <c r="H3172" s="49"/>
      <c r="I3172" s="49"/>
      <c r="K3172" s="55"/>
      <c r="M3172" s="53"/>
    </row>
    <row r="3173" spans="1:15" x14ac:dyDescent="0.25">
      <c r="A3173" s="21" t="str">
        <f>IF(C3173="","",COUNTA($C$3:C3173))</f>
        <v/>
      </c>
      <c r="B3173" s="35" t="str">
        <f t="shared" si="65"/>
        <v/>
      </c>
      <c r="C3173" s="33"/>
      <c r="E3173" s="60"/>
      <c r="F3173" s="18"/>
      <c r="H3173" s="49"/>
      <c r="I3173" s="49"/>
      <c r="M3173" s="53"/>
    </row>
    <row r="3174" spans="1:15" x14ac:dyDescent="0.25">
      <c r="A3174" s="21" t="str">
        <f>IF(C3174="","",COUNTA($C$3:C3174))</f>
        <v/>
      </c>
      <c r="B3174" s="35" t="str">
        <f t="shared" si="65"/>
        <v/>
      </c>
      <c r="C3174" s="33"/>
      <c r="E3174" s="60"/>
      <c r="F3174" s="18"/>
      <c r="H3174" s="49"/>
      <c r="I3174" s="49"/>
      <c r="M3174" s="53"/>
    </row>
    <row r="3175" spans="1:15" x14ac:dyDescent="0.25">
      <c r="A3175" s="21" t="str">
        <f>IF(C3175="","",COUNTA($C$3:C3175))</f>
        <v/>
      </c>
      <c r="B3175" s="35" t="str">
        <f t="shared" si="65"/>
        <v/>
      </c>
      <c r="C3175" s="33"/>
      <c r="E3175" s="60"/>
      <c r="F3175" s="18"/>
      <c r="H3175" s="49"/>
      <c r="I3175" s="49"/>
      <c r="M3175" s="53"/>
    </row>
    <row r="3176" spans="1:15" x14ac:dyDescent="0.25">
      <c r="A3176" s="21" t="str">
        <f>IF(C3176="","",COUNTA($C$3:C3176))</f>
        <v/>
      </c>
      <c r="B3176" s="35" t="str">
        <f t="shared" si="65"/>
        <v/>
      </c>
      <c r="C3176" s="33"/>
      <c r="E3176" s="60"/>
      <c r="F3176" s="18"/>
      <c r="H3176" s="49"/>
      <c r="I3176" s="49"/>
      <c r="K3176" s="67"/>
      <c r="M3176" s="53"/>
    </row>
    <row r="3177" spans="1:15" x14ac:dyDescent="0.25">
      <c r="A3177" s="21" t="str">
        <f>IF(C3177="","",COUNTA($C$3:C3177))</f>
        <v/>
      </c>
      <c r="B3177" s="35" t="str">
        <f t="shared" si="65"/>
        <v/>
      </c>
      <c r="C3177" s="33"/>
      <c r="E3177" s="60"/>
      <c r="F3177" s="18"/>
      <c r="H3177" s="49"/>
      <c r="I3177" s="49"/>
      <c r="M3177" s="53"/>
    </row>
    <row r="3178" spans="1:15" x14ac:dyDescent="0.25">
      <c r="A3178" s="21" t="str">
        <f>IF(C3178="","",COUNTA($C$3:C3178))</f>
        <v/>
      </c>
      <c r="B3178" s="35" t="str">
        <f t="shared" si="65"/>
        <v/>
      </c>
      <c r="C3178" s="33"/>
      <c r="E3178" s="60"/>
      <c r="F3178" s="18"/>
      <c r="H3178" s="49"/>
      <c r="I3178" s="49"/>
      <c r="M3178" s="53"/>
    </row>
    <row r="3179" spans="1:15" x14ac:dyDescent="0.25">
      <c r="A3179" s="21" t="str">
        <f>IF(C3179="","",COUNTA($C$3:C3179))</f>
        <v/>
      </c>
      <c r="B3179" s="35" t="str">
        <f t="shared" si="65"/>
        <v/>
      </c>
      <c r="C3179" s="33"/>
      <c r="E3179" s="60"/>
      <c r="F3179" s="18"/>
      <c r="H3179" s="49"/>
      <c r="I3179" s="49"/>
      <c r="M3179" s="53"/>
    </row>
    <row r="3180" spans="1:15" x14ac:dyDescent="0.25">
      <c r="A3180" s="21" t="str">
        <f>IF(C3180="","",COUNTA($C$3:C3180))</f>
        <v/>
      </c>
      <c r="B3180" s="35" t="str">
        <f t="shared" si="65"/>
        <v/>
      </c>
      <c r="C3180" s="33"/>
      <c r="E3180" s="60"/>
      <c r="F3180" s="18"/>
      <c r="H3180" s="49"/>
      <c r="I3180" s="49"/>
      <c r="M3180" s="53"/>
    </row>
    <row r="3181" spans="1:15" x14ac:dyDescent="0.25">
      <c r="A3181" s="21" t="str">
        <f>IF(C3181="","",COUNTA($C$3:C3181))</f>
        <v/>
      </c>
      <c r="B3181" s="35" t="str">
        <f t="shared" si="65"/>
        <v/>
      </c>
      <c r="C3181" s="33"/>
      <c r="E3181" s="60"/>
      <c r="F3181" s="18"/>
      <c r="H3181" s="49"/>
      <c r="I3181" s="49"/>
      <c r="M3181" s="53"/>
    </row>
    <row r="3182" spans="1:15" x14ac:dyDescent="0.25">
      <c r="A3182" s="21" t="str">
        <f>IF(C3182="","",COUNTA($C$3:C3182))</f>
        <v/>
      </c>
      <c r="B3182" s="35" t="str">
        <f t="shared" si="65"/>
        <v/>
      </c>
      <c r="C3182" s="33"/>
      <c r="E3182" s="60"/>
      <c r="F3182" s="18"/>
      <c r="H3182" s="49"/>
      <c r="I3182" s="49"/>
      <c r="M3182" s="53"/>
    </row>
    <row r="3183" spans="1:15" x14ac:dyDescent="0.25">
      <c r="A3183" s="21" t="str">
        <f>IF(C3183="","",COUNTA($C$3:C3183))</f>
        <v/>
      </c>
      <c r="B3183" s="35" t="str">
        <f t="shared" si="65"/>
        <v/>
      </c>
      <c r="C3183" s="33"/>
      <c r="E3183" s="60"/>
      <c r="F3183" s="18"/>
      <c r="H3183" s="49"/>
      <c r="I3183" s="49"/>
      <c r="L3183" s="53"/>
      <c r="M3183" s="53"/>
    </row>
    <row r="3184" spans="1:15" x14ac:dyDescent="0.25">
      <c r="A3184" s="21" t="str">
        <f>IF(C3184="","",COUNTA($C$3:C3184))</f>
        <v/>
      </c>
      <c r="B3184" s="35" t="str">
        <f t="shared" si="65"/>
        <v/>
      </c>
      <c r="C3184" s="33"/>
      <c r="E3184" s="60"/>
      <c r="F3184" s="18"/>
      <c r="H3184" s="49"/>
      <c r="I3184" s="49"/>
      <c r="L3184" s="48"/>
      <c r="M3184" s="53"/>
    </row>
    <row r="3185" spans="1:13" x14ac:dyDescent="0.25">
      <c r="A3185" s="21" t="str">
        <f>IF(C3185="","",COUNTA($C$3:C3185))</f>
        <v/>
      </c>
      <c r="B3185" s="35" t="str">
        <f t="shared" si="65"/>
        <v/>
      </c>
      <c r="C3185" s="33"/>
      <c r="E3185" s="60"/>
      <c r="F3185" s="18"/>
      <c r="H3185" s="49"/>
      <c r="I3185" s="49"/>
      <c r="M3185" s="53"/>
    </row>
    <row r="3186" spans="1:13" x14ac:dyDescent="0.25">
      <c r="A3186" s="21" t="str">
        <f>IF(C3186="","",COUNTA($C$3:C3186))</f>
        <v/>
      </c>
      <c r="B3186" s="35" t="str">
        <f t="shared" si="65"/>
        <v/>
      </c>
      <c r="C3186" s="33"/>
      <c r="E3186" s="60"/>
      <c r="F3186" s="18"/>
      <c r="H3186" s="49"/>
      <c r="I3186" s="49"/>
      <c r="M3186" s="53"/>
    </row>
    <row r="3187" spans="1:13" x14ac:dyDescent="0.25">
      <c r="A3187" s="21" t="str">
        <f>IF(C3187="","",COUNTA($C$3:C3187))</f>
        <v/>
      </c>
      <c r="B3187" s="35" t="str">
        <f t="shared" si="65"/>
        <v/>
      </c>
      <c r="C3187" s="33"/>
      <c r="E3187" s="60"/>
      <c r="F3187" s="18"/>
      <c r="H3187" s="49"/>
      <c r="I3187" s="49"/>
      <c r="M3187" s="53"/>
    </row>
    <row r="3188" spans="1:13" x14ac:dyDescent="0.25">
      <c r="A3188" s="21" t="str">
        <f>IF(C3188="","",COUNTA($C$3:C3188))</f>
        <v/>
      </c>
      <c r="B3188" s="35" t="str">
        <f t="shared" si="65"/>
        <v/>
      </c>
      <c r="C3188" s="33"/>
      <c r="E3188" s="60"/>
      <c r="F3188" s="18"/>
      <c r="H3188" s="49"/>
      <c r="I3188" s="49"/>
      <c r="M3188" s="53"/>
    </row>
    <row r="3189" spans="1:13" x14ac:dyDescent="0.25">
      <c r="A3189" s="21" t="str">
        <f>IF(C3189="","",COUNTA($C$3:C3189))</f>
        <v/>
      </c>
      <c r="B3189" s="35" t="str">
        <f t="shared" si="65"/>
        <v/>
      </c>
      <c r="C3189" s="33"/>
      <c r="E3189" s="60"/>
      <c r="F3189" s="18"/>
      <c r="H3189" s="49"/>
      <c r="I3189" s="49"/>
      <c r="L3189" s="62"/>
      <c r="M3189" s="53"/>
    </row>
    <row r="3190" spans="1:13" x14ac:dyDescent="0.25">
      <c r="A3190" s="21" t="str">
        <f>IF(C3190="","",COUNTA($C$3:C3190))</f>
        <v/>
      </c>
      <c r="B3190" s="35" t="str">
        <f t="shared" si="65"/>
        <v/>
      </c>
      <c r="C3190" s="33"/>
      <c r="E3190" s="60"/>
      <c r="F3190" s="18"/>
      <c r="H3190" s="49"/>
      <c r="I3190" s="49"/>
      <c r="M3190" s="53"/>
    </row>
    <row r="3191" spans="1:13" x14ac:dyDescent="0.25">
      <c r="A3191" s="21" t="str">
        <f>IF(C3191="","",COUNTA($C$3:C3191))</f>
        <v/>
      </c>
      <c r="B3191" s="35" t="str">
        <f t="shared" si="65"/>
        <v/>
      </c>
      <c r="C3191" s="33"/>
      <c r="E3191" s="60"/>
      <c r="F3191" s="18"/>
      <c r="H3191" s="49"/>
      <c r="I3191" s="49"/>
      <c r="M3191" s="53"/>
    </row>
    <row r="3192" spans="1:13" x14ac:dyDescent="0.25">
      <c r="A3192" s="21" t="str">
        <f>IF(C3192="","",COUNTA($C$3:C3192))</f>
        <v/>
      </c>
      <c r="B3192" s="35" t="str">
        <f t="shared" si="65"/>
        <v/>
      </c>
      <c r="C3192" s="33"/>
      <c r="E3192" s="60"/>
      <c r="F3192" s="18"/>
      <c r="H3192" s="49"/>
      <c r="I3192" s="49"/>
      <c r="M3192" s="53"/>
    </row>
    <row r="3193" spans="1:13" x14ac:dyDescent="0.25">
      <c r="A3193" s="21" t="str">
        <f>IF(C3193="","",COUNTA($C$3:C3193))</f>
        <v/>
      </c>
      <c r="B3193" s="35" t="str">
        <f t="shared" si="65"/>
        <v/>
      </c>
      <c r="C3193" s="33"/>
      <c r="E3193" s="60"/>
      <c r="F3193" s="18"/>
      <c r="H3193" s="49"/>
      <c r="I3193" s="49"/>
      <c r="M3193" s="53"/>
    </row>
    <row r="3194" spans="1:13" x14ac:dyDescent="0.25">
      <c r="A3194" s="21" t="str">
        <f>IF(C3194="","",COUNTA($C$3:C3194))</f>
        <v/>
      </c>
      <c r="B3194" s="35" t="str">
        <f t="shared" si="65"/>
        <v/>
      </c>
      <c r="C3194" s="33"/>
      <c r="E3194" s="60"/>
      <c r="F3194" s="18"/>
      <c r="H3194" s="49"/>
      <c r="I3194" s="49"/>
      <c r="M3194" s="53"/>
    </row>
    <row r="3195" spans="1:13" x14ac:dyDescent="0.25">
      <c r="A3195" s="21" t="str">
        <f>IF(C3195="","",COUNTA($C$3:C3195))</f>
        <v/>
      </c>
      <c r="B3195" s="35" t="str">
        <f t="shared" si="65"/>
        <v/>
      </c>
      <c r="C3195" s="33"/>
      <c r="E3195" s="60"/>
      <c r="F3195" s="18"/>
      <c r="H3195" s="49"/>
      <c r="I3195" s="49"/>
      <c r="L3195" s="53"/>
      <c r="M3195" s="53"/>
    </row>
    <row r="3196" spans="1:13" x14ac:dyDescent="0.25">
      <c r="A3196" s="21" t="str">
        <f>IF(C3196="","",COUNTA($C$3:C3196))</f>
        <v/>
      </c>
      <c r="B3196" s="35" t="str">
        <f t="shared" si="65"/>
        <v/>
      </c>
      <c r="C3196" s="33"/>
      <c r="E3196" s="60"/>
      <c r="F3196" s="18"/>
      <c r="H3196" s="49"/>
      <c r="I3196" s="49"/>
      <c r="M3196" s="53"/>
    </row>
    <row r="3197" spans="1:13" x14ac:dyDescent="0.25">
      <c r="A3197" s="21" t="str">
        <f>IF(C3197="","",COUNTA($C$3:C3197))</f>
        <v/>
      </c>
      <c r="B3197" s="35" t="str">
        <f t="shared" si="65"/>
        <v/>
      </c>
      <c r="C3197" s="33"/>
      <c r="E3197" s="60"/>
      <c r="F3197" s="18"/>
      <c r="H3197" s="49"/>
      <c r="I3197" s="49"/>
      <c r="M3197" s="53"/>
    </row>
    <row r="3198" spans="1:13" x14ac:dyDescent="0.25">
      <c r="A3198" s="21" t="str">
        <f>IF(C3198="","",COUNTA($C$3:C3198))</f>
        <v/>
      </c>
      <c r="B3198" s="35" t="str">
        <f t="shared" si="65"/>
        <v/>
      </c>
      <c r="C3198" s="33"/>
      <c r="E3198" s="60"/>
      <c r="F3198" s="18"/>
      <c r="H3198" s="49"/>
      <c r="I3198" s="49"/>
      <c r="M3198" s="53"/>
    </row>
    <row r="3199" spans="1:13" x14ac:dyDescent="0.25">
      <c r="A3199" s="21" t="str">
        <f>IF(C3199="","",COUNTA($C$3:C3199))</f>
        <v/>
      </c>
      <c r="B3199" s="35" t="str">
        <f t="shared" si="65"/>
        <v/>
      </c>
      <c r="C3199" s="33"/>
      <c r="E3199" s="60"/>
      <c r="F3199" s="18"/>
      <c r="H3199" s="49"/>
      <c r="I3199" s="49"/>
      <c r="M3199" s="53"/>
    </row>
    <row r="3200" spans="1:13" x14ac:dyDescent="0.25">
      <c r="A3200" s="21" t="str">
        <f>IF(C3200="","",COUNTA($C$3:C3200))</f>
        <v/>
      </c>
      <c r="B3200" s="35" t="str">
        <f t="shared" si="65"/>
        <v/>
      </c>
      <c r="C3200" s="33"/>
      <c r="E3200" s="60"/>
      <c r="F3200" s="18"/>
      <c r="H3200" s="49"/>
      <c r="I3200" s="49"/>
      <c r="M3200" s="53"/>
    </row>
    <row r="3201" spans="1:15" x14ac:dyDescent="0.25">
      <c r="A3201" s="21" t="str">
        <f>IF(C3201="","",COUNTA($C$3:C3201))</f>
        <v/>
      </c>
      <c r="B3201" s="35" t="str">
        <f t="shared" si="65"/>
        <v/>
      </c>
      <c r="C3201" s="33"/>
      <c r="E3201" s="60"/>
      <c r="F3201" s="18"/>
      <c r="H3201" s="49"/>
      <c r="I3201" s="49"/>
      <c r="M3201" s="53"/>
      <c r="O3201" s="59"/>
    </row>
    <row r="3202" spans="1:15" x14ac:dyDescent="0.25">
      <c r="A3202" s="21" t="str">
        <f>IF(C3202="","",COUNTA($C$3:C3202))</f>
        <v/>
      </c>
      <c r="B3202" s="35" t="str">
        <f t="shared" si="65"/>
        <v/>
      </c>
      <c r="C3202" s="33"/>
      <c r="E3202" s="60"/>
      <c r="F3202" s="18"/>
      <c r="H3202" s="49"/>
      <c r="I3202" s="49"/>
      <c r="M3202" s="53"/>
      <c r="O3202" s="59"/>
    </row>
    <row r="3203" spans="1:15" x14ac:dyDescent="0.25">
      <c r="A3203" s="21" t="str">
        <f>IF(C3203="","",COUNTA($C$3:C3203))</f>
        <v/>
      </c>
      <c r="B3203" s="35" t="str">
        <f t="shared" si="65"/>
        <v/>
      </c>
      <c r="C3203" s="33"/>
      <c r="E3203" s="60"/>
      <c r="F3203" s="18"/>
      <c r="H3203" s="49"/>
      <c r="I3203" s="49"/>
      <c r="M3203" s="53"/>
    </row>
    <row r="3204" spans="1:15" x14ac:dyDescent="0.25">
      <c r="A3204" s="21" t="str">
        <f>IF(C3204="","",COUNTA($C$3:C3204))</f>
        <v/>
      </c>
      <c r="B3204" s="35" t="str">
        <f t="shared" si="65"/>
        <v/>
      </c>
      <c r="C3204" s="33"/>
      <c r="E3204" s="60"/>
      <c r="F3204" s="18"/>
      <c r="H3204" s="49"/>
      <c r="I3204" s="49"/>
      <c r="M3204" s="53"/>
    </row>
    <row r="3205" spans="1:15" x14ac:dyDescent="0.25">
      <c r="A3205" s="21" t="str">
        <f>IF(C3205="","",COUNTA($C$3:C3205))</f>
        <v/>
      </c>
      <c r="B3205" s="35" t="str">
        <f t="shared" ref="B3205:B3268" si="66">IF(C3205="","",TEXT(C3205,"mmmm"))</f>
        <v/>
      </c>
      <c r="C3205" s="33"/>
      <c r="E3205" s="60"/>
      <c r="F3205" s="18"/>
      <c r="H3205" s="49"/>
      <c r="I3205" s="49"/>
      <c r="M3205" s="53"/>
    </row>
    <row r="3206" spans="1:15" x14ac:dyDescent="0.25">
      <c r="A3206" s="21" t="str">
        <f>IF(C3206="","",COUNTA($C$3:C3206))</f>
        <v/>
      </c>
      <c r="B3206" s="35" t="str">
        <f t="shared" si="66"/>
        <v/>
      </c>
      <c r="C3206" s="33"/>
      <c r="E3206" s="60"/>
      <c r="F3206" s="18"/>
      <c r="H3206" s="49"/>
      <c r="I3206" s="49"/>
      <c r="M3206" s="53"/>
    </row>
    <row r="3207" spans="1:15" x14ac:dyDescent="0.25">
      <c r="A3207" s="21" t="str">
        <f>IF(C3207="","",COUNTA($C$3:C3207))</f>
        <v/>
      </c>
      <c r="B3207" s="35" t="str">
        <f t="shared" si="66"/>
        <v/>
      </c>
      <c r="C3207" s="33"/>
      <c r="E3207" s="60"/>
      <c r="F3207" s="18"/>
      <c r="H3207" s="49"/>
      <c r="I3207" s="49"/>
      <c r="M3207" s="53"/>
    </row>
    <row r="3208" spans="1:15" x14ac:dyDescent="0.25">
      <c r="A3208" s="21" t="str">
        <f>IF(C3208="","",COUNTA($C$3:C3208))</f>
        <v/>
      </c>
      <c r="B3208" s="35" t="str">
        <f t="shared" si="66"/>
        <v/>
      </c>
      <c r="C3208" s="33"/>
      <c r="E3208" s="60"/>
      <c r="F3208" s="18"/>
      <c r="H3208" s="49"/>
      <c r="I3208" s="49"/>
      <c r="M3208" s="53"/>
    </row>
    <row r="3209" spans="1:15" x14ac:dyDescent="0.25">
      <c r="A3209" s="21" t="str">
        <f>IF(C3209="","",COUNTA($C$3:C3209))</f>
        <v/>
      </c>
      <c r="B3209" s="35" t="str">
        <f t="shared" si="66"/>
        <v/>
      </c>
      <c r="C3209" s="33"/>
      <c r="E3209" s="60"/>
      <c r="F3209" s="18"/>
      <c r="H3209" s="49"/>
      <c r="I3209" s="49"/>
      <c r="M3209" s="53"/>
    </row>
    <row r="3210" spans="1:15" x14ac:dyDescent="0.25">
      <c r="A3210" s="21" t="str">
        <f>IF(C3210="","",COUNTA($C$3:C3210))</f>
        <v/>
      </c>
      <c r="B3210" s="35" t="str">
        <f t="shared" si="66"/>
        <v/>
      </c>
      <c r="C3210" s="33"/>
      <c r="E3210" s="60"/>
      <c r="F3210" s="18"/>
      <c r="H3210" s="49"/>
      <c r="I3210" s="49"/>
      <c r="M3210" s="53"/>
    </row>
    <row r="3211" spans="1:15" x14ac:dyDescent="0.25">
      <c r="A3211" s="21" t="str">
        <f>IF(C3211="","",COUNTA($C$3:C3211))</f>
        <v/>
      </c>
      <c r="B3211" s="35" t="str">
        <f t="shared" si="66"/>
        <v/>
      </c>
      <c r="C3211" s="33"/>
      <c r="E3211" s="60"/>
      <c r="F3211" s="18"/>
      <c r="H3211" s="49"/>
      <c r="I3211" s="49"/>
      <c r="M3211" s="53"/>
    </row>
    <row r="3212" spans="1:15" x14ac:dyDescent="0.25">
      <c r="A3212" s="21" t="str">
        <f>IF(C3212="","",COUNTA($C$3:C3212))</f>
        <v/>
      </c>
      <c r="B3212" s="35" t="str">
        <f t="shared" si="66"/>
        <v/>
      </c>
      <c r="C3212" s="33"/>
      <c r="E3212" s="60"/>
      <c r="F3212" s="18"/>
      <c r="H3212" s="49"/>
      <c r="I3212" s="49"/>
      <c r="M3212" s="53"/>
    </row>
    <row r="3213" spans="1:15" x14ac:dyDescent="0.25">
      <c r="A3213" s="21" t="str">
        <f>IF(C3213="","",COUNTA($C$3:C3213))</f>
        <v/>
      </c>
      <c r="B3213" s="35" t="str">
        <f t="shared" si="66"/>
        <v/>
      </c>
      <c r="C3213" s="33"/>
      <c r="E3213" s="60"/>
      <c r="F3213" s="18"/>
      <c r="H3213" s="49"/>
      <c r="I3213" s="49"/>
      <c r="M3213" s="53"/>
    </row>
    <row r="3214" spans="1:15" x14ac:dyDescent="0.25">
      <c r="A3214" s="21" t="str">
        <f>IF(C3214="","",COUNTA($C$3:C3214))</f>
        <v/>
      </c>
      <c r="B3214" s="35" t="str">
        <f t="shared" si="66"/>
        <v/>
      </c>
      <c r="C3214" s="33"/>
      <c r="E3214" s="60"/>
      <c r="F3214" s="18"/>
      <c r="H3214" s="49"/>
      <c r="I3214" s="49"/>
      <c r="M3214" s="53"/>
    </row>
    <row r="3215" spans="1:15" x14ac:dyDescent="0.25">
      <c r="A3215" s="21" t="str">
        <f>IF(C3215="","",COUNTA($C$3:C3215))</f>
        <v/>
      </c>
      <c r="B3215" s="35" t="str">
        <f t="shared" si="66"/>
        <v/>
      </c>
      <c r="C3215" s="33"/>
      <c r="E3215" s="60"/>
      <c r="F3215" s="18"/>
      <c r="H3215" s="49"/>
      <c r="I3215" s="49"/>
      <c r="M3215" s="53"/>
    </row>
    <row r="3216" spans="1:15" x14ac:dyDescent="0.25">
      <c r="A3216" s="21" t="str">
        <f>IF(C3216="","",COUNTA($C$3:C3216))</f>
        <v/>
      </c>
      <c r="B3216" s="35" t="str">
        <f t="shared" si="66"/>
        <v/>
      </c>
      <c r="C3216" s="33"/>
      <c r="E3216" s="60"/>
      <c r="F3216" s="18"/>
      <c r="H3216" s="49"/>
      <c r="I3216" s="49"/>
      <c r="M3216" s="53"/>
    </row>
    <row r="3217" spans="1:16" x14ac:dyDescent="0.25">
      <c r="A3217" s="21" t="str">
        <f>IF(C3217="","",COUNTA($C$3:C3217))</f>
        <v/>
      </c>
      <c r="B3217" s="35" t="str">
        <f t="shared" si="66"/>
        <v/>
      </c>
      <c r="C3217" s="33"/>
      <c r="E3217" s="60"/>
      <c r="F3217" s="18"/>
      <c r="H3217" s="49"/>
      <c r="I3217" s="49"/>
      <c r="M3217" s="53"/>
    </row>
    <row r="3218" spans="1:16" x14ac:dyDescent="0.25">
      <c r="A3218" s="21" t="str">
        <f>IF(C3218="","",COUNTA($C$3:C3218))</f>
        <v/>
      </c>
      <c r="B3218" s="35" t="str">
        <f t="shared" si="66"/>
        <v/>
      </c>
      <c r="C3218" s="33"/>
      <c r="E3218" s="60"/>
      <c r="F3218" s="18"/>
      <c r="H3218" s="49"/>
      <c r="I3218" s="49"/>
      <c r="M3218" s="53"/>
    </row>
    <row r="3219" spans="1:16" x14ac:dyDescent="0.25">
      <c r="A3219" s="21" t="str">
        <f>IF(C3219="","",COUNTA($C$3:C3219))</f>
        <v/>
      </c>
      <c r="B3219" s="35" t="str">
        <f t="shared" si="66"/>
        <v/>
      </c>
      <c r="C3219" s="33"/>
      <c r="E3219" s="60"/>
      <c r="F3219" s="18"/>
      <c r="H3219" s="49"/>
      <c r="I3219" s="49"/>
      <c r="M3219" s="53"/>
    </row>
    <row r="3220" spans="1:16" x14ac:dyDescent="0.25">
      <c r="A3220" s="21" t="str">
        <f>IF(C3220="","",COUNTA($C$3:C3220))</f>
        <v/>
      </c>
      <c r="B3220" s="35" t="str">
        <f t="shared" si="66"/>
        <v/>
      </c>
      <c r="C3220" s="33"/>
      <c r="E3220" s="60"/>
      <c r="F3220" s="18"/>
      <c r="H3220" s="49"/>
      <c r="I3220" s="49"/>
      <c r="M3220" s="53"/>
    </row>
    <row r="3221" spans="1:16" x14ac:dyDescent="0.25">
      <c r="A3221" s="21" t="str">
        <f>IF(C3221="","",COUNTA($C$3:C3221))</f>
        <v/>
      </c>
      <c r="B3221" s="35" t="str">
        <f t="shared" si="66"/>
        <v/>
      </c>
      <c r="C3221" s="33"/>
      <c r="E3221" s="60"/>
      <c r="F3221" s="18"/>
      <c r="H3221" s="49"/>
      <c r="I3221" s="49"/>
      <c r="M3221" s="53"/>
    </row>
    <row r="3222" spans="1:16" x14ac:dyDescent="0.25">
      <c r="A3222" s="21" t="str">
        <f>IF(C3222="","",COUNTA($C$3:C3222))</f>
        <v/>
      </c>
      <c r="B3222" s="35" t="str">
        <f t="shared" si="66"/>
        <v/>
      </c>
      <c r="C3222" s="33"/>
      <c r="E3222" s="60"/>
      <c r="F3222" s="18"/>
      <c r="H3222" s="49"/>
      <c r="I3222" s="49"/>
      <c r="L3222" s="62"/>
      <c r="M3222" s="53"/>
    </row>
    <row r="3223" spans="1:16" x14ac:dyDescent="0.25">
      <c r="A3223" s="21" t="str">
        <f>IF(C3223="","",COUNTA($C$3:C3223))</f>
        <v/>
      </c>
      <c r="B3223" s="35" t="str">
        <f t="shared" si="66"/>
        <v/>
      </c>
      <c r="C3223" s="33"/>
      <c r="E3223" s="60"/>
      <c r="F3223" s="18"/>
      <c r="H3223" s="49"/>
      <c r="I3223" s="49"/>
      <c r="M3223" s="53"/>
    </row>
    <row r="3224" spans="1:16" x14ac:dyDescent="0.25">
      <c r="A3224" s="21" t="str">
        <f>IF(C3224="","",COUNTA($C$3:C3224))</f>
        <v/>
      </c>
      <c r="B3224" s="35" t="str">
        <f t="shared" si="66"/>
        <v/>
      </c>
      <c r="C3224" s="33"/>
      <c r="E3224" s="60"/>
      <c r="F3224" s="18"/>
      <c r="H3224" s="49"/>
      <c r="I3224" s="49"/>
      <c r="M3224" s="53"/>
    </row>
    <row r="3225" spans="1:16" x14ac:dyDescent="0.25">
      <c r="A3225" s="21" t="str">
        <f>IF(C3225="","",COUNTA($C$3:C3225))</f>
        <v/>
      </c>
      <c r="B3225" s="35" t="str">
        <f t="shared" si="66"/>
        <v/>
      </c>
      <c r="C3225" s="33"/>
      <c r="E3225" s="60"/>
      <c r="F3225" s="18"/>
      <c r="H3225" s="49"/>
      <c r="I3225" s="49"/>
      <c r="M3225" s="53"/>
    </row>
    <row r="3226" spans="1:16" x14ac:dyDescent="0.25">
      <c r="A3226" s="21" t="str">
        <f>IF(C3226="","",COUNTA($C$3:C3226))</f>
        <v/>
      </c>
      <c r="B3226" s="35" t="str">
        <f t="shared" si="66"/>
        <v/>
      </c>
      <c r="C3226" s="33"/>
      <c r="E3226" s="60"/>
      <c r="F3226" s="18"/>
      <c r="H3226" s="49"/>
      <c r="I3226" s="49"/>
      <c r="M3226" s="53"/>
    </row>
    <row r="3227" spans="1:16" x14ac:dyDescent="0.25">
      <c r="A3227" s="21" t="str">
        <f>IF(C3227="","",COUNTA($C$3:C3227))</f>
        <v/>
      </c>
      <c r="B3227" s="35" t="str">
        <f t="shared" si="66"/>
        <v/>
      </c>
      <c r="C3227" s="33"/>
      <c r="E3227" s="60"/>
      <c r="F3227" s="18"/>
      <c r="H3227" s="49"/>
      <c r="I3227" s="49"/>
      <c r="M3227" s="53"/>
    </row>
    <row r="3228" spans="1:16" x14ac:dyDescent="0.25">
      <c r="A3228" s="21" t="str">
        <f>IF(C3228="","",COUNTA($C$3:C3228))</f>
        <v/>
      </c>
      <c r="B3228" s="35" t="str">
        <f t="shared" si="66"/>
        <v/>
      </c>
      <c r="C3228" s="33"/>
      <c r="E3228" s="60"/>
      <c r="F3228" s="18"/>
      <c r="H3228" s="49"/>
      <c r="I3228" s="49"/>
      <c r="M3228" s="53"/>
    </row>
    <row r="3229" spans="1:16" x14ac:dyDescent="0.25">
      <c r="A3229" s="21" t="str">
        <f>IF(C3229="","",COUNTA($C$3:C3229))</f>
        <v/>
      </c>
      <c r="B3229" s="35" t="str">
        <f t="shared" si="66"/>
        <v/>
      </c>
      <c r="C3229" s="33"/>
      <c r="E3229" s="60"/>
      <c r="F3229" s="18"/>
      <c r="H3229" s="49"/>
      <c r="I3229" s="49"/>
      <c r="M3229" s="53"/>
      <c r="O3229" s="59"/>
    </row>
    <row r="3230" spans="1:16" x14ac:dyDescent="0.25">
      <c r="A3230" s="21" t="str">
        <f>IF(C3230="","",COUNTA($C$3:C3230))</f>
        <v/>
      </c>
      <c r="B3230" s="35" t="str">
        <f t="shared" si="66"/>
        <v/>
      </c>
      <c r="C3230" s="33"/>
      <c r="E3230" s="60"/>
      <c r="F3230" s="18"/>
      <c r="H3230" s="49"/>
      <c r="I3230" s="49"/>
      <c r="M3230" s="53"/>
      <c r="O3230" s="59"/>
      <c r="P3230" s="59"/>
    </row>
    <row r="3231" spans="1:16" x14ac:dyDescent="0.25">
      <c r="A3231" s="21" t="str">
        <f>IF(C3231="","",COUNTA($C$3:C3231))</f>
        <v/>
      </c>
      <c r="B3231" s="35" t="str">
        <f t="shared" si="66"/>
        <v/>
      </c>
      <c r="C3231" s="33"/>
      <c r="E3231" s="60"/>
      <c r="F3231" s="18"/>
      <c r="H3231" s="49"/>
      <c r="I3231" s="49"/>
      <c r="M3231" s="53"/>
      <c r="O3231" s="59"/>
      <c r="P3231" s="59"/>
    </row>
    <row r="3232" spans="1:16" x14ac:dyDescent="0.25">
      <c r="A3232" s="21" t="str">
        <f>IF(C3232="","",COUNTA($C$3:C3232))</f>
        <v/>
      </c>
      <c r="B3232" s="35" t="str">
        <f t="shared" si="66"/>
        <v/>
      </c>
      <c r="C3232" s="33"/>
      <c r="E3232" s="60"/>
      <c r="F3232" s="18"/>
      <c r="H3232" s="49"/>
      <c r="I3232" s="49"/>
      <c r="M3232" s="53"/>
      <c r="O3232" s="59"/>
      <c r="P3232" s="59"/>
    </row>
    <row r="3233" spans="1:17" x14ac:dyDescent="0.25">
      <c r="A3233" s="21" t="str">
        <f>IF(C3233="","",COUNTA($C$3:C3233))</f>
        <v/>
      </c>
      <c r="B3233" s="35" t="str">
        <f t="shared" si="66"/>
        <v/>
      </c>
      <c r="C3233" s="33"/>
      <c r="E3233" s="60"/>
      <c r="F3233" s="18"/>
      <c r="H3233" s="49"/>
      <c r="I3233" s="49"/>
      <c r="K3233" s="55"/>
      <c r="M3233" s="53"/>
      <c r="O3233" s="59"/>
      <c r="P3233" s="59"/>
    </row>
    <row r="3234" spans="1:17" x14ac:dyDescent="0.25">
      <c r="A3234" s="21" t="str">
        <f>IF(C3234="","",COUNTA($C$3:C3234))</f>
        <v/>
      </c>
      <c r="B3234" s="35" t="str">
        <f t="shared" si="66"/>
        <v/>
      </c>
      <c r="C3234" s="33"/>
      <c r="E3234" s="60"/>
      <c r="F3234" s="18"/>
      <c r="H3234" s="49"/>
      <c r="I3234" s="49"/>
      <c r="M3234" s="53"/>
      <c r="O3234" s="59"/>
      <c r="P3234" s="59"/>
    </row>
    <row r="3235" spans="1:17" x14ac:dyDescent="0.25">
      <c r="A3235" s="21" t="str">
        <f>IF(C3235="","",COUNTA($C$3:C3235))</f>
        <v/>
      </c>
      <c r="B3235" s="35" t="str">
        <f t="shared" si="66"/>
        <v/>
      </c>
      <c r="C3235" s="33"/>
      <c r="E3235" s="60"/>
      <c r="F3235" s="18"/>
      <c r="H3235" s="49"/>
      <c r="I3235" s="49"/>
      <c r="M3235" s="53"/>
    </row>
    <row r="3236" spans="1:17" x14ac:dyDescent="0.25">
      <c r="A3236" s="21" t="str">
        <f>IF(C3236="","",COUNTA($C$3:C3236))</f>
        <v/>
      </c>
      <c r="B3236" s="35" t="str">
        <f t="shared" si="66"/>
        <v/>
      </c>
      <c r="C3236" s="33"/>
      <c r="E3236" s="60"/>
      <c r="F3236" s="18"/>
      <c r="H3236" s="49"/>
      <c r="I3236" s="49"/>
      <c r="M3236" s="53"/>
    </row>
    <row r="3237" spans="1:17" x14ac:dyDescent="0.25">
      <c r="A3237" s="21" t="str">
        <f>IF(C3237="","",COUNTA($C$3:C3237))</f>
        <v/>
      </c>
      <c r="B3237" s="35" t="str">
        <f t="shared" si="66"/>
        <v/>
      </c>
      <c r="C3237" s="33"/>
      <c r="E3237" s="60"/>
      <c r="F3237" s="18"/>
      <c r="H3237" s="49"/>
      <c r="I3237" s="49"/>
      <c r="M3237" s="53"/>
    </row>
    <row r="3238" spans="1:17" x14ac:dyDescent="0.25">
      <c r="A3238" s="21" t="str">
        <f>IF(C3238="","",COUNTA($C$3:C3238))</f>
        <v/>
      </c>
      <c r="B3238" s="35" t="str">
        <f t="shared" si="66"/>
        <v/>
      </c>
      <c r="C3238" s="33"/>
      <c r="E3238" s="60"/>
      <c r="F3238" s="18"/>
      <c r="H3238" s="49"/>
      <c r="I3238" s="49"/>
      <c r="K3238" s="67"/>
      <c r="M3238" s="53"/>
    </row>
    <row r="3239" spans="1:17" x14ac:dyDescent="0.25">
      <c r="A3239" s="21" t="str">
        <f>IF(C3239="","",COUNTA($C$3:C3239))</f>
        <v/>
      </c>
      <c r="B3239" s="35" t="str">
        <f t="shared" si="66"/>
        <v/>
      </c>
      <c r="C3239" s="33"/>
      <c r="E3239" s="60"/>
      <c r="F3239" s="18"/>
      <c r="H3239" s="49"/>
      <c r="I3239" s="49"/>
      <c r="M3239" s="53"/>
      <c r="O3239" s="54"/>
      <c r="P3239" s="59"/>
      <c r="Q3239" s="59"/>
    </row>
    <row r="3240" spans="1:17" x14ac:dyDescent="0.25">
      <c r="A3240" s="21" t="str">
        <f>IF(C3240="","",COUNTA($C$3:C3240))</f>
        <v/>
      </c>
      <c r="B3240" s="35" t="str">
        <f t="shared" si="66"/>
        <v/>
      </c>
      <c r="C3240" s="33"/>
      <c r="E3240" s="60"/>
      <c r="F3240" s="18"/>
      <c r="H3240" s="49"/>
      <c r="I3240" s="49"/>
      <c r="M3240" s="53"/>
      <c r="P3240" s="59"/>
    </row>
    <row r="3241" spans="1:17" x14ac:dyDescent="0.25">
      <c r="A3241" s="21" t="str">
        <f>IF(C3241="","",COUNTA($C$3:C3241))</f>
        <v/>
      </c>
      <c r="B3241" s="35" t="str">
        <f t="shared" si="66"/>
        <v/>
      </c>
      <c r="C3241" s="33"/>
      <c r="E3241" s="60"/>
      <c r="F3241" s="18"/>
      <c r="H3241" s="49"/>
      <c r="I3241" s="49"/>
      <c r="M3241" s="53"/>
      <c r="O3241" s="59"/>
      <c r="P3241" s="59"/>
      <c r="Q3241" s="59"/>
    </row>
    <row r="3242" spans="1:17" x14ac:dyDescent="0.25">
      <c r="A3242" s="21" t="str">
        <f>IF(C3242="","",COUNTA($C$3:C3242))</f>
        <v/>
      </c>
      <c r="B3242" s="35" t="str">
        <f t="shared" si="66"/>
        <v/>
      </c>
      <c r="C3242" s="33"/>
      <c r="E3242" s="60"/>
      <c r="F3242" s="18"/>
      <c r="H3242" s="49"/>
      <c r="I3242" s="49"/>
      <c r="M3242" s="53"/>
      <c r="O3242" s="59"/>
      <c r="P3242" s="59"/>
      <c r="Q3242" s="59"/>
    </row>
    <row r="3243" spans="1:17" x14ac:dyDescent="0.25">
      <c r="A3243" s="21" t="str">
        <f>IF(C3243="","",COUNTA($C$3:C3243))</f>
        <v/>
      </c>
      <c r="B3243" s="35" t="str">
        <f t="shared" si="66"/>
        <v/>
      </c>
      <c r="C3243" s="33"/>
      <c r="E3243" s="60"/>
      <c r="F3243" s="18"/>
      <c r="H3243" s="49"/>
      <c r="I3243" s="49"/>
      <c r="M3243" s="53"/>
      <c r="O3243" s="59"/>
      <c r="P3243" s="59"/>
      <c r="Q3243" s="59"/>
    </row>
    <row r="3244" spans="1:17" x14ac:dyDescent="0.25">
      <c r="A3244" s="21" t="str">
        <f>IF(C3244="","",COUNTA($C$3:C3244))</f>
        <v/>
      </c>
      <c r="B3244" s="35" t="str">
        <f t="shared" si="66"/>
        <v/>
      </c>
      <c r="C3244" s="33"/>
      <c r="E3244" s="60"/>
      <c r="F3244" s="18"/>
      <c r="H3244" s="49"/>
      <c r="I3244" s="49"/>
      <c r="K3244" s="55"/>
      <c r="M3244" s="53"/>
    </row>
    <row r="3245" spans="1:17" x14ac:dyDescent="0.25">
      <c r="A3245" s="21" t="str">
        <f>IF(C3245="","",COUNTA($C$3:C3245))</f>
        <v/>
      </c>
      <c r="B3245" s="35" t="str">
        <f t="shared" si="66"/>
        <v/>
      </c>
      <c r="C3245" s="33"/>
      <c r="E3245" s="60"/>
      <c r="F3245" s="18"/>
      <c r="H3245" s="49"/>
      <c r="I3245" s="49"/>
      <c r="M3245" s="53"/>
      <c r="O3245" s="59"/>
      <c r="P3245" s="59"/>
    </row>
    <row r="3246" spans="1:17" x14ac:dyDescent="0.25">
      <c r="A3246" s="21" t="str">
        <f>IF(C3246="","",COUNTA($C$3:C3246))</f>
        <v/>
      </c>
      <c r="B3246" s="35" t="str">
        <f t="shared" si="66"/>
        <v/>
      </c>
      <c r="C3246" s="33"/>
      <c r="E3246" s="60"/>
      <c r="F3246" s="18"/>
      <c r="H3246" s="49"/>
      <c r="I3246" s="49"/>
      <c r="K3246" s="55"/>
      <c r="M3246" s="53"/>
      <c r="O3246" s="71"/>
      <c r="P3246" s="68"/>
    </row>
    <row r="3247" spans="1:17" x14ac:dyDescent="0.25">
      <c r="A3247" s="21" t="str">
        <f>IF(C3247="","",COUNTA($C$3:C3247))</f>
        <v/>
      </c>
      <c r="B3247" s="35" t="str">
        <f t="shared" si="66"/>
        <v/>
      </c>
      <c r="C3247" s="33"/>
      <c r="E3247" s="60"/>
      <c r="F3247" s="18"/>
      <c r="H3247" s="49"/>
      <c r="I3247" s="49"/>
      <c r="M3247" s="53"/>
      <c r="O3247" s="59"/>
    </row>
    <row r="3248" spans="1:17" x14ac:dyDescent="0.25">
      <c r="A3248" s="21" t="str">
        <f>IF(C3248="","",COUNTA($C$3:C3248))</f>
        <v/>
      </c>
      <c r="B3248" s="35" t="str">
        <f t="shared" si="66"/>
        <v/>
      </c>
      <c r="C3248" s="33"/>
      <c r="E3248" s="60"/>
      <c r="F3248" s="18"/>
      <c r="H3248" s="49"/>
      <c r="I3248" s="49"/>
      <c r="M3248" s="53"/>
    </row>
    <row r="3249" spans="1:15" x14ac:dyDescent="0.25">
      <c r="A3249" s="21" t="str">
        <f>IF(C3249="","",COUNTA($C$3:C3249))</f>
        <v/>
      </c>
      <c r="B3249" s="35" t="str">
        <f t="shared" si="66"/>
        <v/>
      </c>
      <c r="C3249" s="33"/>
      <c r="E3249" s="60"/>
      <c r="F3249" s="18"/>
      <c r="H3249" s="49"/>
      <c r="I3249" s="49"/>
      <c r="M3249" s="53"/>
    </row>
    <row r="3250" spans="1:15" x14ac:dyDescent="0.25">
      <c r="A3250" s="21" t="str">
        <f>IF(C3250="","",COUNTA($C$3:C3250))</f>
        <v/>
      </c>
      <c r="B3250" s="35" t="str">
        <f t="shared" si="66"/>
        <v/>
      </c>
      <c r="C3250" s="33"/>
      <c r="E3250" s="60"/>
      <c r="F3250" s="18"/>
      <c r="H3250" s="49"/>
      <c r="I3250" s="49"/>
      <c r="M3250" s="53"/>
    </row>
    <row r="3251" spans="1:15" x14ac:dyDescent="0.25">
      <c r="A3251" s="21" t="str">
        <f>IF(C3251="","",COUNTA($C$3:C3251))</f>
        <v/>
      </c>
      <c r="B3251" s="35" t="str">
        <f t="shared" si="66"/>
        <v/>
      </c>
      <c r="C3251" s="33"/>
      <c r="E3251" s="60"/>
      <c r="F3251" s="18"/>
      <c r="H3251" s="49"/>
      <c r="I3251" s="49"/>
      <c r="M3251" s="53"/>
    </row>
    <row r="3252" spans="1:15" x14ac:dyDescent="0.25">
      <c r="A3252" s="21" t="str">
        <f>IF(C3252="","",COUNTA($C$3:C3252))</f>
        <v/>
      </c>
      <c r="B3252" s="35" t="str">
        <f t="shared" si="66"/>
        <v/>
      </c>
      <c r="C3252" s="33"/>
      <c r="E3252" s="60"/>
      <c r="F3252" s="18"/>
      <c r="H3252" s="49"/>
      <c r="I3252" s="49"/>
      <c r="M3252" s="53"/>
    </row>
    <row r="3253" spans="1:15" x14ac:dyDescent="0.25">
      <c r="A3253" s="21" t="str">
        <f>IF(C3253="","",COUNTA($C$3:C3253))</f>
        <v/>
      </c>
      <c r="B3253" s="35" t="str">
        <f t="shared" si="66"/>
        <v/>
      </c>
      <c r="C3253" s="33"/>
      <c r="E3253" s="60"/>
      <c r="F3253" s="18"/>
      <c r="H3253" s="49"/>
      <c r="I3253" s="49"/>
      <c r="M3253" s="53"/>
    </row>
    <row r="3254" spans="1:15" x14ac:dyDescent="0.25">
      <c r="A3254" s="21" t="str">
        <f>IF(C3254="","",COUNTA($C$3:C3254))</f>
        <v/>
      </c>
      <c r="B3254" s="35" t="str">
        <f t="shared" si="66"/>
        <v/>
      </c>
      <c r="C3254" s="33"/>
      <c r="E3254" s="60"/>
      <c r="F3254" s="18"/>
      <c r="H3254" s="49"/>
      <c r="I3254" s="49"/>
      <c r="M3254" s="53"/>
    </row>
    <row r="3255" spans="1:15" x14ac:dyDescent="0.25">
      <c r="A3255" s="21" t="str">
        <f>IF(C3255="","",COUNTA($C$3:C3255))</f>
        <v/>
      </c>
      <c r="B3255" s="35" t="str">
        <f t="shared" si="66"/>
        <v/>
      </c>
      <c r="C3255" s="33"/>
      <c r="E3255" s="60"/>
      <c r="F3255" s="18"/>
      <c r="H3255" s="49"/>
      <c r="I3255" s="49"/>
      <c r="M3255" s="53"/>
      <c r="O3255" s="59"/>
    </row>
    <row r="3256" spans="1:15" x14ac:dyDescent="0.25">
      <c r="A3256" s="21" t="str">
        <f>IF(C3256="","",COUNTA($C$3:C3256))</f>
        <v/>
      </c>
      <c r="B3256" s="35" t="str">
        <f t="shared" si="66"/>
        <v/>
      </c>
      <c r="C3256" s="33"/>
      <c r="E3256" s="60"/>
      <c r="F3256" s="18"/>
      <c r="H3256" s="49"/>
      <c r="I3256" s="49"/>
      <c r="M3256" s="53"/>
      <c r="O3256" s="112"/>
    </row>
    <row r="3257" spans="1:15" x14ac:dyDescent="0.25">
      <c r="A3257" s="21" t="str">
        <f>IF(C3257="","",COUNTA($C$3:C3257))</f>
        <v/>
      </c>
      <c r="B3257" s="35" t="str">
        <f t="shared" si="66"/>
        <v/>
      </c>
      <c r="C3257" s="33"/>
      <c r="E3257" s="60"/>
      <c r="F3257" s="18"/>
      <c r="H3257" s="49"/>
      <c r="I3257" s="49"/>
      <c r="M3257" s="53"/>
    </row>
    <row r="3258" spans="1:15" x14ac:dyDescent="0.25">
      <c r="A3258" s="21" t="str">
        <f>IF(C3258="","",COUNTA($C$3:C3258))</f>
        <v/>
      </c>
      <c r="B3258" s="35" t="str">
        <f t="shared" si="66"/>
        <v/>
      </c>
      <c r="C3258" s="33"/>
      <c r="E3258" s="60"/>
      <c r="F3258" s="18"/>
      <c r="H3258" s="49"/>
      <c r="I3258" s="49"/>
      <c r="M3258" s="53"/>
    </row>
    <row r="3259" spans="1:15" x14ac:dyDescent="0.25">
      <c r="A3259" s="21" t="str">
        <f>IF(C3259="","",COUNTA($C$3:C3259))</f>
        <v/>
      </c>
      <c r="B3259" s="35" t="str">
        <f t="shared" si="66"/>
        <v/>
      </c>
      <c r="C3259" s="33"/>
      <c r="E3259" s="60"/>
      <c r="F3259" s="18"/>
      <c r="H3259" s="49"/>
      <c r="I3259" s="49"/>
      <c r="M3259" s="53"/>
    </row>
    <row r="3260" spans="1:15" x14ac:dyDescent="0.25">
      <c r="A3260" s="21" t="str">
        <f>IF(C3260="","",COUNTA($C$3:C3260))</f>
        <v/>
      </c>
      <c r="B3260" s="35" t="str">
        <f t="shared" si="66"/>
        <v/>
      </c>
      <c r="C3260" s="33"/>
      <c r="E3260" s="60"/>
      <c r="F3260" s="18"/>
      <c r="H3260" s="49"/>
      <c r="I3260" s="49"/>
      <c r="M3260" s="53"/>
    </row>
    <row r="3261" spans="1:15" x14ac:dyDescent="0.25">
      <c r="A3261" s="21" t="str">
        <f>IF(C3261="","",COUNTA($C$3:C3261))</f>
        <v/>
      </c>
      <c r="B3261" s="35" t="str">
        <f t="shared" si="66"/>
        <v/>
      </c>
      <c r="C3261" s="33"/>
      <c r="E3261" s="60"/>
      <c r="F3261" s="18"/>
      <c r="H3261" s="49"/>
      <c r="I3261" s="49"/>
      <c r="M3261" s="53"/>
    </row>
    <row r="3262" spans="1:15" x14ac:dyDescent="0.25">
      <c r="A3262" s="21" t="str">
        <f>IF(C3262="","",COUNTA($C$3:C3262))</f>
        <v/>
      </c>
      <c r="B3262" s="35" t="str">
        <f t="shared" si="66"/>
        <v/>
      </c>
      <c r="C3262" s="33"/>
      <c r="E3262" s="60"/>
      <c r="F3262" s="18"/>
      <c r="H3262" s="49"/>
      <c r="I3262" s="49"/>
      <c r="M3262" s="53"/>
    </row>
    <row r="3263" spans="1:15" x14ac:dyDescent="0.25">
      <c r="A3263" s="21" t="str">
        <f>IF(C3263="","",COUNTA($C$3:C3263))</f>
        <v/>
      </c>
      <c r="B3263" s="35" t="str">
        <f t="shared" si="66"/>
        <v/>
      </c>
      <c r="C3263" s="33"/>
      <c r="E3263" s="60"/>
      <c r="F3263" s="18"/>
      <c r="H3263" s="49"/>
      <c r="I3263" s="49"/>
      <c r="M3263" s="53"/>
    </row>
    <row r="3264" spans="1:15" x14ac:dyDescent="0.25">
      <c r="A3264" s="21" t="str">
        <f>IF(C3264="","",COUNTA($C$3:C3264))</f>
        <v/>
      </c>
      <c r="B3264" s="35" t="str">
        <f t="shared" si="66"/>
        <v/>
      </c>
      <c r="C3264" s="33"/>
      <c r="E3264" s="60"/>
      <c r="F3264" s="18"/>
      <c r="H3264" s="49"/>
      <c r="I3264" s="49"/>
      <c r="M3264" s="53"/>
    </row>
    <row r="3265" spans="1:17" x14ac:dyDescent="0.25">
      <c r="A3265" s="21" t="str">
        <f>IF(C3265="","",COUNTA($C$3:C3265))</f>
        <v/>
      </c>
      <c r="B3265" s="35" t="str">
        <f t="shared" si="66"/>
        <v/>
      </c>
      <c r="C3265" s="33"/>
      <c r="E3265" s="60"/>
      <c r="F3265" s="18"/>
      <c r="H3265" s="49"/>
      <c r="I3265" s="49"/>
      <c r="L3265" s="53"/>
      <c r="M3265" s="53"/>
    </row>
    <row r="3266" spans="1:17" x14ac:dyDescent="0.25">
      <c r="A3266" s="21" t="str">
        <f>IF(C3266="","",COUNTA($C$3:C3266))</f>
        <v/>
      </c>
      <c r="B3266" s="35" t="str">
        <f t="shared" si="66"/>
        <v/>
      </c>
      <c r="C3266" s="33"/>
      <c r="E3266" s="60"/>
      <c r="F3266" s="18"/>
      <c r="H3266" s="49"/>
      <c r="I3266" s="49"/>
      <c r="M3266" s="53"/>
    </row>
    <row r="3267" spans="1:17" x14ac:dyDescent="0.25">
      <c r="A3267" s="21" t="str">
        <f>IF(C3267="","",COUNTA($C$3:C3267))</f>
        <v/>
      </c>
      <c r="B3267" s="35" t="str">
        <f t="shared" si="66"/>
        <v/>
      </c>
      <c r="C3267" s="33"/>
      <c r="E3267" s="60"/>
      <c r="F3267" s="18"/>
      <c r="H3267" s="49"/>
      <c r="I3267" s="49"/>
      <c r="L3267" s="62"/>
      <c r="M3267" s="53"/>
    </row>
    <row r="3268" spans="1:17" x14ac:dyDescent="0.25">
      <c r="A3268" s="21" t="str">
        <f>IF(C3268="","",COUNTA($C$3:C3268))</f>
        <v/>
      </c>
      <c r="B3268" s="35" t="str">
        <f t="shared" si="66"/>
        <v/>
      </c>
      <c r="C3268" s="33"/>
      <c r="E3268" s="60"/>
      <c r="F3268" s="18"/>
      <c r="H3268" s="49"/>
      <c r="I3268" s="49"/>
      <c r="M3268" s="53"/>
    </row>
    <row r="3269" spans="1:17" x14ac:dyDescent="0.25">
      <c r="A3269" s="21" t="str">
        <f>IF(C3269="","",COUNTA($C$3:C3269))</f>
        <v/>
      </c>
      <c r="B3269" s="35" t="str">
        <f t="shared" ref="B3269:B3332" si="67">IF(C3269="","",TEXT(C3269,"mmmm"))</f>
        <v/>
      </c>
      <c r="C3269" s="33"/>
      <c r="E3269" s="60"/>
      <c r="F3269" s="18"/>
      <c r="H3269" s="49"/>
      <c r="I3269" s="49"/>
      <c r="L3269" s="53"/>
      <c r="M3269" s="53"/>
    </row>
    <row r="3270" spans="1:17" x14ac:dyDescent="0.25">
      <c r="A3270" s="21" t="str">
        <f>IF(C3270="","",COUNTA($C$3:C3270))</f>
        <v/>
      </c>
      <c r="B3270" s="35" t="str">
        <f t="shared" si="67"/>
        <v/>
      </c>
      <c r="C3270" s="33"/>
      <c r="E3270" s="60"/>
      <c r="F3270" s="18"/>
      <c r="H3270" s="49"/>
      <c r="I3270" s="49"/>
      <c r="M3270" s="53"/>
      <c r="O3270" s="59"/>
      <c r="P3270" s="59"/>
      <c r="Q3270" s="59"/>
    </row>
    <row r="3271" spans="1:17" x14ac:dyDescent="0.25">
      <c r="A3271" s="21" t="str">
        <f>IF(C3271="","",COUNTA($C$3:C3271))</f>
        <v/>
      </c>
      <c r="B3271" s="35" t="str">
        <f t="shared" si="67"/>
        <v/>
      </c>
      <c r="C3271" s="33"/>
      <c r="E3271" s="60"/>
      <c r="F3271" s="18"/>
      <c r="H3271" s="49"/>
      <c r="I3271" s="49"/>
      <c r="M3271" s="53"/>
      <c r="O3271" s="59"/>
      <c r="P3271" s="59"/>
      <c r="Q3271" s="59"/>
    </row>
    <row r="3272" spans="1:17" x14ac:dyDescent="0.25">
      <c r="A3272" s="21" t="str">
        <f>IF(C3272="","",COUNTA($C$3:C3272))</f>
        <v/>
      </c>
      <c r="B3272" s="35" t="str">
        <f t="shared" si="67"/>
        <v/>
      </c>
      <c r="C3272" s="33"/>
      <c r="E3272" s="60"/>
      <c r="F3272" s="18"/>
      <c r="H3272" s="49"/>
      <c r="I3272" s="49"/>
      <c r="M3272" s="53"/>
      <c r="O3272" s="59"/>
      <c r="P3272" s="69"/>
      <c r="Q3272" s="59"/>
    </row>
    <row r="3273" spans="1:17" x14ac:dyDescent="0.25">
      <c r="A3273" s="21" t="str">
        <f>IF(C3273="","",COUNTA($C$3:C3273))</f>
        <v/>
      </c>
      <c r="B3273" s="35" t="str">
        <f t="shared" si="67"/>
        <v/>
      </c>
      <c r="C3273" s="33"/>
      <c r="E3273" s="60"/>
      <c r="F3273" s="18"/>
      <c r="H3273" s="49"/>
      <c r="I3273" s="49"/>
      <c r="M3273" s="53"/>
      <c r="O3273" s="59"/>
      <c r="P3273" s="112"/>
      <c r="Q3273" s="59"/>
    </row>
    <row r="3274" spans="1:17" x14ac:dyDescent="0.25">
      <c r="A3274" s="21" t="str">
        <f>IF(C3274="","",COUNTA($C$3:C3274))</f>
        <v/>
      </c>
      <c r="B3274" s="35" t="str">
        <f t="shared" si="67"/>
        <v/>
      </c>
      <c r="C3274" s="33"/>
      <c r="E3274" s="60"/>
      <c r="F3274" s="18"/>
      <c r="H3274" s="49"/>
      <c r="I3274" s="49"/>
      <c r="L3274" s="53"/>
      <c r="M3274" s="53"/>
      <c r="O3274" s="59"/>
      <c r="P3274" s="117"/>
      <c r="Q3274" s="59"/>
    </row>
    <row r="3275" spans="1:17" x14ac:dyDescent="0.25">
      <c r="A3275" s="21" t="str">
        <f>IF(C3275="","",COUNTA($C$3:C3275))</f>
        <v/>
      </c>
      <c r="B3275" s="35" t="str">
        <f t="shared" si="67"/>
        <v/>
      </c>
      <c r="C3275" s="33"/>
      <c r="E3275" s="60"/>
      <c r="F3275" s="18"/>
      <c r="H3275" s="49"/>
      <c r="I3275" s="49"/>
      <c r="M3275" s="53"/>
    </row>
    <row r="3276" spans="1:17" x14ac:dyDescent="0.25">
      <c r="A3276" s="21" t="str">
        <f>IF(C3276="","",COUNTA($C$3:C3276))</f>
        <v/>
      </c>
      <c r="B3276" s="35" t="str">
        <f t="shared" si="67"/>
        <v/>
      </c>
      <c r="C3276" s="33"/>
      <c r="E3276" s="60"/>
      <c r="F3276" s="18"/>
      <c r="H3276" s="49"/>
      <c r="I3276" s="49"/>
      <c r="M3276" s="53"/>
    </row>
    <row r="3277" spans="1:17" x14ac:dyDescent="0.25">
      <c r="A3277" s="21" t="str">
        <f>IF(C3277="","",COUNTA($C$3:C3277))</f>
        <v/>
      </c>
      <c r="B3277" s="35" t="str">
        <f t="shared" si="67"/>
        <v/>
      </c>
      <c r="C3277" s="33"/>
      <c r="E3277" s="60"/>
      <c r="F3277" s="18"/>
      <c r="H3277" s="49"/>
      <c r="I3277" s="49"/>
      <c r="M3277" s="53"/>
    </row>
    <row r="3278" spans="1:17" x14ac:dyDescent="0.25">
      <c r="A3278" s="21" t="str">
        <f>IF(C3278="","",COUNTA($C$3:C3278))</f>
        <v/>
      </c>
      <c r="B3278" s="35" t="str">
        <f t="shared" si="67"/>
        <v/>
      </c>
      <c r="C3278" s="33"/>
      <c r="E3278" s="60"/>
      <c r="F3278" s="18"/>
      <c r="H3278" s="49"/>
      <c r="I3278" s="49"/>
      <c r="M3278" s="53"/>
    </row>
    <row r="3279" spans="1:17" x14ac:dyDescent="0.25">
      <c r="A3279" s="21" t="str">
        <f>IF(C3279="","",COUNTA($C$3:C3279))</f>
        <v/>
      </c>
      <c r="B3279" s="35" t="str">
        <f t="shared" si="67"/>
        <v/>
      </c>
      <c r="C3279" s="33"/>
      <c r="E3279" s="60"/>
      <c r="F3279" s="18"/>
      <c r="H3279" s="49"/>
      <c r="I3279" s="49"/>
      <c r="K3279" s="67"/>
      <c r="M3279" s="53"/>
    </row>
    <row r="3280" spans="1:17" x14ac:dyDescent="0.25">
      <c r="A3280" s="21" t="str">
        <f>IF(C3280="","",COUNTA($C$3:C3280))</f>
        <v/>
      </c>
      <c r="B3280" s="35" t="str">
        <f t="shared" si="67"/>
        <v/>
      </c>
      <c r="C3280" s="33"/>
      <c r="E3280" s="60"/>
      <c r="F3280" s="18"/>
      <c r="H3280" s="49"/>
      <c r="I3280" s="49"/>
      <c r="M3280" s="53"/>
    </row>
    <row r="3281" spans="1:13" x14ac:dyDescent="0.25">
      <c r="A3281" s="21" t="str">
        <f>IF(C3281="","",COUNTA($C$3:C3281))</f>
        <v/>
      </c>
      <c r="B3281" s="35" t="str">
        <f t="shared" si="67"/>
        <v/>
      </c>
      <c r="C3281" s="33"/>
      <c r="E3281" s="60"/>
      <c r="F3281" s="18"/>
      <c r="H3281" s="49"/>
      <c r="I3281" s="49"/>
      <c r="M3281" s="53"/>
    </row>
    <row r="3282" spans="1:13" x14ac:dyDescent="0.25">
      <c r="A3282" s="21" t="str">
        <f>IF(C3282="","",COUNTA($C$3:C3282))</f>
        <v/>
      </c>
      <c r="B3282" s="35" t="str">
        <f t="shared" si="67"/>
        <v/>
      </c>
      <c r="C3282" s="33"/>
      <c r="E3282" s="60"/>
      <c r="F3282" s="18"/>
      <c r="H3282" s="49"/>
      <c r="I3282" s="49"/>
      <c r="M3282" s="53"/>
    </row>
    <row r="3283" spans="1:13" x14ac:dyDescent="0.25">
      <c r="A3283" s="21" t="str">
        <f>IF(C3283="","",COUNTA($C$3:C3283))</f>
        <v/>
      </c>
      <c r="B3283" s="35" t="str">
        <f t="shared" si="67"/>
        <v/>
      </c>
      <c r="C3283" s="33"/>
      <c r="E3283" s="60"/>
      <c r="F3283" s="18"/>
      <c r="H3283" s="49"/>
      <c r="I3283" s="49"/>
      <c r="M3283" s="53"/>
    </row>
    <row r="3284" spans="1:13" x14ac:dyDescent="0.25">
      <c r="A3284" s="21" t="str">
        <f>IF(C3284="","",COUNTA($C$3:C3284))</f>
        <v/>
      </c>
      <c r="B3284" s="35" t="str">
        <f t="shared" si="67"/>
        <v/>
      </c>
      <c r="C3284" s="33"/>
      <c r="E3284" s="60"/>
      <c r="F3284" s="18"/>
      <c r="H3284" s="49"/>
      <c r="I3284" s="49"/>
      <c r="M3284" s="53"/>
    </row>
    <row r="3285" spans="1:13" x14ac:dyDescent="0.25">
      <c r="A3285" s="21" t="str">
        <f>IF(C3285="","",COUNTA($C$3:C3285))</f>
        <v/>
      </c>
      <c r="B3285" s="35" t="str">
        <f t="shared" si="67"/>
        <v/>
      </c>
      <c r="C3285" s="33"/>
      <c r="E3285" s="60"/>
      <c r="F3285" s="18"/>
      <c r="H3285" s="49"/>
      <c r="I3285" s="49"/>
      <c r="M3285" s="53"/>
    </row>
    <row r="3286" spans="1:13" x14ac:dyDescent="0.25">
      <c r="A3286" s="21" t="str">
        <f>IF(C3286="","",COUNTA($C$3:C3286))</f>
        <v/>
      </c>
      <c r="B3286" s="35" t="str">
        <f t="shared" si="67"/>
        <v/>
      </c>
      <c r="C3286" s="33"/>
      <c r="E3286" s="60"/>
      <c r="F3286" s="18"/>
      <c r="H3286" s="49"/>
      <c r="I3286" s="49"/>
      <c r="M3286" s="53"/>
    </row>
    <row r="3287" spans="1:13" x14ac:dyDescent="0.25">
      <c r="A3287" s="21" t="str">
        <f>IF(C3287="","",COUNTA($C$3:C3287))</f>
        <v/>
      </c>
      <c r="B3287" s="35" t="str">
        <f t="shared" si="67"/>
        <v/>
      </c>
      <c r="C3287" s="33"/>
      <c r="E3287" s="60"/>
      <c r="F3287" s="18"/>
      <c r="H3287" s="49"/>
      <c r="I3287" s="49"/>
      <c r="M3287" s="53"/>
    </row>
    <row r="3288" spans="1:13" x14ac:dyDescent="0.25">
      <c r="A3288" s="21" t="str">
        <f>IF(C3288="","",COUNTA($C$3:C3288))</f>
        <v/>
      </c>
      <c r="B3288" s="35" t="str">
        <f t="shared" si="67"/>
        <v/>
      </c>
      <c r="C3288" s="33"/>
      <c r="E3288" s="60"/>
      <c r="F3288" s="18"/>
      <c r="H3288" s="49"/>
      <c r="I3288" s="49"/>
      <c r="M3288" s="53"/>
    </row>
    <row r="3289" spans="1:13" x14ac:dyDescent="0.25">
      <c r="A3289" s="21" t="str">
        <f>IF(C3289="","",COUNTA($C$3:C3289))</f>
        <v/>
      </c>
      <c r="B3289" s="35" t="str">
        <f t="shared" si="67"/>
        <v/>
      </c>
      <c r="C3289" s="33"/>
      <c r="E3289" s="60"/>
      <c r="F3289" s="18"/>
      <c r="H3289" s="49"/>
      <c r="I3289" s="49"/>
      <c r="M3289" s="53"/>
    </row>
    <row r="3290" spans="1:13" x14ac:dyDescent="0.25">
      <c r="A3290" s="21" t="str">
        <f>IF(C3290="","",COUNTA($C$3:C3290))</f>
        <v/>
      </c>
      <c r="B3290" s="35" t="str">
        <f t="shared" si="67"/>
        <v/>
      </c>
      <c r="C3290" s="33"/>
      <c r="E3290" s="60"/>
      <c r="F3290" s="18"/>
      <c r="H3290" s="49"/>
      <c r="I3290" s="49"/>
      <c r="M3290" s="53"/>
    </row>
    <row r="3291" spans="1:13" x14ac:dyDescent="0.25">
      <c r="A3291" s="21" t="str">
        <f>IF(C3291="","",COUNTA($C$3:C3291))</f>
        <v/>
      </c>
      <c r="B3291" s="35" t="str">
        <f t="shared" si="67"/>
        <v/>
      </c>
      <c r="C3291" s="33"/>
      <c r="E3291" s="60"/>
      <c r="F3291" s="18"/>
      <c r="H3291" s="49"/>
      <c r="I3291" s="49"/>
      <c r="M3291" s="53"/>
    </row>
    <row r="3292" spans="1:13" x14ac:dyDescent="0.25">
      <c r="A3292" s="21" t="str">
        <f>IF(C3292="","",COUNTA($C$3:C3292))</f>
        <v/>
      </c>
      <c r="B3292" s="35" t="str">
        <f t="shared" si="67"/>
        <v/>
      </c>
      <c r="C3292" s="33"/>
      <c r="E3292" s="60"/>
      <c r="F3292" s="18"/>
      <c r="H3292" s="49"/>
      <c r="I3292" s="49"/>
      <c r="M3292" s="53"/>
    </row>
    <row r="3293" spans="1:13" x14ac:dyDescent="0.25">
      <c r="A3293" s="21" t="str">
        <f>IF(C3293="","",COUNTA($C$3:C3293))</f>
        <v/>
      </c>
      <c r="B3293" s="35" t="str">
        <f t="shared" si="67"/>
        <v/>
      </c>
      <c r="C3293" s="33"/>
      <c r="E3293" s="60"/>
      <c r="F3293" s="18"/>
      <c r="H3293" s="49"/>
      <c r="I3293" s="49"/>
      <c r="M3293" s="53"/>
    </row>
    <row r="3294" spans="1:13" x14ac:dyDescent="0.25">
      <c r="A3294" s="21" t="str">
        <f>IF(C3294="","",COUNTA($C$3:C3294))</f>
        <v/>
      </c>
      <c r="B3294" s="35" t="str">
        <f t="shared" si="67"/>
        <v/>
      </c>
      <c r="C3294" s="33"/>
      <c r="E3294" s="60"/>
      <c r="F3294" s="18"/>
      <c r="H3294" s="49"/>
      <c r="I3294" s="49"/>
      <c r="M3294" s="53"/>
    </row>
    <row r="3295" spans="1:13" x14ac:dyDescent="0.25">
      <c r="A3295" s="21" t="str">
        <f>IF(C3295="","",COUNTA($C$3:C3295))</f>
        <v/>
      </c>
      <c r="B3295" s="35" t="str">
        <f t="shared" si="67"/>
        <v/>
      </c>
      <c r="C3295" s="33"/>
      <c r="E3295" s="60"/>
      <c r="F3295" s="18"/>
      <c r="H3295" s="49"/>
      <c r="I3295" s="49"/>
      <c r="M3295" s="53"/>
    </row>
    <row r="3296" spans="1:13" x14ac:dyDescent="0.25">
      <c r="A3296" s="21" t="str">
        <f>IF(C3296="","",COUNTA($C$3:C3296))</f>
        <v/>
      </c>
      <c r="B3296" s="35" t="str">
        <f t="shared" si="67"/>
        <v/>
      </c>
      <c r="C3296" s="33"/>
      <c r="E3296" s="60"/>
      <c r="F3296" s="18"/>
      <c r="H3296" s="49"/>
      <c r="I3296" s="49"/>
      <c r="M3296" s="53"/>
    </row>
    <row r="3297" spans="1:13" x14ac:dyDescent="0.25">
      <c r="A3297" s="21" t="str">
        <f>IF(C3297="","",COUNTA($C$3:C3297))</f>
        <v/>
      </c>
      <c r="B3297" s="35" t="str">
        <f t="shared" si="67"/>
        <v/>
      </c>
      <c r="C3297" s="33"/>
      <c r="E3297" s="60"/>
      <c r="F3297" s="18"/>
      <c r="H3297" s="49"/>
      <c r="I3297" s="49"/>
      <c r="M3297" s="53"/>
    </row>
    <row r="3298" spans="1:13" x14ac:dyDescent="0.25">
      <c r="A3298" s="21" t="str">
        <f>IF(C3298="","",COUNTA($C$3:C3298))</f>
        <v/>
      </c>
      <c r="B3298" s="35" t="str">
        <f t="shared" si="67"/>
        <v/>
      </c>
      <c r="C3298" s="33"/>
      <c r="E3298" s="60"/>
      <c r="F3298" s="18"/>
      <c r="H3298" s="49"/>
      <c r="I3298" s="49"/>
      <c r="M3298" s="53"/>
    </row>
    <row r="3299" spans="1:13" x14ac:dyDescent="0.25">
      <c r="A3299" s="21" t="str">
        <f>IF(C3299="","",COUNTA($C$3:C3299))</f>
        <v/>
      </c>
      <c r="B3299" s="35" t="str">
        <f t="shared" si="67"/>
        <v/>
      </c>
      <c r="C3299" s="33"/>
      <c r="E3299" s="60"/>
      <c r="F3299" s="18"/>
      <c r="H3299" s="49"/>
      <c r="I3299" s="76"/>
      <c r="M3299" s="53"/>
    </row>
    <row r="3300" spans="1:13" x14ac:dyDescent="0.25">
      <c r="A3300" s="21" t="str">
        <f>IF(C3300="","",COUNTA($C$3:C3300))</f>
        <v/>
      </c>
      <c r="B3300" s="35" t="str">
        <f t="shared" si="67"/>
        <v/>
      </c>
      <c r="C3300" s="33"/>
      <c r="E3300" s="60"/>
      <c r="F3300" s="18"/>
      <c r="H3300" s="49"/>
      <c r="I3300" s="49"/>
      <c r="M3300" s="53"/>
    </row>
    <row r="3301" spans="1:13" x14ac:dyDescent="0.25">
      <c r="A3301" s="21" t="str">
        <f>IF(C3301="","",COUNTA($C$3:C3301))</f>
        <v/>
      </c>
      <c r="B3301" s="35" t="str">
        <f t="shared" si="67"/>
        <v/>
      </c>
      <c r="C3301" s="33"/>
      <c r="E3301" s="60"/>
      <c r="F3301" s="18"/>
      <c r="H3301" s="49"/>
      <c r="I3301" s="49"/>
      <c r="M3301" s="53"/>
    </row>
    <row r="3302" spans="1:13" x14ac:dyDescent="0.25">
      <c r="A3302" s="21" t="str">
        <f>IF(C3302="","",COUNTA($C$3:C3302))</f>
        <v/>
      </c>
      <c r="B3302" s="35" t="str">
        <f t="shared" si="67"/>
        <v/>
      </c>
      <c r="C3302" s="33"/>
      <c r="E3302" s="60"/>
      <c r="F3302" s="18"/>
      <c r="H3302" s="49"/>
      <c r="I3302" s="49"/>
      <c r="M3302" s="53"/>
    </row>
    <row r="3303" spans="1:13" x14ac:dyDescent="0.25">
      <c r="A3303" s="21" t="str">
        <f>IF(C3303="","",COUNTA($C$3:C3303))</f>
        <v/>
      </c>
      <c r="B3303" s="35" t="str">
        <f t="shared" si="67"/>
        <v/>
      </c>
      <c r="C3303" s="33"/>
      <c r="E3303" s="60"/>
      <c r="F3303" s="18"/>
      <c r="H3303" s="49"/>
      <c r="I3303" s="49"/>
      <c r="M3303" s="53"/>
    </row>
    <row r="3304" spans="1:13" x14ac:dyDescent="0.25">
      <c r="A3304" s="21" t="str">
        <f>IF(C3304="","",COUNTA($C$3:C3304))</f>
        <v/>
      </c>
      <c r="B3304" s="35" t="str">
        <f t="shared" si="67"/>
        <v/>
      </c>
      <c r="C3304" s="33"/>
      <c r="E3304" s="60"/>
      <c r="F3304" s="18"/>
      <c r="H3304" s="49"/>
      <c r="I3304" s="49"/>
      <c r="M3304" s="53"/>
    </row>
    <row r="3305" spans="1:13" x14ac:dyDescent="0.25">
      <c r="A3305" s="21" t="str">
        <f>IF(C3305="","",COUNTA($C$3:C3305))</f>
        <v/>
      </c>
      <c r="B3305" s="35" t="str">
        <f t="shared" si="67"/>
        <v/>
      </c>
      <c r="C3305" s="33"/>
      <c r="E3305" s="60"/>
      <c r="F3305" s="18"/>
      <c r="H3305" s="49"/>
      <c r="I3305" s="49"/>
      <c r="M3305" s="53"/>
    </row>
    <row r="3306" spans="1:13" x14ac:dyDescent="0.25">
      <c r="A3306" s="21" t="str">
        <f>IF(C3306="","",COUNTA($C$3:C3306))</f>
        <v/>
      </c>
      <c r="B3306" s="35" t="str">
        <f t="shared" si="67"/>
        <v/>
      </c>
      <c r="C3306" s="33"/>
      <c r="E3306" s="60"/>
      <c r="F3306" s="18"/>
      <c r="H3306" s="49"/>
      <c r="I3306" s="49"/>
      <c r="M3306" s="53"/>
    </row>
    <row r="3307" spans="1:13" x14ac:dyDescent="0.25">
      <c r="A3307" s="21" t="str">
        <f>IF(C3307="","",COUNTA($C$3:C3307))</f>
        <v/>
      </c>
      <c r="B3307" s="35" t="str">
        <f t="shared" si="67"/>
        <v/>
      </c>
      <c r="C3307" s="33"/>
      <c r="E3307" s="60"/>
      <c r="F3307" s="18"/>
      <c r="H3307" s="49"/>
      <c r="I3307" s="49"/>
      <c r="M3307" s="53"/>
    </row>
    <row r="3308" spans="1:13" x14ac:dyDescent="0.25">
      <c r="A3308" s="21" t="str">
        <f>IF(C3308="","",COUNTA($C$3:C3308))</f>
        <v/>
      </c>
      <c r="B3308" s="35" t="str">
        <f t="shared" si="67"/>
        <v/>
      </c>
      <c r="C3308" s="33"/>
      <c r="E3308" s="60"/>
      <c r="F3308" s="18"/>
      <c r="H3308" s="49"/>
      <c r="I3308" s="49"/>
      <c r="M3308" s="53"/>
    </row>
    <row r="3309" spans="1:13" x14ac:dyDescent="0.25">
      <c r="A3309" s="21" t="str">
        <f>IF(C3309="","",COUNTA($C$3:C3309))</f>
        <v/>
      </c>
      <c r="B3309" s="35" t="str">
        <f t="shared" si="67"/>
        <v/>
      </c>
      <c r="C3309" s="33"/>
      <c r="E3309" s="60"/>
      <c r="F3309" s="18"/>
      <c r="H3309" s="49"/>
      <c r="I3309" s="49"/>
      <c r="M3309" s="53"/>
    </row>
    <row r="3310" spans="1:13" x14ac:dyDescent="0.25">
      <c r="A3310" s="21" t="str">
        <f>IF(C3310="","",COUNTA($C$3:C3310))</f>
        <v/>
      </c>
      <c r="B3310" s="35" t="str">
        <f t="shared" si="67"/>
        <v/>
      </c>
      <c r="C3310" s="33"/>
      <c r="E3310" s="60"/>
      <c r="F3310" s="18"/>
      <c r="H3310" s="49"/>
      <c r="I3310" s="49"/>
      <c r="M3310" s="53"/>
    </row>
    <row r="3311" spans="1:13" x14ac:dyDescent="0.25">
      <c r="A3311" s="21" t="str">
        <f>IF(C3311="","",COUNTA($C$3:C3311))</f>
        <v/>
      </c>
      <c r="B3311" s="35" t="str">
        <f t="shared" si="67"/>
        <v/>
      </c>
      <c r="C3311" s="33"/>
      <c r="E3311" s="60"/>
      <c r="F3311" s="18"/>
      <c r="H3311" s="49"/>
      <c r="I3311" s="49"/>
      <c r="M3311" s="53"/>
    </row>
    <row r="3312" spans="1:13" x14ac:dyDescent="0.25">
      <c r="A3312" s="21" t="str">
        <f>IF(C3312="","",COUNTA($C$3:C3312))</f>
        <v/>
      </c>
      <c r="B3312" s="35" t="str">
        <f t="shared" si="67"/>
        <v/>
      </c>
      <c r="C3312" s="33"/>
      <c r="E3312" s="60"/>
      <c r="F3312" s="18"/>
      <c r="H3312" s="49"/>
      <c r="I3312" s="49"/>
      <c r="M3312" s="53"/>
    </row>
    <row r="3313" spans="1:17" x14ac:dyDescent="0.25">
      <c r="A3313" s="21" t="str">
        <f>IF(C3313="","",COUNTA($C$3:C3313))</f>
        <v/>
      </c>
      <c r="B3313" s="35" t="str">
        <f t="shared" si="67"/>
        <v/>
      </c>
      <c r="C3313" s="33"/>
      <c r="E3313" s="60"/>
      <c r="F3313" s="18"/>
      <c r="H3313" s="49"/>
      <c r="I3313" s="49"/>
      <c r="M3313" s="53"/>
    </row>
    <row r="3314" spans="1:17" x14ac:dyDescent="0.25">
      <c r="A3314" s="21" t="str">
        <f>IF(C3314="","",COUNTA($C$3:C3314))</f>
        <v/>
      </c>
      <c r="B3314" s="35" t="str">
        <f t="shared" si="67"/>
        <v/>
      </c>
      <c r="C3314" s="33"/>
      <c r="E3314" s="60"/>
      <c r="F3314" s="18"/>
      <c r="H3314" s="49"/>
      <c r="I3314" s="49"/>
      <c r="M3314" s="53"/>
    </row>
    <row r="3315" spans="1:17" x14ac:dyDescent="0.25">
      <c r="A3315" s="21" t="str">
        <f>IF(C3315="","",COUNTA($C$3:C3315))</f>
        <v/>
      </c>
      <c r="B3315" s="35" t="str">
        <f t="shared" si="67"/>
        <v/>
      </c>
      <c r="C3315" s="33"/>
      <c r="E3315" s="60"/>
      <c r="F3315" s="18"/>
      <c r="H3315" s="49"/>
      <c r="I3315" s="49"/>
      <c r="M3315" s="53"/>
    </row>
    <row r="3316" spans="1:17" x14ac:dyDescent="0.25">
      <c r="A3316" s="21" t="str">
        <f>IF(C3316="","",COUNTA($C$3:C3316))</f>
        <v/>
      </c>
      <c r="B3316" s="35" t="str">
        <f t="shared" si="67"/>
        <v/>
      </c>
      <c r="C3316" s="33"/>
      <c r="E3316" s="60"/>
      <c r="F3316" s="18"/>
      <c r="H3316" s="49"/>
      <c r="I3316" s="49"/>
      <c r="M3316" s="53"/>
    </row>
    <row r="3317" spans="1:17" x14ac:dyDescent="0.25">
      <c r="A3317" s="21" t="str">
        <f>IF(C3317="","",COUNTA($C$3:C3317))</f>
        <v/>
      </c>
      <c r="B3317" s="35" t="str">
        <f t="shared" si="67"/>
        <v/>
      </c>
      <c r="C3317" s="33"/>
      <c r="E3317" s="60"/>
      <c r="F3317" s="18"/>
      <c r="H3317" s="49"/>
      <c r="I3317" s="49"/>
      <c r="M3317" s="53"/>
    </row>
    <row r="3318" spans="1:17" x14ac:dyDescent="0.25">
      <c r="A3318" s="21" t="str">
        <f>IF(C3318="","",COUNTA($C$3:C3318))</f>
        <v/>
      </c>
      <c r="B3318" s="35" t="str">
        <f t="shared" si="67"/>
        <v/>
      </c>
      <c r="C3318" s="33"/>
      <c r="E3318" s="60"/>
      <c r="F3318" s="18"/>
      <c r="H3318" s="49"/>
      <c r="I3318" s="49"/>
      <c r="M3318" s="53"/>
    </row>
    <row r="3319" spans="1:17" x14ac:dyDescent="0.25">
      <c r="A3319" s="21" t="str">
        <f>IF(C3319="","",COUNTA($C$3:C3319))</f>
        <v/>
      </c>
      <c r="B3319" s="35" t="str">
        <f t="shared" si="67"/>
        <v/>
      </c>
      <c r="C3319" s="33"/>
      <c r="E3319" s="60"/>
      <c r="F3319" s="18"/>
      <c r="H3319" s="49"/>
      <c r="I3319" s="49"/>
      <c r="M3319" s="53"/>
    </row>
    <row r="3320" spans="1:17" x14ac:dyDescent="0.25">
      <c r="A3320" s="21" t="str">
        <f>IF(C3320="","",COUNTA($C$3:C3320))</f>
        <v/>
      </c>
      <c r="B3320" s="35" t="str">
        <f t="shared" si="67"/>
        <v/>
      </c>
      <c r="C3320" s="33"/>
      <c r="E3320" s="60"/>
      <c r="F3320" s="18"/>
      <c r="H3320" s="49"/>
      <c r="I3320" s="49"/>
      <c r="M3320" s="53"/>
      <c r="O3320" s="59"/>
      <c r="P3320" s="112"/>
      <c r="Q3320" s="59"/>
    </row>
    <row r="3321" spans="1:17" x14ac:dyDescent="0.25">
      <c r="A3321" s="21" t="str">
        <f>IF(C3321="","",COUNTA($C$3:C3321))</f>
        <v/>
      </c>
      <c r="B3321" s="35" t="str">
        <f t="shared" si="67"/>
        <v/>
      </c>
      <c r="C3321" s="33"/>
      <c r="E3321" s="60"/>
      <c r="F3321" s="18"/>
      <c r="H3321" s="49"/>
      <c r="I3321" s="49"/>
      <c r="M3321" s="53"/>
    </row>
    <row r="3322" spans="1:17" x14ac:dyDescent="0.25">
      <c r="A3322" s="21" t="str">
        <f>IF(C3322="","",COUNTA($C$3:C3322))</f>
        <v/>
      </c>
      <c r="B3322" s="35" t="str">
        <f t="shared" si="67"/>
        <v/>
      </c>
      <c r="C3322" s="33"/>
      <c r="E3322" s="60"/>
      <c r="F3322" s="18"/>
      <c r="H3322" s="49"/>
      <c r="I3322" s="49"/>
      <c r="M3322" s="53"/>
      <c r="O3322" s="59"/>
      <c r="P3322" s="69"/>
      <c r="Q3322" s="59"/>
    </row>
    <row r="3323" spans="1:17" x14ac:dyDescent="0.25">
      <c r="A3323" s="21" t="str">
        <f>IF(C3323="","",COUNTA($C$3:C3323))</f>
        <v/>
      </c>
      <c r="B3323" s="35" t="str">
        <f t="shared" si="67"/>
        <v/>
      </c>
      <c r="C3323" s="33"/>
      <c r="E3323" s="60"/>
      <c r="F3323" s="18"/>
      <c r="H3323" s="49"/>
      <c r="I3323" s="49"/>
      <c r="M3323" s="53"/>
      <c r="O3323" s="59"/>
      <c r="P3323" s="114"/>
      <c r="Q3323" s="59"/>
    </row>
    <row r="3324" spans="1:17" x14ac:dyDescent="0.25">
      <c r="A3324" s="21" t="str">
        <f>IF(C3324="","",COUNTA($C$3:C3324))</f>
        <v/>
      </c>
      <c r="B3324" s="35" t="str">
        <f t="shared" si="67"/>
        <v/>
      </c>
      <c r="C3324" s="33"/>
      <c r="E3324" s="60"/>
      <c r="F3324" s="18"/>
      <c r="H3324" s="49"/>
      <c r="I3324" s="49"/>
      <c r="M3324" s="53"/>
    </row>
    <row r="3325" spans="1:17" x14ac:dyDescent="0.25">
      <c r="A3325" s="21" t="str">
        <f>IF(C3325="","",COUNTA($C$3:C3325))</f>
        <v/>
      </c>
      <c r="B3325" s="35" t="str">
        <f t="shared" si="67"/>
        <v/>
      </c>
      <c r="C3325" s="33"/>
      <c r="E3325" s="60"/>
      <c r="F3325" s="18"/>
      <c r="H3325" s="49"/>
      <c r="I3325" s="49"/>
      <c r="M3325" s="53"/>
    </row>
    <row r="3326" spans="1:17" x14ac:dyDescent="0.25">
      <c r="A3326" s="21" t="str">
        <f>IF(C3326="","",COUNTA($C$3:C3326))</f>
        <v/>
      </c>
      <c r="B3326" s="35" t="str">
        <f t="shared" si="67"/>
        <v/>
      </c>
      <c r="C3326" s="33"/>
      <c r="E3326" s="60"/>
      <c r="F3326" s="18"/>
      <c r="H3326" s="49"/>
      <c r="I3326" s="49"/>
      <c r="M3326" s="53"/>
      <c r="O3326" s="59"/>
      <c r="P3326" s="69"/>
      <c r="Q3326" s="59"/>
    </row>
    <row r="3327" spans="1:17" x14ac:dyDescent="0.25">
      <c r="A3327" s="21" t="str">
        <f>IF(C3327="","",COUNTA($C$3:C3327))</f>
        <v/>
      </c>
      <c r="B3327" s="35" t="str">
        <f t="shared" si="67"/>
        <v/>
      </c>
      <c r="C3327" s="33"/>
      <c r="E3327" s="60"/>
      <c r="F3327" s="18"/>
      <c r="H3327" s="49"/>
      <c r="I3327" s="49"/>
      <c r="M3327" s="53"/>
      <c r="O3327" s="59"/>
      <c r="P3327" s="112"/>
      <c r="Q3327" s="59"/>
    </row>
    <row r="3328" spans="1:17" x14ac:dyDescent="0.25">
      <c r="A3328" s="21" t="str">
        <f>IF(C3328="","",COUNTA($C$3:C3328))</f>
        <v/>
      </c>
      <c r="B3328" s="35" t="str">
        <f t="shared" si="67"/>
        <v/>
      </c>
      <c r="C3328" s="33"/>
      <c r="E3328" s="60"/>
      <c r="F3328" s="18"/>
      <c r="H3328" s="49"/>
      <c r="I3328" s="49"/>
      <c r="M3328" s="53"/>
      <c r="O3328" s="59"/>
      <c r="P3328" s="59"/>
      <c r="Q3328" s="59"/>
    </row>
    <row r="3329" spans="1:17" x14ac:dyDescent="0.25">
      <c r="A3329" s="21" t="str">
        <f>IF(C3329="","",COUNTA($C$3:C3329))</f>
        <v/>
      </c>
      <c r="B3329" s="35" t="str">
        <f t="shared" si="67"/>
        <v/>
      </c>
      <c r="C3329" s="33"/>
      <c r="E3329" s="60"/>
      <c r="F3329" s="18"/>
      <c r="H3329" s="49"/>
      <c r="I3329" s="49"/>
      <c r="M3329" s="53"/>
      <c r="O3329" s="59"/>
      <c r="P3329" s="112"/>
      <c r="Q3329" s="59"/>
    </row>
    <row r="3330" spans="1:17" x14ac:dyDescent="0.25">
      <c r="A3330" s="21" t="str">
        <f>IF(C3330="","",COUNTA($C$3:C3330))</f>
        <v/>
      </c>
      <c r="B3330" s="35" t="str">
        <f t="shared" si="67"/>
        <v/>
      </c>
      <c r="C3330" s="33"/>
      <c r="E3330" s="60"/>
      <c r="F3330" s="18"/>
      <c r="H3330" s="49"/>
      <c r="I3330" s="49"/>
      <c r="M3330" s="53"/>
      <c r="O3330" s="59"/>
      <c r="P3330" s="71"/>
      <c r="Q3330" s="59"/>
    </row>
    <row r="3331" spans="1:17" x14ac:dyDescent="0.25">
      <c r="A3331" s="21" t="str">
        <f>IF(C3331="","",COUNTA($C$3:C3331))</f>
        <v/>
      </c>
      <c r="B3331" s="35" t="str">
        <f t="shared" si="67"/>
        <v/>
      </c>
      <c r="C3331" s="33"/>
      <c r="E3331" s="60"/>
      <c r="F3331" s="18"/>
      <c r="H3331" s="49"/>
      <c r="I3331" s="49"/>
      <c r="M3331" s="53"/>
      <c r="O3331" s="59"/>
      <c r="P3331" s="69"/>
      <c r="Q3331" s="59"/>
    </row>
    <row r="3332" spans="1:17" x14ac:dyDescent="0.25">
      <c r="A3332" s="21" t="str">
        <f>IF(C3332="","",COUNTA($C$3:C3332))</f>
        <v/>
      </c>
      <c r="B3332" s="35" t="str">
        <f t="shared" si="67"/>
        <v/>
      </c>
      <c r="C3332" s="33"/>
      <c r="E3332" s="60"/>
      <c r="F3332" s="18"/>
      <c r="H3332" s="49"/>
      <c r="I3332" s="49"/>
      <c r="M3332" s="53"/>
    </row>
    <row r="3333" spans="1:17" x14ac:dyDescent="0.25">
      <c r="A3333" s="21" t="str">
        <f>IF(C3333="","",COUNTA($C$3:C3333))</f>
        <v/>
      </c>
      <c r="B3333" s="35" t="str">
        <f t="shared" ref="B3333:B3396" si="68">IF(C3333="","",TEXT(C3333,"mmmm"))</f>
        <v/>
      </c>
      <c r="C3333" s="33"/>
      <c r="E3333" s="60"/>
      <c r="F3333" s="18"/>
      <c r="H3333" s="49"/>
      <c r="I3333" s="49"/>
      <c r="L3333" s="62"/>
      <c r="M3333" s="53"/>
    </row>
    <row r="3334" spans="1:17" x14ac:dyDescent="0.25">
      <c r="A3334" s="21" t="str">
        <f>IF(C3334="","",COUNTA($C$3:C3334))</f>
        <v/>
      </c>
      <c r="B3334" s="35" t="str">
        <f t="shared" si="68"/>
        <v/>
      </c>
      <c r="C3334" s="33"/>
      <c r="E3334" s="60"/>
      <c r="F3334" s="18"/>
      <c r="H3334" s="49"/>
      <c r="I3334" s="49"/>
      <c r="M3334" s="53"/>
    </row>
    <row r="3335" spans="1:17" x14ac:dyDescent="0.25">
      <c r="A3335" s="21" t="str">
        <f>IF(C3335="","",COUNTA($C$3:C3335))</f>
        <v/>
      </c>
      <c r="B3335" s="35" t="str">
        <f t="shared" si="68"/>
        <v/>
      </c>
      <c r="C3335" s="33"/>
      <c r="E3335" s="60"/>
      <c r="F3335" s="18"/>
      <c r="H3335" s="49"/>
      <c r="I3335" s="49"/>
      <c r="K3335" s="67"/>
      <c r="M3335" s="53"/>
    </row>
    <row r="3336" spans="1:17" x14ac:dyDescent="0.25">
      <c r="A3336" s="21" t="str">
        <f>IF(C3336="","",COUNTA($C$3:C3336))</f>
        <v/>
      </c>
      <c r="B3336" s="35" t="str">
        <f t="shared" si="68"/>
        <v/>
      </c>
      <c r="C3336" s="33"/>
      <c r="E3336" s="60"/>
      <c r="F3336" s="18"/>
      <c r="H3336" s="49"/>
      <c r="I3336" s="49"/>
      <c r="K3336" s="67"/>
      <c r="M3336" s="53"/>
    </row>
    <row r="3337" spans="1:17" x14ac:dyDescent="0.25">
      <c r="A3337" s="21" t="str">
        <f>IF(C3337="","",COUNTA($C$3:C3337))</f>
        <v/>
      </c>
      <c r="B3337" s="35" t="str">
        <f t="shared" si="68"/>
        <v/>
      </c>
      <c r="C3337" s="33"/>
      <c r="E3337" s="60"/>
      <c r="F3337" s="18"/>
      <c r="H3337" s="49"/>
      <c r="I3337" s="49"/>
      <c r="M3337" s="53"/>
      <c r="O3337" s="59"/>
      <c r="P3337" s="117"/>
    </row>
    <row r="3338" spans="1:17" x14ac:dyDescent="0.25">
      <c r="A3338" s="21" t="str">
        <f>IF(C3338="","",COUNTA($C$3:C3338))</f>
        <v/>
      </c>
      <c r="B3338" s="35" t="str">
        <f t="shared" si="68"/>
        <v/>
      </c>
      <c r="C3338" s="33"/>
      <c r="E3338" s="60"/>
      <c r="F3338" s="18"/>
      <c r="H3338" s="49"/>
      <c r="I3338" s="49"/>
      <c r="K3338" s="55"/>
      <c r="M3338" s="53"/>
    </row>
    <row r="3339" spans="1:17" x14ac:dyDescent="0.25">
      <c r="A3339" s="21" t="str">
        <f>IF(C3339="","",COUNTA($C$3:C3339))</f>
        <v/>
      </c>
      <c r="B3339" s="35" t="str">
        <f t="shared" si="68"/>
        <v/>
      </c>
      <c r="C3339" s="33"/>
      <c r="E3339" s="60"/>
      <c r="F3339" s="18"/>
      <c r="H3339" s="49"/>
      <c r="I3339" s="49"/>
      <c r="M3339" s="53"/>
    </row>
    <row r="3340" spans="1:17" x14ac:dyDescent="0.25">
      <c r="A3340" s="21" t="str">
        <f>IF(C3340="","",COUNTA($C$3:C3340))</f>
        <v/>
      </c>
      <c r="B3340" s="35" t="str">
        <f t="shared" si="68"/>
        <v/>
      </c>
      <c r="C3340" s="33"/>
      <c r="E3340" s="60"/>
      <c r="F3340" s="18"/>
      <c r="H3340" s="49"/>
      <c r="I3340" s="49"/>
      <c r="L3340" s="62"/>
      <c r="M3340" s="53"/>
    </row>
    <row r="3341" spans="1:17" x14ac:dyDescent="0.25">
      <c r="A3341" s="21" t="str">
        <f>IF(C3341="","",COUNTA($C$3:C3341))</f>
        <v/>
      </c>
      <c r="B3341" s="35" t="str">
        <f t="shared" si="68"/>
        <v/>
      </c>
      <c r="C3341" s="33"/>
      <c r="E3341" s="60"/>
      <c r="F3341" s="18"/>
      <c r="H3341" s="49"/>
      <c r="I3341" s="49"/>
      <c r="M3341" s="53"/>
    </row>
    <row r="3342" spans="1:17" x14ac:dyDescent="0.25">
      <c r="A3342" s="21" t="str">
        <f>IF(C3342="","",COUNTA($C$3:C3342))</f>
        <v/>
      </c>
      <c r="B3342" s="35" t="str">
        <f t="shared" si="68"/>
        <v/>
      </c>
      <c r="C3342" s="33"/>
      <c r="E3342" s="60"/>
      <c r="F3342" s="18"/>
      <c r="H3342" s="49"/>
      <c r="I3342" s="49"/>
      <c r="M3342" s="53"/>
    </row>
    <row r="3343" spans="1:17" x14ac:dyDescent="0.25">
      <c r="A3343" s="21" t="str">
        <f>IF(C3343="","",COUNTA($C$3:C3343))</f>
        <v/>
      </c>
      <c r="B3343" s="35" t="str">
        <f t="shared" si="68"/>
        <v/>
      </c>
      <c r="C3343" s="33"/>
      <c r="E3343" s="60"/>
      <c r="F3343" s="18"/>
      <c r="H3343" s="49"/>
      <c r="I3343" s="49"/>
      <c r="M3343" s="53"/>
    </row>
    <row r="3344" spans="1:17" x14ac:dyDescent="0.25">
      <c r="A3344" s="21" t="str">
        <f>IF(C3344="","",COUNTA($C$3:C3344))</f>
        <v/>
      </c>
      <c r="B3344" s="35" t="str">
        <f t="shared" si="68"/>
        <v/>
      </c>
      <c r="C3344" s="33"/>
      <c r="E3344" s="60"/>
      <c r="F3344" s="18"/>
      <c r="H3344" s="49"/>
      <c r="I3344" s="49"/>
      <c r="M3344" s="53"/>
    </row>
    <row r="3345" spans="1:17" x14ac:dyDescent="0.25">
      <c r="A3345" s="21" t="str">
        <f>IF(C3345="","",COUNTA($C$3:C3345))</f>
        <v/>
      </c>
      <c r="B3345" s="35" t="str">
        <f t="shared" si="68"/>
        <v/>
      </c>
      <c r="C3345" s="33"/>
      <c r="E3345" s="60"/>
      <c r="F3345" s="18"/>
      <c r="H3345" s="49"/>
      <c r="I3345" s="49"/>
      <c r="M3345" s="53"/>
    </row>
    <row r="3346" spans="1:17" x14ac:dyDescent="0.25">
      <c r="A3346" s="21" t="str">
        <f>IF(C3346="","",COUNTA($C$3:C3346))</f>
        <v/>
      </c>
      <c r="B3346" s="35" t="str">
        <f t="shared" si="68"/>
        <v/>
      </c>
      <c r="C3346" s="33"/>
      <c r="E3346" s="60"/>
      <c r="F3346" s="18"/>
      <c r="H3346" s="49"/>
      <c r="I3346" s="49"/>
      <c r="M3346" s="53"/>
    </row>
    <row r="3347" spans="1:17" x14ac:dyDescent="0.25">
      <c r="A3347" s="21" t="str">
        <f>IF(C3347="","",COUNTA($C$3:C3347))</f>
        <v/>
      </c>
      <c r="B3347" s="35" t="str">
        <f t="shared" si="68"/>
        <v/>
      </c>
      <c r="C3347" s="33"/>
      <c r="E3347" s="60"/>
      <c r="F3347" s="18"/>
      <c r="H3347" s="49"/>
      <c r="I3347" s="49"/>
      <c r="M3347" s="53"/>
    </row>
    <row r="3348" spans="1:17" x14ac:dyDescent="0.25">
      <c r="A3348" s="21" t="str">
        <f>IF(C3348="","",COUNTA($C$3:C3348))</f>
        <v/>
      </c>
      <c r="B3348" s="35" t="str">
        <f t="shared" si="68"/>
        <v/>
      </c>
      <c r="C3348" s="33"/>
      <c r="E3348" s="60"/>
      <c r="F3348" s="18"/>
      <c r="H3348" s="49"/>
      <c r="I3348" s="49"/>
      <c r="L3348" s="62"/>
      <c r="M3348" s="53"/>
    </row>
    <row r="3349" spans="1:17" x14ac:dyDescent="0.25">
      <c r="A3349" s="21" t="str">
        <f>IF(C3349="","",COUNTA($C$3:C3349))</f>
        <v/>
      </c>
      <c r="B3349" s="35" t="str">
        <f t="shared" si="68"/>
        <v/>
      </c>
      <c r="C3349" s="33"/>
      <c r="E3349" s="60"/>
      <c r="F3349" s="18"/>
      <c r="H3349" s="49"/>
      <c r="I3349" s="49"/>
      <c r="L3349" s="62"/>
      <c r="M3349" s="53"/>
      <c r="O3349" s="59"/>
      <c r="P3349" s="59"/>
      <c r="Q3349" s="59"/>
    </row>
    <row r="3350" spans="1:17" x14ac:dyDescent="0.25">
      <c r="A3350" s="21" t="str">
        <f>IF(C3350="","",COUNTA($C$3:C3350))</f>
        <v/>
      </c>
      <c r="B3350" s="35" t="str">
        <f t="shared" si="68"/>
        <v/>
      </c>
      <c r="C3350" s="33"/>
      <c r="E3350" s="60"/>
      <c r="F3350" s="18"/>
      <c r="H3350" s="49"/>
      <c r="I3350" s="49"/>
      <c r="L3350" s="62"/>
      <c r="M3350" s="53"/>
      <c r="O3350" s="59"/>
      <c r="P3350" s="114"/>
      <c r="Q3350" s="59"/>
    </row>
    <row r="3351" spans="1:17" x14ac:dyDescent="0.25">
      <c r="A3351" s="21" t="str">
        <f>IF(C3351="","",COUNTA($C$3:C3351))</f>
        <v/>
      </c>
      <c r="B3351" s="35" t="str">
        <f t="shared" si="68"/>
        <v/>
      </c>
      <c r="C3351" s="33"/>
      <c r="E3351" s="60"/>
      <c r="F3351" s="18"/>
      <c r="H3351" s="49"/>
      <c r="I3351" s="49"/>
      <c r="K3351" s="105"/>
      <c r="L3351" s="62"/>
      <c r="M3351" s="53"/>
    </row>
    <row r="3352" spans="1:17" x14ac:dyDescent="0.25">
      <c r="A3352" s="21" t="str">
        <f>IF(C3352="","",COUNTA($C$3:C3352))</f>
        <v/>
      </c>
      <c r="B3352" s="35" t="str">
        <f t="shared" si="68"/>
        <v/>
      </c>
      <c r="C3352" s="33"/>
      <c r="E3352" s="60"/>
      <c r="F3352" s="18"/>
      <c r="H3352" s="49"/>
      <c r="I3352" s="49"/>
      <c r="M3352" s="53"/>
    </row>
    <row r="3353" spans="1:17" x14ac:dyDescent="0.25">
      <c r="A3353" s="21" t="str">
        <f>IF(C3353="","",COUNTA($C$3:C3353))</f>
        <v/>
      </c>
      <c r="B3353" s="35" t="str">
        <f t="shared" si="68"/>
        <v/>
      </c>
      <c r="C3353" s="33"/>
      <c r="E3353" s="60"/>
      <c r="F3353" s="18"/>
      <c r="H3353" s="49"/>
      <c r="I3353" s="49"/>
      <c r="M3353" s="53"/>
    </row>
    <row r="3354" spans="1:17" x14ac:dyDescent="0.25">
      <c r="A3354" s="21" t="str">
        <f>IF(C3354="","",COUNTA($C$3:C3354))</f>
        <v/>
      </c>
      <c r="B3354" s="35" t="str">
        <f t="shared" si="68"/>
        <v/>
      </c>
      <c r="C3354" s="33"/>
      <c r="E3354" s="60"/>
      <c r="F3354" s="18"/>
      <c r="H3354" s="49"/>
      <c r="I3354" s="49"/>
      <c r="M3354" s="53"/>
    </row>
    <row r="3355" spans="1:17" x14ac:dyDescent="0.25">
      <c r="A3355" s="21" t="str">
        <f>IF(C3355="","",COUNTA($C$3:C3355))</f>
        <v/>
      </c>
      <c r="B3355" s="35" t="str">
        <f t="shared" si="68"/>
        <v/>
      </c>
      <c r="C3355" s="33"/>
      <c r="E3355" s="60"/>
      <c r="F3355" s="18"/>
      <c r="H3355" s="49"/>
      <c r="I3355" s="49"/>
      <c r="M3355" s="53"/>
    </row>
    <row r="3356" spans="1:17" x14ac:dyDescent="0.25">
      <c r="A3356" s="21" t="str">
        <f>IF(C3356="","",COUNTA($C$3:C3356))</f>
        <v/>
      </c>
      <c r="B3356" s="35" t="str">
        <f t="shared" si="68"/>
        <v/>
      </c>
      <c r="C3356" s="33"/>
      <c r="E3356" s="60"/>
      <c r="F3356" s="18"/>
      <c r="H3356" s="49"/>
      <c r="I3356" s="49"/>
      <c r="M3356" s="53"/>
    </row>
    <row r="3357" spans="1:17" x14ac:dyDescent="0.25">
      <c r="A3357" s="21" t="str">
        <f>IF(C3357="","",COUNTA($C$3:C3357))</f>
        <v/>
      </c>
      <c r="B3357" s="35" t="str">
        <f t="shared" si="68"/>
        <v/>
      </c>
      <c r="C3357" s="33"/>
      <c r="E3357" s="60"/>
      <c r="F3357" s="18"/>
      <c r="H3357" s="49"/>
      <c r="I3357" s="49"/>
      <c r="M3357" s="53"/>
    </row>
    <row r="3358" spans="1:17" x14ac:dyDescent="0.25">
      <c r="A3358" s="21" t="str">
        <f>IF(C3358="","",COUNTA($C$3:C3358))</f>
        <v/>
      </c>
      <c r="B3358" s="35" t="str">
        <f t="shared" si="68"/>
        <v/>
      </c>
      <c r="C3358" s="33"/>
      <c r="E3358" s="60"/>
      <c r="F3358" s="18"/>
      <c r="H3358" s="49"/>
      <c r="I3358" s="49"/>
      <c r="M3358" s="53"/>
    </row>
    <row r="3359" spans="1:17" x14ac:dyDescent="0.25">
      <c r="A3359" s="21" t="str">
        <f>IF(C3359="","",COUNTA($C$3:C3359))</f>
        <v/>
      </c>
      <c r="B3359" s="35" t="str">
        <f t="shared" si="68"/>
        <v/>
      </c>
      <c r="C3359" s="33"/>
      <c r="E3359" s="60"/>
      <c r="F3359" s="18"/>
      <c r="H3359" s="49"/>
      <c r="I3359" s="49"/>
      <c r="M3359" s="53"/>
    </row>
    <row r="3360" spans="1:17" x14ac:dyDescent="0.25">
      <c r="A3360" s="21" t="str">
        <f>IF(C3360="","",COUNTA($C$3:C3360))</f>
        <v/>
      </c>
      <c r="B3360" s="35" t="str">
        <f t="shared" si="68"/>
        <v/>
      </c>
      <c r="C3360" s="33"/>
      <c r="E3360" s="60"/>
      <c r="F3360" s="18"/>
      <c r="H3360" s="49"/>
      <c r="I3360" s="49"/>
      <c r="M3360" s="53"/>
    </row>
    <row r="3361" spans="1:13" x14ac:dyDescent="0.25">
      <c r="A3361" s="21" t="str">
        <f>IF(C3361="","",COUNTA($C$3:C3361))</f>
        <v/>
      </c>
      <c r="B3361" s="35" t="str">
        <f t="shared" si="68"/>
        <v/>
      </c>
      <c r="C3361" s="33"/>
      <c r="E3361" s="60"/>
      <c r="F3361" s="18"/>
      <c r="H3361" s="49"/>
      <c r="I3361" s="49"/>
      <c r="L3361" s="62"/>
      <c r="M3361" s="53"/>
    </row>
    <row r="3362" spans="1:13" x14ac:dyDescent="0.25">
      <c r="A3362" s="21" t="str">
        <f>IF(C3362="","",COUNTA($C$3:C3362))</f>
        <v/>
      </c>
      <c r="B3362" s="35" t="str">
        <f t="shared" si="68"/>
        <v/>
      </c>
      <c r="C3362" s="33"/>
      <c r="E3362" s="60"/>
      <c r="F3362" s="18"/>
      <c r="H3362" s="49"/>
      <c r="I3362" s="49"/>
      <c r="M3362" s="53"/>
    </row>
    <row r="3363" spans="1:13" x14ac:dyDescent="0.25">
      <c r="A3363" s="21" t="str">
        <f>IF(C3363="","",COUNTA($C$3:C3363))</f>
        <v/>
      </c>
      <c r="B3363" s="35" t="str">
        <f t="shared" si="68"/>
        <v/>
      </c>
      <c r="C3363" s="33"/>
      <c r="E3363" s="60"/>
      <c r="F3363" s="18"/>
      <c r="H3363" s="49"/>
      <c r="I3363" s="49"/>
      <c r="M3363" s="53"/>
    </row>
    <row r="3364" spans="1:13" x14ac:dyDescent="0.25">
      <c r="A3364" s="21" t="str">
        <f>IF(C3364="","",COUNTA($C$3:C3364))</f>
        <v/>
      </c>
      <c r="B3364" s="35" t="str">
        <f t="shared" si="68"/>
        <v/>
      </c>
      <c r="C3364" s="33"/>
      <c r="E3364" s="60"/>
      <c r="F3364" s="18"/>
      <c r="H3364" s="49"/>
      <c r="I3364" s="49"/>
      <c r="M3364" s="53"/>
    </row>
    <row r="3365" spans="1:13" x14ac:dyDescent="0.25">
      <c r="A3365" s="21" t="str">
        <f>IF(C3365="","",COUNTA($C$3:C3365))</f>
        <v/>
      </c>
      <c r="B3365" s="35" t="str">
        <f t="shared" si="68"/>
        <v/>
      </c>
      <c r="C3365" s="33"/>
      <c r="E3365" s="60"/>
      <c r="F3365" s="18"/>
      <c r="H3365" s="49"/>
      <c r="I3365" s="49"/>
      <c r="M3365" s="53"/>
    </row>
    <row r="3366" spans="1:13" x14ac:dyDescent="0.25">
      <c r="A3366" s="21" t="str">
        <f>IF(C3366="","",COUNTA($C$3:C3366))</f>
        <v/>
      </c>
      <c r="B3366" s="35" t="str">
        <f t="shared" si="68"/>
        <v/>
      </c>
      <c r="C3366" s="33"/>
      <c r="E3366" s="60"/>
      <c r="F3366" s="18"/>
      <c r="H3366" s="49"/>
      <c r="I3366" s="49"/>
      <c r="M3366" s="53"/>
    </row>
    <row r="3367" spans="1:13" x14ac:dyDescent="0.25">
      <c r="A3367" s="21" t="str">
        <f>IF(C3367="","",COUNTA($C$3:C3367))</f>
        <v/>
      </c>
      <c r="B3367" s="35" t="str">
        <f t="shared" si="68"/>
        <v/>
      </c>
      <c r="C3367" s="33"/>
      <c r="E3367" s="60"/>
      <c r="F3367" s="18"/>
      <c r="H3367" s="49"/>
      <c r="I3367" s="49"/>
      <c r="M3367" s="53"/>
    </row>
    <row r="3368" spans="1:13" x14ac:dyDescent="0.25">
      <c r="A3368" s="21" t="str">
        <f>IF(C3368="","",COUNTA($C$3:C3368))</f>
        <v/>
      </c>
      <c r="B3368" s="35" t="str">
        <f t="shared" si="68"/>
        <v/>
      </c>
      <c r="C3368" s="33"/>
      <c r="E3368" s="60"/>
      <c r="F3368" s="18"/>
      <c r="H3368" s="49"/>
      <c r="I3368" s="49"/>
      <c r="M3368" s="53"/>
    </row>
    <row r="3369" spans="1:13" x14ac:dyDescent="0.25">
      <c r="A3369" s="21" t="str">
        <f>IF(C3369="","",COUNTA($C$3:C3369))</f>
        <v/>
      </c>
      <c r="B3369" s="35" t="str">
        <f t="shared" si="68"/>
        <v/>
      </c>
      <c r="C3369" s="33"/>
      <c r="E3369" s="60"/>
      <c r="F3369" s="18"/>
      <c r="H3369" s="49"/>
      <c r="I3369" s="49"/>
      <c r="M3369" s="53"/>
    </row>
    <row r="3370" spans="1:13" x14ac:dyDescent="0.25">
      <c r="A3370" s="21" t="str">
        <f>IF(C3370="","",COUNTA($C$3:C3370))</f>
        <v/>
      </c>
      <c r="B3370" s="35" t="str">
        <f t="shared" si="68"/>
        <v/>
      </c>
      <c r="C3370" s="33"/>
      <c r="E3370" s="60"/>
      <c r="F3370" s="18"/>
      <c r="H3370" s="49"/>
      <c r="I3370" s="49"/>
      <c r="M3370" s="53"/>
    </row>
    <row r="3371" spans="1:13" x14ac:dyDescent="0.25">
      <c r="A3371" s="21" t="str">
        <f>IF(C3371="","",COUNTA($C$3:C3371))</f>
        <v/>
      </c>
      <c r="B3371" s="35" t="str">
        <f t="shared" si="68"/>
        <v/>
      </c>
      <c r="C3371" s="33"/>
      <c r="E3371" s="60"/>
      <c r="F3371" s="18"/>
      <c r="H3371" s="49"/>
      <c r="I3371" s="49"/>
      <c r="M3371" s="53"/>
    </row>
    <row r="3372" spans="1:13" x14ac:dyDescent="0.25">
      <c r="A3372" s="21" t="str">
        <f>IF(C3372="","",COUNTA($C$3:C3372))</f>
        <v/>
      </c>
      <c r="B3372" s="35" t="str">
        <f t="shared" si="68"/>
        <v/>
      </c>
      <c r="C3372" s="33"/>
      <c r="E3372" s="60"/>
      <c r="F3372" s="18"/>
      <c r="H3372" s="49"/>
      <c r="I3372" s="49"/>
      <c r="M3372" s="53"/>
    </row>
    <row r="3373" spans="1:13" x14ac:dyDescent="0.25">
      <c r="A3373" s="21" t="str">
        <f>IF(C3373="","",COUNTA($C$3:C3373))</f>
        <v/>
      </c>
      <c r="B3373" s="35" t="str">
        <f t="shared" si="68"/>
        <v/>
      </c>
      <c r="C3373" s="33"/>
      <c r="E3373" s="60"/>
      <c r="F3373" s="18"/>
      <c r="G3373" s="18"/>
      <c r="H3373" s="49"/>
      <c r="I3373" s="49"/>
      <c r="M3373" s="53"/>
    </row>
    <row r="3374" spans="1:13" x14ac:dyDescent="0.25">
      <c r="A3374" s="21" t="str">
        <f>IF(C3374="","",COUNTA($C$3:C3374))</f>
        <v/>
      </c>
      <c r="B3374" s="35" t="str">
        <f t="shared" si="68"/>
        <v/>
      </c>
      <c r="C3374" s="33"/>
      <c r="E3374" s="60"/>
      <c r="F3374" s="18"/>
      <c r="G3374" s="18"/>
      <c r="H3374" s="49"/>
      <c r="I3374" s="49"/>
      <c r="M3374" s="53"/>
    </row>
    <row r="3375" spans="1:13" x14ac:dyDescent="0.25">
      <c r="A3375" s="21" t="str">
        <f>IF(C3375="","",COUNTA($C$3:C3375))</f>
        <v/>
      </c>
      <c r="B3375" s="35" t="str">
        <f t="shared" si="68"/>
        <v/>
      </c>
      <c r="C3375" s="33"/>
      <c r="E3375" s="60"/>
      <c r="F3375" s="18"/>
      <c r="G3375" s="18"/>
      <c r="H3375" s="49"/>
      <c r="I3375" s="49"/>
      <c r="M3375" s="53"/>
    </row>
    <row r="3376" spans="1:13" x14ac:dyDescent="0.25">
      <c r="A3376" s="21" t="str">
        <f>IF(C3376="","",COUNTA($C$3:C3376))</f>
        <v/>
      </c>
      <c r="B3376" s="35" t="str">
        <f t="shared" si="68"/>
        <v/>
      </c>
      <c r="C3376" s="33"/>
      <c r="E3376" s="60"/>
      <c r="F3376" s="18"/>
      <c r="G3376" s="18"/>
      <c r="H3376" s="49"/>
      <c r="I3376" s="49"/>
      <c r="M3376" s="53"/>
    </row>
    <row r="3377" spans="1:17" x14ac:dyDescent="0.25">
      <c r="A3377" s="21" t="str">
        <f>IF(C3377="","",COUNTA($C$3:C3377))</f>
        <v/>
      </c>
      <c r="B3377" s="35" t="str">
        <f t="shared" si="68"/>
        <v/>
      </c>
      <c r="C3377" s="33"/>
      <c r="E3377" s="60"/>
      <c r="F3377" s="18"/>
      <c r="G3377" s="18"/>
      <c r="H3377" s="49"/>
      <c r="I3377" s="49"/>
      <c r="M3377" s="53"/>
    </row>
    <row r="3378" spans="1:17" x14ac:dyDescent="0.25">
      <c r="A3378" s="21" t="str">
        <f>IF(C3378="","",COUNTA($C$3:C3378))</f>
        <v/>
      </c>
      <c r="B3378" s="35" t="str">
        <f t="shared" si="68"/>
        <v/>
      </c>
      <c r="C3378" s="33"/>
      <c r="E3378" s="60"/>
      <c r="F3378" s="18"/>
      <c r="G3378" s="18"/>
      <c r="H3378" s="49"/>
      <c r="I3378" s="49"/>
      <c r="M3378" s="53"/>
    </row>
    <row r="3379" spans="1:17" x14ac:dyDescent="0.25">
      <c r="A3379" s="21" t="str">
        <f>IF(C3379="","",COUNTA($C$3:C3379))</f>
        <v/>
      </c>
      <c r="B3379" s="35" t="str">
        <f t="shared" si="68"/>
        <v/>
      </c>
      <c r="C3379" s="33"/>
      <c r="E3379" s="60"/>
      <c r="F3379" s="18"/>
      <c r="G3379" s="18"/>
      <c r="H3379" s="49"/>
      <c r="I3379" s="49"/>
      <c r="M3379" s="53"/>
    </row>
    <row r="3380" spans="1:17" x14ac:dyDescent="0.25">
      <c r="A3380" s="21" t="str">
        <f>IF(C3380="","",COUNTA($C$3:C3380))</f>
        <v/>
      </c>
      <c r="B3380" s="35" t="str">
        <f t="shared" si="68"/>
        <v/>
      </c>
      <c r="C3380" s="33"/>
      <c r="E3380" s="60"/>
      <c r="F3380" s="18"/>
      <c r="G3380" s="18"/>
      <c r="H3380" s="49"/>
      <c r="I3380" s="49"/>
      <c r="M3380" s="53"/>
    </row>
    <row r="3381" spans="1:17" x14ac:dyDescent="0.25">
      <c r="A3381" s="21" t="str">
        <f>IF(C3381="","",COUNTA($C$3:C3381))</f>
        <v/>
      </c>
      <c r="B3381" s="35" t="str">
        <f t="shared" si="68"/>
        <v/>
      </c>
      <c r="C3381" s="33"/>
      <c r="E3381" s="60"/>
      <c r="F3381" s="18"/>
      <c r="G3381" s="18"/>
      <c r="H3381" s="49"/>
      <c r="I3381" s="49"/>
      <c r="M3381" s="53"/>
    </row>
    <row r="3382" spans="1:17" x14ac:dyDescent="0.25">
      <c r="A3382" s="21" t="str">
        <f>IF(C3382="","",COUNTA($C$3:C3382))</f>
        <v/>
      </c>
      <c r="B3382" s="35" t="str">
        <f t="shared" si="68"/>
        <v/>
      </c>
      <c r="C3382" s="33"/>
      <c r="E3382" s="60"/>
      <c r="F3382" s="18"/>
      <c r="G3382" s="18"/>
      <c r="H3382" s="49"/>
      <c r="I3382" s="49"/>
      <c r="M3382" s="53"/>
    </row>
    <row r="3383" spans="1:17" x14ac:dyDescent="0.25">
      <c r="A3383" s="21" t="str">
        <f>IF(C3383="","",COUNTA($C$3:C3383))</f>
        <v/>
      </c>
      <c r="B3383" s="35" t="str">
        <f t="shared" si="68"/>
        <v/>
      </c>
      <c r="C3383" s="33"/>
      <c r="E3383" s="60"/>
      <c r="F3383" s="18"/>
      <c r="G3383" s="18"/>
      <c r="H3383" s="49"/>
      <c r="I3383" s="49"/>
      <c r="M3383" s="53"/>
    </row>
    <row r="3384" spans="1:17" x14ac:dyDescent="0.25">
      <c r="A3384" s="21" t="str">
        <f>IF(C3384="","",COUNTA($C$3:C3384))</f>
        <v/>
      </c>
      <c r="B3384" s="35" t="str">
        <f t="shared" si="68"/>
        <v/>
      </c>
      <c r="C3384" s="33"/>
      <c r="E3384" s="60"/>
      <c r="F3384" s="18"/>
      <c r="G3384" s="18"/>
      <c r="H3384" s="49"/>
      <c r="I3384" s="49"/>
      <c r="M3384" s="53"/>
    </row>
    <row r="3385" spans="1:17" x14ac:dyDescent="0.25">
      <c r="A3385" s="21" t="str">
        <f>IF(C3385="","",COUNTA($C$3:C3385))</f>
        <v/>
      </c>
      <c r="B3385" s="35" t="str">
        <f t="shared" si="68"/>
        <v/>
      </c>
      <c r="C3385" s="33"/>
      <c r="E3385" s="60"/>
      <c r="F3385" s="18"/>
      <c r="G3385" s="18"/>
      <c r="H3385" s="49"/>
      <c r="I3385" s="49"/>
      <c r="M3385" s="53"/>
    </row>
    <row r="3386" spans="1:17" x14ac:dyDescent="0.25">
      <c r="A3386" s="21" t="str">
        <f>IF(C3386="","",COUNTA($C$3:C3386))</f>
        <v/>
      </c>
      <c r="B3386" s="35" t="str">
        <f t="shared" si="68"/>
        <v/>
      </c>
      <c r="C3386" s="33"/>
      <c r="E3386" s="60"/>
      <c r="F3386" s="18"/>
      <c r="G3386" s="18"/>
      <c r="H3386" s="49"/>
      <c r="I3386" s="49"/>
      <c r="M3386" s="53"/>
    </row>
    <row r="3387" spans="1:17" x14ac:dyDescent="0.25">
      <c r="A3387" s="21" t="str">
        <f>IF(C3387="","",COUNTA($C$3:C3387))</f>
        <v/>
      </c>
      <c r="B3387" s="35" t="str">
        <f t="shared" si="68"/>
        <v/>
      </c>
      <c r="C3387" s="33"/>
      <c r="E3387" s="60"/>
      <c r="F3387" s="18"/>
      <c r="G3387" s="18"/>
      <c r="H3387" s="49"/>
      <c r="I3387" s="49"/>
      <c r="M3387" s="53"/>
    </row>
    <row r="3388" spans="1:17" x14ac:dyDescent="0.25">
      <c r="A3388" s="21" t="str">
        <f>IF(C3388="","",COUNTA($C$3:C3388))</f>
        <v/>
      </c>
      <c r="B3388" s="35" t="str">
        <f t="shared" si="68"/>
        <v/>
      </c>
      <c r="C3388" s="33"/>
      <c r="E3388" s="60"/>
      <c r="F3388" s="18"/>
      <c r="G3388" s="18"/>
      <c r="H3388" s="49"/>
      <c r="I3388" s="49"/>
      <c r="M3388" s="53"/>
    </row>
    <row r="3389" spans="1:17" x14ac:dyDescent="0.25">
      <c r="A3389" s="21" t="str">
        <f>IF(C3389="","",COUNTA($C$3:C3389))</f>
        <v/>
      </c>
      <c r="B3389" s="35" t="str">
        <f t="shared" si="68"/>
        <v/>
      </c>
      <c r="C3389" s="33"/>
      <c r="E3389" s="60"/>
      <c r="F3389" s="18"/>
      <c r="G3389" s="18"/>
      <c r="H3389" s="49"/>
      <c r="I3389" s="49"/>
      <c r="M3389" s="53"/>
      <c r="O3389" s="59"/>
      <c r="P3389" s="112"/>
      <c r="Q3389" s="59"/>
    </row>
    <row r="3390" spans="1:17" x14ac:dyDescent="0.25">
      <c r="A3390" s="21" t="str">
        <f>IF(C3390="","",COUNTA($C$3:C3390))</f>
        <v/>
      </c>
      <c r="B3390" s="35" t="str">
        <f t="shared" si="68"/>
        <v/>
      </c>
      <c r="C3390" s="33"/>
      <c r="E3390" s="60"/>
      <c r="F3390" s="18"/>
      <c r="G3390" s="18"/>
      <c r="H3390" s="49"/>
      <c r="I3390" s="49"/>
      <c r="M3390" s="53"/>
      <c r="O3390" s="59"/>
      <c r="P3390" s="117"/>
      <c r="Q3390" s="59"/>
    </row>
    <row r="3391" spans="1:17" x14ac:dyDescent="0.25">
      <c r="A3391" s="21" t="str">
        <f>IF(C3391="","",COUNTA($C$3:C3391))</f>
        <v/>
      </c>
      <c r="B3391" s="35" t="str">
        <f t="shared" si="68"/>
        <v/>
      </c>
      <c r="C3391" s="33"/>
      <c r="E3391" s="60"/>
      <c r="F3391" s="18"/>
      <c r="G3391" s="18"/>
      <c r="H3391" s="49"/>
      <c r="I3391" s="49"/>
      <c r="M3391" s="53"/>
    </row>
    <row r="3392" spans="1:17" x14ac:dyDescent="0.25">
      <c r="A3392" s="21" t="str">
        <f>IF(C3392="","",COUNTA($C$3:C3392))</f>
        <v/>
      </c>
      <c r="B3392" s="35" t="str">
        <f t="shared" si="68"/>
        <v/>
      </c>
      <c r="C3392" s="33"/>
      <c r="E3392" s="60"/>
      <c r="F3392" s="18"/>
      <c r="G3392" s="18"/>
      <c r="H3392" s="49"/>
      <c r="I3392" s="49"/>
      <c r="M3392" s="53"/>
    </row>
    <row r="3393" spans="1:17" x14ac:dyDescent="0.25">
      <c r="A3393" s="21" t="str">
        <f>IF(C3393="","",COUNTA($C$3:C3393))</f>
        <v/>
      </c>
      <c r="B3393" s="35" t="str">
        <f t="shared" si="68"/>
        <v/>
      </c>
      <c r="C3393" s="33"/>
      <c r="E3393" s="60"/>
      <c r="F3393" s="18"/>
      <c r="G3393" s="18"/>
      <c r="H3393" s="49"/>
      <c r="I3393" s="49"/>
      <c r="M3393" s="53"/>
    </row>
    <row r="3394" spans="1:17" x14ac:dyDescent="0.25">
      <c r="A3394" s="21" t="str">
        <f>IF(C3394="","",COUNTA($C$3:C3394))</f>
        <v/>
      </c>
      <c r="B3394" s="35" t="str">
        <f t="shared" si="68"/>
        <v/>
      </c>
      <c r="C3394" s="33"/>
      <c r="E3394" s="60"/>
      <c r="F3394" s="18"/>
      <c r="H3394" s="49"/>
      <c r="I3394" s="49"/>
      <c r="M3394" s="53"/>
    </row>
    <row r="3395" spans="1:17" x14ac:dyDescent="0.25">
      <c r="A3395" s="21" t="str">
        <f>IF(C3395="","",COUNTA($C$3:C3395))</f>
        <v/>
      </c>
      <c r="B3395" s="35" t="str">
        <f t="shared" si="68"/>
        <v/>
      </c>
      <c r="C3395" s="33"/>
      <c r="E3395" s="60"/>
      <c r="F3395" s="18"/>
      <c r="H3395" s="49"/>
      <c r="I3395" s="49"/>
      <c r="M3395" s="53"/>
    </row>
    <row r="3396" spans="1:17" x14ac:dyDescent="0.25">
      <c r="A3396" s="21" t="str">
        <f>IF(C3396="","",COUNTA($C$3:C3396))</f>
        <v/>
      </c>
      <c r="B3396" s="35" t="str">
        <f t="shared" si="68"/>
        <v/>
      </c>
      <c r="C3396" s="33"/>
      <c r="E3396" s="60"/>
      <c r="F3396" s="18"/>
      <c r="H3396" s="49"/>
      <c r="I3396" s="49"/>
      <c r="M3396" s="53"/>
    </row>
    <row r="3397" spans="1:17" x14ac:dyDescent="0.25">
      <c r="A3397" s="21" t="str">
        <f>IF(C3397="","",COUNTA($C$3:C3397))</f>
        <v/>
      </c>
      <c r="B3397" s="35" t="str">
        <f t="shared" ref="B3397:B3460" si="69">IF(C3397="","",TEXT(C3397,"mmmm"))</f>
        <v/>
      </c>
      <c r="C3397" s="33"/>
      <c r="E3397" s="60"/>
      <c r="F3397" s="18"/>
      <c r="H3397" s="49"/>
      <c r="I3397" s="49"/>
      <c r="M3397" s="53"/>
    </row>
    <row r="3398" spans="1:17" x14ac:dyDescent="0.25">
      <c r="A3398" s="21" t="str">
        <f>IF(C3398="","",COUNTA($C$3:C3398))</f>
        <v/>
      </c>
      <c r="B3398" s="35" t="str">
        <f t="shared" si="69"/>
        <v/>
      </c>
      <c r="C3398" s="33"/>
      <c r="E3398" s="60"/>
      <c r="F3398" s="18"/>
      <c r="H3398" s="49"/>
      <c r="I3398" s="49"/>
      <c r="L3398" s="62"/>
      <c r="M3398" s="53"/>
      <c r="O3398" s="59"/>
      <c r="P3398" s="59"/>
      <c r="Q3398" s="59"/>
    </row>
    <row r="3399" spans="1:17" x14ac:dyDescent="0.25">
      <c r="A3399" s="21" t="str">
        <f>IF(C3399="","",COUNTA($C$3:C3399))</f>
        <v/>
      </c>
      <c r="B3399" s="35" t="str">
        <f t="shared" si="69"/>
        <v/>
      </c>
      <c r="C3399" s="33"/>
      <c r="E3399" s="60"/>
      <c r="F3399" s="18"/>
      <c r="H3399" s="49"/>
      <c r="I3399" s="49"/>
      <c r="L3399" s="62"/>
      <c r="M3399" s="53"/>
      <c r="O3399" s="59"/>
      <c r="P3399" s="59"/>
      <c r="Q3399" s="59"/>
    </row>
    <row r="3400" spans="1:17" x14ac:dyDescent="0.25">
      <c r="A3400" s="21" t="str">
        <f>IF(C3400="","",COUNTA($C$3:C3400))</f>
        <v/>
      </c>
      <c r="B3400" s="35" t="str">
        <f t="shared" si="69"/>
        <v/>
      </c>
      <c r="C3400" s="33"/>
      <c r="E3400" s="60"/>
      <c r="F3400" s="18"/>
      <c r="H3400" s="49"/>
      <c r="I3400" s="49"/>
      <c r="K3400" s="105"/>
      <c r="L3400" s="62"/>
      <c r="M3400" s="53"/>
    </row>
    <row r="3401" spans="1:17" x14ac:dyDescent="0.25">
      <c r="A3401" s="21" t="str">
        <f>IF(C3401="","",COUNTA($C$3:C3401))</f>
        <v/>
      </c>
      <c r="B3401" s="35" t="str">
        <f t="shared" si="69"/>
        <v/>
      </c>
      <c r="C3401" s="33"/>
      <c r="E3401" s="60"/>
      <c r="F3401" s="18"/>
      <c r="H3401" s="49"/>
      <c r="I3401" s="49"/>
      <c r="K3401" s="67"/>
      <c r="M3401" s="53"/>
    </row>
    <row r="3402" spans="1:17" x14ac:dyDescent="0.25">
      <c r="A3402" s="21" t="str">
        <f>IF(C3402="","",COUNTA($C$3:C3402))</f>
        <v/>
      </c>
      <c r="B3402" s="35" t="str">
        <f t="shared" si="69"/>
        <v/>
      </c>
      <c r="C3402" s="33"/>
      <c r="E3402" s="60"/>
      <c r="F3402" s="18"/>
      <c r="H3402" s="49"/>
      <c r="I3402" s="49"/>
      <c r="M3402" s="53"/>
      <c r="O3402" s="59"/>
      <c r="P3402" s="59"/>
      <c r="Q3402" s="59"/>
    </row>
    <row r="3403" spans="1:17" x14ac:dyDescent="0.25">
      <c r="A3403" s="21" t="str">
        <f>IF(C3403="","",COUNTA($C$3:C3403))</f>
        <v/>
      </c>
      <c r="B3403" s="35" t="str">
        <f t="shared" si="69"/>
        <v/>
      </c>
      <c r="C3403" s="33"/>
      <c r="E3403" s="60"/>
      <c r="F3403" s="18"/>
      <c r="H3403" s="49"/>
      <c r="I3403" s="49"/>
      <c r="M3403" s="53"/>
      <c r="O3403" s="59"/>
      <c r="P3403" s="59"/>
      <c r="Q3403" s="59"/>
    </row>
    <row r="3404" spans="1:17" x14ac:dyDescent="0.25">
      <c r="A3404" s="21" t="str">
        <f>IF(C3404="","",COUNTA($C$3:C3404))</f>
        <v/>
      </c>
      <c r="B3404" s="35" t="str">
        <f t="shared" si="69"/>
        <v/>
      </c>
      <c r="C3404" s="33"/>
      <c r="E3404" s="60"/>
      <c r="F3404" s="18"/>
      <c r="H3404" s="49"/>
      <c r="I3404" s="49"/>
      <c r="M3404" s="53"/>
      <c r="O3404" s="59"/>
      <c r="P3404" s="72"/>
      <c r="Q3404" s="59"/>
    </row>
    <row r="3405" spans="1:17" x14ac:dyDescent="0.25">
      <c r="A3405" s="21" t="str">
        <f>IF(C3405="","",COUNTA($C$3:C3405))</f>
        <v/>
      </c>
      <c r="B3405" s="35" t="str">
        <f t="shared" si="69"/>
        <v/>
      </c>
      <c r="C3405" s="33"/>
      <c r="E3405" s="60"/>
      <c r="F3405" s="18"/>
      <c r="H3405" s="49"/>
      <c r="I3405" s="49"/>
      <c r="M3405" s="53"/>
      <c r="O3405" s="59"/>
      <c r="P3405" s="59"/>
      <c r="Q3405" s="59"/>
    </row>
    <row r="3406" spans="1:17" x14ac:dyDescent="0.25">
      <c r="A3406" s="21" t="str">
        <f>IF(C3406="","",COUNTA($C$3:C3406))</f>
        <v/>
      </c>
      <c r="B3406" s="35" t="str">
        <f t="shared" si="69"/>
        <v/>
      </c>
      <c r="C3406" s="33"/>
      <c r="E3406" s="60"/>
      <c r="F3406" s="18"/>
      <c r="H3406" s="49"/>
      <c r="I3406" s="49"/>
      <c r="M3406" s="53"/>
    </row>
    <row r="3407" spans="1:17" x14ac:dyDescent="0.25">
      <c r="A3407" s="21" t="str">
        <f>IF(C3407="","",COUNTA($C$3:C3407))</f>
        <v/>
      </c>
      <c r="B3407" s="35" t="str">
        <f t="shared" si="69"/>
        <v/>
      </c>
      <c r="C3407" s="33"/>
      <c r="E3407" s="60"/>
      <c r="F3407" s="18"/>
      <c r="H3407" s="49"/>
      <c r="I3407" s="49"/>
      <c r="M3407" s="53"/>
    </row>
    <row r="3408" spans="1:17" x14ac:dyDescent="0.25">
      <c r="A3408" s="21" t="str">
        <f>IF(C3408="","",COUNTA($C$3:C3408))</f>
        <v/>
      </c>
      <c r="B3408" s="35" t="str">
        <f t="shared" si="69"/>
        <v/>
      </c>
      <c r="C3408" s="33"/>
      <c r="E3408" s="60"/>
      <c r="F3408" s="18"/>
      <c r="H3408" s="49"/>
      <c r="I3408" s="49"/>
      <c r="M3408" s="53"/>
    </row>
    <row r="3409" spans="1:13" x14ac:dyDescent="0.25">
      <c r="A3409" s="21" t="str">
        <f>IF(C3409="","",COUNTA($C$3:C3409))</f>
        <v/>
      </c>
      <c r="B3409" s="35" t="str">
        <f t="shared" si="69"/>
        <v/>
      </c>
      <c r="C3409" s="33"/>
      <c r="E3409" s="60"/>
      <c r="F3409" s="18"/>
      <c r="H3409" s="49"/>
      <c r="I3409" s="49"/>
      <c r="M3409" s="53"/>
    </row>
    <row r="3410" spans="1:13" x14ac:dyDescent="0.25">
      <c r="A3410" s="21" t="str">
        <f>IF(C3410="","",COUNTA($C$3:C3410))</f>
        <v/>
      </c>
      <c r="B3410" s="35" t="str">
        <f t="shared" si="69"/>
        <v/>
      </c>
      <c r="C3410" s="33"/>
      <c r="E3410" s="60"/>
      <c r="F3410" s="18"/>
      <c r="H3410" s="49"/>
      <c r="I3410" s="49"/>
      <c r="M3410" s="53"/>
    </row>
    <row r="3411" spans="1:13" x14ac:dyDescent="0.25">
      <c r="A3411" s="21" t="str">
        <f>IF(C3411="","",COUNTA($C$3:C3411))</f>
        <v/>
      </c>
      <c r="B3411" s="35" t="str">
        <f t="shared" si="69"/>
        <v/>
      </c>
      <c r="C3411" s="33"/>
      <c r="E3411" s="60"/>
      <c r="F3411" s="18"/>
      <c r="H3411" s="49"/>
      <c r="I3411" s="49"/>
      <c r="M3411" s="53"/>
    </row>
    <row r="3412" spans="1:13" x14ac:dyDescent="0.25">
      <c r="A3412" s="21" t="str">
        <f>IF(C3412="","",COUNTA($C$3:C3412))</f>
        <v/>
      </c>
      <c r="B3412" s="35" t="str">
        <f t="shared" si="69"/>
        <v/>
      </c>
      <c r="C3412" s="33"/>
      <c r="E3412" s="60"/>
      <c r="F3412" s="18"/>
      <c r="H3412" s="49"/>
      <c r="I3412" s="49"/>
      <c r="M3412" s="53"/>
    </row>
    <row r="3413" spans="1:13" x14ac:dyDescent="0.25">
      <c r="A3413" s="21" t="str">
        <f>IF(C3413="","",COUNTA($C$3:C3413))</f>
        <v/>
      </c>
      <c r="B3413" s="35" t="str">
        <f t="shared" si="69"/>
        <v/>
      </c>
      <c r="C3413" s="33"/>
      <c r="E3413" s="60"/>
      <c r="F3413" s="18"/>
      <c r="H3413" s="49"/>
      <c r="I3413" s="49"/>
      <c r="M3413" s="53"/>
    </row>
    <row r="3414" spans="1:13" x14ac:dyDescent="0.25">
      <c r="A3414" s="21" t="str">
        <f>IF(C3414="","",COUNTA($C$3:C3414))</f>
        <v/>
      </c>
      <c r="B3414" s="35" t="str">
        <f t="shared" si="69"/>
        <v/>
      </c>
      <c r="C3414" s="33"/>
      <c r="E3414" s="60"/>
      <c r="F3414" s="18"/>
      <c r="H3414" s="49"/>
      <c r="I3414" s="49"/>
      <c r="M3414" s="53"/>
    </row>
    <row r="3415" spans="1:13" x14ac:dyDescent="0.25">
      <c r="A3415" s="21" t="str">
        <f>IF(C3415="","",COUNTA($C$3:C3415))</f>
        <v/>
      </c>
      <c r="B3415" s="35" t="str">
        <f t="shared" si="69"/>
        <v/>
      </c>
      <c r="C3415" s="33"/>
      <c r="E3415" s="60"/>
      <c r="F3415" s="18"/>
      <c r="H3415" s="49"/>
      <c r="I3415" s="49"/>
      <c r="M3415" s="53"/>
    </row>
    <row r="3416" spans="1:13" x14ac:dyDescent="0.25">
      <c r="A3416" s="21" t="str">
        <f>IF(C3416="","",COUNTA($C$3:C3416))</f>
        <v/>
      </c>
      <c r="B3416" s="35" t="str">
        <f t="shared" si="69"/>
        <v/>
      </c>
      <c r="C3416" s="33"/>
      <c r="E3416" s="60"/>
      <c r="F3416" s="18"/>
      <c r="H3416" s="49"/>
      <c r="I3416" s="49"/>
      <c r="L3416" s="62"/>
      <c r="M3416" s="53"/>
    </row>
    <row r="3417" spans="1:13" x14ac:dyDescent="0.25">
      <c r="A3417" s="21" t="str">
        <f>IF(C3417="","",COUNTA($C$3:C3417))</f>
        <v/>
      </c>
      <c r="B3417" s="35" t="str">
        <f t="shared" si="69"/>
        <v/>
      </c>
      <c r="C3417" s="33"/>
      <c r="E3417" s="60"/>
      <c r="F3417" s="18"/>
      <c r="H3417" s="49"/>
      <c r="I3417" s="49"/>
      <c r="M3417" s="53"/>
    </row>
    <row r="3418" spans="1:13" x14ac:dyDescent="0.25">
      <c r="A3418" s="21" t="str">
        <f>IF(C3418="","",COUNTA($C$3:C3418))</f>
        <v/>
      </c>
      <c r="B3418" s="35" t="str">
        <f t="shared" si="69"/>
        <v/>
      </c>
      <c r="C3418" s="33"/>
      <c r="E3418" s="60"/>
      <c r="F3418" s="18"/>
      <c r="H3418" s="49"/>
      <c r="I3418" s="49"/>
      <c r="M3418" s="53"/>
    </row>
    <row r="3419" spans="1:13" x14ac:dyDescent="0.25">
      <c r="A3419" s="21" t="str">
        <f>IF(C3419="","",COUNTA($C$3:C3419))</f>
        <v/>
      </c>
      <c r="B3419" s="35" t="str">
        <f t="shared" si="69"/>
        <v/>
      </c>
      <c r="C3419" s="33"/>
      <c r="E3419" s="60"/>
      <c r="F3419" s="18"/>
      <c r="H3419" s="49"/>
      <c r="I3419" s="49"/>
      <c r="M3419" s="53"/>
    </row>
    <row r="3420" spans="1:13" x14ac:dyDescent="0.25">
      <c r="A3420" s="21" t="str">
        <f>IF(C3420="","",COUNTA($C$3:C3420))</f>
        <v/>
      </c>
      <c r="B3420" s="35" t="str">
        <f t="shared" si="69"/>
        <v/>
      </c>
      <c r="C3420" s="33"/>
      <c r="E3420" s="60"/>
      <c r="F3420" s="18"/>
      <c r="H3420" s="49"/>
      <c r="I3420" s="49"/>
      <c r="M3420" s="53"/>
    </row>
    <row r="3421" spans="1:13" x14ac:dyDescent="0.25">
      <c r="A3421" s="21" t="str">
        <f>IF(C3421="","",COUNTA($C$3:C3421))</f>
        <v/>
      </c>
      <c r="B3421" s="35" t="str">
        <f t="shared" si="69"/>
        <v/>
      </c>
      <c r="C3421" s="33"/>
      <c r="E3421" s="60"/>
      <c r="F3421" s="18"/>
      <c r="H3421" s="49"/>
      <c r="I3421" s="49"/>
      <c r="M3421" s="53"/>
    </row>
    <row r="3422" spans="1:13" x14ac:dyDescent="0.25">
      <c r="A3422" s="21" t="str">
        <f>IF(C3422="","",COUNTA($C$3:C3422))</f>
        <v/>
      </c>
      <c r="B3422" s="35" t="str">
        <f t="shared" si="69"/>
        <v/>
      </c>
      <c r="C3422" s="33"/>
      <c r="E3422" s="60"/>
      <c r="F3422" s="18"/>
      <c r="H3422" s="49"/>
      <c r="I3422" s="49"/>
      <c r="M3422" s="53"/>
    </row>
    <row r="3423" spans="1:13" x14ac:dyDescent="0.25">
      <c r="A3423" s="21" t="str">
        <f>IF(C3423="","",COUNTA($C$3:C3423))</f>
        <v/>
      </c>
      <c r="B3423" s="35" t="str">
        <f t="shared" si="69"/>
        <v/>
      </c>
      <c r="C3423" s="33"/>
      <c r="E3423" s="60"/>
      <c r="F3423" s="18"/>
      <c r="H3423" s="49"/>
      <c r="I3423" s="49"/>
      <c r="M3423" s="53"/>
    </row>
    <row r="3424" spans="1:13" x14ac:dyDescent="0.25">
      <c r="A3424" s="21" t="str">
        <f>IF(C3424="","",COUNTA($C$3:C3424))</f>
        <v/>
      </c>
      <c r="B3424" s="35" t="str">
        <f t="shared" si="69"/>
        <v/>
      </c>
      <c r="C3424" s="33"/>
      <c r="E3424" s="60"/>
      <c r="F3424" s="18"/>
      <c r="H3424" s="49"/>
      <c r="I3424" s="49"/>
      <c r="M3424" s="53"/>
    </row>
    <row r="3425" spans="1:17" x14ac:dyDescent="0.25">
      <c r="A3425" s="21" t="str">
        <f>IF(C3425="","",COUNTA($C$3:C3425))</f>
        <v/>
      </c>
      <c r="B3425" s="35" t="str">
        <f t="shared" si="69"/>
        <v/>
      </c>
      <c r="C3425" s="33"/>
      <c r="E3425" s="60"/>
      <c r="F3425" s="18"/>
      <c r="H3425" s="49"/>
      <c r="I3425" s="49"/>
      <c r="M3425" s="53"/>
    </row>
    <row r="3426" spans="1:17" x14ac:dyDescent="0.25">
      <c r="A3426" s="21" t="str">
        <f>IF(C3426="","",COUNTA($C$3:C3426))</f>
        <v/>
      </c>
      <c r="B3426" s="35" t="str">
        <f t="shared" si="69"/>
        <v/>
      </c>
      <c r="C3426" s="33"/>
      <c r="E3426" s="60"/>
      <c r="F3426" s="18"/>
      <c r="H3426" s="49"/>
      <c r="I3426" s="49"/>
      <c r="M3426" s="53"/>
    </row>
    <row r="3427" spans="1:17" x14ac:dyDescent="0.25">
      <c r="A3427" s="21" t="str">
        <f>IF(C3427="","",COUNTA($C$3:C3427))</f>
        <v/>
      </c>
      <c r="B3427" s="35" t="str">
        <f t="shared" si="69"/>
        <v/>
      </c>
      <c r="C3427" s="33"/>
      <c r="E3427" s="60"/>
      <c r="F3427" s="18"/>
      <c r="H3427" s="49"/>
      <c r="I3427" s="49"/>
      <c r="M3427" s="53"/>
    </row>
    <row r="3428" spans="1:17" x14ac:dyDescent="0.25">
      <c r="A3428" s="21" t="str">
        <f>IF(C3428="","",COUNTA($C$3:C3428))</f>
        <v/>
      </c>
      <c r="B3428" s="35" t="str">
        <f t="shared" si="69"/>
        <v/>
      </c>
      <c r="C3428" s="33"/>
      <c r="E3428" s="60"/>
      <c r="F3428" s="18"/>
      <c r="H3428" s="49"/>
      <c r="I3428" s="49"/>
      <c r="M3428" s="53"/>
      <c r="O3428" s="59"/>
      <c r="P3428" s="59"/>
      <c r="Q3428" s="59"/>
    </row>
    <row r="3429" spans="1:17" x14ac:dyDescent="0.25">
      <c r="A3429" s="21" t="str">
        <f>IF(C3429="","",COUNTA($C$3:C3429))</f>
        <v/>
      </c>
      <c r="B3429" s="35" t="str">
        <f t="shared" si="69"/>
        <v/>
      </c>
      <c r="C3429" s="33"/>
      <c r="E3429" s="60"/>
      <c r="F3429" s="18"/>
      <c r="H3429" s="49"/>
      <c r="I3429" s="49"/>
      <c r="M3429" s="53"/>
    </row>
    <row r="3430" spans="1:17" x14ac:dyDescent="0.25">
      <c r="A3430" s="21" t="str">
        <f>IF(C3430="","",COUNTA($C$3:C3430))</f>
        <v/>
      </c>
      <c r="B3430" s="35" t="str">
        <f t="shared" si="69"/>
        <v/>
      </c>
      <c r="C3430" s="33"/>
      <c r="E3430" s="60"/>
      <c r="F3430" s="18"/>
      <c r="H3430" s="49"/>
      <c r="I3430" s="49"/>
      <c r="M3430" s="53"/>
    </row>
    <row r="3431" spans="1:17" x14ac:dyDescent="0.25">
      <c r="A3431" s="21" t="str">
        <f>IF(C3431="","",COUNTA($C$3:C3431))</f>
        <v/>
      </c>
      <c r="B3431" s="35" t="str">
        <f t="shared" si="69"/>
        <v/>
      </c>
      <c r="C3431" s="33"/>
      <c r="E3431" s="60"/>
      <c r="F3431" s="18"/>
      <c r="H3431" s="49"/>
      <c r="I3431" s="49"/>
      <c r="M3431" s="53"/>
    </row>
    <row r="3432" spans="1:17" x14ac:dyDescent="0.25">
      <c r="A3432" s="21" t="str">
        <f>IF(C3432="","",COUNTA($C$3:C3432))</f>
        <v/>
      </c>
      <c r="B3432" s="35" t="str">
        <f t="shared" si="69"/>
        <v/>
      </c>
      <c r="C3432" s="33"/>
      <c r="E3432" s="60"/>
      <c r="F3432" s="18"/>
      <c r="H3432" s="49"/>
      <c r="I3432" s="49"/>
      <c r="M3432" s="53"/>
    </row>
    <row r="3433" spans="1:17" x14ac:dyDescent="0.25">
      <c r="A3433" s="21" t="str">
        <f>IF(C3433="","",COUNTA($C$3:C3433))</f>
        <v/>
      </c>
      <c r="B3433" s="35" t="str">
        <f t="shared" si="69"/>
        <v/>
      </c>
      <c r="C3433" s="33"/>
      <c r="E3433" s="60"/>
      <c r="F3433" s="18"/>
      <c r="H3433" s="49"/>
      <c r="I3433" s="49"/>
      <c r="L3433" s="62"/>
      <c r="M3433" s="53"/>
    </row>
    <row r="3434" spans="1:17" x14ac:dyDescent="0.25">
      <c r="A3434" s="21" t="str">
        <f>IF(C3434="","",COUNTA($C$3:C3434))</f>
        <v/>
      </c>
      <c r="B3434" s="35" t="str">
        <f t="shared" si="69"/>
        <v/>
      </c>
      <c r="C3434" s="33"/>
      <c r="E3434" s="60"/>
      <c r="F3434" s="18"/>
      <c r="H3434" s="49"/>
      <c r="I3434" s="49"/>
      <c r="K3434" s="55"/>
      <c r="M3434" s="53"/>
    </row>
    <row r="3435" spans="1:17" x14ac:dyDescent="0.25">
      <c r="A3435" s="21" t="str">
        <f>IF(C3435="","",COUNTA($C$3:C3435))</f>
        <v/>
      </c>
      <c r="B3435" s="35" t="str">
        <f t="shared" si="69"/>
        <v/>
      </c>
      <c r="C3435" s="33"/>
      <c r="E3435" s="60"/>
      <c r="F3435" s="18"/>
      <c r="H3435" s="49"/>
      <c r="I3435" s="49"/>
      <c r="M3435" s="53"/>
    </row>
    <row r="3436" spans="1:17" x14ac:dyDescent="0.25">
      <c r="A3436" s="21" t="str">
        <f>IF(C3436="","",COUNTA($C$3:C3436))</f>
        <v/>
      </c>
      <c r="B3436" s="35" t="str">
        <f t="shared" si="69"/>
        <v/>
      </c>
      <c r="C3436" s="33"/>
      <c r="E3436" s="60"/>
      <c r="F3436" s="18"/>
      <c r="H3436" s="49"/>
      <c r="I3436" s="49"/>
      <c r="L3436" s="62"/>
      <c r="M3436" s="53"/>
    </row>
    <row r="3437" spans="1:17" x14ac:dyDescent="0.25">
      <c r="A3437" s="21" t="str">
        <f>IF(C3437="","",COUNTA($C$3:C3437))</f>
        <v/>
      </c>
      <c r="B3437" s="35" t="str">
        <f t="shared" si="69"/>
        <v/>
      </c>
      <c r="C3437" s="33"/>
      <c r="E3437" s="60"/>
      <c r="F3437" s="18"/>
      <c r="H3437" s="49"/>
      <c r="I3437" s="49"/>
      <c r="L3437" s="53"/>
      <c r="M3437" s="53"/>
    </row>
    <row r="3438" spans="1:17" x14ac:dyDescent="0.25">
      <c r="A3438" s="21" t="str">
        <f>IF(C3438="","",COUNTA($C$3:C3438))</f>
        <v/>
      </c>
      <c r="B3438" s="35" t="str">
        <f t="shared" si="69"/>
        <v/>
      </c>
      <c r="C3438" s="33"/>
      <c r="E3438" s="60"/>
      <c r="F3438" s="18"/>
      <c r="H3438" s="49"/>
      <c r="I3438" s="49"/>
      <c r="M3438" s="53"/>
    </row>
    <row r="3439" spans="1:17" x14ac:dyDescent="0.25">
      <c r="A3439" s="21" t="str">
        <f>IF(C3439="","",COUNTA($C$3:C3439))</f>
        <v/>
      </c>
      <c r="B3439" s="35" t="str">
        <f t="shared" si="69"/>
        <v/>
      </c>
      <c r="C3439" s="33"/>
      <c r="E3439" s="60"/>
      <c r="F3439" s="18"/>
      <c r="H3439" s="49"/>
      <c r="I3439" s="49"/>
      <c r="M3439" s="53"/>
      <c r="O3439" s="59"/>
      <c r="P3439" s="59"/>
      <c r="Q3439" s="59"/>
    </row>
    <row r="3440" spans="1:17" x14ac:dyDescent="0.25">
      <c r="A3440" s="21" t="str">
        <f>IF(C3440="","",COUNTA($C$3:C3440))</f>
        <v/>
      </c>
      <c r="B3440" s="35" t="str">
        <f t="shared" si="69"/>
        <v/>
      </c>
      <c r="C3440" s="33"/>
      <c r="E3440" s="60"/>
      <c r="F3440" s="18"/>
      <c r="H3440" s="49"/>
      <c r="I3440" s="49"/>
      <c r="M3440" s="53"/>
      <c r="O3440" s="59"/>
      <c r="P3440" s="59"/>
      <c r="Q3440" s="59"/>
    </row>
    <row r="3441" spans="1:17" x14ac:dyDescent="0.25">
      <c r="A3441" s="21" t="str">
        <f>IF(C3441="","",COUNTA($C$3:C3441))</f>
        <v/>
      </c>
      <c r="B3441" s="35" t="str">
        <f t="shared" si="69"/>
        <v/>
      </c>
      <c r="C3441" s="33"/>
      <c r="E3441" s="60"/>
      <c r="F3441" s="18"/>
      <c r="H3441" s="49"/>
      <c r="I3441" s="49"/>
      <c r="M3441" s="53"/>
      <c r="O3441" s="59"/>
      <c r="P3441" s="59"/>
      <c r="Q3441" s="59"/>
    </row>
    <row r="3442" spans="1:17" x14ac:dyDescent="0.25">
      <c r="A3442" s="21" t="str">
        <f>IF(C3442="","",COUNTA($C$3:C3442))</f>
        <v/>
      </c>
      <c r="B3442" s="35" t="str">
        <f t="shared" si="69"/>
        <v/>
      </c>
      <c r="C3442" s="33"/>
      <c r="E3442" s="60"/>
      <c r="F3442" s="18"/>
      <c r="H3442" s="49"/>
      <c r="I3442" s="49"/>
      <c r="M3442" s="53"/>
      <c r="O3442" s="59"/>
      <c r="P3442" s="59"/>
      <c r="Q3442" s="59"/>
    </row>
    <row r="3443" spans="1:17" x14ac:dyDescent="0.25">
      <c r="A3443" s="21" t="str">
        <f>IF(C3443="","",COUNTA($C$3:C3443))</f>
        <v/>
      </c>
      <c r="B3443" s="35" t="str">
        <f t="shared" si="69"/>
        <v/>
      </c>
      <c r="C3443" s="33"/>
      <c r="E3443" s="60"/>
      <c r="F3443" s="18"/>
      <c r="H3443" s="49"/>
      <c r="I3443" s="49"/>
      <c r="M3443" s="53"/>
      <c r="O3443" s="59"/>
      <c r="P3443" s="59"/>
      <c r="Q3443" s="59"/>
    </row>
    <row r="3444" spans="1:17" x14ac:dyDescent="0.25">
      <c r="A3444" s="21" t="str">
        <f>IF(C3444="","",COUNTA($C$3:C3444))</f>
        <v/>
      </c>
      <c r="B3444" s="35" t="str">
        <f t="shared" si="69"/>
        <v/>
      </c>
      <c r="C3444" s="33"/>
      <c r="E3444" s="60"/>
      <c r="F3444" s="18"/>
      <c r="H3444" s="49"/>
      <c r="I3444" s="49"/>
      <c r="M3444" s="53"/>
      <c r="O3444" s="59"/>
      <c r="P3444" s="59"/>
      <c r="Q3444" s="59"/>
    </row>
    <row r="3445" spans="1:17" x14ac:dyDescent="0.25">
      <c r="A3445" s="21" t="str">
        <f>IF(C3445="","",COUNTA($C$3:C3445))</f>
        <v/>
      </c>
      <c r="B3445" s="35" t="str">
        <f t="shared" si="69"/>
        <v/>
      </c>
      <c r="C3445" s="33"/>
      <c r="E3445" s="60"/>
      <c r="F3445" s="18"/>
      <c r="H3445" s="49"/>
      <c r="I3445" s="49"/>
      <c r="M3445" s="53"/>
      <c r="O3445" s="59"/>
      <c r="P3445" s="71"/>
      <c r="Q3445" s="59"/>
    </row>
    <row r="3446" spans="1:17" x14ac:dyDescent="0.25">
      <c r="A3446" s="21" t="str">
        <f>IF(C3446="","",COUNTA($C$3:C3446))</f>
        <v/>
      </c>
      <c r="B3446" s="35" t="str">
        <f t="shared" si="69"/>
        <v/>
      </c>
      <c r="C3446" s="33"/>
      <c r="E3446" s="60"/>
      <c r="F3446" s="18"/>
      <c r="H3446" s="49"/>
      <c r="I3446" s="49"/>
      <c r="M3446" s="53"/>
    </row>
    <row r="3447" spans="1:17" x14ac:dyDescent="0.25">
      <c r="A3447" s="21" t="str">
        <f>IF(C3447="","",COUNTA($C$3:C3447))</f>
        <v/>
      </c>
      <c r="B3447" s="35" t="str">
        <f t="shared" si="69"/>
        <v/>
      </c>
      <c r="C3447" s="33"/>
      <c r="E3447" s="60"/>
      <c r="F3447" s="18"/>
      <c r="H3447" s="49"/>
      <c r="I3447" s="49"/>
      <c r="M3447" s="53"/>
      <c r="O3447" s="59"/>
      <c r="P3447" s="59"/>
      <c r="Q3447" s="59"/>
    </row>
    <row r="3448" spans="1:17" x14ac:dyDescent="0.25">
      <c r="A3448" s="21" t="str">
        <f>IF(C3448="","",COUNTA($C$3:C3448))</f>
        <v/>
      </c>
      <c r="B3448" s="35" t="str">
        <f t="shared" si="69"/>
        <v/>
      </c>
      <c r="C3448" s="33"/>
      <c r="E3448" s="60"/>
      <c r="F3448" s="18"/>
      <c r="H3448" s="49"/>
      <c r="I3448" s="49"/>
      <c r="M3448" s="53"/>
      <c r="O3448" s="59"/>
      <c r="P3448" s="112"/>
      <c r="Q3448" s="59"/>
    </row>
    <row r="3449" spans="1:17" x14ac:dyDescent="0.25">
      <c r="A3449" s="21" t="str">
        <f>IF(C3449="","",COUNTA($C$3:C3449))</f>
        <v/>
      </c>
      <c r="B3449" s="35" t="str">
        <f t="shared" si="69"/>
        <v/>
      </c>
      <c r="C3449" s="33"/>
      <c r="E3449" s="60"/>
      <c r="F3449" s="18"/>
      <c r="H3449" s="49"/>
      <c r="I3449" s="49"/>
      <c r="K3449" s="67"/>
      <c r="L3449" s="53"/>
      <c r="M3449" s="53"/>
    </row>
    <row r="3450" spans="1:17" x14ac:dyDescent="0.25">
      <c r="A3450" s="21" t="str">
        <f>IF(C3450="","",COUNTA($C$3:C3450))</f>
        <v/>
      </c>
      <c r="B3450" s="35" t="str">
        <f t="shared" si="69"/>
        <v/>
      </c>
      <c r="C3450" s="33"/>
      <c r="E3450" s="60"/>
      <c r="F3450" s="18"/>
      <c r="H3450" s="49"/>
      <c r="I3450" s="49"/>
      <c r="M3450" s="53"/>
    </row>
    <row r="3451" spans="1:17" x14ac:dyDescent="0.25">
      <c r="A3451" s="21" t="str">
        <f>IF(C3451="","",COUNTA($C$3:C3451))</f>
        <v/>
      </c>
      <c r="B3451" s="35" t="str">
        <f t="shared" si="69"/>
        <v/>
      </c>
      <c r="C3451" s="33"/>
      <c r="E3451" s="60"/>
      <c r="F3451" s="18"/>
      <c r="H3451" s="49"/>
      <c r="I3451" s="49"/>
      <c r="M3451" s="53"/>
    </row>
    <row r="3452" spans="1:17" x14ac:dyDescent="0.25">
      <c r="A3452" s="21" t="str">
        <f>IF(C3452="","",COUNTA($C$3:C3452))</f>
        <v/>
      </c>
      <c r="B3452" s="35" t="str">
        <f t="shared" si="69"/>
        <v/>
      </c>
      <c r="C3452" s="33"/>
      <c r="E3452" s="60"/>
      <c r="F3452" s="18"/>
      <c r="H3452" s="49"/>
      <c r="I3452" s="49"/>
      <c r="K3452" s="55"/>
      <c r="M3452" s="53"/>
    </row>
    <row r="3453" spans="1:17" x14ac:dyDescent="0.25">
      <c r="A3453" s="21" t="str">
        <f>IF(C3453="","",COUNTA($C$3:C3453))</f>
        <v/>
      </c>
      <c r="B3453" s="35" t="str">
        <f t="shared" si="69"/>
        <v/>
      </c>
      <c r="C3453" s="33"/>
      <c r="E3453" s="60"/>
      <c r="F3453" s="18"/>
      <c r="H3453" s="49"/>
      <c r="I3453" s="49"/>
      <c r="M3453" s="53"/>
    </row>
    <row r="3454" spans="1:17" x14ac:dyDescent="0.25">
      <c r="A3454" s="21" t="str">
        <f>IF(C3454="","",COUNTA($C$3:C3454))</f>
        <v/>
      </c>
      <c r="B3454" s="35" t="str">
        <f t="shared" si="69"/>
        <v/>
      </c>
      <c r="C3454" s="33"/>
      <c r="E3454" s="60"/>
      <c r="F3454" s="18"/>
      <c r="H3454" s="49"/>
      <c r="I3454" s="49"/>
      <c r="M3454" s="53"/>
    </row>
    <row r="3455" spans="1:17" x14ac:dyDescent="0.25">
      <c r="A3455" s="21" t="str">
        <f>IF(C3455="","",COUNTA($C$3:C3455))</f>
        <v/>
      </c>
      <c r="B3455" s="35" t="str">
        <f t="shared" si="69"/>
        <v/>
      </c>
      <c r="C3455" s="33"/>
      <c r="E3455" s="60"/>
      <c r="F3455" s="18"/>
      <c r="H3455" s="49"/>
      <c r="I3455" s="49"/>
      <c r="M3455" s="53"/>
    </row>
    <row r="3456" spans="1:17" x14ac:dyDescent="0.25">
      <c r="A3456" s="21" t="str">
        <f>IF(C3456="","",COUNTA($C$3:C3456))</f>
        <v/>
      </c>
      <c r="B3456" s="35" t="str">
        <f t="shared" si="69"/>
        <v/>
      </c>
      <c r="C3456" s="33"/>
      <c r="E3456" s="60"/>
      <c r="F3456" s="18"/>
      <c r="H3456" s="49"/>
      <c r="I3456" s="49"/>
      <c r="M3456" s="53"/>
    </row>
    <row r="3457" spans="1:13" x14ac:dyDescent="0.25">
      <c r="A3457" s="21" t="str">
        <f>IF(C3457="","",COUNTA($C$3:C3457))</f>
        <v/>
      </c>
      <c r="B3457" s="35" t="str">
        <f t="shared" si="69"/>
        <v/>
      </c>
      <c r="C3457" s="33"/>
      <c r="E3457" s="60"/>
      <c r="F3457" s="18"/>
      <c r="H3457" s="49"/>
      <c r="I3457" s="49"/>
      <c r="M3457" s="53"/>
    </row>
    <row r="3458" spans="1:13" x14ac:dyDescent="0.25">
      <c r="A3458" s="21" t="str">
        <f>IF(C3458="","",COUNTA($C$3:C3458))</f>
        <v/>
      </c>
      <c r="B3458" s="35" t="str">
        <f t="shared" si="69"/>
        <v/>
      </c>
      <c r="C3458" s="33"/>
      <c r="E3458" s="60"/>
      <c r="F3458" s="18"/>
      <c r="H3458" s="49"/>
      <c r="I3458" s="49"/>
      <c r="M3458" s="53"/>
    </row>
    <row r="3459" spans="1:13" x14ac:dyDescent="0.25">
      <c r="A3459" s="21" t="str">
        <f>IF(C3459="","",COUNTA($C$3:C3459))</f>
        <v/>
      </c>
      <c r="B3459" s="35" t="str">
        <f t="shared" si="69"/>
        <v/>
      </c>
      <c r="C3459" s="33"/>
      <c r="E3459" s="60"/>
      <c r="F3459" s="18"/>
      <c r="H3459" s="49"/>
      <c r="I3459" s="49"/>
      <c r="M3459" s="53"/>
    </row>
    <row r="3460" spans="1:13" x14ac:dyDescent="0.25">
      <c r="A3460" s="21" t="str">
        <f>IF(C3460="","",COUNTA($C$3:C3460))</f>
        <v/>
      </c>
      <c r="B3460" s="35" t="str">
        <f t="shared" si="69"/>
        <v/>
      </c>
      <c r="C3460" s="33"/>
      <c r="E3460" s="60"/>
      <c r="F3460" s="18"/>
      <c r="H3460" s="49"/>
      <c r="I3460" s="49"/>
      <c r="M3460" s="53"/>
    </row>
    <row r="3461" spans="1:13" x14ac:dyDescent="0.25">
      <c r="A3461" s="21" t="str">
        <f>IF(C3461="","",COUNTA($C$3:C3461))</f>
        <v/>
      </c>
      <c r="B3461" s="35" t="str">
        <f t="shared" ref="B3461:B3524" si="70">IF(C3461="","",TEXT(C3461,"mmmm"))</f>
        <v/>
      </c>
      <c r="C3461" s="33"/>
      <c r="E3461" s="60"/>
      <c r="F3461" s="18"/>
      <c r="H3461" s="49"/>
      <c r="I3461" s="49"/>
      <c r="M3461" s="53"/>
    </row>
    <row r="3462" spans="1:13" x14ac:dyDescent="0.25">
      <c r="A3462" s="21" t="str">
        <f>IF(C3462="","",COUNTA($C$3:C3462))</f>
        <v/>
      </c>
      <c r="B3462" s="35" t="str">
        <f t="shared" si="70"/>
        <v/>
      </c>
      <c r="C3462" s="33"/>
      <c r="E3462" s="60"/>
      <c r="F3462" s="18"/>
      <c r="H3462" s="49"/>
      <c r="I3462" s="49"/>
      <c r="M3462" s="53"/>
    </row>
    <row r="3463" spans="1:13" x14ac:dyDescent="0.25">
      <c r="A3463" s="21" t="str">
        <f>IF(C3463="","",COUNTA($C$3:C3463))</f>
        <v/>
      </c>
      <c r="B3463" s="35" t="str">
        <f t="shared" si="70"/>
        <v/>
      </c>
      <c r="C3463" s="33"/>
      <c r="E3463" s="60"/>
      <c r="F3463" s="18"/>
      <c r="H3463" s="49"/>
      <c r="I3463" s="49"/>
      <c r="M3463" s="53"/>
    </row>
    <row r="3464" spans="1:13" x14ac:dyDescent="0.25">
      <c r="A3464" s="21" t="str">
        <f>IF(C3464="","",COUNTA($C$3:C3464))</f>
        <v/>
      </c>
      <c r="B3464" s="35" t="str">
        <f t="shared" si="70"/>
        <v/>
      </c>
      <c r="C3464" s="33"/>
      <c r="E3464" s="60"/>
      <c r="F3464" s="18"/>
      <c r="H3464" s="49"/>
      <c r="I3464" s="49"/>
      <c r="M3464" s="53"/>
    </row>
    <row r="3465" spans="1:13" x14ac:dyDescent="0.25">
      <c r="A3465" s="21" t="str">
        <f>IF(C3465="","",COUNTA($C$3:C3465))</f>
        <v/>
      </c>
      <c r="B3465" s="35" t="str">
        <f t="shared" si="70"/>
        <v/>
      </c>
      <c r="C3465" s="33"/>
      <c r="E3465" s="60"/>
      <c r="F3465" s="18"/>
      <c r="H3465" s="49"/>
      <c r="I3465" s="49"/>
      <c r="M3465" s="53"/>
    </row>
    <row r="3466" spans="1:13" x14ac:dyDescent="0.25">
      <c r="A3466" s="21" t="str">
        <f>IF(C3466="","",COUNTA($C$3:C3466))</f>
        <v/>
      </c>
      <c r="B3466" s="35" t="str">
        <f t="shared" si="70"/>
        <v/>
      </c>
      <c r="C3466" s="33"/>
      <c r="E3466" s="60"/>
      <c r="F3466" s="18"/>
      <c r="H3466" s="49"/>
      <c r="I3466" s="49"/>
      <c r="M3466" s="53"/>
    </row>
    <row r="3467" spans="1:13" x14ac:dyDescent="0.25">
      <c r="A3467" s="21" t="str">
        <f>IF(C3467="","",COUNTA($C$3:C3467))</f>
        <v/>
      </c>
      <c r="B3467" s="35" t="str">
        <f t="shared" si="70"/>
        <v/>
      </c>
      <c r="C3467" s="33"/>
      <c r="E3467" s="60"/>
      <c r="F3467" s="18"/>
      <c r="H3467" s="49"/>
      <c r="I3467" s="49"/>
      <c r="M3467" s="53"/>
    </row>
    <row r="3468" spans="1:13" x14ac:dyDescent="0.25">
      <c r="A3468" s="21" t="str">
        <f>IF(C3468="","",COUNTA($C$3:C3468))</f>
        <v/>
      </c>
      <c r="B3468" s="35" t="str">
        <f t="shared" si="70"/>
        <v/>
      </c>
      <c r="C3468" s="33"/>
      <c r="E3468" s="60"/>
      <c r="F3468" s="18"/>
      <c r="H3468" s="49"/>
      <c r="I3468" s="49"/>
      <c r="M3468" s="53"/>
    </row>
    <row r="3469" spans="1:13" x14ac:dyDescent="0.25">
      <c r="A3469" s="21" t="str">
        <f>IF(C3469="","",COUNTA($C$3:C3469))</f>
        <v/>
      </c>
      <c r="B3469" s="35" t="str">
        <f t="shared" si="70"/>
        <v/>
      </c>
      <c r="C3469" s="33"/>
      <c r="E3469" s="60"/>
      <c r="F3469" s="18"/>
      <c r="H3469" s="49"/>
      <c r="I3469" s="49"/>
      <c r="M3469" s="53"/>
    </row>
    <row r="3470" spans="1:13" x14ac:dyDescent="0.25">
      <c r="A3470" s="21" t="str">
        <f>IF(C3470="","",COUNTA($C$3:C3470))</f>
        <v/>
      </c>
      <c r="B3470" s="35" t="str">
        <f t="shared" si="70"/>
        <v/>
      </c>
      <c r="C3470" s="33"/>
      <c r="E3470" s="60"/>
      <c r="F3470" s="18"/>
      <c r="H3470" s="49"/>
      <c r="I3470" s="49"/>
      <c r="M3470" s="53"/>
    </row>
    <row r="3471" spans="1:13" x14ac:dyDescent="0.25">
      <c r="A3471" s="21" t="str">
        <f>IF(C3471="","",COUNTA($C$3:C3471))</f>
        <v/>
      </c>
      <c r="B3471" s="35" t="str">
        <f t="shared" si="70"/>
        <v/>
      </c>
      <c r="C3471" s="33"/>
      <c r="E3471" s="60"/>
      <c r="F3471" s="18"/>
      <c r="H3471" s="49"/>
      <c r="I3471" s="49"/>
      <c r="M3471" s="53"/>
    </row>
    <row r="3472" spans="1:13" x14ac:dyDescent="0.25">
      <c r="A3472" s="21" t="str">
        <f>IF(C3472="","",COUNTA($C$3:C3472))</f>
        <v/>
      </c>
      <c r="B3472" s="35" t="str">
        <f t="shared" si="70"/>
        <v/>
      </c>
      <c r="C3472" s="33"/>
      <c r="E3472" s="60"/>
      <c r="F3472" s="18"/>
      <c r="H3472" s="49"/>
      <c r="I3472" s="49"/>
      <c r="M3472" s="53"/>
    </row>
    <row r="3473" spans="1:17" x14ac:dyDescent="0.25">
      <c r="A3473" s="21" t="str">
        <f>IF(C3473="","",COUNTA($C$3:C3473))</f>
        <v/>
      </c>
      <c r="B3473" s="35" t="str">
        <f t="shared" si="70"/>
        <v/>
      </c>
      <c r="C3473" s="33"/>
      <c r="E3473" s="60"/>
      <c r="F3473" s="18"/>
      <c r="H3473" s="49"/>
      <c r="I3473" s="49"/>
      <c r="M3473" s="53"/>
    </row>
    <row r="3474" spans="1:17" x14ac:dyDescent="0.25">
      <c r="A3474" s="21" t="str">
        <f>IF(C3474="","",COUNTA($C$3:C3474))</f>
        <v/>
      </c>
      <c r="B3474" s="35" t="str">
        <f t="shared" si="70"/>
        <v/>
      </c>
      <c r="C3474" s="33"/>
      <c r="E3474" s="60"/>
      <c r="F3474" s="18"/>
      <c r="H3474" s="49"/>
      <c r="I3474" s="49"/>
      <c r="M3474" s="53"/>
    </row>
    <row r="3475" spans="1:17" x14ac:dyDescent="0.25">
      <c r="A3475" s="21" t="str">
        <f>IF(C3475="","",COUNTA($C$3:C3475))</f>
        <v/>
      </c>
      <c r="B3475" s="35" t="str">
        <f t="shared" si="70"/>
        <v/>
      </c>
      <c r="C3475" s="33"/>
      <c r="E3475" s="60"/>
      <c r="F3475" s="18"/>
      <c r="H3475" s="49"/>
      <c r="I3475" s="49"/>
      <c r="M3475" s="53"/>
    </row>
    <row r="3476" spans="1:17" x14ac:dyDescent="0.25">
      <c r="A3476" s="21" t="str">
        <f>IF(C3476="","",COUNTA($C$3:C3476))</f>
        <v/>
      </c>
      <c r="B3476" s="35" t="str">
        <f t="shared" si="70"/>
        <v/>
      </c>
      <c r="C3476" s="33"/>
      <c r="E3476" s="60"/>
      <c r="F3476" s="18"/>
      <c r="H3476" s="49"/>
      <c r="I3476" s="49"/>
      <c r="M3476" s="53"/>
    </row>
    <row r="3477" spans="1:17" x14ac:dyDescent="0.25">
      <c r="A3477" s="21" t="str">
        <f>IF(C3477="","",COUNTA($C$3:C3477))</f>
        <v/>
      </c>
      <c r="B3477" s="35" t="str">
        <f t="shared" si="70"/>
        <v/>
      </c>
      <c r="C3477" s="33"/>
      <c r="E3477" s="60"/>
      <c r="F3477" s="18"/>
      <c r="H3477" s="49"/>
      <c r="I3477" s="49"/>
      <c r="M3477" s="53"/>
    </row>
    <row r="3478" spans="1:17" x14ac:dyDescent="0.25">
      <c r="A3478" s="21" t="str">
        <f>IF(C3478="","",COUNTA($C$3:C3478))</f>
        <v/>
      </c>
      <c r="B3478" s="35" t="str">
        <f t="shared" si="70"/>
        <v/>
      </c>
      <c r="C3478" s="33"/>
      <c r="E3478" s="60"/>
      <c r="F3478" s="18"/>
      <c r="H3478" s="49"/>
      <c r="I3478" s="49"/>
      <c r="M3478" s="53"/>
    </row>
    <row r="3479" spans="1:17" x14ac:dyDescent="0.25">
      <c r="A3479" s="21" t="str">
        <f>IF(C3479="","",COUNTA($C$3:C3479))</f>
        <v/>
      </c>
      <c r="B3479" s="35" t="str">
        <f t="shared" si="70"/>
        <v/>
      </c>
      <c r="C3479" s="33"/>
      <c r="E3479" s="60"/>
      <c r="F3479" s="18"/>
      <c r="H3479" s="49"/>
      <c r="I3479" s="49"/>
      <c r="M3479" s="53"/>
    </row>
    <row r="3480" spans="1:17" x14ac:dyDescent="0.25">
      <c r="A3480" s="21" t="str">
        <f>IF(C3480="","",COUNTA($C$3:C3480))</f>
        <v/>
      </c>
      <c r="B3480" s="35" t="str">
        <f t="shared" si="70"/>
        <v/>
      </c>
      <c r="C3480" s="33"/>
      <c r="E3480" s="60"/>
      <c r="F3480" s="18"/>
      <c r="H3480" s="49"/>
      <c r="I3480" s="49"/>
      <c r="M3480" s="53"/>
    </row>
    <row r="3481" spans="1:17" x14ac:dyDescent="0.25">
      <c r="A3481" s="21" t="str">
        <f>IF(C3481="","",COUNTA($C$3:C3481))</f>
        <v/>
      </c>
      <c r="B3481" s="35" t="str">
        <f t="shared" si="70"/>
        <v/>
      </c>
      <c r="C3481" s="33"/>
      <c r="E3481" s="60"/>
      <c r="F3481" s="18"/>
      <c r="H3481" s="49"/>
      <c r="I3481" s="49"/>
      <c r="K3481" s="55"/>
      <c r="L3481" s="62"/>
      <c r="M3481" s="53"/>
    </row>
    <row r="3482" spans="1:17" x14ac:dyDescent="0.25">
      <c r="A3482" s="21" t="str">
        <f>IF(C3482="","",COUNTA($C$3:C3482))</f>
        <v/>
      </c>
      <c r="B3482" s="35" t="str">
        <f t="shared" si="70"/>
        <v/>
      </c>
      <c r="C3482" s="33"/>
      <c r="E3482" s="60"/>
      <c r="F3482" s="18"/>
      <c r="H3482" s="49"/>
      <c r="I3482" s="49"/>
      <c r="L3482" s="62"/>
      <c r="M3482" s="53"/>
    </row>
    <row r="3483" spans="1:17" x14ac:dyDescent="0.25">
      <c r="A3483" s="21" t="str">
        <f>IF(C3483="","",COUNTA($C$3:C3483))</f>
        <v/>
      </c>
      <c r="B3483" s="35" t="str">
        <f t="shared" si="70"/>
        <v/>
      </c>
      <c r="C3483" s="33"/>
      <c r="E3483" s="60"/>
      <c r="F3483" s="18"/>
      <c r="H3483" s="49"/>
      <c r="I3483" s="49"/>
      <c r="M3483" s="53"/>
    </row>
    <row r="3484" spans="1:17" x14ac:dyDescent="0.25">
      <c r="A3484" s="21" t="str">
        <f>IF(C3484="","",COUNTA($C$3:C3484))</f>
        <v/>
      </c>
      <c r="B3484" s="35" t="str">
        <f t="shared" si="70"/>
        <v/>
      </c>
      <c r="C3484" s="33"/>
      <c r="E3484" s="60"/>
      <c r="F3484" s="18"/>
      <c r="H3484" s="49"/>
      <c r="I3484" s="49"/>
      <c r="M3484" s="53"/>
    </row>
    <row r="3485" spans="1:17" x14ac:dyDescent="0.25">
      <c r="A3485" s="21" t="str">
        <f>IF(C3485="","",COUNTA($C$3:C3485))</f>
        <v/>
      </c>
      <c r="B3485" s="35" t="str">
        <f t="shared" si="70"/>
        <v/>
      </c>
      <c r="C3485" s="33"/>
      <c r="E3485" s="60"/>
      <c r="F3485" s="18"/>
      <c r="H3485" s="49"/>
      <c r="I3485" s="49"/>
      <c r="M3485" s="53"/>
    </row>
    <row r="3486" spans="1:17" x14ac:dyDescent="0.25">
      <c r="A3486" s="21" t="str">
        <f>IF(C3486="","",COUNTA($C$3:C3486))</f>
        <v/>
      </c>
      <c r="B3486" s="35" t="str">
        <f t="shared" si="70"/>
        <v/>
      </c>
      <c r="C3486" s="33"/>
      <c r="E3486" s="60"/>
      <c r="F3486" s="18"/>
      <c r="H3486" s="49"/>
      <c r="I3486" s="49"/>
      <c r="M3486" s="53"/>
      <c r="O3486" s="59"/>
      <c r="P3486" s="59"/>
      <c r="Q3486" s="59"/>
    </row>
    <row r="3487" spans="1:17" x14ac:dyDescent="0.25">
      <c r="A3487" s="21" t="str">
        <f>IF(C3487="","",COUNTA($C$3:C3487))</f>
        <v/>
      </c>
      <c r="B3487" s="35" t="str">
        <f t="shared" si="70"/>
        <v/>
      </c>
      <c r="C3487" s="33"/>
      <c r="E3487" s="60"/>
      <c r="F3487" s="18"/>
      <c r="H3487" s="49"/>
      <c r="I3487" s="49"/>
      <c r="M3487" s="53"/>
      <c r="O3487" s="59"/>
      <c r="P3487" s="59"/>
      <c r="Q3487" s="59"/>
    </row>
    <row r="3488" spans="1:17" x14ac:dyDescent="0.25">
      <c r="A3488" s="21" t="str">
        <f>IF(C3488="","",COUNTA($C$3:C3488))</f>
        <v/>
      </c>
      <c r="B3488" s="35" t="str">
        <f t="shared" si="70"/>
        <v/>
      </c>
      <c r="C3488" s="33"/>
      <c r="E3488" s="60"/>
      <c r="F3488" s="18"/>
      <c r="H3488" s="49"/>
      <c r="I3488" s="49"/>
      <c r="M3488" s="53"/>
      <c r="O3488" s="59"/>
      <c r="P3488" s="59"/>
      <c r="Q3488" s="59"/>
    </row>
    <row r="3489" spans="1:17" x14ac:dyDescent="0.25">
      <c r="A3489" s="21" t="str">
        <f>IF(C3489="","",COUNTA($C$3:C3489))</f>
        <v/>
      </c>
      <c r="B3489" s="35" t="str">
        <f t="shared" si="70"/>
        <v/>
      </c>
      <c r="C3489" s="33"/>
      <c r="E3489" s="60"/>
      <c r="F3489" s="18"/>
      <c r="H3489" s="49"/>
      <c r="I3489" s="49"/>
      <c r="M3489" s="53"/>
      <c r="O3489" s="59"/>
      <c r="P3489" s="59"/>
      <c r="Q3489" s="59"/>
    </row>
    <row r="3490" spans="1:17" x14ac:dyDescent="0.25">
      <c r="A3490" s="21" t="str">
        <f>IF(C3490="","",COUNTA($C$3:C3490))</f>
        <v/>
      </c>
      <c r="B3490" s="35" t="str">
        <f t="shared" si="70"/>
        <v/>
      </c>
      <c r="C3490" s="33"/>
      <c r="E3490" s="60"/>
      <c r="F3490" s="18"/>
      <c r="H3490" s="49"/>
      <c r="I3490" s="49"/>
      <c r="M3490" s="53"/>
      <c r="O3490" s="59"/>
      <c r="P3490" s="59"/>
      <c r="Q3490" s="59"/>
    </row>
    <row r="3491" spans="1:17" x14ac:dyDescent="0.25">
      <c r="A3491" s="21" t="str">
        <f>IF(C3491="","",COUNTA($C$3:C3491))</f>
        <v/>
      </c>
      <c r="B3491" s="35" t="str">
        <f t="shared" si="70"/>
        <v/>
      </c>
      <c r="C3491" s="33"/>
      <c r="E3491" s="60"/>
      <c r="F3491" s="18"/>
      <c r="H3491" s="49"/>
      <c r="I3491" s="49"/>
      <c r="M3491" s="53"/>
      <c r="O3491" s="59"/>
      <c r="P3491" s="71"/>
      <c r="Q3491" s="59"/>
    </row>
    <row r="3492" spans="1:17" x14ac:dyDescent="0.25">
      <c r="A3492" s="21" t="str">
        <f>IF(C3492="","",COUNTA($C$3:C3492))</f>
        <v/>
      </c>
      <c r="B3492" s="35" t="str">
        <f t="shared" si="70"/>
        <v/>
      </c>
      <c r="C3492" s="33"/>
      <c r="E3492" s="60"/>
      <c r="F3492" s="18"/>
      <c r="H3492" s="49"/>
      <c r="I3492" s="49"/>
      <c r="M3492" s="53"/>
      <c r="O3492" s="59"/>
      <c r="P3492" s="71"/>
      <c r="Q3492" s="59"/>
    </row>
    <row r="3493" spans="1:17" x14ac:dyDescent="0.25">
      <c r="A3493" s="21" t="str">
        <f>IF(C3493="","",COUNTA($C$3:C3493))</f>
        <v/>
      </c>
      <c r="B3493" s="35" t="str">
        <f t="shared" si="70"/>
        <v/>
      </c>
      <c r="C3493" s="33"/>
      <c r="E3493" s="60"/>
      <c r="F3493" s="18"/>
      <c r="H3493" s="49"/>
      <c r="I3493" s="49"/>
      <c r="M3493" s="53"/>
      <c r="O3493" s="59"/>
      <c r="P3493" s="69"/>
      <c r="Q3493" s="59"/>
    </row>
    <row r="3494" spans="1:17" x14ac:dyDescent="0.25">
      <c r="A3494" s="21" t="str">
        <f>IF(C3494="","",COUNTA($C$3:C3494))</f>
        <v/>
      </c>
      <c r="B3494" s="35" t="str">
        <f t="shared" si="70"/>
        <v/>
      </c>
      <c r="C3494" s="33"/>
      <c r="E3494" s="60"/>
      <c r="F3494" s="18"/>
      <c r="H3494" s="49"/>
      <c r="I3494" s="49"/>
      <c r="M3494" s="53"/>
      <c r="O3494" s="59"/>
      <c r="P3494" s="59"/>
      <c r="Q3494" s="59"/>
    </row>
    <row r="3495" spans="1:17" x14ac:dyDescent="0.25">
      <c r="A3495" s="21" t="str">
        <f>IF(C3495="","",COUNTA($C$3:C3495))</f>
        <v/>
      </c>
      <c r="B3495" s="35" t="str">
        <f t="shared" si="70"/>
        <v/>
      </c>
      <c r="C3495" s="33"/>
      <c r="E3495" s="60"/>
      <c r="F3495" s="18"/>
      <c r="H3495" s="49"/>
      <c r="I3495" s="49"/>
      <c r="M3495" s="53"/>
    </row>
    <row r="3496" spans="1:17" x14ac:dyDescent="0.25">
      <c r="A3496" s="21" t="str">
        <f>IF(C3496="","",COUNTA($C$3:C3496))</f>
        <v/>
      </c>
      <c r="B3496" s="35" t="str">
        <f t="shared" si="70"/>
        <v/>
      </c>
      <c r="C3496" s="33"/>
      <c r="E3496" s="60"/>
      <c r="F3496" s="18"/>
      <c r="H3496" s="49"/>
      <c r="I3496" s="49"/>
      <c r="M3496" s="53"/>
    </row>
    <row r="3497" spans="1:17" x14ac:dyDescent="0.25">
      <c r="A3497" s="21" t="str">
        <f>IF(C3497="","",COUNTA($C$3:C3497))</f>
        <v/>
      </c>
      <c r="B3497" s="35" t="str">
        <f t="shared" si="70"/>
        <v/>
      </c>
      <c r="C3497" s="33"/>
      <c r="E3497" s="60"/>
      <c r="F3497" s="18"/>
      <c r="H3497" s="49"/>
      <c r="I3497" s="49"/>
      <c r="M3497" s="53"/>
    </row>
    <row r="3498" spans="1:17" x14ac:dyDescent="0.25">
      <c r="A3498" s="21" t="str">
        <f>IF(C3498="","",COUNTA($C$3:C3498))</f>
        <v/>
      </c>
      <c r="B3498" s="35" t="str">
        <f t="shared" si="70"/>
        <v/>
      </c>
      <c r="C3498" s="33"/>
      <c r="E3498" s="60"/>
      <c r="F3498" s="18"/>
      <c r="H3498" s="49"/>
      <c r="I3498" s="49"/>
      <c r="K3498" s="55"/>
      <c r="M3498" s="53"/>
    </row>
    <row r="3499" spans="1:17" x14ac:dyDescent="0.25">
      <c r="A3499" s="21" t="str">
        <f>IF(C3499="","",COUNTA($C$3:C3499))</f>
        <v/>
      </c>
      <c r="B3499" s="35" t="str">
        <f t="shared" si="70"/>
        <v/>
      </c>
      <c r="C3499" s="33"/>
      <c r="E3499" s="60"/>
      <c r="F3499" s="18"/>
      <c r="H3499" s="49"/>
      <c r="I3499" s="49"/>
      <c r="M3499" s="53"/>
    </row>
    <row r="3500" spans="1:17" x14ac:dyDescent="0.25">
      <c r="A3500" s="21" t="str">
        <f>IF(C3500="","",COUNTA($C$3:C3500))</f>
        <v/>
      </c>
      <c r="B3500" s="35" t="str">
        <f t="shared" si="70"/>
        <v/>
      </c>
      <c r="C3500" s="33"/>
      <c r="E3500" s="60"/>
      <c r="F3500" s="18"/>
      <c r="H3500" s="49"/>
      <c r="I3500" s="49"/>
      <c r="M3500" s="53"/>
    </row>
    <row r="3501" spans="1:17" x14ac:dyDescent="0.25">
      <c r="A3501" s="21" t="str">
        <f>IF(C3501="","",COUNTA($C$3:C3501))</f>
        <v/>
      </c>
      <c r="B3501" s="35" t="str">
        <f t="shared" si="70"/>
        <v/>
      </c>
      <c r="C3501" s="33"/>
      <c r="E3501" s="60"/>
      <c r="F3501" s="18"/>
      <c r="H3501" s="49"/>
      <c r="I3501" s="49"/>
      <c r="M3501" s="53"/>
      <c r="O3501" s="59"/>
      <c r="P3501" s="59"/>
      <c r="Q3501" s="59"/>
    </row>
    <row r="3502" spans="1:17" x14ac:dyDescent="0.25">
      <c r="A3502" s="21" t="str">
        <f>IF(C3502="","",COUNTA($C$3:C3502))</f>
        <v/>
      </c>
      <c r="B3502" s="35" t="str">
        <f t="shared" si="70"/>
        <v/>
      </c>
      <c r="C3502" s="33"/>
      <c r="E3502" s="60"/>
      <c r="F3502" s="18"/>
      <c r="H3502" s="49"/>
      <c r="I3502" s="49"/>
      <c r="M3502" s="53"/>
    </row>
    <row r="3503" spans="1:17" x14ac:dyDescent="0.25">
      <c r="A3503" s="21" t="str">
        <f>IF(C3503="","",COUNTA($C$3:C3503))</f>
        <v/>
      </c>
      <c r="B3503" s="35" t="str">
        <f t="shared" si="70"/>
        <v/>
      </c>
      <c r="C3503" s="33"/>
      <c r="E3503" s="60"/>
      <c r="F3503" s="18"/>
      <c r="H3503" s="49"/>
      <c r="I3503" s="49"/>
      <c r="M3503" s="53"/>
    </row>
    <row r="3504" spans="1:17" x14ac:dyDescent="0.25">
      <c r="A3504" s="21" t="str">
        <f>IF(C3504="","",COUNTA($C$3:C3504))</f>
        <v/>
      </c>
      <c r="B3504" s="35" t="str">
        <f t="shared" si="70"/>
        <v/>
      </c>
      <c r="C3504" s="33"/>
      <c r="E3504" s="60"/>
      <c r="F3504" s="18"/>
      <c r="H3504" s="49"/>
      <c r="I3504" s="49"/>
      <c r="M3504" s="53"/>
    </row>
    <row r="3505" spans="1:13" x14ac:dyDescent="0.25">
      <c r="A3505" s="21" t="str">
        <f>IF(C3505="","",COUNTA($C$3:C3505))</f>
        <v/>
      </c>
      <c r="B3505" s="35" t="str">
        <f t="shared" si="70"/>
        <v/>
      </c>
      <c r="C3505" s="33"/>
      <c r="E3505" s="60"/>
      <c r="F3505" s="18"/>
      <c r="H3505" s="49"/>
      <c r="I3505" s="49"/>
      <c r="M3505" s="53"/>
    </row>
    <row r="3506" spans="1:13" x14ac:dyDescent="0.25">
      <c r="A3506" s="21" t="str">
        <f>IF(C3506="","",COUNTA($C$3:C3506))</f>
        <v/>
      </c>
      <c r="B3506" s="35" t="str">
        <f t="shared" si="70"/>
        <v/>
      </c>
      <c r="C3506" s="33"/>
      <c r="E3506" s="60"/>
      <c r="F3506" s="18"/>
      <c r="H3506" s="49"/>
      <c r="I3506" s="49"/>
      <c r="M3506" s="53"/>
    </row>
    <row r="3507" spans="1:13" x14ac:dyDescent="0.25">
      <c r="A3507" s="21" t="str">
        <f>IF(C3507="","",COUNTA($C$3:C3507))</f>
        <v/>
      </c>
      <c r="B3507" s="35" t="str">
        <f t="shared" si="70"/>
        <v/>
      </c>
      <c r="C3507" s="33"/>
      <c r="E3507" s="60"/>
      <c r="F3507" s="18"/>
      <c r="H3507" s="49"/>
      <c r="I3507" s="49"/>
      <c r="M3507" s="53"/>
    </row>
    <row r="3508" spans="1:13" x14ac:dyDescent="0.25">
      <c r="A3508" s="21" t="str">
        <f>IF(C3508="","",COUNTA($C$3:C3508))</f>
        <v/>
      </c>
      <c r="B3508" s="35" t="str">
        <f t="shared" si="70"/>
        <v/>
      </c>
      <c r="C3508" s="33"/>
      <c r="E3508" s="60"/>
      <c r="F3508" s="18"/>
      <c r="H3508" s="49"/>
      <c r="I3508" s="49"/>
      <c r="M3508" s="53"/>
    </row>
    <row r="3509" spans="1:13" x14ac:dyDescent="0.25">
      <c r="A3509" s="21" t="str">
        <f>IF(C3509="","",COUNTA($C$3:C3509))</f>
        <v/>
      </c>
      <c r="B3509" s="35" t="str">
        <f t="shared" si="70"/>
        <v/>
      </c>
      <c r="C3509" s="33"/>
      <c r="E3509" s="60"/>
      <c r="F3509" s="18"/>
      <c r="G3509" s="18"/>
      <c r="H3509" s="49"/>
      <c r="I3509" s="49"/>
      <c r="M3509" s="53"/>
    </row>
    <row r="3510" spans="1:13" x14ac:dyDescent="0.25">
      <c r="A3510" s="21" t="str">
        <f>IF(C3510="","",COUNTA($C$3:C3510))</f>
        <v/>
      </c>
      <c r="B3510" s="35" t="str">
        <f t="shared" si="70"/>
        <v/>
      </c>
      <c r="C3510" s="33"/>
      <c r="E3510" s="60"/>
      <c r="F3510" s="18"/>
      <c r="G3510" s="18"/>
      <c r="H3510" s="49"/>
      <c r="I3510" s="49"/>
      <c r="M3510" s="53"/>
    </row>
    <row r="3511" spans="1:13" x14ac:dyDescent="0.25">
      <c r="A3511" s="21" t="str">
        <f>IF(C3511="","",COUNTA($C$3:C3511))</f>
        <v/>
      </c>
      <c r="B3511" s="35" t="str">
        <f t="shared" si="70"/>
        <v/>
      </c>
      <c r="C3511" s="33"/>
      <c r="E3511" s="60"/>
      <c r="F3511" s="18"/>
      <c r="G3511" s="18"/>
      <c r="H3511" s="49"/>
      <c r="I3511" s="49"/>
      <c r="M3511" s="53"/>
    </row>
    <row r="3512" spans="1:13" x14ac:dyDescent="0.25">
      <c r="A3512" s="21" t="str">
        <f>IF(C3512="","",COUNTA($C$3:C3512))</f>
        <v/>
      </c>
      <c r="B3512" s="35" t="str">
        <f t="shared" si="70"/>
        <v/>
      </c>
      <c r="C3512" s="33"/>
      <c r="E3512" s="60"/>
      <c r="F3512" s="18"/>
      <c r="G3512" s="18"/>
      <c r="H3512" s="49"/>
      <c r="I3512" s="49"/>
      <c r="M3512" s="53"/>
    </row>
    <row r="3513" spans="1:13" x14ac:dyDescent="0.25">
      <c r="A3513" s="21" t="str">
        <f>IF(C3513="","",COUNTA($C$3:C3513))</f>
        <v/>
      </c>
      <c r="B3513" s="35" t="str">
        <f t="shared" si="70"/>
        <v/>
      </c>
      <c r="C3513" s="33"/>
      <c r="E3513" s="60"/>
      <c r="F3513" s="18"/>
      <c r="G3513" s="18"/>
      <c r="H3513" s="49"/>
      <c r="I3513" s="49"/>
      <c r="M3513" s="53"/>
    </row>
    <row r="3514" spans="1:13" x14ac:dyDescent="0.25">
      <c r="A3514" s="21" t="str">
        <f>IF(C3514="","",COUNTA($C$3:C3514))</f>
        <v/>
      </c>
      <c r="B3514" s="35" t="str">
        <f t="shared" si="70"/>
        <v/>
      </c>
      <c r="C3514" s="33"/>
      <c r="E3514" s="60"/>
      <c r="F3514" s="18"/>
      <c r="G3514" s="18"/>
      <c r="H3514" s="49"/>
      <c r="I3514" s="49"/>
      <c r="M3514" s="53"/>
    </row>
    <row r="3515" spans="1:13" x14ac:dyDescent="0.25">
      <c r="A3515" s="21" t="str">
        <f>IF(C3515="","",COUNTA($C$3:C3515))</f>
        <v/>
      </c>
      <c r="B3515" s="35" t="str">
        <f t="shared" si="70"/>
        <v/>
      </c>
      <c r="C3515" s="33"/>
      <c r="E3515" s="60"/>
      <c r="F3515" s="18"/>
      <c r="G3515" s="18"/>
      <c r="H3515" s="49"/>
      <c r="I3515" s="49"/>
      <c r="M3515" s="53"/>
    </row>
    <row r="3516" spans="1:13" x14ac:dyDescent="0.25">
      <c r="A3516" s="21" t="str">
        <f>IF(C3516="","",COUNTA($C$3:C3516))</f>
        <v/>
      </c>
      <c r="B3516" s="35" t="str">
        <f t="shared" si="70"/>
        <v/>
      </c>
      <c r="C3516" s="33"/>
      <c r="E3516" s="60"/>
      <c r="F3516" s="18"/>
      <c r="H3516" s="49"/>
      <c r="I3516" s="49"/>
      <c r="M3516" s="53"/>
    </row>
    <row r="3517" spans="1:13" x14ac:dyDescent="0.25">
      <c r="A3517" s="21" t="str">
        <f>IF(C3517="","",COUNTA($C$3:C3517))</f>
        <v/>
      </c>
      <c r="B3517" s="35" t="str">
        <f t="shared" si="70"/>
        <v/>
      </c>
      <c r="C3517" s="33"/>
      <c r="E3517" s="60"/>
      <c r="F3517" s="18"/>
      <c r="H3517" s="49"/>
      <c r="I3517" s="49"/>
      <c r="M3517" s="53"/>
    </row>
    <row r="3518" spans="1:13" x14ac:dyDescent="0.25">
      <c r="A3518" s="21" t="str">
        <f>IF(C3518="","",COUNTA($C$3:C3518))</f>
        <v/>
      </c>
      <c r="B3518" s="35" t="str">
        <f t="shared" si="70"/>
        <v/>
      </c>
      <c r="C3518" s="33"/>
      <c r="E3518" s="60"/>
      <c r="F3518" s="18"/>
      <c r="H3518" s="49"/>
      <c r="I3518" s="49"/>
      <c r="M3518" s="53"/>
    </row>
    <row r="3519" spans="1:13" x14ac:dyDescent="0.25">
      <c r="A3519" s="21" t="str">
        <f>IF(C3519="","",COUNTA($C$3:C3519))</f>
        <v/>
      </c>
      <c r="B3519" s="35" t="str">
        <f t="shared" si="70"/>
        <v/>
      </c>
      <c r="C3519" s="33"/>
      <c r="E3519" s="60"/>
      <c r="F3519" s="18"/>
      <c r="H3519" s="49"/>
      <c r="I3519" s="49"/>
      <c r="M3519" s="53"/>
    </row>
    <row r="3520" spans="1:13" x14ac:dyDescent="0.25">
      <c r="A3520" s="21" t="str">
        <f>IF(C3520="","",COUNTA($C$3:C3520))</f>
        <v/>
      </c>
      <c r="B3520" s="35" t="str">
        <f t="shared" si="70"/>
        <v/>
      </c>
      <c r="C3520" s="33"/>
      <c r="E3520" s="60"/>
      <c r="F3520" s="18"/>
      <c r="H3520" s="49"/>
      <c r="I3520" s="49"/>
      <c r="M3520" s="53"/>
    </row>
    <row r="3521" spans="1:13" x14ac:dyDescent="0.25">
      <c r="A3521" s="21" t="str">
        <f>IF(C3521="","",COUNTA($C$3:C3521))</f>
        <v/>
      </c>
      <c r="B3521" s="35" t="str">
        <f t="shared" si="70"/>
        <v/>
      </c>
      <c r="C3521" s="33"/>
      <c r="E3521" s="60"/>
      <c r="F3521" s="18"/>
      <c r="H3521" s="49"/>
      <c r="I3521" s="49"/>
      <c r="M3521" s="53"/>
    </row>
    <row r="3522" spans="1:13" x14ac:dyDescent="0.25">
      <c r="A3522" s="21" t="str">
        <f>IF(C3522="","",COUNTA($C$3:C3522))</f>
        <v/>
      </c>
      <c r="B3522" s="35" t="str">
        <f t="shared" si="70"/>
        <v/>
      </c>
      <c r="C3522" s="33"/>
      <c r="E3522" s="60"/>
      <c r="F3522" s="18"/>
      <c r="H3522" s="49"/>
      <c r="I3522" s="49"/>
      <c r="M3522" s="53"/>
    </row>
    <row r="3523" spans="1:13" x14ac:dyDescent="0.25">
      <c r="A3523" s="21" t="str">
        <f>IF(C3523="","",COUNTA($C$3:C3523))</f>
        <v/>
      </c>
      <c r="B3523" s="35" t="str">
        <f t="shared" si="70"/>
        <v/>
      </c>
      <c r="C3523" s="33"/>
      <c r="E3523" s="60"/>
      <c r="F3523" s="18"/>
      <c r="H3523" s="49"/>
      <c r="I3523" s="49"/>
      <c r="M3523" s="53"/>
    </row>
    <row r="3524" spans="1:13" x14ac:dyDescent="0.25">
      <c r="A3524" s="21" t="str">
        <f>IF(C3524="","",COUNTA($C$3:C3524))</f>
        <v/>
      </c>
      <c r="B3524" s="35" t="str">
        <f t="shared" si="70"/>
        <v/>
      </c>
      <c r="C3524" s="33"/>
      <c r="E3524" s="60"/>
      <c r="F3524" s="18"/>
      <c r="H3524" s="49"/>
      <c r="I3524" s="49"/>
      <c r="M3524" s="53"/>
    </row>
    <row r="3525" spans="1:13" x14ac:dyDescent="0.25">
      <c r="A3525" s="21" t="str">
        <f>IF(C3525="","",COUNTA($C$3:C3525))</f>
        <v/>
      </c>
      <c r="B3525" s="35" t="str">
        <f t="shared" ref="B3525:B3588" si="71">IF(C3525="","",TEXT(C3525,"mmmm"))</f>
        <v/>
      </c>
      <c r="C3525" s="33"/>
      <c r="E3525" s="60"/>
      <c r="F3525" s="18"/>
      <c r="H3525" s="49"/>
      <c r="I3525" s="49"/>
      <c r="M3525" s="53"/>
    </row>
    <row r="3526" spans="1:13" x14ac:dyDescent="0.25">
      <c r="A3526" s="21" t="str">
        <f>IF(C3526="","",COUNTA($C$3:C3526))</f>
        <v/>
      </c>
      <c r="B3526" s="35" t="str">
        <f t="shared" si="71"/>
        <v/>
      </c>
      <c r="C3526" s="33"/>
      <c r="E3526" s="60"/>
      <c r="F3526" s="18"/>
      <c r="H3526" s="49"/>
      <c r="I3526" s="49"/>
      <c r="M3526" s="53"/>
    </row>
    <row r="3527" spans="1:13" x14ac:dyDescent="0.25">
      <c r="A3527" s="21" t="str">
        <f>IF(C3527="","",COUNTA($C$3:C3527))</f>
        <v/>
      </c>
      <c r="B3527" s="35" t="str">
        <f t="shared" si="71"/>
        <v/>
      </c>
      <c r="C3527" s="33"/>
      <c r="E3527" s="60"/>
      <c r="F3527" s="18"/>
      <c r="H3527" s="49"/>
      <c r="I3527" s="49"/>
      <c r="M3527" s="53"/>
    </row>
    <row r="3528" spans="1:13" x14ac:dyDescent="0.25">
      <c r="A3528" s="21" t="str">
        <f>IF(C3528="","",COUNTA($C$3:C3528))</f>
        <v/>
      </c>
      <c r="B3528" s="35" t="str">
        <f t="shared" si="71"/>
        <v/>
      </c>
      <c r="C3528" s="33"/>
      <c r="E3528" s="60"/>
      <c r="F3528" s="18"/>
      <c r="H3528" s="49"/>
      <c r="I3528" s="49"/>
      <c r="K3528" s="55"/>
      <c r="M3528" s="53"/>
    </row>
    <row r="3529" spans="1:13" x14ac:dyDescent="0.25">
      <c r="A3529" s="21" t="str">
        <f>IF(C3529="","",COUNTA($C$3:C3529))</f>
        <v/>
      </c>
      <c r="B3529" s="35" t="str">
        <f t="shared" si="71"/>
        <v/>
      </c>
      <c r="C3529" s="33"/>
      <c r="E3529" s="60"/>
      <c r="F3529" s="18"/>
      <c r="H3529" s="49"/>
      <c r="I3529" s="49"/>
      <c r="M3529" s="53"/>
    </row>
    <row r="3530" spans="1:13" x14ac:dyDescent="0.25">
      <c r="A3530" s="21" t="str">
        <f>IF(C3530="","",COUNTA($C$3:C3530))</f>
        <v/>
      </c>
      <c r="B3530" s="35" t="str">
        <f t="shared" si="71"/>
        <v/>
      </c>
      <c r="C3530" s="33"/>
      <c r="E3530" s="60"/>
      <c r="F3530" s="18"/>
      <c r="H3530" s="49"/>
      <c r="I3530" s="49"/>
      <c r="M3530" s="53"/>
    </row>
    <row r="3531" spans="1:13" x14ac:dyDescent="0.25">
      <c r="A3531" s="21" t="str">
        <f>IF(C3531="","",COUNTA($C$3:C3531))</f>
        <v/>
      </c>
      <c r="B3531" s="35" t="str">
        <f t="shared" si="71"/>
        <v/>
      </c>
      <c r="C3531" s="33"/>
      <c r="E3531" s="60"/>
      <c r="F3531" s="18"/>
      <c r="H3531" s="49"/>
      <c r="I3531" s="49"/>
      <c r="M3531" s="53"/>
    </row>
    <row r="3532" spans="1:13" x14ac:dyDescent="0.25">
      <c r="A3532" s="21" t="str">
        <f>IF(C3532="","",COUNTA($C$3:C3532))</f>
        <v/>
      </c>
      <c r="B3532" s="35" t="str">
        <f t="shared" si="71"/>
        <v/>
      </c>
      <c r="C3532" s="33"/>
      <c r="E3532" s="60"/>
      <c r="F3532" s="18"/>
      <c r="H3532" s="49"/>
      <c r="I3532" s="49"/>
      <c r="M3532" s="53"/>
    </row>
    <row r="3533" spans="1:13" x14ac:dyDescent="0.25">
      <c r="A3533" s="21" t="str">
        <f>IF(C3533="","",COUNTA($C$3:C3533))</f>
        <v/>
      </c>
      <c r="B3533" s="35" t="str">
        <f t="shared" si="71"/>
        <v/>
      </c>
      <c r="C3533" s="33"/>
      <c r="E3533" s="60"/>
      <c r="F3533" s="18"/>
      <c r="H3533" s="49"/>
      <c r="I3533" s="49"/>
      <c r="M3533" s="53"/>
    </row>
    <row r="3534" spans="1:13" x14ac:dyDescent="0.25">
      <c r="A3534" s="21" t="str">
        <f>IF(C3534="","",COUNTA($C$3:C3534))</f>
        <v/>
      </c>
      <c r="B3534" s="35" t="str">
        <f t="shared" si="71"/>
        <v/>
      </c>
      <c r="C3534" s="33"/>
      <c r="E3534" s="60"/>
      <c r="F3534" s="18"/>
      <c r="H3534" s="49"/>
      <c r="I3534" s="49"/>
      <c r="M3534" s="53"/>
    </row>
    <row r="3535" spans="1:13" x14ac:dyDescent="0.25">
      <c r="A3535" s="21" t="str">
        <f>IF(C3535="","",COUNTA($C$3:C3535))</f>
        <v/>
      </c>
      <c r="B3535" s="35" t="str">
        <f t="shared" si="71"/>
        <v/>
      </c>
      <c r="C3535" s="33"/>
      <c r="E3535" s="60"/>
      <c r="F3535" s="18"/>
      <c r="H3535" s="49"/>
      <c r="I3535" s="49"/>
      <c r="M3535" s="53"/>
    </row>
    <row r="3536" spans="1:13" x14ac:dyDescent="0.25">
      <c r="A3536" s="21" t="str">
        <f>IF(C3536="","",COUNTA($C$3:C3536))</f>
        <v/>
      </c>
      <c r="B3536" s="35" t="str">
        <f t="shared" si="71"/>
        <v/>
      </c>
      <c r="C3536" s="33"/>
      <c r="E3536" s="60"/>
      <c r="F3536" s="18"/>
      <c r="H3536" s="49"/>
      <c r="I3536" s="49"/>
      <c r="M3536" s="53"/>
    </row>
    <row r="3537" spans="1:13" x14ac:dyDescent="0.25">
      <c r="A3537" s="21" t="str">
        <f>IF(C3537="","",COUNTA($C$3:C3537))</f>
        <v/>
      </c>
      <c r="B3537" s="35" t="str">
        <f t="shared" si="71"/>
        <v/>
      </c>
      <c r="C3537" s="33"/>
      <c r="E3537" s="60"/>
      <c r="F3537" s="18"/>
      <c r="H3537" s="49"/>
      <c r="I3537" s="49"/>
      <c r="M3537" s="53"/>
    </row>
    <row r="3538" spans="1:13" x14ac:dyDescent="0.25">
      <c r="A3538" s="21" t="str">
        <f>IF(C3538="","",COUNTA($C$3:C3538))</f>
        <v/>
      </c>
      <c r="B3538" s="35" t="str">
        <f t="shared" si="71"/>
        <v/>
      </c>
      <c r="C3538" s="33"/>
      <c r="E3538" s="60"/>
      <c r="F3538" s="18"/>
      <c r="H3538" s="49"/>
      <c r="I3538" s="49"/>
      <c r="M3538" s="53"/>
    </row>
    <row r="3539" spans="1:13" x14ac:dyDescent="0.25">
      <c r="A3539" s="21" t="str">
        <f>IF(C3539="","",COUNTA($C$3:C3539))</f>
        <v/>
      </c>
      <c r="B3539" s="35" t="str">
        <f t="shared" si="71"/>
        <v/>
      </c>
      <c r="C3539" s="33"/>
      <c r="E3539" s="60"/>
      <c r="F3539" s="18"/>
      <c r="H3539" s="49"/>
      <c r="I3539" s="49"/>
      <c r="M3539" s="53"/>
    </row>
    <row r="3540" spans="1:13" x14ac:dyDescent="0.25">
      <c r="A3540" s="21" t="str">
        <f>IF(C3540="","",COUNTA($C$3:C3540))</f>
        <v/>
      </c>
      <c r="B3540" s="35" t="str">
        <f t="shared" si="71"/>
        <v/>
      </c>
      <c r="C3540" s="33"/>
      <c r="E3540" s="60"/>
      <c r="F3540" s="18"/>
      <c r="H3540" s="49"/>
      <c r="I3540" s="49"/>
      <c r="M3540" s="53"/>
    </row>
    <row r="3541" spans="1:13" x14ac:dyDescent="0.25">
      <c r="A3541" s="21" t="str">
        <f>IF(C3541="","",COUNTA($C$3:C3541))</f>
        <v/>
      </c>
      <c r="B3541" s="35" t="str">
        <f t="shared" si="71"/>
        <v/>
      </c>
      <c r="C3541" s="33"/>
      <c r="E3541" s="60"/>
      <c r="F3541" s="18"/>
      <c r="H3541" s="49"/>
      <c r="I3541" s="49"/>
      <c r="M3541" s="53"/>
    </row>
    <row r="3542" spans="1:13" x14ac:dyDescent="0.25">
      <c r="A3542" s="21" t="str">
        <f>IF(C3542="","",COUNTA($C$3:C3542))</f>
        <v/>
      </c>
      <c r="B3542" s="35" t="str">
        <f t="shared" si="71"/>
        <v/>
      </c>
      <c r="C3542" s="33"/>
      <c r="E3542" s="60"/>
      <c r="F3542" s="18"/>
      <c r="H3542" s="49"/>
      <c r="I3542" s="49"/>
      <c r="M3542" s="53"/>
    </row>
    <row r="3543" spans="1:13" x14ac:dyDescent="0.25">
      <c r="A3543" s="21" t="str">
        <f>IF(C3543="","",COUNTA($C$3:C3543))</f>
        <v/>
      </c>
      <c r="B3543" s="35" t="str">
        <f t="shared" si="71"/>
        <v/>
      </c>
      <c r="C3543" s="33"/>
      <c r="E3543" s="60"/>
      <c r="F3543" s="18"/>
      <c r="H3543" s="49"/>
      <c r="I3543" s="49"/>
      <c r="M3543" s="53"/>
    </row>
    <row r="3544" spans="1:13" x14ac:dyDescent="0.25">
      <c r="A3544" s="21" t="str">
        <f>IF(C3544="","",COUNTA($C$3:C3544))</f>
        <v/>
      </c>
      <c r="B3544" s="35" t="str">
        <f t="shared" si="71"/>
        <v/>
      </c>
      <c r="C3544" s="33"/>
      <c r="E3544" s="60"/>
      <c r="F3544" s="18"/>
      <c r="H3544" s="49"/>
      <c r="I3544" s="49"/>
      <c r="M3544" s="53"/>
    </row>
    <row r="3545" spans="1:13" x14ac:dyDescent="0.25">
      <c r="A3545" s="21" t="str">
        <f>IF(C3545="","",COUNTA($C$3:C3545))</f>
        <v/>
      </c>
      <c r="B3545" s="35" t="str">
        <f t="shared" si="71"/>
        <v/>
      </c>
      <c r="C3545" s="33"/>
      <c r="E3545" s="60"/>
      <c r="F3545" s="18"/>
      <c r="H3545" s="49"/>
      <c r="I3545" s="49"/>
      <c r="M3545" s="53"/>
    </row>
    <row r="3546" spans="1:13" x14ac:dyDescent="0.25">
      <c r="A3546" s="21" t="str">
        <f>IF(C3546="","",COUNTA($C$3:C3546))</f>
        <v/>
      </c>
      <c r="B3546" s="35" t="str">
        <f t="shared" si="71"/>
        <v/>
      </c>
      <c r="C3546" s="33"/>
      <c r="E3546" s="60"/>
      <c r="F3546" s="18"/>
      <c r="H3546" s="49"/>
      <c r="I3546" s="49"/>
      <c r="M3546" s="53"/>
    </row>
    <row r="3547" spans="1:13" x14ac:dyDescent="0.25">
      <c r="A3547" s="21" t="str">
        <f>IF(C3547="","",COUNTA($C$3:C3547))</f>
        <v/>
      </c>
      <c r="B3547" s="35" t="str">
        <f t="shared" si="71"/>
        <v/>
      </c>
      <c r="C3547" s="33"/>
      <c r="E3547" s="60"/>
      <c r="F3547" s="18"/>
      <c r="H3547" s="49"/>
      <c r="I3547" s="49"/>
      <c r="M3547" s="53"/>
    </row>
    <row r="3548" spans="1:13" x14ac:dyDescent="0.25">
      <c r="A3548" s="21" t="str">
        <f>IF(C3548="","",COUNTA($C$3:C3548))</f>
        <v/>
      </c>
      <c r="B3548" s="35" t="str">
        <f t="shared" si="71"/>
        <v/>
      </c>
      <c r="C3548" s="33"/>
      <c r="E3548" s="60"/>
      <c r="F3548" s="18"/>
      <c r="H3548" s="49"/>
      <c r="I3548" s="49"/>
      <c r="M3548" s="53"/>
    </row>
    <row r="3549" spans="1:13" x14ac:dyDescent="0.25">
      <c r="A3549" s="21" t="str">
        <f>IF(C3549="","",COUNTA($C$3:C3549))</f>
        <v/>
      </c>
      <c r="B3549" s="35" t="str">
        <f t="shared" si="71"/>
        <v/>
      </c>
      <c r="C3549" s="33"/>
      <c r="E3549" s="60"/>
      <c r="F3549" s="18"/>
      <c r="H3549" s="49"/>
      <c r="I3549" s="49"/>
      <c r="M3549" s="53"/>
    </row>
    <row r="3550" spans="1:13" x14ac:dyDescent="0.25">
      <c r="A3550" s="21" t="str">
        <f>IF(C3550="","",COUNTA($C$3:C3550))</f>
        <v/>
      </c>
      <c r="B3550" s="35" t="str">
        <f t="shared" si="71"/>
        <v/>
      </c>
      <c r="C3550" s="33"/>
      <c r="E3550" s="60"/>
      <c r="F3550" s="18"/>
      <c r="H3550" s="49"/>
      <c r="I3550" s="49"/>
      <c r="M3550" s="53"/>
    </row>
    <row r="3551" spans="1:13" x14ac:dyDescent="0.25">
      <c r="A3551" s="21" t="str">
        <f>IF(C3551="","",COUNTA($C$3:C3551))</f>
        <v/>
      </c>
      <c r="B3551" s="35" t="str">
        <f t="shared" si="71"/>
        <v/>
      </c>
      <c r="C3551" s="33"/>
      <c r="E3551" s="60"/>
      <c r="F3551" s="18"/>
      <c r="H3551" s="49"/>
      <c r="I3551" s="49"/>
      <c r="M3551" s="53"/>
    </row>
    <row r="3552" spans="1:13" x14ac:dyDescent="0.25">
      <c r="A3552" s="21" t="str">
        <f>IF(C3552="","",COUNTA($C$3:C3552))</f>
        <v/>
      </c>
      <c r="B3552" s="35" t="str">
        <f t="shared" si="71"/>
        <v/>
      </c>
      <c r="C3552" s="33"/>
      <c r="E3552" s="60"/>
      <c r="F3552" s="18"/>
      <c r="H3552" s="49"/>
      <c r="I3552" s="49"/>
      <c r="M3552" s="53"/>
    </row>
    <row r="3553" spans="1:17" x14ac:dyDescent="0.25">
      <c r="A3553" s="21" t="str">
        <f>IF(C3553="","",COUNTA($C$3:C3553))</f>
        <v/>
      </c>
      <c r="B3553" s="35" t="str">
        <f t="shared" si="71"/>
        <v/>
      </c>
      <c r="C3553" s="33"/>
      <c r="E3553" s="60"/>
      <c r="F3553" s="18"/>
      <c r="H3553" s="49"/>
      <c r="I3553" s="49"/>
      <c r="L3553" s="48"/>
      <c r="M3553" s="53"/>
    </row>
    <row r="3554" spans="1:17" x14ac:dyDescent="0.25">
      <c r="A3554" s="21" t="str">
        <f>IF(C3554="","",COUNTA($C$3:C3554))</f>
        <v/>
      </c>
      <c r="B3554" s="35" t="str">
        <f t="shared" si="71"/>
        <v/>
      </c>
      <c r="C3554" s="33"/>
      <c r="E3554" s="60"/>
      <c r="F3554" s="18"/>
      <c r="H3554" s="49"/>
      <c r="I3554" s="49"/>
      <c r="M3554" s="53"/>
    </row>
    <row r="3555" spans="1:17" x14ac:dyDescent="0.25">
      <c r="A3555" s="21" t="str">
        <f>IF(C3555="","",COUNTA($C$3:C3555))</f>
        <v/>
      </c>
      <c r="B3555" s="35" t="str">
        <f t="shared" si="71"/>
        <v/>
      </c>
      <c r="C3555" s="33"/>
      <c r="E3555" s="60"/>
      <c r="F3555" s="18"/>
      <c r="H3555" s="49"/>
      <c r="I3555" s="49"/>
      <c r="M3555" s="53"/>
    </row>
    <row r="3556" spans="1:17" x14ac:dyDescent="0.25">
      <c r="A3556" s="21" t="str">
        <f>IF(C3556="","",COUNTA($C$3:C3556))</f>
        <v/>
      </c>
      <c r="B3556" s="35" t="str">
        <f t="shared" si="71"/>
        <v/>
      </c>
      <c r="C3556" s="33"/>
      <c r="E3556" s="60"/>
      <c r="F3556" s="18"/>
      <c r="H3556" s="49"/>
      <c r="I3556" s="49"/>
      <c r="M3556" s="53"/>
    </row>
    <row r="3557" spans="1:17" x14ac:dyDescent="0.25">
      <c r="A3557" s="21" t="str">
        <f>IF(C3557="","",COUNTA($C$3:C3557))</f>
        <v/>
      </c>
      <c r="B3557" s="35" t="str">
        <f t="shared" si="71"/>
        <v/>
      </c>
      <c r="C3557" s="33"/>
      <c r="E3557" s="60"/>
      <c r="F3557" s="18"/>
      <c r="H3557" s="49"/>
      <c r="I3557" s="49"/>
      <c r="M3557" s="53"/>
      <c r="O3557" s="59"/>
      <c r="P3557" s="59"/>
      <c r="Q3557" s="59"/>
    </row>
    <row r="3558" spans="1:17" x14ac:dyDescent="0.25">
      <c r="A3558" s="21" t="str">
        <f>IF(C3558="","",COUNTA($C$3:C3558))</f>
        <v/>
      </c>
      <c r="B3558" s="35" t="str">
        <f t="shared" si="71"/>
        <v/>
      </c>
      <c r="C3558" s="33"/>
      <c r="E3558" s="60"/>
      <c r="F3558" s="18"/>
      <c r="H3558" s="49"/>
      <c r="I3558" s="49"/>
      <c r="M3558" s="53"/>
      <c r="O3558" s="59"/>
      <c r="P3558" s="59"/>
      <c r="Q3558" s="59"/>
    </row>
    <row r="3559" spans="1:17" x14ac:dyDescent="0.25">
      <c r="A3559" s="21" t="str">
        <f>IF(C3559="","",COUNTA($C$3:C3559))</f>
        <v/>
      </c>
      <c r="B3559" s="35" t="str">
        <f t="shared" si="71"/>
        <v/>
      </c>
      <c r="C3559" s="33"/>
      <c r="E3559" s="60"/>
      <c r="F3559" s="18"/>
      <c r="H3559" s="49"/>
      <c r="I3559" s="49"/>
      <c r="M3559" s="53"/>
      <c r="O3559" s="59"/>
      <c r="P3559" s="59"/>
      <c r="Q3559" s="59"/>
    </row>
    <row r="3560" spans="1:17" x14ac:dyDescent="0.25">
      <c r="A3560" s="21" t="str">
        <f>IF(C3560="","",COUNTA($C$3:C3560))</f>
        <v/>
      </c>
      <c r="B3560" s="35" t="str">
        <f t="shared" si="71"/>
        <v/>
      </c>
      <c r="C3560" s="33"/>
      <c r="E3560" s="60"/>
      <c r="F3560" s="18"/>
      <c r="H3560" s="49"/>
      <c r="I3560" s="49"/>
      <c r="M3560" s="53"/>
      <c r="O3560" s="59"/>
      <c r="P3560" s="69"/>
      <c r="Q3560" s="59"/>
    </row>
    <row r="3561" spans="1:17" x14ac:dyDescent="0.25">
      <c r="A3561" s="21" t="str">
        <f>IF(C3561="","",COUNTA($C$3:C3561))</f>
        <v/>
      </c>
      <c r="B3561" s="35" t="str">
        <f t="shared" si="71"/>
        <v/>
      </c>
      <c r="C3561" s="33"/>
      <c r="E3561" s="60"/>
      <c r="F3561" s="18"/>
      <c r="H3561" s="49"/>
      <c r="I3561" s="49"/>
      <c r="M3561" s="53"/>
      <c r="O3561" s="59"/>
      <c r="P3561" s="71"/>
      <c r="Q3561" s="59"/>
    </row>
    <row r="3562" spans="1:17" x14ac:dyDescent="0.25">
      <c r="A3562" s="21" t="str">
        <f>IF(C3562="","",COUNTA($C$3:C3562))</f>
        <v/>
      </c>
      <c r="B3562" s="35" t="str">
        <f t="shared" si="71"/>
        <v/>
      </c>
      <c r="C3562" s="33"/>
      <c r="E3562" s="60"/>
      <c r="F3562" s="18"/>
      <c r="H3562" s="49"/>
      <c r="I3562" s="49"/>
      <c r="M3562" s="53"/>
      <c r="O3562" s="59"/>
      <c r="P3562" s="71"/>
      <c r="Q3562" s="59"/>
    </row>
    <row r="3563" spans="1:17" x14ac:dyDescent="0.25">
      <c r="A3563" s="21" t="str">
        <f>IF(C3563="","",COUNTA($C$3:C3563))</f>
        <v/>
      </c>
      <c r="B3563" s="35" t="str">
        <f t="shared" si="71"/>
        <v/>
      </c>
      <c r="C3563" s="33"/>
      <c r="E3563" s="60"/>
      <c r="F3563" s="18"/>
      <c r="H3563" s="49"/>
      <c r="I3563" s="49"/>
      <c r="L3563" s="48"/>
      <c r="M3563" s="53"/>
      <c r="O3563" s="59"/>
      <c r="P3563" s="69"/>
      <c r="Q3563" s="59"/>
    </row>
    <row r="3564" spans="1:17" x14ac:dyDescent="0.25">
      <c r="A3564" s="21" t="str">
        <f>IF(C3564="","",COUNTA($C$3:C3564))</f>
        <v/>
      </c>
      <c r="B3564" s="35" t="str">
        <f t="shared" si="71"/>
        <v/>
      </c>
      <c r="C3564" s="33"/>
      <c r="E3564" s="60"/>
      <c r="F3564" s="18"/>
      <c r="H3564" s="49"/>
      <c r="I3564" s="49"/>
      <c r="M3564" s="53"/>
    </row>
    <row r="3565" spans="1:17" x14ac:dyDescent="0.25">
      <c r="A3565" s="21" t="str">
        <f>IF(C3565="","",COUNTA($C$3:C3565))</f>
        <v/>
      </c>
      <c r="B3565" s="35" t="str">
        <f t="shared" si="71"/>
        <v/>
      </c>
      <c r="C3565" s="33"/>
      <c r="E3565" s="60"/>
      <c r="F3565" s="18"/>
      <c r="H3565" s="49"/>
      <c r="I3565" s="49"/>
      <c r="M3565" s="53"/>
    </row>
    <row r="3566" spans="1:17" x14ac:dyDescent="0.25">
      <c r="A3566" s="21" t="str">
        <f>IF(C3566="","",COUNTA($C$3:C3566))</f>
        <v/>
      </c>
      <c r="B3566" s="35" t="str">
        <f t="shared" si="71"/>
        <v/>
      </c>
      <c r="C3566" s="33"/>
      <c r="E3566" s="60"/>
      <c r="F3566" s="18"/>
      <c r="H3566" s="49"/>
      <c r="I3566" s="49"/>
      <c r="M3566" s="53"/>
    </row>
    <row r="3567" spans="1:17" x14ac:dyDescent="0.25">
      <c r="A3567" s="21" t="str">
        <f>IF(C3567="","",COUNTA($C$3:C3567))</f>
        <v/>
      </c>
      <c r="B3567" s="35" t="str">
        <f t="shared" si="71"/>
        <v/>
      </c>
      <c r="C3567" s="33"/>
      <c r="E3567" s="60"/>
      <c r="F3567" s="18"/>
      <c r="H3567" s="49"/>
      <c r="I3567" s="49"/>
      <c r="M3567" s="53"/>
    </row>
    <row r="3568" spans="1:17" x14ac:dyDescent="0.25">
      <c r="A3568" s="21" t="str">
        <f>IF(C3568="","",COUNTA($C$3:C3568))</f>
        <v/>
      </c>
      <c r="B3568" s="35" t="str">
        <f t="shared" si="71"/>
        <v/>
      </c>
      <c r="C3568" s="33"/>
      <c r="E3568" s="60"/>
      <c r="F3568" s="18"/>
      <c r="H3568" s="49"/>
      <c r="I3568" s="49"/>
      <c r="M3568" s="53"/>
    </row>
    <row r="3569" spans="1:17" x14ac:dyDescent="0.25">
      <c r="A3569" s="21" t="str">
        <f>IF(C3569="","",COUNTA($C$3:C3569))</f>
        <v/>
      </c>
      <c r="B3569" s="35" t="str">
        <f t="shared" si="71"/>
        <v/>
      </c>
      <c r="C3569" s="33"/>
      <c r="E3569" s="60"/>
      <c r="F3569" s="18"/>
      <c r="H3569" s="49"/>
      <c r="I3569" s="49"/>
      <c r="M3569" s="53"/>
    </row>
    <row r="3570" spans="1:17" x14ac:dyDescent="0.25">
      <c r="A3570" s="21" t="str">
        <f>IF(C3570="","",COUNTA($C$3:C3570))</f>
        <v/>
      </c>
      <c r="B3570" s="35" t="str">
        <f t="shared" si="71"/>
        <v/>
      </c>
      <c r="C3570" s="33"/>
      <c r="E3570" s="60"/>
      <c r="F3570" s="18"/>
      <c r="H3570" s="49"/>
      <c r="I3570" s="49"/>
      <c r="M3570" s="53"/>
    </row>
    <row r="3571" spans="1:17" x14ac:dyDescent="0.25">
      <c r="A3571" s="21" t="str">
        <f>IF(C3571="","",COUNTA($C$3:C3571))</f>
        <v/>
      </c>
      <c r="B3571" s="35" t="str">
        <f t="shared" si="71"/>
        <v/>
      </c>
      <c r="C3571" s="33"/>
      <c r="E3571" s="60"/>
      <c r="F3571" s="18"/>
      <c r="H3571" s="49"/>
      <c r="I3571" s="49"/>
      <c r="M3571" s="53"/>
    </row>
    <row r="3572" spans="1:17" x14ac:dyDescent="0.25">
      <c r="A3572" s="21" t="str">
        <f>IF(C3572="","",COUNTA($C$3:C3572))</f>
        <v/>
      </c>
      <c r="B3572" s="35" t="str">
        <f t="shared" si="71"/>
        <v/>
      </c>
      <c r="C3572" s="33"/>
      <c r="E3572" s="60"/>
      <c r="F3572" s="18"/>
      <c r="H3572" s="49"/>
      <c r="I3572" s="49"/>
      <c r="M3572" s="53"/>
    </row>
    <row r="3573" spans="1:17" x14ac:dyDescent="0.25">
      <c r="A3573" s="21" t="str">
        <f>IF(C3573="","",COUNTA($C$3:C3573))</f>
        <v/>
      </c>
      <c r="B3573" s="35" t="str">
        <f t="shared" si="71"/>
        <v/>
      </c>
      <c r="C3573" s="33"/>
      <c r="E3573" s="60"/>
      <c r="F3573" s="18"/>
      <c r="H3573" s="49"/>
      <c r="I3573" s="49"/>
      <c r="M3573" s="53"/>
    </row>
    <row r="3574" spans="1:17" x14ac:dyDescent="0.25">
      <c r="A3574" s="21" t="str">
        <f>IF(C3574="","",COUNTA($C$3:C3574))</f>
        <v/>
      </c>
      <c r="B3574" s="35" t="str">
        <f t="shared" si="71"/>
        <v/>
      </c>
      <c r="C3574" s="33"/>
      <c r="E3574" s="60"/>
      <c r="F3574" s="18"/>
      <c r="H3574" s="49"/>
      <c r="I3574" s="49"/>
      <c r="M3574" s="53"/>
    </row>
    <row r="3575" spans="1:17" x14ac:dyDescent="0.25">
      <c r="A3575" s="21" t="str">
        <f>IF(C3575="","",COUNTA($C$3:C3575))</f>
        <v/>
      </c>
      <c r="B3575" s="35" t="str">
        <f t="shared" si="71"/>
        <v/>
      </c>
      <c r="C3575" s="33"/>
      <c r="E3575" s="60"/>
      <c r="F3575" s="18"/>
      <c r="H3575" s="49"/>
      <c r="I3575" s="49"/>
      <c r="M3575" s="53"/>
    </row>
    <row r="3576" spans="1:17" x14ac:dyDescent="0.25">
      <c r="A3576" s="21" t="str">
        <f>IF(C3576="","",COUNTA($C$3:C3576))</f>
        <v/>
      </c>
      <c r="B3576" s="35" t="str">
        <f t="shared" si="71"/>
        <v/>
      </c>
      <c r="C3576" s="33"/>
      <c r="E3576" s="60"/>
      <c r="F3576" s="18"/>
      <c r="H3576" s="49"/>
      <c r="I3576" s="49"/>
      <c r="M3576" s="53"/>
    </row>
    <row r="3577" spans="1:17" x14ac:dyDescent="0.25">
      <c r="A3577" s="21" t="str">
        <f>IF(C3577="","",COUNTA($C$3:C3577))</f>
        <v/>
      </c>
      <c r="B3577" s="35" t="str">
        <f t="shared" si="71"/>
        <v/>
      </c>
      <c r="C3577" s="33"/>
      <c r="E3577" s="60"/>
      <c r="F3577" s="18"/>
      <c r="H3577" s="49"/>
      <c r="I3577" s="49"/>
      <c r="M3577" s="53"/>
    </row>
    <row r="3578" spans="1:17" x14ac:dyDescent="0.25">
      <c r="A3578" s="21" t="str">
        <f>IF(C3578="","",COUNTA($C$3:C3578))</f>
        <v/>
      </c>
      <c r="B3578" s="35" t="str">
        <f t="shared" si="71"/>
        <v/>
      </c>
      <c r="C3578" s="33"/>
      <c r="E3578" s="60"/>
      <c r="F3578" s="18"/>
      <c r="H3578" s="49"/>
      <c r="I3578" s="49"/>
      <c r="M3578" s="53"/>
    </row>
    <row r="3579" spans="1:17" x14ac:dyDescent="0.25">
      <c r="A3579" s="21" t="str">
        <f>IF(C3579="","",COUNTA($C$3:C3579))</f>
        <v/>
      </c>
      <c r="B3579" s="35" t="str">
        <f t="shared" si="71"/>
        <v/>
      </c>
      <c r="C3579" s="33"/>
      <c r="E3579" s="60"/>
      <c r="F3579" s="18"/>
      <c r="H3579" s="49"/>
      <c r="I3579" s="49"/>
      <c r="L3579" s="62"/>
      <c r="M3579" s="53"/>
    </row>
    <row r="3580" spans="1:17" x14ac:dyDescent="0.25">
      <c r="A3580" s="21" t="str">
        <f>IF(C3580="","",COUNTA($C$3:C3580))</f>
        <v/>
      </c>
      <c r="B3580" s="35" t="str">
        <f t="shared" si="71"/>
        <v/>
      </c>
      <c r="C3580" s="33"/>
      <c r="E3580" s="60"/>
      <c r="F3580" s="18"/>
      <c r="H3580" s="49"/>
      <c r="I3580" s="49"/>
      <c r="L3580" s="62"/>
      <c r="M3580" s="53"/>
      <c r="O3580" s="59"/>
      <c r="P3580" s="117"/>
      <c r="Q3580" s="59"/>
    </row>
    <row r="3581" spans="1:17" x14ac:dyDescent="0.25">
      <c r="A3581" s="21" t="str">
        <f>IF(C3581="","",COUNTA($C$3:C3581))</f>
        <v/>
      </c>
      <c r="B3581" s="35" t="str">
        <f t="shared" si="71"/>
        <v/>
      </c>
      <c r="C3581" s="33"/>
      <c r="E3581" s="60"/>
      <c r="F3581" s="18"/>
      <c r="H3581" s="49"/>
      <c r="I3581" s="49"/>
      <c r="L3581" s="62"/>
      <c r="M3581" s="53"/>
      <c r="O3581" s="59"/>
      <c r="P3581" s="69"/>
      <c r="Q3581" s="59"/>
    </row>
    <row r="3582" spans="1:17" x14ac:dyDescent="0.25">
      <c r="A3582" s="21" t="str">
        <f>IF(C3582="","",COUNTA($C$3:C3582))</f>
        <v/>
      </c>
      <c r="B3582" s="35" t="str">
        <f t="shared" si="71"/>
        <v/>
      </c>
      <c r="C3582" s="33"/>
      <c r="E3582" s="60"/>
      <c r="F3582" s="18"/>
      <c r="H3582" s="49"/>
      <c r="I3582" s="49"/>
      <c r="K3582" s="105"/>
      <c r="L3582" s="62"/>
      <c r="M3582" s="53"/>
    </row>
    <row r="3583" spans="1:17" x14ac:dyDescent="0.25">
      <c r="A3583" s="21" t="str">
        <f>IF(C3583="","",COUNTA($C$3:C3583))</f>
        <v/>
      </c>
      <c r="B3583" s="35" t="str">
        <f t="shared" si="71"/>
        <v/>
      </c>
      <c r="C3583" s="33"/>
      <c r="E3583" s="60"/>
      <c r="F3583" s="18"/>
      <c r="H3583" s="49"/>
      <c r="I3583" s="49"/>
      <c r="K3583" s="67"/>
      <c r="M3583" s="53"/>
    </row>
    <row r="3584" spans="1:17" x14ac:dyDescent="0.25">
      <c r="A3584" s="21" t="str">
        <f>IF(C3584="","",COUNTA($C$3:C3584))</f>
        <v/>
      </c>
      <c r="B3584" s="35" t="str">
        <f t="shared" si="71"/>
        <v/>
      </c>
      <c r="C3584" s="33"/>
      <c r="E3584" s="60"/>
      <c r="F3584" s="18"/>
      <c r="H3584" s="49"/>
      <c r="I3584" s="49"/>
      <c r="M3584" s="53"/>
    </row>
    <row r="3585" spans="1:17" x14ac:dyDescent="0.25">
      <c r="A3585" s="21" t="str">
        <f>IF(C3585="","",COUNTA($C$3:C3585))</f>
        <v/>
      </c>
      <c r="B3585" s="35" t="str">
        <f t="shared" si="71"/>
        <v/>
      </c>
      <c r="C3585" s="33"/>
      <c r="E3585" s="60"/>
      <c r="F3585" s="18"/>
      <c r="H3585" s="49"/>
      <c r="I3585" s="49"/>
      <c r="K3585" s="67"/>
      <c r="M3585" s="53"/>
    </row>
    <row r="3586" spans="1:17" x14ac:dyDescent="0.25">
      <c r="A3586" s="21" t="str">
        <f>IF(C3586="","",COUNTA($C$3:C3586))</f>
        <v/>
      </c>
      <c r="B3586" s="35" t="str">
        <f t="shared" si="71"/>
        <v/>
      </c>
      <c r="C3586" s="33"/>
      <c r="E3586" s="60"/>
      <c r="F3586" s="18"/>
      <c r="H3586" s="49"/>
      <c r="I3586" s="49"/>
      <c r="M3586" s="53"/>
    </row>
    <row r="3587" spans="1:17" x14ac:dyDescent="0.25">
      <c r="A3587" s="21" t="str">
        <f>IF(C3587="","",COUNTA($C$3:C3587))</f>
        <v/>
      </c>
      <c r="B3587" s="35" t="str">
        <f t="shared" si="71"/>
        <v/>
      </c>
      <c r="C3587" s="33"/>
      <c r="E3587" s="60"/>
      <c r="F3587" s="18"/>
      <c r="H3587" s="49"/>
      <c r="I3587" s="49"/>
      <c r="M3587" s="53"/>
    </row>
    <row r="3588" spans="1:17" x14ac:dyDescent="0.25">
      <c r="A3588" s="21" t="str">
        <f>IF(C3588="","",COUNTA($C$3:C3588))</f>
        <v/>
      </c>
      <c r="B3588" s="35" t="str">
        <f t="shared" si="71"/>
        <v/>
      </c>
      <c r="C3588" s="33"/>
      <c r="E3588" s="60"/>
      <c r="F3588" s="18"/>
      <c r="H3588" s="49"/>
      <c r="I3588" s="49"/>
      <c r="M3588" s="53"/>
    </row>
    <row r="3589" spans="1:17" x14ac:dyDescent="0.25">
      <c r="A3589" s="21" t="str">
        <f>IF(C3589="","",COUNTA($C$3:C3589))</f>
        <v/>
      </c>
      <c r="B3589" s="35" t="str">
        <f t="shared" ref="B3589:B3652" si="72">IF(C3589="","",TEXT(C3589,"mmmm"))</f>
        <v/>
      </c>
      <c r="C3589" s="33"/>
      <c r="E3589" s="60"/>
      <c r="F3589" s="18"/>
      <c r="H3589" s="49"/>
      <c r="I3589" s="49"/>
      <c r="M3589" s="53"/>
    </row>
    <row r="3590" spans="1:17" x14ac:dyDescent="0.25">
      <c r="A3590" s="21" t="str">
        <f>IF(C3590="","",COUNTA($C$3:C3590))</f>
        <v/>
      </c>
      <c r="B3590" s="35" t="str">
        <f t="shared" si="72"/>
        <v/>
      </c>
      <c r="C3590" s="33"/>
      <c r="E3590" s="60"/>
      <c r="F3590" s="18"/>
      <c r="H3590" s="49"/>
      <c r="I3590" s="49"/>
      <c r="M3590" s="53"/>
    </row>
    <row r="3591" spans="1:17" x14ac:dyDescent="0.25">
      <c r="A3591" s="21" t="str">
        <f>IF(C3591="","",COUNTA($C$3:C3591))</f>
        <v/>
      </c>
      <c r="B3591" s="35" t="str">
        <f t="shared" si="72"/>
        <v/>
      </c>
      <c r="C3591" s="33"/>
      <c r="E3591" s="60"/>
      <c r="F3591" s="18"/>
      <c r="H3591" s="49"/>
      <c r="I3591" s="49"/>
      <c r="M3591" s="53"/>
    </row>
    <row r="3592" spans="1:17" x14ac:dyDescent="0.25">
      <c r="A3592" s="21" t="str">
        <f>IF(C3592="","",COUNTA($C$3:C3592))</f>
        <v/>
      </c>
      <c r="B3592" s="35" t="str">
        <f t="shared" si="72"/>
        <v/>
      </c>
      <c r="C3592" s="33"/>
      <c r="E3592" s="60"/>
      <c r="F3592" s="18"/>
      <c r="H3592" s="49"/>
      <c r="I3592" s="49"/>
      <c r="M3592" s="53"/>
    </row>
    <row r="3593" spans="1:17" x14ac:dyDescent="0.25">
      <c r="A3593" s="21" t="str">
        <f>IF(C3593="","",COUNTA($C$3:C3593))</f>
        <v/>
      </c>
      <c r="B3593" s="35" t="str">
        <f t="shared" si="72"/>
        <v/>
      </c>
      <c r="C3593" s="33"/>
      <c r="E3593" s="60"/>
      <c r="F3593" s="18"/>
      <c r="H3593" s="49"/>
      <c r="I3593" s="49"/>
      <c r="M3593" s="53"/>
    </row>
    <row r="3594" spans="1:17" x14ac:dyDescent="0.25">
      <c r="A3594" s="21" t="str">
        <f>IF(C3594="","",COUNTA($C$3:C3594))</f>
        <v/>
      </c>
      <c r="B3594" s="35" t="str">
        <f t="shared" si="72"/>
        <v/>
      </c>
      <c r="C3594" s="33"/>
      <c r="E3594" s="60"/>
      <c r="F3594" s="18"/>
      <c r="H3594" s="49"/>
      <c r="I3594" s="49"/>
      <c r="M3594" s="53"/>
    </row>
    <row r="3595" spans="1:17" x14ac:dyDescent="0.25">
      <c r="A3595" s="21" t="str">
        <f>IF(C3595="","",COUNTA($C$3:C3595))</f>
        <v/>
      </c>
      <c r="B3595" s="35" t="str">
        <f t="shared" si="72"/>
        <v/>
      </c>
      <c r="C3595" s="33"/>
      <c r="E3595" s="60"/>
      <c r="F3595" s="18"/>
      <c r="H3595" s="49"/>
      <c r="I3595" s="49"/>
      <c r="M3595" s="53"/>
    </row>
    <row r="3596" spans="1:17" x14ac:dyDescent="0.25">
      <c r="A3596" s="21" t="str">
        <f>IF(C3596="","",COUNTA($C$3:C3596))</f>
        <v/>
      </c>
      <c r="B3596" s="35" t="str">
        <f t="shared" si="72"/>
        <v/>
      </c>
      <c r="C3596" s="33"/>
      <c r="E3596" s="60"/>
      <c r="F3596" s="18"/>
      <c r="H3596" s="49"/>
      <c r="I3596" s="49"/>
      <c r="M3596" s="53"/>
    </row>
    <row r="3597" spans="1:17" x14ac:dyDescent="0.25">
      <c r="A3597" s="21" t="str">
        <f>IF(C3597="","",COUNTA($C$3:C3597))</f>
        <v/>
      </c>
      <c r="B3597" s="35" t="str">
        <f t="shared" si="72"/>
        <v/>
      </c>
      <c r="C3597" s="33"/>
      <c r="E3597" s="60"/>
      <c r="F3597" s="18"/>
      <c r="H3597" s="49"/>
      <c r="I3597" s="49"/>
      <c r="M3597" s="53"/>
    </row>
    <row r="3598" spans="1:17" x14ac:dyDescent="0.25">
      <c r="A3598" s="21" t="str">
        <f>IF(C3598="","",COUNTA($C$3:C3598))</f>
        <v/>
      </c>
      <c r="B3598" s="35" t="str">
        <f t="shared" si="72"/>
        <v/>
      </c>
      <c r="C3598" s="33"/>
      <c r="E3598" s="60"/>
      <c r="F3598" s="18"/>
      <c r="H3598" s="49"/>
      <c r="I3598" s="49"/>
      <c r="K3598" s="55"/>
      <c r="M3598" s="53"/>
      <c r="O3598" s="59"/>
      <c r="P3598" s="112"/>
      <c r="Q3598" s="59"/>
    </row>
    <row r="3599" spans="1:17" x14ac:dyDescent="0.25">
      <c r="A3599" s="21" t="str">
        <f>IF(C3599="","",COUNTA($C$3:C3599))</f>
        <v/>
      </c>
      <c r="B3599" s="35" t="str">
        <f t="shared" si="72"/>
        <v/>
      </c>
      <c r="C3599" s="33"/>
      <c r="E3599" s="60"/>
      <c r="F3599" s="18"/>
      <c r="H3599" s="49"/>
      <c r="I3599" s="49"/>
      <c r="M3599" s="53"/>
    </row>
    <row r="3600" spans="1:17" x14ac:dyDescent="0.25">
      <c r="A3600" s="21" t="str">
        <f>IF(C3600="","",COUNTA($C$3:C3600))</f>
        <v/>
      </c>
      <c r="B3600" s="35" t="str">
        <f t="shared" si="72"/>
        <v/>
      </c>
      <c r="C3600" s="33"/>
      <c r="E3600" s="60"/>
      <c r="F3600" s="18"/>
      <c r="H3600" s="49"/>
      <c r="I3600" s="49"/>
      <c r="M3600" s="53"/>
    </row>
    <row r="3601" spans="1:13" x14ac:dyDescent="0.25">
      <c r="A3601" s="21" t="str">
        <f>IF(C3601="","",COUNTA($C$3:C3601))</f>
        <v/>
      </c>
      <c r="B3601" s="35" t="str">
        <f t="shared" si="72"/>
        <v/>
      </c>
      <c r="C3601" s="33"/>
      <c r="E3601" s="60"/>
      <c r="F3601" s="18"/>
      <c r="H3601" s="49"/>
      <c r="I3601" s="49"/>
      <c r="M3601" s="53"/>
    </row>
    <row r="3602" spans="1:13" x14ac:dyDescent="0.25">
      <c r="A3602" s="21" t="str">
        <f>IF(C3602="","",COUNTA($C$3:C3602))</f>
        <v/>
      </c>
      <c r="B3602" s="35" t="str">
        <f t="shared" si="72"/>
        <v/>
      </c>
      <c r="C3602" s="33"/>
      <c r="E3602" s="60"/>
      <c r="F3602" s="18"/>
      <c r="G3602" s="18"/>
      <c r="H3602" s="49"/>
      <c r="I3602" s="49"/>
      <c r="M3602" s="53"/>
    </row>
    <row r="3603" spans="1:13" x14ac:dyDescent="0.25">
      <c r="A3603" s="21" t="str">
        <f>IF(C3603="","",COUNTA($C$3:C3603))</f>
        <v/>
      </c>
      <c r="B3603" s="35" t="str">
        <f t="shared" si="72"/>
        <v/>
      </c>
      <c r="C3603" s="33"/>
      <c r="E3603" s="60"/>
      <c r="F3603" s="18"/>
      <c r="H3603" s="49"/>
      <c r="I3603" s="49"/>
      <c r="M3603" s="53"/>
    </row>
    <row r="3604" spans="1:13" x14ac:dyDescent="0.25">
      <c r="A3604" s="21" t="str">
        <f>IF(C3604="","",COUNTA($C$3:C3604))</f>
        <v/>
      </c>
      <c r="B3604" s="35" t="str">
        <f t="shared" si="72"/>
        <v/>
      </c>
      <c r="C3604" s="33"/>
      <c r="E3604" s="60"/>
      <c r="F3604" s="18"/>
      <c r="H3604" s="49"/>
      <c r="I3604" s="49"/>
      <c r="M3604" s="53"/>
    </row>
    <row r="3605" spans="1:13" x14ac:dyDescent="0.25">
      <c r="A3605" s="21" t="str">
        <f>IF(C3605="","",COUNTA($C$3:C3605))</f>
        <v/>
      </c>
      <c r="B3605" s="35" t="str">
        <f t="shared" si="72"/>
        <v/>
      </c>
      <c r="C3605" s="33"/>
      <c r="E3605" s="60"/>
      <c r="F3605" s="18"/>
      <c r="H3605" s="49"/>
      <c r="I3605" s="49"/>
      <c r="M3605" s="53"/>
    </row>
    <row r="3606" spans="1:13" x14ac:dyDescent="0.25">
      <c r="A3606" s="21" t="str">
        <f>IF(C3606="","",COUNTA($C$3:C3606))</f>
        <v/>
      </c>
      <c r="B3606" s="35" t="str">
        <f t="shared" si="72"/>
        <v/>
      </c>
      <c r="C3606" s="33"/>
      <c r="E3606" s="60"/>
      <c r="F3606" s="18"/>
      <c r="H3606" s="49"/>
      <c r="I3606" s="49"/>
      <c r="M3606" s="53"/>
    </row>
    <row r="3607" spans="1:13" x14ac:dyDescent="0.25">
      <c r="A3607" s="21" t="str">
        <f>IF(C3607="","",COUNTA($C$3:C3607))</f>
        <v/>
      </c>
      <c r="B3607" s="35" t="str">
        <f t="shared" si="72"/>
        <v/>
      </c>
      <c r="C3607" s="33"/>
      <c r="E3607" s="60"/>
      <c r="F3607" s="18"/>
      <c r="H3607" s="49"/>
      <c r="I3607" s="49"/>
      <c r="M3607" s="53"/>
    </row>
    <row r="3608" spans="1:13" x14ac:dyDescent="0.25">
      <c r="A3608" s="21" t="str">
        <f>IF(C3608="","",COUNTA($C$3:C3608))</f>
        <v/>
      </c>
      <c r="B3608" s="35" t="str">
        <f t="shared" si="72"/>
        <v/>
      </c>
      <c r="C3608" s="33"/>
      <c r="E3608" s="60"/>
      <c r="F3608" s="18"/>
      <c r="H3608" s="49"/>
      <c r="I3608" s="49"/>
      <c r="M3608" s="53"/>
    </row>
    <row r="3609" spans="1:13" x14ac:dyDescent="0.25">
      <c r="A3609" s="21" t="str">
        <f>IF(C3609="","",COUNTA($C$3:C3609))</f>
        <v/>
      </c>
      <c r="B3609" s="35" t="str">
        <f t="shared" si="72"/>
        <v/>
      </c>
      <c r="C3609" s="33"/>
      <c r="E3609" s="60"/>
      <c r="F3609" s="18"/>
      <c r="H3609" s="49"/>
      <c r="I3609" s="49"/>
      <c r="M3609" s="53"/>
    </row>
    <row r="3610" spans="1:13" x14ac:dyDescent="0.25">
      <c r="A3610" s="21" t="str">
        <f>IF(C3610="","",COUNTA($C$3:C3610))</f>
        <v/>
      </c>
      <c r="B3610" s="35" t="str">
        <f t="shared" si="72"/>
        <v/>
      </c>
      <c r="C3610" s="33"/>
      <c r="E3610" s="60"/>
      <c r="F3610" s="18"/>
      <c r="H3610" s="49"/>
      <c r="I3610" s="49"/>
      <c r="M3610" s="53"/>
    </row>
    <row r="3611" spans="1:13" x14ac:dyDescent="0.25">
      <c r="A3611" s="21" t="str">
        <f>IF(C3611="","",COUNTA($C$3:C3611))</f>
        <v/>
      </c>
      <c r="B3611" s="35" t="str">
        <f t="shared" si="72"/>
        <v/>
      </c>
      <c r="C3611" s="33"/>
      <c r="E3611" s="60"/>
      <c r="F3611" s="18"/>
      <c r="H3611" s="49"/>
      <c r="I3611" s="49"/>
      <c r="M3611" s="53"/>
    </row>
    <row r="3612" spans="1:13" x14ac:dyDescent="0.25">
      <c r="A3612" s="21" t="str">
        <f>IF(C3612="","",COUNTA($C$3:C3612))</f>
        <v/>
      </c>
      <c r="B3612" s="35" t="str">
        <f t="shared" si="72"/>
        <v/>
      </c>
      <c r="C3612" s="33"/>
      <c r="E3612" s="60"/>
      <c r="F3612" s="18"/>
      <c r="H3612" s="49"/>
      <c r="I3612" s="49"/>
      <c r="M3612" s="53"/>
    </row>
    <row r="3613" spans="1:13" x14ac:dyDescent="0.25">
      <c r="A3613" s="21" t="str">
        <f>IF(C3613="","",COUNTA($C$3:C3613))</f>
        <v/>
      </c>
      <c r="B3613" s="35" t="str">
        <f t="shared" si="72"/>
        <v/>
      </c>
      <c r="C3613" s="33"/>
      <c r="E3613" s="60"/>
      <c r="F3613" s="18"/>
      <c r="H3613" s="49"/>
      <c r="I3613" s="49"/>
      <c r="M3613" s="53"/>
    </row>
    <row r="3614" spans="1:13" x14ac:dyDescent="0.25">
      <c r="A3614" s="21" t="str">
        <f>IF(C3614="","",COUNTA($C$3:C3614))</f>
        <v/>
      </c>
      <c r="B3614" s="35" t="str">
        <f t="shared" si="72"/>
        <v/>
      </c>
      <c r="C3614" s="33"/>
      <c r="E3614" s="60"/>
      <c r="F3614" s="18"/>
      <c r="H3614" s="49"/>
      <c r="I3614" s="49"/>
      <c r="M3614" s="53"/>
    </row>
    <row r="3615" spans="1:13" x14ac:dyDescent="0.25">
      <c r="A3615" s="21" t="str">
        <f>IF(C3615="","",COUNTA($C$3:C3615))</f>
        <v/>
      </c>
      <c r="B3615" s="35" t="str">
        <f t="shared" si="72"/>
        <v/>
      </c>
      <c r="C3615" s="33"/>
      <c r="E3615" s="60"/>
      <c r="F3615" s="18"/>
      <c r="H3615" s="49"/>
      <c r="I3615" s="49"/>
      <c r="M3615" s="53"/>
    </row>
    <row r="3616" spans="1:13" x14ac:dyDescent="0.25">
      <c r="A3616" s="21" t="str">
        <f>IF(C3616="","",COUNTA($C$3:C3616))</f>
        <v/>
      </c>
      <c r="B3616" s="35" t="str">
        <f t="shared" si="72"/>
        <v/>
      </c>
      <c r="C3616" s="33"/>
      <c r="E3616" s="60"/>
      <c r="F3616" s="18"/>
      <c r="H3616" s="49"/>
      <c r="I3616" s="49"/>
      <c r="M3616" s="53"/>
    </row>
    <row r="3617" spans="1:13" x14ac:dyDescent="0.25">
      <c r="A3617" s="21" t="str">
        <f>IF(C3617="","",COUNTA($C$3:C3617))</f>
        <v/>
      </c>
      <c r="B3617" s="35" t="str">
        <f t="shared" si="72"/>
        <v/>
      </c>
      <c r="C3617" s="33"/>
      <c r="E3617" s="60"/>
      <c r="F3617" s="18"/>
      <c r="H3617" s="49"/>
      <c r="I3617" s="49"/>
      <c r="M3617" s="53"/>
    </row>
    <row r="3618" spans="1:13" x14ac:dyDescent="0.25">
      <c r="A3618" s="21" t="str">
        <f>IF(C3618="","",COUNTA($C$3:C3618))</f>
        <v/>
      </c>
      <c r="B3618" s="35" t="str">
        <f t="shared" si="72"/>
        <v/>
      </c>
      <c r="C3618" s="33"/>
      <c r="E3618" s="60"/>
      <c r="F3618" s="18"/>
      <c r="H3618" s="49"/>
      <c r="I3618" s="49"/>
      <c r="M3618" s="53"/>
    </row>
    <row r="3619" spans="1:13" x14ac:dyDescent="0.25">
      <c r="A3619" s="21" t="str">
        <f>IF(C3619="","",COUNTA($C$3:C3619))</f>
        <v/>
      </c>
      <c r="B3619" s="35" t="str">
        <f t="shared" si="72"/>
        <v/>
      </c>
      <c r="C3619" s="33"/>
      <c r="E3619" s="60"/>
      <c r="F3619" s="18"/>
      <c r="H3619" s="49"/>
      <c r="I3619" s="49"/>
      <c r="M3619" s="53"/>
    </row>
    <row r="3620" spans="1:13" x14ac:dyDescent="0.25">
      <c r="A3620" s="21" t="str">
        <f>IF(C3620="","",COUNTA($C$3:C3620))</f>
        <v/>
      </c>
      <c r="B3620" s="35" t="str">
        <f t="shared" si="72"/>
        <v/>
      </c>
      <c r="C3620" s="33"/>
      <c r="E3620" s="60"/>
      <c r="F3620" s="18"/>
      <c r="H3620" s="49"/>
      <c r="I3620" s="49"/>
      <c r="M3620" s="53"/>
    </row>
    <row r="3621" spans="1:13" x14ac:dyDescent="0.25">
      <c r="A3621" s="21" t="str">
        <f>IF(C3621="","",COUNTA($C$3:C3621))</f>
        <v/>
      </c>
      <c r="B3621" s="35" t="str">
        <f t="shared" si="72"/>
        <v/>
      </c>
      <c r="C3621" s="33"/>
      <c r="E3621" s="60"/>
      <c r="F3621" s="18"/>
      <c r="H3621" s="49"/>
      <c r="I3621" s="49"/>
      <c r="M3621" s="53"/>
    </row>
    <row r="3622" spans="1:13" x14ac:dyDescent="0.25">
      <c r="A3622" s="21" t="str">
        <f>IF(C3622="","",COUNTA($C$3:C3622))</f>
        <v/>
      </c>
      <c r="B3622" s="35" t="str">
        <f t="shared" si="72"/>
        <v/>
      </c>
      <c r="C3622" s="33"/>
      <c r="E3622" s="60"/>
      <c r="F3622" s="18"/>
      <c r="H3622" s="49"/>
      <c r="I3622" s="49"/>
      <c r="M3622" s="53"/>
    </row>
    <row r="3623" spans="1:13" x14ac:dyDescent="0.25">
      <c r="A3623" s="21" t="str">
        <f>IF(C3623="","",COUNTA($C$3:C3623))</f>
        <v/>
      </c>
      <c r="B3623" s="35" t="str">
        <f t="shared" si="72"/>
        <v/>
      </c>
      <c r="C3623" s="33"/>
      <c r="E3623" s="60"/>
      <c r="F3623" s="18"/>
      <c r="H3623" s="49"/>
      <c r="I3623" s="49"/>
      <c r="M3623" s="53"/>
    </row>
    <row r="3624" spans="1:13" x14ac:dyDescent="0.25">
      <c r="A3624" s="21" t="str">
        <f>IF(C3624="","",COUNTA($C$3:C3624))</f>
        <v/>
      </c>
      <c r="B3624" s="35" t="str">
        <f t="shared" si="72"/>
        <v/>
      </c>
      <c r="C3624" s="33"/>
      <c r="E3624" s="60"/>
      <c r="F3624" s="18"/>
      <c r="H3624" s="49"/>
      <c r="I3624" s="49"/>
      <c r="M3624" s="53"/>
    </row>
    <row r="3625" spans="1:13" x14ac:dyDescent="0.25">
      <c r="A3625" s="21" t="str">
        <f>IF(C3625="","",COUNTA($C$3:C3625))</f>
        <v/>
      </c>
      <c r="B3625" s="35" t="str">
        <f t="shared" si="72"/>
        <v/>
      </c>
      <c r="C3625" s="33"/>
      <c r="E3625" s="60"/>
      <c r="F3625" s="18"/>
      <c r="H3625" s="49"/>
      <c r="I3625" s="49"/>
      <c r="M3625" s="53"/>
    </row>
    <row r="3626" spans="1:13" x14ac:dyDescent="0.25">
      <c r="A3626" s="21" t="str">
        <f>IF(C3626="","",COUNTA($C$3:C3626))</f>
        <v/>
      </c>
      <c r="B3626" s="35" t="str">
        <f t="shared" si="72"/>
        <v/>
      </c>
      <c r="C3626" s="33"/>
      <c r="E3626" s="60"/>
      <c r="F3626" s="18"/>
      <c r="H3626" s="49"/>
      <c r="I3626" s="49"/>
      <c r="M3626" s="53"/>
    </row>
    <row r="3627" spans="1:13" x14ac:dyDescent="0.25">
      <c r="A3627" s="21" t="str">
        <f>IF(C3627="","",COUNTA($C$3:C3627))</f>
        <v/>
      </c>
      <c r="B3627" s="35" t="str">
        <f t="shared" si="72"/>
        <v/>
      </c>
      <c r="C3627" s="33"/>
      <c r="E3627" s="60"/>
      <c r="F3627" s="18"/>
      <c r="H3627" s="49"/>
      <c r="I3627" s="49"/>
      <c r="M3627" s="53"/>
    </row>
    <row r="3628" spans="1:13" x14ac:dyDescent="0.25">
      <c r="A3628" s="21" t="str">
        <f>IF(C3628="","",COUNTA($C$3:C3628))</f>
        <v/>
      </c>
      <c r="B3628" s="35" t="str">
        <f t="shared" si="72"/>
        <v/>
      </c>
      <c r="C3628" s="33"/>
      <c r="E3628" s="60"/>
      <c r="F3628" s="18"/>
      <c r="H3628" s="49"/>
      <c r="I3628" s="49"/>
      <c r="M3628" s="53"/>
    </row>
    <row r="3629" spans="1:13" x14ac:dyDescent="0.25">
      <c r="A3629" s="21" t="str">
        <f>IF(C3629="","",COUNTA($C$3:C3629))</f>
        <v/>
      </c>
      <c r="B3629" s="35" t="str">
        <f t="shared" si="72"/>
        <v/>
      </c>
      <c r="C3629" s="33"/>
      <c r="E3629" s="60"/>
      <c r="F3629" s="18"/>
      <c r="H3629" s="49"/>
      <c r="I3629" s="49"/>
      <c r="M3629" s="53"/>
    </row>
    <row r="3630" spans="1:13" x14ac:dyDescent="0.25">
      <c r="A3630" s="21" t="str">
        <f>IF(C3630="","",COUNTA($C$3:C3630))</f>
        <v/>
      </c>
      <c r="B3630" s="35" t="str">
        <f t="shared" si="72"/>
        <v/>
      </c>
      <c r="C3630" s="33"/>
      <c r="E3630" s="60"/>
      <c r="F3630" s="18"/>
      <c r="H3630" s="49"/>
      <c r="I3630" s="49"/>
      <c r="M3630" s="53"/>
    </row>
    <row r="3631" spans="1:13" x14ac:dyDescent="0.25">
      <c r="A3631" s="21" t="str">
        <f>IF(C3631="","",COUNTA($C$3:C3631))</f>
        <v/>
      </c>
      <c r="B3631" s="35" t="str">
        <f t="shared" si="72"/>
        <v/>
      </c>
      <c r="C3631" s="33"/>
      <c r="E3631" s="60"/>
      <c r="F3631" s="18"/>
      <c r="H3631" s="49"/>
      <c r="I3631" s="49"/>
      <c r="M3631" s="53"/>
    </row>
    <row r="3632" spans="1:13" x14ac:dyDescent="0.25">
      <c r="A3632" s="21" t="str">
        <f>IF(C3632="","",COUNTA($C$3:C3632))</f>
        <v/>
      </c>
      <c r="B3632" s="35" t="str">
        <f t="shared" si="72"/>
        <v/>
      </c>
      <c r="C3632" s="33"/>
      <c r="E3632" s="60"/>
      <c r="F3632" s="18"/>
      <c r="H3632" s="49"/>
      <c r="I3632" s="49"/>
      <c r="M3632" s="53"/>
    </row>
    <row r="3633" spans="1:17" x14ac:dyDescent="0.25">
      <c r="A3633" s="21" t="str">
        <f>IF(C3633="","",COUNTA($C$3:C3633))</f>
        <v/>
      </c>
      <c r="B3633" s="35" t="str">
        <f t="shared" si="72"/>
        <v/>
      </c>
      <c r="C3633" s="33"/>
      <c r="E3633" s="60"/>
      <c r="F3633" s="18"/>
      <c r="H3633" s="49"/>
      <c r="I3633" s="76"/>
      <c r="M3633" s="53"/>
    </row>
    <row r="3634" spans="1:17" x14ac:dyDescent="0.25">
      <c r="A3634" s="21" t="str">
        <f>IF(C3634="","",COUNTA($C$3:C3634))</f>
        <v/>
      </c>
      <c r="B3634" s="35" t="str">
        <f t="shared" si="72"/>
        <v/>
      </c>
      <c r="C3634" s="33"/>
      <c r="E3634" s="60"/>
      <c r="F3634" s="18"/>
      <c r="H3634" s="49"/>
      <c r="I3634" s="49"/>
      <c r="M3634" s="53"/>
    </row>
    <row r="3635" spans="1:17" x14ac:dyDescent="0.25">
      <c r="A3635" s="21" t="str">
        <f>IF(C3635="","",COUNTA($C$3:C3635))</f>
        <v/>
      </c>
      <c r="B3635" s="35" t="str">
        <f t="shared" si="72"/>
        <v/>
      </c>
      <c r="C3635" s="33"/>
      <c r="E3635" s="60"/>
      <c r="F3635" s="18"/>
      <c r="H3635" s="49"/>
      <c r="I3635" s="49"/>
      <c r="M3635" s="53"/>
    </row>
    <row r="3636" spans="1:17" x14ac:dyDescent="0.25">
      <c r="A3636" s="21" t="str">
        <f>IF(C3636="","",COUNTA($C$3:C3636))</f>
        <v/>
      </c>
      <c r="B3636" s="35" t="str">
        <f t="shared" si="72"/>
        <v/>
      </c>
      <c r="C3636" s="33"/>
      <c r="E3636" s="60"/>
      <c r="F3636" s="18"/>
      <c r="H3636" s="49"/>
      <c r="I3636" s="49"/>
      <c r="M3636" s="53"/>
    </row>
    <row r="3637" spans="1:17" x14ac:dyDescent="0.25">
      <c r="A3637" s="21" t="str">
        <f>IF(C3637="","",COUNTA($C$3:C3637))</f>
        <v/>
      </c>
      <c r="B3637" s="35" t="str">
        <f t="shared" si="72"/>
        <v/>
      </c>
      <c r="C3637" s="33"/>
      <c r="E3637" s="60"/>
      <c r="F3637" s="18"/>
      <c r="H3637" s="49"/>
      <c r="I3637" s="49"/>
      <c r="M3637" s="53"/>
      <c r="O3637" s="59"/>
      <c r="P3637" s="114"/>
      <c r="Q3637" s="59"/>
    </row>
    <row r="3638" spans="1:17" x14ac:dyDescent="0.25">
      <c r="A3638" s="21" t="str">
        <f>IF(C3638="","",COUNTA($C$3:C3638))</f>
        <v/>
      </c>
      <c r="B3638" s="35" t="str">
        <f t="shared" si="72"/>
        <v/>
      </c>
      <c r="C3638" s="33"/>
      <c r="E3638" s="60"/>
      <c r="F3638" s="18"/>
      <c r="H3638" s="49"/>
      <c r="I3638" s="49"/>
      <c r="M3638" s="53"/>
      <c r="O3638" s="59"/>
      <c r="P3638" s="72"/>
      <c r="Q3638" s="59"/>
    </row>
    <row r="3639" spans="1:17" x14ac:dyDescent="0.25">
      <c r="A3639" s="21" t="str">
        <f>IF(C3639="","",COUNTA($C$3:C3639))</f>
        <v/>
      </c>
      <c r="B3639" s="35" t="str">
        <f t="shared" si="72"/>
        <v/>
      </c>
      <c r="C3639" s="33"/>
      <c r="E3639" s="60"/>
      <c r="F3639" s="18"/>
      <c r="H3639" s="49"/>
      <c r="I3639" s="49"/>
      <c r="M3639" s="53"/>
      <c r="O3639" s="59"/>
      <c r="P3639" s="72"/>
      <c r="Q3639" s="59"/>
    </row>
    <row r="3640" spans="1:17" x14ac:dyDescent="0.25">
      <c r="A3640" s="21" t="str">
        <f>IF(C3640="","",COUNTA($C$3:C3640))</f>
        <v/>
      </c>
      <c r="B3640" s="35" t="str">
        <f t="shared" si="72"/>
        <v/>
      </c>
      <c r="C3640" s="33"/>
      <c r="E3640" s="60"/>
      <c r="F3640" s="18"/>
      <c r="H3640" s="49"/>
      <c r="I3640" s="76"/>
      <c r="M3640" s="53"/>
      <c r="O3640" s="59"/>
      <c r="P3640" s="72"/>
      <c r="Q3640" s="59"/>
    </row>
    <row r="3641" spans="1:17" x14ac:dyDescent="0.25">
      <c r="A3641" s="21" t="str">
        <f>IF(C3641="","",COUNTA($C$3:C3641))</f>
        <v/>
      </c>
      <c r="B3641" s="35" t="str">
        <f t="shared" si="72"/>
        <v/>
      </c>
      <c r="C3641" s="33"/>
      <c r="E3641" s="60"/>
      <c r="F3641" s="18"/>
      <c r="H3641" s="49"/>
      <c r="I3641" s="49"/>
      <c r="M3641" s="53"/>
    </row>
    <row r="3642" spans="1:17" x14ac:dyDescent="0.25">
      <c r="A3642" s="21" t="str">
        <f>IF(C3642="","",COUNTA($C$3:C3642))</f>
        <v/>
      </c>
      <c r="B3642" s="35" t="str">
        <f t="shared" si="72"/>
        <v/>
      </c>
      <c r="C3642" s="33"/>
      <c r="E3642" s="60"/>
      <c r="F3642" s="18"/>
      <c r="H3642" s="49"/>
      <c r="I3642" s="49"/>
      <c r="M3642" s="53"/>
    </row>
    <row r="3643" spans="1:17" x14ac:dyDescent="0.25">
      <c r="A3643" s="21" t="str">
        <f>IF(C3643="","",COUNTA($C$3:C3643))</f>
        <v/>
      </c>
      <c r="B3643" s="35" t="str">
        <f t="shared" si="72"/>
        <v/>
      </c>
      <c r="C3643" s="33"/>
      <c r="E3643" s="60"/>
      <c r="F3643" s="18"/>
      <c r="H3643" s="49"/>
      <c r="I3643" s="49"/>
      <c r="M3643" s="53"/>
    </row>
    <row r="3644" spans="1:17" x14ac:dyDescent="0.25">
      <c r="A3644" s="21" t="str">
        <f>IF(C3644="","",COUNTA($C$3:C3644))</f>
        <v/>
      </c>
      <c r="B3644" s="35" t="str">
        <f t="shared" si="72"/>
        <v/>
      </c>
      <c r="C3644" s="33"/>
      <c r="E3644" s="60"/>
      <c r="F3644" s="18"/>
      <c r="H3644" s="49"/>
      <c r="I3644" s="49"/>
      <c r="M3644" s="53"/>
    </row>
    <row r="3645" spans="1:17" x14ac:dyDescent="0.25">
      <c r="A3645" s="21" t="str">
        <f>IF(C3645="","",COUNTA($C$3:C3645))</f>
        <v/>
      </c>
      <c r="B3645" s="35" t="str">
        <f t="shared" si="72"/>
        <v/>
      </c>
      <c r="C3645" s="33"/>
      <c r="E3645" s="60"/>
      <c r="F3645" s="18"/>
      <c r="H3645" s="49"/>
      <c r="I3645" s="49"/>
      <c r="M3645" s="53"/>
    </row>
    <row r="3646" spans="1:17" x14ac:dyDescent="0.25">
      <c r="A3646" s="21" t="str">
        <f>IF(C3646="","",COUNTA($C$3:C3646))</f>
        <v/>
      </c>
      <c r="B3646" s="35" t="str">
        <f t="shared" si="72"/>
        <v/>
      </c>
      <c r="C3646" s="33"/>
      <c r="E3646" s="60"/>
      <c r="F3646" s="18"/>
      <c r="H3646" s="49"/>
      <c r="I3646" s="49"/>
      <c r="M3646" s="53"/>
    </row>
    <row r="3647" spans="1:17" x14ac:dyDescent="0.25">
      <c r="A3647" s="21" t="str">
        <f>IF(C3647="","",COUNTA($C$3:C3647))</f>
        <v/>
      </c>
      <c r="B3647" s="35" t="str">
        <f t="shared" si="72"/>
        <v/>
      </c>
      <c r="C3647" s="33"/>
      <c r="E3647" s="60"/>
      <c r="F3647" s="18"/>
      <c r="H3647" s="49"/>
      <c r="I3647" s="49"/>
      <c r="M3647" s="53"/>
    </row>
    <row r="3648" spans="1:17" x14ac:dyDescent="0.25">
      <c r="A3648" s="21" t="str">
        <f>IF(C3648="","",COUNTA($C$3:C3648))</f>
        <v/>
      </c>
      <c r="B3648" s="35" t="str">
        <f t="shared" si="72"/>
        <v/>
      </c>
      <c r="C3648" s="33"/>
      <c r="E3648" s="60"/>
      <c r="F3648" s="18"/>
      <c r="H3648" s="49"/>
      <c r="I3648" s="49"/>
      <c r="M3648" s="53"/>
    </row>
    <row r="3649" spans="1:17" x14ac:dyDescent="0.25">
      <c r="A3649" s="21" t="str">
        <f>IF(C3649="","",COUNTA($C$3:C3649))</f>
        <v/>
      </c>
      <c r="B3649" s="35" t="str">
        <f t="shared" si="72"/>
        <v/>
      </c>
      <c r="C3649" s="33"/>
      <c r="E3649" s="60"/>
      <c r="F3649" s="18"/>
      <c r="H3649" s="49"/>
      <c r="I3649" s="49"/>
      <c r="M3649" s="53"/>
    </row>
    <row r="3650" spans="1:17" x14ac:dyDescent="0.25">
      <c r="A3650" s="21" t="str">
        <f>IF(C3650="","",COUNTA($C$3:C3650))</f>
        <v/>
      </c>
      <c r="B3650" s="35" t="str">
        <f t="shared" si="72"/>
        <v/>
      </c>
      <c r="C3650" s="33"/>
      <c r="E3650" s="60"/>
      <c r="F3650" s="18"/>
      <c r="H3650" s="49"/>
      <c r="I3650" s="49"/>
      <c r="M3650" s="53"/>
    </row>
    <row r="3651" spans="1:17" x14ac:dyDescent="0.25">
      <c r="A3651" s="21" t="str">
        <f>IF(C3651="","",COUNTA($C$3:C3651))</f>
        <v/>
      </c>
      <c r="B3651" s="35" t="str">
        <f t="shared" si="72"/>
        <v/>
      </c>
      <c r="C3651" s="33"/>
      <c r="E3651" s="60"/>
      <c r="F3651" s="18"/>
      <c r="H3651" s="49"/>
      <c r="I3651" s="49"/>
      <c r="M3651" s="53"/>
    </row>
    <row r="3652" spans="1:17" x14ac:dyDescent="0.25">
      <c r="A3652" s="21" t="str">
        <f>IF(C3652="","",COUNTA($C$3:C3652))</f>
        <v/>
      </c>
      <c r="B3652" s="35" t="str">
        <f t="shared" si="72"/>
        <v/>
      </c>
      <c r="C3652" s="33"/>
      <c r="E3652" s="60"/>
      <c r="F3652" s="18"/>
      <c r="H3652" s="49"/>
      <c r="I3652" s="49"/>
      <c r="M3652" s="53"/>
      <c r="O3652" s="59"/>
      <c r="P3652" s="59"/>
      <c r="Q3652" s="59"/>
    </row>
    <row r="3653" spans="1:17" x14ac:dyDescent="0.25">
      <c r="A3653" s="21" t="str">
        <f>IF(C3653="","",COUNTA($C$3:C3653))</f>
        <v/>
      </c>
      <c r="B3653" s="35" t="str">
        <f t="shared" ref="B3653:B3716" si="73">IF(C3653="","",TEXT(C3653,"mmmm"))</f>
        <v/>
      </c>
      <c r="C3653" s="33"/>
      <c r="E3653" s="60"/>
      <c r="F3653" s="18"/>
      <c r="H3653" s="49"/>
      <c r="I3653" s="49"/>
      <c r="M3653" s="53"/>
      <c r="O3653" s="59"/>
    </row>
    <row r="3654" spans="1:17" x14ac:dyDescent="0.25">
      <c r="A3654" s="21" t="str">
        <f>IF(C3654="","",COUNTA($C$3:C3654))</f>
        <v/>
      </c>
      <c r="B3654" s="35" t="str">
        <f t="shared" si="73"/>
        <v/>
      </c>
      <c r="C3654" s="33"/>
      <c r="E3654" s="60"/>
      <c r="F3654" s="18"/>
      <c r="H3654" s="49"/>
      <c r="I3654" s="49"/>
      <c r="L3654" s="53"/>
      <c r="M3654" s="53"/>
    </row>
    <row r="3655" spans="1:17" x14ac:dyDescent="0.25">
      <c r="A3655" s="21" t="str">
        <f>IF(C3655="","",COUNTA($C$3:C3655))</f>
        <v/>
      </c>
      <c r="B3655" s="35" t="str">
        <f t="shared" si="73"/>
        <v/>
      </c>
      <c r="C3655" s="33"/>
      <c r="E3655" s="60"/>
      <c r="F3655" s="18"/>
      <c r="H3655" s="49"/>
      <c r="I3655" s="49"/>
      <c r="L3655" s="53"/>
      <c r="M3655" s="53"/>
    </row>
    <row r="3656" spans="1:17" x14ac:dyDescent="0.25">
      <c r="A3656" s="21" t="str">
        <f>IF(C3656="","",COUNTA($C$3:C3656))</f>
        <v/>
      </c>
      <c r="B3656" s="35" t="str">
        <f t="shared" si="73"/>
        <v/>
      </c>
      <c r="C3656" s="33"/>
      <c r="E3656" s="60"/>
      <c r="F3656" s="18"/>
      <c r="H3656" s="49"/>
      <c r="I3656" s="49"/>
      <c r="M3656" s="53"/>
    </row>
    <row r="3657" spans="1:17" x14ac:dyDescent="0.25">
      <c r="A3657" s="21" t="str">
        <f>IF(C3657="","",COUNTA($C$3:C3657))</f>
        <v/>
      </c>
      <c r="B3657" s="35" t="str">
        <f t="shared" si="73"/>
        <v/>
      </c>
      <c r="C3657" s="33"/>
      <c r="E3657" s="60"/>
      <c r="F3657" s="18"/>
      <c r="H3657" s="49"/>
      <c r="I3657" s="49"/>
      <c r="L3657" s="62"/>
      <c r="M3657" s="53"/>
    </row>
    <row r="3658" spans="1:17" x14ac:dyDescent="0.25">
      <c r="A3658" s="21" t="str">
        <f>IF(C3658="","",COUNTA($C$3:C3658))</f>
        <v/>
      </c>
      <c r="B3658" s="35" t="str">
        <f t="shared" si="73"/>
        <v/>
      </c>
      <c r="C3658" s="33"/>
      <c r="E3658" s="60"/>
      <c r="F3658" s="18"/>
      <c r="H3658" s="49"/>
      <c r="I3658" s="49"/>
      <c r="M3658" s="53"/>
    </row>
    <row r="3659" spans="1:17" x14ac:dyDescent="0.25">
      <c r="A3659" s="21" t="str">
        <f>IF(C3659="","",COUNTA($C$3:C3659))</f>
        <v/>
      </c>
      <c r="B3659" s="35" t="str">
        <f t="shared" si="73"/>
        <v/>
      </c>
      <c r="C3659" s="33"/>
      <c r="E3659" s="60"/>
      <c r="F3659" s="18"/>
      <c r="H3659" s="49"/>
      <c r="I3659" s="49"/>
      <c r="M3659" s="53"/>
    </row>
    <row r="3660" spans="1:17" x14ac:dyDescent="0.25">
      <c r="A3660" s="21" t="str">
        <f>IF(C3660="","",COUNTA($C$3:C3660))</f>
        <v/>
      </c>
      <c r="B3660" s="35" t="str">
        <f t="shared" si="73"/>
        <v/>
      </c>
      <c r="C3660" s="33"/>
      <c r="E3660" s="60"/>
      <c r="F3660" s="18"/>
      <c r="H3660" s="49"/>
      <c r="I3660" s="49"/>
      <c r="M3660" s="53"/>
    </row>
    <row r="3661" spans="1:17" x14ac:dyDescent="0.25">
      <c r="A3661" s="21" t="str">
        <f>IF(C3661="","",COUNTA($C$3:C3661))</f>
        <v/>
      </c>
      <c r="B3661" s="35" t="str">
        <f t="shared" si="73"/>
        <v/>
      </c>
      <c r="C3661" s="33"/>
      <c r="E3661" s="60"/>
      <c r="F3661" s="18"/>
      <c r="H3661" s="49"/>
      <c r="I3661" s="49"/>
      <c r="M3661" s="53"/>
    </row>
    <row r="3662" spans="1:17" x14ac:dyDescent="0.25">
      <c r="A3662" s="21" t="str">
        <f>IF(C3662="","",COUNTA($C$3:C3662))</f>
        <v/>
      </c>
      <c r="B3662" s="35" t="str">
        <f t="shared" si="73"/>
        <v/>
      </c>
      <c r="C3662" s="33"/>
      <c r="E3662" s="60"/>
      <c r="F3662" s="18"/>
      <c r="H3662" s="49"/>
      <c r="I3662" s="49"/>
      <c r="M3662" s="53"/>
    </row>
    <row r="3663" spans="1:17" x14ac:dyDescent="0.25">
      <c r="A3663" s="21" t="str">
        <f>IF(C3663="","",COUNTA($C$3:C3663))</f>
        <v/>
      </c>
      <c r="B3663" s="35" t="str">
        <f t="shared" si="73"/>
        <v/>
      </c>
      <c r="C3663" s="33"/>
      <c r="E3663" s="60"/>
      <c r="F3663" s="18"/>
      <c r="H3663" s="49"/>
      <c r="I3663" s="49"/>
      <c r="M3663" s="53"/>
    </row>
    <row r="3664" spans="1:17" x14ac:dyDescent="0.25">
      <c r="A3664" s="21" t="str">
        <f>IF(C3664="","",COUNTA($C$3:C3664))</f>
        <v/>
      </c>
      <c r="B3664" s="35" t="str">
        <f t="shared" si="73"/>
        <v/>
      </c>
      <c r="C3664" s="33"/>
      <c r="E3664" s="60"/>
      <c r="F3664" s="18"/>
      <c r="H3664" s="49"/>
      <c r="I3664" s="49"/>
      <c r="M3664" s="53"/>
      <c r="O3664" s="59"/>
      <c r="P3664" s="112"/>
      <c r="Q3664" s="59"/>
    </row>
    <row r="3665" spans="1:17" x14ac:dyDescent="0.25">
      <c r="A3665" s="21" t="str">
        <f>IF(C3665="","",COUNTA($C$3:C3665))</f>
        <v/>
      </c>
      <c r="B3665" s="35" t="str">
        <f t="shared" si="73"/>
        <v/>
      </c>
      <c r="C3665" s="33"/>
      <c r="E3665" s="60"/>
      <c r="F3665" s="18"/>
      <c r="H3665" s="49"/>
      <c r="I3665" s="49"/>
      <c r="M3665" s="53"/>
    </row>
    <row r="3666" spans="1:17" x14ac:dyDescent="0.25">
      <c r="A3666" s="21" t="str">
        <f>IF(C3666="","",COUNTA($C$3:C3666))</f>
        <v/>
      </c>
      <c r="B3666" s="35" t="str">
        <f t="shared" si="73"/>
        <v/>
      </c>
      <c r="C3666" s="33"/>
      <c r="E3666" s="60"/>
      <c r="F3666" s="18"/>
      <c r="H3666" s="49"/>
      <c r="I3666" s="49"/>
      <c r="M3666" s="53"/>
    </row>
    <row r="3667" spans="1:17" x14ac:dyDescent="0.25">
      <c r="A3667" s="21" t="str">
        <f>IF(C3667="","",COUNTA($C$3:C3667))</f>
        <v/>
      </c>
      <c r="B3667" s="35" t="str">
        <f t="shared" si="73"/>
        <v/>
      </c>
      <c r="C3667" s="33"/>
      <c r="E3667" s="60"/>
      <c r="F3667" s="18"/>
      <c r="H3667" s="49"/>
      <c r="I3667" s="49"/>
      <c r="M3667" s="53"/>
    </row>
    <row r="3668" spans="1:17" x14ac:dyDescent="0.25">
      <c r="A3668" s="21" t="str">
        <f>IF(C3668="","",COUNTA($C$3:C3668))</f>
        <v/>
      </c>
      <c r="B3668" s="35" t="str">
        <f t="shared" si="73"/>
        <v/>
      </c>
      <c r="C3668" s="33"/>
      <c r="E3668" s="60"/>
      <c r="F3668" s="18"/>
      <c r="H3668" s="49"/>
      <c r="I3668" s="49"/>
      <c r="M3668" s="53"/>
    </row>
    <row r="3669" spans="1:17" x14ac:dyDescent="0.25">
      <c r="A3669" s="21" t="str">
        <f>IF(C3669="","",COUNTA($C$3:C3669))</f>
        <v/>
      </c>
      <c r="B3669" s="35" t="str">
        <f t="shared" si="73"/>
        <v/>
      </c>
      <c r="C3669" s="33"/>
      <c r="E3669" s="60"/>
      <c r="F3669" s="18"/>
      <c r="H3669" s="49"/>
      <c r="I3669" s="49"/>
      <c r="M3669" s="53"/>
    </row>
    <row r="3670" spans="1:17" x14ac:dyDescent="0.25">
      <c r="A3670" s="21" t="str">
        <f>IF(C3670="","",COUNTA($C$3:C3670))</f>
        <v/>
      </c>
      <c r="B3670" s="35" t="str">
        <f t="shared" si="73"/>
        <v/>
      </c>
      <c r="C3670" s="33"/>
      <c r="E3670" s="60"/>
      <c r="F3670" s="18"/>
      <c r="H3670" s="49"/>
      <c r="I3670" s="49"/>
      <c r="M3670" s="53"/>
    </row>
    <row r="3671" spans="1:17" x14ac:dyDescent="0.25">
      <c r="A3671" s="21" t="str">
        <f>IF(C3671="","",COUNTA($C$3:C3671))</f>
        <v/>
      </c>
      <c r="B3671" s="35" t="str">
        <f t="shared" si="73"/>
        <v/>
      </c>
      <c r="C3671" s="33"/>
      <c r="E3671" s="60"/>
      <c r="F3671" s="18"/>
      <c r="H3671" s="49"/>
      <c r="I3671" s="49"/>
      <c r="K3671" s="55"/>
      <c r="L3671" s="62"/>
      <c r="M3671" s="53"/>
    </row>
    <row r="3672" spans="1:17" x14ac:dyDescent="0.25">
      <c r="A3672" s="21" t="str">
        <f>IF(C3672="","",COUNTA($C$3:C3672))</f>
        <v/>
      </c>
      <c r="B3672" s="35" t="str">
        <f t="shared" si="73"/>
        <v/>
      </c>
      <c r="C3672" s="33"/>
      <c r="E3672" s="60"/>
      <c r="F3672" s="18"/>
      <c r="H3672" s="49"/>
      <c r="I3672" s="49"/>
      <c r="M3672" s="53"/>
      <c r="O3672" s="59"/>
      <c r="P3672" s="59"/>
      <c r="Q3672" s="59"/>
    </row>
    <row r="3673" spans="1:17" x14ac:dyDescent="0.25">
      <c r="A3673" s="21" t="str">
        <f>IF(C3673="","",COUNTA($C$3:C3673))</f>
        <v/>
      </c>
      <c r="B3673" s="35" t="str">
        <f t="shared" si="73"/>
        <v/>
      </c>
      <c r="C3673" s="33"/>
      <c r="E3673" s="60"/>
      <c r="F3673" s="18"/>
      <c r="H3673" s="49"/>
      <c r="I3673" s="49"/>
      <c r="K3673" s="105"/>
      <c r="M3673" s="53"/>
      <c r="O3673" s="59"/>
      <c r="P3673" s="71"/>
      <c r="Q3673" s="59"/>
    </row>
    <row r="3674" spans="1:17" x14ac:dyDescent="0.25">
      <c r="A3674" s="21" t="str">
        <f>IF(C3674="","",COUNTA($C$3:C3674))</f>
        <v/>
      </c>
      <c r="B3674" s="35" t="str">
        <f t="shared" si="73"/>
        <v/>
      </c>
      <c r="C3674" s="33"/>
      <c r="E3674" s="60"/>
      <c r="F3674" s="18"/>
      <c r="H3674" s="49"/>
      <c r="I3674" s="49"/>
      <c r="M3674" s="53"/>
    </row>
    <row r="3675" spans="1:17" x14ac:dyDescent="0.25">
      <c r="A3675" s="21" t="str">
        <f>IF(C3675="","",COUNTA($C$3:C3675))</f>
        <v/>
      </c>
      <c r="B3675" s="35" t="str">
        <f t="shared" si="73"/>
        <v/>
      </c>
      <c r="C3675" s="33"/>
      <c r="E3675" s="60"/>
      <c r="F3675" s="18"/>
      <c r="H3675" s="49"/>
      <c r="I3675" s="49"/>
      <c r="M3675" s="53"/>
    </row>
    <row r="3676" spans="1:17" x14ac:dyDescent="0.25">
      <c r="A3676" s="21" t="str">
        <f>IF(C3676="","",COUNTA($C$3:C3676))</f>
        <v/>
      </c>
      <c r="B3676" s="35" t="str">
        <f t="shared" si="73"/>
        <v/>
      </c>
      <c r="C3676" s="33"/>
      <c r="E3676" s="60"/>
      <c r="F3676" s="18"/>
      <c r="H3676" s="49"/>
      <c r="I3676" s="49"/>
      <c r="M3676" s="53"/>
    </row>
    <row r="3677" spans="1:17" x14ac:dyDescent="0.25">
      <c r="A3677" s="21" t="str">
        <f>IF(C3677="","",COUNTA($C$3:C3677))</f>
        <v/>
      </c>
      <c r="B3677" s="35" t="str">
        <f t="shared" si="73"/>
        <v/>
      </c>
      <c r="C3677" s="33"/>
      <c r="E3677" s="60"/>
      <c r="F3677" s="18"/>
      <c r="H3677" s="49"/>
      <c r="I3677" s="49"/>
      <c r="M3677" s="53"/>
      <c r="O3677" s="59"/>
      <c r="P3677" s="69"/>
      <c r="Q3677" s="59"/>
    </row>
    <row r="3678" spans="1:17" x14ac:dyDescent="0.25">
      <c r="A3678" s="21" t="str">
        <f>IF(C3678="","",COUNTA($C$3:C3678))</f>
        <v/>
      </c>
      <c r="B3678" s="35" t="str">
        <f t="shared" si="73"/>
        <v/>
      </c>
      <c r="C3678" s="33"/>
      <c r="E3678" s="60"/>
      <c r="F3678" s="18"/>
      <c r="H3678" s="49"/>
      <c r="I3678" s="49"/>
      <c r="M3678" s="53"/>
      <c r="O3678" s="59"/>
      <c r="P3678" s="112"/>
      <c r="Q3678" s="59"/>
    </row>
    <row r="3679" spans="1:17" x14ac:dyDescent="0.25">
      <c r="A3679" s="21" t="str">
        <f>IF(C3679="","",COUNTA($C$3:C3679))</f>
        <v/>
      </c>
      <c r="B3679" s="35" t="str">
        <f t="shared" si="73"/>
        <v/>
      </c>
      <c r="C3679" s="33"/>
      <c r="E3679" s="60"/>
      <c r="F3679" s="18"/>
      <c r="H3679" s="49"/>
      <c r="I3679" s="49"/>
      <c r="M3679" s="53"/>
      <c r="O3679" s="59"/>
      <c r="P3679" s="114"/>
      <c r="Q3679" s="59"/>
    </row>
    <row r="3680" spans="1:17" x14ac:dyDescent="0.25">
      <c r="A3680" s="21" t="str">
        <f>IF(C3680="","",COUNTA($C$3:C3680))</f>
        <v/>
      </c>
      <c r="B3680" s="35" t="str">
        <f t="shared" si="73"/>
        <v/>
      </c>
      <c r="C3680" s="33"/>
      <c r="E3680" s="60"/>
      <c r="F3680" s="18"/>
      <c r="H3680" s="49"/>
      <c r="I3680" s="49"/>
      <c r="K3680" s="55"/>
      <c r="M3680" s="53"/>
    </row>
    <row r="3681" spans="1:17" x14ac:dyDescent="0.25">
      <c r="A3681" s="21" t="str">
        <f>IF(C3681="","",COUNTA($C$3:C3681))</f>
        <v/>
      </c>
      <c r="B3681" s="35" t="str">
        <f t="shared" si="73"/>
        <v/>
      </c>
      <c r="C3681" s="33"/>
      <c r="E3681" s="60"/>
      <c r="F3681" s="18"/>
      <c r="H3681" s="49"/>
      <c r="I3681" s="49"/>
      <c r="M3681" s="53"/>
    </row>
    <row r="3682" spans="1:17" x14ac:dyDescent="0.25">
      <c r="A3682" s="21" t="str">
        <f>IF(C3682="","",COUNTA($C$3:C3682))</f>
        <v/>
      </c>
      <c r="B3682" s="35" t="str">
        <f t="shared" si="73"/>
        <v/>
      </c>
      <c r="C3682" s="33"/>
      <c r="E3682" s="60"/>
      <c r="F3682" s="18"/>
      <c r="H3682" s="49"/>
      <c r="I3682" s="49"/>
      <c r="M3682" s="53"/>
    </row>
    <row r="3683" spans="1:17" x14ac:dyDescent="0.25">
      <c r="A3683" s="21" t="str">
        <f>IF(C3683="","",COUNTA($C$3:C3683))</f>
        <v/>
      </c>
      <c r="B3683" s="35" t="str">
        <f t="shared" si="73"/>
        <v/>
      </c>
      <c r="C3683" s="33"/>
      <c r="E3683" s="60"/>
      <c r="F3683" s="18"/>
      <c r="H3683" s="49"/>
      <c r="I3683" s="49"/>
      <c r="M3683" s="53"/>
    </row>
    <row r="3684" spans="1:17" x14ac:dyDescent="0.25">
      <c r="A3684" s="21" t="str">
        <f>IF(C3684="","",COUNTA($C$3:C3684))</f>
        <v/>
      </c>
      <c r="B3684" s="35" t="str">
        <f t="shared" si="73"/>
        <v/>
      </c>
      <c r="C3684" s="33"/>
      <c r="E3684" s="60"/>
      <c r="F3684" s="18"/>
      <c r="H3684" s="49"/>
      <c r="I3684" s="49"/>
      <c r="M3684" s="53"/>
    </row>
    <row r="3685" spans="1:17" x14ac:dyDescent="0.25">
      <c r="A3685" s="21" t="str">
        <f>IF(C3685="","",COUNTA($C$3:C3685))</f>
        <v/>
      </c>
      <c r="B3685" s="35" t="str">
        <f t="shared" si="73"/>
        <v/>
      </c>
      <c r="C3685" s="33"/>
      <c r="E3685" s="60"/>
      <c r="F3685" s="18"/>
      <c r="H3685" s="49"/>
      <c r="I3685" s="49"/>
      <c r="M3685" s="53"/>
    </row>
    <row r="3686" spans="1:17" x14ac:dyDescent="0.25">
      <c r="A3686" s="21" t="str">
        <f>IF(C3686="","",COUNTA($C$3:C3686))</f>
        <v/>
      </c>
      <c r="B3686" s="35" t="str">
        <f t="shared" si="73"/>
        <v/>
      </c>
      <c r="C3686" s="33"/>
      <c r="E3686" s="60"/>
      <c r="F3686" s="18"/>
      <c r="H3686" s="49"/>
      <c r="I3686" s="49"/>
      <c r="M3686" s="53"/>
    </row>
    <row r="3687" spans="1:17" x14ac:dyDescent="0.25">
      <c r="A3687" s="21" t="str">
        <f>IF(C3687="","",COUNTA($C$3:C3687))</f>
        <v/>
      </c>
      <c r="B3687" s="35" t="str">
        <f t="shared" si="73"/>
        <v/>
      </c>
      <c r="C3687" s="33"/>
      <c r="E3687" s="60"/>
      <c r="F3687" s="18"/>
      <c r="H3687" s="49"/>
      <c r="I3687" s="49"/>
      <c r="M3687" s="53"/>
    </row>
    <row r="3688" spans="1:17" x14ac:dyDescent="0.25">
      <c r="A3688" s="21" t="str">
        <f>IF(C3688="","",COUNTA($C$3:C3688))</f>
        <v/>
      </c>
      <c r="B3688" s="35" t="str">
        <f t="shared" si="73"/>
        <v/>
      </c>
      <c r="C3688" s="33"/>
      <c r="E3688" s="60"/>
      <c r="F3688" s="18"/>
      <c r="H3688" s="49"/>
      <c r="I3688" s="49"/>
      <c r="M3688" s="53"/>
    </row>
    <row r="3689" spans="1:17" x14ac:dyDescent="0.25">
      <c r="A3689" s="21" t="str">
        <f>IF(C3689="","",COUNTA($C$3:C3689))</f>
        <v/>
      </c>
      <c r="B3689" s="35" t="str">
        <f t="shared" si="73"/>
        <v/>
      </c>
      <c r="C3689" s="33"/>
      <c r="E3689" s="60"/>
      <c r="F3689" s="18"/>
      <c r="H3689" s="49"/>
      <c r="I3689" s="49"/>
      <c r="M3689" s="53"/>
      <c r="O3689" s="59"/>
      <c r="P3689" s="69"/>
      <c r="Q3689" s="59"/>
    </row>
    <row r="3690" spans="1:17" x14ac:dyDescent="0.25">
      <c r="A3690" s="21" t="str">
        <f>IF(C3690="","",COUNTA($C$3:C3690))</f>
        <v/>
      </c>
      <c r="B3690" s="35" t="str">
        <f t="shared" si="73"/>
        <v/>
      </c>
      <c r="C3690" s="33"/>
      <c r="E3690" s="60"/>
      <c r="F3690" s="18"/>
      <c r="H3690" s="49"/>
      <c r="I3690" s="49"/>
      <c r="M3690" s="53"/>
    </row>
    <row r="3691" spans="1:17" x14ac:dyDescent="0.25">
      <c r="A3691" s="21" t="str">
        <f>IF(C3691="","",COUNTA($C$3:C3691))</f>
        <v/>
      </c>
      <c r="B3691" s="35" t="str">
        <f t="shared" si="73"/>
        <v/>
      </c>
      <c r="C3691" s="33"/>
      <c r="E3691" s="60"/>
      <c r="F3691" s="18"/>
      <c r="H3691" s="49"/>
      <c r="I3691" s="49"/>
      <c r="M3691" s="53"/>
    </row>
    <row r="3692" spans="1:17" x14ac:dyDescent="0.25">
      <c r="A3692" s="21" t="str">
        <f>IF(C3692="","",COUNTA($C$3:C3692))</f>
        <v/>
      </c>
      <c r="B3692" s="35" t="str">
        <f t="shared" si="73"/>
        <v/>
      </c>
      <c r="C3692" s="33"/>
      <c r="E3692" s="60"/>
      <c r="F3692" s="18"/>
      <c r="H3692" s="49"/>
      <c r="I3692" s="49"/>
      <c r="M3692" s="53"/>
    </row>
    <row r="3693" spans="1:17" x14ac:dyDescent="0.25">
      <c r="A3693" s="21" t="str">
        <f>IF(C3693="","",COUNTA($C$3:C3693))</f>
        <v/>
      </c>
      <c r="B3693" s="35" t="str">
        <f t="shared" si="73"/>
        <v/>
      </c>
      <c r="C3693" s="33"/>
      <c r="E3693" s="60"/>
      <c r="F3693" s="18"/>
      <c r="H3693" s="49"/>
      <c r="I3693" s="49"/>
      <c r="K3693" s="67"/>
      <c r="M3693" s="53"/>
    </row>
    <row r="3694" spans="1:17" x14ac:dyDescent="0.25">
      <c r="A3694" s="21" t="str">
        <f>IF(C3694="","",COUNTA($C$3:C3694))</f>
        <v/>
      </c>
      <c r="B3694" s="35" t="str">
        <f t="shared" si="73"/>
        <v/>
      </c>
      <c r="C3694" s="33"/>
      <c r="E3694" s="60"/>
      <c r="F3694" s="18"/>
      <c r="H3694" s="49"/>
      <c r="I3694" s="49"/>
      <c r="M3694" s="53"/>
    </row>
    <row r="3695" spans="1:17" x14ac:dyDescent="0.25">
      <c r="A3695" s="21" t="str">
        <f>IF(C3695="","",COUNTA($C$3:C3695))</f>
        <v/>
      </c>
      <c r="B3695" s="35" t="str">
        <f t="shared" si="73"/>
        <v/>
      </c>
      <c r="C3695" s="33"/>
      <c r="E3695" s="60"/>
      <c r="F3695" s="18"/>
      <c r="H3695" s="49"/>
      <c r="I3695" s="49"/>
      <c r="M3695" s="53"/>
    </row>
    <row r="3696" spans="1:17" x14ac:dyDescent="0.25">
      <c r="A3696" s="21" t="str">
        <f>IF(C3696="","",COUNTA($C$3:C3696))</f>
        <v/>
      </c>
      <c r="B3696" s="35" t="str">
        <f t="shared" si="73"/>
        <v/>
      </c>
      <c r="C3696" s="33"/>
      <c r="E3696" s="60"/>
      <c r="F3696" s="18"/>
      <c r="H3696" s="49"/>
      <c r="I3696" s="49"/>
      <c r="M3696" s="53"/>
    </row>
    <row r="3697" spans="1:17" x14ac:dyDescent="0.25">
      <c r="A3697" s="21" t="str">
        <f>IF(C3697="","",COUNTA($C$3:C3697))</f>
        <v/>
      </c>
      <c r="B3697" s="35" t="str">
        <f t="shared" si="73"/>
        <v/>
      </c>
      <c r="C3697" s="33"/>
      <c r="E3697" s="60"/>
      <c r="F3697" s="18"/>
      <c r="H3697" s="49"/>
      <c r="I3697" s="49"/>
      <c r="M3697" s="53"/>
    </row>
    <row r="3698" spans="1:17" x14ac:dyDescent="0.25">
      <c r="A3698" s="21" t="str">
        <f>IF(C3698="","",COUNTA($C$3:C3698))</f>
        <v/>
      </c>
      <c r="B3698" s="35" t="str">
        <f t="shared" si="73"/>
        <v/>
      </c>
      <c r="C3698" s="33"/>
      <c r="E3698" s="60"/>
      <c r="F3698" s="18"/>
      <c r="H3698" s="49"/>
      <c r="I3698" s="49"/>
      <c r="M3698" s="53"/>
    </row>
    <row r="3699" spans="1:17" x14ac:dyDescent="0.25">
      <c r="A3699" s="21" t="str">
        <f>IF(C3699="","",COUNTA($C$3:C3699))</f>
        <v/>
      </c>
      <c r="B3699" s="35" t="str">
        <f t="shared" si="73"/>
        <v/>
      </c>
      <c r="C3699" s="33"/>
      <c r="E3699" s="60"/>
      <c r="F3699" s="18"/>
      <c r="H3699" s="49"/>
      <c r="I3699" s="49"/>
      <c r="M3699" s="53"/>
    </row>
    <row r="3700" spans="1:17" x14ac:dyDescent="0.25">
      <c r="A3700" s="21" t="str">
        <f>IF(C3700="","",COUNTA($C$3:C3700))</f>
        <v/>
      </c>
      <c r="B3700" s="35" t="str">
        <f t="shared" si="73"/>
        <v/>
      </c>
      <c r="C3700" s="33"/>
      <c r="E3700" s="60"/>
      <c r="F3700" s="18"/>
      <c r="H3700" s="49"/>
      <c r="I3700" s="49"/>
      <c r="M3700" s="53"/>
    </row>
    <row r="3701" spans="1:17" x14ac:dyDescent="0.25">
      <c r="A3701" s="21" t="str">
        <f>IF(C3701="","",COUNTA($C$3:C3701))</f>
        <v/>
      </c>
      <c r="B3701" s="35" t="str">
        <f t="shared" si="73"/>
        <v/>
      </c>
      <c r="C3701" s="33"/>
      <c r="E3701" s="60"/>
      <c r="F3701" s="18"/>
      <c r="H3701" s="49"/>
      <c r="I3701" s="49"/>
      <c r="M3701" s="53"/>
    </row>
    <row r="3702" spans="1:17" x14ac:dyDescent="0.25">
      <c r="A3702" s="21" t="str">
        <f>IF(C3702="","",COUNTA($C$3:C3702))</f>
        <v/>
      </c>
      <c r="B3702" s="35" t="str">
        <f t="shared" si="73"/>
        <v/>
      </c>
      <c r="C3702" s="33"/>
      <c r="E3702" s="60"/>
      <c r="F3702" s="18"/>
      <c r="H3702" s="49"/>
      <c r="I3702" s="49"/>
      <c r="M3702" s="53"/>
    </row>
    <row r="3703" spans="1:17" x14ac:dyDescent="0.25">
      <c r="A3703" s="21" t="str">
        <f>IF(C3703="","",COUNTA($C$3:C3703))</f>
        <v/>
      </c>
      <c r="B3703" s="35" t="str">
        <f t="shared" si="73"/>
        <v/>
      </c>
      <c r="C3703" s="33"/>
      <c r="E3703" s="60"/>
      <c r="F3703" s="18"/>
      <c r="H3703" s="49"/>
      <c r="I3703" s="49"/>
      <c r="K3703" s="55"/>
      <c r="M3703" s="53"/>
    </row>
    <row r="3704" spans="1:17" x14ac:dyDescent="0.25">
      <c r="A3704" s="21" t="str">
        <f>IF(C3704="","",COUNTA($C$3:C3704))</f>
        <v/>
      </c>
      <c r="B3704" s="35" t="str">
        <f t="shared" si="73"/>
        <v/>
      </c>
      <c r="C3704" s="33"/>
      <c r="E3704" s="60"/>
      <c r="F3704" s="18"/>
      <c r="H3704" s="49"/>
      <c r="I3704" s="49"/>
      <c r="M3704" s="53"/>
    </row>
    <row r="3705" spans="1:17" x14ac:dyDescent="0.25">
      <c r="A3705" s="21" t="str">
        <f>IF(C3705="","",COUNTA($C$3:C3705))</f>
        <v/>
      </c>
      <c r="B3705" s="35" t="str">
        <f t="shared" si="73"/>
        <v/>
      </c>
      <c r="C3705" s="33"/>
      <c r="E3705" s="60"/>
      <c r="F3705" s="18"/>
      <c r="H3705" s="49"/>
      <c r="I3705" s="76"/>
      <c r="M3705" s="53"/>
    </row>
    <row r="3706" spans="1:17" x14ac:dyDescent="0.25">
      <c r="A3706" s="21" t="str">
        <f>IF(C3706="","",COUNTA($C$3:C3706))</f>
        <v/>
      </c>
      <c r="B3706" s="35" t="str">
        <f t="shared" si="73"/>
        <v/>
      </c>
      <c r="C3706" s="33"/>
      <c r="E3706" s="60"/>
      <c r="F3706" s="18"/>
      <c r="H3706" s="49"/>
      <c r="I3706" s="49"/>
      <c r="M3706" s="53"/>
      <c r="O3706" s="59"/>
      <c r="P3706" s="69"/>
      <c r="Q3706" s="59"/>
    </row>
    <row r="3707" spans="1:17" x14ac:dyDescent="0.25">
      <c r="A3707" s="21" t="str">
        <f>IF(C3707="","",COUNTA($C$3:C3707))</f>
        <v/>
      </c>
      <c r="B3707" s="35" t="str">
        <f t="shared" si="73"/>
        <v/>
      </c>
      <c r="C3707" s="33"/>
      <c r="E3707" s="60"/>
      <c r="F3707" s="18"/>
      <c r="H3707" s="49"/>
      <c r="I3707" s="49"/>
      <c r="M3707" s="53"/>
    </row>
    <row r="3708" spans="1:17" x14ac:dyDescent="0.25">
      <c r="A3708" s="21" t="str">
        <f>IF(C3708="","",COUNTA($C$3:C3708))</f>
        <v/>
      </c>
      <c r="B3708" s="35" t="str">
        <f t="shared" si="73"/>
        <v/>
      </c>
      <c r="C3708" s="33"/>
      <c r="E3708" s="60"/>
      <c r="F3708" s="18"/>
      <c r="H3708" s="49"/>
      <c r="I3708" s="49"/>
      <c r="M3708" s="53"/>
    </row>
    <row r="3709" spans="1:17" x14ac:dyDescent="0.25">
      <c r="A3709" s="21" t="str">
        <f>IF(C3709="","",COUNTA($C$3:C3709))</f>
        <v/>
      </c>
      <c r="B3709" s="35" t="str">
        <f t="shared" si="73"/>
        <v/>
      </c>
      <c r="C3709" s="33"/>
      <c r="E3709" s="60"/>
      <c r="F3709" s="18"/>
      <c r="H3709" s="49"/>
      <c r="I3709" s="49"/>
      <c r="M3709" s="53"/>
    </row>
    <row r="3710" spans="1:17" x14ac:dyDescent="0.25">
      <c r="A3710" s="21" t="str">
        <f>IF(C3710="","",COUNTA($C$3:C3710))</f>
        <v/>
      </c>
      <c r="B3710" s="35" t="str">
        <f t="shared" si="73"/>
        <v/>
      </c>
      <c r="C3710" s="33"/>
      <c r="E3710" s="60"/>
      <c r="F3710" s="18"/>
      <c r="H3710" s="49"/>
      <c r="I3710" s="49"/>
      <c r="L3710" s="53"/>
      <c r="M3710" s="53"/>
    </row>
    <row r="3711" spans="1:17" x14ac:dyDescent="0.25">
      <c r="A3711" s="21" t="str">
        <f>IF(C3711="","",COUNTA($C$3:C3711))</f>
        <v/>
      </c>
      <c r="B3711" s="35" t="str">
        <f t="shared" si="73"/>
        <v/>
      </c>
      <c r="C3711" s="33"/>
      <c r="E3711" s="60"/>
      <c r="F3711" s="18"/>
      <c r="H3711" s="49"/>
      <c r="I3711" s="49"/>
      <c r="L3711" s="53"/>
      <c r="M3711" s="53"/>
    </row>
    <row r="3712" spans="1:17" x14ac:dyDescent="0.25">
      <c r="A3712" s="21" t="str">
        <f>IF(C3712="","",COUNTA($C$3:C3712))</f>
        <v/>
      </c>
      <c r="B3712" s="35" t="str">
        <f t="shared" si="73"/>
        <v/>
      </c>
      <c r="C3712" s="33"/>
      <c r="E3712" s="60"/>
      <c r="F3712" s="18"/>
      <c r="H3712" s="49"/>
      <c r="I3712" s="49"/>
      <c r="M3712" s="53"/>
    </row>
    <row r="3713" spans="1:17" x14ac:dyDescent="0.25">
      <c r="A3713" s="21" t="str">
        <f>IF(C3713="","",COUNTA($C$3:C3713))</f>
        <v/>
      </c>
      <c r="B3713" s="35" t="str">
        <f t="shared" si="73"/>
        <v/>
      </c>
      <c r="C3713" s="33"/>
      <c r="E3713" s="60"/>
      <c r="F3713" s="18"/>
      <c r="H3713" s="49"/>
      <c r="I3713" s="49"/>
      <c r="M3713" s="53"/>
    </row>
    <row r="3714" spans="1:17" x14ac:dyDescent="0.25">
      <c r="A3714" s="21" t="str">
        <f>IF(C3714="","",COUNTA($C$3:C3714))</f>
        <v/>
      </c>
      <c r="B3714" s="35" t="str">
        <f t="shared" si="73"/>
        <v/>
      </c>
      <c r="C3714" s="33"/>
      <c r="E3714" s="60"/>
      <c r="F3714" s="18"/>
      <c r="H3714" s="49"/>
      <c r="I3714" s="49"/>
      <c r="M3714" s="53"/>
    </row>
    <row r="3715" spans="1:17" x14ac:dyDescent="0.25">
      <c r="A3715" s="21" t="str">
        <f>IF(C3715="","",COUNTA($C$3:C3715))</f>
        <v/>
      </c>
      <c r="B3715" s="35" t="str">
        <f t="shared" si="73"/>
        <v/>
      </c>
      <c r="C3715" s="33"/>
      <c r="E3715" s="60"/>
      <c r="F3715" s="18"/>
      <c r="H3715" s="49"/>
      <c r="I3715" s="49"/>
      <c r="M3715" s="53"/>
    </row>
    <row r="3716" spans="1:17" x14ac:dyDescent="0.25">
      <c r="A3716" s="21" t="str">
        <f>IF(C3716="","",COUNTA($C$3:C3716))</f>
        <v/>
      </c>
      <c r="B3716" s="35" t="str">
        <f t="shared" si="73"/>
        <v/>
      </c>
      <c r="C3716" s="33"/>
      <c r="E3716" s="60"/>
      <c r="F3716" s="18"/>
      <c r="H3716" s="49"/>
      <c r="I3716" s="49"/>
      <c r="M3716" s="53"/>
    </row>
    <row r="3717" spans="1:17" x14ac:dyDescent="0.25">
      <c r="A3717" s="21" t="str">
        <f>IF(C3717="","",COUNTA($C$3:C3717))</f>
        <v/>
      </c>
      <c r="B3717" s="35" t="str">
        <f t="shared" ref="B3717:B3780" si="74">IF(C3717="","",TEXT(C3717,"mmmm"))</f>
        <v/>
      </c>
      <c r="C3717" s="33"/>
      <c r="E3717" s="60"/>
      <c r="F3717" s="18"/>
      <c r="H3717" s="49"/>
      <c r="I3717" s="49"/>
      <c r="M3717" s="53"/>
      <c r="O3717" s="59"/>
      <c r="P3717" s="59"/>
      <c r="Q3717" s="59"/>
    </row>
    <row r="3718" spans="1:17" x14ac:dyDescent="0.25">
      <c r="A3718" s="21" t="str">
        <f>IF(C3718="","",COUNTA($C$3:C3718))</f>
        <v/>
      </c>
      <c r="B3718" s="35" t="str">
        <f t="shared" si="74"/>
        <v/>
      </c>
      <c r="C3718" s="33"/>
      <c r="E3718" s="60"/>
      <c r="F3718" s="18"/>
      <c r="H3718" s="49"/>
      <c r="I3718" s="49"/>
      <c r="M3718" s="53"/>
      <c r="O3718" s="59"/>
      <c r="P3718" s="71"/>
      <c r="Q3718" s="59"/>
    </row>
    <row r="3719" spans="1:17" x14ac:dyDescent="0.25">
      <c r="A3719" s="21" t="str">
        <f>IF(C3719="","",COUNTA($C$3:C3719))</f>
        <v/>
      </c>
      <c r="B3719" s="35" t="str">
        <f t="shared" si="74"/>
        <v/>
      </c>
      <c r="C3719" s="33"/>
      <c r="E3719" s="60"/>
      <c r="F3719" s="18"/>
      <c r="H3719" s="49"/>
      <c r="I3719" s="49"/>
      <c r="M3719" s="53"/>
      <c r="O3719" s="59"/>
      <c r="P3719" s="69"/>
      <c r="Q3719" s="59"/>
    </row>
    <row r="3720" spans="1:17" x14ac:dyDescent="0.25">
      <c r="A3720" s="21" t="str">
        <f>IF(C3720="","",COUNTA($C$3:C3720))</f>
        <v/>
      </c>
      <c r="B3720" s="35" t="str">
        <f t="shared" si="74"/>
        <v/>
      </c>
      <c r="C3720" s="33"/>
      <c r="E3720" s="60"/>
      <c r="F3720" s="18"/>
      <c r="H3720" s="49"/>
      <c r="I3720" s="49"/>
      <c r="M3720" s="53"/>
      <c r="O3720" s="59"/>
      <c r="P3720" s="71"/>
      <c r="Q3720" s="59"/>
    </row>
    <row r="3721" spans="1:17" x14ac:dyDescent="0.25">
      <c r="A3721" s="21" t="str">
        <f>IF(C3721="","",COUNTA($C$3:C3721))</f>
        <v/>
      </c>
      <c r="B3721" s="35" t="str">
        <f t="shared" si="74"/>
        <v/>
      </c>
      <c r="C3721" s="33"/>
      <c r="E3721" s="60"/>
      <c r="F3721" s="18"/>
      <c r="H3721" s="49"/>
      <c r="I3721" s="49"/>
      <c r="M3721" s="53"/>
      <c r="O3721" s="59"/>
      <c r="P3721" s="112"/>
      <c r="Q3721" s="59"/>
    </row>
    <row r="3722" spans="1:17" x14ac:dyDescent="0.25">
      <c r="A3722" s="21" t="str">
        <f>IF(C3722="","",COUNTA($C$3:C3722))</f>
        <v/>
      </c>
      <c r="B3722" s="35" t="str">
        <f t="shared" si="74"/>
        <v/>
      </c>
      <c r="C3722" s="33"/>
      <c r="E3722" s="60"/>
      <c r="F3722" s="18"/>
      <c r="H3722" s="49"/>
      <c r="I3722" s="49"/>
      <c r="M3722" s="53"/>
    </row>
    <row r="3723" spans="1:17" x14ac:dyDescent="0.25">
      <c r="A3723" s="21" t="str">
        <f>IF(C3723="","",COUNTA($C$3:C3723))</f>
        <v/>
      </c>
      <c r="B3723" s="35" t="str">
        <f t="shared" si="74"/>
        <v/>
      </c>
      <c r="C3723" s="33"/>
      <c r="E3723" s="60"/>
      <c r="F3723" s="18"/>
      <c r="H3723" s="49"/>
      <c r="I3723" s="49"/>
      <c r="M3723" s="53"/>
    </row>
    <row r="3724" spans="1:17" x14ac:dyDescent="0.25">
      <c r="A3724" s="21" t="str">
        <f>IF(C3724="","",COUNTA($C$3:C3724))</f>
        <v/>
      </c>
      <c r="B3724" s="35" t="str">
        <f t="shared" si="74"/>
        <v/>
      </c>
      <c r="C3724" s="33"/>
      <c r="E3724" s="60"/>
      <c r="F3724" s="18"/>
      <c r="H3724" s="49"/>
      <c r="I3724" s="49"/>
      <c r="L3724" s="62"/>
      <c r="M3724" s="53"/>
    </row>
    <row r="3725" spans="1:17" x14ac:dyDescent="0.25">
      <c r="A3725" s="21" t="str">
        <f>IF(C3725="","",COUNTA($C$3:C3725))</f>
        <v/>
      </c>
      <c r="B3725" s="35" t="str">
        <f t="shared" si="74"/>
        <v/>
      </c>
      <c r="C3725" s="33"/>
      <c r="E3725" s="60"/>
      <c r="F3725" s="18"/>
      <c r="H3725" s="49"/>
      <c r="I3725" s="49"/>
      <c r="L3725" s="62"/>
      <c r="M3725" s="53"/>
    </row>
    <row r="3726" spans="1:17" x14ac:dyDescent="0.25">
      <c r="A3726" s="21" t="str">
        <f>IF(C3726="","",COUNTA($C$3:C3726))</f>
        <v/>
      </c>
      <c r="B3726" s="35" t="str">
        <f t="shared" si="74"/>
        <v/>
      </c>
      <c r="C3726" s="33"/>
      <c r="E3726" s="60"/>
      <c r="F3726" s="18"/>
      <c r="H3726" s="49"/>
      <c r="I3726" s="49"/>
      <c r="K3726" s="67"/>
      <c r="M3726" s="53"/>
    </row>
    <row r="3727" spans="1:17" x14ac:dyDescent="0.25">
      <c r="A3727" s="21" t="str">
        <f>IF(C3727="","",COUNTA($C$3:C3727))</f>
        <v/>
      </c>
      <c r="B3727" s="35" t="str">
        <f t="shared" si="74"/>
        <v/>
      </c>
      <c r="C3727" s="33"/>
      <c r="E3727" s="60"/>
      <c r="F3727" s="18"/>
      <c r="H3727" s="49"/>
      <c r="I3727" s="49"/>
      <c r="M3727" s="53"/>
    </row>
    <row r="3728" spans="1:17" x14ac:dyDescent="0.25">
      <c r="A3728" s="21" t="str">
        <f>IF(C3728="","",COUNTA($C$3:C3728))</f>
        <v/>
      </c>
      <c r="B3728" s="35" t="str">
        <f t="shared" si="74"/>
        <v/>
      </c>
      <c r="C3728" s="33"/>
      <c r="E3728" s="60"/>
      <c r="F3728" s="18"/>
      <c r="H3728" s="49"/>
      <c r="I3728" s="49"/>
      <c r="M3728" s="53"/>
    </row>
    <row r="3729" spans="1:13" x14ac:dyDescent="0.25">
      <c r="A3729" s="21" t="str">
        <f>IF(C3729="","",COUNTA($C$3:C3729))</f>
        <v/>
      </c>
      <c r="B3729" s="35" t="str">
        <f t="shared" si="74"/>
        <v/>
      </c>
      <c r="C3729" s="33"/>
      <c r="E3729" s="60"/>
      <c r="F3729" s="18"/>
      <c r="H3729" s="49"/>
      <c r="I3729" s="49"/>
      <c r="M3729" s="53"/>
    </row>
    <row r="3730" spans="1:13" x14ac:dyDescent="0.25">
      <c r="A3730" s="21" t="str">
        <f>IF(C3730="","",COUNTA($C$3:C3730))</f>
        <v/>
      </c>
      <c r="B3730" s="35" t="str">
        <f t="shared" si="74"/>
        <v/>
      </c>
      <c r="C3730" s="33"/>
      <c r="E3730" s="60"/>
      <c r="F3730" s="18"/>
      <c r="H3730" s="49"/>
      <c r="I3730" s="49"/>
      <c r="L3730" s="62"/>
      <c r="M3730" s="53"/>
    </row>
    <row r="3731" spans="1:13" x14ac:dyDescent="0.25">
      <c r="A3731" s="21" t="str">
        <f>IF(C3731="","",COUNTA($C$3:C3731))</f>
        <v/>
      </c>
      <c r="B3731" s="35" t="str">
        <f t="shared" si="74"/>
        <v/>
      </c>
      <c r="C3731" s="33"/>
      <c r="E3731" s="60"/>
      <c r="F3731" s="18"/>
      <c r="H3731" s="49"/>
      <c r="I3731" s="49"/>
      <c r="L3731" s="62"/>
      <c r="M3731" s="53"/>
    </row>
    <row r="3732" spans="1:13" x14ac:dyDescent="0.25">
      <c r="A3732" s="21" t="str">
        <f>IF(C3732="","",COUNTA($C$3:C3732))</f>
        <v/>
      </c>
      <c r="B3732" s="35" t="str">
        <f t="shared" si="74"/>
        <v/>
      </c>
      <c r="C3732" s="33"/>
      <c r="E3732" s="60"/>
      <c r="F3732" s="18"/>
      <c r="H3732" s="49"/>
      <c r="I3732" s="49"/>
      <c r="M3732" s="53"/>
    </row>
    <row r="3733" spans="1:13" x14ac:dyDescent="0.25">
      <c r="A3733" s="21" t="str">
        <f>IF(C3733="","",COUNTA($C$3:C3733))</f>
        <v/>
      </c>
      <c r="B3733" s="35" t="str">
        <f t="shared" si="74"/>
        <v/>
      </c>
      <c r="C3733" s="33"/>
      <c r="E3733" s="60"/>
      <c r="F3733" s="18"/>
      <c r="H3733" s="49"/>
      <c r="I3733" s="49"/>
      <c r="M3733" s="53"/>
    </row>
    <row r="3734" spans="1:13" x14ac:dyDescent="0.25">
      <c r="A3734" s="21" t="str">
        <f>IF(C3734="","",COUNTA($C$3:C3734))</f>
        <v/>
      </c>
      <c r="B3734" s="35" t="str">
        <f t="shared" si="74"/>
        <v/>
      </c>
      <c r="C3734" s="33"/>
      <c r="E3734" s="60"/>
      <c r="F3734" s="18"/>
      <c r="H3734" s="49"/>
      <c r="I3734" s="49"/>
      <c r="M3734" s="53"/>
    </row>
    <row r="3735" spans="1:13" x14ac:dyDescent="0.25">
      <c r="A3735" s="21" t="str">
        <f>IF(C3735="","",COUNTA($C$3:C3735))</f>
        <v/>
      </c>
      <c r="B3735" s="35" t="str">
        <f t="shared" si="74"/>
        <v/>
      </c>
      <c r="C3735" s="33"/>
      <c r="E3735" s="60"/>
      <c r="F3735" s="18"/>
      <c r="H3735" s="49"/>
      <c r="I3735" s="49"/>
      <c r="M3735" s="53"/>
    </row>
    <row r="3736" spans="1:13" x14ac:dyDescent="0.25">
      <c r="A3736" s="21" t="str">
        <f>IF(C3736="","",COUNTA($C$3:C3736))</f>
        <v/>
      </c>
      <c r="B3736" s="35" t="str">
        <f t="shared" si="74"/>
        <v/>
      </c>
      <c r="C3736" s="33"/>
      <c r="E3736" s="60"/>
      <c r="F3736" s="18"/>
      <c r="H3736" s="49"/>
      <c r="I3736" s="49"/>
      <c r="M3736" s="53"/>
    </row>
    <row r="3737" spans="1:13" x14ac:dyDescent="0.25">
      <c r="A3737" s="21" t="str">
        <f>IF(C3737="","",COUNTA($C$3:C3737))</f>
        <v/>
      </c>
      <c r="B3737" s="35" t="str">
        <f t="shared" si="74"/>
        <v/>
      </c>
      <c r="C3737" s="33"/>
      <c r="E3737" s="60"/>
      <c r="F3737" s="18"/>
      <c r="H3737" s="49"/>
      <c r="I3737" s="49"/>
      <c r="M3737" s="53"/>
    </row>
    <row r="3738" spans="1:13" x14ac:dyDescent="0.25">
      <c r="A3738" s="21" t="str">
        <f>IF(C3738="","",COUNTA($C$3:C3738))</f>
        <v/>
      </c>
      <c r="B3738" s="35" t="str">
        <f t="shared" si="74"/>
        <v/>
      </c>
      <c r="C3738" s="33"/>
      <c r="E3738" s="60"/>
      <c r="F3738" s="18"/>
      <c r="H3738" s="49"/>
      <c r="I3738" s="49"/>
      <c r="L3738" s="53"/>
      <c r="M3738" s="53"/>
    </row>
    <row r="3739" spans="1:13" x14ac:dyDescent="0.25">
      <c r="A3739" s="21" t="str">
        <f>IF(C3739="","",COUNTA($C$3:C3739))</f>
        <v/>
      </c>
      <c r="B3739" s="35" t="str">
        <f t="shared" si="74"/>
        <v/>
      </c>
      <c r="C3739" s="33"/>
      <c r="E3739" s="60"/>
      <c r="F3739" s="18"/>
      <c r="H3739" s="49"/>
      <c r="I3739" s="49"/>
      <c r="L3739" s="48"/>
      <c r="M3739" s="53"/>
    </row>
    <row r="3740" spans="1:13" x14ac:dyDescent="0.25">
      <c r="A3740" s="21" t="str">
        <f>IF(C3740="","",COUNTA($C$3:C3740))</f>
        <v/>
      </c>
      <c r="B3740" s="35" t="str">
        <f t="shared" si="74"/>
        <v/>
      </c>
      <c r="C3740" s="33"/>
      <c r="E3740" s="60"/>
      <c r="F3740" s="18"/>
      <c r="H3740" s="49"/>
      <c r="I3740" s="49"/>
      <c r="M3740" s="53"/>
    </row>
    <row r="3741" spans="1:13" x14ac:dyDescent="0.25">
      <c r="A3741" s="21" t="str">
        <f>IF(C3741="","",COUNTA($C$3:C3741))</f>
        <v/>
      </c>
      <c r="B3741" s="35" t="str">
        <f t="shared" si="74"/>
        <v/>
      </c>
      <c r="C3741" s="33"/>
      <c r="E3741" s="60"/>
      <c r="F3741" s="18"/>
      <c r="H3741" s="49"/>
      <c r="I3741" s="49"/>
      <c r="M3741" s="53"/>
    </row>
    <row r="3742" spans="1:13" x14ac:dyDescent="0.25">
      <c r="A3742" s="21" t="str">
        <f>IF(C3742="","",COUNTA($C$3:C3742))</f>
        <v/>
      </c>
      <c r="B3742" s="35" t="str">
        <f t="shared" si="74"/>
        <v/>
      </c>
      <c r="C3742" s="33"/>
      <c r="E3742" s="60"/>
      <c r="F3742" s="18"/>
      <c r="H3742" s="49"/>
      <c r="I3742" s="49"/>
      <c r="M3742" s="53"/>
    </row>
    <row r="3743" spans="1:13" x14ac:dyDescent="0.25">
      <c r="A3743" s="21" t="str">
        <f>IF(C3743="","",COUNTA($C$3:C3743))</f>
        <v/>
      </c>
      <c r="B3743" s="35" t="str">
        <f t="shared" si="74"/>
        <v/>
      </c>
      <c r="C3743" s="33"/>
      <c r="E3743" s="60"/>
      <c r="F3743" s="18"/>
      <c r="H3743" s="49"/>
      <c r="I3743" s="49"/>
      <c r="M3743" s="53"/>
    </row>
    <row r="3744" spans="1:13" x14ac:dyDescent="0.25">
      <c r="A3744" s="21" t="str">
        <f>IF(C3744="","",COUNTA($C$3:C3744))</f>
        <v/>
      </c>
      <c r="B3744" s="35" t="str">
        <f t="shared" si="74"/>
        <v/>
      </c>
      <c r="C3744" s="33"/>
      <c r="E3744" s="60"/>
      <c r="F3744" s="18"/>
      <c r="H3744" s="49"/>
      <c r="I3744" s="49"/>
      <c r="L3744" s="62"/>
      <c r="M3744" s="53"/>
    </row>
    <row r="3745" spans="1:13" x14ac:dyDescent="0.25">
      <c r="A3745" s="21" t="str">
        <f>IF(C3745="","",COUNTA($C$3:C3745))</f>
        <v/>
      </c>
      <c r="B3745" s="35" t="str">
        <f t="shared" si="74"/>
        <v/>
      </c>
      <c r="C3745" s="33"/>
      <c r="E3745" s="60"/>
      <c r="F3745" s="18"/>
      <c r="H3745" s="49"/>
      <c r="I3745" s="49"/>
      <c r="L3745" s="62"/>
      <c r="M3745" s="53"/>
    </row>
    <row r="3746" spans="1:13" x14ac:dyDescent="0.25">
      <c r="A3746" s="21" t="str">
        <f>IF(C3746="","",COUNTA($C$3:C3746))</f>
        <v/>
      </c>
      <c r="B3746" s="35" t="str">
        <f t="shared" si="74"/>
        <v/>
      </c>
      <c r="C3746" s="33"/>
      <c r="E3746" s="60"/>
      <c r="F3746" s="18"/>
      <c r="H3746" s="49"/>
      <c r="I3746" s="49"/>
      <c r="M3746" s="53"/>
    </row>
    <row r="3747" spans="1:13" x14ac:dyDescent="0.25">
      <c r="A3747" s="21" t="str">
        <f>IF(C3747="","",COUNTA($C$3:C3747))</f>
        <v/>
      </c>
      <c r="B3747" s="35" t="str">
        <f t="shared" si="74"/>
        <v/>
      </c>
      <c r="C3747" s="33"/>
      <c r="E3747" s="60"/>
      <c r="F3747" s="18"/>
      <c r="H3747" s="49"/>
      <c r="I3747" s="49"/>
      <c r="M3747" s="53"/>
    </row>
    <row r="3748" spans="1:13" x14ac:dyDescent="0.25">
      <c r="A3748" s="21" t="str">
        <f>IF(C3748="","",COUNTA($C$3:C3748))</f>
        <v/>
      </c>
      <c r="B3748" s="35" t="str">
        <f t="shared" si="74"/>
        <v/>
      </c>
      <c r="C3748" s="33"/>
      <c r="E3748" s="60"/>
      <c r="F3748" s="18"/>
      <c r="H3748" s="49"/>
      <c r="I3748" s="49"/>
      <c r="M3748" s="53"/>
    </row>
    <row r="3749" spans="1:13" x14ac:dyDescent="0.25">
      <c r="A3749" s="21" t="str">
        <f>IF(C3749="","",COUNTA($C$3:C3749))</f>
        <v/>
      </c>
      <c r="B3749" s="35" t="str">
        <f t="shared" si="74"/>
        <v/>
      </c>
      <c r="C3749" s="33"/>
      <c r="E3749" s="60"/>
      <c r="F3749" s="18"/>
      <c r="H3749" s="49"/>
      <c r="I3749" s="49"/>
      <c r="M3749" s="53"/>
    </row>
    <row r="3750" spans="1:13" x14ac:dyDescent="0.25">
      <c r="A3750" s="21" t="str">
        <f>IF(C3750="","",COUNTA($C$3:C3750))</f>
        <v/>
      </c>
      <c r="B3750" s="35" t="str">
        <f t="shared" si="74"/>
        <v/>
      </c>
      <c r="C3750" s="33"/>
      <c r="E3750" s="60"/>
      <c r="F3750" s="18"/>
      <c r="H3750" s="49"/>
      <c r="I3750" s="49"/>
      <c r="M3750" s="53"/>
    </row>
    <row r="3751" spans="1:13" x14ac:dyDescent="0.25">
      <c r="A3751" s="21" t="str">
        <f>IF(C3751="","",COUNTA($C$3:C3751))</f>
        <v/>
      </c>
      <c r="B3751" s="35" t="str">
        <f t="shared" si="74"/>
        <v/>
      </c>
      <c r="C3751" s="33"/>
      <c r="E3751" s="60"/>
      <c r="F3751" s="18"/>
      <c r="H3751" s="49"/>
      <c r="I3751" s="49"/>
      <c r="M3751" s="53"/>
    </row>
    <row r="3752" spans="1:13" x14ac:dyDescent="0.25">
      <c r="A3752" s="21" t="str">
        <f>IF(C3752="","",COUNTA($C$3:C3752))</f>
        <v/>
      </c>
      <c r="B3752" s="35" t="str">
        <f t="shared" si="74"/>
        <v/>
      </c>
      <c r="C3752" s="33"/>
      <c r="E3752" s="60"/>
      <c r="F3752" s="18"/>
      <c r="H3752" s="49"/>
      <c r="I3752" s="49"/>
      <c r="M3752" s="53"/>
    </row>
    <row r="3753" spans="1:13" x14ac:dyDescent="0.25">
      <c r="A3753" s="21" t="str">
        <f>IF(C3753="","",COUNTA($C$3:C3753))</f>
        <v/>
      </c>
      <c r="B3753" s="35" t="str">
        <f t="shared" si="74"/>
        <v/>
      </c>
      <c r="C3753" s="33"/>
      <c r="E3753" s="60"/>
      <c r="F3753" s="18"/>
      <c r="H3753" s="49"/>
      <c r="I3753" s="49"/>
      <c r="M3753" s="53"/>
    </row>
    <row r="3754" spans="1:13" x14ac:dyDescent="0.25">
      <c r="A3754" s="21" t="str">
        <f>IF(C3754="","",COUNTA($C$3:C3754))</f>
        <v/>
      </c>
      <c r="B3754" s="35" t="str">
        <f t="shared" si="74"/>
        <v/>
      </c>
      <c r="C3754" s="33"/>
      <c r="E3754" s="60"/>
      <c r="F3754" s="18"/>
      <c r="G3754" s="18"/>
      <c r="H3754" s="49"/>
      <c r="I3754" s="49"/>
      <c r="M3754" s="53"/>
    </row>
    <row r="3755" spans="1:13" x14ac:dyDescent="0.25">
      <c r="A3755" s="21" t="str">
        <f>IF(C3755="","",COUNTA($C$3:C3755))</f>
        <v/>
      </c>
      <c r="B3755" s="35" t="str">
        <f t="shared" si="74"/>
        <v/>
      </c>
      <c r="C3755" s="33"/>
      <c r="E3755" s="60"/>
      <c r="F3755" s="18"/>
      <c r="G3755" s="18"/>
      <c r="H3755" s="49"/>
      <c r="I3755" s="49"/>
      <c r="M3755" s="53"/>
    </row>
    <row r="3756" spans="1:13" x14ac:dyDescent="0.25">
      <c r="A3756" s="21" t="str">
        <f>IF(C3756="","",COUNTA($C$3:C3756))</f>
        <v/>
      </c>
      <c r="B3756" s="35" t="str">
        <f t="shared" si="74"/>
        <v/>
      </c>
      <c r="C3756" s="33"/>
      <c r="E3756" s="60"/>
      <c r="F3756" s="18"/>
      <c r="G3756" s="18"/>
      <c r="H3756" s="49"/>
      <c r="I3756" s="49"/>
      <c r="L3756" s="53"/>
      <c r="M3756" s="53"/>
    </row>
    <row r="3757" spans="1:13" x14ac:dyDescent="0.25">
      <c r="A3757" s="21" t="str">
        <f>IF(C3757="","",COUNTA($C$3:C3757))</f>
        <v/>
      </c>
      <c r="B3757" s="35" t="str">
        <f t="shared" si="74"/>
        <v/>
      </c>
      <c r="C3757" s="33"/>
      <c r="E3757" s="60"/>
      <c r="F3757" s="18"/>
      <c r="G3757" s="18"/>
      <c r="H3757" s="49"/>
      <c r="I3757" s="49"/>
      <c r="M3757" s="53"/>
    </row>
    <row r="3758" spans="1:13" x14ac:dyDescent="0.25">
      <c r="A3758" s="21" t="str">
        <f>IF(C3758="","",COUNTA($C$3:C3758))</f>
        <v/>
      </c>
      <c r="B3758" s="35" t="str">
        <f t="shared" si="74"/>
        <v/>
      </c>
      <c r="C3758" s="33"/>
      <c r="E3758" s="60"/>
      <c r="F3758" s="18"/>
      <c r="G3758" s="18"/>
      <c r="H3758" s="49"/>
      <c r="I3758" s="76"/>
      <c r="M3758" s="53"/>
    </row>
    <row r="3759" spans="1:13" x14ac:dyDescent="0.25">
      <c r="A3759" s="21" t="str">
        <f>IF(C3759="","",COUNTA($C$3:C3759))</f>
        <v/>
      </c>
      <c r="B3759" s="35" t="str">
        <f t="shared" si="74"/>
        <v/>
      </c>
      <c r="C3759" s="33"/>
      <c r="E3759" s="60"/>
      <c r="F3759" s="18"/>
      <c r="G3759" s="18"/>
      <c r="H3759" s="49"/>
      <c r="I3759" s="49"/>
      <c r="M3759" s="53"/>
    </row>
    <row r="3760" spans="1:13" x14ac:dyDescent="0.25">
      <c r="A3760" s="21" t="str">
        <f>IF(C3760="","",COUNTA($C$3:C3760))</f>
        <v/>
      </c>
      <c r="B3760" s="35" t="str">
        <f t="shared" si="74"/>
        <v/>
      </c>
      <c r="C3760" s="33"/>
      <c r="E3760" s="60"/>
      <c r="F3760" s="18"/>
      <c r="G3760" s="18"/>
      <c r="H3760" s="49"/>
      <c r="I3760" s="49"/>
      <c r="M3760" s="53"/>
    </row>
    <row r="3761" spans="1:17" x14ac:dyDescent="0.25">
      <c r="A3761" s="21" t="str">
        <f>IF(C3761="","",COUNTA($C$3:C3761))</f>
        <v/>
      </c>
      <c r="B3761" s="35" t="str">
        <f t="shared" si="74"/>
        <v/>
      </c>
      <c r="C3761" s="33"/>
      <c r="E3761" s="60"/>
      <c r="F3761" s="18"/>
      <c r="G3761" s="18"/>
      <c r="H3761" s="49"/>
      <c r="I3761" s="49"/>
      <c r="M3761" s="53"/>
    </row>
    <row r="3762" spans="1:17" x14ac:dyDescent="0.25">
      <c r="A3762" s="21" t="str">
        <f>IF(C3762="","",COUNTA($C$3:C3762))</f>
        <v/>
      </c>
      <c r="B3762" s="35" t="str">
        <f t="shared" si="74"/>
        <v/>
      </c>
      <c r="C3762" s="33"/>
      <c r="E3762" s="60"/>
      <c r="F3762" s="18"/>
      <c r="G3762" s="18"/>
      <c r="H3762" s="49"/>
      <c r="I3762" s="49"/>
      <c r="M3762" s="53"/>
    </row>
    <row r="3763" spans="1:17" x14ac:dyDescent="0.25">
      <c r="A3763" s="21" t="str">
        <f>IF(C3763="","",COUNTA($C$3:C3763))</f>
        <v/>
      </c>
      <c r="B3763" s="35" t="str">
        <f t="shared" si="74"/>
        <v/>
      </c>
      <c r="C3763" s="33"/>
      <c r="E3763" s="60"/>
      <c r="F3763" s="18"/>
      <c r="G3763" s="18"/>
      <c r="H3763" s="49"/>
      <c r="I3763" s="49"/>
      <c r="L3763" s="62"/>
      <c r="M3763" s="53"/>
    </row>
    <row r="3764" spans="1:17" x14ac:dyDescent="0.25">
      <c r="A3764" s="21" t="str">
        <f>IF(C3764="","",COUNTA($C$3:C3764))</f>
        <v/>
      </c>
      <c r="B3764" s="35" t="str">
        <f t="shared" si="74"/>
        <v/>
      </c>
      <c r="C3764" s="33"/>
      <c r="E3764" s="60"/>
      <c r="F3764" s="18"/>
      <c r="G3764" s="18"/>
      <c r="H3764" s="49"/>
      <c r="I3764" s="49"/>
      <c r="L3764" s="62"/>
      <c r="M3764" s="53"/>
    </row>
    <row r="3765" spans="1:17" x14ac:dyDescent="0.25">
      <c r="A3765" s="21" t="str">
        <f>IF(C3765="","",COUNTA($C$3:C3765))</f>
        <v/>
      </c>
      <c r="B3765" s="35" t="str">
        <f t="shared" si="74"/>
        <v/>
      </c>
      <c r="C3765" s="33"/>
      <c r="E3765" s="60"/>
      <c r="F3765" s="18"/>
      <c r="G3765" s="18"/>
      <c r="H3765" s="49"/>
      <c r="I3765" s="49"/>
      <c r="M3765" s="53"/>
    </row>
    <row r="3766" spans="1:17" x14ac:dyDescent="0.25">
      <c r="A3766" s="21" t="str">
        <f>IF(C3766="","",COUNTA($C$3:C3766))</f>
        <v/>
      </c>
      <c r="B3766" s="35" t="str">
        <f t="shared" si="74"/>
        <v/>
      </c>
      <c r="C3766" s="33"/>
      <c r="E3766" s="60"/>
      <c r="F3766" s="18"/>
      <c r="G3766" s="18"/>
      <c r="H3766" s="49"/>
      <c r="I3766" s="49"/>
      <c r="M3766" s="53"/>
    </row>
    <row r="3767" spans="1:17" x14ac:dyDescent="0.25">
      <c r="A3767" s="21" t="str">
        <f>IF(C3767="","",COUNTA($C$3:C3767))</f>
        <v/>
      </c>
      <c r="B3767" s="35" t="str">
        <f t="shared" si="74"/>
        <v/>
      </c>
      <c r="C3767" s="33"/>
      <c r="E3767" s="60"/>
      <c r="F3767" s="18"/>
      <c r="G3767" s="18"/>
      <c r="H3767" s="49"/>
      <c r="I3767" s="49"/>
      <c r="M3767" s="53"/>
    </row>
    <row r="3768" spans="1:17" x14ac:dyDescent="0.25">
      <c r="A3768" s="21" t="str">
        <f>IF(C3768="","",COUNTA($C$3:C3768))</f>
        <v/>
      </c>
      <c r="B3768" s="35" t="str">
        <f t="shared" si="74"/>
        <v/>
      </c>
      <c r="C3768" s="33"/>
      <c r="E3768" s="60"/>
      <c r="F3768" s="18"/>
      <c r="G3768" s="18"/>
      <c r="H3768" s="49"/>
      <c r="I3768" s="49"/>
      <c r="L3768" s="48"/>
      <c r="M3768" s="53"/>
    </row>
    <row r="3769" spans="1:17" x14ac:dyDescent="0.25">
      <c r="A3769" s="21" t="str">
        <f>IF(C3769="","",COUNTA($C$3:C3769))</f>
        <v/>
      </c>
      <c r="B3769" s="35" t="str">
        <f t="shared" si="74"/>
        <v/>
      </c>
      <c r="C3769" s="33"/>
      <c r="E3769" s="60"/>
      <c r="F3769" s="18"/>
      <c r="G3769" s="18"/>
      <c r="H3769" s="49"/>
      <c r="I3769" s="49"/>
      <c r="M3769" s="53"/>
    </row>
    <row r="3770" spans="1:17" x14ac:dyDescent="0.25">
      <c r="A3770" s="21" t="str">
        <f>IF(C3770="","",COUNTA($C$3:C3770))</f>
        <v/>
      </c>
      <c r="B3770" s="35" t="str">
        <f t="shared" si="74"/>
        <v/>
      </c>
      <c r="C3770" s="33"/>
      <c r="E3770" s="60"/>
      <c r="F3770" s="18"/>
      <c r="G3770" s="18"/>
      <c r="H3770" s="49"/>
      <c r="I3770" s="49"/>
      <c r="M3770" s="53"/>
      <c r="O3770" s="59"/>
      <c r="P3770" s="69"/>
      <c r="Q3770" s="59"/>
    </row>
    <row r="3771" spans="1:17" x14ac:dyDescent="0.25">
      <c r="A3771" s="21" t="str">
        <f>IF(C3771="","",COUNTA($C$3:C3771))</f>
        <v/>
      </c>
      <c r="B3771" s="35" t="str">
        <f t="shared" si="74"/>
        <v/>
      </c>
      <c r="C3771" s="33"/>
      <c r="E3771" s="60"/>
      <c r="F3771" s="18"/>
      <c r="G3771" s="18"/>
      <c r="H3771" s="49"/>
      <c r="I3771" s="49"/>
      <c r="K3771" s="67"/>
      <c r="L3771" s="62"/>
      <c r="M3771" s="53"/>
    </row>
    <row r="3772" spans="1:17" x14ac:dyDescent="0.25">
      <c r="A3772" s="21" t="str">
        <f>IF(C3772="","",COUNTA($C$3:C3772))</f>
        <v/>
      </c>
      <c r="B3772" s="35" t="str">
        <f t="shared" si="74"/>
        <v/>
      </c>
      <c r="C3772" s="33"/>
      <c r="E3772" s="60"/>
      <c r="F3772" s="18"/>
      <c r="G3772" s="18"/>
      <c r="H3772" s="49"/>
      <c r="I3772" s="49"/>
      <c r="M3772" s="53"/>
    </row>
    <row r="3773" spans="1:17" x14ac:dyDescent="0.25">
      <c r="A3773" s="21" t="str">
        <f>IF(C3773="","",COUNTA($C$3:C3773))</f>
        <v/>
      </c>
      <c r="B3773" s="35" t="str">
        <f t="shared" si="74"/>
        <v/>
      </c>
      <c r="C3773" s="33"/>
      <c r="E3773" s="60"/>
      <c r="F3773" s="18"/>
      <c r="H3773" s="49"/>
      <c r="I3773" s="49"/>
      <c r="M3773" s="53"/>
    </row>
    <row r="3774" spans="1:17" x14ac:dyDescent="0.25">
      <c r="A3774" s="21" t="str">
        <f>IF(C3774="","",COUNTA($C$3:C3774))</f>
        <v/>
      </c>
      <c r="B3774" s="35" t="str">
        <f t="shared" si="74"/>
        <v/>
      </c>
      <c r="C3774" s="33"/>
      <c r="E3774" s="60"/>
      <c r="F3774" s="18"/>
      <c r="H3774" s="49"/>
      <c r="I3774" s="49"/>
      <c r="M3774" s="53"/>
    </row>
    <row r="3775" spans="1:17" x14ac:dyDescent="0.25">
      <c r="A3775" s="21" t="str">
        <f>IF(C3775="","",COUNTA($C$3:C3775))</f>
        <v/>
      </c>
      <c r="B3775" s="35" t="str">
        <f t="shared" si="74"/>
        <v/>
      </c>
      <c r="C3775" s="33"/>
      <c r="E3775" s="60"/>
      <c r="F3775" s="18"/>
      <c r="H3775" s="49"/>
      <c r="I3775" s="49"/>
      <c r="M3775" s="53"/>
    </row>
    <row r="3776" spans="1:17" x14ac:dyDescent="0.25">
      <c r="A3776" s="21" t="str">
        <f>IF(C3776="","",COUNTA($C$3:C3776))</f>
        <v/>
      </c>
      <c r="B3776" s="35" t="str">
        <f t="shared" si="74"/>
        <v/>
      </c>
      <c r="C3776" s="33"/>
      <c r="E3776" s="60"/>
      <c r="F3776" s="18"/>
      <c r="H3776" s="49"/>
      <c r="I3776" s="49"/>
      <c r="M3776" s="53"/>
    </row>
    <row r="3777" spans="1:15" x14ac:dyDescent="0.25">
      <c r="A3777" s="21" t="str">
        <f>IF(C3777="","",COUNTA($C$3:C3777))</f>
        <v/>
      </c>
      <c r="B3777" s="35" t="str">
        <f t="shared" si="74"/>
        <v/>
      </c>
      <c r="C3777" s="33"/>
      <c r="E3777" s="60"/>
      <c r="F3777" s="18"/>
      <c r="H3777" s="49"/>
      <c r="I3777" s="49"/>
      <c r="M3777" s="53"/>
    </row>
    <row r="3778" spans="1:15" x14ac:dyDescent="0.25">
      <c r="A3778" s="21" t="str">
        <f>IF(C3778="","",COUNTA($C$3:C3778))</f>
        <v/>
      </c>
      <c r="B3778" s="35" t="str">
        <f t="shared" si="74"/>
        <v/>
      </c>
      <c r="C3778" s="33"/>
      <c r="E3778" s="60"/>
      <c r="F3778" s="18"/>
      <c r="H3778" s="49"/>
      <c r="I3778" s="49"/>
      <c r="M3778" s="53"/>
      <c r="O3778" s="59"/>
    </row>
    <row r="3779" spans="1:15" x14ac:dyDescent="0.25">
      <c r="A3779" s="21" t="str">
        <f>IF(C3779="","",COUNTA($C$3:C3779))</f>
        <v/>
      </c>
      <c r="B3779" s="35" t="str">
        <f t="shared" si="74"/>
        <v/>
      </c>
      <c r="C3779" s="33"/>
      <c r="E3779" s="60"/>
      <c r="F3779" s="18"/>
      <c r="H3779" s="49"/>
      <c r="I3779" s="49"/>
      <c r="M3779" s="53"/>
      <c r="O3779" s="59"/>
    </row>
    <row r="3780" spans="1:15" x14ac:dyDescent="0.25">
      <c r="A3780" s="21" t="str">
        <f>IF(C3780="","",COUNTA($C$3:C3780))</f>
        <v/>
      </c>
      <c r="B3780" s="35" t="str">
        <f t="shared" si="74"/>
        <v/>
      </c>
      <c r="C3780" s="33"/>
      <c r="E3780" s="60"/>
      <c r="F3780" s="18"/>
      <c r="H3780" s="49"/>
      <c r="I3780" s="49"/>
      <c r="M3780" s="53"/>
      <c r="O3780" s="59"/>
    </row>
    <row r="3781" spans="1:15" x14ac:dyDescent="0.25">
      <c r="A3781" s="21" t="str">
        <f>IF(C3781="","",COUNTA($C$3:C3781))</f>
        <v/>
      </c>
      <c r="B3781" s="35" t="str">
        <f t="shared" ref="B3781:B3844" si="75">IF(C3781="","",TEXT(C3781,"mmmm"))</f>
        <v/>
      </c>
      <c r="C3781" s="33"/>
      <c r="E3781" s="60"/>
      <c r="F3781" s="18"/>
      <c r="H3781" s="49"/>
      <c r="I3781" s="49"/>
      <c r="M3781" s="53"/>
    </row>
    <row r="3782" spans="1:15" x14ac:dyDescent="0.25">
      <c r="A3782" s="21" t="str">
        <f>IF(C3782="","",COUNTA($C$3:C3782))</f>
        <v/>
      </c>
      <c r="B3782" s="35" t="str">
        <f t="shared" si="75"/>
        <v/>
      </c>
      <c r="C3782" s="33"/>
      <c r="E3782" s="60"/>
      <c r="F3782" s="18"/>
      <c r="H3782" s="49"/>
      <c r="I3782" s="49"/>
      <c r="M3782" s="53"/>
    </row>
    <row r="3783" spans="1:15" x14ac:dyDescent="0.25">
      <c r="A3783" s="21" t="str">
        <f>IF(C3783="","",COUNTA($C$3:C3783))</f>
        <v/>
      </c>
      <c r="B3783" s="35" t="str">
        <f t="shared" si="75"/>
        <v/>
      </c>
      <c r="C3783" s="33"/>
      <c r="E3783" s="60"/>
      <c r="F3783" s="18"/>
      <c r="H3783" s="49"/>
      <c r="I3783" s="49"/>
      <c r="K3783" s="67"/>
      <c r="M3783" s="53"/>
    </row>
    <row r="3784" spans="1:15" x14ac:dyDescent="0.25">
      <c r="A3784" s="21" t="str">
        <f>IF(C3784="","",COUNTA($C$3:C3784))</f>
        <v/>
      </c>
      <c r="B3784" s="35" t="str">
        <f t="shared" si="75"/>
        <v/>
      </c>
      <c r="C3784" s="33"/>
      <c r="E3784" s="60"/>
      <c r="F3784" s="18"/>
      <c r="H3784" s="49"/>
      <c r="I3784" s="49"/>
      <c r="M3784" s="53"/>
    </row>
    <row r="3785" spans="1:15" x14ac:dyDescent="0.25">
      <c r="A3785" s="21" t="str">
        <f>IF(C3785="","",COUNTA($C$3:C3785))</f>
        <v/>
      </c>
      <c r="B3785" s="35" t="str">
        <f t="shared" si="75"/>
        <v/>
      </c>
      <c r="C3785" s="33"/>
      <c r="E3785" s="60"/>
      <c r="F3785" s="18"/>
      <c r="H3785" s="49"/>
      <c r="I3785" s="49"/>
      <c r="L3785" s="53"/>
      <c r="M3785" s="53"/>
    </row>
    <row r="3786" spans="1:15" x14ac:dyDescent="0.25">
      <c r="A3786" s="21" t="str">
        <f>IF(C3786="","",COUNTA($C$3:C3786))</f>
        <v/>
      </c>
      <c r="B3786" s="35" t="str">
        <f t="shared" si="75"/>
        <v/>
      </c>
      <c r="C3786" s="33"/>
      <c r="E3786" s="60"/>
      <c r="F3786" s="18"/>
      <c r="H3786" s="49"/>
      <c r="I3786" s="49"/>
      <c r="M3786" s="53"/>
    </row>
    <row r="3787" spans="1:15" x14ac:dyDescent="0.25">
      <c r="A3787" s="21" t="str">
        <f>IF(C3787="","",COUNTA($C$3:C3787))</f>
        <v/>
      </c>
      <c r="B3787" s="35" t="str">
        <f t="shared" si="75"/>
        <v/>
      </c>
      <c r="C3787" s="33"/>
      <c r="E3787" s="60"/>
      <c r="F3787" s="18"/>
      <c r="H3787" s="49"/>
      <c r="I3787" s="49"/>
      <c r="M3787" s="53"/>
    </row>
    <row r="3788" spans="1:15" x14ac:dyDescent="0.25">
      <c r="A3788" s="21" t="str">
        <f>IF(C3788="","",COUNTA($C$3:C3788))</f>
        <v/>
      </c>
      <c r="B3788" s="35" t="str">
        <f t="shared" si="75"/>
        <v/>
      </c>
      <c r="C3788" s="33"/>
      <c r="E3788" s="60"/>
      <c r="F3788" s="18"/>
      <c r="H3788" s="49"/>
      <c r="I3788" s="49"/>
      <c r="M3788" s="53"/>
    </row>
    <row r="3789" spans="1:15" x14ac:dyDescent="0.25">
      <c r="A3789" s="21" t="str">
        <f>IF(C3789="","",COUNTA($C$3:C3789))</f>
        <v/>
      </c>
      <c r="B3789" s="35" t="str">
        <f t="shared" si="75"/>
        <v/>
      </c>
      <c r="C3789" s="33"/>
      <c r="E3789" s="60"/>
      <c r="F3789" s="18"/>
      <c r="H3789" s="49"/>
      <c r="I3789" s="49"/>
      <c r="L3789" s="62"/>
      <c r="M3789" s="53"/>
    </row>
    <row r="3790" spans="1:15" x14ac:dyDescent="0.25">
      <c r="A3790" s="21" t="str">
        <f>IF(C3790="","",COUNTA($C$3:C3790))</f>
        <v/>
      </c>
      <c r="B3790" s="35" t="str">
        <f t="shared" si="75"/>
        <v/>
      </c>
      <c r="C3790" s="33"/>
      <c r="E3790" s="60"/>
      <c r="F3790" s="18"/>
      <c r="H3790" s="49"/>
      <c r="I3790" s="49"/>
      <c r="M3790" s="53"/>
    </row>
    <row r="3791" spans="1:15" x14ac:dyDescent="0.25">
      <c r="A3791" s="21" t="str">
        <f>IF(C3791="","",COUNTA($C$3:C3791))</f>
        <v/>
      </c>
      <c r="B3791" s="35" t="str">
        <f t="shared" si="75"/>
        <v/>
      </c>
      <c r="C3791" s="33"/>
      <c r="E3791" s="60"/>
      <c r="F3791" s="18"/>
      <c r="H3791" s="49"/>
      <c r="I3791" s="49"/>
      <c r="M3791" s="53"/>
    </row>
    <row r="3792" spans="1:15" x14ac:dyDescent="0.25">
      <c r="A3792" s="21" t="str">
        <f>IF(C3792="","",COUNTA($C$3:C3792))</f>
        <v/>
      </c>
      <c r="B3792" s="35" t="str">
        <f t="shared" si="75"/>
        <v/>
      </c>
      <c r="C3792" s="33"/>
      <c r="E3792" s="60"/>
      <c r="F3792" s="18"/>
      <c r="H3792" s="49"/>
      <c r="I3792" s="49"/>
      <c r="M3792" s="53"/>
    </row>
    <row r="3793" spans="1:13" x14ac:dyDescent="0.25">
      <c r="A3793" s="21" t="str">
        <f>IF(C3793="","",COUNTA($C$3:C3793))</f>
        <v/>
      </c>
      <c r="B3793" s="35" t="str">
        <f t="shared" si="75"/>
        <v/>
      </c>
      <c r="C3793" s="33"/>
      <c r="E3793" s="60"/>
      <c r="F3793" s="18"/>
      <c r="H3793" s="49"/>
      <c r="I3793" s="49"/>
      <c r="M3793" s="53"/>
    </row>
    <row r="3794" spans="1:13" x14ac:dyDescent="0.25">
      <c r="A3794" s="21" t="str">
        <f>IF(C3794="","",COUNTA($C$3:C3794))</f>
        <v/>
      </c>
      <c r="B3794" s="35" t="str">
        <f t="shared" si="75"/>
        <v/>
      </c>
      <c r="C3794" s="33"/>
      <c r="E3794" s="60"/>
      <c r="F3794" s="18"/>
      <c r="H3794" s="49"/>
      <c r="I3794" s="49"/>
      <c r="M3794" s="53"/>
    </row>
    <row r="3795" spans="1:13" x14ac:dyDescent="0.25">
      <c r="A3795" s="21" t="str">
        <f>IF(C3795="","",COUNTA($C$3:C3795))</f>
        <v/>
      </c>
      <c r="B3795" s="35" t="str">
        <f t="shared" si="75"/>
        <v/>
      </c>
      <c r="C3795" s="33"/>
      <c r="E3795" s="60"/>
      <c r="F3795" s="18"/>
      <c r="H3795" s="49"/>
      <c r="I3795" s="49"/>
      <c r="M3795" s="53"/>
    </row>
    <row r="3796" spans="1:13" x14ac:dyDescent="0.25">
      <c r="A3796" s="21" t="str">
        <f>IF(C3796="","",COUNTA($C$3:C3796))</f>
        <v/>
      </c>
      <c r="B3796" s="35" t="str">
        <f t="shared" si="75"/>
        <v/>
      </c>
      <c r="C3796" s="33"/>
      <c r="E3796" s="60"/>
      <c r="F3796" s="18"/>
      <c r="H3796" s="49"/>
      <c r="I3796" s="49"/>
      <c r="M3796" s="53"/>
    </row>
    <row r="3797" spans="1:13" x14ac:dyDescent="0.25">
      <c r="A3797" s="21" t="str">
        <f>IF(C3797="","",COUNTA($C$3:C3797))</f>
        <v/>
      </c>
      <c r="B3797" s="35" t="str">
        <f t="shared" si="75"/>
        <v/>
      </c>
      <c r="C3797" s="33"/>
      <c r="E3797" s="60"/>
      <c r="F3797" s="18"/>
      <c r="H3797" s="49"/>
      <c r="I3797" s="49"/>
      <c r="M3797" s="53"/>
    </row>
    <row r="3798" spans="1:13" x14ac:dyDescent="0.25">
      <c r="A3798" s="21" t="str">
        <f>IF(C3798="","",COUNTA($C$3:C3798))</f>
        <v/>
      </c>
      <c r="B3798" s="35" t="str">
        <f t="shared" si="75"/>
        <v/>
      </c>
      <c r="C3798" s="33"/>
      <c r="E3798" s="60"/>
      <c r="F3798" s="18"/>
      <c r="H3798" s="49"/>
      <c r="I3798" s="49"/>
      <c r="M3798" s="53"/>
    </row>
    <row r="3799" spans="1:13" x14ac:dyDescent="0.25">
      <c r="A3799" s="21" t="str">
        <f>IF(C3799="","",COUNTA($C$3:C3799))</f>
        <v/>
      </c>
      <c r="B3799" s="35" t="str">
        <f t="shared" si="75"/>
        <v/>
      </c>
      <c r="C3799" s="33"/>
      <c r="E3799" s="60"/>
      <c r="F3799" s="18"/>
      <c r="H3799" s="49"/>
      <c r="I3799" s="49"/>
      <c r="M3799" s="53"/>
    </row>
    <row r="3800" spans="1:13" x14ac:dyDescent="0.25">
      <c r="A3800" s="21" t="str">
        <f>IF(C3800="","",COUNTA($C$3:C3800))</f>
        <v/>
      </c>
      <c r="B3800" s="35" t="str">
        <f t="shared" si="75"/>
        <v/>
      </c>
      <c r="C3800" s="33"/>
      <c r="E3800" s="60"/>
      <c r="F3800" s="18"/>
      <c r="H3800" s="49"/>
      <c r="I3800" s="49"/>
      <c r="M3800" s="53"/>
    </row>
    <row r="3801" spans="1:13" x14ac:dyDescent="0.25">
      <c r="A3801" s="21" t="str">
        <f>IF(C3801="","",COUNTA($C$3:C3801))</f>
        <v/>
      </c>
      <c r="B3801" s="35" t="str">
        <f t="shared" si="75"/>
        <v/>
      </c>
      <c r="C3801" s="33"/>
      <c r="E3801" s="60"/>
      <c r="F3801" s="18"/>
      <c r="H3801" s="49"/>
      <c r="I3801" s="49"/>
      <c r="M3801" s="53"/>
    </row>
    <row r="3802" spans="1:13" x14ac:dyDescent="0.25">
      <c r="A3802" s="21" t="str">
        <f>IF(C3802="","",COUNTA($C$3:C3802))</f>
        <v/>
      </c>
      <c r="B3802" s="35" t="str">
        <f t="shared" si="75"/>
        <v/>
      </c>
      <c r="C3802" s="33"/>
      <c r="E3802" s="60"/>
      <c r="F3802" s="18"/>
      <c r="H3802" s="49"/>
      <c r="I3802" s="49"/>
      <c r="M3802" s="53"/>
    </row>
    <row r="3803" spans="1:13" x14ac:dyDescent="0.25">
      <c r="A3803" s="21" t="str">
        <f>IF(C3803="","",COUNTA($C$3:C3803))</f>
        <v/>
      </c>
      <c r="B3803" s="35" t="str">
        <f t="shared" si="75"/>
        <v/>
      </c>
      <c r="C3803" s="33"/>
      <c r="E3803" s="60"/>
      <c r="F3803" s="18"/>
      <c r="H3803" s="49"/>
      <c r="I3803" s="49"/>
      <c r="M3803" s="53"/>
    </row>
    <row r="3804" spans="1:13" x14ac:dyDescent="0.25">
      <c r="A3804" s="21" t="str">
        <f>IF(C3804="","",COUNTA($C$3:C3804))</f>
        <v/>
      </c>
      <c r="B3804" s="35" t="str">
        <f t="shared" si="75"/>
        <v/>
      </c>
      <c r="C3804" s="33"/>
      <c r="E3804" s="60"/>
      <c r="F3804" s="18"/>
      <c r="H3804" s="49"/>
      <c r="I3804" s="49"/>
      <c r="M3804" s="53"/>
    </row>
    <row r="3805" spans="1:13" x14ac:dyDescent="0.25">
      <c r="A3805" s="21" t="str">
        <f>IF(C3805="","",COUNTA($C$3:C3805))</f>
        <v/>
      </c>
      <c r="B3805" s="35" t="str">
        <f t="shared" si="75"/>
        <v/>
      </c>
      <c r="C3805" s="33"/>
      <c r="E3805" s="60"/>
      <c r="F3805" s="18"/>
      <c r="H3805" s="49"/>
      <c r="I3805" s="49"/>
      <c r="M3805" s="53"/>
    </row>
    <row r="3806" spans="1:13" x14ac:dyDescent="0.25">
      <c r="A3806" s="21" t="str">
        <f>IF(C3806="","",COUNTA($C$3:C3806))</f>
        <v/>
      </c>
      <c r="B3806" s="35" t="str">
        <f t="shared" si="75"/>
        <v/>
      </c>
      <c r="C3806" s="33"/>
      <c r="E3806" s="60"/>
      <c r="F3806" s="18"/>
      <c r="H3806" s="49"/>
      <c r="I3806" s="49"/>
      <c r="M3806" s="53"/>
    </row>
    <row r="3807" spans="1:13" x14ac:dyDescent="0.25">
      <c r="A3807" s="21" t="str">
        <f>IF(C3807="","",COUNTA($C$3:C3807))</f>
        <v/>
      </c>
      <c r="B3807" s="35" t="str">
        <f t="shared" si="75"/>
        <v/>
      </c>
      <c r="C3807" s="33"/>
      <c r="E3807" s="60"/>
      <c r="F3807" s="18"/>
      <c r="H3807" s="49"/>
      <c r="I3807" s="49"/>
      <c r="M3807" s="53"/>
    </row>
    <row r="3808" spans="1:13" x14ac:dyDescent="0.25">
      <c r="A3808" s="21" t="str">
        <f>IF(C3808="","",COUNTA($C$3:C3808))</f>
        <v/>
      </c>
      <c r="B3808" s="35" t="str">
        <f t="shared" si="75"/>
        <v/>
      </c>
      <c r="C3808" s="33"/>
      <c r="E3808" s="60"/>
      <c r="F3808" s="18"/>
      <c r="H3808" s="49"/>
      <c r="I3808" s="49"/>
      <c r="M3808" s="53"/>
    </row>
    <row r="3809" spans="1:17" x14ac:dyDescent="0.25">
      <c r="A3809" s="21" t="str">
        <f>IF(C3809="","",COUNTA($C$3:C3809))</f>
        <v/>
      </c>
      <c r="B3809" s="35" t="str">
        <f t="shared" si="75"/>
        <v/>
      </c>
      <c r="C3809" s="33"/>
      <c r="E3809" s="60"/>
      <c r="F3809" s="18"/>
      <c r="H3809" s="49"/>
      <c r="I3809" s="49"/>
      <c r="M3809" s="53"/>
    </row>
    <row r="3810" spans="1:17" x14ac:dyDescent="0.25">
      <c r="A3810" s="21" t="str">
        <f>IF(C3810="","",COUNTA($C$3:C3810))</f>
        <v/>
      </c>
      <c r="B3810" s="35" t="str">
        <f t="shared" si="75"/>
        <v/>
      </c>
      <c r="C3810" s="33"/>
      <c r="E3810" s="60"/>
      <c r="F3810" s="18"/>
      <c r="H3810" s="49"/>
      <c r="I3810" s="49"/>
      <c r="M3810" s="53"/>
      <c r="O3810" s="59"/>
      <c r="P3810" s="69"/>
      <c r="Q3810" s="59"/>
    </row>
    <row r="3811" spans="1:17" x14ac:dyDescent="0.25">
      <c r="A3811" s="21" t="str">
        <f>IF(C3811="","",COUNTA($C$3:C3811))</f>
        <v/>
      </c>
      <c r="B3811" s="35" t="str">
        <f t="shared" si="75"/>
        <v/>
      </c>
      <c r="C3811" s="33"/>
      <c r="E3811" s="60"/>
      <c r="F3811" s="18"/>
      <c r="H3811" s="49"/>
      <c r="I3811" s="49"/>
      <c r="M3811" s="53"/>
    </row>
    <row r="3812" spans="1:17" x14ac:dyDescent="0.25">
      <c r="A3812" s="21" t="str">
        <f>IF(C3812="","",COUNTA($C$3:C3812))</f>
        <v/>
      </c>
      <c r="B3812" s="35" t="str">
        <f t="shared" si="75"/>
        <v/>
      </c>
      <c r="C3812" s="33"/>
      <c r="E3812" s="60"/>
      <c r="F3812" s="18"/>
      <c r="H3812" s="49"/>
      <c r="I3812" s="49"/>
      <c r="K3812" s="55"/>
      <c r="M3812" s="53"/>
    </row>
    <row r="3813" spans="1:17" x14ac:dyDescent="0.25">
      <c r="A3813" s="21" t="str">
        <f>IF(C3813="","",COUNTA($C$3:C3813))</f>
        <v/>
      </c>
      <c r="B3813" s="35" t="str">
        <f t="shared" si="75"/>
        <v/>
      </c>
      <c r="C3813" s="33"/>
      <c r="E3813" s="60"/>
      <c r="F3813" s="18"/>
      <c r="H3813" s="49"/>
      <c r="I3813" s="49"/>
      <c r="M3813" s="53"/>
    </row>
    <row r="3814" spans="1:17" x14ac:dyDescent="0.25">
      <c r="A3814" s="21" t="str">
        <f>IF(C3814="","",COUNTA($C$3:C3814))</f>
        <v/>
      </c>
      <c r="B3814" s="35" t="str">
        <f t="shared" si="75"/>
        <v/>
      </c>
      <c r="C3814" s="33"/>
      <c r="E3814" s="60"/>
      <c r="F3814" s="18"/>
      <c r="H3814" s="49"/>
      <c r="I3814" s="49"/>
      <c r="M3814" s="53"/>
    </row>
    <row r="3815" spans="1:17" x14ac:dyDescent="0.25">
      <c r="A3815" s="21" t="str">
        <f>IF(C3815="","",COUNTA($C$3:C3815))</f>
        <v/>
      </c>
      <c r="B3815" s="35" t="str">
        <f t="shared" si="75"/>
        <v/>
      </c>
      <c r="C3815" s="33"/>
      <c r="E3815" s="60"/>
      <c r="F3815" s="18"/>
      <c r="H3815" s="49"/>
      <c r="I3815" s="49"/>
      <c r="M3815" s="53"/>
    </row>
    <row r="3816" spans="1:17" x14ac:dyDescent="0.25">
      <c r="A3816" s="21" t="str">
        <f>IF(C3816="","",COUNTA($C$3:C3816))</f>
        <v/>
      </c>
      <c r="B3816" s="35" t="str">
        <f t="shared" si="75"/>
        <v/>
      </c>
      <c r="C3816" s="33"/>
      <c r="E3816" s="60"/>
      <c r="F3816" s="18"/>
      <c r="H3816" s="49"/>
      <c r="I3816" s="49"/>
      <c r="M3816" s="53"/>
    </row>
    <row r="3817" spans="1:17" x14ac:dyDescent="0.25">
      <c r="A3817" s="21" t="str">
        <f>IF(C3817="","",COUNTA($C$3:C3817))</f>
        <v/>
      </c>
      <c r="B3817" s="35" t="str">
        <f t="shared" si="75"/>
        <v/>
      </c>
      <c r="C3817" s="33"/>
      <c r="E3817" s="60"/>
      <c r="F3817" s="18"/>
      <c r="H3817" s="49"/>
      <c r="I3817" s="49"/>
      <c r="L3817" s="62"/>
      <c r="M3817" s="53"/>
    </row>
    <row r="3818" spans="1:17" x14ac:dyDescent="0.25">
      <c r="A3818" s="21" t="str">
        <f>IF(C3818="","",COUNTA($C$3:C3818))</f>
        <v/>
      </c>
      <c r="B3818" s="35" t="str">
        <f t="shared" si="75"/>
        <v/>
      </c>
      <c r="C3818" s="33"/>
      <c r="E3818" s="60"/>
      <c r="F3818" s="18"/>
      <c r="H3818" s="49"/>
      <c r="I3818" s="49"/>
      <c r="M3818" s="53"/>
    </row>
    <row r="3819" spans="1:17" x14ac:dyDescent="0.25">
      <c r="A3819" s="21" t="str">
        <f>IF(C3819="","",COUNTA($C$3:C3819))</f>
        <v/>
      </c>
      <c r="B3819" s="35" t="str">
        <f t="shared" si="75"/>
        <v/>
      </c>
      <c r="C3819" s="33"/>
      <c r="E3819" s="60"/>
      <c r="F3819" s="18"/>
      <c r="H3819" s="49"/>
      <c r="I3819" s="49"/>
      <c r="M3819" s="53"/>
    </row>
    <row r="3820" spans="1:17" x14ac:dyDescent="0.25">
      <c r="A3820" s="21" t="str">
        <f>IF(C3820="","",COUNTA($C$3:C3820))</f>
        <v/>
      </c>
      <c r="B3820" s="35" t="str">
        <f t="shared" si="75"/>
        <v/>
      </c>
      <c r="C3820" s="33"/>
      <c r="E3820" s="60"/>
      <c r="F3820" s="18"/>
      <c r="H3820" s="49"/>
      <c r="I3820" s="49"/>
      <c r="M3820" s="53"/>
    </row>
    <row r="3821" spans="1:17" x14ac:dyDescent="0.25">
      <c r="A3821" s="21" t="str">
        <f>IF(C3821="","",COUNTA($C$3:C3821))</f>
        <v/>
      </c>
      <c r="B3821" s="35" t="str">
        <f t="shared" si="75"/>
        <v/>
      </c>
      <c r="C3821" s="33"/>
      <c r="E3821" s="60"/>
      <c r="F3821" s="18"/>
      <c r="H3821" s="49"/>
      <c r="I3821" s="49"/>
      <c r="M3821" s="53"/>
    </row>
    <row r="3822" spans="1:17" x14ac:dyDescent="0.25">
      <c r="A3822" s="21" t="str">
        <f>IF(C3822="","",COUNTA($C$3:C3822))</f>
        <v/>
      </c>
      <c r="B3822" s="35" t="str">
        <f t="shared" si="75"/>
        <v/>
      </c>
      <c r="C3822" s="33"/>
      <c r="E3822" s="60"/>
      <c r="F3822" s="18"/>
      <c r="H3822" s="49"/>
      <c r="I3822" s="49"/>
      <c r="M3822" s="53"/>
    </row>
    <row r="3823" spans="1:17" x14ac:dyDescent="0.25">
      <c r="A3823" s="21" t="str">
        <f>IF(C3823="","",COUNTA($C$3:C3823))</f>
        <v/>
      </c>
      <c r="B3823" s="35" t="str">
        <f t="shared" si="75"/>
        <v/>
      </c>
      <c r="C3823" s="33"/>
      <c r="E3823" s="60"/>
      <c r="F3823" s="18"/>
      <c r="H3823" s="49"/>
      <c r="I3823" s="49"/>
      <c r="M3823" s="53"/>
    </row>
    <row r="3824" spans="1:17" x14ac:dyDescent="0.25">
      <c r="A3824" s="21" t="str">
        <f>IF(C3824="","",COUNTA($C$3:C3824))</f>
        <v/>
      </c>
      <c r="B3824" s="35" t="str">
        <f t="shared" si="75"/>
        <v/>
      </c>
      <c r="C3824" s="33"/>
      <c r="E3824" s="60"/>
      <c r="F3824" s="18"/>
      <c r="H3824" s="49"/>
      <c r="I3824" s="49"/>
      <c r="M3824" s="53"/>
    </row>
    <row r="3825" spans="1:13" x14ac:dyDescent="0.25">
      <c r="A3825" s="21" t="str">
        <f>IF(C3825="","",COUNTA($C$3:C3825))</f>
        <v/>
      </c>
      <c r="B3825" s="35" t="str">
        <f t="shared" si="75"/>
        <v/>
      </c>
      <c r="C3825" s="33"/>
      <c r="E3825" s="60"/>
      <c r="F3825" s="18"/>
      <c r="H3825" s="49"/>
      <c r="I3825" s="49"/>
      <c r="L3825" s="62"/>
      <c r="M3825" s="53"/>
    </row>
    <row r="3826" spans="1:13" x14ac:dyDescent="0.25">
      <c r="A3826" s="21" t="str">
        <f>IF(C3826="","",COUNTA($C$3:C3826))</f>
        <v/>
      </c>
      <c r="B3826" s="35" t="str">
        <f t="shared" si="75"/>
        <v/>
      </c>
      <c r="C3826" s="33"/>
      <c r="E3826" s="60"/>
      <c r="F3826" s="18"/>
      <c r="H3826" s="49"/>
      <c r="I3826" s="49"/>
      <c r="M3826" s="53"/>
    </row>
    <row r="3827" spans="1:13" x14ac:dyDescent="0.25">
      <c r="A3827" s="21" t="str">
        <f>IF(C3827="","",COUNTA($C$3:C3827))</f>
        <v/>
      </c>
      <c r="B3827" s="35" t="str">
        <f t="shared" si="75"/>
        <v/>
      </c>
      <c r="C3827" s="33"/>
      <c r="E3827" s="60"/>
      <c r="F3827" s="18"/>
      <c r="H3827" s="49"/>
      <c r="I3827" s="49"/>
      <c r="M3827" s="53"/>
    </row>
    <row r="3828" spans="1:13" x14ac:dyDescent="0.25">
      <c r="A3828" s="21" t="str">
        <f>IF(C3828="","",COUNTA($C$3:C3828))</f>
        <v/>
      </c>
      <c r="B3828" s="35" t="str">
        <f t="shared" si="75"/>
        <v/>
      </c>
      <c r="C3828" s="33"/>
      <c r="E3828" s="60"/>
      <c r="F3828" s="18"/>
      <c r="H3828" s="49"/>
      <c r="I3828" s="49"/>
      <c r="M3828" s="53"/>
    </row>
    <row r="3829" spans="1:13" x14ac:dyDescent="0.25">
      <c r="A3829" s="21" t="str">
        <f>IF(C3829="","",COUNTA($C$3:C3829))</f>
        <v/>
      </c>
      <c r="B3829" s="35" t="str">
        <f t="shared" si="75"/>
        <v/>
      </c>
      <c r="C3829" s="33"/>
      <c r="E3829" s="60"/>
      <c r="F3829" s="18"/>
      <c r="H3829" s="49"/>
      <c r="I3829" s="49"/>
      <c r="M3829" s="53"/>
    </row>
    <row r="3830" spans="1:13" x14ac:dyDescent="0.25">
      <c r="A3830" s="21" t="str">
        <f>IF(C3830="","",COUNTA($C$3:C3830))</f>
        <v/>
      </c>
      <c r="B3830" s="35" t="str">
        <f t="shared" si="75"/>
        <v/>
      </c>
      <c r="C3830" s="33"/>
      <c r="E3830" s="60"/>
      <c r="F3830" s="18"/>
      <c r="H3830" s="49"/>
      <c r="I3830" s="49"/>
      <c r="M3830" s="53"/>
    </row>
    <row r="3831" spans="1:13" x14ac:dyDescent="0.25">
      <c r="A3831" s="21" t="str">
        <f>IF(C3831="","",COUNTA($C$3:C3831))</f>
        <v/>
      </c>
      <c r="B3831" s="35" t="str">
        <f t="shared" si="75"/>
        <v/>
      </c>
      <c r="C3831" s="33"/>
      <c r="E3831" s="60"/>
      <c r="F3831" s="18"/>
      <c r="H3831" s="49"/>
      <c r="I3831" s="49"/>
      <c r="M3831" s="53"/>
    </row>
    <row r="3832" spans="1:13" x14ac:dyDescent="0.25">
      <c r="A3832" s="21" t="str">
        <f>IF(C3832="","",COUNTA($C$3:C3832))</f>
        <v/>
      </c>
      <c r="B3832" s="35" t="str">
        <f t="shared" si="75"/>
        <v/>
      </c>
      <c r="C3832" s="33"/>
      <c r="E3832" s="60"/>
      <c r="F3832" s="18"/>
      <c r="H3832" s="49"/>
      <c r="I3832" s="49"/>
      <c r="M3832" s="53"/>
    </row>
    <row r="3833" spans="1:13" x14ac:dyDescent="0.25">
      <c r="A3833" s="21" t="str">
        <f>IF(C3833="","",COUNTA($C$3:C3833))</f>
        <v/>
      </c>
      <c r="B3833" s="35" t="str">
        <f t="shared" si="75"/>
        <v/>
      </c>
      <c r="C3833" s="33"/>
      <c r="E3833" s="60"/>
      <c r="F3833" s="18"/>
      <c r="H3833" s="49"/>
      <c r="I3833" s="49"/>
      <c r="M3833" s="53"/>
    </row>
    <row r="3834" spans="1:13" x14ac:dyDescent="0.25">
      <c r="A3834" s="21" t="str">
        <f>IF(C3834="","",COUNTA($C$3:C3834))</f>
        <v/>
      </c>
      <c r="B3834" s="35" t="str">
        <f t="shared" si="75"/>
        <v/>
      </c>
      <c r="C3834" s="33"/>
      <c r="E3834" s="60"/>
      <c r="F3834" s="18"/>
      <c r="H3834" s="49"/>
      <c r="I3834" s="49"/>
      <c r="M3834" s="53"/>
    </row>
    <row r="3835" spans="1:13" x14ac:dyDescent="0.25">
      <c r="A3835" s="21" t="str">
        <f>IF(C3835="","",COUNTA($C$3:C3835))</f>
        <v/>
      </c>
      <c r="B3835" s="35" t="str">
        <f t="shared" si="75"/>
        <v/>
      </c>
      <c r="C3835" s="33"/>
      <c r="E3835" s="60"/>
      <c r="F3835" s="18"/>
      <c r="H3835" s="49"/>
      <c r="I3835" s="49"/>
      <c r="M3835" s="53"/>
    </row>
    <row r="3836" spans="1:13" x14ac:dyDescent="0.25">
      <c r="A3836" s="21" t="str">
        <f>IF(C3836="","",COUNTA($C$3:C3836))</f>
        <v/>
      </c>
      <c r="B3836" s="35" t="str">
        <f t="shared" si="75"/>
        <v/>
      </c>
      <c r="C3836" s="33"/>
      <c r="E3836" s="60"/>
      <c r="F3836" s="18"/>
      <c r="H3836" s="49"/>
      <c r="I3836" s="49"/>
      <c r="M3836" s="53"/>
    </row>
    <row r="3837" spans="1:13" x14ac:dyDescent="0.25">
      <c r="A3837" s="21" t="str">
        <f>IF(C3837="","",COUNTA($C$3:C3837))</f>
        <v/>
      </c>
      <c r="B3837" s="35" t="str">
        <f t="shared" si="75"/>
        <v/>
      </c>
      <c r="C3837" s="33"/>
      <c r="E3837" s="60"/>
      <c r="F3837" s="18"/>
      <c r="H3837" s="49"/>
      <c r="I3837" s="49"/>
      <c r="M3837" s="53"/>
    </row>
    <row r="3838" spans="1:13" x14ac:dyDescent="0.25">
      <c r="A3838" s="21" t="str">
        <f>IF(C3838="","",COUNTA($C$3:C3838))</f>
        <v/>
      </c>
      <c r="B3838" s="35" t="str">
        <f t="shared" si="75"/>
        <v/>
      </c>
      <c r="C3838" s="33"/>
      <c r="E3838" s="60"/>
      <c r="F3838" s="18"/>
      <c r="H3838" s="49"/>
      <c r="I3838" s="49"/>
      <c r="M3838" s="53"/>
    </row>
    <row r="3839" spans="1:13" x14ac:dyDescent="0.25">
      <c r="A3839" s="21" t="str">
        <f>IF(C3839="","",COUNTA($C$3:C3839))</f>
        <v/>
      </c>
      <c r="B3839" s="35" t="str">
        <f t="shared" si="75"/>
        <v/>
      </c>
      <c r="C3839" s="33"/>
      <c r="E3839" s="60"/>
      <c r="F3839" s="18"/>
      <c r="H3839" s="49"/>
      <c r="I3839" s="49"/>
      <c r="L3839" s="53"/>
      <c r="M3839" s="53"/>
    </row>
    <row r="3840" spans="1:13" x14ac:dyDescent="0.25">
      <c r="A3840" s="21" t="str">
        <f>IF(C3840="","",COUNTA($C$3:C3840))</f>
        <v/>
      </c>
      <c r="B3840" s="35" t="str">
        <f t="shared" si="75"/>
        <v/>
      </c>
      <c r="C3840" s="33"/>
      <c r="E3840" s="60"/>
      <c r="F3840" s="18"/>
      <c r="H3840" s="49"/>
      <c r="I3840" s="49"/>
      <c r="M3840" s="53"/>
    </row>
    <row r="3841" spans="1:13" x14ac:dyDescent="0.25">
      <c r="A3841" s="21" t="str">
        <f>IF(C3841="","",COUNTA($C$3:C3841))</f>
        <v/>
      </c>
      <c r="B3841" s="35" t="str">
        <f t="shared" si="75"/>
        <v/>
      </c>
      <c r="C3841" s="33"/>
      <c r="E3841" s="60"/>
      <c r="F3841" s="18"/>
      <c r="H3841" s="49"/>
      <c r="I3841" s="76"/>
      <c r="M3841" s="53"/>
    </row>
    <row r="3842" spans="1:13" x14ac:dyDescent="0.25">
      <c r="A3842" s="21" t="str">
        <f>IF(C3842="","",COUNTA($C$3:C3842))</f>
        <v/>
      </c>
      <c r="B3842" s="35" t="str">
        <f t="shared" si="75"/>
        <v/>
      </c>
      <c r="C3842" s="33"/>
      <c r="E3842" s="60"/>
      <c r="F3842" s="18"/>
      <c r="H3842" s="49"/>
      <c r="I3842" s="49"/>
      <c r="M3842" s="53"/>
    </row>
    <row r="3843" spans="1:13" x14ac:dyDescent="0.25">
      <c r="A3843" s="21" t="str">
        <f>IF(C3843="","",COUNTA($C$3:C3843))</f>
        <v/>
      </c>
      <c r="B3843" s="35" t="str">
        <f t="shared" si="75"/>
        <v/>
      </c>
      <c r="C3843" s="33"/>
      <c r="E3843" s="60"/>
      <c r="F3843" s="18"/>
      <c r="H3843" s="49"/>
      <c r="I3843" s="49"/>
      <c r="M3843" s="53"/>
    </row>
    <row r="3844" spans="1:13" x14ac:dyDescent="0.25">
      <c r="A3844" s="21" t="str">
        <f>IF(C3844="","",COUNTA($C$3:C3844))</f>
        <v/>
      </c>
      <c r="B3844" s="35" t="str">
        <f t="shared" si="75"/>
        <v/>
      </c>
      <c r="C3844" s="33"/>
      <c r="E3844" s="60"/>
      <c r="F3844" s="18"/>
      <c r="H3844" s="49"/>
      <c r="I3844" s="49"/>
      <c r="M3844" s="53"/>
    </row>
    <row r="3845" spans="1:13" x14ac:dyDescent="0.25">
      <c r="A3845" s="21" t="str">
        <f>IF(C3845="","",COUNTA($C$3:C3845))</f>
        <v/>
      </c>
      <c r="B3845" s="35" t="str">
        <f t="shared" ref="B3845:B3908" si="76">IF(C3845="","",TEXT(C3845,"mmmm"))</f>
        <v/>
      </c>
      <c r="C3845" s="33"/>
      <c r="E3845" s="60"/>
      <c r="F3845" s="18"/>
      <c r="H3845" s="49"/>
      <c r="I3845" s="49"/>
      <c r="M3845" s="53"/>
    </row>
    <row r="3846" spans="1:13" x14ac:dyDescent="0.25">
      <c r="A3846" s="21" t="str">
        <f>IF(C3846="","",COUNTA($C$3:C3846))</f>
        <v/>
      </c>
      <c r="B3846" s="35" t="str">
        <f t="shared" si="76"/>
        <v/>
      </c>
      <c r="C3846" s="33"/>
      <c r="E3846" s="60"/>
      <c r="F3846" s="18"/>
      <c r="H3846" s="49"/>
      <c r="I3846" s="49"/>
      <c r="M3846" s="53"/>
    </row>
    <row r="3847" spans="1:13" x14ac:dyDescent="0.25">
      <c r="A3847" s="21" t="str">
        <f>IF(C3847="","",COUNTA($C$3:C3847))</f>
        <v/>
      </c>
      <c r="B3847" s="35" t="str">
        <f t="shared" si="76"/>
        <v/>
      </c>
      <c r="C3847" s="33"/>
      <c r="E3847" s="60"/>
      <c r="F3847" s="18"/>
      <c r="H3847" s="49"/>
      <c r="I3847" s="76"/>
      <c r="M3847" s="53"/>
    </row>
    <row r="3848" spans="1:13" x14ac:dyDescent="0.25">
      <c r="A3848" s="21" t="str">
        <f>IF(C3848="","",COUNTA($C$3:C3848))</f>
        <v/>
      </c>
      <c r="B3848" s="35" t="str">
        <f t="shared" si="76"/>
        <v/>
      </c>
      <c r="C3848" s="33"/>
      <c r="E3848" s="60"/>
      <c r="F3848" s="18"/>
      <c r="H3848" s="49"/>
      <c r="I3848" s="49"/>
      <c r="M3848" s="53"/>
    </row>
    <row r="3849" spans="1:13" x14ac:dyDescent="0.25">
      <c r="A3849" s="21" t="str">
        <f>IF(C3849="","",COUNTA($C$3:C3849))</f>
        <v/>
      </c>
      <c r="B3849" s="35" t="str">
        <f t="shared" si="76"/>
        <v/>
      </c>
      <c r="C3849" s="33"/>
      <c r="E3849" s="60"/>
      <c r="F3849" s="18"/>
      <c r="H3849" s="49"/>
      <c r="I3849" s="49"/>
      <c r="M3849" s="53"/>
    </row>
    <row r="3850" spans="1:13" x14ac:dyDescent="0.25">
      <c r="A3850" s="21" t="str">
        <f>IF(C3850="","",COUNTA($C$3:C3850))</f>
        <v/>
      </c>
      <c r="B3850" s="35" t="str">
        <f t="shared" si="76"/>
        <v/>
      </c>
      <c r="C3850" s="33"/>
      <c r="E3850" s="60"/>
      <c r="F3850" s="18"/>
      <c r="H3850" s="49"/>
      <c r="I3850" s="49"/>
      <c r="M3850" s="53"/>
    </row>
    <row r="3851" spans="1:13" x14ac:dyDescent="0.25">
      <c r="A3851" s="21" t="str">
        <f>IF(C3851="","",COUNTA($C$3:C3851))</f>
        <v/>
      </c>
      <c r="B3851" s="35" t="str">
        <f t="shared" si="76"/>
        <v/>
      </c>
      <c r="C3851" s="33"/>
      <c r="E3851" s="60"/>
      <c r="F3851" s="18"/>
      <c r="H3851" s="49"/>
      <c r="I3851" s="49"/>
      <c r="M3851" s="53"/>
    </row>
    <row r="3852" spans="1:13" x14ac:dyDescent="0.25">
      <c r="A3852" s="21" t="str">
        <f>IF(C3852="","",COUNTA($C$3:C3852))</f>
        <v/>
      </c>
      <c r="B3852" s="35" t="str">
        <f t="shared" si="76"/>
        <v/>
      </c>
      <c r="C3852" s="33"/>
      <c r="E3852" s="60"/>
      <c r="F3852" s="18"/>
      <c r="H3852" s="49"/>
      <c r="I3852" s="49"/>
      <c r="M3852" s="53"/>
    </row>
    <row r="3853" spans="1:13" x14ac:dyDescent="0.25">
      <c r="A3853" s="21" t="str">
        <f>IF(C3853="","",COUNTA($C$3:C3853))</f>
        <v/>
      </c>
      <c r="B3853" s="35" t="str">
        <f t="shared" si="76"/>
        <v/>
      </c>
      <c r="C3853" s="33"/>
      <c r="E3853" s="60"/>
      <c r="F3853" s="18"/>
      <c r="H3853" s="49"/>
      <c r="I3853" s="49"/>
      <c r="M3853" s="53"/>
    </row>
    <row r="3854" spans="1:13" x14ac:dyDescent="0.25">
      <c r="A3854" s="21" t="str">
        <f>IF(C3854="","",COUNTA($C$3:C3854))</f>
        <v/>
      </c>
      <c r="B3854" s="35" t="str">
        <f t="shared" si="76"/>
        <v/>
      </c>
      <c r="C3854" s="33"/>
      <c r="E3854" s="60"/>
      <c r="F3854" s="18"/>
      <c r="H3854" s="49"/>
      <c r="I3854" s="49"/>
      <c r="M3854" s="53"/>
    </row>
    <row r="3855" spans="1:13" x14ac:dyDescent="0.25">
      <c r="A3855" s="21" t="str">
        <f>IF(C3855="","",COUNTA($C$3:C3855))</f>
        <v/>
      </c>
      <c r="B3855" s="35" t="str">
        <f t="shared" si="76"/>
        <v/>
      </c>
      <c r="C3855" s="33"/>
      <c r="E3855" s="60"/>
      <c r="F3855" s="18"/>
      <c r="H3855" s="49"/>
      <c r="I3855" s="49"/>
      <c r="M3855" s="53"/>
    </row>
    <row r="3856" spans="1:13" x14ac:dyDescent="0.25">
      <c r="A3856" s="21" t="str">
        <f>IF(C3856="","",COUNTA($C$3:C3856))</f>
        <v/>
      </c>
      <c r="B3856" s="35" t="str">
        <f t="shared" si="76"/>
        <v/>
      </c>
      <c r="C3856" s="33"/>
      <c r="E3856" s="60"/>
      <c r="F3856" s="18"/>
      <c r="H3856" s="49"/>
      <c r="I3856" s="49"/>
      <c r="M3856" s="53"/>
    </row>
    <row r="3857" spans="1:17" x14ac:dyDescent="0.25">
      <c r="A3857" s="21" t="str">
        <f>IF(C3857="","",COUNTA($C$3:C3857))</f>
        <v/>
      </c>
      <c r="B3857" s="35" t="str">
        <f t="shared" si="76"/>
        <v/>
      </c>
      <c r="C3857" s="33"/>
      <c r="E3857" s="60"/>
      <c r="F3857" s="18"/>
      <c r="H3857" s="49"/>
      <c r="I3857" s="49"/>
      <c r="M3857" s="53"/>
    </row>
    <row r="3858" spans="1:17" x14ac:dyDescent="0.25">
      <c r="A3858" s="21" t="str">
        <f>IF(C3858="","",COUNTA($C$3:C3858))</f>
        <v/>
      </c>
      <c r="B3858" s="35" t="str">
        <f t="shared" si="76"/>
        <v/>
      </c>
      <c r="C3858" s="33"/>
      <c r="E3858" s="60"/>
      <c r="F3858" s="18"/>
      <c r="H3858" s="49"/>
      <c r="I3858" s="49"/>
      <c r="M3858" s="53"/>
    </row>
    <row r="3859" spans="1:17" x14ac:dyDescent="0.25">
      <c r="A3859" s="21" t="str">
        <f>IF(C3859="","",COUNTA($C$3:C3859))</f>
        <v/>
      </c>
      <c r="B3859" s="35" t="str">
        <f t="shared" si="76"/>
        <v/>
      </c>
      <c r="C3859" s="33"/>
      <c r="E3859" s="60"/>
      <c r="F3859" s="18"/>
      <c r="H3859" s="49"/>
      <c r="I3859" s="49"/>
      <c r="M3859" s="53"/>
    </row>
    <row r="3860" spans="1:17" x14ac:dyDescent="0.25">
      <c r="A3860" s="21" t="str">
        <f>IF(C3860="","",COUNTA($C$3:C3860))</f>
        <v/>
      </c>
      <c r="B3860" s="35" t="str">
        <f t="shared" si="76"/>
        <v/>
      </c>
      <c r="C3860" s="33"/>
      <c r="E3860" s="60"/>
      <c r="F3860" s="18"/>
      <c r="H3860" s="49"/>
      <c r="I3860" s="49"/>
      <c r="M3860" s="53"/>
    </row>
    <row r="3861" spans="1:17" x14ac:dyDescent="0.25">
      <c r="A3861" s="21" t="str">
        <f>IF(C3861="","",COUNTA($C$3:C3861))</f>
        <v/>
      </c>
      <c r="B3861" s="35" t="str">
        <f t="shared" si="76"/>
        <v/>
      </c>
      <c r="C3861" s="33"/>
      <c r="E3861" s="60"/>
      <c r="F3861" s="18"/>
      <c r="H3861" s="49"/>
      <c r="I3861" s="49"/>
      <c r="M3861" s="53"/>
    </row>
    <row r="3862" spans="1:17" x14ac:dyDescent="0.25">
      <c r="A3862" s="21" t="str">
        <f>IF(C3862="","",COUNTA($C$3:C3862))</f>
        <v/>
      </c>
      <c r="B3862" s="35" t="str">
        <f t="shared" si="76"/>
        <v/>
      </c>
      <c r="C3862" s="33"/>
      <c r="E3862" s="60"/>
      <c r="F3862" s="18"/>
      <c r="H3862" s="49"/>
      <c r="I3862" s="49"/>
      <c r="M3862" s="53"/>
    </row>
    <row r="3863" spans="1:17" x14ac:dyDescent="0.25">
      <c r="A3863" s="21" t="str">
        <f>IF(C3863="","",COUNTA($C$3:C3863))</f>
        <v/>
      </c>
      <c r="B3863" s="35" t="str">
        <f t="shared" si="76"/>
        <v/>
      </c>
      <c r="C3863" s="33"/>
      <c r="E3863" s="60"/>
      <c r="F3863" s="18"/>
      <c r="H3863" s="49"/>
      <c r="I3863" s="49"/>
      <c r="M3863" s="53"/>
    </row>
    <row r="3864" spans="1:17" x14ac:dyDescent="0.25">
      <c r="A3864" s="21" t="str">
        <f>IF(C3864="","",COUNTA($C$3:C3864))</f>
        <v/>
      </c>
      <c r="B3864" s="35" t="str">
        <f t="shared" si="76"/>
        <v/>
      </c>
      <c r="C3864" s="33"/>
      <c r="E3864" s="60"/>
      <c r="F3864" s="18"/>
      <c r="H3864" s="49"/>
      <c r="I3864" s="49"/>
      <c r="M3864" s="53"/>
    </row>
    <row r="3865" spans="1:17" x14ac:dyDescent="0.25">
      <c r="A3865" s="21" t="str">
        <f>IF(C3865="","",COUNTA($C$3:C3865))</f>
        <v/>
      </c>
      <c r="B3865" s="35" t="str">
        <f t="shared" si="76"/>
        <v/>
      </c>
      <c r="C3865" s="33"/>
      <c r="E3865" s="60"/>
      <c r="F3865" s="18"/>
      <c r="H3865" s="49"/>
      <c r="I3865" s="49"/>
      <c r="M3865" s="53"/>
      <c r="O3865" s="59"/>
      <c r="P3865" s="69"/>
      <c r="Q3865" s="59"/>
    </row>
    <row r="3866" spans="1:17" x14ac:dyDescent="0.25">
      <c r="A3866" s="21" t="str">
        <f>IF(C3866="","",COUNTA($C$3:C3866))</f>
        <v/>
      </c>
      <c r="B3866" s="35" t="str">
        <f t="shared" si="76"/>
        <v/>
      </c>
      <c r="C3866" s="33"/>
      <c r="E3866" s="60"/>
      <c r="F3866" s="18"/>
      <c r="H3866" s="49"/>
      <c r="I3866" s="49"/>
      <c r="M3866" s="53"/>
      <c r="O3866" s="59"/>
      <c r="P3866" s="69"/>
      <c r="Q3866" s="59"/>
    </row>
    <row r="3867" spans="1:17" x14ac:dyDescent="0.25">
      <c r="A3867" s="21" t="str">
        <f>IF(C3867="","",COUNTA($C$3:C3867))</f>
        <v/>
      </c>
      <c r="B3867" s="35" t="str">
        <f t="shared" si="76"/>
        <v/>
      </c>
      <c r="C3867" s="33"/>
      <c r="E3867" s="60"/>
      <c r="F3867" s="18"/>
      <c r="H3867" s="49"/>
      <c r="I3867" s="49"/>
      <c r="K3867" s="55"/>
      <c r="M3867" s="53"/>
      <c r="O3867" s="59"/>
      <c r="P3867" s="69"/>
      <c r="Q3867" s="59"/>
    </row>
    <row r="3868" spans="1:17" x14ac:dyDescent="0.25">
      <c r="A3868" s="21" t="str">
        <f>IF(C3868="","",COUNTA($C$3:C3868))</f>
        <v/>
      </c>
      <c r="B3868" s="35" t="str">
        <f t="shared" si="76"/>
        <v/>
      </c>
      <c r="C3868" s="33"/>
      <c r="E3868" s="60"/>
      <c r="F3868" s="18"/>
      <c r="H3868" s="49"/>
      <c r="I3868" s="49"/>
      <c r="M3868" s="53"/>
      <c r="O3868" s="59"/>
      <c r="P3868" s="71"/>
      <c r="Q3868" s="59"/>
    </row>
    <row r="3869" spans="1:17" x14ac:dyDescent="0.25">
      <c r="A3869" s="21" t="str">
        <f>IF(C3869="","",COUNTA($C$3:C3869))</f>
        <v/>
      </c>
      <c r="B3869" s="35" t="str">
        <f t="shared" si="76"/>
        <v/>
      </c>
      <c r="C3869" s="33"/>
      <c r="E3869" s="60"/>
      <c r="F3869" s="18"/>
      <c r="H3869" s="49"/>
      <c r="I3869" s="49"/>
      <c r="M3869" s="53"/>
      <c r="O3869" s="59"/>
      <c r="P3869" s="71"/>
      <c r="Q3869" s="59"/>
    </row>
    <row r="3870" spans="1:17" x14ac:dyDescent="0.25">
      <c r="A3870" s="21" t="str">
        <f>IF(C3870="","",COUNTA($C$3:C3870))</f>
        <v/>
      </c>
      <c r="B3870" s="35" t="str">
        <f t="shared" si="76"/>
        <v/>
      </c>
      <c r="C3870" s="33"/>
      <c r="E3870" s="60"/>
      <c r="F3870" s="18"/>
      <c r="H3870" s="49"/>
      <c r="I3870" s="49"/>
      <c r="M3870" s="53"/>
    </row>
    <row r="3871" spans="1:17" x14ac:dyDescent="0.25">
      <c r="A3871" s="21" t="str">
        <f>IF(C3871="","",COUNTA($C$3:C3871))</f>
        <v/>
      </c>
      <c r="B3871" s="35" t="str">
        <f t="shared" si="76"/>
        <v/>
      </c>
      <c r="C3871" s="33"/>
      <c r="E3871" s="60"/>
      <c r="F3871" s="18"/>
      <c r="H3871" s="49"/>
      <c r="I3871" s="49"/>
      <c r="M3871" s="53"/>
    </row>
    <row r="3872" spans="1:17" x14ac:dyDescent="0.25">
      <c r="A3872" s="21" t="str">
        <f>IF(C3872="","",COUNTA($C$3:C3872))</f>
        <v/>
      </c>
      <c r="B3872" s="35" t="str">
        <f t="shared" si="76"/>
        <v/>
      </c>
      <c r="C3872" s="33"/>
      <c r="E3872" s="60"/>
      <c r="F3872" s="18"/>
      <c r="H3872" s="49"/>
      <c r="I3872" s="49"/>
      <c r="M3872" s="53"/>
    </row>
    <row r="3873" spans="1:13" x14ac:dyDescent="0.25">
      <c r="A3873" s="21" t="str">
        <f>IF(C3873="","",COUNTA($C$3:C3873))</f>
        <v/>
      </c>
      <c r="B3873" s="35" t="str">
        <f t="shared" si="76"/>
        <v/>
      </c>
      <c r="C3873" s="33"/>
      <c r="E3873" s="60"/>
      <c r="F3873" s="18"/>
      <c r="H3873" s="49"/>
      <c r="I3873" s="49"/>
      <c r="M3873" s="53"/>
    </row>
    <row r="3874" spans="1:13" x14ac:dyDescent="0.25">
      <c r="A3874" s="21" t="str">
        <f>IF(C3874="","",COUNTA($C$3:C3874))</f>
        <v/>
      </c>
      <c r="B3874" s="35" t="str">
        <f t="shared" si="76"/>
        <v/>
      </c>
      <c r="C3874" s="33"/>
      <c r="E3874" s="60"/>
      <c r="F3874" s="18"/>
      <c r="H3874" s="49"/>
      <c r="I3874" s="49"/>
      <c r="M3874" s="53"/>
    </row>
    <row r="3875" spans="1:13" x14ac:dyDescent="0.25">
      <c r="A3875" s="21" t="str">
        <f>IF(C3875="","",COUNTA($C$3:C3875))</f>
        <v/>
      </c>
      <c r="B3875" s="35" t="str">
        <f t="shared" si="76"/>
        <v/>
      </c>
      <c r="C3875" s="33"/>
      <c r="E3875" s="60"/>
      <c r="F3875" s="18"/>
      <c r="H3875" s="49"/>
      <c r="I3875" s="49"/>
      <c r="M3875" s="53"/>
    </row>
    <row r="3876" spans="1:13" x14ac:dyDescent="0.25">
      <c r="A3876" s="21" t="str">
        <f>IF(C3876="","",COUNTA($C$3:C3876))</f>
        <v/>
      </c>
      <c r="B3876" s="35" t="str">
        <f t="shared" si="76"/>
        <v/>
      </c>
      <c r="C3876" s="33"/>
      <c r="E3876" s="60"/>
      <c r="F3876" s="18"/>
      <c r="H3876" s="49"/>
      <c r="I3876" s="49"/>
      <c r="M3876" s="53"/>
    </row>
    <row r="3877" spans="1:13" x14ac:dyDescent="0.25">
      <c r="A3877" s="21" t="str">
        <f>IF(C3877="","",COUNTA($C$3:C3877))</f>
        <v/>
      </c>
      <c r="B3877" s="35" t="str">
        <f t="shared" si="76"/>
        <v/>
      </c>
      <c r="C3877" s="33"/>
      <c r="E3877" s="60"/>
      <c r="F3877" s="18"/>
      <c r="H3877" s="49"/>
      <c r="I3877" s="49"/>
      <c r="M3877" s="53"/>
    </row>
    <row r="3878" spans="1:13" x14ac:dyDescent="0.25">
      <c r="A3878" s="21" t="str">
        <f>IF(C3878="","",COUNTA($C$3:C3878))</f>
        <v/>
      </c>
      <c r="B3878" s="35" t="str">
        <f t="shared" si="76"/>
        <v/>
      </c>
      <c r="C3878" s="33"/>
      <c r="E3878" s="60"/>
      <c r="F3878" s="18"/>
      <c r="H3878" s="49"/>
      <c r="I3878" s="49"/>
      <c r="M3878" s="53"/>
    </row>
    <row r="3879" spans="1:13" x14ac:dyDescent="0.25">
      <c r="A3879" s="21" t="str">
        <f>IF(C3879="","",COUNTA($C$3:C3879))</f>
        <v/>
      </c>
      <c r="B3879" s="35" t="str">
        <f t="shared" si="76"/>
        <v/>
      </c>
      <c r="C3879" s="33"/>
      <c r="E3879" s="60"/>
      <c r="F3879" s="18"/>
      <c r="H3879" s="49"/>
      <c r="I3879" s="49"/>
      <c r="M3879" s="53"/>
    </row>
    <row r="3880" spans="1:13" x14ac:dyDescent="0.25">
      <c r="A3880" s="21" t="str">
        <f>IF(C3880="","",COUNTA($C$3:C3880))</f>
        <v/>
      </c>
      <c r="B3880" s="35" t="str">
        <f t="shared" si="76"/>
        <v/>
      </c>
      <c r="C3880" s="33"/>
      <c r="E3880" s="60"/>
      <c r="F3880" s="18"/>
      <c r="H3880" s="49"/>
      <c r="I3880" s="49"/>
      <c r="M3880" s="53"/>
    </row>
    <row r="3881" spans="1:13" x14ac:dyDescent="0.25">
      <c r="A3881" s="21" t="str">
        <f>IF(C3881="","",COUNTA($C$3:C3881))</f>
        <v/>
      </c>
      <c r="B3881" s="35" t="str">
        <f t="shared" si="76"/>
        <v/>
      </c>
      <c r="C3881" s="33"/>
      <c r="E3881" s="60"/>
      <c r="F3881" s="18"/>
      <c r="H3881" s="49"/>
      <c r="I3881" s="49"/>
      <c r="M3881" s="53"/>
    </row>
    <row r="3882" spans="1:13" x14ac:dyDescent="0.25">
      <c r="A3882" s="21" t="str">
        <f>IF(C3882="","",COUNTA($C$3:C3882))</f>
        <v/>
      </c>
      <c r="B3882" s="35" t="str">
        <f t="shared" si="76"/>
        <v/>
      </c>
      <c r="C3882" s="33"/>
      <c r="E3882" s="60"/>
      <c r="F3882" s="18"/>
      <c r="H3882" s="49"/>
      <c r="I3882" s="49"/>
      <c r="M3882" s="53"/>
    </row>
    <row r="3883" spans="1:13" x14ac:dyDescent="0.25">
      <c r="A3883" s="21" t="str">
        <f>IF(C3883="","",COUNTA($C$3:C3883))</f>
        <v/>
      </c>
      <c r="B3883" s="35" t="str">
        <f t="shared" si="76"/>
        <v/>
      </c>
      <c r="C3883" s="33"/>
      <c r="E3883" s="60"/>
      <c r="F3883" s="18"/>
      <c r="H3883" s="49"/>
      <c r="I3883" s="49"/>
      <c r="M3883" s="53"/>
    </row>
    <row r="3884" spans="1:13" x14ac:dyDescent="0.25">
      <c r="A3884" s="21" t="str">
        <f>IF(C3884="","",COUNTA($C$3:C3884))</f>
        <v/>
      </c>
      <c r="B3884" s="35" t="str">
        <f t="shared" si="76"/>
        <v/>
      </c>
      <c r="C3884" s="33"/>
      <c r="E3884" s="60"/>
      <c r="F3884" s="18"/>
      <c r="H3884" s="49"/>
      <c r="I3884" s="49"/>
      <c r="M3884" s="53"/>
    </row>
    <row r="3885" spans="1:13" x14ac:dyDescent="0.25">
      <c r="A3885" s="21" t="str">
        <f>IF(C3885="","",COUNTA($C$3:C3885))</f>
        <v/>
      </c>
      <c r="B3885" s="35" t="str">
        <f t="shared" si="76"/>
        <v/>
      </c>
      <c r="C3885" s="33"/>
      <c r="E3885" s="60"/>
      <c r="F3885" s="18"/>
      <c r="H3885" s="49"/>
      <c r="I3885" s="49"/>
      <c r="L3885" s="62"/>
      <c r="M3885" s="53"/>
    </row>
    <row r="3886" spans="1:13" x14ac:dyDescent="0.25">
      <c r="A3886" s="21" t="str">
        <f>IF(C3886="","",COUNTA($C$3:C3886))</f>
        <v/>
      </c>
      <c r="B3886" s="35" t="str">
        <f t="shared" si="76"/>
        <v/>
      </c>
      <c r="C3886" s="33"/>
      <c r="E3886" s="60"/>
      <c r="F3886" s="18"/>
      <c r="H3886" s="49"/>
      <c r="I3886" s="49"/>
      <c r="M3886" s="53"/>
    </row>
    <row r="3887" spans="1:13" x14ac:dyDescent="0.25">
      <c r="A3887" s="21" t="str">
        <f>IF(C3887="","",COUNTA($C$3:C3887))</f>
        <v/>
      </c>
      <c r="B3887" s="35" t="str">
        <f t="shared" si="76"/>
        <v/>
      </c>
      <c r="C3887" s="33"/>
      <c r="E3887" s="60"/>
      <c r="F3887" s="18"/>
      <c r="H3887" s="49"/>
      <c r="I3887" s="49"/>
      <c r="M3887" s="53"/>
    </row>
    <row r="3888" spans="1:13" x14ac:dyDescent="0.25">
      <c r="A3888" s="21" t="str">
        <f>IF(C3888="","",COUNTA($C$3:C3888))</f>
        <v/>
      </c>
      <c r="B3888" s="35" t="str">
        <f t="shared" si="76"/>
        <v/>
      </c>
      <c r="C3888" s="33"/>
      <c r="E3888" s="60"/>
      <c r="F3888" s="18"/>
      <c r="H3888" s="49"/>
      <c r="I3888" s="49"/>
      <c r="M3888" s="53"/>
    </row>
    <row r="3889" spans="1:13" x14ac:dyDescent="0.25">
      <c r="A3889" s="21" t="str">
        <f>IF(C3889="","",COUNTA($C$3:C3889))</f>
        <v/>
      </c>
      <c r="B3889" s="35" t="str">
        <f t="shared" si="76"/>
        <v/>
      </c>
      <c r="C3889" s="33"/>
      <c r="E3889" s="60"/>
      <c r="F3889" s="18"/>
      <c r="H3889" s="49"/>
      <c r="I3889" s="49"/>
      <c r="M3889" s="53"/>
    </row>
    <row r="3890" spans="1:13" x14ac:dyDescent="0.25">
      <c r="A3890" s="21" t="str">
        <f>IF(C3890="","",COUNTA($C$3:C3890))</f>
        <v/>
      </c>
      <c r="B3890" s="35" t="str">
        <f t="shared" si="76"/>
        <v/>
      </c>
      <c r="C3890" s="33"/>
      <c r="E3890" s="60"/>
      <c r="F3890" s="18"/>
      <c r="H3890" s="49"/>
      <c r="I3890" s="49"/>
      <c r="M3890" s="53"/>
    </row>
    <row r="3891" spans="1:13" x14ac:dyDescent="0.25">
      <c r="A3891" s="21" t="str">
        <f>IF(C3891="","",COUNTA($C$3:C3891))</f>
        <v/>
      </c>
      <c r="B3891" s="35" t="str">
        <f t="shared" si="76"/>
        <v/>
      </c>
      <c r="C3891" s="33"/>
      <c r="E3891" s="60"/>
      <c r="F3891" s="18"/>
      <c r="H3891" s="49"/>
      <c r="I3891" s="49"/>
      <c r="M3891" s="53"/>
    </row>
    <row r="3892" spans="1:13" x14ac:dyDescent="0.25">
      <c r="A3892" s="21" t="str">
        <f>IF(C3892="","",COUNTA($C$3:C3892))</f>
        <v/>
      </c>
      <c r="B3892" s="35" t="str">
        <f t="shared" si="76"/>
        <v/>
      </c>
      <c r="C3892" s="33"/>
      <c r="E3892" s="60"/>
      <c r="F3892" s="18"/>
      <c r="H3892" s="49"/>
      <c r="I3892" s="49"/>
      <c r="M3892" s="53"/>
    </row>
    <row r="3893" spans="1:13" x14ac:dyDescent="0.25">
      <c r="A3893" s="21" t="str">
        <f>IF(C3893="","",COUNTA($C$3:C3893))</f>
        <v/>
      </c>
      <c r="B3893" s="35" t="str">
        <f t="shared" si="76"/>
        <v/>
      </c>
      <c r="C3893" s="33"/>
      <c r="E3893" s="60"/>
      <c r="F3893" s="18"/>
      <c r="H3893" s="49"/>
      <c r="I3893" s="49"/>
      <c r="M3893" s="53"/>
    </row>
    <row r="3894" spans="1:13" x14ac:dyDescent="0.25">
      <c r="A3894" s="21" t="str">
        <f>IF(C3894="","",COUNTA($C$3:C3894))</f>
        <v/>
      </c>
      <c r="B3894" s="35" t="str">
        <f t="shared" si="76"/>
        <v/>
      </c>
      <c r="C3894" s="33"/>
      <c r="E3894" s="60"/>
      <c r="F3894" s="18"/>
      <c r="H3894" s="49"/>
      <c r="I3894" s="49"/>
      <c r="M3894" s="53"/>
    </row>
    <row r="3895" spans="1:13" x14ac:dyDescent="0.25">
      <c r="A3895" s="21" t="str">
        <f>IF(C3895="","",COUNTA($C$3:C3895))</f>
        <v/>
      </c>
      <c r="B3895" s="35" t="str">
        <f t="shared" si="76"/>
        <v/>
      </c>
      <c r="C3895" s="33"/>
      <c r="E3895" s="60"/>
      <c r="F3895" s="18"/>
      <c r="H3895" s="49"/>
      <c r="I3895" s="49"/>
      <c r="M3895" s="53"/>
    </row>
    <row r="3896" spans="1:13" x14ac:dyDescent="0.25">
      <c r="A3896" s="21" t="str">
        <f>IF(C3896="","",COUNTA($C$3:C3896))</f>
        <v/>
      </c>
      <c r="B3896" s="35" t="str">
        <f t="shared" si="76"/>
        <v/>
      </c>
      <c r="C3896" s="33"/>
      <c r="E3896" s="60"/>
      <c r="F3896" s="18"/>
      <c r="H3896" s="49"/>
      <c r="I3896" s="49"/>
      <c r="M3896" s="53"/>
    </row>
    <row r="3897" spans="1:13" x14ac:dyDescent="0.25">
      <c r="A3897" s="21" t="str">
        <f>IF(C3897="","",COUNTA($C$3:C3897))</f>
        <v/>
      </c>
      <c r="B3897" s="35" t="str">
        <f t="shared" si="76"/>
        <v/>
      </c>
      <c r="C3897" s="33"/>
      <c r="E3897" s="60"/>
      <c r="F3897" s="18"/>
      <c r="H3897" s="49"/>
      <c r="I3897" s="49"/>
      <c r="M3897" s="53"/>
    </row>
    <row r="3898" spans="1:13" x14ac:dyDescent="0.25">
      <c r="A3898" s="21" t="str">
        <f>IF(C3898="","",COUNTA($C$3:C3898))</f>
        <v/>
      </c>
      <c r="B3898" s="35" t="str">
        <f t="shared" si="76"/>
        <v/>
      </c>
      <c r="C3898" s="33"/>
      <c r="E3898" s="60"/>
      <c r="F3898" s="18"/>
      <c r="H3898" s="49"/>
      <c r="I3898" s="49"/>
      <c r="M3898" s="53"/>
    </row>
    <row r="3899" spans="1:13" x14ac:dyDescent="0.25">
      <c r="A3899" s="21" t="str">
        <f>IF(C3899="","",COUNTA($C$3:C3899))</f>
        <v/>
      </c>
      <c r="B3899" s="35" t="str">
        <f t="shared" si="76"/>
        <v/>
      </c>
      <c r="C3899" s="33"/>
      <c r="E3899" s="60"/>
      <c r="F3899" s="18"/>
      <c r="H3899" s="49"/>
      <c r="I3899" s="49"/>
      <c r="M3899" s="53"/>
    </row>
    <row r="3900" spans="1:13" x14ac:dyDescent="0.25">
      <c r="A3900" s="21" t="str">
        <f>IF(C3900="","",COUNTA($C$3:C3900))</f>
        <v/>
      </c>
      <c r="B3900" s="35" t="str">
        <f t="shared" si="76"/>
        <v/>
      </c>
      <c r="C3900" s="33"/>
      <c r="E3900" s="60"/>
      <c r="F3900" s="18"/>
      <c r="H3900" s="49"/>
      <c r="I3900" s="49"/>
      <c r="M3900" s="53"/>
    </row>
    <row r="3901" spans="1:13" x14ac:dyDescent="0.25">
      <c r="A3901" s="21" t="str">
        <f>IF(C3901="","",COUNTA($C$3:C3901))</f>
        <v/>
      </c>
      <c r="B3901" s="35" t="str">
        <f t="shared" si="76"/>
        <v/>
      </c>
      <c r="C3901" s="33"/>
      <c r="E3901" s="60"/>
      <c r="F3901" s="18"/>
      <c r="H3901" s="49"/>
      <c r="I3901" s="49"/>
      <c r="M3901" s="53"/>
    </row>
    <row r="3902" spans="1:13" x14ac:dyDescent="0.25">
      <c r="A3902" s="21" t="str">
        <f>IF(C3902="","",COUNTA($C$3:C3902))</f>
        <v/>
      </c>
      <c r="B3902" s="35" t="str">
        <f t="shared" si="76"/>
        <v/>
      </c>
      <c r="C3902" s="33"/>
      <c r="E3902" s="60"/>
      <c r="F3902" s="18"/>
      <c r="H3902" s="49"/>
      <c r="I3902" s="49"/>
      <c r="M3902" s="53"/>
    </row>
    <row r="3903" spans="1:13" x14ac:dyDescent="0.25">
      <c r="A3903" s="21" t="str">
        <f>IF(C3903="","",COUNTA($C$3:C3903))</f>
        <v/>
      </c>
      <c r="B3903" s="35" t="str">
        <f t="shared" si="76"/>
        <v/>
      </c>
      <c r="C3903" s="33"/>
      <c r="E3903" s="60"/>
      <c r="F3903" s="18"/>
      <c r="H3903" s="49"/>
      <c r="I3903" s="49"/>
      <c r="M3903" s="53"/>
    </row>
    <row r="3904" spans="1:13" x14ac:dyDescent="0.25">
      <c r="A3904" s="21" t="str">
        <f>IF(C3904="","",COUNTA($C$3:C3904))</f>
        <v/>
      </c>
      <c r="B3904" s="35" t="str">
        <f t="shared" si="76"/>
        <v/>
      </c>
      <c r="C3904" s="33"/>
      <c r="E3904" s="60"/>
      <c r="F3904" s="18"/>
      <c r="H3904" s="49"/>
      <c r="I3904" s="49"/>
      <c r="M3904" s="53"/>
    </row>
    <row r="3905" spans="1:17" x14ac:dyDescent="0.25">
      <c r="A3905" s="21" t="str">
        <f>IF(C3905="","",COUNTA($C$3:C3905))</f>
        <v/>
      </c>
      <c r="B3905" s="35" t="str">
        <f t="shared" si="76"/>
        <v/>
      </c>
      <c r="C3905" s="33"/>
      <c r="E3905" s="60"/>
      <c r="F3905" s="18"/>
      <c r="H3905" s="49"/>
      <c r="I3905" s="49"/>
      <c r="M3905" s="53"/>
    </row>
    <row r="3906" spans="1:17" x14ac:dyDescent="0.25">
      <c r="A3906" s="21" t="str">
        <f>IF(C3906="","",COUNTA($C$3:C3906))</f>
        <v/>
      </c>
      <c r="B3906" s="35" t="str">
        <f t="shared" si="76"/>
        <v/>
      </c>
      <c r="C3906" s="33"/>
      <c r="E3906" s="60"/>
      <c r="F3906" s="18"/>
      <c r="H3906" s="49"/>
      <c r="I3906" s="49"/>
      <c r="M3906" s="53"/>
    </row>
    <row r="3907" spans="1:17" x14ac:dyDescent="0.25">
      <c r="A3907" s="21" t="str">
        <f>IF(C3907="","",COUNTA($C$3:C3907))</f>
        <v/>
      </c>
      <c r="B3907" s="35" t="str">
        <f t="shared" si="76"/>
        <v/>
      </c>
      <c r="C3907" s="33"/>
      <c r="E3907" s="60"/>
      <c r="F3907" s="18"/>
      <c r="H3907" s="49"/>
      <c r="I3907" s="49"/>
      <c r="M3907" s="53"/>
    </row>
    <row r="3908" spans="1:17" x14ac:dyDescent="0.25">
      <c r="A3908" s="21" t="str">
        <f>IF(C3908="","",COUNTA($C$3:C3908))</f>
        <v/>
      </c>
      <c r="B3908" s="35" t="str">
        <f t="shared" si="76"/>
        <v/>
      </c>
      <c r="C3908" s="33"/>
      <c r="E3908" s="60"/>
      <c r="F3908" s="18"/>
      <c r="H3908" s="49"/>
      <c r="I3908" s="49"/>
      <c r="M3908" s="53"/>
    </row>
    <row r="3909" spans="1:17" x14ac:dyDescent="0.25">
      <c r="A3909" s="21" t="str">
        <f>IF(C3909="","",COUNTA($C$3:C3909))</f>
        <v/>
      </c>
      <c r="B3909" s="35" t="str">
        <f t="shared" ref="B3909:B3972" si="77">IF(C3909="","",TEXT(C3909,"mmmm"))</f>
        <v/>
      </c>
      <c r="C3909" s="33"/>
      <c r="E3909" s="60"/>
      <c r="F3909" s="18"/>
      <c r="H3909" s="49"/>
      <c r="I3909" s="49"/>
      <c r="M3909" s="53"/>
    </row>
    <row r="3910" spans="1:17" x14ac:dyDescent="0.25">
      <c r="A3910" s="21" t="str">
        <f>IF(C3910="","",COUNTA($C$3:C3910))</f>
        <v/>
      </c>
      <c r="B3910" s="35" t="str">
        <f t="shared" si="77"/>
        <v/>
      </c>
      <c r="C3910" s="33"/>
      <c r="E3910" s="60"/>
      <c r="F3910" s="18"/>
      <c r="H3910" s="49"/>
      <c r="I3910" s="49"/>
      <c r="M3910" s="53"/>
    </row>
    <row r="3911" spans="1:17" x14ac:dyDescent="0.25">
      <c r="A3911" s="21" t="str">
        <f>IF(C3911="","",COUNTA($C$3:C3911))</f>
        <v/>
      </c>
      <c r="B3911" s="35" t="str">
        <f t="shared" si="77"/>
        <v/>
      </c>
      <c r="C3911" s="33"/>
      <c r="E3911" s="60"/>
      <c r="F3911" s="18"/>
      <c r="H3911" s="49"/>
      <c r="I3911" s="49"/>
      <c r="M3911" s="53"/>
    </row>
    <row r="3912" spans="1:17" x14ac:dyDescent="0.25">
      <c r="A3912" s="21" t="str">
        <f>IF(C3912="","",COUNTA($C$3:C3912))</f>
        <v/>
      </c>
      <c r="B3912" s="35" t="str">
        <f t="shared" si="77"/>
        <v/>
      </c>
      <c r="C3912" s="33"/>
      <c r="E3912" s="60"/>
      <c r="F3912" s="18"/>
      <c r="H3912" s="49"/>
      <c r="I3912" s="49"/>
      <c r="M3912" s="53"/>
    </row>
    <row r="3913" spans="1:17" x14ac:dyDescent="0.25">
      <c r="A3913" s="21" t="str">
        <f>IF(C3913="","",COUNTA($C$3:C3913))</f>
        <v/>
      </c>
      <c r="B3913" s="35" t="str">
        <f t="shared" si="77"/>
        <v/>
      </c>
      <c r="C3913" s="33"/>
      <c r="E3913" s="60"/>
      <c r="F3913" s="18"/>
      <c r="H3913" s="49"/>
      <c r="I3913" s="49"/>
      <c r="M3913" s="53"/>
    </row>
    <row r="3914" spans="1:17" x14ac:dyDescent="0.25">
      <c r="A3914" s="21" t="str">
        <f>IF(C3914="","",COUNTA($C$3:C3914))</f>
        <v/>
      </c>
      <c r="B3914" s="35" t="str">
        <f t="shared" si="77"/>
        <v/>
      </c>
      <c r="C3914" s="33"/>
      <c r="E3914" s="60"/>
      <c r="F3914" s="18"/>
      <c r="H3914" s="49"/>
      <c r="I3914" s="49"/>
      <c r="M3914" s="53"/>
    </row>
    <row r="3915" spans="1:17" x14ac:dyDescent="0.25">
      <c r="A3915" s="21" t="str">
        <f>IF(C3915="","",COUNTA($C$3:C3915))</f>
        <v/>
      </c>
      <c r="B3915" s="35" t="str">
        <f t="shared" si="77"/>
        <v/>
      </c>
      <c r="C3915" s="33"/>
      <c r="E3915" s="60"/>
      <c r="F3915" s="18"/>
      <c r="H3915" s="49"/>
      <c r="I3915" s="49"/>
      <c r="M3915" s="53"/>
    </row>
    <row r="3916" spans="1:17" x14ac:dyDescent="0.25">
      <c r="A3916" s="21" t="str">
        <f>IF(C3916="","",COUNTA($C$3:C3916))</f>
        <v/>
      </c>
      <c r="B3916" s="35" t="str">
        <f t="shared" si="77"/>
        <v/>
      </c>
      <c r="C3916" s="33"/>
      <c r="E3916" s="60"/>
      <c r="F3916" s="18"/>
      <c r="H3916" s="49"/>
      <c r="I3916" s="49"/>
      <c r="M3916" s="53"/>
    </row>
    <row r="3917" spans="1:17" x14ac:dyDescent="0.25">
      <c r="A3917" s="21" t="str">
        <f>IF(C3917="","",COUNTA($C$3:C3917))</f>
        <v/>
      </c>
      <c r="B3917" s="35" t="str">
        <f t="shared" si="77"/>
        <v/>
      </c>
      <c r="C3917" s="33"/>
      <c r="E3917" s="60"/>
      <c r="F3917" s="18"/>
      <c r="H3917" s="49"/>
      <c r="I3917" s="49"/>
      <c r="M3917" s="53"/>
    </row>
    <row r="3918" spans="1:17" x14ac:dyDescent="0.25">
      <c r="A3918" s="21" t="str">
        <f>IF(C3918="","",COUNTA($C$3:C3918))</f>
        <v/>
      </c>
      <c r="B3918" s="35" t="str">
        <f t="shared" si="77"/>
        <v/>
      </c>
      <c r="C3918" s="33"/>
      <c r="E3918" s="60"/>
      <c r="F3918" s="18"/>
      <c r="H3918" s="49"/>
      <c r="I3918" s="49"/>
      <c r="M3918" s="53"/>
    </row>
    <row r="3919" spans="1:17" x14ac:dyDescent="0.25">
      <c r="A3919" s="21" t="str">
        <f>IF(C3919="","",COUNTA($C$3:C3919))</f>
        <v/>
      </c>
      <c r="B3919" s="35" t="str">
        <f t="shared" si="77"/>
        <v/>
      </c>
      <c r="C3919" s="33"/>
      <c r="E3919" s="60"/>
      <c r="F3919" s="18"/>
      <c r="H3919" s="49"/>
      <c r="I3919" s="49"/>
      <c r="M3919" s="53"/>
      <c r="O3919" s="59"/>
      <c r="P3919" s="71"/>
      <c r="Q3919" s="59"/>
    </row>
    <row r="3920" spans="1:17" x14ac:dyDescent="0.25">
      <c r="A3920" s="21" t="str">
        <f>IF(C3920="","",COUNTA($C$3:C3920))</f>
        <v/>
      </c>
      <c r="B3920" s="35" t="str">
        <f t="shared" si="77"/>
        <v/>
      </c>
      <c r="C3920" s="33"/>
      <c r="E3920" s="60"/>
      <c r="F3920" s="18"/>
      <c r="H3920" s="49"/>
      <c r="I3920" s="49"/>
      <c r="M3920" s="53"/>
      <c r="O3920" s="59"/>
      <c r="P3920" s="69"/>
      <c r="Q3920" s="59"/>
    </row>
    <row r="3921" spans="1:17" x14ac:dyDescent="0.25">
      <c r="A3921" s="21" t="str">
        <f>IF(C3921="","",COUNTA($C$3:C3921))</f>
        <v/>
      </c>
      <c r="B3921" s="35" t="str">
        <f t="shared" si="77"/>
        <v/>
      </c>
      <c r="C3921" s="33"/>
      <c r="E3921" s="60"/>
      <c r="F3921" s="18"/>
      <c r="H3921" s="49"/>
      <c r="I3921" s="49"/>
      <c r="M3921" s="53"/>
    </row>
    <row r="3922" spans="1:17" x14ac:dyDescent="0.25">
      <c r="A3922" s="21" t="str">
        <f>IF(C3922="","",COUNTA($C$3:C3922))</f>
        <v/>
      </c>
      <c r="B3922" s="35" t="str">
        <f t="shared" si="77"/>
        <v/>
      </c>
      <c r="C3922" s="33"/>
      <c r="E3922" s="60"/>
      <c r="F3922" s="18"/>
      <c r="G3922" s="18"/>
      <c r="H3922" s="49"/>
      <c r="I3922" s="49"/>
      <c r="M3922" s="53"/>
    </row>
    <row r="3923" spans="1:17" x14ac:dyDescent="0.25">
      <c r="A3923" s="21" t="str">
        <f>IF(C3923="","",COUNTA($C$3:C3923))</f>
        <v/>
      </c>
      <c r="B3923" s="35" t="str">
        <f t="shared" si="77"/>
        <v/>
      </c>
      <c r="C3923" s="33"/>
      <c r="E3923" s="60"/>
      <c r="F3923" s="18"/>
      <c r="G3923" s="18"/>
      <c r="H3923" s="49"/>
      <c r="I3923" s="49"/>
      <c r="M3923" s="53"/>
    </row>
    <row r="3924" spans="1:17" x14ac:dyDescent="0.25">
      <c r="A3924" s="21" t="str">
        <f>IF(C3924="","",COUNTA($C$3:C3924))</f>
        <v/>
      </c>
      <c r="B3924" s="35" t="str">
        <f t="shared" si="77"/>
        <v/>
      </c>
      <c r="C3924" s="33"/>
      <c r="E3924" s="60"/>
      <c r="F3924" s="18"/>
      <c r="G3924" s="18"/>
      <c r="H3924" s="49"/>
      <c r="I3924" s="49"/>
      <c r="M3924" s="53"/>
    </row>
    <row r="3925" spans="1:17" x14ac:dyDescent="0.25">
      <c r="A3925" s="21" t="str">
        <f>IF(C3925="","",COUNTA($C$3:C3925))</f>
        <v/>
      </c>
      <c r="B3925" s="35" t="str">
        <f t="shared" si="77"/>
        <v/>
      </c>
      <c r="C3925" s="33"/>
      <c r="E3925" s="60"/>
      <c r="F3925" s="18"/>
      <c r="G3925" s="18"/>
      <c r="H3925" s="49"/>
      <c r="I3925" s="49"/>
      <c r="M3925" s="53"/>
    </row>
    <row r="3926" spans="1:17" x14ac:dyDescent="0.25">
      <c r="A3926" s="21" t="str">
        <f>IF(C3926="","",COUNTA($C$3:C3926))</f>
        <v/>
      </c>
      <c r="B3926" s="35" t="str">
        <f t="shared" si="77"/>
        <v/>
      </c>
      <c r="C3926" s="33"/>
      <c r="E3926" s="60"/>
      <c r="F3926" s="18"/>
      <c r="G3926" s="18"/>
      <c r="H3926" s="49"/>
      <c r="I3926" s="49"/>
      <c r="M3926" s="53"/>
    </row>
    <row r="3927" spans="1:17" x14ac:dyDescent="0.25">
      <c r="A3927" s="21" t="str">
        <f>IF(C3927="","",COUNTA($C$3:C3927))</f>
        <v/>
      </c>
      <c r="B3927" s="35" t="str">
        <f t="shared" si="77"/>
        <v/>
      </c>
      <c r="C3927" s="33"/>
      <c r="E3927" s="60"/>
      <c r="F3927" s="18"/>
      <c r="G3927" s="18"/>
      <c r="H3927" s="49"/>
      <c r="I3927" s="49"/>
      <c r="M3927" s="53"/>
    </row>
    <row r="3928" spans="1:17" x14ac:dyDescent="0.25">
      <c r="A3928" s="21" t="str">
        <f>IF(C3928="","",COUNTA($C$3:C3928))</f>
        <v/>
      </c>
      <c r="B3928" s="35" t="str">
        <f t="shared" si="77"/>
        <v/>
      </c>
      <c r="C3928" s="33"/>
      <c r="E3928" s="60"/>
      <c r="F3928" s="18"/>
      <c r="G3928" s="18"/>
      <c r="H3928" s="49"/>
      <c r="I3928" s="49"/>
      <c r="M3928" s="53"/>
    </row>
    <row r="3929" spans="1:17" x14ac:dyDescent="0.25">
      <c r="A3929" s="21" t="str">
        <f>IF(C3929="","",COUNTA($C$3:C3929))</f>
        <v/>
      </c>
      <c r="B3929" s="35" t="str">
        <f t="shared" si="77"/>
        <v/>
      </c>
      <c r="C3929" s="33"/>
      <c r="E3929" s="60"/>
      <c r="F3929" s="18"/>
      <c r="G3929" s="18"/>
      <c r="H3929" s="49"/>
      <c r="I3929" s="49"/>
      <c r="M3929" s="53"/>
    </row>
    <row r="3930" spans="1:17" x14ac:dyDescent="0.25">
      <c r="A3930" s="21" t="str">
        <f>IF(C3930="","",COUNTA($C$3:C3930))</f>
        <v/>
      </c>
      <c r="B3930" s="35" t="str">
        <f t="shared" si="77"/>
        <v/>
      </c>
      <c r="C3930" s="33"/>
      <c r="E3930" s="60"/>
      <c r="F3930" s="18"/>
      <c r="G3930" s="18"/>
      <c r="H3930" s="49"/>
      <c r="I3930" s="49"/>
      <c r="M3930" s="53"/>
      <c r="O3930" s="59"/>
      <c r="P3930" s="59"/>
      <c r="Q3930" s="59"/>
    </row>
    <row r="3931" spans="1:17" x14ac:dyDescent="0.25">
      <c r="A3931" s="21" t="str">
        <f>IF(C3931="","",COUNTA($C$3:C3931))</f>
        <v/>
      </c>
      <c r="B3931" s="35" t="str">
        <f t="shared" si="77"/>
        <v/>
      </c>
      <c r="C3931" s="33"/>
      <c r="E3931" s="60"/>
      <c r="F3931" s="18"/>
      <c r="G3931" s="18"/>
      <c r="H3931" s="49"/>
      <c r="I3931" s="49"/>
      <c r="M3931" s="53"/>
    </row>
    <row r="3932" spans="1:17" x14ac:dyDescent="0.25">
      <c r="A3932" s="21" t="str">
        <f>IF(C3932="","",COUNTA($C$3:C3932))</f>
        <v/>
      </c>
      <c r="B3932" s="35" t="str">
        <f t="shared" si="77"/>
        <v/>
      </c>
      <c r="C3932" s="33"/>
      <c r="E3932" s="60"/>
      <c r="F3932" s="18"/>
      <c r="G3932" s="18"/>
      <c r="H3932" s="49"/>
      <c r="I3932" s="49"/>
      <c r="M3932" s="53"/>
    </row>
    <row r="3933" spans="1:17" x14ac:dyDescent="0.25">
      <c r="A3933" s="21" t="str">
        <f>IF(C3933="","",COUNTA($C$3:C3933))</f>
        <v/>
      </c>
      <c r="B3933" s="35" t="str">
        <f t="shared" si="77"/>
        <v/>
      </c>
      <c r="C3933" s="33"/>
      <c r="E3933" s="60"/>
      <c r="F3933" s="18"/>
      <c r="G3933" s="18"/>
      <c r="H3933" s="49"/>
      <c r="I3933" s="49"/>
      <c r="M3933" s="53"/>
    </row>
    <row r="3934" spans="1:17" x14ac:dyDescent="0.25">
      <c r="A3934" s="21" t="str">
        <f>IF(C3934="","",COUNTA($C$3:C3934))</f>
        <v/>
      </c>
      <c r="B3934" s="35" t="str">
        <f t="shared" si="77"/>
        <v/>
      </c>
      <c r="C3934" s="33"/>
      <c r="E3934" s="60"/>
      <c r="F3934" s="18"/>
      <c r="G3934" s="18"/>
      <c r="H3934" s="49"/>
      <c r="I3934" s="49"/>
      <c r="M3934" s="53"/>
    </row>
    <row r="3935" spans="1:17" x14ac:dyDescent="0.25">
      <c r="A3935" s="21" t="str">
        <f>IF(C3935="","",COUNTA($C$3:C3935))</f>
        <v/>
      </c>
      <c r="B3935" s="35" t="str">
        <f t="shared" si="77"/>
        <v/>
      </c>
      <c r="C3935" s="33"/>
      <c r="E3935" s="60"/>
      <c r="F3935" s="18"/>
      <c r="G3935" s="18"/>
      <c r="H3935" s="49"/>
      <c r="I3935" s="49"/>
      <c r="M3935" s="53"/>
    </row>
    <row r="3936" spans="1:17" x14ac:dyDescent="0.25">
      <c r="A3936" s="21" t="str">
        <f>IF(C3936="","",COUNTA($C$3:C3936))</f>
        <v/>
      </c>
      <c r="B3936" s="35" t="str">
        <f t="shared" si="77"/>
        <v/>
      </c>
      <c r="C3936" s="33"/>
      <c r="E3936" s="60"/>
      <c r="F3936" s="18"/>
      <c r="G3936" s="18"/>
      <c r="H3936" s="49"/>
      <c r="I3936" s="49"/>
      <c r="M3936" s="53"/>
    </row>
    <row r="3937" spans="1:17" x14ac:dyDescent="0.25">
      <c r="A3937" s="21" t="str">
        <f>IF(C3937="","",COUNTA($C$3:C3937))</f>
        <v/>
      </c>
      <c r="B3937" s="35" t="str">
        <f t="shared" si="77"/>
        <v/>
      </c>
      <c r="C3937" s="33"/>
      <c r="E3937" s="60"/>
      <c r="F3937" s="18"/>
      <c r="G3937" s="18"/>
      <c r="H3937" s="49"/>
      <c r="I3937" s="49"/>
      <c r="M3937" s="53"/>
    </row>
    <row r="3938" spans="1:17" x14ac:dyDescent="0.25">
      <c r="A3938" s="21" t="str">
        <f>IF(C3938="","",COUNTA($C$3:C3938))</f>
        <v/>
      </c>
      <c r="B3938" s="35" t="str">
        <f t="shared" si="77"/>
        <v/>
      </c>
      <c r="C3938" s="33"/>
      <c r="E3938" s="60"/>
      <c r="F3938" s="18"/>
      <c r="G3938" s="18"/>
      <c r="H3938" s="49"/>
      <c r="I3938" s="49"/>
      <c r="M3938" s="53"/>
    </row>
    <row r="3939" spans="1:17" x14ac:dyDescent="0.25">
      <c r="A3939" s="21" t="str">
        <f>IF(C3939="","",COUNTA($C$3:C3939))</f>
        <v/>
      </c>
      <c r="B3939" s="35" t="str">
        <f t="shared" si="77"/>
        <v/>
      </c>
      <c r="C3939" s="33"/>
      <c r="E3939" s="60"/>
      <c r="F3939" s="18"/>
      <c r="G3939" s="18"/>
      <c r="H3939" s="49"/>
      <c r="I3939" s="49"/>
      <c r="M3939" s="53"/>
      <c r="N3939" s="59"/>
    </row>
    <row r="3940" spans="1:17" x14ac:dyDescent="0.25">
      <c r="A3940" s="21" t="str">
        <f>IF(C3940="","",COUNTA($C$3:C3940))</f>
        <v/>
      </c>
      <c r="B3940" s="35" t="str">
        <f t="shared" si="77"/>
        <v/>
      </c>
      <c r="C3940" s="33"/>
      <c r="E3940" s="60"/>
      <c r="F3940" s="18"/>
      <c r="G3940" s="18"/>
      <c r="H3940" s="49"/>
      <c r="I3940" s="49"/>
      <c r="M3940" s="53"/>
      <c r="N3940" s="69"/>
    </row>
    <row r="3941" spans="1:17" x14ac:dyDescent="0.25">
      <c r="A3941" s="21" t="str">
        <f>IF(C3941="","",COUNTA($C$3:C3941))</f>
        <v/>
      </c>
      <c r="B3941" s="35" t="str">
        <f t="shared" si="77"/>
        <v/>
      </c>
      <c r="C3941" s="33"/>
      <c r="E3941" s="60"/>
      <c r="F3941" s="18"/>
      <c r="G3941" s="18"/>
      <c r="H3941" s="49"/>
      <c r="I3941" s="49"/>
      <c r="M3941" s="53"/>
    </row>
    <row r="3942" spans="1:17" x14ac:dyDescent="0.25">
      <c r="A3942" s="21" t="str">
        <f>IF(C3942="","",COUNTA($C$3:C3942))</f>
        <v/>
      </c>
      <c r="B3942" s="35" t="str">
        <f t="shared" si="77"/>
        <v/>
      </c>
      <c r="C3942" s="33"/>
      <c r="E3942" s="60"/>
      <c r="F3942" s="18"/>
      <c r="G3942" s="18"/>
      <c r="H3942" s="49"/>
      <c r="I3942" s="49"/>
      <c r="M3942" s="53"/>
    </row>
    <row r="3943" spans="1:17" x14ac:dyDescent="0.25">
      <c r="A3943" s="21" t="str">
        <f>IF(C3943="","",COUNTA($C$3:C3943))</f>
        <v/>
      </c>
      <c r="B3943" s="35" t="str">
        <f t="shared" si="77"/>
        <v/>
      </c>
      <c r="C3943" s="33"/>
      <c r="E3943" s="60"/>
      <c r="F3943" s="18"/>
      <c r="G3943" s="18"/>
      <c r="H3943" s="49"/>
      <c r="I3943" s="49"/>
      <c r="M3943" s="53"/>
      <c r="O3943" s="59"/>
      <c r="P3943" s="59"/>
      <c r="Q3943" s="59"/>
    </row>
    <row r="3944" spans="1:17" x14ac:dyDescent="0.25">
      <c r="A3944" s="21" t="str">
        <f>IF(C3944="","",COUNTA($C$3:C3944))</f>
        <v/>
      </c>
      <c r="B3944" s="35" t="str">
        <f t="shared" si="77"/>
        <v/>
      </c>
      <c r="C3944" s="33"/>
      <c r="E3944" s="60"/>
      <c r="F3944" s="18"/>
      <c r="G3944" s="18"/>
      <c r="H3944" s="49"/>
      <c r="I3944" s="49"/>
      <c r="M3944" s="53"/>
      <c r="O3944" s="59"/>
      <c r="P3944" s="59"/>
      <c r="Q3944" s="59"/>
    </row>
    <row r="3945" spans="1:17" x14ac:dyDescent="0.25">
      <c r="A3945" s="21" t="str">
        <f>IF(C3945="","",COUNTA($C$3:C3945))</f>
        <v/>
      </c>
      <c r="B3945" s="35" t="str">
        <f t="shared" si="77"/>
        <v/>
      </c>
      <c r="C3945" s="33"/>
      <c r="E3945" s="60"/>
      <c r="F3945" s="18"/>
      <c r="G3945" s="18"/>
      <c r="H3945" s="49"/>
      <c r="I3945" s="49"/>
      <c r="M3945" s="53"/>
      <c r="O3945" s="59"/>
      <c r="P3945" s="59"/>
      <c r="Q3945" s="59"/>
    </row>
    <row r="3946" spans="1:17" x14ac:dyDescent="0.25">
      <c r="A3946" s="21" t="str">
        <f>IF(C3946="","",COUNTA($C$3:C3946))</f>
        <v/>
      </c>
      <c r="B3946" s="35" t="str">
        <f t="shared" si="77"/>
        <v/>
      </c>
      <c r="C3946" s="33"/>
      <c r="E3946" s="60"/>
      <c r="F3946" s="18"/>
      <c r="G3946" s="18"/>
      <c r="H3946" s="49"/>
      <c r="I3946" s="49"/>
      <c r="M3946" s="53"/>
      <c r="O3946" s="59"/>
      <c r="P3946" s="59"/>
      <c r="Q3946" s="59"/>
    </row>
    <row r="3947" spans="1:17" x14ac:dyDescent="0.25">
      <c r="A3947" s="21" t="str">
        <f>IF(C3947="","",COUNTA($C$3:C3947))</f>
        <v/>
      </c>
      <c r="B3947" s="35" t="str">
        <f t="shared" si="77"/>
        <v/>
      </c>
      <c r="C3947" s="33"/>
      <c r="E3947" s="60"/>
      <c r="F3947" s="18"/>
      <c r="G3947" s="18"/>
      <c r="H3947" s="49"/>
      <c r="I3947" s="49"/>
      <c r="M3947" s="53"/>
      <c r="O3947" s="59"/>
      <c r="P3947" s="59"/>
      <c r="Q3947" s="59"/>
    </row>
    <row r="3948" spans="1:17" x14ac:dyDescent="0.25">
      <c r="A3948" s="21" t="str">
        <f>IF(C3948="","",COUNTA($C$3:C3948))</f>
        <v/>
      </c>
      <c r="B3948" s="35" t="str">
        <f t="shared" si="77"/>
        <v/>
      </c>
      <c r="C3948" s="33"/>
      <c r="E3948" s="60"/>
      <c r="F3948" s="18"/>
      <c r="G3948" s="18"/>
      <c r="H3948" s="49"/>
      <c r="I3948" s="49"/>
      <c r="M3948" s="53"/>
    </row>
    <row r="3949" spans="1:17" x14ac:dyDescent="0.25">
      <c r="A3949" s="21" t="str">
        <f>IF(C3949="","",COUNTA($C$3:C3949))</f>
        <v/>
      </c>
      <c r="B3949" s="35" t="str">
        <f t="shared" si="77"/>
        <v/>
      </c>
      <c r="C3949" s="33"/>
      <c r="E3949" s="60"/>
      <c r="F3949" s="18"/>
      <c r="G3949" s="18"/>
      <c r="H3949" s="49"/>
      <c r="I3949" s="49"/>
      <c r="M3949" s="53"/>
    </row>
    <row r="3950" spans="1:17" x14ac:dyDescent="0.25">
      <c r="A3950" s="21" t="str">
        <f>IF(C3950="","",COUNTA($C$3:C3950))</f>
        <v/>
      </c>
      <c r="B3950" s="35" t="str">
        <f t="shared" si="77"/>
        <v/>
      </c>
      <c r="C3950" s="33"/>
      <c r="E3950" s="60"/>
      <c r="F3950" s="18"/>
      <c r="G3950" s="18"/>
      <c r="H3950" s="49"/>
      <c r="I3950" s="49"/>
      <c r="M3950" s="53"/>
    </row>
    <row r="3951" spans="1:17" x14ac:dyDescent="0.25">
      <c r="A3951" s="21" t="str">
        <f>IF(C3951="","",COUNTA($C$3:C3951))</f>
        <v/>
      </c>
      <c r="B3951" s="35" t="str">
        <f t="shared" si="77"/>
        <v/>
      </c>
      <c r="C3951" s="33"/>
      <c r="E3951" s="60"/>
      <c r="F3951" s="18"/>
      <c r="G3951" s="18"/>
      <c r="H3951" s="49"/>
      <c r="I3951" s="49"/>
      <c r="M3951" s="53"/>
    </row>
    <row r="3952" spans="1:17" x14ac:dyDescent="0.25">
      <c r="A3952" s="21" t="str">
        <f>IF(C3952="","",COUNTA($C$3:C3952))</f>
        <v/>
      </c>
      <c r="B3952" s="35" t="str">
        <f t="shared" si="77"/>
        <v/>
      </c>
      <c r="C3952" s="33"/>
      <c r="E3952" s="60"/>
      <c r="F3952" s="18"/>
      <c r="G3952" s="18"/>
      <c r="H3952" s="49"/>
      <c r="I3952" s="49"/>
      <c r="K3952" s="55"/>
      <c r="M3952" s="53"/>
    </row>
    <row r="3953" spans="1:13" x14ac:dyDescent="0.25">
      <c r="A3953" s="21" t="str">
        <f>IF(C3953="","",COUNTA($C$3:C3953))</f>
        <v/>
      </c>
      <c r="B3953" s="35" t="str">
        <f t="shared" si="77"/>
        <v/>
      </c>
      <c r="C3953" s="33"/>
      <c r="E3953" s="60"/>
      <c r="F3953" s="18"/>
      <c r="G3953" s="18"/>
      <c r="H3953" s="49"/>
      <c r="I3953" s="49"/>
      <c r="M3953" s="53"/>
    </row>
    <row r="3954" spans="1:13" x14ac:dyDescent="0.25">
      <c r="A3954" s="21" t="str">
        <f>IF(C3954="","",COUNTA($C$3:C3954))</f>
        <v/>
      </c>
      <c r="B3954" s="35" t="str">
        <f t="shared" si="77"/>
        <v/>
      </c>
      <c r="C3954" s="33"/>
      <c r="E3954" s="60"/>
      <c r="F3954" s="18"/>
      <c r="G3954" s="18"/>
      <c r="H3954" s="49"/>
      <c r="I3954" s="49"/>
      <c r="M3954" s="53"/>
    </row>
    <row r="3955" spans="1:13" x14ac:dyDescent="0.25">
      <c r="A3955" s="21" t="str">
        <f>IF(C3955="","",COUNTA($C$3:C3955))</f>
        <v/>
      </c>
      <c r="B3955" s="35" t="str">
        <f t="shared" si="77"/>
        <v/>
      </c>
      <c r="C3955" s="33"/>
      <c r="E3955" s="60"/>
      <c r="F3955" s="18"/>
      <c r="H3955" s="49"/>
      <c r="I3955" s="49"/>
      <c r="M3955" s="53"/>
    </row>
    <row r="3956" spans="1:13" x14ac:dyDescent="0.25">
      <c r="A3956" s="21" t="str">
        <f>IF(C3956="","",COUNTA($C$3:C3956))</f>
        <v/>
      </c>
      <c r="B3956" s="35" t="str">
        <f t="shared" si="77"/>
        <v/>
      </c>
      <c r="C3956" s="33"/>
      <c r="E3956" s="60"/>
      <c r="F3956" s="18"/>
      <c r="H3956" s="49"/>
      <c r="I3956" s="49"/>
      <c r="M3956" s="53"/>
    </row>
    <row r="3957" spans="1:13" x14ac:dyDescent="0.25">
      <c r="A3957" s="21" t="str">
        <f>IF(C3957="","",COUNTA($C$3:C3957))</f>
        <v/>
      </c>
      <c r="B3957" s="35" t="str">
        <f t="shared" si="77"/>
        <v/>
      </c>
      <c r="C3957" s="33"/>
      <c r="E3957" s="60"/>
      <c r="F3957" s="18"/>
      <c r="H3957" s="49"/>
      <c r="I3957" s="49"/>
      <c r="M3957" s="53"/>
    </row>
    <row r="3958" spans="1:13" x14ac:dyDescent="0.25">
      <c r="A3958" s="21" t="str">
        <f>IF(C3958="","",COUNTA($C$3:C3958))</f>
        <v/>
      </c>
      <c r="B3958" s="35" t="str">
        <f t="shared" si="77"/>
        <v/>
      </c>
      <c r="C3958" s="33"/>
      <c r="E3958" s="60"/>
      <c r="F3958" s="18"/>
      <c r="H3958" s="49"/>
      <c r="I3958" s="49"/>
      <c r="M3958" s="53"/>
    </row>
    <row r="3959" spans="1:13" x14ac:dyDescent="0.25">
      <c r="A3959" s="21" t="str">
        <f>IF(C3959="","",COUNTA($C$3:C3959))</f>
        <v/>
      </c>
      <c r="B3959" s="35" t="str">
        <f t="shared" si="77"/>
        <v/>
      </c>
      <c r="C3959" s="33"/>
      <c r="E3959" s="60"/>
      <c r="F3959" s="18"/>
      <c r="H3959" s="49"/>
      <c r="I3959" s="49"/>
      <c r="M3959" s="53"/>
    </row>
    <row r="3960" spans="1:13" x14ac:dyDescent="0.25">
      <c r="A3960" s="21" t="str">
        <f>IF(C3960="","",COUNTA($C$3:C3960))</f>
        <v/>
      </c>
      <c r="B3960" s="35" t="str">
        <f t="shared" si="77"/>
        <v/>
      </c>
      <c r="C3960" s="33"/>
      <c r="E3960" s="60"/>
      <c r="F3960" s="18"/>
      <c r="H3960" s="49"/>
      <c r="I3960" s="49"/>
      <c r="M3960" s="53"/>
    </row>
    <row r="3961" spans="1:13" x14ac:dyDescent="0.25">
      <c r="A3961" s="21" t="str">
        <f>IF(C3961="","",COUNTA($C$3:C3961))</f>
        <v/>
      </c>
      <c r="B3961" s="35" t="str">
        <f t="shared" si="77"/>
        <v/>
      </c>
      <c r="C3961" s="33"/>
      <c r="E3961" s="60"/>
      <c r="F3961" s="18"/>
      <c r="H3961" s="49"/>
      <c r="I3961" s="49"/>
      <c r="M3961" s="53"/>
    </row>
    <row r="3962" spans="1:13" x14ac:dyDescent="0.25">
      <c r="A3962" s="21" t="str">
        <f>IF(C3962="","",COUNTA($C$3:C3962))</f>
        <v/>
      </c>
      <c r="B3962" s="35" t="str">
        <f t="shared" si="77"/>
        <v/>
      </c>
      <c r="C3962" s="33"/>
      <c r="E3962" s="60"/>
      <c r="F3962" s="18"/>
      <c r="H3962" s="49"/>
      <c r="I3962" s="49"/>
      <c r="M3962" s="53"/>
    </row>
    <row r="3963" spans="1:13" x14ac:dyDescent="0.25">
      <c r="A3963" s="21" t="str">
        <f>IF(C3963="","",COUNTA($C$3:C3963))</f>
        <v/>
      </c>
      <c r="B3963" s="35" t="str">
        <f t="shared" si="77"/>
        <v/>
      </c>
      <c r="C3963" s="33"/>
      <c r="E3963" s="60"/>
      <c r="F3963" s="18"/>
      <c r="H3963" s="49"/>
      <c r="I3963" s="49"/>
      <c r="M3963" s="53"/>
    </row>
    <row r="3964" spans="1:13" x14ac:dyDescent="0.25">
      <c r="A3964" s="21" t="str">
        <f>IF(C3964="","",COUNTA($C$3:C3964))</f>
        <v/>
      </c>
      <c r="B3964" s="35" t="str">
        <f t="shared" si="77"/>
        <v/>
      </c>
      <c r="C3964" s="33"/>
      <c r="E3964" s="60"/>
      <c r="F3964" s="18"/>
      <c r="H3964" s="49"/>
      <c r="I3964" s="49"/>
      <c r="M3964" s="53"/>
    </row>
    <row r="3965" spans="1:13" x14ac:dyDescent="0.25">
      <c r="A3965" s="21" t="str">
        <f>IF(C3965="","",COUNTA($C$3:C3965))</f>
        <v/>
      </c>
      <c r="B3965" s="35" t="str">
        <f t="shared" si="77"/>
        <v/>
      </c>
      <c r="C3965" s="33"/>
      <c r="E3965" s="60"/>
      <c r="F3965" s="18"/>
      <c r="H3965" s="49"/>
      <c r="I3965" s="49"/>
      <c r="M3965" s="53"/>
    </row>
    <row r="3966" spans="1:13" x14ac:dyDescent="0.25">
      <c r="A3966" s="21" t="str">
        <f>IF(C3966="","",COUNTA($C$3:C3966))</f>
        <v/>
      </c>
      <c r="B3966" s="35" t="str">
        <f t="shared" si="77"/>
        <v/>
      </c>
      <c r="C3966" s="33"/>
      <c r="E3966" s="60"/>
      <c r="F3966" s="18"/>
      <c r="H3966" s="49"/>
      <c r="I3966" s="49"/>
      <c r="M3966" s="53"/>
    </row>
    <row r="3967" spans="1:13" x14ac:dyDescent="0.25">
      <c r="A3967" s="21" t="str">
        <f>IF(C3967="","",COUNTA($C$3:C3967))</f>
        <v/>
      </c>
      <c r="B3967" s="35" t="str">
        <f t="shared" si="77"/>
        <v/>
      </c>
      <c r="C3967" s="33"/>
      <c r="E3967" s="60"/>
      <c r="F3967" s="18"/>
      <c r="H3967" s="49"/>
      <c r="I3967" s="49"/>
      <c r="M3967" s="53"/>
    </row>
    <row r="3968" spans="1:13" x14ac:dyDescent="0.25">
      <c r="A3968" s="21" t="str">
        <f>IF(C3968="","",COUNTA($C$3:C3968))</f>
        <v/>
      </c>
      <c r="B3968" s="35" t="str">
        <f t="shared" si="77"/>
        <v/>
      </c>
      <c r="C3968" s="33"/>
      <c r="E3968" s="60"/>
      <c r="F3968" s="18"/>
      <c r="H3968" s="49"/>
      <c r="I3968" s="49"/>
      <c r="M3968" s="53"/>
    </row>
    <row r="3969" spans="1:17" x14ac:dyDescent="0.25">
      <c r="A3969" s="21" t="str">
        <f>IF(C3969="","",COUNTA($C$3:C3969))</f>
        <v/>
      </c>
      <c r="B3969" s="35" t="str">
        <f t="shared" si="77"/>
        <v/>
      </c>
      <c r="C3969" s="33"/>
      <c r="E3969" s="60"/>
      <c r="F3969" s="18"/>
      <c r="H3969" s="49"/>
      <c r="I3969" s="49"/>
      <c r="M3969" s="53"/>
    </row>
    <row r="3970" spans="1:17" x14ac:dyDescent="0.25">
      <c r="A3970" s="21" t="str">
        <f>IF(C3970="","",COUNTA($C$3:C3970))</f>
        <v/>
      </c>
      <c r="B3970" s="35" t="str">
        <f t="shared" si="77"/>
        <v/>
      </c>
      <c r="C3970" s="33"/>
      <c r="E3970" s="60"/>
      <c r="F3970" s="18"/>
      <c r="H3970" s="49"/>
      <c r="I3970" s="49"/>
      <c r="M3970" s="53"/>
    </row>
    <row r="3971" spans="1:17" x14ac:dyDescent="0.25">
      <c r="A3971" s="21" t="str">
        <f>IF(C3971="","",COUNTA($C$3:C3971))</f>
        <v/>
      </c>
      <c r="B3971" s="35" t="str">
        <f t="shared" si="77"/>
        <v/>
      </c>
      <c r="C3971" s="33"/>
      <c r="E3971" s="60"/>
      <c r="F3971" s="18"/>
      <c r="H3971" s="49"/>
      <c r="I3971" s="49"/>
      <c r="M3971" s="53"/>
    </row>
    <row r="3972" spans="1:17" x14ac:dyDescent="0.25">
      <c r="A3972" s="21" t="str">
        <f>IF(C3972="","",COUNTA($C$3:C3972))</f>
        <v/>
      </c>
      <c r="B3972" s="35" t="str">
        <f t="shared" si="77"/>
        <v/>
      </c>
      <c r="C3972" s="33"/>
      <c r="E3972" s="60"/>
      <c r="F3972" s="18"/>
      <c r="H3972" s="49"/>
      <c r="I3972" s="49"/>
      <c r="M3972" s="53"/>
    </row>
    <row r="3973" spans="1:17" x14ac:dyDescent="0.25">
      <c r="A3973" s="21" t="str">
        <f>IF(C3973="","",COUNTA($C$3:C3973))</f>
        <v/>
      </c>
      <c r="B3973" s="35" t="str">
        <f t="shared" ref="B3973:B4036" si="78">IF(C3973="","",TEXT(C3973,"mmmm"))</f>
        <v/>
      </c>
      <c r="C3973" s="33"/>
      <c r="E3973" s="60"/>
      <c r="F3973" s="18"/>
      <c r="H3973" s="49"/>
      <c r="I3973" s="49"/>
      <c r="M3973" s="53"/>
    </row>
    <row r="3974" spans="1:17" x14ac:dyDescent="0.25">
      <c r="A3974" s="21" t="str">
        <f>IF(C3974="","",COUNTA($C$3:C3974))</f>
        <v/>
      </c>
      <c r="B3974" s="35" t="str">
        <f t="shared" si="78"/>
        <v/>
      </c>
      <c r="C3974" s="33"/>
      <c r="E3974" s="60"/>
      <c r="F3974" s="18"/>
      <c r="H3974" s="49"/>
      <c r="I3974" s="49"/>
      <c r="M3974" s="53"/>
    </row>
    <row r="3975" spans="1:17" x14ac:dyDescent="0.25">
      <c r="A3975" s="21" t="str">
        <f>IF(C3975="","",COUNTA($C$3:C3975))</f>
        <v/>
      </c>
      <c r="B3975" s="35" t="str">
        <f t="shared" si="78"/>
        <v/>
      </c>
      <c r="C3975" s="33"/>
      <c r="E3975" s="60"/>
      <c r="F3975" s="18"/>
      <c r="H3975" s="49"/>
      <c r="I3975" s="49"/>
      <c r="M3975" s="53"/>
    </row>
    <row r="3976" spans="1:17" x14ac:dyDescent="0.25">
      <c r="A3976" s="21" t="str">
        <f>IF(C3976="","",COUNTA($C$3:C3976))</f>
        <v/>
      </c>
      <c r="B3976" s="35" t="str">
        <f t="shared" si="78"/>
        <v/>
      </c>
      <c r="C3976" s="33"/>
      <c r="E3976" s="60"/>
      <c r="F3976" s="18"/>
      <c r="H3976" s="49"/>
      <c r="I3976" s="49"/>
      <c r="M3976" s="53"/>
    </row>
    <row r="3977" spans="1:17" x14ac:dyDescent="0.25">
      <c r="A3977" s="21" t="str">
        <f>IF(C3977="","",COUNTA($C$3:C3977))</f>
        <v/>
      </c>
      <c r="B3977" s="35" t="str">
        <f t="shared" si="78"/>
        <v/>
      </c>
      <c r="C3977" s="33"/>
      <c r="E3977" s="60"/>
      <c r="F3977" s="18"/>
      <c r="H3977" s="49"/>
      <c r="I3977" s="49"/>
      <c r="M3977" s="53"/>
    </row>
    <row r="3978" spans="1:17" x14ac:dyDescent="0.25">
      <c r="A3978" s="21" t="str">
        <f>IF(C3978="","",COUNTA($C$3:C3978))</f>
        <v/>
      </c>
      <c r="B3978" s="35" t="str">
        <f t="shared" si="78"/>
        <v/>
      </c>
      <c r="C3978" s="33"/>
      <c r="E3978" s="60"/>
      <c r="F3978" s="18"/>
      <c r="H3978" s="49"/>
      <c r="I3978" s="49"/>
      <c r="M3978" s="53"/>
    </row>
    <row r="3979" spans="1:17" x14ac:dyDescent="0.25">
      <c r="A3979" s="21" t="str">
        <f>IF(C3979="","",COUNTA($C$3:C3979))</f>
        <v/>
      </c>
      <c r="B3979" s="35" t="str">
        <f t="shared" si="78"/>
        <v/>
      </c>
      <c r="C3979" s="33"/>
      <c r="E3979" s="60"/>
      <c r="F3979" s="18"/>
      <c r="H3979" s="49"/>
      <c r="I3979" s="49"/>
      <c r="M3979" s="53"/>
    </row>
    <row r="3980" spans="1:17" x14ac:dyDescent="0.25">
      <c r="A3980" s="21" t="str">
        <f>IF(C3980="","",COUNTA($C$3:C3980))</f>
        <v/>
      </c>
      <c r="B3980" s="35" t="str">
        <f t="shared" si="78"/>
        <v/>
      </c>
      <c r="C3980" s="33"/>
      <c r="E3980" s="60"/>
      <c r="F3980" s="18"/>
      <c r="H3980" s="49"/>
      <c r="I3980" s="49"/>
      <c r="M3980" s="53"/>
    </row>
    <row r="3981" spans="1:17" x14ac:dyDescent="0.25">
      <c r="A3981" s="21" t="str">
        <f>IF(C3981="","",COUNTA($C$3:C3981))</f>
        <v/>
      </c>
      <c r="B3981" s="35" t="str">
        <f t="shared" si="78"/>
        <v/>
      </c>
      <c r="C3981" s="33"/>
      <c r="E3981" s="60"/>
      <c r="F3981" s="18"/>
      <c r="H3981" s="49"/>
      <c r="I3981" s="49"/>
      <c r="M3981" s="53"/>
      <c r="O3981" s="59"/>
      <c r="P3981" s="112"/>
      <c r="Q3981" s="59"/>
    </row>
    <row r="3982" spans="1:17" x14ac:dyDescent="0.25">
      <c r="A3982" s="21" t="str">
        <f>IF(C3982="","",COUNTA($C$3:C3982))</f>
        <v/>
      </c>
      <c r="B3982" s="35" t="str">
        <f t="shared" si="78"/>
        <v/>
      </c>
      <c r="C3982" s="33"/>
      <c r="E3982" s="60"/>
      <c r="F3982" s="18"/>
      <c r="H3982" s="49"/>
      <c r="I3982" s="49"/>
      <c r="M3982" s="53"/>
    </row>
    <row r="3983" spans="1:17" x14ac:dyDescent="0.25">
      <c r="A3983" s="21" t="str">
        <f>IF(C3983="","",COUNTA($C$3:C3983))</f>
        <v/>
      </c>
      <c r="B3983" s="35" t="str">
        <f t="shared" si="78"/>
        <v/>
      </c>
      <c r="C3983" s="33"/>
      <c r="E3983" s="60"/>
      <c r="F3983" s="18"/>
      <c r="H3983" s="49"/>
      <c r="I3983" s="49"/>
      <c r="M3983" s="53"/>
    </row>
    <row r="3984" spans="1:17" x14ac:dyDescent="0.25">
      <c r="A3984" s="21" t="str">
        <f>IF(C3984="","",COUNTA($C$3:C3984))</f>
        <v/>
      </c>
      <c r="B3984" s="35" t="str">
        <f t="shared" si="78"/>
        <v/>
      </c>
      <c r="C3984" s="33"/>
      <c r="E3984" s="60"/>
      <c r="F3984" s="18"/>
      <c r="H3984" s="49"/>
      <c r="I3984" s="49"/>
      <c r="M3984" s="53"/>
    </row>
    <row r="3985" spans="1:13" x14ac:dyDescent="0.25">
      <c r="A3985" s="21" t="str">
        <f>IF(C3985="","",COUNTA($C$3:C3985))</f>
        <v/>
      </c>
      <c r="B3985" s="35" t="str">
        <f t="shared" si="78"/>
        <v/>
      </c>
      <c r="C3985" s="33"/>
      <c r="E3985" s="60"/>
      <c r="F3985" s="18"/>
      <c r="H3985" s="49"/>
      <c r="I3985" s="49"/>
      <c r="M3985" s="53"/>
    </row>
    <row r="3986" spans="1:13" x14ac:dyDescent="0.25">
      <c r="A3986" s="21" t="str">
        <f>IF(C3986="","",COUNTA($C$3:C3986))</f>
        <v/>
      </c>
      <c r="B3986" s="35" t="str">
        <f t="shared" si="78"/>
        <v/>
      </c>
      <c r="C3986" s="33"/>
      <c r="E3986" s="60"/>
      <c r="F3986" s="18"/>
      <c r="H3986" s="49"/>
      <c r="I3986" s="49"/>
      <c r="L3986" s="53"/>
      <c r="M3986" s="53"/>
    </row>
    <row r="3987" spans="1:13" x14ac:dyDescent="0.25">
      <c r="A3987" s="21" t="str">
        <f>IF(C3987="","",COUNTA($C$3:C3987))</f>
        <v/>
      </c>
      <c r="B3987" s="35" t="str">
        <f t="shared" si="78"/>
        <v/>
      </c>
      <c r="C3987" s="33"/>
      <c r="E3987" s="60"/>
      <c r="F3987" s="18"/>
      <c r="H3987" s="49"/>
      <c r="I3987" s="49"/>
      <c r="M3987" s="53"/>
    </row>
    <row r="3988" spans="1:13" x14ac:dyDescent="0.25">
      <c r="A3988" s="21" t="str">
        <f>IF(C3988="","",COUNTA($C$3:C3988))</f>
        <v/>
      </c>
      <c r="B3988" s="35" t="str">
        <f t="shared" si="78"/>
        <v/>
      </c>
      <c r="C3988" s="33"/>
      <c r="E3988" s="60"/>
      <c r="F3988" s="18"/>
      <c r="H3988" s="49"/>
      <c r="I3988" s="49"/>
      <c r="M3988" s="53"/>
    </row>
    <row r="3989" spans="1:13" x14ac:dyDescent="0.25">
      <c r="A3989" s="21" t="str">
        <f>IF(C3989="","",COUNTA($C$3:C3989))</f>
        <v/>
      </c>
      <c r="B3989" s="35" t="str">
        <f t="shared" si="78"/>
        <v/>
      </c>
      <c r="C3989" s="33"/>
      <c r="E3989" s="60"/>
      <c r="F3989" s="18"/>
      <c r="H3989" s="49"/>
      <c r="I3989" s="49"/>
      <c r="M3989" s="53"/>
    </row>
    <row r="3990" spans="1:13" x14ac:dyDescent="0.25">
      <c r="A3990" s="21" t="str">
        <f>IF(C3990="","",COUNTA($C$3:C3990))</f>
        <v/>
      </c>
      <c r="B3990" s="35" t="str">
        <f t="shared" si="78"/>
        <v/>
      </c>
      <c r="C3990" s="33"/>
      <c r="E3990" s="60"/>
      <c r="F3990" s="18"/>
      <c r="H3990" s="49"/>
      <c r="I3990" s="49"/>
      <c r="M3990" s="53"/>
    </row>
    <row r="3991" spans="1:13" x14ac:dyDescent="0.25">
      <c r="A3991" s="21" t="str">
        <f>IF(C3991="","",COUNTA($C$3:C3991))</f>
        <v/>
      </c>
      <c r="B3991" s="35" t="str">
        <f t="shared" si="78"/>
        <v/>
      </c>
      <c r="C3991" s="33"/>
      <c r="E3991" s="60"/>
      <c r="F3991" s="18"/>
      <c r="H3991" s="49"/>
      <c r="I3991" s="49"/>
      <c r="L3991" s="53"/>
      <c r="M3991" s="53"/>
    </row>
    <row r="3992" spans="1:13" x14ac:dyDescent="0.25">
      <c r="A3992" s="21" t="str">
        <f>IF(C3992="","",COUNTA($C$3:C3992))</f>
        <v/>
      </c>
      <c r="B3992" s="35" t="str">
        <f t="shared" si="78"/>
        <v/>
      </c>
      <c r="C3992" s="33"/>
      <c r="E3992" s="60"/>
      <c r="F3992" s="18"/>
      <c r="H3992" s="49"/>
      <c r="I3992" s="49"/>
      <c r="M3992" s="53"/>
    </row>
    <row r="3993" spans="1:13" x14ac:dyDescent="0.25">
      <c r="A3993" s="21" t="str">
        <f>IF(C3993="","",COUNTA($C$3:C3993))</f>
        <v/>
      </c>
      <c r="B3993" s="35" t="str">
        <f t="shared" si="78"/>
        <v/>
      </c>
      <c r="C3993" s="33"/>
      <c r="E3993" s="60"/>
      <c r="F3993" s="18"/>
      <c r="H3993" s="49"/>
      <c r="I3993" s="49"/>
      <c r="M3993" s="53"/>
    </row>
    <row r="3994" spans="1:13" x14ac:dyDescent="0.25">
      <c r="A3994" s="21" t="str">
        <f>IF(C3994="","",COUNTA($C$3:C3994))</f>
        <v/>
      </c>
      <c r="B3994" s="35" t="str">
        <f t="shared" si="78"/>
        <v/>
      </c>
      <c r="C3994" s="33"/>
      <c r="E3994" s="60"/>
      <c r="F3994" s="18"/>
      <c r="H3994" s="49"/>
      <c r="I3994" s="49"/>
      <c r="M3994" s="53"/>
    </row>
    <row r="3995" spans="1:13" x14ac:dyDescent="0.25">
      <c r="A3995" s="21" t="str">
        <f>IF(C3995="","",COUNTA($C$3:C3995))</f>
        <v/>
      </c>
      <c r="B3995" s="35" t="str">
        <f t="shared" si="78"/>
        <v/>
      </c>
      <c r="C3995" s="33"/>
      <c r="E3995" s="60"/>
      <c r="F3995" s="18"/>
      <c r="H3995" s="49"/>
      <c r="I3995" s="49"/>
      <c r="M3995" s="53"/>
    </row>
    <row r="3996" spans="1:13" x14ac:dyDescent="0.25">
      <c r="A3996" s="21" t="str">
        <f>IF(C3996="","",COUNTA($C$3:C3996))</f>
        <v/>
      </c>
      <c r="B3996" s="35" t="str">
        <f t="shared" si="78"/>
        <v/>
      </c>
      <c r="C3996" s="33"/>
      <c r="E3996" s="60"/>
      <c r="F3996" s="18"/>
      <c r="H3996" s="49"/>
      <c r="I3996" s="49"/>
      <c r="M3996" s="53"/>
    </row>
    <row r="3997" spans="1:13" x14ac:dyDescent="0.25">
      <c r="A3997" s="21" t="str">
        <f>IF(C3997="","",COUNTA($C$3:C3997))</f>
        <v/>
      </c>
      <c r="B3997" s="35" t="str">
        <f t="shared" si="78"/>
        <v/>
      </c>
      <c r="C3997" s="33"/>
      <c r="E3997" s="60"/>
      <c r="F3997" s="18"/>
      <c r="H3997" s="49"/>
      <c r="I3997" s="49"/>
      <c r="M3997" s="53"/>
    </row>
    <row r="3998" spans="1:13" x14ac:dyDescent="0.25">
      <c r="A3998" s="21" t="str">
        <f>IF(C3998="","",COUNTA($C$3:C3998))</f>
        <v/>
      </c>
      <c r="B3998" s="35" t="str">
        <f t="shared" si="78"/>
        <v/>
      </c>
      <c r="C3998" s="33"/>
      <c r="E3998" s="60"/>
      <c r="F3998" s="18"/>
      <c r="H3998" s="49"/>
      <c r="I3998" s="49"/>
      <c r="M3998" s="53"/>
    </row>
    <row r="3999" spans="1:13" x14ac:dyDescent="0.25">
      <c r="A3999" s="21" t="str">
        <f>IF(C3999="","",COUNTA($C$3:C3999))</f>
        <v/>
      </c>
      <c r="B3999" s="35" t="str">
        <f t="shared" si="78"/>
        <v/>
      </c>
      <c r="C3999" s="33"/>
      <c r="E3999" s="60"/>
      <c r="F3999" s="18"/>
      <c r="H3999" s="49"/>
      <c r="I3999" s="49"/>
      <c r="M3999" s="53"/>
    </row>
    <row r="4000" spans="1:13" x14ac:dyDescent="0.25">
      <c r="A4000" s="21" t="str">
        <f>IF(C4000="","",COUNTA($C$3:C4000))</f>
        <v/>
      </c>
      <c r="B4000" s="35" t="str">
        <f t="shared" si="78"/>
        <v/>
      </c>
      <c r="C4000" s="33"/>
      <c r="E4000" s="60"/>
      <c r="F4000" s="18"/>
      <c r="H4000" s="49"/>
      <c r="I4000" s="49"/>
      <c r="M4000" s="53"/>
    </row>
    <row r="4001" spans="1:17" x14ac:dyDescent="0.25">
      <c r="A4001" s="21" t="str">
        <f>IF(C4001="","",COUNTA($C$3:C4001))</f>
        <v/>
      </c>
      <c r="B4001" s="35" t="str">
        <f t="shared" si="78"/>
        <v/>
      </c>
      <c r="C4001" s="33"/>
      <c r="E4001" s="60"/>
      <c r="F4001" s="18"/>
      <c r="H4001" s="49"/>
      <c r="I4001" s="49"/>
      <c r="M4001" s="53"/>
    </row>
    <row r="4002" spans="1:17" x14ac:dyDescent="0.25">
      <c r="A4002" s="21" t="str">
        <f>IF(C4002="","",COUNTA($C$3:C4002))</f>
        <v/>
      </c>
      <c r="B4002" s="35" t="str">
        <f t="shared" si="78"/>
        <v/>
      </c>
      <c r="C4002" s="33"/>
      <c r="E4002" s="60"/>
      <c r="F4002" s="18"/>
      <c r="H4002" s="49"/>
      <c r="I4002" s="49"/>
      <c r="M4002" s="53"/>
    </row>
    <row r="4003" spans="1:17" x14ac:dyDescent="0.25">
      <c r="A4003" s="21" t="str">
        <f>IF(C4003="","",COUNTA($C$3:C4003))</f>
        <v/>
      </c>
      <c r="B4003" s="35" t="str">
        <f t="shared" si="78"/>
        <v/>
      </c>
      <c r="C4003" s="33"/>
      <c r="E4003" s="60"/>
      <c r="F4003" s="18"/>
      <c r="H4003" s="49"/>
      <c r="I4003" s="49"/>
      <c r="M4003" s="53"/>
    </row>
    <row r="4004" spans="1:17" x14ac:dyDescent="0.25">
      <c r="A4004" s="21" t="str">
        <f>IF(C4004="","",COUNTA($C$3:C4004))</f>
        <v/>
      </c>
      <c r="B4004" s="35" t="str">
        <f t="shared" si="78"/>
        <v/>
      </c>
      <c r="C4004" s="33"/>
      <c r="E4004" s="60"/>
      <c r="F4004" s="18"/>
      <c r="H4004" s="49"/>
      <c r="I4004" s="49"/>
      <c r="M4004" s="53"/>
    </row>
    <row r="4005" spans="1:17" x14ac:dyDescent="0.25">
      <c r="A4005" s="21" t="str">
        <f>IF(C4005="","",COUNTA($C$3:C4005))</f>
        <v/>
      </c>
      <c r="B4005" s="35" t="str">
        <f t="shared" si="78"/>
        <v/>
      </c>
      <c r="C4005" s="33"/>
      <c r="E4005" s="60"/>
      <c r="F4005" s="18"/>
      <c r="H4005" s="49"/>
      <c r="I4005" s="49"/>
      <c r="M4005" s="53"/>
    </row>
    <row r="4006" spans="1:17" x14ac:dyDescent="0.25">
      <c r="A4006" s="21" t="str">
        <f>IF(C4006="","",COUNTA($C$3:C4006))</f>
        <v/>
      </c>
      <c r="B4006" s="35" t="str">
        <f t="shared" si="78"/>
        <v/>
      </c>
      <c r="C4006" s="33"/>
      <c r="E4006" s="60"/>
      <c r="F4006" s="18"/>
      <c r="H4006" s="49"/>
      <c r="I4006" s="49"/>
      <c r="M4006" s="53"/>
    </row>
    <row r="4007" spans="1:17" x14ac:dyDescent="0.25">
      <c r="A4007" s="21" t="str">
        <f>IF(C4007="","",COUNTA($C$3:C4007))</f>
        <v/>
      </c>
      <c r="B4007" s="35" t="str">
        <f t="shared" si="78"/>
        <v/>
      </c>
      <c r="C4007" s="33"/>
      <c r="E4007" s="60"/>
      <c r="F4007" s="18"/>
      <c r="H4007" s="49"/>
      <c r="I4007" s="49"/>
      <c r="M4007" s="53"/>
    </row>
    <row r="4008" spans="1:17" x14ac:dyDescent="0.25">
      <c r="A4008" s="21" t="str">
        <f>IF(C4008="","",COUNTA($C$3:C4008))</f>
        <v/>
      </c>
      <c r="B4008" s="35" t="str">
        <f t="shared" si="78"/>
        <v/>
      </c>
      <c r="C4008" s="33"/>
      <c r="E4008" s="60"/>
      <c r="F4008" s="18"/>
      <c r="H4008" s="49"/>
      <c r="I4008" s="49"/>
      <c r="M4008" s="53"/>
    </row>
    <row r="4009" spans="1:17" x14ac:dyDescent="0.25">
      <c r="A4009" s="21" t="str">
        <f>IF(C4009="","",COUNTA($C$3:C4009))</f>
        <v/>
      </c>
      <c r="B4009" s="35" t="str">
        <f t="shared" si="78"/>
        <v/>
      </c>
      <c r="C4009" s="33"/>
      <c r="E4009" s="60"/>
      <c r="F4009" s="18"/>
      <c r="H4009" s="49"/>
      <c r="I4009" s="49"/>
      <c r="M4009" s="53"/>
    </row>
    <row r="4010" spans="1:17" x14ac:dyDescent="0.25">
      <c r="A4010" s="21" t="str">
        <f>IF(C4010="","",COUNTA($C$3:C4010))</f>
        <v/>
      </c>
      <c r="B4010" s="35" t="str">
        <f t="shared" si="78"/>
        <v/>
      </c>
      <c r="C4010" s="33"/>
      <c r="E4010" s="60"/>
      <c r="F4010" s="18"/>
      <c r="H4010" s="49"/>
      <c r="I4010" s="49"/>
      <c r="M4010" s="53"/>
    </row>
    <row r="4011" spans="1:17" x14ac:dyDescent="0.25">
      <c r="A4011" s="21" t="str">
        <f>IF(C4011="","",COUNTA($C$3:C4011))</f>
        <v/>
      </c>
      <c r="B4011" s="35" t="str">
        <f t="shared" si="78"/>
        <v/>
      </c>
      <c r="C4011" s="33"/>
      <c r="E4011" s="60"/>
      <c r="F4011" s="18"/>
      <c r="H4011" s="49"/>
      <c r="I4011" s="49"/>
      <c r="M4011" s="53"/>
    </row>
    <row r="4012" spans="1:17" x14ac:dyDescent="0.25">
      <c r="A4012" s="21" t="str">
        <f>IF(C4012="","",COUNTA($C$3:C4012))</f>
        <v/>
      </c>
      <c r="B4012" s="35" t="str">
        <f t="shared" si="78"/>
        <v/>
      </c>
      <c r="C4012" s="33"/>
      <c r="E4012" s="60"/>
      <c r="F4012" s="18"/>
      <c r="H4012" s="49"/>
      <c r="I4012" s="49"/>
      <c r="M4012" s="53"/>
    </row>
    <row r="4013" spans="1:17" x14ac:dyDescent="0.25">
      <c r="A4013" s="21" t="str">
        <f>IF(C4013="","",COUNTA($C$3:C4013))</f>
        <v/>
      </c>
      <c r="B4013" s="35" t="str">
        <f t="shared" si="78"/>
        <v/>
      </c>
      <c r="C4013" s="33"/>
      <c r="E4013" s="60"/>
      <c r="F4013" s="18"/>
      <c r="H4013" s="49"/>
      <c r="I4013" s="49"/>
      <c r="M4013" s="53"/>
    </row>
    <row r="4014" spans="1:17" x14ac:dyDescent="0.25">
      <c r="A4014" s="21" t="str">
        <f>IF(C4014="","",COUNTA($C$3:C4014))</f>
        <v/>
      </c>
      <c r="B4014" s="35" t="str">
        <f t="shared" si="78"/>
        <v/>
      </c>
      <c r="C4014" s="33"/>
      <c r="E4014" s="60"/>
      <c r="F4014" s="18"/>
      <c r="H4014" s="49"/>
      <c r="I4014" s="49"/>
      <c r="M4014" s="53"/>
    </row>
    <row r="4015" spans="1:17" x14ac:dyDescent="0.25">
      <c r="A4015" s="21" t="str">
        <f>IF(C4015="","",COUNTA($C$3:C4015))</f>
        <v/>
      </c>
      <c r="B4015" s="35" t="str">
        <f t="shared" si="78"/>
        <v/>
      </c>
      <c r="C4015" s="33"/>
      <c r="E4015" s="60"/>
      <c r="F4015" s="18"/>
      <c r="H4015" s="49"/>
      <c r="I4015" s="49"/>
      <c r="M4015" s="53"/>
      <c r="O4015" s="59"/>
      <c r="P4015" s="69"/>
      <c r="Q4015" s="59"/>
    </row>
    <row r="4016" spans="1:17" x14ac:dyDescent="0.25">
      <c r="A4016" s="21" t="str">
        <f>IF(C4016="","",COUNTA($C$3:C4016))</f>
        <v/>
      </c>
      <c r="B4016" s="35" t="str">
        <f t="shared" si="78"/>
        <v/>
      </c>
      <c r="C4016" s="33"/>
      <c r="E4016" s="60"/>
      <c r="F4016" s="18"/>
      <c r="H4016" s="49"/>
      <c r="I4016" s="49"/>
      <c r="M4016" s="53"/>
      <c r="O4016" s="59"/>
      <c r="P4016" s="69"/>
      <c r="Q4016" s="59"/>
    </row>
    <row r="4017" spans="1:17" x14ac:dyDescent="0.25">
      <c r="A4017" s="21" t="str">
        <f>IF(C4017="","",COUNTA($C$3:C4017))</f>
        <v/>
      </c>
      <c r="B4017" s="35" t="str">
        <f t="shared" si="78"/>
        <v/>
      </c>
      <c r="C4017" s="33"/>
      <c r="E4017" s="60"/>
      <c r="F4017" s="18"/>
      <c r="G4017" s="52"/>
      <c r="H4017" s="49"/>
      <c r="I4017" s="49"/>
      <c r="L4017" s="53"/>
      <c r="M4017" s="53"/>
    </row>
    <row r="4018" spans="1:17" x14ac:dyDescent="0.25">
      <c r="A4018" s="21" t="str">
        <f>IF(C4018="","",COUNTA($C$3:C4018))</f>
        <v/>
      </c>
      <c r="B4018" s="35" t="str">
        <f t="shared" si="78"/>
        <v/>
      </c>
      <c r="C4018" s="33"/>
      <c r="E4018" s="60"/>
      <c r="F4018" s="18"/>
      <c r="G4018" s="52"/>
      <c r="H4018" s="49"/>
      <c r="I4018" s="49"/>
      <c r="M4018" s="53"/>
    </row>
    <row r="4019" spans="1:17" x14ac:dyDescent="0.25">
      <c r="A4019" s="21" t="str">
        <f>IF(C4019="","",COUNTA($C$3:C4019))</f>
        <v/>
      </c>
      <c r="B4019" s="35" t="str">
        <f t="shared" si="78"/>
        <v/>
      </c>
      <c r="C4019" s="33"/>
      <c r="E4019" s="60"/>
      <c r="F4019" s="18"/>
      <c r="G4019" s="52"/>
      <c r="H4019" s="49"/>
      <c r="I4019" s="49"/>
      <c r="L4019" s="53"/>
      <c r="M4019" s="53"/>
    </row>
    <row r="4020" spans="1:17" x14ac:dyDescent="0.25">
      <c r="A4020" s="21" t="str">
        <f>IF(C4020="","",COUNTA($C$3:C4020))</f>
        <v/>
      </c>
      <c r="B4020" s="35" t="str">
        <f t="shared" si="78"/>
        <v/>
      </c>
      <c r="C4020" s="33"/>
      <c r="E4020" s="60"/>
      <c r="F4020" s="18"/>
      <c r="G4020" s="52"/>
      <c r="H4020" s="49"/>
      <c r="I4020" s="49"/>
      <c r="L4020" s="53"/>
      <c r="M4020" s="53"/>
    </row>
    <row r="4021" spans="1:17" x14ac:dyDescent="0.25">
      <c r="A4021" s="21" t="str">
        <f>IF(C4021="","",COUNTA($C$3:C4021))</f>
        <v/>
      </c>
      <c r="B4021" s="35" t="str">
        <f t="shared" si="78"/>
        <v/>
      </c>
      <c r="C4021" s="33"/>
      <c r="E4021" s="60"/>
      <c r="F4021" s="18"/>
      <c r="G4021" s="52"/>
      <c r="H4021" s="49"/>
      <c r="I4021" s="49"/>
      <c r="M4021" s="53"/>
    </row>
    <row r="4022" spans="1:17" x14ac:dyDescent="0.25">
      <c r="A4022" s="21" t="str">
        <f>IF(C4022="","",COUNTA($C$3:C4022))</f>
        <v/>
      </c>
      <c r="B4022" s="35" t="str">
        <f t="shared" si="78"/>
        <v/>
      </c>
      <c r="C4022" s="33"/>
      <c r="E4022" s="60"/>
      <c r="F4022" s="18"/>
      <c r="G4022" s="52"/>
      <c r="H4022" s="49"/>
      <c r="I4022" s="49"/>
      <c r="K4022" s="55"/>
      <c r="M4022" s="53"/>
    </row>
    <row r="4023" spans="1:17" x14ac:dyDescent="0.25">
      <c r="A4023" s="21" t="str">
        <f>IF(C4023="","",COUNTA($C$3:C4023))</f>
        <v/>
      </c>
      <c r="B4023" s="35" t="str">
        <f t="shared" si="78"/>
        <v/>
      </c>
      <c r="C4023" s="33"/>
      <c r="E4023" s="60"/>
      <c r="F4023" s="18"/>
      <c r="G4023" s="52"/>
      <c r="H4023" s="49"/>
      <c r="I4023" s="49"/>
      <c r="M4023" s="53"/>
      <c r="O4023" s="59"/>
      <c r="P4023" s="112"/>
      <c r="Q4023" s="59"/>
    </row>
    <row r="4024" spans="1:17" x14ac:dyDescent="0.25">
      <c r="A4024" s="21" t="str">
        <f>IF(C4024="","",COUNTA($C$3:C4024))</f>
        <v/>
      </c>
      <c r="B4024" s="35" t="str">
        <f t="shared" si="78"/>
        <v/>
      </c>
      <c r="C4024" s="33"/>
      <c r="E4024" s="60"/>
      <c r="F4024" s="18"/>
      <c r="H4024" s="49"/>
      <c r="I4024" s="49"/>
      <c r="M4024" s="53"/>
      <c r="O4024" s="59"/>
      <c r="P4024" s="69"/>
      <c r="Q4024" s="59"/>
    </row>
    <row r="4025" spans="1:17" x14ac:dyDescent="0.25">
      <c r="A4025" s="21" t="str">
        <f>IF(C4025="","",COUNTA($C$3:C4025))</f>
        <v/>
      </c>
      <c r="B4025" s="35" t="str">
        <f t="shared" si="78"/>
        <v/>
      </c>
      <c r="C4025" s="33"/>
      <c r="E4025" s="60"/>
      <c r="F4025" s="18"/>
      <c r="H4025" s="49"/>
      <c r="I4025" s="49"/>
      <c r="M4025" s="53"/>
      <c r="O4025" s="59"/>
      <c r="P4025" s="69"/>
      <c r="Q4025" s="59"/>
    </row>
    <row r="4026" spans="1:17" x14ac:dyDescent="0.25">
      <c r="A4026" s="21" t="str">
        <f>IF(C4026="","",COUNTA($C$3:C4026))</f>
        <v/>
      </c>
      <c r="B4026" s="35" t="str">
        <f t="shared" si="78"/>
        <v/>
      </c>
      <c r="C4026" s="33"/>
      <c r="E4026" s="60"/>
      <c r="F4026" s="18"/>
      <c r="H4026" s="49"/>
      <c r="I4026" s="49"/>
      <c r="M4026" s="53"/>
      <c r="O4026" s="59"/>
      <c r="P4026" s="112"/>
      <c r="Q4026" s="59"/>
    </row>
    <row r="4027" spans="1:17" x14ac:dyDescent="0.25">
      <c r="A4027" s="21" t="str">
        <f>IF(C4027="","",COUNTA($C$3:C4027))</f>
        <v/>
      </c>
      <c r="B4027" s="35" t="str">
        <f t="shared" si="78"/>
        <v/>
      </c>
      <c r="C4027" s="33"/>
      <c r="E4027" s="60"/>
      <c r="F4027" s="18"/>
      <c r="H4027" s="49"/>
      <c r="I4027" s="49"/>
      <c r="M4027" s="53"/>
    </row>
    <row r="4028" spans="1:17" x14ac:dyDescent="0.25">
      <c r="A4028" s="21" t="str">
        <f>IF(C4028="","",COUNTA($C$3:C4028))</f>
        <v/>
      </c>
      <c r="B4028" s="35" t="str">
        <f t="shared" si="78"/>
        <v/>
      </c>
      <c r="C4028" s="33"/>
      <c r="E4028" s="60"/>
      <c r="F4028" s="18"/>
      <c r="H4028" s="49"/>
      <c r="I4028" s="49"/>
      <c r="M4028" s="53"/>
    </row>
    <row r="4029" spans="1:17" x14ac:dyDescent="0.25">
      <c r="A4029" s="21" t="str">
        <f>IF(C4029="","",COUNTA($C$3:C4029))</f>
        <v/>
      </c>
      <c r="B4029" s="35" t="str">
        <f t="shared" si="78"/>
        <v/>
      </c>
      <c r="C4029" s="33"/>
      <c r="E4029" s="60"/>
      <c r="F4029" s="18"/>
      <c r="H4029" s="49"/>
      <c r="I4029" s="49"/>
      <c r="K4029" s="55"/>
      <c r="M4029" s="53"/>
    </row>
    <row r="4030" spans="1:17" x14ac:dyDescent="0.25">
      <c r="A4030" s="21" t="str">
        <f>IF(C4030="","",COUNTA($C$3:C4030))</f>
        <v/>
      </c>
      <c r="B4030" s="35" t="str">
        <f t="shared" si="78"/>
        <v/>
      </c>
      <c r="C4030" s="33"/>
      <c r="E4030" s="60"/>
      <c r="F4030" s="18"/>
      <c r="H4030" s="49"/>
      <c r="I4030" s="49"/>
      <c r="M4030" s="53"/>
    </row>
    <row r="4031" spans="1:17" x14ac:dyDescent="0.25">
      <c r="A4031" s="21" t="str">
        <f>IF(C4031="","",COUNTA($C$3:C4031))</f>
        <v/>
      </c>
      <c r="B4031" s="35" t="str">
        <f t="shared" si="78"/>
        <v/>
      </c>
      <c r="C4031" s="33"/>
      <c r="E4031" s="60"/>
      <c r="F4031" s="18"/>
      <c r="H4031" s="49"/>
      <c r="I4031" s="49"/>
      <c r="M4031" s="53"/>
    </row>
    <row r="4032" spans="1:17" x14ac:dyDescent="0.25">
      <c r="A4032" s="21" t="str">
        <f>IF(C4032="","",COUNTA($C$3:C4032))</f>
        <v/>
      </c>
      <c r="B4032" s="35" t="str">
        <f t="shared" si="78"/>
        <v/>
      </c>
      <c r="C4032" s="33"/>
      <c r="E4032" s="60"/>
      <c r="F4032" s="18"/>
      <c r="H4032" s="49"/>
      <c r="I4032" s="49"/>
      <c r="M4032" s="53"/>
    </row>
    <row r="4033" spans="1:13" x14ac:dyDescent="0.25">
      <c r="A4033" s="21" t="str">
        <f>IF(C4033="","",COUNTA($C$3:C4033))</f>
        <v/>
      </c>
      <c r="B4033" s="35" t="str">
        <f t="shared" si="78"/>
        <v/>
      </c>
      <c r="C4033" s="33"/>
      <c r="E4033" s="60"/>
      <c r="F4033" s="18"/>
      <c r="H4033" s="49"/>
      <c r="I4033" s="49"/>
      <c r="M4033" s="53"/>
    </row>
    <row r="4034" spans="1:13" x14ac:dyDescent="0.25">
      <c r="A4034" s="21" t="str">
        <f>IF(C4034="","",COUNTA($C$3:C4034))</f>
        <v/>
      </c>
      <c r="B4034" s="35" t="str">
        <f t="shared" si="78"/>
        <v/>
      </c>
      <c r="C4034" s="33"/>
      <c r="E4034" s="60"/>
      <c r="F4034" s="18"/>
      <c r="H4034" s="49"/>
      <c r="I4034" s="49"/>
      <c r="M4034" s="53"/>
    </row>
    <row r="4035" spans="1:13" x14ac:dyDescent="0.25">
      <c r="A4035" s="21" t="str">
        <f>IF(C4035="","",COUNTA($C$3:C4035))</f>
        <v/>
      </c>
      <c r="B4035" s="35" t="str">
        <f t="shared" si="78"/>
        <v/>
      </c>
      <c r="C4035" s="33"/>
      <c r="E4035" s="60"/>
      <c r="F4035" s="18"/>
      <c r="H4035" s="49"/>
      <c r="I4035" s="49"/>
      <c r="M4035" s="53"/>
    </row>
    <row r="4036" spans="1:13" x14ac:dyDescent="0.25">
      <c r="A4036" s="21" t="str">
        <f>IF(C4036="","",COUNTA($C$3:C4036))</f>
        <v/>
      </c>
      <c r="B4036" s="35" t="str">
        <f t="shared" si="78"/>
        <v/>
      </c>
      <c r="C4036" s="33"/>
      <c r="E4036" s="60"/>
      <c r="F4036" s="18"/>
      <c r="H4036" s="49"/>
      <c r="I4036" s="49"/>
      <c r="M4036" s="53"/>
    </row>
    <row r="4037" spans="1:13" x14ac:dyDescent="0.25">
      <c r="A4037" s="21" t="str">
        <f>IF(C4037="","",COUNTA($C$3:C4037))</f>
        <v/>
      </c>
      <c r="B4037" s="35" t="str">
        <f t="shared" ref="B4037:B4100" si="79">IF(C4037="","",TEXT(C4037,"mmmm"))</f>
        <v/>
      </c>
      <c r="C4037" s="33"/>
      <c r="E4037" s="60"/>
      <c r="F4037" s="18"/>
      <c r="H4037" s="49"/>
      <c r="I4037" s="49"/>
      <c r="M4037" s="53"/>
    </row>
    <row r="4038" spans="1:13" x14ac:dyDescent="0.25">
      <c r="A4038" s="21" t="str">
        <f>IF(C4038="","",COUNTA($C$3:C4038))</f>
        <v/>
      </c>
      <c r="B4038" s="35" t="str">
        <f t="shared" si="79"/>
        <v/>
      </c>
      <c r="C4038" s="33"/>
      <c r="E4038" s="60"/>
      <c r="F4038" s="18"/>
      <c r="H4038" s="49"/>
      <c r="I4038" s="49"/>
      <c r="M4038" s="53"/>
    </row>
    <row r="4039" spans="1:13" x14ac:dyDescent="0.25">
      <c r="A4039" s="21" t="str">
        <f>IF(C4039="","",COUNTA($C$3:C4039))</f>
        <v/>
      </c>
      <c r="B4039" s="35" t="str">
        <f t="shared" si="79"/>
        <v/>
      </c>
      <c r="C4039" s="33"/>
      <c r="E4039" s="60"/>
      <c r="F4039" s="18"/>
      <c r="H4039" s="49"/>
      <c r="I4039" s="49"/>
      <c r="M4039" s="53"/>
    </row>
    <row r="4040" spans="1:13" x14ac:dyDescent="0.25">
      <c r="A4040" s="21" t="str">
        <f>IF(C4040="","",COUNTA($C$3:C4040))</f>
        <v/>
      </c>
      <c r="B4040" s="35" t="str">
        <f t="shared" si="79"/>
        <v/>
      </c>
      <c r="C4040" s="33"/>
      <c r="E4040" s="60"/>
      <c r="F4040" s="18"/>
      <c r="H4040" s="49"/>
      <c r="I4040" s="49"/>
      <c r="M4040" s="53"/>
    </row>
    <row r="4041" spans="1:13" x14ac:dyDescent="0.25">
      <c r="A4041" s="21" t="str">
        <f>IF(C4041="","",COUNTA($C$3:C4041))</f>
        <v/>
      </c>
      <c r="B4041" s="35" t="str">
        <f t="shared" si="79"/>
        <v/>
      </c>
      <c r="C4041" s="33"/>
      <c r="E4041" s="60"/>
      <c r="F4041" s="18"/>
      <c r="H4041" s="49"/>
      <c r="I4041" s="49"/>
      <c r="M4041" s="53"/>
    </row>
    <row r="4042" spans="1:13" x14ac:dyDescent="0.25">
      <c r="A4042" s="21" t="str">
        <f>IF(C4042="","",COUNTA($C$3:C4042))</f>
        <v/>
      </c>
      <c r="B4042" s="35" t="str">
        <f t="shared" si="79"/>
        <v/>
      </c>
      <c r="C4042" s="33"/>
      <c r="E4042" s="60"/>
      <c r="F4042" s="18"/>
      <c r="H4042" s="49"/>
      <c r="I4042" s="49"/>
      <c r="M4042" s="53"/>
    </row>
    <row r="4043" spans="1:13" x14ac:dyDescent="0.25">
      <c r="A4043" s="21" t="str">
        <f>IF(C4043="","",COUNTA($C$3:C4043))</f>
        <v/>
      </c>
      <c r="B4043" s="35" t="str">
        <f t="shared" si="79"/>
        <v/>
      </c>
      <c r="C4043" s="33"/>
      <c r="E4043" s="60"/>
      <c r="F4043" s="18"/>
      <c r="H4043" s="49"/>
      <c r="I4043" s="49"/>
      <c r="M4043" s="53"/>
    </row>
    <row r="4044" spans="1:13" x14ac:dyDescent="0.25">
      <c r="A4044" s="21" t="str">
        <f>IF(C4044="","",COUNTA($C$3:C4044))</f>
        <v/>
      </c>
      <c r="B4044" s="35" t="str">
        <f t="shared" si="79"/>
        <v/>
      </c>
      <c r="C4044" s="33"/>
      <c r="E4044" s="60"/>
      <c r="F4044" s="18"/>
      <c r="H4044" s="49"/>
      <c r="I4044" s="49"/>
      <c r="M4044" s="53"/>
    </row>
    <row r="4045" spans="1:13" x14ac:dyDescent="0.25">
      <c r="A4045" s="21" t="str">
        <f>IF(C4045="","",COUNTA($C$3:C4045))</f>
        <v/>
      </c>
      <c r="B4045" s="35" t="str">
        <f t="shared" si="79"/>
        <v/>
      </c>
      <c r="C4045" s="33"/>
      <c r="E4045" s="60"/>
      <c r="F4045" s="18"/>
      <c r="H4045" s="49"/>
      <c r="I4045" s="49"/>
      <c r="M4045" s="53"/>
    </row>
    <row r="4046" spans="1:13" x14ac:dyDescent="0.25">
      <c r="A4046" s="21" t="str">
        <f>IF(C4046="","",COUNTA($C$3:C4046))</f>
        <v/>
      </c>
      <c r="B4046" s="35" t="str">
        <f t="shared" si="79"/>
        <v/>
      </c>
      <c r="C4046" s="33"/>
      <c r="E4046" s="60"/>
      <c r="F4046" s="18"/>
      <c r="H4046" s="49"/>
      <c r="I4046" s="49"/>
      <c r="M4046" s="53"/>
    </row>
    <row r="4047" spans="1:13" x14ac:dyDescent="0.25">
      <c r="A4047" s="21" t="str">
        <f>IF(C4047="","",COUNTA($C$3:C4047))</f>
        <v/>
      </c>
      <c r="B4047" s="35" t="str">
        <f t="shared" si="79"/>
        <v/>
      </c>
      <c r="C4047" s="33"/>
      <c r="E4047" s="60"/>
      <c r="F4047" s="18"/>
      <c r="H4047" s="49"/>
      <c r="I4047" s="49"/>
      <c r="M4047" s="53"/>
    </row>
    <row r="4048" spans="1:13" x14ac:dyDescent="0.25">
      <c r="A4048" s="21" t="str">
        <f>IF(C4048="","",COUNTA($C$3:C4048))</f>
        <v/>
      </c>
      <c r="B4048" s="35" t="str">
        <f t="shared" si="79"/>
        <v/>
      </c>
      <c r="C4048" s="33"/>
      <c r="E4048" s="60"/>
      <c r="F4048" s="18"/>
      <c r="H4048" s="49"/>
      <c r="I4048" s="49"/>
      <c r="M4048" s="53"/>
    </row>
    <row r="4049" spans="1:13" x14ac:dyDescent="0.25">
      <c r="A4049" s="21" t="str">
        <f>IF(C4049="","",COUNTA($C$3:C4049))</f>
        <v/>
      </c>
      <c r="B4049" s="35" t="str">
        <f t="shared" si="79"/>
        <v/>
      </c>
      <c r="C4049" s="33"/>
      <c r="E4049" s="60"/>
      <c r="F4049" s="18"/>
      <c r="H4049" s="49"/>
      <c r="I4049" s="49"/>
      <c r="M4049" s="53"/>
    </row>
    <row r="4050" spans="1:13" x14ac:dyDescent="0.25">
      <c r="A4050" s="21" t="str">
        <f>IF(C4050="","",COUNTA($C$3:C4050))</f>
        <v/>
      </c>
      <c r="B4050" s="35" t="str">
        <f t="shared" si="79"/>
        <v/>
      </c>
      <c r="C4050" s="33"/>
      <c r="E4050" s="60"/>
      <c r="F4050" s="18"/>
      <c r="H4050" s="49"/>
      <c r="I4050" s="49"/>
      <c r="M4050" s="53"/>
    </row>
    <row r="4051" spans="1:13" x14ac:dyDescent="0.25">
      <c r="A4051" s="21" t="str">
        <f>IF(C4051="","",COUNTA($C$3:C4051))</f>
        <v/>
      </c>
      <c r="B4051" s="35" t="str">
        <f t="shared" si="79"/>
        <v/>
      </c>
      <c r="C4051" s="33"/>
      <c r="E4051" s="60"/>
      <c r="F4051" s="18"/>
      <c r="H4051" s="49"/>
      <c r="I4051" s="49"/>
      <c r="M4051" s="53"/>
    </row>
    <row r="4052" spans="1:13" x14ac:dyDescent="0.25">
      <c r="A4052" s="21" t="str">
        <f>IF(C4052="","",COUNTA($C$3:C4052))</f>
        <v/>
      </c>
      <c r="B4052" s="35" t="str">
        <f t="shared" si="79"/>
        <v/>
      </c>
      <c r="C4052" s="33"/>
      <c r="E4052" s="60"/>
      <c r="F4052" s="18"/>
      <c r="H4052" s="49"/>
      <c r="I4052" s="49"/>
      <c r="M4052" s="53"/>
    </row>
    <row r="4053" spans="1:13" x14ac:dyDescent="0.25">
      <c r="A4053" s="21" t="str">
        <f>IF(C4053="","",COUNTA($C$3:C4053))</f>
        <v/>
      </c>
      <c r="B4053" s="35" t="str">
        <f t="shared" si="79"/>
        <v/>
      </c>
      <c r="C4053" s="33"/>
      <c r="E4053" s="60"/>
      <c r="F4053" s="18"/>
      <c r="H4053" s="49"/>
      <c r="I4053" s="49"/>
      <c r="M4053" s="53"/>
    </row>
    <row r="4054" spans="1:13" x14ac:dyDescent="0.25">
      <c r="A4054" s="21" t="str">
        <f>IF(C4054="","",COUNTA($C$3:C4054))</f>
        <v/>
      </c>
      <c r="B4054" s="35" t="str">
        <f t="shared" si="79"/>
        <v/>
      </c>
      <c r="C4054" s="33"/>
      <c r="E4054" s="60"/>
      <c r="F4054" s="18"/>
      <c r="H4054" s="49"/>
      <c r="I4054" s="49"/>
      <c r="M4054" s="53"/>
    </row>
    <row r="4055" spans="1:13" x14ac:dyDescent="0.25">
      <c r="A4055" s="21" t="str">
        <f>IF(C4055="","",COUNTA($C$3:C4055))</f>
        <v/>
      </c>
      <c r="B4055" s="35" t="str">
        <f t="shared" si="79"/>
        <v/>
      </c>
      <c r="C4055" s="33"/>
      <c r="E4055" s="60"/>
      <c r="F4055" s="18"/>
      <c r="H4055" s="49"/>
      <c r="I4055" s="49"/>
      <c r="M4055" s="53"/>
    </row>
    <row r="4056" spans="1:13" x14ac:dyDescent="0.25">
      <c r="A4056" s="21" t="str">
        <f>IF(C4056="","",COUNTA($C$3:C4056))</f>
        <v/>
      </c>
      <c r="B4056" s="35" t="str">
        <f t="shared" si="79"/>
        <v/>
      </c>
      <c r="C4056" s="33"/>
      <c r="E4056" s="60"/>
      <c r="F4056" s="18"/>
      <c r="H4056" s="49"/>
      <c r="I4056" s="49"/>
      <c r="M4056" s="53"/>
    </row>
    <row r="4057" spans="1:13" x14ac:dyDescent="0.25">
      <c r="A4057" s="21" t="str">
        <f>IF(C4057="","",COUNTA($C$3:C4057))</f>
        <v/>
      </c>
      <c r="B4057" s="35" t="str">
        <f t="shared" si="79"/>
        <v/>
      </c>
      <c r="C4057" s="33"/>
      <c r="E4057" s="60"/>
      <c r="F4057" s="18"/>
      <c r="H4057" s="49"/>
      <c r="I4057" s="49"/>
      <c r="M4057" s="53"/>
    </row>
    <row r="4058" spans="1:13" x14ac:dyDescent="0.25">
      <c r="A4058" s="21" t="str">
        <f>IF(C4058="","",COUNTA($C$3:C4058))</f>
        <v/>
      </c>
      <c r="B4058" s="35" t="str">
        <f t="shared" si="79"/>
        <v/>
      </c>
      <c r="C4058" s="33"/>
      <c r="E4058" s="60"/>
      <c r="F4058" s="18"/>
      <c r="H4058" s="49"/>
      <c r="I4058" s="49"/>
      <c r="M4058" s="53"/>
    </row>
    <row r="4059" spans="1:13" x14ac:dyDescent="0.25">
      <c r="A4059" s="21" t="str">
        <f>IF(C4059="","",COUNTA($C$3:C4059))</f>
        <v/>
      </c>
      <c r="B4059" s="35" t="str">
        <f t="shared" si="79"/>
        <v/>
      </c>
      <c r="C4059" s="33"/>
      <c r="E4059" s="60"/>
      <c r="F4059" s="18"/>
      <c r="G4059" s="18"/>
      <c r="H4059" s="49"/>
      <c r="I4059" s="49"/>
      <c r="M4059" s="53"/>
    </row>
    <row r="4060" spans="1:13" x14ac:dyDescent="0.25">
      <c r="A4060" s="21" t="str">
        <f>IF(C4060="","",COUNTA($C$3:C4060))</f>
        <v/>
      </c>
      <c r="B4060" s="35" t="str">
        <f t="shared" si="79"/>
        <v/>
      </c>
      <c r="C4060" s="33"/>
      <c r="E4060" s="60"/>
      <c r="F4060" s="18"/>
      <c r="G4060" s="18"/>
      <c r="H4060" s="49"/>
      <c r="I4060" s="49"/>
      <c r="M4060" s="53"/>
    </row>
    <row r="4061" spans="1:13" x14ac:dyDescent="0.25">
      <c r="A4061" s="21" t="str">
        <f>IF(C4061="","",COUNTA($C$3:C4061))</f>
        <v/>
      </c>
      <c r="B4061" s="35" t="str">
        <f t="shared" si="79"/>
        <v/>
      </c>
      <c r="C4061" s="33"/>
      <c r="E4061" s="60"/>
      <c r="F4061" s="18"/>
      <c r="G4061" s="18"/>
      <c r="H4061" s="49"/>
      <c r="I4061" s="49"/>
      <c r="M4061" s="53"/>
    </row>
    <row r="4062" spans="1:13" x14ac:dyDescent="0.25">
      <c r="A4062" s="21" t="str">
        <f>IF(C4062="","",COUNTA($C$3:C4062))</f>
        <v/>
      </c>
      <c r="B4062" s="35" t="str">
        <f t="shared" si="79"/>
        <v/>
      </c>
      <c r="C4062" s="33"/>
      <c r="E4062" s="60"/>
      <c r="F4062" s="18"/>
      <c r="H4062" s="49"/>
      <c r="I4062" s="49"/>
      <c r="M4062" s="53"/>
    </row>
    <row r="4063" spans="1:13" x14ac:dyDescent="0.25">
      <c r="A4063" s="21" t="str">
        <f>IF(C4063="","",COUNTA($C$3:C4063))</f>
        <v/>
      </c>
      <c r="B4063" s="35" t="str">
        <f t="shared" si="79"/>
        <v/>
      </c>
      <c r="C4063" s="33"/>
      <c r="E4063" s="60"/>
      <c r="F4063" s="18"/>
      <c r="H4063" s="49"/>
      <c r="I4063" s="49"/>
      <c r="M4063" s="53"/>
    </row>
    <row r="4064" spans="1:13" x14ac:dyDescent="0.25">
      <c r="A4064" s="21" t="str">
        <f>IF(C4064="","",COUNTA($C$3:C4064))</f>
        <v/>
      </c>
      <c r="B4064" s="35" t="str">
        <f t="shared" si="79"/>
        <v/>
      </c>
      <c r="C4064" s="33"/>
      <c r="E4064" s="60"/>
      <c r="F4064" s="18"/>
      <c r="H4064" s="49"/>
      <c r="I4064" s="49"/>
      <c r="M4064" s="53"/>
    </row>
    <row r="4065" spans="1:13" x14ac:dyDescent="0.25">
      <c r="A4065" s="21" t="str">
        <f>IF(C4065="","",COUNTA($C$3:C4065))</f>
        <v/>
      </c>
      <c r="B4065" s="35" t="str">
        <f t="shared" si="79"/>
        <v/>
      </c>
      <c r="C4065" s="33"/>
      <c r="E4065" s="60"/>
      <c r="F4065" s="18"/>
      <c r="H4065" s="49"/>
      <c r="I4065" s="49"/>
      <c r="M4065" s="53"/>
    </row>
    <row r="4066" spans="1:13" x14ac:dyDescent="0.25">
      <c r="A4066" s="21" t="str">
        <f>IF(C4066="","",COUNTA($C$3:C4066))</f>
        <v/>
      </c>
      <c r="B4066" s="35" t="str">
        <f t="shared" si="79"/>
        <v/>
      </c>
      <c r="C4066" s="33"/>
      <c r="E4066" s="60"/>
      <c r="F4066" s="18"/>
      <c r="H4066" s="49"/>
      <c r="I4066" s="49"/>
      <c r="M4066" s="53"/>
    </row>
    <row r="4067" spans="1:13" x14ac:dyDescent="0.25">
      <c r="A4067" s="21" t="str">
        <f>IF(C4067="","",COUNTA($C$3:C4067))</f>
        <v/>
      </c>
      <c r="B4067" s="35" t="str">
        <f t="shared" si="79"/>
        <v/>
      </c>
      <c r="C4067" s="33"/>
      <c r="E4067" s="60"/>
      <c r="F4067" s="18"/>
      <c r="H4067" s="49"/>
      <c r="I4067" s="49"/>
      <c r="M4067" s="53"/>
    </row>
    <row r="4068" spans="1:13" x14ac:dyDescent="0.25">
      <c r="A4068" s="21" t="str">
        <f>IF(C4068="","",COUNTA($C$3:C4068))</f>
        <v/>
      </c>
      <c r="B4068" s="35" t="str">
        <f t="shared" si="79"/>
        <v/>
      </c>
      <c r="C4068" s="33"/>
      <c r="E4068" s="60"/>
      <c r="F4068" s="18"/>
      <c r="H4068" s="49"/>
      <c r="I4068" s="49"/>
      <c r="M4068" s="53"/>
    </row>
    <row r="4069" spans="1:13" x14ac:dyDescent="0.25">
      <c r="A4069" s="21" t="str">
        <f>IF(C4069="","",COUNTA($C$3:C4069))</f>
        <v/>
      </c>
      <c r="B4069" s="35" t="str">
        <f t="shared" si="79"/>
        <v/>
      </c>
      <c r="C4069" s="33"/>
      <c r="E4069" s="60"/>
      <c r="F4069" s="18"/>
      <c r="H4069" s="49"/>
      <c r="I4069" s="49"/>
      <c r="M4069" s="53"/>
    </row>
    <row r="4070" spans="1:13" x14ac:dyDescent="0.25">
      <c r="A4070" s="21" t="str">
        <f>IF(C4070="","",COUNTA($C$3:C4070))</f>
        <v/>
      </c>
      <c r="B4070" s="35" t="str">
        <f t="shared" si="79"/>
        <v/>
      </c>
      <c r="C4070" s="33"/>
      <c r="E4070" s="60"/>
      <c r="F4070" s="18"/>
      <c r="H4070" s="49"/>
      <c r="I4070" s="49"/>
      <c r="M4070" s="53"/>
    </row>
    <row r="4071" spans="1:13" x14ac:dyDescent="0.25">
      <c r="A4071" s="21" t="str">
        <f>IF(C4071="","",COUNTA($C$3:C4071))</f>
        <v/>
      </c>
      <c r="B4071" s="35" t="str">
        <f t="shared" si="79"/>
        <v/>
      </c>
      <c r="C4071" s="33"/>
      <c r="E4071" s="60"/>
      <c r="F4071" s="18"/>
      <c r="H4071" s="49"/>
      <c r="I4071" s="49"/>
      <c r="M4071" s="53"/>
    </row>
    <row r="4072" spans="1:13" x14ac:dyDescent="0.25">
      <c r="A4072" s="21" t="str">
        <f>IF(C4072="","",COUNTA($C$3:C4072))</f>
        <v/>
      </c>
      <c r="B4072" s="35" t="str">
        <f t="shared" si="79"/>
        <v/>
      </c>
      <c r="C4072" s="33"/>
      <c r="E4072" s="60"/>
      <c r="F4072" s="18"/>
      <c r="H4072" s="49"/>
      <c r="I4072" s="49"/>
      <c r="M4072" s="53"/>
    </row>
    <row r="4073" spans="1:13" x14ac:dyDescent="0.25">
      <c r="A4073" s="21" t="str">
        <f>IF(C4073="","",COUNTA($C$3:C4073))</f>
        <v/>
      </c>
      <c r="B4073" s="35" t="str">
        <f t="shared" si="79"/>
        <v/>
      </c>
      <c r="C4073" s="33"/>
      <c r="E4073" s="60"/>
      <c r="F4073" s="18"/>
      <c r="H4073" s="49"/>
      <c r="I4073" s="49"/>
      <c r="M4073" s="53"/>
    </row>
    <row r="4074" spans="1:13" x14ac:dyDescent="0.25">
      <c r="A4074" s="21" t="str">
        <f>IF(C4074="","",COUNTA($C$3:C4074))</f>
        <v/>
      </c>
      <c r="B4074" s="35" t="str">
        <f t="shared" si="79"/>
        <v/>
      </c>
      <c r="C4074" s="33"/>
      <c r="E4074" s="60"/>
      <c r="F4074" s="18"/>
      <c r="H4074" s="49"/>
      <c r="I4074" s="49"/>
      <c r="M4074" s="53"/>
    </row>
    <row r="4075" spans="1:13" x14ac:dyDescent="0.25">
      <c r="A4075" s="21" t="str">
        <f>IF(C4075="","",COUNTA($C$3:C4075))</f>
        <v/>
      </c>
      <c r="B4075" s="35" t="str">
        <f t="shared" si="79"/>
        <v/>
      </c>
      <c r="C4075" s="33"/>
      <c r="E4075" s="60"/>
      <c r="F4075" s="18"/>
      <c r="H4075" s="49"/>
      <c r="I4075" s="49"/>
      <c r="M4075" s="53"/>
    </row>
    <row r="4076" spans="1:13" x14ac:dyDescent="0.25">
      <c r="A4076" s="21" t="str">
        <f>IF(C4076="","",COUNTA($C$3:C4076))</f>
        <v/>
      </c>
      <c r="B4076" s="35" t="str">
        <f t="shared" si="79"/>
        <v/>
      </c>
      <c r="C4076" s="33"/>
      <c r="E4076" s="60"/>
      <c r="F4076" s="18"/>
      <c r="H4076" s="49"/>
      <c r="I4076" s="49"/>
      <c r="M4076" s="53"/>
    </row>
    <row r="4077" spans="1:13" x14ac:dyDescent="0.25">
      <c r="A4077" s="21" t="str">
        <f>IF(C4077="","",COUNTA($C$3:C4077))</f>
        <v/>
      </c>
      <c r="B4077" s="35" t="str">
        <f t="shared" si="79"/>
        <v/>
      </c>
      <c r="C4077" s="33"/>
      <c r="E4077" s="60"/>
      <c r="F4077" s="18"/>
      <c r="H4077" s="49"/>
      <c r="I4077" s="49"/>
      <c r="M4077" s="53"/>
    </row>
    <row r="4078" spans="1:13" x14ac:dyDescent="0.25">
      <c r="A4078" s="21" t="str">
        <f>IF(C4078="","",COUNTA($C$3:C4078))</f>
        <v/>
      </c>
      <c r="B4078" s="35" t="str">
        <f t="shared" si="79"/>
        <v/>
      </c>
      <c r="C4078" s="33"/>
      <c r="E4078" s="60"/>
      <c r="F4078" s="18"/>
      <c r="H4078" s="49"/>
      <c r="I4078" s="49"/>
      <c r="M4078" s="53"/>
    </row>
    <row r="4079" spans="1:13" x14ac:dyDescent="0.25">
      <c r="A4079" s="21" t="str">
        <f>IF(C4079="","",COUNTA($C$3:C4079))</f>
        <v/>
      </c>
      <c r="B4079" s="35" t="str">
        <f t="shared" si="79"/>
        <v/>
      </c>
      <c r="C4079" s="33"/>
      <c r="E4079" s="60"/>
      <c r="F4079" s="17"/>
      <c r="H4079" s="49"/>
      <c r="I4079" s="49"/>
      <c r="M4079" s="53"/>
    </row>
    <row r="4080" spans="1:13" x14ac:dyDescent="0.25">
      <c r="A4080" s="21" t="str">
        <f>IF(C4080="","",COUNTA($C$3:C4080))</f>
        <v/>
      </c>
      <c r="B4080" s="35" t="str">
        <f t="shared" si="79"/>
        <v/>
      </c>
      <c r="C4080" s="33"/>
      <c r="E4080" s="60"/>
      <c r="F4080" s="17"/>
      <c r="H4080" s="49"/>
      <c r="I4080" s="49"/>
      <c r="M4080" s="53"/>
    </row>
    <row r="4081" spans="1:13" x14ac:dyDescent="0.25">
      <c r="A4081" s="21" t="str">
        <f>IF(C4081="","",COUNTA($C$3:C4081))</f>
        <v/>
      </c>
      <c r="B4081" s="35" t="str">
        <f t="shared" si="79"/>
        <v/>
      </c>
      <c r="C4081" s="33"/>
      <c r="E4081" s="60"/>
      <c r="F4081" s="17"/>
      <c r="H4081" s="49"/>
      <c r="I4081" s="49"/>
      <c r="M4081" s="53"/>
    </row>
    <row r="4082" spans="1:13" x14ac:dyDescent="0.25">
      <c r="A4082" s="21" t="str">
        <f>IF(C4082="","",COUNTA($C$3:C4082))</f>
        <v/>
      </c>
      <c r="B4082" s="35" t="str">
        <f t="shared" si="79"/>
        <v/>
      </c>
      <c r="C4082" s="33"/>
      <c r="E4082" s="60"/>
      <c r="F4082" s="17"/>
      <c r="H4082" s="49"/>
      <c r="I4082" s="49"/>
      <c r="M4082" s="53"/>
    </row>
    <row r="4083" spans="1:13" x14ac:dyDescent="0.25">
      <c r="A4083" s="21" t="str">
        <f>IF(C4083="","",COUNTA($C$3:C4083))</f>
        <v/>
      </c>
      <c r="B4083" s="35" t="str">
        <f t="shared" si="79"/>
        <v/>
      </c>
      <c r="C4083" s="33"/>
      <c r="E4083" s="60"/>
      <c r="F4083" s="17"/>
      <c r="H4083" s="49"/>
      <c r="I4083" s="49"/>
      <c r="M4083" s="53"/>
    </row>
    <row r="4084" spans="1:13" x14ac:dyDescent="0.25">
      <c r="A4084" s="21" t="str">
        <f>IF(C4084="","",COUNTA($C$3:C4084))</f>
        <v/>
      </c>
      <c r="B4084" s="35" t="str">
        <f t="shared" si="79"/>
        <v/>
      </c>
      <c r="C4084" s="33"/>
      <c r="E4084" s="60"/>
      <c r="F4084" s="17"/>
      <c r="H4084" s="49"/>
      <c r="I4084" s="49"/>
      <c r="M4084" s="53"/>
    </row>
    <row r="4085" spans="1:13" x14ac:dyDescent="0.25">
      <c r="A4085" s="21" t="str">
        <f>IF(C4085="","",COUNTA($C$3:C4085))</f>
        <v/>
      </c>
      <c r="B4085" s="35" t="str">
        <f t="shared" si="79"/>
        <v/>
      </c>
      <c r="C4085" s="33"/>
      <c r="E4085" s="60"/>
      <c r="F4085" s="17"/>
      <c r="H4085" s="49"/>
      <c r="I4085" s="49"/>
      <c r="M4085" s="53"/>
    </row>
    <row r="4086" spans="1:13" x14ac:dyDescent="0.25">
      <c r="A4086" s="21" t="str">
        <f>IF(C4086="","",COUNTA($C$3:C4086))</f>
        <v/>
      </c>
      <c r="B4086" s="35" t="str">
        <f t="shared" si="79"/>
        <v/>
      </c>
      <c r="C4086" s="33"/>
      <c r="E4086" s="60"/>
      <c r="F4086" s="18"/>
      <c r="H4086" s="49"/>
      <c r="I4086" s="49"/>
      <c r="M4086" s="53"/>
    </row>
    <row r="4087" spans="1:13" x14ac:dyDescent="0.25">
      <c r="A4087" s="21" t="str">
        <f>IF(C4087="","",COUNTA($C$3:C4087))</f>
        <v/>
      </c>
      <c r="B4087" s="35" t="str">
        <f t="shared" si="79"/>
        <v/>
      </c>
      <c r="C4087" s="33"/>
      <c r="E4087" s="60"/>
      <c r="F4087" s="18"/>
      <c r="H4087" s="49"/>
      <c r="I4087" s="49"/>
      <c r="M4087" s="53"/>
    </row>
    <row r="4088" spans="1:13" x14ac:dyDescent="0.25">
      <c r="A4088" s="21" t="str">
        <f>IF(C4088="","",COUNTA($C$3:C4088))</f>
        <v/>
      </c>
      <c r="B4088" s="35" t="str">
        <f t="shared" si="79"/>
        <v/>
      </c>
      <c r="C4088" s="33"/>
      <c r="E4088" s="60"/>
      <c r="F4088" s="18"/>
      <c r="H4088" s="49"/>
      <c r="I4088" s="49"/>
      <c r="M4088" s="53"/>
    </row>
    <row r="4089" spans="1:13" x14ac:dyDescent="0.25">
      <c r="A4089" s="21" t="str">
        <f>IF(C4089="","",COUNTA($C$3:C4089))</f>
        <v/>
      </c>
      <c r="B4089" s="35" t="str">
        <f t="shared" si="79"/>
        <v/>
      </c>
      <c r="C4089" s="33"/>
      <c r="E4089" s="60"/>
      <c r="F4089" s="18"/>
      <c r="H4089" s="49"/>
      <c r="I4089" s="49"/>
      <c r="M4089" s="53"/>
    </row>
    <row r="4090" spans="1:13" x14ac:dyDescent="0.25">
      <c r="A4090" s="21" t="str">
        <f>IF(C4090="","",COUNTA($C$3:C4090))</f>
        <v/>
      </c>
      <c r="B4090" s="35" t="str">
        <f t="shared" si="79"/>
        <v/>
      </c>
      <c r="C4090" s="33"/>
      <c r="E4090" s="60"/>
      <c r="F4090" s="18"/>
      <c r="H4090" s="49"/>
      <c r="I4090" s="49"/>
      <c r="M4090" s="53"/>
    </row>
    <row r="4091" spans="1:13" x14ac:dyDescent="0.25">
      <c r="A4091" s="21" t="str">
        <f>IF(C4091="","",COUNTA($C$3:C4091))</f>
        <v/>
      </c>
      <c r="B4091" s="35" t="str">
        <f t="shared" si="79"/>
        <v/>
      </c>
      <c r="C4091" s="33"/>
      <c r="E4091" s="60"/>
      <c r="F4091" s="18"/>
      <c r="H4091" s="49"/>
      <c r="I4091" s="49"/>
      <c r="M4091" s="53"/>
    </row>
    <row r="4092" spans="1:13" x14ac:dyDescent="0.25">
      <c r="A4092" s="21" t="str">
        <f>IF(C4092="","",COUNTA($C$3:C4092))</f>
        <v/>
      </c>
      <c r="B4092" s="35" t="str">
        <f t="shared" si="79"/>
        <v/>
      </c>
      <c r="C4092" s="33"/>
      <c r="E4092" s="60"/>
      <c r="F4092" s="18"/>
      <c r="H4092" s="49"/>
      <c r="I4092" s="49"/>
      <c r="M4092" s="53"/>
    </row>
    <row r="4093" spans="1:13" x14ac:dyDescent="0.25">
      <c r="A4093" s="21" t="str">
        <f>IF(C4093="","",COUNTA($C$3:C4093))</f>
        <v/>
      </c>
      <c r="B4093" s="35" t="str">
        <f t="shared" si="79"/>
        <v/>
      </c>
      <c r="C4093" s="33"/>
      <c r="E4093" s="60"/>
      <c r="F4093" s="18"/>
      <c r="H4093" s="49"/>
      <c r="I4093" s="49"/>
      <c r="M4093" s="53"/>
    </row>
    <row r="4094" spans="1:13" x14ac:dyDescent="0.25">
      <c r="A4094" s="21" t="str">
        <f>IF(C4094="","",COUNTA($C$3:C4094))</f>
        <v/>
      </c>
      <c r="B4094" s="35" t="str">
        <f t="shared" si="79"/>
        <v/>
      </c>
      <c r="C4094" s="33"/>
      <c r="E4094" s="60"/>
      <c r="F4094" s="18"/>
      <c r="H4094" s="49"/>
      <c r="I4094" s="49"/>
      <c r="M4094" s="53"/>
    </row>
    <row r="4095" spans="1:13" x14ac:dyDescent="0.25">
      <c r="A4095" s="21" t="str">
        <f>IF(C4095="","",COUNTA($C$3:C4095))</f>
        <v/>
      </c>
      <c r="B4095" s="35" t="str">
        <f t="shared" si="79"/>
        <v/>
      </c>
      <c r="C4095" s="33"/>
      <c r="E4095" s="60"/>
      <c r="F4095" s="18"/>
      <c r="H4095" s="49"/>
      <c r="I4095" s="49"/>
      <c r="M4095" s="53"/>
    </row>
    <row r="4096" spans="1:13" x14ac:dyDescent="0.25">
      <c r="A4096" s="21" t="str">
        <f>IF(C4096="","",COUNTA($C$3:C4096))</f>
        <v/>
      </c>
      <c r="B4096" s="35" t="str">
        <f t="shared" si="79"/>
        <v/>
      </c>
      <c r="C4096" s="33"/>
      <c r="E4096" s="60"/>
      <c r="F4096" s="18"/>
      <c r="H4096" s="49"/>
      <c r="I4096" s="49"/>
      <c r="M4096" s="53"/>
    </row>
    <row r="4097" spans="1:17" x14ac:dyDescent="0.25">
      <c r="A4097" s="21" t="str">
        <f>IF(C4097="","",COUNTA($C$3:C4097))</f>
        <v/>
      </c>
      <c r="B4097" s="35" t="str">
        <f t="shared" si="79"/>
        <v/>
      </c>
      <c r="C4097" s="33"/>
      <c r="E4097" s="60"/>
      <c r="F4097" s="18"/>
      <c r="H4097" s="49"/>
      <c r="I4097" s="49"/>
      <c r="M4097" s="53"/>
    </row>
    <row r="4098" spans="1:17" x14ac:dyDescent="0.25">
      <c r="A4098" s="21" t="str">
        <f>IF(C4098="","",COUNTA($C$3:C4098))</f>
        <v/>
      </c>
      <c r="B4098" s="35" t="str">
        <f t="shared" si="79"/>
        <v/>
      </c>
      <c r="C4098" s="33"/>
      <c r="E4098" s="60"/>
      <c r="F4098" s="18"/>
      <c r="H4098" s="49"/>
      <c r="I4098" s="49"/>
      <c r="M4098" s="53"/>
    </row>
    <row r="4099" spans="1:17" x14ac:dyDescent="0.25">
      <c r="A4099" s="21" t="str">
        <f>IF(C4099="","",COUNTA($C$3:C4099))</f>
        <v/>
      </c>
      <c r="B4099" s="35" t="str">
        <f t="shared" si="79"/>
        <v/>
      </c>
      <c r="C4099" s="33"/>
      <c r="E4099" s="60"/>
      <c r="F4099" s="18"/>
      <c r="H4099" s="49"/>
      <c r="I4099" s="76"/>
      <c r="M4099" s="53"/>
    </row>
    <row r="4100" spans="1:17" x14ac:dyDescent="0.25">
      <c r="A4100" s="21" t="str">
        <f>IF(C4100="","",COUNTA($C$3:C4100))</f>
        <v/>
      </c>
      <c r="B4100" s="35" t="str">
        <f t="shared" si="79"/>
        <v/>
      </c>
      <c r="C4100" s="33"/>
      <c r="E4100" s="60"/>
      <c r="F4100" s="18"/>
      <c r="H4100" s="49"/>
      <c r="I4100" s="49"/>
      <c r="M4100" s="53"/>
    </row>
    <row r="4101" spans="1:17" x14ac:dyDescent="0.25">
      <c r="A4101" s="21" t="str">
        <f>IF(C4101="","",COUNTA($C$3:C4101))</f>
        <v/>
      </c>
      <c r="B4101" s="35" t="str">
        <f t="shared" ref="B4101:B4164" si="80">IF(C4101="","",TEXT(C4101,"mmmm"))</f>
        <v/>
      </c>
      <c r="C4101" s="33"/>
      <c r="E4101" s="60"/>
      <c r="F4101" s="18"/>
      <c r="H4101" s="49"/>
      <c r="I4101" s="49"/>
      <c r="M4101" s="53"/>
    </row>
    <row r="4102" spans="1:17" x14ac:dyDescent="0.25">
      <c r="A4102" s="21" t="str">
        <f>IF(C4102="","",COUNTA($C$3:C4102))</f>
        <v/>
      </c>
      <c r="B4102" s="35" t="str">
        <f t="shared" si="80"/>
        <v/>
      </c>
      <c r="C4102" s="33"/>
      <c r="E4102" s="60"/>
      <c r="F4102" s="18"/>
      <c r="H4102" s="49"/>
      <c r="I4102" s="49"/>
      <c r="M4102" s="53"/>
    </row>
    <row r="4103" spans="1:17" x14ac:dyDescent="0.25">
      <c r="A4103" s="21" t="str">
        <f>IF(C4103="","",COUNTA($C$3:C4103))</f>
        <v/>
      </c>
      <c r="B4103" s="35" t="str">
        <f t="shared" si="80"/>
        <v/>
      </c>
      <c r="C4103" s="33"/>
      <c r="E4103" s="60"/>
      <c r="F4103" s="18"/>
      <c r="H4103" s="49"/>
      <c r="I4103" s="49"/>
      <c r="M4103" s="53"/>
    </row>
    <row r="4104" spans="1:17" x14ac:dyDescent="0.25">
      <c r="A4104" s="21" t="str">
        <f>IF(C4104="","",COUNTA($C$3:C4104))</f>
        <v/>
      </c>
      <c r="B4104" s="35" t="str">
        <f t="shared" si="80"/>
        <v/>
      </c>
      <c r="C4104" s="33"/>
      <c r="E4104" s="60"/>
      <c r="F4104" s="18"/>
      <c r="H4104" s="49"/>
      <c r="I4104" s="49"/>
      <c r="M4104" s="53"/>
      <c r="O4104" s="59"/>
      <c r="P4104" s="59"/>
      <c r="Q4104" s="59"/>
    </row>
    <row r="4105" spans="1:17" x14ac:dyDescent="0.25">
      <c r="A4105" s="21" t="str">
        <f>IF(C4105="","",COUNTA($C$3:C4105))</f>
        <v/>
      </c>
      <c r="B4105" s="35" t="str">
        <f t="shared" si="80"/>
        <v/>
      </c>
      <c r="C4105" s="33"/>
      <c r="E4105" s="60"/>
      <c r="F4105" s="18"/>
      <c r="H4105" s="49"/>
      <c r="I4105" s="49"/>
      <c r="M4105" s="53"/>
    </row>
    <row r="4106" spans="1:17" x14ac:dyDescent="0.25">
      <c r="A4106" s="21" t="str">
        <f>IF(C4106="","",COUNTA($C$3:C4106))</f>
        <v/>
      </c>
      <c r="B4106" s="35" t="str">
        <f t="shared" si="80"/>
        <v/>
      </c>
      <c r="C4106" s="33"/>
      <c r="E4106" s="60"/>
      <c r="F4106" s="18"/>
      <c r="H4106" s="49"/>
      <c r="I4106" s="49"/>
      <c r="M4106" s="53"/>
    </row>
    <row r="4107" spans="1:17" x14ac:dyDescent="0.25">
      <c r="A4107" s="21" t="str">
        <f>IF(C4107="","",COUNTA($C$3:C4107))</f>
        <v/>
      </c>
      <c r="B4107" s="35" t="str">
        <f t="shared" si="80"/>
        <v/>
      </c>
      <c r="C4107" s="33"/>
      <c r="E4107" s="60"/>
      <c r="F4107" s="18"/>
      <c r="H4107" s="49"/>
      <c r="I4107" s="49"/>
      <c r="M4107" s="53"/>
    </row>
    <row r="4108" spans="1:17" x14ac:dyDescent="0.25">
      <c r="A4108" s="21" t="str">
        <f>IF(C4108="","",COUNTA($C$3:C4108))</f>
        <v/>
      </c>
      <c r="B4108" s="35" t="str">
        <f t="shared" si="80"/>
        <v/>
      </c>
      <c r="C4108" s="33"/>
      <c r="E4108" s="60"/>
      <c r="F4108" s="18"/>
      <c r="H4108" s="49"/>
      <c r="I4108" s="49"/>
      <c r="M4108" s="53"/>
    </row>
    <row r="4109" spans="1:17" x14ac:dyDescent="0.25">
      <c r="A4109" s="21" t="str">
        <f>IF(C4109="","",COUNTA($C$3:C4109))</f>
        <v/>
      </c>
      <c r="B4109" s="35" t="str">
        <f t="shared" si="80"/>
        <v/>
      </c>
      <c r="C4109" s="33"/>
      <c r="E4109" s="60"/>
      <c r="F4109" s="18"/>
      <c r="H4109" s="49"/>
      <c r="I4109" s="49"/>
      <c r="M4109" s="53"/>
    </row>
    <row r="4110" spans="1:17" x14ac:dyDescent="0.25">
      <c r="A4110" s="21" t="str">
        <f>IF(C4110="","",COUNTA($C$3:C4110))</f>
        <v/>
      </c>
      <c r="B4110" s="35" t="str">
        <f t="shared" si="80"/>
        <v/>
      </c>
      <c r="C4110" s="33"/>
      <c r="E4110" s="60"/>
      <c r="F4110" s="18"/>
      <c r="H4110" s="49"/>
      <c r="I4110" s="49"/>
      <c r="M4110" s="53"/>
    </row>
    <row r="4111" spans="1:17" x14ac:dyDescent="0.25">
      <c r="A4111" s="21" t="str">
        <f>IF(C4111="","",COUNTA($C$3:C4111))</f>
        <v/>
      </c>
      <c r="B4111" s="35" t="str">
        <f t="shared" si="80"/>
        <v/>
      </c>
      <c r="C4111" s="33"/>
      <c r="E4111" s="60"/>
      <c r="F4111" s="18"/>
      <c r="H4111" s="49"/>
      <c r="I4111" s="49"/>
      <c r="M4111" s="53"/>
    </row>
    <row r="4112" spans="1:17" x14ac:dyDescent="0.25">
      <c r="A4112" s="21" t="str">
        <f>IF(C4112="","",COUNTA($C$3:C4112))</f>
        <v/>
      </c>
      <c r="B4112" s="35" t="str">
        <f t="shared" si="80"/>
        <v/>
      </c>
      <c r="C4112" s="33"/>
      <c r="E4112" s="60"/>
      <c r="F4112" s="18"/>
      <c r="H4112" s="49"/>
      <c r="I4112" s="49"/>
      <c r="M4112" s="53"/>
    </row>
    <row r="4113" spans="1:17" x14ac:dyDescent="0.25">
      <c r="A4113" s="21" t="str">
        <f>IF(C4113="","",COUNTA($C$3:C4113))</f>
        <v/>
      </c>
      <c r="B4113" s="35" t="str">
        <f t="shared" si="80"/>
        <v/>
      </c>
      <c r="C4113" s="33"/>
      <c r="E4113" s="60"/>
      <c r="F4113" s="18"/>
      <c r="H4113" s="49"/>
      <c r="I4113" s="49"/>
      <c r="M4113" s="53"/>
    </row>
    <row r="4114" spans="1:17" x14ac:dyDescent="0.25">
      <c r="A4114" s="21" t="str">
        <f>IF(C4114="","",COUNTA($C$3:C4114))</f>
        <v/>
      </c>
      <c r="B4114" s="35" t="str">
        <f t="shared" si="80"/>
        <v/>
      </c>
      <c r="C4114" s="33"/>
      <c r="E4114" s="60"/>
      <c r="F4114" s="18"/>
      <c r="H4114" s="49"/>
      <c r="I4114" s="49"/>
      <c r="M4114" s="53"/>
    </row>
    <row r="4115" spans="1:17" x14ac:dyDescent="0.25">
      <c r="A4115" s="21" t="str">
        <f>IF(C4115="","",COUNTA($C$3:C4115))</f>
        <v/>
      </c>
      <c r="B4115" s="35" t="str">
        <f t="shared" si="80"/>
        <v/>
      </c>
      <c r="C4115" s="33"/>
      <c r="E4115" s="60"/>
      <c r="F4115" s="18"/>
      <c r="H4115" s="49"/>
      <c r="I4115" s="49"/>
      <c r="M4115" s="53"/>
    </row>
    <row r="4116" spans="1:17" x14ac:dyDescent="0.25">
      <c r="A4116" s="21" t="str">
        <f>IF(C4116="","",COUNTA($C$3:C4116))</f>
        <v/>
      </c>
      <c r="B4116" s="35" t="str">
        <f t="shared" si="80"/>
        <v/>
      </c>
      <c r="C4116" s="33"/>
      <c r="E4116" s="60"/>
      <c r="F4116" s="18"/>
      <c r="H4116" s="49"/>
      <c r="I4116" s="49"/>
      <c r="M4116" s="53"/>
    </row>
    <row r="4117" spans="1:17" x14ac:dyDescent="0.25">
      <c r="A4117" s="21" t="str">
        <f>IF(C4117="","",COUNTA($C$3:C4117))</f>
        <v/>
      </c>
      <c r="B4117" s="35" t="str">
        <f t="shared" si="80"/>
        <v/>
      </c>
      <c r="C4117" s="33"/>
      <c r="E4117" s="60"/>
      <c r="F4117" s="18"/>
      <c r="H4117" s="49"/>
      <c r="I4117" s="49"/>
      <c r="M4117" s="53"/>
    </row>
    <row r="4118" spans="1:17" x14ac:dyDescent="0.25">
      <c r="A4118" s="21" t="str">
        <f>IF(C4118="","",COUNTA($C$3:C4118))</f>
        <v/>
      </c>
      <c r="B4118" s="35" t="str">
        <f t="shared" si="80"/>
        <v/>
      </c>
      <c r="C4118" s="33"/>
      <c r="E4118" s="60"/>
      <c r="F4118" s="18"/>
      <c r="H4118" s="49"/>
      <c r="I4118" s="49"/>
      <c r="M4118" s="53"/>
    </row>
    <row r="4119" spans="1:17" x14ac:dyDescent="0.25">
      <c r="A4119" s="21" t="str">
        <f>IF(C4119="","",COUNTA($C$3:C4119))</f>
        <v/>
      </c>
      <c r="B4119" s="35" t="str">
        <f t="shared" si="80"/>
        <v/>
      </c>
      <c r="C4119" s="33"/>
      <c r="E4119" s="60"/>
      <c r="F4119" s="18"/>
      <c r="H4119" s="49"/>
      <c r="I4119" s="49"/>
      <c r="M4119" s="53"/>
    </row>
    <row r="4120" spans="1:17" x14ac:dyDescent="0.25">
      <c r="A4120" s="21" t="str">
        <f>IF(C4120="","",COUNTA($C$3:C4120))</f>
        <v/>
      </c>
      <c r="B4120" s="35" t="str">
        <f t="shared" si="80"/>
        <v/>
      </c>
      <c r="C4120" s="33"/>
      <c r="E4120" s="60"/>
      <c r="F4120" s="18"/>
      <c r="H4120" s="49"/>
      <c r="I4120" s="49"/>
      <c r="M4120" s="53"/>
    </row>
    <row r="4121" spans="1:17" x14ac:dyDescent="0.25">
      <c r="A4121" s="21" t="str">
        <f>IF(C4121="","",COUNTA($C$3:C4121))</f>
        <v/>
      </c>
      <c r="B4121" s="35" t="str">
        <f t="shared" si="80"/>
        <v/>
      </c>
      <c r="C4121" s="33"/>
      <c r="E4121" s="60"/>
      <c r="F4121" s="18"/>
      <c r="H4121" s="49"/>
      <c r="I4121" s="49"/>
      <c r="M4121" s="53"/>
    </row>
    <row r="4122" spans="1:17" x14ac:dyDescent="0.25">
      <c r="A4122" s="21" t="str">
        <f>IF(C4122="","",COUNTA($C$3:C4122))</f>
        <v/>
      </c>
      <c r="B4122" s="35" t="str">
        <f t="shared" si="80"/>
        <v/>
      </c>
      <c r="C4122" s="33"/>
      <c r="E4122" s="60"/>
      <c r="F4122" s="18"/>
      <c r="H4122" s="49"/>
      <c r="I4122" s="49"/>
      <c r="M4122" s="53"/>
    </row>
    <row r="4123" spans="1:17" x14ac:dyDescent="0.25">
      <c r="A4123" s="21" t="str">
        <f>IF(C4123="","",COUNTA($C$3:C4123))</f>
        <v/>
      </c>
      <c r="B4123" s="35" t="str">
        <f t="shared" si="80"/>
        <v/>
      </c>
      <c r="C4123" s="33"/>
      <c r="E4123" s="60"/>
      <c r="F4123" s="18"/>
      <c r="H4123" s="49"/>
      <c r="I4123" s="49"/>
      <c r="M4123" s="53"/>
      <c r="O4123" s="59"/>
      <c r="P4123" s="69"/>
      <c r="Q4123" s="59"/>
    </row>
    <row r="4124" spans="1:17" x14ac:dyDescent="0.25">
      <c r="A4124" s="21" t="str">
        <f>IF(C4124="","",COUNTA($C$3:C4124))</f>
        <v/>
      </c>
      <c r="B4124" s="35" t="str">
        <f t="shared" si="80"/>
        <v/>
      </c>
      <c r="C4124" s="33"/>
      <c r="E4124" s="60"/>
      <c r="F4124" s="18"/>
      <c r="H4124" s="49"/>
      <c r="I4124" s="49"/>
      <c r="M4124" s="53"/>
    </row>
    <row r="4125" spans="1:17" x14ac:dyDescent="0.25">
      <c r="A4125" s="21" t="str">
        <f>IF(C4125="","",COUNTA($C$3:C4125))</f>
        <v/>
      </c>
      <c r="B4125" s="35" t="str">
        <f t="shared" si="80"/>
        <v/>
      </c>
      <c r="C4125" s="33"/>
      <c r="E4125" s="60"/>
      <c r="F4125" s="18"/>
      <c r="H4125" s="49"/>
      <c r="I4125" s="49"/>
      <c r="M4125" s="53"/>
    </row>
    <row r="4126" spans="1:17" x14ac:dyDescent="0.25">
      <c r="A4126" s="21" t="str">
        <f>IF(C4126="","",COUNTA($C$3:C4126))</f>
        <v/>
      </c>
      <c r="B4126" s="35" t="str">
        <f t="shared" si="80"/>
        <v/>
      </c>
      <c r="C4126" s="33"/>
      <c r="E4126" s="60"/>
      <c r="F4126" s="18"/>
      <c r="H4126" s="49"/>
      <c r="I4126" s="76"/>
      <c r="M4126" s="53"/>
    </row>
    <row r="4127" spans="1:17" x14ac:dyDescent="0.25">
      <c r="A4127" s="21" t="str">
        <f>IF(C4127="","",COUNTA($C$3:C4127))</f>
        <v/>
      </c>
      <c r="B4127" s="35" t="str">
        <f t="shared" si="80"/>
        <v/>
      </c>
      <c r="C4127" s="33"/>
      <c r="E4127" s="60"/>
      <c r="F4127" s="18"/>
      <c r="H4127" s="49"/>
      <c r="M4127" s="53"/>
    </row>
    <row r="4128" spans="1:17" x14ac:dyDescent="0.25">
      <c r="A4128" s="21" t="str">
        <f>IF(C4128="","",COUNTA($C$3:C4128))</f>
        <v/>
      </c>
      <c r="B4128" s="35" t="str">
        <f t="shared" si="80"/>
        <v/>
      </c>
      <c r="C4128" s="33"/>
      <c r="E4128" s="60"/>
      <c r="F4128" s="18"/>
      <c r="H4128" s="49"/>
      <c r="I4128" s="49"/>
      <c r="M4128" s="53"/>
    </row>
    <row r="4129" spans="1:13" x14ac:dyDescent="0.25">
      <c r="A4129" s="21" t="str">
        <f>IF(C4129="","",COUNTA($C$3:C4129))</f>
        <v/>
      </c>
      <c r="B4129" s="35" t="str">
        <f t="shared" si="80"/>
        <v/>
      </c>
      <c r="C4129" s="33"/>
      <c r="E4129" s="60"/>
      <c r="F4129" s="18"/>
      <c r="H4129" s="49"/>
      <c r="I4129" s="49"/>
      <c r="M4129" s="53"/>
    </row>
    <row r="4130" spans="1:13" x14ac:dyDescent="0.25">
      <c r="A4130" s="21" t="str">
        <f>IF(C4130="","",COUNTA($C$3:C4130))</f>
        <v/>
      </c>
      <c r="B4130" s="35" t="str">
        <f t="shared" si="80"/>
        <v/>
      </c>
      <c r="C4130" s="33"/>
      <c r="E4130" s="60"/>
      <c r="F4130" s="18"/>
      <c r="H4130" s="49"/>
      <c r="I4130" s="49"/>
      <c r="M4130" s="53"/>
    </row>
    <row r="4131" spans="1:13" x14ac:dyDescent="0.25">
      <c r="A4131" s="21" t="str">
        <f>IF(C4131="","",COUNTA($C$3:C4131))</f>
        <v/>
      </c>
      <c r="B4131" s="35" t="str">
        <f t="shared" si="80"/>
        <v/>
      </c>
      <c r="C4131" s="33"/>
      <c r="E4131" s="60"/>
      <c r="F4131" s="18"/>
      <c r="H4131" s="49"/>
      <c r="I4131" s="49"/>
      <c r="M4131" s="53"/>
    </row>
    <row r="4132" spans="1:13" x14ac:dyDescent="0.25">
      <c r="A4132" s="21" t="str">
        <f>IF(C4132="","",COUNTA($C$3:C4132))</f>
        <v/>
      </c>
      <c r="B4132" s="35" t="str">
        <f t="shared" si="80"/>
        <v/>
      </c>
      <c r="C4132" s="33"/>
      <c r="E4132" s="60"/>
      <c r="F4132" s="18"/>
      <c r="H4132" s="49"/>
      <c r="I4132" s="49"/>
      <c r="M4132" s="53"/>
    </row>
    <row r="4133" spans="1:13" x14ac:dyDescent="0.25">
      <c r="A4133" s="21" t="str">
        <f>IF(C4133="","",COUNTA($C$3:C4133))</f>
        <v/>
      </c>
      <c r="B4133" s="35" t="str">
        <f t="shared" si="80"/>
        <v/>
      </c>
      <c r="C4133" s="33"/>
      <c r="E4133" s="60"/>
      <c r="F4133" s="18"/>
      <c r="H4133" s="49"/>
      <c r="I4133" s="49"/>
      <c r="M4133" s="53"/>
    </row>
    <row r="4134" spans="1:13" x14ac:dyDescent="0.25">
      <c r="A4134" s="21" t="str">
        <f>IF(C4134="","",COUNTA($C$3:C4134))</f>
        <v/>
      </c>
      <c r="B4134" s="35" t="str">
        <f t="shared" si="80"/>
        <v/>
      </c>
      <c r="C4134" s="33"/>
      <c r="E4134" s="60"/>
      <c r="F4134" s="18"/>
      <c r="G4134" s="18"/>
      <c r="H4134" s="49"/>
      <c r="I4134" s="49"/>
      <c r="M4134" s="53"/>
    </row>
    <row r="4135" spans="1:13" x14ac:dyDescent="0.25">
      <c r="A4135" s="21" t="str">
        <f>IF(C4135="","",COUNTA($C$3:C4135))</f>
        <v/>
      </c>
      <c r="B4135" s="35" t="str">
        <f t="shared" si="80"/>
        <v/>
      </c>
      <c r="C4135" s="33"/>
      <c r="E4135" s="60"/>
      <c r="F4135" s="18"/>
      <c r="G4135" s="18"/>
      <c r="H4135" s="49"/>
      <c r="I4135" s="49"/>
      <c r="M4135" s="53"/>
    </row>
    <row r="4136" spans="1:13" x14ac:dyDescent="0.25">
      <c r="A4136" s="21" t="str">
        <f>IF(C4136="","",COUNTA($C$3:C4136))</f>
        <v/>
      </c>
      <c r="B4136" s="35" t="str">
        <f t="shared" si="80"/>
        <v/>
      </c>
      <c r="C4136" s="33"/>
      <c r="E4136" s="60"/>
      <c r="F4136" s="18"/>
      <c r="G4136" s="18"/>
      <c r="H4136" s="49"/>
      <c r="I4136" s="49"/>
      <c r="M4136" s="53"/>
    </row>
    <row r="4137" spans="1:13" x14ac:dyDescent="0.25">
      <c r="A4137" s="21" t="str">
        <f>IF(C4137="","",COUNTA($C$3:C4137))</f>
        <v/>
      </c>
      <c r="B4137" s="35" t="str">
        <f t="shared" si="80"/>
        <v/>
      </c>
      <c r="C4137" s="33"/>
      <c r="E4137" s="60"/>
      <c r="F4137" s="18"/>
      <c r="G4137" s="18"/>
      <c r="H4137" s="49"/>
      <c r="I4137" s="49"/>
      <c r="M4137" s="53"/>
    </row>
    <row r="4138" spans="1:13" x14ac:dyDescent="0.25">
      <c r="A4138" s="21" t="str">
        <f>IF(C4138="","",COUNTA($C$3:C4138))</f>
        <v/>
      </c>
      <c r="B4138" s="35" t="str">
        <f t="shared" si="80"/>
        <v/>
      </c>
      <c r="C4138" s="33"/>
      <c r="E4138" s="60"/>
      <c r="F4138" s="18"/>
      <c r="G4138" s="18"/>
      <c r="H4138" s="49"/>
      <c r="I4138" s="49"/>
      <c r="M4138" s="53"/>
    </row>
    <row r="4139" spans="1:13" x14ac:dyDescent="0.25">
      <c r="A4139" s="21" t="str">
        <f>IF(C4139="","",COUNTA($C$3:C4139))</f>
        <v/>
      </c>
      <c r="B4139" s="35" t="str">
        <f t="shared" si="80"/>
        <v/>
      </c>
      <c r="C4139" s="33"/>
      <c r="E4139" s="60"/>
      <c r="F4139" s="18"/>
      <c r="H4139" s="49"/>
      <c r="I4139" s="49"/>
      <c r="M4139" s="53"/>
    </row>
    <row r="4140" spans="1:13" x14ac:dyDescent="0.25">
      <c r="A4140" s="21" t="str">
        <f>IF(C4140="","",COUNTA($C$3:C4140))</f>
        <v/>
      </c>
      <c r="B4140" s="35" t="str">
        <f t="shared" si="80"/>
        <v/>
      </c>
      <c r="C4140" s="33"/>
      <c r="E4140" s="60"/>
      <c r="F4140" s="18"/>
      <c r="H4140" s="49"/>
      <c r="I4140" s="49"/>
      <c r="M4140" s="53"/>
    </row>
    <row r="4141" spans="1:13" x14ac:dyDescent="0.25">
      <c r="A4141" s="21" t="str">
        <f>IF(C4141="","",COUNTA($C$3:C4141))</f>
        <v/>
      </c>
      <c r="B4141" s="35" t="str">
        <f t="shared" si="80"/>
        <v/>
      </c>
      <c r="C4141" s="33"/>
      <c r="E4141" s="60"/>
      <c r="F4141" s="18"/>
      <c r="H4141" s="49"/>
      <c r="I4141" s="49"/>
      <c r="M4141" s="53"/>
    </row>
    <row r="4142" spans="1:13" x14ac:dyDescent="0.25">
      <c r="A4142" s="21" t="str">
        <f>IF(C4142="","",COUNTA($C$3:C4142))</f>
        <v/>
      </c>
      <c r="B4142" s="35" t="str">
        <f t="shared" si="80"/>
        <v/>
      </c>
      <c r="C4142" s="33"/>
      <c r="E4142" s="60"/>
      <c r="F4142" s="18"/>
      <c r="H4142" s="49"/>
      <c r="I4142" s="49"/>
      <c r="M4142" s="53"/>
    </row>
    <row r="4143" spans="1:13" x14ac:dyDescent="0.25">
      <c r="A4143" s="21" t="str">
        <f>IF(C4143="","",COUNTA($C$3:C4143))</f>
        <v/>
      </c>
      <c r="B4143" s="35" t="str">
        <f t="shared" si="80"/>
        <v/>
      </c>
      <c r="C4143" s="33"/>
      <c r="E4143" s="60"/>
      <c r="F4143" s="18"/>
      <c r="H4143" s="49"/>
      <c r="I4143" s="49"/>
      <c r="M4143" s="53"/>
    </row>
    <row r="4144" spans="1:13" x14ac:dyDescent="0.25">
      <c r="A4144" s="21" t="str">
        <f>IF(C4144="","",COUNTA($C$3:C4144))</f>
        <v/>
      </c>
      <c r="B4144" s="35" t="str">
        <f t="shared" si="80"/>
        <v/>
      </c>
      <c r="C4144" s="33"/>
      <c r="E4144" s="60"/>
      <c r="F4144" s="18"/>
      <c r="H4144" s="49"/>
      <c r="I4144" s="49"/>
      <c r="M4144" s="53"/>
    </row>
    <row r="4145" spans="1:16" x14ac:dyDescent="0.25">
      <c r="A4145" s="21" t="str">
        <f>IF(C4145="","",COUNTA($C$3:C4145))</f>
        <v/>
      </c>
      <c r="B4145" s="35" t="str">
        <f t="shared" si="80"/>
        <v/>
      </c>
      <c r="C4145" s="33"/>
      <c r="E4145" s="60"/>
      <c r="F4145" s="18"/>
      <c r="H4145" s="49"/>
      <c r="I4145" s="49"/>
      <c r="M4145" s="53"/>
    </row>
    <row r="4146" spans="1:16" x14ac:dyDescent="0.25">
      <c r="A4146" s="21" t="str">
        <f>IF(C4146="","",COUNTA($C$3:C4146))</f>
        <v/>
      </c>
      <c r="B4146" s="35" t="str">
        <f t="shared" si="80"/>
        <v/>
      </c>
      <c r="C4146" s="33"/>
      <c r="E4146" s="60"/>
      <c r="F4146" s="18"/>
      <c r="H4146" s="49"/>
      <c r="I4146" s="49"/>
      <c r="M4146" s="53"/>
    </row>
    <row r="4147" spans="1:16" x14ac:dyDescent="0.25">
      <c r="A4147" s="21" t="str">
        <f>IF(C4147="","",COUNTA($C$3:C4147))</f>
        <v/>
      </c>
      <c r="B4147" s="35" t="str">
        <f t="shared" si="80"/>
        <v/>
      </c>
      <c r="C4147" s="33"/>
      <c r="E4147" s="60"/>
      <c r="F4147" s="18"/>
      <c r="H4147" s="49"/>
      <c r="I4147" s="49"/>
      <c r="M4147" s="53"/>
    </row>
    <row r="4148" spans="1:16" x14ac:dyDescent="0.25">
      <c r="A4148" s="21" t="str">
        <f>IF(C4148="","",COUNTA($C$3:C4148))</f>
        <v/>
      </c>
      <c r="B4148" s="35" t="str">
        <f t="shared" si="80"/>
        <v/>
      </c>
      <c r="C4148" s="33"/>
      <c r="E4148" s="60"/>
      <c r="F4148" s="18"/>
      <c r="H4148" s="49"/>
      <c r="I4148" s="49"/>
      <c r="M4148" s="53"/>
    </row>
    <row r="4149" spans="1:16" x14ac:dyDescent="0.25">
      <c r="A4149" s="21" t="str">
        <f>IF(C4149="","",COUNTA($C$3:C4149))</f>
        <v/>
      </c>
      <c r="B4149" s="35" t="str">
        <f t="shared" si="80"/>
        <v/>
      </c>
      <c r="C4149" s="33"/>
      <c r="E4149" s="60"/>
      <c r="F4149" s="18"/>
      <c r="H4149" s="49"/>
      <c r="I4149" s="49"/>
      <c r="M4149" s="53"/>
    </row>
    <row r="4150" spans="1:16" x14ac:dyDescent="0.25">
      <c r="A4150" s="21" t="str">
        <f>IF(C4150="","",COUNTA($C$3:C4150))</f>
        <v/>
      </c>
      <c r="B4150" s="35" t="str">
        <f t="shared" si="80"/>
        <v/>
      </c>
      <c r="C4150" s="33"/>
      <c r="E4150" s="60"/>
      <c r="F4150" s="18"/>
      <c r="H4150" s="49"/>
      <c r="I4150" s="49"/>
      <c r="M4150" s="53"/>
    </row>
    <row r="4151" spans="1:16" x14ac:dyDescent="0.25">
      <c r="A4151" s="21" t="str">
        <f>IF(C4151="","",COUNTA($C$3:C4151))</f>
        <v/>
      </c>
      <c r="B4151" s="35" t="str">
        <f t="shared" si="80"/>
        <v/>
      </c>
      <c r="C4151" s="33"/>
      <c r="E4151" s="60"/>
      <c r="F4151" s="18"/>
      <c r="H4151" s="49"/>
      <c r="I4151" s="49"/>
      <c r="M4151" s="53"/>
    </row>
    <row r="4152" spans="1:16" x14ac:dyDescent="0.25">
      <c r="A4152" s="21" t="str">
        <f>IF(C4152="","",COUNTA($C$3:C4152))</f>
        <v/>
      </c>
      <c r="B4152" s="35" t="str">
        <f t="shared" si="80"/>
        <v/>
      </c>
      <c r="C4152" s="33"/>
      <c r="E4152" s="60"/>
      <c r="F4152" s="18"/>
      <c r="H4152" s="49"/>
      <c r="I4152" s="49"/>
      <c r="M4152" s="53"/>
    </row>
    <row r="4153" spans="1:16" x14ac:dyDescent="0.25">
      <c r="A4153" s="21" t="str">
        <f>IF(C4153="","",COUNTA($C$3:C4153))</f>
        <v/>
      </c>
      <c r="B4153" s="35" t="str">
        <f t="shared" si="80"/>
        <v/>
      </c>
      <c r="C4153" s="33"/>
      <c r="E4153" s="60"/>
      <c r="F4153" s="18"/>
      <c r="H4153" s="49"/>
      <c r="I4153" s="49"/>
      <c r="M4153" s="53"/>
    </row>
    <row r="4154" spans="1:16" x14ac:dyDescent="0.25">
      <c r="A4154" s="21" t="str">
        <f>IF(C4154="","",COUNTA($C$3:C4154))</f>
        <v/>
      </c>
      <c r="B4154" s="35" t="str">
        <f t="shared" si="80"/>
        <v/>
      </c>
      <c r="C4154" s="33"/>
      <c r="E4154" s="60"/>
      <c r="F4154" s="18"/>
      <c r="H4154" s="49"/>
      <c r="I4154" s="49"/>
      <c r="M4154" s="53"/>
    </row>
    <row r="4155" spans="1:16" x14ac:dyDescent="0.25">
      <c r="A4155" s="21" t="str">
        <f>IF(C4155="","",COUNTA($C$3:C4155))</f>
        <v/>
      </c>
      <c r="B4155" s="35" t="str">
        <f t="shared" si="80"/>
        <v/>
      </c>
      <c r="C4155" s="33"/>
      <c r="E4155" s="60"/>
      <c r="F4155" s="18"/>
      <c r="H4155" s="49"/>
      <c r="I4155" s="49"/>
      <c r="M4155" s="53"/>
    </row>
    <row r="4156" spans="1:16" x14ac:dyDescent="0.25">
      <c r="A4156" s="21" t="str">
        <f>IF(C4156="","",COUNTA($C$3:C4156))</f>
        <v/>
      </c>
      <c r="B4156" s="35" t="str">
        <f t="shared" si="80"/>
        <v/>
      </c>
      <c r="C4156" s="33"/>
      <c r="E4156" s="60"/>
      <c r="F4156" s="18"/>
      <c r="H4156" s="49"/>
      <c r="I4156" s="49"/>
      <c r="M4156" s="53"/>
    </row>
    <row r="4157" spans="1:16" x14ac:dyDescent="0.25">
      <c r="A4157" s="21" t="str">
        <f>IF(C4157="","",COUNTA($C$3:C4157))</f>
        <v/>
      </c>
      <c r="B4157" s="35" t="str">
        <f t="shared" si="80"/>
        <v/>
      </c>
      <c r="C4157" s="33"/>
      <c r="E4157" s="60"/>
      <c r="F4157" s="18"/>
      <c r="H4157" s="49"/>
      <c r="I4157" s="49"/>
      <c r="M4157" s="53"/>
      <c r="O4157" s="59"/>
      <c r="P4157" s="59"/>
    </row>
    <row r="4158" spans="1:16" x14ac:dyDescent="0.25">
      <c r="A4158" s="21" t="str">
        <f>IF(C4158="","",COUNTA($C$3:C4158))</f>
        <v/>
      </c>
      <c r="B4158" s="35" t="str">
        <f t="shared" si="80"/>
        <v/>
      </c>
      <c r="C4158" s="33"/>
      <c r="E4158" s="60"/>
      <c r="F4158" s="18"/>
      <c r="H4158" s="49"/>
      <c r="I4158" s="49"/>
      <c r="M4158" s="53"/>
    </row>
    <row r="4159" spans="1:16" x14ac:dyDescent="0.25">
      <c r="A4159" s="21" t="str">
        <f>IF(C4159="","",COUNTA($C$3:C4159))</f>
        <v/>
      </c>
      <c r="B4159" s="35" t="str">
        <f t="shared" si="80"/>
        <v/>
      </c>
      <c r="C4159" s="33"/>
      <c r="E4159" s="60"/>
      <c r="F4159" s="18"/>
      <c r="H4159" s="49"/>
      <c r="I4159" s="49"/>
      <c r="M4159" s="53"/>
    </row>
    <row r="4160" spans="1:16" x14ac:dyDescent="0.25">
      <c r="A4160" s="21" t="str">
        <f>IF(C4160="","",COUNTA($C$3:C4160))</f>
        <v/>
      </c>
      <c r="B4160" s="35" t="str">
        <f t="shared" si="80"/>
        <v/>
      </c>
      <c r="C4160" s="33"/>
      <c r="E4160" s="60"/>
      <c r="F4160" s="18"/>
      <c r="H4160" s="49"/>
      <c r="I4160" s="49"/>
      <c r="M4160" s="53"/>
    </row>
    <row r="4161" spans="1:17" x14ac:dyDescent="0.25">
      <c r="A4161" s="21" t="str">
        <f>IF(C4161="","",COUNTA($C$3:C4161))</f>
        <v/>
      </c>
      <c r="B4161" s="35" t="str">
        <f t="shared" si="80"/>
        <v/>
      </c>
      <c r="C4161" s="33"/>
      <c r="E4161" s="60"/>
      <c r="F4161" s="18"/>
      <c r="H4161" s="49"/>
      <c r="I4161" s="49"/>
      <c r="M4161" s="53"/>
    </row>
    <row r="4162" spans="1:17" x14ac:dyDescent="0.25">
      <c r="A4162" s="21" t="str">
        <f>IF(C4162="","",COUNTA($C$3:C4162))</f>
        <v/>
      </c>
      <c r="B4162" s="35" t="str">
        <f t="shared" si="80"/>
        <v/>
      </c>
      <c r="C4162" s="33"/>
      <c r="E4162" s="60"/>
      <c r="F4162" s="18"/>
      <c r="H4162" s="49"/>
      <c r="I4162" s="49"/>
      <c r="M4162" s="53"/>
    </row>
    <row r="4163" spans="1:17" x14ac:dyDescent="0.25">
      <c r="A4163" s="21" t="str">
        <f>IF(C4163="","",COUNTA($C$3:C4163))</f>
        <v/>
      </c>
      <c r="B4163" s="35" t="str">
        <f t="shared" si="80"/>
        <v/>
      </c>
      <c r="C4163" s="33"/>
      <c r="E4163" s="60"/>
      <c r="F4163" s="18"/>
      <c r="H4163" s="49"/>
      <c r="I4163" s="49"/>
      <c r="M4163" s="53"/>
    </row>
    <row r="4164" spans="1:17" x14ac:dyDescent="0.25">
      <c r="A4164" s="21" t="str">
        <f>IF(C4164="","",COUNTA($C$3:C4164))</f>
        <v/>
      </c>
      <c r="B4164" s="35" t="str">
        <f t="shared" si="80"/>
        <v/>
      </c>
      <c r="C4164" s="33"/>
      <c r="E4164" s="60"/>
      <c r="F4164" s="18"/>
      <c r="H4164" s="49"/>
      <c r="I4164" s="49"/>
      <c r="M4164" s="53"/>
    </row>
    <row r="4165" spans="1:17" x14ac:dyDescent="0.25">
      <c r="A4165" s="21" t="str">
        <f>IF(C4165="","",COUNTA($C$3:C4165))</f>
        <v/>
      </c>
      <c r="B4165" s="35" t="str">
        <f t="shared" ref="B4165:B4228" si="81">IF(C4165="","",TEXT(C4165,"mmmm"))</f>
        <v/>
      </c>
      <c r="C4165" s="33"/>
      <c r="E4165" s="60"/>
      <c r="F4165" s="18"/>
      <c r="H4165" s="49"/>
      <c r="I4165" s="49"/>
      <c r="M4165" s="53"/>
    </row>
    <row r="4166" spans="1:17" x14ac:dyDescent="0.25">
      <c r="A4166" s="21" t="str">
        <f>IF(C4166="","",COUNTA($C$3:C4166))</f>
        <v/>
      </c>
      <c r="B4166" s="35" t="str">
        <f t="shared" si="81"/>
        <v/>
      </c>
      <c r="C4166" s="33"/>
      <c r="E4166" s="60"/>
      <c r="F4166" s="18"/>
      <c r="H4166" s="49"/>
      <c r="I4166" s="49"/>
      <c r="M4166" s="53"/>
    </row>
    <row r="4167" spans="1:17" x14ac:dyDescent="0.25">
      <c r="A4167" s="21" t="str">
        <f>IF(C4167="","",COUNTA($C$3:C4167))</f>
        <v/>
      </c>
      <c r="B4167" s="35" t="str">
        <f t="shared" si="81"/>
        <v/>
      </c>
      <c r="C4167" s="33"/>
      <c r="E4167" s="60"/>
      <c r="F4167" s="18"/>
      <c r="H4167" s="49"/>
      <c r="I4167" s="49"/>
      <c r="M4167" s="53"/>
    </row>
    <row r="4168" spans="1:17" x14ac:dyDescent="0.25">
      <c r="A4168" s="21" t="str">
        <f>IF(C4168="","",COUNTA($C$3:C4168))</f>
        <v/>
      </c>
      <c r="B4168" s="35" t="str">
        <f t="shared" si="81"/>
        <v/>
      </c>
      <c r="C4168" s="33"/>
      <c r="E4168" s="60"/>
      <c r="F4168" s="18"/>
      <c r="H4168" s="49"/>
      <c r="I4168" s="49"/>
      <c r="M4168" s="53"/>
      <c r="N4168" s="59"/>
    </row>
    <row r="4169" spans="1:17" x14ac:dyDescent="0.25">
      <c r="A4169" s="21" t="str">
        <f>IF(C4169="","",COUNTA($C$3:C4169))</f>
        <v/>
      </c>
      <c r="B4169" s="35" t="str">
        <f t="shared" si="81"/>
        <v/>
      </c>
      <c r="C4169" s="33"/>
      <c r="E4169" s="60"/>
      <c r="F4169" s="18"/>
      <c r="H4169" s="49"/>
      <c r="I4169" s="49"/>
      <c r="M4169" s="53"/>
    </row>
    <row r="4170" spans="1:17" x14ac:dyDescent="0.25">
      <c r="A4170" s="21" t="str">
        <f>IF(C4170="","",COUNTA($C$3:C4170))</f>
        <v/>
      </c>
      <c r="B4170" s="35" t="str">
        <f t="shared" si="81"/>
        <v/>
      </c>
      <c r="C4170" s="33"/>
      <c r="E4170" s="60"/>
      <c r="F4170" s="18"/>
      <c r="H4170" s="49"/>
      <c r="I4170" s="49"/>
      <c r="M4170" s="53"/>
    </row>
    <row r="4171" spans="1:17" x14ac:dyDescent="0.25">
      <c r="A4171" s="21" t="str">
        <f>IF(C4171="","",COUNTA($C$3:C4171))</f>
        <v/>
      </c>
      <c r="B4171" s="35" t="str">
        <f t="shared" si="81"/>
        <v/>
      </c>
      <c r="C4171" s="33"/>
      <c r="E4171" s="60"/>
      <c r="F4171" s="18"/>
      <c r="H4171" s="49"/>
      <c r="I4171" s="49"/>
      <c r="M4171" s="53"/>
    </row>
    <row r="4172" spans="1:17" x14ac:dyDescent="0.25">
      <c r="A4172" s="21" t="str">
        <f>IF(C4172="","",COUNTA($C$3:C4172))</f>
        <v/>
      </c>
      <c r="B4172" s="35" t="str">
        <f t="shared" si="81"/>
        <v/>
      </c>
      <c r="C4172" s="33"/>
      <c r="E4172" s="60"/>
      <c r="F4172" s="18"/>
      <c r="H4172" s="49"/>
      <c r="I4172" s="49"/>
      <c r="M4172" s="53"/>
    </row>
    <row r="4173" spans="1:17" x14ac:dyDescent="0.25">
      <c r="A4173" s="21" t="str">
        <f>IF(C4173="","",COUNTA($C$3:C4173))</f>
        <v/>
      </c>
      <c r="B4173" s="35" t="str">
        <f t="shared" si="81"/>
        <v/>
      </c>
      <c r="C4173" s="33"/>
      <c r="E4173" s="60"/>
      <c r="F4173" s="18"/>
      <c r="H4173" s="49"/>
      <c r="I4173" s="49"/>
      <c r="M4173" s="53"/>
    </row>
    <row r="4174" spans="1:17" x14ac:dyDescent="0.25">
      <c r="A4174" s="21" t="str">
        <f>IF(C4174="","",COUNTA($C$3:C4174))</f>
        <v/>
      </c>
      <c r="B4174" s="35" t="str">
        <f t="shared" si="81"/>
        <v/>
      </c>
      <c r="C4174" s="33"/>
      <c r="E4174" s="60"/>
      <c r="F4174" s="18"/>
      <c r="H4174" s="49"/>
      <c r="I4174" s="49"/>
      <c r="M4174" s="53"/>
      <c r="O4174" s="59"/>
      <c r="P4174" s="59"/>
      <c r="Q4174" s="59"/>
    </row>
    <row r="4175" spans="1:17" x14ac:dyDescent="0.25">
      <c r="A4175" s="21" t="str">
        <f>IF(C4175="","",COUNTA($C$3:C4175))</f>
        <v/>
      </c>
      <c r="B4175" s="35" t="str">
        <f t="shared" si="81"/>
        <v/>
      </c>
      <c r="C4175" s="33"/>
      <c r="E4175" s="60"/>
      <c r="F4175" s="18"/>
      <c r="H4175" s="49"/>
      <c r="I4175" s="49"/>
      <c r="M4175" s="53"/>
      <c r="O4175" s="59"/>
      <c r="P4175" s="69"/>
      <c r="Q4175" s="59"/>
    </row>
    <row r="4176" spans="1:17" x14ac:dyDescent="0.25">
      <c r="A4176" s="21" t="str">
        <f>IF(C4176="","",COUNTA($C$3:C4176))</f>
        <v/>
      </c>
      <c r="B4176" s="35" t="str">
        <f t="shared" si="81"/>
        <v/>
      </c>
      <c r="C4176" s="33"/>
      <c r="E4176" s="60"/>
      <c r="F4176" s="18"/>
      <c r="H4176" s="49"/>
      <c r="I4176" s="49"/>
      <c r="M4176" s="53"/>
      <c r="O4176" s="59"/>
      <c r="P4176" s="71"/>
      <c r="Q4176" s="59"/>
    </row>
    <row r="4177" spans="1:17" x14ac:dyDescent="0.25">
      <c r="A4177" s="21" t="str">
        <f>IF(C4177="","",COUNTA($C$3:C4177))</f>
        <v/>
      </c>
      <c r="B4177" s="35" t="str">
        <f t="shared" si="81"/>
        <v/>
      </c>
      <c r="C4177" s="33"/>
      <c r="E4177" s="60"/>
      <c r="F4177" s="18"/>
      <c r="H4177" s="49"/>
      <c r="I4177" s="49"/>
      <c r="M4177" s="53"/>
      <c r="O4177" s="59"/>
      <c r="P4177" s="114"/>
      <c r="Q4177" s="59"/>
    </row>
    <row r="4178" spans="1:17" x14ac:dyDescent="0.25">
      <c r="A4178" s="21" t="str">
        <f>IF(C4178="","",COUNTA($C$3:C4178))</f>
        <v/>
      </c>
      <c r="B4178" s="35" t="str">
        <f t="shared" si="81"/>
        <v/>
      </c>
      <c r="C4178" s="33"/>
      <c r="E4178" s="60"/>
      <c r="F4178" s="18"/>
      <c r="H4178" s="49"/>
      <c r="I4178" s="49"/>
      <c r="M4178" s="53"/>
      <c r="O4178" s="59"/>
      <c r="P4178" s="69"/>
      <c r="Q4178" s="59"/>
    </row>
    <row r="4179" spans="1:17" x14ac:dyDescent="0.25">
      <c r="A4179" s="21" t="str">
        <f>IF(C4179="","",COUNTA($C$3:C4179))</f>
        <v/>
      </c>
      <c r="B4179" s="35" t="str">
        <f t="shared" si="81"/>
        <v/>
      </c>
      <c r="C4179" s="33"/>
      <c r="E4179" s="60"/>
      <c r="F4179" s="18"/>
      <c r="H4179" s="49"/>
      <c r="I4179" s="49"/>
      <c r="M4179" s="53"/>
      <c r="O4179" s="59"/>
      <c r="P4179" s="71"/>
      <c r="Q4179" s="59"/>
    </row>
    <row r="4180" spans="1:17" x14ac:dyDescent="0.25">
      <c r="A4180" s="21" t="str">
        <f>IF(C4180="","",COUNTA($C$3:C4180))</f>
        <v/>
      </c>
      <c r="B4180" s="35" t="str">
        <f t="shared" si="81"/>
        <v/>
      </c>
      <c r="C4180" s="33"/>
      <c r="E4180" s="60"/>
      <c r="F4180" s="18"/>
      <c r="H4180" s="49"/>
      <c r="I4180" s="49"/>
      <c r="K4180" s="55"/>
      <c r="M4180" s="53"/>
    </row>
    <row r="4181" spans="1:17" x14ac:dyDescent="0.25">
      <c r="A4181" s="21" t="str">
        <f>IF(C4181="","",COUNTA($C$3:C4181))</f>
        <v/>
      </c>
      <c r="B4181" s="35" t="str">
        <f t="shared" si="81"/>
        <v/>
      </c>
      <c r="C4181" s="33"/>
      <c r="E4181" s="60"/>
      <c r="F4181" s="18"/>
      <c r="H4181" s="49"/>
      <c r="I4181" s="49"/>
      <c r="M4181" s="53"/>
    </row>
    <row r="4182" spans="1:17" x14ac:dyDescent="0.25">
      <c r="A4182" s="21" t="str">
        <f>IF(C4182="","",COUNTA($C$3:C4182))</f>
        <v/>
      </c>
      <c r="B4182" s="35" t="str">
        <f t="shared" si="81"/>
        <v/>
      </c>
      <c r="C4182" s="33"/>
      <c r="E4182" s="60"/>
      <c r="F4182" s="18"/>
      <c r="H4182" s="49"/>
      <c r="I4182" s="49"/>
      <c r="M4182" s="53"/>
    </row>
    <row r="4183" spans="1:17" x14ac:dyDescent="0.25">
      <c r="A4183" s="21" t="str">
        <f>IF(C4183="","",COUNTA($C$3:C4183))</f>
        <v/>
      </c>
      <c r="B4183" s="35" t="str">
        <f t="shared" si="81"/>
        <v/>
      </c>
      <c r="C4183" s="33"/>
      <c r="E4183" s="60"/>
      <c r="F4183" s="18"/>
      <c r="H4183" s="49"/>
      <c r="I4183" s="49"/>
      <c r="M4183" s="53"/>
    </row>
    <row r="4184" spans="1:17" x14ac:dyDescent="0.25">
      <c r="A4184" s="21" t="str">
        <f>IF(C4184="","",COUNTA($C$3:C4184))</f>
        <v/>
      </c>
      <c r="B4184" s="35" t="str">
        <f t="shared" si="81"/>
        <v/>
      </c>
      <c r="C4184" s="33"/>
      <c r="E4184" s="60"/>
      <c r="F4184" s="18"/>
      <c r="H4184" s="49"/>
      <c r="I4184" s="49"/>
      <c r="M4184" s="53"/>
    </row>
    <row r="4185" spans="1:17" x14ac:dyDescent="0.25">
      <c r="A4185" s="21" t="str">
        <f>IF(C4185="","",COUNTA($C$3:C4185))</f>
        <v/>
      </c>
      <c r="B4185" s="35" t="str">
        <f t="shared" si="81"/>
        <v/>
      </c>
      <c r="C4185" s="33"/>
      <c r="E4185" s="60"/>
      <c r="F4185" s="18"/>
      <c r="H4185" s="49"/>
      <c r="I4185" s="49"/>
      <c r="M4185" s="53"/>
    </row>
    <row r="4186" spans="1:17" x14ac:dyDescent="0.25">
      <c r="A4186" s="21" t="str">
        <f>IF(C4186="","",COUNTA($C$3:C4186))</f>
        <v/>
      </c>
      <c r="B4186" s="35" t="str">
        <f t="shared" si="81"/>
        <v/>
      </c>
      <c r="C4186" s="33"/>
      <c r="E4186" s="60"/>
      <c r="F4186" s="18"/>
      <c r="H4186" s="49"/>
      <c r="I4186" s="49"/>
      <c r="M4186" s="53"/>
    </row>
    <row r="4187" spans="1:17" x14ac:dyDescent="0.25">
      <c r="A4187" s="21" t="str">
        <f>IF(C4187="","",COUNTA($C$3:C4187))</f>
        <v/>
      </c>
      <c r="B4187" s="35" t="str">
        <f t="shared" si="81"/>
        <v/>
      </c>
      <c r="C4187" s="33"/>
      <c r="E4187" s="60"/>
      <c r="F4187" s="18"/>
      <c r="H4187" s="49"/>
      <c r="I4187" s="49"/>
      <c r="M4187" s="53"/>
    </row>
    <row r="4188" spans="1:17" x14ac:dyDescent="0.25">
      <c r="A4188" s="21" t="str">
        <f>IF(C4188="","",COUNTA($C$3:C4188))</f>
        <v/>
      </c>
      <c r="B4188" s="35" t="str">
        <f t="shared" si="81"/>
        <v/>
      </c>
      <c r="C4188" s="33"/>
      <c r="E4188" s="60"/>
      <c r="F4188" s="18"/>
      <c r="H4188" s="49"/>
      <c r="I4188" s="49"/>
      <c r="M4188" s="53"/>
    </row>
    <row r="4189" spans="1:17" x14ac:dyDescent="0.25">
      <c r="A4189" s="21" t="str">
        <f>IF(C4189="","",COUNTA($C$3:C4189))</f>
        <v/>
      </c>
      <c r="B4189" s="35" t="str">
        <f t="shared" si="81"/>
        <v/>
      </c>
      <c r="C4189" s="33"/>
      <c r="E4189" s="60"/>
      <c r="F4189" s="18"/>
      <c r="H4189" s="49"/>
      <c r="I4189" s="49"/>
      <c r="M4189" s="53"/>
    </row>
    <row r="4190" spans="1:17" x14ac:dyDescent="0.25">
      <c r="A4190" s="21" t="str">
        <f>IF(C4190="","",COUNTA($C$3:C4190))</f>
        <v/>
      </c>
      <c r="B4190" s="35" t="str">
        <f t="shared" si="81"/>
        <v/>
      </c>
      <c r="C4190" s="33"/>
      <c r="E4190" s="60"/>
      <c r="F4190" s="18"/>
      <c r="H4190" s="49"/>
      <c r="I4190" s="49"/>
      <c r="M4190" s="53"/>
    </row>
    <row r="4191" spans="1:17" x14ac:dyDescent="0.25">
      <c r="A4191" s="21" t="str">
        <f>IF(C4191="","",COUNTA($C$3:C4191))</f>
        <v/>
      </c>
      <c r="B4191" s="35" t="str">
        <f t="shared" si="81"/>
        <v/>
      </c>
      <c r="C4191" s="33"/>
      <c r="E4191" s="60"/>
      <c r="F4191" s="18"/>
      <c r="H4191" s="49"/>
      <c r="I4191" s="49"/>
      <c r="M4191" s="53"/>
    </row>
    <row r="4192" spans="1:17" x14ac:dyDescent="0.25">
      <c r="A4192" s="21" t="str">
        <f>IF(C4192="","",COUNTA($C$3:C4192))</f>
        <v/>
      </c>
      <c r="B4192" s="35" t="str">
        <f t="shared" si="81"/>
        <v/>
      </c>
      <c r="C4192" s="33"/>
      <c r="E4192" s="60"/>
      <c r="F4192" s="18"/>
      <c r="H4192" s="49"/>
      <c r="I4192" s="49"/>
      <c r="M4192" s="53"/>
    </row>
    <row r="4193" spans="1:13" x14ac:dyDescent="0.25">
      <c r="A4193" s="21" t="str">
        <f>IF(C4193="","",COUNTA($C$3:C4193))</f>
        <v/>
      </c>
      <c r="B4193" s="35" t="str">
        <f t="shared" si="81"/>
        <v/>
      </c>
      <c r="C4193" s="33"/>
      <c r="E4193" s="60"/>
      <c r="F4193" s="18"/>
      <c r="H4193" s="49"/>
      <c r="I4193" s="49"/>
      <c r="M4193" s="53"/>
    </row>
    <row r="4194" spans="1:13" x14ac:dyDescent="0.25">
      <c r="A4194" s="21" t="str">
        <f>IF(C4194="","",COUNTA($C$3:C4194))</f>
        <v/>
      </c>
      <c r="B4194" s="35" t="str">
        <f t="shared" si="81"/>
        <v/>
      </c>
      <c r="C4194" s="33"/>
      <c r="E4194" s="60"/>
      <c r="F4194" s="18"/>
      <c r="H4194" s="49"/>
      <c r="I4194" s="49"/>
      <c r="M4194" s="53"/>
    </row>
    <row r="4195" spans="1:13" x14ac:dyDescent="0.25">
      <c r="A4195" s="21" t="str">
        <f>IF(C4195="","",COUNTA($C$3:C4195))</f>
        <v/>
      </c>
      <c r="B4195" s="35" t="str">
        <f t="shared" si="81"/>
        <v/>
      </c>
      <c r="C4195" s="33"/>
      <c r="E4195" s="60"/>
      <c r="F4195" s="18"/>
      <c r="H4195" s="49"/>
      <c r="I4195" s="49"/>
      <c r="M4195" s="53"/>
    </row>
    <row r="4196" spans="1:13" x14ac:dyDescent="0.25">
      <c r="A4196" s="21" t="str">
        <f>IF(C4196="","",COUNTA($C$3:C4196))</f>
        <v/>
      </c>
      <c r="B4196" s="35" t="str">
        <f t="shared" si="81"/>
        <v/>
      </c>
      <c r="C4196" s="33"/>
      <c r="E4196" s="60"/>
      <c r="F4196" s="18"/>
      <c r="H4196" s="49"/>
      <c r="I4196" s="49"/>
      <c r="M4196" s="53"/>
    </row>
    <row r="4197" spans="1:13" x14ac:dyDescent="0.25">
      <c r="A4197" s="21" t="str">
        <f>IF(C4197="","",COUNTA($C$3:C4197))</f>
        <v/>
      </c>
      <c r="B4197" s="35" t="str">
        <f t="shared" si="81"/>
        <v/>
      </c>
      <c r="C4197" s="33"/>
      <c r="E4197" s="60"/>
      <c r="F4197" s="18"/>
      <c r="H4197" s="49"/>
      <c r="I4197" s="49"/>
      <c r="M4197" s="53"/>
    </row>
    <row r="4198" spans="1:13" x14ac:dyDescent="0.25">
      <c r="A4198" s="21" t="str">
        <f>IF(C4198="","",COUNTA($C$3:C4198))</f>
        <v/>
      </c>
      <c r="B4198" s="35" t="str">
        <f t="shared" si="81"/>
        <v/>
      </c>
      <c r="C4198" s="33"/>
      <c r="E4198" s="60"/>
      <c r="F4198" s="18"/>
      <c r="H4198" s="49"/>
      <c r="I4198" s="49"/>
      <c r="M4198" s="53"/>
    </row>
    <row r="4199" spans="1:13" x14ac:dyDescent="0.25">
      <c r="A4199" s="21" t="str">
        <f>IF(C4199="","",COUNTA($C$3:C4199))</f>
        <v/>
      </c>
      <c r="B4199" s="35" t="str">
        <f t="shared" si="81"/>
        <v/>
      </c>
      <c r="C4199" s="33"/>
      <c r="E4199" s="60"/>
      <c r="F4199" s="18"/>
      <c r="H4199" s="49"/>
      <c r="I4199" s="49"/>
      <c r="M4199" s="53"/>
    </row>
    <row r="4200" spans="1:13" x14ac:dyDescent="0.25">
      <c r="A4200" s="21" t="str">
        <f>IF(C4200="","",COUNTA($C$3:C4200))</f>
        <v/>
      </c>
      <c r="B4200" s="35" t="str">
        <f t="shared" si="81"/>
        <v/>
      </c>
      <c r="C4200" s="33"/>
      <c r="E4200" s="60"/>
      <c r="F4200" s="18"/>
      <c r="H4200" s="49"/>
      <c r="I4200" s="49"/>
      <c r="M4200" s="53"/>
    </row>
    <row r="4201" spans="1:13" x14ac:dyDescent="0.25">
      <c r="A4201" s="21" t="str">
        <f>IF(C4201="","",COUNTA($C$3:C4201))</f>
        <v/>
      </c>
      <c r="B4201" s="35" t="str">
        <f t="shared" si="81"/>
        <v/>
      </c>
      <c r="C4201" s="33"/>
      <c r="E4201" s="60"/>
      <c r="F4201" s="18"/>
      <c r="H4201" s="49"/>
      <c r="I4201" s="49"/>
      <c r="M4201" s="53"/>
    </row>
    <row r="4202" spans="1:13" x14ac:dyDescent="0.25">
      <c r="A4202" s="21" t="str">
        <f>IF(C4202="","",COUNTA($C$3:C4202))</f>
        <v/>
      </c>
      <c r="B4202" s="35" t="str">
        <f t="shared" si="81"/>
        <v/>
      </c>
      <c r="C4202" s="33"/>
      <c r="E4202" s="60"/>
      <c r="F4202" s="18"/>
      <c r="H4202" s="49"/>
      <c r="I4202" s="49"/>
      <c r="M4202" s="53"/>
    </row>
    <row r="4203" spans="1:13" x14ac:dyDescent="0.25">
      <c r="A4203" s="21" t="str">
        <f>IF(C4203="","",COUNTA($C$3:C4203))</f>
        <v/>
      </c>
      <c r="B4203" s="35" t="str">
        <f t="shared" si="81"/>
        <v/>
      </c>
      <c r="C4203" s="33"/>
      <c r="E4203" s="60"/>
      <c r="F4203" s="18"/>
      <c r="H4203" s="49"/>
      <c r="I4203" s="49"/>
      <c r="M4203" s="53"/>
    </row>
    <row r="4204" spans="1:13" x14ac:dyDescent="0.25">
      <c r="A4204" s="21" t="str">
        <f>IF(C4204="","",COUNTA($C$3:C4204))</f>
        <v/>
      </c>
      <c r="B4204" s="35" t="str">
        <f t="shared" si="81"/>
        <v/>
      </c>
      <c r="C4204" s="33"/>
      <c r="E4204" s="60"/>
      <c r="F4204" s="18"/>
      <c r="H4204" s="49"/>
      <c r="I4204" s="49"/>
      <c r="M4204" s="53"/>
    </row>
    <row r="4205" spans="1:13" x14ac:dyDescent="0.25">
      <c r="A4205" s="21" t="str">
        <f>IF(C4205="","",COUNTA($C$3:C4205))</f>
        <v/>
      </c>
      <c r="B4205" s="35" t="str">
        <f t="shared" si="81"/>
        <v/>
      </c>
      <c r="C4205" s="33"/>
      <c r="E4205" s="60"/>
      <c r="F4205" s="18"/>
      <c r="H4205" s="49"/>
      <c r="I4205" s="49"/>
      <c r="M4205" s="53"/>
    </row>
    <row r="4206" spans="1:13" x14ac:dyDescent="0.25">
      <c r="A4206" s="21" t="str">
        <f>IF(C4206="","",COUNTA($C$3:C4206))</f>
        <v/>
      </c>
      <c r="B4206" s="35" t="str">
        <f t="shared" si="81"/>
        <v/>
      </c>
      <c r="C4206" s="33"/>
      <c r="E4206" s="60"/>
      <c r="F4206" s="18"/>
      <c r="H4206" s="49"/>
      <c r="I4206" s="49"/>
      <c r="M4206" s="53"/>
    </row>
    <row r="4207" spans="1:13" x14ac:dyDescent="0.25">
      <c r="A4207" s="21" t="str">
        <f>IF(C4207="","",COUNTA($C$3:C4207))</f>
        <v/>
      </c>
      <c r="B4207" s="35" t="str">
        <f t="shared" si="81"/>
        <v/>
      </c>
      <c r="C4207" s="33"/>
      <c r="E4207" s="60"/>
      <c r="F4207" s="18"/>
      <c r="H4207" s="49"/>
      <c r="I4207" s="49"/>
      <c r="M4207" s="53"/>
    </row>
    <row r="4208" spans="1:13" x14ac:dyDescent="0.25">
      <c r="A4208" s="21" t="str">
        <f>IF(C4208="","",COUNTA($C$3:C4208))</f>
        <v/>
      </c>
      <c r="B4208" s="35" t="str">
        <f t="shared" si="81"/>
        <v/>
      </c>
      <c r="C4208" s="33"/>
      <c r="E4208" s="60"/>
      <c r="F4208" s="18"/>
      <c r="H4208" s="49"/>
      <c r="I4208" s="49"/>
      <c r="M4208" s="53"/>
    </row>
    <row r="4209" spans="1:13" x14ac:dyDescent="0.25">
      <c r="A4209" s="21" t="str">
        <f>IF(C4209="","",COUNTA($C$3:C4209))</f>
        <v/>
      </c>
      <c r="B4209" s="35" t="str">
        <f t="shared" si="81"/>
        <v/>
      </c>
      <c r="C4209" s="33"/>
      <c r="E4209" s="60"/>
      <c r="F4209" s="18"/>
      <c r="H4209" s="49"/>
      <c r="I4209" s="49"/>
      <c r="M4209" s="53"/>
    </row>
    <row r="4210" spans="1:13" x14ac:dyDescent="0.25">
      <c r="A4210" s="21" t="str">
        <f>IF(C4210="","",COUNTA($C$3:C4210))</f>
        <v/>
      </c>
      <c r="B4210" s="35" t="str">
        <f t="shared" si="81"/>
        <v/>
      </c>
      <c r="C4210" s="33"/>
      <c r="E4210" s="60"/>
      <c r="F4210" s="18"/>
      <c r="H4210" s="49"/>
      <c r="I4210" s="49"/>
      <c r="M4210" s="53"/>
    </row>
    <row r="4211" spans="1:13" x14ac:dyDescent="0.25">
      <c r="A4211" s="21" t="str">
        <f>IF(C4211="","",COUNTA($C$3:C4211))</f>
        <v/>
      </c>
      <c r="B4211" s="35" t="str">
        <f t="shared" si="81"/>
        <v/>
      </c>
      <c r="C4211" s="33"/>
      <c r="E4211" s="60"/>
      <c r="F4211" s="18"/>
      <c r="H4211" s="49"/>
      <c r="I4211" s="49"/>
      <c r="M4211" s="53"/>
    </row>
    <row r="4212" spans="1:13" x14ac:dyDescent="0.25">
      <c r="A4212" s="21" t="str">
        <f>IF(C4212="","",COUNTA($C$3:C4212))</f>
        <v/>
      </c>
      <c r="B4212" s="35" t="str">
        <f t="shared" si="81"/>
        <v/>
      </c>
      <c r="C4212" s="33"/>
      <c r="E4212" s="60"/>
      <c r="F4212" s="18"/>
      <c r="H4212" s="49"/>
      <c r="I4212" s="49"/>
      <c r="M4212" s="53"/>
    </row>
    <row r="4213" spans="1:13" x14ac:dyDescent="0.25">
      <c r="A4213" s="21" t="str">
        <f>IF(C4213="","",COUNTA($C$3:C4213))</f>
        <v/>
      </c>
      <c r="B4213" s="35" t="str">
        <f t="shared" si="81"/>
        <v/>
      </c>
      <c r="C4213" s="33"/>
      <c r="E4213" s="60"/>
      <c r="F4213" s="18"/>
      <c r="H4213" s="49"/>
      <c r="I4213" s="49"/>
      <c r="M4213" s="53"/>
    </row>
    <row r="4214" spans="1:13" x14ac:dyDescent="0.25">
      <c r="A4214" s="21" t="str">
        <f>IF(C4214="","",COUNTA($C$3:C4214))</f>
        <v/>
      </c>
      <c r="B4214" s="35" t="str">
        <f t="shared" si="81"/>
        <v/>
      </c>
      <c r="C4214" s="33"/>
      <c r="E4214" s="60"/>
      <c r="F4214" s="18"/>
      <c r="H4214" s="49"/>
      <c r="I4214" s="49"/>
      <c r="M4214" s="53"/>
    </row>
    <row r="4215" spans="1:13" x14ac:dyDescent="0.25">
      <c r="A4215" s="21" t="str">
        <f>IF(C4215="","",COUNTA($C$3:C4215))</f>
        <v/>
      </c>
      <c r="B4215" s="35" t="str">
        <f t="shared" si="81"/>
        <v/>
      </c>
      <c r="C4215" s="33"/>
      <c r="E4215" s="60"/>
      <c r="F4215" s="18"/>
      <c r="H4215" s="49"/>
      <c r="I4215" s="49"/>
      <c r="M4215" s="53"/>
    </row>
    <row r="4216" spans="1:13" x14ac:dyDescent="0.25">
      <c r="A4216" s="21" t="str">
        <f>IF(C4216="","",COUNTA($C$3:C4216))</f>
        <v/>
      </c>
      <c r="B4216" s="35" t="str">
        <f t="shared" si="81"/>
        <v/>
      </c>
      <c r="C4216" s="33"/>
      <c r="E4216" s="60"/>
      <c r="F4216" s="18"/>
      <c r="H4216" s="49"/>
      <c r="I4216" s="49"/>
      <c r="M4216" s="53"/>
    </row>
    <row r="4217" spans="1:13" x14ac:dyDescent="0.25">
      <c r="A4217" s="21" t="str">
        <f>IF(C4217="","",COUNTA($C$3:C4217))</f>
        <v/>
      </c>
      <c r="B4217" s="35" t="str">
        <f t="shared" si="81"/>
        <v/>
      </c>
      <c r="C4217" s="33"/>
      <c r="E4217" s="60"/>
      <c r="F4217" s="18"/>
      <c r="H4217" s="49"/>
      <c r="I4217" s="49"/>
      <c r="M4217" s="53"/>
    </row>
    <row r="4218" spans="1:13" x14ac:dyDescent="0.25">
      <c r="A4218" s="21" t="str">
        <f>IF(C4218="","",COUNTA($C$3:C4218))</f>
        <v/>
      </c>
      <c r="B4218" s="35" t="str">
        <f t="shared" si="81"/>
        <v/>
      </c>
      <c r="C4218" s="33"/>
      <c r="E4218" s="60"/>
      <c r="F4218" s="18"/>
      <c r="H4218" s="49"/>
      <c r="I4218" s="49"/>
      <c r="M4218" s="53"/>
    </row>
    <row r="4219" spans="1:13" x14ac:dyDescent="0.25">
      <c r="A4219" s="21" t="str">
        <f>IF(C4219="","",COUNTA($C$3:C4219))</f>
        <v/>
      </c>
      <c r="B4219" s="35" t="str">
        <f t="shared" si="81"/>
        <v/>
      </c>
      <c r="C4219" s="33"/>
      <c r="E4219" s="60"/>
      <c r="F4219" s="18"/>
      <c r="H4219" s="49"/>
      <c r="I4219" s="49"/>
      <c r="M4219" s="53"/>
    </row>
    <row r="4220" spans="1:13" x14ac:dyDescent="0.25">
      <c r="A4220" s="21" t="str">
        <f>IF(C4220="","",COUNTA($C$3:C4220))</f>
        <v/>
      </c>
      <c r="B4220" s="35" t="str">
        <f t="shared" si="81"/>
        <v/>
      </c>
      <c r="C4220" s="33"/>
      <c r="E4220" s="60"/>
      <c r="F4220" s="18"/>
      <c r="H4220" s="49"/>
      <c r="I4220" s="49"/>
      <c r="M4220" s="53"/>
    </row>
    <row r="4221" spans="1:13" x14ac:dyDescent="0.25">
      <c r="A4221" s="21" t="str">
        <f>IF(C4221="","",COUNTA($C$3:C4221))</f>
        <v/>
      </c>
      <c r="B4221" s="35" t="str">
        <f t="shared" si="81"/>
        <v/>
      </c>
      <c r="C4221" s="33"/>
      <c r="E4221" s="60"/>
      <c r="F4221" s="18"/>
      <c r="H4221" s="49"/>
      <c r="I4221" s="49"/>
      <c r="M4221" s="53"/>
    </row>
    <row r="4222" spans="1:13" x14ac:dyDescent="0.25">
      <c r="A4222" s="21" t="str">
        <f>IF(C4222="","",COUNTA($C$3:C4222))</f>
        <v/>
      </c>
      <c r="B4222" s="35" t="str">
        <f t="shared" si="81"/>
        <v/>
      </c>
      <c r="C4222" s="33"/>
      <c r="E4222" s="60"/>
      <c r="F4222" s="18"/>
      <c r="H4222" s="49"/>
      <c r="I4222" s="49"/>
      <c r="M4222" s="53"/>
    </row>
    <row r="4223" spans="1:13" x14ac:dyDescent="0.25">
      <c r="A4223" s="21" t="str">
        <f>IF(C4223="","",COUNTA($C$3:C4223))</f>
        <v/>
      </c>
      <c r="B4223" s="35" t="str">
        <f t="shared" si="81"/>
        <v/>
      </c>
      <c r="C4223" s="33"/>
      <c r="E4223" s="60"/>
      <c r="F4223" s="18"/>
      <c r="H4223" s="49"/>
      <c r="I4223" s="49"/>
      <c r="M4223" s="53"/>
    </row>
    <row r="4224" spans="1:13" x14ac:dyDescent="0.25">
      <c r="A4224" s="21" t="str">
        <f>IF(C4224="","",COUNTA($C$3:C4224))</f>
        <v/>
      </c>
      <c r="B4224" s="35" t="str">
        <f t="shared" si="81"/>
        <v/>
      </c>
      <c r="C4224" s="33"/>
      <c r="E4224" s="60"/>
      <c r="F4224" s="18"/>
      <c r="H4224" s="49"/>
      <c r="I4224" s="49"/>
      <c r="M4224" s="53"/>
    </row>
    <row r="4225" spans="1:13" x14ac:dyDescent="0.25">
      <c r="A4225" s="21" t="str">
        <f>IF(C4225="","",COUNTA($C$3:C4225))</f>
        <v/>
      </c>
      <c r="B4225" s="35" t="str">
        <f t="shared" si="81"/>
        <v/>
      </c>
      <c r="C4225" s="33"/>
      <c r="E4225" s="60"/>
      <c r="F4225" s="18"/>
      <c r="H4225" s="49"/>
      <c r="I4225" s="49"/>
      <c r="M4225" s="53"/>
    </row>
    <row r="4226" spans="1:13" x14ac:dyDescent="0.25">
      <c r="A4226" s="21" t="str">
        <f>IF(C4226="","",COUNTA($C$3:C4226))</f>
        <v/>
      </c>
      <c r="B4226" s="35" t="str">
        <f t="shared" si="81"/>
        <v/>
      </c>
      <c r="C4226" s="33"/>
      <c r="E4226" s="60"/>
      <c r="F4226" s="18"/>
      <c r="H4226" s="49"/>
      <c r="I4226" s="49"/>
      <c r="M4226" s="53"/>
    </row>
    <row r="4227" spans="1:13" x14ac:dyDescent="0.25">
      <c r="A4227" s="21" t="str">
        <f>IF(C4227="","",COUNTA($C$3:C4227))</f>
        <v/>
      </c>
      <c r="B4227" s="35" t="str">
        <f t="shared" si="81"/>
        <v/>
      </c>
      <c r="C4227" s="33"/>
      <c r="E4227" s="60"/>
      <c r="F4227" s="18"/>
      <c r="H4227" s="49"/>
      <c r="I4227" s="49"/>
      <c r="M4227" s="53"/>
    </row>
    <row r="4228" spans="1:13" x14ac:dyDescent="0.25">
      <c r="A4228" s="21" t="str">
        <f>IF(C4228="","",COUNTA($C$3:C4228))</f>
        <v/>
      </c>
      <c r="B4228" s="35" t="str">
        <f t="shared" si="81"/>
        <v/>
      </c>
      <c r="C4228" s="33"/>
      <c r="E4228" s="60"/>
      <c r="F4228" s="18"/>
      <c r="H4228" s="49"/>
      <c r="I4228" s="49"/>
      <c r="M4228" s="53"/>
    </row>
    <row r="4229" spans="1:13" x14ac:dyDescent="0.25">
      <c r="A4229" s="21" t="str">
        <f>IF(C4229="","",COUNTA($C$3:C4229))</f>
        <v/>
      </c>
      <c r="B4229" s="35" t="str">
        <f t="shared" ref="B4229:B4292" si="82">IF(C4229="","",TEXT(C4229,"mmmm"))</f>
        <v/>
      </c>
      <c r="C4229" s="33"/>
      <c r="E4229" s="60"/>
      <c r="F4229" s="18"/>
      <c r="H4229" s="49"/>
      <c r="I4229" s="49"/>
      <c r="M4229" s="53"/>
    </row>
    <row r="4230" spans="1:13" x14ac:dyDescent="0.25">
      <c r="A4230" s="21" t="str">
        <f>IF(C4230="","",COUNTA($C$3:C4230))</f>
        <v/>
      </c>
      <c r="B4230" s="35" t="str">
        <f t="shared" si="82"/>
        <v/>
      </c>
      <c r="C4230" s="33"/>
      <c r="E4230" s="60"/>
      <c r="F4230" s="18"/>
      <c r="H4230" s="49"/>
      <c r="I4230" s="49"/>
      <c r="M4230" s="53"/>
    </row>
    <row r="4231" spans="1:13" x14ac:dyDescent="0.25">
      <c r="A4231" s="21" t="str">
        <f>IF(C4231="","",COUNTA($C$3:C4231))</f>
        <v/>
      </c>
      <c r="B4231" s="35" t="str">
        <f t="shared" si="82"/>
        <v/>
      </c>
      <c r="C4231" s="33"/>
      <c r="E4231" s="60"/>
      <c r="F4231" s="18"/>
      <c r="H4231" s="49"/>
      <c r="I4231" s="49"/>
      <c r="M4231" s="53"/>
    </row>
    <row r="4232" spans="1:13" x14ac:dyDescent="0.25">
      <c r="A4232" s="21" t="str">
        <f>IF(C4232="","",COUNTA($C$3:C4232))</f>
        <v/>
      </c>
      <c r="B4232" s="35" t="str">
        <f t="shared" si="82"/>
        <v/>
      </c>
      <c r="C4232" s="33"/>
      <c r="E4232" s="60"/>
      <c r="F4232" s="18"/>
      <c r="H4232" s="49"/>
      <c r="I4232" s="49"/>
      <c r="M4232" s="53"/>
    </row>
    <row r="4233" spans="1:13" x14ac:dyDescent="0.25">
      <c r="A4233" s="21" t="str">
        <f>IF(C4233="","",COUNTA($C$3:C4233))</f>
        <v/>
      </c>
      <c r="B4233" s="35" t="str">
        <f t="shared" si="82"/>
        <v/>
      </c>
      <c r="C4233" s="33"/>
      <c r="E4233" s="60"/>
      <c r="F4233" s="18"/>
      <c r="H4233" s="49"/>
      <c r="I4233" s="49"/>
      <c r="M4233" s="53"/>
    </row>
    <row r="4234" spans="1:13" x14ac:dyDescent="0.25">
      <c r="A4234" s="21" t="str">
        <f>IF(C4234="","",COUNTA($C$3:C4234))</f>
        <v/>
      </c>
      <c r="B4234" s="35" t="str">
        <f t="shared" si="82"/>
        <v/>
      </c>
      <c r="C4234" s="33"/>
      <c r="E4234" s="60"/>
      <c r="F4234" s="18"/>
      <c r="H4234" s="49"/>
      <c r="I4234" s="49"/>
      <c r="M4234" s="53"/>
    </row>
    <row r="4235" spans="1:13" x14ac:dyDescent="0.25">
      <c r="A4235" s="21" t="str">
        <f>IF(C4235="","",COUNTA($C$3:C4235))</f>
        <v/>
      </c>
      <c r="B4235" s="35" t="str">
        <f t="shared" si="82"/>
        <v/>
      </c>
      <c r="C4235" s="33"/>
      <c r="E4235" s="60"/>
      <c r="F4235" s="18"/>
      <c r="H4235" s="49"/>
      <c r="I4235" s="49"/>
      <c r="M4235" s="53"/>
    </row>
    <row r="4236" spans="1:13" x14ac:dyDescent="0.25">
      <c r="A4236" s="21" t="str">
        <f>IF(C4236="","",COUNTA($C$3:C4236))</f>
        <v/>
      </c>
      <c r="B4236" s="35" t="str">
        <f t="shared" si="82"/>
        <v/>
      </c>
      <c r="C4236" s="33"/>
      <c r="E4236" s="60"/>
      <c r="F4236" s="18"/>
      <c r="H4236" s="49"/>
      <c r="I4236" s="49"/>
      <c r="M4236" s="53"/>
    </row>
    <row r="4237" spans="1:13" x14ac:dyDescent="0.25">
      <c r="A4237" s="21" t="str">
        <f>IF(C4237="","",COUNTA($C$3:C4237))</f>
        <v/>
      </c>
      <c r="B4237" s="35" t="str">
        <f t="shared" si="82"/>
        <v/>
      </c>
      <c r="C4237" s="33"/>
      <c r="E4237" s="60"/>
      <c r="F4237" s="18"/>
      <c r="H4237" s="49"/>
      <c r="I4237" s="49"/>
      <c r="M4237" s="53"/>
    </row>
    <row r="4238" spans="1:13" x14ac:dyDescent="0.25">
      <c r="A4238" s="21" t="str">
        <f>IF(C4238="","",COUNTA($C$3:C4238))</f>
        <v/>
      </c>
      <c r="B4238" s="35" t="str">
        <f t="shared" si="82"/>
        <v/>
      </c>
      <c r="C4238" s="33"/>
      <c r="E4238" s="60"/>
      <c r="F4238" s="18"/>
      <c r="H4238" s="49"/>
      <c r="I4238" s="49"/>
      <c r="M4238" s="53"/>
    </row>
    <row r="4239" spans="1:13" x14ac:dyDescent="0.25">
      <c r="A4239" s="21" t="str">
        <f>IF(C4239="","",COUNTA($C$3:C4239))</f>
        <v/>
      </c>
      <c r="B4239" s="35" t="str">
        <f t="shared" si="82"/>
        <v/>
      </c>
      <c r="C4239" s="33"/>
      <c r="E4239" s="60"/>
      <c r="F4239" s="18"/>
      <c r="H4239" s="49"/>
      <c r="I4239" s="76"/>
      <c r="M4239" s="53"/>
    </row>
    <row r="4240" spans="1:13" x14ac:dyDescent="0.25">
      <c r="A4240" s="21" t="str">
        <f>IF(C4240="","",COUNTA($C$3:C4240))</f>
        <v/>
      </c>
      <c r="B4240" s="35" t="str">
        <f t="shared" si="82"/>
        <v/>
      </c>
      <c r="C4240" s="33"/>
      <c r="E4240" s="60"/>
      <c r="F4240" s="18"/>
      <c r="H4240" s="49"/>
      <c r="I4240" s="49"/>
      <c r="M4240" s="53"/>
    </row>
    <row r="4241" spans="1:17" x14ac:dyDescent="0.25">
      <c r="A4241" s="21" t="str">
        <f>IF(C4241="","",COUNTA($C$3:C4241))</f>
        <v/>
      </c>
      <c r="B4241" s="35" t="str">
        <f t="shared" si="82"/>
        <v/>
      </c>
      <c r="C4241" s="33"/>
      <c r="E4241" s="60"/>
      <c r="F4241" s="18"/>
      <c r="H4241" s="49"/>
      <c r="I4241" s="49"/>
      <c r="M4241" s="53"/>
    </row>
    <row r="4242" spans="1:17" x14ac:dyDescent="0.25">
      <c r="A4242" s="21" t="str">
        <f>IF(C4242="","",COUNTA($C$3:C4242))</f>
        <v/>
      </c>
      <c r="B4242" s="35" t="str">
        <f t="shared" si="82"/>
        <v/>
      </c>
      <c r="C4242" s="33"/>
      <c r="E4242" s="60"/>
      <c r="F4242" s="18"/>
      <c r="H4242" s="49"/>
      <c r="I4242" s="49"/>
      <c r="M4242" s="53"/>
    </row>
    <row r="4243" spans="1:17" x14ac:dyDescent="0.25">
      <c r="A4243" s="21" t="str">
        <f>IF(C4243="","",COUNTA($C$3:C4243))</f>
        <v/>
      </c>
      <c r="B4243" s="35" t="str">
        <f t="shared" si="82"/>
        <v/>
      </c>
      <c r="C4243" s="33"/>
      <c r="E4243" s="60"/>
      <c r="F4243" s="18"/>
      <c r="H4243" s="49"/>
      <c r="I4243" s="49"/>
      <c r="M4243" s="53"/>
    </row>
    <row r="4244" spans="1:17" x14ac:dyDescent="0.25">
      <c r="A4244" s="21" t="str">
        <f>IF(C4244="","",COUNTA($C$3:C4244))</f>
        <v/>
      </c>
      <c r="B4244" s="35" t="str">
        <f t="shared" si="82"/>
        <v/>
      </c>
      <c r="C4244" s="33"/>
      <c r="E4244" s="60"/>
      <c r="F4244" s="18"/>
      <c r="H4244" s="49"/>
      <c r="I4244" s="49"/>
      <c r="M4244" s="53"/>
    </row>
    <row r="4245" spans="1:17" x14ac:dyDescent="0.25">
      <c r="A4245" s="21" t="str">
        <f>IF(C4245="","",COUNTA($C$3:C4245))</f>
        <v/>
      </c>
      <c r="B4245" s="35" t="str">
        <f t="shared" si="82"/>
        <v/>
      </c>
      <c r="C4245" s="33"/>
      <c r="E4245" s="60"/>
      <c r="F4245" s="18"/>
      <c r="H4245" s="49"/>
      <c r="I4245" s="49"/>
      <c r="M4245" s="53"/>
    </row>
    <row r="4246" spans="1:17" x14ac:dyDescent="0.25">
      <c r="A4246" s="21" t="str">
        <f>IF(C4246="","",COUNTA($C$3:C4246))</f>
        <v/>
      </c>
      <c r="B4246" s="35" t="str">
        <f t="shared" si="82"/>
        <v/>
      </c>
      <c r="C4246" s="33"/>
      <c r="E4246" s="60"/>
      <c r="F4246" s="18"/>
      <c r="H4246" s="49"/>
      <c r="I4246" s="49"/>
      <c r="M4246" s="53"/>
    </row>
    <row r="4247" spans="1:17" x14ac:dyDescent="0.25">
      <c r="A4247" s="21" t="str">
        <f>IF(C4247="","",COUNTA($C$3:C4247))</f>
        <v/>
      </c>
      <c r="B4247" s="35" t="str">
        <f t="shared" si="82"/>
        <v/>
      </c>
      <c r="C4247" s="33"/>
      <c r="E4247" s="60"/>
      <c r="F4247" s="18"/>
      <c r="H4247" s="49"/>
      <c r="I4247" s="49"/>
      <c r="M4247" s="53"/>
    </row>
    <row r="4248" spans="1:17" x14ac:dyDescent="0.25">
      <c r="A4248" s="21" t="str">
        <f>IF(C4248="","",COUNTA($C$3:C4248))</f>
        <v/>
      </c>
      <c r="B4248" s="35" t="str">
        <f t="shared" si="82"/>
        <v/>
      </c>
      <c r="C4248" s="33"/>
      <c r="E4248" s="60"/>
      <c r="F4248" s="18"/>
      <c r="H4248" s="49"/>
      <c r="I4248" s="49"/>
      <c r="M4248" s="53"/>
    </row>
    <row r="4249" spans="1:17" x14ac:dyDescent="0.25">
      <c r="A4249" s="21" t="str">
        <f>IF(C4249="","",COUNTA($C$3:C4249))</f>
        <v/>
      </c>
      <c r="B4249" s="35" t="str">
        <f t="shared" si="82"/>
        <v/>
      </c>
      <c r="C4249" s="33"/>
      <c r="E4249" s="60"/>
      <c r="F4249" s="18"/>
      <c r="G4249" s="18"/>
      <c r="H4249" s="49"/>
      <c r="I4249" s="49"/>
      <c r="M4249" s="53"/>
    </row>
    <row r="4250" spans="1:17" x14ac:dyDescent="0.25">
      <c r="A4250" s="21" t="str">
        <f>IF(C4250="","",COUNTA($C$3:C4250))</f>
        <v/>
      </c>
      <c r="B4250" s="35" t="str">
        <f t="shared" si="82"/>
        <v/>
      </c>
      <c r="C4250" s="33"/>
      <c r="E4250" s="60"/>
      <c r="F4250" s="18"/>
      <c r="H4250" s="49"/>
      <c r="I4250" s="49"/>
      <c r="M4250" s="53"/>
    </row>
    <row r="4251" spans="1:17" x14ac:dyDescent="0.25">
      <c r="A4251" s="21" t="str">
        <f>IF(C4251="","",COUNTA($C$3:C4251))</f>
        <v/>
      </c>
      <c r="B4251" s="35" t="str">
        <f t="shared" si="82"/>
        <v/>
      </c>
      <c r="C4251" s="33"/>
      <c r="E4251" s="60"/>
      <c r="F4251" s="18"/>
      <c r="H4251" s="49"/>
      <c r="I4251" s="49"/>
      <c r="M4251" s="53"/>
    </row>
    <row r="4252" spans="1:17" x14ac:dyDescent="0.25">
      <c r="A4252" s="21" t="str">
        <f>IF(C4252="","",COUNTA($C$3:C4252))</f>
        <v/>
      </c>
      <c r="B4252" s="35" t="str">
        <f t="shared" si="82"/>
        <v/>
      </c>
      <c r="C4252" s="33"/>
      <c r="E4252" s="60"/>
      <c r="F4252" s="18"/>
      <c r="H4252" s="49"/>
      <c r="I4252" s="49"/>
      <c r="M4252" s="53"/>
      <c r="O4252" s="59"/>
      <c r="P4252" s="59"/>
      <c r="Q4252" s="59"/>
    </row>
    <row r="4253" spans="1:17" x14ac:dyDescent="0.25">
      <c r="A4253" s="21" t="str">
        <f>IF(C4253="","",COUNTA($C$3:C4253))</f>
        <v/>
      </c>
      <c r="B4253" s="35" t="str">
        <f t="shared" si="82"/>
        <v/>
      </c>
      <c r="C4253" s="33"/>
      <c r="E4253" s="60"/>
      <c r="F4253" s="18"/>
      <c r="H4253" s="49"/>
      <c r="I4253" s="49"/>
      <c r="M4253" s="53"/>
    </row>
    <row r="4254" spans="1:17" x14ac:dyDescent="0.25">
      <c r="A4254" s="21" t="str">
        <f>IF(C4254="","",COUNTA($C$3:C4254))</f>
        <v/>
      </c>
      <c r="B4254" s="35" t="str">
        <f t="shared" si="82"/>
        <v/>
      </c>
      <c r="C4254" s="33"/>
      <c r="E4254" s="60"/>
      <c r="F4254" s="18"/>
      <c r="H4254" s="49"/>
      <c r="I4254" s="49"/>
      <c r="M4254" s="53"/>
    </row>
    <row r="4255" spans="1:17" x14ac:dyDescent="0.25">
      <c r="A4255" s="21" t="str">
        <f>IF(C4255="","",COUNTA($C$3:C4255))</f>
        <v/>
      </c>
      <c r="B4255" s="35" t="str">
        <f t="shared" si="82"/>
        <v/>
      </c>
      <c r="C4255" s="33"/>
      <c r="E4255" s="60"/>
      <c r="F4255" s="18"/>
      <c r="H4255" s="49"/>
      <c r="I4255" s="49"/>
      <c r="M4255" s="53"/>
    </row>
    <row r="4256" spans="1:17" x14ac:dyDescent="0.25">
      <c r="A4256" s="21" t="str">
        <f>IF(C4256="","",COUNTA($C$3:C4256))</f>
        <v/>
      </c>
      <c r="B4256" s="35" t="str">
        <f t="shared" si="82"/>
        <v/>
      </c>
      <c r="C4256" s="33"/>
      <c r="E4256" s="60"/>
      <c r="F4256" s="18"/>
      <c r="H4256" s="49"/>
      <c r="I4256" s="49"/>
      <c r="M4256" s="53"/>
    </row>
    <row r="4257" spans="1:17" x14ac:dyDescent="0.25">
      <c r="A4257" s="21" t="str">
        <f>IF(C4257="","",COUNTA($C$3:C4257))</f>
        <v/>
      </c>
      <c r="B4257" s="35" t="str">
        <f t="shared" si="82"/>
        <v/>
      </c>
      <c r="C4257" s="33"/>
      <c r="E4257" s="60"/>
      <c r="F4257" s="18"/>
      <c r="H4257" s="49"/>
      <c r="I4257" s="49"/>
      <c r="M4257" s="53"/>
    </row>
    <row r="4258" spans="1:17" x14ac:dyDescent="0.25">
      <c r="A4258" s="21" t="str">
        <f>IF(C4258="","",COUNTA($C$3:C4258))</f>
        <v/>
      </c>
      <c r="B4258" s="35" t="str">
        <f t="shared" si="82"/>
        <v/>
      </c>
      <c r="C4258" s="33"/>
      <c r="E4258" s="60"/>
      <c r="F4258" s="18"/>
      <c r="H4258" s="49"/>
      <c r="I4258" s="49"/>
      <c r="M4258" s="53"/>
    </row>
    <row r="4259" spans="1:17" x14ac:dyDescent="0.25">
      <c r="A4259" s="21" t="str">
        <f>IF(C4259="","",COUNTA($C$3:C4259))</f>
        <v/>
      </c>
      <c r="B4259" s="35" t="str">
        <f t="shared" si="82"/>
        <v/>
      </c>
      <c r="C4259" s="33"/>
      <c r="E4259" s="60"/>
      <c r="F4259" s="18"/>
      <c r="H4259" s="49"/>
      <c r="I4259" s="49"/>
      <c r="M4259" s="53"/>
    </row>
    <row r="4260" spans="1:17" x14ac:dyDescent="0.25">
      <c r="A4260" s="21" t="str">
        <f>IF(C4260="","",COUNTA($C$3:C4260))</f>
        <v/>
      </c>
      <c r="B4260" s="35" t="str">
        <f t="shared" si="82"/>
        <v/>
      </c>
      <c r="C4260" s="33"/>
      <c r="E4260" s="60"/>
      <c r="F4260" s="18"/>
      <c r="H4260" s="49"/>
      <c r="I4260" s="49"/>
      <c r="M4260" s="53"/>
    </row>
    <row r="4261" spans="1:17" x14ac:dyDescent="0.25">
      <c r="A4261" s="21" t="str">
        <f>IF(C4261="","",COUNTA($C$3:C4261))</f>
        <v/>
      </c>
      <c r="B4261" s="35" t="str">
        <f t="shared" si="82"/>
        <v/>
      </c>
      <c r="C4261" s="33"/>
      <c r="E4261" s="60"/>
      <c r="F4261" s="18"/>
      <c r="H4261" s="49"/>
      <c r="I4261" s="49"/>
      <c r="M4261" s="53"/>
    </row>
    <row r="4262" spans="1:17" x14ac:dyDescent="0.25">
      <c r="A4262" s="21" t="str">
        <f>IF(C4262="","",COUNTA($C$3:C4262))</f>
        <v/>
      </c>
      <c r="B4262" s="35" t="str">
        <f t="shared" si="82"/>
        <v/>
      </c>
      <c r="C4262" s="33"/>
      <c r="E4262" s="60"/>
      <c r="F4262" s="18"/>
      <c r="H4262" s="49"/>
      <c r="I4262" s="49"/>
      <c r="M4262" s="53"/>
    </row>
    <row r="4263" spans="1:17" x14ac:dyDescent="0.25">
      <c r="A4263" s="21" t="str">
        <f>IF(C4263="","",COUNTA($C$3:C4263))</f>
        <v/>
      </c>
      <c r="B4263" s="35" t="str">
        <f t="shared" si="82"/>
        <v/>
      </c>
      <c r="C4263" s="33"/>
      <c r="E4263" s="60"/>
      <c r="F4263" s="18"/>
      <c r="H4263" s="49"/>
      <c r="I4263" s="49"/>
      <c r="M4263" s="53"/>
    </row>
    <row r="4264" spans="1:17" x14ac:dyDescent="0.25">
      <c r="A4264" s="21" t="str">
        <f>IF(C4264="","",COUNTA($C$3:C4264))</f>
        <v/>
      </c>
      <c r="B4264" s="35" t="str">
        <f t="shared" si="82"/>
        <v/>
      </c>
      <c r="C4264" s="33"/>
      <c r="E4264" s="60"/>
      <c r="F4264" s="18"/>
      <c r="H4264" s="49"/>
      <c r="I4264" s="49"/>
      <c r="M4264" s="53"/>
    </row>
    <row r="4265" spans="1:17" x14ac:dyDescent="0.25">
      <c r="A4265" s="21" t="str">
        <f>IF(C4265="","",COUNTA($C$3:C4265))</f>
        <v/>
      </c>
      <c r="B4265" s="35" t="str">
        <f t="shared" si="82"/>
        <v/>
      </c>
      <c r="C4265" s="33"/>
      <c r="E4265" s="60"/>
      <c r="F4265" s="18"/>
      <c r="H4265" s="49"/>
      <c r="I4265" s="49"/>
      <c r="M4265" s="53"/>
    </row>
    <row r="4266" spans="1:17" x14ac:dyDescent="0.25">
      <c r="A4266" s="21" t="str">
        <f>IF(C4266="","",COUNTA($C$3:C4266))</f>
        <v/>
      </c>
      <c r="B4266" s="35" t="str">
        <f t="shared" si="82"/>
        <v/>
      </c>
      <c r="C4266" s="33"/>
      <c r="E4266" s="60"/>
      <c r="F4266" s="18"/>
      <c r="H4266" s="49"/>
      <c r="I4266" s="49"/>
      <c r="M4266" s="53"/>
    </row>
    <row r="4267" spans="1:17" x14ac:dyDescent="0.25">
      <c r="A4267" s="21" t="str">
        <f>IF(C4267="","",COUNTA($C$3:C4267))</f>
        <v/>
      </c>
      <c r="B4267" s="35" t="str">
        <f t="shared" si="82"/>
        <v/>
      </c>
      <c r="C4267" s="33"/>
      <c r="E4267" s="60"/>
      <c r="F4267" s="18"/>
      <c r="H4267" s="49"/>
      <c r="I4267" s="49"/>
      <c r="M4267" s="53"/>
    </row>
    <row r="4268" spans="1:17" x14ac:dyDescent="0.25">
      <c r="A4268" s="21" t="str">
        <f>IF(C4268="","",COUNTA($C$3:C4268))</f>
        <v/>
      </c>
      <c r="B4268" s="35" t="str">
        <f t="shared" si="82"/>
        <v/>
      </c>
      <c r="C4268" s="33"/>
      <c r="E4268" s="60"/>
      <c r="F4268" s="18"/>
      <c r="H4268" s="49"/>
      <c r="I4268" s="49"/>
      <c r="M4268" s="53"/>
    </row>
    <row r="4269" spans="1:17" x14ac:dyDescent="0.25">
      <c r="A4269" s="21" t="str">
        <f>IF(C4269="","",COUNTA($C$3:C4269))</f>
        <v/>
      </c>
      <c r="B4269" s="35" t="str">
        <f t="shared" si="82"/>
        <v/>
      </c>
      <c r="C4269" s="33"/>
      <c r="E4269" s="60"/>
      <c r="F4269" s="18"/>
      <c r="H4269" s="49"/>
      <c r="I4269" s="49"/>
      <c r="M4269" s="53"/>
    </row>
    <row r="4270" spans="1:17" x14ac:dyDescent="0.25">
      <c r="A4270" s="21" t="str">
        <f>IF(C4270="","",COUNTA($C$3:C4270))</f>
        <v/>
      </c>
      <c r="B4270" s="35" t="str">
        <f t="shared" si="82"/>
        <v/>
      </c>
      <c r="C4270" s="33"/>
      <c r="E4270" s="60"/>
      <c r="F4270" s="18"/>
      <c r="H4270" s="49"/>
      <c r="I4270" s="49"/>
      <c r="M4270" s="53"/>
    </row>
    <row r="4271" spans="1:17" x14ac:dyDescent="0.25">
      <c r="A4271" s="21" t="str">
        <f>IF(C4271="","",COUNTA($C$3:C4271))</f>
        <v/>
      </c>
      <c r="B4271" s="35" t="str">
        <f t="shared" si="82"/>
        <v/>
      </c>
      <c r="C4271" s="33"/>
      <c r="E4271" s="60"/>
      <c r="F4271" s="18"/>
      <c r="H4271" s="49"/>
      <c r="I4271" s="49"/>
      <c r="M4271" s="53"/>
    </row>
    <row r="4272" spans="1:17" x14ac:dyDescent="0.25">
      <c r="A4272" s="21" t="str">
        <f>IF(C4272="","",COUNTA($C$3:C4272))</f>
        <v/>
      </c>
      <c r="B4272" s="35" t="str">
        <f t="shared" si="82"/>
        <v/>
      </c>
      <c r="C4272" s="33"/>
      <c r="E4272" s="60"/>
      <c r="F4272" s="18"/>
      <c r="H4272" s="49"/>
      <c r="I4272" s="49"/>
      <c r="M4272" s="53"/>
      <c r="O4272" s="59"/>
      <c r="P4272" s="112"/>
      <c r="Q4272" s="59"/>
    </row>
    <row r="4273" spans="1:17" x14ac:dyDescent="0.25">
      <c r="A4273" s="21" t="str">
        <f>IF(C4273="","",COUNTA($C$3:C4273))</f>
        <v/>
      </c>
      <c r="B4273" s="35" t="str">
        <f t="shared" si="82"/>
        <v/>
      </c>
      <c r="C4273" s="33"/>
      <c r="E4273" s="60"/>
      <c r="F4273" s="18"/>
      <c r="H4273" s="49"/>
      <c r="I4273" s="49"/>
      <c r="K4273" s="55"/>
      <c r="M4273" s="53"/>
    </row>
    <row r="4274" spans="1:17" x14ac:dyDescent="0.25">
      <c r="A4274" s="21" t="str">
        <f>IF(C4274="","",COUNTA($C$3:C4274))</f>
        <v/>
      </c>
      <c r="B4274" s="35" t="str">
        <f t="shared" si="82"/>
        <v/>
      </c>
      <c r="C4274" s="33"/>
      <c r="E4274" s="60"/>
      <c r="F4274" s="18"/>
      <c r="H4274" s="49"/>
      <c r="I4274" s="49"/>
      <c r="M4274" s="53"/>
    </row>
    <row r="4275" spans="1:17" x14ac:dyDescent="0.25">
      <c r="A4275" s="21" t="str">
        <f>IF(C4275="","",COUNTA($C$3:C4275))</f>
        <v/>
      </c>
      <c r="B4275" s="35" t="str">
        <f t="shared" si="82"/>
        <v/>
      </c>
      <c r="C4275" s="33"/>
      <c r="E4275" s="60"/>
      <c r="F4275" s="18"/>
      <c r="H4275" s="49"/>
      <c r="I4275" s="49"/>
      <c r="M4275" s="53"/>
    </row>
    <row r="4276" spans="1:17" x14ac:dyDescent="0.25">
      <c r="A4276" s="21" t="str">
        <f>IF(C4276="","",COUNTA($C$3:C4276))</f>
        <v/>
      </c>
      <c r="B4276" s="35" t="str">
        <f t="shared" si="82"/>
        <v/>
      </c>
      <c r="C4276" s="33"/>
      <c r="E4276" s="60"/>
      <c r="F4276" s="18"/>
      <c r="H4276" s="49"/>
      <c r="I4276" s="49"/>
      <c r="M4276" s="53"/>
    </row>
    <row r="4277" spans="1:17" x14ac:dyDescent="0.25">
      <c r="A4277" s="21" t="str">
        <f>IF(C4277="","",COUNTA($C$3:C4277))</f>
        <v/>
      </c>
      <c r="B4277" s="35" t="str">
        <f t="shared" si="82"/>
        <v/>
      </c>
      <c r="C4277" s="33"/>
      <c r="E4277" s="60"/>
      <c r="F4277" s="18"/>
      <c r="H4277" s="49"/>
      <c r="I4277" s="49"/>
      <c r="M4277" s="53"/>
    </row>
    <row r="4278" spans="1:17" x14ac:dyDescent="0.25">
      <c r="A4278" s="21" t="str">
        <f>IF(C4278="","",COUNTA($C$3:C4278))</f>
        <v/>
      </c>
      <c r="B4278" s="35" t="str">
        <f t="shared" si="82"/>
        <v/>
      </c>
      <c r="C4278" s="33"/>
      <c r="E4278" s="60"/>
      <c r="F4278" s="18"/>
      <c r="H4278" s="49"/>
      <c r="I4278" s="49"/>
      <c r="M4278" s="53"/>
      <c r="O4278" s="59"/>
      <c r="P4278" s="59"/>
      <c r="Q4278" s="59"/>
    </row>
    <row r="4279" spans="1:17" x14ac:dyDescent="0.25">
      <c r="A4279" s="21" t="str">
        <f>IF(C4279="","",COUNTA($C$3:C4279))</f>
        <v/>
      </c>
      <c r="B4279" s="35" t="str">
        <f t="shared" si="82"/>
        <v/>
      </c>
      <c r="C4279" s="33"/>
      <c r="E4279" s="60"/>
      <c r="F4279" s="18"/>
      <c r="H4279" s="49"/>
      <c r="I4279" s="49"/>
      <c r="M4279" s="53"/>
    </row>
    <row r="4280" spans="1:17" x14ac:dyDescent="0.25">
      <c r="A4280" s="21" t="str">
        <f>IF(C4280="","",COUNTA($C$3:C4280))</f>
        <v/>
      </c>
      <c r="B4280" s="35" t="str">
        <f t="shared" si="82"/>
        <v/>
      </c>
      <c r="C4280" s="33"/>
      <c r="E4280" s="60"/>
      <c r="F4280" s="18"/>
      <c r="H4280" s="49"/>
      <c r="I4280" s="49"/>
      <c r="M4280" s="53"/>
    </row>
    <row r="4281" spans="1:17" x14ac:dyDescent="0.25">
      <c r="A4281" s="21" t="str">
        <f>IF(C4281="","",COUNTA($C$3:C4281))</f>
        <v/>
      </c>
      <c r="B4281" s="35" t="str">
        <f t="shared" si="82"/>
        <v/>
      </c>
      <c r="C4281" s="33"/>
      <c r="E4281" s="60"/>
      <c r="F4281" s="18"/>
      <c r="H4281" s="49"/>
      <c r="I4281" s="49"/>
      <c r="M4281" s="53"/>
    </row>
    <row r="4282" spans="1:17" x14ac:dyDescent="0.25">
      <c r="A4282" s="21" t="str">
        <f>IF(C4282="","",COUNTA($C$3:C4282))</f>
        <v/>
      </c>
      <c r="B4282" s="35" t="str">
        <f t="shared" si="82"/>
        <v/>
      </c>
      <c r="C4282" s="33"/>
      <c r="E4282" s="60"/>
      <c r="F4282" s="18"/>
      <c r="H4282" s="49"/>
      <c r="I4282" s="49"/>
      <c r="M4282" s="53"/>
    </row>
    <row r="4283" spans="1:17" x14ac:dyDescent="0.25">
      <c r="A4283" s="21" t="str">
        <f>IF(C4283="","",COUNTA($C$3:C4283))</f>
        <v/>
      </c>
      <c r="B4283" s="35" t="str">
        <f t="shared" si="82"/>
        <v/>
      </c>
      <c r="C4283" s="33"/>
      <c r="E4283" s="60"/>
      <c r="F4283" s="18"/>
      <c r="H4283" s="49"/>
      <c r="I4283" s="49"/>
      <c r="M4283" s="53"/>
    </row>
    <row r="4284" spans="1:17" x14ac:dyDescent="0.25">
      <c r="A4284" s="21" t="str">
        <f>IF(C4284="","",COUNTA($C$3:C4284))</f>
        <v/>
      </c>
      <c r="B4284" s="35" t="str">
        <f t="shared" si="82"/>
        <v/>
      </c>
      <c r="C4284" s="33"/>
      <c r="E4284" s="60"/>
      <c r="F4284" s="18"/>
      <c r="H4284" s="49"/>
      <c r="I4284" s="49"/>
      <c r="M4284" s="53"/>
    </row>
    <row r="4285" spans="1:17" x14ac:dyDescent="0.25">
      <c r="A4285" s="21" t="str">
        <f>IF(C4285="","",COUNTA($C$3:C4285))</f>
        <v/>
      </c>
      <c r="B4285" s="35" t="str">
        <f t="shared" si="82"/>
        <v/>
      </c>
      <c r="C4285" s="33"/>
      <c r="E4285" s="60"/>
      <c r="F4285" s="18"/>
      <c r="H4285" s="49"/>
      <c r="I4285" s="49"/>
      <c r="M4285" s="53"/>
    </row>
    <row r="4286" spans="1:17" x14ac:dyDescent="0.25">
      <c r="A4286" s="21" t="str">
        <f>IF(C4286="","",COUNTA($C$3:C4286))</f>
        <v/>
      </c>
      <c r="B4286" s="35" t="str">
        <f t="shared" si="82"/>
        <v/>
      </c>
      <c r="C4286" s="33"/>
      <c r="E4286" s="60"/>
      <c r="F4286" s="18"/>
      <c r="H4286" s="49"/>
      <c r="I4286" s="49"/>
      <c r="M4286" s="53"/>
    </row>
    <row r="4287" spans="1:17" x14ac:dyDescent="0.25">
      <c r="A4287" s="21" t="str">
        <f>IF(C4287="","",COUNTA($C$3:C4287))</f>
        <v/>
      </c>
      <c r="B4287" s="35" t="str">
        <f t="shared" si="82"/>
        <v/>
      </c>
      <c r="C4287" s="33"/>
      <c r="E4287" s="60"/>
      <c r="F4287" s="18"/>
      <c r="H4287" s="49"/>
      <c r="I4287" s="49"/>
      <c r="M4287" s="53"/>
    </row>
    <row r="4288" spans="1:17" x14ac:dyDescent="0.25">
      <c r="A4288" s="21" t="str">
        <f>IF(C4288="","",COUNTA($C$3:C4288))</f>
        <v/>
      </c>
      <c r="B4288" s="35" t="str">
        <f t="shared" si="82"/>
        <v/>
      </c>
      <c r="C4288" s="33"/>
      <c r="E4288" s="60"/>
      <c r="F4288" s="18"/>
      <c r="H4288" s="49"/>
      <c r="I4288" s="49"/>
      <c r="M4288" s="53"/>
    </row>
    <row r="4289" spans="1:17" x14ac:dyDescent="0.25">
      <c r="A4289" s="21" t="str">
        <f>IF(C4289="","",COUNTA($C$3:C4289))</f>
        <v/>
      </c>
      <c r="B4289" s="35" t="str">
        <f t="shared" si="82"/>
        <v/>
      </c>
      <c r="C4289" s="33"/>
      <c r="E4289" s="60"/>
      <c r="F4289" s="18"/>
      <c r="H4289" s="49"/>
      <c r="I4289" s="49"/>
      <c r="M4289" s="53"/>
    </row>
    <row r="4290" spans="1:17" x14ac:dyDescent="0.25">
      <c r="A4290" s="21" t="str">
        <f>IF(C4290="","",COUNTA($C$3:C4290))</f>
        <v/>
      </c>
      <c r="B4290" s="35" t="str">
        <f t="shared" si="82"/>
        <v/>
      </c>
      <c r="C4290" s="33"/>
      <c r="E4290" s="60"/>
      <c r="F4290" s="18"/>
      <c r="H4290" s="49"/>
      <c r="I4290" s="49"/>
      <c r="M4290" s="53"/>
      <c r="O4290" s="59"/>
      <c r="P4290" s="59"/>
      <c r="Q4290" s="59"/>
    </row>
    <row r="4291" spans="1:17" x14ac:dyDescent="0.25">
      <c r="A4291" s="21" t="str">
        <f>IF(C4291="","",COUNTA($C$3:C4291))</f>
        <v/>
      </c>
      <c r="B4291" s="35" t="str">
        <f t="shared" si="82"/>
        <v/>
      </c>
      <c r="C4291" s="33"/>
      <c r="E4291" s="60"/>
      <c r="F4291" s="18"/>
      <c r="H4291" s="49"/>
      <c r="I4291" s="49"/>
      <c r="M4291" s="53"/>
    </row>
    <row r="4292" spans="1:17" x14ac:dyDescent="0.25">
      <c r="A4292" s="21" t="str">
        <f>IF(C4292="","",COUNTA($C$3:C4292))</f>
        <v/>
      </c>
      <c r="B4292" s="35" t="str">
        <f t="shared" si="82"/>
        <v/>
      </c>
      <c r="C4292" s="33"/>
      <c r="E4292" s="60"/>
      <c r="F4292" s="18"/>
      <c r="H4292" s="49"/>
      <c r="I4292" s="49"/>
      <c r="M4292" s="53"/>
    </row>
    <row r="4293" spans="1:17" x14ac:dyDescent="0.25">
      <c r="A4293" s="21" t="str">
        <f>IF(C4293="","",COUNTA($C$3:C4293))</f>
        <v/>
      </c>
      <c r="B4293" s="35" t="str">
        <f t="shared" ref="B4293:B4356" si="83">IF(C4293="","",TEXT(C4293,"mmmm"))</f>
        <v/>
      </c>
      <c r="C4293" s="33"/>
      <c r="E4293" s="60"/>
      <c r="F4293" s="18"/>
      <c r="H4293" s="49"/>
      <c r="I4293" s="49"/>
      <c r="M4293" s="53"/>
    </row>
    <row r="4294" spans="1:17" x14ac:dyDescent="0.25">
      <c r="A4294" s="21" t="str">
        <f>IF(C4294="","",COUNTA($C$3:C4294))</f>
        <v/>
      </c>
      <c r="B4294" s="35" t="str">
        <f t="shared" si="83"/>
        <v/>
      </c>
      <c r="C4294" s="33"/>
      <c r="E4294" s="60"/>
      <c r="F4294" s="18"/>
      <c r="H4294" s="49"/>
      <c r="I4294" s="49"/>
      <c r="M4294" s="53"/>
    </row>
    <row r="4295" spans="1:17" x14ac:dyDescent="0.25">
      <c r="A4295" s="21" t="str">
        <f>IF(C4295="","",COUNTA($C$3:C4295))</f>
        <v/>
      </c>
      <c r="B4295" s="35" t="str">
        <f t="shared" si="83"/>
        <v/>
      </c>
      <c r="C4295" s="33"/>
      <c r="E4295" s="60"/>
      <c r="F4295" s="18"/>
      <c r="H4295" s="49"/>
      <c r="I4295" s="49"/>
      <c r="M4295" s="53"/>
    </row>
    <row r="4296" spans="1:17" x14ac:dyDescent="0.25">
      <c r="A4296" s="21" t="str">
        <f>IF(C4296="","",COUNTA($C$3:C4296))</f>
        <v/>
      </c>
      <c r="B4296" s="35" t="str">
        <f t="shared" si="83"/>
        <v/>
      </c>
      <c r="C4296" s="33"/>
      <c r="E4296" s="60"/>
      <c r="F4296" s="18"/>
      <c r="H4296" s="49"/>
      <c r="I4296" s="49"/>
      <c r="M4296" s="53"/>
    </row>
    <row r="4297" spans="1:17" x14ac:dyDescent="0.25">
      <c r="A4297" s="21" t="str">
        <f>IF(C4297="","",COUNTA($C$3:C4297))</f>
        <v/>
      </c>
      <c r="B4297" s="35" t="str">
        <f t="shared" si="83"/>
        <v/>
      </c>
      <c r="C4297" s="33"/>
      <c r="E4297" s="60"/>
      <c r="F4297" s="18"/>
      <c r="H4297" s="49"/>
      <c r="I4297" s="49"/>
      <c r="M4297" s="53"/>
    </row>
    <row r="4298" spans="1:17" x14ac:dyDescent="0.25">
      <c r="A4298" s="21" t="str">
        <f>IF(C4298="","",COUNTA($C$3:C4298))</f>
        <v/>
      </c>
      <c r="B4298" s="35" t="str">
        <f t="shared" si="83"/>
        <v/>
      </c>
      <c r="C4298" s="33"/>
      <c r="E4298" s="60"/>
      <c r="F4298" s="18"/>
      <c r="H4298" s="49"/>
      <c r="I4298" s="49"/>
      <c r="M4298" s="53"/>
    </row>
    <row r="4299" spans="1:17" x14ac:dyDescent="0.25">
      <c r="A4299" s="21" t="str">
        <f>IF(C4299="","",COUNTA($C$3:C4299))</f>
        <v/>
      </c>
      <c r="B4299" s="35" t="str">
        <f t="shared" si="83"/>
        <v/>
      </c>
      <c r="C4299" s="33"/>
      <c r="E4299" s="60"/>
      <c r="F4299" s="18"/>
      <c r="H4299" s="49"/>
      <c r="I4299" s="49"/>
      <c r="M4299" s="53"/>
    </row>
    <row r="4300" spans="1:17" x14ac:dyDescent="0.25">
      <c r="A4300" s="21" t="str">
        <f>IF(C4300="","",COUNTA($C$3:C4300))</f>
        <v/>
      </c>
      <c r="B4300" s="35" t="str">
        <f t="shared" si="83"/>
        <v/>
      </c>
      <c r="C4300" s="33"/>
      <c r="E4300" s="60"/>
      <c r="F4300" s="18"/>
      <c r="H4300" s="49"/>
      <c r="I4300" s="49"/>
      <c r="M4300" s="53"/>
    </row>
    <row r="4301" spans="1:17" x14ac:dyDescent="0.25">
      <c r="A4301" s="21" t="str">
        <f>IF(C4301="","",COUNTA($C$3:C4301))</f>
        <v/>
      </c>
      <c r="B4301" s="35" t="str">
        <f t="shared" si="83"/>
        <v/>
      </c>
      <c r="C4301" s="33"/>
      <c r="E4301" s="60"/>
      <c r="F4301" s="18"/>
      <c r="H4301" s="49"/>
      <c r="I4301" s="49"/>
      <c r="M4301" s="53"/>
    </row>
    <row r="4302" spans="1:17" x14ac:dyDescent="0.25">
      <c r="A4302" s="21" t="str">
        <f>IF(C4302="","",COUNTA($C$3:C4302))</f>
        <v/>
      </c>
      <c r="B4302" s="35" t="str">
        <f t="shared" si="83"/>
        <v/>
      </c>
      <c r="C4302" s="33"/>
      <c r="E4302" s="60"/>
      <c r="F4302" s="18"/>
      <c r="H4302" s="49"/>
      <c r="I4302" s="49"/>
      <c r="M4302" s="53"/>
    </row>
    <row r="4303" spans="1:17" x14ac:dyDescent="0.25">
      <c r="A4303" s="21" t="str">
        <f>IF(C4303="","",COUNTA($C$3:C4303))</f>
        <v/>
      </c>
      <c r="B4303" s="35" t="str">
        <f t="shared" si="83"/>
        <v/>
      </c>
      <c r="C4303" s="33"/>
      <c r="E4303" s="60"/>
      <c r="F4303" s="18"/>
      <c r="H4303" s="49"/>
      <c r="I4303" s="49"/>
      <c r="M4303" s="53"/>
      <c r="O4303" s="59"/>
      <c r="P4303" s="59"/>
      <c r="Q4303" s="59"/>
    </row>
    <row r="4304" spans="1:17" x14ac:dyDescent="0.25">
      <c r="A4304" s="21" t="str">
        <f>IF(C4304="","",COUNTA($C$3:C4304))</f>
        <v/>
      </c>
      <c r="B4304" s="35" t="str">
        <f t="shared" si="83"/>
        <v/>
      </c>
      <c r="C4304" s="33"/>
      <c r="E4304" s="60"/>
      <c r="F4304" s="18"/>
      <c r="H4304" s="49"/>
      <c r="I4304" s="49"/>
      <c r="M4304" s="53"/>
    </row>
    <row r="4305" spans="1:13" x14ac:dyDescent="0.25">
      <c r="A4305" s="21" t="str">
        <f>IF(C4305="","",COUNTA($C$3:C4305))</f>
        <v/>
      </c>
      <c r="B4305" s="35" t="str">
        <f t="shared" si="83"/>
        <v/>
      </c>
      <c r="C4305" s="33"/>
      <c r="E4305" s="60"/>
      <c r="F4305" s="18"/>
      <c r="H4305" s="49"/>
      <c r="I4305" s="49"/>
      <c r="M4305" s="53"/>
    </row>
    <row r="4306" spans="1:13" x14ac:dyDescent="0.25">
      <c r="A4306" s="21" t="str">
        <f>IF(C4306="","",COUNTA($C$3:C4306))</f>
        <v/>
      </c>
      <c r="B4306" s="35" t="str">
        <f t="shared" si="83"/>
        <v/>
      </c>
      <c r="C4306" s="33"/>
      <c r="E4306" s="60"/>
      <c r="F4306" s="18"/>
      <c r="H4306" s="49"/>
      <c r="I4306" s="49"/>
      <c r="M4306" s="53"/>
    </row>
    <row r="4307" spans="1:13" x14ac:dyDescent="0.25">
      <c r="A4307" s="21" t="str">
        <f>IF(C4307="","",COUNTA($C$3:C4307))</f>
        <v/>
      </c>
      <c r="B4307" s="35" t="str">
        <f t="shared" si="83"/>
        <v/>
      </c>
      <c r="C4307" s="33"/>
      <c r="E4307" s="60"/>
      <c r="F4307" s="18"/>
      <c r="H4307" s="49"/>
      <c r="I4307" s="49"/>
      <c r="M4307" s="53"/>
    </row>
    <row r="4308" spans="1:13" x14ac:dyDescent="0.25">
      <c r="A4308" s="21" t="str">
        <f>IF(C4308="","",COUNTA($C$3:C4308))</f>
        <v/>
      </c>
      <c r="B4308" s="35" t="str">
        <f t="shared" si="83"/>
        <v/>
      </c>
      <c r="C4308" s="33"/>
      <c r="E4308" s="60"/>
      <c r="F4308" s="18"/>
      <c r="H4308" s="49"/>
      <c r="I4308" s="49"/>
      <c r="M4308" s="53"/>
    </row>
    <row r="4309" spans="1:13" x14ac:dyDescent="0.25">
      <c r="A4309" s="21" t="str">
        <f>IF(C4309="","",COUNTA($C$3:C4309))</f>
        <v/>
      </c>
      <c r="B4309" s="35" t="str">
        <f t="shared" si="83"/>
        <v/>
      </c>
      <c r="C4309" s="33"/>
      <c r="E4309" s="60"/>
      <c r="F4309" s="18"/>
      <c r="H4309" s="49"/>
      <c r="I4309" s="49"/>
      <c r="M4309" s="53"/>
    </row>
    <row r="4310" spans="1:13" x14ac:dyDescent="0.25">
      <c r="A4310" s="21" t="str">
        <f>IF(C4310="","",COUNTA($C$3:C4310))</f>
        <v/>
      </c>
      <c r="B4310" s="35" t="str">
        <f t="shared" si="83"/>
        <v/>
      </c>
      <c r="C4310" s="33"/>
      <c r="E4310" s="60"/>
      <c r="F4310" s="18"/>
      <c r="H4310" s="49"/>
      <c r="I4310" s="49"/>
      <c r="M4310" s="53"/>
    </row>
    <row r="4311" spans="1:13" x14ac:dyDescent="0.25">
      <c r="A4311" s="21" t="str">
        <f>IF(C4311="","",COUNTA($C$3:C4311))</f>
        <v/>
      </c>
      <c r="B4311" s="35" t="str">
        <f t="shared" si="83"/>
        <v/>
      </c>
      <c r="C4311" s="33"/>
      <c r="E4311" s="60"/>
      <c r="F4311" s="18"/>
      <c r="H4311" s="49"/>
      <c r="I4311" s="49"/>
      <c r="M4311" s="53"/>
    </row>
    <row r="4312" spans="1:13" x14ac:dyDescent="0.25">
      <c r="A4312" s="21" t="str">
        <f>IF(C4312="","",COUNTA($C$3:C4312))</f>
        <v/>
      </c>
      <c r="B4312" s="35" t="str">
        <f t="shared" si="83"/>
        <v/>
      </c>
      <c r="C4312" s="33"/>
      <c r="E4312" s="60"/>
      <c r="F4312" s="18"/>
      <c r="H4312" s="49"/>
      <c r="I4312" s="49"/>
      <c r="M4312" s="53"/>
    </row>
    <row r="4313" spans="1:13" x14ac:dyDescent="0.25">
      <c r="A4313" s="21" t="str">
        <f>IF(C4313="","",COUNTA($C$3:C4313))</f>
        <v/>
      </c>
      <c r="B4313" s="35" t="str">
        <f t="shared" si="83"/>
        <v/>
      </c>
      <c r="C4313" s="33"/>
      <c r="E4313" s="60"/>
      <c r="F4313" s="18"/>
      <c r="H4313" s="49"/>
      <c r="I4313" s="49"/>
      <c r="M4313" s="53"/>
    </row>
    <row r="4314" spans="1:13" x14ac:dyDescent="0.25">
      <c r="A4314" s="21" t="str">
        <f>IF(C4314="","",COUNTA($C$3:C4314))</f>
        <v/>
      </c>
      <c r="B4314" s="35" t="str">
        <f t="shared" si="83"/>
        <v/>
      </c>
      <c r="C4314" s="33"/>
      <c r="E4314" s="60"/>
      <c r="F4314" s="18"/>
      <c r="H4314" s="49"/>
      <c r="I4314" s="49"/>
      <c r="M4314" s="53"/>
    </row>
    <row r="4315" spans="1:13" x14ac:dyDescent="0.25">
      <c r="A4315" s="21" t="str">
        <f>IF(C4315="","",COUNTA($C$3:C4315))</f>
        <v/>
      </c>
      <c r="B4315" s="35" t="str">
        <f t="shared" si="83"/>
        <v/>
      </c>
      <c r="C4315" s="33"/>
      <c r="E4315" s="60"/>
      <c r="F4315" s="18"/>
      <c r="G4315" s="18"/>
      <c r="H4315" s="49"/>
      <c r="I4315" s="49"/>
      <c r="M4315" s="53"/>
    </row>
    <row r="4316" spans="1:13" x14ac:dyDescent="0.25">
      <c r="A4316" s="21" t="str">
        <f>IF(C4316="","",COUNTA($C$3:C4316))</f>
        <v/>
      </c>
      <c r="B4316" s="35" t="str">
        <f t="shared" si="83"/>
        <v/>
      </c>
      <c r="C4316" s="33"/>
      <c r="E4316" s="60"/>
      <c r="F4316" s="18"/>
      <c r="G4316" s="18"/>
      <c r="H4316" s="49"/>
      <c r="I4316" s="49"/>
      <c r="M4316" s="53"/>
    </row>
    <row r="4317" spans="1:13" x14ac:dyDescent="0.25">
      <c r="A4317" s="21" t="str">
        <f>IF(C4317="","",COUNTA($C$3:C4317))</f>
        <v/>
      </c>
      <c r="B4317" s="35" t="str">
        <f t="shared" si="83"/>
        <v/>
      </c>
      <c r="C4317" s="33"/>
      <c r="E4317" s="60"/>
      <c r="F4317" s="18"/>
      <c r="G4317" s="18"/>
      <c r="H4317" s="49"/>
      <c r="I4317" s="49"/>
      <c r="M4317" s="53"/>
    </row>
    <row r="4318" spans="1:13" x14ac:dyDescent="0.25">
      <c r="A4318" s="21" t="str">
        <f>IF(C4318="","",COUNTA($C$3:C4318))</f>
        <v/>
      </c>
      <c r="B4318" s="35" t="str">
        <f t="shared" si="83"/>
        <v/>
      </c>
      <c r="C4318" s="33"/>
      <c r="E4318" s="60"/>
      <c r="F4318" s="18"/>
      <c r="G4318" s="18"/>
      <c r="H4318" s="49"/>
      <c r="I4318" s="49"/>
      <c r="M4318" s="53"/>
    </row>
    <row r="4319" spans="1:13" x14ac:dyDescent="0.25">
      <c r="A4319" s="21" t="str">
        <f>IF(C4319="","",COUNTA($C$3:C4319))</f>
        <v/>
      </c>
      <c r="B4319" s="35" t="str">
        <f t="shared" si="83"/>
        <v/>
      </c>
      <c r="C4319" s="33"/>
      <c r="E4319" s="60"/>
      <c r="F4319" s="18"/>
      <c r="G4319" s="18"/>
      <c r="H4319" s="49"/>
      <c r="I4319" s="49"/>
      <c r="M4319" s="53"/>
    </row>
    <row r="4320" spans="1:13" x14ac:dyDescent="0.25">
      <c r="A4320" s="21" t="str">
        <f>IF(C4320="","",COUNTA($C$3:C4320))</f>
        <v/>
      </c>
      <c r="B4320" s="35" t="str">
        <f t="shared" si="83"/>
        <v/>
      </c>
      <c r="C4320" s="33"/>
      <c r="E4320" s="60"/>
      <c r="F4320" s="18"/>
      <c r="G4320" s="18"/>
      <c r="H4320" s="49"/>
      <c r="I4320" s="49"/>
      <c r="M4320" s="53"/>
    </row>
    <row r="4321" spans="1:13" x14ac:dyDescent="0.25">
      <c r="A4321" s="21" t="str">
        <f>IF(C4321="","",COUNTA($C$3:C4321))</f>
        <v/>
      </c>
      <c r="B4321" s="35" t="str">
        <f t="shared" si="83"/>
        <v/>
      </c>
      <c r="C4321" s="33"/>
      <c r="E4321" s="60"/>
      <c r="F4321" s="18"/>
      <c r="G4321" s="18"/>
      <c r="H4321" s="49"/>
      <c r="I4321" s="49"/>
      <c r="M4321" s="53"/>
    </row>
    <row r="4322" spans="1:13" x14ac:dyDescent="0.25">
      <c r="A4322" s="21" t="str">
        <f>IF(C4322="","",COUNTA($C$3:C4322))</f>
        <v/>
      </c>
      <c r="B4322" s="35" t="str">
        <f t="shared" si="83"/>
        <v/>
      </c>
      <c r="C4322" s="33"/>
      <c r="E4322" s="60"/>
      <c r="F4322" s="18"/>
      <c r="G4322" s="18"/>
      <c r="H4322" s="49"/>
      <c r="I4322" s="49"/>
      <c r="M4322" s="53"/>
    </row>
    <row r="4323" spans="1:13" x14ac:dyDescent="0.25">
      <c r="A4323" s="21" t="str">
        <f>IF(C4323="","",COUNTA($C$3:C4323))</f>
        <v/>
      </c>
      <c r="B4323" s="35" t="str">
        <f t="shared" si="83"/>
        <v/>
      </c>
      <c r="C4323" s="33"/>
      <c r="E4323" s="60"/>
      <c r="F4323" s="18"/>
      <c r="G4323" s="18"/>
      <c r="H4323" s="49"/>
      <c r="I4323" s="49"/>
      <c r="M4323" s="53"/>
    </row>
    <row r="4324" spans="1:13" x14ac:dyDescent="0.25">
      <c r="A4324" s="21" t="str">
        <f>IF(C4324="","",COUNTA($C$3:C4324))</f>
        <v/>
      </c>
      <c r="B4324" s="35" t="str">
        <f t="shared" si="83"/>
        <v/>
      </c>
      <c r="C4324" s="33"/>
      <c r="E4324" s="60"/>
      <c r="F4324" s="18"/>
      <c r="G4324" s="18"/>
      <c r="H4324" s="49"/>
      <c r="I4324" s="49"/>
      <c r="M4324" s="53"/>
    </row>
    <row r="4325" spans="1:13" x14ac:dyDescent="0.25">
      <c r="A4325" s="21" t="str">
        <f>IF(C4325="","",COUNTA($C$3:C4325))</f>
        <v/>
      </c>
      <c r="B4325" s="35" t="str">
        <f t="shared" si="83"/>
        <v/>
      </c>
      <c r="C4325" s="33"/>
      <c r="E4325" s="60"/>
      <c r="F4325" s="18"/>
      <c r="G4325" s="18"/>
      <c r="H4325" s="49"/>
      <c r="I4325" s="49"/>
      <c r="M4325" s="53"/>
    </row>
    <row r="4326" spans="1:13" x14ac:dyDescent="0.25">
      <c r="A4326" s="21" t="str">
        <f>IF(C4326="","",COUNTA($C$3:C4326))</f>
        <v/>
      </c>
      <c r="B4326" s="35" t="str">
        <f t="shared" si="83"/>
        <v/>
      </c>
      <c r="C4326" s="33"/>
      <c r="E4326" s="60"/>
      <c r="F4326" s="18"/>
      <c r="G4326" s="18"/>
      <c r="H4326" s="49"/>
      <c r="I4326" s="49"/>
      <c r="M4326" s="53"/>
    </row>
    <row r="4327" spans="1:13" x14ac:dyDescent="0.25">
      <c r="A4327" s="21" t="str">
        <f>IF(C4327="","",COUNTA($C$3:C4327))</f>
        <v/>
      </c>
      <c r="B4327" s="35" t="str">
        <f t="shared" si="83"/>
        <v/>
      </c>
      <c r="C4327" s="33"/>
      <c r="E4327" s="60"/>
      <c r="F4327" s="18"/>
      <c r="G4327" s="18"/>
      <c r="H4327" s="49"/>
      <c r="I4327" s="49"/>
      <c r="M4327" s="53"/>
    </row>
    <row r="4328" spans="1:13" x14ac:dyDescent="0.25">
      <c r="A4328" s="21" t="str">
        <f>IF(C4328="","",COUNTA($C$3:C4328))</f>
        <v/>
      </c>
      <c r="B4328" s="35" t="str">
        <f t="shared" si="83"/>
        <v/>
      </c>
      <c r="C4328" s="33"/>
      <c r="E4328" s="60"/>
      <c r="F4328" s="18"/>
      <c r="G4328" s="18"/>
      <c r="H4328" s="49"/>
      <c r="I4328" s="49"/>
      <c r="M4328" s="53"/>
    </row>
    <row r="4329" spans="1:13" x14ac:dyDescent="0.25">
      <c r="A4329" s="21" t="str">
        <f>IF(C4329="","",COUNTA($C$3:C4329))</f>
        <v/>
      </c>
      <c r="B4329" s="35" t="str">
        <f t="shared" si="83"/>
        <v/>
      </c>
      <c r="C4329" s="33"/>
      <c r="E4329" s="60"/>
      <c r="F4329" s="18"/>
      <c r="G4329" s="18"/>
      <c r="H4329" s="49"/>
      <c r="I4329" s="49"/>
      <c r="M4329" s="53"/>
    </row>
    <row r="4330" spans="1:13" x14ac:dyDescent="0.25">
      <c r="A4330" s="21" t="str">
        <f>IF(C4330="","",COUNTA($C$3:C4330))</f>
        <v/>
      </c>
      <c r="B4330" s="35" t="str">
        <f t="shared" si="83"/>
        <v/>
      </c>
      <c r="C4330" s="33"/>
      <c r="E4330" s="60"/>
      <c r="F4330" s="18"/>
      <c r="G4330" s="18"/>
      <c r="H4330" s="49"/>
      <c r="I4330" s="49"/>
      <c r="M4330" s="53"/>
    </row>
    <row r="4331" spans="1:13" x14ac:dyDescent="0.25">
      <c r="A4331" s="21" t="str">
        <f>IF(C4331="","",COUNTA($C$3:C4331))</f>
        <v/>
      </c>
      <c r="B4331" s="35" t="str">
        <f t="shared" si="83"/>
        <v/>
      </c>
      <c r="C4331" s="33"/>
      <c r="E4331" s="60"/>
      <c r="F4331" s="18"/>
      <c r="G4331" s="18"/>
      <c r="H4331" s="49"/>
      <c r="I4331" s="49"/>
      <c r="M4331" s="53"/>
    </row>
    <row r="4332" spans="1:13" x14ac:dyDescent="0.25">
      <c r="A4332" s="21" t="str">
        <f>IF(C4332="","",COUNTA($C$3:C4332))</f>
        <v/>
      </c>
      <c r="B4332" s="35" t="str">
        <f t="shared" si="83"/>
        <v/>
      </c>
      <c r="C4332" s="33"/>
      <c r="E4332" s="60"/>
      <c r="F4332" s="18"/>
      <c r="G4332" s="18"/>
      <c r="H4332" s="49"/>
      <c r="I4332" s="49"/>
      <c r="M4332" s="53"/>
    </row>
    <row r="4333" spans="1:13" x14ac:dyDescent="0.25">
      <c r="A4333" s="21" t="str">
        <f>IF(C4333="","",COUNTA($C$3:C4333))</f>
        <v/>
      </c>
      <c r="B4333" s="35" t="str">
        <f t="shared" si="83"/>
        <v/>
      </c>
      <c r="C4333" s="33"/>
      <c r="E4333" s="60"/>
      <c r="F4333" s="18"/>
      <c r="G4333" s="18"/>
      <c r="H4333" s="49"/>
      <c r="I4333" s="49"/>
      <c r="M4333" s="53"/>
    </row>
    <row r="4334" spans="1:13" x14ac:dyDescent="0.25">
      <c r="A4334" s="21" t="str">
        <f>IF(C4334="","",COUNTA($C$3:C4334))</f>
        <v/>
      </c>
      <c r="B4334" s="35" t="str">
        <f t="shared" si="83"/>
        <v/>
      </c>
      <c r="C4334" s="33"/>
      <c r="D4334" s="18"/>
      <c r="E4334" s="77"/>
      <c r="F4334" s="15"/>
      <c r="H4334" s="49"/>
      <c r="I4334" s="49"/>
      <c r="M4334" s="53"/>
    </row>
    <row r="4335" spans="1:13" x14ac:dyDescent="0.25">
      <c r="A4335" s="21" t="str">
        <f>IF(C4335="","",COUNTA($C$3:C4335))</f>
        <v/>
      </c>
      <c r="B4335" s="35" t="str">
        <f t="shared" si="83"/>
        <v/>
      </c>
      <c r="C4335" s="33"/>
      <c r="D4335" s="18"/>
      <c r="E4335" s="77"/>
      <c r="F4335" s="15"/>
      <c r="H4335" s="49"/>
      <c r="I4335" s="49"/>
      <c r="M4335" s="53"/>
    </row>
    <row r="4336" spans="1:13" x14ac:dyDescent="0.25">
      <c r="A4336" s="21" t="str">
        <f>IF(C4336="","",COUNTA($C$3:C4336))</f>
        <v/>
      </c>
      <c r="B4336" s="35" t="str">
        <f t="shared" si="83"/>
        <v/>
      </c>
      <c r="C4336" s="33"/>
      <c r="D4336" s="18"/>
      <c r="E4336" s="77"/>
      <c r="F4336" s="15"/>
      <c r="H4336" s="49"/>
      <c r="I4336" s="49"/>
      <c r="M4336" s="53"/>
    </row>
    <row r="4337" spans="1:13" x14ac:dyDescent="0.25">
      <c r="A4337" s="21" t="str">
        <f>IF(C4337="","",COUNTA($C$3:C4337))</f>
        <v/>
      </c>
      <c r="B4337" s="35" t="str">
        <f t="shared" si="83"/>
        <v/>
      </c>
      <c r="C4337" s="33"/>
      <c r="D4337" s="18"/>
      <c r="E4337" s="77"/>
      <c r="F4337" s="15"/>
      <c r="H4337" s="49"/>
      <c r="I4337" s="49"/>
      <c r="M4337" s="53"/>
    </row>
    <row r="4338" spans="1:13" x14ac:dyDescent="0.25">
      <c r="A4338" s="21" t="str">
        <f>IF(C4338="","",COUNTA($C$3:C4338))</f>
        <v/>
      </c>
      <c r="B4338" s="35" t="str">
        <f t="shared" si="83"/>
        <v/>
      </c>
      <c r="C4338" s="33"/>
      <c r="D4338" s="18"/>
      <c r="E4338" s="77"/>
      <c r="F4338" s="15"/>
      <c r="H4338" s="49"/>
      <c r="I4338" s="49"/>
      <c r="M4338" s="53"/>
    </row>
    <row r="4339" spans="1:13" x14ac:dyDescent="0.25">
      <c r="A4339" s="21" t="str">
        <f>IF(C4339="","",COUNTA($C$3:C4339))</f>
        <v/>
      </c>
      <c r="B4339" s="35" t="str">
        <f t="shared" si="83"/>
        <v/>
      </c>
      <c r="C4339" s="33"/>
      <c r="D4339" s="18"/>
      <c r="E4339" s="77"/>
      <c r="F4339" s="15"/>
      <c r="H4339" s="49"/>
      <c r="I4339" s="49"/>
      <c r="M4339" s="53"/>
    </row>
    <row r="4340" spans="1:13" x14ac:dyDescent="0.25">
      <c r="A4340" s="21" t="str">
        <f>IF(C4340="","",COUNTA($C$3:C4340))</f>
        <v/>
      </c>
      <c r="B4340" s="35" t="str">
        <f t="shared" si="83"/>
        <v/>
      </c>
      <c r="C4340" s="33"/>
      <c r="D4340" s="18"/>
      <c r="E4340" s="77"/>
      <c r="F4340" s="15"/>
      <c r="H4340" s="49"/>
      <c r="I4340" s="49"/>
      <c r="M4340" s="53"/>
    </row>
    <row r="4341" spans="1:13" x14ac:dyDescent="0.25">
      <c r="A4341" s="21" t="str">
        <f>IF(C4341="","",COUNTA($C$3:C4341))</f>
        <v/>
      </c>
      <c r="B4341" s="35" t="str">
        <f t="shared" si="83"/>
        <v/>
      </c>
      <c r="C4341" s="33"/>
      <c r="D4341" s="18"/>
      <c r="E4341" s="77"/>
      <c r="F4341" s="15"/>
      <c r="H4341" s="49"/>
      <c r="I4341" s="49"/>
      <c r="M4341" s="53"/>
    </row>
    <row r="4342" spans="1:13" x14ac:dyDescent="0.25">
      <c r="A4342" s="21" t="str">
        <f>IF(C4342="","",COUNTA($C$3:C4342))</f>
        <v/>
      </c>
      <c r="B4342" s="35" t="str">
        <f t="shared" si="83"/>
        <v/>
      </c>
      <c r="C4342" s="33"/>
      <c r="D4342" s="18"/>
      <c r="E4342" s="77"/>
      <c r="F4342" s="15"/>
      <c r="H4342" s="49"/>
      <c r="I4342" s="49"/>
      <c r="M4342" s="53"/>
    </row>
    <row r="4343" spans="1:13" x14ac:dyDescent="0.25">
      <c r="A4343" s="21" t="str">
        <f>IF(C4343="","",COUNTA($C$3:C4343))</f>
        <v/>
      </c>
      <c r="B4343" s="35" t="str">
        <f t="shared" si="83"/>
        <v/>
      </c>
      <c r="C4343" s="33"/>
      <c r="D4343" s="18"/>
      <c r="E4343" s="77"/>
      <c r="F4343" s="15"/>
      <c r="H4343" s="49"/>
      <c r="I4343" s="49"/>
      <c r="M4343" s="53"/>
    </row>
    <row r="4344" spans="1:13" x14ac:dyDescent="0.25">
      <c r="A4344" s="21" t="str">
        <f>IF(C4344="","",COUNTA($C$3:C4344))</f>
        <v/>
      </c>
      <c r="B4344" s="35" t="str">
        <f t="shared" si="83"/>
        <v/>
      </c>
      <c r="C4344" s="33"/>
    </row>
    <row r="4345" spans="1:13" x14ac:dyDescent="0.25">
      <c r="A4345" s="21" t="str">
        <f>IF(C4345="","",COUNTA($C$3:C4345))</f>
        <v/>
      </c>
      <c r="B4345" s="35" t="str">
        <f t="shared" si="83"/>
        <v/>
      </c>
      <c r="C4345" s="15"/>
    </row>
    <row r="4346" spans="1:13" x14ac:dyDescent="0.25">
      <c r="A4346" s="21" t="str">
        <f>IF(C4346="","",COUNTA($C$3:C4346))</f>
        <v/>
      </c>
      <c r="B4346" s="35" t="str">
        <f t="shared" si="83"/>
        <v/>
      </c>
      <c r="C4346" s="15"/>
    </row>
    <row r="4347" spans="1:13" x14ac:dyDescent="0.25">
      <c r="A4347" s="21" t="str">
        <f>IF(C4347="","",COUNTA($C$3:C4347))</f>
        <v/>
      </c>
      <c r="B4347" s="35" t="str">
        <f t="shared" si="83"/>
        <v/>
      </c>
      <c r="C4347" s="15"/>
    </row>
    <row r="4348" spans="1:13" x14ac:dyDescent="0.25">
      <c r="A4348" s="21" t="str">
        <f>IF(C4348="","",COUNTA($C$3:C4348))</f>
        <v/>
      </c>
      <c r="B4348" s="35" t="str">
        <f t="shared" si="83"/>
        <v/>
      </c>
      <c r="C4348" s="15"/>
    </row>
    <row r="4349" spans="1:13" x14ac:dyDescent="0.25">
      <c r="A4349" s="21" t="str">
        <f>IF(C4349="","",COUNTA($C$3:C4349))</f>
        <v/>
      </c>
      <c r="B4349" s="35" t="str">
        <f t="shared" si="83"/>
        <v/>
      </c>
      <c r="C4349" s="15"/>
    </row>
    <row r="4350" spans="1:13" x14ac:dyDescent="0.25">
      <c r="A4350" s="21" t="str">
        <f>IF(C4350="","",COUNTA($C$3:C4350))</f>
        <v/>
      </c>
      <c r="B4350" s="35" t="str">
        <f t="shared" si="83"/>
        <v/>
      </c>
      <c r="C4350" s="15"/>
    </row>
    <row r="4351" spans="1:13" x14ac:dyDescent="0.25">
      <c r="A4351" s="21" t="str">
        <f>IF(C4351="","",COUNTA($C$3:C4351))</f>
        <v/>
      </c>
      <c r="B4351" s="35" t="str">
        <f t="shared" si="83"/>
        <v/>
      </c>
      <c r="C4351" s="15"/>
    </row>
    <row r="4352" spans="1:13" x14ac:dyDescent="0.25">
      <c r="A4352" s="21" t="str">
        <f>IF(C4352="","",COUNTA($C$3:C4352))</f>
        <v/>
      </c>
      <c r="B4352" s="35" t="str">
        <f t="shared" si="83"/>
        <v/>
      </c>
      <c r="C4352" s="15"/>
    </row>
    <row r="4353" spans="1:3" x14ac:dyDescent="0.25">
      <c r="A4353" s="21" t="str">
        <f>IF(C4353="","",COUNTA($C$3:C4353))</f>
        <v/>
      </c>
      <c r="B4353" s="35" t="str">
        <f t="shared" si="83"/>
        <v/>
      </c>
      <c r="C4353" s="15"/>
    </row>
    <row r="4354" spans="1:3" x14ac:dyDescent="0.25">
      <c r="A4354" s="21" t="str">
        <f>IF(C4354="","",COUNTA($C$3:C4354))</f>
        <v/>
      </c>
      <c r="B4354" s="35" t="str">
        <f t="shared" si="83"/>
        <v/>
      </c>
      <c r="C4354" s="15"/>
    </row>
    <row r="4355" spans="1:3" x14ac:dyDescent="0.25">
      <c r="A4355" s="21" t="str">
        <f>IF(C4355="","",COUNTA($C$3:C4355))</f>
        <v/>
      </c>
      <c r="B4355" s="35" t="str">
        <f t="shared" si="83"/>
        <v/>
      </c>
      <c r="C4355" s="15"/>
    </row>
    <row r="4356" spans="1:3" x14ac:dyDescent="0.25">
      <c r="A4356" s="21" t="str">
        <f>IF(C4356="","",COUNTA($C$3:C4356))</f>
        <v/>
      </c>
      <c r="B4356" s="35" t="str">
        <f t="shared" si="83"/>
        <v/>
      </c>
      <c r="C4356" s="15"/>
    </row>
    <row r="4357" spans="1:3" x14ac:dyDescent="0.25">
      <c r="A4357" s="21" t="str">
        <f>IF(C4357="","",COUNTA($C$3:C4357))</f>
        <v/>
      </c>
      <c r="B4357" s="35" t="str">
        <f t="shared" ref="B4357:B4420" si="84">IF(C4357="","",TEXT(C4357,"mmmm"))</f>
        <v/>
      </c>
      <c r="C4357" s="15"/>
    </row>
    <row r="4358" spans="1:3" x14ac:dyDescent="0.25">
      <c r="A4358" s="21" t="str">
        <f>IF(C4358="","",COUNTA($C$3:C4358))</f>
        <v/>
      </c>
      <c r="B4358" s="35" t="str">
        <f t="shared" si="84"/>
        <v/>
      </c>
      <c r="C4358" s="15"/>
    </row>
    <row r="4359" spans="1:3" x14ac:dyDescent="0.25">
      <c r="A4359" s="21" t="str">
        <f>IF(C4359="","",COUNTA($C$3:C4359))</f>
        <v/>
      </c>
      <c r="B4359" s="35" t="str">
        <f t="shared" si="84"/>
        <v/>
      </c>
      <c r="C4359" s="15"/>
    </row>
    <row r="4360" spans="1:3" x14ac:dyDescent="0.25">
      <c r="A4360" s="21" t="str">
        <f>IF(C4360="","",COUNTA($C$3:C4360))</f>
        <v/>
      </c>
      <c r="B4360" s="35" t="str">
        <f t="shared" si="84"/>
        <v/>
      </c>
      <c r="C4360" s="15"/>
    </row>
    <row r="4361" spans="1:3" x14ac:dyDescent="0.25">
      <c r="A4361" s="21" t="str">
        <f>IF(C4361="","",COUNTA($C$3:C4361))</f>
        <v/>
      </c>
      <c r="B4361" s="35" t="str">
        <f t="shared" si="84"/>
        <v/>
      </c>
      <c r="C4361" s="15"/>
    </row>
    <row r="4362" spans="1:3" x14ac:dyDescent="0.25">
      <c r="A4362" s="21" t="str">
        <f>IF(C4362="","",COUNTA($C$3:C4362))</f>
        <v/>
      </c>
      <c r="B4362" s="35" t="str">
        <f t="shared" si="84"/>
        <v/>
      </c>
      <c r="C4362" s="15"/>
    </row>
    <row r="4363" spans="1:3" x14ac:dyDescent="0.25">
      <c r="A4363" s="21" t="str">
        <f>IF(C4363="","",COUNTA($C$3:C4363))</f>
        <v/>
      </c>
      <c r="B4363" s="35" t="str">
        <f t="shared" si="84"/>
        <v/>
      </c>
      <c r="C4363" s="15"/>
    </row>
    <row r="4364" spans="1:3" x14ac:dyDescent="0.25">
      <c r="A4364" s="21" t="str">
        <f>IF(C4364="","",COUNTA($C$3:C4364))</f>
        <v/>
      </c>
      <c r="B4364" s="35" t="str">
        <f t="shared" si="84"/>
        <v/>
      </c>
      <c r="C4364" s="15"/>
    </row>
    <row r="4365" spans="1:3" x14ac:dyDescent="0.25">
      <c r="A4365" s="21" t="str">
        <f>IF(C4365="","",COUNTA($C$3:C4365))</f>
        <v/>
      </c>
      <c r="B4365" s="35" t="str">
        <f t="shared" si="84"/>
        <v/>
      </c>
      <c r="C4365" s="15"/>
    </row>
    <row r="4366" spans="1:3" x14ac:dyDescent="0.25">
      <c r="A4366" s="21" t="str">
        <f>IF(C4366="","",COUNTA($C$3:C4366))</f>
        <v/>
      </c>
      <c r="B4366" s="35" t="str">
        <f t="shared" si="84"/>
        <v/>
      </c>
      <c r="C4366" s="15"/>
    </row>
    <row r="4367" spans="1:3" x14ac:dyDescent="0.25">
      <c r="A4367" s="21" t="str">
        <f>IF(C4367="","",COUNTA($C$3:C4367))</f>
        <v/>
      </c>
      <c r="B4367" s="35" t="str">
        <f t="shared" si="84"/>
        <v/>
      </c>
      <c r="C4367" s="15"/>
    </row>
    <row r="4368" spans="1:3" x14ac:dyDescent="0.25">
      <c r="A4368" s="21" t="str">
        <f>IF(C4368="","",COUNTA($C$3:C4368))</f>
        <v/>
      </c>
      <c r="B4368" s="35" t="str">
        <f t="shared" si="84"/>
        <v/>
      </c>
      <c r="C4368" s="15"/>
    </row>
    <row r="4369" spans="1:3" x14ac:dyDescent="0.25">
      <c r="A4369" s="21" t="str">
        <f>IF(C4369="","",COUNTA($C$3:C4369))</f>
        <v/>
      </c>
      <c r="B4369" s="35" t="str">
        <f t="shared" si="84"/>
        <v/>
      </c>
      <c r="C4369" s="15"/>
    </row>
    <row r="4370" spans="1:3" x14ac:dyDescent="0.25">
      <c r="A4370" s="21" t="str">
        <f>IF(C4370="","",COUNTA($C$3:C4370))</f>
        <v/>
      </c>
      <c r="B4370" s="35" t="str">
        <f t="shared" si="84"/>
        <v/>
      </c>
      <c r="C4370" s="15"/>
    </row>
    <row r="4371" spans="1:3" x14ac:dyDescent="0.25">
      <c r="A4371" s="21" t="str">
        <f>IF(C4371="","",COUNTA($C$3:C4371))</f>
        <v/>
      </c>
      <c r="B4371" s="35" t="str">
        <f t="shared" si="84"/>
        <v/>
      </c>
      <c r="C4371" s="15"/>
    </row>
    <row r="4372" spans="1:3" x14ac:dyDescent="0.25">
      <c r="A4372" s="21" t="str">
        <f>IF(C4372="","",COUNTA($C$3:C4372))</f>
        <v/>
      </c>
      <c r="B4372" s="35" t="str">
        <f t="shared" si="84"/>
        <v/>
      </c>
      <c r="C4372" s="15"/>
    </row>
    <row r="4373" spans="1:3" x14ac:dyDescent="0.25">
      <c r="A4373" s="21" t="str">
        <f>IF(C4373="","",COUNTA($C$3:C4373))</f>
        <v/>
      </c>
      <c r="B4373" s="35" t="str">
        <f t="shared" si="84"/>
        <v/>
      </c>
      <c r="C4373" s="15"/>
    </row>
    <row r="4374" spans="1:3" x14ac:dyDescent="0.25">
      <c r="A4374" s="21" t="str">
        <f>IF(C4374="","",COUNTA($C$3:C4374))</f>
        <v/>
      </c>
      <c r="B4374" s="35" t="str">
        <f t="shared" si="84"/>
        <v/>
      </c>
      <c r="C4374" s="15"/>
    </row>
    <row r="4375" spans="1:3" x14ac:dyDescent="0.25">
      <c r="A4375" s="21" t="str">
        <f>IF(C4375="","",COUNTA($C$3:C4375))</f>
        <v/>
      </c>
      <c r="B4375" s="35" t="str">
        <f t="shared" si="84"/>
        <v/>
      </c>
      <c r="C4375" s="15"/>
    </row>
    <row r="4376" spans="1:3" x14ac:dyDescent="0.25">
      <c r="A4376" s="21" t="str">
        <f>IF(C4376="","",COUNTA($C$3:C4376))</f>
        <v/>
      </c>
      <c r="B4376" s="35" t="str">
        <f t="shared" si="84"/>
        <v/>
      </c>
      <c r="C4376" s="15"/>
    </row>
    <row r="4377" spans="1:3" x14ac:dyDescent="0.25">
      <c r="A4377" s="21" t="str">
        <f>IF(C4377="","",COUNTA($C$3:C4377))</f>
        <v/>
      </c>
      <c r="B4377" s="35" t="str">
        <f t="shared" si="84"/>
        <v/>
      </c>
      <c r="C4377" s="15"/>
    </row>
    <row r="4378" spans="1:3" x14ac:dyDescent="0.25">
      <c r="A4378" s="21" t="str">
        <f>IF(C4378="","",COUNTA($C$3:C4378))</f>
        <v/>
      </c>
      <c r="B4378" s="35" t="str">
        <f t="shared" si="84"/>
        <v/>
      </c>
      <c r="C4378" s="15"/>
    </row>
    <row r="4379" spans="1:3" x14ac:dyDescent="0.25">
      <c r="A4379" s="21" t="str">
        <f>IF(C4379="","",COUNTA($C$3:C4379))</f>
        <v/>
      </c>
      <c r="B4379" s="35" t="str">
        <f t="shared" si="84"/>
        <v/>
      </c>
      <c r="C4379" s="15"/>
    </row>
    <row r="4380" spans="1:3" x14ac:dyDescent="0.25">
      <c r="A4380" s="21" t="str">
        <f>IF(C4380="","",COUNTA($C$3:C4380))</f>
        <v/>
      </c>
      <c r="B4380" s="35" t="str">
        <f t="shared" si="84"/>
        <v/>
      </c>
      <c r="C4380" s="15"/>
    </row>
    <row r="4381" spans="1:3" x14ac:dyDescent="0.25">
      <c r="A4381" s="21" t="str">
        <f>IF(C4381="","",COUNTA($C$3:C4381))</f>
        <v/>
      </c>
      <c r="B4381" s="35" t="str">
        <f t="shared" si="84"/>
        <v/>
      </c>
      <c r="C4381" s="15"/>
    </row>
    <row r="4382" spans="1:3" x14ac:dyDescent="0.25">
      <c r="A4382" s="21" t="str">
        <f>IF(C4382="","",COUNTA($C$3:C4382))</f>
        <v/>
      </c>
      <c r="B4382" s="35" t="str">
        <f t="shared" si="84"/>
        <v/>
      </c>
      <c r="C4382" s="15"/>
    </row>
    <row r="4383" spans="1:3" x14ac:dyDescent="0.25">
      <c r="A4383" s="21" t="str">
        <f>IF(C4383="","",COUNTA($C$3:C4383))</f>
        <v/>
      </c>
      <c r="B4383" s="35" t="str">
        <f t="shared" si="84"/>
        <v/>
      </c>
      <c r="C4383" s="15"/>
    </row>
    <row r="4384" spans="1:3" x14ac:dyDescent="0.25">
      <c r="A4384" s="21" t="str">
        <f>IF(C4384="","",COUNTA($C$3:C4384))</f>
        <v/>
      </c>
      <c r="B4384" s="35" t="str">
        <f t="shared" si="84"/>
        <v/>
      </c>
      <c r="C4384" s="15"/>
    </row>
    <row r="4385" spans="1:3" x14ac:dyDescent="0.25">
      <c r="A4385" s="21" t="str">
        <f>IF(C4385="","",COUNTA($C$3:C4385))</f>
        <v/>
      </c>
      <c r="B4385" s="35" t="str">
        <f t="shared" si="84"/>
        <v/>
      </c>
      <c r="C4385" s="15"/>
    </row>
    <row r="4386" spans="1:3" x14ac:dyDescent="0.25">
      <c r="A4386" s="21" t="str">
        <f>IF(C4386="","",COUNTA($C$3:C4386))</f>
        <v/>
      </c>
      <c r="B4386" s="35" t="str">
        <f t="shared" si="84"/>
        <v/>
      </c>
      <c r="C4386" s="15"/>
    </row>
    <row r="4387" spans="1:3" x14ac:dyDescent="0.25">
      <c r="A4387" s="21" t="str">
        <f>IF(C4387="","",COUNTA($C$3:C4387))</f>
        <v/>
      </c>
      <c r="B4387" s="35" t="str">
        <f t="shared" si="84"/>
        <v/>
      </c>
      <c r="C4387" s="15"/>
    </row>
    <row r="4388" spans="1:3" x14ac:dyDescent="0.25">
      <c r="A4388" s="21" t="str">
        <f>IF(C4388="","",COUNTA($C$3:C4388))</f>
        <v/>
      </c>
      <c r="B4388" s="35" t="str">
        <f t="shared" si="84"/>
        <v/>
      </c>
      <c r="C4388" s="15"/>
    </row>
    <row r="4389" spans="1:3" x14ac:dyDescent="0.25">
      <c r="A4389" s="21" t="str">
        <f>IF(C4389="","",COUNTA($C$3:C4389))</f>
        <v/>
      </c>
      <c r="B4389" s="35" t="str">
        <f t="shared" si="84"/>
        <v/>
      </c>
      <c r="C4389" s="15"/>
    </row>
    <row r="4390" spans="1:3" x14ac:dyDescent="0.25">
      <c r="A4390" s="21" t="str">
        <f>IF(C4390="","",COUNTA($C$3:C4390))</f>
        <v/>
      </c>
      <c r="B4390" s="35" t="str">
        <f t="shared" si="84"/>
        <v/>
      </c>
      <c r="C4390" s="15"/>
    </row>
    <row r="4391" spans="1:3" x14ac:dyDescent="0.25">
      <c r="A4391" s="21" t="str">
        <f>IF(C4391="","",COUNTA($C$3:C4391))</f>
        <v/>
      </c>
      <c r="B4391" s="35" t="str">
        <f t="shared" si="84"/>
        <v/>
      </c>
      <c r="C4391" s="15"/>
    </row>
    <row r="4392" spans="1:3" x14ac:dyDescent="0.25">
      <c r="A4392" s="21" t="str">
        <f>IF(C4392="","",COUNTA($C$3:C4392))</f>
        <v/>
      </c>
      <c r="B4392" s="35" t="str">
        <f t="shared" si="84"/>
        <v/>
      </c>
      <c r="C4392" s="15"/>
    </row>
    <row r="4393" spans="1:3" x14ac:dyDescent="0.25">
      <c r="A4393" s="21" t="str">
        <f>IF(C4393="","",COUNTA($C$3:C4393))</f>
        <v/>
      </c>
      <c r="B4393" s="35" t="str">
        <f t="shared" si="84"/>
        <v/>
      </c>
      <c r="C4393" s="15"/>
    </row>
    <row r="4394" spans="1:3" x14ac:dyDescent="0.25">
      <c r="A4394" s="21" t="str">
        <f>IF(C4394="","",COUNTA($C$3:C4394))</f>
        <v/>
      </c>
      <c r="B4394" s="35" t="str">
        <f t="shared" si="84"/>
        <v/>
      </c>
      <c r="C4394" s="15"/>
    </row>
    <row r="4395" spans="1:3" x14ac:dyDescent="0.25">
      <c r="A4395" s="21" t="str">
        <f>IF(C4395="","",COUNTA($C$3:C4395))</f>
        <v/>
      </c>
      <c r="B4395" s="35" t="str">
        <f t="shared" si="84"/>
        <v/>
      </c>
      <c r="C4395" s="15"/>
    </row>
    <row r="4396" spans="1:3" x14ac:dyDescent="0.25">
      <c r="A4396" s="21" t="str">
        <f>IF(C4396="","",COUNTA($C$3:C4396))</f>
        <v/>
      </c>
      <c r="B4396" s="35" t="str">
        <f t="shared" si="84"/>
        <v/>
      </c>
      <c r="C4396" s="15"/>
    </row>
    <row r="4397" spans="1:3" x14ac:dyDescent="0.25">
      <c r="A4397" s="21" t="str">
        <f>IF(C4397="","",COUNTA($C$3:C4397))</f>
        <v/>
      </c>
      <c r="B4397" s="35" t="str">
        <f t="shared" si="84"/>
        <v/>
      </c>
      <c r="C4397" s="15"/>
    </row>
    <row r="4398" spans="1:3" x14ac:dyDescent="0.25">
      <c r="A4398" s="21" t="str">
        <f>IF(C4398="","",COUNTA($C$3:C4398))</f>
        <v/>
      </c>
      <c r="B4398" s="35" t="str">
        <f t="shared" si="84"/>
        <v/>
      </c>
      <c r="C4398" s="15"/>
    </row>
    <row r="4399" spans="1:3" x14ac:dyDescent="0.25">
      <c r="A4399" s="21" t="str">
        <f>IF(C4399="","",COUNTA($C$3:C4399))</f>
        <v/>
      </c>
      <c r="B4399" s="35" t="str">
        <f t="shared" si="84"/>
        <v/>
      </c>
      <c r="C4399" s="15"/>
    </row>
    <row r="4400" spans="1:3" x14ac:dyDescent="0.25">
      <c r="A4400" s="21" t="str">
        <f>IF(C4400="","",COUNTA($C$3:C4400))</f>
        <v/>
      </c>
      <c r="B4400" s="35" t="str">
        <f t="shared" si="84"/>
        <v/>
      </c>
      <c r="C4400" s="15"/>
    </row>
    <row r="4401" spans="1:3" x14ac:dyDescent="0.25">
      <c r="A4401" s="21" t="str">
        <f>IF(C4401="","",COUNTA($C$3:C4401))</f>
        <v/>
      </c>
      <c r="B4401" s="35" t="str">
        <f t="shared" si="84"/>
        <v/>
      </c>
      <c r="C4401" s="15"/>
    </row>
    <row r="4402" spans="1:3" x14ac:dyDescent="0.25">
      <c r="A4402" s="21" t="str">
        <f>IF(C4402="","",COUNTA($C$3:C4402))</f>
        <v/>
      </c>
      <c r="B4402" s="35" t="str">
        <f t="shared" si="84"/>
        <v/>
      </c>
      <c r="C4402" s="15"/>
    </row>
    <row r="4403" spans="1:3" x14ac:dyDescent="0.25">
      <c r="A4403" s="21" t="str">
        <f>IF(C4403="","",COUNTA($C$3:C4403))</f>
        <v/>
      </c>
      <c r="B4403" s="35" t="str">
        <f t="shared" si="84"/>
        <v/>
      </c>
      <c r="C4403" s="15"/>
    </row>
    <row r="4404" spans="1:3" x14ac:dyDescent="0.25">
      <c r="A4404" s="21" t="str">
        <f>IF(C4404="","",COUNTA($C$3:C4404))</f>
        <v/>
      </c>
      <c r="B4404" s="35" t="str">
        <f t="shared" si="84"/>
        <v/>
      </c>
      <c r="C4404" s="15"/>
    </row>
    <row r="4405" spans="1:3" x14ac:dyDescent="0.25">
      <c r="A4405" s="21" t="str">
        <f>IF(C4405="","",COUNTA($C$3:C4405))</f>
        <v/>
      </c>
      <c r="B4405" s="35" t="str">
        <f t="shared" si="84"/>
        <v/>
      </c>
      <c r="C4405" s="15"/>
    </row>
    <row r="4406" spans="1:3" x14ac:dyDescent="0.25">
      <c r="A4406" s="21" t="str">
        <f>IF(C4406="","",COUNTA($C$3:C4406))</f>
        <v/>
      </c>
      <c r="B4406" s="35" t="str">
        <f t="shared" si="84"/>
        <v/>
      </c>
      <c r="C4406" s="15"/>
    </row>
    <row r="4407" spans="1:3" x14ac:dyDescent="0.25">
      <c r="A4407" s="21" t="str">
        <f>IF(C4407="","",COUNTA($C$3:C4407))</f>
        <v/>
      </c>
      <c r="B4407" s="35" t="str">
        <f t="shared" si="84"/>
        <v/>
      </c>
      <c r="C4407" s="15"/>
    </row>
    <row r="4408" spans="1:3" x14ac:dyDescent="0.25">
      <c r="A4408" s="21" t="str">
        <f>IF(C4408="","",COUNTA($C$3:C4408))</f>
        <v/>
      </c>
      <c r="B4408" s="35" t="str">
        <f t="shared" si="84"/>
        <v/>
      </c>
      <c r="C4408" s="15"/>
    </row>
    <row r="4409" spans="1:3" x14ac:dyDescent="0.25">
      <c r="A4409" s="21" t="str">
        <f>IF(C4409="","",COUNTA($C$3:C4409))</f>
        <v/>
      </c>
      <c r="B4409" s="35" t="str">
        <f t="shared" si="84"/>
        <v/>
      </c>
      <c r="C4409" s="15"/>
    </row>
    <row r="4410" spans="1:3" x14ac:dyDescent="0.25">
      <c r="A4410" s="21" t="str">
        <f>IF(C4410="","",COUNTA($C$3:C4410))</f>
        <v/>
      </c>
      <c r="B4410" s="35" t="str">
        <f t="shared" si="84"/>
        <v/>
      </c>
      <c r="C4410" s="15"/>
    </row>
    <row r="4411" spans="1:3" x14ac:dyDescent="0.25">
      <c r="A4411" s="21" t="str">
        <f>IF(C4411="","",COUNTA($C$3:C4411))</f>
        <v/>
      </c>
      <c r="B4411" s="35" t="str">
        <f t="shared" si="84"/>
        <v/>
      </c>
      <c r="C4411" s="15"/>
    </row>
    <row r="4412" spans="1:3" x14ac:dyDescent="0.25">
      <c r="A4412" s="21" t="str">
        <f>IF(C4412="","",COUNTA($C$3:C4412))</f>
        <v/>
      </c>
      <c r="B4412" s="35" t="str">
        <f t="shared" si="84"/>
        <v/>
      </c>
      <c r="C4412" s="15"/>
    </row>
    <row r="4413" spans="1:3" x14ac:dyDescent="0.25">
      <c r="A4413" s="21" t="str">
        <f>IF(C4413="","",COUNTA($C$3:C4413))</f>
        <v/>
      </c>
      <c r="B4413" s="35" t="str">
        <f t="shared" si="84"/>
        <v/>
      </c>
      <c r="C4413" s="15"/>
    </row>
    <row r="4414" spans="1:3" x14ac:dyDescent="0.25">
      <c r="A4414" s="21" t="str">
        <f>IF(C4414="","",COUNTA($C$3:C4414))</f>
        <v/>
      </c>
      <c r="B4414" s="35" t="str">
        <f t="shared" si="84"/>
        <v/>
      </c>
      <c r="C4414" s="15"/>
    </row>
    <row r="4415" spans="1:3" x14ac:dyDescent="0.25">
      <c r="A4415" s="21" t="str">
        <f>IF(C4415="","",COUNTA($C$3:C4415))</f>
        <v/>
      </c>
      <c r="B4415" s="35" t="str">
        <f t="shared" si="84"/>
        <v/>
      </c>
      <c r="C4415" s="15"/>
    </row>
    <row r="4416" spans="1:3" x14ac:dyDescent="0.25">
      <c r="A4416" s="21" t="str">
        <f>IF(C4416="","",COUNTA($C$3:C4416))</f>
        <v/>
      </c>
      <c r="B4416" s="35" t="str">
        <f t="shared" si="84"/>
        <v/>
      </c>
      <c r="C4416" s="15"/>
    </row>
    <row r="4417" spans="1:3" x14ac:dyDescent="0.25">
      <c r="A4417" s="21" t="str">
        <f>IF(C4417="","",COUNTA($C$3:C4417))</f>
        <v/>
      </c>
      <c r="B4417" s="35" t="str">
        <f t="shared" si="84"/>
        <v/>
      </c>
      <c r="C4417" s="15"/>
    </row>
    <row r="4418" spans="1:3" x14ac:dyDescent="0.25">
      <c r="A4418" s="21" t="str">
        <f>IF(C4418="","",COUNTA($C$3:C4418))</f>
        <v/>
      </c>
      <c r="B4418" s="35" t="str">
        <f t="shared" si="84"/>
        <v/>
      </c>
      <c r="C4418" s="15"/>
    </row>
    <row r="4419" spans="1:3" x14ac:dyDescent="0.25">
      <c r="A4419" s="21" t="str">
        <f>IF(C4419="","",COUNTA($C$3:C4419))</f>
        <v/>
      </c>
      <c r="B4419" s="35" t="str">
        <f t="shared" si="84"/>
        <v/>
      </c>
      <c r="C4419" s="15"/>
    </row>
    <row r="4420" spans="1:3" x14ac:dyDescent="0.25">
      <c r="A4420" s="21" t="str">
        <f>IF(C4420="","",COUNTA($C$3:C4420))</f>
        <v/>
      </c>
      <c r="B4420" s="35" t="str">
        <f t="shared" si="84"/>
        <v/>
      </c>
      <c r="C4420" s="15"/>
    </row>
    <row r="4421" spans="1:3" x14ac:dyDescent="0.25">
      <c r="A4421" s="21" t="str">
        <f>IF(C4421="","",COUNTA($C$3:C4421))</f>
        <v/>
      </c>
      <c r="B4421" s="35" t="str">
        <f t="shared" ref="B4421:B4484" si="85">IF(C4421="","",TEXT(C4421,"mmmm"))</f>
        <v/>
      </c>
      <c r="C4421" s="15"/>
    </row>
    <row r="4422" spans="1:3" x14ac:dyDescent="0.25">
      <c r="A4422" s="21" t="str">
        <f>IF(C4422="","",COUNTA($C$3:C4422))</f>
        <v/>
      </c>
      <c r="B4422" s="35" t="str">
        <f t="shared" si="85"/>
        <v/>
      </c>
      <c r="C4422" s="15"/>
    </row>
    <row r="4423" spans="1:3" x14ac:dyDescent="0.25">
      <c r="A4423" s="21" t="str">
        <f>IF(C4423="","",COUNTA($C$3:C4423))</f>
        <v/>
      </c>
      <c r="B4423" s="35" t="str">
        <f t="shared" si="85"/>
        <v/>
      </c>
      <c r="C4423" s="15"/>
    </row>
    <row r="4424" spans="1:3" x14ac:dyDescent="0.25">
      <c r="A4424" s="21" t="str">
        <f>IF(C4424="","",COUNTA($C$3:C4424))</f>
        <v/>
      </c>
      <c r="B4424" s="35" t="str">
        <f t="shared" si="85"/>
        <v/>
      </c>
      <c r="C4424" s="15"/>
    </row>
    <row r="4425" spans="1:3" x14ac:dyDescent="0.25">
      <c r="A4425" s="21" t="str">
        <f>IF(C4425="","",COUNTA($C$3:C4425))</f>
        <v/>
      </c>
      <c r="B4425" s="35" t="str">
        <f t="shared" si="85"/>
        <v/>
      </c>
      <c r="C4425" s="15"/>
    </row>
    <row r="4426" spans="1:3" x14ac:dyDescent="0.25">
      <c r="A4426" s="21" t="str">
        <f>IF(C4426="","",COUNTA($C$3:C4426))</f>
        <v/>
      </c>
      <c r="B4426" s="35" t="str">
        <f t="shared" si="85"/>
        <v/>
      </c>
      <c r="C4426" s="15"/>
    </row>
    <row r="4427" spans="1:3" x14ac:dyDescent="0.25">
      <c r="A4427" s="21" t="str">
        <f>IF(C4427="","",COUNTA($C$3:C4427))</f>
        <v/>
      </c>
      <c r="B4427" s="35" t="str">
        <f t="shared" si="85"/>
        <v/>
      </c>
      <c r="C4427" s="15"/>
    </row>
    <row r="4428" spans="1:3" x14ac:dyDescent="0.25">
      <c r="A4428" s="21" t="str">
        <f>IF(C4428="","",COUNTA($C$3:C4428))</f>
        <v/>
      </c>
      <c r="B4428" s="35" t="str">
        <f t="shared" si="85"/>
        <v/>
      </c>
      <c r="C4428" s="15"/>
    </row>
    <row r="4429" spans="1:3" x14ac:dyDescent="0.25">
      <c r="A4429" s="21" t="str">
        <f>IF(C4429="","",COUNTA($C$3:C4429))</f>
        <v/>
      </c>
      <c r="B4429" s="35" t="str">
        <f t="shared" si="85"/>
        <v/>
      </c>
      <c r="C4429" s="15"/>
    </row>
    <row r="4430" spans="1:3" x14ac:dyDescent="0.25">
      <c r="A4430" s="21" t="str">
        <f>IF(C4430="","",COUNTA($C$3:C4430))</f>
        <v/>
      </c>
      <c r="B4430" s="35" t="str">
        <f t="shared" si="85"/>
        <v/>
      </c>
      <c r="C4430" s="15"/>
    </row>
    <row r="4431" spans="1:3" x14ac:dyDescent="0.25">
      <c r="A4431" s="21" t="str">
        <f>IF(C4431="","",COUNTA($C$3:C4431))</f>
        <v/>
      </c>
      <c r="B4431" s="35" t="str">
        <f t="shared" si="85"/>
        <v/>
      </c>
      <c r="C4431" s="15"/>
    </row>
    <row r="4432" spans="1:3" x14ac:dyDescent="0.25">
      <c r="A4432" s="21" t="str">
        <f>IF(C4432="","",COUNTA($C$3:C4432))</f>
        <v/>
      </c>
      <c r="B4432" s="35" t="str">
        <f t="shared" si="85"/>
        <v/>
      </c>
      <c r="C4432" s="15"/>
    </row>
    <row r="4433" spans="1:3" x14ac:dyDescent="0.25">
      <c r="A4433" s="21" t="str">
        <f>IF(C4433="","",COUNTA($C$3:C4433))</f>
        <v/>
      </c>
      <c r="B4433" s="35" t="str">
        <f t="shared" si="85"/>
        <v/>
      </c>
      <c r="C4433" s="15"/>
    </row>
    <row r="4434" spans="1:3" x14ac:dyDescent="0.25">
      <c r="A4434" s="21" t="str">
        <f>IF(C4434="","",COUNTA($C$3:C4434))</f>
        <v/>
      </c>
      <c r="B4434" s="35" t="str">
        <f t="shared" si="85"/>
        <v/>
      </c>
      <c r="C4434" s="15"/>
    </row>
    <row r="4435" spans="1:3" x14ac:dyDescent="0.25">
      <c r="A4435" s="21" t="str">
        <f>IF(C4435="","",COUNTA($C$3:C4435))</f>
        <v/>
      </c>
      <c r="B4435" s="35" t="str">
        <f t="shared" si="85"/>
        <v/>
      </c>
      <c r="C4435" s="15"/>
    </row>
    <row r="4436" spans="1:3" x14ac:dyDescent="0.25">
      <c r="A4436" s="21" t="str">
        <f>IF(C4436="","",COUNTA($C$3:C4436))</f>
        <v/>
      </c>
      <c r="B4436" s="35" t="str">
        <f t="shared" si="85"/>
        <v/>
      </c>
      <c r="C4436" s="15"/>
    </row>
    <row r="4437" spans="1:3" x14ac:dyDescent="0.25">
      <c r="A4437" s="21" t="str">
        <f>IF(C4437="","",COUNTA($C$3:C4437))</f>
        <v/>
      </c>
      <c r="B4437" s="35" t="str">
        <f t="shared" si="85"/>
        <v/>
      </c>
      <c r="C4437" s="15"/>
    </row>
    <row r="4438" spans="1:3" x14ac:dyDescent="0.25">
      <c r="A4438" s="21" t="str">
        <f>IF(C4438="","",COUNTA($C$3:C4438))</f>
        <v/>
      </c>
      <c r="B4438" s="35" t="str">
        <f t="shared" si="85"/>
        <v/>
      </c>
      <c r="C4438" s="15"/>
    </row>
    <row r="4439" spans="1:3" x14ac:dyDescent="0.25">
      <c r="A4439" s="21" t="str">
        <f>IF(C4439="","",COUNTA($C$3:C4439))</f>
        <v/>
      </c>
      <c r="B4439" s="35" t="str">
        <f t="shared" si="85"/>
        <v/>
      </c>
      <c r="C4439" s="15"/>
    </row>
    <row r="4440" spans="1:3" x14ac:dyDescent="0.25">
      <c r="A4440" s="21" t="str">
        <f>IF(C4440="","",COUNTA($C$3:C4440))</f>
        <v/>
      </c>
      <c r="B4440" s="35" t="str">
        <f t="shared" si="85"/>
        <v/>
      </c>
      <c r="C4440" s="15"/>
    </row>
    <row r="4441" spans="1:3" x14ac:dyDescent="0.25">
      <c r="A4441" s="21" t="str">
        <f>IF(C4441="","",COUNTA($C$3:C4441))</f>
        <v/>
      </c>
      <c r="B4441" s="35" t="str">
        <f t="shared" si="85"/>
        <v/>
      </c>
      <c r="C4441" s="15"/>
    </row>
    <row r="4442" spans="1:3" x14ac:dyDescent="0.25">
      <c r="A4442" s="21" t="str">
        <f>IF(C4442="","",COUNTA($C$3:C4442))</f>
        <v/>
      </c>
      <c r="B4442" s="35" t="str">
        <f t="shared" si="85"/>
        <v/>
      </c>
      <c r="C4442" s="15"/>
    </row>
    <row r="4443" spans="1:3" x14ac:dyDescent="0.25">
      <c r="A4443" s="21" t="str">
        <f>IF(C4443="","",COUNTA($C$3:C4443))</f>
        <v/>
      </c>
      <c r="B4443" s="35" t="str">
        <f t="shared" si="85"/>
        <v/>
      </c>
      <c r="C4443" s="15"/>
    </row>
    <row r="4444" spans="1:3" x14ac:dyDescent="0.25">
      <c r="A4444" s="21" t="str">
        <f>IF(C4444="","",COUNTA($C$3:C4444))</f>
        <v/>
      </c>
      <c r="B4444" s="35" t="str">
        <f t="shared" si="85"/>
        <v/>
      </c>
      <c r="C4444" s="15"/>
    </row>
    <row r="4445" spans="1:3" x14ac:dyDescent="0.25">
      <c r="A4445" s="21" t="str">
        <f>IF(C4445="","",COUNTA($C$3:C4445))</f>
        <v/>
      </c>
      <c r="B4445" s="35" t="str">
        <f t="shared" si="85"/>
        <v/>
      </c>
      <c r="C4445" s="15"/>
    </row>
    <row r="4446" spans="1:3" x14ac:dyDescent="0.25">
      <c r="A4446" s="21" t="str">
        <f>IF(C4446="","",COUNTA($C$3:C4446))</f>
        <v/>
      </c>
      <c r="B4446" s="35" t="str">
        <f t="shared" si="85"/>
        <v/>
      </c>
      <c r="C4446" s="15"/>
    </row>
    <row r="4447" spans="1:3" x14ac:dyDescent="0.25">
      <c r="A4447" s="21" t="str">
        <f>IF(C4447="","",COUNTA($C$3:C4447))</f>
        <v/>
      </c>
      <c r="B4447" s="35" t="str">
        <f t="shared" si="85"/>
        <v/>
      </c>
      <c r="C4447" s="15"/>
    </row>
    <row r="4448" spans="1:3" x14ac:dyDescent="0.25">
      <c r="A4448" s="21" t="str">
        <f>IF(C4448="","",COUNTA($C$3:C4448))</f>
        <v/>
      </c>
      <c r="B4448" s="35" t="str">
        <f t="shared" si="85"/>
        <v/>
      </c>
      <c r="C4448" s="15"/>
    </row>
    <row r="4449" spans="1:3" x14ac:dyDescent="0.25">
      <c r="A4449" s="21" t="str">
        <f>IF(C4449="","",COUNTA($C$3:C4449))</f>
        <v/>
      </c>
      <c r="B4449" s="35" t="str">
        <f t="shared" si="85"/>
        <v/>
      </c>
      <c r="C4449" s="15"/>
    </row>
    <row r="4450" spans="1:3" x14ac:dyDescent="0.25">
      <c r="A4450" s="21" t="str">
        <f>IF(C4450="","",COUNTA($C$3:C4450))</f>
        <v/>
      </c>
      <c r="B4450" s="35" t="str">
        <f t="shared" si="85"/>
        <v/>
      </c>
      <c r="C4450" s="15"/>
    </row>
    <row r="4451" spans="1:3" x14ac:dyDescent="0.25">
      <c r="A4451" s="21" t="str">
        <f>IF(C4451="","",COUNTA($C$3:C4451))</f>
        <v/>
      </c>
      <c r="B4451" s="35" t="str">
        <f t="shared" si="85"/>
        <v/>
      </c>
      <c r="C4451" s="15"/>
    </row>
    <row r="4452" spans="1:3" x14ac:dyDescent="0.25">
      <c r="A4452" s="21" t="str">
        <f>IF(C4452="","",COUNTA($C$3:C4452))</f>
        <v/>
      </c>
      <c r="B4452" s="35" t="str">
        <f t="shared" si="85"/>
        <v/>
      </c>
      <c r="C4452" s="15"/>
    </row>
    <row r="4453" spans="1:3" x14ac:dyDescent="0.25">
      <c r="A4453" s="21" t="str">
        <f>IF(C4453="","",COUNTA($C$3:C4453))</f>
        <v/>
      </c>
      <c r="B4453" s="35" t="str">
        <f t="shared" si="85"/>
        <v/>
      </c>
      <c r="C4453" s="15"/>
    </row>
    <row r="4454" spans="1:3" x14ac:dyDescent="0.25">
      <c r="A4454" s="21" t="str">
        <f>IF(C4454="","",COUNTA($C$3:C4454))</f>
        <v/>
      </c>
      <c r="B4454" s="35" t="str">
        <f t="shared" si="85"/>
        <v/>
      </c>
      <c r="C4454" s="15"/>
    </row>
    <row r="4455" spans="1:3" x14ac:dyDescent="0.25">
      <c r="A4455" s="21" t="str">
        <f>IF(C4455="","",COUNTA($C$3:C4455))</f>
        <v/>
      </c>
      <c r="B4455" s="35" t="str">
        <f t="shared" si="85"/>
        <v/>
      </c>
      <c r="C4455" s="15"/>
    </row>
    <row r="4456" spans="1:3" x14ac:dyDescent="0.25">
      <c r="A4456" s="21" t="str">
        <f>IF(C4456="","",COUNTA($C$3:C4456))</f>
        <v/>
      </c>
      <c r="B4456" s="35" t="str">
        <f t="shared" si="85"/>
        <v/>
      </c>
      <c r="C4456" s="15"/>
    </row>
    <row r="4457" spans="1:3" x14ac:dyDescent="0.25">
      <c r="A4457" s="21" t="str">
        <f>IF(C4457="","",COUNTA($C$3:C4457))</f>
        <v/>
      </c>
      <c r="B4457" s="35" t="str">
        <f t="shared" si="85"/>
        <v/>
      </c>
      <c r="C4457" s="15"/>
    </row>
    <row r="4458" spans="1:3" x14ac:dyDescent="0.25">
      <c r="A4458" s="21" t="str">
        <f>IF(C4458="","",COUNTA($C$3:C4458))</f>
        <v/>
      </c>
      <c r="B4458" s="35" t="str">
        <f t="shared" si="85"/>
        <v/>
      </c>
      <c r="C4458" s="15"/>
    </row>
    <row r="4459" spans="1:3" x14ac:dyDescent="0.25">
      <c r="A4459" s="21" t="str">
        <f>IF(C4459="","",COUNTA($C$3:C4459))</f>
        <v/>
      </c>
      <c r="B4459" s="35" t="str">
        <f t="shared" si="85"/>
        <v/>
      </c>
      <c r="C4459" s="15"/>
    </row>
    <row r="4460" spans="1:3" x14ac:dyDescent="0.25">
      <c r="A4460" s="21" t="str">
        <f>IF(C4460="","",COUNTA($C$3:C4460))</f>
        <v/>
      </c>
      <c r="B4460" s="35" t="str">
        <f t="shared" si="85"/>
        <v/>
      </c>
      <c r="C4460" s="15"/>
    </row>
    <row r="4461" spans="1:3" x14ac:dyDescent="0.25">
      <c r="A4461" s="21" t="str">
        <f>IF(C4461="","",COUNTA($C$3:C4461))</f>
        <v/>
      </c>
      <c r="B4461" s="35" t="str">
        <f t="shared" si="85"/>
        <v/>
      </c>
      <c r="C4461" s="15"/>
    </row>
    <row r="4462" spans="1:3" x14ac:dyDescent="0.25">
      <c r="A4462" s="21" t="str">
        <f>IF(C4462="","",COUNTA($C$3:C4462))</f>
        <v/>
      </c>
      <c r="B4462" s="35" t="str">
        <f t="shared" si="85"/>
        <v/>
      </c>
      <c r="C4462" s="15"/>
    </row>
    <row r="4463" spans="1:3" x14ac:dyDescent="0.25">
      <c r="A4463" s="21" t="str">
        <f>IF(C4463="","",COUNTA($C$3:C4463))</f>
        <v/>
      </c>
      <c r="B4463" s="35" t="str">
        <f t="shared" si="85"/>
        <v/>
      </c>
      <c r="C4463" s="15"/>
    </row>
    <row r="4464" spans="1:3" x14ac:dyDescent="0.25">
      <c r="A4464" s="21" t="str">
        <f>IF(C4464="","",COUNTA($C$3:C4464))</f>
        <v/>
      </c>
      <c r="B4464" s="35" t="str">
        <f t="shared" si="85"/>
        <v/>
      </c>
      <c r="C4464" s="15"/>
    </row>
    <row r="4465" spans="1:3" x14ac:dyDescent="0.25">
      <c r="A4465" s="21" t="str">
        <f>IF(C4465="","",COUNTA($C$3:C4465))</f>
        <v/>
      </c>
      <c r="B4465" s="35" t="str">
        <f t="shared" si="85"/>
        <v/>
      </c>
      <c r="C4465" s="15"/>
    </row>
    <row r="4466" spans="1:3" x14ac:dyDescent="0.25">
      <c r="A4466" s="21" t="str">
        <f>IF(C4466="","",COUNTA($C$3:C4466))</f>
        <v/>
      </c>
      <c r="B4466" s="35" t="str">
        <f t="shared" si="85"/>
        <v/>
      </c>
      <c r="C4466" s="15"/>
    </row>
    <row r="4467" spans="1:3" x14ac:dyDescent="0.25">
      <c r="A4467" s="21" t="str">
        <f>IF(C4467="","",COUNTA($C$3:C4467))</f>
        <v/>
      </c>
      <c r="B4467" s="35" t="str">
        <f t="shared" si="85"/>
        <v/>
      </c>
      <c r="C4467" s="15"/>
    </row>
    <row r="4468" spans="1:3" x14ac:dyDescent="0.25">
      <c r="A4468" s="21" t="str">
        <f>IF(C4468="","",COUNTA($C$3:C4468))</f>
        <v/>
      </c>
      <c r="B4468" s="35" t="str">
        <f t="shared" si="85"/>
        <v/>
      </c>
      <c r="C4468" s="15"/>
    </row>
    <row r="4469" spans="1:3" x14ac:dyDescent="0.25">
      <c r="A4469" s="21" t="str">
        <f>IF(C4469="","",COUNTA($C$3:C4469))</f>
        <v/>
      </c>
      <c r="B4469" s="35" t="str">
        <f t="shared" si="85"/>
        <v/>
      </c>
      <c r="C4469" s="15"/>
    </row>
    <row r="4470" spans="1:3" x14ac:dyDescent="0.25">
      <c r="A4470" s="21" t="str">
        <f>IF(C4470="","",COUNTA($C$3:C4470))</f>
        <v/>
      </c>
      <c r="B4470" s="35" t="str">
        <f t="shared" si="85"/>
        <v/>
      </c>
      <c r="C4470" s="15"/>
    </row>
    <row r="4471" spans="1:3" x14ac:dyDescent="0.25">
      <c r="A4471" s="21" t="str">
        <f>IF(C4471="","",COUNTA($C$3:C4471))</f>
        <v/>
      </c>
      <c r="B4471" s="35" t="str">
        <f t="shared" si="85"/>
        <v/>
      </c>
      <c r="C4471" s="15"/>
    </row>
    <row r="4472" spans="1:3" x14ac:dyDescent="0.25">
      <c r="A4472" s="21" t="str">
        <f>IF(C4472="","",COUNTA($C$3:C4472))</f>
        <v/>
      </c>
      <c r="B4472" s="35" t="str">
        <f t="shared" si="85"/>
        <v/>
      </c>
      <c r="C4472" s="15"/>
    </row>
    <row r="4473" spans="1:3" x14ac:dyDescent="0.25">
      <c r="A4473" s="21" t="str">
        <f>IF(C4473="","",COUNTA($C$3:C4473))</f>
        <v/>
      </c>
      <c r="B4473" s="35" t="str">
        <f t="shared" si="85"/>
        <v/>
      </c>
      <c r="C4473" s="15"/>
    </row>
    <row r="4474" spans="1:3" x14ac:dyDescent="0.25">
      <c r="A4474" s="21" t="str">
        <f>IF(C4474="","",COUNTA($C$3:C4474))</f>
        <v/>
      </c>
      <c r="B4474" s="35" t="str">
        <f t="shared" si="85"/>
        <v/>
      </c>
      <c r="C4474" s="15"/>
    </row>
    <row r="4475" spans="1:3" x14ac:dyDescent="0.25">
      <c r="A4475" s="21" t="str">
        <f>IF(C4475="","",COUNTA($C$3:C4475))</f>
        <v/>
      </c>
      <c r="B4475" s="35" t="str">
        <f t="shared" si="85"/>
        <v/>
      </c>
      <c r="C4475" s="15"/>
    </row>
    <row r="4476" spans="1:3" x14ac:dyDescent="0.25">
      <c r="A4476" s="21" t="str">
        <f>IF(C4476="","",COUNTA($C$3:C4476))</f>
        <v/>
      </c>
      <c r="B4476" s="35" t="str">
        <f t="shared" si="85"/>
        <v/>
      </c>
      <c r="C4476" s="15"/>
    </row>
    <row r="4477" spans="1:3" x14ac:dyDescent="0.25">
      <c r="A4477" s="21" t="str">
        <f>IF(C4477="","",COUNTA($C$3:C4477))</f>
        <v/>
      </c>
      <c r="B4477" s="35" t="str">
        <f t="shared" si="85"/>
        <v/>
      </c>
      <c r="C4477" s="15"/>
    </row>
    <row r="4478" spans="1:3" x14ac:dyDescent="0.25">
      <c r="A4478" s="21" t="str">
        <f>IF(C4478="","",COUNTA($C$3:C4478))</f>
        <v/>
      </c>
      <c r="B4478" s="35" t="str">
        <f t="shared" si="85"/>
        <v/>
      </c>
      <c r="C4478" s="15"/>
    </row>
    <row r="4479" spans="1:3" x14ac:dyDescent="0.25">
      <c r="A4479" s="21" t="str">
        <f>IF(C4479="","",COUNTA($C$3:C4479))</f>
        <v/>
      </c>
      <c r="B4479" s="35" t="str">
        <f t="shared" si="85"/>
        <v/>
      </c>
      <c r="C4479" s="15"/>
    </row>
    <row r="4480" spans="1:3" x14ac:dyDescent="0.25">
      <c r="A4480" s="21" t="str">
        <f>IF(C4480="","",COUNTA($C$3:C4480))</f>
        <v/>
      </c>
      <c r="B4480" s="35" t="str">
        <f t="shared" si="85"/>
        <v/>
      </c>
      <c r="C4480" s="15"/>
    </row>
    <row r="4481" spans="1:3" x14ac:dyDescent="0.25">
      <c r="A4481" s="21" t="str">
        <f>IF(C4481="","",COUNTA($C$3:C4481))</f>
        <v/>
      </c>
      <c r="B4481" s="35" t="str">
        <f t="shared" si="85"/>
        <v/>
      </c>
      <c r="C4481" s="15"/>
    </row>
    <row r="4482" spans="1:3" x14ac:dyDescent="0.25">
      <c r="A4482" s="21" t="str">
        <f>IF(C4482="","",COUNTA($C$3:C4482))</f>
        <v/>
      </c>
      <c r="B4482" s="35" t="str">
        <f t="shared" si="85"/>
        <v/>
      </c>
      <c r="C4482" s="15"/>
    </row>
    <row r="4483" spans="1:3" x14ac:dyDescent="0.25">
      <c r="A4483" s="21" t="str">
        <f>IF(C4483="","",COUNTA($C$3:C4483))</f>
        <v/>
      </c>
      <c r="B4483" s="35" t="str">
        <f t="shared" si="85"/>
        <v/>
      </c>
      <c r="C4483" s="15"/>
    </row>
    <row r="4484" spans="1:3" x14ac:dyDescent="0.25">
      <c r="A4484" s="21" t="str">
        <f>IF(C4484="","",COUNTA($C$3:C4484))</f>
        <v/>
      </c>
      <c r="B4484" s="35" t="str">
        <f t="shared" si="85"/>
        <v/>
      </c>
      <c r="C4484" s="15"/>
    </row>
    <row r="4485" spans="1:3" x14ac:dyDescent="0.25">
      <c r="A4485" s="21" t="str">
        <f>IF(C4485="","",COUNTA($C$3:C4485))</f>
        <v/>
      </c>
      <c r="B4485" s="35" t="str">
        <f t="shared" ref="B4485:B4548" si="86">IF(C4485="","",TEXT(C4485,"mmmm"))</f>
        <v/>
      </c>
      <c r="C4485" s="15"/>
    </row>
    <row r="4486" spans="1:3" x14ac:dyDescent="0.25">
      <c r="A4486" s="21" t="str">
        <f>IF(C4486="","",COUNTA($C$3:C4486))</f>
        <v/>
      </c>
      <c r="B4486" s="35" t="str">
        <f t="shared" si="86"/>
        <v/>
      </c>
      <c r="C4486" s="15"/>
    </row>
    <row r="4487" spans="1:3" x14ac:dyDescent="0.25">
      <c r="A4487" s="21" t="str">
        <f>IF(C4487="","",COUNTA($C$3:C4487))</f>
        <v/>
      </c>
      <c r="B4487" s="35" t="str">
        <f t="shared" si="86"/>
        <v/>
      </c>
      <c r="C4487" s="15"/>
    </row>
    <row r="4488" spans="1:3" x14ac:dyDescent="0.25">
      <c r="A4488" s="21" t="str">
        <f>IF(C4488="","",COUNTA($C$3:C4488))</f>
        <v/>
      </c>
      <c r="B4488" s="35" t="str">
        <f t="shared" si="86"/>
        <v/>
      </c>
      <c r="C4488" s="15"/>
    </row>
    <row r="4489" spans="1:3" x14ac:dyDescent="0.25">
      <c r="A4489" s="21" t="str">
        <f>IF(C4489="","",COUNTA($C$3:C4489))</f>
        <v/>
      </c>
      <c r="B4489" s="35" t="str">
        <f t="shared" si="86"/>
        <v/>
      </c>
      <c r="C4489" s="15"/>
    </row>
    <row r="4490" spans="1:3" x14ac:dyDescent="0.25">
      <c r="A4490" s="21" t="str">
        <f>IF(C4490="","",COUNTA($C$3:C4490))</f>
        <v/>
      </c>
      <c r="B4490" s="35" t="str">
        <f t="shared" si="86"/>
        <v/>
      </c>
      <c r="C4490" s="15"/>
    </row>
    <row r="4491" spans="1:3" x14ac:dyDescent="0.25">
      <c r="A4491" s="21" t="str">
        <f>IF(C4491="","",COUNTA($C$3:C4491))</f>
        <v/>
      </c>
      <c r="B4491" s="35" t="str">
        <f t="shared" si="86"/>
        <v/>
      </c>
      <c r="C4491" s="15"/>
    </row>
    <row r="4492" spans="1:3" x14ac:dyDescent="0.25">
      <c r="A4492" s="21" t="str">
        <f>IF(C4492="","",COUNTA($C$3:C4492))</f>
        <v/>
      </c>
      <c r="B4492" s="35" t="str">
        <f t="shared" si="86"/>
        <v/>
      </c>
      <c r="C4492" s="15"/>
    </row>
    <row r="4493" spans="1:3" x14ac:dyDescent="0.25">
      <c r="A4493" s="21" t="str">
        <f>IF(C4493="","",COUNTA($C$3:C4493))</f>
        <v/>
      </c>
      <c r="B4493" s="35" t="str">
        <f t="shared" si="86"/>
        <v/>
      </c>
      <c r="C4493" s="15"/>
    </row>
    <row r="4494" spans="1:3" x14ac:dyDescent="0.25">
      <c r="A4494" s="21" t="str">
        <f>IF(C4494="","",COUNTA($C$3:C4494))</f>
        <v/>
      </c>
      <c r="B4494" s="35" t="str">
        <f t="shared" si="86"/>
        <v/>
      </c>
      <c r="C4494" s="15"/>
    </row>
    <row r="4495" spans="1:3" x14ac:dyDescent="0.25">
      <c r="A4495" s="21" t="str">
        <f>IF(C4495="","",COUNTA($C$3:C4495))</f>
        <v/>
      </c>
      <c r="B4495" s="35" t="str">
        <f t="shared" si="86"/>
        <v/>
      </c>
      <c r="C4495" s="15"/>
    </row>
    <row r="4496" spans="1:3" x14ac:dyDescent="0.25">
      <c r="A4496" s="21" t="str">
        <f>IF(C4496="","",COUNTA($C$3:C4496))</f>
        <v/>
      </c>
      <c r="B4496" s="35" t="str">
        <f t="shared" si="86"/>
        <v/>
      </c>
      <c r="C4496" s="15"/>
    </row>
    <row r="4497" spans="1:3" x14ac:dyDescent="0.25">
      <c r="A4497" s="21" t="str">
        <f>IF(C4497="","",COUNTA($C$3:C4497))</f>
        <v/>
      </c>
      <c r="B4497" s="35" t="str">
        <f t="shared" si="86"/>
        <v/>
      </c>
      <c r="C4497" s="15"/>
    </row>
    <row r="4498" spans="1:3" x14ac:dyDescent="0.25">
      <c r="A4498" s="21" t="str">
        <f>IF(C4498="","",COUNTA($C$3:C4498))</f>
        <v/>
      </c>
      <c r="B4498" s="35" t="str">
        <f t="shared" si="86"/>
        <v/>
      </c>
      <c r="C4498" s="15"/>
    </row>
    <row r="4499" spans="1:3" x14ac:dyDescent="0.25">
      <c r="A4499" s="21" t="str">
        <f>IF(C4499="","",COUNTA($C$3:C4499))</f>
        <v/>
      </c>
      <c r="B4499" s="35" t="str">
        <f t="shared" si="86"/>
        <v/>
      </c>
      <c r="C4499" s="15"/>
    </row>
    <row r="4500" spans="1:3" x14ac:dyDescent="0.25">
      <c r="A4500" s="21" t="str">
        <f>IF(C4500="","",COUNTA($C$3:C4500))</f>
        <v/>
      </c>
      <c r="B4500" s="35" t="str">
        <f t="shared" si="86"/>
        <v/>
      </c>
      <c r="C4500" s="15"/>
    </row>
    <row r="4501" spans="1:3" x14ac:dyDescent="0.25">
      <c r="A4501" s="21" t="str">
        <f>IF(C4501="","",COUNTA($C$3:C4501))</f>
        <v/>
      </c>
      <c r="B4501" s="35" t="str">
        <f t="shared" si="86"/>
        <v/>
      </c>
      <c r="C4501" s="15"/>
    </row>
    <row r="4502" spans="1:3" x14ac:dyDescent="0.25">
      <c r="A4502" s="21" t="str">
        <f>IF(C4502="","",COUNTA($C$3:C4502))</f>
        <v/>
      </c>
      <c r="B4502" s="35" t="str">
        <f t="shared" si="86"/>
        <v/>
      </c>
      <c r="C4502" s="15"/>
    </row>
    <row r="4503" spans="1:3" x14ac:dyDescent="0.25">
      <c r="A4503" s="21" t="str">
        <f>IF(C4503="","",COUNTA($C$3:C4503))</f>
        <v/>
      </c>
      <c r="B4503" s="35" t="str">
        <f t="shared" si="86"/>
        <v/>
      </c>
      <c r="C4503" s="15"/>
    </row>
    <row r="4504" spans="1:3" x14ac:dyDescent="0.25">
      <c r="A4504" s="21" t="str">
        <f>IF(C4504="","",COUNTA($C$3:C4504))</f>
        <v/>
      </c>
      <c r="B4504" s="35" t="str">
        <f t="shared" si="86"/>
        <v/>
      </c>
      <c r="C4504" s="15"/>
    </row>
    <row r="4505" spans="1:3" x14ac:dyDescent="0.25">
      <c r="A4505" s="21" t="str">
        <f>IF(C4505="","",COUNTA($C$3:C4505))</f>
        <v/>
      </c>
      <c r="B4505" s="35" t="str">
        <f t="shared" si="86"/>
        <v/>
      </c>
      <c r="C4505" s="15"/>
    </row>
    <row r="4506" spans="1:3" x14ac:dyDescent="0.25">
      <c r="A4506" s="21" t="str">
        <f>IF(C4506="","",COUNTA($C$3:C4506))</f>
        <v/>
      </c>
      <c r="B4506" s="35" t="str">
        <f t="shared" si="86"/>
        <v/>
      </c>
      <c r="C4506" s="15"/>
    </row>
    <row r="4507" spans="1:3" x14ac:dyDescent="0.25">
      <c r="A4507" s="21" t="str">
        <f>IF(C4507="","",COUNTA($C$3:C4507))</f>
        <v/>
      </c>
      <c r="B4507" s="35" t="str">
        <f t="shared" si="86"/>
        <v/>
      </c>
      <c r="C4507" s="15"/>
    </row>
    <row r="4508" spans="1:3" x14ac:dyDescent="0.25">
      <c r="A4508" s="21" t="str">
        <f>IF(C4508="","",COUNTA($C$3:C4508))</f>
        <v/>
      </c>
      <c r="B4508" s="35" t="str">
        <f t="shared" si="86"/>
        <v/>
      </c>
      <c r="C4508" s="15"/>
    </row>
    <row r="4509" spans="1:3" x14ac:dyDescent="0.25">
      <c r="A4509" s="21" t="str">
        <f>IF(C4509="","",COUNTA($C$3:C4509))</f>
        <v/>
      </c>
      <c r="B4509" s="35" t="str">
        <f t="shared" si="86"/>
        <v/>
      </c>
      <c r="C4509" s="15"/>
    </row>
    <row r="4510" spans="1:3" x14ac:dyDescent="0.25">
      <c r="A4510" s="21" t="str">
        <f>IF(C4510="","",COUNTA($C$3:C4510))</f>
        <v/>
      </c>
      <c r="B4510" s="35" t="str">
        <f t="shared" si="86"/>
        <v/>
      </c>
      <c r="C4510" s="15"/>
    </row>
    <row r="4511" spans="1:3" x14ac:dyDescent="0.25">
      <c r="A4511" s="21" t="str">
        <f>IF(C4511="","",COUNTA($C$3:C4511))</f>
        <v/>
      </c>
      <c r="B4511" s="35" t="str">
        <f t="shared" si="86"/>
        <v/>
      </c>
      <c r="C4511" s="15"/>
    </row>
    <row r="4512" spans="1:3" x14ac:dyDescent="0.25">
      <c r="A4512" s="21" t="str">
        <f>IF(C4512="","",COUNTA($C$3:C4512))</f>
        <v/>
      </c>
      <c r="B4512" s="35" t="str">
        <f t="shared" si="86"/>
        <v/>
      </c>
      <c r="C4512" s="15"/>
    </row>
    <row r="4513" spans="1:3" x14ac:dyDescent="0.25">
      <c r="A4513" s="21" t="str">
        <f>IF(C4513="","",COUNTA($C$3:C4513))</f>
        <v/>
      </c>
      <c r="B4513" s="35" t="str">
        <f t="shared" si="86"/>
        <v/>
      </c>
      <c r="C4513" s="15"/>
    </row>
    <row r="4514" spans="1:3" x14ac:dyDescent="0.25">
      <c r="A4514" s="21" t="str">
        <f>IF(C4514="","",COUNTA($C$3:C4514))</f>
        <v/>
      </c>
      <c r="B4514" s="35" t="str">
        <f t="shared" si="86"/>
        <v/>
      </c>
      <c r="C4514" s="15"/>
    </row>
    <row r="4515" spans="1:3" x14ac:dyDescent="0.25">
      <c r="A4515" s="21" t="str">
        <f>IF(C4515="","",COUNTA($C$3:C4515))</f>
        <v/>
      </c>
      <c r="B4515" s="35" t="str">
        <f t="shared" si="86"/>
        <v/>
      </c>
      <c r="C4515" s="15"/>
    </row>
    <row r="4516" spans="1:3" x14ac:dyDescent="0.25">
      <c r="A4516" s="21" t="str">
        <f>IF(C4516="","",COUNTA($C$3:C4516))</f>
        <v/>
      </c>
      <c r="B4516" s="35" t="str">
        <f t="shared" si="86"/>
        <v/>
      </c>
      <c r="C4516" s="15"/>
    </row>
    <row r="4517" spans="1:3" x14ac:dyDescent="0.25">
      <c r="A4517" s="21" t="str">
        <f>IF(C4517="","",COUNTA($C$3:C4517))</f>
        <v/>
      </c>
      <c r="B4517" s="35" t="str">
        <f t="shared" si="86"/>
        <v/>
      </c>
      <c r="C4517" s="15"/>
    </row>
    <row r="4518" spans="1:3" x14ac:dyDescent="0.25">
      <c r="A4518" s="21" t="str">
        <f>IF(C4518="","",COUNTA($C$3:C4518))</f>
        <v/>
      </c>
      <c r="B4518" s="35" t="str">
        <f t="shared" si="86"/>
        <v/>
      </c>
      <c r="C4518" s="15"/>
    </row>
    <row r="4519" spans="1:3" x14ac:dyDescent="0.25">
      <c r="A4519" s="21" t="str">
        <f>IF(C4519="","",COUNTA($C$3:C4519))</f>
        <v/>
      </c>
      <c r="B4519" s="35" t="str">
        <f t="shared" si="86"/>
        <v/>
      </c>
      <c r="C4519" s="15"/>
    </row>
    <row r="4520" spans="1:3" x14ac:dyDescent="0.25">
      <c r="A4520" s="21" t="str">
        <f>IF(C4520="","",COUNTA($C$3:C4520))</f>
        <v/>
      </c>
      <c r="B4520" s="35" t="str">
        <f t="shared" si="86"/>
        <v/>
      </c>
      <c r="C4520" s="15"/>
    </row>
    <row r="4521" spans="1:3" x14ac:dyDescent="0.25">
      <c r="A4521" s="21" t="str">
        <f>IF(C4521="","",COUNTA($C$3:C4521))</f>
        <v/>
      </c>
      <c r="B4521" s="35" t="str">
        <f t="shared" si="86"/>
        <v/>
      </c>
      <c r="C4521" s="15"/>
    </row>
    <row r="4522" spans="1:3" x14ac:dyDescent="0.25">
      <c r="A4522" s="21" t="str">
        <f>IF(C4522="","",COUNTA($C$3:C4522))</f>
        <v/>
      </c>
      <c r="B4522" s="35" t="str">
        <f t="shared" si="86"/>
        <v/>
      </c>
      <c r="C4522" s="15"/>
    </row>
    <row r="4523" spans="1:3" x14ac:dyDescent="0.25">
      <c r="A4523" s="21" t="str">
        <f>IF(C4523="","",COUNTA($C$3:C4523))</f>
        <v/>
      </c>
      <c r="B4523" s="35" t="str">
        <f t="shared" si="86"/>
        <v/>
      </c>
      <c r="C4523" s="15"/>
    </row>
    <row r="4524" spans="1:3" x14ac:dyDescent="0.25">
      <c r="A4524" s="21" t="str">
        <f>IF(C4524="","",COUNTA($C$3:C4524))</f>
        <v/>
      </c>
      <c r="B4524" s="35" t="str">
        <f t="shared" si="86"/>
        <v/>
      </c>
      <c r="C4524" s="15"/>
    </row>
    <row r="4525" spans="1:3" x14ac:dyDescent="0.25">
      <c r="A4525" s="21" t="str">
        <f>IF(C4525="","",COUNTA($C$3:C4525))</f>
        <v/>
      </c>
      <c r="B4525" s="35" t="str">
        <f t="shared" si="86"/>
        <v/>
      </c>
      <c r="C4525" s="15"/>
    </row>
    <row r="4526" spans="1:3" x14ac:dyDescent="0.25">
      <c r="A4526" s="21" t="str">
        <f>IF(C4526="","",COUNTA($C$3:C4526))</f>
        <v/>
      </c>
      <c r="B4526" s="35" t="str">
        <f t="shared" si="86"/>
        <v/>
      </c>
      <c r="C4526" s="15"/>
    </row>
    <row r="4527" spans="1:3" x14ac:dyDescent="0.25">
      <c r="A4527" s="21" t="str">
        <f>IF(C4527="","",COUNTA($C$3:C4527))</f>
        <v/>
      </c>
      <c r="B4527" s="35" t="str">
        <f t="shared" si="86"/>
        <v/>
      </c>
      <c r="C4527" s="15"/>
    </row>
    <row r="4528" spans="1:3" x14ac:dyDescent="0.25">
      <c r="A4528" s="21" t="str">
        <f>IF(C4528="","",COUNTA($C$3:C4528))</f>
        <v/>
      </c>
      <c r="B4528" s="35" t="str">
        <f t="shared" si="86"/>
        <v/>
      </c>
      <c r="C4528" s="15"/>
    </row>
    <row r="4529" spans="1:3" x14ac:dyDescent="0.25">
      <c r="A4529" s="21" t="str">
        <f>IF(C4529="","",COUNTA($C$3:C4529))</f>
        <v/>
      </c>
      <c r="B4529" s="35" t="str">
        <f t="shared" si="86"/>
        <v/>
      </c>
      <c r="C4529" s="15"/>
    </row>
    <row r="4530" spans="1:3" x14ac:dyDescent="0.25">
      <c r="A4530" s="21" t="str">
        <f>IF(C4530="","",COUNTA($C$3:C4530))</f>
        <v/>
      </c>
      <c r="B4530" s="35" t="str">
        <f t="shared" si="86"/>
        <v/>
      </c>
      <c r="C4530" s="15"/>
    </row>
    <row r="4531" spans="1:3" x14ac:dyDescent="0.25">
      <c r="A4531" s="21" t="str">
        <f>IF(C4531="","",COUNTA($C$3:C4531))</f>
        <v/>
      </c>
      <c r="B4531" s="35" t="str">
        <f t="shared" si="86"/>
        <v/>
      </c>
      <c r="C4531" s="15"/>
    </row>
    <row r="4532" spans="1:3" x14ac:dyDescent="0.25">
      <c r="A4532" s="21" t="str">
        <f>IF(C4532="","",COUNTA($C$3:C4532))</f>
        <v/>
      </c>
      <c r="B4532" s="35" t="str">
        <f t="shared" si="86"/>
        <v/>
      </c>
      <c r="C4532" s="15"/>
    </row>
    <row r="4533" spans="1:3" x14ac:dyDescent="0.25">
      <c r="A4533" s="21" t="str">
        <f>IF(C4533="","",COUNTA($C$3:C4533))</f>
        <v/>
      </c>
      <c r="B4533" s="35" t="str">
        <f t="shared" si="86"/>
        <v/>
      </c>
      <c r="C4533" s="15"/>
    </row>
    <row r="4534" spans="1:3" x14ac:dyDescent="0.25">
      <c r="A4534" s="21" t="str">
        <f>IF(C4534="","",COUNTA($C$3:C4534))</f>
        <v/>
      </c>
      <c r="B4534" s="35" t="str">
        <f t="shared" si="86"/>
        <v/>
      </c>
      <c r="C4534" s="15"/>
    </row>
    <row r="4535" spans="1:3" x14ac:dyDescent="0.25">
      <c r="A4535" s="21" t="str">
        <f>IF(C4535="","",COUNTA($C$3:C4535))</f>
        <v/>
      </c>
      <c r="B4535" s="35" t="str">
        <f t="shared" si="86"/>
        <v/>
      </c>
      <c r="C4535" s="15"/>
    </row>
    <row r="4536" spans="1:3" x14ac:dyDescent="0.25">
      <c r="A4536" s="21" t="str">
        <f>IF(C4536="","",COUNTA($C$3:C4536))</f>
        <v/>
      </c>
      <c r="B4536" s="35" t="str">
        <f t="shared" si="86"/>
        <v/>
      </c>
      <c r="C4536" s="15"/>
    </row>
    <row r="4537" spans="1:3" x14ac:dyDescent="0.25">
      <c r="A4537" s="21" t="str">
        <f>IF(C4537="","",COUNTA($C$3:C4537))</f>
        <v/>
      </c>
      <c r="B4537" s="35" t="str">
        <f t="shared" si="86"/>
        <v/>
      </c>
      <c r="C4537" s="15"/>
    </row>
    <row r="4538" spans="1:3" x14ac:dyDescent="0.25">
      <c r="A4538" s="21" t="str">
        <f>IF(C4538="","",COUNTA($C$3:C4538))</f>
        <v/>
      </c>
      <c r="B4538" s="35" t="str">
        <f t="shared" si="86"/>
        <v/>
      </c>
      <c r="C4538" s="15"/>
    </row>
    <row r="4539" spans="1:3" x14ac:dyDescent="0.25">
      <c r="A4539" s="21" t="str">
        <f>IF(C4539="","",COUNTA($C$3:C4539))</f>
        <v/>
      </c>
      <c r="B4539" s="35" t="str">
        <f t="shared" si="86"/>
        <v/>
      </c>
      <c r="C4539" s="15"/>
    </row>
    <row r="4540" spans="1:3" x14ac:dyDescent="0.25">
      <c r="A4540" s="21" t="str">
        <f>IF(C4540="","",COUNTA($C$3:C4540))</f>
        <v/>
      </c>
      <c r="B4540" s="35" t="str">
        <f t="shared" si="86"/>
        <v/>
      </c>
      <c r="C4540" s="15"/>
    </row>
    <row r="4541" spans="1:3" x14ac:dyDescent="0.25">
      <c r="A4541" s="21" t="str">
        <f>IF(C4541="","",COUNTA($C$3:C4541))</f>
        <v/>
      </c>
      <c r="B4541" s="35" t="str">
        <f t="shared" si="86"/>
        <v/>
      </c>
      <c r="C4541" s="15"/>
    </row>
    <row r="4542" spans="1:3" x14ac:dyDescent="0.25">
      <c r="A4542" s="21" t="str">
        <f>IF(C4542="","",COUNTA($C$3:C4542))</f>
        <v/>
      </c>
      <c r="B4542" s="35" t="str">
        <f t="shared" si="86"/>
        <v/>
      </c>
      <c r="C4542" s="15"/>
    </row>
    <row r="4543" spans="1:3" x14ac:dyDescent="0.25">
      <c r="A4543" s="21" t="str">
        <f>IF(C4543="","",COUNTA($C$3:C4543))</f>
        <v/>
      </c>
      <c r="B4543" s="35" t="str">
        <f t="shared" si="86"/>
        <v/>
      </c>
      <c r="C4543" s="15"/>
    </row>
    <row r="4544" spans="1:3" x14ac:dyDescent="0.25">
      <c r="A4544" s="21" t="str">
        <f>IF(C4544="","",COUNTA($C$3:C4544))</f>
        <v/>
      </c>
      <c r="B4544" s="35" t="str">
        <f t="shared" si="86"/>
        <v/>
      </c>
      <c r="C4544" s="15"/>
    </row>
    <row r="4545" spans="1:3" x14ac:dyDescent="0.25">
      <c r="A4545" s="21" t="str">
        <f>IF(C4545="","",COUNTA($C$3:C4545))</f>
        <v/>
      </c>
      <c r="B4545" s="35" t="str">
        <f t="shared" si="86"/>
        <v/>
      </c>
      <c r="C4545" s="15"/>
    </row>
    <row r="4546" spans="1:3" x14ac:dyDescent="0.25">
      <c r="A4546" s="21" t="str">
        <f>IF(C4546="","",COUNTA($C$3:C4546))</f>
        <v/>
      </c>
      <c r="B4546" s="35" t="str">
        <f t="shared" si="86"/>
        <v/>
      </c>
      <c r="C4546" s="15"/>
    </row>
    <row r="4547" spans="1:3" x14ac:dyDescent="0.25">
      <c r="A4547" s="21" t="str">
        <f>IF(C4547="","",COUNTA($C$3:C4547))</f>
        <v/>
      </c>
      <c r="B4547" s="35" t="str">
        <f t="shared" si="86"/>
        <v/>
      </c>
      <c r="C4547" s="15"/>
    </row>
    <row r="4548" spans="1:3" x14ac:dyDescent="0.25">
      <c r="A4548" s="21" t="str">
        <f>IF(C4548="","",COUNTA($C$3:C4548))</f>
        <v/>
      </c>
      <c r="B4548" s="35" t="str">
        <f t="shared" si="86"/>
        <v/>
      </c>
      <c r="C4548" s="15"/>
    </row>
    <row r="4549" spans="1:3" x14ac:dyDescent="0.25">
      <c r="A4549" s="21" t="str">
        <f>IF(C4549="","",COUNTA($C$3:C4549))</f>
        <v/>
      </c>
      <c r="B4549" s="35" t="str">
        <f t="shared" ref="B4549:B4612" si="87">IF(C4549="","",TEXT(C4549,"mmmm"))</f>
        <v/>
      </c>
      <c r="C4549" s="15"/>
    </row>
    <row r="4550" spans="1:3" x14ac:dyDescent="0.25">
      <c r="A4550" s="21" t="str">
        <f>IF(C4550="","",COUNTA($C$3:C4550))</f>
        <v/>
      </c>
      <c r="B4550" s="35" t="str">
        <f t="shared" si="87"/>
        <v/>
      </c>
      <c r="C4550" s="15"/>
    </row>
    <row r="4551" spans="1:3" x14ac:dyDescent="0.25">
      <c r="A4551" s="21" t="str">
        <f>IF(C4551="","",COUNTA($C$3:C4551))</f>
        <v/>
      </c>
      <c r="B4551" s="35" t="str">
        <f t="shared" si="87"/>
        <v/>
      </c>
      <c r="C4551" s="15"/>
    </row>
    <row r="4552" spans="1:3" x14ac:dyDescent="0.25">
      <c r="A4552" s="21" t="str">
        <f>IF(C4552="","",COUNTA($C$3:C4552))</f>
        <v/>
      </c>
      <c r="B4552" s="35" t="str">
        <f t="shared" si="87"/>
        <v/>
      </c>
      <c r="C4552" s="15"/>
    </row>
    <row r="4553" spans="1:3" x14ac:dyDescent="0.25">
      <c r="A4553" s="21" t="str">
        <f>IF(C4553="","",COUNTA($C$3:C4553))</f>
        <v/>
      </c>
      <c r="B4553" s="35" t="str">
        <f t="shared" si="87"/>
        <v/>
      </c>
      <c r="C4553" s="15"/>
    </row>
    <row r="4554" spans="1:3" x14ac:dyDescent="0.25">
      <c r="A4554" s="21" t="str">
        <f>IF(C4554="","",COUNTA($C$3:C4554))</f>
        <v/>
      </c>
      <c r="B4554" s="35" t="str">
        <f t="shared" si="87"/>
        <v/>
      </c>
      <c r="C4554" s="15"/>
    </row>
    <row r="4555" spans="1:3" x14ac:dyDescent="0.25">
      <c r="A4555" s="21" t="str">
        <f>IF(C4555="","",COUNTA($C$3:C4555))</f>
        <v/>
      </c>
      <c r="B4555" s="35" t="str">
        <f t="shared" si="87"/>
        <v/>
      </c>
      <c r="C4555" s="15"/>
    </row>
    <row r="4556" spans="1:3" x14ac:dyDescent="0.25">
      <c r="A4556" s="21" t="str">
        <f>IF(C4556="","",COUNTA($C$3:C4556))</f>
        <v/>
      </c>
      <c r="B4556" s="35" t="str">
        <f t="shared" si="87"/>
        <v/>
      </c>
      <c r="C4556" s="15"/>
    </row>
    <row r="4557" spans="1:3" x14ac:dyDescent="0.25">
      <c r="A4557" s="21" t="str">
        <f>IF(C4557="","",COUNTA($C$3:C4557))</f>
        <v/>
      </c>
      <c r="B4557" s="35" t="str">
        <f t="shared" si="87"/>
        <v/>
      </c>
      <c r="C4557" s="15"/>
    </row>
    <row r="4558" spans="1:3" x14ac:dyDescent="0.25">
      <c r="A4558" s="21" t="str">
        <f>IF(C4558="","",COUNTA($C$3:C4558))</f>
        <v/>
      </c>
      <c r="B4558" s="35" t="str">
        <f t="shared" si="87"/>
        <v/>
      </c>
      <c r="C4558" s="15"/>
    </row>
    <row r="4559" spans="1:3" x14ac:dyDescent="0.25">
      <c r="A4559" s="21" t="str">
        <f>IF(C4559="","",COUNTA($C$3:C4559))</f>
        <v/>
      </c>
      <c r="B4559" s="35" t="str">
        <f t="shared" si="87"/>
        <v/>
      </c>
      <c r="C4559" s="15"/>
    </row>
    <row r="4560" spans="1:3" x14ac:dyDescent="0.25">
      <c r="A4560" s="21" t="str">
        <f>IF(C4560="","",COUNTA($C$3:C4560))</f>
        <v/>
      </c>
      <c r="B4560" s="35" t="str">
        <f t="shared" si="87"/>
        <v/>
      </c>
      <c r="C4560" s="15"/>
    </row>
    <row r="4561" spans="1:3" x14ac:dyDescent="0.25">
      <c r="A4561" s="21" t="str">
        <f>IF(C4561="","",COUNTA($C$3:C4561))</f>
        <v/>
      </c>
      <c r="B4561" s="35" t="str">
        <f t="shared" si="87"/>
        <v/>
      </c>
      <c r="C4561" s="15"/>
    </row>
    <row r="4562" spans="1:3" x14ac:dyDescent="0.25">
      <c r="A4562" s="21" t="str">
        <f>IF(C4562="","",COUNTA($C$3:C4562))</f>
        <v/>
      </c>
      <c r="B4562" s="35" t="str">
        <f t="shared" si="87"/>
        <v/>
      </c>
      <c r="C4562" s="15"/>
    </row>
    <row r="4563" spans="1:3" x14ac:dyDescent="0.25">
      <c r="A4563" s="21" t="str">
        <f>IF(C4563="","",COUNTA($C$3:C4563))</f>
        <v/>
      </c>
      <c r="B4563" s="35" t="str">
        <f t="shared" si="87"/>
        <v/>
      </c>
      <c r="C4563" s="15"/>
    </row>
    <row r="4564" spans="1:3" x14ac:dyDescent="0.25">
      <c r="A4564" s="21" t="str">
        <f>IF(C4564="","",COUNTA($C$3:C4564))</f>
        <v/>
      </c>
      <c r="B4564" s="35" t="str">
        <f t="shared" si="87"/>
        <v/>
      </c>
      <c r="C4564" s="15"/>
    </row>
    <row r="4565" spans="1:3" x14ac:dyDescent="0.25">
      <c r="A4565" s="21" t="str">
        <f>IF(C4565="","",COUNTA($C$3:C4565))</f>
        <v/>
      </c>
      <c r="B4565" s="35" t="str">
        <f t="shared" si="87"/>
        <v/>
      </c>
      <c r="C4565" s="15"/>
    </row>
    <row r="4566" spans="1:3" x14ac:dyDescent="0.25">
      <c r="A4566" s="21" t="str">
        <f>IF(C4566="","",COUNTA($C$3:C4566))</f>
        <v/>
      </c>
      <c r="B4566" s="35" t="str">
        <f t="shared" si="87"/>
        <v/>
      </c>
      <c r="C4566" s="15"/>
    </row>
    <row r="4567" spans="1:3" x14ac:dyDescent="0.25">
      <c r="A4567" s="21" t="str">
        <f>IF(C4567="","",COUNTA($C$3:C4567))</f>
        <v/>
      </c>
      <c r="B4567" s="35" t="str">
        <f t="shared" si="87"/>
        <v/>
      </c>
      <c r="C4567" s="15"/>
    </row>
    <row r="4568" spans="1:3" x14ac:dyDescent="0.25">
      <c r="A4568" s="21" t="str">
        <f>IF(C4568="","",COUNTA($C$3:C4568))</f>
        <v/>
      </c>
      <c r="B4568" s="35" t="str">
        <f t="shared" si="87"/>
        <v/>
      </c>
      <c r="C4568" s="15"/>
    </row>
    <row r="4569" spans="1:3" x14ac:dyDescent="0.25">
      <c r="A4569" s="21" t="str">
        <f>IF(C4569="","",COUNTA($C$3:C4569))</f>
        <v/>
      </c>
      <c r="B4569" s="35" t="str">
        <f t="shared" si="87"/>
        <v/>
      </c>
      <c r="C4569" s="15"/>
    </row>
    <row r="4570" spans="1:3" x14ac:dyDescent="0.25">
      <c r="A4570" s="21" t="str">
        <f>IF(C4570="","",COUNTA($C$3:C4570))</f>
        <v/>
      </c>
      <c r="B4570" s="35" t="str">
        <f t="shared" si="87"/>
        <v/>
      </c>
      <c r="C4570" s="15"/>
    </row>
    <row r="4571" spans="1:3" x14ac:dyDescent="0.25">
      <c r="A4571" s="21" t="str">
        <f>IF(C4571="","",COUNTA($C$3:C4571))</f>
        <v/>
      </c>
      <c r="B4571" s="35" t="str">
        <f t="shared" si="87"/>
        <v/>
      </c>
      <c r="C4571" s="15"/>
    </row>
    <row r="4572" spans="1:3" x14ac:dyDescent="0.25">
      <c r="A4572" s="21" t="str">
        <f>IF(C4572="","",COUNTA($C$3:C4572))</f>
        <v/>
      </c>
      <c r="B4572" s="35" t="str">
        <f t="shared" si="87"/>
        <v/>
      </c>
      <c r="C4572" s="15"/>
    </row>
    <row r="4573" spans="1:3" x14ac:dyDescent="0.25">
      <c r="A4573" s="21" t="str">
        <f>IF(C4573="","",COUNTA($C$3:C4573))</f>
        <v/>
      </c>
      <c r="B4573" s="35" t="str">
        <f t="shared" si="87"/>
        <v/>
      </c>
      <c r="C4573" s="15"/>
    </row>
    <row r="4574" spans="1:3" x14ac:dyDescent="0.25">
      <c r="A4574" s="21" t="str">
        <f>IF(C4574="","",COUNTA($C$3:C4574))</f>
        <v/>
      </c>
      <c r="B4574" s="35" t="str">
        <f t="shared" si="87"/>
        <v/>
      </c>
      <c r="C4574" s="15"/>
    </row>
    <row r="4575" spans="1:3" x14ac:dyDescent="0.25">
      <c r="A4575" s="21" t="str">
        <f>IF(C4575="","",COUNTA($C$3:C4575))</f>
        <v/>
      </c>
      <c r="B4575" s="35" t="str">
        <f t="shared" si="87"/>
        <v/>
      </c>
      <c r="C4575" s="15"/>
    </row>
    <row r="4576" spans="1:3" x14ac:dyDescent="0.25">
      <c r="A4576" s="21" t="str">
        <f>IF(C4576="","",COUNTA($C$3:C4576))</f>
        <v/>
      </c>
      <c r="B4576" s="35" t="str">
        <f t="shared" si="87"/>
        <v/>
      </c>
      <c r="C4576" s="15"/>
    </row>
    <row r="4577" spans="1:3" x14ac:dyDescent="0.25">
      <c r="A4577" s="21" t="str">
        <f>IF(C4577="","",COUNTA($C$3:C4577))</f>
        <v/>
      </c>
      <c r="B4577" s="35" t="str">
        <f t="shared" si="87"/>
        <v/>
      </c>
      <c r="C4577" s="15"/>
    </row>
    <row r="4578" spans="1:3" x14ac:dyDescent="0.25">
      <c r="A4578" s="21" t="str">
        <f>IF(C4578="","",COUNTA($C$3:C4578))</f>
        <v/>
      </c>
      <c r="B4578" s="35" t="str">
        <f t="shared" si="87"/>
        <v/>
      </c>
      <c r="C4578" s="15"/>
    </row>
    <row r="4579" spans="1:3" x14ac:dyDescent="0.25">
      <c r="A4579" s="21" t="str">
        <f>IF(C4579="","",COUNTA($C$3:C4579))</f>
        <v/>
      </c>
      <c r="B4579" s="35" t="str">
        <f t="shared" si="87"/>
        <v/>
      </c>
      <c r="C4579" s="15"/>
    </row>
    <row r="4580" spans="1:3" x14ac:dyDescent="0.25">
      <c r="A4580" s="21" t="str">
        <f>IF(C4580="","",COUNTA($C$3:C4580))</f>
        <v/>
      </c>
      <c r="B4580" s="35" t="str">
        <f t="shared" si="87"/>
        <v/>
      </c>
      <c r="C4580" s="15"/>
    </row>
    <row r="4581" spans="1:3" x14ac:dyDescent="0.25">
      <c r="A4581" s="21" t="str">
        <f>IF(C4581="","",COUNTA($C$3:C4581))</f>
        <v/>
      </c>
      <c r="B4581" s="35" t="str">
        <f t="shared" si="87"/>
        <v/>
      </c>
      <c r="C4581" s="15"/>
    </row>
    <row r="4582" spans="1:3" x14ac:dyDescent="0.25">
      <c r="A4582" s="21" t="str">
        <f>IF(C4582="","",COUNTA($C$3:C4582))</f>
        <v/>
      </c>
      <c r="B4582" s="35" t="str">
        <f t="shared" si="87"/>
        <v/>
      </c>
      <c r="C4582" s="15"/>
    </row>
    <row r="4583" spans="1:3" x14ac:dyDescent="0.25">
      <c r="A4583" s="21" t="str">
        <f>IF(C4583="","",COUNTA($C$3:C4583))</f>
        <v/>
      </c>
      <c r="B4583" s="35" t="str">
        <f t="shared" si="87"/>
        <v/>
      </c>
      <c r="C4583" s="15"/>
    </row>
    <row r="4584" spans="1:3" x14ac:dyDescent="0.25">
      <c r="A4584" s="21" t="str">
        <f>IF(C4584="","",COUNTA($C$3:C4584))</f>
        <v/>
      </c>
      <c r="B4584" s="35" t="str">
        <f t="shared" si="87"/>
        <v/>
      </c>
      <c r="C4584" s="15"/>
    </row>
    <row r="4585" spans="1:3" x14ac:dyDescent="0.25">
      <c r="A4585" s="21" t="str">
        <f>IF(C4585="","",COUNTA($C$3:C4585))</f>
        <v/>
      </c>
      <c r="B4585" s="35" t="str">
        <f t="shared" si="87"/>
        <v/>
      </c>
      <c r="C4585" s="15"/>
    </row>
    <row r="4586" spans="1:3" x14ac:dyDescent="0.25">
      <c r="A4586" s="21" t="str">
        <f>IF(C4586="","",COUNTA($C$3:C4586))</f>
        <v/>
      </c>
      <c r="B4586" s="35" t="str">
        <f t="shared" si="87"/>
        <v/>
      </c>
      <c r="C4586" s="15"/>
    </row>
    <row r="4587" spans="1:3" x14ac:dyDescent="0.25">
      <c r="A4587" s="21" t="str">
        <f>IF(C4587="","",COUNTA($C$3:C4587))</f>
        <v/>
      </c>
      <c r="B4587" s="35" t="str">
        <f t="shared" si="87"/>
        <v/>
      </c>
      <c r="C4587" s="15"/>
    </row>
    <row r="4588" spans="1:3" x14ac:dyDescent="0.25">
      <c r="A4588" s="21" t="str">
        <f>IF(C4588="","",COUNTA($C$3:C4588))</f>
        <v/>
      </c>
      <c r="B4588" s="35" t="str">
        <f t="shared" si="87"/>
        <v/>
      </c>
      <c r="C4588" s="15"/>
    </row>
    <row r="4589" spans="1:3" x14ac:dyDescent="0.25">
      <c r="A4589" s="21" t="str">
        <f>IF(C4589="","",COUNTA($C$3:C4589))</f>
        <v/>
      </c>
      <c r="B4589" s="35" t="str">
        <f t="shared" si="87"/>
        <v/>
      </c>
      <c r="C4589" s="15"/>
    </row>
    <row r="4590" spans="1:3" x14ac:dyDescent="0.25">
      <c r="A4590" s="21" t="str">
        <f>IF(C4590="","",COUNTA($C$3:C4590))</f>
        <v/>
      </c>
      <c r="B4590" s="35" t="str">
        <f t="shared" si="87"/>
        <v/>
      </c>
      <c r="C4590" s="15"/>
    </row>
    <row r="4591" spans="1:3" x14ac:dyDescent="0.25">
      <c r="A4591" s="21" t="str">
        <f>IF(C4591="","",COUNTA($C$3:C4591))</f>
        <v/>
      </c>
      <c r="B4591" s="35" t="str">
        <f t="shared" si="87"/>
        <v/>
      </c>
      <c r="C4591" s="15"/>
    </row>
    <row r="4592" spans="1:3" x14ac:dyDescent="0.25">
      <c r="A4592" s="21" t="str">
        <f>IF(C4592="","",COUNTA($C$3:C4592))</f>
        <v/>
      </c>
      <c r="B4592" s="35" t="str">
        <f t="shared" si="87"/>
        <v/>
      </c>
      <c r="C4592" s="15"/>
    </row>
    <row r="4593" spans="1:3" x14ac:dyDescent="0.25">
      <c r="A4593" s="21" t="str">
        <f>IF(C4593="","",COUNTA($C$3:C4593))</f>
        <v/>
      </c>
      <c r="B4593" s="35" t="str">
        <f t="shared" si="87"/>
        <v/>
      </c>
      <c r="C4593" s="15"/>
    </row>
    <row r="4594" spans="1:3" x14ac:dyDescent="0.25">
      <c r="A4594" s="21" t="str">
        <f>IF(C4594="","",COUNTA($C$3:C4594))</f>
        <v/>
      </c>
      <c r="B4594" s="35" t="str">
        <f t="shared" si="87"/>
        <v/>
      </c>
      <c r="C4594" s="15"/>
    </row>
    <row r="4595" spans="1:3" x14ac:dyDescent="0.25">
      <c r="A4595" s="21" t="str">
        <f>IF(C4595="","",COUNTA($C$3:C4595))</f>
        <v/>
      </c>
      <c r="B4595" s="35" t="str">
        <f t="shared" si="87"/>
        <v/>
      </c>
      <c r="C4595" s="15"/>
    </row>
    <row r="4596" spans="1:3" x14ac:dyDescent="0.25">
      <c r="A4596" s="21" t="str">
        <f>IF(C4596="","",COUNTA($C$3:C4596))</f>
        <v/>
      </c>
      <c r="B4596" s="35" t="str">
        <f t="shared" si="87"/>
        <v/>
      </c>
      <c r="C4596" s="15"/>
    </row>
    <row r="4597" spans="1:3" x14ac:dyDescent="0.25">
      <c r="A4597" s="21" t="str">
        <f>IF(C4597="","",COUNTA($C$3:C4597))</f>
        <v/>
      </c>
      <c r="B4597" s="35" t="str">
        <f t="shared" si="87"/>
        <v/>
      </c>
      <c r="C4597" s="15"/>
    </row>
    <row r="4598" spans="1:3" x14ac:dyDescent="0.25">
      <c r="A4598" s="21" t="str">
        <f>IF(C4598="","",COUNTA($C$3:C4598))</f>
        <v/>
      </c>
      <c r="B4598" s="35" t="str">
        <f t="shared" si="87"/>
        <v/>
      </c>
      <c r="C4598" s="15"/>
    </row>
    <row r="4599" spans="1:3" x14ac:dyDescent="0.25">
      <c r="A4599" s="21" t="str">
        <f>IF(C4599="","",COUNTA($C$3:C4599))</f>
        <v/>
      </c>
      <c r="B4599" s="35" t="str">
        <f t="shared" si="87"/>
        <v/>
      </c>
      <c r="C4599" s="15"/>
    </row>
    <row r="4600" spans="1:3" x14ac:dyDescent="0.25">
      <c r="A4600" s="21" t="str">
        <f>IF(C4600="","",COUNTA($C$3:C4600))</f>
        <v/>
      </c>
      <c r="B4600" s="35" t="str">
        <f t="shared" si="87"/>
        <v/>
      </c>
      <c r="C4600" s="15"/>
    </row>
    <row r="4601" spans="1:3" x14ac:dyDescent="0.25">
      <c r="A4601" s="21" t="str">
        <f>IF(C4601="","",COUNTA($C$3:C4601))</f>
        <v/>
      </c>
      <c r="B4601" s="35" t="str">
        <f t="shared" si="87"/>
        <v/>
      </c>
      <c r="C4601" s="15"/>
    </row>
    <row r="4602" spans="1:3" x14ac:dyDescent="0.25">
      <c r="A4602" s="21" t="str">
        <f>IF(C4602="","",COUNTA($C$3:C4602))</f>
        <v/>
      </c>
      <c r="B4602" s="35" t="str">
        <f t="shared" si="87"/>
        <v/>
      </c>
      <c r="C4602" s="15"/>
    </row>
    <row r="4603" spans="1:3" x14ac:dyDescent="0.25">
      <c r="A4603" s="21" t="str">
        <f>IF(C4603="","",COUNTA($C$3:C4603))</f>
        <v/>
      </c>
      <c r="B4603" s="35" t="str">
        <f t="shared" si="87"/>
        <v/>
      </c>
      <c r="C4603" s="15"/>
    </row>
    <row r="4604" spans="1:3" x14ac:dyDescent="0.25">
      <c r="A4604" s="21" t="str">
        <f>IF(C4604="","",COUNTA($C$3:C4604))</f>
        <v/>
      </c>
      <c r="B4604" s="35" t="str">
        <f t="shared" si="87"/>
        <v/>
      </c>
      <c r="C4604" s="15"/>
    </row>
    <row r="4605" spans="1:3" x14ac:dyDescent="0.25">
      <c r="A4605" s="21" t="str">
        <f>IF(C4605="","",COUNTA($C$3:C4605))</f>
        <v/>
      </c>
      <c r="B4605" s="35" t="str">
        <f t="shared" si="87"/>
        <v/>
      </c>
      <c r="C4605" s="15"/>
    </row>
    <row r="4606" spans="1:3" x14ac:dyDescent="0.25">
      <c r="A4606" s="21" t="str">
        <f>IF(C4606="","",COUNTA($C$3:C4606))</f>
        <v/>
      </c>
      <c r="B4606" s="35" t="str">
        <f t="shared" si="87"/>
        <v/>
      </c>
      <c r="C4606" s="15"/>
    </row>
    <row r="4607" spans="1:3" x14ac:dyDescent="0.25">
      <c r="A4607" s="21" t="str">
        <f>IF(C4607="","",COUNTA($C$3:C4607))</f>
        <v/>
      </c>
      <c r="B4607" s="35" t="str">
        <f t="shared" si="87"/>
        <v/>
      </c>
      <c r="C4607" s="15"/>
    </row>
    <row r="4608" spans="1:3" x14ac:dyDescent="0.25">
      <c r="A4608" s="21" t="str">
        <f>IF(C4608="","",COUNTA($C$3:C4608))</f>
        <v/>
      </c>
      <c r="B4608" s="35" t="str">
        <f t="shared" si="87"/>
        <v/>
      </c>
      <c r="C4608" s="15"/>
    </row>
    <row r="4609" spans="1:3" x14ac:dyDescent="0.25">
      <c r="A4609" s="21" t="str">
        <f>IF(C4609="","",COUNTA($C$3:C4609))</f>
        <v/>
      </c>
      <c r="B4609" s="35" t="str">
        <f t="shared" si="87"/>
        <v/>
      </c>
      <c r="C4609" s="15"/>
    </row>
    <row r="4610" spans="1:3" x14ac:dyDescent="0.25">
      <c r="A4610" s="21" t="str">
        <f>IF(C4610="","",COUNTA($C$3:C4610))</f>
        <v/>
      </c>
      <c r="B4610" s="35" t="str">
        <f t="shared" si="87"/>
        <v/>
      </c>
      <c r="C4610" s="15"/>
    </row>
    <row r="4611" spans="1:3" x14ac:dyDescent="0.25">
      <c r="A4611" s="21" t="str">
        <f>IF(C4611="","",COUNTA($C$3:C4611))</f>
        <v/>
      </c>
      <c r="B4611" s="35" t="str">
        <f t="shared" si="87"/>
        <v/>
      </c>
      <c r="C4611" s="15"/>
    </row>
    <row r="4612" spans="1:3" x14ac:dyDescent="0.25">
      <c r="A4612" s="21" t="str">
        <f>IF(C4612="","",COUNTA($C$3:C4612))</f>
        <v/>
      </c>
      <c r="B4612" s="35" t="str">
        <f t="shared" si="87"/>
        <v/>
      </c>
      <c r="C4612" s="15"/>
    </row>
    <row r="4613" spans="1:3" x14ac:dyDescent="0.25">
      <c r="A4613" s="21" t="str">
        <f>IF(C4613="","",COUNTA($C$3:C4613))</f>
        <v/>
      </c>
      <c r="B4613" s="35" t="str">
        <f t="shared" ref="B4613:B4676" si="88">IF(C4613="","",TEXT(C4613,"mmmm"))</f>
        <v/>
      </c>
      <c r="C4613" s="15"/>
    </row>
    <row r="4614" spans="1:3" x14ac:dyDescent="0.25">
      <c r="A4614" s="21" t="str">
        <f>IF(C4614="","",COUNTA($C$3:C4614))</f>
        <v/>
      </c>
      <c r="B4614" s="35" t="str">
        <f t="shared" si="88"/>
        <v/>
      </c>
      <c r="C4614" s="15"/>
    </row>
    <row r="4615" spans="1:3" x14ac:dyDescent="0.25">
      <c r="A4615" s="21" t="str">
        <f>IF(C4615="","",COUNTA($C$3:C4615))</f>
        <v/>
      </c>
      <c r="B4615" s="35" t="str">
        <f t="shared" si="88"/>
        <v/>
      </c>
      <c r="C4615" s="15"/>
    </row>
    <row r="4616" spans="1:3" x14ac:dyDescent="0.25">
      <c r="A4616" s="21" t="str">
        <f>IF(C4616="","",COUNTA($C$3:C4616))</f>
        <v/>
      </c>
      <c r="B4616" s="35" t="str">
        <f t="shared" si="88"/>
        <v/>
      </c>
      <c r="C4616" s="15"/>
    </row>
    <row r="4617" spans="1:3" x14ac:dyDescent="0.25">
      <c r="A4617" s="21" t="str">
        <f>IF(C4617="","",COUNTA($C$3:C4617))</f>
        <v/>
      </c>
      <c r="B4617" s="35" t="str">
        <f t="shared" si="88"/>
        <v/>
      </c>
      <c r="C4617" s="15"/>
    </row>
    <row r="4618" spans="1:3" x14ac:dyDescent="0.25">
      <c r="A4618" s="21" t="str">
        <f>IF(C4618="","",COUNTA($C$3:C4618))</f>
        <v/>
      </c>
      <c r="B4618" s="35" t="str">
        <f t="shared" si="88"/>
        <v/>
      </c>
      <c r="C4618" s="15"/>
    </row>
    <row r="4619" spans="1:3" x14ac:dyDescent="0.25">
      <c r="A4619" s="21" t="str">
        <f>IF(C4619="","",COUNTA($C$3:C4619))</f>
        <v/>
      </c>
      <c r="B4619" s="35" t="str">
        <f t="shared" si="88"/>
        <v/>
      </c>
      <c r="C4619" s="15"/>
    </row>
    <row r="4620" spans="1:3" x14ac:dyDescent="0.25">
      <c r="A4620" s="21" t="str">
        <f>IF(C4620="","",COUNTA($C$3:C4620))</f>
        <v/>
      </c>
      <c r="B4620" s="35" t="str">
        <f t="shared" si="88"/>
        <v/>
      </c>
      <c r="C4620" s="15"/>
    </row>
    <row r="4621" spans="1:3" x14ac:dyDescent="0.25">
      <c r="A4621" s="21" t="str">
        <f>IF(C4621="","",COUNTA($C$3:C4621))</f>
        <v/>
      </c>
      <c r="B4621" s="35" t="str">
        <f t="shared" si="88"/>
        <v/>
      </c>
      <c r="C4621" s="15"/>
    </row>
    <row r="4622" spans="1:3" x14ac:dyDescent="0.25">
      <c r="A4622" s="21" t="str">
        <f>IF(C4622="","",COUNTA($C$3:C4622))</f>
        <v/>
      </c>
      <c r="B4622" s="35" t="str">
        <f t="shared" si="88"/>
        <v/>
      </c>
      <c r="C4622" s="15"/>
    </row>
    <row r="4623" spans="1:3" x14ac:dyDescent="0.25">
      <c r="A4623" s="21" t="str">
        <f>IF(C4623="","",COUNTA($C$3:C4623))</f>
        <v/>
      </c>
      <c r="B4623" s="35" t="str">
        <f t="shared" si="88"/>
        <v/>
      </c>
      <c r="C4623" s="15"/>
    </row>
    <row r="4624" spans="1:3" x14ac:dyDescent="0.25">
      <c r="A4624" s="21" t="str">
        <f>IF(C4624="","",COUNTA($C$3:C4624))</f>
        <v/>
      </c>
      <c r="B4624" s="35" t="str">
        <f t="shared" si="88"/>
        <v/>
      </c>
      <c r="C4624" s="15"/>
    </row>
    <row r="4625" spans="1:3" x14ac:dyDescent="0.25">
      <c r="A4625" s="21" t="str">
        <f>IF(C4625="","",COUNTA($C$3:C4625))</f>
        <v/>
      </c>
      <c r="B4625" s="35" t="str">
        <f t="shared" si="88"/>
        <v/>
      </c>
      <c r="C4625" s="15"/>
    </row>
    <row r="4626" spans="1:3" x14ac:dyDescent="0.25">
      <c r="A4626" s="21" t="str">
        <f>IF(C4626="","",COUNTA($C$3:C4626))</f>
        <v/>
      </c>
      <c r="B4626" s="35" t="str">
        <f t="shared" si="88"/>
        <v/>
      </c>
      <c r="C4626" s="15"/>
    </row>
    <row r="4627" spans="1:3" x14ac:dyDescent="0.25">
      <c r="A4627" s="21" t="str">
        <f>IF(C4627="","",COUNTA($C$3:C4627))</f>
        <v/>
      </c>
      <c r="B4627" s="35" t="str">
        <f t="shared" si="88"/>
        <v/>
      </c>
      <c r="C4627" s="15"/>
    </row>
    <row r="4628" spans="1:3" x14ac:dyDescent="0.25">
      <c r="A4628" s="21" t="str">
        <f>IF(C4628="","",COUNTA($C$3:C4628))</f>
        <v/>
      </c>
      <c r="B4628" s="35" t="str">
        <f t="shared" si="88"/>
        <v/>
      </c>
      <c r="C4628" s="15"/>
    </row>
    <row r="4629" spans="1:3" x14ac:dyDescent="0.25">
      <c r="A4629" s="21" t="str">
        <f>IF(C4629="","",COUNTA($C$3:C4629))</f>
        <v/>
      </c>
      <c r="B4629" s="35" t="str">
        <f t="shared" si="88"/>
        <v/>
      </c>
      <c r="C4629" s="15"/>
    </row>
    <row r="4630" spans="1:3" x14ac:dyDescent="0.25">
      <c r="A4630" s="21" t="str">
        <f>IF(C4630="","",COUNTA($C$3:C4630))</f>
        <v/>
      </c>
      <c r="B4630" s="35" t="str">
        <f t="shared" si="88"/>
        <v/>
      </c>
      <c r="C4630" s="15"/>
    </row>
    <row r="4631" spans="1:3" x14ac:dyDescent="0.25">
      <c r="A4631" s="21" t="str">
        <f>IF(C4631="","",COUNTA($C$3:C4631))</f>
        <v/>
      </c>
      <c r="B4631" s="35" t="str">
        <f t="shared" si="88"/>
        <v/>
      </c>
      <c r="C4631" s="15"/>
    </row>
    <row r="4632" spans="1:3" x14ac:dyDescent="0.25">
      <c r="A4632" s="21" t="str">
        <f>IF(C4632="","",COUNTA($C$3:C4632))</f>
        <v/>
      </c>
      <c r="B4632" s="35" t="str">
        <f t="shared" si="88"/>
        <v/>
      </c>
      <c r="C4632" s="15"/>
    </row>
    <row r="4633" spans="1:3" x14ac:dyDescent="0.25">
      <c r="A4633" s="21" t="str">
        <f>IF(C4633="","",COUNTA($C$3:C4633))</f>
        <v/>
      </c>
      <c r="B4633" s="35" t="str">
        <f t="shared" si="88"/>
        <v/>
      </c>
      <c r="C4633" s="15"/>
    </row>
    <row r="4634" spans="1:3" x14ac:dyDescent="0.25">
      <c r="A4634" s="21" t="str">
        <f>IF(C4634="","",COUNTA($C$3:C4634))</f>
        <v/>
      </c>
      <c r="B4634" s="35" t="str">
        <f t="shared" si="88"/>
        <v/>
      </c>
      <c r="C4634" s="15"/>
    </row>
    <row r="4635" spans="1:3" x14ac:dyDescent="0.25">
      <c r="A4635" s="21" t="str">
        <f>IF(C4635="","",COUNTA($C$3:C4635))</f>
        <v/>
      </c>
      <c r="B4635" s="35" t="str">
        <f t="shared" si="88"/>
        <v/>
      </c>
      <c r="C4635" s="15"/>
    </row>
    <row r="4636" spans="1:3" x14ac:dyDescent="0.25">
      <c r="A4636" s="21" t="str">
        <f>IF(C4636="","",COUNTA($C$3:C4636))</f>
        <v/>
      </c>
      <c r="B4636" s="35" t="str">
        <f t="shared" si="88"/>
        <v/>
      </c>
      <c r="C4636" s="15"/>
    </row>
    <row r="4637" spans="1:3" x14ac:dyDescent="0.25">
      <c r="A4637" s="21" t="str">
        <f>IF(C4637="","",COUNTA($C$3:C4637))</f>
        <v/>
      </c>
      <c r="B4637" s="35" t="str">
        <f t="shared" si="88"/>
        <v/>
      </c>
      <c r="C4637" s="15"/>
    </row>
    <row r="4638" spans="1:3" x14ac:dyDescent="0.25">
      <c r="A4638" s="21" t="str">
        <f>IF(C4638="","",COUNTA($C$3:C4638))</f>
        <v/>
      </c>
      <c r="B4638" s="35" t="str">
        <f t="shared" si="88"/>
        <v/>
      </c>
      <c r="C4638" s="15"/>
    </row>
    <row r="4639" spans="1:3" x14ac:dyDescent="0.25">
      <c r="A4639" s="21" t="str">
        <f>IF(C4639="","",COUNTA($C$3:C4639))</f>
        <v/>
      </c>
      <c r="B4639" s="35" t="str">
        <f t="shared" si="88"/>
        <v/>
      </c>
      <c r="C4639" s="15"/>
    </row>
    <row r="4640" spans="1:3" x14ac:dyDescent="0.25">
      <c r="A4640" s="21" t="str">
        <f>IF(C4640="","",COUNTA($C$3:C4640))</f>
        <v/>
      </c>
      <c r="B4640" s="35" t="str">
        <f t="shared" si="88"/>
        <v/>
      </c>
      <c r="C4640" s="15"/>
    </row>
    <row r="4641" spans="1:3" x14ac:dyDescent="0.25">
      <c r="A4641" s="21" t="str">
        <f>IF(C4641="","",COUNTA($C$3:C4641))</f>
        <v/>
      </c>
      <c r="B4641" s="35" t="str">
        <f t="shared" si="88"/>
        <v/>
      </c>
      <c r="C4641" s="15"/>
    </row>
    <row r="4642" spans="1:3" x14ac:dyDescent="0.25">
      <c r="A4642" s="21" t="str">
        <f>IF(C4642="","",COUNTA($C$3:C4642))</f>
        <v/>
      </c>
      <c r="B4642" s="35" t="str">
        <f t="shared" si="88"/>
        <v/>
      </c>
      <c r="C4642" s="15"/>
    </row>
    <row r="4643" spans="1:3" x14ac:dyDescent="0.25">
      <c r="A4643" s="21" t="str">
        <f>IF(C4643="","",COUNTA($C$3:C4643))</f>
        <v/>
      </c>
      <c r="B4643" s="35" t="str">
        <f t="shared" si="88"/>
        <v/>
      </c>
      <c r="C4643" s="15"/>
    </row>
    <row r="4644" spans="1:3" x14ac:dyDescent="0.25">
      <c r="A4644" s="21" t="str">
        <f>IF(C4644="","",COUNTA($C$3:C4644))</f>
        <v/>
      </c>
      <c r="B4644" s="35" t="str">
        <f t="shared" si="88"/>
        <v/>
      </c>
      <c r="C4644" s="15"/>
    </row>
    <row r="4645" spans="1:3" x14ac:dyDescent="0.25">
      <c r="A4645" s="21" t="str">
        <f>IF(C4645="","",COUNTA($C$3:C4645))</f>
        <v/>
      </c>
      <c r="B4645" s="35" t="str">
        <f t="shared" si="88"/>
        <v/>
      </c>
      <c r="C4645" s="15"/>
    </row>
    <row r="4646" spans="1:3" x14ac:dyDescent="0.25">
      <c r="A4646" s="21" t="str">
        <f>IF(C4646="","",COUNTA($C$3:C4646))</f>
        <v/>
      </c>
      <c r="B4646" s="35" t="str">
        <f t="shared" si="88"/>
        <v/>
      </c>
      <c r="C4646" s="15"/>
    </row>
    <row r="4647" spans="1:3" x14ac:dyDescent="0.25">
      <c r="A4647" s="21" t="str">
        <f>IF(C4647="","",COUNTA($C$3:C4647))</f>
        <v/>
      </c>
      <c r="B4647" s="35" t="str">
        <f t="shared" si="88"/>
        <v/>
      </c>
      <c r="C4647" s="15"/>
    </row>
    <row r="4648" spans="1:3" x14ac:dyDescent="0.25">
      <c r="A4648" s="21" t="str">
        <f>IF(C4648="","",COUNTA($C$3:C4648))</f>
        <v/>
      </c>
      <c r="B4648" s="35" t="str">
        <f t="shared" si="88"/>
        <v/>
      </c>
      <c r="C4648" s="15"/>
    </row>
    <row r="4649" spans="1:3" x14ac:dyDescent="0.25">
      <c r="A4649" s="21" t="str">
        <f>IF(C4649="","",COUNTA($C$3:C4649))</f>
        <v/>
      </c>
      <c r="B4649" s="35" t="str">
        <f t="shared" si="88"/>
        <v/>
      </c>
      <c r="C4649" s="15"/>
    </row>
    <row r="4650" spans="1:3" x14ac:dyDescent="0.25">
      <c r="A4650" s="21" t="str">
        <f>IF(C4650="","",COUNTA($C$3:C4650))</f>
        <v/>
      </c>
      <c r="B4650" s="35" t="str">
        <f t="shared" si="88"/>
        <v/>
      </c>
      <c r="C4650" s="15"/>
    </row>
    <row r="4651" spans="1:3" x14ac:dyDescent="0.25">
      <c r="A4651" s="21" t="str">
        <f>IF(C4651="","",COUNTA($C$3:C4651))</f>
        <v/>
      </c>
      <c r="B4651" s="35" t="str">
        <f t="shared" si="88"/>
        <v/>
      </c>
      <c r="C4651" s="15"/>
    </row>
    <row r="4652" spans="1:3" x14ac:dyDescent="0.25">
      <c r="A4652" s="21" t="str">
        <f>IF(C4652="","",COUNTA($C$3:C4652))</f>
        <v/>
      </c>
      <c r="B4652" s="35" t="str">
        <f t="shared" si="88"/>
        <v/>
      </c>
      <c r="C4652" s="15"/>
    </row>
    <row r="4653" spans="1:3" x14ac:dyDescent="0.25">
      <c r="A4653" s="21" t="str">
        <f>IF(C4653="","",COUNTA($C$3:C4653))</f>
        <v/>
      </c>
      <c r="B4653" s="35" t="str">
        <f t="shared" si="88"/>
        <v/>
      </c>
      <c r="C4653" s="15"/>
    </row>
    <row r="4654" spans="1:3" x14ac:dyDescent="0.25">
      <c r="A4654" s="21" t="str">
        <f>IF(C4654="","",COUNTA($C$3:C4654))</f>
        <v/>
      </c>
      <c r="B4654" s="35" t="str">
        <f t="shared" si="88"/>
        <v/>
      </c>
      <c r="C4654" s="15"/>
    </row>
    <row r="4655" spans="1:3" x14ac:dyDescent="0.25">
      <c r="A4655" s="21" t="str">
        <f>IF(C4655="","",COUNTA($C$3:C4655))</f>
        <v/>
      </c>
      <c r="B4655" s="35" t="str">
        <f t="shared" si="88"/>
        <v/>
      </c>
      <c r="C4655" s="15"/>
    </row>
    <row r="4656" spans="1:3" x14ac:dyDescent="0.25">
      <c r="A4656" s="21" t="str">
        <f>IF(C4656="","",COUNTA($C$3:C4656))</f>
        <v/>
      </c>
      <c r="B4656" s="35" t="str">
        <f t="shared" si="88"/>
        <v/>
      </c>
      <c r="C4656" s="15"/>
    </row>
    <row r="4657" spans="1:3" x14ac:dyDescent="0.25">
      <c r="A4657" s="21" t="str">
        <f>IF(C4657="","",COUNTA($C$3:C4657))</f>
        <v/>
      </c>
      <c r="B4657" s="35" t="str">
        <f t="shared" si="88"/>
        <v/>
      </c>
      <c r="C4657" s="15"/>
    </row>
    <row r="4658" spans="1:3" x14ac:dyDescent="0.25">
      <c r="A4658" s="21" t="str">
        <f>IF(C4658="","",COUNTA($C$3:C4658))</f>
        <v/>
      </c>
      <c r="B4658" s="35" t="str">
        <f t="shared" si="88"/>
        <v/>
      </c>
      <c r="C4658" s="15"/>
    </row>
    <row r="4659" spans="1:3" x14ac:dyDescent="0.25">
      <c r="A4659" s="21" t="str">
        <f>IF(C4659="","",COUNTA($C$3:C4659))</f>
        <v/>
      </c>
      <c r="B4659" s="35" t="str">
        <f t="shared" si="88"/>
        <v/>
      </c>
      <c r="C4659" s="15"/>
    </row>
    <row r="4660" spans="1:3" x14ac:dyDescent="0.25">
      <c r="A4660" s="21" t="str">
        <f>IF(C4660="","",COUNTA($C$3:C4660))</f>
        <v/>
      </c>
      <c r="B4660" s="35" t="str">
        <f t="shared" si="88"/>
        <v/>
      </c>
      <c r="C4660" s="15"/>
    </row>
    <row r="4661" spans="1:3" x14ac:dyDescent="0.25">
      <c r="A4661" s="21" t="str">
        <f>IF(C4661="","",COUNTA($C$3:C4661))</f>
        <v/>
      </c>
      <c r="B4661" s="35" t="str">
        <f t="shared" si="88"/>
        <v/>
      </c>
      <c r="C4661" s="15"/>
    </row>
    <row r="4662" spans="1:3" x14ac:dyDescent="0.25">
      <c r="A4662" s="21" t="str">
        <f>IF(C4662="","",COUNTA($C$3:C4662))</f>
        <v/>
      </c>
      <c r="B4662" s="35" t="str">
        <f t="shared" si="88"/>
        <v/>
      </c>
      <c r="C4662" s="15"/>
    </row>
    <row r="4663" spans="1:3" x14ac:dyDescent="0.25">
      <c r="A4663" s="21" t="str">
        <f>IF(C4663="","",COUNTA($C$3:C4663))</f>
        <v/>
      </c>
      <c r="B4663" s="35" t="str">
        <f t="shared" si="88"/>
        <v/>
      </c>
      <c r="C4663" s="15"/>
    </row>
    <row r="4664" spans="1:3" x14ac:dyDescent="0.25">
      <c r="A4664" s="21" t="str">
        <f>IF(C4664="","",COUNTA($C$3:C4664))</f>
        <v/>
      </c>
      <c r="B4664" s="35" t="str">
        <f t="shared" si="88"/>
        <v/>
      </c>
      <c r="C4664" s="15"/>
    </row>
    <row r="4665" spans="1:3" x14ac:dyDescent="0.25">
      <c r="A4665" s="21" t="str">
        <f>IF(C4665="","",COUNTA($C$3:C4665))</f>
        <v/>
      </c>
      <c r="B4665" s="35" t="str">
        <f t="shared" si="88"/>
        <v/>
      </c>
      <c r="C4665" s="15"/>
    </row>
    <row r="4666" spans="1:3" x14ac:dyDescent="0.25">
      <c r="A4666" s="21" t="str">
        <f>IF(C4666="","",COUNTA($C$3:C4666))</f>
        <v/>
      </c>
      <c r="B4666" s="35" t="str">
        <f t="shared" si="88"/>
        <v/>
      </c>
      <c r="C4666" s="15"/>
    </row>
    <row r="4667" spans="1:3" x14ac:dyDescent="0.25">
      <c r="A4667" s="21" t="str">
        <f>IF(C4667="","",COUNTA($C$3:C4667))</f>
        <v/>
      </c>
      <c r="B4667" s="35" t="str">
        <f t="shared" si="88"/>
        <v/>
      </c>
      <c r="C4667" s="15"/>
    </row>
    <row r="4668" spans="1:3" x14ac:dyDescent="0.25">
      <c r="A4668" s="21" t="str">
        <f>IF(C4668="","",COUNTA($C$3:C4668))</f>
        <v/>
      </c>
      <c r="B4668" s="35" t="str">
        <f t="shared" si="88"/>
        <v/>
      </c>
      <c r="C4668" s="15"/>
    </row>
    <row r="4669" spans="1:3" x14ac:dyDescent="0.25">
      <c r="A4669" s="21" t="str">
        <f>IF(C4669="","",COUNTA($C$3:C4669))</f>
        <v/>
      </c>
      <c r="B4669" s="35" t="str">
        <f t="shared" si="88"/>
        <v/>
      </c>
      <c r="C4669" s="15"/>
    </row>
    <row r="4670" spans="1:3" x14ac:dyDescent="0.25">
      <c r="A4670" s="21" t="str">
        <f>IF(C4670="","",COUNTA($C$3:C4670))</f>
        <v/>
      </c>
      <c r="B4670" s="35" t="str">
        <f t="shared" si="88"/>
        <v/>
      </c>
      <c r="C4670" s="15"/>
    </row>
    <row r="4671" spans="1:3" x14ac:dyDescent="0.25">
      <c r="A4671" s="21" t="str">
        <f>IF(C4671="","",COUNTA($C$3:C4671))</f>
        <v/>
      </c>
      <c r="B4671" s="35" t="str">
        <f t="shared" si="88"/>
        <v/>
      </c>
      <c r="C4671" s="15"/>
    </row>
    <row r="4672" spans="1:3" x14ac:dyDescent="0.25">
      <c r="A4672" s="21" t="str">
        <f>IF(C4672="","",COUNTA($C$3:C4672))</f>
        <v/>
      </c>
      <c r="B4672" s="35" t="str">
        <f t="shared" si="88"/>
        <v/>
      </c>
      <c r="C4672" s="15"/>
    </row>
    <row r="4673" spans="1:3" x14ac:dyDescent="0.25">
      <c r="A4673" s="21" t="str">
        <f>IF(C4673="","",COUNTA($C$3:C4673))</f>
        <v/>
      </c>
      <c r="B4673" s="35" t="str">
        <f t="shared" si="88"/>
        <v/>
      </c>
      <c r="C4673" s="15"/>
    </row>
    <row r="4674" spans="1:3" x14ac:dyDescent="0.25">
      <c r="A4674" s="21" t="str">
        <f>IF(C4674="","",COUNTA($C$3:C4674))</f>
        <v/>
      </c>
      <c r="B4674" s="35" t="str">
        <f t="shared" si="88"/>
        <v/>
      </c>
      <c r="C4674" s="15"/>
    </row>
    <row r="4675" spans="1:3" x14ac:dyDescent="0.25">
      <c r="A4675" s="21" t="str">
        <f>IF(C4675="","",COUNTA($C$3:C4675))</f>
        <v/>
      </c>
      <c r="B4675" s="35" t="str">
        <f t="shared" si="88"/>
        <v/>
      </c>
      <c r="C4675" s="15"/>
    </row>
    <row r="4676" spans="1:3" x14ac:dyDescent="0.25">
      <c r="A4676" s="21" t="str">
        <f>IF(C4676="","",COUNTA($C$3:C4676))</f>
        <v/>
      </c>
      <c r="B4676" s="35" t="str">
        <f t="shared" si="88"/>
        <v/>
      </c>
      <c r="C4676" s="15"/>
    </row>
    <row r="4677" spans="1:3" x14ac:dyDescent="0.25">
      <c r="A4677" s="21" t="str">
        <f>IF(C4677="","",COUNTA($C$3:C4677))</f>
        <v/>
      </c>
      <c r="B4677" s="35" t="str">
        <f t="shared" ref="B4677:B4740" si="89">IF(C4677="","",TEXT(C4677,"mmmm"))</f>
        <v/>
      </c>
      <c r="C4677" s="15"/>
    </row>
    <row r="4678" spans="1:3" x14ac:dyDescent="0.25">
      <c r="A4678" s="21" t="str">
        <f>IF(C4678="","",COUNTA($C$3:C4678))</f>
        <v/>
      </c>
      <c r="B4678" s="35" t="str">
        <f t="shared" si="89"/>
        <v/>
      </c>
      <c r="C4678" s="15"/>
    </row>
    <row r="4679" spans="1:3" x14ac:dyDescent="0.25">
      <c r="A4679" s="21" t="str">
        <f>IF(C4679="","",COUNTA($C$3:C4679))</f>
        <v/>
      </c>
      <c r="B4679" s="35" t="str">
        <f t="shared" si="89"/>
        <v/>
      </c>
      <c r="C4679" s="15"/>
    </row>
    <row r="4680" spans="1:3" x14ac:dyDescent="0.25">
      <c r="A4680" s="21" t="str">
        <f>IF(C4680="","",COUNTA($C$3:C4680))</f>
        <v/>
      </c>
      <c r="B4680" s="35" t="str">
        <f t="shared" si="89"/>
        <v/>
      </c>
      <c r="C4680" s="15"/>
    </row>
    <row r="4681" spans="1:3" x14ac:dyDescent="0.25">
      <c r="A4681" s="21" t="str">
        <f>IF(C4681="","",COUNTA($C$3:C4681))</f>
        <v/>
      </c>
      <c r="B4681" s="35" t="str">
        <f t="shared" si="89"/>
        <v/>
      </c>
      <c r="C4681" s="15"/>
    </row>
    <row r="4682" spans="1:3" x14ac:dyDescent="0.25">
      <c r="A4682" s="21" t="str">
        <f>IF(C4682="","",COUNTA($C$3:C4682))</f>
        <v/>
      </c>
      <c r="B4682" s="35" t="str">
        <f t="shared" si="89"/>
        <v/>
      </c>
      <c r="C4682" s="15"/>
    </row>
    <row r="4683" spans="1:3" x14ac:dyDescent="0.25">
      <c r="A4683" s="21" t="str">
        <f>IF(C4683="","",COUNTA($C$3:C4683))</f>
        <v/>
      </c>
      <c r="B4683" s="35" t="str">
        <f t="shared" si="89"/>
        <v/>
      </c>
      <c r="C4683" s="15"/>
    </row>
    <row r="4684" spans="1:3" x14ac:dyDescent="0.25">
      <c r="A4684" s="21" t="str">
        <f>IF(C4684="","",COUNTA($C$3:C4684))</f>
        <v/>
      </c>
      <c r="B4684" s="35" t="str">
        <f t="shared" si="89"/>
        <v/>
      </c>
      <c r="C4684" s="15"/>
    </row>
    <row r="4685" spans="1:3" x14ac:dyDescent="0.25">
      <c r="A4685" s="21" t="str">
        <f>IF(C4685="","",COUNTA($C$3:C4685))</f>
        <v/>
      </c>
      <c r="B4685" s="35" t="str">
        <f t="shared" si="89"/>
        <v/>
      </c>
      <c r="C4685" s="15"/>
    </row>
    <row r="4686" spans="1:3" x14ac:dyDescent="0.25">
      <c r="A4686" s="21" t="str">
        <f>IF(C4686="","",COUNTA($C$3:C4686))</f>
        <v/>
      </c>
      <c r="B4686" s="35" t="str">
        <f t="shared" si="89"/>
        <v/>
      </c>
      <c r="C4686" s="15"/>
    </row>
    <row r="4687" spans="1:3" x14ac:dyDescent="0.25">
      <c r="A4687" s="21" t="str">
        <f>IF(C4687="","",COUNTA($C$3:C4687))</f>
        <v/>
      </c>
      <c r="B4687" s="35" t="str">
        <f t="shared" si="89"/>
        <v/>
      </c>
      <c r="C4687" s="15"/>
    </row>
    <row r="4688" spans="1:3" x14ac:dyDescent="0.25">
      <c r="A4688" s="21" t="str">
        <f>IF(C4688="","",COUNTA($C$3:C4688))</f>
        <v/>
      </c>
      <c r="B4688" s="35" t="str">
        <f t="shared" si="89"/>
        <v/>
      </c>
      <c r="C4688" s="15"/>
    </row>
    <row r="4689" spans="1:3" x14ac:dyDescent="0.25">
      <c r="A4689" s="21" t="str">
        <f>IF(C4689="","",COUNTA($C$3:C4689))</f>
        <v/>
      </c>
      <c r="B4689" s="35" t="str">
        <f t="shared" si="89"/>
        <v/>
      </c>
      <c r="C4689" s="15"/>
    </row>
    <row r="4690" spans="1:3" x14ac:dyDescent="0.25">
      <c r="A4690" s="21" t="str">
        <f>IF(C4690="","",COUNTA($C$3:C4690))</f>
        <v/>
      </c>
      <c r="B4690" s="35" t="str">
        <f t="shared" si="89"/>
        <v/>
      </c>
      <c r="C4690" s="15"/>
    </row>
    <row r="4691" spans="1:3" x14ac:dyDescent="0.25">
      <c r="A4691" s="21" t="str">
        <f>IF(C4691="","",COUNTA($C$3:C4691))</f>
        <v/>
      </c>
      <c r="B4691" s="35" t="str">
        <f t="shared" si="89"/>
        <v/>
      </c>
      <c r="C4691" s="15"/>
    </row>
    <row r="4692" spans="1:3" x14ac:dyDescent="0.25">
      <c r="A4692" s="21" t="str">
        <f>IF(C4692="","",COUNTA($C$3:C4692))</f>
        <v/>
      </c>
      <c r="B4692" s="35" t="str">
        <f t="shared" si="89"/>
        <v/>
      </c>
      <c r="C4692" s="15"/>
    </row>
    <row r="4693" spans="1:3" x14ac:dyDescent="0.25">
      <c r="A4693" s="21" t="str">
        <f>IF(C4693="","",COUNTA($C$3:C4693))</f>
        <v/>
      </c>
      <c r="B4693" s="35" t="str">
        <f t="shared" si="89"/>
        <v/>
      </c>
      <c r="C4693" s="15"/>
    </row>
    <row r="4694" spans="1:3" x14ac:dyDescent="0.25">
      <c r="A4694" s="21" t="str">
        <f>IF(C4694="","",COUNTA($C$3:C4694))</f>
        <v/>
      </c>
      <c r="B4694" s="35" t="str">
        <f t="shared" si="89"/>
        <v/>
      </c>
      <c r="C4694" s="15"/>
    </row>
    <row r="4695" spans="1:3" x14ac:dyDescent="0.25">
      <c r="A4695" s="21" t="str">
        <f>IF(C4695="","",COUNTA($C$3:C4695))</f>
        <v/>
      </c>
      <c r="B4695" s="35" t="str">
        <f t="shared" si="89"/>
        <v/>
      </c>
      <c r="C4695" s="15"/>
    </row>
    <row r="4696" spans="1:3" x14ac:dyDescent="0.25">
      <c r="A4696" s="21" t="str">
        <f>IF(C4696="","",COUNTA($C$3:C4696))</f>
        <v/>
      </c>
      <c r="B4696" s="35" t="str">
        <f t="shared" si="89"/>
        <v/>
      </c>
      <c r="C4696" s="15"/>
    </row>
    <row r="4697" spans="1:3" x14ac:dyDescent="0.25">
      <c r="A4697" s="21" t="str">
        <f>IF(C4697="","",COUNTA($C$3:C4697))</f>
        <v/>
      </c>
      <c r="B4697" s="35" t="str">
        <f t="shared" si="89"/>
        <v/>
      </c>
      <c r="C4697" s="15"/>
    </row>
    <row r="4698" spans="1:3" x14ac:dyDescent="0.25">
      <c r="A4698" s="21" t="str">
        <f>IF(C4698="","",COUNTA($C$3:C4698))</f>
        <v/>
      </c>
      <c r="B4698" s="35" t="str">
        <f t="shared" si="89"/>
        <v/>
      </c>
      <c r="C4698" s="15"/>
    </row>
    <row r="4699" spans="1:3" x14ac:dyDescent="0.25">
      <c r="A4699" s="21" t="str">
        <f>IF(C4699="","",COUNTA($C$3:C4699))</f>
        <v/>
      </c>
      <c r="B4699" s="35" t="str">
        <f t="shared" si="89"/>
        <v/>
      </c>
      <c r="C4699" s="15"/>
    </row>
    <row r="4700" spans="1:3" x14ac:dyDescent="0.25">
      <c r="A4700" s="21" t="str">
        <f>IF(C4700="","",COUNTA($C$3:C4700))</f>
        <v/>
      </c>
      <c r="B4700" s="35" t="str">
        <f t="shared" si="89"/>
        <v/>
      </c>
      <c r="C4700" s="15"/>
    </row>
    <row r="4701" spans="1:3" x14ac:dyDescent="0.25">
      <c r="A4701" s="21" t="str">
        <f>IF(C4701="","",COUNTA($C$3:C4701))</f>
        <v/>
      </c>
      <c r="B4701" s="35" t="str">
        <f t="shared" si="89"/>
        <v/>
      </c>
      <c r="C4701" s="15"/>
    </row>
    <row r="4702" spans="1:3" x14ac:dyDescent="0.25">
      <c r="A4702" s="21" t="str">
        <f>IF(C4702="","",COUNTA($C$3:C4702))</f>
        <v/>
      </c>
      <c r="B4702" s="35" t="str">
        <f t="shared" si="89"/>
        <v/>
      </c>
      <c r="C4702" s="15"/>
    </row>
    <row r="4703" spans="1:3" x14ac:dyDescent="0.25">
      <c r="A4703" s="21" t="str">
        <f>IF(C4703="","",COUNTA($C$3:C4703))</f>
        <v/>
      </c>
      <c r="B4703" s="35" t="str">
        <f t="shared" si="89"/>
        <v/>
      </c>
      <c r="C4703" s="15"/>
    </row>
    <row r="4704" spans="1:3" x14ac:dyDescent="0.25">
      <c r="A4704" s="21" t="str">
        <f>IF(C4704="","",COUNTA($C$3:C4704))</f>
        <v/>
      </c>
      <c r="B4704" s="35" t="str">
        <f t="shared" si="89"/>
        <v/>
      </c>
      <c r="C4704" s="15"/>
    </row>
    <row r="4705" spans="1:3" x14ac:dyDescent="0.25">
      <c r="A4705" s="21" t="str">
        <f>IF(C4705="","",COUNTA($C$3:C4705))</f>
        <v/>
      </c>
      <c r="B4705" s="35" t="str">
        <f t="shared" si="89"/>
        <v/>
      </c>
      <c r="C4705" s="15"/>
    </row>
    <row r="4706" spans="1:3" x14ac:dyDescent="0.25">
      <c r="A4706" s="21" t="str">
        <f>IF(C4706="","",COUNTA($C$3:C4706))</f>
        <v/>
      </c>
      <c r="B4706" s="35" t="str">
        <f t="shared" si="89"/>
        <v/>
      </c>
      <c r="C4706" s="15"/>
    </row>
    <row r="4707" spans="1:3" x14ac:dyDescent="0.25">
      <c r="A4707" s="21" t="str">
        <f>IF(C4707="","",COUNTA($C$3:C4707))</f>
        <v/>
      </c>
      <c r="B4707" s="35" t="str">
        <f t="shared" si="89"/>
        <v/>
      </c>
      <c r="C4707" s="15"/>
    </row>
    <row r="4708" spans="1:3" x14ac:dyDescent="0.25">
      <c r="A4708" s="21" t="str">
        <f>IF(C4708="","",COUNTA($C$3:C4708))</f>
        <v/>
      </c>
      <c r="B4708" s="35" t="str">
        <f t="shared" si="89"/>
        <v/>
      </c>
      <c r="C4708" s="15"/>
    </row>
    <row r="4709" spans="1:3" x14ac:dyDescent="0.25">
      <c r="A4709" s="21" t="str">
        <f>IF(C4709="","",COUNTA($C$3:C4709))</f>
        <v/>
      </c>
      <c r="B4709" s="35" t="str">
        <f t="shared" si="89"/>
        <v/>
      </c>
      <c r="C4709" s="15"/>
    </row>
    <row r="4710" spans="1:3" x14ac:dyDescent="0.25">
      <c r="A4710" s="21" t="str">
        <f>IF(C4710="","",COUNTA($C$3:C4710))</f>
        <v/>
      </c>
      <c r="B4710" s="35" t="str">
        <f t="shared" si="89"/>
        <v/>
      </c>
      <c r="C4710" s="15"/>
    </row>
    <row r="4711" spans="1:3" x14ac:dyDescent="0.25">
      <c r="A4711" s="21" t="str">
        <f>IF(C4711="","",COUNTA($C$3:C4711))</f>
        <v/>
      </c>
      <c r="B4711" s="35" t="str">
        <f t="shared" si="89"/>
        <v/>
      </c>
      <c r="C4711" s="15"/>
    </row>
    <row r="4712" spans="1:3" x14ac:dyDescent="0.25">
      <c r="A4712" s="21" t="str">
        <f>IF(C4712="","",COUNTA($C$3:C4712))</f>
        <v/>
      </c>
      <c r="B4712" s="35" t="str">
        <f t="shared" si="89"/>
        <v/>
      </c>
      <c r="C4712" s="15"/>
    </row>
    <row r="4713" spans="1:3" x14ac:dyDescent="0.25">
      <c r="A4713" s="21" t="str">
        <f>IF(C4713="","",COUNTA($C$3:C4713))</f>
        <v/>
      </c>
      <c r="B4713" s="35" t="str">
        <f t="shared" si="89"/>
        <v/>
      </c>
      <c r="C4713" s="15"/>
    </row>
    <row r="4714" spans="1:3" x14ac:dyDescent="0.25">
      <c r="A4714" s="21" t="str">
        <f>IF(C4714="","",COUNTA($C$3:C4714))</f>
        <v/>
      </c>
      <c r="B4714" s="35" t="str">
        <f t="shared" si="89"/>
        <v/>
      </c>
      <c r="C4714" s="15"/>
    </row>
    <row r="4715" spans="1:3" x14ac:dyDescent="0.25">
      <c r="A4715" s="21" t="str">
        <f>IF(C4715="","",COUNTA($C$3:C4715))</f>
        <v/>
      </c>
      <c r="B4715" s="35" t="str">
        <f t="shared" si="89"/>
        <v/>
      </c>
      <c r="C4715" s="15"/>
    </row>
    <row r="4716" spans="1:3" x14ac:dyDescent="0.25">
      <c r="A4716" s="21" t="str">
        <f>IF(C4716="","",COUNTA($C$3:C4716))</f>
        <v/>
      </c>
      <c r="B4716" s="35" t="str">
        <f t="shared" si="89"/>
        <v/>
      </c>
      <c r="C4716" s="15"/>
    </row>
    <row r="4717" spans="1:3" x14ac:dyDescent="0.25">
      <c r="A4717" s="21" t="str">
        <f>IF(C4717="","",COUNTA($C$3:C4717))</f>
        <v/>
      </c>
      <c r="B4717" s="35" t="str">
        <f t="shared" si="89"/>
        <v/>
      </c>
      <c r="C4717" s="15"/>
    </row>
    <row r="4718" spans="1:3" x14ac:dyDescent="0.25">
      <c r="A4718" s="21" t="str">
        <f>IF(C4718="","",COUNTA($C$3:C4718))</f>
        <v/>
      </c>
      <c r="B4718" s="35" t="str">
        <f t="shared" si="89"/>
        <v/>
      </c>
      <c r="C4718" s="15"/>
    </row>
    <row r="4719" spans="1:3" x14ac:dyDescent="0.25">
      <c r="A4719" s="21" t="str">
        <f>IF(C4719="","",COUNTA($C$3:C4719))</f>
        <v/>
      </c>
      <c r="B4719" s="35" t="str">
        <f t="shared" si="89"/>
        <v/>
      </c>
      <c r="C4719" s="15"/>
    </row>
    <row r="4720" spans="1:3" x14ac:dyDescent="0.25">
      <c r="A4720" s="21" t="str">
        <f>IF(C4720="","",COUNTA($C$3:C4720))</f>
        <v/>
      </c>
      <c r="B4720" s="35" t="str">
        <f t="shared" si="89"/>
        <v/>
      </c>
      <c r="C4720" s="15"/>
    </row>
    <row r="4721" spans="1:3" x14ac:dyDescent="0.25">
      <c r="A4721" s="21" t="str">
        <f>IF(C4721="","",COUNTA($C$3:C4721))</f>
        <v/>
      </c>
      <c r="B4721" s="35" t="str">
        <f t="shared" si="89"/>
        <v/>
      </c>
      <c r="C4721" s="15"/>
    </row>
    <row r="4722" spans="1:3" x14ac:dyDescent="0.25">
      <c r="A4722" s="21" t="str">
        <f>IF(C4722="","",COUNTA($C$3:C4722))</f>
        <v/>
      </c>
      <c r="B4722" s="35" t="str">
        <f t="shared" si="89"/>
        <v/>
      </c>
      <c r="C4722" s="15"/>
    </row>
    <row r="4723" spans="1:3" x14ac:dyDescent="0.25">
      <c r="A4723" s="21" t="str">
        <f>IF(C4723="","",COUNTA($C$3:C4723))</f>
        <v/>
      </c>
      <c r="B4723" s="35" t="str">
        <f t="shared" si="89"/>
        <v/>
      </c>
      <c r="C4723" s="15"/>
    </row>
    <row r="4724" spans="1:3" x14ac:dyDescent="0.25">
      <c r="A4724" s="21" t="str">
        <f>IF(C4724="","",COUNTA($C$3:C4724))</f>
        <v/>
      </c>
      <c r="B4724" s="35" t="str">
        <f t="shared" si="89"/>
        <v/>
      </c>
      <c r="C4724" s="15"/>
    </row>
    <row r="4725" spans="1:3" x14ac:dyDescent="0.25">
      <c r="A4725" s="21" t="str">
        <f>IF(C4725="","",COUNTA($C$3:C4725))</f>
        <v/>
      </c>
      <c r="B4725" s="35" t="str">
        <f t="shared" si="89"/>
        <v/>
      </c>
      <c r="C4725" s="15"/>
    </row>
    <row r="4726" spans="1:3" x14ac:dyDescent="0.25">
      <c r="A4726" s="21" t="str">
        <f>IF(C4726="","",COUNTA($C$3:C4726))</f>
        <v/>
      </c>
      <c r="B4726" s="35" t="str">
        <f t="shared" si="89"/>
        <v/>
      </c>
      <c r="C4726" s="15"/>
    </row>
    <row r="4727" spans="1:3" x14ac:dyDescent="0.25">
      <c r="A4727" s="21" t="str">
        <f>IF(C4727="","",COUNTA($C$3:C4727))</f>
        <v/>
      </c>
      <c r="B4727" s="35" t="str">
        <f t="shared" si="89"/>
        <v/>
      </c>
      <c r="C4727" s="15"/>
    </row>
    <row r="4728" spans="1:3" x14ac:dyDescent="0.25">
      <c r="A4728" s="21" t="str">
        <f>IF(C4728="","",COUNTA($C$3:C4728))</f>
        <v/>
      </c>
      <c r="B4728" s="35" t="str">
        <f t="shared" si="89"/>
        <v/>
      </c>
      <c r="C4728" s="15"/>
    </row>
    <row r="4729" spans="1:3" x14ac:dyDescent="0.25">
      <c r="A4729" s="21" t="str">
        <f>IF(C4729="","",COUNTA($C$3:C4729))</f>
        <v/>
      </c>
      <c r="B4729" s="35" t="str">
        <f t="shared" si="89"/>
        <v/>
      </c>
      <c r="C4729" s="15"/>
    </row>
    <row r="4730" spans="1:3" x14ac:dyDescent="0.25">
      <c r="A4730" s="21" t="str">
        <f>IF(C4730="","",COUNTA($C$3:C4730))</f>
        <v/>
      </c>
      <c r="B4730" s="35" t="str">
        <f t="shared" si="89"/>
        <v/>
      </c>
      <c r="C4730" s="15"/>
    </row>
    <row r="4731" spans="1:3" x14ac:dyDescent="0.25">
      <c r="A4731" s="21" t="str">
        <f>IF(C4731="","",COUNTA($C$3:C4731))</f>
        <v/>
      </c>
      <c r="B4731" s="35" t="str">
        <f t="shared" si="89"/>
        <v/>
      </c>
      <c r="C4731" s="15"/>
    </row>
    <row r="4732" spans="1:3" x14ac:dyDescent="0.25">
      <c r="A4732" s="21" t="str">
        <f>IF(C4732="","",COUNTA($C$3:C4732))</f>
        <v/>
      </c>
      <c r="B4732" s="35" t="str">
        <f t="shared" si="89"/>
        <v/>
      </c>
      <c r="C4732" s="15"/>
    </row>
    <row r="4733" spans="1:3" x14ac:dyDescent="0.25">
      <c r="A4733" s="21" t="str">
        <f>IF(C4733="","",COUNTA($C$3:C4733))</f>
        <v/>
      </c>
      <c r="B4733" s="35" t="str">
        <f t="shared" si="89"/>
        <v/>
      </c>
      <c r="C4733" s="15"/>
    </row>
    <row r="4734" spans="1:3" x14ac:dyDescent="0.25">
      <c r="A4734" s="21" t="str">
        <f>IF(C4734="","",COUNTA($C$3:C4734))</f>
        <v/>
      </c>
      <c r="B4734" s="35" t="str">
        <f t="shared" si="89"/>
        <v/>
      </c>
      <c r="C4734" s="15"/>
    </row>
    <row r="4735" spans="1:3" x14ac:dyDescent="0.25">
      <c r="A4735" s="21" t="str">
        <f>IF(C4735="","",COUNTA($C$3:C4735))</f>
        <v/>
      </c>
      <c r="B4735" s="35" t="str">
        <f t="shared" si="89"/>
        <v/>
      </c>
      <c r="C4735" s="15"/>
    </row>
    <row r="4736" spans="1:3" x14ac:dyDescent="0.25">
      <c r="A4736" s="21" t="str">
        <f>IF(C4736="","",COUNTA($C$3:C4736))</f>
        <v/>
      </c>
      <c r="B4736" s="35" t="str">
        <f t="shared" si="89"/>
        <v/>
      </c>
      <c r="C4736" s="15"/>
    </row>
    <row r="4737" spans="1:3" x14ac:dyDescent="0.25">
      <c r="A4737" s="21" t="str">
        <f>IF(C4737="","",COUNTA($C$3:C4737))</f>
        <v/>
      </c>
      <c r="B4737" s="35" t="str">
        <f t="shared" si="89"/>
        <v/>
      </c>
      <c r="C4737" s="15"/>
    </row>
    <row r="4738" spans="1:3" x14ac:dyDescent="0.25">
      <c r="A4738" s="21" t="str">
        <f>IF(C4738="","",COUNTA($C$3:C4738))</f>
        <v/>
      </c>
      <c r="B4738" s="35" t="str">
        <f t="shared" si="89"/>
        <v/>
      </c>
      <c r="C4738" s="15"/>
    </row>
    <row r="4739" spans="1:3" x14ac:dyDescent="0.25">
      <c r="A4739" s="21" t="str">
        <f>IF(C4739="","",COUNTA($C$3:C4739))</f>
        <v/>
      </c>
      <c r="B4739" s="35" t="str">
        <f t="shared" si="89"/>
        <v/>
      </c>
      <c r="C4739" s="15"/>
    </row>
    <row r="4740" spans="1:3" x14ac:dyDescent="0.25">
      <c r="A4740" s="21" t="str">
        <f>IF(C4740="","",COUNTA($C$3:C4740))</f>
        <v/>
      </c>
      <c r="B4740" s="35" t="str">
        <f t="shared" si="89"/>
        <v/>
      </c>
      <c r="C4740" s="15"/>
    </row>
    <row r="4741" spans="1:3" x14ac:dyDescent="0.25">
      <c r="A4741" s="21" t="str">
        <f>IF(C4741="","",COUNTA($C$3:C4741))</f>
        <v/>
      </c>
      <c r="B4741" s="35" t="str">
        <f t="shared" ref="B4741:B4804" si="90">IF(C4741="","",TEXT(C4741,"mmmm"))</f>
        <v/>
      </c>
      <c r="C4741" s="15"/>
    </row>
    <row r="4742" spans="1:3" x14ac:dyDescent="0.25">
      <c r="A4742" s="21" t="str">
        <f>IF(C4742="","",COUNTA($C$3:C4742))</f>
        <v/>
      </c>
      <c r="B4742" s="35" t="str">
        <f t="shared" si="90"/>
        <v/>
      </c>
      <c r="C4742" s="15"/>
    </row>
    <row r="4743" spans="1:3" x14ac:dyDescent="0.25">
      <c r="A4743" s="21" t="str">
        <f>IF(C4743="","",COUNTA($C$3:C4743))</f>
        <v/>
      </c>
      <c r="B4743" s="35" t="str">
        <f t="shared" si="90"/>
        <v/>
      </c>
      <c r="C4743" s="15"/>
    </row>
    <row r="4744" spans="1:3" x14ac:dyDescent="0.25">
      <c r="A4744" s="21" t="str">
        <f>IF(C4744="","",COUNTA($C$3:C4744))</f>
        <v/>
      </c>
      <c r="B4744" s="35" t="str">
        <f t="shared" si="90"/>
        <v/>
      </c>
      <c r="C4744" s="15"/>
    </row>
    <row r="4745" spans="1:3" x14ac:dyDescent="0.25">
      <c r="A4745" s="21" t="str">
        <f>IF(C4745="","",COUNTA($C$3:C4745))</f>
        <v/>
      </c>
      <c r="B4745" s="35" t="str">
        <f t="shared" si="90"/>
        <v/>
      </c>
      <c r="C4745" s="15"/>
    </row>
    <row r="4746" spans="1:3" x14ac:dyDescent="0.25">
      <c r="A4746" s="21" t="str">
        <f>IF(C4746="","",COUNTA($C$3:C4746))</f>
        <v/>
      </c>
      <c r="B4746" s="35" t="str">
        <f t="shared" si="90"/>
        <v/>
      </c>
      <c r="C4746" s="15"/>
    </row>
    <row r="4747" spans="1:3" x14ac:dyDescent="0.25">
      <c r="A4747" s="21" t="str">
        <f>IF(C4747="","",COUNTA($C$3:C4747))</f>
        <v/>
      </c>
      <c r="B4747" s="35" t="str">
        <f t="shared" si="90"/>
        <v/>
      </c>
      <c r="C4747" s="15"/>
    </row>
    <row r="4748" spans="1:3" x14ac:dyDescent="0.25">
      <c r="A4748" s="21" t="str">
        <f>IF(C4748="","",COUNTA($C$3:C4748))</f>
        <v/>
      </c>
      <c r="B4748" s="35" t="str">
        <f t="shared" si="90"/>
        <v/>
      </c>
      <c r="C4748" s="15"/>
    </row>
    <row r="4749" spans="1:3" x14ac:dyDescent="0.25">
      <c r="A4749" s="21" t="str">
        <f>IF(C4749="","",COUNTA($C$3:C4749))</f>
        <v/>
      </c>
      <c r="B4749" s="35" t="str">
        <f t="shared" si="90"/>
        <v/>
      </c>
      <c r="C4749" s="15"/>
    </row>
    <row r="4750" spans="1:3" x14ac:dyDescent="0.25">
      <c r="A4750" s="21" t="str">
        <f>IF(C4750="","",COUNTA($C$3:C4750))</f>
        <v/>
      </c>
      <c r="B4750" s="35" t="str">
        <f t="shared" si="90"/>
        <v/>
      </c>
      <c r="C4750" s="15"/>
    </row>
    <row r="4751" spans="1:3" x14ac:dyDescent="0.25">
      <c r="A4751" s="21" t="str">
        <f>IF(C4751="","",COUNTA($C$3:C4751))</f>
        <v/>
      </c>
      <c r="B4751" s="35" t="str">
        <f t="shared" si="90"/>
        <v/>
      </c>
      <c r="C4751" s="15"/>
    </row>
    <row r="4752" spans="1:3" x14ac:dyDescent="0.25">
      <c r="A4752" s="21" t="str">
        <f>IF(C4752="","",COUNTA($C$3:C4752))</f>
        <v/>
      </c>
      <c r="B4752" s="35" t="str">
        <f t="shared" si="90"/>
        <v/>
      </c>
      <c r="C4752" s="15"/>
    </row>
    <row r="4753" spans="1:3" x14ac:dyDescent="0.25">
      <c r="A4753" s="21" t="str">
        <f>IF(C4753="","",COUNTA($C$3:C4753))</f>
        <v/>
      </c>
      <c r="B4753" s="35" t="str">
        <f t="shared" si="90"/>
        <v/>
      </c>
      <c r="C4753" s="15"/>
    </row>
    <row r="4754" spans="1:3" x14ac:dyDescent="0.25">
      <c r="A4754" s="21" t="str">
        <f>IF(C4754="","",COUNTA($C$3:C4754))</f>
        <v/>
      </c>
      <c r="B4754" s="35" t="str">
        <f t="shared" si="90"/>
        <v/>
      </c>
      <c r="C4754" s="15"/>
    </row>
    <row r="4755" spans="1:3" x14ac:dyDescent="0.25">
      <c r="A4755" s="21" t="str">
        <f>IF(C4755="","",COUNTA($C$3:C4755))</f>
        <v/>
      </c>
      <c r="B4755" s="35" t="str">
        <f t="shared" si="90"/>
        <v/>
      </c>
      <c r="C4755" s="15"/>
    </row>
    <row r="4756" spans="1:3" x14ac:dyDescent="0.25">
      <c r="A4756" s="21" t="str">
        <f>IF(C4756="","",COUNTA($C$3:C4756))</f>
        <v/>
      </c>
      <c r="B4756" s="35" t="str">
        <f t="shared" si="90"/>
        <v/>
      </c>
      <c r="C4756" s="15"/>
    </row>
    <row r="4757" spans="1:3" x14ac:dyDescent="0.25">
      <c r="A4757" s="21" t="str">
        <f>IF(C4757="","",COUNTA($C$3:C4757))</f>
        <v/>
      </c>
      <c r="B4757" s="35" t="str">
        <f t="shared" si="90"/>
        <v/>
      </c>
      <c r="C4757" s="15"/>
    </row>
    <row r="4758" spans="1:3" x14ac:dyDescent="0.25">
      <c r="A4758" s="21" t="str">
        <f>IF(C4758="","",COUNTA($C$3:C4758))</f>
        <v/>
      </c>
      <c r="B4758" s="35" t="str">
        <f t="shared" si="90"/>
        <v/>
      </c>
      <c r="C4758" s="15"/>
    </row>
    <row r="4759" spans="1:3" x14ac:dyDescent="0.25">
      <c r="A4759" s="21" t="str">
        <f>IF(C4759="","",COUNTA($C$3:C4759))</f>
        <v/>
      </c>
      <c r="B4759" s="35" t="str">
        <f t="shared" si="90"/>
        <v/>
      </c>
      <c r="C4759" s="15"/>
    </row>
    <row r="4760" spans="1:3" x14ac:dyDescent="0.25">
      <c r="A4760" s="21" t="str">
        <f>IF(C4760="","",COUNTA($C$3:C4760))</f>
        <v/>
      </c>
      <c r="B4760" s="35" t="str">
        <f t="shared" si="90"/>
        <v/>
      </c>
      <c r="C4760" s="15"/>
    </row>
    <row r="4761" spans="1:3" x14ac:dyDescent="0.25">
      <c r="A4761" s="21" t="str">
        <f>IF(C4761="","",COUNTA($C$3:C4761))</f>
        <v/>
      </c>
      <c r="B4761" s="35" t="str">
        <f t="shared" si="90"/>
        <v/>
      </c>
      <c r="C4761" s="15"/>
    </row>
    <row r="4762" spans="1:3" x14ac:dyDescent="0.25">
      <c r="A4762" s="21" t="str">
        <f>IF(C4762="","",COUNTA($C$3:C4762))</f>
        <v/>
      </c>
      <c r="B4762" s="35" t="str">
        <f t="shared" si="90"/>
        <v/>
      </c>
      <c r="C4762" s="15"/>
    </row>
    <row r="4763" spans="1:3" x14ac:dyDescent="0.25">
      <c r="A4763" s="21" t="str">
        <f>IF(C4763="","",COUNTA($C$3:C4763))</f>
        <v/>
      </c>
      <c r="B4763" s="35" t="str">
        <f t="shared" si="90"/>
        <v/>
      </c>
      <c r="C4763" s="15"/>
    </row>
    <row r="4764" spans="1:3" x14ac:dyDescent="0.25">
      <c r="A4764" s="21" t="str">
        <f>IF(C4764="","",COUNTA($C$3:C4764))</f>
        <v/>
      </c>
      <c r="B4764" s="35" t="str">
        <f t="shared" si="90"/>
        <v/>
      </c>
      <c r="C4764" s="15"/>
    </row>
    <row r="4765" spans="1:3" x14ac:dyDescent="0.25">
      <c r="A4765" s="21" t="str">
        <f>IF(C4765="","",COUNTA($C$3:C4765))</f>
        <v/>
      </c>
      <c r="B4765" s="35" t="str">
        <f t="shared" si="90"/>
        <v/>
      </c>
      <c r="C4765" s="15"/>
    </row>
    <row r="4766" spans="1:3" x14ac:dyDescent="0.25">
      <c r="A4766" s="21" t="str">
        <f>IF(C4766="","",COUNTA($C$3:C4766))</f>
        <v/>
      </c>
      <c r="B4766" s="35" t="str">
        <f t="shared" si="90"/>
        <v/>
      </c>
      <c r="C4766" s="15"/>
    </row>
    <row r="4767" spans="1:3" x14ac:dyDescent="0.25">
      <c r="A4767" s="21" t="str">
        <f>IF(C4767="","",COUNTA($C$3:C4767))</f>
        <v/>
      </c>
      <c r="B4767" s="35" t="str">
        <f t="shared" si="90"/>
        <v/>
      </c>
      <c r="C4767" s="15"/>
    </row>
    <row r="4768" spans="1:3" x14ac:dyDescent="0.25">
      <c r="A4768" s="21" t="str">
        <f>IF(C4768="","",COUNTA($C$3:C4768))</f>
        <v/>
      </c>
      <c r="B4768" s="35" t="str">
        <f t="shared" si="90"/>
        <v/>
      </c>
      <c r="C4768" s="15"/>
    </row>
    <row r="4769" spans="1:3" x14ac:dyDescent="0.25">
      <c r="A4769" s="21" t="str">
        <f>IF(C4769="","",COUNTA($C$3:C4769))</f>
        <v/>
      </c>
      <c r="B4769" s="35" t="str">
        <f t="shared" si="90"/>
        <v/>
      </c>
      <c r="C4769" s="15"/>
    </row>
    <row r="4770" spans="1:3" x14ac:dyDescent="0.25">
      <c r="A4770" s="21" t="str">
        <f>IF(C4770="","",COUNTA($C$3:C4770))</f>
        <v/>
      </c>
      <c r="B4770" s="35" t="str">
        <f t="shared" si="90"/>
        <v/>
      </c>
      <c r="C4770" s="15"/>
    </row>
    <row r="4771" spans="1:3" x14ac:dyDescent="0.25">
      <c r="A4771" s="21" t="str">
        <f>IF(C4771="","",COUNTA($C$3:C4771))</f>
        <v/>
      </c>
      <c r="B4771" s="35" t="str">
        <f t="shared" si="90"/>
        <v/>
      </c>
      <c r="C4771" s="15"/>
    </row>
    <row r="4772" spans="1:3" x14ac:dyDescent="0.25">
      <c r="A4772" s="21" t="str">
        <f>IF(C4772="","",COUNTA($C$3:C4772))</f>
        <v/>
      </c>
      <c r="B4772" s="35" t="str">
        <f t="shared" si="90"/>
        <v/>
      </c>
      <c r="C4772" s="15"/>
    </row>
    <row r="4773" spans="1:3" x14ac:dyDescent="0.25">
      <c r="A4773" s="21" t="str">
        <f>IF(C4773="","",COUNTA($C$3:C4773))</f>
        <v/>
      </c>
      <c r="B4773" s="35" t="str">
        <f t="shared" si="90"/>
        <v/>
      </c>
      <c r="C4773" s="15"/>
    </row>
    <row r="4774" spans="1:3" x14ac:dyDescent="0.25">
      <c r="A4774" s="21" t="str">
        <f>IF(C4774="","",COUNTA($C$3:C4774))</f>
        <v/>
      </c>
      <c r="B4774" s="35" t="str">
        <f t="shared" si="90"/>
        <v/>
      </c>
      <c r="C4774" s="15"/>
    </row>
    <row r="4775" spans="1:3" x14ac:dyDescent="0.25">
      <c r="A4775" s="21" t="str">
        <f>IF(C4775="","",COUNTA($C$3:C4775))</f>
        <v/>
      </c>
      <c r="B4775" s="35" t="str">
        <f t="shared" si="90"/>
        <v/>
      </c>
      <c r="C4775" s="15"/>
    </row>
    <row r="4776" spans="1:3" x14ac:dyDescent="0.25">
      <c r="A4776" s="21" t="str">
        <f>IF(C4776="","",COUNTA($C$3:C4776))</f>
        <v/>
      </c>
      <c r="B4776" s="35" t="str">
        <f t="shared" si="90"/>
        <v/>
      </c>
      <c r="C4776" s="15"/>
    </row>
    <row r="4777" spans="1:3" x14ac:dyDescent="0.25">
      <c r="A4777" s="21" t="str">
        <f>IF(C4777="","",COUNTA($C$3:C4777))</f>
        <v/>
      </c>
      <c r="B4777" s="35" t="str">
        <f t="shared" si="90"/>
        <v/>
      </c>
      <c r="C4777" s="15"/>
    </row>
    <row r="4778" spans="1:3" x14ac:dyDescent="0.25">
      <c r="A4778" s="21" t="str">
        <f>IF(C4778="","",COUNTA($C$3:C4778))</f>
        <v/>
      </c>
      <c r="B4778" s="35" t="str">
        <f t="shared" si="90"/>
        <v/>
      </c>
      <c r="C4778" s="15"/>
    </row>
    <row r="4779" spans="1:3" x14ac:dyDescent="0.25">
      <c r="A4779" s="21" t="str">
        <f>IF(C4779="","",COUNTA($C$3:C4779))</f>
        <v/>
      </c>
      <c r="B4779" s="35" t="str">
        <f t="shared" si="90"/>
        <v/>
      </c>
      <c r="C4779" s="15"/>
    </row>
    <row r="4780" spans="1:3" x14ac:dyDescent="0.25">
      <c r="A4780" s="21" t="str">
        <f>IF(C4780="","",COUNTA($C$3:C4780))</f>
        <v/>
      </c>
      <c r="B4780" s="35" t="str">
        <f t="shared" si="90"/>
        <v/>
      </c>
      <c r="C4780" s="15"/>
    </row>
    <row r="4781" spans="1:3" x14ac:dyDescent="0.25">
      <c r="A4781" s="21" t="str">
        <f>IF(C4781="","",COUNTA($C$3:C4781))</f>
        <v/>
      </c>
      <c r="B4781" s="35" t="str">
        <f t="shared" si="90"/>
        <v/>
      </c>
      <c r="C4781" s="15"/>
    </row>
    <row r="4782" spans="1:3" x14ac:dyDescent="0.25">
      <c r="A4782" s="21" t="str">
        <f>IF(C4782="","",COUNTA($C$3:C4782))</f>
        <v/>
      </c>
      <c r="B4782" s="35" t="str">
        <f t="shared" si="90"/>
        <v/>
      </c>
      <c r="C4782" s="15"/>
    </row>
    <row r="4783" spans="1:3" x14ac:dyDescent="0.25">
      <c r="A4783" s="21" t="str">
        <f>IF(C4783="","",COUNTA($C$3:C4783))</f>
        <v/>
      </c>
      <c r="B4783" s="35" t="str">
        <f t="shared" si="90"/>
        <v/>
      </c>
      <c r="C4783" s="15"/>
    </row>
    <row r="4784" spans="1:3" x14ac:dyDescent="0.25">
      <c r="A4784" s="21" t="str">
        <f>IF(C4784="","",COUNTA($C$3:C4784))</f>
        <v/>
      </c>
      <c r="B4784" s="35" t="str">
        <f t="shared" si="90"/>
        <v/>
      </c>
      <c r="C4784" s="15"/>
    </row>
    <row r="4785" spans="1:3" x14ac:dyDescent="0.25">
      <c r="A4785" s="21" t="str">
        <f>IF(C4785="","",COUNTA($C$3:C4785))</f>
        <v/>
      </c>
      <c r="B4785" s="35" t="str">
        <f t="shared" si="90"/>
        <v/>
      </c>
      <c r="C4785" s="15"/>
    </row>
    <row r="4786" spans="1:3" x14ac:dyDescent="0.25">
      <c r="A4786" s="21" t="str">
        <f>IF(C4786="","",COUNTA($C$3:C4786))</f>
        <v/>
      </c>
      <c r="B4786" s="35" t="str">
        <f t="shared" si="90"/>
        <v/>
      </c>
      <c r="C4786" s="15"/>
    </row>
    <row r="4787" spans="1:3" x14ac:dyDescent="0.25">
      <c r="A4787" s="21" t="str">
        <f>IF(C4787="","",COUNTA($C$3:C4787))</f>
        <v/>
      </c>
      <c r="B4787" s="35" t="str">
        <f t="shared" si="90"/>
        <v/>
      </c>
      <c r="C4787" s="15"/>
    </row>
    <row r="4788" spans="1:3" x14ac:dyDescent="0.25">
      <c r="A4788" s="21" t="str">
        <f>IF(C4788="","",COUNTA($C$3:C4788))</f>
        <v/>
      </c>
      <c r="B4788" s="35" t="str">
        <f t="shared" si="90"/>
        <v/>
      </c>
      <c r="C4788" s="15"/>
    </row>
    <row r="4789" spans="1:3" x14ac:dyDescent="0.25">
      <c r="A4789" s="21" t="str">
        <f>IF(C4789="","",COUNTA($C$3:C4789))</f>
        <v/>
      </c>
      <c r="B4789" s="35" t="str">
        <f t="shared" si="90"/>
        <v/>
      </c>
      <c r="C4789" s="15"/>
    </row>
    <row r="4790" spans="1:3" x14ac:dyDescent="0.25">
      <c r="A4790" s="21" t="str">
        <f>IF(C4790="","",COUNTA($C$3:C4790))</f>
        <v/>
      </c>
      <c r="B4790" s="35" t="str">
        <f t="shared" si="90"/>
        <v/>
      </c>
      <c r="C4790" s="15"/>
    </row>
    <row r="4791" spans="1:3" x14ac:dyDescent="0.25">
      <c r="A4791" s="21" t="str">
        <f>IF(C4791="","",COUNTA($C$3:C4791))</f>
        <v/>
      </c>
      <c r="B4791" s="35" t="str">
        <f t="shared" si="90"/>
        <v/>
      </c>
      <c r="C4791" s="15"/>
    </row>
    <row r="4792" spans="1:3" x14ac:dyDescent="0.25">
      <c r="A4792" s="21" t="str">
        <f>IF(C4792="","",COUNTA($C$3:C4792))</f>
        <v/>
      </c>
      <c r="B4792" s="35" t="str">
        <f t="shared" si="90"/>
        <v/>
      </c>
      <c r="C4792" s="15"/>
    </row>
    <row r="4793" spans="1:3" x14ac:dyDescent="0.25">
      <c r="A4793" s="21" t="str">
        <f>IF(C4793="","",COUNTA($C$3:C4793))</f>
        <v/>
      </c>
      <c r="B4793" s="35" t="str">
        <f t="shared" si="90"/>
        <v/>
      </c>
      <c r="C4793" s="15"/>
    </row>
    <row r="4794" spans="1:3" x14ac:dyDescent="0.25">
      <c r="A4794" s="21" t="str">
        <f>IF(C4794="","",COUNTA($C$3:C4794))</f>
        <v/>
      </c>
      <c r="B4794" s="35" t="str">
        <f t="shared" si="90"/>
        <v/>
      </c>
      <c r="C4794" s="15"/>
    </row>
    <row r="4795" spans="1:3" x14ac:dyDescent="0.25">
      <c r="A4795" s="21" t="str">
        <f>IF(C4795="","",COUNTA($C$3:C4795))</f>
        <v/>
      </c>
      <c r="B4795" s="35" t="str">
        <f t="shared" si="90"/>
        <v/>
      </c>
      <c r="C4795" s="15"/>
    </row>
    <row r="4796" spans="1:3" x14ac:dyDescent="0.25">
      <c r="A4796" s="21" t="str">
        <f>IF(C4796="","",COUNTA($C$3:C4796))</f>
        <v/>
      </c>
      <c r="B4796" s="35" t="str">
        <f t="shared" si="90"/>
        <v/>
      </c>
      <c r="C4796" s="15"/>
    </row>
    <row r="4797" spans="1:3" x14ac:dyDescent="0.25">
      <c r="A4797" s="21" t="str">
        <f>IF(C4797="","",COUNTA($C$3:C4797))</f>
        <v/>
      </c>
      <c r="B4797" s="35" t="str">
        <f t="shared" si="90"/>
        <v/>
      </c>
      <c r="C4797" s="15"/>
    </row>
    <row r="4798" spans="1:3" x14ac:dyDescent="0.25">
      <c r="A4798" s="21" t="str">
        <f>IF(C4798="","",COUNTA($C$3:C4798))</f>
        <v/>
      </c>
      <c r="B4798" s="35" t="str">
        <f t="shared" si="90"/>
        <v/>
      </c>
      <c r="C4798" s="15"/>
    </row>
    <row r="4799" spans="1:3" x14ac:dyDescent="0.25">
      <c r="A4799" s="21" t="str">
        <f>IF(C4799="","",COUNTA($C$3:C4799))</f>
        <v/>
      </c>
      <c r="B4799" s="35" t="str">
        <f t="shared" si="90"/>
        <v/>
      </c>
      <c r="C4799" s="15"/>
    </row>
    <row r="4800" spans="1:3" x14ac:dyDescent="0.25">
      <c r="A4800" s="21" t="str">
        <f>IF(C4800="","",COUNTA($C$3:C4800))</f>
        <v/>
      </c>
      <c r="B4800" s="35" t="str">
        <f t="shared" si="90"/>
        <v/>
      </c>
      <c r="C4800" s="15"/>
    </row>
    <row r="4801" spans="1:3" x14ac:dyDescent="0.25">
      <c r="A4801" s="21" t="str">
        <f>IF(C4801="","",COUNTA($C$3:C4801))</f>
        <v/>
      </c>
      <c r="B4801" s="35" t="str">
        <f t="shared" si="90"/>
        <v/>
      </c>
      <c r="C4801" s="15"/>
    </row>
    <row r="4802" spans="1:3" x14ac:dyDescent="0.25">
      <c r="A4802" s="21" t="str">
        <f>IF(C4802="","",COUNTA($C$3:C4802))</f>
        <v/>
      </c>
      <c r="B4802" s="35" t="str">
        <f t="shared" si="90"/>
        <v/>
      </c>
      <c r="C4802" s="15"/>
    </row>
    <row r="4803" spans="1:3" x14ac:dyDescent="0.25">
      <c r="A4803" s="21" t="str">
        <f>IF(C4803="","",COUNTA($C$3:C4803))</f>
        <v/>
      </c>
      <c r="B4803" s="35" t="str">
        <f t="shared" si="90"/>
        <v/>
      </c>
      <c r="C4803" s="15"/>
    </row>
    <row r="4804" spans="1:3" x14ac:dyDescent="0.25">
      <c r="A4804" s="21" t="str">
        <f>IF(C4804="","",COUNTA($C$3:C4804))</f>
        <v/>
      </c>
      <c r="B4804" s="35" t="str">
        <f t="shared" si="90"/>
        <v/>
      </c>
      <c r="C4804" s="15"/>
    </row>
    <row r="4805" spans="1:3" x14ac:dyDescent="0.25">
      <c r="A4805" s="21" t="str">
        <f>IF(C4805="","",COUNTA($C$3:C4805))</f>
        <v/>
      </c>
      <c r="B4805" s="35" t="str">
        <f t="shared" ref="B4805:B4868" si="91">IF(C4805="","",TEXT(C4805,"mmmm"))</f>
        <v/>
      </c>
      <c r="C4805" s="15"/>
    </row>
    <row r="4806" spans="1:3" x14ac:dyDescent="0.25">
      <c r="A4806" s="21" t="str">
        <f>IF(C4806="","",COUNTA($C$3:C4806))</f>
        <v/>
      </c>
      <c r="B4806" s="35" t="str">
        <f t="shared" si="91"/>
        <v/>
      </c>
      <c r="C4806" s="15"/>
    </row>
    <row r="4807" spans="1:3" x14ac:dyDescent="0.25">
      <c r="A4807" s="21" t="str">
        <f>IF(C4807="","",COUNTA($C$3:C4807))</f>
        <v/>
      </c>
      <c r="B4807" s="35" t="str">
        <f t="shared" si="91"/>
        <v/>
      </c>
      <c r="C4807" s="15"/>
    </row>
    <row r="4808" spans="1:3" x14ac:dyDescent="0.25">
      <c r="A4808" s="21" t="str">
        <f>IF(C4808="","",COUNTA($C$3:C4808))</f>
        <v/>
      </c>
      <c r="B4808" s="35" t="str">
        <f t="shared" si="91"/>
        <v/>
      </c>
      <c r="C4808" s="15"/>
    </row>
    <row r="4809" spans="1:3" x14ac:dyDescent="0.25">
      <c r="A4809" s="21" t="str">
        <f>IF(C4809="","",COUNTA($C$3:C4809))</f>
        <v/>
      </c>
      <c r="B4809" s="35" t="str">
        <f t="shared" si="91"/>
        <v/>
      </c>
      <c r="C4809" s="15"/>
    </row>
    <row r="4810" spans="1:3" x14ac:dyDescent="0.25">
      <c r="A4810" s="21" t="str">
        <f>IF(C4810="","",COUNTA($C$3:C4810))</f>
        <v/>
      </c>
      <c r="B4810" s="35" t="str">
        <f t="shared" si="91"/>
        <v/>
      </c>
      <c r="C4810" s="15"/>
    </row>
    <row r="4811" spans="1:3" x14ac:dyDescent="0.25">
      <c r="A4811" s="21" t="str">
        <f>IF(C4811="","",COUNTA($C$3:C4811))</f>
        <v/>
      </c>
      <c r="B4811" s="35" t="str">
        <f t="shared" si="91"/>
        <v/>
      </c>
      <c r="C4811" s="15"/>
    </row>
    <row r="4812" spans="1:3" x14ac:dyDescent="0.25">
      <c r="A4812" s="21" t="str">
        <f>IF(C4812="","",COUNTA($C$3:C4812))</f>
        <v/>
      </c>
      <c r="B4812" s="35" t="str">
        <f t="shared" si="91"/>
        <v/>
      </c>
      <c r="C4812" s="15"/>
    </row>
    <row r="4813" spans="1:3" x14ac:dyDescent="0.25">
      <c r="A4813" s="21" t="str">
        <f>IF(C4813="","",COUNTA($C$3:C4813))</f>
        <v/>
      </c>
      <c r="B4813" s="35" t="str">
        <f t="shared" si="91"/>
        <v/>
      </c>
      <c r="C4813" s="15"/>
    </row>
    <row r="4814" spans="1:3" x14ac:dyDescent="0.25">
      <c r="A4814" s="21" t="str">
        <f>IF(C4814="","",COUNTA($C$3:C4814))</f>
        <v/>
      </c>
      <c r="B4814" s="35" t="str">
        <f t="shared" si="91"/>
        <v/>
      </c>
      <c r="C4814" s="15"/>
    </row>
    <row r="4815" spans="1:3" x14ac:dyDescent="0.25">
      <c r="A4815" s="21" t="str">
        <f>IF(C4815="","",COUNTA($C$3:C4815))</f>
        <v/>
      </c>
      <c r="B4815" s="35" t="str">
        <f t="shared" si="91"/>
        <v/>
      </c>
      <c r="C4815" s="15"/>
    </row>
    <row r="4816" spans="1:3" x14ac:dyDescent="0.25">
      <c r="A4816" s="21" t="str">
        <f>IF(C4816="","",COUNTA($C$3:C4816))</f>
        <v/>
      </c>
      <c r="B4816" s="35" t="str">
        <f t="shared" si="91"/>
        <v/>
      </c>
      <c r="C4816" s="15"/>
    </row>
    <row r="4817" spans="1:3" x14ac:dyDescent="0.25">
      <c r="A4817" s="21" t="str">
        <f>IF(C4817="","",COUNTA($C$3:C4817))</f>
        <v/>
      </c>
      <c r="B4817" s="35" t="str">
        <f t="shared" si="91"/>
        <v/>
      </c>
      <c r="C4817" s="15"/>
    </row>
    <row r="4818" spans="1:3" x14ac:dyDescent="0.25">
      <c r="A4818" s="21" t="str">
        <f>IF(C4818="","",COUNTA($C$3:C4818))</f>
        <v/>
      </c>
      <c r="B4818" s="35" t="str">
        <f t="shared" si="91"/>
        <v/>
      </c>
      <c r="C4818" s="15"/>
    </row>
    <row r="4819" spans="1:3" x14ac:dyDescent="0.25">
      <c r="A4819" s="21" t="str">
        <f>IF(C4819="","",COUNTA($C$3:C4819))</f>
        <v/>
      </c>
      <c r="B4819" s="35" t="str">
        <f t="shared" si="91"/>
        <v/>
      </c>
      <c r="C4819" s="15"/>
    </row>
    <row r="4820" spans="1:3" x14ac:dyDescent="0.25">
      <c r="A4820" s="21" t="str">
        <f>IF(C4820="","",COUNTA($C$3:C4820))</f>
        <v/>
      </c>
      <c r="B4820" s="35" t="str">
        <f t="shared" si="91"/>
        <v/>
      </c>
      <c r="C4820" s="15"/>
    </row>
    <row r="4821" spans="1:3" x14ac:dyDescent="0.25">
      <c r="A4821" s="21" t="str">
        <f>IF(C4821="","",COUNTA($C$3:C4821))</f>
        <v/>
      </c>
      <c r="B4821" s="35" t="str">
        <f t="shared" si="91"/>
        <v/>
      </c>
      <c r="C4821" s="15"/>
    </row>
    <row r="4822" spans="1:3" x14ac:dyDescent="0.25">
      <c r="A4822" s="21" t="str">
        <f>IF(C4822="","",COUNTA($C$3:C4822))</f>
        <v/>
      </c>
      <c r="B4822" s="35" t="str">
        <f t="shared" si="91"/>
        <v/>
      </c>
      <c r="C4822" s="15"/>
    </row>
    <row r="4823" spans="1:3" x14ac:dyDescent="0.25">
      <c r="A4823" s="21" t="str">
        <f>IF(C4823="","",COUNTA($C$3:C4823))</f>
        <v/>
      </c>
      <c r="B4823" s="35" t="str">
        <f t="shared" si="91"/>
        <v/>
      </c>
      <c r="C4823" s="15"/>
    </row>
    <row r="4824" spans="1:3" x14ac:dyDescent="0.25">
      <c r="A4824" s="21" t="str">
        <f>IF(C4824="","",COUNTA($C$3:C4824))</f>
        <v/>
      </c>
      <c r="B4824" s="35" t="str">
        <f t="shared" si="91"/>
        <v/>
      </c>
      <c r="C4824" s="15"/>
    </row>
    <row r="4825" spans="1:3" x14ac:dyDescent="0.25">
      <c r="A4825" s="21" t="str">
        <f>IF(C4825="","",COUNTA($C$3:C4825))</f>
        <v/>
      </c>
      <c r="B4825" s="35" t="str">
        <f t="shared" si="91"/>
        <v/>
      </c>
      <c r="C4825" s="15"/>
    </row>
    <row r="4826" spans="1:3" x14ac:dyDescent="0.25">
      <c r="A4826" s="21" t="str">
        <f>IF(C4826="","",COUNTA($C$3:C4826))</f>
        <v/>
      </c>
      <c r="B4826" s="35" t="str">
        <f t="shared" si="91"/>
        <v/>
      </c>
      <c r="C4826" s="15"/>
    </row>
    <row r="4827" spans="1:3" x14ac:dyDescent="0.25">
      <c r="A4827" s="21" t="str">
        <f>IF(C4827="","",COUNTA($C$3:C4827))</f>
        <v/>
      </c>
      <c r="B4827" s="35" t="str">
        <f t="shared" si="91"/>
        <v/>
      </c>
      <c r="C4827" s="15"/>
    </row>
    <row r="4828" spans="1:3" x14ac:dyDescent="0.25">
      <c r="A4828" s="21" t="str">
        <f>IF(C4828="","",COUNTA($C$3:C4828))</f>
        <v/>
      </c>
      <c r="B4828" s="35" t="str">
        <f t="shared" si="91"/>
        <v/>
      </c>
      <c r="C4828" s="15"/>
    </row>
    <row r="4829" spans="1:3" x14ac:dyDescent="0.25">
      <c r="A4829" s="21" t="str">
        <f>IF(C4829="","",COUNTA($C$3:C4829))</f>
        <v/>
      </c>
      <c r="B4829" s="35" t="str">
        <f t="shared" si="91"/>
        <v/>
      </c>
      <c r="C4829" s="15"/>
    </row>
    <row r="4830" spans="1:3" x14ac:dyDescent="0.25">
      <c r="A4830" s="21" t="str">
        <f>IF(C4830="","",COUNTA($C$3:C4830))</f>
        <v/>
      </c>
      <c r="B4830" s="35" t="str">
        <f t="shared" si="91"/>
        <v/>
      </c>
      <c r="C4830" s="15"/>
    </row>
    <row r="4831" spans="1:3" x14ac:dyDescent="0.25">
      <c r="A4831" s="21" t="str">
        <f>IF(C4831="","",COUNTA($C$3:C4831))</f>
        <v/>
      </c>
      <c r="B4831" s="35" t="str">
        <f t="shared" si="91"/>
        <v/>
      </c>
      <c r="C4831" s="15"/>
    </row>
    <row r="4832" spans="1:3" x14ac:dyDescent="0.25">
      <c r="A4832" s="21" t="str">
        <f>IF(C4832="","",COUNTA($C$3:C4832))</f>
        <v/>
      </c>
      <c r="B4832" s="35" t="str">
        <f t="shared" si="91"/>
        <v/>
      </c>
      <c r="C4832" s="15"/>
    </row>
    <row r="4833" spans="1:3" x14ac:dyDescent="0.25">
      <c r="A4833" s="21" t="str">
        <f>IF(C4833="","",COUNTA($C$3:C4833))</f>
        <v/>
      </c>
      <c r="B4833" s="35" t="str">
        <f t="shared" si="91"/>
        <v/>
      </c>
      <c r="C4833" s="15"/>
    </row>
    <row r="4834" spans="1:3" x14ac:dyDescent="0.25">
      <c r="A4834" s="21" t="str">
        <f>IF(C4834="","",COUNTA($C$3:C4834))</f>
        <v/>
      </c>
      <c r="B4834" s="35" t="str">
        <f t="shared" si="91"/>
        <v/>
      </c>
      <c r="C4834" s="15"/>
    </row>
    <row r="4835" spans="1:3" x14ac:dyDescent="0.25">
      <c r="A4835" s="21" t="str">
        <f>IF(C4835="","",COUNTA($C$3:C4835))</f>
        <v/>
      </c>
      <c r="B4835" s="35" t="str">
        <f t="shared" si="91"/>
        <v/>
      </c>
      <c r="C4835" s="15"/>
    </row>
    <row r="4836" spans="1:3" x14ac:dyDescent="0.25">
      <c r="A4836" s="21" t="str">
        <f>IF(C4836="","",COUNTA($C$3:C4836))</f>
        <v/>
      </c>
      <c r="B4836" s="35" t="str">
        <f t="shared" si="91"/>
        <v/>
      </c>
      <c r="C4836" s="15"/>
    </row>
    <row r="4837" spans="1:3" x14ac:dyDescent="0.25">
      <c r="A4837" s="21" t="str">
        <f>IF(C4837="","",COUNTA($C$3:C4837))</f>
        <v/>
      </c>
      <c r="B4837" s="35" t="str">
        <f t="shared" si="91"/>
        <v/>
      </c>
      <c r="C4837" s="15"/>
    </row>
    <row r="4838" spans="1:3" x14ac:dyDescent="0.25">
      <c r="A4838" s="21" t="str">
        <f>IF(C4838="","",COUNTA($C$3:C4838))</f>
        <v/>
      </c>
      <c r="B4838" s="35" t="str">
        <f t="shared" si="91"/>
        <v/>
      </c>
      <c r="C4838" s="15"/>
    </row>
    <row r="4839" spans="1:3" x14ac:dyDescent="0.25">
      <c r="A4839" s="21" t="str">
        <f>IF(C4839="","",COUNTA($C$3:C4839))</f>
        <v/>
      </c>
      <c r="B4839" s="35" t="str">
        <f t="shared" si="91"/>
        <v/>
      </c>
      <c r="C4839" s="15"/>
    </row>
    <row r="4840" spans="1:3" x14ac:dyDescent="0.25">
      <c r="A4840" s="21" t="str">
        <f>IF(C4840="","",COUNTA($C$3:C4840))</f>
        <v/>
      </c>
      <c r="B4840" s="35" t="str">
        <f t="shared" si="91"/>
        <v/>
      </c>
      <c r="C4840" s="15"/>
    </row>
    <row r="4841" spans="1:3" x14ac:dyDescent="0.25">
      <c r="A4841" s="21" t="str">
        <f>IF(C4841="","",COUNTA($C$3:C4841))</f>
        <v/>
      </c>
      <c r="B4841" s="35" t="str">
        <f t="shared" si="91"/>
        <v/>
      </c>
      <c r="C4841" s="15"/>
    </row>
    <row r="4842" spans="1:3" x14ac:dyDescent="0.25">
      <c r="A4842" s="21" t="str">
        <f>IF(C4842="","",COUNTA($C$3:C4842))</f>
        <v/>
      </c>
      <c r="B4842" s="35" t="str">
        <f t="shared" si="91"/>
        <v/>
      </c>
      <c r="C4842" s="15"/>
    </row>
    <row r="4843" spans="1:3" x14ac:dyDescent="0.25">
      <c r="A4843" s="21" t="str">
        <f>IF(C4843="","",COUNTA($C$3:C4843))</f>
        <v/>
      </c>
      <c r="B4843" s="35" t="str">
        <f t="shared" si="91"/>
        <v/>
      </c>
      <c r="C4843" s="15"/>
    </row>
    <row r="4844" spans="1:3" x14ac:dyDescent="0.25">
      <c r="A4844" s="21" t="str">
        <f>IF(C4844="","",COUNTA($C$3:C4844))</f>
        <v/>
      </c>
      <c r="B4844" s="35" t="str">
        <f t="shared" si="91"/>
        <v/>
      </c>
      <c r="C4844" s="15"/>
    </row>
    <row r="4845" spans="1:3" x14ac:dyDescent="0.25">
      <c r="A4845" s="21" t="str">
        <f>IF(C4845="","",COUNTA($C$3:C4845))</f>
        <v/>
      </c>
      <c r="B4845" s="35" t="str">
        <f t="shared" si="91"/>
        <v/>
      </c>
      <c r="C4845" s="15"/>
    </row>
    <row r="4846" spans="1:3" x14ac:dyDescent="0.25">
      <c r="A4846" s="21" t="str">
        <f>IF(C4846="","",COUNTA($C$3:C4846))</f>
        <v/>
      </c>
      <c r="B4846" s="35" t="str">
        <f t="shared" si="91"/>
        <v/>
      </c>
      <c r="C4846" s="15"/>
    </row>
    <row r="4847" spans="1:3" x14ac:dyDescent="0.25">
      <c r="A4847" s="21" t="str">
        <f>IF(C4847="","",COUNTA($C$3:C4847))</f>
        <v/>
      </c>
      <c r="B4847" s="35" t="str">
        <f t="shared" si="91"/>
        <v/>
      </c>
      <c r="C4847" s="15"/>
    </row>
    <row r="4848" spans="1:3" x14ac:dyDescent="0.25">
      <c r="A4848" s="21" t="str">
        <f>IF(C4848="","",COUNTA($C$3:C4848))</f>
        <v/>
      </c>
      <c r="B4848" s="35" t="str">
        <f t="shared" si="91"/>
        <v/>
      </c>
      <c r="C4848" s="15"/>
    </row>
    <row r="4849" spans="1:3" x14ac:dyDescent="0.25">
      <c r="A4849" s="21" t="str">
        <f>IF(C4849="","",COUNTA($C$3:C4849))</f>
        <v/>
      </c>
      <c r="B4849" s="35" t="str">
        <f t="shared" si="91"/>
        <v/>
      </c>
      <c r="C4849" s="15"/>
    </row>
    <row r="4850" spans="1:3" x14ac:dyDescent="0.25">
      <c r="A4850" s="21" t="str">
        <f>IF(C4850="","",COUNTA($C$3:C4850))</f>
        <v/>
      </c>
      <c r="B4850" s="35" t="str">
        <f t="shared" si="91"/>
        <v/>
      </c>
      <c r="C4850" s="15"/>
    </row>
    <row r="4851" spans="1:3" x14ac:dyDescent="0.25">
      <c r="A4851" s="21" t="str">
        <f>IF(C4851="","",COUNTA($C$3:C4851))</f>
        <v/>
      </c>
      <c r="B4851" s="35" t="str">
        <f t="shared" si="91"/>
        <v/>
      </c>
      <c r="C4851" s="15"/>
    </row>
    <row r="4852" spans="1:3" x14ac:dyDescent="0.25">
      <c r="A4852" s="21" t="str">
        <f>IF(C4852="","",COUNTA($C$3:C4852))</f>
        <v/>
      </c>
      <c r="B4852" s="35" t="str">
        <f t="shared" si="91"/>
        <v/>
      </c>
      <c r="C4852" s="15"/>
    </row>
    <row r="4853" spans="1:3" x14ac:dyDescent="0.25">
      <c r="A4853" s="21" t="str">
        <f>IF(C4853="","",COUNTA($C$3:C4853))</f>
        <v/>
      </c>
      <c r="B4853" s="35" t="str">
        <f t="shared" si="91"/>
        <v/>
      </c>
      <c r="C4853" s="15"/>
    </row>
    <row r="4854" spans="1:3" x14ac:dyDescent="0.25">
      <c r="A4854" s="21" t="str">
        <f>IF(C4854="","",COUNTA($C$3:C4854))</f>
        <v/>
      </c>
      <c r="B4854" s="35" t="str">
        <f t="shared" si="91"/>
        <v/>
      </c>
      <c r="C4854" s="15"/>
    </row>
    <row r="4855" spans="1:3" x14ac:dyDescent="0.25">
      <c r="A4855" s="21" t="str">
        <f>IF(C4855="","",COUNTA($C$3:C4855))</f>
        <v/>
      </c>
      <c r="B4855" s="35" t="str">
        <f t="shared" si="91"/>
        <v/>
      </c>
      <c r="C4855" s="15"/>
    </row>
    <row r="4856" spans="1:3" x14ac:dyDescent="0.25">
      <c r="A4856" s="21" t="str">
        <f>IF(C4856="","",COUNTA($C$3:C4856))</f>
        <v/>
      </c>
      <c r="B4856" s="35" t="str">
        <f t="shared" si="91"/>
        <v/>
      </c>
      <c r="C4856" s="15"/>
    </row>
    <row r="4857" spans="1:3" x14ac:dyDescent="0.25">
      <c r="A4857" s="21" t="str">
        <f>IF(C4857="","",COUNTA($C$3:C4857))</f>
        <v/>
      </c>
      <c r="B4857" s="35" t="str">
        <f t="shared" si="91"/>
        <v/>
      </c>
      <c r="C4857" s="15"/>
    </row>
    <row r="4858" spans="1:3" x14ac:dyDescent="0.25">
      <c r="A4858" s="21" t="str">
        <f>IF(C4858="","",COUNTA($C$3:C4858))</f>
        <v/>
      </c>
      <c r="B4858" s="35" t="str">
        <f t="shared" si="91"/>
        <v/>
      </c>
      <c r="C4858" s="15"/>
    </row>
    <row r="4859" spans="1:3" x14ac:dyDescent="0.25">
      <c r="A4859" s="21" t="str">
        <f>IF(C4859="","",COUNTA($C$3:C4859))</f>
        <v/>
      </c>
      <c r="B4859" s="35" t="str">
        <f t="shared" si="91"/>
        <v/>
      </c>
      <c r="C4859" s="15"/>
    </row>
    <row r="4860" spans="1:3" x14ac:dyDescent="0.25">
      <c r="A4860" s="21" t="str">
        <f>IF(C4860="","",COUNTA($C$3:C4860))</f>
        <v/>
      </c>
      <c r="B4860" s="35" t="str">
        <f t="shared" si="91"/>
        <v/>
      </c>
      <c r="C4860" s="15"/>
    </row>
    <row r="4861" spans="1:3" x14ac:dyDescent="0.25">
      <c r="A4861" s="21" t="str">
        <f>IF(C4861="","",COUNTA($C$3:C4861))</f>
        <v/>
      </c>
      <c r="B4861" s="35" t="str">
        <f t="shared" si="91"/>
        <v/>
      </c>
      <c r="C4861" s="15"/>
    </row>
    <row r="4862" spans="1:3" x14ac:dyDescent="0.25">
      <c r="A4862" s="21" t="str">
        <f>IF(C4862="","",COUNTA($C$3:C4862))</f>
        <v/>
      </c>
      <c r="B4862" s="35" t="str">
        <f t="shared" si="91"/>
        <v/>
      </c>
      <c r="C4862" s="15"/>
    </row>
    <row r="4863" spans="1:3" x14ac:dyDescent="0.25">
      <c r="A4863" s="21" t="str">
        <f>IF(C4863="","",COUNTA($C$3:C4863))</f>
        <v/>
      </c>
      <c r="B4863" s="35" t="str">
        <f t="shared" si="91"/>
        <v/>
      </c>
      <c r="C4863" s="15"/>
    </row>
    <row r="4864" spans="1:3" x14ac:dyDescent="0.25">
      <c r="A4864" s="21" t="str">
        <f>IF(C4864="","",COUNTA($C$3:C4864))</f>
        <v/>
      </c>
      <c r="B4864" s="35" t="str">
        <f t="shared" si="91"/>
        <v/>
      </c>
      <c r="C4864" s="15"/>
    </row>
    <row r="4865" spans="1:3" x14ac:dyDescent="0.25">
      <c r="A4865" s="21" t="str">
        <f>IF(C4865="","",COUNTA($C$3:C4865))</f>
        <v/>
      </c>
      <c r="B4865" s="35" t="str">
        <f t="shared" si="91"/>
        <v/>
      </c>
      <c r="C4865" s="15"/>
    </row>
    <row r="4866" spans="1:3" x14ac:dyDescent="0.25">
      <c r="A4866" s="21" t="str">
        <f>IF(C4866="","",COUNTA($C$3:C4866))</f>
        <v/>
      </c>
      <c r="B4866" s="35" t="str">
        <f t="shared" si="91"/>
        <v/>
      </c>
      <c r="C4866" s="15"/>
    </row>
    <row r="4867" spans="1:3" x14ac:dyDescent="0.25">
      <c r="A4867" s="21" t="str">
        <f>IF(C4867="","",COUNTA($C$3:C4867))</f>
        <v/>
      </c>
      <c r="B4867" s="35" t="str">
        <f t="shared" si="91"/>
        <v/>
      </c>
      <c r="C4867" s="15"/>
    </row>
    <row r="4868" spans="1:3" x14ac:dyDescent="0.25">
      <c r="A4868" s="21" t="str">
        <f>IF(C4868="","",COUNTA($C$3:C4868))</f>
        <v/>
      </c>
      <c r="B4868" s="35" t="str">
        <f t="shared" si="91"/>
        <v/>
      </c>
      <c r="C4868" s="15"/>
    </row>
    <row r="4869" spans="1:3" x14ac:dyDescent="0.25">
      <c r="A4869" s="21" t="str">
        <f>IF(C4869="","",COUNTA($C$3:C4869))</f>
        <v/>
      </c>
      <c r="B4869" s="35" t="str">
        <f t="shared" ref="B4869:B4932" si="92">IF(C4869="","",TEXT(C4869,"mmmm"))</f>
        <v/>
      </c>
      <c r="C4869" s="15"/>
    </row>
    <row r="4870" spans="1:3" x14ac:dyDescent="0.25">
      <c r="A4870" s="21" t="str">
        <f>IF(C4870="","",COUNTA($C$3:C4870))</f>
        <v/>
      </c>
      <c r="B4870" s="35" t="str">
        <f t="shared" si="92"/>
        <v/>
      </c>
      <c r="C4870" s="15"/>
    </row>
    <row r="4871" spans="1:3" x14ac:dyDescent="0.25">
      <c r="A4871" s="21" t="str">
        <f>IF(C4871="","",COUNTA($C$3:C4871))</f>
        <v/>
      </c>
      <c r="B4871" s="35" t="str">
        <f t="shared" si="92"/>
        <v/>
      </c>
      <c r="C4871" s="15"/>
    </row>
    <row r="4872" spans="1:3" x14ac:dyDescent="0.25">
      <c r="A4872" s="21" t="str">
        <f>IF(C4872="","",COUNTA($C$3:C4872))</f>
        <v/>
      </c>
      <c r="B4872" s="35" t="str">
        <f t="shared" si="92"/>
        <v/>
      </c>
      <c r="C4872" s="15"/>
    </row>
    <row r="4873" spans="1:3" x14ac:dyDescent="0.25">
      <c r="A4873" s="21" t="str">
        <f>IF(C4873="","",COUNTA($C$3:C4873))</f>
        <v/>
      </c>
      <c r="B4873" s="35" t="str">
        <f t="shared" si="92"/>
        <v/>
      </c>
      <c r="C4873" s="15"/>
    </row>
    <row r="4874" spans="1:3" x14ac:dyDescent="0.25">
      <c r="A4874" s="21" t="str">
        <f>IF(C4874="","",COUNTA($C$3:C4874))</f>
        <v/>
      </c>
      <c r="B4874" s="35" t="str">
        <f t="shared" si="92"/>
        <v/>
      </c>
      <c r="C4874" s="15"/>
    </row>
    <row r="4875" spans="1:3" x14ac:dyDescent="0.25">
      <c r="A4875" s="21" t="str">
        <f>IF(C4875="","",COUNTA($C$3:C4875))</f>
        <v/>
      </c>
      <c r="B4875" s="35" t="str">
        <f t="shared" si="92"/>
        <v/>
      </c>
      <c r="C4875" s="15"/>
    </row>
    <row r="4876" spans="1:3" x14ac:dyDescent="0.25">
      <c r="A4876" s="21" t="str">
        <f>IF(C4876="","",COUNTA($C$3:C4876))</f>
        <v/>
      </c>
      <c r="B4876" s="35" t="str">
        <f t="shared" si="92"/>
        <v/>
      </c>
      <c r="C4876" s="15"/>
    </row>
    <row r="4877" spans="1:3" x14ac:dyDescent="0.25">
      <c r="A4877" s="21" t="str">
        <f>IF(C4877="","",COUNTA($C$3:C4877))</f>
        <v/>
      </c>
      <c r="B4877" s="35" t="str">
        <f t="shared" si="92"/>
        <v/>
      </c>
      <c r="C4877" s="15"/>
    </row>
    <row r="4878" spans="1:3" x14ac:dyDescent="0.25">
      <c r="A4878" s="21" t="str">
        <f>IF(C4878="","",COUNTA($C$3:C4878))</f>
        <v/>
      </c>
      <c r="B4878" s="35" t="str">
        <f t="shared" si="92"/>
        <v/>
      </c>
      <c r="C4878" s="15"/>
    </row>
    <row r="4879" spans="1:3" x14ac:dyDescent="0.25">
      <c r="A4879" s="21" t="str">
        <f>IF(C4879="","",COUNTA($C$3:C4879))</f>
        <v/>
      </c>
      <c r="B4879" s="35" t="str">
        <f t="shared" si="92"/>
        <v/>
      </c>
      <c r="C4879" s="15"/>
    </row>
    <row r="4880" spans="1:3" x14ac:dyDescent="0.25">
      <c r="A4880" s="21" t="str">
        <f>IF(C4880="","",COUNTA($C$3:C4880))</f>
        <v/>
      </c>
      <c r="B4880" s="35" t="str">
        <f t="shared" si="92"/>
        <v/>
      </c>
      <c r="C4880" s="15"/>
    </row>
    <row r="4881" spans="1:3" x14ac:dyDescent="0.25">
      <c r="A4881" s="21" t="str">
        <f>IF(C4881="","",COUNTA($C$3:C4881))</f>
        <v/>
      </c>
      <c r="B4881" s="35" t="str">
        <f t="shared" si="92"/>
        <v/>
      </c>
      <c r="C4881" s="15"/>
    </row>
    <row r="4882" spans="1:3" x14ac:dyDescent="0.25">
      <c r="A4882" s="21" t="str">
        <f>IF(C4882="","",COUNTA($C$3:C4882))</f>
        <v/>
      </c>
      <c r="B4882" s="35" t="str">
        <f t="shared" si="92"/>
        <v/>
      </c>
      <c r="C4882" s="15"/>
    </row>
    <row r="4883" spans="1:3" x14ac:dyDescent="0.25">
      <c r="A4883" s="21" t="str">
        <f>IF(C4883="","",COUNTA($C$3:C4883))</f>
        <v/>
      </c>
      <c r="B4883" s="35" t="str">
        <f t="shared" si="92"/>
        <v/>
      </c>
      <c r="C4883" s="15"/>
    </row>
    <row r="4884" spans="1:3" x14ac:dyDescent="0.25">
      <c r="A4884" s="21" t="str">
        <f>IF(C4884="","",COUNTA($C$3:C4884))</f>
        <v/>
      </c>
      <c r="B4884" s="35" t="str">
        <f t="shared" si="92"/>
        <v/>
      </c>
      <c r="C4884" s="15"/>
    </row>
    <row r="4885" spans="1:3" x14ac:dyDescent="0.25">
      <c r="A4885" s="21" t="str">
        <f>IF(C4885="","",COUNTA($C$3:C4885))</f>
        <v/>
      </c>
      <c r="B4885" s="35" t="str">
        <f t="shared" si="92"/>
        <v/>
      </c>
      <c r="C4885" s="15"/>
    </row>
    <row r="4886" spans="1:3" x14ac:dyDescent="0.25">
      <c r="A4886" s="21" t="str">
        <f>IF(C4886="","",COUNTA($C$3:C4886))</f>
        <v/>
      </c>
      <c r="B4886" s="35" t="str">
        <f t="shared" si="92"/>
        <v/>
      </c>
      <c r="C4886" s="15"/>
    </row>
    <row r="4887" spans="1:3" x14ac:dyDescent="0.25">
      <c r="A4887" s="21" t="str">
        <f>IF(C4887="","",COUNTA($C$3:C4887))</f>
        <v/>
      </c>
      <c r="B4887" s="35" t="str">
        <f t="shared" si="92"/>
        <v/>
      </c>
      <c r="C4887" s="15"/>
    </row>
    <row r="4888" spans="1:3" x14ac:dyDescent="0.25">
      <c r="A4888" s="21" t="str">
        <f>IF(C4888="","",COUNTA($C$3:C4888))</f>
        <v/>
      </c>
      <c r="B4888" s="35" t="str">
        <f t="shared" si="92"/>
        <v/>
      </c>
      <c r="C4888" s="15"/>
    </row>
    <row r="4889" spans="1:3" x14ac:dyDescent="0.25">
      <c r="A4889" s="21" t="str">
        <f>IF(C4889="","",COUNTA($C$3:C4889))</f>
        <v/>
      </c>
      <c r="B4889" s="35" t="str">
        <f t="shared" si="92"/>
        <v/>
      </c>
      <c r="C4889" s="15"/>
    </row>
    <row r="4890" spans="1:3" x14ac:dyDescent="0.25">
      <c r="A4890" s="21" t="str">
        <f>IF(C4890="","",COUNTA($C$3:C4890))</f>
        <v/>
      </c>
      <c r="B4890" s="35" t="str">
        <f t="shared" si="92"/>
        <v/>
      </c>
      <c r="C4890" s="15"/>
    </row>
    <row r="4891" spans="1:3" x14ac:dyDescent="0.25">
      <c r="A4891" s="21" t="str">
        <f>IF(C4891="","",COUNTA($C$3:C4891))</f>
        <v/>
      </c>
      <c r="B4891" s="35" t="str">
        <f t="shared" si="92"/>
        <v/>
      </c>
      <c r="C4891" s="15"/>
    </row>
    <row r="4892" spans="1:3" x14ac:dyDescent="0.25">
      <c r="A4892" s="21" t="str">
        <f>IF(C4892="","",COUNTA($C$3:C4892))</f>
        <v/>
      </c>
      <c r="B4892" s="35" t="str">
        <f t="shared" si="92"/>
        <v/>
      </c>
      <c r="C4892" s="15"/>
    </row>
    <row r="4893" spans="1:3" x14ac:dyDescent="0.25">
      <c r="A4893" s="21" t="str">
        <f>IF(C4893="","",COUNTA($C$3:C4893))</f>
        <v/>
      </c>
      <c r="B4893" s="35" t="str">
        <f t="shared" si="92"/>
        <v/>
      </c>
      <c r="C4893" s="15"/>
    </row>
    <row r="4894" spans="1:3" x14ac:dyDescent="0.25">
      <c r="A4894" s="21" t="str">
        <f>IF(C4894="","",COUNTA($C$3:C4894))</f>
        <v/>
      </c>
      <c r="B4894" s="35" t="str">
        <f t="shared" si="92"/>
        <v/>
      </c>
      <c r="C4894" s="15"/>
    </row>
    <row r="4895" spans="1:3" x14ac:dyDescent="0.25">
      <c r="A4895" s="21" t="str">
        <f>IF(C4895="","",COUNTA($C$3:C4895))</f>
        <v/>
      </c>
      <c r="B4895" s="35" t="str">
        <f t="shared" si="92"/>
        <v/>
      </c>
      <c r="C4895" s="15"/>
    </row>
    <row r="4896" spans="1:3" x14ac:dyDescent="0.25">
      <c r="A4896" s="21" t="str">
        <f>IF(C4896="","",COUNTA($C$3:C4896))</f>
        <v/>
      </c>
      <c r="B4896" s="35" t="str">
        <f t="shared" si="92"/>
        <v/>
      </c>
      <c r="C4896" s="15"/>
    </row>
    <row r="4897" spans="1:3" x14ac:dyDescent="0.25">
      <c r="A4897" s="21" t="str">
        <f>IF(C4897="","",COUNTA($C$3:C4897))</f>
        <v/>
      </c>
      <c r="B4897" s="35" t="str">
        <f t="shared" si="92"/>
        <v/>
      </c>
      <c r="C4897" s="15"/>
    </row>
    <row r="4898" spans="1:3" x14ac:dyDescent="0.25">
      <c r="A4898" s="21" t="str">
        <f>IF(C4898="","",COUNTA($C$3:C4898))</f>
        <v/>
      </c>
      <c r="B4898" s="35" t="str">
        <f t="shared" si="92"/>
        <v/>
      </c>
      <c r="C4898" s="15"/>
    </row>
    <row r="4899" spans="1:3" x14ac:dyDescent="0.25">
      <c r="A4899" s="21" t="str">
        <f>IF(C4899="","",COUNTA($C$3:C4899))</f>
        <v/>
      </c>
      <c r="B4899" s="35" t="str">
        <f t="shared" si="92"/>
        <v/>
      </c>
      <c r="C4899" s="15"/>
    </row>
    <row r="4900" spans="1:3" x14ac:dyDescent="0.25">
      <c r="A4900" s="21" t="str">
        <f>IF(C4900="","",COUNTA($C$3:C4900))</f>
        <v/>
      </c>
      <c r="B4900" s="35" t="str">
        <f t="shared" si="92"/>
        <v/>
      </c>
      <c r="C4900" s="15"/>
    </row>
    <row r="4901" spans="1:3" x14ac:dyDescent="0.25">
      <c r="A4901" s="21" t="str">
        <f>IF(C4901="","",COUNTA($C$3:C4901))</f>
        <v/>
      </c>
      <c r="B4901" s="35" t="str">
        <f t="shared" si="92"/>
        <v/>
      </c>
      <c r="C4901" s="15"/>
    </row>
    <row r="4902" spans="1:3" x14ac:dyDescent="0.25">
      <c r="A4902" s="21" t="str">
        <f>IF(C4902="","",COUNTA($C$3:C4902))</f>
        <v/>
      </c>
      <c r="B4902" s="35" t="str">
        <f t="shared" si="92"/>
        <v/>
      </c>
      <c r="C4902" s="15"/>
    </row>
    <row r="4903" spans="1:3" x14ac:dyDescent="0.25">
      <c r="A4903" s="21" t="str">
        <f>IF(C4903="","",COUNTA($C$3:C4903))</f>
        <v/>
      </c>
      <c r="B4903" s="35" t="str">
        <f t="shared" si="92"/>
        <v/>
      </c>
      <c r="C4903" s="15"/>
    </row>
    <row r="4904" spans="1:3" x14ac:dyDescent="0.25">
      <c r="A4904" s="21" t="str">
        <f>IF(C4904="","",COUNTA($C$3:C4904))</f>
        <v/>
      </c>
      <c r="B4904" s="35" t="str">
        <f t="shared" si="92"/>
        <v/>
      </c>
      <c r="C4904" s="15"/>
    </row>
    <row r="4905" spans="1:3" x14ac:dyDescent="0.25">
      <c r="A4905" s="21" t="str">
        <f>IF(C4905="","",COUNTA($C$3:C4905))</f>
        <v/>
      </c>
      <c r="B4905" s="35" t="str">
        <f t="shared" si="92"/>
        <v/>
      </c>
      <c r="C4905" s="15"/>
    </row>
    <row r="4906" spans="1:3" x14ac:dyDescent="0.25">
      <c r="A4906" s="21" t="str">
        <f>IF(C4906="","",COUNTA($C$3:C4906))</f>
        <v/>
      </c>
      <c r="B4906" s="35" t="str">
        <f t="shared" si="92"/>
        <v/>
      </c>
      <c r="C4906" s="15"/>
    </row>
    <row r="4907" spans="1:3" x14ac:dyDescent="0.25">
      <c r="A4907" s="21" t="str">
        <f>IF(C4907="","",COUNTA($C$3:C4907))</f>
        <v/>
      </c>
      <c r="B4907" s="35" t="str">
        <f t="shared" si="92"/>
        <v/>
      </c>
      <c r="C4907" s="15"/>
    </row>
    <row r="4908" spans="1:3" x14ac:dyDescent="0.25">
      <c r="A4908" s="21" t="str">
        <f>IF(C4908="","",COUNTA($C$3:C4908))</f>
        <v/>
      </c>
      <c r="B4908" s="35" t="str">
        <f t="shared" si="92"/>
        <v/>
      </c>
      <c r="C4908" s="15"/>
    </row>
    <row r="4909" spans="1:3" x14ac:dyDescent="0.25">
      <c r="A4909" s="21" t="str">
        <f>IF(C4909="","",COUNTA($C$3:C4909))</f>
        <v/>
      </c>
      <c r="B4909" s="35" t="str">
        <f t="shared" si="92"/>
        <v/>
      </c>
      <c r="C4909" s="15"/>
    </row>
    <row r="4910" spans="1:3" x14ac:dyDescent="0.25">
      <c r="A4910" s="21" t="str">
        <f>IF(C4910="","",COUNTA($C$3:C4910))</f>
        <v/>
      </c>
      <c r="B4910" s="35" t="str">
        <f t="shared" si="92"/>
        <v/>
      </c>
      <c r="C4910" s="15"/>
    </row>
    <row r="4911" spans="1:3" x14ac:dyDescent="0.25">
      <c r="A4911" s="21" t="str">
        <f>IF(C4911="","",COUNTA($C$3:C4911))</f>
        <v/>
      </c>
      <c r="B4911" s="35" t="str">
        <f t="shared" si="92"/>
        <v/>
      </c>
      <c r="C4911" s="15"/>
    </row>
    <row r="4912" spans="1:3" x14ac:dyDescent="0.25">
      <c r="A4912" s="21" t="str">
        <f>IF(C4912="","",COUNTA($C$3:C4912))</f>
        <v/>
      </c>
      <c r="B4912" s="35" t="str">
        <f t="shared" si="92"/>
        <v/>
      </c>
      <c r="C4912" s="15"/>
    </row>
    <row r="4913" spans="1:3" x14ac:dyDescent="0.25">
      <c r="A4913" s="21" t="str">
        <f>IF(C4913="","",COUNTA($C$3:C4913))</f>
        <v/>
      </c>
      <c r="B4913" s="35" t="str">
        <f t="shared" si="92"/>
        <v/>
      </c>
      <c r="C4913" s="15"/>
    </row>
    <row r="4914" spans="1:3" x14ac:dyDescent="0.25">
      <c r="A4914" s="21" t="str">
        <f>IF(C4914="","",COUNTA($C$3:C4914))</f>
        <v/>
      </c>
      <c r="B4914" s="35" t="str">
        <f t="shared" si="92"/>
        <v/>
      </c>
      <c r="C4914" s="15"/>
    </row>
    <row r="4915" spans="1:3" x14ac:dyDescent="0.25">
      <c r="A4915" s="21" t="str">
        <f>IF(C4915="","",COUNTA($C$3:C4915))</f>
        <v/>
      </c>
      <c r="B4915" s="35" t="str">
        <f t="shared" si="92"/>
        <v/>
      </c>
      <c r="C4915" s="15"/>
    </row>
    <row r="4916" spans="1:3" x14ac:dyDescent="0.25">
      <c r="A4916" s="21" t="str">
        <f>IF(C4916="","",COUNTA($C$3:C4916))</f>
        <v/>
      </c>
      <c r="B4916" s="35" t="str">
        <f t="shared" si="92"/>
        <v/>
      </c>
      <c r="C4916" s="15"/>
    </row>
    <row r="4917" spans="1:3" x14ac:dyDescent="0.25">
      <c r="A4917" s="21" t="str">
        <f>IF(C4917="","",COUNTA($C$3:C4917))</f>
        <v/>
      </c>
      <c r="B4917" s="35" t="str">
        <f t="shared" si="92"/>
        <v/>
      </c>
      <c r="C4917" s="15"/>
    </row>
    <row r="4918" spans="1:3" x14ac:dyDescent="0.25">
      <c r="A4918" s="21" t="str">
        <f>IF(C4918="","",COUNTA($C$3:C4918))</f>
        <v/>
      </c>
      <c r="B4918" s="35" t="str">
        <f t="shared" si="92"/>
        <v/>
      </c>
      <c r="C4918" s="15"/>
    </row>
    <row r="4919" spans="1:3" x14ac:dyDescent="0.25">
      <c r="A4919" s="21" t="str">
        <f>IF(C4919="","",COUNTA($C$3:C4919))</f>
        <v/>
      </c>
      <c r="B4919" s="35" t="str">
        <f t="shared" si="92"/>
        <v/>
      </c>
      <c r="C4919" s="15"/>
    </row>
    <row r="4920" spans="1:3" x14ac:dyDescent="0.25">
      <c r="A4920" s="21" t="str">
        <f>IF(C4920="","",COUNTA($C$3:C4920))</f>
        <v/>
      </c>
      <c r="B4920" s="35" t="str">
        <f t="shared" si="92"/>
        <v/>
      </c>
      <c r="C4920" s="15"/>
    </row>
    <row r="4921" spans="1:3" x14ac:dyDescent="0.25">
      <c r="A4921" s="21" t="str">
        <f>IF(C4921="","",COUNTA($C$3:C4921))</f>
        <v/>
      </c>
      <c r="B4921" s="35" t="str">
        <f t="shared" si="92"/>
        <v/>
      </c>
      <c r="C4921" s="15"/>
    </row>
    <row r="4922" spans="1:3" x14ac:dyDescent="0.25">
      <c r="A4922" s="21" t="str">
        <f>IF(C4922="","",COUNTA($C$3:C4922))</f>
        <v/>
      </c>
      <c r="B4922" s="35" t="str">
        <f t="shared" si="92"/>
        <v/>
      </c>
      <c r="C4922" s="15"/>
    </row>
    <row r="4923" spans="1:3" x14ac:dyDescent="0.25">
      <c r="A4923" s="21" t="str">
        <f>IF(C4923="","",COUNTA($C$3:C4923))</f>
        <v/>
      </c>
      <c r="B4923" s="35" t="str">
        <f t="shared" si="92"/>
        <v/>
      </c>
      <c r="C4923" s="15"/>
    </row>
    <row r="4924" spans="1:3" x14ac:dyDescent="0.25">
      <c r="A4924" s="21" t="str">
        <f>IF(C4924="","",COUNTA($C$3:C4924))</f>
        <v/>
      </c>
      <c r="B4924" s="35" t="str">
        <f t="shared" si="92"/>
        <v/>
      </c>
      <c r="C4924" s="15"/>
    </row>
    <row r="4925" spans="1:3" x14ac:dyDescent="0.25">
      <c r="A4925" s="21" t="str">
        <f>IF(C4925="","",COUNTA($C$3:C4925))</f>
        <v/>
      </c>
      <c r="B4925" s="35" t="str">
        <f t="shared" si="92"/>
        <v/>
      </c>
      <c r="C4925" s="15"/>
    </row>
    <row r="4926" spans="1:3" x14ac:dyDescent="0.25">
      <c r="A4926" s="21" t="str">
        <f>IF(C4926="","",COUNTA($C$3:C4926))</f>
        <v/>
      </c>
      <c r="B4926" s="35" t="str">
        <f t="shared" si="92"/>
        <v/>
      </c>
      <c r="C4926" s="15"/>
    </row>
    <row r="4927" spans="1:3" x14ac:dyDescent="0.25">
      <c r="A4927" s="21" t="str">
        <f>IF(C4927="","",COUNTA($C$3:C4927))</f>
        <v/>
      </c>
      <c r="B4927" s="35" t="str">
        <f t="shared" si="92"/>
        <v/>
      </c>
      <c r="C4927" s="15"/>
    </row>
    <row r="4928" spans="1:3" x14ac:dyDescent="0.25">
      <c r="A4928" s="21" t="str">
        <f>IF(C4928="","",COUNTA($C$3:C4928))</f>
        <v/>
      </c>
      <c r="B4928" s="35" t="str">
        <f t="shared" si="92"/>
        <v/>
      </c>
      <c r="C4928" s="15"/>
    </row>
    <row r="4929" spans="1:3" x14ac:dyDescent="0.25">
      <c r="A4929" s="21" t="str">
        <f>IF(C4929="","",COUNTA($C$3:C4929))</f>
        <v/>
      </c>
      <c r="B4929" s="35" t="str">
        <f t="shared" si="92"/>
        <v/>
      </c>
      <c r="C4929" s="15"/>
    </row>
    <row r="4930" spans="1:3" x14ac:dyDescent="0.25">
      <c r="A4930" s="21" t="str">
        <f>IF(C4930="","",COUNTA($C$3:C4930))</f>
        <v/>
      </c>
      <c r="B4930" s="35" t="str">
        <f t="shared" si="92"/>
        <v/>
      </c>
      <c r="C4930" s="15"/>
    </row>
    <row r="4931" spans="1:3" x14ac:dyDescent="0.25">
      <c r="A4931" s="21" t="str">
        <f>IF(C4931="","",COUNTA($C$3:C4931))</f>
        <v/>
      </c>
      <c r="B4931" s="35" t="str">
        <f t="shared" si="92"/>
        <v/>
      </c>
      <c r="C4931" s="15"/>
    </row>
    <row r="4932" spans="1:3" x14ac:dyDescent="0.25">
      <c r="A4932" s="21" t="str">
        <f>IF(C4932="","",COUNTA($C$3:C4932))</f>
        <v/>
      </c>
      <c r="B4932" s="35" t="str">
        <f t="shared" si="92"/>
        <v/>
      </c>
      <c r="C4932" s="15"/>
    </row>
    <row r="4933" spans="1:3" x14ac:dyDescent="0.25">
      <c r="A4933" s="21" t="str">
        <f>IF(C4933="","",COUNTA($C$3:C4933))</f>
        <v/>
      </c>
      <c r="B4933" s="35" t="str">
        <f t="shared" ref="B4933:B4996" si="93">IF(C4933="","",TEXT(C4933,"mmmm"))</f>
        <v/>
      </c>
      <c r="C4933" s="15"/>
    </row>
    <row r="4934" spans="1:3" x14ac:dyDescent="0.25">
      <c r="A4934" s="21" t="str">
        <f>IF(C4934="","",COUNTA($C$3:C4934))</f>
        <v/>
      </c>
      <c r="B4934" s="35" t="str">
        <f t="shared" si="93"/>
        <v/>
      </c>
      <c r="C4934" s="15"/>
    </row>
    <row r="4935" spans="1:3" x14ac:dyDescent="0.25">
      <c r="A4935" s="21" t="str">
        <f>IF(C4935="","",COUNTA($C$3:C4935))</f>
        <v/>
      </c>
      <c r="B4935" s="35" t="str">
        <f t="shared" si="93"/>
        <v/>
      </c>
      <c r="C4935" s="15"/>
    </row>
    <row r="4936" spans="1:3" x14ac:dyDescent="0.25">
      <c r="A4936" s="21" t="str">
        <f>IF(C4936="","",COUNTA($C$3:C4936))</f>
        <v/>
      </c>
      <c r="B4936" s="35" t="str">
        <f t="shared" si="93"/>
        <v/>
      </c>
      <c r="C4936" s="15"/>
    </row>
    <row r="4937" spans="1:3" x14ac:dyDescent="0.25">
      <c r="A4937" s="21" t="str">
        <f>IF(C4937="","",COUNTA($C$3:C4937))</f>
        <v/>
      </c>
      <c r="B4937" s="35" t="str">
        <f t="shared" si="93"/>
        <v/>
      </c>
      <c r="C4937" s="15"/>
    </row>
    <row r="4938" spans="1:3" x14ac:dyDescent="0.25">
      <c r="A4938" s="21" t="str">
        <f>IF(C4938="","",COUNTA($C$3:C4938))</f>
        <v/>
      </c>
      <c r="B4938" s="35" t="str">
        <f t="shared" si="93"/>
        <v/>
      </c>
      <c r="C4938" s="15"/>
    </row>
    <row r="4939" spans="1:3" x14ac:dyDescent="0.25">
      <c r="A4939" s="21" t="str">
        <f>IF(C4939="","",COUNTA($C$3:C4939))</f>
        <v/>
      </c>
      <c r="B4939" s="35" t="str">
        <f t="shared" si="93"/>
        <v/>
      </c>
      <c r="C4939" s="15"/>
    </row>
    <row r="4940" spans="1:3" x14ac:dyDescent="0.25">
      <c r="A4940" s="21" t="str">
        <f>IF(C4940="","",COUNTA($C$3:C4940))</f>
        <v/>
      </c>
      <c r="B4940" s="35" t="str">
        <f t="shared" si="93"/>
        <v/>
      </c>
      <c r="C4940" s="15"/>
    </row>
    <row r="4941" spans="1:3" x14ac:dyDescent="0.25">
      <c r="A4941" s="21" t="str">
        <f>IF(C4941="","",COUNTA($C$3:C4941))</f>
        <v/>
      </c>
      <c r="B4941" s="35" t="str">
        <f t="shared" si="93"/>
        <v/>
      </c>
      <c r="C4941" s="15"/>
    </row>
    <row r="4942" spans="1:3" x14ac:dyDescent="0.25">
      <c r="A4942" s="21" t="str">
        <f>IF(C4942="","",COUNTA($C$3:C4942))</f>
        <v/>
      </c>
      <c r="B4942" s="35" t="str">
        <f t="shared" si="93"/>
        <v/>
      </c>
      <c r="C4942" s="15"/>
    </row>
    <row r="4943" spans="1:3" x14ac:dyDescent="0.25">
      <c r="A4943" s="21" t="str">
        <f>IF(C4943="","",COUNTA($C$3:C4943))</f>
        <v/>
      </c>
      <c r="B4943" s="35" t="str">
        <f t="shared" si="93"/>
        <v/>
      </c>
      <c r="C4943" s="15"/>
    </row>
    <row r="4944" spans="1:3" x14ac:dyDescent="0.25">
      <c r="A4944" s="21" t="str">
        <f>IF(C4944="","",COUNTA($C$3:C4944))</f>
        <v/>
      </c>
      <c r="B4944" s="35" t="str">
        <f t="shared" si="93"/>
        <v/>
      </c>
      <c r="C4944" s="15"/>
    </row>
    <row r="4945" spans="1:3" x14ac:dyDescent="0.25">
      <c r="A4945" s="21" t="str">
        <f>IF(C4945="","",COUNTA($C$3:C4945))</f>
        <v/>
      </c>
      <c r="B4945" s="35" t="str">
        <f t="shared" si="93"/>
        <v/>
      </c>
      <c r="C4945" s="15"/>
    </row>
    <row r="4946" spans="1:3" x14ac:dyDescent="0.25">
      <c r="A4946" s="21" t="str">
        <f>IF(C4946="","",COUNTA($C$3:C4946))</f>
        <v/>
      </c>
      <c r="B4946" s="35" t="str">
        <f t="shared" si="93"/>
        <v/>
      </c>
      <c r="C4946" s="15"/>
    </row>
    <row r="4947" spans="1:3" x14ac:dyDescent="0.25">
      <c r="A4947" s="21" t="str">
        <f>IF(C4947="","",COUNTA($C$3:C4947))</f>
        <v/>
      </c>
      <c r="B4947" s="35" t="str">
        <f t="shared" si="93"/>
        <v/>
      </c>
      <c r="C4947" s="15"/>
    </row>
    <row r="4948" spans="1:3" x14ac:dyDescent="0.25">
      <c r="A4948" s="21" t="str">
        <f>IF(C4948="","",COUNTA($C$3:C4948))</f>
        <v/>
      </c>
      <c r="B4948" s="35" t="str">
        <f t="shared" si="93"/>
        <v/>
      </c>
      <c r="C4948" s="15"/>
    </row>
    <row r="4949" spans="1:3" x14ac:dyDescent="0.25">
      <c r="A4949" s="21" t="str">
        <f>IF(C4949="","",COUNTA($C$3:C4949))</f>
        <v/>
      </c>
      <c r="B4949" s="35" t="str">
        <f t="shared" si="93"/>
        <v/>
      </c>
      <c r="C4949" s="15"/>
    </row>
    <row r="4950" spans="1:3" x14ac:dyDescent="0.25">
      <c r="A4950" s="21" t="str">
        <f>IF(C4950="","",COUNTA($C$3:C4950))</f>
        <v/>
      </c>
      <c r="B4950" s="35" t="str">
        <f t="shared" si="93"/>
        <v/>
      </c>
      <c r="C4950" s="15"/>
    </row>
    <row r="4951" spans="1:3" x14ac:dyDescent="0.25">
      <c r="A4951" s="21" t="str">
        <f>IF(C4951="","",COUNTA($C$3:C4951))</f>
        <v/>
      </c>
      <c r="B4951" s="35" t="str">
        <f t="shared" si="93"/>
        <v/>
      </c>
      <c r="C4951" s="15"/>
    </row>
    <row r="4952" spans="1:3" x14ac:dyDescent="0.25">
      <c r="A4952" s="21" t="str">
        <f>IF(C4952="","",COUNTA($C$3:C4952))</f>
        <v/>
      </c>
      <c r="B4952" s="35" t="str">
        <f t="shared" si="93"/>
        <v/>
      </c>
      <c r="C4952" s="15"/>
    </row>
    <row r="4953" spans="1:3" x14ac:dyDescent="0.25">
      <c r="A4953" s="21" t="str">
        <f>IF(C4953="","",COUNTA($C$3:C4953))</f>
        <v/>
      </c>
      <c r="B4953" s="35" t="str">
        <f t="shared" si="93"/>
        <v/>
      </c>
      <c r="C4953" s="15"/>
    </row>
    <row r="4954" spans="1:3" x14ac:dyDescent="0.25">
      <c r="A4954" s="21" t="str">
        <f>IF(C4954="","",COUNTA($C$3:C4954))</f>
        <v/>
      </c>
      <c r="B4954" s="35" t="str">
        <f t="shared" si="93"/>
        <v/>
      </c>
      <c r="C4954" s="15"/>
    </row>
    <row r="4955" spans="1:3" x14ac:dyDescent="0.25">
      <c r="A4955" s="21" t="str">
        <f>IF(C4955="","",COUNTA($C$3:C4955))</f>
        <v/>
      </c>
      <c r="B4955" s="35" t="str">
        <f t="shared" si="93"/>
        <v/>
      </c>
      <c r="C4955" s="15"/>
    </row>
    <row r="4956" spans="1:3" x14ac:dyDescent="0.25">
      <c r="A4956" s="21" t="str">
        <f>IF(C4956="","",COUNTA($C$3:C4956))</f>
        <v/>
      </c>
      <c r="B4956" s="35" t="str">
        <f t="shared" si="93"/>
        <v/>
      </c>
      <c r="C4956" s="15"/>
    </row>
    <row r="4957" spans="1:3" x14ac:dyDescent="0.25">
      <c r="A4957" s="21" t="str">
        <f>IF(C4957="","",COUNTA($C$3:C4957))</f>
        <v/>
      </c>
      <c r="B4957" s="35" t="str">
        <f t="shared" si="93"/>
        <v/>
      </c>
      <c r="C4957" s="15"/>
    </row>
    <row r="4958" spans="1:3" x14ac:dyDescent="0.25">
      <c r="A4958" s="21" t="str">
        <f>IF(C4958="","",COUNTA($C$3:C4958))</f>
        <v/>
      </c>
      <c r="B4958" s="35" t="str">
        <f t="shared" si="93"/>
        <v/>
      </c>
      <c r="C4958" s="15"/>
    </row>
    <row r="4959" spans="1:3" x14ac:dyDescent="0.25">
      <c r="A4959" s="21" t="str">
        <f>IF(C4959="","",COUNTA($C$3:C4959))</f>
        <v/>
      </c>
      <c r="B4959" s="35" t="str">
        <f t="shared" si="93"/>
        <v/>
      </c>
      <c r="C4959" s="15"/>
    </row>
    <row r="4960" spans="1:3" x14ac:dyDescent="0.25">
      <c r="A4960" s="21" t="str">
        <f>IF(C4960="","",COUNTA($C$3:C4960))</f>
        <v/>
      </c>
      <c r="B4960" s="35" t="str">
        <f t="shared" si="93"/>
        <v/>
      </c>
      <c r="C4960" s="15"/>
    </row>
    <row r="4961" spans="1:3" x14ac:dyDescent="0.25">
      <c r="A4961" s="21" t="str">
        <f>IF(C4961="","",COUNTA($C$3:C4961))</f>
        <v/>
      </c>
      <c r="B4961" s="35" t="str">
        <f t="shared" si="93"/>
        <v/>
      </c>
      <c r="C4961" s="15"/>
    </row>
    <row r="4962" spans="1:3" x14ac:dyDescent="0.25">
      <c r="A4962" s="21" t="str">
        <f>IF(C4962="","",COUNTA($C$3:C4962))</f>
        <v/>
      </c>
      <c r="B4962" s="35" t="str">
        <f t="shared" si="93"/>
        <v/>
      </c>
      <c r="C4962" s="15"/>
    </row>
    <row r="4963" spans="1:3" x14ac:dyDescent="0.25">
      <c r="A4963" s="21" t="str">
        <f>IF(C4963="","",COUNTA($C$3:C4963))</f>
        <v/>
      </c>
      <c r="B4963" s="35" t="str">
        <f t="shared" si="93"/>
        <v/>
      </c>
      <c r="C4963" s="15"/>
    </row>
    <row r="4964" spans="1:3" x14ac:dyDescent="0.25">
      <c r="A4964" s="21" t="str">
        <f>IF(C4964="","",COUNTA($C$3:C4964))</f>
        <v/>
      </c>
      <c r="B4964" s="35" t="str">
        <f t="shared" si="93"/>
        <v/>
      </c>
      <c r="C4964" s="15"/>
    </row>
    <row r="4965" spans="1:3" x14ac:dyDescent="0.25">
      <c r="A4965" s="21" t="str">
        <f>IF(C4965="","",COUNTA($C$3:C4965))</f>
        <v/>
      </c>
      <c r="B4965" s="35" t="str">
        <f t="shared" si="93"/>
        <v/>
      </c>
      <c r="C4965" s="15"/>
    </row>
    <row r="4966" spans="1:3" x14ac:dyDescent="0.25">
      <c r="A4966" s="21" t="str">
        <f>IF(C4966="","",COUNTA($C$3:C4966))</f>
        <v/>
      </c>
      <c r="B4966" s="35" t="str">
        <f t="shared" si="93"/>
        <v/>
      </c>
      <c r="C4966" s="15"/>
    </row>
    <row r="4967" spans="1:3" x14ac:dyDescent="0.25">
      <c r="A4967" s="21" t="str">
        <f>IF(C4967="","",COUNTA($C$3:C4967))</f>
        <v/>
      </c>
      <c r="B4967" s="35" t="str">
        <f t="shared" si="93"/>
        <v/>
      </c>
      <c r="C4967" s="15"/>
    </row>
    <row r="4968" spans="1:3" x14ac:dyDescent="0.25">
      <c r="A4968" s="21" t="str">
        <f>IF(C4968="","",COUNTA($C$3:C4968))</f>
        <v/>
      </c>
      <c r="B4968" s="35" t="str">
        <f t="shared" si="93"/>
        <v/>
      </c>
      <c r="C4968" s="15"/>
    </row>
    <row r="4969" spans="1:3" x14ac:dyDescent="0.25">
      <c r="A4969" s="21" t="str">
        <f>IF(C4969="","",COUNTA($C$3:C4969))</f>
        <v/>
      </c>
      <c r="B4969" s="35" t="str">
        <f t="shared" si="93"/>
        <v/>
      </c>
      <c r="C4969" s="15"/>
    </row>
    <row r="4970" spans="1:3" x14ac:dyDescent="0.25">
      <c r="A4970" s="21" t="str">
        <f>IF(C4970="","",COUNTA($C$3:C4970))</f>
        <v/>
      </c>
      <c r="B4970" s="35" t="str">
        <f t="shared" si="93"/>
        <v/>
      </c>
      <c r="C4970" s="15"/>
    </row>
    <row r="4971" spans="1:3" x14ac:dyDescent="0.25">
      <c r="A4971" s="21" t="str">
        <f>IF(C4971="","",COUNTA($C$3:C4971))</f>
        <v/>
      </c>
      <c r="B4971" s="35" t="str">
        <f t="shared" si="93"/>
        <v/>
      </c>
      <c r="C4971" s="15"/>
    </row>
    <row r="4972" spans="1:3" x14ac:dyDescent="0.25">
      <c r="A4972" s="21" t="str">
        <f>IF(C4972="","",COUNTA($C$3:C4972))</f>
        <v/>
      </c>
      <c r="B4972" s="35" t="str">
        <f t="shared" si="93"/>
        <v/>
      </c>
      <c r="C4972" s="15"/>
    </row>
    <row r="4973" spans="1:3" x14ac:dyDescent="0.25">
      <c r="A4973" s="21" t="str">
        <f>IF(C4973="","",COUNTA($C$3:C4973))</f>
        <v/>
      </c>
      <c r="B4973" s="35" t="str">
        <f t="shared" si="93"/>
        <v/>
      </c>
      <c r="C4973" s="15"/>
    </row>
    <row r="4974" spans="1:3" x14ac:dyDescent="0.25">
      <c r="A4974" s="21" t="str">
        <f>IF(C4974="","",COUNTA($C$3:C4974))</f>
        <v/>
      </c>
      <c r="B4974" s="35" t="str">
        <f t="shared" si="93"/>
        <v/>
      </c>
      <c r="C4974" s="15"/>
    </row>
    <row r="4975" spans="1:3" x14ac:dyDescent="0.25">
      <c r="A4975" s="21" t="str">
        <f>IF(C4975="","",COUNTA($C$3:C4975))</f>
        <v/>
      </c>
      <c r="B4975" s="35" t="str">
        <f t="shared" si="93"/>
        <v/>
      </c>
      <c r="C4975" s="15"/>
    </row>
    <row r="4976" spans="1:3" x14ac:dyDescent="0.25">
      <c r="A4976" s="21" t="str">
        <f>IF(C4976="","",COUNTA($C$3:C4976))</f>
        <v/>
      </c>
      <c r="B4976" s="35" t="str">
        <f t="shared" si="93"/>
        <v/>
      </c>
      <c r="C4976" s="15"/>
    </row>
    <row r="4977" spans="1:3" x14ac:dyDescent="0.25">
      <c r="A4977" s="21" t="str">
        <f>IF(C4977="","",COUNTA($C$3:C4977))</f>
        <v/>
      </c>
      <c r="B4977" s="35" t="str">
        <f t="shared" si="93"/>
        <v/>
      </c>
      <c r="C4977" s="15"/>
    </row>
    <row r="4978" spans="1:3" x14ac:dyDescent="0.25">
      <c r="A4978" s="21" t="str">
        <f>IF(C4978="","",COUNTA($C$3:C4978))</f>
        <v/>
      </c>
      <c r="B4978" s="35" t="str">
        <f t="shared" si="93"/>
        <v/>
      </c>
      <c r="C4978" s="15"/>
    </row>
    <row r="4979" spans="1:3" x14ac:dyDescent="0.25">
      <c r="A4979" s="21" t="str">
        <f>IF(C4979="","",COUNTA($C$3:C4979))</f>
        <v/>
      </c>
      <c r="B4979" s="35" t="str">
        <f t="shared" si="93"/>
        <v/>
      </c>
      <c r="C4979" s="15"/>
    </row>
    <row r="4980" spans="1:3" x14ac:dyDescent="0.25">
      <c r="A4980" s="21" t="str">
        <f>IF(C4980="","",COUNTA($C$3:C4980))</f>
        <v/>
      </c>
      <c r="B4980" s="35" t="str">
        <f t="shared" si="93"/>
        <v/>
      </c>
      <c r="C4980" s="15"/>
    </row>
    <row r="4981" spans="1:3" x14ac:dyDescent="0.25">
      <c r="A4981" s="21" t="str">
        <f>IF(C4981="","",COUNTA($C$3:C4981))</f>
        <v/>
      </c>
      <c r="B4981" s="35" t="str">
        <f t="shared" si="93"/>
        <v/>
      </c>
      <c r="C4981" s="15"/>
    </row>
    <row r="4982" spans="1:3" x14ac:dyDescent="0.25">
      <c r="A4982" s="21" t="str">
        <f>IF(C4982="","",COUNTA($C$3:C4982))</f>
        <v/>
      </c>
      <c r="B4982" s="35" t="str">
        <f t="shared" si="93"/>
        <v/>
      </c>
      <c r="C4982" s="15"/>
    </row>
    <row r="4983" spans="1:3" x14ac:dyDescent="0.25">
      <c r="A4983" s="21" t="str">
        <f>IF(C4983="","",COUNTA($C$3:C4983))</f>
        <v/>
      </c>
      <c r="B4983" s="35" t="str">
        <f t="shared" si="93"/>
        <v/>
      </c>
      <c r="C4983" s="15"/>
    </row>
    <row r="4984" spans="1:3" x14ac:dyDescent="0.25">
      <c r="A4984" s="21" t="str">
        <f>IF(C4984="","",COUNTA($C$3:C4984))</f>
        <v/>
      </c>
      <c r="B4984" s="35" t="str">
        <f t="shared" si="93"/>
        <v/>
      </c>
      <c r="C4984" s="15"/>
    </row>
    <row r="4985" spans="1:3" x14ac:dyDescent="0.25">
      <c r="A4985" s="21" t="str">
        <f>IF(C4985="","",COUNTA($C$3:C4985))</f>
        <v/>
      </c>
      <c r="B4985" s="35" t="str">
        <f t="shared" si="93"/>
        <v/>
      </c>
      <c r="C4985" s="15"/>
    </row>
    <row r="4986" spans="1:3" x14ac:dyDescent="0.25">
      <c r="A4986" s="21" t="str">
        <f>IF(C4986="","",COUNTA($C$3:C4986))</f>
        <v/>
      </c>
      <c r="B4986" s="35" t="str">
        <f t="shared" si="93"/>
        <v/>
      </c>
      <c r="C4986" s="15"/>
    </row>
    <row r="4987" spans="1:3" x14ac:dyDescent="0.25">
      <c r="A4987" s="21" t="str">
        <f>IF(C4987="","",COUNTA($C$3:C4987))</f>
        <v/>
      </c>
      <c r="B4987" s="35" t="str">
        <f t="shared" si="93"/>
        <v/>
      </c>
      <c r="C4987" s="15"/>
    </row>
    <row r="4988" spans="1:3" x14ac:dyDescent="0.25">
      <c r="A4988" s="21" t="str">
        <f>IF(C4988="","",COUNTA($C$3:C4988))</f>
        <v/>
      </c>
      <c r="B4988" s="35" t="str">
        <f t="shared" si="93"/>
        <v/>
      </c>
      <c r="C4988" s="15"/>
    </row>
    <row r="4989" spans="1:3" x14ac:dyDescent="0.25">
      <c r="A4989" s="21" t="str">
        <f>IF(C4989="","",COUNTA($C$3:C4989))</f>
        <v/>
      </c>
      <c r="B4989" s="35" t="str">
        <f t="shared" si="93"/>
        <v/>
      </c>
      <c r="C4989" s="15"/>
    </row>
    <row r="4990" spans="1:3" x14ac:dyDescent="0.25">
      <c r="A4990" s="21" t="str">
        <f>IF(C4990="","",COUNTA($C$3:C4990))</f>
        <v/>
      </c>
      <c r="B4990" s="35" t="str">
        <f t="shared" si="93"/>
        <v/>
      </c>
      <c r="C4990" s="15"/>
    </row>
    <row r="4991" spans="1:3" x14ac:dyDescent="0.25">
      <c r="A4991" s="21" t="str">
        <f>IF(C4991="","",COUNTA($C$3:C4991))</f>
        <v/>
      </c>
      <c r="B4991" s="35" t="str">
        <f t="shared" si="93"/>
        <v/>
      </c>
      <c r="C4991" s="15"/>
    </row>
    <row r="4992" spans="1:3" x14ac:dyDescent="0.25">
      <c r="A4992" s="21" t="str">
        <f>IF(C4992="","",COUNTA($C$3:C4992))</f>
        <v/>
      </c>
      <c r="B4992" s="35" t="str">
        <f t="shared" si="93"/>
        <v/>
      </c>
      <c r="C4992" s="15"/>
    </row>
    <row r="4993" spans="1:3" x14ac:dyDescent="0.25">
      <c r="A4993" s="21" t="str">
        <f>IF(C4993="","",COUNTA($C$3:C4993))</f>
        <v/>
      </c>
      <c r="B4993" s="35" t="str">
        <f t="shared" si="93"/>
        <v/>
      </c>
      <c r="C4993" s="15"/>
    </row>
    <row r="4994" spans="1:3" x14ac:dyDescent="0.25">
      <c r="A4994" s="21" t="str">
        <f>IF(C4994="","",COUNTA($C$3:C4994))</f>
        <v/>
      </c>
      <c r="B4994" s="35" t="str">
        <f t="shared" si="93"/>
        <v/>
      </c>
      <c r="C4994" s="15"/>
    </row>
    <row r="4995" spans="1:3" x14ac:dyDescent="0.25">
      <c r="A4995" s="21" t="str">
        <f>IF(C4995="","",COUNTA($C$3:C4995))</f>
        <v/>
      </c>
      <c r="B4995" s="35" t="str">
        <f t="shared" si="93"/>
        <v/>
      </c>
      <c r="C4995" s="15"/>
    </row>
    <row r="4996" spans="1:3" x14ac:dyDescent="0.25">
      <c r="A4996" s="21" t="str">
        <f>IF(C4996="","",COUNTA($C$3:C4996))</f>
        <v/>
      </c>
      <c r="B4996" s="35" t="str">
        <f t="shared" si="93"/>
        <v/>
      </c>
      <c r="C4996" s="15"/>
    </row>
    <row r="4997" spans="1:3" x14ac:dyDescent="0.25">
      <c r="A4997" s="21" t="str">
        <f>IF(C4997="","",COUNTA($C$3:C4997))</f>
        <v/>
      </c>
      <c r="B4997" s="35" t="str">
        <f t="shared" ref="B4997:B5060" si="94">IF(C4997="","",TEXT(C4997,"mmmm"))</f>
        <v/>
      </c>
      <c r="C4997" s="15"/>
    </row>
    <row r="4998" spans="1:3" x14ac:dyDescent="0.25">
      <c r="A4998" s="21" t="str">
        <f>IF(C4998="","",COUNTA($C$3:C4998))</f>
        <v/>
      </c>
      <c r="B4998" s="35" t="str">
        <f t="shared" si="94"/>
        <v/>
      </c>
      <c r="C4998" s="15"/>
    </row>
    <row r="4999" spans="1:3" x14ac:dyDescent="0.25">
      <c r="A4999" s="21" t="str">
        <f>IF(C4999="","",COUNTA($C$3:C4999))</f>
        <v/>
      </c>
      <c r="B4999" s="35" t="str">
        <f t="shared" si="94"/>
        <v/>
      </c>
      <c r="C4999" s="15"/>
    </row>
    <row r="5000" spans="1:3" x14ac:dyDescent="0.25">
      <c r="A5000" s="21" t="str">
        <f>IF(C5000="","",COUNTA($C$3:C5000))</f>
        <v/>
      </c>
      <c r="B5000" s="35" t="str">
        <f t="shared" si="94"/>
        <v/>
      </c>
      <c r="C5000" s="15"/>
    </row>
    <row r="5001" spans="1:3" x14ac:dyDescent="0.25">
      <c r="A5001" s="21" t="str">
        <f>IF(C5001="","",COUNTA($C$3:C5001))</f>
        <v/>
      </c>
      <c r="B5001" s="35" t="str">
        <f t="shared" si="94"/>
        <v/>
      </c>
      <c r="C5001" s="15"/>
    </row>
    <row r="5002" spans="1:3" x14ac:dyDescent="0.25">
      <c r="A5002" s="21" t="str">
        <f>IF(C5002="","",COUNTA($C$3:C5002))</f>
        <v/>
      </c>
      <c r="B5002" s="35" t="str">
        <f t="shared" si="94"/>
        <v/>
      </c>
      <c r="C5002" s="15"/>
    </row>
    <row r="5003" spans="1:3" x14ac:dyDescent="0.25">
      <c r="A5003" s="21" t="str">
        <f>IF(C5003="","",COUNTA($C$3:C5003))</f>
        <v/>
      </c>
      <c r="B5003" s="35" t="str">
        <f t="shared" si="94"/>
        <v/>
      </c>
      <c r="C5003" s="15"/>
    </row>
    <row r="5004" spans="1:3" x14ac:dyDescent="0.25">
      <c r="A5004" s="21" t="str">
        <f>IF(C5004="","",COUNTA($C$3:C5004))</f>
        <v/>
      </c>
      <c r="B5004" s="35" t="str">
        <f t="shared" si="94"/>
        <v/>
      </c>
      <c r="C5004" s="15"/>
    </row>
    <row r="5005" spans="1:3" x14ac:dyDescent="0.25">
      <c r="A5005" s="21" t="str">
        <f>IF(C5005="","",COUNTA($C$3:C5005))</f>
        <v/>
      </c>
      <c r="B5005" s="35" t="str">
        <f t="shared" si="94"/>
        <v/>
      </c>
      <c r="C5005" s="15"/>
    </row>
    <row r="5006" spans="1:3" x14ac:dyDescent="0.25">
      <c r="A5006" s="21" t="str">
        <f>IF(C5006="","",COUNTA($C$3:C5006))</f>
        <v/>
      </c>
      <c r="B5006" s="35" t="str">
        <f t="shared" si="94"/>
        <v/>
      </c>
      <c r="C5006" s="15"/>
    </row>
    <row r="5007" spans="1:3" x14ac:dyDescent="0.25">
      <c r="A5007" s="21" t="str">
        <f>IF(C5007="","",COUNTA($C$3:C5007))</f>
        <v/>
      </c>
      <c r="B5007" s="35" t="str">
        <f t="shared" si="94"/>
        <v/>
      </c>
      <c r="C5007" s="15"/>
    </row>
    <row r="5008" spans="1:3" x14ac:dyDescent="0.25">
      <c r="A5008" s="21" t="str">
        <f>IF(C5008="","",COUNTA($C$3:C5008))</f>
        <v/>
      </c>
      <c r="B5008" s="35" t="str">
        <f t="shared" si="94"/>
        <v/>
      </c>
      <c r="C5008" s="15"/>
    </row>
    <row r="5009" spans="1:3" x14ac:dyDescent="0.25">
      <c r="A5009" s="21" t="str">
        <f>IF(C5009="","",COUNTA($C$3:C5009))</f>
        <v/>
      </c>
      <c r="B5009" s="35" t="str">
        <f t="shared" si="94"/>
        <v/>
      </c>
      <c r="C5009" s="15"/>
    </row>
    <row r="5010" spans="1:3" x14ac:dyDescent="0.25">
      <c r="A5010" s="21" t="str">
        <f>IF(C5010="","",COUNTA($C$3:C5010))</f>
        <v/>
      </c>
      <c r="B5010" s="35" t="str">
        <f t="shared" si="94"/>
        <v/>
      </c>
      <c r="C5010" s="15"/>
    </row>
    <row r="5011" spans="1:3" x14ac:dyDescent="0.25">
      <c r="A5011" s="21" t="str">
        <f>IF(C5011="","",COUNTA($C$3:C5011))</f>
        <v/>
      </c>
      <c r="B5011" s="35" t="str">
        <f t="shared" si="94"/>
        <v/>
      </c>
      <c r="C5011" s="15"/>
    </row>
    <row r="5012" spans="1:3" x14ac:dyDescent="0.25">
      <c r="A5012" s="21" t="str">
        <f>IF(C5012="","",COUNTA($C$3:C5012))</f>
        <v/>
      </c>
      <c r="B5012" s="35" t="str">
        <f t="shared" si="94"/>
        <v/>
      </c>
      <c r="C5012" s="15"/>
    </row>
    <row r="5013" spans="1:3" x14ac:dyDescent="0.25">
      <c r="A5013" s="21" t="str">
        <f>IF(C5013="","",COUNTA($C$3:C5013))</f>
        <v/>
      </c>
      <c r="B5013" s="35" t="str">
        <f t="shared" si="94"/>
        <v/>
      </c>
      <c r="C5013" s="15"/>
    </row>
    <row r="5014" spans="1:3" x14ac:dyDescent="0.25">
      <c r="A5014" s="21" t="str">
        <f>IF(C5014="","",COUNTA($C$3:C5014))</f>
        <v/>
      </c>
      <c r="B5014" s="35" t="str">
        <f t="shared" si="94"/>
        <v/>
      </c>
      <c r="C5014" s="15"/>
    </row>
    <row r="5015" spans="1:3" x14ac:dyDescent="0.25">
      <c r="A5015" s="21" t="str">
        <f>IF(C5015="","",COUNTA($C$3:C5015))</f>
        <v/>
      </c>
      <c r="B5015" s="35" t="str">
        <f t="shared" si="94"/>
        <v/>
      </c>
      <c r="C5015" s="15"/>
    </row>
    <row r="5016" spans="1:3" x14ac:dyDescent="0.25">
      <c r="A5016" s="21" t="str">
        <f>IF(C5016="","",COUNTA($C$3:C5016))</f>
        <v/>
      </c>
      <c r="B5016" s="35" t="str">
        <f t="shared" si="94"/>
        <v/>
      </c>
      <c r="C5016" s="15"/>
    </row>
    <row r="5017" spans="1:3" x14ac:dyDescent="0.25">
      <c r="A5017" s="21" t="str">
        <f>IF(C5017="","",COUNTA($C$3:C5017))</f>
        <v/>
      </c>
      <c r="B5017" s="35" t="str">
        <f t="shared" si="94"/>
        <v/>
      </c>
      <c r="C5017" s="15"/>
    </row>
    <row r="5018" spans="1:3" x14ac:dyDescent="0.25">
      <c r="A5018" s="21" t="str">
        <f>IF(C5018="","",COUNTA($C$3:C5018))</f>
        <v/>
      </c>
      <c r="B5018" s="35" t="str">
        <f t="shared" si="94"/>
        <v/>
      </c>
      <c r="C5018" s="15"/>
    </row>
    <row r="5019" spans="1:3" x14ac:dyDescent="0.25">
      <c r="A5019" s="21" t="str">
        <f>IF(C5019="","",COUNTA($C$3:C5019))</f>
        <v/>
      </c>
      <c r="B5019" s="35" t="str">
        <f t="shared" si="94"/>
        <v/>
      </c>
      <c r="C5019" s="15"/>
    </row>
    <row r="5020" spans="1:3" x14ac:dyDescent="0.25">
      <c r="A5020" s="21" t="str">
        <f>IF(C5020="","",COUNTA($C$3:C5020))</f>
        <v/>
      </c>
      <c r="B5020" s="35" t="str">
        <f t="shared" si="94"/>
        <v/>
      </c>
      <c r="C5020" s="15"/>
    </row>
    <row r="5021" spans="1:3" x14ac:dyDescent="0.25">
      <c r="A5021" s="21" t="str">
        <f>IF(C5021="","",COUNTA($C$3:C5021))</f>
        <v/>
      </c>
      <c r="B5021" s="35" t="str">
        <f t="shared" si="94"/>
        <v/>
      </c>
      <c r="C5021" s="15"/>
    </row>
    <row r="5022" spans="1:3" x14ac:dyDescent="0.25">
      <c r="A5022" s="21" t="str">
        <f>IF(C5022="","",COUNTA($C$3:C5022))</f>
        <v/>
      </c>
      <c r="B5022" s="35" t="str">
        <f t="shared" si="94"/>
        <v/>
      </c>
      <c r="C5022" s="15"/>
    </row>
    <row r="5023" spans="1:3" x14ac:dyDescent="0.25">
      <c r="A5023" s="21" t="str">
        <f>IF(C5023="","",COUNTA($C$3:C5023))</f>
        <v/>
      </c>
      <c r="B5023" s="35" t="str">
        <f t="shared" si="94"/>
        <v/>
      </c>
      <c r="C5023" s="15"/>
    </row>
    <row r="5024" spans="1:3" x14ac:dyDescent="0.25">
      <c r="A5024" s="21" t="str">
        <f>IF(C5024="","",COUNTA($C$3:C5024))</f>
        <v/>
      </c>
      <c r="B5024" s="35" t="str">
        <f t="shared" si="94"/>
        <v/>
      </c>
      <c r="C5024" s="15"/>
    </row>
    <row r="5025" spans="1:3" x14ac:dyDescent="0.25">
      <c r="A5025" s="21" t="str">
        <f>IF(C5025="","",COUNTA($C$3:C5025))</f>
        <v/>
      </c>
      <c r="B5025" s="35" t="str">
        <f t="shared" si="94"/>
        <v/>
      </c>
      <c r="C5025" s="15"/>
    </row>
    <row r="5026" spans="1:3" x14ac:dyDescent="0.25">
      <c r="A5026" s="21" t="str">
        <f>IF(C5026="","",COUNTA($C$3:C5026))</f>
        <v/>
      </c>
      <c r="B5026" s="35" t="str">
        <f t="shared" si="94"/>
        <v/>
      </c>
      <c r="C5026" s="15"/>
    </row>
    <row r="5027" spans="1:3" x14ac:dyDescent="0.25">
      <c r="A5027" s="21" t="str">
        <f>IF(C5027="","",COUNTA($C$3:C5027))</f>
        <v/>
      </c>
      <c r="B5027" s="35" t="str">
        <f t="shared" si="94"/>
        <v/>
      </c>
      <c r="C5027" s="15"/>
    </row>
    <row r="5028" spans="1:3" x14ac:dyDescent="0.25">
      <c r="A5028" s="21" t="str">
        <f>IF(C5028="","",COUNTA($C$3:C5028))</f>
        <v/>
      </c>
      <c r="B5028" s="35" t="str">
        <f t="shared" si="94"/>
        <v/>
      </c>
      <c r="C5028" s="15"/>
    </row>
    <row r="5029" spans="1:3" x14ac:dyDescent="0.25">
      <c r="A5029" s="21" t="str">
        <f>IF(C5029="","",COUNTA($C$3:C5029))</f>
        <v/>
      </c>
      <c r="B5029" s="35" t="str">
        <f t="shared" si="94"/>
        <v/>
      </c>
      <c r="C5029" s="15"/>
    </row>
    <row r="5030" spans="1:3" x14ac:dyDescent="0.25">
      <c r="A5030" s="21" t="str">
        <f>IF(C5030="","",COUNTA($C$3:C5030))</f>
        <v/>
      </c>
      <c r="B5030" s="35" t="str">
        <f t="shared" si="94"/>
        <v/>
      </c>
      <c r="C5030" s="15"/>
    </row>
    <row r="5031" spans="1:3" x14ac:dyDescent="0.25">
      <c r="A5031" s="21" t="str">
        <f>IF(C5031="","",COUNTA($C$3:C5031))</f>
        <v/>
      </c>
      <c r="B5031" s="35" t="str">
        <f t="shared" si="94"/>
        <v/>
      </c>
      <c r="C5031" s="15"/>
    </row>
    <row r="5032" spans="1:3" x14ac:dyDescent="0.25">
      <c r="A5032" s="21" t="str">
        <f>IF(C5032="","",COUNTA($C$3:C5032))</f>
        <v/>
      </c>
      <c r="B5032" s="35" t="str">
        <f t="shared" si="94"/>
        <v/>
      </c>
      <c r="C5032" s="15"/>
    </row>
    <row r="5033" spans="1:3" x14ac:dyDescent="0.25">
      <c r="A5033" s="21" t="str">
        <f>IF(C5033="","",COUNTA($C$3:C5033))</f>
        <v/>
      </c>
      <c r="B5033" s="35" t="str">
        <f t="shared" si="94"/>
        <v/>
      </c>
      <c r="C5033" s="15"/>
    </row>
    <row r="5034" spans="1:3" x14ac:dyDescent="0.25">
      <c r="A5034" s="21" t="str">
        <f>IF(C5034="","",COUNTA($C$3:C5034))</f>
        <v/>
      </c>
      <c r="B5034" s="35" t="str">
        <f t="shared" si="94"/>
        <v/>
      </c>
      <c r="C5034" s="15"/>
    </row>
    <row r="5035" spans="1:3" x14ac:dyDescent="0.25">
      <c r="A5035" s="21" t="str">
        <f>IF(C5035="","",COUNTA($C$3:C5035))</f>
        <v/>
      </c>
      <c r="B5035" s="35" t="str">
        <f t="shared" si="94"/>
        <v/>
      </c>
      <c r="C5035" s="15"/>
    </row>
    <row r="5036" spans="1:3" x14ac:dyDescent="0.25">
      <c r="A5036" s="21" t="str">
        <f>IF(C5036="","",COUNTA($C$3:C5036))</f>
        <v/>
      </c>
      <c r="B5036" s="35" t="str">
        <f t="shared" si="94"/>
        <v/>
      </c>
      <c r="C5036" s="15"/>
    </row>
    <row r="5037" spans="1:3" x14ac:dyDescent="0.25">
      <c r="A5037" s="21" t="str">
        <f>IF(C5037="","",COUNTA($C$3:C5037))</f>
        <v/>
      </c>
      <c r="B5037" s="35" t="str">
        <f t="shared" si="94"/>
        <v/>
      </c>
      <c r="C5037" s="15"/>
    </row>
    <row r="5038" spans="1:3" x14ac:dyDescent="0.25">
      <c r="A5038" s="21" t="str">
        <f>IF(C5038="","",COUNTA($C$3:C5038))</f>
        <v/>
      </c>
      <c r="B5038" s="35" t="str">
        <f t="shared" si="94"/>
        <v/>
      </c>
      <c r="C5038" s="15"/>
    </row>
    <row r="5039" spans="1:3" x14ac:dyDescent="0.25">
      <c r="A5039" s="21" t="str">
        <f>IF(C5039="","",COUNTA($C$3:C5039))</f>
        <v/>
      </c>
      <c r="B5039" s="35" t="str">
        <f t="shared" si="94"/>
        <v/>
      </c>
      <c r="C5039" s="15"/>
    </row>
    <row r="5040" spans="1:3" x14ac:dyDescent="0.25">
      <c r="A5040" s="21" t="str">
        <f>IF(C5040="","",COUNTA($C$3:C5040))</f>
        <v/>
      </c>
      <c r="B5040" s="35" t="str">
        <f t="shared" si="94"/>
        <v/>
      </c>
      <c r="C5040" s="15"/>
    </row>
    <row r="5041" spans="1:3" x14ac:dyDescent="0.25">
      <c r="A5041" s="21" t="str">
        <f>IF(C5041="","",COUNTA($C$3:C5041))</f>
        <v/>
      </c>
      <c r="B5041" s="35" t="str">
        <f t="shared" si="94"/>
        <v/>
      </c>
      <c r="C5041" s="15"/>
    </row>
    <row r="5042" spans="1:3" x14ac:dyDescent="0.25">
      <c r="A5042" s="21" t="str">
        <f>IF(C5042="","",COUNTA($C$3:C5042))</f>
        <v/>
      </c>
      <c r="B5042" s="35" t="str">
        <f t="shared" si="94"/>
        <v/>
      </c>
      <c r="C5042" s="15"/>
    </row>
    <row r="5043" spans="1:3" x14ac:dyDescent="0.25">
      <c r="A5043" s="21" t="str">
        <f>IF(C5043="","",COUNTA($C$3:C5043))</f>
        <v/>
      </c>
      <c r="B5043" s="35" t="str">
        <f t="shared" si="94"/>
        <v/>
      </c>
      <c r="C5043" s="15"/>
    </row>
    <row r="5044" spans="1:3" x14ac:dyDescent="0.25">
      <c r="A5044" s="21" t="str">
        <f>IF(C5044="","",COUNTA($C$3:C5044))</f>
        <v/>
      </c>
      <c r="B5044" s="35" t="str">
        <f t="shared" si="94"/>
        <v/>
      </c>
      <c r="C5044" s="15"/>
    </row>
    <row r="5045" spans="1:3" x14ac:dyDescent="0.25">
      <c r="A5045" s="21" t="str">
        <f>IF(C5045="","",COUNTA($C$3:C5045))</f>
        <v/>
      </c>
      <c r="B5045" s="35" t="str">
        <f t="shared" si="94"/>
        <v/>
      </c>
      <c r="C5045" s="15"/>
    </row>
    <row r="5046" spans="1:3" x14ac:dyDescent="0.25">
      <c r="A5046" s="21" t="str">
        <f>IF(C5046="","",COUNTA($C$3:C5046))</f>
        <v/>
      </c>
      <c r="B5046" s="35" t="str">
        <f t="shared" si="94"/>
        <v/>
      </c>
      <c r="C5046" s="15"/>
    </row>
    <row r="5047" spans="1:3" x14ac:dyDescent="0.25">
      <c r="A5047" s="21" t="str">
        <f>IF(C5047="","",COUNTA($C$3:C5047))</f>
        <v/>
      </c>
      <c r="B5047" s="35" t="str">
        <f t="shared" si="94"/>
        <v/>
      </c>
      <c r="C5047" s="15"/>
    </row>
    <row r="5048" spans="1:3" x14ac:dyDescent="0.25">
      <c r="A5048" s="21" t="str">
        <f>IF(C5048="","",COUNTA($C$3:C5048))</f>
        <v/>
      </c>
      <c r="B5048" s="35" t="str">
        <f t="shared" si="94"/>
        <v/>
      </c>
      <c r="C5048" s="15"/>
    </row>
    <row r="5049" spans="1:3" x14ac:dyDescent="0.25">
      <c r="A5049" s="21" t="str">
        <f>IF(C5049="","",COUNTA($C$3:C5049))</f>
        <v/>
      </c>
      <c r="B5049" s="35" t="str">
        <f t="shared" si="94"/>
        <v/>
      </c>
      <c r="C5049" s="15"/>
    </row>
    <row r="5050" spans="1:3" x14ac:dyDescent="0.25">
      <c r="A5050" s="21" t="str">
        <f>IF(C5050="","",COUNTA($C$3:C5050))</f>
        <v/>
      </c>
      <c r="B5050" s="35" t="str">
        <f t="shared" si="94"/>
        <v/>
      </c>
      <c r="C5050" s="15"/>
    </row>
    <row r="5051" spans="1:3" x14ac:dyDescent="0.25">
      <c r="A5051" s="21" t="str">
        <f>IF(C5051="","",COUNTA($C$3:C5051))</f>
        <v/>
      </c>
      <c r="B5051" s="35" t="str">
        <f t="shared" si="94"/>
        <v/>
      </c>
      <c r="C5051" s="15"/>
    </row>
    <row r="5052" spans="1:3" x14ac:dyDescent="0.25">
      <c r="A5052" s="21" t="str">
        <f>IF(C5052="","",COUNTA($C$3:C5052))</f>
        <v/>
      </c>
      <c r="B5052" s="35" t="str">
        <f t="shared" si="94"/>
        <v/>
      </c>
      <c r="C5052" s="15"/>
    </row>
    <row r="5053" spans="1:3" x14ac:dyDescent="0.25">
      <c r="A5053" s="21" t="str">
        <f>IF(C5053="","",COUNTA($C$3:C5053))</f>
        <v/>
      </c>
      <c r="B5053" s="35" t="str">
        <f t="shared" si="94"/>
        <v/>
      </c>
      <c r="C5053" s="15"/>
    </row>
    <row r="5054" spans="1:3" x14ac:dyDescent="0.25">
      <c r="A5054" s="21" t="str">
        <f>IF(C5054="","",COUNTA($C$3:C5054))</f>
        <v/>
      </c>
      <c r="B5054" s="35" t="str">
        <f t="shared" si="94"/>
        <v/>
      </c>
      <c r="C5054" s="15"/>
    </row>
    <row r="5055" spans="1:3" x14ac:dyDescent="0.25">
      <c r="A5055" s="21" t="str">
        <f>IF(C5055="","",COUNTA($C$3:C5055))</f>
        <v/>
      </c>
      <c r="B5055" s="35" t="str">
        <f t="shared" si="94"/>
        <v/>
      </c>
      <c r="C5055" s="15"/>
    </row>
    <row r="5056" spans="1:3" x14ac:dyDescent="0.25">
      <c r="A5056" s="21" t="str">
        <f>IF(C5056="","",COUNTA($C$3:C5056))</f>
        <v/>
      </c>
      <c r="B5056" s="35" t="str">
        <f t="shared" si="94"/>
        <v/>
      </c>
      <c r="C5056" s="15"/>
    </row>
    <row r="5057" spans="1:3" x14ac:dyDescent="0.25">
      <c r="A5057" s="21" t="str">
        <f>IF(C5057="","",COUNTA($C$3:C5057))</f>
        <v/>
      </c>
      <c r="B5057" s="35" t="str">
        <f t="shared" si="94"/>
        <v/>
      </c>
      <c r="C5057" s="15"/>
    </row>
    <row r="5058" spans="1:3" x14ac:dyDescent="0.25">
      <c r="A5058" s="21" t="str">
        <f>IF(C5058="","",COUNTA($C$3:C5058))</f>
        <v/>
      </c>
      <c r="B5058" s="35" t="str">
        <f t="shared" si="94"/>
        <v/>
      </c>
      <c r="C5058" s="15"/>
    </row>
    <row r="5059" spans="1:3" x14ac:dyDescent="0.25">
      <c r="A5059" s="21" t="str">
        <f>IF(C5059="","",COUNTA($C$3:C5059))</f>
        <v/>
      </c>
      <c r="B5059" s="35" t="str">
        <f t="shared" si="94"/>
        <v/>
      </c>
      <c r="C5059" s="15"/>
    </row>
    <row r="5060" spans="1:3" x14ac:dyDescent="0.25">
      <c r="A5060" s="21" t="str">
        <f>IF(C5060="","",COUNTA($C$3:C5060))</f>
        <v/>
      </c>
      <c r="B5060" s="35" t="str">
        <f t="shared" si="94"/>
        <v/>
      </c>
      <c r="C5060" s="15"/>
    </row>
    <row r="5061" spans="1:3" x14ac:dyDescent="0.25">
      <c r="A5061" s="21" t="str">
        <f>IF(C5061="","",COUNTA($C$3:C5061))</f>
        <v/>
      </c>
      <c r="B5061" s="35" t="str">
        <f t="shared" ref="B5061:B5124" si="95">IF(C5061="","",TEXT(C5061,"mmmm"))</f>
        <v/>
      </c>
      <c r="C5061" s="15"/>
    </row>
    <row r="5062" spans="1:3" x14ac:dyDescent="0.25">
      <c r="A5062" s="21" t="str">
        <f>IF(C5062="","",COUNTA($C$3:C5062))</f>
        <v/>
      </c>
      <c r="B5062" s="35" t="str">
        <f t="shared" si="95"/>
        <v/>
      </c>
      <c r="C5062" s="15"/>
    </row>
    <row r="5063" spans="1:3" x14ac:dyDescent="0.25">
      <c r="A5063" s="21" t="str">
        <f>IF(C5063="","",COUNTA($C$3:C5063))</f>
        <v/>
      </c>
      <c r="B5063" s="35" t="str">
        <f t="shared" si="95"/>
        <v/>
      </c>
      <c r="C5063" s="15"/>
    </row>
    <row r="5064" spans="1:3" x14ac:dyDescent="0.25">
      <c r="A5064" s="21" t="str">
        <f>IF(C5064="","",COUNTA($C$3:C5064))</f>
        <v/>
      </c>
      <c r="B5064" s="35" t="str">
        <f t="shared" si="95"/>
        <v/>
      </c>
      <c r="C5064" s="15"/>
    </row>
    <row r="5065" spans="1:3" x14ac:dyDescent="0.25">
      <c r="A5065" s="21" t="str">
        <f>IF(C5065="","",COUNTA($C$3:C5065))</f>
        <v/>
      </c>
      <c r="B5065" s="35" t="str">
        <f t="shared" si="95"/>
        <v/>
      </c>
      <c r="C5065" s="15"/>
    </row>
    <row r="5066" spans="1:3" x14ac:dyDescent="0.25">
      <c r="A5066" s="21" t="str">
        <f>IF(C5066="","",COUNTA($C$3:C5066))</f>
        <v/>
      </c>
      <c r="B5066" s="35" t="str">
        <f t="shared" si="95"/>
        <v/>
      </c>
      <c r="C5066" s="15"/>
    </row>
    <row r="5067" spans="1:3" x14ac:dyDescent="0.25">
      <c r="A5067" s="21" t="str">
        <f>IF(C5067="","",COUNTA($C$3:C5067))</f>
        <v/>
      </c>
      <c r="B5067" s="35" t="str">
        <f t="shared" si="95"/>
        <v/>
      </c>
      <c r="C5067" s="15"/>
    </row>
    <row r="5068" spans="1:3" x14ac:dyDescent="0.25">
      <c r="A5068" s="21" t="str">
        <f>IF(C5068="","",COUNTA($C$3:C5068))</f>
        <v/>
      </c>
      <c r="B5068" s="35" t="str">
        <f t="shared" si="95"/>
        <v/>
      </c>
      <c r="C5068" s="15"/>
    </row>
    <row r="5069" spans="1:3" x14ac:dyDescent="0.25">
      <c r="A5069" s="21" t="str">
        <f>IF(C5069="","",COUNTA($C$3:C5069))</f>
        <v/>
      </c>
      <c r="B5069" s="35" t="str">
        <f t="shared" si="95"/>
        <v/>
      </c>
      <c r="C5069" s="15"/>
    </row>
    <row r="5070" spans="1:3" x14ac:dyDescent="0.25">
      <c r="A5070" s="21" t="str">
        <f>IF(C5070="","",COUNTA($C$3:C5070))</f>
        <v/>
      </c>
      <c r="B5070" s="35" t="str">
        <f t="shared" si="95"/>
        <v/>
      </c>
      <c r="C5070" s="15"/>
    </row>
    <row r="5071" spans="1:3" x14ac:dyDescent="0.25">
      <c r="A5071" s="21" t="str">
        <f>IF(C5071="","",COUNTA($C$3:C5071))</f>
        <v/>
      </c>
      <c r="B5071" s="35" t="str">
        <f t="shared" si="95"/>
        <v/>
      </c>
      <c r="C5071" s="15"/>
    </row>
    <row r="5072" spans="1:3" x14ac:dyDescent="0.25">
      <c r="A5072" s="21" t="str">
        <f>IF(C5072="","",COUNTA($C$3:C5072))</f>
        <v/>
      </c>
      <c r="B5072" s="35" t="str">
        <f t="shared" si="95"/>
        <v/>
      </c>
      <c r="C5072" s="15"/>
    </row>
    <row r="5073" spans="1:3" x14ac:dyDescent="0.25">
      <c r="A5073" s="21" t="str">
        <f>IF(C5073="","",COUNTA($C$3:C5073))</f>
        <v/>
      </c>
      <c r="B5073" s="35" t="str">
        <f t="shared" si="95"/>
        <v/>
      </c>
      <c r="C5073" s="15"/>
    </row>
    <row r="5074" spans="1:3" x14ac:dyDescent="0.25">
      <c r="A5074" s="21" t="str">
        <f>IF(C5074="","",COUNTA($C$3:C5074))</f>
        <v/>
      </c>
      <c r="B5074" s="35" t="str">
        <f t="shared" si="95"/>
        <v/>
      </c>
      <c r="C5074" s="15"/>
    </row>
    <row r="5075" spans="1:3" x14ac:dyDescent="0.25">
      <c r="A5075" s="21" t="str">
        <f>IF(C5075="","",COUNTA($C$3:C5075))</f>
        <v/>
      </c>
      <c r="B5075" s="35" t="str">
        <f t="shared" si="95"/>
        <v/>
      </c>
      <c r="C5075" s="15"/>
    </row>
    <row r="5076" spans="1:3" x14ac:dyDescent="0.25">
      <c r="A5076" s="21" t="str">
        <f>IF(C5076="","",COUNTA($C$3:C5076))</f>
        <v/>
      </c>
      <c r="B5076" s="35" t="str">
        <f t="shared" si="95"/>
        <v/>
      </c>
      <c r="C5076" s="15"/>
    </row>
    <row r="5077" spans="1:3" x14ac:dyDescent="0.25">
      <c r="A5077" s="21" t="str">
        <f>IF(C5077="","",COUNTA($C$3:C5077))</f>
        <v/>
      </c>
      <c r="B5077" s="35" t="str">
        <f t="shared" si="95"/>
        <v/>
      </c>
      <c r="C5077" s="15"/>
    </row>
    <row r="5078" spans="1:3" x14ac:dyDescent="0.25">
      <c r="A5078" s="21" t="str">
        <f>IF(C5078="","",COUNTA($C$3:C5078))</f>
        <v/>
      </c>
      <c r="B5078" s="35" t="str">
        <f t="shared" si="95"/>
        <v/>
      </c>
      <c r="C5078" s="15"/>
    </row>
    <row r="5079" spans="1:3" x14ac:dyDescent="0.25">
      <c r="A5079" s="21" t="str">
        <f>IF(C5079="","",COUNTA($C$3:C5079))</f>
        <v/>
      </c>
      <c r="B5079" s="35" t="str">
        <f t="shared" si="95"/>
        <v/>
      </c>
      <c r="C5079" s="15"/>
    </row>
    <row r="5080" spans="1:3" x14ac:dyDescent="0.25">
      <c r="A5080" s="21" t="str">
        <f>IF(C5080="","",COUNTA($C$3:C5080))</f>
        <v/>
      </c>
      <c r="B5080" s="35" t="str">
        <f t="shared" si="95"/>
        <v/>
      </c>
      <c r="C5080" s="15"/>
    </row>
    <row r="5081" spans="1:3" x14ac:dyDescent="0.25">
      <c r="A5081" s="21" t="str">
        <f>IF(C5081="","",COUNTA($C$3:C5081))</f>
        <v/>
      </c>
      <c r="B5081" s="35" t="str">
        <f t="shared" si="95"/>
        <v/>
      </c>
      <c r="C5081" s="15"/>
    </row>
    <row r="5082" spans="1:3" x14ac:dyDescent="0.25">
      <c r="A5082" s="21" t="str">
        <f>IF(C5082="","",COUNTA($C$3:C5082))</f>
        <v/>
      </c>
      <c r="B5082" s="35" t="str">
        <f t="shared" si="95"/>
        <v/>
      </c>
      <c r="C5082" s="15"/>
    </row>
    <row r="5083" spans="1:3" x14ac:dyDescent="0.25">
      <c r="A5083" s="21" t="str">
        <f>IF(C5083="","",COUNTA($C$3:C5083))</f>
        <v/>
      </c>
      <c r="B5083" s="35" t="str">
        <f t="shared" si="95"/>
        <v/>
      </c>
      <c r="C5083" s="15"/>
    </row>
    <row r="5084" spans="1:3" x14ac:dyDescent="0.25">
      <c r="A5084" s="21" t="str">
        <f>IF(C5084="","",COUNTA($C$3:C5084))</f>
        <v/>
      </c>
      <c r="B5084" s="35" t="str">
        <f t="shared" si="95"/>
        <v/>
      </c>
      <c r="C5084" s="15"/>
    </row>
    <row r="5085" spans="1:3" x14ac:dyDescent="0.25">
      <c r="A5085" s="21" t="str">
        <f>IF(C5085="","",COUNTA($C$3:C5085))</f>
        <v/>
      </c>
      <c r="B5085" s="35" t="str">
        <f t="shared" si="95"/>
        <v/>
      </c>
      <c r="C5085" s="15"/>
    </row>
    <row r="5086" spans="1:3" x14ac:dyDescent="0.25">
      <c r="A5086" s="21" t="str">
        <f>IF(C5086="","",COUNTA($C$3:C5086))</f>
        <v/>
      </c>
      <c r="B5086" s="35" t="str">
        <f t="shared" si="95"/>
        <v/>
      </c>
      <c r="C5086" s="15"/>
    </row>
    <row r="5087" spans="1:3" x14ac:dyDescent="0.25">
      <c r="A5087" s="21" t="str">
        <f>IF(C5087="","",COUNTA($C$3:C5087))</f>
        <v/>
      </c>
      <c r="B5087" s="35" t="str">
        <f t="shared" si="95"/>
        <v/>
      </c>
      <c r="C5087" s="15"/>
    </row>
    <row r="5088" spans="1:3" x14ac:dyDescent="0.25">
      <c r="A5088" s="21" t="str">
        <f>IF(C5088="","",COUNTA($C$3:C5088))</f>
        <v/>
      </c>
      <c r="B5088" s="35" t="str">
        <f t="shared" si="95"/>
        <v/>
      </c>
      <c r="C5088" s="15"/>
    </row>
    <row r="5089" spans="1:3" x14ac:dyDescent="0.25">
      <c r="A5089" s="21" t="str">
        <f>IF(C5089="","",COUNTA($C$3:C5089))</f>
        <v/>
      </c>
      <c r="B5089" s="35" t="str">
        <f t="shared" si="95"/>
        <v/>
      </c>
      <c r="C5089" s="15"/>
    </row>
    <row r="5090" spans="1:3" x14ac:dyDescent="0.25">
      <c r="A5090" s="21" t="str">
        <f>IF(C5090="","",COUNTA($C$3:C5090))</f>
        <v/>
      </c>
      <c r="B5090" s="35" t="str">
        <f t="shared" si="95"/>
        <v/>
      </c>
      <c r="C5090" s="15"/>
    </row>
    <row r="5091" spans="1:3" x14ac:dyDescent="0.25">
      <c r="A5091" s="21" t="str">
        <f>IF(C5091="","",COUNTA($C$3:C5091))</f>
        <v/>
      </c>
      <c r="B5091" s="35" t="str">
        <f t="shared" si="95"/>
        <v/>
      </c>
      <c r="C5091" s="15"/>
    </row>
    <row r="5092" spans="1:3" x14ac:dyDescent="0.25">
      <c r="A5092" s="21" t="str">
        <f>IF(C5092="","",COUNTA($C$3:C5092))</f>
        <v/>
      </c>
      <c r="B5092" s="35" t="str">
        <f t="shared" si="95"/>
        <v/>
      </c>
      <c r="C5092" s="15"/>
    </row>
    <row r="5093" spans="1:3" x14ac:dyDescent="0.25">
      <c r="A5093" s="21" t="str">
        <f>IF(C5093="","",COUNTA($C$3:C5093))</f>
        <v/>
      </c>
      <c r="B5093" s="35" t="str">
        <f t="shared" si="95"/>
        <v/>
      </c>
      <c r="C5093" s="15"/>
    </row>
    <row r="5094" spans="1:3" x14ac:dyDescent="0.25">
      <c r="A5094" s="21" t="str">
        <f>IF(C5094="","",COUNTA($C$3:C5094))</f>
        <v/>
      </c>
      <c r="B5094" s="35" t="str">
        <f t="shared" si="95"/>
        <v/>
      </c>
      <c r="C5094" s="15"/>
    </row>
    <row r="5095" spans="1:3" x14ac:dyDescent="0.25">
      <c r="A5095" s="21" t="str">
        <f>IF(C5095="","",COUNTA($C$3:C5095))</f>
        <v/>
      </c>
      <c r="B5095" s="35" t="str">
        <f t="shared" si="95"/>
        <v/>
      </c>
      <c r="C5095" s="15"/>
    </row>
    <row r="5096" spans="1:3" x14ac:dyDescent="0.25">
      <c r="A5096" s="21" t="str">
        <f>IF(C5096="","",COUNTA($C$3:C5096))</f>
        <v/>
      </c>
      <c r="B5096" s="35" t="str">
        <f t="shared" si="95"/>
        <v/>
      </c>
      <c r="C5096" s="15"/>
    </row>
    <row r="5097" spans="1:3" x14ac:dyDescent="0.25">
      <c r="A5097" s="21" t="str">
        <f>IF(C5097="","",COUNTA($C$3:C5097))</f>
        <v/>
      </c>
      <c r="B5097" s="35" t="str">
        <f t="shared" si="95"/>
        <v/>
      </c>
      <c r="C5097" s="15"/>
    </row>
    <row r="5098" spans="1:3" x14ac:dyDescent="0.25">
      <c r="A5098" s="21" t="str">
        <f>IF(C5098="","",COUNTA($C$3:C5098))</f>
        <v/>
      </c>
      <c r="B5098" s="35" t="str">
        <f t="shared" si="95"/>
        <v/>
      </c>
      <c r="C5098" s="15"/>
    </row>
    <row r="5099" spans="1:3" x14ac:dyDescent="0.25">
      <c r="A5099" s="21" t="str">
        <f>IF(C5099="","",COUNTA($C$3:C5099))</f>
        <v/>
      </c>
      <c r="B5099" s="35" t="str">
        <f t="shared" si="95"/>
        <v/>
      </c>
      <c r="C5099" s="15"/>
    </row>
    <row r="5100" spans="1:3" x14ac:dyDescent="0.25">
      <c r="A5100" s="21" t="str">
        <f>IF(C5100="","",COUNTA($C$3:C5100))</f>
        <v/>
      </c>
      <c r="B5100" s="35" t="str">
        <f t="shared" si="95"/>
        <v/>
      </c>
      <c r="C5100" s="15"/>
    </row>
    <row r="5101" spans="1:3" x14ac:dyDescent="0.25">
      <c r="A5101" s="21" t="str">
        <f>IF(C5101="","",COUNTA($C$3:C5101))</f>
        <v/>
      </c>
      <c r="B5101" s="35" t="str">
        <f t="shared" si="95"/>
        <v/>
      </c>
      <c r="C5101" s="15"/>
    </row>
    <row r="5102" spans="1:3" x14ac:dyDescent="0.25">
      <c r="A5102" s="21" t="str">
        <f>IF(C5102="","",COUNTA($C$3:C5102))</f>
        <v/>
      </c>
      <c r="B5102" s="35" t="str">
        <f t="shared" si="95"/>
        <v/>
      </c>
      <c r="C5102" s="15"/>
    </row>
    <row r="5103" spans="1:3" x14ac:dyDescent="0.25">
      <c r="A5103" s="21" t="str">
        <f>IF(C5103="","",COUNTA($C$3:C5103))</f>
        <v/>
      </c>
      <c r="B5103" s="35" t="str">
        <f t="shared" si="95"/>
        <v/>
      </c>
      <c r="C5103" s="15"/>
    </row>
    <row r="5104" spans="1:3" x14ac:dyDescent="0.25">
      <c r="A5104" s="21" t="str">
        <f>IF(C5104="","",COUNTA($C$3:C5104))</f>
        <v/>
      </c>
      <c r="B5104" s="35" t="str">
        <f t="shared" si="95"/>
        <v/>
      </c>
      <c r="C5104" s="15"/>
    </row>
    <row r="5105" spans="1:3" x14ac:dyDescent="0.25">
      <c r="A5105" s="21" t="str">
        <f>IF(C5105="","",COUNTA($C$3:C5105))</f>
        <v/>
      </c>
      <c r="B5105" s="35" t="str">
        <f t="shared" si="95"/>
        <v/>
      </c>
      <c r="C5105" s="15"/>
    </row>
    <row r="5106" spans="1:3" x14ac:dyDescent="0.25">
      <c r="A5106" s="21" t="str">
        <f>IF(C5106="","",COUNTA($C$3:C5106))</f>
        <v/>
      </c>
      <c r="B5106" s="35" t="str">
        <f t="shared" si="95"/>
        <v/>
      </c>
      <c r="C5106" s="15"/>
    </row>
    <row r="5107" spans="1:3" x14ac:dyDescent="0.25">
      <c r="A5107" s="21" t="str">
        <f>IF(C5107="","",COUNTA($C$3:C5107))</f>
        <v/>
      </c>
      <c r="B5107" s="35" t="str">
        <f t="shared" si="95"/>
        <v/>
      </c>
      <c r="C5107" s="15"/>
    </row>
    <row r="5108" spans="1:3" x14ac:dyDescent="0.25">
      <c r="A5108" s="21" t="str">
        <f>IF(C5108="","",COUNTA($C$3:C5108))</f>
        <v/>
      </c>
      <c r="B5108" s="35" t="str">
        <f t="shared" si="95"/>
        <v/>
      </c>
      <c r="C5108" s="15"/>
    </row>
    <row r="5109" spans="1:3" x14ac:dyDescent="0.25">
      <c r="A5109" s="21" t="str">
        <f>IF(C5109="","",COUNTA($C$3:C5109))</f>
        <v/>
      </c>
      <c r="B5109" s="35" t="str">
        <f t="shared" si="95"/>
        <v/>
      </c>
      <c r="C5109" s="15"/>
    </row>
    <row r="5110" spans="1:3" x14ac:dyDescent="0.25">
      <c r="A5110" s="21" t="str">
        <f>IF(C5110="","",COUNTA($C$3:C5110))</f>
        <v/>
      </c>
      <c r="B5110" s="35" t="str">
        <f t="shared" si="95"/>
        <v/>
      </c>
      <c r="C5110" s="15"/>
    </row>
    <row r="5111" spans="1:3" x14ac:dyDescent="0.25">
      <c r="A5111" s="21" t="str">
        <f>IF(C5111="","",COUNTA($C$3:C5111))</f>
        <v/>
      </c>
      <c r="B5111" s="35" t="str">
        <f t="shared" si="95"/>
        <v/>
      </c>
      <c r="C5111" s="15"/>
    </row>
    <row r="5112" spans="1:3" x14ac:dyDescent="0.25">
      <c r="A5112" s="21" t="str">
        <f>IF(C5112="","",COUNTA($C$3:C5112))</f>
        <v/>
      </c>
      <c r="B5112" s="35" t="str">
        <f t="shared" si="95"/>
        <v/>
      </c>
      <c r="C5112" s="15"/>
    </row>
    <row r="5113" spans="1:3" x14ac:dyDescent="0.25">
      <c r="A5113" s="21" t="str">
        <f>IF(C5113="","",COUNTA($C$3:C5113))</f>
        <v/>
      </c>
      <c r="B5113" s="35" t="str">
        <f t="shared" si="95"/>
        <v/>
      </c>
      <c r="C5113" s="15"/>
    </row>
    <row r="5114" spans="1:3" x14ac:dyDescent="0.25">
      <c r="A5114" s="21" t="str">
        <f>IF(C5114="","",COUNTA($C$3:C5114))</f>
        <v/>
      </c>
      <c r="B5114" s="35" t="str">
        <f t="shared" si="95"/>
        <v/>
      </c>
      <c r="C5114" s="15"/>
    </row>
    <row r="5115" spans="1:3" x14ac:dyDescent="0.25">
      <c r="A5115" s="21" t="str">
        <f>IF(C5115="","",COUNTA($C$3:C5115))</f>
        <v/>
      </c>
      <c r="B5115" s="35" t="str">
        <f t="shared" si="95"/>
        <v/>
      </c>
      <c r="C5115" s="15"/>
    </row>
    <row r="5116" spans="1:3" x14ac:dyDescent="0.25">
      <c r="A5116" s="21" t="str">
        <f>IF(C5116="","",COUNTA($C$3:C5116))</f>
        <v/>
      </c>
      <c r="B5116" s="35" t="str">
        <f t="shared" si="95"/>
        <v/>
      </c>
      <c r="C5116" s="15"/>
    </row>
    <row r="5117" spans="1:3" x14ac:dyDescent="0.25">
      <c r="A5117" s="21" t="str">
        <f>IF(C5117="","",COUNTA($C$3:C5117))</f>
        <v/>
      </c>
      <c r="B5117" s="35" t="str">
        <f t="shared" si="95"/>
        <v/>
      </c>
      <c r="C5117" s="15"/>
    </row>
    <row r="5118" spans="1:3" x14ac:dyDescent="0.25">
      <c r="A5118" s="21" t="str">
        <f>IF(C5118="","",COUNTA($C$3:C5118))</f>
        <v/>
      </c>
      <c r="B5118" s="35" t="str">
        <f t="shared" si="95"/>
        <v/>
      </c>
      <c r="C5118" s="15"/>
    </row>
    <row r="5119" spans="1:3" x14ac:dyDescent="0.25">
      <c r="A5119" s="21" t="str">
        <f>IF(C5119="","",COUNTA($C$3:C5119))</f>
        <v/>
      </c>
      <c r="B5119" s="35" t="str">
        <f t="shared" si="95"/>
        <v/>
      </c>
      <c r="C5119" s="15"/>
    </row>
    <row r="5120" spans="1:3" x14ac:dyDescent="0.25">
      <c r="A5120" s="21" t="str">
        <f>IF(C5120="","",COUNTA($C$3:C5120))</f>
        <v/>
      </c>
      <c r="B5120" s="35" t="str">
        <f t="shared" si="95"/>
        <v/>
      </c>
      <c r="C5120" s="15"/>
    </row>
    <row r="5121" spans="1:3" x14ac:dyDescent="0.25">
      <c r="A5121" s="21" t="str">
        <f>IF(C5121="","",COUNTA($C$3:C5121))</f>
        <v/>
      </c>
      <c r="B5121" s="35" t="str">
        <f t="shared" si="95"/>
        <v/>
      </c>
      <c r="C5121" s="15"/>
    </row>
    <row r="5122" spans="1:3" x14ac:dyDescent="0.25">
      <c r="A5122" s="21" t="str">
        <f>IF(C5122="","",COUNTA($C$3:C5122))</f>
        <v/>
      </c>
      <c r="B5122" s="35" t="str">
        <f t="shared" si="95"/>
        <v/>
      </c>
      <c r="C5122" s="15"/>
    </row>
    <row r="5123" spans="1:3" x14ac:dyDescent="0.25">
      <c r="A5123" s="21" t="str">
        <f>IF(C5123="","",COUNTA($C$3:C5123))</f>
        <v/>
      </c>
      <c r="B5123" s="35" t="str">
        <f t="shared" si="95"/>
        <v/>
      </c>
      <c r="C5123" s="15"/>
    </row>
    <row r="5124" spans="1:3" x14ac:dyDescent="0.25">
      <c r="A5124" s="21" t="str">
        <f>IF(C5124="","",COUNTA($C$3:C5124))</f>
        <v/>
      </c>
      <c r="B5124" s="35" t="str">
        <f t="shared" si="95"/>
        <v/>
      </c>
      <c r="C5124" s="15"/>
    </row>
    <row r="5125" spans="1:3" x14ac:dyDescent="0.25">
      <c r="A5125" s="21" t="str">
        <f>IF(C5125="","",COUNTA($C$3:C5125))</f>
        <v/>
      </c>
      <c r="B5125" s="35" t="str">
        <f t="shared" ref="B5125:B5188" si="96">IF(C5125="","",TEXT(C5125,"mmmm"))</f>
        <v/>
      </c>
      <c r="C5125" s="15"/>
    </row>
    <row r="5126" spans="1:3" x14ac:dyDescent="0.25">
      <c r="A5126" s="21" t="str">
        <f>IF(C5126="","",COUNTA($C$3:C5126))</f>
        <v/>
      </c>
      <c r="B5126" s="35" t="str">
        <f t="shared" si="96"/>
        <v/>
      </c>
      <c r="C5126" s="15"/>
    </row>
    <row r="5127" spans="1:3" x14ac:dyDescent="0.25">
      <c r="A5127" s="21" t="str">
        <f>IF(C5127="","",COUNTA($C$3:C5127))</f>
        <v/>
      </c>
      <c r="B5127" s="35" t="str">
        <f t="shared" si="96"/>
        <v/>
      </c>
      <c r="C5127" s="15"/>
    </row>
    <row r="5128" spans="1:3" x14ac:dyDescent="0.25">
      <c r="A5128" s="21" t="str">
        <f>IF(C5128="","",COUNTA($C$3:C5128))</f>
        <v/>
      </c>
      <c r="B5128" s="35" t="str">
        <f t="shared" si="96"/>
        <v/>
      </c>
      <c r="C5128" s="15"/>
    </row>
    <row r="5129" spans="1:3" x14ac:dyDescent="0.25">
      <c r="A5129" s="21" t="str">
        <f>IF(C5129="","",COUNTA($C$3:C5129))</f>
        <v/>
      </c>
      <c r="B5129" s="35" t="str">
        <f t="shared" si="96"/>
        <v/>
      </c>
      <c r="C5129" s="15"/>
    </row>
    <row r="5130" spans="1:3" x14ac:dyDescent="0.25">
      <c r="A5130" s="21" t="str">
        <f>IF(C5130="","",COUNTA($C$3:C5130))</f>
        <v/>
      </c>
      <c r="B5130" s="35" t="str">
        <f t="shared" si="96"/>
        <v/>
      </c>
      <c r="C5130" s="15"/>
    </row>
    <row r="5131" spans="1:3" x14ac:dyDescent="0.25">
      <c r="A5131" s="21" t="str">
        <f>IF(C5131="","",COUNTA($C$3:C5131))</f>
        <v/>
      </c>
      <c r="B5131" s="35" t="str">
        <f t="shared" si="96"/>
        <v/>
      </c>
      <c r="C5131" s="15"/>
    </row>
    <row r="5132" spans="1:3" x14ac:dyDescent="0.25">
      <c r="A5132" s="21" t="str">
        <f>IF(C5132="","",COUNTA($C$3:C5132))</f>
        <v/>
      </c>
      <c r="B5132" s="35" t="str">
        <f t="shared" si="96"/>
        <v/>
      </c>
      <c r="C5132" s="15"/>
    </row>
    <row r="5133" spans="1:3" x14ac:dyDescent="0.25">
      <c r="A5133" s="21" t="str">
        <f>IF(C5133="","",COUNTA($C$3:C5133))</f>
        <v/>
      </c>
      <c r="B5133" s="35" t="str">
        <f t="shared" si="96"/>
        <v/>
      </c>
      <c r="C5133" s="15"/>
    </row>
    <row r="5134" spans="1:3" x14ac:dyDescent="0.25">
      <c r="A5134" s="21" t="str">
        <f>IF(C5134="","",COUNTA($C$3:C5134))</f>
        <v/>
      </c>
      <c r="B5134" s="35" t="str">
        <f t="shared" si="96"/>
        <v/>
      </c>
      <c r="C5134" s="15"/>
    </row>
    <row r="5135" spans="1:3" x14ac:dyDescent="0.25">
      <c r="A5135" s="21" t="str">
        <f>IF(C5135="","",COUNTA($C$3:C5135))</f>
        <v/>
      </c>
      <c r="B5135" s="35" t="str">
        <f t="shared" si="96"/>
        <v/>
      </c>
      <c r="C5135" s="15"/>
    </row>
    <row r="5136" spans="1:3" x14ac:dyDescent="0.25">
      <c r="A5136" s="21" t="str">
        <f>IF(C5136="","",COUNTA($C$3:C5136))</f>
        <v/>
      </c>
      <c r="B5136" s="35" t="str">
        <f t="shared" si="96"/>
        <v/>
      </c>
      <c r="C5136" s="15"/>
    </row>
    <row r="5137" spans="1:3" x14ac:dyDescent="0.25">
      <c r="A5137" s="21" t="str">
        <f>IF(C5137="","",COUNTA($C$3:C5137))</f>
        <v/>
      </c>
      <c r="B5137" s="35" t="str">
        <f t="shared" si="96"/>
        <v/>
      </c>
      <c r="C5137" s="15"/>
    </row>
    <row r="5138" spans="1:3" x14ac:dyDescent="0.25">
      <c r="A5138" s="21" t="str">
        <f>IF(C5138="","",COUNTA($C$3:C5138))</f>
        <v/>
      </c>
      <c r="B5138" s="35" t="str">
        <f t="shared" si="96"/>
        <v/>
      </c>
      <c r="C5138" s="15"/>
    </row>
    <row r="5139" spans="1:3" x14ac:dyDescent="0.25">
      <c r="A5139" s="21" t="str">
        <f>IF(C5139="","",COUNTA($C$3:C5139))</f>
        <v/>
      </c>
      <c r="B5139" s="35" t="str">
        <f t="shared" si="96"/>
        <v/>
      </c>
      <c r="C5139" s="15"/>
    </row>
    <row r="5140" spans="1:3" x14ac:dyDescent="0.25">
      <c r="A5140" s="21" t="str">
        <f>IF(C5140="","",COUNTA($C$3:C5140))</f>
        <v/>
      </c>
      <c r="B5140" s="35" t="str">
        <f t="shared" si="96"/>
        <v/>
      </c>
      <c r="C5140" s="15"/>
    </row>
    <row r="5141" spans="1:3" x14ac:dyDescent="0.25">
      <c r="A5141" s="21" t="str">
        <f>IF(C5141="","",COUNTA($C$3:C5141))</f>
        <v/>
      </c>
      <c r="B5141" s="35" t="str">
        <f t="shared" si="96"/>
        <v/>
      </c>
      <c r="C5141" s="15"/>
    </row>
    <row r="5142" spans="1:3" x14ac:dyDescent="0.25">
      <c r="A5142" s="21" t="str">
        <f>IF(C5142="","",COUNTA($C$3:C5142))</f>
        <v/>
      </c>
      <c r="B5142" s="35" t="str">
        <f t="shared" si="96"/>
        <v/>
      </c>
      <c r="C5142" s="15"/>
    </row>
    <row r="5143" spans="1:3" x14ac:dyDescent="0.25">
      <c r="A5143" s="21" t="str">
        <f>IF(C5143="","",COUNTA($C$3:C5143))</f>
        <v/>
      </c>
      <c r="B5143" s="35" t="str">
        <f t="shared" si="96"/>
        <v/>
      </c>
      <c r="C5143" s="15"/>
    </row>
    <row r="5144" spans="1:3" x14ac:dyDescent="0.25">
      <c r="A5144" s="21" t="str">
        <f>IF(C5144="","",COUNTA($C$3:C5144))</f>
        <v/>
      </c>
      <c r="B5144" s="35" t="str">
        <f t="shared" si="96"/>
        <v/>
      </c>
      <c r="C5144" s="15"/>
    </row>
    <row r="5145" spans="1:3" x14ac:dyDescent="0.25">
      <c r="A5145" s="21" t="str">
        <f>IF(C5145="","",COUNTA($C$3:C5145))</f>
        <v/>
      </c>
      <c r="B5145" s="35" t="str">
        <f t="shared" si="96"/>
        <v/>
      </c>
      <c r="C5145" s="15"/>
    </row>
    <row r="5146" spans="1:3" x14ac:dyDescent="0.25">
      <c r="A5146" s="21" t="str">
        <f>IF(C5146="","",COUNTA($C$3:C5146))</f>
        <v/>
      </c>
      <c r="B5146" s="35" t="str">
        <f t="shared" si="96"/>
        <v/>
      </c>
      <c r="C5146" s="15"/>
    </row>
    <row r="5147" spans="1:3" x14ac:dyDescent="0.25">
      <c r="A5147" s="21" t="str">
        <f>IF(C5147="","",COUNTA($C$3:C5147))</f>
        <v/>
      </c>
      <c r="B5147" s="35" t="str">
        <f t="shared" si="96"/>
        <v/>
      </c>
      <c r="C5147" s="15"/>
    </row>
    <row r="5148" spans="1:3" x14ac:dyDescent="0.25">
      <c r="A5148" s="21" t="str">
        <f>IF(C5148="","",COUNTA($C$3:C5148))</f>
        <v/>
      </c>
      <c r="B5148" s="35" t="str">
        <f t="shared" si="96"/>
        <v/>
      </c>
      <c r="C5148" s="15"/>
    </row>
    <row r="5149" spans="1:3" x14ac:dyDescent="0.25">
      <c r="A5149" s="21" t="str">
        <f>IF(C5149="","",COUNTA($C$3:C5149))</f>
        <v/>
      </c>
      <c r="B5149" s="35" t="str">
        <f t="shared" si="96"/>
        <v/>
      </c>
      <c r="C5149" s="15"/>
    </row>
    <row r="5150" spans="1:3" x14ac:dyDescent="0.25">
      <c r="A5150" s="21" t="str">
        <f>IF(C5150="","",COUNTA($C$3:C5150))</f>
        <v/>
      </c>
      <c r="B5150" s="35" t="str">
        <f t="shared" si="96"/>
        <v/>
      </c>
      <c r="C5150" s="15"/>
    </row>
    <row r="5151" spans="1:3" x14ac:dyDescent="0.25">
      <c r="A5151" s="21" t="str">
        <f>IF(C5151="","",COUNTA($C$3:C5151))</f>
        <v/>
      </c>
      <c r="B5151" s="35" t="str">
        <f t="shared" si="96"/>
        <v/>
      </c>
      <c r="C5151" s="15"/>
    </row>
    <row r="5152" spans="1:3" x14ac:dyDescent="0.25">
      <c r="A5152" s="21" t="str">
        <f>IF(C5152="","",COUNTA($C$3:C5152))</f>
        <v/>
      </c>
      <c r="B5152" s="35" t="str">
        <f t="shared" si="96"/>
        <v/>
      </c>
      <c r="C5152" s="15"/>
    </row>
    <row r="5153" spans="1:3" x14ac:dyDescent="0.25">
      <c r="A5153" s="21" t="str">
        <f>IF(C5153="","",COUNTA($C$3:C5153))</f>
        <v/>
      </c>
      <c r="B5153" s="35" t="str">
        <f t="shared" si="96"/>
        <v/>
      </c>
      <c r="C5153" s="15"/>
    </row>
    <row r="5154" spans="1:3" x14ac:dyDescent="0.25">
      <c r="A5154" s="21" t="str">
        <f>IF(C5154="","",COUNTA($C$3:C5154))</f>
        <v/>
      </c>
      <c r="B5154" s="35" t="str">
        <f t="shared" si="96"/>
        <v/>
      </c>
      <c r="C5154" s="15"/>
    </row>
    <row r="5155" spans="1:3" x14ac:dyDescent="0.25">
      <c r="A5155" s="21" t="str">
        <f>IF(C5155="","",COUNTA($C$3:C5155))</f>
        <v/>
      </c>
      <c r="B5155" s="35" t="str">
        <f t="shared" si="96"/>
        <v/>
      </c>
      <c r="C5155" s="15"/>
    </row>
    <row r="5156" spans="1:3" x14ac:dyDescent="0.25">
      <c r="A5156" s="21" t="str">
        <f>IF(C5156="","",COUNTA($C$3:C5156))</f>
        <v/>
      </c>
      <c r="B5156" s="35" t="str">
        <f t="shared" si="96"/>
        <v/>
      </c>
      <c r="C5156" s="15"/>
    </row>
    <row r="5157" spans="1:3" x14ac:dyDescent="0.25">
      <c r="A5157" s="21" t="str">
        <f>IF(C5157="","",COUNTA($C$3:C5157))</f>
        <v/>
      </c>
      <c r="B5157" s="35" t="str">
        <f t="shared" si="96"/>
        <v/>
      </c>
      <c r="C5157" s="15"/>
    </row>
    <row r="5158" spans="1:3" x14ac:dyDescent="0.25">
      <c r="A5158" s="21" t="str">
        <f>IF(C5158="","",COUNTA($C$3:C5158))</f>
        <v/>
      </c>
      <c r="B5158" s="35" t="str">
        <f t="shared" si="96"/>
        <v/>
      </c>
      <c r="C5158" s="15"/>
    </row>
    <row r="5159" spans="1:3" x14ac:dyDescent="0.25">
      <c r="A5159" s="21" t="str">
        <f>IF(C5159="","",COUNTA($C$3:C5159))</f>
        <v/>
      </c>
      <c r="B5159" s="35" t="str">
        <f t="shared" si="96"/>
        <v/>
      </c>
      <c r="C5159" s="15"/>
    </row>
    <row r="5160" spans="1:3" x14ac:dyDescent="0.25">
      <c r="A5160" s="21" t="str">
        <f>IF(C5160="","",COUNTA($C$3:C5160))</f>
        <v/>
      </c>
      <c r="B5160" s="35" t="str">
        <f t="shared" si="96"/>
        <v/>
      </c>
      <c r="C5160" s="15"/>
    </row>
    <row r="5161" spans="1:3" x14ac:dyDescent="0.25">
      <c r="A5161" s="21" t="str">
        <f>IF(C5161="","",COUNTA($C$3:C5161))</f>
        <v/>
      </c>
      <c r="B5161" s="35" t="str">
        <f t="shared" si="96"/>
        <v/>
      </c>
      <c r="C5161" s="15"/>
    </row>
    <row r="5162" spans="1:3" x14ac:dyDescent="0.25">
      <c r="A5162" s="21" t="str">
        <f>IF(C5162="","",COUNTA($C$3:C5162))</f>
        <v/>
      </c>
      <c r="B5162" s="35" t="str">
        <f t="shared" si="96"/>
        <v/>
      </c>
      <c r="C5162" s="15"/>
    </row>
    <row r="5163" spans="1:3" x14ac:dyDescent="0.25">
      <c r="A5163" s="21" t="str">
        <f>IF(C5163="","",COUNTA($C$3:C5163))</f>
        <v/>
      </c>
      <c r="B5163" s="35" t="str">
        <f t="shared" si="96"/>
        <v/>
      </c>
      <c r="C5163" s="15"/>
    </row>
    <row r="5164" spans="1:3" x14ac:dyDescent="0.25">
      <c r="A5164" s="21" t="str">
        <f>IF(C5164="","",COUNTA($C$3:C5164))</f>
        <v/>
      </c>
      <c r="B5164" s="35" t="str">
        <f t="shared" si="96"/>
        <v/>
      </c>
      <c r="C5164" s="15"/>
    </row>
    <row r="5165" spans="1:3" x14ac:dyDescent="0.25">
      <c r="A5165" s="21" t="str">
        <f>IF(C5165="","",COUNTA($C$3:C5165))</f>
        <v/>
      </c>
      <c r="B5165" s="35" t="str">
        <f t="shared" si="96"/>
        <v/>
      </c>
      <c r="C5165" s="15"/>
    </row>
    <row r="5166" spans="1:3" x14ac:dyDescent="0.25">
      <c r="A5166" s="21" t="str">
        <f>IF(C5166="","",COUNTA($C$3:C5166))</f>
        <v/>
      </c>
      <c r="B5166" s="35" t="str">
        <f t="shared" si="96"/>
        <v/>
      </c>
      <c r="C5166" s="15"/>
    </row>
    <row r="5167" spans="1:3" x14ac:dyDescent="0.25">
      <c r="A5167" s="21" t="str">
        <f>IF(C5167="","",COUNTA($C$3:C5167))</f>
        <v/>
      </c>
      <c r="B5167" s="35" t="str">
        <f t="shared" si="96"/>
        <v/>
      </c>
      <c r="C5167" s="15"/>
    </row>
    <row r="5168" spans="1:3" x14ac:dyDescent="0.25">
      <c r="A5168" s="21" t="str">
        <f>IF(C5168="","",COUNTA($C$3:C5168))</f>
        <v/>
      </c>
      <c r="B5168" s="35" t="str">
        <f t="shared" si="96"/>
        <v/>
      </c>
      <c r="C5168" s="15"/>
    </row>
    <row r="5169" spans="1:3" x14ac:dyDescent="0.25">
      <c r="A5169" s="21" t="str">
        <f>IF(C5169="","",COUNTA($C$3:C5169))</f>
        <v/>
      </c>
      <c r="B5169" s="35" t="str">
        <f t="shared" si="96"/>
        <v/>
      </c>
      <c r="C5169" s="15"/>
    </row>
    <row r="5170" spans="1:3" x14ac:dyDescent="0.25">
      <c r="A5170" s="21" t="str">
        <f>IF(C5170="","",COUNTA($C$3:C5170))</f>
        <v/>
      </c>
      <c r="B5170" s="35" t="str">
        <f t="shared" si="96"/>
        <v/>
      </c>
      <c r="C5170" s="15"/>
    </row>
    <row r="5171" spans="1:3" x14ac:dyDescent="0.25">
      <c r="A5171" s="21" t="str">
        <f>IF(C5171="","",COUNTA($C$3:C5171))</f>
        <v/>
      </c>
      <c r="B5171" s="35" t="str">
        <f t="shared" si="96"/>
        <v/>
      </c>
      <c r="C5171" s="15"/>
    </row>
    <row r="5172" spans="1:3" x14ac:dyDescent="0.25">
      <c r="A5172" s="21" t="str">
        <f>IF(C5172="","",COUNTA($C$3:C5172))</f>
        <v/>
      </c>
      <c r="B5172" s="35" t="str">
        <f t="shared" si="96"/>
        <v/>
      </c>
      <c r="C5172" s="15"/>
    </row>
    <row r="5173" spans="1:3" x14ac:dyDescent="0.25">
      <c r="A5173" s="21" t="str">
        <f>IF(C5173="","",COUNTA($C$3:C5173))</f>
        <v/>
      </c>
      <c r="B5173" s="35" t="str">
        <f t="shared" si="96"/>
        <v/>
      </c>
      <c r="C5173" s="15"/>
    </row>
    <row r="5174" spans="1:3" x14ac:dyDescent="0.25">
      <c r="A5174" s="21" t="str">
        <f>IF(C5174="","",COUNTA($C$3:C5174))</f>
        <v/>
      </c>
      <c r="B5174" s="35" t="str">
        <f t="shared" si="96"/>
        <v/>
      </c>
      <c r="C5174" s="15"/>
    </row>
    <row r="5175" spans="1:3" x14ac:dyDescent="0.25">
      <c r="A5175" s="21" t="str">
        <f>IF(C5175="","",COUNTA($C$3:C5175))</f>
        <v/>
      </c>
      <c r="B5175" s="35" t="str">
        <f t="shared" si="96"/>
        <v/>
      </c>
      <c r="C5175" s="15"/>
    </row>
    <row r="5176" spans="1:3" x14ac:dyDescent="0.25">
      <c r="A5176" s="21" t="str">
        <f>IF(C5176="","",COUNTA($C$3:C5176))</f>
        <v/>
      </c>
      <c r="B5176" s="35" t="str">
        <f t="shared" si="96"/>
        <v/>
      </c>
      <c r="C5176" s="15"/>
    </row>
    <row r="5177" spans="1:3" x14ac:dyDescent="0.25">
      <c r="A5177" s="21" t="str">
        <f>IF(C5177="","",COUNTA($C$3:C5177))</f>
        <v/>
      </c>
      <c r="B5177" s="35" t="str">
        <f t="shared" si="96"/>
        <v/>
      </c>
      <c r="C5177" s="15"/>
    </row>
    <row r="5178" spans="1:3" x14ac:dyDescent="0.25">
      <c r="A5178" s="21" t="str">
        <f>IF(C5178="","",COUNTA($C$3:C5178))</f>
        <v/>
      </c>
      <c r="B5178" s="35" t="str">
        <f t="shared" si="96"/>
        <v/>
      </c>
      <c r="C5178" s="15"/>
    </row>
    <row r="5179" spans="1:3" x14ac:dyDescent="0.25">
      <c r="A5179" s="21" t="str">
        <f>IF(C5179="","",COUNTA($C$3:C5179))</f>
        <v/>
      </c>
      <c r="B5179" s="35" t="str">
        <f t="shared" si="96"/>
        <v/>
      </c>
      <c r="C5179" s="15"/>
    </row>
    <row r="5180" spans="1:3" x14ac:dyDescent="0.25">
      <c r="A5180" s="21" t="str">
        <f>IF(C5180="","",COUNTA($C$3:C5180))</f>
        <v/>
      </c>
      <c r="B5180" s="35" t="str">
        <f t="shared" si="96"/>
        <v/>
      </c>
      <c r="C5180" s="15"/>
    </row>
    <row r="5181" spans="1:3" x14ac:dyDescent="0.25">
      <c r="A5181" s="21" t="str">
        <f>IF(C5181="","",COUNTA($C$3:C5181))</f>
        <v/>
      </c>
      <c r="B5181" s="35" t="str">
        <f t="shared" si="96"/>
        <v/>
      </c>
      <c r="C5181" s="15"/>
    </row>
    <row r="5182" spans="1:3" x14ac:dyDescent="0.25">
      <c r="A5182" s="21" t="str">
        <f>IF(C5182="","",COUNTA($C$3:C5182))</f>
        <v/>
      </c>
      <c r="B5182" s="35" t="str">
        <f t="shared" si="96"/>
        <v/>
      </c>
      <c r="C5182" s="15"/>
    </row>
    <row r="5183" spans="1:3" x14ac:dyDescent="0.25">
      <c r="A5183" s="21" t="str">
        <f>IF(C5183="","",COUNTA($C$3:C5183))</f>
        <v/>
      </c>
      <c r="B5183" s="35" t="str">
        <f t="shared" si="96"/>
        <v/>
      </c>
      <c r="C5183" s="15"/>
    </row>
    <row r="5184" spans="1:3" x14ac:dyDescent="0.25">
      <c r="A5184" s="21" t="str">
        <f>IF(C5184="","",COUNTA($C$3:C5184))</f>
        <v/>
      </c>
      <c r="B5184" s="35" t="str">
        <f t="shared" si="96"/>
        <v/>
      </c>
      <c r="C5184" s="15"/>
    </row>
    <row r="5185" spans="1:3" x14ac:dyDescent="0.25">
      <c r="A5185" s="21" t="str">
        <f>IF(C5185="","",COUNTA($C$3:C5185))</f>
        <v/>
      </c>
      <c r="B5185" s="35" t="str">
        <f t="shared" si="96"/>
        <v/>
      </c>
      <c r="C5185" s="15"/>
    </row>
    <row r="5186" spans="1:3" x14ac:dyDescent="0.25">
      <c r="A5186" s="21" t="str">
        <f>IF(C5186="","",COUNTA($C$3:C5186))</f>
        <v/>
      </c>
      <c r="B5186" s="35" t="str">
        <f t="shared" si="96"/>
        <v/>
      </c>
      <c r="C5186" s="15"/>
    </row>
    <row r="5187" spans="1:3" x14ac:dyDescent="0.25">
      <c r="A5187" s="21" t="str">
        <f>IF(C5187="","",COUNTA($C$3:C5187))</f>
        <v/>
      </c>
      <c r="B5187" s="35" t="str">
        <f t="shared" si="96"/>
        <v/>
      </c>
      <c r="C5187" s="15"/>
    </row>
    <row r="5188" spans="1:3" x14ac:dyDescent="0.25">
      <c r="A5188" s="21" t="str">
        <f>IF(C5188="","",COUNTA($C$3:C5188))</f>
        <v/>
      </c>
      <c r="B5188" s="35" t="str">
        <f t="shared" si="96"/>
        <v/>
      </c>
      <c r="C5188" s="15"/>
    </row>
    <row r="5189" spans="1:3" x14ac:dyDescent="0.25">
      <c r="A5189" s="21" t="str">
        <f>IF(C5189="","",COUNTA($C$3:C5189))</f>
        <v/>
      </c>
      <c r="B5189" s="35" t="str">
        <f t="shared" ref="B5189:B5252" si="97">IF(C5189="","",TEXT(C5189,"mmmm"))</f>
        <v/>
      </c>
      <c r="C5189" s="15"/>
    </row>
    <row r="5190" spans="1:3" x14ac:dyDescent="0.25">
      <c r="A5190" s="21" t="str">
        <f>IF(C5190="","",COUNTA($C$3:C5190))</f>
        <v/>
      </c>
      <c r="B5190" s="35" t="str">
        <f t="shared" si="97"/>
        <v/>
      </c>
      <c r="C5190" s="15"/>
    </row>
    <row r="5191" spans="1:3" x14ac:dyDescent="0.25">
      <c r="A5191" s="21" t="str">
        <f>IF(C5191="","",COUNTA($C$3:C5191))</f>
        <v/>
      </c>
      <c r="B5191" s="35" t="str">
        <f t="shared" si="97"/>
        <v/>
      </c>
      <c r="C5191" s="15"/>
    </row>
    <row r="5192" spans="1:3" x14ac:dyDescent="0.25">
      <c r="A5192" s="21" t="str">
        <f>IF(C5192="","",COUNTA($C$3:C5192))</f>
        <v/>
      </c>
      <c r="B5192" s="35" t="str">
        <f t="shared" si="97"/>
        <v/>
      </c>
      <c r="C5192" s="15"/>
    </row>
    <row r="5193" spans="1:3" x14ac:dyDescent="0.25">
      <c r="A5193" s="21" t="str">
        <f>IF(C5193="","",COUNTA($C$3:C5193))</f>
        <v/>
      </c>
      <c r="B5193" s="35" t="str">
        <f t="shared" si="97"/>
        <v/>
      </c>
      <c r="C5193" s="15"/>
    </row>
    <row r="5194" spans="1:3" x14ac:dyDescent="0.25">
      <c r="A5194" s="21" t="str">
        <f>IF(C5194="","",COUNTA($C$3:C5194))</f>
        <v/>
      </c>
      <c r="B5194" s="35" t="str">
        <f t="shared" si="97"/>
        <v/>
      </c>
      <c r="C5194" s="15"/>
    </row>
    <row r="5195" spans="1:3" x14ac:dyDescent="0.25">
      <c r="A5195" s="21" t="str">
        <f>IF(C5195="","",COUNTA($C$3:C5195))</f>
        <v/>
      </c>
      <c r="B5195" s="35" t="str">
        <f t="shared" si="97"/>
        <v/>
      </c>
      <c r="C5195" s="15"/>
    </row>
    <row r="5196" spans="1:3" x14ac:dyDescent="0.25">
      <c r="A5196" s="21" t="str">
        <f>IF(C5196="","",COUNTA($C$3:C5196))</f>
        <v/>
      </c>
      <c r="B5196" s="35" t="str">
        <f t="shared" si="97"/>
        <v/>
      </c>
      <c r="C5196" s="15"/>
    </row>
    <row r="5197" spans="1:3" x14ac:dyDescent="0.25">
      <c r="A5197" s="21" t="str">
        <f>IF(C5197="","",COUNTA($C$3:C5197))</f>
        <v/>
      </c>
      <c r="B5197" s="35" t="str">
        <f t="shared" si="97"/>
        <v/>
      </c>
      <c r="C5197" s="15"/>
    </row>
    <row r="5198" spans="1:3" x14ac:dyDescent="0.25">
      <c r="A5198" s="21" t="str">
        <f>IF(C5198="","",COUNTA($C$3:C5198))</f>
        <v/>
      </c>
      <c r="B5198" s="35" t="str">
        <f t="shared" si="97"/>
        <v/>
      </c>
      <c r="C5198" s="15"/>
    </row>
    <row r="5199" spans="1:3" x14ac:dyDescent="0.25">
      <c r="A5199" s="21" t="str">
        <f>IF(C5199="","",COUNTA($C$3:C5199))</f>
        <v/>
      </c>
      <c r="B5199" s="35" t="str">
        <f t="shared" si="97"/>
        <v/>
      </c>
      <c r="C5199" s="15"/>
    </row>
    <row r="5200" spans="1:3" x14ac:dyDescent="0.25">
      <c r="A5200" s="21" t="str">
        <f>IF(C5200="","",COUNTA($C$3:C5200))</f>
        <v/>
      </c>
      <c r="B5200" s="35" t="str">
        <f t="shared" si="97"/>
        <v/>
      </c>
      <c r="C5200" s="15"/>
    </row>
    <row r="5201" spans="1:3" x14ac:dyDescent="0.25">
      <c r="A5201" s="21" t="str">
        <f>IF(C5201="","",COUNTA($C$3:C5201))</f>
        <v/>
      </c>
      <c r="B5201" s="35" t="str">
        <f t="shared" si="97"/>
        <v/>
      </c>
      <c r="C5201" s="15"/>
    </row>
    <row r="5202" spans="1:3" x14ac:dyDescent="0.25">
      <c r="A5202" s="21" t="str">
        <f>IF(C5202="","",COUNTA($C$3:C5202))</f>
        <v/>
      </c>
      <c r="B5202" s="35" t="str">
        <f t="shared" si="97"/>
        <v/>
      </c>
      <c r="C5202" s="15"/>
    </row>
    <row r="5203" spans="1:3" x14ac:dyDescent="0.25">
      <c r="A5203" s="21" t="str">
        <f>IF(C5203="","",COUNTA($C$3:C5203))</f>
        <v/>
      </c>
      <c r="B5203" s="35" t="str">
        <f t="shared" si="97"/>
        <v/>
      </c>
      <c r="C5203" s="15"/>
    </row>
    <row r="5204" spans="1:3" x14ac:dyDescent="0.25">
      <c r="A5204" s="21" t="str">
        <f>IF(C5204="","",COUNTA($C$3:C5204))</f>
        <v/>
      </c>
      <c r="B5204" s="35" t="str">
        <f t="shared" si="97"/>
        <v/>
      </c>
      <c r="C5204" s="15"/>
    </row>
    <row r="5205" spans="1:3" x14ac:dyDescent="0.25">
      <c r="A5205" s="21" t="str">
        <f>IF(C5205="","",COUNTA($C$3:C5205))</f>
        <v/>
      </c>
      <c r="B5205" s="35" t="str">
        <f t="shared" si="97"/>
        <v/>
      </c>
      <c r="C5205" s="15"/>
    </row>
    <row r="5206" spans="1:3" x14ac:dyDescent="0.25">
      <c r="A5206" s="21" t="str">
        <f>IF(C5206="","",COUNTA($C$3:C5206))</f>
        <v/>
      </c>
      <c r="B5206" s="35" t="str">
        <f t="shared" si="97"/>
        <v/>
      </c>
      <c r="C5206" s="15"/>
    </row>
    <row r="5207" spans="1:3" x14ac:dyDescent="0.25">
      <c r="A5207" s="21" t="str">
        <f>IF(C5207="","",COUNTA($C$3:C5207))</f>
        <v/>
      </c>
      <c r="B5207" s="35" t="str">
        <f t="shared" si="97"/>
        <v/>
      </c>
      <c r="C5207" s="15"/>
    </row>
    <row r="5208" spans="1:3" x14ac:dyDescent="0.25">
      <c r="A5208" s="21" t="str">
        <f>IF(C5208="","",COUNTA($C$3:C5208))</f>
        <v/>
      </c>
      <c r="B5208" s="35" t="str">
        <f t="shared" si="97"/>
        <v/>
      </c>
      <c r="C5208" s="15"/>
    </row>
    <row r="5209" spans="1:3" x14ac:dyDescent="0.25">
      <c r="A5209" s="21" t="str">
        <f>IF(C5209="","",COUNTA($C$3:C5209))</f>
        <v/>
      </c>
      <c r="B5209" s="35" t="str">
        <f t="shared" si="97"/>
        <v/>
      </c>
      <c r="C5209" s="15"/>
    </row>
    <row r="5210" spans="1:3" x14ac:dyDescent="0.25">
      <c r="A5210" s="21" t="str">
        <f>IF(C5210="","",COUNTA($C$3:C5210))</f>
        <v/>
      </c>
      <c r="B5210" s="35" t="str">
        <f t="shared" si="97"/>
        <v/>
      </c>
      <c r="C5210" s="15"/>
    </row>
    <row r="5211" spans="1:3" x14ac:dyDescent="0.25">
      <c r="A5211" s="21" t="str">
        <f>IF(C5211="","",COUNTA($C$3:C5211))</f>
        <v/>
      </c>
      <c r="B5211" s="35" t="str">
        <f t="shared" si="97"/>
        <v/>
      </c>
      <c r="C5211" s="15"/>
    </row>
    <row r="5212" spans="1:3" x14ac:dyDescent="0.25">
      <c r="A5212" s="21" t="str">
        <f>IF(C5212="","",COUNTA($C$3:C5212))</f>
        <v/>
      </c>
      <c r="B5212" s="35" t="str">
        <f t="shared" si="97"/>
        <v/>
      </c>
      <c r="C5212" s="15"/>
    </row>
    <row r="5213" spans="1:3" x14ac:dyDescent="0.25">
      <c r="A5213" s="21" t="str">
        <f>IF(C5213="","",COUNTA($C$3:C5213))</f>
        <v/>
      </c>
      <c r="B5213" s="35" t="str">
        <f t="shared" si="97"/>
        <v/>
      </c>
      <c r="C5213" s="15"/>
    </row>
    <row r="5214" spans="1:3" x14ac:dyDescent="0.25">
      <c r="A5214" s="21" t="str">
        <f>IF(C5214="","",COUNTA($C$3:C5214))</f>
        <v/>
      </c>
      <c r="B5214" s="35" t="str">
        <f t="shared" si="97"/>
        <v/>
      </c>
      <c r="C5214" s="15"/>
    </row>
    <row r="5215" spans="1:3" x14ac:dyDescent="0.25">
      <c r="A5215" s="21" t="str">
        <f>IF(C5215="","",COUNTA($C$3:C5215))</f>
        <v/>
      </c>
      <c r="B5215" s="35" t="str">
        <f t="shared" si="97"/>
        <v/>
      </c>
      <c r="C5215" s="15"/>
    </row>
    <row r="5216" spans="1:3" x14ac:dyDescent="0.25">
      <c r="A5216" s="21" t="str">
        <f>IF(C5216="","",COUNTA($C$3:C5216))</f>
        <v/>
      </c>
      <c r="B5216" s="35" t="str">
        <f t="shared" si="97"/>
        <v/>
      </c>
      <c r="C5216" s="15"/>
    </row>
    <row r="5217" spans="1:3" x14ac:dyDescent="0.25">
      <c r="A5217" s="21" t="str">
        <f>IF(C5217="","",COUNTA($C$3:C5217))</f>
        <v/>
      </c>
      <c r="B5217" s="35" t="str">
        <f t="shared" si="97"/>
        <v/>
      </c>
      <c r="C5217" s="15"/>
    </row>
    <row r="5218" spans="1:3" x14ac:dyDescent="0.25">
      <c r="A5218" s="21" t="str">
        <f>IF(C5218="","",COUNTA($C$3:C5218))</f>
        <v/>
      </c>
      <c r="B5218" s="35" t="str">
        <f t="shared" si="97"/>
        <v/>
      </c>
      <c r="C5218" s="15"/>
    </row>
    <row r="5219" spans="1:3" x14ac:dyDescent="0.25">
      <c r="A5219" s="21" t="str">
        <f>IF(C5219="","",COUNTA($C$3:C5219))</f>
        <v/>
      </c>
      <c r="B5219" s="35" t="str">
        <f t="shared" si="97"/>
        <v/>
      </c>
      <c r="C5219" s="15"/>
    </row>
    <row r="5220" spans="1:3" x14ac:dyDescent="0.25">
      <c r="A5220" s="21" t="str">
        <f>IF(C5220="","",COUNTA($C$3:C5220))</f>
        <v/>
      </c>
      <c r="B5220" s="35" t="str">
        <f t="shared" si="97"/>
        <v/>
      </c>
      <c r="C5220" s="15"/>
    </row>
    <row r="5221" spans="1:3" x14ac:dyDescent="0.25">
      <c r="A5221" s="21" t="str">
        <f>IF(C5221="","",COUNTA($C$3:C5221))</f>
        <v/>
      </c>
      <c r="B5221" s="35" t="str">
        <f t="shared" si="97"/>
        <v/>
      </c>
      <c r="C5221" s="15"/>
    </row>
    <row r="5222" spans="1:3" x14ac:dyDescent="0.25">
      <c r="A5222" s="21" t="str">
        <f>IF(C5222="","",COUNTA($C$3:C5222))</f>
        <v/>
      </c>
      <c r="B5222" s="35" t="str">
        <f t="shared" si="97"/>
        <v/>
      </c>
      <c r="C5222" s="15"/>
    </row>
    <row r="5223" spans="1:3" x14ac:dyDescent="0.25">
      <c r="A5223" s="21" t="str">
        <f>IF(C5223="","",COUNTA($C$3:C5223))</f>
        <v/>
      </c>
      <c r="B5223" s="35" t="str">
        <f t="shared" si="97"/>
        <v/>
      </c>
      <c r="C5223" s="15"/>
    </row>
    <row r="5224" spans="1:3" x14ac:dyDescent="0.25">
      <c r="A5224" s="21" t="str">
        <f>IF(C5224="","",COUNTA($C$3:C5224))</f>
        <v/>
      </c>
      <c r="B5224" s="35" t="str">
        <f t="shared" si="97"/>
        <v/>
      </c>
      <c r="C5224" s="15"/>
    </row>
    <row r="5225" spans="1:3" x14ac:dyDescent="0.25">
      <c r="A5225" s="21" t="str">
        <f>IF(C5225="","",COUNTA($C$3:C5225))</f>
        <v/>
      </c>
      <c r="B5225" s="35" t="str">
        <f t="shared" si="97"/>
        <v/>
      </c>
      <c r="C5225" s="15"/>
    </row>
    <row r="5226" spans="1:3" x14ac:dyDescent="0.25">
      <c r="A5226" s="21" t="str">
        <f>IF(C5226="","",COUNTA($C$3:C5226))</f>
        <v/>
      </c>
      <c r="B5226" s="35" t="str">
        <f t="shared" si="97"/>
        <v/>
      </c>
      <c r="C5226" s="15"/>
    </row>
    <row r="5227" spans="1:3" x14ac:dyDescent="0.25">
      <c r="A5227" s="21" t="str">
        <f>IF(C5227="","",COUNTA($C$3:C5227))</f>
        <v/>
      </c>
      <c r="B5227" s="35" t="str">
        <f t="shared" si="97"/>
        <v/>
      </c>
      <c r="C5227" s="15"/>
    </row>
    <row r="5228" spans="1:3" x14ac:dyDescent="0.25">
      <c r="A5228" s="21" t="str">
        <f>IF(C5228="","",COUNTA($C$3:C5228))</f>
        <v/>
      </c>
      <c r="B5228" s="35" t="str">
        <f t="shared" si="97"/>
        <v/>
      </c>
      <c r="C5228" s="15"/>
    </row>
    <row r="5229" spans="1:3" x14ac:dyDescent="0.25">
      <c r="A5229" s="21" t="str">
        <f>IF(C5229="","",COUNTA($C$3:C5229))</f>
        <v/>
      </c>
      <c r="B5229" s="35" t="str">
        <f t="shared" si="97"/>
        <v/>
      </c>
      <c r="C5229" s="15"/>
    </row>
    <row r="5230" spans="1:3" x14ac:dyDescent="0.25">
      <c r="A5230" s="21" t="str">
        <f>IF(C5230="","",COUNTA($C$3:C5230))</f>
        <v/>
      </c>
      <c r="B5230" s="35" t="str">
        <f t="shared" si="97"/>
        <v/>
      </c>
      <c r="C5230" s="15"/>
    </row>
    <row r="5231" spans="1:3" x14ac:dyDescent="0.25">
      <c r="A5231" s="21" t="str">
        <f>IF(C5231="","",COUNTA($C$3:C5231))</f>
        <v/>
      </c>
      <c r="B5231" s="35" t="str">
        <f t="shared" si="97"/>
        <v/>
      </c>
      <c r="C5231" s="15"/>
    </row>
    <row r="5232" spans="1:3" x14ac:dyDescent="0.25">
      <c r="A5232" s="21" t="str">
        <f>IF(C5232="","",COUNTA($C$3:C5232))</f>
        <v/>
      </c>
      <c r="B5232" s="35" t="str">
        <f t="shared" si="97"/>
        <v/>
      </c>
      <c r="C5232" s="15"/>
    </row>
    <row r="5233" spans="1:3" x14ac:dyDescent="0.25">
      <c r="A5233" s="21" t="str">
        <f>IF(C5233="","",COUNTA($C$3:C5233))</f>
        <v/>
      </c>
      <c r="B5233" s="35" t="str">
        <f t="shared" si="97"/>
        <v/>
      </c>
      <c r="C5233" s="15"/>
    </row>
    <row r="5234" spans="1:3" x14ac:dyDescent="0.25">
      <c r="A5234" s="21" t="str">
        <f>IF(C5234="","",COUNTA($C$3:C5234))</f>
        <v/>
      </c>
      <c r="B5234" s="35" t="str">
        <f t="shared" si="97"/>
        <v/>
      </c>
      <c r="C5234" s="15"/>
    </row>
    <row r="5235" spans="1:3" x14ac:dyDescent="0.25">
      <c r="A5235" s="21" t="str">
        <f>IF(C5235="","",COUNTA($C$3:C5235))</f>
        <v/>
      </c>
      <c r="B5235" s="35" t="str">
        <f t="shared" si="97"/>
        <v/>
      </c>
      <c r="C5235" s="15"/>
    </row>
    <row r="5236" spans="1:3" x14ac:dyDescent="0.25">
      <c r="A5236" s="21" t="str">
        <f>IF(C5236="","",COUNTA($C$3:C5236))</f>
        <v/>
      </c>
      <c r="B5236" s="35" t="str">
        <f t="shared" si="97"/>
        <v/>
      </c>
      <c r="C5236" s="15"/>
    </row>
    <row r="5237" spans="1:3" x14ac:dyDescent="0.25">
      <c r="A5237" s="21" t="str">
        <f>IF(C5237="","",COUNTA($C$3:C5237))</f>
        <v/>
      </c>
      <c r="B5237" s="35" t="str">
        <f t="shared" si="97"/>
        <v/>
      </c>
      <c r="C5237" s="15"/>
    </row>
    <row r="5238" spans="1:3" x14ac:dyDescent="0.25">
      <c r="A5238" s="21" t="str">
        <f>IF(C5238="","",COUNTA($C$3:C5238))</f>
        <v/>
      </c>
      <c r="B5238" s="35" t="str">
        <f t="shared" si="97"/>
        <v/>
      </c>
      <c r="C5238" s="15"/>
    </row>
    <row r="5239" spans="1:3" x14ac:dyDescent="0.25">
      <c r="A5239" s="21" t="str">
        <f>IF(C5239="","",COUNTA($C$3:C5239))</f>
        <v/>
      </c>
      <c r="B5239" s="35" t="str">
        <f t="shared" si="97"/>
        <v/>
      </c>
      <c r="C5239" s="15"/>
    </row>
    <row r="5240" spans="1:3" x14ac:dyDescent="0.25">
      <c r="A5240" s="21" t="str">
        <f>IF(C5240="","",COUNTA($C$3:C5240))</f>
        <v/>
      </c>
      <c r="B5240" s="35" t="str">
        <f t="shared" si="97"/>
        <v/>
      </c>
      <c r="C5240" s="15"/>
    </row>
    <row r="5241" spans="1:3" x14ac:dyDescent="0.25">
      <c r="A5241" s="21" t="str">
        <f>IF(C5241="","",COUNTA($C$3:C5241))</f>
        <v/>
      </c>
      <c r="B5241" s="35" t="str">
        <f t="shared" si="97"/>
        <v/>
      </c>
      <c r="C5241" s="15"/>
    </row>
    <row r="5242" spans="1:3" x14ac:dyDescent="0.25">
      <c r="A5242" s="21" t="str">
        <f>IF(C5242="","",COUNTA($C$3:C5242))</f>
        <v/>
      </c>
      <c r="B5242" s="35" t="str">
        <f t="shared" si="97"/>
        <v/>
      </c>
      <c r="C5242" s="15"/>
    </row>
    <row r="5243" spans="1:3" x14ac:dyDescent="0.25">
      <c r="A5243" s="21" t="str">
        <f>IF(C5243="","",COUNTA($C$3:C5243))</f>
        <v/>
      </c>
      <c r="B5243" s="35" t="str">
        <f t="shared" si="97"/>
        <v/>
      </c>
      <c r="C5243" s="15"/>
    </row>
    <row r="5244" spans="1:3" x14ac:dyDescent="0.25">
      <c r="A5244" s="21" t="str">
        <f>IF(C5244="","",COUNTA($C$3:C5244))</f>
        <v/>
      </c>
      <c r="B5244" s="35" t="str">
        <f t="shared" si="97"/>
        <v/>
      </c>
      <c r="C5244" s="15"/>
    </row>
    <row r="5245" spans="1:3" x14ac:dyDescent="0.25">
      <c r="A5245" s="21" t="str">
        <f>IF(C5245="","",COUNTA($C$3:C5245))</f>
        <v/>
      </c>
      <c r="B5245" s="35" t="str">
        <f t="shared" si="97"/>
        <v/>
      </c>
      <c r="C5245" s="15"/>
    </row>
    <row r="5246" spans="1:3" x14ac:dyDescent="0.25">
      <c r="A5246" s="21" t="str">
        <f>IF(C5246="","",COUNTA($C$3:C5246))</f>
        <v/>
      </c>
      <c r="B5246" s="35" t="str">
        <f t="shared" si="97"/>
        <v/>
      </c>
      <c r="C5246" s="15"/>
    </row>
    <row r="5247" spans="1:3" x14ac:dyDescent="0.25">
      <c r="A5247" s="21" t="str">
        <f>IF(C5247="","",COUNTA($C$3:C5247))</f>
        <v/>
      </c>
      <c r="B5247" s="35" t="str">
        <f t="shared" si="97"/>
        <v/>
      </c>
      <c r="C5247" s="15"/>
    </row>
    <row r="5248" spans="1:3" x14ac:dyDescent="0.25">
      <c r="A5248" s="21" t="str">
        <f>IF(C5248="","",COUNTA($C$3:C5248))</f>
        <v/>
      </c>
      <c r="B5248" s="35" t="str">
        <f t="shared" si="97"/>
        <v/>
      </c>
      <c r="C5248" s="15"/>
    </row>
    <row r="5249" spans="1:3" x14ac:dyDescent="0.25">
      <c r="A5249" s="21" t="str">
        <f>IF(C5249="","",COUNTA($C$3:C5249))</f>
        <v/>
      </c>
      <c r="B5249" s="35" t="str">
        <f t="shared" si="97"/>
        <v/>
      </c>
      <c r="C5249" s="15"/>
    </row>
    <row r="5250" spans="1:3" x14ac:dyDescent="0.25">
      <c r="A5250" s="21" t="str">
        <f>IF(C5250="","",COUNTA($C$3:C5250))</f>
        <v/>
      </c>
      <c r="B5250" s="35" t="str">
        <f t="shared" si="97"/>
        <v/>
      </c>
      <c r="C5250" s="15"/>
    </row>
    <row r="5251" spans="1:3" x14ac:dyDescent="0.25">
      <c r="A5251" s="21" t="str">
        <f>IF(C5251="","",COUNTA($C$3:C5251))</f>
        <v/>
      </c>
      <c r="B5251" s="35" t="str">
        <f t="shared" si="97"/>
        <v/>
      </c>
      <c r="C5251" s="15"/>
    </row>
    <row r="5252" spans="1:3" x14ac:dyDescent="0.25">
      <c r="A5252" s="21" t="str">
        <f>IF(C5252="","",COUNTA($C$3:C5252))</f>
        <v/>
      </c>
      <c r="B5252" s="35" t="str">
        <f t="shared" si="97"/>
        <v/>
      </c>
      <c r="C5252" s="15"/>
    </row>
    <row r="5253" spans="1:3" x14ac:dyDescent="0.25">
      <c r="A5253" s="21" t="str">
        <f>IF(C5253="","",COUNTA($C$3:C5253))</f>
        <v/>
      </c>
      <c r="B5253" s="35" t="str">
        <f t="shared" ref="B5253:B5316" si="98">IF(C5253="","",TEXT(C5253,"mmmm"))</f>
        <v/>
      </c>
      <c r="C5253" s="15"/>
    </row>
    <row r="5254" spans="1:3" x14ac:dyDescent="0.25">
      <c r="A5254" s="21" t="str">
        <f>IF(C5254="","",COUNTA($C$3:C5254))</f>
        <v/>
      </c>
      <c r="B5254" s="35" t="str">
        <f t="shared" si="98"/>
        <v/>
      </c>
      <c r="C5254" s="15"/>
    </row>
    <row r="5255" spans="1:3" x14ac:dyDescent="0.25">
      <c r="A5255" s="21" t="str">
        <f>IF(C5255="","",COUNTA($C$3:C5255))</f>
        <v/>
      </c>
      <c r="B5255" s="35" t="str">
        <f t="shared" si="98"/>
        <v/>
      </c>
      <c r="C5255" s="15"/>
    </row>
    <row r="5256" spans="1:3" x14ac:dyDescent="0.25">
      <c r="A5256" s="21" t="str">
        <f>IF(C5256="","",COUNTA($C$3:C5256))</f>
        <v/>
      </c>
      <c r="B5256" s="35" t="str">
        <f t="shared" si="98"/>
        <v/>
      </c>
      <c r="C5256" s="15"/>
    </row>
    <row r="5257" spans="1:3" x14ac:dyDescent="0.25">
      <c r="A5257" s="21" t="str">
        <f>IF(C5257="","",COUNTA($C$3:C5257))</f>
        <v/>
      </c>
      <c r="B5257" s="35" t="str">
        <f t="shared" si="98"/>
        <v/>
      </c>
      <c r="C5257" s="15"/>
    </row>
    <row r="5258" spans="1:3" x14ac:dyDescent="0.25">
      <c r="A5258" s="21" t="str">
        <f>IF(C5258="","",COUNTA($C$3:C5258))</f>
        <v/>
      </c>
      <c r="B5258" s="35" t="str">
        <f t="shared" si="98"/>
        <v/>
      </c>
      <c r="C5258" s="15"/>
    </row>
    <row r="5259" spans="1:3" x14ac:dyDescent="0.25">
      <c r="A5259" s="21" t="str">
        <f>IF(C5259="","",COUNTA($C$3:C5259))</f>
        <v/>
      </c>
      <c r="B5259" s="35" t="str">
        <f t="shared" si="98"/>
        <v/>
      </c>
      <c r="C5259" s="15"/>
    </row>
    <row r="5260" spans="1:3" x14ac:dyDescent="0.25">
      <c r="A5260" s="21" t="str">
        <f>IF(C5260="","",COUNTA($C$3:C5260))</f>
        <v/>
      </c>
      <c r="B5260" s="35" t="str">
        <f t="shared" si="98"/>
        <v/>
      </c>
      <c r="C5260" s="15"/>
    </row>
    <row r="5261" spans="1:3" x14ac:dyDescent="0.25">
      <c r="A5261" s="21" t="str">
        <f>IF(C5261="","",COUNTA($C$3:C5261))</f>
        <v/>
      </c>
      <c r="B5261" s="35" t="str">
        <f t="shared" si="98"/>
        <v/>
      </c>
      <c r="C5261" s="15"/>
    </row>
    <row r="5262" spans="1:3" x14ac:dyDescent="0.25">
      <c r="A5262" s="21" t="str">
        <f>IF(C5262="","",COUNTA($C$3:C5262))</f>
        <v/>
      </c>
      <c r="B5262" s="35" t="str">
        <f t="shared" si="98"/>
        <v/>
      </c>
      <c r="C5262" s="15"/>
    </row>
    <row r="5263" spans="1:3" x14ac:dyDescent="0.25">
      <c r="A5263" s="21" t="str">
        <f>IF(C5263="","",COUNTA($C$3:C5263))</f>
        <v/>
      </c>
      <c r="B5263" s="35" t="str">
        <f t="shared" si="98"/>
        <v/>
      </c>
      <c r="C5263" s="15"/>
    </row>
    <row r="5264" spans="1:3" x14ac:dyDescent="0.25">
      <c r="A5264" s="21" t="str">
        <f>IF(C5264="","",COUNTA($C$3:C5264))</f>
        <v/>
      </c>
      <c r="B5264" s="35" t="str">
        <f t="shared" si="98"/>
        <v/>
      </c>
      <c r="C5264" s="15"/>
    </row>
    <row r="5265" spans="1:3" x14ac:dyDescent="0.25">
      <c r="A5265" s="21" t="str">
        <f>IF(C5265="","",COUNTA($C$3:C5265))</f>
        <v/>
      </c>
      <c r="B5265" s="35" t="str">
        <f t="shared" si="98"/>
        <v/>
      </c>
      <c r="C5265" s="15"/>
    </row>
    <row r="5266" spans="1:3" x14ac:dyDescent="0.25">
      <c r="A5266" s="21" t="str">
        <f>IF(C5266="","",COUNTA($C$3:C5266))</f>
        <v/>
      </c>
      <c r="B5266" s="35" t="str">
        <f t="shared" si="98"/>
        <v/>
      </c>
      <c r="C5266" s="15"/>
    </row>
    <row r="5267" spans="1:3" x14ac:dyDescent="0.25">
      <c r="A5267" s="21" t="str">
        <f>IF(C5267="","",COUNTA($C$3:C5267))</f>
        <v/>
      </c>
      <c r="B5267" s="35" t="str">
        <f t="shared" si="98"/>
        <v/>
      </c>
      <c r="C5267" s="15"/>
    </row>
    <row r="5268" spans="1:3" x14ac:dyDescent="0.25">
      <c r="A5268" s="21" t="str">
        <f>IF(C5268="","",COUNTA($C$3:C5268))</f>
        <v/>
      </c>
      <c r="B5268" s="35" t="str">
        <f t="shared" si="98"/>
        <v/>
      </c>
      <c r="C5268" s="15"/>
    </row>
    <row r="5269" spans="1:3" x14ac:dyDescent="0.25">
      <c r="A5269" s="21" t="str">
        <f>IF(C5269="","",COUNTA($C$3:C5269))</f>
        <v/>
      </c>
      <c r="B5269" s="35" t="str">
        <f t="shared" si="98"/>
        <v/>
      </c>
      <c r="C5269" s="15"/>
    </row>
    <row r="5270" spans="1:3" x14ac:dyDescent="0.25">
      <c r="A5270" s="21" t="str">
        <f>IF(C5270="","",COUNTA($C$3:C5270))</f>
        <v/>
      </c>
      <c r="B5270" s="35" t="str">
        <f t="shared" si="98"/>
        <v/>
      </c>
      <c r="C5270" s="15"/>
    </row>
    <row r="5271" spans="1:3" x14ac:dyDescent="0.25">
      <c r="A5271" s="21" t="str">
        <f>IF(C5271="","",COUNTA($C$3:C5271))</f>
        <v/>
      </c>
      <c r="B5271" s="35" t="str">
        <f t="shared" si="98"/>
        <v/>
      </c>
      <c r="C5271" s="15"/>
    </row>
    <row r="5272" spans="1:3" x14ac:dyDescent="0.25">
      <c r="A5272" s="21" t="str">
        <f>IF(C5272="","",COUNTA($C$3:C5272))</f>
        <v/>
      </c>
      <c r="B5272" s="35" t="str">
        <f t="shared" si="98"/>
        <v/>
      </c>
      <c r="C5272" s="15"/>
    </row>
    <row r="5273" spans="1:3" x14ac:dyDescent="0.25">
      <c r="A5273" s="21" t="str">
        <f>IF(C5273="","",COUNTA($C$3:C5273))</f>
        <v/>
      </c>
      <c r="B5273" s="35" t="str">
        <f t="shared" si="98"/>
        <v/>
      </c>
      <c r="C5273" s="15"/>
    </row>
    <row r="5274" spans="1:3" x14ac:dyDescent="0.25">
      <c r="A5274" s="21" t="str">
        <f>IF(C5274="","",COUNTA($C$3:C5274))</f>
        <v/>
      </c>
      <c r="B5274" s="35" t="str">
        <f t="shared" si="98"/>
        <v/>
      </c>
      <c r="C5274" s="15"/>
    </row>
    <row r="5275" spans="1:3" x14ac:dyDescent="0.25">
      <c r="A5275" s="21" t="str">
        <f>IF(C5275="","",COUNTA($C$3:C5275))</f>
        <v/>
      </c>
      <c r="B5275" s="35" t="str">
        <f t="shared" si="98"/>
        <v/>
      </c>
      <c r="C5275" s="15"/>
    </row>
    <row r="5276" spans="1:3" x14ac:dyDescent="0.25">
      <c r="A5276" s="21" t="str">
        <f>IF(C5276="","",COUNTA($C$3:C5276))</f>
        <v/>
      </c>
      <c r="B5276" s="35" t="str">
        <f t="shared" si="98"/>
        <v/>
      </c>
      <c r="C5276" s="15"/>
    </row>
    <row r="5277" spans="1:3" x14ac:dyDescent="0.25">
      <c r="A5277" s="21" t="str">
        <f>IF(C5277="","",COUNTA($C$3:C5277))</f>
        <v/>
      </c>
      <c r="B5277" s="35" t="str">
        <f t="shared" si="98"/>
        <v/>
      </c>
      <c r="C5277" s="15"/>
    </row>
    <row r="5278" spans="1:3" x14ac:dyDescent="0.25">
      <c r="A5278" s="21" t="str">
        <f>IF(C5278="","",COUNTA($C$3:C5278))</f>
        <v/>
      </c>
      <c r="B5278" s="35" t="str">
        <f t="shared" si="98"/>
        <v/>
      </c>
      <c r="C5278" s="15"/>
    </row>
    <row r="5279" spans="1:3" x14ac:dyDescent="0.25">
      <c r="A5279" s="21" t="str">
        <f>IF(C5279="","",COUNTA($C$3:C5279))</f>
        <v/>
      </c>
      <c r="B5279" s="35" t="str">
        <f t="shared" si="98"/>
        <v/>
      </c>
      <c r="C5279" s="15"/>
    </row>
    <row r="5280" spans="1:3" x14ac:dyDescent="0.25">
      <c r="A5280" s="21" t="str">
        <f>IF(C5280="","",COUNTA($C$3:C5280))</f>
        <v/>
      </c>
      <c r="B5280" s="35" t="str">
        <f t="shared" si="98"/>
        <v/>
      </c>
      <c r="C5280" s="15"/>
    </row>
    <row r="5281" spans="1:3" x14ac:dyDescent="0.25">
      <c r="A5281" s="21" t="str">
        <f>IF(C5281="","",COUNTA($C$3:C5281))</f>
        <v/>
      </c>
      <c r="B5281" s="35" t="str">
        <f t="shared" si="98"/>
        <v/>
      </c>
      <c r="C5281" s="15"/>
    </row>
    <row r="5282" spans="1:3" x14ac:dyDescent="0.25">
      <c r="A5282" s="21" t="str">
        <f>IF(C5282="","",COUNTA($C$3:C5282))</f>
        <v/>
      </c>
      <c r="B5282" s="35" t="str">
        <f t="shared" si="98"/>
        <v/>
      </c>
      <c r="C5282" s="15"/>
    </row>
    <row r="5283" spans="1:3" x14ac:dyDescent="0.25">
      <c r="A5283" s="21" t="str">
        <f>IF(C5283="","",COUNTA($C$3:C5283))</f>
        <v/>
      </c>
      <c r="B5283" s="35" t="str">
        <f t="shared" si="98"/>
        <v/>
      </c>
      <c r="C5283" s="15"/>
    </row>
    <row r="5284" spans="1:3" x14ac:dyDescent="0.25">
      <c r="A5284" s="21" t="str">
        <f>IF(C5284="","",COUNTA($C$3:C5284))</f>
        <v/>
      </c>
      <c r="B5284" s="35" t="str">
        <f t="shared" si="98"/>
        <v/>
      </c>
      <c r="C5284" s="15"/>
    </row>
    <row r="5285" spans="1:3" x14ac:dyDescent="0.25">
      <c r="A5285" s="21" t="str">
        <f>IF(C5285="","",COUNTA($C$3:C5285))</f>
        <v/>
      </c>
      <c r="B5285" s="35" t="str">
        <f t="shared" si="98"/>
        <v/>
      </c>
      <c r="C5285" s="15"/>
    </row>
    <row r="5286" spans="1:3" x14ac:dyDescent="0.25">
      <c r="A5286" s="21" t="str">
        <f>IF(C5286="","",COUNTA($C$3:C5286))</f>
        <v/>
      </c>
      <c r="B5286" s="35" t="str">
        <f t="shared" si="98"/>
        <v/>
      </c>
      <c r="C5286" s="15"/>
    </row>
    <row r="5287" spans="1:3" x14ac:dyDescent="0.25">
      <c r="A5287" s="21" t="str">
        <f>IF(C5287="","",COUNTA($C$3:C5287))</f>
        <v/>
      </c>
      <c r="B5287" s="35" t="str">
        <f t="shared" si="98"/>
        <v/>
      </c>
      <c r="C5287" s="15"/>
    </row>
    <row r="5288" spans="1:3" x14ac:dyDescent="0.25">
      <c r="A5288" s="21" t="str">
        <f>IF(C5288="","",COUNTA($C$3:C5288))</f>
        <v/>
      </c>
      <c r="B5288" s="35" t="str">
        <f t="shared" si="98"/>
        <v/>
      </c>
      <c r="C5288" s="15"/>
    </row>
    <row r="5289" spans="1:3" x14ac:dyDescent="0.25">
      <c r="A5289" s="21" t="str">
        <f>IF(C5289="","",COUNTA($C$3:C5289))</f>
        <v/>
      </c>
      <c r="B5289" s="35" t="str">
        <f t="shared" si="98"/>
        <v/>
      </c>
      <c r="C5289" s="15"/>
    </row>
    <row r="5290" spans="1:3" x14ac:dyDescent="0.25">
      <c r="A5290" s="21" t="str">
        <f>IF(C5290="","",COUNTA($C$3:C5290))</f>
        <v/>
      </c>
      <c r="B5290" s="35" t="str">
        <f t="shared" si="98"/>
        <v/>
      </c>
      <c r="C5290" s="15"/>
    </row>
    <row r="5291" spans="1:3" x14ac:dyDescent="0.25">
      <c r="A5291" s="21" t="str">
        <f>IF(C5291="","",COUNTA($C$3:C5291))</f>
        <v/>
      </c>
      <c r="B5291" s="35" t="str">
        <f t="shared" si="98"/>
        <v/>
      </c>
      <c r="C5291" s="15"/>
    </row>
    <row r="5292" spans="1:3" x14ac:dyDescent="0.25">
      <c r="A5292" s="21" t="str">
        <f>IF(C5292="","",COUNTA($C$3:C5292))</f>
        <v/>
      </c>
      <c r="B5292" s="35" t="str">
        <f t="shared" si="98"/>
        <v/>
      </c>
      <c r="C5292" s="15"/>
    </row>
    <row r="5293" spans="1:3" x14ac:dyDescent="0.25">
      <c r="A5293" s="21" t="str">
        <f>IF(C5293="","",COUNTA($C$3:C5293))</f>
        <v/>
      </c>
      <c r="B5293" s="35" t="str">
        <f t="shared" si="98"/>
        <v/>
      </c>
      <c r="C5293" s="15"/>
    </row>
    <row r="5294" spans="1:3" x14ac:dyDescent="0.25">
      <c r="A5294" s="21" t="str">
        <f>IF(C5294="","",COUNTA($C$3:C5294))</f>
        <v/>
      </c>
      <c r="B5294" s="35" t="str">
        <f t="shared" si="98"/>
        <v/>
      </c>
      <c r="C5294" s="15"/>
    </row>
    <row r="5295" spans="1:3" x14ac:dyDescent="0.25">
      <c r="A5295" s="21" t="str">
        <f>IF(C5295="","",COUNTA($C$3:C5295))</f>
        <v/>
      </c>
      <c r="B5295" s="35" t="str">
        <f t="shared" si="98"/>
        <v/>
      </c>
      <c r="C5295" s="15"/>
    </row>
    <row r="5296" spans="1:3" x14ac:dyDescent="0.25">
      <c r="A5296" s="21" t="str">
        <f>IF(C5296="","",COUNTA($C$3:C5296))</f>
        <v/>
      </c>
      <c r="B5296" s="35" t="str">
        <f t="shared" si="98"/>
        <v/>
      </c>
      <c r="C5296" s="15"/>
    </row>
    <row r="5297" spans="1:3" x14ac:dyDescent="0.25">
      <c r="A5297" s="21" t="str">
        <f>IF(C5297="","",COUNTA($C$3:C5297))</f>
        <v/>
      </c>
      <c r="B5297" s="35" t="str">
        <f t="shared" si="98"/>
        <v/>
      </c>
      <c r="C5297" s="15"/>
    </row>
    <row r="5298" spans="1:3" x14ac:dyDescent="0.25">
      <c r="A5298" s="21" t="str">
        <f>IF(C5298="","",COUNTA($C$3:C5298))</f>
        <v/>
      </c>
      <c r="B5298" s="35" t="str">
        <f t="shared" si="98"/>
        <v/>
      </c>
      <c r="C5298" s="15"/>
    </row>
    <row r="5299" spans="1:3" x14ac:dyDescent="0.25">
      <c r="A5299" s="21" t="str">
        <f>IF(C5299="","",COUNTA($C$3:C5299))</f>
        <v/>
      </c>
      <c r="B5299" s="35" t="str">
        <f t="shared" si="98"/>
        <v/>
      </c>
      <c r="C5299" s="15"/>
    </row>
    <row r="5300" spans="1:3" x14ac:dyDescent="0.25">
      <c r="A5300" s="21" t="str">
        <f>IF(C5300="","",COUNTA($C$3:C5300))</f>
        <v/>
      </c>
      <c r="B5300" s="35" t="str">
        <f t="shared" si="98"/>
        <v/>
      </c>
      <c r="C5300" s="15"/>
    </row>
    <row r="5301" spans="1:3" x14ac:dyDescent="0.25">
      <c r="A5301" s="21" t="str">
        <f>IF(C5301="","",COUNTA($C$3:C5301))</f>
        <v/>
      </c>
      <c r="B5301" s="35" t="str">
        <f t="shared" si="98"/>
        <v/>
      </c>
      <c r="C5301" s="15"/>
    </row>
    <row r="5302" spans="1:3" x14ac:dyDescent="0.25">
      <c r="A5302" s="21" t="str">
        <f>IF(C5302="","",COUNTA($C$3:C5302))</f>
        <v/>
      </c>
      <c r="B5302" s="35" t="str">
        <f t="shared" si="98"/>
        <v/>
      </c>
      <c r="C5302" s="15"/>
    </row>
    <row r="5303" spans="1:3" x14ac:dyDescent="0.25">
      <c r="A5303" s="21" t="str">
        <f>IF(C5303="","",COUNTA($C$3:C5303))</f>
        <v/>
      </c>
      <c r="B5303" s="35" t="str">
        <f t="shared" si="98"/>
        <v/>
      </c>
      <c r="C5303" s="15"/>
    </row>
    <row r="5304" spans="1:3" x14ac:dyDescent="0.25">
      <c r="A5304" s="21" t="str">
        <f>IF(C5304="","",COUNTA($C$3:C5304))</f>
        <v/>
      </c>
      <c r="B5304" s="35" t="str">
        <f t="shared" si="98"/>
        <v/>
      </c>
      <c r="C5304" s="15"/>
    </row>
    <row r="5305" spans="1:3" x14ac:dyDescent="0.25">
      <c r="A5305" s="21" t="str">
        <f>IF(C5305="","",COUNTA($C$3:C5305))</f>
        <v/>
      </c>
      <c r="B5305" s="35" t="str">
        <f t="shared" si="98"/>
        <v/>
      </c>
      <c r="C5305" s="15"/>
    </row>
    <row r="5306" spans="1:3" x14ac:dyDescent="0.25">
      <c r="A5306" s="21" t="str">
        <f>IF(C5306="","",COUNTA($C$3:C5306))</f>
        <v/>
      </c>
      <c r="B5306" s="35" t="str">
        <f t="shared" si="98"/>
        <v/>
      </c>
      <c r="C5306" s="15"/>
    </row>
    <row r="5307" spans="1:3" x14ac:dyDescent="0.25">
      <c r="A5307" s="21" t="str">
        <f>IF(C5307="","",COUNTA($C$3:C5307))</f>
        <v/>
      </c>
      <c r="B5307" s="35" t="str">
        <f t="shared" si="98"/>
        <v/>
      </c>
      <c r="C5307" s="15"/>
    </row>
    <row r="5308" spans="1:3" x14ac:dyDescent="0.25">
      <c r="A5308" s="21" t="str">
        <f>IF(C5308="","",COUNTA($C$3:C5308))</f>
        <v/>
      </c>
      <c r="B5308" s="35" t="str">
        <f t="shared" si="98"/>
        <v/>
      </c>
      <c r="C5308" s="15"/>
    </row>
    <row r="5309" spans="1:3" x14ac:dyDescent="0.25">
      <c r="A5309" s="21" t="str">
        <f>IF(C5309="","",COUNTA($C$3:C5309))</f>
        <v/>
      </c>
      <c r="B5309" s="35" t="str">
        <f t="shared" si="98"/>
        <v/>
      </c>
      <c r="C5309" s="15"/>
    </row>
    <row r="5310" spans="1:3" x14ac:dyDescent="0.25">
      <c r="A5310" s="21" t="str">
        <f>IF(C5310="","",COUNTA($C$3:C5310))</f>
        <v/>
      </c>
      <c r="B5310" s="35" t="str">
        <f t="shared" si="98"/>
        <v/>
      </c>
      <c r="C5310" s="15"/>
    </row>
    <row r="5311" spans="1:3" x14ac:dyDescent="0.25">
      <c r="A5311" s="21" t="str">
        <f>IF(C5311="","",COUNTA($C$3:C5311))</f>
        <v/>
      </c>
      <c r="B5311" s="35" t="str">
        <f t="shared" si="98"/>
        <v/>
      </c>
      <c r="C5311" s="15"/>
    </row>
    <row r="5312" spans="1:3" x14ac:dyDescent="0.25">
      <c r="A5312" s="21" t="str">
        <f>IF(C5312="","",COUNTA($C$3:C5312))</f>
        <v/>
      </c>
      <c r="B5312" s="35" t="str">
        <f t="shared" si="98"/>
        <v/>
      </c>
      <c r="C5312" s="15"/>
    </row>
    <row r="5313" spans="1:3" x14ac:dyDescent="0.25">
      <c r="A5313" s="21" t="str">
        <f>IF(C5313="","",COUNTA($C$3:C5313))</f>
        <v/>
      </c>
      <c r="B5313" s="35" t="str">
        <f t="shared" si="98"/>
        <v/>
      </c>
      <c r="C5313" s="15"/>
    </row>
    <row r="5314" spans="1:3" x14ac:dyDescent="0.25">
      <c r="A5314" s="21" t="str">
        <f>IF(C5314="","",COUNTA($C$3:C5314))</f>
        <v/>
      </c>
      <c r="B5314" s="35" t="str">
        <f t="shared" si="98"/>
        <v/>
      </c>
      <c r="C5314" s="15"/>
    </row>
    <row r="5315" spans="1:3" x14ac:dyDescent="0.25">
      <c r="A5315" s="21" t="str">
        <f>IF(C5315="","",COUNTA($C$3:C5315))</f>
        <v/>
      </c>
      <c r="B5315" s="35" t="str">
        <f t="shared" si="98"/>
        <v/>
      </c>
      <c r="C5315" s="15"/>
    </row>
    <row r="5316" spans="1:3" x14ac:dyDescent="0.25">
      <c r="A5316" s="21" t="str">
        <f>IF(C5316="","",COUNTA($C$3:C5316))</f>
        <v/>
      </c>
      <c r="B5316" s="35" t="str">
        <f t="shared" si="98"/>
        <v/>
      </c>
      <c r="C5316" s="15"/>
    </row>
    <row r="5317" spans="1:3" x14ac:dyDescent="0.25">
      <c r="A5317" s="21" t="str">
        <f>IF(C5317="","",COUNTA($C$3:C5317))</f>
        <v/>
      </c>
      <c r="B5317" s="35" t="str">
        <f t="shared" ref="B5317:B5380" si="99">IF(C5317="","",TEXT(C5317,"mmmm"))</f>
        <v/>
      </c>
      <c r="C5317" s="15"/>
    </row>
    <row r="5318" spans="1:3" x14ac:dyDescent="0.25">
      <c r="A5318" s="21" t="str">
        <f>IF(C5318="","",COUNTA($C$3:C5318))</f>
        <v/>
      </c>
      <c r="B5318" s="35" t="str">
        <f t="shared" si="99"/>
        <v/>
      </c>
      <c r="C5318" s="15"/>
    </row>
    <row r="5319" spans="1:3" x14ac:dyDescent="0.25">
      <c r="A5319" s="21" t="str">
        <f>IF(C5319="","",COUNTA($C$3:C5319))</f>
        <v/>
      </c>
      <c r="B5319" s="35" t="str">
        <f t="shared" si="99"/>
        <v/>
      </c>
      <c r="C5319" s="15"/>
    </row>
    <row r="5320" spans="1:3" x14ac:dyDescent="0.25">
      <c r="A5320" s="21" t="str">
        <f>IF(C5320="","",COUNTA($C$3:C5320))</f>
        <v/>
      </c>
      <c r="B5320" s="35" t="str">
        <f t="shared" si="99"/>
        <v/>
      </c>
      <c r="C5320" s="15"/>
    </row>
    <row r="5321" spans="1:3" x14ac:dyDescent="0.25">
      <c r="A5321" s="21" t="str">
        <f>IF(C5321="","",COUNTA($C$3:C5321))</f>
        <v/>
      </c>
      <c r="B5321" s="35" t="str">
        <f t="shared" si="99"/>
        <v/>
      </c>
      <c r="C5321" s="15"/>
    </row>
    <row r="5322" spans="1:3" x14ac:dyDescent="0.25">
      <c r="A5322" s="21" t="str">
        <f>IF(C5322="","",COUNTA($C$3:C5322))</f>
        <v/>
      </c>
      <c r="B5322" s="35" t="str">
        <f t="shared" si="99"/>
        <v/>
      </c>
      <c r="C5322" s="15"/>
    </row>
    <row r="5323" spans="1:3" x14ac:dyDescent="0.25">
      <c r="A5323" s="21" t="str">
        <f>IF(C5323="","",COUNTA($C$3:C5323))</f>
        <v/>
      </c>
      <c r="B5323" s="35" t="str">
        <f t="shared" si="99"/>
        <v/>
      </c>
      <c r="C5323" s="15"/>
    </row>
    <row r="5324" spans="1:3" x14ac:dyDescent="0.25">
      <c r="A5324" s="21" t="str">
        <f>IF(C5324="","",COUNTA($C$3:C5324))</f>
        <v/>
      </c>
      <c r="B5324" s="35" t="str">
        <f t="shared" si="99"/>
        <v/>
      </c>
      <c r="C5324" s="15"/>
    </row>
    <row r="5325" spans="1:3" x14ac:dyDescent="0.25">
      <c r="A5325" s="21" t="str">
        <f>IF(C5325="","",COUNTA($C$3:C5325))</f>
        <v/>
      </c>
      <c r="B5325" s="35" t="str">
        <f t="shared" si="99"/>
        <v/>
      </c>
      <c r="C5325" s="15"/>
    </row>
    <row r="5326" spans="1:3" x14ac:dyDescent="0.25">
      <c r="A5326" s="21" t="str">
        <f>IF(C5326="","",COUNTA($C$3:C5326))</f>
        <v/>
      </c>
      <c r="B5326" s="35" t="str">
        <f t="shared" si="99"/>
        <v/>
      </c>
      <c r="C5326" s="15"/>
    </row>
    <row r="5327" spans="1:3" x14ac:dyDescent="0.25">
      <c r="A5327" s="21" t="str">
        <f>IF(C5327="","",COUNTA($C$3:C5327))</f>
        <v/>
      </c>
      <c r="B5327" s="35" t="str">
        <f t="shared" si="99"/>
        <v/>
      </c>
      <c r="C5327" s="15"/>
    </row>
    <row r="5328" spans="1:3" x14ac:dyDescent="0.25">
      <c r="A5328" s="21" t="str">
        <f>IF(C5328="","",COUNTA($C$3:C5328))</f>
        <v/>
      </c>
      <c r="B5328" s="35" t="str">
        <f t="shared" si="99"/>
        <v/>
      </c>
      <c r="C5328" s="15"/>
    </row>
    <row r="5329" spans="1:3" x14ac:dyDescent="0.25">
      <c r="A5329" s="21" t="str">
        <f>IF(C5329="","",COUNTA($C$3:C5329))</f>
        <v/>
      </c>
      <c r="B5329" s="35" t="str">
        <f t="shared" si="99"/>
        <v/>
      </c>
      <c r="C5329" s="15"/>
    </row>
    <row r="5330" spans="1:3" x14ac:dyDescent="0.25">
      <c r="A5330" s="21" t="str">
        <f>IF(C5330="","",COUNTA($C$3:C5330))</f>
        <v/>
      </c>
      <c r="B5330" s="35" t="str">
        <f t="shared" si="99"/>
        <v/>
      </c>
      <c r="C5330" s="15"/>
    </row>
    <row r="5331" spans="1:3" x14ac:dyDescent="0.25">
      <c r="A5331" s="21" t="str">
        <f>IF(C5331="","",COUNTA($C$3:C5331))</f>
        <v/>
      </c>
      <c r="B5331" s="35" t="str">
        <f t="shared" si="99"/>
        <v/>
      </c>
      <c r="C5331" s="15"/>
    </row>
    <row r="5332" spans="1:3" x14ac:dyDescent="0.25">
      <c r="A5332" s="21" t="str">
        <f>IF(C5332="","",COUNTA($C$3:C5332))</f>
        <v/>
      </c>
      <c r="B5332" s="35" t="str">
        <f t="shared" si="99"/>
        <v/>
      </c>
      <c r="C5332" s="15"/>
    </row>
    <row r="5333" spans="1:3" x14ac:dyDescent="0.25">
      <c r="A5333" s="21" t="str">
        <f>IF(C5333="","",COUNTA($C$3:C5333))</f>
        <v/>
      </c>
      <c r="B5333" s="35" t="str">
        <f t="shared" si="99"/>
        <v/>
      </c>
      <c r="C5333" s="15"/>
    </row>
    <row r="5334" spans="1:3" x14ac:dyDescent="0.25">
      <c r="A5334" s="21" t="str">
        <f>IF(C5334="","",COUNTA($C$3:C5334))</f>
        <v/>
      </c>
      <c r="B5334" s="35" t="str">
        <f t="shared" si="99"/>
        <v/>
      </c>
      <c r="C5334" s="15"/>
    </row>
    <row r="5335" spans="1:3" x14ac:dyDescent="0.25">
      <c r="A5335" s="21" t="str">
        <f>IF(C5335="","",COUNTA($C$3:C5335))</f>
        <v/>
      </c>
      <c r="B5335" s="35" t="str">
        <f t="shared" si="99"/>
        <v/>
      </c>
      <c r="C5335" s="15"/>
    </row>
    <row r="5336" spans="1:3" x14ac:dyDescent="0.25">
      <c r="A5336" s="21" t="str">
        <f>IF(C5336="","",COUNTA($C$3:C5336))</f>
        <v/>
      </c>
      <c r="B5336" s="35" t="str">
        <f t="shared" si="99"/>
        <v/>
      </c>
      <c r="C5336" s="15"/>
    </row>
    <row r="5337" spans="1:3" x14ac:dyDescent="0.25">
      <c r="A5337" s="21" t="str">
        <f>IF(C5337="","",COUNTA($C$3:C5337))</f>
        <v/>
      </c>
      <c r="B5337" s="35" t="str">
        <f t="shared" si="99"/>
        <v/>
      </c>
      <c r="C5337" s="15"/>
    </row>
    <row r="5338" spans="1:3" x14ac:dyDescent="0.25">
      <c r="A5338" s="21" t="str">
        <f>IF(C5338="","",COUNTA($C$3:C5338))</f>
        <v/>
      </c>
      <c r="B5338" s="35" t="str">
        <f t="shared" si="99"/>
        <v/>
      </c>
      <c r="C5338" s="15"/>
    </row>
    <row r="5339" spans="1:3" x14ac:dyDescent="0.25">
      <c r="A5339" s="21" t="str">
        <f>IF(C5339="","",COUNTA($C$3:C5339))</f>
        <v/>
      </c>
      <c r="B5339" s="35" t="str">
        <f t="shared" si="99"/>
        <v/>
      </c>
      <c r="C5339" s="15"/>
    </row>
    <row r="5340" spans="1:3" x14ac:dyDescent="0.25">
      <c r="A5340" s="21" t="str">
        <f>IF(C5340="","",COUNTA($C$3:C5340))</f>
        <v/>
      </c>
      <c r="B5340" s="35" t="str">
        <f t="shared" si="99"/>
        <v/>
      </c>
      <c r="C5340" s="15"/>
    </row>
    <row r="5341" spans="1:3" x14ac:dyDescent="0.25">
      <c r="A5341" s="21" t="str">
        <f>IF(C5341="","",COUNTA($C$3:C5341))</f>
        <v/>
      </c>
      <c r="B5341" s="35" t="str">
        <f t="shared" si="99"/>
        <v/>
      </c>
      <c r="C5341" s="15"/>
    </row>
    <row r="5342" spans="1:3" x14ac:dyDescent="0.25">
      <c r="A5342" s="21" t="str">
        <f>IF(C5342="","",COUNTA($C$3:C5342))</f>
        <v/>
      </c>
      <c r="B5342" s="35" t="str">
        <f t="shared" si="99"/>
        <v/>
      </c>
      <c r="C5342" s="15"/>
    </row>
    <row r="5343" spans="1:3" x14ac:dyDescent="0.25">
      <c r="A5343" s="21" t="str">
        <f>IF(C5343="","",COUNTA($C$3:C5343))</f>
        <v/>
      </c>
      <c r="B5343" s="35" t="str">
        <f t="shared" si="99"/>
        <v/>
      </c>
      <c r="C5343" s="15"/>
    </row>
    <row r="5344" spans="1:3" x14ac:dyDescent="0.25">
      <c r="A5344" s="21" t="str">
        <f>IF(C5344="","",COUNTA($C$3:C5344))</f>
        <v/>
      </c>
      <c r="B5344" s="35" t="str">
        <f t="shared" si="99"/>
        <v/>
      </c>
      <c r="C5344" s="15"/>
    </row>
    <row r="5345" spans="1:3" x14ac:dyDescent="0.25">
      <c r="A5345" s="21" t="str">
        <f>IF(C5345="","",COUNTA($C$3:C5345))</f>
        <v/>
      </c>
      <c r="B5345" s="35" t="str">
        <f t="shared" si="99"/>
        <v/>
      </c>
      <c r="C5345" s="15"/>
    </row>
    <row r="5346" spans="1:3" x14ac:dyDescent="0.25">
      <c r="A5346" s="21" t="str">
        <f>IF(C5346="","",COUNTA($C$3:C5346))</f>
        <v/>
      </c>
      <c r="B5346" s="35" t="str">
        <f t="shared" si="99"/>
        <v/>
      </c>
      <c r="C5346" s="15"/>
    </row>
    <row r="5347" spans="1:3" x14ac:dyDescent="0.25">
      <c r="A5347" s="21" t="str">
        <f>IF(C5347="","",COUNTA($C$3:C5347))</f>
        <v/>
      </c>
      <c r="B5347" s="35" t="str">
        <f t="shared" si="99"/>
        <v/>
      </c>
      <c r="C5347" s="15"/>
    </row>
    <row r="5348" spans="1:3" x14ac:dyDescent="0.25">
      <c r="A5348" s="21" t="str">
        <f>IF(C5348="","",COUNTA($C$3:C5348))</f>
        <v/>
      </c>
      <c r="B5348" s="35" t="str">
        <f t="shared" si="99"/>
        <v/>
      </c>
      <c r="C5348" s="15"/>
    </row>
    <row r="5349" spans="1:3" x14ac:dyDescent="0.25">
      <c r="A5349" s="21" t="str">
        <f>IF(C5349="","",COUNTA($C$3:C5349))</f>
        <v/>
      </c>
      <c r="B5349" s="35" t="str">
        <f t="shared" si="99"/>
        <v/>
      </c>
      <c r="C5349" s="15"/>
    </row>
    <row r="5350" spans="1:3" x14ac:dyDescent="0.25">
      <c r="A5350" s="21" t="str">
        <f>IF(C5350="","",COUNTA($C$3:C5350))</f>
        <v/>
      </c>
      <c r="B5350" s="35" t="str">
        <f t="shared" si="99"/>
        <v/>
      </c>
      <c r="C5350" s="15"/>
    </row>
    <row r="5351" spans="1:3" x14ac:dyDescent="0.25">
      <c r="A5351" s="21" t="str">
        <f>IF(C5351="","",COUNTA($C$3:C5351))</f>
        <v/>
      </c>
      <c r="B5351" s="35" t="str">
        <f t="shared" si="99"/>
        <v/>
      </c>
      <c r="C5351" s="15"/>
    </row>
    <row r="5352" spans="1:3" x14ac:dyDescent="0.25">
      <c r="A5352" s="21" t="str">
        <f>IF(C5352="","",COUNTA($C$3:C5352))</f>
        <v/>
      </c>
      <c r="B5352" s="35" t="str">
        <f t="shared" si="99"/>
        <v/>
      </c>
      <c r="C5352" s="15"/>
    </row>
    <row r="5353" spans="1:3" x14ac:dyDescent="0.25">
      <c r="A5353" s="21" t="str">
        <f>IF(C5353="","",COUNTA($C$3:C5353))</f>
        <v/>
      </c>
      <c r="B5353" s="35" t="str">
        <f t="shared" si="99"/>
        <v/>
      </c>
      <c r="C5353" s="15"/>
    </row>
    <row r="5354" spans="1:3" x14ac:dyDescent="0.25">
      <c r="A5354" s="21" t="str">
        <f>IF(C5354="","",COUNTA($C$3:C5354))</f>
        <v/>
      </c>
      <c r="B5354" s="35" t="str">
        <f t="shared" si="99"/>
        <v/>
      </c>
      <c r="C5354" s="15"/>
    </row>
    <row r="5355" spans="1:3" x14ac:dyDescent="0.25">
      <c r="A5355" s="21" t="str">
        <f>IF(C5355="","",COUNTA($C$3:C5355))</f>
        <v/>
      </c>
      <c r="B5355" s="35" t="str">
        <f t="shared" si="99"/>
        <v/>
      </c>
      <c r="C5355" s="15"/>
    </row>
    <row r="5356" spans="1:3" x14ac:dyDescent="0.25">
      <c r="A5356" s="21" t="str">
        <f>IF(C5356="","",COUNTA($C$3:C5356))</f>
        <v/>
      </c>
      <c r="B5356" s="35" t="str">
        <f t="shared" si="99"/>
        <v/>
      </c>
      <c r="C5356" s="15"/>
    </row>
    <row r="5357" spans="1:3" x14ac:dyDescent="0.25">
      <c r="A5357" s="21" t="str">
        <f>IF(C5357="","",COUNTA($C$3:C5357))</f>
        <v/>
      </c>
      <c r="B5357" s="35" t="str">
        <f t="shared" si="99"/>
        <v/>
      </c>
      <c r="C5357" s="15"/>
    </row>
    <row r="5358" spans="1:3" x14ac:dyDescent="0.25">
      <c r="A5358" s="21" t="str">
        <f>IF(C5358="","",COUNTA($C$3:C5358))</f>
        <v/>
      </c>
      <c r="B5358" s="35" t="str">
        <f t="shared" si="99"/>
        <v/>
      </c>
      <c r="C5358" s="15"/>
    </row>
    <row r="5359" spans="1:3" x14ac:dyDescent="0.25">
      <c r="A5359" s="21" t="str">
        <f>IF(C5359="","",COUNTA($C$3:C5359))</f>
        <v/>
      </c>
      <c r="B5359" s="35" t="str">
        <f t="shared" si="99"/>
        <v/>
      </c>
      <c r="C5359" s="15"/>
    </row>
    <row r="5360" spans="1:3" x14ac:dyDescent="0.25">
      <c r="A5360" s="21" t="str">
        <f>IF(C5360="","",COUNTA($C$3:C5360))</f>
        <v/>
      </c>
      <c r="B5360" s="35" t="str">
        <f t="shared" si="99"/>
        <v/>
      </c>
      <c r="C5360" s="15"/>
    </row>
    <row r="5361" spans="1:3" x14ac:dyDescent="0.25">
      <c r="A5361" s="21" t="str">
        <f>IF(C5361="","",COUNTA($C$3:C5361))</f>
        <v/>
      </c>
      <c r="B5361" s="35" t="str">
        <f t="shared" si="99"/>
        <v/>
      </c>
      <c r="C5361" s="15"/>
    </row>
    <row r="5362" spans="1:3" x14ac:dyDescent="0.25">
      <c r="A5362" s="21" t="str">
        <f>IF(C5362="","",COUNTA($C$3:C5362))</f>
        <v/>
      </c>
      <c r="B5362" s="35" t="str">
        <f t="shared" si="99"/>
        <v/>
      </c>
      <c r="C5362" s="15"/>
    </row>
    <row r="5363" spans="1:3" x14ac:dyDescent="0.25">
      <c r="A5363" s="21" t="str">
        <f>IF(C5363="","",COUNTA($C$3:C5363))</f>
        <v/>
      </c>
      <c r="B5363" s="35" t="str">
        <f t="shared" si="99"/>
        <v/>
      </c>
      <c r="C5363" s="15"/>
    </row>
    <row r="5364" spans="1:3" x14ac:dyDescent="0.25">
      <c r="A5364" s="21" t="str">
        <f>IF(C5364="","",COUNTA($C$3:C5364))</f>
        <v/>
      </c>
      <c r="B5364" s="35" t="str">
        <f t="shared" si="99"/>
        <v/>
      </c>
      <c r="C5364" s="15"/>
    </row>
    <row r="5365" spans="1:3" x14ac:dyDescent="0.25">
      <c r="A5365" s="21" t="str">
        <f>IF(C5365="","",COUNTA($C$3:C5365))</f>
        <v/>
      </c>
      <c r="B5365" s="35" t="str">
        <f t="shared" si="99"/>
        <v/>
      </c>
      <c r="C5365" s="15"/>
    </row>
    <row r="5366" spans="1:3" x14ac:dyDescent="0.25">
      <c r="A5366" s="21" t="str">
        <f>IF(C5366="","",COUNTA($C$3:C5366))</f>
        <v/>
      </c>
      <c r="B5366" s="35" t="str">
        <f t="shared" si="99"/>
        <v/>
      </c>
      <c r="C5366" s="15"/>
    </row>
    <row r="5367" spans="1:3" x14ac:dyDescent="0.25">
      <c r="A5367" s="21" t="str">
        <f>IF(C5367="","",COUNTA($C$3:C5367))</f>
        <v/>
      </c>
      <c r="B5367" s="35" t="str">
        <f t="shared" si="99"/>
        <v/>
      </c>
      <c r="C5367" s="15"/>
    </row>
    <row r="5368" spans="1:3" x14ac:dyDescent="0.25">
      <c r="A5368" s="21" t="str">
        <f>IF(C5368="","",COUNTA($C$3:C5368))</f>
        <v/>
      </c>
      <c r="B5368" s="35" t="str">
        <f t="shared" si="99"/>
        <v/>
      </c>
      <c r="C5368" s="15"/>
    </row>
    <row r="5369" spans="1:3" x14ac:dyDescent="0.25">
      <c r="A5369" s="21" t="str">
        <f>IF(C5369="","",COUNTA($C$3:C5369))</f>
        <v/>
      </c>
      <c r="B5369" s="35" t="str">
        <f t="shared" si="99"/>
        <v/>
      </c>
      <c r="C5369" s="15"/>
    </row>
    <row r="5370" spans="1:3" x14ac:dyDescent="0.25">
      <c r="A5370" s="21" t="str">
        <f>IF(C5370="","",COUNTA($C$3:C5370))</f>
        <v/>
      </c>
      <c r="B5370" s="35" t="str">
        <f t="shared" si="99"/>
        <v/>
      </c>
      <c r="C5370" s="15"/>
    </row>
    <row r="5371" spans="1:3" x14ac:dyDescent="0.25">
      <c r="A5371" s="21" t="str">
        <f>IF(C5371="","",COUNTA($C$3:C5371))</f>
        <v/>
      </c>
      <c r="B5371" s="35" t="str">
        <f t="shared" si="99"/>
        <v/>
      </c>
      <c r="C5371" s="15"/>
    </row>
    <row r="5372" spans="1:3" x14ac:dyDescent="0.25">
      <c r="A5372" s="21" t="str">
        <f>IF(C5372="","",COUNTA($C$3:C5372))</f>
        <v/>
      </c>
      <c r="B5372" s="35" t="str">
        <f t="shared" si="99"/>
        <v/>
      </c>
      <c r="C5372" s="15"/>
    </row>
    <row r="5373" spans="1:3" x14ac:dyDescent="0.25">
      <c r="A5373" s="21" t="str">
        <f>IF(C5373="","",COUNTA($C$3:C5373))</f>
        <v/>
      </c>
      <c r="B5373" s="35" t="str">
        <f t="shared" si="99"/>
        <v/>
      </c>
      <c r="C5373" s="15"/>
    </row>
    <row r="5374" spans="1:3" x14ac:dyDescent="0.25">
      <c r="A5374" s="21" t="str">
        <f>IF(C5374="","",COUNTA($C$3:C5374))</f>
        <v/>
      </c>
      <c r="B5374" s="35" t="str">
        <f t="shared" si="99"/>
        <v/>
      </c>
      <c r="C5374" s="15"/>
    </row>
    <row r="5375" spans="1:3" x14ac:dyDescent="0.25">
      <c r="A5375" s="21" t="str">
        <f>IF(C5375="","",COUNTA($C$3:C5375))</f>
        <v/>
      </c>
      <c r="B5375" s="35" t="str">
        <f t="shared" si="99"/>
        <v/>
      </c>
      <c r="C5375" s="15"/>
    </row>
    <row r="5376" spans="1:3" x14ac:dyDescent="0.25">
      <c r="A5376" s="21" t="str">
        <f>IF(C5376="","",COUNTA($C$3:C5376))</f>
        <v/>
      </c>
      <c r="B5376" s="35" t="str">
        <f t="shared" si="99"/>
        <v/>
      </c>
      <c r="C5376" s="15"/>
    </row>
    <row r="5377" spans="1:3" x14ac:dyDescent="0.25">
      <c r="A5377" s="21" t="str">
        <f>IF(C5377="","",COUNTA($C$3:C5377))</f>
        <v/>
      </c>
      <c r="B5377" s="35" t="str">
        <f t="shared" si="99"/>
        <v/>
      </c>
      <c r="C5377" s="15"/>
    </row>
    <row r="5378" spans="1:3" x14ac:dyDescent="0.25">
      <c r="A5378" s="21" t="str">
        <f>IF(C5378="","",COUNTA($C$3:C5378))</f>
        <v/>
      </c>
      <c r="B5378" s="35" t="str">
        <f t="shared" si="99"/>
        <v/>
      </c>
      <c r="C5378" s="15"/>
    </row>
    <row r="5379" spans="1:3" x14ac:dyDescent="0.25">
      <c r="A5379" s="21" t="str">
        <f>IF(C5379="","",COUNTA($C$3:C5379))</f>
        <v/>
      </c>
      <c r="B5379" s="35" t="str">
        <f t="shared" si="99"/>
        <v/>
      </c>
      <c r="C5379" s="15"/>
    </row>
    <row r="5380" spans="1:3" x14ac:dyDescent="0.25">
      <c r="A5380" s="21" t="str">
        <f>IF(C5380="","",COUNTA($C$3:C5380))</f>
        <v/>
      </c>
      <c r="B5380" s="35" t="str">
        <f t="shared" si="99"/>
        <v/>
      </c>
      <c r="C5380" s="15"/>
    </row>
    <row r="5381" spans="1:3" x14ac:dyDescent="0.25">
      <c r="A5381" s="21" t="str">
        <f>IF(C5381="","",COUNTA($C$3:C5381))</f>
        <v/>
      </c>
      <c r="B5381" s="35" t="str">
        <f t="shared" ref="B5381:B5444" si="100">IF(C5381="","",TEXT(C5381,"mmmm"))</f>
        <v/>
      </c>
      <c r="C5381" s="15"/>
    </row>
    <row r="5382" spans="1:3" x14ac:dyDescent="0.25">
      <c r="A5382" s="21" t="str">
        <f>IF(C5382="","",COUNTA($C$3:C5382))</f>
        <v/>
      </c>
      <c r="B5382" s="35" t="str">
        <f t="shared" si="100"/>
        <v/>
      </c>
      <c r="C5382" s="15"/>
    </row>
    <row r="5383" spans="1:3" x14ac:dyDescent="0.25">
      <c r="A5383" s="21" t="str">
        <f>IF(C5383="","",COUNTA($C$3:C5383))</f>
        <v/>
      </c>
      <c r="B5383" s="35" t="str">
        <f t="shared" si="100"/>
        <v/>
      </c>
      <c r="C5383" s="15"/>
    </row>
    <row r="5384" spans="1:3" x14ac:dyDescent="0.25">
      <c r="A5384" s="21" t="str">
        <f>IF(C5384="","",COUNTA($C$3:C5384))</f>
        <v/>
      </c>
      <c r="B5384" s="35" t="str">
        <f t="shared" si="100"/>
        <v/>
      </c>
      <c r="C5384" s="15"/>
    </row>
    <row r="5385" spans="1:3" x14ac:dyDescent="0.25">
      <c r="A5385" s="21" t="str">
        <f>IF(C5385="","",COUNTA($C$3:C5385))</f>
        <v/>
      </c>
      <c r="B5385" s="35" t="str">
        <f t="shared" si="100"/>
        <v/>
      </c>
      <c r="C5385" s="15"/>
    </row>
    <row r="5386" spans="1:3" x14ac:dyDescent="0.25">
      <c r="A5386" s="21" t="str">
        <f>IF(C5386="","",COUNTA($C$3:C5386))</f>
        <v/>
      </c>
      <c r="B5386" s="35" t="str">
        <f t="shared" si="100"/>
        <v/>
      </c>
      <c r="C5386" s="15"/>
    </row>
    <row r="5387" spans="1:3" x14ac:dyDescent="0.25">
      <c r="A5387" s="21" t="str">
        <f>IF(C5387="","",COUNTA($C$3:C5387))</f>
        <v/>
      </c>
      <c r="B5387" s="35" t="str">
        <f t="shared" si="100"/>
        <v/>
      </c>
      <c r="C5387" s="15"/>
    </row>
    <row r="5388" spans="1:3" x14ac:dyDescent="0.25">
      <c r="A5388" s="21" t="str">
        <f>IF(C5388="","",COUNTA($C$3:C5388))</f>
        <v/>
      </c>
      <c r="B5388" s="35" t="str">
        <f t="shared" si="100"/>
        <v/>
      </c>
      <c r="C5388" s="15"/>
    </row>
    <row r="5389" spans="1:3" x14ac:dyDescent="0.25">
      <c r="A5389" s="21" t="str">
        <f>IF(C5389="","",COUNTA($C$3:C5389))</f>
        <v/>
      </c>
      <c r="B5389" s="35" t="str">
        <f t="shared" si="100"/>
        <v/>
      </c>
      <c r="C5389" s="15"/>
    </row>
    <row r="5390" spans="1:3" x14ac:dyDescent="0.25">
      <c r="A5390" s="21" t="str">
        <f>IF(C5390="","",COUNTA($C$3:C5390))</f>
        <v/>
      </c>
      <c r="B5390" s="35" t="str">
        <f t="shared" si="100"/>
        <v/>
      </c>
      <c r="C5390" s="15"/>
    </row>
    <row r="5391" spans="1:3" x14ac:dyDescent="0.25">
      <c r="A5391" s="21" t="str">
        <f>IF(C5391="","",COUNTA($C$3:C5391))</f>
        <v/>
      </c>
      <c r="B5391" s="35" t="str">
        <f t="shared" si="100"/>
        <v/>
      </c>
      <c r="C5391" s="15"/>
    </row>
    <row r="5392" spans="1:3" x14ac:dyDescent="0.25">
      <c r="A5392" s="21" t="str">
        <f>IF(C5392="","",COUNTA($C$3:C5392))</f>
        <v/>
      </c>
      <c r="B5392" s="35" t="str">
        <f t="shared" si="100"/>
        <v/>
      </c>
      <c r="C5392" s="15"/>
    </row>
    <row r="5393" spans="1:3" x14ac:dyDescent="0.25">
      <c r="A5393" s="21" t="str">
        <f>IF(C5393="","",COUNTA($C$3:C5393))</f>
        <v/>
      </c>
      <c r="B5393" s="35" t="str">
        <f t="shared" si="100"/>
        <v/>
      </c>
      <c r="C5393" s="15"/>
    </row>
    <row r="5394" spans="1:3" x14ac:dyDescent="0.25">
      <c r="A5394" s="21" t="str">
        <f>IF(C5394="","",COUNTA($C$3:C5394))</f>
        <v/>
      </c>
      <c r="B5394" s="35" t="str">
        <f t="shared" si="100"/>
        <v/>
      </c>
      <c r="C5394" s="15"/>
    </row>
    <row r="5395" spans="1:3" x14ac:dyDescent="0.25">
      <c r="A5395" s="21" t="str">
        <f>IF(C5395="","",COUNTA($C$3:C5395))</f>
        <v/>
      </c>
      <c r="B5395" s="35" t="str">
        <f t="shared" si="100"/>
        <v/>
      </c>
      <c r="C5395" s="15"/>
    </row>
    <row r="5396" spans="1:3" x14ac:dyDescent="0.25">
      <c r="A5396" s="21" t="str">
        <f>IF(C5396="","",COUNTA($C$3:C5396))</f>
        <v/>
      </c>
      <c r="B5396" s="35" t="str">
        <f t="shared" si="100"/>
        <v/>
      </c>
      <c r="C5396" s="15"/>
    </row>
    <row r="5397" spans="1:3" x14ac:dyDescent="0.25">
      <c r="A5397" s="21" t="str">
        <f>IF(C5397="","",COUNTA($C$3:C5397))</f>
        <v/>
      </c>
      <c r="B5397" s="35" t="str">
        <f t="shared" si="100"/>
        <v/>
      </c>
      <c r="C5397" s="15"/>
    </row>
    <row r="5398" spans="1:3" x14ac:dyDescent="0.25">
      <c r="A5398" s="21" t="str">
        <f>IF(C5398="","",COUNTA($C$3:C5398))</f>
        <v/>
      </c>
      <c r="B5398" s="35" t="str">
        <f t="shared" si="100"/>
        <v/>
      </c>
      <c r="C5398" s="15"/>
    </row>
    <row r="5399" spans="1:3" x14ac:dyDescent="0.25">
      <c r="A5399" s="21" t="str">
        <f>IF(C5399="","",COUNTA($C$3:C5399))</f>
        <v/>
      </c>
      <c r="B5399" s="35" t="str">
        <f t="shared" si="100"/>
        <v/>
      </c>
      <c r="C5399" s="15"/>
    </row>
    <row r="5400" spans="1:3" x14ac:dyDescent="0.25">
      <c r="A5400" s="21" t="str">
        <f>IF(C5400="","",COUNTA($C$3:C5400))</f>
        <v/>
      </c>
      <c r="B5400" s="35" t="str">
        <f t="shared" si="100"/>
        <v/>
      </c>
      <c r="C5400" s="15"/>
    </row>
    <row r="5401" spans="1:3" x14ac:dyDescent="0.25">
      <c r="A5401" s="21" t="str">
        <f>IF(C5401="","",COUNTA($C$3:C5401))</f>
        <v/>
      </c>
      <c r="B5401" s="35" t="str">
        <f t="shared" si="100"/>
        <v/>
      </c>
      <c r="C5401" s="15"/>
    </row>
    <row r="5402" spans="1:3" x14ac:dyDescent="0.25">
      <c r="A5402" s="21" t="str">
        <f>IF(C5402="","",COUNTA($C$3:C5402))</f>
        <v/>
      </c>
      <c r="B5402" s="35" t="str">
        <f t="shared" si="100"/>
        <v/>
      </c>
      <c r="C5402" s="15"/>
    </row>
    <row r="5403" spans="1:3" x14ac:dyDescent="0.25">
      <c r="A5403" s="21" t="str">
        <f>IF(C5403="","",COUNTA($C$3:C5403))</f>
        <v/>
      </c>
      <c r="B5403" s="35" t="str">
        <f t="shared" si="100"/>
        <v/>
      </c>
      <c r="C5403" s="15"/>
    </row>
    <row r="5404" spans="1:3" x14ac:dyDescent="0.25">
      <c r="A5404" s="21" t="str">
        <f>IF(C5404="","",COUNTA($C$3:C5404))</f>
        <v/>
      </c>
      <c r="B5404" s="35" t="str">
        <f t="shared" si="100"/>
        <v/>
      </c>
      <c r="C5404" s="15"/>
    </row>
    <row r="5405" spans="1:3" x14ac:dyDescent="0.25">
      <c r="A5405" s="21" t="str">
        <f>IF(C5405="","",COUNTA($C$3:C5405))</f>
        <v/>
      </c>
      <c r="B5405" s="35" t="str">
        <f t="shared" si="100"/>
        <v/>
      </c>
      <c r="C5405" s="15"/>
    </row>
    <row r="5406" spans="1:3" x14ac:dyDescent="0.25">
      <c r="A5406" s="21" t="str">
        <f>IF(C5406="","",COUNTA($C$3:C5406))</f>
        <v/>
      </c>
      <c r="B5406" s="35" t="str">
        <f t="shared" si="100"/>
        <v/>
      </c>
      <c r="C5406" s="15"/>
    </row>
    <row r="5407" spans="1:3" x14ac:dyDescent="0.25">
      <c r="A5407" s="21" t="str">
        <f>IF(C5407="","",COUNTA($C$3:C5407))</f>
        <v/>
      </c>
      <c r="B5407" s="35" t="str">
        <f t="shared" si="100"/>
        <v/>
      </c>
      <c r="C5407" s="15"/>
    </row>
    <row r="5408" spans="1:3" x14ac:dyDescent="0.25">
      <c r="A5408" s="21" t="str">
        <f>IF(C5408="","",COUNTA($C$3:C5408))</f>
        <v/>
      </c>
      <c r="B5408" s="35" t="str">
        <f t="shared" si="100"/>
        <v/>
      </c>
      <c r="C5408" s="15"/>
    </row>
    <row r="5409" spans="1:3" x14ac:dyDescent="0.25">
      <c r="A5409" s="21" t="str">
        <f>IF(C5409="","",COUNTA($C$3:C5409))</f>
        <v/>
      </c>
      <c r="B5409" s="35" t="str">
        <f t="shared" si="100"/>
        <v/>
      </c>
      <c r="C5409" s="15"/>
    </row>
    <row r="5410" spans="1:3" x14ac:dyDescent="0.25">
      <c r="A5410" s="21" t="str">
        <f>IF(C5410="","",COUNTA($C$3:C5410))</f>
        <v/>
      </c>
      <c r="B5410" s="35" t="str">
        <f t="shared" si="100"/>
        <v/>
      </c>
      <c r="C5410" s="15"/>
    </row>
    <row r="5411" spans="1:3" x14ac:dyDescent="0.25">
      <c r="A5411" s="21" t="str">
        <f>IF(C5411="","",COUNTA($C$3:C5411))</f>
        <v/>
      </c>
      <c r="B5411" s="35" t="str">
        <f t="shared" si="100"/>
        <v/>
      </c>
      <c r="C5411" s="15"/>
    </row>
    <row r="5412" spans="1:3" x14ac:dyDescent="0.25">
      <c r="A5412" s="21" t="str">
        <f>IF(C5412="","",COUNTA($C$3:C5412))</f>
        <v/>
      </c>
      <c r="B5412" s="35" t="str">
        <f t="shared" si="100"/>
        <v/>
      </c>
      <c r="C5412" s="15"/>
    </row>
    <row r="5413" spans="1:3" x14ac:dyDescent="0.25">
      <c r="A5413" s="21" t="str">
        <f>IF(C5413="","",COUNTA($C$3:C5413))</f>
        <v/>
      </c>
      <c r="B5413" s="35" t="str">
        <f t="shared" si="100"/>
        <v/>
      </c>
      <c r="C5413" s="15"/>
    </row>
    <row r="5414" spans="1:3" x14ac:dyDescent="0.25">
      <c r="A5414" s="21" t="str">
        <f>IF(C5414="","",COUNTA($C$3:C5414))</f>
        <v/>
      </c>
      <c r="B5414" s="35" t="str">
        <f t="shared" si="100"/>
        <v/>
      </c>
      <c r="C5414" s="15"/>
    </row>
    <row r="5415" spans="1:3" x14ac:dyDescent="0.25">
      <c r="A5415" s="21" t="str">
        <f>IF(C5415="","",COUNTA($C$3:C5415))</f>
        <v/>
      </c>
      <c r="B5415" s="35" t="str">
        <f t="shared" si="100"/>
        <v/>
      </c>
      <c r="C5415" s="15"/>
    </row>
    <row r="5416" spans="1:3" x14ac:dyDescent="0.25">
      <c r="A5416" s="21" t="str">
        <f>IF(C5416="","",COUNTA($C$3:C5416))</f>
        <v/>
      </c>
      <c r="B5416" s="35" t="str">
        <f t="shared" si="100"/>
        <v/>
      </c>
      <c r="C5416" s="15"/>
    </row>
    <row r="5417" spans="1:3" x14ac:dyDescent="0.25">
      <c r="A5417" s="21" t="str">
        <f>IF(C5417="","",COUNTA($C$3:C5417))</f>
        <v/>
      </c>
      <c r="B5417" s="35" t="str">
        <f t="shared" si="100"/>
        <v/>
      </c>
      <c r="C5417" s="15"/>
    </row>
    <row r="5418" spans="1:3" x14ac:dyDescent="0.25">
      <c r="A5418" s="21" t="str">
        <f>IF(C5418="","",COUNTA($C$3:C5418))</f>
        <v/>
      </c>
      <c r="B5418" s="35" t="str">
        <f t="shared" si="100"/>
        <v/>
      </c>
      <c r="C5418" s="15"/>
    </row>
    <row r="5419" spans="1:3" x14ac:dyDescent="0.25">
      <c r="A5419" s="21" t="str">
        <f>IF(C5419="","",COUNTA($C$3:C5419))</f>
        <v/>
      </c>
      <c r="B5419" s="35" t="str">
        <f t="shared" si="100"/>
        <v/>
      </c>
      <c r="C5419" s="15"/>
    </row>
    <row r="5420" spans="1:3" x14ac:dyDescent="0.25">
      <c r="A5420" s="21" t="str">
        <f>IF(C5420="","",COUNTA($C$3:C5420))</f>
        <v/>
      </c>
      <c r="B5420" s="35" t="str">
        <f t="shared" si="100"/>
        <v/>
      </c>
      <c r="C5420" s="15"/>
    </row>
    <row r="5421" spans="1:3" x14ac:dyDescent="0.25">
      <c r="A5421" s="21" t="str">
        <f>IF(C5421="","",COUNTA($C$3:C5421))</f>
        <v/>
      </c>
      <c r="B5421" s="35" t="str">
        <f t="shared" si="100"/>
        <v/>
      </c>
      <c r="C5421" s="15"/>
    </row>
    <row r="5422" spans="1:3" x14ac:dyDescent="0.25">
      <c r="A5422" s="21" t="str">
        <f>IF(C5422="","",COUNTA($C$3:C5422))</f>
        <v/>
      </c>
      <c r="B5422" s="35" t="str">
        <f t="shared" si="100"/>
        <v/>
      </c>
      <c r="C5422" s="15"/>
    </row>
    <row r="5423" spans="1:3" x14ac:dyDescent="0.25">
      <c r="A5423" s="21" t="str">
        <f>IF(C5423="","",COUNTA($C$3:C5423))</f>
        <v/>
      </c>
      <c r="B5423" s="35" t="str">
        <f t="shared" si="100"/>
        <v/>
      </c>
      <c r="C5423" s="15"/>
    </row>
    <row r="5424" spans="1:3" x14ac:dyDescent="0.25">
      <c r="A5424" s="21" t="str">
        <f>IF(C5424="","",COUNTA($C$3:C5424))</f>
        <v/>
      </c>
      <c r="B5424" s="35" t="str">
        <f t="shared" si="100"/>
        <v/>
      </c>
      <c r="C5424" s="15"/>
    </row>
    <row r="5425" spans="1:3" x14ac:dyDescent="0.25">
      <c r="A5425" s="21" t="str">
        <f>IF(C5425="","",COUNTA($C$3:C5425))</f>
        <v/>
      </c>
      <c r="B5425" s="35" t="str">
        <f t="shared" si="100"/>
        <v/>
      </c>
      <c r="C5425" s="15"/>
    </row>
    <row r="5426" spans="1:3" x14ac:dyDescent="0.25">
      <c r="A5426" s="21" t="str">
        <f>IF(C5426="","",COUNTA($C$3:C5426))</f>
        <v/>
      </c>
      <c r="B5426" s="35" t="str">
        <f t="shared" si="100"/>
        <v/>
      </c>
      <c r="C5426" s="15"/>
    </row>
    <row r="5427" spans="1:3" x14ac:dyDescent="0.25">
      <c r="A5427" s="21" t="str">
        <f>IF(C5427="","",COUNTA($C$3:C5427))</f>
        <v/>
      </c>
      <c r="B5427" s="35" t="str">
        <f t="shared" si="100"/>
        <v/>
      </c>
      <c r="C5427" s="15"/>
    </row>
    <row r="5428" spans="1:3" x14ac:dyDescent="0.25">
      <c r="A5428" s="21" t="str">
        <f>IF(C5428="","",COUNTA($C$3:C5428))</f>
        <v/>
      </c>
      <c r="B5428" s="35" t="str">
        <f t="shared" si="100"/>
        <v/>
      </c>
      <c r="C5428" s="15"/>
    </row>
    <row r="5429" spans="1:3" x14ac:dyDescent="0.25">
      <c r="A5429" s="21" t="str">
        <f>IF(C5429="","",COUNTA($C$3:C5429))</f>
        <v/>
      </c>
      <c r="B5429" s="35" t="str">
        <f t="shared" si="100"/>
        <v/>
      </c>
      <c r="C5429" s="15"/>
    </row>
    <row r="5430" spans="1:3" x14ac:dyDescent="0.25">
      <c r="A5430" s="21" t="str">
        <f>IF(C5430="","",COUNTA($C$3:C5430))</f>
        <v/>
      </c>
      <c r="B5430" s="35" t="str">
        <f t="shared" si="100"/>
        <v/>
      </c>
      <c r="C5430" s="15"/>
    </row>
    <row r="5431" spans="1:3" x14ac:dyDescent="0.25">
      <c r="A5431" s="21" t="str">
        <f>IF(C5431="","",COUNTA($C$3:C5431))</f>
        <v/>
      </c>
      <c r="B5431" s="35" t="str">
        <f t="shared" si="100"/>
        <v/>
      </c>
      <c r="C5431" s="15"/>
    </row>
    <row r="5432" spans="1:3" x14ac:dyDescent="0.25">
      <c r="A5432" s="21" t="str">
        <f>IF(C5432="","",COUNTA($C$3:C5432))</f>
        <v/>
      </c>
      <c r="B5432" s="35" t="str">
        <f t="shared" si="100"/>
        <v/>
      </c>
      <c r="C5432" s="15"/>
    </row>
    <row r="5433" spans="1:3" x14ac:dyDescent="0.25">
      <c r="A5433" s="21" t="str">
        <f>IF(C5433="","",COUNTA($C$3:C5433))</f>
        <v/>
      </c>
      <c r="B5433" s="35" t="str">
        <f t="shared" si="100"/>
        <v/>
      </c>
      <c r="C5433" s="15"/>
    </row>
    <row r="5434" spans="1:3" x14ac:dyDescent="0.25">
      <c r="A5434" s="21" t="str">
        <f>IF(C5434="","",COUNTA($C$3:C5434))</f>
        <v/>
      </c>
      <c r="B5434" s="35" t="str">
        <f t="shared" si="100"/>
        <v/>
      </c>
      <c r="C5434" s="15"/>
    </row>
    <row r="5435" spans="1:3" x14ac:dyDescent="0.25">
      <c r="A5435" s="21" t="str">
        <f>IF(C5435="","",COUNTA($C$3:C5435))</f>
        <v/>
      </c>
      <c r="B5435" s="35" t="str">
        <f t="shared" si="100"/>
        <v/>
      </c>
      <c r="C5435" s="15"/>
    </row>
    <row r="5436" spans="1:3" x14ac:dyDescent="0.25">
      <c r="A5436" s="21" t="str">
        <f>IF(C5436="","",COUNTA($C$3:C5436))</f>
        <v/>
      </c>
      <c r="B5436" s="35" t="str">
        <f t="shared" si="100"/>
        <v/>
      </c>
      <c r="C5436" s="15"/>
    </row>
    <row r="5437" spans="1:3" x14ac:dyDescent="0.25">
      <c r="A5437" s="21" t="str">
        <f>IF(C5437="","",COUNTA($C$3:C5437))</f>
        <v/>
      </c>
      <c r="B5437" s="35" t="str">
        <f t="shared" si="100"/>
        <v/>
      </c>
      <c r="C5437" s="15"/>
    </row>
    <row r="5438" spans="1:3" x14ac:dyDescent="0.25">
      <c r="A5438" s="21" t="str">
        <f>IF(C5438="","",COUNTA($C$3:C5438))</f>
        <v/>
      </c>
      <c r="B5438" s="35" t="str">
        <f t="shared" si="100"/>
        <v/>
      </c>
      <c r="C5438" s="15"/>
    </row>
    <row r="5439" spans="1:3" x14ac:dyDescent="0.25">
      <c r="A5439" s="21" t="str">
        <f>IF(C5439="","",COUNTA($C$3:C5439))</f>
        <v/>
      </c>
      <c r="B5439" s="35" t="str">
        <f t="shared" si="100"/>
        <v/>
      </c>
      <c r="C5439" s="15"/>
    </row>
    <row r="5440" spans="1:3" x14ac:dyDescent="0.25">
      <c r="A5440" s="21" t="str">
        <f>IF(C5440="","",COUNTA($C$3:C5440))</f>
        <v/>
      </c>
      <c r="B5440" s="35" t="str">
        <f t="shared" si="100"/>
        <v/>
      </c>
      <c r="C5440" s="15"/>
    </row>
    <row r="5441" spans="1:3" x14ac:dyDescent="0.25">
      <c r="A5441" s="21" t="str">
        <f>IF(C5441="","",COUNTA($C$3:C5441))</f>
        <v/>
      </c>
      <c r="B5441" s="35" t="str">
        <f t="shared" si="100"/>
        <v/>
      </c>
      <c r="C5441" s="15"/>
    </row>
    <row r="5442" spans="1:3" x14ac:dyDescent="0.25">
      <c r="A5442" s="21" t="str">
        <f>IF(C5442="","",COUNTA($C$3:C5442))</f>
        <v/>
      </c>
      <c r="B5442" s="35" t="str">
        <f t="shared" si="100"/>
        <v/>
      </c>
      <c r="C5442" s="15"/>
    </row>
    <row r="5443" spans="1:3" x14ac:dyDescent="0.25">
      <c r="A5443" s="21" t="str">
        <f>IF(C5443="","",COUNTA($C$3:C5443))</f>
        <v/>
      </c>
      <c r="B5443" s="35" t="str">
        <f t="shared" si="100"/>
        <v/>
      </c>
      <c r="C5443" s="15"/>
    </row>
    <row r="5444" spans="1:3" x14ac:dyDescent="0.25">
      <c r="A5444" s="21" t="str">
        <f>IF(C5444="","",COUNTA($C$3:C5444))</f>
        <v/>
      </c>
      <c r="B5444" s="35" t="str">
        <f t="shared" si="100"/>
        <v/>
      </c>
      <c r="C5444" s="15"/>
    </row>
    <row r="5445" spans="1:3" x14ac:dyDescent="0.25">
      <c r="A5445" s="21" t="str">
        <f>IF(C5445="","",COUNTA($C$3:C5445))</f>
        <v/>
      </c>
      <c r="B5445" s="35" t="str">
        <f t="shared" ref="B5445:B5508" si="101">IF(C5445="","",TEXT(C5445,"mmmm"))</f>
        <v/>
      </c>
      <c r="C5445" s="15"/>
    </row>
    <row r="5446" spans="1:3" x14ac:dyDescent="0.25">
      <c r="A5446" s="21" t="str">
        <f>IF(C5446="","",COUNTA($C$3:C5446))</f>
        <v/>
      </c>
      <c r="B5446" s="35" t="str">
        <f t="shared" si="101"/>
        <v/>
      </c>
      <c r="C5446" s="15"/>
    </row>
    <row r="5447" spans="1:3" x14ac:dyDescent="0.25">
      <c r="A5447" s="21" t="str">
        <f>IF(C5447="","",COUNTA($C$3:C5447))</f>
        <v/>
      </c>
      <c r="B5447" s="35" t="str">
        <f t="shared" si="101"/>
        <v/>
      </c>
      <c r="C5447" s="15"/>
    </row>
    <row r="5448" spans="1:3" x14ac:dyDescent="0.25">
      <c r="A5448" s="21" t="str">
        <f>IF(C5448="","",COUNTA($C$3:C5448))</f>
        <v/>
      </c>
      <c r="B5448" s="35" t="str">
        <f t="shared" si="101"/>
        <v/>
      </c>
      <c r="C5448" s="15"/>
    </row>
    <row r="5449" spans="1:3" x14ac:dyDescent="0.25">
      <c r="A5449" s="21" t="str">
        <f>IF(C5449="","",COUNTA($C$3:C5449))</f>
        <v/>
      </c>
      <c r="B5449" s="35" t="str">
        <f t="shared" si="101"/>
        <v/>
      </c>
      <c r="C5449" s="15"/>
    </row>
    <row r="5450" spans="1:3" x14ac:dyDescent="0.25">
      <c r="A5450" s="21" t="str">
        <f>IF(C5450="","",COUNTA($C$3:C5450))</f>
        <v/>
      </c>
      <c r="B5450" s="35" t="str">
        <f t="shared" si="101"/>
        <v/>
      </c>
      <c r="C5450" s="15"/>
    </row>
    <row r="5451" spans="1:3" x14ac:dyDescent="0.25">
      <c r="A5451" s="21" t="str">
        <f>IF(C5451="","",COUNTA($C$3:C5451))</f>
        <v/>
      </c>
      <c r="B5451" s="35" t="str">
        <f t="shared" si="101"/>
        <v/>
      </c>
      <c r="C5451" s="15"/>
    </row>
    <row r="5452" spans="1:3" x14ac:dyDescent="0.25">
      <c r="A5452" s="21" t="str">
        <f>IF(C5452="","",COUNTA($C$3:C5452))</f>
        <v/>
      </c>
      <c r="B5452" s="35" t="str">
        <f t="shared" si="101"/>
        <v/>
      </c>
      <c r="C5452" s="15"/>
    </row>
    <row r="5453" spans="1:3" x14ac:dyDescent="0.25">
      <c r="A5453" s="21" t="str">
        <f>IF(C5453="","",COUNTA($C$3:C5453))</f>
        <v/>
      </c>
      <c r="B5453" s="35" t="str">
        <f t="shared" si="101"/>
        <v/>
      </c>
      <c r="C5453" s="15"/>
    </row>
    <row r="5454" spans="1:3" x14ac:dyDescent="0.25">
      <c r="A5454" s="21" t="str">
        <f>IF(C5454="","",COUNTA($C$3:C5454))</f>
        <v/>
      </c>
      <c r="B5454" s="35" t="str">
        <f t="shared" si="101"/>
        <v/>
      </c>
      <c r="C5454" s="15"/>
    </row>
    <row r="5455" spans="1:3" x14ac:dyDescent="0.25">
      <c r="A5455" s="21" t="str">
        <f>IF(C5455="","",COUNTA($C$3:C5455))</f>
        <v/>
      </c>
      <c r="B5455" s="35" t="str">
        <f t="shared" si="101"/>
        <v/>
      </c>
      <c r="C5455" s="15"/>
    </row>
    <row r="5456" spans="1:3" x14ac:dyDescent="0.25">
      <c r="A5456" s="21" t="str">
        <f>IF(C5456="","",COUNTA($C$3:C5456))</f>
        <v/>
      </c>
      <c r="B5456" s="35" t="str">
        <f t="shared" si="101"/>
        <v/>
      </c>
      <c r="C5456" s="15"/>
    </row>
    <row r="5457" spans="1:3" x14ac:dyDescent="0.25">
      <c r="A5457" s="21" t="str">
        <f>IF(C5457="","",COUNTA($C$3:C5457))</f>
        <v/>
      </c>
      <c r="B5457" s="35" t="str">
        <f t="shared" si="101"/>
        <v/>
      </c>
      <c r="C5457" s="15"/>
    </row>
    <row r="5458" spans="1:3" x14ac:dyDescent="0.25">
      <c r="A5458" s="21" t="str">
        <f>IF(C5458="","",COUNTA($C$3:C5458))</f>
        <v/>
      </c>
      <c r="B5458" s="35" t="str">
        <f t="shared" si="101"/>
        <v/>
      </c>
      <c r="C5458" s="15"/>
    </row>
    <row r="5459" spans="1:3" x14ac:dyDescent="0.25">
      <c r="A5459" s="21" t="str">
        <f>IF(C5459="","",COUNTA($C$3:C5459))</f>
        <v/>
      </c>
      <c r="B5459" s="35" t="str">
        <f t="shared" si="101"/>
        <v/>
      </c>
      <c r="C5459" s="15"/>
    </row>
    <row r="5460" spans="1:3" x14ac:dyDescent="0.25">
      <c r="A5460" s="21" t="str">
        <f>IF(C5460="","",COUNTA($C$3:C5460))</f>
        <v/>
      </c>
      <c r="B5460" s="35" t="str">
        <f t="shared" si="101"/>
        <v/>
      </c>
      <c r="C5460" s="15"/>
    </row>
    <row r="5461" spans="1:3" x14ac:dyDescent="0.25">
      <c r="A5461" s="21" t="str">
        <f>IF(C5461="","",COUNTA($C$3:C5461))</f>
        <v/>
      </c>
      <c r="B5461" s="35" t="str">
        <f t="shared" si="101"/>
        <v/>
      </c>
      <c r="C5461" s="15"/>
    </row>
    <row r="5462" spans="1:3" x14ac:dyDescent="0.25">
      <c r="A5462" s="21" t="str">
        <f>IF(C5462="","",COUNTA($C$3:C5462))</f>
        <v/>
      </c>
      <c r="B5462" s="35" t="str">
        <f t="shared" si="101"/>
        <v/>
      </c>
      <c r="C5462" s="15"/>
    </row>
    <row r="5463" spans="1:3" x14ac:dyDescent="0.25">
      <c r="A5463" s="21" t="str">
        <f>IF(C5463="","",COUNTA($C$3:C5463))</f>
        <v/>
      </c>
      <c r="B5463" s="35" t="str">
        <f t="shared" si="101"/>
        <v/>
      </c>
      <c r="C5463" s="15"/>
    </row>
    <row r="5464" spans="1:3" x14ac:dyDescent="0.25">
      <c r="A5464" s="21" t="str">
        <f>IF(C5464="","",COUNTA($C$3:C5464))</f>
        <v/>
      </c>
      <c r="B5464" s="35" t="str">
        <f t="shared" si="101"/>
        <v/>
      </c>
      <c r="C5464" s="15"/>
    </row>
    <row r="5465" spans="1:3" x14ac:dyDescent="0.25">
      <c r="A5465" s="21" t="str">
        <f>IF(C5465="","",COUNTA($C$3:C5465))</f>
        <v/>
      </c>
      <c r="B5465" s="35" t="str">
        <f t="shared" si="101"/>
        <v/>
      </c>
      <c r="C5465" s="15"/>
    </row>
    <row r="5466" spans="1:3" x14ac:dyDescent="0.25">
      <c r="A5466" s="21" t="str">
        <f>IF(C5466="","",COUNTA($C$3:C5466))</f>
        <v/>
      </c>
      <c r="B5466" s="35" t="str">
        <f t="shared" si="101"/>
        <v/>
      </c>
      <c r="C5466" s="15"/>
    </row>
    <row r="5467" spans="1:3" x14ac:dyDescent="0.25">
      <c r="A5467" s="21" t="str">
        <f>IF(C5467="","",COUNTA($C$3:C5467))</f>
        <v/>
      </c>
      <c r="B5467" s="35" t="str">
        <f t="shared" si="101"/>
        <v/>
      </c>
      <c r="C5467" s="15"/>
    </row>
    <row r="5468" spans="1:3" x14ac:dyDescent="0.25">
      <c r="A5468" s="21" t="str">
        <f>IF(C5468="","",COUNTA($C$3:C5468))</f>
        <v/>
      </c>
      <c r="B5468" s="35" t="str">
        <f t="shared" si="101"/>
        <v/>
      </c>
      <c r="C5468" s="15"/>
    </row>
    <row r="5469" spans="1:3" x14ac:dyDescent="0.25">
      <c r="A5469" s="21" t="str">
        <f>IF(C5469="","",COUNTA($C$3:C5469))</f>
        <v/>
      </c>
      <c r="B5469" s="35" t="str">
        <f t="shared" si="101"/>
        <v/>
      </c>
      <c r="C5469" s="15"/>
    </row>
    <row r="5470" spans="1:3" x14ac:dyDescent="0.25">
      <c r="A5470" s="21" t="str">
        <f>IF(C5470="","",COUNTA($C$3:C5470))</f>
        <v/>
      </c>
      <c r="B5470" s="35" t="str">
        <f t="shared" si="101"/>
        <v/>
      </c>
      <c r="C5470" s="15"/>
    </row>
    <row r="5471" spans="1:3" x14ac:dyDescent="0.25">
      <c r="A5471" s="21" t="str">
        <f>IF(C5471="","",COUNTA($C$3:C5471))</f>
        <v/>
      </c>
      <c r="B5471" s="35" t="str">
        <f t="shared" si="101"/>
        <v/>
      </c>
      <c r="C5471" s="15"/>
    </row>
    <row r="5472" spans="1:3" x14ac:dyDescent="0.25">
      <c r="A5472" s="21" t="str">
        <f>IF(C5472="","",COUNTA($C$3:C5472))</f>
        <v/>
      </c>
      <c r="B5472" s="35" t="str">
        <f t="shared" si="101"/>
        <v/>
      </c>
      <c r="C5472" s="15"/>
    </row>
    <row r="5473" spans="1:3" x14ac:dyDescent="0.25">
      <c r="A5473" s="21" t="str">
        <f>IF(C5473="","",COUNTA($C$3:C5473))</f>
        <v/>
      </c>
      <c r="B5473" s="35" t="str">
        <f t="shared" si="101"/>
        <v/>
      </c>
      <c r="C5473" s="15"/>
    </row>
    <row r="5474" spans="1:3" x14ac:dyDescent="0.25">
      <c r="A5474" s="21" t="str">
        <f>IF(C5474="","",COUNTA($C$3:C5474))</f>
        <v/>
      </c>
      <c r="B5474" s="35" t="str">
        <f t="shared" si="101"/>
        <v/>
      </c>
      <c r="C5474" s="15"/>
    </row>
    <row r="5475" spans="1:3" x14ac:dyDescent="0.25">
      <c r="A5475" s="21" t="str">
        <f>IF(C5475="","",COUNTA($C$3:C5475))</f>
        <v/>
      </c>
      <c r="B5475" s="35" t="str">
        <f t="shared" si="101"/>
        <v/>
      </c>
      <c r="C5475" s="15"/>
    </row>
    <row r="5476" spans="1:3" x14ac:dyDescent="0.25">
      <c r="A5476" s="21" t="str">
        <f>IF(C5476="","",COUNTA($C$3:C5476))</f>
        <v/>
      </c>
      <c r="B5476" s="35" t="str">
        <f t="shared" si="101"/>
        <v/>
      </c>
      <c r="C5476" s="15"/>
    </row>
    <row r="5477" spans="1:3" x14ac:dyDescent="0.25">
      <c r="A5477" s="21" t="str">
        <f>IF(C5477="","",COUNTA($C$3:C5477))</f>
        <v/>
      </c>
      <c r="B5477" s="35" t="str">
        <f t="shared" si="101"/>
        <v/>
      </c>
      <c r="C5477" s="15"/>
    </row>
    <row r="5478" spans="1:3" x14ac:dyDescent="0.25">
      <c r="A5478" s="21" t="str">
        <f>IF(C5478="","",COUNTA($C$3:C5478))</f>
        <v/>
      </c>
      <c r="B5478" s="35" t="str">
        <f t="shared" si="101"/>
        <v/>
      </c>
      <c r="C5478" s="15"/>
    </row>
    <row r="5479" spans="1:3" x14ac:dyDescent="0.25">
      <c r="A5479" s="21" t="str">
        <f>IF(C5479="","",COUNTA($C$3:C5479))</f>
        <v/>
      </c>
      <c r="B5479" s="35" t="str">
        <f t="shared" si="101"/>
        <v/>
      </c>
      <c r="C5479" s="15"/>
    </row>
    <row r="5480" spans="1:3" x14ac:dyDescent="0.25">
      <c r="A5480" s="21" t="str">
        <f>IF(C5480="","",COUNTA($C$3:C5480))</f>
        <v/>
      </c>
      <c r="B5480" s="35" t="str">
        <f t="shared" si="101"/>
        <v/>
      </c>
      <c r="C5480" s="15"/>
    </row>
    <row r="5481" spans="1:3" x14ac:dyDescent="0.25">
      <c r="A5481" s="21" t="str">
        <f>IF(C5481="","",COUNTA($C$3:C5481))</f>
        <v/>
      </c>
      <c r="B5481" s="35" t="str">
        <f t="shared" si="101"/>
        <v/>
      </c>
      <c r="C5481" s="15"/>
    </row>
    <row r="5482" spans="1:3" x14ac:dyDescent="0.25">
      <c r="A5482" s="21" t="str">
        <f>IF(C5482="","",COUNTA($C$3:C5482))</f>
        <v/>
      </c>
      <c r="B5482" s="35" t="str">
        <f t="shared" si="101"/>
        <v/>
      </c>
      <c r="C5482" s="15"/>
    </row>
    <row r="5483" spans="1:3" x14ac:dyDescent="0.25">
      <c r="A5483" s="21" t="str">
        <f>IF(C5483="","",COUNTA($C$3:C5483))</f>
        <v/>
      </c>
      <c r="B5483" s="35" t="str">
        <f t="shared" si="101"/>
        <v/>
      </c>
      <c r="C5483" s="15"/>
    </row>
    <row r="5484" spans="1:3" x14ac:dyDescent="0.25">
      <c r="A5484" s="21" t="str">
        <f>IF(C5484="","",COUNTA($C$3:C5484))</f>
        <v/>
      </c>
      <c r="B5484" s="35" t="str">
        <f t="shared" si="101"/>
        <v/>
      </c>
      <c r="C5484" s="15"/>
    </row>
    <row r="5485" spans="1:3" x14ac:dyDescent="0.25">
      <c r="A5485" s="21" t="str">
        <f>IF(C5485="","",COUNTA($C$3:C5485))</f>
        <v/>
      </c>
      <c r="B5485" s="35" t="str">
        <f t="shared" si="101"/>
        <v/>
      </c>
      <c r="C5485" s="15"/>
    </row>
    <row r="5486" spans="1:3" x14ac:dyDescent="0.25">
      <c r="A5486" s="21" t="str">
        <f>IF(C5486="","",COUNTA($C$3:C5486))</f>
        <v/>
      </c>
      <c r="B5486" s="35" t="str">
        <f t="shared" si="101"/>
        <v/>
      </c>
      <c r="C5486" s="15"/>
    </row>
    <row r="5487" spans="1:3" x14ac:dyDescent="0.25">
      <c r="A5487" s="21" t="str">
        <f>IF(C5487="","",COUNTA($C$3:C5487))</f>
        <v/>
      </c>
      <c r="B5487" s="35" t="str">
        <f t="shared" si="101"/>
        <v/>
      </c>
      <c r="C5487" s="15"/>
    </row>
    <row r="5488" spans="1:3" x14ac:dyDescent="0.25">
      <c r="A5488" s="21" t="str">
        <f>IF(C5488="","",COUNTA($C$3:C5488))</f>
        <v/>
      </c>
      <c r="B5488" s="35" t="str">
        <f t="shared" si="101"/>
        <v/>
      </c>
      <c r="C5488" s="15"/>
    </row>
    <row r="5489" spans="1:3" x14ac:dyDescent="0.25">
      <c r="A5489" s="21" t="str">
        <f>IF(C5489="","",COUNTA($C$3:C5489))</f>
        <v/>
      </c>
      <c r="B5489" s="35" t="str">
        <f t="shared" si="101"/>
        <v/>
      </c>
      <c r="C5489" s="15"/>
    </row>
    <row r="5490" spans="1:3" x14ac:dyDescent="0.25">
      <c r="A5490" s="21" t="str">
        <f>IF(C5490="","",COUNTA($C$3:C5490))</f>
        <v/>
      </c>
      <c r="B5490" s="35" t="str">
        <f t="shared" si="101"/>
        <v/>
      </c>
      <c r="C5490" s="15"/>
    </row>
    <row r="5491" spans="1:3" x14ac:dyDescent="0.25">
      <c r="A5491" s="21" t="str">
        <f>IF(C5491="","",COUNTA($C$3:C5491))</f>
        <v/>
      </c>
      <c r="B5491" s="35" t="str">
        <f t="shared" si="101"/>
        <v/>
      </c>
      <c r="C5491" s="15"/>
    </row>
    <row r="5492" spans="1:3" x14ac:dyDescent="0.25">
      <c r="A5492" s="21" t="str">
        <f>IF(C5492="","",COUNTA($C$3:C5492))</f>
        <v/>
      </c>
      <c r="B5492" s="35" t="str">
        <f t="shared" si="101"/>
        <v/>
      </c>
      <c r="C5492" s="15"/>
    </row>
    <row r="5493" spans="1:3" x14ac:dyDescent="0.25">
      <c r="A5493" s="21" t="str">
        <f>IF(C5493="","",COUNTA($C$3:C5493))</f>
        <v/>
      </c>
      <c r="B5493" s="35" t="str">
        <f t="shared" si="101"/>
        <v/>
      </c>
      <c r="C5493" s="15"/>
    </row>
    <row r="5494" spans="1:3" x14ac:dyDescent="0.25">
      <c r="A5494" s="21" t="str">
        <f>IF(C5494="","",COUNTA($C$3:C5494))</f>
        <v/>
      </c>
      <c r="B5494" s="35" t="str">
        <f t="shared" si="101"/>
        <v/>
      </c>
      <c r="C5494" s="15"/>
    </row>
    <row r="5495" spans="1:3" x14ac:dyDescent="0.25">
      <c r="A5495" s="21" t="str">
        <f>IF(C5495="","",COUNTA($C$3:C5495))</f>
        <v/>
      </c>
      <c r="B5495" s="35" t="str">
        <f t="shared" si="101"/>
        <v/>
      </c>
      <c r="C5495" s="15"/>
    </row>
    <row r="5496" spans="1:3" x14ac:dyDescent="0.25">
      <c r="A5496" s="21" t="str">
        <f>IF(C5496="","",COUNTA($C$3:C5496))</f>
        <v/>
      </c>
      <c r="B5496" s="35" t="str">
        <f t="shared" si="101"/>
        <v/>
      </c>
      <c r="C5496" s="15"/>
    </row>
    <row r="5497" spans="1:3" x14ac:dyDescent="0.25">
      <c r="A5497" s="21" t="str">
        <f>IF(C5497="","",COUNTA($C$3:C5497))</f>
        <v/>
      </c>
      <c r="B5497" s="35" t="str">
        <f t="shared" si="101"/>
        <v/>
      </c>
      <c r="C5497" s="15"/>
    </row>
    <row r="5498" spans="1:3" x14ac:dyDescent="0.25">
      <c r="A5498" s="21" t="str">
        <f>IF(C5498="","",COUNTA($C$3:C5498))</f>
        <v/>
      </c>
      <c r="B5498" s="35" t="str">
        <f t="shared" si="101"/>
        <v/>
      </c>
      <c r="C5498" s="15"/>
    </row>
    <row r="5499" spans="1:3" x14ac:dyDescent="0.25">
      <c r="A5499" s="21" t="str">
        <f>IF(C5499="","",COUNTA($C$3:C5499))</f>
        <v/>
      </c>
      <c r="B5499" s="35" t="str">
        <f t="shared" si="101"/>
        <v/>
      </c>
      <c r="C5499" s="15"/>
    </row>
    <row r="5500" spans="1:3" x14ac:dyDescent="0.25">
      <c r="A5500" s="21" t="str">
        <f>IF(C5500="","",COUNTA($C$3:C5500))</f>
        <v/>
      </c>
      <c r="B5500" s="35" t="str">
        <f t="shared" si="101"/>
        <v/>
      </c>
      <c r="C5500" s="15"/>
    </row>
    <row r="5501" spans="1:3" x14ac:dyDescent="0.25">
      <c r="A5501" s="21" t="str">
        <f>IF(C5501="","",COUNTA($C$3:C5501))</f>
        <v/>
      </c>
      <c r="B5501" s="35" t="str">
        <f t="shared" si="101"/>
        <v/>
      </c>
      <c r="C5501" s="15"/>
    </row>
    <row r="5502" spans="1:3" x14ac:dyDescent="0.25">
      <c r="A5502" s="21" t="str">
        <f>IF(C5502="","",COUNTA($C$3:C5502))</f>
        <v/>
      </c>
      <c r="B5502" s="35" t="str">
        <f t="shared" si="101"/>
        <v/>
      </c>
      <c r="C5502" s="15"/>
    </row>
    <row r="5503" spans="1:3" x14ac:dyDescent="0.25">
      <c r="A5503" s="21" t="str">
        <f>IF(C5503="","",COUNTA($C$3:C5503))</f>
        <v/>
      </c>
      <c r="B5503" s="35" t="str">
        <f t="shared" si="101"/>
        <v/>
      </c>
      <c r="C5503" s="15"/>
    </row>
    <row r="5504" spans="1:3" x14ac:dyDescent="0.25">
      <c r="A5504" s="21" t="str">
        <f>IF(C5504="","",COUNTA($C$3:C5504))</f>
        <v/>
      </c>
      <c r="B5504" s="35" t="str">
        <f t="shared" si="101"/>
        <v/>
      </c>
      <c r="C5504" s="15"/>
    </row>
    <row r="5505" spans="1:3" x14ac:dyDescent="0.25">
      <c r="A5505" s="21" t="str">
        <f>IF(C5505="","",COUNTA($C$3:C5505))</f>
        <v/>
      </c>
      <c r="B5505" s="35" t="str">
        <f t="shared" si="101"/>
        <v/>
      </c>
      <c r="C5505" s="15"/>
    </row>
    <row r="5506" spans="1:3" x14ac:dyDescent="0.25">
      <c r="A5506" s="21" t="str">
        <f>IF(C5506="","",COUNTA($C$3:C5506))</f>
        <v/>
      </c>
      <c r="B5506" s="35" t="str">
        <f t="shared" si="101"/>
        <v/>
      </c>
      <c r="C5506" s="15"/>
    </row>
    <row r="5507" spans="1:3" x14ac:dyDescent="0.25">
      <c r="A5507" s="21" t="str">
        <f>IF(C5507="","",COUNTA($C$3:C5507))</f>
        <v/>
      </c>
      <c r="B5507" s="35" t="str">
        <f t="shared" si="101"/>
        <v/>
      </c>
      <c r="C5507" s="15"/>
    </row>
    <row r="5508" spans="1:3" x14ac:dyDescent="0.25">
      <c r="A5508" s="21" t="str">
        <f>IF(C5508="","",COUNTA($C$3:C5508))</f>
        <v/>
      </c>
      <c r="B5508" s="35" t="str">
        <f t="shared" si="101"/>
        <v/>
      </c>
      <c r="C5508" s="15"/>
    </row>
    <row r="5509" spans="1:3" x14ac:dyDescent="0.25">
      <c r="A5509" s="21" t="str">
        <f>IF(C5509="","",COUNTA($C$3:C5509))</f>
        <v/>
      </c>
      <c r="B5509" s="35" t="str">
        <f t="shared" ref="B5509:B5572" si="102">IF(C5509="","",TEXT(C5509,"mmmm"))</f>
        <v/>
      </c>
      <c r="C5509" s="15"/>
    </row>
    <row r="5510" spans="1:3" x14ac:dyDescent="0.25">
      <c r="A5510" s="21" t="str">
        <f>IF(C5510="","",COUNTA($C$3:C5510))</f>
        <v/>
      </c>
      <c r="B5510" s="35" t="str">
        <f t="shared" si="102"/>
        <v/>
      </c>
      <c r="C5510" s="15"/>
    </row>
    <row r="5511" spans="1:3" x14ac:dyDescent="0.25">
      <c r="A5511" s="21" t="str">
        <f>IF(C5511="","",COUNTA($C$3:C5511))</f>
        <v/>
      </c>
      <c r="B5511" s="35" t="str">
        <f t="shared" si="102"/>
        <v/>
      </c>
      <c r="C5511" s="15"/>
    </row>
    <row r="5512" spans="1:3" x14ac:dyDescent="0.25">
      <c r="A5512" s="21" t="str">
        <f>IF(C5512="","",COUNTA($C$3:C5512))</f>
        <v/>
      </c>
      <c r="B5512" s="35" t="str">
        <f t="shared" si="102"/>
        <v/>
      </c>
      <c r="C5512" s="15"/>
    </row>
    <row r="5513" spans="1:3" x14ac:dyDescent="0.25">
      <c r="A5513" s="21" t="str">
        <f>IF(C5513="","",COUNTA($C$3:C5513))</f>
        <v/>
      </c>
      <c r="B5513" s="35" t="str">
        <f t="shared" si="102"/>
        <v/>
      </c>
      <c r="C5513" s="15"/>
    </row>
    <row r="5514" spans="1:3" x14ac:dyDescent="0.25">
      <c r="A5514" s="21" t="str">
        <f>IF(C5514="","",COUNTA($C$3:C5514))</f>
        <v/>
      </c>
      <c r="B5514" s="35" t="str">
        <f t="shared" si="102"/>
        <v/>
      </c>
      <c r="C5514" s="15"/>
    </row>
    <row r="5515" spans="1:3" x14ac:dyDescent="0.25">
      <c r="A5515" s="21" t="str">
        <f>IF(C5515="","",COUNTA($C$3:C5515))</f>
        <v/>
      </c>
      <c r="B5515" s="35" t="str">
        <f t="shared" si="102"/>
        <v/>
      </c>
      <c r="C5515" s="15"/>
    </row>
    <row r="5516" spans="1:3" x14ac:dyDescent="0.25">
      <c r="A5516" s="21" t="str">
        <f>IF(C5516="","",COUNTA($C$3:C5516))</f>
        <v/>
      </c>
      <c r="B5516" s="35" t="str">
        <f t="shared" si="102"/>
        <v/>
      </c>
      <c r="C5516" s="15"/>
    </row>
    <row r="5517" spans="1:3" x14ac:dyDescent="0.25">
      <c r="A5517" s="21" t="str">
        <f>IF(C5517="","",COUNTA($C$3:C5517))</f>
        <v/>
      </c>
      <c r="B5517" s="35" t="str">
        <f t="shared" si="102"/>
        <v/>
      </c>
      <c r="C5517" s="15"/>
    </row>
    <row r="5518" spans="1:3" x14ac:dyDescent="0.25">
      <c r="A5518" s="21" t="str">
        <f>IF(C5518="","",COUNTA($C$3:C5518))</f>
        <v/>
      </c>
      <c r="B5518" s="35" t="str">
        <f t="shared" si="102"/>
        <v/>
      </c>
      <c r="C5518" s="15"/>
    </row>
    <row r="5519" spans="1:3" x14ac:dyDescent="0.25">
      <c r="A5519" s="21" t="str">
        <f>IF(C5519="","",COUNTA($C$3:C5519))</f>
        <v/>
      </c>
      <c r="B5519" s="35" t="str">
        <f t="shared" si="102"/>
        <v/>
      </c>
      <c r="C5519" s="15"/>
    </row>
    <row r="5520" spans="1:3" x14ac:dyDescent="0.25">
      <c r="A5520" s="21" t="str">
        <f>IF(C5520="","",COUNTA($C$3:C5520))</f>
        <v/>
      </c>
      <c r="B5520" s="35" t="str">
        <f t="shared" si="102"/>
        <v/>
      </c>
      <c r="C5520" s="15"/>
    </row>
    <row r="5521" spans="1:3" x14ac:dyDescent="0.25">
      <c r="A5521" s="21" t="str">
        <f>IF(C5521="","",COUNTA($C$3:C5521))</f>
        <v/>
      </c>
      <c r="B5521" s="35" t="str">
        <f t="shared" si="102"/>
        <v/>
      </c>
      <c r="C5521" s="15"/>
    </row>
    <row r="5522" spans="1:3" x14ac:dyDescent="0.25">
      <c r="A5522" s="21" t="str">
        <f>IF(C5522="","",COUNTA($C$3:C5522))</f>
        <v/>
      </c>
      <c r="B5522" s="35" t="str">
        <f t="shared" si="102"/>
        <v/>
      </c>
      <c r="C5522" s="15"/>
    </row>
    <row r="5523" spans="1:3" x14ac:dyDescent="0.25">
      <c r="A5523" s="21" t="str">
        <f>IF(C5523="","",COUNTA($C$3:C5523))</f>
        <v/>
      </c>
      <c r="B5523" s="35" t="str">
        <f t="shared" si="102"/>
        <v/>
      </c>
      <c r="C5523" s="15"/>
    </row>
    <row r="5524" spans="1:3" x14ac:dyDescent="0.25">
      <c r="A5524" s="21" t="str">
        <f>IF(C5524="","",COUNTA($C$3:C5524))</f>
        <v/>
      </c>
      <c r="B5524" s="35" t="str">
        <f t="shared" si="102"/>
        <v/>
      </c>
      <c r="C5524" s="15"/>
    </row>
    <row r="5525" spans="1:3" x14ac:dyDescent="0.25">
      <c r="A5525" s="21" t="str">
        <f>IF(C5525="","",COUNTA($C$3:C5525))</f>
        <v/>
      </c>
      <c r="B5525" s="35" t="str">
        <f t="shared" si="102"/>
        <v/>
      </c>
      <c r="C5525" s="15"/>
    </row>
    <row r="5526" spans="1:3" x14ac:dyDescent="0.25">
      <c r="A5526" s="21" t="str">
        <f>IF(C5526="","",COUNTA($C$3:C5526))</f>
        <v/>
      </c>
      <c r="B5526" s="35" t="str">
        <f t="shared" si="102"/>
        <v/>
      </c>
      <c r="C5526" s="15"/>
    </row>
    <row r="5527" spans="1:3" x14ac:dyDescent="0.25">
      <c r="A5527" s="21" t="str">
        <f>IF(C5527="","",COUNTA($C$3:C5527))</f>
        <v/>
      </c>
      <c r="B5527" s="35" t="str">
        <f t="shared" si="102"/>
        <v/>
      </c>
      <c r="C5527" s="15"/>
    </row>
    <row r="5528" spans="1:3" x14ac:dyDescent="0.25">
      <c r="A5528" s="21" t="str">
        <f>IF(C5528="","",COUNTA($C$3:C5528))</f>
        <v/>
      </c>
      <c r="B5528" s="35" t="str">
        <f t="shared" si="102"/>
        <v/>
      </c>
      <c r="C5528" s="15"/>
    </row>
    <row r="5529" spans="1:3" x14ac:dyDescent="0.25">
      <c r="A5529" s="21" t="str">
        <f>IF(C5529="","",COUNTA($C$3:C5529))</f>
        <v/>
      </c>
      <c r="B5529" s="35" t="str">
        <f t="shared" si="102"/>
        <v/>
      </c>
      <c r="C5529" s="15"/>
    </row>
    <row r="5530" spans="1:3" x14ac:dyDescent="0.25">
      <c r="A5530" s="21" t="str">
        <f>IF(C5530="","",COUNTA($C$3:C5530))</f>
        <v/>
      </c>
      <c r="B5530" s="35" t="str">
        <f t="shared" si="102"/>
        <v/>
      </c>
      <c r="C5530" s="15"/>
    </row>
    <row r="5531" spans="1:3" x14ac:dyDescent="0.25">
      <c r="A5531" s="21" t="str">
        <f>IF(C5531="","",COUNTA($C$3:C5531))</f>
        <v/>
      </c>
      <c r="B5531" s="35" t="str">
        <f t="shared" si="102"/>
        <v/>
      </c>
      <c r="C5531" s="15"/>
    </row>
    <row r="5532" spans="1:3" x14ac:dyDescent="0.25">
      <c r="A5532" s="21" t="str">
        <f>IF(C5532="","",COUNTA($C$3:C5532))</f>
        <v/>
      </c>
      <c r="B5532" s="35" t="str">
        <f t="shared" si="102"/>
        <v/>
      </c>
      <c r="C5532" s="15"/>
    </row>
    <row r="5533" spans="1:3" x14ac:dyDescent="0.25">
      <c r="A5533" s="21" t="str">
        <f>IF(C5533="","",COUNTA($C$3:C5533))</f>
        <v/>
      </c>
      <c r="B5533" s="35" t="str">
        <f t="shared" si="102"/>
        <v/>
      </c>
      <c r="C5533" s="15"/>
    </row>
    <row r="5534" spans="1:3" x14ac:dyDescent="0.25">
      <c r="A5534" s="21" t="str">
        <f>IF(C5534="","",COUNTA($C$3:C5534))</f>
        <v/>
      </c>
      <c r="B5534" s="35" t="str">
        <f t="shared" si="102"/>
        <v/>
      </c>
      <c r="C5534" s="15"/>
    </row>
    <row r="5535" spans="1:3" x14ac:dyDescent="0.25">
      <c r="A5535" s="21" t="str">
        <f>IF(C5535="","",COUNTA($C$3:C5535))</f>
        <v/>
      </c>
      <c r="B5535" s="35" t="str">
        <f t="shared" si="102"/>
        <v/>
      </c>
      <c r="C5535" s="15"/>
    </row>
    <row r="5536" spans="1:3" x14ac:dyDescent="0.25">
      <c r="A5536" s="21" t="str">
        <f>IF(C5536="","",COUNTA($C$3:C5536))</f>
        <v/>
      </c>
      <c r="B5536" s="35" t="str">
        <f t="shared" si="102"/>
        <v/>
      </c>
      <c r="C5536" s="15"/>
    </row>
    <row r="5537" spans="1:3" x14ac:dyDescent="0.25">
      <c r="A5537" s="21" t="str">
        <f>IF(C5537="","",COUNTA($C$3:C5537))</f>
        <v/>
      </c>
      <c r="B5537" s="35" t="str">
        <f t="shared" si="102"/>
        <v/>
      </c>
      <c r="C5537" s="15"/>
    </row>
    <row r="5538" spans="1:3" x14ac:dyDescent="0.25">
      <c r="A5538" s="21" t="str">
        <f>IF(C5538="","",COUNTA($C$3:C5538))</f>
        <v/>
      </c>
      <c r="B5538" s="35" t="str">
        <f t="shared" si="102"/>
        <v/>
      </c>
      <c r="C5538" s="15"/>
    </row>
    <row r="5539" spans="1:3" x14ac:dyDescent="0.25">
      <c r="A5539" s="21" t="str">
        <f>IF(C5539="","",COUNTA($C$3:C5539))</f>
        <v/>
      </c>
      <c r="B5539" s="35" t="str">
        <f t="shared" si="102"/>
        <v/>
      </c>
      <c r="C5539" s="15"/>
    </row>
    <row r="5540" spans="1:3" x14ac:dyDescent="0.25">
      <c r="A5540" s="21" t="str">
        <f>IF(C5540="","",COUNTA($C$3:C5540))</f>
        <v/>
      </c>
      <c r="B5540" s="35" t="str">
        <f t="shared" si="102"/>
        <v/>
      </c>
      <c r="C5540" s="15"/>
    </row>
    <row r="5541" spans="1:3" x14ac:dyDescent="0.25">
      <c r="A5541" s="21" t="str">
        <f>IF(C5541="","",COUNTA($C$3:C5541))</f>
        <v/>
      </c>
      <c r="B5541" s="35" t="str">
        <f t="shared" si="102"/>
        <v/>
      </c>
      <c r="C5541" s="15"/>
    </row>
    <row r="5542" spans="1:3" x14ac:dyDescent="0.25">
      <c r="A5542" s="21" t="str">
        <f>IF(C5542="","",COUNTA($C$3:C5542))</f>
        <v/>
      </c>
      <c r="B5542" s="35" t="str">
        <f t="shared" si="102"/>
        <v/>
      </c>
      <c r="C5542" s="15"/>
    </row>
    <row r="5543" spans="1:3" x14ac:dyDescent="0.25">
      <c r="A5543" s="21" t="str">
        <f>IF(C5543="","",COUNTA($C$3:C5543))</f>
        <v/>
      </c>
      <c r="B5543" s="35" t="str">
        <f t="shared" si="102"/>
        <v/>
      </c>
      <c r="C5543" s="15"/>
    </row>
    <row r="5544" spans="1:3" x14ac:dyDescent="0.25">
      <c r="A5544" s="21" t="str">
        <f>IF(C5544="","",COUNTA($C$3:C5544))</f>
        <v/>
      </c>
      <c r="B5544" s="35" t="str">
        <f t="shared" si="102"/>
        <v/>
      </c>
      <c r="C5544" s="15"/>
    </row>
    <row r="5545" spans="1:3" x14ac:dyDescent="0.25">
      <c r="A5545" s="21" t="str">
        <f>IF(C5545="","",COUNTA($C$3:C5545))</f>
        <v/>
      </c>
      <c r="B5545" s="35" t="str">
        <f t="shared" si="102"/>
        <v/>
      </c>
      <c r="C5545" s="15"/>
    </row>
    <row r="5546" spans="1:3" x14ac:dyDescent="0.25">
      <c r="A5546" s="21" t="str">
        <f>IF(C5546="","",COUNTA($C$3:C5546))</f>
        <v/>
      </c>
      <c r="B5546" s="35" t="str">
        <f t="shared" si="102"/>
        <v/>
      </c>
      <c r="C5546" s="15"/>
    </row>
    <row r="5547" spans="1:3" x14ac:dyDescent="0.25">
      <c r="A5547" s="21" t="str">
        <f>IF(C5547="","",COUNTA($C$3:C5547))</f>
        <v/>
      </c>
      <c r="B5547" s="35" t="str">
        <f t="shared" si="102"/>
        <v/>
      </c>
      <c r="C5547" s="15"/>
    </row>
    <row r="5548" spans="1:3" x14ac:dyDescent="0.25">
      <c r="A5548" s="21" t="str">
        <f>IF(C5548="","",COUNTA($C$3:C5548))</f>
        <v/>
      </c>
      <c r="B5548" s="35" t="str">
        <f t="shared" si="102"/>
        <v/>
      </c>
      <c r="C5548" s="15"/>
    </row>
    <row r="5549" spans="1:3" x14ac:dyDescent="0.25">
      <c r="A5549" s="21" t="str">
        <f>IF(C5549="","",COUNTA($C$3:C5549))</f>
        <v/>
      </c>
      <c r="B5549" s="35" t="str">
        <f t="shared" si="102"/>
        <v/>
      </c>
      <c r="C5549" s="15"/>
    </row>
    <row r="5550" spans="1:3" x14ac:dyDescent="0.25">
      <c r="A5550" s="21" t="str">
        <f>IF(C5550="","",COUNTA($C$3:C5550))</f>
        <v/>
      </c>
      <c r="B5550" s="35" t="str">
        <f t="shared" si="102"/>
        <v/>
      </c>
      <c r="C5550" s="15"/>
    </row>
    <row r="5551" spans="1:3" x14ac:dyDescent="0.25">
      <c r="A5551" s="21" t="str">
        <f>IF(C5551="","",COUNTA($C$3:C5551))</f>
        <v/>
      </c>
      <c r="B5551" s="35" t="str">
        <f t="shared" si="102"/>
        <v/>
      </c>
      <c r="C5551" s="15"/>
    </row>
    <row r="5552" spans="1:3" x14ac:dyDescent="0.25">
      <c r="A5552" s="21" t="str">
        <f>IF(C5552="","",COUNTA($C$3:C5552))</f>
        <v/>
      </c>
      <c r="B5552" s="35" t="str">
        <f t="shared" si="102"/>
        <v/>
      </c>
      <c r="C5552" s="15"/>
    </row>
    <row r="5553" spans="1:3" x14ac:dyDescent="0.25">
      <c r="A5553" s="21" t="str">
        <f>IF(C5553="","",COUNTA($C$3:C5553))</f>
        <v/>
      </c>
      <c r="B5553" s="35" t="str">
        <f t="shared" si="102"/>
        <v/>
      </c>
      <c r="C5553" s="15"/>
    </row>
    <row r="5554" spans="1:3" x14ac:dyDescent="0.25">
      <c r="A5554" s="21" t="str">
        <f>IF(C5554="","",COUNTA($C$3:C5554))</f>
        <v/>
      </c>
      <c r="B5554" s="35" t="str">
        <f t="shared" si="102"/>
        <v/>
      </c>
      <c r="C5554" s="15"/>
    </row>
    <row r="5555" spans="1:3" x14ac:dyDescent="0.25">
      <c r="A5555" s="21" t="str">
        <f>IF(C5555="","",COUNTA($C$3:C5555))</f>
        <v/>
      </c>
      <c r="B5555" s="35" t="str">
        <f t="shared" si="102"/>
        <v/>
      </c>
      <c r="C5555" s="15"/>
    </row>
    <row r="5556" spans="1:3" x14ac:dyDescent="0.25">
      <c r="A5556" s="21" t="str">
        <f>IF(C5556="","",COUNTA($C$3:C5556))</f>
        <v/>
      </c>
      <c r="B5556" s="35" t="str">
        <f t="shared" si="102"/>
        <v/>
      </c>
      <c r="C5556" s="15"/>
    </row>
    <row r="5557" spans="1:3" x14ac:dyDescent="0.25">
      <c r="A5557" s="21" t="str">
        <f>IF(C5557="","",COUNTA($C$3:C5557))</f>
        <v/>
      </c>
      <c r="B5557" s="35" t="str">
        <f t="shared" si="102"/>
        <v/>
      </c>
      <c r="C5557" s="15"/>
    </row>
    <row r="5558" spans="1:3" x14ac:dyDescent="0.25">
      <c r="A5558" s="21" t="str">
        <f>IF(C5558="","",COUNTA($C$3:C5558))</f>
        <v/>
      </c>
      <c r="B5558" s="35" t="str">
        <f t="shared" si="102"/>
        <v/>
      </c>
      <c r="C5558" s="15"/>
    </row>
    <row r="5559" spans="1:3" x14ac:dyDescent="0.25">
      <c r="A5559" s="21" t="str">
        <f>IF(C5559="","",COUNTA($C$3:C5559))</f>
        <v/>
      </c>
      <c r="B5559" s="35" t="str">
        <f t="shared" si="102"/>
        <v/>
      </c>
      <c r="C5559" s="15"/>
    </row>
    <row r="5560" spans="1:3" x14ac:dyDescent="0.25">
      <c r="A5560" s="21" t="str">
        <f>IF(C5560="","",COUNTA($C$3:C5560))</f>
        <v/>
      </c>
      <c r="B5560" s="35" t="str">
        <f t="shared" si="102"/>
        <v/>
      </c>
      <c r="C5560" s="15"/>
    </row>
    <row r="5561" spans="1:3" x14ac:dyDescent="0.25">
      <c r="A5561" s="21" t="str">
        <f>IF(C5561="","",COUNTA($C$3:C5561))</f>
        <v/>
      </c>
      <c r="B5561" s="35" t="str">
        <f t="shared" si="102"/>
        <v/>
      </c>
      <c r="C5561" s="15"/>
    </row>
    <row r="5562" spans="1:3" x14ac:dyDescent="0.25">
      <c r="A5562" s="21" t="str">
        <f>IF(C5562="","",COUNTA($C$3:C5562))</f>
        <v/>
      </c>
      <c r="B5562" s="35" t="str">
        <f t="shared" si="102"/>
        <v/>
      </c>
      <c r="C5562" s="15"/>
    </row>
    <row r="5563" spans="1:3" x14ac:dyDescent="0.25">
      <c r="A5563" s="21" t="str">
        <f>IF(C5563="","",COUNTA($C$3:C5563))</f>
        <v/>
      </c>
      <c r="B5563" s="35" t="str">
        <f t="shared" si="102"/>
        <v/>
      </c>
      <c r="C5563" s="15"/>
    </row>
    <row r="5564" spans="1:3" x14ac:dyDescent="0.25">
      <c r="A5564" s="21" t="str">
        <f>IF(C5564="","",COUNTA($C$3:C5564))</f>
        <v/>
      </c>
      <c r="B5564" s="35" t="str">
        <f t="shared" si="102"/>
        <v/>
      </c>
      <c r="C5564" s="15"/>
    </row>
    <row r="5565" spans="1:3" x14ac:dyDescent="0.25">
      <c r="A5565" s="21" t="str">
        <f>IF(C5565="","",COUNTA($C$3:C5565))</f>
        <v/>
      </c>
      <c r="B5565" s="35" t="str">
        <f t="shared" si="102"/>
        <v/>
      </c>
      <c r="C5565" s="15"/>
    </row>
    <row r="5566" spans="1:3" x14ac:dyDescent="0.25">
      <c r="A5566" s="21" t="str">
        <f>IF(C5566="","",COUNTA($C$3:C5566))</f>
        <v/>
      </c>
      <c r="B5566" s="35" t="str">
        <f t="shared" si="102"/>
        <v/>
      </c>
      <c r="C5566" s="15"/>
    </row>
    <row r="5567" spans="1:3" x14ac:dyDescent="0.25">
      <c r="A5567" s="21" t="str">
        <f>IF(C5567="","",COUNTA($C$3:C5567))</f>
        <v/>
      </c>
      <c r="B5567" s="35" t="str">
        <f t="shared" si="102"/>
        <v/>
      </c>
      <c r="C5567" s="15"/>
    </row>
    <row r="5568" spans="1:3" x14ac:dyDescent="0.25">
      <c r="A5568" s="21" t="str">
        <f>IF(C5568="","",COUNTA($C$3:C5568))</f>
        <v/>
      </c>
      <c r="B5568" s="35" t="str">
        <f t="shared" si="102"/>
        <v/>
      </c>
      <c r="C5568" s="15"/>
    </row>
    <row r="5569" spans="1:3" x14ac:dyDescent="0.25">
      <c r="A5569" s="21" t="str">
        <f>IF(C5569="","",COUNTA($C$3:C5569))</f>
        <v/>
      </c>
      <c r="B5569" s="35" t="str">
        <f t="shared" si="102"/>
        <v/>
      </c>
      <c r="C5569" s="15"/>
    </row>
    <row r="5570" spans="1:3" x14ac:dyDescent="0.25">
      <c r="A5570" s="21" t="str">
        <f>IF(C5570="","",COUNTA($C$3:C5570))</f>
        <v/>
      </c>
      <c r="B5570" s="35" t="str">
        <f t="shared" si="102"/>
        <v/>
      </c>
      <c r="C5570" s="15"/>
    </row>
    <row r="5571" spans="1:3" x14ac:dyDescent="0.25">
      <c r="A5571" s="21" t="str">
        <f>IF(C5571="","",COUNTA($C$3:C5571))</f>
        <v/>
      </c>
      <c r="B5571" s="35" t="str">
        <f t="shared" si="102"/>
        <v/>
      </c>
      <c r="C5571" s="15"/>
    </row>
    <row r="5572" spans="1:3" x14ac:dyDescent="0.25">
      <c r="A5572" s="21" t="str">
        <f>IF(C5572="","",COUNTA($C$3:C5572))</f>
        <v/>
      </c>
      <c r="B5572" s="35" t="str">
        <f t="shared" si="102"/>
        <v/>
      </c>
      <c r="C5572" s="15"/>
    </row>
    <row r="5573" spans="1:3" x14ac:dyDescent="0.25">
      <c r="A5573" s="21" t="str">
        <f>IF(C5573="","",COUNTA($C$3:C5573))</f>
        <v/>
      </c>
      <c r="B5573" s="35" t="str">
        <f t="shared" ref="B5573:B5636" si="103">IF(C5573="","",TEXT(C5573,"mmmm"))</f>
        <v/>
      </c>
      <c r="C5573" s="15"/>
    </row>
    <row r="5574" spans="1:3" x14ac:dyDescent="0.25">
      <c r="A5574" s="21" t="str">
        <f>IF(C5574="","",COUNTA($C$3:C5574))</f>
        <v/>
      </c>
      <c r="B5574" s="35" t="str">
        <f t="shared" si="103"/>
        <v/>
      </c>
      <c r="C5574" s="15"/>
    </row>
    <row r="5575" spans="1:3" x14ac:dyDescent="0.25">
      <c r="A5575" s="21" t="str">
        <f>IF(C5575="","",COUNTA($C$3:C5575))</f>
        <v/>
      </c>
      <c r="B5575" s="35" t="str">
        <f t="shared" si="103"/>
        <v/>
      </c>
      <c r="C5575" s="15"/>
    </row>
    <row r="5576" spans="1:3" x14ac:dyDescent="0.25">
      <c r="A5576" s="21" t="str">
        <f>IF(C5576="","",COUNTA($C$3:C5576))</f>
        <v/>
      </c>
      <c r="B5576" s="35" t="str">
        <f t="shared" si="103"/>
        <v/>
      </c>
      <c r="C5576" s="15"/>
    </row>
    <row r="5577" spans="1:3" x14ac:dyDescent="0.25">
      <c r="A5577" s="21" t="str">
        <f>IF(C5577="","",COUNTA($C$3:C5577))</f>
        <v/>
      </c>
      <c r="B5577" s="35" t="str">
        <f t="shared" si="103"/>
        <v/>
      </c>
      <c r="C5577" s="15"/>
    </row>
    <row r="5578" spans="1:3" x14ac:dyDescent="0.25">
      <c r="A5578" s="21" t="str">
        <f>IF(C5578="","",COUNTA($C$3:C5578))</f>
        <v/>
      </c>
      <c r="B5578" s="35" t="str">
        <f t="shared" si="103"/>
        <v/>
      </c>
      <c r="C5578" s="15"/>
    </row>
    <row r="5579" spans="1:3" x14ac:dyDescent="0.25">
      <c r="A5579" s="21" t="str">
        <f>IF(C5579="","",COUNTA($C$3:C5579))</f>
        <v/>
      </c>
      <c r="B5579" s="35" t="str">
        <f t="shared" si="103"/>
        <v/>
      </c>
      <c r="C5579" s="15"/>
    </row>
    <row r="5580" spans="1:3" x14ac:dyDescent="0.25">
      <c r="A5580" s="21" t="str">
        <f>IF(C5580="","",COUNTA($C$3:C5580))</f>
        <v/>
      </c>
      <c r="B5580" s="35" t="str">
        <f t="shared" si="103"/>
        <v/>
      </c>
      <c r="C5580" s="15"/>
    </row>
    <row r="5581" spans="1:3" x14ac:dyDescent="0.25">
      <c r="A5581" s="21" t="str">
        <f>IF(C5581="","",COUNTA($C$3:C5581))</f>
        <v/>
      </c>
      <c r="B5581" s="35" t="str">
        <f t="shared" si="103"/>
        <v/>
      </c>
      <c r="C5581" s="15"/>
    </row>
    <row r="5582" spans="1:3" x14ac:dyDescent="0.25">
      <c r="A5582" s="21" t="str">
        <f>IF(C5582="","",COUNTA($C$3:C5582))</f>
        <v/>
      </c>
      <c r="B5582" s="35" t="str">
        <f t="shared" si="103"/>
        <v/>
      </c>
      <c r="C5582" s="15"/>
    </row>
    <row r="5583" spans="1:3" x14ac:dyDescent="0.25">
      <c r="A5583" s="21" t="str">
        <f>IF(C5583="","",COUNTA($C$3:C5583))</f>
        <v/>
      </c>
      <c r="B5583" s="35" t="str">
        <f t="shared" si="103"/>
        <v/>
      </c>
      <c r="C5583" s="15"/>
    </row>
    <row r="5584" spans="1:3" x14ac:dyDescent="0.25">
      <c r="A5584" s="21" t="str">
        <f>IF(C5584="","",COUNTA($C$3:C5584))</f>
        <v/>
      </c>
      <c r="B5584" s="35" t="str">
        <f t="shared" si="103"/>
        <v/>
      </c>
      <c r="C5584" s="15"/>
    </row>
    <row r="5585" spans="1:3" x14ac:dyDescent="0.25">
      <c r="A5585" s="21" t="str">
        <f>IF(C5585="","",COUNTA($C$3:C5585))</f>
        <v/>
      </c>
      <c r="B5585" s="35" t="str">
        <f t="shared" si="103"/>
        <v/>
      </c>
      <c r="C5585" s="15"/>
    </row>
    <row r="5586" spans="1:3" x14ac:dyDescent="0.25">
      <c r="A5586" s="21" t="str">
        <f>IF(C5586="","",COUNTA($C$3:C5586))</f>
        <v/>
      </c>
      <c r="B5586" s="35" t="str">
        <f t="shared" si="103"/>
        <v/>
      </c>
      <c r="C5586" s="15"/>
    </row>
    <row r="5587" spans="1:3" x14ac:dyDescent="0.25">
      <c r="A5587" s="21" t="str">
        <f>IF(C5587="","",COUNTA($C$3:C5587))</f>
        <v/>
      </c>
      <c r="B5587" s="35" t="str">
        <f t="shared" si="103"/>
        <v/>
      </c>
      <c r="C5587" s="15"/>
    </row>
    <row r="5588" spans="1:3" x14ac:dyDescent="0.25">
      <c r="A5588" s="21" t="str">
        <f>IF(C5588="","",COUNTA($C$3:C5588))</f>
        <v/>
      </c>
      <c r="B5588" s="35" t="str">
        <f t="shared" si="103"/>
        <v/>
      </c>
      <c r="C5588" s="15"/>
    </row>
    <row r="5589" spans="1:3" x14ac:dyDescent="0.25">
      <c r="A5589" s="21" t="str">
        <f>IF(C5589="","",COUNTA($C$3:C5589))</f>
        <v/>
      </c>
      <c r="B5589" s="35" t="str">
        <f t="shared" si="103"/>
        <v/>
      </c>
      <c r="C5589" s="15"/>
    </row>
    <row r="5590" spans="1:3" x14ac:dyDescent="0.25">
      <c r="A5590" s="21" t="str">
        <f>IF(C5590="","",COUNTA($C$3:C5590))</f>
        <v/>
      </c>
      <c r="B5590" s="35" t="str">
        <f t="shared" si="103"/>
        <v/>
      </c>
      <c r="C5590" s="15"/>
    </row>
    <row r="5591" spans="1:3" x14ac:dyDescent="0.25">
      <c r="A5591" s="21" t="str">
        <f>IF(C5591="","",COUNTA($C$3:C5591))</f>
        <v/>
      </c>
      <c r="B5591" s="35" t="str">
        <f t="shared" si="103"/>
        <v/>
      </c>
      <c r="C5591" s="15"/>
    </row>
    <row r="5592" spans="1:3" x14ac:dyDescent="0.25">
      <c r="A5592" s="21" t="str">
        <f>IF(C5592="","",COUNTA($C$3:C5592))</f>
        <v/>
      </c>
      <c r="B5592" s="35" t="str">
        <f t="shared" si="103"/>
        <v/>
      </c>
      <c r="C5592" s="15"/>
    </row>
    <row r="5593" spans="1:3" x14ac:dyDescent="0.25">
      <c r="A5593" s="21" t="str">
        <f>IF(C5593="","",COUNTA($C$3:C5593))</f>
        <v/>
      </c>
      <c r="B5593" s="35" t="str">
        <f t="shared" si="103"/>
        <v/>
      </c>
      <c r="C5593" s="15"/>
    </row>
    <row r="5594" spans="1:3" x14ac:dyDescent="0.25">
      <c r="A5594" s="21" t="str">
        <f>IF(C5594="","",COUNTA($C$3:C5594))</f>
        <v/>
      </c>
      <c r="B5594" s="35" t="str">
        <f t="shared" si="103"/>
        <v/>
      </c>
      <c r="C5594" s="15"/>
    </row>
    <row r="5595" spans="1:3" x14ac:dyDescent="0.25">
      <c r="A5595" s="21" t="str">
        <f>IF(C5595="","",COUNTA($C$3:C5595))</f>
        <v/>
      </c>
      <c r="B5595" s="35" t="str">
        <f t="shared" si="103"/>
        <v/>
      </c>
      <c r="C5595" s="15"/>
    </row>
    <row r="5596" spans="1:3" x14ac:dyDescent="0.25">
      <c r="A5596" s="21" t="str">
        <f>IF(C5596="","",COUNTA($C$3:C5596))</f>
        <v/>
      </c>
      <c r="B5596" s="35" t="str">
        <f t="shared" si="103"/>
        <v/>
      </c>
      <c r="C5596" s="15"/>
    </row>
    <row r="5597" spans="1:3" x14ac:dyDescent="0.25">
      <c r="A5597" s="21" t="str">
        <f>IF(C5597="","",COUNTA($C$3:C5597))</f>
        <v/>
      </c>
      <c r="B5597" s="35" t="str">
        <f t="shared" si="103"/>
        <v/>
      </c>
      <c r="C5597" s="15"/>
    </row>
    <row r="5598" spans="1:3" x14ac:dyDescent="0.25">
      <c r="A5598" s="21" t="str">
        <f>IF(C5598="","",COUNTA($C$3:C5598))</f>
        <v/>
      </c>
      <c r="B5598" s="35" t="str">
        <f t="shared" si="103"/>
        <v/>
      </c>
      <c r="C5598" s="15"/>
    </row>
    <row r="5599" spans="1:3" x14ac:dyDescent="0.25">
      <c r="A5599" s="21" t="str">
        <f>IF(C5599="","",COUNTA($C$3:C5599))</f>
        <v/>
      </c>
      <c r="B5599" s="35" t="str">
        <f t="shared" si="103"/>
        <v/>
      </c>
      <c r="C5599" s="15"/>
    </row>
    <row r="5600" spans="1:3" x14ac:dyDescent="0.25">
      <c r="A5600" s="21" t="str">
        <f>IF(C5600="","",COUNTA($C$3:C5600))</f>
        <v/>
      </c>
      <c r="B5600" s="35" t="str">
        <f t="shared" si="103"/>
        <v/>
      </c>
      <c r="C5600" s="15"/>
    </row>
    <row r="5601" spans="1:3" x14ac:dyDescent="0.25">
      <c r="A5601" s="21" t="str">
        <f>IF(C5601="","",COUNTA($C$3:C5601))</f>
        <v/>
      </c>
      <c r="B5601" s="35" t="str">
        <f t="shared" si="103"/>
        <v/>
      </c>
      <c r="C5601" s="15"/>
    </row>
    <row r="5602" spans="1:3" x14ac:dyDescent="0.25">
      <c r="A5602" s="21" t="str">
        <f>IF(C5602="","",COUNTA($C$3:C5602))</f>
        <v/>
      </c>
      <c r="B5602" s="35" t="str">
        <f t="shared" si="103"/>
        <v/>
      </c>
      <c r="C5602" s="15"/>
    </row>
    <row r="5603" spans="1:3" x14ac:dyDescent="0.25">
      <c r="A5603" s="21" t="str">
        <f>IF(C5603="","",COUNTA($C$3:C5603))</f>
        <v/>
      </c>
      <c r="B5603" s="35" t="str">
        <f t="shared" si="103"/>
        <v/>
      </c>
      <c r="C5603" s="15"/>
    </row>
    <row r="5604" spans="1:3" x14ac:dyDescent="0.25">
      <c r="A5604" s="21" t="str">
        <f>IF(C5604="","",COUNTA($C$3:C5604))</f>
        <v/>
      </c>
      <c r="B5604" s="35" t="str">
        <f t="shared" si="103"/>
        <v/>
      </c>
      <c r="C5604" s="15"/>
    </row>
    <row r="5605" spans="1:3" x14ac:dyDescent="0.25">
      <c r="A5605" s="21" t="str">
        <f>IF(C5605="","",COUNTA($C$3:C5605))</f>
        <v/>
      </c>
      <c r="B5605" s="35" t="str">
        <f t="shared" si="103"/>
        <v/>
      </c>
      <c r="C5605" s="15"/>
    </row>
    <row r="5606" spans="1:3" x14ac:dyDescent="0.25">
      <c r="A5606" s="21" t="str">
        <f>IF(C5606="","",COUNTA($C$3:C5606))</f>
        <v/>
      </c>
      <c r="B5606" s="35" t="str">
        <f t="shared" si="103"/>
        <v/>
      </c>
      <c r="C5606" s="15"/>
    </row>
    <row r="5607" spans="1:3" x14ac:dyDescent="0.25">
      <c r="A5607" s="21" t="str">
        <f>IF(C5607="","",COUNTA($C$3:C5607))</f>
        <v/>
      </c>
      <c r="B5607" s="35" t="str">
        <f t="shared" si="103"/>
        <v/>
      </c>
      <c r="C5607" s="15"/>
    </row>
    <row r="5608" spans="1:3" x14ac:dyDescent="0.25">
      <c r="A5608" s="21" t="str">
        <f>IF(C5608="","",COUNTA($C$3:C5608))</f>
        <v/>
      </c>
      <c r="B5608" s="35" t="str">
        <f t="shared" si="103"/>
        <v/>
      </c>
      <c r="C5608" s="15"/>
    </row>
    <row r="5609" spans="1:3" x14ac:dyDescent="0.25">
      <c r="A5609" s="21" t="str">
        <f>IF(C5609="","",COUNTA($C$3:C5609))</f>
        <v/>
      </c>
      <c r="B5609" s="35" t="str">
        <f t="shared" si="103"/>
        <v/>
      </c>
      <c r="C5609" s="15"/>
    </row>
    <row r="5610" spans="1:3" x14ac:dyDescent="0.25">
      <c r="A5610" s="21" t="str">
        <f>IF(C5610="","",COUNTA($C$3:C5610))</f>
        <v/>
      </c>
      <c r="B5610" s="35" t="str">
        <f t="shared" si="103"/>
        <v/>
      </c>
      <c r="C5610" s="15"/>
    </row>
    <row r="5611" spans="1:3" x14ac:dyDescent="0.25">
      <c r="A5611" s="21" t="str">
        <f>IF(C5611="","",COUNTA($C$3:C5611))</f>
        <v/>
      </c>
      <c r="B5611" s="35" t="str">
        <f t="shared" si="103"/>
        <v/>
      </c>
      <c r="C5611" s="15"/>
    </row>
    <row r="5612" spans="1:3" x14ac:dyDescent="0.25">
      <c r="A5612" s="21" t="str">
        <f>IF(C5612="","",COUNTA($C$3:C5612))</f>
        <v/>
      </c>
      <c r="B5612" s="35" t="str">
        <f t="shared" si="103"/>
        <v/>
      </c>
      <c r="C5612" s="15"/>
    </row>
    <row r="5613" spans="1:3" x14ac:dyDescent="0.25">
      <c r="A5613" s="21" t="str">
        <f>IF(C5613="","",COUNTA($C$3:C5613))</f>
        <v/>
      </c>
      <c r="B5613" s="35" t="str">
        <f t="shared" si="103"/>
        <v/>
      </c>
      <c r="C5613" s="15"/>
    </row>
    <row r="5614" spans="1:3" x14ac:dyDescent="0.25">
      <c r="A5614" s="21" t="str">
        <f>IF(C5614="","",COUNTA($C$3:C5614))</f>
        <v/>
      </c>
      <c r="B5614" s="35" t="str">
        <f t="shared" si="103"/>
        <v/>
      </c>
      <c r="C5614" s="15"/>
    </row>
    <row r="5615" spans="1:3" x14ac:dyDescent="0.25">
      <c r="A5615" s="21" t="str">
        <f>IF(C5615="","",COUNTA($C$3:C5615))</f>
        <v/>
      </c>
      <c r="B5615" s="35" t="str">
        <f t="shared" si="103"/>
        <v/>
      </c>
      <c r="C5615" s="15"/>
    </row>
    <row r="5616" spans="1:3" x14ac:dyDescent="0.25">
      <c r="A5616" s="21" t="str">
        <f>IF(C5616="","",COUNTA($C$3:C5616))</f>
        <v/>
      </c>
      <c r="B5616" s="35" t="str">
        <f t="shared" si="103"/>
        <v/>
      </c>
      <c r="C5616" s="15"/>
    </row>
    <row r="5617" spans="1:3" x14ac:dyDescent="0.25">
      <c r="A5617" s="21" t="str">
        <f>IF(C5617="","",COUNTA($C$3:C5617))</f>
        <v/>
      </c>
      <c r="B5617" s="35" t="str">
        <f t="shared" si="103"/>
        <v/>
      </c>
      <c r="C5617" s="15"/>
    </row>
    <row r="5618" spans="1:3" x14ac:dyDescent="0.25">
      <c r="A5618" s="21" t="str">
        <f>IF(C5618="","",COUNTA($C$3:C5618))</f>
        <v/>
      </c>
      <c r="B5618" s="35" t="str">
        <f t="shared" si="103"/>
        <v/>
      </c>
      <c r="C5618" s="15"/>
    </row>
    <row r="5619" spans="1:3" x14ac:dyDescent="0.25">
      <c r="A5619" s="21" t="str">
        <f>IF(C5619="","",COUNTA($C$3:C5619))</f>
        <v/>
      </c>
      <c r="B5619" s="35" t="str">
        <f t="shared" si="103"/>
        <v/>
      </c>
      <c r="C5619" s="15"/>
    </row>
    <row r="5620" spans="1:3" x14ac:dyDescent="0.25">
      <c r="A5620" s="21" t="str">
        <f>IF(C5620="","",COUNTA($C$3:C5620))</f>
        <v/>
      </c>
      <c r="B5620" s="35" t="str">
        <f t="shared" si="103"/>
        <v/>
      </c>
      <c r="C5620" s="15"/>
    </row>
    <row r="5621" spans="1:3" x14ac:dyDescent="0.25">
      <c r="A5621" s="21" t="str">
        <f>IF(C5621="","",COUNTA($C$3:C5621))</f>
        <v/>
      </c>
      <c r="B5621" s="35" t="str">
        <f t="shared" si="103"/>
        <v/>
      </c>
      <c r="C5621" s="15"/>
    </row>
    <row r="5622" spans="1:3" x14ac:dyDescent="0.25">
      <c r="A5622" s="21" t="str">
        <f>IF(C5622="","",COUNTA($C$3:C5622))</f>
        <v/>
      </c>
      <c r="B5622" s="35" t="str">
        <f t="shared" si="103"/>
        <v/>
      </c>
      <c r="C5622" s="15"/>
    </row>
    <row r="5623" spans="1:3" x14ac:dyDescent="0.25">
      <c r="A5623" s="21" t="str">
        <f>IF(C5623="","",COUNTA($C$3:C5623))</f>
        <v/>
      </c>
      <c r="B5623" s="35" t="str">
        <f t="shared" si="103"/>
        <v/>
      </c>
      <c r="C5623" s="15"/>
    </row>
    <row r="5624" spans="1:3" x14ac:dyDescent="0.25">
      <c r="A5624" s="21" t="str">
        <f>IF(C5624="","",COUNTA($C$3:C5624))</f>
        <v/>
      </c>
      <c r="B5624" s="35" t="str">
        <f t="shared" si="103"/>
        <v/>
      </c>
      <c r="C5624" s="15"/>
    </row>
    <row r="5625" spans="1:3" x14ac:dyDescent="0.25">
      <c r="A5625" s="21" t="str">
        <f>IF(C5625="","",COUNTA($C$3:C5625))</f>
        <v/>
      </c>
      <c r="B5625" s="35" t="str">
        <f t="shared" si="103"/>
        <v/>
      </c>
      <c r="C5625" s="15"/>
    </row>
    <row r="5626" spans="1:3" x14ac:dyDescent="0.25">
      <c r="A5626" s="21" t="str">
        <f>IF(C5626="","",COUNTA($C$3:C5626))</f>
        <v/>
      </c>
      <c r="B5626" s="35" t="str">
        <f t="shared" si="103"/>
        <v/>
      </c>
      <c r="C5626" s="15"/>
    </row>
    <row r="5627" spans="1:3" x14ac:dyDescent="0.25">
      <c r="A5627" s="21" t="str">
        <f>IF(C5627="","",COUNTA($C$3:C5627))</f>
        <v/>
      </c>
      <c r="B5627" s="35" t="str">
        <f t="shared" si="103"/>
        <v/>
      </c>
      <c r="C5627" s="15"/>
    </row>
    <row r="5628" spans="1:3" x14ac:dyDescent="0.25">
      <c r="A5628" s="21" t="str">
        <f>IF(C5628="","",COUNTA($C$3:C5628))</f>
        <v/>
      </c>
      <c r="B5628" s="35" t="str">
        <f t="shared" si="103"/>
        <v/>
      </c>
      <c r="C5628" s="15"/>
    </row>
    <row r="5629" spans="1:3" x14ac:dyDescent="0.25">
      <c r="A5629" s="21" t="str">
        <f>IF(C5629="","",COUNTA($C$3:C5629))</f>
        <v/>
      </c>
      <c r="B5629" s="35" t="str">
        <f t="shared" si="103"/>
        <v/>
      </c>
      <c r="C5629" s="15"/>
    </row>
    <row r="5630" spans="1:3" x14ac:dyDescent="0.25">
      <c r="A5630" s="21" t="str">
        <f>IF(C5630="","",COUNTA($C$3:C5630))</f>
        <v/>
      </c>
      <c r="B5630" s="35" t="str">
        <f t="shared" si="103"/>
        <v/>
      </c>
      <c r="C5630" s="15"/>
    </row>
    <row r="5631" spans="1:3" x14ac:dyDescent="0.25">
      <c r="A5631" s="21" t="str">
        <f>IF(C5631="","",COUNTA($C$3:C5631))</f>
        <v/>
      </c>
      <c r="B5631" s="35" t="str">
        <f t="shared" si="103"/>
        <v/>
      </c>
      <c r="C5631" s="15"/>
    </row>
    <row r="5632" spans="1:3" x14ac:dyDescent="0.25">
      <c r="A5632" s="21" t="str">
        <f>IF(C5632="","",COUNTA($C$3:C5632))</f>
        <v/>
      </c>
      <c r="B5632" s="35" t="str">
        <f t="shared" si="103"/>
        <v/>
      </c>
      <c r="C5632" s="15"/>
    </row>
    <row r="5633" spans="1:3" x14ac:dyDescent="0.25">
      <c r="A5633" s="21" t="str">
        <f>IF(C5633="","",COUNTA($C$3:C5633))</f>
        <v/>
      </c>
      <c r="B5633" s="35" t="str">
        <f t="shared" si="103"/>
        <v/>
      </c>
      <c r="C5633" s="15"/>
    </row>
    <row r="5634" spans="1:3" x14ac:dyDescent="0.25">
      <c r="A5634" s="21" t="str">
        <f>IF(C5634="","",COUNTA($C$3:C5634))</f>
        <v/>
      </c>
      <c r="B5634" s="35" t="str">
        <f t="shared" si="103"/>
        <v/>
      </c>
      <c r="C5634" s="15"/>
    </row>
    <row r="5635" spans="1:3" x14ac:dyDescent="0.25">
      <c r="A5635" s="21" t="str">
        <f>IF(C5635="","",COUNTA($C$3:C5635))</f>
        <v/>
      </c>
      <c r="B5635" s="35" t="str">
        <f t="shared" si="103"/>
        <v/>
      </c>
      <c r="C5635" s="15"/>
    </row>
    <row r="5636" spans="1:3" x14ac:dyDescent="0.25">
      <c r="A5636" s="21" t="str">
        <f>IF(C5636="","",COUNTA($C$3:C5636))</f>
        <v/>
      </c>
      <c r="B5636" s="35" t="str">
        <f t="shared" si="103"/>
        <v/>
      </c>
      <c r="C5636" s="15"/>
    </row>
    <row r="5637" spans="1:3" x14ac:dyDescent="0.25">
      <c r="A5637" s="21" t="str">
        <f>IF(C5637="","",COUNTA($C$3:C5637))</f>
        <v/>
      </c>
      <c r="B5637" s="35" t="str">
        <f t="shared" ref="B5637:B5700" si="104">IF(C5637="","",TEXT(C5637,"mmmm"))</f>
        <v/>
      </c>
      <c r="C5637" s="15"/>
    </row>
    <row r="5638" spans="1:3" x14ac:dyDescent="0.25">
      <c r="A5638" s="21" t="str">
        <f>IF(C5638="","",COUNTA($C$3:C5638))</f>
        <v/>
      </c>
      <c r="B5638" s="35" t="str">
        <f t="shared" si="104"/>
        <v/>
      </c>
      <c r="C5638" s="15"/>
    </row>
    <row r="5639" spans="1:3" x14ac:dyDescent="0.25">
      <c r="A5639" s="21" t="str">
        <f>IF(C5639="","",COUNTA($C$3:C5639))</f>
        <v/>
      </c>
      <c r="B5639" s="35" t="str">
        <f t="shared" si="104"/>
        <v/>
      </c>
      <c r="C5639" s="15"/>
    </row>
    <row r="5640" spans="1:3" x14ac:dyDescent="0.25">
      <c r="A5640" s="21" t="str">
        <f>IF(C5640="","",COUNTA($C$3:C5640))</f>
        <v/>
      </c>
      <c r="B5640" s="35" t="str">
        <f t="shared" si="104"/>
        <v/>
      </c>
      <c r="C5640" s="15"/>
    </row>
    <row r="5641" spans="1:3" x14ac:dyDescent="0.25">
      <c r="A5641" s="21" t="str">
        <f>IF(C5641="","",COUNTA($C$3:C5641))</f>
        <v/>
      </c>
      <c r="B5641" s="35" t="str">
        <f t="shared" si="104"/>
        <v/>
      </c>
      <c r="C5641" s="15"/>
    </row>
    <row r="5642" spans="1:3" x14ac:dyDescent="0.25">
      <c r="A5642" s="21" t="str">
        <f>IF(C5642="","",COUNTA($C$3:C5642))</f>
        <v/>
      </c>
      <c r="B5642" s="35" t="str">
        <f t="shared" si="104"/>
        <v/>
      </c>
      <c r="C5642" s="15"/>
    </row>
    <row r="5643" spans="1:3" x14ac:dyDescent="0.25">
      <c r="A5643" s="21" t="str">
        <f>IF(C5643="","",COUNTA($C$3:C5643))</f>
        <v/>
      </c>
      <c r="B5643" s="35" t="str">
        <f t="shared" si="104"/>
        <v/>
      </c>
      <c r="C5643" s="15"/>
    </row>
    <row r="5644" spans="1:3" x14ac:dyDescent="0.25">
      <c r="A5644" s="21" t="str">
        <f>IF(C5644="","",COUNTA($C$3:C5644))</f>
        <v/>
      </c>
      <c r="B5644" s="35" t="str">
        <f t="shared" si="104"/>
        <v/>
      </c>
      <c r="C5644" s="15"/>
    </row>
    <row r="5645" spans="1:3" x14ac:dyDescent="0.25">
      <c r="A5645" s="21" t="str">
        <f>IF(C5645="","",COUNTA($C$3:C5645))</f>
        <v/>
      </c>
      <c r="B5645" s="35" t="str">
        <f t="shared" si="104"/>
        <v/>
      </c>
      <c r="C5645" s="15"/>
    </row>
    <row r="5646" spans="1:3" x14ac:dyDescent="0.25">
      <c r="A5646" s="21" t="str">
        <f>IF(C5646="","",COUNTA($C$3:C5646))</f>
        <v/>
      </c>
      <c r="B5646" s="35" t="str">
        <f t="shared" si="104"/>
        <v/>
      </c>
      <c r="C5646" s="15"/>
    </row>
    <row r="5647" spans="1:3" x14ac:dyDescent="0.25">
      <c r="A5647" s="21" t="str">
        <f>IF(C5647="","",COUNTA($C$3:C5647))</f>
        <v/>
      </c>
      <c r="B5647" s="35" t="str">
        <f t="shared" si="104"/>
        <v/>
      </c>
      <c r="C5647" s="15"/>
    </row>
    <row r="5648" spans="1:3" x14ac:dyDescent="0.25">
      <c r="A5648" s="21" t="str">
        <f>IF(C5648="","",COUNTA($C$3:C5648))</f>
        <v/>
      </c>
      <c r="B5648" s="35" t="str">
        <f t="shared" si="104"/>
        <v/>
      </c>
      <c r="C5648" s="15"/>
    </row>
    <row r="5649" spans="1:3" x14ac:dyDescent="0.25">
      <c r="A5649" s="21" t="str">
        <f>IF(C5649="","",COUNTA($C$3:C5649))</f>
        <v/>
      </c>
      <c r="B5649" s="35" t="str">
        <f t="shared" si="104"/>
        <v/>
      </c>
      <c r="C5649" s="15"/>
    </row>
    <row r="5650" spans="1:3" x14ac:dyDescent="0.25">
      <c r="A5650" s="21" t="str">
        <f>IF(C5650="","",COUNTA($C$3:C5650))</f>
        <v/>
      </c>
      <c r="B5650" s="35" t="str">
        <f t="shared" si="104"/>
        <v/>
      </c>
      <c r="C5650" s="15"/>
    </row>
    <row r="5651" spans="1:3" x14ac:dyDescent="0.25">
      <c r="A5651" s="21" t="str">
        <f>IF(C5651="","",COUNTA($C$3:C5651))</f>
        <v/>
      </c>
      <c r="B5651" s="35" t="str">
        <f t="shared" si="104"/>
        <v/>
      </c>
      <c r="C5651" s="15"/>
    </row>
    <row r="5652" spans="1:3" x14ac:dyDescent="0.25">
      <c r="A5652" s="21" t="str">
        <f>IF(C5652="","",COUNTA($C$3:C5652))</f>
        <v/>
      </c>
      <c r="B5652" s="35" t="str">
        <f t="shared" si="104"/>
        <v/>
      </c>
      <c r="C5652" s="15"/>
    </row>
    <row r="5653" spans="1:3" x14ac:dyDescent="0.25">
      <c r="A5653" s="21" t="str">
        <f>IF(C5653="","",COUNTA($C$3:C5653))</f>
        <v/>
      </c>
      <c r="B5653" s="35" t="str">
        <f t="shared" si="104"/>
        <v/>
      </c>
      <c r="C5653" s="15"/>
    </row>
    <row r="5654" spans="1:3" x14ac:dyDescent="0.25">
      <c r="A5654" s="21" t="str">
        <f>IF(C5654="","",COUNTA($C$3:C5654))</f>
        <v/>
      </c>
      <c r="B5654" s="35" t="str">
        <f t="shared" si="104"/>
        <v/>
      </c>
      <c r="C5654" s="15"/>
    </row>
    <row r="5655" spans="1:3" x14ac:dyDescent="0.25">
      <c r="A5655" s="21" t="str">
        <f>IF(C5655="","",COUNTA($C$3:C5655))</f>
        <v/>
      </c>
      <c r="B5655" s="35" t="str">
        <f t="shared" si="104"/>
        <v/>
      </c>
      <c r="C5655" s="15"/>
    </row>
    <row r="5656" spans="1:3" x14ac:dyDescent="0.25">
      <c r="A5656" s="21" t="str">
        <f>IF(C5656="","",COUNTA($C$3:C5656))</f>
        <v/>
      </c>
      <c r="B5656" s="35" t="str">
        <f t="shared" si="104"/>
        <v/>
      </c>
      <c r="C5656" s="15"/>
    </row>
    <row r="5657" spans="1:3" x14ac:dyDescent="0.25">
      <c r="A5657" s="21" t="str">
        <f>IF(C5657="","",COUNTA($C$3:C5657))</f>
        <v/>
      </c>
      <c r="B5657" s="35" t="str">
        <f t="shared" si="104"/>
        <v/>
      </c>
      <c r="C5657" s="15"/>
    </row>
    <row r="5658" spans="1:3" x14ac:dyDescent="0.25">
      <c r="A5658" s="21" t="str">
        <f>IF(C5658="","",COUNTA($C$3:C5658))</f>
        <v/>
      </c>
      <c r="B5658" s="35" t="str">
        <f t="shared" si="104"/>
        <v/>
      </c>
      <c r="C5658" s="15"/>
    </row>
    <row r="5659" spans="1:3" x14ac:dyDescent="0.25">
      <c r="A5659" s="21" t="str">
        <f>IF(C5659="","",COUNTA($C$3:C5659))</f>
        <v/>
      </c>
      <c r="B5659" s="35" t="str">
        <f t="shared" si="104"/>
        <v/>
      </c>
      <c r="C5659" s="15"/>
    </row>
    <row r="5660" spans="1:3" x14ac:dyDescent="0.25">
      <c r="A5660" s="21" t="str">
        <f>IF(C5660="","",COUNTA($C$3:C5660))</f>
        <v/>
      </c>
      <c r="B5660" s="35" t="str">
        <f t="shared" si="104"/>
        <v/>
      </c>
      <c r="C5660" s="15"/>
    </row>
    <row r="5661" spans="1:3" x14ac:dyDescent="0.25">
      <c r="A5661" s="21" t="str">
        <f>IF(C5661="","",COUNTA($C$3:C5661))</f>
        <v/>
      </c>
      <c r="B5661" s="35" t="str">
        <f t="shared" si="104"/>
        <v/>
      </c>
      <c r="C5661" s="15"/>
    </row>
    <row r="5662" spans="1:3" x14ac:dyDescent="0.25">
      <c r="A5662" s="21" t="str">
        <f>IF(C5662="","",COUNTA($C$3:C5662))</f>
        <v/>
      </c>
      <c r="B5662" s="35" t="str">
        <f t="shared" si="104"/>
        <v/>
      </c>
      <c r="C5662" s="15"/>
    </row>
    <row r="5663" spans="1:3" x14ac:dyDescent="0.25">
      <c r="A5663" s="21" t="str">
        <f>IF(C5663="","",COUNTA($C$3:C5663))</f>
        <v/>
      </c>
      <c r="B5663" s="35" t="str">
        <f t="shared" si="104"/>
        <v/>
      </c>
      <c r="C5663" s="15"/>
    </row>
    <row r="5664" spans="1:3" x14ac:dyDescent="0.25">
      <c r="A5664" s="21" t="str">
        <f>IF(C5664="","",COUNTA($C$3:C5664))</f>
        <v/>
      </c>
      <c r="B5664" s="35" t="str">
        <f t="shared" si="104"/>
        <v/>
      </c>
      <c r="C5664" s="15"/>
    </row>
    <row r="5665" spans="1:3" x14ac:dyDescent="0.25">
      <c r="A5665" s="21" t="str">
        <f>IF(C5665="","",COUNTA($C$3:C5665))</f>
        <v/>
      </c>
      <c r="B5665" s="35" t="str">
        <f t="shared" si="104"/>
        <v/>
      </c>
      <c r="C5665" s="15"/>
    </row>
    <row r="5666" spans="1:3" x14ac:dyDescent="0.25">
      <c r="A5666" s="21" t="str">
        <f>IF(C5666="","",COUNTA($C$3:C5666))</f>
        <v/>
      </c>
      <c r="B5666" s="35" t="str">
        <f t="shared" si="104"/>
        <v/>
      </c>
      <c r="C5666" s="15"/>
    </row>
    <row r="5667" spans="1:3" x14ac:dyDescent="0.25">
      <c r="A5667" s="21" t="str">
        <f>IF(C5667="","",COUNTA($C$3:C5667))</f>
        <v/>
      </c>
      <c r="B5667" s="35" t="str">
        <f t="shared" si="104"/>
        <v/>
      </c>
      <c r="C5667" s="15"/>
    </row>
    <row r="5668" spans="1:3" x14ac:dyDescent="0.25">
      <c r="A5668" s="21" t="str">
        <f>IF(C5668="","",COUNTA($C$3:C5668))</f>
        <v/>
      </c>
      <c r="B5668" s="35" t="str">
        <f t="shared" si="104"/>
        <v/>
      </c>
      <c r="C5668" s="15"/>
    </row>
    <row r="5669" spans="1:3" x14ac:dyDescent="0.25">
      <c r="A5669" s="21" t="str">
        <f>IF(C5669="","",COUNTA($C$3:C5669))</f>
        <v/>
      </c>
      <c r="B5669" s="35" t="str">
        <f t="shared" si="104"/>
        <v/>
      </c>
      <c r="C5669" s="15"/>
    </row>
    <row r="5670" spans="1:3" x14ac:dyDescent="0.25">
      <c r="A5670" s="21" t="str">
        <f>IF(C5670="","",COUNTA($C$3:C5670))</f>
        <v/>
      </c>
      <c r="B5670" s="35" t="str">
        <f t="shared" si="104"/>
        <v/>
      </c>
      <c r="C5670" s="15"/>
    </row>
    <row r="5671" spans="1:3" x14ac:dyDescent="0.25">
      <c r="A5671" s="21" t="str">
        <f>IF(C5671="","",COUNTA($C$3:C5671))</f>
        <v/>
      </c>
      <c r="B5671" s="35" t="str">
        <f t="shared" si="104"/>
        <v/>
      </c>
      <c r="C5671" s="15"/>
    </row>
    <row r="5672" spans="1:3" x14ac:dyDescent="0.25">
      <c r="A5672" s="21" t="str">
        <f>IF(C5672="","",COUNTA($C$3:C5672))</f>
        <v/>
      </c>
      <c r="B5672" s="35" t="str">
        <f t="shared" si="104"/>
        <v/>
      </c>
      <c r="C5672" s="15"/>
    </row>
    <row r="5673" spans="1:3" x14ac:dyDescent="0.25">
      <c r="A5673" s="21" t="str">
        <f>IF(C5673="","",COUNTA($C$3:C5673))</f>
        <v/>
      </c>
      <c r="B5673" s="35" t="str">
        <f t="shared" si="104"/>
        <v/>
      </c>
      <c r="C5673" s="15"/>
    </row>
    <row r="5674" spans="1:3" x14ac:dyDescent="0.25">
      <c r="A5674" s="21" t="str">
        <f>IF(C5674="","",COUNTA($C$3:C5674))</f>
        <v/>
      </c>
      <c r="B5674" s="35" t="str">
        <f t="shared" si="104"/>
        <v/>
      </c>
      <c r="C5674" s="15"/>
    </row>
    <row r="5675" spans="1:3" x14ac:dyDescent="0.25">
      <c r="A5675" s="21" t="str">
        <f>IF(C5675="","",COUNTA($C$3:C5675))</f>
        <v/>
      </c>
      <c r="B5675" s="35" t="str">
        <f t="shared" si="104"/>
        <v/>
      </c>
      <c r="C5675" s="15"/>
    </row>
    <row r="5676" spans="1:3" x14ac:dyDescent="0.25">
      <c r="A5676" s="21" t="str">
        <f>IF(C5676="","",COUNTA($C$3:C5676))</f>
        <v/>
      </c>
      <c r="B5676" s="35" t="str">
        <f t="shared" si="104"/>
        <v/>
      </c>
      <c r="C5676" s="15"/>
    </row>
    <row r="5677" spans="1:3" x14ac:dyDescent="0.25">
      <c r="A5677" s="21" t="str">
        <f>IF(C5677="","",COUNTA($C$3:C5677))</f>
        <v/>
      </c>
      <c r="B5677" s="35" t="str">
        <f t="shared" si="104"/>
        <v/>
      </c>
      <c r="C5677" s="15"/>
    </row>
    <row r="5678" spans="1:3" x14ac:dyDescent="0.25">
      <c r="A5678" s="21" t="str">
        <f>IF(C5678="","",COUNTA($C$3:C5678))</f>
        <v/>
      </c>
      <c r="B5678" s="35" t="str">
        <f t="shared" si="104"/>
        <v/>
      </c>
      <c r="C5678" s="15"/>
    </row>
    <row r="5679" spans="1:3" x14ac:dyDescent="0.25">
      <c r="A5679" s="21" t="str">
        <f>IF(C5679="","",COUNTA($C$3:C5679))</f>
        <v/>
      </c>
      <c r="B5679" s="35" t="str">
        <f t="shared" si="104"/>
        <v/>
      </c>
      <c r="C5679" s="15"/>
    </row>
    <row r="5680" spans="1:3" x14ac:dyDescent="0.25">
      <c r="A5680" s="21" t="str">
        <f>IF(C5680="","",COUNTA($C$3:C5680))</f>
        <v/>
      </c>
      <c r="B5680" s="35" t="str">
        <f t="shared" si="104"/>
        <v/>
      </c>
      <c r="C5680" s="15"/>
    </row>
    <row r="5681" spans="1:3" x14ac:dyDescent="0.25">
      <c r="A5681" s="21" t="str">
        <f>IF(C5681="","",COUNTA($C$3:C5681))</f>
        <v/>
      </c>
      <c r="B5681" s="35" t="str">
        <f t="shared" si="104"/>
        <v/>
      </c>
      <c r="C5681" s="15"/>
    </row>
    <row r="5682" spans="1:3" x14ac:dyDescent="0.25">
      <c r="A5682" s="21" t="str">
        <f>IF(C5682="","",COUNTA($C$3:C5682))</f>
        <v/>
      </c>
      <c r="B5682" s="35" t="str">
        <f t="shared" si="104"/>
        <v/>
      </c>
      <c r="C5682" s="15"/>
    </row>
    <row r="5683" spans="1:3" x14ac:dyDescent="0.25">
      <c r="A5683" s="21" t="str">
        <f>IF(C5683="","",COUNTA($C$3:C5683))</f>
        <v/>
      </c>
      <c r="B5683" s="35" t="str">
        <f t="shared" si="104"/>
        <v/>
      </c>
      <c r="C5683" s="15"/>
    </row>
    <row r="5684" spans="1:3" x14ac:dyDescent="0.25">
      <c r="A5684" s="21" t="str">
        <f>IF(C5684="","",COUNTA($C$3:C5684))</f>
        <v/>
      </c>
      <c r="B5684" s="35" t="str">
        <f t="shared" si="104"/>
        <v/>
      </c>
      <c r="C5684" s="15"/>
    </row>
    <row r="5685" spans="1:3" x14ac:dyDescent="0.25">
      <c r="A5685" s="21" t="str">
        <f>IF(C5685="","",COUNTA($C$3:C5685))</f>
        <v/>
      </c>
      <c r="B5685" s="35" t="str">
        <f t="shared" si="104"/>
        <v/>
      </c>
      <c r="C5685" s="15"/>
    </row>
    <row r="5686" spans="1:3" x14ac:dyDescent="0.25">
      <c r="A5686" s="21" t="str">
        <f>IF(C5686="","",COUNTA($C$3:C5686))</f>
        <v/>
      </c>
      <c r="B5686" s="35" t="str">
        <f t="shared" si="104"/>
        <v/>
      </c>
      <c r="C5686" s="15"/>
    </row>
    <row r="5687" spans="1:3" x14ac:dyDescent="0.25">
      <c r="A5687" s="21" t="str">
        <f>IF(C5687="","",COUNTA($C$3:C5687))</f>
        <v/>
      </c>
      <c r="B5687" s="35" t="str">
        <f t="shared" si="104"/>
        <v/>
      </c>
      <c r="C5687" s="15"/>
    </row>
    <row r="5688" spans="1:3" x14ac:dyDescent="0.25">
      <c r="A5688" s="21" t="str">
        <f>IF(C5688="","",COUNTA($C$3:C5688))</f>
        <v/>
      </c>
      <c r="B5688" s="35" t="str">
        <f t="shared" si="104"/>
        <v/>
      </c>
      <c r="C5688" s="15"/>
    </row>
    <row r="5689" spans="1:3" x14ac:dyDescent="0.25">
      <c r="A5689" s="21" t="str">
        <f>IF(C5689="","",COUNTA($C$3:C5689))</f>
        <v/>
      </c>
      <c r="B5689" s="35" t="str">
        <f t="shared" si="104"/>
        <v/>
      </c>
      <c r="C5689" s="15"/>
    </row>
    <row r="5690" spans="1:3" x14ac:dyDescent="0.25">
      <c r="A5690" s="21" t="str">
        <f>IF(C5690="","",COUNTA($C$3:C5690))</f>
        <v/>
      </c>
      <c r="B5690" s="35" t="str">
        <f t="shared" si="104"/>
        <v/>
      </c>
      <c r="C5690" s="15"/>
    </row>
    <row r="5691" spans="1:3" x14ac:dyDescent="0.25">
      <c r="A5691" s="21" t="str">
        <f>IF(C5691="","",COUNTA($C$3:C5691))</f>
        <v/>
      </c>
      <c r="B5691" s="35" t="str">
        <f t="shared" si="104"/>
        <v/>
      </c>
      <c r="C5691" s="15"/>
    </row>
    <row r="5692" spans="1:3" x14ac:dyDescent="0.25">
      <c r="A5692" s="21" t="str">
        <f>IF(C5692="","",COUNTA($C$3:C5692))</f>
        <v/>
      </c>
      <c r="B5692" s="35" t="str">
        <f t="shared" si="104"/>
        <v/>
      </c>
      <c r="C5692" s="15"/>
    </row>
    <row r="5693" spans="1:3" x14ac:dyDescent="0.25">
      <c r="A5693" s="21" t="str">
        <f>IF(C5693="","",COUNTA($C$3:C5693))</f>
        <v/>
      </c>
      <c r="B5693" s="35" t="str">
        <f t="shared" si="104"/>
        <v/>
      </c>
      <c r="C5693" s="15"/>
    </row>
    <row r="5694" spans="1:3" x14ac:dyDescent="0.25">
      <c r="A5694" s="21" t="str">
        <f>IF(C5694="","",COUNTA($C$3:C5694))</f>
        <v/>
      </c>
      <c r="B5694" s="35" t="str">
        <f t="shared" si="104"/>
        <v/>
      </c>
      <c r="C5694" s="15"/>
    </row>
    <row r="5695" spans="1:3" x14ac:dyDescent="0.25">
      <c r="A5695" s="21" t="str">
        <f>IF(C5695="","",COUNTA($C$3:C5695))</f>
        <v/>
      </c>
      <c r="B5695" s="35" t="str">
        <f t="shared" si="104"/>
        <v/>
      </c>
      <c r="C5695" s="15"/>
    </row>
    <row r="5696" spans="1:3" x14ac:dyDescent="0.25">
      <c r="A5696" s="21" t="str">
        <f>IF(C5696="","",COUNTA($C$3:C5696))</f>
        <v/>
      </c>
      <c r="B5696" s="35" t="str">
        <f t="shared" si="104"/>
        <v/>
      </c>
      <c r="C5696" s="15"/>
    </row>
    <row r="5697" spans="1:3" x14ac:dyDescent="0.25">
      <c r="A5697" s="21" t="str">
        <f>IF(C5697="","",COUNTA($C$3:C5697))</f>
        <v/>
      </c>
      <c r="B5697" s="35" t="str">
        <f t="shared" si="104"/>
        <v/>
      </c>
      <c r="C5697" s="15"/>
    </row>
    <row r="5698" spans="1:3" x14ac:dyDescent="0.25">
      <c r="A5698" s="21" t="str">
        <f>IF(C5698="","",COUNTA($C$3:C5698))</f>
        <v/>
      </c>
      <c r="B5698" s="35" t="str">
        <f t="shared" si="104"/>
        <v/>
      </c>
      <c r="C5698" s="15"/>
    </row>
    <row r="5699" spans="1:3" x14ac:dyDescent="0.25">
      <c r="A5699" s="21" t="str">
        <f>IF(C5699="","",COUNTA($C$3:C5699))</f>
        <v/>
      </c>
      <c r="B5699" s="35" t="str">
        <f t="shared" si="104"/>
        <v/>
      </c>
      <c r="C5699" s="15"/>
    </row>
    <row r="5700" spans="1:3" x14ac:dyDescent="0.25">
      <c r="A5700" s="21" t="str">
        <f>IF(C5700="","",COUNTA($C$3:C5700))</f>
        <v/>
      </c>
      <c r="B5700" s="35" t="str">
        <f t="shared" si="104"/>
        <v/>
      </c>
      <c r="C5700" s="15"/>
    </row>
    <row r="5701" spans="1:3" x14ac:dyDescent="0.25">
      <c r="A5701" s="21" t="str">
        <f>IF(C5701="","",COUNTA($C$3:C5701))</f>
        <v/>
      </c>
      <c r="B5701" s="35" t="str">
        <f t="shared" ref="B5701:B5764" si="105">IF(C5701="","",TEXT(C5701,"mmmm"))</f>
        <v/>
      </c>
      <c r="C5701" s="15"/>
    </row>
    <row r="5702" spans="1:3" x14ac:dyDescent="0.25">
      <c r="A5702" s="21" t="str">
        <f>IF(C5702="","",COUNTA($C$3:C5702))</f>
        <v/>
      </c>
      <c r="B5702" s="35" t="str">
        <f t="shared" si="105"/>
        <v/>
      </c>
      <c r="C5702" s="15"/>
    </row>
    <row r="5703" spans="1:3" x14ac:dyDescent="0.25">
      <c r="A5703" s="21" t="str">
        <f>IF(C5703="","",COUNTA($C$3:C5703))</f>
        <v/>
      </c>
      <c r="B5703" s="35" t="str">
        <f t="shared" si="105"/>
        <v/>
      </c>
      <c r="C5703" s="15"/>
    </row>
    <row r="5704" spans="1:3" x14ac:dyDescent="0.25">
      <c r="A5704" s="21" t="str">
        <f>IF(C5704="","",COUNTA($C$3:C5704))</f>
        <v/>
      </c>
      <c r="B5704" s="35" t="str">
        <f t="shared" si="105"/>
        <v/>
      </c>
      <c r="C5704" s="15"/>
    </row>
    <row r="5705" spans="1:3" x14ac:dyDescent="0.25">
      <c r="A5705" s="21" t="str">
        <f>IF(C5705="","",COUNTA($C$3:C5705))</f>
        <v/>
      </c>
      <c r="B5705" s="35" t="str">
        <f t="shared" si="105"/>
        <v/>
      </c>
      <c r="C5705" s="15"/>
    </row>
    <row r="5706" spans="1:3" x14ac:dyDescent="0.25">
      <c r="A5706" s="21" t="str">
        <f>IF(C5706="","",COUNTA($C$3:C5706))</f>
        <v/>
      </c>
      <c r="B5706" s="35" t="str">
        <f t="shared" si="105"/>
        <v/>
      </c>
      <c r="C5706" s="15"/>
    </row>
    <row r="5707" spans="1:3" x14ac:dyDescent="0.25">
      <c r="A5707" s="21" t="str">
        <f>IF(C5707="","",COUNTA($C$3:C5707))</f>
        <v/>
      </c>
      <c r="B5707" s="35" t="str">
        <f t="shared" si="105"/>
        <v/>
      </c>
      <c r="C5707" s="15"/>
    </row>
    <row r="5708" spans="1:3" x14ac:dyDescent="0.25">
      <c r="A5708" s="21" t="str">
        <f>IF(C5708="","",COUNTA($C$3:C5708))</f>
        <v/>
      </c>
      <c r="B5708" s="35" t="str">
        <f t="shared" si="105"/>
        <v/>
      </c>
      <c r="C5708" s="15"/>
    </row>
    <row r="5709" spans="1:3" x14ac:dyDescent="0.25">
      <c r="A5709" s="21" t="str">
        <f>IF(C5709="","",COUNTA($C$3:C5709))</f>
        <v/>
      </c>
      <c r="B5709" s="35" t="str">
        <f t="shared" si="105"/>
        <v/>
      </c>
      <c r="C5709" s="15"/>
    </row>
    <row r="5710" spans="1:3" x14ac:dyDescent="0.25">
      <c r="A5710" s="21" t="str">
        <f>IF(C5710="","",COUNTA($C$3:C5710))</f>
        <v/>
      </c>
      <c r="B5710" s="35" t="str">
        <f t="shared" si="105"/>
        <v/>
      </c>
      <c r="C5710" s="15"/>
    </row>
    <row r="5711" spans="1:3" x14ac:dyDescent="0.25">
      <c r="A5711" s="21" t="str">
        <f>IF(C5711="","",COUNTA($C$3:C5711))</f>
        <v/>
      </c>
      <c r="B5711" s="35" t="str">
        <f t="shared" si="105"/>
        <v/>
      </c>
      <c r="C5711" s="15"/>
    </row>
    <row r="5712" spans="1:3" x14ac:dyDescent="0.25">
      <c r="A5712" s="21" t="str">
        <f>IF(C5712="","",COUNTA($C$3:C5712))</f>
        <v/>
      </c>
      <c r="B5712" s="35" t="str">
        <f t="shared" si="105"/>
        <v/>
      </c>
      <c r="C5712" s="15"/>
    </row>
    <row r="5713" spans="1:3" x14ac:dyDescent="0.25">
      <c r="A5713" s="21" t="str">
        <f>IF(C5713="","",COUNTA($C$3:C5713))</f>
        <v/>
      </c>
      <c r="B5713" s="35" t="str">
        <f t="shared" si="105"/>
        <v/>
      </c>
      <c r="C5713" s="15"/>
    </row>
    <row r="5714" spans="1:3" x14ac:dyDescent="0.25">
      <c r="A5714" s="21" t="str">
        <f>IF(C5714="","",COUNTA($C$3:C5714))</f>
        <v/>
      </c>
      <c r="B5714" s="35" t="str">
        <f t="shared" si="105"/>
        <v/>
      </c>
      <c r="C5714" s="15"/>
    </row>
    <row r="5715" spans="1:3" x14ac:dyDescent="0.25">
      <c r="A5715" s="21" t="str">
        <f>IF(C5715="","",COUNTA($C$3:C5715))</f>
        <v/>
      </c>
      <c r="B5715" s="35" t="str">
        <f t="shared" si="105"/>
        <v/>
      </c>
      <c r="C5715" s="15"/>
    </row>
    <row r="5716" spans="1:3" x14ac:dyDescent="0.25">
      <c r="A5716" s="21" t="str">
        <f>IF(C5716="","",COUNTA($C$3:C5716))</f>
        <v/>
      </c>
      <c r="B5716" s="35" t="str">
        <f t="shared" si="105"/>
        <v/>
      </c>
      <c r="C5716" s="15"/>
    </row>
    <row r="5717" spans="1:3" x14ac:dyDescent="0.25">
      <c r="A5717" s="21" t="str">
        <f>IF(C5717="","",COUNTA($C$3:C5717))</f>
        <v/>
      </c>
      <c r="B5717" s="35" t="str">
        <f t="shared" si="105"/>
        <v/>
      </c>
      <c r="C5717" s="15"/>
    </row>
    <row r="5718" spans="1:3" x14ac:dyDescent="0.25">
      <c r="A5718" s="21" t="str">
        <f>IF(C5718="","",COUNTA($C$3:C5718))</f>
        <v/>
      </c>
      <c r="B5718" s="35" t="str">
        <f t="shared" si="105"/>
        <v/>
      </c>
      <c r="C5718" s="15"/>
    </row>
    <row r="5719" spans="1:3" x14ac:dyDescent="0.25">
      <c r="A5719" s="21" t="str">
        <f>IF(C5719="","",COUNTA($C$3:C5719))</f>
        <v/>
      </c>
      <c r="B5719" s="35" t="str">
        <f t="shared" si="105"/>
        <v/>
      </c>
      <c r="C5719" s="15"/>
    </row>
    <row r="5720" spans="1:3" x14ac:dyDescent="0.25">
      <c r="A5720" s="21" t="str">
        <f>IF(C5720="","",COUNTA($C$3:C5720))</f>
        <v/>
      </c>
      <c r="B5720" s="35" t="str">
        <f t="shared" si="105"/>
        <v/>
      </c>
      <c r="C5720" s="15"/>
    </row>
    <row r="5721" spans="1:3" x14ac:dyDescent="0.25">
      <c r="A5721" s="21" t="str">
        <f>IF(C5721="","",COUNTA($C$3:C5721))</f>
        <v/>
      </c>
      <c r="B5721" s="35" t="str">
        <f t="shared" si="105"/>
        <v/>
      </c>
      <c r="C5721" s="15"/>
    </row>
    <row r="5722" spans="1:3" x14ac:dyDescent="0.25">
      <c r="A5722" s="21" t="str">
        <f>IF(C5722="","",COUNTA($C$3:C5722))</f>
        <v/>
      </c>
      <c r="B5722" s="35" t="str">
        <f t="shared" si="105"/>
        <v/>
      </c>
      <c r="C5722" s="15"/>
    </row>
    <row r="5723" spans="1:3" x14ac:dyDescent="0.25">
      <c r="A5723" s="21" t="str">
        <f>IF(C5723="","",COUNTA($C$3:C5723))</f>
        <v/>
      </c>
      <c r="B5723" s="35" t="str">
        <f t="shared" si="105"/>
        <v/>
      </c>
      <c r="C5723" s="15"/>
    </row>
    <row r="5724" spans="1:3" x14ac:dyDescent="0.25">
      <c r="A5724" s="21" t="str">
        <f>IF(C5724="","",COUNTA($C$3:C5724))</f>
        <v/>
      </c>
      <c r="B5724" s="35" t="str">
        <f t="shared" si="105"/>
        <v/>
      </c>
      <c r="C5724" s="15"/>
    </row>
    <row r="5725" spans="1:3" x14ac:dyDescent="0.25">
      <c r="A5725" s="21" t="str">
        <f>IF(C5725="","",COUNTA($C$3:C5725))</f>
        <v/>
      </c>
      <c r="B5725" s="35" t="str">
        <f t="shared" si="105"/>
        <v/>
      </c>
      <c r="C5725" s="15"/>
    </row>
    <row r="5726" spans="1:3" x14ac:dyDescent="0.25">
      <c r="A5726" s="21" t="str">
        <f>IF(C5726="","",COUNTA($C$3:C5726))</f>
        <v/>
      </c>
      <c r="B5726" s="35" t="str">
        <f t="shared" si="105"/>
        <v/>
      </c>
      <c r="C5726" s="15"/>
    </row>
    <row r="5727" spans="1:3" x14ac:dyDescent="0.25">
      <c r="A5727" s="21" t="str">
        <f>IF(C5727="","",COUNTA($C$3:C5727))</f>
        <v/>
      </c>
      <c r="B5727" s="35" t="str">
        <f t="shared" si="105"/>
        <v/>
      </c>
      <c r="C5727" s="15"/>
    </row>
    <row r="5728" spans="1:3" x14ac:dyDescent="0.25">
      <c r="A5728" s="21" t="str">
        <f>IF(C5728="","",COUNTA($C$3:C5728))</f>
        <v/>
      </c>
      <c r="B5728" s="35" t="str">
        <f t="shared" si="105"/>
        <v/>
      </c>
      <c r="C5728" s="15"/>
    </row>
    <row r="5729" spans="1:3" x14ac:dyDescent="0.25">
      <c r="A5729" s="21" t="str">
        <f>IF(C5729="","",COUNTA($C$3:C5729))</f>
        <v/>
      </c>
      <c r="B5729" s="35" t="str">
        <f t="shared" si="105"/>
        <v/>
      </c>
      <c r="C5729" s="15"/>
    </row>
    <row r="5730" spans="1:3" x14ac:dyDescent="0.25">
      <c r="A5730" s="21" t="str">
        <f>IF(C5730="","",COUNTA($C$3:C5730))</f>
        <v/>
      </c>
      <c r="B5730" s="35" t="str">
        <f t="shared" si="105"/>
        <v/>
      </c>
      <c r="C5730" s="15"/>
    </row>
    <row r="5731" spans="1:3" x14ac:dyDescent="0.25">
      <c r="A5731" s="21" t="str">
        <f>IF(C5731="","",COUNTA($C$3:C5731))</f>
        <v/>
      </c>
      <c r="B5731" s="35" t="str">
        <f t="shared" si="105"/>
        <v/>
      </c>
      <c r="C5731" s="15"/>
    </row>
    <row r="5732" spans="1:3" x14ac:dyDescent="0.25">
      <c r="A5732" s="21" t="str">
        <f>IF(C5732="","",COUNTA($C$3:C5732))</f>
        <v/>
      </c>
      <c r="B5732" s="35" t="str">
        <f t="shared" si="105"/>
        <v/>
      </c>
      <c r="C5732" s="15"/>
    </row>
    <row r="5733" spans="1:3" x14ac:dyDescent="0.25">
      <c r="A5733" s="21" t="str">
        <f>IF(C5733="","",COUNTA($C$3:C5733))</f>
        <v/>
      </c>
      <c r="B5733" s="35" t="str">
        <f t="shared" si="105"/>
        <v/>
      </c>
      <c r="C5733" s="15"/>
    </row>
    <row r="5734" spans="1:3" x14ac:dyDescent="0.25">
      <c r="A5734" s="21" t="str">
        <f>IF(C5734="","",COUNTA($C$3:C5734))</f>
        <v/>
      </c>
      <c r="B5734" s="35" t="str">
        <f t="shared" si="105"/>
        <v/>
      </c>
      <c r="C5734" s="15"/>
    </row>
    <row r="5735" spans="1:3" x14ac:dyDescent="0.25">
      <c r="A5735" s="21" t="str">
        <f>IF(C5735="","",COUNTA($C$3:C5735))</f>
        <v/>
      </c>
      <c r="B5735" s="35" t="str">
        <f t="shared" si="105"/>
        <v/>
      </c>
      <c r="C5735" s="15"/>
    </row>
    <row r="5736" spans="1:3" x14ac:dyDescent="0.25">
      <c r="A5736" s="21" t="str">
        <f>IF(C5736="","",COUNTA($C$3:C5736))</f>
        <v/>
      </c>
      <c r="B5736" s="35" t="str">
        <f t="shared" si="105"/>
        <v/>
      </c>
      <c r="C5736" s="15"/>
    </row>
    <row r="5737" spans="1:3" x14ac:dyDescent="0.25">
      <c r="A5737" s="21" t="str">
        <f>IF(C5737="","",COUNTA($C$3:C5737))</f>
        <v/>
      </c>
      <c r="B5737" s="35" t="str">
        <f t="shared" si="105"/>
        <v/>
      </c>
      <c r="C5737" s="15"/>
    </row>
    <row r="5738" spans="1:3" x14ac:dyDescent="0.25">
      <c r="A5738" s="21" t="str">
        <f>IF(C5738="","",COUNTA($C$3:C5738))</f>
        <v/>
      </c>
      <c r="B5738" s="35" t="str">
        <f t="shared" si="105"/>
        <v/>
      </c>
      <c r="C5738" s="15"/>
    </row>
    <row r="5739" spans="1:3" x14ac:dyDescent="0.25">
      <c r="A5739" s="21" t="str">
        <f>IF(C5739="","",COUNTA($C$3:C5739))</f>
        <v/>
      </c>
      <c r="B5739" s="35" t="str">
        <f t="shared" si="105"/>
        <v/>
      </c>
      <c r="C5739" s="15"/>
    </row>
    <row r="5740" spans="1:3" x14ac:dyDescent="0.25">
      <c r="A5740" s="21" t="str">
        <f>IF(C5740="","",COUNTA($C$3:C5740))</f>
        <v/>
      </c>
      <c r="B5740" s="35" t="str">
        <f t="shared" si="105"/>
        <v/>
      </c>
      <c r="C5740" s="15"/>
    </row>
    <row r="5741" spans="1:3" x14ac:dyDescent="0.25">
      <c r="A5741" s="21" t="str">
        <f>IF(C5741="","",COUNTA($C$3:C5741))</f>
        <v/>
      </c>
      <c r="B5741" s="35" t="str">
        <f t="shared" si="105"/>
        <v/>
      </c>
      <c r="C5741" s="15"/>
    </row>
    <row r="5742" spans="1:3" x14ac:dyDescent="0.25">
      <c r="A5742" s="21" t="str">
        <f>IF(C5742="","",COUNTA($C$3:C5742))</f>
        <v/>
      </c>
      <c r="B5742" s="35" t="str">
        <f t="shared" si="105"/>
        <v/>
      </c>
      <c r="C5742" s="15"/>
    </row>
    <row r="5743" spans="1:3" x14ac:dyDescent="0.25">
      <c r="A5743" s="21" t="str">
        <f>IF(C5743="","",COUNTA($C$3:C5743))</f>
        <v/>
      </c>
      <c r="B5743" s="35" t="str">
        <f t="shared" si="105"/>
        <v/>
      </c>
      <c r="C5743" s="15"/>
    </row>
    <row r="5744" spans="1:3" x14ac:dyDescent="0.25">
      <c r="A5744" s="21" t="str">
        <f>IF(C5744="","",COUNTA($C$3:C5744))</f>
        <v/>
      </c>
      <c r="B5744" s="35" t="str">
        <f t="shared" si="105"/>
        <v/>
      </c>
      <c r="C5744" s="15"/>
    </row>
    <row r="5745" spans="1:3" x14ac:dyDescent="0.25">
      <c r="A5745" s="21" t="str">
        <f>IF(C5745="","",COUNTA($C$3:C5745))</f>
        <v/>
      </c>
      <c r="B5745" s="35" t="str">
        <f t="shared" si="105"/>
        <v/>
      </c>
      <c r="C5745" s="15"/>
    </row>
    <row r="5746" spans="1:3" x14ac:dyDescent="0.25">
      <c r="A5746" s="21" t="str">
        <f>IF(C5746="","",COUNTA($C$3:C5746))</f>
        <v/>
      </c>
      <c r="B5746" s="35" t="str">
        <f t="shared" si="105"/>
        <v/>
      </c>
      <c r="C5746" s="15"/>
    </row>
    <row r="5747" spans="1:3" x14ac:dyDescent="0.25">
      <c r="A5747" s="21" t="str">
        <f>IF(C5747="","",COUNTA($C$3:C5747))</f>
        <v/>
      </c>
      <c r="B5747" s="35" t="str">
        <f t="shared" si="105"/>
        <v/>
      </c>
      <c r="C5747" s="15"/>
    </row>
    <row r="5748" spans="1:3" x14ac:dyDescent="0.25">
      <c r="A5748" s="21" t="str">
        <f>IF(C5748="","",COUNTA($C$3:C5748))</f>
        <v/>
      </c>
      <c r="B5748" s="35" t="str">
        <f t="shared" si="105"/>
        <v/>
      </c>
      <c r="C5748" s="15"/>
    </row>
    <row r="5749" spans="1:3" x14ac:dyDescent="0.25">
      <c r="A5749" s="21" t="str">
        <f>IF(C5749="","",COUNTA($C$3:C5749))</f>
        <v/>
      </c>
      <c r="B5749" s="35" t="str">
        <f t="shared" si="105"/>
        <v/>
      </c>
      <c r="C5749" s="15"/>
    </row>
    <row r="5750" spans="1:3" x14ac:dyDescent="0.25">
      <c r="A5750" s="21" t="str">
        <f>IF(C5750="","",COUNTA($C$3:C5750))</f>
        <v/>
      </c>
      <c r="B5750" s="35" t="str">
        <f t="shared" si="105"/>
        <v/>
      </c>
      <c r="C5750" s="15"/>
    </row>
    <row r="5751" spans="1:3" x14ac:dyDescent="0.25">
      <c r="A5751" s="21" t="str">
        <f>IF(C5751="","",COUNTA($C$3:C5751))</f>
        <v/>
      </c>
      <c r="B5751" s="35" t="str">
        <f t="shared" si="105"/>
        <v/>
      </c>
      <c r="C5751" s="15"/>
    </row>
    <row r="5752" spans="1:3" x14ac:dyDescent="0.25">
      <c r="A5752" s="21" t="str">
        <f>IF(C5752="","",COUNTA($C$3:C5752))</f>
        <v/>
      </c>
      <c r="B5752" s="35" t="str">
        <f t="shared" si="105"/>
        <v/>
      </c>
      <c r="C5752" s="15"/>
    </row>
    <row r="5753" spans="1:3" x14ac:dyDescent="0.25">
      <c r="A5753" s="21" t="str">
        <f>IF(C5753="","",COUNTA($C$3:C5753))</f>
        <v/>
      </c>
      <c r="B5753" s="35" t="str">
        <f t="shared" si="105"/>
        <v/>
      </c>
      <c r="C5753" s="15"/>
    </row>
    <row r="5754" spans="1:3" x14ac:dyDescent="0.25">
      <c r="A5754" s="21" t="str">
        <f>IF(C5754="","",COUNTA($C$3:C5754))</f>
        <v/>
      </c>
      <c r="B5754" s="35" t="str">
        <f t="shared" si="105"/>
        <v/>
      </c>
      <c r="C5754" s="15"/>
    </row>
    <row r="5755" spans="1:3" x14ac:dyDescent="0.25">
      <c r="A5755" s="21" t="str">
        <f>IF(C5755="","",COUNTA($C$3:C5755))</f>
        <v/>
      </c>
      <c r="B5755" s="35" t="str">
        <f t="shared" si="105"/>
        <v/>
      </c>
      <c r="C5755" s="15"/>
    </row>
    <row r="5756" spans="1:3" x14ac:dyDescent="0.25">
      <c r="A5756" s="21" t="str">
        <f>IF(C5756="","",COUNTA($C$3:C5756))</f>
        <v/>
      </c>
      <c r="B5756" s="35" t="str">
        <f t="shared" si="105"/>
        <v/>
      </c>
      <c r="C5756" s="15"/>
    </row>
    <row r="5757" spans="1:3" x14ac:dyDescent="0.25">
      <c r="A5757" s="21" t="str">
        <f>IF(C5757="","",COUNTA($C$3:C5757))</f>
        <v/>
      </c>
      <c r="B5757" s="35" t="str">
        <f t="shared" si="105"/>
        <v/>
      </c>
      <c r="C5757" s="15"/>
    </row>
    <row r="5758" spans="1:3" x14ac:dyDescent="0.25">
      <c r="A5758" s="21" t="str">
        <f>IF(C5758="","",COUNTA($C$3:C5758))</f>
        <v/>
      </c>
      <c r="B5758" s="35" t="str">
        <f t="shared" si="105"/>
        <v/>
      </c>
      <c r="C5758" s="15"/>
    </row>
    <row r="5759" spans="1:3" x14ac:dyDescent="0.25">
      <c r="A5759" s="21" t="str">
        <f>IF(C5759="","",COUNTA($C$3:C5759))</f>
        <v/>
      </c>
      <c r="B5759" s="35" t="str">
        <f t="shared" si="105"/>
        <v/>
      </c>
      <c r="C5759" s="15"/>
    </row>
    <row r="5760" spans="1:3" x14ac:dyDescent="0.25">
      <c r="A5760" s="21" t="str">
        <f>IF(C5760="","",COUNTA($C$3:C5760))</f>
        <v/>
      </c>
      <c r="B5760" s="35" t="str">
        <f t="shared" si="105"/>
        <v/>
      </c>
      <c r="C5760" s="15"/>
    </row>
    <row r="5761" spans="1:3" x14ac:dyDescent="0.25">
      <c r="A5761" s="21" t="str">
        <f>IF(C5761="","",COUNTA($C$3:C5761))</f>
        <v/>
      </c>
      <c r="B5761" s="35" t="str">
        <f t="shared" si="105"/>
        <v/>
      </c>
      <c r="C5761" s="15"/>
    </row>
    <row r="5762" spans="1:3" x14ac:dyDescent="0.25">
      <c r="A5762" s="21" t="str">
        <f>IF(C5762="","",COUNTA($C$3:C5762))</f>
        <v/>
      </c>
      <c r="B5762" s="35" t="str">
        <f t="shared" si="105"/>
        <v/>
      </c>
      <c r="C5762" s="15"/>
    </row>
    <row r="5763" spans="1:3" x14ac:dyDescent="0.25">
      <c r="A5763" s="21" t="str">
        <f>IF(C5763="","",COUNTA($C$3:C5763))</f>
        <v/>
      </c>
      <c r="B5763" s="35" t="str">
        <f t="shared" si="105"/>
        <v/>
      </c>
      <c r="C5763" s="15"/>
    </row>
    <row r="5764" spans="1:3" x14ac:dyDescent="0.25">
      <c r="A5764" s="21" t="str">
        <f>IF(C5764="","",COUNTA($C$3:C5764))</f>
        <v/>
      </c>
      <c r="B5764" s="35" t="str">
        <f t="shared" si="105"/>
        <v/>
      </c>
      <c r="C5764" s="15"/>
    </row>
    <row r="5765" spans="1:3" x14ac:dyDescent="0.25">
      <c r="A5765" s="21" t="str">
        <f>IF(C5765="","",COUNTA($C$3:C5765))</f>
        <v/>
      </c>
      <c r="B5765" s="35" t="str">
        <f t="shared" ref="B5765:B5828" si="106">IF(C5765="","",TEXT(C5765,"mmmm"))</f>
        <v/>
      </c>
      <c r="C5765" s="15"/>
    </row>
    <row r="5766" spans="1:3" x14ac:dyDescent="0.25">
      <c r="A5766" s="21" t="str">
        <f>IF(C5766="","",COUNTA($C$3:C5766))</f>
        <v/>
      </c>
      <c r="B5766" s="35" t="str">
        <f t="shared" si="106"/>
        <v/>
      </c>
      <c r="C5766" s="15"/>
    </row>
    <row r="5767" spans="1:3" x14ac:dyDescent="0.25">
      <c r="A5767" s="21" t="str">
        <f>IF(C5767="","",COUNTA($C$3:C5767))</f>
        <v/>
      </c>
      <c r="B5767" s="35" t="str">
        <f t="shared" si="106"/>
        <v/>
      </c>
      <c r="C5767" s="15"/>
    </row>
    <row r="5768" spans="1:3" x14ac:dyDescent="0.25">
      <c r="A5768" s="21" t="str">
        <f>IF(C5768="","",COUNTA($C$3:C5768))</f>
        <v/>
      </c>
      <c r="B5768" s="35" t="str">
        <f t="shared" si="106"/>
        <v/>
      </c>
      <c r="C5768" s="15"/>
    </row>
    <row r="5769" spans="1:3" x14ac:dyDescent="0.25">
      <c r="A5769" s="21" t="str">
        <f>IF(C5769="","",COUNTA($C$3:C5769))</f>
        <v/>
      </c>
      <c r="B5769" s="35" t="str">
        <f t="shared" si="106"/>
        <v/>
      </c>
      <c r="C5769" s="15"/>
    </row>
    <row r="5770" spans="1:3" x14ac:dyDescent="0.25">
      <c r="A5770" s="21" t="str">
        <f>IF(C5770="","",COUNTA($C$3:C5770))</f>
        <v/>
      </c>
      <c r="B5770" s="35" t="str">
        <f t="shared" si="106"/>
        <v/>
      </c>
      <c r="C5770" s="15"/>
    </row>
    <row r="5771" spans="1:3" x14ac:dyDescent="0.25">
      <c r="A5771" s="21" t="str">
        <f>IF(C5771="","",COUNTA($C$3:C5771))</f>
        <v/>
      </c>
      <c r="B5771" s="35" t="str">
        <f t="shared" si="106"/>
        <v/>
      </c>
      <c r="C5771" s="15"/>
    </row>
    <row r="5772" spans="1:3" x14ac:dyDescent="0.25">
      <c r="A5772" s="21" t="str">
        <f>IF(C5772="","",COUNTA($C$3:C5772))</f>
        <v/>
      </c>
      <c r="B5772" s="35" t="str">
        <f t="shared" si="106"/>
        <v/>
      </c>
      <c r="C5772" s="15"/>
    </row>
    <row r="5773" spans="1:3" x14ac:dyDescent="0.25">
      <c r="A5773" s="21" t="str">
        <f>IF(C5773="","",COUNTA($C$3:C5773))</f>
        <v/>
      </c>
      <c r="B5773" s="35" t="str">
        <f t="shared" si="106"/>
        <v/>
      </c>
      <c r="C5773" s="15"/>
    </row>
    <row r="5774" spans="1:3" x14ac:dyDescent="0.25">
      <c r="A5774" s="21" t="str">
        <f>IF(C5774="","",COUNTA($C$3:C5774))</f>
        <v/>
      </c>
      <c r="B5774" s="35" t="str">
        <f t="shared" si="106"/>
        <v/>
      </c>
      <c r="C5774" s="15"/>
    </row>
    <row r="5775" spans="1:3" x14ac:dyDescent="0.25">
      <c r="A5775" s="21" t="str">
        <f>IF(C5775="","",COUNTA($C$3:C5775))</f>
        <v/>
      </c>
      <c r="B5775" s="35" t="str">
        <f t="shared" si="106"/>
        <v/>
      </c>
      <c r="C5775" s="15"/>
    </row>
    <row r="5776" spans="1:3" x14ac:dyDescent="0.25">
      <c r="A5776" s="21" t="str">
        <f>IF(C5776="","",COUNTA($C$3:C5776))</f>
        <v/>
      </c>
      <c r="B5776" s="35" t="str">
        <f t="shared" si="106"/>
        <v/>
      </c>
      <c r="C5776" s="15"/>
    </row>
    <row r="5777" spans="1:3" x14ac:dyDescent="0.25">
      <c r="A5777" s="21" t="str">
        <f>IF(C5777="","",COUNTA($C$3:C5777))</f>
        <v/>
      </c>
      <c r="B5777" s="35" t="str">
        <f t="shared" si="106"/>
        <v/>
      </c>
      <c r="C5777" s="15"/>
    </row>
    <row r="5778" spans="1:3" x14ac:dyDescent="0.25">
      <c r="A5778" s="21" t="str">
        <f>IF(C5778="","",COUNTA($C$3:C5778))</f>
        <v/>
      </c>
      <c r="B5778" s="35" t="str">
        <f t="shared" si="106"/>
        <v/>
      </c>
      <c r="C5778" s="15"/>
    </row>
    <row r="5779" spans="1:3" x14ac:dyDescent="0.25">
      <c r="A5779" s="21" t="str">
        <f>IF(C5779="","",COUNTA($C$3:C5779))</f>
        <v/>
      </c>
      <c r="B5779" s="35" t="str">
        <f t="shared" si="106"/>
        <v/>
      </c>
      <c r="C5779" s="15"/>
    </row>
    <row r="5780" spans="1:3" x14ac:dyDescent="0.25">
      <c r="A5780" s="21" t="str">
        <f>IF(C5780="","",COUNTA($C$3:C5780))</f>
        <v/>
      </c>
      <c r="B5780" s="35" t="str">
        <f t="shared" si="106"/>
        <v/>
      </c>
      <c r="C5780" s="15"/>
    </row>
    <row r="5781" spans="1:3" x14ac:dyDescent="0.25">
      <c r="A5781" s="21" t="str">
        <f>IF(C5781="","",COUNTA($C$3:C5781))</f>
        <v/>
      </c>
      <c r="B5781" s="35" t="str">
        <f t="shared" si="106"/>
        <v/>
      </c>
      <c r="C5781" s="15"/>
    </row>
    <row r="5782" spans="1:3" x14ac:dyDescent="0.25">
      <c r="A5782" s="21" t="str">
        <f>IF(C5782="","",COUNTA($C$3:C5782))</f>
        <v/>
      </c>
      <c r="B5782" s="35" t="str">
        <f t="shared" si="106"/>
        <v/>
      </c>
      <c r="C5782" s="15"/>
    </row>
    <row r="5783" spans="1:3" x14ac:dyDescent="0.25">
      <c r="A5783" s="21" t="str">
        <f>IF(C5783="","",COUNTA($C$3:C5783))</f>
        <v/>
      </c>
      <c r="B5783" s="35" t="str">
        <f t="shared" si="106"/>
        <v/>
      </c>
      <c r="C5783" s="15"/>
    </row>
    <row r="5784" spans="1:3" x14ac:dyDescent="0.25">
      <c r="A5784" s="21" t="str">
        <f>IF(C5784="","",COUNTA($C$3:C5784))</f>
        <v/>
      </c>
      <c r="B5784" s="35" t="str">
        <f t="shared" si="106"/>
        <v/>
      </c>
      <c r="C5784" s="15"/>
    </row>
    <row r="5785" spans="1:3" x14ac:dyDescent="0.25">
      <c r="A5785" s="21" t="str">
        <f>IF(C5785="","",COUNTA($C$3:C5785))</f>
        <v/>
      </c>
      <c r="B5785" s="35" t="str">
        <f t="shared" si="106"/>
        <v/>
      </c>
      <c r="C5785" s="15"/>
    </row>
    <row r="5786" spans="1:3" x14ac:dyDescent="0.25">
      <c r="A5786" s="21" t="str">
        <f>IF(C5786="","",COUNTA($C$3:C5786))</f>
        <v/>
      </c>
      <c r="B5786" s="35" t="str">
        <f t="shared" si="106"/>
        <v/>
      </c>
      <c r="C5786" s="15"/>
    </row>
    <row r="5787" spans="1:3" x14ac:dyDescent="0.25">
      <c r="A5787" s="21" t="str">
        <f>IF(C5787="","",COUNTA($C$3:C5787))</f>
        <v/>
      </c>
      <c r="B5787" s="35" t="str">
        <f t="shared" si="106"/>
        <v/>
      </c>
      <c r="C5787" s="15"/>
    </row>
    <row r="5788" spans="1:3" x14ac:dyDescent="0.25">
      <c r="A5788" s="21" t="str">
        <f>IF(C5788="","",COUNTA($C$3:C5788))</f>
        <v/>
      </c>
      <c r="B5788" s="35" t="str">
        <f t="shared" si="106"/>
        <v/>
      </c>
      <c r="C5788" s="15"/>
    </row>
    <row r="5789" spans="1:3" x14ac:dyDescent="0.25">
      <c r="A5789" s="21" t="str">
        <f>IF(C5789="","",COUNTA($C$3:C5789))</f>
        <v/>
      </c>
      <c r="B5789" s="35" t="str">
        <f t="shared" si="106"/>
        <v/>
      </c>
      <c r="C5789" s="15"/>
    </row>
    <row r="5790" spans="1:3" x14ac:dyDescent="0.25">
      <c r="A5790" s="21" t="str">
        <f>IF(C5790="","",COUNTA($C$3:C5790))</f>
        <v/>
      </c>
      <c r="B5790" s="35" t="str">
        <f t="shared" si="106"/>
        <v/>
      </c>
      <c r="C5790" s="15"/>
    </row>
    <row r="5791" spans="1:3" x14ac:dyDescent="0.25">
      <c r="A5791" s="21" t="str">
        <f>IF(C5791="","",COUNTA($C$3:C5791))</f>
        <v/>
      </c>
      <c r="B5791" s="35" t="str">
        <f t="shared" si="106"/>
        <v/>
      </c>
      <c r="C5791" s="15"/>
    </row>
    <row r="5792" spans="1:3" x14ac:dyDescent="0.25">
      <c r="A5792" s="21" t="str">
        <f>IF(C5792="","",COUNTA($C$3:C5792))</f>
        <v/>
      </c>
      <c r="B5792" s="35" t="str">
        <f t="shared" si="106"/>
        <v/>
      </c>
      <c r="C5792" s="15"/>
    </row>
    <row r="5793" spans="1:3" x14ac:dyDescent="0.25">
      <c r="A5793" s="21" t="str">
        <f>IF(C5793="","",COUNTA($C$3:C5793))</f>
        <v/>
      </c>
      <c r="B5793" s="35" t="str">
        <f t="shared" si="106"/>
        <v/>
      </c>
      <c r="C5793" s="15"/>
    </row>
    <row r="5794" spans="1:3" x14ac:dyDescent="0.25">
      <c r="A5794" s="21" t="str">
        <f>IF(C5794="","",COUNTA($C$3:C5794))</f>
        <v/>
      </c>
      <c r="B5794" s="35" t="str">
        <f t="shared" si="106"/>
        <v/>
      </c>
      <c r="C5794" s="15"/>
    </row>
    <row r="5795" spans="1:3" x14ac:dyDescent="0.25">
      <c r="A5795" s="21" t="str">
        <f>IF(C5795="","",COUNTA($C$3:C5795))</f>
        <v/>
      </c>
      <c r="B5795" s="35" t="str">
        <f t="shared" si="106"/>
        <v/>
      </c>
      <c r="C5795" s="15"/>
    </row>
    <row r="5796" spans="1:3" x14ac:dyDescent="0.25">
      <c r="A5796" s="21" t="str">
        <f>IF(C5796="","",COUNTA($C$3:C5796))</f>
        <v/>
      </c>
      <c r="B5796" s="35" t="str">
        <f t="shared" si="106"/>
        <v/>
      </c>
      <c r="C5796" s="15"/>
    </row>
    <row r="5797" spans="1:3" x14ac:dyDescent="0.25">
      <c r="A5797" s="21" t="str">
        <f>IF(C5797="","",COUNTA($C$3:C5797))</f>
        <v/>
      </c>
      <c r="B5797" s="35" t="str">
        <f t="shared" si="106"/>
        <v/>
      </c>
      <c r="C5797" s="15"/>
    </row>
    <row r="5798" spans="1:3" x14ac:dyDescent="0.25">
      <c r="A5798" s="21" t="str">
        <f>IF(C5798="","",COUNTA($C$3:C5798))</f>
        <v/>
      </c>
      <c r="B5798" s="35" t="str">
        <f t="shared" si="106"/>
        <v/>
      </c>
      <c r="C5798" s="15"/>
    </row>
    <row r="5799" spans="1:3" x14ac:dyDescent="0.25">
      <c r="A5799" s="21" t="str">
        <f>IF(C5799="","",COUNTA($C$3:C5799))</f>
        <v/>
      </c>
      <c r="B5799" s="35" t="str">
        <f t="shared" si="106"/>
        <v/>
      </c>
      <c r="C5799" s="15"/>
    </row>
    <row r="5800" spans="1:3" x14ac:dyDescent="0.25">
      <c r="A5800" s="21" t="str">
        <f>IF(C5800="","",COUNTA($C$3:C5800))</f>
        <v/>
      </c>
      <c r="B5800" s="35" t="str">
        <f t="shared" si="106"/>
        <v/>
      </c>
      <c r="C5800" s="15"/>
    </row>
    <row r="5801" spans="1:3" x14ac:dyDescent="0.25">
      <c r="A5801" s="21" t="str">
        <f>IF(C5801="","",COUNTA($C$3:C5801))</f>
        <v/>
      </c>
      <c r="B5801" s="35" t="str">
        <f t="shared" si="106"/>
        <v/>
      </c>
      <c r="C5801" s="15"/>
    </row>
    <row r="5802" spans="1:3" x14ac:dyDescent="0.25">
      <c r="A5802" s="21" t="str">
        <f>IF(C5802="","",COUNTA($C$3:C5802))</f>
        <v/>
      </c>
      <c r="B5802" s="35" t="str">
        <f t="shared" si="106"/>
        <v/>
      </c>
      <c r="C5802" s="15"/>
    </row>
    <row r="5803" spans="1:3" x14ac:dyDescent="0.25">
      <c r="A5803" s="21" t="str">
        <f>IF(C5803="","",COUNTA($C$3:C5803))</f>
        <v/>
      </c>
      <c r="B5803" s="35" t="str">
        <f t="shared" si="106"/>
        <v/>
      </c>
      <c r="C5803" s="15"/>
    </row>
    <row r="5804" spans="1:3" x14ac:dyDescent="0.25">
      <c r="A5804" s="21" t="str">
        <f>IF(C5804="","",COUNTA($C$3:C5804))</f>
        <v/>
      </c>
      <c r="B5804" s="35" t="str">
        <f t="shared" si="106"/>
        <v/>
      </c>
      <c r="C5804" s="15"/>
    </row>
    <row r="5805" spans="1:3" x14ac:dyDescent="0.25">
      <c r="A5805" s="21" t="str">
        <f>IF(C5805="","",COUNTA($C$3:C5805))</f>
        <v/>
      </c>
      <c r="B5805" s="35" t="str">
        <f t="shared" si="106"/>
        <v/>
      </c>
      <c r="C5805" s="15"/>
    </row>
    <row r="5806" spans="1:3" x14ac:dyDescent="0.25">
      <c r="A5806" s="21" t="str">
        <f>IF(C5806="","",COUNTA($C$3:C5806))</f>
        <v/>
      </c>
      <c r="B5806" s="35" t="str">
        <f t="shared" si="106"/>
        <v/>
      </c>
      <c r="C5806" s="15"/>
    </row>
    <row r="5807" spans="1:3" x14ac:dyDescent="0.25">
      <c r="A5807" s="21" t="str">
        <f>IF(C5807="","",COUNTA($C$3:C5807))</f>
        <v/>
      </c>
      <c r="B5807" s="35" t="str">
        <f t="shared" si="106"/>
        <v/>
      </c>
      <c r="C5807" s="15"/>
    </row>
    <row r="5808" spans="1:3" x14ac:dyDescent="0.25">
      <c r="A5808" s="21" t="str">
        <f>IF(C5808="","",COUNTA($C$3:C5808))</f>
        <v/>
      </c>
      <c r="B5808" s="35" t="str">
        <f t="shared" si="106"/>
        <v/>
      </c>
      <c r="C5808" s="15"/>
    </row>
    <row r="5809" spans="1:3" x14ac:dyDescent="0.25">
      <c r="A5809" s="21" t="str">
        <f>IF(C5809="","",COUNTA($C$3:C5809))</f>
        <v/>
      </c>
      <c r="B5809" s="35" t="str">
        <f t="shared" si="106"/>
        <v/>
      </c>
      <c r="C5809" s="15"/>
    </row>
    <row r="5810" spans="1:3" x14ac:dyDescent="0.25">
      <c r="A5810" s="21" t="str">
        <f>IF(C5810="","",COUNTA($C$3:C5810))</f>
        <v/>
      </c>
      <c r="B5810" s="35" t="str">
        <f t="shared" si="106"/>
        <v/>
      </c>
      <c r="C5810" s="15"/>
    </row>
    <row r="5811" spans="1:3" x14ac:dyDescent="0.25">
      <c r="A5811" s="21" t="str">
        <f>IF(C5811="","",COUNTA($C$3:C5811))</f>
        <v/>
      </c>
      <c r="B5811" s="35" t="str">
        <f t="shared" si="106"/>
        <v/>
      </c>
      <c r="C5811" s="15"/>
    </row>
    <row r="5812" spans="1:3" x14ac:dyDescent="0.25">
      <c r="A5812" s="21" t="str">
        <f>IF(C5812="","",COUNTA($C$3:C5812))</f>
        <v/>
      </c>
      <c r="B5812" s="35" t="str">
        <f t="shared" si="106"/>
        <v/>
      </c>
      <c r="C5812" s="15"/>
    </row>
    <row r="5813" spans="1:3" x14ac:dyDescent="0.25">
      <c r="A5813" s="21" t="str">
        <f>IF(C5813="","",COUNTA($C$3:C5813))</f>
        <v/>
      </c>
      <c r="B5813" s="35" t="str">
        <f t="shared" si="106"/>
        <v/>
      </c>
      <c r="C5813" s="15"/>
    </row>
    <row r="5814" spans="1:3" x14ac:dyDescent="0.25">
      <c r="A5814" s="21" t="str">
        <f>IF(C5814="","",COUNTA($C$3:C5814))</f>
        <v/>
      </c>
      <c r="B5814" s="35" t="str">
        <f t="shared" si="106"/>
        <v/>
      </c>
      <c r="C5814" s="15"/>
    </row>
    <row r="5815" spans="1:3" x14ac:dyDescent="0.25">
      <c r="A5815" s="21" t="str">
        <f>IF(C5815="","",COUNTA($C$3:C5815))</f>
        <v/>
      </c>
      <c r="B5815" s="35" t="str">
        <f t="shared" si="106"/>
        <v/>
      </c>
      <c r="C5815" s="15"/>
    </row>
    <row r="5816" spans="1:3" x14ac:dyDescent="0.25">
      <c r="A5816" s="21" t="str">
        <f>IF(C5816="","",COUNTA($C$3:C5816))</f>
        <v/>
      </c>
      <c r="B5816" s="35" t="str">
        <f t="shared" si="106"/>
        <v/>
      </c>
      <c r="C5816" s="15"/>
    </row>
    <row r="5817" spans="1:3" x14ac:dyDescent="0.25">
      <c r="A5817" s="21" t="str">
        <f>IF(C5817="","",COUNTA($C$3:C5817))</f>
        <v/>
      </c>
      <c r="B5817" s="35" t="str">
        <f t="shared" si="106"/>
        <v/>
      </c>
      <c r="C5817" s="15"/>
    </row>
    <row r="5818" spans="1:3" x14ac:dyDescent="0.25">
      <c r="A5818" s="21" t="str">
        <f>IF(C5818="","",COUNTA($C$3:C5818))</f>
        <v/>
      </c>
      <c r="B5818" s="35" t="str">
        <f t="shared" si="106"/>
        <v/>
      </c>
      <c r="C5818" s="15"/>
    </row>
    <row r="5819" spans="1:3" x14ac:dyDescent="0.25">
      <c r="A5819" s="21" t="str">
        <f>IF(C5819="","",COUNTA($C$3:C5819))</f>
        <v/>
      </c>
      <c r="B5819" s="35" t="str">
        <f t="shared" si="106"/>
        <v/>
      </c>
      <c r="C5819" s="15"/>
    </row>
    <row r="5820" spans="1:3" x14ac:dyDescent="0.25">
      <c r="A5820" s="21" t="str">
        <f>IF(C5820="","",COUNTA($C$3:C5820))</f>
        <v/>
      </c>
      <c r="B5820" s="35" t="str">
        <f t="shared" si="106"/>
        <v/>
      </c>
      <c r="C5820" s="15"/>
    </row>
    <row r="5821" spans="1:3" x14ac:dyDescent="0.25">
      <c r="A5821" s="21" t="str">
        <f>IF(C5821="","",COUNTA($C$3:C5821))</f>
        <v/>
      </c>
      <c r="B5821" s="35" t="str">
        <f t="shared" si="106"/>
        <v/>
      </c>
      <c r="C5821" s="15"/>
    </row>
    <row r="5822" spans="1:3" x14ac:dyDescent="0.25">
      <c r="A5822" s="21" t="str">
        <f>IF(C5822="","",COUNTA($C$3:C5822))</f>
        <v/>
      </c>
      <c r="B5822" s="35" t="str">
        <f t="shared" si="106"/>
        <v/>
      </c>
      <c r="C5822" s="15"/>
    </row>
    <row r="5823" spans="1:3" x14ac:dyDescent="0.25">
      <c r="A5823" s="21" t="str">
        <f>IF(C5823="","",COUNTA($C$3:C5823))</f>
        <v/>
      </c>
      <c r="B5823" s="35" t="str">
        <f t="shared" si="106"/>
        <v/>
      </c>
      <c r="C5823" s="15"/>
    </row>
    <row r="5824" spans="1:3" x14ac:dyDescent="0.25">
      <c r="A5824" s="21" t="str">
        <f>IF(C5824="","",COUNTA($C$3:C5824))</f>
        <v/>
      </c>
      <c r="B5824" s="35" t="str">
        <f t="shared" si="106"/>
        <v/>
      </c>
      <c r="C5824" s="15"/>
    </row>
    <row r="5825" spans="1:3" x14ac:dyDescent="0.25">
      <c r="A5825" s="21" t="str">
        <f>IF(C5825="","",COUNTA($C$3:C5825))</f>
        <v/>
      </c>
      <c r="B5825" s="35" t="str">
        <f t="shared" si="106"/>
        <v/>
      </c>
      <c r="C5825" s="15"/>
    </row>
    <row r="5826" spans="1:3" x14ac:dyDescent="0.25">
      <c r="A5826" s="21" t="str">
        <f>IF(C5826="","",COUNTA($C$3:C5826))</f>
        <v/>
      </c>
      <c r="B5826" s="35" t="str">
        <f t="shared" si="106"/>
        <v/>
      </c>
      <c r="C5826" s="15"/>
    </row>
    <row r="5827" spans="1:3" x14ac:dyDescent="0.25">
      <c r="A5827" s="21" t="str">
        <f>IF(C5827="","",COUNTA($C$3:C5827))</f>
        <v/>
      </c>
      <c r="B5827" s="35" t="str">
        <f t="shared" si="106"/>
        <v/>
      </c>
      <c r="C5827" s="15"/>
    </row>
    <row r="5828" spans="1:3" x14ac:dyDescent="0.25">
      <c r="A5828" s="21" t="str">
        <f>IF(C5828="","",COUNTA($C$3:C5828))</f>
        <v/>
      </c>
      <c r="B5828" s="35" t="str">
        <f t="shared" si="106"/>
        <v/>
      </c>
      <c r="C5828" s="15"/>
    </row>
    <row r="5829" spans="1:3" x14ac:dyDescent="0.25">
      <c r="A5829" s="21" t="str">
        <f>IF(C5829="","",COUNTA($C$3:C5829))</f>
        <v/>
      </c>
      <c r="B5829" s="35" t="str">
        <f t="shared" ref="B5829:B5892" si="107">IF(C5829="","",TEXT(C5829,"mmmm"))</f>
        <v/>
      </c>
      <c r="C5829" s="15"/>
    </row>
    <row r="5830" spans="1:3" x14ac:dyDescent="0.25">
      <c r="A5830" s="21" t="str">
        <f>IF(C5830="","",COUNTA($C$3:C5830))</f>
        <v/>
      </c>
      <c r="B5830" s="35" t="str">
        <f t="shared" si="107"/>
        <v/>
      </c>
      <c r="C5830" s="15"/>
    </row>
    <row r="5831" spans="1:3" x14ac:dyDescent="0.25">
      <c r="A5831" s="21" t="str">
        <f>IF(C5831="","",COUNTA($C$3:C5831))</f>
        <v/>
      </c>
      <c r="B5831" s="35" t="str">
        <f t="shared" si="107"/>
        <v/>
      </c>
      <c r="C5831" s="15"/>
    </row>
    <row r="5832" spans="1:3" x14ac:dyDescent="0.25">
      <c r="A5832" s="21" t="str">
        <f>IF(C5832="","",COUNTA($C$3:C5832))</f>
        <v/>
      </c>
      <c r="B5832" s="35" t="str">
        <f t="shared" si="107"/>
        <v/>
      </c>
      <c r="C5832" s="15"/>
    </row>
    <row r="5833" spans="1:3" x14ac:dyDescent="0.25">
      <c r="A5833" s="21" t="str">
        <f>IF(C5833="","",COUNTA($C$3:C5833))</f>
        <v/>
      </c>
      <c r="B5833" s="35" t="str">
        <f t="shared" si="107"/>
        <v/>
      </c>
      <c r="C5833" s="15"/>
    </row>
    <row r="5834" spans="1:3" x14ac:dyDescent="0.25">
      <c r="A5834" s="21" t="str">
        <f>IF(C5834="","",COUNTA($C$3:C5834))</f>
        <v/>
      </c>
      <c r="B5834" s="35" t="str">
        <f t="shared" si="107"/>
        <v/>
      </c>
      <c r="C5834" s="15"/>
    </row>
    <row r="5835" spans="1:3" x14ac:dyDescent="0.25">
      <c r="A5835" s="21" t="str">
        <f>IF(C5835="","",COUNTA($C$3:C5835))</f>
        <v/>
      </c>
      <c r="B5835" s="35" t="str">
        <f t="shared" si="107"/>
        <v/>
      </c>
      <c r="C5835" s="15"/>
    </row>
    <row r="5836" spans="1:3" x14ac:dyDescent="0.25">
      <c r="A5836" s="21" t="str">
        <f>IF(C5836="","",COUNTA($C$3:C5836))</f>
        <v/>
      </c>
      <c r="B5836" s="35" t="str">
        <f t="shared" si="107"/>
        <v/>
      </c>
      <c r="C5836" s="15"/>
    </row>
    <row r="5837" spans="1:3" x14ac:dyDescent="0.25">
      <c r="A5837" s="21" t="str">
        <f>IF(C5837="","",COUNTA($C$3:C5837))</f>
        <v/>
      </c>
      <c r="B5837" s="35" t="str">
        <f t="shared" si="107"/>
        <v/>
      </c>
      <c r="C5837" s="15"/>
    </row>
    <row r="5838" spans="1:3" x14ac:dyDescent="0.25">
      <c r="A5838" s="21" t="str">
        <f>IF(C5838="","",COUNTA($C$3:C5838))</f>
        <v/>
      </c>
      <c r="B5838" s="35" t="str">
        <f t="shared" si="107"/>
        <v/>
      </c>
      <c r="C5838" s="15"/>
    </row>
    <row r="5839" spans="1:3" x14ac:dyDescent="0.25">
      <c r="A5839" s="21" t="str">
        <f>IF(C5839="","",COUNTA($C$3:C5839))</f>
        <v/>
      </c>
      <c r="B5839" s="35" t="str">
        <f t="shared" si="107"/>
        <v/>
      </c>
      <c r="C5839" s="15"/>
    </row>
    <row r="5840" spans="1:3" x14ac:dyDescent="0.25">
      <c r="A5840" s="21" t="str">
        <f>IF(C5840="","",COUNTA($C$3:C5840))</f>
        <v/>
      </c>
      <c r="B5840" s="35" t="str">
        <f t="shared" si="107"/>
        <v/>
      </c>
      <c r="C5840" s="15"/>
    </row>
    <row r="5841" spans="1:3" x14ac:dyDescent="0.25">
      <c r="A5841" s="21" t="str">
        <f>IF(C5841="","",COUNTA($C$3:C5841))</f>
        <v/>
      </c>
      <c r="B5841" s="35" t="str">
        <f t="shared" si="107"/>
        <v/>
      </c>
      <c r="C5841" s="15"/>
    </row>
    <row r="5842" spans="1:3" x14ac:dyDescent="0.25">
      <c r="A5842" s="21" t="str">
        <f>IF(C5842="","",COUNTA($C$3:C5842))</f>
        <v/>
      </c>
      <c r="B5842" s="35" t="str">
        <f t="shared" si="107"/>
        <v/>
      </c>
      <c r="C5842" s="15"/>
    </row>
    <row r="5843" spans="1:3" x14ac:dyDescent="0.25">
      <c r="A5843" s="21" t="str">
        <f>IF(C5843="","",COUNTA($C$3:C5843))</f>
        <v/>
      </c>
      <c r="B5843" s="35" t="str">
        <f t="shared" si="107"/>
        <v/>
      </c>
      <c r="C5843" s="15"/>
    </row>
    <row r="5844" spans="1:3" x14ac:dyDescent="0.25">
      <c r="A5844" s="21" t="str">
        <f>IF(C5844="","",COUNTA($C$3:C5844))</f>
        <v/>
      </c>
      <c r="B5844" s="35" t="str">
        <f t="shared" si="107"/>
        <v/>
      </c>
      <c r="C5844" s="15"/>
    </row>
    <row r="5845" spans="1:3" x14ac:dyDescent="0.25">
      <c r="A5845" s="21" t="str">
        <f>IF(C5845="","",COUNTA($C$3:C5845))</f>
        <v/>
      </c>
      <c r="B5845" s="35" t="str">
        <f t="shared" si="107"/>
        <v/>
      </c>
      <c r="C5845" s="15"/>
    </row>
    <row r="5846" spans="1:3" x14ac:dyDescent="0.25">
      <c r="A5846" s="21" t="str">
        <f>IF(C5846="","",COUNTA($C$3:C5846))</f>
        <v/>
      </c>
      <c r="B5846" s="35" t="str">
        <f t="shared" si="107"/>
        <v/>
      </c>
      <c r="C5846" s="15"/>
    </row>
    <row r="5847" spans="1:3" x14ac:dyDescent="0.25">
      <c r="A5847" s="21" t="str">
        <f>IF(C5847="","",COUNTA($C$3:C5847))</f>
        <v/>
      </c>
      <c r="B5847" s="35" t="str">
        <f t="shared" si="107"/>
        <v/>
      </c>
      <c r="C5847" s="15"/>
    </row>
    <row r="5848" spans="1:3" x14ac:dyDescent="0.25">
      <c r="A5848" s="21" t="str">
        <f>IF(C5848="","",COUNTA($C$3:C5848))</f>
        <v/>
      </c>
      <c r="B5848" s="35" t="str">
        <f t="shared" si="107"/>
        <v/>
      </c>
      <c r="C5848" s="15"/>
    </row>
    <row r="5849" spans="1:3" x14ac:dyDescent="0.25">
      <c r="A5849" s="21" t="str">
        <f>IF(C5849="","",COUNTA($C$3:C5849))</f>
        <v/>
      </c>
      <c r="B5849" s="35" t="str">
        <f t="shared" si="107"/>
        <v/>
      </c>
      <c r="C5849" s="15"/>
    </row>
    <row r="5850" spans="1:3" x14ac:dyDescent="0.25">
      <c r="A5850" s="21" t="str">
        <f>IF(C5850="","",COUNTA($C$3:C5850))</f>
        <v/>
      </c>
      <c r="B5850" s="35" t="str">
        <f t="shared" si="107"/>
        <v/>
      </c>
      <c r="C5850" s="15"/>
    </row>
    <row r="5851" spans="1:3" x14ac:dyDescent="0.25">
      <c r="A5851" s="21" t="str">
        <f>IF(C5851="","",COUNTA($C$3:C5851))</f>
        <v/>
      </c>
      <c r="B5851" s="35" t="str">
        <f t="shared" si="107"/>
        <v/>
      </c>
      <c r="C5851" s="15"/>
    </row>
    <row r="5852" spans="1:3" x14ac:dyDescent="0.25">
      <c r="A5852" s="21" t="str">
        <f>IF(C5852="","",COUNTA($C$3:C5852))</f>
        <v/>
      </c>
      <c r="B5852" s="35" t="str">
        <f t="shared" si="107"/>
        <v/>
      </c>
      <c r="C5852" s="15"/>
    </row>
    <row r="5853" spans="1:3" x14ac:dyDescent="0.25">
      <c r="A5853" s="21" t="str">
        <f>IF(C5853="","",COUNTA($C$3:C5853))</f>
        <v/>
      </c>
      <c r="B5853" s="35" t="str">
        <f t="shared" si="107"/>
        <v/>
      </c>
      <c r="C5853" s="15"/>
    </row>
    <row r="5854" spans="1:3" x14ac:dyDescent="0.25">
      <c r="A5854" s="21" t="str">
        <f>IF(C5854="","",COUNTA($C$3:C5854))</f>
        <v/>
      </c>
      <c r="B5854" s="35" t="str">
        <f t="shared" si="107"/>
        <v/>
      </c>
      <c r="C5854" s="15"/>
    </row>
    <row r="5855" spans="1:3" x14ac:dyDescent="0.25">
      <c r="A5855" s="21" t="str">
        <f>IF(C5855="","",COUNTA($C$3:C5855))</f>
        <v/>
      </c>
      <c r="B5855" s="35" t="str">
        <f t="shared" si="107"/>
        <v/>
      </c>
      <c r="C5855" s="15"/>
    </row>
    <row r="5856" spans="1:3" x14ac:dyDescent="0.25">
      <c r="A5856" s="21" t="str">
        <f>IF(C5856="","",COUNTA($C$3:C5856))</f>
        <v/>
      </c>
      <c r="B5856" s="35" t="str">
        <f t="shared" si="107"/>
        <v/>
      </c>
      <c r="C5856" s="15"/>
    </row>
    <row r="5857" spans="1:3" x14ac:dyDescent="0.25">
      <c r="A5857" s="21" t="str">
        <f>IF(C5857="","",COUNTA($C$3:C5857))</f>
        <v/>
      </c>
      <c r="B5857" s="35" t="str">
        <f t="shared" si="107"/>
        <v/>
      </c>
      <c r="C5857" s="15"/>
    </row>
    <row r="5858" spans="1:3" x14ac:dyDescent="0.25">
      <c r="A5858" s="21" t="str">
        <f>IF(C5858="","",COUNTA($C$3:C5858))</f>
        <v/>
      </c>
      <c r="B5858" s="35" t="str">
        <f t="shared" si="107"/>
        <v/>
      </c>
      <c r="C5858" s="15"/>
    </row>
    <row r="5859" spans="1:3" x14ac:dyDescent="0.25">
      <c r="A5859" s="21" t="str">
        <f>IF(C5859="","",COUNTA($C$3:C5859))</f>
        <v/>
      </c>
      <c r="B5859" s="35" t="str">
        <f t="shared" si="107"/>
        <v/>
      </c>
      <c r="C5859" s="15"/>
    </row>
    <row r="5860" spans="1:3" x14ac:dyDescent="0.25">
      <c r="A5860" s="21" t="str">
        <f>IF(C5860="","",COUNTA($C$3:C5860))</f>
        <v/>
      </c>
      <c r="B5860" s="35" t="str">
        <f t="shared" si="107"/>
        <v/>
      </c>
      <c r="C5860" s="15"/>
    </row>
    <row r="5861" spans="1:3" x14ac:dyDescent="0.25">
      <c r="A5861" s="21" t="str">
        <f>IF(C5861="","",COUNTA($C$3:C5861))</f>
        <v/>
      </c>
      <c r="B5861" s="35" t="str">
        <f t="shared" si="107"/>
        <v/>
      </c>
      <c r="C5861" s="15"/>
    </row>
    <row r="5862" spans="1:3" x14ac:dyDescent="0.25">
      <c r="A5862" s="21" t="str">
        <f>IF(C5862="","",COUNTA($C$3:C5862))</f>
        <v/>
      </c>
      <c r="B5862" s="35" t="str">
        <f t="shared" si="107"/>
        <v/>
      </c>
      <c r="C5862" s="15"/>
    </row>
    <row r="5863" spans="1:3" x14ac:dyDescent="0.25">
      <c r="A5863" s="21" t="str">
        <f>IF(C5863="","",COUNTA($C$3:C5863))</f>
        <v/>
      </c>
      <c r="B5863" s="35" t="str">
        <f t="shared" si="107"/>
        <v/>
      </c>
      <c r="C5863" s="15"/>
    </row>
    <row r="5864" spans="1:3" x14ac:dyDescent="0.25">
      <c r="A5864" s="21" t="str">
        <f>IF(C5864="","",COUNTA($C$3:C5864))</f>
        <v/>
      </c>
      <c r="B5864" s="35" t="str">
        <f t="shared" si="107"/>
        <v/>
      </c>
      <c r="C5864" s="15"/>
    </row>
    <row r="5865" spans="1:3" x14ac:dyDescent="0.25">
      <c r="A5865" s="21" t="str">
        <f>IF(C5865="","",COUNTA($C$3:C5865))</f>
        <v/>
      </c>
      <c r="B5865" s="35" t="str">
        <f t="shared" si="107"/>
        <v/>
      </c>
      <c r="C5865" s="15"/>
    </row>
    <row r="5866" spans="1:3" x14ac:dyDescent="0.25">
      <c r="A5866" s="21" t="str">
        <f>IF(C5866="","",COUNTA($C$3:C5866))</f>
        <v/>
      </c>
      <c r="B5866" s="35" t="str">
        <f t="shared" si="107"/>
        <v/>
      </c>
      <c r="C5866" s="15"/>
    </row>
    <row r="5867" spans="1:3" x14ac:dyDescent="0.25">
      <c r="A5867" s="21" t="str">
        <f>IF(C5867="","",COUNTA($C$3:C5867))</f>
        <v/>
      </c>
      <c r="B5867" s="35" t="str">
        <f t="shared" si="107"/>
        <v/>
      </c>
      <c r="C5867" s="15"/>
    </row>
    <row r="5868" spans="1:3" x14ac:dyDescent="0.25">
      <c r="A5868" s="21" t="str">
        <f>IF(C5868="","",COUNTA($C$3:C5868))</f>
        <v/>
      </c>
      <c r="B5868" s="35" t="str">
        <f t="shared" si="107"/>
        <v/>
      </c>
      <c r="C5868" s="15"/>
    </row>
    <row r="5869" spans="1:3" x14ac:dyDescent="0.25">
      <c r="A5869" s="21" t="str">
        <f>IF(C5869="","",COUNTA($C$3:C5869))</f>
        <v/>
      </c>
      <c r="B5869" s="35" t="str">
        <f t="shared" si="107"/>
        <v/>
      </c>
      <c r="C5869" s="15"/>
    </row>
    <row r="5870" spans="1:3" x14ac:dyDescent="0.25">
      <c r="A5870" s="21" t="str">
        <f>IF(C5870="","",COUNTA($C$3:C5870))</f>
        <v/>
      </c>
      <c r="B5870" s="35" t="str">
        <f t="shared" si="107"/>
        <v/>
      </c>
      <c r="C5870" s="15"/>
    </row>
    <row r="5871" spans="1:3" x14ac:dyDescent="0.25">
      <c r="A5871" s="21" t="str">
        <f>IF(C5871="","",COUNTA($C$3:C5871))</f>
        <v/>
      </c>
      <c r="B5871" s="35" t="str">
        <f t="shared" si="107"/>
        <v/>
      </c>
      <c r="C5871" s="15"/>
    </row>
    <row r="5872" spans="1:3" x14ac:dyDescent="0.25">
      <c r="A5872" s="21" t="str">
        <f>IF(C5872="","",COUNTA($C$3:C5872))</f>
        <v/>
      </c>
      <c r="B5872" s="35" t="str">
        <f t="shared" si="107"/>
        <v/>
      </c>
      <c r="C5872" s="15"/>
    </row>
    <row r="5873" spans="1:3" x14ac:dyDescent="0.25">
      <c r="A5873" s="21" t="str">
        <f>IF(C5873="","",COUNTA($C$3:C5873))</f>
        <v/>
      </c>
      <c r="B5873" s="35" t="str">
        <f t="shared" si="107"/>
        <v/>
      </c>
      <c r="C5873" s="15"/>
    </row>
    <row r="5874" spans="1:3" x14ac:dyDescent="0.25">
      <c r="A5874" s="21" t="str">
        <f>IF(C5874="","",COUNTA($C$3:C5874))</f>
        <v/>
      </c>
      <c r="B5874" s="35" t="str">
        <f t="shared" si="107"/>
        <v/>
      </c>
      <c r="C5874" s="15"/>
    </row>
    <row r="5875" spans="1:3" x14ac:dyDescent="0.25">
      <c r="A5875" s="21" t="str">
        <f>IF(C5875="","",COUNTA($C$3:C5875))</f>
        <v/>
      </c>
      <c r="B5875" s="35" t="str">
        <f t="shared" si="107"/>
        <v/>
      </c>
      <c r="C5875" s="15"/>
    </row>
    <row r="5876" spans="1:3" x14ac:dyDescent="0.25">
      <c r="A5876" s="21" t="str">
        <f>IF(C5876="","",COUNTA($C$3:C5876))</f>
        <v/>
      </c>
      <c r="B5876" s="35" t="str">
        <f t="shared" si="107"/>
        <v/>
      </c>
      <c r="C5876" s="15"/>
    </row>
    <row r="5877" spans="1:3" x14ac:dyDescent="0.25">
      <c r="A5877" s="21" t="str">
        <f>IF(C5877="","",COUNTA($C$3:C5877))</f>
        <v/>
      </c>
      <c r="B5877" s="35" t="str">
        <f t="shared" si="107"/>
        <v/>
      </c>
      <c r="C5877" s="15"/>
    </row>
    <row r="5878" spans="1:3" x14ac:dyDescent="0.25">
      <c r="A5878" s="21" t="str">
        <f>IF(C5878="","",COUNTA($C$3:C5878))</f>
        <v/>
      </c>
      <c r="B5878" s="35" t="str">
        <f t="shared" si="107"/>
        <v/>
      </c>
      <c r="C5878" s="15"/>
    </row>
    <row r="5879" spans="1:3" x14ac:dyDescent="0.25">
      <c r="A5879" s="21" t="str">
        <f>IF(C5879="","",COUNTA($C$3:C5879))</f>
        <v/>
      </c>
      <c r="B5879" s="35" t="str">
        <f t="shared" si="107"/>
        <v/>
      </c>
      <c r="C5879" s="15"/>
    </row>
    <row r="5880" spans="1:3" x14ac:dyDescent="0.25">
      <c r="A5880" s="21" t="str">
        <f>IF(C5880="","",COUNTA($C$3:C5880))</f>
        <v/>
      </c>
      <c r="B5880" s="35" t="str">
        <f t="shared" si="107"/>
        <v/>
      </c>
      <c r="C5880" s="15"/>
    </row>
    <row r="5881" spans="1:3" x14ac:dyDescent="0.25">
      <c r="A5881" s="21" t="str">
        <f>IF(C5881="","",COUNTA($C$3:C5881))</f>
        <v/>
      </c>
      <c r="B5881" s="35" t="str">
        <f t="shared" si="107"/>
        <v/>
      </c>
      <c r="C5881" s="15"/>
    </row>
    <row r="5882" spans="1:3" x14ac:dyDescent="0.25">
      <c r="A5882" s="21" t="str">
        <f>IF(C5882="","",COUNTA($C$3:C5882))</f>
        <v/>
      </c>
      <c r="B5882" s="35" t="str">
        <f t="shared" si="107"/>
        <v/>
      </c>
      <c r="C5882" s="15"/>
    </row>
    <row r="5883" spans="1:3" x14ac:dyDescent="0.25">
      <c r="A5883" s="21" t="str">
        <f>IF(C5883="","",COUNTA($C$3:C5883))</f>
        <v/>
      </c>
      <c r="B5883" s="35" t="str">
        <f t="shared" si="107"/>
        <v/>
      </c>
      <c r="C5883" s="15"/>
    </row>
    <row r="5884" spans="1:3" x14ac:dyDescent="0.25">
      <c r="A5884" s="21" t="str">
        <f>IF(C5884="","",COUNTA($C$3:C5884))</f>
        <v/>
      </c>
      <c r="B5884" s="35" t="str">
        <f t="shared" si="107"/>
        <v/>
      </c>
      <c r="C5884" s="15"/>
    </row>
    <row r="5885" spans="1:3" x14ac:dyDescent="0.25">
      <c r="A5885" s="21" t="str">
        <f>IF(C5885="","",COUNTA($C$3:C5885))</f>
        <v/>
      </c>
      <c r="B5885" s="35" t="str">
        <f t="shared" si="107"/>
        <v/>
      </c>
      <c r="C5885" s="15"/>
    </row>
    <row r="5886" spans="1:3" x14ac:dyDescent="0.25">
      <c r="A5886" s="21" t="str">
        <f>IF(C5886="","",COUNTA($C$3:C5886))</f>
        <v/>
      </c>
      <c r="B5886" s="35" t="str">
        <f t="shared" si="107"/>
        <v/>
      </c>
      <c r="C5886" s="15"/>
    </row>
    <row r="5887" spans="1:3" x14ac:dyDescent="0.25">
      <c r="A5887" s="21" t="str">
        <f>IF(C5887="","",COUNTA($C$3:C5887))</f>
        <v/>
      </c>
      <c r="B5887" s="35" t="str">
        <f t="shared" si="107"/>
        <v/>
      </c>
      <c r="C5887" s="15"/>
    </row>
    <row r="5888" spans="1:3" x14ac:dyDescent="0.25">
      <c r="A5888" s="21" t="str">
        <f>IF(C5888="","",COUNTA($C$3:C5888))</f>
        <v/>
      </c>
      <c r="B5888" s="35" t="str">
        <f t="shared" si="107"/>
        <v/>
      </c>
      <c r="C5888" s="15"/>
    </row>
    <row r="5889" spans="1:3" x14ac:dyDescent="0.25">
      <c r="A5889" s="21" t="str">
        <f>IF(C5889="","",COUNTA($C$3:C5889))</f>
        <v/>
      </c>
      <c r="B5889" s="35" t="str">
        <f t="shared" si="107"/>
        <v/>
      </c>
      <c r="C5889" s="15"/>
    </row>
    <row r="5890" spans="1:3" x14ac:dyDescent="0.25">
      <c r="A5890" s="21" t="str">
        <f>IF(C5890="","",COUNTA($C$3:C5890))</f>
        <v/>
      </c>
      <c r="B5890" s="35" t="str">
        <f t="shared" si="107"/>
        <v/>
      </c>
      <c r="C5890" s="15"/>
    </row>
    <row r="5891" spans="1:3" x14ac:dyDescent="0.25">
      <c r="A5891" s="21" t="str">
        <f>IF(C5891="","",COUNTA($C$3:C5891))</f>
        <v/>
      </c>
      <c r="B5891" s="35" t="str">
        <f t="shared" si="107"/>
        <v/>
      </c>
      <c r="C5891" s="15"/>
    </row>
    <row r="5892" spans="1:3" x14ac:dyDescent="0.25">
      <c r="A5892" s="21" t="str">
        <f>IF(C5892="","",COUNTA($C$3:C5892))</f>
        <v/>
      </c>
      <c r="B5892" s="35" t="str">
        <f t="shared" si="107"/>
        <v/>
      </c>
      <c r="C5892" s="15"/>
    </row>
    <row r="5893" spans="1:3" x14ac:dyDescent="0.25">
      <c r="A5893" s="21" t="str">
        <f>IF(C5893="","",COUNTA($C$3:C5893))</f>
        <v/>
      </c>
      <c r="B5893" s="35" t="str">
        <f t="shared" ref="B5893:B5956" si="108">IF(C5893="","",TEXT(C5893,"mmmm"))</f>
        <v/>
      </c>
      <c r="C5893" s="15"/>
    </row>
    <row r="5894" spans="1:3" x14ac:dyDescent="0.25">
      <c r="A5894" s="21" t="str">
        <f>IF(C5894="","",COUNTA($C$3:C5894))</f>
        <v/>
      </c>
      <c r="B5894" s="35" t="str">
        <f t="shared" si="108"/>
        <v/>
      </c>
      <c r="C5894" s="15"/>
    </row>
    <row r="5895" spans="1:3" x14ac:dyDescent="0.25">
      <c r="A5895" s="21" t="str">
        <f>IF(C5895="","",COUNTA($C$3:C5895))</f>
        <v/>
      </c>
      <c r="B5895" s="35" t="str">
        <f t="shared" si="108"/>
        <v/>
      </c>
      <c r="C5895" s="15"/>
    </row>
    <row r="5896" spans="1:3" x14ac:dyDescent="0.25">
      <c r="A5896" s="21" t="str">
        <f>IF(C5896="","",COUNTA($C$3:C5896))</f>
        <v/>
      </c>
      <c r="B5896" s="35" t="str">
        <f t="shared" si="108"/>
        <v/>
      </c>
      <c r="C5896" s="15"/>
    </row>
    <row r="5897" spans="1:3" x14ac:dyDescent="0.25">
      <c r="A5897" s="21" t="str">
        <f>IF(C5897="","",COUNTA($C$3:C5897))</f>
        <v/>
      </c>
      <c r="B5897" s="35" t="str">
        <f t="shared" si="108"/>
        <v/>
      </c>
      <c r="C5897" s="15"/>
    </row>
    <row r="5898" spans="1:3" x14ac:dyDescent="0.25">
      <c r="A5898" s="21" t="str">
        <f>IF(C5898="","",COUNTA($C$3:C5898))</f>
        <v/>
      </c>
      <c r="B5898" s="35" t="str">
        <f t="shared" si="108"/>
        <v/>
      </c>
      <c r="C5898" s="15"/>
    </row>
    <row r="5899" spans="1:3" x14ac:dyDescent="0.25">
      <c r="A5899" s="21" t="str">
        <f>IF(C5899="","",COUNTA($C$3:C5899))</f>
        <v/>
      </c>
      <c r="B5899" s="35" t="str">
        <f t="shared" si="108"/>
        <v/>
      </c>
      <c r="C5899" s="15"/>
    </row>
    <row r="5900" spans="1:3" x14ac:dyDescent="0.25">
      <c r="A5900" s="21" t="str">
        <f>IF(C5900="","",COUNTA($C$3:C5900))</f>
        <v/>
      </c>
      <c r="B5900" s="35" t="str">
        <f t="shared" si="108"/>
        <v/>
      </c>
      <c r="C5900" s="15"/>
    </row>
    <row r="5901" spans="1:3" x14ac:dyDescent="0.25">
      <c r="A5901" s="21" t="str">
        <f>IF(C5901="","",COUNTA($C$3:C5901))</f>
        <v/>
      </c>
      <c r="B5901" s="35" t="str">
        <f t="shared" si="108"/>
        <v/>
      </c>
      <c r="C5901" s="15"/>
    </row>
    <row r="5902" spans="1:3" x14ac:dyDescent="0.25">
      <c r="A5902" s="21" t="str">
        <f>IF(C5902="","",COUNTA($C$3:C5902))</f>
        <v/>
      </c>
      <c r="B5902" s="35" t="str">
        <f t="shared" si="108"/>
        <v/>
      </c>
      <c r="C5902" s="15"/>
    </row>
    <row r="5903" spans="1:3" x14ac:dyDescent="0.25">
      <c r="A5903" s="21" t="str">
        <f>IF(C5903="","",COUNTA($C$3:C5903))</f>
        <v/>
      </c>
      <c r="B5903" s="35" t="str">
        <f t="shared" si="108"/>
        <v/>
      </c>
      <c r="C5903" s="15"/>
    </row>
    <row r="5904" spans="1:3" x14ac:dyDescent="0.25">
      <c r="A5904" s="21" t="str">
        <f>IF(C5904="","",COUNTA($C$3:C5904))</f>
        <v/>
      </c>
      <c r="B5904" s="35" t="str">
        <f t="shared" si="108"/>
        <v/>
      </c>
      <c r="C5904" s="15"/>
    </row>
    <row r="5905" spans="1:3" x14ac:dyDescent="0.25">
      <c r="A5905" s="21" t="str">
        <f>IF(C5905="","",COUNTA($C$3:C5905))</f>
        <v/>
      </c>
      <c r="B5905" s="35" t="str">
        <f t="shared" si="108"/>
        <v/>
      </c>
      <c r="C5905" s="15"/>
    </row>
    <row r="5906" spans="1:3" x14ac:dyDescent="0.25">
      <c r="A5906" s="21" t="str">
        <f>IF(C5906="","",COUNTA($C$3:C5906))</f>
        <v/>
      </c>
      <c r="B5906" s="35" t="str">
        <f t="shared" si="108"/>
        <v/>
      </c>
      <c r="C5906" s="15"/>
    </row>
    <row r="5907" spans="1:3" x14ac:dyDescent="0.25">
      <c r="A5907" s="21" t="str">
        <f>IF(C5907="","",COUNTA($C$3:C5907))</f>
        <v/>
      </c>
      <c r="B5907" s="35" t="str">
        <f t="shared" si="108"/>
        <v/>
      </c>
      <c r="C5907" s="15"/>
    </row>
    <row r="5908" spans="1:3" x14ac:dyDescent="0.25">
      <c r="A5908" s="21" t="str">
        <f>IF(C5908="","",COUNTA($C$3:C5908))</f>
        <v/>
      </c>
      <c r="B5908" s="35" t="str">
        <f t="shared" si="108"/>
        <v/>
      </c>
      <c r="C5908" s="15"/>
    </row>
    <row r="5909" spans="1:3" x14ac:dyDescent="0.25">
      <c r="A5909" s="21" t="str">
        <f>IF(C5909="","",COUNTA($C$3:C5909))</f>
        <v/>
      </c>
      <c r="B5909" s="35" t="str">
        <f t="shared" si="108"/>
        <v/>
      </c>
      <c r="C5909" s="15"/>
    </row>
    <row r="5910" spans="1:3" x14ac:dyDescent="0.25">
      <c r="A5910" s="21" t="str">
        <f>IF(C5910="","",COUNTA($C$3:C5910))</f>
        <v/>
      </c>
      <c r="B5910" s="35" t="str">
        <f t="shared" si="108"/>
        <v/>
      </c>
      <c r="C5910" s="15"/>
    </row>
    <row r="5911" spans="1:3" x14ac:dyDescent="0.25">
      <c r="A5911" s="21" t="str">
        <f>IF(C5911="","",COUNTA($C$3:C5911))</f>
        <v/>
      </c>
      <c r="B5911" s="35" t="str">
        <f t="shared" si="108"/>
        <v/>
      </c>
      <c r="C5911" s="15"/>
    </row>
    <row r="5912" spans="1:3" x14ac:dyDescent="0.25">
      <c r="A5912" s="21" t="str">
        <f>IF(C5912="","",COUNTA($C$3:C5912))</f>
        <v/>
      </c>
      <c r="B5912" s="35" t="str">
        <f t="shared" si="108"/>
        <v/>
      </c>
      <c r="C5912" s="15"/>
    </row>
    <row r="5913" spans="1:3" x14ac:dyDescent="0.25">
      <c r="A5913" s="21" t="str">
        <f>IF(C5913="","",COUNTA($C$3:C5913))</f>
        <v/>
      </c>
      <c r="B5913" s="35" t="str">
        <f t="shared" si="108"/>
        <v/>
      </c>
      <c r="C5913" s="15"/>
    </row>
    <row r="5914" spans="1:3" x14ac:dyDescent="0.25">
      <c r="A5914" s="21" t="str">
        <f>IF(C5914="","",COUNTA($C$3:C5914))</f>
        <v/>
      </c>
      <c r="B5914" s="35" t="str">
        <f t="shared" si="108"/>
        <v/>
      </c>
      <c r="C5914" s="15"/>
    </row>
    <row r="5915" spans="1:3" x14ac:dyDescent="0.25">
      <c r="A5915" s="21" t="str">
        <f>IF(C5915="","",COUNTA($C$3:C5915))</f>
        <v/>
      </c>
      <c r="B5915" s="35" t="str">
        <f t="shared" si="108"/>
        <v/>
      </c>
      <c r="C5915" s="15"/>
    </row>
    <row r="5916" spans="1:3" x14ac:dyDescent="0.25">
      <c r="A5916" s="21" t="str">
        <f>IF(C5916="","",COUNTA($C$3:C5916))</f>
        <v/>
      </c>
      <c r="B5916" s="35" t="str">
        <f t="shared" si="108"/>
        <v/>
      </c>
      <c r="C5916" s="15"/>
    </row>
    <row r="5917" spans="1:3" x14ac:dyDescent="0.25">
      <c r="A5917" s="21" t="str">
        <f>IF(C5917="","",COUNTA($C$3:C5917))</f>
        <v/>
      </c>
      <c r="B5917" s="35" t="str">
        <f t="shared" si="108"/>
        <v/>
      </c>
      <c r="C5917" s="15"/>
    </row>
    <row r="5918" spans="1:3" x14ac:dyDescent="0.25">
      <c r="A5918" s="21" t="str">
        <f>IF(C5918="","",COUNTA($C$3:C5918))</f>
        <v/>
      </c>
      <c r="B5918" s="35" t="str">
        <f t="shared" si="108"/>
        <v/>
      </c>
      <c r="C5918" s="15"/>
    </row>
    <row r="5919" spans="1:3" x14ac:dyDescent="0.25">
      <c r="A5919" s="21" t="str">
        <f>IF(C5919="","",COUNTA($C$3:C5919))</f>
        <v/>
      </c>
      <c r="B5919" s="35" t="str">
        <f t="shared" si="108"/>
        <v/>
      </c>
      <c r="C5919" s="15"/>
    </row>
    <row r="5920" spans="1:3" x14ac:dyDescent="0.25">
      <c r="A5920" s="21" t="str">
        <f>IF(C5920="","",COUNTA($C$3:C5920))</f>
        <v/>
      </c>
      <c r="B5920" s="35" t="str">
        <f t="shared" si="108"/>
        <v/>
      </c>
      <c r="C5920" s="15"/>
    </row>
    <row r="5921" spans="1:3" x14ac:dyDescent="0.25">
      <c r="A5921" s="21" t="str">
        <f>IF(C5921="","",COUNTA($C$3:C5921))</f>
        <v/>
      </c>
      <c r="B5921" s="35" t="str">
        <f t="shared" si="108"/>
        <v/>
      </c>
      <c r="C5921" s="15"/>
    </row>
    <row r="5922" spans="1:3" x14ac:dyDescent="0.25">
      <c r="A5922" s="21" t="str">
        <f>IF(C5922="","",COUNTA($C$3:C5922))</f>
        <v/>
      </c>
      <c r="B5922" s="35" t="str">
        <f t="shared" si="108"/>
        <v/>
      </c>
      <c r="C5922" s="15"/>
    </row>
    <row r="5923" spans="1:3" x14ac:dyDescent="0.25">
      <c r="A5923" s="21" t="str">
        <f>IF(C5923="","",COUNTA($C$3:C5923))</f>
        <v/>
      </c>
      <c r="B5923" s="35" t="str">
        <f t="shared" si="108"/>
        <v/>
      </c>
      <c r="C5923" s="15"/>
    </row>
    <row r="5924" spans="1:3" x14ac:dyDescent="0.25">
      <c r="A5924" s="21" t="str">
        <f>IF(C5924="","",COUNTA($C$3:C5924))</f>
        <v/>
      </c>
      <c r="B5924" s="35" t="str">
        <f t="shared" si="108"/>
        <v/>
      </c>
      <c r="C5924" s="15"/>
    </row>
    <row r="5925" spans="1:3" x14ac:dyDescent="0.25">
      <c r="A5925" s="21" t="str">
        <f>IF(C5925="","",COUNTA($C$3:C5925))</f>
        <v/>
      </c>
      <c r="B5925" s="35" t="str">
        <f t="shared" si="108"/>
        <v/>
      </c>
      <c r="C5925" s="15"/>
    </row>
    <row r="5926" spans="1:3" x14ac:dyDescent="0.25">
      <c r="A5926" s="21" t="str">
        <f>IF(C5926="","",COUNTA($C$3:C5926))</f>
        <v/>
      </c>
      <c r="B5926" s="35" t="str">
        <f t="shared" si="108"/>
        <v/>
      </c>
      <c r="C5926" s="15"/>
    </row>
    <row r="5927" spans="1:3" x14ac:dyDescent="0.25">
      <c r="A5927" s="21" t="str">
        <f>IF(C5927="","",COUNTA($C$3:C5927))</f>
        <v/>
      </c>
      <c r="B5927" s="35" t="str">
        <f t="shared" si="108"/>
        <v/>
      </c>
      <c r="C5927" s="15"/>
    </row>
    <row r="5928" spans="1:3" x14ac:dyDescent="0.25">
      <c r="A5928" s="21" t="str">
        <f>IF(C5928="","",COUNTA($C$3:C5928))</f>
        <v/>
      </c>
      <c r="B5928" s="35" t="str">
        <f t="shared" si="108"/>
        <v/>
      </c>
      <c r="C5928" s="15"/>
    </row>
    <row r="5929" spans="1:3" x14ac:dyDescent="0.25">
      <c r="A5929" s="21" t="str">
        <f>IF(C5929="","",COUNTA($C$3:C5929))</f>
        <v/>
      </c>
      <c r="B5929" s="35" t="str">
        <f t="shared" si="108"/>
        <v/>
      </c>
      <c r="C5929" s="15"/>
    </row>
    <row r="5930" spans="1:3" x14ac:dyDescent="0.25">
      <c r="A5930" s="21" t="str">
        <f>IF(C5930="","",COUNTA($C$3:C5930))</f>
        <v/>
      </c>
      <c r="B5930" s="35" t="str">
        <f t="shared" si="108"/>
        <v/>
      </c>
      <c r="C5930" s="15"/>
    </row>
    <row r="5931" spans="1:3" x14ac:dyDescent="0.25">
      <c r="A5931" s="21" t="str">
        <f>IF(C5931="","",COUNTA($C$3:C5931))</f>
        <v/>
      </c>
      <c r="B5931" s="35" t="str">
        <f t="shared" si="108"/>
        <v/>
      </c>
      <c r="C5931" s="15"/>
    </row>
    <row r="5932" spans="1:3" x14ac:dyDescent="0.25">
      <c r="A5932" s="21" t="str">
        <f>IF(C5932="","",COUNTA($C$3:C5932))</f>
        <v/>
      </c>
      <c r="B5932" s="35" t="str">
        <f t="shared" si="108"/>
        <v/>
      </c>
      <c r="C5932" s="15"/>
    </row>
    <row r="5933" spans="1:3" x14ac:dyDescent="0.25">
      <c r="A5933" s="21" t="str">
        <f>IF(C5933="","",COUNTA($C$3:C5933))</f>
        <v/>
      </c>
      <c r="B5933" s="35" t="str">
        <f t="shared" si="108"/>
        <v/>
      </c>
      <c r="C5933" s="15"/>
    </row>
    <row r="5934" spans="1:3" x14ac:dyDescent="0.25">
      <c r="A5934" s="21" t="str">
        <f>IF(C5934="","",COUNTA($C$3:C5934))</f>
        <v/>
      </c>
      <c r="B5934" s="35" t="str">
        <f t="shared" si="108"/>
        <v/>
      </c>
      <c r="C5934" s="15"/>
    </row>
    <row r="5935" spans="1:3" x14ac:dyDescent="0.25">
      <c r="A5935" s="21" t="str">
        <f>IF(C5935="","",COUNTA($C$3:C5935))</f>
        <v/>
      </c>
      <c r="B5935" s="35" t="str">
        <f t="shared" si="108"/>
        <v/>
      </c>
      <c r="C5935" s="15"/>
    </row>
    <row r="5936" spans="1:3" x14ac:dyDescent="0.25">
      <c r="A5936" s="21" t="str">
        <f>IF(C5936="","",COUNTA($C$3:C5936))</f>
        <v/>
      </c>
      <c r="B5936" s="35" t="str">
        <f t="shared" si="108"/>
        <v/>
      </c>
      <c r="C5936" s="15"/>
    </row>
    <row r="5937" spans="1:3" x14ac:dyDescent="0.25">
      <c r="A5937" s="21" t="str">
        <f>IF(C5937="","",COUNTA($C$3:C5937))</f>
        <v/>
      </c>
      <c r="B5937" s="35" t="str">
        <f t="shared" si="108"/>
        <v/>
      </c>
      <c r="C5937" s="15"/>
    </row>
    <row r="5938" spans="1:3" x14ac:dyDescent="0.25">
      <c r="A5938" s="21" t="str">
        <f>IF(C5938="","",COUNTA($C$3:C5938))</f>
        <v/>
      </c>
      <c r="B5938" s="35" t="str">
        <f t="shared" si="108"/>
        <v/>
      </c>
      <c r="C5938" s="15"/>
    </row>
    <row r="5939" spans="1:3" x14ac:dyDescent="0.25">
      <c r="A5939" s="21" t="str">
        <f>IF(C5939="","",COUNTA($C$3:C5939))</f>
        <v/>
      </c>
      <c r="B5939" s="35" t="str">
        <f t="shared" si="108"/>
        <v/>
      </c>
      <c r="C5939" s="15"/>
    </row>
    <row r="5940" spans="1:3" x14ac:dyDescent="0.25">
      <c r="A5940" s="21" t="str">
        <f>IF(C5940="","",COUNTA($C$3:C5940))</f>
        <v/>
      </c>
      <c r="B5940" s="35" t="str">
        <f t="shared" si="108"/>
        <v/>
      </c>
      <c r="C5940" s="15"/>
    </row>
    <row r="5941" spans="1:3" x14ac:dyDescent="0.25">
      <c r="A5941" s="21" t="str">
        <f>IF(C5941="","",COUNTA($C$3:C5941))</f>
        <v/>
      </c>
      <c r="B5941" s="35" t="str">
        <f t="shared" si="108"/>
        <v/>
      </c>
      <c r="C5941" s="15"/>
    </row>
    <row r="5942" spans="1:3" x14ac:dyDescent="0.25">
      <c r="A5942" s="21" t="str">
        <f>IF(C5942="","",COUNTA($C$3:C5942))</f>
        <v/>
      </c>
      <c r="B5942" s="35" t="str">
        <f t="shared" si="108"/>
        <v/>
      </c>
      <c r="C5942" s="15"/>
    </row>
    <row r="5943" spans="1:3" x14ac:dyDescent="0.25">
      <c r="A5943" s="21" t="str">
        <f>IF(C5943="","",COUNTA($C$3:C5943))</f>
        <v/>
      </c>
      <c r="B5943" s="35" t="str">
        <f t="shared" si="108"/>
        <v/>
      </c>
      <c r="C5943" s="15"/>
    </row>
    <row r="5944" spans="1:3" x14ac:dyDescent="0.25">
      <c r="A5944" s="21" t="str">
        <f>IF(C5944="","",COUNTA($C$3:C5944))</f>
        <v/>
      </c>
      <c r="B5944" s="35" t="str">
        <f t="shared" si="108"/>
        <v/>
      </c>
      <c r="C5944" s="15"/>
    </row>
    <row r="5945" spans="1:3" x14ac:dyDescent="0.25">
      <c r="A5945" s="21" t="str">
        <f>IF(C5945="","",COUNTA($C$3:C5945))</f>
        <v/>
      </c>
      <c r="B5945" s="35" t="str">
        <f t="shared" si="108"/>
        <v/>
      </c>
      <c r="C5945" s="15"/>
    </row>
    <row r="5946" spans="1:3" x14ac:dyDescent="0.25">
      <c r="A5946" s="21" t="str">
        <f>IF(C5946="","",COUNTA($C$3:C5946))</f>
        <v/>
      </c>
      <c r="B5946" s="35" t="str">
        <f t="shared" si="108"/>
        <v/>
      </c>
      <c r="C5946" s="15"/>
    </row>
    <row r="5947" spans="1:3" x14ac:dyDescent="0.25">
      <c r="A5947" s="21" t="str">
        <f>IF(C5947="","",COUNTA($C$3:C5947))</f>
        <v/>
      </c>
      <c r="B5947" s="35" t="str">
        <f t="shared" si="108"/>
        <v/>
      </c>
      <c r="C5947" s="15"/>
    </row>
    <row r="5948" spans="1:3" x14ac:dyDescent="0.25">
      <c r="A5948" s="21" t="str">
        <f>IF(C5948="","",COUNTA($C$3:C5948))</f>
        <v/>
      </c>
      <c r="B5948" s="35" t="str">
        <f t="shared" si="108"/>
        <v/>
      </c>
      <c r="C5948" s="15"/>
    </row>
    <row r="5949" spans="1:3" x14ac:dyDescent="0.25">
      <c r="A5949" s="21" t="str">
        <f>IF(C5949="","",COUNTA($C$3:C5949))</f>
        <v/>
      </c>
      <c r="B5949" s="35" t="str">
        <f t="shared" si="108"/>
        <v/>
      </c>
      <c r="C5949" s="15"/>
    </row>
    <row r="5950" spans="1:3" x14ac:dyDescent="0.25">
      <c r="A5950" s="21" t="str">
        <f>IF(C5950="","",COUNTA($C$3:C5950))</f>
        <v/>
      </c>
      <c r="B5950" s="35" t="str">
        <f t="shared" si="108"/>
        <v/>
      </c>
      <c r="C5950" s="15"/>
    </row>
    <row r="5951" spans="1:3" x14ac:dyDescent="0.25">
      <c r="A5951" s="21" t="str">
        <f>IF(C5951="","",COUNTA($C$3:C5951))</f>
        <v/>
      </c>
      <c r="B5951" s="35" t="str">
        <f t="shared" si="108"/>
        <v/>
      </c>
      <c r="C5951" s="15"/>
    </row>
    <row r="5952" spans="1:3" x14ac:dyDescent="0.25">
      <c r="A5952" s="21" t="str">
        <f>IF(C5952="","",COUNTA($C$3:C5952))</f>
        <v/>
      </c>
      <c r="B5952" s="35" t="str">
        <f t="shared" si="108"/>
        <v/>
      </c>
      <c r="C5952" s="15"/>
    </row>
    <row r="5953" spans="1:3" x14ac:dyDescent="0.25">
      <c r="A5953" s="21" t="str">
        <f>IF(C5953="","",COUNTA($C$3:C5953))</f>
        <v/>
      </c>
      <c r="B5953" s="35" t="str">
        <f t="shared" si="108"/>
        <v/>
      </c>
      <c r="C5953" s="15"/>
    </row>
    <row r="5954" spans="1:3" x14ac:dyDescent="0.25">
      <c r="A5954" s="21" t="str">
        <f>IF(C5954="","",COUNTA($C$3:C5954))</f>
        <v/>
      </c>
      <c r="B5954" s="35" t="str">
        <f t="shared" si="108"/>
        <v/>
      </c>
      <c r="C5954" s="15"/>
    </row>
    <row r="5955" spans="1:3" x14ac:dyDescent="0.25">
      <c r="A5955" s="21" t="str">
        <f>IF(C5955="","",COUNTA($C$3:C5955))</f>
        <v/>
      </c>
      <c r="B5955" s="35" t="str">
        <f t="shared" si="108"/>
        <v/>
      </c>
      <c r="C5955" s="15"/>
    </row>
    <row r="5956" spans="1:3" x14ac:dyDescent="0.25">
      <c r="A5956" s="21" t="str">
        <f>IF(C5956="","",COUNTA($C$3:C5956))</f>
        <v/>
      </c>
      <c r="B5956" s="35" t="str">
        <f t="shared" si="108"/>
        <v/>
      </c>
      <c r="C5956" s="15"/>
    </row>
    <row r="5957" spans="1:3" x14ac:dyDescent="0.25">
      <c r="A5957" s="21" t="str">
        <f>IF(C5957="","",COUNTA($C$3:C5957))</f>
        <v/>
      </c>
      <c r="B5957" s="35" t="str">
        <f t="shared" ref="B5957:B6020" si="109">IF(C5957="","",TEXT(C5957,"mmmm"))</f>
        <v/>
      </c>
      <c r="C5957" s="15"/>
    </row>
    <row r="5958" spans="1:3" x14ac:dyDescent="0.25">
      <c r="A5958" s="21" t="str">
        <f>IF(C5958="","",COUNTA($C$3:C5958))</f>
        <v/>
      </c>
      <c r="B5958" s="35" t="str">
        <f t="shared" si="109"/>
        <v/>
      </c>
      <c r="C5958" s="15"/>
    </row>
    <row r="5959" spans="1:3" x14ac:dyDescent="0.25">
      <c r="A5959" s="21" t="str">
        <f>IF(C5959="","",COUNTA($C$3:C5959))</f>
        <v/>
      </c>
      <c r="B5959" s="35" t="str">
        <f t="shared" si="109"/>
        <v/>
      </c>
      <c r="C5959" s="15"/>
    </row>
    <row r="5960" spans="1:3" x14ac:dyDescent="0.25">
      <c r="A5960" s="21" t="str">
        <f>IF(C5960="","",COUNTA($C$3:C5960))</f>
        <v/>
      </c>
      <c r="B5960" s="35" t="str">
        <f t="shared" si="109"/>
        <v/>
      </c>
      <c r="C5960" s="15"/>
    </row>
    <row r="5961" spans="1:3" x14ac:dyDescent="0.25">
      <c r="A5961" s="21" t="str">
        <f>IF(C5961="","",COUNTA($C$3:C5961))</f>
        <v/>
      </c>
      <c r="B5961" s="35" t="str">
        <f t="shared" si="109"/>
        <v/>
      </c>
      <c r="C5961" s="15"/>
    </row>
    <row r="5962" spans="1:3" x14ac:dyDescent="0.25">
      <c r="A5962" s="21" t="str">
        <f>IF(C5962="","",COUNTA($C$3:C5962))</f>
        <v/>
      </c>
      <c r="B5962" s="35" t="str">
        <f t="shared" si="109"/>
        <v/>
      </c>
      <c r="C5962" s="15"/>
    </row>
    <row r="5963" spans="1:3" x14ac:dyDescent="0.25">
      <c r="A5963" s="21" t="str">
        <f>IF(C5963="","",COUNTA($C$3:C5963))</f>
        <v/>
      </c>
      <c r="B5963" s="35" t="str">
        <f t="shared" si="109"/>
        <v/>
      </c>
      <c r="C5963" s="15"/>
    </row>
    <row r="5964" spans="1:3" x14ac:dyDescent="0.25">
      <c r="A5964" s="21" t="str">
        <f>IF(C5964="","",COUNTA($C$3:C5964))</f>
        <v/>
      </c>
      <c r="B5964" s="35" t="str">
        <f t="shared" si="109"/>
        <v/>
      </c>
      <c r="C5964" s="15"/>
    </row>
    <row r="5965" spans="1:3" x14ac:dyDescent="0.25">
      <c r="A5965" s="21" t="str">
        <f>IF(C5965="","",COUNTA($C$3:C5965))</f>
        <v/>
      </c>
      <c r="B5965" s="35" t="str">
        <f t="shared" si="109"/>
        <v/>
      </c>
      <c r="C5965" s="15"/>
    </row>
    <row r="5966" spans="1:3" x14ac:dyDescent="0.25">
      <c r="A5966" s="21" t="str">
        <f>IF(C5966="","",COUNTA($C$3:C5966))</f>
        <v/>
      </c>
      <c r="B5966" s="35" t="str">
        <f t="shared" si="109"/>
        <v/>
      </c>
      <c r="C5966" s="15"/>
    </row>
    <row r="5967" spans="1:3" x14ac:dyDescent="0.25">
      <c r="A5967" s="21" t="str">
        <f>IF(C5967="","",COUNTA($C$3:C5967))</f>
        <v/>
      </c>
      <c r="B5967" s="35" t="str">
        <f t="shared" si="109"/>
        <v/>
      </c>
      <c r="C5967" s="15"/>
    </row>
    <row r="5968" spans="1:3" x14ac:dyDescent="0.25">
      <c r="A5968" s="21" t="str">
        <f>IF(C5968="","",COUNTA($C$3:C5968))</f>
        <v/>
      </c>
      <c r="B5968" s="35" t="str">
        <f t="shared" si="109"/>
        <v/>
      </c>
      <c r="C5968" s="15"/>
    </row>
    <row r="5969" spans="1:3" x14ac:dyDescent="0.25">
      <c r="A5969" s="21" t="str">
        <f>IF(C5969="","",COUNTA($C$3:C5969))</f>
        <v/>
      </c>
      <c r="B5969" s="35" t="str">
        <f t="shared" si="109"/>
        <v/>
      </c>
      <c r="C5969" s="15"/>
    </row>
    <row r="5970" spans="1:3" x14ac:dyDescent="0.25">
      <c r="A5970" s="21" t="str">
        <f>IF(C5970="","",COUNTA($C$3:C5970))</f>
        <v/>
      </c>
      <c r="B5970" s="35" t="str">
        <f t="shared" si="109"/>
        <v/>
      </c>
      <c r="C5970" s="15"/>
    </row>
    <row r="5971" spans="1:3" x14ac:dyDescent="0.25">
      <c r="A5971" s="21" t="str">
        <f>IF(C5971="","",COUNTA($C$3:C5971))</f>
        <v/>
      </c>
      <c r="B5971" s="35" t="str">
        <f t="shared" si="109"/>
        <v/>
      </c>
      <c r="C5971" s="15"/>
    </row>
    <row r="5972" spans="1:3" x14ac:dyDescent="0.25">
      <c r="A5972" s="21" t="str">
        <f>IF(C5972="","",COUNTA($C$3:C5972))</f>
        <v/>
      </c>
      <c r="B5972" s="35" t="str">
        <f t="shared" si="109"/>
        <v/>
      </c>
      <c r="C5972" s="15"/>
    </row>
    <row r="5973" spans="1:3" x14ac:dyDescent="0.25">
      <c r="A5973" s="21" t="str">
        <f>IF(C5973="","",COUNTA($C$3:C5973))</f>
        <v/>
      </c>
      <c r="B5973" s="35" t="str">
        <f t="shared" si="109"/>
        <v/>
      </c>
      <c r="C5973" s="15"/>
    </row>
    <row r="5974" spans="1:3" x14ac:dyDescent="0.25">
      <c r="A5974" s="21" t="str">
        <f>IF(C5974="","",COUNTA($C$3:C5974))</f>
        <v/>
      </c>
      <c r="B5974" s="35" t="str">
        <f t="shared" si="109"/>
        <v/>
      </c>
      <c r="C5974" s="15"/>
    </row>
    <row r="5975" spans="1:3" x14ac:dyDescent="0.25">
      <c r="A5975" s="21" t="str">
        <f>IF(C5975="","",COUNTA($C$3:C5975))</f>
        <v/>
      </c>
      <c r="B5975" s="35" t="str">
        <f t="shared" si="109"/>
        <v/>
      </c>
      <c r="C5975" s="15"/>
    </row>
    <row r="5976" spans="1:3" x14ac:dyDescent="0.25">
      <c r="A5976" s="21" t="str">
        <f>IF(C5976="","",COUNTA($C$3:C5976))</f>
        <v/>
      </c>
      <c r="B5976" s="35" t="str">
        <f t="shared" si="109"/>
        <v/>
      </c>
      <c r="C5976" s="15"/>
    </row>
    <row r="5977" spans="1:3" x14ac:dyDescent="0.25">
      <c r="A5977" s="21" t="str">
        <f>IF(C5977="","",COUNTA($C$3:C5977))</f>
        <v/>
      </c>
      <c r="B5977" s="35" t="str">
        <f t="shared" si="109"/>
        <v/>
      </c>
      <c r="C5977" s="15"/>
    </row>
    <row r="5978" spans="1:3" x14ac:dyDescent="0.25">
      <c r="A5978" s="21" t="str">
        <f>IF(C5978="","",COUNTA($C$3:C5978))</f>
        <v/>
      </c>
      <c r="B5978" s="35" t="str">
        <f t="shared" si="109"/>
        <v/>
      </c>
      <c r="C5978" s="15"/>
    </row>
    <row r="5979" spans="1:3" x14ac:dyDescent="0.25">
      <c r="A5979" s="21" t="str">
        <f>IF(C5979="","",COUNTA($C$3:C5979))</f>
        <v/>
      </c>
      <c r="B5979" s="35" t="str">
        <f t="shared" si="109"/>
        <v/>
      </c>
      <c r="C5979" s="15"/>
    </row>
    <row r="5980" spans="1:3" x14ac:dyDescent="0.25">
      <c r="A5980" s="21" t="str">
        <f>IF(C5980="","",COUNTA($C$3:C5980))</f>
        <v/>
      </c>
      <c r="B5980" s="35" t="str">
        <f t="shared" si="109"/>
        <v/>
      </c>
      <c r="C5980" s="15"/>
    </row>
    <row r="5981" spans="1:3" x14ac:dyDescent="0.25">
      <c r="A5981" s="21" t="str">
        <f>IF(C5981="","",COUNTA($C$3:C5981))</f>
        <v/>
      </c>
      <c r="B5981" s="35" t="str">
        <f t="shared" si="109"/>
        <v/>
      </c>
      <c r="C5981" s="15"/>
    </row>
    <row r="5982" spans="1:3" x14ac:dyDescent="0.25">
      <c r="A5982" s="21" t="str">
        <f>IF(C5982="","",COUNTA($C$3:C5982))</f>
        <v/>
      </c>
      <c r="B5982" s="35" t="str">
        <f t="shared" si="109"/>
        <v/>
      </c>
      <c r="C5982" s="15"/>
    </row>
    <row r="5983" spans="1:3" x14ac:dyDescent="0.25">
      <c r="A5983" s="21" t="str">
        <f>IF(C5983="","",COUNTA($C$3:C5983))</f>
        <v/>
      </c>
      <c r="B5983" s="35" t="str">
        <f t="shared" si="109"/>
        <v/>
      </c>
      <c r="C5983" s="15"/>
    </row>
    <row r="5984" spans="1:3" x14ac:dyDescent="0.25">
      <c r="A5984" s="21" t="str">
        <f>IF(C5984="","",COUNTA($C$3:C5984))</f>
        <v/>
      </c>
      <c r="B5984" s="35" t="str">
        <f t="shared" si="109"/>
        <v/>
      </c>
      <c r="C5984" s="15"/>
    </row>
    <row r="5985" spans="1:3" x14ac:dyDescent="0.25">
      <c r="A5985" s="21" t="str">
        <f>IF(C5985="","",COUNTA($C$3:C5985))</f>
        <v/>
      </c>
      <c r="B5985" s="35" t="str">
        <f t="shared" si="109"/>
        <v/>
      </c>
      <c r="C5985" s="15"/>
    </row>
    <row r="5986" spans="1:3" x14ac:dyDescent="0.25">
      <c r="A5986" s="21" t="str">
        <f>IF(C5986="","",COUNTA($C$3:C5986))</f>
        <v/>
      </c>
      <c r="B5986" s="35" t="str">
        <f t="shared" si="109"/>
        <v/>
      </c>
      <c r="C5986" s="15"/>
    </row>
    <row r="5987" spans="1:3" x14ac:dyDescent="0.25">
      <c r="A5987" s="21" t="str">
        <f>IF(C5987="","",COUNTA($C$3:C5987))</f>
        <v/>
      </c>
      <c r="B5987" s="35" t="str">
        <f t="shared" si="109"/>
        <v/>
      </c>
      <c r="C5987" s="15"/>
    </row>
    <row r="5988" spans="1:3" x14ac:dyDescent="0.25">
      <c r="A5988" s="21" t="str">
        <f>IF(C5988="","",COUNTA($C$3:C5988))</f>
        <v/>
      </c>
      <c r="B5988" s="35" t="str">
        <f t="shared" si="109"/>
        <v/>
      </c>
      <c r="C5988" s="15"/>
    </row>
    <row r="5989" spans="1:3" x14ac:dyDescent="0.25">
      <c r="A5989" s="21" t="str">
        <f>IF(C5989="","",COUNTA($C$3:C5989))</f>
        <v/>
      </c>
      <c r="B5989" s="35" t="str">
        <f t="shared" si="109"/>
        <v/>
      </c>
      <c r="C5989" s="15"/>
    </row>
    <row r="5990" spans="1:3" x14ac:dyDescent="0.25">
      <c r="A5990" s="21" t="str">
        <f>IF(C5990="","",COUNTA($C$3:C5990))</f>
        <v/>
      </c>
      <c r="B5990" s="35" t="str">
        <f t="shared" si="109"/>
        <v/>
      </c>
      <c r="C5990" s="15"/>
    </row>
    <row r="5991" spans="1:3" x14ac:dyDescent="0.25">
      <c r="A5991" s="21" t="str">
        <f>IF(C5991="","",COUNTA($C$3:C5991))</f>
        <v/>
      </c>
      <c r="B5991" s="35" t="str">
        <f t="shared" si="109"/>
        <v/>
      </c>
      <c r="C5991" s="15"/>
    </row>
    <row r="5992" spans="1:3" x14ac:dyDescent="0.25">
      <c r="A5992" s="21" t="str">
        <f>IF(C5992="","",COUNTA($C$3:C5992))</f>
        <v/>
      </c>
      <c r="B5992" s="35" t="str">
        <f t="shared" si="109"/>
        <v/>
      </c>
      <c r="C5992" s="15"/>
    </row>
    <row r="5993" spans="1:3" x14ac:dyDescent="0.25">
      <c r="A5993" s="21" t="str">
        <f>IF(C5993="","",COUNTA($C$3:C5993))</f>
        <v/>
      </c>
      <c r="B5993" s="35" t="str">
        <f t="shared" si="109"/>
        <v/>
      </c>
      <c r="C5993" s="15"/>
    </row>
    <row r="5994" spans="1:3" x14ac:dyDescent="0.25">
      <c r="A5994" s="21" t="str">
        <f>IF(C5994="","",COUNTA($C$3:C5994))</f>
        <v/>
      </c>
      <c r="B5994" s="35" t="str">
        <f t="shared" si="109"/>
        <v/>
      </c>
      <c r="C5994" s="15"/>
    </row>
    <row r="5995" spans="1:3" x14ac:dyDescent="0.25">
      <c r="A5995" s="21" t="str">
        <f>IF(C5995="","",COUNTA($C$3:C5995))</f>
        <v/>
      </c>
      <c r="B5995" s="35" t="str">
        <f t="shared" si="109"/>
        <v/>
      </c>
      <c r="C5995" s="15"/>
    </row>
    <row r="5996" spans="1:3" x14ac:dyDescent="0.25">
      <c r="A5996" s="21" t="str">
        <f>IF(C5996="","",COUNTA($C$3:C5996))</f>
        <v/>
      </c>
      <c r="B5996" s="35" t="str">
        <f t="shared" si="109"/>
        <v/>
      </c>
      <c r="C5996" s="15"/>
    </row>
    <row r="5997" spans="1:3" x14ac:dyDescent="0.25">
      <c r="A5997" s="21" t="str">
        <f>IF(C5997="","",COUNTA($C$3:C5997))</f>
        <v/>
      </c>
      <c r="B5997" s="35" t="str">
        <f t="shared" si="109"/>
        <v/>
      </c>
      <c r="C5997" s="15"/>
    </row>
    <row r="5998" spans="1:3" x14ac:dyDescent="0.25">
      <c r="A5998" s="21" t="str">
        <f>IF(C5998="","",COUNTA($C$3:C5998))</f>
        <v/>
      </c>
      <c r="B5998" s="35" t="str">
        <f t="shared" si="109"/>
        <v/>
      </c>
      <c r="C5998" s="15"/>
    </row>
    <row r="5999" spans="1:3" x14ac:dyDescent="0.25">
      <c r="A5999" s="21" t="str">
        <f>IF(C5999="","",COUNTA($C$3:C5999))</f>
        <v/>
      </c>
      <c r="B5999" s="35" t="str">
        <f t="shared" si="109"/>
        <v/>
      </c>
      <c r="C5999" s="15"/>
    </row>
    <row r="6000" spans="1:3" x14ac:dyDescent="0.25">
      <c r="A6000" s="21" t="str">
        <f>IF(C6000="","",COUNTA($C$3:C6000))</f>
        <v/>
      </c>
      <c r="B6000" s="35" t="str">
        <f t="shared" si="109"/>
        <v/>
      </c>
      <c r="C6000" s="15"/>
    </row>
    <row r="6001" spans="1:3" x14ac:dyDescent="0.25">
      <c r="A6001" s="21" t="str">
        <f>IF(C6001="","",COUNTA($C$3:C6001))</f>
        <v/>
      </c>
      <c r="B6001" s="35" t="str">
        <f t="shared" si="109"/>
        <v/>
      </c>
      <c r="C6001" s="15"/>
    </row>
    <row r="6002" spans="1:3" x14ac:dyDescent="0.25">
      <c r="A6002" s="21" t="str">
        <f>IF(C6002="","",COUNTA($C$3:C6002))</f>
        <v/>
      </c>
      <c r="B6002" s="35" t="str">
        <f t="shared" si="109"/>
        <v/>
      </c>
      <c r="C6002" s="15"/>
    </row>
    <row r="6003" spans="1:3" x14ac:dyDescent="0.25">
      <c r="A6003" s="21" t="str">
        <f>IF(C6003="","",COUNTA($C$3:C6003))</f>
        <v/>
      </c>
      <c r="B6003" s="35" t="str">
        <f t="shared" si="109"/>
        <v/>
      </c>
      <c r="C6003" s="15"/>
    </row>
    <row r="6004" spans="1:3" x14ac:dyDescent="0.25">
      <c r="A6004" s="21" t="str">
        <f>IF(C6004="","",COUNTA($C$3:C6004))</f>
        <v/>
      </c>
      <c r="B6004" s="35" t="str">
        <f t="shared" si="109"/>
        <v/>
      </c>
      <c r="C6004" s="15"/>
    </row>
    <row r="6005" spans="1:3" x14ac:dyDescent="0.25">
      <c r="A6005" s="21" t="str">
        <f>IF(C6005="","",COUNTA($C$3:C6005))</f>
        <v/>
      </c>
      <c r="B6005" s="35" t="str">
        <f t="shared" si="109"/>
        <v/>
      </c>
      <c r="C6005" s="15"/>
    </row>
    <row r="6006" spans="1:3" x14ac:dyDescent="0.25">
      <c r="A6006" s="21" t="str">
        <f>IF(C6006="","",COUNTA($C$3:C6006))</f>
        <v/>
      </c>
      <c r="B6006" s="35" t="str">
        <f t="shared" si="109"/>
        <v/>
      </c>
      <c r="C6006" s="15"/>
    </row>
    <row r="6007" spans="1:3" x14ac:dyDescent="0.25">
      <c r="A6007" s="21" t="str">
        <f>IF(C6007="","",COUNTA($C$3:C6007))</f>
        <v/>
      </c>
      <c r="B6007" s="35" t="str">
        <f t="shared" si="109"/>
        <v/>
      </c>
      <c r="C6007" s="15"/>
    </row>
    <row r="6008" spans="1:3" x14ac:dyDescent="0.25">
      <c r="A6008" s="21" t="str">
        <f>IF(C6008="","",COUNTA($C$3:C6008))</f>
        <v/>
      </c>
      <c r="B6008" s="35" t="str">
        <f t="shared" si="109"/>
        <v/>
      </c>
      <c r="C6008" s="15"/>
    </row>
    <row r="6009" spans="1:3" x14ac:dyDescent="0.25">
      <c r="A6009" s="21" t="str">
        <f>IF(C6009="","",COUNTA($C$3:C6009))</f>
        <v/>
      </c>
      <c r="B6009" s="35" t="str">
        <f t="shared" si="109"/>
        <v/>
      </c>
      <c r="C6009" s="15"/>
    </row>
    <row r="6010" spans="1:3" x14ac:dyDescent="0.25">
      <c r="A6010" s="21" t="str">
        <f>IF(C6010="","",COUNTA($C$3:C6010))</f>
        <v/>
      </c>
      <c r="B6010" s="35" t="str">
        <f t="shared" si="109"/>
        <v/>
      </c>
      <c r="C6010" s="15"/>
    </row>
    <row r="6011" spans="1:3" x14ac:dyDescent="0.25">
      <c r="A6011" s="21" t="str">
        <f>IF(C6011="","",COUNTA($C$3:C6011))</f>
        <v/>
      </c>
      <c r="B6011" s="35" t="str">
        <f t="shared" si="109"/>
        <v/>
      </c>
      <c r="C6011" s="15"/>
    </row>
    <row r="6012" spans="1:3" x14ac:dyDescent="0.25">
      <c r="A6012" s="21" t="str">
        <f>IF(C6012="","",COUNTA($C$3:C6012))</f>
        <v/>
      </c>
      <c r="B6012" s="35" t="str">
        <f t="shared" si="109"/>
        <v/>
      </c>
      <c r="C6012" s="15"/>
    </row>
    <row r="6013" spans="1:3" x14ac:dyDescent="0.25">
      <c r="A6013" s="21" t="str">
        <f>IF(C6013="","",COUNTA($C$3:C6013))</f>
        <v/>
      </c>
      <c r="B6013" s="35" t="str">
        <f t="shared" si="109"/>
        <v/>
      </c>
      <c r="C6013" s="15"/>
    </row>
    <row r="6014" spans="1:3" x14ac:dyDescent="0.25">
      <c r="A6014" s="21" t="str">
        <f>IF(C6014="","",COUNTA($C$3:C6014))</f>
        <v/>
      </c>
      <c r="B6014" s="35" t="str">
        <f t="shared" si="109"/>
        <v/>
      </c>
      <c r="C6014" s="15"/>
    </row>
    <row r="6015" spans="1:3" x14ac:dyDescent="0.25">
      <c r="A6015" s="21" t="str">
        <f>IF(C6015="","",COUNTA($C$3:C6015))</f>
        <v/>
      </c>
      <c r="B6015" s="35" t="str">
        <f t="shared" si="109"/>
        <v/>
      </c>
      <c r="C6015" s="15"/>
    </row>
    <row r="6016" spans="1:3" x14ac:dyDescent="0.25">
      <c r="A6016" s="21" t="str">
        <f>IF(C6016="","",COUNTA($C$3:C6016))</f>
        <v/>
      </c>
      <c r="B6016" s="35" t="str">
        <f t="shared" si="109"/>
        <v/>
      </c>
      <c r="C6016" s="15"/>
    </row>
    <row r="6017" spans="1:3" x14ac:dyDescent="0.25">
      <c r="A6017" s="21" t="str">
        <f>IF(C6017="","",COUNTA($C$3:C6017))</f>
        <v/>
      </c>
      <c r="B6017" s="35" t="str">
        <f t="shared" si="109"/>
        <v/>
      </c>
      <c r="C6017" s="15"/>
    </row>
    <row r="6018" spans="1:3" x14ac:dyDescent="0.25">
      <c r="A6018" s="21" t="str">
        <f>IF(C6018="","",COUNTA($C$3:C6018))</f>
        <v/>
      </c>
      <c r="B6018" s="35" t="str">
        <f t="shared" si="109"/>
        <v/>
      </c>
      <c r="C6018" s="15"/>
    </row>
    <row r="6019" spans="1:3" x14ac:dyDescent="0.25">
      <c r="A6019" s="21" t="str">
        <f>IF(C6019="","",COUNTA($C$3:C6019))</f>
        <v/>
      </c>
      <c r="B6019" s="35" t="str">
        <f t="shared" si="109"/>
        <v/>
      </c>
      <c r="C6019" s="15"/>
    </row>
    <row r="6020" spans="1:3" x14ac:dyDescent="0.25">
      <c r="A6020" s="21" t="str">
        <f>IF(C6020="","",COUNTA($C$3:C6020))</f>
        <v/>
      </c>
      <c r="B6020" s="35" t="str">
        <f t="shared" si="109"/>
        <v/>
      </c>
      <c r="C6020" s="15"/>
    </row>
    <row r="6021" spans="1:3" x14ac:dyDescent="0.25">
      <c r="A6021" s="21" t="str">
        <f>IF(C6021="","",COUNTA($C$3:C6021))</f>
        <v/>
      </c>
      <c r="B6021" s="35" t="str">
        <f t="shared" ref="B6021:B6084" si="110">IF(C6021="","",TEXT(C6021,"mmmm"))</f>
        <v/>
      </c>
      <c r="C6021" s="15"/>
    </row>
    <row r="6022" spans="1:3" x14ac:dyDescent="0.25">
      <c r="A6022" s="21" t="str">
        <f>IF(C6022="","",COUNTA($C$3:C6022))</f>
        <v/>
      </c>
      <c r="B6022" s="35" t="str">
        <f t="shared" si="110"/>
        <v/>
      </c>
      <c r="C6022" s="15"/>
    </row>
    <row r="6023" spans="1:3" x14ac:dyDescent="0.25">
      <c r="A6023" s="21" t="str">
        <f>IF(C6023="","",COUNTA($C$3:C6023))</f>
        <v/>
      </c>
      <c r="B6023" s="35" t="str">
        <f t="shared" si="110"/>
        <v/>
      </c>
      <c r="C6023" s="15"/>
    </row>
    <row r="6024" spans="1:3" x14ac:dyDescent="0.25">
      <c r="A6024" s="21" t="str">
        <f>IF(C6024="","",COUNTA($C$3:C6024))</f>
        <v/>
      </c>
      <c r="B6024" s="35" t="str">
        <f t="shared" si="110"/>
        <v/>
      </c>
      <c r="C6024" s="15"/>
    </row>
    <row r="6025" spans="1:3" x14ac:dyDescent="0.25">
      <c r="A6025" s="21" t="str">
        <f>IF(C6025="","",COUNTA($C$3:C6025))</f>
        <v/>
      </c>
      <c r="B6025" s="35" t="str">
        <f t="shared" si="110"/>
        <v/>
      </c>
      <c r="C6025" s="15"/>
    </row>
    <row r="6026" spans="1:3" x14ac:dyDescent="0.25">
      <c r="A6026" s="21" t="str">
        <f>IF(C6026="","",COUNTA($C$3:C6026))</f>
        <v/>
      </c>
      <c r="B6026" s="35" t="str">
        <f t="shared" si="110"/>
        <v/>
      </c>
      <c r="C6026" s="15"/>
    </row>
    <row r="6027" spans="1:3" x14ac:dyDescent="0.25">
      <c r="A6027" s="21" t="str">
        <f>IF(C6027="","",COUNTA($C$3:C6027))</f>
        <v/>
      </c>
      <c r="B6027" s="35" t="str">
        <f t="shared" si="110"/>
        <v/>
      </c>
      <c r="C6027" s="15"/>
    </row>
    <row r="6028" spans="1:3" x14ac:dyDescent="0.25">
      <c r="A6028" s="21" t="str">
        <f>IF(C6028="","",COUNTA($C$3:C6028))</f>
        <v/>
      </c>
      <c r="B6028" s="35" t="str">
        <f t="shared" si="110"/>
        <v/>
      </c>
      <c r="C6028" s="15"/>
    </row>
    <row r="6029" spans="1:3" x14ac:dyDescent="0.25">
      <c r="A6029" s="21" t="str">
        <f>IF(C6029="","",COUNTA($C$3:C6029))</f>
        <v/>
      </c>
      <c r="B6029" s="35" t="str">
        <f t="shared" si="110"/>
        <v/>
      </c>
      <c r="C6029" s="15"/>
    </row>
    <row r="6030" spans="1:3" x14ac:dyDescent="0.25">
      <c r="A6030" s="21" t="str">
        <f>IF(C6030="","",COUNTA($C$3:C6030))</f>
        <v/>
      </c>
      <c r="B6030" s="35" t="str">
        <f t="shared" si="110"/>
        <v/>
      </c>
      <c r="C6030" s="15"/>
    </row>
    <row r="6031" spans="1:3" x14ac:dyDescent="0.25">
      <c r="A6031" s="21" t="str">
        <f>IF(C6031="","",COUNTA($C$3:C6031))</f>
        <v/>
      </c>
      <c r="B6031" s="35" t="str">
        <f t="shared" si="110"/>
        <v/>
      </c>
      <c r="C6031" s="15"/>
    </row>
    <row r="6032" spans="1:3" x14ac:dyDescent="0.25">
      <c r="A6032" s="21" t="str">
        <f>IF(C6032="","",COUNTA($C$3:C6032))</f>
        <v/>
      </c>
      <c r="B6032" s="35" t="str">
        <f t="shared" si="110"/>
        <v/>
      </c>
      <c r="C6032" s="15"/>
    </row>
    <row r="6033" spans="1:3" x14ac:dyDescent="0.25">
      <c r="A6033" s="21" t="str">
        <f>IF(C6033="","",COUNTA($C$3:C6033))</f>
        <v/>
      </c>
      <c r="B6033" s="35" t="str">
        <f t="shared" si="110"/>
        <v/>
      </c>
      <c r="C6033" s="15"/>
    </row>
    <row r="6034" spans="1:3" x14ac:dyDescent="0.25">
      <c r="A6034" s="21" t="str">
        <f>IF(C6034="","",COUNTA($C$3:C6034))</f>
        <v/>
      </c>
      <c r="B6034" s="35" t="str">
        <f t="shared" si="110"/>
        <v/>
      </c>
      <c r="C6034" s="15"/>
    </row>
    <row r="6035" spans="1:3" x14ac:dyDescent="0.25">
      <c r="A6035" s="21" t="str">
        <f>IF(C6035="","",COUNTA($C$3:C6035))</f>
        <v/>
      </c>
      <c r="B6035" s="35" t="str">
        <f t="shared" si="110"/>
        <v/>
      </c>
      <c r="C6035" s="15"/>
    </row>
    <row r="6036" spans="1:3" x14ac:dyDescent="0.25">
      <c r="A6036" s="21" t="str">
        <f>IF(C6036="","",COUNTA($C$3:C6036))</f>
        <v/>
      </c>
      <c r="B6036" s="35" t="str">
        <f t="shared" si="110"/>
        <v/>
      </c>
      <c r="C6036" s="15"/>
    </row>
    <row r="6037" spans="1:3" x14ac:dyDescent="0.25">
      <c r="A6037" s="21" t="str">
        <f>IF(C6037="","",COUNTA($C$3:C6037))</f>
        <v/>
      </c>
      <c r="B6037" s="35" t="str">
        <f t="shared" si="110"/>
        <v/>
      </c>
      <c r="C6037" s="15"/>
    </row>
    <row r="6038" spans="1:3" x14ac:dyDescent="0.25">
      <c r="A6038" s="21" t="str">
        <f>IF(C6038="","",COUNTA($C$3:C6038))</f>
        <v/>
      </c>
      <c r="B6038" s="35" t="str">
        <f t="shared" si="110"/>
        <v/>
      </c>
      <c r="C6038" s="15"/>
    </row>
    <row r="6039" spans="1:3" x14ac:dyDescent="0.25">
      <c r="A6039" s="21" t="str">
        <f>IF(C6039="","",COUNTA($C$3:C6039))</f>
        <v/>
      </c>
      <c r="B6039" s="35" t="str">
        <f t="shared" si="110"/>
        <v/>
      </c>
      <c r="C6039" s="15"/>
    </row>
    <row r="6040" spans="1:3" x14ac:dyDescent="0.25">
      <c r="A6040" s="21" t="str">
        <f>IF(C6040="","",COUNTA($C$3:C6040))</f>
        <v/>
      </c>
      <c r="B6040" s="35" t="str">
        <f t="shared" si="110"/>
        <v/>
      </c>
      <c r="C6040" s="15"/>
    </row>
    <row r="6041" spans="1:3" x14ac:dyDescent="0.25">
      <c r="A6041" s="21" t="str">
        <f>IF(C6041="","",COUNTA($C$3:C6041))</f>
        <v/>
      </c>
      <c r="B6041" s="35" t="str">
        <f t="shared" si="110"/>
        <v/>
      </c>
      <c r="C6041" s="15"/>
    </row>
    <row r="6042" spans="1:3" x14ac:dyDescent="0.25">
      <c r="A6042" s="21" t="str">
        <f>IF(C6042="","",COUNTA($C$3:C6042))</f>
        <v/>
      </c>
      <c r="B6042" s="35" t="str">
        <f t="shared" si="110"/>
        <v/>
      </c>
      <c r="C6042" s="15"/>
    </row>
    <row r="6043" spans="1:3" x14ac:dyDescent="0.25">
      <c r="A6043" s="21" t="str">
        <f>IF(C6043="","",COUNTA($C$3:C6043))</f>
        <v/>
      </c>
      <c r="B6043" s="35" t="str">
        <f t="shared" si="110"/>
        <v/>
      </c>
      <c r="C6043" s="15"/>
    </row>
    <row r="6044" spans="1:3" x14ac:dyDescent="0.25">
      <c r="A6044" s="21" t="str">
        <f>IF(C6044="","",COUNTA($C$3:C6044))</f>
        <v/>
      </c>
      <c r="B6044" s="35" t="str">
        <f t="shared" si="110"/>
        <v/>
      </c>
      <c r="C6044" s="15"/>
    </row>
    <row r="6045" spans="1:3" x14ac:dyDescent="0.25">
      <c r="A6045" s="21" t="str">
        <f>IF(C6045="","",COUNTA($C$3:C6045))</f>
        <v/>
      </c>
      <c r="B6045" s="35" t="str">
        <f t="shared" si="110"/>
        <v/>
      </c>
      <c r="C6045" s="15"/>
    </row>
    <row r="6046" spans="1:3" x14ac:dyDescent="0.25">
      <c r="A6046" s="21" t="str">
        <f>IF(C6046="","",COUNTA($C$3:C6046))</f>
        <v/>
      </c>
      <c r="B6046" s="35" t="str">
        <f t="shared" si="110"/>
        <v/>
      </c>
      <c r="C6046" s="15"/>
    </row>
    <row r="6047" spans="1:3" x14ac:dyDescent="0.25">
      <c r="A6047" s="21" t="str">
        <f>IF(C6047="","",COUNTA($C$3:C6047))</f>
        <v/>
      </c>
      <c r="B6047" s="35" t="str">
        <f t="shared" si="110"/>
        <v/>
      </c>
      <c r="C6047" s="15"/>
    </row>
    <row r="6048" spans="1:3" x14ac:dyDescent="0.25">
      <c r="A6048" s="21" t="str">
        <f>IF(C6048="","",COUNTA($C$3:C6048))</f>
        <v/>
      </c>
      <c r="B6048" s="35" t="str">
        <f t="shared" si="110"/>
        <v/>
      </c>
      <c r="C6048" s="15"/>
    </row>
    <row r="6049" spans="1:3" x14ac:dyDescent="0.25">
      <c r="A6049" s="21" t="str">
        <f>IF(C6049="","",COUNTA($C$3:C6049))</f>
        <v/>
      </c>
      <c r="B6049" s="35" t="str">
        <f t="shared" si="110"/>
        <v/>
      </c>
      <c r="C6049" s="15"/>
    </row>
    <row r="6050" spans="1:3" x14ac:dyDescent="0.25">
      <c r="A6050" s="21" t="str">
        <f>IF(C6050="","",COUNTA($C$3:C6050))</f>
        <v/>
      </c>
      <c r="B6050" s="35" t="str">
        <f t="shared" si="110"/>
        <v/>
      </c>
      <c r="C6050" s="15"/>
    </row>
    <row r="6051" spans="1:3" x14ac:dyDescent="0.25">
      <c r="A6051" s="21" t="str">
        <f>IF(C6051="","",COUNTA($C$3:C6051))</f>
        <v/>
      </c>
      <c r="B6051" s="35" t="str">
        <f t="shared" si="110"/>
        <v/>
      </c>
      <c r="C6051" s="15"/>
    </row>
    <row r="6052" spans="1:3" x14ac:dyDescent="0.25">
      <c r="A6052" s="21" t="str">
        <f>IF(C6052="","",COUNTA($C$3:C6052))</f>
        <v/>
      </c>
      <c r="B6052" s="35" t="str">
        <f t="shared" si="110"/>
        <v/>
      </c>
      <c r="C6052" s="15"/>
    </row>
    <row r="6053" spans="1:3" x14ac:dyDescent="0.25">
      <c r="A6053" s="21" t="str">
        <f>IF(C6053="","",COUNTA($C$3:C6053))</f>
        <v/>
      </c>
      <c r="B6053" s="35" t="str">
        <f t="shared" si="110"/>
        <v/>
      </c>
      <c r="C6053" s="15"/>
    </row>
    <row r="6054" spans="1:3" x14ac:dyDescent="0.25">
      <c r="A6054" s="21" t="str">
        <f>IF(C6054="","",COUNTA($C$3:C6054))</f>
        <v/>
      </c>
      <c r="B6054" s="35" t="str">
        <f t="shared" si="110"/>
        <v/>
      </c>
      <c r="C6054" s="15"/>
    </row>
    <row r="6055" spans="1:3" x14ac:dyDescent="0.25">
      <c r="A6055" s="21" t="str">
        <f>IF(C6055="","",COUNTA($C$3:C6055))</f>
        <v/>
      </c>
      <c r="B6055" s="35" t="str">
        <f t="shared" si="110"/>
        <v/>
      </c>
      <c r="C6055" s="15"/>
    </row>
    <row r="6056" spans="1:3" x14ac:dyDescent="0.25">
      <c r="A6056" s="21" t="str">
        <f>IF(C6056="","",COUNTA($C$3:C6056))</f>
        <v/>
      </c>
      <c r="B6056" s="35" t="str">
        <f t="shared" si="110"/>
        <v/>
      </c>
      <c r="C6056" s="15"/>
    </row>
    <row r="6057" spans="1:3" x14ac:dyDescent="0.25">
      <c r="A6057" s="21" t="str">
        <f>IF(C6057="","",COUNTA($C$3:C6057))</f>
        <v/>
      </c>
      <c r="B6057" s="35" t="str">
        <f t="shared" si="110"/>
        <v/>
      </c>
      <c r="C6057" s="15"/>
    </row>
    <row r="6058" spans="1:3" x14ac:dyDescent="0.25">
      <c r="A6058" s="21" t="str">
        <f>IF(C6058="","",COUNTA($C$3:C6058))</f>
        <v/>
      </c>
      <c r="B6058" s="35" t="str">
        <f t="shared" si="110"/>
        <v/>
      </c>
      <c r="C6058" s="15"/>
    </row>
    <row r="6059" spans="1:3" x14ac:dyDescent="0.25">
      <c r="A6059" s="21" t="str">
        <f>IF(C6059="","",COUNTA($C$3:C6059))</f>
        <v/>
      </c>
      <c r="B6059" s="35" t="str">
        <f t="shared" si="110"/>
        <v/>
      </c>
      <c r="C6059" s="15"/>
    </row>
    <row r="6060" spans="1:3" x14ac:dyDescent="0.25">
      <c r="A6060" s="21" t="str">
        <f>IF(C6060="","",COUNTA($C$3:C6060))</f>
        <v/>
      </c>
      <c r="B6060" s="35" t="str">
        <f t="shared" si="110"/>
        <v/>
      </c>
      <c r="C6060" s="15"/>
    </row>
    <row r="6061" spans="1:3" x14ac:dyDescent="0.25">
      <c r="A6061" s="21" t="str">
        <f>IF(C6061="","",COUNTA($C$3:C6061))</f>
        <v/>
      </c>
      <c r="B6061" s="35" t="str">
        <f t="shared" si="110"/>
        <v/>
      </c>
      <c r="C6061" s="15"/>
    </row>
    <row r="6062" spans="1:3" x14ac:dyDescent="0.25">
      <c r="A6062" s="21" t="str">
        <f>IF(C6062="","",COUNTA($C$3:C6062))</f>
        <v/>
      </c>
      <c r="B6062" s="35" t="str">
        <f t="shared" si="110"/>
        <v/>
      </c>
      <c r="C6062" s="15"/>
    </row>
    <row r="6063" spans="1:3" x14ac:dyDescent="0.25">
      <c r="A6063" s="21" t="str">
        <f>IF(C6063="","",COUNTA($C$3:C6063))</f>
        <v/>
      </c>
      <c r="B6063" s="35" t="str">
        <f t="shared" si="110"/>
        <v/>
      </c>
      <c r="C6063" s="15"/>
    </row>
    <row r="6064" spans="1:3" x14ac:dyDescent="0.25">
      <c r="A6064" s="21" t="str">
        <f>IF(C6064="","",COUNTA($C$3:C6064))</f>
        <v/>
      </c>
      <c r="B6064" s="35" t="str">
        <f t="shared" si="110"/>
        <v/>
      </c>
      <c r="C6064" s="15"/>
    </row>
    <row r="6065" spans="1:3" x14ac:dyDescent="0.25">
      <c r="A6065" s="21" t="str">
        <f>IF(C6065="","",COUNTA($C$3:C6065))</f>
        <v/>
      </c>
      <c r="B6065" s="35" t="str">
        <f t="shared" si="110"/>
        <v/>
      </c>
      <c r="C6065" s="15"/>
    </row>
    <row r="6066" spans="1:3" x14ac:dyDescent="0.25">
      <c r="A6066" s="21" t="str">
        <f>IF(C6066="","",COUNTA($C$3:C6066))</f>
        <v/>
      </c>
      <c r="B6066" s="35" t="str">
        <f t="shared" si="110"/>
        <v/>
      </c>
      <c r="C6066" s="15"/>
    </row>
    <row r="6067" spans="1:3" x14ac:dyDescent="0.25">
      <c r="A6067" s="21" t="str">
        <f>IF(C6067="","",COUNTA($C$3:C6067))</f>
        <v/>
      </c>
      <c r="B6067" s="35" t="str">
        <f t="shared" si="110"/>
        <v/>
      </c>
      <c r="C6067" s="15"/>
    </row>
    <row r="6068" spans="1:3" x14ac:dyDescent="0.25">
      <c r="A6068" s="21" t="str">
        <f>IF(C6068="","",COUNTA($C$3:C6068))</f>
        <v/>
      </c>
      <c r="B6068" s="35" t="str">
        <f t="shared" si="110"/>
        <v/>
      </c>
      <c r="C6068" s="15"/>
    </row>
    <row r="6069" spans="1:3" x14ac:dyDescent="0.25">
      <c r="A6069" s="21" t="str">
        <f>IF(C6069="","",COUNTA($C$3:C6069))</f>
        <v/>
      </c>
      <c r="B6069" s="35" t="str">
        <f t="shared" si="110"/>
        <v/>
      </c>
      <c r="C6069" s="15"/>
    </row>
    <row r="6070" spans="1:3" x14ac:dyDescent="0.25">
      <c r="A6070" s="21" t="str">
        <f>IF(C6070="","",COUNTA($C$3:C6070))</f>
        <v/>
      </c>
      <c r="B6070" s="35" t="str">
        <f t="shared" si="110"/>
        <v/>
      </c>
      <c r="C6070" s="15"/>
    </row>
    <row r="6071" spans="1:3" x14ac:dyDescent="0.25">
      <c r="A6071" s="21" t="str">
        <f>IF(C6071="","",COUNTA($C$3:C6071))</f>
        <v/>
      </c>
      <c r="B6071" s="35" t="str">
        <f t="shared" si="110"/>
        <v/>
      </c>
      <c r="C6071" s="15"/>
    </row>
    <row r="6072" spans="1:3" x14ac:dyDescent="0.25">
      <c r="A6072" s="21" t="str">
        <f>IF(C6072="","",COUNTA($C$3:C6072))</f>
        <v/>
      </c>
      <c r="B6072" s="35" t="str">
        <f t="shared" si="110"/>
        <v/>
      </c>
      <c r="C6072" s="15"/>
    </row>
    <row r="6073" spans="1:3" x14ac:dyDescent="0.25">
      <c r="A6073" s="21" t="str">
        <f>IF(C6073="","",COUNTA($C$3:C6073))</f>
        <v/>
      </c>
      <c r="B6073" s="35" t="str">
        <f t="shared" si="110"/>
        <v/>
      </c>
      <c r="C6073" s="15"/>
    </row>
    <row r="6074" spans="1:3" x14ac:dyDescent="0.25">
      <c r="A6074" s="21" t="str">
        <f>IF(C6074="","",COUNTA($C$3:C6074))</f>
        <v/>
      </c>
      <c r="B6074" s="35" t="str">
        <f t="shared" si="110"/>
        <v/>
      </c>
      <c r="C6074" s="15"/>
    </row>
    <row r="6075" spans="1:3" x14ac:dyDescent="0.25">
      <c r="A6075" s="21" t="str">
        <f>IF(C6075="","",COUNTA($C$3:C6075))</f>
        <v/>
      </c>
      <c r="B6075" s="35" t="str">
        <f t="shared" si="110"/>
        <v/>
      </c>
      <c r="C6075" s="15"/>
    </row>
    <row r="6076" spans="1:3" x14ac:dyDescent="0.25">
      <c r="A6076" s="21" t="str">
        <f>IF(C6076="","",COUNTA($C$3:C6076))</f>
        <v/>
      </c>
      <c r="B6076" s="35" t="str">
        <f t="shared" si="110"/>
        <v/>
      </c>
      <c r="C6076" s="15"/>
    </row>
    <row r="6077" spans="1:3" x14ac:dyDescent="0.25">
      <c r="A6077" s="21" t="str">
        <f>IF(C6077="","",COUNTA($C$3:C6077))</f>
        <v/>
      </c>
      <c r="B6077" s="35" t="str">
        <f t="shared" si="110"/>
        <v/>
      </c>
      <c r="C6077" s="15"/>
    </row>
    <row r="6078" spans="1:3" x14ac:dyDescent="0.25">
      <c r="A6078" s="21" t="str">
        <f>IF(C6078="","",COUNTA($C$3:C6078))</f>
        <v/>
      </c>
      <c r="B6078" s="35" t="str">
        <f t="shared" si="110"/>
        <v/>
      </c>
      <c r="C6078" s="15"/>
    </row>
    <row r="6079" spans="1:3" x14ac:dyDescent="0.25">
      <c r="A6079" s="21" t="str">
        <f>IF(C6079="","",COUNTA($C$3:C6079))</f>
        <v/>
      </c>
      <c r="B6079" s="35" t="str">
        <f t="shared" si="110"/>
        <v/>
      </c>
      <c r="C6079" s="15"/>
    </row>
    <row r="6080" spans="1:3" x14ac:dyDescent="0.25">
      <c r="A6080" s="21" t="str">
        <f>IF(C6080="","",COUNTA($C$3:C6080))</f>
        <v/>
      </c>
      <c r="B6080" s="35" t="str">
        <f t="shared" si="110"/>
        <v/>
      </c>
      <c r="C6080" s="15"/>
    </row>
    <row r="6081" spans="1:3" x14ac:dyDescent="0.25">
      <c r="A6081" s="21" t="str">
        <f>IF(C6081="","",COUNTA($C$3:C6081))</f>
        <v/>
      </c>
      <c r="B6081" s="35" t="str">
        <f t="shared" si="110"/>
        <v/>
      </c>
      <c r="C6081" s="15"/>
    </row>
    <row r="6082" spans="1:3" x14ac:dyDescent="0.25">
      <c r="A6082" s="21" t="str">
        <f>IF(C6082="","",COUNTA($C$3:C6082))</f>
        <v/>
      </c>
      <c r="B6082" s="35" t="str">
        <f t="shared" si="110"/>
        <v/>
      </c>
      <c r="C6082" s="15"/>
    </row>
    <row r="6083" spans="1:3" x14ac:dyDescent="0.25">
      <c r="A6083" s="21" t="str">
        <f>IF(C6083="","",COUNTA($C$3:C6083))</f>
        <v/>
      </c>
      <c r="B6083" s="35" t="str">
        <f t="shared" si="110"/>
        <v/>
      </c>
      <c r="C6083" s="15"/>
    </row>
    <row r="6084" spans="1:3" x14ac:dyDescent="0.25">
      <c r="A6084" s="21" t="str">
        <f>IF(C6084="","",COUNTA($C$3:C6084))</f>
        <v/>
      </c>
      <c r="B6084" s="35" t="str">
        <f t="shared" si="110"/>
        <v/>
      </c>
      <c r="C6084" s="15"/>
    </row>
    <row r="6085" spans="1:3" x14ac:dyDescent="0.25">
      <c r="A6085" s="21" t="str">
        <f>IF(C6085="","",COUNTA($C$3:C6085))</f>
        <v/>
      </c>
      <c r="B6085" s="35" t="str">
        <f t="shared" ref="B6085:B6148" si="111">IF(C6085="","",TEXT(C6085,"mmmm"))</f>
        <v/>
      </c>
      <c r="C6085" s="15"/>
    </row>
    <row r="6086" spans="1:3" x14ac:dyDescent="0.25">
      <c r="A6086" s="21" t="str">
        <f>IF(C6086="","",COUNTA($C$3:C6086))</f>
        <v/>
      </c>
      <c r="B6086" s="35" t="str">
        <f t="shared" si="111"/>
        <v/>
      </c>
      <c r="C6086" s="15"/>
    </row>
    <row r="6087" spans="1:3" x14ac:dyDescent="0.25">
      <c r="A6087" s="21" t="str">
        <f>IF(C6087="","",COUNTA($C$3:C6087))</f>
        <v/>
      </c>
      <c r="B6087" s="35" t="str">
        <f t="shared" si="111"/>
        <v/>
      </c>
      <c r="C6087" s="15"/>
    </row>
    <row r="6088" spans="1:3" x14ac:dyDescent="0.25">
      <c r="A6088" s="21" t="str">
        <f>IF(C6088="","",COUNTA($C$3:C6088))</f>
        <v/>
      </c>
      <c r="B6088" s="35" t="str">
        <f t="shared" si="111"/>
        <v/>
      </c>
      <c r="C6088" s="15"/>
    </row>
    <row r="6089" spans="1:3" x14ac:dyDescent="0.25">
      <c r="A6089" s="21" t="str">
        <f>IF(C6089="","",COUNTA($C$3:C6089))</f>
        <v/>
      </c>
      <c r="B6089" s="35" t="str">
        <f t="shared" si="111"/>
        <v/>
      </c>
      <c r="C6089" s="15"/>
    </row>
    <row r="6090" spans="1:3" x14ac:dyDescent="0.25">
      <c r="A6090" s="21" t="str">
        <f>IF(C6090="","",COUNTA($C$3:C6090))</f>
        <v/>
      </c>
      <c r="B6090" s="35" t="str">
        <f t="shared" si="111"/>
        <v/>
      </c>
      <c r="C6090" s="15"/>
    </row>
    <row r="6091" spans="1:3" x14ac:dyDescent="0.25">
      <c r="A6091" s="21" t="str">
        <f>IF(C6091="","",COUNTA($C$3:C6091))</f>
        <v/>
      </c>
      <c r="B6091" s="35" t="str">
        <f t="shared" si="111"/>
        <v/>
      </c>
      <c r="C6091" s="15"/>
    </row>
    <row r="6092" spans="1:3" x14ac:dyDescent="0.25">
      <c r="A6092" s="21" t="str">
        <f>IF(C6092="","",COUNTA($C$3:C6092))</f>
        <v/>
      </c>
      <c r="B6092" s="35" t="str">
        <f t="shared" si="111"/>
        <v/>
      </c>
      <c r="C6092" s="15"/>
    </row>
    <row r="6093" spans="1:3" x14ac:dyDescent="0.25">
      <c r="A6093" s="21" t="str">
        <f>IF(C6093="","",COUNTA($C$3:C6093))</f>
        <v/>
      </c>
      <c r="B6093" s="35" t="str">
        <f t="shared" si="111"/>
        <v/>
      </c>
      <c r="C6093" s="15"/>
    </row>
    <row r="6094" spans="1:3" x14ac:dyDescent="0.25">
      <c r="A6094" s="21" t="str">
        <f>IF(C6094="","",COUNTA($C$3:C6094))</f>
        <v/>
      </c>
      <c r="B6094" s="35" t="str">
        <f t="shared" si="111"/>
        <v/>
      </c>
      <c r="C6094" s="15"/>
    </row>
    <row r="6095" spans="1:3" x14ac:dyDescent="0.25">
      <c r="A6095" s="21" t="str">
        <f>IF(C6095="","",COUNTA($C$3:C6095))</f>
        <v/>
      </c>
      <c r="B6095" s="35" t="str">
        <f t="shared" si="111"/>
        <v/>
      </c>
      <c r="C6095" s="15"/>
    </row>
    <row r="6096" spans="1:3" x14ac:dyDescent="0.25">
      <c r="A6096" s="21" t="str">
        <f>IF(C6096="","",COUNTA($C$3:C6096))</f>
        <v/>
      </c>
      <c r="B6096" s="35" t="str">
        <f t="shared" si="111"/>
        <v/>
      </c>
      <c r="C6096" s="15"/>
    </row>
    <row r="6097" spans="1:3" x14ac:dyDescent="0.25">
      <c r="A6097" s="21" t="str">
        <f>IF(C6097="","",COUNTA($C$3:C6097))</f>
        <v/>
      </c>
      <c r="B6097" s="35" t="str">
        <f t="shared" si="111"/>
        <v/>
      </c>
      <c r="C6097" s="15"/>
    </row>
    <row r="6098" spans="1:3" x14ac:dyDescent="0.25">
      <c r="A6098" s="21" t="str">
        <f>IF(C6098="","",COUNTA($C$3:C6098))</f>
        <v/>
      </c>
      <c r="B6098" s="35" t="str">
        <f t="shared" si="111"/>
        <v/>
      </c>
      <c r="C6098" s="15"/>
    </row>
    <row r="6099" spans="1:3" x14ac:dyDescent="0.25">
      <c r="A6099" s="21" t="str">
        <f>IF(C6099="","",COUNTA($C$3:C6099))</f>
        <v/>
      </c>
      <c r="B6099" s="35" t="str">
        <f t="shared" si="111"/>
        <v/>
      </c>
      <c r="C6099" s="15"/>
    </row>
    <row r="6100" spans="1:3" x14ac:dyDescent="0.25">
      <c r="A6100" s="21" t="str">
        <f>IF(C6100="","",COUNTA($C$3:C6100))</f>
        <v/>
      </c>
      <c r="B6100" s="35" t="str">
        <f t="shared" si="111"/>
        <v/>
      </c>
      <c r="C6100" s="15"/>
    </row>
    <row r="6101" spans="1:3" x14ac:dyDescent="0.25">
      <c r="A6101" s="21" t="str">
        <f>IF(C6101="","",COUNTA($C$3:C6101))</f>
        <v/>
      </c>
      <c r="B6101" s="35" t="str">
        <f t="shared" si="111"/>
        <v/>
      </c>
      <c r="C6101" s="15"/>
    </row>
    <row r="6102" spans="1:3" x14ac:dyDescent="0.25">
      <c r="A6102" s="21" t="str">
        <f>IF(C6102="","",COUNTA($C$3:C6102))</f>
        <v/>
      </c>
      <c r="B6102" s="35" t="str">
        <f t="shared" si="111"/>
        <v/>
      </c>
      <c r="C6102" s="15"/>
    </row>
    <row r="6103" spans="1:3" x14ac:dyDescent="0.25">
      <c r="A6103" s="21" t="str">
        <f>IF(C6103="","",COUNTA($C$3:C6103))</f>
        <v/>
      </c>
      <c r="B6103" s="35" t="str">
        <f t="shared" si="111"/>
        <v/>
      </c>
      <c r="C6103" s="15"/>
    </row>
    <row r="6104" spans="1:3" x14ac:dyDescent="0.25">
      <c r="A6104" s="21" t="str">
        <f>IF(C6104="","",COUNTA($C$3:C6104))</f>
        <v/>
      </c>
      <c r="B6104" s="35" t="str">
        <f t="shared" si="111"/>
        <v/>
      </c>
      <c r="C6104" s="15"/>
    </row>
    <row r="6105" spans="1:3" x14ac:dyDescent="0.25">
      <c r="A6105" s="21" t="str">
        <f>IF(C6105="","",COUNTA($C$3:C6105))</f>
        <v/>
      </c>
      <c r="B6105" s="35" t="str">
        <f t="shared" si="111"/>
        <v/>
      </c>
      <c r="C6105" s="15"/>
    </row>
    <row r="6106" spans="1:3" x14ac:dyDescent="0.25">
      <c r="A6106" s="21" t="str">
        <f>IF(C6106="","",COUNTA($C$3:C6106))</f>
        <v/>
      </c>
      <c r="B6106" s="35" t="str">
        <f t="shared" si="111"/>
        <v/>
      </c>
      <c r="C6106" s="15"/>
    </row>
    <row r="6107" spans="1:3" x14ac:dyDescent="0.25">
      <c r="A6107" s="21" t="str">
        <f>IF(C6107="","",COUNTA($C$3:C6107))</f>
        <v/>
      </c>
      <c r="B6107" s="35" t="str">
        <f t="shared" si="111"/>
        <v/>
      </c>
      <c r="C6107" s="15"/>
    </row>
    <row r="6108" spans="1:3" x14ac:dyDescent="0.25">
      <c r="A6108" s="21" t="str">
        <f>IF(C6108="","",COUNTA($C$3:C6108))</f>
        <v/>
      </c>
      <c r="B6108" s="35" t="str">
        <f t="shared" si="111"/>
        <v/>
      </c>
      <c r="C6108" s="15"/>
    </row>
    <row r="6109" spans="1:3" x14ac:dyDescent="0.25">
      <c r="A6109" s="21" t="str">
        <f>IF(C6109="","",COUNTA($C$3:C6109))</f>
        <v/>
      </c>
      <c r="B6109" s="35" t="str">
        <f t="shared" si="111"/>
        <v/>
      </c>
      <c r="C6109" s="15"/>
    </row>
    <row r="6110" spans="1:3" x14ac:dyDescent="0.25">
      <c r="A6110" s="21" t="str">
        <f>IF(C6110="","",COUNTA($C$3:C6110))</f>
        <v/>
      </c>
      <c r="B6110" s="35" t="str">
        <f t="shared" si="111"/>
        <v/>
      </c>
      <c r="C6110" s="15"/>
    </row>
    <row r="6111" spans="1:3" x14ac:dyDescent="0.25">
      <c r="A6111" s="21" t="str">
        <f>IF(C6111="","",COUNTA($C$3:C6111))</f>
        <v/>
      </c>
      <c r="B6111" s="35" t="str">
        <f t="shared" si="111"/>
        <v/>
      </c>
      <c r="C6111" s="15"/>
    </row>
    <row r="6112" spans="1:3" x14ac:dyDescent="0.25">
      <c r="A6112" s="21" t="str">
        <f>IF(C6112="","",COUNTA($C$3:C6112))</f>
        <v/>
      </c>
      <c r="B6112" s="35" t="str">
        <f t="shared" si="111"/>
        <v/>
      </c>
      <c r="C6112" s="15"/>
    </row>
    <row r="6113" spans="1:3" x14ac:dyDescent="0.25">
      <c r="A6113" s="21" t="str">
        <f>IF(C6113="","",COUNTA($C$3:C6113))</f>
        <v/>
      </c>
      <c r="B6113" s="35" t="str">
        <f t="shared" si="111"/>
        <v/>
      </c>
      <c r="C6113" s="15"/>
    </row>
    <row r="6114" spans="1:3" x14ac:dyDescent="0.25">
      <c r="A6114" s="21" t="str">
        <f>IF(C6114="","",COUNTA($C$3:C6114))</f>
        <v/>
      </c>
      <c r="B6114" s="35" t="str">
        <f t="shared" si="111"/>
        <v/>
      </c>
      <c r="C6114" s="15"/>
    </row>
    <row r="6115" spans="1:3" x14ac:dyDescent="0.25">
      <c r="A6115" s="21" t="str">
        <f>IF(C6115="","",COUNTA($C$3:C6115))</f>
        <v/>
      </c>
      <c r="B6115" s="35" t="str">
        <f t="shared" si="111"/>
        <v/>
      </c>
      <c r="C6115" s="15"/>
    </row>
    <row r="6116" spans="1:3" x14ac:dyDescent="0.25">
      <c r="A6116" s="21" t="str">
        <f>IF(C6116="","",COUNTA($C$3:C6116))</f>
        <v/>
      </c>
      <c r="B6116" s="35" t="str">
        <f t="shared" si="111"/>
        <v/>
      </c>
      <c r="C6116" s="15"/>
    </row>
    <row r="6117" spans="1:3" x14ac:dyDescent="0.25">
      <c r="A6117" s="21" t="str">
        <f>IF(C6117="","",COUNTA($C$3:C6117))</f>
        <v/>
      </c>
      <c r="B6117" s="35" t="str">
        <f t="shared" si="111"/>
        <v/>
      </c>
      <c r="C6117" s="15"/>
    </row>
    <row r="6118" spans="1:3" x14ac:dyDescent="0.25">
      <c r="A6118" s="21" t="str">
        <f>IF(C6118="","",COUNTA($C$3:C6118))</f>
        <v/>
      </c>
      <c r="B6118" s="35" t="str">
        <f t="shared" si="111"/>
        <v/>
      </c>
      <c r="C6118" s="15"/>
    </row>
    <row r="6119" spans="1:3" x14ac:dyDescent="0.25">
      <c r="A6119" s="21" t="str">
        <f>IF(C6119="","",COUNTA($C$3:C6119))</f>
        <v/>
      </c>
      <c r="B6119" s="35" t="str">
        <f t="shared" si="111"/>
        <v/>
      </c>
      <c r="C6119" s="15"/>
    </row>
    <row r="6120" spans="1:3" x14ac:dyDescent="0.25">
      <c r="A6120" s="21" t="str">
        <f>IF(C6120="","",COUNTA($C$3:C6120))</f>
        <v/>
      </c>
      <c r="B6120" s="35" t="str">
        <f t="shared" si="111"/>
        <v/>
      </c>
      <c r="C6120" s="15"/>
    </row>
    <row r="6121" spans="1:3" x14ac:dyDescent="0.25">
      <c r="A6121" s="21" t="str">
        <f>IF(C6121="","",COUNTA($C$3:C6121))</f>
        <v/>
      </c>
      <c r="B6121" s="35" t="str">
        <f t="shared" si="111"/>
        <v/>
      </c>
      <c r="C6121" s="15"/>
    </row>
    <row r="6122" spans="1:3" x14ac:dyDescent="0.25">
      <c r="A6122" s="21" t="str">
        <f>IF(C6122="","",COUNTA($C$3:C6122))</f>
        <v/>
      </c>
      <c r="B6122" s="35" t="str">
        <f t="shared" si="111"/>
        <v/>
      </c>
      <c r="C6122" s="15"/>
    </row>
    <row r="6123" spans="1:3" x14ac:dyDescent="0.25">
      <c r="A6123" s="21" t="str">
        <f>IF(C6123="","",COUNTA($C$3:C6123))</f>
        <v/>
      </c>
      <c r="B6123" s="35" t="str">
        <f t="shared" si="111"/>
        <v/>
      </c>
      <c r="C6123" s="15"/>
    </row>
    <row r="6124" spans="1:3" x14ac:dyDescent="0.25">
      <c r="A6124" s="21" t="str">
        <f>IF(C6124="","",COUNTA($C$3:C6124))</f>
        <v/>
      </c>
      <c r="B6124" s="35" t="str">
        <f t="shared" si="111"/>
        <v/>
      </c>
      <c r="C6124" s="15"/>
    </row>
    <row r="6125" spans="1:3" x14ac:dyDescent="0.25">
      <c r="A6125" s="21" t="str">
        <f>IF(C6125="","",COUNTA($C$3:C6125))</f>
        <v/>
      </c>
      <c r="B6125" s="35" t="str">
        <f t="shared" si="111"/>
        <v/>
      </c>
      <c r="C6125" s="15"/>
    </row>
    <row r="6126" spans="1:3" x14ac:dyDescent="0.25">
      <c r="A6126" s="21" t="str">
        <f>IF(C6126="","",COUNTA($C$3:C6126))</f>
        <v/>
      </c>
      <c r="B6126" s="35" t="str">
        <f t="shared" si="111"/>
        <v/>
      </c>
      <c r="C6126" s="15"/>
    </row>
    <row r="6127" spans="1:3" x14ac:dyDescent="0.25">
      <c r="A6127" s="21" t="str">
        <f>IF(C6127="","",COUNTA($C$3:C6127))</f>
        <v/>
      </c>
      <c r="B6127" s="35" t="str">
        <f t="shared" si="111"/>
        <v/>
      </c>
      <c r="C6127" s="15"/>
    </row>
    <row r="6128" spans="1:3" x14ac:dyDescent="0.25">
      <c r="A6128" s="21" t="str">
        <f>IF(C6128="","",COUNTA($C$3:C6128))</f>
        <v/>
      </c>
      <c r="B6128" s="35" t="str">
        <f t="shared" si="111"/>
        <v/>
      </c>
      <c r="C6128" s="15"/>
    </row>
    <row r="6129" spans="1:3" x14ac:dyDescent="0.25">
      <c r="A6129" s="21" t="str">
        <f>IF(C6129="","",COUNTA($C$3:C6129))</f>
        <v/>
      </c>
      <c r="B6129" s="35" t="str">
        <f t="shared" si="111"/>
        <v/>
      </c>
      <c r="C6129" s="15"/>
    </row>
    <row r="6130" spans="1:3" x14ac:dyDescent="0.25">
      <c r="A6130" s="21" t="str">
        <f>IF(C6130="","",COUNTA($C$3:C6130))</f>
        <v/>
      </c>
      <c r="B6130" s="35" t="str">
        <f t="shared" si="111"/>
        <v/>
      </c>
      <c r="C6130" s="15"/>
    </row>
    <row r="6131" spans="1:3" x14ac:dyDescent="0.25">
      <c r="A6131" s="21" t="str">
        <f>IF(C6131="","",COUNTA($C$3:C6131))</f>
        <v/>
      </c>
      <c r="B6131" s="35" t="str">
        <f t="shared" si="111"/>
        <v/>
      </c>
      <c r="C6131" s="15"/>
    </row>
    <row r="6132" spans="1:3" x14ac:dyDescent="0.25">
      <c r="A6132" s="21" t="str">
        <f>IF(C6132="","",COUNTA($C$3:C6132))</f>
        <v/>
      </c>
      <c r="B6132" s="35" t="str">
        <f t="shared" si="111"/>
        <v/>
      </c>
      <c r="C6132" s="15"/>
    </row>
    <row r="6133" spans="1:3" x14ac:dyDescent="0.25">
      <c r="A6133" s="21" t="str">
        <f>IF(C6133="","",COUNTA($C$3:C6133))</f>
        <v/>
      </c>
      <c r="B6133" s="35" t="str">
        <f t="shared" si="111"/>
        <v/>
      </c>
      <c r="C6133" s="15"/>
    </row>
    <row r="6134" spans="1:3" x14ac:dyDescent="0.25">
      <c r="A6134" s="21" t="str">
        <f>IF(C6134="","",COUNTA($C$3:C6134))</f>
        <v/>
      </c>
      <c r="B6134" s="35" t="str">
        <f t="shared" si="111"/>
        <v/>
      </c>
      <c r="C6134" s="15"/>
    </row>
    <row r="6135" spans="1:3" x14ac:dyDescent="0.25">
      <c r="A6135" s="21" t="str">
        <f>IF(C6135="","",COUNTA($C$3:C6135))</f>
        <v/>
      </c>
      <c r="B6135" s="35" t="str">
        <f t="shared" si="111"/>
        <v/>
      </c>
      <c r="C6135" s="15"/>
    </row>
    <row r="6136" spans="1:3" x14ac:dyDescent="0.25">
      <c r="A6136" s="21" t="str">
        <f>IF(C6136="","",COUNTA($C$3:C6136))</f>
        <v/>
      </c>
      <c r="B6136" s="35" t="str">
        <f t="shared" si="111"/>
        <v/>
      </c>
      <c r="C6136" s="15"/>
    </row>
    <row r="6137" spans="1:3" x14ac:dyDescent="0.25">
      <c r="A6137" s="21" t="str">
        <f>IF(C6137="","",COUNTA($C$3:C6137))</f>
        <v/>
      </c>
      <c r="B6137" s="35" t="str">
        <f t="shared" si="111"/>
        <v/>
      </c>
      <c r="C6137" s="15"/>
    </row>
    <row r="6138" spans="1:3" x14ac:dyDescent="0.25">
      <c r="A6138" s="21" t="str">
        <f>IF(C6138="","",COUNTA($C$3:C6138))</f>
        <v/>
      </c>
      <c r="B6138" s="35" t="str">
        <f t="shared" si="111"/>
        <v/>
      </c>
      <c r="C6138" s="15"/>
    </row>
    <row r="6139" spans="1:3" x14ac:dyDescent="0.25">
      <c r="A6139" s="21" t="str">
        <f>IF(C6139="","",COUNTA($C$3:C6139))</f>
        <v/>
      </c>
      <c r="B6139" s="35" t="str">
        <f t="shared" si="111"/>
        <v/>
      </c>
      <c r="C6139" s="15"/>
    </row>
    <row r="6140" spans="1:3" x14ac:dyDescent="0.25">
      <c r="A6140" s="21" t="str">
        <f>IF(C6140="","",COUNTA($C$3:C6140))</f>
        <v/>
      </c>
      <c r="B6140" s="35" t="str">
        <f t="shared" si="111"/>
        <v/>
      </c>
      <c r="C6140" s="15"/>
    </row>
    <row r="6141" spans="1:3" x14ac:dyDescent="0.25">
      <c r="A6141" s="21" t="str">
        <f>IF(C6141="","",COUNTA($C$3:C6141))</f>
        <v/>
      </c>
      <c r="B6141" s="35" t="str">
        <f t="shared" si="111"/>
        <v/>
      </c>
      <c r="C6141" s="15"/>
    </row>
    <row r="6142" spans="1:3" x14ac:dyDescent="0.25">
      <c r="A6142" s="21" t="str">
        <f>IF(C6142="","",COUNTA($C$3:C6142))</f>
        <v/>
      </c>
      <c r="B6142" s="35" t="str">
        <f t="shared" si="111"/>
        <v/>
      </c>
      <c r="C6142" s="15"/>
    </row>
    <row r="6143" spans="1:3" x14ac:dyDescent="0.25">
      <c r="A6143" s="21" t="str">
        <f>IF(C6143="","",COUNTA($C$3:C6143))</f>
        <v/>
      </c>
      <c r="B6143" s="35" t="str">
        <f t="shared" si="111"/>
        <v/>
      </c>
      <c r="C6143" s="15"/>
    </row>
    <row r="6144" spans="1:3" x14ac:dyDescent="0.25">
      <c r="A6144" s="21" t="str">
        <f>IF(C6144="","",COUNTA($C$3:C6144))</f>
        <v/>
      </c>
      <c r="B6144" s="35" t="str">
        <f t="shared" si="111"/>
        <v/>
      </c>
      <c r="C6144" s="15"/>
    </row>
    <row r="6145" spans="1:3" x14ac:dyDescent="0.25">
      <c r="A6145" s="21" t="str">
        <f>IF(C6145="","",COUNTA($C$3:C6145))</f>
        <v/>
      </c>
      <c r="B6145" s="35" t="str">
        <f t="shared" si="111"/>
        <v/>
      </c>
      <c r="C6145" s="15"/>
    </row>
    <row r="6146" spans="1:3" x14ac:dyDescent="0.25">
      <c r="A6146" s="21" t="str">
        <f>IF(C6146="","",COUNTA($C$3:C6146))</f>
        <v/>
      </c>
      <c r="B6146" s="35" t="str">
        <f t="shared" si="111"/>
        <v/>
      </c>
      <c r="C6146" s="15"/>
    </row>
    <row r="6147" spans="1:3" x14ac:dyDescent="0.25">
      <c r="A6147" s="21" t="str">
        <f>IF(C6147="","",COUNTA($C$3:C6147))</f>
        <v/>
      </c>
      <c r="B6147" s="35" t="str">
        <f t="shared" si="111"/>
        <v/>
      </c>
      <c r="C6147" s="15"/>
    </row>
    <row r="6148" spans="1:3" x14ac:dyDescent="0.25">
      <c r="A6148" s="21" t="str">
        <f>IF(C6148="","",COUNTA($C$3:C6148))</f>
        <v/>
      </c>
      <c r="B6148" s="35" t="str">
        <f t="shared" si="111"/>
        <v/>
      </c>
      <c r="C6148" s="15"/>
    </row>
    <row r="6149" spans="1:3" x14ac:dyDescent="0.25">
      <c r="A6149" s="21" t="str">
        <f>IF(C6149="","",COUNTA($C$3:C6149))</f>
        <v/>
      </c>
      <c r="B6149" s="35" t="str">
        <f t="shared" ref="B6149:B6212" si="112">IF(C6149="","",TEXT(C6149,"mmmm"))</f>
        <v/>
      </c>
      <c r="C6149" s="15"/>
    </row>
    <row r="6150" spans="1:3" x14ac:dyDescent="0.25">
      <c r="A6150" s="21" t="str">
        <f>IF(C6150="","",COUNTA($C$3:C6150))</f>
        <v/>
      </c>
      <c r="B6150" s="35" t="str">
        <f t="shared" si="112"/>
        <v/>
      </c>
      <c r="C6150" s="15"/>
    </row>
    <row r="6151" spans="1:3" x14ac:dyDescent="0.25">
      <c r="A6151" s="21" t="str">
        <f>IF(C6151="","",COUNTA($C$3:C6151))</f>
        <v/>
      </c>
      <c r="B6151" s="35" t="str">
        <f t="shared" si="112"/>
        <v/>
      </c>
      <c r="C6151" s="15"/>
    </row>
    <row r="6152" spans="1:3" x14ac:dyDescent="0.25">
      <c r="A6152" s="21" t="str">
        <f>IF(C6152="","",COUNTA($C$3:C6152))</f>
        <v/>
      </c>
      <c r="B6152" s="35" t="str">
        <f t="shared" si="112"/>
        <v/>
      </c>
      <c r="C6152" s="15"/>
    </row>
    <row r="6153" spans="1:3" x14ac:dyDescent="0.25">
      <c r="A6153" s="21" t="str">
        <f>IF(C6153="","",COUNTA($C$3:C6153))</f>
        <v/>
      </c>
      <c r="B6153" s="35" t="str">
        <f t="shared" si="112"/>
        <v/>
      </c>
      <c r="C6153" s="15"/>
    </row>
    <row r="6154" spans="1:3" x14ac:dyDescent="0.25">
      <c r="A6154" s="21" t="str">
        <f>IF(C6154="","",COUNTA($C$3:C6154))</f>
        <v/>
      </c>
      <c r="B6154" s="35" t="str">
        <f t="shared" si="112"/>
        <v/>
      </c>
      <c r="C6154" s="15"/>
    </row>
    <row r="6155" spans="1:3" x14ac:dyDescent="0.25">
      <c r="A6155" s="21" t="str">
        <f>IF(C6155="","",COUNTA($C$3:C6155))</f>
        <v/>
      </c>
      <c r="B6155" s="35" t="str">
        <f t="shared" si="112"/>
        <v/>
      </c>
      <c r="C6155" s="15"/>
    </row>
    <row r="6156" spans="1:3" x14ac:dyDescent="0.25">
      <c r="A6156" s="21" t="str">
        <f>IF(C6156="","",COUNTA($C$3:C6156))</f>
        <v/>
      </c>
      <c r="B6156" s="35" t="str">
        <f t="shared" si="112"/>
        <v/>
      </c>
      <c r="C6156" s="15"/>
    </row>
    <row r="6157" spans="1:3" x14ac:dyDescent="0.25">
      <c r="A6157" s="21" t="str">
        <f>IF(C6157="","",COUNTA($C$3:C6157))</f>
        <v/>
      </c>
      <c r="B6157" s="35" t="str">
        <f t="shared" si="112"/>
        <v/>
      </c>
      <c r="C6157" s="15"/>
    </row>
    <row r="6158" spans="1:3" x14ac:dyDescent="0.25">
      <c r="A6158" s="21" t="str">
        <f>IF(C6158="","",COUNTA($C$3:C6158))</f>
        <v/>
      </c>
      <c r="B6158" s="35" t="str">
        <f t="shared" si="112"/>
        <v/>
      </c>
      <c r="C6158" s="15"/>
    </row>
    <row r="6159" spans="1:3" x14ac:dyDescent="0.25">
      <c r="A6159" s="21" t="str">
        <f>IF(C6159="","",COUNTA($C$3:C6159))</f>
        <v/>
      </c>
      <c r="B6159" s="35" t="str">
        <f t="shared" si="112"/>
        <v/>
      </c>
      <c r="C6159" s="15"/>
    </row>
    <row r="6160" spans="1:3" x14ac:dyDescent="0.25">
      <c r="A6160" s="21" t="str">
        <f>IF(C6160="","",COUNTA($C$3:C6160))</f>
        <v/>
      </c>
      <c r="B6160" s="35" t="str">
        <f t="shared" si="112"/>
        <v/>
      </c>
      <c r="C6160" s="15"/>
    </row>
    <row r="6161" spans="1:3" x14ac:dyDescent="0.25">
      <c r="A6161" s="21" t="str">
        <f>IF(C6161="","",COUNTA($C$3:C6161))</f>
        <v/>
      </c>
      <c r="B6161" s="35" t="str">
        <f t="shared" si="112"/>
        <v/>
      </c>
      <c r="C6161" s="15"/>
    </row>
    <row r="6162" spans="1:3" x14ac:dyDescent="0.25">
      <c r="A6162" s="21" t="str">
        <f>IF(C6162="","",COUNTA($C$3:C6162))</f>
        <v/>
      </c>
      <c r="B6162" s="35" t="str">
        <f t="shared" si="112"/>
        <v/>
      </c>
      <c r="C6162" s="15"/>
    </row>
    <row r="6163" spans="1:3" x14ac:dyDescent="0.25">
      <c r="A6163" s="21" t="str">
        <f>IF(C6163="","",COUNTA($C$3:C6163))</f>
        <v/>
      </c>
      <c r="B6163" s="35" t="str">
        <f t="shared" si="112"/>
        <v/>
      </c>
      <c r="C6163" s="15"/>
    </row>
    <row r="6164" spans="1:3" x14ac:dyDescent="0.25">
      <c r="A6164" s="21" t="str">
        <f>IF(C6164="","",COUNTA($C$3:C6164))</f>
        <v/>
      </c>
      <c r="B6164" s="35" t="str">
        <f t="shared" si="112"/>
        <v/>
      </c>
      <c r="C6164" s="15"/>
    </row>
    <row r="6165" spans="1:3" x14ac:dyDescent="0.25">
      <c r="A6165" s="21" t="str">
        <f>IF(C6165="","",COUNTA($C$3:C6165))</f>
        <v/>
      </c>
      <c r="B6165" s="35" t="str">
        <f t="shared" si="112"/>
        <v/>
      </c>
      <c r="C6165" s="15"/>
    </row>
    <row r="6166" spans="1:3" x14ac:dyDescent="0.25">
      <c r="A6166" s="21" t="str">
        <f>IF(C6166="","",COUNTA($C$3:C6166))</f>
        <v/>
      </c>
      <c r="B6166" s="35" t="str">
        <f t="shared" si="112"/>
        <v/>
      </c>
      <c r="C6166" s="15"/>
    </row>
    <row r="6167" spans="1:3" x14ac:dyDescent="0.25">
      <c r="A6167" s="21" t="str">
        <f>IF(C6167="","",COUNTA($C$3:C6167))</f>
        <v/>
      </c>
      <c r="B6167" s="35" t="str">
        <f t="shared" si="112"/>
        <v/>
      </c>
      <c r="C6167" s="15"/>
    </row>
    <row r="6168" spans="1:3" x14ac:dyDescent="0.25">
      <c r="A6168" s="21" t="str">
        <f>IF(C6168="","",COUNTA($C$3:C6168))</f>
        <v/>
      </c>
      <c r="B6168" s="35" t="str">
        <f t="shared" si="112"/>
        <v/>
      </c>
      <c r="C6168" s="15"/>
    </row>
    <row r="6169" spans="1:3" x14ac:dyDescent="0.25">
      <c r="A6169" s="21" t="str">
        <f>IF(C6169="","",COUNTA($C$3:C6169))</f>
        <v/>
      </c>
      <c r="B6169" s="35" t="str">
        <f t="shared" si="112"/>
        <v/>
      </c>
      <c r="C6169" s="15"/>
    </row>
    <row r="6170" spans="1:3" x14ac:dyDescent="0.25">
      <c r="A6170" s="21" t="str">
        <f>IF(C6170="","",COUNTA($C$3:C6170))</f>
        <v/>
      </c>
      <c r="B6170" s="35" t="str">
        <f t="shared" si="112"/>
        <v/>
      </c>
      <c r="C6170" s="15"/>
    </row>
    <row r="6171" spans="1:3" x14ac:dyDescent="0.25">
      <c r="A6171" s="21" t="str">
        <f>IF(C6171="","",COUNTA($C$3:C6171))</f>
        <v/>
      </c>
      <c r="B6171" s="35" t="str">
        <f t="shared" si="112"/>
        <v/>
      </c>
      <c r="C6171" s="15"/>
    </row>
    <row r="6172" spans="1:3" x14ac:dyDescent="0.25">
      <c r="A6172" s="21" t="str">
        <f>IF(C6172="","",COUNTA($C$3:C6172))</f>
        <v/>
      </c>
      <c r="B6172" s="35" t="str">
        <f t="shared" si="112"/>
        <v/>
      </c>
      <c r="C6172" s="15"/>
    </row>
    <row r="6173" spans="1:3" x14ac:dyDescent="0.25">
      <c r="A6173" s="21" t="str">
        <f>IF(C6173="","",COUNTA($C$3:C6173))</f>
        <v/>
      </c>
      <c r="B6173" s="35" t="str">
        <f t="shared" si="112"/>
        <v/>
      </c>
      <c r="C6173" s="15"/>
    </row>
    <row r="6174" spans="1:3" x14ac:dyDescent="0.25">
      <c r="A6174" s="21" t="str">
        <f>IF(C6174="","",COUNTA($C$3:C6174))</f>
        <v/>
      </c>
      <c r="B6174" s="35" t="str">
        <f t="shared" si="112"/>
        <v/>
      </c>
      <c r="C6174" s="15"/>
    </row>
    <row r="6175" spans="1:3" x14ac:dyDescent="0.25">
      <c r="A6175" s="21" t="str">
        <f>IF(C6175="","",COUNTA($C$3:C6175))</f>
        <v/>
      </c>
      <c r="B6175" s="35" t="str">
        <f t="shared" si="112"/>
        <v/>
      </c>
      <c r="C6175" s="15"/>
    </row>
    <row r="6176" spans="1:3" x14ac:dyDescent="0.25">
      <c r="A6176" s="21" t="str">
        <f>IF(C6176="","",COUNTA($C$3:C6176))</f>
        <v/>
      </c>
      <c r="B6176" s="35" t="str">
        <f t="shared" si="112"/>
        <v/>
      </c>
      <c r="C6176" s="15"/>
    </row>
    <row r="6177" spans="1:3" x14ac:dyDescent="0.25">
      <c r="A6177" s="21" t="str">
        <f>IF(C6177="","",COUNTA($C$3:C6177))</f>
        <v/>
      </c>
      <c r="B6177" s="35" t="str">
        <f t="shared" si="112"/>
        <v/>
      </c>
      <c r="C6177" s="15"/>
    </row>
    <row r="6178" spans="1:3" x14ac:dyDescent="0.25">
      <c r="A6178" s="21" t="str">
        <f>IF(C6178="","",COUNTA($C$3:C6178))</f>
        <v/>
      </c>
      <c r="B6178" s="35" t="str">
        <f t="shared" si="112"/>
        <v/>
      </c>
      <c r="C6178" s="15"/>
    </row>
    <row r="6179" spans="1:3" x14ac:dyDescent="0.25">
      <c r="A6179" s="21" t="str">
        <f>IF(C6179="","",COUNTA($C$3:C6179))</f>
        <v/>
      </c>
      <c r="B6179" s="35" t="str">
        <f t="shared" si="112"/>
        <v/>
      </c>
      <c r="C6179" s="15"/>
    </row>
    <row r="6180" spans="1:3" x14ac:dyDescent="0.25">
      <c r="A6180" s="21" t="str">
        <f>IF(C6180="","",COUNTA($C$3:C6180))</f>
        <v/>
      </c>
      <c r="B6180" s="35" t="str">
        <f t="shared" si="112"/>
        <v/>
      </c>
      <c r="C6180" s="15"/>
    </row>
    <row r="6181" spans="1:3" x14ac:dyDescent="0.25">
      <c r="A6181" s="21" t="str">
        <f>IF(C6181="","",COUNTA($C$3:C6181))</f>
        <v/>
      </c>
      <c r="B6181" s="35" t="str">
        <f t="shared" si="112"/>
        <v/>
      </c>
      <c r="C6181" s="15"/>
    </row>
    <row r="6182" spans="1:3" x14ac:dyDescent="0.25">
      <c r="A6182" s="21" t="str">
        <f>IF(C6182="","",COUNTA($C$3:C6182))</f>
        <v/>
      </c>
      <c r="B6182" s="35" t="str">
        <f t="shared" si="112"/>
        <v/>
      </c>
      <c r="C6182" s="15"/>
    </row>
    <row r="6183" spans="1:3" x14ac:dyDescent="0.25">
      <c r="A6183" s="21" t="str">
        <f>IF(C6183="","",COUNTA($C$3:C6183))</f>
        <v/>
      </c>
      <c r="B6183" s="35" t="str">
        <f t="shared" si="112"/>
        <v/>
      </c>
      <c r="C6183" s="15"/>
    </row>
    <row r="6184" spans="1:3" x14ac:dyDescent="0.25">
      <c r="A6184" s="21" t="str">
        <f>IF(C6184="","",COUNTA($C$3:C6184))</f>
        <v/>
      </c>
      <c r="B6184" s="35" t="str">
        <f t="shared" si="112"/>
        <v/>
      </c>
      <c r="C6184" s="15"/>
    </row>
    <row r="6185" spans="1:3" x14ac:dyDescent="0.25">
      <c r="A6185" s="21" t="str">
        <f>IF(C6185="","",COUNTA($C$3:C6185))</f>
        <v/>
      </c>
      <c r="B6185" s="35" t="str">
        <f t="shared" si="112"/>
        <v/>
      </c>
      <c r="C6185" s="15"/>
    </row>
    <row r="6186" spans="1:3" x14ac:dyDescent="0.25">
      <c r="A6186" s="21" t="str">
        <f>IF(C6186="","",COUNTA($C$3:C6186))</f>
        <v/>
      </c>
      <c r="B6186" s="35" t="str">
        <f t="shared" si="112"/>
        <v/>
      </c>
      <c r="C6186" s="15"/>
    </row>
    <row r="6187" spans="1:3" x14ac:dyDescent="0.25">
      <c r="A6187" s="21" t="str">
        <f>IF(C6187="","",COUNTA($C$3:C6187))</f>
        <v/>
      </c>
      <c r="B6187" s="35" t="str">
        <f t="shared" si="112"/>
        <v/>
      </c>
      <c r="C6187" s="15"/>
    </row>
    <row r="6188" spans="1:3" x14ac:dyDescent="0.25">
      <c r="A6188" s="21" t="str">
        <f>IF(C6188="","",COUNTA($C$3:C6188))</f>
        <v/>
      </c>
      <c r="B6188" s="35" t="str">
        <f t="shared" si="112"/>
        <v/>
      </c>
      <c r="C6188" s="15"/>
    </row>
    <row r="6189" spans="1:3" x14ac:dyDescent="0.25">
      <c r="A6189" s="21" t="str">
        <f>IF(C6189="","",COUNTA($C$3:C6189))</f>
        <v/>
      </c>
      <c r="B6189" s="35" t="str">
        <f t="shared" si="112"/>
        <v/>
      </c>
      <c r="C6189" s="15"/>
    </row>
    <row r="6190" spans="1:3" x14ac:dyDescent="0.25">
      <c r="A6190" s="21" t="str">
        <f>IF(C6190="","",COUNTA($C$3:C6190))</f>
        <v/>
      </c>
      <c r="B6190" s="35" t="str">
        <f t="shared" si="112"/>
        <v/>
      </c>
      <c r="C6190" s="15"/>
    </row>
    <row r="6191" spans="1:3" x14ac:dyDescent="0.25">
      <c r="A6191" s="21" t="str">
        <f>IF(C6191="","",COUNTA($C$3:C6191))</f>
        <v/>
      </c>
      <c r="B6191" s="35" t="str">
        <f t="shared" si="112"/>
        <v/>
      </c>
      <c r="C6191" s="15"/>
    </row>
    <row r="6192" spans="1:3" x14ac:dyDescent="0.25">
      <c r="A6192" s="21" t="str">
        <f>IF(C6192="","",COUNTA($C$3:C6192))</f>
        <v/>
      </c>
      <c r="B6192" s="35" t="str">
        <f t="shared" si="112"/>
        <v/>
      </c>
      <c r="C6192" s="15"/>
    </row>
    <row r="6193" spans="1:3" x14ac:dyDescent="0.25">
      <c r="A6193" s="21" t="str">
        <f>IF(C6193="","",COUNTA($C$3:C6193))</f>
        <v/>
      </c>
      <c r="B6193" s="35" t="str">
        <f t="shared" si="112"/>
        <v/>
      </c>
      <c r="C6193" s="15"/>
    </row>
    <row r="6194" spans="1:3" x14ac:dyDescent="0.25">
      <c r="A6194" s="21" t="str">
        <f>IF(C6194="","",COUNTA($C$3:C6194))</f>
        <v/>
      </c>
      <c r="B6194" s="35" t="str">
        <f t="shared" si="112"/>
        <v/>
      </c>
      <c r="C6194" s="15"/>
    </row>
    <row r="6195" spans="1:3" x14ac:dyDescent="0.25">
      <c r="A6195" s="21" t="str">
        <f>IF(C6195="","",COUNTA($C$3:C6195))</f>
        <v/>
      </c>
      <c r="B6195" s="35" t="str">
        <f t="shared" si="112"/>
        <v/>
      </c>
      <c r="C6195" s="15"/>
    </row>
    <row r="6196" spans="1:3" x14ac:dyDescent="0.25">
      <c r="A6196" s="21" t="str">
        <f>IF(C6196="","",COUNTA($C$3:C6196))</f>
        <v/>
      </c>
      <c r="B6196" s="35" t="str">
        <f t="shared" si="112"/>
        <v/>
      </c>
      <c r="C6196" s="15"/>
    </row>
    <row r="6197" spans="1:3" x14ac:dyDescent="0.25">
      <c r="A6197" s="21" t="str">
        <f>IF(C6197="","",COUNTA($C$3:C6197))</f>
        <v/>
      </c>
      <c r="B6197" s="35" t="str">
        <f t="shared" si="112"/>
        <v/>
      </c>
      <c r="C6197" s="15"/>
    </row>
    <row r="6198" spans="1:3" x14ac:dyDescent="0.25">
      <c r="A6198" s="21" t="str">
        <f>IF(C6198="","",COUNTA($C$3:C6198))</f>
        <v/>
      </c>
      <c r="B6198" s="35" t="str">
        <f t="shared" si="112"/>
        <v/>
      </c>
      <c r="C6198" s="15"/>
    </row>
    <row r="6199" spans="1:3" x14ac:dyDescent="0.25">
      <c r="A6199" s="21" t="str">
        <f>IF(C6199="","",COUNTA($C$3:C6199))</f>
        <v/>
      </c>
      <c r="B6199" s="35" t="str">
        <f t="shared" si="112"/>
        <v/>
      </c>
      <c r="C6199" s="15"/>
    </row>
    <row r="6200" spans="1:3" x14ac:dyDescent="0.25">
      <c r="A6200" s="21" t="str">
        <f>IF(C6200="","",COUNTA($C$3:C6200))</f>
        <v/>
      </c>
      <c r="B6200" s="35" t="str">
        <f t="shared" si="112"/>
        <v/>
      </c>
      <c r="C6200" s="15"/>
    </row>
    <row r="6201" spans="1:3" x14ac:dyDescent="0.25">
      <c r="A6201" s="21" t="str">
        <f>IF(C6201="","",COUNTA($C$3:C6201))</f>
        <v/>
      </c>
      <c r="B6201" s="35" t="str">
        <f t="shared" si="112"/>
        <v/>
      </c>
      <c r="C6201" s="15"/>
    </row>
    <row r="6202" spans="1:3" x14ac:dyDescent="0.25">
      <c r="A6202" s="21" t="str">
        <f>IF(C6202="","",COUNTA($C$3:C6202))</f>
        <v/>
      </c>
      <c r="B6202" s="35" t="str">
        <f t="shared" si="112"/>
        <v/>
      </c>
      <c r="C6202" s="15"/>
    </row>
    <row r="6203" spans="1:3" x14ac:dyDescent="0.25">
      <c r="A6203" s="21" t="str">
        <f>IF(C6203="","",COUNTA($C$3:C6203))</f>
        <v/>
      </c>
      <c r="B6203" s="35" t="str">
        <f t="shared" si="112"/>
        <v/>
      </c>
      <c r="C6203" s="15"/>
    </row>
    <row r="6204" spans="1:3" x14ac:dyDescent="0.25">
      <c r="A6204" s="21" t="str">
        <f>IF(C6204="","",COUNTA($C$3:C6204))</f>
        <v/>
      </c>
      <c r="B6204" s="35" t="str">
        <f t="shared" si="112"/>
        <v/>
      </c>
      <c r="C6204" s="15"/>
    </row>
    <row r="6205" spans="1:3" x14ac:dyDescent="0.25">
      <c r="A6205" s="21" t="str">
        <f>IF(C6205="","",COUNTA($C$3:C6205))</f>
        <v/>
      </c>
      <c r="B6205" s="35" t="str">
        <f t="shared" si="112"/>
        <v/>
      </c>
      <c r="C6205" s="15"/>
    </row>
    <row r="6206" spans="1:3" x14ac:dyDescent="0.25">
      <c r="A6206" s="21" t="str">
        <f>IF(C6206="","",COUNTA($C$3:C6206))</f>
        <v/>
      </c>
      <c r="B6206" s="35" t="str">
        <f t="shared" si="112"/>
        <v/>
      </c>
      <c r="C6206" s="15"/>
    </row>
    <row r="6207" spans="1:3" x14ac:dyDescent="0.25">
      <c r="A6207" s="21" t="str">
        <f>IF(C6207="","",COUNTA($C$3:C6207))</f>
        <v/>
      </c>
      <c r="B6207" s="35" t="str">
        <f t="shared" si="112"/>
        <v/>
      </c>
      <c r="C6207" s="15"/>
    </row>
    <row r="6208" spans="1:3" x14ac:dyDescent="0.25">
      <c r="A6208" s="21" t="str">
        <f>IF(C6208="","",COUNTA($C$3:C6208))</f>
        <v/>
      </c>
      <c r="B6208" s="35" t="str">
        <f t="shared" si="112"/>
        <v/>
      </c>
      <c r="C6208" s="15"/>
    </row>
    <row r="6209" spans="1:3" x14ac:dyDescent="0.25">
      <c r="A6209" s="21" t="str">
        <f>IF(C6209="","",COUNTA($C$3:C6209))</f>
        <v/>
      </c>
      <c r="B6209" s="35" t="str">
        <f t="shared" si="112"/>
        <v/>
      </c>
      <c r="C6209" s="15"/>
    </row>
    <row r="6210" spans="1:3" x14ac:dyDescent="0.25">
      <c r="A6210" s="21" t="str">
        <f>IF(C6210="","",COUNTA($C$3:C6210))</f>
        <v/>
      </c>
      <c r="B6210" s="35" t="str">
        <f t="shared" si="112"/>
        <v/>
      </c>
      <c r="C6210" s="15"/>
    </row>
    <row r="6211" spans="1:3" x14ac:dyDescent="0.25">
      <c r="A6211" s="21" t="str">
        <f>IF(C6211="","",COUNTA($C$3:C6211))</f>
        <v/>
      </c>
      <c r="B6211" s="35" t="str">
        <f t="shared" si="112"/>
        <v/>
      </c>
      <c r="C6211" s="15"/>
    </row>
    <row r="6212" spans="1:3" x14ac:dyDescent="0.25">
      <c r="A6212" s="21" t="str">
        <f>IF(C6212="","",COUNTA($C$3:C6212))</f>
        <v/>
      </c>
      <c r="B6212" s="35" t="str">
        <f t="shared" si="112"/>
        <v/>
      </c>
      <c r="C6212" s="15"/>
    </row>
    <row r="6213" spans="1:3" x14ac:dyDescent="0.25">
      <c r="A6213" s="21" t="str">
        <f>IF(C6213="","",COUNTA($C$3:C6213))</f>
        <v/>
      </c>
      <c r="B6213" s="35" t="str">
        <f t="shared" ref="B6213:B6276" si="113">IF(C6213="","",TEXT(C6213,"mmmm"))</f>
        <v/>
      </c>
      <c r="C6213" s="15"/>
    </row>
    <row r="6214" spans="1:3" x14ac:dyDescent="0.25">
      <c r="A6214" s="21" t="str">
        <f>IF(C6214="","",COUNTA($C$3:C6214))</f>
        <v/>
      </c>
      <c r="B6214" s="35" t="str">
        <f t="shared" si="113"/>
        <v/>
      </c>
      <c r="C6214" s="15"/>
    </row>
    <row r="6215" spans="1:3" x14ac:dyDescent="0.25">
      <c r="A6215" s="21" t="str">
        <f>IF(C6215="","",COUNTA($C$3:C6215))</f>
        <v/>
      </c>
      <c r="B6215" s="35" t="str">
        <f t="shared" si="113"/>
        <v/>
      </c>
      <c r="C6215" s="15"/>
    </row>
    <row r="6216" spans="1:3" x14ac:dyDescent="0.25">
      <c r="A6216" s="21" t="str">
        <f>IF(C6216="","",COUNTA($C$3:C6216))</f>
        <v/>
      </c>
      <c r="B6216" s="35" t="str">
        <f t="shared" si="113"/>
        <v/>
      </c>
      <c r="C6216" s="15"/>
    </row>
    <row r="6217" spans="1:3" x14ac:dyDescent="0.25">
      <c r="A6217" s="21" t="str">
        <f>IF(C6217="","",COUNTA($C$3:C6217))</f>
        <v/>
      </c>
      <c r="B6217" s="35" t="str">
        <f t="shared" si="113"/>
        <v/>
      </c>
      <c r="C6217" s="15"/>
    </row>
    <row r="6218" spans="1:3" x14ac:dyDescent="0.25">
      <c r="A6218" s="21" t="str">
        <f>IF(C6218="","",COUNTA($C$3:C6218))</f>
        <v/>
      </c>
      <c r="B6218" s="35" t="str">
        <f t="shared" si="113"/>
        <v/>
      </c>
      <c r="C6218" s="15"/>
    </row>
    <row r="6219" spans="1:3" x14ac:dyDescent="0.25">
      <c r="A6219" s="21" t="str">
        <f>IF(C6219="","",COUNTA($C$3:C6219))</f>
        <v/>
      </c>
      <c r="B6219" s="35" t="str">
        <f t="shared" si="113"/>
        <v/>
      </c>
      <c r="C6219" s="15"/>
    </row>
    <row r="6220" spans="1:3" x14ac:dyDescent="0.25">
      <c r="A6220" s="21" t="str">
        <f>IF(C6220="","",COUNTA($C$3:C6220))</f>
        <v/>
      </c>
      <c r="B6220" s="35" t="str">
        <f t="shared" si="113"/>
        <v/>
      </c>
      <c r="C6220" s="15"/>
    </row>
    <row r="6221" spans="1:3" x14ac:dyDescent="0.25">
      <c r="A6221" s="21" t="str">
        <f>IF(C6221="","",COUNTA($C$3:C6221))</f>
        <v/>
      </c>
      <c r="B6221" s="35" t="str">
        <f t="shared" si="113"/>
        <v/>
      </c>
      <c r="C6221" s="15"/>
    </row>
    <row r="6222" spans="1:3" x14ac:dyDescent="0.25">
      <c r="A6222" s="21" t="str">
        <f>IF(C6222="","",COUNTA($C$3:C6222))</f>
        <v/>
      </c>
      <c r="B6222" s="35" t="str">
        <f t="shared" si="113"/>
        <v/>
      </c>
      <c r="C6222" s="15"/>
    </row>
    <row r="6223" spans="1:3" x14ac:dyDescent="0.25">
      <c r="A6223" s="21" t="str">
        <f>IF(C6223="","",COUNTA($C$3:C6223))</f>
        <v/>
      </c>
      <c r="B6223" s="35" t="str">
        <f t="shared" si="113"/>
        <v/>
      </c>
      <c r="C6223" s="15"/>
    </row>
    <row r="6224" spans="1:3" x14ac:dyDescent="0.25">
      <c r="A6224" s="21" t="str">
        <f>IF(C6224="","",COUNTA($C$3:C6224))</f>
        <v/>
      </c>
      <c r="B6224" s="35" t="str">
        <f t="shared" si="113"/>
        <v/>
      </c>
      <c r="C6224" s="15"/>
    </row>
    <row r="6225" spans="1:3" x14ac:dyDescent="0.25">
      <c r="A6225" s="21" t="str">
        <f>IF(C6225="","",COUNTA($C$3:C6225))</f>
        <v/>
      </c>
      <c r="B6225" s="35" t="str">
        <f t="shared" si="113"/>
        <v/>
      </c>
      <c r="C6225" s="15"/>
    </row>
    <row r="6226" spans="1:3" x14ac:dyDescent="0.25">
      <c r="A6226" s="21" t="str">
        <f>IF(C6226="","",COUNTA($C$3:C6226))</f>
        <v/>
      </c>
      <c r="B6226" s="35" t="str">
        <f t="shared" si="113"/>
        <v/>
      </c>
      <c r="C6226" s="15"/>
    </row>
    <row r="6227" spans="1:3" x14ac:dyDescent="0.25">
      <c r="A6227" s="21" t="str">
        <f>IF(C6227="","",COUNTA($C$3:C6227))</f>
        <v/>
      </c>
      <c r="B6227" s="35" t="str">
        <f t="shared" si="113"/>
        <v/>
      </c>
      <c r="C6227" s="15"/>
    </row>
    <row r="6228" spans="1:3" x14ac:dyDescent="0.25">
      <c r="A6228" s="21" t="str">
        <f>IF(C6228="","",COUNTA($C$3:C6228))</f>
        <v/>
      </c>
      <c r="B6228" s="35" t="str">
        <f t="shared" si="113"/>
        <v/>
      </c>
      <c r="C6228" s="15"/>
    </row>
    <row r="6229" spans="1:3" x14ac:dyDescent="0.25">
      <c r="A6229" s="21" t="str">
        <f>IF(C6229="","",COUNTA($C$3:C6229))</f>
        <v/>
      </c>
      <c r="B6229" s="35" t="str">
        <f t="shared" si="113"/>
        <v/>
      </c>
      <c r="C6229" s="15"/>
    </row>
    <row r="6230" spans="1:3" x14ac:dyDescent="0.25">
      <c r="A6230" s="21" t="str">
        <f>IF(C6230="","",COUNTA($C$3:C6230))</f>
        <v/>
      </c>
      <c r="B6230" s="35" t="str">
        <f t="shared" si="113"/>
        <v/>
      </c>
      <c r="C6230" s="15"/>
    </row>
    <row r="6231" spans="1:3" x14ac:dyDescent="0.25">
      <c r="A6231" s="21" t="str">
        <f>IF(C6231="","",COUNTA($C$3:C6231))</f>
        <v/>
      </c>
      <c r="B6231" s="35" t="str">
        <f t="shared" si="113"/>
        <v/>
      </c>
      <c r="C6231" s="15"/>
    </row>
    <row r="6232" spans="1:3" x14ac:dyDescent="0.25">
      <c r="A6232" s="21" t="str">
        <f>IF(C6232="","",COUNTA($C$3:C6232))</f>
        <v/>
      </c>
      <c r="B6232" s="35" t="str">
        <f t="shared" si="113"/>
        <v/>
      </c>
      <c r="C6232" s="15"/>
    </row>
    <row r="6233" spans="1:3" x14ac:dyDescent="0.25">
      <c r="A6233" s="21" t="str">
        <f>IF(C6233="","",COUNTA($C$3:C6233))</f>
        <v/>
      </c>
      <c r="B6233" s="35" t="str">
        <f t="shared" si="113"/>
        <v/>
      </c>
      <c r="C6233" s="15"/>
    </row>
    <row r="6234" spans="1:3" x14ac:dyDescent="0.25">
      <c r="A6234" s="21" t="str">
        <f>IF(C6234="","",COUNTA($C$3:C6234))</f>
        <v/>
      </c>
      <c r="B6234" s="35" t="str">
        <f t="shared" si="113"/>
        <v/>
      </c>
      <c r="C6234" s="15"/>
    </row>
    <row r="6235" spans="1:3" x14ac:dyDescent="0.25">
      <c r="A6235" s="21" t="str">
        <f>IF(C6235="","",COUNTA($C$3:C6235))</f>
        <v/>
      </c>
      <c r="B6235" s="35" t="str">
        <f t="shared" si="113"/>
        <v/>
      </c>
      <c r="C6235" s="15"/>
    </row>
    <row r="6236" spans="1:3" x14ac:dyDescent="0.25">
      <c r="A6236" s="21" t="str">
        <f>IF(C6236="","",COUNTA($C$3:C6236))</f>
        <v/>
      </c>
      <c r="B6236" s="35" t="str">
        <f t="shared" si="113"/>
        <v/>
      </c>
      <c r="C6236" s="15"/>
    </row>
    <row r="6237" spans="1:3" x14ac:dyDescent="0.25">
      <c r="A6237" s="21" t="str">
        <f>IF(C6237="","",COUNTA($C$3:C6237))</f>
        <v/>
      </c>
      <c r="B6237" s="35" t="str">
        <f t="shared" si="113"/>
        <v/>
      </c>
      <c r="C6237" s="15"/>
    </row>
    <row r="6238" spans="1:3" x14ac:dyDescent="0.25">
      <c r="A6238" s="21" t="str">
        <f>IF(C6238="","",COUNTA($C$3:C6238))</f>
        <v/>
      </c>
      <c r="B6238" s="35" t="str">
        <f t="shared" si="113"/>
        <v/>
      </c>
      <c r="C6238" s="15"/>
    </row>
    <row r="6239" spans="1:3" x14ac:dyDescent="0.25">
      <c r="A6239" s="21" t="str">
        <f>IF(C6239="","",COUNTA($C$3:C6239))</f>
        <v/>
      </c>
      <c r="B6239" s="35" t="str">
        <f t="shared" si="113"/>
        <v/>
      </c>
      <c r="C6239" s="15"/>
    </row>
    <row r="6240" spans="1:3" x14ac:dyDescent="0.25">
      <c r="A6240" s="21" t="str">
        <f>IF(C6240="","",COUNTA($C$3:C6240))</f>
        <v/>
      </c>
      <c r="B6240" s="35" t="str">
        <f t="shared" si="113"/>
        <v/>
      </c>
      <c r="C6240" s="15"/>
    </row>
    <row r="6241" spans="1:3" x14ac:dyDescent="0.25">
      <c r="A6241" s="21" t="str">
        <f>IF(C6241="","",COUNTA($C$3:C6241))</f>
        <v/>
      </c>
      <c r="B6241" s="35" t="str">
        <f t="shared" si="113"/>
        <v/>
      </c>
      <c r="C6241" s="15"/>
    </row>
    <row r="6242" spans="1:3" x14ac:dyDescent="0.25">
      <c r="A6242" s="21" t="str">
        <f>IF(C6242="","",COUNTA($C$3:C6242))</f>
        <v/>
      </c>
      <c r="B6242" s="35" t="str">
        <f t="shared" si="113"/>
        <v/>
      </c>
      <c r="C6242" s="15"/>
    </row>
    <row r="6243" spans="1:3" x14ac:dyDescent="0.25">
      <c r="A6243" s="21" t="str">
        <f>IF(C6243="","",COUNTA($C$3:C6243))</f>
        <v/>
      </c>
      <c r="B6243" s="35" t="str">
        <f t="shared" si="113"/>
        <v/>
      </c>
      <c r="C6243" s="15"/>
    </row>
    <row r="6244" spans="1:3" x14ac:dyDescent="0.25">
      <c r="A6244" s="21" t="str">
        <f>IF(C6244="","",COUNTA($C$3:C6244))</f>
        <v/>
      </c>
      <c r="B6244" s="35" t="str">
        <f t="shared" si="113"/>
        <v/>
      </c>
      <c r="C6244" s="15"/>
    </row>
    <row r="6245" spans="1:3" x14ac:dyDescent="0.25">
      <c r="A6245" s="21" t="str">
        <f>IF(C6245="","",COUNTA($C$3:C6245))</f>
        <v/>
      </c>
      <c r="B6245" s="35" t="str">
        <f t="shared" si="113"/>
        <v/>
      </c>
      <c r="C6245" s="15"/>
    </row>
    <row r="6246" spans="1:3" x14ac:dyDescent="0.25">
      <c r="A6246" s="21" t="str">
        <f>IF(C6246="","",COUNTA($C$3:C6246))</f>
        <v/>
      </c>
      <c r="B6246" s="35" t="str">
        <f t="shared" si="113"/>
        <v/>
      </c>
      <c r="C6246" s="15"/>
    </row>
    <row r="6247" spans="1:3" x14ac:dyDescent="0.25">
      <c r="A6247" s="21" t="str">
        <f>IF(C6247="","",COUNTA($C$3:C6247))</f>
        <v/>
      </c>
      <c r="B6247" s="35" t="str">
        <f t="shared" si="113"/>
        <v/>
      </c>
      <c r="C6247" s="15"/>
    </row>
    <row r="6248" spans="1:3" x14ac:dyDescent="0.25">
      <c r="A6248" s="21" t="str">
        <f>IF(C6248="","",COUNTA($C$3:C6248))</f>
        <v/>
      </c>
      <c r="B6248" s="35" t="str">
        <f t="shared" si="113"/>
        <v/>
      </c>
      <c r="C6248" s="15"/>
    </row>
    <row r="6249" spans="1:3" x14ac:dyDescent="0.25">
      <c r="A6249" s="21" t="str">
        <f>IF(C6249="","",COUNTA($C$3:C6249))</f>
        <v/>
      </c>
      <c r="B6249" s="35" t="str">
        <f t="shared" si="113"/>
        <v/>
      </c>
      <c r="C6249" s="15"/>
    </row>
    <row r="6250" spans="1:3" x14ac:dyDescent="0.25">
      <c r="A6250" s="21" t="str">
        <f>IF(C6250="","",COUNTA($C$3:C6250))</f>
        <v/>
      </c>
      <c r="B6250" s="35" t="str">
        <f t="shared" si="113"/>
        <v/>
      </c>
      <c r="C6250" s="15"/>
    </row>
    <row r="6251" spans="1:3" x14ac:dyDescent="0.25">
      <c r="A6251" s="21" t="str">
        <f>IF(C6251="","",COUNTA($C$3:C6251))</f>
        <v/>
      </c>
      <c r="B6251" s="35" t="str">
        <f t="shared" si="113"/>
        <v/>
      </c>
      <c r="C6251" s="15"/>
    </row>
    <row r="6252" spans="1:3" x14ac:dyDescent="0.25">
      <c r="A6252" s="21" t="str">
        <f>IF(C6252="","",COUNTA($C$3:C6252))</f>
        <v/>
      </c>
      <c r="B6252" s="35" t="str">
        <f t="shared" si="113"/>
        <v/>
      </c>
      <c r="C6252" s="15"/>
    </row>
    <row r="6253" spans="1:3" x14ac:dyDescent="0.25">
      <c r="A6253" s="21" t="str">
        <f>IF(C6253="","",COUNTA($C$3:C6253))</f>
        <v/>
      </c>
      <c r="B6253" s="35" t="str">
        <f t="shared" si="113"/>
        <v/>
      </c>
      <c r="C6253" s="15"/>
    </row>
    <row r="6254" spans="1:3" x14ac:dyDescent="0.25">
      <c r="A6254" s="21" t="str">
        <f>IF(C6254="","",COUNTA($C$3:C6254))</f>
        <v/>
      </c>
      <c r="B6254" s="35" t="str">
        <f t="shared" si="113"/>
        <v/>
      </c>
      <c r="C6254" s="15"/>
    </row>
    <row r="6255" spans="1:3" x14ac:dyDescent="0.25">
      <c r="A6255" s="21" t="str">
        <f>IF(C6255="","",COUNTA($C$3:C6255))</f>
        <v/>
      </c>
      <c r="B6255" s="35" t="str">
        <f t="shared" si="113"/>
        <v/>
      </c>
      <c r="C6255" s="15"/>
    </row>
    <row r="6256" spans="1:3" x14ac:dyDescent="0.25">
      <c r="A6256" s="21" t="str">
        <f>IF(C6256="","",COUNTA($C$3:C6256))</f>
        <v/>
      </c>
      <c r="B6256" s="35" t="str">
        <f t="shared" si="113"/>
        <v/>
      </c>
      <c r="C6256" s="15"/>
    </row>
    <row r="6257" spans="1:3" x14ac:dyDescent="0.25">
      <c r="A6257" s="21" t="str">
        <f>IF(C6257="","",COUNTA($C$3:C6257))</f>
        <v/>
      </c>
      <c r="B6257" s="35" t="str">
        <f t="shared" si="113"/>
        <v/>
      </c>
      <c r="C6257" s="15"/>
    </row>
    <row r="6258" spans="1:3" x14ac:dyDescent="0.25">
      <c r="A6258" s="21" t="str">
        <f>IF(C6258="","",COUNTA($C$3:C6258))</f>
        <v/>
      </c>
      <c r="B6258" s="35" t="str">
        <f t="shared" si="113"/>
        <v/>
      </c>
      <c r="C6258" s="15"/>
    </row>
    <row r="6259" spans="1:3" x14ac:dyDescent="0.25">
      <c r="A6259" s="21" t="str">
        <f>IF(C6259="","",COUNTA($C$3:C6259))</f>
        <v/>
      </c>
      <c r="B6259" s="35" t="str">
        <f t="shared" si="113"/>
        <v/>
      </c>
      <c r="C6259" s="15"/>
    </row>
    <row r="6260" spans="1:3" x14ac:dyDescent="0.25">
      <c r="A6260" s="21" t="str">
        <f>IF(C6260="","",COUNTA($C$3:C6260))</f>
        <v/>
      </c>
      <c r="B6260" s="35" t="str">
        <f t="shared" si="113"/>
        <v/>
      </c>
      <c r="C6260" s="15"/>
    </row>
    <row r="6261" spans="1:3" x14ac:dyDescent="0.25">
      <c r="A6261" s="21" t="str">
        <f>IF(C6261="","",COUNTA($C$3:C6261))</f>
        <v/>
      </c>
      <c r="B6261" s="35" t="str">
        <f t="shared" si="113"/>
        <v/>
      </c>
      <c r="C6261" s="15"/>
    </row>
    <row r="6262" spans="1:3" x14ac:dyDescent="0.25">
      <c r="A6262" s="21" t="str">
        <f>IF(C6262="","",COUNTA($C$3:C6262))</f>
        <v/>
      </c>
      <c r="B6262" s="35" t="str">
        <f t="shared" si="113"/>
        <v/>
      </c>
      <c r="C6262" s="15"/>
    </row>
    <row r="6263" spans="1:3" x14ac:dyDescent="0.25">
      <c r="A6263" s="21" t="str">
        <f>IF(C6263="","",COUNTA($C$3:C6263))</f>
        <v/>
      </c>
      <c r="B6263" s="35" t="str">
        <f t="shared" si="113"/>
        <v/>
      </c>
      <c r="C6263" s="15"/>
    </row>
    <row r="6264" spans="1:3" x14ac:dyDescent="0.25">
      <c r="A6264" s="21" t="str">
        <f>IF(C6264="","",COUNTA($C$3:C6264))</f>
        <v/>
      </c>
      <c r="B6264" s="35" t="str">
        <f t="shared" si="113"/>
        <v/>
      </c>
      <c r="C6264" s="15"/>
    </row>
    <row r="6265" spans="1:3" x14ac:dyDescent="0.25">
      <c r="A6265" s="21" t="str">
        <f>IF(C6265="","",COUNTA($C$3:C6265))</f>
        <v/>
      </c>
      <c r="B6265" s="35" t="str">
        <f t="shared" si="113"/>
        <v/>
      </c>
      <c r="C6265" s="15"/>
    </row>
    <row r="6266" spans="1:3" x14ac:dyDescent="0.25">
      <c r="A6266" s="21" t="str">
        <f>IF(C6266="","",COUNTA($C$3:C6266))</f>
        <v/>
      </c>
      <c r="B6266" s="35" t="str">
        <f t="shared" si="113"/>
        <v/>
      </c>
      <c r="C6266" s="15"/>
    </row>
    <row r="6267" spans="1:3" x14ac:dyDescent="0.25">
      <c r="A6267" s="21" t="str">
        <f>IF(C6267="","",COUNTA($C$3:C6267))</f>
        <v/>
      </c>
      <c r="B6267" s="35" t="str">
        <f t="shared" si="113"/>
        <v/>
      </c>
      <c r="C6267" s="15"/>
    </row>
    <row r="6268" spans="1:3" x14ac:dyDescent="0.25">
      <c r="A6268" s="21" t="str">
        <f>IF(C6268="","",COUNTA($C$3:C6268))</f>
        <v/>
      </c>
      <c r="B6268" s="35" t="str">
        <f t="shared" si="113"/>
        <v/>
      </c>
      <c r="C6268" s="15"/>
    </row>
    <row r="6269" spans="1:3" x14ac:dyDescent="0.25">
      <c r="A6269" s="21" t="str">
        <f>IF(C6269="","",COUNTA($C$3:C6269))</f>
        <v/>
      </c>
      <c r="B6269" s="35" t="str">
        <f t="shared" si="113"/>
        <v/>
      </c>
      <c r="C6269" s="15"/>
    </row>
    <row r="6270" spans="1:3" x14ac:dyDescent="0.25">
      <c r="A6270" s="21" t="str">
        <f>IF(C6270="","",COUNTA($C$3:C6270))</f>
        <v/>
      </c>
      <c r="B6270" s="35" t="str">
        <f t="shared" si="113"/>
        <v/>
      </c>
      <c r="C6270" s="15"/>
    </row>
    <row r="6271" spans="1:3" x14ac:dyDescent="0.25">
      <c r="A6271" s="21" t="str">
        <f>IF(C6271="","",COUNTA($C$3:C6271))</f>
        <v/>
      </c>
      <c r="B6271" s="35" t="str">
        <f t="shared" si="113"/>
        <v/>
      </c>
      <c r="C6271" s="15"/>
    </row>
    <row r="6272" spans="1:3" x14ac:dyDescent="0.25">
      <c r="A6272" s="21" t="str">
        <f>IF(C6272="","",COUNTA($C$3:C6272))</f>
        <v/>
      </c>
      <c r="B6272" s="35" t="str">
        <f t="shared" si="113"/>
        <v/>
      </c>
      <c r="C6272" s="15"/>
    </row>
    <row r="6273" spans="1:3" x14ac:dyDescent="0.25">
      <c r="A6273" s="21" t="str">
        <f>IF(C6273="","",COUNTA($C$3:C6273))</f>
        <v/>
      </c>
      <c r="B6273" s="35" t="str">
        <f t="shared" si="113"/>
        <v/>
      </c>
      <c r="C6273" s="15"/>
    </row>
    <row r="6274" spans="1:3" x14ac:dyDescent="0.25">
      <c r="A6274" s="21" t="str">
        <f>IF(C6274="","",COUNTA($C$3:C6274))</f>
        <v/>
      </c>
      <c r="B6274" s="35" t="str">
        <f t="shared" si="113"/>
        <v/>
      </c>
      <c r="C6274" s="15"/>
    </row>
    <row r="6275" spans="1:3" x14ac:dyDescent="0.25">
      <c r="A6275" s="21" t="str">
        <f>IF(C6275="","",COUNTA($C$3:C6275))</f>
        <v/>
      </c>
      <c r="B6275" s="35" t="str">
        <f t="shared" si="113"/>
        <v/>
      </c>
      <c r="C6275" s="15"/>
    </row>
    <row r="6276" spans="1:3" x14ac:dyDescent="0.25">
      <c r="A6276" s="21" t="str">
        <f>IF(C6276="","",COUNTA($C$3:C6276))</f>
        <v/>
      </c>
      <c r="B6276" s="35" t="str">
        <f t="shared" si="113"/>
        <v/>
      </c>
      <c r="C6276" s="15"/>
    </row>
    <row r="6277" spans="1:3" x14ac:dyDescent="0.25">
      <c r="A6277" s="21" t="str">
        <f>IF(C6277="","",COUNTA($C$3:C6277))</f>
        <v/>
      </c>
      <c r="B6277" s="35" t="str">
        <f t="shared" ref="B6277:B6340" si="114">IF(C6277="","",TEXT(C6277,"mmmm"))</f>
        <v/>
      </c>
      <c r="C6277" s="15"/>
    </row>
    <row r="6278" spans="1:3" x14ac:dyDescent="0.25">
      <c r="A6278" s="21" t="str">
        <f>IF(C6278="","",COUNTA($C$3:C6278))</f>
        <v/>
      </c>
      <c r="B6278" s="35" t="str">
        <f t="shared" si="114"/>
        <v/>
      </c>
      <c r="C6278" s="15"/>
    </row>
    <row r="6279" spans="1:3" x14ac:dyDescent="0.25">
      <c r="A6279" s="21" t="str">
        <f>IF(C6279="","",COUNTA($C$3:C6279))</f>
        <v/>
      </c>
      <c r="B6279" s="35" t="str">
        <f t="shared" si="114"/>
        <v/>
      </c>
      <c r="C6279" s="15"/>
    </row>
    <row r="6280" spans="1:3" x14ac:dyDescent="0.25">
      <c r="A6280" s="21" t="str">
        <f>IF(C6280="","",COUNTA($C$3:C6280))</f>
        <v/>
      </c>
      <c r="B6280" s="35" t="str">
        <f t="shared" si="114"/>
        <v/>
      </c>
      <c r="C6280" s="15"/>
    </row>
    <row r="6281" spans="1:3" x14ac:dyDescent="0.25">
      <c r="A6281" s="21" t="str">
        <f>IF(C6281="","",COUNTA($C$3:C6281))</f>
        <v/>
      </c>
      <c r="B6281" s="35" t="str">
        <f t="shared" si="114"/>
        <v/>
      </c>
      <c r="C6281" s="15"/>
    </row>
    <row r="6282" spans="1:3" x14ac:dyDescent="0.25">
      <c r="A6282" s="21" t="str">
        <f>IF(C6282="","",COUNTA($C$3:C6282))</f>
        <v/>
      </c>
      <c r="B6282" s="35" t="str">
        <f t="shared" si="114"/>
        <v/>
      </c>
      <c r="C6282" s="15"/>
    </row>
    <row r="6283" spans="1:3" x14ac:dyDescent="0.25">
      <c r="A6283" s="21" t="str">
        <f>IF(C6283="","",COUNTA($C$3:C6283))</f>
        <v/>
      </c>
      <c r="B6283" s="35" t="str">
        <f t="shared" si="114"/>
        <v/>
      </c>
      <c r="C6283" s="15"/>
    </row>
    <row r="6284" spans="1:3" x14ac:dyDescent="0.25">
      <c r="A6284" s="21" t="str">
        <f>IF(C6284="","",COUNTA($C$3:C6284))</f>
        <v/>
      </c>
      <c r="B6284" s="35" t="str">
        <f t="shared" si="114"/>
        <v/>
      </c>
      <c r="C6284" s="15"/>
    </row>
    <row r="6285" spans="1:3" x14ac:dyDescent="0.25">
      <c r="A6285" s="21" t="str">
        <f>IF(C6285="","",COUNTA($C$3:C6285))</f>
        <v/>
      </c>
      <c r="B6285" s="35" t="str">
        <f t="shared" si="114"/>
        <v/>
      </c>
      <c r="C6285" s="15"/>
    </row>
    <row r="6286" spans="1:3" x14ac:dyDescent="0.25">
      <c r="A6286" s="21" t="str">
        <f>IF(C6286="","",COUNTA($C$3:C6286))</f>
        <v/>
      </c>
      <c r="B6286" s="35" t="str">
        <f t="shared" si="114"/>
        <v/>
      </c>
      <c r="C6286" s="15"/>
    </row>
    <row r="6287" spans="1:3" x14ac:dyDescent="0.25">
      <c r="A6287" s="21" t="str">
        <f>IF(C6287="","",COUNTA($C$3:C6287))</f>
        <v/>
      </c>
      <c r="B6287" s="35" t="str">
        <f t="shared" si="114"/>
        <v/>
      </c>
      <c r="C6287" s="15"/>
    </row>
    <row r="6288" spans="1:3" x14ac:dyDescent="0.25">
      <c r="A6288" s="21" t="str">
        <f>IF(C6288="","",COUNTA($C$3:C6288))</f>
        <v/>
      </c>
      <c r="B6288" s="35" t="str">
        <f t="shared" si="114"/>
        <v/>
      </c>
      <c r="C6288" s="15"/>
    </row>
    <row r="6289" spans="1:3" x14ac:dyDescent="0.25">
      <c r="A6289" s="21" t="str">
        <f>IF(C6289="","",COUNTA($C$3:C6289))</f>
        <v/>
      </c>
      <c r="B6289" s="35" t="str">
        <f t="shared" si="114"/>
        <v/>
      </c>
      <c r="C6289" s="15"/>
    </row>
    <row r="6290" spans="1:3" x14ac:dyDescent="0.25">
      <c r="A6290" s="21" t="str">
        <f>IF(C6290="","",COUNTA($C$3:C6290))</f>
        <v/>
      </c>
      <c r="B6290" s="35" t="str">
        <f t="shared" si="114"/>
        <v/>
      </c>
      <c r="C6290" s="15"/>
    </row>
    <row r="6291" spans="1:3" x14ac:dyDescent="0.25">
      <c r="A6291" s="21" t="str">
        <f>IF(C6291="","",COUNTA($C$3:C6291))</f>
        <v/>
      </c>
      <c r="B6291" s="35" t="str">
        <f t="shared" si="114"/>
        <v/>
      </c>
      <c r="C6291" s="15"/>
    </row>
    <row r="6292" spans="1:3" x14ac:dyDescent="0.25">
      <c r="A6292" s="21" t="str">
        <f>IF(C6292="","",COUNTA($C$3:C6292))</f>
        <v/>
      </c>
      <c r="B6292" s="35" t="str">
        <f t="shared" si="114"/>
        <v/>
      </c>
      <c r="C6292" s="15"/>
    </row>
    <row r="6293" spans="1:3" x14ac:dyDescent="0.25">
      <c r="A6293" s="21" t="str">
        <f>IF(C6293="","",COUNTA($C$3:C6293))</f>
        <v/>
      </c>
      <c r="B6293" s="35" t="str">
        <f t="shared" si="114"/>
        <v/>
      </c>
      <c r="C6293" s="15"/>
    </row>
    <row r="6294" spans="1:3" x14ac:dyDescent="0.25">
      <c r="A6294" s="21" t="str">
        <f>IF(C6294="","",COUNTA($C$3:C6294))</f>
        <v/>
      </c>
      <c r="B6294" s="35" t="str">
        <f t="shared" si="114"/>
        <v/>
      </c>
      <c r="C6294" s="15"/>
    </row>
    <row r="6295" spans="1:3" x14ac:dyDescent="0.25">
      <c r="A6295" s="21" t="str">
        <f>IF(C6295="","",COUNTA($C$3:C6295))</f>
        <v/>
      </c>
      <c r="B6295" s="35" t="str">
        <f t="shared" si="114"/>
        <v/>
      </c>
      <c r="C6295" s="15"/>
    </row>
    <row r="6296" spans="1:3" x14ac:dyDescent="0.25">
      <c r="A6296" s="21" t="str">
        <f>IF(C6296="","",COUNTA($C$3:C6296))</f>
        <v/>
      </c>
      <c r="B6296" s="35" t="str">
        <f t="shared" si="114"/>
        <v/>
      </c>
      <c r="C6296" s="15"/>
    </row>
    <row r="6297" spans="1:3" x14ac:dyDescent="0.25">
      <c r="A6297" s="21" t="str">
        <f>IF(C6297="","",COUNTA($C$3:C6297))</f>
        <v/>
      </c>
      <c r="B6297" s="35" t="str">
        <f t="shared" si="114"/>
        <v/>
      </c>
      <c r="C6297" s="15"/>
    </row>
    <row r="6298" spans="1:3" x14ac:dyDescent="0.25">
      <c r="A6298" s="21" t="str">
        <f>IF(C6298="","",COUNTA($C$3:C6298))</f>
        <v/>
      </c>
      <c r="B6298" s="35" t="str">
        <f t="shared" si="114"/>
        <v/>
      </c>
      <c r="C6298" s="15"/>
    </row>
    <row r="6299" spans="1:3" x14ac:dyDescent="0.25">
      <c r="A6299" s="21" t="str">
        <f>IF(C6299="","",COUNTA($C$3:C6299))</f>
        <v/>
      </c>
      <c r="B6299" s="35" t="str">
        <f t="shared" si="114"/>
        <v/>
      </c>
      <c r="C6299" s="15"/>
    </row>
    <row r="6300" spans="1:3" x14ac:dyDescent="0.25">
      <c r="A6300" s="21" t="str">
        <f>IF(C6300="","",COUNTA($C$3:C6300))</f>
        <v/>
      </c>
      <c r="B6300" s="35" t="str">
        <f t="shared" si="114"/>
        <v/>
      </c>
      <c r="C6300" s="15"/>
    </row>
    <row r="6301" spans="1:3" x14ac:dyDescent="0.25">
      <c r="A6301" s="21" t="str">
        <f>IF(C6301="","",COUNTA($C$3:C6301))</f>
        <v/>
      </c>
      <c r="B6301" s="35" t="str">
        <f t="shared" si="114"/>
        <v/>
      </c>
      <c r="C6301" s="15"/>
    </row>
    <row r="6302" spans="1:3" x14ac:dyDescent="0.25">
      <c r="A6302" s="21" t="str">
        <f>IF(C6302="","",COUNTA($C$3:C6302))</f>
        <v/>
      </c>
      <c r="B6302" s="35" t="str">
        <f t="shared" si="114"/>
        <v/>
      </c>
      <c r="C6302" s="15"/>
    </row>
    <row r="6303" spans="1:3" x14ac:dyDescent="0.25">
      <c r="A6303" s="21" t="str">
        <f>IF(C6303="","",COUNTA($C$3:C6303))</f>
        <v/>
      </c>
      <c r="B6303" s="35" t="str">
        <f t="shared" si="114"/>
        <v/>
      </c>
      <c r="C6303" s="15"/>
    </row>
    <row r="6304" spans="1:3" x14ac:dyDescent="0.25">
      <c r="A6304" s="21" t="str">
        <f>IF(C6304="","",COUNTA($C$3:C6304))</f>
        <v/>
      </c>
      <c r="B6304" s="35" t="str">
        <f t="shared" si="114"/>
        <v/>
      </c>
      <c r="C6304" s="15"/>
    </row>
    <row r="6305" spans="1:3" x14ac:dyDescent="0.25">
      <c r="A6305" s="21" t="str">
        <f>IF(C6305="","",COUNTA($C$3:C6305))</f>
        <v/>
      </c>
      <c r="B6305" s="35" t="str">
        <f t="shared" si="114"/>
        <v/>
      </c>
      <c r="C6305" s="15"/>
    </row>
    <row r="6306" spans="1:3" x14ac:dyDescent="0.25">
      <c r="A6306" s="21" t="str">
        <f>IF(C6306="","",COUNTA($C$3:C6306))</f>
        <v/>
      </c>
      <c r="B6306" s="35" t="str">
        <f t="shared" si="114"/>
        <v/>
      </c>
      <c r="C6306" s="15"/>
    </row>
    <row r="6307" spans="1:3" x14ac:dyDescent="0.25">
      <c r="A6307" s="21" t="str">
        <f>IF(C6307="","",COUNTA($C$3:C6307))</f>
        <v/>
      </c>
      <c r="B6307" s="35" t="str">
        <f t="shared" si="114"/>
        <v/>
      </c>
      <c r="C6307" s="15"/>
    </row>
    <row r="6308" spans="1:3" x14ac:dyDescent="0.25">
      <c r="A6308" s="21" t="str">
        <f>IF(C6308="","",COUNTA($C$3:C6308))</f>
        <v/>
      </c>
      <c r="B6308" s="35" t="str">
        <f t="shared" si="114"/>
        <v/>
      </c>
      <c r="C6308" s="15"/>
    </row>
    <row r="6309" spans="1:3" x14ac:dyDescent="0.25">
      <c r="A6309" s="21" t="str">
        <f>IF(C6309="","",COUNTA($C$3:C6309))</f>
        <v/>
      </c>
      <c r="B6309" s="35" t="str">
        <f t="shared" si="114"/>
        <v/>
      </c>
      <c r="C6309" s="15"/>
    </row>
    <row r="6310" spans="1:3" x14ac:dyDescent="0.25">
      <c r="A6310" s="21" t="str">
        <f>IF(C6310="","",COUNTA($C$3:C6310))</f>
        <v/>
      </c>
      <c r="B6310" s="35" t="str">
        <f t="shared" si="114"/>
        <v/>
      </c>
      <c r="C6310" s="15"/>
    </row>
    <row r="6311" spans="1:3" x14ac:dyDescent="0.25">
      <c r="A6311" s="21" t="str">
        <f>IF(C6311="","",COUNTA($C$3:C6311))</f>
        <v/>
      </c>
      <c r="B6311" s="35" t="str">
        <f t="shared" si="114"/>
        <v/>
      </c>
      <c r="C6311" s="15"/>
    </row>
    <row r="6312" spans="1:3" x14ac:dyDescent="0.25">
      <c r="A6312" s="21" t="str">
        <f>IF(C6312="","",COUNTA($C$3:C6312))</f>
        <v/>
      </c>
      <c r="B6312" s="35" t="str">
        <f t="shared" si="114"/>
        <v/>
      </c>
      <c r="C6312" s="15"/>
    </row>
    <row r="6313" spans="1:3" x14ac:dyDescent="0.25">
      <c r="A6313" s="21" t="str">
        <f>IF(C6313="","",COUNTA($C$3:C6313))</f>
        <v/>
      </c>
      <c r="B6313" s="35" t="str">
        <f t="shared" si="114"/>
        <v/>
      </c>
      <c r="C6313" s="15"/>
    </row>
    <row r="6314" spans="1:3" x14ac:dyDescent="0.25">
      <c r="A6314" s="21" t="str">
        <f>IF(C6314="","",COUNTA($C$3:C6314))</f>
        <v/>
      </c>
      <c r="B6314" s="35" t="str">
        <f t="shared" si="114"/>
        <v/>
      </c>
      <c r="C6314" s="15"/>
    </row>
    <row r="6315" spans="1:3" x14ac:dyDescent="0.25">
      <c r="A6315" s="21" t="str">
        <f>IF(C6315="","",COUNTA($C$3:C6315))</f>
        <v/>
      </c>
      <c r="B6315" s="35" t="str">
        <f t="shared" si="114"/>
        <v/>
      </c>
      <c r="C6315" s="15"/>
    </row>
    <row r="6316" spans="1:3" x14ac:dyDescent="0.25">
      <c r="A6316" s="21" t="str">
        <f>IF(C6316="","",COUNTA($C$3:C6316))</f>
        <v/>
      </c>
      <c r="B6316" s="35" t="str">
        <f t="shared" si="114"/>
        <v/>
      </c>
      <c r="C6316" s="15"/>
    </row>
    <row r="6317" spans="1:3" x14ac:dyDescent="0.25">
      <c r="A6317" s="21" t="str">
        <f>IF(C6317="","",COUNTA($C$3:C6317))</f>
        <v/>
      </c>
      <c r="B6317" s="35" t="str">
        <f t="shared" si="114"/>
        <v/>
      </c>
      <c r="C6317" s="15"/>
    </row>
    <row r="6318" spans="1:3" x14ac:dyDescent="0.25">
      <c r="A6318" s="21" t="str">
        <f>IF(C6318="","",COUNTA($C$3:C6318))</f>
        <v/>
      </c>
      <c r="B6318" s="35" t="str">
        <f t="shared" si="114"/>
        <v/>
      </c>
      <c r="C6318" s="15"/>
    </row>
    <row r="6319" spans="1:3" x14ac:dyDescent="0.25">
      <c r="A6319" s="21" t="str">
        <f>IF(C6319="","",COUNTA($C$3:C6319))</f>
        <v/>
      </c>
      <c r="B6319" s="35" t="str">
        <f t="shared" si="114"/>
        <v/>
      </c>
      <c r="C6319" s="15"/>
    </row>
    <row r="6320" spans="1:3" x14ac:dyDescent="0.25">
      <c r="A6320" s="21" t="str">
        <f>IF(C6320="","",COUNTA($C$3:C6320))</f>
        <v/>
      </c>
      <c r="B6320" s="35" t="str">
        <f t="shared" si="114"/>
        <v/>
      </c>
      <c r="C6320" s="15"/>
    </row>
    <row r="6321" spans="1:3" x14ac:dyDescent="0.25">
      <c r="A6321" s="21" t="str">
        <f>IF(C6321="","",COUNTA($C$3:C6321))</f>
        <v/>
      </c>
      <c r="B6321" s="35" t="str">
        <f t="shared" si="114"/>
        <v/>
      </c>
      <c r="C6321" s="15"/>
    </row>
    <row r="6322" spans="1:3" x14ac:dyDescent="0.25">
      <c r="A6322" s="21" t="str">
        <f>IF(C6322="","",COUNTA($C$3:C6322))</f>
        <v/>
      </c>
      <c r="B6322" s="35" t="str">
        <f t="shared" si="114"/>
        <v/>
      </c>
      <c r="C6322" s="15"/>
    </row>
    <row r="6323" spans="1:3" x14ac:dyDescent="0.25">
      <c r="A6323" s="21" t="str">
        <f>IF(C6323="","",COUNTA($C$3:C6323))</f>
        <v/>
      </c>
      <c r="B6323" s="35" t="str">
        <f t="shared" si="114"/>
        <v/>
      </c>
      <c r="C6323" s="15"/>
    </row>
    <row r="6324" spans="1:3" x14ac:dyDescent="0.25">
      <c r="A6324" s="21" t="str">
        <f>IF(C6324="","",COUNTA($C$3:C6324))</f>
        <v/>
      </c>
      <c r="B6324" s="35" t="str">
        <f t="shared" si="114"/>
        <v/>
      </c>
      <c r="C6324" s="15"/>
    </row>
    <row r="6325" spans="1:3" x14ac:dyDescent="0.25">
      <c r="A6325" s="21" t="str">
        <f>IF(C6325="","",COUNTA($C$3:C6325))</f>
        <v/>
      </c>
      <c r="B6325" s="35" t="str">
        <f t="shared" si="114"/>
        <v/>
      </c>
      <c r="C6325" s="15"/>
    </row>
    <row r="6326" spans="1:3" x14ac:dyDescent="0.25">
      <c r="A6326" s="21" t="str">
        <f>IF(C6326="","",COUNTA($C$3:C6326))</f>
        <v/>
      </c>
      <c r="B6326" s="35" t="str">
        <f t="shared" si="114"/>
        <v/>
      </c>
      <c r="C6326" s="15"/>
    </row>
    <row r="6327" spans="1:3" x14ac:dyDescent="0.25">
      <c r="A6327" s="21" t="str">
        <f>IF(C6327="","",COUNTA($C$3:C6327))</f>
        <v/>
      </c>
      <c r="B6327" s="35" t="str">
        <f t="shared" si="114"/>
        <v/>
      </c>
      <c r="C6327" s="15"/>
    </row>
    <row r="6328" spans="1:3" x14ac:dyDescent="0.25">
      <c r="A6328" s="21" t="str">
        <f>IF(C6328="","",COUNTA($C$3:C6328))</f>
        <v/>
      </c>
      <c r="B6328" s="35" t="str">
        <f t="shared" si="114"/>
        <v/>
      </c>
      <c r="C6328" s="15"/>
    </row>
    <row r="6329" spans="1:3" x14ac:dyDescent="0.25">
      <c r="A6329" s="21" t="str">
        <f>IF(C6329="","",COUNTA($C$3:C6329))</f>
        <v/>
      </c>
      <c r="B6329" s="35" t="str">
        <f t="shared" si="114"/>
        <v/>
      </c>
      <c r="C6329" s="15"/>
    </row>
    <row r="6330" spans="1:3" x14ac:dyDescent="0.25">
      <c r="A6330" s="21" t="str">
        <f>IF(C6330="","",COUNTA($C$3:C6330))</f>
        <v/>
      </c>
      <c r="B6330" s="35" t="str">
        <f t="shared" si="114"/>
        <v/>
      </c>
      <c r="C6330" s="15"/>
    </row>
    <row r="6331" spans="1:3" x14ac:dyDescent="0.25">
      <c r="A6331" s="21" t="str">
        <f>IF(C6331="","",COUNTA($C$3:C6331))</f>
        <v/>
      </c>
      <c r="B6331" s="35" t="str">
        <f t="shared" si="114"/>
        <v/>
      </c>
      <c r="C6331" s="15"/>
    </row>
    <row r="6332" spans="1:3" x14ac:dyDescent="0.25">
      <c r="A6332" s="21" t="str">
        <f>IF(C6332="","",COUNTA($C$3:C6332))</f>
        <v/>
      </c>
      <c r="B6332" s="35" t="str">
        <f t="shared" si="114"/>
        <v/>
      </c>
      <c r="C6332" s="15"/>
    </row>
    <row r="6333" spans="1:3" x14ac:dyDescent="0.25">
      <c r="A6333" s="21" t="str">
        <f>IF(C6333="","",COUNTA($C$3:C6333))</f>
        <v/>
      </c>
      <c r="B6333" s="35" t="str">
        <f t="shared" si="114"/>
        <v/>
      </c>
      <c r="C6333" s="15"/>
    </row>
    <row r="6334" spans="1:3" x14ac:dyDescent="0.25">
      <c r="A6334" s="21" t="str">
        <f>IF(C6334="","",COUNTA($C$3:C6334))</f>
        <v/>
      </c>
      <c r="B6334" s="35" t="str">
        <f t="shared" si="114"/>
        <v/>
      </c>
      <c r="C6334" s="15"/>
    </row>
    <row r="6335" spans="1:3" x14ac:dyDescent="0.25">
      <c r="A6335" s="21" t="str">
        <f>IF(C6335="","",COUNTA($C$3:C6335))</f>
        <v/>
      </c>
      <c r="B6335" s="35" t="str">
        <f t="shared" si="114"/>
        <v/>
      </c>
      <c r="C6335" s="15"/>
    </row>
    <row r="6336" spans="1:3" x14ac:dyDescent="0.25">
      <c r="A6336" s="21" t="str">
        <f>IF(C6336="","",COUNTA($C$3:C6336))</f>
        <v/>
      </c>
      <c r="B6336" s="35" t="str">
        <f t="shared" si="114"/>
        <v/>
      </c>
      <c r="C6336" s="15"/>
    </row>
    <row r="6337" spans="1:3" x14ac:dyDescent="0.25">
      <c r="A6337" s="21" t="str">
        <f>IF(C6337="","",COUNTA($C$3:C6337))</f>
        <v/>
      </c>
      <c r="B6337" s="35" t="str">
        <f t="shared" si="114"/>
        <v/>
      </c>
      <c r="C6337" s="15"/>
    </row>
    <row r="6338" spans="1:3" x14ac:dyDescent="0.25">
      <c r="A6338" s="21" t="str">
        <f>IF(C6338="","",COUNTA($C$3:C6338))</f>
        <v/>
      </c>
      <c r="B6338" s="35" t="str">
        <f t="shared" si="114"/>
        <v/>
      </c>
      <c r="C6338" s="15"/>
    </row>
    <row r="6339" spans="1:3" x14ac:dyDescent="0.25">
      <c r="A6339" s="21" t="str">
        <f>IF(C6339="","",COUNTA($C$3:C6339))</f>
        <v/>
      </c>
      <c r="B6339" s="35" t="str">
        <f t="shared" si="114"/>
        <v/>
      </c>
      <c r="C6339" s="15"/>
    </row>
    <row r="6340" spans="1:3" x14ac:dyDescent="0.25">
      <c r="A6340" s="21" t="str">
        <f>IF(C6340="","",COUNTA($C$3:C6340))</f>
        <v/>
      </c>
      <c r="B6340" s="35" t="str">
        <f t="shared" si="114"/>
        <v/>
      </c>
      <c r="C6340" s="15"/>
    </row>
    <row r="6341" spans="1:3" x14ac:dyDescent="0.25">
      <c r="A6341" s="21" t="str">
        <f>IF(C6341="","",COUNTA($C$3:C6341))</f>
        <v/>
      </c>
      <c r="B6341" s="35" t="str">
        <f t="shared" ref="B6341:B6404" si="115">IF(C6341="","",TEXT(C6341,"mmmm"))</f>
        <v/>
      </c>
      <c r="C6341" s="15"/>
    </row>
    <row r="6342" spans="1:3" x14ac:dyDescent="0.25">
      <c r="A6342" s="21" t="str">
        <f>IF(C6342="","",COUNTA($C$3:C6342))</f>
        <v/>
      </c>
      <c r="B6342" s="35" t="str">
        <f t="shared" si="115"/>
        <v/>
      </c>
      <c r="C6342" s="15"/>
    </row>
    <row r="6343" spans="1:3" x14ac:dyDescent="0.25">
      <c r="A6343" s="21" t="str">
        <f>IF(C6343="","",COUNTA($C$3:C6343))</f>
        <v/>
      </c>
      <c r="B6343" s="35" t="str">
        <f t="shared" si="115"/>
        <v/>
      </c>
      <c r="C6343" s="15"/>
    </row>
    <row r="6344" spans="1:3" x14ac:dyDescent="0.25">
      <c r="A6344" s="21" t="str">
        <f>IF(C6344="","",COUNTA($C$3:C6344))</f>
        <v/>
      </c>
      <c r="B6344" s="35" t="str">
        <f t="shared" si="115"/>
        <v/>
      </c>
      <c r="C6344" s="15"/>
    </row>
    <row r="6345" spans="1:3" x14ac:dyDescent="0.25">
      <c r="A6345" s="21" t="str">
        <f>IF(C6345="","",COUNTA($C$3:C6345))</f>
        <v/>
      </c>
      <c r="B6345" s="35" t="str">
        <f t="shared" si="115"/>
        <v/>
      </c>
      <c r="C6345" s="15"/>
    </row>
    <row r="6346" spans="1:3" x14ac:dyDescent="0.25">
      <c r="A6346" s="21" t="str">
        <f>IF(C6346="","",COUNTA($C$3:C6346))</f>
        <v/>
      </c>
      <c r="B6346" s="35" t="str">
        <f t="shared" si="115"/>
        <v/>
      </c>
      <c r="C6346" s="15"/>
    </row>
    <row r="6347" spans="1:3" x14ac:dyDescent="0.25">
      <c r="A6347" s="21" t="str">
        <f>IF(C6347="","",COUNTA($C$3:C6347))</f>
        <v/>
      </c>
      <c r="B6347" s="35" t="str">
        <f t="shared" si="115"/>
        <v/>
      </c>
      <c r="C6347" s="15"/>
    </row>
    <row r="6348" spans="1:3" x14ac:dyDescent="0.25">
      <c r="A6348" s="21" t="str">
        <f>IF(C6348="","",COUNTA($C$3:C6348))</f>
        <v/>
      </c>
      <c r="B6348" s="35" t="str">
        <f t="shared" si="115"/>
        <v/>
      </c>
      <c r="C6348" s="15"/>
    </row>
    <row r="6349" spans="1:3" x14ac:dyDescent="0.25">
      <c r="A6349" s="21" t="str">
        <f>IF(C6349="","",COUNTA($C$3:C6349))</f>
        <v/>
      </c>
      <c r="B6349" s="35" t="str">
        <f t="shared" si="115"/>
        <v/>
      </c>
      <c r="C6349" s="15"/>
    </row>
    <row r="6350" spans="1:3" x14ac:dyDescent="0.25">
      <c r="A6350" s="21" t="str">
        <f>IF(C6350="","",COUNTA($C$3:C6350))</f>
        <v/>
      </c>
      <c r="B6350" s="35" t="str">
        <f t="shared" si="115"/>
        <v/>
      </c>
      <c r="C6350" s="15"/>
    </row>
    <row r="6351" spans="1:3" x14ac:dyDescent="0.25">
      <c r="A6351" s="21" t="str">
        <f>IF(C6351="","",COUNTA($C$3:C6351))</f>
        <v/>
      </c>
      <c r="B6351" s="35" t="str">
        <f t="shared" si="115"/>
        <v/>
      </c>
      <c r="C6351" s="15"/>
    </row>
    <row r="6352" spans="1:3" x14ac:dyDescent="0.25">
      <c r="A6352" s="21" t="str">
        <f>IF(C6352="","",COUNTA($C$3:C6352))</f>
        <v/>
      </c>
      <c r="B6352" s="35" t="str">
        <f t="shared" si="115"/>
        <v/>
      </c>
      <c r="C6352" s="15"/>
    </row>
    <row r="6353" spans="1:3" x14ac:dyDescent="0.25">
      <c r="A6353" s="21" t="str">
        <f>IF(C6353="","",COUNTA($C$3:C6353))</f>
        <v/>
      </c>
      <c r="B6353" s="35" t="str">
        <f t="shared" si="115"/>
        <v/>
      </c>
      <c r="C6353" s="15"/>
    </row>
    <row r="6354" spans="1:3" x14ac:dyDescent="0.25">
      <c r="A6354" s="21" t="str">
        <f>IF(C6354="","",COUNTA($C$3:C6354))</f>
        <v/>
      </c>
      <c r="B6354" s="35" t="str">
        <f t="shared" si="115"/>
        <v/>
      </c>
      <c r="C6354" s="15"/>
    </row>
    <row r="6355" spans="1:3" x14ac:dyDescent="0.25">
      <c r="A6355" s="21" t="str">
        <f>IF(C6355="","",COUNTA($C$3:C6355))</f>
        <v/>
      </c>
      <c r="B6355" s="35" t="str">
        <f t="shared" si="115"/>
        <v/>
      </c>
      <c r="C6355" s="15"/>
    </row>
    <row r="6356" spans="1:3" x14ac:dyDescent="0.25">
      <c r="A6356" s="21" t="str">
        <f>IF(C6356="","",COUNTA($C$3:C6356))</f>
        <v/>
      </c>
      <c r="B6356" s="35" t="str">
        <f t="shared" si="115"/>
        <v/>
      </c>
      <c r="C6356" s="15"/>
    </row>
    <row r="6357" spans="1:3" x14ac:dyDescent="0.25">
      <c r="A6357" s="21" t="str">
        <f>IF(C6357="","",COUNTA($C$3:C6357))</f>
        <v/>
      </c>
      <c r="B6357" s="35" t="str">
        <f t="shared" si="115"/>
        <v/>
      </c>
      <c r="C6357" s="15"/>
    </row>
    <row r="6358" spans="1:3" x14ac:dyDescent="0.25">
      <c r="A6358" s="21" t="str">
        <f>IF(C6358="","",COUNTA($C$3:C6358))</f>
        <v/>
      </c>
      <c r="B6358" s="35" t="str">
        <f t="shared" si="115"/>
        <v/>
      </c>
      <c r="C6358" s="15"/>
    </row>
    <row r="6359" spans="1:3" x14ac:dyDescent="0.25">
      <c r="A6359" s="21" t="str">
        <f>IF(C6359="","",COUNTA($C$3:C6359))</f>
        <v/>
      </c>
      <c r="B6359" s="35" t="str">
        <f t="shared" si="115"/>
        <v/>
      </c>
      <c r="C6359" s="15"/>
    </row>
    <row r="6360" spans="1:3" x14ac:dyDescent="0.25">
      <c r="A6360" s="21" t="str">
        <f>IF(C6360="","",COUNTA($C$3:C6360))</f>
        <v/>
      </c>
      <c r="B6360" s="35" t="str">
        <f t="shared" si="115"/>
        <v/>
      </c>
      <c r="C6360" s="15"/>
    </row>
    <row r="6361" spans="1:3" x14ac:dyDescent="0.25">
      <c r="A6361" s="21" t="str">
        <f>IF(C6361="","",COUNTA($C$3:C6361))</f>
        <v/>
      </c>
      <c r="B6361" s="35" t="str">
        <f t="shared" si="115"/>
        <v/>
      </c>
      <c r="C6361" s="15"/>
    </row>
    <row r="6362" spans="1:3" x14ac:dyDescent="0.25">
      <c r="A6362" s="21" t="str">
        <f>IF(C6362="","",COUNTA($C$3:C6362))</f>
        <v/>
      </c>
      <c r="B6362" s="35" t="str">
        <f t="shared" si="115"/>
        <v/>
      </c>
      <c r="C6362" s="15"/>
    </row>
    <row r="6363" spans="1:3" x14ac:dyDescent="0.25">
      <c r="A6363" s="21" t="str">
        <f>IF(C6363="","",COUNTA($C$3:C6363))</f>
        <v/>
      </c>
      <c r="B6363" s="35" t="str">
        <f t="shared" si="115"/>
        <v/>
      </c>
      <c r="C6363" s="15"/>
    </row>
    <row r="6364" spans="1:3" x14ac:dyDescent="0.25">
      <c r="A6364" s="21" t="str">
        <f>IF(C6364="","",COUNTA($C$3:C6364))</f>
        <v/>
      </c>
      <c r="B6364" s="35" t="str">
        <f t="shared" si="115"/>
        <v/>
      </c>
      <c r="C6364" s="15"/>
    </row>
    <row r="6365" spans="1:3" x14ac:dyDescent="0.25">
      <c r="A6365" s="21" t="str">
        <f>IF(C6365="","",COUNTA($C$3:C6365))</f>
        <v/>
      </c>
      <c r="B6365" s="35" t="str">
        <f t="shared" si="115"/>
        <v/>
      </c>
      <c r="C6365" s="15"/>
    </row>
    <row r="6366" spans="1:3" x14ac:dyDescent="0.25">
      <c r="A6366" s="21" t="str">
        <f>IF(C6366="","",COUNTA($C$3:C6366))</f>
        <v/>
      </c>
      <c r="B6366" s="35" t="str">
        <f t="shared" si="115"/>
        <v/>
      </c>
      <c r="C6366" s="15"/>
    </row>
    <row r="6367" spans="1:3" x14ac:dyDescent="0.25">
      <c r="A6367" s="21" t="str">
        <f>IF(C6367="","",COUNTA($C$3:C6367))</f>
        <v/>
      </c>
      <c r="B6367" s="35" t="str">
        <f t="shared" si="115"/>
        <v/>
      </c>
      <c r="C6367" s="15"/>
    </row>
    <row r="6368" spans="1:3" x14ac:dyDescent="0.25">
      <c r="A6368" s="21" t="str">
        <f>IF(C6368="","",COUNTA($C$3:C6368))</f>
        <v/>
      </c>
      <c r="B6368" s="35" t="str">
        <f t="shared" si="115"/>
        <v/>
      </c>
      <c r="C6368" s="15"/>
    </row>
    <row r="6369" spans="1:3" x14ac:dyDescent="0.25">
      <c r="A6369" s="21" t="str">
        <f>IF(C6369="","",COUNTA($C$3:C6369))</f>
        <v/>
      </c>
      <c r="B6369" s="35" t="str">
        <f t="shared" si="115"/>
        <v/>
      </c>
      <c r="C6369" s="15"/>
    </row>
    <row r="6370" spans="1:3" x14ac:dyDescent="0.25">
      <c r="A6370" s="21" t="str">
        <f>IF(C6370="","",COUNTA($C$3:C6370))</f>
        <v/>
      </c>
      <c r="B6370" s="35" t="str">
        <f t="shared" si="115"/>
        <v/>
      </c>
      <c r="C6370" s="15"/>
    </row>
    <row r="6371" spans="1:3" x14ac:dyDescent="0.25">
      <c r="A6371" s="21" t="str">
        <f>IF(C6371="","",COUNTA($C$3:C6371))</f>
        <v/>
      </c>
      <c r="B6371" s="35" t="str">
        <f t="shared" si="115"/>
        <v/>
      </c>
      <c r="C6371" s="15"/>
    </row>
    <row r="6372" spans="1:3" x14ac:dyDescent="0.25">
      <c r="A6372" s="21" t="str">
        <f>IF(C6372="","",COUNTA($C$3:C6372))</f>
        <v/>
      </c>
      <c r="B6372" s="35" t="str">
        <f t="shared" si="115"/>
        <v/>
      </c>
      <c r="C6372" s="15"/>
    </row>
    <row r="6373" spans="1:3" x14ac:dyDescent="0.25">
      <c r="A6373" s="21" t="str">
        <f>IF(C6373="","",COUNTA($C$3:C6373))</f>
        <v/>
      </c>
      <c r="B6373" s="35" t="str">
        <f t="shared" si="115"/>
        <v/>
      </c>
      <c r="C6373" s="15"/>
    </row>
    <row r="6374" spans="1:3" x14ac:dyDescent="0.25">
      <c r="A6374" s="21" t="str">
        <f>IF(C6374="","",COUNTA($C$3:C6374))</f>
        <v/>
      </c>
      <c r="B6374" s="35" t="str">
        <f t="shared" si="115"/>
        <v/>
      </c>
      <c r="C6374" s="15"/>
    </row>
    <row r="6375" spans="1:3" x14ac:dyDescent="0.25">
      <c r="A6375" s="21" t="str">
        <f>IF(C6375="","",COUNTA($C$3:C6375))</f>
        <v/>
      </c>
      <c r="B6375" s="35" t="str">
        <f t="shared" si="115"/>
        <v/>
      </c>
      <c r="C6375" s="15"/>
    </row>
    <row r="6376" spans="1:3" x14ac:dyDescent="0.25">
      <c r="A6376" s="21" t="str">
        <f>IF(C6376="","",COUNTA($C$3:C6376))</f>
        <v/>
      </c>
      <c r="B6376" s="35" t="str">
        <f t="shared" si="115"/>
        <v/>
      </c>
      <c r="C6376" s="15"/>
    </row>
    <row r="6377" spans="1:3" x14ac:dyDescent="0.25">
      <c r="A6377" s="21" t="str">
        <f>IF(C6377="","",COUNTA($C$3:C6377))</f>
        <v/>
      </c>
      <c r="B6377" s="35" t="str">
        <f t="shared" si="115"/>
        <v/>
      </c>
      <c r="C6377" s="15"/>
    </row>
    <row r="6378" spans="1:3" x14ac:dyDescent="0.25">
      <c r="A6378" s="21" t="str">
        <f>IF(C6378="","",COUNTA($C$3:C6378))</f>
        <v/>
      </c>
      <c r="B6378" s="35" t="str">
        <f t="shared" si="115"/>
        <v/>
      </c>
      <c r="C6378" s="15"/>
    </row>
    <row r="6379" spans="1:3" x14ac:dyDescent="0.25">
      <c r="A6379" s="21" t="str">
        <f>IF(C6379="","",COUNTA($C$3:C6379))</f>
        <v/>
      </c>
      <c r="B6379" s="35" t="str">
        <f t="shared" si="115"/>
        <v/>
      </c>
      <c r="C6379" s="15"/>
    </row>
    <row r="6380" spans="1:3" x14ac:dyDescent="0.25">
      <c r="A6380" s="21" t="str">
        <f>IF(C6380="","",COUNTA($C$3:C6380))</f>
        <v/>
      </c>
      <c r="B6380" s="35" t="str">
        <f t="shared" si="115"/>
        <v/>
      </c>
      <c r="C6380" s="15"/>
    </row>
    <row r="6381" spans="1:3" x14ac:dyDescent="0.25">
      <c r="A6381" s="21" t="str">
        <f>IF(C6381="","",COUNTA($C$3:C6381))</f>
        <v/>
      </c>
      <c r="B6381" s="35" t="str">
        <f t="shared" si="115"/>
        <v/>
      </c>
      <c r="C6381" s="15"/>
    </row>
    <row r="6382" spans="1:3" x14ac:dyDescent="0.25">
      <c r="A6382" s="21" t="str">
        <f>IF(C6382="","",COUNTA($C$3:C6382))</f>
        <v/>
      </c>
      <c r="B6382" s="35" t="str">
        <f t="shared" si="115"/>
        <v/>
      </c>
      <c r="C6382" s="15"/>
    </row>
    <row r="6383" spans="1:3" x14ac:dyDescent="0.25">
      <c r="A6383" s="21" t="str">
        <f>IF(C6383="","",COUNTA($C$3:C6383))</f>
        <v/>
      </c>
      <c r="B6383" s="35" t="str">
        <f t="shared" si="115"/>
        <v/>
      </c>
      <c r="C6383" s="15"/>
    </row>
    <row r="6384" spans="1:3" x14ac:dyDescent="0.25">
      <c r="A6384" s="21" t="str">
        <f>IF(C6384="","",COUNTA($C$3:C6384))</f>
        <v/>
      </c>
      <c r="B6384" s="35" t="str">
        <f t="shared" si="115"/>
        <v/>
      </c>
      <c r="C6384" s="15"/>
    </row>
    <row r="6385" spans="1:3" x14ac:dyDescent="0.25">
      <c r="A6385" s="21" t="str">
        <f>IF(C6385="","",COUNTA($C$3:C6385))</f>
        <v/>
      </c>
      <c r="B6385" s="35" t="str">
        <f t="shared" si="115"/>
        <v/>
      </c>
      <c r="C6385" s="15"/>
    </row>
    <row r="6386" spans="1:3" x14ac:dyDescent="0.25">
      <c r="A6386" s="21" t="str">
        <f>IF(C6386="","",COUNTA($C$3:C6386))</f>
        <v/>
      </c>
      <c r="B6386" s="35" t="str">
        <f t="shared" si="115"/>
        <v/>
      </c>
      <c r="C6386" s="15"/>
    </row>
    <row r="6387" spans="1:3" x14ac:dyDescent="0.25">
      <c r="A6387" s="21" t="str">
        <f>IF(C6387="","",COUNTA($C$3:C6387))</f>
        <v/>
      </c>
      <c r="B6387" s="35" t="str">
        <f t="shared" si="115"/>
        <v/>
      </c>
      <c r="C6387" s="15"/>
    </row>
    <row r="6388" spans="1:3" x14ac:dyDescent="0.25">
      <c r="A6388" s="21" t="str">
        <f>IF(C6388="","",COUNTA($C$3:C6388))</f>
        <v/>
      </c>
      <c r="B6388" s="35" t="str">
        <f t="shared" si="115"/>
        <v/>
      </c>
      <c r="C6388" s="15"/>
    </row>
    <row r="6389" spans="1:3" x14ac:dyDescent="0.25">
      <c r="A6389" s="21" t="str">
        <f>IF(C6389="","",COUNTA($C$3:C6389))</f>
        <v/>
      </c>
      <c r="B6389" s="35" t="str">
        <f t="shared" si="115"/>
        <v/>
      </c>
      <c r="C6389" s="15"/>
    </row>
    <row r="6390" spans="1:3" x14ac:dyDescent="0.25">
      <c r="A6390" s="21" t="str">
        <f>IF(C6390="","",COUNTA($C$3:C6390))</f>
        <v/>
      </c>
      <c r="B6390" s="35" t="str">
        <f t="shared" si="115"/>
        <v/>
      </c>
      <c r="C6390" s="15"/>
    </row>
    <row r="6391" spans="1:3" x14ac:dyDescent="0.25">
      <c r="A6391" s="21" t="str">
        <f>IF(C6391="","",COUNTA($C$3:C6391))</f>
        <v/>
      </c>
      <c r="B6391" s="35" t="str">
        <f t="shared" si="115"/>
        <v/>
      </c>
      <c r="C6391" s="15"/>
    </row>
    <row r="6392" spans="1:3" x14ac:dyDescent="0.25">
      <c r="A6392" s="21" t="str">
        <f>IF(C6392="","",COUNTA($C$3:C6392))</f>
        <v/>
      </c>
      <c r="B6392" s="35" t="str">
        <f t="shared" si="115"/>
        <v/>
      </c>
      <c r="C6392" s="15"/>
    </row>
    <row r="6393" spans="1:3" x14ac:dyDescent="0.25">
      <c r="A6393" s="21" t="str">
        <f>IF(C6393="","",COUNTA($C$3:C6393))</f>
        <v/>
      </c>
      <c r="B6393" s="35" t="str">
        <f t="shared" si="115"/>
        <v/>
      </c>
      <c r="C6393" s="15"/>
    </row>
    <row r="6394" spans="1:3" x14ac:dyDescent="0.25">
      <c r="A6394" s="21" t="str">
        <f>IF(C6394="","",COUNTA($C$3:C6394))</f>
        <v/>
      </c>
      <c r="B6394" s="35" t="str">
        <f t="shared" si="115"/>
        <v/>
      </c>
      <c r="C6394" s="15"/>
    </row>
    <row r="6395" spans="1:3" x14ac:dyDescent="0.25">
      <c r="A6395" s="21" t="str">
        <f>IF(C6395="","",COUNTA($C$3:C6395))</f>
        <v/>
      </c>
      <c r="B6395" s="35" t="str">
        <f t="shared" si="115"/>
        <v/>
      </c>
      <c r="C6395" s="15"/>
    </row>
    <row r="6396" spans="1:3" x14ac:dyDescent="0.25">
      <c r="A6396" s="21" t="str">
        <f>IF(C6396="","",COUNTA($C$3:C6396))</f>
        <v/>
      </c>
      <c r="B6396" s="35" t="str">
        <f t="shared" si="115"/>
        <v/>
      </c>
      <c r="C6396" s="15"/>
    </row>
    <row r="6397" spans="1:3" x14ac:dyDescent="0.25">
      <c r="A6397" s="21" t="str">
        <f>IF(C6397="","",COUNTA($C$3:C6397))</f>
        <v/>
      </c>
      <c r="B6397" s="35" t="str">
        <f t="shared" si="115"/>
        <v/>
      </c>
      <c r="C6397" s="15"/>
    </row>
    <row r="6398" spans="1:3" x14ac:dyDescent="0.25">
      <c r="A6398" s="21" t="str">
        <f>IF(C6398="","",COUNTA($C$3:C6398))</f>
        <v/>
      </c>
      <c r="B6398" s="35" t="str">
        <f t="shared" si="115"/>
        <v/>
      </c>
      <c r="C6398" s="15"/>
    </row>
    <row r="6399" spans="1:3" x14ac:dyDescent="0.25">
      <c r="A6399" s="21" t="str">
        <f>IF(C6399="","",COUNTA($C$3:C6399))</f>
        <v/>
      </c>
      <c r="B6399" s="35" t="str">
        <f t="shared" si="115"/>
        <v/>
      </c>
      <c r="C6399" s="15"/>
    </row>
    <row r="6400" spans="1:3" x14ac:dyDescent="0.25">
      <c r="A6400" s="21" t="str">
        <f>IF(C6400="","",COUNTA($C$3:C6400))</f>
        <v/>
      </c>
      <c r="B6400" s="35" t="str">
        <f t="shared" si="115"/>
        <v/>
      </c>
      <c r="C6400" s="15"/>
    </row>
    <row r="6401" spans="1:3" x14ac:dyDescent="0.25">
      <c r="A6401" s="21" t="str">
        <f>IF(C6401="","",COUNTA($C$3:C6401))</f>
        <v/>
      </c>
      <c r="B6401" s="35" t="str">
        <f t="shared" si="115"/>
        <v/>
      </c>
      <c r="C6401" s="15"/>
    </row>
    <row r="6402" spans="1:3" x14ac:dyDescent="0.25">
      <c r="A6402" s="21" t="str">
        <f>IF(C6402="","",COUNTA($C$3:C6402))</f>
        <v/>
      </c>
      <c r="B6402" s="35" t="str">
        <f t="shared" si="115"/>
        <v/>
      </c>
      <c r="C6402" s="15"/>
    </row>
    <row r="6403" spans="1:3" x14ac:dyDescent="0.25">
      <c r="A6403" s="21" t="str">
        <f>IF(C6403="","",COUNTA($C$3:C6403))</f>
        <v/>
      </c>
      <c r="B6403" s="35" t="str">
        <f t="shared" si="115"/>
        <v/>
      </c>
      <c r="C6403" s="15"/>
    </row>
    <row r="6404" spans="1:3" x14ac:dyDescent="0.25">
      <c r="A6404" s="21" t="str">
        <f>IF(C6404="","",COUNTA($C$3:C6404))</f>
        <v/>
      </c>
      <c r="B6404" s="35" t="str">
        <f t="shared" si="115"/>
        <v/>
      </c>
      <c r="C6404" s="15"/>
    </row>
    <row r="6405" spans="1:3" x14ac:dyDescent="0.25">
      <c r="A6405" s="21" t="str">
        <f>IF(C6405="","",COUNTA($C$3:C6405))</f>
        <v/>
      </c>
      <c r="B6405" s="35" t="str">
        <f t="shared" ref="B6405:B6468" si="116">IF(C6405="","",TEXT(C6405,"mmmm"))</f>
        <v/>
      </c>
      <c r="C6405" s="15"/>
    </row>
    <row r="6406" spans="1:3" x14ac:dyDescent="0.25">
      <c r="A6406" s="21" t="str">
        <f>IF(C6406="","",COUNTA($C$3:C6406))</f>
        <v/>
      </c>
      <c r="B6406" s="35" t="str">
        <f t="shared" si="116"/>
        <v/>
      </c>
      <c r="C6406" s="15"/>
    </row>
    <row r="6407" spans="1:3" x14ac:dyDescent="0.25">
      <c r="A6407" s="21" t="str">
        <f>IF(C6407="","",COUNTA($C$3:C6407))</f>
        <v/>
      </c>
      <c r="B6407" s="35" t="str">
        <f t="shared" si="116"/>
        <v/>
      </c>
      <c r="C6407" s="15"/>
    </row>
    <row r="6408" spans="1:3" x14ac:dyDescent="0.25">
      <c r="A6408" s="21" t="str">
        <f>IF(C6408="","",COUNTA($C$3:C6408))</f>
        <v/>
      </c>
      <c r="B6408" s="35" t="str">
        <f t="shared" si="116"/>
        <v/>
      </c>
      <c r="C6408" s="15"/>
    </row>
    <row r="6409" spans="1:3" x14ac:dyDescent="0.25">
      <c r="A6409" s="21" t="str">
        <f>IF(C6409="","",COUNTA($C$3:C6409))</f>
        <v/>
      </c>
      <c r="B6409" s="35" t="str">
        <f t="shared" si="116"/>
        <v/>
      </c>
      <c r="C6409" s="15"/>
    </row>
    <row r="6410" spans="1:3" x14ac:dyDescent="0.25">
      <c r="A6410" s="21" t="str">
        <f>IF(C6410="","",COUNTA($C$3:C6410))</f>
        <v/>
      </c>
      <c r="B6410" s="35" t="str">
        <f t="shared" si="116"/>
        <v/>
      </c>
      <c r="C6410" s="15"/>
    </row>
    <row r="6411" spans="1:3" x14ac:dyDescent="0.25">
      <c r="A6411" s="21" t="str">
        <f>IF(C6411="","",COUNTA($C$3:C6411))</f>
        <v/>
      </c>
      <c r="B6411" s="35" t="str">
        <f t="shared" si="116"/>
        <v/>
      </c>
      <c r="C6411" s="15"/>
    </row>
    <row r="6412" spans="1:3" x14ac:dyDescent="0.25">
      <c r="A6412" s="21" t="str">
        <f>IF(C6412="","",COUNTA($C$3:C6412))</f>
        <v/>
      </c>
      <c r="B6412" s="35" t="str">
        <f t="shared" si="116"/>
        <v/>
      </c>
      <c r="C6412" s="15"/>
    </row>
    <row r="6413" spans="1:3" x14ac:dyDescent="0.25">
      <c r="A6413" s="21" t="str">
        <f>IF(C6413="","",COUNTA($C$3:C6413))</f>
        <v/>
      </c>
      <c r="B6413" s="35" t="str">
        <f t="shared" si="116"/>
        <v/>
      </c>
      <c r="C6413" s="15"/>
    </row>
    <row r="6414" spans="1:3" x14ac:dyDescent="0.25">
      <c r="A6414" s="21" t="str">
        <f>IF(C6414="","",COUNTA($C$3:C6414))</f>
        <v/>
      </c>
      <c r="B6414" s="35" t="str">
        <f t="shared" si="116"/>
        <v/>
      </c>
      <c r="C6414" s="15"/>
    </row>
    <row r="6415" spans="1:3" x14ac:dyDescent="0.25">
      <c r="A6415" s="21" t="str">
        <f>IF(C6415="","",COUNTA($C$3:C6415))</f>
        <v/>
      </c>
      <c r="B6415" s="35" t="str">
        <f t="shared" si="116"/>
        <v/>
      </c>
      <c r="C6415" s="15"/>
    </row>
    <row r="6416" spans="1:3" x14ac:dyDescent="0.25">
      <c r="A6416" s="21" t="str">
        <f>IF(C6416="","",COUNTA($C$3:C6416))</f>
        <v/>
      </c>
      <c r="B6416" s="35" t="str">
        <f t="shared" si="116"/>
        <v/>
      </c>
      <c r="C6416" s="15"/>
    </row>
    <row r="6417" spans="1:3" x14ac:dyDescent="0.25">
      <c r="A6417" s="21" t="str">
        <f>IF(C6417="","",COUNTA($C$3:C6417))</f>
        <v/>
      </c>
      <c r="B6417" s="35" t="str">
        <f t="shared" si="116"/>
        <v/>
      </c>
      <c r="C6417" s="15"/>
    </row>
    <row r="6418" spans="1:3" x14ac:dyDescent="0.25">
      <c r="A6418" s="21" t="str">
        <f>IF(C6418="","",COUNTA($C$3:C6418))</f>
        <v/>
      </c>
      <c r="B6418" s="35" t="str">
        <f t="shared" si="116"/>
        <v/>
      </c>
      <c r="C6418" s="15"/>
    </row>
    <row r="6419" spans="1:3" x14ac:dyDescent="0.25">
      <c r="A6419" s="21" t="str">
        <f>IF(C6419="","",COUNTA($C$3:C6419))</f>
        <v/>
      </c>
      <c r="B6419" s="35" t="str">
        <f t="shared" si="116"/>
        <v/>
      </c>
      <c r="C6419" s="15"/>
    </row>
    <row r="6420" spans="1:3" x14ac:dyDescent="0.25">
      <c r="A6420" s="21" t="str">
        <f>IF(C6420="","",COUNTA($C$3:C6420))</f>
        <v/>
      </c>
      <c r="B6420" s="35" t="str">
        <f t="shared" si="116"/>
        <v/>
      </c>
      <c r="C6420" s="15"/>
    </row>
    <row r="6421" spans="1:3" x14ac:dyDescent="0.25">
      <c r="A6421" s="21" t="str">
        <f>IF(C6421="","",COUNTA($C$3:C6421))</f>
        <v/>
      </c>
      <c r="B6421" s="35" t="str">
        <f t="shared" si="116"/>
        <v/>
      </c>
      <c r="C6421" s="15"/>
    </row>
    <row r="6422" spans="1:3" x14ac:dyDescent="0.25">
      <c r="A6422" s="21" t="str">
        <f>IF(C6422="","",COUNTA($C$3:C6422))</f>
        <v/>
      </c>
      <c r="B6422" s="35" t="str">
        <f t="shared" si="116"/>
        <v/>
      </c>
      <c r="C6422" s="15"/>
    </row>
    <row r="6423" spans="1:3" x14ac:dyDescent="0.25">
      <c r="A6423" s="21" t="str">
        <f>IF(C6423="","",COUNTA($C$3:C6423))</f>
        <v/>
      </c>
      <c r="B6423" s="35" t="str">
        <f t="shared" si="116"/>
        <v/>
      </c>
      <c r="C6423" s="15"/>
    </row>
    <row r="6424" spans="1:3" x14ac:dyDescent="0.25">
      <c r="A6424" s="21" t="str">
        <f>IF(C6424="","",COUNTA($C$3:C6424))</f>
        <v/>
      </c>
      <c r="B6424" s="35" t="str">
        <f t="shared" si="116"/>
        <v/>
      </c>
      <c r="C6424" s="15"/>
    </row>
    <row r="6425" spans="1:3" x14ac:dyDescent="0.25">
      <c r="A6425" s="21" t="str">
        <f>IF(C6425="","",COUNTA($C$3:C6425))</f>
        <v/>
      </c>
      <c r="B6425" s="35" t="str">
        <f t="shared" si="116"/>
        <v/>
      </c>
      <c r="C6425" s="15"/>
    </row>
    <row r="6426" spans="1:3" x14ac:dyDescent="0.25">
      <c r="A6426" s="21" t="str">
        <f>IF(C6426="","",COUNTA($C$3:C6426))</f>
        <v/>
      </c>
      <c r="B6426" s="35" t="str">
        <f t="shared" si="116"/>
        <v/>
      </c>
      <c r="C6426" s="15"/>
    </row>
    <row r="6427" spans="1:3" x14ac:dyDescent="0.25">
      <c r="A6427" s="21" t="str">
        <f>IF(C6427="","",COUNTA($C$3:C6427))</f>
        <v/>
      </c>
      <c r="B6427" s="35" t="str">
        <f t="shared" si="116"/>
        <v/>
      </c>
      <c r="C6427" s="15"/>
    </row>
    <row r="6428" spans="1:3" x14ac:dyDescent="0.25">
      <c r="A6428" s="21" t="str">
        <f>IF(C6428="","",COUNTA($C$3:C6428))</f>
        <v/>
      </c>
      <c r="B6428" s="35" t="str">
        <f t="shared" si="116"/>
        <v/>
      </c>
      <c r="C6428" s="15"/>
    </row>
    <row r="6429" spans="1:3" x14ac:dyDescent="0.25">
      <c r="A6429" s="21" t="str">
        <f>IF(C6429="","",COUNTA($C$3:C6429))</f>
        <v/>
      </c>
      <c r="B6429" s="35" t="str">
        <f t="shared" si="116"/>
        <v/>
      </c>
      <c r="C6429" s="15"/>
    </row>
    <row r="6430" spans="1:3" x14ac:dyDescent="0.25">
      <c r="A6430" s="21" t="str">
        <f>IF(C6430="","",COUNTA($C$3:C6430))</f>
        <v/>
      </c>
      <c r="B6430" s="35" t="str">
        <f t="shared" si="116"/>
        <v/>
      </c>
      <c r="C6430" s="15"/>
    </row>
    <row r="6431" spans="1:3" x14ac:dyDescent="0.25">
      <c r="A6431" s="21" t="str">
        <f>IF(C6431="","",COUNTA($C$3:C6431))</f>
        <v/>
      </c>
      <c r="B6431" s="35" t="str">
        <f t="shared" si="116"/>
        <v/>
      </c>
      <c r="C6431" s="15"/>
    </row>
    <row r="6432" spans="1:3" x14ac:dyDescent="0.25">
      <c r="A6432" s="21" t="str">
        <f>IF(C6432="","",COUNTA($C$3:C6432))</f>
        <v/>
      </c>
      <c r="B6432" s="35" t="str">
        <f t="shared" si="116"/>
        <v/>
      </c>
      <c r="C6432" s="15"/>
    </row>
    <row r="6433" spans="1:3" x14ac:dyDescent="0.25">
      <c r="A6433" s="21" t="str">
        <f>IF(C6433="","",COUNTA($C$3:C6433))</f>
        <v/>
      </c>
      <c r="B6433" s="35" t="str">
        <f t="shared" si="116"/>
        <v/>
      </c>
      <c r="C6433" s="15"/>
    </row>
    <row r="6434" spans="1:3" x14ac:dyDescent="0.25">
      <c r="A6434" s="21" t="str">
        <f>IF(C6434="","",COUNTA($C$3:C6434))</f>
        <v/>
      </c>
      <c r="B6434" s="35" t="str">
        <f t="shared" si="116"/>
        <v/>
      </c>
      <c r="C6434" s="15"/>
    </row>
    <row r="6435" spans="1:3" x14ac:dyDescent="0.25">
      <c r="A6435" s="21" t="str">
        <f>IF(C6435="","",COUNTA($C$3:C6435))</f>
        <v/>
      </c>
      <c r="B6435" s="35" t="str">
        <f t="shared" si="116"/>
        <v/>
      </c>
      <c r="C6435" s="15"/>
    </row>
    <row r="6436" spans="1:3" x14ac:dyDescent="0.25">
      <c r="A6436" s="21" t="str">
        <f>IF(C6436="","",COUNTA($C$3:C6436))</f>
        <v/>
      </c>
      <c r="B6436" s="35" t="str">
        <f t="shared" si="116"/>
        <v/>
      </c>
      <c r="C6436" s="15"/>
    </row>
    <row r="6437" spans="1:3" x14ac:dyDescent="0.25">
      <c r="A6437" s="21" t="str">
        <f>IF(C6437="","",COUNTA($C$3:C6437))</f>
        <v/>
      </c>
      <c r="B6437" s="35" t="str">
        <f t="shared" si="116"/>
        <v/>
      </c>
      <c r="C6437" s="15"/>
    </row>
    <row r="6438" spans="1:3" x14ac:dyDescent="0.25">
      <c r="A6438" s="21" t="str">
        <f>IF(C6438="","",COUNTA($C$3:C6438))</f>
        <v/>
      </c>
      <c r="B6438" s="35" t="str">
        <f t="shared" si="116"/>
        <v/>
      </c>
      <c r="C6438" s="15"/>
    </row>
    <row r="6439" spans="1:3" x14ac:dyDescent="0.25">
      <c r="A6439" s="21" t="str">
        <f>IF(C6439="","",COUNTA($C$3:C6439))</f>
        <v/>
      </c>
      <c r="B6439" s="35" t="str">
        <f t="shared" si="116"/>
        <v/>
      </c>
      <c r="C6439" s="15"/>
    </row>
    <row r="6440" spans="1:3" x14ac:dyDescent="0.25">
      <c r="A6440" s="21" t="str">
        <f>IF(C6440="","",COUNTA($C$3:C6440))</f>
        <v/>
      </c>
      <c r="B6440" s="35" t="str">
        <f t="shared" si="116"/>
        <v/>
      </c>
      <c r="C6440" s="15"/>
    </row>
    <row r="6441" spans="1:3" x14ac:dyDescent="0.25">
      <c r="A6441" s="21" t="str">
        <f>IF(C6441="","",COUNTA($C$3:C6441))</f>
        <v/>
      </c>
      <c r="B6441" s="35" t="str">
        <f t="shared" si="116"/>
        <v/>
      </c>
      <c r="C6441" s="15"/>
    </row>
    <row r="6442" spans="1:3" x14ac:dyDescent="0.25">
      <c r="A6442" s="21" t="str">
        <f>IF(C6442="","",COUNTA($C$3:C6442))</f>
        <v/>
      </c>
      <c r="B6442" s="35" t="str">
        <f t="shared" si="116"/>
        <v/>
      </c>
      <c r="C6442" s="15"/>
    </row>
    <row r="6443" spans="1:3" x14ac:dyDescent="0.25">
      <c r="A6443" s="21" t="str">
        <f>IF(C6443="","",COUNTA($C$3:C6443))</f>
        <v/>
      </c>
      <c r="B6443" s="35" t="str">
        <f t="shared" si="116"/>
        <v/>
      </c>
      <c r="C6443" s="15"/>
    </row>
    <row r="6444" spans="1:3" x14ac:dyDescent="0.25">
      <c r="A6444" s="21" t="str">
        <f>IF(C6444="","",COUNTA($C$3:C6444))</f>
        <v/>
      </c>
      <c r="B6444" s="35" t="str">
        <f t="shared" si="116"/>
        <v/>
      </c>
      <c r="C6444" s="15"/>
    </row>
    <row r="6445" spans="1:3" x14ac:dyDescent="0.25">
      <c r="A6445" s="21" t="str">
        <f>IF(C6445="","",COUNTA($C$3:C6445))</f>
        <v/>
      </c>
      <c r="B6445" s="35" t="str">
        <f t="shared" si="116"/>
        <v/>
      </c>
      <c r="C6445" s="15"/>
    </row>
    <row r="6446" spans="1:3" x14ac:dyDescent="0.25">
      <c r="A6446" s="21" t="str">
        <f>IF(C6446="","",COUNTA($C$3:C6446))</f>
        <v/>
      </c>
      <c r="B6446" s="35" t="str">
        <f t="shared" si="116"/>
        <v/>
      </c>
      <c r="C6446" s="15"/>
    </row>
    <row r="6447" spans="1:3" x14ac:dyDescent="0.25">
      <c r="A6447" s="21" t="str">
        <f>IF(C6447="","",COUNTA($C$3:C6447))</f>
        <v/>
      </c>
      <c r="B6447" s="35" t="str">
        <f t="shared" si="116"/>
        <v/>
      </c>
      <c r="C6447" s="15"/>
    </row>
    <row r="6448" spans="1:3" x14ac:dyDescent="0.25">
      <c r="A6448" s="21" t="str">
        <f>IF(C6448="","",COUNTA($C$3:C6448))</f>
        <v/>
      </c>
      <c r="B6448" s="35" t="str">
        <f t="shared" si="116"/>
        <v/>
      </c>
      <c r="C6448" s="15"/>
    </row>
    <row r="6449" spans="1:3" x14ac:dyDescent="0.25">
      <c r="A6449" s="21" t="str">
        <f>IF(C6449="","",COUNTA($C$3:C6449))</f>
        <v/>
      </c>
      <c r="B6449" s="35" t="str">
        <f t="shared" si="116"/>
        <v/>
      </c>
      <c r="C6449" s="15"/>
    </row>
    <row r="6450" spans="1:3" x14ac:dyDescent="0.25">
      <c r="A6450" s="21" t="str">
        <f>IF(C6450="","",COUNTA($C$3:C6450))</f>
        <v/>
      </c>
      <c r="B6450" s="35" t="str">
        <f t="shared" si="116"/>
        <v/>
      </c>
      <c r="C6450" s="15"/>
    </row>
    <row r="6451" spans="1:3" x14ac:dyDescent="0.25">
      <c r="A6451" s="21" t="str">
        <f>IF(C6451="","",COUNTA($C$3:C6451))</f>
        <v/>
      </c>
      <c r="B6451" s="35" t="str">
        <f t="shared" si="116"/>
        <v/>
      </c>
      <c r="C6451" s="15"/>
    </row>
    <row r="6452" spans="1:3" x14ac:dyDescent="0.25">
      <c r="A6452" s="21" t="str">
        <f>IF(C6452="","",COUNTA($C$3:C6452))</f>
        <v/>
      </c>
      <c r="B6452" s="35" t="str">
        <f t="shared" si="116"/>
        <v/>
      </c>
      <c r="C6452" s="15"/>
    </row>
    <row r="6453" spans="1:3" x14ac:dyDescent="0.25">
      <c r="A6453" s="21" t="str">
        <f>IF(C6453="","",COUNTA($C$3:C6453))</f>
        <v/>
      </c>
      <c r="B6453" s="35" t="str">
        <f t="shared" si="116"/>
        <v/>
      </c>
      <c r="C6453" s="15"/>
    </row>
    <row r="6454" spans="1:3" x14ac:dyDescent="0.25">
      <c r="A6454" s="21" t="str">
        <f>IF(C6454="","",COUNTA($C$3:C6454))</f>
        <v/>
      </c>
      <c r="B6454" s="35" t="str">
        <f t="shared" si="116"/>
        <v/>
      </c>
      <c r="C6454" s="15"/>
    </row>
    <row r="6455" spans="1:3" x14ac:dyDescent="0.25">
      <c r="A6455" s="21" t="str">
        <f>IF(C6455="","",COUNTA($C$3:C6455))</f>
        <v/>
      </c>
      <c r="B6455" s="35" t="str">
        <f t="shared" si="116"/>
        <v/>
      </c>
      <c r="C6455" s="15"/>
    </row>
    <row r="6456" spans="1:3" x14ac:dyDescent="0.25">
      <c r="A6456" s="21" t="str">
        <f>IF(C6456="","",COUNTA($C$3:C6456))</f>
        <v/>
      </c>
      <c r="B6456" s="35" t="str">
        <f t="shared" si="116"/>
        <v/>
      </c>
      <c r="C6456" s="15"/>
    </row>
    <row r="6457" spans="1:3" x14ac:dyDescent="0.25">
      <c r="A6457" s="21" t="str">
        <f>IF(C6457="","",COUNTA($C$3:C6457))</f>
        <v/>
      </c>
      <c r="B6457" s="35" t="str">
        <f t="shared" si="116"/>
        <v/>
      </c>
      <c r="C6457" s="15"/>
    </row>
    <row r="6458" spans="1:3" x14ac:dyDescent="0.25">
      <c r="A6458" s="21" t="str">
        <f>IF(C6458="","",COUNTA($C$3:C6458))</f>
        <v/>
      </c>
      <c r="B6458" s="35" t="str">
        <f t="shared" si="116"/>
        <v/>
      </c>
      <c r="C6458" s="15"/>
    </row>
    <row r="6459" spans="1:3" x14ac:dyDescent="0.25">
      <c r="A6459" s="21" t="str">
        <f>IF(C6459="","",COUNTA($C$3:C6459))</f>
        <v/>
      </c>
      <c r="B6459" s="35" t="str">
        <f t="shared" si="116"/>
        <v/>
      </c>
      <c r="C6459" s="15"/>
    </row>
    <row r="6460" spans="1:3" x14ac:dyDescent="0.25">
      <c r="A6460" s="21" t="str">
        <f>IF(C6460="","",COUNTA($C$3:C6460))</f>
        <v/>
      </c>
      <c r="B6460" s="35" t="str">
        <f t="shared" si="116"/>
        <v/>
      </c>
      <c r="C6460" s="15"/>
    </row>
    <row r="6461" spans="1:3" x14ac:dyDescent="0.25">
      <c r="A6461" s="21" t="str">
        <f>IF(C6461="","",COUNTA($C$3:C6461))</f>
        <v/>
      </c>
      <c r="B6461" s="35" t="str">
        <f t="shared" si="116"/>
        <v/>
      </c>
      <c r="C6461" s="15"/>
    </row>
    <row r="6462" spans="1:3" x14ac:dyDescent="0.25">
      <c r="A6462" s="21" t="str">
        <f>IF(C6462="","",COUNTA($C$3:C6462))</f>
        <v/>
      </c>
      <c r="B6462" s="35" t="str">
        <f t="shared" si="116"/>
        <v/>
      </c>
      <c r="C6462" s="15"/>
    </row>
    <row r="6463" spans="1:3" x14ac:dyDescent="0.25">
      <c r="A6463" s="21" t="str">
        <f>IF(C6463="","",COUNTA($C$3:C6463))</f>
        <v/>
      </c>
      <c r="B6463" s="35" t="str">
        <f t="shared" si="116"/>
        <v/>
      </c>
      <c r="C6463" s="15"/>
    </row>
    <row r="6464" spans="1:3" x14ac:dyDescent="0.25">
      <c r="A6464" s="21" t="str">
        <f>IF(C6464="","",COUNTA($C$3:C6464))</f>
        <v/>
      </c>
      <c r="B6464" s="35" t="str">
        <f t="shared" si="116"/>
        <v/>
      </c>
      <c r="C6464" s="15"/>
    </row>
    <row r="6465" spans="1:3" x14ac:dyDescent="0.25">
      <c r="A6465" s="21" t="str">
        <f>IF(C6465="","",COUNTA($C$3:C6465))</f>
        <v/>
      </c>
      <c r="B6465" s="35" t="str">
        <f t="shared" si="116"/>
        <v/>
      </c>
      <c r="C6465" s="15"/>
    </row>
    <row r="6466" spans="1:3" x14ac:dyDescent="0.25">
      <c r="A6466" s="21" t="str">
        <f>IF(C6466="","",COUNTA($C$3:C6466))</f>
        <v/>
      </c>
      <c r="B6466" s="35" t="str">
        <f t="shared" si="116"/>
        <v/>
      </c>
      <c r="C6466" s="15"/>
    </row>
    <row r="6467" spans="1:3" x14ac:dyDescent="0.25">
      <c r="A6467" s="21" t="str">
        <f>IF(C6467="","",COUNTA($C$3:C6467))</f>
        <v/>
      </c>
      <c r="B6467" s="35" t="str">
        <f t="shared" si="116"/>
        <v/>
      </c>
      <c r="C6467" s="15"/>
    </row>
    <row r="6468" spans="1:3" x14ac:dyDescent="0.25">
      <c r="A6468" s="21" t="str">
        <f>IF(C6468="","",COUNTA($C$3:C6468))</f>
        <v/>
      </c>
      <c r="B6468" s="35" t="str">
        <f t="shared" si="116"/>
        <v/>
      </c>
      <c r="C6468" s="15"/>
    </row>
    <row r="6469" spans="1:3" x14ac:dyDescent="0.25">
      <c r="A6469" s="21" t="str">
        <f>IF(C6469="","",COUNTA($C$3:C6469))</f>
        <v/>
      </c>
      <c r="B6469" s="35" t="str">
        <f t="shared" ref="B6469:B6532" si="117">IF(C6469="","",TEXT(C6469,"mmmm"))</f>
        <v/>
      </c>
      <c r="C6469" s="15"/>
    </row>
    <row r="6470" spans="1:3" x14ac:dyDescent="0.25">
      <c r="A6470" s="21" t="str">
        <f>IF(C6470="","",COUNTA($C$3:C6470))</f>
        <v/>
      </c>
      <c r="B6470" s="35" t="str">
        <f t="shared" si="117"/>
        <v/>
      </c>
      <c r="C6470" s="15"/>
    </row>
    <row r="6471" spans="1:3" x14ac:dyDescent="0.25">
      <c r="A6471" s="21" t="str">
        <f>IF(C6471="","",COUNTA($C$3:C6471))</f>
        <v/>
      </c>
      <c r="B6471" s="35" t="str">
        <f t="shared" si="117"/>
        <v/>
      </c>
      <c r="C6471" s="15"/>
    </row>
    <row r="6472" spans="1:3" x14ac:dyDescent="0.25">
      <c r="A6472" s="21" t="str">
        <f>IF(C6472="","",COUNTA($C$3:C6472))</f>
        <v/>
      </c>
      <c r="B6472" s="35" t="str">
        <f t="shared" si="117"/>
        <v/>
      </c>
      <c r="C6472" s="15"/>
    </row>
    <row r="6473" spans="1:3" x14ac:dyDescent="0.25">
      <c r="A6473" s="21" t="str">
        <f>IF(C6473="","",COUNTA($C$3:C6473))</f>
        <v/>
      </c>
      <c r="B6473" s="35" t="str">
        <f t="shared" si="117"/>
        <v/>
      </c>
      <c r="C6473" s="15"/>
    </row>
    <row r="6474" spans="1:3" x14ac:dyDescent="0.25">
      <c r="A6474" s="21" t="str">
        <f>IF(C6474="","",COUNTA($C$3:C6474))</f>
        <v/>
      </c>
      <c r="B6474" s="35" t="str">
        <f t="shared" si="117"/>
        <v/>
      </c>
      <c r="C6474" s="15"/>
    </row>
    <row r="6475" spans="1:3" x14ac:dyDescent="0.25">
      <c r="A6475" s="21" t="str">
        <f>IF(C6475="","",COUNTA($C$3:C6475))</f>
        <v/>
      </c>
      <c r="B6475" s="35" t="str">
        <f t="shared" si="117"/>
        <v/>
      </c>
      <c r="C6475" s="15"/>
    </row>
    <row r="6476" spans="1:3" x14ac:dyDescent="0.25">
      <c r="A6476" s="21" t="str">
        <f>IF(C6476="","",COUNTA($C$3:C6476))</f>
        <v/>
      </c>
      <c r="B6476" s="35" t="str">
        <f t="shared" si="117"/>
        <v/>
      </c>
      <c r="C6476" s="15"/>
    </row>
    <row r="6477" spans="1:3" x14ac:dyDescent="0.25">
      <c r="A6477" s="21" t="str">
        <f>IF(C6477="","",COUNTA($C$3:C6477))</f>
        <v/>
      </c>
      <c r="B6477" s="35" t="str">
        <f t="shared" si="117"/>
        <v/>
      </c>
      <c r="C6477" s="15"/>
    </row>
    <row r="6478" spans="1:3" x14ac:dyDescent="0.25">
      <c r="A6478" s="21" t="str">
        <f>IF(C6478="","",COUNTA($C$3:C6478))</f>
        <v/>
      </c>
      <c r="B6478" s="35" t="str">
        <f t="shared" si="117"/>
        <v/>
      </c>
      <c r="C6478" s="15"/>
    </row>
    <row r="6479" spans="1:3" x14ac:dyDescent="0.25">
      <c r="A6479" s="21" t="str">
        <f>IF(C6479="","",COUNTA($C$3:C6479))</f>
        <v/>
      </c>
      <c r="B6479" s="35" t="str">
        <f t="shared" si="117"/>
        <v/>
      </c>
      <c r="C6479" s="15"/>
    </row>
    <row r="6480" spans="1:3" x14ac:dyDescent="0.25">
      <c r="A6480" s="21" t="str">
        <f>IF(C6480="","",COUNTA($C$3:C6480))</f>
        <v/>
      </c>
      <c r="B6480" s="35" t="str">
        <f t="shared" si="117"/>
        <v/>
      </c>
      <c r="C6480" s="15"/>
    </row>
    <row r="6481" spans="1:3" x14ac:dyDescent="0.25">
      <c r="A6481" s="21" t="str">
        <f>IF(C6481="","",COUNTA($C$3:C6481))</f>
        <v/>
      </c>
      <c r="B6481" s="35" t="str">
        <f t="shared" si="117"/>
        <v/>
      </c>
      <c r="C6481" s="15"/>
    </row>
    <row r="6482" spans="1:3" x14ac:dyDescent="0.25">
      <c r="A6482" s="21" t="str">
        <f>IF(C6482="","",COUNTA($C$3:C6482))</f>
        <v/>
      </c>
      <c r="B6482" s="35" t="str">
        <f t="shared" si="117"/>
        <v/>
      </c>
      <c r="C6482" s="15"/>
    </row>
    <row r="6483" spans="1:3" x14ac:dyDescent="0.25">
      <c r="A6483" s="21" t="str">
        <f>IF(C6483="","",COUNTA($C$3:C6483))</f>
        <v/>
      </c>
      <c r="B6483" s="35" t="str">
        <f t="shared" si="117"/>
        <v/>
      </c>
      <c r="C6483" s="15"/>
    </row>
    <row r="6484" spans="1:3" x14ac:dyDescent="0.25">
      <c r="A6484" s="21" t="str">
        <f>IF(C6484="","",COUNTA($C$3:C6484))</f>
        <v/>
      </c>
      <c r="B6484" s="35" t="str">
        <f t="shared" si="117"/>
        <v/>
      </c>
      <c r="C6484" s="15"/>
    </row>
    <row r="6485" spans="1:3" x14ac:dyDescent="0.25">
      <c r="A6485" s="21" t="str">
        <f>IF(C6485="","",COUNTA($C$3:C6485))</f>
        <v/>
      </c>
      <c r="B6485" s="35" t="str">
        <f t="shared" si="117"/>
        <v/>
      </c>
      <c r="C6485" s="15"/>
    </row>
    <row r="6486" spans="1:3" x14ac:dyDescent="0.25">
      <c r="A6486" s="21" t="str">
        <f>IF(C6486="","",COUNTA($C$3:C6486))</f>
        <v/>
      </c>
      <c r="B6486" s="35" t="str">
        <f t="shared" si="117"/>
        <v/>
      </c>
      <c r="C6486" s="15"/>
    </row>
    <row r="6487" spans="1:3" x14ac:dyDescent="0.25">
      <c r="A6487" s="21" t="str">
        <f>IF(C6487="","",COUNTA($C$3:C6487))</f>
        <v/>
      </c>
      <c r="B6487" s="35" t="str">
        <f t="shared" si="117"/>
        <v/>
      </c>
      <c r="C6487" s="15"/>
    </row>
    <row r="6488" spans="1:3" x14ac:dyDescent="0.25">
      <c r="A6488" s="21" t="str">
        <f>IF(C6488="","",COUNTA($C$3:C6488))</f>
        <v/>
      </c>
      <c r="B6488" s="35" t="str">
        <f t="shared" si="117"/>
        <v/>
      </c>
      <c r="C6488" s="15"/>
    </row>
    <row r="6489" spans="1:3" x14ac:dyDescent="0.25">
      <c r="A6489" s="21" t="str">
        <f>IF(C6489="","",COUNTA($C$3:C6489))</f>
        <v/>
      </c>
      <c r="B6489" s="35" t="str">
        <f t="shared" si="117"/>
        <v/>
      </c>
      <c r="C6489" s="15"/>
    </row>
    <row r="6490" spans="1:3" x14ac:dyDescent="0.25">
      <c r="A6490" s="21" t="str">
        <f>IF(C6490="","",COUNTA($C$3:C6490))</f>
        <v/>
      </c>
      <c r="B6490" s="35" t="str">
        <f t="shared" si="117"/>
        <v/>
      </c>
      <c r="C6490" s="15"/>
    </row>
    <row r="6491" spans="1:3" x14ac:dyDescent="0.25">
      <c r="A6491" s="21" t="str">
        <f>IF(C6491="","",COUNTA($C$3:C6491))</f>
        <v/>
      </c>
      <c r="B6491" s="35" t="str">
        <f t="shared" si="117"/>
        <v/>
      </c>
      <c r="C6491" s="15"/>
    </row>
    <row r="6492" spans="1:3" x14ac:dyDescent="0.25">
      <c r="A6492" s="21" t="str">
        <f>IF(C6492="","",COUNTA($C$3:C6492))</f>
        <v/>
      </c>
      <c r="B6492" s="35" t="str">
        <f t="shared" si="117"/>
        <v/>
      </c>
      <c r="C6492" s="15"/>
    </row>
    <row r="6493" spans="1:3" x14ac:dyDescent="0.25">
      <c r="A6493" s="21" t="str">
        <f>IF(C6493="","",COUNTA($C$3:C6493))</f>
        <v/>
      </c>
      <c r="B6493" s="35" t="str">
        <f t="shared" si="117"/>
        <v/>
      </c>
      <c r="C6493" s="15"/>
    </row>
    <row r="6494" spans="1:3" x14ac:dyDescent="0.25">
      <c r="A6494" s="21" t="str">
        <f>IF(C6494="","",COUNTA($C$3:C6494))</f>
        <v/>
      </c>
      <c r="B6494" s="35" t="str">
        <f t="shared" si="117"/>
        <v/>
      </c>
      <c r="C6494" s="15"/>
    </row>
    <row r="6495" spans="1:3" x14ac:dyDescent="0.25">
      <c r="A6495" s="21" t="str">
        <f>IF(C6495="","",COUNTA($C$3:C6495))</f>
        <v/>
      </c>
      <c r="B6495" s="35" t="str">
        <f t="shared" si="117"/>
        <v/>
      </c>
      <c r="C6495" s="15"/>
    </row>
    <row r="6496" spans="1:3" x14ac:dyDescent="0.25">
      <c r="A6496" s="21" t="str">
        <f>IF(C6496="","",COUNTA($C$3:C6496))</f>
        <v/>
      </c>
      <c r="B6496" s="35" t="str">
        <f t="shared" si="117"/>
        <v/>
      </c>
      <c r="C6496" s="15"/>
    </row>
    <row r="6497" spans="1:3" x14ac:dyDescent="0.25">
      <c r="A6497" s="21" t="str">
        <f>IF(C6497="","",COUNTA($C$3:C6497))</f>
        <v/>
      </c>
      <c r="B6497" s="35" t="str">
        <f t="shared" si="117"/>
        <v/>
      </c>
      <c r="C6497" s="15"/>
    </row>
    <row r="6498" spans="1:3" x14ac:dyDescent="0.25">
      <c r="A6498" s="21" t="str">
        <f>IF(C6498="","",COUNTA($C$3:C6498))</f>
        <v/>
      </c>
      <c r="B6498" s="35" t="str">
        <f t="shared" si="117"/>
        <v/>
      </c>
      <c r="C6498" s="15"/>
    </row>
    <row r="6499" spans="1:3" x14ac:dyDescent="0.25">
      <c r="A6499" s="21" t="str">
        <f>IF(C6499="","",COUNTA($C$3:C6499))</f>
        <v/>
      </c>
      <c r="B6499" s="35" t="str">
        <f t="shared" si="117"/>
        <v/>
      </c>
      <c r="C6499" s="15"/>
    </row>
    <row r="6500" spans="1:3" x14ac:dyDescent="0.25">
      <c r="A6500" s="21" t="str">
        <f>IF(C6500="","",COUNTA($C$3:C6500))</f>
        <v/>
      </c>
      <c r="B6500" s="35" t="str">
        <f t="shared" si="117"/>
        <v/>
      </c>
      <c r="C6500" s="15"/>
    </row>
    <row r="6501" spans="1:3" x14ac:dyDescent="0.25">
      <c r="A6501" s="21" t="str">
        <f>IF(C6501="","",COUNTA($C$3:C6501))</f>
        <v/>
      </c>
      <c r="B6501" s="35" t="str">
        <f t="shared" si="117"/>
        <v/>
      </c>
      <c r="C6501" s="15"/>
    </row>
    <row r="6502" spans="1:3" x14ac:dyDescent="0.25">
      <c r="A6502" s="21" t="str">
        <f>IF(C6502="","",COUNTA($C$3:C6502))</f>
        <v/>
      </c>
      <c r="B6502" s="35" t="str">
        <f t="shared" si="117"/>
        <v/>
      </c>
      <c r="C6502" s="15"/>
    </row>
    <row r="6503" spans="1:3" x14ac:dyDescent="0.25">
      <c r="A6503" s="21" t="str">
        <f>IF(C6503="","",COUNTA($C$3:C6503))</f>
        <v/>
      </c>
      <c r="B6503" s="35" t="str">
        <f t="shared" si="117"/>
        <v/>
      </c>
      <c r="C6503" s="15"/>
    </row>
    <row r="6504" spans="1:3" x14ac:dyDescent="0.25">
      <c r="A6504" s="21" t="str">
        <f>IF(C6504="","",COUNTA($C$3:C6504))</f>
        <v/>
      </c>
      <c r="B6504" s="35" t="str">
        <f t="shared" si="117"/>
        <v/>
      </c>
      <c r="C6504" s="15"/>
    </row>
    <row r="6505" spans="1:3" x14ac:dyDescent="0.25">
      <c r="A6505" s="21" t="str">
        <f>IF(C6505="","",COUNTA($C$3:C6505))</f>
        <v/>
      </c>
      <c r="B6505" s="35" t="str">
        <f t="shared" si="117"/>
        <v/>
      </c>
      <c r="C6505" s="15"/>
    </row>
    <row r="6506" spans="1:3" x14ac:dyDescent="0.25">
      <c r="A6506" s="21" t="str">
        <f>IF(C6506="","",COUNTA($C$3:C6506))</f>
        <v/>
      </c>
      <c r="B6506" s="35" t="str">
        <f t="shared" si="117"/>
        <v/>
      </c>
      <c r="C6506" s="15"/>
    </row>
    <row r="6507" spans="1:3" x14ac:dyDescent="0.25">
      <c r="A6507" s="21" t="str">
        <f>IF(C6507="","",COUNTA($C$3:C6507))</f>
        <v/>
      </c>
      <c r="B6507" s="35" t="str">
        <f t="shared" si="117"/>
        <v/>
      </c>
      <c r="C6507" s="15"/>
    </row>
    <row r="6508" spans="1:3" x14ac:dyDescent="0.25">
      <c r="A6508" s="21" t="str">
        <f>IF(C6508="","",COUNTA($C$3:C6508))</f>
        <v/>
      </c>
      <c r="B6508" s="35" t="str">
        <f t="shared" si="117"/>
        <v/>
      </c>
      <c r="C6508" s="15"/>
    </row>
    <row r="6509" spans="1:3" x14ac:dyDescent="0.25">
      <c r="A6509" s="21" t="str">
        <f>IF(C6509="","",COUNTA($C$3:C6509))</f>
        <v/>
      </c>
      <c r="B6509" s="35" t="str">
        <f t="shared" si="117"/>
        <v/>
      </c>
      <c r="C6509" s="15"/>
    </row>
    <row r="6510" spans="1:3" x14ac:dyDescent="0.25">
      <c r="A6510" s="21" t="str">
        <f>IF(C6510="","",COUNTA($C$3:C6510))</f>
        <v/>
      </c>
      <c r="B6510" s="35" t="str">
        <f t="shared" si="117"/>
        <v/>
      </c>
      <c r="C6510" s="15"/>
    </row>
    <row r="6511" spans="1:3" x14ac:dyDescent="0.25">
      <c r="A6511" s="21" t="str">
        <f>IF(C6511="","",COUNTA($C$3:C6511))</f>
        <v/>
      </c>
      <c r="B6511" s="35" t="str">
        <f t="shared" si="117"/>
        <v/>
      </c>
      <c r="C6511" s="15"/>
    </row>
    <row r="6512" spans="1:3" x14ac:dyDescent="0.25">
      <c r="A6512" s="21" t="str">
        <f>IF(C6512="","",COUNTA($C$3:C6512))</f>
        <v/>
      </c>
      <c r="B6512" s="35" t="str">
        <f t="shared" si="117"/>
        <v/>
      </c>
      <c r="C6512" s="15"/>
    </row>
    <row r="6513" spans="1:3" x14ac:dyDescent="0.25">
      <c r="A6513" s="21" t="str">
        <f>IF(C6513="","",COUNTA($C$3:C6513))</f>
        <v/>
      </c>
      <c r="B6513" s="35" t="str">
        <f t="shared" si="117"/>
        <v/>
      </c>
      <c r="C6513" s="15"/>
    </row>
    <row r="6514" spans="1:3" x14ac:dyDescent="0.25">
      <c r="A6514" s="21" t="str">
        <f>IF(C6514="","",COUNTA($C$3:C6514))</f>
        <v/>
      </c>
      <c r="B6514" s="35" t="str">
        <f t="shared" si="117"/>
        <v/>
      </c>
      <c r="C6514" s="15"/>
    </row>
    <row r="6515" spans="1:3" x14ac:dyDescent="0.25">
      <c r="A6515" s="21" t="str">
        <f>IF(C6515="","",COUNTA($C$3:C6515))</f>
        <v/>
      </c>
      <c r="B6515" s="35" t="str">
        <f t="shared" si="117"/>
        <v/>
      </c>
      <c r="C6515" s="15"/>
    </row>
    <row r="6516" spans="1:3" x14ac:dyDescent="0.25">
      <c r="A6516" s="21" t="str">
        <f>IF(C6516="","",COUNTA($C$3:C6516))</f>
        <v/>
      </c>
      <c r="B6516" s="35" t="str">
        <f t="shared" si="117"/>
        <v/>
      </c>
      <c r="C6516" s="15"/>
    </row>
    <row r="6517" spans="1:3" x14ac:dyDescent="0.25">
      <c r="A6517" s="21" t="str">
        <f>IF(C6517="","",COUNTA($C$3:C6517))</f>
        <v/>
      </c>
      <c r="B6517" s="35" t="str">
        <f t="shared" si="117"/>
        <v/>
      </c>
      <c r="C6517" s="15"/>
    </row>
    <row r="6518" spans="1:3" x14ac:dyDescent="0.25">
      <c r="A6518" s="21" t="str">
        <f>IF(C6518="","",COUNTA($C$3:C6518))</f>
        <v/>
      </c>
      <c r="B6518" s="35" t="str">
        <f t="shared" si="117"/>
        <v/>
      </c>
      <c r="C6518" s="15"/>
    </row>
    <row r="6519" spans="1:3" x14ac:dyDescent="0.25">
      <c r="A6519" s="21" t="str">
        <f>IF(C6519="","",COUNTA($C$3:C6519))</f>
        <v/>
      </c>
      <c r="B6519" s="35" t="str">
        <f t="shared" si="117"/>
        <v/>
      </c>
      <c r="C6519" s="15"/>
    </row>
    <row r="6520" spans="1:3" x14ac:dyDescent="0.25">
      <c r="A6520" s="21" t="str">
        <f>IF(C6520="","",COUNTA($C$3:C6520))</f>
        <v/>
      </c>
      <c r="B6520" s="35" t="str">
        <f t="shared" si="117"/>
        <v/>
      </c>
      <c r="C6520" s="15"/>
    </row>
    <row r="6521" spans="1:3" x14ac:dyDescent="0.25">
      <c r="A6521" s="21" t="str">
        <f>IF(C6521="","",COUNTA($C$3:C6521))</f>
        <v/>
      </c>
      <c r="B6521" s="35" t="str">
        <f t="shared" si="117"/>
        <v/>
      </c>
      <c r="C6521" s="15"/>
    </row>
    <row r="6522" spans="1:3" x14ac:dyDescent="0.25">
      <c r="A6522" s="21" t="str">
        <f>IF(C6522="","",COUNTA($C$3:C6522))</f>
        <v/>
      </c>
      <c r="B6522" s="35" t="str">
        <f t="shared" si="117"/>
        <v/>
      </c>
      <c r="C6522" s="15"/>
    </row>
    <row r="6523" spans="1:3" x14ac:dyDescent="0.25">
      <c r="A6523" s="21" t="str">
        <f>IF(C6523="","",COUNTA($C$3:C6523))</f>
        <v/>
      </c>
      <c r="B6523" s="35" t="str">
        <f t="shared" si="117"/>
        <v/>
      </c>
      <c r="C6523" s="15"/>
    </row>
    <row r="6524" spans="1:3" x14ac:dyDescent="0.25">
      <c r="A6524" s="21" t="str">
        <f>IF(C6524="","",COUNTA($C$3:C6524))</f>
        <v/>
      </c>
      <c r="B6524" s="35" t="str">
        <f t="shared" si="117"/>
        <v/>
      </c>
      <c r="C6524" s="15"/>
    </row>
    <row r="6525" spans="1:3" x14ac:dyDescent="0.25">
      <c r="A6525" s="21" t="str">
        <f>IF(C6525="","",COUNTA($C$3:C6525))</f>
        <v/>
      </c>
      <c r="B6525" s="35" t="str">
        <f t="shared" si="117"/>
        <v/>
      </c>
      <c r="C6525" s="15"/>
    </row>
    <row r="6526" spans="1:3" x14ac:dyDescent="0.25">
      <c r="A6526" s="21" t="str">
        <f>IF(C6526="","",COUNTA($C$3:C6526))</f>
        <v/>
      </c>
      <c r="B6526" s="35" t="str">
        <f t="shared" si="117"/>
        <v/>
      </c>
      <c r="C6526" s="15"/>
    </row>
    <row r="6527" spans="1:3" x14ac:dyDescent="0.25">
      <c r="A6527" s="21" t="str">
        <f>IF(C6527="","",COUNTA($C$3:C6527))</f>
        <v/>
      </c>
      <c r="B6527" s="35" t="str">
        <f t="shared" si="117"/>
        <v/>
      </c>
      <c r="C6527" s="15"/>
    </row>
    <row r="6528" spans="1:3" x14ac:dyDescent="0.25">
      <c r="A6528" s="21" t="str">
        <f>IF(C6528="","",COUNTA($C$3:C6528))</f>
        <v/>
      </c>
      <c r="B6528" s="35" t="str">
        <f t="shared" si="117"/>
        <v/>
      </c>
      <c r="C6528" s="15"/>
    </row>
    <row r="6529" spans="1:3" x14ac:dyDescent="0.25">
      <c r="A6529" s="21" t="str">
        <f>IF(C6529="","",COUNTA($C$3:C6529))</f>
        <v/>
      </c>
      <c r="B6529" s="35" t="str">
        <f t="shared" si="117"/>
        <v/>
      </c>
      <c r="C6529" s="15"/>
    </row>
    <row r="6530" spans="1:3" x14ac:dyDescent="0.25">
      <c r="A6530" s="21" t="str">
        <f>IF(C6530="","",COUNTA($C$3:C6530))</f>
        <v/>
      </c>
      <c r="B6530" s="35" t="str">
        <f t="shared" si="117"/>
        <v/>
      </c>
      <c r="C6530" s="15"/>
    </row>
    <row r="6531" spans="1:3" x14ac:dyDescent="0.25">
      <c r="A6531" s="21" t="str">
        <f>IF(C6531="","",COUNTA($C$3:C6531))</f>
        <v/>
      </c>
      <c r="B6531" s="35" t="str">
        <f t="shared" si="117"/>
        <v/>
      </c>
      <c r="C6531" s="15"/>
    </row>
    <row r="6532" spans="1:3" x14ac:dyDescent="0.25">
      <c r="A6532" s="21" t="str">
        <f>IF(C6532="","",COUNTA($C$3:C6532))</f>
        <v/>
      </c>
      <c r="B6532" s="35" t="str">
        <f t="shared" si="117"/>
        <v/>
      </c>
      <c r="C6532" s="15"/>
    </row>
    <row r="6533" spans="1:3" x14ac:dyDescent="0.25">
      <c r="A6533" s="21" t="str">
        <f>IF(C6533="","",COUNTA($C$3:C6533))</f>
        <v/>
      </c>
      <c r="B6533" s="35" t="str">
        <f t="shared" ref="B6533:B6555" si="118">IF(C6533="","",TEXT(C6533,"mmmm"))</f>
        <v/>
      </c>
      <c r="C6533" s="15"/>
    </row>
    <row r="6534" spans="1:3" x14ac:dyDescent="0.25">
      <c r="A6534" s="21" t="str">
        <f>IF(C6534="","",COUNTA($C$3:C6534))</f>
        <v/>
      </c>
      <c r="B6534" s="35" t="str">
        <f t="shared" si="118"/>
        <v/>
      </c>
      <c r="C6534" s="15"/>
    </row>
    <row r="6535" spans="1:3" x14ac:dyDescent="0.25">
      <c r="A6535" s="21" t="str">
        <f>IF(C6535="","",COUNTA($C$3:C6535))</f>
        <v/>
      </c>
      <c r="B6535" s="35" t="str">
        <f t="shared" si="118"/>
        <v/>
      </c>
      <c r="C6535" s="15"/>
    </row>
    <row r="6536" spans="1:3" x14ac:dyDescent="0.25">
      <c r="A6536" s="21" t="str">
        <f>IF(C6536="","",COUNTA($C$3:C6536))</f>
        <v/>
      </c>
      <c r="B6536" s="35" t="str">
        <f t="shared" si="118"/>
        <v/>
      </c>
      <c r="C6536" s="15"/>
    </row>
    <row r="6537" spans="1:3" x14ac:dyDescent="0.25">
      <c r="A6537" s="21" t="str">
        <f>IF(C6537="","",COUNTA($C$3:C6537))</f>
        <v/>
      </c>
      <c r="B6537" s="35" t="str">
        <f t="shared" si="118"/>
        <v/>
      </c>
      <c r="C6537" s="15"/>
    </row>
    <row r="6538" spans="1:3" x14ac:dyDescent="0.25">
      <c r="A6538" s="21" t="str">
        <f>IF(C6538="","",COUNTA($C$3:C6538))</f>
        <v/>
      </c>
      <c r="B6538" s="35" t="str">
        <f t="shared" si="118"/>
        <v/>
      </c>
      <c r="C6538" s="15"/>
    </row>
    <row r="6539" spans="1:3" x14ac:dyDescent="0.25">
      <c r="A6539" s="21" t="str">
        <f>IF(C6539="","",COUNTA($C$3:C6539))</f>
        <v/>
      </c>
      <c r="B6539" s="35" t="str">
        <f t="shared" si="118"/>
        <v/>
      </c>
      <c r="C6539" s="15"/>
    </row>
    <row r="6540" spans="1:3" x14ac:dyDescent="0.25">
      <c r="A6540" s="21" t="str">
        <f>IF(C6540="","",COUNTA($C$3:C6540))</f>
        <v/>
      </c>
      <c r="B6540" s="35" t="str">
        <f t="shared" si="118"/>
        <v/>
      </c>
      <c r="C6540" s="15"/>
    </row>
    <row r="6541" spans="1:3" x14ac:dyDescent="0.25">
      <c r="A6541" s="21" t="str">
        <f>IF(C6541="","",COUNTA($C$3:C6541))</f>
        <v/>
      </c>
      <c r="B6541" s="35" t="str">
        <f t="shared" si="118"/>
        <v/>
      </c>
      <c r="C6541" s="15"/>
    </row>
    <row r="6542" spans="1:3" x14ac:dyDescent="0.25">
      <c r="A6542" s="21" t="str">
        <f>IF(C6542="","",COUNTA($C$3:C6542))</f>
        <v/>
      </c>
      <c r="B6542" s="35" t="str">
        <f t="shared" si="118"/>
        <v/>
      </c>
      <c r="C6542" s="15"/>
    </row>
    <row r="6543" spans="1:3" x14ac:dyDescent="0.25">
      <c r="A6543" s="21" t="str">
        <f>IF(C6543="","",COUNTA($C$3:C6543))</f>
        <v/>
      </c>
      <c r="B6543" s="35" t="str">
        <f t="shared" si="118"/>
        <v/>
      </c>
      <c r="C6543" s="15"/>
    </row>
    <row r="6544" spans="1:3" x14ac:dyDescent="0.25">
      <c r="A6544" s="21" t="str">
        <f>IF(C6544="","",COUNTA($C$3:C6544))</f>
        <v/>
      </c>
      <c r="B6544" s="35" t="str">
        <f t="shared" si="118"/>
        <v/>
      </c>
      <c r="C6544" s="15"/>
    </row>
    <row r="6545" spans="1:9" x14ac:dyDescent="0.25">
      <c r="A6545" s="21" t="str">
        <f>IF(C6545="","",COUNTA($C$3:C6545))</f>
        <v/>
      </c>
      <c r="B6545" s="35" t="str">
        <f t="shared" si="118"/>
        <v/>
      </c>
      <c r="C6545" s="15"/>
    </row>
    <row r="6546" spans="1:9" x14ac:dyDescent="0.25">
      <c r="A6546" s="21" t="str">
        <f>IF(C6546="","",COUNTA($C$3:C6546))</f>
        <v/>
      </c>
      <c r="B6546" s="35" t="str">
        <f t="shared" si="118"/>
        <v/>
      </c>
      <c r="C6546" s="15"/>
    </row>
    <row r="6547" spans="1:9" x14ac:dyDescent="0.25">
      <c r="A6547" s="21" t="str">
        <f>IF(C6547="","",COUNTA($C$3:C6547))</f>
        <v/>
      </c>
      <c r="B6547" s="35" t="str">
        <f t="shared" si="118"/>
        <v/>
      </c>
      <c r="C6547" s="15"/>
    </row>
    <row r="6548" spans="1:9" x14ac:dyDescent="0.25">
      <c r="A6548" s="21" t="str">
        <f>IF(C6548="","",COUNTA($C$3:C6548))</f>
        <v/>
      </c>
      <c r="B6548" s="35" t="str">
        <f t="shared" si="118"/>
        <v/>
      </c>
      <c r="C6548" s="15"/>
    </row>
    <row r="6549" spans="1:9" x14ac:dyDescent="0.25">
      <c r="A6549" s="21" t="str">
        <f>IF(C6549="","",COUNTA($C$3:C6549))</f>
        <v/>
      </c>
      <c r="B6549" s="35" t="str">
        <f t="shared" si="118"/>
        <v/>
      </c>
      <c r="C6549" s="15"/>
    </row>
    <row r="6550" spans="1:9" x14ac:dyDescent="0.25">
      <c r="A6550" s="21" t="str">
        <f>IF(C6550="","",COUNTA($C$3:C6550))</f>
        <v/>
      </c>
      <c r="B6550" s="35" t="str">
        <f t="shared" si="118"/>
        <v/>
      </c>
      <c r="C6550" s="15"/>
    </row>
    <row r="6551" spans="1:9" x14ac:dyDescent="0.25">
      <c r="A6551" s="21" t="str">
        <f>IF(C6551="","",COUNTA($C$3:C6551))</f>
        <v/>
      </c>
      <c r="B6551" s="35" t="str">
        <f t="shared" si="118"/>
        <v/>
      </c>
      <c r="C6551" s="15"/>
    </row>
    <row r="6552" spans="1:9" x14ac:dyDescent="0.25">
      <c r="A6552" s="21" t="str">
        <f>IF(C6552="","",COUNTA($C$3:C6552))</f>
        <v/>
      </c>
      <c r="B6552" s="35" t="str">
        <f t="shared" si="118"/>
        <v/>
      </c>
      <c r="C6552" s="15"/>
    </row>
    <row r="6553" spans="1:9" x14ac:dyDescent="0.25">
      <c r="A6553" s="21" t="str">
        <f>IF(C6553="","",COUNTA($C$3:C6553))</f>
        <v/>
      </c>
      <c r="B6553" s="35" t="str">
        <f t="shared" si="118"/>
        <v/>
      </c>
      <c r="C6553" s="15"/>
    </row>
    <row r="6554" spans="1:9" x14ac:dyDescent="0.25">
      <c r="A6554" s="21" t="str">
        <f>IF(C6554="","",COUNTA($C$3:C6554))</f>
        <v/>
      </c>
      <c r="B6554" s="35" t="str">
        <f t="shared" si="118"/>
        <v/>
      </c>
      <c r="C6554" s="15"/>
    </row>
    <row r="6555" spans="1:9" x14ac:dyDescent="0.25">
      <c r="A6555" s="21" t="str">
        <f>IF(C6555="","",COUNTA($C$3:C6555))</f>
        <v/>
      </c>
      <c r="B6555" s="35" t="str">
        <f t="shared" si="118"/>
        <v/>
      </c>
      <c r="C6555" s="126"/>
      <c r="E6555" s="60"/>
      <c r="F6555" s="18"/>
      <c r="G6555" s="18"/>
      <c r="H6555" s="49"/>
      <c r="I6555" s="49"/>
    </row>
    <row r="6558" spans="1:9" x14ac:dyDescent="0.25">
      <c r="I6558" s="49"/>
    </row>
    <row r="6559" spans="1:9" x14ac:dyDescent="0.25">
      <c r="I6559" s="49"/>
    </row>
    <row r="6560" spans="1:9" x14ac:dyDescent="0.25">
      <c r="I6560" s="49"/>
    </row>
    <row r="6561" spans="9:9" x14ac:dyDescent="0.25">
      <c r="I6561" s="49"/>
    </row>
  </sheetData>
  <autoFilter ref="A2:N6555" xr:uid="{00000000-0009-0000-0000-000004000000}"/>
  <dataValidations count="3">
    <dataValidation type="list" allowBlank="1" showInputMessage="1" sqref="F590:F691 G1144:G1146 F6555 G34:G38 F190:F402 G330:G347 G78:G113 F4079:F4091 F3938:F3946 G4017:G4023 G129:G142 G161:G188 F131:F188 G207:G263 G269:G279 G286:G296 G923:G929" xr:uid="{00000000-0002-0000-0400-000000000000}">
      <formula1>Customer_Name</formula1>
    </dataValidation>
    <dataValidation type="list" allowBlank="1" showInputMessage="1" sqref="H105:H110 H1440:H1442 H403:H413 H486:H488 H583:H593 H602:H612 H629:H636 H648:H651 H732:H733 H747:H756 H877:H880 H1015 H1021:H1023 H1035:H1043 H1078:H1087 H1111:H1114 H1126:H1133 H1142:H1151 H1251:H1255 H1333:H1334 H1800:H1803 H1208:H1218 H1418:H1426 H1398:H1401 H1353 H1450:H1453 H1805:H1815 H1461:H1462 H1455:H1456 H1281:H1285 H131:H139 H1259:H1263 H1517:H1522 H1458 H1444:H1447 H1574:H1576 H1559:H1570 H1578:H1581 H1608:H1609 H1589:H1602 H1622:H1628 H1653:H1655 H1698 H1674 H1583:H1587 H1710:H1717 H1744 H1795 H1817:H1821 H1882:H1897 H1761:H1780 H1876:H1880 H1756:H1759 H1909:H1912 H1725:H1730 H1953 H1964:H1965 H1961:H1962 H1978:H1986 H2008:H2019 H1988:H1995 H2059:H2064 H2042:H2053 H1403:H1411 H16:H27 H44:H52 H69:H81 H243:H247 H421:H425 H616:H626 H658:H665 H721:H729 H759:H766 H971:H976 H980:H982 H962:H969 H993:H998 H1058:H1061 H1026:H1033 H1072:H1074 H1096 H1098:H1108 H1201:H1206 H1287:H1289 H1309 H1327:H1329 H1355:H1358 H1337:H1351 H1226:H1229 H1360:H1361 H1630:H1637 H1683:H1687 H1680:H1681 H1841:H1842 H1849:H1852 H1858:H1860 H1864:H1871 H1899:H1901 H1947:H1949 H1951 H1940 H1969 H2040:I2040 H2094:H2095 H2085 H2102 H2117:H2127 H2129:H2261 H2317:H2325 H2338:H2339 H2371 H2376:H2378 H2373:H2374 H2406:H2409 H2411:H2424 H2362:H2369 H2449:H2451 H2540:H2543 H2545:H2546 H2576 H2559:H2561 H2599:H2601 H2632 H2658:H2665 H2671:H2672 H2674:H2680 H2697:H2699 H2703:H2712 H2715 H2722:H2726 H2753:H2757 H2761 H2826 H2853:H2854 H2861:H2862 H2848:H2849 H2930:H2931 H2933:H2934 H2957 H2960:H2961 H4330:H4333 H39:H42 H83 H86:H95 H112 H116 H185:H193 I189 H197:H201 H278 H332:H340 H377:H390 H416 H468 H597 H667:H681 H684:H712 H855:H859 H1017:H1018 H1049:H1052 H1054:H1056 H1045:H1047 H1172:H1185 H1432:H1436 H1438 I1926 H1957 H2021:H2028 H2098:H2099 H2301:H2308 H2327:H2336 H2345:H2350 H2380:H2389 H2426:H2437 H2478:H2479 H2581:H2584 H2574 H2612 H2623:H2629 H2638:H2647 H2651:H2655 H2733:H2734 H2729:H2731 H2738:H2747 H2763:H2764 H2751 H2771 H2777:H2779 H2789:H2795 H2782:H2786 H2798:H2801 H2804:H2807 H2830 H2834 H2858 H2866:H2876 H2878:H2886 H2902:H2912 H2985:H2987 H2940:H2942 H2955 H2974:H2975 H2977:H2983 H2927:I2927 H2996:H3001 H3011 H3013:H3017 H3020:H3032 H3035:H3036 H3045:H3049 H3064:H3069 H3074:H3081 H3059:H3062 H3141:H3153 H3090:H3091 H3093:H3101 H3051:H3056 H3038:H3043 H3104:H3117 H3084:H3086 H3165 H3172:H3173 H3167:H3168 H3178:H3191 I3197 H3197:H3202 H3193:H3195 H3205:H3207 H3159:H3163 H3234:H3235 H3226:H3232 H3240 H3244 H3246:H3249 H3256:I3256 H3260:I3260 H3273 H3265:H3269 H3277:H3278 H3310 H3315 H3303:H3306 H3322 H3328:H3333 H3335:H3340 H3344:H3351 H3342 H3354:H3362 H3396:H3400 H3368:H3393 H3412:H3416 H3418:H3421 H3424:H3427 H3429:H3430 H3433:H3434 H3436:H3437 H3446 H3454:H3455 H3458:H3461 H3449:H3452 H3406:H3410 H3476:H3479 H3481 H3484 H3495:H3500 H3502:H3503 H3469:H3474 H3522:H3529 H3509:H3520 H3366 H3320 H3559:H3564 H3584 H3597:H3598 H3542:H3546 H3612 H3614:H3618 H3609:H3610 H3261:H3262 H3634:H3639 H3648:H3669 H3671 H3674 H3680:H3696 H3699:H3703 H3566:H3570 H3707:H3713 H3717:H3725 H3641:H3646 H3738 H3769 H3771:H3778 H3759:H3767 H3795:H3796 H3740:H3757 H3734:H3736 H3781:H3793 H3813:H3816 H3826:H3827 H3832:H3839 H3829 H3848:H3857 H3859:H3864 H3870:H3877 H3867 H3913:H3916 H3879:H3908 H3843:H3845 H3918:H3933 H3818:H3824 H3938:H3939 H3944:H3945 H3949:H3958 H3727:H3732 H3960:H3966 H3968:H3979 H3621:H3632 H3991:H4003 H3986:H3988 H3603:H3607 H4013:H4022 H4058:H4060 H4062:H4065 H4068:H4072 H4075 H4077 H4079:H4080 H4086:H4087 H4089:H4090 H4092:H4098 H4101:H4104 H4107:H4108 H4110:H4111 H4113:H4117 H4120:H4122 H4124 H4130 H4133:H4136 H4138:H4142 H4144:H4145 H4147:H4149 H4151 H4153:H4157 H4159:H4161 H4167:H4168 H4170:H4173 H4180:H4182 H4186:H4198 H4200:H4202 H4204:H4207 H4211:H4219 H4221:H4227 H4230:H4235 H4237:H4238 H4240 H4242:H4245 H4247 H4249:H4252 H4255:H4258 H4261:H4262 H4264:H4267 H4271 H4275 H4279:H4285 H6555 H4287:H4293 H4295 H4297:H4298 H4300 H4302:H4304 H4307:H4309 H4311:H4312 H4314:H4318 H4321:H4328 H4042:H4054 H3:H5 H7:H8 H10:H13 H4030 H33:H37 H29:H31 H4028 H54:H67 H120 H122:H125 H127 H103 H97:H101 H166:H171 H141:H164 H525:H532 H195 H227:H232 H253 H505 H261:H263 H269:H274 H174 H328:H330 H346 H321:H326 H349:H363 H397 H392:H395 H432:H433 H446:H455 H470:H478 H497:H502 H293:H314 H316:H319 H560:H566 H568:H574 H581 H654:H655 H638:H645 H577 H554:H558 H814:H815 H817:H824 H834 H837:H838 H893:H895 H891 H911 H958:H960 H978 H984:H987 H989 H1005:H1011 H1076 H1089:H1093 H1116:H1124 H1135:H1139 H1154 H1156:H1166 H1168:H1169 H1188:H1196 H1198:H1199 H1222:H1224 H1233:H1248 H1266:H1276 H1278:H1279 H1291 H1295:H1304 H1306:H1307 H1312:H1318 H1320:H1325 H1365:H1367 H1369:H1374 H1376:H1377 H1380:H1383 H1385:H1388 H1390:H1396 H1415:H1416 H1428:H1429 H1486:H1488 H1490:H1492 H1494:H1515 H1524:H1554 H1572 H1604:H1606 H1612:H1620 H1639 H1641 H1643:H1645 H1647:H1651 H1657:H1663 H1666:H1669 H1672 H1676:H1678 H1689:H1691 H1693:H1696 H1700:H1701 H1703:H1704 H1706:H1708 H1719:H1723 H1732:H1734 H1736:H1740 H1746:H1748 H1750:H1752 H1754 H1783 H1785:H1790 H1792:H1793 H1797:H1798 H1837:H1839 H1844:H1847 H1854:H1856 H1873:H1874 H1903:H1904 H1906:H1907 H1915:H1918 H1920:H1930 H1932:H1935 H1937 H1942:H1945 H1972:H1973 H1976 H2002:H2003 H2005:H2006 H2030:H2038 H2066:H2067 H2069:H2070 H2072:H2075 H2077:H2082 H2087:H2090 H2104:H2107 H2109:H2111 H2264:H2270 H2272:H2299 H2311:H2315 H2353:H2357 H2359:H2360 H2439:H2447 H2453:H2460 H2462:H2467 H2469 H2471:H2476 H2482:H2488 H2490:H2529 H2531:H2538 H2548:H2557 H2570:H2572 H2604 H2609:H2610 H2616:H2618 H2620:H2621 H2636 H2649 H2692:H2695 H2717:H2719 H2773:H2774 H2809:H2811 H2813:H2816 H2818 H2820:H2824 H2838 H2840 H2844 H2846 H2914:H2920 H2925 H2937 H2945:H2948 H2950:H2952 H2963:H2972 H2992:H2994 H3004:H3008 H3119:H3129 H3131:H3135 H3137:H3138 H3155:H3156 H3220:H3224 H3251 H3254:H3255 H3259 I3285 H3283:H3285 H3288:H3289 H3292:H3298 H3300:H3301 H3548:H3554 H3602:I3602 H3574:H3582 H3586:H3592 H3594:H3595 H4008:H4011 H177:H183 H203:H206 H210:H218 H222:H223 H235:H236 H238 H255:H258 H280:H288 H290:H291 H365:H372 H374:H375 H399:H401 H457:H462 H466 H480 H482:H484 H490:H495 H510 H435 H512 H516 H523 H535:H537 H539:H552 H769:H771 H773:H774 H777:H778 H780:H781 H783:H788 H792:H810 H812 H828:H832 H841 H843:H853 H863:H864 H866 H868:H871 H874 H882:H889 H897:H898 H901:H902 H904:H909 H921:H945 H947:H956" xr:uid="{00000000-0002-0000-0400-000001000000}">
      <formula1>Products</formula1>
    </dataValidation>
    <dataValidation type="list" allowBlank="1" showInputMessage="1" sqref="I77:I90 I457:I461 I649:I653 I961:I1080 I1139:I1141 I1144:I1170 I1206 I1607:I1614 I1668:I1679 I1816:I1817 I2191:I2192 I2208:I2209 I2211:I2213 I410 I1259:I1263 I1265:I1289 I1584:I1605 I1734:I1736 I2098 I2124:I2139 I2150:I2152 I2141:I2146 I2215:I2228 I2352:I2358 I2344:I2350 I2370 I2931:I2936 I2938:I2944 I4330:I4333 I4029:I4054 I32:I61 I72 I150 I152:I158 I140:I143 I217:I221 I347:I352 I334:I338 I392:I408 I480:I511 I655:I657 I956:I957 I959 I1117 I1120:I1125 I1134:I1137 I1172:I1186 I1224:I1231 I1237:I1238 I1240:I1243 I1245:I1250 I1252:I1257 I1316:I1327 I1329:I1335 I1505 I1507:I1523 I1527:I1533 I1555:I1558 I1626:I1630 I1682:I1692 I1694:I1706 I1711:I1714 I1739:I1740 I1773 I1790:I1808 I1982:I1995 I1997:I2019 I2021:I2028 I2148 I2154:I2165 I2169:I2172 I2186:I2189 I2194:I2206 I2174:I2184 I2241:I2250 I2231:I2239 I2252:I2253 I2263:I2289 I2292:I2293 I2302 I2438:I2446 I2503:I2504 I2507:I2510 I2448:I2501 I2601:I2620 I2638:I2645 I2728:I2732 I2801:I2819 I2854:I2857 I2881:I2898 I2901:I2920 I2922:I2924 I2926 I2928:I2929 I2946:I2959 I2974:I2996 I2961:I2972 I3017:I3019 I3021 I3027 I3015 I3006:I3013 I3049 I3051:I3060 I3062:I3076 I3038:I3047 I3086:I3096 I3106:I3139 I3160:I3184 I3186:I3195 I3156:I3158 I3232:I3234 I3251:I3253 I3255 I3257:I3258 I3699:I3709 I3268:I3276 I3310 I3330 I3323:I3328 I3334:I3362 I3392 I3364:I3390 I3429:I3454 I3464:I3469 I3394:I3426 I3476:I3494 I3501:I3502 I3499 I3504:I3512 I3518:I3521 I3523:I3541 I3623:I3630 I3612:I3613 I3550:I3567 I3261 I3639:I3644 I3569:I3601 I3696:I3697 I3757:I3773 I3783:I3827 I3738:I3755 I3711:I3735 I3646:I3694 I3632:I3637 I3829:I3964 I3515:I3516 I3968:I3985 I3496:I3497 I3987:I3990 I4057:I4059 I4062:I4063 I4065:I4066 I4068:I4073 I4075:I4077 I4079:I4087 I4089:I4090 I4092:I4096 I4098:I4099 I4101:I4115 I4117 I4120:I4126 I4130:I4131 I4133:I4142 I4144:I4145 I4147:I4151 I4153:I4165 I4167:I4170 I4172:I4184 I4186:I4207 I4210:I4225 I4227:I4228 I4230:I4239 I4242:I4247 I4249:I4258 I4261:I4268 I4270:I4272 I4278 I4274:I4275 I4280:I4285 I6555 I4288:I4295 I4297:I4300 I4302:I4309 I4311:I4327 I10:I15 I24:I30 I63:I69 I74:I75 I145:I148 I161:I168 I340:I345 I463:I470 I644:I647 I796:I797 I800:I801 I847:I850 I1082:I1110 I1112:I1115 I1128:I1130 I1132 I1198:I1204 I1208 I1188:I1196 I1210:I1222 I1234:I1235 I1291:I1298 I1302 I1306:I1308 I1310:I1314 I1337:I1338 I1340 I1342:I1359 I1361:I1402 I1404:I1405 I1407:I1410 I1412:I1419 I1421:I1427 I1429:I1434 I1436:I1445 I1447:I1503 I1525 I1535:I1543 I1545:I1551 I1553 I1561:I1582 I1616:I1624 I1633:I1634 I1636:I1665 I1708:I1709 I1716:I1732 I1742 I1744:I1771 I1775:I1784 I1786:I1788 I1812 I1821:I1855 I1857:I1873 I1875:I1925 I1927:I1979 I2030:I2035 I2037:I2039 I2041:I2046 I2048:I2051 I2053:I2093 I2103:I2118 I2120:I2122 I2257:I2261 I2295:I2299 I2304 I2307 I2309:I2341 I2360:I2368 I2372:I2430 I2432:I2436 I2513:I2530 I2532:I2536 I2538:I2572 I2574:I2576 I2584 I2587:I2599 I2622:I2636 I2647:I2674 I2676:I2678 I2680:I2695 I2697:I2714 I2716:I2721 I2723:I2725 I2734:I2737 I2739:I2760 I2762:I2763 I2766:I2770 I2772:I2773 I2776:I2777 I2782:I2784 I2786:I2799 I2821:I2833 I2835:I2837 I2839:I2843 I2845:I2852 I2859:I2860 I2862:I2870 I2872 I2874:I2877 I2879 I3141:I3150 I3152:I3154 I3207:I3221 I3223:I3227 I3229:I3230 I3236:I3249 I3264:I3266 I3278:I3283 I3286:I3288 I3290:I3292 I3294 I3299:I3300 I3312:I3314 I3316:I3321 I3992:I4027 I3:I8 I17 I19:I22 I92:I128 I130:I131 I133 I135:I137 I211:I215 I190:I209 I170:I188 I223:I234 I236:I260 I262:I286 I288:I295 I297:I316 I318:I332 I374:I390 I412:I415 I417:I422 I426:I447 I513:I524 I531:I552 I554:I563 I566:I610 I612:I642 I669:I670 I679 I682:I700 I703:I773 I775:I780 I782:I793 I806 I811:I833 I835:I837 I839:I845 I852:I876 I878:I892 I895:I921 I923:I927 I929:I932 I934:I937 I939:I942 I944:I954" xr:uid="{00000000-0002-0000-0400-000002000000}">
      <formula1>Raw_Material</formula1>
    </dataValidation>
  </dataValidations>
  <pageMargins left="0.7" right="0.7" top="0.75" bottom="0.75" header="0.3" footer="0.3"/>
  <pageSetup orientation="portrait" r:id="rId1"/>
  <ignoredErrors>
    <ignoredError sqref="A39:A86 A3047:A3220 A2891:A2906 A3222:A3654 A3656:A6554 A539:A854 A1722:A1767 A1769:A2373 A2375:A2889 A2908:A2932 A2934:A3045 A4:A30 A32:A34 A441:A537 A88:A426 A427:A440 A872:A1720 A868:A871 A855:A867"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Home</vt:lpstr>
      <vt:lpstr>Commercial</vt:lpstr>
      <vt:lpstr>Pivot</vt:lpstr>
      <vt:lpstr>Billing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NAVEEN</cp:lastModifiedBy>
  <cp:lastPrinted>2025-05-24T05:19:48Z</cp:lastPrinted>
  <dcterms:created xsi:type="dcterms:W3CDTF">2021-08-11T03:53:06Z</dcterms:created>
  <dcterms:modified xsi:type="dcterms:W3CDTF">2026-08-01T07:56:33Z</dcterms:modified>
</cp:coreProperties>
</file>